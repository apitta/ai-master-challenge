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ia-me" sheetId="1" state="visible" r:id="rId3"/>
    <sheet name="Resumo" sheetId="2" state="visible" r:id="rId4"/>
    <sheet name="Parâmetros" sheetId="3" state="visible" r:id="rId5"/>
    <sheet name="Pipeline" sheetId="4" state="visible" r:id="rId6"/>
    <sheet name="Histórico" sheetId="5" state="visible" r:id="rId7"/>
  </sheets>
  <definedNames>
    <definedName function="false" hidden="true" localSheetId="4" name="_xlnm._FilterDatabase" vbProcedure="false">Histórico!$A$1:$I$6712</definedName>
    <definedName function="false" hidden="true" localSheetId="3" name="_xlnm._FilterDatabase" vbProcedure="false">Pipeline!$A$1:$R$2090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5" authorId="0">
      <text>
        <r>
          <rPr>
            <sz val="10"/>
            <rFont val="Arial"/>
            <family val="2"/>
          </rPr>
          <t xml:space="preserve">Última data dos arquivos. Na operação real, use =HOJE().</t>
        </r>
      </text>
    </comment>
    <comment ref="B6" authorId="0">
      <text>
        <r>
          <rPr>
            <sz val="10"/>
            <rFont val="Arial"/>
            <family val="2"/>
          </rPr>
          <t xml:space="preserve">Maior ciclo observado entre os negócios fechados. Acima disso, a oportunidade vai para a faixa R.</t>
        </r>
      </text>
    </comment>
    <comment ref="B9" authorId="0">
      <text>
        <r>
          <rPr>
            <sz val="10"/>
            <rFont val="Arial"/>
            <family val="2"/>
          </rPr>
          <t xml:space="preserve">Ainda sem data de engajamento: não foi qualificado.</t>
        </r>
      </text>
    </comment>
  </commentList>
</comments>
</file>

<file path=xl/sharedStrings.xml><?xml version="1.0" encoding="utf-8"?>
<sst xmlns="http://schemas.openxmlformats.org/spreadsheetml/2006/main" count="46994" uniqueCount="9054">
  <si>
    <t xml:space="preserve">Lead Scoring de Oportunidades: protótipo</t>
  </si>
  <si>
    <t xml:space="preserve">Objetivo</t>
  </si>
  <si>
    <t xml:space="preserve">Priorizar as oportunidades abertas (Engaging e Prospecting) por valor e momento no ciclo, e sinalizar as paradas para reciclagem.</t>
  </si>
  <si>
    <t xml:space="preserve">Fórmula</t>
  </si>
  <si>
    <t xml:space="preserve">Score = (Pontos de valor + Pontos de tempo) × Multiplicador de reciclagem, de 0 a 100.</t>
  </si>
  <si>
    <t xml:space="preserve">Pontos de valor (0–60)</t>
  </si>
  <si>
    <t xml:space="preserve">Preço de lista do produto em escala logarítmica. Ver a aba Parâmetros.</t>
  </si>
  <si>
    <t xml:space="preserve">Pontos de tempo (0–40)</t>
  </si>
  <si>
    <t xml:space="preserve">Dias em Engaging até a data de referência. Prospecting recebe pontuação fixa.</t>
  </si>
  <si>
    <t xml:space="preserve">Multiplicador</t>
  </si>
  <si>
    <t xml:space="preserve">Aplicado só às oportunidades paradas (mais dias que o limite de ciclo). Elas vão para a faixa R (Reciclar).</t>
  </si>
  <si>
    <t xml:space="preserve">Faixas</t>
  </si>
  <si>
    <t xml:space="preserve">A / B / C / D para as oportunidades ativas, conforme os cortes de score; R para as paradas.</t>
  </si>
  <si>
    <t xml:space="preserve">Como usar</t>
  </si>
  <si>
    <t xml:space="preserve">1. Parâmetros</t>
  </si>
  <si>
    <t xml:space="preserve">Edite só as células amarelas com texto azul. Todo o resto recalcula.</t>
  </si>
  <si>
    <t xml:space="preserve">2. Pipeline</t>
  </si>
  <si>
    <t xml:space="preserve">Oportunidades abertas já pontuadas. Use o filtro do cabeçalho para ver uma fila (ex.: Faixa = A) ou um vendedor.</t>
  </si>
  <si>
    <t xml:space="preserve">3. Resumo</t>
  </si>
  <si>
    <t xml:space="preserve">Distribuição por faixa, por produto e por vendedor. Atualiza sozinho.</t>
  </si>
  <si>
    <t xml:space="preserve">4. Histórico</t>
  </si>
  <si>
    <t xml:space="preserve">Negócios fechados (Won/Lost), base das taxas de ganho por tempo de ciclo mostradas em Parâmetros.</t>
  </si>
  <si>
    <t xml:space="preserve">Convenções</t>
  </si>
  <si>
    <t xml:space="preserve">Texto azul em fundo amarelo = premissa editável. Texto preto = fórmula. Verde = referência a outra aba.</t>
  </si>
  <si>
    <t xml:space="preserve">Premissas</t>
  </si>
  <si>
    <t xml:space="preserve">Data de referência 31/12/2017 (última data dos arquivos). "GTXPro" foi normalizado para "GTX Pro". O valor usado é o preço de lista, porque os negócios fecham em média a ~100% dele.</t>
  </si>
  <si>
    <t xml:space="preserve">Por que não há fit da conta</t>
  </si>
  <si>
    <t xml:space="preserve">Setor, porte, receita, país, produto e vendedor não mostraram poder preditivo sobre o ganho (lift entre 0,95 e 1,05; AUC fora do tempo ~0,50). Por isso não entram no score.</t>
  </si>
  <si>
    <t xml:space="preserve">Google Sheets</t>
  </si>
  <si>
    <t xml:space="preserve">Arquivo → Importar → Fazer upload, ou abra o .xlsx pelo Drive e use Arquivo → Salvar como Planilhas Google.</t>
  </si>
  <si>
    <t xml:space="preserve">Resumo do pipeline pontuado</t>
  </si>
  <si>
    <t xml:space="preserve">Faixa</t>
  </si>
  <si>
    <t xml:space="preserve">Oportunidades</t>
  </si>
  <si>
    <t xml:space="preserve">% das oportunidades</t>
  </si>
  <si>
    <t xml:space="preserve">Pipeline (US$, preço de lista)</t>
  </si>
  <si>
    <t xml:space="preserve">% do pipeline</t>
  </si>
  <si>
    <t xml:space="preserve">Sem conta preenchida</t>
  </si>
  <si>
    <t xml:space="preserve">Ação recomendada</t>
  </si>
  <si>
    <t xml:space="preserve">A</t>
  </si>
  <si>
    <t xml:space="preserve">B</t>
  </si>
  <si>
    <t xml:space="preserve">C</t>
  </si>
  <si>
    <t xml:space="preserve">D</t>
  </si>
  <si>
    <t xml:space="preserve">R</t>
  </si>
  <si>
    <t xml:space="preserve">Total</t>
  </si>
  <si>
    <t xml:space="preserve">% da faixa A entre as ativas (meta: 15–20%)</t>
  </si>
  <si>
    <t xml:space="preserve">Produto</t>
  </si>
  <si>
    <t xml:space="preserve">GTK 500</t>
  </si>
  <si>
    <t xml:space="preserve">GTX Plus Pro</t>
  </si>
  <si>
    <t xml:space="preserve">GTX Pro</t>
  </si>
  <si>
    <t xml:space="preserve">MG Advanced</t>
  </si>
  <si>
    <t xml:space="preserve">GTX Plus Basic</t>
  </si>
  <si>
    <t xml:space="preserve">GTX Basic</t>
  </si>
  <si>
    <t xml:space="preserve">MG Special</t>
  </si>
  <si>
    <t xml:space="preserve">Por vendedor (ordenado por gerente)</t>
  </si>
  <si>
    <t xml:space="preserve">Vendedor</t>
  </si>
  <si>
    <t xml:space="preserve">Gerente</t>
  </si>
  <si>
    <t xml:space="preserve">Pipeline A+B (US$)</t>
  </si>
  <si>
    <t xml:space="preserve">Corliss Cosme</t>
  </si>
  <si>
    <t xml:space="preserve">Cara Losch</t>
  </si>
  <si>
    <t xml:space="preserve">Elizabeth Anderson</t>
  </si>
  <si>
    <t xml:space="preserve">Garret Kinder</t>
  </si>
  <si>
    <t xml:space="preserve">Rosie Papadopoulos</t>
  </si>
  <si>
    <t xml:space="preserve">Violet Mclelland</t>
  </si>
  <si>
    <t xml:space="preserve">Wilburn Farren</t>
  </si>
  <si>
    <t xml:space="preserve">Carol Thompson</t>
  </si>
  <si>
    <t xml:space="preserve">Celia Rouche</t>
  </si>
  <si>
    <t xml:space="preserve">Elease Gluck</t>
  </si>
  <si>
    <t xml:space="preserve">Hayden Neloms</t>
  </si>
  <si>
    <t xml:space="preserve">Markita Hansen</t>
  </si>
  <si>
    <t xml:space="preserve">Rosalina Dieter</t>
  </si>
  <si>
    <t xml:space="preserve">Vicki Laflamme</t>
  </si>
  <si>
    <t xml:space="preserve">Anna Snelling</t>
  </si>
  <si>
    <t xml:space="preserve">Dustin Brinkmann</t>
  </si>
  <si>
    <t xml:space="preserve">Cecily Lampkin</t>
  </si>
  <si>
    <t xml:space="preserve">Lajuana Vencill</t>
  </si>
  <si>
    <t xml:space="preserve">Moses Frase</t>
  </si>
  <si>
    <t xml:space="preserve">Versie Hillebrand</t>
  </si>
  <si>
    <t xml:space="preserve">Darcel Schlecht</t>
  </si>
  <si>
    <t xml:space="preserve">Melvin Marxen</t>
  </si>
  <si>
    <t xml:space="preserve">Gladys Colclough</t>
  </si>
  <si>
    <t xml:space="preserve">Jonathan Berthelot</t>
  </si>
  <si>
    <t xml:space="preserve">Marty Freudenburg</t>
  </si>
  <si>
    <t xml:space="preserve">Mei-Mei Johns</t>
  </si>
  <si>
    <t xml:space="preserve">Niesha Huffines</t>
  </si>
  <si>
    <t xml:space="preserve">Boris Faz</t>
  </si>
  <si>
    <t xml:space="preserve">Rocco Neubert</t>
  </si>
  <si>
    <t xml:space="preserve">Cassey Cress</t>
  </si>
  <si>
    <t xml:space="preserve">Daniell Hammack</t>
  </si>
  <si>
    <t xml:space="preserve">Donn Cantrell</t>
  </si>
  <si>
    <t xml:space="preserve">Natalya Ivanova</t>
  </si>
  <si>
    <t xml:space="preserve">Reed Clapper</t>
  </si>
  <si>
    <t xml:space="preserve">Carl Lin</t>
  </si>
  <si>
    <t xml:space="preserve">Summer Sewald</t>
  </si>
  <si>
    <t xml:space="preserve">James Ascencio</t>
  </si>
  <si>
    <t xml:space="preserve">Kami Bicknell</t>
  </si>
  <si>
    <t xml:space="preserve">Kary Hendrixson</t>
  </si>
  <si>
    <t xml:space="preserve">Maureen Marcano</t>
  </si>
  <si>
    <t xml:space="preserve">Zane Levy</t>
  </si>
  <si>
    <t xml:space="preserve">Parâmetros do modelo</t>
  </si>
  <si>
    <t xml:space="preserve">Edite só as células amarelas (texto azul). O resto recalcula.</t>
  </si>
  <si>
    <t xml:space="preserve">Gerais</t>
  </si>
  <si>
    <t xml:space="preserve">Data de referência</t>
  </si>
  <si>
    <t xml:space="preserve">Limite de ciclo (dias) → parado</t>
  </si>
  <si>
    <t xml:space="preserve">Ciclo máximo no histórico (referência)</t>
  </si>
  <si>
    <t xml:space="preserve">Pontos máximos de valor</t>
  </si>
  <si>
    <t xml:space="preserve">Pontos fixos para Prospecting</t>
  </si>
  <si>
    <t xml:space="preserve">Pontos de valor por produto</t>
  </si>
  <si>
    <t xml:space="preserve">Série</t>
  </si>
  <si>
    <t xml:space="preserve">Preço de lista (US$)</t>
  </si>
  <si>
    <t xml:space="preserve">Pontos de valor</t>
  </si>
  <si>
    <t xml:space="preserve">MG</t>
  </si>
  <si>
    <t xml:space="preserve">GTX</t>
  </si>
  <si>
    <t xml:space="preserve">GTK</t>
  </si>
  <si>
    <t xml:space="preserve">Escala logarítmica: o produto mais barato recebe 0 e o mais caro recebe o máximo.</t>
  </si>
  <si>
    <t xml:space="preserve">Pontos de tempo (oportunidades em Engaging)</t>
  </si>
  <si>
    <t xml:space="preserve">A partir de (dias)</t>
  </si>
  <si>
    <t xml:space="preserve">Até (dias)</t>
  </si>
  <si>
    <t xml:space="preserve">Pontos de tempo</t>
  </si>
  <si>
    <t xml:space="preserve">Taxa de ganho histórica</t>
  </si>
  <si>
    <t xml:space="preserve">Negócios no histórico</t>
  </si>
  <si>
    <t xml:space="preserve">Racional</t>
  </si>
  <si>
    <t xml:space="preserve">Fase de mais perdas</t>
  </si>
  <si>
    <t xml:space="preserve">Ganho estabiliza em ~2/3</t>
  </si>
  <si>
    <t xml:space="preserve">Fase de decisão, maior taxa de ganho</t>
  </si>
  <si>
    <t xml:space="preserve">(sem limite)</t>
  </si>
  <si>
    <t xml:space="preserve">n/a</t>
  </si>
  <si>
    <t xml:space="preserve">Parado: acima do limite de ciclo → faixa R</t>
  </si>
  <si>
    <t xml:space="preserve">Faixa geral:</t>
  </si>
  <si>
    <t xml:space="preserve">Taxa média de ganho:</t>
  </si>
  <si>
    <t xml:space="preserve">Multiplicador de reciclagem (oportunidades paradas)</t>
  </si>
  <si>
    <t xml:space="preserve">Observação</t>
  </si>
  <si>
    <t xml:space="preserve">Ativa: sem penalidade</t>
  </si>
  <si>
    <t xml:space="preserve">Parada recente: reengajar</t>
  </si>
  <si>
    <t xml:space="preserve">Requalificar</t>
  </si>
  <si>
    <t xml:space="preserve">Avaliar encerramento</t>
  </si>
  <si>
    <t xml:space="preserve">Faixas e ações</t>
  </si>
  <si>
    <t xml:space="preserve">Score mínimo</t>
  </si>
  <si>
    <t xml:space="preserve">Critério</t>
  </si>
  <si>
    <t xml:space="preserve">Ativa, score ≥ corte A</t>
  </si>
  <si>
    <t xml:space="preserve">Prioridade máxima: próximo passo em até 48h</t>
  </si>
  <si>
    <t xml:space="preserve">Ativa, score ≥ corte B</t>
  </si>
  <si>
    <t xml:space="preserve">Cadência padrão</t>
  </si>
  <si>
    <t xml:space="preserve">Ativa, score ≥ corte C</t>
  </si>
  <si>
    <t xml:space="preserve">Cadência leve, foco em qualificar</t>
  </si>
  <si>
    <t xml:space="preserve">Ativa, abaixo do corte C</t>
  </si>
  <si>
    <t xml:space="preserve">Automatizar ou vender em lote</t>
  </si>
  <si>
    <t xml:space="preserve">Parada (dias &gt; limite de ciclo)</t>
  </si>
  <si>
    <t xml:space="preserve">Reciclar: requalificar, reengajar ou encerrar</t>
  </si>
  <si>
    <t xml:space="preserve">ID</t>
  </si>
  <si>
    <t xml:space="preserve">Regional</t>
  </si>
  <si>
    <t xml:space="preserve">Conta</t>
  </si>
  <si>
    <t xml:space="preserve">Estágio</t>
  </si>
  <si>
    <t xml:space="preserve">Data engajamento</t>
  </si>
  <si>
    <t xml:space="preserve">Dias em Engaging</t>
  </si>
  <si>
    <t xml:space="preserve">Pontos valor</t>
  </si>
  <si>
    <t xml:space="preserve">Pontos tempo</t>
  </si>
  <si>
    <t xml:space="preserve">Score</t>
  </si>
  <si>
    <t xml:space="preserve">Parada?</t>
  </si>
  <si>
    <t xml:space="preserve">Alerta cadastro</t>
  </si>
  <si>
    <t xml:space="preserve">1LY8CAXD</t>
  </si>
  <si>
    <t xml:space="preserve">West</t>
  </si>
  <si>
    <t xml:space="preserve">Betasoloin</t>
  </si>
  <si>
    <t xml:space="preserve">Engaging</t>
  </si>
  <si>
    <t xml:space="preserve">5378T3K3</t>
  </si>
  <si>
    <t xml:space="preserve">HF1GSBT4</t>
  </si>
  <si>
    <t xml:space="preserve">East</t>
  </si>
  <si>
    <t xml:space="preserve">Y0M8X7BV</t>
  </si>
  <si>
    <t xml:space="preserve">059K86LU</t>
  </si>
  <si>
    <t xml:space="preserve">Labdrill</t>
  </si>
  <si>
    <t xml:space="preserve">WZN26QZQ</t>
  </si>
  <si>
    <t xml:space="preserve">Lexiqvolax</t>
  </si>
  <si>
    <t xml:space="preserve">A5SCVK7E</t>
  </si>
  <si>
    <t xml:space="preserve">Goodsilron</t>
  </si>
  <si>
    <t xml:space="preserve">KAGK2GQJ</t>
  </si>
  <si>
    <t xml:space="preserve">6OD1J7MW</t>
  </si>
  <si>
    <t xml:space="preserve">Plexzap</t>
  </si>
  <si>
    <t xml:space="preserve">J0G6ZLYZ</t>
  </si>
  <si>
    <t xml:space="preserve">H8XH5MFQ</t>
  </si>
  <si>
    <t xml:space="preserve">7GDSUY9K</t>
  </si>
  <si>
    <t xml:space="preserve">Konmatfix</t>
  </si>
  <si>
    <t xml:space="preserve">77IBMLTB</t>
  </si>
  <si>
    <t xml:space="preserve">VRWH3YJV</t>
  </si>
  <si>
    <t xml:space="preserve">R6Q5JOLX</t>
  </si>
  <si>
    <t xml:space="preserve">DY8DMZZ9</t>
  </si>
  <si>
    <t xml:space="preserve">01XZ9CRY</t>
  </si>
  <si>
    <t xml:space="preserve">Initech</t>
  </si>
  <si>
    <t xml:space="preserve">A7OVC1WK</t>
  </si>
  <si>
    <t xml:space="preserve">NRK892VX</t>
  </si>
  <si>
    <t xml:space="preserve">LFI3BGEE</t>
  </si>
  <si>
    <t xml:space="preserve">9JTFD4FZ</t>
  </si>
  <si>
    <t xml:space="preserve">NX28C8EI</t>
  </si>
  <si>
    <t xml:space="preserve">NMLTE4CS</t>
  </si>
  <si>
    <t xml:space="preserve">4SOUOUKH</t>
  </si>
  <si>
    <t xml:space="preserve">Treequote</t>
  </si>
  <si>
    <t xml:space="preserve">QNB3SCN9</t>
  </si>
  <si>
    <t xml:space="preserve">PYQ3VX08</t>
  </si>
  <si>
    <t xml:space="preserve">Central</t>
  </si>
  <si>
    <t xml:space="preserve">6SMB6SDY</t>
  </si>
  <si>
    <t xml:space="preserve">041Q1IZL</t>
  </si>
  <si>
    <t xml:space="preserve">Green-Plus</t>
  </si>
  <si>
    <t xml:space="preserve">FKVC924F</t>
  </si>
  <si>
    <t xml:space="preserve">LXVCMY4C</t>
  </si>
  <si>
    <t xml:space="preserve">X9L0T199</t>
  </si>
  <si>
    <t xml:space="preserve">TUKHDOGS</t>
  </si>
  <si>
    <t xml:space="preserve">TM70L0W8</t>
  </si>
  <si>
    <t xml:space="preserve">S53EVWFC</t>
  </si>
  <si>
    <t xml:space="preserve">QKW7MDJK</t>
  </si>
  <si>
    <t xml:space="preserve">UIOJX7O0</t>
  </si>
  <si>
    <t xml:space="preserve">Z8Z77GN3</t>
  </si>
  <si>
    <t xml:space="preserve">TLLW2ZRM</t>
  </si>
  <si>
    <t xml:space="preserve">Condax</t>
  </si>
  <si>
    <t xml:space="preserve">RU5X1LZM</t>
  </si>
  <si>
    <t xml:space="preserve">7K1KXMBT</t>
  </si>
  <si>
    <t xml:space="preserve">3ORQ2R0R</t>
  </si>
  <si>
    <t xml:space="preserve">EDM7CEZ6</t>
  </si>
  <si>
    <t xml:space="preserve">Opentech</t>
  </si>
  <si>
    <t xml:space="preserve">XRZNF1LQ</t>
  </si>
  <si>
    <t xml:space="preserve">102XKYAC</t>
  </si>
  <si>
    <t xml:space="preserve">Zotware</t>
  </si>
  <si>
    <t xml:space="preserve">KXR63BV7</t>
  </si>
  <si>
    <t xml:space="preserve">5E274CQS</t>
  </si>
  <si>
    <t xml:space="preserve">EJGRLQP8</t>
  </si>
  <si>
    <t xml:space="preserve">34XWXEQE</t>
  </si>
  <si>
    <t xml:space="preserve">8NG46N94</t>
  </si>
  <si>
    <t xml:space="preserve">LOHJU3OB</t>
  </si>
  <si>
    <t xml:space="preserve">JB60NPU9</t>
  </si>
  <si>
    <t xml:space="preserve">8XY5IA68</t>
  </si>
  <si>
    <t xml:space="preserve">Sonron</t>
  </si>
  <si>
    <t xml:space="preserve">9DY57A6F</t>
  </si>
  <si>
    <t xml:space="preserve">197EQMY8</t>
  </si>
  <si>
    <t xml:space="preserve">4R4QF0ZU</t>
  </si>
  <si>
    <t xml:space="preserve">IDKBZCAF</t>
  </si>
  <si>
    <t xml:space="preserve">7FLPKZN7</t>
  </si>
  <si>
    <t xml:space="preserve">Kan-code</t>
  </si>
  <si>
    <t xml:space="preserve">P8QXRXMR</t>
  </si>
  <si>
    <t xml:space="preserve">G7QIQDSA</t>
  </si>
  <si>
    <t xml:space="preserve">FSYTM6YE</t>
  </si>
  <si>
    <t xml:space="preserve">SMP2K39G</t>
  </si>
  <si>
    <t xml:space="preserve">NS6JLCZ2</t>
  </si>
  <si>
    <t xml:space="preserve">ICR59VIJ</t>
  </si>
  <si>
    <t xml:space="preserve">TQJJDWWH</t>
  </si>
  <si>
    <t xml:space="preserve">XNKIZY9J</t>
  </si>
  <si>
    <t xml:space="preserve">MAH5U65E</t>
  </si>
  <si>
    <t xml:space="preserve">5P4O1IU6</t>
  </si>
  <si>
    <t xml:space="preserve">TZPE6M07</t>
  </si>
  <si>
    <t xml:space="preserve">WK1319MB</t>
  </si>
  <si>
    <t xml:space="preserve">RYNZ2WOK</t>
  </si>
  <si>
    <t xml:space="preserve">Iselectrics</t>
  </si>
  <si>
    <t xml:space="preserve">RW3CJO8D</t>
  </si>
  <si>
    <t xml:space="preserve">8DDR4MUL</t>
  </si>
  <si>
    <t xml:space="preserve">ZGW9SCQ0</t>
  </si>
  <si>
    <t xml:space="preserve">3NC5XSDF</t>
  </si>
  <si>
    <t xml:space="preserve">NBBIFIKB</t>
  </si>
  <si>
    <t xml:space="preserve">8LA72RM8</t>
  </si>
  <si>
    <t xml:space="preserve">Donware</t>
  </si>
  <si>
    <t xml:space="preserve">UU7N7LZK</t>
  </si>
  <si>
    <t xml:space="preserve">WSO3NMK5</t>
  </si>
  <si>
    <t xml:space="preserve">WVKBXWA9</t>
  </si>
  <si>
    <t xml:space="preserve">PSMWYTMB</t>
  </si>
  <si>
    <t xml:space="preserve">Toughzap</t>
  </si>
  <si>
    <t xml:space="preserve">2FM8HJDM</t>
  </si>
  <si>
    <t xml:space="preserve">1LHU0876</t>
  </si>
  <si>
    <t xml:space="preserve">3Q15OHQB</t>
  </si>
  <si>
    <t xml:space="preserve">E2CJIO85</t>
  </si>
  <si>
    <t xml:space="preserve">DYYJW46L</t>
  </si>
  <si>
    <t xml:space="preserve">YQJGEI71</t>
  </si>
  <si>
    <t xml:space="preserve">JJGRAQ2K</t>
  </si>
  <si>
    <t xml:space="preserve">Rangreen</t>
  </si>
  <si>
    <t xml:space="preserve">X7MN9ROG</t>
  </si>
  <si>
    <t xml:space="preserve">P5C842B5</t>
  </si>
  <si>
    <t xml:space="preserve">HN6TZPAF</t>
  </si>
  <si>
    <t xml:space="preserve">T7N0RX05</t>
  </si>
  <si>
    <t xml:space="preserve">NNNEMOZ5</t>
  </si>
  <si>
    <t xml:space="preserve">I5VHXAWW</t>
  </si>
  <si>
    <t xml:space="preserve">Bluth Company</t>
  </si>
  <si>
    <t xml:space="preserve">GQDS81G1</t>
  </si>
  <si>
    <t xml:space="preserve">FZWU2I30</t>
  </si>
  <si>
    <t xml:space="preserve">The New York Inquirer</t>
  </si>
  <si>
    <t xml:space="preserve">1L68AC0E</t>
  </si>
  <si>
    <t xml:space="preserve">Gogozoom</t>
  </si>
  <si>
    <t xml:space="preserve">VVE9HGLD</t>
  </si>
  <si>
    <t xml:space="preserve">ZEYGDEBG</t>
  </si>
  <si>
    <t xml:space="preserve">XSTGL252</t>
  </si>
  <si>
    <t xml:space="preserve">OFC7ZTU8</t>
  </si>
  <si>
    <t xml:space="preserve">BZGJ44FH</t>
  </si>
  <si>
    <t xml:space="preserve">2DY9U1V7</t>
  </si>
  <si>
    <t xml:space="preserve">Konex</t>
  </si>
  <si>
    <t xml:space="preserve">4D0K5T7T</t>
  </si>
  <si>
    <t xml:space="preserve">OMCFUDOU</t>
  </si>
  <si>
    <t xml:space="preserve">N2249A7T</t>
  </si>
  <si>
    <t xml:space="preserve">WJO52I18</t>
  </si>
  <si>
    <t xml:space="preserve">Inity</t>
  </si>
  <si>
    <t xml:space="preserve">SQ71BWHG</t>
  </si>
  <si>
    <t xml:space="preserve">Zencorporation</t>
  </si>
  <si>
    <t xml:space="preserve">ON821ADT</t>
  </si>
  <si>
    <t xml:space="preserve">QD7MU7DD</t>
  </si>
  <si>
    <t xml:space="preserve">C2FSIMZP</t>
  </si>
  <si>
    <t xml:space="preserve">6JBM1ZKO</t>
  </si>
  <si>
    <t xml:space="preserve">D55HTKRU</t>
  </si>
  <si>
    <t xml:space="preserve">Newex</t>
  </si>
  <si>
    <t xml:space="preserve">EP5QRHID</t>
  </si>
  <si>
    <t xml:space="preserve">JIEO87ZV</t>
  </si>
  <si>
    <t xml:space="preserve">OHOWVHYX</t>
  </si>
  <si>
    <t xml:space="preserve">Zoomit</t>
  </si>
  <si>
    <t xml:space="preserve">4S17VJ7O</t>
  </si>
  <si>
    <t xml:space="preserve">HXGDBNAV</t>
  </si>
  <si>
    <t xml:space="preserve">0CR37ETK</t>
  </si>
  <si>
    <t xml:space="preserve">BREOLQD9</t>
  </si>
  <si>
    <t xml:space="preserve">K9KGXL2E</t>
  </si>
  <si>
    <t xml:space="preserve">1MQ3015O</t>
  </si>
  <si>
    <t xml:space="preserve">SU1NDYXR</t>
  </si>
  <si>
    <t xml:space="preserve">Stanredtax</t>
  </si>
  <si>
    <t xml:space="preserve">SY61BAXZ</t>
  </si>
  <si>
    <t xml:space="preserve">Rantouch</t>
  </si>
  <si>
    <t xml:space="preserve">H7GXKD3O</t>
  </si>
  <si>
    <t xml:space="preserve">7P069DNF</t>
  </si>
  <si>
    <t xml:space="preserve">1VFT3UCK</t>
  </si>
  <si>
    <t xml:space="preserve">R2V49PU5</t>
  </si>
  <si>
    <t xml:space="preserve">G03J67Z1</t>
  </si>
  <si>
    <t xml:space="preserve">CN8X0DLA</t>
  </si>
  <si>
    <t xml:space="preserve">TWEVVI99</t>
  </si>
  <si>
    <t xml:space="preserve">Scottech</t>
  </si>
  <si>
    <t xml:space="preserve">0H9C9J03</t>
  </si>
  <si>
    <t xml:space="preserve">WZ3FJA3V</t>
  </si>
  <si>
    <t xml:space="preserve">2F41W100</t>
  </si>
  <si>
    <t xml:space="preserve">OO9U4C0Y</t>
  </si>
  <si>
    <t xml:space="preserve">Y-corporation</t>
  </si>
  <si>
    <t xml:space="preserve">7868JVH9</t>
  </si>
  <si>
    <t xml:space="preserve">6CT660FF</t>
  </si>
  <si>
    <t xml:space="preserve">DZP41ANW</t>
  </si>
  <si>
    <t xml:space="preserve">VKIR68JX</t>
  </si>
  <si>
    <t xml:space="preserve">FH30JK3J</t>
  </si>
  <si>
    <t xml:space="preserve">Ontomedia</t>
  </si>
  <si>
    <t xml:space="preserve">IOPIJ6C6</t>
  </si>
  <si>
    <t xml:space="preserve">NJC4XMEN</t>
  </si>
  <si>
    <t xml:space="preserve">IMLFM79C</t>
  </si>
  <si>
    <t xml:space="preserve">RKOQZJZR</t>
  </si>
  <si>
    <t xml:space="preserve">J-Texon</t>
  </si>
  <si>
    <t xml:space="preserve">Y3AAS62P</t>
  </si>
  <si>
    <t xml:space="preserve">5X3TSUA9</t>
  </si>
  <si>
    <t xml:space="preserve">24K085JJ</t>
  </si>
  <si>
    <t xml:space="preserve">KQ83VL8T</t>
  </si>
  <si>
    <t xml:space="preserve">V1SX6HOD</t>
  </si>
  <si>
    <t xml:space="preserve">61IKUAZI</t>
  </si>
  <si>
    <t xml:space="preserve">Dalttechnology</t>
  </si>
  <si>
    <t xml:space="preserve">JXUSPNPV</t>
  </si>
  <si>
    <t xml:space="preserve">C51GWGUE</t>
  </si>
  <si>
    <t xml:space="preserve">GWOOPZE8</t>
  </si>
  <si>
    <t xml:space="preserve">Cheers</t>
  </si>
  <si>
    <t xml:space="preserve">GXIVJQPG</t>
  </si>
  <si>
    <t xml:space="preserve">Xx-zobam</t>
  </si>
  <si>
    <t xml:space="preserve">RDHTQLNI</t>
  </si>
  <si>
    <t xml:space="preserve">RTWE19SU</t>
  </si>
  <si>
    <t xml:space="preserve">Conecom</t>
  </si>
  <si>
    <t xml:space="preserve">NGTVHTFH</t>
  </si>
  <si>
    <t xml:space="preserve">XGHMOHYQ</t>
  </si>
  <si>
    <t xml:space="preserve">KR22DD8M</t>
  </si>
  <si>
    <t xml:space="preserve">VYR4EWHR</t>
  </si>
  <si>
    <t xml:space="preserve">PODXJ4SP</t>
  </si>
  <si>
    <t xml:space="preserve">Donquadtech</t>
  </si>
  <si>
    <t xml:space="preserve">QPUPBL50</t>
  </si>
  <si>
    <t xml:space="preserve">YB4YJTK4</t>
  </si>
  <si>
    <t xml:space="preserve">P6NQ2LZK</t>
  </si>
  <si>
    <t xml:space="preserve">LKJZEISS</t>
  </si>
  <si>
    <t xml:space="preserve">TGSLH2ZD</t>
  </si>
  <si>
    <t xml:space="preserve">OLXEYM3P</t>
  </si>
  <si>
    <t xml:space="preserve">PTZ9QLEF</t>
  </si>
  <si>
    <t xml:space="preserve">WNTAT1OT</t>
  </si>
  <si>
    <t xml:space="preserve">XBPJ6M4K</t>
  </si>
  <si>
    <t xml:space="preserve">Finhigh</t>
  </si>
  <si>
    <t xml:space="preserve">NUS67BOQ</t>
  </si>
  <si>
    <t xml:space="preserve">RTX8ZJXT</t>
  </si>
  <si>
    <t xml:space="preserve">6C6Z3HRA</t>
  </si>
  <si>
    <t xml:space="preserve">LOQ46F0T</t>
  </si>
  <si>
    <t xml:space="preserve">OGHK250E</t>
  </si>
  <si>
    <t xml:space="preserve">W533W8G6</t>
  </si>
  <si>
    <t xml:space="preserve">H5J7C2FE</t>
  </si>
  <si>
    <t xml:space="preserve">1UW6ILCH</t>
  </si>
  <si>
    <t xml:space="preserve">Bioplex</t>
  </si>
  <si>
    <t xml:space="preserve">X6NSKI7H</t>
  </si>
  <si>
    <t xml:space="preserve">ZPXE49AP</t>
  </si>
  <si>
    <t xml:space="preserve">U1XSUD1P</t>
  </si>
  <si>
    <t xml:space="preserve">OM8LELJW</t>
  </si>
  <si>
    <t xml:space="preserve">S8FODURJ</t>
  </si>
  <si>
    <t xml:space="preserve">Nam-zim</t>
  </si>
  <si>
    <t xml:space="preserve">0558PJL2</t>
  </si>
  <si>
    <t xml:space="preserve">8V5OCDHN</t>
  </si>
  <si>
    <t xml:space="preserve">I35REHYN</t>
  </si>
  <si>
    <t xml:space="preserve">Genco Pura Olive Oil Company</t>
  </si>
  <si>
    <t xml:space="preserve">JBECEURV</t>
  </si>
  <si>
    <t xml:space="preserve">ER0U0TOC</t>
  </si>
  <si>
    <t xml:space="preserve">PAQ6EKHB</t>
  </si>
  <si>
    <t xml:space="preserve">ZBDT3T2H</t>
  </si>
  <si>
    <t xml:space="preserve">K2NPVZL8</t>
  </si>
  <si>
    <t xml:space="preserve">WV2YBM8V</t>
  </si>
  <si>
    <t xml:space="preserve">EM1BA4EK</t>
  </si>
  <si>
    <t xml:space="preserve">Scotfind</t>
  </si>
  <si>
    <t xml:space="preserve">LDJ6VTNW</t>
  </si>
  <si>
    <t xml:space="preserve">L9EVLHSJ</t>
  </si>
  <si>
    <t xml:space="preserve">4O3EPWFR</t>
  </si>
  <si>
    <t xml:space="preserve">QCBO7C6E</t>
  </si>
  <si>
    <t xml:space="preserve">5TCGN3GX</t>
  </si>
  <si>
    <t xml:space="preserve">Y6NI5EBV</t>
  </si>
  <si>
    <t xml:space="preserve">SLILSQJV</t>
  </si>
  <si>
    <t xml:space="preserve">0N11U6L3</t>
  </si>
  <si>
    <t xml:space="preserve">Acme Corporation</t>
  </si>
  <si>
    <t xml:space="preserve">XSEG5T4H</t>
  </si>
  <si>
    <t xml:space="preserve">PMK11X5L</t>
  </si>
  <si>
    <t xml:space="preserve">G1W97XZA</t>
  </si>
  <si>
    <t xml:space="preserve">NXXKM7C7</t>
  </si>
  <si>
    <t xml:space="preserve">Cancity</t>
  </si>
  <si>
    <t xml:space="preserve">62PCN0KS</t>
  </si>
  <si>
    <t xml:space="preserve">J962I0KG</t>
  </si>
  <si>
    <t xml:space="preserve">YMWG4Z3S</t>
  </si>
  <si>
    <t xml:space="preserve">Warephase</t>
  </si>
  <si>
    <t xml:space="preserve">JVF7HZMV</t>
  </si>
  <si>
    <t xml:space="preserve">RS31U03Y</t>
  </si>
  <si>
    <t xml:space="preserve">VL8YNHD7</t>
  </si>
  <si>
    <t xml:space="preserve">PM2BF2KB</t>
  </si>
  <si>
    <t xml:space="preserve">Xx-holding</t>
  </si>
  <si>
    <t xml:space="preserve">IQR162ZT</t>
  </si>
  <si>
    <t xml:space="preserve">TOJ902PF</t>
  </si>
  <si>
    <t xml:space="preserve">Bioholding</t>
  </si>
  <si>
    <t xml:space="preserve">9PDR4X2R</t>
  </si>
  <si>
    <t xml:space="preserve">Hatfan</t>
  </si>
  <si>
    <t xml:space="preserve">Prospecting</t>
  </si>
  <si>
    <t xml:space="preserve">9P9ISECL</t>
  </si>
  <si>
    <t xml:space="preserve">Sumace</t>
  </si>
  <si>
    <t xml:space="preserve">0D8Y5JA0</t>
  </si>
  <si>
    <t xml:space="preserve">GNN53C6D</t>
  </si>
  <si>
    <t xml:space="preserve">6KHIXTAD</t>
  </si>
  <si>
    <t xml:space="preserve">2SZX9B7J</t>
  </si>
  <si>
    <t xml:space="preserve">Sunnamplex</t>
  </si>
  <si>
    <t xml:space="preserve">0ZG6U7MQ</t>
  </si>
  <si>
    <t xml:space="preserve">KQPNPH8A</t>
  </si>
  <si>
    <t xml:space="preserve">SGI0VM1F</t>
  </si>
  <si>
    <t xml:space="preserve">XETF5BVH</t>
  </si>
  <si>
    <t xml:space="preserve">Finjob</t>
  </si>
  <si>
    <t xml:space="preserve">FU2PQZR4</t>
  </si>
  <si>
    <t xml:space="preserve">CVMNBKGH</t>
  </si>
  <si>
    <t xml:space="preserve">LZW4N9KF</t>
  </si>
  <si>
    <t xml:space="preserve">Zathunicon</t>
  </si>
  <si>
    <t xml:space="preserve">A4TA5P1B</t>
  </si>
  <si>
    <t xml:space="preserve">KIKV29M0</t>
  </si>
  <si>
    <t xml:space="preserve">PCXGIH9X</t>
  </si>
  <si>
    <t xml:space="preserve">ODSFN0YA</t>
  </si>
  <si>
    <t xml:space="preserve">6RQUXORL</t>
  </si>
  <si>
    <t xml:space="preserve">74LCNGIK</t>
  </si>
  <si>
    <t xml:space="preserve">28EJ0L9T</t>
  </si>
  <si>
    <t xml:space="preserve">UH9TR8Y1</t>
  </si>
  <si>
    <t xml:space="preserve">JVXGG70X</t>
  </si>
  <si>
    <t xml:space="preserve">9RGWSKNU</t>
  </si>
  <si>
    <t xml:space="preserve">49T7VKA7</t>
  </si>
  <si>
    <t xml:space="preserve">Plussunin</t>
  </si>
  <si>
    <t xml:space="preserve">BTDY3DHP</t>
  </si>
  <si>
    <t xml:space="preserve">Vehement Capital Partners</t>
  </si>
  <si>
    <t xml:space="preserve">UZ7DU3D9</t>
  </si>
  <si>
    <t xml:space="preserve">73CWPT9H</t>
  </si>
  <si>
    <t xml:space="preserve">B7KZYEII</t>
  </si>
  <si>
    <t xml:space="preserve">67CBAWHG</t>
  </si>
  <si>
    <t xml:space="preserve">2WTPSQTN</t>
  </si>
  <si>
    <t xml:space="preserve">V5PKXYWS</t>
  </si>
  <si>
    <t xml:space="preserve">OAMIMSUU</t>
  </si>
  <si>
    <t xml:space="preserve">B26TNOGQ</t>
  </si>
  <si>
    <t xml:space="preserve">Silis</t>
  </si>
  <si>
    <t xml:space="preserve">QN1UL4N3</t>
  </si>
  <si>
    <t xml:space="preserve">FW2CVY2X</t>
  </si>
  <si>
    <t xml:space="preserve">F14T88OP</t>
  </si>
  <si>
    <t xml:space="preserve">BVRUBA3A</t>
  </si>
  <si>
    <t xml:space="preserve">5JS1Z5BQ</t>
  </si>
  <si>
    <t xml:space="preserve">5EUHU5AF</t>
  </si>
  <si>
    <t xml:space="preserve">F11IGBLD</t>
  </si>
  <si>
    <t xml:space="preserve">CC70D9SD</t>
  </si>
  <si>
    <t xml:space="preserve">7MKYTX69</t>
  </si>
  <si>
    <t xml:space="preserve">DDHNCZMO</t>
  </si>
  <si>
    <t xml:space="preserve">Z99W80UY</t>
  </si>
  <si>
    <t xml:space="preserve">K8ITR8PA</t>
  </si>
  <si>
    <t xml:space="preserve">ZXNPF7PL</t>
  </si>
  <si>
    <t xml:space="preserve">NKFG3KKP</t>
  </si>
  <si>
    <t xml:space="preserve">MYD4PBM9</t>
  </si>
  <si>
    <t xml:space="preserve">5WAKI1NB</t>
  </si>
  <si>
    <t xml:space="preserve">F761DF0M</t>
  </si>
  <si>
    <t xml:space="preserve">ORYORRQV</t>
  </si>
  <si>
    <t xml:space="preserve">Hottechi</t>
  </si>
  <si>
    <t xml:space="preserve">NGG8O0JX</t>
  </si>
  <si>
    <t xml:space="preserve">4ZKFSG5F</t>
  </si>
  <si>
    <t xml:space="preserve">RYWETTBK</t>
  </si>
  <si>
    <t xml:space="preserve">Fasehatice</t>
  </si>
  <si>
    <t xml:space="preserve">GL2FM1RM</t>
  </si>
  <si>
    <t xml:space="preserve">HWOBBZWQ</t>
  </si>
  <si>
    <t xml:space="preserve">OYH46MQB</t>
  </si>
  <si>
    <t xml:space="preserve">31IV2B9O</t>
  </si>
  <si>
    <t xml:space="preserve">7EHJYKWE</t>
  </si>
  <si>
    <t xml:space="preserve">E1LFK6E3</t>
  </si>
  <si>
    <t xml:space="preserve">RN67OVFW</t>
  </si>
  <si>
    <t xml:space="preserve">MA56XGWR</t>
  </si>
  <si>
    <t xml:space="preserve">J9PCNCUP</t>
  </si>
  <si>
    <t xml:space="preserve">Golddex</t>
  </si>
  <si>
    <t xml:space="preserve">W4XB23IP</t>
  </si>
  <si>
    <t xml:space="preserve">J1G2SZKD</t>
  </si>
  <si>
    <t xml:space="preserve">L8XNQONA</t>
  </si>
  <si>
    <t xml:space="preserve">LC93MVYP</t>
  </si>
  <si>
    <t xml:space="preserve">GMY4U7RD</t>
  </si>
  <si>
    <t xml:space="preserve">J5BCAQ1Z</t>
  </si>
  <si>
    <t xml:space="preserve">SYP74C5W</t>
  </si>
  <si>
    <t xml:space="preserve">R0Q5BZ9Y</t>
  </si>
  <si>
    <t xml:space="preserve">Blackzim</t>
  </si>
  <si>
    <t xml:space="preserve">OT0GOR3I</t>
  </si>
  <si>
    <t xml:space="preserve">6RN7I8ZF</t>
  </si>
  <si>
    <t xml:space="preserve">YBWUG6QP</t>
  </si>
  <si>
    <t xml:space="preserve">8XE8GGIW</t>
  </si>
  <si>
    <t xml:space="preserve">IHKIAB1W</t>
  </si>
  <si>
    <t xml:space="preserve">Dontechi</t>
  </si>
  <si>
    <t xml:space="preserve">YKBJP191</t>
  </si>
  <si>
    <t xml:space="preserve">Faxquote</t>
  </si>
  <si>
    <t xml:space="preserve">P7UPCSTC</t>
  </si>
  <si>
    <t xml:space="preserve">GEQ8IGKW</t>
  </si>
  <si>
    <t xml:space="preserve">EYR5E7LO</t>
  </si>
  <si>
    <t xml:space="preserve">LO8L5ELD</t>
  </si>
  <si>
    <t xml:space="preserve">S1U1RD6K</t>
  </si>
  <si>
    <t xml:space="preserve">R6HYAPR6</t>
  </si>
  <si>
    <t xml:space="preserve">A8NXNY0M</t>
  </si>
  <si>
    <t xml:space="preserve">Plusstrip</t>
  </si>
  <si>
    <t xml:space="preserve">4ROECHG6</t>
  </si>
  <si>
    <t xml:space="preserve">Ron-tech</t>
  </si>
  <si>
    <t xml:space="preserve">FVVATY89</t>
  </si>
  <si>
    <t xml:space="preserve">BV75OM0B</t>
  </si>
  <si>
    <t xml:space="preserve">Rundofase</t>
  </si>
  <si>
    <t xml:space="preserve">ZGTCQT1A</t>
  </si>
  <si>
    <t xml:space="preserve">GR8JTX1T</t>
  </si>
  <si>
    <t xml:space="preserve">2IRZM0LB</t>
  </si>
  <si>
    <t xml:space="preserve">99YRLZM0</t>
  </si>
  <si>
    <t xml:space="preserve">Yearin</t>
  </si>
  <si>
    <t xml:space="preserve">VJILDVVF</t>
  </si>
  <si>
    <t xml:space="preserve">A9DGDN56</t>
  </si>
  <si>
    <t xml:space="preserve">D01U08PR</t>
  </si>
  <si>
    <t xml:space="preserve">Zumgoity</t>
  </si>
  <si>
    <t xml:space="preserve">LFD1ZGJ8</t>
  </si>
  <si>
    <t xml:space="preserve">4YJKB8EC</t>
  </si>
  <si>
    <t xml:space="preserve">DIGG7U6M</t>
  </si>
  <si>
    <t xml:space="preserve">VMXGBINH</t>
  </si>
  <si>
    <t xml:space="preserve">N6BT2U29</t>
  </si>
  <si>
    <t xml:space="preserve">T12MT0HL</t>
  </si>
  <si>
    <t xml:space="preserve">HZVVOITE</t>
  </si>
  <si>
    <t xml:space="preserve">P6Z4X54S</t>
  </si>
  <si>
    <t xml:space="preserve">910NLQ80</t>
  </si>
  <si>
    <t xml:space="preserve">8IPMP8NT</t>
  </si>
  <si>
    <t xml:space="preserve">7YOJ4KU7</t>
  </si>
  <si>
    <t xml:space="preserve">3K70RL7Q</t>
  </si>
  <si>
    <t xml:space="preserve">DX1M0XF0</t>
  </si>
  <si>
    <t xml:space="preserve">5MNF16D8</t>
  </si>
  <si>
    <t xml:space="preserve">PES548QV</t>
  </si>
  <si>
    <t xml:space="preserve">XGMTNND1</t>
  </si>
  <si>
    <t xml:space="preserve">6R94B0SG</t>
  </si>
  <si>
    <t xml:space="preserve">8JL58ECD</t>
  </si>
  <si>
    <t xml:space="preserve">KO7JWXCT</t>
  </si>
  <si>
    <t xml:space="preserve">FGSBCJSC</t>
  </si>
  <si>
    <t xml:space="preserve">65SMA4OZ</t>
  </si>
  <si>
    <t xml:space="preserve">537X47QY</t>
  </si>
  <si>
    <t xml:space="preserve">D95K3R9N</t>
  </si>
  <si>
    <t xml:space="preserve">51HOGHF0</t>
  </si>
  <si>
    <t xml:space="preserve">PRUFERA6</t>
  </si>
  <si>
    <t xml:space="preserve">NST2FEF3</t>
  </si>
  <si>
    <t xml:space="preserve">BBV196A3</t>
  </si>
  <si>
    <t xml:space="preserve">E4YR0OE6</t>
  </si>
  <si>
    <t xml:space="preserve">EJCPWP6V</t>
  </si>
  <si>
    <t xml:space="preserve">BJE7KCZ1</t>
  </si>
  <si>
    <t xml:space="preserve">TK9J8AOZ</t>
  </si>
  <si>
    <t xml:space="preserve">XARW0KTX</t>
  </si>
  <si>
    <t xml:space="preserve">0C34Z5UZ</t>
  </si>
  <si>
    <t xml:space="preserve">OA3RDG12</t>
  </si>
  <si>
    <t xml:space="preserve">847RHYQE</t>
  </si>
  <si>
    <t xml:space="preserve">9R8AKL0D</t>
  </si>
  <si>
    <t xml:space="preserve">R14YE68N</t>
  </si>
  <si>
    <t xml:space="preserve">8RQCHZ5O</t>
  </si>
  <si>
    <t xml:space="preserve">90KRHC6T</t>
  </si>
  <si>
    <t xml:space="preserve">8NLGRTU5</t>
  </si>
  <si>
    <t xml:space="preserve">QMRDG7WP</t>
  </si>
  <si>
    <t xml:space="preserve">F0K8UDEG</t>
  </si>
  <si>
    <t xml:space="preserve">NUEPXB8Z</t>
  </si>
  <si>
    <t xml:space="preserve">FBDS7GIZ</t>
  </si>
  <si>
    <t xml:space="preserve">0BQTT5UF</t>
  </si>
  <si>
    <t xml:space="preserve">M7UNLZEP</t>
  </si>
  <si>
    <t xml:space="preserve">EG7S6ZOI</t>
  </si>
  <si>
    <t xml:space="preserve">UND13JS5</t>
  </si>
  <si>
    <t xml:space="preserve">HFVWQIMF</t>
  </si>
  <si>
    <t xml:space="preserve">9YLUGU6I</t>
  </si>
  <si>
    <t xml:space="preserve">SAUIIUTV</t>
  </si>
  <si>
    <t xml:space="preserve">B5H6M7AP</t>
  </si>
  <si>
    <t xml:space="preserve">G4B3UCWQ</t>
  </si>
  <si>
    <t xml:space="preserve">8O212QCV</t>
  </si>
  <si>
    <t xml:space="preserve">X2REWR7J</t>
  </si>
  <si>
    <t xml:space="preserve">WTD6O2OR</t>
  </si>
  <si>
    <t xml:space="preserve">OEG8QG42</t>
  </si>
  <si>
    <t xml:space="preserve">BG0BLC6S</t>
  </si>
  <si>
    <t xml:space="preserve">5Q2BX622</t>
  </si>
  <si>
    <t xml:space="preserve">RSY2XLKK</t>
  </si>
  <si>
    <t xml:space="preserve">Streethex</t>
  </si>
  <si>
    <t xml:space="preserve">FEEOZHT8</t>
  </si>
  <si>
    <t xml:space="preserve">D382N39B</t>
  </si>
  <si>
    <t xml:space="preserve">YYUJ1DCF</t>
  </si>
  <si>
    <t xml:space="preserve">OH0HJ6KK</t>
  </si>
  <si>
    <t xml:space="preserve">5TGQL49J</t>
  </si>
  <si>
    <t xml:space="preserve">Y7WAFW9D</t>
  </si>
  <si>
    <t xml:space="preserve">I8NC3RFB</t>
  </si>
  <si>
    <t xml:space="preserve">IAV71BEX</t>
  </si>
  <si>
    <t xml:space="preserve">Singletechno</t>
  </si>
  <si>
    <t xml:space="preserve">SJE81OUR</t>
  </si>
  <si>
    <t xml:space="preserve">R0MBBXL8</t>
  </si>
  <si>
    <t xml:space="preserve">NR2EDMKC</t>
  </si>
  <si>
    <t xml:space="preserve">SU8FTFLS</t>
  </si>
  <si>
    <t xml:space="preserve">61GDYW9T</t>
  </si>
  <si>
    <t xml:space="preserve">TFCQZ28G</t>
  </si>
  <si>
    <t xml:space="preserve">IXW68X6Z</t>
  </si>
  <si>
    <t xml:space="preserve">F77XD7IZ</t>
  </si>
  <si>
    <t xml:space="preserve">EJUQOEY5</t>
  </si>
  <si>
    <t xml:space="preserve">Bubba Gump</t>
  </si>
  <si>
    <t xml:space="preserve">9HA8VBAP</t>
  </si>
  <si>
    <t xml:space="preserve">X4THRRSJ</t>
  </si>
  <si>
    <t xml:space="preserve">3PN3YSPK</t>
  </si>
  <si>
    <t xml:space="preserve">F6AOT0NK</t>
  </si>
  <si>
    <t xml:space="preserve">YI92HVHO</t>
  </si>
  <si>
    <t xml:space="preserve">39NJ6UC9</t>
  </si>
  <si>
    <t xml:space="preserve">1XR36ESV</t>
  </si>
  <si>
    <t xml:space="preserve">J5IXJWVU</t>
  </si>
  <si>
    <t xml:space="preserve">KFSKQ291</t>
  </si>
  <si>
    <t xml:space="preserve">ZT1234V3</t>
  </si>
  <si>
    <t xml:space="preserve">JQBN7PXK</t>
  </si>
  <si>
    <t xml:space="preserve">J5IF7CT6</t>
  </si>
  <si>
    <t xml:space="preserve">AAQ5H36J</t>
  </si>
  <si>
    <t xml:space="preserve">37PEZCGO</t>
  </si>
  <si>
    <t xml:space="preserve">X9NUTLTR</t>
  </si>
  <si>
    <t xml:space="preserve">L5PS6S68</t>
  </si>
  <si>
    <t xml:space="preserve">JLZCOLIE</t>
  </si>
  <si>
    <t xml:space="preserve">CGRMC7OE</t>
  </si>
  <si>
    <t xml:space="preserve">ZKJIVMSG</t>
  </si>
  <si>
    <t xml:space="preserve">3TMNC3GW</t>
  </si>
  <si>
    <t xml:space="preserve">Kinnamplus</t>
  </si>
  <si>
    <t xml:space="preserve">P25KLAD2</t>
  </si>
  <si>
    <t xml:space="preserve">NDJBDONI</t>
  </si>
  <si>
    <t xml:space="preserve">94ZZLWOH</t>
  </si>
  <si>
    <t xml:space="preserve">KKUHAY4O</t>
  </si>
  <si>
    <t xml:space="preserve">4V17GRKW</t>
  </si>
  <si>
    <t xml:space="preserve">EOJHYLXG</t>
  </si>
  <si>
    <t xml:space="preserve">4XQ43RJW</t>
  </si>
  <si>
    <t xml:space="preserve">MJK3UJ1B</t>
  </si>
  <si>
    <t xml:space="preserve">44JDHBI8</t>
  </si>
  <si>
    <t xml:space="preserve">MI3MV7PU</t>
  </si>
  <si>
    <t xml:space="preserve">A8PVW8RI</t>
  </si>
  <si>
    <t xml:space="preserve">S4V0T890</t>
  </si>
  <si>
    <t xml:space="preserve">AP74NF6M</t>
  </si>
  <si>
    <t xml:space="preserve">WJ7HDR4Q</t>
  </si>
  <si>
    <t xml:space="preserve">F1NWH30L</t>
  </si>
  <si>
    <t xml:space="preserve">7KQAH6UI</t>
  </si>
  <si>
    <t xml:space="preserve">2NO97U9Z</t>
  </si>
  <si>
    <t xml:space="preserve">BKI3OLP8</t>
  </si>
  <si>
    <t xml:space="preserve">KTSP63I0</t>
  </si>
  <si>
    <t xml:space="preserve">EL09RK8X</t>
  </si>
  <si>
    <t xml:space="preserve">Y9EBNML6</t>
  </si>
  <si>
    <t xml:space="preserve">9H2V1F1E</t>
  </si>
  <si>
    <t xml:space="preserve">Funholding</t>
  </si>
  <si>
    <t xml:space="preserve">2872DC79</t>
  </si>
  <si>
    <t xml:space="preserve">OYRF34VN</t>
  </si>
  <si>
    <t xml:space="preserve">HP8IWA1E</t>
  </si>
  <si>
    <t xml:space="preserve">M5ZYQFGR</t>
  </si>
  <si>
    <t xml:space="preserve">0CECGPEJ</t>
  </si>
  <si>
    <t xml:space="preserve">D6YEYMJC</t>
  </si>
  <si>
    <t xml:space="preserve">RLDCYEJU</t>
  </si>
  <si>
    <t xml:space="preserve">BIN9U8D9</t>
  </si>
  <si>
    <t xml:space="preserve">8O98HGMW</t>
  </si>
  <si>
    <t xml:space="preserve">SRYX0U85</t>
  </si>
  <si>
    <t xml:space="preserve">YVFK9Q0W</t>
  </si>
  <si>
    <t xml:space="preserve">PF7M8CG2</t>
  </si>
  <si>
    <t xml:space="preserve">FCNN6UY0</t>
  </si>
  <si>
    <t xml:space="preserve">Ganjaflex</t>
  </si>
  <si>
    <t xml:space="preserve">8M2O0Q8V</t>
  </si>
  <si>
    <t xml:space="preserve">WNWI8RJU</t>
  </si>
  <si>
    <t xml:space="preserve">4H6DFFO4</t>
  </si>
  <si>
    <t xml:space="preserve">IUM2FVA1</t>
  </si>
  <si>
    <t xml:space="preserve">9MIWFW5J</t>
  </si>
  <si>
    <t xml:space="preserve">6SLKZ8FI</t>
  </si>
  <si>
    <t xml:space="preserve">LIB4KUZJ</t>
  </si>
  <si>
    <t xml:space="preserve">18IUIUK0</t>
  </si>
  <si>
    <t xml:space="preserve">8I5ONXJX</t>
  </si>
  <si>
    <t xml:space="preserve">HCQK8NQ8</t>
  </si>
  <si>
    <t xml:space="preserve">B08R55ET</t>
  </si>
  <si>
    <t xml:space="preserve">W1XRTUT2</t>
  </si>
  <si>
    <t xml:space="preserve">V7W8CA47</t>
  </si>
  <si>
    <t xml:space="preserve">QJ1DIUN7</t>
  </si>
  <si>
    <t xml:space="preserve">L4R7LDY1</t>
  </si>
  <si>
    <t xml:space="preserve">NZJXKD9H</t>
  </si>
  <si>
    <t xml:space="preserve">9D43V124</t>
  </si>
  <si>
    <t xml:space="preserve">Mathtouch</t>
  </si>
  <si>
    <t xml:space="preserve">RFQFJLNJ</t>
  </si>
  <si>
    <t xml:space="preserve">23J295J4</t>
  </si>
  <si>
    <t xml:space="preserve">8P3O8A9H</t>
  </si>
  <si>
    <t xml:space="preserve">0XYUJ7HF</t>
  </si>
  <si>
    <t xml:space="preserve">Isdom</t>
  </si>
  <si>
    <t xml:space="preserve">VGSH1TSW</t>
  </si>
  <si>
    <t xml:space="preserve">8PLXH354</t>
  </si>
  <si>
    <t xml:space="preserve">TCJA7XF2</t>
  </si>
  <si>
    <t xml:space="preserve">R65LGLJ0</t>
  </si>
  <si>
    <t xml:space="preserve">XXD7OQOH</t>
  </si>
  <si>
    <t xml:space="preserve">LMU41E2W</t>
  </si>
  <si>
    <t xml:space="preserve">1Y58TSUU</t>
  </si>
  <si>
    <t xml:space="preserve">ASZNII2J</t>
  </si>
  <si>
    <t xml:space="preserve">JKAYQ4HQ</t>
  </si>
  <si>
    <t xml:space="preserve">GRYHHER0</t>
  </si>
  <si>
    <t xml:space="preserve">YPM5PZMD</t>
  </si>
  <si>
    <t xml:space="preserve">WEES59KH</t>
  </si>
  <si>
    <t xml:space="preserve">95YT659K</t>
  </si>
  <si>
    <t xml:space="preserve">Groovestreet</t>
  </si>
  <si>
    <t xml:space="preserve">QEZ2X87C</t>
  </si>
  <si>
    <t xml:space="preserve">H0RRUQZ6</t>
  </si>
  <si>
    <t xml:space="preserve">XT8HCGAD</t>
  </si>
  <si>
    <t xml:space="preserve">WIQQUZRQ</t>
  </si>
  <si>
    <t xml:space="preserve">S2XTTF3B</t>
  </si>
  <si>
    <t xml:space="preserve">EQ0PLA0O</t>
  </si>
  <si>
    <t xml:space="preserve">HJY0TQ7X</t>
  </si>
  <si>
    <t xml:space="preserve">5F1RM2YM</t>
  </si>
  <si>
    <t xml:space="preserve">D9MZMDOL</t>
  </si>
  <si>
    <t xml:space="preserve">EJVD09HQ</t>
  </si>
  <si>
    <t xml:space="preserve">LZ3B174J</t>
  </si>
  <si>
    <t xml:space="preserve">MG1YUTUE</t>
  </si>
  <si>
    <t xml:space="preserve">Q9UWOC28</t>
  </si>
  <si>
    <t xml:space="preserve">YL29KX3L</t>
  </si>
  <si>
    <t xml:space="preserve">OJDZN6UK</t>
  </si>
  <si>
    <t xml:space="preserve">OM60BJ4S</t>
  </si>
  <si>
    <t xml:space="preserve">I79B9KJ2</t>
  </si>
  <si>
    <t xml:space="preserve">LABZ0UGB</t>
  </si>
  <si>
    <t xml:space="preserve">3R4W7ZVY</t>
  </si>
  <si>
    <t xml:space="preserve">VAM56BG4</t>
  </si>
  <si>
    <t xml:space="preserve">ZTCQWF53</t>
  </si>
  <si>
    <t xml:space="preserve">LKDSEQ2Q</t>
  </si>
  <si>
    <t xml:space="preserve">I2LEEFAM</t>
  </si>
  <si>
    <t xml:space="preserve">1LWG4COF</t>
  </si>
  <si>
    <t xml:space="preserve">FEL7FQQG</t>
  </si>
  <si>
    <t xml:space="preserve">0TQP0E65</t>
  </si>
  <si>
    <t xml:space="preserve">P95E1DOX</t>
  </si>
  <si>
    <t xml:space="preserve">JCRT0QHO</t>
  </si>
  <si>
    <t xml:space="preserve">MTGV7WOM</t>
  </si>
  <si>
    <t xml:space="preserve">IEMOIN3K</t>
  </si>
  <si>
    <t xml:space="preserve">XTXMQMRC</t>
  </si>
  <si>
    <t xml:space="preserve">OQX98BBL</t>
  </si>
  <si>
    <t xml:space="preserve">RH0FJYPZ</t>
  </si>
  <si>
    <t xml:space="preserve">HD6YD6P9</t>
  </si>
  <si>
    <t xml:space="preserve">64OXRCSR</t>
  </si>
  <si>
    <t xml:space="preserve">EG3X1ACF</t>
  </si>
  <si>
    <t xml:space="preserve">TJ64MOUR</t>
  </si>
  <si>
    <t xml:space="preserve">FY0SHNZY</t>
  </si>
  <si>
    <t xml:space="preserve">V2V69I86</t>
  </si>
  <si>
    <t xml:space="preserve">OAECXU4A</t>
  </si>
  <si>
    <t xml:space="preserve">TLJWMKEO</t>
  </si>
  <si>
    <t xml:space="preserve">NXJNQ3Z9</t>
  </si>
  <si>
    <t xml:space="preserve">HWKJ7TFJ</t>
  </si>
  <si>
    <t xml:space="preserve">Q62STRQQ</t>
  </si>
  <si>
    <t xml:space="preserve">9P9J2ANM</t>
  </si>
  <si>
    <t xml:space="preserve">OJWGRIXN</t>
  </si>
  <si>
    <t xml:space="preserve">EB393LSH</t>
  </si>
  <si>
    <t xml:space="preserve">566X0PLZ</t>
  </si>
  <si>
    <t xml:space="preserve">SFR7RG9V</t>
  </si>
  <si>
    <t xml:space="preserve">ARBTXSEH</t>
  </si>
  <si>
    <t xml:space="preserve">Globex Corporation</t>
  </si>
  <si>
    <t xml:space="preserve">P4D8H19O</t>
  </si>
  <si>
    <t xml:space="preserve">UD1GNRL4</t>
  </si>
  <si>
    <t xml:space="preserve">B2YZJ212</t>
  </si>
  <si>
    <t xml:space="preserve">94DGJSLN</t>
  </si>
  <si>
    <t xml:space="preserve">IRTO8ZJW</t>
  </si>
  <si>
    <t xml:space="preserve">W2K1S9N3</t>
  </si>
  <si>
    <t xml:space="preserve">U0U1RIMI</t>
  </si>
  <si>
    <t xml:space="preserve">ZTFYF8PV</t>
  </si>
  <si>
    <t xml:space="preserve">Q620I4AZ</t>
  </si>
  <si>
    <t xml:space="preserve">L7PPTHLF</t>
  </si>
  <si>
    <t xml:space="preserve">8U9CA21G</t>
  </si>
  <si>
    <t xml:space="preserve">I43F0Z77</t>
  </si>
  <si>
    <t xml:space="preserve">YYMKOAVY</t>
  </si>
  <si>
    <t xml:space="preserve">0HR4TEU4</t>
  </si>
  <si>
    <t xml:space="preserve">O8JCYJSV</t>
  </si>
  <si>
    <t xml:space="preserve">FMRVHL9O</t>
  </si>
  <si>
    <t xml:space="preserve">YMI68O7S</t>
  </si>
  <si>
    <t xml:space="preserve">VUFZB941</t>
  </si>
  <si>
    <t xml:space="preserve">EABYCHB3</t>
  </si>
  <si>
    <t xml:space="preserve">6Z6DMG2V</t>
  </si>
  <si>
    <t xml:space="preserve">BZ96Z7AI</t>
  </si>
  <si>
    <t xml:space="preserve">QY7GTG6Y</t>
  </si>
  <si>
    <t xml:space="preserve">VZ28EXFN</t>
  </si>
  <si>
    <t xml:space="preserve">KOPIWJO5</t>
  </si>
  <si>
    <t xml:space="preserve">465ZW6J2</t>
  </si>
  <si>
    <t xml:space="preserve">1HD5JJM3</t>
  </si>
  <si>
    <t xml:space="preserve">NWPSEF2I</t>
  </si>
  <si>
    <t xml:space="preserve">0E8D6TCQ</t>
  </si>
  <si>
    <t xml:space="preserve">MNCY3CKD</t>
  </si>
  <si>
    <t xml:space="preserve">E0S2ZL6X</t>
  </si>
  <si>
    <t xml:space="preserve">XT9QCG8T</t>
  </si>
  <si>
    <t xml:space="preserve">52WACRCG</t>
  </si>
  <si>
    <t xml:space="preserve">0PXJYUT7</t>
  </si>
  <si>
    <t xml:space="preserve">D45LXDPW</t>
  </si>
  <si>
    <t xml:space="preserve">C5B5WBY9</t>
  </si>
  <si>
    <t xml:space="preserve">6IO91583</t>
  </si>
  <si>
    <t xml:space="preserve">06C1N1F7</t>
  </si>
  <si>
    <t xml:space="preserve">MIA65OVY</t>
  </si>
  <si>
    <t xml:space="preserve">O691ZXXH</t>
  </si>
  <si>
    <t xml:space="preserve">QDBJOE9M</t>
  </si>
  <si>
    <t xml:space="preserve">0HUWQWOJ</t>
  </si>
  <si>
    <t xml:space="preserve">8SLDCS0F</t>
  </si>
  <si>
    <t xml:space="preserve">RVUJPYY8</t>
  </si>
  <si>
    <t xml:space="preserve">B2FSFXKA</t>
  </si>
  <si>
    <t xml:space="preserve">W72TPY7P</t>
  </si>
  <si>
    <t xml:space="preserve">S7UVZXM3</t>
  </si>
  <si>
    <t xml:space="preserve">W5FH95XO</t>
  </si>
  <si>
    <t xml:space="preserve">O1SCOU11</t>
  </si>
  <si>
    <t xml:space="preserve">854QZNWK</t>
  </si>
  <si>
    <t xml:space="preserve">46UHJGY0</t>
  </si>
  <si>
    <t xml:space="preserve">IBB0VGUN</t>
  </si>
  <si>
    <t xml:space="preserve">1BW8S7JD</t>
  </si>
  <si>
    <t xml:space="preserve">0KWYQTQQ</t>
  </si>
  <si>
    <t xml:space="preserve">7XRWWM0X</t>
  </si>
  <si>
    <t xml:space="preserve">PQ84ANKD</t>
  </si>
  <si>
    <t xml:space="preserve">PV3TH2FF</t>
  </si>
  <si>
    <t xml:space="preserve">4ZQTMS3Z</t>
  </si>
  <si>
    <t xml:space="preserve">7S8SLZDY</t>
  </si>
  <si>
    <t xml:space="preserve">07GUKIG3</t>
  </si>
  <si>
    <t xml:space="preserve">6CWZFOHJ</t>
  </si>
  <si>
    <t xml:space="preserve">3LCLVRVV</t>
  </si>
  <si>
    <t xml:space="preserve">YIU1B39V</t>
  </si>
  <si>
    <t xml:space="preserve">8E0VRCLW</t>
  </si>
  <si>
    <t xml:space="preserve">G99CS23F</t>
  </si>
  <si>
    <t xml:space="preserve">XRJ54GNR</t>
  </si>
  <si>
    <t xml:space="preserve">GR9S7VHI</t>
  </si>
  <si>
    <t xml:space="preserve">38K5251H</t>
  </si>
  <si>
    <t xml:space="preserve">QR63ME8L</t>
  </si>
  <si>
    <t xml:space="preserve">LEJWV2Y5</t>
  </si>
  <si>
    <t xml:space="preserve">CAONNFXN</t>
  </si>
  <si>
    <t xml:space="preserve">R8V3ALA8</t>
  </si>
  <si>
    <t xml:space="preserve">CPEYUW7V</t>
  </si>
  <si>
    <t xml:space="preserve">5ZATE1WV</t>
  </si>
  <si>
    <t xml:space="preserve">R1HFBU5H</t>
  </si>
  <si>
    <t xml:space="preserve">03P9VXWG</t>
  </si>
  <si>
    <t xml:space="preserve">RMJG8OS2</t>
  </si>
  <si>
    <t xml:space="preserve">9L0WKMJ2</t>
  </si>
  <si>
    <t xml:space="preserve">RJ21Q4HO</t>
  </si>
  <si>
    <t xml:space="preserve">NSYCCHCJ</t>
  </si>
  <si>
    <t xml:space="preserve">ATOYVLLB</t>
  </si>
  <si>
    <t xml:space="preserve">0M4K6F8Q</t>
  </si>
  <si>
    <t xml:space="preserve">TN4KM3D1</t>
  </si>
  <si>
    <t xml:space="preserve">OIIFWY81</t>
  </si>
  <si>
    <t xml:space="preserve">WE2CEE8A</t>
  </si>
  <si>
    <t xml:space="preserve">NT38RBZY</t>
  </si>
  <si>
    <t xml:space="preserve">0XVL2UMH</t>
  </si>
  <si>
    <t xml:space="preserve">UFZFCBOS</t>
  </si>
  <si>
    <t xml:space="preserve">2BD1SDBX</t>
  </si>
  <si>
    <t xml:space="preserve">AE3YDLK3</t>
  </si>
  <si>
    <t xml:space="preserve">C54CWZIT</t>
  </si>
  <si>
    <t xml:space="preserve">D00AN5HY</t>
  </si>
  <si>
    <t xml:space="preserve">E6798P2J</t>
  </si>
  <si>
    <t xml:space="preserve">MR08TTTT</t>
  </si>
  <si>
    <t xml:space="preserve">7UVKZD60</t>
  </si>
  <si>
    <t xml:space="preserve">0RLU8I9Q</t>
  </si>
  <si>
    <t xml:space="preserve">ZT163LH3</t>
  </si>
  <si>
    <t xml:space="preserve">8Y3OMER4</t>
  </si>
  <si>
    <t xml:space="preserve">OQ1P1OLH</t>
  </si>
  <si>
    <t xml:space="preserve">UY93W9NZ</t>
  </si>
  <si>
    <t xml:space="preserve">NVH71LD4</t>
  </si>
  <si>
    <t xml:space="preserve">XVQ3OA99</t>
  </si>
  <si>
    <t xml:space="preserve">DJDJ5A58</t>
  </si>
  <si>
    <t xml:space="preserve">22TUMCKT</t>
  </si>
  <si>
    <t xml:space="preserve">0KSK9O00</t>
  </si>
  <si>
    <t xml:space="preserve">76WK0KFZ</t>
  </si>
  <si>
    <t xml:space="preserve">IMN2GUYV</t>
  </si>
  <si>
    <t xml:space="preserve">Statholdings</t>
  </si>
  <si>
    <t xml:space="preserve">9HFEMESD</t>
  </si>
  <si>
    <t xml:space="preserve">00400B1S</t>
  </si>
  <si>
    <t xml:space="preserve">PELBIQ95</t>
  </si>
  <si>
    <t xml:space="preserve">HLE798LQ</t>
  </si>
  <si>
    <t xml:space="preserve">NB67WD27</t>
  </si>
  <si>
    <t xml:space="preserve">2RQOUJ9V</t>
  </si>
  <si>
    <t xml:space="preserve">6KW4PU0S</t>
  </si>
  <si>
    <t xml:space="preserve">Y533QVR5</t>
  </si>
  <si>
    <t xml:space="preserve">PAUK1IU0</t>
  </si>
  <si>
    <t xml:space="preserve">97WEHB4X</t>
  </si>
  <si>
    <t xml:space="preserve">Z4JQEOMT</t>
  </si>
  <si>
    <t xml:space="preserve">ETJR6FUL</t>
  </si>
  <si>
    <t xml:space="preserve">9CYYLZ11</t>
  </si>
  <si>
    <t xml:space="preserve">RGW7PKJ6</t>
  </si>
  <si>
    <t xml:space="preserve">BW0NOLCK</t>
  </si>
  <si>
    <t xml:space="preserve">G7K3HJAT</t>
  </si>
  <si>
    <t xml:space="preserve">NBE5EMSV</t>
  </si>
  <si>
    <t xml:space="preserve">D00KRY2S</t>
  </si>
  <si>
    <t xml:space="preserve">ZB3JRI67</t>
  </si>
  <si>
    <t xml:space="preserve">4AUWVKUU</t>
  </si>
  <si>
    <t xml:space="preserve">HKMMBDMW</t>
  </si>
  <si>
    <t xml:space="preserve">52V1RWCZ</t>
  </si>
  <si>
    <t xml:space="preserve">XS7L2AQE</t>
  </si>
  <si>
    <t xml:space="preserve">M22PCEKY</t>
  </si>
  <si>
    <t xml:space="preserve">IVTNXNYP</t>
  </si>
  <si>
    <t xml:space="preserve">HOXD9TTL</t>
  </si>
  <si>
    <t xml:space="preserve">H046CU4Z</t>
  </si>
  <si>
    <t xml:space="preserve">JF4MEWPX</t>
  </si>
  <si>
    <t xml:space="preserve">MON9ZE47</t>
  </si>
  <si>
    <t xml:space="preserve">FJHKS2T2</t>
  </si>
  <si>
    <t xml:space="preserve">HUG2KAHE</t>
  </si>
  <si>
    <t xml:space="preserve">PGN9I1HU</t>
  </si>
  <si>
    <t xml:space="preserve">647SQRGL</t>
  </si>
  <si>
    <t xml:space="preserve">TAKHOTRW</t>
  </si>
  <si>
    <t xml:space="preserve">TS9QPHNA</t>
  </si>
  <si>
    <t xml:space="preserve">UEI0RABV</t>
  </si>
  <si>
    <t xml:space="preserve">27ZK0L0F</t>
  </si>
  <si>
    <t xml:space="preserve">K38J8D75</t>
  </si>
  <si>
    <t xml:space="preserve">UIP7MXOR</t>
  </si>
  <si>
    <t xml:space="preserve">ZHPJ73Q6</t>
  </si>
  <si>
    <t xml:space="preserve">2TI0MAKP</t>
  </si>
  <si>
    <t xml:space="preserve">2G5ZMOYC</t>
  </si>
  <si>
    <t xml:space="preserve">EPOB4B15</t>
  </si>
  <si>
    <t xml:space="preserve">2WWMPY7O</t>
  </si>
  <si>
    <t xml:space="preserve">Z6VQW8TB</t>
  </si>
  <si>
    <t xml:space="preserve">FNLAOXF8</t>
  </si>
  <si>
    <t xml:space="preserve">T6MPH7JC</t>
  </si>
  <si>
    <t xml:space="preserve">HB740BLB</t>
  </si>
  <si>
    <t xml:space="preserve">DB801ISB</t>
  </si>
  <si>
    <t xml:space="preserve">5C59O9GU</t>
  </si>
  <si>
    <t xml:space="preserve">ZQRBJVZF</t>
  </si>
  <si>
    <t xml:space="preserve">I93XL6Q9</t>
  </si>
  <si>
    <t xml:space="preserve">UMD1BA4S</t>
  </si>
  <si>
    <t xml:space="preserve">E6DGJSDW</t>
  </si>
  <si>
    <t xml:space="preserve">JHNDPI2N</t>
  </si>
  <si>
    <t xml:space="preserve">GI94RTL5</t>
  </si>
  <si>
    <t xml:space="preserve">10ALJD82</t>
  </si>
  <si>
    <t xml:space="preserve">Z89NKUC7</t>
  </si>
  <si>
    <t xml:space="preserve">47P0HBNM</t>
  </si>
  <si>
    <t xml:space="preserve">4H8GZ075</t>
  </si>
  <si>
    <t xml:space="preserve">UDAUS3DF</t>
  </si>
  <si>
    <t xml:space="preserve">F4W7Z1UU</t>
  </si>
  <si>
    <t xml:space="preserve">DW5BQ220</t>
  </si>
  <si>
    <t xml:space="preserve">4ENCEYPG</t>
  </si>
  <si>
    <t xml:space="preserve">EU4DPJGN</t>
  </si>
  <si>
    <t xml:space="preserve">426EL41A</t>
  </si>
  <si>
    <t xml:space="preserve">OXKLRULK</t>
  </si>
  <si>
    <t xml:space="preserve">D3ZJX20X</t>
  </si>
  <si>
    <t xml:space="preserve">V9JDJ861</t>
  </si>
  <si>
    <t xml:space="preserve">DYXD1AXO</t>
  </si>
  <si>
    <t xml:space="preserve">JSTHYUCD</t>
  </si>
  <si>
    <t xml:space="preserve">JC7DDV56</t>
  </si>
  <si>
    <t xml:space="preserve">ASDR6QEZ</t>
  </si>
  <si>
    <t xml:space="preserve">5ELMZN3E</t>
  </si>
  <si>
    <t xml:space="preserve">7Q90C2VN</t>
  </si>
  <si>
    <t xml:space="preserve">ZIMT5RQ2</t>
  </si>
  <si>
    <t xml:space="preserve">DS5HZHDA</t>
  </si>
  <si>
    <t xml:space="preserve">Betatech</t>
  </si>
  <si>
    <t xml:space="preserve">TLZGG7G5</t>
  </si>
  <si>
    <t xml:space="preserve">8NI8O26G</t>
  </si>
  <si>
    <t xml:space="preserve">9BM1CGBV</t>
  </si>
  <si>
    <t xml:space="preserve">GSBUIL1E</t>
  </si>
  <si>
    <t xml:space="preserve">9F9NDO41</t>
  </si>
  <si>
    <t xml:space="preserve">TR7WLH5Q</t>
  </si>
  <si>
    <t xml:space="preserve">M64OQCC3</t>
  </si>
  <si>
    <t xml:space="preserve">WR9CQB8E</t>
  </si>
  <si>
    <t xml:space="preserve">TWWD62O3</t>
  </si>
  <si>
    <t xml:space="preserve">7CZU8GS1</t>
  </si>
  <si>
    <t xml:space="preserve">APXWBOOT</t>
  </si>
  <si>
    <t xml:space="preserve">7N6AHU7C</t>
  </si>
  <si>
    <t xml:space="preserve">P0B49XCI</t>
  </si>
  <si>
    <t xml:space="preserve">Codehow</t>
  </si>
  <si>
    <t xml:space="preserve">DOP1NORG</t>
  </si>
  <si>
    <t xml:space="preserve">BUOI3TBI</t>
  </si>
  <si>
    <t xml:space="preserve">F22C6LKO</t>
  </si>
  <si>
    <t xml:space="preserve">D8ZJ6F45</t>
  </si>
  <si>
    <t xml:space="preserve">HP50ZWIZ</t>
  </si>
  <si>
    <t xml:space="preserve">X3KQZM1K</t>
  </si>
  <si>
    <t xml:space="preserve">WA3U0EVI</t>
  </si>
  <si>
    <t xml:space="preserve">Q9CASEJL</t>
  </si>
  <si>
    <t xml:space="preserve">OIBR7UA7</t>
  </si>
  <si>
    <t xml:space="preserve">URRD7VUB</t>
  </si>
  <si>
    <t xml:space="preserve">11T4HX93</t>
  </si>
  <si>
    <t xml:space="preserve">0QMDTHBS</t>
  </si>
  <si>
    <t xml:space="preserve">GM5X0CSG</t>
  </si>
  <si>
    <t xml:space="preserve">E0HMRMZ9</t>
  </si>
  <si>
    <t xml:space="preserve">DYA87PL1</t>
  </si>
  <si>
    <t xml:space="preserve">JZ4QLP1W</t>
  </si>
  <si>
    <t xml:space="preserve">HSGGBG9J</t>
  </si>
  <si>
    <t xml:space="preserve">O7MBZPN4</t>
  </si>
  <si>
    <t xml:space="preserve">XS7B6QT7</t>
  </si>
  <si>
    <t xml:space="preserve">N6JMQG0E</t>
  </si>
  <si>
    <t xml:space="preserve">TBNPWPNE</t>
  </si>
  <si>
    <t xml:space="preserve">M4WW6I1S</t>
  </si>
  <si>
    <t xml:space="preserve">GLQLEZJM</t>
  </si>
  <si>
    <t xml:space="preserve">COGXUYLL</t>
  </si>
  <si>
    <t xml:space="preserve">Doncon</t>
  </si>
  <si>
    <t xml:space="preserve">ZVO432VF</t>
  </si>
  <si>
    <t xml:space="preserve">1BB5LME9</t>
  </si>
  <si>
    <t xml:space="preserve">7WXPAXAV</t>
  </si>
  <si>
    <t xml:space="preserve">GSOR2INK</t>
  </si>
  <si>
    <t xml:space="preserve">BTH2O9OF</t>
  </si>
  <si>
    <t xml:space="preserve">HW367OVT</t>
  </si>
  <si>
    <t xml:space="preserve">O6NIPA7N</t>
  </si>
  <si>
    <t xml:space="preserve">CLPDG9BG</t>
  </si>
  <si>
    <t xml:space="preserve">32NDDT4L</t>
  </si>
  <si>
    <t xml:space="preserve">1969NL80</t>
  </si>
  <si>
    <t xml:space="preserve">IKR0NSUE</t>
  </si>
  <si>
    <t xml:space="preserve">473F6L9F</t>
  </si>
  <si>
    <t xml:space="preserve">KN4LCS4D</t>
  </si>
  <si>
    <t xml:space="preserve">RKP2DVSU</t>
  </si>
  <si>
    <t xml:space="preserve">T3T4OE0A</t>
  </si>
  <si>
    <t xml:space="preserve">K7L1RE8B</t>
  </si>
  <si>
    <t xml:space="preserve">RPCZJOE2</t>
  </si>
  <si>
    <t xml:space="preserve">6IG2A8KD</t>
  </si>
  <si>
    <t xml:space="preserve">MFU6Y5HX</t>
  </si>
  <si>
    <t xml:space="preserve">Y0EKPBLQ</t>
  </si>
  <si>
    <t xml:space="preserve">8TLX2786</t>
  </si>
  <si>
    <t xml:space="preserve">Z9CW6K35</t>
  </si>
  <si>
    <t xml:space="preserve">JQ338VQC</t>
  </si>
  <si>
    <t xml:space="preserve">WJK0O5J9</t>
  </si>
  <si>
    <t xml:space="preserve">W2149WNZ</t>
  </si>
  <si>
    <t xml:space="preserve">6WNENPQM</t>
  </si>
  <si>
    <t xml:space="preserve">VW8CEV4C</t>
  </si>
  <si>
    <t xml:space="preserve">KLUS7RVS</t>
  </si>
  <si>
    <t xml:space="preserve">ROM4I2T0</t>
  </si>
  <si>
    <t xml:space="preserve">6QKBZAEQ</t>
  </si>
  <si>
    <t xml:space="preserve">5P4OCP0Q</t>
  </si>
  <si>
    <t xml:space="preserve">E54FFQBM</t>
  </si>
  <si>
    <t xml:space="preserve">8GNSME5U</t>
  </si>
  <si>
    <t xml:space="preserve">5697WKA6</t>
  </si>
  <si>
    <t xml:space="preserve">A5DN7SE1</t>
  </si>
  <si>
    <t xml:space="preserve">DGI6CB5K</t>
  </si>
  <si>
    <t xml:space="preserve">MTH7D617</t>
  </si>
  <si>
    <t xml:space="preserve">S6BD2RV6</t>
  </si>
  <si>
    <t xml:space="preserve">P43NZA0V</t>
  </si>
  <si>
    <t xml:space="preserve">TFPZNRS3</t>
  </si>
  <si>
    <t xml:space="preserve">SPTF1MZ4</t>
  </si>
  <si>
    <t xml:space="preserve">WI5RHGX9</t>
  </si>
  <si>
    <t xml:space="preserve">WAT7H38N</t>
  </si>
  <si>
    <t xml:space="preserve">1FAU5C6V</t>
  </si>
  <si>
    <t xml:space="preserve">Q5RRTVJK</t>
  </si>
  <si>
    <t xml:space="preserve">KIOF5EM0</t>
  </si>
  <si>
    <t xml:space="preserve">SH4FSTJV</t>
  </si>
  <si>
    <t xml:space="preserve">AV50UWVV</t>
  </si>
  <si>
    <t xml:space="preserve">KAZ72JJ0</t>
  </si>
  <si>
    <t xml:space="preserve">QVWEPN6J</t>
  </si>
  <si>
    <t xml:space="preserve">JD7ACALY</t>
  </si>
  <si>
    <t xml:space="preserve">NSGU1K3N</t>
  </si>
  <si>
    <t xml:space="preserve">UK00OVV2</t>
  </si>
  <si>
    <t xml:space="preserve">DWGARGA2</t>
  </si>
  <si>
    <t xml:space="preserve">A4M34F8C</t>
  </si>
  <si>
    <t xml:space="preserve">021Z2J9L</t>
  </si>
  <si>
    <t xml:space="preserve">9SRD5NCR</t>
  </si>
  <si>
    <t xml:space="preserve">DO6VKC2G</t>
  </si>
  <si>
    <t xml:space="preserve">A04V2WB3</t>
  </si>
  <si>
    <t xml:space="preserve">49T60OCI</t>
  </si>
  <si>
    <t xml:space="preserve">QP0QCP8Y</t>
  </si>
  <si>
    <t xml:space="preserve">K1K48OTP</t>
  </si>
  <si>
    <t xml:space="preserve">YYTZSTL0</t>
  </si>
  <si>
    <t xml:space="preserve">NK1B8YME</t>
  </si>
  <si>
    <t xml:space="preserve">0T9KUEQ2</t>
  </si>
  <si>
    <t xml:space="preserve">JB3J080M</t>
  </si>
  <si>
    <t xml:space="preserve">M2A8EY5Q</t>
  </si>
  <si>
    <t xml:space="preserve">7A3R2M9T</t>
  </si>
  <si>
    <t xml:space="preserve">I3KQNE9V</t>
  </si>
  <si>
    <t xml:space="preserve">E3XLWCWX</t>
  </si>
  <si>
    <t xml:space="preserve">LD4F6QTP</t>
  </si>
  <si>
    <t xml:space="preserve">1FEHFRKX</t>
  </si>
  <si>
    <t xml:space="preserve">F3EOBN5A</t>
  </si>
  <si>
    <t xml:space="preserve">BBOWBQA6</t>
  </si>
  <si>
    <t xml:space="preserve">CBQRKYZP</t>
  </si>
  <si>
    <t xml:space="preserve">3YDXZ4FA</t>
  </si>
  <si>
    <t xml:space="preserve">T4AW06MM</t>
  </si>
  <si>
    <t xml:space="preserve">IMLG35AP</t>
  </si>
  <si>
    <t xml:space="preserve">9Q7NSPTF</t>
  </si>
  <si>
    <t xml:space="preserve">7FZ9CBZ3</t>
  </si>
  <si>
    <t xml:space="preserve">513PSPBN</t>
  </si>
  <si>
    <t xml:space="preserve">RTWAUR7C</t>
  </si>
  <si>
    <t xml:space="preserve">RV5Y8DRY</t>
  </si>
  <si>
    <t xml:space="preserve">7TFHGN6O</t>
  </si>
  <si>
    <t xml:space="preserve">FPLXC8Z3</t>
  </si>
  <si>
    <t xml:space="preserve">OD895EQM</t>
  </si>
  <si>
    <t xml:space="preserve">N9GIC5PC</t>
  </si>
  <si>
    <t xml:space="preserve">1T5WFCEJ</t>
  </si>
  <si>
    <t xml:space="preserve">G7RZTAMV</t>
  </si>
  <si>
    <t xml:space="preserve">18YA4UUP</t>
  </si>
  <si>
    <t xml:space="preserve">T0TDA2O1</t>
  </si>
  <si>
    <t xml:space="preserve">1RXGKOUE</t>
  </si>
  <si>
    <t xml:space="preserve">R55U5QI4</t>
  </si>
  <si>
    <t xml:space="preserve">1O72EKFY</t>
  </si>
  <si>
    <t xml:space="preserve">DZQW0KQ4</t>
  </si>
  <si>
    <t xml:space="preserve">MBYOJR5A</t>
  </si>
  <si>
    <t xml:space="preserve">WRKPDK7O</t>
  </si>
  <si>
    <t xml:space="preserve">6TGCOE5O</t>
  </si>
  <si>
    <t xml:space="preserve">OVA9HMN1</t>
  </si>
  <si>
    <t xml:space="preserve">RCJRB8W8</t>
  </si>
  <si>
    <t xml:space="preserve">5NGPM4C3</t>
  </si>
  <si>
    <t xml:space="preserve">NY7Z4I06</t>
  </si>
  <si>
    <t xml:space="preserve">WO1OYV0Z</t>
  </si>
  <si>
    <t xml:space="preserve">AD2YEH7W</t>
  </si>
  <si>
    <t xml:space="preserve">98K99UW9</t>
  </si>
  <si>
    <t xml:space="preserve">FCBSZ6FJ</t>
  </si>
  <si>
    <t xml:space="preserve">FSNL204U</t>
  </si>
  <si>
    <t xml:space="preserve">Z4OOTJAJ</t>
  </si>
  <si>
    <t xml:space="preserve">J31SUXQJ</t>
  </si>
  <si>
    <t xml:space="preserve">5MAXF8FK</t>
  </si>
  <si>
    <t xml:space="preserve">3C6E0D28</t>
  </si>
  <si>
    <t xml:space="preserve">QQPAK72N</t>
  </si>
  <si>
    <t xml:space="preserve">5CAP1055</t>
  </si>
  <si>
    <t xml:space="preserve">NSX4NR40</t>
  </si>
  <si>
    <t xml:space="preserve">81PWOUF0</t>
  </si>
  <si>
    <t xml:space="preserve">CFI2GXN1</t>
  </si>
  <si>
    <t xml:space="preserve">OT26ZUZ7</t>
  </si>
  <si>
    <t xml:space="preserve">6AO6E15O</t>
  </si>
  <si>
    <t xml:space="preserve">CQYAMIQ3</t>
  </si>
  <si>
    <t xml:space="preserve">QV3TAWDT</t>
  </si>
  <si>
    <t xml:space="preserve">NU4ACGMY</t>
  </si>
  <si>
    <t xml:space="preserve">CCLIVXMG</t>
  </si>
  <si>
    <t xml:space="preserve">PQOHTS9I</t>
  </si>
  <si>
    <t xml:space="preserve">JHCA115A</t>
  </si>
  <si>
    <t xml:space="preserve">6V7FT2YU</t>
  </si>
  <si>
    <t xml:space="preserve">PJ75Q8VM</t>
  </si>
  <si>
    <t xml:space="preserve">7439NGIG</t>
  </si>
  <si>
    <t xml:space="preserve">S6YZO6UQ</t>
  </si>
  <si>
    <t xml:space="preserve">PI45UJKA</t>
  </si>
  <si>
    <t xml:space="preserve">XVB2CGL6</t>
  </si>
  <si>
    <t xml:space="preserve">R69OYH4Z</t>
  </si>
  <si>
    <t xml:space="preserve">Umbrella Corporation</t>
  </si>
  <si>
    <t xml:space="preserve">S0Z4QVL2</t>
  </si>
  <si>
    <t xml:space="preserve">FY5MBCWQ</t>
  </si>
  <si>
    <t xml:space="preserve">Q1HNDPKW</t>
  </si>
  <si>
    <t xml:space="preserve">0TC6I9SJ</t>
  </si>
  <si>
    <t xml:space="preserve">WGFTBY3W</t>
  </si>
  <si>
    <t xml:space="preserve">NCCB118E</t>
  </si>
  <si>
    <t xml:space="preserve">H2FCUPHJ</t>
  </si>
  <si>
    <t xml:space="preserve">LUTZ8UQM</t>
  </si>
  <si>
    <t xml:space="preserve">1QKDD1OI</t>
  </si>
  <si>
    <t xml:space="preserve">2GFL3TAF</t>
  </si>
  <si>
    <t xml:space="preserve">CUSWE9PB</t>
  </si>
  <si>
    <t xml:space="preserve">L6223VHA</t>
  </si>
  <si>
    <t xml:space="preserve">TJ7PNIXL</t>
  </si>
  <si>
    <t xml:space="preserve">VMBM5EKL</t>
  </si>
  <si>
    <t xml:space="preserve">PW9DTZON</t>
  </si>
  <si>
    <t xml:space="preserve">Q5GNQ823</t>
  </si>
  <si>
    <t xml:space="preserve">PQ104BT2</t>
  </si>
  <si>
    <t xml:space="preserve">GQ7H31ZJ</t>
  </si>
  <si>
    <t xml:space="preserve">9B7FS6YL</t>
  </si>
  <si>
    <t xml:space="preserve">M6JT5RL8</t>
  </si>
  <si>
    <t xml:space="preserve">45H84LNT</t>
  </si>
  <si>
    <t xml:space="preserve">E8MIFXOH</t>
  </si>
  <si>
    <t xml:space="preserve">UO8DLVVQ</t>
  </si>
  <si>
    <t xml:space="preserve">VD2KHXRY</t>
  </si>
  <si>
    <t xml:space="preserve">ZJLW1OPF</t>
  </si>
  <si>
    <t xml:space="preserve">Q62JFLLD</t>
  </si>
  <si>
    <t xml:space="preserve">N07XYH50</t>
  </si>
  <si>
    <t xml:space="preserve">7K31BXX3</t>
  </si>
  <si>
    <t xml:space="preserve">YI1V6SOX</t>
  </si>
  <si>
    <t xml:space="preserve">PNTHPFHY</t>
  </si>
  <si>
    <t xml:space="preserve">2I7IFY8D</t>
  </si>
  <si>
    <t xml:space="preserve">TJ95PY76</t>
  </si>
  <si>
    <t xml:space="preserve">0XBGT413</t>
  </si>
  <si>
    <t xml:space="preserve">FSEV7ZJC</t>
  </si>
  <si>
    <t xml:space="preserve">OEP0IJ6S</t>
  </si>
  <si>
    <t xml:space="preserve">HISWL7B0</t>
  </si>
  <si>
    <t xml:space="preserve">BSKNQJOJ</t>
  </si>
  <si>
    <t xml:space="preserve">NBJR3GVR</t>
  </si>
  <si>
    <t xml:space="preserve">FKY3O5O1</t>
  </si>
  <si>
    <t xml:space="preserve">2E2FDZHG</t>
  </si>
  <si>
    <t xml:space="preserve">UM1OU73X</t>
  </si>
  <si>
    <t xml:space="preserve">69U39SXU</t>
  </si>
  <si>
    <t xml:space="preserve">MOAP4XN7</t>
  </si>
  <si>
    <t xml:space="preserve">2N2MUDOA</t>
  </si>
  <si>
    <t xml:space="preserve">A8NDGVJE</t>
  </si>
  <si>
    <t xml:space="preserve">7FFV8D9U</t>
  </si>
  <si>
    <t xml:space="preserve">SLMY2KDA</t>
  </si>
  <si>
    <t xml:space="preserve">SYA1A4E5</t>
  </si>
  <si>
    <t xml:space="preserve">FH3UXT3T</t>
  </si>
  <si>
    <t xml:space="preserve">9B20R6A5</t>
  </si>
  <si>
    <t xml:space="preserve">68EYCEV4</t>
  </si>
  <si>
    <t xml:space="preserve">6KEWAQMX</t>
  </si>
  <si>
    <t xml:space="preserve">58W7CZGD</t>
  </si>
  <si>
    <t xml:space="preserve">9CPUX0D0</t>
  </si>
  <si>
    <t xml:space="preserve">LBO52V0N</t>
  </si>
  <si>
    <t xml:space="preserve">FJE58EP1</t>
  </si>
  <si>
    <t xml:space="preserve">AILB4LIX</t>
  </si>
  <si>
    <t xml:space="preserve">KBPKLB2X</t>
  </si>
  <si>
    <t xml:space="preserve">AMP2GT6F</t>
  </si>
  <si>
    <t xml:space="preserve">PQJZNRKK</t>
  </si>
  <si>
    <t xml:space="preserve">AKMV6WN5</t>
  </si>
  <si>
    <t xml:space="preserve">DJMPI9TO</t>
  </si>
  <si>
    <t xml:space="preserve">GL1YE4PQ</t>
  </si>
  <si>
    <t xml:space="preserve">N3GVE0VP</t>
  </si>
  <si>
    <t xml:space="preserve">GG85QBTM</t>
  </si>
  <si>
    <t xml:space="preserve">5URQT67R</t>
  </si>
  <si>
    <t xml:space="preserve">W07RZO17</t>
  </si>
  <si>
    <t xml:space="preserve">K7056XS7</t>
  </si>
  <si>
    <t xml:space="preserve">E2KGQVEO</t>
  </si>
  <si>
    <t xml:space="preserve">OW9OM3UO</t>
  </si>
  <si>
    <t xml:space="preserve">O8C2G4G2</t>
  </si>
  <si>
    <t xml:space="preserve">HBN3R2TJ</t>
  </si>
  <si>
    <t xml:space="preserve">XRWMLGOG</t>
  </si>
  <si>
    <t xml:space="preserve">7LD79NYD</t>
  </si>
  <si>
    <t xml:space="preserve">DMG5EOFC</t>
  </si>
  <si>
    <t xml:space="preserve">TDJ3N8EJ</t>
  </si>
  <si>
    <t xml:space="preserve">0KRVN3V5</t>
  </si>
  <si>
    <t xml:space="preserve">WLDFQR7Z</t>
  </si>
  <si>
    <t xml:space="preserve">PNISVWNN</t>
  </si>
  <si>
    <t xml:space="preserve">COSC7XVA</t>
  </si>
  <si>
    <t xml:space="preserve">E9J482PX</t>
  </si>
  <si>
    <t xml:space="preserve">OT5G3M9A</t>
  </si>
  <si>
    <t xml:space="preserve">8TFYRWZ6</t>
  </si>
  <si>
    <t xml:space="preserve">0T2CY70E</t>
  </si>
  <si>
    <t xml:space="preserve">JOLNKYNH</t>
  </si>
  <si>
    <t xml:space="preserve">TV2M081C</t>
  </si>
  <si>
    <t xml:space="preserve">SJGOQMLT</t>
  </si>
  <si>
    <t xml:space="preserve">TTKPNDTP</t>
  </si>
  <si>
    <t xml:space="preserve">G7H64S20</t>
  </si>
  <si>
    <t xml:space="preserve">LXS3Z82E</t>
  </si>
  <si>
    <t xml:space="preserve">11LIZUQE</t>
  </si>
  <si>
    <t xml:space="preserve">VV6T07G4</t>
  </si>
  <si>
    <t xml:space="preserve">SZS2IPM3</t>
  </si>
  <si>
    <t xml:space="preserve">YY2DWBG5</t>
  </si>
  <si>
    <t xml:space="preserve">4DLY9ZDH</t>
  </si>
  <si>
    <t xml:space="preserve">ZNEQXZZK</t>
  </si>
  <si>
    <t xml:space="preserve">SXFE42KG</t>
  </si>
  <si>
    <t xml:space="preserve">XFCKQ7RI</t>
  </si>
  <si>
    <t xml:space="preserve">8AK3KGFA</t>
  </si>
  <si>
    <t xml:space="preserve">7F2DDW3C</t>
  </si>
  <si>
    <t xml:space="preserve">JH643YRI</t>
  </si>
  <si>
    <t xml:space="preserve">YCQTM2BQ</t>
  </si>
  <si>
    <t xml:space="preserve">MLD3WEJC</t>
  </si>
  <si>
    <t xml:space="preserve">CMW6IQJI</t>
  </si>
  <si>
    <t xml:space="preserve">8TD2LLOF</t>
  </si>
  <si>
    <t xml:space="preserve">EFKPYBI9</t>
  </si>
  <si>
    <t xml:space="preserve">KPH05GU8</t>
  </si>
  <si>
    <t xml:space="preserve">VBB0LCEN</t>
  </si>
  <si>
    <t xml:space="preserve">P3K1DVYB</t>
  </si>
  <si>
    <t xml:space="preserve">BB1PRS3T</t>
  </si>
  <si>
    <t xml:space="preserve">R7H0M07R</t>
  </si>
  <si>
    <t xml:space="preserve">JQ5AOYQ8</t>
  </si>
  <si>
    <t xml:space="preserve">82K9NWKO</t>
  </si>
  <si>
    <t xml:space="preserve">SJ3QA8KP</t>
  </si>
  <si>
    <t xml:space="preserve">B1ZN2CFP</t>
  </si>
  <si>
    <t xml:space="preserve">4QQOSYGL</t>
  </si>
  <si>
    <t xml:space="preserve">4OYGRQGO</t>
  </si>
  <si>
    <t xml:space="preserve">3SD04QJ4</t>
  </si>
  <si>
    <t xml:space="preserve">IG540SIB</t>
  </si>
  <si>
    <t xml:space="preserve">R6OZIG5J</t>
  </si>
  <si>
    <t xml:space="preserve">DVT7NPEH</t>
  </si>
  <si>
    <t xml:space="preserve">RN7M3757</t>
  </si>
  <si>
    <t xml:space="preserve">0PT4RY4P</t>
  </si>
  <si>
    <t xml:space="preserve">WOO9JXOQ</t>
  </si>
  <si>
    <t xml:space="preserve">OBDEDIXA</t>
  </si>
  <si>
    <t xml:space="preserve">EMH2I8XE</t>
  </si>
  <si>
    <t xml:space="preserve">UBO7V799</t>
  </si>
  <si>
    <t xml:space="preserve">56LUBQTV</t>
  </si>
  <si>
    <t xml:space="preserve">A2YIYWNW</t>
  </si>
  <si>
    <t xml:space="preserve">9C3YHNBY</t>
  </si>
  <si>
    <t xml:space="preserve">JGXK8P6T</t>
  </si>
  <si>
    <t xml:space="preserve">KIKG1BGV</t>
  </si>
  <si>
    <t xml:space="preserve">Domzoom</t>
  </si>
  <si>
    <t xml:space="preserve">N909ADDC</t>
  </si>
  <si>
    <t xml:space="preserve">AZN2K0V9</t>
  </si>
  <si>
    <t xml:space="preserve">QIEAKLRU</t>
  </si>
  <si>
    <t xml:space="preserve">LDQITW5C</t>
  </si>
  <si>
    <t xml:space="preserve">9V2SW5MV</t>
  </si>
  <si>
    <t xml:space="preserve">0R5KAHNB</t>
  </si>
  <si>
    <t xml:space="preserve">FUI9BIS3</t>
  </si>
  <si>
    <t xml:space="preserve">R9GI5SJ5</t>
  </si>
  <si>
    <t xml:space="preserve">PDMZ1I99</t>
  </si>
  <si>
    <t xml:space="preserve">OMJHW2J1</t>
  </si>
  <si>
    <t xml:space="preserve">G6CMP5I9</t>
  </si>
  <si>
    <t xml:space="preserve">ZC987DAQ</t>
  </si>
  <si>
    <t xml:space="preserve">Q8QGD2OG</t>
  </si>
  <si>
    <t xml:space="preserve">O7LSETHG</t>
  </si>
  <si>
    <t xml:space="preserve">RC4LEDIA</t>
  </si>
  <si>
    <t xml:space="preserve">8CBTC1PX</t>
  </si>
  <si>
    <t xml:space="preserve">8MUD1WS1</t>
  </si>
  <si>
    <t xml:space="preserve">0OHEJOI5</t>
  </si>
  <si>
    <t xml:space="preserve">7FVBMH48</t>
  </si>
  <si>
    <t xml:space="preserve">HQKWQ004</t>
  </si>
  <si>
    <t xml:space="preserve">CYV6MJL9</t>
  </si>
  <si>
    <t xml:space="preserve">EZDMNAK8</t>
  </si>
  <si>
    <t xml:space="preserve">I6PXHXST</t>
  </si>
  <si>
    <t xml:space="preserve">E617EXPD</t>
  </si>
  <si>
    <t xml:space="preserve">JEWIBFH9</t>
  </si>
  <si>
    <t xml:space="preserve">FM505XD5</t>
  </si>
  <si>
    <t xml:space="preserve">CVFUMOK9</t>
  </si>
  <si>
    <t xml:space="preserve">LSVGDJ1A</t>
  </si>
  <si>
    <t xml:space="preserve">BYF6ABTZ</t>
  </si>
  <si>
    <t xml:space="preserve">Q8BZ3PC9</t>
  </si>
  <si>
    <t xml:space="preserve">RXAQJKSL</t>
  </si>
  <si>
    <t xml:space="preserve">0KEO3OP7</t>
  </si>
  <si>
    <t xml:space="preserve">VMIAO42Z</t>
  </si>
  <si>
    <t xml:space="preserve">Q2CLAKLM</t>
  </si>
  <si>
    <t xml:space="preserve">OIO2H2MY</t>
  </si>
  <si>
    <t xml:space="preserve">OLGT0VHP</t>
  </si>
  <si>
    <t xml:space="preserve">R1K16RZO</t>
  </si>
  <si>
    <t xml:space="preserve">UYQJ2A1O</t>
  </si>
  <si>
    <t xml:space="preserve">8WB5HXOB</t>
  </si>
  <si>
    <t xml:space="preserve">86C26QSR</t>
  </si>
  <si>
    <t xml:space="preserve">HF74MC9F</t>
  </si>
  <si>
    <t xml:space="preserve">IGHYUSN8</t>
  </si>
  <si>
    <t xml:space="preserve">73086D08</t>
  </si>
  <si>
    <t xml:space="preserve">MV227O65</t>
  </si>
  <si>
    <t xml:space="preserve">E8QHX9TE</t>
  </si>
  <si>
    <t xml:space="preserve">EF24VTVA</t>
  </si>
  <si>
    <t xml:space="preserve">KJHM27ZM</t>
  </si>
  <si>
    <t xml:space="preserve">04OAV3CV</t>
  </si>
  <si>
    <t xml:space="preserve">2BXYT4PD</t>
  </si>
  <si>
    <t xml:space="preserve">HU970PDK</t>
  </si>
  <si>
    <t xml:space="preserve">D85PDC6S</t>
  </si>
  <si>
    <t xml:space="preserve">JL9ERNVY</t>
  </si>
  <si>
    <t xml:space="preserve">PPUSV3RG</t>
  </si>
  <si>
    <t xml:space="preserve">WS3BIQ4S</t>
  </si>
  <si>
    <t xml:space="preserve">41RF80KQ</t>
  </si>
  <si>
    <t xml:space="preserve">K7TV5UBZ</t>
  </si>
  <si>
    <t xml:space="preserve">0STR2QEA</t>
  </si>
  <si>
    <t xml:space="preserve">ZK4S74FD</t>
  </si>
  <si>
    <t xml:space="preserve">VXTVHC1Z</t>
  </si>
  <si>
    <t xml:space="preserve">C6TQMD3C</t>
  </si>
  <si>
    <t xml:space="preserve">AY3KTIXX</t>
  </si>
  <si>
    <t xml:space="preserve">7HSRDCCK</t>
  </si>
  <si>
    <t xml:space="preserve">HEWKNHTH</t>
  </si>
  <si>
    <t xml:space="preserve">WEKW3XIN</t>
  </si>
  <si>
    <t xml:space="preserve">EBLSL27F</t>
  </si>
  <si>
    <t xml:space="preserve">2FNTCPOU</t>
  </si>
  <si>
    <t xml:space="preserve">FOJG3OCO</t>
  </si>
  <si>
    <t xml:space="preserve">QCNOCX0P</t>
  </si>
  <si>
    <t xml:space="preserve">GL95LARP</t>
  </si>
  <si>
    <t xml:space="preserve">U4IJO6SL</t>
  </si>
  <si>
    <t xml:space="preserve">R0CLLIH9</t>
  </si>
  <si>
    <t xml:space="preserve">Z7OH4GWO</t>
  </si>
  <si>
    <t xml:space="preserve">ZVAZKWF3</t>
  </si>
  <si>
    <t xml:space="preserve">10AEGW41</t>
  </si>
  <si>
    <t xml:space="preserve">6G6ZCKSB</t>
  </si>
  <si>
    <t xml:space="preserve">2LSNRT4U</t>
  </si>
  <si>
    <t xml:space="preserve">7K0S2P6K</t>
  </si>
  <si>
    <t xml:space="preserve">XOVYPE58</t>
  </si>
  <si>
    <t xml:space="preserve">Q6OUJCH5</t>
  </si>
  <si>
    <t xml:space="preserve">HDALWEHF</t>
  </si>
  <si>
    <t xml:space="preserve">GQ2W1DXM</t>
  </si>
  <si>
    <t xml:space="preserve">DYNHHN6P</t>
  </si>
  <si>
    <t xml:space="preserve">Massive Dynamic</t>
  </si>
  <si>
    <t xml:space="preserve">5WHMLQDK</t>
  </si>
  <si>
    <t xml:space="preserve">4ZX1WPS7</t>
  </si>
  <si>
    <t xml:space="preserve">3F34LWKM</t>
  </si>
  <si>
    <t xml:space="preserve">YVXKNYSM</t>
  </si>
  <si>
    <t xml:space="preserve">UU25XD9E</t>
  </si>
  <si>
    <t xml:space="preserve">FHWXZ6HL</t>
  </si>
  <si>
    <t xml:space="preserve">89P5UVQ0</t>
  </si>
  <si>
    <t xml:space="preserve">3SEMPUU1</t>
  </si>
  <si>
    <t xml:space="preserve">JM5GDLEF</t>
  </si>
  <si>
    <t xml:space="preserve">SWEQFKRF</t>
  </si>
  <si>
    <t xml:space="preserve">3IWUUUCN</t>
  </si>
  <si>
    <t xml:space="preserve">2PI827MA</t>
  </si>
  <si>
    <t xml:space="preserve">3ATYY665</t>
  </si>
  <si>
    <t xml:space="preserve">DC2JL47C</t>
  </si>
  <si>
    <t xml:space="preserve">GMN9KQN2</t>
  </si>
  <si>
    <t xml:space="preserve">MWSPTOQK</t>
  </si>
  <si>
    <t xml:space="preserve">RY6T3GLC</t>
  </si>
  <si>
    <t xml:space="preserve">EUYJDW9C</t>
  </si>
  <si>
    <t xml:space="preserve">UMXZFLO8</t>
  </si>
  <si>
    <t xml:space="preserve">UGTXH980</t>
  </si>
  <si>
    <t xml:space="preserve">CUV49MUR</t>
  </si>
  <si>
    <t xml:space="preserve">7VMOJBPN</t>
  </si>
  <si>
    <t xml:space="preserve">GXC8JN36</t>
  </si>
  <si>
    <t xml:space="preserve">G1AKE0NR</t>
  </si>
  <si>
    <t xml:space="preserve">LC2RIMSX</t>
  </si>
  <si>
    <t xml:space="preserve">YT34YUZN</t>
  </si>
  <si>
    <t xml:space="preserve">WWCMITY9</t>
  </si>
  <si>
    <t xml:space="preserve">YX4E972E</t>
  </si>
  <si>
    <t xml:space="preserve">PFKDTEYU</t>
  </si>
  <si>
    <t xml:space="preserve">FHYD80FB</t>
  </si>
  <si>
    <t xml:space="preserve">1ORXGKVH</t>
  </si>
  <si>
    <t xml:space="preserve">54OH0061</t>
  </si>
  <si>
    <t xml:space="preserve">96798U7Y</t>
  </si>
  <si>
    <t xml:space="preserve">BJO4VYLK</t>
  </si>
  <si>
    <t xml:space="preserve">14CNQKX8</t>
  </si>
  <si>
    <t xml:space="preserve">O9WYT5ST</t>
  </si>
  <si>
    <t xml:space="preserve">13FIM9V3</t>
  </si>
  <si>
    <t xml:space="preserve">74KGIZW4</t>
  </si>
  <si>
    <t xml:space="preserve">Z6R4KJFU</t>
  </si>
  <si>
    <t xml:space="preserve">A8QRKXG3</t>
  </si>
  <si>
    <t xml:space="preserve">23NAJF9W</t>
  </si>
  <si>
    <t xml:space="preserve">HTF7TYQS</t>
  </si>
  <si>
    <t xml:space="preserve">R443AUAG</t>
  </si>
  <si>
    <t xml:space="preserve">XYRO1TLJ</t>
  </si>
  <si>
    <t xml:space="preserve">VSYO182N</t>
  </si>
  <si>
    <t xml:space="preserve">WQAKXOYU</t>
  </si>
  <si>
    <t xml:space="preserve">HAUB1NBF</t>
  </si>
  <si>
    <t xml:space="preserve">4EGO7VCJ</t>
  </si>
  <si>
    <t xml:space="preserve">BRFZCNMP</t>
  </si>
  <si>
    <t xml:space="preserve">5M5TW9RC</t>
  </si>
  <si>
    <t xml:space="preserve">0D37PQA0</t>
  </si>
  <si>
    <t xml:space="preserve">HI9S2MRZ</t>
  </si>
  <si>
    <t xml:space="preserve">YVDQ80A0</t>
  </si>
  <si>
    <t xml:space="preserve">O28I4VDY</t>
  </si>
  <si>
    <t xml:space="preserve">MIXJ9F4F</t>
  </si>
  <si>
    <t xml:space="preserve">LORMJLTE</t>
  </si>
  <si>
    <t xml:space="preserve">ZGFB0IF1</t>
  </si>
  <si>
    <t xml:space="preserve">NSO0UHK1</t>
  </si>
  <si>
    <t xml:space="preserve">LHBWJAD3</t>
  </si>
  <si>
    <t xml:space="preserve">KRWKDPWW</t>
  </si>
  <si>
    <t xml:space="preserve">OI3UIKVF</t>
  </si>
  <si>
    <t xml:space="preserve">29W6WPLA</t>
  </si>
  <si>
    <t xml:space="preserve">Gekko &amp; Co</t>
  </si>
  <si>
    <t xml:space="preserve">CDVDL9I5</t>
  </si>
  <si>
    <t xml:space="preserve">AERVH1AC</t>
  </si>
  <si>
    <t xml:space="preserve">GEQ7KT9J</t>
  </si>
  <si>
    <t xml:space="preserve">S50ETCN7</t>
  </si>
  <si>
    <t xml:space="preserve">UJ58VMZT</t>
  </si>
  <si>
    <t xml:space="preserve">E8GD44YC</t>
  </si>
  <si>
    <t xml:space="preserve">02K37JAK</t>
  </si>
  <si>
    <t xml:space="preserve">6F5TIV66</t>
  </si>
  <si>
    <t xml:space="preserve">MV7I9RKH</t>
  </si>
  <si>
    <t xml:space="preserve">ETLF2H4K</t>
  </si>
  <si>
    <t xml:space="preserve">I9SPENCQ</t>
  </si>
  <si>
    <t xml:space="preserve">5DQZSOBE</t>
  </si>
  <si>
    <t xml:space="preserve">P66UXGPS</t>
  </si>
  <si>
    <t xml:space="preserve">751V8OFM</t>
  </si>
  <si>
    <t xml:space="preserve">ZTQD4PLQ</t>
  </si>
  <si>
    <t xml:space="preserve">I2ESAAIK</t>
  </si>
  <si>
    <t xml:space="preserve">QELHQ898</t>
  </si>
  <si>
    <t xml:space="preserve">EJJCUJ3P</t>
  </si>
  <si>
    <t xml:space="preserve">ODFL6HOF</t>
  </si>
  <si>
    <t xml:space="preserve">G1M1KVHU</t>
  </si>
  <si>
    <t xml:space="preserve">S3LATQVJ</t>
  </si>
  <si>
    <t xml:space="preserve">0S6OQ9AO</t>
  </si>
  <si>
    <t xml:space="preserve">8Y4LJOJ0</t>
  </si>
  <si>
    <t xml:space="preserve">DZP0MNRM</t>
  </si>
  <si>
    <t xml:space="preserve">OBC504T8</t>
  </si>
  <si>
    <t xml:space="preserve">37UCYEDY</t>
  </si>
  <si>
    <t xml:space="preserve">1976N63N</t>
  </si>
  <si>
    <t xml:space="preserve">WQ5U8PPM</t>
  </si>
  <si>
    <t xml:space="preserve">KPYCCBQA</t>
  </si>
  <si>
    <t xml:space="preserve">SSK95WLX</t>
  </si>
  <si>
    <t xml:space="preserve">RFXH6VDX</t>
  </si>
  <si>
    <t xml:space="preserve">PU62ZGX4</t>
  </si>
  <si>
    <t xml:space="preserve">EVDKJDY3</t>
  </si>
  <si>
    <t xml:space="preserve">S2Y2Q1D2</t>
  </si>
  <si>
    <t xml:space="preserve">PYRLUYIQ</t>
  </si>
  <si>
    <t xml:space="preserve">X33HL9WS</t>
  </si>
  <si>
    <t xml:space="preserve">9Z2WTTNY</t>
  </si>
  <si>
    <t xml:space="preserve">WL6CZ7N4</t>
  </si>
  <si>
    <t xml:space="preserve">UWI771ZX</t>
  </si>
  <si>
    <t xml:space="preserve">7BKYKVF2</t>
  </si>
  <si>
    <t xml:space="preserve">9M72KPA3</t>
  </si>
  <si>
    <t xml:space="preserve">P9EJ68SM</t>
  </si>
  <si>
    <t xml:space="preserve">EY7OI10Z</t>
  </si>
  <si>
    <t xml:space="preserve">S9JXWIBD</t>
  </si>
  <si>
    <t xml:space="preserve">R7I947IZ</t>
  </si>
  <si>
    <t xml:space="preserve">MTN3BOMC</t>
  </si>
  <si>
    <t xml:space="preserve">TX5SADEI</t>
  </si>
  <si>
    <t xml:space="preserve">HHWZEWDV</t>
  </si>
  <si>
    <t xml:space="preserve">OAUUCC2N</t>
  </si>
  <si>
    <t xml:space="preserve">283MDYKM</t>
  </si>
  <si>
    <t xml:space="preserve">STI8KYWL</t>
  </si>
  <si>
    <t xml:space="preserve">I1R23P5F</t>
  </si>
  <si>
    <t xml:space="preserve">CFKXEPFN</t>
  </si>
  <si>
    <t xml:space="preserve">IW6S2BN0</t>
  </si>
  <si>
    <t xml:space="preserve">U4L1277G</t>
  </si>
  <si>
    <t xml:space="preserve">22HV3N2W</t>
  </si>
  <si>
    <t xml:space="preserve">ATMWAQL5</t>
  </si>
  <si>
    <t xml:space="preserve">VLYT262U</t>
  </si>
  <si>
    <t xml:space="preserve">V1KABF71</t>
  </si>
  <si>
    <t xml:space="preserve">49SUORYW</t>
  </si>
  <si>
    <t xml:space="preserve">ACGLK2YE</t>
  </si>
  <si>
    <t xml:space="preserve">OSG9KZGB</t>
  </si>
  <si>
    <t xml:space="preserve">WD7Q5D3G</t>
  </si>
  <si>
    <t xml:space="preserve">I6M40320</t>
  </si>
  <si>
    <t xml:space="preserve">MUSSD9WD</t>
  </si>
  <si>
    <t xml:space="preserve">988J5AUI</t>
  </si>
  <si>
    <t xml:space="preserve">2KWJIZX6</t>
  </si>
  <si>
    <t xml:space="preserve">EEB0JYIQ</t>
  </si>
  <si>
    <t xml:space="preserve">ZR436XWW</t>
  </si>
  <si>
    <t xml:space="preserve">QMFN71BT</t>
  </si>
  <si>
    <t xml:space="preserve">LFJVV393</t>
  </si>
  <si>
    <t xml:space="preserve">V0G393Q6</t>
  </si>
  <si>
    <t xml:space="preserve">SAMPTSH0</t>
  </si>
  <si>
    <t xml:space="preserve">VHT6G2BS</t>
  </si>
  <si>
    <t xml:space="preserve">2GV66JA7</t>
  </si>
  <si>
    <t xml:space="preserve">U0E0XHK9</t>
  </si>
  <si>
    <t xml:space="preserve">M9V8824W</t>
  </si>
  <si>
    <t xml:space="preserve">BHHDOY2E</t>
  </si>
  <si>
    <t xml:space="preserve">J6F10SFK</t>
  </si>
  <si>
    <t xml:space="preserve">PVLGUIEN</t>
  </si>
  <si>
    <t xml:space="preserve">XQ0N9T87</t>
  </si>
  <si>
    <t xml:space="preserve">IKU97NEU</t>
  </si>
  <si>
    <t xml:space="preserve">456BP2X7</t>
  </si>
  <si>
    <t xml:space="preserve">PGXIPGDM</t>
  </si>
  <si>
    <t xml:space="preserve">U5K2MZB6</t>
  </si>
  <si>
    <t xml:space="preserve">U6XJRWV8</t>
  </si>
  <si>
    <t xml:space="preserve">M857G6G1</t>
  </si>
  <si>
    <t xml:space="preserve">0EYXI1UN</t>
  </si>
  <si>
    <t xml:space="preserve">FVGRGJU8</t>
  </si>
  <si>
    <t xml:space="preserve">CY7C3ZPJ</t>
  </si>
  <si>
    <t xml:space="preserve">NMY6FA6X</t>
  </si>
  <si>
    <t xml:space="preserve">NUQPJV8A</t>
  </si>
  <si>
    <t xml:space="preserve">IGRY0M4Q</t>
  </si>
  <si>
    <t xml:space="preserve">5CZBHSRI</t>
  </si>
  <si>
    <t xml:space="preserve">QP006VDE</t>
  </si>
  <si>
    <t xml:space="preserve">UIX6X6R3</t>
  </si>
  <si>
    <t xml:space="preserve">UJ7BYO6A</t>
  </si>
  <si>
    <t xml:space="preserve">OIFERO7S</t>
  </si>
  <si>
    <t xml:space="preserve">Z2E1UVVB</t>
  </si>
  <si>
    <t xml:space="preserve">1K6HY455</t>
  </si>
  <si>
    <t xml:space="preserve">I6UG2OLX</t>
  </si>
  <si>
    <t xml:space="preserve">3N46WQVI</t>
  </si>
  <si>
    <t xml:space="preserve">ALZNZ666</t>
  </si>
  <si>
    <t xml:space="preserve">3372JYYQ</t>
  </si>
  <si>
    <t xml:space="preserve">XAC1J3TF</t>
  </si>
  <si>
    <t xml:space="preserve">ZIK2R3S7</t>
  </si>
  <si>
    <t xml:space="preserve">8GV0BQTU</t>
  </si>
  <si>
    <t xml:space="preserve">2FMT1053</t>
  </si>
  <si>
    <t xml:space="preserve">8Z4ZMS9U</t>
  </si>
  <si>
    <t xml:space="preserve">6I125KPN</t>
  </si>
  <si>
    <t xml:space="preserve">2YLXKON1</t>
  </si>
  <si>
    <t xml:space="preserve">4G0X8VHP</t>
  </si>
  <si>
    <t xml:space="preserve">Y2EC6KYG</t>
  </si>
  <si>
    <t xml:space="preserve">7AXR8U55</t>
  </si>
  <si>
    <t xml:space="preserve">7X0T2QOL</t>
  </si>
  <si>
    <t xml:space="preserve">7KKFQ7LX</t>
  </si>
  <si>
    <t xml:space="preserve">QNVW1NSS</t>
  </si>
  <si>
    <t xml:space="preserve">SPV7OJTH</t>
  </si>
  <si>
    <t xml:space="preserve">N7G1TU1X</t>
  </si>
  <si>
    <t xml:space="preserve">9GYIYGHW</t>
  </si>
  <si>
    <t xml:space="preserve">DW29KM30</t>
  </si>
  <si>
    <t xml:space="preserve">REO3FMSB</t>
  </si>
  <si>
    <t xml:space="preserve">ZI89S9HC</t>
  </si>
  <si>
    <t xml:space="preserve">C7ODMOS2</t>
  </si>
  <si>
    <t xml:space="preserve">YXXWQA4G</t>
  </si>
  <si>
    <t xml:space="preserve">2O76H591</t>
  </si>
  <si>
    <t xml:space="preserve">EFIR7HGR</t>
  </si>
  <si>
    <t xml:space="preserve">H176AX96</t>
  </si>
  <si>
    <t xml:space="preserve">KDPBAHOJ</t>
  </si>
  <si>
    <t xml:space="preserve">B6Z5NFV0</t>
  </si>
  <si>
    <t xml:space="preserve">VH6OFWCV</t>
  </si>
  <si>
    <t xml:space="preserve">QU6CFZ22</t>
  </si>
  <si>
    <t xml:space="preserve">ZT52DT8H</t>
  </si>
  <si>
    <t xml:space="preserve">V71FMJBD</t>
  </si>
  <si>
    <t xml:space="preserve">SZAMHBGA</t>
  </si>
  <si>
    <t xml:space="preserve">T4FR3FAC</t>
  </si>
  <si>
    <t xml:space="preserve">04SCU6DK</t>
  </si>
  <si>
    <t xml:space="preserve">BCA6Y34B</t>
  </si>
  <si>
    <t xml:space="preserve">125VIRMX</t>
  </si>
  <si>
    <t xml:space="preserve">A7SA2L21</t>
  </si>
  <si>
    <t xml:space="preserve">YFB7Y92U</t>
  </si>
  <si>
    <t xml:space="preserve">SCS5H8V1</t>
  </si>
  <si>
    <t xml:space="preserve">AWORM94L</t>
  </si>
  <si>
    <t xml:space="preserve">SXYJU7LC</t>
  </si>
  <si>
    <t xml:space="preserve">QU220OFI</t>
  </si>
  <si>
    <t xml:space="preserve">B3A6VXVQ</t>
  </si>
  <si>
    <t xml:space="preserve">QKXCMJVB</t>
  </si>
  <si>
    <t xml:space="preserve">USJWM3F3</t>
  </si>
  <si>
    <t xml:space="preserve">X9HFP474</t>
  </si>
  <si>
    <t xml:space="preserve">R0XNAFUB</t>
  </si>
  <si>
    <t xml:space="preserve">8JH8YA79</t>
  </si>
  <si>
    <t xml:space="preserve">ISQJD695</t>
  </si>
  <si>
    <t xml:space="preserve">3CB3WNBM</t>
  </si>
  <si>
    <t xml:space="preserve">39EYEBMK</t>
  </si>
  <si>
    <t xml:space="preserve">LAYVBSH4</t>
  </si>
  <si>
    <t xml:space="preserve">X8M3SCVF</t>
  </si>
  <si>
    <t xml:space="preserve">BKOWQMMV</t>
  </si>
  <si>
    <t xml:space="preserve">2WDSO6PG</t>
  </si>
  <si>
    <t xml:space="preserve">IQFDPIND</t>
  </si>
  <si>
    <t xml:space="preserve">GY10EROJ</t>
  </si>
  <si>
    <t xml:space="preserve">90G292UY</t>
  </si>
  <si>
    <t xml:space="preserve">JDHHDOX8</t>
  </si>
  <si>
    <t xml:space="preserve">KTWP0SMT</t>
  </si>
  <si>
    <t xml:space="preserve">3JW6CZ7K</t>
  </si>
  <si>
    <t xml:space="preserve">0HVUV9OY</t>
  </si>
  <si>
    <t xml:space="preserve">WARBRUXU</t>
  </si>
  <si>
    <t xml:space="preserve">HTEAOHFO</t>
  </si>
  <si>
    <t xml:space="preserve">REAFB3C3</t>
  </si>
  <si>
    <t xml:space="preserve">0Z8ZAS2M</t>
  </si>
  <si>
    <t xml:space="preserve">VRCYXSP1</t>
  </si>
  <si>
    <t xml:space="preserve">QRR70537</t>
  </si>
  <si>
    <t xml:space="preserve">8QDSXHQ8</t>
  </si>
  <si>
    <t xml:space="preserve">TQQDICC6</t>
  </si>
  <si>
    <t xml:space="preserve">YBY3PA1S</t>
  </si>
  <si>
    <t xml:space="preserve">2CZUU9E0</t>
  </si>
  <si>
    <t xml:space="preserve">ZRCQXB38</t>
  </si>
  <si>
    <t xml:space="preserve">K6MTPSB5</t>
  </si>
  <si>
    <t xml:space="preserve">D2QPN9LN</t>
  </si>
  <si>
    <t xml:space="preserve">EYBMEX1Z</t>
  </si>
  <si>
    <t xml:space="preserve">MIGDLH14</t>
  </si>
  <si>
    <t xml:space="preserve">7OZ7L8BB</t>
  </si>
  <si>
    <t xml:space="preserve">QGXJLNK1</t>
  </si>
  <si>
    <t xml:space="preserve">E3Z74U5K</t>
  </si>
  <si>
    <t xml:space="preserve">Q3HHDSDS</t>
  </si>
  <si>
    <t xml:space="preserve">7MP6KLZO</t>
  </si>
  <si>
    <t xml:space="preserve">806KPNNN</t>
  </si>
  <si>
    <t xml:space="preserve">VVO21D4Z</t>
  </si>
  <si>
    <t xml:space="preserve">APIB681L</t>
  </si>
  <si>
    <t xml:space="preserve">TFSKOBH7</t>
  </si>
  <si>
    <t xml:space="preserve">PQL5GITI</t>
  </si>
  <si>
    <t xml:space="preserve">BEDNZXVE</t>
  </si>
  <si>
    <t xml:space="preserve">Y3TOQUQI</t>
  </si>
  <si>
    <t xml:space="preserve">G2XP6IGJ</t>
  </si>
  <si>
    <t xml:space="preserve">VO1YR5CY</t>
  </si>
  <si>
    <t xml:space="preserve">G0DTQHIC</t>
  </si>
  <si>
    <t xml:space="preserve">T50TV9SO</t>
  </si>
  <si>
    <t xml:space="preserve">64KHY8MT</t>
  </si>
  <si>
    <t xml:space="preserve">5PWO4RPC</t>
  </si>
  <si>
    <t xml:space="preserve">WX546S1D</t>
  </si>
  <si>
    <t xml:space="preserve">EN8JHUXA</t>
  </si>
  <si>
    <t xml:space="preserve">I3IRJZRL</t>
  </si>
  <si>
    <t xml:space="preserve">P7MSQO38</t>
  </si>
  <si>
    <t xml:space="preserve">DXRG254A</t>
  </si>
  <si>
    <t xml:space="preserve">VIFA2I18</t>
  </si>
  <si>
    <t xml:space="preserve">V3G1HBTZ</t>
  </si>
  <si>
    <t xml:space="preserve">XV41LZYE</t>
  </si>
  <si>
    <t xml:space="preserve">0RI2I8ZL</t>
  </si>
  <si>
    <t xml:space="preserve">3L3W9W8I</t>
  </si>
  <si>
    <t xml:space="preserve">M2ZRU2UH</t>
  </si>
  <si>
    <t xml:space="preserve">NX2EICNQ</t>
  </si>
  <si>
    <t xml:space="preserve">NJNY07JZ</t>
  </si>
  <si>
    <t xml:space="preserve">SPMQ0BHA</t>
  </si>
  <si>
    <t xml:space="preserve">FQI66XXN</t>
  </si>
  <si>
    <t xml:space="preserve">ERD6D5K3</t>
  </si>
  <si>
    <t xml:space="preserve">VVM42VWQ</t>
  </si>
  <si>
    <t xml:space="preserve">CUZDYOOO</t>
  </si>
  <si>
    <t xml:space="preserve">OVLGWURN</t>
  </si>
  <si>
    <t xml:space="preserve">UHIIYU2J</t>
  </si>
  <si>
    <t xml:space="preserve">ABT1TDH1</t>
  </si>
  <si>
    <t xml:space="preserve">GWQX8BSZ</t>
  </si>
  <si>
    <t xml:space="preserve">D9NLFAEG</t>
  </si>
  <si>
    <t xml:space="preserve">ICG3THQK</t>
  </si>
  <si>
    <t xml:space="preserve">4XXAK1QL</t>
  </si>
  <si>
    <t xml:space="preserve">WU81R3XH</t>
  </si>
  <si>
    <t xml:space="preserve">Q65B52C5</t>
  </si>
  <si>
    <t xml:space="preserve">RZXMIHGO</t>
  </si>
  <si>
    <t xml:space="preserve">YE7F777U</t>
  </si>
  <si>
    <t xml:space="preserve">URQYDGX8</t>
  </si>
  <si>
    <t xml:space="preserve">6RZ5GSAB</t>
  </si>
  <si>
    <t xml:space="preserve">7VSFD2MV</t>
  </si>
  <si>
    <t xml:space="preserve">XB1ZV04H</t>
  </si>
  <si>
    <t xml:space="preserve">CPOA6FVA</t>
  </si>
  <si>
    <t xml:space="preserve">5VW9YVTU</t>
  </si>
  <si>
    <t xml:space="preserve">4PNXMXXC</t>
  </si>
  <si>
    <t xml:space="preserve">9P180HVQ</t>
  </si>
  <si>
    <t xml:space="preserve">04T6SOQW</t>
  </si>
  <si>
    <t xml:space="preserve">693K7IAT</t>
  </si>
  <si>
    <t xml:space="preserve">9AESK6QV</t>
  </si>
  <si>
    <t xml:space="preserve">CLRPASVW</t>
  </si>
  <si>
    <t xml:space="preserve">FS60AX8A</t>
  </si>
  <si>
    <t xml:space="preserve">S931EBRN</t>
  </si>
  <si>
    <t xml:space="preserve">BJH89YWM</t>
  </si>
  <si>
    <t xml:space="preserve">EVXPG3V5</t>
  </si>
  <si>
    <t xml:space="preserve">298J5EM0</t>
  </si>
  <si>
    <t xml:space="preserve">MBPJUJ7F</t>
  </si>
  <si>
    <t xml:space="preserve">99EA6HXJ</t>
  </si>
  <si>
    <t xml:space="preserve">P4D1NK6D</t>
  </si>
  <si>
    <t xml:space="preserve">UMF3KRCL</t>
  </si>
  <si>
    <t xml:space="preserve">27REMGYU</t>
  </si>
  <si>
    <t xml:space="preserve">O0L6JUYE</t>
  </si>
  <si>
    <t xml:space="preserve">B96E3BBD</t>
  </si>
  <si>
    <t xml:space="preserve">MQEFGUOG</t>
  </si>
  <si>
    <t xml:space="preserve">EEQV0YY4</t>
  </si>
  <si>
    <t xml:space="preserve">7O1UQ19W</t>
  </si>
  <si>
    <t xml:space="preserve">DFSFEADV</t>
  </si>
  <si>
    <t xml:space="preserve">Y8ZUSC9C</t>
  </si>
  <si>
    <t xml:space="preserve">8254HM4E</t>
  </si>
  <si>
    <t xml:space="preserve">SKBDCYV5</t>
  </si>
  <si>
    <t xml:space="preserve">J58BUYQH</t>
  </si>
  <si>
    <t xml:space="preserve">7Y530NLJ</t>
  </si>
  <si>
    <t xml:space="preserve">K6M3EX4O</t>
  </si>
  <si>
    <t xml:space="preserve">K8LRZ95S</t>
  </si>
  <si>
    <t xml:space="preserve">MRWHJE9P</t>
  </si>
  <si>
    <t xml:space="preserve">VY4IVO2W</t>
  </si>
  <si>
    <t xml:space="preserve">BDUNPUWY</t>
  </si>
  <si>
    <t xml:space="preserve">OTJR9SSK</t>
  </si>
  <si>
    <t xml:space="preserve">CEEJ2EN5</t>
  </si>
  <si>
    <t xml:space="preserve">ZH14SZPT</t>
  </si>
  <si>
    <t xml:space="preserve">60NIT1PM</t>
  </si>
  <si>
    <t xml:space="preserve">44Y3J17P</t>
  </si>
  <si>
    <t xml:space="preserve">LCQ934W7</t>
  </si>
  <si>
    <t xml:space="preserve">Z236WCM1</t>
  </si>
  <si>
    <t xml:space="preserve">J71N4WQ6</t>
  </si>
  <si>
    <t xml:space="preserve">RIC5ZHK4</t>
  </si>
  <si>
    <t xml:space="preserve">0AQGBN7B</t>
  </si>
  <si>
    <t xml:space="preserve">K5GFWLKM</t>
  </si>
  <si>
    <t xml:space="preserve">8SVMGDPA</t>
  </si>
  <si>
    <t xml:space="preserve">BJO24Z5A</t>
  </si>
  <si>
    <t xml:space="preserve">T4FQOS6J</t>
  </si>
  <si>
    <t xml:space="preserve">M3IMVC9G</t>
  </si>
  <si>
    <t xml:space="preserve">XRO7PMA2</t>
  </si>
  <si>
    <t xml:space="preserve">7D75QXBD</t>
  </si>
  <si>
    <t xml:space="preserve">BRFHWGVC</t>
  </si>
  <si>
    <t xml:space="preserve">WM7XURV6</t>
  </si>
  <si>
    <t xml:space="preserve">U177IWW0</t>
  </si>
  <si>
    <t xml:space="preserve">HYSOZRCG</t>
  </si>
  <si>
    <t xml:space="preserve">3H3TNCP5</t>
  </si>
  <si>
    <t xml:space="preserve">IBZI95HI</t>
  </si>
  <si>
    <t xml:space="preserve">BO1ZOZG2</t>
  </si>
  <si>
    <t xml:space="preserve">MPME6VZD</t>
  </si>
  <si>
    <t xml:space="preserve">GIPPUV2F</t>
  </si>
  <si>
    <t xml:space="preserve">F8QQEW1W</t>
  </si>
  <si>
    <t xml:space="preserve">R9AVNYCO</t>
  </si>
  <si>
    <t xml:space="preserve">BJJQSJD8</t>
  </si>
  <si>
    <t xml:space="preserve">T56J7ES7</t>
  </si>
  <si>
    <t xml:space="preserve">5653N8BM</t>
  </si>
  <si>
    <t xml:space="preserve">TNWCER5C</t>
  </si>
  <si>
    <t xml:space="preserve">SE6OIGYN</t>
  </si>
  <si>
    <t xml:space="preserve">WA4TPQ5U</t>
  </si>
  <si>
    <t xml:space="preserve">JS5N8USN</t>
  </si>
  <si>
    <t xml:space="preserve">NEFPSWOJ</t>
  </si>
  <si>
    <t xml:space="preserve">H3DYTZIQ</t>
  </si>
  <si>
    <t xml:space="preserve">961ED0B1</t>
  </si>
  <si>
    <t xml:space="preserve">LLQCQOCR</t>
  </si>
  <si>
    <t xml:space="preserve">10THTNLC</t>
  </si>
  <si>
    <t xml:space="preserve">ND0OV6MQ</t>
  </si>
  <si>
    <t xml:space="preserve">ZD1X3R4G</t>
  </si>
  <si>
    <t xml:space="preserve">BMH2FEGF</t>
  </si>
  <si>
    <t xml:space="preserve">3T23AW36</t>
  </si>
  <si>
    <t xml:space="preserve">JUHQ1POT</t>
  </si>
  <si>
    <t xml:space="preserve">AR33M33M</t>
  </si>
  <si>
    <t xml:space="preserve">Z9S1ZX7W</t>
  </si>
  <si>
    <t xml:space="preserve">HIV4W2E0</t>
  </si>
  <si>
    <t xml:space="preserve">OLVI7L8M</t>
  </si>
  <si>
    <t xml:space="preserve">UAE5ZC7O</t>
  </si>
  <si>
    <t xml:space="preserve">ICMXZOVL</t>
  </si>
  <si>
    <t xml:space="preserve">WALNFJ70</t>
  </si>
  <si>
    <t xml:space="preserve">MNVMY83P</t>
  </si>
  <si>
    <t xml:space="preserve">KV2OFRJT</t>
  </si>
  <si>
    <t xml:space="preserve">EZVKSQ9C</t>
  </si>
  <si>
    <t xml:space="preserve">DWUXMAGZ</t>
  </si>
  <si>
    <t xml:space="preserve">K5CWSFCW</t>
  </si>
  <si>
    <t xml:space="preserve">SQLYCFGV</t>
  </si>
  <si>
    <t xml:space="preserve">C8TV7R8A</t>
  </si>
  <si>
    <t xml:space="preserve">0U3WVJO0</t>
  </si>
  <si>
    <t xml:space="preserve">2HT2R2GY</t>
  </si>
  <si>
    <t xml:space="preserve">13GM5I6M</t>
  </si>
  <si>
    <t xml:space="preserve">QM6VR1H5</t>
  </si>
  <si>
    <t xml:space="preserve">M16D8PYH</t>
  </si>
  <si>
    <t xml:space="preserve">T7T1YIM7</t>
  </si>
  <si>
    <t xml:space="preserve">Y6UBZM6P</t>
  </si>
  <si>
    <t xml:space="preserve">RIW4VWBW</t>
  </si>
  <si>
    <t xml:space="preserve">RW39Y63V</t>
  </si>
  <si>
    <t xml:space="preserve">8LW65NDL</t>
  </si>
  <si>
    <t xml:space="preserve">CJ2ON1LV</t>
  </si>
  <si>
    <t xml:space="preserve">4I8X7EMW</t>
  </si>
  <si>
    <t xml:space="preserve">UQQE9ILV</t>
  </si>
  <si>
    <t xml:space="preserve">5VYJCJAE</t>
  </si>
  <si>
    <t xml:space="preserve">BTUG5VDL</t>
  </si>
  <si>
    <t xml:space="preserve">S3W6Q07M</t>
  </si>
  <si>
    <t xml:space="preserve">DZ57QIQN</t>
  </si>
  <si>
    <t xml:space="preserve">OZ5S8NCK</t>
  </si>
  <si>
    <t xml:space="preserve">PMEENWD5</t>
  </si>
  <si>
    <t xml:space="preserve">4NGSQODD</t>
  </si>
  <si>
    <t xml:space="preserve">5BE27MLY</t>
  </si>
  <si>
    <t xml:space="preserve">8YIANRVX</t>
  </si>
  <si>
    <t xml:space="preserve">HZIU2NOT</t>
  </si>
  <si>
    <t xml:space="preserve">30R81VZX</t>
  </si>
  <si>
    <t xml:space="preserve">7VOW7BUJ</t>
  </si>
  <si>
    <t xml:space="preserve">2J5E145N</t>
  </si>
  <si>
    <t xml:space="preserve">B5A1BERF</t>
  </si>
  <si>
    <t xml:space="preserve">L2S4T3VA</t>
  </si>
  <si>
    <t xml:space="preserve">ZHXIDZNI</t>
  </si>
  <si>
    <t xml:space="preserve">5BXUKFPR</t>
  </si>
  <si>
    <t xml:space="preserve">B06D1F9M</t>
  </si>
  <si>
    <t xml:space="preserve">W24IDMVV</t>
  </si>
  <si>
    <t xml:space="preserve">JQA8H6M5</t>
  </si>
  <si>
    <t xml:space="preserve">INBGKE14</t>
  </si>
  <si>
    <t xml:space="preserve">Y7N97FW8</t>
  </si>
  <si>
    <t xml:space="preserve">6HG76L6U</t>
  </si>
  <si>
    <t xml:space="preserve">1GIP77EP</t>
  </si>
  <si>
    <t xml:space="preserve">NOLCZMV6</t>
  </si>
  <si>
    <t xml:space="preserve">03VCDZEE</t>
  </si>
  <si>
    <t xml:space="preserve">NR947OAB</t>
  </si>
  <si>
    <t xml:space="preserve">LMKNU8IZ</t>
  </si>
  <si>
    <t xml:space="preserve">R5RSH4JV</t>
  </si>
  <si>
    <t xml:space="preserve">X1D1HYMM</t>
  </si>
  <si>
    <t xml:space="preserve">DN6SG3US</t>
  </si>
  <si>
    <t xml:space="preserve">9E8A7MQ8</t>
  </si>
  <si>
    <t xml:space="preserve">JSZZN48S</t>
  </si>
  <si>
    <t xml:space="preserve">KVR52YDI</t>
  </si>
  <si>
    <t xml:space="preserve">XRDF1NAB</t>
  </si>
  <si>
    <t xml:space="preserve">QRQ8C6MQ</t>
  </si>
  <si>
    <t xml:space="preserve">ZG8WPG99</t>
  </si>
  <si>
    <t xml:space="preserve">TV300INP</t>
  </si>
  <si>
    <t xml:space="preserve">7TI1WTV9</t>
  </si>
  <si>
    <t xml:space="preserve">01EH41WA</t>
  </si>
  <si>
    <t xml:space="preserve">NGCM47PC</t>
  </si>
  <si>
    <t xml:space="preserve">1B27CZ2M</t>
  </si>
  <si>
    <t xml:space="preserve">QHJ3W8FW</t>
  </si>
  <si>
    <t xml:space="preserve">V74O6XQT</t>
  </si>
  <si>
    <t xml:space="preserve">MN6E59H6</t>
  </si>
  <si>
    <t xml:space="preserve">7PXJ92C5</t>
  </si>
  <si>
    <t xml:space="preserve">RQULJHTU</t>
  </si>
  <si>
    <t xml:space="preserve">WFCEPHD3</t>
  </si>
  <si>
    <t xml:space="preserve">AF7XJNED</t>
  </si>
  <si>
    <t xml:space="preserve">04YGLJ3N</t>
  </si>
  <si>
    <t xml:space="preserve">IN9S33CD</t>
  </si>
  <si>
    <t xml:space="preserve">1GT10YJD</t>
  </si>
  <si>
    <t xml:space="preserve">PD2198ZH</t>
  </si>
  <si>
    <t xml:space="preserve">9FPDDSIJ</t>
  </si>
  <si>
    <t xml:space="preserve">8GE7FY98</t>
  </si>
  <si>
    <t xml:space="preserve">ODGKZEVV</t>
  </si>
  <si>
    <t xml:space="preserve">M41NS5DN</t>
  </si>
  <si>
    <t xml:space="preserve">CR6ZLEWC</t>
  </si>
  <si>
    <t xml:space="preserve">43LFUTVM</t>
  </si>
  <si>
    <t xml:space="preserve">6R6S91WE</t>
  </si>
  <si>
    <t xml:space="preserve">97PFKCPG</t>
  </si>
  <si>
    <t xml:space="preserve">5G4I94TF</t>
  </si>
  <si>
    <t xml:space="preserve">EB89ONZN</t>
  </si>
  <si>
    <t xml:space="preserve">WW1WV7IT</t>
  </si>
  <si>
    <t xml:space="preserve">LIQZNH9U</t>
  </si>
  <si>
    <t xml:space="preserve">DOGKQHQP</t>
  </si>
  <si>
    <t xml:space="preserve">KKRJ6TBY</t>
  </si>
  <si>
    <t xml:space="preserve">20CVXRTX</t>
  </si>
  <si>
    <t xml:space="preserve">DQ7GS2BN</t>
  </si>
  <si>
    <t xml:space="preserve">D5VY17OP</t>
  </si>
  <si>
    <t xml:space="preserve">BED55OSG</t>
  </si>
  <si>
    <t xml:space="preserve">MB7G8DWS</t>
  </si>
  <si>
    <t xml:space="preserve">2HS1C21I</t>
  </si>
  <si>
    <t xml:space="preserve">LXZD2PZD</t>
  </si>
  <si>
    <t xml:space="preserve">D62905BC</t>
  </si>
  <si>
    <t xml:space="preserve">HAXMC4IX</t>
  </si>
  <si>
    <t xml:space="preserve">UP409DSB</t>
  </si>
  <si>
    <t xml:space="preserve">ZZY4516R</t>
  </si>
  <si>
    <t xml:space="preserve">GYB4W2AU</t>
  </si>
  <si>
    <t xml:space="preserve">PFFHM7HR</t>
  </si>
  <si>
    <t xml:space="preserve">IBEUTCSW</t>
  </si>
  <si>
    <t xml:space="preserve">ZOBJHMAF</t>
  </si>
  <si>
    <t xml:space="preserve">A194RP0I</t>
  </si>
  <si>
    <t xml:space="preserve">ERFRHR3Z</t>
  </si>
  <si>
    <t xml:space="preserve">NKPH3EFG</t>
  </si>
  <si>
    <t xml:space="preserve">B00UMAV4</t>
  </si>
  <si>
    <t xml:space="preserve">QR2BDRAI</t>
  </si>
  <si>
    <t xml:space="preserve">VPXW8RJS</t>
  </si>
  <si>
    <t xml:space="preserve">WRUG19FZ</t>
  </si>
  <si>
    <t xml:space="preserve">VKT0UN11</t>
  </si>
  <si>
    <t xml:space="preserve">PK1PS0KR</t>
  </si>
  <si>
    <t xml:space="preserve">1D54L027</t>
  </si>
  <si>
    <t xml:space="preserve">KBR253C0</t>
  </si>
  <si>
    <t xml:space="preserve">IVJP36UT</t>
  </si>
  <si>
    <t xml:space="preserve">5P3NH791</t>
  </si>
  <si>
    <t xml:space="preserve">5RNWV17L</t>
  </si>
  <si>
    <t xml:space="preserve">E887HZT1</t>
  </si>
  <si>
    <t xml:space="preserve">SWJ9OOZU</t>
  </si>
  <si>
    <t xml:space="preserve">81MXE1H7</t>
  </si>
  <si>
    <t xml:space="preserve">VJ5QGP8Z</t>
  </si>
  <si>
    <t xml:space="preserve">84LN84VM</t>
  </si>
  <si>
    <t xml:space="preserve">G5JP0G7Q</t>
  </si>
  <si>
    <t xml:space="preserve">RVH3UUKY</t>
  </si>
  <si>
    <t xml:space="preserve">0IO43YMS</t>
  </si>
  <si>
    <t xml:space="preserve">9SLINQY5</t>
  </si>
  <si>
    <t xml:space="preserve">ESZY10SI</t>
  </si>
  <si>
    <t xml:space="preserve">4E5A84H1</t>
  </si>
  <si>
    <t xml:space="preserve">GVYF29NM</t>
  </si>
  <si>
    <t xml:space="preserve">FZC2J90W</t>
  </si>
  <si>
    <t xml:space="preserve">9X2S0K15</t>
  </si>
  <si>
    <t xml:space="preserve">WUNMIJW9</t>
  </si>
  <si>
    <t xml:space="preserve">FYN7C0CV</t>
  </si>
  <si>
    <t xml:space="preserve">71GQNH5T</t>
  </si>
  <si>
    <t xml:space="preserve">YQ0Y0YQS</t>
  </si>
  <si>
    <t xml:space="preserve">RFQP9VCW</t>
  </si>
  <si>
    <t xml:space="preserve">ZRYPU2QW</t>
  </si>
  <si>
    <t xml:space="preserve">ILR33OAV</t>
  </si>
  <si>
    <t xml:space="preserve">Y28VHZKQ</t>
  </si>
  <si>
    <t xml:space="preserve">MRCYKUX4</t>
  </si>
  <si>
    <t xml:space="preserve">10IY4PV4</t>
  </si>
  <si>
    <t xml:space="preserve">A1TDRYHZ</t>
  </si>
  <si>
    <t xml:space="preserve">5C8HCDXT</t>
  </si>
  <si>
    <t xml:space="preserve">9Y85N0W5</t>
  </si>
  <si>
    <t xml:space="preserve">QIHWKCFK</t>
  </si>
  <si>
    <t xml:space="preserve">KMB8TJ0I</t>
  </si>
  <si>
    <t xml:space="preserve">CMS1HUGL</t>
  </si>
  <si>
    <t xml:space="preserve">XFB1VXQY</t>
  </si>
  <si>
    <t xml:space="preserve">TJ03NDNX</t>
  </si>
  <si>
    <t xml:space="preserve">J6OQS0AU</t>
  </si>
  <si>
    <t xml:space="preserve">G3SJ8X1K</t>
  </si>
  <si>
    <t xml:space="preserve">MIY4MF3R</t>
  </si>
  <si>
    <t xml:space="preserve">H6I16U57</t>
  </si>
  <si>
    <t xml:space="preserve">VK9KN5PT</t>
  </si>
  <si>
    <t xml:space="preserve">PNO7D8PD</t>
  </si>
  <si>
    <t xml:space="preserve">UUGY3W44</t>
  </si>
  <si>
    <t xml:space="preserve">XDECB9X2</t>
  </si>
  <si>
    <t xml:space="preserve">81G840FM</t>
  </si>
  <si>
    <t xml:space="preserve">6S2ABHZS</t>
  </si>
  <si>
    <t xml:space="preserve">LWPFQ1UA</t>
  </si>
  <si>
    <t xml:space="preserve">E4082SMQ</t>
  </si>
  <si>
    <t xml:space="preserve">C9330YF1</t>
  </si>
  <si>
    <t xml:space="preserve">QD8F0CI6</t>
  </si>
  <si>
    <t xml:space="preserve">WGETO859</t>
  </si>
  <si>
    <t xml:space="preserve">CTWSDG4U</t>
  </si>
  <si>
    <t xml:space="preserve">S2MSQIXP</t>
  </si>
  <si>
    <t xml:space="preserve">U2HYH97X</t>
  </si>
  <si>
    <t xml:space="preserve">4QFATB6J</t>
  </si>
  <si>
    <t xml:space="preserve">JNEQWZQK</t>
  </si>
  <si>
    <t xml:space="preserve">9HYMQL4I</t>
  </si>
  <si>
    <t xml:space="preserve">HHDQ9EW4</t>
  </si>
  <si>
    <t xml:space="preserve">UEZOR630</t>
  </si>
  <si>
    <t xml:space="preserve">OTLQMB5X</t>
  </si>
  <si>
    <t xml:space="preserve">7DT8UKKY</t>
  </si>
  <si>
    <t xml:space="preserve">I92EJ805</t>
  </si>
  <si>
    <t xml:space="preserve">RG893DYQ</t>
  </si>
  <si>
    <t xml:space="preserve">WQSJNIEZ</t>
  </si>
  <si>
    <t xml:space="preserve">FWTTJ2G8</t>
  </si>
  <si>
    <t xml:space="preserve">HFUZQFQQ</t>
  </si>
  <si>
    <t xml:space="preserve">246MLWZ7</t>
  </si>
  <si>
    <t xml:space="preserve">Q2RY668B</t>
  </si>
  <si>
    <t xml:space="preserve">VBFYOCDO</t>
  </si>
  <si>
    <t xml:space="preserve">T5SX9Z3T</t>
  </si>
  <si>
    <t xml:space="preserve">VPG5E490</t>
  </si>
  <si>
    <t xml:space="preserve">8I84MV5A</t>
  </si>
  <si>
    <t xml:space="preserve">5IQAJGCU</t>
  </si>
  <si>
    <t xml:space="preserve">LTVGILHP</t>
  </si>
  <si>
    <t xml:space="preserve">HY94AVIW</t>
  </si>
  <si>
    <t xml:space="preserve">848QSODT</t>
  </si>
  <si>
    <t xml:space="preserve">X4FW4JR1</t>
  </si>
  <si>
    <t xml:space="preserve">HF2DSIT5</t>
  </si>
  <si>
    <t xml:space="preserve">BTRIUUWG</t>
  </si>
  <si>
    <t xml:space="preserve">0K59ZLQC</t>
  </si>
  <si>
    <t xml:space="preserve">UFL6ZQDV</t>
  </si>
  <si>
    <t xml:space="preserve">MGD7DZAU</t>
  </si>
  <si>
    <t xml:space="preserve">CX0SXNCN</t>
  </si>
  <si>
    <t xml:space="preserve">RE3UNESR</t>
  </si>
  <si>
    <t xml:space="preserve">11V16SZZ</t>
  </si>
  <si>
    <t xml:space="preserve">G1L2YY5P</t>
  </si>
  <si>
    <t xml:space="preserve">OERROEPM</t>
  </si>
  <si>
    <t xml:space="preserve">8G3HB5S6</t>
  </si>
  <si>
    <t xml:space="preserve">YRTI0EKE</t>
  </si>
  <si>
    <t xml:space="preserve">HTBPSC2D</t>
  </si>
  <si>
    <t xml:space="preserve">4LXUITP3</t>
  </si>
  <si>
    <t xml:space="preserve">PIFPDJMN</t>
  </si>
  <si>
    <t xml:space="preserve">D17T8PTH</t>
  </si>
  <si>
    <t xml:space="preserve">RUAU1ORD</t>
  </si>
  <si>
    <t xml:space="preserve">477HSG28</t>
  </si>
  <si>
    <t xml:space="preserve">MCA0202R</t>
  </si>
  <si>
    <t xml:space="preserve">3A7G5K0E</t>
  </si>
  <si>
    <t xml:space="preserve">3VC45PML</t>
  </si>
  <si>
    <t xml:space="preserve">ZU3GICE9</t>
  </si>
  <si>
    <t xml:space="preserve">HKV37WU9</t>
  </si>
  <si>
    <t xml:space="preserve">HABN7JBG</t>
  </si>
  <si>
    <t xml:space="preserve">KSOW4MUK</t>
  </si>
  <si>
    <t xml:space="preserve">EGEJA2HY</t>
  </si>
  <si>
    <t xml:space="preserve">TIPG6R0Z</t>
  </si>
  <si>
    <t xml:space="preserve">XU836DFA</t>
  </si>
  <si>
    <t xml:space="preserve">PCVNB0NO</t>
  </si>
  <si>
    <t xml:space="preserve">2MKG6ZDD</t>
  </si>
  <si>
    <t xml:space="preserve">24REVMX7</t>
  </si>
  <si>
    <t xml:space="preserve">AW4PSTWR</t>
  </si>
  <si>
    <t xml:space="preserve">EMUG64GW</t>
  </si>
  <si>
    <t xml:space="preserve">H9N9DP3D</t>
  </si>
  <si>
    <t xml:space="preserve">35LLMROC</t>
  </si>
  <si>
    <t xml:space="preserve">F5U1ACDD</t>
  </si>
  <si>
    <t xml:space="preserve">579LZ3F9</t>
  </si>
  <si>
    <t xml:space="preserve">SU8JNMP4</t>
  </si>
  <si>
    <t xml:space="preserve">O3KC8QI8</t>
  </si>
  <si>
    <t xml:space="preserve">J53D8EOL</t>
  </si>
  <si>
    <t xml:space="preserve">3ECHUPQY</t>
  </si>
  <si>
    <t xml:space="preserve">IE7VQ5BA</t>
  </si>
  <si>
    <t xml:space="preserve">BTT6YAVZ</t>
  </si>
  <si>
    <t xml:space="preserve">O7UUAK3Y</t>
  </si>
  <si>
    <t xml:space="preserve">dambase</t>
  </si>
  <si>
    <t xml:space="preserve">TLOHEQ18</t>
  </si>
  <si>
    <t xml:space="preserve">LMOAYCUK</t>
  </si>
  <si>
    <t xml:space="preserve">VCSHYIU8</t>
  </si>
  <si>
    <t xml:space="preserve">0OESOJNN</t>
  </si>
  <si>
    <t xml:space="preserve">RPONINLM</t>
  </si>
  <si>
    <t xml:space="preserve">PKDJTR06</t>
  </si>
  <si>
    <t xml:space="preserve">CENVLTFH</t>
  </si>
  <si>
    <t xml:space="preserve">67IKZGGJ</t>
  </si>
  <si>
    <t xml:space="preserve">XYLNH45V</t>
  </si>
  <si>
    <t xml:space="preserve">GVBWTDI3</t>
  </si>
  <si>
    <t xml:space="preserve">VFEV5XBS</t>
  </si>
  <si>
    <t xml:space="preserve">VN8LKQN3</t>
  </si>
  <si>
    <t xml:space="preserve">ZHY9C8OO</t>
  </si>
  <si>
    <t xml:space="preserve">H2MC2E7K</t>
  </si>
  <si>
    <t xml:space="preserve">JCPQZ2SN</t>
  </si>
  <si>
    <t xml:space="preserve">IEAPJ5X1</t>
  </si>
  <si>
    <t xml:space="preserve">TF19VML9</t>
  </si>
  <si>
    <t xml:space="preserve">LXM6CTMS</t>
  </si>
  <si>
    <t xml:space="preserve">FW2XJG9S</t>
  </si>
  <si>
    <t xml:space="preserve">KM1D04JS</t>
  </si>
  <si>
    <t xml:space="preserve">1WHXI2RW</t>
  </si>
  <si>
    <t xml:space="preserve">CYWZJ2AI</t>
  </si>
  <si>
    <t xml:space="preserve">EW28ZONV</t>
  </si>
  <si>
    <t xml:space="preserve">HVZMZW96</t>
  </si>
  <si>
    <t xml:space="preserve">1H1YDS7C</t>
  </si>
  <si>
    <t xml:space="preserve">UI3DE2C4</t>
  </si>
  <si>
    <t xml:space="preserve">25FUROM1</t>
  </si>
  <si>
    <t xml:space="preserve">XRZVJPD5</t>
  </si>
  <si>
    <t xml:space="preserve">SX0SSL0H</t>
  </si>
  <si>
    <t xml:space="preserve">ZQ4QTT1Z</t>
  </si>
  <si>
    <t xml:space="preserve">9A4H9IAC</t>
  </si>
  <si>
    <t xml:space="preserve">SLYFFVBE</t>
  </si>
  <si>
    <t xml:space="preserve">81FNO0VM</t>
  </si>
  <si>
    <t xml:space="preserve">T1F2I8ED</t>
  </si>
  <si>
    <t xml:space="preserve">7VKQWIXD</t>
  </si>
  <si>
    <t xml:space="preserve">4XZ4RY1N</t>
  </si>
  <si>
    <t xml:space="preserve">Z0RLNFVY</t>
  </si>
  <si>
    <t xml:space="preserve">OPCLCCQH</t>
  </si>
  <si>
    <t xml:space="preserve">DF1011UT</t>
  </si>
  <si>
    <t xml:space="preserve">IBS3H6Z4</t>
  </si>
  <si>
    <t xml:space="preserve">3N3RAHXR</t>
  </si>
  <si>
    <t xml:space="preserve">RACLHBXN</t>
  </si>
  <si>
    <t xml:space="preserve">K72CEXGZ</t>
  </si>
  <si>
    <t xml:space="preserve">P1SGQODJ</t>
  </si>
  <si>
    <t xml:space="preserve">3F2ZPCSL</t>
  </si>
  <si>
    <t xml:space="preserve">0QPZIIPF</t>
  </si>
  <si>
    <t xml:space="preserve">H5VBBEVI</t>
  </si>
  <si>
    <t xml:space="preserve">Q2BB73WT</t>
  </si>
  <si>
    <t xml:space="preserve">XM4VD3NN</t>
  </si>
  <si>
    <t xml:space="preserve">EG7OFLFR</t>
  </si>
  <si>
    <t xml:space="preserve">0DRC1U9Q</t>
  </si>
  <si>
    <t xml:space="preserve">M7I5O9YU</t>
  </si>
  <si>
    <t xml:space="preserve">CNM0H9FR</t>
  </si>
  <si>
    <t xml:space="preserve">JUCNIG4H</t>
  </si>
  <si>
    <t xml:space="preserve">J32XDDAW</t>
  </si>
  <si>
    <t xml:space="preserve">RJYG004O</t>
  </si>
  <si>
    <t xml:space="preserve">PYOFK7ZD</t>
  </si>
  <si>
    <t xml:space="preserve">4H2QMS78</t>
  </si>
  <si>
    <t xml:space="preserve">EUG019AS</t>
  </si>
  <si>
    <t xml:space="preserve">AI76U58A</t>
  </si>
  <si>
    <t xml:space="preserve">KFPM2LJW</t>
  </si>
  <si>
    <t xml:space="preserve">2VCDVCIZ</t>
  </si>
  <si>
    <t xml:space="preserve">PMMW9JX3</t>
  </si>
  <si>
    <t xml:space="preserve">9IA34L8S</t>
  </si>
  <si>
    <t xml:space="preserve">Z75ND4JF</t>
  </si>
  <si>
    <t xml:space="preserve">4JHY98UG</t>
  </si>
  <si>
    <t xml:space="preserve">EQCD7G7Q</t>
  </si>
  <si>
    <t xml:space="preserve">DWUD4S0P</t>
  </si>
  <si>
    <t xml:space="preserve">0I6U3MQ6</t>
  </si>
  <si>
    <t xml:space="preserve">JIACLB24</t>
  </si>
  <si>
    <t xml:space="preserve">GR2X90DZ</t>
  </si>
  <si>
    <t xml:space="preserve">Z1WLLL1H</t>
  </si>
  <si>
    <t xml:space="preserve">ETZKANFZ</t>
  </si>
  <si>
    <t xml:space="preserve">F569KUVC</t>
  </si>
  <si>
    <t xml:space="preserve">VYPYVO8V</t>
  </si>
  <si>
    <t xml:space="preserve">379DUF2N</t>
  </si>
  <si>
    <t xml:space="preserve">9W7PFSNX</t>
  </si>
  <si>
    <t xml:space="preserve">USVLKDF4</t>
  </si>
  <si>
    <t xml:space="preserve">YM8DBAFV</t>
  </si>
  <si>
    <t xml:space="preserve">E4THD359</t>
  </si>
  <si>
    <t xml:space="preserve">S6645YWA</t>
  </si>
  <si>
    <t xml:space="preserve">9A9E1KPG</t>
  </si>
  <si>
    <t xml:space="preserve">X3ZSQCH8</t>
  </si>
  <si>
    <t xml:space="preserve">8AJG1YLJ</t>
  </si>
  <si>
    <t xml:space="preserve">VXMFL425</t>
  </si>
  <si>
    <t xml:space="preserve">OZ761BUJ</t>
  </si>
  <si>
    <t xml:space="preserve">92G1TO7L</t>
  </si>
  <si>
    <t xml:space="preserve">SVCKI631</t>
  </si>
  <si>
    <t xml:space="preserve">R2W96FGX</t>
  </si>
  <si>
    <t xml:space="preserve">BNY8MJ6L</t>
  </si>
  <si>
    <t xml:space="preserve">5KK2SSSB</t>
  </si>
  <si>
    <t xml:space="preserve">V3HVIJLL</t>
  </si>
  <si>
    <t xml:space="preserve">WJQ8VD51</t>
  </si>
  <si>
    <t xml:space="preserve">CG9VXPV1</t>
  </si>
  <si>
    <t xml:space="preserve">B4SIVH1O</t>
  </si>
  <si>
    <t xml:space="preserve">Y3CYQGPH</t>
  </si>
  <si>
    <t xml:space="preserve">Q19RWR17</t>
  </si>
  <si>
    <t xml:space="preserve">6PW6ZQEE</t>
  </si>
  <si>
    <t xml:space="preserve">7ONH55WT</t>
  </si>
  <si>
    <t xml:space="preserve">CMKXOOJQ</t>
  </si>
  <si>
    <t xml:space="preserve">STT3X4NB</t>
  </si>
  <si>
    <t xml:space="preserve">4V9NMGEA</t>
  </si>
  <si>
    <t xml:space="preserve">4CXUC4VR</t>
  </si>
  <si>
    <t xml:space="preserve">79EHWR35</t>
  </si>
  <si>
    <t xml:space="preserve">D3ZC338T</t>
  </si>
  <si>
    <t xml:space="preserve">KBQ16F1I</t>
  </si>
  <si>
    <t xml:space="preserve">5JDWBOLS</t>
  </si>
  <si>
    <t xml:space="preserve">LSA39JBG</t>
  </si>
  <si>
    <t xml:space="preserve">AKTPC3M1</t>
  </si>
  <si>
    <t xml:space="preserve">5Z8S8UHK</t>
  </si>
  <si>
    <t xml:space="preserve">6F79VYH8</t>
  </si>
  <si>
    <t xml:space="preserve">ZTLLHCBU</t>
  </si>
  <si>
    <t xml:space="preserve">NCMT5KK3</t>
  </si>
  <si>
    <t xml:space="preserve">JDXSS1HT</t>
  </si>
  <si>
    <t xml:space="preserve">26CH1NDR</t>
  </si>
  <si>
    <t xml:space="preserve">ISAWVDYZ</t>
  </si>
  <si>
    <t xml:space="preserve">839AMI93</t>
  </si>
  <si>
    <t xml:space="preserve">BFGASJAW</t>
  </si>
  <si>
    <t xml:space="preserve">73HO9OZC</t>
  </si>
  <si>
    <t xml:space="preserve">4IT33RBO</t>
  </si>
  <si>
    <t xml:space="preserve">3PVNGGBX</t>
  </si>
  <si>
    <t xml:space="preserve">V4XHHFO3</t>
  </si>
  <si>
    <t xml:space="preserve">GK1NH8G7</t>
  </si>
  <si>
    <t xml:space="preserve">EJDHOY6M</t>
  </si>
  <si>
    <t xml:space="preserve">4UZCVHEV</t>
  </si>
  <si>
    <t xml:space="preserve">H2IOHZ8R</t>
  </si>
  <si>
    <t xml:space="preserve">I7MDOGGU</t>
  </si>
  <si>
    <t xml:space="preserve">THKCN7HU</t>
  </si>
  <si>
    <t xml:space="preserve">ALHQU8W8</t>
  </si>
  <si>
    <t xml:space="preserve">3JUL12VK</t>
  </si>
  <si>
    <t xml:space="preserve">4U9D1IZ5</t>
  </si>
  <si>
    <t xml:space="preserve">PO158L29</t>
  </si>
  <si>
    <t xml:space="preserve">GEJLL5L3</t>
  </si>
  <si>
    <t xml:space="preserve">3T64Z7DB</t>
  </si>
  <si>
    <t xml:space="preserve">VRYR5A81</t>
  </si>
  <si>
    <t xml:space="preserve">I6U62W0R</t>
  </si>
  <si>
    <t xml:space="preserve">NFMCPYOV</t>
  </si>
  <si>
    <t xml:space="preserve">2VDN72EP</t>
  </si>
  <si>
    <t xml:space="preserve">Z9QZKUV5</t>
  </si>
  <si>
    <t xml:space="preserve">T0VJ4AMX</t>
  </si>
  <si>
    <t xml:space="preserve">YLK0MRJ3</t>
  </si>
  <si>
    <t xml:space="preserve">8TRT2HNF</t>
  </si>
  <si>
    <t xml:space="preserve">ZLN48IIP</t>
  </si>
  <si>
    <t xml:space="preserve">VDIU10RV</t>
  </si>
  <si>
    <t xml:space="preserve">KD6MB4AP</t>
  </si>
  <si>
    <t xml:space="preserve">1ZDDZD8B</t>
  </si>
  <si>
    <t xml:space="preserve">6SN2RQJX</t>
  </si>
  <si>
    <t xml:space="preserve">N07K7DR7</t>
  </si>
  <si>
    <t xml:space="preserve">5T8Q2YID</t>
  </si>
  <si>
    <t xml:space="preserve">EWDOBEM6</t>
  </si>
  <si>
    <t xml:space="preserve">CGWJ1WHI</t>
  </si>
  <si>
    <t xml:space="preserve">G39V1X3G</t>
  </si>
  <si>
    <t xml:space="preserve">XYNTWPN1</t>
  </si>
  <si>
    <t xml:space="preserve">6Q67ZUJ1</t>
  </si>
  <si>
    <t xml:space="preserve">MCE5DKD1</t>
  </si>
  <si>
    <t xml:space="preserve">W8CXDBQN</t>
  </si>
  <si>
    <t xml:space="preserve">CT3HBBI2</t>
  </si>
  <si>
    <t xml:space="preserve">K64TY8LU</t>
  </si>
  <si>
    <t xml:space="preserve">A4JROIDO</t>
  </si>
  <si>
    <t xml:space="preserve">N5UIZYIV</t>
  </si>
  <si>
    <t xml:space="preserve">OCGXWE8H</t>
  </si>
  <si>
    <t xml:space="preserve">RP7KA6HS</t>
  </si>
  <si>
    <t xml:space="preserve">P9PFSLS6</t>
  </si>
  <si>
    <t xml:space="preserve">6VIK2VX8</t>
  </si>
  <si>
    <t xml:space="preserve">TH9RV79M</t>
  </si>
  <si>
    <t xml:space="preserve">AF8NG5JC</t>
  </si>
  <si>
    <t xml:space="preserve">CGJ7NRZH</t>
  </si>
  <si>
    <t xml:space="preserve">AMNKCM1H</t>
  </si>
  <si>
    <t xml:space="preserve">MU7JWTP6</t>
  </si>
  <si>
    <t xml:space="preserve">9HRMW8SL</t>
  </si>
  <si>
    <t xml:space="preserve">QDGUWTLU</t>
  </si>
  <si>
    <t xml:space="preserve">F2B62IW4</t>
  </si>
  <si>
    <t xml:space="preserve">DEHQTB8B</t>
  </si>
  <si>
    <t xml:space="preserve">L0GMLGRR</t>
  </si>
  <si>
    <t xml:space="preserve">U7M26UZV</t>
  </si>
  <si>
    <t xml:space="preserve">JA5G7YBO</t>
  </si>
  <si>
    <t xml:space="preserve">CZ8PPZTC</t>
  </si>
  <si>
    <t xml:space="preserve">NMKAJZJ4</t>
  </si>
  <si>
    <t xml:space="preserve">I7BWM5O0</t>
  </si>
  <si>
    <t xml:space="preserve">LJBQ7P0V</t>
  </si>
  <si>
    <t xml:space="preserve">0A1LN7GB</t>
  </si>
  <si>
    <t xml:space="preserve">5XPYFICK</t>
  </si>
  <si>
    <t xml:space="preserve">BY2L60V1</t>
  </si>
  <si>
    <t xml:space="preserve">3E4VTH6E</t>
  </si>
  <si>
    <t xml:space="preserve">F5I33E1I</t>
  </si>
  <si>
    <t xml:space="preserve">DJH67UIZ</t>
  </si>
  <si>
    <t xml:space="preserve">7VGJ2B7O</t>
  </si>
  <si>
    <t xml:space="preserve">2JY9SQ2L</t>
  </si>
  <si>
    <t xml:space="preserve">4RDJBBB6</t>
  </si>
  <si>
    <t xml:space="preserve">GZCWM6GK</t>
  </si>
  <si>
    <t xml:space="preserve">YB20NWM1</t>
  </si>
  <si>
    <t xml:space="preserve">FB9M4FR7</t>
  </si>
  <si>
    <t xml:space="preserve">DFFEQ87N</t>
  </si>
  <si>
    <t xml:space="preserve">BXK5HGEY</t>
  </si>
  <si>
    <t xml:space="preserve">XXUGTDX7</t>
  </si>
  <si>
    <t xml:space="preserve">LWXHKI88</t>
  </si>
  <si>
    <t xml:space="preserve">WLS5J30E</t>
  </si>
  <si>
    <t xml:space="preserve">P9LE92UR</t>
  </si>
  <si>
    <t xml:space="preserve">JW4Q5F4Z</t>
  </si>
  <si>
    <t xml:space="preserve">HVT28XPH</t>
  </si>
  <si>
    <t xml:space="preserve">VM0MHPAO</t>
  </si>
  <si>
    <t xml:space="preserve">BPOTQCFG</t>
  </si>
  <si>
    <t xml:space="preserve">9ILB20UV</t>
  </si>
  <si>
    <t xml:space="preserve">HPIKEMB9</t>
  </si>
  <si>
    <t xml:space="preserve">45B6VA2Y</t>
  </si>
  <si>
    <t xml:space="preserve">FN1QX0BQ</t>
  </si>
  <si>
    <t xml:space="preserve">X8GGF9MG</t>
  </si>
  <si>
    <t xml:space="preserve">3P7QQSVF</t>
  </si>
  <si>
    <t xml:space="preserve">COM9RNBL</t>
  </si>
  <si>
    <t xml:space="preserve">ANRCHVJM</t>
  </si>
  <si>
    <t xml:space="preserve">GACPNKGI</t>
  </si>
  <si>
    <t xml:space="preserve">49ZS7GTS</t>
  </si>
  <si>
    <t xml:space="preserve">5K0ZFCVO</t>
  </si>
  <si>
    <t xml:space="preserve">6AEVX11M</t>
  </si>
  <si>
    <t xml:space="preserve">C32E4E1D</t>
  </si>
  <si>
    <t xml:space="preserve">IIVP87B8</t>
  </si>
  <si>
    <t xml:space="preserve">61E7IHAY</t>
  </si>
  <si>
    <t xml:space="preserve">KTC0RC8I</t>
  </si>
  <si>
    <t xml:space="preserve">M9GP930T</t>
  </si>
  <si>
    <t xml:space="preserve">INKH0Y59</t>
  </si>
  <si>
    <t xml:space="preserve">OSMGVV1S</t>
  </si>
  <si>
    <t xml:space="preserve">7882RJGY</t>
  </si>
  <si>
    <t xml:space="preserve">VP8ERXPR</t>
  </si>
  <si>
    <t xml:space="preserve">R9U1QNHQ</t>
  </si>
  <si>
    <t xml:space="preserve">J9OP2A5I</t>
  </si>
  <si>
    <t xml:space="preserve">LR45YFE4</t>
  </si>
  <si>
    <t xml:space="preserve">KF05URX0</t>
  </si>
  <si>
    <t xml:space="preserve">7YT7NRV9</t>
  </si>
  <si>
    <t xml:space="preserve">OK39IHP1</t>
  </si>
  <si>
    <t xml:space="preserve">CX4ZLSDW</t>
  </si>
  <si>
    <t xml:space="preserve">ZJQKUIZ4</t>
  </si>
  <si>
    <t xml:space="preserve">CYB0NUCJ</t>
  </si>
  <si>
    <t xml:space="preserve">6BIZ2MB6</t>
  </si>
  <si>
    <t xml:space="preserve">E5V4WT18</t>
  </si>
  <si>
    <t xml:space="preserve">EPSIB2JR</t>
  </si>
  <si>
    <t xml:space="preserve">SIBR2J01</t>
  </si>
  <si>
    <t xml:space="preserve">ZTVWSE98</t>
  </si>
  <si>
    <t xml:space="preserve">YTGQKC7A</t>
  </si>
  <si>
    <t xml:space="preserve">XTE9XJTS</t>
  </si>
  <si>
    <t xml:space="preserve">7J0ZLDB1</t>
  </si>
  <si>
    <t xml:space="preserve">XQY4Z4KI</t>
  </si>
  <si>
    <t xml:space="preserve">RKVXBXBM</t>
  </si>
  <si>
    <t xml:space="preserve">IQMW1VDP</t>
  </si>
  <si>
    <t xml:space="preserve">S2J63YRV</t>
  </si>
  <si>
    <t xml:space="preserve">FHM7LYZ3</t>
  </si>
  <si>
    <t xml:space="preserve">WTAM4BED</t>
  </si>
  <si>
    <t xml:space="preserve">OXNWRI4I</t>
  </si>
  <si>
    <t xml:space="preserve">L1YN7LDL</t>
  </si>
  <si>
    <t xml:space="preserve">3C5GNT3Q</t>
  </si>
  <si>
    <t xml:space="preserve">0LRVHITK</t>
  </si>
  <si>
    <t xml:space="preserve">E29GOFUV</t>
  </si>
  <si>
    <t xml:space="preserve">RUFJMV3I</t>
  </si>
  <si>
    <t xml:space="preserve">VHZFABAC</t>
  </si>
  <si>
    <t xml:space="preserve">BJOY31DL</t>
  </si>
  <si>
    <t xml:space="preserve">HSYU33MS</t>
  </si>
  <si>
    <t xml:space="preserve">S2SC8AP7</t>
  </si>
  <si>
    <t xml:space="preserve">HLDA8IA1</t>
  </si>
  <si>
    <t xml:space="preserve">UGB3A3CE</t>
  </si>
  <si>
    <t xml:space="preserve">ORM1IRQ2</t>
  </si>
  <si>
    <t xml:space="preserve">D193SPY4</t>
  </si>
  <si>
    <t xml:space="preserve">21OMR381</t>
  </si>
  <si>
    <t xml:space="preserve">4LOHS2AJ</t>
  </si>
  <si>
    <t xml:space="preserve">8BYEALF9</t>
  </si>
  <si>
    <t xml:space="preserve">CI9S6CST</t>
  </si>
  <si>
    <t xml:space="preserve">EJDRMHNC</t>
  </si>
  <si>
    <t xml:space="preserve">055Z2OAS</t>
  </si>
  <si>
    <t xml:space="preserve">Q9VC6GV0</t>
  </si>
  <si>
    <t xml:space="preserve">8D8JOXP6</t>
  </si>
  <si>
    <t xml:space="preserve">IPHP2GVT</t>
  </si>
  <si>
    <t xml:space="preserve">LDK61ORQ</t>
  </si>
  <si>
    <t xml:space="preserve">HIVUC1C4</t>
  </si>
  <si>
    <t xml:space="preserve">DNBR1VHP</t>
  </si>
  <si>
    <t xml:space="preserve">1R2CLEGQ</t>
  </si>
  <si>
    <t xml:space="preserve">0NSRB3EO</t>
  </si>
  <si>
    <t xml:space="preserve">A3T91VUM</t>
  </si>
  <si>
    <t xml:space="preserve">T9QD8U1Y</t>
  </si>
  <si>
    <t xml:space="preserve">GVJFKHNL</t>
  </si>
  <si>
    <t xml:space="preserve">VJ9K12PY</t>
  </si>
  <si>
    <t xml:space="preserve">GE4QGOCI</t>
  </si>
  <si>
    <t xml:space="preserve">EUBMHJGQ</t>
  </si>
  <si>
    <t xml:space="preserve">FEFNNXH1</t>
  </si>
  <si>
    <t xml:space="preserve">3DATPTEH</t>
  </si>
  <si>
    <t xml:space="preserve">FT5U6NIG</t>
  </si>
  <si>
    <t xml:space="preserve">RQF6II3D</t>
  </si>
  <si>
    <t xml:space="preserve">UAX2OR58</t>
  </si>
  <si>
    <t xml:space="preserve">33BMGHPN</t>
  </si>
  <si>
    <t xml:space="preserve">XNHTLVT1</t>
  </si>
  <si>
    <t xml:space="preserve">E26Z10W7</t>
  </si>
  <si>
    <t xml:space="preserve">AWCGYWTE</t>
  </si>
  <si>
    <t xml:space="preserve">UJTU7DUB</t>
  </si>
  <si>
    <t xml:space="preserve">MM79TSUR</t>
  </si>
  <si>
    <t xml:space="preserve">INLVV78V</t>
  </si>
  <si>
    <t xml:space="preserve">4JTH72JR</t>
  </si>
  <si>
    <t xml:space="preserve">J732416R</t>
  </si>
  <si>
    <t xml:space="preserve">IAUXJ05J</t>
  </si>
  <si>
    <t xml:space="preserve">6GG9CSTV</t>
  </si>
  <si>
    <t xml:space="preserve">5WSQ6D2E</t>
  </si>
  <si>
    <t xml:space="preserve">P3Z2LYCL</t>
  </si>
  <si>
    <t xml:space="preserve">WSQHC199</t>
  </si>
  <si>
    <t xml:space="preserve">7AFBJFP5</t>
  </si>
  <si>
    <t xml:space="preserve">2TYZRE2R</t>
  </si>
  <si>
    <t xml:space="preserve">Z7EBMMAE</t>
  </si>
  <si>
    <t xml:space="preserve">KT4OEP4X</t>
  </si>
  <si>
    <t xml:space="preserve">ODHVHXKS</t>
  </si>
  <si>
    <t xml:space="preserve">P91SQBST</t>
  </si>
  <si>
    <t xml:space="preserve">CGFLLZZI</t>
  </si>
  <si>
    <t xml:space="preserve">GZ6SFRAT</t>
  </si>
  <si>
    <t xml:space="preserve">HJRM13DI</t>
  </si>
  <si>
    <t xml:space="preserve">8ODHXBNE</t>
  </si>
  <si>
    <t xml:space="preserve">FHPRER2D</t>
  </si>
  <si>
    <t xml:space="preserve">UVCHXUIG</t>
  </si>
  <si>
    <t xml:space="preserve">V02WMIWK</t>
  </si>
  <si>
    <t xml:space="preserve">7RLLNAYC</t>
  </si>
  <si>
    <t xml:space="preserve">BRDB1I76</t>
  </si>
  <si>
    <t xml:space="preserve">IK7LMFER</t>
  </si>
  <si>
    <t xml:space="preserve">1XJFMYCW</t>
  </si>
  <si>
    <t xml:space="preserve">YYU1J6E1</t>
  </si>
  <si>
    <t xml:space="preserve">51H02FX1</t>
  </si>
  <si>
    <t xml:space="preserve">WVT3X6IC</t>
  </si>
  <si>
    <t xml:space="preserve">10QE4JCA</t>
  </si>
  <si>
    <t xml:space="preserve">3PPHOXTT</t>
  </si>
  <si>
    <t xml:space="preserve">7W9S4DCZ</t>
  </si>
  <si>
    <t xml:space="preserve">M5FP7HGQ</t>
  </si>
  <si>
    <t xml:space="preserve">3A2CCWEG</t>
  </si>
  <si>
    <t xml:space="preserve">T1SITEI0</t>
  </si>
  <si>
    <t xml:space="preserve">3FI1J4VO</t>
  </si>
  <si>
    <t xml:space="preserve">6US3WW0M</t>
  </si>
  <si>
    <t xml:space="preserve">ERTQ4SN3</t>
  </si>
  <si>
    <t xml:space="preserve">G40058T1</t>
  </si>
  <si>
    <t xml:space="preserve">TQZLDFIJ</t>
  </si>
  <si>
    <t xml:space="preserve">MK380H70</t>
  </si>
  <si>
    <t xml:space="preserve">5SNCUQ8Z</t>
  </si>
  <si>
    <t xml:space="preserve">SP9W5IND</t>
  </si>
  <si>
    <t xml:space="preserve">RTOIXNPC</t>
  </si>
  <si>
    <t xml:space="preserve">7COYG1Z2</t>
  </si>
  <si>
    <t xml:space="preserve">5W29OCB8</t>
  </si>
  <si>
    <t xml:space="preserve">754UOV5F</t>
  </si>
  <si>
    <t xml:space="preserve">DJFMG9QI</t>
  </si>
  <si>
    <t xml:space="preserve">I5AKI9KC</t>
  </si>
  <si>
    <t xml:space="preserve">0M3NCPQX</t>
  </si>
  <si>
    <t xml:space="preserve">OJ42ZCHR</t>
  </si>
  <si>
    <t xml:space="preserve">QD4ONE04</t>
  </si>
  <si>
    <t xml:space="preserve">YWGU40CP</t>
  </si>
  <si>
    <t xml:space="preserve">K63TD0WD</t>
  </si>
  <si>
    <t xml:space="preserve">EP9JNNF1</t>
  </si>
  <si>
    <t xml:space="preserve">4ZB2W6O7</t>
  </si>
  <si>
    <t xml:space="preserve">H85L45JM</t>
  </si>
  <si>
    <t xml:space="preserve">1FLN8BTI</t>
  </si>
  <si>
    <t xml:space="preserve">VAL8O4PH</t>
  </si>
  <si>
    <t xml:space="preserve">G78ZK6XI</t>
  </si>
  <si>
    <t xml:space="preserve">Y7244XW7</t>
  </si>
  <si>
    <t xml:space="preserve">3FWZBSW1</t>
  </si>
  <si>
    <t xml:space="preserve">VIY7P8J6</t>
  </si>
  <si>
    <t xml:space="preserve">PR1H7NHK</t>
  </si>
  <si>
    <t xml:space="preserve">A9TEJW6U</t>
  </si>
  <si>
    <t xml:space="preserve">1DC9PQ4S</t>
  </si>
  <si>
    <t xml:space="preserve">8LP076IV</t>
  </si>
  <si>
    <t xml:space="preserve">CWXHKUV5</t>
  </si>
  <si>
    <t xml:space="preserve">ULJG457F</t>
  </si>
  <si>
    <t xml:space="preserve">TIPXNDS2</t>
  </si>
  <si>
    <t xml:space="preserve">3G61D5KV</t>
  </si>
  <si>
    <t xml:space="preserve">RD6Y5R4P</t>
  </si>
  <si>
    <t xml:space="preserve">3BA9OPGY</t>
  </si>
  <si>
    <t xml:space="preserve">SUUVV6RP</t>
  </si>
  <si>
    <t xml:space="preserve">Q1TS5ZKD</t>
  </si>
  <si>
    <t xml:space="preserve">NNH4EBG8</t>
  </si>
  <si>
    <t xml:space="preserve">5UFU5IO4</t>
  </si>
  <si>
    <t xml:space="preserve">ZCUMC0XC</t>
  </si>
  <si>
    <t xml:space="preserve">51VR0RD3</t>
  </si>
  <si>
    <t xml:space="preserve">DAAHNY6T</t>
  </si>
  <si>
    <t xml:space="preserve">80QJ0BQH</t>
  </si>
  <si>
    <t xml:space="preserve">7DOGGIXI</t>
  </si>
  <si>
    <t xml:space="preserve">3A54O8JT</t>
  </si>
  <si>
    <t xml:space="preserve">ZGK1AWBD</t>
  </si>
  <si>
    <t xml:space="preserve">AV72Y65Y</t>
  </si>
  <si>
    <t xml:space="preserve">DYO98F6J</t>
  </si>
  <si>
    <t xml:space="preserve">Z7Q2USU1</t>
  </si>
  <si>
    <t xml:space="preserve">VJSI29OF</t>
  </si>
  <si>
    <t xml:space="preserve">QFRZLXF3</t>
  </si>
  <si>
    <t xml:space="preserve">HMWIP0F2</t>
  </si>
  <si>
    <t xml:space="preserve">44Q1W18Y</t>
  </si>
  <si>
    <t xml:space="preserve">LT111IZL</t>
  </si>
  <si>
    <t xml:space="preserve">QHY85D44</t>
  </si>
  <si>
    <t xml:space="preserve">7ZN8YCH8</t>
  </si>
  <si>
    <t xml:space="preserve">PXNDLIL2</t>
  </si>
  <si>
    <t xml:space="preserve">USS2SNQI</t>
  </si>
  <si>
    <t xml:space="preserve">NPORW46K</t>
  </si>
  <si>
    <t xml:space="preserve">0GS0L5VR</t>
  </si>
  <si>
    <t xml:space="preserve">8FGW6RSX</t>
  </si>
  <si>
    <t xml:space="preserve">Data fechamento</t>
  </si>
  <si>
    <t xml:space="preserve">Dias de ciclo</t>
  </si>
  <si>
    <t xml:space="preserve">Ganho (1/0)</t>
  </si>
  <si>
    <t xml:space="preserve">1C1I7A6R</t>
  </si>
  <si>
    <t xml:space="preserve">Won</t>
  </si>
  <si>
    <t xml:space="preserve">N4SD17JR</t>
  </si>
  <si>
    <t xml:space="preserve">PQ2VF873</t>
  </si>
  <si>
    <t xml:space="preserve">Lost</t>
  </si>
  <si>
    <t xml:space="preserve">WS9CXY7E</t>
  </si>
  <si>
    <t xml:space="preserve">Q7IRUJK7</t>
  </si>
  <si>
    <t xml:space="preserve">8O9V7UOZ</t>
  </si>
  <si>
    <t xml:space="preserve">BXXMA7F3</t>
  </si>
  <si>
    <t xml:space="preserve">DUHE9FLY</t>
  </si>
  <si>
    <t xml:space="preserve">EAZDUUM9</t>
  </si>
  <si>
    <t xml:space="preserve">TWF0J0DF</t>
  </si>
  <si>
    <t xml:space="preserve">BZCBQ514</t>
  </si>
  <si>
    <t xml:space="preserve">L8CHRJ2B</t>
  </si>
  <si>
    <t xml:space="preserve">G9565UWZ</t>
  </si>
  <si>
    <t xml:space="preserve">TTA9LYBS</t>
  </si>
  <si>
    <t xml:space="preserve">J7YF6DS7</t>
  </si>
  <si>
    <t xml:space="preserve">3Y9SB2QK</t>
  </si>
  <si>
    <t xml:space="preserve">MZAN11FT</t>
  </si>
  <si>
    <t xml:space="preserve">IF7MJ88P</t>
  </si>
  <si>
    <t xml:space="preserve">L47EPGVT</t>
  </si>
  <si>
    <t xml:space="preserve">JOQQZ5RH</t>
  </si>
  <si>
    <t xml:space="preserve">L62MDI48</t>
  </si>
  <si>
    <t xml:space="preserve">NOPI41RP</t>
  </si>
  <si>
    <t xml:space="preserve">ZNBS69V1</t>
  </si>
  <si>
    <t xml:space="preserve">4T295XQL</t>
  </si>
  <si>
    <t xml:space="preserve">ZC3KKSUK</t>
  </si>
  <si>
    <t xml:space="preserve">BRQRF65L</t>
  </si>
  <si>
    <t xml:space="preserve">K9D4DQ3R</t>
  </si>
  <si>
    <t xml:space="preserve">R8N49PHN</t>
  </si>
  <si>
    <t xml:space="preserve">W1KLFNE4</t>
  </si>
  <si>
    <t xml:space="preserve">PC1NUL8Q</t>
  </si>
  <si>
    <t xml:space="preserve">1LKY3B4X</t>
  </si>
  <si>
    <t xml:space="preserve">9ME3374G</t>
  </si>
  <si>
    <t xml:space="preserve">NYVA2G6U</t>
  </si>
  <si>
    <t xml:space="preserve">PE84CX4O</t>
  </si>
  <si>
    <t xml:space="preserve">MWWB44CC</t>
  </si>
  <si>
    <t xml:space="preserve">9N55D1AH</t>
  </si>
  <si>
    <t xml:space="preserve">AJXAXV4W</t>
  </si>
  <si>
    <t xml:space="preserve">IQ9W1X36</t>
  </si>
  <si>
    <t xml:space="preserve">I3V3GUAI</t>
  </si>
  <si>
    <t xml:space="preserve">NHDTSMX2</t>
  </si>
  <si>
    <t xml:space="preserve">F57JWIDF</t>
  </si>
  <si>
    <t xml:space="preserve">RWGSCFHR</t>
  </si>
  <si>
    <t xml:space="preserve">U6N053E1</t>
  </si>
  <si>
    <t xml:space="preserve">GKLE0CDI</t>
  </si>
  <si>
    <t xml:space="preserve">9GCJGVY7</t>
  </si>
  <si>
    <t xml:space="preserve">FKS9MVF6</t>
  </si>
  <si>
    <t xml:space="preserve">9WMU7YHD</t>
  </si>
  <si>
    <t xml:space="preserve">ZWH8FXY3</t>
  </si>
  <si>
    <t xml:space="preserve">OLK9LKZB</t>
  </si>
  <si>
    <t xml:space="preserve">787IRG9Q</t>
  </si>
  <si>
    <t xml:space="preserve">513DPFX5</t>
  </si>
  <si>
    <t xml:space="preserve">LXZA2OSZ</t>
  </si>
  <si>
    <t xml:space="preserve">E67P9Y3Q</t>
  </si>
  <si>
    <t xml:space="preserve">2STUSOFE</t>
  </si>
  <si>
    <t xml:space="preserve">UK0LEZRJ</t>
  </si>
  <si>
    <t xml:space="preserve">0P4AAPYX</t>
  </si>
  <si>
    <t xml:space="preserve">R4LH95QS</t>
  </si>
  <si>
    <t xml:space="preserve">0OOZE4GN</t>
  </si>
  <si>
    <t xml:space="preserve">J7UNJFJL</t>
  </si>
  <si>
    <t xml:space="preserve">9R8JWY3J</t>
  </si>
  <si>
    <t xml:space="preserve">J21W3WIW</t>
  </si>
  <si>
    <t xml:space="preserve">8KJZJFJ1</t>
  </si>
  <si>
    <t xml:space="preserve">NMDMM5YJ</t>
  </si>
  <si>
    <t xml:space="preserve">3TYPII47</t>
  </si>
  <si>
    <t xml:space="preserve">3F5MZNEH</t>
  </si>
  <si>
    <t xml:space="preserve">MYDUMR3R</t>
  </si>
  <si>
    <t xml:space="preserve">Q3WLHRE9</t>
  </si>
  <si>
    <t xml:space="preserve">O6T5WC3W</t>
  </si>
  <si>
    <t xml:space="preserve">0NO04P6C</t>
  </si>
  <si>
    <t xml:space="preserve">5ITSLO0E</t>
  </si>
  <si>
    <t xml:space="preserve">W560QFJL</t>
  </si>
  <si>
    <t xml:space="preserve">NN4DWBVN</t>
  </si>
  <si>
    <t xml:space="preserve">LCW83256</t>
  </si>
  <si>
    <t xml:space="preserve">HNHOPL7M</t>
  </si>
  <si>
    <t xml:space="preserve">CRLK4Z1P</t>
  </si>
  <si>
    <t xml:space="preserve">2V848WZD</t>
  </si>
  <si>
    <t xml:space="preserve">X1LAD57Y</t>
  </si>
  <si>
    <t xml:space="preserve">7R4VL3Q8</t>
  </si>
  <si>
    <t xml:space="preserve">7FQMSWIX</t>
  </si>
  <si>
    <t xml:space="preserve">BEQIZZ7W</t>
  </si>
  <si>
    <t xml:space="preserve">LB6XW39X</t>
  </si>
  <si>
    <t xml:space="preserve">S8GLKDB9</t>
  </si>
  <si>
    <t xml:space="preserve">XKMZVSN4</t>
  </si>
  <si>
    <t xml:space="preserve">6PTR7VBR</t>
  </si>
  <si>
    <t xml:space="preserve">PZB9NUK8</t>
  </si>
  <si>
    <t xml:space="preserve">52CROFH2</t>
  </si>
  <si>
    <t xml:space="preserve">7XVLKX8G</t>
  </si>
  <si>
    <t xml:space="preserve">6KT5HAR6</t>
  </si>
  <si>
    <t xml:space="preserve">2EILEDKF</t>
  </si>
  <si>
    <t xml:space="preserve">OEEUEIPJ</t>
  </si>
  <si>
    <t xml:space="preserve">F2PW7WP2</t>
  </si>
  <si>
    <t xml:space="preserve">B6B0PNR2</t>
  </si>
  <si>
    <t xml:space="preserve">2BWZLXZ8</t>
  </si>
  <si>
    <t xml:space="preserve">5M58DTJK</t>
  </si>
  <si>
    <t xml:space="preserve">AJIPJP75</t>
  </si>
  <si>
    <t xml:space="preserve">XRN54MBM</t>
  </si>
  <si>
    <t xml:space="preserve">JN1ZFD18</t>
  </si>
  <si>
    <t xml:space="preserve">CPGCT81C</t>
  </si>
  <si>
    <t xml:space="preserve">VR9NYBOV</t>
  </si>
  <si>
    <t xml:space="preserve">C4AFMVFM</t>
  </si>
  <si>
    <t xml:space="preserve">E2NXQUWO</t>
  </si>
  <si>
    <t xml:space="preserve">ZWFPD71J</t>
  </si>
  <si>
    <t xml:space="preserve">RBXWRHBJ</t>
  </si>
  <si>
    <t xml:space="preserve">UU21EYFN</t>
  </si>
  <si>
    <t xml:space="preserve">3X13866U</t>
  </si>
  <si>
    <t xml:space="preserve">LGI8QEC2</t>
  </si>
  <si>
    <t xml:space="preserve">0LVWSWEW</t>
  </si>
  <si>
    <t xml:space="preserve">PAGZQH8L</t>
  </si>
  <si>
    <t xml:space="preserve">ENB2XD8G</t>
  </si>
  <si>
    <t xml:space="preserve">S5IXY4Z9</t>
  </si>
  <si>
    <t xml:space="preserve">1LI7ETNZ</t>
  </si>
  <si>
    <t xml:space="preserve">JYKM0B00</t>
  </si>
  <si>
    <t xml:space="preserve">QPPUCKFM</t>
  </si>
  <si>
    <t xml:space="preserve">GCA97W27</t>
  </si>
  <si>
    <t xml:space="preserve">M6WEJXC0</t>
  </si>
  <si>
    <t xml:space="preserve">3N7ZXGMF</t>
  </si>
  <si>
    <t xml:space="preserve">SARVIBLS</t>
  </si>
  <si>
    <t xml:space="preserve">8KJ3H262</t>
  </si>
  <si>
    <t xml:space="preserve">88POGNEL</t>
  </si>
  <si>
    <t xml:space="preserve">JHJEQ1U3</t>
  </si>
  <si>
    <t xml:space="preserve">Y6HNPIIT</t>
  </si>
  <si>
    <t xml:space="preserve">TAPNNL1W</t>
  </si>
  <si>
    <t xml:space="preserve">IHFM8QXN</t>
  </si>
  <si>
    <t xml:space="preserve">EC4QE1BX</t>
  </si>
  <si>
    <t xml:space="preserve">7GN8Q4LL</t>
  </si>
  <si>
    <t xml:space="preserve">ZPYD4T9W</t>
  </si>
  <si>
    <t xml:space="preserve">AT3MMVIS</t>
  </si>
  <si>
    <t xml:space="preserve">KE9ZEDS8</t>
  </si>
  <si>
    <t xml:space="preserve">516FJUNB</t>
  </si>
  <si>
    <t xml:space="preserve">EZLXL6GL</t>
  </si>
  <si>
    <t xml:space="preserve">96MZYUY0</t>
  </si>
  <si>
    <t xml:space="preserve">CNBN12RL</t>
  </si>
  <si>
    <t xml:space="preserve">14PM641K</t>
  </si>
  <si>
    <t xml:space="preserve">TJ6ZA1M3</t>
  </si>
  <si>
    <t xml:space="preserve">JZOKHHWN</t>
  </si>
  <si>
    <t xml:space="preserve">5QD53WHF</t>
  </si>
  <si>
    <t xml:space="preserve">I93ZFHEM</t>
  </si>
  <si>
    <t xml:space="preserve">BBC3JB3H</t>
  </si>
  <si>
    <t xml:space="preserve">7WAX8Z8O</t>
  </si>
  <si>
    <t xml:space="preserve">1ROC43JK</t>
  </si>
  <si>
    <t xml:space="preserve">KIP060D0</t>
  </si>
  <si>
    <t xml:space="preserve">VGE4M1C9</t>
  </si>
  <si>
    <t xml:space="preserve">T5C527Z9</t>
  </si>
  <si>
    <t xml:space="preserve">3CLBPMYZ</t>
  </si>
  <si>
    <t xml:space="preserve">5J9CMGDV</t>
  </si>
  <si>
    <t xml:space="preserve">P13DDOTM</t>
  </si>
  <si>
    <t xml:space="preserve">TCHFT25B</t>
  </si>
  <si>
    <t xml:space="preserve">75ZOJ3O7</t>
  </si>
  <si>
    <t xml:space="preserve">QZ3VV4C1</t>
  </si>
  <si>
    <t xml:space="preserve">RK5Y67V6</t>
  </si>
  <si>
    <t xml:space="preserve">S91N9YBL</t>
  </si>
  <si>
    <t xml:space="preserve">1XBC7M9F</t>
  </si>
  <si>
    <t xml:space="preserve">S0N7BYU3</t>
  </si>
  <si>
    <t xml:space="preserve">JLWKWQYC</t>
  </si>
  <si>
    <t xml:space="preserve">D40N5I9Y</t>
  </si>
  <si>
    <t xml:space="preserve">X2EXSMPR</t>
  </si>
  <si>
    <t xml:space="preserve">8IXBS90G</t>
  </si>
  <si>
    <t xml:space="preserve">XUSUEAV7</t>
  </si>
  <si>
    <t xml:space="preserve">A0ANOYPF</t>
  </si>
  <si>
    <t xml:space="preserve">82MM4H33</t>
  </si>
  <si>
    <t xml:space="preserve">MFV0C5RN</t>
  </si>
  <si>
    <t xml:space="preserve">5I4K5TQE</t>
  </si>
  <si>
    <t xml:space="preserve">EQ8X0QTL</t>
  </si>
  <si>
    <t xml:space="preserve">ERV0CAZ7</t>
  </si>
  <si>
    <t xml:space="preserve">XIWKGJOW</t>
  </si>
  <si>
    <t xml:space="preserve">2LP5SUR5</t>
  </si>
  <si>
    <t xml:space="preserve">37JFKD4I</t>
  </si>
  <si>
    <t xml:space="preserve">OF7GY5F4</t>
  </si>
  <si>
    <t xml:space="preserve">1DDW2GQW</t>
  </si>
  <si>
    <t xml:space="preserve">MV1LWRNH</t>
  </si>
  <si>
    <t xml:space="preserve">RK52YU8S</t>
  </si>
  <si>
    <t xml:space="preserve">9SLYC4TR</t>
  </si>
  <si>
    <t xml:space="preserve">3W1K7X5F</t>
  </si>
  <si>
    <t xml:space="preserve">JUUXF02Z</t>
  </si>
  <si>
    <t xml:space="preserve">VS2G74XQ</t>
  </si>
  <si>
    <t xml:space="preserve">HBTINPDG</t>
  </si>
  <si>
    <t xml:space="preserve">H9JPB7GW</t>
  </si>
  <si>
    <t xml:space="preserve">902REDPA</t>
  </si>
  <si>
    <t xml:space="preserve">2DKO9X1T</t>
  </si>
  <si>
    <t xml:space="preserve">R9ZAKBFE</t>
  </si>
  <si>
    <t xml:space="preserve">S8DX3XOU</t>
  </si>
  <si>
    <t xml:space="preserve">N9VYMV3W</t>
  </si>
  <si>
    <t xml:space="preserve">WPXAMXD2</t>
  </si>
  <si>
    <t xml:space="preserve">QOL51JIB</t>
  </si>
  <si>
    <t xml:space="preserve">NL3JZH1Z</t>
  </si>
  <si>
    <t xml:space="preserve">NY21X16G</t>
  </si>
  <si>
    <t xml:space="preserve">N4HFHDMW</t>
  </si>
  <si>
    <t xml:space="preserve">6IMUQYMN</t>
  </si>
  <si>
    <t xml:space="preserve">7QC6FOKW</t>
  </si>
  <si>
    <t xml:space="preserve">Z2S4KUPO</t>
  </si>
  <si>
    <t xml:space="preserve">RP5PS9A5</t>
  </si>
  <si>
    <t xml:space="preserve">U4LRR9E9</t>
  </si>
  <si>
    <t xml:space="preserve">12MQ3WM8</t>
  </si>
  <si>
    <t xml:space="preserve">LWPJEV3U</t>
  </si>
  <si>
    <t xml:space="preserve">VFZOL6CB</t>
  </si>
  <si>
    <t xml:space="preserve">AM5YTMH3</t>
  </si>
  <si>
    <t xml:space="preserve">DASMR0EK</t>
  </si>
  <si>
    <t xml:space="preserve">REDGEUCP</t>
  </si>
  <si>
    <t xml:space="preserve">HRU8FNE1</t>
  </si>
  <si>
    <t xml:space="preserve">09YE9QOV</t>
  </si>
  <si>
    <t xml:space="preserve">ITIQJARB</t>
  </si>
  <si>
    <t xml:space="preserve">BOJSLNDG</t>
  </si>
  <si>
    <t xml:space="preserve">AAR79NOO</t>
  </si>
  <si>
    <t xml:space="preserve">0TUS4NAC</t>
  </si>
  <si>
    <t xml:space="preserve">ID3IJHUS</t>
  </si>
  <si>
    <t xml:space="preserve">Z063OYW0</t>
  </si>
  <si>
    <t xml:space="preserve">Y40ADYX7</t>
  </si>
  <si>
    <t xml:space="preserve">AK2LRFXF</t>
  </si>
  <si>
    <t xml:space="preserve">XWEZ1WNK</t>
  </si>
  <si>
    <t xml:space="preserve">1HVNTEPV</t>
  </si>
  <si>
    <t xml:space="preserve">6ROE69W5</t>
  </si>
  <si>
    <t xml:space="preserve">PYZZ3IS6</t>
  </si>
  <si>
    <t xml:space="preserve">G17JEA75</t>
  </si>
  <si>
    <t xml:space="preserve">AO9Z2D17</t>
  </si>
  <si>
    <t xml:space="preserve">DR6MQSWL</t>
  </si>
  <si>
    <t xml:space="preserve">3TDWLPMV</t>
  </si>
  <si>
    <t xml:space="preserve">2XQAKBXH</t>
  </si>
  <si>
    <t xml:space="preserve">M7J5BV9Q</t>
  </si>
  <si>
    <t xml:space="preserve">C5K2JP1H</t>
  </si>
  <si>
    <t xml:space="preserve">S1V8684Y</t>
  </si>
  <si>
    <t xml:space="preserve">ITHR5WLF</t>
  </si>
  <si>
    <t xml:space="preserve">VOAN1NXG</t>
  </si>
  <si>
    <t xml:space="preserve">YBJ72HKE</t>
  </si>
  <si>
    <t xml:space="preserve">O8JF46GT</t>
  </si>
  <si>
    <t xml:space="preserve">XK668R7C</t>
  </si>
  <si>
    <t xml:space="preserve">CDKX2A19</t>
  </si>
  <si>
    <t xml:space="preserve">5D2XH04S</t>
  </si>
  <si>
    <t xml:space="preserve">45A57X68</t>
  </si>
  <si>
    <t xml:space="preserve">G20IQSA3</t>
  </si>
  <si>
    <t xml:space="preserve">5QU60VGE</t>
  </si>
  <si>
    <t xml:space="preserve">NKOKUS7D</t>
  </si>
  <si>
    <t xml:space="preserve">JSD4APT2</t>
  </si>
  <si>
    <t xml:space="preserve">FP7014Z0</t>
  </si>
  <si>
    <t xml:space="preserve">FDCEBWRI</t>
  </si>
  <si>
    <t xml:space="preserve">D77SFTS4</t>
  </si>
  <si>
    <t xml:space="preserve">24UTFDPK</t>
  </si>
  <si>
    <t xml:space="preserve">M4ZNQTEQ</t>
  </si>
  <si>
    <t xml:space="preserve">3X8VLQ5G</t>
  </si>
  <si>
    <t xml:space="preserve">NQU62K1H</t>
  </si>
  <si>
    <t xml:space="preserve">MV9AO6WU</t>
  </si>
  <si>
    <t xml:space="preserve">E8RP9FRW</t>
  </si>
  <si>
    <t xml:space="preserve">4NGBUZWJ</t>
  </si>
  <si>
    <t xml:space="preserve">RX56S6G3</t>
  </si>
  <si>
    <t xml:space="preserve">B2VJCVBB</t>
  </si>
  <si>
    <t xml:space="preserve">MOLGOSGE</t>
  </si>
  <si>
    <t xml:space="preserve">93AGN8A6</t>
  </si>
  <si>
    <t xml:space="preserve">M0JKP0HT</t>
  </si>
  <si>
    <t xml:space="preserve">S33WRL0Y</t>
  </si>
  <si>
    <t xml:space="preserve">A4H5ESTU</t>
  </si>
  <si>
    <t xml:space="preserve">M842E8JB</t>
  </si>
  <si>
    <t xml:space="preserve">GKJLM1UR</t>
  </si>
  <si>
    <t xml:space="preserve">2OAIXF3A</t>
  </si>
  <si>
    <t xml:space="preserve">HDUV7VJN</t>
  </si>
  <si>
    <t xml:space="preserve">8QBIFURM</t>
  </si>
  <si>
    <t xml:space="preserve">LF8JZ3Q5</t>
  </si>
  <si>
    <t xml:space="preserve">BGNB966A</t>
  </si>
  <si>
    <t xml:space="preserve">AALARPLH</t>
  </si>
  <si>
    <t xml:space="preserve">3KR50X38</t>
  </si>
  <si>
    <t xml:space="preserve">YHKT6YJ7</t>
  </si>
  <si>
    <t xml:space="preserve">RNTOJ78L</t>
  </si>
  <si>
    <t xml:space="preserve">LQ44KCMI</t>
  </si>
  <si>
    <t xml:space="preserve">XY42936P</t>
  </si>
  <si>
    <t xml:space="preserve">AZH0INTS</t>
  </si>
  <si>
    <t xml:space="preserve">C20AVXN7</t>
  </si>
  <si>
    <t xml:space="preserve">UXJSIAVS</t>
  </si>
  <si>
    <t xml:space="preserve">S50A0C2S</t>
  </si>
  <si>
    <t xml:space="preserve">0GJ586J0</t>
  </si>
  <si>
    <t xml:space="preserve">WPB2SLIG</t>
  </si>
  <si>
    <t xml:space="preserve">97UN20YY</t>
  </si>
  <si>
    <t xml:space="preserve">4501T63I</t>
  </si>
  <si>
    <t xml:space="preserve">REJ11LRY</t>
  </si>
  <si>
    <t xml:space="preserve">6KZ0NCFX</t>
  </si>
  <si>
    <t xml:space="preserve">KNY1OSAB</t>
  </si>
  <si>
    <t xml:space="preserve">6WOMHAJM</t>
  </si>
  <si>
    <t xml:space="preserve">7PDUWDGT</t>
  </si>
  <si>
    <t xml:space="preserve">GIUUTBXM</t>
  </si>
  <si>
    <t xml:space="preserve">L0345WKB</t>
  </si>
  <si>
    <t xml:space="preserve">7S6SHJJG</t>
  </si>
  <si>
    <t xml:space="preserve">R7XZAIWS</t>
  </si>
  <si>
    <t xml:space="preserve">XHHJ48MJ</t>
  </si>
  <si>
    <t xml:space="preserve">IO4GTLAB</t>
  </si>
  <si>
    <t xml:space="preserve">YZGDW4G1</t>
  </si>
  <si>
    <t xml:space="preserve">N5AZLQZR</t>
  </si>
  <si>
    <t xml:space="preserve">U07C2HEG</t>
  </si>
  <si>
    <t xml:space="preserve">GD2OCW12</t>
  </si>
  <si>
    <t xml:space="preserve">H78I3TAY</t>
  </si>
  <si>
    <t xml:space="preserve">0AJ6LTZ0</t>
  </si>
  <si>
    <t xml:space="preserve">V5OK4V5I</t>
  </si>
  <si>
    <t xml:space="preserve">HRWHRCH8</t>
  </si>
  <si>
    <t xml:space="preserve">MRGBSMQ5</t>
  </si>
  <si>
    <t xml:space="preserve">J7N8J8NM</t>
  </si>
  <si>
    <t xml:space="preserve">R4F4RGAL</t>
  </si>
  <si>
    <t xml:space="preserve">GJ4L5HHN</t>
  </si>
  <si>
    <t xml:space="preserve">K1RXVUG9</t>
  </si>
  <si>
    <t xml:space="preserve">GBMHNLRO</t>
  </si>
  <si>
    <t xml:space="preserve">NM2Q3CGW</t>
  </si>
  <si>
    <t xml:space="preserve">6B6Q8C5S</t>
  </si>
  <si>
    <t xml:space="preserve">CJ5U6GX3</t>
  </si>
  <si>
    <t xml:space="preserve">VT5Y73GX</t>
  </si>
  <si>
    <t xml:space="preserve">E57F5Z2K</t>
  </si>
  <si>
    <t xml:space="preserve">SC7XGQVA</t>
  </si>
  <si>
    <t xml:space="preserve">IF7DSONM</t>
  </si>
  <si>
    <t xml:space="preserve">G0ECB8FS</t>
  </si>
  <si>
    <t xml:space="preserve">Y0NYI17R</t>
  </si>
  <si>
    <t xml:space="preserve">WI4PODA2</t>
  </si>
  <si>
    <t xml:space="preserve">EH6I67I0</t>
  </si>
  <si>
    <t xml:space="preserve">6XO4RYXK</t>
  </si>
  <si>
    <t xml:space="preserve">2HFLKREC</t>
  </si>
  <si>
    <t xml:space="preserve">94GI0ZJ7</t>
  </si>
  <si>
    <t xml:space="preserve">MFX2LR1Q</t>
  </si>
  <si>
    <t xml:space="preserve">8DWOWB6Y</t>
  </si>
  <si>
    <t xml:space="preserve">JDFN8AZI</t>
  </si>
  <si>
    <t xml:space="preserve">OX4P78HP</t>
  </si>
  <si>
    <t xml:space="preserve">EFG5DGV5</t>
  </si>
  <si>
    <t xml:space="preserve">XA184CMW</t>
  </si>
  <si>
    <t xml:space="preserve">CRX91A45</t>
  </si>
  <si>
    <t xml:space="preserve">SWPTTVQZ</t>
  </si>
  <si>
    <t xml:space="preserve">B8RR21XP</t>
  </si>
  <si>
    <t xml:space="preserve">L5807I4N</t>
  </si>
  <si>
    <t xml:space="preserve">JOQCXC9Z</t>
  </si>
  <si>
    <t xml:space="preserve">MOPWEMB5</t>
  </si>
  <si>
    <t xml:space="preserve">TODG6DEK</t>
  </si>
  <si>
    <t xml:space="preserve">R8PEL8V8</t>
  </si>
  <si>
    <t xml:space="preserve">EV46ES18</t>
  </si>
  <si>
    <t xml:space="preserve">UYP3NNU6</t>
  </si>
  <si>
    <t xml:space="preserve">5AKGNKX1</t>
  </si>
  <si>
    <t xml:space="preserve">V9E582SK</t>
  </si>
  <si>
    <t xml:space="preserve">PV1DISEC</t>
  </si>
  <si>
    <t xml:space="preserve">FT0L8HZZ</t>
  </si>
  <si>
    <t xml:space="preserve">0IO00FNS</t>
  </si>
  <si>
    <t xml:space="preserve">FA1VHZSV</t>
  </si>
  <si>
    <t xml:space="preserve">TBIW957T</t>
  </si>
  <si>
    <t xml:space="preserve">344I60EI</t>
  </si>
  <si>
    <t xml:space="preserve">A3BK99P6</t>
  </si>
  <si>
    <t xml:space="preserve">0IYQX303</t>
  </si>
  <si>
    <t xml:space="preserve">SZ81H1PM</t>
  </si>
  <si>
    <t xml:space="preserve">96BSG7R1</t>
  </si>
  <si>
    <t xml:space="preserve">ONYNTUCG</t>
  </si>
  <si>
    <t xml:space="preserve">DB3N4CHN</t>
  </si>
  <si>
    <t xml:space="preserve">RU023K5W</t>
  </si>
  <si>
    <t xml:space="preserve">561707V4</t>
  </si>
  <si>
    <t xml:space="preserve">PE8DK02A</t>
  </si>
  <si>
    <t xml:space="preserve">OWM3BPGW</t>
  </si>
  <si>
    <t xml:space="preserve">L1EJIE5L</t>
  </si>
  <si>
    <t xml:space="preserve">I043RXJV</t>
  </si>
  <si>
    <t xml:space="preserve">IU8V0BZK</t>
  </si>
  <si>
    <t xml:space="preserve">A2G8VYZY</t>
  </si>
  <si>
    <t xml:space="preserve">E96ZTKHC</t>
  </si>
  <si>
    <t xml:space="preserve">1G866GH4</t>
  </si>
  <si>
    <t xml:space="preserve">JJXRR8R6</t>
  </si>
  <si>
    <t xml:space="preserve">0YN6EALP</t>
  </si>
  <si>
    <t xml:space="preserve">S93L97VV</t>
  </si>
  <si>
    <t xml:space="preserve">06B7XWPC</t>
  </si>
  <si>
    <t xml:space="preserve">4A8SFEJ2</t>
  </si>
  <si>
    <t xml:space="preserve">2DVE0XCM</t>
  </si>
  <si>
    <t xml:space="preserve">77ZECYVJ</t>
  </si>
  <si>
    <t xml:space="preserve">E9DJS1D8</t>
  </si>
  <si>
    <t xml:space="preserve">4K750D6F</t>
  </si>
  <si>
    <t xml:space="preserve">KBKHKULU</t>
  </si>
  <si>
    <t xml:space="preserve">KWVA7VR1</t>
  </si>
  <si>
    <t xml:space="preserve">LXXW3TRW</t>
  </si>
  <si>
    <t xml:space="preserve">Q16BQCEL</t>
  </si>
  <si>
    <t xml:space="preserve">LC85AQ1I</t>
  </si>
  <si>
    <t xml:space="preserve">FZDRB789</t>
  </si>
  <si>
    <t xml:space="preserve">7S1N6QHI</t>
  </si>
  <si>
    <t xml:space="preserve">N36DEZBR</t>
  </si>
  <si>
    <t xml:space="preserve">YOQCQ4UO</t>
  </si>
  <si>
    <t xml:space="preserve">WF4HA5NW</t>
  </si>
  <si>
    <t xml:space="preserve">MXNVX2AM</t>
  </si>
  <si>
    <t xml:space="preserve">S0XILDHQ</t>
  </si>
  <si>
    <t xml:space="preserve">HIOHX80Y</t>
  </si>
  <si>
    <t xml:space="preserve">C54ZXDLT</t>
  </si>
  <si>
    <t xml:space="preserve">127ZPLXQ</t>
  </si>
  <si>
    <t xml:space="preserve">YZ1EYM3Y</t>
  </si>
  <si>
    <t xml:space="preserve">S24L8LVR</t>
  </si>
  <si>
    <t xml:space="preserve">OXL0YWEE</t>
  </si>
  <si>
    <t xml:space="preserve">0XG8TOJF</t>
  </si>
  <si>
    <t xml:space="preserve">WPGTHV8V</t>
  </si>
  <si>
    <t xml:space="preserve">JRJ7DBW5</t>
  </si>
  <si>
    <t xml:space="preserve">5WJZMULK</t>
  </si>
  <si>
    <t xml:space="preserve">GH6U8WWN</t>
  </si>
  <si>
    <t xml:space="preserve">DTZPYISJ</t>
  </si>
  <si>
    <t xml:space="preserve">KU28360J</t>
  </si>
  <si>
    <t xml:space="preserve">VXX8GJGY</t>
  </si>
  <si>
    <t xml:space="preserve">52UPJFYI</t>
  </si>
  <si>
    <t xml:space="preserve">6WTNSL1T</t>
  </si>
  <si>
    <t xml:space="preserve">HG07LMHI</t>
  </si>
  <si>
    <t xml:space="preserve">XUGTSB00</t>
  </si>
  <si>
    <t xml:space="preserve">VBZ862OS</t>
  </si>
  <si>
    <t xml:space="preserve">TZCAQWL3</t>
  </si>
  <si>
    <t xml:space="preserve">7GRFWF1U</t>
  </si>
  <si>
    <t xml:space="preserve">396WP6JS</t>
  </si>
  <si>
    <t xml:space="preserve">GIIC5H9X</t>
  </si>
  <si>
    <t xml:space="preserve">EJMX0EIJ</t>
  </si>
  <si>
    <t xml:space="preserve">FAJTQMUM</t>
  </si>
  <si>
    <t xml:space="preserve">DSBGHOPN</t>
  </si>
  <si>
    <t xml:space="preserve">K0GWTWYL</t>
  </si>
  <si>
    <t xml:space="preserve">DZ3KHZSX</t>
  </si>
  <si>
    <t xml:space="preserve">4T8KR12S</t>
  </si>
  <si>
    <t xml:space="preserve">HW38EMKM</t>
  </si>
  <si>
    <t xml:space="preserve">WDHNR2EI</t>
  </si>
  <si>
    <t xml:space="preserve">IVT0S1N1</t>
  </si>
  <si>
    <t xml:space="preserve">NAQKOU0T</t>
  </si>
  <si>
    <t xml:space="preserve">12OQKSVK</t>
  </si>
  <si>
    <t xml:space="preserve">D7H1EGS9</t>
  </si>
  <si>
    <t xml:space="preserve">1R38Y0C1</t>
  </si>
  <si>
    <t xml:space="preserve">MRXZTMM6</t>
  </si>
  <si>
    <t xml:space="preserve">MSE1UXKU</t>
  </si>
  <si>
    <t xml:space="preserve">E7OPE1O8</t>
  </si>
  <si>
    <t xml:space="preserve">2U94Y3Q9</t>
  </si>
  <si>
    <t xml:space="preserve">UQ14O415</t>
  </si>
  <si>
    <t xml:space="preserve">57689GK9</t>
  </si>
  <si>
    <t xml:space="preserve">P5EGQ0HI</t>
  </si>
  <si>
    <t xml:space="preserve">01QKN578</t>
  </si>
  <si>
    <t xml:space="preserve">CZVN09WN</t>
  </si>
  <si>
    <t xml:space="preserve">30UQWUKB</t>
  </si>
  <si>
    <t xml:space="preserve">Y9HWSG8Z</t>
  </si>
  <si>
    <t xml:space="preserve">TIAGZQ54</t>
  </si>
  <si>
    <t xml:space="preserve">5DEO8EDS</t>
  </si>
  <si>
    <t xml:space="preserve">N9GAZ6B6</t>
  </si>
  <si>
    <t xml:space="preserve">YMGWLEHY</t>
  </si>
  <si>
    <t xml:space="preserve">5QM4ORNT</t>
  </si>
  <si>
    <t xml:space="preserve">EAUV9J9L</t>
  </si>
  <si>
    <t xml:space="preserve">1VUBYV53</t>
  </si>
  <si>
    <t xml:space="preserve">I4UCA7CU</t>
  </si>
  <si>
    <t xml:space="preserve">91M6FY8S</t>
  </si>
  <si>
    <t xml:space="preserve">VCA1WAB0</t>
  </si>
  <si>
    <t xml:space="preserve">051QTX8Z</t>
  </si>
  <si>
    <t xml:space="preserve">18Y7GRPW</t>
  </si>
  <si>
    <t xml:space="preserve">06YL7WVJ</t>
  </si>
  <si>
    <t xml:space="preserve">UAX3F7D4</t>
  </si>
  <si>
    <t xml:space="preserve">8VKD2CCH</t>
  </si>
  <si>
    <t xml:space="preserve">3OAEEV0S</t>
  </si>
  <si>
    <t xml:space="preserve">FCFDJIEZ</t>
  </si>
  <si>
    <t xml:space="preserve">G9GH5KV5</t>
  </si>
  <si>
    <t xml:space="preserve">7G7YLGJO</t>
  </si>
  <si>
    <t xml:space="preserve">WVJBVA61</t>
  </si>
  <si>
    <t xml:space="preserve">NN6CSUWT</t>
  </si>
  <si>
    <t xml:space="preserve">OGD4MDJ9</t>
  </si>
  <si>
    <t xml:space="preserve">CHI2T3IH</t>
  </si>
  <si>
    <t xml:space="preserve">DA95Q0VE</t>
  </si>
  <si>
    <t xml:space="preserve">25YKPHX8</t>
  </si>
  <si>
    <t xml:space="preserve">5CSSZJF4</t>
  </si>
  <si>
    <t xml:space="preserve">0DFXFKT7</t>
  </si>
  <si>
    <t xml:space="preserve">5U9Y1P87</t>
  </si>
  <si>
    <t xml:space="preserve">QXU90OP8</t>
  </si>
  <si>
    <t xml:space="preserve">7LE19SYE</t>
  </si>
  <si>
    <t xml:space="preserve">62AK8UWX</t>
  </si>
  <si>
    <t xml:space="preserve">SKY95DVG</t>
  </si>
  <si>
    <t xml:space="preserve">NF6GCTMV</t>
  </si>
  <si>
    <t xml:space="preserve">J0Y91LUA</t>
  </si>
  <si>
    <t xml:space="preserve">W2JCRPLX</t>
  </si>
  <si>
    <t xml:space="preserve">B8E0UUZR</t>
  </si>
  <si>
    <t xml:space="preserve">0ZHLQFGU</t>
  </si>
  <si>
    <t xml:space="preserve">CBAV8ZJL</t>
  </si>
  <si>
    <t xml:space="preserve">8S6TNXYB</t>
  </si>
  <si>
    <t xml:space="preserve">UA8AWDG4</t>
  </si>
  <si>
    <t xml:space="preserve">5P82H5AA</t>
  </si>
  <si>
    <t xml:space="preserve">Q5CABPMO</t>
  </si>
  <si>
    <t xml:space="preserve">3AU5SZ3V</t>
  </si>
  <si>
    <t xml:space="preserve">GK8YD2XW</t>
  </si>
  <si>
    <t xml:space="preserve">6XFVQI32</t>
  </si>
  <si>
    <t xml:space="preserve">MSEIIH95</t>
  </si>
  <si>
    <t xml:space="preserve">BADC6A9H</t>
  </si>
  <si>
    <t xml:space="preserve">WDG0B1IR</t>
  </si>
  <si>
    <t xml:space="preserve">2U54WYQ1</t>
  </si>
  <si>
    <t xml:space="preserve">F90O03ZH</t>
  </si>
  <si>
    <t xml:space="preserve">79EABK3X</t>
  </si>
  <si>
    <t xml:space="preserve">SBCR987L</t>
  </si>
  <si>
    <t xml:space="preserve">VC94R5H8</t>
  </si>
  <si>
    <t xml:space="preserve">8O1WNJBA</t>
  </si>
  <si>
    <t xml:space="preserve">83HX5CIJ</t>
  </si>
  <si>
    <t xml:space="preserve">TBV972NP</t>
  </si>
  <si>
    <t xml:space="preserve">NOVPMLOV</t>
  </si>
  <si>
    <t xml:space="preserve">4T31MWVO</t>
  </si>
  <si>
    <t xml:space="preserve">RXV4UXRE</t>
  </si>
  <si>
    <t xml:space="preserve">LPKT07PV</t>
  </si>
  <si>
    <t xml:space="preserve">83XN082U</t>
  </si>
  <si>
    <t xml:space="preserve">T7UYHDUN</t>
  </si>
  <si>
    <t xml:space="preserve">S3XI6YB3</t>
  </si>
  <si>
    <t xml:space="preserve">6RJE18RW</t>
  </si>
  <si>
    <t xml:space="preserve">LTTYTAXA</t>
  </si>
  <si>
    <t xml:space="preserve">8JS4BWQ7</t>
  </si>
  <si>
    <t xml:space="preserve">DBDUMQQK</t>
  </si>
  <si>
    <t xml:space="preserve">OT87JDWO</t>
  </si>
  <si>
    <t xml:space="preserve">RA1UBXY9</t>
  </si>
  <si>
    <t xml:space="preserve">36PTGLTW</t>
  </si>
  <si>
    <t xml:space="preserve">7C9Q2ZA3</t>
  </si>
  <si>
    <t xml:space="preserve">7JVTTVCO</t>
  </si>
  <si>
    <t xml:space="preserve">RVIU1YQ8</t>
  </si>
  <si>
    <t xml:space="preserve">5QBQMEY5</t>
  </si>
  <si>
    <t xml:space="preserve">DP9E525R</t>
  </si>
  <si>
    <t xml:space="preserve">NLB4D5BQ</t>
  </si>
  <si>
    <t xml:space="preserve">SRFVQ0HG</t>
  </si>
  <si>
    <t xml:space="preserve">5VAV2TUY</t>
  </si>
  <si>
    <t xml:space="preserve">YHNBSXPN</t>
  </si>
  <si>
    <t xml:space="preserve">1B4L7TNG</t>
  </si>
  <si>
    <t xml:space="preserve">40DPY158</t>
  </si>
  <si>
    <t xml:space="preserve">9X6V79KE</t>
  </si>
  <si>
    <t xml:space="preserve">279625VN</t>
  </si>
  <si>
    <t xml:space="preserve">72LNJRY9</t>
  </si>
  <si>
    <t xml:space="preserve">GWAT8UWK</t>
  </si>
  <si>
    <t xml:space="preserve">3EL8D4WO</t>
  </si>
  <si>
    <t xml:space="preserve">ALW92XQL</t>
  </si>
  <si>
    <t xml:space="preserve">DDCC6ZPK</t>
  </si>
  <si>
    <t xml:space="preserve">54EGR0AD</t>
  </si>
  <si>
    <t xml:space="preserve">5E14LG51</t>
  </si>
  <si>
    <t xml:space="preserve">X6GL64T5</t>
  </si>
  <si>
    <t xml:space="preserve">070M5M6X</t>
  </si>
  <si>
    <t xml:space="preserve">NXXSU27K</t>
  </si>
  <si>
    <t xml:space="preserve">LSVMMUJ0</t>
  </si>
  <si>
    <t xml:space="preserve">E40RN3MN</t>
  </si>
  <si>
    <t xml:space="preserve">9LFX3HBC</t>
  </si>
  <si>
    <t xml:space="preserve">HEE6P0QH</t>
  </si>
  <si>
    <t xml:space="preserve">VPDXX5PJ</t>
  </si>
  <si>
    <t xml:space="preserve">8OBC9CQE</t>
  </si>
  <si>
    <t xml:space="preserve">1M2I2NXQ</t>
  </si>
  <si>
    <t xml:space="preserve">XIKWT7HM</t>
  </si>
  <si>
    <t xml:space="preserve">36VPT9RZ</t>
  </si>
  <si>
    <t xml:space="preserve">J712QVSG</t>
  </si>
  <si>
    <t xml:space="preserve">IT10CFQH</t>
  </si>
  <si>
    <t xml:space="preserve">L1R32S8H</t>
  </si>
  <si>
    <t xml:space="preserve">J5V2M7Y1</t>
  </si>
  <si>
    <t xml:space="preserve">ADRB8OMB</t>
  </si>
  <si>
    <t xml:space="preserve">R4L36Y0P</t>
  </si>
  <si>
    <t xml:space="preserve">RK6UFTI8</t>
  </si>
  <si>
    <t xml:space="preserve">IDIMBX0N</t>
  </si>
  <si>
    <t xml:space="preserve">J2B3UZXA</t>
  </si>
  <si>
    <t xml:space="preserve">ZE84UHHB</t>
  </si>
  <si>
    <t xml:space="preserve">HNKZ2IC6</t>
  </si>
  <si>
    <t xml:space="preserve">E1VKE2PH</t>
  </si>
  <si>
    <t xml:space="preserve">AP7PCLAZ</t>
  </si>
  <si>
    <t xml:space="preserve">K8FUZHOG</t>
  </si>
  <si>
    <t xml:space="preserve">E8EY51IC</t>
  </si>
  <si>
    <t xml:space="preserve">PEVJ6O6R</t>
  </si>
  <si>
    <t xml:space="preserve">OV5X3O5I</t>
  </si>
  <si>
    <t xml:space="preserve">97QHOOWD</t>
  </si>
  <si>
    <t xml:space="preserve">J4V3VKQ5</t>
  </si>
  <si>
    <t xml:space="preserve">G4F8W039</t>
  </si>
  <si>
    <t xml:space="preserve">JXWXEJXE</t>
  </si>
  <si>
    <t xml:space="preserve">HHBA93J5</t>
  </si>
  <si>
    <t xml:space="preserve">DV9ZB9KL</t>
  </si>
  <si>
    <t xml:space="preserve">AJLNEUVY</t>
  </si>
  <si>
    <t xml:space="preserve">OGENAT0L</t>
  </si>
  <si>
    <t xml:space="preserve">P5BRH80Z</t>
  </si>
  <si>
    <t xml:space="preserve">IX7UEOAP</t>
  </si>
  <si>
    <t xml:space="preserve">44H0FJMH</t>
  </si>
  <si>
    <t xml:space="preserve">2X45BEOS</t>
  </si>
  <si>
    <t xml:space="preserve">SIRC44NM</t>
  </si>
  <si>
    <t xml:space="preserve">KNLMLTJH</t>
  </si>
  <si>
    <t xml:space="preserve">FF45BXTL</t>
  </si>
  <si>
    <t xml:space="preserve">3SF8O9S6</t>
  </si>
  <si>
    <t xml:space="preserve">JQBJMETQ</t>
  </si>
  <si>
    <t xml:space="preserve">G8AO5FA2</t>
  </si>
  <si>
    <t xml:space="preserve">K53BC1T9</t>
  </si>
  <si>
    <t xml:space="preserve">4TEO0LE1</t>
  </si>
  <si>
    <t xml:space="preserve">PXQEX039</t>
  </si>
  <si>
    <t xml:space="preserve">0EOFVU05</t>
  </si>
  <si>
    <t xml:space="preserve">IIS0O91J</t>
  </si>
  <si>
    <t xml:space="preserve">8EZ04VQB</t>
  </si>
  <si>
    <t xml:space="preserve">2R3ZA84D</t>
  </si>
  <si>
    <t xml:space="preserve">VF1V41RI</t>
  </si>
  <si>
    <t xml:space="preserve">41MURAI5</t>
  </si>
  <si>
    <t xml:space="preserve">PN4VJDXY</t>
  </si>
  <si>
    <t xml:space="preserve">JQ3HJFNA</t>
  </si>
  <si>
    <t xml:space="preserve">1YSOZLHF</t>
  </si>
  <si>
    <t xml:space="preserve">4TZF9N1D</t>
  </si>
  <si>
    <t xml:space="preserve">8C2WG2FB</t>
  </si>
  <si>
    <t xml:space="preserve">7KK0HQ4C</t>
  </si>
  <si>
    <t xml:space="preserve">0Z2CQ0MQ</t>
  </si>
  <si>
    <t xml:space="preserve">IBKRO1AN</t>
  </si>
  <si>
    <t xml:space="preserve">O7YNBRX0</t>
  </si>
  <si>
    <t xml:space="preserve">WNXZ1FGS</t>
  </si>
  <si>
    <t xml:space="preserve">SKTD4GGU</t>
  </si>
  <si>
    <t xml:space="preserve">LPZLQL48</t>
  </si>
  <si>
    <t xml:space="preserve">A76M0OOH</t>
  </si>
  <si>
    <t xml:space="preserve">SV4SOO2K</t>
  </si>
  <si>
    <t xml:space="preserve">A4BBDK82</t>
  </si>
  <si>
    <t xml:space="preserve">GK86H0SK</t>
  </si>
  <si>
    <t xml:space="preserve">V2X2KMUR</t>
  </si>
  <si>
    <t xml:space="preserve">3U25FK08</t>
  </si>
  <si>
    <t xml:space="preserve">IBDEQVBN</t>
  </si>
  <si>
    <t xml:space="preserve">QVF0JRM5</t>
  </si>
  <si>
    <t xml:space="preserve">B5CBSTM5</t>
  </si>
  <si>
    <t xml:space="preserve">HSGJKH6U</t>
  </si>
  <si>
    <t xml:space="preserve">CG65AS6X</t>
  </si>
  <si>
    <t xml:space="preserve">0LNZRNEU</t>
  </si>
  <si>
    <t xml:space="preserve">KZKMLY96</t>
  </si>
  <si>
    <t xml:space="preserve">BIE471SO</t>
  </si>
  <si>
    <t xml:space="preserve">904203D6</t>
  </si>
  <si>
    <t xml:space="preserve">W4K39GNG</t>
  </si>
  <si>
    <t xml:space="preserve">EJSFO67U</t>
  </si>
  <si>
    <t xml:space="preserve">FPNGEJRC</t>
  </si>
  <si>
    <t xml:space="preserve">977FJ9QQ</t>
  </si>
  <si>
    <t xml:space="preserve">K8VSDOP8</t>
  </si>
  <si>
    <t xml:space="preserve">TO7PGVP1</t>
  </si>
  <si>
    <t xml:space="preserve">RV3LPOYP</t>
  </si>
  <si>
    <t xml:space="preserve">YAR5GGA4</t>
  </si>
  <si>
    <t xml:space="preserve">TBZMXKH4</t>
  </si>
  <si>
    <t xml:space="preserve">HF8ABDF6</t>
  </si>
  <si>
    <t xml:space="preserve">HM334UL2</t>
  </si>
  <si>
    <t xml:space="preserve">G1QGATKV</t>
  </si>
  <si>
    <t xml:space="preserve">N852D2Z8</t>
  </si>
  <si>
    <t xml:space="preserve">F8O0IY28</t>
  </si>
  <si>
    <t xml:space="preserve">8BQMFR86</t>
  </si>
  <si>
    <t xml:space="preserve">KA79LTFF</t>
  </si>
  <si>
    <t xml:space="preserve">R3OR0J5C</t>
  </si>
  <si>
    <t xml:space="preserve">WELHHO3U</t>
  </si>
  <si>
    <t xml:space="preserve">IJ4GXGCU</t>
  </si>
  <si>
    <t xml:space="preserve">ZILYYA1V</t>
  </si>
  <si>
    <t xml:space="preserve">PC78RLUX</t>
  </si>
  <si>
    <t xml:space="preserve">NN9R2Y4W</t>
  </si>
  <si>
    <t xml:space="preserve">Z0TSV030</t>
  </si>
  <si>
    <t xml:space="preserve">22OFSXBT</t>
  </si>
  <si>
    <t xml:space="preserve">64DJ954O</t>
  </si>
  <si>
    <t xml:space="preserve">IJLPV177</t>
  </si>
  <si>
    <t xml:space="preserve">8SOQADK7</t>
  </si>
  <si>
    <t xml:space="preserve">AC5YXLIR</t>
  </si>
  <si>
    <t xml:space="preserve">QHI8WRIA</t>
  </si>
  <si>
    <t xml:space="preserve">YBAKNQ8Z</t>
  </si>
  <si>
    <t xml:space="preserve">85XNDIK1</t>
  </si>
  <si>
    <t xml:space="preserve">AEBF9M5T</t>
  </si>
  <si>
    <t xml:space="preserve">N0ONCYVZ</t>
  </si>
  <si>
    <t xml:space="preserve">8L5WBK75</t>
  </si>
  <si>
    <t xml:space="preserve">031BBF1I</t>
  </si>
  <si>
    <t xml:space="preserve">9S7VQ79A</t>
  </si>
  <si>
    <t xml:space="preserve">IRB461Y7</t>
  </si>
  <si>
    <t xml:space="preserve">EDAJ0YEW</t>
  </si>
  <si>
    <t xml:space="preserve">V4EKF9RF</t>
  </si>
  <si>
    <t xml:space="preserve">YI30GSB5</t>
  </si>
  <si>
    <t xml:space="preserve">6JXHEZYK</t>
  </si>
  <si>
    <t xml:space="preserve">8RZ1A49O</t>
  </si>
  <si>
    <t xml:space="preserve">A051G1B4</t>
  </si>
  <si>
    <t xml:space="preserve">T02CX0BY</t>
  </si>
  <si>
    <t xml:space="preserve">YBRZQFEO</t>
  </si>
  <si>
    <t xml:space="preserve">JXLERZ9O</t>
  </si>
  <si>
    <t xml:space="preserve">HG07756D</t>
  </si>
  <si>
    <t xml:space="preserve">FKAFO8O9</t>
  </si>
  <si>
    <t xml:space="preserve">S9MECO24</t>
  </si>
  <si>
    <t xml:space="preserve">DL4SZAGH</t>
  </si>
  <si>
    <t xml:space="preserve">GS1QVWCR</t>
  </si>
  <si>
    <t xml:space="preserve">YFS5KLJJ</t>
  </si>
  <si>
    <t xml:space="preserve">6NXY7144</t>
  </si>
  <si>
    <t xml:space="preserve">9U6RAS0M</t>
  </si>
  <si>
    <t xml:space="preserve">CF1CSNPX</t>
  </si>
  <si>
    <t xml:space="preserve">1XVTUE5J</t>
  </si>
  <si>
    <t xml:space="preserve">COWC9H9T</t>
  </si>
  <si>
    <t xml:space="preserve">8A5HA974</t>
  </si>
  <si>
    <t xml:space="preserve">9LX9MAPU</t>
  </si>
  <si>
    <t xml:space="preserve">CT9XECID</t>
  </si>
  <si>
    <t xml:space="preserve">J9QQVBQX</t>
  </si>
  <si>
    <t xml:space="preserve">K96NUCWR</t>
  </si>
  <si>
    <t xml:space="preserve">7LNGJB3S</t>
  </si>
  <si>
    <t xml:space="preserve">I0D1O3GX</t>
  </si>
  <si>
    <t xml:space="preserve">WNMF0OHM</t>
  </si>
  <si>
    <t xml:space="preserve">88R08IL1</t>
  </si>
  <si>
    <t xml:space="preserve">9KDR9PQX</t>
  </si>
  <si>
    <t xml:space="preserve">2AV40FHB</t>
  </si>
  <si>
    <t xml:space="preserve">GMNQUFQZ</t>
  </si>
  <si>
    <t xml:space="preserve">08KE6ZQN</t>
  </si>
  <si>
    <t xml:space="preserve">FHU2WQ2K</t>
  </si>
  <si>
    <t xml:space="preserve">0WVCRCOU</t>
  </si>
  <si>
    <t xml:space="preserve">W7F056RK</t>
  </si>
  <si>
    <t xml:space="preserve">4SAUJMOI</t>
  </si>
  <si>
    <t xml:space="preserve">9LZICBEV</t>
  </si>
  <si>
    <t xml:space="preserve">3Z2BQVQ7</t>
  </si>
  <si>
    <t xml:space="preserve">B6UWHOD4</t>
  </si>
  <si>
    <t xml:space="preserve">AW3L4BTT</t>
  </si>
  <si>
    <t xml:space="preserve">CMPFB2PS</t>
  </si>
  <si>
    <t xml:space="preserve">7O00H1TC</t>
  </si>
  <si>
    <t xml:space="preserve">F52YEFJ8</t>
  </si>
  <si>
    <t xml:space="preserve">VJ1EK4A3</t>
  </si>
  <si>
    <t xml:space="preserve">65B8HSTW</t>
  </si>
  <si>
    <t xml:space="preserve">E3WWC6FJ</t>
  </si>
  <si>
    <t xml:space="preserve">7PWQUE7O</t>
  </si>
  <si>
    <t xml:space="preserve">RX3F3VIU</t>
  </si>
  <si>
    <t xml:space="preserve">6AALZVSE</t>
  </si>
  <si>
    <t xml:space="preserve">9X5HUUJ5</t>
  </si>
  <si>
    <t xml:space="preserve">CR20TBUT</t>
  </si>
  <si>
    <t xml:space="preserve">4G10PCOZ</t>
  </si>
  <si>
    <t xml:space="preserve">72HZ4LDT</t>
  </si>
  <si>
    <t xml:space="preserve">YAKIMBKC</t>
  </si>
  <si>
    <t xml:space="preserve">4L36DJTM</t>
  </si>
  <si>
    <t xml:space="preserve">AV4ZPXE3</t>
  </si>
  <si>
    <t xml:space="preserve">2GR73FEV</t>
  </si>
  <si>
    <t xml:space="preserve">4KIZ9WJ0</t>
  </si>
  <si>
    <t xml:space="preserve">JZTX4MXK</t>
  </si>
  <si>
    <t xml:space="preserve">7L0S5EON</t>
  </si>
  <si>
    <t xml:space="preserve">N8F2PFQP</t>
  </si>
  <si>
    <t xml:space="preserve">9BGKQZ3H</t>
  </si>
  <si>
    <t xml:space="preserve">N88UFF5K</t>
  </si>
  <si>
    <t xml:space="preserve">VH78FLDN</t>
  </si>
  <si>
    <t xml:space="preserve">06YBVWXZ</t>
  </si>
  <si>
    <t xml:space="preserve">TNUCQKW6</t>
  </si>
  <si>
    <t xml:space="preserve">XCC1C1GG</t>
  </si>
  <si>
    <t xml:space="preserve">N4PVP6C0</t>
  </si>
  <si>
    <t xml:space="preserve">7Z3S4XV9</t>
  </si>
  <si>
    <t xml:space="preserve">8SEGAAT7</t>
  </si>
  <si>
    <t xml:space="preserve">YYAZ4JBY</t>
  </si>
  <si>
    <t xml:space="preserve">JMTO8BPQ</t>
  </si>
  <si>
    <t xml:space="preserve">HRV9DSYF</t>
  </si>
  <si>
    <t xml:space="preserve">21S1ETXM</t>
  </si>
  <si>
    <t xml:space="preserve">KIJB458K</t>
  </si>
  <si>
    <t xml:space="preserve">LOMFB71Q</t>
  </si>
  <si>
    <t xml:space="preserve">3OLESA9M</t>
  </si>
  <si>
    <t xml:space="preserve">OOGOZGGV</t>
  </si>
  <si>
    <t xml:space="preserve">5RUF6451</t>
  </si>
  <si>
    <t xml:space="preserve">QQTQFG9A</t>
  </si>
  <si>
    <t xml:space="preserve">LUFY70BU</t>
  </si>
  <si>
    <t xml:space="preserve">QPH1YUAN</t>
  </si>
  <si>
    <t xml:space="preserve">9B5T5QTA</t>
  </si>
  <si>
    <t xml:space="preserve">UH3P961U</t>
  </si>
  <si>
    <t xml:space="preserve">QODSAVWU</t>
  </si>
  <si>
    <t xml:space="preserve">9DBMY3OF</t>
  </si>
  <si>
    <t xml:space="preserve">M52B4VC5</t>
  </si>
  <si>
    <t xml:space="preserve">Z72Y3C3C</t>
  </si>
  <si>
    <t xml:space="preserve">KV9LW061</t>
  </si>
  <si>
    <t xml:space="preserve">XBFTCRLN</t>
  </si>
  <si>
    <t xml:space="preserve">4X3LNCWH</t>
  </si>
  <si>
    <t xml:space="preserve">2ZT298DY</t>
  </si>
  <si>
    <t xml:space="preserve">JXS3KFKM</t>
  </si>
  <si>
    <t xml:space="preserve">28QWFYSP</t>
  </si>
  <si>
    <t xml:space="preserve">OPYWK3XE</t>
  </si>
  <si>
    <t xml:space="preserve">DUHS8KVY</t>
  </si>
  <si>
    <t xml:space="preserve">M72CT8RN</t>
  </si>
  <si>
    <t xml:space="preserve">1VCAS7FL</t>
  </si>
  <si>
    <t xml:space="preserve">JXUXBANJ</t>
  </si>
  <si>
    <t xml:space="preserve">ATW70WX1</t>
  </si>
  <si>
    <t xml:space="preserve">W355HYRD</t>
  </si>
  <si>
    <t xml:space="preserve">5M3Z5DS4</t>
  </si>
  <si>
    <t xml:space="preserve">B85LVFR1</t>
  </si>
  <si>
    <t xml:space="preserve">CCVCBR83</t>
  </si>
  <si>
    <t xml:space="preserve">5OVTFUNQ</t>
  </si>
  <si>
    <t xml:space="preserve">UWK0KA56</t>
  </si>
  <si>
    <t xml:space="preserve">64KS4KGN</t>
  </si>
  <si>
    <t xml:space="preserve">W3LGBNI2</t>
  </si>
  <si>
    <t xml:space="preserve">8GMDSXYY</t>
  </si>
  <si>
    <t xml:space="preserve">1WSLRC69</t>
  </si>
  <si>
    <t xml:space="preserve">37FL55S0</t>
  </si>
  <si>
    <t xml:space="preserve">DIWC1AHU</t>
  </si>
  <si>
    <t xml:space="preserve">6FT804V9</t>
  </si>
  <si>
    <t xml:space="preserve">U9E3G8UT</t>
  </si>
  <si>
    <t xml:space="preserve">VZS17M7X</t>
  </si>
  <si>
    <t xml:space="preserve">KYQ50DTU</t>
  </si>
  <si>
    <t xml:space="preserve">A89TBOY5</t>
  </si>
  <si>
    <t xml:space="preserve">ILYP3YGW</t>
  </si>
  <si>
    <t xml:space="preserve">AM5J5QPK</t>
  </si>
  <si>
    <t xml:space="preserve">HPSSENGT</t>
  </si>
  <si>
    <t xml:space="preserve">P9SDPJJO</t>
  </si>
  <si>
    <t xml:space="preserve">E06J9PDT</t>
  </si>
  <si>
    <t xml:space="preserve">I19TOSXS</t>
  </si>
  <si>
    <t xml:space="preserve">MV1LBCP5</t>
  </si>
  <si>
    <t xml:space="preserve">ELCQKUQU</t>
  </si>
  <si>
    <t xml:space="preserve">98YPUABG</t>
  </si>
  <si>
    <t xml:space="preserve">DF19VWL4</t>
  </si>
  <si>
    <t xml:space="preserve">PLM5WEY4</t>
  </si>
  <si>
    <t xml:space="preserve">OUR875IK</t>
  </si>
  <si>
    <t xml:space="preserve">YWF7W7H8</t>
  </si>
  <si>
    <t xml:space="preserve">SFI9TVH3</t>
  </si>
  <si>
    <t xml:space="preserve">V5QIL0HU</t>
  </si>
  <si>
    <t xml:space="preserve">SFFFNT6B</t>
  </si>
  <si>
    <t xml:space="preserve">LGTIXQ46</t>
  </si>
  <si>
    <t xml:space="preserve">0RNYAI6O</t>
  </si>
  <si>
    <t xml:space="preserve">89064N0X</t>
  </si>
  <si>
    <t xml:space="preserve">LV5SEMZQ</t>
  </si>
  <si>
    <t xml:space="preserve">EM4XNIPW</t>
  </si>
  <si>
    <t xml:space="preserve">57FO8KSQ</t>
  </si>
  <si>
    <t xml:space="preserve">PMQ4M2UX</t>
  </si>
  <si>
    <t xml:space="preserve">F91QWQ1G</t>
  </si>
  <si>
    <t xml:space="preserve">ZIZXHX09</t>
  </si>
  <si>
    <t xml:space="preserve">6YEF304L</t>
  </si>
  <si>
    <t xml:space="preserve">KG5JIU81</t>
  </si>
  <si>
    <t xml:space="preserve">YIGSYPWD</t>
  </si>
  <si>
    <t xml:space="preserve">74P8ZFDD</t>
  </si>
  <si>
    <t xml:space="preserve">B2H3P25L</t>
  </si>
  <si>
    <t xml:space="preserve">9VEB4KWV</t>
  </si>
  <si>
    <t xml:space="preserve">5G645WYV</t>
  </si>
  <si>
    <t xml:space="preserve">ASL3FJZP</t>
  </si>
  <si>
    <t xml:space="preserve">9ZDFLOKA</t>
  </si>
  <si>
    <t xml:space="preserve">QO6CI3P4</t>
  </si>
  <si>
    <t xml:space="preserve">MJZP9WYC</t>
  </si>
  <si>
    <t xml:space="preserve">0SMQAD34</t>
  </si>
  <si>
    <t xml:space="preserve">J60KKQ4B</t>
  </si>
  <si>
    <t xml:space="preserve">T4NRIY5R</t>
  </si>
  <si>
    <t xml:space="preserve">JFB4WY8C</t>
  </si>
  <si>
    <t xml:space="preserve">DI6H5ERU</t>
  </si>
  <si>
    <t xml:space="preserve">GDOHDB6U</t>
  </si>
  <si>
    <t xml:space="preserve">X8QV83G1</t>
  </si>
  <si>
    <t xml:space="preserve">X9BUD48V</t>
  </si>
  <si>
    <t xml:space="preserve">NKO2JRRS</t>
  </si>
  <si>
    <t xml:space="preserve">HOG5OE78</t>
  </si>
  <si>
    <t xml:space="preserve">WW3NDCO2</t>
  </si>
  <si>
    <t xml:space="preserve">JW2FHT1G</t>
  </si>
  <si>
    <t xml:space="preserve">C334XDK8</t>
  </si>
  <si>
    <t xml:space="preserve">06DUY829</t>
  </si>
  <si>
    <t xml:space="preserve">SKTAI2GS</t>
  </si>
  <si>
    <t xml:space="preserve">HTQO5XIW</t>
  </si>
  <si>
    <t xml:space="preserve">181X64EU</t>
  </si>
  <si>
    <t xml:space="preserve">QL7H3WQZ</t>
  </si>
  <si>
    <t xml:space="preserve">0VYX8TN3</t>
  </si>
  <si>
    <t xml:space="preserve">XGD6BFD6</t>
  </si>
  <si>
    <t xml:space="preserve">120BESB3</t>
  </si>
  <si>
    <t xml:space="preserve">OB7TAJOZ</t>
  </si>
  <si>
    <t xml:space="preserve">JLT2LLR3</t>
  </si>
  <si>
    <t xml:space="preserve">DESFU690</t>
  </si>
  <si>
    <t xml:space="preserve">A9C9YCSN</t>
  </si>
  <si>
    <t xml:space="preserve">3O7PIS8O</t>
  </si>
  <si>
    <t xml:space="preserve">ZG82F4GH</t>
  </si>
  <si>
    <t xml:space="preserve">KK7L97V7</t>
  </si>
  <si>
    <t xml:space="preserve">HO6M5P37</t>
  </si>
  <si>
    <t xml:space="preserve">CLOSEH5L</t>
  </si>
  <si>
    <t xml:space="preserve">OZDJFUHH</t>
  </si>
  <si>
    <t xml:space="preserve">X2QRD0DC</t>
  </si>
  <si>
    <t xml:space="preserve">4DUMR5WD</t>
  </si>
  <si>
    <t xml:space="preserve">FJ6QV5XK</t>
  </si>
  <si>
    <t xml:space="preserve">EWQVZB85</t>
  </si>
  <si>
    <t xml:space="preserve">26XU4887</t>
  </si>
  <si>
    <t xml:space="preserve">49USIHDH</t>
  </si>
  <si>
    <t xml:space="preserve">LOAYKUEO</t>
  </si>
  <si>
    <t xml:space="preserve">OV08QE7X</t>
  </si>
  <si>
    <t xml:space="preserve">8BRN98H6</t>
  </si>
  <si>
    <t xml:space="preserve">P2VXL7MO</t>
  </si>
  <si>
    <t xml:space="preserve">XLKL4EI0</t>
  </si>
  <si>
    <t xml:space="preserve">5PA21ZHE</t>
  </si>
  <si>
    <t xml:space="preserve">AYIPNQFR</t>
  </si>
  <si>
    <t xml:space="preserve">E6WG7J0I</t>
  </si>
  <si>
    <t xml:space="preserve">0XC4DR3F</t>
  </si>
  <si>
    <t xml:space="preserve">0XIPT9AX</t>
  </si>
  <si>
    <t xml:space="preserve">BU1B6PHK</t>
  </si>
  <si>
    <t xml:space="preserve">E733YMVH</t>
  </si>
  <si>
    <t xml:space="preserve">QDRYCR05</t>
  </si>
  <si>
    <t xml:space="preserve">50B2JN7F</t>
  </si>
  <si>
    <t xml:space="preserve">H00Y9555</t>
  </si>
  <si>
    <t xml:space="preserve">U1BDEL90</t>
  </si>
  <si>
    <t xml:space="preserve">IWAKTMEB</t>
  </si>
  <si>
    <t xml:space="preserve">D1UDLFVY</t>
  </si>
  <si>
    <t xml:space="preserve">62R8ERQ0</t>
  </si>
  <si>
    <t xml:space="preserve">YXOM4S7G</t>
  </si>
  <si>
    <t xml:space="preserve">2HU581DM</t>
  </si>
  <si>
    <t xml:space="preserve">O08NQM1J</t>
  </si>
  <si>
    <t xml:space="preserve">OC66D0JA</t>
  </si>
  <si>
    <t xml:space="preserve">JPH5WS60</t>
  </si>
  <si>
    <t xml:space="preserve">UURLD9W8</t>
  </si>
  <si>
    <t xml:space="preserve">RMO3I92N</t>
  </si>
  <si>
    <t xml:space="preserve">C2X9D7JO</t>
  </si>
  <si>
    <t xml:space="preserve">JNYS6BIJ</t>
  </si>
  <si>
    <t xml:space="preserve">8TXOC3S3</t>
  </si>
  <si>
    <t xml:space="preserve">Z50GQV8I</t>
  </si>
  <si>
    <t xml:space="preserve">VIV0OXU6</t>
  </si>
  <si>
    <t xml:space="preserve">2ZXKC707</t>
  </si>
  <si>
    <t xml:space="preserve">BL4SKUCN</t>
  </si>
  <si>
    <t xml:space="preserve">GJQXUDI3</t>
  </si>
  <si>
    <t xml:space="preserve">5PJJCTJ9</t>
  </si>
  <si>
    <t xml:space="preserve">CKSNW8DU</t>
  </si>
  <si>
    <t xml:space="preserve">O5OCDKVH</t>
  </si>
  <si>
    <t xml:space="preserve">70GGNRPB</t>
  </si>
  <si>
    <t xml:space="preserve">6RQCLF28</t>
  </si>
  <si>
    <t xml:space="preserve">FBJHTF91</t>
  </si>
  <si>
    <t xml:space="preserve">ZVWUL0LL</t>
  </si>
  <si>
    <t xml:space="preserve">5KC9ZGBX</t>
  </si>
  <si>
    <t xml:space="preserve">YTL8VNGT</t>
  </si>
  <si>
    <t xml:space="preserve">VF651O1V</t>
  </si>
  <si>
    <t xml:space="preserve">ISHAZTWG</t>
  </si>
  <si>
    <t xml:space="preserve">Y975VCYM</t>
  </si>
  <si>
    <t xml:space="preserve">5Z0ACVAM</t>
  </si>
  <si>
    <t xml:space="preserve">KVF0HK8S</t>
  </si>
  <si>
    <t xml:space="preserve">TBJ99S41</t>
  </si>
  <si>
    <t xml:space="preserve">93JCG10L</t>
  </si>
  <si>
    <t xml:space="preserve">MB3376Q1</t>
  </si>
  <si>
    <t xml:space="preserve">ZE1ZKD7Q</t>
  </si>
  <si>
    <t xml:space="preserve">IGVGV1O5</t>
  </si>
  <si>
    <t xml:space="preserve">0PSKGNYE</t>
  </si>
  <si>
    <t xml:space="preserve">MBGVOGCY</t>
  </si>
  <si>
    <t xml:space="preserve">2DOJKFNW</t>
  </si>
  <si>
    <t xml:space="preserve">P010EEZF</t>
  </si>
  <si>
    <t xml:space="preserve">V7YVW4U0</t>
  </si>
  <si>
    <t xml:space="preserve">MUHI7FIM</t>
  </si>
  <si>
    <t xml:space="preserve">91JBU17E</t>
  </si>
  <si>
    <t xml:space="preserve">L36WU4AH</t>
  </si>
  <si>
    <t xml:space="preserve">O4LNS6IC</t>
  </si>
  <si>
    <t xml:space="preserve">DU0E2LMZ</t>
  </si>
  <si>
    <t xml:space="preserve">MU3PM8ON</t>
  </si>
  <si>
    <t xml:space="preserve">PYY9M6Q4</t>
  </si>
  <si>
    <t xml:space="preserve">F1LLBOUV</t>
  </si>
  <si>
    <t xml:space="preserve">SZ1H1L8I</t>
  </si>
  <si>
    <t xml:space="preserve">524GC3WL</t>
  </si>
  <si>
    <t xml:space="preserve">UC7JT39Q</t>
  </si>
  <si>
    <t xml:space="preserve">UIDAJBAI</t>
  </si>
  <si>
    <t xml:space="preserve">DCC85LZO</t>
  </si>
  <si>
    <t xml:space="preserve">3CWKBXEN</t>
  </si>
  <si>
    <t xml:space="preserve">RSKU2ZHM</t>
  </si>
  <si>
    <t xml:space="preserve">R2CS85YJ</t>
  </si>
  <si>
    <t xml:space="preserve">SQZ293C0</t>
  </si>
  <si>
    <t xml:space="preserve">OHVPXBSR</t>
  </si>
  <si>
    <t xml:space="preserve">IXBUR07V</t>
  </si>
  <si>
    <t xml:space="preserve">3M03SX77</t>
  </si>
  <si>
    <t xml:space="preserve">J75N0QYA</t>
  </si>
  <si>
    <t xml:space="preserve">IFIIB8Y6</t>
  </si>
  <si>
    <t xml:space="preserve">2EKGLB0Q</t>
  </si>
  <si>
    <t xml:space="preserve">JA2CDNVM</t>
  </si>
  <si>
    <t xml:space="preserve">6ER2KL7X</t>
  </si>
  <si>
    <t xml:space="preserve">THMEDL51</t>
  </si>
  <si>
    <t xml:space="preserve">8IEVY30X</t>
  </si>
  <si>
    <t xml:space="preserve">RSAGMF10</t>
  </si>
  <si>
    <t xml:space="preserve">T8WC5X1B</t>
  </si>
  <si>
    <t xml:space="preserve">7PAVX9CP</t>
  </si>
  <si>
    <t xml:space="preserve">G58AHYTW</t>
  </si>
  <si>
    <t xml:space="preserve">0J21WQH1</t>
  </si>
  <si>
    <t xml:space="preserve">8BH9RNZI</t>
  </si>
  <si>
    <t xml:space="preserve">FB1AO8SL</t>
  </si>
  <si>
    <t xml:space="preserve">UTZDDOU7</t>
  </si>
  <si>
    <t xml:space="preserve">5UE0TE1R</t>
  </si>
  <si>
    <t xml:space="preserve">1VHUPB8X</t>
  </si>
  <si>
    <t xml:space="preserve">K9MMOXUC</t>
  </si>
  <si>
    <t xml:space="preserve">YT7QY06V</t>
  </si>
  <si>
    <t xml:space="preserve">N58V2ML8</t>
  </si>
  <si>
    <t xml:space="preserve">7H9J8W50</t>
  </si>
  <si>
    <t xml:space="preserve">2B0QVPBT</t>
  </si>
  <si>
    <t xml:space="preserve">HLGGWYP1</t>
  </si>
  <si>
    <t xml:space="preserve">JS9SCCJ3</t>
  </si>
  <si>
    <t xml:space="preserve">8LTQ9ESQ</t>
  </si>
  <si>
    <t xml:space="preserve">YIZ1VQ3U</t>
  </si>
  <si>
    <t xml:space="preserve">94B4785B</t>
  </si>
  <si>
    <t xml:space="preserve">JO4MF90Q</t>
  </si>
  <si>
    <t xml:space="preserve">DWO4HD34</t>
  </si>
  <si>
    <t xml:space="preserve">IUNX2OMX</t>
  </si>
  <si>
    <t xml:space="preserve">VNCFE4LQ</t>
  </si>
  <si>
    <t xml:space="preserve">T4ZW6SS4</t>
  </si>
  <si>
    <t xml:space="preserve">ULJM9JGL</t>
  </si>
  <si>
    <t xml:space="preserve">JXBUN5MY</t>
  </si>
  <si>
    <t xml:space="preserve">EBBIJKLT</t>
  </si>
  <si>
    <t xml:space="preserve">8OHCCD42</t>
  </si>
  <si>
    <t xml:space="preserve">CEOTU8PX</t>
  </si>
  <si>
    <t xml:space="preserve">0UDLH6I3</t>
  </si>
  <si>
    <t xml:space="preserve">A0VM9Q5M</t>
  </si>
  <si>
    <t xml:space="preserve">7TJEHAED</t>
  </si>
  <si>
    <t xml:space="preserve">QBCK25DV</t>
  </si>
  <si>
    <t xml:space="preserve">TQLJOZBP</t>
  </si>
  <si>
    <t xml:space="preserve">5FIGO7XN</t>
  </si>
  <si>
    <t xml:space="preserve">BG2656VA</t>
  </si>
  <si>
    <t xml:space="preserve">4MMQZHCK</t>
  </si>
  <si>
    <t xml:space="preserve">GWRPJWRO</t>
  </si>
  <si>
    <t xml:space="preserve">SUQNORF2</t>
  </si>
  <si>
    <t xml:space="preserve">ZLY8SZXO</t>
  </si>
  <si>
    <t xml:space="preserve">77MKNCO3</t>
  </si>
  <si>
    <t xml:space="preserve">8LVFBGN4</t>
  </si>
  <si>
    <t xml:space="preserve">8GBXTWXE</t>
  </si>
  <si>
    <t xml:space="preserve">SLN6HHLD</t>
  </si>
  <si>
    <t xml:space="preserve">BEP06EN5</t>
  </si>
  <si>
    <t xml:space="preserve">2SGRE4VE</t>
  </si>
  <si>
    <t xml:space="preserve">QRVHBQSF</t>
  </si>
  <si>
    <t xml:space="preserve">YZ4AIQQR</t>
  </si>
  <si>
    <t xml:space="preserve">7C2HU8OC</t>
  </si>
  <si>
    <t xml:space="preserve">6AC2ATXU</t>
  </si>
  <si>
    <t xml:space="preserve">3DB2J8UR</t>
  </si>
  <si>
    <t xml:space="preserve">TYWS7KJR</t>
  </si>
  <si>
    <t xml:space="preserve">Y35ES8UY</t>
  </si>
  <si>
    <t xml:space="preserve">NNM6GN1J</t>
  </si>
  <si>
    <t xml:space="preserve">UEL6CAP9</t>
  </si>
  <si>
    <t xml:space="preserve">VYDCTUAU</t>
  </si>
  <si>
    <t xml:space="preserve">WOBZWEPI</t>
  </si>
  <si>
    <t xml:space="preserve">VO3C2LE4</t>
  </si>
  <si>
    <t xml:space="preserve">EUKD4Z0V</t>
  </si>
  <si>
    <t xml:space="preserve">GHY9QZKG</t>
  </si>
  <si>
    <t xml:space="preserve">7ODLTF4W</t>
  </si>
  <si>
    <t xml:space="preserve">L66MAMK5</t>
  </si>
  <si>
    <t xml:space="preserve">RGYBSSEK</t>
  </si>
  <si>
    <t xml:space="preserve">R0XAJA2I</t>
  </si>
  <si>
    <t xml:space="preserve">UDTQF84C</t>
  </si>
  <si>
    <t xml:space="preserve">OJYFSZ2O</t>
  </si>
  <si>
    <t xml:space="preserve">F4J6AVPQ</t>
  </si>
  <si>
    <t xml:space="preserve">O1TDG6YN</t>
  </si>
  <si>
    <t xml:space="preserve">1B4CL153</t>
  </si>
  <si>
    <t xml:space="preserve">GAM8C5ET</t>
  </si>
  <si>
    <t xml:space="preserve">QPOE9V6Y</t>
  </si>
  <si>
    <t xml:space="preserve">DXBLA2BS</t>
  </si>
  <si>
    <t xml:space="preserve">3Y26MZHI</t>
  </si>
  <si>
    <t xml:space="preserve">NFTSU7RW</t>
  </si>
  <si>
    <t xml:space="preserve">3OBMD08T</t>
  </si>
  <si>
    <t xml:space="preserve">VKXZ36VE</t>
  </si>
  <si>
    <t xml:space="preserve">LIZMTGH2</t>
  </si>
  <si>
    <t xml:space="preserve">38VRB2P1</t>
  </si>
  <si>
    <t xml:space="preserve">70M5V003</t>
  </si>
  <si>
    <t xml:space="preserve">9PCWAYWC</t>
  </si>
  <si>
    <t xml:space="preserve">3BFBN8JW</t>
  </si>
  <si>
    <t xml:space="preserve">XWZG5VPL</t>
  </si>
  <si>
    <t xml:space="preserve">GNL7T2JP</t>
  </si>
  <si>
    <t xml:space="preserve">UFGI9P05</t>
  </si>
  <si>
    <t xml:space="preserve">M8WP93D4</t>
  </si>
  <si>
    <t xml:space="preserve">DIAR4IM7</t>
  </si>
  <si>
    <t xml:space="preserve">U0E9CRX5</t>
  </si>
  <si>
    <t xml:space="preserve">30YWHJV8</t>
  </si>
  <si>
    <t xml:space="preserve">Q169CIK6</t>
  </si>
  <si>
    <t xml:space="preserve">IJ7AUTVC</t>
  </si>
  <si>
    <t xml:space="preserve">5SNTPPOV</t>
  </si>
  <si>
    <t xml:space="preserve">WUGE2QUO</t>
  </si>
  <si>
    <t xml:space="preserve">8EAINY61</t>
  </si>
  <si>
    <t xml:space="preserve">VTVF5TBV</t>
  </si>
  <si>
    <t xml:space="preserve">U3394VAL</t>
  </si>
  <si>
    <t xml:space="preserve">B0KF3NFK</t>
  </si>
  <si>
    <t xml:space="preserve">2K8H292S</t>
  </si>
  <si>
    <t xml:space="preserve">T23MHC9C</t>
  </si>
  <si>
    <t xml:space="preserve">RHXY2M2W</t>
  </si>
  <si>
    <t xml:space="preserve">75S7S74S</t>
  </si>
  <si>
    <t xml:space="preserve">2ZU519Y6</t>
  </si>
  <si>
    <t xml:space="preserve">XYZ39YT2</t>
  </si>
  <si>
    <t xml:space="preserve">R102IPTH</t>
  </si>
  <si>
    <t xml:space="preserve">RTZFPWVN</t>
  </si>
  <si>
    <t xml:space="preserve">UKIM9XIZ</t>
  </si>
  <si>
    <t xml:space="preserve">8PGDRAH2</t>
  </si>
  <si>
    <t xml:space="preserve">XMEYATKB</t>
  </si>
  <si>
    <t xml:space="preserve">YQXAY03C</t>
  </si>
  <si>
    <t xml:space="preserve">TLXS1NB8</t>
  </si>
  <si>
    <t xml:space="preserve">CPJK2600</t>
  </si>
  <si>
    <t xml:space="preserve">JHLG51ZI</t>
  </si>
  <si>
    <t xml:space="preserve">BHT7UEDJ</t>
  </si>
  <si>
    <t xml:space="preserve">31I0SB7T</t>
  </si>
  <si>
    <t xml:space="preserve">30FHAEJZ</t>
  </si>
  <si>
    <t xml:space="preserve">H3ITKE4I</t>
  </si>
  <si>
    <t xml:space="preserve">Q1DFFYB5</t>
  </si>
  <si>
    <t xml:space="preserve">IZ02GW0R</t>
  </si>
  <si>
    <t xml:space="preserve">JNKDEAG9</t>
  </si>
  <si>
    <t xml:space="preserve">E2MWXGNG</t>
  </si>
  <si>
    <t xml:space="preserve">HYPZOTY8</t>
  </si>
  <si>
    <t xml:space="preserve">GO7UM9AV</t>
  </si>
  <si>
    <t xml:space="preserve">8KFFRJSS</t>
  </si>
  <si>
    <t xml:space="preserve">NCUXZU3S</t>
  </si>
  <si>
    <t xml:space="preserve">I7KV29LC</t>
  </si>
  <si>
    <t xml:space="preserve">PHAFVDFO</t>
  </si>
  <si>
    <t xml:space="preserve">OUIK8VX3</t>
  </si>
  <si>
    <t xml:space="preserve">IFJ2AE9R</t>
  </si>
  <si>
    <t xml:space="preserve">YHRVQVPV</t>
  </si>
  <si>
    <t xml:space="preserve">YGNVLLUR</t>
  </si>
  <si>
    <t xml:space="preserve">4INFXLM5</t>
  </si>
  <si>
    <t xml:space="preserve">RZRRMWTH</t>
  </si>
  <si>
    <t xml:space="preserve">KPUHKYWU</t>
  </si>
  <si>
    <t xml:space="preserve">AYB7DWUH</t>
  </si>
  <si>
    <t xml:space="preserve">UXOQQR39</t>
  </si>
  <si>
    <t xml:space="preserve">3GPAFD3X</t>
  </si>
  <si>
    <t xml:space="preserve">QBUJF4I7</t>
  </si>
  <si>
    <t xml:space="preserve">TS4CB9TH</t>
  </si>
  <si>
    <t xml:space="preserve">BPCWRG9P</t>
  </si>
  <si>
    <t xml:space="preserve">D3OST43E</t>
  </si>
  <si>
    <t xml:space="preserve">AY9NWO78</t>
  </si>
  <si>
    <t xml:space="preserve">N5CCEEOY</t>
  </si>
  <si>
    <t xml:space="preserve">V9YR14KW</t>
  </si>
  <si>
    <t xml:space="preserve">IVW8MQGN</t>
  </si>
  <si>
    <t xml:space="preserve">37LTMWB0</t>
  </si>
  <si>
    <t xml:space="preserve">ANXSK3QV</t>
  </si>
  <si>
    <t xml:space="preserve">JHIX3ODA</t>
  </si>
  <si>
    <t xml:space="preserve">IR03B656</t>
  </si>
  <si>
    <t xml:space="preserve">2SBP68CP</t>
  </si>
  <si>
    <t xml:space="preserve">AUJ21SKT</t>
  </si>
  <si>
    <t xml:space="preserve">1426E8W6</t>
  </si>
  <si>
    <t xml:space="preserve">U1J4YN0I</t>
  </si>
  <si>
    <t xml:space="preserve">5LHNRZD3</t>
  </si>
  <si>
    <t xml:space="preserve">X7FZMKZW</t>
  </si>
  <si>
    <t xml:space="preserve">OS2CD01K</t>
  </si>
  <si>
    <t xml:space="preserve">6WODV6KD</t>
  </si>
  <si>
    <t xml:space="preserve">9CGD5QSZ</t>
  </si>
  <si>
    <t xml:space="preserve">N7FJ13VQ</t>
  </si>
  <si>
    <t xml:space="preserve">R7SESFM0</t>
  </si>
  <si>
    <t xml:space="preserve">4RPUMZ9M</t>
  </si>
  <si>
    <t xml:space="preserve">9B0HGLRU</t>
  </si>
  <si>
    <t xml:space="preserve">922DHXBA</t>
  </si>
  <si>
    <t xml:space="preserve">H5662N5X</t>
  </si>
  <si>
    <t xml:space="preserve">IUDDK8Q0</t>
  </si>
  <si>
    <t xml:space="preserve">XNHGOHPW</t>
  </si>
  <si>
    <t xml:space="preserve">JQ8V4I1K</t>
  </si>
  <si>
    <t xml:space="preserve">6PMHI9G4</t>
  </si>
  <si>
    <t xml:space="preserve">J3SZACNW</t>
  </si>
  <si>
    <t xml:space="preserve">8O03S3U3</t>
  </si>
  <si>
    <t xml:space="preserve">FUL5V96O</t>
  </si>
  <si>
    <t xml:space="preserve">NBYPJR21</t>
  </si>
  <si>
    <t xml:space="preserve">BWIWI1PC</t>
  </si>
  <si>
    <t xml:space="preserve">7MGVL7FC</t>
  </si>
  <si>
    <t xml:space="preserve">4LLWRSBJ</t>
  </si>
  <si>
    <t xml:space="preserve">N60UJ28O</t>
  </si>
  <si>
    <t xml:space="preserve">2OQB2KPY</t>
  </si>
  <si>
    <t xml:space="preserve">1QWG9VM6</t>
  </si>
  <si>
    <t xml:space="preserve">GTEFJL6U</t>
  </si>
  <si>
    <t xml:space="preserve">QW9JMUTD</t>
  </si>
  <si>
    <t xml:space="preserve">AWVSWBQV</t>
  </si>
  <si>
    <t xml:space="preserve">6YIW81M9</t>
  </si>
  <si>
    <t xml:space="preserve">TBPGQYF8</t>
  </si>
  <si>
    <t xml:space="preserve">Z2M1XXEK</t>
  </si>
  <si>
    <t xml:space="preserve">7I6OHUE4</t>
  </si>
  <si>
    <t xml:space="preserve">D7F2AWWW</t>
  </si>
  <si>
    <t xml:space="preserve">QA9XE19H</t>
  </si>
  <si>
    <t xml:space="preserve">FIYSM4E1</t>
  </si>
  <si>
    <t xml:space="preserve">POFA8BWL</t>
  </si>
  <si>
    <t xml:space="preserve">AMX2BM39</t>
  </si>
  <si>
    <t xml:space="preserve">QKQ5N9Z1</t>
  </si>
  <si>
    <t xml:space="preserve">VD6BP6T2</t>
  </si>
  <si>
    <t xml:space="preserve">G4B4Z525</t>
  </si>
  <si>
    <t xml:space="preserve">OI6UHCTN</t>
  </si>
  <si>
    <t xml:space="preserve">GET2JILL</t>
  </si>
  <si>
    <t xml:space="preserve">F2KINGVU</t>
  </si>
  <si>
    <t xml:space="preserve">X8T4XLTY</t>
  </si>
  <si>
    <t xml:space="preserve">5SYJS0HS</t>
  </si>
  <si>
    <t xml:space="preserve">C0SNGBJU</t>
  </si>
  <si>
    <t xml:space="preserve">6444O6DK</t>
  </si>
  <si>
    <t xml:space="preserve">7RJMI3GC</t>
  </si>
  <si>
    <t xml:space="preserve">DLXFY70W</t>
  </si>
  <si>
    <t xml:space="preserve">HEOTZFII</t>
  </si>
  <si>
    <t xml:space="preserve">L3AYCTGW</t>
  </si>
  <si>
    <t xml:space="preserve">1E2LYCWP</t>
  </si>
  <si>
    <t xml:space="preserve">OJ0C7S3T</t>
  </si>
  <si>
    <t xml:space="preserve">3EGE42CM</t>
  </si>
  <si>
    <t xml:space="preserve">FX54MQFC</t>
  </si>
  <si>
    <t xml:space="preserve">GYBIACTC</t>
  </si>
  <si>
    <t xml:space="preserve">0AN86YDG</t>
  </si>
  <si>
    <t xml:space="preserve">8H95X3AP</t>
  </si>
  <si>
    <t xml:space="preserve">610UUEAG</t>
  </si>
  <si>
    <t xml:space="preserve">M9RGVU1F</t>
  </si>
  <si>
    <t xml:space="preserve">Q22714T0</t>
  </si>
  <si>
    <t xml:space="preserve">HGF361RQ</t>
  </si>
  <si>
    <t xml:space="preserve">9B8SPYAF</t>
  </si>
  <si>
    <t xml:space="preserve">CJP7LWRK</t>
  </si>
  <si>
    <t xml:space="preserve">2NKZR4IM</t>
  </si>
  <si>
    <t xml:space="preserve">FMNSL9TP</t>
  </si>
  <si>
    <t xml:space="preserve">I18DIO6O</t>
  </si>
  <si>
    <t xml:space="preserve">QQH0YV1W</t>
  </si>
  <si>
    <t xml:space="preserve">ETISD84I</t>
  </si>
  <si>
    <t xml:space="preserve">7EBT21IA</t>
  </si>
  <si>
    <t xml:space="preserve">68KYNPDQ</t>
  </si>
  <si>
    <t xml:space="preserve">BH40KWV5</t>
  </si>
  <si>
    <t xml:space="preserve">5AI9WG6M</t>
  </si>
  <si>
    <t xml:space="preserve">MMVHAEI3</t>
  </si>
  <si>
    <t xml:space="preserve">3VMC6PGJ</t>
  </si>
  <si>
    <t xml:space="preserve">JORFI81C</t>
  </si>
  <si>
    <t xml:space="preserve">PGRIPWHY</t>
  </si>
  <si>
    <t xml:space="preserve">FCGE8U5M</t>
  </si>
  <si>
    <t xml:space="preserve">0VXUZU7P</t>
  </si>
  <si>
    <t xml:space="preserve">ZKOGIB6R</t>
  </si>
  <si>
    <t xml:space="preserve">FI5OA7O6</t>
  </si>
  <si>
    <t xml:space="preserve">1OZWGQK9</t>
  </si>
  <si>
    <t xml:space="preserve">JW4K9O5H</t>
  </si>
  <si>
    <t xml:space="preserve">UKLAKXP2</t>
  </si>
  <si>
    <t xml:space="preserve">7FKONHLX</t>
  </si>
  <si>
    <t xml:space="preserve">EO481IOJ</t>
  </si>
  <si>
    <t xml:space="preserve">NVDVFYGE</t>
  </si>
  <si>
    <t xml:space="preserve">84T104O7</t>
  </si>
  <si>
    <t xml:space="preserve">S87Y1DOY</t>
  </si>
  <si>
    <t xml:space="preserve">JK4IB77I</t>
  </si>
  <si>
    <t xml:space="preserve">VTLI5HIE</t>
  </si>
  <si>
    <t xml:space="preserve">J9SE3QJD</t>
  </si>
  <si>
    <t xml:space="preserve">NHE1CETW</t>
  </si>
  <si>
    <t xml:space="preserve">2OPR77CI</t>
  </si>
  <si>
    <t xml:space="preserve">Q0KYIEKA</t>
  </si>
  <si>
    <t xml:space="preserve">EXICVP8C</t>
  </si>
  <si>
    <t xml:space="preserve">HBXLK0B6</t>
  </si>
  <si>
    <t xml:space="preserve">79G6725X</t>
  </si>
  <si>
    <t xml:space="preserve">G1C9IG0T</t>
  </si>
  <si>
    <t xml:space="preserve">196BHHOS</t>
  </si>
  <si>
    <t xml:space="preserve">EYZ1MNSS</t>
  </si>
  <si>
    <t xml:space="preserve">2IO3IJPO</t>
  </si>
  <si>
    <t xml:space="preserve">9UYDTR0R</t>
  </si>
  <si>
    <t xml:space="preserve">2EO70V27</t>
  </si>
  <si>
    <t xml:space="preserve">WLFLY0BD</t>
  </si>
  <si>
    <t xml:space="preserve">7CTCDP9S</t>
  </si>
  <si>
    <t xml:space="preserve">RD0L0NJG</t>
  </si>
  <si>
    <t xml:space="preserve">SICU0A7Z</t>
  </si>
  <si>
    <t xml:space="preserve">I8A539VV</t>
  </si>
  <si>
    <t xml:space="preserve">K8DHOJWM</t>
  </si>
  <si>
    <t xml:space="preserve">ETADSAC3</t>
  </si>
  <si>
    <t xml:space="preserve">QUGPSHY8</t>
  </si>
  <si>
    <t xml:space="preserve">URIKPDOJ</t>
  </si>
  <si>
    <t xml:space="preserve">HK1JJKQL</t>
  </si>
  <si>
    <t xml:space="preserve">M645P7NW</t>
  </si>
  <si>
    <t xml:space="preserve">99QIJAAP</t>
  </si>
  <si>
    <t xml:space="preserve">3AB31BUU</t>
  </si>
  <si>
    <t xml:space="preserve">4K7PRO1B</t>
  </si>
  <si>
    <t xml:space="preserve">NKBIYNK5</t>
  </si>
  <si>
    <t xml:space="preserve">XJI41C0L</t>
  </si>
  <si>
    <t xml:space="preserve">8ZYPSX66</t>
  </si>
  <si>
    <t xml:space="preserve">UXNB9OIB</t>
  </si>
  <si>
    <t xml:space="preserve">YMMQA65I</t>
  </si>
  <si>
    <t xml:space="preserve">I6TVFB6J</t>
  </si>
  <si>
    <t xml:space="preserve">RYO875D0</t>
  </si>
  <si>
    <t xml:space="preserve">0WRMY7IX</t>
  </si>
  <si>
    <t xml:space="preserve">VPSJHIAA</t>
  </si>
  <si>
    <t xml:space="preserve">HBWY3B48</t>
  </si>
  <si>
    <t xml:space="preserve">ZZI8GUEM</t>
  </si>
  <si>
    <t xml:space="preserve">XPJQBSLV</t>
  </si>
  <si>
    <t xml:space="preserve">QNFO4GX8</t>
  </si>
  <si>
    <t xml:space="preserve">SW75F1Q1</t>
  </si>
  <si>
    <t xml:space="preserve">XIXNILOP</t>
  </si>
  <si>
    <t xml:space="preserve">5QD09R7U</t>
  </si>
  <si>
    <t xml:space="preserve">LITG1BL1</t>
  </si>
  <si>
    <t xml:space="preserve">E59MLGMH</t>
  </si>
  <si>
    <t xml:space="preserve">AEMTQ0GH</t>
  </si>
  <si>
    <t xml:space="preserve">X3S5O9LJ</t>
  </si>
  <si>
    <t xml:space="preserve">A2C5O4EN</t>
  </si>
  <si>
    <t xml:space="preserve">J5QLUH5O</t>
  </si>
  <si>
    <t xml:space="preserve">XWW6KUG0</t>
  </si>
  <si>
    <t xml:space="preserve">ZXUNLSOB</t>
  </si>
  <si>
    <t xml:space="preserve">WUWOHRX2</t>
  </si>
  <si>
    <t xml:space="preserve">D7MYDHMF</t>
  </si>
  <si>
    <t xml:space="preserve">DJF1XMC4</t>
  </si>
  <si>
    <t xml:space="preserve">GIIKA5B9</t>
  </si>
  <si>
    <t xml:space="preserve">VD94D677</t>
  </si>
  <si>
    <t xml:space="preserve">QAKLPDKQ</t>
  </si>
  <si>
    <t xml:space="preserve">J5DF2ZO1</t>
  </si>
  <si>
    <t xml:space="preserve">LTOKXFP1</t>
  </si>
  <si>
    <t xml:space="preserve">2ZUL1AAV</t>
  </si>
  <si>
    <t xml:space="preserve">9FWCMMM3</t>
  </si>
  <si>
    <t xml:space="preserve">XPDLW6F0</t>
  </si>
  <si>
    <t xml:space="preserve">MJF4D19K</t>
  </si>
  <si>
    <t xml:space="preserve">FQ4QOS8U</t>
  </si>
  <si>
    <t xml:space="preserve">JV6PZSN6</t>
  </si>
  <si>
    <t xml:space="preserve">KXY0TY2K</t>
  </si>
  <si>
    <t xml:space="preserve">7B21SGQ8</t>
  </si>
  <si>
    <t xml:space="preserve">8W464DG6</t>
  </si>
  <si>
    <t xml:space="preserve">W7GVZL28</t>
  </si>
  <si>
    <t xml:space="preserve">ZQ7TYNUV</t>
  </si>
  <si>
    <t xml:space="preserve">SG1T9M5F</t>
  </si>
  <si>
    <t xml:space="preserve">DH6L7VA6</t>
  </si>
  <si>
    <t xml:space="preserve">VORZHQ40</t>
  </si>
  <si>
    <t xml:space="preserve">Z9SY11HK</t>
  </si>
  <si>
    <t xml:space="preserve">FK3NS3EW</t>
  </si>
  <si>
    <t xml:space="preserve">8CUN8O4Z</t>
  </si>
  <si>
    <t xml:space="preserve">DSIX9DGZ</t>
  </si>
  <si>
    <t xml:space="preserve">APWT2PFU</t>
  </si>
  <si>
    <t xml:space="preserve">0Z6MNUF2</t>
  </si>
  <si>
    <t xml:space="preserve">XZF4GG94</t>
  </si>
  <si>
    <t xml:space="preserve">L6PCVRJS</t>
  </si>
  <si>
    <t xml:space="preserve">UPAGB68Z</t>
  </si>
  <si>
    <t xml:space="preserve">Z353E8FR</t>
  </si>
  <si>
    <t xml:space="preserve">O64JQPJ2</t>
  </si>
  <si>
    <t xml:space="preserve">NZPZ87IX</t>
  </si>
  <si>
    <t xml:space="preserve">RDF2R9F8</t>
  </si>
  <si>
    <t xml:space="preserve">K127AFNP</t>
  </si>
  <si>
    <t xml:space="preserve">IMTPZV7J</t>
  </si>
  <si>
    <t xml:space="preserve">XR57MBVC</t>
  </si>
  <si>
    <t xml:space="preserve">RMNHSNW9</t>
  </si>
  <si>
    <t xml:space="preserve">DC7COE9W</t>
  </si>
  <si>
    <t xml:space="preserve">O5S6WEM7</t>
  </si>
  <si>
    <t xml:space="preserve">JX7WZ9UP</t>
  </si>
  <si>
    <t xml:space="preserve">1PN7TVPX</t>
  </si>
  <si>
    <t xml:space="preserve">8KH8XJRE</t>
  </si>
  <si>
    <t xml:space="preserve">HVODWXRO</t>
  </si>
  <si>
    <t xml:space="preserve">D3G7ER0D</t>
  </si>
  <si>
    <t xml:space="preserve">MJBD6V39</t>
  </si>
  <si>
    <t xml:space="preserve">LGLIB8TR</t>
  </si>
  <si>
    <t xml:space="preserve">V28NVD6A</t>
  </si>
  <si>
    <t xml:space="preserve">VGIIK8MS</t>
  </si>
  <si>
    <t xml:space="preserve">12M4HB7G</t>
  </si>
  <si>
    <t xml:space="preserve">A66X4Q2J</t>
  </si>
  <si>
    <t xml:space="preserve">CY33L07I</t>
  </si>
  <si>
    <t xml:space="preserve">08EX3XKE</t>
  </si>
  <si>
    <t xml:space="preserve">0GXXCA37</t>
  </si>
  <si>
    <t xml:space="preserve">YYJILFBU</t>
  </si>
  <si>
    <t xml:space="preserve">BAOSO1I2</t>
  </si>
  <si>
    <t xml:space="preserve">TMZQX7F8</t>
  </si>
  <si>
    <t xml:space="preserve">WFY0S4WW</t>
  </si>
  <si>
    <t xml:space="preserve">TBDUMBLA</t>
  </si>
  <si>
    <t xml:space="preserve">0E761F02</t>
  </si>
  <si>
    <t xml:space="preserve">K2KK9SW2</t>
  </si>
  <si>
    <t xml:space="preserve">3918OU6O</t>
  </si>
  <si>
    <t xml:space="preserve">PX4OW5SC</t>
  </si>
  <si>
    <t xml:space="preserve">AEDL7EC6</t>
  </si>
  <si>
    <t xml:space="preserve">07BT6PBZ</t>
  </si>
  <si>
    <t xml:space="preserve">GLVSDQQT</t>
  </si>
  <si>
    <t xml:space="preserve">4563ENEB</t>
  </si>
  <si>
    <t xml:space="preserve">E5NRH4BP</t>
  </si>
  <si>
    <t xml:space="preserve">PNBSQPBR</t>
  </si>
  <si>
    <t xml:space="preserve">ZVR3I3F0</t>
  </si>
  <si>
    <t xml:space="preserve">GHUCMUPL</t>
  </si>
  <si>
    <t xml:space="preserve">1IHNDN80</t>
  </si>
  <si>
    <t xml:space="preserve">KZ8Q0AFX</t>
  </si>
  <si>
    <t xml:space="preserve">AJJ7VJWA</t>
  </si>
  <si>
    <t xml:space="preserve">0XI051FP</t>
  </si>
  <si>
    <t xml:space="preserve">RBOI8DLQ</t>
  </si>
  <si>
    <t xml:space="preserve">GM6C1UK3</t>
  </si>
  <si>
    <t xml:space="preserve">AZOXWEKL</t>
  </si>
  <si>
    <t xml:space="preserve">1L6M83Q5</t>
  </si>
  <si>
    <t xml:space="preserve">XC4LTIEO</t>
  </si>
  <si>
    <t xml:space="preserve">M7W3E298</t>
  </si>
  <si>
    <t xml:space="preserve">T7MVQ9SX</t>
  </si>
  <si>
    <t xml:space="preserve">XPP2Q5WQ</t>
  </si>
  <si>
    <t xml:space="preserve">D5YLWCFW</t>
  </si>
  <si>
    <t xml:space="preserve">XNO6DQPU</t>
  </si>
  <si>
    <t xml:space="preserve">VTT447YT</t>
  </si>
  <si>
    <t xml:space="preserve">2JFS8EGS</t>
  </si>
  <si>
    <t xml:space="preserve">Y9B94N72</t>
  </si>
  <si>
    <t xml:space="preserve">2KKRRM1G</t>
  </si>
  <si>
    <t xml:space="preserve">7V1FQBL9</t>
  </si>
  <si>
    <t xml:space="preserve">Y9Y4TXD9</t>
  </si>
  <si>
    <t xml:space="preserve">NU8LWEWU</t>
  </si>
  <si>
    <t xml:space="preserve">2YVVZN5L</t>
  </si>
  <si>
    <t xml:space="preserve">C1WGTTYF</t>
  </si>
  <si>
    <t xml:space="preserve">T361XRAQ</t>
  </si>
  <si>
    <t xml:space="preserve">ZE7ILYKB</t>
  </si>
  <si>
    <t xml:space="preserve">81APSLDP</t>
  </si>
  <si>
    <t xml:space="preserve">RRKQ0P07</t>
  </si>
  <si>
    <t xml:space="preserve">RCQDGE4W</t>
  </si>
  <si>
    <t xml:space="preserve">5IES0B4B</t>
  </si>
  <si>
    <t xml:space="preserve">YGL1F8K1</t>
  </si>
  <si>
    <t xml:space="preserve">PC2V729V</t>
  </si>
  <si>
    <t xml:space="preserve">NEM0GXXH</t>
  </si>
  <si>
    <t xml:space="preserve">GMI6XZ4O</t>
  </si>
  <si>
    <t xml:space="preserve">EVVX3PQ5</t>
  </si>
  <si>
    <t xml:space="preserve">SFQMEZIW</t>
  </si>
  <si>
    <t xml:space="preserve">NJCSG7MX</t>
  </si>
  <si>
    <t xml:space="preserve">CBTC7BHL</t>
  </si>
  <si>
    <t xml:space="preserve">F1X5ZJ7V</t>
  </si>
  <si>
    <t xml:space="preserve">N9C0OCYY</t>
  </si>
  <si>
    <t xml:space="preserve">QT7LRWTN</t>
  </si>
  <si>
    <t xml:space="preserve">WWTJ5PNC</t>
  </si>
  <si>
    <t xml:space="preserve">ZYRF768H</t>
  </si>
  <si>
    <t xml:space="preserve">MFGCEDXE</t>
  </si>
  <si>
    <t xml:space="preserve">CZIXINO2</t>
  </si>
  <si>
    <t xml:space="preserve">4E01ALB0</t>
  </si>
  <si>
    <t xml:space="preserve">PJKAJVUG</t>
  </si>
  <si>
    <t xml:space="preserve">UQ86UOWY</t>
  </si>
  <si>
    <t xml:space="preserve">A82DG6R5</t>
  </si>
  <si>
    <t xml:space="preserve">3FZVCDW0</t>
  </si>
  <si>
    <t xml:space="preserve">8JJY9B08</t>
  </si>
  <si>
    <t xml:space="preserve">UK2JIE61</t>
  </si>
  <si>
    <t xml:space="preserve">3VKO28KR</t>
  </si>
  <si>
    <t xml:space="preserve">3KSHTB4P</t>
  </si>
  <si>
    <t xml:space="preserve">IKJSXBY0</t>
  </si>
  <si>
    <t xml:space="preserve">UO6R0X7G</t>
  </si>
  <si>
    <t xml:space="preserve">TTY0X4TG</t>
  </si>
  <si>
    <t xml:space="preserve">Z0BGG6IJ</t>
  </si>
  <si>
    <t xml:space="preserve">L5T2HKKO</t>
  </si>
  <si>
    <t xml:space="preserve">SE609QTE</t>
  </si>
  <si>
    <t xml:space="preserve">U185INDA</t>
  </si>
  <si>
    <t xml:space="preserve">JYI35PPE</t>
  </si>
  <si>
    <t xml:space="preserve">ZZJ4I52J</t>
  </si>
  <si>
    <t xml:space="preserve">4B4XCPHT</t>
  </si>
  <si>
    <t xml:space="preserve">NRYC7T45</t>
  </si>
  <si>
    <t xml:space="preserve">AAYV8GV4</t>
  </si>
  <si>
    <t xml:space="preserve">FM2NX2GB</t>
  </si>
  <si>
    <t xml:space="preserve">6DCKCXDC</t>
  </si>
  <si>
    <t xml:space="preserve">ZOQ8RC86</t>
  </si>
  <si>
    <t xml:space="preserve">GWRN1R49</t>
  </si>
  <si>
    <t xml:space="preserve">FOWAY95L</t>
  </si>
  <si>
    <t xml:space="preserve">6GNJMYMO</t>
  </si>
  <si>
    <t xml:space="preserve">05DTWSVC</t>
  </si>
  <si>
    <t xml:space="preserve">JSSGVBVS</t>
  </si>
  <si>
    <t xml:space="preserve">SV2VJ3VH</t>
  </si>
  <si>
    <t xml:space="preserve">WRBWZRFD</t>
  </si>
  <si>
    <t xml:space="preserve">PTCP8RP4</t>
  </si>
  <si>
    <t xml:space="preserve">SNAPG5KC</t>
  </si>
  <si>
    <t xml:space="preserve">JEPGSQC9</t>
  </si>
  <si>
    <t xml:space="preserve">SQOW8W0G</t>
  </si>
  <si>
    <t xml:space="preserve">6QF3D2RI</t>
  </si>
  <si>
    <t xml:space="preserve">BB6TCH8B</t>
  </si>
  <si>
    <t xml:space="preserve">M92Y63Q3</t>
  </si>
  <si>
    <t xml:space="preserve">WZU2OHYU</t>
  </si>
  <si>
    <t xml:space="preserve">8MXI6J6N</t>
  </si>
  <si>
    <t xml:space="preserve">JYE2QFGE</t>
  </si>
  <si>
    <t xml:space="preserve">F5VDTC4M</t>
  </si>
  <si>
    <t xml:space="preserve">V4324HG4</t>
  </si>
  <si>
    <t xml:space="preserve">X69POZIN</t>
  </si>
  <si>
    <t xml:space="preserve">AZUBCO7L</t>
  </si>
  <si>
    <t xml:space="preserve">Q1JKHY7H</t>
  </si>
  <si>
    <t xml:space="preserve">HSTXUOVW</t>
  </si>
  <si>
    <t xml:space="preserve">G2GU9DYX</t>
  </si>
  <si>
    <t xml:space="preserve">4XCJP60W</t>
  </si>
  <si>
    <t xml:space="preserve">2Y2R082L</t>
  </si>
  <si>
    <t xml:space="preserve">C64JTLGO</t>
  </si>
  <si>
    <t xml:space="preserve">GXBV5VYA</t>
  </si>
  <si>
    <t xml:space="preserve">POB32WHJ</t>
  </si>
  <si>
    <t xml:space="preserve">1JC9DMNJ</t>
  </si>
  <si>
    <t xml:space="preserve">A2HLNPEL</t>
  </si>
  <si>
    <t xml:space="preserve">Y23HQJRG</t>
  </si>
  <si>
    <t xml:space="preserve">QGBMWIO6</t>
  </si>
  <si>
    <t xml:space="preserve">BAXENBTS</t>
  </si>
  <si>
    <t xml:space="preserve">S2ZN5NLA</t>
  </si>
  <si>
    <t xml:space="preserve">SLP4PTFK</t>
  </si>
  <si>
    <t xml:space="preserve">P3VM7655</t>
  </si>
  <si>
    <t xml:space="preserve">JREGYB42</t>
  </si>
  <si>
    <t xml:space="preserve">CNO8JPLA</t>
  </si>
  <si>
    <t xml:space="preserve">GEBVQH17</t>
  </si>
  <si>
    <t xml:space="preserve">79DYTU8Y</t>
  </si>
  <si>
    <t xml:space="preserve">KAV5TU8X</t>
  </si>
  <si>
    <t xml:space="preserve">MZILPLUE</t>
  </si>
  <si>
    <t xml:space="preserve">88R4UBAN</t>
  </si>
  <si>
    <t xml:space="preserve">SUT0ZGFM</t>
  </si>
  <si>
    <t xml:space="preserve">V8M89S4W</t>
  </si>
  <si>
    <t xml:space="preserve">QCY951QA</t>
  </si>
  <si>
    <t xml:space="preserve">FJMFXCTD</t>
  </si>
  <si>
    <t xml:space="preserve">ZCA1IRGD</t>
  </si>
  <si>
    <t xml:space="preserve">PZ6TGFY6</t>
  </si>
  <si>
    <t xml:space="preserve">3B6HWK65</t>
  </si>
  <si>
    <t xml:space="preserve">S8WV5MUC</t>
  </si>
  <si>
    <t xml:space="preserve">10R46CSK</t>
  </si>
  <si>
    <t xml:space="preserve">QFU565JJ</t>
  </si>
  <si>
    <t xml:space="preserve">C3OOZUTI</t>
  </si>
  <si>
    <t xml:space="preserve">G4MKT3AE</t>
  </si>
  <si>
    <t xml:space="preserve">SNFW1FD7</t>
  </si>
  <si>
    <t xml:space="preserve">CDA8Y12G</t>
  </si>
  <si>
    <t xml:space="preserve">TYSORYA9</t>
  </si>
  <si>
    <t xml:space="preserve">RNUH1SI8</t>
  </si>
  <si>
    <t xml:space="preserve">TPVFA5B8</t>
  </si>
  <si>
    <t xml:space="preserve">8LPO6YCO</t>
  </si>
  <si>
    <t xml:space="preserve">TK9T01QM</t>
  </si>
  <si>
    <t xml:space="preserve">G3KFZ8KX</t>
  </si>
  <si>
    <t xml:space="preserve">RSZC6BMW</t>
  </si>
  <si>
    <t xml:space="preserve">FTVCNH87</t>
  </si>
  <si>
    <t xml:space="preserve">K4VP5HK4</t>
  </si>
  <si>
    <t xml:space="preserve">6RL97BR9</t>
  </si>
  <si>
    <t xml:space="preserve">FFO5WOHT</t>
  </si>
  <si>
    <t xml:space="preserve">H2PEIFZH</t>
  </si>
  <si>
    <t xml:space="preserve">S3XE14XP</t>
  </si>
  <si>
    <t xml:space="preserve">O5O4ZAAC</t>
  </si>
  <si>
    <t xml:space="preserve">OV60VIBB</t>
  </si>
  <si>
    <t xml:space="preserve">FI0I7E73</t>
  </si>
  <si>
    <t xml:space="preserve">2536CW3V</t>
  </si>
  <si>
    <t xml:space="preserve">9EGAFG1B</t>
  </si>
  <si>
    <t xml:space="preserve">2PCPSBP9</t>
  </si>
  <si>
    <t xml:space="preserve">S6BG03TB</t>
  </si>
  <si>
    <t xml:space="preserve">AETY0W6G</t>
  </si>
  <si>
    <t xml:space="preserve">2NTWE1G4</t>
  </si>
  <si>
    <t xml:space="preserve">64WCPKZ1</t>
  </si>
  <si>
    <t xml:space="preserve">5QR02PQI</t>
  </si>
  <si>
    <t xml:space="preserve">H06UZJH8</t>
  </si>
  <si>
    <t xml:space="preserve">DFTR2O9K</t>
  </si>
  <si>
    <t xml:space="preserve">JTDV6H65</t>
  </si>
  <si>
    <t xml:space="preserve">HG5P21RO</t>
  </si>
  <si>
    <t xml:space="preserve">WR6Q2X53</t>
  </si>
  <si>
    <t xml:space="preserve">YZ9ZKK3P</t>
  </si>
  <si>
    <t xml:space="preserve">G281LUYF</t>
  </si>
  <si>
    <t xml:space="preserve">72TBO2HA</t>
  </si>
  <si>
    <t xml:space="preserve">SSX3QRTB</t>
  </si>
  <si>
    <t xml:space="preserve">52SANIGE</t>
  </si>
  <si>
    <t xml:space="preserve">P2LY9NFN</t>
  </si>
  <si>
    <t xml:space="preserve">14PBBHSE</t>
  </si>
  <si>
    <t xml:space="preserve">QQDO45YR</t>
  </si>
  <si>
    <t xml:space="preserve">AS7MJ0S1</t>
  </si>
  <si>
    <t xml:space="preserve">ZALE38AC</t>
  </si>
  <si>
    <t xml:space="preserve">1LTD5TKV</t>
  </si>
  <si>
    <t xml:space="preserve">3AE6GW2D</t>
  </si>
  <si>
    <t xml:space="preserve">Y5OTY9O5</t>
  </si>
  <si>
    <t xml:space="preserve">3XVY4LEU</t>
  </si>
  <si>
    <t xml:space="preserve">1XHLB0Q5</t>
  </si>
  <si>
    <t xml:space="preserve">GOM8T4Y4</t>
  </si>
  <si>
    <t xml:space="preserve">IXOHJYRM</t>
  </si>
  <si>
    <t xml:space="preserve">JA0D4V57</t>
  </si>
  <si>
    <t xml:space="preserve">0WWDVOM3</t>
  </si>
  <si>
    <t xml:space="preserve">U5UM9W8V</t>
  </si>
  <si>
    <t xml:space="preserve">N6CXTO48</t>
  </si>
  <si>
    <t xml:space="preserve">XN7EV14M</t>
  </si>
  <si>
    <t xml:space="preserve">9ZKORPL2</t>
  </si>
  <si>
    <t xml:space="preserve">QU4FNKZL</t>
  </si>
  <si>
    <t xml:space="preserve">9ERRIZKG</t>
  </si>
  <si>
    <t xml:space="preserve">ZTT02VDQ</t>
  </si>
  <si>
    <t xml:space="preserve">C47Z92AG</t>
  </si>
  <si>
    <t xml:space="preserve">FD8YL177</t>
  </si>
  <si>
    <t xml:space="preserve">UNLIS3RY</t>
  </si>
  <si>
    <t xml:space="preserve">KIHC1QJQ</t>
  </si>
  <si>
    <t xml:space="preserve">PYEQPW42</t>
  </si>
  <si>
    <t xml:space="preserve">9WZ3I1TF</t>
  </si>
  <si>
    <t xml:space="preserve">HEG8WPQF</t>
  </si>
  <si>
    <t xml:space="preserve">97KFQSX1</t>
  </si>
  <si>
    <t xml:space="preserve">U02OIJGK</t>
  </si>
  <si>
    <t xml:space="preserve">3H80RIHV</t>
  </si>
  <si>
    <t xml:space="preserve">KFVI73X6</t>
  </si>
  <si>
    <t xml:space="preserve">2LF1TSPZ</t>
  </si>
  <si>
    <t xml:space="preserve">V9XJAZPC</t>
  </si>
  <si>
    <t xml:space="preserve">5HKAT5GS</t>
  </si>
  <si>
    <t xml:space="preserve">8NMPO9K3</t>
  </si>
  <si>
    <t xml:space="preserve">3C5KXGO6</t>
  </si>
  <si>
    <t xml:space="preserve">8RF8XVYF</t>
  </si>
  <si>
    <t xml:space="preserve">0LMA8GMJ</t>
  </si>
  <si>
    <t xml:space="preserve">UBX7TMQG</t>
  </si>
  <si>
    <t xml:space="preserve">58SGEGN8</t>
  </si>
  <si>
    <t xml:space="preserve">AWDOKG69</t>
  </si>
  <si>
    <t xml:space="preserve">F835LA4P</t>
  </si>
  <si>
    <t xml:space="preserve">IRBQH4FY</t>
  </si>
  <si>
    <t xml:space="preserve">DRFUPEOU</t>
  </si>
  <si>
    <t xml:space="preserve">DGIYD342</t>
  </si>
  <si>
    <t xml:space="preserve">51T70SQX</t>
  </si>
  <si>
    <t xml:space="preserve">N23C5EKK</t>
  </si>
  <si>
    <t xml:space="preserve">0EX7ML4W</t>
  </si>
  <si>
    <t xml:space="preserve">ZNNBFAKF</t>
  </si>
  <si>
    <t xml:space="preserve">91G2ZW58</t>
  </si>
  <si>
    <t xml:space="preserve">RLAGB32O</t>
  </si>
  <si>
    <t xml:space="preserve">R0W6A9BG</t>
  </si>
  <si>
    <t xml:space="preserve">JQNSK78U</t>
  </si>
  <si>
    <t xml:space="preserve">YJIH415V</t>
  </si>
  <si>
    <t xml:space="preserve">DH9CHQ02</t>
  </si>
  <si>
    <t xml:space="preserve">GYKFAK7W</t>
  </si>
  <si>
    <t xml:space="preserve">R7GVZT8J</t>
  </si>
  <si>
    <t xml:space="preserve">RR4FWSVB</t>
  </si>
  <si>
    <t xml:space="preserve">9L6ADU5C</t>
  </si>
  <si>
    <t xml:space="preserve">CKLYIFLY</t>
  </si>
  <si>
    <t xml:space="preserve">IQ9KYZCG</t>
  </si>
  <si>
    <t xml:space="preserve">L6VDDXFV</t>
  </si>
  <si>
    <t xml:space="preserve">N3JIVUNY</t>
  </si>
  <si>
    <t xml:space="preserve">5JHSTFEZ</t>
  </si>
  <si>
    <t xml:space="preserve">KGZL60NI</t>
  </si>
  <si>
    <t xml:space="preserve">EUE812O3</t>
  </si>
  <si>
    <t xml:space="preserve">JV1NCDKP</t>
  </si>
  <si>
    <t xml:space="preserve">RW13VT8T</t>
  </si>
  <si>
    <t xml:space="preserve">GBSK2HX8</t>
  </si>
  <si>
    <t xml:space="preserve">3LED0EK3</t>
  </si>
  <si>
    <t xml:space="preserve">MDRX39D8</t>
  </si>
  <si>
    <t xml:space="preserve">GVC0RLQE</t>
  </si>
  <si>
    <t xml:space="preserve">M1L0IWB6</t>
  </si>
  <si>
    <t xml:space="preserve">N5QER189</t>
  </si>
  <si>
    <t xml:space="preserve">CZ3XOD03</t>
  </si>
  <si>
    <t xml:space="preserve">TCSQO748</t>
  </si>
  <si>
    <t xml:space="preserve">Q37IWCG1</t>
  </si>
  <si>
    <t xml:space="preserve">7ASDRLM5</t>
  </si>
  <si>
    <t xml:space="preserve">G0R305KO</t>
  </si>
  <si>
    <t xml:space="preserve">4XX690SP</t>
  </si>
  <si>
    <t xml:space="preserve">4U431MNA</t>
  </si>
  <si>
    <t xml:space="preserve">FPTH6URQ</t>
  </si>
  <si>
    <t xml:space="preserve">UALNIVAY</t>
  </si>
  <si>
    <t xml:space="preserve">NCDZRUZD</t>
  </si>
  <si>
    <t xml:space="preserve">R034IT17</t>
  </si>
  <si>
    <t xml:space="preserve">RLUGVSNV</t>
  </si>
  <si>
    <t xml:space="preserve">0000I7AO</t>
  </si>
  <si>
    <t xml:space="preserve">IJ817GQJ</t>
  </si>
  <si>
    <t xml:space="preserve">YUH42UOF</t>
  </si>
  <si>
    <t xml:space="preserve">HVM656P3</t>
  </si>
  <si>
    <t xml:space="preserve">RCQ32MXL</t>
  </si>
  <si>
    <t xml:space="preserve">K4ETVW4H</t>
  </si>
  <si>
    <t xml:space="preserve">BSQRXW4X</t>
  </si>
  <si>
    <t xml:space="preserve">17MPPMM0</t>
  </si>
  <si>
    <t xml:space="preserve">KJBYGG1S</t>
  </si>
  <si>
    <t xml:space="preserve">NXWNJ7U5</t>
  </si>
  <si>
    <t xml:space="preserve">JXAYTFNI</t>
  </si>
  <si>
    <t xml:space="preserve">A3D8MRDX</t>
  </si>
  <si>
    <t xml:space="preserve">TW6D3KT4</t>
  </si>
  <si>
    <t xml:space="preserve">Q0MRZHN7</t>
  </si>
  <si>
    <t xml:space="preserve">EMUA57Q2</t>
  </si>
  <si>
    <t xml:space="preserve">Q72BVH8T</t>
  </si>
  <si>
    <t xml:space="preserve">PQJZ5Z3R</t>
  </si>
  <si>
    <t xml:space="preserve">UCK7JRXG</t>
  </si>
  <si>
    <t xml:space="preserve">NPB8ZLEO</t>
  </si>
  <si>
    <t xml:space="preserve">CVKLHZEO</t>
  </si>
  <si>
    <t xml:space="preserve">V0EIMVES</t>
  </si>
  <si>
    <t xml:space="preserve">08APB75Q</t>
  </si>
  <si>
    <t xml:space="preserve">87MEZS8G</t>
  </si>
  <si>
    <t xml:space="preserve">BGQ2F0HA</t>
  </si>
  <si>
    <t xml:space="preserve">SHGSBZU8</t>
  </si>
  <si>
    <t xml:space="preserve">BVYMJ6TD</t>
  </si>
  <si>
    <t xml:space="preserve">1YYN3PBU</t>
  </si>
  <si>
    <t xml:space="preserve">EOXZGSX9</t>
  </si>
  <si>
    <t xml:space="preserve">N6185PK0</t>
  </si>
  <si>
    <t xml:space="preserve">6CKB8I8U</t>
  </si>
  <si>
    <t xml:space="preserve">24LP4J8U</t>
  </si>
  <si>
    <t xml:space="preserve">PU7GV4MK</t>
  </si>
  <si>
    <t xml:space="preserve">KQPY8LLI</t>
  </si>
  <si>
    <t xml:space="preserve">ZFB7CBR6</t>
  </si>
  <si>
    <t xml:space="preserve">D3JR6WFQ</t>
  </si>
  <si>
    <t xml:space="preserve">01X8H9SO</t>
  </si>
  <si>
    <t xml:space="preserve">2UHH7PD3</t>
  </si>
  <si>
    <t xml:space="preserve">N6H58J55</t>
  </si>
  <si>
    <t xml:space="preserve">HWDRCUYU</t>
  </si>
  <si>
    <t xml:space="preserve">QPFNQYMV</t>
  </si>
  <si>
    <t xml:space="preserve">1QT3STIA</t>
  </si>
  <si>
    <t xml:space="preserve">D54HETSI</t>
  </si>
  <si>
    <t xml:space="preserve">NENHRB3K</t>
  </si>
  <si>
    <t xml:space="preserve">UPHN2I1Q</t>
  </si>
  <si>
    <t xml:space="preserve">9IE6GBXM</t>
  </si>
  <si>
    <t xml:space="preserve">Z769EPTS</t>
  </si>
  <si>
    <t xml:space="preserve">LV1754PS</t>
  </si>
  <si>
    <t xml:space="preserve">EOB01PRO</t>
  </si>
  <si>
    <t xml:space="preserve">K3DQJ796</t>
  </si>
  <si>
    <t xml:space="preserve">I631R5DT</t>
  </si>
  <si>
    <t xml:space="preserve">UY45Y7AM</t>
  </si>
  <si>
    <t xml:space="preserve">IA62KQBO</t>
  </si>
  <si>
    <t xml:space="preserve">VBWQO6BM</t>
  </si>
  <si>
    <t xml:space="preserve">NSGEM06J</t>
  </si>
  <si>
    <t xml:space="preserve">EHP6OQ69</t>
  </si>
  <si>
    <t xml:space="preserve">38EYB40T</t>
  </si>
  <si>
    <t xml:space="preserve">1ZCOKNNI</t>
  </si>
  <si>
    <t xml:space="preserve">AVZ1BG3K</t>
  </si>
  <si>
    <t xml:space="preserve">B0MOQZVN</t>
  </si>
  <si>
    <t xml:space="preserve">QJ25CASO</t>
  </si>
  <si>
    <t xml:space="preserve">6AWEAWCM</t>
  </si>
  <si>
    <t xml:space="preserve">WX8KQPCM</t>
  </si>
  <si>
    <t xml:space="preserve">ZKVVWZ8T</t>
  </si>
  <si>
    <t xml:space="preserve">GO4G2L4X</t>
  </si>
  <si>
    <t xml:space="preserve">FNY6F0KF</t>
  </si>
  <si>
    <t xml:space="preserve">Q54L8P6I</t>
  </si>
  <si>
    <t xml:space="preserve">CQXYCHKN</t>
  </si>
  <si>
    <t xml:space="preserve">237L2CSV</t>
  </si>
  <si>
    <t xml:space="preserve">ZNSWDHTJ</t>
  </si>
  <si>
    <t xml:space="preserve">2AGLONC4</t>
  </si>
  <si>
    <t xml:space="preserve">WZVE1NTM</t>
  </si>
  <si>
    <t xml:space="preserve">ZGZSYIJV</t>
  </si>
  <si>
    <t xml:space="preserve">8PHJ7N4E</t>
  </si>
  <si>
    <t xml:space="preserve">L4124UJG</t>
  </si>
  <si>
    <t xml:space="preserve">21PRD9FN</t>
  </si>
  <si>
    <t xml:space="preserve">CPJAA632</t>
  </si>
  <si>
    <t xml:space="preserve">YJJ1BLPQ</t>
  </si>
  <si>
    <t xml:space="preserve">IE6TPFU9</t>
  </si>
  <si>
    <t xml:space="preserve">VFKKSJT2</t>
  </si>
  <si>
    <t xml:space="preserve">GQQ01OO5</t>
  </si>
  <si>
    <t xml:space="preserve">5EKN0BFN</t>
  </si>
  <si>
    <t xml:space="preserve">0XMB83YO</t>
  </si>
  <si>
    <t xml:space="preserve">T1HIH384</t>
  </si>
  <si>
    <t xml:space="preserve">C2WEF4XH</t>
  </si>
  <si>
    <t xml:space="preserve">L33YUX9V</t>
  </si>
  <si>
    <t xml:space="preserve">K8RQWTP4</t>
  </si>
  <si>
    <t xml:space="preserve">PHR8KB1Y</t>
  </si>
  <si>
    <t xml:space="preserve">2FTB6A7I</t>
  </si>
  <si>
    <t xml:space="preserve">7IZ2GMYK</t>
  </si>
  <si>
    <t xml:space="preserve">R2RL1Y49</t>
  </si>
  <si>
    <t xml:space="preserve">05QMFSF0</t>
  </si>
  <si>
    <t xml:space="preserve">ZL6TJDPG</t>
  </si>
  <si>
    <t xml:space="preserve">XYBPUC2H</t>
  </si>
  <si>
    <t xml:space="preserve">WUE92JFJ</t>
  </si>
  <si>
    <t xml:space="preserve">RR5AMWPQ</t>
  </si>
  <si>
    <t xml:space="preserve">HI2E8TBI</t>
  </si>
  <si>
    <t xml:space="preserve">A3PNPLTG</t>
  </si>
  <si>
    <t xml:space="preserve">FPTY1B79</t>
  </si>
  <si>
    <t xml:space="preserve">AP3405RD</t>
  </si>
  <si>
    <t xml:space="preserve">JP3IMU5X</t>
  </si>
  <si>
    <t xml:space="preserve">ZBBMGEV4</t>
  </si>
  <si>
    <t xml:space="preserve">T5GZDRDE</t>
  </si>
  <si>
    <t xml:space="preserve">25A51PWG</t>
  </si>
  <si>
    <t xml:space="preserve">JRC2PMKX</t>
  </si>
  <si>
    <t xml:space="preserve">2NN7T8LG</t>
  </si>
  <si>
    <t xml:space="preserve">8K1OGB0R</t>
  </si>
  <si>
    <t xml:space="preserve">UOUG01WG</t>
  </si>
  <si>
    <t xml:space="preserve">523458T9</t>
  </si>
  <si>
    <t xml:space="preserve">107BPCAS</t>
  </si>
  <si>
    <t xml:space="preserve">G67668KN</t>
  </si>
  <si>
    <t xml:space="preserve">5MZ0O77T</t>
  </si>
  <si>
    <t xml:space="preserve">NOXNFJ2L</t>
  </si>
  <si>
    <t xml:space="preserve">F749HRQ5</t>
  </si>
  <si>
    <t xml:space="preserve">TFS5SYN2</t>
  </si>
  <si>
    <t xml:space="preserve">1O2ZN81M</t>
  </si>
  <si>
    <t xml:space="preserve">VAH6Y3F6</t>
  </si>
  <si>
    <t xml:space="preserve">8O3IYWSM</t>
  </si>
  <si>
    <t xml:space="preserve">OJPTGB57</t>
  </si>
  <si>
    <t xml:space="preserve">7DDJHUWU</t>
  </si>
  <si>
    <t xml:space="preserve">0CSJCW8I</t>
  </si>
  <si>
    <t xml:space="preserve">X5YVW7O5</t>
  </si>
  <si>
    <t xml:space="preserve">ZC3UEHXG</t>
  </si>
  <si>
    <t xml:space="preserve">QWR1O5R9</t>
  </si>
  <si>
    <t xml:space="preserve">E8LO9APO</t>
  </si>
  <si>
    <t xml:space="preserve">3VQOFPW7</t>
  </si>
  <si>
    <t xml:space="preserve">56XQOTXV</t>
  </si>
  <si>
    <t xml:space="preserve">YA2NDY1H</t>
  </si>
  <si>
    <t xml:space="preserve">L3UMWAX7</t>
  </si>
  <si>
    <t xml:space="preserve">V135X5B7</t>
  </si>
  <si>
    <t xml:space="preserve">BSA76OL5</t>
  </si>
  <si>
    <t xml:space="preserve">90V75MDV</t>
  </si>
  <si>
    <t xml:space="preserve">RZ2PUH86</t>
  </si>
  <si>
    <t xml:space="preserve">WIY2Q0Q5</t>
  </si>
  <si>
    <t xml:space="preserve">LAH7932Y</t>
  </si>
  <si>
    <t xml:space="preserve">7DDD3NZ2</t>
  </si>
  <si>
    <t xml:space="preserve">GNENBXRW</t>
  </si>
  <si>
    <t xml:space="preserve">VMEVOJVL</t>
  </si>
  <si>
    <t xml:space="preserve">FNQYVW3T</t>
  </si>
  <si>
    <t xml:space="preserve">4R1NMA9E</t>
  </si>
  <si>
    <t xml:space="preserve">FLJCJ7IE</t>
  </si>
  <si>
    <t xml:space="preserve">UCXCUP1U</t>
  </si>
  <si>
    <t xml:space="preserve">PHP5V833</t>
  </si>
  <si>
    <t xml:space="preserve">AJZB6F22</t>
  </si>
  <si>
    <t xml:space="preserve">4NAK1XFV</t>
  </si>
  <si>
    <t xml:space="preserve">3KM8WN7L</t>
  </si>
  <si>
    <t xml:space="preserve">I3MC9XZC</t>
  </si>
  <si>
    <t xml:space="preserve">3P0T15VX</t>
  </si>
  <si>
    <t xml:space="preserve">0X1AY1FM</t>
  </si>
  <si>
    <t xml:space="preserve">HT25XIAV</t>
  </si>
  <si>
    <t xml:space="preserve">BB7JH1C4</t>
  </si>
  <si>
    <t xml:space="preserve">9328IHHL</t>
  </si>
  <si>
    <t xml:space="preserve">WQ0C723A</t>
  </si>
  <si>
    <t xml:space="preserve">ZW7N89K3</t>
  </si>
  <si>
    <t xml:space="preserve">AZZEZKBN</t>
  </si>
  <si>
    <t xml:space="preserve">1YGNHE69</t>
  </si>
  <si>
    <t xml:space="preserve">7GRNFO6D</t>
  </si>
  <si>
    <t xml:space="preserve">XBLA9VO6</t>
  </si>
  <si>
    <t xml:space="preserve">3S31RHE5</t>
  </si>
  <si>
    <t xml:space="preserve">AOOFHH6F</t>
  </si>
  <si>
    <t xml:space="preserve">H26RG9KC</t>
  </si>
  <si>
    <t xml:space="preserve">J28ZRO9G</t>
  </si>
  <si>
    <t xml:space="preserve">22ZJM20V</t>
  </si>
  <si>
    <t xml:space="preserve">6TB7XA83</t>
  </si>
  <si>
    <t xml:space="preserve">78TOITP2</t>
  </si>
  <si>
    <t xml:space="preserve">YR4W59KS</t>
  </si>
  <si>
    <t xml:space="preserve">3WC1FUFP</t>
  </si>
  <si>
    <t xml:space="preserve">HKBAON9X</t>
  </si>
  <si>
    <t xml:space="preserve">Y3ULGUD8</t>
  </si>
  <si>
    <t xml:space="preserve">5FWBETTO</t>
  </si>
  <si>
    <t xml:space="preserve">QL97HH1Y</t>
  </si>
  <si>
    <t xml:space="preserve">JPJ3A9T8</t>
  </si>
  <si>
    <t xml:space="preserve">44F8ZE41</t>
  </si>
  <si>
    <t xml:space="preserve">HTW9348H</t>
  </si>
  <si>
    <t xml:space="preserve">UD9V38LV</t>
  </si>
  <si>
    <t xml:space="preserve">2BYD4WQ7</t>
  </si>
  <si>
    <t xml:space="preserve">MCWDHOBT</t>
  </si>
  <si>
    <t xml:space="preserve">OCLEO3CD</t>
  </si>
  <si>
    <t xml:space="preserve">WEB7LYK0</t>
  </si>
  <si>
    <t xml:space="preserve">3K97S8L9</t>
  </si>
  <si>
    <t xml:space="preserve">L69Q015M</t>
  </si>
  <si>
    <t xml:space="preserve">LTZCN1RA</t>
  </si>
  <si>
    <t xml:space="preserve">SRZMNS79</t>
  </si>
  <si>
    <t xml:space="preserve">PEX6S873</t>
  </si>
  <si>
    <t xml:space="preserve">5FFY13G5</t>
  </si>
  <si>
    <t xml:space="preserve">IBZQBCSU</t>
  </si>
  <si>
    <t xml:space="preserve">MIYAP26S</t>
  </si>
  <si>
    <t xml:space="preserve">8B29CRQL</t>
  </si>
  <si>
    <t xml:space="preserve">P4RDU8QM</t>
  </si>
  <si>
    <t xml:space="preserve">SHG8Y43V</t>
  </si>
  <si>
    <t xml:space="preserve">OCHUEK3V</t>
  </si>
  <si>
    <t xml:space="preserve">0HB6OUIN</t>
  </si>
  <si>
    <t xml:space="preserve">CEGQ4V9F</t>
  </si>
  <si>
    <t xml:space="preserve">P05J08B4</t>
  </si>
  <si>
    <t xml:space="preserve">PFHS80CR</t>
  </si>
  <si>
    <t xml:space="preserve">0S4K915N</t>
  </si>
  <si>
    <t xml:space="preserve">XBYJ3NUR</t>
  </si>
  <si>
    <t xml:space="preserve">ZFVG8LP2</t>
  </si>
  <si>
    <t xml:space="preserve">ECCVMNUZ</t>
  </si>
  <si>
    <t xml:space="preserve">Z5BCBTAO</t>
  </si>
  <si>
    <t xml:space="preserve">FUVQ5UKB</t>
  </si>
  <si>
    <t xml:space="preserve">H6NJKV4F</t>
  </si>
  <si>
    <t xml:space="preserve">CPTEPYPZ</t>
  </si>
  <si>
    <t xml:space="preserve">FQW15KC4</t>
  </si>
  <si>
    <t xml:space="preserve">2EOF1QCY</t>
  </si>
  <si>
    <t xml:space="preserve">WAN7I53E</t>
  </si>
  <si>
    <t xml:space="preserve">GAH11YHT</t>
  </si>
  <si>
    <t xml:space="preserve">TTJXSO57</t>
  </si>
  <si>
    <t xml:space="preserve">7T109BBY</t>
  </si>
  <si>
    <t xml:space="preserve">RFNRVNXJ</t>
  </si>
  <si>
    <t xml:space="preserve">ZVR3CS7N</t>
  </si>
  <si>
    <t xml:space="preserve">M9OTPNII</t>
  </si>
  <si>
    <t xml:space="preserve">4DW2FDX4</t>
  </si>
  <si>
    <t xml:space="preserve">MEZLJGRB</t>
  </si>
  <si>
    <t xml:space="preserve">ARY1F1KN</t>
  </si>
  <si>
    <t xml:space="preserve">DK955UBP</t>
  </si>
  <si>
    <t xml:space="preserve">1DZNTUSA</t>
  </si>
  <si>
    <t xml:space="preserve">WJLJIWYS</t>
  </si>
  <si>
    <t xml:space="preserve">PJ00PLEU</t>
  </si>
  <si>
    <t xml:space="preserve">RMW0TRSZ</t>
  </si>
  <si>
    <t xml:space="preserve">N55VF08D</t>
  </si>
  <si>
    <t xml:space="preserve">JK75NQBD</t>
  </si>
  <si>
    <t xml:space="preserve">O22S564Y</t>
  </si>
  <si>
    <t xml:space="preserve">G43QQLLF</t>
  </si>
  <si>
    <t xml:space="preserve">NK438B9U</t>
  </si>
  <si>
    <t xml:space="preserve">E6GVZ30Q</t>
  </si>
  <si>
    <t xml:space="preserve">2J16RN99</t>
  </si>
  <si>
    <t xml:space="preserve">NW6OPA4M</t>
  </si>
  <si>
    <t xml:space="preserve">6EEC9HQQ</t>
  </si>
  <si>
    <t xml:space="preserve">59FN87JP</t>
  </si>
  <si>
    <t xml:space="preserve">BMM5D5R4</t>
  </si>
  <si>
    <t xml:space="preserve">4Q4NBPD6</t>
  </si>
  <si>
    <t xml:space="preserve">559PYA0L</t>
  </si>
  <si>
    <t xml:space="preserve">M1QKPX6R</t>
  </si>
  <si>
    <t xml:space="preserve">DVCPCBMJ</t>
  </si>
  <si>
    <t xml:space="preserve">2TKQ8B78</t>
  </si>
  <si>
    <t xml:space="preserve">FV6PHMQW</t>
  </si>
  <si>
    <t xml:space="preserve">XMH4CH4Q</t>
  </si>
  <si>
    <t xml:space="preserve">YOISPUC6</t>
  </si>
  <si>
    <t xml:space="preserve">DHACLHPS</t>
  </si>
  <si>
    <t xml:space="preserve">UPQRP36U</t>
  </si>
  <si>
    <t xml:space="preserve">H91G4MYP</t>
  </si>
  <si>
    <t xml:space="preserve">I6O855AE</t>
  </si>
  <si>
    <t xml:space="preserve">5Q8BQ64R</t>
  </si>
  <si>
    <t xml:space="preserve">9HXSC391</t>
  </si>
  <si>
    <t xml:space="preserve">ULVXOPG3</t>
  </si>
  <si>
    <t xml:space="preserve">VQUCVSOL</t>
  </si>
  <si>
    <t xml:space="preserve">Z4A1R9CJ</t>
  </si>
  <si>
    <t xml:space="preserve">DWCDI7Q2</t>
  </si>
  <si>
    <t xml:space="preserve">F481S8G3</t>
  </si>
  <si>
    <t xml:space="preserve">UXFEJC9Q</t>
  </si>
  <si>
    <t xml:space="preserve">U85VV1BU</t>
  </si>
  <si>
    <t xml:space="preserve">COTHR6F7</t>
  </si>
  <si>
    <t xml:space="preserve">KK4VW0ZM</t>
  </si>
  <si>
    <t xml:space="preserve">Q949MQ5W</t>
  </si>
  <si>
    <t xml:space="preserve">SLIWHUIM</t>
  </si>
  <si>
    <t xml:space="preserve">4U5VTUJL</t>
  </si>
  <si>
    <t xml:space="preserve">INI33ALF</t>
  </si>
  <si>
    <t xml:space="preserve">4FAEDB16</t>
  </si>
  <si>
    <t xml:space="preserve">GTANESSU</t>
  </si>
  <si>
    <t xml:space="preserve">S4OLFL40</t>
  </si>
  <si>
    <t xml:space="preserve">XE84LNAS</t>
  </si>
  <si>
    <t xml:space="preserve">LAOGNZOU</t>
  </si>
  <si>
    <t xml:space="preserve">RZ08GKZY</t>
  </si>
  <si>
    <t xml:space="preserve">2YOW2BI0</t>
  </si>
  <si>
    <t xml:space="preserve">4V3TLIGG</t>
  </si>
  <si>
    <t xml:space="preserve">K73K8IQ3</t>
  </si>
  <si>
    <t xml:space="preserve">GSR9PIF0</t>
  </si>
  <si>
    <t xml:space="preserve">KC324LPK</t>
  </si>
  <si>
    <t xml:space="preserve">2YQHHWJ3</t>
  </si>
  <si>
    <t xml:space="preserve">ES9L0DXE</t>
  </si>
  <si>
    <t xml:space="preserve">KATNS4R4</t>
  </si>
  <si>
    <t xml:space="preserve">I0CYLPNE</t>
  </si>
  <si>
    <t xml:space="preserve">5NW73ZRY</t>
  </si>
  <si>
    <t xml:space="preserve">XDLQ71X4</t>
  </si>
  <si>
    <t xml:space="preserve">K4HVGBVH</t>
  </si>
  <si>
    <t xml:space="preserve">EEDHCEVZ</t>
  </si>
  <si>
    <t xml:space="preserve">A4LUP6W6</t>
  </si>
  <si>
    <t xml:space="preserve">0BG8WJSX</t>
  </si>
  <si>
    <t xml:space="preserve">COOYICXU</t>
  </si>
  <si>
    <t xml:space="preserve">6KVOMBDJ</t>
  </si>
  <si>
    <t xml:space="preserve">4DPSFUEC</t>
  </si>
  <si>
    <t xml:space="preserve">I1IAVDQM</t>
  </si>
  <si>
    <t xml:space="preserve">7C9BUYV0</t>
  </si>
  <si>
    <t xml:space="preserve">C8SWZNON</t>
  </si>
  <si>
    <t xml:space="preserve">ERYLM04D</t>
  </si>
  <si>
    <t xml:space="preserve">FM4S93O6</t>
  </si>
  <si>
    <t xml:space="preserve">35IRGXY3</t>
  </si>
  <si>
    <t xml:space="preserve">OSB9S3PI</t>
  </si>
  <si>
    <t xml:space="preserve">37FKT2ZP</t>
  </si>
  <si>
    <t xml:space="preserve">F61DLVRS</t>
  </si>
  <si>
    <t xml:space="preserve">5QC9H4C2</t>
  </si>
  <si>
    <t xml:space="preserve">59N6QWQM</t>
  </si>
  <si>
    <t xml:space="preserve">DWBSHB8M</t>
  </si>
  <si>
    <t xml:space="preserve">UO62J3M0</t>
  </si>
  <si>
    <t xml:space="preserve">20N9WSRC</t>
  </si>
  <si>
    <t xml:space="preserve">20QTAZ1L</t>
  </si>
  <si>
    <t xml:space="preserve">CVFJUYPM</t>
  </si>
  <si>
    <t xml:space="preserve">E1921PBZ</t>
  </si>
  <si>
    <t xml:space="preserve">WSPM5X5V</t>
  </si>
  <si>
    <t xml:space="preserve">X6RLT30X</t>
  </si>
  <si>
    <t xml:space="preserve">Q1ZKBGV5</t>
  </si>
  <si>
    <t xml:space="preserve">I7AH5FW0</t>
  </si>
  <si>
    <t xml:space="preserve">4JVY843T</t>
  </si>
  <si>
    <t xml:space="preserve">UO4KXDBC</t>
  </si>
  <si>
    <t xml:space="preserve">Z0R5O2VW</t>
  </si>
  <si>
    <t xml:space="preserve">JTSUYWUD</t>
  </si>
  <si>
    <t xml:space="preserve">UMZ986GC</t>
  </si>
  <si>
    <t xml:space="preserve">QWJ2TRQM</t>
  </si>
  <si>
    <t xml:space="preserve">KJXB9Q7O</t>
  </si>
  <si>
    <t xml:space="preserve">43AH1M09</t>
  </si>
  <si>
    <t xml:space="preserve">N4Z3QYK7</t>
  </si>
  <si>
    <t xml:space="preserve">GVFQXZLL</t>
  </si>
  <si>
    <t xml:space="preserve">913RPKAD</t>
  </si>
  <si>
    <t xml:space="preserve">DEH0MYSO</t>
  </si>
  <si>
    <t xml:space="preserve">0P8NFYML</t>
  </si>
  <si>
    <t xml:space="preserve">2Y84YR3K</t>
  </si>
  <si>
    <t xml:space="preserve">XBSZ29VJ</t>
  </si>
  <si>
    <t xml:space="preserve">HUFYU0AT</t>
  </si>
  <si>
    <t xml:space="preserve">FRB34F3W</t>
  </si>
  <si>
    <t xml:space="preserve">974QGNBZ</t>
  </si>
  <si>
    <t xml:space="preserve">TA3PW6ZQ</t>
  </si>
  <si>
    <t xml:space="preserve">IQ8MEPW9</t>
  </si>
  <si>
    <t xml:space="preserve">1KV8WY84</t>
  </si>
  <si>
    <t xml:space="preserve">I995O4XJ</t>
  </si>
  <si>
    <t xml:space="preserve">ZJ1BOSNL</t>
  </si>
  <si>
    <t xml:space="preserve">J4NX9TK5</t>
  </si>
  <si>
    <t xml:space="preserve">AANB25RH</t>
  </si>
  <si>
    <t xml:space="preserve">JR4WED6G</t>
  </si>
  <si>
    <t xml:space="preserve">JLK8KCNN</t>
  </si>
  <si>
    <t xml:space="preserve">FHLOUD3V</t>
  </si>
  <si>
    <t xml:space="preserve">FQPPZ9NQ</t>
  </si>
  <si>
    <t xml:space="preserve">UWPUJESS</t>
  </si>
  <si>
    <t xml:space="preserve">2QQD7411</t>
  </si>
  <si>
    <t xml:space="preserve">2FEA30KT</t>
  </si>
  <si>
    <t xml:space="preserve">EFO8XWXE</t>
  </si>
  <si>
    <t xml:space="preserve">0FST40LV</t>
  </si>
  <si>
    <t xml:space="preserve">9924I5ZF</t>
  </si>
  <si>
    <t xml:space="preserve">G7PNQB9M</t>
  </si>
  <si>
    <t xml:space="preserve">2L5ZWLI7</t>
  </si>
  <si>
    <t xml:space="preserve">7QGG2LO3</t>
  </si>
  <si>
    <t xml:space="preserve">UF0S02A4</t>
  </si>
  <si>
    <t xml:space="preserve">ZQVUQ5CJ</t>
  </si>
  <si>
    <t xml:space="preserve">BHV4K3VV</t>
  </si>
  <si>
    <t xml:space="preserve">MK57PHV1</t>
  </si>
  <si>
    <t xml:space="preserve">VN8YFKTN</t>
  </si>
  <si>
    <t xml:space="preserve">9GENDMWA</t>
  </si>
  <si>
    <t xml:space="preserve">NH0WGTR4</t>
  </si>
  <si>
    <t xml:space="preserve">5RGYU88R</t>
  </si>
  <si>
    <t xml:space="preserve">ZW58VIDI</t>
  </si>
  <si>
    <t xml:space="preserve">RFKIN7FG</t>
  </si>
  <si>
    <t xml:space="preserve">80F0J70G</t>
  </si>
  <si>
    <t xml:space="preserve">HS58SPS7</t>
  </si>
  <si>
    <t xml:space="preserve">QY6HCHDH</t>
  </si>
  <si>
    <t xml:space="preserve">R5I9AAFG</t>
  </si>
  <si>
    <t xml:space="preserve">2R9HXKXT</t>
  </si>
  <si>
    <t xml:space="preserve">H8CLNRM2</t>
  </si>
  <si>
    <t xml:space="preserve">NYGZJYCJ</t>
  </si>
  <si>
    <t xml:space="preserve">AAEUN73V</t>
  </si>
  <si>
    <t xml:space="preserve">O5BC64NW</t>
  </si>
  <si>
    <t xml:space="preserve">F4FLJ0WW</t>
  </si>
  <si>
    <t xml:space="preserve">OBDRD0AD</t>
  </si>
  <si>
    <t xml:space="preserve">87XTACKH</t>
  </si>
  <si>
    <t xml:space="preserve">GDZV8N5W</t>
  </si>
  <si>
    <t xml:space="preserve">8FXUNDUS</t>
  </si>
  <si>
    <t xml:space="preserve">PK0T5N02</t>
  </si>
  <si>
    <t xml:space="preserve">7PV7V1RP</t>
  </si>
  <si>
    <t xml:space="preserve">AL554AUI</t>
  </si>
  <si>
    <t xml:space="preserve">U9CDTLZM</t>
  </si>
  <si>
    <t xml:space="preserve">RNV54AZ7</t>
  </si>
  <si>
    <t xml:space="preserve">8638OV6W</t>
  </si>
  <si>
    <t xml:space="preserve">3N9I1WH7</t>
  </si>
  <si>
    <t xml:space="preserve">VO8WTDHE</t>
  </si>
  <si>
    <t xml:space="preserve">32LY2D1K</t>
  </si>
  <si>
    <t xml:space="preserve">3BQTRX5Y</t>
  </si>
  <si>
    <t xml:space="preserve">V690FQG4</t>
  </si>
  <si>
    <t xml:space="preserve">1D1EJE8U</t>
  </si>
  <si>
    <t xml:space="preserve">W5ADQ9SH</t>
  </si>
  <si>
    <t xml:space="preserve">FM4LX5O0</t>
  </si>
  <si>
    <t xml:space="preserve">P4GX3HZH</t>
  </si>
  <si>
    <t xml:space="preserve">IT9YW5RP</t>
  </si>
  <si>
    <t xml:space="preserve">AOOD3MWW</t>
  </si>
  <si>
    <t xml:space="preserve">NAVG0P26</t>
  </si>
  <si>
    <t xml:space="preserve">LIFA0JYO</t>
  </si>
  <si>
    <t xml:space="preserve">2QGI573A</t>
  </si>
  <si>
    <t xml:space="preserve">PFUE2JYB</t>
  </si>
  <si>
    <t xml:space="preserve">DDP76LIP</t>
  </si>
  <si>
    <t xml:space="preserve">6M5LV1ZE</t>
  </si>
  <si>
    <t xml:space="preserve">HWD8ELR9</t>
  </si>
  <si>
    <t xml:space="preserve">D3M1KUQ2</t>
  </si>
  <si>
    <t xml:space="preserve">BY0O646G</t>
  </si>
  <si>
    <t xml:space="preserve">LA0O6BHX</t>
  </si>
  <si>
    <t xml:space="preserve">YQ24IWRQ</t>
  </si>
  <si>
    <t xml:space="preserve">8S649LDO</t>
  </si>
  <si>
    <t xml:space="preserve">9UVKASFY</t>
  </si>
  <si>
    <t xml:space="preserve">4SK6YLB0</t>
  </si>
  <si>
    <t xml:space="preserve">GXKR6EG9</t>
  </si>
  <si>
    <t xml:space="preserve">EAYD98X2</t>
  </si>
  <si>
    <t xml:space="preserve">NFFS1KSK</t>
  </si>
  <si>
    <t xml:space="preserve">3HGQ3BOY</t>
  </si>
  <si>
    <t xml:space="preserve">WGI2GSKJ</t>
  </si>
  <si>
    <t xml:space="preserve">L6KOBEBZ</t>
  </si>
  <si>
    <t xml:space="preserve">CZF82O5B</t>
  </si>
  <si>
    <t xml:space="preserve">WUXGF870</t>
  </si>
  <si>
    <t xml:space="preserve">4PXSBQU8</t>
  </si>
  <si>
    <t xml:space="preserve">1W23LEWK</t>
  </si>
  <si>
    <t xml:space="preserve">QUFCX2MF</t>
  </si>
  <si>
    <t xml:space="preserve">IZDF2RTL</t>
  </si>
  <si>
    <t xml:space="preserve">9P026O47</t>
  </si>
  <si>
    <t xml:space="preserve">7TCCYDR3</t>
  </si>
  <si>
    <t xml:space="preserve">C7Y0UUIN</t>
  </si>
  <si>
    <t xml:space="preserve">YD38G676</t>
  </si>
  <si>
    <t xml:space="preserve">LR6USOHL</t>
  </si>
  <si>
    <t xml:space="preserve">58DMWXXI</t>
  </si>
  <si>
    <t xml:space="preserve">YMS8IG4L</t>
  </si>
  <si>
    <t xml:space="preserve">54JFGNXN</t>
  </si>
  <si>
    <t xml:space="preserve">QDDD0L2Y</t>
  </si>
  <si>
    <t xml:space="preserve">OBBVVO9O</t>
  </si>
  <si>
    <t xml:space="preserve">E1OBRLYZ</t>
  </si>
  <si>
    <t xml:space="preserve">8RIKWACO</t>
  </si>
  <si>
    <t xml:space="preserve">1IH166HI</t>
  </si>
  <si>
    <t xml:space="preserve">GDGR4C37</t>
  </si>
  <si>
    <t xml:space="preserve">8BR6E4S6</t>
  </si>
  <si>
    <t xml:space="preserve">4BPA17HF</t>
  </si>
  <si>
    <t xml:space="preserve">Y38ULZPM</t>
  </si>
  <si>
    <t xml:space="preserve">OZ5O64KJ</t>
  </si>
  <si>
    <t xml:space="preserve">6LI7FXQT</t>
  </si>
  <si>
    <t xml:space="preserve">8LFNU39A</t>
  </si>
  <si>
    <t xml:space="preserve">OTDDPHWJ</t>
  </si>
  <si>
    <t xml:space="preserve">EDEBWIOX</t>
  </si>
  <si>
    <t xml:space="preserve">11EK1VP7</t>
  </si>
  <si>
    <t xml:space="preserve">H6CG7TPM</t>
  </si>
  <si>
    <t xml:space="preserve">JE245P8R</t>
  </si>
  <si>
    <t xml:space="preserve">3ZILMRQK</t>
  </si>
  <si>
    <t xml:space="preserve">0AXGVKN8</t>
  </si>
  <si>
    <t xml:space="preserve">PCRRS6JP</t>
  </si>
  <si>
    <t xml:space="preserve">G0QKNVIJ</t>
  </si>
  <si>
    <t xml:space="preserve">J8Y1OGY2</t>
  </si>
  <si>
    <t xml:space="preserve">H4TBCR80</t>
  </si>
  <si>
    <t xml:space="preserve">RJYMI03Q</t>
  </si>
  <si>
    <t xml:space="preserve">9IP0C0IR</t>
  </si>
  <si>
    <t xml:space="preserve">2QHRL8CW</t>
  </si>
  <si>
    <t xml:space="preserve">HV7Y6184</t>
  </si>
  <si>
    <t xml:space="preserve">X6LO8WPD</t>
  </si>
  <si>
    <t xml:space="preserve">YO32O3T9</t>
  </si>
  <si>
    <t xml:space="preserve">S2WDGIHL</t>
  </si>
  <si>
    <t xml:space="preserve">GOIVV4OG</t>
  </si>
  <si>
    <t xml:space="preserve">YE6R6I1K</t>
  </si>
  <si>
    <t xml:space="preserve">3LJAJVHR</t>
  </si>
  <si>
    <t xml:space="preserve">U64RT0UF</t>
  </si>
  <si>
    <t xml:space="preserve">G6QI40AT</t>
  </si>
  <si>
    <t xml:space="preserve">M5E8U8HP</t>
  </si>
  <si>
    <t xml:space="preserve">PW5OGY78</t>
  </si>
  <si>
    <t xml:space="preserve">V5AN4BZF</t>
  </si>
  <si>
    <t xml:space="preserve">0HELH2Q0</t>
  </si>
  <si>
    <t xml:space="preserve">N8G3G1UF</t>
  </si>
  <si>
    <t xml:space="preserve">I0TSIELX</t>
  </si>
  <si>
    <t xml:space="preserve">3DKK3JF3</t>
  </si>
  <si>
    <t xml:space="preserve">7I7BZHHT</t>
  </si>
  <si>
    <t xml:space="preserve">RDQZ245F</t>
  </si>
  <si>
    <t xml:space="preserve">1YB00UYY</t>
  </si>
  <si>
    <t xml:space="preserve">COWOZH43</t>
  </si>
  <si>
    <t xml:space="preserve">7350YGG4</t>
  </si>
  <si>
    <t xml:space="preserve">I2U6MKUT</t>
  </si>
  <si>
    <t xml:space="preserve">SAUAOZVO</t>
  </si>
  <si>
    <t xml:space="preserve">8ZU8D508</t>
  </si>
  <si>
    <t xml:space="preserve">CGEHFK9N</t>
  </si>
  <si>
    <t xml:space="preserve">B5QCN9H7</t>
  </si>
  <si>
    <t xml:space="preserve">HALGOQ5D</t>
  </si>
  <si>
    <t xml:space="preserve">2VTBUOXA</t>
  </si>
  <si>
    <t xml:space="preserve">U43RA5W8</t>
  </si>
  <si>
    <t xml:space="preserve">V8HMIE7M</t>
  </si>
  <si>
    <t xml:space="preserve">DR2QE1RW</t>
  </si>
  <si>
    <t xml:space="preserve">WQ5WIP35</t>
  </si>
  <si>
    <t xml:space="preserve">V6HB68BL</t>
  </si>
  <si>
    <t xml:space="preserve">XUQ7RS1Q</t>
  </si>
  <si>
    <t xml:space="preserve">YABTM1G5</t>
  </si>
  <si>
    <t xml:space="preserve">CFOYAHQ1</t>
  </si>
  <si>
    <t xml:space="preserve">6XHE52MV</t>
  </si>
  <si>
    <t xml:space="preserve">N00L26DN</t>
  </si>
  <si>
    <t xml:space="preserve">0G65AQVC</t>
  </si>
  <si>
    <t xml:space="preserve">RX95UPUC</t>
  </si>
  <si>
    <t xml:space="preserve">IEZCZAKT</t>
  </si>
  <si>
    <t xml:space="preserve">5BSHJG7W</t>
  </si>
  <si>
    <t xml:space="preserve">8SKE4TT5</t>
  </si>
  <si>
    <t xml:space="preserve">RO6QLRCX</t>
  </si>
  <si>
    <t xml:space="preserve">EXMA7FRC</t>
  </si>
  <si>
    <t xml:space="preserve">IAVMELUO</t>
  </si>
  <si>
    <t xml:space="preserve">XD6R8R5B</t>
  </si>
  <si>
    <t xml:space="preserve">DLJN7WG0</t>
  </si>
  <si>
    <t xml:space="preserve">LIIBOUUQ</t>
  </si>
  <si>
    <t xml:space="preserve">ECOU1XXZ</t>
  </si>
  <si>
    <t xml:space="preserve">5ELX1QYM</t>
  </si>
  <si>
    <t xml:space="preserve">STTAXKIU</t>
  </si>
  <si>
    <t xml:space="preserve">88KUDE6J</t>
  </si>
  <si>
    <t xml:space="preserve">QKVUGRN9</t>
  </si>
  <si>
    <t xml:space="preserve">DUM5AP8P</t>
  </si>
  <si>
    <t xml:space="preserve">3N6VGWVS</t>
  </si>
  <si>
    <t xml:space="preserve">6CEEGQ8I</t>
  </si>
  <si>
    <t xml:space="preserve">YP8QKKEZ</t>
  </si>
  <si>
    <t xml:space="preserve">MCYLHUCZ</t>
  </si>
  <si>
    <t xml:space="preserve">FZ1TTF0X</t>
  </si>
  <si>
    <t xml:space="preserve">2LTS2CL8</t>
  </si>
  <si>
    <t xml:space="preserve">RYLLRATF</t>
  </si>
  <si>
    <t xml:space="preserve">G7RCJBVL</t>
  </si>
  <si>
    <t xml:space="preserve">VBA34LWX</t>
  </si>
  <si>
    <t xml:space="preserve">9AMJKJX6</t>
  </si>
  <si>
    <t xml:space="preserve">QZLWUJEJ</t>
  </si>
  <si>
    <t xml:space="preserve">RZI9HX5X</t>
  </si>
  <si>
    <t xml:space="preserve">PA55AGYL</t>
  </si>
  <si>
    <t xml:space="preserve">EBTJPEEY</t>
  </si>
  <si>
    <t xml:space="preserve">G86OKJFV</t>
  </si>
  <si>
    <t xml:space="preserve">61HW4ELT</t>
  </si>
  <si>
    <t xml:space="preserve">1OUHMFJV</t>
  </si>
  <si>
    <t xml:space="preserve">3ZM8BJQO</t>
  </si>
  <si>
    <t xml:space="preserve">6VDLCBYU</t>
  </si>
  <si>
    <t xml:space="preserve">ZT2NKCV5</t>
  </si>
  <si>
    <t xml:space="preserve">4YH4JR1Q</t>
  </si>
  <si>
    <t xml:space="preserve">NSI9TMQ1</t>
  </si>
  <si>
    <t xml:space="preserve">VLADQZ43</t>
  </si>
  <si>
    <t xml:space="preserve">G6PDDHMN</t>
  </si>
  <si>
    <t xml:space="preserve">R7JI95HZ</t>
  </si>
  <si>
    <t xml:space="preserve">73SY9EU8</t>
  </si>
  <si>
    <t xml:space="preserve">FT8227WB</t>
  </si>
  <si>
    <t xml:space="preserve">UPZRAO84</t>
  </si>
  <si>
    <t xml:space="preserve">Z30RS0CL</t>
  </si>
  <si>
    <t xml:space="preserve">JCFQVIEG</t>
  </si>
  <si>
    <t xml:space="preserve">1F950BGI</t>
  </si>
  <si>
    <t xml:space="preserve">NY9ARKRE</t>
  </si>
  <si>
    <t xml:space="preserve">EWA9JFBA</t>
  </si>
  <si>
    <t xml:space="preserve">QZE24X2H</t>
  </si>
  <si>
    <t xml:space="preserve">38KKSE72</t>
  </si>
  <si>
    <t xml:space="preserve">6TN4T6HN</t>
  </si>
  <si>
    <t xml:space="preserve">G6DYTQQE</t>
  </si>
  <si>
    <t xml:space="preserve">NKL5SWX3</t>
  </si>
  <si>
    <t xml:space="preserve">00KY25OA</t>
  </si>
  <si>
    <t xml:space="preserve">8L1ZHTPL</t>
  </si>
  <si>
    <t xml:space="preserve">84V18DBW</t>
  </si>
  <si>
    <t xml:space="preserve">0H4AHJRI</t>
  </si>
  <si>
    <t xml:space="preserve">P96S0ATV</t>
  </si>
  <si>
    <t xml:space="preserve">1MCE2AOV</t>
  </si>
  <si>
    <t xml:space="preserve">7AL9GWK6</t>
  </si>
  <si>
    <t xml:space="preserve">WXCW16QT</t>
  </si>
  <si>
    <t xml:space="preserve">CG4TWLUR</t>
  </si>
  <si>
    <t xml:space="preserve">PRMMZX9O</t>
  </si>
  <si>
    <t xml:space="preserve">1N99TLIA</t>
  </si>
  <si>
    <t xml:space="preserve">MMGWAWBA</t>
  </si>
  <si>
    <t xml:space="preserve">MQY3YOQS</t>
  </si>
  <si>
    <t xml:space="preserve">28BIO7F9</t>
  </si>
  <si>
    <t xml:space="preserve">95532CI0</t>
  </si>
  <si>
    <t xml:space="preserve">V5XB0UPL</t>
  </si>
  <si>
    <t xml:space="preserve">S519S1EK</t>
  </si>
  <si>
    <t xml:space="preserve">6389JY2H</t>
  </si>
  <si>
    <t xml:space="preserve">CK0MDHHM</t>
  </si>
  <si>
    <t xml:space="preserve">GGPSSI5Q</t>
  </si>
  <si>
    <t xml:space="preserve">N3H82NHO</t>
  </si>
  <si>
    <t xml:space="preserve">GQCRMEIL</t>
  </si>
  <si>
    <t xml:space="preserve">Z8JLMCOM</t>
  </si>
  <si>
    <t xml:space="preserve">E7YSM99K</t>
  </si>
  <si>
    <t xml:space="preserve">Z1RN8D42</t>
  </si>
  <si>
    <t xml:space="preserve">4MC584U5</t>
  </si>
  <si>
    <t xml:space="preserve">9OLYBVNE</t>
  </si>
  <si>
    <t xml:space="preserve">WM30CUBE</t>
  </si>
  <si>
    <t xml:space="preserve">DLZYL69K</t>
  </si>
  <si>
    <t xml:space="preserve">852ZZB90</t>
  </si>
  <si>
    <t xml:space="preserve">93X2W24Q</t>
  </si>
  <si>
    <t xml:space="preserve">WVG1CIHX</t>
  </si>
  <si>
    <t xml:space="preserve">V751HK8R</t>
  </si>
  <si>
    <t xml:space="preserve">FAV4HHP4</t>
  </si>
  <si>
    <t xml:space="preserve">CPWTJ2WC</t>
  </si>
  <si>
    <t xml:space="preserve">TEJBT5CP</t>
  </si>
  <si>
    <t xml:space="preserve">A1WZEK7U</t>
  </si>
  <si>
    <t xml:space="preserve">3MNZF5ZK</t>
  </si>
  <si>
    <t xml:space="preserve">ENOMNCOJ</t>
  </si>
  <si>
    <t xml:space="preserve">NUA0OE6Z</t>
  </si>
  <si>
    <t xml:space="preserve">1MQFYGEE</t>
  </si>
  <si>
    <t xml:space="preserve">NJCI3Y9S</t>
  </si>
  <si>
    <t xml:space="preserve">4PKHDQOQ</t>
  </si>
  <si>
    <t xml:space="preserve">Z8RI8RLU</t>
  </si>
  <si>
    <t xml:space="preserve">YDBPPU6J</t>
  </si>
  <si>
    <t xml:space="preserve">IGELOJ42</t>
  </si>
  <si>
    <t xml:space="preserve">KP6NOWM7</t>
  </si>
  <si>
    <t xml:space="preserve">O11S2R63</t>
  </si>
  <si>
    <t xml:space="preserve">GQ125FX0</t>
  </si>
  <si>
    <t xml:space="preserve">N5FOEJZ9</t>
  </si>
  <si>
    <t xml:space="preserve">G4KL8QWY</t>
  </si>
  <si>
    <t xml:space="preserve">1O1GVZEU</t>
  </si>
  <si>
    <t xml:space="preserve">LJIAOC0Q</t>
  </si>
  <si>
    <t xml:space="preserve">7A4AC5BC</t>
  </si>
  <si>
    <t xml:space="preserve">OBE9NAIO</t>
  </si>
  <si>
    <t xml:space="preserve">CAAYFKK8</t>
  </si>
  <si>
    <t xml:space="preserve">8C4QM1X6</t>
  </si>
  <si>
    <t xml:space="preserve">S1AU0IZX</t>
  </si>
  <si>
    <t xml:space="preserve">W4BNO6UL</t>
  </si>
  <si>
    <t xml:space="preserve">HA1KXAIS</t>
  </si>
  <si>
    <t xml:space="preserve">A6Y1V5Z0</t>
  </si>
  <si>
    <t xml:space="preserve">KR4K652E</t>
  </si>
  <si>
    <t xml:space="preserve">G13DD850</t>
  </si>
  <si>
    <t xml:space="preserve">V4HYSJS2</t>
  </si>
  <si>
    <t xml:space="preserve">DFN1V29L</t>
  </si>
  <si>
    <t xml:space="preserve">TMW4J6NA</t>
  </si>
  <si>
    <t xml:space="preserve">HZU0L5GS</t>
  </si>
  <si>
    <t xml:space="preserve">BN8UTT8O</t>
  </si>
  <si>
    <t xml:space="preserve">ACB3QZAY</t>
  </si>
  <si>
    <t xml:space="preserve">WJC5J533</t>
  </si>
  <si>
    <t xml:space="preserve">T4MF2SMF</t>
  </si>
  <si>
    <t xml:space="preserve">K4Y8R0FX</t>
  </si>
  <si>
    <t xml:space="preserve">2WH4NUR9</t>
  </si>
  <si>
    <t xml:space="preserve">4Y1DYANE</t>
  </si>
  <si>
    <t xml:space="preserve">PDMWTS8O</t>
  </si>
  <si>
    <t xml:space="preserve">BUPUP2TV</t>
  </si>
  <si>
    <t xml:space="preserve">D4Z6IL8W</t>
  </si>
  <si>
    <t xml:space="preserve">L20NI94X</t>
  </si>
  <si>
    <t xml:space="preserve">NCF4DT7H</t>
  </si>
  <si>
    <t xml:space="preserve">9JKVM4BK</t>
  </si>
  <si>
    <t xml:space="preserve">M3WTE943</t>
  </si>
  <si>
    <t xml:space="preserve">YA3O04NX</t>
  </si>
  <si>
    <t xml:space="preserve">CRW2CCMB</t>
  </si>
  <si>
    <t xml:space="preserve">BP7JRV1O</t>
  </si>
  <si>
    <t xml:space="preserve">58J6HCYK</t>
  </si>
  <si>
    <t xml:space="preserve">S9W53L4L</t>
  </si>
  <si>
    <t xml:space="preserve">VDD7H92Q</t>
  </si>
  <si>
    <t xml:space="preserve">ZI1MPYF3</t>
  </si>
  <si>
    <t xml:space="preserve">42N0IWF8</t>
  </si>
  <si>
    <t xml:space="preserve">06T2UPDG</t>
  </si>
  <si>
    <t xml:space="preserve">Q7IIF1IP</t>
  </si>
  <si>
    <t xml:space="preserve">647E6ED0</t>
  </si>
  <si>
    <t xml:space="preserve">O462ARMZ</t>
  </si>
  <si>
    <t xml:space="preserve">ZZFES7ID</t>
  </si>
  <si>
    <t xml:space="preserve">O0NCMYX9</t>
  </si>
  <si>
    <t xml:space="preserve">PCBA3KAV</t>
  </si>
  <si>
    <t xml:space="preserve">3LO8XJBY</t>
  </si>
  <si>
    <t xml:space="preserve">C2MKJA8V</t>
  </si>
  <si>
    <t xml:space="preserve">7XEB6TFB</t>
  </si>
  <si>
    <t xml:space="preserve">INMJIFTF</t>
  </si>
  <si>
    <t xml:space="preserve">WK6ERCGR</t>
  </si>
  <si>
    <t xml:space="preserve">AAVJHH3M</t>
  </si>
  <si>
    <t xml:space="preserve">7IFEKEMG</t>
  </si>
  <si>
    <t xml:space="preserve">POLWB0UX</t>
  </si>
  <si>
    <t xml:space="preserve">UWZ7DFKY</t>
  </si>
  <si>
    <t xml:space="preserve">PSGTTYUT</t>
  </si>
  <si>
    <t xml:space="preserve">FGH181PC</t>
  </si>
  <si>
    <t xml:space="preserve">W1J3L0EU</t>
  </si>
  <si>
    <t xml:space="preserve">GQPQ6XBD</t>
  </si>
  <si>
    <t xml:space="preserve">LUT9KYJA</t>
  </si>
  <si>
    <t xml:space="preserve">6U0CT07B</t>
  </si>
  <si>
    <t xml:space="preserve">KJP1JFKX</t>
  </si>
  <si>
    <t xml:space="preserve">BPUE8GTU</t>
  </si>
  <si>
    <t xml:space="preserve">BCUR8B2A</t>
  </si>
  <si>
    <t xml:space="preserve">FCNYDFK3</t>
  </si>
  <si>
    <t xml:space="preserve">3QQW8VJ2</t>
  </si>
  <si>
    <t xml:space="preserve">TRR34NSR</t>
  </si>
  <si>
    <t xml:space="preserve">7V9A9TXZ</t>
  </si>
  <si>
    <t xml:space="preserve">HJIO57TA</t>
  </si>
  <si>
    <t xml:space="preserve">8SIG4C8X</t>
  </si>
  <si>
    <t xml:space="preserve">KGJL5GHX</t>
  </si>
  <si>
    <t xml:space="preserve">420PORSF</t>
  </si>
  <si>
    <t xml:space="preserve">R8CMI00I</t>
  </si>
  <si>
    <t xml:space="preserve">IZD69C5Q</t>
  </si>
  <si>
    <t xml:space="preserve">MMKMJ0WC</t>
  </si>
  <si>
    <t xml:space="preserve">N90VSHI2</t>
  </si>
  <si>
    <t xml:space="preserve">N128I4H8</t>
  </si>
  <si>
    <t xml:space="preserve">60UOBOEM</t>
  </si>
  <si>
    <t xml:space="preserve">JIYYV11P</t>
  </si>
  <si>
    <t xml:space="preserve">56ZJUSNG</t>
  </si>
  <si>
    <t xml:space="preserve">7Q7SA3EK</t>
  </si>
  <si>
    <t xml:space="preserve">PNUBACZM</t>
  </si>
  <si>
    <t xml:space="preserve">ZKSJ1DOK</t>
  </si>
  <si>
    <t xml:space="preserve">P1KS5YFX</t>
  </si>
  <si>
    <t xml:space="preserve">V1T47SKL</t>
  </si>
  <si>
    <t xml:space="preserve">KOZTDBJ5</t>
  </si>
  <si>
    <t xml:space="preserve">V3KGPHH9</t>
  </si>
  <si>
    <t xml:space="preserve">735GFCU0</t>
  </si>
  <si>
    <t xml:space="preserve">SZQUBIMH</t>
  </si>
  <si>
    <t xml:space="preserve">PDXFONE0</t>
  </si>
  <si>
    <t xml:space="preserve">9XV6GX8D</t>
  </si>
  <si>
    <t xml:space="preserve">LELWKXDX</t>
  </si>
  <si>
    <t xml:space="preserve">T1ZYZ70B</t>
  </si>
  <si>
    <t xml:space="preserve">KAHKF9H1</t>
  </si>
  <si>
    <t xml:space="preserve">FC1LS6PY</t>
  </si>
  <si>
    <t xml:space="preserve">I7WERQ6B</t>
  </si>
  <si>
    <t xml:space="preserve">4A189ZAB</t>
  </si>
  <si>
    <t xml:space="preserve">A6CE8BHR</t>
  </si>
  <si>
    <t xml:space="preserve">52Q1PYGW</t>
  </si>
  <si>
    <t xml:space="preserve">9DDHZUZB</t>
  </si>
  <si>
    <t xml:space="preserve">12GLKKV4</t>
  </si>
  <si>
    <t xml:space="preserve">5I8WOI8P</t>
  </si>
  <si>
    <t xml:space="preserve">W8E76HJG</t>
  </si>
  <si>
    <t xml:space="preserve">99DK6OHX</t>
  </si>
  <si>
    <t xml:space="preserve">E36CR33F</t>
  </si>
  <si>
    <t xml:space="preserve">CGCPVYNI</t>
  </si>
  <si>
    <t xml:space="preserve">7FER10E1</t>
  </si>
  <si>
    <t xml:space="preserve">OJVA8ZEK</t>
  </si>
  <si>
    <t xml:space="preserve">RFYAI0WA</t>
  </si>
  <si>
    <t xml:space="preserve">Y46OEBEH</t>
  </si>
  <si>
    <t xml:space="preserve">MXTAIS4Q</t>
  </si>
  <si>
    <t xml:space="preserve">OPEICJES</t>
  </si>
  <si>
    <t xml:space="preserve">27UN3UX8</t>
  </si>
  <si>
    <t xml:space="preserve">SVMB8M7E</t>
  </si>
  <si>
    <t xml:space="preserve">HJP5X1MT</t>
  </si>
  <si>
    <t xml:space="preserve">DGPI60HG</t>
  </si>
  <si>
    <t xml:space="preserve">EKH5O1HH</t>
  </si>
  <si>
    <t xml:space="preserve">VKM187MX</t>
  </si>
  <si>
    <t xml:space="preserve">5975TDTI</t>
  </si>
  <si>
    <t xml:space="preserve">9537WTHG</t>
  </si>
  <si>
    <t xml:space="preserve">X501NN9P</t>
  </si>
  <si>
    <t xml:space="preserve">WSPBQ5YR</t>
  </si>
  <si>
    <t xml:space="preserve">CJOU1RYX</t>
  </si>
  <si>
    <t xml:space="preserve">AKXBF6IQ</t>
  </si>
  <si>
    <t xml:space="preserve">XO3XXR9X</t>
  </si>
  <si>
    <t xml:space="preserve">H35AXY3M</t>
  </si>
  <si>
    <t xml:space="preserve">RTKUPEX7</t>
  </si>
  <si>
    <t xml:space="preserve">7SF3PMMY</t>
  </si>
  <si>
    <t xml:space="preserve">JSNPH01N</t>
  </si>
  <si>
    <t xml:space="preserve">BK85705L</t>
  </si>
  <si>
    <t xml:space="preserve">6NZROTHF</t>
  </si>
  <si>
    <t xml:space="preserve">VXWUALY5</t>
  </si>
  <si>
    <t xml:space="preserve">I58DG1XE</t>
  </si>
  <si>
    <t xml:space="preserve">50HQRWGJ</t>
  </si>
  <si>
    <t xml:space="preserve">CRLWCEMY</t>
  </si>
  <si>
    <t xml:space="preserve">UI1UION3</t>
  </si>
  <si>
    <t xml:space="preserve">SDL8MJ4R</t>
  </si>
  <si>
    <t xml:space="preserve">TJXY9DQG</t>
  </si>
  <si>
    <t xml:space="preserve">4Q4CLZCH</t>
  </si>
  <si>
    <t xml:space="preserve">9PWM6RYC</t>
  </si>
  <si>
    <t xml:space="preserve">C5IWM5VJ</t>
  </si>
  <si>
    <t xml:space="preserve">PE3CL3ME</t>
  </si>
  <si>
    <t xml:space="preserve">P5EVJUKQ</t>
  </si>
  <si>
    <t xml:space="preserve">0QHI3KG5</t>
  </si>
  <si>
    <t xml:space="preserve">VN6JB8HU</t>
  </si>
  <si>
    <t xml:space="preserve">TAEUD0HP</t>
  </si>
  <si>
    <t xml:space="preserve">SBLP2LJB</t>
  </si>
  <si>
    <t xml:space="preserve">7W8CQJ2Z</t>
  </si>
  <si>
    <t xml:space="preserve">DJDVV89L</t>
  </si>
  <si>
    <t xml:space="preserve">RW02HG5P</t>
  </si>
  <si>
    <t xml:space="preserve">XJ8UTM6B</t>
  </si>
  <si>
    <t xml:space="preserve">AW0GW33Q</t>
  </si>
  <si>
    <t xml:space="preserve">093R7PK9</t>
  </si>
  <si>
    <t xml:space="preserve">FCW4SAAP</t>
  </si>
  <si>
    <t xml:space="preserve">OJBBZHM4</t>
  </si>
  <si>
    <t xml:space="preserve">E5UW8AGQ</t>
  </si>
  <si>
    <t xml:space="preserve">CDUIUYY2</t>
  </si>
  <si>
    <t xml:space="preserve">MLC5KY2R</t>
  </si>
  <si>
    <t xml:space="preserve">T14K7M5G</t>
  </si>
  <si>
    <t xml:space="preserve">WBJX6O2D</t>
  </si>
  <si>
    <t xml:space="preserve">580XZTEO</t>
  </si>
  <si>
    <t xml:space="preserve">WFJPWN9O</t>
  </si>
  <si>
    <t xml:space="preserve">9HLQVY37</t>
  </si>
  <si>
    <t xml:space="preserve">OFIORN0G</t>
  </si>
  <si>
    <t xml:space="preserve">HDBNC8W1</t>
  </si>
  <si>
    <t xml:space="preserve">LG8ZAMCB</t>
  </si>
  <si>
    <t xml:space="preserve">FE2AE2YO</t>
  </si>
  <si>
    <t xml:space="preserve">KE7SZLG7</t>
  </si>
  <si>
    <t xml:space="preserve">S2UWELRW</t>
  </si>
  <si>
    <t xml:space="preserve">Q1MP64HG</t>
  </si>
  <si>
    <t xml:space="preserve">MCRDLBIE</t>
  </si>
  <si>
    <t xml:space="preserve">LKBS2IJC</t>
  </si>
  <si>
    <t xml:space="preserve">ITCY8YV0</t>
  </si>
  <si>
    <t xml:space="preserve">XT9YNOV2</t>
  </si>
  <si>
    <t xml:space="preserve">HU6IS6Q2</t>
  </si>
  <si>
    <t xml:space="preserve">5E4DTWHV</t>
  </si>
  <si>
    <t xml:space="preserve">VBG91TQH</t>
  </si>
  <si>
    <t xml:space="preserve">AVD2WQZY</t>
  </si>
  <si>
    <t xml:space="preserve">QGW0TI1U</t>
  </si>
  <si>
    <t xml:space="preserve">5HMZH1Z9</t>
  </si>
  <si>
    <t xml:space="preserve">04LU4OPA</t>
  </si>
  <si>
    <t xml:space="preserve">ST8ZOXKI</t>
  </si>
  <si>
    <t xml:space="preserve">5VQRLIEZ</t>
  </si>
  <si>
    <t xml:space="preserve">R8CW1D6X</t>
  </si>
  <si>
    <t xml:space="preserve">HTD2ME9C</t>
  </si>
  <si>
    <t xml:space="preserve">ZPX96Q40</t>
  </si>
  <si>
    <t xml:space="preserve">8W206MO5</t>
  </si>
  <si>
    <t xml:space="preserve">A5BVV5P8</t>
  </si>
  <si>
    <t xml:space="preserve">CQVDJR45</t>
  </si>
  <si>
    <t xml:space="preserve">TF7HCU69</t>
  </si>
  <si>
    <t xml:space="preserve">JWRSTAU8</t>
  </si>
  <si>
    <t xml:space="preserve">BTLXFPUB</t>
  </si>
  <si>
    <t xml:space="preserve">I6ZWBDU6</t>
  </si>
  <si>
    <t xml:space="preserve">94GCWI08</t>
  </si>
  <si>
    <t xml:space="preserve">7AOZ2F9R</t>
  </si>
  <si>
    <t xml:space="preserve">HP6DSCMH</t>
  </si>
  <si>
    <t xml:space="preserve">9WISPXZW</t>
  </si>
  <si>
    <t xml:space="preserve">5OCY2XME</t>
  </si>
  <si>
    <t xml:space="preserve">IKQSEYPT</t>
  </si>
  <si>
    <t xml:space="preserve">1RIY3IBH</t>
  </si>
  <si>
    <t xml:space="preserve">DMUQAWQH</t>
  </si>
  <si>
    <t xml:space="preserve">VF2OKZY5</t>
  </si>
  <si>
    <t xml:space="preserve">AMKR98V4</t>
  </si>
  <si>
    <t xml:space="preserve">XTKIX6I4</t>
  </si>
  <si>
    <t xml:space="preserve">RHOZIG9P</t>
  </si>
  <si>
    <t xml:space="preserve">4R5LIB5F</t>
  </si>
  <si>
    <t xml:space="preserve">KUK2H5MD</t>
  </si>
  <si>
    <t xml:space="preserve">RTH5O6ZW</t>
  </si>
  <si>
    <t xml:space="preserve">H7GBGRSO</t>
  </si>
  <si>
    <t xml:space="preserve">RDJFZGM9</t>
  </si>
  <si>
    <t xml:space="preserve">75Q82XU7</t>
  </si>
  <si>
    <t xml:space="preserve">EEBOSTAA</t>
  </si>
  <si>
    <t xml:space="preserve">6FI9HAX7</t>
  </si>
  <si>
    <t xml:space="preserve">U2SW8DT1</t>
  </si>
  <si>
    <t xml:space="preserve">QWL218JV</t>
  </si>
  <si>
    <t xml:space="preserve">JSDGELLK</t>
  </si>
  <si>
    <t xml:space="preserve">GZUKDP7F</t>
  </si>
  <si>
    <t xml:space="preserve">TK29F68V</t>
  </si>
  <si>
    <t xml:space="preserve">QWLH0WD8</t>
  </si>
  <si>
    <t xml:space="preserve">GFV4W89I</t>
  </si>
  <si>
    <t xml:space="preserve">5JFOA4XC</t>
  </si>
  <si>
    <t xml:space="preserve">CUR03RXO</t>
  </si>
  <si>
    <t xml:space="preserve">3C9CWV6J</t>
  </si>
  <si>
    <t xml:space="preserve">GVHIFUN1</t>
  </si>
  <si>
    <t xml:space="preserve">GNKFTK7J</t>
  </si>
  <si>
    <t xml:space="preserve">086279IX</t>
  </si>
  <si>
    <t xml:space="preserve">WI1HQSIS</t>
  </si>
  <si>
    <t xml:space="preserve">WH0DJCGL</t>
  </si>
  <si>
    <t xml:space="preserve">LZVFFQLN</t>
  </si>
  <si>
    <t xml:space="preserve">XJ9RQU4K</t>
  </si>
  <si>
    <t xml:space="preserve">3OVJXUSB</t>
  </si>
  <si>
    <t xml:space="preserve">U6Q0T9KV</t>
  </si>
  <si>
    <t xml:space="preserve">SUO8VZQ8</t>
  </si>
  <si>
    <t xml:space="preserve">C4FEG98K</t>
  </si>
  <si>
    <t xml:space="preserve">IHF5GR01</t>
  </si>
  <si>
    <t xml:space="preserve">407NLHJH</t>
  </si>
  <si>
    <t xml:space="preserve">JL86Q0B4</t>
  </si>
  <si>
    <t xml:space="preserve">0GTJE2VQ</t>
  </si>
  <si>
    <t xml:space="preserve">KVTBYOVD</t>
  </si>
  <si>
    <t xml:space="preserve">C3QK8M7F</t>
  </si>
  <si>
    <t xml:space="preserve">ZVT9J7V1</t>
  </si>
  <si>
    <t xml:space="preserve">CO6ZPH1W</t>
  </si>
  <si>
    <t xml:space="preserve">6MMFIIGE</t>
  </si>
  <si>
    <t xml:space="preserve">ULES5Z21</t>
  </si>
  <si>
    <t xml:space="preserve">WTCU9X9M</t>
  </si>
  <si>
    <t xml:space="preserve">EJ0EF8S1</t>
  </si>
  <si>
    <t xml:space="preserve">99AAJPQN</t>
  </si>
  <si>
    <t xml:space="preserve">G2TASA8C</t>
  </si>
  <si>
    <t xml:space="preserve">QSQ42Q6M</t>
  </si>
  <si>
    <t xml:space="preserve">17U8549G</t>
  </si>
  <si>
    <t xml:space="preserve">Y92RU9V8</t>
  </si>
  <si>
    <t xml:space="preserve">6VET70WX</t>
  </si>
  <si>
    <t xml:space="preserve">YNP9PI1X</t>
  </si>
  <si>
    <t xml:space="preserve">2PMIYAFN</t>
  </si>
  <si>
    <t xml:space="preserve">VOTOT8MK</t>
  </si>
  <si>
    <t xml:space="preserve">48AJ0X9E</t>
  </si>
  <si>
    <t xml:space="preserve">V6YYDG56</t>
  </si>
  <si>
    <t xml:space="preserve">ALQRAPZR</t>
  </si>
  <si>
    <t xml:space="preserve">GAIFPSU2</t>
  </si>
  <si>
    <t xml:space="preserve">4QP55BTO</t>
  </si>
  <si>
    <t xml:space="preserve">P2ST849C</t>
  </si>
  <si>
    <t xml:space="preserve">M2TZSYTN</t>
  </si>
  <si>
    <t xml:space="preserve">4T2XENE2</t>
  </si>
  <si>
    <t xml:space="preserve">XF4648CO</t>
  </si>
  <si>
    <t xml:space="preserve">10NTPQUY</t>
  </si>
  <si>
    <t xml:space="preserve">FRIVBOOA</t>
  </si>
  <si>
    <t xml:space="preserve">LPGOTIM2</t>
  </si>
  <si>
    <t xml:space="preserve">X96MMTCI</t>
  </si>
  <si>
    <t xml:space="preserve">QKKZQJ46</t>
  </si>
  <si>
    <t xml:space="preserve">72WE0PUH</t>
  </si>
  <si>
    <t xml:space="preserve">DDBH2FPP</t>
  </si>
  <si>
    <t xml:space="preserve">KYFONJP5</t>
  </si>
  <si>
    <t xml:space="preserve">LCTI4CFV</t>
  </si>
  <si>
    <t xml:space="preserve">RSEDY99J</t>
  </si>
  <si>
    <t xml:space="preserve">T0SEVT4K</t>
  </si>
  <si>
    <t xml:space="preserve">GUMQTC3J</t>
  </si>
  <si>
    <t xml:space="preserve">RUCPPMPY</t>
  </si>
  <si>
    <t xml:space="preserve">HMI6RBK9</t>
  </si>
  <si>
    <t xml:space="preserve">SJHD5TFA</t>
  </si>
  <si>
    <t xml:space="preserve">MGP9HCUL</t>
  </si>
  <si>
    <t xml:space="preserve">MCR8YCCY</t>
  </si>
  <si>
    <t xml:space="preserve">MU6NOSH1</t>
  </si>
  <si>
    <t xml:space="preserve">2O1IK8VR</t>
  </si>
  <si>
    <t xml:space="preserve">L5U7OT6O</t>
  </si>
  <si>
    <t xml:space="preserve">ZDDZ64A2</t>
  </si>
  <si>
    <t xml:space="preserve">K83L4L0I</t>
  </si>
  <si>
    <t xml:space="preserve">W03CXYET</t>
  </si>
  <si>
    <t xml:space="preserve">L8D22SSW</t>
  </si>
  <si>
    <t xml:space="preserve">E884CL8B</t>
  </si>
  <si>
    <t xml:space="preserve">2MHTTXX0</t>
  </si>
  <si>
    <t xml:space="preserve">MVXB9PS5</t>
  </si>
  <si>
    <t xml:space="preserve">D01U0UR8</t>
  </si>
  <si>
    <t xml:space="preserve">GMVW87C4</t>
  </si>
  <si>
    <t xml:space="preserve">8TTFFCIK</t>
  </si>
  <si>
    <t xml:space="preserve">W75XU368</t>
  </si>
  <si>
    <t xml:space="preserve">SDS8SAZC</t>
  </si>
  <si>
    <t xml:space="preserve">IPQFYK0E</t>
  </si>
  <si>
    <t xml:space="preserve">MKEVYIDI</t>
  </si>
  <si>
    <t xml:space="preserve">34MBPHRL</t>
  </si>
  <si>
    <t xml:space="preserve">YL7XWUYO</t>
  </si>
  <si>
    <t xml:space="preserve">SUABQAC0</t>
  </si>
  <si>
    <t xml:space="preserve">XGLMCTLG</t>
  </si>
  <si>
    <t xml:space="preserve">J2SR2H1Y</t>
  </si>
  <si>
    <t xml:space="preserve">MWT1ZV0Y</t>
  </si>
  <si>
    <t xml:space="preserve">VS0TWECS</t>
  </si>
  <si>
    <t xml:space="preserve">GK0A4IQW</t>
  </si>
  <si>
    <t xml:space="preserve">WX63AIMZ</t>
  </si>
  <si>
    <t xml:space="preserve">7Y5E0RDL</t>
  </si>
  <si>
    <t xml:space="preserve">JO52QXJ0</t>
  </si>
  <si>
    <t xml:space="preserve">FJCCTOPN</t>
  </si>
  <si>
    <t xml:space="preserve">731TOWDY</t>
  </si>
  <si>
    <t xml:space="preserve">6JEAYHOE</t>
  </si>
  <si>
    <t xml:space="preserve">Y9XOOWHS</t>
  </si>
  <si>
    <t xml:space="preserve">677XNEFB</t>
  </si>
  <si>
    <t xml:space="preserve">8NKLCSES</t>
  </si>
  <si>
    <t xml:space="preserve">4WP0VJAS</t>
  </si>
  <si>
    <t xml:space="preserve">4TRMURKI</t>
  </si>
  <si>
    <t xml:space="preserve">MTKCJVFO</t>
  </si>
  <si>
    <t xml:space="preserve">X22G55Y5</t>
  </si>
  <si>
    <t xml:space="preserve">GIW1PN4L</t>
  </si>
  <si>
    <t xml:space="preserve">LB8UE159</t>
  </si>
  <si>
    <t xml:space="preserve">8061HKKB</t>
  </si>
  <si>
    <t xml:space="preserve">P5MLWDXX</t>
  </si>
  <si>
    <t xml:space="preserve">265SZR01</t>
  </si>
  <si>
    <t xml:space="preserve">5QSU8PQU</t>
  </si>
  <si>
    <t xml:space="preserve">SLLJT3T1</t>
  </si>
  <si>
    <t xml:space="preserve">9Y3JDP1B</t>
  </si>
  <si>
    <t xml:space="preserve">ZZQB2NPD</t>
  </si>
  <si>
    <t xml:space="preserve">DA6LGJ66</t>
  </si>
  <si>
    <t xml:space="preserve">MUIT1E0M</t>
  </si>
  <si>
    <t xml:space="preserve">2U6QQHCC</t>
  </si>
  <si>
    <t xml:space="preserve">QLTDWAEM</t>
  </si>
  <si>
    <t xml:space="preserve">74VGCEEW</t>
  </si>
  <si>
    <t xml:space="preserve">WEGC0W05</t>
  </si>
  <si>
    <t xml:space="preserve">D30QC4EE</t>
  </si>
  <si>
    <t xml:space="preserve">5F40OSXS</t>
  </si>
  <si>
    <t xml:space="preserve">58K44TMD</t>
  </si>
  <si>
    <t xml:space="preserve">D5NZQIWU</t>
  </si>
  <si>
    <t xml:space="preserve">L2NXQFPN</t>
  </si>
  <si>
    <t xml:space="preserve">HYCELUAD</t>
  </si>
  <si>
    <t xml:space="preserve">Z29AX2KB</t>
  </si>
  <si>
    <t xml:space="preserve">ROQBT7TM</t>
  </si>
  <si>
    <t xml:space="preserve">KIMW6PXN</t>
  </si>
  <si>
    <t xml:space="preserve">YWWVWOO4</t>
  </si>
  <si>
    <t xml:space="preserve">ZA6CBQAL</t>
  </si>
  <si>
    <t xml:space="preserve">JEPAVEO7</t>
  </si>
  <si>
    <t xml:space="preserve">7RI58VF7</t>
  </si>
  <si>
    <t xml:space="preserve">GVNI96XB</t>
  </si>
  <si>
    <t xml:space="preserve">4DK84UMX</t>
  </si>
  <si>
    <t xml:space="preserve">X5IZZ69D</t>
  </si>
  <si>
    <t xml:space="preserve">MMWX1A4H</t>
  </si>
  <si>
    <t xml:space="preserve">SDXZB8MC</t>
  </si>
  <si>
    <t xml:space="preserve">RGCH6CUF</t>
  </si>
  <si>
    <t xml:space="preserve">XCBKZWDX</t>
  </si>
  <si>
    <t xml:space="preserve">HMKFBTYR</t>
  </si>
  <si>
    <t xml:space="preserve">Y5OZ7VOF</t>
  </si>
  <si>
    <t xml:space="preserve">KKSMEP2A</t>
  </si>
  <si>
    <t xml:space="preserve">HJBVO8T4</t>
  </si>
  <si>
    <t xml:space="preserve">NGTMVX1C</t>
  </si>
  <si>
    <t xml:space="preserve">S3UOGUU5</t>
  </si>
  <si>
    <t xml:space="preserve">MD0SRXG4</t>
  </si>
  <si>
    <t xml:space="preserve">7Z5AVSH6</t>
  </si>
  <si>
    <t xml:space="preserve">ZSHK2ZXD</t>
  </si>
  <si>
    <t xml:space="preserve">W1GERPB9</t>
  </si>
  <si>
    <t xml:space="preserve">MIU04JC2</t>
  </si>
  <si>
    <t xml:space="preserve">6MTURF7Q</t>
  </si>
  <si>
    <t xml:space="preserve">TGQN6HTN</t>
  </si>
  <si>
    <t xml:space="preserve">S02S3TVE</t>
  </si>
  <si>
    <t xml:space="preserve">FHLNW3WH</t>
  </si>
  <si>
    <t xml:space="preserve">3J1W4LM0</t>
  </si>
  <si>
    <t xml:space="preserve">6NZH6X7G</t>
  </si>
  <si>
    <t xml:space="preserve">8MKXIQQK</t>
  </si>
  <si>
    <t xml:space="preserve">P8LGQH9G</t>
  </si>
  <si>
    <t xml:space="preserve">U0G8KIPB</t>
  </si>
  <si>
    <t xml:space="preserve">MHN0SWM2</t>
  </si>
  <si>
    <t xml:space="preserve">2S3DHZFO</t>
  </si>
  <si>
    <t xml:space="preserve">37B8ES7X</t>
  </si>
  <si>
    <t xml:space="preserve">MNC7Q3JJ</t>
  </si>
  <si>
    <t xml:space="preserve">D6T5MM04</t>
  </si>
  <si>
    <t xml:space="preserve">5LJ47CVS</t>
  </si>
  <si>
    <t xml:space="preserve">ABXW1X4U</t>
  </si>
  <si>
    <t xml:space="preserve">ZDZGCWX7</t>
  </si>
  <si>
    <t xml:space="preserve">ZTHMJWYZ</t>
  </si>
  <si>
    <t xml:space="preserve">DNUTJO70</t>
  </si>
  <si>
    <t xml:space="preserve">73FYEJQV</t>
  </si>
  <si>
    <t xml:space="preserve">7B3J333S</t>
  </si>
  <si>
    <t xml:space="preserve">LDAXEBR0</t>
  </si>
  <si>
    <t xml:space="preserve">OREPAY0O</t>
  </si>
  <si>
    <t xml:space="preserve">SWV0JUQJ</t>
  </si>
  <si>
    <t xml:space="preserve">Z3FOWY9N</t>
  </si>
  <si>
    <t xml:space="preserve">910IXBKP</t>
  </si>
  <si>
    <t xml:space="preserve">08Q8A6M9</t>
  </si>
  <si>
    <t xml:space="preserve">8INCUUGJ</t>
  </si>
  <si>
    <t xml:space="preserve">X914SMX7</t>
  </si>
  <si>
    <t xml:space="preserve">ZWAJWK40</t>
  </si>
  <si>
    <t xml:space="preserve">UDYSM42B</t>
  </si>
  <si>
    <t xml:space="preserve">X7HK448T</t>
  </si>
  <si>
    <t xml:space="preserve">4XGA0K6N</t>
  </si>
  <si>
    <t xml:space="preserve">FCCI80H2</t>
  </si>
  <si>
    <t xml:space="preserve">C9XJ9KHD</t>
  </si>
  <si>
    <t xml:space="preserve">YFP8IZ98</t>
  </si>
  <si>
    <t xml:space="preserve">9JKODCAU</t>
  </si>
  <si>
    <t xml:space="preserve">OFQCCQ6I</t>
  </si>
  <si>
    <t xml:space="preserve">M6UEZLOQ</t>
  </si>
  <si>
    <t xml:space="preserve">5831YZMT</t>
  </si>
  <si>
    <t xml:space="preserve">7KXTF2Q6</t>
  </si>
  <si>
    <t xml:space="preserve">JBBJL4C2</t>
  </si>
  <si>
    <t xml:space="preserve">1QQR82TP</t>
  </si>
  <si>
    <t xml:space="preserve">SGV1FR3O</t>
  </si>
  <si>
    <t xml:space="preserve">HEDUIEUN</t>
  </si>
  <si>
    <t xml:space="preserve">6JI36HIE</t>
  </si>
  <si>
    <t xml:space="preserve">4D1FP59D</t>
  </si>
  <si>
    <t xml:space="preserve">SNBYNW8H</t>
  </si>
  <si>
    <t xml:space="preserve">10UN7LA8</t>
  </si>
  <si>
    <t xml:space="preserve">GTH3VIDW</t>
  </si>
  <si>
    <t xml:space="preserve">LD1HNIUL</t>
  </si>
  <si>
    <t xml:space="preserve">3PPB3Q04</t>
  </si>
  <si>
    <t xml:space="preserve">8X890G2T</t>
  </si>
  <si>
    <t xml:space="preserve">2FGEGLVU</t>
  </si>
  <si>
    <t xml:space="preserve">0PGJNCD7</t>
  </si>
  <si>
    <t xml:space="preserve">BH7EXL5M</t>
  </si>
  <si>
    <t xml:space="preserve">E223LSRZ</t>
  </si>
  <si>
    <t xml:space="preserve">R15SXOZA</t>
  </si>
  <si>
    <t xml:space="preserve">LCWP23CI</t>
  </si>
  <si>
    <t xml:space="preserve">WAF692K8</t>
  </si>
  <si>
    <t xml:space="preserve">F57Z7KJF</t>
  </si>
  <si>
    <t xml:space="preserve">KG61YJ92</t>
  </si>
  <si>
    <t xml:space="preserve">TJ6U9HZ3</t>
  </si>
  <si>
    <t xml:space="preserve">GL8PN4LQ</t>
  </si>
  <si>
    <t xml:space="preserve">5QNUZYIL</t>
  </si>
  <si>
    <t xml:space="preserve">E3HJPDFZ</t>
  </si>
  <si>
    <t xml:space="preserve">XBVFZ1IR</t>
  </si>
  <si>
    <t xml:space="preserve">JOLRMB6X</t>
  </si>
  <si>
    <t xml:space="preserve">S9WJ9NAS</t>
  </si>
  <si>
    <t xml:space="preserve">DHGLWIDZ</t>
  </si>
  <si>
    <t xml:space="preserve">QYWZZ16B</t>
  </si>
  <si>
    <t xml:space="preserve">IEN6RBZI</t>
  </si>
  <si>
    <t xml:space="preserve">B3K4Z5L0</t>
  </si>
  <si>
    <t xml:space="preserve">6GL2LRUH</t>
  </si>
  <si>
    <t xml:space="preserve">4D95LU0H</t>
  </si>
  <si>
    <t xml:space="preserve">RBB3C85Q</t>
  </si>
  <si>
    <t xml:space="preserve">F4V2FXK0</t>
  </si>
  <si>
    <t xml:space="preserve">EK0ZZHKT</t>
  </si>
  <si>
    <t xml:space="preserve">I8A9OXP2</t>
  </si>
  <si>
    <t xml:space="preserve">FZ72CGOI</t>
  </si>
  <si>
    <t xml:space="preserve">ZT832XIR</t>
  </si>
  <si>
    <t xml:space="preserve">AQ3HBL9S</t>
  </si>
  <si>
    <t xml:space="preserve">N9ZXCBTU</t>
  </si>
  <si>
    <t xml:space="preserve">VMTPCY5G</t>
  </si>
  <si>
    <t xml:space="preserve">PAQOPSR0</t>
  </si>
  <si>
    <t xml:space="preserve">52H2CE10</t>
  </si>
  <si>
    <t xml:space="preserve">1FAMR9UR</t>
  </si>
  <si>
    <t xml:space="preserve">EP81D4IN</t>
  </si>
  <si>
    <t xml:space="preserve">09BVA55J</t>
  </si>
  <si>
    <t xml:space="preserve">KN3H2R4V</t>
  </si>
  <si>
    <t xml:space="preserve">10QXTLQX</t>
  </si>
  <si>
    <t xml:space="preserve">8V4PEF5D</t>
  </si>
  <si>
    <t xml:space="preserve">H1NFMTJ4</t>
  </si>
  <si>
    <t xml:space="preserve">TGW7OYMD</t>
  </si>
  <si>
    <t xml:space="preserve">YHVY1LHH</t>
  </si>
  <si>
    <t xml:space="preserve">IIREXAQX</t>
  </si>
  <si>
    <t xml:space="preserve">RSFYKC1F</t>
  </si>
  <si>
    <t xml:space="preserve">3X5BD9NU</t>
  </si>
  <si>
    <t xml:space="preserve">0RL4RHQJ</t>
  </si>
  <si>
    <t xml:space="preserve">QRKHWNRB</t>
  </si>
  <si>
    <t xml:space="preserve">VO8TFB31</t>
  </si>
  <si>
    <t xml:space="preserve">O2CPAAF0</t>
  </si>
  <si>
    <t xml:space="preserve">FH4VP5CL</t>
  </si>
  <si>
    <t xml:space="preserve">RU3OP2BA</t>
  </si>
  <si>
    <t xml:space="preserve">8T8J06EL</t>
  </si>
  <si>
    <t xml:space="preserve">JRWBU9BS</t>
  </si>
  <si>
    <t xml:space="preserve">3F5AAJZB</t>
  </si>
  <si>
    <t xml:space="preserve">7FY0HBH7</t>
  </si>
  <si>
    <t xml:space="preserve">6HRIX06M</t>
  </si>
  <si>
    <t xml:space="preserve">CVPH0J04</t>
  </si>
  <si>
    <t xml:space="preserve">IITSDWWL</t>
  </si>
  <si>
    <t xml:space="preserve">JECCHO49</t>
  </si>
  <si>
    <t xml:space="preserve">XX84TIMO</t>
  </si>
  <si>
    <t xml:space="preserve">VCD47XNB</t>
  </si>
  <si>
    <t xml:space="preserve">QTNPGKJ7</t>
  </si>
  <si>
    <t xml:space="preserve">8ZYVKQ27</t>
  </si>
  <si>
    <t xml:space="preserve">8BY9YRL9</t>
  </si>
  <si>
    <t xml:space="preserve">R707GGNA</t>
  </si>
  <si>
    <t xml:space="preserve">518D68L9</t>
  </si>
  <si>
    <t xml:space="preserve">KEF5O2Q6</t>
  </si>
  <si>
    <t xml:space="preserve">1A86ZD0B</t>
  </si>
  <si>
    <t xml:space="preserve">AUDYTWRK</t>
  </si>
  <si>
    <t xml:space="preserve">ORG6MXKF</t>
  </si>
  <si>
    <t xml:space="preserve">HPYLUU5P</t>
  </si>
  <si>
    <t xml:space="preserve">QQCIN1M4</t>
  </si>
  <si>
    <t xml:space="preserve">CUAYGT78</t>
  </si>
  <si>
    <t xml:space="preserve">3VLKZISJ</t>
  </si>
  <si>
    <t xml:space="preserve">6CKXLPAR</t>
  </si>
  <si>
    <t xml:space="preserve">A3GVFKYP</t>
  </si>
  <si>
    <t xml:space="preserve">ZYRRGSQK</t>
  </si>
  <si>
    <t xml:space="preserve">5OJ4IRW4</t>
  </si>
  <si>
    <t xml:space="preserve">7SH51ME1</t>
  </si>
  <si>
    <t xml:space="preserve">EYW0QD8A</t>
  </si>
  <si>
    <t xml:space="preserve">ENE1HNL3</t>
  </si>
  <si>
    <t xml:space="preserve">K0G1IB3Q</t>
  </si>
  <si>
    <t xml:space="preserve">LFN6XPK7</t>
  </si>
  <si>
    <t xml:space="preserve">3TSOEM5K</t>
  </si>
  <si>
    <t xml:space="preserve">SSZHMEE3</t>
  </si>
  <si>
    <t xml:space="preserve">P7LVKDC9</t>
  </si>
  <si>
    <t xml:space="preserve">YFJKP42F</t>
  </si>
  <si>
    <t xml:space="preserve">EBRWSMI0</t>
  </si>
  <si>
    <t xml:space="preserve">TCTLOMKP</t>
  </si>
  <si>
    <t xml:space="preserve">YNKWBEEN</t>
  </si>
  <si>
    <t xml:space="preserve">ZESI2PFU</t>
  </si>
  <si>
    <t xml:space="preserve">EG3KHGPL</t>
  </si>
  <si>
    <t xml:space="preserve">OATOYNX2</t>
  </si>
  <si>
    <t xml:space="preserve">YSNODM63</t>
  </si>
  <si>
    <t xml:space="preserve">0FIG6ZP2</t>
  </si>
  <si>
    <t xml:space="preserve">4V0S4BA3</t>
  </si>
  <si>
    <t xml:space="preserve">8GISH3I9</t>
  </si>
  <si>
    <t xml:space="preserve">JE5085VJ</t>
  </si>
  <si>
    <t xml:space="preserve">8GYH6R9J</t>
  </si>
  <si>
    <t xml:space="preserve">4AHNCJ2Y</t>
  </si>
  <si>
    <t xml:space="preserve">3NM7A8SX</t>
  </si>
  <si>
    <t xml:space="preserve">Y34MVXP3</t>
  </si>
  <si>
    <t xml:space="preserve">K0ZYCW3U</t>
  </si>
  <si>
    <t xml:space="preserve">IR2D4ZG5</t>
  </si>
  <si>
    <t xml:space="preserve">IEOMRMWW</t>
  </si>
  <si>
    <t xml:space="preserve">8IJOC37Z</t>
  </si>
  <si>
    <t xml:space="preserve">KRSNQKC6</t>
  </si>
  <si>
    <t xml:space="preserve">U8XA7JCO</t>
  </si>
  <si>
    <t xml:space="preserve">8477482V</t>
  </si>
  <si>
    <t xml:space="preserve">OJSYLHMZ</t>
  </si>
  <si>
    <t xml:space="preserve">G5FN7I7T</t>
  </si>
  <si>
    <t xml:space="preserve">X7M4GO0J</t>
  </si>
  <si>
    <t xml:space="preserve">DYUWF61W</t>
  </si>
  <si>
    <t xml:space="preserve">BVOO33UA</t>
  </si>
  <si>
    <t xml:space="preserve">K0T5LJ3E</t>
  </si>
  <si>
    <t xml:space="preserve">8VG88HMH</t>
  </si>
  <si>
    <t xml:space="preserve">VBM56CIF</t>
  </si>
  <si>
    <t xml:space="preserve">EZRICI17</t>
  </si>
  <si>
    <t xml:space="preserve">HVDQ4EEA</t>
  </si>
  <si>
    <t xml:space="preserve">V1ROZMCX</t>
  </si>
  <si>
    <t xml:space="preserve">RB7IA4JX</t>
  </si>
  <si>
    <t xml:space="preserve">T1I8GE75</t>
  </si>
  <si>
    <t xml:space="preserve">GKL9QV5B</t>
  </si>
  <si>
    <t xml:space="preserve">NDGQ0H91</t>
  </si>
  <si>
    <t xml:space="preserve">PDH2NPE1</t>
  </si>
  <si>
    <t xml:space="preserve">WCSJBX3N</t>
  </si>
  <si>
    <t xml:space="preserve">ZT6XPQR0</t>
  </si>
  <si>
    <t xml:space="preserve">C4CQ8FZL</t>
  </si>
  <si>
    <t xml:space="preserve">PNL17RE9</t>
  </si>
  <si>
    <t xml:space="preserve">YT2QLCVS</t>
  </si>
  <si>
    <t xml:space="preserve">637HKAFD</t>
  </si>
  <si>
    <t xml:space="preserve">U11XXNCF</t>
  </si>
  <si>
    <t xml:space="preserve">RZZ9K7UN</t>
  </si>
  <si>
    <t xml:space="preserve">7CC38V2J</t>
  </si>
  <si>
    <t xml:space="preserve">QSBKLWSW</t>
  </si>
  <si>
    <t xml:space="preserve">3NQBMKOK</t>
  </si>
  <si>
    <t xml:space="preserve">RUYLZD4O</t>
  </si>
  <si>
    <t xml:space="preserve">LCBVIPRA</t>
  </si>
  <si>
    <t xml:space="preserve">SJ45HNHM</t>
  </si>
  <si>
    <t xml:space="preserve">D2C191IK</t>
  </si>
  <si>
    <t xml:space="preserve">OH7VVUY0</t>
  </si>
  <si>
    <t xml:space="preserve">RH805ELL</t>
  </si>
  <si>
    <t xml:space="preserve">ASW97JK3</t>
  </si>
  <si>
    <t xml:space="preserve">FBSEA94D</t>
  </si>
  <si>
    <t xml:space="preserve">WLXPA3LB</t>
  </si>
  <si>
    <t xml:space="preserve">AKFNIQR0</t>
  </si>
  <si>
    <t xml:space="preserve">UZOTC90C</t>
  </si>
  <si>
    <t xml:space="preserve">6X4EEUGA</t>
  </si>
  <si>
    <t xml:space="preserve">JF9CTPPZ</t>
  </si>
  <si>
    <t xml:space="preserve">UB8M6I5R</t>
  </si>
  <si>
    <t xml:space="preserve">DU0DYV80</t>
  </si>
  <si>
    <t xml:space="preserve">XAE858UJ</t>
  </si>
  <si>
    <t xml:space="preserve">DF4KYH5H</t>
  </si>
  <si>
    <t xml:space="preserve">79LGX9EX</t>
  </si>
  <si>
    <t xml:space="preserve">SEX08VFB</t>
  </si>
  <si>
    <t xml:space="preserve">JHVY8I1M</t>
  </si>
  <si>
    <t xml:space="preserve">TCK6V290</t>
  </si>
  <si>
    <t xml:space="preserve">BGU0JJ9X</t>
  </si>
  <si>
    <t xml:space="preserve">7RPM84Y4</t>
  </si>
  <si>
    <t xml:space="preserve">I51MJ7PP</t>
  </si>
  <si>
    <t xml:space="preserve">3WQMBMSN</t>
  </si>
  <si>
    <t xml:space="preserve">BLY5FD3N</t>
  </si>
  <si>
    <t xml:space="preserve">AFQG21L7</t>
  </si>
  <si>
    <t xml:space="preserve">FKNT3I12</t>
  </si>
  <si>
    <t xml:space="preserve">JFHKBG40</t>
  </si>
  <si>
    <t xml:space="preserve">6BV9IARK</t>
  </si>
  <si>
    <t xml:space="preserve">P1E4KWF7</t>
  </si>
  <si>
    <t xml:space="preserve">Y9VWZ93C</t>
  </si>
  <si>
    <t xml:space="preserve">FQB53DQH</t>
  </si>
  <si>
    <t xml:space="preserve">X4ARE2PT</t>
  </si>
  <si>
    <t xml:space="preserve">WFNKJ2LT</t>
  </si>
  <si>
    <t xml:space="preserve">ON9H54WD</t>
  </si>
  <si>
    <t xml:space="preserve">7UL8T1BZ</t>
  </si>
  <si>
    <t xml:space="preserve">E5CD0W5M</t>
  </si>
  <si>
    <t xml:space="preserve">KWYKKVJC</t>
  </si>
  <si>
    <t xml:space="preserve">9KYX5G9K</t>
  </si>
  <si>
    <t xml:space="preserve">ACOJBA02</t>
  </si>
  <si>
    <t xml:space="preserve">YKC8JUSY</t>
  </si>
  <si>
    <t xml:space="preserve">BTNSR87A</t>
  </si>
  <si>
    <t xml:space="preserve">W07JMUG9</t>
  </si>
  <si>
    <t xml:space="preserve">GZ5M7MIQ</t>
  </si>
  <si>
    <t xml:space="preserve">TFQR150O</t>
  </si>
  <si>
    <t xml:space="preserve">WOJBLO4B</t>
  </si>
  <si>
    <t xml:space="preserve">6SC26SGG</t>
  </si>
  <si>
    <t xml:space="preserve">LUP7FYS5</t>
  </si>
  <si>
    <t xml:space="preserve">DQ0DSK7P</t>
  </si>
  <si>
    <t xml:space="preserve">BDGB4NS0</t>
  </si>
  <si>
    <t xml:space="preserve">YTSX7IW3</t>
  </si>
  <si>
    <t xml:space="preserve">PYIQ65W0</t>
  </si>
  <si>
    <t xml:space="preserve">VRSTX620</t>
  </si>
  <si>
    <t xml:space="preserve">RJH0CL3Z</t>
  </si>
  <si>
    <t xml:space="preserve">G1303HIC</t>
  </si>
  <si>
    <t xml:space="preserve">1SSFC7XZ</t>
  </si>
  <si>
    <t xml:space="preserve">RQJKAR7E</t>
  </si>
  <si>
    <t xml:space="preserve">9Y2HDGST</t>
  </si>
  <si>
    <t xml:space="preserve">E88W1Z0H</t>
  </si>
  <si>
    <t xml:space="preserve">18LZY55R</t>
  </si>
  <si>
    <t xml:space="preserve">KBG5R0WH</t>
  </si>
  <si>
    <t xml:space="preserve">CKT1GTY2</t>
  </si>
  <si>
    <t xml:space="preserve">UKSS5YPE</t>
  </si>
  <si>
    <t xml:space="preserve">95B6AKI1</t>
  </si>
  <si>
    <t xml:space="preserve">UFIAFP10</t>
  </si>
  <si>
    <t xml:space="preserve">B0XO4WY7</t>
  </si>
  <si>
    <t xml:space="preserve">408AHOYL</t>
  </si>
  <si>
    <t xml:space="preserve">0W6S0ODT</t>
  </si>
  <si>
    <t xml:space="preserve">8FX574BJ</t>
  </si>
  <si>
    <t xml:space="preserve">CDFKC6E0</t>
  </si>
  <si>
    <t xml:space="preserve">072ELFQF</t>
  </si>
  <si>
    <t xml:space="preserve">T2J83GFD</t>
  </si>
  <si>
    <t xml:space="preserve">EJZM1INM</t>
  </si>
  <si>
    <t xml:space="preserve">LQXWWZGN</t>
  </si>
  <si>
    <t xml:space="preserve">FCWU08BA</t>
  </si>
  <si>
    <t xml:space="preserve">L5T284M7</t>
  </si>
  <si>
    <t xml:space="preserve">RDDUG8VD</t>
  </si>
  <si>
    <t xml:space="preserve">PFHUAJ47</t>
  </si>
  <si>
    <t xml:space="preserve">LWC0UJWD</t>
  </si>
  <si>
    <t xml:space="preserve">OZL7CDMQ</t>
  </si>
  <si>
    <t xml:space="preserve">S9N98QU9</t>
  </si>
  <si>
    <t xml:space="preserve">KWVYR0LQ</t>
  </si>
  <si>
    <t xml:space="preserve">SOW7H1RP</t>
  </si>
  <si>
    <t xml:space="preserve">81DXTTI5</t>
  </si>
  <si>
    <t xml:space="preserve">07FRJ44N</t>
  </si>
  <si>
    <t xml:space="preserve">2MBFRRGW</t>
  </si>
  <si>
    <t xml:space="preserve">AUS25SFH</t>
  </si>
  <si>
    <t xml:space="preserve">YQ6VELF1</t>
  </si>
  <si>
    <t xml:space="preserve">MF4299DQ</t>
  </si>
  <si>
    <t xml:space="preserve">UQALCAIV</t>
  </si>
  <si>
    <t xml:space="preserve">Z9W748SJ</t>
  </si>
  <si>
    <t xml:space="preserve">6MQA3YYW</t>
  </si>
  <si>
    <t xml:space="preserve">8U7LNL7U</t>
  </si>
  <si>
    <t xml:space="preserve">YRYMSUE3</t>
  </si>
  <si>
    <t xml:space="preserve">DVPYKS4A</t>
  </si>
  <si>
    <t xml:space="preserve">6E2Y3HKI</t>
  </si>
  <si>
    <t xml:space="preserve">42YPT5L7</t>
  </si>
  <si>
    <t xml:space="preserve">I7QSO0VZ</t>
  </si>
  <si>
    <t xml:space="preserve">ZZCKQ2JV</t>
  </si>
  <si>
    <t xml:space="preserve">TLSSOOVB</t>
  </si>
  <si>
    <t xml:space="preserve">QPZFP9WT</t>
  </si>
  <si>
    <t xml:space="preserve">L45N3D2E</t>
  </si>
  <si>
    <t xml:space="preserve">GOSCKNUX</t>
  </si>
  <si>
    <t xml:space="preserve">YZJLPVJG</t>
  </si>
  <si>
    <t xml:space="preserve">8RE1600O</t>
  </si>
  <si>
    <t xml:space="preserve">HM4TKVET</t>
  </si>
  <si>
    <t xml:space="preserve">TFQEGZ1X</t>
  </si>
  <si>
    <t xml:space="preserve">VFZ5GB3W</t>
  </si>
  <si>
    <t xml:space="preserve">A9Q7ERA4</t>
  </si>
  <si>
    <t xml:space="preserve">Y6IIUECA</t>
  </si>
  <si>
    <t xml:space="preserve">3PD8YBPK</t>
  </si>
  <si>
    <t xml:space="preserve">PI0FYKXU</t>
  </si>
  <si>
    <t xml:space="preserve">FGES2PQ2</t>
  </si>
  <si>
    <t xml:space="preserve">HPBCTTV3</t>
  </si>
  <si>
    <t xml:space="preserve">00ZD3M4J</t>
  </si>
  <si>
    <t xml:space="preserve">5UKQ16DK</t>
  </si>
  <si>
    <t xml:space="preserve">48FB5MD2</t>
  </si>
  <si>
    <t xml:space="preserve">BN84DD6H</t>
  </si>
  <si>
    <t xml:space="preserve">PYLS9RJH</t>
  </si>
  <si>
    <t xml:space="preserve">QWYRCDA8</t>
  </si>
  <si>
    <t xml:space="preserve">CI00UV0Y</t>
  </si>
  <si>
    <t xml:space="preserve">7MK55ULJ</t>
  </si>
  <si>
    <t xml:space="preserve">Z1NWKS9A</t>
  </si>
  <si>
    <t xml:space="preserve">EUOA0E47</t>
  </si>
  <si>
    <t xml:space="preserve">H2HNTSIP</t>
  </si>
  <si>
    <t xml:space="preserve">GC3IVG7S</t>
  </si>
  <si>
    <t xml:space="preserve">0MNAGD91</t>
  </si>
  <si>
    <t xml:space="preserve">9S749GJD</t>
  </si>
  <si>
    <t xml:space="preserve">VH3C0A8F</t>
  </si>
  <si>
    <t xml:space="preserve">DZR5L7XQ</t>
  </si>
  <si>
    <t xml:space="preserve">G1XX0IB4</t>
  </si>
  <si>
    <t xml:space="preserve">LZ6PSZ4T</t>
  </si>
  <si>
    <t xml:space="preserve">YTQH4YM9</t>
  </si>
  <si>
    <t xml:space="preserve">AIN2RE2H</t>
  </si>
  <si>
    <t xml:space="preserve">MIX6JTSN</t>
  </si>
  <si>
    <t xml:space="preserve">NNKWGFDH</t>
  </si>
  <si>
    <t xml:space="preserve">3DY60YA7</t>
  </si>
  <si>
    <t xml:space="preserve">R6KPUAH7</t>
  </si>
  <si>
    <t xml:space="preserve">24OSGLGF</t>
  </si>
  <si>
    <t xml:space="preserve">XVYL67FL</t>
  </si>
  <si>
    <t xml:space="preserve">R162LSFR</t>
  </si>
  <si>
    <t xml:space="preserve">KM0RKC4Q</t>
  </si>
  <si>
    <t xml:space="preserve">ZRZI054E</t>
  </si>
  <si>
    <t xml:space="preserve">S8JALB62</t>
  </si>
  <si>
    <t xml:space="preserve">WCKKFSVL</t>
  </si>
  <si>
    <t xml:space="preserve">JAMW5SWB</t>
  </si>
  <si>
    <t xml:space="preserve">SNGS64S7</t>
  </si>
  <si>
    <t xml:space="preserve">STG85Q0N</t>
  </si>
  <si>
    <t xml:space="preserve">XAR2VX09</t>
  </si>
  <si>
    <t xml:space="preserve">CBYRECX6</t>
  </si>
  <si>
    <t xml:space="preserve">4QTD5X53</t>
  </si>
  <si>
    <t xml:space="preserve">EQS3UNXX</t>
  </si>
  <si>
    <t xml:space="preserve">88AA2RK1</t>
  </si>
  <si>
    <t xml:space="preserve">6CFONO4W</t>
  </si>
  <si>
    <t xml:space="preserve">99I4V65G</t>
  </si>
  <si>
    <t xml:space="preserve">L8CG1IQO</t>
  </si>
  <si>
    <t xml:space="preserve">2CZVRGQ4</t>
  </si>
  <si>
    <t xml:space="preserve">Q81Q0PJK</t>
  </si>
  <si>
    <t xml:space="preserve">T7RA32XV</t>
  </si>
  <si>
    <t xml:space="preserve">GID40O2B</t>
  </si>
  <si>
    <t xml:space="preserve">G087QT6R</t>
  </si>
  <si>
    <t xml:space="preserve">8RTR1VMP</t>
  </si>
  <si>
    <t xml:space="preserve">VIMY08JH</t>
  </si>
  <si>
    <t xml:space="preserve">KX80WC22</t>
  </si>
  <si>
    <t xml:space="preserve">O6LVMQ5R</t>
  </si>
  <si>
    <t xml:space="preserve">8HWWW76K</t>
  </si>
  <si>
    <t xml:space="preserve">6FUPOO3I</t>
  </si>
  <si>
    <t xml:space="preserve">LXDCC260</t>
  </si>
  <si>
    <t xml:space="preserve">4F8MNVNP</t>
  </si>
  <si>
    <t xml:space="preserve">461LIUS7</t>
  </si>
  <si>
    <t xml:space="preserve">DLQNAOWB</t>
  </si>
  <si>
    <t xml:space="preserve">0UCQUW6U</t>
  </si>
  <si>
    <t xml:space="preserve">FBQN3UM3</t>
  </si>
  <si>
    <t xml:space="preserve">GLM4XZLI</t>
  </si>
  <si>
    <t xml:space="preserve">V0V6O05H</t>
  </si>
  <si>
    <t xml:space="preserve">9MM27P8C</t>
  </si>
  <si>
    <t xml:space="preserve">ACZQMAR4</t>
  </si>
  <si>
    <t xml:space="preserve">DAW2JTP5</t>
  </si>
  <si>
    <t xml:space="preserve">STYLQ47K</t>
  </si>
  <si>
    <t xml:space="preserve">QM6GJ78P</t>
  </si>
  <si>
    <t xml:space="preserve">8M3H9UME</t>
  </si>
  <si>
    <t xml:space="preserve">JB4MECWM</t>
  </si>
  <si>
    <t xml:space="preserve">TIFPUXSQ</t>
  </si>
  <si>
    <t xml:space="preserve">8H19L55Y</t>
  </si>
  <si>
    <t xml:space="preserve">MNTHSHH6</t>
  </si>
  <si>
    <t xml:space="preserve">YSOUU0T0</t>
  </si>
  <si>
    <t xml:space="preserve">CGEXH2QO</t>
  </si>
  <si>
    <t xml:space="preserve">KTLIR2ZX</t>
  </si>
  <si>
    <t xml:space="preserve">G3DIX74Y</t>
  </si>
  <si>
    <t xml:space="preserve">CM2GVLV6</t>
  </si>
  <si>
    <t xml:space="preserve">Z005FB1N</t>
  </si>
  <si>
    <t xml:space="preserve">FHK0BBGK</t>
  </si>
  <si>
    <t xml:space="preserve">VLVP8FPJ</t>
  </si>
  <si>
    <t xml:space="preserve">FIQIRK37</t>
  </si>
  <si>
    <t xml:space="preserve">F3G00C56</t>
  </si>
  <si>
    <t xml:space="preserve">5AU1SJA7</t>
  </si>
  <si>
    <t xml:space="preserve">YC6QEUJN</t>
  </si>
  <si>
    <t xml:space="preserve">CMCVD0N8</t>
  </si>
  <si>
    <t xml:space="preserve">3GEDSDVN</t>
  </si>
  <si>
    <t xml:space="preserve">JT1UUOXN</t>
  </si>
  <si>
    <t xml:space="preserve">611J0LEK</t>
  </si>
  <si>
    <t xml:space="preserve">8Z1SIQSI</t>
  </si>
  <si>
    <t xml:space="preserve">GUJNYTXN</t>
  </si>
  <si>
    <t xml:space="preserve">CLA3RTMS</t>
  </si>
  <si>
    <t xml:space="preserve">OJWV4RT2</t>
  </si>
  <si>
    <t xml:space="preserve">00XBYXIB</t>
  </si>
  <si>
    <t xml:space="preserve">1M0THQSZ</t>
  </si>
  <si>
    <t xml:space="preserve">UIA0FO51</t>
  </si>
  <si>
    <t xml:space="preserve">PMQCN4PR</t>
  </si>
  <si>
    <t xml:space="preserve">03O9FNTZ</t>
  </si>
  <si>
    <t xml:space="preserve">VMI5QYS3</t>
  </si>
  <si>
    <t xml:space="preserve">TP0SU68U</t>
  </si>
  <si>
    <t xml:space="preserve">EHC9KQDN</t>
  </si>
  <si>
    <t xml:space="preserve">JFIBKWMQ</t>
  </si>
  <si>
    <t xml:space="preserve">O83AR1CC</t>
  </si>
  <si>
    <t xml:space="preserve">5COSD90U</t>
  </si>
  <si>
    <t xml:space="preserve">0VZIDVCC</t>
  </si>
  <si>
    <t xml:space="preserve">K5D2IP27</t>
  </si>
  <si>
    <t xml:space="preserve">4HP16LRH</t>
  </si>
  <si>
    <t xml:space="preserve">H6AN87LE</t>
  </si>
  <si>
    <t xml:space="preserve">SNY2UWJ2</t>
  </si>
  <si>
    <t xml:space="preserve">1PAPS9QO</t>
  </si>
  <si>
    <t xml:space="preserve">QU7MSL36</t>
  </si>
  <si>
    <t xml:space="preserve">9824T94P</t>
  </si>
  <si>
    <t xml:space="preserve">H4U50AEW</t>
  </si>
  <si>
    <t xml:space="preserve">019I751P</t>
  </si>
  <si>
    <t xml:space="preserve">LUIEQRMQ</t>
  </si>
  <si>
    <t xml:space="preserve">SGI5I4X1</t>
  </si>
  <si>
    <t xml:space="preserve">MJ12SZ89</t>
  </si>
  <si>
    <t xml:space="preserve">66Q03Q2P</t>
  </si>
  <si>
    <t xml:space="preserve">8IYVJKT4</t>
  </si>
  <si>
    <t xml:space="preserve">29ZDUK49</t>
  </si>
  <si>
    <t xml:space="preserve">SFIMNCPZ</t>
  </si>
  <si>
    <t xml:space="preserve">313EIVW4</t>
  </si>
  <si>
    <t xml:space="preserve">GITEQ8VZ</t>
  </si>
  <si>
    <t xml:space="preserve">0YPN92QB</t>
  </si>
  <si>
    <t xml:space="preserve">Q7RV0YW6</t>
  </si>
  <si>
    <t xml:space="preserve">P6KXSJPD</t>
  </si>
  <si>
    <t xml:space="preserve">S81YI4QH</t>
  </si>
  <si>
    <t xml:space="preserve">QXT65QTI</t>
  </si>
  <si>
    <t xml:space="preserve">RLDIPPFT</t>
  </si>
  <si>
    <t xml:space="preserve">YY3ACGA2</t>
  </si>
  <si>
    <t xml:space="preserve">XTAPYDDI</t>
  </si>
  <si>
    <t xml:space="preserve">G3TZD0CB</t>
  </si>
  <si>
    <t xml:space="preserve">CJ05Q2G5</t>
  </si>
  <si>
    <t xml:space="preserve">RY8Z6RH2</t>
  </si>
  <si>
    <t xml:space="preserve">QAB3H9H5</t>
  </si>
  <si>
    <t xml:space="preserve">9CQ6TMET</t>
  </si>
  <si>
    <t xml:space="preserve">8PU9FIQS</t>
  </si>
  <si>
    <t xml:space="preserve">NKERC6IA</t>
  </si>
  <si>
    <t xml:space="preserve">0XK80WX8</t>
  </si>
  <si>
    <t xml:space="preserve">QE6A49LE</t>
  </si>
  <si>
    <t xml:space="preserve">FN50OJHN</t>
  </si>
  <si>
    <t xml:space="preserve">7T9J42UX</t>
  </si>
  <si>
    <t xml:space="preserve">X7J3O7TC</t>
  </si>
  <si>
    <t xml:space="preserve">2IQ0ZY9W</t>
  </si>
  <si>
    <t xml:space="preserve">B8TD9HCN</t>
  </si>
  <si>
    <t xml:space="preserve">ZPKCSV3R</t>
  </si>
  <si>
    <t xml:space="preserve">2J649YC5</t>
  </si>
  <si>
    <t xml:space="preserve">THI3LNT0</t>
  </si>
  <si>
    <t xml:space="preserve">LYAFXO9B</t>
  </si>
  <si>
    <t xml:space="preserve">TKKSOBRC</t>
  </si>
  <si>
    <t xml:space="preserve">DOVNGYN4</t>
  </si>
  <si>
    <t xml:space="preserve">KCIFANLK</t>
  </si>
  <si>
    <t xml:space="preserve">SBILEY2W</t>
  </si>
  <si>
    <t xml:space="preserve">NGMC9NSG</t>
  </si>
  <si>
    <t xml:space="preserve">Z9DK5289</t>
  </si>
  <si>
    <t xml:space="preserve">AHIDE6VS</t>
  </si>
  <si>
    <t xml:space="preserve">152DN1FE</t>
  </si>
  <si>
    <t xml:space="preserve">1JB82QZ0</t>
  </si>
  <si>
    <t xml:space="preserve">N54HHLC4</t>
  </si>
  <si>
    <t xml:space="preserve">GNT6EM5M</t>
  </si>
  <si>
    <t xml:space="preserve">4UTOXXV4</t>
  </si>
  <si>
    <t xml:space="preserve">UEXJN3Y6</t>
  </si>
  <si>
    <t xml:space="preserve">IIVNXACR</t>
  </si>
  <si>
    <t xml:space="preserve">VLPSQ076</t>
  </si>
  <si>
    <t xml:space="preserve">ADRU5BLP</t>
  </si>
  <si>
    <t xml:space="preserve">MWAW08I7</t>
  </si>
  <si>
    <t xml:space="preserve">W0LFL18P</t>
  </si>
  <si>
    <t xml:space="preserve">X2EH33CU</t>
  </si>
  <si>
    <t xml:space="preserve">KMLW6GXY</t>
  </si>
  <si>
    <t xml:space="preserve">Q82O5QTN</t>
  </si>
  <si>
    <t xml:space="preserve">TJTOVN5K</t>
  </si>
  <si>
    <t xml:space="preserve">4PTCB3CS</t>
  </si>
  <si>
    <t xml:space="preserve">U3GCADFV</t>
  </si>
  <si>
    <t xml:space="preserve">28EVFB8G</t>
  </si>
  <si>
    <t xml:space="preserve">02SSRMSA</t>
  </si>
  <si>
    <t xml:space="preserve">E6D2DBXF</t>
  </si>
  <si>
    <t xml:space="preserve">0PH153YF</t>
  </si>
  <si>
    <t xml:space="preserve">Y1GEH2EG</t>
  </si>
  <si>
    <t xml:space="preserve">9FH2VYQQ</t>
  </si>
  <si>
    <t xml:space="preserve">1IG94UUQ</t>
  </si>
  <si>
    <t xml:space="preserve">MON3JWUF</t>
  </si>
  <si>
    <t xml:space="preserve">PPDU7OWD</t>
  </si>
  <si>
    <t xml:space="preserve">NNAYAA7T</t>
  </si>
  <si>
    <t xml:space="preserve">IDA8D96H</t>
  </si>
  <si>
    <t xml:space="preserve">4R0TB2CL</t>
  </si>
  <si>
    <t xml:space="preserve">5H9ELV2H</t>
  </si>
  <si>
    <t xml:space="preserve">OHJGW03I</t>
  </si>
  <si>
    <t xml:space="preserve">9ZPY98PB</t>
  </si>
  <si>
    <t xml:space="preserve">1F8MPXZQ</t>
  </si>
  <si>
    <t xml:space="preserve">VV5LDD24</t>
  </si>
  <si>
    <t xml:space="preserve">AW1U6QKR</t>
  </si>
  <si>
    <t xml:space="preserve">SQWCQRGY</t>
  </si>
  <si>
    <t xml:space="preserve">DJXM9LIW</t>
  </si>
  <si>
    <t xml:space="preserve">IG734VZK</t>
  </si>
  <si>
    <t xml:space="preserve">593L4BNI</t>
  </si>
  <si>
    <t xml:space="preserve">VSWHUBD0</t>
  </si>
  <si>
    <t xml:space="preserve">VFO5EK6R</t>
  </si>
  <si>
    <t xml:space="preserve">VIHXI2JA</t>
  </si>
  <si>
    <t xml:space="preserve">KDDN1E4O</t>
  </si>
  <si>
    <t xml:space="preserve">FVCL72VU</t>
  </si>
  <si>
    <t xml:space="preserve">2HPCHBIL</t>
  </si>
  <si>
    <t xml:space="preserve">SIONXEMH</t>
  </si>
  <si>
    <t xml:space="preserve">WAFSPTW6</t>
  </si>
  <si>
    <t xml:space="preserve">937CNF5D</t>
  </si>
  <si>
    <t xml:space="preserve">EQ399D3M</t>
  </si>
  <si>
    <t xml:space="preserve">R9V8QAPK</t>
  </si>
  <si>
    <t xml:space="preserve">N9KFOKLS</t>
  </si>
  <si>
    <t xml:space="preserve">R0ZYAJFM</t>
  </si>
  <si>
    <t xml:space="preserve">CPQ348W9</t>
  </si>
  <si>
    <t xml:space="preserve">TJYNW3C7</t>
  </si>
  <si>
    <t xml:space="preserve">ASN7OCWQ</t>
  </si>
  <si>
    <t xml:space="preserve">D1XYQH35</t>
  </si>
  <si>
    <t xml:space="preserve">3KVS08NL</t>
  </si>
  <si>
    <t xml:space="preserve">KD27RNU9</t>
  </si>
  <si>
    <t xml:space="preserve">S9DVJGUO</t>
  </si>
  <si>
    <t xml:space="preserve">U07VUUGP</t>
  </si>
  <si>
    <t xml:space="preserve">P93UCMW8</t>
  </si>
  <si>
    <t xml:space="preserve">DDD515FB</t>
  </si>
  <si>
    <t xml:space="preserve">GHDAXC7T</t>
  </si>
  <si>
    <t xml:space="preserve">DPAEMTHC</t>
  </si>
  <si>
    <t xml:space="preserve">BABQISCH</t>
  </si>
  <si>
    <t xml:space="preserve">83EZC8YK</t>
  </si>
  <si>
    <t xml:space="preserve">E62A05BH</t>
  </si>
  <si>
    <t xml:space="preserve">HPU7RQG6</t>
  </si>
  <si>
    <t xml:space="preserve">TFS537LA</t>
  </si>
  <si>
    <t xml:space="preserve">MCQGU5EA</t>
  </si>
  <si>
    <t xml:space="preserve">PDIYRBQJ</t>
  </si>
  <si>
    <t xml:space="preserve">SJ62BMK5</t>
  </si>
  <si>
    <t xml:space="preserve">WP6SUIMC</t>
  </si>
  <si>
    <t xml:space="preserve">7O2ISWVB</t>
  </si>
  <si>
    <t xml:space="preserve">R8X2RVQ2</t>
  </si>
  <si>
    <t xml:space="preserve">5FYPINRL</t>
  </si>
  <si>
    <t xml:space="preserve">1Z72JRDI</t>
  </si>
  <si>
    <t xml:space="preserve">Q9JV7YXX</t>
  </si>
  <si>
    <t xml:space="preserve">SFMKU2FV</t>
  </si>
  <si>
    <t xml:space="preserve">CC3B5DSU</t>
  </si>
  <si>
    <t xml:space="preserve">A0IS9TWV</t>
  </si>
  <si>
    <t xml:space="preserve">7GLF1GBJ</t>
  </si>
  <si>
    <t xml:space="preserve">2X86737Q</t>
  </si>
  <si>
    <t xml:space="preserve">J03H7OQF</t>
  </si>
  <si>
    <t xml:space="preserve">F4EHCQIC</t>
  </si>
  <si>
    <t xml:space="preserve">3JJ7YI88</t>
  </si>
  <si>
    <t xml:space="preserve">YYRYSVOO</t>
  </si>
  <si>
    <t xml:space="preserve">COGZW25D</t>
  </si>
  <si>
    <t xml:space="preserve">57NT8T8S</t>
  </si>
  <si>
    <t xml:space="preserve">1U945R0D</t>
  </si>
  <si>
    <t xml:space="preserve">C75RV9DY</t>
  </si>
  <si>
    <t xml:space="preserve">T46KPPNB</t>
  </si>
  <si>
    <t xml:space="preserve">7JBR36G8</t>
  </si>
  <si>
    <t xml:space="preserve">M7Y1LHHA</t>
  </si>
  <si>
    <t xml:space="preserve">WL4TLMUC</t>
  </si>
  <si>
    <t xml:space="preserve">AKMDEG3I</t>
  </si>
  <si>
    <t xml:space="preserve">XTBADYHW</t>
  </si>
  <si>
    <t xml:space="preserve">6178B4JM</t>
  </si>
  <si>
    <t xml:space="preserve">HXMJ5048</t>
  </si>
  <si>
    <t xml:space="preserve">185PGG0J</t>
  </si>
  <si>
    <t xml:space="preserve">3NJHQZT6</t>
  </si>
  <si>
    <t xml:space="preserve">JMTKEPXF</t>
  </si>
  <si>
    <t xml:space="preserve">TPP1IGKV</t>
  </si>
  <si>
    <t xml:space="preserve">GVCWDG9Y</t>
  </si>
  <si>
    <t xml:space="preserve">58TUIJ6D</t>
  </si>
  <si>
    <t xml:space="preserve">PHXX81YF</t>
  </si>
  <si>
    <t xml:space="preserve">5NXD4U83</t>
  </si>
  <si>
    <t xml:space="preserve">8IGYTN3H</t>
  </si>
  <si>
    <t xml:space="preserve">JYEQFGS5</t>
  </si>
  <si>
    <t xml:space="preserve">QKOAWRXD</t>
  </si>
  <si>
    <t xml:space="preserve">LNT5B9XY</t>
  </si>
  <si>
    <t xml:space="preserve">LN9NU0A8</t>
  </si>
  <si>
    <t xml:space="preserve">CBIFB5BB</t>
  </si>
  <si>
    <t xml:space="preserve">YST07PM6</t>
  </si>
  <si>
    <t xml:space="preserve">JHNXPUNX</t>
  </si>
  <si>
    <t xml:space="preserve">GS2CLR52</t>
  </si>
  <si>
    <t xml:space="preserve">WB1CQNJU</t>
  </si>
  <si>
    <t xml:space="preserve">045D5MZO</t>
  </si>
  <si>
    <t xml:space="preserve">DFG6OP8T</t>
  </si>
  <si>
    <t xml:space="preserve">CQW6TYOX</t>
  </si>
  <si>
    <t xml:space="preserve">0QV1LRME</t>
  </si>
  <si>
    <t xml:space="preserve">RVRBCZAI</t>
  </si>
  <si>
    <t xml:space="preserve">KHWG1W75</t>
  </si>
  <si>
    <t xml:space="preserve">2897DN4S</t>
  </si>
  <si>
    <t xml:space="preserve">OWBGBQ4G</t>
  </si>
  <si>
    <t xml:space="preserve">32K5LEDV</t>
  </si>
  <si>
    <t xml:space="preserve">GC1TSADL</t>
  </si>
  <si>
    <t xml:space="preserve">OUMM04QV</t>
  </si>
  <si>
    <t xml:space="preserve">IYKSBD0U</t>
  </si>
  <si>
    <t xml:space="preserve">FEWIDJGH</t>
  </si>
  <si>
    <t xml:space="preserve">VBN56JMP</t>
  </si>
  <si>
    <t xml:space="preserve">SEC6K7X2</t>
  </si>
  <si>
    <t xml:space="preserve">FQXZBTEG</t>
  </si>
  <si>
    <t xml:space="preserve">NDLX894H</t>
  </si>
  <si>
    <t xml:space="preserve">9B9VDAFU</t>
  </si>
  <si>
    <t xml:space="preserve">OP2DIRC2</t>
  </si>
  <si>
    <t xml:space="preserve">BV4JZ4G8</t>
  </si>
  <si>
    <t xml:space="preserve">100W6J9A</t>
  </si>
  <si>
    <t xml:space="preserve">1N3G9WG2</t>
  </si>
  <si>
    <t xml:space="preserve">6XLFG3VK</t>
  </si>
  <si>
    <t xml:space="preserve">RSP75BOI</t>
  </si>
  <si>
    <t xml:space="preserve">CYOJ4G39</t>
  </si>
  <si>
    <t xml:space="preserve">DKUVKTIT</t>
  </si>
  <si>
    <t xml:space="preserve">BOG3D6D7</t>
  </si>
  <si>
    <t xml:space="preserve">O3K5RKMI</t>
  </si>
  <si>
    <t xml:space="preserve">1D5AYQO6</t>
  </si>
  <si>
    <t xml:space="preserve">0FGWN6O0</t>
  </si>
  <si>
    <t xml:space="preserve">L9F6QP4P</t>
  </si>
  <si>
    <t xml:space="preserve">0CTHPQGT</t>
  </si>
  <si>
    <t xml:space="preserve">TZQWGMG7</t>
  </si>
  <si>
    <t xml:space="preserve">M93A8LTF</t>
  </si>
  <si>
    <t xml:space="preserve">P6BJ24ZP</t>
  </si>
  <si>
    <t xml:space="preserve">Z3TX2K6F</t>
  </si>
  <si>
    <t xml:space="preserve">VBRZZAP8</t>
  </si>
  <si>
    <t xml:space="preserve">V9WVYEE9</t>
  </si>
  <si>
    <t xml:space="preserve">QUAD5082</t>
  </si>
  <si>
    <t xml:space="preserve">KLPVD6LR</t>
  </si>
  <si>
    <t xml:space="preserve">GFMLCHB0</t>
  </si>
  <si>
    <t xml:space="preserve">Y5FM7TJT</t>
  </si>
  <si>
    <t xml:space="preserve">8M6TB2ZX</t>
  </si>
  <si>
    <t xml:space="preserve">TT5QRQTF</t>
  </si>
  <si>
    <t xml:space="preserve">I776MNA8</t>
  </si>
  <si>
    <t xml:space="preserve">UB2UAI38</t>
  </si>
  <si>
    <t xml:space="preserve">BJWS06GX</t>
  </si>
  <si>
    <t xml:space="preserve">8CV5MZWW</t>
  </si>
  <si>
    <t xml:space="preserve">SV3T5L5N</t>
  </si>
  <si>
    <t xml:space="preserve">3PZ6Y6AJ</t>
  </si>
  <si>
    <t xml:space="preserve">3S73ZUQH</t>
  </si>
  <si>
    <t xml:space="preserve">WC7KCJ2N</t>
  </si>
  <si>
    <t xml:space="preserve">2HVDAY4L</t>
  </si>
  <si>
    <t xml:space="preserve">LIYJSU0E</t>
  </si>
  <si>
    <t xml:space="preserve">WHZEK68G</t>
  </si>
  <si>
    <t xml:space="preserve">NCJJBWU3</t>
  </si>
  <si>
    <t xml:space="preserve">P89VI9EN</t>
  </si>
  <si>
    <t xml:space="preserve">EBVL81O5</t>
  </si>
  <si>
    <t xml:space="preserve">7B3DXNZL</t>
  </si>
  <si>
    <t xml:space="preserve">4SFRUL8J</t>
  </si>
  <si>
    <t xml:space="preserve">908W84Y6</t>
  </si>
  <si>
    <t xml:space="preserve">8BBXNESQ</t>
  </si>
  <si>
    <t xml:space="preserve">GN16L9RW</t>
  </si>
  <si>
    <t xml:space="preserve">1IL51ZIW</t>
  </si>
  <si>
    <t xml:space="preserve">FQQ2JJZ1</t>
  </si>
  <si>
    <t xml:space="preserve">S7T5AHQH</t>
  </si>
  <si>
    <t xml:space="preserve">BG156UAV</t>
  </si>
  <si>
    <t xml:space="preserve">EUQCW0ZA</t>
  </si>
  <si>
    <t xml:space="preserve">CM33NN0P</t>
  </si>
  <si>
    <t xml:space="preserve">5GBVA3ZZ</t>
  </si>
  <si>
    <t xml:space="preserve">U1SBKB0U</t>
  </si>
  <si>
    <t xml:space="preserve">30KP0JMN</t>
  </si>
  <si>
    <t xml:space="preserve">ZOX0FW5W</t>
  </si>
  <si>
    <t xml:space="preserve">B00OD1IF</t>
  </si>
  <si>
    <t xml:space="preserve">DZAFN4I1</t>
  </si>
  <si>
    <t xml:space="preserve">12HRYJQH</t>
  </si>
  <si>
    <t xml:space="preserve">6U7RD3TG</t>
  </si>
  <si>
    <t xml:space="preserve">3Z5NBGAT</t>
  </si>
  <si>
    <t xml:space="preserve">TZRNKT72</t>
  </si>
  <si>
    <t xml:space="preserve">PTFOEUO4</t>
  </si>
  <si>
    <t xml:space="preserve">T51ULXCZ</t>
  </si>
  <si>
    <t xml:space="preserve">MHMD41XY</t>
  </si>
  <si>
    <t xml:space="preserve">ZCCBTBIQ</t>
  </si>
  <si>
    <t xml:space="preserve">B7WWPCO6</t>
  </si>
  <si>
    <t xml:space="preserve">FCBBJJIJ</t>
  </si>
  <si>
    <t xml:space="preserve">HUNM56HY</t>
  </si>
  <si>
    <t xml:space="preserve">XW1ONOVO</t>
  </si>
  <si>
    <t xml:space="preserve">RZ8HI1Y5</t>
  </si>
  <si>
    <t xml:space="preserve">OGO6SNTQ</t>
  </si>
  <si>
    <t xml:space="preserve">IC4J0BIZ</t>
  </si>
  <si>
    <t xml:space="preserve">P3XN6SXX</t>
  </si>
  <si>
    <t xml:space="preserve">AH58AQ3B</t>
  </si>
  <si>
    <t xml:space="preserve">72UVDOKU</t>
  </si>
  <si>
    <t xml:space="preserve">AX7WS66G</t>
  </si>
  <si>
    <t xml:space="preserve">P3QQIMTA</t>
  </si>
  <si>
    <t xml:space="preserve">P7AX4B3N</t>
  </si>
  <si>
    <t xml:space="preserve">NK1TQTYO</t>
  </si>
  <si>
    <t xml:space="preserve">06KTPHYC</t>
  </si>
  <si>
    <t xml:space="preserve">FX4D649Y</t>
  </si>
  <si>
    <t xml:space="preserve">ME2X1TEG</t>
  </si>
  <si>
    <t xml:space="preserve">EYTBRK2B</t>
  </si>
  <si>
    <t xml:space="preserve">CAXTE48L</t>
  </si>
  <si>
    <t xml:space="preserve">Z9KNL9A1</t>
  </si>
  <si>
    <t xml:space="preserve">T0VHKKCN</t>
  </si>
  <si>
    <t xml:space="preserve">YFNRXR7X</t>
  </si>
  <si>
    <t xml:space="preserve">N7MDRJ01</t>
  </si>
  <si>
    <t xml:space="preserve">UDFMSH1S</t>
  </si>
  <si>
    <t xml:space="preserve">ZDRRL61D</t>
  </si>
  <si>
    <t xml:space="preserve">YNYZNOWR</t>
  </si>
  <si>
    <t xml:space="preserve">4PDYHVX1</t>
  </si>
  <si>
    <t xml:space="preserve">0KVZKA5T</t>
  </si>
  <si>
    <t xml:space="preserve">HT8UEA0H</t>
  </si>
  <si>
    <t xml:space="preserve">OQYDQCTM</t>
  </si>
  <si>
    <t xml:space="preserve">KULR6FMD</t>
  </si>
  <si>
    <t xml:space="preserve">6T64JWH9</t>
  </si>
  <si>
    <t xml:space="preserve">292W4P09</t>
  </si>
  <si>
    <t xml:space="preserve">IT2UBEW4</t>
  </si>
  <si>
    <t xml:space="preserve">YCA44Q4U</t>
  </si>
  <si>
    <t xml:space="preserve">JX08Z5L5</t>
  </si>
  <si>
    <t xml:space="preserve">2EYTB3PX</t>
  </si>
  <si>
    <t xml:space="preserve">2CRE26AC</t>
  </si>
  <si>
    <t xml:space="preserve">SEF4LOIS</t>
  </si>
  <si>
    <t xml:space="preserve">CLIIR1T0</t>
  </si>
  <si>
    <t xml:space="preserve">BP45IP77</t>
  </si>
  <si>
    <t xml:space="preserve">CA3BRUJO</t>
  </si>
  <si>
    <t xml:space="preserve">U5K1Y35J</t>
  </si>
  <si>
    <t xml:space="preserve">6GKGGY0U</t>
  </si>
  <si>
    <t xml:space="preserve">Z8HW4Z9W</t>
  </si>
  <si>
    <t xml:space="preserve">S46ZLF3G</t>
  </si>
  <si>
    <t xml:space="preserve">YVGDC8L2</t>
  </si>
  <si>
    <t xml:space="preserve">FEDXQCKJ</t>
  </si>
  <si>
    <t xml:space="preserve">I6ZC5V1K</t>
  </si>
  <si>
    <t xml:space="preserve">3L965RUK</t>
  </si>
  <si>
    <t xml:space="preserve">516C0X9F</t>
  </si>
  <si>
    <t xml:space="preserve">7IKDD9UG</t>
  </si>
  <si>
    <t xml:space="preserve">ZNZCBGN7</t>
  </si>
  <si>
    <t xml:space="preserve">AEMGFUYH</t>
  </si>
  <si>
    <t xml:space="preserve">QQ5LW9HV</t>
  </si>
  <si>
    <t xml:space="preserve">G8XGVIG2</t>
  </si>
  <si>
    <t xml:space="preserve">OB8UCQ17</t>
  </si>
  <si>
    <t xml:space="preserve">2T3QDLXY</t>
  </si>
  <si>
    <t xml:space="preserve">XV03TJV1</t>
  </si>
  <si>
    <t xml:space="preserve">CEOMZE9H</t>
  </si>
  <si>
    <t xml:space="preserve">FQ5A489H</t>
  </si>
  <si>
    <t xml:space="preserve">9UO306XU</t>
  </si>
  <si>
    <t xml:space="preserve">GHB3UIDV</t>
  </si>
  <si>
    <t xml:space="preserve">1Q3JQFAU</t>
  </si>
  <si>
    <t xml:space="preserve">IYDR200I</t>
  </si>
  <si>
    <t xml:space="preserve">V2JOV5MF</t>
  </si>
  <si>
    <t xml:space="preserve">MA9SBSLE</t>
  </si>
  <si>
    <t xml:space="preserve">DNIX6FCG</t>
  </si>
  <si>
    <t xml:space="preserve">DLVEVD9O</t>
  </si>
  <si>
    <t xml:space="preserve">HCR2GJ3O</t>
  </si>
  <si>
    <t xml:space="preserve">69V1WQLK</t>
  </si>
  <si>
    <t xml:space="preserve">6GLF0PU0</t>
  </si>
  <si>
    <t xml:space="preserve">ZCAEQT06</t>
  </si>
  <si>
    <t xml:space="preserve">F7R8ICT8</t>
  </si>
  <si>
    <t xml:space="preserve">LJ5FQGLZ</t>
  </si>
  <si>
    <t xml:space="preserve">SHKTBB71</t>
  </si>
  <si>
    <t xml:space="preserve">IVANA47K</t>
  </si>
  <si>
    <t xml:space="preserve">E7RTG575</t>
  </si>
  <si>
    <t xml:space="preserve">4SJGBWQL</t>
  </si>
  <si>
    <t xml:space="preserve">944H7LRC</t>
  </si>
  <si>
    <t xml:space="preserve">6TOOTFQV</t>
  </si>
  <si>
    <t xml:space="preserve">4P12PLQA</t>
  </si>
  <si>
    <t xml:space="preserve">BY1TB6D2</t>
  </si>
  <si>
    <t xml:space="preserve">S7PY8R2V</t>
  </si>
  <si>
    <t xml:space="preserve">EYWL3H5G</t>
  </si>
  <si>
    <t xml:space="preserve">LPR6G7AE</t>
  </si>
  <si>
    <t xml:space="preserve">HDWQM6JT</t>
  </si>
  <si>
    <t xml:space="preserve">KO7UWLAU</t>
  </si>
  <si>
    <t xml:space="preserve">0MKW8IPC</t>
  </si>
  <si>
    <t xml:space="preserve">BR18O9U1</t>
  </si>
  <si>
    <t xml:space="preserve">DAJBIHBZ</t>
  </si>
  <si>
    <t xml:space="preserve">4U3OSLNM</t>
  </si>
  <si>
    <t xml:space="preserve">CWBHL1S7</t>
  </si>
  <si>
    <t xml:space="preserve">4ID56TXX</t>
  </si>
  <si>
    <t xml:space="preserve">9UTOQBAH</t>
  </si>
  <si>
    <t xml:space="preserve">SEDTNUD7</t>
  </si>
  <si>
    <t xml:space="preserve">F7ZPP0C4</t>
  </si>
  <si>
    <t xml:space="preserve">DOPOI0R5</t>
  </si>
  <si>
    <t xml:space="preserve">1QGOH13Z</t>
  </si>
  <si>
    <t xml:space="preserve">G0L0B1QC</t>
  </si>
  <si>
    <t xml:space="preserve">CKDPWHTZ</t>
  </si>
  <si>
    <t xml:space="preserve">3V7Q3G52</t>
  </si>
  <si>
    <t xml:space="preserve">5OAWTEIU</t>
  </si>
  <si>
    <t xml:space="preserve">0T9EBKZL</t>
  </si>
  <si>
    <t xml:space="preserve">GUJCRHYU</t>
  </si>
  <si>
    <t xml:space="preserve">PLW3NMLJ</t>
  </si>
  <si>
    <t xml:space="preserve">M1VNX1D7</t>
  </si>
  <si>
    <t xml:space="preserve">2QHB4SYK</t>
  </si>
  <si>
    <t xml:space="preserve">1DIL2X16</t>
  </si>
  <si>
    <t xml:space="preserve">ECBFFQL0</t>
  </si>
  <si>
    <t xml:space="preserve">F0OWRRLN</t>
  </si>
  <si>
    <t xml:space="preserve">W01768VM</t>
  </si>
  <si>
    <t xml:space="preserve">TX88GTDE</t>
  </si>
  <si>
    <t xml:space="preserve">ZUSDWKSM</t>
  </si>
  <si>
    <t xml:space="preserve">VG17J29L</t>
  </si>
  <si>
    <t xml:space="preserve">9T954T67</t>
  </si>
  <si>
    <t xml:space="preserve">CEOEM2MY</t>
  </si>
  <si>
    <t xml:space="preserve">I5FVCO24</t>
  </si>
  <si>
    <t xml:space="preserve">ALMZ6ZUI</t>
  </si>
  <si>
    <t xml:space="preserve">676KO0LG</t>
  </si>
  <si>
    <t xml:space="preserve">WTG4IAG0</t>
  </si>
  <si>
    <t xml:space="preserve">8UCQBI6J</t>
  </si>
  <si>
    <t xml:space="preserve">564Y2IOV</t>
  </si>
  <si>
    <t xml:space="preserve">0WJLKMUA</t>
  </si>
  <si>
    <t xml:space="preserve">22WVAXR2</t>
  </si>
  <si>
    <t xml:space="preserve">GAE0E4RI</t>
  </si>
  <si>
    <t xml:space="preserve">LJ59Y2TK</t>
  </si>
  <si>
    <t xml:space="preserve">IF8PILJR</t>
  </si>
  <si>
    <t xml:space="preserve">HWY9HTK2</t>
  </si>
  <si>
    <t xml:space="preserve">SCR1IKLQ</t>
  </si>
  <si>
    <t xml:space="preserve">GVRA1VJJ</t>
  </si>
  <si>
    <t xml:space="preserve">RZYCBSQN</t>
  </si>
  <si>
    <t xml:space="preserve">TGTJ0NBT</t>
  </si>
  <si>
    <t xml:space="preserve">7Y10BR02</t>
  </si>
  <si>
    <t xml:space="preserve">10ICDVM2</t>
  </si>
  <si>
    <t xml:space="preserve">T0SO96YG</t>
  </si>
  <si>
    <t xml:space="preserve">9BFHDZOK</t>
  </si>
  <si>
    <t xml:space="preserve">P5B6BZWO</t>
  </si>
  <si>
    <t xml:space="preserve">38CPLDAR</t>
  </si>
  <si>
    <t xml:space="preserve">H5E0GSHQ</t>
  </si>
  <si>
    <t xml:space="preserve">B4UIGJRX</t>
  </si>
  <si>
    <t xml:space="preserve">F56MSU4B</t>
  </si>
  <si>
    <t xml:space="preserve">IS8Z2CQA</t>
  </si>
  <si>
    <t xml:space="preserve">6KOHYTT4</t>
  </si>
  <si>
    <t xml:space="preserve">PAUXUGK3</t>
  </si>
  <si>
    <t xml:space="preserve">1WA46LC9</t>
  </si>
  <si>
    <t xml:space="preserve">WWOCI25Z</t>
  </si>
  <si>
    <t xml:space="preserve">4IC989F8</t>
  </si>
  <si>
    <t xml:space="preserve">5ZA8MURX</t>
  </si>
  <si>
    <t xml:space="preserve">H5RRJOD9</t>
  </si>
  <si>
    <t xml:space="preserve">88CM27UB</t>
  </si>
  <si>
    <t xml:space="preserve">GP4JNSJY</t>
  </si>
  <si>
    <t xml:space="preserve">XP7YG96H</t>
  </si>
  <si>
    <t xml:space="preserve">DOVFYIIO</t>
  </si>
  <si>
    <t xml:space="preserve">G11DEJSL</t>
  </si>
  <si>
    <t xml:space="preserve">75WYC9TY</t>
  </si>
  <si>
    <t xml:space="preserve">N0UCNVKJ</t>
  </si>
  <si>
    <t xml:space="preserve">2IKGOPW1</t>
  </si>
  <si>
    <t xml:space="preserve">983QHALZ</t>
  </si>
  <si>
    <t xml:space="preserve">5BT0Y4MB</t>
  </si>
  <si>
    <t xml:space="preserve">II0SKLFO</t>
  </si>
  <si>
    <t xml:space="preserve">MG0LTCCE</t>
  </si>
  <si>
    <t xml:space="preserve">5EFR0VAZ</t>
  </si>
  <si>
    <t xml:space="preserve">48CVYAIE</t>
  </si>
  <si>
    <t xml:space="preserve">YRWX35AS</t>
  </si>
  <si>
    <t xml:space="preserve">EM3NYEYC</t>
  </si>
  <si>
    <t xml:space="preserve">YT5I3AUS</t>
  </si>
  <si>
    <t xml:space="preserve">R7JSQI5U</t>
  </si>
  <si>
    <t xml:space="preserve">ULY6LFT1</t>
  </si>
  <si>
    <t xml:space="preserve">BC53PQMQ</t>
  </si>
  <si>
    <t xml:space="preserve">AHUTOSMS</t>
  </si>
  <si>
    <t xml:space="preserve">4DKUZ8JE</t>
  </si>
  <si>
    <t xml:space="preserve">6EXXL6M4</t>
  </si>
  <si>
    <t xml:space="preserve">XQQ3JS90</t>
  </si>
  <si>
    <t xml:space="preserve">X19CKKZ1</t>
  </si>
  <si>
    <t xml:space="preserve">30OFYJUN</t>
  </si>
  <si>
    <t xml:space="preserve">L3V8UK9H</t>
  </si>
  <si>
    <t xml:space="preserve">3J1LNCA4</t>
  </si>
  <si>
    <t xml:space="preserve">RNCYPVJO</t>
  </si>
  <si>
    <t xml:space="preserve">NE0XCH5E</t>
  </si>
  <si>
    <t xml:space="preserve">VZ1ETER5</t>
  </si>
  <si>
    <t xml:space="preserve">8U9DLK26</t>
  </si>
  <si>
    <t xml:space="preserve">4IVW7F68</t>
  </si>
  <si>
    <t xml:space="preserve">96A1GDXO</t>
  </si>
  <si>
    <t xml:space="preserve">N2KXGJO3</t>
  </si>
  <si>
    <t xml:space="preserve">7Z3Q8UYS</t>
  </si>
  <si>
    <t xml:space="preserve">7QIU2BCK</t>
  </si>
  <si>
    <t xml:space="preserve">M16WB7N8</t>
  </si>
  <si>
    <t xml:space="preserve">F9V6EWDG</t>
  </si>
  <si>
    <t xml:space="preserve">84D18IA1</t>
  </si>
  <si>
    <t xml:space="preserve">KMJMLQ4P</t>
  </si>
  <si>
    <t xml:space="preserve">J6T6BTJI</t>
  </si>
  <si>
    <t xml:space="preserve">KOFE244J</t>
  </si>
  <si>
    <t xml:space="preserve">U3M8XTMY</t>
  </si>
  <si>
    <t xml:space="preserve">JND57DH5</t>
  </si>
  <si>
    <t xml:space="preserve">2AMVTZLM</t>
  </si>
  <si>
    <t xml:space="preserve">79IN4OVP</t>
  </si>
  <si>
    <t xml:space="preserve">P9VFKNR0</t>
  </si>
  <si>
    <t xml:space="preserve">Y5HR9J3G</t>
  </si>
  <si>
    <t xml:space="preserve">PEPOKEFV</t>
  </si>
  <si>
    <t xml:space="preserve">AGZ87JFX</t>
  </si>
  <si>
    <t xml:space="preserve">XWN6WWOD</t>
  </si>
  <si>
    <t xml:space="preserve">TUDKP25E</t>
  </si>
  <si>
    <t xml:space="preserve">PC38XXQN</t>
  </si>
  <si>
    <t xml:space="preserve">5VKRCTJE</t>
  </si>
  <si>
    <t xml:space="preserve">SS9FXCS2</t>
  </si>
  <si>
    <t xml:space="preserve">YL98GKZF</t>
  </si>
  <si>
    <t xml:space="preserve">HYP3SXPV</t>
  </si>
  <si>
    <t xml:space="preserve">BYBZJBC9</t>
  </si>
  <si>
    <t xml:space="preserve">PKRDEUWE</t>
  </si>
  <si>
    <t xml:space="preserve">HTY5G7DI</t>
  </si>
  <si>
    <t xml:space="preserve">OKNOWHS3</t>
  </si>
  <si>
    <t xml:space="preserve">28S2Z15A</t>
  </si>
  <si>
    <t xml:space="preserve">EVU2E5ZZ</t>
  </si>
  <si>
    <t xml:space="preserve">0Y8HO91H</t>
  </si>
  <si>
    <t xml:space="preserve">9XGT3451</t>
  </si>
  <si>
    <t xml:space="preserve">1CZU97OX</t>
  </si>
  <si>
    <t xml:space="preserve">UIFIWKNI</t>
  </si>
  <si>
    <t xml:space="preserve">BWRNVTNR</t>
  </si>
  <si>
    <t xml:space="preserve">2WQ5FUPR</t>
  </si>
  <si>
    <t xml:space="preserve">ROUOR5L0</t>
  </si>
  <si>
    <t xml:space="preserve">09GK47AY</t>
  </si>
  <si>
    <t xml:space="preserve">CPK36NED</t>
  </si>
  <si>
    <t xml:space="preserve">1V3IQVOF</t>
  </si>
  <si>
    <t xml:space="preserve">GJQFUUWI</t>
  </si>
  <si>
    <t xml:space="preserve">N7KJ821I</t>
  </si>
  <si>
    <t xml:space="preserve">2F0RUQ0B</t>
  </si>
  <si>
    <t xml:space="preserve">NOO83M87</t>
  </si>
  <si>
    <t xml:space="preserve">UPHLXZ3M</t>
  </si>
  <si>
    <t xml:space="preserve">CVGTFBZE</t>
  </si>
  <si>
    <t xml:space="preserve">I2V3EPW7</t>
  </si>
  <si>
    <t xml:space="preserve">WNRDPS5I</t>
  </si>
  <si>
    <t xml:space="preserve">1UFFP5T3</t>
  </si>
  <si>
    <t xml:space="preserve">CPL37MZC</t>
  </si>
  <si>
    <t xml:space="preserve">W5P1OLUL</t>
  </si>
  <si>
    <t xml:space="preserve">O6B0YK1X</t>
  </si>
  <si>
    <t xml:space="preserve">QG6BCBXM</t>
  </si>
  <si>
    <t xml:space="preserve">9MZPL59I</t>
  </si>
  <si>
    <t xml:space="preserve">KV1EXWQG</t>
  </si>
  <si>
    <t xml:space="preserve">XPCDFUDY</t>
  </si>
  <si>
    <t xml:space="preserve">0FLFT1R4</t>
  </si>
  <si>
    <t xml:space="preserve">GGXEKX47</t>
  </si>
  <si>
    <t xml:space="preserve">8JP05QQR</t>
  </si>
  <si>
    <t xml:space="preserve">G5Z0FWAX</t>
  </si>
  <si>
    <t xml:space="preserve">FQ2F717F</t>
  </si>
  <si>
    <t xml:space="preserve">45CMXP2K</t>
  </si>
  <si>
    <t xml:space="preserve">CBPVAIQ7</t>
  </si>
  <si>
    <t xml:space="preserve">NDHQMBA0</t>
  </si>
  <si>
    <t xml:space="preserve">A7F5O29R</t>
  </si>
  <si>
    <t xml:space="preserve">PJDA3RWU</t>
  </si>
  <si>
    <t xml:space="preserve">J47DPNB5</t>
  </si>
  <si>
    <t xml:space="preserve">DLGW8Y7B</t>
  </si>
  <si>
    <t xml:space="preserve">NKERMTB8</t>
  </si>
  <si>
    <t xml:space="preserve">4ZGA57SX</t>
  </si>
  <si>
    <t xml:space="preserve">G378ZBNC</t>
  </si>
  <si>
    <t xml:space="preserve">0IF5FH68</t>
  </si>
  <si>
    <t xml:space="preserve">7X7YIWJO</t>
  </si>
  <si>
    <t xml:space="preserve">7SO4NKFP</t>
  </si>
  <si>
    <t xml:space="preserve">6UUZ4IJ5</t>
  </si>
  <si>
    <t xml:space="preserve">54XWHO19</t>
  </si>
  <si>
    <t xml:space="preserve">2L8LJJRJ</t>
  </si>
  <si>
    <t xml:space="preserve">5CJQB25J</t>
  </si>
  <si>
    <t xml:space="preserve">S34T8KPW</t>
  </si>
  <si>
    <t xml:space="preserve">VUYQCXTY</t>
  </si>
  <si>
    <t xml:space="preserve">BM0QXHMH</t>
  </si>
  <si>
    <t xml:space="preserve">OES8ZX7B</t>
  </si>
  <si>
    <t xml:space="preserve">ROBBKT4T</t>
  </si>
  <si>
    <t xml:space="preserve">F3P73EG4</t>
  </si>
  <si>
    <t xml:space="preserve">BBGCBEUY</t>
  </si>
  <si>
    <t xml:space="preserve">OU9O62Y7</t>
  </si>
  <si>
    <t xml:space="preserve">FN080GSV</t>
  </si>
  <si>
    <t xml:space="preserve">AKT5EF0X</t>
  </si>
  <si>
    <t xml:space="preserve">IMB2N710</t>
  </si>
  <si>
    <t xml:space="preserve">C2W2VHJY</t>
  </si>
  <si>
    <t xml:space="preserve">S439SXI1</t>
  </si>
  <si>
    <t xml:space="preserve">9FH4OP4U</t>
  </si>
  <si>
    <t xml:space="preserve">UOXKC4UG</t>
  </si>
  <si>
    <t xml:space="preserve">CEQ3J96G</t>
  </si>
  <si>
    <t xml:space="preserve">LX4D50OF</t>
  </si>
  <si>
    <t xml:space="preserve">9HKP3RBS</t>
  </si>
  <si>
    <t xml:space="preserve">7SYJDW4L</t>
  </si>
  <si>
    <t xml:space="preserve">HVVED5ZC</t>
  </si>
  <si>
    <t xml:space="preserve">EP0H3SJO</t>
  </si>
  <si>
    <t xml:space="preserve">MNTTYFR6</t>
  </si>
  <si>
    <t xml:space="preserve">JR7SC0S2</t>
  </si>
  <si>
    <t xml:space="preserve">F5ITRBMX</t>
  </si>
  <si>
    <t xml:space="preserve">HZCF65PU</t>
  </si>
  <si>
    <t xml:space="preserve">LKQL4GRO</t>
  </si>
  <si>
    <t xml:space="preserve">6CPBVF9F</t>
  </si>
  <si>
    <t xml:space="preserve">WCCEBK6E</t>
  </si>
  <si>
    <t xml:space="preserve">R1X6U9CU</t>
  </si>
  <si>
    <t xml:space="preserve">EY73E4ZB</t>
  </si>
  <si>
    <t xml:space="preserve">XORHQFNJ</t>
  </si>
  <si>
    <t xml:space="preserve">810GB47D</t>
  </si>
  <si>
    <t xml:space="preserve">3YC624RD</t>
  </si>
  <si>
    <t xml:space="preserve">5B4H3E7V</t>
  </si>
  <si>
    <t xml:space="preserve">FUHP1IXR</t>
  </si>
  <si>
    <t xml:space="preserve">379SDV6Y</t>
  </si>
  <si>
    <t xml:space="preserve">W8M8XI8Y</t>
  </si>
  <si>
    <t xml:space="preserve">AAU2IQFW</t>
  </si>
  <si>
    <t xml:space="preserve">PRHL94PK</t>
  </si>
  <si>
    <t xml:space="preserve">BAN0BVHW</t>
  </si>
  <si>
    <t xml:space="preserve">GYS3APR7</t>
  </si>
  <si>
    <t xml:space="preserve">JBY30BSR</t>
  </si>
  <si>
    <t xml:space="preserve">69XL3JMB</t>
  </si>
  <si>
    <t xml:space="preserve">N60TC14O</t>
  </si>
  <si>
    <t xml:space="preserve">70TRVHOM</t>
  </si>
  <si>
    <t xml:space="preserve">R7IIOFBH</t>
  </si>
  <si>
    <t xml:space="preserve">TEKCKT3V</t>
  </si>
  <si>
    <t xml:space="preserve">QK5BW61U</t>
  </si>
  <si>
    <t xml:space="preserve">KTX7ETCE</t>
  </si>
  <si>
    <t xml:space="preserve">PI2PHSBE</t>
  </si>
  <si>
    <t xml:space="preserve">CQDULMXS</t>
  </si>
  <si>
    <t xml:space="preserve">3D6ZHLF0</t>
  </si>
  <si>
    <t xml:space="preserve">ZHKJIJA1</t>
  </si>
  <si>
    <t xml:space="preserve">0DDBDPJU</t>
  </si>
  <si>
    <t xml:space="preserve">H1O491SG</t>
  </si>
  <si>
    <t xml:space="preserve">3F8AA8RT</t>
  </si>
  <si>
    <t xml:space="preserve">48INT6OA</t>
  </si>
  <si>
    <t xml:space="preserve">67CKCI5G</t>
  </si>
  <si>
    <t xml:space="preserve">1UHFKBP6</t>
  </si>
  <si>
    <t xml:space="preserve">5PG1KSKD</t>
  </si>
  <si>
    <t xml:space="preserve">B1O27MFD</t>
  </si>
  <si>
    <t xml:space="preserve">QVWM8LUB</t>
  </si>
  <si>
    <t xml:space="preserve">KMGXUADZ</t>
  </si>
  <si>
    <t xml:space="preserve">JGXLR3H3</t>
  </si>
  <si>
    <t xml:space="preserve">F914VHA3</t>
  </si>
  <si>
    <t xml:space="preserve">0WO582AV</t>
  </si>
  <si>
    <t xml:space="preserve">LZWH2OGW</t>
  </si>
  <si>
    <t xml:space="preserve">IM5AGXLX</t>
  </si>
  <si>
    <t xml:space="preserve">9D6NTQ16</t>
  </si>
  <si>
    <t xml:space="preserve">6BBYA0L3</t>
  </si>
  <si>
    <t xml:space="preserve">7UI7YX03</t>
  </si>
  <si>
    <t xml:space="preserve">4K8N65EM</t>
  </si>
  <si>
    <t xml:space="preserve">FOQK8G8Y</t>
  </si>
  <si>
    <t xml:space="preserve">ODIX25WY</t>
  </si>
  <si>
    <t xml:space="preserve">BE0RAJF5</t>
  </si>
  <si>
    <t xml:space="preserve">M03IHS3P</t>
  </si>
  <si>
    <t xml:space="preserve">YUGFGRUT</t>
  </si>
  <si>
    <t xml:space="preserve">C7NBDKVV</t>
  </si>
  <si>
    <t xml:space="preserve">M3PCMYJ0</t>
  </si>
  <si>
    <t xml:space="preserve">QRFKRSKS</t>
  </si>
  <si>
    <t xml:space="preserve">A3I4JHP0</t>
  </si>
  <si>
    <t xml:space="preserve">FXLA39YR</t>
  </si>
  <si>
    <t xml:space="preserve">M26BSX5S</t>
  </si>
  <si>
    <t xml:space="preserve">CYKC7RXH</t>
  </si>
  <si>
    <t xml:space="preserve">WC8KQJV9</t>
  </si>
  <si>
    <t xml:space="preserve">4L8RQVL9</t>
  </si>
  <si>
    <t xml:space="preserve">T0MUE2H7</t>
  </si>
  <si>
    <t xml:space="preserve">DE5WRZ6B</t>
  </si>
  <si>
    <t xml:space="preserve">7KUYF1U3</t>
  </si>
  <si>
    <t xml:space="preserve">C9O4E52T</t>
  </si>
  <si>
    <t xml:space="preserve">TN59K8NP</t>
  </si>
  <si>
    <t xml:space="preserve">13PPMGNM</t>
  </si>
  <si>
    <t xml:space="preserve">E4KL4NGF</t>
  </si>
  <si>
    <t xml:space="preserve">IUDG3PF0</t>
  </si>
  <si>
    <t xml:space="preserve">QDNA6HW3</t>
  </si>
  <si>
    <t xml:space="preserve">6YMJLH2F</t>
  </si>
  <si>
    <t xml:space="preserve">KCTYAQOR</t>
  </si>
  <si>
    <t xml:space="preserve">4DLOXD13</t>
  </si>
  <si>
    <t xml:space="preserve">NEVHU7GV</t>
  </si>
  <si>
    <t xml:space="preserve">CJZFFC91</t>
  </si>
  <si>
    <t xml:space="preserve">QRW4NKCY</t>
  </si>
  <si>
    <t xml:space="preserve">XEP9GSSY</t>
  </si>
  <si>
    <t xml:space="preserve">IFNT8NLL</t>
  </si>
  <si>
    <t xml:space="preserve">8IOAX81S</t>
  </si>
  <si>
    <t xml:space="preserve">4LXAW8CH</t>
  </si>
  <si>
    <t xml:space="preserve">B6F9PSRN</t>
  </si>
  <si>
    <t xml:space="preserve">5O0597PP</t>
  </si>
  <si>
    <t xml:space="preserve">Q808L4HZ</t>
  </si>
  <si>
    <t xml:space="preserve">RSXFS096</t>
  </si>
  <si>
    <t xml:space="preserve">FOGOYZ75</t>
  </si>
  <si>
    <t xml:space="preserve">23R03LTJ</t>
  </si>
  <si>
    <t xml:space="preserve">V7DHDF8V</t>
  </si>
  <si>
    <t xml:space="preserve">BNIU5YZ2</t>
  </si>
  <si>
    <t xml:space="preserve">5ICV1IBY</t>
  </si>
  <si>
    <t xml:space="preserve">K4KNZQY6</t>
  </si>
  <si>
    <t xml:space="preserve">ZE6HA778</t>
  </si>
  <si>
    <t xml:space="preserve">VBVO5X8W</t>
  </si>
  <si>
    <t xml:space="preserve">M6IGBW79</t>
  </si>
  <si>
    <t xml:space="preserve">LPOOKZCQ</t>
  </si>
  <si>
    <t xml:space="preserve">XA4PGIHG</t>
  </si>
  <si>
    <t xml:space="preserve">DZ47F0UT</t>
  </si>
  <si>
    <t xml:space="preserve">2S7CMLRJ</t>
  </si>
  <si>
    <t xml:space="preserve">ZBAMKTFX</t>
  </si>
  <si>
    <t xml:space="preserve">SHE8LB0Y</t>
  </si>
  <si>
    <t xml:space="preserve">GX3SHSEA</t>
  </si>
  <si>
    <t xml:space="preserve">OB3K0SVW</t>
  </si>
  <si>
    <t xml:space="preserve">IEB855X8</t>
  </si>
  <si>
    <t xml:space="preserve">T2UA7F7Z</t>
  </si>
  <si>
    <t xml:space="preserve">EQZGV36H</t>
  </si>
  <si>
    <t xml:space="preserve">REVQ7DSW</t>
  </si>
  <si>
    <t xml:space="preserve">2NPSMBLK</t>
  </si>
  <si>
    <t xml:space="preserve">I99AI8C5</t>
  </si>
  <si>
    <t xml:space="preserve">VDOUNMRC</t>
  </si>
  <si>
    <t xml:space="preserve">4MTIOMFQ</t>
  </si>
  <si>
    <t xml:space="preserve">KRK5YFGW</t>
  </si>
  <si>
    <t xml:space="preserve">NISR8D1V</t>
  </si>
  <si>
    <t xml:space="preserve">6VLA3FDQ</t>
  </si>
  <si>
    <t xml:space="preserve">HE5988NI</t>
  </si>
  <si>
    <t xml:space="preserve">FXXEZ5U2</t>
  </si>
  <si>
    <t xml:space="preserve">PUTILZZG</t>
  </si>
  <si>
    <t xml:space="preserve">2GQH9FKJ</t>
  </si>
  <si>
    <t xml:space="preserve">IH4M0XTK</t>
  </si>
  <si>
    <t xml:space="preserve">PST4NDK4</t>
  </si>
  <si>
    <t xml:space="preserve">BTM58SCH</t>
  </si>
  <si>
    <t xml:space="preserve">5SED9K1C</t>
  </si>
  <si>
    <t xml:space="preserve">G17H7YXA</t>
  </si>
  <si>
    <t xml:space="preserve">P0BMLVSL</t>
  </si>
  <si>
    <t xml:space="preserve">RXIQFV8D</t>
  </si>
  <si>
    <t xml:space="preserve">8G9Q7NXD</t>
  </si>
  <si>
    <t xml:space="preserve">8CAXVCDF</t>
  </si>
  <si>
    <t xml:space="preserve">R9TWUEAT</t>
  </si>
  <si>
    <t xml:space="preserve">I4YPNNTU</t>
  </si>
  <si>
    <t xml:space="preserve">MMUC1AXI</t>
  </si>
  <si>
    <t xml:space="preserve">6ZVC87CV</t>
  </si>
  <si>
    <t xml:space="preserve">UCNEMT8P</t>
  </si>
  <si>
    <t xml:space="preserve">C2RL3DUQ</t>
  </si>
  <si>
    <t xml:space="preserve">SUYF0EN7</t>
  </si>
  <si>
    <t xml:space="preserve">BZ9C1LQT</t>
  </si>
  <si>
    <t xml:space="preserve">JDFQYP5L</t>
  </si>
  <si>
    <t xml:space="preserve">5AOWZ6AG</t>
  </si>
  <si>
    <t xml:space="preserve">9SRU5CI6</t>
  </si>
  <si>
    <t xml:space="preserve">YKBRF0NG</t>
  </si>
  <si>
    <t xml:space="preserve">9D06AK8T</t>
  </si>
  <si>
    <t xml:space="preserve">S3JAC8GQ</t>
  </si>
  <si>
    <t xml:space="preserve">9WUD1Q5D</t>
  </si>
  <si>
    <t xml:space="preserve">4U2Z53VS</t>
  </si>
  <si>
    <t xml:space="preserve">3F9NDPA0</t>
  </si>
  <si>
    <t xml:space="preserve">1XNXJUQM</t>
  </si>
  <si>
    <t xml:space="preserve">9Q2SYGPP</t>
  </si>
  <si>
    <t xml:space="preserve">7WU2BQ2P</t>
  </si>
  <si>
    <t xml:space="preserve">XN43RX9C</t>
  </si>
  <si>
    <t xml:space="preserve">K1OBT27J</t>
  </si>
  <si>
    <t xml:space="preserve">03CWYGC9</t>
  </si>
  <si>
    <t xml:space="preserve">PF7GFMLQ</t>
  </si>
  <si>
    <t xml:space="preserve">GQFRHJF6</t>
  </si>
  <si>
    <t xml:space="preserve">LW8485Y2</t>
  </si>
  <si>
    <t xml:space="preserve">U48PDN1F</t>
  </si>
  <si>
    <t xml:space="preserve">Q8Q4R3SW</t>
  </si>
  <si>
    <t xml:space="preserve">R0O1UYNW</t>
  </si>
  <si>
    <t xml:space="preserve">1VIKWVHD</t>
  </si>
  <si>
    <t xml:space="preserve">RG8P75PG</t>
  </si>
  <si>
    <t xml:space="preserve">O6DSGX6P</t>
  </si>
  <si>
    <t xml:space="preserve">BZNGP0DN</t>
  </si>
  <si>
    <t xml:space="preserve">FLXN0TBT</t>
  </si>
  <si>
    <t xml:space="preserve">QFBITAKR</t>
  </si>
  <si>
    <t xml:space="preserve">I8TEUO2C</t>
  </si>
  <si>
    <t xml:space="preserve">9SBO74M5</t>
  </si>
  <si>
    <t xml:space="preserve">CEWDZ3ZD</t>
  </si>
  <si>
    <t xml:space="preserve">D5TGHX3Y</t>
  </si>
  <si>
    <t xml:space="preserve">09W047QT</t>
  </si>
  <si>
    <t xml:space="preserve">09C4GR2W</t>
  </si>
  <si>
    <t xml:space="preserve">S983P5KR</t>
  </si>
  <si>
    <t xml:space="preserve">IQ5ASHI1</t>
  </si>
  <si>
    <t xml:space="preserve">CKJZ86N6</t>
  </si>
  <si>
    <t xml:space="preserve">5BGYQS4R</t>
  </si>
  <si>
    <t xml:space="preserve">QO0MQUOY</t>
  </si>
  <si>
    <t xml:space="preserve">7U225819</t>
  </si>
  <si>
    <t xml:space="preserve">K33NPCAY</t>
  </si>
  <si>
    <t xml:space="preserve">V3QM4V7G</t>
  </si>
  <si>
    <t xml:space="preserve">N3TUSU37</t>
  </si>
  <si>
    <t xml:space="preserve">NLKPA1KP</t>
  </si>
  <si>
    <t xml:space="preserve">1WPONGOS</t>
  </si>
  <si>
    <t xml:space="preserve">D42GA3LC</t>
  </si>
  <si>
    <t xml:space="preserve">LT75S3LM</t>
  </si>
  <si>
    <t xml:space="preserve">WHHVN372</t>
  </si>
  <si>
    <t xml:space="preserve">R6F1053X</t>
  </si>
  <si>
    <t xml:space="preserve">YQFF7GFK</t>
  </si>
  <si>
    <t xml:space="preserve">QYUZ3KVU</t>
  </si>
  <si>
    <t xml:space="preserve">T5JO33V3</t>
  </si>
  <si>
    <t xml:space="preserve">MUYUSTKF</t>
  </si>
  <si>
    <t xml:space="preserve">VQB0ZCYJ</t>
  </si>
  <si>
    <t xml:space="preserve">HKH717ED</t>
  </si>
  <si>
    <t xml:space="preserve">GACP1E2I</t>
  </si>
  <si>
    <t xml:space="preserve">ZIFDD41D</t>
  </si>
  <si>
    <t xml:space="preserve">UQO59R6N</t>
  </si>
  <si>
    <t xml:space="preserve">3F81XLI7</t>
  </si>
  <si>
    <t xml:space="preserve">D9VTKEEH</t>
  </si>
  <si>
    <t xml:space="preserve">ZA1YVJQC</t>
  </si>
  <si>
    <t xml:space="preserve">CMLYDJFN</t>
  </si>
  <si>
    <t xml:space="preserve">JF178AXO</t>
  </si>
  <si>
    <t xml:space="preserve">0LDX9VLO</t>
  </si>
  <si>
    <t xml:space="preserve">BGY307FC</t>
  </si>
  <si>
    <t xml:space="preserve">ZS4PKX65</t>
  </si>
  <si>
    <t xml:space="preserve">RLHNJZBW</t>
  </si>
  <si>
    <t xml:space="preserve">X46ZXX2S</t>
  </si>
  <si>
    <t xml:space="preserve">F9XJYM9F</t>
  </si>
  <si>
    <t xml:space="preserve">MN8UHP5B</t>
  </si>
  <si>
    <t xml:space="preserve">TTNORNQI</t>
  </si>
  <si>
    <t xml:space="preserve">9VF00HWL</t>
  </si>
  <si>
    <t xml:space="preserve">075SHVO3</t>
  </si>
  <si>
    <t xml:space="preserve">I81SUA2R</t>
  </si>
  <si>
    <t xml:space="preserve">FWTNRN0L</t>
  </si>
  <si>
    <t xml:space="preserve">Z032GGRE</t>
  </si>
  <si>
    <t xml:space="preserve">C3918FWQ</t>
  </si>
  <si>
    <t xml:space="preserve">GG8XQD8Z</t>
  </si>
  <si>
    <t xml:space="preserve">LF45YLLR</t>
  </si>
  <si>
    <t xml:space="preserve">SH6F6COK</t>
  </si>
  <si>
    <t xml:space="preserve">31KRB7R2</t>
  </si>
  <si>
    <t xml:space="preserve">QCH2R1VO</t>
  </si>
  <si>
    <t xml:space="preserve">6YCDG16T</t>
  </si>
  <si>
    <t xml:space="preserve">DMSQ0TSG</t>
  </si>
  <si>
    <t xml:space="preserve">8W87JE97</t>
  </si>
  <si>
    <t xml:space="preserve">ZDSAVCDQ</t>
  </si>
  <si>
    <t xml:space="preserve">QZ2E9TSL</t>
  </si>
  <si>
    <t xml:space="preserve">LPY6VIZV</t>
  </si>
  <si>
    <t xml:space="preserve">98MASV7P</t>
  </si>
  <si>
    <t xml:space="preserve">GC4YH9D0</t>
  </si>
  <si>
    <t xml:space="preserve">DTSCBNCX</t>
  </si>
  <si>
    <t xml:space="preserve">EBUJQ571</t>
  </si>
  <si>
    <t xml:space="preserve">DNL2IICB</t>
  </si>
  <si>
    <t xml:space="preserve">N4JDVO8F</t>
  </si>
  <si>
    <t xml:space="preserve">IJ4Y77D9</t>
  </si>
  <si>
    <t xml:space="preserve">EIS1B0GM</t>
  </si>
  <si>
    <t xml:space="preserve">ZNFFFJ1T</t>
  </si>
  <si>
    <t xml:space="preserve">AZX4XC81</t>
  </si>
  <si>
    <t xml:space="preserve">K44WX2BT</t>
  </si>
  <si>
    <t xml:space="preserve">VTSKKTQO</t>
  </si>
  <si>
    <t xml:space="preserve">32A5TJ6D</t>
  </si>
  <si>
    <t xml:space="preserve">OXPNURPT</t>
  </si>
  <si>
    <t xml:space="preserve">XSWTUMGY</t>
  </si>
  <si>
    <t xml:space="preserve">IT1XRUTD</t>
  </si>
  <si>
    <t xml:space="preserve">TDNJDFU6</t>
  </si>
  <si>
    <t xml:space="preserve">TSRHYEOQ</t>
  </si>
  <si>
    <t xml:space="preserve">OEBJXZN6</t>
  </si>
  <si>
    <t xml:space="preserve">6DUFMKIG</t>
  </si>
  <si>
    <t xml:space="preserve">DMN53GAI</t>
  </si>
  <si>
    <t xml:space="preserve">0G0S9TB8</t>
  </si>
  <si>
    <t xml:space="preserve">J82TWNI7</t>
  </si>
  <si>
    <t xml:space="preserve">KIMUGBN5</t>
  </si>
  <si>
    <t xml:space="preserve">ORJRH2SQ</t>
  </si>
  <si>
    <t xml:space="preserve">21JDZDNJ</t>
  </si>
  <si>
    <t xml:space="preserve">Z64MQTF2</t>
  </si>
  <si>
    <t xml:space="preserve">NI5XQR33</t>
  </si>
  <si>
    <t xml:space="preserve">SY6BWRRO</t>
  </si>
  <si>
    <t xml:space="preserve">JGG9CO2Y</t>
  </si>
  <si>
    <t xml:space="preserve">ER3G544S</t>
  </si>
  <si>
    <t xml:space="preserve">5FX5TX9L</t>
  </si>
  <si>
    <t xml:space="preserve">A3OROHUS</t>
  </si>
  <si>
    <t xml:space="preserve">8C3LOLPY</t>
  </si>
  <si>
    <t xml:space="preserve">066V2ZGP</t>
  </si>
  <si>
    <t xml:space="preserve">S2D060YF</t>
  </si>
  <si>
    <t xml:space="preserve">QY6MB3QJ</t>
  </si>
  <si>
    <t xml:space="preserve">5OQELHMF</t>
  </si>
  <si>
    <t xml:space="preserve">QUOU67L5</t>
  </si>
  <si>
    <t xml:space="preserve">EVDMSM4N</t>
  </si>
  <si>
    <t xml:space="preserve">XW7J3TI2</t>
  </si>
  <si>
    <t xml:space="preserve">HBIQF55L</t>
  </si>
  <si>
    <t xml:space="preserve">5FG7S674</t>
  </si>
  <si>
    <t xml:space="preserve">S8ALJKKH</t>
  </si>
  <si>
    <t xml:space="preserve">MJ3XHBY0</t>
  </si>
  <si>
    <t xml:space="preserve">HBMOSBAK</t>
  </si>
  <si>
    <t xml:space="preserve">BCA3ICIO</t>
  </si>
  <si>
    <t xml:space="preserve">R9VR53F3</t>
  </si>
  <si>
    <t xml:space="preserve">P4UJ64QM</t>
  </si>
  <si>
    <t xml:space="preserve">TB27K4GC</t>
  </si>
  <si>
    <t xml:space="preserve">OJ92D9QU</t>
  </si>
  <si>
    <t xml:space="preserve">UNSJJUY4</t>
  </si>
  <si>
    <t xml:space="preserve">RGRUF328</t>
  </si>
  <si>
    <t xml:space="preserve">L9AZZGNK</t>
  </si>
  <si>
    <t xml:space="preserve">8APZZ20T</t>
  </si>
  <si>
    <t xml:space="preserve">KDRIBXNQ</t>
  </si>
  <si>
    <t xml:space="preserve">4Z7B0OQB</t>
  </si>
  <si>
    <t xml:space="preserve">3YWITFR5</t>
  </si>
  <si>
    <t xml:space="preserve">O22J2QPD</t>
  </si>
  <si>
    <t xml:space="preserve">CYSF0YQN</t>
  </si>
  <si>
    <t xml:space="preserve">UJSFG18F</t>
  </si>
  <si>
    <t xml:space="preserve">KOI7M0RU</t>
  </si>
  <si>
    <t xml:space="preserve">SAGXC5PF</t>
  </si>
  <si>
    <t xml:space="preserve">ILUMUKG8</t>
  </si>
  <si>
    <t xml:space="preserve">58J528HO</t>
  </si>
  <si>
    <t xml:space="preserve">HWVR6IJ7</t>
  </si>
  <si>
    <t xml:space="preserve">CQZSFN7C</t>
  </si>
  <si>
    <t xml:space="preserve">ID4LC9V5</t>
  </si>
  <si>
    <t xml:space="preserve">DXF00KY4</t>
  </si>
  <si>
    <t xml:space="preserve">3CP9VXC1</t>
  </si>
  <si>
    <t xml:space="preserve">BEELPVP0</t>
  </si>
  <si>
    <t xml:space="preserve">1R8VKE8O</t>
  </si>
  <si>
    <t xml:space="preserve">ZA6AJ0N1</t>
  </si>
  <si>
    <t xml:space="preserve">3QTN3F5T</t>
  </si>
  <si>
    <t xml:space="preserve">GTH7MXLG</t>
  </si>
  <si>
    <t xml:space="preserve">NDVZAHYA</t>
  </si>
  <si>
    <t xml:space="preserve">3KVXBQ5V</t>
  </si>
  <si>
    <t xml:space="preserve">WJ81WITC</t>
  </si>
  <si>
    <t xml:space="preserve">DJ2FHO68</t>
  </si>
  <si>
    <t xml:space="preserve">NYLCZ28K</t>
  </si>
  <si>
    <t xml:space="preserve">7KU6B599</t>
  </si>
  <si>
    <t xml:space="preserve">U9RFE81I</t>
  </si>
  <si>
    <t xml:space="preserve">K5NFTQRI</t>
  </si>
  <si>
    <t xml:space="preserve">B7Q6Q7S2</t>
  </si>
  <si>
    <t xml:space="preserve">5G9WEZTP</t>
  </si>
  <si>
    <t xml:space="preserve">7CYRCTXI</t>
  </si>
  <si>
    <t xml:space="preserve">ZMYUFTS9</t>
  </si>
  <si>
    <t xml:space="preserve">X7V78ZY0</t>
  </si>
  <si>
    <t xml:space="preserve">K6ZDH79M</t>
  </si>
  <si>
    <t xml:space="preserve">RC1YCAEP</t>
  </si>
  <si>
    <t xml:space="preserve">SMU4542Q</t>
  </si>
  <si>
    <t xml:space="preserve">74JAOLQU</t>
  </si>
  <si>
    <t xml:space="preserve">XUP62FUM</t>
  </si>
  <si>
    <t xml:space="preserve">SBCNMFUN</t>
  </si>
  <si>
    <t xml:space="preserve">3X2HOUYU</t>
  </si>
  <si>
    <t xml:space="preserve">G44S6CLC</t>
  </si>
  <si>
    <t xml:space="preserve">NX2K0HQ9</t>
  </si>
  <si>
    <t xml:space="preserve">81LMZHD1</t>
  </si>
  <si>
    <t xml:space="preserve">UW6FSSDK</t>
  </si>
  <si>
    <t xml:space="preserve">1D1L6FJX</t>
  </si>
  <si>
    <t xml:space="preserve">84QGC91P</t>
  </si>
  <si>
    <t xml:space="preserve">Q67320CY</t>
  </si>
  <si>
    <t xml:space="preserve">0AR9HD16</t>
  </si>
  <si>
    <t xml:space="preserve">6ID18IJX</t>
  </si>
  <si>
    <t xml:space="preserve">XOE5EU8U</t>
  </si>
  <si>
    <t xml:space="preserve">45CION64</t>
  </si>
  <si>
    <t xml:space="preserve">9SZTURAF</t>
  </si>
  <si>
    <t xml:space="preserve">RB54V758</t>
  </si>
  <si>
    <t xml:space="preserve">1WZ5N86Q</t>
  </si>
  <si>
    <t xml:space="preserve">RTQVKK41</t>
  </si>
  <si>
    <t xml:space="preserve">3GOXMQPF</t>
  </si>
  <si>
    <t xml:space="preserve">KLIOLWPC</t>
  </si>
  <si>
    <t xml:space="preserve">R0YCRJVQ</t>
  </si>
  <si>
    <t xml:space="preserve">FENOSL5C</t>
  </si>
  <si>
    <t xml:space="preserve">9NTDQ8ZC</t>
  </si>
  <si>
    <t xml:space="preserve">GFU8P2SC</t>
  </si>
  <si>
    <t xml:space="preserve">6UZVABQR</t>
  </si>
  <si>
    <t xml:space="preserve">NOBIC0PD</t>
  </si>
  <si>
    <t xml:space="preserve">5TOZM59X</t>
  </si>
  <si>
    <t xml:space="preserve">I8WTUMTA</t>
  </si>
  <si>
    <t xml:space="preserve">PLYYX5CD</t>
  </si>
  <si>
    <t xml:space="preserve">V93EX6XU</t>
  </si>
  <si>
    <t xml:space="preserve">6IMKESNY</t>
  </si>
  <si>
    <t xml:space="preserve">43NBMRFY</t>
  </si>
  <si>
    <t xml:space="preserve">UWVT8M2Y</t>
  </si>
  <si>
    <t xml:space="preserve">4IUJNFPF</t>
  </si>
  <si>
    <t xml:space="preserve">9KTHISLX</t>
  </si>
  <si>
    <t xml:space="preserve">96MOALT0</t>
  </si>
  <si>
    <t xml:space="preserve">0XWCTQL2</t>
  </si>
  <si>
    <t xml:space="preserve">G54JJCMX</t>
  </si>
  <si>
    <t xml:space="preserve">SF3KBDJF</t>
  </si>
  <si>
    <t xml:space="preserve">QAJPUEN2</t>
  </si>
  <si>
    <t xml:space="preserve">ZHXBOIJ6</t>
  </si>
  <si>
    <t xml:space="preserve">I9IJS5BM</t>
  </si>
  <si>
    <t xml:space="preserve">RRQIGS7E</t>
  </si>
  <si>
    <t xml:space="preserve">L831D7DF</t>
  </si>
  <si>
    <t xml:space="preserve">WXRWSVTT</t>
  </si>
  <si>
    <t xml:space="preserve">9BXXDYH9</t>
  </si>
  <si>
    <t xml:space="preserve">L9WWFYQW</t>
  </si>
  <si>
    <t xml:space="preserve">X66G66ZA</t>
  </si>
  <si>
    <t xml:space="preserve">RQM0PS59</t>
  </si>
  <si>
    <t xml:space="preserve">JTTLDM4E</t>
  </si>
  <si>
    <t xml:space="preserve">483NKH0E</t>
  </si>
  <si>
    <t xml:space="preserve">H5SSSZ11</t>
  </si>
  <si>
    <t xml:space="preserve">UV45XZWJ</t>
  </si>
  <si>
    <t xml:space="preserve">788SW6EX</t>
  </si>
  <si>
    <t xml:space="preserve">M2UI5MKB</t>
  </si>
  <si>
    <t xml:space="preserve">GIP11NY3</t>
  </si>
  <si>
    <t xml:space="preserve">YCKKT5ME</t>
  </si>
  <si>
    <t xml:space="preserve">ZJ76J97A</t>
  </si>
  <si>
    <t xml:space="preserve">FM1RH52B</t>
  </si>
  <si>
    <t xml:space="preserve">BLFMYCVF</t>
  </si>
  <si>
    <t xml:space="preserve">7DI7A7G7</t>
  </si>
  <si>
    <t xml:space="preserve">F9QHNS68</t>
  </si>
  <si>
    <t xml:space="preserve">QYTGB5LA</t>
  </si>
  <si>
    <t xml:space="preserve">N4ZJ2PJT</t>
  </si>
  <si>
    <t xml:space="preserve">JEMEGXUG</t>
  </si>
  <si>
    <t xml:space="preserve">0XHTFQE8</t>
  </si>
  <si>
    <t xml:space="preserve">9TRVSW35</t>
  </si>
  <si>
    <t xml:space="preserve">HEK08UMI</t>
  </si>
  <si>
    <t xml:space="preserve">1BAF1ZYL</t>
  </si>
  <si>
    <t xml:space="preserve">D7XNUYJD</t>
  </si>
  <si>
    <t xml:space="preserve">UFALPP82</t>
  </si>
  <si>
    <t xml:space="preserve">FEGSJ8QI</t>
  </si>
  <si>
    <t xml:space="preserve">E4KNZB95</t>
  </si>
  <si>
    <t xml:space="preserve">3N6BHLN6</t>
  </si>
  <si>
    <t xml:space="preserve">L8NLCWFS</t>
  </si>
  <si>
    <t xml:space="preserve">XR3BL1JL</t>
  </si>
  <si>
    <t xml:space="preserve">UQ67214Z</t>
  </si>
  <si>
    <t xml:space="preserve">DY5RYWTV</t>
  </si>
  <si>
    <t xml:space="preserve">533RTCAL</t>
  </si>
  <si>
    <t xml:space="preserve">3AIA6RL3</t>
  </si>
  <si>
    <t xml:space="preserve">7NDOEFEB</t>
  </si>
  <si>
    <t xml:space="preserve">RNH95U0V</t>
  </si>
  <si>
    <t xml:space="preserve">86DMJ7GA</t>
  </si>
  <si>
    <t xml:space="preserve">ZA2MIHIM</t>
  </si>
  <si>
    <t xml:space="preserve">1O58TWRZ</t>
  </si>
  <si>
    <t xml:space="preserve">6ALH2N0I</t>
  </si>
  <si>
    <t xml:space="preserve">DCOMI70R</t>
  </si>
  <si>
    <t xml:space="preserve">Y2A8EUBM</t>
  </si>
  <si>
    <t xml:space="preserve">4942W0E7</t>
  </si>
  <si>
    <t xml:space="preserve">YWKJW726</t>
  </si>
  <si>
    <t xml:space="preserve">38YQ4771</t>
  </si>
  <si>
    <t xml:space="preserve">XFFFWJQH</t>
  </si>
  <si>
    <t xml:space="preserve">BVKAXY66</t>
  </si>
  <si>
    <t xml:space="preserve">RCNTHN0E</t>
  </si>
  <si>
    <t xml:space="preserve">LZLXBQ0I</t>
  </si>
  <si>
    <t xml:space="preserve">Q7ST5E1W</t>
  </si>
  <si>
    <t xml:space="preserve">UU0F81HS</t>
  </si>
  <si>
    <t xml:space="preserve">SDJDM8RI</t>
  </si>
  <si>
    <t xml:space="preserve">JNIMHE7Y</t>
  </si>
  <si>
    <t xml:space="preserve">INBSL1I4</t>
  </si>
  <si>
    <t xml:space="preserve">S9K81CWS</t>
  </si>
  <si>
    <t xml:space="preserve">B28O6RVD</t>
  </si>
  <si>
    <t xml:space="preserve">7SJD7M9K</t>
  </si>
  <si>
    <t xml:space="preserve">ZE9WX1Q9</t>
  </si>
  <si>
    <t xml:space="preserve">HRLYABOS</t>
  </si>
  <si>
    <t xml:space="preserve">KLZ95C62</t>
  </si>
  <si>
    <t xml:space="preserve">DG6RIZ6R</t>
  </si>
  <si>
    <t xml:space="preserve">W6OX0S1Q</t>
  </si>
  <si>
    <t xml:space="preserve">8PUH80YZ</t>
  </si>
  <si>
    <t xml:space="preserve">1Q5XFO8D</t>
  </si>
  <si>
    <t xml:space="preserve">CMD0758L</t>
  </si>
  <si>
    <t xml:space="preserve">06AIY3IS</t>
  </si>
  <si>
    <t xml:space="preserve">KAPP0SBT</t>
  </si>
  <si>
    <t xml:space="preserve">MPCJV2LA</t>
  </si>
  <si>
    <t xml:space="preserve">9C9GO9XO</t>
  </si>
  <si>
    <t xml:space="preserve">CXYWGOPF</t>
  </si>
  <si>
    <t xml:space="preserve">T8E8EDZS</t>
  </si>
  <si>
    <t xml:space="preserve">A7YPY8KI</t>
  </si>
  <si>
    <t xml:space="preserve">ESH4HX52</t>
  </si>
  <si>
    <t xml:space="preserve">V8RYC18P</t>
  </si>
  <si>
    <t xml:space="preserve">NWQHHVEM</t>
  </si>
  <si>
    <t xml:space="preserve">PVYIL0X4</t>
  </si>
  <si>
    <t xml:space="preserve">K0HLZM4Q</t>
  </si>
  <si>
    <t xml:space="preserve">U4BPFJC5</t>
  </si>
  <si>
    <t xml:space="preserve">N33B6LND</t>
  </si>
  <si>
    <t xml:space="preserve">YA822MOB</t>
  </si>
  <si>
    <t xml:space="preserve">6ONKN1IM</t>
  </si>
  <si>
    <t xml:space="preserve">IDBXD4OU</t>
  </si>
  <si>
    <t xml:space="preserve">ZN5CVY5V</t>
  </si>
  <si>
    <t xml:space="preserve">KOJ4SQ1T</t>
  </si>
  <si>
    <t xml:space="preserve">0R1F3OIN</t>
  </si>
  <si>
    <t xml:space="preserve">JW5SYMNS</t>
  </si>
  <si>
    <t xml:space="preserve">N8NQK8K7</t>
  </si>
  <si>
    <t xml:space="preserve">ZY3AVAK0</t>
  </si>
  <si>
    <t xml:space="preserve">AOZKTGZG</t>
  </si>
  <si>
    <t xml:space="preserve">CO6JN5NH</t>
  </si>
  <si>
    <t xml:space="preserve">DLQTM07N</t>
  </si>
  <si>
    <t xml:space="preserve">JVKP9OCT</t>
  </si>
  <si>
    <t xml:space="preserve">COJKCSVG</t>
  </si>
  <si>
    <t xml:space="preserve">IMLB4653</t>
  </si>
  <si>
    <t xml:space="preserve">YQK2K6U5</t>
  </si>
  <si>
    <t xml:space="preserve">56AN1DXW</t>
  </si>
  <si>
    <t xml:space="preserve">AIU1UWJZ</t>
  </si>
  <si>
    <t xml:space="preserve">S2GG93I6</t>
  </si>
  <si>
    <t xml:space="preserve">FZNEISTX</t>
  </si>
  <si>
    <t xml:space="preserve">J6MIKNYJ</t>
  </si>
  <si>
    <t xml:space="preserve">8GYJOE85</t>
  </si>
  <si>
    <t xml:space="preserve">SYJKN818</t>
  </si>
  <si>
    <t xml:space="preserve">5OOZTQK7</t>
  </si>
  <si>
    <t xml:space="preserve">6C1DLYBH</t>
  </si>
  <si>
    <t xml:space="preserve">63GAY8GB</t>
  </si>
  <si>
    <t xml:space="preserve">Z3QJESWJ</t>
  </si>
  <si>
    <t xml:space="preserve">LNX7ULEG</t>
  </si>
  <si>
    <t xml:space="preserve">AR2T4LAR</t>
  </si>
  <si>
    <t xml:space="preserve">ZE7PM90V</t>
  </si>
  <si>
    <t xml:space="preserve">1ZMWMU21</t>
  </si>
  <si>
    <t xml:space="preserve">TX9VFL4J</t>
  </si>
  <si>
    <t xml:space="preserve">JR76K5YA</t>
  </si>
  <si>
    <t xml:space="preserve">3590U14O</t>
  </si>
  <si>
    <t xml:space="preserve">DSC7UB3W</t>
  </si>
  <si>
    <t xml:space="preserve">AX63HIS9</t>
  </si>
  <si>
    <t xml:space="preserve">MW3K8553</t>
  </si>
  <si>
    <t xml:space="preserve">707CQDQK</t>
  </si>
  <si>
    <t xml:space="preserve">2GN2TRVV</t>
  </si>
  <si>
    <t xml:space="preserve">6H1MBBVR</t>
  </si>
  <si>
    <t xml:space="preserve">C7NW3JB2</t>
  </si>
  <si>
    <t xml:space="preserve">4ICL09BD</t>
  </si>
  <si>
    <t xml:space="preserve">DL3Q5HAD</t>
  </si>
  <si>
    <t xml:space="preserve">QQ96SPTU</t>
  </si>
  <si>
    <t xml:space="preserve">5BAGWGAG</t>
  </si>
  <si>
    <t xml:space="preserve">7SBDZJF4</t>
  </si>
  <si>
    <t xml:space="preserve">THRXY3SV</t>
  </si>
  <si>
    <t xml:space="preserve">34YT99YN</t>
  </si>
  <si>
    <t xml:space="preserve">TWXUDY78</t>
  </si>
  <si>
    <t xml:space="preserve">W8CSV90F</t>
  </si>
  <si>
    <t xml:space="preserve">4UN65HWV</t>
  </si>
  <si>
    <t xml:space="preserve">3K3LQ0H5</t>
  </si>
  <si>
    <t xml:space="preserve">F3UB81V7</t>
  </si>
  <si>
    <t xml:space="preserve">BIH4D0JL</t>
  </si>
  <si>
    <t xml:space="preserve">BJWKG319</t>
  </si>
  <si>
    <t xml:space="preserve">TBXMDI2Q</t>
  </si>
  <si>
    <t xml:space="preserve">80S3ED8B</t>
  </si>
  <si>
    <t xml:space="preserve">9J8O59QW</t>
  </si>
  <si>
    <t xml:space="preserve">X2ZONP2D</t>
  </si>
  <si>
    <t xml:space="preserve">RB8LSFVK</t>
  </si>
  <si>
    <t xml:space="preserve">4BUQW2T0</t>
  </si>
  <si>
    <t xml:space="preserve">3BEPEWRS</t>
  </si>
  <si>
    <t xml:space="preserve">Q3HYAWDW</t>
  </si>
  <si>
    <t xml:space="preserve">VWSFZUNS</t>
  </si>
  <si>
    <t xml:space="preserve">ZW2GDFKC</t>
  </si>
  <si>
    <t xml:space="preserve">ABRQIWS9</t>
  </si>
  <si>
    <t xml:space="preserve">HY9VGF58</t>
  </si>
  <si>
    <t xml:space="preserve">MFO940S8</t>
  </si>
  <si>
    <t xml:space="preserve">ESU5NGML</t>
  </si>
  <si>
    <t xml:space="preserve">CYIMFEWC</t>
  </si>
  <si>
    <t xml:space="preserve">LGK00C12</t>
  </si>
  <si>
    <t xml:space="preserve">3W4AWYSK</t>
  </si>
  <si>
    <t xml:space="preserve">D821LEQV</t>
  </si>
  <si>
    <t xml:space="preserve">OPL7DH0Q</t>
  </si>
  <si>
    <t xml:space="preserve">URT8A7OQ</t>
  </si>
  <si>
    <t xml:space="preserve">52FDATJV</t>
  </si>
  <si>
    <t xml:space="preserve">BLLYPR3S</t>
  </si>
  <si>
    <t xml:space="preserve">4N2KE2ER</t>
  </si>
  <si>
    <t xml:space="preserve">4Q2GV039</t>
  </si>
  <si>
    <t xml:space="preserve">99L2TNR5</t>
  </si>
  <si>
    <t xml:space="preserve">UZI6MKVR</t>
  </si>
  <si>
    <t xml:space="preserve">XH01XH1F</t>
  </si>
  <si>
    <t xml:space="preserve">QW4QPPSY</t>
  </si>
  <si>
    <t xml:space="preserve">0PUDG8KY</t>
  </si>
  <si>
    <t xml:space="preserve">IUKIZFB7</t>
  </si>
  <si>
    <t xml:space="preserve">3S3O03ZV</t>
  </si>
  <si>
    <t xml:space="preserve">NH44FYAA</t>
  </si>
  <si>
    <t xml:space="preserve">ANZJNT1Q</t>
  </si>
  <si>
    <t xml:space="preserve">M4MOGAS4</t>
  </si>
  <si>
    <t xml:space="preserve">SXV6VZVC</t>
  </si>
  <si>
    <t xml:space="preserve">0GYOOM2R</t>
  </si>
  <si>
    <t xml:space="preserve">VE4LZ8F5</t>
  </si>
  <si>
    <t xml:space="preserve">W604BPPE</t>
  </si>
  <si>
    <t xml:space="preserve">WE7YS7HD</t>
  </si>
  <si>
    <t xml:space="preserve">AVNVFAIR</t>
  </si>
  <si>
    <t xml:space="preserve">9KN4MG14</t>
  </si>
  <si>
    <t xml:space="preserve">VF7DWQIH</t>
  </si>
  <si>
    <t xml:space="preserve">UMMMBBS6</t>
  </si>
  <si>
    <t xml:space="preserve">6YN4FZHL</t>
  </si>
  <si>
    <t xml:space="preserve">GN9SQ77J</t>
  </si>
  <si>
    <t xml:space="preserve">CE852VBF</t>
  </si>
  <si>
    <t xml:space="preserve">UTJGDR3K</t>
  </si>
  <si>
    <t xml:space="preserve">TAGD6XU9</t>
  </si>
  <si>
    <t xml:space="preserve">OJMME9V9</t>
  </si>
  <si>
    <t xml:space="preserve">FROU0UKW</t>
  </si>
  <si>
    <t xml:space="preserve">GVCMT0GZ</t>
  </si>
  <si>
    <t xml:space="preserve">JZ2VUXZQ</t>
  </si>
  <si>
    <t xml:space="preserve">EWAMDI1N</t>
  </si>
  <si>
    <t xml:space="preserve">2O7MVJ1T</t>
  </si>
  <si>
    <t xml:space="preserve">NCL2AJUL</t>
  </si>
  <si>
    <t xml:space="preserve">G62CPKZO</t>
  </si>
  <si>
    <t xml:space="preserve">AT6SDVJ5</t>
  </si>
  <si>
    <t xml:space="preserve">1WJT7CM8</t>
  </si>
  <si>
    <t xml:space="preserve">WGSS08LF</t>
  </si>
  <si>
    <t xml:space="preserve">SOE904XE</t>
  </si>
  <si>
    <t xml:space="preserve">4QBSY3CB</t>
  </si>
  <si>
    <t xml:space="preserve">H45TYGRR</t>
  </si>
  <si>
    <t xml:space="preserve">OQAXHZXD</t>
  </si>
  <si>
    <t xml:space="preserve">AZ8ACKLD</t>
  </si>
  <si>
    <t xml:space="preserve">RMUIMYJU</t>
  </si>
  <si>
    <t xml:space="preserve">5AAN00N1</t>
  </si>
  <si>
    <t xml:space="preserve">YH2NHVXC</t>
  </si>
  <si>
    <t xml:space="preserve">VP2CW520</t>
  </si>
  <si>
    <t xml:space="preserve">WFP9J5J7</t>
  </si>
  <si>
    <t xml:space="preserve">94TA0AWF</t>
  </si>
  <si>
    <t xml:space="preserve">AJQC76NI</t>
  </si>
  <si>
    <t xml:space="preserve">PH5GSB37</t>
  </si>
  <si>
    <t xml:space="preserve">3ZG0719M</t>
  </si>
  <si>
    <t xml:space="preserve">IE18U4NO</t>
  </si>
  <si>
    <t xml:space="preserve">1VFUCUWA</t>
  </si>
  <si>
    <t xml:space="preserve">C23N9DE9</t>
  </si>
  <si>
    <t xml:space="preserve">O9L7KMPU</t>
  </si>
  <si>
    <t xml:space="preserve">1VFRN1GB</t>
  </si>
  <si>
    <t xml:space="preserve">14V0RQBV</t>
  </si>
  <si>
    <t xml:space="preserve">6TND1V4T</t>
  </si>
  <si>
    <t xml:space="preserve">QB4FISNE</t>
  </si>
  <si>
    <t xml:space="preserve">NDMY5PPT</t>
  </si>
  <si>
    <t xml:space="preserve">IQAFSIV4</t>
  </si>
  <si>
    <t xml:space="preserve">EK0KWGQX</t>
  </si>
  <si>
    <t xml:space="preserve">E4A92U26</t>
  </si>
  <si>
    <t xml:space="preserve">NT510FGZ</t>
  </si>
  <si>
    <t xml:space="preserve">18T73EHS</t>
  </si>
  <si>
    <t xml:space="preserve">K94WM7M4</t>
  </si>
  <si>
    <t xml:space="preserve">SPHS260Y</t>
  </si>
  <si>
    <t xml:space="preserve">568NS3GO</t>
  </si>
  <si>
    <t xml:space="preserve">N3CN7GCZ</t>
  </si>
  <si>
    <t xml:space="preserve">W3C2KLXD</t>
  </si>
  <si>
    <t xml:space="preserve">VYPIKMKO</t>
  </si>
  <si>
    <t xml:space="preserve">QPMZ5RG0</t>
  </si>
  <si>
    <t xml:space="preserve">1L2S3CMT</t>
  </si>
  <si>
    <t xml:space="preserve">LFQCLMMG</t>
  </si>
  <si>
    <t xml:space="preserve">E0ITYYTG</t>
  </si>
  <si>
    <t xml:space="preserve">6F8IL0XV</t>
  </si>
  <si>
    <t xml:space="preserve">0YCAS0B9</t>
  </si>
  <si>
    <t xml:space="preserve">VICY80KW</t>
  </si>
  <si>
    <t xml:space="preserve">9CE6F4NZ</t>
  </si>
  <si>
    <t xml:space="preserve">EPC4NBJ5</t>
  </si>
  <si>
    <t xml:space="preserve">NC7V5K1T</t>
  </si>
  <si>
    <t xml:space="preserve">P8GXMSXL</t>
  </si>
  <si>
    <t xml:space="preserve">62TFLOG6</t>
  </si>
  <si>
    <t xml:space="preserve">TLJAFLON</t>
  </si>
  <si>
    <t xml:space="preserve">0WC2J3UP</t>
  </si>
  <si>
    <t xml:space="preserve">P07OGZ3F</t>
  </si>
  <si>
    <t xml:space="preserve">RX39Z0P1</t>
  </si>
  <si>
    <t xml:space="preserve">H6TY7RBJ</t>
  </si>
  <si>
    <t xml:space="preserve">J75Y9C75</t>
  </si>
  <si>
    <t xml:space="preserve">JBCQ1ODR</t>
  </si>
  <si>
    <t xml:space="preserve">83JP1K4E</t>
  </si>
  <si>
    <t xml:space="preserve">5MRPZ44K</t>
  </si>
  <si>
    <t xml:space="preserve">SUXDAQNV</t>
  </si>
  <si>
    <t xml:space="preserve">Z75R686C</t>
  </si>
  <si>
    <t xml:space="preserve">PTKOWYW6</t>
  </si>
  <si>
    <t xml:space="preserve">7R0TEEHW</t>
  </si>
  <si>
    <t xml:space="preserve">PGK5K24U</t>
  </si>
  <si>
    <t xml:space="preserve">SPUXDRGN</t>
  </si>
  <si>
    <t xml:space="preserve">DFSRHCXU</t>
  </si>
  <si>
    <t xml:space="preserve">QMUBRAT2</t>
  </si>
  <si>
    <t xml:space="preserve">443ATESI</t>
  </si>
  <si>
    <t xml:space="preserve">UNSJB0L7</t>
  </si>
  <si>
    <t xml:space="preserve">77WSI0TH</t>
  </si>
  <si>
    <t xml:space="preserve">4LQAN2JX</t>
  </si>
  <si>
    <t xml:space="preserve">J3N73B00</t>
  </si>
  <si>
    <t xml:space="preserve">QROXE17S</t>
  </si>
  <si>
    <t xml:space="preserve">U83R2K8I</t>
  </si>
  <si>
    <t xml:space="preserve">8KBVRQHD</t>
  </si>
  <si>
    <t xml:space="preserve">UKECBJV5</t>
  </si>
  <si>
    <t xml:space="preserve">PVDGIYSB</t>
  </si>
  <si>
    <t xml:space="preserve">TP4SDOPW</t>
  </si>
  <si>
    <t xml:space="preserve">BOVKZHAZ</t>
  </si>
  <si>
    <t xml:space="preserve">YT8YYRTU</t>
  </si>
  <si>
    <t xml:space="preserve">8BZLOF0K</t>
  </si>
  <si>
    <t xml:space="preserve">OJ1WKIVY</t>
  </si>
  <si>
    <t xml:space="preserve">ELLLRB7A</t>
  </si>
  <si>
    <t xml:space="preserve">VT1LZKEY</t>
  </si>
  <si>
    <t xml:space="preserve">6LC0XB2D</t>
  </si>
  <si>
    <t xml:space="preserve">KYL4UFG5</t>
  </si>
  <si>
    <t xml:space="preserve">6OJAC85F</t>
  </si>
  <si>
    <t xml:space="preserve">MMWD47ZY</t>
  </si>
  <si>
    <t xml:space="preserve">KK5YBPU6</t>
  </si>
  <si>
    <t xml:space="preserve">IWQP4M72</t>
  </si>
  <si>
    <t xml:space="preserve">4X3H9YD5</t>
  </si>
  <si>
    <t xml:space="preserve">I3RW4OMF</t>
  </si>
  <si>
    <t xml:space="preserve">7ZWN0JO9</t>
  </si>
  <si>
    <t xml:space="preserve">HHNFD7DX</t>
  </si>
  <si>
    <t xml:space="preserve">9USDNUBL</t>
  </si>
  <si>
    <t xml:space="preserve">LXLU6LFC</t>
  </si>
  <si>
    <t xml:space="preserve">SHETLR3T</t>
  </si>
  <si>
    <t xml:space="preserve">GIVVPRQQ</t>
  </si>
  <si>
    <t xml:space="preserve">YTMPHIQY</t>
  </si>
  <si>
    <t xml:space="preserve">MMVGTXDB</t>
  </si>
  <si>
    <t xml:space="preserve">UUF8Z53N</t>
  </si>
  <si>
    <t xml:space="preserve">SD8JJSKT</t>
  </si>
  <si>
    <t xml:space="preserve">715TBGPE</t>
  </si>
  <si>
    <t xml:space="preserve">9RLSCMM9</t>
  </si>
  <si>
    <t xml:space="preserve">XNC9UMYH</t>
  </si>
  <si>
    <t xml:space="preserve">P2PVED7R</t>
  </si>
  <si>
    <t xml:space="preserve">F3FJ3DYK</t>
  </si>
  <si>
    <t xml:space="preserve">H56FMPGG</t>
  </si>
  <si>
    <t xml:space="preserve">OJ1NQRDS</t>
  </si>
  <si>
    <t xml:space="preserve">GV9G96Z1</t>
  </si>
  <si>
    <t xml:space="preserve">IRCBYH9Z</t>
  </si>
  <si>
    <t xml:space="preserve">OO4Z7LB9</t>
  </si>
  <si>
    <t xml:space="preserve">GIO029D3</t>
  </si>
  <si>
    <t xml:space="preserve">81NOKKSW</t>
  </si>
  <si>
    <t xml:space="preserve">48J7F1A2</t>
  </si>
  <si>
    <t xml:space="preserve">VBN5T6F8</t>
  </si>
  <si>
    <t xml:space="preserve">TTVQT1YD</t>
  </si>
  <si>
    <t xml:space="preserve">JDXET5H9</t>
  </si>
  <si>
    <t xml:space="preserve">RM4HCA1W</t>
  </si>
  <si>
    <t xml:space="preserve">4S6FW9VM</t>
  </si>
  <si>
    <t xml:space="preserve">15PJZKNT</t>
  </si>
  <si>
    <t xml:space="preserve">4F222JU9</t>
  </si>
  <si>
    <t xml:space="preserve">M28Z11DC</t>
  </si>
  <si>
    <t xml:space="preserve">XSB7IN6X</t>
  </si>
  <si>
    <t xml:space="preserve">QCIG6H19</t>
  </si>
  <si>
    <t xml:space="preserve">NX4ODZY2</t>
  </si>
  <si>
    <t xml:space="preserve">YH6ST9KT</t>
  </si>
  <si>
    <t xml:space="preserve">6IJNBKST</t>
  </si>
  <si>
    <t xml:space="preserve">DHVOS14H</t>
  </si>
  <si>
    <t xml:space="preserve">UGXAZ29V</t>
  </si>
  <si>
    <t xml:space="preserve">B50V1XGA</t>
  </si>
  <si>
    <t xml:space="preserve">BEKQZ411</t>
  </si>
  <si>
    <t xml:space="preserve">794F5VJB</t>
  </si>
  <si>
    <t xml:space="preserve">G5GPTVMU</t>
  </si>
  <si>
    <t xml:space="preserve">2ZEFCKS3</t>
  </si>
  <si>
    <t xml:space="preserve">H5ZSM3IR</t>
  </si>
  <si>
    <t xml:space="preserve">C205FMDE</t>
  </si>
  <si>
    <t xml:space="preserve">9KJ89VHI</t>
  </si>
  <si>
    <t xml:space="preserve">K8VBNOW9</t>
  </si>
  <si>
    <t xml:space="preserve">QX4VN0WB</t>
  </si>
  <si>
    <t xml:space="preserve">94JT388Y</t>
  </si>
  <si>
    <t xml:space="preserve">1BV5JLZV</t>
  </si>
  <si>
    <t xml:space="preserve">ENGMZL6Y</t>
  </si>
  <si>
    <t xml:space="preserve">HBJPBF3P</t>
  </si>
  <si>
    <t xml:space="preserve">6V7OMXY5</t>
  </si>
  <si>
    <t xml:space="preserve">4ELXMIIO</t>
  </si>
  <si>
    <t xml:space="preserve">757V8R2Z</t>
  </si>
  <si>
    <t xml:space="preserve">YY39ZQNV</t>
  </si>
  <si>
    <t xml:space="preserve">2UZXS1I2</t>
  </si>
  <si>
    <t xml:space="preserve">HH4I6PAY</t>
  </si>
  <si>
    <t xml:space="preserve">INAEAAI9</t>
  </si>
  <si>
    <t xml:space="preserve">WRLAVDPH</t>
  </si>
  <si>
    <t xml:space="preserve">Y1FWLR93</t>
  </si>
  <si>
    <t xml:space="preserve">59XUUWAQ</t>
  </si>
  <si>
    <t xml:space="preserve">8I4915WD</t>
  </si>
  <si>
    <t xml:space="preserve">IX65TNEI</t>
  </si>
  <si>
    <t xml:space="preserve">T7HHH8HK</t>
  </si>
  <si>
    <t xml:space="preserve">W3CLJLES</t>
  </si>
  <si>
    <t xml:space="preserve">KYABDCKE</t>
  </si>
  <si>
    <t xml:space="preserve">JP2EY6QU</t>
  </si>
  <si>
    <t xml:space="preserve">GPC8PLM7</t>
  </si>
  <si>
    <t xml:space="preserve">5CFCTZ5K</t>
  </si>
  <si>
    <t xml:space="preserve">GWI45VGH</t>
  </si>
  <si>
    <t xml:space="preserve">JVIIWJDL</t>
  </si>
  <si>
    <t xml:space="preserve">04YBYVPV</t>
  </si>
  <si>
    <t xml:space="preserve">TQLO6QP6</t>
  </si>
  <si>
    <t xml:space="preserve">H3ZR0CQW</t>
  </si>
  <si>
    <t xml:space="preserve">RABLXW5E</t>
  </si>
  <si>
    <t xml:space="preserve">Y9SCLUH8</t>
  </si>
  <si>
    <t xml:space="preserve">ZT6D57ED</t>
  </si>
  <si>
    <t xml:space="preserve">V7Y78MPU</t>
  </si>
  <si>
    <t xml:space="preserve">IJNOVBGU</t>
  </si>
  <si>
    <t xml:space="preserve">0NP0XPLQ</t>
  </si>
  <si>
    <t xml:space="preserve">1SKIPYI7</t>
  </si>
  <si>
    <t xml:space="preserve">2K7R3QHZ</t>
  </si>
  <si>
    <t xml:space="preserve">9GOWJ93R</t>
  </si>
  <si>
    <t xml:space="preserve">R617R51D</t>
  </si>
  <si>
    <t xml:space="preserve">3R8PJCCW</t>
  </si>
  <si>
    <t xml:space="preserve">NQZNAEYQ</t>
  </si>
  <si>
    <t xml:space="preserve">W3W3KPBH</t>
  </si>
  <si>
    <t xml:space="preserve">NPHD3ZTC</t>
  </si>
  <si>
    <t xml:space="preserve">5A4Q7X1W</t>
  </si>
  <si>
    <t xml:space="preserve">NR5D7201</t>
  </si>
  <si>
    <t xml:space="preserve">484WREJQ</t>
  </si>
  <si>
    <t xml:space="preserve">JWUWBI4D</t>
  </si>
  <si>
    <t xml:space="preserve">N1H9ILZ9</t>
  </si>
  <si>
    <t xml:space="preserve">J6UOUH6Y</t>
  </si>
  <si>
    <t xml:space="preserve">3UOIHNKR</t>
  </si>
  <si>
    <t xml:space="preserve">NZB45UZX</t>
  </si>
  <si>
    <t xml:space="preserve">AHRCT8IP</t>
  </si>
  <si>
    <t xml:space="preserve">ASVOOKMY</t>
  </si>
  <si>
    <t xml:space="preserve">7EJJ9KVZ</t>
  </si>
  <si>
    <t xml:space="preserve">JP4H1WG4</t>
  </si>
  <si>
    <t xml:space="preserve">VOSSIXSY</t>
  </si>
  <si>
    <t xml:space="preserve">Q9GJ1LJT</t>
  </si>
  <si>
    <t xml:space="preserve">75P6HFA0</t>
  </si>
  <si>
    <t xml:space="preserve">3QS2B6IN</t>
  </si>
  <si>
    <t xml:space="preserve">9RQ8FZYQ</t>
  </si>
  <si>
    <t xml:space="preserve">MHPI0ZW1</t>
  </si>
  <si>
    <t xml:space="preserve">SY72RAK2</t>
  </si>
  <si>
    <t xml:space="preserve">SLCWM9BH</t>
  </si>
  <si>
    <t xml:space="preserve">W8E2YLNY</t>
  </si>
  <si>
    <t xml:space="preserve">Y6YZXVTF</t>
  </si>
  <si>
    <t xml:space="preserve">QYKTG5QA</t>
  </si>
  <si>
    <t xml:space="preserve">J096XFZG</t>
  </si>
  <si>
    <t xml:space="preserve">6I76NXTK</t>
  </si>
  <si>
    <t xml:space="preserve">NUNQGOUW</t>
  </si>
  <si>
    <t xml:space="preserve">DJ60T39C</t>
  </si>
  <si>
    <t xml:space="preserve">HIOHPBO1</t>
  </si>
  <si>
    <t xml:space="preserve">GIJ14130</t>
  </si>
  <si>
    <t xml:space="preserve">FR8FT0ZX</t>
  </si>
  <si>
    <t xml:space="preserve">M49ZMLGL</t>
  </si>
  <si>
    <t xml:space="preserve">VS4UFFLH</t>
  </si>
  <si>
    <t xml:space="preserve">BTZ06Z6O</t>
  </si>
  <si>
    <t xml:space="preserve">CUA83384</t>
  </si>
  <si>
    <t xml:space="preserve">6SV2WYK4</t>
  </si>
  <si>
    <t xml:space="preserve">ZGQI86AQ</t>
  </si>
  <si>
    <t xml:space="preserve">67ORNLJ3</t>
  </si>
  <si>
    <t xml:space="preserve">DZHIAZ5H</t>
  </si>
  <si>
    <t xml:space="preserve">DJ2GWNGZ</t>
  </si>
  <si>
    <t xml:space="preserve">GBQ8OLNP</t>
  </si>
  <si>
    <t xml:space="preserve">RGZHQ2MJ</t>
  </si>
  <si>
    <t xml:space="preserve">MASS6JEE</t>
  </si>
  <si>
    <t xml:space="preserve">DPT11UGS</t>
  </si>
  <si>
    <t xml:space="preserve">GM68OLDH</t>
  </si>
  <si>
    <t xml:space="preserve">8KQH5XI1</t>
  </si>
  <si>
    <t xml:space="preserve">PU2UJDTV</t>
  </si>
  <si>
    <t xml:space="preserve">JESVHYTG</t>
  </si>
  <si>
    <t xml:space="preserve">WHF75273</t>
  </si>
  <si>
    <t xml:space="preserve">GFXKHCEM</t>
  </si>
  <si>
    <t xml:space="preserve">N9KFQCOH</t>
  </si>
  <si>
    <t xml:space="preserve">D6PFP040</t>
  </si>
  <si>
    <t xml:space="preserve">AUPXRV8O</t>
  </si>
  <si>
    <t xml:space="preserve">5SCMRQ9N</t>
  </si>
  <si>
    <t xml:space="preserve">CJAQVPDP</t>
  </si>
  <si>
    <t xml:space="preserve">I967JINR</t>
  </si>
  <si>
    <t xml:space="preserve">AMGF31TA</t>
  </si>
  <si>
    <t xml:space="preserve">EPH7L4K0</t>
  </si>
  <si>
    <t xml:space="preserve">HDITQL1S</t>
  </si>
  <si>
    <t xml:space="preserve">SFCT64YG</t>
  </si>
  <si>
    <t xml:space="preserve">0L3VYSKY</t>
  </si>
  <si>
    <t xml:space="preserve">0SPX7FIJ</t>
  </si>
  <si>
    <t xml:space="preserve">9UYUV724</t>
  </si>
  <si>
    <t xml:space="preserve">LKMZWCKQ</t>
  </si>
  <si>
    <t xml:space="preserve">NYI5VMXK</t>
  </si>
  <si>
    <t xml:space="preserve">VBKF5FPB</t>
  </si>
  <si>
    <t xml:space="preserve">OTNZ5ZCN</t>
  </si>
  <si>
    <t xml:space="preserve">WXCEZ7JY</t>
  </si>
  <si>
    <t xml:space="preserve">N1G2CFCB</t>
  </si>
  <si>
    <t xml:space="preserve">6JWA8DFJ</t>
  </si>
  <si>
    <t xml:space="preserve">FG29YOWT</t>
  </si>
  <si>
    <t xml:space="preserve">YB6UP71G</t>
  </si>
  <si>
    <t xml:space="preserve">FNKZKHTJ</t>
  </si>
  <si>
    <t xml:space="preserve">RJD0D0GD</t>
  </si>
  <si>
    <t xml:space="preserve">E7TDBIDS</t>
  </si>
  <si>
    <t xml:space="preserve">N2C3ASJ9</t>
  </si>
  <si>
    <t xml:space="preserve">D6XIVDQF</t>
  </si>
  <si>
    <t xml:space="preserve">XW9U35NQ</t>
  </si>
  <si>
    <t xml:space="preserve">XQ4FN1KA</t>
  </si>
  <si>
    <t xml:space="preserve">LFPY1Z14</t>
  </si>
  <si>
    <t xml:space="preserve">S767XDO3</t>
  </si>
  <si>
    <t xml:space="preserve">BOHWQ1B3</t>
  </si>
  <si>
    <t xml:space="preserve">7R0G2LC1</t>
  </si>
  <si>
    <t xml:space="preserve">LMJINVRQ</t>
  </si>
  <si>
    <t xml:space="preserve">794XWMYE</t>
  </si>
  <si>
    <t xml:space="preserve">3AX6QBR3</t>
  </si>
  <si>
    <t xml:space="preserve">0DLEXLEV</t>
  </si>
  <si>
    <t xml:space="preserve">ZWA2ES4F</t>
  </si>
  <si>
    <t xml:space="preserve">H1Y2W48V</t>
  </si>
  <si>
    <t xml:space="preserve">IOTAHMQX</t>
  </si>
  <si>
    <t xml:space="preserve">HZ283240</t>
  </si>
  <si>
    <t xml:space="preserve">55NG8O95</t>
  </si>
  <si>
    <t xml:space="preserve">PRQ96EWX</t>
  </si>
  <si>
    <t xml:space="preserve">4AS1VXQM</t>
  </si>
  <si>
    <t xml:space="preserve">GNAX12Z6</t>
  </si>
  <si>
    <t xml:space="preserve">LDIBOTNO</t>
  </si>
  <si>
    <t xml:space="preserve">ZH2TBHVZ</t>
  </si>
  <si>
    <t xml:space="preserve">0ORRC53X</t>
  </si>
  <si>
    <t xml:space="preserve">RQXFD7FW</t>
  </si>
  <si>
    <t xml:space="preserve">CB0NZYB2</t>
  </si>
  <si>
    <t xml:space="preserve">G7NU2YCG</t>
  </si>
  <si>
    <t xml:space="preserve">KUKJQX9Y</t>
  </si>
  <si>
    <t xml:space="preserve">2YBEN3MV</t>
  </si>
  <si>
    <t xml:space="preserve">696VNI6G</t>
  </si>
  <si>
    <t xml:space="preserve">AMGC18DS</t>
  </si>
  <si>
    <t xml:space="preserve">L582YMSV</t>
  </si>
  <si>
    <t xml:space="preserve">PE3P7M7S</t>
  </si>
  <si>
    <t xml:space="preserve">5J4Z0RYC</t>
  </si>
  <si>
    <t xml:space="preserve">HWXJWHGI</t>
  </si>
  <si>
    <t xml:space="preserve">AXHNVQPQ</t>
  </si>
  <si>
    <t xml:space="preserve">RA77E84P</t>
  </si>
  <si>
    <t xml:space="preserve">NTHLG5DT</t>
  </si>
  <si>
    <t xml:space="preserve">HUCB9WIQ</t>
  </si>
  <si>
    <t xml:space="preserve">M6J6VNVQ</t>
  </si>
  <si>
    <t xml:space="preserve">5IOG6X00</t>
  </si>
  <si>
    <t xml:space="preserve">5BRZKG6Y</t>
  </si>
  <si>
    <t xml:space="preserve">U3ZMURXR</t>
  </si>
  <si>
    <t xml:space="preserve">A6T69X6T</t>
  </si>
  <si>
    <t xml:space="preserve">MXVBWIE5</t>
  </si>
  <si>
    <t xml:space="preserve">MAVEITJH</t>
  </si>
  <si>
    <t xml:space="preserve">113O9JCA</t>
  </si>
  <si>
    <t xml:space="preserve">FMMAQM87</t>
  </si>
  <si>
    <t xml:space="preserve">3KZUBSRU</t>
  </si>
  <si>
    <t xml:space="preserve">VA2JJZXD</t>
  </si>
  <si>
    <t xml:space="preserve">UCV49FYZ</t>
  </si>
  <si>
    <t xml:space="preserve">1S09GEOL</t>
  </si>
  <si>
    <t xml:space="preserve">LXGNXNX1</t>
  </si>
  <si>
    <t xml:space="preserve">D5LEL3HF</t>
  </si>
  <si>
    <t xml:space="preserve">W36MU0PW</t>
  </si>
  <si>
    <t xml:space="preserve">KTSB1KYT</t>
  </si>
  <si>
    <t xml:space="preserve">AU5Q1XCW</t>
  </si>
  <si>
    <t xml:space="preserve">56SRDF1B</t>
  </si>
  <si>
    <t xml:space="preserve">BQINW2LB</t>
  </si>
  <si>
    <t xml:space="preserve">PQ3CLZ2N</t>
  </si>
  <si>
    <t xml:space="preserve">CDAMI76Z</t>
  </si>
  <si>
    <t xml:space="preserve">SSEOGPPI</t>
  </si>
  <si>
    <t xml:space="preserve">DUJ52ZYK</t>
  </si>
  <si>
    <t xml:space="preserve">81DUFIPO</t>
  </si>
  <si>
    <t xml:space="preserve">SURL8H49</t>
  </si>
  <si>
    <t xml:space="preserve">AIAX4W1O</t>
  </si>
  <si>
    <t xml:space="preserve">RKTTVMMP</t>
  </si>
  <si>
    <t xml:space="preserve">IH4O3JXV</t>
  </si>
  <si>
    <t xml:space="preserve">F58R70DY</t>
  </si>
  <si>
    <t xml:space="preserve">KS9B13NQ</t>
  </si>
  <si>
    <t xml:space="preserve">IKNMU8HM</t>
  </si>
  <si>
    <t xml:space="preserve">S5NZI5UN</t>
  </si>
  <si>
    <t xml:space="preserve">PEFTXK4Q</t>
  </si>
  <si>
    <t xml:space="preserve">1Y9KPBXY</t>
  </si>
  <si>
    <t xml:space="preserve">CM5MFWCO</t>
  </si>
  <si>
    <t xml:space="preserve">RLHNEVYY</t>
  </si>
  <si>
    <t xml:space="preserve">0TR3RU8A</t>
  </si>
  <si>
    <t xml:space="preserve">LGO0XF4X</t>
  </si>
  <si>
    <t xml:space="preserve">5DOARVYO</t>
  </si>
  <si>
    <t xml:space="preserve">Z4CFFZAW</t>
  </si>
  <si>
    <t xml:space="preserve">ZAY2J4I5</t>
  </si>
  <si>
    <t xml:space="preserve">L71FBIF7</t>
  </si>
  <si>
    <t xml:space="preserve">8FZ7CWPP</t>
  </si>
  <si>
    <t xml:space="preserve">2G82J8WD</t>
  </si>
  <si>
    <t xml:space="preserve">90K2ZTKB</t>
  </si>
  <si>
    <t xml:space="preserve">ONUWPAJM</t>
  </si>
  <si>
    <t xml:space="preserve">Q5R1PYJS</t>
  </si>
  <si>
    <t xml:space="preserve">TP9IE6PV</t>
  </si>
  <si>
    <t xml:space="preserve">SBC67V5T</t>
  </si>
  <si>
    <t xml:space="preserve">7X1D49TU</t>
  </si>
  <si>
    <t xml:space="preserve">KFXZNC4N</t>
  </si>
  <si>
    <t xml:space="preserve">V0XFS245</t>
  </si>
  <si>
    <t xml:space="preserve">BSVZWUXR</t>
  </si>
  <si>
    <t xml:space="preserve">PGYBGBU3</t>
  </si>
  <si>
    <t xml:space="preserve">P0YQ3HNN</t>
  </si>
  <si>
    <t xml:space="preserve">ZTYHMEQY</t>
  </si>
  <si>
    <t xml:space="preserve">CN69EYQ1</t>
  </si>
  <si>
    <t xml:space="preserve">1T91NEIV</t>
  </si>
  <si>
    <t xml:space="preserve">VMIMPP6H</t>
  </si>
  <si>
    <t xml:space="preserve">6M89XBL0</t>
  </si>
  <si>
    <t xml:space="preserve">31NQQEEO</t>
  </si>
  <si>
    <t xml:space="preserve">2GVXOWDF</t>
  </si>
  <si>
    <t xml:space="preserve">IJ7B896N</t>
  </si>
  <si>
    <t xml:space="preserve">L2QMWU4H</t>
  </si>
  <si>
    <t xml:space="preserve">ASC1OWNE</t>
  </si>
  <si>
    <t xml:space="preserve">7QE84GCH</t>
  </si>
  <si>
    <t xml:space="preserve">MBLFZPU2</t>
  </si>
  <si>
    <t xml:space="preserve">PPXIWYMT</t>
  </si>
  <si>
    <t xml:space="preserve">557JX4BM</t>
  </si>
  <si>
    <t xml:space="preserve">YQACOZV4</t>
  </si>
  <si>
    <t xml:space="preserve">WCEPUBH5</t>
  </si>
  <si>
    <t xml:space="preserve">UYJDOT4Q</t>
  </si>
  <si>
    <t xml:space="preserve">DPDUK8RG</t>
  </si>
  <si>
    <t xml:space="preserve">FSEF5ZR9</t>
  </si>
  <si>
    <t xml:space="preserve">PUP6JDT9</t>
  </si>
  <si>
    <t xml:space="preserve">T7TDUK3T</t>
  </si>
  <si>
    <t xml:space="preserve">XCGW5K0N</t>
  </si>
  <si>
    <t xml:space="preserve">T3W0Z8KP</t>
  </si>
  <si>
    <t xml:space="preserve">SFBHZLHK</t>
  </si>
  <si>
    <t xml:space="preserve">CDGA1SD7</t>
  </si>
  <si>
    <t xml:space="preserve">7FN6LV2E</t>
  </si>
  <si>
    <t xml:space="preserve">E8QYYAGE</t>
  </si>
  <si>
    <t xml:space="preserve">VAV3N62C</t>
  </si>
  <si>
    <t xml:space="preserve">S4YQYJPM</t>
  </si>
  <si>
    <t xml:space="preserve">0MZIJDPM</t>
  </si>
  <si>
    <t xml:space="preserve">AR35V2L2</t>
  </si>
  <si>
    <t xml:space="preserve">VUF34IPC</t>
  </si>
  <si>
    <t xml:space="preserve">ZNOARPNW</t>
  </si>
  <si>
    <t xml:space="preserve">0VG9PGMI</t>
  </si>
  <si>
    <t xml:space="preserve">ID2VJE8V</t>
  </si>
  <si>
    <t xml:space="preserve">G6X1B2K5</t>
  </si>
  <si>
    <t xml:space="preserve">09P7O0LQ</t>
  </si>
  <si>
    <t xml:space="preserve">U68B4UQU</t>
  </si>
  <si>
    <t xml:space="preserve">BNYWSG6W</t>
  </si>
  <si>
    <t xml:space="preserve">S9ZUMLSY</t>
  </si>
  <si>
    <t xml:space="preserve">0WGCUB3L</t>
  </si>
  <si>
    <t xml:space="preserve">1C2V9RAO</t>
  </si>
  <si>
    <t xml:space="preserve">K2683261</t>
  </si>
  <si>
    <t xml:space="preserve">GFBJXXI1</t>
  </si>
  <si>
    <t xml:space="preserve">EYNZMBI0</t>
  </si>
  <si>
    <t xml:space="preserve">UKJO54QY</t>
  </si>
  <si>
    <t xml:space="preserve">8QH99OEZ</t>
  </si>
  <si>
    <t xml:space="preserve">TLT4JJ0U</t>
  </si>
  <si>
    <t xml:space="preserve">5LPKNEEI</t>
  </si>
  <si>
    <t xml:space="preserve">6KPKOR79</t>
  </si>
  <si>
    <t xml:space="preserve">C9M5B1N6</t>
  </si>
  <si>
    <t xml:space="preserve">O7E0302B</t>
  </si>
  <si>
    <t xml:space="preserve">HTZD5YGO</t>
  </si>
  <si>
    <t xml:space="preserve">6GDZDVTV</t>
  </si>
  <si>
    <t xml:space="preserve">839DCVT2</t>
  </si>
  <si>
    <t xml:space="preserve">M765WQ4W</t>
  </si>
  <si>
    <t xml:space="preserve">2PQORQGO</t>
  </si>
  <si>
    <t xml:space="preserve">TR3TXXHF</t>
  </si>
  <si>
    <t xml:space="preserve">LW0Z6TMR</t>
  </si>
  <si>
    <t xml:space="preserve">CP3JY4PE</t>
  </si>
  <si>
    <t xml:space="preserve">P7GCDFU8</t>
  </si>
  <si>
    <t xml:space="preserve">5JIXFMFY</t>
  </si>
  <si>
    <t xml:space="preserve">I3TDKU30</t>
  </si>
  <si>
    <t xml:space="preserve">NMN9DVEV</t>
  </si>
  <si>
    <t xml:space="preserve">29VR6EL4</t>
  </si>
  <si>
    <t xml:space="preserve">M0PGP5H2</t>
  </si>
  <si>
    <t xml:space="preserve">FAS1KT97</t>
  </si>
  <si>
    <t xml:space="preserve">BUJ1TX7Y</t>
  </si>
  <si>
    <t xml:space="preserve">IRODLEGG</t>
  </si>
  <si>
    <t xml:space="preserve">53ZXALR1</t>
  </si>
  <si>
    <t xml:space="preserve">5CIT07UC</t>
  </si>
  <si>
    <t xml:space="preserve">AKBRVLRZ</t>
  </si>
  <si>
    <t xml:space="preserve">4KVZVHNN</t>
  </si>
  <si>
    <t xml:space="preserve">WDT43Q6O</t>
  </si>
  <si>
    <t xml:space="preserve">8EF4D82U</t>
  </si>
  <si>
    <t xml:space="preserve">QY4ZMI2F</t>
  </si>
  <si>
    <t xml:space="preserve">LRLER1XS</t>
  </si>
  <si>
    <t xml:space="preserve">9DEDEQ5O</t>
  </si>
  <si>
    <t xml:space="preserve">DV6WD759</t>
  </si>
  <si>
    <t xml:space="preserve">HSZOPWWT</t>
  </si>
  <si>
    <t xml:space="preserve">LWX9V7HI</t>
  </si>
  <si>
    <t xml:space="preserve">SUPA1RHK</t>
  </si>
  <si>
    <t xml:space="preserve">576N6HHJ</t>
  </si>
  <si>
    <t xml:space="preserve">2RB900SL</t>
  </si>
  <si>
    <t xml:space="preserve">ZG1DFNPW</t>
  </si>
  <si>
    <t xml:space="preserve">5YLCW6L5</t>
  </si>
  <si>
    <t xml:space="preserve">8H1VRXAK</t>
  </si>
  <si>
    <t xml:space="preserve">FR4GTSEQ</t>
  </si>
  <si>
    <t xml:space="preserve">LWCKCV0M</t>
  </si>
  <si>
    <t xml:space="preserve">4T9CQH5J</t>
  </si>
  <si>
    <t xml:space="preserve">MDHD11QD</t>
  </si>
  <si>
    <t xml:space="preserve">UQCPNZO1</t>
  </si>
  <si>
    <t xml:space="preserve">E41SDK40</t>
  </si>
  <si>
    <t xml:space="preserve">DRJG2FVR</t>
  </si>
  <si>
    <t xml:space="preserve">6VMQQKLJ</t>
  </si>
  <si>
    <t xml:space="preserve">L58MN75X</t>
  </si>
  <si>
    <t xml:space="preserve">8U5GBXK1</t>
  </si>
  <si>
    <t xml:space="preserve">YT9PLSVL</t>
  </si>
  <si>
    <t xml:space="preserve">YUVNXSSD</t>
  </si>
  <si>
    <t xml:space="preserve">GRRY4DQR</t>
  </si>
  <si>
    <t xml:space="preserve">V2GGEAOC</t>
  </si>
  <si>
    <t xml:space="preserve">0J24X1Y0</t>
  </si>
  <si>
    <t xml:space="preserve">AQFXE1TA</t>
  </si>
  <si>
    <t xml:space="preserve">RDFUGEA2</t>
  </si>
  <si>
    <t xml:space="preserve">1XWQZ1F8</t>
  </si>
  <si>
    <t xml:space="preserve">PCQUKUM5</t>
  </si>
  <si>
    <t xml:space="preserve">K1UREXI5</t>
  </si>
  <si>
    <t xml:space="preserve">P60PIE95</t>
  </si>
  <si>
    <t xml:space="preserve">7GM1XD9W</t>
  </si>
  <si>
    <t xml:space="preserve">GYC77KNM</t>
  </si>
  <si>
    <t xml:space="preserve">7WYZ9HMC</t>
  </si>
  <si>
    <t xml:space="preserve">8OMML4E8</t>
  </si>
  <si>
    <t xml:space="preserve">6CXJOT2A</t>
  </si>
  <si>
    <t xml:space="preserve">GR6C7GQ9</t>
  </si>
  <si>
    <t xml:space="preserve">0D95JSVW</t>
  </si>
  <si>
    <t xml:space="preserve">6CV2KEKP</t>
  </si>
  <si>
    <t xml:space="preserve">JLK580ND</t>
  </si>
  <si>
    <t xml:space="preserve">BMQEY089</t>
  </si>
  <si>
    <t xml:space="preserve">STVHD67J</t>
  </si>
  <si>
    <t xml:space="preserve">BPQ0358T</t>
  </si>
  <si>
    <t xml:space="preserve">2756CEOQ</t>
  </si>
  <si>
    <t xml:space="preserve">P6H45Y25</t>
  </si>
  <si>
    <t xml:space="preserve">FA6JQ4V2</t>
  </si>
  <si>
    <t xml:space="preserve">D6CRJSEP</t>
  </si>
  <si>
    <t xml:space="preserve">FKU9TS06</t>
  </si>
  <si>
    <t xml:space="preserve">CJZLM3WA</t>
  </si>
  <si>
    <t xml:space="preserve">9YVSYSE8</t>
  </si>
  <si>
    <t xml:space="preserve">JP72AC6I</t>
  </si>
  <si>
    <t xml:space="preserve">JRAAPD3L</t>
  </si>
  <si>
    <t xml:space="preserve">XO8TRDKK</t>
  </si>
  <si>
    <t xml:space="preserve">1J5Y9X1H</t>
  </si>
  <si>
    <t xml:space="preserve">7ITUU2YO</t>
  </si>
  <si>
    <t xml:space="preserve">PMHOZRJN</t>
  </si>
  <si>
    <t xml:space="preserve">YA68AAQK</t>
  </si>
  <si>
    <t xml:space="preserve">3DYZN86H</t>
  </si>
  <si>
    <t xml:space="preserve">07WKR17A</t>
  </si>
  <si>
    <t xml:space="preserve">MELHF0ZP</t>
  </si>
  <si>
    <t xml:space="preserve">LBZY9VUG</t>
  </si>
  <si>
    <t xml:space="preserve">ZGSQMEQ9</t>
  </si>
  <si>
    <t xml:space="preserve">74YVUL52</t>
  </si>
  <si>
    <t xml:space="preserve">MUUNQNG2</t>
  </si>
  <si>
    <t xml:space="preserve">4XLLUO6J</t>
  </si>
  <si>
    <t xml:space="preserve">AE306TJU</t>
  </si>
  <si>
    <t xml:space="preserve">5TRALM9T</t>
  </si>
  <si>
    <t xml:space="preserve">WPTNE0QN</t>
  </si>
  <si>
    <t xml:space="preserve">IV5UVG0R</t>
  </si>
  <si>
    <t xml:space="preserve">NOHEK8PU</t>
  </si>
  <si>
    <t xml:space="preserve">N7WUBQR0</t>
  </si>
  <si>
    <t xml:space="preserve">GKHTT70P</t>
  </si>
  <si>
    <t xml:space="preserve">GE5SORJX</t>
  </si>
  <si>
    <t xml:space="preserve">CQDL6WZX</t>
  </si>
  <si>
    <t xml:space="preserve">TNEB1XNK</t>
  </si>
  <si>
    <t xml:space="preserve">4NAHJMYM</t>
  </si>
  <si>
    <t xml:space="preserve">X58FLJ8K</t>
  </si>
  <si>
    <t xml:space="preserve">UZ0MRAFU</t>
  </si>
  <si>
    <t xml:space="preserve">5MFY1D4C</t>
  </si>
  <si>
    <t xml:space="preserve">J80ZEYYM</t>
  </si>
  <si>
    <t xml:space="preserve">0BSYDRMT</t>
  </si>
  <si>
    <t xml:space="preserve">G7HADWB0</t>
  </si>
  <si>
    <t xml:space="preserve">FF5G00YD</t>
  </si>
  <si>
    <t xml:space="preserve">0U0GUDIX</t>
  </si>
  <si>
    <t xml:space="preserve">JG1CD65M</t>
  </si>
  <si>
    <t xml:space="preserve">LXWQDEU3</t>
  </si>
  <si>
    <t xml:space="preserve">RLJI4F93</t>
  </si>
  <si>
    <t xml:space="preserve">9SU2A73Y</t>
  </si>
  <si>
    <t xml:space="preserve">WB44DF28</t>
  </si>
  <si>
    <t xml:space="preserve">WB974HS4</t>
  </si>
  <si>
    <t xml:space="preserve">OCMCRBJR</t>
  </si>
  <si>
    <t xml:space="preserve">ZBB9CDO4</t>
  </si>
  <si>
    <t xml:space="preserve">0MPEK4ZA</t>
  </si>
  <si>
    <t xml:space="preserve">AUZM3MLU</t>
  </si>
  <si>
    <t xml:space="preserve">9S8E95EI</t>
  </si>
  <si>
    <t xml:space="preserve">E3JP7HCX</t>
  </si>
  <si>
    <t xml:space="preserve">AUEAKRQV</t>
  </si>
  <si>
    <t xml:space="preserve">RGUC0V54</t>
  </si>
  <si>
    <t xml:space="preserve">0N2VYY6Z</t>
  </si>
  <si>
    <t xml:space="preserve">EFUIZFRA</t>
  </si>
  <si>
    <t xml:space="preserve">S5E8MBO3</t>
  </si>
  <si>
    <t xml:space="preserve">65AT4VFM</t>
  </si>
  <si>
    <t xml:space="preserve">SHS9HQX4</t>
  </si>
  <si>
    <t xml:space="preserve">ZN0FWO0L</t>
  </si>
  <si>
    <t xml:space="preserve">9BTSKY01</t>
  </si>
  <si>
    <t xml:space="preserve">DYWMK8OF</t>
  </si>
  <si>
    <t xml:space="preserve">E9C7WXQL</t>
  </si>
  <si>
    <t xml:space="preserve">OJ9KBQML</t>
  </si>
  <si>
    <t xml:space="preserve">9C2RRH1Q</t>
  </si>
  <si>
    <t xml:space="preserve">1MTLDVU8</t>
  </si>
  <si>
    <t xml:space="preserve">JY5LPMSJ</t>
  </si>
  <si>
    <t xml:space="preserve">EWRVDN3U</t>
  </si>
  <si>
    <t xml:space="preserve">OG13XT4P</t>
  </si>
  <si>
    <t xml:space="preserve">A2PIOJWL</t>
  </si>
  <si>
    <t xml:space="preserve">5J1C46RJ</t>
  </si>
  <si>
    <t xml:space="preserve">A0Z6FYRO</t>
  </si>
  <si>
    <t xml:space="preserve">2BG4ZR42</t>
  </si>
  <si>
    <t xml:space="preserve">DDWSCXZA</t>
  </si>
  <si>
    <t xml:space="preserve">EETBBG75</t>
  </si>
  <si>
    <t xml:space="preserve">UQY5TEE8</t>
  </si>
  <si>
    <t xml:space="preserve">QMJHLT1V</t>
  </si>
  <si>
    <t xml:space="preserve">XS7CNY5H</t>
  </si>
  <si>
    <t xml:space="preserve">GTOKTXRA</t>
  </si>
  <si>
    <t xml:space="preserve">VSZ4UVVN</t>
  </si>
  <si>
    <t xml:space="preserve">XAS0EL71</t>
  </si>
  <si>
    <t xml:space="preserve">9GQ6HQLK</t>
  </si>
  <si>
    <t xml:space="preserve">IHOU09D6</t>
  </si>
  <si>
    <t xml:space="preserve">IVCON5CU</t>
  </si>
  <si>
    <t xml:space="preserve">V8I2CE9V</t>
  </si>
  <si>
    <t xml:space="preserve">BXOIQHTS</t>
  </si>
  <si>
    <t xml:space="preserve">TKN1L8EX</t>
  </si>
  <si>
    <t xml:space="preserve">ZCFAVNF3</t>
  </si>
  <si>
    <t xml:space="preserve">64SDWSQH</t>
  </si>
  <si>
    <t xml:space="preserve">RKT3WVBC</t>
  </si>
  <si>
    <t xml:space="preserve">P7H8UY1P</t>
  </si>
  <si>
    <t xml:space="preserve">1MZ8GDLF</t>
  </si>
  <si>
    <t xml:space="preserve">ME3H0RUJ</t>
  </si>
  <si>
    <t xml:space="preserve">PN3T4FUG</t>
  </si>
  <si>
    <t xml:space="preserve">QCN2DZQQ</t>
  </si>
  <si>
    <t xml:space="preserve">L2P99XIG</t>
  </si>
  <si>
    <t xml:space="preserve">PI8RROK0</t>
  </si>
  <si>
    <t xml:space="preserve">IZJR1WDM</t>
  </si>
  <si>
    <t xml:space="preserve">OBGCQ1BK</t>
  </si>
  <si>
    <t xml:space="preserve">Y93GK95W</t>
  </si>
  <si>
    <t xml:space="preserve">PBJ01MRE</t>
  </si>
  <si>
    <t xml:space="preserve">NJTWATVH</t>
  </si>
  <si>
    <t xml:space="preserve">VTO3SNNX</t>
  </si>
  <si>
    <t xml:space="preserve">EMIAKHPF</t>
  </si>
  <si>
    <t xml:space="preserve">09RN3MHV</t>
  </si>
  <si>
    <t xml:space="preserve">P60EK5NN</t>
  </si>
  <si>
    <t xml:space="preserve">POXC3DA1</t>
  </si>
  <si>
    <t xml:space="preserve">SMQV0BRI</t>
  </si>
  <si>
    <t xml:space="preserve">RZB6Q4FX</t>
  </si>
  <si>
    <t xml:space="preserve">TJEEFJG8</t>
  </si>
  <si>
    <t xml:space="preserve">G2C5RKTN</t>
  </si>
  <si>
    <t xml:space="preserve">L9IXFTIL</t>
  </si>
  <si>
    <t xml:space="preserve">QABD6SAS</t>
  </si>
  <si>
    <t xml:space="preserve">FLANUQCV</t>
  </si>
  <si>
    <t xml:space="preserve">KUH39HQ7</t>
  </si>
  <si>
    <t xml:space="preserve">31C5DVJT</t>
  </si>
  <si>
    <t xml:space="preserve">DR2H05BG</t>
  </si>
  <si>
    <t xml:space="preserve">XE0H6MOP</t>
  </si>
  <si>
    <t xml:space="preserve">1A1BI5VB</t>
  </si>
  <si>
    <t xml:space="preserve">1LLRNE8G</t>
  </si>
  <si>
    <t xml:space="preserve">MN34I4DD</t>
  </si>
  <si>
    <t xml:space="preserve">1RL933VJ</t>
  </si>
  <si>
    <t xml:space="preserve">95V8BLR2</t>
  </si>
  <si>
    <t xml:space="preserve">FB0Q3FYP</t>
  </si>
  <si>
    <t xml:space="preserve">PQLMEIG0</t>
  </si>
  <si>
    <t xml:space="preserve">G17TENJ4</t>
  </si>
  <si>
    <t xml:space="preserve">1DMERFNB</t>
  </si>
  <si>
    <t xml:space="preserve">CRWE8FRT</t>
  </si>
  <si>
    <t xml:space="preserve">WSG25BZ9</t>
  </si>
  <si>
    <t xml:space="preserve">V9FD3EYK</t>
  </si>
  <si>
    <t xml:space="preserve">62NZ0THZ</t>
  </si>
  <si>
    <t xml:space="preserve">FU00L2Y2</t>
  </si>
  <si>
    <t xml:space="preserve">1TJ6WP5R</t>
  </si>
  <si>
    <t xml:space="preserve">KOYW9WIV</t>
  </si>
  <si>
    <t xml:space="preserve">6TBAKLMX</t>
  </si>
  <si>
    <t xml:space="preserve">YW14K7PE</t>
  </si>
  <si>
    <t xml:space="preserve">6UUTR15S</t>
  </si>
  <si>
    <t xml:space="preserve">TS2JEK3E</t>
  </si>
  <si>
    <t xml:space="preserve">PAQTBHVA</t>
  </si>
  <si>
    <t xml:space="preserve">AG0H8IAZ</t>
  </si>
  <si>
    <t xml:space="preserve">1KVGSF08</t>
  </si>
  <si>
    <t xml:space="preserve">GZU4ZSFE</t>
  </si>
  <si>
    <t xml:space="preserve">283Y9ULR</t>
  </si>
  <si>
    <t xml:space="preserve">QDYFLOZW</t>
  </si>
  <si>
    <t xml:space="preserve">BO8DSRV7</t>
  </si>
  <si>
    <t xml:space="preserve">D7JDQB12</t>
  </si>
  <si>
    <t xml:space="preserve">Y9NTV3K5</t>
  </si>
  <si>
    <t xml:space="preserve">28FTXKAB</t>
  </si>
  <si>
    <t xml:space="preserve">9OLZU3WB</t>
  </si>
  <si>
    <t xml:space="preserve">9N66Q1VO</t>
  </si>
  <si>
    <t xml:space="preserve">VE334W2U</t>
  </si>
  <si>
    <t xml:space="preserve">6GY8Q8F0</t>
  </si>
  <si>
    <t xml:space="preserve">J7U29ZM5</t>
  </si>
  <si>
    <t xml:space="preserve">P8P9MKJL</t>
  </si>
  <si>
    <t xml:space="preserve">2LOQKW1C</t>
  </si>
  <si>
    <t xml:space="preserve">W0TOD23Z</t>
  </si>
  <si>
    <t xml:space="preserve">P4PKECH7</t>
  </si>
  <si>
    <t xml:space="preserve">6C70OX62</t>
  </si>
  <si>
    <t xml:space="preserve">7GDRCAJR</t>
  </si>
  <si>
    <t xml:space="preserve">G53492IF</t>
  </si>
  <si>
    <t xml:space="preserve">V93ZA48C</t>
  </si>
  <si>
    <t xml:space="preserve">FRRJMFIJ</t>
  </si>
  <si>
    <t xml:space="preserve">66KFPHBT</t>
  </si>
  <si>
    <t xml:space="preserve">ENDKZ399</t>
  </si>
  <si>
    <t xml:space="preserve">3Y6REURA</t>
  </si>
  <si>
    <t xml:space="preserve">40VSPND6</t>
  </si>
  <si>
    <t xml:space="preserve">18N5WD04</t>
  </si>
  <si>
    <t xml:space="preserve">JAH8NGC2</t>
  </si>
  <si>
    <t xml:space="preserve">HTA6XLY3</t>
  </si>
  <si>
    <t xml:space="preserve">S0WEFDP2</t>
  </si>
  <si>
    <t xml:space="preserve">9F2MDA5R</t>
  </si>
  <si>
    <t xml:space="preserve">KD63LC6D</t>
  </si>
  <si>
    <t xml:space="preserve">K05LLUU4</t>
  </si>
  <si>
    <t xml:space="preserve">XMRZQ8PR</t>
  </si>
  <si>
    <t xml:space="preserve">ZWXKCHOO</t>
  </si>
  <si>
    <t xml:space="preserve">VKM2BCMV</t>
  </si>
  <si>
    <t xml:space="preserve">4LVXK5H1</t>
  </si>
  <si>
    <t xml:space="preserve">QHP95ULI</t>
  </si>
  <si>
    <t xml:space="preserve">M4HY664H</t>
  </si>
  <si>
    <t xml:space="preserve">8S7IAR2D</t>
  </si>
  <si>
    <t xml:space="preserve">K7FBRQCA</t>
  </si>
  <si>
    <t xml:space="preserve">HELQUZNO</t>
  </si>
  <si>
    <t xml:space="preserve">1FXXXLJY</t>
  </si>
  <si>
    <t xml:space="preserve">A50JWKFS</t>
  </si>
  <si>
    <t xml:space="preserve">XGMMHWZC</t>
  </si>
  <si>
    <t xml:space="preserve">G6FKELQV</t>
  </si>
  <si>
    <t xml:space="preserve">QFBBRJL5</t>
  </si>
  <si>
    <t xml:space="preserve">NHA6MNJF</t>
  </si>
  <si>
    <t xml:space="preserve">PLRBC69J</t>
  </si>
  <si>
    <t xml:space="preserve">K44PIQTN</t>
  </si>
  <si>
    <t xml:space="preserve">JU2PPGP6</t>
  </si>
  <si>
    <t xml:space="preserve">1E5MFGR7</t>
  </si>
  <si>
    <t xml:space="preserve">X7VUR49L</t>
  </si>
  <si>
    <t xml:space="preserve">2MH79C2B</t>
  </si>
  <si>
    <t xml:space="preserve">Q5JU0LZJ</t>
  </si>
  <si>
    <t xml:space="preserve">IWLEND3K</t>
  </si>
  <si>
    <t xml:space="preserve">UWYFOEMO</t>
  </si>
  <si>
    <t xml:space="preserve">2Y9R7T2W</t>
  </si>
  <si>
    <t xml:space="preserve">VA9AGU75</t>
  </si>
  <si>
    <t xml:space="preserve">E4H6CBPJ</t>
  </si>
  <si>
    <t xml:space="preserve">M0IN22XH</t>
  </si>
  <si>
    <t xml:space="preserve">LSJ2A8ZX</t>
  </si>
  <si>
    <t xml:space="preserve">S3E48VE0</t>
  </si>
  <si>
    <t xml:space="preserve">1PORK6E3</t>
  </si>
  <si>
    <t xml:space="preserve">NXFAXN16</t>
  </si>
  <si>
    <t xml:space="preserve">VA0I9SDD</t>
  </si>
  <si>
    <t xml:space="preserve">YWKFH7VT</t>
  </si>
  <si>
    <t xml:space="preserve">JUU6C7NO</t>
  </si>
  <si>
    <t xml:space="preserve">0TICPBMF</t>
  </si>
  <si>
    <t xml:space="preserve">S0MZHYQC</t>
  </si>
  <si>
    <t xml:space="preserve">NJC209SC</t>
  </si>
  <si>
    <t xml:space="preserve">RQ3BV2I5</t>
  </si>
  <si>
    <t xml:space="preserve">GOGIZWW6</t>
  </si>
  <si>
    <t xml:space="preserve">58QZ1YGK</t>
  </si>
  <si>
    <t xml:space="preserve">XP1PQSPC</t>
  </si>
  <si>
    <t xml:space="preserve">3HTSMIGI</t>
  </si>
  <si>
    <t xml:space="preserve">TFL3C3JS</t>
  </si>
  <si>
    <t xml:space="preserve">EG5M02ZV</t>
  </si>
  <si>
    <t xml:space="preserve">DEN2BPRR</t>
  </si>
  <si>
    <t xml:space="preserve">BUQ655AB</t>
  </si>
  <si>
    <t xml:space="preserve">G2EECJNG</t>
  </si>
  <si>
    <t xml:space="preserve">8QOUXQEV</t>
  </si>
  <si>
    <t xml:space="preserve">PMVKMS6A</t>
  </si>
  <si>
    <t xml:space="preserve">7U81B9AQ</t>
  </si>
  <si>
    <t xml:space="preserve">3C7A75LH</t>
  </si>
  <si>
    <t xml:space="preserve">M3MJY0CK</t>
  </si>
  <si>
    <t xml:space="preserve">3L8ECZK8</t>
  </si>
  <si>
    <t xml:space="preserve">LBYGH8WS</t>
  </si>
  <si>
    <t xml:space="preserve">WYS1XI44</t>
  </si>
  <si>
    <t xml:space="preserve">41IM8V9E</t>
  </si>
  <si>
    <t xml:space="preserve">8G2OTKLL</t>
  </si>
  <si>
    <t xml:space="preserve">3XJI7AD8</t>
  </si>
  <si>
    <t xml:space="preserve">CS2ZS0B4</t>
  </si>
  <si>
    <t xml:space="preserve">3IIDRUGI</t>
  </si>
  <si>
    <t xml:space="preserve">BNMJAOF4</t>
  </si>
  <si>
    <t xml:space="preserve">DG7LABPD</t>
  </si>
  <si>
    <t xml:space="preserve">D40ALWGC</t>
  </si>
  <si>
    <t xml:space="preserve">ZPB5KNCD</t>
  </si>
  <si>
    <t xml:space="preserve">7XSAHM67</t>
  </si>
  <si>
    <t xml:space="preserve">6XH71PH8</t>
  </si>
  <si>
    <t xml:space="preserve">KZMZH8L6</t>
  </si>
  <si>
    <t xml:space="preserve">48UPZJ45</t>
  </si>
  <si>
    <t xml:space="preserve">NTNYA5PE</t>
  </si>
  <si>
    <t xml:space="preserve">8SNDBWPP</t>
  </si>
  <si>
    <t xml:space="preserve">856VG3CS</t>
  </si>
  <si>
    <t xml:space="preserve">A60QAIT3</t>
  </si>
  <si>
    <t xml:space="preserve">I25J5M7W</t>
  </si>
  <si>
    <t xml:space="preserve">L0SOZL9A</t>
  </si>
  <si>
    <t xml:space="preserve">FBYWCLLS</t>
  </si>
  <si>
    <t xml:space="preserve">JZU0JH07</t>
  </si>
  <si>
    <t xml:space="preserve">9XF2B7RS</t>
  </si>
  <si>
    <t xml:space="preserve">58CZCKFN</t>
  </si>
  <si>
    <t xml:space="preserve">02LUGFJS</t>
  </si>
  <si>
    <t xml:space="preserve">1WPZ1MCO</t>
  </si>
  <si>
    <t xml:space="preserve">EL03YRD0</t>
  </si>
  <si>
    <t xml:space="preserve">O7U4I96P</t>
  </si>
  <si>
    <t xml:space="preserve">SBTVPORC</t>
  </si>
  <si>
    <t xml:space="preserve">YOFRJU68</t>
  </si>
  <si>
    <t xml:space="preserve">RWQKOD1W</t>
  </si>
  <si>
    <t xml:space="preserve">9UBU6UW4</t>
  </si>
  <si>
    <t xml:space="preserve">VXOZC2CN</t>
  </si>
  <si>
    <t xml:space="preserve">L9BTE2RA</t>
  </si>
  <si>
    <t xml:space="preserve">8SGMUWET</t>
  </si>
  <si>
    <t xml:space="preserve">9N7LHW38</t>
  </si>
  <si>
    <t xml:space="preserve">DEVXF86R</t>
  </si>
  <si>
    <t xml:space="preserve">GXPA5D3A</t>
  </si>
  <si>
    <t xml:space="preserve">UZN5JBF3</t>
  </si>
  <si>
    <t xml:space="preserve">GXHAIS33</t>
  </si>
  <si>
    <t xml:space="preserve">L9CJZZ59</t>
  </si>
  <si>
    <t xml:space="preserve">XN63KZRZ</t>
  </si>
  <si>
    <t xml:space="preserve">DK6L8Y0Y</t>
  </si>
  <si>
    <t xml:space="preserve">TPNU79C1</t>
  </si>
  <si>
    <t xml:space="preserve">R8MZ10BW</t>
  </si>
  <si>
    <t xml:space="preserve">CV0BDYMP</t>
  </si>
  <si>
    <t xml:space="preserve">H6SE0L31</t>
  </si>
  <si>
    <t xml:space="preserve">X56STCJP</t>
  </si>
  <si>
    <t xml:space="preserve">ZKFWTRRT</t>
  </si>
  <si>
    <t xml:space="preserve">EFA9E6WV</t>
  </si>
  <si>
    <t xml:space="preserve">75HKH8PS</t>
  </si>
  <si>
    <t xml:space="preserve">Y7AC2LSL</t>
  </si>
  <si>
    <t xml:space="preserve">73EBDWP4</t>
  </si>
  <si>
    <t xml:space="preserve">NTGU3NYS</t>
  </si>
  <si>
    <t xml:space="preserve">PEGFPDVU</t>
  </si>
  <si>
    <t xml:space="preserve">TWO2Q99P</t>
  </si>
  <si>
    <t xml:space="preserve">MG7CZFIG</t>
  </si>
  <si>
    <t xml:space="preserve">QF1I965E</t>
  </si>
  <si>
    <t xml:space="preserve">5R7N3RKQ</t>
  </si>
  <si>
    <t xml:space="preserve">AILF7GOP</t>
  </si>
  <si>
    <t xml:space="preserve">EMORZ8R8</t>
  </si>
  <si>
    <t xml:space="preserve">ABMOVF1A</t>
  </si>
  <si>
    <t xml:space="preserve">Y5CP83V4</t>
  </si>
  <si>
    <t xml:space="preserve">EFWND7VS</t>
  </si>
  <si>
    <t xml:space="preserve">9G93P7SV</t>
  </si>
  <si>
    <t xml:space="preserve">Y2DLFFN6</t>
  </si>
  <si>
    <t xml:space="preserve">W7VULS00</t>
  </si>
  <si>
    <t xml:space="preserve">S2WRH3QA</t>
  </si>
  <si>
    <t xml:space="preserve">CUMYWQYP</t>
  </si>
  <si>
    <t xml:space="preserve">7SPRU76Q</t>
  </si>
  <si>
    <t xml:space="preserve">GPVQIS5U</t>
  </si>
  <si>
    <t xml:space="preserve">HZS2YVRN</t>
  </si>
  <si>
    <t xml:space="preserve">FSBZ3KOY</t>
  </si>
  <si>
    <t xml:space="preserve">ODINSHYF</t>
  </si>
  <si>
    <t xml:space="preserve">RFTDQJ0U</t>
  </si>
  <si>
    <t xml:space="preserve">VJD27D8U</t>
  </si>
  <si>
    <t xml:space="preserve">2EFTTOAV</t>
  </si>
  <si>
    <t xml:space="preserve">V7T9ZP6C</t>
  </si>
  <si>
    <t xml:space="preserve">389D515R</t>
  </si>
  <si>
    <t xml:space="preserve">W5EGDYPK</t>
  </si>
  <si>
    <t xml:space="preserve">7TIWLFZD</t>
  </si>
  <si>
    <t xml:space="preserve">ZXNHUYCM</t>
  </si>
  <si>
    <t xml:space="preserve">Q25T8PKX</t>
  </si>
  <si>
    <t xml:space="preserve">NOLWR5EX</t>
  </si>
  <si>
    <t xml:space="preserve">600FP406</t>
  </si>
  <si>
    <t xml:space="preserve">61ON3Y6O</t>
  </si>
  <si>
    <t xml:space="preserve">941SDVVZ</t>
  </si>
  <si>
    <t xml:space="preserve">8SE1W979</t>
  </si>
  <si>
    <t xml:space="preserve">TEF07JM6</t>
  </si>
  <si>
    <t xml:space="preserve">CMXOTVL7</t>
  </si>
  <si>
    <t xml:space="preserve">MC3OSDV0</t>
  </si>
  <si>
    <t xml:space="preserve">V86S5LWV</t>
  </si>
  <si>
    <t xml:space="preserve">PEIZDYXE</t>
  </si>
  <si>
    <t xml:space="preserve">YD3D41E0</t>
  </si>
  <si>
    <t xml:space="preserve">WLQC2XK4</t>
  </si>
  <si>
    <t xml:space="preserve">Q5I9JWH7</t>
  </si>
  <si>
    <t xml:space="preserve">EBJMZ5VE</t>
  </si>
  <si>
    <t xml:space="preserve">THPCTGNI</t>
  </si>
  <si>
    <t xml:space="preserve">5DL7R4C3</t>
  </si>
  <si>
    <t xml:space="preserve">3LYVAV6P</t>
  </si>
  <si>
    <t xml:space="preserve">VSN0PA06</t>
  </si>
  <si>
    <t xml:space="preserve">Q5E0NILP</t>
  </si>
  <si>
    <t xml:space="preserve">HZNNKQ0T</t>
  </si>
  <si>
    <t xml:space="preserve">VM0A3057</t>
  </si>
  <si>
    <t xml:space="preserve">988QUSNK</t>
  </si>
  <si>
    <t xml:space="preserve">O7B3XCKF</t>
  </si>
  <si>
    <t xml:space="preserve">86KARIC1</t>
  </si>
  <si>
    <t xml:space="preserve">HIX9V4W1</t>
  </si>
  <si>
    <t xml:space="preserve">HEG2JK9Y</t>
  </si>
  <si>
    <t xml:space="preserve">DX8R6PA4</t>
  </si>
  <si>
    <t xml:space="preserve">K79T6VNV</t>
  </si>
  <si>
    <t xml:space="preserve">7WFASDCZ</t>
  </si>
  <si>
    <t xml:space="preserve">V5ZP09PO</t>
  </si>
  <si>
    <t xml:space="preserve">35KZ6QTP</t>
  </si>
  <si>
    <t xml:space="preserve">R2E45IQ8</t>
  </si>
  <si>
    <t xml:space="preserve">WV41OJHX</t>
  </si>
  <si>
    <t xml:space="preserve">C3HN12Z8</t>
  </si>
  <si>
    <t xml:space="preserve">Q46QSEGT</t>
  </si>
  <si>
    <t xml:space="preserve">2CN1G52G</t>
  </si>
  <si>
    <t xml:space="preserve">ZP9HW0LH</t>
  </si>
  <si>
    <t xml:space="preserve">9TMPRT6R</t>
  </si>
  <si>
    <t xml:space="preserve">N2SLAOZR</t>
  </si>
  <si>
    <t xml:space="preserve">9NH8ACMQ</t>
  </si>
  <si>
    <t xml:space="preserve">XUEHL04Z</t>
  </si>
  <si>
    <t xml:space="preserve">KU0YOR3J</t>
  </si>
  <si>
    <t xml:space="preserve">84SZ58S9</t>
  </si>
  <si>
    <t xml:space="preserve">0MXZ36G7</t>
  </si>
  <si>
    <t xml:space="preserve">YID2GAED</t>
  </si>
  <si>
    <t xml:space="preserve">5NW6HK74</t>
  </si>
  <si>
    <t xml:space="preserve">2UNDAQZ2</t>
  </si>
  <si>
    <t xml:space="preserve">Y9HHGGOQ</t>
  </si>
  <si>
    <t xml:space="preserve">XSSK506P</t>
  </si>
  <si>
    <t xml:space="preserve">X718EF6Y</t>
  </si>
  <si>
    <t xml:space="preserve">TSU40NIZ</t>
  </si>
  <si>
    <t xml:space="preserve">1ZCAL93A</t>
  </si>
  <si>
    <t xml:space="preserve">6PQS93V2</t>
  </si>
  <si>
    <t xml:space="preserve">0XBMBVFP</t>
  </si>
  <si>
    <t xml:space="preserve">OOFWSKFF</t>
  </si>
  <si>
    <t xml:space="preserve">R293SULP</t>
  </si>
  <si>
    <t xml:space="preserve">DA8D04ED</t>
  </si>
  <si>
    <t xml:space="preserve">UKXRWZ3P</t>
  </si>
  <si>
    <t xml:space="preserve">55ZNV61S</t>
  </si>
  <si>
    <t xml:space="preserve">TFGYLK6C</t>
  </si>
  <si>
    <t xml:space="preserve">0SIFT5DE</t>
  </si>
  <si>
    <t xml:space="preserve">PBJ62FC3</t>
  </si>
  <si>
    <t xml:space="preserve">A62JDGQK</t>
  </si>
  <si>
    <t xml:space="preserve">I4OJHXIN</t>
  </si>
  <si>
    <t xml:space="preserve">F9THW1PW</t>
  </si>
  <si>
    <t xml:space="preserve">LV7HHGM4</t>
  </si>
  <si>
    <t xml:space="preserve">K25Z2KKH</t>
  </si>
  <si>
    <t xml:space="preserve">LQJISQSD</t>
  </si>
  <si>
    <t xml:space="preserve">FGUWP1NF</t>
  </si>
  <si>
    <t xml:space="preserve">I83GQQHA</t>
  </si>
  <si>
    <t xml:space="preserve">K8Y7CK9T</t>
  </si>
  <si>
    <t xml:space="preserve">QFKL9UK2</t>
  </si>
  <si>
    <t xml:space="preserve">D6X5T9D4</t>
  </si>
  <si>
    <t xml:space="preserve">AOIM2Y7M</t>
  </si>
  <si>
    <t xml:space="preserve">VTX8GPN8</t>
  </si>
  <si>
    <t xml:space="preserve">I6UCM2J9</t>
  </si>
  <si>
    <t xml:space="preserve">NDMEB0VG</t>
  </si>
  <si>
    <t xml:space="preserve">KTHAX2XV</t>
  </si>
  <si>
    <t xml:space="preserve">H3AEZ2BZ</t>
  </si>
  <si>
    <t xml:space="preserve">CNLE5EJ2</t>
  </si>
  <si>
    <t xml:space="preserve">JUKJ3RAB</t>
  </si>
  <si>
    <t xml:space="preserve">6K31TYOR</t>
  </si>
  <si>
    <t xml:space="preserve">YKZFQT7K</t>
  </si>
  <si>
    <t xml:space="preserve">I6RH33SU</t>
  </si>
  <si>
    <t xml:space="preserve">HGG0EZ00</t>
  </si>
  <si>
    <t xml:space="preserve">1JFYPP8R</t>
  </si>
  <si>
    <t xml:space="preserve">BTOD096J</t>
  </si>
  <si>
    <t xml:space="preserve">EK06CNRW</t>
  </si>
  <si>
    <t xml:space="preserve">SI874ZK5</t>
  </si>
  <si>
    <t xml:space="preserve">8KIMVD15</t>
  </si>
  <si>
    <t xml:space="preserve">B2Z4BB5U</t>
  </si>
  <si>
    <t xml:space="preserve">GXY3QZ2V</t>
  </si>
  <si>
    <t xml:space="preserve">MGHWZSN2</t>
  </si>
  <si>
    <t xml:space="preserve">2CY7OS6A</t>
  </si>
  <si>
    <t xml:space="preserve">P7X2J5DO</t>
  </si>
  <si>
    <t xml:space="preserve">MK2YTCZN</t>
  </si>
  <si>
    <t xml:space="preserve">CMM4A6NJ</t>
  </si>
  <si>
    <t xml:space="preserve">XQ6FMG3L</t>
  </si>
  <si>
    <t xml:space="preserve">2IYQ5ALK</t>
  </si>
  <si>
    <t xml:space="preserve">6BATTRKM</t>
  </si>
  <si>
    <t xml:space="preserve">JGZ3F67I</t>
  </si>
  <si>
    <t xml:space="preserve">VOEOU1U6</t>
  </si>
  <si>
    <t xml:space="preserve">FZDD9758</t>
  </si>
  <si>
    <t xml:space="preserve">FJEL0TDN</t>
  </si>
  <si>
    <t xml:space="preserve">CXY4CXX1</t>
  </si>
  <si>
    <t xml:space="preserve">PBGB323I</t>
  </si>
  <si>
    <t xml:space="preserve">Q4KZSJ6Q</t>
  </si>
  <si>
    <t xml:space="preserve">PT0I4XSM</t>
  </si>
  <si>
    <t xml:space="preserve">2RE0MZGV</t>
  </si>
  <si>
    <t xml:space="preserve">12HOWQMI</t>
  </si>
  <si>
    <t xml:space="preserve">87ZXBDQS</t>
  </si>
  <si>
    <t xml:space="preserve">T64JVA4T</t>
  </si>
  <si>
    <t xml:space="preserve">3JMB4J8E</t>
  </si>
  <si>
    <t xml:space="preserve">MZSCFJZS</t>
  </si>
  <si>
    <t xml:space="preserve">8EPT4HEV</t>
  </si>
  <si>
    <t xml:space="preserve">FTUJY4FP</t>
  </si>
  <si>
    <t xml:space="preserve">369V78M2</t>
  </si>
  <si>
    <t xml:space="preserve">13WLN2MJ</t>
  </si>
  <si>
    <t xml:space="preserve">CE81S7UN</t>
  </si>
  <si>
    <t xml:space="preserve">X1QNN2DG</t>
  </si>
  <si>
    <t xml:space="preserve">RS13M1ZP</t>
  </si>
  <si>
    <t xml:space="preserve">88PIK8A6</t>
  </si>
  <si>
    <t xml:space="preserve">3E09X4S2</t>
  </si>
  <si>
    <t xml:space="preserve">R2PBFVU7</t>
  </si>
  <si>
    <t xml:space="preserve">GLG1IOHT</t>
  </si>
  <si>
    <t xml:space="preserve">IF2BUC3Q</t>
  </si>
  <si>
    <t xml:space="preserve">9YVTJF6C</t>
  </si>
  <si>
    <t xml:space="preserve">FCEJCRKY</t>
  </si>
  <si>
    <t xml:space="preserve">3Q5R6HAY</t>
  </si>
  <si>
    <t xml:space="preserve">T58F1T8V</t>
  </si>
  <si>
    <t xml:space="preserve">LMCHDMJX</t>
  </si>
  <si>
    <t xml:space="preserve">G23RCHB6</t>
  </si>
  <si>
    <t xml:space="preserve">I5JTM3EK</t>
  </si>
  <si>
    <t xml:space="preserve">579RHB6S</t>
  </si>
  <si>
    <t xml:space="preserve">FBDZ4LCK</t>
  </si>
  <si>
    <t xml:space="preserve">LB5622YN</t>
  </si>
  <si>
    <t xml:space="preserve">ZVEH26GP</t>
  </si>
  <si>
    <t xml:space="preserve">Y6Q7Z0SO</t>
  </si>
  <si>
    <t xml:space="preserve">792JYPG1</t>
  </si>
  <si>
    <t xml:space="preserve">9ZVX7NVU</t>
  </si>
  <si>
    <t xml:space="preserve">7QPQ40X9</t>
  </si>
  <si>
    <t xml:space="preserve">DIGZWVHI</t>
  </si>
  <si>
    <t xml:space="preserve">D9WBSJRC</t>
  </si>
  <si>
    <t xml:space="preserve">ZJ11PBUV</t>
  </si>
  <si>
    <t xml:space="preserve">C5XXGXUE</t>
  </si>
  <si>
    <t xml:space="preserve">MRPSU52W</t>
  </si>
  <si>
    <t xml:space="preserve">75JW1GRR</t>
  </si>
  <si>
    <t xml:space="preserve">8ZIX3LAF</t>
  </si>
  <si>
    <t xml:space="preserve">FZKX09GE</t>
  </si>
  <si>
    <t xml:space="preserve">IHOTG9ZQ</t>
  </si>
  <si>
    <t xml:space="preserve">L67B6CU2</t>
  </si>
  <si>
    <t xml:space="preserve">UDKH3AM0</t>
  </si>
  <si>
    <t xml:space="preserve">10YLM9VF</t>
  </si>
  <si>
    <t xml:space="preserve">OZFSBIDF</t>
  </si>
  <si>
    <t xml:space="preserve">9HWUTUXQ</t>
  </si>
  <si>
    <t xml:space="preserve">LEPH90QI</t>
  </si>
  <si>
    <t xml:space="preserve">RMFG5C6C</t>
  </si>
  <si>
    <t xml:space="preserve">O7WVUMZ5</t>
  </si>
  <si>
    <t xml:space="preserve">OFKWBRP7</t>
  </si>
  <si>
    <t xml:space="preserve">HBZEI375</t>
  </si>
  <si>
    <t xml:space="preserve">9OT0018Y</t>
  </si>
  <si>
    <t xml:space="preserve">0IAJNXTD</t>
  </si>
  <si>
    <t xml:space="preserve">FSVEMKSG</t>
  </si>
  <si>
    <t xml:space="preserve">8RVTZBQO</t>
  </si>
  <si>
    <t xml:space="preserve">HM4ZINFJ</t>
  </si>
  <si>
    <t xml:space="preserve">WKTVP5WY</t>
  </si>
  <si>
    <t xml:space="preserve">1ZT4IROS</t>
  </si>
  <si>
    <t xml:space="preserve">7FGVY6GK</t>
  </si>
  <si>
    <t xml:space="preserve">B24YQ6LA</t>
  </si>
  <si>
    <t xml:space="preserve">94GJ7WZV</t>
  </si>
  <si>
    <t xml:space="preserve">6V0QV9CU</t>
  </si>
  <si>
    <t xml:space="preserve">JIH6P53I</t>
  </si>
  <si>
    <t xml:space="preserve">N2ESTUQT</t>
  </si>
  <si>
    <t xml:space="preserve">2T0GMDKK</t>
  </si>
  <si>
    <t xml:space="preserve">JD6WHH6G</t>
  </si>
  <si>
    <t xml:space="preserve">7MSQSYWR</t>
  </si>
  <si>
    <t xml:space="preserve">4HBU57OV</t>
  </si>
  <si>
    <t xml:space="preserve">H4ZSZQ9V</t>
  </si>
  <si>
    <t xml:space="preserve">B9KFRY53</t>
  </si>
  <si>
    <t xml:space="preserve">GEJKKFOL</t>
  </si>
  <si>
    <t xml:space="preserve">2X9KWWCP</t>
  </si>
  <si>
    <t xml:space="preserve">CPVW06O2</t>
  </si>
  <si>
    <t xml:space="preserve">SLXPTSGS</t>
  </si>
  <si>
    <t xml:space="preserve">J8G6HTCM</t>
  </si>
  <si>
    <t xml:space="preserve">K5DNNWYT</t>
  </si>
  <si>
    <t xml:space="preserve">3F2EMUQ7</t>
  </si>
  <si>
    <t xml:space="preserve">IQ9GMTBR</t>
  </si>
  <si>
    <t xml:space="preserve">C563WHG1</t>
  </si>
  <si>
    <t xml:space="preserve">WQTR95J3</t>
  </si>
  <si>
    <t xml:space="preserve">UG4BHJRQ</t>
  </si>
  <si>
    <t xml:space="preserve">77UHLYMA</t>
  </si>
  <si>
    <t xml:space="preserve">QC9B7V93</t>
  </si>
  <si>
    <t xml:space="preserve">4X8WU71C</t>
  </si>
  <si>
    <t xml:space="preserve">BO1GBSM0</t>
  </si>
  <si>
    <t xml:space="preserve">10N0ZBYO</t>
  </si>
  <si>
    <t xml:space="preserve">OHD4TPKZ</t>
  </si>
  <si>
    <t xml:space="preserve">AJKE7ACY</t>
  </si>
  <si>
    <t xml:space="preserve">5A7S6Z6P</t>
  </si>
  <si>
    <t xml:space="preserve">9AOPLD0O</t>
  </si>
  <si>
    <t xml:space="preserve">5B3BKUMD</t>
  </si>
  <si>
    <t xml:space="preserve">018KKT5I</t>
  </si>
  <si>
    <t xml:space="preserve">OOB372R5</t>
  </si>
  <si>
    <t xml:space="preserve">7PMUB7T4</t>
  </si>
  <si>
    <t xml:space="preserve">OV0LOPAA</t>
  </si>
  <si>
    <t xml:space="preserve">941E65Z7</t>
  </si>
  <si>
    <t xml:space="preserve">7J1UD7ZW</t>
  </si>
  <si>
    <t xml:space="preserve">AK9OXW30</t>
  </si>
  <si>
    <t xml:space="preserve">JAG873Y3</t>
  </si>
  <si>
    <t xml:space="preserve">XRRMX8K6</t>
  </si>
  <si>
    <t xml:space="preserve">SCYV3JPO</t>
  </si>
  <si>
    <t xml:space="preserve">2GQAAHG6</t>
  </si>
  <si>
    <t xml:space="preserve">TWGFQS8L</t>
  </si>
  <si>
    <t xml:space="preserve">E4O6XJ9E</t>
  </si>
  <si>
    <t xml:space="preserve">KMBY0IGV</t>
  </si>
  <si>
    <t xml:space="preserve">54XJLU62</t>
  </si>
  <si>
    <t xml:space="preserve">7OGPA4I3</t>
  </si>
  <si>
    <t xml:space="preserve">M1ZZYSTB</t>
  </si>
  <si>
    <t xml:space="preserve">V0XQVHQV</t>
  </si>
  <si>
    <t xml:space="preserve">CFGYG1EC</t>
  </si>
  <si>
    <t xml:space="preserve">W48N7MRO</t>
  </si>
  <si>
    <t xml:space="preserve">KTZDTM8W</t>
  </si>
  <si>
    <t xml:space="preserve">OC6ZMTK5</t>
  </si>
  <si>
    <t xml:space="preserve">NMF60XWK</t>
  </si>
  <si>
    <t xml:space="preserve">UZ9SEIZ9</t>
  </si>
  <si>
    <t xml:space="preserve">JQK0EF45</t>
  </si>
  <si>
    <t xml:space="preserve">U8CWFFRH</t>
  </si>
  <si>
    <t xml:space="preserve">5KC100IN</t>
  </si>
  <si>
    <t xml:space="preserve">XULGG5K8</t>
  </si>
  <si>
    <t xml:space="preserve">C48I5WD9</t>
  </si>
  <si>
    <t xml:space="preserve">ZH8XR8YT</t>
  </si>
  <si>
    <t xml:space="preserve">1FHY3UGF</t>
  </si>
  <si>
    <t xml:space="preserve">KRUY5G5I</t>
  </si>
  <si>
    <t xml:space="preserve">M3SQPUB1</t>
  </si>
  <si>
    <t xml:space="preserve">KI4LTBV6</t>
  </si>
  <si>
    <t xml:space="preserve">933OT3AE</t>
  </si>
  <si>
    <t xml:space="preserve">O8QGRK5P</t>
  </si>
  <si>
    <t xml:space="preserve">IY3U40F8</t>
  </si>
  <si>
    <t xml:space="preserve">6HDTZCCM</t>
  </si>
  <si>
    <t xml:space="preserve">1IABHXOP</t>
  </si>
  <si>
    <t xml:space="preserve">ZR8H455M</t>
  </si>
  <si>
    <t xml:space="preserve">IUVAUQ6I</t>
  </si>
  <si>
    <t xml:space="preserve">ZK6HTTBB</t>
  </si>
  <si>
    <t xml:space="preserve">63HMAJCZ</t>
  </si>
  <si>
    <t xml:space="preserve">3IQ19UZ2</t>
  </si>
  <si>
    <t xml:space="preserve">M3RME16Q</t>
  </si>
  <si>
    <t xml:space="preserve">HG0N3NJ4</t>
  </si>
  <si>
    <t xml:space="preserve">JLKLRCFZ</t>
  </si>
  <si>
    <t xml:space="preserve">FTVBHHFC</t>
  </si>
  <si>
    <t xml:space="preserve">MW4MSIWW</t>
  </si>
  <si>
    <t xml:space="preserve">2KNVLXA4</t>
  </si>
  <si>
    <t xml:space="preserve">YI8JSLKX</t>
  </si>
  <si>
    <t xml:space="preserve">UU7QH2WX</t>
  </si>
  <si>
    <t xml:space="preserve">KL8PCQXC</t>
  </si>
  <si>
    <t xml:space="preserve">JF0F2J5W</t>
  </si>
  <si>
    <t xml:space="preserve">IVSOSC0E</t>
  </si>
  <si>
    <t xml:space="preserve">5HDKACI4</t>
  </si>
  <si>
    <t xml:space="preserve">V9UM2K16</t>
  </si>
  <si>
    <t xml:space="preserve">0E1HHXGB</t>
  </si>
  <si>
    <t xml:space="preserve">36PET9WM</t>
  </si>
  <si>
    <t xml:space="preserve">PR9HQKA7</t>
  </si>
  <si>
    <t xml:space="preserve">CYAL1N0B</t>
  </si>
  <si>
    <t xml:space="preserve">G7QR0SCP</t>
  </si>
  <si>
    <t xml:space="preserve">BUNGSHKB</t>
  </si>
  <si>
    <t xml:space="preserve">G1POINXI</t>
  </si>
  <si>
    <t xml:space="preserve">9G85W8XE</t>
  </si>
  <si>
    <t xml:space="preserve">NMHDWGNT</t>
  </si>
  <si>
    <t xml:space="preserve">93AE6QM4</t>
  </si>
  <si>
    <t xml:space="preserve">XSQOEHEA</t>
  </si>
  <si>
    <t xml:space="preserve">5H27L6YI</t>
  </si>
  <si>
    <t xml:space="preserve">J54XWY0O</t>
  </si>
  <si>
    <t xml:space="preserve">4VZ0JIVZ</t>
  </si>
  <si>
    <t xml:space="preserve">4TD018BE</t>
  </si>
  <si>
    <t xml:space="preserve">U220GK9W</t>
  </si>
  <si>
    <t xml:space="preserve">14P6935C</t>
  </si>
  <si>
    <t xml:space="preserve">IQRA0Q8C</t>
  </si>
  <si>
    <t xml:space="preserve">PYIP2H5Z</t>
  </si>
  <si>
    <t xml:space="preserve">MVZG0BSG</t>
  </si>
  <si>
    <t xml:space="preserve">0NKINI7S</t>
  </si>
  <si>
    <t xml:space="preserve">60QEB2FZ</t>
  </si>
  <si>
    <t xml:space="preserve">M4NNI01I</t>
  </si>
  <si>
    <t xml:space="preserve">XFNYWN7B</t>
  </si>
  <si>
    <t xml:space="preserve">S181FZ0Y</t>
  </si>
  <si>
    <t xml:space="preserve">AADN7F5T</t>
  </si>
  <si>
    <t xml:space="preserve">XRJTRP20</t>
  </si>
  <si>
    <t xml:space="preserve">5ZUKTSJV</t>
  </si>
  <si>
    <t xml:space="preserve">60RDU2SZ</t>
  </si>
  <si>
    <t xml:space="preserve">V7C6RT5S</t>
  </si>
  <si>
    <t xml:space="preserve">Y4SN1R3L</t>
  </si>
  <si>
    <t xml:space="preserve">03X37HOO</t>
  </si>
  <si>
    <t xml:space="preserve">A71ENBVA</t>
  </si>
  <si>
    <t xml:space="preserve">VPD4G16I</t>
  </si>
  <si>
    <t xml:space="preserve">V4YBVSJ4</t>
  </si>
  <si>
    <t xml:space="preserve">IVMMNSJB</t>
  </si>
  <si>
    <t xml:space="preserve">P570QB1D</t>
  </si>
  <si>
    <t xml:space="preserve">TQ6BTW2Z</t>
  </si>
  <si>
    <t xml:space="preserve">7JMQM7XK</t>
  </si>
  <si>
    <t xml:space="preserve">6IZZL97A</t>
  </si>
  <si>
    <t xml:space="preserve">76V79SHZ</t>
  </si>
  <si>
    <t xml:space="preserve">V4PVZC5L</t>
  </si>
  <si>
    <t xml:space="preserve">MC717WRG</t>
  </si>
  <si>
    <t xml:space="preserve">6WIQG92N</t>
  </si>
  <si>
    <t xml:space="preserve">SRV6TQ2E</t>
  </si>
  <si>
    <t xml:space="preserve">NDAFT4KV</t>
  </si>
  <si>
    <t xml:space="preserve">QFLFLCD0</t>
  </si>
  <si>
    <t xml:space="preserve">0QUXNGR1</t>
  </si>
  <si>
    <t xml:space="preserve">8PEB9FHX</t>
  </si>
  <si>
    <t xml:space="preserve">G58GOO4N</t>
  </si>
  <si>
    <t xml:space="preserve">GH0FU105</t>
  </si>
  <si>
    <t xml:space="preserve">KG9R5M1Y</t>
  </si>
  <si>
    <t xml:space="preserve">0W8VWJDS</t>
  </si>
  <si>
    <t xml:space="preserve">ZXOHD0KE</t>
  </si>
  <si>
    <t xml:space="preserve">3Y1LN6CQ</t>
  </si>
  <si>
    <t xml:space="preserve">YIA65LM2</t>
  </si>
  <si>
    <t xml:space="preserve">R19OP4QL</t>
  </si>
  <si>
    <t xml:space="preserve">MQVOQZL7</t>
  </si>
  <si>
    <t xml:space="preserve">CD5B8P8U</t>
  </si>
  <si>
    <t xml:space="preserve">QYYOVTHC</t>
  </si>
  <si>
    <t xml:space="preserve">TS3P4VMD</t>
  </si>
  <si>
    <t xml:space="preserve">LUFR7MJC</t>
  </si>
  <si>
    <t xml:space="preserve">M2VKMZPH</t>
  </si>
  <si>
    <t xml:space="preserve">TN3IRRND</t>
  </si>
  <si>
    <t xml:space="preserve">TFGC7TPF</t>
  </si>
  <si>
    <t xml:space="preserve">46JP2TQB</t>
  </si>
  <si>
    <t xml:space="preserve">ABMVTEUH</t>
  </si>
  <si>
    <t xml:space="preserve">SQMPV6L6</t>
  </si>
  <si>
    <t xml:space="preserve">PR224V1P</t>
  </si>
  <si>
    <t xml:space="preserve">PIPQZ9SQ</t>
  </si>
  <si>
    <t xml:space="preserve">7U28UXIL</t>
  </si>
  <si>
    <t xml:space="preserve">PY96Q77S</t>
  </si>
  <si>
    <t xml:space="preserve">HFF39KOB</t>
  </si>
  <si>
    <t xml:space="preserve">JLB353E4</t>
  </si>
  <si>
    <t xml:space="preserve">4N9E1F86</t>
  </si>
  <si>
    <t xml:space="preserve">GQT2DFWZ</t>
  </si>
  <si>
    <t xml:space="preserve">ZN6HXJ5F</t>
  </si>
  <si>
    <t xml:space="preserve">RYELEM60</t>
  </si>
  <si>
    <t xml:space="preserve">60KWQS2V</t>
  </si>
  <si>
    <t xml:space="preserve">V74YPMJ4</t>
  </si>
  <si>
    <t xml:space="preserve">H9M21153</t>
  </si>
  <si>
    <t xml:space="preserve">8JORJ1SS</t>
  </si>
  <si>
    <t xml:space="preserve">RSBEC5KF</t>
  </si>
  <si>
    <t xml:space="preserve">WA0NRLP7</t>
  </si>
  <si>
    <t xml:space="preserve">G8C3GRPO</t>
  </si>
  <si>
    <t xml:space="preserve">0UOIGVEO</t>
  </si>
  <si>
    <t xml:space="preserve">9Q710H4R</t>
  </si>
  <si>
    <t xml:space="preserve">Z216TKEU</t>
  </si>
  <si>
    <t xml:space="preserve">II1GOQWL</t>
  </si>
  <si>
    <t xml:space="preserve">O1DTVNH2</t>
  </si>
  <si>
    <t xml:space="preserve">M9EU34FE</t>
  </si>
  <si>
    <t xml:space="preserve">35HVN8Q3</t>
  </si>
  <si>
    <t xml:space="preserve">LS2A22IA</t>
  </si>
  <si>
    <t xml:space="preserve">MJRDXH1B</t>
  </si>
  <si>
    <t xml:space="preserve">BZR75SK1</t>
  </si>
  <si>
    <t xml:space="preserve">Q306R9K4</t>
  </si>
  <si>
    <t xml:space="preserve">8EX2PGAY</t>
  </si>
  <si>
    <t xml:space="preserve">MBYY3F5P</t>
  </si>
  <si>
    <t xml:space="preserve">O3S3SF3W</t>
  </si>
  <si>
    <t xml:space="preserve">74Y43OFL</t>
  </si>
  <si>
    <t xml:space="preserve">FRSYEHJE</t>
  </si>
  <si>
    <t xml:space="preserve">BP3I9G0F</t>
  </si>
  <si>
    <t xml:space="preserve">JALBPRSF</t>
  </si>
  <si>
    <t xml:space="preserve">7FVUE0GY</t>
  </si>
  <si>
    <t xml:space="preserve">GRO3S3HV</t>
  </si>
  <si>
    <t xml:space="preserve">SWKGC34P</t>
  </si>
  <si>
    <t xml:space="preserve">DTFLKV60</t>
  </si>
  <si>
    <t xml:space="preserve">1CT3EWJ8</t>
  </si>
  <si>
    <t xml:space="preserve">SBF5S7LF</t>
  </si>
  <si>
    <t xml:space="preserve">77Q6KD0O</t>
  </si>
  <si>
    <t xml:space="preserve">HTK2UHC8</t>
  </si>
  <si>
    <t xml:space="preserve">ICD9OMSF</t>
  </si>
  <si>
    <t xml:space="preserve">VR6NO9FA</t>
  </si>
  <si>
    <t xml:space="preserve">0V9YEQDU</t>
  </si>
  <si>
    <t xml:space="preserve">L5K0S1U3</t>
  </si>
  <si>
    <t xml:space="preserve">DTIZX4YN</t>
  </si>
  <si>
    <t xml:space="preserve">LFMLZPA5</t>
  </si>
  <si>
    <t xml:space="preserve">N3OWNMD3</t>
  </si>
  <si>
    <t xml:space="preserve">WSWJJ234</t>
  </si>
  <si>
    <t xml:space="preserve">KOK62RF4</t>
  </si>
  <si>
    <t xml:space="preserve">1GVU0QTO</t>
  </si>
  <si>
    <t xml:space="preserve">DLAMSRVT</t>
  </si>
  <si>
    <t xml:space="preserve">FDMK85GD</t>
  </si>
  <si>
    <t xml:space="preserve">2H45C9FK</t>
  </si>
  <si>
    <t xml:space="preserve">STC921ZX</t>
  </si>
  <si>
    <t xml:space="preserve">6YCRJK5W</t>
  </si>
  <si>
    <t xml:space="preserve">94JOUSW7</t>
  </si>
  <si>
    <t xml:space="preserve">G9M9IEQY</t>
  </si>
  <si>
    <t xml:space="preserve">76GEYK0T</t>
  </si>
  <si>
    <t xml:space="preserve">FVCN0HQ9</t>
  </si>
  <si>
    <t xml:space="preserve">5J9ELX2Y</t>
  </si>
  <si>
    <t xml:space="preserve">LFM4SMIA</t>
  </si>
  <si>
    <t xml:space="preserve">SQE6KE7V</t>
  </si>
  <si>
    <t xml:space="preserve">C933ZQBB</t>
  </si>
  <si>
    <t xml:space="preserve">AZCY0HUP</t>
  </si>
  <si>
    <t xml:space="preserve">IDO6PU1B</t>
  </si>
  <si>
    <t xml:space="preserve">AHOYDL01</t>
  </si>
  <si>
    <t xml:space="preserve">KIZOEC3M</t>
  </si>
  <si>
    <t xml:space="preserve">CTM8WFGW</t>
  </si>
  <si>
    <t xml:space="preserve">TUL0TZSR</t>
  </si>
  <si>
    <t xml:space="preserve">X4KAK55N</t>
  </si>
  <si>
    <t xml:space="preserve">ECB42PGL</t>
  </si>
  <si>
    <t xml:space="preserve">WJ9JNMJ2</t>
  </si>
  <si>
    <t xml:space="preserve">9YOGUMN9</t>
  </si>
  <si>
    <t xml:space="preserve">6445PW4Z</t>
  </si>
  <si>
    <t xml:space="preserve">3MGMH9AE</t>
  </si>
  <si>
    <t xml:space="preserve">MJXPSHYT</t>
  </si>
  <si>
    <t xml:space="preserve">H54N095V</t>
  </si>
  <si>
    <t xml:space="preserve">2HKRINHL</t>
  </si>
  <si>
    <t xml:space="preserve">CZC1J6FQ</t>
  </si>
  <si>
    <t xml:space="preserve">9GSBUJMH</t>
  </si>
  <si>
    <t xml:space="preserve">IHBYI8IO</t>
  </si>
  <si>
    <t xml:space="preserve">7PEL3AIZ</t>
  </si>
  <si>
    <t xml:space="preserve">5YIWOUOZ</t>
  </si>
  <si>
    <t xml:space="preserve">3W1Y39BY</t>
  </si>
  <si>
    <t xml:space="preserve">6SP45G3T</t>
  </si>
  <si>
    <t xml:space="preserve">E4BPOOL6</t>
  </si>
  <si>
    <t xml:space="preserve">WPSHVGDZ</t>
  </si>
  <si>
    <t xml:space="preserve">6QAWMSU2</t>
  </si>
  <si>
    <t xml:space="preserve">C3Y94J5R</t>
  </si>
  <si>
    <t xml:space="preserve">G5JXIYRO</t>
  </si>
  <si>
    <t xml:space="preserve">ME7IZ1WY</t>
  </si>
  <si>
    <t xml:space="preserve">V7DY5VAP</t>
  </si>
  <si>
    <t xml:space="preserve">TSN98FPQ</t>
  </si>
  <si>
    <t xml:space="preserve">NDIZ18GW</t>
  </si>
  <si>
    <t xml:space="preserve">LH03MJX5</t>
  </si>
  <si>
    <t xml:space="preserve">CLHPJZHP</t>
  </si>
  <si>
    <t xml:space="preserve">7RFTN4WI</t>
  </si>
  <si>
    <t xml:space="preserve">3MKAQ2YI</t>
  </si>
  <si>
    <t xml:space="preserve">TFILI4TE</t>
  </si>
  <si>
    <t xml:space="preserve">OWGXQLJS</t>
  </si>
  <si>
    <t xml:space="preserve">GB3S67FY</t>
  </si>
  <si>
    <t xml:space="preserve">FSC4A2HZ</t>
  </si>
  <si>
    <t xml:space="preserve">129P48QP</t>
  </si>
  <si>
    <t xml:space="preserve">9EHFBSBG</t>
  </si>
  <si>
    <t xml:space="preserve">4G61Z1HD</t>
  </si>
  <si>
    <t xml:space="preserve">RYF41KOV</t>
  </si>
  <si>
    <t xml:space="preserve">S3V8Z52J</t>
  </si>
  <si>
    <t xml:space="preserve">1UPVYK3H</t>
  </si>
  <si>
    <t xml:space="preserve">02G0NJCN</t>
  </si>
  <si>
    <t xml:space="preserve">AF8SULB0</t>
  </si>
  <si>
    <t xml:space="preserve">KDNNV952</t>
  </si>
  <si>
    <t xml:space="preserve">7CMG05CY</t>
  </si>
  <si>
    <t xml:space="preserve">SQW60VII</t>
  </si>
  <si>
    <t xml:space="preserve">XO4ZYI3G</t>
  </si>
  <si>
    <t xml:space="preserve">H4FIU51C</t>
  </si>
  <si>
    <t xml:space="preserve">DSY9VD0O</t>
  </si>
  <si>
    <t xml:space="preserve">OS59LIZX</t>
  </si>
  <si>
    <t xml:space="preserve">9RC58SP0</t>
  </si>
  <si>
    <t xml:space="preserve">QG7RGODO</t>
  </si>
  <si>
    <t xml:space="preserve">PDXFX23P</t>
  </si>
  <si>
    <t xml:space="preserve">CX3PZ8DP</t>
  </si>
  <si>
    <t xml:space="preserve">NXQR7LX6</t>
  </si>
  <si>
    <t xml:space="preserve">0B09WODM</t>
  </si>
  <si>
    <t xml:space="preserve">MV4DK68W</t>
  </si>
  <si>
    <t xml:space="preserve">42CA70FG</t>
  </si>
  <si>
    <t xml:space="preserve">EMK9P63G</t>
  </si>
  <si>
    <t xml:space="preserve">CWVAO587</t>
  </si>
  <si>
    <t xml:space="preserve">GZYL4SG1</t>
  </si>
  <si>
    <t xml:space="preserve">8U59BH8O</t>
  </si>
  <si>
    <t xml:space="preserve">5UEA6KVU</t>
  </si>
  <si>
    <t xml:space="preserve">63S5SNBC</t>
  </si>
  <si>
    <t xml:space="preserve">E2R39451</t>
  </si>
  <si>
    <t xml:space="preserve">CO7T7H41</t>
  </si>
  <si>
    <t xml:space="preserve">MUODVNBC</t>
  </si>
  <si>
    <t xml:space="preserve">YEH9VQCD</t>
  </si>
  <si>
    <t xml:space="preserve">PLV91KH7</t>
  </si>
  <si>
    <t xml:space="preserve">RWR0W3U8</t>
  </si>
  <si>
    <t xml:space="preserve">U289K4V3</t>
  </si>
  <si>
    <t xml:space="preserve">IOUUN8LM</t>
  </si>
  <si>
    <t xml:space="preserve">SCN3BY47</t>
  </si>
  <si>
    <t xml:space="preserve">LULNYY3C</t>
  </si>
  <si>
    <t xml:space="preserve">U2JI00ER</t>
  </si>
  <si>
    <t xml:space="preserve">MICIJ00A</t>
  </si>
  <si>
    <t xml:space="preserve">89A54FHW</t>
  </si>
  <si>
    <t xml:space="preserve">UUCSEHJX</t>
  </si>
  <si>
    <t xml:space="preserve">C1M1RST0</t>
  </si>
  <si>
    <t xml:space="preserve">MJODFG6C</t>
  </si>
  <si>
    <t xml:space="preserve">A0FVQ8KO</t>
  </si>
  <si>
    <t xml:space="preserve">DXAO9R8N</t>
  </si>
  <si>
    <t xml:space="preserve">OQQWTFSZ</t>
  </si>
  <si>
    <t xml:space="preserve">HCARIWPE</t>
  </si>
  <si>
    <t xml:space="preserve">BZG9DI4Z</t>
  </si>
  <si>
    <t xml:space="preserve">03R1VC7O</t>
  </si>
  <si>
    <t xml:space="preserve">W2QJUK1Y</t>
  </si>
  <si>
    <t xml:space="preserve">RU3HH59R</t>
  </si>
  <si>
    <t xml:space="preserve">A5IABHP1</t>
  </si>
  <si>
    <t xml:space="preserve">ZMEKFXC5</t>
  </si>
  <si>
    <t xml:space="preserve">YM5F751C</t>
  </si>
  <si>
    <t xml:space="preserve">LM3GZYXD</t>
  </si>
  <si>
    <t xml:space="preserve">8UU0I29V</t>
  </si>
  <si>
    <t xml:space="preserve">YSFFEUCQ</t>
  </si>
  <si>
    <t xml:space="preserve">QVP4LFVD</t>
  </si>
  <si>
    <t xml:space="preserve">K00YH5XA</t>
  </si>
  <si>
    <t xml:space="preserve">NJ1YGDZW</t>
  </si>
  <si>
    <t xml:space="preserve">5NVTQW38</t>
  </si>
  <si>
    <t xml:space="preserve">0GM4GDFT</t>
  </si>
  <si>
    <t xml:space="preserve">ENL7MDL2</t>
  </si>
  <si>
    <t xml:space="preserve">6D7N5SQ7</t>
  </si>
  <si>
    <t xml:space="preserve">OFEUX5PI</t>
  </si>
  <si>
    <t xml:space="preserve">KKO2EFHS</t>
  </si>
  <si>
    <t xml:space="preserve">KOPJOMQE</t>
  </si>
  <si>
    <t xml:space="preserve">ST4H8MB7</t>
  </si>
  <si>
    <t xml:space="preserve">MHF6GSB6</t>
  </si>
  <si>
    <t xml:space="preserve">6BRNE2DV</t>
  </si>
  <si>
    <t xml:space="preserve">0SQM849O</t>
  </si>
  <si>
    <t xml:space="preserve">KY1CESUN</t>
  </si>
  <si>
    <t xml:space="preserve">GXQJVJQT</t>
  </si>
  <si>
    <t xml:space="preserve">B894QWQM</t>
  </si>
  <si>
    <t xml:space="preserve">JPBLNA5V</t>
  </si>
  <si>
    <t xml:space="preserve">09AILR04</t>
  </si>
  <si>
    <t xml:space="preserve">FOFS0O2G</t>
  </si>
  <si>
    <t xml:space="preserve">MV7NPCI9</t>
  </si>
  <si>
    <t xml:space="preserve">FAIFAGJM</t>
  </si>
  <si>
    <t xml:space="preserve">H3K2E35I</t>
  </si>
  <si>
    <t xml:space="preserve">G7U0HP7Q</t>
  </si>
  <si>
    <t xml:space="preserve">4ETFTKHJ</t>
  </si>
  <si>
    <t xml:space="preserve">9QX62IL2</t>
  </si>
  <si>
    <t xml:space="preserve">3GRTE6VM</t>
  </si>
  <si>
    <t xml:space="preserve">PJJMVZAL</t>
  </si>
  <si>
    <t xml:space="preserve">4XPRCRX0</t>
  </si>
  <si>
    <t xml:space="preserve">IQAP70OD</t>
  </si>
  <si>
    <t xml:space="preserve">ZSZFPCYS</t>
  </si>
  <si>
    <t xml:space="preserve">FRNGLIYS</t>
  </si>
  <si>
    <t xml:space="preserve">EZNAGRVB</t>
  </si>
  <si>
    <t xml:space="preserve">L3PLDC1Y</t>
  </si>
  <si>
    <t xml:space="preserve">Y34O7SKI</t>
  </si>
  <si>
    <t xml:space="preserve">UCLGT98S</t>
  </si>
  <si>
    <t xml:space="preserve">RDC531P5</t>
  </si>
  <si>
    <t xml:space="preserve">PN0IWJ0N</t>
  </si>
  <si>
    <t xml:space="preserve">W4R2C7N9</t>
  </si>
  <si>
    <t xml:space="preserve">DHUG18WU</t>
  </si>
  <si>
    <t xml:space="preserve">1RND0S0B</t>
  </si>
  <si>
    <t xml:space="preserve">FL804BH8</t>
  </si>
  <si>
    <t xml:space="preserve">RELG4CYQ</t>
  </si>
  <si>
    <t xml:space="preserve">6KGX67OZ</t>
  </si>
  <si>
    <t xml:space="preserve">1SKNSG2B</t>
  </si>
  <si>
    <t xml:space="preserve">MDBKYL2Q</t>
  </si>
  <si>
    <t xml:space="preserve">M4EHG2ZB</t>
  </si>
  <si>
    <t xml:space="preserve">UE66OOQS</t>
  </si>
  <si>
    <t xml:space="preserve">VCQBM844</t>
  </si>
  <si>
    <t xml:space="preserve">LROWI84G</t>
  </si>
  <si>
    <t xml:space="preserve">W5ABRRKC</t>
  </si>
  <si>
    <t xml:space="preserve">UGAEAB27</t>
  </si>
  <si>
    <t xml:space="preserve">OIOGIDI2</t>
  </si>
  <si>
    <t xml:space="preserve">ZZ4X9VN3</t>
  </si>
  <si>
    <t xml:space="preserve">OX0NE27G</t>
  </si>
  <si>
    <t xml:space="preserve">DDQ0MDYY</t>
  </si>
  <si>
    <t xml:space="preserve">56D231XJ</t>
  </si>
  <si>
    <t xml:space="preserve">3EZLRW47</t>
  </si>
  <si>
    <t xml:space="preserve">OXKWCAXO</t>
  </si>
  <si>
    <t xml:space="preserve">NMI79ZYT</t>
  </si>
  <si>
    <t xml:space="preserve">TWDNQ9TX</t>
  </si>
  <si>
    <t xml:space="preserve">G9H0MWBL</t>
  </si>
  <si>
    <t xml:space="preserve">KNH4ZX85</t>
  </si>
  <si>
    <t xml:space="preserve">PGG2DUPO</t>
  </si>
  <si>
    <t xml:space="preserve">G289FPBV</t>
  </si>
  <si>
    <t xml:space="preserve">BUFF2EP5</t>
  </si>
  <si>
    <t xml:space="preserve">82LY53FE</t>
  </si>
  <si>
    <t xml:space="preserve">EVKQXZV6</t>
  </si>
  <si>
    <t xml:space="preserve">FLH1KDV2</t>
  </si>
  <si>
    <t xml:space="preserve">EYWXCFXJ</t>
  </si>
  <si>
    <t xml:space="preserve">RYYTO9Z5</t>
  </si>
  <si>
    <t xml:space="preserve">TTYSSNJH</t>
  </si>
  <si>
    <t xml:space="preserve">Y69M70YC</t>
  </si>
  <si>
    <t xml:space="preserve">9XU06EA8</t>
  </si>
  <si>
    <t xml:space="preserve">RCGBY4IA</t>
  </si>
  <si>
    <t xml:space="preserve">R0S5FZ1G</t>
  </si>
  <si>
    <t xml:space="preserve">U9QMLC5Z</t>
  </si>
  <si>
    <t xml:space="preserve">VMUTS9GK</t>
  </si>
  <si>
    <t xml:space="preserve">AHXFADIU</t>
  </si>
  <si>
    <t xml:space="preserve">BXXGLPD7</t>
  </si>
  <si>
    <t xml:space="preserve">WAPSW48Y</t>
  </si>
  <si>
    <t xml:space="preserve">Q7C5MJ4W</t>
  </si>
  <si>
    <t xml:space="preserve">9LILLW96</t>
  </si>
  <si>
    <t xml:space="preserve">LI9RCAQ6</t>
  </si>
  <si>
    <t xml:space="preserve">VYG4BHEE</t>
  </si>
  <si>
    <t xml:space="preserve">5D8MX6L9</t>
  </si>
  <si>
    <t xml:space="preserve">NYPU55W4</t>
  </si>
  <si>
    <t xml:space="preserve">YDZZNTEZ</t>
  </si>
  <si>
    <t xml:space="preserve">YUORNX7C</t>
  </si>
  <si>
    <t xml:space="preserve">6Z6SRB1Y</t>
  </si>
  <si>
    <t xml:space="preserve">4CFMS9QT</t>
  </si>
  <si>
    <t xml:space="preserve">XBO6IN0E</t>
  </si>
  <si>
    <t xml:space="preserve">BPPV8ZSB</t>
  </si>
  <si>
    <t xml:space="preserve">R6OM4EDE</t>
  </si>
  <si>
    <t xml:space="preserve">38C7HEG6</t>
  </si>
  <si>
    <t xml:space="preserve">J5DVK5F3</t>
  </si>
  <si>
    <t xml:space="preserve">DOU4T9EI</t>
  </si>
  <si>
    <t xml:space="preserve">OXW7DBDT</t>
  </si>
  <si>
    <t xml:space="preserve">U8H8VGI0</t>
  </si>
  <si>
    <t xml:space="preserve">PXXIJWXD</t>
  </si>
  <si>
    <t xml:space="preserve">BB46B5C7</t>
  </si>
  <si>
    <t xml:space="preserve">HDUZC4G9</t>
  </si>
  <si>
    <t xml:space="preserve">WR45SVGN</t>
  </si>
  <si>
    <t xml:space="preserve">ZHOK77B4</t>
  </si>
  <si>
    <t xml:space="preserve">HQ2QSZUP</t>
  </si>
  <si>
    <t xml:space="preserve">R2DKRFDD</t>
  </si>
  <si>
    <t xml:space="preserve">G2KW3DWD</t>
  </si>
  <si>
    <t xml:space="preserve">8FULX0EA</t>
  </si>
  <si>
    <t xml:space="preserve">TXUDSYGY</t>
  </si>
  <si>
    <t xml:space="preserve">64CTQ6C5</t>
  </si>
  <si>
    <t xml:space="preserve">K0YFUK4X</t>
  </si>
  <si>
    <t xml:space="preserve">IVVBVNDH</t>
  </si>
  <si>
    <t xml:space="preserve">AU1OZUN8</t>
  </si>
  <si>
    <t xml:space="preserve">KJ93MS4W</t>
  </si>
  <si>
    <t xml:space="preserve">GSPDR7BH</t>
  </si>
  <si>
    <t xml:space="preserve">YT5GLR6D</t>
  </si>
  <si>
    <t xml:space="preserve">O2CFE5KX</t>
  </si>
  <si>
    <t xml:space="preserve">ZNU9YDS9</t>
  </si>
  <si>
    <t xml:space="preserve">OO3BM7A9</t>
  </si>
  <si>
    <t xml:space="preserve">YCQABCDI</t>
  </si>
  <si>
    <t xml:space="preserve">5OJ3QR1W</t>
  </si>
  <si>
    <t xml:space="preserve">5Q2BP80H</t>
  </si>
  <si>
    <t xml:space="preserve">1397M445</t>
  </si>
  <si>
    <t xml:space="preserve">F2F1LPTA</t>
  </si>
  <si>
    <t xml:space="preserve">ZFRPQV2M</t>
  </si>
  <si>
    <t xml:space="preserve">BXCEXXP4</t>
  </si>
  <si>
    <t xml:space="preserve">V3VJRFBV</t>
  </si>
  <si>
    <t xml:space="preserve">84BIAFGY</t>
  </si>
  <si>
    <t xml:space="preserve">J5WP57XS</t>
  </si>
  <si>
    <t xml:space="preserve">X4LSK4OE</t>
  </si>
  <si>
    <t xml:space="preserve">Q06QD8ZW</t>
  </si>
  <si>
    <t xml:space="preserve">DQIKGS2U</t>
  </si>
  <si>
    <t xml:space="preserve">UVS5WJRG</t>
  </si>
  <si>
    <t xml:space="preserve">Y8KI5ANO</t>
  </si>
  <si>
    <t xml:space="preserve">E8L9I3QP</t>
  </si>
  <si>
    <t xml:space="preserve">JWWVG8KG</t>
  </si>
  <si>
    <t xml:space="preserve">KEE51TPD</t>
  </si>
  <si>
    <t xml:space="preserve">I8OUZNDS</t>
  </si>
  <si>
    <t xml:space="preserve">6WR7JQ3C</t>
  </si>
  <si>
    <t xml:space="preserve">XO7D3NYR</t>
  </si>
  <si>
    <t xml:space="preserve">ZRBHYBW9</t>
  </si>
  <si>
    <t xml:space="preserve">W2ZRP2EC</t>
  </si>
  <si>
    <t xml:space="preserve">78OETKRD</t>
  </si>
  <si>
    <t xml:space="preserve">IVX52FRZ</t>
  </si>
  <si>
    <t xml:space="preserve">6BQMENQR</t>
  </si>
  <si>
    <t xml:space="preserve">0VFBWUG5</t>
  </si>
  <si>
    <t xml:space="preserve">FV7Y3ZPO</t>
  </si>
  <si>
    <t xml:space="preserve">4KP2GEFF</t>
  </si>
  <si>
    <t xml:space="preserve">EJ8YBRD3</t>
  </si>
  <si>
    <t xml:space="preserve">L5UKY73S</t>
  </si>
  <si>
    <t xml:space="preserve">43FW6W9O</t>
  </si>
  <si>
    <t xml:space="preserve">EKXXH9IK</t>
  </si>
  <si>
    <t xml:space="preserve">KHQR5AKG</t>
  </si>
  <si>
    <t xml:space="preserve">STYAF310</t>
  </si>
  <si>
    <t xml:space="preserve">6UCZ36IC</t>
  </si>
  <si>
    <t xml:space="preserve">8JZ4R9BW</t>
  </si>
  <si>
    <t xml:space="preserve">FQODPHUL</t>
  </si>
  <si>
    <t xml:space="preserve">USNQY75J</t>
  </si>
  <si>
    <t xml:space="preserve">ZWVRS27V</t>
  </si>
  <si>
    <t xml:space="preserve">HFER9GET</t>
  </si>
  <si>
    <t xml:space="preserve">68YAXBZN</t>
  </si>
  <si>
    <t xml:space="preserve">2ICN8RJP</t>
  </si>
  <si>
    <t xml:space="preserve">UX9D17FS</t>
  </si>
  <si>
    <t xml:space="preserve">IOMVIZR8</t>
  </si>
  <si>
    <t xml:space="preserve">R2DID6L7</t>
  </si>
  <si>
    <t xml:space="preserve">PJ21R88K</t>
  </si>
  <si>
    <t xml:space="preserve">WOB1ULFR</t>
  </si>
  <si>
    <t xml:space="preserve">P2YWZPES</t>
  </si>
  <si>
    <t xml:space="preserve">T6ENEYKW</t>
  </si>
  <si>
    <t xml:space="preserve">SQ63LXS8</t>
  </si>
  <si>
    <t xml:space="preserve">6BUW3ZVC</t>
  </si>
  <si>
    <t xml:space="preserve">E28C318S</t>
  </si>
  <si>
    <t xml:space="preserve">46UITTY6</t>
  </si>
  <si>
    <t xml:space="preserve">U3HKMX4U</t>
  </si>
  <si>
    <t xml:space="preserve">58CABL04</t>
  </si>
  <si>
    <t xml:space="preserve">OB2PHGFR</t>
  </si>
  <si>
    <t xml:space="preserve">I819UEG6</t>
  </si>
  <si>
    <t xml:space="preserve">2PP30ME4</t>
  </si>
  <si>
    <t xml:space="preserve">4RWE00T8</t>
  </si>
  <si>
    <t xml:space="preserve">YRXDI9E8</t>
  </si>
  <si>
    <t xml:space="preserve">35GT4NM9</t>
  </si>
  <si>
    <t xml:space="preserve">4ETZYSN3</t>
  </si>
  <si>
    <t xml:space="preserve">KDQL1O1A</t>
  </si>
  <si>
    <t xml:space="preserve">SSSTYFDY</t>
  </si>
  <si>
    <t xml:space="preserve">MTBQF6FE</t>
  </si>
  <si>
    <t xml:space="preserve">HHP6R0IX</t>
  </si>
  <si>
    <t xml:space="preserve">2GRNCODO</t>
  </si>
  <si>
    <t xml:space="preserve">R65NL57V</t>
  </si>
  <si>
    <t xml:space="preserve">ZO4FDMPS</t>
  </si>
  <si>
    <t xml:space="preserve">4Z84VV2P</t>
  </si>
  <si>
    <t xml:space="preserve">3DM5SSI5</t>
  </si>
  <si>
    <t xml:space="preserve">OF5AZQID</t>
  </si>
  <si>
    <t xml:space="preserve">PBTSZ2Q2</t>
  </si>
  <si>
    <t xml:space="preserve">XKYQ16FS</t>
  </si>
  <si>
    <t xml:space="preserve">8JR8LXEU</t>
  </si>
  <si>
    <t xml:space="preserve">84OTUTQX</t>
  </si>
  <si>
    <t xml:space="preserve">8838GIT9</t>
  </si>
  <si>
    <t xml:space="preserve">R2C8A8SA</t>
  </si>
  <si>
    <t xml:space="preserve">5GEBBVQQ</t>
  </si>
  <si>
    <t xml:space="preserve">7DA7E2K7</t>
  </si>
  <si>
    <t xml:space="preserve">L4QYOBFW</t>
  </si>
  <si>
    <t xml:space="preserve">3E6J4YRT</t>
  </si>
  <si>
    <t xml:space="preserve">9KV5GM4U</t>
  </si>
  <si>
    <t xml:space="preserve">JRCD2VQY</t>
  </si>
  <si>
    <t xml:space="preserve">0SD3OBQI</t>
  </si>
  <si>
    <t xml:space="preserve">VG1WQW88</t>
  </si>
  <si>
    <t xml:space="preserve">8415S7ZV</t>
  </si>
  <si>
    <t xml:space="preserve">ZQSSHSL7</t>
  </si>
  <si>
    <t xml:space="preserve">UBU4E17W</t>
  </si>
  <si>
    <t xml:space="preserve">JNDSA5B4</t>
  </si>
  <si>
    <t xml:space="preserve">Y7TVU9AY</t>
  </si>
  <si>
    <t xml:space="preserve">J1SCD7QL</t>
  </si>
  <si>
    <t xml:space="preserve">M10S36W3</t>
  </si>
  <si>
    <t xml:space="preserve">8THGVJ52</t>
  </si>
  <si>
    <t xml:space="preserve">NNLNVB7E</t>
  </si>
  <si>
    <t xml:space="preserve">4MTCQ31T</t>
  </si>
  <si>
    <t xml:space="preserve">18KMXL8N</t>
  </si>
  <si>
    <t xml:space="preserve">PW7QNSFG</t>
  </si>
  <si>
    <t xml:space="preserve">3QSM7X3W</t>
  </si>
  <si>
    <t xml:space="preserve">YGUOEIEG</t>
  </si>
  <si>
    <t xml:space="preserve">BTT2TM8O</t>
  </si>
  <si>
    <t xml:space="preserve">G6MUC5R6</t>
  </si>
  <si>
    <t xml:space="preserve">XVM3UK16</t>
  </si>
  <si>
    <t xml:space="preserve">66BQC4C9</t>
  </si>
  <si>
    <t xml:space="preserve">6ZR7IUC4</t>
  </si>
  <si>
    <t xml:space="preserve">FBKK68G6</t>
  </si>
  <si>
    <t xml:space="preserve">W8W6N0LL</t>
  </si>
  <si>
    <t xml:space="preserve">DP7QR35U</t>
  </si>
  <si>
    <t xml:space="preserve">8H0UQYXW</t>
  </si>
  <si>
    <t xml:space="preserve">K3KT8S1F</t>
  </si>
  <si>
    <t xml:space="preserve">4HJIT2B6</t>
  </si>
  <si>
    <t xml:space="preserve">Z6AO7S3R</t>
  </si>
  <si>
    <t xml:space="preserve">JJDL1F8R</t>
  </si>
  <si>
    <t xml:space="preserve">KSYI5DDW</t>
  </si>
  <si>
    <t xml:space="preserve">S9CGS0IX</t>
  </si>
  <si>
    <t xml:space="preserve">3UA6O3NG</t>
  </si>
  <si>
    <t xml:space="preserve">MOBO9N8H</t>
  </si>
  <si>
    <t xml:space="preserve">XMCRTC2K</t>
  </si>
  <si>
    <t xml:space="preserve">7FZMWZJT</t>
  </si>
  <si>
    <t xml:space="preserve">Q1Q3D9BZ</t>
  </si>
  <si>
    <t xml:space="preserve">TCBW39GW</t>
  </si>
  <si>
    <t xml:space="preserve">FYS6IZO4</t>
  </si>
  <si>
    <t xml:space="preserve">FW7QS11M</t>
  </si>
  <si>
    <t xml:space="preserve">K0IV66AV</t>
  </si>
  <si>
    <t xml:space="preserve">FBVCN3BA</t>
  </si>
  <si>
    <t xml:space="preserve">76ZQP7QY</t>
  </si>
  <si>
    <t xml:space="preserve">92VGMPKP</t>
  </si>
  <si>
    <t xml:space="preserve">SGYL0QMJ</t>
  </si>
  <si>
    <t xml:space="preserve">XMVJ5X59</t>
  </si>
  <si>
    <t xml:space="preserve">ESNS1OS9</t>
  </si>
  <si>
    <t xml:space="preserve">D5H30X5X</t>
  </si>
  <si>
    <t xml:space="preserve">W3B077GY</t>
  </si>
  <si>
    <t xml:space="preserve">GRYWAPXY</t>
  </si>
  <si>
    <t xml:space="preserve">NLWICKPS</t>
  </si>
  <si>
    <t xml:space="preserve">8R0HTKUK</t>
  </si>
  <si>
    <t xml:space="preserve">XRMOUF1R</t>
  </si>
  <si>
    <t xml:space="preserve">2DOZJ7GT</t>
  </si>
  <si>
    <t xml:space="preserve">GRQZZNQB</t>
  </si>
  <si>
    <t xml:space="preserve">Q0R3ZBNT</t>
  </si>
  <si>
    <t xml:space="preserve">WXOL5HTS</t>
  </si>
  <si>
    <t xml:space="preserve">PWKFVQFA</t>
  </si>
  <si>
    <t xml:space="preserve">HEZ8H6MK</t>
  </si>
  <si>
    <t xml:space="preserve">NK2CHYT1</t>
  </si>
  <si>
    <t xml:space="preserve">EGW6AN01</t>
  </si>
  <si>
    <t xml:space="preserve">SWYO7V7O</t>
  </si>
  <si>
    <t xml:space="preserve">AS2BKSCT</t>
  </si>
  <si>
    <t xml:space="preserve">AAFPTXEB</t>
  </si>
  <si>
    <t xml:space="preserve">9LJAADWH</t>
  </si>
  <si>
    <t xml:space="preserve">02EC1993</t>
  </si>
  <si>
    <t xml:space="preserve">55O18ALO</t>
  </si>
  <si>
    <t xml:space="preserve">2DT70XCQ</t>
  </si>
  <si>
    <t xml:space="preserve">URRBXP0V</t>
  </si>
  <si>
    <t xml:space="preserve">N78A330G</t>
  </si>
  <si>
    <t xml:space="preserve">6AD8WNA2</t>
  </si>
  <si>
    <t xml:space="preserve">KB7DTUXO</t>
  </si>
  <si>
    <t xml:space="preserve">8AK1G9IT</t>
  </si>
  <si>
    <t xml:space="preserve">23K5J6JP</t>
  </si>
  <si>
    <t xml:space="preserve">XWOG5DC0</t>
  </si>
  <si>
    <t xml:space="preserve">99NDUEKO</t>
  </si>
  <si>
    <t xml:space="preserve">OEUK1UW5</t>
  </si>
  <si>
    <t xml:space="preserve">PBVC1VI7</t>
  </si>
  <si>
    <t xml:space="preserve">MX3QZ682</t>
  </si>
  <si>
    <t xml:space="preserve">JCIKEHD8</t>
  </si>
  <si>
    <t xml:space="preserve">IDGLZJRX</t>
  </si>
  <si>
    <t xml:space="preserve">6X24V0NC</t>
  </si>
  <si>
    <t xml:space="preserve">YDJV1DFE</t>
  </si>
  <si>
    <t xml:space="preserve">JQVW0KJV</t>
  </si>
  <si>
    <t xml:space="preserve">1V1L46NV</t>
  </si>
  <si>
    <t xml:space="preserve">8MQPNCCU</t>
  </si>
  <si>
    <t xml:space="preserve">ROSYV895</t>
  </si>
  <si>
    <t xml:space="preserve">KLBW3TOH</t>
  </si>
  <si>
    <t xml:space="preserve">HYBR36NG</t>
  </si>
  <si>
    <t xml:space="preserve">D3BO9JDM</t>
  </si>
  <si>
    <t xml:space="preserve">WHS3UZHR</t>
  </si>
  <si>
    <t xml:space="preserve">OYUUU6B9</t>
  </si>
  <si>
    <t xml:space="preserve">6Z1XK6YR</t>
  </si>
  <si>
    <t xml:space="preserve">XZUEXEUH</t>
  </si>
  <si>
    <t xml:space="preserve">AKC9GNVA</t>
  </si>
  <si>
    <t xml:space="preserve">D4ABG4I1</t>
  </si>
  <si>
    <t xml:space="preserve">S56NVD4M</t>
  </si>
  <si>
    <t xml:space="preserve">UZ83LE9X</t>
  </si>
  <si>
    <t xml:space="preserve">62UFJ4IQ</t>
  </si>
  <si>
    <t xml:space="preserve">Y7TVYRAX</t>
  </si>
  <si>
    <t xml:space="preserve">GIDII30C</t>
  </si>
  <si>
    <t xml:space="preserve">DOY7VMYB</t>
  </si>
  <si>
    <t xml:space="preserve">VYWQ3U5S</t>
  </si>
  <si>
    <t xml:space="preserve">1H2PVLZ3</t>
  </si>
  <si>
    <t xml:space="preserve">XTCCGBYM</t>
  </si>
  <si>
    <t xml:space="preserve">N0XWYRBU</t>
  </si>
  <si>
    <t xml:space="preserve">YIK15TLW</t>
  </si>
  <si>
    <t xml:space="preserve">JNYA5ZHI</t>
  </si>
  <si>
    <t xml:space="preserve">J5I6Y4RN</t>
  </si>
  <si>
    <t xml:space="preserve">PP4ZY6TZ</t>
  </si>
  <si>
    <t xml:space="preserve">XUU1PPTJ</t>
  </si>
  <si>
    <t xml:space="preserve">1629C4UW</t>
  </si>
  <si>
    <t xml:space="preserve">MITXNS42</t>
  </si>
  <si>
    <t xml:space="preserve">5JO7SIGB</t>
  </si>
  <si>
    <t xml:space="preserve">7NJS374V</t>
  </si>
  <si>
    <t xml:space="preserve">6K7LDRKR</t>
  </si>
  <si>
    <t xml:space="preserve">Z6FPHRV7</t>
  </si>
  <si>
    <t xml:space="preserve">GVOKY9KD</t>
  </si>
  <si>
    <t xml:space="preserve">0F9GSZRO</t>
  </si>
  <si>
    <t xml:space="preserve">3ML02CAH</t>
  </si>
  <si>
    <t xml:space="preserve">OTQTFK48</t>
  </si>
  <si>
    <t xml:space="preserve">9IM813OI</t>
  </si>
  <si>
    <t xml:space="preserve">Y2XXRYMX</t>
  </si>
  <si>
    <t xml:space="preserve">KOG75BRP</t>
  </si>
  <si>
    <t xml:space="preserve">ONN55X1O</t>
  </si>
  <si>
    <t xml:space="preserve">C4KZVTYR</t>
  </si>
  <si>
    <t xml:space="preserve">8598PVIX</t>
  </si>
  <si>
    <t xml:space="preserve">NR1JSUPQ</t>
  </si>
  <si>
    <t xml:space="preserve">9PG07FPP</t>
  </si>
  <si>
    <t xml:space="preserve">PXSDIDXO</t>
  </si>
  <si>
    <t xml:space="preserve">0OXJ2HOP</t>
  </si>
  <si>
    <t xml:space="preserve">KJGZN9D4</t>
  </si>
  <si>
    <t xml:space="preserve">TLAWJR5V</t>
  </si>
  <si>
    <t xml:space="preserve">2UNAJCGN</t>
  </si>
  <si>
    <t xml:space="preserve">FKOA9EF9</t>
  </si>
  <si>
    <t xml:space="preserve">HVF0VLJ3</t>
  </si>
  <si>
    <t xml:space="preserve">IZ8DDEIO</t>
  </si>
  <si>
    <t xml:space="preserve">41B62CUB</t>
  </si>
  <si>
    <t xml:space="preserve">SKU6MLKY</t>
  </si>
  <si>
    <t xml:space="preserve">005JS57S</t>
  </si>
  <si>
    <t xml:space="preserve">J25NMK6Q</t>
  </si>
  <si>
    <t xml:space="preserve">LB6S2ONR</t>
  </si>
  <si>
    <t xml:space="preserve">IYU5CGUM</t>
  </si>
  <si>
    <t xml:space="preserve">5WVY52IX</t>
  </si>
  <si>
    <t xml:space="preserve">3THRXZLP</t>
  </si>
  <si>
    <t xml:space="preserve">L65X2CDL</t>
  </si>
  <si>
    <t xml:space="preserve">KHRY7J40</t>
  </si>
  <si>
    <t xml:space="preserve">OY08XJ2E</t>
  </si>
  <si>
    <t xml:space="preserve">YFTW9Z69</t>
  </si>
  <si>
    <t xml:space="preserve">KODTODAA</t>
  </si>
  <si>
    <t xml:space="preserve">SZDGWQLT</t>
  </si>
  <si>
    <t xml:space="preserve">48HBI36Y</t>
  </si>
  <si>
    <t xml:space="preserve">VN0XOAB6</t>
  </si>
  <si>
    <t xml:space="preserve">FQP39JQV</t>
  </si>
  <si>
    <t xml:space="preserve">YC2GBK89</t>
  </si>
  <si>
    <t xml:space="preserve">VY0QPLGN</t>
  </si>
  <si>
    <t xml:space="preserve">8CJ0DC9P</t>
  </si>
  <si>
    <t xml:space="preserve">X6MHLE33</t>
  </si>
  <si>
    <t xml:space="preserve">Q3TDGMAR</t>
  </si>
  <si>
    <t xml:space="preserve">R7LGVRHC</t>
  </si>
  <si>
    <t xml:space="preserve">0MMDQ1OR</t>
  </si>
  <si>
    <t xml:space="preserve">TFW3KAYZ</t>
  </si>
  <si>
    <t xml:space="preserve">DJY7S9AI</t>
  </si>
  <si>
    <t xml:space="preserve">ZTUJ5KQ8</t>
  </si>
  <si>
    <t xml:space="preserve">311WKUHC</t>
  </si>
  <si>
    <t xml:space="preserve">EMGB7S71</t>
  </si>
  <si>
    <t xml:space="preserve">0WERZ67T</t>
  </si>
  <si>
    <t xml:space="preserve">J0X7ZNDX</t>
  </si>
  <si>
    <t xml:space="preserve">9LY4MLGO</t>
  </si>
  <si>
    <t xml:space="preserve">7FCXBW1M</t>
  </si>
  <si>
    <t xml:space="preserve">V1458D23</t>
  </si>
  <si>
    <t xml:space="preserve">AEH9XJ3T</t>
  </si>
  <si>
    <t xml:space="preserve">B6L071P2</t>
  </si>
  <si>
    <t xml:space="preserve">2HU8CPJ3</t>
  </si>
  <si>
    <t xml:space="preserve">T6BHNN1O</t>
  </si>
  <si>
    <t xml:space="preserve">HOEKIDDI</t>
  </si>
  <si>
    <t xml:space="preserve">2HYR0Q4Y</t>
  </si>
  <si>
    <t xml:space="preserve">R26IBPEJ</t>
  </si>
  <si>
    <t xml:space="preserve">CAF97SA2</t>
  </si>
  <si>
    <t xml:space="preserve">UKQD4DPD</t>
  </si>
  <si>
    <t xml:space="preserve">FYNL84HO</t>
  </si>
  <si>
    <t xml:space="preserve">S6DXPVLA</t>
  </si>
  <si>
    <t xml:space="preserve">I86I0TJG</t>
  </si>
  <si>
    <t xml:space="preserve">6AA52750</t>
  </si>
  <si>
    <t xml:space="preserve">DIVKSHY7</t>
  </si>
  <si>
    <t xml:space="preserve">ZEWNPF3K</t>
  </si>
  <si>
    <t xml:space="preserve">DCZOTU5X</t>
  </si>
  <si>
    <t xml:space="preserve">ZQHJNTDK</t>
  </si>
  <si>
    <t xml:space="preserve">94E71JAP</t>
  </si>
  <si>
    <t xml:space="preserve">CQ8UELF8</t>
  </si>
  <si>
    <t xml:space="preserve">0SSUR0IY</t>
  </si>
  <si>
    <t xml:space="preserve">S8DOH11H</t>
  </si>
  <si>
    <t xml:space="preserve">1IY7Y42E</t>
  </si>
  <si>
    <t xml:space="preserve">3CJMQNT0</t>
  </si>
  <si>
    <t xml:space="preserve">THNEGVH2</t>
  </si>
  <si>
    <t xml:space="preserve">TL0UILCV</t>
  </si>
  <si>
    <t xml:space="preserve">P3HO0L6P</t>
  </si>
  <si>
    <t xml:space="preserve">R3NAMX4P</t>
  </si>
  <si>
    <t xml:space="preserve">M23VU0A9</t>
  </si>
  <si>
    <t xml:space="preserve">XXXM7BMA</t>
  </si>
  <si>
    <t xml:space="preserve">SUOT8GB6</t>
  </si>
  <si>
    <t xml:space="preserve">N8SVXI48</t>
  </si>
  <si>
    <t xml:space="preserve">3GVL1I1G</t>
  </si>
  <si>
    <t xml:space="preserve">ZDVZB8PX</t>
  </si>
  <si>
    <t xml:space="preserve">QWIPE5FB</t>
  </si>
  <si>
    <t xml:space="preserve">FXKBY5FR</t>
  </si>
  <si>
    <t xml:space="preserve">E9PMCMA3</t>
  </si>
  <si>
    <t xml:space="preserve">PCTOIQZA</t>
  </si>
  <si>
    <t xml:space="preserve">OHJX1K09</t>
  </si>
  <si>
    <t xml:space="preserve">4OPFJFRO</t>
  </si>
  <si>
    <t xml:space="preserve">VMGCRSWP</t>
  </si>
  <si>
    <t xml:space="preserve">C8BIQFEN</t>
  </si>
  <si>
    <t xml:space="preserve">X7DYUDEB</t>
  </si>
  <si>
    <t xml:space="preserve">49TIKZ5B</t>
  </si>
  <si>
    <t xml:space="preserve">ZW5XV2QY</t>
  </si>
  <si>
    <t xml:space="preserve">AEZIAPTN</t>
  </si>
  <si>
    <t xml:space="preserve">EXXFSC3O</t>
  </si>
  <si>
    <t xml:space="preserve">FC4ZD68R</t>
  </si>
  <si>
    <t xml:space="preserve">FBEP7939</t>
  </si>
  <si>
    <t xml:space="preserve">DPXZ0ONG</t>
  </si>
  <si>
    <t xml:space="preserve">P4RLJHR3</t>
  </si>
  <si>
    <t xml:space="preserve">NPGETEDZ</t>
  </si>
  <si>
    <t xml:space="preserve">D4PEXI47</t>
  </si>
  <si>
    <t xml:space="preserve">NFKUICVA</t>
  </si>
  <si>
    <t xml:space="preserve">V8ELYA6F</t>
  </si>
  <si>
    <t xml:space="preserve">69Z30MBF</t>
  </si>
  <si>
    <t xml:space="preserve">F0KWRLK1</t>
  </si>
  <si>
    <t xml:space="preserve">B5GG52AB</t>
  </si>
  <si>
    <t xml:space="preserve">T2EM55FZ</t>
  </si>
  <si>
    <t xml:space="preserve">24BCH90I</t>
  </si>
  <si>
    <t xml:space="preserve">X3DSI0TQ</t>
  </si>
  <si>
    <t xml:space="preserve">JTXYATXL</t>
  </si>
  <si>
    <t xml:space="preserve">66LD5EF0</t>
  </si>
  <si>
    <t xml:space="preserve">TPJNVDPH</t>
  </si>
  <si>
    <t xml:space="preserve">GIIHTQGY</t>
  </si>
  <si>
    <t xml:space="preserve">CAX04DY1</t>
  </si>
  <si>
    <t xml:space="preserve">XKYHE3OH</t>
  </si>
  <si>
    <t xml:space="preserve">EWEW7ZMQ</t>
  </si>
  <si>
    <t xml:space="preserve">6DJ817MW</t>
  </si>
  <si>
    <t xml:space="preserve">0DYZ71WX</t>
  </si>
  <si>
    <t xml:space="preserve">9FE75D1D</t>
  </si>
  <si>
    <t xml:space="preserve">UX0H8B3W</t>
  </si>
  <si>
    <t xml:space="preserve">KJ4NAGS5</t>
  </si>
  <si>
    <t xml:space="preserve">NZIJ3KKG</t>
  </si>
  <si>
    <t xml:space="preserve">8BP0QGNP</t>
  </si>
  <si>
    <t xml:space="preserve">6Z3EP424</t>
  </si>
  <si>
    <t xml:space="preserve">CSJKVMR9</t>
  </si>
  <si>
    <t xml:space="preserve">BO2XRLBS</t>
  </si>
  <si>
    <t xml:space="preserve">3CS2IXT0</t>
  </si>
  <si>
    <t xml:space="preserve">GS9UKUGV</t>
  </si>
  <si>
    <t xml:space="preserve">KA6SVT1C</t>
  </si>
  <si>
    <t xml:space="preserve">QKUULSVC</t>
  </si>
  <si>
    <t xml:space="preserve">VPIXVUUE</t>
  </si>
  <si>
    <t xml:space="preserve">I9U5PCM3</t>
  </si>
  <si>
    <t xml:space="preserve">9HCLI5PO</t>
  </si>
  <si>
    <t xml:space="preserve">ZN8LHN9B</t>
  </si>
  <si>
    <t xml:space="preserve">TXPUCPT8</t>
  </si>
  <si>
    <t xml:space="preserve">2TI1UFAA</t>
  </si>
  <si>
    <t xml:space="preserve">KMRR1P94</t>
  </si>
  <si>
    <t xml:space="preserve">K6TJSGUB</t>
  </si>
  <si>
    <t xml:space="preserve">8BGC94TT</t>
  </si>
  <si>
    <t xml:space="preserve">ORUHS3Q2</t>
  </si>
  <si>
    <t xml:space="preserve">7PCCI1U2</t>
  </si>
  <si>
    <t xml:space="preserve">PV411N8I</t>
  </si>
  <si>
    <t xml:space="preserve">H29A7E6X</t>
  </si>
  <si>
    <t xml:space="preserve">9BMWYLQV</t>
  </si>
  <si>
    <t xml:space="preserve">L6CE1E4L</t>
  </si>
  <si>
    <t xml:space="preserve">KXEZ5B3Q</t>
  </si>
  <si>
    <t xml:space="preserve">50JIFEWD</t>
  </si>
  <si>
    <t xml:space="preserve">TU58PHME</t>
  </si>
  <si>
    <t xml:space="preserve">KPFV2AAL</t>
  </si>
  <si>
    <t xml:space="preserve">ZQC7YA4X</t>
  </si>
  <si>
    <t xml:space="preserve">9EICLJHY</t>
  </si>
  <si>
    <t xml:space="preserve">5PIJNVMB</t>
  </si>
  <si>
    <t xml:space="preserve">TKENIGRA</t>
  </si>
  <si>
    <t xml:space="preserve">N8BM4XEP</t>
  </si>
  <si>
    <t xml:space="preserve">QXWLE549</t>
  </si>
  <si>
    <t xml:space="preserve">VYJ20GOM</t>
  </si>
  <si>
    <t xml:space="preserve">PWW6TH3V</t>
  </si>
  <si>
    <t xml:space="preserve">6FR9YZH2</t>
  </si>
  <si>
    <t xml:space="preserve">AOVU3VUJ</t>
  </si>
  <si>
    <t xml:space="preserve">MZTB3C70</t>
  </si>
  <si>
    <t xml:space="preserve">GXJF1O6U</t>
  </si>
  <si>
    <t xml:space="preserve">WV2OG7C3</t>
  </si>
  <si>
    <t xml:space="preserve">P4PX93RN</t>
  </si>
  <si>
    <t xml:space="preserve">VJ1FT11H</t>
  </si>
  <si>
    <t xml:space="preserve">8CQ2I2P2</t>
  </si>
  <si>
    <t xml:space="preserve">T87FD71P</t>
  </si>
  <si>
    <t xml:space="preserve">714B6OB2</t>
  </si>
  <si>
    <t xml:space="preserve">RQ5FNR4O</t>
  </si>
  <si>
    <t xml:space="preserve">RUN3Z87A</t>
  </si>
  <si>
    <t xml:space="preserve">WOD9UKMP</t>
  </si>
  <si>
    <t xml:space="preserve">9CLDDA0W</t>
  </si>
  <si>
    <t xml:space="preserve">RKI7OEP9</t>
  </si>
  <si>
    <t xml:space="preserve">D6U1NYBU</t>
  </si>
  <si>
    <t xml:space="preserve">2751GWVC</t>
  </si>
  <si>
    <t xml:space="preserve">Q1CFR580</t>
  </si>
  <si>
    <t xml:space="preserve">0TEEJ0WD</t>
  </si>
  <si>
    <t xml:space="preserve">C3KQJVDU</t>
  </si>
  <si>
    <t xml:space="preserve">W66UPKL4</t>
  </si>
  <si>
    <t xml:space="preserve">93818DZF</t>
  </si>
  <si>
    <t xml:space="preserve">LMVQ6B9P</t>
  </si>
  <si>
    <t xml:space="preserve">DH4WEPQ5</t>
  </si>
  <si>
    <t xml:space="preserve">3IBBBGM4</t>
  </si>
  <si>
    <t xml:space="preserve">NFT2Z7MM</t>
  </si>
  <si>
    <t xml:space="preserve">VEZ8OX88</t>
  </si>
  <si>
    <t xml:space="preserve">WIHGFD8B</t>
  </si>
  <si>
    <t xml:space="preserve">RENW2N0H</t>
  </si>
  <si>
    <t xml:space="preserve">B05SO4C6</t>
  </si>
  <si>
    <t xml:space="preserve">DMYP7REE</t>
  </si>
  <si>
    <t xml:space="preserve">7I2O2ZCR</t>
  </si>
  <si>
    <t xml:space="preserve">PSKWV2JJ</t>
  </si>
  <si>
    <t xml:space="preserve">FG79OR5X</t>
  </si>
  <si>
    <t xml:space="preserve">XH69FGJJ</t>
  </si>
  <si>
    <t xml:space="preserve">MT45X396</t>
  </si>
  <si>
    <t xml:space="preserve">SUX7JFN7</t>
  </si>
  <si>
    <t xml:space="preserve">RYJPSM6D</t>
  </si>
  <si>
    <t xml:space="preserve">AJ3CFCFA</t>
  </si>
  <si>
    <t xml:space="preserve">8977L373</t>
  </si>
  <si>
    <t xml:space="preserve">05915PPX</t>
  </si>
  <si>
    <t xml:space="preserve">D1ANNMSO</t>
  </si>
  <si>
    <t xml:space="preserve">YUUD6GIT</t>
  </si>
  <si>
    <t xml:space="preserve">3UI5JBOA</t>
  </si>
  <si>
    <t xml:space="preserve">6HE07D76</t>
  </si>
  <si>
    <t xml:space="preserve">F3BJAMUL</t>
  </si>
  <si>
    <t xml:space="preserve">I86DM1B9</t>
  </si>
  <si>
    <t xml:space="preserve">KP1L9SXH</t>
  </si>
  <si>
    <t xml:space="preserve">DVAOMCYK</t>
  </si>
  <si>
    <t xml:space="preserve">X96KGPI8</t>
  </si>
  <si>
    <t xml:space="preserve">8DPUST4Y</t>
  </si>
  <si>
    <t xml:space="preserve">KXLD5YKX</t>
  </si>
  <si>
    <t xml:space="preserve">ERWWQ79N</t>
  </si>
  <si>
    <t xml:space="preserve">BICJY3FZ</t>
  </si>
  <si>
    <t xml:space="preserve">1T8R8X79</t>
  </si>
  <si>
    <t xml:space="preserve">MMIYELAE</t>
  </si>
  <si>
    <t xml:space="preserve">6KM4E0V1</t>
  </si>
  <si>
    <t xml:space="preserve">HLX6W646</t>
  </si>
  <si>
    <t xml:space="preserve">8F3RA844</t>
  </si>
  <si>
    <t xml:space="preserve">4335LVQT</t>
  </si>
  <si>
    <t xml:space="preserve">H6Q0LXVH</t>
  </si>
  <si>
    <t xml:space="preserve">PGCWLU4L</t>
  </si>
  <si>
    <t xml:space="preserve">AIBZQM42</t>
  </si>
  <si>
    <t xml:space="preserve">5SJP2J1J</t>
  </si>
  <si>
    <t xml:space="preserve">P8ZOY6HA</t>
  </si>
  <si>
    <t xml:space="preserve">CSXOYE1C</t>
  </si>
  <si>
    <t xml:space="preserve">2AGA3ALY</t>
  </si>
  <si>
    <t xml:space="preserve">RVI6ARFW</t>
  </si>
  <si>
    <t xml:space="preserve">50OYB2YN</t>
  </si>
  <si>
    <t xml:space="preserve">F46Q34LY</t>
  </si>
  <si>
    <t xml:space="preserve">EW5ASXX4</t>
  </si>
  <si>
    <t xml:space="preserve">U3FTUG3T</t>
  </si>
  <si>
    <t xml:space="preserve">VB26KWQ6</t>
  </si>
  <si>
    <t xml:space="preserve">IDN254QN</t>
  </si>
  <si>
    <t xml:space="preserve">H7P5O25G</t>
  </si>
  <si>
    <t xml:space="preserve">J6TNURHV</t>
  </si>
  <si>
    <t xml:space="preserve">SFXFXRYV</t>
  </si>
  <si>
    <t xml:space="preserve">06H63NKF</t>
  </si>
  <si>
    <t xml:space="preserve">ANNUH4KM</t>
  </si>
  <si>
    <t xml:space="preserve">UZTMM5MG</t>
  </si>
  <si>
    <t xml:space="preserve">L3DT2WVO</t>
  </si>
  <si>
    <t xml:space="preserve">PG4UQI8B</t>
  </si>
  <si>
    <t xml:space="preserve">VKB9RFJT</t>
  </si>
  <si>
    <t xml:space="preserve">HR3DH6DX</t>
  </si>
  <si>
    <t xml:space="preserve">CR13KZ71</t>
  </si>
  <si>
    <t xml:space="preserve">SWXO4J19</t>
  </si>
  <si>
    <t xml:space="preserve">4Q1A27SA</t>
  </si>
  <si>
    <t xml:space="preserve">GZCWRMIR</t>
  </si>
  <si>
    <t xml:space="preserve">IZ5MV9YF</t>
  </si>
  <si>
    <t xml:space="preserve">DZOLKFK6</t>
  </si>
  <si>
    <t xml:space="preserve">H3ZS0FBT</t>
  </si>
  <si>
    <t xml:space="preserve">JOKH5C6I</t>
  </si>
  <si>
    <t xml:space="preserve">D9LUG4D8</t>
  </si>
  <si>
    <t xml:space="preserve">RMQME3N0</t>
  </si>
  <si>
    <t xml:space="preserve">0ONK3WET</t>
  </si>
  <si>
    <t xml:space="preserve">8V3XDZ0D</t>
  </si>
  <si>
    <t xml:space="preserve">PIPYDN8Y</t>
  </si>
  <si>
    <t xml:space="preserve">MR49QBLO</t>
  </si>
  <si>
    <t xml:space="preserve">T7AHYN7O</t>
  </si>
  <si>
    <t xml:space="preserve">UYJVA76O</t>
  </si>
  <si>
    <t xml:space="preserve">7M7UED1P</t>
  </si>
  <si>
    <t xml:space="preserve">GVSAAKF4</t>
  </si>
  <si>
    <t xml:space="preserve">1SKGHPHL</t>
  </si>
  <si>
    <t xml:space="preserve">5JS6JI3P</t>
  </si>
  <si>
    <t xml:space="preserve">LDDQ5PN2</t>
  </si>
  <si>
    <t xml:space="preserve">OJOJPNL6</t>
  </si>
  <si>
    <t xml:space="preserve">92IDH7MB</t>
  </si>
  <si>
    <t xml:space="preserve">A30VAQHM</t>
  </si>
  <si>
    <t xml:space="preserve">NNREN4Q5</t>
  </si>
  <si>
    <t xml:space="preserve">O5CWW9P3</t>
  </si>
  <si>
    <t xml:space="preserve">895XMROB</t>
  </si>
  <si>
    <t xml:space="preserve">1D8XLZQ8</t>
  </si>
  <si>
    <t xml:space="preserve">J0WKJLR6</t>
  </si>
  <si>
    <t xml:space="preserve">02ILGBRB</t>
  </si>
  <si>
    <t xml:space="preserve">04G3DK6T</t>
  </si>
  <si>
    <t xml:space="preserve">PBGAZKMQ</t>
  </si>
  <si>
    <t xml:space="preserve">JB7JEEI5</t>
  </si>
  <si>
    <t xml:space="preserve">6ZFEAR57</t>
  </si>
  <si>
    <t xml:space="preserve">G7ZZG9DI</t>
  </si>
  <si>
    <t xml:space="preserve">4E5E9MYV</t>
  </si>
  <si>
    <t xml:space="preserve">6BCEXGTX</t>
  </si>
  <si>
    <t xml:space="preserve">GQ13O0AQ</t>
  </si>
  <si>
    <t xml:space="preserve">S3J60BK0</t>
  </si>
  <si>
    <t xml:space="preserve">M5NUUVA4</t>
  </si>
  <si>
    <t xml:space="preserve">V01XCOAS</t>
  </si>
  <si>
    <t xml:space="preserve">X2GXIKND</t>
  </si>
  <si>
    <t xml:space="preserve">0UFUDIYT</t>
  </si>
  <si>
    <t xml:space="preserve">EC9H6XHB</t>
  </si>
  <si>
    <t xml:space="preserve">ASK5U1TD</t>
  </si>
  <si>
    <t xml:space="preserve">PWOX6RY8</t>
  </si>
  <si>
    <t xml:space="preserve">B1D3HP8V</t>
  </si>
  <si>
    <t xml:space="preserve">AB39AL3A</t>
  </si>
  <si>
    <t xml:space="preserve">T94JAB4C</t>
  </si>
  <si>
    <t xml:space="preserve">EM1W738H</t>
  </si>
  <si>
    <t xml:space="preserve">J96E49Z1</t>
  </si>
  <si>
    <t xml:space="preserve">OU42AWAE</t>
  </si>
  <si>
    <t xml:space="preserve">3Z2AMU5T</t>
  </si>
  <si>
    <t xml:space="preserve">B7VEJNPV</t>
  </si>
  <si>
    <t xml:space="preserve">MN4ZHCUZ</t>
  </si>
  <si>
    <t xml:space="preserve">B944EMXZ</t>
  </si>
  <si>
    <t xml:space="preserve">41S0S9KP</t>
  </si>
  <si>
    <t xml:space="preserve">R9RWFEEJ</t>
  </si>
  <si>
    <t xml:space="preserve">QSCVBJNJ</t>
  </si>
  <si>
    <t xml:space="preserve">0UB5IQXA</t>
  </si>
  <si>
    <t xml:space="preserve">T0H5HATU</t>
  </si>
  <si>
    <t xml:space="preserve">JKIAA2TF</t>
  </si>
  <si>
    <t xml:space="preserve">TY9RBWLT</t>
  </si>
  <si>
    <t xml:space="preserve">RLTHGLLJ</t>
  </si>
  <si>
    <t xml:space="preserve">DDXFIBEY</t>
  </si>
  <si>
    <t xml:space="preserve">2PX317QP</t>
  </si>
  <si>
    <t xml:space="preserve">UYWQ5N0R</t>
  </si>
  <si>
    <t xml:space="preserve">IDYA1X6O</t>
  </si>
  <si>
    <t xml:space="preserve">610D6711</t>
  </si>
  <si>
    <t xml:space="preserve">6PHF576T</t>
  </si>
  <si>
    <t xml:space="preserve">1V3O11ZD</t>
  </si>
  <si>
    <t xml:space="preserve">MLPVWTC2</t>
  </si>
  <si>
    <t xml:space="preserve">LRP5IXX5</t>
  </si>
  <si>
    <t xml:space="preserve">N3YVDYY2</t>
  </si>
  <si>
    <t xml:space="preserve">86MJT5KR</t>
  </si>
  <si>
    <t xml:space="preserve">2BH5Q718</t>
  </si>
  <si>
    <t xml:space="preserve">3GFZ7SN4</t>
  </si>
  <si>
    <t xml:space="preserve">DUOS7AO8</t>
  </si>
  <si>
    <t xml:space="preserve">MOSX49BG</t>
  </si>
  <si>
    <t xml:space="preserve">KHG4UMKP</t>
  </si>
  <si>
    <t xml:space="preserve">KAPPUUYY</t>
  </si>
  <si>
    <t xml:space="preserve">FNXCNUR1</t>
  </si>
  <si>
    <t xml:space="preserve">Z7JCS0ZW</t>
  </si>
  <si>
    <t xml:space="preserve">7XL4JYSB</t>
  </si>
  <si>
    <t xml:space="preserve">1AQKM7VU</t>
  </si>
  <si>
    <t xml:space="preserve">ZNE0DAIF</t>
  </si>
  <si>
    <t xml:space="preserve">O35V5CTW</t>
  </si>
  <si>
    <t xml:space="preserve">6NWIZG2N</t>
  </si>
  <si>
    <t xml:space="preserve">90D20NZU</t>
  </si>
  <si>
    <t xml:space="preserve">W3U1N1RV</t>
  </si>
  <si>
    <t xml:space="preserve">ZP5Q4YUJ</t>
  </si>
  <si>
    <t xml:space="preserve">RVQTWBKE</t>
  </si>
  <si>
    <t xml:space="preserve">NE300YJ0</t>
  </si>
  <si>
    <t xml:space="preserve">K214R7RK</t>
  </si>
  <si>
    <t xml:space="preserve">52IHI8JD</t>
  </si>
  <si>
    <t xml:space="preserve">LDYYOH6W</t>
  </si>
  <si>
    <t xml:space="preserve">MTZQ55RH</t>
  </si>
  <si>
    <t xml:space="preserve">GTXI4PAR</t>
  </si>
  <si>
    <t xml:space="preserve">8YOOE8I5</t>
  </si>
  <si>
    <t xml:space="preserve">QPCY8RU0</t>
  </si>
  <si>
    <t xml:space="preserve">TFZMFOH9</t>
  </si>
  <si>
    <t xml:space="preserve">JJ17IHID</t>
  </si>
  <si>
    <t xml:space="preserve">T8LSQO2S</t>
  </si>
  <si>
    <t xml:space="preserve">GSE8QWMU</t>
  </si>
  <si>
    <t xml:space="preserve">99HAV7SY</t>
  </si>
  <si>
    <t xml:space="preserve">M40Z4KWL</t>
  </si>
  <si>
    <t xml:space="preserve">5R1XNYTM</t>
  </si>
  <si>
    <t xml:space="preserve">EC8A1L94</t>
  </si>
  <si>
    <t xml:space="preserve">BL23633Z</t>
  </si>
  <si>
    <t xml:space="preserve">CYBWWANG</t>
  </si>
  <si>
    <t xml:space="preserve">WMJDLTEF</t>
  </si>
  <si>
    <t xml:space="preserve">0GRGY09E</t>
  </si>
  <si>
    <t xml:space="preserve">01DZ14Y0</t>
  </si>
  <si>
    <t xml:space="preserve">7OXU784Y</t>
  </si>
  <si>
    <t xml:space="preserve">NJAOJJY9</t>
  </si>
  <si>
    <t xml:space="preserve">F0XGEQOE</t>
  </si>
  <si>
    <t xml:space="preserve">O8E9L7VK</t>
  </si>
  <si>
    <t xml:space="preserve">9E3H6ONP</t>
  </si>
  <si>
    <t xml:space="preserve">OWEMO7RD</t>
  </si>
  <si>
    <t xml:space="preserve">S5FBJ31P</t>
  </si>
  <si>
    <t xml:space="preserve">GJX7YGIF</t>
  </si>
  <si>
    <t xml:space="preserve">UZ4JMG8Z</t>
  </si>
  <si>
    <t xml:space="preserve">B5OXRZTT</t>
  </si>
  <si>
    <t xml:space="preserve">SPRK2YOB</t>
  </si>
  <si>
    <t xml:space="preserve">RAPX57I3</t>
  </si>
  <si>
    <t xml:space="preserve">ID7F5VGK</t>
  </si>
  <si>
    <t xml:space="preserve">38ZR3URJ</t>
  </si>
  <si>
    <t xml:space="preserve">FQD0IJBC</t>
  </si>
  <si>
    <t xml:space="preserve">83Y5850C</t>
  </si>
  <si>
    <t xml:space="preserve">87KZX1UX</t>
  </si>
  <si>
    <t xml:space="preserve">07DPEL0B</t>
  </si>
  <si>
    <t xml:space="preserve">6NFIUDKS</t>
  </si>
  <si>
    <t xml:space="preserve">ZQK0JTVN</t>
  </si>
  <si>
    <t xml:space="preserve">U7L0IZLB</t>
  </si>
  <si>
    <t xml:space="preserve">ZSYWCL6R</t>
  </si>
  <si>
    <t xml:space="preserve">JFBWABB1</t>
  </si>
  <si>
    <t xml:space="preserve">8W9YXI59</t>
  </si>
  <si>
    <t xml:space="preserve">U008ILBM</t>
  </si>
  <si>
    <t xml:space="preserve">VM6SAQYT</t>
  </si>
  <si>
    <t xml:space="preserve">QJZVB9ZG</t>
  </si>
  <si>
    <t xml:space="preserve">WA58C7SV</t>
  </si>
  <si>
    <t xml:space="preserve">AZJXZFMR</t>
  </si>
  <si>
    <t xml:space="preserve">9J2JZGFJ</t>
  </si>
  <si>
    <t xml:space="preserve">6M77EGH7</t>
  </si>
  <si>
    <t xml:space="preserve">CRL6IB5Z</t>
  </si>
  <si>
    <t xml:space="preserve">524QUXI2</t>
  </si>
  <si>
    <t xml:space="preserve">LCZGL74L</t>
  </si>
  <si>
    <t xml:space="preserve">UWZHNMR4</t>
  </si>
  <si>
    <t xml:space="preserve">X9MTGVJZ</t>
  </si>
  <si>
    <t xml:space="preserve">BFH34LVO</t>
  </si>
  <si>
    <t xml:space="preserve">MLV2QDU6</t>
  </si>
  <si>
    <t xml:space="preserve">TYQFCQBN</t>
  </si>
  <si>
    <t xml:space="preserve">72C58IRY</t>
  </si>
  <si>
    <t xml:space="preserve">PH1IKJ0W</t>
  </si>
  <si>
    <t xml:space="preserve">BUZMB3Q4</t>
  </si>
  <si>
    <t xml:space="preserve">7AH7F190</t>
  </si>
  <si>
    <t xml:space="preserve">9TTQYYIW</t>
  </si>
  <si>
    <t xml:space="preserve">9ZY0QQ8Q</t>
  </si>
  <si>
    <t xml:space="preserve">R4X2MOO1</t>
  </si>
  <si>
    <t xml:space="preserve">I2DLJ6C3</t>
  </si>
  <si>
    <t xml:space="preserve">QA2XTMMZ</t>
  </si>
  <si>
    <t xml:space="preserve">BKMYW792</t>
  </si>
  <si>
    <t xml:space="preserve">MX0QEMEB</t>
  </si>
  <si>
    <t xml:space="preserve">MA1LQG9S</t>
  </si>
  <si>
    <t xml:space="preserve">FZH6NJAQ</t>
  </si>
  <si>
    <t xml:space="preserve">6QRZCDL0</t>
  </si>
  <si>
    <t xml:space="preserve">NR9UD54C</t>
  </si>
  <si>
    <t xml:space="preserve">RBHXB5V5</t>
  </si>
  <si>
    <t xml:space="preserve">SYSPNKUR</t>
  </si>
  <si>
    <t xml:space="preserve">U6LLSWEN</t>
  </si>
  <si>
    <t xml:space="preserve">MGR0TSPK</t>
  </si>
  <si>
    <t xml:space="preserve">RL26ZS8F</t>
  </si>
  <si>
    <t xml:space="preserve">A3JRUDX3</t>
  </si>
  <si>
    <t xml:space="preserve">MEKVHSCB</t>
  </si>
  <si>
    <t xml:space="preserve">ADS3CQ4B</t>
  </si>
  <si>
    <t xml:space="preserve">V5THS9V8</t>
  </si>
  <si>
    <t xml:space="preserve">GCCBRJF8</t>
  </si>
  <si>
    <t xml:space="preserve">5BRWXIU3</t>
  </si>
  <si>
    <t xml:space="preserve">6LS93NXH</t>
  </si>
  <si>
    <t xml:space="preserve">8RR4WXXZ</t>
  </si>
  <si>
    <t xml:space="preserve">LKBDKJLM</t>
  </si>
  <si>
    <t xml:space="preserve">Z31RDLIF</t>
  </si>
  <si>
    <t xml:space="preserve">R2JKKVOO</t>
  </si>
  <si>
    <t xml:space="preserve">5UFQONQU</t>
  </si>
  <si>
    <t xml:space="preserve">KUAZF4E7</t>
  </si>
  <si>
    <t xml:space="preserve">RAUWH0GP</t>
  </si>
  <si>
    <t xml:space="preserve">LN0DF2XI</t>
  </si>
  <si>
    <t xml:space="preserve">2FGV5XNE</t>
  </si>
  <si>
    <t xml:space="preserve">I15B3BNW</t>
  </si>
  <si>
    <t xml:space="preserve">62JLAD45</t>
  </si>
  <si>
    <t xml:space="preserve">B5WZQP1F</t>
  </si>
  <si>
    <t xml:space="preserve">L7CFCOR6</t>
  </si>
  <si>
    <t xml:space="preserve">S9DDUFGP</t>
  </si>
  <si>
    <t xml:space="preserve">VSMB0KJW</t>
  </si>
  <si>
    <t xml:space="preserve">RFUJTKVO</t>
  </si>
  <si>
    <t xml:space="preserve">BRGJCWO1</t>
  </si>
  <si>
    <t xml:space="preserve">V9YY2XIE</t>
  </si>
  <si>
    <t xml:space="preserve">R5V9DX5U</t>
  </si>
  <si>
    <t xml:space="preserve">QVWPMJ8R</t>
  </si>
  <si>
    <t xml:space="preserve">KU4GX1KD</t>
  </si>
  <si>
    <t xml:space="preserve">70A4A2GV</t>
  </si>
  <si>
    <t xml:space="preserve">UHYI2QB2</t>
  </si>
  <si>
    <t xml:space="preserve">KY42W3FG</t>
  </si>
  <si>
    <t xml:space="preserve">LVF6FP4A</t>
  </si>
  <si>
    <t xml:space="preserve">K98JFWRC</t>
  </si>
  <si>
    <t xml:space="preserve">ZVXINY4O</t>
  </si>
  <si>
    <t xml:space="preserve">UDXS7H12</t>
  </si>
  <si>
    <t xml:space="preserve">WHV85GOQ</t>
  </si>
  <si>
    <t xml:space="preserve">MXJAH0R5</t>
  </si>
  <si>
    <t xml:space="preserve">IFO74RWI</t>
  </si>
  <si>
    <t xml:space="preserve">GVZMMURY</t>
  </si>
  <si>
    <t xml:space="preserve">6ALPIXB7</t>
  </si>
  <si>
    <t xml:space="preserve">FAKATVRQ</t>
  </si>
  <si>
    <t xml:space="preserve">B7BT5DB8</t>
  </si>
  <si>
    <t xml:space="preserve">SH1NTXPV</t>
  </si>
  <si>
    <t xml:space="preserve">MEIBOSW7</t>
  </si>
  <si>
    <t xml:space="preserve">8EQRW9H5</t>
  </si>
  <si>
    <t xml:space="preserve">P55UV5QW</t>
  </si>
  <si>
    <t xml:space="preserve">M3IFAMV2</t>
  </si>
  <si>
    <t xml:space="preserve">Z1IF1M5M</t>
  </si>
  <si>
    <t xml:space="preserve">H0HDYIYJ</t>
  </si>
  <si>
    <t xml:space="preserve">7CC4DUSQ</t>
  </si>
  <si>
    <t xml:space="preserve">5B9EIYPP</t>
  </si>
  <si>
    <t xml:space="preserve">Z9WFXNX3</t>
  </si>
  <si>
    <t xml:space="preserve">XNOQAL9G</t>
  </si>
  <si>
    <t xml:space="preserve">P214KAH8</t>
  </si>
  <si>
    <t xml:space="preserve">2KVQ5Z4M</t>
  </si>
  <si>
    <t xml:space="preserve">UIE5G6GW</t>
  </si>
  <si>
    <t xml:space="preserve">BRIOGGKC</t>
  </si>
  <si>
    <t xml:space="preserve">5IMH88MT</t>
  </si>
  <si>
    <t xml:space="preserve">MA6F51AR</t>
  </si>
  <si>
    <t xml:space="preserve">T20CPZ52</t>
  </si>
  <si>
    <t xml:space="preserve">BWPBMVQH</t>
  </si>
  <si>
    <t xml:space="preserve">YKMHSGNU</t>
  </si>
  <si>
    <t xml:space="preserve">6MTK51P5</t>
  </si>
  <si>
    <t xml:space="preserve">UJT04PL7</t>
  </si>
  <si>
    <t xml:space="preserve">3OA6FZUD</t>
  </si>
  <si>
    <t xml:space="preserve">5HHFR0VZ</t>
  </si>
  <si>
    <t xml:space="preserve">VW2PJALW</t>
  </si>
  <si>
    <t xml:space="preserve">GQNM1QP8</t>
  </si>
  <si>
    <t xml:space="preserve">QS440NN9</t>
  </si>
  <si>
    <t xml:space="preserve">F34QYKQJ</t>
  </si>
  <si>
    <t xml:space="preserve">OR0PEAIV</t>
  </si>
  <si>
    <t xml:space="preserve">VSNI41WQ</t>
  </si>
  <si>
    <t xml:space="preserve">5S2JLJGL</t>
  </si>
  <si>
    <t xml:space="preserve">1B2WYHTY</t>
  </si>
  <si>
    <t xml:space="preserve">0LTBCZHI</t>
  </si>
  <si>
    <t xml:space="preserve">86GSJWQW</t>
  </si>
  <si>
    <t xml:space="preserve">348COZ5O</t>
  </si>
  <si>
    <t xml:space="preserve">VIZ9ZLVT</t>
  </si>
  <si>
    <t xml:space="preserve">MPVD0JVF</t>
  </si>
  <si>
    <t xml:space="preserve">I33TECO1</t>
  </si>
  <si>
    <t xml:space="preserve">02TUKBP3</t>
  </si>
  <si>
    <t xml:space="preserve">SZPU1DSR</t>
  </si>
  <si>
    <t xml:space="preserve">6U30UYDT</t>
  </si>
  <si>
    <t xml:space="preserve">4MXSHU7X</t>
  </si>
  <si>
    <t xml:space="preserve">OBCBK0XR</t>
  </si>
  <si>
    <t xml:space="preserve">MENKE9IV</t>
  </si>
  <si>
    <t xml:space="preserve">MVU1OZVS</t>
  </si>
  <si>
    <t xml:space="preserve">A86ZEF94</t>
  </si>
  <si>
    <t xml:space="preserve">QHVGK8DM</t>
  </si>
  <si>
    <t xml:space="preserve">13O8NTOT</t>
  </si>
  <si>
    <t xml:space="preserve">MDLJKQ5B</t>
  </si>
  <si>
    <t xml:space="preserve">1W5FOS69</t>
  </si>
  <si>
    <t xml:space="preserve">RO8TURF5</t>
  </si>
  <si>
    <t xml:space="preserve">0YM4VJDP</t>
  </si>
  <si>
    <t xml:space="preserve">89MUGU6K</t>
  </si>
  <si>
    <t xml:space="preserve">L11T0DYF</t>
  </si>
  <si>
    <t xml:space="preserve">20NZO7TT</t>
  </si>
  <si>
    <t xml:space="preserve">RSSYISWE</t>
  </si>
  <si>
    <t xml:space="preserve">08O63ECM</t>
  </si>
  <si>
    <t xml:space="preserve">S3GVO59B</t>
  </si>
  <si>
    <t xml:space="preserve">UADVV91I</t>
  </si>
  <si>
    <t xml:space="preserve">8N3GXBI5</t>
  </si>
  <si>
    <t xml:space="preserve">YND6FAFG</t>
  </si>
  <si>
    <t xml:space="preserve">AWFSNZ2U</t>
  </si>
  <si>
    <t xml:space="preserve">BFB6C54U</t>
  </si>
  <si>
    <t xml:space="preserve">PA3EXPCW</t>
  </si>
  <si>
    <t xml:space="preserve">FQQ3XQNG</t>
  </si>
  <si>
    <t xml:space="preserve">YA8CL4UM</t>
  </si>
  <si>
    <t xml:space="preserve">LWVZKYI0</t>
  </si>
  <si>
    <t xml:space="preserve">D74OAJB4</t>
  </si>
  <si>
    <t xml:space="preserve">84N2YHUB</t>
  </si>
  <si>
    <t xml:space="preserve">PGT70Q4T</t>
  </si>
  <si>
    <t xml:space="preserve">5VJIXV02</t>
  </si>
  <si>
    <t xml:space="preserve">W7GVI03S</t>
  </si>
  <si>
    <t xml:space="preserve">IIZV9WFC</t>
  </si>
  <si>
    <t xml:space="preserve">D28ANNYX</t>
  </si>
  <si>
    <t xml:space="preserve">BF9D3HVC</t>
  </si>
  <si>
    <t xml:space="preserve">ZXXWIGFR</t>
  </si>
  <si>
    <t xml:space="preserve">JYNYK957</t>
  </si>
  <si>
    <t xml:space="preserve">8XXD2LMP</t>
  </si>
  <si>
    <t xml:space="preserve">7XP06LUZ</t>
  </si>
  <si>
    <t xml:space="preserve">EV0V1ZZA</t>
  </si>
  <si>
    <t xml:space="preserve">O9MGYBG4</t>
  </si>
  <si>
    <t xml:space="preserve">9F407X6U</t>
  </si>
  <si>
    <t xml:space="preserve">76NU9866</t>
  </si>
  <si>
    <t xml:space="preserve">8W35TVOQ</t>
  </si>
  <si>
    <t xml:space="preserve">7DDPLMQ5</t>
  </si>
  <si>
    <t xml:space="preserve">59SUBXGP</t>
  </si>
  <si>
    <t xml:space="preserve">Q2GK9IT2</t>
  </si>
  <si>
    <t xml:space="preserve">IHJEX21Z</t>
  </si>
  <si>
    <t xml:space="preserve">YR4EFQ4C</t>
  </si>
  <si>
    <t xml:space="preserve">R2CG5WED</t>
  </si>
  <si>
    <t xml:space="preserve">19H5KFIC</t>
  </si>
  <si>
    <t xml:space="preserve">IFTZ75Z9</t>
  </si>
  <si>
    <t xml:space="preserve">WDUOD19F</t>
  </si>
  <si>
    <t xml:space="preserve">J1VGTXQS</t>
  </si>
  <si>
    <t xml:space="preserve">5HKITTHD</t>
  </si>
  <si>
    <t xml:space="preserve">Q9BUCL60</t>
  </si>
  <si>
    <t xml:space="preserve">UDXG59P0</t>
  </si>
  <si>
    <t xml:space="preserve">ZDAJ4PFJ</t>
  </si>
  <si>
    <t xml:space="preserve">TYLSS719</t>
  </si>
  <si>
    <t xml:space="preserve">9PH1EWCH</t>
  </si>
  <si>
    <t xml:space="preserve">EQPGDVWK</t>
  </si>
  <si>
    <t xml:space="preserve">965CJ4YG</t>
  </si>
  <si>
    <t xml:space="preserve">05HLE3JL</t>
  </si>
  <si>
    <t xml:space="preserve">233HYDSP</t>
  </si>
  <si>
    <t xml:space="preserve">ZD772DU8</t>
  </si>
  <si>
    <t xml:space="preserve">LHG76MIU</t>
  </si>
  <si>
    <t xml:space="preserve">GB6C2UK5</t>
  </si>
  <si>
    <t xml:space="preserve">HJLKGIH4</t>
  </si>
  <si>
    <t xml:space="preserve">UMKU4ZGE</t>
  </si>
  <si>
    <t xml:space="preserve">IS2HLCEO</t>
  </si>
  <si>
    <t xml:space="preserve">M3QL68T6</t>
  </si>
  <si>
    <t xml:space="preserve">984H5OG0</t>
  </si>
  <si>
    <t xml:space="preserve">2WPEOPIF</t>
  </si>
  <si>
    <t xml:space="preserve">62WFO2I3</t>
  </si>
  <si>
    <t xml:space="preserve">C0LNV4PU</t>
  </si>
  <si>
    <t xml:space="preserve">820NH7ZA</t>
  </si>
  <si>
    <t xml:space="preserve">RCDG00F7</t>
  </si>
  <si>
    <t xml:space="preserve">KQLS98VW</t>
  </si>
  <si>
    <t xml:space="preserve">9CK2HTJP</t>
  </si>
  <si>
    <t xml:space="preserve">H29XGJ5H</t>
  </si>
  <si>
    <t xml:space="preserve">OK7R7I2A</t>
  </si>
  <si>
    <t xml:space="preserve">T2G750N6</t>
  </si>
  <si>
    <t xml:space="preserve">IIKN6Q8E</t>
  </si>
  <si>
    <t xml:space="preserve">N22XN5IM</t>
  </si>
  <si>
    <t xml:space="preserve">74YNCNQM</t>
  </si>
  <si>
    <t xml:space="preserve">PDI7F0LR</t>
  </si>
  <si>
    <t xml:space="preserve">JW51LS6C</t>
  </si>
  <si>
    <t xml:space="preserve">OVPNOM6O</t>
  </si>
  <si>
    <t xml:space="preserve">PRY70ISY</t>
  </si>
  <si>
    <t xml:space="preserve">K4N74V6U</t>
  </si>
  <si>
    <t xml:space="preserve">3Q8GSOKD</t>
  </si>
  <si>
    <t xml:space="preserve">D3O1PCMO</t>
  </si>
  <si>
    <t xml:space="preserve">D3HUUVPL</t>
  </si>
  <si>
    <t xml:space="preserve">C09PGOZG</t>
  </si>
  <si>
    <t xml:space="preserve">2PXZ68OA</t>
  </si>
  <si>
    <t xml:space="preserve">U8IUBGTW</t>
  </si>
  <si>
    <t xml:space="preserve">3D6LLPA1</t>
  </si>
  <si>
    <t xml:space="preserve">3KLVZN6M</t>
  </si>
  <si>
    <t xml:space="preserve">DHJ8KOUV</t>
  </si>
  <si>
    <t xml:space="preserve">93OFIHMF</t>
  </si>
  <si>
    <t xml:space="preserve">T4SSD24J</t>
  </si>
  <si>
    <t xml:space="preserve">ML5QMJPM</t>
  </si>
  <si>
    <t xml:space="preserve">MJ0RRDLN</t>
  </si>
  <si>
    <t xml:space="preserve">U0XDMZK8</t>
  </si>
  <si>
    <t xml:space="preserve">V9ORUWY8</t>
  </si>
  <si>
    <t xml:space="preserve">QFIEJY21</t>
  </si>
  <si>
    <t xml:space="preserve">2QISWUQ9</t>
  </si>
  <si>
    <t xml:space="preserve">B133ECHC</t>
  </si>
  <si>
    <t xml:space="preserve">33JWQH71</t>
  </si>
  <si>
    <t xml:space="preserve">7ACIXBSY</t>
  </si>
  <si>
    <t xml:space="preserve">E3LNNM8H</t>
  </si>
  <si>
    <t xml:space="preserve">N6ZLW0OG</t>
  </si>
  <si>
    <t xml:space="preserve">CTZ5I5R5</t>
  </si>
  <si>
    <t xml:space="preserve">ITDTMROU</t>
  </si>
  <si>
    <t xml:space="preserve">E2LVAU2T</t>
  </si>
  <si>
    <t xml:space="preserve">ZFIT4XWO</t>
  </si>
  <si>
    <t xml:space="preserve">L351AATH</t>
  </si>
  <si>
    <t xml:space="preserve">ULWQ61OZ</t>
  </si>
  <si>
    <t xml:space="preserve">4Z7LYTKN</t>
  </si>
  <si>
    <t xml:space="preserve">WOS93VI5</t>
  </si>
  <si>
    <t xml:space="preserve">USL5PZ4O</t>
  </si>
  <si>
    <t xml:space="preserve">4MPM6ZPU</t>
  </si>
  <si>
    <t xml:space="preserve">3RJPZ634</t>
  </si>
  <si>
    <t xml:space="preserve">9Y43IDMY</t>
  </si>
  <si>
    <t xml:space="preserve">528YB7Q0</t>
  </si>
  <si>
    <t xml:space="preserve">UYZQCWAC</t>
  </si>
  <si>
    <t xml:space="preserve">2SI35CTV</t>
  </si>
  <si>
    <t xml:space="preserve">X8P0Q1EU</t>
  </si>
  <si>
    <t xml:space="preserve">BI36TLO5</t>
  </si>
  <si>
    <t xml:space="preserve">U2JOATN3</t>
  </si>
  <si>
    <t xml:space="preserve">669805IQ</t>
  </si>
  <si>
    <t xml:space="preserve">JZD1QDWA</t>
  </si>
  <si>
    <t xml:space="preserve">ZLIQCT7V</t>
  </si>
  <si>
    <t xml:space="preserve">0WGAPLOI</t>
  </si>
  <si>
    <t xml:space="preserve">S3HMUXS1</t>
  </si>
  <si>
    <t xml:space="preserve">IE1N4OUS</t>
  </si>
  <si>
    <t xml:space="preserve">NUBMO8S7</t>
  </si>
  <si>
    <t xml:space="preserve">TAPH7KQO</t>
  </si>
  <si>
    <t xml:space="preserve">ZIEI8JM3</t>
  </si>
  <si>
    <t xml:space="preserve">WAEWV7YD</t>
  </si>
  <si>
    <t xml:space="preserve">EBMBP7JQ</t>
  </si>
  <si>
    <t xml:space="preserve">Y3EVBV53</t>
  </si>
  <si>
    <t xml:space="preserve">77JIGDNZ</t>
  </si>
  <si>
    <t xml:space="preserve">VUAFV8SS</t>
  </si>
  <si>
    <t xml:space="preserve">XETHS437</t>
  </si>
  <si>
    <t xml:space="preserve">Z7GJE1K0</t>
  </si>
  <si>
    <t xml:space="preserve">U3F5X6BB</t>
  </si>
  <si>
    <t xml:space="preserve">CNAOGH7N</t>
  </si>
  <si>
    <t xml:space="preserve">R0DKB8FJ</t>
  </si>
  <si>
    <t xml:space="preserve">Y2X0X0WQ</t>
  </si>
  <si>
    <t xml:space="preserve">RV7ERUUT</t>
  </si>
  <si>
    <t xml:space="preserve">GIZAD3ZN</t>
  </si>
  <si>
    <t xml:space="preserve">DC1E84LC</t>
  </si>
  <si>
    <t xml:space="preserve">6AT4VS58</t>
  </si>
  <si>
    <t xml:space="preserve">LHIM2BGF</t>
  </si>
  <si>
    <t xml:space="preserve">IGFQGZDK</t>
  </si>
  <si>
    <t xml:space="preserve">T58EDFV0</t>
  </si>
  <si>
    <t xml:space="preserve">Y5A5G2L5</t>
  </si>
  <si>
    <t xml:space="preserve">A2PTJA6G</t>
  </si>
  <si>
    <t xml:space="preserve">MB0XTICR</t>
  </si>
  <si>
    <t xml:space="preserve">R892OD1B</t>
  </si>
  <si>
    <t xml:space="preserve">U5JFEXOI</t>
  </si>
  <si>
    <t xml:space="preserve">3THBBYXS</t>
  </si>
  <si>
    <t xml:space="preserve">OBFCOV33</t>
  </si>
  <si>
    <t xml:space="preserve">EQIV6PMF</t>
  </si>
  <si>
    <t xml:space="preserve">01FNZW2T</t>
  </si>
  <si>
    <t xml:space="preserve">S8Y9AAWC</t>
  </si>
  <si>
    <t xml:space="preserve">7XNX75LI</t>
  </si>
  <si>
    <t xml:space="preserve">WSKZBAYI</t>
  </si>
  <si>
    <t xml:space="preserve">MF6S92GQ</t>
  </si>
  <si>
    <t xml:space="preserve">7OSD4T24</t>
  </si>
  <si>
    <t xml:space="preserve">QRWC159J</t>
  </si>
  <si>
    <t xml:space="preserve">1FMCUSFS</t>
  </si>
  <si>
    <t xml:space="preserve">W40IER4O</t>
  </si>
  <si>
    <t xml:space="preserve">YDUL6H8V</t>
  </si>
  <si>
    <t xml:space="preserve">6R6T68GL</t>
  </si>
  <si>
    <t xml:space="preserve">WE03969I</t>
  </si>
  <si>
    <t xml:space="preserve">8ARRIREI</t>
  </si>
  <si>
    <t xml:space="preserve">XF54BYUH</t>
  </si>
  <si>
    <t xml:space="preserve">3YZFYEMI</t>
  </si>
  <si>
    <t xml:space="preserve">TEM0I59X</t>
  </si>
  <si>
    <t xml:space="preserve">GVEUKZ72</t>
  </si>
  <si>
    <t xml:space="preserve">OFP1MLFY</t>
  </si>
  <si>
    <t xml:space="preserve">EGOU8GB1</t>
  </si>
  <si>
    <t xml:space="preserve">SEYFLN8Y</t>
  </si>
  <si>
    <t xml:space="preserve">KPF0GREK</t>
  </si>
  <si>
    <t xml:space="preserve">LOSUVU4T</t>
  </si>
  <si>
    <t xml:space="preserve">XCB9CPID</t>
  </si>
  <si>
    <t xml:space="preserve">IG9RPWOZ</t>
  </si>
  <si>
    <t xml:space="preserve">IJ2CLOLZ</t>
  </si>
  <si>
    <t xml:space="preserve">R0R0V2O5</t>
  </si>
  <si>
    <t xml:space="preserve">6UQTAD4C</t>
  </si>
  <si>
    <t xml:space="preserve">LUXAXNBV</t>
  </si>
  <si>
    <t xml:space="preserve">CCCQGBSY</t>
  </si>
  <si>
    <t xml:space="preserve">Q6MGPT50</t>
  </si>
  <si>
    <t xml:space="preserve">47QKNXLO</t>
  </si>
  <si>
    <t xml:space="preserve">YHOVVBSP</t>
  </si>
  <si>
    <t xml:space="preserve">ZM1HKZRS</t>
  </si>
  <si>
    <t xml:space="preserve">FAS4V07H</t>
  </si>
  <si>
    <t xml:space="preserve">ESYGBBLP</t>
  </si>
  <si>
    <t xml:space="preserve">G6433A35</t>
  </si>
  <si>
    <t xml:space="preserve">Q6F9JWTY</t>
  </si>
  <si>
    <t xml:space="preserve">R7GYOI0M</t>
  </si>
  <si>
    <t xml:space="preserve">IIOVCSHC</t>
  </si>
  <si>
    <t xml:space="preserve">IFVL4WL5</t>
  </si>
  <si>
    <t xml:space="preserve">MAUIC3DD</t>
  </si>
  <si>
    <t xml:space="preserve">PJ3NGI1Y</t>
  </si>
  <si>
    <t xml:space="preserve">F28BOUE5</t>
  </si>
  <si>
    <t xml:space="preserve">JGZVNKMT</t>
  </si>
  <si>
    <t xml:space="preserve">RU9Y6GR1</t>
  </si>
  <si>
    <t xml:space="preserve">LO2BMO33</t>
  </si>
  <si>
    <t xml:space="preserve">8U3LICIW</t>
  </si>
  <si>
    <t xml:space="preserve">NXHAAD08</t>
  </si>
  <si>
    <t xml:space="preserve">073UCD9F</t>
  </si>
  <si>
    <t xml:space="preserve">RDMKSDT0</t>
  </si>
  <si>
    <t xml:space="preserve">43WRAJ1I</t>
  </si>
  <si>
    <t xml:space="preserve">PVZ4YGQG</t>
  </si>
  <si>
    <t xml:space="preserve">HDW4BXVN</t>
  </si>
  <si>
    <t xml:space="preserve">D00FIU21</t>
  </si>
  <si>
    <t xml:space="preserve">0DY00J6O</t>
  </si>
  <si>
    <t xml:space="preserve">3XUKEIQF</t>
  </si>
  <si>
    <t xml:space="preserve">GVLIYD9A</t>
  </si>
  <si>
    <t xml:space="preserve">U071YJYI</t>
  </si>
  <si>
    <t xml:space="preserve">RDZ2FC3A</t>
  </si>
  <si>
    <t xml:space="preserve">0QMOIDET</t>
  </si>
  <si>
    <t xml:space="preserve">MG3ZJ8F3</t>
  </si>
  <si>
    <t xml:space="preserve">AAUTJ747</t>
  </si>
  <si>
    <t xml:space="preserve">GAUSPPYM</t>
  </si>
  <si>
    <t xml:space="preserve">S5NVSXEX</t>
  </si>
  <si>
    <t xml:space="preserve">D9CS7EIY</t>
  </si>
  <si>
    <t xml:space="preserve">4PLSG7A3</t>
  </si>
  <si>
    <t xml:space="preserve">DT8SWPLT</t>
  </si>
  <si>
    <t xml:space="preserve">OPFBXGFV</t>
  </si>
  <si>
    <t xml:space="preserve">23ZL97PN</t>
  </si>
  <si>
    <t xml:space="preserve">6EYTZB6F</t>
  </si>
  <si>
    <t xml:space="preserve">UFAABKQJ</t>
  </si>
  <si>
    <t xml:space="preserve">1GA3AFTX</t>
  </si>
  <si>
    <t xml:space="preserve">JL358E5T</t>
  </si>
  <si>
    <t xml:space="preserve">DH8R6PK5</t>
  </si>
  <si>
    <t xml:space="preserve">L1WPBDZG</t>
  </si>
  <si>
    <t xml:space="preserve">3SOLZEZX</t>
  </si>
  <si>
    <t xml:space="preserve">J9V49YC3</t>
  </si>
  <si>
    <t xml:space="preserve">DXY9EZ55</t>
  </si>
  <si>
    <t xml:space="preserve">GLUYX9KN</t>
  </si>
  <si>
    <t xml:space="preserve">YAVTI45C</t>
  </si>
  <si>
    <t xml:space="preserve">WGSLK719</t>
  </si>
  <si>
    <t xml:space="preserve">2DT6W3HA</t>
  </si>
  <si>
    <t xml:space="preserve">30UA0RS8</t>
  </si>
  <si>
    <t xml:space="preserve">2K52EH11</t>
  </si>
  <si>
    <t xml:space="preserve">WA5NRVIG</t>
  </si>
  <si>
    <t xml:space="preserve">DA7BZMMO</t>
  </si>
  <si>
    <t xml:space="preserve">PERK5YXJ</t>
  </si>
  <si>
    <t xml:space="preserve">KXTUVDLU</t>
  </si>
  <si>
    <t xml:space="preserve">R9ZOFUBX</t>
  </si>
  <si>
    <t xml:space="preserve">HEMKK91Z</t>
  </si>
  <si>
    <t xml:space="preserve">41HHBQRT</t>
  </si>
  <si>
    <t xml:space="preserve">HT17GEXI</t>
  </si>
  <si>
    <t xml:space="preserve">VMOGUQA7</t>
  </si>
  <si>
    <t xml:space="preserve">MAA6TJMM</t>
  </si>
  <si>
    <t xml:space="preserve">R5ILWVDD</t>
  </si>
  <si>
    <t xml:space="preserve">JCJ5PJDH</t>
  </si>
  <si>
    <t xml:space="preserve">UBWO7HIV</t>
  </si>
  <si>
    <t xml:space="preserve">DSPMSOTB</t>
  </si>
  <si>
    <t xml:space="preserve">0BYU67KG</t>
  </si>
  <si>
    <t xml:space="preserve">QSHP9AHU</t>
  </si>
  <si>
    <t xml:space="preserve">M3306MKK</t>
  </si>
  <si>
    <t xml:space="preserve">F7S1OPQS</t>
  </si>
  <si>
    <t xml:space="preserve">TXZTEEUJ</t>
  </si>
  <si>
    <t xml:space="preserve">FTZ4VYH4</t>
  </si>
  <si>
    <t xml:space="preserve">CID4Y877</t>
  </si>
  <si>
    <t xml:space="preserve">TDHFX8SC</t>
  </si>
  <si>
    <t xml:space="preserve">PZNZD22T</t>
  </si>
  <si>
    <t xml:space="preserve">4MFY8UXP</t>
  </si>
  <si>
    <t xml:space="preserve">9EGLQG3N</t>
  </si>
  <si>
    <t xml:space="preserve">B6CHA7CX</t>
  </si>
  <si>
    <t xml:space="preserve">ROD5WJDM</t>
  </si>
  <si>
    <t xml:space="preserve">8U0BUWUQ</t>
  </si>
  <si>
    <t xml:space="preserve">7ZASHEBX</t>
  </si>
  <si>
    <t xml:space="preserve">A2OLLGWZ</t>
  </si>
  <si>
    <t xml:space="preserve">ZRCY8P4P</t>
  </si>
  <si>
    <t xml:space="preserve">4OUTIJAR</t>
  </si>
  <si>
    <t xml:space="preserve">V263VR1Y</t>
  </si>
  <si>
    <t xml:space="preserve">20048JO2</t>
  </si>
  <si>
    <t xml:space="preserve">DTCHPCBB</t>
  </si>
  <si>
    <t xml:space="preserve">KFZ37330</t>
  </si>
  <si>
    <t xml:space="preserve">IK72767Q</t>
  </si>
  <si>
    <t xml:space="preserve">IX8AYR6F</t>
  </si>
  <si>
    <t xml:space="preserve">EI7DU48C</t>
  </si>
  <si>
    <t xml:space="preserve">5J7T0GZU</t>
  </si>
  <si>
    <t xml:space="preserve">O9MHRAK6</t>
  </si>
  <si>
    <t xml:space="preserve">WTEAOER0</t>
  </si>
  <si>
    <t xml:space="preserve">GUDTJY0I</t>
  </si>
  <si>
    <t xml:space="preserve">WN9ZY701</t>
  </si>
  <si>
    <t xml:space="preserve">7EYDG0CV</t>
  </si>
  <si>
    <t xml:space="preserve">M827K2PI</t>
  </si>
  <si>
    <t xml:space="preserve">KKOU11ZD</t>
  </si>
  <si>
    <t xml:space="preserve">9868N4GB</t>
  </si>
  <si>
    <t xml:space="preserve">MDK5NQJA</t>
  </si>
  <si>
    <t xml:space="preserve">CNAQ6R7T</t>
  </si>
  <si>
    <t xml:space="preserve">SS0ZF7SG</t>
  </si>
  <si>
    <t xml:space="preserve">8DDC9RLE</t>
  </si>
  <si>
    <t xml:space="preserve">4P0SDD91</t>
  </si>
  <si>
    <t xml:space="preserve">MIDW7Q49</t>
  </si>
  <si>
    <t xml:space="preserve">JY8W2PKW</t>
  </si>
  <si>
    <t xml:space="preserve">KNN6C4O3</t>
  </si>
  <si>
    <t xml:space="preserve">9WUYZLBE</t>
  </si>
  <si>
    <t xml:space="preserve">I4T9W7NQ</t>
  </si>
  <si>
    <t xml:space="preserve">TVBY6CND</t>
  </si>
  <si>
    <t xml:space="preserve">85LVQ6PB</t>
  </si>
  <si>
    <t xml:space="preserve">9AQFU718</t>
  </si>
  <si>
    <t xml:space="preserve">BJLJV8XE</t>
  </si>
  <si>
    <t xml:space="preserve">9YH8LS5H</t>
  </si>
  <si>
    <t xml:space="preserve">LKFYC5X3</t>
  </si>
  <si>
    <t xml:space="preserve">HXRF96S3</t>
  </si>
  <si>
    <t xml:space="preserve">MFYR7SSG</t>
  </si>
  <si>
    <t xml:space="preserve">NCF02FA5</t>
  </si>
  <si>
    <t xml:space="preserve">A7FCLQ42</t>
  </si>
  <si>
    <t xml:space="preserve">GB1K3Y4Y</t>
  </si>
  <si>
    <t xml:space="preserve">WRSA8PVU</t>
  </si>
  <si>
    <t xml:space="preserve">L6WEVHEN</t>
  </si>
  <si>
    <t xml:space="preserve">BMQYRJC7</t>
  </si>
  <si>
    <t xml:space="preserve">2WZU46RL</t>
  </si>
  <si>
    <t xml:space="preserve">51AC0Q99</t>
  </si>
  <si>
    <t xml:space="preserve">8A1EB728</t>
  </si>
  <si>
    <t xml:space="preserve">JSLSL3SU</t>
  </si>
  <si>
    <t xml:space="preserve">TGI9B9AD</t>
  </si>
  <si>
    <t xml:space="preserve">1HG8VLHU</t>
  </si>
  <si>
    <t xml:space="preserve">CU7KT53A</t>
  </si>
  <si>
    <t xml:space="preserve">T32P6LSX</t>
  </si>
  <si>
    <t xml:space="preserve">C13104YM</t>
  </si>
  <si>
    <t xml:space="preserve">6OXOIJ4D</t>
  </si>
  <si>
    <t xml:space="preserve">OQBVGILR</t>
  </si>
  <si>
    <t xml:space="preserve">XZKZYO55</t>
  </si>
  <si>
    <t xml:space="preserve">USJ0JACE</t>
  </si>
  <si>
    <t xml:space="preserve">IKIJHQPN</t>
  </si>
  <si>
    <t xml:space="preserve">03H4RXBI</t>
  </si>
  <si>
    <t xml:space="preserve">3DF5FIAM</t>
  </si>
  <si>
    <t xml:space="preserve">VVM450RP</t>
  </si>
  <si>
    <t xml:space="preserve">FYAVINLC</t>
  </si>
  <si>
    <t xml:space="preserve">P858PP0L</t>
  </si>
  <si>
    <t xml:space="preserve">MZ987882</t>
  </si>
  <si>
    <t xml:space="preserve">K4GL9NDX</t>
  </si>
  <si>
    <t xml:space="preserve">98R4AZA8</t>
  </si>
  <si>
    <t xml:space="preserve">BALJ5E9J</t>
  </si>
  <si>
    <t xml:space="preserve">7GXUCFW5</t>
  </si>
  <si>
    <t xml:space="preserve">GBRQN296</t>
  </si>
  <si>
    <t xml:space="preserve">8AKZH8QS</t>
  </si>
  <si>
    <t xml:space="preserve">O04P1WN6</t>
  </si>
  <si>
    <t xml:space="preserve">TBS5Y874</t>
  </si>
  <si>
    <t xml:space="preserve">0OJE7J6C</t>
  </si>
  <si>
    <t xml:space="preserve">7IAHPFT9</t>
  </si>
  <si>
    <t xml:space="preserve">XZ9YR78K</t>
  </si>
  <si>
    <t xml:space="preserve">AQH7ORZZ</t>
  </si>
  <si>
    <t xml:space="preserve">6W7QAH1B</t>
  </si>
  <si>
    <t xml:space="preserve">QJ9H7Y8W</t>
  </si>
  <si>
    <t xml:space="preserve">F5OETS8V</t>
  </si>
  <si>
    <t xml:space="preserve">T91ZAQRH</t>
  </si>
  <si>
    <t xml:space="preserve">1AGL4X1J</t>
  </si>
  <si>
    <t xml:space="preserve">6XP6FVMN</t>
  </si>
  <si>
    <t xml:space="preserve">897MKBP9</t>
  </si>
  <si>
    <t xml:space="preserve">XAKK81WB</t>
  </si>
  <si>
    <t xml:space="preserve">4YXXI2OI</t>
  </si>
  <si>
    <t xml:space="preserve">TQV7CO87</t>
  </si>
  <si>
    <t xml:space="preserve">WQSUMJRZ</t>
  </si>
  <si>
    <t xml:space="preserve">U0SS8E43</t>
  </si>
  <si>
    <t xml:space="preserve">S5R9O6TL</t>
  </si>
  <si>
    <t xml:space="preserve">2KWQ6RAZ</t>
  </si>
  <si>
    <t xml:space="preserve">XR4PPDOB</t>
  </si>
  <si>
    <t xml:space="preserve">AMCOSQZC</t>
  </si>
  <si>
    <t xml:space="preserve">Z6ETLZQU</t>
  </si>
  <si>
    <t xml:space="preserve">3ISHFT20</t>
  </si>
  <si>
    <t xml:space="preserve">WKIRY6KE</t>
  </si>
  <si>
    <t xml:space="preserve">MKI4TLUN</t>
  </si>
  <si>
    <t xml:space="preserve">RYLBEZ4N</t>
  </si>
  <si>
    <t xml:space="preserve">WTZ2AHNW</t>
  </si>
  <si>
    <t xml:space="preserve">DCNA3CA1</t>
  </si>
  <si>
    <t xml:space="preserve">EHPG1PNC</t>
  </si>
  <si>
    <t xml:space="preserve">H7GFLCDH</t>
  </si>
  <si>
    <t xml:space="preserve">MBBBOMEV</t>
  </si>
  <si>
    <t xml:space="preserve">JRSU8ALH</t>
  </si>
  <si>
    <t xml:space="preserve">ESZPH44N</t>
  </si>
  <si>
    <t xml:space="preserve">ZDB6D35R</t>
  </si>
  <si>
    <t xml:space="preserve">60JGDDRO</t>
  </si>
  <si>
    <t xml:space="preserve">C6F5DTFR</t>
  </si>
  <si>
    <t xml:space="preserve">DX9CCI9C</t>
  </si>
  <si>
    <t xml:space="preserve">F8F6MA24</t>
  </si>
  <si>
    <t xml:space="preserve">JAYXM4QB</t>
  </si>
  <si>
    <t xml:space="preserve">O2BF1KAT</t>
  </si>
  <si>
    <t xml:space="preserve">W3LRLMKP</t>
  </si>
  <si>
    <t xml:space="preserve">ORBIW519</t>
  </si>
  <si>
    <t xml:space="preserve">2ZVWE5NE</t>
  </si>
  <si>
    <t xml:space="preserve">WI0LMD20</t>
  </si>
  <si>
    <t xml:space="preserve">5R408EB5</t>
  </si>
  <si>
    <t xml:space="preserve">4QU2EXEY</t>
  </si>
  <si>
    <t xml:space="preserve">I6FIZ2S5</t>
  </si>
  <si>
    <t xml:space="preserve">SX73M3HS</t>
  </si>
  <si>
    <t xml:space="preserve">04SQ7RNY</t>
  </si>
  <si>
    <t xml:space="preserve">Q34UWP01</t>
  </si>
  <si>
    <t xml:space="preserve">VAD1MF34</t>
  </si>
  <si>
    <t xml:space="preserve">UYPF6FZ3</t>
  </si>
  <si>
    <t xml:space="preserve">AP9MLRZJ</t>
  </si>
  <si>
    <t xml:space="preserve">YVJ3V0ZI</t>
  </si>
  <si>
    <t xml:space="preserve">7L89U5DU</t>
  </si>
  <si>
    <t xml:space="preserve">CXE6ORIJ</t>
  </si>
  <si>
    <t xml:space="preserve">V2YD7XYV</t>
  </si>
  <si>
    <t xml:space="preserve">GCWTH2MD</t>
  </si>
  <si>
    <t xml:space="preserve">59O0CDJE</t>
  </si>
  <si>
    <t xml:space="preserve">SZ09YDEF</t>
  </si>
  <si>
    <t xml:space="preserve">FQPECFYO</t>
  </si>
  <si>
    <t xml:space="preserve">CXAEFADQ</t>
  </si>
  <si>
    <t xml:space="preserve">I5QVV9C5</t>
  </si>
  <si>
    <t xml:space="preserve">2P0VIX4N</t>
  </si>
  <si>
    <t xml:space="preserve">C0H6SU2X</t>
  </si>
  <si>
    <t xml:space="preserve">D4ZMTQLE</t>
  </si>
  <si>
    <t xml:space="preserve">SGAJAIP9</t>
  </si>
  <si>
    <t xml:space="preserve">1WVEAE8N</t>
  </si>
  <si>
    <t xml:space="preserve">QFXZT1TV</t>
  </si>
  <si>
    <t xml:space="preserve">GEFQNRF3</t>
  </si>
  <si>
    <t xml:space="preserve">DF6A63B7</t>
  </si>
  <si>
    <t xml:space="preserve">QJV1UWL5</t>
  </si>
  <si>
    <t xml:space="preserve">IAW2UHNH</t>
  </si>
  <si>
    <t xml:space="preserve">Y1JFDUVB</t>
  </si>
  <si>
    <t xml:space="preserve">EID3MR9L</t>
  </si>
  <si>
    <t xml:space="preserve">T482GHJQ</t>
  </si>
  <si>
    <t xml:space="preserve">KDY5FEUO</t>
  </si>
  <si>
    <t xml:space="preserve">8LFA54EQ</t>
  </si>
  <si>
    <t xml:space="preserve">WZKN6PO4</t>
  </si>
  <si>
    <t xml:space="preserve">BDEP8ZEH</t>
  </si>
  <si>
    <t xml:space="preserve">IWS4PKPP</t>
  </si>
  <si>
    <t xml:space="preserve">SK3A12HI</t>
  </si>
  <si>
    <t xml:space="preserve">L7TT9ZL4</t>
  </si>
  <si>
    <t xml:space="preserve">0ISX53T3</t>
  </si>
  <si>
    <t xml:space="preserve">KPW4J1CR</t>
  </si>
  <si>
    <t xml:space="preserve">E3CR358L</t>
  </si>
  <si>
    <t xml:space="preserve">L6AOARQ9</t>
  </si>
  <si>
    <t xml:space="preserve">OAMR9KPA</t>
  </si>
  <si>
    <t xml:space="preserve">R1Z8J1JL</t>
  </si>
  <si>
    <t xml:space="preserve">V929BUUS</t>
  </si>
  <si>
    <t xml:space="preserve">DCIFTBM0</t>
  </si>
  <si>
    <t xml:space="preserve">LFMMI05H</t>
  </si>
  <si>
    <t xml:space="preserve">ME0LMBYL</t>
  </si>
  <si>
    <t xml:space="preserve">LJEAX51Q</t>
  </si>
  <si>
    <t xml:space="preserve">U0XWF9TW</t>
  </si>
  <si>
    <t xml:space="preserve">401BY1PW</t>
  </si>
  <si>
    <t xml:space="preserve">XHDAW1SQ</t>
  </si>
  <si>
    <t xml:space="preserve">F15SU034</t>
  </si>
  <si>
    <t xml:space="preserve">YCQXHVMZ</t>
  </si>
  <si>
    <t xml:space="preserve">FVTCAFCL</t>
  </si>
  <si>
    <t xml:space="preserve">0SIWRBDT</t>
  </si>
  <si>
    <t xml:space="preserve">5C13TAA8</t>
  </si>
  <si>
    <t xml:space="preserve">6ZSAKAHX</t>
  </si>
  <si>
    <t xml:space="preserve">N1B45KIT</t>
  </si>
  <si>
    <t xml:space="preserve">823X29EZ</t>
  </si>
  <si>
    <t xml:space="preserve">JFIL5JU0</t>
  </si>
  <si>
    <t xml:space="preserve">SXPV3WCV</t>
  </si>
  <si>
    <t xml:space="preserve">8VO26H1R</t>
  </si>
  <si>
    <t xml:space="preserve">IEJHIQYI</t>
  </si>
  <si>
    <t xml:space="preserve">M4MAVN65</t>
  </si>
  <si>
    <t xml:space="preserve">8F7VHV02</t>
  </si>
  <si>
    <t xml:space="preserve">HY7D36UC</t>
  </si>
  <si>
    <t xml:space="preserve">KU7COUGK</t>
  </si>
  <si>
    <t xml:space="preserve">X70BM5FO</t>
  </si>
  <si>
    <t xml:space="preserve">O916VMU7</t>
  </si>
  <si>
    <t xml:space="preserve">3Z9AX43T</t>
  </si>
  <si>
    <t xml:space="preserve">4P5BOQB5</t>
  </si>
  <si>
    <t xml:space="preserve">00X8VEYH</t>
  </si>
  <si>
    <t xml:space="preserve">YPRHMUIB</t>
  </si>
  <si>
    <t xml:space="preserve">MG3X7625</t>
  </si>
  <si>
    <t xml:space="preserve">L40FW06K</t>
  </si>
  <si>
    <t xml:space="preserve">FB7OTAMV</t>
  </si>
  <si>
    <t xml:space="preserve">D4SJ5G2G</t>
  </si>
  <si>
    <t xml:space="preserve">YH5L64AP</t>
  </si>
  <si>
    <t xml:space="preserve">6C2CJX31</t>
  </si>
  <si>
    <t xml:space="preserve">7ZU2A8L1</t>
  </si>
  <si>
    <t xml:space="preserve">9E7VMZ1J</t>
  </si>
  <si>
    <t xml:space="preserve">BZPU6P5P</t>
  </si>
  <si>
    <t xml:space="preserve">EFB0NFP3</t>
  </si>
  <si>
    <t xml:space="preserve">1I1K838F</t>
  </si>
  <si>
    <t xml:space="preserve">VR1XYM23</t>
  </si>
  <si>
    <t xml:space="preserve">WIDRX5N6</t>
  </si>
  <si>
    <t xml:space="preserve">KP8ZZ3Y6</t>
  </si>
  <si>
    <t xml:space="preserve">YPSXMDRH</t>
  </si>
  <si>
    <t xml:space="preserve">DVGY4X7E</t>
  </si>
  <si>
    <t xml:space="preserve">S2KBTW2O</t>
  </si>
  <si>
    <t xml:space="preserve">M57LZE5F</t>
  </si>
  <si>
    <t xml:space="preserve">FZGGKS2D</t>
  </si>
  <si>
    <t xml:space="preserve">GU4HXZ55</t>
  </si>
  <si>
    <t xml:space="preserve">RX8711KI</t>
  </si>
  <si>
    <t xml:space="preserve">85U38YFD</t>
  </si>
  <si>
    <t xml:space="preserve">8T9ANK4E</t>
  </si>
  <si>
    <t xml:space="preserve">TJJFAU52</t>
  </si>
  <si>
    <t xml:space="preserve">ON2ZRW1X</t>
  </si>
  <si>
    <t xml:space="preserve">M9N3HWGC</t>
  </si>
  <si>
    <t xml:space="preserve">Y4UIUIEG</t>
  </si>
  <si>
    <t xml:space="preserve">OCVCCWPQ</t>
  </si>
  <si>
    <t xml:space="preserve">SH0BSL0Z</t>
  </si>
  <si>
    <t xml:space="preserve">CPC83NKN</t>
  </si>
  <si>
    <t xml:space="preserve">1W2EEX4L</t>
  </si>
  <si>
    <t xml:space="preserve">T1GPPZXH</t>
  </si>
  <si>
    <t xml:space="preserve">DT0ZJ9Z2</t>
  </si>
  <si>
    <t xml:space="preserve">HP9TUR60</t>
  </si>
  <si>
    <t xml:space="preserve">U3UT9B1U</t>
  </si>
  <si>
    <t xml:space="preserve">IEIZU3TY</t>
  </si>
  <si>
    <t xml:space="preserve">ZFXYBJEY</t>
  </si>
  <si>
    <t xml:space="preserve">0RH9W4E2</t>
  </si>
  <si>
    <t xml:space="preserve">19MLD9YF</t>
  </si>
  <si>
    <t xml:space="preserve">GHOQQYQM</t>
  </si>
  <si>
    <t xml:space="preserve">BOD1GBJU</t>
  </si>
  <si>
    <t xml:space="preserve">JE63NRUA</t>
  </si>
  <si>
    <t xml:space="preserve">CEYW89RW</t>
  </si>
  <si>
    <t xml:space="preserve">921APYA3</t>
  </si>
  <si>
    <t xml:space="preserve">J3K9EXW0</t>
  </si>
  <si>
    <t xml:space="preserve">9E3UNPHY</t>
  </si>
  <si>
    <t xml:space="preserve">E66UG7VC</t>
  </si>
  <si>
    <t xml:space="preserve">Y5IRSKVA</t>
  </si>
  <si>
    <t xml:space="preserve">V1YT1LP1</t>
  </si>
  <si>
    <t xml:space="preserve">87TZLMU7</t>
  </si>
  <si>
    <t xml:space="preserve">C7DOYN5Y</t>
  </si>
  <si>
    <t xml:space="preserve">4O6T16XI</t>
  </si>
  <si>
    <t xml:space="preserve">WGJB2VDU</t>
  </si>
  <si>
    <t xml:space="preserve">Z173R82Y</t>
  </si>
  <si>
    <t xml:space="preserve">C35YI5NJ</t>
  </si>
  <si>
    <t xml:space="preserve">ZLFKHXXI</t>
  </si>
  <si>
    <t xml:space="preserve">SK30SEKS</t>
  </si>
  <si>
    <t xml:space="preserve">LE3XYXEF</t>
  </si>
  <si>
    <t xml:space="preserve">6BSKCQCX</t>
  </si>
  <si>
    <t xml:space="preserve">T49Q4GWU</t>
  </si>
  <si>
    <t xml:space="preserve">OB3OK8BQ</t>
  </si>
  <si>
    <t xml:space="preserve">AS3IYIRO</t>
  </si>
  <si>
    <t xml:space="preserve">6SQHVC0S</t>
  </si>
  <si>
    <t xml:space="preserve">1YBATFAY</t>
  </si>
  <si>
    <t xml:space="preserve">Y5C1Q7UR</t>
  </si>
  <si>
    <t xml:space="preserve">WL31FAI3</t>
  </si>
  <si>
    <t xml:space="preserve">TDVM9PDL</t>
  </si>
  <si>
    <t xml:space="preserve">IKDFG91F</t>
  </si>
  <si>
    <t xml:space="preserve">O3Q5B86F</t>
  </si>
  <si>
    <t xml:space="preserve">AUJE7IZR</t>
  </si>
  <si>
    <t xml:space="preserve">UAVOPRPV</t>
  </si>
  <si>
    <t xml:space="preserve">PLQ50D2O</t>
  </si>
  <si>
    <t xml:space="preserve">Q3K6K5V9</t>
  </si>
  <si>
    <t xml:space="preserve">3RGNKYWW</t>
  </si>
  <si>
    <t xml:space="preserve">5U83YWZB</t>
  </si>
  <si>
    <t xml:space="preserve">Y25T06D2</t>
  </si>
  <si>
    <t xml:space="preserve">TRET6F45</t>
  </si>
  <si>
    <t xml:space="preserve">NW5CPPIV</t>
  </si>
  <si>
    <t xml:space="preserve">H41YA4SB</t>
  </si>
  <si>
    <t xml:space="preserve">WGYE40NI</t>
  </si>
  <si>
    <t xml:space="preserve">2EBLR9N8</t>
  </si>
  <si>
    <t xml:space="preserve">0ZXS3AIR</t>
  </si>
  <si>
    <t xml:space="preserve">1PXQZ40I</t>
  </si>
  <si>
    <t xml:space="preserve">HNCSYU4T</t>
  </si>
  <si>
    <t xml:space="preserve">7IZQJIPA</t>
  </si>
  <si>
    <t xml:space="preserve">4ATO2S4S</t>
  </si>
  <si>
    <t xml:space="preserve">FNCXBWHQ</t>
  </si>
  <si>
    <t xml:space="preserve">50AWO49B</t>
  </si>
  <si>
    <t xml:space="preserve">A4CVM3PM</t>
  </si>
  <si>
    <t xml:space="preserve">EY0JZ32S</t>
  </si>
  <si>
    <t xml:space="preserve">HQKUH8XA</t>
  </si>
  <si>
    <t xml:space="preserve">FNA51WN6</t>
  </si>
  <si>
    <t xml:space="preserve">KUJ5M6J3</t>
  </si>
  <si>
    <t xml:space="preserve">MEXK5KU6</t>
  </si>
  <si>
    <t xml:space="preserve">7OIR36P2</t>
  </si>
  <si>
    <t xml:space="preserve">PNNZM0OZ</t>
  </si>
  <si>
    <t xml:space="preserve">3PIPAOVU</t>
  </si>
  <si>
    <t xml:space="preserve">VTVYSUZG</t>
  </si>
  <si>
    <t xml:space="preserve">04AOWMXV</t>
  </si>
  <si>
    <t xml:space="preserve">G0QOVMMS</t>
  </si>
  <si>
    <t xml:space="preserve">EJYFAV40</t>
  </si>
  <si>
    <t xml:space="preserve">NBUHFAKW</t>
  </si>
  <si>
    <t xml:space="preserve">CUJIRCWV</t>
  </si>
  <si>
    <t xml:space="preserve">KZQGC4TA</t>
  </si>
  <si>
    <t xml:space="preserve">TVU1PQEL</t>
  </si>
  <si>
    <t xml:space="preserve">FXYOCA0G</t>
  </si>
  <si>
    <t xml:space="preserve">YZX90X8X</t>
  </si>
  <si>
    <t xml:space="preserve">CNL7PCYU</t>
  </si>
  <si>
    <t xml:space="preserve">C5Z2806X</t>
  </si>
  <si>
    <t xml:space="preserve">WPJ0AS7T</t>
  </si>
  <si>
    <t xml:space="preserve">7VHJG9J1</t>
  </si>
  <si>
    <t xml:space="preserve">10984DDU</t>
  </si>
  <si>
    <t xml:space="preserve">N9ZBEJFI</t>
  </si>
  <si>
    <t xml:space="preserve">76WXMI88</t>
  </si>
  <si>
    <t xml:space="preserve">HLXSEMXV</t>
  </si>
  <si>
    <t xml:space="preserve">ZRMZJVWK</t>
  </si>
  <si>
    <t xml:space="preserve">87G25M68</t>
  </si>
  <si>
    <t xml:space="preserve">MPMG4JTY</t>
  </si>
  <si>
    <t xml:space="preserve">MSN4ZNU6</t>
  </si>
  <si>
    <t xml:space="preserve">5XADPM6R</t>
  </si>
  <si>
    <t xml:space="preserve">VNJQD4Z7</t>
  </si>
  <si>
    <t xml:space="preserve">1RIO9PCD</t>
  </si>
  <si>
    <t xml:space="preserve">6JZ0HCSF</t>
  </si>
  <si>
    <t xml:space="preserve">9M88QXFW</t>
  </si>
  <si>
    <t xml:space="preserve">CQELCLO0</t>
  </si>
  <si>
    <t xml:space="preserve">6WCNNK5J</t>
  </si>
  <si>
    <t xml:space="preserve">4J8IA9GL</t>
  </si>
  <si>
    <t xml:space="preserve">RB8GDYFY</t>
  </si>
  <si>
    <t xml:space="preserve">ZHI12PI4</t>
  </si>
  <si>
    <t xml:space="preserve">KHZ3IOKH</t>
  </si>
  <si>
    <t xml:space="preserve">CC2ICRAG</t>
  </si>
  <si>
    <t xml:space="preserve">WANX7LM0</t>
  </si>
  <si>
    <t xml:space="preserve">9RGQ8HED</t>
  </si>
  <si>
    <t xml:space="preserve">7TOPAQ9Y</t>
  </si>
  <si>
    <t xml:space="preserve">R4BO7K5M</t>
  </si>
  <si>
    <t xml:space="preserve">YY4VFPND</t>
  </si>
  <si>
    <t xml:space="preserve">X2I316HD</t>
  </si>
  <si>
    <t xml:space="preserve">33JYWJ1X</t>
  </si>
  <si>
    <t xml:space="preserve">3FJPGYD7</t>
  </si>
  <si>
    <t xml:space="preserve">M7V7UJHZ</t>
  </si>
  <si>
    <t xml:space="preserve">QK98E62R</t>
  </si>
  <si>
    <t xml:space="preserve">B50N6RL3</t>
  </si>
  <si>
    <t xml:space="preserve">2SMQAWOA</t>
  </si>
  <si>
    <t xml:space="preserve">VDGA4KXA</t>
  </si>
  <si>
    <t xml:space="preserve">6GBGF19R</t>
  </si>
  <si>
    <t xml:space="preserve">X4XN0M8A</t>
  </si>
  <si>
    <t xml:space="preserve">OHAARANW</t>
  </si>
  <si>
    <t xml:space="preserve">C58775JM</t>
  </si>
  <si>
    <t xml:space="preserve">Y3QBGJLM</t>
  </si>
  <si>
    <t xml:space="preserve">JV0KXH4X</t>
  </si>
  <si>
    <t xml:space="preserve">W9LAIASV</t>
  </si>
  <si>
    <t xml:space="preserve">URN9V0FK</t>
  </si>
  <si>
    <t xml:space="preserve">94P229FH</t>
  </si>
  <si>
    <t xml:space="preserve">7GWM1WT0</t>
  </si>
  <si>
    <t xml:space="preserve">GIWI7CWJ</t>
  </si>
  <si>
    <t xml:space="preserve">FHCSKQ4K</t>
  </si>
  <si>
    <t xml:space="preserve">L1QNLM08</t>
  </si>
  <si>
    <t xml:space="preserve">1XO519P4</t>
  </si>
  <si>
    <t xml:space="preserve">55YURJ2E</t>
  </si>
  <si>
    <t xml:space="preserve">0J3UU8PZ</t>
  </si>
  <si>
    <t xml:space="preserve">V6RULHFZ</t>
  </si>
  <si>
    <t xml:space="preserve">STCU1IXE</t>
  </si>
  <si>
    <t xml:space="preserve">E3L02XMN</t>
  </si>
  <si>
    <t xml:space="preserve">MP9PICCD</t>
  </si>
  <si>
    <t xml:space="preserve">O1HKZ4ZF</t>
  </si>
  <si>
    <t xml:space="preserve">BUHR2X8U</t>
  </si>
  <si>
    <t xml:space="preserve">NRMFYPAD</t>
  </si>
  <si>
    <t xml:space="preserve">MKAKCFBQ</t>
  </si>
  <si>
    <t xml:space="preserve">SH0S5N6U</t>
  </si>
  <si>
    <t xml:space="preserve">HMG6NWSR</t>
  </si>
  <si>
    <t xml:space="preserve">NY197B1A</t>
  </si>
  <si>
    <t xml:space="preserve">FZGBRGHF</t>
  </si>
  <si>
    <t xml:space="preserve">YJTQSZ9D</t>
  </si>
  <si>
    <t xml:space="preserve">3MXS2HRE</t>
  </si>
  <si>
    <t xml:space="preserve">JMQRT3TC</t>
  </si>
  <si>
    <t xml:space="preserve">76RZPT87</t>
  </si>
  <si>
    <t xml:space="preserve">FX1RWO67</t>
  </si>
  <si>
    <t xml:space="preserve">8QJHJXY0</t>
  </si>
  <si>
    <t xml:space="preserve">LVMPJ8JN</t>
  </si>
  <si>
    <t xml:space="preserve">DC2NI04U</t>
  </si>
  <si>
    <t xml:space="preserve">5S3RN7H2</t>
  </si>
  <si>
    <t xml:space="preserve">1374WYJG</t>
  </si>
  <si>
    <t xml:space="preserve">RW6QS352</t>
  </si>
  <si>
    <t xml:space="preserve">PG5S1KYF</t>
  </si>
  <si>
    <t xml:space="preserve">ZJAIST7C</t>
  </si>
  <si>
    <t xml:space="preserve">TKI8MEZZ</t>
  </si>
  <si>
    <t xml:space="preserve">9BZBU2GY</t>
  </si>
  <si>
    <t xml:space="preserve">10B65ZN9</t>
  </si>
  <si>
    <t xml:space="preserve">L8POFR0T</t>
  </si>
  <si>
    <t xml:space="preserve">VQQR3OUI</t>
  </si>
  <si>
    <t xml:space="preserve">F98UFHM2</t>
  </si>
  <si>
    <t xml:space="preserve">3VPQNW5Y</t>
  </si>
  <si>
    <t xml:space="preserve">Q30OVFCZ</t>
  </si>
  <si>
    <t xml:space="preserve">ZXIHEEV2</t>
  </si>
  <si>
    <t xml:space="preserve">6SNUFVQP</t>
  </si>
  <si>
    <t xml:space="preserve">WX3CPDYD</t>
  </si>
  <si>
    <t xml:space="preserve">JPPLGVUS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</si>
</sst>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0.0%"/>
    <numFmt numFmtId="167" formatCode="dd/mm/yyyy"/>
    <numFmt numFmtId="168" formatCode="0"/>
    <numFmt numFmtId="169" formatCode="General"/>
    <numFmt numFmtId="170" formatCode="0.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i val="true"/>
      <sz val="10"/>
      <name val="Arial"/>
      <family val="0"/>
      <charset val="1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C6EFCE"/>
        <bgColor rgb="FFDDEBF7"/>
      </patternFill>
    </fill>
    <fill>
      <patternFill patternType="solid">
        <fgColor rgb="FFDDEBF7"/>
        <bgColor rgb="FFD9E1F2"/>
      </patternFill>
    </fill>
    <fill>
      <patternFill patternType="solid">
        <fgColor rgb="FFFFF2CC"/>
        <bgColor rgb="FFEDEDED"/>
      </patternFill>
    </fill>
    <fill>
      <patternFill patternType="solid">
        <fgColor rgb="FFEDEDED"/>
        <bgColor rgb="FFDDEBF7"/>
      </patternFill>
    </fill>
    <fill>
      <patternFill patternType="solid">
        <fgColor rgb="FFF8CBAD"/>
        <bgColor rgb="FFFFF2CC"/>
      </patternFill>
    </fill>
    <fill>
      <patternFill patternType="solid">
        <fgColor rgb="FFD9E1F2"/>
        <bgColor rgb="FFDDEBF7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5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DDEBF7"/>
        </patternFill>
      </fill>
    </dxf>
    <dxf>
      <fill>
        <patternFill>
          <bgColor rgb="FFFFF2CC"/>
        </patternFill>
      </fill>
    </dxf>
    <dxf>
      <fill>
        <patternFill>
          <bgColor rgb="FFEDEDED"/>
        </patternFill>
      </fill>
    </dxf>
    <dxf>
      <fill>
        <patternFill>
          <bgColor rgb="FFF8CBAD"/>
        </patternFill>
      </fill>
    </dxf>
    <dxf>
      <font>
        <name val="Arial"/>
        <charset val="1"/>
        <family val="0"/>
        <color rgb="FFC00000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C6EFCE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3" t="s">
        <v>2</v>
      </c>
    </row>
    <row r="4" customFormat="false" ht="15" hidden="false" customHeight="false" outlineLevel="0" collapsed="false">
      <c r="A4" s="2" t="s">
        <v>3</v>
      </c>
      <c r="B4" s="3" t="s">
        <v>4</v>
      </c>
    </row>
    <row r="5" customFormat="false" ht="15" hidden="false" customHeight="false" outlineLevel="0" collapsed="false">
      <c r="A5" s="2" t="s">
        <v>5</v>
      </c>
      <c r="B5" s="3" t="s">
        <v>6</v>
      </c>
    </row>
    <row r="6" customFormat="false" ht="15" hidden="false" customHeight="false" outlineLevel="0" collapsed="false">
      <c r="A6" s="2" t="s">
        <v>7</v>
      </c>
      <c r="B6" s="3" t="s">
        <v>8</v>
      </c>
    </row>
    <row r="7" customFormat="false" ht="15" hidden="false" customHeight="false" outlineLevel="0" collapsed="false">
      <c r="A7" s="2" t="s">
        <v>9</v>
      </c>
      <c r="B7" s="3" t="s">
        <v>10</v>
      </c>
    </row>
    <row r="8" customFormat="false" ht="15" hidden="false" customHeight="false" outlineLevel="0" collapsed="false">
      <c r="A8" s="2" t="s">
        <v>11</v>
      </c>
      <c r="B8" s="3" t="s">
        <v>12</v>
      </c>
    </row>
    <row r="9" customFormat="false" ht="15" hidden="false" customHeight="false" outlineLevel="0" collapsed="false">
      <c r="A9" s="2"/>
      <c r="B9" s="3"/>
    </row>
    <row r="10" customFormat="false" ht="15" hidden="false" customHeight="false" outlineLevel="0" collapsed="false">
      <c r="A10" s="4" t="s">
        <v>13</v>
      </c>
      <c r="B10" s="3"/>
    </row>
    <row r="11" customFormat="false" ht="15" hidden="false" customHeight="false" outlineLevel="0" collapsed="false">
      <c r="A11" s="2" t="s">
        <v>14</v>
      </c>
      <c r="B11" s="3" t="s">
        <v>15</v>
      </c>
    </row>
    <row r="12" customFormat="false" ht="15" hidden="false" customHeight="false" outlineLevel="0" collapsed="false">
      <c r="A12" s="2" t="s">
        <v>16</v>
      </c>
      <c r="B12" s="3" t="s">
        <v>17</v>
      </c>
    </row>
    <row r="13" customFormat="false" ht="15" hidden="false" customHeight="false" outlineLevel="0" collapsed="false">
      <c r="A13" s="2" t="s">
        <v>18</v>
      </c>
      <c r="B13" s="3" t="s">
        <v>19</v>
      </c>
    </row>
    <row r="14" customFormat="false" ht="15" hidden="false" customHeight="false" outlineLevel="0" collapsed="false">
      <c r="A14" s="2" t="s">
        <v>20</v>
      </c>
      <c r="B14" s="3" t="s">
        <v>21</v>
      </c>
    </row>
    <row r="15" customFormat="false" ht="15" hidden="false" customHeight="false" outlineLevel="0" collapsed="false">
      <c r="A15" s="2"/>
      <c r="B15" s="3"/>
    </row>
    <row r="16" customFormat="false" ht="15" hidden="false" customHeight="false" outlineLevel="0" collapsed="false">
      <c r="A16" s="2" t="s">
        <v>22</v>
      </c>
      <c r="B16" s="3" t="s">
        <v>23</v>
      </c>
    </row>
    <row r="17" customFormat="false" ht="23.85" hidden="false" customHeight="false" outlineLevel="0" collapsed="false">
      <c r="A17" s="2" t="s">
        <v>24</v>
      </c>
      <c r="B17" s="3" t="s">
        <v>25</v>
      </c>
    </row>
    <row r="18" customFormat="false" ht="23.85" hidden="false" customHeight="false" outlineLevel="0" collapsed="false">
      <c r="A18" s="2" t="s">
        <v>26</v>
      </c>
      <c r="B18" s="3" t="s">
        <v>27</v>
      </c>
    </row>
    <row r="19" customFormat="false" ht="15" hidden="false" customHeight="false" outlineLevel="0" collapsed="false">
      <c r="A19" s="2" t="s">
        <v>28</v>
      </c>
      <c r="B19" s="3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17"/>
    <col collapsed="false" customWidth="true" hidden="false" outlineLevel="0" max="4" min="4" style="0" width="22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7" min="7" style="0" width="44"/>
    <col collapsed="false" customWidth="true" hidden="false" outlineLevel="0" max="8" min="8" style="0" width="8"/>
    <col collapsed="false" customWidth="true" hidden="false" outlineLevel="0" max="9" min="9" style="0" width="18"/>
  </cols>
  <sheetData>
    <row r="1" customFormat="false" ht="17.35" hidden="false" customHeight="false" outlineLevel="0" collapsed="false">
      <c r="A1" s="1" t="s">
        <v>30</v>
      </c>
    </row>
    <row r="2" customFormat="false" ht="15" hidden="false" customHeight="false" outlineLevel="0" collapsed="false">
      <c r="A2" s="5" t="str">
        <f aca="false">"Oportunidades abertas: "&amp;COUNTA(Pipeline!$A$2:$A$2090)&amp;"   |   Data de referência: "&amp;TEXT(Parâmetros!B5,"dd/mm/yyyy")</f>
        <v>Oportunidades abertas: 2089   |   Data de referência: 31/12/2017</v>
      </c>
    </row>
    <row r="4" customFormat="false" ht="23.85" hidden="false" customHeight="false" outlineLevel="0" collapsed="false">
      <c r="A4" s="6" t="s">
        <v>31</v>
      </c>
      <c r="B4" s="6" t="s">
        <v>32</v>
      </c>
      <c r="C4" s="6" t="s">
        <v>33</v>
      </c>
      <c r="D4" s="6" t="s">
        <v>34</v>
      </c>
      <c r="E4" s="6" t="s">
        <v>35</v>
      </c>
      <c r="F4" s="6" t="s">
        <v>36</v>
      </c>
      <c r="G4" s="6" t="s">
        <v>37</v>
      </c>
    </row>
    <row r="5" customFormat="false" ht="15" hidden="false" customHeight="false" outlineLevel="0" collapsed="false">
      <c r="A5" s="7" t="s">
        <v>38</v>
      </c>
      <c r="B5" s="8" t="n">
        <f aca="false">COUNTIF(Pipeline!$P$2:$P$2090,A5)</f>
        <v>112</v>
      </c>
      <c r="C5" s="9" t="n">
        <f aca="false">IFERROR(B5/$B$10,0)</f>
        <v>0.0536141694590713</v>
      </c>
      <c r="D5" s="8" t="n">
        <f aca="false">SUMIF(Pipeline!$P$2:$P$2090,A5,Pipeline!$I$2:$I$2090)</f>
        <v>555707</v>
      </c>
      <c r="E5" s="9" t="n">
        <f aca="false">IFERROR(D5/$D$10,0)</f>
        <v>0.111897491349046</v>
      </c>
      <c r="F5" s="8" t="n">
        <f aca="false">COUNTIFS(Pipeline!$P$2:$P$2090,A5,Pipeline!$Q$2:$Q$2090,"Completar cadastro")</f>
        <v>84</v>
      </c>
      <c r="G5" s="10" t="str">
        <f aca="false">INDEX(Parâmetros!$D$39:$D$43,MATCH(A5,Parâmetros!$A$39:$A$43,0))</f>
        <v>Prioridade máxima: próximo passo em até 48h</v>
      </c>
    </row>
    <row r="6" customFormat="false" ht="15" hidden="false" customHeight="false" outlineLevel="0" collapsed="false">
      <c r="A6" s="11" t="s">
        <v>39</v>
      </c>
      <c r="B6" s="8" t="n">
        <f aca="false">COUNTIF(Pipeline!$P$2:$P$2090,A6)</f>
        <v>148</v>
      </c>
      <c r="C6" s="9" t="n">
        <f aca="false">IFERROR(B6/$B$10,0)</f>
        <v>0.07084729535663</v>
      </c>
      <c r="D6" s="8" t="n">
        <f aca="false">SUMIF(Pipeline!$P$2:$P$2090,A6,Pipeline!$I$2:$I$2090)</f>
        <v>378906</v>
      </c>
      <c r="E6" s="9" t="n">
        <f aca="false">IFERROR(D6/$D$10,0)</f>
        <v>0.0762967370522621</v>
      </c>
      <c r="F6" s="8" t="n">
        <f aca="false">COUNTIFS(Pipeline!$P$2:$P$2090,A6,Pipeline!$Q$2:$Q$2090,"Completar cadastro")</f>
        <v>100</v>
      </c>
      <c r="G6" s="10" t="str">
        <f aca="false">INDEX(Parâmetros!$D$39:$D$43,MATCH(A6,Parâmetros!$A$39:$A$43,0))</f>
        <v>Cadência padrão</v>
      </c>
    </row>
    <row r="7" customFormat="false" ht="15" hidden="false" customHeight="false" outlineLevel="0" collapsed="false">
      <c r="A7" s="12" t="s">
        <v>40</v>
      </c>
      <c r="B7" s="8" t="n">
        <f aca="false">COUNTIF(Pipeline!$P$2:$P$2090,A7)</f>
        <v>299</v>
      </c>
      <c r="C7" s="9" t="n">
        <f aca="false">IFERROR(B7/$B$10,0)</f>
        <v>0.143130684538057</v>
      </c>
      <c r="D7" s="8" t="n">
        <f aca="false">SUMIF(Pipeline!$P$2:$P$2090,A7,Pipeline!$I$2:$I$2090)</f>
        <v>773758</v>
      </c>
      <c r="E7" s="9" t="n">
        <f aca="false">IFERROR(D7/$D$10,0)</f>
        <v>0.155804370128961</v>
      </c>
      <c r="F7" s="8" t="n">
        <f aca="false">COUNTIFS(Pipeline!$P$2:$P$2090,A7,Pipeline!$Q$2:$Q$2090,"Completar cadastro")</f>
        <v>196</v>
      </c>
      <c r="G7" s="10" t="str">
        <f aca="false">INDEX(Parâmetros!$D$39:$D$43,MATCH(A7,Parâmetros!$A$39:$A$43,0))</f>
        <v>Cadência leve, foco em qualificar</v>
      </c>
    </row>
    <row r="8" customFormat="false" ht="15" hidden="false" customHeight="false" outlineLevel="0" collapsed="false">
      <c r="A8" s="13" t="s">
        <v>41</v>
      </c>
      <c r="B8" s="8" t="n">
        <f aca="false">COUNTIF(Pipeline!$P$2:$P$2090,A8)</f>
        <v>239</v>
      </c>
      <c r="C8" s="9" t="n">
        <f aca="false">IFERROR(B8/$B$10,0)</f>
        <v>0.114408808042125</v>
      </c>
      <c r="D8" s="8" t="n">
        <f aca="false">SUMIF(Pipeline!$P$2:$P$2090,A8,Pipeline!$I$2:$I$2090)</f>
        <v>59180</v>
      </c>
      <c r="E8" s="9" t="n">
        <f aca="false">IFERROR(D8/$D$10,0)</f>
        <v>0.0119165199251341</v>
      </c>
      <c r="F8" s="8" t="n">
        <f aca="false">COUNTIFS(Pipeline!$P$2:$P$2090,A8,Pipeline!$Q$2:$Q$2090,"Completar cadastro")</f>
        <v>166</v>
      </c>
      <c r="G8" s="10" t="str">
        <f aca="false">INDEX(Parâmetros!$D$39:$D$43,MATCH(A8,Parâmetros!$A$39:$A$43,0))</f>
        <v>Automatizar ou vender em lote</v>
      </c>
    </row>
    <row r="9" customFormat="false" ht="15" hidden="false" customHeight="false" outlineLevel="0" collapsed="false">
      <c r="A9" s="14" t="s">
        <v>42</v>
      </c>
      <c r="B9" s="8" t="n">
        <f aca="false">COUNTIF(Pipeline!$P$2:$P$2090,A9)</f>
        <v>1291</v>
      </c>
      <c r="C9" s="9" t="n">
        <f aca="false">IFERROR(B9/$B$10,0)</f>
        <v>0.617999042604117</v>
      </c>
      <c r="D9" s="8" t="n">
        <f aca="false">SUMIF(Pipeline!$P$2:$P$2090,A9,Pipeline!$I$2:$I$2090)</f>
        <v>3198664</v>
      </c>
      <c r="E9" s="9" t="n">
        <f aca="false">IFERROR(D9/$D$10,0)</f>
        <v>0.644084881544597</v>
      </c>
      <c r="F9" s="8" t="n">
        <f aca="false">COUNTIFS(Pipeline!$P$2:$P$2090,A9,Pipeline!$Q$2:$Q$2090,"Completar cadastro")</f>
        <v>879</v>
      </c>
      <c r="G9" s="10" t="str">
        <f aca="false">INDEX(Parâmetros!$D$39:$D$43,MATCH(A9,Parâmetros!$A$39:$A$43,0))</f>
        <v>Reciclar: requalificar, reengajar ou encerrar</v>
      </c>
    </row>
    <row r="10" customFormat="false" ht="15" hidden="false" customHeight="false" outlineLevel="0" collapsed="false">
      <c r="A10" s="2" t="s">
        <v>43</v>
      </c>
      <c r="B10" s="15" t="n">
        <f aca="false">SUM(B5:B9)</f>
        <v>2089</v>
      </c>
      <c r="C10" s="16" t="n">
        <f aca="false">SUM(C5:C9)</f>
        <v>1</v>
      </c>
      <c r="D10" s="15" t="n">
        <f aca="false">SUM(D5:D9)</f>
        <v>4966215</v>
      </c>
      <c r="E10" s="16" t="n">
        <f aca="false">SUM(E5:E9)</f>
        <v>1</v>
      </c>
      <c r="F10" s="15" t="n">
        <f aca="false">SUM(F5:F9)</f>
        <v>1425</v>
      </c>
    </row>
    <row r="11" customFormat="false" ht="15" hidden="false" customHeight="false" outlineLevel="0" collapsed="false">
      <c r="A11" s="10" t="s">
        <v>44</v>
      </c>
      <c r="C11" s="17" t="n">
        <f aca="false">IFERROR(B5/SUM(B5:B8),0)</f>
        <v>0.140350877192982</v>
      </c>
    </row>
    <row r="13" customFormat="false" ht="15" hidden="false" customHeight="false" outlineLevel="0" collapsed="false">
      <c r="A13" s="6" t="s">
        <v>45</v>
      </c>
      <c r="B13" s="6" t="s">
        <v>38</v>
      </c>
      <c r="C13" s="6" t="s">
        <v>39</v>
      </c>
      <c r="D13" s="6" t="s">
        <v>40</v>
      </c>
      <c r="E13" s="6" t="s">
        <v>41</v>
      </c>
      <c r="F13" s="6" t="s">
        <v>42</v>
      </c>
      <c r="G13" s="6" t="s">
        <v>43</v>
      </c>
    </row>
    <row r="14" customFormat="false" ht="15" hidden="false" customHeight="false" outlineLevel="0" collapsed="false">
      <c r="A14" s="10" t="s">
        <v>46</v>
      </c>
      <c r="B14" s="10" t="n">
        <f aca="false">COUNTIFS(Pipeline!$E$2:$E$2090,$A14,Pipeline!$P$2:$P$2090,"A")</f>
        <v>1</v>
      </c>
      <c r="C14" s="10" t="n">
        <f aca="false">COUNTIFS(Pipeline!$E$2:$E$2090,$A14,Pipeline!$P$2:$P$2090,"B")</f>
        <v>0</v>
      </c>
      <c r="D14" s="10" t="n">
        <f aca="false">COUNTIFS(Pipeline!$E$2:$E$2090,$A14,Pipeline!$P$2:$P$2090,"C")</f>
        <v>0</v>
      </c>
      <c r="E14" s="10" t="n">
        <f aca="false">COUNTIFS(Pipeline!$E$2:$E$2090,$A14,Pipeline!$P$2:$P$2090,"D")</f>
        <v>0</v>
      </c>
      <c r="F14" s="10" t="n">
        <f aca="false">COUNTIFS(Pipeline!$E$2:$E$2090,$A14,Pipeline!$P$2:$P$2090,"R")</f>
        <v>14</v>
      </c>
      <c r="G14" s="2" t="n">
        <f aca="false">SUM(B14:F14)</f>
        <v>15</v>
      </c>
    </row>
    <row r="15" customFormat="false" ht="15" hidden="false" customHeight="false" outlineLevel="0" collapsed="false">
      <c r="A15" s="10" t="s">
        <v>47</v>
      </c>
      <c r="B15" s="10" t="n">
        <f aca="false">COUNTIFS(Pipeline!$E$2:$E$2090,$A15,Pipeline!$P$2:$P$2090,"A")</f>
        <v>36</v>
      </c>
      <c r="C15" s="10" t="n">
        <f aca="false">COUNTIFS(Pipeline!$E$2:$E$2090,$A15,Pipeline!$P$2:$P$2090,"B")</f>
        <v>48</v>
      </c>
      <c r="D15" s="10" t="n">
        <f aca="false">COUNTIFS(Pipeline!$E$2:$E$2090,$A15,Pipeline!$P$2:$P$2090,"C")</f>
        <v>0</v>
      </c>
      <c r="E15" s="10" t="n">
        <f aca="false">COUNTIFS(Pipeline!$E$2:$E$2090,$A15,Pipeline!$P$2:$P$2090,"D")</f>
        <v>0</v>
      </c>
      <c r="F15" s="10" t="n">
        <f aca="false">COUNTIFS(Pipeline!$E$2:$E$2090,$A15,Pipeline!$P$2:$P$2090,"R")</f>
        <v>139</v>
      </c>
      <c r="G15" s="2" t="n">
        <f aca="false">SUM(B15:F15)</f>
        <v>223</v>
      </c>
    </row>
    <row r="16" customFormat="false" ht="15" hidden="false" customHeight="false" outlineLevel="0" collapsed="false">
      <c r="A16" s="10" t="s">
        <v>48</v>
      </c>
      <c r="B16" s="10" t="n">
        <f aca="false">COUNTIFS(Pipeline!$E$2:$E$2090,$A16,Pipeline!$P$2:$P$2090,"A")</f>
        <v>54</v>
      </c>
      <c r="C16" s="10" t="n">
        <f aca="false">COUNTIFS(Pipeline!$E$2:$E$2090,$A16,Pipeline!$P$2:$P$2090,"B")</f>
        <v>2</v>
      </c>
      <c r="D16" s="10" t="n">
        <f aca="false">COUNTIFS(Pipeline!$E$2:$E$2090,$A16,Pipeline!$P$2:$P$2090,"C")</f>
        <v>80</v>
      </c>
      <c r="E16" s="10" t="n">
        <f aca="false">COUNTIFS(Pipeline!$E$2:$E$2090,$A16,Pipeline!$P$2:$P$2090,"D")</f>
        <v>0</v>
      </c>
      <c r="F16" s="10" t="n">
        <f aca="false">COUNTIFS(Pipeline!$E$2:$E$2090,$A16,Pipeline!$P$2:$P$2090,"R")</f>
        <v>197</v>
      </c>
      <c r="G16" s="2" t="n">
        <f aca="false">SUM(B16:F16)</f>
        <v>333</v>
      </c>
    </row>
    <row r="17" customFormat="false" ht="15" hidden="false" customHeight="false" outlineLevel="0" collapsed="false">
      <c r="A17" s="10" t="s">
        <v>49</v>
      </c>
      <c r="B17" s="10" t="n">
        <f aca="false">COUNTIFS(Pipeline!$E$2:$E$2090,$A17,Pipeline!$P$2:$P$2090,"A")</f>
        <v>21</v>
      </c>
      <c r="C17" s="10" t="n">
        <f aca="false">COUNTIFS(Pipeline!$E$2:$E$2090,$A17,Pipeline!$P$2:$P$2090,"B")</f>
        <v>8</v>
      </c>
      <c r="D17" s="10" t="n">
        <f aca="false">COUNTIFS(Pipeline!$E$2:$E$2090,$A17,Pipeline!$P$2:$P$2090,"C")</f>
        <v>86</v>
      </c>
      <c r="E17" s="10" t="n">
        <f aca="false">COUNTIFS(Pipeline!$E$2:$E$2090,$A17,Pipeline!$P$2:$P$2090,"D")</f>
        <v>0</v>
      </c>
      <c r="F17" s="10" t="n">
        <f aca="false">COUNTIFS(Pipeline!$E$2:$E$2090,$A17,Pipeline!$P$2:$P$2090,"R")</f>
        <v>213</v>
      </c>
      <c r="G17" s="2" t="n">
        <f aca="false">SUM(B17:F17)</f>
        <v>328</v>
      </c>
    </row>
    <row r="18" customFormat="false" ht="15" hidden="false" customHeight="false" outlineLevel="0" collapsed="false">
      <c r="A18" s="10" t="s">
        <v>50</v>
      </c>
      <c r="B18" s="10" t="n">
        <f aca="false">COUNTIFS(Pipeline!$E$2:$E$2090,$A18,Pipeline!$P$2:$P$2090,"A")</f>
        <v>0</v>
      </c>
      <c r="C18" s="10" t="n">
        <f aca="false">COUNTIFS(Pipeline!$E$2:$E$2090,$A18,Pipeline!$P$2:$P$2090,"B")</f>
        <v>54</v>
      </c>
      <c r="D18" s="10" t="n">
        <f aca="false">COUNTIFS(Pipeline!$E$2:$E$2090,$A18,Pipeline!$P$2:$P$2090,"C")</f>
        <v>75</v>
      </c>
      <c r="E18" s="10" t="n">
        <f aca="false">COUNTIFS(Pipeline!$E$2:$E$2090,$A18,Pipeline!$P$2:$P$2090,"D")</f>
        <v>0</v>
      </c>
      <c r="F18" s="10" t="n">
        <f aca="false">COUNTIFS(Pipeline!$E$2:$E$2090,$A18,Pipeline!$P$2:$P$2090,"R")</f>
        <v>203</v>
      </c>
      <c r="G18" s="2" t="n">
        <f aca="false">SUM(B18:F18)</f>
        <v>332</v>
      </c>
    </row>
    <row r="19" customFormat="false" ht="15" hidden="false" customHeight="false" outlineLevel="0" collapsed="false">
      <c r="A19" s="10" t="s">
        <v>51</v>
      </c>
      <c r="B19" s="10" t="n">
        <f aca="false">COUNTIFS(Pipeline!$E$2:$E$2090,$A19,Pipeline!$P$2:$P$2090,"A")</f>
        <v>0</v>
      </c>
      <c r="C19" s="10" t="n">
        <f aca="false">COUNTIFS(Pipeline!$E$2:$E$2090,$A19,Pipeline!$P$2:$P$2090,"B")</f>
        <v>36</v>
      </c>
      <c r="D19" s="10" t="n">
        <f aca="false">COUNTIFS(Pipeline!$E$2:$E$2090,$A19,Pipeline!$P$2:$P$2090,"C")</f>
        <v>22</v>
      </c>
      <c r="E19" s="10" t="n">
        <f aca="false">COUNTIFS(Pipeline!$E$2:$E$2090,$A19,Pipeline!$P$2:$P$2090,"D")</f>
        <v>93</v>
      </c>
      <c r="F19" s="10" t="n">
        <f aca="false">COUNTIFS(Pipeline!$E$2:$E$2090,$A19,Pipeline!$P$2:$P$2090,"R")</f>
        <v>279</v>
      </c>
      <c r="G19" s="2" t="n">
        <f aca="false">SUM(B19:F19)</f>
        <v>430</v>
      </c>
    </row>
    <row r="20" customFormat="false" ht="15" hidden="false" customHeight="false" outlineLevel="0" collapsed="false">
      <c r="A20" s="10" t="s">
        <v>52</v>
      </c>
      <c r="B20" s="10" t="n">
        <f aca="false">COUNTIFS(Pipeline!$E$2:$E$2090,$A20,Pipeline!$P$2:$P$2090,"A")</f>
        <v>0</v>
      </c>
      <c r="C20" s="10" t="n">
        <f aca="false">COUNTIFS(Pipeline!$E$2:$E$2090,$A20,Pipeline!$P$2:$P$2090,"B")</f>
        <v>0</v>
      </c>
      <c r="D20" s="10" t="n">
        <f aca="false">COUNTIFS(Pipeline!$E$2:$E$2090,$A20,Pipeline!$P$2:$P$2090,"C")</f>
        <v>36</v>
      </c>
      <c r="E20" s="10" t="n">
        <f aca="false">COUNTIFS(Pipeline!$E$2:$E$2090,$A20,Pipeline!$P$2:$P$2090,"D")</f>
        <v>146</v>
      </c>
      <c r="F20" s="10" t="n">
        <f aca="false">COUNTIFS(Pipeline!$E$2:$E$2090,$A20,Pipeline!$P$2:$P$2090,"R")</f>
        <v>246</v>
      </c>
      <c r="G20" s="2" t="n">
        <f aca="false">SUM(B20:F20)</f>
        <v>428</v>
      </c>
    </row>
    <row r="22" customFormat="false" ht="15" hidden="false" customHeight="false" outlineLevel="0" collapsed="false">
      <c r="A22" s="4" t="s">
        <v>53</v>
      </c>
    </row>
    <row r="23" customFormat="false" ht="15" hidden="false" customHeight="false" outlineLevel="0" collapsed="false">
      <c r="A23" s="6" t="s">
        <v>54</v>
      </c>
      <c r="B23" s="6" t="s">
        <v>55</v>
      </c>
      <c r="C23" s="6" t="s">
        <v>38</v>
      </c>
      <c r="D23" s="6" t="s">
        <v>39</v>
      </c>
      <c r="E23" s="6" t="s">
        <v>40</v>
      </c>
      <c r="F23" s="6" t="s">
        <v>41</v>
      </c>
      <c r="G23" s="6" t="s">
        <v>42</v>
      </c>
      <c r="H23" s="6" t="s">
        <v>43</v>
      </c>
      <c r="I23" s="6" t="s">
        <v>56</v>
      </c>
    </row>
    <row r="24" customFormat="false" ht="15" hidden="false" customHeight="false" outlineLevel="0" collapsed="false">
      <c r="A24" s="10" t="s">
        <v>57</v>
      </c>
      <c r="B24" s="10" t="s">
        <v>58</v>
      </c>
      <c r="C24" s="10" t="n">
        <f aca="false">COUNTIFS(Pipeline!$B$2:$B$2090,$A24,Pipeline!$P$2:$P$2090,"A")</f>
        <v>10</v>
      </c>
      <c r="D24" s="10" t="n">
        <f aca="false">COUNTIFS(Pipeline!$B$2:$B$2090,$A24,Pipeline!$P$2:$P$2090,"B")</f>
        <v>4</v>
      </c>
      <c r="E24" s="10" t="n">
        <f aca="false">COUNTIFS(Pipeline!$B$2:$B$2090,$A24,Pipeline!$P$2:$P$2090,"C")</f>
        <v>2</v>
      </c>
      <c r="F24" s="10" t="n">
        <f aca="false">COUNTIFS(Pipeline!$B$2:$B$2090,$A24,Pipeline!$P$2:$P$2090,"D")</f>
        <v>2</v>
      </c>
      <c r="G24" s="10" t="n">
        <f aca="false">COUNTIFS(Pipeline!$B$2:$B$2090,$A24,Pipeline!$P$2:$P$2090,"R")</f>
        <v>63</v>
      </c>
      <c r="H24" s="2" t="n">
        <f aca="false">SUM(C24:G24)</f>
        <v>81</v>
      </c>
      <c r="I24" s="8" t="n">
        <f aca="false">SUMIFS(Pipeline!$I$2:$I$2090,Pipeline!$B$2:$B$2090,$A24,Pipeline!$P$2:$P$2090,"A")+SUMIFS(Pipeline!$I$2:$I$2090,Pipeline!$B$2:$B$2090,$A24,Pipeline!$P$2:$P$2090,"B")</f>
        <v>55676</v>
      </c>
    </row>
    <row r="25" customFormat="false" ht="15" hidden="false" customHeight="false" outlineLevel="0" collapsed="false">
      <c r="A25" s="10" t="s">
        <v>59</v>
      </c>
      <c r="B25" s="10" t="s">
        <v>58</v>
      </c>
      <c r="C25" s="10" t="n">
        <f aca="false">COUNTIFS(Pipeline!$B$2:$B$2090,$A25,Pipeline!$P$2:$P$2090,"A")</f>
        <v>0</v>
      </c>
      <c r="D25" s="10" t="n">
        <f aca="false">COUNTIFS(Pipeline!$B$2:$B$2090,$A25,Pipeline!$P$2:$P$2090,"B")</f>
        <v>0</v>
      </c>
      <c r="E25" s="10" t="n">
        <f aca="false">COUNTIFS(Pipeline!$B$2:$B$2090,$A25,Pipeline!$P$2:$P$2090,"C")</f>
        <v>0</v>
      </c>
      <c r="F25" s="10" t="n">
        <f aca="false">COUNTIFS(Pipeline!$B$2:$B$2090,$A25,Pipeline!$P$2:$P$2090,"D")</f>
        <v>0</v>
      </c>
      <c r="G25" s="10" t="n">
        <f aca="false">COUNTIFS(Pipeline!$B$2:$B$2090,$A25,Pipeline!$P$2:$P$2090,"R")</f>
        <v>0</v>
      </c>
      <c r="H25" s="2" t="n">
        <f aca="false">SUM(C25:G25)</f>
        <v>0</v>
      </c>
      <c r="I25" s="8" t="n">
        <f aca="false">SUMIFS(Pipeline!$I$2:$I$2090,Pipeline!$B$2:$B$2090,$A25,Pipeline!$P$2:$P$2090,"A")+SUMIFS(Pipeline!$I$2:$I$2090,Pipeline!$B$2:$B$2090,$A25,Pipeline!$P$2:$P$2090,"B")</f>
        <v>0</v>
      </c>
    </row>
    <row r="26" customFormat="false" ht="15" hidden="false" customHeight="false" outlineLevel="0" collapsed="false">
      <c r="A26" s="10" t="s">
        <v>60</v>
      </c>
      <c r="B26" s="10" t="s">
        <v>58</v>
      </c>
      <c r="C26" s="10" t="n">
        <f aca="false">COUNTIFS(Pipeline!$B$2:$B$2090,$A26,Pipeline!$P$2:$P$2090,"A")</f>
        <v>0</v>
      </c>
      <c r="D26" s="10" t="n">
        <f aca="false">COUNTIFS(Pipeline!$B$2:$B$2090,$A26,Pipeline!$P$2:$P$2090,"B")</f>
        <v>0</v>
      </c>
      <c r="E26" s="10" t="n">
        <f aca="false">COUNTIFS(Pipeline!$B$2:$B$2090,$A26,Pipeline!$P$2:$P$2090,"C")</f>
        <v>0</v>
      </c>
      <c r="F26" s="10" t="n">
        <f aca="false">COUNTIFS(Pipeline!$B$2:$B$2090,$A26,Pipeline!$P$2:$P$2090,"D")</f>
        <v>0</v>
      </c>
      <c r="G26" s="10" t="n">
        <f aca="false">COUNTIFS(Pipeline!$B$2:$B$2090,$A26,Pipeline!$P$2:$P$2090,"R")</f>
        <v>0</v>
      </c>
      <c r="H26" s="2" t="n">
        <f aca="false">SUM(C26:G26)</f>
        <v>0</v>
      </c>
      <c r="I26" s="8" t="n">
        <f aca="false">SUMIFS(Pipeline!$I$2:$I$2090,Pipeline!$B$2:$B$2090,$A26,Pipeline!$P$2:$P$2090,"A")+SUMIFS(Pipeline!$I$2:$I$2090,Pipeline!$B$2:$B$2090,$A26,Pipeline!$P$2:$P$2090,"B")</f>
        <v>0</v>
      </c>
    </row>
    <row r="27" customFormat="false" ht="15" hidden="false" customHeight="false" outlineLevel="0" collapsed="false">
      <c r="A27" s="10" t="s">
        <v>61</v>
      </c>
      <c r="B27" s="10" t="s">
        <v>58</v>
      </c>
      <c r="C27" s="10" t="n">
        <f aca="false">COUNTIFS(Pipeline!$B$2:$B$2090,$A27,Pipeline!$P$2:$P$2090,"A")</f>
        <v>5</v>
      </c>
      <c r="D27" s="10" t="n">
        <f aca="false">COUNTIFS(Pipeline!$B$2:$B$2090,$A27,Pipeline!$P$2:$P$2090,"B")</f>
        <v>1</v>
      </c>
      <c r="E27" s="10" t="n">
        <f aca="false">COUNTIFS(Pipeline!$B$2:$B$2090,$A27,Pipeline!$P$2:$P$2090,"C")</f>
        <v>0</v>
      </c>
      <c r="F27" s="10" t="n">
        <f aca="false">COUNTIFS(Pipeline!$B$2:$B$2090,$A27,Pipeline!$P$2:$P$2090,"D")</f>
        <v>0</v>
      </c>
      <c r="G27" s="10" t="n">
        <f aca="false">COUNTIFS(Pipeline!$B$2:$B$2090,$A27,Pipeline!$P$2:$P$2090,"R")</f>
        <v>33</v>
      </c>
      <c r="H27" s="2" t="n">
        <f aca="false">SUM(C27:G27)</f>
        <v>39</v>
      </c>
      <c r="I27" s="8" t="n">
        <f aca="false">SUMIFS(Pipeline!$I$2:$I$2090,Pipeline!$B$2:$B$2090,$A27,Pipeline!$P$2:$P$2090,"A")+SUMIFS(Pipeline!$I$2:$I$2090,Pipeline!$B$2:$B$2090,$A27,Pipeline!$P$2:$P$2090,"B")</f>
        <v>23227</v>
      </c>
    </row>
    <row r="28" customFormat="false" ht="15" hidden="false" customHeight="false" outlineLevel="0" collapsed="false">
      <c r="A28" s="10" t="s">
        <v>62</v>
      </c>
      <c r="B28" s="10" t="s">
        <v>58</v>
      </c>
      <c r="C28" s="10" t="n">
        <f aca="false">COUNTIFS(Pipeline!$B$2:$B$2090,$A28,Pipeline!$P$2:$P$2090,"A")</f>
        <v>2</v>
      </c>
      <c r="D28" s="10" t="n">
        <f aca="false">COUNTIFS(Pipeline!$B$2:$B$2090,$A28,Pipeline!$P$2:$P$2090,"B")</f>
        <v>4</v>
      </c>
      <c r="E28" s="10" t="n">
        <f aca="false">COUNTIFS(Pipeline!$B$2:$B$2090,$A28,Pipeline!$P$2:$P$2090,"C")</f>
        <v>5</v>
      </c>
      <c r="F28" s="10" t="n">
        <f aca="false">COUNTIFS(Pipeline!$B$2:$B$2090,$A28,Pipeline!$P$2:$P$2090,"D")</f>
        <v>6</v>
      </c>
      <c r="G28" s="10" t="n">
        <f aca="false">COUNTIFS(Pipeline!$B$2:$B$2090,$A28,Pipeline!$P$2:$P$2090,"R")</f>
        <v>51</v>
      </c>
      <c r="H28" s="2" t="n">
        <f aca="false">SUM(C28:G28)</f>
        <v>68</v>
      </c>
      <c r="I28" s="8" t="n">
        <f aca="false">SUMIFS(Pipeline!$I$2:$I$2090,Pipeline!$B$2:$B$2090,$A28,Pipeline!$P$2:$P$2090,"A")+SUMIFS(Pipeline!$I$2:$I$2090,Pipeline!$B$2:$B$2090,$A28,Pipeline!$P$2:$P$2090,"B")</f>
        <v>11506</v>
      </c>
    </row>
    <row r="29" customFormat="false" ht="15" hidden="false" customHeight="false" outlineLevel="0" collapsed="false">
      <c r="A29" s="10" t="s">
        <v>63</v>
      </c>
      <c r="B29" s="10" t="s">
        <v>58</v>
      </c>
      <c r="C29" s="10" t="n">
        <f aca="false">COUNTIFS(Pipeline!$B$2:$B$2090,$A29,Pipeline!$P$2:$P$2090,"A")</f>
        <v>6</v>
      </c>
      <c r="D29" s="10" t="n">
        <f aca="false">COUNTIFS(Pipeline!$B$2:$B$2090,$A29,Pipeline!$P$2:$P$2090,"B")</f>
        <v>1</v>
      </c>
      <c r="E29" s="10" t="n">
        <f aca="false">COUNTIFS(Pipeline!$B$2:$B$2090,$A29,Pipeline!$P$2:$P$2090,"C")</f>
        <v>2</v>
      </c>
      <c r="F29" s="10" t="n">
        <f aca="false">COUNTIFS(Pipeline!$B$2:$B$2090,$A29,Pipeline!$P$2:$P$2090,"D")</f>
        <v>0</v>
      </c>
      <c r="G29" s="10" t="n">
        <f aca="false">COUNTIFS(Pipeline!$B$2:$B$2090,$A29,Pipeline!$P$2:$P$2090,"R")</f>
        <v>22</v>
      </c>
      <c r="H29" s="2" t="n">
        <f aca="false">SUM(C29:G29)</f>
        <v>31</v>
      </c>
      <c r="I29" s="8" t="n">
        <f aca="false">SUMIFS(Pipeline!$I$2:$I$2090,Pipeline!$B$2:$B$2090,$A29,Pipeline!$P$2:$P$2090,"A")+SUMIFS(Pipeline!$I$2:$I$2090,Pipeline!$B$2:$B$2090,$A29,Pipeline!$P$2:$P$2090,"B")</f>
        <v>29149</v>
      </c>
    </row>
    <row r="30" customFormat="false" ht="15" hidden="false" customHeight="false" outlineLevel="0" collapsed="false">
      <c r="A30" s="10" t="s">
        <v>64</v>
      </c>
      <c r="B30" s="10" t="s">
        <v>65</v>
      </c>
      <c r="C30" s="10" t="n">
        <f aca="false">COUNTIFS(Pipeline!$B$2:$B$2090,$A30,Pipeline!$P$2:$P$2090,"A")</f>
        <v>0</v>
      </c>
      <c r="D30" s="10" t="n">
        <f aca="false">COUNTIFS(Pipeline!$B$2:$B$2090,$A30,Pipeline!$P$2:$P$2090,"B")</f>
        <v>0</v>
      </c>
      <c r="E30" s="10" t="n">
        <f aca="false">COUNTIFS(Pipeline!$B$2:$B$2090,$A30,Pipeline!$P$2:$P$2090,"C")</f>
        <v>0</v>
      </c>
      <c r="F30" s="10" t="n">
        <f aca="false">COUNTIFS(Pipeline!$B$2:$B$2090,$A30,Pipeline!$P$2:$P$2090,"D")</f>
        <v>0</v>
      </c>
      <c r="G30" s="10" t="n">
        <f aca="false">COUNTIFS(Pipeline!$B$2:$B$2090,$A30,Pipeline!$P$2:$P$2090,"R")</f>
        <v>0</v>
      </c>
      <c r="H30" s="2" t="n">
        <f aca="false">SUM(C30:G30)</f>
        <v>0</v>
      </c>
      <c r="I30" s="8" t="n">
        <f aca="false">SUMIFS(Pipeline!$I$2:$I$2090,Pipeline!$B$2:$B$2090,$A30,Pipeline!$P$2:$P$2090,"A")+SUMIFS(Pipeline!$I$2:$I$2090,Pipeline!$B$2:$B$2090,$A30,Pipeline!$P$2:$P$2090,"B")</f>
        <v>0</v>
      </c>
    </row>
    <row r="31" customFormat="false" ht="15" hidden="false" customHeight="false" outlineLevel="0" collapsed="false">
      <c r="A31" s="10" t="s">
        <v>66</v>
      </c>
      <c r="B31" s="10" t="s">
        <v>65</v>
      </c>
      <c r="C31" s="10" t="n">
        <f aca="false">COUNTIFS(Pipeline!$B$2:$B$2090,$A31,Pipeline!$P$2:$P$2090,"A")</f>
        <v>4</v>
      </c>
      <c r="D31" s="10" t="n">
        <f aca="false">COUNTIFS(Pipeline!$B$2:$B$2090,$A31,Pipeline!$P$2:$P$2090,"B")</f>
        <v>1</v>
      </c>
      <c r="E31" s="10" t="n">
        <f aca="false">COUNTIFS(Pipeline!$B$2:$B$2090,$A31,Pipeline!$P$2:$P$2090,"C")</f>
        <v>3</v>
      </c>
      <c r="F31" s="10" t="n">
        <f aca="false">COUNTIFS(Pipeline!$B$2:$B$2090,$A31,Pipeline!$P$2:$P$2090,"D")</f>
        <v>4</v>
      </c>
      <c r="G31" s="10" t="n">
        <f aca="false">COUNTIFS(Pipeline!$B$2:$B$2090,$A31,Pipeline!$P$2:$P$2090,"R")</f>
        <v>39</v>
      </c>
      <c r="H31" s="2" t="n">
        <f aca="false">SUM(C31:G31)</f>
        <v>51</v>
      </c>
      <c r="I31" s="8" t="n">
        <f aca="false">SUMIFS(Pipeline!$I$2:$I$2090,Pipeline!$B$2:$B$2090,$A31,Pipeline!$P$2:$P$2090,"A")+SUMIFS(Pipeline!$I$2:$I$2090,Pipeline!$B$2:$B$2090,$A31,Pipeline!$P$2:$P$2090,"B")</f>
        <v>20274</v>
      </c>
    </row>
    <row r="32" customFormat="false" ht="15" hidden="false" customHeight="false" outlineLevel="0" collapsed="false">
      <c r="A32" s="10" t="s">
        <v>67</v>
      </c>
      <c r="B32" s="10" t="s">
        <v>65</v>
      </c>
      <c r="C32" s="10" t="n">
        <f aca="false">COUNTIFS(Pipeline!$B$2:$B$2090,$A32,Pipeline!$P$2:$P$2090,"A")</f>
        <v>2</v>
      </c>
      <c r="D32" s="10" t="n">
        <f aca="false">COUNTIFS(Pipeline!$B$2:$B$2090,$A32,Pipeline!$P$2:$P$2090,"B")</f>
        <v>1</v>
      </c>
      <c r="E32" s="10" t="n">
        <f aca="false">COUNTIFS(Pipeline!$B$2:$B$2090,$A32,Pipeline!$P$2:$P$2090,"C")</f>
        <v>1</v>
      </c>
      <c r="F32" s="10" t="n">
        <f aca="false">COUNTIFS(Pipeline!$B$2:$B$2090,$A32,Pipeline!$P$2:$P$2090,"D")</f>
        <v>2</v>
      </c>
      <c r="G32" s="10" t="n">
        <f aca="false">COUNTIFS(Pipeline!$B$2:$B$2090,$A32,Pipeline!$P$2:$P$2090,"R")</f>
        <v>44</v>
      </c>
      <c r="H32" s="2" t="n">
        <f aca="false">SUM(C32:G32)</f>
        <v>50</v>
      </c>
      <c r="I32" s="8" t="n">
        <f aca="false">SUMIFS(Pipeline!$I$2:$I$2090,Pipeline!$B$2:$B$2090,$A32,Pipeline!$P$2:$P$2090,"A")+SUMIFS(Pipeline!$I$2:$I$2090,Pipeline!$B$2:$B$2090,$A32,Pipeline!$P$2:$P$2090,"B")</f>
        <v>9971</v>
      </c>
    </row>
    <row r="33" customFormat="false" ht="15" hidden="false" customHeight="false" outlineLevel="0" collapsed="false">
      <c r="A33" s="10" t="s">
        <v>68</v>
      </c>
      <c r="B33" s="10" t="s">
        <v>65</v>
      </c>
      <c r="C33" s="10" t="n">
        <f aca="false">COUNTIFS(Pipeline!$B$2:$B$2090,$A33,Pipeline!$P$2:$P$2090,"A")</f>
        <v>5</v>
      </c>
      <c r="D33" s="10" t="n">
        <f aca="false">COUNTIFS(Pipeline!$B$2:$B$2090,$A33,Pipeline!$P$2:$P$2090,"B")</f>
        <v>5</v>
      </c>
      <c r="E33" s="10" t="n">
        <f aca="false">COUNTIFS(Pipeline!$B$2:$B$2090,$A33,Pipeline!$P$2:$P$2090,"C")</f>
        <v>4</v>
      </c>
      <c r="F33" s="10" t="n">
        <f aca="false">COUNTIFS(Pipeline!$B$2:$B$2090,$A33,Pipeline!$P$2:$P$2090,"D")</f>
        <v>5</v>
      </c>
      <c r="G33" s="10" t="n">
        <f aca="false">COUNTIFS(Pipeline!$B$2:$B$2090,$A33,Pipeline!$P$2:$P$2090,"R")</f>
        <v>60</v>
      </c>
      <c r="H33" s="2" t="n">
        <f aca="false">SUM(C33:G33)</f>
        <v>79</v>
      </c>
      <c r="I33" s="8" t="n">
        <f aca="false">SUMIFS(Pipeline!$I$2:$I$2090,Pipeline!$B$2:$B$2090,$A33,Pipeline!$P$2:$P$2090,"A")+SUMIFS(Pipeline!$I$2:$I$2090,Pipeline!$B$2:$B$2090,$A33,Pipeline!$P$2:$P$2090,"B")</f>
        <v>31115</v>
      </c>
    </row>
    <row r="34" customFormat="false" ht="15" hidden="false" customHeight="false" outlineLevel="0" collapsed="false">
      <c r="A34" s="10" t="s">
        <v>69</v>
      </c>
      <c r="B34" s="10" t="s">
        <v>65</v>
      </c>
      <c r="C34" s="10" t="n">
        <f aca="false">COUNTIFS(Pipeline!$B$2:$B$2090,$A34,Pipeline!$P$2:$P$2090,"A")</f>
        <v>2</v>
      </c>
      <c r="D34" s="10" t="n">
        <f aca="false">COUNTIFS(Pipeline!$B$2:$B$2090,$A34,Pipeline!$P$2:$P$2090,"B")</f>
        <v>2</v>
      </c>
      <c r="E34" s="10" t="n">
        <f aca="false">COUNTIFS(Pipeline!$B$2:$B$2090,$A34,Pipeline!$P$2:$P$2090,"C")</f>
        <v>9</v>
      </c>
      <c r="F34" s="10" t="n">
        <f aca="false">COUNTIFS(Pipeline!$B$2:$B$2090,$A34,Pipeline!$P$2:$P$2090,"D")</f>
        <v>3</v>
      </c>
      <c r="G34" s="10" t="n">
        <f aca="false">COUNTIFS(Pipeline!$B$2:$B$2090,$A34,Pipeline!$P$2:$P$2090,"R")</f>
        <v>34</v>
      </c>
      <c r="H34" s="2" t="n">
        <f aca="false">SUM(C34:G34)</f>
        <v>50</v>
      </c>
      <c r="I34" s="8" t="n">
        <f aca="false">SUMIFS(Pipeline!$I$2:$I$2090,Pipeline!$B$2:$B$2090,$A34,Pipeline!$P$2:$P$2090,"A")+SUMIFS(Pipeline!$I$2:$I$2090,Pipeline!$B$2:$B$2090,$A34,Pipeline!$P$2:$P$2090,"B")</f>
        <v>36078</v>
      </c>
    </row>
    <row r="35" customFormat="false" ht="15" hidden="false" customHeight="false" outlineLevel="0" collapsed="false">
      <c r="A35" s="10" t="s">
        <v>70</v>
      </c>
      <c r="B35" s="10" t="s">
        <v>65</v>
      </c>
      <c r="C35" s="10" t="n">
        <f aca="false">COUNTIFS(Pipeline!$B$2:$B$2090,$A35,Pipeline!$P$2:$P$2090,"A")</f>
        <v>10</v>
      </c>
      <c r="D35" s="10" t="n">
        <f aca="false">COUNTIFS(Pipeline!$B$2:$B$2090,$A35,Pipeline!$P$2:$P$2090,"B")</f>
        <v>4</v>
      </c>
      <c r="E35" s="10" t="n">
        <f aca="false">COUNTIFS(Pipeline!$B$2:$B$2090,$A35,Pipeline!$P$2:$P$2090,"C")</f>
        <v>9</v>
      </c>
      <c r="F35" s="10" t="n">
        <f aca="false">COUNTIFS(Pipeline!$B$2:$B$2090,$A35,Pipeline!$P$2:$P$2090,"D")</f>
        <v>1</v>
      </c>
      <c r="G35" s="10" t="n">
        <f aca="false">COUNTIFS(Pipeline!$B$2:$B$2090,$A35,Pipeline!$P$2:$P$2090,"R")</f>
        <v>80</v>
      </c>
      <c r="H35" s="2" t="n">
        <f aca="false">SUM(C35:G35)</f>
        <v>104</v>
      </c>
      <c r="I35" s="8" t="n">
        <f aca="false">SUMIFS(Pipeline!$I$2:$I$2090,Pipeline!$B$2:$B$2090,$A35,Pipeline!$P$2:$P$2090,"A")+SUMIFS(Pipeline!$I$2:$I$2090,Pipeline!$B$2:$B$2090,$A35,Pipeline!$P$2:$P$2090,"B")</f>
        <v>49977</v>
      </c>
    </row>
    <row r="36" customFormat="false" ht="15" hidden="false" customHeight="false" outlineLevel="0" collapsed="false">
      <c r="A36" s="10" t="s">
        <v>71</v>
      </c>
      <c r="B36" s="10" t="s">
        <v>72</v>
      </c>
      <c r="C36" s="10" t="n">
        <f aca="false">COUNTIFS(Pipeline!$B$2:$B$2090,$A36,Pipeline!$P$2:$P$2090,"A")</f>
        <v>0</v>
      </c>
      <c r="D36" s="10" t="n">
        <f aca="false">COUNTIFS(Pipeline!$B$2:$B$2090,$A36,Pipeline!$P$2:$P$2090,"B")</f>
        <v>5</v>
      </c>
      <c r="E36" s="10" t="n">
        <f aca="false">COUNTIFS(Pipeline!$B$2:$B$2090,$A36,Pipeline!$P$2:$P$2090,"C")</f>
        <v>17</v>
      </c>
      <c r="F36" s="10" t="n">
        <f aca="false">COUNTIFS(Pipeline!$B$2:$B$2090,$A36,Pipeline!$P$2:$P$2090,"D")</f>
        <v>34</v>
      </c>
      <c r="G36" s="10" t="n">
        <f aca="false">COUNTIFS(Pipeline!$B$2:$B$2090,$A36,Pipeline!$P$2:$P$2090,"R")</f>
        <v>56</v>
      </c>
      <c r="H36" s="2" t="n">
        <f aca="false">SUM(C36:G36)</f>
        <v>112</v>
      </c>
      <c r="I36" s="8" t="n">
        <f aca="false">SUMIFS(Pipeline!$I$2:$I$2090,Pipeline!$B$2:$B$2090,$A36,Pipeline!$P$2:$P$2090,"A")+SUMIFS(Pipeline!$I$2:$I$2090,Pipeline!$B$2:$B$2090,$A36,Pipeline!$P$2:$P$2090,"B")</f>
        <v>27410</v>
      </c>
    </row>
    <row r="37" customFormat="false" ht="15" hidden="false" customHeight="false" outlineLevel="0" collapsed="false">
      <c r="A37" s="10" t="s">
        <v>73</v>
      </c>
      <c r="B37" s="10" t="s">
        <v>72</v>
      </c>
      <c r="C37" s="10" t="n">
        <f aca="false">COUNTIFS(Pipeline!$B$2:$B$2090,$A37,Pipeline!$P$2:$P$2090,"A")</f>
        <v>0</v>
      </c>
      <c r="D37" s="10" t="n">
        <f aca="false">COUNTIFS(Pipeline!$B$2:$B$2090,$A37,Pipeline!$P$2:$P$2090,"B")</f>
        <v>4</v>
      </c>
      <c r="E37" s="10" t="n">
        <f aca="false">COUNTIFS(Pipeline!$B$2:$B$2090,$A37,Pipeline!$P$2:$P$2090,"C")</f>
        <v>12</v>
      </c>
      <c r="F37" s="10" t="n">
        <f aca="false">COUNTIFS(Pipeline!$B$2:$B$2090,$A37,Pipeline!$P$2:$P$2090,"D")</f>
        <v>8</v>
      </c>
      <c r="G37" s="10" t="n">
        <f aca="false">COUNTIFS(Pipeline!$B$2:$B$2090,$A37,Pipeline!$P$2:$P$2090,"R")</f>
        <v>19</v>
      </c>
      <c r="H37" s="2" t="n">
        <f aca="false">SUM(C37:G37)</f>
        <v>43</v>
      </c>
      <c r="I37" s="8" t="n">
        <f aca="false">SUMIFS(Pipeline!$I$2:$I$2090,Pipeline!$B$2:$B$2090,$A37,Pipeline!$P$2:$P$2090,"A")+SUMIFS(Pipeline!$I$2:$I$2090,Pipeline!$B$2:$B$2090,$A37,Pipeline!$P$2:$P$2090,"B")</f>
        <v>21928</v>
      </c>
    </row>
    <row r="38" customFormat="false" ht="15" hidden="false" customHeight="false" outlineLevel="0" collapsed="false">
      <c r="A38" s="10" t="s">
        <v>74</v>
      </c>
      <c r="B38" s="10" t="s">
        <v>72</v>
      </c>
      <c r="C38" s="10" t="n">
        <f aca="false">COUNTIFS(Pipeline!$B$2:$B$2090,$A38,Pipeline!$P$2:$P$2090,"A")</f>
        <v>0</v>
      </c>
      <c r="D38" s="10" t="n">
        <f aca="false">COUNTIFS(Pipeline!$B$2:$B$2090,$A38,Pipeline!$P$2:$P$2090,"B")</f>
        <v>2</v>
      </c>
      <c r="E38" s="10" t="n">
        <f aca="false">COUNTIFS(Pipeline!$B$2:$B$2090,$A38,Pipeline!$P$2:$P$2090,"C")</f>
        <v>17</v>
      </c>
      <c r="F38" s="10" t="n">
        <f aca="false">COUNTIFS(Pipeline!$B$2:$B$2090,$A38,Pipeline!$P$2:$P$2090,"D")</f>
        <v>22</v>
      </c>
      <c r="G38" s="10" t="n">
        <f aca="false">COUNTIFS(Pipeline!$B$2:$B$2090,$A38,Pipeline!$P$2:$P$2090,"R")</f>
        <v>39</v>
      </c>
      <c r="H38" s="2" t="n">
        <f aca="false">SUM(C38:G38)</f>
        <v>80</v>
      </c>
      <c r="I38" s="8" t="n">
        <f aca="false">SUMIFS(Pipeline!$I$2:$I$2090,Pipeline!$B$2:$B$2090,$A38,Pipeline!$P$2:$P$2090,"A")+SUMIFS(Pipeline!$I$2:$I$2090,Pipeline!$B$2:$B$2090,$A38,Pipeline!$P$2:$P$2090,"B")</f>
        <v>6032</v>
      </c>
    </row>
    <row r="39" customFormat="false" ht="15" hidden="false" customHeight="false" outlineLevel="0" collapsed="false">
      <c r="A39" s="10" t="s">
        <v>75</v>
      </c>
      <c r="B39" s="10" t="s">
        <v>72</v>
      </c>
      <c r="C39" s="10" t="n">
        <f aca="false">COUNTIFS(Pipeline!$B$2:$B$2090,$A39,Pipeline!$P$2:$P$2090,"A")</f>
        <v>0</v>
      </c>
      <c r="D39" s="10" t="n">
        <f aca="false">COUNTIFS(Pipeline!$B$2:$B$2090,$A39,Pipeline!$P$2:$P$2090,"B")</f>
        <v>1</v>
      </c>
      <c r="E39" s="10" t="n">
        <f aca="false">COUNTIFS(Pipeline!$B$2:$B$2090,$A39,Pipeline!$P$2:$P$2090,"C")</f>
        <v>16</v>
      </c>
      <c r="F39" s="10" t="n">
        <f aca="false">COUNTIFS(Pipeline!$B$2:$B$2090,$A39,Pipeline!$P$2:$P$2090,"D")</f>
        <v>14</v>
      </c>
      <c r="G39" s="10" t="n">
        <f aca="false">COUNTIFS(Pipeline!$B$2:$B$2090,$A39,Pipeline!$P$2:$P$2090,"R")</f>
        <v>34</v>
      </c>
      <c r="H39" s="2" t="n">
        <f aca="false">SUM(C39:G39)</f>
        <v>65</v>
      </c>
      <c r="I39" s="8" t="n">
        <f aca="false">SUMIFS(Pipeline!$I$2:$I$2090,Pipeline!$B$2:$B$2090,$A39,Pipeline!$P$2:$P$2090,"A")+SUMIFS(Pipeline!$I$2:$I$2090,Pipeline!$B$2:$B$2090,$A39,Pipeline!$P$2:$P$2090,"B")</f>
        <v>5482</v>
      </c>
    </row>
    <row r="40" customFormat="false" ht="15" hidden="false" customHeight="false" outlineLevel="0" collapsed="false">
      <c r="A40" s="10" t="s">
        <v>76</v>
      </c>
      <c r="B40" s="10" t="s">
        <v>72</v>
      </c>
      <c r="C40" s="10" t="n">
        <f aca="false">COUNTIFS(Pipeline!$B$2:$B$2090,$A40,Pipeline!$P$2:$P$2090,"A")</f>
        <v>0</v>
      </c>
      <c r="D40" s="10" t="n">
        <f aca="false">COUNTIFS(Pipeline!$B$2:$B$2090,$A40,Pipeline!$P$2:$P$2090,"B")</f>
        <v>2</v>
      </c>
      <c r="E40" s="10" t="n">
        <f aca="false">COUNTIFS(Pipeline!$B$2:$B$2090,$A40,Pipeline!$P$2:$P$2090,"C")</f>
        <v>13</v>
      </c>
      <c r="F40" s="10" t="n">
        <f aca="false">COUNTIFS(Pipeline!$B$2:$B$2090,$A40,Pipeline!$P$2:$P$2090,"D")</f>
        <v>40</v>
      </c>
      <c r="G40" s="10" t="n">
        <f aca="false">COUNTIFS(Pipeline!$B$2:$B$2090,$A40,Pipeline!$P$2:$P$2090,"R")</f>
        <v>42</v>
      </c>
      <c r="H40" s="2" t="n">
        <f aca="false">SUM(C40:G40)</f>
        <v>97</v>
      </c>
      <c r="I40" s="8" t="n">
        <f aca="false">SUMIFS(Pipeline!$I$2:$I$2090,Pipeline!$B$2:$B$2090,$A40,Pipeline!$P$2:$P$2090,"A")+SUMIFS(Pipeline!$I$2:$I$2090,Pipeline!$B$2:$B$2090,$A40,Pipeline!$P$2:$P$2090,"B")</f>
        <v>10964</v>
      </c>
    </row>
    <row r="41" customFormat="false" ht="15" hidden="false" customHeight="false" outlineLevel="0" collapsed="false">
      <c r="A41" s="10" t="s">
        <v>77</v>
      </c>
      <c r="B41" s="10" t="s">
        <v>78</v>
      </c>
      <c r="C41" s="10" t="n">
        <f aca="false">COUNTIFS(Pipeline!$B$2:$B$2090,$A41,Pipeline!$P$2:$P$2090,"A")</f>
        <v>0</v>
      </c>
      <c r="D41" s="10" t="n">
        <f aca="false">COUNTIFS(Pipeline!$B$2:$B$2090,$A41,Pipeline!$P$2:$P$2090,"B")</f>
        <v>13</v>
      </c>
      <c r="E41" s="10" t="n">
        <f aca="false">COUNTIFS(Pipeline!$B$2:$B$2090,$A41,Pipeline!$P$2:$P$2090,"C")</f>
        <v>82</v>
      </c>
      <c r="F41" s="10" t="n">
        <f aca="false">COUNTIFS(Pipeline!$B$2:$B$2090,$A41,Pipeline!$P$2:$P$2090,"D")</f>
        <v>16</v>
      </c>
      <c r="G41" s="10" t="n">
        <f aca="false">COUNTIFS(Pipeline!$B$2:$B$2090,$A41,Pipeline!$P$2:$P$2090,"R")</f>
        <v>83</v>
      </c>
      <c r="H41" s="2" t="n">
        <f aca="false">SUM(C41:G41)</f>
        <v>194</v>
      </c>
      <c r="I41" s="8" t="n">
        <f aca="false">SUMIFS(Pipeline!$I$2:$I$2090,Pipeline!$B$2:$B$2090,$A41,Pipeline!$P$2:$P$2090,"A")+SUMIFS(Pipeline!$I$2:$I$2090,Pipeline!$B$2:$B$2090,$A41,Pipeline!$P$2:$P$2090,"B")</f>
        <v>71266</v>
      </c>
    </row>
    <row r="42" customFormat="false" ht="15" hidden="false" customHeight="false" outlineLevel="0" collapsed="false">
      <c r="A42" s="10" t="s">
        <v>79</v>
      </c>
      <c r="B42" s="10" t="s">
        <v>78</v>
      </c>
      <c r="C42" s="10" t="n">
        <f aca="false">COUNTIFS(Pipeline!$B$2:$B$2090,$A42,Pipeline!$P$2:$P$2090,"A")</f>
        <v>0</v>
      </c>
      <c r="D42" s="10" t="n">
        <f aca="false">COUNTIFS(Pipeline!$B$2:$B$2090,$A42,Pipeline!$P$2:$P$2090,"B")</f>
        <v>9</v>
      </c>
      <c r="E42" s="10" t="n">
        <f aca="false">COUNTIFS(Pipeline!$B$2:$B$2090,$A42,Pipeline!$P$2:$P$2090,"C")</f>
        <v>26</v>
      </c>
      <c r="F42" s="10" t="n">
        <f aca="false">COUNTIFS(Pipeline!$B$2:$B$2090,$A42,Pipeline!$P$2:$P$2090,"D")</f>
        <v>14</v>
      </c>
      <c r="G42" s="10" t="n">
        <f aca="false">COUNTIFS(Pipeline!$B$2:$B$2090,$A42,Pipeline!$P$2:$P$2090,"R")</f>
        <v>36</v>
      </c>
      <c r="H42" s="2" t="n">
        <f aca="false">SUM(C42:G42)</f>
        <v>85</v>
      </c>
      <c r="I42" s="8" t="n">
        <f aca="false">SUMIFS(Pipeline!$I$2:$I$2090,Pipeline!$B$2:$B$2090,$A42,Pipeline!$P$2:$P$2090,"A")+SUMIFS(Pipeline!$I$2:$I$2090,Pipeline!$B$2:$B$2090,$A42,Pipeline!$P$2:$P$2090,"B")</f>
        <v>49338</v>
      </c>
    </row>
    <row r="43" customFormat="false" ht="15" hidden="false" customHeight="false" outlineLevel="0" collapsed="false">
      <c r="A43" s="10" t="s">
        <v>80</v>
      </c>
      <c r="B43" s="10" t="s">
        <v>78</v>
      </c>
      <c r="C43" s="10" t="n">
        <f aca="false">COUNTIFS(Pipeline!$B$2:$B$2090,$A43,Pipeline!$P$2:$P$2090,"A")</f>
        <v>0</v>
      </c>
      <c r="D43" s="10" t="n">
        <f aca="false">COUNTIFS(Pipeline!$B$2:$B$2090,$A43,Pipeline!$P$2:$P$2090,"B")</f>
        <v>4</v>
      </c>
      <c r="E43" s="10" t="n">
        <f aca="false">COUNTIFS(Pipeline!$B$2:$B$2090,$A43,Pipeline!$P$2:$P$2090,"C")</f>
        <v>16</v>
      </c>
      <c r="F43" s="10" t="n">
        <f aca="false">COUNTIFS(Pipeline!$B$2:$B$2090,$A43,Pipeline!$P$2:$P$2090,"D")</f>
        <v>28</v>
      </c>
      <c r="G43" s="10" t="n">
        <f aca="false">COUNTIFS(Pipeline!$B$2:$B$2090,$A43,Pipeline!$P$2:$P$2090,"R")</f>
        <v>33</v>
      </c>
      <c r="H43" s="2" t="n">
        <f aca="false">SUM(C43:G43)</f>
        <v>81</v>
      </c>
      <c r="I43" s="8" t="n">
        <f aca="false">SUMIFS(Pipeline!$I$2:$I$2090,Pipeline!$B$2:$B$2090,$A43,Pipeline!$P$2:$P$2090,"A")+SUMIFS(Pipeline!$I$2:$I$2090,Pipeline!$B$2:$B$2090,$A43,Pipeline!$P$2:$P$2090,"B")</f>
        <v>21928</v>
      </c>
    </row>
    <row r="44" customFormat="false" ht="15" hidden="false" customHeight="false" outlineLevel="0" collapsed="false">
      <c r="A44" s="10" t="s">
        <v>81</v>
      </c>
      <c r="B44" s="10" t="s">
        <v>78</v>
      </c>
      <c r="C44" s="10" t="n">
        <f aca="false">COUNTIFS(Pipeline!$B$2:$B$2090,$A44,Pipeline!$P$2:$P$2090,"A")</f>
        <v>0</v>
      </c>
      <c r="D44" s="10" t="n">
        <f aca="false">COUNTIFS(Pipeline!$B$2:$B$2090,$A44,Pipeline!$P$2:$P$2090,"B")</f>
        <v>5</v>
      </c>
      <c r="E44" s="10" t="n">
        <f aca="false">COUNTIFS(Pipeline!$B$2:$B$2090,$A44,Pipeline!$P$2:$P$2090,"C")</f>
        <v>32</v>
      </c>
      <c r="F44" s="10" t="n">
        <f aca="false">COUNTIFS(Pipeline!$B$2:$B$2090,$A44,Pipeline!$P$2:$P$2090,"D")</f>
        <v>17</v>
      </c>
      <c r="G44" s="10" t="n">
        <f aca="false">COUNTIFS(Pipeline!$B$2:$B$2090,$A44,Pipeline!$P$2:$P$2090,"R")</f>
        <v>33</v>
      </c>
      <c r="H44" s="2" t="n">
        <f aca="false">SUM(C44:G44)</f>
        <v>87</v>
      </c>
      <c r="I44" s="8" t="n">
        <f aca="false">SUMIFS(Pipeline!$I$2:$I$2090,Pipeline!$B$2:$B$2090,$A44,Pipeline!$P$2:$P$2090,"A")+SUMIFS(Pipeline!$I$2:$I$2090,Pipeline!$B$2:$B$2090,$A44,Pipeline!$P$2:$P$2090,"B")</f>
        <v>27410</v>
      </c>
    </row>
    <row r="45" customFormat="false" ht="15" hidden="false" customHeight="false" outlineLevel="0" collapsed="false">
      <c r="A45" s="10" t="s">
        <v>82</v>
      </c>
      <c r="B45" s="10" t="s">
        <v>78</v>
      </c>
      <c r="C45" s="10" t="n">
        <f aca="false">COUNTIFS(Pipeline!$B$2:$B$2090,$A45,Pipeline!$P$2:$P$2090,"A")</f>
        <v>0</v>
      </c>
      <c r="D45" s="10" t="n">
        <f aca="false">COUNTIFS(Pipeline!$B$2:$B$2090,$A45,Pipeline!$P$2:$P$2090,"B")</f>
        <v>0</v>
      </c>
      <c r="E45" s="10" t="n">
        <f aca="false">COUNTIFS(Pipeline!$B$2:$B$2090,$A45,Pipeline!$P$2:$P$2090,"C")</f>
        <v>0</v>
      </c>
      <c r="F45" s="10" t="n">
        <f aca="false">COUNTIFS(Pipeline!$B$2:$B$2090,$A45,Pipeline!$P$2:$P$2090,"D")</f>
        <v>0</v>
      </c>
      <c r="G45" s="10" t="n">
        <f aca="false">COUNTIFS(Pipeline!$B$2:$B$2090,$A45,Pipeline!$P$2:$P$2090,"R")</f>
        <v>0</v>
      </c>
      <c r="H45" s="2" t="n">
        <f aca="false">SUM(C45:G45)</f>
        <v>0</v>
      </c>
      <c r="I45" s="8" t="n">
        <f aca="false">SUMIFS(Pipeline!$I$2:$I$2090,Pipeline!$B$2:$B$2090,$A45,Pipeline!$P$2:$P$2090,"A")+SUMIFS(Pipeline!$I$2:$I$2090,Pipeline!$B$2:$B$2090,$A45,Pipeline!$P$2:$P$2090,"B")</f>
        <v>0</v>
      </c>
    </row>
    <row r="46" customFormat="false" ht="15" hidden="false" customHeight="false" outlineLevel="0" collapsed="false">
      <c r="A46" s="10" t="s">
        <v>83</v>
      </c>
      <c r="B46" s="10" t="s">
        <v>78</v>
      </c>
      <c r="C46" s="10" t="n">
        <f aca="false">COUNTIFS(Pipeline!$B$2:$B$2090,$A46,Pipeline!$P$2:$P$2090,"A")</f>
        <v>1</v>
      </c>
      <c r="D46" s="10" t="n">
        <f aca="false">COUNTIFS(Pipeline!$B$2:$B$2090,$A46,Pipeline!$P$2:$P$2090,"B")</f>
        <v>4</v>
      </c>
      <c r="E46" s="10" t="n">
        <f aca="false">COUNTIFS(Pipeline!$B$2:$B$2090,$A46,Pipeline!$P$2:$P$2090,"C")</f>
        <v>11</v>
      </c>
      <c r="F46" s="10" t="n">
        <f aca="false">COUNTIFS(Pipeline!$B$2:$B$2090,$A46,Pipeline!$P$2:$P$2090,"D")</f>
        <v>20</v>
      </c>
      <c r="G46" s="10" t="n">
        <f aca="false">COUNTIFS(Pipeline!$B$2:$B$2090,$A46,Pipeline!$P$2:$P$2090,"R")</f>
        <v>28</v>
      </c>
      <c r="H46" s="2" t="n">
        <f aca="false">SUM(C46:G46)</f>
        <v>64</v>
      </c>
      <c r="I46" s="8" t="n">
        <f aca="false">SUMIFS(Pipeline!$I$2:$I$2090,Pipeline!$B$2:$B$2090,$A46,Pipeline!$P$2:$P$2090,"A")+SUMIFS(Pipeline!$I$2:$I$2090,Pipeline!$B$2:$B$2090,$A46,Pipeline!$P$2:$P$2090,"B")</f>
        <v>22363</v>
      </c>
    </row>
    <row r="47" customFormat="false" ht="15" hidden="false" customHeight="false" outlineLevel="0" collapsed="false">
      <c r="A47" s="10" t="s">
        <v>84</v>
      </c>
      <c r="B47" s="10" t="s">
        <v>85</v>
      </c>
      <c r="C47" s="10" t="n">
        <f aca="false">COUNTIFS(Pipeline!$B$2:$B$2090,$A47,Pipeline!$P$2:$P$2090,"A")</f>
        <v>4</v>
      </c>
      <c r="D47" s="10" t="n">
        <f aca="false">COUNTIFS(Pipeline!$B$2:$B$2090,$A47,Pipeline!$P$2:$P$2090,"B")</f>
        <v>8</v>
      </c>
      <c r="E47" s="10" t="n">
        <f aca="false">COUNTIFS(Pipeline!$B$2:$B$2090,$A47,Pipeline!$P$2:$P$2090,"C")</f>
        <v>1</v>
      </c>
      <c r="F47" s="10" t="n">
        <f aca="false">COUNTIFS(Pipeline!$B$2:$B$2090,$A47,Pipeline!$P$2:$P$2090,"D")</f>
        <v>0</v>
      </c>
      <c r="G47" s="10" t="n">
        <f aca="false">COUNTIFS(Pipeline!$B$2:$B$2090,$A47,Pipeline!$P$2:$P$2090,"R")</f>
        <v>44</v>
      </c>
      <c r="H47" s="2" t="n">
        <f aca="false">SUM(C47:G47)</f>
        <v>57</v>
      </c>
      <c r="I47" s="8" t="n">
        <f aca="false">SUMIFS(Pipeline!$I$2:$I$2090,Pipeline!$B$2:$B$2090,$A47,Pipeline!$P$2:$P$2090,"A")+SUMIFS(Pipeline!$I$2:$I$2090,Pipeline!$B$2:$B$2090,$A47,Pipeline!$P$2:$P$2090,"B")</f>
        <v>33630</v>
      </c>
    </row>
    <row r="48" customFormat="false" ht="15" hidden="false" customHeight="false" outlineLevel="0" collapsed="false">
      <c r="A48" s="10" t="s">
        <v>86</v>
      </c>
      <c r="B48" s="10" t="s">
        <v>85</v>
      </c>
      <c r="C48" s="10" t="n">
        <f aca="false">COUNTIFS(Pipeline!$B$2:$B$2090,$A48,Pipeline!$P$2:$P$2090,"A")</f>
        <v>7</v>
      </c>
      <c r="D48" s="10" t="n">
        <f aca="false">COUNTIFS(Pipeline!$B$2:$B$2090,$A48,Pipeline!$P$2:$P$2090,"B")</f>
        <v>14</v>
      </c>
      <c r="E48" s="10" t="n">
        <f aca="false">COUNTIFS(Pipeline!$B$2:$B$2090,$A48,Pipeline!$P$2:$P$2090,"C")</f>
        <v>1</v>
      </c>
      <c r="F48" s="10" t="n">
        <f aca="false">COUNTIFS(Pipeline!$B$2:$B$2090,$A48,Pipeline!$P$2:$P$2090,"D")</f>
        <v>1</v>
      </c>
      <c r="G48" s="10" t="n">
        <f aca="false">COUNTIFS(Pipeline!$B$2:$B$2090,$A48,Pipeline!$P$2:$P$2090,"R")</f>
        <v>62</v>
      </c>
      <c r="H48" s="2" t="n">
        <f aca="false">SUM(C48:G48)</f>
        <v>85</v>
      </c>
      <c r="I48" s="8" t="n">
        <f aca="false">SUMIFS(Pipeline!$I$2:$I$2090,Pipeline!$B$2:$B$2090,$A48,Pipeline!$P$2:$P$2090,"A")+SUMIFS(Pipeline!$I$2:$I$2090,Pipeline!$B$2:$B$2090,$A48,Pipeline!$P$2:$P$2090,"B")</f>
        <v>48552</v>
      </c>
    </row>
    <row r="49" customFormat="false" ht="15" hidden="false" customHeight="false" outlineLevel="0" collapsed="false">
      <c r="A49" s="10" t="s">
        <v>87</v>
      </c>
      <c r="B49" s="10" t="s">
        <v>85</v>
      </c>
      <c r="C49" s="10" t="n">
        <f aca="false">COUNTIFS(Pipeline!$B$2:$B$2090,$A49,Pipeline!$P$2:$P$2090,"A")</f>
        <v>8</v>
      </c>
      <c r="D49" s="10" t="n">
        <f aca="false">COUNTIFS(Pipeline!$B$2:$B$2090,$A49,Pipeline!$P$2:$P$2090,"B")</f>
        <v>11</v>
      </c>
      <c r="E49" s="10" t="n">
        <f aca="false">COUNTIFS(Pipeline!$B$2:$B$2090,$A49,Pipeline!$P$2:$P$2090,"C")</f>
        <v>2</v>
      </c>
      <c r="F49" s="10" t="n">
        <f aca="false">COUNTIFS(Pipeline!$B$2:$B$2090,$A49,Pipeline!$P$2:$P$2090,"D")</f>
        <v>0</v>
      </c>
      <c r="G49" s="10" t="n">
        <f aca="false">COUNTIFS(Pipeline!$B$2:$B$2090,$A49,Pipeline!$P$2:$P$2090,"R")</f>
        <v>51</v>
      </c>
      <c r="H49" s="2" t="n">
        <f aca="false">SUM(C49:G49)</f>
        <v>72</v>
      </c>
      <c r="I49" s="8" t="n">
        <f aca="false">SUMIFS(Pipeline!$I$2:$I$2090,Pipeline!$B$2:$B$2090,$A49,Pipeline!$P$2:$P$2090,"A")+SUMIFS(Pipeline!$I$2:$I$2090,Pipeline!$B$2:$B$2090,$A49,Pipeline!$P$2:$P$2090,"B")</f>
        <v>53697</v>
      </c>
    </row>
    <row r="50" customFormat="false" ht="15" hidden="false" customHeight="false" outlineLevel="0" collapsed="false">
      <c r="A50" s="10" t="s">
        <v>88</v>
      </c>
      <c r="B50" s="10" t="s">
        <v>85</v>
      </c>
      <c r="C50" s="10" t="n">
        <f aca="false">COUNTIFS(Pipeline!$B$2:$B$2090,$A50,Pipeline!$P$2:$P$2090,"A")</f>
        <v>0</v>
      </c>
      <c r="D50" s="10" t="n">
        <f aca="false">COUNTIFS(Pipeline!$B$2:$B$2090,$A50,Pipeline!$P$2:$P$2090,"B")</f>
        <v>0</v>
      </c>
      <c r="E50" s="10" t="n">
        <f aca="false">COUNTIFS(Pipeline!$B$2:$B$2090,$A50,Pipeline!$P$2:$P$2090,"C")</f>
        <v>0</v>
      </c>
      <c r="F50" s="10" t="n">
        <f aca="false">COUNTIFS(Pipeline!$B$2:$B$2090,$A50,Pipeline!$P$2:$P$2090,"D")</f>
        <v>0</v>
      </c>
      <c r="G50" s="10" t="n">
        <f aca="false">COUNTIFS(Pipeline!$B$2:$B$2090,$A50,Pipeline!$P$2:$P$2090,"R")</f>
        <v>0</v>
      </c>
      <c r="H50" s="2" t="n">
        <f aca="false">SUM(C50:G50)</f>
        <v>0</v>
      </c>
      <c r="I50" s="8" t="n">
        <f aca="false">SUMIFS(Pipeline!$I$2:$I$2090,Pipeline!$B$2:$B$2090,$A50,Pipeline!$P$2:$P$2090,"A")+SUMIFS(Pipeline!$I$2:$I$2090,Pipeline!$B$2:$B$2090,$A50,Pipeline!$P$2:$P$2090,"B")</f>
        <v>0</v>
      </c>
    </row>
    <row r="51" customFormat="false" ht="15" hidden="false" customHeight="false" outlineLevel="0" collapsed="false">
      <c r="A51" s="10" t="s">
        <v>89</v>
      </c>
      <c r="B51" s="10" t="s">
        <v>85</v>
      </c>
      <c r="C51" s="10" t="n">
        <f aca="false">COUNTIFS(Pipeline!$B$2:$B$2090,$A51,Pipeline!$P$2:$P$2090,"A")</f>
        <v>0</v>
      </c>
      <c r="D51" s="10" t="n">
        <f aca="false">COUNTIFS(Pipeline!$B$2:$B$2090,$A51,Pipeline!$P$2:$P$2090,"B")</f>
        <v>0</v>
      </c>
      <c r="E51" s="10" t="n">
        <f aca="false">COUNTIFS(Pipeline!$B$2:$B$2090,$A51,Pipeline!$P$2:$P$2090,"C")</f>
        <v>0</v>
      </c>
      <c r="F51" s="10" t="n">
        <f aca="false">COUNTIFS(Pipeline!$B$2:$B$2090,$A51,Pipeline!$P$2:$P$2090,"D")</f>
        <v>0</v>
      </c>
      <c r="G51" s="10" t="n">
        <f aca="false">COUNTIFS(Pipeline!$B$2:$B$2090,$A51,Pipeline!$P$2:$P$2090,"R")</f>
        <v>0</v>
      </c>
      <c r="H51" s="2" t="n">
        <f aca="false">SUM(C51:G51)</f>
        <v>0</v>
      </c>
      <c r="I51" s="8" t="n">
        <f aca="false">SUMIFS(Pipeline!$I$2:$I$2090,Pipeline!$B$2:$B$2090,$A51,Pipeline!$P$2:$P$2090,"A")+SUMIFS(Pipeline!$I$2:$I$2090,Pipeline!$B$2:$B$2090,$A51,Pipeline!$P$2:$P$2090,"B")</f>
        <v>0</v>
      </c>
    </row>
    <row r="52" customFormat="false" ht="15" hidden="false" customHeight="false" outlineLevel="0" collapsed="false">
      <c r="A52" s="10" t="s">
        <v>90</v>
      </c>
      <c r="B52" s="10" t="s">
        <v>85</v>
      </c>
      <c r="C52" s="10" t="n">
        <f aca="false">COUNTIFS(Pipeline!$B$2:$B$2090,$A52,Pipeline!$P$2:$P$2090,"A")</f>
        <v>0</v>
      </c>
      <c r="D52" s="10" t="n">
        <f aca="false">COUNTIFS(Pipeline!$B$2:$B$2090,$A52,Pipeline!$P$2:$P$2090,"B")</f>
        <v>0</v>
      </c>
      <c r="E52" s="10" t="n">
        <f aca="false">COUNTIFS(Pipeline!$B$2:$B$2090,$A52,Pipeline!$P$2:$P$2090,"C")</f>
        <v>0</v>
      </c>
      <c r="F52" s="10" t="n">
        <f aca="false">COUNTIFS(Pipeline!$B$2:$B$2090,$A52,Pipeline!$P$2:$P$2090,"D")</f>
        <v>0</v>
      </c>
      <c r="G52" s="10" t="n">
        <f aca="false">COUNTIFS(Pipeline!$B$2:$B$2090,$A52,Pipeline!$P$2:$P$2090,"R")</f>
        <v>0</v>
      </c>
      <c r="H52" s="2" t="n">
        <f aca="false">SUM(C52:G52)</f>
        <v>0</v>
      </c>
      <c r="I52" s="8" t="n">
        <f aca="false">SUMIFS(Pipeline!$I$2:$I$2090,Pipeline!$B$2:$B$2090,$A52,Pipeline!$P$2:$P$2090,"A")+SUMIFS(Pipeline!$I$2:$I$2090,Pipeline!$B$2:$B$2090,$A52,Pipeline!$P$2:$P$2090,"B")</f>
        <v>0</v>
      </c>
    </row>
    <row r="53" customFormat="false" ht="15" hidden="false" customHeight="false" outlineLevel="0" collapsed="false">
      <c r="A53" s="10" t="s">
        <v>91</v>
      </c>
      <c r="B53" s="10" t="s">
        <v>92</v>
      </c>
      <c r="C53" s="10" t="n">
        <f aca="false">COUNTIFS(Pipeline!$B$2:$B$2090,$A53,Pipeline!$P$2:$P$2090,"A")</f>
        <v>0</v>
      </c>
      <c r="D53" s="10" t="n">
        <f aca="false">COUNTIFS(Pipeline!$B$2:$B$2090,$A53,Pipeline!$P$2:$P$2090,"B")</f>
        <v>0</v>
      </c>
      <c r="E53" s="10" t="n">
        <f aca="false">COUNTIFS(Pipeline!$B$2:$B$2090,$A53,Pipeline!$P$2:$P$2090,"C")</f>
        <v>0</v>
      </c>
      <c r="F53" s="10" t="n">
        <f aca="false">COUNTIFS(Pipeline!$B$2:$B$2090,$A53,Pipeline!$P$2:$P$2090,"D")</f>
        <v>0</v>
      </c>
      <c r="G53" s="10" t="n">
        <f aca="false">COUNTIFS(Pipeline!$B$2:$B$2090,$A53,Pipeline!$P$2:$P$2090,"R")</f>
        <v>0</v>
      </c>
      <c r="H53" s="2" t="n">
        <f aca="false">SUM(C53:G53)</f>
        <v>0</v>
      </c>
      <c r="I53" s="8" t="n">
        <f aca="false">SUMIFS(Pipeline!$I$2:$I$2090,Pipeline!$B$2:$B$2090,$A53,Pipeline!$P$2:$P$2090,"A")+SUMIFS(Pipeline!$I$2:$I$2090,Pipeline!$B$2:$B$2090,$A53,Pipeline!$P$2:$P$2090,"B")</f>
        <v>0</v>
      </c>
    </row>
    <row r="54" customFormat="false" ht="15" hidden="false" customHeight="false" outlineLevel="0" collapsed="false">
      <c r="A54" s="10" t="s">
        <v>93</v>
      </c>
      <c r="B54" s="10" t="s">
        <v>92</v>
      </c>
      <c r="C54" s="10" t="n">
        <f aca="false">COUNTIFS(Pipeline!$B$2:$B$2090,$A54,Pipeline!$P$2:$P$2090,"A")</f>
        <v>12</v>
      </c>
      <c r="D54" s="10" t="n">
        <f aca="false">COUNTIFS(Pipeline!$B$2:$B$2090,$A54,Pipeline!$P$2:$P$2090,"B")</f>
        <v>1</v>
      </c>
      <c r="E54" s="10" t="n">
        <f aca="false">COUNTIFS(Pipeline!$B$2:$B$2090,$A54,Pipeline!$P$2:$P$2090,"C")</f>
        <v>1</v>
      </c>
      <c r="F54" s="10" t="n">
        <f aca="false">COUNTIFS(Pipeline!$B$2:$B$2090,$A54,Pipeline!$P$2:$P$2090,"D")</f>
        <v>0</v>
      </c>
      <c r="G54" s="10" t="n">
        <f aca="false">COUNTIFS(Pipeline!$B$2:$B$2090,$A54,Pipeline!$P$2:$P$2090,"R")</f>
        <v>47</v>
      </c>
      <c r="H54" s="2" t="n">
        <f aca="false">SUM(C54:G54)</f>
        <v>61</v>
      </c>
      <c r="I54" s="8" t="n">
        <f aca="false">SUMIFS(Pipeline!$I$2:$I$2090,Pipeline!$B$2:$B$2090,$A54,Pipeline!$P$2:$P$2090,"A")+SUMIFS(Pipeline!$I$2:$I$2090,Pipeline!$B$2:$B$2090,$A54,Pipeline!$P$2:$P$2090,"B")</f>
        <v>57969</v>
      </c>
    </row>
    <row r="55" customFormat="false" ht="15" hidden="false" customHeight="false" outlineLevel="0" collapsed="false">
      <c r="A55" s="10" t="s">
        <v>94</v>
      </c>
      <c r="B55" s="10" t="s">
        <v>92</v>
      </c>
      <c r="C55" s="10" t="n">
        <f aca="false">COUNTIFS(Pipeline!$B$2:$B$2090,$A55,Pipeline!$P$2:$P$2090,"A")</f>
        <v>11</v>
      </c>
      <c r="D55" s="10" t="n">
        <f aca="false">COUNTIFS(Pipeline!$B$2:$B$2090,$A55,Pipeline!$P$2:$P$2090,"B")</f>
        <v>9</v>
      </c>
      <c r="E55" s="10" t="n">
        <f aca="false">COUNTIFS(Pipeline!$B$2:$B$2090,$A55,Pipeline!$P$2:$P$2090,"C")</f>
        <v>4</v>
      </c>
      <c r="F55" s="10" t="n">
        <f aca="false">COUNTIFS(Pipeline!$B$2:$B$2090,$A55,Pipeline!$P$2:$P$2090,"D")</f>
        <v>1</v>
      </c>
      <c r="G55" s="10" t="n">
        <f aca="false">COUNTIFS(Pipeline!$B$2:$B$2090,$A55,Pipeline!$P$2:$P$2090,"R")</f>
        <v>65</v>
      </c>
      <c r="H55" s="2" t="n">
        <f aca="false">SUM(C55:G55)</f>
        <v>90</v>
      </c>
      <c r="I55" s="8" t="n">
        <f aca="false">SUMIFS(Pipeline!$I$2:$I$2090,Pipeline!$B$2:$B$2090,$A55,Pipeline!$P$2:$P$2090,"A")+SUMIFS(Pipeline!$I$2:$I$2090,Pipeline!$B$2:$B$2090,$A55,Pipeline!$P$2:$P$2090,"B")</f>
        <v>61487</v>
      </c>
    </row>
    <row r="56" customFormat="false" ht="15" hidden="false" customHeight="false" outlineLevel="0" collapsed="false">
      <c r="A56" s="10" t="s">
        <v>95</v>
      </c>
      <c r="B56" s="10" t="s">
        <v>92</v>
      </c>
      <c r="C56" s="10" t="n">
        <f aca="false">COUNTIFS(Pipeline!$B$2:$B$2090,$A56,Pipeline!$P$2:$P$2090,"A")</f>
        <v>6</v>
      </c>
      <c r="D56" s="10" t="n">
        <f aca="false">COUNTIFS(Pipeline!$B$2:$B$2090,$A56,Pipeline!$P$2:$P$2090,"B")</f>
        <v>11</v>
      </c>
      <c r="E56" s="10" t="n">
        <f aca="false">COUNTIFS(Pipeline!$B$2:$B$2090,$A56,Pipeline!$P$2:$P$2090,"C")</f>
        <v>4</v>
      </c>
      <c r="F56" s="10" t="n">
        <f aca="false">COUNTIFS(Pipeline!$B$2:$B$2090,$A56,Pipeline!$P$2:$P$2090,"D")</f>
        <v>0</v>
      </c>
      <c r="G56" s="10" t="n">
        <f aca="false">COUNTIFS(Pipeline!$B$2:$B$2090,$A56,Pipeline!$P$2:$P$2090,"R")</f>
        <v>82</v>
      </c>
      <c r="H56" s="2" t="n">
        <f aca="false">SUM(C56:G56)</f>
        <v>103</v>
      </c>
      <c r="I56" s="8" t="n">
        <f aca="false">SUMIFS(Pipeline!$I$2:$I$2090,Pipeline!$B$2:$B$2090,$A56,Pipeline!$P$2:$P$2090,"A")+SUMIFS(Pipeline!$I$2:$I$2090,Pipeline!$B$2:$B$2090,$A56,Pipeline!$P$2:$P$2090,"B")</f>
        <v>45050</v>
      </c>
    </row>
    <row r="57" customFormat="false" ht="15" hidden="false" customHeight="false" outlineLevel="0" collapsed="false">
      <c r="A57" s="10" t="s">
        <v>96</v>
      </c>
      <c r="B57" s="10" t="s">
        <v>92</v>
      </c>
      <c r="C57" s="10" t="n">
        <f aca="false">COUNTIFS(Pipeline!$B$2:$B$2090,$A57,Pipeline!$P$2:$P$2090,"A")</f>
        <v>6</v>
      </c>
      <c r="D57" s="10" t="n">
        <f aca="false">COUNTIFS(Pipeline!$B$2:$B$2090,$A57,Pipeline!$P$2:$P$2090,"B")</f>
        <v>10</v>
      </c>
      <c r="E57" s="10" t="n">
        <f aca="false">COUNTIFS(Pipeline!$B$2:$B$2090,$A57,Pipeline!$P$2:$P$2090,"C")</f>
        <v>2</v>
      </c>
      <c r="F57" s="10" t="n">
        <f aca="false">COUNTIFS(Pipeline!$B$2:$B$2090,$A57,Pipeline!$P$2:$P$2090,"D")</f>
        <v>0</v>
      </c>
      <c r="G57" s="10" t="n">
        <f aca="false">COUNTIFS(Pipeline!$B$2:$B$2090,$A57,Pipeline!$P$2:$P$2090,"R")</f>
        <v>54</v>
      </c>
      <c r="H57" s="2" t="n">
        <f aca="false">SUM(C57:G57)</f>
        <v>72</v>
      </c>
      <c r="I57" s="8" t="n">
        <f aca="false">SUMIFS(Pipeline!$I$2:$I$2090,Pipeline!$B$2:$B$2090,$A57,Pipeline!$P$2:$P$2090,"A")+SUMIFS(Pipeline!$I$2:$I$2090,Pipeline!$B$2:$B$2090,$A57,Pipeline!$P$2:$P$2090,"B")</f>
        <v>40218</v>
      </c>
    </row>
    <row r="58" customFormat="false" ht="15" hidden="false" customHeight="false" outlineLevel="0" collapsed="false">
      <c r="A58" s="10" t="s">
        <v>97</v>
      </c>
      <c r="B58" s="10" t="s">
        <v>92</v>
      </c>
      <c r="C58" s="10" t="n">
        <f aca="false">COUNTIFS(Pipeline!$B$2:$B$2090,$A58,Pipeline!$P$2:$P$2090,"A")</f>
        <v>11</v>
      </c>
      <c r="D58" s="10" t="n">
        <f aca="false">COUNTIFS(Pipeline!$B$2:$B$2090,$A58,Pipeline!$P$2:$P$2090,"B")</f>
        <v>12</v>
      </c>
      <c r="E58" s="10" t="n">
        <f aca="false">COUNTIFS(Pipeline!$B$2:$B$2090,$A58,Pipeline!$P$2:$P$2090,"C")</f>
        <v>7</v>
      </c>
      <c r="F58" s="10" t="n">
        <f aca="false">COUNTIFS(Pipeline!$B$2:$B$2090,$A58,Pipeline!$P$2:$P$2090,"D")</f>
        <v>1</v>
      </c>
      <c r="G58" s="10" t="n">
        <f aca="false">COUNTIFS(Pipeline!$B$2:$B$2090,$A58,Pipeline!$P$2:$P$2090,"R")</f>
        <v>57</v>
      </c>
      <c r="H58" s="2" t="n">
        <f aca="false">SUM(C58:G58)</f>
        <v>88</v>
      </c>
      <c r="I58" s="8" t="n">
        <f aca="false">SUMIFS(Pipeline!$I$2:$I$2090,Pipeline!$B$2:$B$2090,$A58,Pipeline!$P$2:$P$2090,"A")+SUMIFS(Pipeline!$I$2:$I$2090,Pipeline!$B$2:$B$2090,$A58,Pipeline!$P$2:$P$2090,"B")</f>
        <v>62916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8"/>
    <col collapsed="false" customWidth="true" hidden="false" outlineLevel="0" max="3" min="3" style="0" width="22"/>
    <col collapsed="false" customWidth="true" hidden="false" outlineLevel="0" max="4" min="4" style="0" width="40"/>
    <col collapsed="false" customWidth="true" hidden="false" outlineLevel="0" max="5" min="5" style="0" width="20"/>
    <col collapsed="false" customWidth="true" hidden="false" outlineLevel="0" max="6" min="6" style="0" width="40"/>
  </cols>
  <sheetData>
    <row r="1" customFormat="false" ht="17.35" hidden="false" customHeight="false" outlineLevel="0" collapsed="false">
      <c r="A1" s="1" t="s">
        <v>98</v>
      </c>
    </row>
    <row r="2" customFormat="false" ht="15" hidden="false" customHeight="false" outlineLevel="0" collapsed="false">
      <c r="A2" s="5" t="s">
        <v>99</v>
      </c>
    </row>
    <row r="4" customFormat="false" ht="15" hidden="false" customHeight="false" outlineLevel="0" collapsed="false">
      <c r="A4" s="18" t="s">
        <v>100</v>
      </c>
      <c r="B4" s="19"/>
      <c r="C4" s="19"/>
    </row>
    <row r="5" customFormat="false" ht="15" hidden="false" customHeight="false" outlineLevel="0" collapsed="false">
      <c r="A5" s="10" t="s">
        <v>101</v>
      </c>
      <c r="B5" s="20" t="n">
        <v>43100</v>
      </c>
    </row>
    <row r="6" customFormat="false" ht="15" hidden="false" customHeight="false" outlineLevel="0" collapsed="false">
      <c r="A6" s="10" t="s">
        <v>102</v>
      </c>
      <c r="B6" s="21" t="n">
        <v>138</v>
      </c>
    </row>
    <row r="7" customFormat="false" ht="15" hidden="false" customHeight="false" outlineLevel="0" collapsed="false">
      <c r="A7" s="10" t="s">
        <v>103</v>
      </c>
      <c r="B7" s="22" t="n">
        <f aca="false">MAX(Histórico!$H$2:$H$6712)</f>
        <v>138</v>
      </c>
    </row>
    <row r="8" customFormat="false" ht="15" hidden="false" customHeight="false" outlineLevel="0" collapsed="false">
      <c r="A8" s="10" t="s">
        <v>104</v>
      </c>
      <c r="B8" s="21" t="n">
        <v>60</v>
      </c>
    </row>
    <row r="9" customFormat="false" ht="15" hidden="false" customHeight="false" outlineLevel="0" collapsed="false">
      <c r="A9" s="10" t="s">
        <v>105</v>
      </c>
      <c r="B9" s="21" t="n">
        <v>10</v>
      </c>
    </row>
    <row r="11" customFormat="false" ht="15" hidden="false" customHeight="false" outlineLevel="0" collapsed="false">
      <c r="A11" s="18" t="s">
        <v>106</v>
      </c>
      <c r="B11" s="19"/>
      <c r="C11" s="19"/>
      <c r="D11" s="19"/>
    </row>
    <row r="12" customFormat="false" ht="15" hidden="false" customHeight="false" outlineLevel="0" collapsed="false">
      <c r="A12" s="6" t="s">
        <v>45</v>
      </c>
      <c r="B12" s="6" t="s">
        <v>107</v>
      </c>
      <c r="C12" s="6" t="s">
        <v>108</v>
      </c>
      <c r="D12" s="6" t="s">
        <v>109</v>
      </c>
    </row>
    <row r="13" customFormat="false" ht="15" hidden="false" customHeight="false" outlineLevel="0" collapsed="false">
      <c r="A13" s="10" t="s">
        <v>52</v>
      </c>
      <c r="B13" s="10" t="s">
        <v>110</v>
      </c>
      <c r="C13" s="23" t="n">
        <v>55</v>
      </c>
      <c r="D13" s="10" t="n">
        <f aca="false">ROUND($B$8*(LN(C13)-LN(MIN($C$13:$C$19)))/(LN(MAX($C$13:$C$19))-LN(MIN($C$13:$C$19))),0)</f>
        <v>0</v>
      </c>
    </row>
    <row r="14" customFormat="false" ht="15" hidden="false" customHeight="false" outlineLevel="0" collapsed="false">
      <c r="A14" s="10" t="s">
        <v>51</v>
      </c>
      <c r="B14" s="10" t="s">
        <v>111</v>
      </c>
      <c r="C14" s="23" t="n">
        <v>550</v>
      </c>
      <c r="D14" s="10" t="n">
        <f aca="false">ROUND($B$8*(LN(C14)-LN(MIN($C$13:$C$19)))/(LN(MAX($C$13:$C$19))-LN(MIN($C$13:$C$19))),0)</f>
        <v>22</v>
      </c>
    </row>
    <row r="15" customFormat="false" ht="15" hidden="false" customHeight="false" outlineLevel="0" collapsed="false">
      <c r="A15" s="10" t="s">
        <v>50</v>
      </c>
      <c r="B15" s="10" t="s">
        <v>111</v>
      </c>
      <c r="C15" s="23" t="n">
        <v>1096</v>
      </c>
      <c r="D15" s="10" t="n">
        <f aca="false">ROUND($B$8*(LN(C15)-LN(MIN($C$13:$C$19)))/(LN(MAX($C$13:$C$19))-LN(MIN($C$13:$C$19))),0)</f>
        <v>29</v>
      </c>
    </row>
    <row r="16" customFormat="false" ht="15" hidden="false" customHeight="false" outlineLevel="0" collapsed="false">
      <c r="A16" s="10" t="s">
        <v>49</v>
      </c>
      <c r="B16" s="10" t="s">
        <v>110</v>
      </c>
      <c r="C16" s="23" t="n">
        <v>3393</v>
      </c>
      <c r="D16" s="10" t="n">
        <f aca="false">ROUND($B$8*(LN(C16)-LN(MIN($C$13:$C$19)))/(LN(MAX($C$13:$C$19))-LN(MIN($C$13:$C$19))),0)</f>
        <v>40</v>
      </c>
    </row>
    <row r="17" customFormat="false" ht="15" hidden="false" customHeight="false" outlineLevel="0" collapsed="false">
      <c r="A17" s="10" t="s">
        <v>48</v>
      </c>
      <c r="B17" s="10" t="s">
        <v>111</v>
      </c>
      <c r="C17" s="23" t="n">
        <v>4821</v>
      </c>
      <c r="D17" s="10" t="n">
        <f aca="false">ROUND($B$8*(LN(C17)-LN(MIN($C$13:$C$19)))/(LN(MAX($C$13:$C$19))-LN(MIN($C$13:$C$19))),0)</f>
        <v>43</v>
      </c>
    </row>
    <row r="18" customFormat="false" ht="15" hidden="false" customHeight="false" outlineLevel="0" collapsed="false">
      <c r="A18" s="10" t="s">
        <v>47</v>
      </c>
      <c r="B18" s="10" t="s">
        <v>111</v>
      </c>
      <c r="C18" s="23" t="n">
        <v>5482</v>
      </c>
      <c r="D18" s="10" t="n">
        <f aca="false">ROUND($B$8*(LN(C18)-LN(MIN($C$13:$C$19)))/(LN(MAX($C$13:$C$19))-LN(MIN($C$13:$C$19))),0)</f>
        <v>45</v>
      </c>
    </row>
    <row r="19" customFormat="false" ht="15" hidden="false" customHeight="false" outlineLevel="0" collapsed="false">
      <c r="A19" s="10" t="s">
        <v>46</v>
      </c>
      <c r="B19" s="10" t="s">
        <v>112</v>
      </c>
      <c r="C19" s="23" t="n">
        <v>26768</v>
      </c>
      <c r="D19" s="10" t="n">
        <f aca="false">ROUND($B$8*(LN(C19)-LN(MIN($C$13:$C$19)))/(LN(MAX($C$13:$C$19))-LN(MIN($C$13:$C$19))),0)</f>
        <v>60</v>
      </c>
    </row>
    <row r="20" customFormat="false" ht="15" hidden="false" customHeight="false" outlineLevel="0" collapsed="false">
      <c r="A20" s="5" t="s">
        <v>113</v>
      </c>
    </row>
    <row r="22" customFormat="false" ht="15" hidden="false" customHeight="false" outlineLevel="0" collapsed="false">
      <c r="A22" s="18" t="s">
        <v>114</v>
      </c>
      <c r="B22" s="19"/>
      <c r="C22" s="19"/>
      <c r="D22" s="19"/>
      <c r="E22" s="19"/>
      <c r="F22" s="19"/>
    </row>
    <row r="23" customFormat="false" ht="15" hidden="false" customHeight="false" outlineLevel="0" collapsed="false">
      <c r="A23" s="6" t="s">
        <v>115</v>
      </c>
      <c r="B23" s="6" t="s">
        <v>116</v>
      </c>
      <c r="C23" s="6" t="s">
        <v>117</v>
      </c>
      <c r="D23" s="6" t="s">
        <v>118</v>
      </c>
      <c r="E23" s="6" t="s">
        <v>119</v>
      </c>
      <c r="F23" s="6" t="s">
        <v>120</v>
      </c>
    </row>
    <row r="24" customFormat="false" ht="15" hidden="false" customHeight="false" outlineLevel="0" collapsed="false">
      <c r="A24" s="21" t="n">
        <v>0</v>
      </c>
      <c r="B24" s="10" t="n">
        <f aca="false">A25-1</f>
        <v>14</v>
      </c>
      <c r="C24" s="21" t="n">
        <v>20</v>
      </c>
      <c r="D24" s="24" t="n">
        <f aca="false">IFERROR(COUNTIFS(Histórico!$H$2:$H$6712,"&gt;="&amp;A24,Histórico!$H$2:$H$6712,"&lt;="&amp;B24,Histórico!$I$2:$I$6712,1)/COUNTIFS(Histórico!$H$2:$H$6712,"&gt;="&amp;A24,Histórico!$H$2:$H$6712,"&lt;="&amp;B24),0)</f>
        <v>0.55488239486814</v>
      </c>
      <c r="E24" s="25" t="n">
        <f aca="false">COUNTIFS(Histórico!$H$2:$H$6712,"&gt;="&amp;A24,Histórico!$H$2:$H$6712,"&lt;="&amp;B24)</f>
        <v>2806</v>
      </c>
      <c r="F24" s="10" t="s">
        <v>121</v>
      </c>
    </row>
    <row r="25" customFormat="false" ht="15" hidden="false" customHeight="false" outlineLevel="0" collapsed="false">
      <c r="A25" s="21" t="n">
        <v>15</v>
      </c>
      <c r="B25" s="10" t="n">
        <f aca="false">A26-1</f>
        <v>90</v>
      </c>
      <c r="C25" s="21" t="n">
        <v>32</v>
      </c>
      <c r="D25" s="24" t="n">
        <f aca="false">IFERROR(COUNTIFS(Histórico!$H$2:$H$6712,"&gt;="&amp;A25,Histórico!$H$2:$H$6712,"&lt;="&amp;B25,Histórico!$I$2:$I$6712,1)/COUNTIFS(Histórico!$H$2:$H$6712,"&gt;="&amp;A25,Histórico!$H$2:$H$6712,"&lt;="&amp;B25),0)</f>
        <v>0.673341185708677</v>
      </c>
      <c r="E25" s="25" t="n">
        <f aca="false">COUNTIFS(Histórico!$H$2:$H$6712,"&gt;="&amp;A25,Histórico!$H$2:$H$6712,"&lt;="&amp;B25)</f>
        <v>2547</v>
      </c>
      <c r="F25" s="10" t="s">
        <v>122</v>
      </c>
    </row>
    <row r="26" customFormat="false" ht="15" hidden="false" customHeight="false" outlineLevel="0" collapsed="false">
      <c r="A26" s="21" t="n">
        <v>91</v>
      </c>
      <c r="B26" s="26" t="n">
        <f aca="false">$B$6</f>
        <v>138</v>
      </c>
      <c r="C26" s="21" t="n">
        <v>40</v>
      </c>
      <c r="D26" s="24" t="n">
        <f aca="false">IFERROR(COUNTIFS(Histórico!$H$2:$H$6712,"&gt;="&amp;A26,Histórico!$H$2:$H$6712,"&lt;="&amp;B26,Histórico!$I$2:$I$6712,1)/COUNTIFS(Histórico!$H$2:$H$6712,"&gt;="&amp;A26,Histórico!$H$2:$H$6712,"&lt;="&amp;B26),0)</f>
        <v>0.711340206185567</v>
      </c>
      <c r="E26" s="25" t="n">
        <f aca="false">COUNTIFS(Histórico!$H$2:$H$6712,"&gt;="&amp;A26,Histórico!$H$2:$H$6712,"&lt;="&amp;B26)</f>
        <v>1358</v>
      </c>
      <c r="F26" s="10" t="s">
        <v>123</v>
      </c>
    </row>
    <row r="27" customFormat="false" ht="15" hidden="false" customHeight="false" outlineLevel="0" collapsed="false">
      <c r="A27" s="10" t="n">
        <f aca="false">$B$6+1</f>
        <v>139</v>
      </c>
      <c r="B27" s="10" t="s">
        <v>124</v>
      </c>
      <c r="C27" s="10" t="n">
        <v>0</v>
      </c>
      <c r="D27" s="27" t="s">
        <v>125</v>
      </c>
      <c r="E27" s="27" t="s">
        <v>125</v>
      </c>
      <c r="F27" s="10" t="s">
        <v>126</v>
      </c>
    </row>
    <row r="28" customFormat="false" ht="15" hidden="false" customHeight="false" outlineLevel="0" collapsed="false">
      <c r="A28" s="28" t="s">
        <v>127</v>
      </c>
      <c r="C28" s="28" t="s">
        <v>128</v>
      </c>
      <c r="D28" s="24" t="n">
        <f aca="false">AVERAGE(Histórico!$I$2:$I$6712)</f>
        <v>0.631500521531814</v>
      </c>
    </row>
    <row r="30" customFormat="false" ht="15" hidden="false" customHeight="false" outlineLevel="0" collapsed="false">
      <c r="A30" s="18" t="s">
        <v>129</v>
      </c>
      <c r="B30" s="19"/>
      <c r="C30" s="19"/>
      <c r="D30" s="19"/>
    </row>
    <row r="31" customFormat="false" ht="15" hidden="false" customHeight="false" outlineLevel="0" collapsed="false">
      <c r="A31" s="6" t="s">
        <v>115</v>
      </c>
      <c r="B31" s="6" t="s">
        <v>116</v>
      </c>
      <c r="C31" s="6" t="s">
        <v>9</v>
      </c>
      <c r="D31" s="6" t="s">
        <v>130</v>
      </c>
    </row>
    <row r="32" customFormat="false" ht="15" hidden="false" customHeight="false" outlineLevel="0" collapsed="false">
      <c r="A32" s="10" t="n">
        <v>0</v>
      </c>
      <c r="B32" s="26" t="n">
        <f aca="false">$B$6</f>
        <v>138</v>
      </c>
      <c r="C32" s="10" t="n">
        <v>1</v>
      </c>
      <c r="D32" s="10" t="s">
        <v>131</v>
      </c>
    </row>
    <row r="33" customFormat="false" ht="15" hidden="false" customHeight="false" outlineLevel="0" collapsed="false">
      <c r="A33" s="10" t="n">
        <f aca="false">$B$6+1</f>
        <v>139</v>
      </c>
      <c r="B33" s="10" t="n">
        <f aca="false">A34-1</f>
        <v>180</v>
      </c>
      <c r="C33" s="29" t="n">
        <v>0.6</v>
      </c>
      <c r="D33" s="10" t="s">
        <v>132</v>
      </c>
    </row>
    <row r="34" customFormat="false" ht="15" hidden="false" customHeight="false" outlineLevel="0" collapsed="false">
      <c r="A34" s="21" t="n">
        <v>181</v>
      </c>
      <c r="B34" s="10" t="n">
        <f aca="false">A35-1</f>
        <v>270</v>
      </c>
      <c r="C34" s="29" t="n">
        <v>0.4</v>
      </c>
      <c r="D34" s="10" t="s">
        <v>133</v>
      </c>
    </row>
    <row r="35" customFormat="false" ht="15" hidden="false" customHeight="false" outlineLevel="0" collapsed="false">
      <c r="A35" s="21" t="n">
        <v>271</v>
      </c>
      <c r="B35" s="10" t="s">
        <v>124</v>
      </c>
      <c r="C35" s="29" t="n">
        <v>0.25</v>
      </c>
      <c r="D35" s="10" t="s">
        <v>134</v>
      </c>
    </row>
    <row r="37" customFormat="false" ht="15" hidden="false" customHeight="false" outlineLevel="0" collapsed="false">
      <c r="A37" s="18" t="s">
        <v>135</v>
      </c>
      <c r="B37" s="19"/>
      <c r="C37" s="19"/>
      <c r="D37" s="19"/>
    </row>
    <row r="38" customFormat="false" ht="15" hidden="false" customHeight="false" outlineLevel="0" collapsed="false">
      <c r="A38" s="6" t="s">
        <v>31</v>
      </c>
      <c r="B38" s="6" t="s">
        <v>136</v>
      </c>
      <c r="C38" s="6" t="s">
        <v>137</v>
      </c>
      <c r="D38" s="6" t="s">
        <v>37</v>
      </c>
    </row>
    <row r="39" customFormat="false" ht="15" hidden="false" customHeight="false" outlineLevel="0" collapsed="false">
      <c r="A39" s="2" t="s">
        <v>38</v>
      </c>
      <c r="B39" s="21" t="n">
        <v>75</v>
      </c>
      <c r="C39" s="10" t="s">
        <v>138</v>
      </c>
      <c r="D39" s="10" t="s">
        <v>139</v>
      </c>
    </row>
    <row r="40" customFormat="false" ht="15" hidden="false" customHeight="false" outlineLevel="0" collapsed="false">
      <c r="A40" s="2" t="s">
        <v>39</v>
      </c>
      <c r="B40" s="21" t="n">
        <v>55</v>
      </c>
      <c r="C40" s="10" t="s">
        <v>140</v>
      </c>
      <c r="D40" s="10" t="s">
        <v>141</v>
      </c>
    </row>
    <row r="41" customFormat="false" ht="15" hidden="false" customHeight="false" outlineLevel="0" collapsed="false">
      <c r="A41" s="2" t="s">
        <v>40</v>
      </c>
      <c r="B41" s="21" t="n">
        <v>35</v>
      </c>
      <c r="C41" s="10" t="s">
        <v>142</v>
      </c>
      <c r="D41" s="10" t="s">
        <v>143</v>
      </c>
    </row>
    <row r="42" customFormat="false" ht="15" hidden="false" customHeight="false" outlineLevel="0" collapsed="false">
      <c r="A42" s="2" t="s">
        <v>41</v>
      </c>
      <c r="B42" s="10" t="n">
        <v>0</v>
      </c>
      <c r="C42" s="10" t="s">
        <v>144</v>
      </c>
      <c r="D42" s="10" t="s">
        <v>145</v>
      </c>
    </row>
    <row r="43" customFormat="false" ht="15" hidden="false" customHeight="false" outlineLevel="0" collapsed="false">
      <c r="A43" s="2" t="s">
        <v>42</v>
      </c>
      <c r="B43" s="10" t="s">
        <v>125</v>
      </c>
      <c r="C43" s="10" t="s">
        <v>146</v>
      </c>
      <c r="D43" s="10" t="s">
        <v>147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09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9"/>
    <col collapsed="false" customWidth="true" hidden="false" outlineLevel="0" max="3" min="3" style="0" width="17"/>
    <col collapsed="false" customWidth="true" hidden="false" outlineLevel="0" max="4" min="4" style="0" width="9"/>
    <col collapsed="false" customWidth="true" hidden="false" outlineLevel="0" max="5" min="5" style="0" width="14"/>
    <col collapsed="false" customWidth="true" hidden="false" outlineLevel="0" max="6" min="6" style="0" width="22"/>
    <col collapsed="false" customWidth="true" hidden="false" outlineLevel="0" max="7" min="7" style="0" width="12"/>
    <col collapsed="false" customWidth="true" hidden="false" outlineLevel="0" max="8" min="8" style="0" width="13"/>
    <col collapsed="false" customWidth="true" hidden="false" outlineLevel="0" max="9" min="9" style="0" width="12"/>
    <col collapsed="false" customWidth="true" hidden="false" outlineLevel="0" max="10" min="10" style="0" width="11"/>
    <col collapsed="false" customWidth="true" hidden="false" outlineLevel="0" max="12" min="11" style="0" width="9"/>
    <col collapsed="false" customWidth="true" hidden="false" outlineLevel="0" max="13" min="13" style="0" width="11"/>
    <col collapsed="false" customWidth="true" hidden="false" outlineLevel="0" max="14" min="14" style="0" width="8"/>
    <col collapsed="false" customWidth="true" hidden="false" outlineLevel="0" max="15" min="15" style="0" width="9"/>
    <col collapsed="false" customWidth="true" hidden="false" outlineLevel="0" max="16" min="16" style="0" width="7"/>
    <col collapsed="false" customWidth="true" hidden="false" outlineLevel="0" max="17" min="17" style="0" width="18"/>
    <col collapsed="false" customWidth="true" hidden="false" outlineLevel="0" max="18" min="18" style="0" width="44"/>
  </cols>
  <sheetData>
    <row r="1" customFormat="false" ht="31.5" hidden="false" customHeight="true" outlineLevel="0" collapsed="false">
      <c r="A1" s="6" t="s">
        <v>148</v>
      </c>
      <c r="B1" s="6" t="s">
        <v>54</v>
      </c>
      <c r="C1" s="6" t="s">
        <v>55</v>
      </c>
      <c r="D1" s="6" t="s">
        <v>149</v>
      </c>
      <c r="E1" s="6" t="s">
        <v>45</v>
      </c>
      <c r="F1" s="6" t="s">
        <v>150</v>
      </c>
      <c r="G1" s="6" t="s">
        <v>151</v>
      </c>
      <c r="H1" s="6" t="s">
        <v>152</v>
      </c>
      <c r="I1" s="6" t="s">
        <v>108</v>
      </c>
      <c r="J1" s="6" t="s">
        <v>153</v>
      </c>
      <c r="K1" s="6" t="s">
        <v>154</v>
      </c>
      <c r="L1" s="6" t="s">
        <v>155</v>
      </c>
      <c r="M1" s="6" t="s">
        <v>9</v>
      </c>
      <c r="N1" s="6" t="s">
        <v>156</v>
      </c>
      <c r="O1" s="6" t="s">
        <v>157</v>
      </c>
      <c r="P1" s="6" t="s">
        <v>31</v>
      </c>
      <c r="Q1" s="6" t="s">
        <v>158</v>
      </c>
      <c r="R1" s="6" t="s">
        <v>37</v>
      </c>
    </row>
    <row r="2" customFormat="false" ht="15" hidden="false" customHeight="false" outlineLevel="0" collapsed="false">
      <c r="A2" s="10" t="s">
        <v>159</v>
      </c>
      <c r="B2" s="10" t="s">
        <v>69</v>
      </c>
      <c r="C2" s="10" t="s">
        <v>65</v>
      </c>
      <c r="D2" s="10" t="s">
        <v>160</v>
      </c>
      <c r="E2" s="10" t="s">
        <v>46</v>
      </c>
      <c r="F2" s="10" t="s">
        <v>161</v>
      </c>
      <c r="G2" s="10" t="s">
        <v>162</v>
      </c>
      <c r="H2" s="30" t="n">
        <v>43005</v>
      </c>
      <c r="I2" s="8" t="n">
        <f aca="false">INDEX(Parâmetros!$C$13:$C$19,MATCH(E2,Parâmetros!$A$13:$A$19,0))</f>
        <v>26768</v>
      </c>
      <c r="J2" s="26" t="n">
        <f aca="false">IF(H2="","",Parâmetros!$B$5-H2)</f>
        <v>95</v>
      </c>
      <c r="K2" s="10" t="n">
        <f aca="false">INDEX(Parâmetros!$D$13:$D$19,MATCH(E2,Parâmetros!$A$13:$A$19,0))</f>
        <v>60</v>
      </c>
      <c r="L2" s="26" t="n">
        <f aca="false">IF(G2="Prospecting",Parâmetros!$B$9,IF(J2&gt;Parâmetros!$B$6,0,INDEX(Parâmetros!$C$24:$C$26,MATCH(J2,Parâmetros!$A$24:$A$26,1))))</f>
        <v>40</v>
      </c>
      <c r="M2" s="31" t="n">
        <f aca="false">IF(G2="Prospecting",1,INDEX(Parâmetros!$C$32:$C$35,MATCH(J2,Parâmetros!$A$32:$A$35,1)))</f>
        <v>1</v>
      </c>
      <c r="N2" s="2" t="n">
        <f aca="false">ROUND((K2+L2)*M2,0)</f>
        <v>100</v>
      </c>
      <c r="O2" s="10" t="str">
        <f aca="false">IF(AND(G2="Engaging",J2&gt;Parâmetros!$B$6),"Sim","Não")</f>
        <v>Não</v>
      </c>
      <c r="P2" s="32" t="str">
        <f aca="false">IF(O2="Sim","R",IF(N2&gt;=Parâmetros!$B$39,"A",IF(N2&gt;=Parâmetros!$B$40,"B",IF(N2&gt;=Parâmetros!$B$41,"C","D"))))</f>
        <v>A</v>
      </c>
      <c r="Q2" s="10" t="str">
        <f aca="false">IF(F2="","Completar cadastro","")</f>
        <v/>
      </c>
      <c r="R2" s="10" t="str">
        <f aca="false">INDEX(Parâmetros!$D$39:$D$43,MATCH(P2,Parâmetros!$A$39:$A$43,0))</f>
        <v>Prioridade máxima: próximo passo em até 48h</v>
      </c>
    </row>
    <row r="3" customFormat="false" ht="15" hidden="false" customHeight="false" outlineLevel="0" collapsed="false">
      <c r="A3" s="10" t="s">
        <v>163</v>
      </c>
      <c r="B3" s="10" t="s">
        <v>68</v>
      </c>
      <c r="C3" s="10" t="s">
        <v>65</v>
      </c>
      <c r="D3" s="10" t="s">
        <v>160</v>
      </c>
      <c r="E3" s="10" t="s">
        <v>47</v>
      </c>
      <c r="F3" s="10"/>
      <c r="G3" s="10" t="s">
        <v>162</v>
      </c>
      <c r="H3" s="30" t="n">
        <v>42962</v>
      </c>
      <c r="I3" s="8" t="n">
        <f aca="false">INDEX(Parâmetros!$C$13:$C$19,MATCH(E3,Parâmetros!$A$13:$A$19,0))</f>
        <v>5482</v>
      </c>
      <c r="J3" s="26" t="n">
        <f aca="false">IF(H3="","",Parâmetros!$B$5-H3)</f>
        <v>138</v>
      </c>
      <c r="K3" s="10" t="n">
        <f aca="false">INDEX(Parâmetros!$D$13:$D$19,MATCH(E3,Parâmetros!$A$13:$A$19,0))</f>
        <v>45</v>
      </c>
      <c r="L3" s="26" t="n">
        <f aca="false">IF(G3="Prospecting",Parâmetros!$B$9,IF(J3&gt;Parâmetros!$B$6,0,INDEX(Parâmetros!$C$24:$C$26,MATCH(J3,Parâmetros!$A$24:$A$26,1))))</f>
        <v>40</v>
      </c>
      <c r="M3" s="31" t="n">
        <f aca="false">IF(G3="Prospecting",1,INDEX(Parâmetros!$C$32:$C$35,MATCH(J3,Parâmetros!$A$32:$A$35,1)))</f>
        <v>1</v>
      </c>
      <c r="N3" s="2" t="n">
        <f aca="false">ROUND((K3+L3)*M3,0)</f>
        <v>85</v>
      </c>
      <c r="O3" s="10" t="str">
        <f aca="false">IF(AND(G3="Engaging",J3&gt;Parâmetros!$B$6),"Sim","Não")</f>
        <v>Não</v>
      </c>
      <c r="P3" s="32" t="str">
        <f aca="false">IF(O3="Sim","R",IF(N3&gt;=Parâmetros!$B$39,"A",IF(N3&gt;=Parâmetros!$B$40,"B",IF(N3&gt;=Parâmetros!$B$41,"C","D"))))</f>
        <v>A</v>
      </c>
      <c r="Q3" s="10" t="str">
        <f aca="false">IF(F3="","Completar cadastro","")</f>
        <v>Completar cadastro</v>
      </c>
      <c r="R3" s="10" t="str">
        <f aca="false">INDEX(Parâmetros!$D$39:$D$43,MATCH(P3,Parâmetros!$A$39:$A$43,0))</f>
        <v>Prioridade máxima: próximo passo em até 48h</v>
      </c>
    </row>
    <row r="4" customFormat="false" ht="15" hidden="false" customHeight="false" outlineLevel="0" collapsed="false">
      <c r="A4" s="10" t="s">
        <v>164</v>
      </c>
      <c r="B4" s="10" t="s">
        <v>87</v>
      </c>
      <c r="C4" s="10" t="s">
        <v>85</v>
      </c>
      <c r="D4" s="10" t="s">
        <v>165</v>
      </c>
      <c r="E4" s="10" t="s">
        <v>47</v>
      </c>
      <c r="F4" s="10"/>
      <c r="G4" s="10" t="s">
        <v>162</v>
      </c>
      <c r="H4" s="30" t="n">
        <v>42971</v>
      </c>
      <c r="I4" s="8" t="n">
        <f aca="false">INDEX(Parâmetros!$C$13:$C$19,MATCH(E4,Parâmetros!$A$13:$A$19,0))</f>
        <v>5482</v>
      </c>
      <c r="J4" s="26" t="n">
        <f aca="false">IF(H4="","",Parâmetros!$B$5-H4)</f>
        <v>129</v>
      </c>
      <c r="K4" s="10" t="n">
        <f aca="false">INDEX(Parâmetros!$D$13:$D$19,MATCH(E4,Parâmetros!$A$13:$A$19,0))</f>
        <v>45</v>
      </c>
      <c r="L4" s="26" t="n">
        <f aca="false">IF(G4="Prospecting",Parâmetros!$B$9,IF(J4&gt;Parâmetros!$B$6,0,INDEX(Parâmetros!$C$24:$C$26,MATCH(J4,Parâmetros!$A$24:$A$26,1))))</f>
        <v>40</v>
      </c>
      <c r="M4" s="31" t="n">
        <f aca="false">IF(G4="Prospecting",1,INDEX(Parâmetros!$C$32:$C$35,MATCH(J4,Parâmetros!$A$32:$A$35,1)))</f>
        <v>1</v>
      </c>
      <c r="N4" s="2" t="n">
        <f aca="false">ROUND((K4+L4)*M4,0)</f>
        <v>85</v>
      </c>
      <c r="O4" s="10" t="str">
        <f aca="false">IF(AND(G4="Engaging",J4&gt;Parâmetros!$B$6),"Sim","Não")</f>
        <v>Não</v>
      </c>
      <c r="P4" s="32" t="str">
        <f aca="false">IF(O4="Sim","R",IF(N4&gt;=Parâmetros!$B$39,"A",IF(N4&gt;=Parâmetros!$B$40,"B",IF(N4&gt;=Parâmetros!$B$41,"C","D"))))</f>
        <v>A</v>
      </c>
      <c r="Q4" s="10" t="str">
        <f aca="false">IF(F4="","Completar cadastro","")</f>
        <v>Completar cadastro</v>
      </c>
      <c r="R4" s="10" t="str">
        <f aca="false">INDEX(Parâmetros!$D$39:$D$43,MATCH(P4,Parâmetros!$A$39:$A$43,0))</f>
        <v>Prioridade máxima: próximo passo em até 48h</v>
      </c>
    </row>
    <row r="5" customFormat="false" ht="15" hidden="false" customHeight="false" outlineLevel="0" collapsed="false">
      <c r="A5" s="10" t="s">
        <v>166</v>
      </c>
      <c r="B5" s="10" t="s">
        <v>57</v>
      </c>
      <c r="C5" s="10" t="s">
        <v>58</v>
      </c>
      <c r="D5" s="10" t="s">
        <v>165</v>
      </c>
      <c r="E5" s="10" t="s">
        <v>47</v>
      </c>
      <c r="F5" s="10"/>
      <c r="G5" s="10" t="s">
        <v>162</v>
      </c>
      <c r="H5" s="30" t="n">
        <v>42972</v>
      </c>
      <c r="I5" s="8" t="n">
        <f aca="false">INDEX(Parâmetros!$C$13:$C$19,MATCH(E5,Parâmetros!$A$13:$A$19,0))</f>
        <v>5482</v>
      </c>
      <c r="J5" s="26" t="n">
        <f aca="false">IF(H5="","",Parâmetros!$B$5-H5)</f>
        <v>128</v>
      </c>
      <c r="K5" s="10" t="n">
        <f aca="false">INDEX(Parâmetros!$D$13:$D$19,MATCH(E5,Parâmetros!$A$13:$A$19,0))</f>
        <v>45</v>
      </c>
      <c r="L5" s="26" t="n">
        <f aca="false">IF(G5="Prospecting",Parâmetros!$B$9,IF(J5&gt;Parâmetros!$B$6,0,INDEX(Parâmetros!$C$24:$C$26,MATCH(J5,Parâmetros!$A$24:$A$26,1))))</f>
        <v>40</v>
      </c>
      <c r="M5" s="31" t="n">
        <f aca="false">IF(G5="Prospecting",1,INDEX(Parâmetros!$C$32:$C$35,MATCH(J5,Parâmetros!$A$32:$A$35,1)))</f>
        <v>1</v>
      </c>
      <c r="N5" s="2" t="n">
        <f aca="false">ROUND((K5+L5)*M5,0)</f>
        <v>85</v>
      </c>
      <c r="O5" s="10" t="str">
        <f aca="false">IF(AND(G5="Engaging",J5&gt;Parâmetros!$B$6),"Sim","Não")</f>
        <v>Não</v>
      </c>
      <c r="P5" s="32" t="str">
        <f aca="false">IF(O5="Sim","R",IF(N5&gt;=Parâmetros!$B$39,"A",IF(N5&gt;=Parâmetros!$B$40,"B",IF(N5&gt;=Parâmetros!$B$41,"C","D"))))</f>
        <v>A</v>
      </c>
      <c r="Q5" s="10" t="str">
        <f aca="false">IF(F5="","Completar cadastro","")</f>
        <v>Completar cadastro</v>
      </c>
      <c r="R5" s="10" t="str">
        <f aca="false">INDEX(Parâmetros!$D$39:$D$43,MATCH(P5,Parâmetros!$A$39:$A$43,0))</f>
        <v>Prioridade máxima: próximo passo em até 48h</v>
      </c>
    </row>
    <row r="6" customFormat="false" ht="15" hidden="false" customHeight="false" outlineLevel="0" collapsed="false">
      <c r="A6" s="10" t="s">
        <v>167</v>
      </c>
      <c r="B6" s="10" t="s">
        <v>94</v>
      </c>
      <c r="C6" s="10" t="s">
        <v>92</v>
      </c>
      <c r="D6" s="10" t="s">
        <v>160</v>
      </c>
      <c r="E6" s="10" t="s">
        <v>47</v>
      </c>
      <c r="F6" s="10" t="s">
        <v>168</v>
      </c>
      <c r="G6" s="10" t="s">
        <v>162</v>
      </c>
      <c r="H6" s="30" t="n">
        <v>42973</v>
      </c>
      <c r="I6" s="8" t="n">
        <f aca="false">INDEX(Parâmetros!$C$13:$C$19,MATCH(E6,Parâmetros!$A$13:$A$19,0))</f>
        <v>5482</v>
      </c>
      <c r="J6" s="26" t="n">
        <f aca="false">IF(H6="","",Parâmetros!$B$5-H6)</f>
        <v>127</v>
      </c>
      <c r="K6" s="10" t="n">
        <f aca="false">INDEX(Parâmetros!$D$13:$D$19,MATCH(E6,Parâmetros!$A$13:$A$19,0))</f>
        <v>45</v>
      </c>
      <c r="L6" s="26" t="n">
        <f aca="false">IF(G6="Prospecting",Parâmetros!$B$9,IF(J6&gt;Parâmetros!$B$6,0,INDEX(Parâmetros!$C$24:$C$26,MATCH(J6,Parâmetros!$A$24:$A$26,1))))</f>
        <v>40</v>
      </c>
      <c r="M6" s="31" t="n">
        <f aca="false">IF(G6="Prospecting",1,INDEX(Parâmetros!$C$32:$C$35,MATCH(J6,Parâmetros!$A$32:$A$35,1)))</f>
        <v>1</v>
      </c>
      <c r="N6" s="2" t="n">
        <f aca="false">ROUND((K6+L6)*M6,0)</f>
        <v>85</v>
      </c>
      <c r="O6" s="10" t="str">
        <f aca="false">IF(AND(G6="Engaging",J6&gt;Parâmetros!$B$6),"Sim","Não")</f>
        <v>Não</v>
      </c>
      <c r="P6" s="32" t="str">
        <f aca="false">IF(O6="Sim","R",IF(N6&gt;=Parâmetros!$B$39,"A",IF(N6&gt;=Parâmetros!$B$40,"B",IF(N6&gt;=Parâmetros!$B$41,"C","D"))))</f>
        <v>A</v>
      </c>
      <c r="Q6" s="10" t="str">
        <f aca="false">IF(F6="","Completar cadastro","")</f>
        <v/>
      </c>
      <c r="R6" s="10" t="str">
        <f aca="false">INDEX(Parâmetros!$D$39:$D$43,MATCH(P6,Parâmetros!$A$39:$A$43,0))</f>
        <v>Prioridade máxima: próximo passo em até 48h</v>
      </c>
    </row>
    <row r="7" customFormat="false" ht="15" hidden="false" customHeight="false" outlineLevel="0" collapsed="false">
      <c r="A7" s="10" t="s">
        <v>169</v>
      </c>
      <c r="B7" s="10" t="s">
        <v>57</v>
      </c>
      <c r="C7" s="10" t="s">
        <v>58</v>
      </c>
      <c r="D7" s="10" t="s">
        <v>165</v>
      </c>
      <c r="E7" s="10" t="s">
        <v>47</v>
      </c>
      <c r="F7" s="10" t="s">
        <v>170</v>
      </c>
      <c r="G7" s="10" t="s">
        <v>162</v>
      </c>
      <c r="H7" s="30" t="n">
        <v>42974</v>
      </c>
      <c r="I7" s="8" t="n">
        <f aca="false">INDEX(Parâmetros!$C$13:$C$19,MATCH(E7,Parâmetros!$A$13:$A$19,0))</f>
        <v>5482</v>
      </c>
      <c r="J7" s="26" t="n">
        <f aca="false">IF(H7="","",Parâmetros!$B$5-H7)</f>
        <v>126</v>
      </c>
      <c r="K7" s="10" t="n">
        <f aca="false">INDEX(Parâmetros!$D$13:$D$19,MATCH(E7,Parâmetros!$A$13:$A$19,0))</f>
        <v>45</v>
      </c>
      <c r="L7" s="26" t="n">
        <f aca="false">IF(G7="Prospecting",Parâmetros!$B$9,IF(J7&gt;Parâmetros!$B$6,0,INDEX(Parâmetros!$C$24:$C$26,MATCH(J7,Parâmetros!$A$24:$A$26,1))))</f>
        <v>40</v>
      </c>
      <c r="M7" s="31" t="n">
        <f aca="false">IF(G7="Prospecting",1,INDEX(Parâmetros!$C$32:$C$35,MATCH(J7,Parâmetros!$A$32:$A$35,1)))</f>
        <v>1</v>
      </c>
      <c r="N7" s="2" t="n">
        <f aca="false">ROUND((K7+L7)*M7,0)</f>
        <v>85</v>
      </c>
      <c r="O7" s="10" t="str">
        <f aca="false">IF(AND(G7="Engaging",J7&gt;Parâmetros!$B$6),"Sim","Não")</f>
        <v>Não</v>
      </c>
      <c r="P7" s="32" t="str">
        <f aca="false">IF(O7="Sim","R",IF(N7&gt;=Parâmetros!$B$39,"A",IF(N7&gt;=Parâmetros!$B$40,"B",IF(N7&gt;=Parâmetros!$B$41,"C","D"))))</f>
        <v>A</v>
      </c>
      <c r="Q7" s="10" t="str">
        <f aca="false">IF(F7="","Completar cadastro","")</f>
        <v/>
      </c>
      <c r="R7" s="10" t="str">
        <f aca="false">INDEX(Parâmetros!$D$39:$D$43,MATCH(P7,Parâmetros!$A$39:$A$43,0))</f>
        <v>Prioridade máxima: próximo passo em até 48h</v>
      </c>
    </row>
    <row r="8" customFormat="false" ht="15" hidden="false" customHeight="false" outlineLevel="0" collapsed="false">
      <c r="A8" s="10" t="s">
        <v>171</v>
      </c>
      <c r="B8" s="10" t="s">
        <v>57</v>
      </c>
      <c r="C8" s="10" t="s">
        <v>58</v>
      </c>
      <c r="D8" s="10" t="s">
        <v>165</v>
      </c>
      <c r="E8" s="10" t="s">
        <v>47</v>
      </c>
      <c r="F8" s="10" t="s">
        <v>172</v>
      </c>
      <c r="G8" s="10" t="s">
        <v>162</v>
      </c>
      <c r="H8" s="30" t="n">
        <v>42979</v>
      </c>
      <c r="I8" s="8" t="n">
        <f aca="false">INDEX(Parâmetros!$C$13:$C$19,MATCH(E8,Parâmetros!$A$13:$A$19,0))</f>
        <v>5482</v>
      </c>
      <c r="J8" s="26" t="n">
        <f aca="false">IF(H8="","",Parâmetros!$B$5-H8)</f>
        <v>121</v>
      </c>
      <c r="K8" s="10" t="n">
        <f aca="false">INDEX(Parâmetros!$D$13:$D$19,MATCH(E8,Parâmetros!$A$13:$A$19,0))</f>
        <v>45</v>
      </c>
      <c r="L8" s="26" t="n">
        <f aca="false">IF(G8="Prospecting",Parâmetros!$B$9,IF(J8&gt;Parâmetros!$B$6,0,INDEX(Parâmetros!$C$24:$C$26,MATCH(J8,Parâmetros!$A$24:$A$26,1))))</f>
        <v>40</v>
      </c>
      <c r="M8" s="31" t="n">
        <f aca="false">IF(G8="Prospecting",1,INDEX(Parâmetros!$C$32:$C$35,MATCH(J8,Parâmetros!$A$32:$A$35,1)))</f>
        <v>1</v>
      </c>
      <c r="N8" s="2" t="n">
        <f aca="false">ROUND((K8+L8)*M8,0)</f>
        <v>85</v>
      </c>
      <c r="O8" s="10" t="str">
        <f aca="false">IF(AND(G8="Engaging",J8&gt;Parâmetros!$B$6),"Sim","Não")</f>
        <v>Não</v>
      </c>
      <c r="P8" s="32" t="str">
        <f aca="false">IF(O8="Sim","R",IF(N8&gt;=Parâmetros!$B$39,"A",IF(N8&gt;=Parâmetros!$B$40,"B",IF(N8&gt;=Parâmetros!$B$41,"C","D"))))</f>
        <v>A</v>
      </c>
      <c r="Q8" s="10" t="str">
        <f aca="false">IF(F8="","Completar cadastro","")</f>
        <v/>
      </c>
      <c r="R8" s="10" t="str">
        <f aca="false">INDEX(Parâmetros!$D$39:$D$43,MATCH(P8,Parâmetros!$A$39:$A$43,0))</f>
        <v>Prioridade máxima: próximo passo em até 48h</v>
      </c>
    </row>
    <row r="9" customFormat="false" ht="15" hidden="false" customHeight="false" outlineLevel="0" collapsed="false">
      <c r="A9" s="10" t="s">
        <v>173</v>
      </c>
      <c r="B9" s="10" t="s">
        <v>93</v>
      </c>
      <c r="C9" s="10" t="s">
        <v>92</v>
      </c>
      <c r="D9" s="10" t="s">
        <v>160</v>
      </c>
      <c r="E9" s="10" t="s">
        <v>47</v>
      </c>
      <c r="F9" s="10"/>
      <c r="G9" s="10" t="s">
        <v>162</v>
      </c>
      <c r="H9" s="30" t="n">
        <v>42979</v>
      </c>
      <c r="I9" s="8" t="n">
        <f aca="false">INDEX(Parâmetros!$C$13:$C$19,MATCH(E9,Parâmetros!$A$13:$A$19,0))</f>
        <v>5482</v>
      </c>
      <c r="J9" s="26" t="n">
        <f aca="false">IF(H9="","",Parâmetros!$B$5-H9)</f>
        <v>121</v>
      </c>
      <c r="K9" s="10" t="n">
        <f aca="false">INDEX(Parâmetros!$D$13:$D$19,MATCH(E9,Parâmetros!$A$13:$A$19,0))</f>
        <v>45</v>
      </c>
      <c r="L9" s="26" t="n">
        <f aca="false">IF(G9="Prospecting",Parâmetros!$B$9,IF(J9&gt;Parâmetros!$B$6,0,INDEX(Parâmetros!$C$24:$C$26,MATCH(J9,Parâmetros!$A$24:$A$26,1))))</f>
        <v>40</v>
      </c>
      <c r="M9" s="31" t="n">
        <f aca="false">IF(G9="Prospecting",1,INDEX(Parâmetros!$C$32:$C$35,MATCH(J9,Parâmetros!$A$32:$A$35,1)))</f>
        <v>1</v>
      </c>
      <c r="N9" s="2" t="n">
        <f aca="false">ROUND((K9+L9)*M9,0)</f>
        <v>85</v>
      </c>
      <c r="O9" s="10" t="str">
        <f aca="false">IF(AND(G9="Engaging",J9&gt;Parâmetros!$B$6),"Sim","Não")</f>
        <v>Não</v>
      </c>
      <c r="P9" s="32" t="str">
        <f aca="false">IF(O9="Sim","R",IF(N9&gt;=Parâmetros!$B$39,"A",IF(N9&gt;=Parâmetros!$B$40,"B",IF(N9&gt;=Parâmetros!$B$41,"C","D"))))</f>
        <v>A</v>
      </c>
      <c r="Q9" s="10" t="str">
        <f aca="false">IF(F9="","Completar cadastro","")</f>
        <v>Completar cadastro</v>
      </c>
      <c r="R9" s="10" t="str">
        <f aca="false">INDEX(Parâmetros!$D$39:$D$43,MATCH(P9,Parâmetros!$A$39:$A$43,0))</f>
        <v>Prioridade máxima: próximo passo em até 48h</v>
      </c>
    </row>
    <row r="10" customFormat="false" ht="15" hidden="false" customHeight="false" outlineLevel="0" collapsed="false">
      <c r="A10" s="10" t="s">
        <v>174</v>
      </c>
      <c r="B10" s="10" t="s">
        <v>66</v>
      </c>
      <c r="C10" s="10" t="s">
        <v>65</v>
      </c>
      <c r="D10" s="10" t="s">
        <v>160</v>
      </c>
      <c r="E10" s="10" t="s">
        <v>47</v>
      </c>
      <c r="F10" s="10" t="s">
        <v>175</v>
      </c>
      <c r="G10" s="10" t="s">
        <v>162</v>
      </c>
      <c r="H10" s="30" t="n">
        <v>42980</v>
      </c>
      <c r="I10" s="8" t="n">
        <f aca="false">INDEX(Parâmetros!$C$13:$C$19,MATCH(E10,Parâmetros!$A$13:$A$19,0))</f>
        <v>5482</v>
      </c>
      <c r="J10" s="26" t="n">
        <f aca="false">IF(H10="","",Parâmetros!$B$5-H10)</f>
        <v>120</v>
      </c>
      <c r="K10" s="10" t="n">
        <f aca="false">INDEX(Parâmetros!$D$13:$D$19,MATCH(E10,Parâmetros!$A$13:$A$19,0))</f>
        <v>45</v>
      </c>
      <c r="L10" s="26" t="n">
        <f aca="false">IF(G10="Prospecting",Parâmetros!$B$9,IF(J10&gt;Parâmetros!$B$6,0,INDEX(Parâmetros!$C$24:$C$26,MATCH(J10,Parâmetros!$A$24:$A$26,1))))</f>
        <v>40</v>
      </c>
      <c r="M10" s="31" t="n">
        <f aca="false">IF(G10="Prospecting",1,INDEX(Parâmetros!$C$32:$C$35,MATCH(J10,Parâmetros!$A$32:$A$35,1)))</f>
        <v>1</v>
      </c>
      <c r="N10" s="2" t="n">
        <f aca="false">ROUND((K10+L10)*M10,0)</f>
        <v>85</v>
      </c>
      <c r="O10" s="10" t="str">
        <f aca="false">IF(AND(G10="Engaging",J10&gt;Parâmetros!$B$6),"Sim","Não")</f>
        <v>Não</v>
      </c>
      <c r="P10" s="32" t="str">
        <f aca="false">IF(O10="Sim","R",IF(N10&gt;=Parâmetros!$B$39,"A",IF(N10&gt;=Parâmetros!$B$40,"B",IF(N10&gt;=Parâmetros!$B$41,"C","D"))))</f>
        <v>A</v>
      </c>
      <c r="Q10" s="10" t="str">
        <f aca="false">IF(F10="","Completar cadastro","")</f>
        <v/>
      </c>
      <c r="R10" s="10" t="str">
        <f aca="false">INDEX(Parâmetros!$D$39:$D$43,MATCH(P10,Parâmetros!$A$39:$A$43,0))</f>
        <v>Prioridade máxima: próximo passo em até 48h</v>
      </c>
    </row>
    <row r="11" customFormat="false" ht="15" hidden="false" customHeight="false" outlineLevel="0" collapsed="false">
      <c r="A11" s="10" t="s">
        <v>176</v>
      </c>
      <c r="B11" s="10" t="s">
        <v>97</v>
      </c>
      <c r="C11" s="10" t="s">
        <v>92</v>
      </c>
      <c r="D11" s="10" t="s">
        <v>160</v>
      </c>
      <c r="E11" s="10" t="s">
        <v>47</v>
      </c>
      <c r="F11" s="10"/>
      <c r="G11" s="10" t="s">
        <v>162</v>
      </c>
      <c r="H11" s="30" t="n">
        <v>42980</v>
      </c>
      <c r="I11" s="8" t="n">
        <f aca="false">INDEX(Parâmetros!$C$13:$C$19,MATCH(E11,Parâmetros!$A$13:$A$19,0))</f>
        <v>5482</v>
      </c>
      <c r="J11" s="26" t="n">
        <f aca="false">IF(H11="","",Parâmetros!$B$5-H11)</f>
        <v>120</v>
      </c>
      <c r="K11" s="10" t="n">
        <f aca="false">INDEX(Parâmetros!$D$13:$D$19,MATCH(E11,Parâmetros!$A$13:$A$19,0))</f>
        <v>45</v>
      </c>
      <c r="L11" s="26" t="n">
        <f aca="false">IF(G11="Prospecting",Parâmetros!$B$9,IF(J11&gt;Parâmetros!$B$6,0,INDEX(Parâmetros!$C$24:$C$26,MATCH(J11,Parâmetros!$A$24:$A$26,1))))</f>
        <v>40</v>
      </c>
      <c r="M11" s="31" t="n">
        <f aca="false">IF(G11="Prospecting",1,INDEX(Parâmetros!$C$32:$C$35,MATCH(J11,Parâmetros!$A$32:$A$35,1)))</f>
        <v>1</v>
      </c>
      <c r="N11" s="2" t="n">
        <f aca="false">ROUND((K11+L11)*M11,0)</f>
        <v>85</v>
      </c>
      <c r="O11" s="10" t="str">
        <f aca="false">IF(AND(G11="Engaging",J11&gt;Parâmetros!$B$6),"Sim","Não")</f>
        <v>Não</v>
      </c>
      <c r="P11" s="32" t="str">
        <f aca="false">IF(O11="Sim","R",IF(N11&gt;=Parâmetros!$B$39,"A",IF(N11&gt;=Parâmetros!$B$40,"B",IF(N11&gt;=Parâmetros!$B$41,"C","D"))))</f>
        <v>A</v>
      </c>
      <c r="Q11" s="10" t="str">
        <f aca="false">IF(F11="","Completar cadastro","")</f>
        <v>Completar cadastro</v>
      </c>
      <c r="R11" s="10" t="str">
        <f aca="false">INDEX(Parâmetros!$D$39:$D$43,MATCH(P11,Parâmetros!$A$39:$A$43,0))</f>
        <v>Prioridade máxima: próximo passo em até 48h</v>
      </c>
    </row>
    <row r="12" customFormat="false" ht="15" hidden="false" customHeight="false" outlineLevel="0" collapsed="false">
      <c r="A12" s="10" t="s">
        <v>177</v>
      </c>
      <c r="B12" s="10" t="s">
        <v>95</v>
      </c>
      <c r="C12" s="10" t="s">
        <v>92</v>
      </c>
      <c r="D12" s="10" t="s">
        <v>160</v>
      </c>
      <c r="E12" s="10" t="s">
        <v>47</v>
      </c>
      <c r="F12" s="10"/>
      <c r="G12" s="10" t="s">
        <v>162</v>
      </c>
      <c r="H12" s="30" t="n">
        <v>42981</v>
      </c>
      <c r="I12" s="8" t="n">
        <f aca="false">INDEX(Parâmetros!$C$13:$C$19,MATCH(E12,Parâmetros!$A$13:$A$19,0))</f>
        <v>5482</v>
      </c>
      <c r="J12" s="26" t="n">
        <f aca="false">IF(H12="","",Parâmetros!$B$5-H12)</f>
        <v>119</v>
      </c>
      <c r="K12" s="10" t="n">
        <f aca="false">INDEX(Parâmetros!$D$13:$D$19,MATCH(E12,Parâmetros!$A$13:$A$19,0))</f>
        <v>45</v>
      </c>
      <c r="L12" s="26" t="n">
        <f aca="false">IF(G12="Prospecting",Parâmetros!$B$9,IF(J12&gt;Parâmetros!$B$6,0,INDEX(Parâmetros!$C$24:$C$26,MATCH(J12,Parâmetros!$A$24:$A$26,1))))</f>
        <v>40</v>
      </c>
      <c r="M12" s="31" t="n">
        <f aca="false">IF(G12="Prospecting",1,INDEX(Parâmetros!$C$32:$C$35,MATCH(J12,Parâmetros!$A$32:$A$35,1)))</f>
        <v>1</v>
      </c>
      <c r="N12" s="2" t="n">
        <f aca="false">ROUND((K12+L12)*M12,0)</f>
        <v>85</v>
      </c>
      <c r="O12" s="10" t="str">
        <f aca="false">IF(AND(G12="Engaging",J12&gt;Parâmetros!$B$6),"Sim","Não")</f>
        <v>Não</v>
      </c>
      <c r="P12" s="32" t="str">
        <f aca="false">IF(O12="Sim","R",IF(N12&gt;=Parâmetros!$B$39,"A",IF(N12&gt;=Parâmetros!$B$40,"B",IF(N12&gt;=Parâmetros!$B$41,"C","D"))))</f>
        <v>A</v>
      </c>
      <c r="Q12" s="10" t="str">
        <f aca="false">IF(F12="","Completar cadastro","")</f>
        <v>Completar cadastro</v>
      </c>
      <c r="R12" s="10" t="str">
        <f aca="false">INDEX(Parâmetros!$D$39:$D$43,MATCH(P12,Parâmetros!$A$39:$A$43,0))</f>
        <v>Prioridade máxima: próximo passo em até 48h</v>
      </c>
    </row>
    <row r="13" customFormat="false" ht="15" hidden="false" customHeight="false" outlineLevel="0" collapsed="false">
      <c r="A13" s="10" t="s">
        <v>178</v>
      </c>
      <c r="B13" s="10" t="s">
        <v>67</v>
      </c>
      <c r="C13" s="10" t="s">
        <v>65</v>
      </c>
      <c r="D13" s="10" t="s">
        <v>160</v>
      </c>
      <c r="E13" s="10" t="s">
        <v>47</v>
      </c>
      <c r="F13" s="10" t="s">
        <v>179</v>
      </c>
      <c r="G13" s="10" t="s">
        <v>162</v>
      </c>
      <c r="H13" s="30" t="n">
        <v>42983</v>
      </c>
      <c r="I13" s="8" t="n">
        <f aca="false">INDEX(Parâmetros!$C$13:$C$19,MATCH(E13,Parâmetros!$A$13:$A$19,0))</f>
        <v>5482</v>
      </c>
      <c r="J13" s="26" t="n">
        <f aca="false">IF(H13="","",Parâmetros!$B$5-H13)</f>
        <v>117</v>
      </c>
      <c r="K13" s="10" t="n">
        <f aca="false">INDEX(Parâmetros!$D$13:$D$19,MATCH(E13,Parâmetros!$A$13:$A$19,0))</f>
        <v>45</v>
      </c>
      <c r="L13" s="26" t="n">
        <f aca="false">IF(G13="Prospecting",Parâmetros!$B$9,IF(J13&gt;Parâmetros!$B$6,0,INDEX(Parâmetros!$C$24:$C$26,MATCH(J13,Parâmetros!$A$24:$A$26,1))))</f>
        <v>40</v>
      </c>
      <c r="M13" s="31" t="n">
        <f aca="false">IF(G13="Prospecting",1,INDEX(Parâmetros!$C$32:$C$35,MATCH(J13,Parâmetros!$A$32:$A$35,1)))</f>
        <v>1</v>
      </c>
      <c r="N13" s="2" t="n">
        <f aca="false">ROUND((K13+L13)*M13,0)</f>
        <v>85</v>
      </c>
      <c r="O13" s="10" t="str">
        <f aca="false">IF(AND(G13="Engaging",J13&gt;Parâmetros!$B$6),"Sim","Não")</f>
        <v>Não</v>
      </c>
      <c r="P13" s="32" t="str">
        <f aca="false">IF(O13="Sim","R",IF(N13&gt;=Parâmetros!$B$39,"A",IF(N13&gt;=Parâmetros!$B$40,"B",IF(N13&gt;=Parâmetros!$B$41,"C","D"))))</f>
        <v>A</v>
      </c>
      <c r="Q13" s="10" t="str">
        <f aca="false">IF(F13="","Completar cadastro","")</f>
        <v/>
      </c>
      <c r="R13" s="10" t="str">
        <f aca="false">INDEX(Parâmetros!$D$39:$D$43,MATCH(P13,Parâmetros!$A$39:$A$43,0))</f>
        <v>Prioridade máxima: próximo passo em até 48h</v>
      </c>
    </row>
    <row r="14" customFormat="false" ht="15" hidden="false" customHeight="false" outlineLevel="0" collapsed="false">
      <c r="A14" s="10" t="s">
        <v>180</v>
      </c>
      <c r="B14" s="10" t="s">
        <v>93</v>
      </c>
      <c r="C14" s="10" t="s">
        <v>92</v>
      </c>
      <c r="D14" s="10" t="s">
        <v>160</v>
      </c>
      <c r="E14" s="10" t="s">
        <v>47</v>
      </c>
      <c r="F14" s="10"/>
      <c r="G14" s="10" t="s">
        <v>162</v>
      </c>
      <c r="H14" s="30" t="n">
        <v>42989</v>
      </c>
      <c r="I14" s="8" t="n">
        <f aca="false">INDEX(Parâmetros!$C$13:$C$19,MATCH(E14,Parâmetros!$A$13:$A$19,0))</f>
        <v>5482</v>
      </c>
      <c r="J14" s="26" t="n">
        <f aca="false">IF(H14="","",Parâmetros!$B$5-H14)</f>
        <v>111</v>
      </c>
      <c r="K14" s="10" t="n">
        <f aca="false">INDEX(Parâmetros!$D$13:$D$19,MATCH(E14,Parâmetros!$A$13:$A$19,0))</f>
        <v>45</v>
      </c>
      <c r="L14" s="26" t="n">
        <f aca="false">IF(G14="Prospecting",Parâmetros!$B$9,IF(J14&gt;Parâmetros!$B$6,0,INDEX(Parâmetros!$C$24:$C$26,MATCH(J14,Parâmetros!$A$24:$A$26,1))))</f>
        <v>40</v>
      </c>
      <c r="M14" s="31" t="n">
        <f aca="false">IF(G14="Prospecting",1,INDEX(Parâmetros!$C$32:$C$35,MATCH(J14,Parâmetros!$A$32:$A$35,1)))</f>
        <v>1</v>
      </c>
      <c r="N14" s="2" t="n">
        <f aca="false">ROUND((K14+L14)*M14,0)</f>
        <v>85</v>
      </c>
      <c r="O14" s="10" t="str">
        <f aca="false">IF(AND(G14="Engaging",J14&gt;Parâmetros!$B$6),"Sim","Não")</f>
        <v>Não</v>
      </c>
      <c r="P14" s="32" t="str">
        <f aca="false">IF(O14="Sim","R",IF(N14&gt;=Parâmetros!$B$39,"A",IF(N14&gt;=Parâmetros!$B$40,"B",IF(N14&gt;=Parâmetros!$B$41,"C","D"))))</f>
        <v>A</v>
      </c>
      <c r="Q14" s="10" t="str">
        <f aca="false">IF(F14="","Completar cadastro","")</f>
        <v>Completar cadastro</v>
      </c>
      <c r="R14" s="10" t="str">
        <f aca="false">INDEX(Parâmetros!$D$39:$D$43,MATCH(P14,Parâmetros!$A$39:$A$43,0))</f>
        <v>Prioridade máxima: próximo passo em até 48h</v>
      </c>
    </row>
    <row r="15" customFormat="false" ht="15" hidden="false" customHeight="false" outlineLevel="0" collapsed="false">
      <c r="A15" s="10" t="s">
        <v>181</v>
      </c>
      <c r="B15" s="10" t="s">
        <v>96</v>
      </c>
      <c r="C15" s="10" t="s">
        <v>92</v>
      </c>
      <c r="D15" s="10" t="s">
        <v>160</v>
      </c>
      <c r="E15" s="10" t="s">
        <v>47</v>
      </c>
      <c r="F15" s="10"/>
      <c r="G15" s="10" t="s">
        <v>162</v>
      </c>
      <c r="H15" s="30" t="n">
        <v>42992</v>
      </c>
      <c r="I15" s="8" t="n">
        <f aca="false">INDEX(Parâmetros!$C$13:$C$19,MATCH(E15,Parâmetros!$A$13:$A$19,0))</f>
        <v>5482</v>
      </c>
      <c r="J15" s="26" t="n">
        <f aca="false">IF(H15="","",Parâmetros!$B$5-H15)</f>
        <v>108</v>
      </c>
      <c r="K15" s="10" t="n">
        <f aca="false">INDEX(Parâmetros!$D$13:$D$19,MATCH(E15,Parâmetros!$A$13:$A$19,0))</f>
        <v>45</v>
      </c>
      <c r="L15" s="26" t="n">
        <f aca="false">IF(G15="Prospecting",Parâmetros!$B$9,IF(J15&gt;Parâmetros!$B$6,0,INDEX(Parâmetros!$C$24:$C$26,MATCH(J15,Parâmetros!$A$24:$A$26,1))))</f>
        <v>40</v>
      </c>
      <c r="M15" s="31" t="n">
        <f aca="false">IF(G15="Prospecting",1,INDEX(Parâmetros!$C$32:$C$35,MATCH(J15,Parâmetros!$A$32:$A$35,1)))</f>
        <v>1</v>
      </c>
      <c r="N15" s="2" t="n">
        <f aca="false">ROUND((K15+L15)*M15,0)</f>
        <v>85</v>
      </c>
      <c r="O15" s="10" t="str">
        <f aca="false">IF(AND(G15="Engaging",J15&gt;Parâmetros!$B$6),"Sim","Não")</f>
        <v>Não</v>
      </c>
      <c r="P15" s="32" t="str">
        <f aca="false">IF(O15="Sim","R",IF(N15&gt;=Parâmetros!$B$39,"A",IF(N15&gt;=Parâmetros!$B$40,"B",IF(N15&gt;=Parâmetros!$B$41,"C","D"))))</f>
        <v>A</v>
      </c>
      <c r="Q15" s="10" t="str">
        <f aca="false">IF(F15="","Completar cadastro","")</f>
        <v>Completar cadastro</v>
      </c>
      <c r="R15" s="10" t="str">
        <f aca="false">INDEX(Parâmetros!$D$39:$D$43,MATCH(P15,Parâmetros!$A$39:$A$43,0))</f>
        <v>Prioridade máxima: próximo passo em até 48h</v>
      </c>
    </row>
    <row r="16" customFormat="false" ht="15" hidden="false" customHeight="false" outlineLevel="0" collapsed="false">
      <c r="A16" s="10" t="s">
        <v>182</v>
      </c>
      <c r="B16" s="10" t="s">
        <v>86</v>
      </c>
      <c r="C16" s="10" t="s">
        <v>85</v>
      </c>
      <c r="D16" s="10" t="s">
        <v>165</v>
      </c>
      <c r="E16" s="10" t="s">
        <v>47</v>
      </c>
      <c r="F16" s="10"/>
      <c r="G16" s="10" t="s">
        <v>162</v>
      </c>
      <c r="H16" s="30" t="n">
        <v>42994</v>
      </c>
      <c r="I16" s="8" t="n">
        <f aca="false">INDEX(Parâmetros!$C$13:$C$19,MATCH(E16,Parâmetros!$A$13:$A$19,0))</f>
        <v>5482</v>
      </c>
      <c r="J16" s="26" t="n">
        <f aca="false">IF(H16="","",Parâmetros!$B$5-H16)</f>
        <v>106</v>
      </c>
      <c r="K16" s="10" t="n">
        <f aca="false">INDEX(Parâmetros!$D$13:$D$19,MATCH(E16,Parâmetros!$A$13:$A$19,0))</f>
        <v>45</v>
      </c>
      <c r="L16" s="26" t="n">
        <f aca="false">IF(G16="Prospecting",Parâmetros!$B$9,IF(J16&gt;Parâmetros!$B$6,0,INDEX(Parâmetros!$C$24:$C$26,MATCH(J16,Parâmetros!$A$24:$A$26,1))))</f>
        <v>40</v>
      </c>
      <c r="M16" s="31" t="n">
        <f aca="false">IF(G16="Prospecting",1,INDEX(Parâmetros!$C$32:$C$35,MATCH(J16,Parâmetros!$A$32:$A$35,1)))</f>
        <v>1</v>
      </c>
      <c r="N16" s="2" t="n">
        <f aca="false">ROUND((K16+L16)*M16,0)</f>
        <v>85</v>
      </c>
      <c r="O16" s="10" t="str">
        <f aca="false">IF(AND(G16="Engaging",J16&gt;Parâmetros!$B$6),"Sim","Não")</f>
        <v>Não</v>
      </c>
      <c r="P16" s="32" t="str">
        <f aca="false">IF(O16="Sim","R",IF(N16&gt;=Parâmetros!$B$39,"A",IF(N16&gt;=Parâmetros!$B$40,"B",IF(N16&gt;=Parâmetros!$B$41,"C","D"))))</f>
        <v>A</v>
      </c>
      <c r="Q16" s="10" t="str">
        <f aca="false">IF(F16="","Completar cadastro","")</f>
        <v>Completar cadastro</v>
      </c>
      <c r="R16" s="10" t="str">
        <f aca="false">INDEX(Parâmetros!$D$39:$D$43,MATCH(P16,Parâmetros!$A$39:$A$43,0))</f>
        <v>Prioridade máxima: próximo passo em até 48h</v>
      </c>
    </row>
    <row r="17" customFormat="false" ht="15" hidden="false" customHeight="false" outlineLevel="0" collapsed="false">
      <c r="A17" s="10" t="s">
        <v>183</v>
      </c>
      <c r="B17" s="10" t="s">
        <v>70</v>
      </c>
      <c r="C17" s="10" t="s">
        <v>65</v>
      </c>
      <c r="D17" s="10" t="s">
        <v>160</v>
      </c>
      <c r="E17" s="10" t="s">
        <v>47</v>
      </c>
      <c r="F17" s="10"/>
      <c r="G17" s="10" t="s">
        <v>162</v>
      </c>
      <c r="H17" s="30" t="n">
        <v>42994</v>
      </c>
      <c r="I17" s="8" t="n">
        <f aca="false">INDEX(Parâmetros!$C$13:$C$19,MATCH(E17,Parâmetros!$A$13:$A$19,0))</f>
        <v>5482</v>
      </c>
      <c r="J17" s="26" t="n">
        <f aca="false">IF(H17="","",Parâmetros!$B$5-H17)</f>
        <v>106</v>
      </c>
      <c r="K17" s="10" t="n">
        <f aca="false">INDEX(Parâmetros!$D$13:$D$19,MATCH(E17,Parâmetros!$A$13:$A$19,0))</f>
        <v>45</v>
      </c>
      <c r="L17" s="26" t="n">
        <f aca="false">IF(G17="Prospecting",Parâmetros!$B$9,IF(J17&gt;Parâmetros!$B$6,0,INDEX(Parâmetros!$C$24:$C$26,MATCH(J17,Parâmetros!$A$24:$A$26,1))))</f>
        <v>40</v>
      </c>
      <c r="M17" s="31" t="n">
        <f aca="false">IF(G17="Prospecting",1,INDEX(Parâmetros!$C$32:$C$35,MATCH(J17,Parâmetros!$A$32:$A$35,1)))</f>
        <v>1</v>
      </c>
      <c r="N17" s="2" t="n">
        <f aca="false">ROUND((K17+L17)*M17,0)</f>
        <v>85</v>
      </c>
      <c r="O17" s="10" t="str">
        <f aca="false">IF(AND(G17="Engaging",J17&gt;Parâmetros!$B$6),"Sim","Não")</f>
        <v>Não</v>
      </c>
      <c r="P17" s="32" t="str">
        <f aca="false">IF(O17="Sim","R",IF(N17&gt;=Parâmetros!$B$39,"A",IF(N17&gt;=Parâmetros!$B$40,"B",IF(N17&gt;=Parâmetros!$B$41,"C","D"))))</f>
        <v>A</v>
      </c>
      <c r="Q17" s="10" t="str">
        <f aca="false">IF(F17="","Completar cadastro","")</f>
        <v>Completar cadastro</v>
      </c>
      <c r="R17" s="10" t="str">
        <f aca="false">INDEX(Parâmetros!$D$39:$D$43,MATCH(P17,Parâmetros!$A$39:$A$43,0))</f>
        <v>Prioridade máxima: próximo passo em até 48h</v>
      </c>
    </row>
    <row r="18" customFormat="false" ht="15" hidden="false" customHeight="false" outlineLevel="0" collapsed="false">
      <c r="A18" s="10" t="s">
        <v>184</v>
      </c>
      <c r="B18" s="10" t="s">
        <v>97</v>
      </c>
      <c r="C18" s="10" t="s">
        <v>92</v>
      </c>
      <c r="D18" s="10" t="s">
        <v>160</v>
      </c>
      <c r="E18" s="10" t="s">
        <v>47</v>
      </c>
      <c r="F18" s="10" t="s">
        <v>185</v>
      </c>
      <c r="G18" s="10" t="s">
        <v>162</v>
      </c>
      <c r="H18" s="30" t="n">
        <v>42996</v>
      </c>
      <c r="I18" s="8" t="n">
        <f aca="false">INDEX(Parâmetros!$C$13:$C$19,MATCH(E18,Parâmetros!$A$13:$A$19,0))</f>
        <v>5482</v>
      </c>
      <c r="J18" s="26" t="n">
        <f aca="false">IF(H18="","",Parâmetros!$B$5-H18)</f>
        <v>104</v>
      </c>
      <c r="K18" s="10" t="n">
        <f aca="false">INDEX(Parâmetros!$D$13:$D$19,MATCH(E18,Parâmetros!$A$13:$A$19,0))</f>
        <v>45</v>
      </c>
      <c r="L18" s="26" t="n">
        <f aca="false">IF(G18="Prospecting",Parâmetros!$B$9,IF(J18&gt;Parâmetros!$B$6,0,INDEX(Parâmetros!$C$24:$C$26,MATCH(J18,Parâmetros!$A$24:$A$26,1))))</f>
        <v>40</v>
      </c>
      <c r="M18" s="31" t="n">
        <f aca="false">IF(G18="Prospecting",1,INDEX(Parâmetros!$C$32:$C$35,MATCH(J18,Parâmetros!$A$32:$A$35,1)))</f>
        <v>1</v>
      </c>
      <c r="N18" s="2" t="n">
        <f aca="false">ROUND((K18+L18)*M18,0)</f>
        <v>85</v>
      </c>
      <c r="O18" s="10" t="str">
        <f aca="false">IF(AND(G18="Engaging",J18&gt;Parâmetros!$B$6),"Sim","Não")</f>
        <v>Não</v>
      </c>
      <c r="P18" s="32" t="str">
        <f aca="false">IF(O18="Sim","R",IF(N18&gt;=Parâmetros!$B$39,"A",IF(N18&gt;=Parâmetros!$B$40,"B",IF(N18&gt;=Parâmetros!$B$41,"C","D"))))</f>
        <v>A</v>
      </c>
      <c r="Q18" s="10" t="str">
        <f aca="false">IF(F18="","Completar cadastro","")</f>
        <v/>
      </c>
      <c r="R18" s="10" t="str">
        <f aca="false">INDEX(Parâmetros!$D$39:$D$43,MATCH(P18,Parâmetros!$A$39:$A$43,0))</f>
        <v>Prioridade máxima: próximo passo em até 48h</v>
      </c>
    </row>
    <row r="19" customFormat="false" ht="15" hidden="false" customHeight="false" outlineLevel="0" collapsed="false">
      <c r="A19" s="10" t="s">
        <v>186</v>
      </c>
      <c r="B19" s="10" t="s">
        <v>57</v>
      </c>
      <c r="C19" s="10" t="s">
        <v>58</v>
      </c>
      <c r="D19" s="10" t="s">
        <v>165</v>
      </c>
      <c r="E19" s="10" t="s">
        <v>47</v>
      </c>
      <c r="F19" s="10"/>
      <c r="G19" s="10" t="s">
        <v>162</v>
      </c>
      <c r="H19" s="30" t="n">
        <v>42997</v>
      </c>
      <c r="I19" s="8" t="n">
        <f aca="false">INDEX(Parâmetros!$C$13:$C$19,MATCH(E19,Parâmetros!$A$13:$A$19,0))</f>
        <v>5482</v>
      </c>
      <c r="J19" s="26" t="n">
        <f aca="false">IF(H19="","",Parâmetros!$B$5-H19)</f>
        <v>103</v>
      </c>
      <c r="K19" s="10" t="n">
        <f aca="false">INDEX(Parâmetros!$D$13:$D$19,MATCH(E19,Parâmetros!$A$13:$A$19,0))</f>
        <v>45</v>
      </c>
      <c r="L19" s="26" t="n">
        <f aca="false">IF(G19="Prospecting",Parâmetros!$B$9,IF(J19&gt;Parâmetros!$B$6,0,INDEX(Parâmetros!$C$24:$C$26,MATCH(J19,Parâmetros!$A$24:$A$26,1))))</f>
        <v>40</v>
      </c>
      <c r="M19" s="31" t="n">
        <f aca="false">IF(G19="Prospecting",1,INDEX(Parâmetros!$C$32:$C$35,MATCH(J19,Parâmetros!$A$32:$A$35,1)))</f>
        <v>1</v>
      </c>
      <c r="N19" s="2" t="n">
        <f aca="false">ROUND((K19+L19)*M19,0)</f>
        <v>85</v>
      </c>
      <c r="O19" s="10" t="str">
        <f aca="false">IF(AND(G19="Engaging",J19&gt;Parâmetros!$B$6),"Sim","Não")</f>
        <v>Não</v>
      </c>
      <c r="P19" s="32" t="str">
        <f aca="false">IF(O19="Sim","R",IF(N19&gt;=Parâmetros!$B$39,"A",IF(N19&gt;=Parâmetros!$B$40,"B",IF(N19&gt;=Parâmetros!$B$41,"C","D"))))</f>
        <v>A</v>
      </c>
      <c r="Q19" s="10" t="str">
        <f aca="false">IF(F19="","Completar cadastro","")</f>
        <v>Completar cadastro</v>
      </c>
      <c r="R19" s="10" t="str">
        <f aca="false">INDEX(Parâmetros!$D$39:$D$43,MATCH(P19,Parâmetros!$A$39:$A$43,0))</f>
        <v>Prioridade máxima: próximo passo em até 48h</v>
      </c>
    </row>
    <row r="20" customFormat="false" ht="15" hidden="false" customHeight="false" outlineLevel="0" collapsed="false">
      <c r="A20" s="10" t="s">
        <v>187</v>
      </c>
      <c r="B20" s="10" t="s">
        <v>66</v>
      </c>
      <c r="C20" s="10" t="s">
        <v>65</v>
      </c>
      <c r="D20" s="10" t="s">
        <v>160</v>
      </c>
      <c r="E20" s="10" t="s">
        <v>47</v>
      </c>
      <c r="F20" s="10"/>
      <c r="G20" s="10" t="s">
        <v>162</v>
      </c>
      <c r="H20" s="30" t="n">
        <v>42998</v>
      </c>
      <c r="I20" s="8" t="n">
        <f aca="false">INDEX(Parâmetros!$C$13:$C$19,MATCH(E20,Parâmetros!$A$13:$A$19,0))</f>
        <v>5482</v>
      </c>
      <c r="J20" s="26" t="n">
        <f aca="false">IF(H20="","",Parâmetros!$B$5-H20)</f>
        <v>102</v>
      </c>
      <c r="K20" s="10" t="n">
        <f aca="false">INDEX(Parâmetros!$D$13:$D$19,MATCH(E20,Parâmetros!$A$13:$A$19,0))</f>
        <v>45</v>
      </c>
      <c r="L20" s="26" t="n">
        <f aca="false">IF(G20="Prospecting",Parâmetros!$B$9,IF(J20&gt;Parâmetros!$B$6,0,INDEX(Parâmetros!$C$24:$C$26,MATCH(J20,Parâmetros!$A$24:$A$26,1))))</f>
        <v>40</v>
      </c>
      <c r="M20" s="31" t="n">
        <f aca="false">IF(G20="Prospecting",1,INDEX(Parâmetros!$C$32:$C$35,MATCH(J20,Parâmetros!$A$32:$A$35,1)))</f>
        <v>1</v>
      </c>
      <c r="N20" s="2" t="n">
        <f aca="false">ROUND((K20+L20)*M20,0)</f>
        <v>85</v>
      </c>
      <c r="O20" s="10" t="str">
        <f aca="false">IF(AND(G20="Engaging",J20&gt;Parâmetros!$B$6),"Sim","Não")</f>
        <v>Não</v>
      </c>
      <c r="P20" s="32" t="str">
        <f aca="false">IF(O20="Sim","R",IF(N20&gt;=Parâmetros!$B$39,"A",IF(N20&gt;=Parâmetros!$B$40,"B",IF(N20&gt;=Parâmetros!$B$41,"C","D"))))</f>
        <v>A</v>
      </c>
      <c r="Q20" s="10" t="str">
        <f aca="false">IF(F20="","Completar cadastro","")</f>
        <v>Completar cadastro</v>
      </c>
      <c r="R20" s="10" t="str">
        <f aca="false">INDEX(Parâmetros!$D$39:$D$43,MATCH(P20,Parâmetros!$A$39:$A$43,0))</f>
        <v>Prioridade máxima: próximo passo em até 48h</v>
      </c>
    </row>
    <row r="21" customFormat="false" ht="15" hidden="false" customHeight="false" outlineLevel="0" collapsed="false">
      <c r="A21" s="10" t="s">
        <v>188</v>
      </c>
      <c r="B21" s="10" t="s">
        <v>87</v>
      </c>
      <c r="C21" s="10" t="s">
        <v>85</v>
      </c>
      <c r="D21" s="10" t="s">
        <v>165</v>
      </c>
      <c r="E21" s="10" t="s">
        <v>47</v>
      </c>
      <c r="F21" s="10"/>
      <c r="G21" s="10" t="s">
        <v>162</v>
      </c>
      <c r="H21" s="30" t="n">
        <v>43000</v>
      </c>
      <c r="I21" s="8" t="n">
        <f aca="false">INDEX(Parâmetros!$C$13:$C$19,MATCH(E21,Parâmetros!$A$13:$A$19,0))</f>
        <v>5482</v>
      </c>
      <c r="J21" s="26" t="n">
        <f aca="false">IF(H21="","",Parâmetros!$B$5-H21)</f>
        <v>100</v>
      </c>
      <c r="K21" s="10" t="n">
        <f aca="false">INDEX(Parâmetros!$D$13:$D$19,MATCH(E21,Parâmetros!$A$13:$A$19,0))</f>
        <v>45</v>
      </c>
      <c r="L21" s="26" t="n">
        <f aca="false">IF(G21="Prospecting",Parâmetros!$B$9,IF(J21&gt;Parâmetros!$B$6,0,INDEX(Parâmetros!$C$24:$C$26,MATCH(J21,Parâmetros!$A$24:$A$26,1))))</f>
        <v>40</v>
      </c>
      <c r="M21" s="31" t="n">
        <f aca="false">IF(G21="Prospecting",1,INDEX(Parâmetros!$C$32:$C$35,MATCH(J21,Parâmetros!$A$32:$A$35,1)))</f>
        <v>1</v>
      </c>
      <c r="N21" s="2" t="n">
        <f aca="false">ROUND((K21+L21)*M21,0)</f>
        <v>85</v>
      </c>
      <c r="O21" s="10" t="str">
        <f aca="false">IF(AND(G21="Engaging",J21&gt;Parâmetros!$B$6),"Sim","Não")</f>
        <v>Não</v>
      </c>
      <c r="P21" s="32" t="str">
        <f aca="false">IF(O21="Sim","R",IF(N21&gt;=Parâmetros!$B$39,"A",IF(N21&gt;=Parâmetros!$B$40,"B",IF(N21&gt;=Parâmetros!$B$41,"C","D"))))</f>
        <v>A</v>
      </c>
      <c r="Q21" s="10" t="str">
        <f aca="false">IF(F21="","Completar cadastro","")</f>
        <v>Completar cadastro</v>
      </c>
      <c r="R21" s="10" t="str">
        <f aca="false">INDEX(Parâmetros!$D$39:$D$43,MATCH(P21,Parâmetros!$A$39:$A$43,0))</f>
        <v>Prioridade máxima: próximo passo em até 48h</v>
      </c>
    </row>
    <row r="22" customFormat="false" ht="15" hidden="false" customHeight="false" outlineLevel="0" collapsed="false">
      <c r="A22" s="10" t="s">
        <v>189</v>
      </c>
      <c r="B22" s="10" t="s">
        <v>63</v>
      </c>
      <c r="C22" s="10" t="s">
        <v>58</v>
      </c>
      <c r="D22" s="10" t="s">
        <v>165</v>
      </c>
      <c r="E22" s="10" t="s">
        <v>47</v>
      </c>
      <c r="F22" s="10"/>
      <c r="G22" s="10" t="s">
        <v>162</v>
      </c>
      <c r="H22" s="30" t="n">
        <v>43006</v>
      </c>
      <c r="I22" s="8" t="n">
        <f aca="false">INDEX(Parâmetros!$C$13:$C$19,MATCH(E22,Parâmetros!$A$13:$A$19,0))</f>
        <v>5482</v>
      </c>
      <c r="J22" s="26" t="n">
        <f aca="false">IF(H22="","",Parâmetros!$B$5-H22)</f>
        <v>94</v>
      </c>
      <c r="K22" s="10" t="n">
        <f aca="false">INDEX(Parâmetros!$D$13:$D$19,MATCH(E22,Parâmetros!$A$13:$A$19,0))</f>
        <v>45</v>
      </c>
      <c r="L22" s="26" t="n">
        <f aca="false">IF(G22="Prospecting",Parâmetros!$B$9,IF(J22&gt;Parâmetros!$B$6,0,INDEX(Parâmetros!$C$24:$C$26,MATCH(J22,Parâmetros!$A$24:$A$26,1))))</f>
        <v>40</v>
      </c>
      <c r="M22" s="31" t="n">
        <f aca="false">IF(G22="Prospecting",1,INDEX(Parâmetros!$C$32:$C$35,MATCH(J22,Parâmetros!$A$32:$A$35,1)))</f>
        <v>1</v>
      </c>
      <c r="N22" s="2" t="n">
        <f aca="false">ROUND((K22+L22)*M22,0)</f>
        <v>85</v>
      </c>
      <c r="O22" s="10" t="str">
        <f aca="false">IF(AND(G22="Engaging",J22&gt;Parâmetros!$B$6),"Sim","Não")</f>
        <v>Não</v>
      </c>
      <c r="P22" s="32" t="str">
        <f aca="false">IF(O22="Sim","R",IF(N22&gt;=Parâmetros!$B$39,"A",IF(N22&gt;=Parâmetros!$B$40,"B",IF(N22&gt;=Parâmetros!$B$41,"C","D"))))</f>
        <v>A</v>
      </c>
      <c r="Q22" s="10" t="str">
        <f aca="false">IF(F22="","Completar cadastro","")</f>
        <v>Completar cadastro</v>
      </c>
      <c r="R22" s="10" t="str">
        <f aca="false">INDEX(Parâmetros!$D$39:$D$43,MATCH(P22,Parâmetros!$A$39:$A$43,0))</f>
        <v>Prioridade máxima: próximo passo em até 48h</v>
      </c>
    </row>
    <row r="23" customFormat="false" ht="15" hidden="false" customHeight="false" outlineLevel="0" collapsed="false">
      <c r="A23" s="10" t="s">
        <v>190</v>
      </c>
      <c r="B23" s="10" t="s">
        <v>93</v>
      </c>
      <c r="C23" s="10" t="s">
        <v>92</v>
      </c>
      <c r="D23" s="10" t="s">
        <v>160</v>
      </c>
      <c r="E23" s="10" t="s">
        <v>47</v>
      </c>
      <c r="F23" s="10"/>
      <c r="G23" s="10" t="s">
        <v>162</v>
      </c>
      <c r="H23" s="30" t="n">
        <v>43008</v>
      </c>
      <c r="I23" s="8" t="n">
        <f aca="false">INDEX(Parâmetros!$C$13:$C$19,MATCH(E23,Parâmetros!$A$13:$A$19,0))</f>
        <v>5482</v>
      </c>
      <c r="J23" s="26" t="n">
        <f aca="false">IF(H23="","",Parâmetros!$B$5-H23)</f>
        <v>92</v>
      </c>
      <c r="K23" s="10" t="n">
        <f aca="false">INDEX(Parâmetros!$D$13:$D$19,MATCH(E23,Parâmetros!$A$13:$A$19,0))</f>
        <v>45</v>
      </c>
      <c r="L23" s="26" t="n">
        <f aca="false">IF(G23="Prospecting",Parâmetros!$B$9,IF(J23&gt;Parâmetros!$B$6,0,INDEX(Parâmetros!$C$24:$C$26,MATCH(J23,Parâmetros!$A$24:$A$26,1))))</f>
        <v>40</v>
      </c>
      <c r="M23" s="31" t="n">
        <f aca="false">IF(G23="Prospecting",1,INDEX(Parâmetros!$C$32:$C$35,MATCH(J23,Parâmetros!$A$32:$A$35,1)))</f>
        <v>1</v>
      </c>
      <c r="N23" s="2" t="n">
        <f aca="false">ROUND((K23+L23)*M23,0)</f>
        <v>85</v>
      </c>
      <c r="O23" s="10" t="str">
        <f aca="false">IF(AND(G23="Engaging",J23&gt;Parâmetros!$B$6),"Sim","Não")</f>
        <v>Não</v>
      </c>
      <c r="P23" s="32" t="str">
        <f aca="false">IF(O23="Sim","R",IF(N23&gt;=Parâmetros!$B$39,"A",IF(N23&gt;=Parâmetros!$B$40,"B",IF(N23&gt;=Parâmetros!$B$41,"C","D"))))</f>
        <v>A</v>
      </c>
      <c r="Q23" s="10" t="str">
        <f aca="false">IF(F23="","Completar cadastro","")</f>
        <v>Completar cadastro</v>
      </c>
      <c r="R23" s="10" t="str">
        <f aca="false">INDEX(Parâmetros!$D$39:$D$43,MATCH(P23,Parâmetros!$A$39:$A$43,0))</f>
        <v>Prioridade máxima: próximo passo em até 48h</v>
      </c>
    </row>
    <row r="24" customFormat="false" ht="15" hidden="false" customHeight="false" outlineLevel="0" collapsed="false">
      <c r="A24" s="10" t="s">
        <v>191</v>
      </c>
      <c r="B24" s="10" t="s">
        <v>96</v>
      </c>
      <c r="C24" s="10" t="s">
        <v>92</v>
      </c>
      <c r="D24" s="10" t="s">
        <v>160</v>
      </c>
      <c r="E24" s="10" t="s">
        <v>47</v>
      </c>
      <c r="F24" s="10"/>
      <c r="G24" s="10" t="s">
        <v>162</v>
      </c>
      <c r="H24" s="30" t="n">
        <v>43008</v>
      </c>
      <c r="I24" s="8" t="n">
        <f aca="false">INDEX(Parâmetros!$C$13:$C$19,MATCH(E24,Parâmetros!$A$13:$A$19,0))</f>
        <v>5482</v>
      </c>
      <c r="J24" s="26" t="n">
        <f aca="false">IF(H24="","",Parâmetros!$B$5-H24)</f>
        <v>92</v>
      </c>
      <c r="K24" s="10" t="n">
        <f aca="false">INDEX(Parâmetros!$D$13:$D$19,MATCH(E24,Parâmetros!$A$13:$A$19,0))</f>
        <v>45</v>
      </c>
      <c r="L24" s="26" t="n">
        <f aca="false">IF(G24="Prospecting",Parâmetros!$B$9,IF(J24&gt;Parâmetros!$B$6,0,INDEX(Parâmetros!$C$24:$C$26,MATCH(J24,Parâmetros!$A$24:$A$26,1))))</f>
        <v>40</v>
      </c>
      <c r="M24" s="31" t="n">
        <f aca="false">IF(G24="Prospecting",1,INDEX(Parâmetros!$C$32:$C$35,MATCH(J24,Parâmetros!$A$32:$A$35,1)))</f>
        <v>1</v>
      </c>
      <c r="N24" s="2" t="n">
        <f aca="false">ROUND((K24+L24)*M24,0)</f>
        <v>85</v>
      </c>
      <c r="O24" s="10" t="str">
        <f aca="false">IF(AND(G24="Engaging",J24&gt;Parâmetros!$B$6),"Sim","Não")</f>
        <v>Não</v>
      </c>
      <c r="P24" s="32" t="str">
        <f aca="false">IF(O24="Sim","R",IF(N24&gt;=Parâmetros!$B$39,"A",IF(N24&gt;=Parâmetros!$B$40,"B",IF(N24&gt;=Parâmetros!$B$41,"C","D"))))</f>
        <v>A</v>
      </c>
      <c r="Q24" s="10" t="str">
        <f aca="false">IF(F24="","Completar cadastro","")</f>
        <v>Completar cadastro</v>
      </c>
      <c r="R24" s="10" t="str">
        <f aca="false">INDEX(Parâmetros!$D$39:$D$43,MATCH(P24,Parâmetros!$A$39:$A$43,0))</f>
        <v>Prioridade máxima: próximo passo em até 48h</v>
      </c>
    </row>
    <row r="25" customFormat="false" ht="15" hidden="false" customHeight="false" outlineLevel="0" collapsed="false">
      <c r="A25" s="10" t="s">
        <v>192</v>
      </c>
      <c r="B25" s="10" t="s">
        <v>70</v>
      </c>
      <c r="C25" s="10" t="s">
        <v>65</v>
      </c>
      <c r="D25" s="10" t="s">
        <v>160</v>
      </c>
      <c r="E25" s="10" t="s">
        <v>47</v>
      </c>
      <c r="F25" s="10" t="s">
        <v>193</v>
      </c>
      <c r="G25" s="10" t="s">
        <v>162</v>
      </c>
      <c r="H25" s="30" t="n">
        <v>43008</v>
      </c>
      <c r="I25" s="8" t="n">
        <f aca="false">INDEX(Parâmetros!$C$13:$C$19,MATCH(E25,Parâmetros!$A$13:$A$19,0))</f>
        <v>5482</v>
      </c>
      <c r="J25" s="26" t="n">
        <f aca="false">IF(H25="","",Parâmetros!$B$5-H25)</f>
        <v>92</v>
      </c>
      <c r="K25" s="10" t="n">
        <f aca="false">INDEX(Parâmetros!$D$13:$D$19,MATCH(E25,Parâmetros!$A$13:$A$19,0))</f>
        <v>45</v>
      </c>
      <c r="L25" s="26" t="n">
        <f aca="false">IF(G25="Prospecting",Parâmetros!$B$9,IF(J25&gt;Parâmetros!$B$6,0,INDEX(Parâmetros!$C$24:$C$26,MATCH(J25,Parâmetros!$A$24:$A$26,1))))</f>
        <v>40</v>
      </c>
      <c r="M25" s="31" t="n">
        <f aca="false">IF(G25="Prospecting",1,INDEX(Parâmetros!$C$32:$C$35,MATCH(J25,Parâmetros!$A$32:$A$35,1)))</f>
        <v>1</v>
      </c>
      <c r="N25" s="2" t="n">
        <f aca="false">ROUND((K25+L25)*M25,0)</f>
        <v>85</v>
      </c>
      <c r="O25" s="10" t="str">
        <f aca="false">IF(AND(G25="Engaging",J25&gt;Parâmetros!$B$6),"Sim","Não")</f>
        <v>Não</v>
      </c>
      <c r="P25" s="32" t="str">
        <f aca="false">IF(O25="Sim","R",IF(N25&gt;=Parâmetros!$B$39,"A",IF(N25&gt;=Parâmetros!$B$40,"B",IF(N25&gt;=Parâmetros!$B$41,"C","D"))))</f>
        <v>A</v>
      </c>
      <c r="Q25" s="10" t="str">
        <f aca="false">IF(F25="","Completar cadastro","")</f>
        <v/>
      </c>
      <c r="R25" s="10" t="str">
        <f aca="false">INDEX(Parâmetros!$D$39:$D$43,MATCH(P25,Parâmetros!$A$39:$A$43,0))</f>
        <v>Prioridade máxima: próximo passo em até 48h</v>
      </c>
    </row>
    <row r="26" customFormat="false" ht="15" hidden="false" customHeight="false" outlineLevel="0" collapsed="false">
      <c r="A26" s="10" t="s">
        <v>194</v>
      </c>
      <c r="B26" s="10" t="s">
        <v>63</v>
      </c>
      <c r="C26" s="10" t="s">
        <v>58</v>
      </c>
      <c r="D26" s="10" t="s">
        <v>165</v>
      </c>
      <c r="E26" s="10" t="s">
        <v>47</v>
      </c>
      <c r="F26" s="10"/>
      <c r="G26" s="10" t="s">
        <v>162</v>
      </c>
      <c r="H26" s="30" t="n">
        <v>43009</v>
      </c>
      <c r="I26" s="8" t="n">
        <f aca="false">INDEX(Parâmetros!$C$13:$C$19,MATCH(E26,Parâmetros!$A$13:$A$19,0))</f>
        <v>5482</v>
      </c>
      <c r="J26" s="26" t="n">
        <f aca="false">IF(H26="","",Parâmetros!$B$5-H26)</f>
        <v>91</v>
      </c>
      <c r="K26" s="10" t="n">
        <f aca="false">INDEX(Parâmetros!$D$13:$D$19,MATCH(E26,Parâmetros!$A$13:$A$19,0))</f>
        <v>45</v>
      </c>
      <c r="L26" s="26" t="n">
        <f aca="false">IF(G26="Prospecting",Parâmetros!$B$9,IF(J26&gt;Parâmetros!$B$6,0,INDEX(Parâmetros!$C$24:$C$26,MATCH(J26,Parâmetros!$A$24:$A$26,1))))</f>
        <v>40</v>
      </c>
      <c r="M26" s="31" t="n">
        <f aca="false">IF(G26="Prospecting",1,INDEX(Parâmetros!$C$32:$C$35,MATCH(J26,Parâmetros!$A$32:$A$35,1)))</f>
        <v>1</v>
      </c>
      <c r="N26" s="2" t="n">
        <f aca="false">ROUND((K26+L26)*M26,0)</f>
        <v>85</v>
      </c>
      <c r="O26" s="10" t="str">
        <f aca="false">IF(AND(G26="Engaging",J26&gt;Parâmetros!$B$6),"Sim","Não")</f>
        <v>Não</v>
      </c>
      <c r="P26" s="32" t="str">
        <f aca="false">IF(O26="Sim","R",IF(N26&gt;=Parâmetros!$B$39,"A",IF(N26&gt;=Parâmetros!$B$40,"B",IF(N26&gt;=Parâmetros!$B$41,"C","D"))))</f>
        <v>A</v>
      </c>
      <c r="Q26" s="10" t="str">
        <f aca="false">IF(F26="","Completar cadastro","")</f>
        <v>Completar cadastro</v>
      </c>
      <c r="R26" s="10" t="str">
        <f aca="false">INDEX(Parâmetros!$D$39:$D$43,MATCH(P26,Parâmetros!$A$39:$A$43,0))</f>
        <v>Prioridade máxima: próximo passo em até 48h</v>
      </c>
    </row>
    <row r="27" customFormat="false" ht="15" hidden="false" customHeight="false" outlineLevel="0" collapsed="false">
      <c r="A27" s="10" t="s">
        <v>195</v>
      </c>
      <c r="B27" s="10" t="s">
        <v>83</v>
      </c>
      <c r="C27" s="10" t="s">
        <v>78</v>
      </c>
      <c r="D27" s="10" t="s">
        <v>196</v>
      </c>
      <c r="E27" s="10" t="s">
        <v>48</v>
      </c>
      <c r="F27" s="10"/>
      <c r="G27" s="10" t="s">
        <v>162</v>
      </c>
      <c r="H27" s="30" t="n">
        <v>42962</v>
      </c>
      <c r="I27" s="8" t="n">
        <f aca="false">INDEX(Parâmetros!$C$13:$C$19,MATCH(E27,Parâmetros!$A$13:$A$19,0))</f>
        <v>4821</v>
      </c>
      <c r="J27" s="26" t="n">
        <f aca="false">IF(H27="","",Parâmetros!$B$5-H27)</f>
        <v>138</v>
      </c>
      <c r="K27" s="10" t="n">
        <f aca="false">INDEX(Parâmetros!$D$13:$D$19,MATCH(E27,Parâmetros!$A$13:$A$19,0))</f>
        <v>43</v>
      </c>
      <c r="L27" s="26" t="n">
        <f aca="false">IF(G27="Prospecting",Parâmetros!$B$9,IF(J27&gt;Parâmetros!$B$6,0,INDEX(Parâmetros!$C$24:$C$26,MATCH(J27,Parâmetros!$A$24:$A$26,1))))</f>
        <v>40</v>
      </c>
      <c r="M27" s="31" t="n">
        <f aca="false">IF(G27="Prospecting",1,INDEX(Parâmetros!$C$32:$C$35,MATCH(J27,Parâmetros!$A$32:$A$35,1)))</f>
        <v>1</v>
      </c>
      <c r="N27" s="2" t="n">
        <f aca="false">ROUND((K27+L27)*M27,0)</f>
        <v>83</v>
      </c>
      <c r="O27" s="10" t="str">
        <f aca="false">IF(AND(G27="Engaging",J27&gt;Parâmetros!$B$6),"Sim","Não")</f>
        <v>Não</v>
      </c>
      <c r="P27" s="32" t="str">
        <f aca="false">IF(O27="Sim","R",IF(N27&gt;=Parâmetros!$B$39,"A",IF(N27&gt;=Parâmetros!$B$40,"B",IF(N27&gt;=Parâmetros!$B$41,"C","D"))))</f>
        <v>A</v>
      </c>
      <c r="Q27" s="10" t="str">
        <f aca="false">IF(F27="","Completar cadastro","")</f>
        <v>Completar cadastro</v>
      </c>
      <c r="R27" s="10" t="str">
        <f aca="false">INDEX(Parâmetros!$D$39:$D$43,MATCH(P27,Parâmetros!$A$39:$A$43,0))</f>
        <v>Prioridade máxima: próximo passo em até 48h</v>
      </c>
    </row>
    <row r="28" customFormat="false" ht="15" hidden="false" customHeight="false" outlineLevel="0" collapsed="false">
      <c r="A28" s="10" t="s">
        <v>197</v>
      </c>
      <c r="B28" s="10" t="s">
        <v>70</v>
      </c>
      <c r="C28" s="10" t="s">
        <v>65</v>
      </c>
      <c r="D28" s="10" t="s">
        <v>160</v>
      </c>
      <c r="E28" s="10" t="s">
        <v>48</v>
      </c>
      <c r="F28" s="10"/>
      <c r="G28" s="10" t="s">
        <v>162</v>
      </c>
      <c r="H28" s="30" t="n">
        <v>42962</v>
      </c>
      <c r="I28" s="8" t="n">
        <f aca="false">INDEX(Parâmetros!$C$13:$C$19,MATCH(E28,Parâmetros!$A$13:$A$19,0))</f>
        <v>4821</v>
      </c>
      <c r="J28" s="26" t="n">
        <f aca="false">IF(H28="","",Parâmetros!$B$5-H28)</f>
        <v>138</v>
      </c>
      <c r="K28" s="10" t="n">
        <f aca="false">INDEX(Parâmetros!$D$13:$D$19,MATCH(E28,Parâmetros!$A$13:$A$19,0))</f>
        <v>43</v>
      </c>
      <c r="L28" s="26" t="n">
        <f aca="false">IF(G28="Prospecting",Parâmetros!$B$9,IF(J28&gt;Parâmetros!$B$6,0,INDEX(Parâmetros!$C$24:$C$26,MATCH(J28,Parâmetros!$A$24:$A$26,1))))</f>
        <v>40</v>
      </c>
      <c r="M28" s="31" t="n">
        <f aca="false">IF(G28="Prospecting",1,INDEX(Parâmetros!$C$32:$C$35,MATCH(J28,Parâmetros!$A$32:$A$35,1)))</f>
        <v>1</v>
      </c>
      <c r="N28" s="2" t="n">
        <f aca="false">ROUND((K28+L28)*M28,0)</f>
        <v>83</v>
      </c>
      <c r="O28" s="10" t="str">
        <f aca="false">IF(AND(G28="Engaging",J28&gt;Parâmetros!$B$6),"Sim","Não")</f>
        <v>Não</v>
      </c>
      <c r="P28" s="32" t="str">
        <f aca="false">IF(O28="Sim","R",IF(N28&gt;=Parâmetros!$B$39,"A",IF(N28&gt;=Parâmetros!$B$40,"B",IF(N28&gt;=Parâmetros!$B$41,"C","D"))))</f>
        <v>A</v>
      </c>
      <c r="Q28" s="10" t="str">
        <f aca="false">IF(F28="","Completar cadastro","")</f>
        <v>Completar cadastro</v>
      </c>
      <c r="R28" s="10" t="str">
        <f aca="false">INDEX(Parâmetros!$D$39:$D$43,MATCH(P28,Parâmetros!$A$39:$A$43,0))</f>
        <v>Prioridade máxima: próximo passo em até 48h</v>
      </c>
    </row>
    <row r="29" customFormat="false" ht="15" hidden="false" customHeight="false" outlineLevel="0" collapsed="false">
      <c r="A29" s="10" t="s">
        <v>198</v>
      </c>
      <c r="B29" s="10" t="s">
        <v>97</v>
      </c>
      <c r="C29" s="10" t="s">
        <v>92</v>
      </c>
      <c r="D29" s="10" t="s">
        <v>160</v>
      </c>
      <c r="E29" s="10" t="s">
        <v>48</v>
      </c>
      <c r="F29" s="10" t="s">
        <v>199</v>
      </c>
      <c r="G29" s="10" t="s">
        <v>162</v>
      </c>
      <c r="H29" s="30" t="n">
        <v>42962</v>
      </c>
      <c r="I29" s="8" t="n">
        <f aca="false">INDEX(Parâmetros!$C$13:$C$19,MATCH(E29,Parâmetros!$A$13:$A$19,0))</f>
        <v>4821</v>
      </c>
      <c r="J29" s="26" t="n">
        <f aca="false">IF(H29="","",Parâmetros!$B$5-H29)</f>
        <v>138</v>
      </c>
      <c r="K29" s="10" t="n">
        <f aca="false">INDEX(Parâmetros!$D$13:$D$19,MATCH(E29,Parâmetros!$A$13:$A$19,0))</f>
        <v>43</v>
      </c>
      <c r="L29" s="26" t="n">
        <f aca="false">IF(G29="Prospecting",Parâmetros!$B$9,IF(J29&gt;Parâmetros!$B$6,0,INDEX(Parâmetros!$C$24:$C$26,MATCH(J29,Parâmetros!$A$24:$A$26,1))))</f>
        <v>40</v>
      </c>
      <c r="M29" s="31" t="n">
        <f aca="false">IF(G29="Prospecting",1,INDEX(Parâmetros!$C$32:$C$35,MATCH(J29,Parâmetros!$A$32:$A$35,1)))</f>
        <v>1</v>
      </c>
      <c r="N29" s="2" t="n">
        <f aca="false">ROUND((K29+L29)*M29,0)</f>
        <v>83</v>
      </c>
      <c r="O29" s="10" t="str">
        <f aca="false">IF(AND(G29="Engaging",J29&gt;Parâmetros!$B$6),"Sim","Não")</f>
        <v>Não</v>
      </c>
      <c r="P29" s="32" t="str">
        <f aca="false">IF(O29="Sim","R",IF(N29&gt;=Parâmetros!$B$39,"A",IF(N29&gt;=Parâmetros!$B$40,"B",IF(N29&gt;=Parâmetros!$B$41,"C","D"))))</f>
        <v>A</v>
      </c>
      <c r="Q29" s="10" t="str">
        <f aca="false">IF(F29="","Completar cadastro","")</f>
        <v/>
      </c>
      <c r="R29" s="10" t="str">
        <f aca="false">INDEX(Parâmetros!$D$39:$D$43,MATCH(P29,Parâmetros!$A$39:$A$43,0))</f>
        <v>Prioridade máxima: próximo passo em até 48h</v>
      </c>
    </row>
    <row r="30" customFormat="false" ht="15" hidden="false" customHeight="false" outlineLevel="0" collapsed="false">
      <c r="A30" s="10" t="s">
        <v>200</v>
      </c>
      <c r="B30" s="10" t="s">
        <v>87</v>
      </c>
      <c r="C30" s="10" t="s">
        <v>85</v>
      </c>
      <c r="D30" s="10" t="s">
        <v>165</v>
      </c>
      <c r="E30" s="10" t="s">
        <v>48</v>
      </c>
      <c r="F30" s="10"/>
      <c r="G30" s="10" t="s">
        <v>162</v>
      </c>
      <c r="H30" s="30" t="n">
        <v>42964</v>
      </c>
      <c r="I30" s="8" t="n">
        <f aca="false">INDEX(Parâmetros!$C$13:$C$19,MATCH(E30,Parâmetros!$A$13:$A$19,0))</f>
        <v>4821</v>
      </c>
      <c r="J30" s="26" t="n">
        <f aca="false">IF(H30="","",Parâmetros!$B$5-H30)</f>
        <v>136</v>
      </c>
      <c r="K30" s="10" t="n">
        <f aca="false">INDEX(Parâmetros!$D$13:$D$19,MATCH(E30,Parâmetros!$A$13:$A$19,0))</f>
        <v>43</v>
      </c>
      <c r="L30" s="26" t="n">
        <f aca="false">IF(G30="Prospecting",Parâmetros!$B$9,IF(J30&gt;Parâmetros!$B$6,0,INDEX(Parâmetros!$C$24:$C$26,MATCH(J30,Parâmetros!$A$24:$A$26,1))))</f>
        <v>40</v>
      </c>
      <c r="M30" s="31" t="n">
        <f aca="false">IF(G30="Prospecting",1,INDEX(Parâmetros!$C$32:$C$35,MATCH(J30,Parâmetros!$A$32:$A$35,1)))</f>
        <v>1</v>
      </c>
      <c r="N30" s="2" t="n">
        <f aca="false">ROUND((K30+L30)*M30,0)</f>
        <v>83</v>
      </c>
      <c r="O30" s="10" t="str">
        <f aca="false">IF(AND(G30="Engaging",J30&gt;Parâmetros!$B$6),"Sim","Não")</f>
        <v>Não</v>
      </c>
      <c r="P30" s="32" t="str">
        <f aca="false">IF(O30="Sim","R",IF(N30&gt;=Parâmetros!$B$39,"A",IF(N30&gt;=Parâmetros!$B$40,"B",IF(N30&gt;=Parâmetros!$B$41,"C","D"))))</f>
        <v>A</v>
      </c>
      <c r="Q30" s="10" t="str">
        <f aca="false">IF(F30="","Completar cadastro","")</f>
        <v>Completar cadastro</v>
      </c>
      <c r="R30" s="10" t="str">
        <f aca="false">INDEX(Parâmetros!$D$39:$D$43,MATCH(P30,Parâmetros!$A$39:$A$43,0))</f>
        <v>Prioridade máxima: próximo passo em até 48h</v>
      </c>
    </row>
    <row r="31" customFormat="false" ht="15" hidden="false" customHeight="false" outlineLevel="0" collapsed="false">
      <c r="A31" s="10" t="s">
        <v>201</v>
      </c>
      <c r="B31" s="10" t="s">
        <v>87</v>
      </c>
      <c r="C31" s="10" t="s">
        <v>85</v>
      </c>
      <c r="D31" s="10" t="s">
        <v>165</v>
      </c>
      <c r="E31" s="10" t="s">
        <v>48</v>
      </c>
      <c r="F31" s="10"/>
      <c r="G31" s="10" t="s">
        <v>162</v>
      </c>
      <c r="H31" s="30" t="n">
        <v>42964</v>
      </c>
      <c r="I31" s="8" t="n">
        <f aca="false">INDEX(Parâmetros!$C$13:$C$19,MATCH(E31,Parâmetros!$A$13:$A$19,0))</f>
        <v>4821</v>
      </c>
      <c r="J31" s="26" t="n">
        <f aca="false">IF(H31="","",Parâmetros!$B$5-H31)</f>
        <v>136</v>
      </c>
      <c r="K31" s="10" t="n">
        <f aca="false">INDEX(Parâmetros!$D$13:$D$19,MATCH(E31,Parâmetros!$A$13:$A$19,0))</f>
        <v>43</v>
      </c>
      <c r="L31" s="26" t="n">
        <f aca="false">IF(G31="Prospecting",Parâmetros!$B$9,IF(J31&gt;Parâmetros!$B$6,0,INDEX(Parâmetros!$C$24:$C$26,MATCH(J31,Parâmetros!$A$24:$A$26,1))))</f>
        <v>40</v>
      </c>
      <c r="M31" s="31" t="n">
        <f aca="false">IF(G31="Prospecting",1,INDEX(Parâmetros!$C$32:$C$35,MATCH(J31,Parâmetros!$A$32:$A$35,1)))</f>
        <v>1</v>
      </c>
      <c r="N31" s="2" t="n">
        <f aca="false">ROUND((K31+L31)*M31,0)</f>
        <v>83</v>
      </c>
      <c r="O31" s="10" t="str">
        <f aca="false">IF(AND(G31="Engaging",J31&gt;Parâmetros!$B$6),"Sim","Não")</f>
        <v>Não</v>
      </c>
      <c r="P31" s="32" t="str">
        <f aca="false">IF(O31="Sim","R",IF(N31&gt;=Parâmetros!$B$39,"A",IF(N31&gt;=Parâmetros!$B$40,"B",IF(N31&gt;=Parâmetros!$B$41,"C","D"))))</f>
        <v>A</v>
      </c>
      <c r="Q31" s="10" t="str">
        <f aca="false">IF(F31="","Completar cadastro","")</f>
        <v>Completar cadastro</v>
      </c>
      <c r="R31" s="10" t="str">
        <f aca="false">INDEX(Parâmetros!$D$39:$D$43,MATCH(P31,Parâmetros!$A$39:$A$43,0))</f>
        <v>Prioridade máxima: próximo passo em até 48h</v>
      </c>
    </row>
    <row r="32" customFormat="false" ht="15" hidden="false" customHeight="false" outlineLevel="0" collapsed="false">
      <c r="A32" s="10" t="s">
        <v>202</v>
      </c>
      <c r="B32" s="10" t="s">
        <v>94</v>
      </c>
      <c r="C32" s="10" t="s">
        <v>92</v>
      </c>
      <c r="D32" s="10" t="s">
        <v>160</v>
      </c>
      <c r="E32" s="10" t="s">
        <v>48</v>
      </c>
      <c r="F32" s="10"/>
      <c r="G32" s="10" t="s">
        <v>162</v>
      </c>
      <c r="H32" s="30" t="n">
        <v>42965</v>
      </c>
      <c r="I32" s="8" t="n">
        <f aca="false">INDEX(Parâmetros!$C$13:$C$19,MATCH(E32,Parâmetros!$A$13:$A$19,0))</f>
        <v>4821</v>
      </c>
      <c r="J32" s="26" t="n">
        <f aca="false">IF(H32="","",Parâmetros!$B$5-H32)</f>
        <v>135</v>
      </c>
      <c r="K32" s="10" t="n">
        <f aca="false">INDEX(Parâmetros!$D$13:$D$19,MATCH(E32,Parâmetros!$A$13:$A$19,0))</f>
        <v>43</v>
      </c>
      <c r="L32" s="26" t="n">
        <f aca="false">IF(G32="Prospecting",Parâmetros!$B$9,IF(J32&gt;Parâmetros!$B$6,0,INDEX(Parâmetros!$C$24:$C$26,MATCH(J32,Parâmetros!$A$24:$A$26,1))))</f>
        <v>40</v>
      </c>
      <c r="M32" s="31" t="n">
        <f aca="false">IF(G32="Prospecting",1,INDEX(Parâmetros!$C$32:$C$35,MATCH(J32,Parâmetros!$A$32:$A$35,1)))</f>
        <v>1</v>
      </c>
      <c r="N32" s="2" t="n">
        <f aca="false">ROUND((K32+L32)*M32,0)</f>
        <v>83</v>
      </c>
      <c r="O32" s="10" t="str">
        <f aca="false">IF(AND(G32="Engaging",J32&gt;Parâmetros!$B$6),"Sim","Não")</f>
        <v>Não</v>
      </c>
      <c r="P32" s="32" t="str">
        <f aca="false">IF(O32="Sim","R",IF(N32&gt;=Parâmetros!$B$39,"A",IF(N32&gt;=Parâmetros!$B$40,"B",IF(N32&gt;=Parâmetros!$B$41,"C","D"))))</f>
        <v>A</v>
      </c>
      <c r="Q32" s="10" t="str">
        <f aca="false">IF(F32="","Completar cadastro","")</f>
        <v>Completar cadastro</v>
      </c>
      <c r="R32" s="10" t="str">
        <f aca="false">INDEX(Parâmetros!$D$39:$D$43,MATCH(P32,Parâmetros!$A$39:$A$43,0))</f>
        <v>Prioridade máxima: próximo passo em até 48h</v>
      </c>
    </row>
    <row r="33" customFormat="false" ht="15" hidden="false" customHeight="false" outlineLevel="0" collapsed="false">
      <c r="A33" s="10" t="s">
        <v>203</v>
      </c>
      <c r="B33" s="10" t="s">
        <v>96</v>
      </c>
      <c r="C33" s="10" t="s">
        <v>92</v>
      </c>
      <c r="D33" s="10" t="s">
        <v>160</v>
      </c>
      <c r="E33" s="10" t="s">
        <v>48</v>
      </c>
      <c r="F33" s="10"/>
      <c r="G33" s="10" t="s">
        <v>162</v>
      </c>
      <c r="H33" s="30" t="n">
        <v>42967</v>
      </c>
      <c r="I33" s="8" t="n">
        <f aca="false">INDEX(Parâmetros!$C$13:$C$19,MATCH(E33,Parâmetros!$A$13:$A$19,0))</f>
        <v>4821</v>
      </c>
      <c r="J33" s="26" t="n">
        <f aca="false">IF(H33="","",Parâmetros!$B$5-H33)</f>
        <v>133</v>
      </c>
      <c r="K33" s="10" t="n">
        <f aca="false">INDEX(Parâmetros!$D$13:$D$19,MATCH(E33,Parâmetros!$A$13:$A$19,0))</f>
        <v>43</v>
      </c>
      <c r="L33" s="26" t="n">
        <f aca="false">IF(G33="Prospecting",Parâmetros!$B$9,IF(J33&gt;Parâmetros!$B$6,0,INDEX(Parâmetros!$C$24:$C$26,MATCH(J33,Parâmetros!$A$24:$A$26,1))))</f>
        <v>40</v>
      </c>
      <c r="M33" s="31" t="n">
        <f aca="false">IF(G33="Prospecting",1,INDEX(Parâmetros!$C$32:$C$35,MATCH(J33,Parâmetros!$A$32:$A$35,1)))</f>
        <v>1</v>
      </c>
      <c r="N33" s="2" t="n">
        <f aca="false">ROUND((K33+L33)*M33,0)</f>
        <v>83</v>
      </c>
      <c r="O33" s="10" t="str">
        <f aca="false">IF(AND(G33="Engaging",J33&gt;Parâmetros!$B$6),"Sim","Não")</f>
        <v>Não</v>
      </c>
      <c r="P33" s="32" t="str">
        <f aca="false">IF(O33="Sim","R",IF(N33&gt;=Parâmetros!$B$39,"A",IF(N33&gt;=Parâmetros!$B$40,"B",IF(N33&gt;=Parâmetros!$B$41,"C","D"))))</f>
        <v>A</v>
      </c>
      <c r="Q33" s="10" t="str">
        <f aca="false">IF(F33="","Completar cadastro","")</f>
        <v>Completar cadastro</v>
      </c>
      <c r="R33" s="10" t="str">
        <f aca="false">INDEX(Parâmetros!$D$39:$D$43,MATCH(P33,Parâmetros!$A$39:$A$43,0))</f>
        <v>Prioridade máxima: próximo passo em até 48h</v>
      </c>
    </row>
    <row r="34" customFormat="false" ht="15" hidden="false" customHeight="false" outlineLevel="0" collapsed="false">
      <c r="A34" s="10" t="s">
        <v>204</v>
      </c>
      <c r="B34" s="10" t="s">
        <v>97</v>
      </c>
      <c r="C34" s="10" t="s">
        <v>92</v>
      </c>
      <c r="D34" s="10" t="s">
        <v>160</v>
      </c>
      <c r="E34" s="10" t="s">
        <v>48</v>
      </c>
      <c r="F34" s="10"/>
      <c r="G34" s="10" t="s">
        <v>162</v>
      </c>
      <c r="H34" s="30" t="n">
        <v>42969</v>
      </c>
      <c r="I34" s="8" t="n">
        <f aca="false">INDEX(Parâmetros!$C$13:$C$19,MATCH(E34,Parâmetros!$A$13:$A$19,0))</f>
        <v>4821</v>
      </c>
      <c r="J34" s="26" t="n">
        <f aca="false">IF(H34="","",Parâmetros!$B$5-H34)</f>
        <v>131</v>
      </c>
      <c r="K34" s="10" t="n">
        <f aca="false">INDEX(Parâmetros!$D$13:$D$19,MATCH(E34,Parâmetros!$A$13:$A$19,0))</f>
        <v>43</v>
      </c>
      <c r="L34" s="26" t="n">
        <f aca="false">IF(G34="Prospecting",Parâmetros!$B$9,IF(J34&gt;Parâmetros!$B$6,0,INDEX(Parâmetros!$C$24:$C$26,MATCH(J34,Parâmetros!$A$24:$A$26,1))))</f>
        <v>40</v>
      </c>
      <c r="M34" s="31" t="n">
        <f aca="false">IF(G34="Prospecting",1,INDEX(Parâmetros!$C$32:$C$35,MATCH(J34,Parâmetros!$A$32:$A$35,1)))</f>
        <v>1</v>
      </c>
      <c r="N34" s="2" t="n">
        <f aca="false">ROUND((K34+L34)*M34,0)</f>
        <v>83</v>
      </c>
      <c r="O34" s="10" t="str">
        <f aca="false">IF(AND(G34="Engaging",J34&gt;Parâmetros!$B$6),"Sim","Não")</f>
        <v>Não</v>
      </c>
      <c r="P34" s="32" t="str">
        <f aca="false">IF(O34="Sim","R",IF(N34&gt;=Parâmetros!$B$39,"A",IF(N34&gt;=Parâmetros!$B$40,"B",IF(N34&gt;=Parâmetros!$B$41,"C","D"))))</f>
        <v>A</v>
      </c>
      <c r="Q34" s="10" t="str">
        <f aca="false">IF(F34="","Completar cadastro","")</f>
        <v>Completar cadastro</v>
      </c>
      <c r="R34" s="10" t="str">
        <f aca="false">INDEX(Parâmetros!$D$39:$D$43,MATCH(P34,Parâmetros!$A$39:$A$43,0))</f>
        <v>Prioridade máxima: próximo passo em até 48h</v>
      </c>
    </row>
    <row r="35" customFormat="false" ht="15" hidden="false" customHeight="false" outlineLevel="0" collapsed="false">
      <c r="A35" s="10" t="s">
        <v>205</v>
      </c>
      <c r="B35" s="10" t="s">
        <v>87</v>
      </c>
      <c r="C35" s="10" t="s">
        <v>85</v>
      </c>
      <c r="D35" s="10" t="s">
        <v>165</v>
      </c>
      <c r="E35" s="10" t="s">
        <v>48</v>
      </c>
      <c r="F35" s="10"/>
      <c r="G35" s="10" t="s">
        <v>162</v>
      </c>
      <c r="H35" s="30" t="n">
        <v>42970</v>
      </c>
      <c r="I35" s="8" t="n">
        <f aca="false">INDEX(Parâmetros!$C$13:$C$19,MATCH(E35,Parâmetros!$A$13:$A$19,0))</f>
        <v>4821</v>
      </c>
      <c r="J35" s="26" t="n">
        <f aca="false">IF(H35="","",Parâmetros!$B$5-H35)</f>
        <v>130</v>
      </c>
      <c r="K35" s="10" t="n">
        <f aca="false">INDEX(Parâmetros!$D$13:$D$19,MATCH(E35,Parâmetros!$A$13:$A$19,0))</f>
        <v>43</v>
      </c>
      <c r="L35" s="26" t="n">
        <f aca="false">IF(G35="Prospecting",Parâmetros!$B$9,IF(J35&gt;Parâmetros!$B$6,0,INDEX(Parâmetros!$C$24:$C$26,MATCH(J35,Parâmetros!$A$24:$A$26,1))))</f>
        <v>40</v>
      </c>
      <c r="M35" s="31" t="n">
        <f aca="false">IF(G35="Prospecting",1,INDEX(Parâmetros!$C$32:$C$35,MATCH(J35,Parâmetros!$A$32:$A$35,1)))</f>
        <v>1</v>
      </c>
      <c r="N35" s="2" t="n">
        <f aca="false">ROUND((K35+L35)*M35,0)</f>
        <v>83</v>
      </c>
      <c r="O35" s="10" t="str">
        <f aca="false">IF(AND(G35="Engaging",J35&gt;Parâmetros!$B$6),"Sim","Não")</f>
        <v>Não</v>
      </c>
      <c r="P35" s="32" t="str">
        <f aca="false">IF(O35="Sim","R",IF(N35&gt;=Parâmetros!$B$39,"A",IF(N35&gt;=Parâmetros!$B$40,"B",IF(N35&gt;=Parâmetros!$B$41,"C","D"))))</f>
        <v>A</v>
      </c>
      <c r="Q35" s="10" t="str">
        <f aca="false">IF(F35="","Completar cadastro","")</f>
        <v>Completar cadastro</v>
      </c>
      <c r="R35" s="10" t="str">
        <f aca="false">INDEX(Parâmetros!$D$39:$D$43,MATCH(P35,Parâmetros!$A$39:$A$43,0))</f>
        <v>Prioridade máxima: próximo passo em até 48h</v>
      </c>
    </row>
    <row r="36" customFormat="false" ht="15" hidden="false" customHeight="false" outlineLevel="0" collapsed="false">
      <c r="A36" s="10" t="s">
        <v>206</v>
      </c>
      <c r="B36" s="10" t="s">
        <v>62</v>
      </c>
      <c r="C36" s="10" t="s">
        <v>58</v>
      </c>
      <c r="D36" s="10" t="s">
        <v>165</v>
      </c>
      <c r="E36" s="10" t="s">
        <v>48</v>
      </c>
      <c r="F36" s="10"/>
      <c r="G36" s="10" t="s">
        <v>162</v>
      </c>
      <c r="H36" s="30" t="n">
        <v>42970</v>
      </c>
      <c r="I36" s="8" t="n">
        <f aca="false">INDEX(Parâmetros!$C$13:$C$19,MATCH(E36,Parâmetros!$A$13:$A$19,0))</f>
        <v>4821</v>
      </c>
      <c r="J36" s="26" t="n">
        <f aca="false">IF(H36="","",Parâmetros!$B$5-H36)</f>
        <v>130</v>
      </c>
      <c r="K36" s="10" t="n">
        <f aca="false">INDEX(Parâmetros!$D$13:$D$19,MATCH(E36,Parâmetros!$A$13:$A$19,0))</f>
        <v>43</v>
      </c>
      <c r="L36" s="26" t="n">
        <f aca="false">IF(G36="Prospecting",Parâmetros!$B$9,IF(J36&gt;Parâmetros!$B$6,0,INDEX(Parâmetros!$C$24:$C$26,MATCH(J36,Parâmetros!$A$24:$A$26,1))))</f>
        <v>40</v>
      </c>
      <c r="M36" s="31" t="n">
        <f aca="false">IF(G36="Prospecting",1,INDEX(Parâmetros!$C$32:$C$35,MATCH(J36,Parâmetros!$A$32:$A$35,1)))</f>
        <v>1</v>
      </c>
      <c r="N36" s="2" t="n">
        <f aca="false">ROUND((K36+L36)*M36,0)</f>
        <v>83</v>
      </c>
      <c r="O36" s="10" t="str">
        <f aca="false">IF(AND(G36="Engaging",J36&gt;Parâmetros!$B$6),"Sim","Não")</f>
        <v>Não</v>
      </c>
      <c r="P36" s="32" t="str">
        <f aca="false">IF(O36="Sim","R",IF(N36&gt;=Parâmetros!$B$39,"A",IF(N36&gt;=Parâmetros!$B$40,"B",IF(N36&gt;=Parâmetros!$B$41,"C","D"))))</f>
        <v>A</v>
      </c>
      <c r="Q36" s="10" t="str">
        <f aca="false">IF(F36="","Completar cadastro","")</f>
        <v>Completar cadastro</v>
      </c>
      <c r="R36" s="10" t="str">
        <f aca="false">INDEX(Parâmetros!$D$39:$D$43,MATCH(P36,Parâmetros!$A$39:$A$43,0))</f>
        <v>Prioridade máxima: próximo passo em até 48h</v>
      </c>
    </row>
    <row r="37" customFormat="false" ht="15" hidden="false" customHeight="false" outlineLevel="0" collapsed="false">
      <c r="A37" s="10" t="s">
        <v>207</v>
      </c>
      <c r="B37" s="10" t="s">
        <v>86</v>
      </c>
      <c r="C37" s="10" t="s">
        <v>85</v>
      </c>
      <c r="D37" s="10" t="s">
        <v>165</v>
      </c>
      <c r="E37" s="10" t="s">
        <v>48</v>
      </c>
      <c r="F37" s="10"/>
      <c r="G37" s="10" t="s">
        <v>162</v>
      </c>
      <c r="H37" s="30" t="n">
        <v>42971</v>
      </c>
      <c r="I37" s="8" t="n">
        <f aca="false">INDEX(Parâmetros!$C$13:$C$19,MATCH(E37,Parâmetros!$A$13:$A$19,0))</f>
        <v>4821</v>
      </c>
      <c r="J37" s="26" t="n">
        <f aca="false">IF(H37="","",Parâmetros!$B$5-H37)</f>
        <v>129</v>
      </c>
      <c r="K37" s="10" t="n">
        <f aca="false">INDEX(Parâmetros!$D$13:$D$19,MATCH(E37,Parâmetros!$A$13:$A$19,0))</f>
        <v>43</v>
      </c>
      <c r="L37" s="26" t="n">
        <f aca="false">IF(G37="Prospecting",Parâmetros!$B$9,IF(J37&gt;Parâmetros!$B$6,0,INDEX(Parâmetros!$C$24:$C$26,MATCH(J37,Parâmetros!$A$24:$A$26,1))))</f>
        <v>40</v>
      </c>
      <c r="M37" s="31" t="n">
        <f aca="false">IF(G37="Prospecting",1,INDEX(Parâmetros!$C$32:$C$35,MATCH(J37,Parâmetros!$A$32:$A$35,1)))</f>
        <v>1</v>
      </c>
      <c r="N37" s="2" t="n">
        <f aca="false">ROUND((K37+L37)*M37,0)</f>
        <v>83</v>
      </c>
      <c r="O37" s="10" t="str">
        <f aca="false">IF(AND(G37="Engaging",J37&gt;Parâmetros!$B$6),"Sim","Não")</f>
        <v>Não</v>
      </c>
      <c r="P37" s="32" t="str">
        <f aca="false">IF(O37="Sim","R",IF(N37&gt;=Parâmetros!$B$39,"A",IF(N37&gt;=Parâmetros!$B$40,"B",IF(N37&gt;=Parâmetros!$B$41,"C","D"))))</f>
        <v>A</v>
      </c>
      <c r="Q37" s="10" t="str">
        <f aca="false">IF(F37="","Completar cadastro","")</f>
        <v>Completar cadastro</v>
      </c>
      <c r="R37" s="10" t="str">
        <f aca="false">INDEX(Parâmetros!$D$39:$D$43,MATCH(P37,Parâmetros!$A$39:$A$43,0))</f>
        <v>Prioridade máxima: próximo passo em até 48h</v>
      </c>
    </row>
    <row r="38" customFormat="false" ht="15" hidden="false" customHeight="false" outlineLevel="0" collapsed="false">
      <c r="A38" s="10" t="s">
        <v>208</v>
      </c>
      <c r="B38" s="10" t="s">
        <v>94</v>
      </c>
      <c r="C38" s="10" t="s">
        <v>92</v>
      </c>
      <c r="D38" s="10" t="s">
        <v>160</v>
      </c>
      <c r="E38" s="10" t="s">
        <v>48</v>
      </c>
      <c r="F38" s="10"/>
      <c r="G38" s="10" t="s">
        <v>162</v>
      </c>
      <c r="H38" s="30" t="n">
        <v>42971</v>
      </c>
      <c r="I38" s="8" t="n">
        <f aca="false">INDEX(Parâmetros!$C$13:$C$19,MATCH(E38,Parâmetros!$A$13:$A$19,0))</f>
        <v>4821</v>
      </c>
      <c r="J38" s="26" t="n">
        <f aca="false">IF(H38="","",Parâmetros!$B$5-H38)</f>
        <v>129</v>
      </c>
      <c r="K38" s="10" t="n">
        <f aca="false">INDEX(Parâmetros!$D$13:$D$19,MATCH(E38,Parâmetros!$A$13:$A$19,0))</f>
        <v>43</v>
      </c>
      <c r="L38" s="26" t="n">
        <f aca="false">IF(G38="Prospecting",Parâmetros!$B$9,IF(J38&gt;Parâmetros!$B$6,0,INDEX(Parâmetros!$C$24:$C$26,MATCH(J38,Parâmetros!$A$24:$A$26,1))))</f>
        <v>40</v>
      </c>
      <c r="M38" s="31" t="n">
        <f aca="false">IF(G38="Prospecting",1,INDEX(Parâmetros!$C$32:$C$35,MATCH(J38,Parâmetros!$A$32:$A$35,1)))</f>
        <v>1</v>
      </c>
      <c r="N38" s="2" t="n">
        <f aca="false">ROUND((K38+L38)*M38,0)</f>
        <v>83</v>
      </c>
      <c r="O38" s="10" t="str">
        <f aca="false">IF(AND(G38="Engaging",J38&gt;Parâmetros!$B$6),"Sim","Não")</f>
        <v>Não</v>
      </c>
      <c r="P38" s="32" t="str">
        <f aca="false">IF(O38="Sim","R",IF(N38&gt;=Parâmetros!$B$39,"A",IF(N38&gt;=Parâmetros!$B$40,"B",IF(N38&gt;=Parâmetros!$B$41,"C","D"))))</f>
        <v>A</v>
      </c>
      <c r="Q38" s="10" t="str">
        <f aca="false">IF(F38="","Completar cadastro","")</f>
        <v>Completar cadastro</v>
      </c>
      <c r="R38" s="10" t="str">
        <f aca="false">INDEX(Parâmetros!$D$39:$D$43,MATCH(P38,Parâmetros!$A$39:$A$43,0))</f>
        <v>Prioridade máxima: próximo passo em até 48h</v>
      </c>
    </row>
    <row r="39" customFormat="false" ht="15" hidden="false" customHeight="false" outlineLevel="0" collapsed="false">
      <c r="A39" s="10" t="s">
        <v>209</v>
      </c>
      <c r="B39" s="10" t="s">
        <v>97</v>
      </c>
      <c r="C39" s="10" t="s">
        <v>92</v>
      </c>
      <c r="D39" s="10" t="s">
        <v>160</v>
      </c>
      <c r="E39" s="10" t="s">
        <v>48</v>
      </c>
      <c r="F39" s="10" t="s">
        <v>210</v>
      </c>
      <c r="G39" s="10" t="s">
        <v>162</v>
      </c>
      <c r="H39" s="30" t="n">
        <v>42972</v>
      </c>
      <c r="I39" s="8" t="n">
        <f aca="false">INDEX(Parâmetros!$C$13:$C$19,MATCH(E39,Parâmetros!$A$13:$A$19,0))</f>
        <v>4821</v>
      </c>
      <c r="J39" s="26" t="n">
        <f aca="false">IF(H39="","",Parâmetros!$B$5-H39)</f>
        <v>128</v>
      </c>
      <c r="K39" s="10" t="n">
        <f aca="false">INDEX(Parâmetros!$D$13:$D$19,MATCH(E39,Parâmetros!$A$13:$A$19,0))</f>
        <v>43</v>
      </c>
      <c r="L39" s="26" t="n">
        <f aca="false">IF(G39="Prospecting",Parâmetros!$B$9,IF(J39&gt;Parâmetros!$B$6,0,INDEX(Parâmetros!$C$24:$C$26,MATCH(J39,Parâmetros!$A$24:$A$26,1))))</f>
        <v>40</v>
      </c>
      <c r="M39" s="31" t="n">
        <f aca="false">IF(G39="Prospecting",1,INDEX(Parâmetros!$C$32:$C$35,MATCH(J39,Parâmetros!$A$32:$A$35,1)))</f>
        <v>1</v>
      </c>
      <c r="N39" s="2" t="n">
        <f aca="false">ROUND((K39+L39)*M39,0)</f>
        <v>83</v>
      </c>
      <c r="O39" s="10" t="str">
        <f aca="false">IF(AND(G39="Engaging",J39&gt;Parâmetros!$B$6),"Sim","Não")</f>
        <v>Não</v>
      </c>
      <c r="P39" s="32" t="str">
        <f aca="false">IF(O39="Sim","R",IF(N39&gt;=Parâmetros!$B$39,"A",IF(N39&gt;=Parâmetros!$B$40,"B",IF(N39&gt;=Parâmetros!$B$41,"C","D"))))</f>
        <v>A</v>
      </c>
      <c r="Q39" s="10" t="str">
        <f aca="false">IF(F39="","Completar cadastro","")</f>
        <v/>
      </c>
      <c r="R39" s="10" t="str">
        <f aca="false">INDEX(Parâmetros!$D$39:$D$43,MATCH(P39,Parâmetros!$A$39:$A$43,0))</f>
        <v>Prioridade máxima: próximo passo em até 48h</v>
      </c>
    </row>
    <row r="40" customFormat="false" ht="15" hidden="false" customHeight="false" outlineLevel="0" collapsed="false">
      <c r="A40" s="10" t="s">
        <v>211</v>
      </c>
      <c r="B40" s="10" t="s">
        <v>97</v>
      </c>
      <c r="C40" s="10" t="s">
        <v>92</v>
      </c>
      <c r="D40" s="10" t="s">
        <v>160</v>
      </c>
      <c r="E40" s="10" t="s">
        <v>48</v>
      </c>
      <c r="F40" s="10"/>
      <c r="G40" s="10" t="s">
        <v>162</v>
      </c>
      <c r="H40" s="30" t="n">
        <v>42973</v>
      </c>
      <c r="I40" s="8" t="n">
        <f aca="false">INDEX(Parâmetros!$C$13:$C$19,MATCH(E40,Parâmetros!$A$13:$A$19,0))</f>
        <v>4821</v>
      </c>
      <c r="J40" s="26" t="n">
        <f aca="false">IF(H40="","",Parâmetros!$B$5-H40)</f>
        <v>127</v>
      </c>
      <c r="K40" s="10" t="n">
        <f aca="false">INDEX(Parâmetros!$D$13:$D$19,MATCH(E40,Parâmetros!$A$13:$A$19,0))</f>
        <v>43</v>
      </c>
      <c r="L40" s="26" t="n">
        <f aca="false">IF(G40="Prospecting",Parâmetros!$B$9,IF(J40&gt;Parâmetros!$B$6,0,INDEX(Parâmetros!$C$24:$C$26,MATCH(J40,Parâmetros!$A$24:$A$26,1))))</f>
        <v>40</v>
      </c>
      <c r="M40" s="31" t="n">
        <f aca="false">IF(G40="Prospecting",1,INDEX(Parâmetros!$C$32:$C$35,MATCH(J40,Parâmetros!$A$32:$A$35,1)))</f>
        <v>1</v>
      </c>
      <c r="N40" s="2" t="n">
        <f aca="false">ROUND((K40+L40)*M40,0)</f>
        <v>83</v>
      </c>
      <c r="O40" s="10" t="str">
        <f aca="false">IF(AND(G40="Engaging",J40&gt;Parâmetros!$B$6),"Sim","Não")</f>
        <v>Não</v>
      </c>
      <c r="P40" s="32" t="str">
        <f aca="false">IF(O40="Sim","R",IF(N40&gt;=Parâmetros!$B$39,"A",IF(N40&gt;=Parâmetros!$B$40,"B",IF(N40&gt;=Parâmetros!$B$41,"C","D"))))</f>
        <v>A</v>
      </c>
      <c r="Q40" s="10" t="str">
        <f aca="false">IF(F40="","Completar cadastro","")</f>
        <v>Completar cadastro</v>
      </c>
      <c r="R40" s="10" t="str">
        <f aca="false">INDEX(Parâmetros!$D$39:$D$43,MATCH(P40,Parâmetros!$A$39:$A$43,0))</f>
        <v>Prioridade máxima: próximo passo em até 48h</v>
      </c>
    </row>
    <row r="41" customFormat="false" ht="15" hidden="false" customHeight="false" outlineLevel="0" collapsed="false">
      <c r="A41" s="10" t="s">
        <v>212</v>
      </c>
      <c r="B41" s="10" t="s">
        <v>94</v>
      </c>
      <c r="C41" s="10" t="s">
        <v>92</v>
      </c>
      <c r="D41" s="10" t="s">
        <v>160</v>
      </c>
      <c r="E41" s="10" t="s">
        <v>48</v>
      </c>
      <c r="F41" s="10"/>
      <c r="G41" s="10" t="s">
        <v>162</v>
      </c>
      <c r="H41" s="30" t="n">
        <v>42974</v>
      </c>
      <c r="I41" s="8" t="n">
        <f aca="false">INDEX(Parâmetros!$C$13:$C$19,MATCH(E41,Parâmetros!$A$13:$A$19,0))</f>
        <v>4821</v>
      </c>
      <c r="J41" s="26" t="n">
        <f aca="false">IF(H41="","",Parâmetros!$B$5-H41)</f>
        <v>126</v>
      </c>
      <c r="K41" s="10" t="n">
        <f aca="false">INDEX(Parâmetros!$D$13:$D$19,MATCH(E41,Parâmetros!$A$13:$A$19,0))</f>
        <v>43</v>
      </c>
      <c r="L41" s="26" t="n">
        <f aca="false">IF(G41="Prospecting",Parâmetros!$B$9,IF(J41&gt;Parâmetros!$B$6,0,INDEX(Parâmetros!$C$24:$C$26,MATCH(J41,Parâmetros!$A$24:$A$26,1))))</f>
        <v>40</v>
      </c>
      <c r="M41" s="31" t="n">
        <f aca="false">IF(G41="Prospecting",1,INDEX(Parâmetros!$C$32:$C$35,MATCH(J41,Parâmetros!$A$32:$A$35,1)))</f>
        <v>1</v>
      </c>
      <c r="N41" s="2" t="n">
        <f aca="false">ROUND((K41+L41)*M41,0)</f>
        <v>83</v>
      </c>
      <c r="O41" s="10" t="str">
        <f aca="false">IF(AND(G41="Engaging",J41&gt;Parâmetros!$B$6),"Sim","Não")</f>
        <v>Não</v>
      </c>
      <c r="P41" s="32" t="str">
        <f aca="false">IF(O41="Sim","R",IF(N41&gt;=Parâmetros!$B$39,"A",IF(N41&gt;=Parâmetros!$B$40,"B",IF(N41&gt;=Parâmetros!$B$41,"C","D"))))</f>
        <v>A</v>
      </c>
      <c r="Q41" s="10" t="str">
        <f aca="false">IF(F41="","Completar cadastro","")</f>
        <v>Completar cadastro</v>
      </c>
      <c r="R41" s="10" t="str">
        <f aca="false">INDEX(Parâmetros!$D$39:$D$43,MATCH(P41,Parâmetros!$A$39:$A$43,0))</f>
        <v>Prioridade máxima: próximo passo em até 48h</v>
      </c>
    </row>
    <row r="42" customFormat="false" ht="15" hidden="false" customHeight="false" outlineLevel="0" collapsed="false">
      <c r="A42" s="10" t="s">
        <v>213</v>
      </c>
      <c r="B42" s="10" t="s">
        <v>66</v>
      </c>
      <c r="C42" s="10" t="s">
        <v>65</v>
      </c>
      <c r="D42" s="10" t="s">
        <v>160</v>
      </c>
      <c r="E42" s="10" t="s">
        <v>48</v>
      </c>
      <c r="F42" s="10"/>
      <c r="G42" s="10" t="s">
        <v>162</v>
      </c>
      <c r="H42" s="30" t="n">
        <v>42975</v>
      </c>
      <c r="I42" s="8" t="n">
        <f aca="false">INDEX(Parâmetros!$C$13:$C$19,MATCH(E42,Parâmetros!$A$13:$A$19,0))</f>
        <v>4821</v>
      </c>
      <c r="J42" s="26" t="n">
        <f aca="false">IF(H42="","",Parâmetros!$B$5-H42)</f>
        <v>125</v>
      </c>
      <c r="K42" s="10" t="n">
        <f aca="false">INDEX(Parâmetros!$D$13:$D$19,MATCH(E42,Parâmetros!$A$13:$A$19,0))</f>
        <v>43</v>
      </c>
      <c r="L42" s="26" t="n">
        <f aca="false">IF(G42="Prospecting",Parâmetros!$B$9,IF(J42&gt;Parâmetros!$B$6,0,INDEX(Parâmetros!$C$24:$C$26,MATCH(J42,Parâmetros!$A$24:$A$26,1))))</f>
        <v>40</v>
      </c>
      <c r="M42" s="31" t="n">
        <f aca="false">IF(G42="Prospecting",1,INDEX(Parâmetros!$C$32:$C$35,MATCH(J42,Parâmetros!$A$32:$A$35,1)))</f>
        <v>1</v>
      </c>
      <c r="N42" s="2" t="n">
        <f aca="false">ROUND((K42+L42)*M42,0)</f>
        <v>83</v>
      </c>
      <c r="O42" s="10" t="str">
        <f aca="false">IF(AND(G42="Engaging",J42&gt;Parâmetros!$B$6),"Sim","Não")</f>
        <v>Não</v>
      </c>
      <c r="P42" s="32" t="str">
        <f aca="false">IF(O42="Sim","R",IF(N42&gt;=Parâmetros!$B$39,"A",IF(N42&gt;=Parâmetros!$B$40,"B",IF(N42&gt;=Parâmetros!$B$41,"C","D"))))</f>
        <v>A</v>
      </c>
      <c r="Q42" s="10" t="str">
        <f aca="false">IF(F42="","Completar cadastro","")</f>
        <v>Completar cadastro</v>
      </c>
      <c r="R42" s="10" t="str">
        <f aca="false">INDEX(Parâmetros!$D$39:$D$43,MATCH(P42,Parâmetros!$A$39:$A$43,0))</f>
        <v>Prioridade máxima: próximo passo em até 48h</v>
      </c>
    </row>
    <row r="43" customFormat="false" ht="15" hidden="false" customHeight="false" outlineLevel="0" collapsed="false">
      <c r="A43" s="10" t="s">
        <v>214</v>
      </c>
      <c r="B43" s="10" t="s">
        <v>94</v>
      </c>
      <c r="C43" s="10" t="s">
        <v>92</v>
      </c>
      <c r="D43" s="10" t="s">
        <v>160</v>
      </c>
      <c r="E43" s="10" t="s">
        <v>48</v>
      </c>
      <c r="F43" s="10" t="s">
        <v>215</v>
      </c>
      <c r="G43" s="10" t="s">
        <v>162</v>
      </c>
      <c r="H43" s="30" t="n">
        <v>42978</v>
      </c>
      <c r="I43" s="8" t="n">
        <f aca="false">INDEX(Parâmetros!$C$13:$C$19,MATCH(E43,Parâmetros!$A$13:$A$19,0))</f>
        <v>4821</v>
      </c>
      <c r="J43" s="26" t="n">
        <f aca="false">IF(H43="","",Parâmetros!$B$5-H43)</f>
        <v>122</v>
      </c>
      <c r="K43" s="10" t="n">
        <f aca="false">INDEX(Parâmetros!$D$13:$D$19,MATCH(E43,Parâmetros!$A$13:$A$19,0))</f>
        <v>43</v>
      </c>
      <c r="L43" s="26" t="n">
        <f aca="false">IF(G43="Prospecting",Parâmetros!$B$9,IF(J43&gt;Parâmetros!$B$6,0,INDEX(Parâmetros!$C$24:$C$26,MATCH(J43,Parâmetros!$A$24:$A$26,1))))</f>
        <v>40</v>
      </c>
      <c r="M43" s="31" t="n">
        <f aca="false">IF(G43="Prospecting",1,INDEX(Parâmetros!$C$32:$C$35,MATCH(J43,Parâmetros!$A$32:$A$35,1)))</f>
        <v>1</v>
      </c>
      <c r="N43" s="2" t="n">
        <f aca="false">ROUND((K43+L43)*M43,0)</f>
        <v>83</v>
      </c>
      <c r="O43" s="10" t="str">
        <f aca="false">IF(AND(G43="Engaging",J43&gt;Parâmetros!$B$6),"Sim","Não")</f>
        <v>Não</v>
      </c>
      <c r="P43" s="32" t="str">
        <f aca="false">IF(O43="Sim","R",IF(N43&gt;=Parâmetros!$B$39,"A",IF(N43&gt;=Parâmetros!$B$40,"B",IF(N43&gt;=Parâmetros!$B$41,"C","D"))))</f>
        <v>A</v>
      </c>
      <c r="Q43" s="10" t="str">
        <f aca="false">IF(F43="","Completar cadastro","")</f>
        <v/>
      </c>
      <c r="R43" s="10" t="str">
        <f aca="false">INDEX(Parâmetros!$D$39:$D$43,MATCH(P43,Parâmetros!$A$39:$A$43,0))</f>
        <v>Prioridade máxima: próximo passo em até 48h</v>
      </c>
    </row>
    <row r="44" customFormat="false" ht="15" hidden="false" customHeight="false" outlineLevel="0" collapsed="false">
      <c r="A44" s="10" t="s">
        <v>216</v>
      </c>
      <c r="B44" s="10" t="s">
        <v>95</v>
      </c>
      <c r="C44" s="10" t="s">
        <v>92</v>
      </c>
      <c r="D44" s="10" t="s">
        <v>160</v>
      </c>
      <c r="E44" s="10" t="s">
        <v>48</v>
      </c>
      <c r="F44" s="10"/>
      <c r="G44" s="10" t="s">
        <v>162</v>
      </c>
      <c r="H44" s="30" t="n">
        <v>42978</v>
      </c>
      <c r="I44" s="8" t="n">
        <f aca="false">INDEX(Parâmetros!$C$13:$C$19,MATCH(E44,Parâmetros!$A$13:$A$19,0))</f>
        <v>4821</v>
      </c>
      <c r="J44" s="26" t="n">
        <f aca="false">IF(H44="","",Parâmetros!$B$5-H44)</f>
        <v>122</v>
      </c>
      <c r="K44" s="10" t="n">
        <f aca="false">INDEX(Parâmetros!$D$13:$D$19,MATCH(E44,Parâmetros!$A$13:$A$19,0))</f>
        <v>43</v>
      </c>
      <c r="L44" s="26" t="n">
        <f aca="false">IF(G44="Prospecting",Parâmetros!$B$9,IF(J44&gt;Parâmetros!$B$6,0,INDEX(Parâmetros!$C$24:$C$26,MATCH(J44,Parâmetros!$A$24:$A$26,1))))</f>
        <v>40</v>
      </c>
      <c r="M44" s="31" t="n">
        <f aca="false">IF(G44="Prospecting",1,INDEX(Parâmetros!$C$32:$C$35,MATCH(J44,Parâmetros!$A$32:$A$35,1)))</f>
        <v>1</v>
      </c>
      <c r="N44" s="2" t="n">
        <f aca="false">ROUND((K44+L44)*M44,0)</f>
        <v>83</v>
      </c>
      <c r="O44" s="10" t="str">
        <f aca="false">IF(AND(G44="Engaging",J44&gt;Parâmetros!$B$6),"Sim","Não")</f>
        <v>Não</v>
      </c>
      <c r="P44" s="32" t="str">
        <f aca="false">IF(O44="Sim","R",IF(N44&gt;=Parâmetros!$B$39,"A",IF(N44&gt;=Parâmetros!$B$40,"B",IF(N44&gt;=Parâmetros!$B$41,"C","D"))))</f>
        <v>A</v>
      </c>
      <c r="Q44" s="10" t="str">
        <f aca="false">IF(F44="","Completar cadastro","")</f>
        <v>Completar cadastro</v>
      </c>
      <c r="R44" s="10" t="str">
        <f aca="false">INDEX(Parâmetros!$D$39:$D$43,MATCH(P44,Parâmetros!$A$39:$A$43,0))</f>
        <v>Prioridade máxima: próximo passo em até 48h</v>
      </c>
    </row>
    <row r="45" customFormat="false" ht="15" hidden="false" customHeight="false" outlineLevel="0" collapsed="false">
      <c r="A45" s="10" t="s">
        <v>217</v>
      </c>
      <c r="B45" s="10" t="s">
        <v>86</v>
      </c>
      <c r="C45" s="10" t="s">
        <v>85</v>
      </c>
      <c r="D45" s="10" t="s">
        <v>165</v>
      </c>
      <c r="E45" s="10" t="s">
        <v>48</v>
      </c>
      <c r="F45" s="10" t="s">
        <v>218</v>
      </c>
      <c r="G45" s="10" t="s">
        <v>162</v>
      </c>
      <c r="H45" s="30" t="n">
        <v>42979</v>
      </c>
      <c r="I45" s="8" t="n">
        <f aca="false">INDEX(Parâmetros!$C$13:$C$19,MATCH(E45,Parâmetros!$A$13:$A$19,0))</f>
        <v>4821</v>
      </c>
      <c r="J45" s="26" t="n">
        <f aca="false">IF(H45="","",Parâmetros!$B$5-H45)</f>
        <v>121</v>
      </c>
      <c r="K45" s="10" t="n">
        <f aca="false">INDEX(Parâmetros!$D$13:$D$19,MATCH(E45,Parâmetros!$A$13:$A$19,0))</f>
        <v>43</v>
      </c>
      <c r="L45" s="26" t="n">
        <f aca="false">IF(G45="Prospecting",Parâmetros!$B$9,IF(J45&gt;Parâmetros!$B$6,0,INDEX(Parâmetros!$C$24:$C$26,MATCH(J45,Parâmetros!$A$24:$A$26,1))))</f>
        <v>40</v>
      </c>
      <c r="M45" s="31" t="n">
        <f aca="false">IF(G45="Prospecting",1,INDEX(Parâmetros!$C$32:$C$35,MATCH(J45,Parâmetros!$A$32:$A$35,1)))</f>
        <v>1</v>
      </c>
      <c r="N45" s="2" t="n">
        <f aca="false">ROUND((K45+L45)*M45,0)</f>
        <v>83</v>
      </c>
      <c r="O45" s="10" t="str">
        <f aca="false">IF(AND(G45="Engaging",J45&gt;Parâmetros!$B$6),"Sim","Não")</f>
        <v>Não</v>
      </c>
      <c r="P45" s="32" t="str">
        <f aca="false">IF(O45="Sim","R",IF(N45&gt;=Parâmetros!$B$39,"A",IF(N45&gt;=Parâmetros!$B$40,"B",IF(N45&gt;=Parâmetros!$B$41,"C","D"))))</f>
        <v>A</v>
      </c>
      <c r="Q45" s="10" t="str">
        <f aca="false">IF(F45="","Completar cadastro","")</f>
        <v/>
      </c>
      <c r="R45" s="10" t="str">
        <f aca="false">INDEX(Parâmetros!$D$39:$D$43,MATCH(P45,Parâmetros!$A$39:$A$43,0))</f>
        <v>Prioridade máxima: próximo passo em até 48h</v>
      </c>
    </row>
    <row r="46" customFormat="false" ht="15" hidden="false" customHeight="false" outlineLevel="0" collapsed="false">
      <c r="A46" s="10" t="s">
        <v>219</v>
      </c>
      <c r="B46" s="10" t="s">
        <v>57</v>
      </c>
      <c r="C46" s="10" t="s">
        <v>58</v>
      </c>
      <c r="D46" s="10" t="s">
        <v>165</v>
      </c>
      <c r="E46" s="10" t="s">
        <v>48</v>
      </c>
      <c r="F46" s="10"/>
      <c r="G46" s="10" t="s">
        <v>162</v>
      </c>
      <c r="H46" s="30" t="n">
        <v>42982</v>
      </c>
      <c r="I46" s="8" t="n">
        <f aca="false">INDEX(Parâmetros!$C$13:$C$19,MATCH(E46,Parâmetros!$A$13:$A$19,0))</f>
        <v>4821</v>
      </c>
      <c r="J46" s="26" t="n">
        <f aca="false">IF(H46="","",Parâmetros!$B$5-H46)</f>
        <v>118</v>
      </c>
      <c r="K46" s="10" t="n">
        <f aca="false">INDEX(Parâmetros!$D$13:$D$19,MATCH(E46,Parâmetros!$A$13:$A$19,0))</f>
        <v>43</v>
      </c>
      <c r="L46" s="26" t="n">
        <f aca="false">IF(G46="Prospecting",Parâmetros!$B$9,IF(J46&gt;Parâmetros!$B$6,0,INDEX(Parâmetros!$C$24:$C$26,MATCH(J46,Parâmetros!$A$24:$A$26,1))))</f>
        <v>40</v>
      </c>
      <c r="M46" s="31" t="n">
        <f aca="false">IF(G46="Prospecting",1,INDEX(Parâmetros!$C$32:$C$35,MATCH(J46,Parâmetros!$A$32:$A$35,1)))</f>
        <v>1</v>
      </c>
      <c r="N46" s="2" t="n">
        <f aca="false">ROUND((K46+L46)*M46,0)</f>
        <v>83</v>
      </c>
      <c r="O46" s="10" t="str">
        <f aca="false">IF(AND(G46="Engaging",J46&gt;Parâmetros!$B$6),"Sim","Não")</f>
        <v>Não</v>
      </c>
      <c r="P46" s="32" t="str">
        <f aca="false">IF(O46="Sim","R",IF(N46&gt;=Parâmetros!$B$39,"A",IF(N46&gt;=Parâmetros!$B$40,"B",IF(N46&gt;=Parâmetros!$B$41,"C","D"))))</f>
        <v>A</v>
      </c>
      <c r="Q46" s="10" t="str">
        <f aca="false">IF(F46="","Completar cadastro","")</f>
        <v>Completar cadastro</v>
      </c>
      <c r="R46" s="10" t="str">
        <f aca="false">INDEX(Parâmetros!$D$39:$D$43,MATCH(P46,Parâmetros!$A$39:$A$43,0))</f>
        <v>Prioridade máxima: próximo passo em até 48h</v>
      </c>
    </row>
    <row r="47" customFormat="false" ht="15" hidden="false" customHeight="false" outlineLevel="0" collapsed="false">
      <c r="A47" s="10" t="s">
        <v>220</v>
      </c>
      <c r="B47" s="10" t="s">
        <v>84</v>
      </c>
      <c r="C47" s="10" t="s">
        <v>85</v>
      </c>
      <c r="D47" s="10" t="s">
        <v>165</v>
      </c>
      <c r="E47" s="10" t="s">
        <v>48</v>
      </c>
      <c r="F47" s="10"/>
      <c r="G47" s="10" t="s">
        <v>162</v>
      </c>
      <c r="H47" s="30" t="n">
        <v>42983</v>
      </c>
      <c r="I47" s="8" t="n">
        <f aca="false">INDEX(Parâmetros!$C$13:$C$19,MATCH(E47,Parâmetros!$A$13:$A$19,0))</f>
        <v>4821</v>
      </c>
      <c r="J47" s="26" t="n">
        <f aca="false">IF(H47="","",Parâmetros!$B$5-H47)</f>
        <v>117</v>
      </c>
      <c r="K47" s="10" t="n">
        <f aca="false">INDEX(Parâmetros!$D$13:$D$19,MATCH(E47,Parâmetros!$A$13:$A$19,0))</f>
        <v>43</v>
      </c>
      <c r="L47" s="26" t="n">
        <f aca="false">IF(G47="Prospecting",Parâmetros!$B$9,IF(J47&gt;Parâmetros!$B$6,0,INDEX(Parâmetros!$C$24:$C$26,MATCH(J47,Parâmetros!$A$24:$A$26,1))))</f>
        <v>40</v>
      </c>
      <c r="M47" s="31" t="n">
        <f aca="false">IF(G47="Prospecting",1,INDEX(Parâmetros!$C$32:$C$35,MATCH(J47,Parâmetros!$A$32:$A$35,1)))</f>
        <v>1</v>
      </c>
      <c r="N47" s="2" t="n">
        <f aca="false">ROUND((K47+L47)*M47,0)</f>
        <v>83</v>
      </c>
      <c r="O47" s="10" t="str">
        <f aca="false">IF(AND(G47="Engaging",J47&gt;Parâmetros!$B$6),"Sim","Não")</f>
        <v>Não</v>
      </c>
      <c r="P47" s="32" t="str">
        <f aca="false">IF(O47="Sim","R",IF(N47&gt;=Parâmetros!$B$39,"A",IF(N47&gt;=Parâmetros!$B$40,"B",IF(N47&gt;=Parâmetros!$B$41,"C","D"))))</f>
        <v>A</v>
      </c>
      <c r="Q47" s="10" t="str">
        <f aca="false">IF(F47="","Completar cadastro","")</f>
        <v>Completar cadastro</v>
      </c>
      <c r="R47" s="10" t="str">
        <f aca="false">INDEX(Parâmetros!$D$39:$D$43,MATCH(P47,Parâmetros!$A$39:$A$43,0))</f>
        <v>Prioridade máxima: próximo passo em até 48h</v>
      </c>
    </row>
    <row r="48" customFormat="false" ht="15" hidden="false" customHeight="false" outlineLevel="0" collapsed="false">
      <c r="A48" s="10" t="s">
        <v>221</v>
      </c>
      <c r="B48" s="10" t="s">
        <v>93</v>
      </c>
      <c r="C48" s="10" t="s">
        <v>92</v>
      </c>
      <c r="D48" s="10" t="s">
        <v>160</v>
      </c>
      <c r="E48" s="10" t="s">
        <v>48</v>
      </c>
      <c r="F48" s="10"/>
      <c r="G48" s="10" t="s">
        <v>162</v>
      </c>
      <c r="H48" s="30" t="n">
        <v>42986</v>
      </c>
      <c r="I48" s="8" t="n">
        <f aca="false">INDEX(Parâmetros!$C$13:$C$19,MATCH(E48,Parâmetros!$A$13:$A$19,0))</f>
        <v>4821</v>
      </c>
      <c r="J48" s="26" t="n">
        <f aca="false">IF(H48="","",Parâmetros!$B$5-H48)</f>
        <v>114</v>
      </c>
      <c r="K48" s="10" t="n">
        <f aca="false">INDEX(Parâmetros!$D$13:$D$19,MATCH(E48,Parâmetros!$A$13:$A$19,0))</f>
        <v>43</v>
      </c>
      <c r="L48" s="26" t="n">
        <f aca="false">IF(G48="Prospecting",Parâmetros!$B$9,IF(J48&gt;Parâmetros!$B$6,0,INDEX(Parâmetros!$C$24:$C$26,MATCH(J48,Parâmetros!$A$24:$A$26,1))))</f>
        <v>40</v>
      </c>
      <c r="M48" s="31" t="n">
        <f aca="false">IF(G48="Prospecting",1,INDEX(Parâmetros!$C$32:$C$35,MATCH(J48,Parâmetros!$A$32:$A$35,1)))</f>
        <v>1</v>
      </c>
      <c r="N48" s="2" t="n">
        <f aca="false">ROUND((K48+L48)*M48,0)</f>
        <v>83</v>
      </c>
      <c r="O48" s="10" t="str">
        <f aca="false">IF(AND(G48="Engaging",J48&gt;Parâmetros!$B$6),"Sim","Não")</f>
        <v>Não</v>
      </c>
      <c r="P48" s="32" t="str">
        <f aca="false">IF(O48="Sim","R",IF(N48&gt;=Parâmetros!$B$39,"A",IF(N48&gt;=Parâmetros!$B$40,"B",IF(N48&gt;=Parâmetros!$B$41,"C","D"))))</f>
        <v>A</v>
      </c>
      <c r="Q48" s="10" t="str">
        <f aca="false">IF(F48="","Completar cadastro","")</f>
        <v>Completar cadastro</v>
      </c>
      <c r="R48" s="10" t="str">
        <f aca="false">INDEX(Parâmetros!$D$39:$D$43,MATCH(P48,Parâmetros!$A$39:$A$43,0))</f>
        <v>Prioridade máxima: próximo passo em até 48h</v>
      </c>
    </row>
    <row r="49" customFormat="false" ht="15" hidden="false" customHeight="false" outlineLevel="0" collapsed="false">
      <c r="A49" s="10" t="s">
        <v>222</v>
      </c>
      <c r="B49" s="10" t="s">
        <v>93</v>
      </c>
      <c r="C49" s="10" t="s">
        <v>92</v>
      </c>
      <c r="D49" s="10" t="s">
        <v>160</v>
      </c>
      <c r="E49" s="10" t="s">
        <v>48</v>
      </c>
      <c r="F49" s="10"/>
      <c r="G49" s="10" t="s">
        <v>162</v>
      </c>
      <c r="H49" s="30" t="n">
        <v>42988</v>
      </c>
      <c r="I49" s="8" t="n">
        <f aca="false">INDEX(Parâmetros!$C$13:$C$19,MATCH(E49,Parâmetros!$A$13:$A$19,0))</f>
        <v>4821</v>
      </c>
      <c r="J49" s="26" t="n">
        <f aca="false">IF(H49="","",Parâmetros!$B$5-H49)</f>
        <v>112</v>
      </c>
      <c r="K49" s="10" t="n">
        <f aca="false">INDEX(Parâmetros!$D$13:$D$19,MATCH(E49,Parâmetros!$A$13:$A$19,0))</f>
        <v>43</v>
      </c>
      <c r="L49" s="26" t="n">
        <f aca="false">IF(G49="Prospecting",Parâmetros!$B$9,IF(J49&gt;Parâmetros!$B$6,0,INDEX(Parâmetros!$C$24:$C$26,MATCH(J49,Parâmetros!$A$24:$A$26,1))))</f>
        <v>40</v>
      </c>
      <c r="M49" s="31" t="n">
        <f aca="false">IF(G49="Prospecting",1,INDEX(Parâmetros!$C$32:$C$35,MATCH(J49,Parâmetros!$A$32:$A$35,1)))</f>
        <v>1</v>
      </c>
      <c r="N49" s="2" t="n">
        <f aca="false">ROUND((K49+L49)*M49,0)</f>
        <v>83</v>
      </c>
      <c r="O49" s="10" t="str">
        <f aca="false">IF(AND(G49="Engaging",J49&gt;Parâmetros!$B$6),"Sim","Não")</f>
        <v>Não</v>
      </c>
      <c r="P49" s="32" t="str">
        <f aca="false">IF(O49="Sim","R",IF(N49&gt;=Parâmetros!$B$39,"A",IF(N49&gt;=Parâmetros!$B$40,"B",IF(N49&gt;=Parâmetros!$B$41,"C","D"))))</f>
        <v>A</v>
      </c>
      <c r="Q49" s="10" t="str">
        <f aca="false">IF(F49="","Completar cadastro","")</f>
        <v>Completar cadastro</v>
      </c>
      <c r="R49" s="10" t="str">
        <f aca="false">INDEX(Parâmetros!$D$39:$D$43,MATCH(P49,Parâmetros!$A$39:$A$43,0))</f>
        <v>Prioridade máxima: próximo passo em até 48h</v>
      </c>
    </row>
    <row r="50" customFormat="false" ht="15" hidden="false" customHeight="false" outlineLevel="0" collapsed="false">
      <c r="A50" s="10" t="s">
        <v>223</v>
      </c>
      <c r="B50" s="10" t="s">
        <v>94</v>
      </c>
      <c r="C50" s="10" t="s">
        <v>92</v>
      </c>
      <c r="D50" s="10" t="s">
        <v>160</v>
      </c>
      <c r="E50" s="10" t="s">
        <v>48</v>
      </c>
      <c r="F50" s="10"/>
      <c r="G50" s="10" t="s">
        <v>162</v>
      </c>
      <c r="H50" s="30" t="n">
        <v>42988</v>
      </c>
      <c r="I50" s="8" t="n">
        <f aca="false">INDEX(Parâmetros!$C$13:$C$19,MATCH(E50,Parâmetros!$A$13:$A$19,0))</f>
        <v>4821</v>
      </c>
      <c r="J50" s="26" t="n">
        <f aca="false">IF(H50="","",Parâmetros!$B$5-H50)</f>
        <v>112</v>
      </c>
      <c r="K50" s="10" t="n">
        <f aca="false">INDEX(Parâmetros!$D$13:$D$19,MATCH(E50,Parâmetros!$A$13:$A$19,0))</f>
        <v>43</v>
      </c>
      <c r="L50" s="26" t="n">
        <f aca="false">IF(G50="Prospecting",Parâmetros!$B$9,IF(J50&gt;Parâmetros!$B$6,0,INDEX(Parâmetros!$C$24:$C$26,MATCH(J50,Parâmetros!$A$24:$A$26,1))))</f>
        <v>40</v>
      </c>
      <c r="M50" s="31" t="n">
        <f aca="false">IF(G50="Prospecting",1,INDEX(Parâmetros!$C$32:$C$35,MATCH(J50,Parâmetros!$A$32:$A$35,1)))</f>
        <v>1</v>
      </c>
      <c r="N50" s="2" t="n">
        <f aca="false">ROUND((K50+L50)*M50,0)</f>
        <v>83</v>
      </c>
      <c r="O50" s="10" t="str">
        <f aca="false">IF(AND(G50="Engaging",J50&gt;Parâmetros!$B$6),"Sim","Não")</f>
        <v>Não</v>
      </c>
      <c r="P50" s="32" t="str">
        <f aca="false">IF(O50="Sim","R",IF(N50&gt;=Parâmetros!$B$39,"A",IF(N50&gt;=Parâmetros!$B$40,"B",IF(N50&gt;=Parâmetros!$B$41,"C","D"))))</f>
        <v>A</v>
      </c>
      <c r="Q50" s="10" t="str">
        <f aca="false">IF(F50="","Completar cadastro","")</f>
        <v>Completar cadastro</v>
      </c>
      <c r="R50" s="10" t="str">
        <f aca="false">INDEX(Parâmetros!$D$39:$D$43,MATCH(P50,Parâmetros!$A$39:$A$43,0))</f>
        <v>Prioridade máxima: próximo passo em até 48h</v>
      </c>
    </row>
    <row r="51" customFormat="false" ht="15" hidden="false" customHeight="false" outlineLevel="0" collapsed="false">
      <c r="A51" s="10" t="s">
        <v>224</v>
      </c>
      <c r="B51" s="10" t="s">
        <v>97</v>
      </c>
      <c r="C51" s="10" t="s">
        <v>92</v>
      </c>
      <c r="D51" s="10" t="s">
        <v>160</v>
      </c>
      <c r="E51" s="10" t="s">
        <v>48</v>
      </c>
      <c r="F51" s="10"/>
      <c r="G51" s="10" t="s">
        <v>162</v>
      </c>
      <c r="H51" s="30" t="n">
        <v>42988</v>
      </c>
      <c r="I51" s="8" t="n">
        <f aca="false">INDEX(Parâmetros!$C$13:$C$19,MATCH(E51,Parâmetros!$A$13:$A$19,0))</f>
        <v>4821</v>
      </c>
      <c r="J51" s="26" t="n">
        <f aca="false">IF(H51="","",Parâmetros!$B$5-H51)</f>
        <v>112</v>
      </c>
      <c r="K51" s="10" t="n">
        <f aca="false">INDEX(Parâmetros!$D$13:$D$19,MATCH(E51,Parâmetros!$A$13:$A$19,0))</f>
        <v>43</v>
      </c>
      <c r="L51" s="26" t="n">
        <f aca="false">IF(G51="Prospecting",Parâmetros!$B$9,IF(J51&gt;Parâmetros!$B$6,0,INDEX(Parâmetros!$C$24:$C$26,MATCH(J51,Parâmetros!$A$24:$A$26,1))))</f>
        <v>40</v>
      </c>
      <c r="M51" s="31" t="n">
        <f aca="false">IF(G51="Prospecting",1,INDEX(Parâmetros!$C$32:$C$35,MATCH(J51,Parâmetros!$A$32:$A$35,1)))</f>
        <v>1</v>
      </c>
      <c r="N51" s="2" t="n">
        <f aca="false">ROUND((K51+L51)*M51,0)</f>
        <v>83</v>
      </c>
      <c r="O51" s="10" t="str">
        <f aca="false">IF(AND(G51="Engaging",J51&gt;Parâmetros!$B$6),"Sim","Não")</f>
        <v>Não</v>
      </c>
      <c r="P51" s="32" t="str">
        <f aca="false">IF(O51="Sim","R",IF(N51&gt;=Parâmetros!$B$39,"A",IF(N51&gt;=Parâmetros!$B$40,"B",IF(N51&gt;=Parâmetros!$B$41,"C","D"))))</f>
        <v>A</v>
      </c>
      <c r="Q51" s="10" t="str">
        <f aca="false">IF(F51="","Completar cadastro","")</f>
        <v>Completar cadastro</v>
      </c>
      <c r="R51" s="10" t="str">
        <f aca="false">INDEX(Parâmetros!$D$39:$D$43,MATCH(P51,Parâmetros!$A$39:$A$43,0))</f>
        <v>Prioridade máxima: próximo passo em até 48h</v>
      </c>
    </row>
    <row r="52" customFormat="false" ht="15" hidden="false" customHeight="false" outlineLevel="0" collapsed="false">
      <c r="A52" s="10" t="s">
        <v>225</v>
      </c>
      <c r="B52" s="10" t="s">
        <v>57</v>
      </c>
      <c r="C52" s="10" t="s">
        <v>58</v>
      </c>
      <c r="D52" s="10" t="s">
        <v>165</v>
      </c>
      <c r="E52" s="10" t="s">
        <v>48</v>
      </c>
      <c r="F52" s="10"/>
      <c r="G52" s="10" t="s">
        <v>162</v>
      </c>
      <c r="H52" s="30" t="n">
        <v>42989</v>
      </c>
      <c r="I52" s="8" t="n">
        <f aca="false">INDEX(Parâmetros!$C$13:$C$19,MATCH(E52,Parâmetros!$A$13:$A$19,0))</f>
        <v>4821</v>
      </c>
      <c r="J52" s="26" t="n">
        <f aca="false">IF(H52="","",Parâmetros!$B$5-H52)</f>
        <v>111</v>
      </c>
      <c r="K52" s="10" t="n">
        <f aca="false">INDEX(Parâmetros!$D$13:$D$19,MATCH(E52,Parâmetros!$A$13:$A$19,0))</f>
        <v>43</v>
      </c>
      <c r="L52" s="26" t="n">
        <f aca="false">IF(G52="Prospecting",Parâmetros!$B$9,IF(J52&gt;Parâmetros!$B$6,0,INDEX(Parâmetros!$C$24:$C$26,MATCH(J52,Parâmetros!$A$24:$A$26,1))))</f>
        <v>40</v>
      </c>
      <c r="M52" s="31" t="n">
        <f aca="false">IF(G52="Prospecting",1,INDEX(Parâmetros!$C$32:$C$35,MATCH(J52,Parâmetros!$A$32:$A$35,1)))</f>
        <v>1</v>
      </c>
      <c r="N52" s="2" t="n">
        <f aca="false">ROUND((K52+L52)*M52,0)</f>
        <v>83</v>
      </c>
      <c r="O52" s="10" t="str">
        <f aca="false">IF(AND(G52="Engaging",J52&gt;Parâmetros!$B$6),"Sim","Não")</f>
        <v>Não</v>
      </c>
      <c r="P52" s="32" t="str">
        <f aca="false">IF(O52="Sim","R",IF(N52&gt;=Parâmetros!$B$39,"A",IF(N52&gt;=Parâmetros!$B$40,"B",IF(N52&gt;=Parâmetros!$B$41,"C","D"))))</f>
        <v>A</v>
      </c>
      <c r="Q52" s="10" t="str">
        <f aca="false">IF(F52="","Completar cadastro","")</f>
        <v>Completar cadastro</v>
      </c>
      <c r="R52" s="10" t="str">
        <f aca="false">INDEX(Parâmetros!$D$39:$D$43,MATCH(P52,Parâmetros!$A$39:$A$43,0))</f>
        <v>Prioridade máxima: próximo passo em até 48h</v>
      </c>
    </row>
    <row r="53" customFormat="false" ht="15" hidden="false" customHeight="false" outlineLevel="0" collapsed="false">
      <c r="A53" s="10" t="s">
        <v>226</v>
      </c>
      <c r="B53" s="10" t="s">
        <v>61</v>
      </c>
      <c r="C53" s="10" t="s">
        <v>58</v>
      </c>
      <c r="D53" s="10" t="s">
        <v>165</v>
      </c>
      <c r="E53" s="10" t="s">
        <v>48</v>
      </c>
      <c r="F53" s="10" t="s">
        <v>227</v>
      </c>
      <c r="G53" s="10" t="s">
        <v>162</v>
      </c>
      <c r="H53" s="30" t="n">
        <v>42989</v>
      </c>
      <c r="I53" s="8" t="n">
        <f aca="false">INDEX(Parâmetros!$C$13:$C$19,MATCH(E53,Parâmetros!$A$13:$A$19,0))</f>
        <v>4821</v>
      </c>
      <c r="J53" s="26" t="n">
        <f aca="false">IF(H53="","",Parâmetros!$B$5-H53)</f>
        <v>111</v>
      </c>
      <c r="K53" s="10" t="n">
        <f aca="false">INDEX(Parâmetros!$D$13:$D$19,MATCH(E53,Parâmetros!$A$13:$A$19,0))</f>
        <v>43</v>
      </c>
      <c r="L53" s="26" t="n">
        <f aca="false">IF(G53="Prospecting",Parâmetros!$B$9,IF(J53&gt;Parâmetros!$B$6,0,INDEX(Parâmetros!$C$24:$C$26,MATCH(J53,Parâmetros!$A$24:$A$26,1))))</f>
        <v>40</v>
      </c>
      <c r="M53" s="31" t="n">
        <f aca="false">IF(G53="Prospecting",1,INDEX(Parâmetros!$C$32:$C$35,MATCH(J53,Parâmetros!$A$32:$A$35,1)))</f>
        <v>1</v>
      </c>
      <c r="N53" s="2" t="n">
        <f aca="false">ROUND((K53+L53)*M53,0)</f>
        <v>83</v>
      </c>
      <c r="O53" s="10" t="str">
        <f aca="false">IF(AND(G53="Engaging",J53&gt;Parâmetros!$B$6),"Sim","Não")</f>
        <v>Não</v>
      </c>
      <c r="P53" s="32" t="str">
        <f aca="false">IF(O53="Sim","R",IF(N53&gt;=Parâmetros!$B$39,"A",IF(N53&gt;=Parâmetros!$B$40,"B",IF(N53&gt;=Parâmetros!$B$41,"C","D"))))</f>
        <v>A</v>
      </c>
      <c r="Q53" s="10" t="str">
        <f aca="false">IF(F53="","Completar cadastro","")</f>
        <v/>
      </c>
      <c r="R53" s="10" t="str">
        <f aca="false">INDEX(Parâmetros!$D$39:$D$43,MATCH(P53,Parâmetros!$A$39:$A$43,0))</f>
        <v>Prioridade máxima: próximo passo em até 48h</v>
      </c>
    </row>
    <row r="54" customFormat="false" ht="15" hidden="false" customHeight="false" outlineLevel="0" collapsed="false">
      <c r="A54" s="10" t="s">
        <v>228</v>
      </c>
      <c r="B54" s="10" t="s">
        <v>87</v>
      </c>
      <c r="C54" s="10" t="s">
        <v>85</v>
      </c>
      <c r="D54" s="10" t="s">
        <v>165</v>
      </c>
      <c r="E54" s="10" t="s">
        <v>48</v>
      </c>
      <c r="F54" s="10"/>
      <c r="G54" s="10" t="s">
        <v>162</v>
      </c>
      <c r="H54" s="30" t="n">
        <v>42991</v>
      </c>
      <c r="I54" s="8" t="n">
        <f aca="false">INDEX(Parâmetros!$C$13:$C$19,MATCH(E54,Parâmetros!$A$13:$A$19,0))</f>
        <v>4821</v>
      </c>
      <c r="J54" s="26" t="n">
        <f aca="false">IF(H54="","",Parâmetros!$B$5-H54)</f>
        <v>109</v>
      </c>
      <c r="K54" s="10" t="n">
        <f aca="false">INDEX(Parâmetros!$D$13:$D$19,MATCH(E54,Parâmetros!$A$13:$A$19,0))</f>
        <v>43</v>
      </c>
      <c r="L54" s="26" t="n">
        <f aca="false">IF(G54="Prospecting",Parâmetros!$B$9,IF(J54&gt;Parâmetros!$B$6,0,INDEX(Parâmetros!$C$24:$C$26,MATCH(J54,Parâmetros!$A$24:$A$26,1))))</f>
        <v>40</v>
      </c>
      <c r="M54" s="31" t="n">
        <f aca="false">IF(G54="Prospecting",1,INDEX(Parâmetros!$C$32:$C$35,MATCH(J54,Parâmetros!$A$32:$A$35,1)))</f>
        <v>1</v>
      </c>
      <c r="N54" s="2" t="n">
        <f aca="false">ROUND((K54+L54)*M54,0)</f>
        <v>83</v>
      </c>
      <c r="O54" s="10" t="str">
        <f aca="false">IF(AND(G54="Engaging",J54&gt;Parâmetros!$B$6),"Sim","Não")</f>
        <v>Não</v>
      </c>
      <c r="P54" s="32" t="str">
        <f aca="false">IF(O54="Sim","R",IF(N54&gt;=Parâmetros!$B$39,"A",IF(N54&gt;=Parâmetros!$B$40,"B",IF(N54&gt;=Parâmetros!$B$41,"C","D"))))</f>
        <v>A</v>
      </c>
      <c r="Q54" s="10" t="str">
        <f aca="false">IF(F54="","Completar cadastro","")</f>
        <v>Completar cadastro</v>
      </c>
      <c r="R54" s="10" t="str">
        <f aca="false">INDEX(Parâmetros!$D$39:$D$43,MATCH(P54,Parâmetros!$A$39:$A$43,0))</f>
        <v>Prioridade máxima: próximo passo em até 48h</v>
      </c>
    </row>
    <row r="55" customFormat="false" ht="15" hidden="false" customHeight="false" outlineLevel="0" collapsed="false">
      <c r="A55" s="10" t="s">
        <v>229</v>
      </c>
      <c r="B55" s="10" t="s">
        <v>94</v>
      </c>
      <c r="C55" s="10" t="s">
        <v>92</v>
      </c>
      <c r="D55" s="10" t="s">
        <v>160</v>
      </c>
      <c r="E55" s="10" t="s">
        <v>48</v>
      </c>
      <c r="F55" s="10"/>
      <c r="G55" s="10" t="s">
        <v>162</v>
      </c>
      <c r="H55" s="30" t="n">
        <v>42998</v>
      </c>
      <c r="I55" s="8" t="n">
        <f aca="false">INDEX(Parâmetros!$C$13:$C$19,MATCH(E55,Parâmetros!$A$13:$A$19,0))</f>
        <v>4821</v>
      </c>
      <c r="J55" s="26" t="n">
        <f aca="false">IF(H55="","",Parâmetros!$B$5-H55)</f>
        <v>102</v>
      </c>
      <c r="K55" s="10" t="n">
        <f aca="false">INDEX(Parâmetros!$D$13:$D$19,MATCH(E55,Parâmetros!$A$13:$A$19,0))</f>
        <v>43</v>
      </c>
      <c r="L55" s="26" t="n">
        <f aca="false">IF(G55="Prospecting",Parâmetros!$B$9,IF(J55&gt;Parâmetros!$B$6,0,INDEX(Parâmetros!$C$24:$C$26,MATCH(J55,Parâmetros!$A$24:$A$26,1))))</f>
        <v>40</v>
      </c>
      <c r="M55" s="31" t="n">
        <f aca="false">IF(G55="Prospecting",1,INDEX(Parâmetros!$C$32:$C$35,MATCH(J55,Parâmetros!$A$32:$A$35,1)))</f>
        <v>1</v>
      </c>
      <c r="N55" s="2" t="n">
        <f aca="false">ROUND((K55+L55)*M55,0)</f>
        <v>83</v>
      </c>
      <c r="O55" s="10" t="str">
        <f aca="false">IF(AND(G55="Engaging",J55&gt;Parâmetros!$B$6),"Sim","Não")</f>
        <v>Não</v>
      </c>
      <c r="P55" s="32" t="str">
        <f aca="false">IF(O55="Sim","R",IF(N55&gt;=Parâmetros!$B$39,"A",IF(N55&gt;=Parâmetros!$B$40,"B",IF(N55&gt;=Parâmetros!$B$41,"C","D"))))</f>
        <v>A</v>
      </c>
      <c r="Q55" s="10" t="str">
        <f aca="false">IF(F55="","Completar cadastro","")</f>
        <v>Completar cadastro</v>
      </c>
      <c r="R55" s="10" t="str">
        <f aca="false">INDEX(Parâmetros!$D$39:$D$43,MATCH(P55,Parâmetros!$A$39:$A$43,0))</f>
        <v>Prioridade máxima: próximo passo em até 48h</v>
      </c>
    </row>
    <row r="56" customFormat="false" ht="15" hidden="false" customHeight="false" outlineLevel="0" collapsed="false">
      <c r="A56" s="10" t="s">
        <v>230</v>
      </c>
      <c r="B56" s="10" t="s">
        <v>97</v>
      </c>
      <c r="C56" s="10" t="s">
        <v>92</v>
      </c>
      <c r="D56" s="10" t="s">
        <v>160</v>
      </c>
      <c r="E56" s="10" t="s">
        <v>48</v>
      </c>
      <c r="F56" s="10"/>
      <c r="G56" s="10" t="s">
        <v>162</v>
      </c>
      <c r="H56" s="30" t="n">
        <v>42998</v>
      </c>
      <c r="I56" s="8" t="n">
        <f aca="false">INDEX(Parâmetros!$C$13:$C$19,MATCH(E56,Parâmetros!$A$13:$A$19,0))</f>
        <v>4821</v>
      </c>
      <c r="J56" s="26" t="n">
        <f aca="false">IF(H56="","",Parâmetros!$B$5-H56)</f>
        <v>102</v>
      </c>
      <c r="K56" s="10" t="n">
        <f aca="false">INDEX(Parâmetros!$D$13:$D$19,MATCH(E56,Parâmetros!$A$13:$A$19,0))</f>
        <v>43</v>
      </c>
      <c r="L56" s="26" t="n">
        <f aca="false">IF(G56="Prospecting",Parâmetros!$B$9,IF(J56&gt;Parâmetros!$B$6,0,INDEX(Parâmetros!$C$24:$C$26,MATCH(J56,Parâmetros!$A$24:$A$26,1))))</f>
        <v>40</v>
      </c>
      <c r="M56" s="31" t="n">
        <f aca="false">IF(G56="Prospecting",1,INDEX(Parâmetros!$C$32:$C$35,MATCH(J56,Parâmetros!$A$32:$A$35,1)))</f>
        <v>1</v>
      </c>
      <c r="N56" s="2" t="n">
        <f aca="false">ROUND((K56+L56)*M56,0)</f>
        <v>83</v>
      </c>
      <c r="O56" s="10" t="str">
        <f aca="false">IF(AND(G56="Engaging",J56&gt;Parâmetros!$B$6),"Sim","Não")</f>
        <v>Não</v>
      </c>
      <c r="P56" s="32" t="str">
        <f aca="false">IF(O56="Sim","R",IF(N56&gt;=Parâmetros!$B$39,"A",IF(N56&gt;=Parâmetros!$B$40,"B",IF(N56&gt;=Parâmetros!$B$41,"C","D"))))</f>
        <v>A</v>
      </c>
      <c r="Q56" s="10" t="str">
        <f aca="false">IF(F56="","Completar cadastro","")</f>
        <v>Completar cadastro</v>
      </c>
      <c r="R56" s="10" t="str">
        <f aca="false">INDEX(Parâmetros!$D$39:$D$43,MATCH(P56,Parâmetros!$A$39:$A$43,0))</f>
        <v>Prioridade máxima: próximo passo em até 48h</v>
      </c>
    </row>
    <row r="57" customFormat="false" ht="15" hidden="false" customHeight="false" outlineLevel="0" collapsed="false">
      <c r="A57" s="10" t="s">
        <v>231</v>
      </c>
      <c r="B57" s="10" t="s">
        <v>87</v>
      </c>
      <c r="C57" s="10" t="s">
        <v>85</v>
      </c>
      <c r="D57" s="10" t="s">
        <v>165</v>
      </c>
      <c r="E57" s="10" t="s">
        <v>48</v>
      </c>
      <c r="F57" s="10"/>
      <c r="G57" s="10" t="s">
        <v>162</v>
      </c>
      <c r="H57" s="30" t="n">
        <v>42999</v>
      </c>
      <c r="I57" s="8" t="n">
        <f aca="false">INDEX(Parâmetros!$C$13:$C$19,MATCH(E57,Parâmetros!$A$13:$A$19,0))</f>
        <v>4821</v>
      </c>
      <c r="J57" s="26" t="n">
        <f aca="false">IF(H57="","",Parâmetros!$B$5-H57)</f>
        <v>101</v>
      </c>
      <c r="K57" s="10" t="n">
        <f aca="false">INDEX(Parâmetros!$D$13:$D$19,MATCH(E57,Parâmetros!$A$13:$A$19,0))</f>
        <v>43</v>
      </c>
      <c r="L57" s="26" t="n">
        <f aca="false">IF(G57="Prospecting",Parâmetros!$B$9,IF(J57&gt;Parâmetros!$B$6,0,INDEX(Parâmetros!$C$24:$C$26,MATCH(J57,Parâmetros!$A$24:$A$26,1))))</f>
        <v>40</v>
      </c>
      <c r="M57" s="31" t="n">
        <f aca="false">IF(G57="Prospecting",1,INDEX(Parâmetros!$C$32:$C$35,MATCH(J57,Parâmetros!$A$32:$A$35,1)))</f>
        <v>1</v>
      </c>
      <c r="N57" s="2" t="n">
        <f aca="false">ROUND((K57+L57)*M57,0)</f>
        <v>83</v>
      </c>
      <c r="O57" s="10" t="str">
        <f aca="false">IF(AND(G57="Engaging",J57&gt;Parâmetros!$B$6),"Sim","Não")</f>
        <v>Não</v>
      </c>
      <c r="P57" s="32" t="str">
        <f aca="false">IF(O57="Sim","R",IF(N57&gt;=Parâmetros!$B$39,"A",IF(N57&gt;=Parâmetros!$B$40,"B",IF(N57&gt;=Parâmetros!$B$41,"C","D"))))</f>
        <v>A</v>
      </c>
      <c r="Q57" s="10" t="str">
        <f aca="false">IF(F57="","Completar cadastro","")</f>
        <v>Completar cadastro</v>
      </c>
      <c r="R57" s="10" t="str">
        <f aca="false">INDEX(Parâmetros!$D$39:$D$43,MATCH(P57,Parâmetros!$A$39:$A$43,0))</f>
        <v>Prioridade máxima: próximo passo em até 48h</v>
      </c>
    </row>
    <row r="58" customFormat="false" ht="15" hidden="false" customHeight="false" outlineLevel="0" collapsed="false">
      <c r="A58" s="10" t="s">
        <v>232</v>
      </c>
      <c r="B58" s="10" t="s">
        <v>94</v>
      </c>
      <c r="C58" s="10" t="s">
        <v>92</v>
      </c>
      <c r="D58" s="10" t="s">
        <v>160</v>
      </c>
      <c r="E58" s="10" t="s">
        <v>48</v>
      </c>
      <c r="F58" s="10" t="s">
        <v>233</v>
      </c>
      <c r="G58" s="10" t="s">
        <v>162</v>
      </c>
      <c r="H58" s="30" t="n">
        <v>43001</v>
      </c>
      <c r="I58" s="8" t="n">
        <f aca="false">INDEX(Parâmetros!$C$13:$C$19,MATCH(E58,Parâmetros!$A$13:$A$19,0))</f>
        <v>4821</v>
      </c>
      <c r="J58" s="26" t="n">
        <f aca="false">IF(H58="","",Parâmetros!$B$5-H58)</f>
        <v>99</v>
      </c>
      <c r="K58" s="10" t="n">
        <f aca="false">INDEX(Parâmetros!$D$13:$D$19,MATCH(E58,Parâmetros!$A$13:$A$19,0))</f>
        <v>43</v>
      </c>
      <c r="L58" s="26" t="n">
        <f aca="false">IF(G58="Prospecting",Parâmetros!$B$9,IF(J58&gt;Parâmetros!$B$6,0,INDEX(Parâmetros!$C$24:$C$26,MATCH(J58,Parâmetros!$A$24:$A$26,1))))</f>
        <v>40</v>
      </c>
      <c r="M58" s="31" t="n">
        <f aca="false">IF(G58="Prospecting",1,INDEX(Parâmetros!$C$32:$C$35,MATCH(J58,Parâmetros!$A$32:$A$35,1)))</f>
        <v>1</v>
      </c>
      <c r="N58" s="2" t="n">
        <f aca="false">ROUND((K58+L58)*M58,0)</f>
        <v>83</v>
      </c>
      <c r="O58" s="10" t="str">
        <f aca="false">IF(AND(G58="Engaging",J58&gt;Parâmetros!$B$6),"Sim","Não")</f>
        <v>Não</v>
      </c>
      <c r="P58" s="32" t="str">
        <f aca="false">IF(O58="Sim","R",IF(N58&gt;=Parâmetros!$B$39,"A",IF(N58&gt;=Parâmetros!$B$40,"B",IF(N58&gt;=Parâmetros!$B$41,"C","D"))))</f>
        <v>A</v>
      </c>
      <c r="Q58" s="10" t="str">
        <f aca="false">IF(F58="","Completar cadastro","")</f>
        <v/>
      </c>
      <c r="R58" s="10" t="str">
        <f aca="false">INDEX(Parâmetros!$D$39:$D$43,MATCH(P58,Parâmetros!$A$39:$A$43,0))</f>
        <v>Prioridade máxima: próximo passo em até 48h</v>
      </c>
    </row>
    <row r="59" customFormat="false" ht="15" hidden="false" customHeight="false" outlineLevel="0" collapsed="false">
      <c r="A59" s="10" t="s">
        <v>234</v>
      </c>
      <c r="B59" s="10" t="s">
        <v>69</v>
      </c>
      <c r="C59" s="10" t="s">
        <v>65</v>
      </c>
      <c r="D59" s="10" t="s">
        <v>160</v>
      </c>
      <c r="E59" s="10" t="s">
        <v>48</v>
      </c>
      <c r="F59" s="10"/>
      <c r="G59" s="10" t="s">
        <v>162</v>
      </c>
      <c r="H59" s="30" t="n">
        <v>43003</v>
      </c>
      <c r="I59" s="8" t="n">
        <f aca="false">INDEX(Parâmetros!$C$13:$C$19,MATCH(E59,Parâmetros!$A$13:$A$19,0))</f>
        <v>4821</v>
      </c>
      <c r="J59" s="26" t="n">
        <f aca="false">IF(H59="","",Parâmetros!$B$5-H59)</f>
        <v>97</v>
      </c>
      <c r="K59" s="10" t="n">
        <f aca="false">INDEX(Parâmetros!$D$13:$D$19,MATCH(E59,Parâmetros!$A$13:$A$19,0))</f>
        <v>43</v>
      </c>
      <c r="L59" s="26" t="n">
        <f aca="false">IF(G59="Prospecting",Parâmetros!$B$9,IF(J59&gt;Parâmetros!$B$6,0,INDEX(Parâmetros!$C$24:$C$26,MATCH(J59,Parâmetros!$A$24:$A$26,1))))</f>
        <v>40</v>
      </c>
      <c r="M59" s="31" t="n">
        <f aca="false">IF(G59="Prospecting",1,INDEX(Parâmetros!$C$32:$C$35,MATCH(J59,Parâmetros!$A$32:$A$35,1)))</f>
        <v>1</v>
      </c>
      <c r="N59" s="2" t="n">
        <f aca="false">ROUND((K59+L59)*M59,0)</f>
        <v>83</v>
      </c>
      <c r="O59" s="10" t="str">
        <f aca="false">IF(AND(G59="Engaging",J59&gt;Parâmetros!$B$6),"Sim","Não")</f>
        <v>Não</v>
      </c>
      <c r="P59" s="32" t="str">
        <f aca="false">IF(O59="Sim","R",IF(N59&gt;=Parâmetros!$B$39,"A",IF(N59&gt;=Parâmetros!$B$40,"B",IF(N59&gt;=Parâmetros!$B$41,"C","D"))))</f>
        <v>A</v>
      </c>
      <c r="Q59" s="10" t="str">
        <f aca="false">IF(F59="","Completar cadastro","")</f>
        <v>Completar cadastro</v>
      </c>
      <c r="R59" s="10" t="str">
        <f aca="false">INDEX(Parâmetros!$D$39:$D$43,MATCH(P59,Parâmetros!$A$39:$A$43,0))</f>
        <v>Prioridade máxima: próximo passo em até 48h</v>
      </c>
    </row>
    <row r="60" customFormat="false" ht="15" hidden="false" customHeight="false" outlineLevel="0" collapsed="false">
      <c r="A60" s="10" t="s">
        <v>235</v>
      </c>
      <c r="B60" s="10" t="s">
        <v>57</v>
      </c>
      <c r="C60" s="10" t="s">
        <v>58</v>
      </c>
      <c r="D60" s="10" t="s">
        <v>165</v>
      </c>
      <c r="E60" s="10" t="s">
        <v>48</v>
      </c>
      <c r="F60" s="10"/>
      <c r="G60" s="10" t="s">
        <v>162</v>
      </c>
      <c r="H60" s="30" t="n">
        <v>43004</v>
      </c>
      <c r="I60" s="8" t="n">
        <f aca="false">INDEX(Parâmetros!$C$13:$C$19,MATCH(E60,Parâmetros!$A$13:$A$19,0))</f>
        <v>4821</v>
      </c>
      <c r="J60" s="26" t="n">
        <f aca="false">IF(H60="","",Parâmetros!$B$5-H60)</f>
        <v>96</v>
      </c>
      <c r="K60" s="10" t="n">
        <f aca="false">INDEX(Parâmetros!$D$13:$D$19,MATCH(E60,Parâmetros!$A$13:$A$19,0))</f>
        <v>43</v>
      </c>
      <c r="L60" s="26" t="n">
        <f aca="false">IF(G60="Prospecting",Parâmetros!$B$9,IF(J60&gt;Parâmetros!$B$6,0,INDEX(Parâmetros!$C$24:$C$26,MATCH(J60,Parâmetros!$A$24:$A$26,1))))</f>
        <v>40</v>
      </c>
      <c r="M60" s="31" t="n">
        <f aca="false">IF(G60="Prospecting",1,INDEX(Parâmetros!$C$32:$C$35,MATCH(J60,Parâmetros!$A$32:$A$35,1)))</f>
        <v>1</v>
      </c>
      <c r="N60" s="2" t="n">
        <f aca="false">ROUND((K60+L60)*M60,0)</f>
        <v>83</v>
      </c>
      <c r="O60" s="10" t="str">
        <f aca="false">IF(AND(G60="Engaging",J60&gt;Parâmetros!$B$6),"Sim","Não")</f>
        <v>Não</v>
      </c>
      <c r="P60" s="32" t="str">
        <f aca="false">IF(O60="Sim","R",IF(N60&gt;=Parâmetros!$B$39,"A",IF(N60&gt;=Parâmetros!$B$40,"B",IF(N60&gt;=Parâmetros!$B$41,"C","D"))))</f>
        <v>A</v>
      </c>
      <c r="Q60" s="10" t="str">
        <f aca="false">IF(F60="","Completar cadastro","")</f>
        <v>Completar cadastro</v>
      </c>
      <c r="R60" s="10" t="str">
        <f aca="false">INDEX(Parâmetros!$D$39:$D$43,MATCH(P60,Parâmetros!$A$39:$A$43,0))</f>
        <v>Prioridade máxima: próximo passo em até 48h</v>
      </c>
    </row>
    <row r="61" customFormat="false" ht="15" hidden="false" customHeight="false" outlineLevel="0" collapsed="false">
      <c r="A61" s="10" t="s">
        <v>236</v>
      </c>
      <c r="B61" s="10" t="s">
        <v>93</v>
      </c>
      <c r="C61" s="10" t="s">
        <v>92</v>
      </c>
      <c r="D61" s="10" t="s">
        <v>160</v>
      </c>
      <c r="E61" s="10" t="s">
        <v>48</v>
      </c>
      <c r="F61" s="10"/>
      <c r="G61" s="10" t="s">
        <v>162</v>
      </c>
      <c r="H61" s="30" t="n">
        <v>43005</v>
      </c>
      <c r="I61" s="8" t="n">
        <f aca="false">INDEX(Parâmetros!$C$13:$C$19,MATCH(E61,Parâmetros!$A$13:$A$19,0))</f>
        <v>4821</v>
      </c>
      <c r="J61" s="26" t="n">
        <f aca="false">IF(H61="","",Parâmetros!$B$5-H61)</f>
        <v>95</v>
      </c>
      <c r="K61" s="10" t="n">
        <f aca="false">INDEX(Parâmetros!$D$13:$D$19,MATCH(E61,Parâmetros!$A$13:$A$19,0))</f>
        <v>43</v>
      </c>
      <c r="L61" s="26" t="n">
        <f aca="false">IF(G61="Prospecting",Parâmetros!$B$9,IF(J61&gt;Parâmetros!$B$6,0,INDEX(Parâmetros!$C$24:$C$26,MATCH(J61,Parâmetros!$A$24:$A$26,1))))</f>
        <v>40</v>
      </c>
      <c r="M61" s="31" t="n">
        <f aca="false">IF(G61="Prospecting",1,INDEX(Parâmetros!$C$32:$C$35,MATCH(J61,Parâmetros!$A$32:$A$35,1)))</f>
        <v>1</v>
      </c>
      <c r="N61" s="2" t="n">
        <f aca="false">ROUND((K61+L61)*M61,0)</f>
        <v>83</v>
      </c>
      <c r="O61" s="10" t="str">
        <f aca="false">IF(AND(G61="Engaging",J61&gt;Parâmetros!$B$6),"Sim","Não")</f>
        <v>Não</v>
      </c>
      <c r="P61" s="32" t="str">
        <f aca="false">IF(O61="Sim","R",IF(N61&gt;=Parâmetros!$B$39,"A",IF(N61&gt;=Parâmetros!$B$40,"B",IF(N61&gt;=Parâmetros!$B$41,"C","D"))))</f>
        <v>A</v>
      </c>
      <c r="Q61" s="10" t="str">
        <f aca="false">IF(F61="","Completar cadastro","")</f>
        <v>Completar cadastro</v>
      </c>
      <c r="R61" s="10" t="str">
        <f aca="false">INDEX(Parâmetros!$D$39:$D$43,MATCH(P61,Parâmetros!$A$39:$A$43,0))</f>
        <v>Prioridade máxima: próximo passo em até 48h</v>
      </c>
    </row>
    <row r="62" customFormat="false" ht="15" hidden="false" customHeight="false" outlineLevel="0" collapsed="false">
      <c r="A62" s="10" t="s">
        <v>237</v>
      </c>
      <c r="B62" s="10" t="s">
        <v>68</v>
      </c>
      <c r="C62" s="10" t="s">
        <v>65</v>
      </c>
      <c r="D62" s="10" t="s">
        <v>160</v>
      </c>
      <c r="E62" s="10" t="s">
        <v>48</v>
      </c>
      <c r="F62" s="10"/>
      <c r="G62" s="10" t="s">
        <v>162</v>
      </c>
      <c r="H62" s="30" t="n">
        <v>43006</v>
      </c>
      <c r="I62" s="8" t="n">
        <f aca="false">INDEX(Parâmetros!$C$13:$C$19,MATCH(E62,Parâmetros!$A$13:$A$19,0))</f>
        <v>4821</v>
      </c>
      <c r="J62" s="26" t="n">
        <f aca="false">IF(H62="","",Parâmetros!$B$5-H62)</f>
        <v>94</v>
      </c>
      <c r="K62" s="10" t="n">
        <f aca="false">INDEX(Parâmetros!$D$13:$D$19,MATCH(E62,Parâmetros!$A$13:$A$19,0))</f>
        <v>43</v>
      </c>
      <c r="L62" s="26" t="n">
        <f aca="false">IF(G62="Prospecting",Parâmetros!$B$9,IF(J62&gt;Parâmetros!$B$6,0,INDEX(Parâmetros!$C$24:$C$26,MATCH(J62,Parâmetros!$A$24:$A$26,1))))</f>
        <v>40</v>
      </c>
      <c r="M62" s="31" t="n">
        <f aca="false">IF(G62="Prospecting",1,INDEX(Parâmetros!$C$32:$C$35,MATCH(J62,Parâmetros!$A$32:$A$35,1)))</f>
        <v>1</v>
      </c>
      <c r="N62" s="2" t="n">
        <f aca="false">ROUND((K62+L62)*M62,0)</f>
        <v>83</v>
      </c>
      <c r="O62" s="10" t="str">
        <f aca="false">IF(AND(G62="Engaging",J62&gt;Parâmetros!$B$6),"Sim","Não")</f>
        <v>Não</v>
      </c>
      <c r="P62" s="32" t="str">
        <f aca="false">IF(O62="Sim","R",IF(N62&gt;=Parâmetros!$B$39,"A",IF(N62&gt;=Parâmetros!$B$40,"B",IF(N62&gt;=Parâmetros!$B$41,"C","D"))))</f>
        <v>A</v>
      </c>
      <c r="Q62" s="10" t="str">
        <f aca="false">IF(F62="","Completar cadastro","")</f>
        <v>Completar cadastro</v>
      </c>
      <c r="R62" s="10" t="str">
        <f aca="false">INDEX(Parâmetros!$D$39:$D$43,MATCH(P62,Parâmetros!$A$39:$A$43,0))</f>
        <v>Prioridade máxima: próximo passo em até 48h</v>
      </c>
    </row>
    <row r="63" customFormat="false" ht="15" hidden="false" customHeight="false" outlineLevel="0" collapsed="false">
      <c r="A63" s="10" t="s">
        <v>238</v>
      </c>
      <c r="B63" s="10" t="s">
        <v>61</v>
      </c>
      <c r="C63" s="10" t="s">
        <v>58</v>
      </c>
      <c r="D63" s="10" t="s">
        <v>165</v>
      </c>
      <c r="E63" s="10" t="s">
        <v>48</v>
      </c>
      <c r="F63" s="10"/>
      <c r="G63" s="10" t="s">
        <v>162</v>
      </c>
      <c r="H63" s="30" t="n">
        <v>43007</v>
      </c>
      <c r="I63" s="8" t="n">
        <f aca="false">INDEX(Parâmetros!$C$13:$C$19,MATCH(E63,Parâmetros!$A$13:$A$19,0))</f>
        <v>4821</v>
      </c>
      <c r="J63" s="26" t="n">
        <f aca="false">IF(H63="","",Parâmetros!$B$5-H63)</f>
        <v>93</v>
      </c>
      <c r="K63" s="10" t="n">
        <f aca="false">INDEX(Parâmetros!$D$13:$D$19,MATCH(E63,Parâmetros!$A$13:$A$19,0))</f>
        <v>43</v>
      </c>
      <c r="L63" s="26" t="n">
        <f aca="false">IF(G63="Prospecting",Parâmetros!$B$9,IF(J63&gt;Parâmetros!$B$6,0,INDEX(Parâmetros!$C$24:$C$26,MATCH(J63,Parâmetros!$A$24:$A$26,1))))</f>
        <v>40</v>
      </c>
      <c r="M63" s="31" t="n">
        <f aca="false">IF(G63="Prospecting",1,INDEX(Parâmetros!$C$32:$C$35,MATCH(J63,Parâmetros!$A$32:$A$35,1)))</f>
        <v>1</v>
      </c>
      <c r="N63" s="2" t="n">
        <f aca="false">ROUND((K63+L63)*M63,0)</f>
        <v>83</v>
      </c>
      <c r="O63" s="10" t="str">
        <f aca="false">IF(AND(G63="Engaging",J63&gt;Parâmetros!$B$6),"Sim","Não")</f>
        <v>Não</v>
      </c>
      <c r="P63" s="32" t="str">
        <f aca="false">IF(O63="Sim","R",IF(N63&gt;=Parâmetros!$B$39,"A",IF(N63&gt;=Parâmetros!$B$40,"B",IF(N63&gt;=Parâmetros!$B$41,"C","D"))))</f>
        <v>A</v>
      </c>
      <c r="Q63" s="10" t="str">
        <f aca="false">IF(F63="","Completar cadastro","")</f>
        <v>Completar cadastro</v>
      </c>
      <c r="R63" s="10" t="str">
        <f aca="false">INDEX(Parâmetros!$D$39:$D$43,MATCH(P63,Parâmetros!$A$39:$A$43,0))</f>
        <v>Prioridade máxima: próximo passo em até 48h</v>
      </c>
    </row>
    <row r="64" customFormat="false" ht="15" hidden="false" customHeight="false" outlineLevel="0" collapsed="false">
      <c r="A64" s="10" t="s">
        <v>239</v>
      </c>
      <c r="B64" s="10" t="s">
        <v>86</v>
      </c>
      <c r="C64" s="10" t="s">
        <v>85</v>
      </c>
      <c r="D64" s="10" t="s">
        <v>165</v>
      </c>
      <c r="E64" s="10" t="s">
        <v>49</v>
      </c>
      <c r="F64" s="10"/>
      <c r="G64" s="10" t="s">
        <v>162</v>
      </c>
      <c r="H64" s="30" t="n">
        <v>42962</v>
      </c>
      <c r="I64" s="8" t="n">
        <f aca="false">INDEX(Parâmetros!$C$13:$C$19,MATCH(E64,Parâmetros!$A$13:$A$19,0))</f>
        <v>3393</v>
      </c>
      <c r="J64" s="26" t="n">
        <f aca="false">IF(H64="","",Parâmetros!$B$5-H64)</f>
        <v>138</v>
      </c>
      <c r="K64" s="10" t="n">
        <f aca="false">INDEX(Parâmetros!$D$13:$D$19,MATCH(E64,Parâmetros!$A$13:$A$19,0))</f>
        <v>40</v>
      </c>
      <c r="L64" s="26" t="n">
        <f aca="false">IF(G64="Prospecting",Parâmetros!$B$9,IF(J64&gt;Parâmetros!$B$6,0,INDEX(Parâmetros!$C$24:$C$26,MATCH(J64,Parâmetros!$A$24:$A$26,1))))</f>
        <v>40</v>
      </c>
      <c r="M64" s="31" t="n">
        <f aca="false">IF(G64="Prospecting",1,INDEX(Parâmetros!$C$32:$C$35,MATCH(J64,Parâmetros!$A$32:$A$35,1)))</f>
        <v>1</v>
      </c>
      <c r="N64" s="2" t="n">
        <f aca="false">ROUND((K64+L64)*M64,0)</f>
        <v>80</v>
      </c>
      <c r="O64" s="10" t="str">
        <f aca="false">IF(AND(G64="Engaging",J64&gt;Parâmetros!$B$6),"Sim","Não")</f>
        <v>Não</v>
      </c>
      <c r="P64" s="32" t="str">
        <f aca="false">IF(O64="Sim","R",IF(N64&gt;=Parâmetros!$B$39,"A",IF(N64&gt;=Parâmetros!$B$40,"B",IF(N64&gt;=Parâmetros!$B$41,"C","D"))))</f>
        <v>A</v>
      </c>
      <c r="Q64" s="10" t="str">
        <f aca="false">IF(F64="","Completar cadastro","")</f>
        <v>Completar cadastro</v>
      </c>
      <c r="R64" s="10" t="str">
        <f aca="false">INDEX(Parâmetros!$D$39:$D$43,MATCH(P64,Parâmetros!$A$39:$A$43,0))</f>
        <v>Prioridade máxima: próximo passo em até 48h</v>
      </c>
    </row>
    <row r="65" customFormat="false" ht="15" hidden="false" customHeight="false" outlineLevel="0" collapsed="false">
      <c r="A65" s="10" t="s">
        <v>240</v>
      </c>
      <c r="B65" s="10" t="s">
        <v>93</v>
      </c>
      <c r="C65" s="10" t="s">
        <v>92</v>
      </c>
      <c r="D65" s="10" t="s">
        <v>160</v>
      </c>
      <c r="E65" s="10" t="s">
        <v>49</v>
      </c>
      <c r="F65" s="10"/>
      <c r="G65" s="10" t="s">
        <v>162</v>
      </c>
      <c r="H65" s="30" t="n">
        <v>42962</v>
      </c>
      <c r="I65" s="8" t="n">
        <f aca="false">INDEX(Parâmetros!$C$13:$C$19,MATCH(E65,Parâmetros!$A$13:$A$19,0))</f>
        <v>3393</v>
      </c>
      <c r="J65" s="26" t="n">
        <f aca="false">IF(H65="","",Parâmetros!$B$5-H65)</f>
        <v>138</v>
      </c>
      <c r="K65" s="10" t="n">
        <f aca="false">INDEX(Parâmetros!$D$13:$D$19,MATCH(E65,Parâmetros!$A$13:$A$19,0))</f>
        <v>40</v>
      </c>
      <c r="L65" s="26" t="n">
        <f aca="false">IF(G65="Prospecting",Parâmetros!$B$9,IF(J65&gt;Parâmetros!$B$6,0,INDEX(Parâmetros!$C$24:$C$26,MATCH(J65,Parâmetros!$A$24:$A$26,1))))</f>
        <v>40</v>
      </c>
      <c r="M65" s="31" t="n">
        <f aca="false">IF(G65="Prospecting",1,INDEX(Parâmetros!$C$32:$C$35,MATCH(J65,Parâmetros!$A$32:$A$35,1)))</f>
        <v>1</v>
      </c>
      <c r="N65" s="2" t="n">
        <f aca="false">ROUND((K65+L65)*M65,0)</f>
        <v>80</v>
      </c>
      <c r="O65" s="10" t="str">
        <f aca="false">IF(AND(G65="Engaging",J65&gt;Parâmetros!$B$6),"Sim","Não")</f>
        <v>Não</v>
      </c>
      <c r="P65" s="32" t="str">
        <f aca="false">IF(O65="Sim","R",IF(N65&gt;=Parâmetros!$B$39,"A",IF(N65&gt;=Parâmetros!$B$40,"B",IF(N65&gt;=Parâmetros!$B$41,"C","D"))))</f>
        <v>A</v>
      </c>
      <c r="Q65" s="10" t="str">
        <f aca="false">IF(F65="","Completar cadastro","")</f>
        <v>Completar cadastro</v>
      </c>
      <c r="R65" s="10" t="str">
        <f aca="false">INDEX(Parâmetros!$D$39:$D$43,MATCH(P65,Parâmetros!$A$39:$A$43,0))</f>
        <v>Prioridade máxima: próximo passo em até 48h</v>
      </c>
    </row>
    <row r="66" customFormat="false" ht="15" hidden="false" customHeight="false" outlineLevel="0" collapsed="false">
      <c r="A66" s="10" t="s">
        <v>241</v>
      </c>
      <c r="B66" s="10" t="s">
        <v>57</v>
      </c>
      <c r="C66" s="10" t="s">
        <v>58</v>
      </c>
      <c r="D66" s="10" t="s">
        <v>165</v>
      </c>
      <c r="E66" s="10" t="s">
        <v>49</v>
      </c>
      <c r="F66" s="10"/>
      <c r="G66" s="10" t="s">
        <v>162</v>
      </c>
      <c r="H66" s="30" t="n">
        <v>42965</v>
      </c>
      <c r="I66" s="8" t="n">
        <f aca="false">INDEX(Parâmetros!$C$13:$C$19,MATCH(E66,Parâmetros!$A$13:$A$19,0))</f>
        <v>3393</v>
      </c>
      <c r="J66" s="26" t="n">
        <f aca="false">IF(H66="","",Parâmetros!$B$5-H66)</f>
        <v>135</v>
      </c>
      <c r="K66" s="10" t="n">
        <f aca="false">INDEX(Parâmetros!$D$13:$D$19,MATCH(E66,Parâmetros!$A$13:$A$19,0))</f>
        <v>40</v>
      </c>
      <c r="L66" s="26" t="n">
        <f aca="false">IF(G66="Prospecting",Parâmetros!$B$9,IF(J66&gt;Parâmetros!$B$6,0,INDEX(Parâmetros!$C$24:$C$26,MATCH(J66,Parâmetros!$A$24:$A$26,1))))</f>
        <v>40</v>
      </c>
      <c r="M66" s="31" t="n">
        <f aca="false">IF(G66="Prospecting",1,INDEX(Parâmetros!$C$32:$C$35,MATCH(J66,Parâmetros!$A$32:$A$35,1)))</f>
        <v>1</v>
      </c>
      <c r="N66" s="2" t="n">
        <f aca="false">ROUND((K66+L66)*M66,0)</f>
        <v>80</v>
      </c>
      <c r="O66" s="10" t="str">
        <f aca="false">IF(AND(G66="Engaging",J66&gt;Parâmetros!$B$6),"Sim","Não")</f>
        <v>Não</v>
      </c>
      <c r="P66" s="32" t="str">
        <f aca="false">IF(O66="Sim","R",IF(N66&gt;=Parâmetros!$B$39,"A",IF(N66&gt;=Parâmetros!$B$40,"B",IF(N66&gt;=Parâmetros!$B$41,"C","D"))))</f>
        <v>A</v>
      </c>
      <c r="Q66" s="10" t="str">
        <f aca="false">IF(F66="","Completar cadastro","")</f>
        <v>Completar cadastro</v>
      </c>
      <c r="R66" s="10" t="str">
        <f aca="false">INDEX(Parâmetros!$D$39:$D$43,MATCH(P66,Parâmetros!$A$39:$A$43,0))</f>
        <v>Prioridade máxima: próximo passo em até 48h</v>
      </c>
    </row>
    <row r="67" customFormat="false" ht="15" hidden="false" customHeight="false" outlineLevel="0" collapsed="false">
      <c r="A67" s="10" t="s">
        <v>242</v>
      </c>
      <c r="B67" s="10" t="s">
        <v>70</v>
      </c>
      <c r="C67" s="10" t="s">
        <v>65</v>
      </c>
      <c r="D67" s="10" t="s">
        <v>160</v>
      </c>
      <c r="E67" s="10" t="s">
        <v>49</v>
      </c>
      <c r="F67" s="10"/>
      <c r="G67" s="10" t="s">
        <v>162</v>
      </c>
      <c r="H67" s="30" t="n">
        <v>42965</v>
      </c>
      <c r="I67" s="8" t="n">
        <f aca="false">INDEX(Parâmetros!$C$13:$C$19,MATCH(E67,Parâmetros!$A$13:$A$19,0))</f>
        <v>3393</v>
      </c>
      <c r="J67" s="26" t="n">
        <f aca="false">IF(H67="","",Parâmetros!$B$5-H67)</f>
        <v>135</v>
      </c>
      <c r="K67" s="10" t="n">
        <f aca="false">INDEX(Parâmetros!$D$13:$D$19,MATCH(E67,Parâmetros!$A$13:$A$19,0))</f>
        <v>40</v>
      </c>
      <c r="L67" s="26" t="n">
        <f aca="false">IF(G67="Prospecting",Parâmetros!$B$9,IF(J67&gt;Parâmetros!$B$6,0,INDEX(Parâmetros!$C$24:$C$26,MATCH(J67,Parâmetros!$A$24:$A$26,1))))</f>
        <v>40</v>
      </c>
      <c r="M67" s="31" t="n">
        <f aca="false">IF(G67="Prospecting",1,INDEX(Parâmetros!$C$32:$C$35,MATCH(J67,Parâmetros!$A$32:$A$35,1)))</f>
        <v>1</v>
      </c>
      <c r="N67" s="2" t="n">
        <f aca="false">ROUND((K67+L67)*M67,0)</f>
        <v>80</v>
      </c>
      <c r="O67" s="10" t="str">
        <f aca="false">IF(AND(G67="Engaging",J67&gt;Parâmetros!$B$6),"Sim","Não")</f>
        <v>Não</v>
      </c>
      <c r="P67" s="32" t="str">
        <f aca="false">IF(O67="Sim","R",IF(N67&gt;=Parâmetros!$B$39,"A",IF(N67&gt;=Parâmetros!$B$40,"B",IF(N67&gt;=Parâmetros!$B$41,"C","D"))))</f>
        <v>A</v>
      </c>
      <c r="Q67" s="10" t="str">
        <f aca="false">IF(F67="","Completar cadastro","")</f>
        <v>Completar cadastro</v>
      </c>
      <c r="R67" s="10" t="str">
        <f aca="false">INDEX(Parâmetros!$D$39:$D$43,MATCH(P67,Parâmetros!$A$39:$A$43,0))</f>
        <v>Prioridade máxima: próximo passo em até 48h</v>
      </c>
    </row>
    <row r="68" customFormat="false" ht="15" hidden="false" customHeight="false" outlineLevel="0" collapsed="false">
      <c r="A68" s="10" t="s">
        <v>243</v>
      </c>
      <c r="B68" s="10" t="s">
        <v>86</v>
      </c>
      <c r="C68" s="10" t="s">
        <v>85</v>
      </c>
      <c r="D68" s="10" t="s">
        <v>165</v>
      </c>
      <c r="E68" s="10" t="s">
        <v>49</v>
      </c>
      <c r="F68" s="10"/>
      <c r="G68" s="10" t="s">
        <v>162</v>
      </c>
      <c r="H68" s="30" t="n">
        <v>42969</v>
      </c>
      <c r="I68" s="8" t="n">
        <f aca="false">INDEX(Parâmetros!$C$13:$C$19,MATCH(E68,Parâmetros!$A$13:$A$19,0))</f>
        <v>3393</v>
      </c>
      <c r="J68" s="26" t="n">
        <f aca="false">IF(H68="","",Parâmetros!$B$5-H68)</f>
        <v>131</v>
      </c>
      <c r="K68" s="10" t="n">
        <f aca="false">INDEX(Parâmetros!$D$13:$D$19,MATCH(E68,Parâmetros!$A$13:$A$19,0))</f>
        <v>40</v>
      </c>
      <c r="L68" s="26" t="n">
        <f aca="false">IF(G68="Prospecting",Parâmetros!$B$9,IF(J68&gt;Parâmetros!$B$6,0,INDEX(Parâmetros!$C$24:$C$26,MATCH(J68,Parâmetros!$A$24:$A$26,1))))</f>
        <v>40</v>
      </c>
      <c r="M68" s="31" t="n">
        <f aca="false">IF(G68="Prospecting",1,INDEX(Parâmetros!$C$32:$C$35,MATCH(J68,Parâmetros!$A$32:$A$35,1)))</f>
        <v>1</v>
      </c>
      <c r="N68" s="2" t="n">
        <f aca="false">ROUND((K68+L68)*M68,0)</f>
        <v>80</v>
      </c>
      <c r="O68" s="10" t="str">
        <f aca="false">IF(AND(G68="Engaging",J68&gt;Parâmetros!$B$6),"Sim","Não")</f>
        <v>Não</v>
      </c>
      <c r="P68" s="32" t="str">
        <f aca="false">IF(O68="Sim","R",IF(N68&gt;=Parâmetros!$B$39,"A",IF(N68&gt;=Parâmetros!$B$40,"B",IF(N68&gt;=Parâmetros!$B$41,"C","D"))))</f>
        <v>A</v>
      </c>
      <c r="Q68" s="10" t="str">
        <f aca="false">IF(F68="","Completar cadastro","")</f>
        <v>Completar cadastro</v>
      </c>
      <c r="R68" s="10" t="str">
        <f aca="false">INDEX(Parâmetros!$D$39:$D$43,MATCH(P68,Parâmetros!$A$39:$A$43,0))</f>
        <v>Prioridade máxima: próximo passo em até 48h</v>
      </c>
    </row>
    <row r="69" customFormat="false" ht="15" hidden="false" customHeight="false" outlineLevel="0" collapsed="false">
      <c r="A69" s="10" t="s">
        <v>244</v>
      </c>
      <c r="B69" s="10" t="s">
        <v>63</v>
      </c>
      <c r="C69" s="10" t="s">
        <v>58</v>
      </c>
      <c r="D69" s="10" t="s">
        <v>165</v>
      </c>
      <c r="E69" s="10" t="s">
        <v>49</v>
      </c>
      <c r="F69" s="10"/>
      <c r="G69" s="10" t="s">
        <v>162</v>
      </c>
      <c r="H69" s="30" t="n">
        <v>42969</v>
      </c>
      <c r="I69" s="8" t="n">
        <f aca="false">INDEX(Parâmetros!$C$13:$C$19,MATCH(E69,Parâmetros!$A$13:$A$19,0))</f>
        <v>3393</v>
      </c>
      <c r="J69" s="26" t="n">
        <f aca="false">IF(H69="","",Parâmetros!$B$5-H69)</f>
        <v>131</v>
      </c>
      <c r="K69" s="10" t="n">
        <f aca="false">INDEX(Parâmetros!$D$13:$D$19,MATCH(E69,Parâmetros!$A$13:$A$19,0))</f>
        <v>40</v>
      </c>
      <c r="L69" s="26" t="n">
        <f aca="false">IF(G69="Prospecting",Parâmetros!$B$9,IF(J69&gt;Parâmetros!$B$6,0,INDEX(Parâmetros!$C$24:$C$26,MATCH(J69,Parâmetros!$A$24:$A$26,1))))</f>
        <v>40</v>
      </c>
      <c r="M69" s="31" t="n">
        <f aca="false">IF(G69="Prospecting",1,INDEX(Parâmetros!$C$32:$C$35,MATCH(J69,Parâmetros!$A$32:$A$35,1)))</f>
        <v>1</v>
      </c>
      <c r="N69" s="2" t="n">
        <f aca="false">ROUND((K69+L69)*M69,0)</f>
        <v>80</v>
      </c>
      <c r="O69" s="10" t="str">
        <f aca="false">IF(AND(G69="Engaging",J69&gt;Parâmetros!$B$6),"Sim","Não")</f>
        <v>Não</v>
      </c>
      <c r="P69" s="32" t="str">
        <f aca="false">IF(O69="Sim","R",IF(N69&gt;=Parâmetros!$B$39,"A",IF(N69&gt;=Parâmetros!$B$40,"B",IF(N69&gt;=Parâmetros!$B$41,"C","D"))))</f>
        <v>A</v>
      </c>
      <c r="Q69" s="10" t="str">
        <f aca="false">IF(F69="","Completar cadastro","")</f>
        <v>Completar cadastro</v>
      </c>
      <c r="R69" s="10" t="str">
        <f aca="false">INDEX(Parâmetros!$D$39:$D$43,MATCH(P69,Parâmetros!$A$39:$A$43,0))</f>
        <v>Prioridade máxima: próximo passo em até 48h</v>
      </c>
    </row>
    <row r="70" customFormat="false" ht="15" hidden="false" customHeight="false" outlineLevel="0" collapsed="false">
      <c r="A70" s="10" t="s">
        <v>245</v>
      </c>
      <c r="B70" s="10" t="s">
        <v>84</v>
      </c>
      <c r="C70" s="10" t="s">
        <v>85</v>
      </c>
      <c r="D70" s="10" t="s">
        <v>165</v>
      </c>
      <c r="E70" s="10" t="s">
        <v>49</v>
      </c>
      <c r="F70" s="10"/>
      <c r="G70" s="10" t="s">
        <v>162</v>
      </c>
      <c r="H70" s="30" t="n">
        <v>42970</v>
      </c>
      <c r="I70" s="8" t="n">
        <f aca="false">INDEX(Parâmetros!$C$13:$C$19,MATCH(E70,Parâmetros!$A$13:$A$19,0))</f>
        <v>3393</v>
      </c>
      <c r="J70" s="26" t="n">
        <f aca="false">IF(H70="","",Parâmetros!$B$5-H70)</f>
        <v>130</v>
      </c>
      <c r="K70" s="10" t="n">
        <f aca="false">INDEX(Parâmetros!$D$13:$D$19,MATCH(E70,Parâmetros!$A$13:$A$19,0))</f>
        <v>40</v>
      </c>
      <c r="L70" s="26" t="n">
        <f aca="false">IF(G70="Prospecting",Parâmetros!$B$9,IF(J70&gt;Parâmetros!$B$6,0,INDEX(Parâmetros!$C$24:$C$26,MATCH(J70,Parâmetros!$A$24:$A$26,1))))</f>
        <v>40</v>
      </c>
      <c r="M70" s="31" t="n">
        <f aca="false">IF(G70="Prospecting",1,INDEX(Parâmetros!$C$32:$C$35,MATCH(J70,Parâmetros!$A$32:$A$35,1)))</f>
        <v>1</v>
      </c>
      <c r="N70" s="2" t="n">
        <f aca="false">ROUND((K70+L70)*M70,0)</f>
        <v>80</v>
      </c>
      <c r="O70" s="10" t="str">
        <f aca="false">IF(AND(G70="Engaging",J70&gt;Parâmetros!$B$6),"Sim","Não")</f>
        <v>Não</v>
      </c>
      <c r="P70" s="32" t="str">
        <f aca="false">IF(O70="Sim","R",IF(N70&gt;=Parâmetros!$B$39,"A",IF(N70&gt;=Parâmetros!$B$40,"B",IF(N70&gt;=Parâmetros!$B$41,"C","D"))))</f>
        <v>A</v>
      </c>
      <c r="Q70" s="10" t="str">
        <f aca="false">IF(F70="","Completar cadastro","")</f>
        <v>Completar cadastro</v>
      </c>
      <c r="R70" s="10" t="str">
        <f aca="false">INDEX(Parâmetros!$D$39:$D$43,MATCH(P70,Parâmetros!$A$39:$A$43,0))</f>
        <v>Prioridade máxima: próximo passo em até 48h</v>
      </c>
    </row>
    <row r="71" customFormat="false" ht="15" hidden="false" customHeight="false" outlineLevel="0" collapsed="false">
      <c r="A71" s="10" t="s">
        <v>246</v>
      </c>
      <c r="B71" s="10" t="s">
        <v>68</v>
      </c>
      <c r="C71" s="10" t="s">
        <v>65</v>
      </c>
      <c r="D71" s="10" t="s">
        <v>160</v>
      </c>
      <c r="E71" s="10" t="s">
        <v>49</v>
      </c>
      <c r="F71" s="10" t="s">
        <v>247</v>
      </c>
      <c r="G71" s="10" t="s">
        <v>162</v>
      </c>
      <c r="H71" s="30" t="n">
        <v>42976</v>
      </c>
      <c r="I71" s="8" t="n">
        <f aca="false">INDEX(Parâmetros!$C$13:$C$19,MATCH(E71,Parâmetros!$A$13:$A$19,0))</f>
        <v>3393</v>
      </c>
      <c r="J71" s="26" t="n">
        <f aca="false">IF(H71="","",Parâmetros!$B$5-H71)</f>
        <v>124</v>
      </c>
      <c r="K71" s="10" t="n">
        <f aca="false">INDEX(Parâmetros!$D$13:$D$19,MATCH(E71,Parâmetros!$A$13:$A$19,0))</f>
        <v>40</v>
      </c>
      <c r="L71" s="26" t="n">
        <f aca="false">IF(G71="Prospecting",Parâmetros!$B$9,IF(J71&gt;Parâmetros!$B$6,0,INDEX(Parâmetros!$C$24:$C$26,MATCH(J71,Parâmetros!$A$24:$A$26,1))))</f>
        <v>40</v>
      </c>
      <c r="M71" s="31" t="n">
        <f aca="false">IF(G71="Prospecting",1,INDEX(Parâmetros!$C$32:$C$35,MATCH(J71,Parâmetros!$A$32:$A$35,1)))</f>
        <v>1</v>
      </c>
      <c r="N71" s="2" t="n">
        <f aca="false">ROUND((K71+L71)*M71,0)</f>
        <v>80</v>
      </c>
      <c r="O71" s="10" t="str">
        <f aca="false">IF(AND(G71="Engaging",J71&gt;Parâmetros!$B$6),"Sim","Não")</f>
        <v>Não</v>
      </c>
      <c r="P71" s="32" t="str">
        <f aca="false">IF(O71="Sim","R",IF(N71&gt;=Parâmetros!$B$39,"A",IF(N71&gt;=Parâmetros!$B$40,"B",IF(N71&gt;=Parâmetros!$B$41,"C","D"))))</f>
        <v>A</v>
      </c>
      <c r="Q71" s="10" t="str">
        <f aca="false">IF(F71="","Completar cadastro","")</f>
        <v/>
      </c>
      <c r="R71" s="10" t="str">
        <f aca="false">INDEX(Parâmetros!$D$39:$D$43,MATCH(P71,Parâmetros!$A$39:$A$43,0))</f>
        <v>Prioridade máxima: próximo passo em até 48h</v>
      </c>
    </row>
    <row r="72" customFormat="false" ht="15" hidden="false" customHeight="false" outlineLevel="0" collapsed="false">
      <c r="A72" s="10" t="s">
        <v>248</v>
      </c>
      <c r="B72" s="10" t="s">
        <v>97</v>
      </c>
      <c r="C72" s="10" t="s">
        <v>92</v>
      </c>
      <c r="D72" s="10" t="s">
        <v>160</v>
      </c>
      <c r="E72" s="10" t="s">
        <v>49</v>
      </c>
      <c r="F72" s="10"/>
      <c r="G72" s="10" t="s">
        <v>162</v>
      </c>
      <c r="H72" s="30" t="n">
        <v>42982</v>
      </c>
      <c r="I72" s="8" t="n">
        <f aca="false">INDEX(Parâmetros!$C$13:$C$19,MATCH(E72,Parâmetros!$A$13:$A$19,0))</f>
        <v>3393</v>
      </c>
      <c r="J72" s="26" t="n">
        <f aca="false">IF(H72="","",Parâmetros!$B$5-H72)</f>
        <v>118</v>
      </c>
      <c r="K72" s="10" t="n">
        <f aca="false">INDEX(Parâmetros!$D$13:$D$19,MATCH(E72,Parâmetros!$A$13:$A$19,0))</f>
        <v>40</v>
      </c>
      <c r="L72" s="26" t="n">
        <f aca="false">IF(G72="Prospecting",Parâmetros!$B$9,IF(J72&gt;Parâmetros!$B$6,0,INDEX(Parâmetros!$C$24:$C$26,MATCH(J72,Parâmetros!$A$24:$A$26,1))))</f>
        <v>40</v>
      </c>
      <c r="M72" s="31" t="n">
        <f aca="false">IF(G72="Prospecting",1,INDEX(Parâmetros!$C$32:$C$35,MATCH(J72,Parâmetros!$A$32:$A$35,1)))</f>
        <v>1</v>
      </c>
      <c r="N72" s="2" t="n">
        <f aca="false">ROUND((K72+L72)*M72,0)</f>
        <v>80</v>
      </c>
      <c r="O72" s="10" t="str">
        <f aca="false">IF(AND(G72="Engaging",J72&gt;Parâmetros!$B$6),"Sim","Não")</f>
        <v>Não</v>
      </c>
      <c r="P72" s="32" t="str">
        <f aca="false">IF(O72="Sim","R",IF(N72&gt;=Parâmetros!$B$39,"A",IF(N72&gt;=Parâmetros!$B$40,"B",IF(N72&gt;=Parâmetros!$B$41,"C","D"))))</f>
        <v>A</v>
      </c>
      <c r="Q72" s="10" t="str">
        <f aca="false">IF(F72="","Completar cadastro","")</f>
        <v>Completar cadastro</v>
      </c>
      <c r="R72" s="10" t="str">
        <f aca="false">INDEX(Parâmetros!$D$39:$D$43,MATCH(P72,Parâmetros!$A$39:$A$43,0))</f>
        <v>Prioridade máxima: próximo passo em até 48h</v>
      </c>
    </row>
    <row r="73" customFormat="false" ht="15" hidden="false" customHeight="false" outlineLevel="0" collapsed="false">
      <c r="A73" s="10" t="s">
        <v>249</v>
      </c>
      <c r="B73" s="10" t="s">
        <v>93</v>
      </c>
      <c r="C73" s="10" t="s">
        <v>92</v>
      </c>
      <c r="D73" s="10" t="s">
        <v>160</v>
      </c>
      <c r="E73" s="10" t="s">
        <v>49</v>
      </c>
      <c r="F73" s="10"/>
      <c r="G73" s="10" t="s">
        <v>162</v>
      </c>
      <c r="H73" s="30" t="n">
        <v>42986</v>
      </c>
      <c r="I73" s="8" t="n">
        <f aca="false">INDEX(Parâmetros!$C$13:$C$19,MATCH(E73,Parâmetros!$A$13:$A$19,0))</f>
        <v>3393</v>
      </c>
      <c r="J73" s="26" t="n">
        <f aca="false">IF(H73="","",Parâmetros!$B$5-H73)</f>
        <v>114</v>
      </c>
      <c r="K73" s="10" t="n">
        <f aca="false">INDEX(Parâmetros!$D$13:$D$19,MATCH(E73,Parâmetros!$A$13:$A$19,0))</f>
        <v>40</v>
      </c>
      <c r="L73" s="26" t="n">
        <f aca="false">IF(G73="Prospecting",Parâmetros!$B$9,IF(J73&gt;Parâmetros!$B$6,0,INDEX(Parâmetros!$C$24:$C$26,MATCH(J73,Parâmetros!$A$24:$A$26,1))))</f>
        <v>40</v>
      </c>
      <c r="M73" s="31" t="n">
        <f aca="false">IF(G73="Prospecting",1,INDEX(Parâmetros!$C$32:$C$35,MATCH(J73,Parâmetros!$A$32:$A$35,1)))</f>
        <v>1</v>
      </c>
      <c r="N73" s="2" t="n">
        <f aca="false">ROUND((K73+L73)*M73,0)</f>
        <v>80</v>
      </c>
      <c r="O73" s="10" t="str">
        <f aca="false">IF(AND(G73="Engaging",J73&gt;Parâmetros!$B$6),"Sim","Não")</f>
        <v>Não</v>
      </c>
      <c r="P73" s="32" t="str">
        <f aca="false">IF(O73="Sim","R",IF(N73&gt;=Parâmetros!$B$39,"A",IF(N73&gt;=Parâmetros!$B$40,"B",IF(N73&gt;=Parâmetros!$B$41,"C","D"))))</f>
        <v>A</v>
      </c>
      <c r="Q73" s="10" t="str">
        <f aca="false">IF(F73="","Completar cadastro","")</f>
        <v>Completar cadastro</v>
      </c>
      <c r="R73" s="10" t="str">
        <f aca="false">INDEX(Parâmetros!$D$39:$D$43,MATCH(P73,Parâmetros!$A$39:$A$43,0))</f>
        <v>Prioridade máxima: próximo passo em até 48h</v>
      </c>
    </row>
    <row r="74" customFormat="false" ht="15" hidden="false" customHeight="false" outlineLevel="0" collapsed="false">
      <c r="A74" s="10" t="s">
        <v>250</v>
      </c>
      <c r="B74" s="10" t="s">
        <v>67</v>
      </c>
      <c r="C74" s="10" t="s">
        <v>65</v>
      </c>
      <c r="D74" s="10" t="s">
        <v>160</v>
      </c>
      <c r="E74" s="10" t="s">
        <v>49</v>
      </c>
      <c r="F74" s="10"/>
      <c r="G74" s="10" t="s">
        <v>162</v>
      </c>
      <c r="H74" s="30" t="n">
        <v>42988</v>
      </c>
      <c r="I74" s="8" t="n">
        <f aca="false">INDEX(Parâmetros!$C$13:$C$19,MATCH(E74,Parâmetros!$A$13:$A$19,0))</f>
        <v>3393</v>
      </c>
      <c r="J74" s="26" t="n">
        <f aca="false">IF(H74="","",Parâmetros!$B$5-H74)</f>
        <v>112</v>
      </c>
      <c r="K74" s="10" t="n">
        <f aca="false">INDEX(Parâmetros!$D$13:$D$19,MATCH(E74,Parâmetros!$A$13:$A$19,0))</f>
        <v>40</v>
      </c>
      <c r="L74" s="26" t="n">
        <f aca="false">IF(G74="Prospecting",Parâmetros!$B$9,IF(J74&gt;Parâmetros!$B$6,0,INDEX(Parâmetros!$C$24:$C$26,MATCH(J74,Parâmetros!$A$24:$A$26,1))))</f>
        <v>40</v>
      </c>
      <c r="M74" s="31" t="n">
        <f aca="false">IF(G74="Prospecting",1,INDEX(Parâmetros!$C$32:$C$35,MATCH(J74,Parâmetros!$A$32:$A$35,1)))</f>
        <v>1</v>
      </c>
      <c r="N74" s="2" t="n">
        <f aca="false">ROUND((K74+L74)*M74,0)</f>
        <v>80</v>
      </c>
      <c r="O74" s="10" t="str">
        <f aca="false">IF(AND(G74="Engaging",J74&gt;Parâmetros!$B$6),"Sim","Não")</f>
        <v>Não</v>
      </c>
      <c r="P74" s="32" t="str">
        <f aca="false">IF(O74="Sim","R",IF(N74&gt;=Parâmetros!$B$39,"A",IF(N74&gt;=Parâmetros!$B$40,"B",IF(N74&gt;=Parâmetros!$B$41,"C","D"))))</f>
        <v>A</v>
      </c>
      <c r="Q74" s="10" t="str">
        <f aca="false">IF(F74="","Completar cadastro","")</f>
        <v>Completar cadastro</v>
      </c>
      <c r="R74" s="10" t="str">
        <f aca="false">INDEX(Parâmetros!$D$39:$D$43,MATCH(P74,Parâmetros!$A$39:$A$43,0))</f>
        <v>Prioridade máxima: próximo passo em até 48h</v>
      </c>
    </row>
    <row r="75" customFormat="false" ht="15" hidden="false" customHeight="false" outlineLevel="0" collapsed="false">
      <c r="A75" s="10" t="s">
        <v>251</v>
      </c>
      <c r="B75" s="10" t="s">
        <v>62</v>
      </c>
      <c r="C75" s="10" t="s">
        <v>58</v>
      </c>
      <c r="D75" s="10" t="s">
        <v>165</v>
      </c>
      <c r="E75" s="10" t="s">
        <v>49</v>
      </c>
      <c r="F75" s="10"/>
      <c r="G75" s="10" t="s">
        <v>162</v>
      </c>
      <c r="H75" s="30" t="n">
        <v>42990</v>
      </c>
      <c r="I75" s="8" t="n">
        <f aca="false">INDEX(Parâmetros!$C$13:$C$19,MATCH(E75,Parâmetros!$A$13:$A$19,0))</f>
        <v>3393</v>
      </c>
      <c r="J75" s="26" t="n">
        <f aca="false">IF(H75="","",Parâmetros!$B$5-H75)</f>
        <v>110</v>
      </c>
      <c r="K75" s="10" t="n">
        <f aca="false">INDEX(Parâmetros!$D$13:$D$19,MATCH(E75,Parâmetros!$A$13:$A$19,0))</f>
        <v>40</v>
      </c>
      <c r="L75" s="26" t="n">
        <f aca="false">IF(G75="Prospecting",Parâmetros!$B$9,IF(J75&gt;Parâmetros!$B$6,0,INDEX(Parâmetros!$C$24:$C$26,MATCH(J75,Parâmetros!$A$24:$A$26,1))))</f>
        <v>40</v>
      </c>
      <c r="M75" s="31" t="n">
        <f aca="false">IF(G75="Prospecting",1,INDEX(Parâmetros!$C$32:$C$35,MATCH(J75,Parâmetros!$A$32:$A$35,1)))</f>
        <v>1</v>
      </c>
      <c r="N75" s="2" t="n">
        <f aca="false">ROUND((K75+L75)*M75,0)</f>
        <v>80</v>
      </c>
      <c r="O75" s="10" t="str">
        <f aca="false">IF(AND(G75="Engaging",J75&gt;Parâmetros!$B$6),"Sim","Não")</f>
        <v>Não</v>
      </c>
      <c r="P75" s="32" t="str">
        <f aca="false">IF(O75="Sim","R",IF(N75&gt;=Parâmetros!$B$39,"A",IF(N75&gt;=Parâmetros!$B$40,"B",IF(N75&gt;=Parâmetros!$B$41,"C","D"))))</f>
        <v>A</v>
      </c>
      <c r="Q75" s="10" t="str">
        <f aca="false">IF(F75="","Completar cadastro","")</f>
        <v>Completar cadastro</v>
      </c>
      <c r="R75" s="10" t="str">
        <f aca="false">INDEX(Parâmetros!$D$39:$D$43,MATCH(P75,Parâmetros!$A$39:$A$43,0))</f>
        <v>Prioridade máxima: próximo passo em até 48h</v>
      </c>
    </row>
    <row r="76" customFormat="false" ht="15" hidden="false" customHeight="false" outlineLevel="0" collapsed="false">
      <c r="A76" s="10" t="s">
        <v>252</v>
      </c>
      <c r="B76" s="10" t="s">
        <v>63</v>
      </c>
      <c r="C76" s="10" t="s">
        <v>58</v>
      </c>
      <c r="D76" s="10" t="s">
        <v>165</v>
      </c>
      <c r="E76" s="10" t="s">
        <v>49</v>
      </c>
      <c r="F76" s="10"/>
      <c r="G76" s="10" t="s">
        <v>162</v>
      </c>
      <c r="H76" s="30" t="n">
        <v>42993</v>
      </c>
      <c r="I76" s="8" t="n">
        <f aca="false">INDEX(Parâmetros!$C$13:$C$19,MATCH(E76,Parâmetros!$A$13:$A$19,0))</f>
        <v>3393</v>
      </c>
      <c r="J76" s="26" t="n">
        <f aca="false">IF(H76="","",Parâmetros!$B$5-H76)</f>
        <v>107</v>
      </c>
      <c r="K76" s="10" t="n">
        <f aca="false">INDEX(Parâmetros!$D$13:$D$19,MATCH(E76,Parâmetros!$A$13:$A$19,0))</f>
        <v>40</v>
      </c>
      <c r="L76" s="26" t="n">
        <f aca="false">IF(G76="Prospecting",Parâmetros!$B$9,IF(J76&gt;Parâmetros!$B$6,0,INDEX(Parâmetros!$C$24:$C$26,MATCH(J76,Parâmetros!$A$24:$A$26,1))))</f>
        <v>40</v>
      </c>
      <c r="M76" s="31" t="n">
        <f aca="false">IF(G76="Prospecting",1,INDEX(Parâmetros!$C$32:$C$35,MATCH(J76,Parâmetros!$A$32:$A$35,1)))</f>
        <v>1</v>
      </c>
      <c r="N76" s="2" t="n">
        <f aca="false">ROUND((K76+L76)*M76,0)</f>
        <v>80</v>
      </c>
      <c r="O76" s="10" t="str">
        <f aca="false">IF(AND(G76="Engaging",J76&gt;Parâmetros!$B$6),"Sim","Não")</f>
        <v>Não</v>
      </c>
      <c r="P76" s="32" t="str">
        <f aca="false">IF(O76="Sim","R",IF(N76&gt;=Parâmetros!$B$39,"A",IF(N76&gt;=Parâmetros!$B$40,"B",IF(N76&gt;=Parâmetros!$B$41,"C","D"))))</f>
        <v>A</v>
      </c>
      <c r="Q76" s="10" t="str">
        <f aca="false">IF(F76="","Completar cadastro","")</f>
        <v>Completar cadastro</v>
      </c>
      <c r="R76" s="10" t="str">
        <f aca="false">INDEX(Parâmetros!$D$39:$D$43,MATCH(P76,Parâmetros!$A$39:$A$43,0))</f>
        <v>Prioridade máxima: próximo passo em até 48h</v>
      </c>
    </row>
    <row r="77" customFormat="false" ht="15" hidden="false" customHeight="false" outlineLevel="0" collapsed="false">
      <c r="A77" s="10" t="s">
        <v>253</v>
      </c>
      <c r="B77" s="10" t="s">
        <v>96</v>
      </c>
      <c r="C77" s="10" t="s">
        <v>92</v>
      </c>
      <c r="D77" s="10" t="s">
        <v>160</v>
      </c>
      <c r="E77" s="10" t="s">
        <v>49</v>
      </c>
      <c r="F77" s="10" t="s">
        <v>254</v>
      </c>
      <c r="G77" s="10" t="s">
        <v>162</v>
      </c>
      <c r="H77" s="30" t="n">
        <v>42995</v>
      </c>
      <c r="I77" s="8" t="n">
        <f aca="false">INDEX(Parâmetros!$C$13:$C$19,MATCH(E77,Parâmetros!$A$13:$A$19,0))</f>
        <v>3393</v>
      </c>
      <c r="J77" s="26" t="n">
        <f aca="false">IF(H77="","",Parâmetros!$B$5-H77)</f>
        <v>105</v>
      </c>
      <c r="K77" s="10" t="n">
        <f aca="false">INDEX(Parâmetros!$D$13:$D$19,MATCH(E77,Parâmetros!$A$13:$A$19,0))</f>
        <v>40</v>
      </c>
      <c r="L77" s="26" t="n">
        <f aca="false">IF(G77="Prospecting",Parâmetros!$B$9,IF(J77&gt;Parâmetros!$B$6,0,INDEX(Parâmetros!$C$24:$C$26,MATCH(J77,Parâmetros!$A$24:$A$26,1))))</f>
        <v>40</v>
      </c>
      <c r="M77" s="31" t="n">
        <f aca="false">IF(G77="Prospecting",1,INDEX(Parâmetros!$C$32:$C$35,MATCH(J77,Parâmetros!$A$32:$A$35,1)))</f>
        <v>1</v>
      </c>
      <c r="N77" s="2" t="n">
        <f aca="false">ROUND((K77+L77)*M77,0)</f>
        <v>80</v>
      </c>
      <c r="O77" s="10" t="str">
        <f aca="false">IF(AND(G77="Engaging",J77&gt;Parâmetros!$B$6),"Sim","Não")</f>
        <v>Não</v>
      </c>
      <c r="P77" s="32" t="str">
        <f aca="false">IF(O77="Sim","R",IF(N77&gt;=Parâmetros!$B$39,"A",IF(N77&gt;=Parâmetros!$B$40,"B",IF(N77&gt;=Parâmetros!$B$41,"C","D"))))</f>
        <v>A</v>
      </c>
      <c r="Q77" s="10" t="str">
        <f aca="false">IF(F77="","Completar cadastro","")</f>
        <v/>
      </c>
      <c r="R77" s="10" t="str">
        <f aca="false">INDEX(Parâmetros!$D$39:$D$43,MATCH(P77,Parâmetros!$A$39:$A$43,0))</f>
        <v>Prioridade máxima: próximo passo em até 48h</v>
      </c>
    </row>
    <row r="78" customFormat="false" ht="15" hidden="false" customHeight="false" outlineLevel="0" collapsed="false">
      <c r="A78" s="10" t="s">
        <v>255</v>
      </c>
      <c r="B78" s="10" t="s">
        <v>93</v>
      </c>
      <c r="C78" s="10" t="s">
        <v>92</v>
      </c>
      <c r="D78" s="10" t="s">
        <v>160</v>
      </c>
      <c r="E78" s="10" t="s">
        <v>49</v>
      </c>
      <c r="F78" s="10"/>
      <c r="G78" s="10" t="s">
        <v>162</v>
      </c>
      <c r="H78" s="30" t="n">
        <v>42996</v>
      </c>
      <c r="I78" s="8" t="n">
        <f aca="false">INDEX(Parâmetros!$C$13:$C$19,MATCH(E78,Parâmetros!$A$13:$A$19,0))</f>
        <v>3393</v>
      </c>
      <c r="J78" s="26" t="n">
        <f aca="false">IF(H78="","",Parâmetros!$B$5-H78)</f>
        <v>104</v>
      </c>
      <c r="K78" s="10" t="n">
        <f aca="false">INDEX(Parâmetros!$D$13:$D$19,MATCH(E78,Parâmetros!$A$13:$A$19,0))</f>
        <v>40</v>
      </c>
      <c r="L78" s="26" t="n">
        <f aca="false">IF(G78="Prospecting",Parâmetros!$B$9,IF(J78&gt;Parâmetros!$B$6,0,INDEX(Parâmetros!$C$24:$C$26,MATCH(J78,Parâmetros!$A$24:$A$26,1))))</f>
        <v>40</v>
      </c>
      <c r="M78" s="31" t="n">
        <f aca="false">IF(G78="Prospecting",1,INDEX(Parâmetros!$C$32:$C$35,MATCH(J78,Parâmetros!$A$32:$A$35,1)))</f>
        <v>1</v>
      </c>
      <c r="N78" s="2" t="n">
        <f aca="false">ROUND((K78+L78)*M78,0)</f>
        <v>80</v>
      </c>
      <c r="O78" s="10" t="str">
        <f aca="false">IF(AND(G78="Engaging",J78&gt;Parâmetros!$B$6),"Sim","Não")</f>
        <v>Não</v>
      </c>
      <c r="P78" s="32" t="str">
        <f aca="false">IF(O78="Sim","R",IF(N78&gt;=Parâmetros!$B$39,"A",IF(N78&gt;=Parâmetros!$B$40,"B",IF(N78&gt;=Parâmetros!$B$41,"C","D"))))</f>
        <v>A</v>
      </c>
      <c r="Q78" s="10" t="str">
        <f aca="false">IF(F78="","Completar cadastro","")</f>
        <v>Completar cadastro</v>
      </c>
      <c r="R78" s="10" t="str">
        <f aca="false">INDEX(Parâmetros!$D$39:$D$43,MATCH(P78,Parâmetros!$A$39:$A$43,0))</f>
        <v>Prioridade máxima: próximo passo em até 48h</v>
      </c>
    </row>
    <row r="79" customFormat="false" ht="15" hidden="false" customHeight="false" outlineLevel="0" collapsed="false">
      <c r="A79" s="10" t="s">
        <v>256</v>
      </c>
      <c r="B79" s="10" t="s">
        <v>96</v>
      </c>
      <c r="C79" s="10" t="s">
        <v>92</v>
      </c>
      <c r="D79" s="10" t="s">
        <v>160</v>
      </c>
      <c r="E79" s="10" t="s">
        <v>49</v>
      </c>
      <c r="F79" s="10"/>
      <c r="G79" s="10" t="s">
        <v>162</v>
      </c>
      <c r="H79" s="30" t="n">
        <v>42996</v>
      </c>
      <c r="I79" s="8" t="n">
        <f aca="false">INDEX(Parâmetros!$C$13:$C$19,MATCH(E79,Parâmetros!$A$13:$A$19,0))</f>
        <v>3393</v>
      </c>
      <c r="J79" s="26" t="n">
        <f aca="false">IF(H79="","",Parâmetros!$B$5-H79)</f>
        <v>104</v>
      </c>
      <c r="K79" s="10" t="n">
        <f aca="false">INDEX(Parâmetros!$D$13:$D$19,MATCH(E79,Parâmetros!$A$13:$A$19,0))</f>
        <v>40</v>
      </c>
      <c r="L79" s="26" t="n">
        <f aca="false">IF(G79="Prospecting",Parâmetros!$B$9,IF(J79&gt;Parâmetros!$B$6,0,INDEX(Parâmetros!$C$24:$C$26,MATCH(J79,Parâmetros!$A$24:$A$26,1))))</f>
        <v>40</v>
      </c>
      <c r="M79" s="31" t="n">
        <f aca="false">IF(G79="Prospecting",1,INDEX(Parâmetros!$C$32:$C$35,MATCH(J79,Parâmetros!$A$32:$A$35,1)))</f>
        <v>1</v>
      </c>
      <c r="N79" s="2" t="n">
        <f aca="false">ROUND((K79+L79)*M79,0)</f>
        <v>80</v>
      </c>
      <c r="O79" s="10" t="str">
        <f aca="false">IF(AND(G79="Engaging",J79&gt;Parâmetros!$B$6),"Sim","Não")</f>
        <v>Não</v>
      </c>
      <c r="P79" s="32" t="str">
        <f aca="false">IF(O79="Sim","R",IF(N79&gt;=Parâmetros!$B$39,"A",IF(N79&gt;=Parâmetros!$B$40,"B",IF(N79&gt;=Parâmetros!$B$41,"C","D"))))</f>
        <v>A</v>
      </c>
      <c r="Q79" s="10" t="str">
        <f aca="false">IF(F79="","Completar cadastro","")</f>
        <v>Completar cadastro</v>
      </c>
      <c r="R79" s="10" t="str">
        <f aca="false">INDEX(Parâmetros!$D$39:$D$43,MATCH(P79,Parâmetros!$A$39:$A$43,0))</f>
        <v>Prioridade máxima: próximo passo em até 48h</v>
      </c>
    </row>
    <row r="80" customFormat="false" ht="15" hidden="false" customHeight="false" outlineLevel="0" collapsed="false">
      <c r="A80" s="10" t="s">
        <v>257</v>
      </c>
      <c r="B80" s="10" t="s">
        <v>61</v>
      </c>
      <c r="C80" s="10" t="s">
        <v>58</v>
      </c>
      <c r="D80" s="10" t="s">
        <v>165</v>
      </c>
      <c r="E80" s="10" t="s">
        <v>49</v>
      </c>
      <c r="F80" s="10"/>
      <c r="G80" s="10" t="s">
        <v>162</v>
      </c>
      <c r="H80" s="30" t="n">
        <v>42997</v>
      </c>
      <c r="I80" s="8" t="n">
        <f aca="false">INDEX(Parâmetros!$C$13:$C$19,MATCH(E80,Parâmetros!$A$13:$A$19,0))</f>
        <v>3393</v>
      </c>
      <c r="J80" s="26" t="n">
        <f aca="false">IF(H80="","",Parâmetros!$B$5-H80)</f>
        <v>103</v>
      </c>
      <c r="K80" s="10" t="n">
        <f aca="false">INDEX(Parâmetros!$D$13:$D$19,MATCH(E80,Parâmetros!$A$13:$A$19,0))</f>
        <v>40</v>
      </c>
      <c r="L80" s="26" t="n">
        <f aca="false">IF(G80="Prospecting",Parâmetros!$B$9,IF(J80&gt;Parâmetros!$B$6,0,INDEX(Parâmetros!$C$24:$C$26,MATCH(J80,Parâmetros!$A$24:$A$26,1))))</f>
        <v>40</v>
      </c>
      <c r="M80" s="31" t="n">
        <f aca="false">IF(G80="Prospecting",1,INDEX(Parâmetros!$C$32:$C$35,MATCH(J80,Parâmetros!$A$32:$A$35,1)))</f>
        <v>1</v>
      </c>
      <c r="N80" s="2" t="n">
        <f aca="false">ROUND((K80+L80)*M80,0)</f>
        <v>80</v>
      </c>
      <c r="O80" s="10" t="str">
        <f aca="false">IF(AND(G80="Engaging",J80&gt;Parâmetros!$B$6),"Sim","Não")</f>
        <v>Não</v>
      </c>
      <c r="P80" s="32" t="str">
        <f aca="false">IF(O80="Sim","R",IF(N80&gt;=Parâmetros!$B$39,"A",IF(N80&gt;=Parâmetros!$B$40,"B",IF(N80&gt;=Parâmetros!$B$41,"C","D"))))</f>
        <v>A</v>
      </c>
      <c r="Q80" s="10" t="str">
        <f aca="false">IF(F80="","Completar cadastro","")</f>
        <v>Completar cadastro</v>
      </c>
      <c r="R80" s="10" t="str">
        <f aca="false">INDEX(Parâmetros!$D$39:$D$43,MATCH(P80,Parâmetros!$A$39:$A$43,0))</f>
        <v>Prioridade máxima: próximo passo em até 48h</v>
      </c>
    </row>
    <row r="81" customFormat="false" ht="15" hidden="false" customHeight="false" outlineLevel="0" collapsed="false">
      <c r="A81" s="10" t="s">
        <v>258</v>
      </c>
      <c r="B81" s="10" t="s">
        <v>84</v>
      </c>
      <c r="C81" s="10" t="s">
        <v>85</v>
      </c>
      <c r="D81" s="10" t="s">
        <v>165</v>
      </c>
      <c r="E81" s="10" t="s">
        <v>49</v>
      </c>
      <c r="F81" s="10" t="s">
        <v>259</v>
      </c>
      <c r="G81" s="10" t="s">
        <v>162</v>
      </c>
      <c r="H81" s="30" t="n">
        <v>42998</v>
      </c>
      <c r="I81" s="8" t="n">
        <f aca="false">INDEX(Parâmetros!$C$13:$C$19,MATCH(E81,Parâmetros!$A$13:$A$19,0))</f>
        <v>3393</v>
      </c>
      <c r="J81" s="26" t="n">
        <f aca="false">IF(H81="","",Parâmetros!$B$5-H81)</f>
        <v>102</v>
      </c>
      <c r="K81" s="10" t="n">
        <f aca="false">INDEX(Parâmetros!$D$13:$D$19,MATCH(E81,Parâmetros!$A$13:$A$19,0))</f>
        <v>40</v>
      </c>
      <c r="L81" s="26" t="n">
        <f aca="false">IF(G81="Prospecting",Parâmetros!$B$9,IF(J81&gt;Parâmetros!$B$6,0,INDEX(Parâmetros!$C$24:$C$26,MATCH(J81,Parâmetros!$A$24:$A$26,1))))</f>
        <v>40</v>
      </c>
      <c r="M81" s="31" t="n">
        <f aca="false">IF(G81="Prospecting",1,INDEX(Parâmetros!$C$32:$C$35,MATCH(J81,Parâmetros!$A$32:$A$35,1)))</f>
        <v>1</v>
      </c>
      <c r="N81" s="2" t="n">
        <f aca="false">ROUND((K81+L81)*M81,0)</f>
        <v>80</v>
      </c>
      <c r="O81" s="10" t="str">
        <f aca="false">IF(AND(G81="Engaging",J81&gt;Parâmetros!$B$6),"Sim","Não")</f>
        <v>Não</v>
      </c>
      <c r="P81" s="32" t="str">
        <f aca="false">IF(O81="Sim","R",IF(N81&gt;=Parâmetros!$B$39,"A",IF(N81&gt;=Parâmetros!$B$40,"B",IF(N81&gt;=Parâmetros!$B$41,"C","D"))))</f>
        <v>A</v>
      </c>
      <c r="Q81" s="10" t="str">
        <f aca="false">IF(F81="","Completar cadastro","")</f>
        <v/>
      </c>
      <c r="R81" s="10" t="str">
        <f aca="false">INDEX(Parâmetros!$D$39:$D$43,MATCH(P81,Parâmetros!$A$39:$A$43,0))</f>
        <v>Prioridade máxima: próximo passo em até 48h</v>
      </c>
    </row>
    <row r="82" customFormat="false" ht="15" hidden="false" customHeight="false" outlineLevel="0" collapsed="false">
      <c r="A82" s="10" t="s">
        <v>260</v>
      </c>
      <c r="B82" s="10" t="s">
        <v>70</v>
      </c>
      <c r="C82" s="10" t="s">
        <v>65</v>
      </c>
      <c r="D82" s="10" t="s">
        <v>160</v>
      </c>
      <c r="E82" s="10" t="s">
        <v>49</v>
      </c>
      <c r="F82" s="10"/>
      <c r="G82" s="10" t="s">
        <v>162</v>
      </c>
      <c r="H82" s="30" t="n">
        <v>42998</v>
      </c>
      <c r="I82" s="8" t="n">
        <f aca="false">INDEX(Parâmetros!$C$13:$C$19,MATCH(E82,Parâmetros!$A$13:$A$19,0))</f>
        <v>3393</v>
      </c>
      <c r="J82" s="26" t="n">
        <f aca="false">IF(H82="","",Parâmetros!$B$5-H82)</f>
        <v>102</v>
      </c>
      <c r="K82" s="10" t="n">
        <f aca="false">INDEX(Parâmetros!$D$13:$D$19,MATCH(E82,Parâmetros!$A$13:$A$19,0))</f>
        <v>40</v>
      </c>
      <c r="L82" s="26" t="n">
        <f aca="false">IF(G82="Prospecting",Parâmetros!$B$9,IF(J82&gt;Parâmetros!$B$6,0,INDEX(Parâmetros!$C$24:$C$26,MATCH(J82,Parâmetros!$A$24:$A$26,1))))</f>
        <v>40</v>
      </c>
      <c r="M82" s="31" t="n">
        <f aca="false">IF(G82="Prospecting",1,INDEX(Parâmetros!$C$32:$C$35,MATCH(J82,Parâmetros!$A$32:$A$35,1)))</f>
        <v>1</v>
      </c>
      <c r="N82" s="2" t="n">
        <f aca="false">ROUND((K82+L82)*M82,0)</f>
        <v>80</v>
      </c>
      <c r="O82" s="10" t="str">
        <f aca="false">IF(AND(G82="Engaging",J82&gt;Parâmetros!$B$6),"Sim","Não")</f>
        <v>Não</v>
      </c>
      <c r="P82" s="32" t="str">
        <f aca="false">IF(O82="Sim","R",IF(N82&gt;=Parâmetros!$B$39,"A",IF(N82&gt;=Parâmetros!$B$40,"B",IF(N82&gt;=Parâmetros!$B$41,"C","D"))))</f>
        <v>A</v>
      </c>
      <c r="Q82" s="10" t="str">
        <f aca="false">IF(F82="","Completar cadastro","")</f>
        <v>Completar cadastro</v>
      </c>
      <c r="R82" s="10" t="str">
        <f aca="false">INDEX(Parâmetros!$D$39:$D$43,MATCH(P82,Parâmetros!$A$39:$A$43,0))</f>
        <v>Prioridade máxima: próximo passo em até 48h</v>
      </c>
    </row>
    <row r="83" customFormat="false" ht="15" hidden="false" customHeight="false" outlineLevel="0" collapsed="false">
      <c r="A83" s="10" t="s">
        <v>261</v>
      </c>
      <c r="B83" s="10" t="s">
        <v>66</v>
      </c>
      <c r="C83" s="10" t="s">
        <v>65</v>
      </c>
      <c r="D83" s="10" t="s">
        <v>160</v>
      </c>
      <c r="E83" s="10" t="s">
        <v>49</v>
      </c>
      <c r="F83" s="10" t="s">
        <v>168</v>
      </c>
      <c r="G83" s="10" t="s">
        <v>162</v>
      </c>
      <c r="H83" s="30" t="n">
        <v>43000</v>
      </c>
      <c r="I83" s="8" t="n">
        <f aca="false">INDEX(Parâmetros!$C$13:$C$19,MATCH(E83,Parâmetros!$A$13:$A$19,0))</f>
        <v>3393</v>
      </c>
      <c r="J83" s="26" t="n">
        <f aca="false">IF(H83="","",Parâmetros!$B$5-H83)</f>
        <v>100</v>
      </c>
      <c r="K83" s="10" t="n">
        <f aca="false">INDEX(Parâmetros!$D$13:$D$19,MATCH(E83,Parâmetros!$A$13:$A$19,0))</f>
        <v>40</v>
      </c>
      <c r="L83" s="26" t="n">
        <f aca="false">IF(G83="Prospecting",Parâmetros!$B$9,IF(J83&gt;Parâmetros!$B$6,0,INDEX(Parâmetros!$C$24:$C$26,MATCH(J83,Parâmetros!$A$24:$A$26,1))))</f>
        <v>40</v>
      </c>
      <c r="M83" s="31" t="n">
        <f aca="false">IF(G83="Prospecting",1,INDEX(Parâmetros!$C$32:$C$35,MATCH(J83,Parâmetros!$A$32:$A$35,1)))</f>
        <v>1</v>
      </c>
      <c r="N83" s="2" t="n">
        <f aca="false">ROUND((K83+L83)*M83,0)</f>
        <v>80</v>
      </c>
      <c r="O83" s="10" t="str">
        <f aca="false">IF(AND(G83="Engaging",J83&gt;Parâmetros!$B$6),"Sim","Não")</f>
        <v>Não</v>
      </c>
      <c r="P83" s="32" t="str">
        <f aca="false">IF(O83="Sim","R",IF(N83&gt;=Parâmetros!$B$39,"A",IF(N83&gt;=Parâmetros!$B$40,"B",IF(N83&gt;=Parâmetros!$B$41,"C","D"))))</f>
        <v>A</v>
      </c>
      <c r="Q83" s="10" t="str">
        <f aca="false">IF(F83="","Completar cadastro","")</f>
        <v/>
      </c>
      <c r="R83" s="10" t="str">
        <f aca="false">INDEX(Parâmetros!$D$39:$D$43,MATCH(P83,Parâmetros!$A$39:$A$43,0))</f>
        <v>Prioridade máxima: próximo passo em até 48h</v>
      </c>
    </row>
    <row r="84" customFormat="false" ht="15" hidden="false" customHeight="false" outlineLevel="0" collapsed="false">
      <c r="A84" s="10" t="s">
        <v>262</v>
      </c>
      <c r="B84" s="10" t="s">
        <v>70</v>
      </c>
      <c r="C84" s="10" t="s">
        <v>65</v>
      </c>
      <c r="D84" s="10" t="s">
        <v>160</v>
      </c>
      <c r="E84" s="10" t="s">
        <v>49</v>
      </c>
      <c r="F84" s="10"/>
      <c r="G84" s="10" t="s">
        <v>162</v>
      </c>
      <c r="H84" s="30" t="n">
        <v>43001</v>
      </c>
      <c r="I84" s="8" t="n">
        <f aca="false">INDEX(Parâmetros!$C$13:$C$19,MATCH(E84,Parâmetros!$A$13:$A$19,0))</f>
        <v>3393</v>
      </c>
      <c r="J84" s="26" t="n">
        <f aca="false">IF(H84="","",Parâmetros!$B$5-H84)</f>
        <v>99</v>
      </c>
      <c r="K84" s="10" t="n">
        <f aca="false">INDEX(Parâmetros!$D$13:$D$19,MATCH(E84,Parâmetros!$A$13:$A$19,0))</f>
        <v>40</v>
      </c>
      <c r="L84" s="26" t="n">
        <f aca="false">IF(G84="Prospecting",Parâmetros!$B$9,IF(J84&gt;Parâmetros!$B$6,0,INDEX(Parâmetros!$C$24:$C$26,MATCH(J84,Parâmetros!$A$24:$A$26,1))))</f>
        <v>40</v>
      </c>
      <c r="M84" s="31" t="n">
        <f aca="false">IF(G84="Prospecting",1,INDEX(Parâmetros!$C$32:$C$35,MATCH(J84,Parâmetros!$A$32:$A$35,1)))</f>
        <v>1</v>
      </c>
      <c r="N84" s="2" t="n">
        <f aca="false">ROUND((K84+L84)*M84,0)</f>
        <v>80</v>
      </c>
      <c r="O84" s="10" t="str">
        <f aca="false">IF(AND(G84="Engaging",J84&gt;Parâmetros!$B$6),"Sim","Não")</f>
        <v>Não</v>
      </c>
      <c r="P84" s="32" t="str">
        <f aca="false">IF(O84="Sim","R",IF(N84&gt;=Parâmetros!$B$39,"A",IF(N84&gt;=Parâmetros!$B$40,"B",IF(N84&gt;=Parâmetros!$B$41,"C","D"))))</f>
        <v>A</v>
      </c>
      <c r="Q84" s="10" t="str">
        <f aca="false">IF(F84="","Completar cadastro","")</f>
        <v>Completar cadastro</v>
      </c>
      <c r="R84" s="10" t="str">
        <f aca="false">INDEX(Parâmetros!$D$39:$D$43,MATCH(P84,Parâmetros!$A$39:$A$43,0))</f>
        <v>Prioridade máxima: próximo passo em até 48h</v>
      </c>
    </row>
    <row r="85" customFormat="false" ht="15" hidden="false" customHeight="false" outlineLevel="0" collapsed="false">
      <c r="A85" s="10" t="s">
        <v>263</v>
      </c>
      <c r="B85" s="10" t="s">
        <v>70</v>
      </c>
      <c r="C85" s="10" t="s">
        <v>65</v>
      </c>
      <c r="D85" s="10" t="s">
        <v>160</v>
      </c>
      <c r="E85" s="10" t="s">
        <v>47</v>
      </c>
      <c r="F85" s="10"/>
      <c r="G85" s="10" t="s">
        <v>162</v>
      </c>
      <c r="H85" s="30" t="n">
        <v>43011</v>
      </c>
      <c r="I85" s="8" t="n">
        <f aca="false">INDEX(Parâmetros!$C$13:$C$19,MATCH(E85,Parâmetros!$A$13:$A$19,0))</f>
        <v>5482</v>
      </c>
      <c r="J85" s="26" t="n">
        <f aca="false">IF(H85="","",Parâmetros!$B$5-H85)</f>
        <v>89</v>
      </c>
      <c r="K85" s="10" t="n">
        <f aca="false">INDEX(Parâmetros!$D$13:$D$19,MATCH(E85,Parâmetros!$A$13:$A$19,0))</f>
        <v>45</v>
      </c>
      <c r="L85" s="26" t="n">
        <f aca="false">IF(G85="Prospecting",Parâmetros!$B$9,IF(J85&gt;Parâmetros!$B$6,0,INDEX(Parâmetros!$C$24:$C$26,MATCH(J85,Parâmetros!$A$24:$A$26,1))))</f>
        <v>32</v>
      </c>
      <c r="M85" s="31" t="n">
        <f aca="false">IF(G85="Prospecting",1,INDEX(Parâmetros!$C$32:$C$35,MATCH(J85,Parâmetros!$A$32:$A$35,1)))</f>
        <v>1</v>
      </c>
      <c r="N85" s="2" t="n">
        <f aca="false">ROUND((K85+L85)*M85,0)</f>
        <v>77</v>
      </c>
      <c r="O85" s="10" t="str">
        <f aca="false">IF(AND(G85="Engaging",J85&gt;Parâmetros!$B$6),"Sim","Não")</f>
        <v>Não</v>
      </c>
      <c r="P85" s="32" t="str">
        <f aca="false">IF(O85="Sim","R",IF(N85&gt;=Parâmetros!$B$39,"A",IF(N85&gt;=Parâmetros!$B$40,"B",IF(N85&gt;=Parâmetros!$B$41,"C","D"))))</f>
        <v>A</v>
      </c>
      <c r="Q85" s="10" t="str">
        <f aca="false">IF(F85="","Completar cadastro","")</f>
        <v>Completar cadastro</v>
      </c>
      <c r="R85" s="10" t="str">
        <f aca="false">INDEX(Parâmetros!$D$39:$D$43,MATCH(P85,Parâmetros!$A$39:$A$43,0))</f>
        <v>Prioridade máxima: próximo passo em até 48h</v>
      </c>
    </row>
    <row r="86" customFormat="false" ht="15" hidden="false" customHeight="false" outlineLevel="0" collapsed="false">
      <c r="A86" s="10" t="s">
        <v>264</v>
      </c>
      <c r="B86" s="10" t="s">
        <v>70</v>
      </c>
      <c r="C86" s="10" t="s">
        <v>65</v>
      </c>
      <c r="D86" s="10" t="s">
        <v>160</v>
      </c>
      <c r="E86" s="10" t="s">
        <v>47</v>
      </c>
      <c r="F86" s="10"/>
      <c r="G86" s="10" t="s">
        <v>162</v>
      </c>
      <c r="H86" s="30" t="n">
        <v>43022</v>
      </c>
      <c r="I86" s="8" t="n">
        <f aca="false">INDEX(Parâmetros!$C$13:$C$19,MATCH(E86,Parâmetros!$A$13:$A$19,0))</f>
        <v>5482</v>
      </c>
      <c r="J86" s="26" t="n">
        <f aca="false">IF(H86="","",Parâmetros!$B$5-H86)</f>
        <v>78</v>
      </c>
      <c r="K86" s="10" t="n">
        <f aca="false">INDEX(Parâmetros!$D$13:$D$19,MATCH(E86,Parâmetros!$A$13:$A$19,0))</f>
        <v>45</v>
      </c>
      <c r="L86" s="26" t="n">
        <f aca="false">IF(G86="Prospecting",Parâmetros!$B$9,IF(J86&gt;Parâmetros!$B$6,0,INDEX(Parâmetros!$C$24:$C$26,MATCH(J86,Parâmetros!$A$24:$A$26,1))))</f>
        <v>32</v>
      </c>
      <c r="M86" s="31" t="n">
        <f aca="false">IF(G86="Prospecting",1,INDEX(Parâmetros!$C$32:$C$35,MATCH(J86,Parâmetros!$A$32:$A$35,1)))</f>
        <v>1</v>
      </c>
      <c r="N86" s="2" t="n">
        <f aca="false">ROUND((K86+L86)*M86,0)</f>
        <v>77</v>
      </c>
      <c r="O86" s="10" t="str">
        <f aca="false">IF(AND(G86="Engaging",J86&gt;Parâmetros!$B$6),"Sim","Não")</f>
        <v>Não</v>
      </c>
      <c r="P86" s="32" t="str">
        <f aca="false">IF(O86="Sim","R",IF(N86&gt;=Parâmetros!$B$39,"A",IF(N86&gt;=Parâmetros!$B$40,"B",IF(N86&gt;=Parâmetros!$B$41,"C","D"))))</f>
        <v>A</v>
      </c>
      <c r="Q86" s="10" t="str">
        <f aca="false">IF(F86="","Completar cadastro","")</f>
        <v>Completar cadastro</v>
      </c>
      <c r="R86" s="10" t="str">
        <f aca="false">INDEX(Parâmetros!$D$39:$D$43,MATCH(P86,Parâmetros!$A$39:$A$43,0))</f>
        <v>Prioridade máxima: próximo passo em até 48h</v>
      </c>
    </row>
    <row r="87" customFormat="false" ht="15" hidden="false" customHeight="false" outlineLevel="0" collapsed="false">
      <c r="A87" s="10" t="s">
        <v>265</v>
      </c>
      <c r="B87" s="10" t="s">
        <v>93</v>
      </c>
      <c r="C87" s="10" t="s">
        <v>92</v>
      </c>
      <c r="D87" s="10" t="s">
        <v>160</v>
      </c>
      <c r="E87" s="10" t="s">
        <v>47</v>
      </c>
      <c r="F87" s="10"/>
      <c r="G87" s="10" t="s">
        <v>162</v>
      </c>
      <c r="H87" s="30" t="n">
        <v>43027</v>
      </c>
      <c r="I87" s="8" t="n">
        <f aca="false">INDEX(Parâmetros!$C$13:$C$19,MATCH(E87,Parâmetros!$A$13:$A$19,0))</f>
        <v>5482</v>
      </c>
      <c r="J87" s="26" t="n">
        <f aca="false">IF(H87="","",Parâmetros!$B$5-H87)</f>
        <v>73</v>
      </c>
      <c r="K87" s="10" t="n">
        <f aca="false">INDEX(Parâmetros!$D$13:$D$19,MATCH(E87,Parâmetros!$A$13:$A$19,0))</f>
        <v>45</v>
      </c>
      <c r="L87" s="26" t="n">
        <f aca="false">IF(G87="Prospecting",Parâmetros!$B$9,IF(J87&gt;Parâmetros!$B$6,0,INDEX(Parâmetros!$C$24:$C$26,MATCH(J87,Parâmetros!$A$24:$A$26,1))))</f>
        <v>32</v>
      </c>
      <c r="M87" s="31" t="n">
        <f aca="false">IF(G87="Prospecting",1,INDEX(Parâmetros!$C$32:$C$35,MATCH(J87,Parâmetros!$A$32:$A$35,1)))</f>
        <v>1</v>
      </c>
      <c r="N87" s="2" t="n">
        <f aca="false">ROUND((K87+L87)*M87,0)</f>
        <v>77</v>
      </c>
      <c r="O87" s="10" t="str">
        <f aca="false">IF(AND(G87="Engaging",J87&gt;Parâmetros!$B$6),"Sim","Não")</f>
        <v>Não</v>
      </c>
      <c r="P87" s="32" t="str">
        <f aca="false">IF(O87="Sim","R",IF(N87&gt;=Parâmetros!$B$39,"A",IF(N87&gt;=Parâmetros!$B$40,"B",IF(N87&gt;=Parâmetros!$B$41,"C","D"))))</f>
        <v>A</v>
      </c>
      <c r="Q87" s="10" t="str">
        <f aca="false">IF(F87="","Completar cadastro","")</f>
        <v>Completar cadastro</v>
      </c>
      <c r="R87" s="10" t="str">
        <f aca="false">INDEX(Parâmetros!$D$39:$D$43,MATCH(P87,Parâmetros!$A$39:$A$43,0))</f>
        <v>Prioridade máxima: próximo passo em até 48h</v>
      </c>
    </row>
    <row r="88" customFormat="false" ht="15" hidden="false" customHeight="false" outlineLevel="0" collapsed="false">
      <c r="A88" s="10" t="s">
        <v>266</v>
      </c>
      <c r="B88" s="10" t="s">
        <v>95</v>
      </c>
      <c r="C88" s="10" t="s">
        <v>92</v>
      </c>
      <c r="D88" s="10" t="s">
        <v>160</v>
      </c>
      <c r="E88" s="10" t="s">
        <v>47</v>
      </c>
      <c r="F88" s="10" t="s">
        <v>267</v>
      </c>
      <c r="G88" s="10" t="s">
        <v>162</v>
      </c>
      <c r="H88" s="30" t="n">
        <v>43031</v>
      </c>
      <c r="I88" s="8" t="n">
        <f aca="false">INDEX(Parâmetros!$C$13:$C$19,MATCH(E88,Parâmetros!$A$13:$A$19,0))</f>
        <v>5482</v>
      </c>
      <c r="J88" s="26" t="n">
        <f aca="false">IF(H88="","",Parâmetros!$B$5-H88)</f>
        <v>69</v>
      </c>
      <c r="K88" s="10" t="n">
        <f aca="false">INDEX(Parâmetros!$D$13:$D$19,MATCH(E88,Parâmetros!$A$13:$A$19,0))</f>
        <v>45</v>
      </c>
      <c r="L88" s="26" t="n">
        <f aca="false">IF(G88="Prospecting",Parâmetros!$B$9,IF(J88&gt;Parâmetros!$B$6,0,INDEX(Parâmetros!$C$24:$C$26,MATCH(J88,Parâmetros!$A$24:$A$26,1))))</f>
        <v>32</v>
      </c>
      <c r="M88" s="31" t="n">
        <f aca="false">IF(G88="Prospecting",1,INDEX(Parâmetros!$C$32:$C$35,MATCH(J88,Parâmetros!$A$32:$A$35,1)))</f>
        <v>1</v>
      </c>
      <c r="N88" s="2" t="n">
        <f aca="false">ROUND((K88+L88)*M88,0)</f>
        <v>77</v>
      </c>
      <c r="O88" s="10" t="str">
        <f aca="false">IF(AND(G88="Engaging",J88&gt;Parâmetros!$B$6),"Sim","Não")</f>
        <v>Não</v>
      </c>
      <c r="P88" s="32" t="str">
        <f aca="false">IF(O88="Sim","R",IF(N88&gt;=Parâmetros!$B$39,"A",IF(N88&gt;=Parâmetros!$B$40,"B",IF(N88&gt;=Parâmetros!$B$41,"C","D"))))</f>
        <v>A</v>
      </c>
      <c r="Q88" s="10" t="str">
        <f aca="false">IF(F88="","Completar cadastro","")</f>
        <v/>
      </c>
      <c r="R88" s="10" t="str">
        <f aca="false">INDEX(Parâmetros!$D$39:$D$43,MATCH(P88,Parâmetros!$A$39:$A$43,0))</f>
        <v>Prioridade máxima: próximo passo em até 48h</v>
      </c>
    </row>
    <row r="89" customFormat="false" ht="15" hidden="false" customHeight="false" outlineLevel="0" collapsed="false">
      <c r="A89" s="10" t="s">
        <v>268</v>
      </c>
      <c r="B89" s="10" t="s">
        <v>70</v>
      </c>
      <c r="C89" s="10" t="s">
        <v>65</v>
      </c>
      <c r="D89" s="10" t="s">
        <v>160</v>
      </c>
      <c r="E89" s="10" t="s">
        <v>47</v>
      </c>
      <c r="F89" s="10"/>
      <c r="G89" s="10" t="s">
        <v>162</v>
      </c>
      <c r="H89" s="30" t="n">
        <v>43031</v>
      </c>
      <c r="I89" s="8" t="n">
        <f aca="false">INDEX(Parâmetros!$C$13:$C$19,MATCH(E89,Parâmetros!$A$13:$A$19,0))</f>
        <v>5482</v>
      </c>
      <c r="J89" s="26" t="n">
        <f aca="false">IF(H89="","",Parâmetros!$B$5-H89)</f>
        <v>69</v>
      </c>
      <c r="K89" s="10" t="n">
        <f aca="false">INDEX(Parâmetros!$D$13:$D$19,MATCH(E89,Parâmetros!$A$13:$A$19,0))</f>
        <v>45</v>
      </c>
      <c r="L89" s="26" t="n">
        <f aca="false">IF(G89="Prospecting",Parâmetros!$B$9,IF(J89&gt;Parâmetros!$B$6,0,INDEX(Parâmetros!$C$24:$C$26,MATCH(J89,Parâmetros!$A$24:$A$26,1))))</f>
        <v>32</v>
      </c>
      <c r="M89" s="31" t="n">
        <f aca="false">IF(G89="Prospecting",1,INDEX(Parâmetros!$C$32:$C$35,MATCH(J89,Parâmetros!$A$32:$A$35,1)))</f>
        <v>1</v>
      </c>
      <c r="N89" s="2" t="n">
        <f aca="false">ROUND((K89+L89)*M89,0)</f>
        <v>77</v>
      </c>
      <c r="O89" s="10" t="str">
        <f aca="false">IF(AND(G89="Engaging",J89&gt;Parâmetros!$B$6),"Sim","Não")</f>
        <v>Não</v>
      </c>
      <c r="P89" s="32" t="str">
        <f aca="false">IF(O89="Sim","R",IF(N89&gt;=Parâmetros!$B$39,"A",IF(N89&gt;=Parâmetros!$B$40,"B",IF(N89&gt;=Parâmetros!$B$41,"C","D"))))</f>
        <v>A</v>
      </c>
      <c r="Q89" s="10" t="str">
        <f aca="false">IF(F89="","Completar cadastro","")</f>
        <v>Completar cadastro</v>
      </c>
      <c r="R89" s="10" t="str">
        <f aca="false">INDEX(Parâmetros!$D$39:$D$43,MATCH(P89,Parâmetros!$A$39:$A$43,0))</f>
        <v>Prioridade máxima: próximo passo em até 48h</v>
      </c>
    </row>
    <row r="90" customFormat="false" ht="15" hidden="false" customHeight="false" outlineLevel="0" collapsed="false">
      <c r="A90" s="10" t="s">
        <v>269</v>
      </c>
      <c r="B90" s="10" t="s">
        <v>94</v>
      </c>
      <c r="C90" s="10" t="s">
        <v>92</v>
      </c>
      <c r="D90" s="10" t="s">
        <v>160</v>
      </c>
      <c r="E90" s="10" t="s">
        <v>47</v>
      </c>
      <c r="F90" s="10"/>
      <c r="G90" s="10" t="s">
        <v>162</v>
      </c>
      <c r="H90" s="30" t="n">
        <v>43036</v>
      </c>
      <c r="I90" s="8" t="n">
        <f aca="false">INDEX(Parâmetros!$C$13:$C$19,MATCH(E90,Parâmetros!$A$13:$A$19,0))</f>
        <v>5482</v>
      </c>
      <c r="J90" s="26" t="n">
        <f aca="false">IF(H90="","",Parâmetros!$B$5-H90)</f>
        <v>64</v>
      </c>
      <c r="K90" s="10" t="n">
        <f aca="false">INDEX(Parâmetros!$D$13:$D$19,MATCH(E90,Parâmetros!$A$13:$A$19,0))</f>
        <v>45</v>
      </c>
      <c r="L90" s="26" t="n">
        <f aca="false">IF(G90="Prospecting",Parâmetros!$B$9,IF(J90&gt;Parâmetros!$B$6,0,INDEX(Parâmetros!$C$24:$C$26,MATCH(J90,Parâmetros!$A$24:$A$26,1))))</f>
        <v>32</v>
      </c>
      <c r="M90" s="31" t="n">
        <f aca="false">IF(G90="Prospecting",1,INDEX(Parâmetros!$C$32:$C$35,MATCH(J90,Parâmetros!$A$32:$A$35,1)))</f>
        <v>1</v>
      </c>
      <c r="N90" s="2" t="n">
        <f aca="false">ROUND((K90+L90)*M90,0)</f>
        <v>77</v>
      </c>
      <c r="O90" s="10" t="str">
        <f aca="false">IF(AND(G90="Engaging",J90&gt;Parâmetros!$B$6),"Sim","Não")</f>
        <v>Não</v>
      </c>
      <c r="P90" s="32" t="str">
        <f aca="false">IF(O90="Sim","R",IF(N90&gt;=Parâmetros!$B$39,"A",IF(N90&gt;=Parâmetros!$B$40,"B",IF(N90&gt;=Parâmetros!$B$41,"C","D"))))</f>
        <v>A</v>
      </c>
      <c r="Q90" s="10" t="str">
        <f aca="false">IF(F90="","Completar cadastro","")</f>
        <v>Completar cadastro</v>
      </c>
      <c r="R90" s="10" t="str">
        <f aca="false">INDEX(Parâmetros!$D$39:$D$43,MATCH(P90,Parâmetros!$A$39:$A$43,0))</f>
        <v>Prioridade máxima: próximo passo em até 48h</v>
      </c>
    </row>
    <row r="91" customFormat="false" ht="15" hidden="false" customHeight="false" outlineLevel="0" collapsed="false">
      <c r="A91" s="10" t="s">
        <v>270</v>
      </c>
      <c r="B91" s="10" t="s">
        <v>63</v>
      </c>
      <c r="C91" s="10" t="s">
        <v>58</v>
      </c>
      <c r="D91" s="10" t="s">
        <v>165</v>
      </c>
      <c r="E91" s="10" t="s">
        <v>47</v>
      </c>
      <c r="F91" s="10"/>
      <c r="G91" s="10" t="s">
        <v>162</v>
      </c>
      <c r="H91" s="30" t="n">
        <v>43039</v>
      </c>
      <c r="I91" s="8" t="n">
        <f aca="false">INDEX(Parâmetros!$C$13:$C$19,MATCH(E91,Parâmetros!$A$13:$A$19,0))</f>
        <v>5482</v>
      </c>
      <c r="J91" s="26" t="n">
        <f aca="false">IF(H91="","",Parâmetros!$B$5-H91)</f>
        <v>61</v>
      </c>
      <c r="K91" s="10" t="n">
        <f aca="false">INDEX(Parâmetros!$D$13:$D$19,MATCH(E91,Parâmetros!$A$13:$A$19,0))</f>
        <v>45</v>
      </c>
      <c r="L91" s="26" t="n">
        <f aca="false">IF(G91="Prospecting",Parâmetros!$B$9,IF(J91&gt;Parâmetros!$B$6,0,INDEX(Parâmetros!$C$24:$C$26,MATCH(J91,Parâmetros!$A$24:$A$26,1))))</f>
        <v>32</v>
      </c>
      <c r="M91" s="31" t="n">
        <f aca="false">IF(G91="Prospecting",1,INDEX(Parâmetros!$C$32:$C$35,MATCH(J91,Parâmetros!$A$32:$A$35,1)))</f>
        <v>1</v>
      </c>
      <c r="N91" s="2" t="n">
        <f aca="false">ROUND((K91+L91)*M91,0)</f>
        <v>77</v>
      </c>
      <c r="O91" s="10" t="str">
        <f aca="false">IF(AND(G91="Engaging",J91&gt;Parâmetros!$B$6),"Sim","Não")</f>
        <v>Não</v>
      </c>
      <c r="P91" s="32" t="str">
        <f aca="false">IF(O91="Sim","R",IF(N91&gt;=Parâmetros!$B$39,"A",IF(N91&gt;=Parâmetros!$B$40,"B",IF(N91&gt;=Parâmetros!$B$41,"C","D"))))</f>
        <v>A</v>
      </c>
      <c r="Q91" s="10" t="str">
        <f aca="false">IF(F91="","Completar cadastro","")</f>
        <v>Completar cadastro</v>
      </c>
      <c r="R91" s="10" t="str">
        <f aca="false">INDEX(Parâmetros!$D$39:$D$43,MATCH(P91,Parâmetros!$A$39:$A$43,0))</f>
        <v>Prioridade máxima: próximo passo em até 48h</v>
      </c>
    </row>
    <row r="92" customFormat="false" ht="15" hidden="false" customHeight="false" outlineLevel="0" collapsed="false">
      <c r="A92" s="10" t="s">
        <v>271</v>
      </c>
      <c r="B92" s="10" t="s">
        <v>96</v>
      </c>
      <c r="C92" s="10" t="s">
        <v>92</v>
      </c>
      <c r="D92" s="10" t="s">
        <v>160</v>
      </c>
      <c r="E92" s="10" t="s">
        <v>47</v>
      </c>
      <c r="F92" s="10"/>
      <c r="G92" s="10" t="s">
        <v>162</v>
      </c>
      <c r="H92" s="30" t="n">
        <v>43043</v>
      </c>
      <c r="I92" s="8" t="n">
        <f aca="false">INDEX(Parâmetros!$C$13:$C$19,MATCH(E92,Parâmetros!$A$13:$A$19,0))</f>
        <v>5482</v>
      </c>
      <c r="J92" s="26" t="n">
        <f aca="false">IF(H92="","",Parâmetros!$B$5-H92)</f>
        <v>57</v>
      </c>
      <c r="K92" s="10" t="n">
        <f aca="false">INDEX(Parâmetros!$D$13:$D$19,MATCH(E92,Parâmetros!$A$13:$A$19,0))</f>
        <v>45</v>
      </c>
      <c r="L92" s="26" t="n">
        <f aca="false">IF(G92="Prospecting",Parâmetros!$B$9,IF(J92&gt;Parâmetros!$B$6,0,INDEX(Parâmetros!$C$24:$C$26,MATCH(J92,Parâmetros!$A$24:$A$26,1))))</f>
        <v>32</v>
      </c>
      <c r="M92" s="31" t="n">
        <f aca="false">IF(G92="Prospecting",1,INDEX(Parâmetros!$C$32:$C$35,MATCH(J92,Parâmetros!$A$32:$A$35,1)))</f>
        <v>1</v>
      </c>
      <c r="N92" s="2" t="n">
        <f aca="false">ROUND((K92+L92)*M92,0)</f>
        <v>77</v>
      </c>
      <c r="O92" s="10" t="str">
        <f aca="false">IF(AND(G92="Engaging",J92&gt;Parâmetros!$B$6),"Sim","Não")</f>
        <v>Não</v>
      </c>
      <c r="P92" s="32" t="str">
        <f aca="false">IF(O92="Sim","R",IF(N92&gt;=Parâmetros!$B$39,"A",IF(N92&gt;=Parâmetros!$B$40,"B",IF(N92&gt;=Parâmetros!$B$41,"C","D"))))</f>
        <v>A</v>
      </c>
      <c r="Q92" s="10" t="str">
        <f aca="false">IF(F92="","Completar cadastro","")</f>
        <v>Completar cadastro</v>
      </c>
      <c r="R92" s="10" t="str">
        <f aca="false">INDEX(Parâmetros!$D$39:$D$43,MATCH(P92,Parâmetros!$A$39:$A$43,0))</f>
        <v>Prioridade máxima: próximo passo em até 48h</v>
      </c>
    </row>
    <row r="93" customFormat="false" ht="15" hidden="false" customHeight="false" outlineLevel="0" collapsed="false">
      <c r="A93" s="10" t="s">
        <v>272</v>
      </c>
      <c r="B93" s="10" t="s">
        <v>93</v>
      </c>
      <c r="C93" s="10" t="s">
        <v>92</v>
      </c>
      <c r="D93" s="10" t="s">
        <v>160</v>
      </c>
      <c r="E93" s="10" t="s">
        <v>47</v>
      </c>
      <c r="F93" s="10"/>
      <c r="G93" s="10" t="s">
        <v>162</v>
      </c>
      <c r="H93" s="30" t="n">
        <v>43044</v>
      </c>
      <c r="I93" s="8" t="n">
        <f aca="false">INDEX(Parâmetros!$C$13:$C$19,MATCH(E93,Parâmetros!$A$13:$A$19,0))</f>
        <v>5482</v>
      </c>
      <c r="J93" s="26" t="n">
        <f aca="false">IF(H93="","",Parâmetros!$B$5-H93)</f>
        <v>56</v>
      </c>
      <c r="K93" s="10" t="n">
        <f aca="false">INDEX(Parâmetros!$D$13:$D$19,MATCH(E93,Parâmetros!$A$13:$A$19,0))</f>
        <v>45</v>
      </c>
      <c r="L93" s="26" t="n">
        <f aca="false">IF(G93="Prospecting",Parâmetros!$B$9,IF(J93&gt;Parâmetros!$B$6,0,INDEX(Parâmetros!$C$24:$C$26,MATCH(J93,Parâmetros!$A$24:$A$26,1))))</f>
        <v>32</v>
      </c>
      <c r="M93" s="31" t="n">
        <f aca="false">IF(G93="Prospecting",1,INDEX(Parâmetros!$C$32:$C$35,MATCH(J93,Parâmetros!$A$32:$A$35,1)))</f>
        <v>1</v>
      </c>
      <c r="N93" s="2" t="n">
        <f aca="false">ROUND((K93+L93)*M93,0)</f>
        <v>77</v>
      </c>
      <c r="O93" s="10" t="str">
        <f aca="false">IF(AND(G93="Engaging",J93&gt;Parâmetros!$B$6),"Sim","Não")</f>
        <v>Não</v>
      </c>
      <c r="P93" s="32" t="str">
        <f aca="false">IF(O93="Sim","R",IF(N93&gt;=Parâmetros!$B$39,"A",IF(N93&gt;=Parâmetros!$B$40,"B",IF(N93&gt;=Parâmetros!$B$41,"C","D"))))</f>
        <v>A</v>
      </c>
      <c r="Q93" s="10" t="str">
        <f aca="false">IF(F93="","Completar cadastro","")</f>
        <v>Completar cadastro</v>
      </c>
      <c r="R93" s="10" t="str">
        <f aca="false">INDEX(Parâmetros!$D$39:$D$43,MATCH(P93,Parâmetros!$A$39:$A$43,0))</f>
        <v>Prioridade máxima: próximo passo em até 48h</v>
      </c>
    </row>
    <row r="94" customFormat="false" ht="15" hidden="false" customHeight="false" outlineLevel="0" collapsed="false">
      <c r="A94" s="10" t="s">
        <v>273</v>
      </c>
      <c r="B94" s="10" t="s">
        <v>84</v>
      </c>
      <c r="C94" s="10" t="s">
        <v>85</v>
      </c>
      <c r="D94" s="10" t="s">
        <v>165</v>
      </c>
      <c r="E94" s="10" t="s">
        <v>47</v>
      </c>
      <c r="F94" s="10" t="s">
        <v>274</v>
      </c>
      <c r="G94" s="10" t="s">
        <v>162</v>
      </c>
      <c r="H94" s="30" t="n">
        <v>43045</v>
      </c>
      <c r="I94" s="8" t="n">
        <f aca="false">INDEX(Parâmetros!$C$13:$C$19,MATCH(E94,Parâmetros!$A$13:$A$19,0))</f>
        <v>5482</v>
      </c>
      <c r="J94" s="26" t="n">
        <f aca="false">IF(H94="","",Parâmetros!$B$5-H94)</f>
        <v>55</v>
      </c>
      <c r="K94" s="10" t="n">
        <f aca="false">INDEX(Parâmetros!$D$13:$D$19,MATCH(E94,Parâmetros!$A$13:$A$19,0))</f>
        <v>45</v>
      </c>
      <c r="L94" s="26" t="n">
        <f aca="false">IF(G94="Prospecting",Parâmetros!$B$9,IF(J94&gt;Parâmetros!$B$6,0,INDEX(Parâmetros!$C$24:$C$26,MATCH(J94,Parâmetros!$A$24:$A$26,1))))</f>
        <v>32</v>
      </c>
      <c r="M94" s="31" t="n">
        <f aca="false">IF(G94="Prospecting",1,INDEX(Parâmetros!$C$32:$C$35,MATCH(J94,Parâmetros!$A$32:$A$35,1)))</f>
        <v>1</v>
      </c>
      <c r="N94" s="2" t="n">
        <f aca="false">ROUND((K94+L94)*M94,0)</f>
        <v>77</v>
      </c>
      <c r="O94" s="10" t="str">
        <f aca="false">IF(AND(G94="Engaging",J94&gt;Parâmetros!$B$6),"Sim","Não")</f>
        <v>Não</v>
      </c>
      <c r="P94" s="32" t="str">
        <f aca="false">IF(O94="Sim","R",IF(N94&gt;=Parâmetros!$B$39,"A",IF(N94&gt;=Parâmetros!$B$40,"B",IF(N94&gt;=Parâmetros!$B$41,"C","D"))))</f>
        <v>A</v>
      </c>
      <c r="Q94" s="10" t="str">
        <f aca="false">IF(F94="","Completar cadastro","")</f>
        <v/>
      </c>
      <c r="R94" s="10" t="str">
        <f aca="false">INDEX(Parâmetros!$D$39:$D$43,MATCH(P94,Parâmetros!$A$39:$A$43,0))</f>
        <v>Prioridade máxima: próximo passo em até 48h</v>
      </c>
    </row>
    <row r="95" customFormat="false" ht="15" hidden="false" customHeight="false" outlineLevel="0" collapsed="false">
      <c r="A95" s="10" t="s">
        <v>275</v>
      </c>
      <c r="B95" s="10" t="s">
        <v>57</v>
      </c>
      <c r="C95" s="10" t="s">
        <v>58</v>
      </c>
      <c r="D95" s="10" t="s">
        <v>165</v>
      </c>
      <c r="E95" s="10" t="s">
        <v>47</v>
      </c>
      <c r="F95" s="10"/>
      <c r="G95" s="10" t="s">
        <v>162</v>
      </c>
      <c r="H95" s="30" t="n">
        <v>43069</v>
      </c>
      <c r="I95" s="8" t="n">
        <f aca="false">INDEX(Parâmetros!$C$13:$C$19,MATCH(E95,Parâmetros!$A$13:$A$19,0))</f>
        <v>5482</v>
      </c>
      <c r="J95" s="26" t="n">
        <f aca="false">IF(H95="","",Parâmetros!$B$5-H95)</f>
        <v>31</v>
      </c>
      <c r="K95" s="10" t="n">
        <f aca="false">INDEX(Parâmetros!$D$13:$D$19,MATCH(E95,Parâmetros!$A$13:$A$19,0))</f>
        <v>45</v>
      </c>
      <c r="L95" s="26" t="n">
        <f aca="false">IF(G95="Prospecting",Parâmetros!$B$9,IF(J95&gt;Parâmetros!$B$6,0,INDEX(Parâmetros!$C$24:$C$26,MATCH(J95,Parâmetros!$A$24:$A$26,1))))</f>
        <v>32</v>
      </c>
      <c r="M95" s="31" t="n">
        <f aca="false">IF(G95="Prospecting",1,INDEX(Parâmetros!$C$32:$C$35,MATCH(J95,Parâmetros!$A$32:$A$35,1)))</f>
        <v>1</v>
      </c>
      <c r="N95" s="2" t="n">
        <f aca="false">ROUND((K95+L95)*M95,0)</f>
        <v>77</v>
      </c>
      <c r="O95" s="10" t="str">
        <f aca="false">IF(AND(G95="Engaging",J95&gt;Parâmetros!$B$6),"Sim","Não")</f>
        <v>Não</v>
      </c>
      <c r="P95" s="32" t="str">
        <f aca="false">IF(O95="Sim","R",IF(N95&gt;=Parâmetros!$B$39,"A",IF(N95&gt;=Parâmetros!$B$40,"B",IF(N95&gt;=Parâmetros!$B$41,"C","D"))))</f>
        <v>A</v>
      </c>
      <c r="Q95" s="10" t="str">
        <f aca="false">IF(F95="","Completar cadastro","")</f>
        <v>Completar cadastro</v>
      </c>
      <c r="R95" s="10" t="str">
        <f aca="false">INDEX(Parâmetros!$D$39:$D$43,MATCH(P95,Parâmetros!$A$39:$A$43,0))</f>
        <v>Prioridade máxima: próximo passo em até 48h</v>
      </c>
    </row>
    <row r="96" customFormat="false" ht="15" hidden="false" customHeight="false" outlineLevel="0" collapsed="false">
      <c r="A96" s="10" t="s">
        <v>276</v>
      </c>
      <c r="B96" s="10" t="s">
        <v>97</v>
      </c>
      <c r="C96" s="10" t="s">
        <v>92</v>
      </c>
      <c r="D96" s="10" t="s">
        <v>160</v>
      </c>
      <c r="E96" s="10" t="s">
        <v>47</v>
      </c>
      <c r="F96" s="10" t="s">
        <v>277</v>
      </c>
      <c r="G96" s="10" t="s">
        <v>162</v>
      </c>
      <c r="H96" s="30" t="n">
        <v>43079</v>
      </c>
      <c r="I96" s="8" t="n">
        <f aca="false">INDEX(Parâmetros!$C$13:$C$19,MATCH(E96,Parâmetros!$A$13:$A$19,0))</f>
        <v>5482</v>
      </c>
      <c r="J96" s="26" t="n">
        <f aca="false">IF(H96="","",Parâmetros!$B$5-H96)</f>
        <v>21</v>
      </c>
      <c r="K96" s="10" t="n">
        <f aca="false">INDEX(Parâmetros!$D$13:$D$19,MATCH(E96,Parâmetros!$A$13:$A$19,0))</f>
        <v>45</v>
      </c>
      <c r="L96" s="26" t="n">
        <f aca="false">IF(G96="Prospecting",Parâmetros!$B$9,IF(J96&gt;Parâmetros!$B$6,0,INDEX(Parâmetros!$C$24:$C$26,MATCH(J96,Parâmetros!$A$24:$A$26,1))))</f>
        <v>32</v>
      </c>
      <c r="M96" s="31" t="n">
        <f aca="false">IF(G96="Prospecting",1,INDEX(Parâmetros!$C$32:$C$35,MATCH(J96,Parâmetros!$A$32:$A$35,1)))</f>
        <v>1</v>
      </c>
      <c r="N96" s="2" t="n">
        <f aca="false">ROUND((K96+L96)*M96,0)</f>
        <v>77</v>
      </c>
      <c r="O96" s="10" t="str">
        <f aca="false">IF(AND(G96="Engaging",J96&gt;Parâmetros!$B$6),"Sim","Não")</f>
        <v>Não</v>
      </c>
      <c r="P96" s="32" t="str">
        <f aca="false">IF(O96="Sim","R",IF(N96&gt;=Parâmetros!$B$39,"A",IF(N96&gt;=Parâmetros!$B$40,"B",IF(N96&gt;=Parâmetros!$B$41,"C","D"))))</f>
        <v>A</v>
      </c>
      <c r="Q96" s="10" t="str">
        <f aca="false">IF(F96="","Completar cadastro","")</f>
        <v/>
      </c>
      <c r="R96" s="10" t="str">
        <f aca="false">INDEX(Parâmetros!$D$39:$D$43,MATCH(P96,Parâmetros!$A$39:$A$43,0))</f>
        <v>Prioridade máxima: próximo passo em até 48h</v>
      </c>
    </row>
    <row r="97" customFormat="false" ht="15" hidden="false" customHeight="false" outlineLevel="0" collapsed="false">
      <c r="A97" s="10" t="s">
        <v>278</v>
      </c>
      <c r="B97" s="10" t="s">
        <v>63</v>
      </c>
      <c r="C97" s="10" t="s">
        <v>58</v>
      </c>
      <c r="D97" s="10" t="s">
        <v>165</v>
      </c>
      <c r="E97" s="10" t="s">
        <v>48</v>
      </c>
      <c r="F97" s="10" t="s">
        <v>279</v>
      </c>
      <c r="G97" s="10" t="s">
        <v>162</v>
      </c>
      <c r="H97" s="30" t="n">
        <v>43012</v>
      </c>
      <c r="I97" s="8" t="n">
        <f aca="false">INDEX(Parâmetros!$C$13:$C$19,MATCH(E97,Parâmetros!$A$13:$A$19,0))</f>
        <v>4821</v>
      </c>
      <c r="J97" s="26" t="n">
        <f aca="false">IF(H97="","",Parâmetros!$B$5-H97)</f>
        <v>88</v>
      </c>
      <c r="K97" s="10" t="n">
        <f aca="false">INDEX(Parâmetros!$D$13:$D$19,MATCH(E97,Parâmetros!$A$13:$A$19,0))</f>
        <v>43</v>
      </c>
      <c r="L97" s="26" t="n">
        <f aca="false">IF(G97="Prospecting",Parâmetros!$B$9,IF(J97&gt;Parâmetros!$B$6,0,INDEX(Parâmetros!$C$24:$C$26,MATCH(J97,Parâmetros!$A$24:$A$26,1))))</f>
        <v>32</v>
      </c>
      <c r="M97" s="31" t="n">
        <f aca="false">IF(G97="Prospecting",1,INDEX(Parâmetros!$C$32:$C$35,MATCH(J97,Parâmetros!$A$32:$A$35,1)))</f>
        <v>1</v>
      </c>
      <c r="N97" s="2" t="n">
        <f aca="false">ROUND((K97+L97)*M97,0)</f>
        <v>75</v>
      </c>
      <c r="O97" s="10" t="str">
        <f aca="false">IF(AND(G97="Engaging",J97&gt;Parâmetros!$B$6),"Sim","Não")</f>
        <v>Não</v>
      </c>
      <c r="P97" s="32" t="str">
        <f aca="false">IF(O97="Sim","R",IF(N97&gt;=Parâmetros!$B$39,"A",IF(N97&gt;=Parâmetros!$B$40,"B",IF(N97&gt;=Parâmetros!$B$41,"C","D"))))</f>
        <v>A</v>
      </c>
      <c r="Q97" s="10" t="str">
        <f aca="false">IF(F97="","Completar cadastro","")</f>
        <v/>
      </c>
      <c r="R97" s="10" t="str">
        <f aca="false">INDEX(Parâmetros!$D$39:$D$43,MATCH(P97,Parâmetros!$A$39:$A$43,0))</f>
        <v>Prioridade máxima: próximo passo em até 48h</v>
      </c>
    </row>
    <row r="98" customFormat="false" ht="15" hidden="false" customHeight="false" outlineLevel="0" collapsed="false">
      <c r="A98" s="10" t="s">
        <v>280</v>
      </c>
      <c r="B98" s="10" t="s">
        <v>95</v>
      </c>
      <c r="C98" s="10" t="s">
        <v>92</v>
      </c>
      <c r="D98" s="10" t="s">
        <v>160</v>
      </c>
      <c r="E98" s="10" t="s">
        <v>48</v>
      </c>
      <c r="F98" s="10"/>
      <c r="G98" s="10" t="s">
        <v>162</v>
      </c>
      <c r="H98" s="30" t="n">
        <v>43013</v>
      </c>
      <c r="I98" s="8" t="n">
        <f aca="false">INDEX(Parâmetros!$C$13:$C$19,MATCH(E98,Parâmetros!$A$13:$A$19,0))</f>
        <v>4821</v>
      </c>
      <c r="J98" s="26" t="n">
        <f aca="false">IF(H98="","",Parâmetros!$B$5-H98)</f>
        <v>87</v>
      </c>
      <c r="K98" s="10" t="n">
        <f aca="false">INDEX(Parâmetros!$D$13:$D$19,MATCH(E98,Parâmetros!$A$13:$A$19,0))</f>
        <v>43</v>
      </c>
      <c r="L98" s="26" t="n">
        <f aca="false">IF(G98="Prospecting",Parâmetros!$B$9,IF(J98&gt;Parâmetros!$B$6,0,INDEX(Parâmetros!$C$24:$C$26,MATCH(J98,Parâmetros!$A$24:$A$26,1))))</f>
        <v>32</v>
      </c>
      <c r="M98" s="31" t="n">
        <f aca="false">IF(G98="Prospecting",1,INDEX(Parâmetros!$C$32:$C$35,MATCH(J98,Parâmetros!$A$32:$A$35,1)))</f>
        <v>1</v>
      </c>
      <c r="N98" s="2" t="n">
        <f aca="false">ROUND((K98+L98)*M98,0)</f>
        <v>75</v>
      </c>
      <c r="O98" s="10" t="str">
        <f aca="false">IF(AND(G98="Engaging",J98&gt;Parâmetros!$B$6),"Sim","Não")</f>
        <v>Não</v>
      </c>
      <c r="P98" s="32" t="str">
        <f aca="false">IF(O98="Sim","R",IF(N98&gt;=Parâmetros!$B$39,"A",IF(N98&gt;=Parâmetros!$B$40,"B",IF(N98&gt;=Parâmetros!$B$41,"C","D"))))</f>
        <v>A</v>
      </c>
      <c r="Q98" s="10" t="str">
        <f aca="false">IF(F98="","Completar cadastro","")</f>
        <v>Completar cadastro</v>
      </c>
      <c r="R98" s="10" t="str">
        <f aca="false">INDEX(Parâmetros!$D$39:$D$43,MATCH(P98,Parâmetros!$A$39:$A$43,0))</f>
        <v>Prioridade máxima: próximo passo em até 48h</v>
      </c>
    </row>
    <row r="99" customFormat="false" ht="15" hidden="false" customHeight="false" outlineLevel="0" collapsed="false">
      <c r="A99" s="10" t="s">
        <v>281</v>
      </c>
      <c r="B99" s="10" t="s">
        <v>87</v>
      </c>
      <c r="C99" s="10" t="s">
        <v>85</v>
      </c>
      <c r="D99" s="10" t="s">
        <v>165</v>
      </c>
      <c r="E99" s="10" t="s">
        <v>48</v>
      </c>
      <c r="F99" s="10"/>
      <c r="G99" s="10" t="s">
        <v>162</v>
      </c>
      <c r="H99" s="30" t="n">
        <v>43017</v>
      </c>
      <c r="I99" s="8" t="n">
        <f aca="false">INDEX(Parâmetros!$C$13:$C$19,MATCH(E99,Parâmetros!$A$13:$A$19,0))</f>
        <v>4821</v>
      </c>
      <c r="J99" s="26" t="n">
        <f aca="false">IF(H99="","",Parâmetros!$B$5-H99)</f>
        <v>83</v>
      </c>
      <c r="K99" s="10" t="n">
        <f aca="false">INDEX(Parâmetros!$D$13:$D$19,MATCH(E99,Parâmetros!$A$13:$A$19,0))</f>
        <v>43</v>
      </c>
      <c r="L99" s="26" t="n">
        <f aca="false">IF(G99="Prospecting",Parâmetros!$B$9,IF(J99&gt;Parâmetros!$B$6,0,INDEX(Parâmetros!$C$24:$C$26,MATCH(J99,Parâmetros!$A$24:$A$26,1))))</f>
        <v>32</v>
      </c>
      <c r="M99" s="31" t="n">
        <f aca="false">IF(G99="Prospecting",1,INDEX(Parâmetros!$C$32:$C$35,MATCH(J99,Parâmetros!$A$32:$A$35,1)))</f>
        <v>1</v>
      </c>
      <c r="N99" s="2" t="n">
        <f aca="false">ROUND((K99+L99)*M99,0)</f>
        <v>75</v>
      </c>
      <c r="O99" s="10" t="str">
        <f aca="false">IF(AND(G99="Engaging",J99&gt;Parâmetros!$B$6),"Sim","Não")</f>
        <v>Não</v>
      </c>
      <c r="P99" s="32" t="str">
        <f aca="false">IF(O99="Sim","R",IF(N99&gt;=Parâmetros!$B$39,"A",IF(N99&gt;=Parâmetros!$B$40,"B",IF(N99&gt;=Parâmetros!$B$41,"C","D"))))</f>
        <v>A</v>
      </c>
      <c r="Q99" s="10" t="str">
        <f aca="false">IF(F99="","Completar cadastro","")</f>
        <v>Completar cadastro</v>
      </c>
      <c r="R99" s="10" t="str">
        <f aca="false">INDEX(Parâmetros!$D$39:$D$43,MATCH(P99,Parâmetros!$A$39:$A$43,0))</f>
        <v>Prioridade máxima: próximo passo em até 48h</v>
      </c>
    </row>
    <row r="100" customFormat="false" ht="15" hidden="false" customHeight="false" outlineLevel="0" collapsed="false">
      <c r="A100" s="10" t="s">
        <v>282</v>
      </c>
      <c r="B100" s="10" t="s">
        <v>86</v>
      </c>
      <c r="C100" s="10" t="s">
        <v>85</v>
      </c>
      <c r="D100" s="10" t="s">
        <v>165</v>
      </c>
      <c r="E100" s="10" t="s">
        <v>48</v>
      </c>
      <c r="F100" s="10" t="s">
        <v>259</v>
      </c>
      <c r="G100" s="10" t="s">
        <v>162</v>
      </c>
      <c r="H100" s="30" t="n">
        <v>43023</v>
      </c>
      <c r="I100" s="8" t="n">
        <f aca="false">INDEX(Parâmetros!$C$13:$C$19,MATCH(E100,Parâmetros!$A$13:$A$19,0))</f>
        <v>4821</v>
      </c>
      <c r="J100" s="26" t="n">
        <f aca="false">IF(H100="","",Parâmetros!$B$5-H100)</f>
        <v>77</v>
      </c>
      <c r="K100" s="10" t="n">
        <f aca="false">INDEX(Parâmetros!$D$13:$D$19,MATCH(E100,Parâmetros!$A$13:$A$19,0))</f>
        <v>43</v>
      </c>
      <c r="L100" s="26" t="n">
        <f aca="false">IF(G100="Prospecting",Parâmetros!$B$9,IF(J100&gt;Parâmetros!$B$6,0,INDEX(Parâmetros!$C$24:$C$26,MATCH(J100,Parâmetros!$A$24:$A$26,1))))</f>
        <v>32</v>
      </c>
      <c r="M100" s="31" t="n">
        <f aca="false">IF(G100="Prospecting",1,INDEX(Parâmetros!$C$32:$C$35,MATCH(J100,Parâmetros!$A$32:$A$35,1)))</f>
        <v>1</v>
      </c>
      <c r="N100" s="2" t="n">
        <f aca="false">ROUND((K100+L100)*M100,0)</f>
        <v>75</v>
      </c>
      <c r="O100" s="10" t="str">
        <f aca="false">IF(AND(G100="Engaging",J100&gt;Parâmetros!$B$6),"Sim","Não")</f>
        <v>Não</v>
      </c>
      <c r="P100" s="32" t="str">
        <f aca="false">IF(O100="Sim","R",IF(N100&gt;=Parâmetros!$B$39,"A",IF(N100&gt;=Parâmetros!$B$40,"B",IF(N100&gt;=Parâmetros!$B$41,"C","D"))))</f>
        <v>A</v>
      </c>
      <c r="Q100" s="10" t="str">
        <f aca="false">IF(F100="","Completar cadastro","")</f>
        <v/>
      </c>
      <c r="R100" s="10" t="str">
        <f aca="false">INDEX(Parâmetros!$D$39:$D$43,MATCH(P100,Parâmetros!$A$39:$A$43,0))</f>
        <v>Prioridade máxima: próximo passo em até 48h</v>
      </c>
    </row>
    <row r="101" customFormat="false" ht="15" hidden="false" customHeight="false" outlineLevel="0" collapsed="false">
      <c r="A101" s="10" t="s">
        <v>283</v>
      </c>
      <c r="B101" s="10" t="s">
        <v>94</v>
      </c>
      <c r="C101" s="10" t="s">
        <v>92</v>
      </c>
      <c r="D101" s="10" t="s">
        <v>160</v>
      </c>
      <c r="E101" s="10" t="s">
        <v>48</v>
      </c>
      <c r="F101" s="10"/>
      <c r="G101" s="10" t="s">
        <v>162</v>
      </c>
      <c r="H101" s="30" t="n">
        <v>43025</v>
      </c>
      <c r="I101" s="8" t="n">
        <f aca="false">INDEX(Parâmetros!$C$13:$C$19,MATCH(E101,Parâmetros!$A$13:$A$19,0))</f>
        <v>4821</v>
      </c>
      <c r="J101" s="26" t="n">
        <f aca="false">IF(H101="","",Parâmetros!$B$5-H101)</f>
        <v>75</v>
      </c>
      <c r="K101" s="10" t="n">
        <f aca="false">INDEX(Parâmetros!$D$13:$D$19,MATCH(E101,Parâmetros!$A$13:$A$19,0))</f>
        <v>43</v>
      </c>
      <c r="L101" s="26" t="n">
        <f aca="false">IF(G101="Prospecting",Parâmetros!$B$9,IF(J101&gt;Parâmetros!$B$6,0,INDEX(Parâmetros!$C$24:$C$26,MATCH(J101,Parâmetros!$A$24:$A$26,1))))</f>
        <v>32</v>
      </c>
      <c r="M101" s="31" t="n">
        <f aca="false">IF(G101="Prospecting",1,INDEX(Parâmetros!$C$32:$C$35,MATCH(J101,Parâmetros!$A$32:$A$35,1)))</f>
        <v>1</v>
      </c>
      <c r="N101" s="2" t="n">
        <f aca="false">ROUND((K101+L101)*M101,0)</f>
        <v>75</v>
      </c>
      <c r="O101" s="10" t="str">
        <f aca="false">IF(AND(G101="Engaging",J101&gt;Parâmetros!$B$6),"Sim","Não")</f>
        <v>Não</v>
      </c>
      <c r="P101" s="32" t="str">
        <f aca="false">IF(O101="Sim","R",IF(N101&gt;=Parâmetros!$B$39,"A",IF(N101&gt;=Parâmetros!$B$40,"B",IF(N101&gt;=Parâmetros!$B$41,"C","D"))))</f>
        <v>A</v>
      </c>
      <c r="Q101" s="10" t="str">
        <f aca="false">IF(F101="","Completar cadastro","")</f>
        <v>Completar cadastro</v>
      </c>
      <c r="R101" s="10" t="str">
        <f aca="false">INDEX(Parâmetros!$D$39:$D$43,MATCH(P101,Parâmetros!$A$39:$A$43,0))</f>
        <v>Prioridade máxima: próximo passo em até 48h</v>
      </c>
    </row>
    <row r="102" customFormat="false" ht="15" hidden="false" customHeight="false" outlineLevel="0" collapsed="false">
      <c r="A102" s="10" t="s">
        <v>284</v>
      </c>
      <c r="B102" s="10" t="s">
        <v>94</v>
      </c>
      <c r="C102" s="10" t="s">
        <v>92</v>
      </c>
      <c r="D102" s="10" t="s">
        <v>160</v>
      </c>
      <c r="E102" s="10" t="s">
        <v>48</v>
      </c>
      <c r="F102" s="10"/>
      <c r="G102" s="10" t="s">
        <v>162</v>
      </c>
      <c r="H102" s="30" t="n">
        <v>43027</v>
      </c>
      <c r="I102" s="8" t="n">
        <f aca="false">INDEX(Parâmetros!$C$13:$C$19,MATCH(E102,Parâmetros!$A$13:$A$19,0))</f>
        <v>4821</v>
      </c>
      <c r="J102" s="26" t="n">
        <f aca="false">IF(H102="","",Parâmetros!$B$5-H102)</f>
        <v>73</v>
      </c>
      <c r="K102" s="10" t="n">
        <f aca="false">INDEX(Parâmetros!$D$13:$D$19,MATCH(E102,Parâmetros!$A$13:$A$19,0))</f>
        <v>43</v>
      </c>
      <c r="L102" s="26" t="n">
        <f aca="false">IF(G102="Prospecting",Parâmetros!$B$9,IF(J102&gt;Parâmetros!$B$6,0,INDEX(Parâmetros!$C$24:$C$26,MATCH(J102,Parâmetros!$A$24:$A$26,1))))</f>
        <v>32</v>
      </c>
      <c r="M102" s="31" t="n">
        <f aca="false">IF(G102="Prospecting",1,INDEX(Parâmetros!$C$32:$C$35,MATCH(J102,Parâmetros!$A$32:$A$35,1)))</f>
        <v>1</v>
      </c>
      <c r="N102" s="2" t="n">
        <f aca="false">ROUND((K102+L102)*M102,0)</f>
        <v>75</v>
      </c>
      <c r="O102" s="10" t="str">
        <f aca="false">IF(AND(G102="Engaging",J102&gt;Parâmetros!$B$6),"Sim","Não")</f>
        <v>Não</v>
      </c>
      <c r="P102" s="32" t="str">
        <f aca="false">IF(O102="Sim","R",IF(N102&gt;=Parâmetros!$B$39,"A",IF(N102&gt;=Parâmetros!$B$40,"B",IF(N102&gt;=Parâmetros!$B$41,"C","D"))))</f>
        <v>A</v>
      </c>
      <c r="Q102" s="10" t="str">
        <f aca="false">IF(F102="","Completar cadastro","")</f>
        <v>Completar cadastro</v>
      </c>
      <c r="R102" s="10" t="str">
        <f aca="false">INDEX(Parâmetros!$D$39:$D$43,MATCH(P102,Parâmetros!$A$39:$A$43,0))</f>
        <v>Prioridade máxima: próximo passo em até 48h</v>
      </c>
    </row>
    <row r="103" customFormat="false" ht="15" hidden="false" customHeight="false" outlineLevel="0" collapsed="false">
      <c r="A103" s="10" t="s">
        <v>285</v>
      </c>
      <c r="B103" s="10" t="s">
        <v>61</v>
      </c>
      <c r="C103" s="10" t="s">
        <v>58</v>
      </c>
      <c r="D103" s="10" t="s">
        <v>165</v>
      </c>
      <c r="E103" s="10" t="s">
        <v>48</v>
      </c>
      <c r="F103" s="10" t="s">
        <v>286</v>
      </c>
      <c r="G103" s="10" t="s">
        <v>162</v>
      </c>
      <c r="H103" s="30" t="n">
        <v>43028</v>
      </c>
      <c r="I103" s="8" t="n">
        <f aca="false">INDEX(Parâmetros!$C$13:$C$19,MATCH(E103,Parâmetros!$A$13:$A$19,0))</f>
        <v>4821</v>
      </c>
      <c r="J103" s="26" t="n">
        <f aca="false">IF(H103="","",Parâmetros!$B$5-H103)</f>
        <v>72</v>
      </c>
      <c r="K103" s="10" t="n">
        <f aca="false">INDEX(Parâmetros!$D$13:$D$19,MATCH(E103,Parâmetros!$A$13:$A$19,0))</f>
        <v>43</v>
      </c>
      <c r="L103" s="26" t="n">
        <f aca="false">IF(G103="Prospecting",Parâmetros!$B$9,IF(J103&gt;Parâmetros!$B$6,0,INDEX(Parâmetros!$C$24:$C$26,MATCH(J103,Parâmetros!$A$24:$A$26,1))))</f>
        <v>32</v>
      </c>
      <c r="M103" s="31" t="n">
        <f aca="false">IF(G103="Prospecting",1,INDEX(Parâmetros!$C$32:$C$35,MATCH(J103,Parâmetros!$A$32:$A$35,1)))</f>
        <v>1</v>
      </c>
      <c r="N103" s="2" t="n">
        <f aca="false">ROUND((K103+L103)*M103,0)</f>
        <v>75</v>
      </c>
      <c r="O103" s="10" t="str">
        <f aca="false">IF(AND(G103="Engaging",J103&gt;Parâmetros!$B$6),"Sim","Não")</f>
        <v>Não</v>
      </c>
      <c r="P103" s="32" t="str">
        <f aca="false">IF(O103="Sim","R",IF(N103&gt;=Parâmetros!$B$39,"A",IF(N103&gt;=Parâmetros!$B$40,"B",IF(N103&gt;=Parâmetros!$B$41,"C","D"))))</f>
        <v>A</v>
      </c>
      <c r="Q103" s="10" t="str">
        <f aca="false">IF(F103="","Completar cadastro","")</f>
        <v/>
      </c>
      <c r="R103" s="10" t="str">
        <f aca="false">INDEX(Parâmetros!$D$39:$D$43,MATCH(P103,Parâmetros!$A$39:$A$43,0))</f>
        <v>Prioridade máxima: próximo passo em até 48h</v>
      </c>
    </row>
    <row r="104" customFormat="false" ht="15" hidden="false" customHeight="false" outlineLevel="0" collapsed="false">
      <c r="A104" s="10" t="s">
        <v>287</v>
      </c>
      <c r="B104" s="10" t="s">
        <v>97</v>
      </c>
      <c r="C104" s="10" t="s">
        <v>92</v>
      </c>
      <c r="D104" s="10" t="s">
        <v>160</v>
      </c>
      <c r="E104" s="10" t="s">
        <v>48</v>
      </c>
      <c r="F104" s="10" t="s">
        <v>279</v>
      </c>
      <c r="G104" s="10" t="s">
        <v>162</v>
      </c>
      <c r="H104" s="30" t="n">
        <v>43034</v>
      </c>
      <c r="I104" s="8" t="n">
        <f aca="false">INDEX(Parâmetros!$C$13:$C$19,MATCH(E104,Parâmetros!$A$13:$A$19,0))</f>
        <v>4821</v>
      </c>
      <c r="J104" s="26" t="n">
        <f aca="false">IF(H104="","",Parâmetros!$B$5-H104)</f>
        <v>66</v>
      </c>
      <c r="K104" s="10" t="n">
        <f aca="false">INDEX(Parâmetros!$D$13:$D$19,MATCH(E104,Parâmetros!$A$13:$A$19,0))</f>
        <v>43</v>
      </c>
      <c r="L104" s="26" t="n">
        <f aca="false">IF(G104="Prospecting",Parâmetros!$B$9,IF(J104&gt;Parâmetros!$B$6,0,INDEX(Parâmetros!$C$24:$C$26,MATCH(J104,Parâmetros!$A$24:$A$26,1))))</f>
        <v>32</v>
      </c>
      <c r="M104" s="31" t="n">
        <f aca="false">IF(G104="Prospecting",1,INDEX(Parâmetros!$C$32:$C$35,MATCH(J104,Parâmetros!$A$32:$A$35,1)))</f>
        <v>1</v>
      </c>
      <c r="N104" s="2" t="n">
        <f aca="false">ROUND((K104+L104)*M104,0)</f>
        <v>75</v>
      </c>
      <c r="O104" s="10" t="str">
        <f aca="false">IF(AND(G104="Engaging",J104&gt;Parâmetros!$B$6),"Sim","Não")</f>
        <v>Não</v>
      </c>
      <c r="P104" s="32" t="str">
        <f aca="false">IF(O104="Sim","R",IF(N104&gt;=Parâmetros!$B$39,"A",IF(N104&gt;=Parâmetros!$B$40,"B",IF(N104&gt;=Parâmetros!$B$41,"C","D"))))</f>
        <v>A</v>
      </c>
      <c r="Q104" s="10" t="str">
        <f aca="false">IF(F104="","Completar cadastro","")</f>
        <v/>
      </c>
      <c r="R104" s="10" t="str">
        <f aca="false">INDEX(Parâmetros!$D$39:$D$43,MATCH(P104,Parâmetros!$A$39:$A$43,0))</f>
        <v>Prioridade máxima: próximo passo em até 48h</v>
      </c>
    </row>
    <row r="105" customFormat="false" ht="15" hidden="false" customHeight="false" outlineLevel="0" collapsed="false">
      <c r="A105" s="10" t="s">
        <v>288</v>
      </c>
      <c r="B105" s="10" t="s">
        <v>93</v>
      </c>
      <c r="C105" s="10" t="s">
        <v>92</v>
      </c>
      <c r="D105" s="10" t="s">
        <v>160</v>
      </c>
      <c r="E105" s="10" t="s">
        <v>48</v>
      </c>
      <c r="F105" s="10"/>
      <c r="G105" s="10" t="s">
        <v>162</v>
      </c>
      <c r="H105" s="30" t="n">
        <v>43039</v>
      </c>
      <c r="I105" s="8" t="n">
        <f aca="false">INDEX(Parâmetros!$C$13:$C$19,MATCH(E105,Parâmetros!$A$13:$A$19,0))</f>
        <v>4821</v>
      </c>
      <c r="J105" s="26" t="n">
        <f aca="false">IF(H105="","",Parâmetros!$B$5-H105)</f>
        <v>61</v>
      </c>
      <c r="K105" s="10" t="n">
        <f aca="false">INDEX(Parâmetros!$D$13:$D$19,MATCH(E105,Parâmetros!$A$13:$A$19,0))</f>
        <v>43</v>
      </c>
      <c r="L105" s="26" t="n">
        <f aca="false">IF(G105="Prospecting",Parâmetros!$B$9,IF(J105&gt;Parâmetros!$B$6,0,INDEX(Parâmetros!$C$24:$C$26,MATCH(J105,Parâmetros!$A$24:$A$26,1))))</f>
        <v>32</v>
      </c>
      <c r="M105" s="31" t="n">
        <f aca="false">IF(G105="Prospecting",1,INDEX(Parâmetros!$C$32:$C$35,MATCH(J105,Parâmetros!$A$32:$A$35,1)))</f>
        <v>1</v>
      </c>
      <c r="N105" s="2" t="n">
        <f aca="false">ROUND((K105+L105)*M105,0)</f>
        <v>75</v>
      </c>
      <c r="O105" s="10" t="str">
        <f aca="false">IF(AND(G105="Engaging",J105&gt;Parâmetros!$B$6),"Sim","Não")</f>
        <v>Não</v>
      </c>
      <c r="P105" s="32" t="str">
        <f aca="false">IF(O105="Sim","R",IF(N105&gt;=Parâmetros!$B$39,"A",IF(N105&gt;=Parâmetros!$B$40,"B",IF(N105&gt;=Parâmetros!$B$41,"C","D"))))</f>
        <v>A</v>
      </c>
      <c r="Q105" s="10" t="str">
        <f aca="false">IF(F105="","Completar cadastro","")</f>
        <v>Completar cadastro</v>
      </c>
      <c r="R105" s="10" t="str">
        <f aca="false">INDEX(Parâmetros!$D$39:$D$43,MATCH(P105,Parâmetros!$A$39:$A$43,0))</f>
        <v>Prioridade máxima: próximo passo em até 48h</v>
      </c>
    </row>
    <row r="106" customFormat="false" ht="15" hidden="false" customHeight="false" outlineLevel="0" collapsed="false">
      <c r="A106" s="10" t="s">
        <v>289</v>
      </c>
      <c r="B106" s="10" t="s">
        <v>68</v>
      </c>
      <c r="C106" s="10" t="s">
        <v>65</v>
      </c>
      <c r="D106" s="10" t="s">
        <v>160</v>
      </c>
      <c r="E106" s="10" t="s">
        <v>48</v>
      </c>
      <c r="F106" s="10"/>
      <c r="G106" s="10" t="s">
        <v>162</v>
      </c>
      <c r="H106" s="30" t="n">
        <v>43041</v>
      </c>
      <c r="I106" s="8" t="n">
        <f aca="false">INDEX(Parâmetros!$C$13:$C$19,MATCH(E106,Parâmetros!$A$13:$A$19,0))</f>
        <v>4821</v>
      </c>
      <c r="J106" s="26" t="n">
        <f aca="false">IF(H106="","",Parâmetros!$B$5-H106)</f>
        <v>59</v>
      </c>
      <c r="K106" s="10" t="n">
        <f aca="false">INDEX(Parâmetros!$D$13:$D$19,MATCH(E106,Parâmetros!$A$13:$A$19,0))</f>
        <v>43</v>
      </c>
      <c r="L106" s="26" t="n">
        <f aca="false">IF(G106="Prospecting",Parâmetros!$B$9,IF(J106&gt;Parâmetros!$B$6,0,INDEX(Parâmetros!$C$24:$C$26,MATCH(J106,Parâmetros!$A$24:$A$26,1))))</f>
        <v>32</v>
      </c>
      <c r="M106" s="31" t="n">
        <f aca="false">IF(G106="Prospecting",1,INDEX(Parâmetros!$C$32:$C$35,MATCH(J106,Parâmetros!$A$32:$A$35,1)))</f>
        <v>1</v>
      </c>
      <c r="N106" s="2" t="n">
        <f aca="false">ROUND((K106+L106)*M106,0)</f>
        <v>75</v>
      </c>
      <c r="O106" s="10" t="str">
        <f aca="false">IF(AND(G106="Engaging",J106&gt;Parâmetros!$B$6),"Sim","Não")</f>
        <v>Não</v>
      </c>
      <c r="P106" s="32" t="str">
        <f aca="false">IF(O106="Sim","R",IF(N106&gt;=Parâmetros!$B$39,"A",IF(N106&gt;=Parâmetros!$B$40,"B",IF(N106&gt;=Parâmetros!$B$41,"C","D"))))</f>
        <v>A</v>
      </c>
      <c r="Q106" s="10" t="str">
        <f aca="false">IF(F106="","Completar cadastro","")</f>
        <v>Completar cadastro</v>
      </c>
      <c r="R106" s="10" t="str">
        <f aca="false">INDEX(Parâmetros!$D$39:$D$43,MATCH(P106,Parâmetros!$A$39:$A$43,0))</f>
        <v>Prioridade máxima: próximo passo em até 48h</v>
      </c>
    </row>
    <row r="107" customFormat="false" ht="15" hidden="false" customHeight="false" outlineLevel="0" collapsed="false">
      <c r="A107" s="10" t="s">
        <v>290</v>
      </c>
      <c r="B107" s="10" t="s">
        <v>86</v>
      </c>
      <c r="C107" s="10" t="s">
        <v>85</v>
      </c>
      <c r="D107" s="10" t="s">
        <v>165</v>
      </c>
      <c r="E107" s="10" t="s">
        <v>48</v>
      </c>
      <c r="F107" s="10" t="s">
        <v>291</v>
      </c>
      <c r="G107" s="10" t="s">
        <v>162</v>
      </c>
      <c r="H107" s="30" t="n">
        <v>43043</v>
      </c>
      <c r="I107" s="8" t="n">
        <f aca="false">INDEX(Parâmetros!$C$13:$C$19,MATCH(E107,Parâmetros!$A$13:$A$19,0))</f>
        <v>4821</v>
      </c>
      <c r="J107" s="26" t="n">
        <f aca="false">IF(H107="","",Parâmetros!$B$5-H107)</f>
        <v>57</v>
      </c>
      <c r="K107" s="10" t="n">
        <f aca="false">INDEX(Parâmetros!$D$13:$D$19,MATCH(E107,Parâmetros!$A$13:$A$19,0))</f>
        <v>43</v>
      </c>
      <c r="L107" s="26" t="n">
        <f aca="false">IF(G107="Prospecting",Parâmetros!$B$9,IF(J107&gt;Parâmetros!$B$6,0,INDEX(Parâmetros!$C$24:$C$26,MATCH(J107,Parâmetros!$A$24:$A$26,1))))</f>
        <v>32</v>
      </c>
      <c r="M107" s="31" t="n">
        <f aca="false">IF(G107="Prospecting",1,INDEX(Parâmetros!$C$32:$C$35,MATCH(J107,Parâmetros!$A$32:$A$35,1)))</f>
        <v>1</v>
      </c>
      <c r="N107" s="2" t="n">
        <f aca="false">ROUND((K107+L107)*M107,0)</f>
        <v>75</v>
      </c>
      <c r="O107" s="10" t="str">
        <f aca="false">IF(AND(G107="Engaging",J107&gt;Parâmetros!$B$6),"Sim","Não")</f>
        <v>Não</v>
      </c>
      <c r="P107" s="32" t="str">
        <f aca="false">IF(O107="Sim","R",IF(N107&gt;=Parâmetros!$B$39,"A",IF(N107&gt;=Parâmetros!$B$40,"B",IF(N107&gt;=Parâmetros!$B$41,"C","D"))))</f>
        <v>A</v>
      </c>
      <c r="Q107" s="10" t="str">
        <f aca="false">IF(F107="","Completar cadastro","")</f>
        <v/>
      </c>
      <c r="R107" s="10" t="str">
        <f aca="false">INDEX(Parâmetros!$D$39:$D$43,MATCH(P107,Parâmetros!$A$39:$A$43,0))</f>
        <v>Prioridade máxima: próximo passo em até 48h</v>
      </c>
    </row>
    <row r="108" customFormat="false" ht="15" hidden="false" customHeight="false" outlineLevel="0" collapsed="false">
      <c r="A108" s="10" t="s">
        <v>292</v>
      </c>
      <c r="B108" s="10" t="s">
        <v>95</v>
      </c>
      <c r="C108" s="10" t="s">
        <v>92</v>
      </c>
      <c r="D108" s="10" t="s">
        <v>160</v>
      </c>
      <c r="E108" s="10" t="s">
        <v>48</v>
      </c>
      <c r="F108" s="10" t="s">
        <v>293</v>
      </c>
      <c r="G108" s="10" t="s">
        <v>162</v>
      </c>
      <c r="H108" s="30" t="n">
        <v>43043</v>
      </c>
      <c r="I108" s="8" t="n">
        <f aca="false">INDEX(Parâmetros!$C$13:$C$19,MATCH(E108,Parâmetros!$A$13:$A$19,0))</f>
        <v>4821</v>
      </c>
      <c r="J108" s="26" t="n">
        <f aca="false">IF(H108="","",Parâmetros!$B$5-H108)</f>
        <v>57</v>
      </c>
      <c r="K108" s="10" t="n">
        <f aca="false">INDEX(Parâmetros!$D$13:$D$19,MATCH(E108,Parâmetros!$A$13:$A$19,0))</f>
        <v>43</v>
      </c>
      <c r="L108" s="26" t="n">
        <f aca="false">IF(G108="Prospecting",Parâmetros!$B$9,IF(J108&gt;Parâmetros!$B$6,0,INDEX(Parâmetros!$C$24:$C$26,MATCH(J108,Parâmetros!$A$24:$A$26,1))))</f>
        <v>32</v>
      </c>
      <c r="M108" s="31" t="n">
        <f aca="false">IF(G108="Prospecting",1,INDEX(Parâmetros!$C$32:$C$35,MATCH(J108,Parâmetros!$A$32:$A$35,1)))</f>
        <v>1</v>
      </c>
      <c r="N108" s="2" t="n">
        <f aca="false">ROUND((K108+L108)*M108,0)</f>
        <v>75</v>
      </c>
      <c r="O108" s="10" t="str">
        <f aca="false">IF(AND(G108="Engaging",J108&gt;Parâmetros!$B$6),"Sim","Não")</f>
        <v>Não</v>
      </c>
      <c r="P108" s="32" t="str">
        <f aca="false">IF(O108="Sim","R",IF(N108&gt;=Parâmetros!$B$39,"A",IF(N108&gt;=Parâmetros!$B$40,"B",IF(N108&gt;=Parâmetros!$B$41,"C","D"))))</f>
        <v>A</v>
      </c>
      <c r="Q108" s="10" t="str">
        <f aca="false">IF(F108="","Completar cadastro","")</f>
        <v/>
      </c>
      <c r="R108" s="10" t="str">
        <f aca="false">INDEX(Parâmetros!$D$39:$D$43,MATCH(P108,Parâmetros!$A$39:$A$43,0))</f>
        <v>Prioridade máxima: próximo passo em até 48h</v>
      </c>
    </row>
    <row r="109" customFormat="false" ht="15" hidden="false" customHeight="false" outlineLevel="0" collapsed="false">
      <c r="A109" s="10" t="s">
        <v>294</v>
      </c>
      <c r="B109" s="10" t="s">
        <v>68</v>
      </c>
      <c r="C109" s="10" t="s">
        <v>65</v>
      </c>
      <c r="D109" s="10" t="s">
        <v>160</v>
      </c>
      <c r="E109" s="10" t="s">
        <v>48</v>
      </c>
      <c r="F109" s="10"/>
      <c r="G109" s="10" t="s">
        <v>162</v>
      </c>
      <c r="H109" s="30" t="n">
        <v>43043</v>
      </c>
      <c r="I109" s="8" t="n">
        <f aca="false">INDEX(Parâmetros!$C$13:$C$19,MATCH(E109,Parâmetros!$A$13:$A$19,0))</f>
        <v>4821</v>
      </c>
      <c r="J109" s="26" t="n">
        <f aca="false">IF(H109="","",Parâmetros!$B$5-H109)</f>
        <v>57</v>
      </c>
      <c r="K109" s="10" t="n">
        <f aca="false">INDEX(Parâmetros!$D$13:$D$19,MATCH(E109,Parâmetros!$A$13:$A$19,0))</f>
        <v>43</v>
      </c>
      <c r="L109" s="26" t="n">
        <f aca="false">IF(G109="Prospecting",Parâmetros!$B$9,IF(J109&gt;Parâmetros!$B$6,0,INDEX(Parâmetros!$C$24:$C$26,MATCH(J109,Parâmetros!$A$24:$A$26,1))))</f>
        <v>32</v>
      </c>
      <c r="M109" s="31" t="n">
        <f aca="false">IF(G109="Prospecting",1,INDEX(Parâmetros!$C$32:$C$35,MATCH(J109,Parâmetros!$A$32:$A$35,1)))</f>
        <v>1</v>
      </c>
      <c r="N109" s="2" t="n">
        <f aca="false">ROUND((K109+L109)*M109,0)</f>
        <v>75</v>
      </c>
      <c r="O109" s="10" t="str">
        <f aca="false">IF(AND(G109="Engaging",J109&gt;Parâmetros!$B$6),"Sim","Não")</f>
        <v>Não</v>
      </c>
      <c r="P109" s="32" t="str">
        <f aca="false">IF(O109="Sim","R",IF(N109&gt;=Parâmetros!$B$39,"A",IF(N109&gt;=Parâmetros!$B$40,"B",IF(N109&gt;=Parâmetros!$B$41,"C","D"))))</f>
        <v>A</v>
      </c>
      <c r="Q109" s="10" t="str">
        <f aca="false">IF(F109="","Completar cadastro","")</f>
        <v>Completar cadastro</v>
      </c>
      <c r="R109" s="10" t="str">
        <f aca="false">INDEX(Parâmetros!$D$39:$D$43,MATCH(P109,Parâmetros!$A$39:$A$43,0))</f>
        <v>Prioridade máxima: próximo passo em até 48h</v>
      </c>
    </row>
    <row r="110" customFormat="false" ht="15" hidden="false" customHeight="false" outlineLevel="0" collapsed="false">
      <c r="A110" s="10" t="s">
        <v>295</v>
      </c>
      <c r="B110" s="10" t="s">
        <v>61</v>
      </c>
      <c r="C110" s="10" t="s">
        <v>58</v>
      </c>
      <c r="D110" s="10" t="s">
        <v>165</v>
      </c>
      <c r="E110" s="10" t="s">
        <v>48</v>
      </c>
      <c r="F110" s="10"/>
      <c r="G110" s="10" t="s">
        <v>162</v>
      </c>
      <c r="H110" s="30" t="n">
        <v>43044</v>
      </c>
      <c r="I110" s="8" t="n">
        <f aca="false">INDEX(Parâmetros!$C$13:$C$19,MATCH(E110,Parâmetros!$A$13:$A$19,0))</f>
        <v>4821</v>
      </c>
      <c r="J110" s="26" t="n">
        <f aca="false">IF(H110="","",Parâmetros!$B$5-H110)</f>
        <v>56</v>
      </c>
      <c r="K110" s="10" t="n">
        <f aca="false">INDEX(Parâmetros!$D$13:$D$19,MATCH(E110,Parâmetros!$A$13:$A$19,0))</f>
        <v>43</v>
      </c>
      <c r="L110" s="26" t="n">
        <f aca="false">IF(G110="Prospecting",Parâmetros!$B$9,IF(J110&gt;Parâmetros!$B$6,0,INDEX(Parâmetros!$C$24:$C$26,MATCH(J110,Parâmetros!$A$24:$A$26,1))))</f>
        <v>32</v>
      </c>
      <c r="M110" s="31" t="n">
        <f aca="false">IF(G110="Prospecting",1,INDEX(Parâmetros!$C$32:$C$35,MATCH(J110,Parâmetros!$A$32:$A$35,1)))</f>
        <v>1</v>
      </c>
      <c r="N110" s="2" t="n">
        <f aca="false">ROUND((K110+L110)*M110,0)</f>
        <v>75</v>
      </c>
      <c r="O110" s="10" t="str">
        <f aca="false">IF(AND(G110="Engaging",J110&gt;Parâmetros!$B$6),"Sim","Não")</f>
        <v>Não</v>
      </c>
      <c r="P110" s="32" t="str">
        <f aca="false">IF(O110="Sim","R",IF(N110&gt;=Parâmetros!$B$39,"A",IF(N110&gt;=Parâmetros!$B$40,"B",IF(N110&gt;=Parâmetros!$B$41,"C","D"))))</f>
        <v>A</v>
      </c>
      <c r="Q110" s="10" t="str">
        <f aca="false">IF(F110="","Completar cadastro","")</f>
        <v>Completar cadastro</v>
      </c>
      <c r="R110" s="10" t="str">
        <f aca="false">INDEX(Parâmetros!$D$39:$D$43,MATCH(P110,Parâmetros!$A$39:$A$43,0))</f>
        <v>Prioridade máxima: próximo passo em até 48h</v>
      </c>
    </row>
    <row r="111" customFormat="false" ht="15" hidden="false" customHeight="false" outlineLevel="0" collapsed="false">
      <c r="A111" s="10" t="s">
        <v>296</v>
      </c>
      <c r="B111" s="10" t="s">
        <v>57</v>
      </c>
      <c r="C111" s="10" t="s">
        <v>58</v>
      </c>
      <c r="D111" s="10" t="s">
        <v>165</v>
      </c>
      <c r="E111" s="10" t="s">
        <v>48</v>
      </c>
      <c r="F111" s="10"/>
      <c r="G111" s="10" t="s">
        <v>162</v>
      </c>
      <c r="H111" s="30" t="n">
        <v>43046</v>
      </c>
      <c r="I111" s="8" t="n">
        <f aca="false">INDEX(Parâmetros!$C$13:$C$19,MATCH(E111,Parâmetros!$A$13:$A$19,0))</f>
        <v>4821</v>
      </c>
      <c r="J111" s="26" t="n">
        <f aca="false">IF(H111="","",Parâmetros!$B$5-H111)</f>
        <v>54</v>
      </c>
      <c r="K111" s="10" t="n">
        <f aca="false">INDEX(Parâmetros!$D$13:$D$19,MATCH(E111,Parâmetros!$A$13:$A$19,0))</f>
        <v>43</v>
      </c>
      <c r="L111" s="26" t="n">
        <f aca="false">IF(G111="Prospecting",Parâmetros!$B$9,IF(J111&gt;Parâmetros!$B$6,0,INDEX(Parâmetros!$C$24:$C$26,MATCH(J111,Parâmetros!$A$24:$A$26,1))))</f>
        <v>32</v>
      </c>
      <c r="M111" s="31" t="n">
        <f aca="false">IF(G111="Prospecting",1,INDEX(Parâmetros!$C$32:$C$35,MATCH(J111,Parâmetros!$A$32:$A$35,1)))</f>
        <v>1</v>
      </c>
      <c r="N111" s="2" t="n">
        <f aca="false">ROUND((K111+L111)*M111,0)</f>
        <v>75</v>
      </c>
      <c r="O111" s="10" t="str">
        <f aca="false">IF(AND(G111="Engaging",J111&gt;Parâmetros!$B$6),"Sim","Não")</f>
        <v>Não</v>
      </c>
      <c r="P111" s="32" t="str">
        <f aca="false">IF(O111="Sim","R",IF(N111&gt;=Parâmetros!$B$39,"A",IF(N111&gt;=Parâmetros!$B$40,"B",IF(N111&gt;=Parâmetros!$B$41,"C","D"))))</f>
        <v>A</v>
      </c>
      <c r="Q111" s="10" t="str">
        <f aca="false">IF(F111="","Completar cadastro","")</f>
        <v>Completar cadastro</v>
      </c>
      <c r="R111" s="10" t="str">
        <f aca="false">INDEX(Parâmetros!$D$39:$D$43,MATCH(P111,Parâmetros!$A$39:$A$43,0))</f>
        <v>Prioridade máxima: próximo passo em até 48h</v>
      </c>
    </row>
    <row r="112" customFormat="false" ht="15" hidden="false" customHeight="false" outlineLevel="0" collapsed="false">
      <c r="A112" s="10" t="s">
        <v>297</v>
      </c>
      <c r="B112" s="10" t="s">
        <v>70</v>
      </c>
      <c r="C112" s="10" t="s">
        <v>65</v>
      </c>
      <c r="D112" s="10" t="s">
        <v>160</v>
      </c>
      <c r="E112" s="10" t="s">
        <v>48</v>
      </c>
      <c r="F112" s="10"/>
      <c r="G112" s="10" t="s">
        <v>162</v>
      </c>
      <c r="H112" s="30" t="n">
        <v>43048</v>
      </c>
      <c r="I112" s="8" t="n">
        <f aca="false">INDEX(Parâmetros!$C$13:$C$19,MATCH(E112,Parâmetros!$A$13:$A$19,0))</f>
        <v>4821</v>
      </c>
      <c r="J112" s="26" t="n">
        <f aca="false">IF(H112="","",Parâmetros!$B$5-H112)</f>
        <v>52</v>
      </c>
      <c r="K112" s="10" t="n">
        <f aca="false">INDEX(Parâmetros!$D$13:$D$19,MATCH(E112,Parâmetros!$A$13:$A$19,0))</f>
        <v>43</v>
      </c>
      <c r="L112" s="26" t="n">
        <f aca="false">IF(G112="Prospecting",Parâmetros!$B$9,IF(J112&gt;Parâmetros!$B$6,0,INDEX(Parâmetros!$C$24:$C$26,MATCH(J112,Parâmetros!$A$24:$A$26,1))))</f>
        <v>32</v>
      </c>
      <c r="M112" s="31" t="n">
        <f aca="false">IF(G112="Prospecting",1,INDEX(Parâmetros!$C$32:$C$35,MATCH(J112,Parâmetros!$A$32:$A$35,1)))</f>
        <v>1</v>
      </c>
      <c r="N112" s="2" t="n">
        <f aca="false">ROUND((K112+L112)*M112,0)</f>
        <v>75</v>
      </c>
      <c r="O112" s="10" t="str">
        <f aca="false">IF(AND(G112="Engaging",J112&gt;Parâmetros!$B$6),"Sim","Não")</f>
        <v>Não</v>
      </c>
      <c r="P112" s="32" t="str">
        <f aca="false">IF(O112="Sim","R",IF(N112&gt;=Parâmetros!$B$39,"A",IF(N112&gt;=Parâmetros!$B$40,"B",IF(N112&gt;=Parâmetros!$B$41,"C","D"))))</f>
        <v>A</v>
      </c>
      <c r="Q112" s="10" t="str">
        <f aca="false">IF(F112="","Completar cadastro","")</f>
        <v>Completar cadastro</v>
      </c>
      <c r="R112" s="10" t="str">
        <f aca="false">INDEX(Parâmetros!$D$39:$D$43,MATCH(P112,Parâmetros!$A$39:$A$43,0))</f>
        <v>Prioridade máxima: próximo passo em até 48h</v>
      </c>
    </row>
    <row r="113" customFormat="false" ht="15" hidden="false" customHeight="false" outlineLevel="0" collapsed="false">
      <c r="A113" s="10" t="s">
        <v>298</v>
      </c>
      <c r="B113" s="10" t="s">
        <v>95</v>
      </c>
      <c r="C113" s="10" t="s">
        <v>92</v>
      </c>
      <c r="D113" s="10" t="s">
        <v>160</v>
      </c>
      <c r="E113" s="10" t="s">
        <v>48</v>
      </c>
      <c r="F113" s="10" t="s">
        <v>299</v>
      </c>
      <c r="G113" s="10" t="s">
        <v>162</v>
      </c>
      <c r="H113" s="30" t="n">
        <v>43063</v>
      </c>
      <c r="I113" s="8" t="n">
        <f aca="false">INDEX(Parâmetros!$C$13:$C$19,MATCH(E113,Parâmetros!$A$13:$A$19,0))</f>
        <v>4821</v>
      </c>
      <c r="J113" s="26" t="n">
        <f aca="false">IF(H113="","",Parâmetros!$B$5-H113)</f>
        <v>37</v>
      </c>
      <c r="K113" s="10" t="n">
        <f aca="false">INDEX(Parâmetros!$D$13:$D$19,MATCH(E113,Parâmetros!$A$13:$A$19,0))</f>
        <v>43</v>
      </c>
      <c r="L113" s="26" t="n">
        <f aca="false">IF(G113="Prospecting",Parâmetros!$B$9,IF(J113&gt;Parâmetros!$B$6,0,INDEX(Parâmetros!$C$24:$C$26,MATCH(J113,Parâmetros!$A$24:$A$26,1))))</f>
        <v>32</v>
      </c>
      <c r="M113" s="31" t="n">
        <f aca="false">IF(G113="Prospecting",1,INDEX(Parâmetros!$C$32:$C$35,MATCH(J113,Parâmetros!$A$32:$A$35,1)))</f>
        <v>1</v>
      </c>
      <c r="N113" s="2" t="n">
        <f aca="false">ROUND((K113+L113)*M113,0)</f>
        <v>75</v>
      </c>
      <c r="O113" s="10" t="str">
        <f aca="false">IF(AND(G113="Engaging",J113&gt;Parâmetros!$B$6),"Sim","Não")</f>
        <v>Não</v>
      </c>
      <c r="P113" s="32" t="str">
        <f aca="false">IF(O113="Sim","R",IF(N113&gt;=Parâmetros!$B$39,"A",IF(N113&gt;=Parâmetros!$B$40,"B",IF(N113&gt;=Parâmetros!$B$41,"C","D"))))</f>
        <v>A</v>
      </c>
      <c r="Q113" s="10" t="str">
        <f aca="false">IF(F113="","Completar cadastro","")</f>
        <v/>
      </c>
      <c r="R113" s="10" t="str">
        <f aca="false">INDEX(Parâmetros!$D$39:$D$43,MATCH(P113,Parâmetros!$A$39:$A$43,0))</f>
        <v>Prioridade máxima: próximo passo em até 48h</v>
      </c>
    </row>
    <row r="114" customFormat="false" ht="15" hidden="false" customHeight="false" outlineLevel="0" collapsed="false">
      <c r="A114" s="10" t="s">
        <v>300</v>
      </c>
      <c r="B114" s="10" t="s">
        <v>84</v>
      </c>
      <c r="C114" s="10" t="s">
        <v>85</v>
      </c>
      <c r="D114" s="10" t="s">
        <v>165</v>
      </c>
      <c r="E114" s="10" t="s">
        <v>49</v>
      </c>
      <c r="F114" s="10"/>
      <c r="G114" s="10" t="s">
        <v>162</v>
      </c>
      <c r="H114" s="30" t="n">
        <v>43012</v>
      </c>
      <c r="I114" s="8" t="n">
        <f aca="false">INDEX(Parâmetros!$C$13:$C$19,MATCH(E114,Parâmetros!$A$13:$A$19,0))</f>
        <v>3393</v>
      </c>
      <c r="J114" s="26" t="n">
        <f aca="false">IF(H114="","",Parâmetros!$B$5-H114)</f>
        <v>88</v>
      </c>
      <c r="K114" s="10" t="n">
        <f aca="false">INDEX(Parâmetros!$D$13:$D$19,MATCH(E114,Parâmetros!$A$13:$A$19,0))</f>
        <v>40</v>
      </c>
      <c r="L114" s="26" t="n">
        <f aca="false">IF(G114="Prospecting",Parâmetros!$B$9,IF(J114&gt;Parâmetros!$B$6,0,INDEX(Parâmetros!$C$24:$C$26,MATCH(J114,Parâmetros!$A$24:$A$26,1))))</f>
        <v>32</v>
      </c>
      <c r="M114" s="31" t="n">
        <f aca="false">IF(G114="Prospecting",1,INDEX(Parâmetros!$C$32:$C$35,MATCH(J114,Parâmetros!$A$32:$A$35,1)))</f>
        <v>1</v>
      </c>
      <c r="N114" s="2" t="n">
        <f aca="false">ROUND((K114+L114)*M114,0)</f>
        <v>72</v>
      </c>
      <c r="O114" s="10" t="str">
        <f aca="false">IF(AND(G114="Engaging",J114&gt;Parâmetros!$B$6),"Sim","Não")</f>
        <v>Não</v>
      </c>
      <c r="P114" s="32" t="str">
        <f aca="false">IF(O114="Sim","R",IF(N114&gt;=Parâmetros!$B$39,"A",IF(N114&gt;=Parâmetros!$B$40,"B",IF(N114&gt;=Parâmetros!$B$41,"C","D"))))</f>
        <v>B</v>
      </c>
      <c r="Q114" s="10" t="str">
        <f aca="false">IF(F114="","Completar cadastro","")</f>
        <v>Completar cadastro</v>
      </c>
      <c r="R114" s="10" t="str">
        <f aca="false">INDEX(Parâmetros!$D$39:$D$43,MATCH(P114,Parâmetros!$A$39:$A$43,0))</f>
        <v>Cadência padrão</v>
      </c>
    </row>
    <row r="115" customFormat="false" ht="15" hidden="false" customHeight="false" outlineLevel="0" collapsed="false">
      <c r="A115" s="10" t="s">
        <v>301</v>
      </c>
      <c r="B115" s="10" t="s">
        <v>87</v>
      </c>
      <c r="C115" s="10" t="s">
        <v>85</v>
      </c>
      <c r="D115" s="10" t="s">
        <v>165</v>
      </c>
      <c r="E115" s="10" t="s">
        <v>49</v>
      </c>
      <c r="F115" s="10"/>
      <c r="G115" s="10" t="s">
        <v>162</v>
      </c>
      <c r="H115" s="30" t="n">
        <v>43014</v>
      </c>
      <c r="I115" s="8" t="n">
        <f aca="false">INDEX(Parâmetros!$C$13:$C$19,MATCH(E115,Parâmetros!$A$13:$A$19,0))</f>
        <v>3393</v>
      </c>
      <c r="J115" s="26" t="n">
        <f aca="false">IF(H115="","",Parâmetros!$B$5-H115)</f>
        <v>86</v>
      </c>
      <c r="K115" s="10" t="n">
        <f aca="false">INDEX(Parâmetros!$D$13:$D$19,MATCH(E115,Parâmetros!$A$13:$A$19,0))</f>
        <v>40</v>
      </c>
      <c r="L115" s="26" t="n">
        <f aca="false">IF(G115="Prospecting",Parâmetros!$B$9,IF(J115&gt;Parâmetros!$B$6,0,INDEX(Parâmetros!$C$24:$C$26,MATCH(J115,Parâmetros!$A$24:$A$26,1))))</f>
        <v>32</v>
      </c>
      <c r="M115" s="31" t="n">
        <f aca="false">IF(G115="Prospecting",1,INDEX(Parâmetros!$C$32:$C$35,MATCH(J115,Parâmetros!$A$32:$A$35,1)))</f>
        <v>1</v>
      </c>
      <c r="N115" s="2" t="n">
        <f aca="false">ROUND((K115+L115)*M115,0)</f>
        <v>72</v>
      </c>
      <c r="O115" s="10" t="str">
        <f aca="false">IF(AND(G115="Engaging",J115&gt;Parâmetros!$B$6),"Sim","Não")</f>
        <v>Não</v>
      </c>
      <c r="P115" s="32" t="str">
        <f aca="false">IF(O115="Sim","R",IF(N115&gt;=Parâmetros!$B$39,"A",IF(N115&gt;=Parâmetros!$B$40,"B",IF(N115&gt;=Parâmetros!$B$41,"C","D"))))</f>
        <v>B</v>
      </c>
      <c r="Q115" s="10" t="str">
        <f aca="false">IF(F115="","Completar cadastro","")</f>
        <v>Completar cadastro</v>
      </c>
      <c r="R115" s="10" t="str">
        <f aca="false">INDEX(Parâmetros!$D$39:$D$43,MATCH(P115,Parâmetros!$A$39:$A$43,0))</f>
        <v>Cadência padrão</v>
      </c>
    </row>
    <row r="116" customFormat="false" ht="15" hidden="false" customHeight="false" outlineLevel="0" collapsed="false">
      <c r="A116" s="10" t="s">
        <v>302</v>
      </c>
      <c r="B116" s="10" t="s">
        <v>69</v>
      </c>
      <c r="C116" s="10" t="s">
        <v>65</v>
      </c>
      <c r="D116" s="10" t="s">
        <v>160</v>
      </c>
      <c r="E116" s="10" t="s">
        <v>49</v>
      </c>
      <c r="F116" s="10" t="s">
        <v>303</v>
      </c>
      <c r="G116" s="10" t="s">
        <v>162</v>
      </c>
      <c r="H116" s="30" t="n">
        <v>43019</v>
      </c>
      <c r="I116" s="8" t="n">
        <f aca="false">INDEX(Parâmetros!$C$13:$C$19,MATCH(E116,Parâmetros!$A$13:$A$19,0))</f>
        <v>3393</v>
      </c>
      <c r="J116" s="26" t="n">
        <f aca="false">IF(H116="","",Parâmetros!$B$5-H116)</f>
        <v>81</v>
      </c>
      <c r="K116" s="10" t="n">
        <f aca="false">INDEX(Parâmetros!$D$13:$D$19,MATCH(E116,Parâmetros!$A$13:$A$19,0))</f>
        <v>40</v>
      </c>
      <c r="L116" s="26" t="n">
        <f aca="false">IF(G116="Prospecting",Parâmetros!$B$9,IF(J116&gt;Parâmetros!$B$6,0,INDEX(Parâmetros!$C$24:$C$26,MATCH(J116,Parâmetros!$A$24:$A$26,1))))</f>
        <v>32</v>
      </c>
      <c r="M116" s="31" t="n">
        <f aca="false">IF(G116="Prospecting",1,INDEX(Parâmetros!$C$32:$C$35,MATCH(J116,Parâmetros!$A$32:$A$35,1)))</f>
        <v>1</v>
      </c>
      <c r="N116" s="2" t="n">
        <f aca="false">ROUND((K116+L116)*M116,0)</f>
        <v>72</v>
      </c>
      <c r="O116" s="10" t="str">
        <f aca="false">IF(AND(G116="Engaging",J116&gt;Parâmetros!$B$6),"Sim","Não")</f>
        <v>Não</v>
      </c>
      <c r="P116" s="32" t="str">
        <f aca="false">IF(O116="Sim","R",IF(N116&gt;=Parâmetros!$B$39,"A",IF(N116&gt;=Parâmetros!$B$40,"B",IF(N116&gt;=Parâmetros!$B$41,"C","D"))))</f>
        <v>B</v>
      </c>
      <c r="Q116" s="10" t="str">
        <f aca="false">IF(F116="","Completar cadastro","")</f>
        <v/>
      </c>
      <c r="R116" s="10" t="str">
        <f aca="false">INDEX(Parâmetros!$D$39:$D$43,MATCH(P116,Parâmetros!$A$39:$A$43,0))</f>
        <v>Cadência padrão</v>
      </c>
    </row>
    <row r="117" customFormat="false" ht="15" hidden="false" customHeight="false" outlineLevel="0" collapsed="false">
      <c r="A117" s="10" t="s">
        <v>304</v>
      </c>
      <c r="B117" s="10" t="s">
        <v>95</v>
      </c>
      <c r="C117" s="10" t="s">
        <v>92</v>
      </c>
      <c r="D117" s="10" t="s">
        <v>160</v>
      </c>
      <c r="E117" s="10" t="s">
        <v>49</v>
      </c>
      <c r="F117" s="10"/>
      <c r="G117" s="10" t="s">
        <v>162</v>
      </c>
      <c r="H117" s="30" t="n">
        <v>43027</v>
      </c>
      <c r="I117" s="8" t="n">
        <f aca="false">INDEX(Parâmetros!$C$13:$C$19,MATCH(E117,Parâmetros!$A$13:$A$19,0))</f>
        <v>3393</v>
      </c>
      <c r="J117" s="26" t="n">
        <f aca="false">IF(H117="","",Parâmetros!$B$5-H117)</f>
        <v>73</v>
      </c>
      <c r="K117" s="10" t="n">
        <f aca="false">INDEX(Parâmetros!$D$13:$D$19,MATCH(E117,Parâmetros!$A$13:$A$19,0))</f>
        <v>40</v>
      </c>
      <c r="L117" s="26" t="n">
        <f aca="false">IF(G117="Prospecting",Parâmetros!$B$9,IF(J117&gt;Parâmetros!$B$6,0,INDEX(Parâmetros!$C$24:$C$26,MATCH(J117,Parâmetros!$A$24:$A$26,1))))</f>
        <v>32</v>
      </c>
      <c r="M117" s="31" t="n">
        <f aca="false">IF(G117="Prospecting",1,INDEX(Parâmetros!$C$32:$C$35,MATCH(J117,Parâmetros!$A$32:$A$35,1)))</f>
        <v>1</v>
      </c>
      <c r="N117" s="2" t="n">
        <f aca="false">ROUND((K117+L117)*M117,0)</f>
        <v>72</v>
      </c>
      <c r="O117" s="10" t="str">
        <f aca="false">IF(AND(G117="Engaging",J117&gt;Parâmetros!$B$6),"Sim","Não")</f>
        <v>Não</v>
      </c>
      <c r="P117" s="32" t="str">
        <f aca="false">IF(O117="Sim","R",IF(N117&gt;=Parâmetros!$B$39,"A",IF(N117&gt;=Parâmetros!$B$40,"B",IF(N117&gt;=Parâmetros!$B$41,"C","D"))))</f>
        <v>B</v>
      </c>
      <c r="Q117" s="10" t="str">
        <f aca="false">IF(F117="","Completar cadastro","")</f>
        <v>Completar cadastro</v>
      </c>
      <c r="R117" s="10" t="str">
        <f aca="false">INDEX(Parâmetros!$D$39:$D$43,MATCH(P117,Parâmetros!$A$39:$A$43,0))</f>
        <v>Cadência padrão</v>
      </c>
    </row>
    <row r="118" customFormat="false" ht="15" hidden="false" customHeight="false" outlineLevel="0" collapsed="false">
      <c r="A118" s="10" t="s">
        <v>305</v>
      </c>
      <c r="B118" s="10" t="s">
        <v>96</v>
      </c>
      <c r="C118" s="10" t="s">
        <v>92</v>
      </c>
      <c r="D118" s="10" t="s">
        <v>160</v>
      </c>
      <c r="E118" s="10" t="s">
        <v>49</v>
      </c>
      <c r="F118" s="10"/>
      <c r="G118" s="10" t="s">
        <v>162</v>
      </c>
      <c r="H118" s="30" t="n">
        <v>43033</v>
      </c>
      <c r="I118" s="8" t="n">
        <f aca="false">INDEX(Parâmetros!$C$13:$C$19,MATCH(E118,Parâmetros!$A$13:$A$19,0))</f>
        <v>3393</v>
      </c>
      <c r="J118" s="26" t="n">
        <f aca="false">IF(H118="","",Parâmetros!$B$5-H118)</f>
        <v>67</v>
      </c>
      <c r="K118" s="10" t="n">
        <f aca="false">INDEX(Parâmetros!$D$13:$D$19,MATCH(E118,Parâmetros!$A$13:$A$19,0))</f>
        <v>40</v>
      </c>
      <c r="L118" s="26" t="n">
        <f aca="false">IF(G118="Prospecting",Parâmetros!$B$9,IF(J118&gt;Parâmetros!$B$6,0,INDEX(Parâmetros!$C$24:$C$26,MATCH(J118,Parâmetros!$A$24:$A$26,1))))</f>
        <v>32</v>
      </c>
      <c r="M118" s="31" t="n">
        <f aca="false">IF(G118="Prospecting",1,INDEX(Parâmetros!$C$32:$C$35,MATCH(J118,Parâmetros!$A$32:$A$35,1)))</f>
        <v>1</v>
      </c>
      <c r="N118" s="2" t="n">
        <f aca="false">ROUND((K118+L118)*M118,0)</f>
        <v>72</v>
      </c>
      <c r="O118" s="10" t="str">
        <f aca="false">IF(AND(G118="Engaging",J118&gt;Parâmetros!$B$6),"Sim","Não")</f>
        <v>Não</v>
      </c>
      <c r="P118" s="32" t="str">
        <f aca="false">IF(O118="Sim","R",IF(N118&gt;=Parâmetros!$B$39,"A",IF(N118&gt;=Parâmetros!$B$40,"B",IF(N118&gt;=Parâmetros!$B$41,"C","D"))))</f>
        <v>B</v>
      </c>
      <c r="Q118" s="10" t="str">
        <f aca="false">IF(F118="","Completar cadastro","")</f>
        <v>Completar cadastro</v>
      </c>
      <c r="R118" s="10" t="str">
        <f aca="false">INDEX(Parâmetros!$D$39:$D$43,MATCH(P118,Parâmetros!$A$39:$A$43,0))</f>
        <v>Cadência padrão</v>
      </c>
    </row>
    <row r="119" customFormat="false" ht="15" hidden="false" customHeight="false" outlineLevel="0" collapsed="false">
      <c r="A119" s="10" t="s">
        <v>306</v>
      </c>
      <c r="B119" s="10" t="s">
        <v>57</v>
      </c>
      <c r="C119" s="10" t="s">
        <v>58</v>
      </c>
      <c r="D119" s="10" t="s">
        <v>165</v>
      </c>
      <c r="E119" s="10" t="s">
        <v>49</v>
      </c>
      <c r="F119" s="10"/>
      <c r="G119" s="10" t="s">
        <v>162</v>
      </c>
      <c r="H119" s="30" t="n">
        <v>43044</v>
      </c>
      <c r="I119" s="8" t="n">
        <f aca="false">INDEX(Parâmetros!$C$13:$C$19,MATCH(E119,Parâmetros!$A$13:$A$19,0))</f>
        <v>3393</v>
      </c>
      <c r="J119" s="26" t="n">
        <f aca="false">IF(H119="","",Parâmetros!$B$5-H119)</f>
        <v>56</v>
      </c>
      <c r="K119" s="10" t="n">
        <f aca="false">INDEX(Parâmetros!$D$13:$D$19,MATCH(E119,Parâmetros!$A$13:$A$19,0))</f>
        <v>40</v>
      </c>
      <c r="L119" s="26" t="n">
        <f aca="false">IF(G119="Prospecting",Parâmetros!$B$9,IF(J119&gt;Parâmetros!$B$6,0,INDEX(Parâmetros!$C$24:$C$26,MATCH(J119,Parâmetros!$A$24:$A$26,1))))</f>
        <v>32</v>
      </c>
      <c r="M119" s="31" t="n">
        <f aca="false">IF(G119="Prospecting",1,INDEX(Parâmetros!$C$32:$C$35,MATCH(J119,Parâmetros!$A$32:$A$35,1)))</f>
        <v>1</v>
      </c>
      <c r="N119" s="2" t="n">
        <f aca="false">ROUND((K119+L119)*M119,0)</f>
        <v>72</v>
      </c>
      <c r="O119" s="10" t="str">
        <f aca="false">IF(AND(G119="Engaging",J119&gt;Parâmetros!$B$6),"Sim","Não")</f>
        <v>Não</v>
      </c>
      <c r="P119" s="32" t="str">
        <f aca="false">IF(O119="Sim","R",IF(N119&gt;=Parâmetros!$B$39,"A",IF(N119&gt;=Parâmetros!$B$40,"B",IF(N119&gt;=Parâmetros!$B$41,"C","D"))))</f>
        <v>B</v>
      </c>
      <c r="Q119" s="10" t="str">
        <f aca="false">IF(F119="","Completar cadastro","")</f>
        <v>Completar cadastro</v>
      </c>
      <c r="R119" s="10" t="str">
        <f aca="false">INDEX(Parâmetros!$D$39:$D$43,MATCH(P119,Parâmetros!$A$39:$A$43,0))</f>
        <v>Cadência padrão</v>
      </c>
    </row>
    <row r="120" customFormat="false" ht="15" hidden="false" customHeight="false" outlineLevel="0" collapsed="false">
      <c r="A120" s="10" t="s">
        <v>307</v>
      </c>
      <c r="B120" s="10" t="s">
        <v>84</v>
      </c>
      <c r="C120" s="10" t="s">
        <v>85</v>
      </c>
      <c r="D120" s="10" t="s">
        <v>165</v>
      </c>
      <c r="E120" s="10" t="s">
        <v>49</v>
      </c>
      <c r="F120" s="10"/>
      <c r="G120" s="10" t="s">
        <v>162</v>
      </c>
      <c r="H120" s="30" t="n">
        <v>43055</v>
      </c>
      <c r="I120" s="8" t="n">
        <f aca="false">INDEX(Parâmetros!$C$13:$C$19,MATCH(E120,Parâmetros!$A$13:$A$19,0))</f>
        <v>3393</v>
      </c>
      <c r="J120" s="26" t="n">
        <f aca="false">IF(H120="","",Parâmetros!$B$5-H120)</f>
        <v>45</v>
      </c>
      <c r="K120" s="10" t="n">
        <f aca="false">INDEX(Parâmetros!$D$13:$D$19,MATCH(E120,Parâmetros!$A$13:$A$19,0))</f>
        <v>40</v>
      </c>
      <c r="L120" s="26" t="n">
        <f aca="false">IF(G120="Prospecting",Parâmetros!$B$9,IF(J120&gt;Parâmetros!$B$6,0,INDEX(Parâmetros!$C$24:$C$26,MATCH(J120,Parâmetros!$A$24:$A$26,1))))</f>
        <v>32</v>
      </c>
      <c r="M120" s="31" t="n">
        <f aca="false">IF(G120="Prospecting",1,INDEX(Parâmetros!$C$32:$C$35,MATCH(J120,Parâmetros!$A$32:$A$35,1)))</f>
        <v>1</v>
      </c>
      <c r="N120" s="2" t="n">
        <f aca="false">ROUND((K120+L120)*M120,0)</f>
        <v>72</v>
      </c>
      <c r="O120" s="10" t="str">
        <f aca="false">IF(AND(G120="Engaging",J120&gt;Parâmetros!$B$6),"Sim","Não")</f>
        <v>Não</v>
      </c>
      <c r="P120" s="32" t="str">
        <f aca="false">IF(O120="Sim","R",IF(N120&gt;=Parâmetros!$B$39,"A",IF(N120&gt;=Parâmetros!$B$40,"B",IF(N120&gt;=Parâmetros!$B$41,"C","D"))))</f>
        <v>B</v>
      </c>
      <c r="Q120" s="10" t="str">
        <f aca="false">IF(F120="","Completar cadastro","")</f>
        <v>Completar cadastro</v>
      </c>
      <c r="R120" s="10" t="str">
        <f aca="false">INDEX(Parâmetros!$D$39:$D$43,MATCH(P120,Parâmetros!$A$39:$A$43,0))</f>
        <v>Cadência padrão</v>
      </c>
    </row>
    <row r="121" customFormat="false" ht="15" hidden="false" customHeight="false" outlineLevel="0" collapsed="false">
      <c r="A121" s="10" t="s">
        <v>308</v>
      </c>
      <c r="B121" s="10" t="s">
        <v>68</v>
      </c>
      <c r="C121" s="10" t="s">
        <v>65</v>
      </c>
      <c r="D121" s="10" t="s">
        <v>160</v>
      </c>
      <c r="E121" s="10" t="s">
        <v>49</v>
      </c>
      <c r="F121" s="10" t="s">
        <v>170</v>
      </c>
      <c r="G121" s="10" t="s">
        <v>162</v>
      </c>
      <c r="H121" s="30" t="n">
        <v>43082</v>
      </c>
      <c r="I121" s="8" t="n">
        <f aca="false">INDEX(Parâmetros!$C$13:$C$19,MATCH(E121,Parâmetros!$A$13:$A$19,0))</f>
        <v>3393</v>
      </c>
      <c r="J121" s="26" t="n">
        <f aca="false">IF(H121="","",Parâmetros!$B$5-H121)</f>
        <v>18</v>
      </c>
      <c r="K121" s="10" t="n">
        <f aca="false">INDEX(Parâmetros!$D$13:$D$19,MATCH(E121,Parâmetros!$A$13:$A$19,0))</f>
        <v>40</v>
      </c>
      <c r="L121" s="26" t="n">
        <f aca="false">IF(G121="Prospecting",Parâmetros!$B$9,IF(J121&gt;Parâmetros!$B$6,0,INDEX(Parâmetros!$C$24:$C$26,MATCH(J121,Parâmetros!$A$24:$A$26,1))))</f>
        <v>32</v>
      </c>
      <c r="M121" s="31" t="n">
        <f aca="false">IF(G121="Prospecting",1,INDEX(Parâmetros!$C$32:$C$35,MATCH(J121,Parâmetros!$A$32:$A$35,1)))</f>
        <v>1</v>
      </c>
      <c r="N121" s="2" t="n">
        <f aca="false">ROUND((K121+L121)*M121,0)</f>
        <v>72</v>
      </c>
      <c r="O121" s="10" t="str">
        <f aca="false">IF(AND(G121="Engaging",J121&gt;Parâmetros!$B$6),"Sim","Não")</f>
        <v>Não</v>
      </c>
      <c r="P121" s="32" t="str">
        <f aca="false">IF(O121="Sim","R",IF(N121&gt;=Parâmetros!$B$39,"A",IF(N121&gt;=Parâmetros!$B$40,"B",IF(N121&gt;=Parâmetros!$B$41,"C","D"))))</f>
        <v>B</v>
      </c>
      <c r="Q121" s="10" t="str">
        <f aca="false">IF(F121="","Completar cadastro","")</f>
        <v/>
      </c>
      <c r="R121" s="10" t="str">
        <f aca="false">INDEX(Parâmetros!$D$39:$D$43,MATCH(P121,Parâmetros!$A$39:$A$43,0))</f>
        <v>Cadência padrão</v>
      </c>
    </row>
    <row r="122" customFormat="false" ht="15" hidden="false" customHeight="false" outlineLevel="0" collapsed="false">
      <c r="A122" s="10" t="s">
        <v>309</v>
      </c>
      <c r="B122" s="10" t="s">
        <v>83</v>
      </c>
      <c r="C122" s="10" t="s">
        <v>78</v>
      </c>
      <c r="D122" s="10" t="s">
        <v>196</v>
      </c>
      <c r="E122" s="10" t="s">
        <v>50</v>
      </c>
      <c r="F122" s="10"/>
      <c r="G122" s="10" t="s">
        <v>162</v>
      </c>
      <c r="H122" s="30" t="n">
        <v>42962</v>
      </c>
      <c r="I122" s="8" t="n">
        <f aca="false">INDEX(Parâmetros!$C$13:$C$19,MATCH(E122,Parâmetros!$A$13:$A$19,0))</f>
        <v>1096</v>
      </c>
      <c r="J122" s="26" t="n">
        <f aca="false">IF(H122="","",Parâmetros!$B$5-H122)</f>
        <v>138</v>
      </c>
      <c r="K122" s="10" t="n">
        <f aca="false">INDEX(Parâmetros!$D$13:$D$19,MATCH(E122,Parâmetros!$A$13:$A$19,0))</f>
        <v>29</v>
      </c>
      <c r="L122" s="26" t="n">
        <f aca="false">IF(G122="Prospecting",Parâmetros!$B$9,IF(J122&gt;Parâmetros!$B$6,0,INDEX(Parâmetros!$C$24:$C$26,MATCH(J122,Parâmetros!$A$24:$A$26,1))))</f>
        <v>40</v>
      </c>
      <c r="M122" s="31" t="n">
        <f aca="false">IF(G122="Prospecting",1,INDEX(Parâmetros!$C$32:$C$35,MATCH(J122,Parâmetros!$A$32:$A$35,1)))</f>
        <v>1</v>
      </c>
      <c r="N122" s="2" t="n">
        <f aca="false">ROUND((K122+L122)*M122,0)</f>
        <v>69</v>
      </c>
      <c r="O122" s="10" t="str">
        <f aca="false">IF(AND(G122="Engaging",J122&gt;Parâmetros!$B$6),"Sim","Não")</f>
        <v>Não</v>
      </c>
      <c r="P122" s="32" t="str">
        <f aca="false">IF(O122="Sim","R",IF(N122&gt;=Parâmetros!$B$39,"A",IF(N122&gt;=Parâmetros!$B$40,"B",IF(N122&gt;=Parâmetros!$B$41,"C","D"))))</f>
        <v>B</v>
      </c>
      <c r="Q122" s="10" t="str">
        <f aca="false">IF(F122="","Completar cadastro","")</f>
        <v>Completar cadastro</v>
      </c>
      <c r="R122" s="10" t="str">
        <f aca="false">INDEX(Parâmetros!$D$39:$D$43,MATCH(P122,Parâmetros!$A$39:$A$43,0))</f>
        <v>Cadência padrão</v>
      </c>
    </row>
    <row r="123" customFormat="false" ht="15" hidden="false" customHeight="false" outlineLevel="0" collapsed="false">
      <c r="A123" s="10" t="s">
        <v>310</v>
      </c>
      <c r="B123" s="10" t="s">
        <v>84</v>
      </c>
      <c r="C123" s="10" t="s">
        <v>85</v>
      </c>
      <c r="D123" s="10" t="s">
        <v>165</v>
      </c>
      <c r="E123" s="10" t="s">
        <v>50</v>
      </c>
      <c r="F123" s="10" t="s">
        <v>311</v>
      </c>
      <c r="G123" s="10" t="s">
        <v>162</v>
      </c>
      <c r="H123" s="30" t="n">
        <v>42963</v>
      </c>
      <c r="I123" s="8" t="n">
        <f aca="false">INDEX(Parâmetros!$C$13:$C$19,MATCH(E123,Parâmetros!$A$13:$A$19,0))</f>
        <v>1096</v>
      </c>
      <c r="J123" s="26" t="n">
        <f aca="false">IF(H123="","",Parâmetros!$B$5-H123)</f>
        <v>137</v>
      </c>
      <c r="K123" s="10" t="n">
        <f aca="false">INDEX(Parâmetros!$D$13:$D$19,MATCH(E123,Parâmetros!$A$13:$A$19,0))</f>
        <v>29</v>
      </c>
      <c r="L123" s="26" t="n">
        <f aca="false">IF(G123="Prospecting",Parâmetros!$B$9,IF(J123&gt;Parâmetros!$B$6,0,INDEX(Parâmetros!$C$24:$C$26,MATCH(J123,Parâmetros!$A$24:$A$26,1))))</f>
        <v>40</v>
      </c>
      <c r="M123" s="31" t="n">
        <f aca="false">IF(G123="Prospecting",1,INDEX(Parâmetros!$C$32:$C$35,MATCH(J123,Parâmetros!$A$32:$A$35,1)))</f>
        <v>1</v>
      </c>
      <c r="N123" s="2" t="n">
        <f aca="false">ROUND((K123+L123)*M123,0)</f>
        <v>69</v>
      </c>
      <c r="O123" s="10" t="str">
        <f aca="false">IF(AND(G123="Engaging",J123&gt;Parâmetros!$B$6),"Sim","Não")</f>
        <v>Não</v>
      </c>
      <c r="P123" s="32" t="str">
        <f aca="false">IF(O123="Sim","R",IF(N123&gt;=Parâmetros!$B$39,"A",IF(N123&gt;=Parâmetros!$B$40,"B",IF(N123&gt;=Parâmetros!$B$41,"C","D"))))</f>
        <v>B</v>
      </c>
      <c r="Q123" s="10" t="str">
        <f aca="false">IF(F123="","Completar cadastro","")</f>
        <v/>
      </c>
      <c r="R123" s="10" t="str">
        <f aca="false">INDEX(Parâmetros!$D$39:$D$43,MATCH(P123,Parâmetros!$A$39:$A$43,0))</f>
        <v>Cadência padrão</v>
      </c>
    </row>
    <row r="124" customFormat="false" ht="15" hidden="false" customHeight="false" outlineLevel="0" collapsed="false">
      <c r="A124" s="10" t="s">
        <v>312</v>
      </c>
      <c r="B124" s="10" t="s">
        <v>86</v>
      </c>
      <c r="C124" s="10" t="s">
        <v>85</v>
      </c>
      <c r="D124" s="10" t="s">
        <v>165</v>
      </c>
      <c r="E124" s="10" t="s">
        <v>50</v>
      </c>
      <c r="F124" s="10" t="s">
        <v>313</v>
      </c>
      <c r="G124" s="10" t="s">
        <v>162</v>
      </c>
      <c r="H124" s="30" t="n">
        <v>42964</v>
      </c>
      <c r="I124" s="8" t="n">
        <f aca="false">INDEX(Parâmetros!$C$13:$C$19,MATCH(E124,Parâmetros!$A$13:$A$19,0))</f>
        <v>1096</v>
      </c>
      <c r="J124" s="26" t="n">
        <f aca="false">IF(H124="","",Parâmetros!$B$5-H124)</f>
        <v>136</v>
      </c>
      <c r="K124" s="10" t="n">
        <f aca="false">INDEX(Parâmetros!$D$13:$D$19,MATCH(E124,Parâmetros!$A$13:$A$19,0))</f>
        <v>29</v>
      </c>
      <c r="L124" s="26" t="n">
        <f aca="false">IF(G124="Prospecting",Parâmetros!$B$9,IF(J124&gt;Parâmetros!$B$6,0,INDEX(Parâmetros!$C$24:$C$26,MATCH(J124,Parâmetros!$A$24:$A$26,1))))</f>
        <v>40</v>
      </c>
      <c r="M124" s="31" t="n">
        <f aca="false">IF(G124="Prospecting",1,INDEX(Parâmetros!$C$32:$C$35,MATCH(J124,Parâmetros!$A$32:$A$35,1)))</f>
        <v>1</v>
      </c>
      <c r="N124" s="2" t="n">
        <f aca="false">ROUND((K124+L124)*M124,0)</f>
        <v>69</v>
      </c>
      <c r="O124" s="10" t="str">
        <f aca="false">IF(AND(G124="Engaging",J124&gt;Parâmetros!$B$6),"Sim","Não")</f>
        <v>Não</v>
      </c>
      <c r="P124" s="32" t="str">
        <f aca="false">IF(O124="Sim","R",IF(N124&gt;=Parâmetros!$B$39,"A",IF(N124&gt;=Parâmetros!$B$40,"B",IF(N124&gt;=Parâmetros!$B$41,"C","D"))))</f>
        <v>B</v>
      </c>
      <c r="Q124" s="10" t="str">
        <f aca="false">IF(F124="","Completar cadastro","")</f>
        <v/>
      </c>
      <c r="R124" s="10" t="str">
        <f aca="false">INDEX(Parâmetros!$D$39:$D$43,MATCH(P124,Parâmetros!$A$39:$A$43,0))</f>
        <v>Cadência padrão</v>
      </c>
    </row>
    <row r="125" customFormat="false" ht="15" hidden="false" customHeight="false" outlineLevel="0" collapsed="false">
      <c r="A125" s="10" t="s">
        <v>314</v>
      </c>
      <c r="B125" s="10" t="s">
        <v>96</v>
      </c>
      <c r="C125" s="10" t="s">
        <v>92</v>
      </c>
      <c r="D125" s="10" t="s">
        <v>160</v>
      </c>
      <c r="E125" s="10" t="s">
        <v>50</v>
      </c>
      <c r="F125" s="10" t="s">
        <v>233</v>
      </c>
      <c r="G125" s="10" t="s">
        <v>162</v>
      </c>
      <c r="H125" s="30" t="n">
        <v>42966</v>
      </c>
      <c r="I125" s="8" t="n">
        <f aca="false">INDEX(Parâmetros!$C$13:$C$19,MATCH(E125,Parâmetros!$A$13:$A$19,0))</f>
        <v>1096</v>
      </c>
      <c r="J125" s="26" t="n">
        <f aca="false">IF(H125="","",Parâmetros!$B$5-H125)</f>
        <v>134</v>
      </c>
      <c r="K125" s="10" t="n">
        <f aca="false">INDEX(Parâmetros!$D$13:$D$19,MATCH(E125,Parâmetros!$A$13:$A$19,0))</f>
        <v>29</v>
      </c>
      <c r="L125" s="26" t="n">
        <f aca="false">IF(G125="Prospecting",Parâmetros!$B$9,IF(J125&gt;Parâmetros!$B$6,0,INDEX(Parâmetros!$C$24:$C$26,MATCH(J125,Parâmetros!$A$24:$A$26,1))))</f>
        <v>40</v>
      </c>
      <c r="M125" s="31" t="n">
        <f aca="false">IF(G125="Prospecting",1,INDEX(Parâmetros!$C$32:$C$35,MATCH(J125,Parâmetros!$A$32:$A$35,1)))</f>
        <v>1</v>
      </c>
      <c r="N125" s="2" t="n">
        <f aca="false">ROUND((K125+L125)*M125,0)</f>
        <v>69</v>
      </c>
      <c r="O125" s="10" t="str">
        <f aca="false">IF(AND(G125="Engaging",J125&gt;Parâmetros!$B$6),"Sim","Não")</f>
        <v>Não</v>
      </c>
      <c r="P125" s="32" t="str">
        <f aca="false">IF(O125="Sim","R",IF(N125&gt;=Parâmetros!$B$39,"A",IF(N125&gt;=Parâmetros!$B$40,"B",IF(N125&gt;=Parâmetros!$B$41,"C","D"))))</f>
        <v>B</v>
      </c>
      <c r="Q125" s="10" t="str">
        <f aca="false">IF(F125="","Completar cadastro","")</f>
        <v/>
      </c>
      <c r="R125" s="10" t="str">
        <f aca="false">INDEX(Parâmetros!$D$39:$D$43,MATCH(P125,Parâmetros!$A$39:$A$43,0))</f>
        <v>Cadência padrão</v>
      </c>
    </row>
    <row r="126" customFormat="false" ht="15" hidden="false" customHeight="false" outlineLevel="0" collapsed="false">
      <c r="A126" s="10" t="s">
        <v>315</v>
      </c>
      <c r="B126" s="10" t="s">
        <v>95</v>
      </c>
      <c r="C126" s="10" t="s">
        <v>92</v>
      </c>
      <c r="D126" s="10" t="s">
        <v>160</v>
      </c>
      <c r="E126" s="10" t="s">
        <v>50</v>
      </c>
      <c r="F126" s="10" t="s">
        <v>168</v>
      </c>
      <c r="G126" s="10" t="s">
        <v>162</v>
      </c>
      <c r="H126" s="30" t="n">
        <v>42967</v>
      </c>
      <c r="I126" s="8" t="n">
        <f aca="false">INDEX(Parâmetros!$C$13:$C$19,MATCH(E126,Parâmetros!$A$13:$A$19,0))</f>
        <v>1096</v>
      </c>
      <c r="J126" s="26" t="n">
        <f aca="false">IF(H126="","",Parâmetros!$B$5-H126)</f>
        <v>133</v>
      </c>
      <c r="K126" s="10" t="n">
        <f aca="false">INDEX(Parâmetros!$D$13:$D$19,MATCH(E126,Parâmetros!$A$13:$A$19,0))</f>
        <v>29</v>
      </c>
      <c r="L126" s="26" t="n">
        <f aca="false">IF(G126="Prospecting",Parâmetros!$B$9,IF(J126&gt;Parâmetros!$B$6,0,INDEX(Parâmetros!$C$24:$C$26,MATCH(J126,Parâmetros!$A$24:$A$26,1))))</f>
        <v>40</v>
      </c>
      <c r="M126" s="31" t="n">
        <f aca="false">IF(G126="Prospecting",1,INDEX(Parâmetros!$C$32:$C$35,MATCH(J126,Parâmetros!$A$32:$A$35,1)))</f>
        <v>1</v>
      </c>
      <c r="N126" s="2" t="n">
        <f aca="false">ROUND((K126+L126)*M126,0)</f>
        <v>69</v>
      </c>
      <c r="O126" s="10" t="str">
        <f aca="false">IF(AND(G126="Engaging",J126&gt;Parâmetros!$B$6),"Sim","Não")</f>
        <v>Não</v>
      </c>
      <c r="P126" s="32" t="str">
        <f aca="false">IF(O126="Sim","R",IF(N126&gt;=Parâmetros!$B$39,"A",IF(N126&gt;=Parâmetros!$B$40,"B",IF(N126&gt;=Parâmetros!$B$41,"C","D"))))</f>
        <v>B</v>
      </c>
      <c r="Q126" s="10" t="str">
        <f aca="false">IF(F126="","Completar cadastro","")</f>
        <v/>
      </c>
      <c r="R126" s="10" t="str">
        <f aca="false">INDEX(Parâmetros!$D$39:$D$43,MATCH(P126,Parâmetros!$A$39:$A$43,0))</f>
        <v>Cadência padrão</v>
      </c>
    </row>
    <row r="127" customFormat="false" ht="15" hidden="false" customHeight="false" outlineLevel="0" collapsed="false">
      <c r="A127" s="10" t="s">
        <v>316</v>
      </c>
      <c r="B127" s="10" t="s">
        <v>84</v>
      </c>
      <c r="C127" s="10" t="s">
        <v>85</v>
      </c>
      <c r="D127" s="10" t="s">
        <v>165</v>
      </c>
      <c r="E127" s="10" t="s">
        <v>50</v>
      </c>
      <c r="F127" s="10" t="s">
        <v>210</v>
      </c>
      <c r="G127" s="10" t="s">
        <v>162</v>
      </c>
      <c r="H127" s="30" t="n">
        <v>42968</v>
      </c>
      <c r="I127" s="8" t="n">
        <f aca="false">INDEX(Parâmetros!$C$13:$C$19,MATCH(E127,Parâmetros!$A$13:$A$19,0))</f>
        <v>1096</v>
      </c>
      <c r="J127" s="26" t="n">
        <f aca="false">IF(H127="","",Parâmetros!$B$5-H127)</f>
        <v>132</v>
      </c>
      <c r="K127" s="10" t="n">
        <f aca="false">INDEX(Parâmetros!$D$13:$D$19,MATCH(E127,Parâmetros!$A$13:$A$19,0))</f>
        <v>29</v>
      </c>
      <c r="L127" s="26" t="n">
        <f aca="false">IF(G127="Prospecting",Parâmetros!$B$9,IF(J127&gt;Parâmetros!$B$6,0,INDEX(Parâmetros!$C$24:$C$26,MATCH(J127,Parâmetros!$A$24:$A$26,1))))</f>
        <v>40</v>
      </c>
      <c r="M127" s="31" t="n">
        <f aca="false">IF(G127="Prospecting",1,INDEX(Parâmetros!$C$32:$C$35,MATCH(J127,Parâmetros!$A$32:$A$35,1)))</f>
        <v>1</v>
      </c>
      <c r="N127" s="2" t="n">
        <f aca="false">ROUND((K127+L127)*M127,0)</f>
        <v>69</v>
      </c>
      <c r="O127" s="10" t="str">
        <f aca="false">IF(AND(G127="Engaging",J127&gt;Parâmetros!$B$6),"Sim","Não")</f>
        <v>Não</v>
      </c>
      <c r="P127" s="32" t="str">
        <f aca="false">IF(O127="Sim","R",IF(N127&gt;=Parâmetros!$B$39,"A",IF(N127&gt;=Parâmetros!$B$40,"B",IF(N127&gt;=Parâmetros!$B$41,"C","D"))))</f>
        <v>B</v>
      </c>
      <c r="Q127" s="10" t="str">
        <f aca="false">IF(F127="","Completar cadastro","")</f>
        <v/>
      </c>
      <c r="R127" s="10" t="str">
        <f aca="false">INDEX(Parâmetros!$D$39:$D$43,MATCH(P127,Parâmetros!$A$39:$A$43,0))</f>
        <v>Cadência padrão</v>
      </c>
    </row>
    <row r="128" customFormat="false" ht="15" hidden="false" customHeight="false" outlineLevel="0" collapsed="false">
      <c r="A128" s="10" t="s">
        <v>317</v>
      </c>
      <c r="B128" s="10" t="s">
        <v>94</v>
      </c>
      <c r="C128" s="10" t="s">
        <v>92</v>
      </c>
      <c r="D128" s="10" t="s">
        <v>160</v>
      </c>
      <c r="E128" s="10" t="s">
        <v>50</v>
      </c>
      <c r="F128" s="10"/>
      <c r="G128" s="10" t="s">
        <v>162</v>
      </c>
      <c r="H128" s="30" t="n">
        <v>42968</v>
      </c>
      <c r="I128" s="8" t="n">
        <f aca="false">INDEX(Parâmetros!$C$13:$C$19,MATCH(E128,Parâmetros!$A$13:$A$19,0))</f>
        <v>1096</v>
      </c>
      <c r="J128" s="26" t="n">
        <f aca="false">IF(H128="","",Parâmetros!$B$5-H128)</f>
        <v>132</v>
      </c>
      <c r="K128" s="10" t="n">
        <f aca="false">INDEX(Parâmetros!$D$13:$D$19,MATCH(E128,Parâmetros!$A$13:$A$19,0))</f>
        <v>29</v>
      </c>
      <c r="L128" s="26" t="n">
        <f aca="false">IF(G128="Prospecting",Parâmetros!$B$9,IF(J128&gt;Parâmetros!$B$6,0,INDEX(Parâmetros!$C$24:$C$26,MATCH(J128,Parâmetros!$A$24:$A$26,1))))</f>
        <v>40</v>
      </c>
      <c r="M128" s="31" t="n">
        <f aca="false">IF(G128="Prospecting",1,INDEX(Parâmetros!$C$32:$C$35,MATCH(J128,Parâmetros!$A$32:$A$35,1)))</f>
        <v>1</v>
      </c>
      <c r="N128" s="2" t="n">
        <f aca="false">ROUND((K128+L128)*M128,0)</f>
        <v>69</v>
      </c>
      <c r="O128" s="10" t="str">
        <f aca="false">IF(AND(G128="Engaging",J128&gt;Parâmetros!$B$6),"Sim","Não")</f>
        <v>Não</v>
      </c>
      <c r="P128" s="32" t="str">
        <f aca="false">IF(O128="Sim","R",IF(N128&gt;=Parâmetros!$B$39,"A",IF(N128&gt;=Parâmetros!$B$40,"B",IF(N128&gt;=Parâmetros!$B$41,"C","D"))))</f>
        <v>B</v>
      </c>
      <c r="Q128" s="10" t="str">
        <f aca="false">IF(F128="","Completar cadastro","")</f>
        <v>Completar cadastro</v>
      </c>
      <c r="R128" s="10" t="str">
        <f aca="false">INDEX(Parâmetros!$D$39:$D$43,MATCH(P128,Parâmetros!$A$39:$A$43,0))</f>
        <v>Cadência padrão</v>
      </c>
    </row>
    <row r="129" customFormat="false" ht="15" hidden="false" customHeight="false" outlineLevel="0" collapsed="false">
      <c r="A129" s="10" t="s">
        <v>318</v>
      </c>
      <c r="B129" s="10" t="s">
        <v>97</v>
      </c>
      <c r="C129" s="10" t="s">
        <v>92</v>
      </c>
      <c r="D129" s="10" t="s">
        <v>160</v>
      </c>
      <c r="E129" s="10" t="s">
        <v>50</v>
      </c>
      <c r="F129" s="10"/>
      <c r="G129" s="10" t="s">
        <v>162</v>
      </c>
      <c r="H129" s="30" t="n">
        <v>42969</v>
      </c>
      <c r="I129" s="8" t="n">
        <f aca="false">INDEX(Parâmetros!$C$13:$C$19,MATCH(E129,Parâmetros!$A$13:$A$19,0))</f>
        <v>1096</v>
      </c>
      <c r="J129" s="26" t="n">
        <f aca="false">IF(H129="","",Parâmetros!$B$5-H129)</f>
        <v>131</v>
      </c>
      <c r="K129" s="10" t="n">
        <f aca="false">INDEX(Parâmetros!$D$13:$D$19,MATCH(E129,Parâmetros!$A$13:$A$19,0))</f>
        <v>29</v>
      </c>
      <c r="L129" s="26" t="n">
        <f aca="false">IF(G129="Prospecting",Parâmetros!$B$9,IF(J129&gt;Parâmetros!$B$6,0,INDEX(Parâmetros!$C$24:$C$26,MATCH(J129,Parâmetros!$A$24:$A$26,1))))</f>
        <v>40</v>
      </c>
      <c r="M129" s="31" t="n">
        <f aca="false">IF(G129="Prospecting",1,INDEX(Parâmetros!$C$32:$C$35,MATCH(J129,Parâmetros!$A$32:$A$35,1)))</f>
        <v>1</v>
      </c>
      <c r="N129" s="2" t="n">
        <f aca="false">ROUND((K129+L129)*M129,0)</f>
        <v>69</v>
      </c>
      <c r="O129" s="10" t="str">
        <f aca="false">IF(AND(G129="Engaging",J129&gt;Parâmetros!$B$6),"Sim","Não")</f>
        <v>Não</v>
      </c>
      <c r="P129" s="32" t="str">
        <f aca="false">IF(O129="Sim","R",IF(N129&gt;=Parâmetros!$B$39,"A",IF(N129&gt;=Parâmetros!$B$40,"B",IF(N129&gt;=Parâmetros!$B$41,"C","D"))))</f>
        <v>B</v>
      </c>
      <c r="Q129" s="10" t="str">
        <f aca="false">IF(F129="","Completar cadastro","")</f>
        <v>Completar cadastro</v>
      </c>
      <c r="R129" s="10" t="str">
        <f aca="false">INDEX(Parâmetros!$D$39:$D$43,MATCH(P129,Parâmetros!$A$39:$A$43,0))</f>
        <v>Cadência padrão</v>
      </c>
    </row>
    <row r="130" customFormat="false" ht="15" hidden="false" customHeight="false" outlineLevel="0" collapsed="false">
      <c r="A130" s="10" t="s">
        <v>319</v>
      </c>
      <c r="B130" s="10" t="s">
        <v>87</v>
      </c>
      <c r="C130" s="10" t="s">
        <v>85</v>
      </c>
      <c r="D130" s="10" t="s">
        <v>165</v>
      </c>
      <c r="E130" s="10" t="s">
        <v>50</v>
      </c>
      <c r="F130" s="10" t="s">
        <v>311</v>
      </c>
      <c r="G130" s="10" t="s">
        <v>162</v>
      </c>
      <c r="H130" s="30" t="n">
        <v>42971</v>
      </c>
      <c r="I130" s="8" t="n">
        <f aca="false">INDEX(Parâmetros!$C$13:$C$19,MATCH(E130,Parâmetros!$A$13:$A$19,0))</f>
        <v>1096</v>
      </c>
      <c r="J130" s="26" t="n">
        <f aca="false">IF(H130="","",Parâmetros!$B$5-H130)</f>
        <v>129</v>
      </c>
      <c r="K130" s="10" t="n">
        <f aca="false">INDEX(Parâmetros!$D$13:$D$19,MATCH(E130,Parâmetros!$A$13:$A$19,0))</f>
        <v>29</v>
      </c>
      <c r="L130" s="26" t="n">
        <f aca="false">IF(G130="Prospecting",Parâmetros!$B$9,IF(J130&gt;Parâmetros!$B$6,0,INDEX(Parâmetros!$C$24:$C$26,MATCH(J130,Parâmetros!$A$24:$A$26,1))))</f>
        <v>40</v>
      </c>
      <c r="M130" s="31" t="n">
        <f aca="false">IF(G130="Prospecting",1,INDEX(Parâmetros!$C$32:$C$35,MATCH(J130,Parâmetros!$A$32:$A$35,1)))</f>
        <v>1</v>
      </c>
      <c r="N130" s="2" t="n">
        <f aca="false">ROUND((K130+L130)*M130,0)</f>
        <v>69</v>
      </c>
      <c r="O130" s="10" t="str">
        <f aca="false">IF(AND(G130="Engaging",J130&gt;Parâmetros!$B$6),"Sim","Não")</f>
        <v>Não</v>
      </c>
      <c r="P130" s="32" t="str">
        <f aca="false">IF(O130="Sim","R",IF(N130&gt;=Parâmetros!$B$39,"A",IF(N130&gt;=Parâmetros!$B$40,"B",IF(N130&gt;=Parâmetros!$B$41,"C","D"))))</f>
        <v>B</v>
      </c>
      <c r="Q130" s="10" t="str">
        <f aca="false">IF(F130="","Completar cadastro","")</f>
        <v/>
      </c>
      <c r="R130" s="10" t="str">
        <f aca="false">INDEX(Parâmetros!$D$39:$D$43,MATCH(P130,Parâmetros!$A$39:$A$43,0))</f>
        <v>Cadência padrão</v>
      </c>
    </row>
    <row r="131" customFormat="false" ht="15" hidden="false" customHeight="false" outlineLevel="0" collapsed="false">
      <c r="A131" s="10" t="s">
        <v>320</v>
      </c>
      <c r="B131" s="10" t="s">
        <v>87</v>
      </c>
      <c r="C131" s="10" t="s">
        <v>85</v>
      </c>
      <c r="D131" s="10" t="s">
        <v>165</v>
      </c>
      <c r="E131" s="10" t="s">
        <v>50</v>
      </c>
      <c r="F131" s="10" t="s">
        <v>321</v>
      </c>
      <c r="G131" s="10" t="s">
        <v>162</v>
      </c>
      <c r="H131" s="30" t="n">
        <v>42972</v>
      </c>
      <c r="I131" s="8" t="n">
        <f aca="false">INDEX(Parâmetros!$C$13:$C$19,MATCH(E131,Parâmetros!$A$13:$A$19,0))</f>
        <v>1096</v>
      </c>
      <c r="J131" s="26" t="n">
        <f aca="false">IF(H131="","",Parâmetros!$B$5-H131)</f>
        <v>128</v>
      </c>
      <c r="K131" s="10" t="n">
        <f aca="false">INDEX(Parâmetros!$D$13:$D$19,MATCH(E131,Parâmetros!$A$13:$A$19,0))</f>
        <v>29</v>
      </c>
      <c r="L131" s="26" t="n">
        <f aca="false">IF(G131="Prospecting",Parâmetros!$B$9,IF(J131&gt;Parâmetros!$B$6,0,INDEX(Parâmetros!$C$24:$C$26,MATCH(J131,Parâmetros!$A$24:$A$26,1))))</f>
        <v>40</v>
      </c>
      <c r="M131" s="31" t="n">
        <f aca="false">IF(G131="Prospecting",1,INDEX(Parâmetros!$C$32:$C$35,MATCH(J131,Parâmetros!$A$32:$A$35,1)))</f>
        <v>1</v>
      </c>
      <c r="N131" s="2" t="n">
        <f aca="false">ROUND((K131+L131)*M131,0)</f>
        <v>69</v>
      </c>
      <c r="O131" s="10" t="str">
        <f aca="false">IF(AND(G131="Engaging",J131&gt;Parâmetros!$B$6),"Sim","Não")</f>
        <v>Não</v>
      </c>
      <c r="P131" s="32" t="str">
        <f aca="false">IF(O131="Sim","R",IF(N131&gt;=Parâmetros!$B$39,"A",IF(N131&gt;=Parâmetros!$B$40,"B",IF(N131&gt;=Parâmetros!$B$41,"C","D"))))</f>
        <v>B</v>
      </c>
      <c r="Q131" s="10" t="str">
        <f aca="false">IF(F131="","Completar cadastro","")</f>
        <v/>
      </c>
      <c r="R131" s="10" t="str">
        <f aca="false">INDEX(Parâmetros!$D$39:$D$43,MATCH(P131,Parâmetros!$A$39:$A$43,0))</f>
        <v>Cadência padrão</v>
      </c>
    </row>
    <row r="132" customFormat="false" ht="15" hidden="false" customHeight="false" outlineLevel="0" collapsed="false">
      <c r="A132" s="10" t="s">
        <v>322</v>
      </c>
      <c r="B132" s="10" t="s">
        <v>68</v>
      </c>
      <c r="C132" s="10" t="s">
        <v>65</v>
      </c>
      <c r="D132" s="10" t="s">
        <v>160</v>
      </c>
      <c r="E132" s="10" t="s">
        <v>50</v>
      </c>
      <c r="F132" s="10"/>
      <c r="G132" s="10" t="s">
        <v>162</v>
      </c>
      <c r="H132" s="30" t="n">
        <v>42972</v>
      </c>
      <c r="I132" s="8" t="n">
        <f aca="false">INDEX(Parâmetros!$C$13:$C$19,MATCH(E132,Parâmetros!$A$13:$A$19,0))</f>
        <v>1096</v>
      </c>
      <c r="J132" s="26" t="n">
        <f aca="false">IF(H132="","",Parâmetros!$B$5-H132)</f>
        <v>128</v>
      </c>
      <c r="K132" s="10" t="n">
        <f aca="false">INDEX(Parâmetros!$D$13:$D$19,MATCH(E132,Parâmetros!$A$13:$A$19,0))</f>
        <v>29</v>
      </c>
      <c r="L132" s="26" t="n">
        <f aca="false">IF(G132="Prospecting",Parâmetros!$B$9,IF(J132&gt;Parâmetros!$B$6,0,INDEX(Parâmetros!$C$24:$C$26,MATCH(J132,Parâmetros!$A$24:$A$26,1))))</f>
        <v>40</v>
      </c>
      <c r="M132" s="31" t="n">
        <f aca="false">IF(G132="Prospecting",1,INDEX(Parâmetros!$C$32:$C$35,MATCH(J132,Parâmetros!$A$32:$A$35,1)))</f>
        <v>1</v>
      </c>
      <c r="N132" s="2" t="n">
        <f aca="false">ROUND((K132+L132)*M132,0)</f>
        <v>69</v>
      </c>
      <c r="O132" s="10" t="str">
        <f aca="false">IF(AND(G132="Engaging",J132&gt;Parâmetros!$B$6),"Sim","Não")</f>
        <v>Não</v>
      </c>
      <c r="P132" s="32" t="str">
        <f aca="false">IF(O132="Sim","R",IF(N132&gt;=Parâmetros!$B$39,"A",IF(N132&gt;=Parâmetros!$B$40,"B",IF(N132&gt;=Parâmetros!$B$41,"C","D"))))</f>
        <v>B</v>
      </c>
      <c r="Q132" s="10" t="str">
        <f aca="false">IF(F132="","Completar cadastro","")</f>
        <v>Completar cadastro</v>
      </c>
      <c r="R132" s="10" t="str">
        <f aca="false">INDEX(Parâmetros!$D$39:$D$43,MATCH(P132,Parâmetros!$A$39:$A$43,0))</f>
        <v>Cadência padrão</v>
      </c>
    </row>
    <row r="133" customFormat="false" ht="15" hidden="false" customHeight="false" outlineLevel="0" collapsed="false">
      <c r="A133" s="10" t="s">
        <v>323</v>
      </c>
      <c r="B133" s="10" t="s">
        <v>97</v>
      </c>
      <c r="C133" s="10" t="s">
        <v>92</v>
      </c>
      <c r="D133" s="10" t="s">
        <v>160</v>
      </c>
      <c r="E133" s="10" t="s">
        <v>50</v>
      </c>
      <c r="F133" s="10" t="s">
        <v>168</v>
      </c>
      <c r="G133" s="10" t="s">
        <v>162</v>
      </c>
      <c r="H133" s="30" t="n">
        <v>42972</v>
      </c>
      <c r="I133" s="8" t="n">
        <f aca="false">INDEX(Parâmetros!$C$13:$C$19,MATCH(E133,Parâmetros!$A$13:$A$19,0))</f>
        <v>1096</v>
      </c>
      <c r="J133" s="26" t="n">
        <f aca="false">IF(H133="","",Parâmetros!$B$5-H133)</f>
        <v>128</v>
      </c>
      <c r="K133" s="10" t="n">
        <f aca="false">INDEX(Parâmetros!$D$13:$D$19,MATCH(E133,Parâmetros!$A$13:$A$19,0))</f>
        <v>29</v>
      </c>
      <c r="L133" s="26" t="n">
        <f aca="false">IF(G133="Prospecting",Parâmetros!$B$9,IF(J133&gt;Parâmetros!$B$6,0,INDEX(Parâmetros!$C$24:$C$26,MATCH(J133,Parâmetros!$A$24:$A$26,1))))</f>
        <v>40</v>
      </c>
      <c r="M133" s="31" t="n">
        <f aca="false">IF(G133="Prospecting",1,INDEX(Parâmetros!$C$32:$C$35,MATCH(J133,Parâmetros!$A$32:$A$35,1)))</f>
        <v>1</v>
      </c>
      <c r="N133" s="2" t="n">
        <f aca="false">ROUND((K133+L133)*M133,0)</f>
        <v>69</v>
      </c>
      <c r="O133" s="10" t="str">
        <f aca="false">IF(AND(G133="Engaging",J133&gt;Parâmetros!$B$6),"Sim","Não")</f>
        <v>Não</v>
      </c>
      <c r="P133" s="32" t="str">
        <f aca="false">IF(O133="Sim","R",IF(N133&gt;=Parâmetros!$B$39,"A",IF(N133&gt;=Parâmetros!$B$40,"B",IF(N133&gt;=Parâmetros!$B$41,"C","D"))))</f>
        <v>B</v>
      </c>
      <c r="Q133" s="10" t="str">
        <f aca="false">IF(F133="","Completar cadastro","")</f>
        <v/>
      </c>
      <c r="R133" s="10" t="str">
        <f aca="false">INDEX(Parâmetros!$D$39:$D$43,MATCH(P133,Parâmetros!$A$39:$A$43,0))</f>
        <v>Cadência padrão</v>
      </c>
    </row>
    <row r="134" customFormat="false" ht="15" hidden="false" customHeight="false" outlineLevel="0" collapsed="false">
      <c r="A134" s="10" t="s">
        <v>324</v>
      </c>
      <c r="B134" s="10" t="s">
        <v>87</v>
      </c>
      <c r="C134" s="10" t="s">
        <v>85</v>
      </c>
      <c r="D134" s="10" t="s">
        <v>165</v>
      </c>
      <c r="E134" s="10" t="s">
        <v>50</v>
      </c>
      <c r="F134" s="10"/>
      <c r="G134" s="10" t="s">
        <v>162</v>
      </c>
      <c r="H134" s="30" t="n">
        <v>42973</v>
      </c>
      <c r="I134" s="8" t="n">
        <f aca="false">INDEX(Parâmetros!$C$13:$C$19,MATCH(E134,Parâmetros!$A$13:$A$19,0))</f>
        <v>1096</v>
      </c>
      <c r="J134" s="26" t="n">
        <f aca="false">IF(H134="","",Parâmetros!$B$5-H134)</f>
        <v>127</v>
      </c>
      <c r="K134" s="10" t="n">
        <f aca="false">INDEX(Parâmetros!$D$13:$D$19,MATCH(E134,Parâmetros!$A$13:$A$19,0))</f>
        <v>29</v>
      </c>
      <c r="L134" s="26" t="n">
        <f aca="false">IF(G134="Prospecting",Parâmetros!$B$9,IF(J134&gt;Parâmetros!$B$6,0,INDEX(Parâmetros!$C$24:$C$26,MATCH(J134,Parâmetros!$A$24:$A$26,1))))</f>
        <v>40</v>
      </c>
      <c r="M134" s="31" t="n">
        <f aca="false">IF(G134="Prospecting",1,INDEX(Parâmetros!$C$32:$C$35,MATCH(J134,Parâmetros!$A$32:$A$35,1)))</f>
        <v>1</v>
      </c>
      <c r="N134" s="2" t="n">
        <f aca="false">ROUND((K134+L134)*M134,0)</f>
        <v>69</v>
      </c>
      <c r="O134" s="10" t="str">
        <f aca="false">IF(AND(G134="Engaging",J134&gt;Parâmetros!$B$6),"Sim","Não")</f>
        <v>Não</v>
      </c>
      <c r="P134" s="32" t="str">
        <f aca="false">IF(O134="Sim","R",IF(N134&gt;=Parâmetros!$B$39,"A",IF(N134&gt;=Parâmetros!$B$40,"B",IF(N134&gt;=Parâmetros!$B$41,"C","D"))))</f>
        <v>B</v>
      </c>
      <c r="Q134" s="10" t="str">
        <f aca="false">IF(F134="","Completar cadastro","")</f>
        <v>Completar cadastro</v>
      </c>
      <c r="R134" s="10" t="str">
        <f aca="false">INDEX(Parâmetros!$D$39:$D$43,MATCH(P134,Parâmetros!$A$39:$A$43,0))</f>
        <v>Cadência padrão</v>
      </c>
    </row>
    <row r="135" customFormat="false" ht="15" hidden="false" customHeight="false" outlineLevel="0" collapsed="false">
      <c r="A135" s="10" t="s">
        <v>325</v>
      </c>
      <c r="B135" s="10" t="s">
        <v>86</v>
      </c>
      <c r="C135" s="10" t="s">
        <v>85</v>
      </c>
      <c r="D135" s="10" t="s">
        <v>165</v>
      </c>
      <c r="E135" s="10" t="s">
        <v>50</v>
      </c>
      <c r="F135" s="10" t="s">
        <v>326</v>
      </c>
      <c r="G135" s="10" t="s">
        <v>162</v>
      </c>
      <c r="H135" s="30" t="n">
        <v>42974</v>
      </c>
      <c r="I135" s="8" t="n">
        <f aca="false">INDEX(Parâmetros!$C$13:$C$19,MATCH(E135,Parâmetros!$A$13:$A$19,0))</f>
        <v>1096</v>
      </c>
      <c r="J135" s="26" t="n">
        <f aca="false">IF(H135="","",Parâmetros!$B$5-H135)</f>
        <v>126</v>
      </c>
      <c r="K135" s="10" t="n">
        <f aca="false">INDEX(Parâmetros!$D$13:$D$19,MATCH(E135,Parâmetros!$A$13:$A$19,0))</f>
        <v>29</v>
      </c>
      <c r="L135" s="26" t="n">
        <f aca="false">IF(G135="Prospecting",Parâmetros!$B$9,IF(J135&gt;Parâmetros!$B$6,0,INDEX(Parâmetros!$C$24:$C$26,MATCH(J135,Parâmetros!$A$24:$A$26,1))))</f>
        <v>40</v>
      </c>
      <c r="M135" s="31" t="n">
        <f aca="false">IF(G135="Prospecting",1,INDEX(Parâmetros!$C$32:$C$35,MATCH(J135,Parâmetros!$A$32:$A$35,1)))</f>
        <v>1</v>
      </c>
      <c r="N135" s="2" t="n">
        <f aca="false">ROUND((K135+L135)*M135,0)</f>
        <v>69</v>
      </c>
      <c r="O135" s="10" t="str">
        <f aca="false">IF(AND(G135="Engaging",J135&gt;Parâmetros!$B$6),"Sim","Não")</f>
        <v>Não</v>
      </c>
      <c r="P135" s="32" t="str">
        <f aca="false">IF(O135="Sim","R",IF(N135&gt;=Parâmetros!$B$39,"A",IF(N135&gt;=Parâmetros!$B$40,"B",IF(N135&gt;=Parâmetros!$B$41,"C","D"))))</f>
        <v>B</v>
      </c>
      <c r="Q135" s="10" t="str">
        <f aca="false">IF(F135="","Completar cadastro","")</f>
        <v/>
      </c>
      <c r="R135" s="10" t="str">
        <f aca="false">INDEX(Parâmetros!$D$39:$D$43,MATCH(P135,Parâmetros!$A$39:$A$43,0))</f>
        <v>Cadência padrão</v>
      </c>
    </row>
    <row r="136" customFormat="false" ht="15" hidden="false" customHeight="false" outlineLevel="0" collapsed="false">
      <c r="A136" s="10" t="s">
        <v>327</v>
      </c>
      <c r="B136" s="10" t="s">
        <v>86</v>
      </c>
      <c r="C136" s="10" t="s">
        <v>85</v>
      </c>
      <c r="D136" s="10" t="s">
        <v>165</v>
      </c>
      <c r="E136" s="10" t="s">
        <v>50</v>
      </c>
      <c r="F136" s="10" t="s">
        <v>313</v>
      </c>
      <c r="G136" s="10" t="s">
        <v>162</v>
      </c>
      <c r="H136" s="30" t="n">
        <v>42976</v>
      </c>
      <c r="I136" s="8" t="n">
        <f aca="false">INDEX(Parâmetros!$C$13:$C$19,MATCH(E136,Parâmetros!$A$13:$A$19,0))</f>
        <v>1096</v>
      </c>
      <c r="J136" s="26" t="n">
        <f aca="false">IF(H136="","",Parâmetros!$B$5-H136)</f>
        <v>124</v>
      </c>
      <c r="K136" s="10" t="n">
        <f aca="false">INDEX(Parâmetros!$D$13:$D$19,MATCH(E136,Parâmetros!$A$13:$A$19,0))</f>
        <v>29</v>
      </c>
      <c r="L136" s="26" t="n">
        <f aca="false">IF(G136="Prospecting",Parâmetros!$B$9,IF(J136&gt;Parâmetros!$B$6,0,INDEX(Parâmetros!$C$24:$C$26,MATCH(J136,Parâmetros!$A$24:$A$26,1))))</f>
        <v>40</v>
      </c>
      <c r="M136" s="31" t="n">
        <f aca="false">IF(G136="Prospecting",1,INDEX(Parâmetros!$C$32:$C$35,MATCH(J136,Parâmetros!$A$32:$A$35,1)))</f>
        <v>1</v>
      </c>
      <c r="N136" s="2" t="n">
        <f aca="false">ROUND((K136+L136)*M136,0)</f>
        <v>69</v>
      </c>
      <c r="O136" s="10" t="str">
        <f aca="false">IF(AND(G136="Engaging",J136&gt;Parâmetros!$B$6),"Sim","Não")</f>
        <v>Não</v>
      </c>
      <c r="P136" s="32" t="str">
        <f aca="false">IF(O136="Sim","R",IF(N136&gt;=Parâmetros!$B$39,"A",IF(N136&gt;=Parâmetros!$B$40,"B",IF(N136&gt;=Parâmetros!$B$41,"C","D"))))</f>
        <v>B</v>
      </c>
      <c r="Q136" s="10" t="str">
        <f aca="false">IF(F136="","Completar cadastro","")</f>
        <v/>
      </c>
      <c r="R136" s="10" t="str">
        <f aca="false">INDEX(Parâmetros!$D$39:$D$43,MATCH(P136,Parâmetros!$A$39:$A$43,0))</f>
        <v>Cadência padrão</v>
      </c>
    </row>
    <row r="137" customFormat="false" ht="15" hidden="false" customHeight="false" outlineLevel="0" collapsed="false">
      <c r="A137" s="10" t="s">
        <v>328</v>
      </c>
      <c r="B137" s="10" t="s">
        <v>96</v>
      </c>
      <c r="C137" s="10" t="s">
        <v>92</v>
      </c>
      <c r="D137" s="10" t="s">
        <v>160</v>
      </c>
      <c r="E137" s="10" t="s">
        <v>50</v>
      </c>
      <c r="F137" s="10"/>
      <c r="G137" s="10" t="s">
        <v>162</v>
      </c>
      <c r="H137" s="30" t="n">
        <v>42978</v>
      </c>
      <c r="I137" s="8" t="n">
        <f aca="false">INDEX(Parâmetros!$C$13:$C$19,MATCH(E137,Parâmetros!$A$13:$A$19,0))</f>
        <v>1096</v>
      </c>
      <c r="J137" s="26" t="n">
        <f aca="false">IF(H137="","",Parâmetros!$B$5-H137)</f>
        <v>122</v>
      </c>
      <c r="K137" s="10" t="n">
        <f aca="false">INDEX(Parâmetros!$D$13:$D$19,MATCH(E137,Parâmetros!$A$13:$A$19,0))</f>
        <v>29</v>
      </c>
      <c r="L137" s="26" t="n">
        <f aca="false">IF(G137="Prospecting",Parâmetros!$B$9,IF(J137&gt;Parâmetros!$B$6,0,INDEX(Parâmetros!$C$24:$C$26,MATCH(J137,Parâmetros!$A$24:$A$26,1))))</f>
        <v>40</v>
      </c>
      <c r="M137" s="31" t="n">
        <f aca="false">IF(G137="Prospecting",1,INDEX(Parâmetros!$C$32:$C$35,MATCH(J137,Parâmetros!$A$32:$A$35,1)))</f>
        <v>1</v>
      </c>
      <c r="N137" s="2" t="n">
        <f aca="false">ROUND((K137+L137)*M137,0)</f>
        <v>69</v>
      </c>
      <c r="O137" s="10" t="str">
        <f aca="false">IF(AND(G137="Engaging",J137&gt;Parâmetros!$B$6),"Sim","Não")</f>
        <v>Não</v>
      </c>
      <c r="P137" s="32" t="str">
        <f aca="false">IF(O137="Sim","R",IF(N137&gt;=Parâmetros!$B$39,"A",IF(N137&gt;=Parâmetros!$B$40,"B",IF(N137&gt;=Parâmetros!$B$41,"C","D"))))</f>
        <v>B</v>
      </c>
      <c r="Q137" s="10" t="str">
        <f aca="false">IF(F137="","Completar cadastro","")</f>
        <v>Completar cadastro</v>
      </c>
      <c r="R137" s="10" t="str">
        <f aca="false">INDEX(Parâmetros!$D$39:$D$43,MATCH(P137,Parâmetros!$A$39:$A$43,0))</f>
        <v>Cadência padrão</v>
      </c>
    </row>
    <row r="138" customFormat="false" ht="15" hidden="false" customHeight="false" outlineLevel="0" collapsed="false">
      <c r="A138" s="10" t="s">
        <v>329</v>
      </c>
      <c r="B138" s="10" t="s">
        <v>67</v>
      </c>
      <c r="C138" s="10" t="s">
        <v>65</v>
      </c>
      <c r="D138" s="10" t="s">
        <v>160</v>
      </c>
      <c r="E138" s="10" t="s">
        <v>50</v>
      </c>
      <c r="F138" s="10"/>
      <c r="G138" s="10" t="s">
        <v>162</v>
      </c>
      <c r="H138" s="30" t="n">
        <v>42981</v>
      </c>
      <c r="I138" s="8" t="n">
        <f aca="false">INDEX(Parâmetros!$C$13:$C$19,MATCH(E138,Parâmetros!$A$13:$A$19,0))</f>
        <v>1096</v>
      </c>
      <c r="J138" s="26" t="n">
        <f aca="false">IF(H138="","",Parâmetros!$B$5-H138)</f>
        <v>119</v>
      </c>
      <c r="K138" s="10" t="n">
        <f aca="false">INDEX(Parâmetros!$D$13:$D$19,MATCH(E138,Parâmetros!$A$13:$A$19,0))</f>
        <v>29</v>
      </c>
      <c r="L138" s="26" t="n">
        <f aca="false">IF(G138="Prospecting",Parâmetros!$B$9,IF(J138&gt;Parâmetros!$B$6,0,INDEX(Parâmetros!$C$24:$C$26,MATCH(J138,Parâmetros!$A$24:$A$26,1))))</f>
        <v>40</v>
      </c>
      <c r="M138" s="31" t="n">
        <f aca="false">IF(G138="Prospecting",1,INDEX(Parâmetros!$C$32:$C$35,MATCH(J138,Parâmetros!$A$32:$A$35,1)))</f>
        <v>1</v>
      </c>
      <c r="N138" s="2" t="n">
        <f aca="false">ROUND((K138+L138)*M138,0)</f>
        <v>69</v>
      </c>
      <c r="O138" s="10" t="str">
        <f aca="false">IF(AND(G138="Engaging",J138&gt;Parâmetros!$B$6),"Sim","Não")</f>
        <v>Não</v>
      </c>
      <c r="P138" s="32" t="str">
        <f aca="false">IF(O138="Sim","R",IF(N138&gt;=Parâmetros!$B$39,"A",IF(N138&gt;=Parâmetros!$B$40,"B",IF(N138&gt;=Parâmetros!$B$41,"C","D"))))</f>
        <v>B</v>
      </c>
      <c r="Q138" s="10" t="str">
        <f aca="false">IF(F138="","Completar cadastro","")</f>
        <v>Completar cadastro</v>
      </c>
      <c r="R138" s="10" t="str">
        <f aca="false">INDEX(Parâmetros!$D$39:$D$43,MATCH(P138,Parâmetros!$A$39:$A$43,0))</f>
        <v>Cadência padrão</v>
      </c>
    </row>
    <row r="139" customFormat="false" ht="15" hidden="false" customHeight="false" outlineLevel="0" collapsed="false">
      <c r="A139" s="10" t="s">
        <v>330</v>
      </c>
      <c r="B139" s="10" t="s">
        <v>62</v>
      </c>
      <c r="C139" s="10" t="s">
        <v>58</v>
      </c>
      <c r="D139" s="10" t="s">
        <v>165</v>
      </c>
      <c r="E139" s="10" t="s">
        <v>50</v>
      </c>
      <c r="F139" s="10"/>
      <c r="G139" s="10" t="s">
        <v>162</v>
      </c>
      <c r="H139" s="30" t="n">
        <v>42982</v>
      </c>
      <c r="I139" s="8" t="n">
        <f aca="false">INDEX(Parâmetros!$C$13:$C$19,MATCH(E139,Parâmetros!$A$13:$A$19,0))</f>
        <v>1096</v>
      </c>
      <c r="J139" s="26" t="n">
        <f aca="false">IF(H139="","",Parâmetros!$B$5-H139)</f>
        <v>118</v>
      </c>
      <c r="K139" s="10" t="n">
        <f aca="false">INDEX(Parâmetros!$D$13:$D$19,MATCH(E139,Parâmetros!$A$13:$A$19,0))</f>
        <v>29</v>
      </c>
      <c r="L139" s="26" t="n">
        <f aca="false">IF(G139="Prospecting",Parâmetros!$B$9,IF(J139&gt;Parâmetros!$B$6,0,INDEX(Parâmetros!$C$24:$C$26,MATCH(J139,Parâmetros!$A$24:$A$26,1))))</f>
        <v>40</v>
      </c>
      <c r="M139" s="31" t="n">
        <f aca="false">IF(G139="Prospecting",1,INDEX(Parâmetros!$C$32:$C$35,MATCH(J139,Parâmetros!$A$32:$A$35,1)))</f>
        <v>1</v>
      </c>
      <c r="N139" s="2" t="n">
        <f aca="false">ROUND((K139+L139)*M139,0)</f>
        <v>69</v>
      </c>
      <c r="O139" s="10" t="str">
        <f aca="false">IF(AND(G139="Engaging",J139&gt;Parâmetros!$B$6),"Sim","Não")</f>
        <v>Não</v>
      </c>
      <c r="P139" s="32" t="str">
        <f aca="false">IF(O139="Sim","R",IF(N139&gt;=Parâmetros!$B$39,"A",IF(N139&gt;=Parâmetros!$B$40,"B",IF(N139&gt;=Parâmetros!$B$41,"C","D"))))</f>
        <v>B</v>
      </c>
      <c r="Q139" s="10" t="str">
        <f aca="false">IF(F139="","Completar cadastro","")</f>
        <v>Completar cadastro</v>
      </c>
      <c r="R139" s="10" t="str">
        <f aca="false">INDEX(Parâmetros!$D$39:$D$43,MATCH(P139,Parâmetros!$A$39:$A$43,0))</f>
        <v>Cadência padrão</v>
      </c>
    </row>
    <row r="140" customFormat="false" ht="15" hidden="false" customHeight="false" outlineLevel="0" collapsed="false">
      <c r="A140" s="10" t="s">
        <v>331</v>
      </c>
      <c r="B140" s="10" t="s">
        <v>86</v>
      </c>
      <c r="C140" s="10" t="s">
        <v>85</v>
      </c>
      <c r="D140" s="10" t="s">
        <v>165</v>
      </c>
      <c r="E140" s="10" t="s">
        <v>50</v>
      </c>
      <c r="F140" s="10" t="s">
        <v>332</v>
      </c>
      <c r="G140" s="10" t="s">
        <v>162</v>
      </c>
      <c r="H140" s="30" t="n">
        <v>42984</v>
      </c>
      <c r="I140" s="8" t="n">
        <f aca="false">INDEX(Parâmetros!$C$13:$C$19,MATCH(E140,Parâmetros!$A$13:$A$19,0))</f>
        <v>1096</v>
      </c>
      <c r="J140" s="26" t="n">
        <f aca="false">IF(H140="","",Parâmetros!$B$5-H140)</f>
        <v>116</v>
      </c>
      <c r="K140" s="10" t="n">
        <f aca="false">INDEX(Parâmetros!$D$13:$D$19,MATCH(E140,Parâmetros!$A$13:$A$19,0))</f>
        <v>29</v>
      </c>
      <c r="L140" s="26" t="n">
        <f aca="false">IF(G140="Prospecting",Parâmetros!$B$9,IF(J140&gt;Parâmetros!$B$6,0,INDEX(Parâmetros!$C$24:$C$26,MATCH(J140,Parâmetros!$A$24:$A$26,1))))</f>
        <v>40</v>
      </c>
      <c r="M140" s="31" t="n">
        <f aca="false">IF(G140="Prospecting",1,INDEX(Parâmetros!$C$32:$C$35,MATCH(J140,Parâmetros!$A$32:$A$35,1)))</f>
        <v>1</v>
      </c>
      <c r="N140" s="2" t="n">
        <f aca="false">ROUND((K140+L140)*M140,0)</f>
        <v>69</v>
      </c>
      <c r="O140" s="10" t="str">
        <f aca="false">IF(AND(G140="Engaging",J140&gt;Parâmetros!$B$6),"Sim","Não")</f>
        <v>Não</v>
      </c>
      <c r="P140" s="32" t="str">
        <f aca="false">IF(O140="Sim","R",IF(N140&gt;=Parâmetros!$B$39,"A",IF(N140&gt;=Parâmetros!$B$40,"B",IF(N140&gt;=Parâmetros!$B$41,"C","D"))))</f>
        <v>B</v>
      </c>
      <c r="Q140" s="10" t="str">
        <f aca="false">IF(F140="","Completar cadastro","")</f>
        <v/>
      </c>
      <c r="R140" s="10" t="str">
        <f aca="false">INDEX(Parâmetros!$D$39:$D$43,MATCH(P140,Parâmetros!$A$39:$A$43,0))</f>
        <v>Cadência padrão</v>
      </c>
    </row>
    <row r="141" customFormat="false" ht="15" hidden="false" customHeight="false" outlineLevel="0" collapsed="false">
      <c r="A141" s="10" t="s">
        <v>333</v>
      </c>
      <c r="B141" s="10" t="s">
        <v>84</v>
      </c>
      <c r="C141" s="10" t="s">
        <v>85</v>
      </c>
      <c r="D141" s="10" t="s">
        <v>165</v>
      </c>
      <c r="E141" s="10" t="s">
        <v>50</v>
      </c>
      <c r="F141" s="10"/>
      <c r="G141" s="10" t="s">
        <v>162</v>
      </c>
      <c r="H141" s="30" t="n">
        <v>42985</v>
      </c>
      <c r="I141" s="8" t="n">
        <f aca="false">INDEX(Parâmetros!$C$13:$C$19,MATCH(E141,Parâmetros!$A$13:$A$19,0))</f>
        <v>1096</v>
      </c>
      <c r="J141" s="26" t="n">
        <f aca="false">IF(H141="","",Parâmetros!$B$5-H141)</f>
        <v>115</v>
      </c>
      <c r="K141" s="10" t="n">
        <f aca="false">INDEX(Parâmetros!$D$13:$D$19,MATCH(E141,Parâmetros!$A$13:$A$19,0))</f>
        <v>29</v>
      </c>
      <c r="L141" s="26" t="n">
        <f aca="false">IF(G141="Prospecting",Parâmetros!$B$9,IF(J141&gt;Parâmetros!$B$6,0,INDEX(Parâmetros!$C$24:$C$26,MATCH(J141,Parâmetros!$A$24:$A$26,1))))</f>
        <v>40</v>
      </c>
      <c r="M141" s="31" t="n">
        <f aca="false">IF(G141="Prospecting",1,INDEX(Parâmetros!$C$32:$C$35,MATCH(J141,Parâmetros!$A$32:$A$35,1)))</f>
        <v>1</v>
      </c>
      <c r="N141" s="2" t="n">
        <f aca="false">ROUND((K141+L141)*M141,0)</f>
        <v>69</v>
      </c>
      <c r="O141" s="10" t="str">
        <f aca="false">IF(AND(G141="Engaging",J141&gt;Parâmetros!$B$6),"Sim","Não")</f>
        <v>Não</v>
      </c>
      <c r="P141" s="32" t="str">
        <f aca="false">IF(O141="Sim","R",IF(N141&gt;=Parâmetros!$B$39,"A",IF(N141&gt;=Parâmetros!$B$40,"B",IF(N141&gt;=Parâmetros!$B$41,"C","D"))))</f>
        <v>B</v>
      </c>
      <c r="Q141" s="10" t="str">
        <f aca="false">IF(F141="","Completar cadastro","")</f>
        <v>Completar cadastro</v>
      </c>
      <c r="R141" s="10" t="str">
        <f aca="false">INDEX(Parâmetros!$D$39:$D$43,MATCH(P141,Parâmetros!$A$39:$A$43,0))</f>
        <v>Cadência padrão</v>
      </c>
    </row>
    <row r="142" customFormat="false" ht="15" hidden="false" customHeight="false" outlineLevel="0" collapsed="false">
      <c r="A142" s="10" t="s">
        <v>334</v>
      </c>
      <c r="B142" s="10" t="s">
        <v>93</v>
      </c>
      <c r="C142" s="10" t="s">
        <v>92</v>
      </c>
      <c r="D142" s="10" t="s">
        <v>160</v>
      </c>
      <c r="E142" s="10" t="s">
        <v>50</v>
      </c>
      <c r="F142" s="10" t="s">
        <v>185</v>
      </c>
      <c r="G142" s="10" t="s">
        <v>162</v>
      </c>
      <c r="H142" s="30" t="n">
        <v>42987</v>
      </c>
      <c r="I142" s="8" t="n">
        <f aca="false">INDEX(Parâmetros!$C$13:$C$19,MATCH(E142,Parâmetros!$A$13:$A$19,0))</f>
        <v>1096</v>
      </c>
      <c r="J142" s="26" t="n">
        <f aca="false">IF(H142="","",Parâmetros!$B$5-H142)</f>
        <v>113</v>
      </c>
      <c r="K142" s="10" t="n">
        <f aca="false">INDEX(Parâmetros!$D$13:$D$19,MATCH(E142,Parâmetros!$A$13:$A$19,0))</f>
        <v>29</v>
      </c>
      <c r="L142" s="26" t="n">
        <f aca="false">IF(G142="Prospecting",Parâmetros!$B$9,IF(J142&gt;Parâmetros!$B$6,0,INDEX(Parâmetros!$C$24:$C$26,MATCH(J142,Parâmetros!$A$24:$A$26,1))))</f>
        <v>40</v>
      </c>
      <c r="M142" s="31" t="n">
        <f aca="false">IF(G142="Prospecting",1,INDEX(Parâmetros!$C$32:$C$35,MATCH(J142,Parâmetros!$A$32:$A$35,1)))</f>
        <v>1</v>
      </c>
      <c r="N142" s="2" t="n">
        <f aca="false">ROUND((K142+L142)*M142,0)</f>
        <v>69</v>
      </c>
      <c r="O142" s="10" t="str">
        <f aca="false">IF(AND(G142="Engaging",J142&gt;Parâmetros!$B$6),"Sim","Não")</f>
        <v>Não</v>
      </c>
      <c r="P142" s="32" t="str">
        <f aca="false">IF(O142="Sim","R",IF(N142&gt;=Parâmetros!$B$39,"A",IF(N142&gt;=Parâmetros!$B$40,"B",IF(N142&gt;=Parâmetros!$B$41,"C","D"))))</f>
        <v>B</v>
      </c>
      <c r="Q142" s="10" t="str">
        <f aca="false">IF(F142="","Completar cadastro","")</f>
        <v/>
      </c>
      <c r="R142" s="10" t="str">
        <f aca="false">INDEX(Parâmetros!$D$39:$D$43,MATCH(P142,Parâmetros!$A$39:$A$43,0))</f>
        <v>Cadência padrão</v>
      </c>
    </row>
    <row r="143" customFormat="false" ht="15" hidden="false" customHeight="false" outlineLevel="0" collapsed="false">
      <c r="A143" s="10" t="s">
        <v>335</v>
      </c>
      <c r="B143" s="10" t="s">
        <v>68</v>
      </c>
      <c r="C143" s="10" t="s">
        <v>65</v>
      </c>
      <c r="D143" s="10" t="s">
        <v>160</v>
      </c>
      <c r="E143" s="10" t="s">
        <v>50</v>
      </c>
      <c r="F143" s="10"/>
      <c r="G143" s="10" t="s">
        <v>162</v>
      </c>
      <c r="H143" s="30" t="n">
        <v>42987</v>
      </c>
      <c r="I143" s="8" t="n">
        <f aca="false">INDEX(Parâmetros!$C$13:$C$19,MATCH(E143,Parâmetros!$A$13:$A$19,0))</f>
        <v>1096</v>
      </c>
      <c r="J143" s="26" t="n">
        <f aca="false">IF(H143="","",Parâmetros!$B$5-H143)</f>
        <v>113</v>
      </c>
      <c r="K143" s="10" t="n">
        <f aca="false">INDEX(Parâmetros!$D$13:$D$19,MATCH(E143,Parâmetros!$A$13:$A$19,0))</f>
        <v>29</v>
      </c>
      <c r="L143" s="26" t="n">
        <f aca="false">IF(G143="Prospecting",Parâmetros!$B$9,IF(J143&gt;Parâmetros!$B$6,0,INDEX(Parâmetros!$C$24:$C$26,MATCH(J143,Parâmetros!$A$24:$A$26,1))))</f>
        <v>40</v>
      </c>
      <c r="M143" s="31" t="n">
        <f aca="false">IF(G143="Prospecting",1,INDEX(Parâmetros!$C$32:$C$35,MATCH(J143,Parâmetros!$A$32:$A$35,1)))</f>
        <v>1</v>
      </c>
      <c r="N143" s="2" t="n">
        <f aca="false">ROUND((K143+L143)*M143,0)</f>
        <v>69</v>
      </c>
      <c r="O143" s="10" t="str">
        <f aca="false">IF(AND(G143="Engaging",J143&gt;Parâmetros!$B$6),"Sim","Não")</f>
        <v>Não</v>
      </c>
      <c r="P143" s="32" t="str">
        <f aca="false">IF(O143="Sim","R",IF(N143&gt;=Parâmetros!$B$39,"A",IF(N143&gt;=Parâmetros!$B$40,"B",IF(N143&gt;=Parâmetros!$B$41,"C","D"))))</f>
        <v>B</v>
      </c>
      <c r="Q143" s="10" t="str">
        <f aca="false">IF(F143="","Completar cadastro","")</f>
        <v>Completar cadastro</v>
      </c>
      <c r="R143" s="10" t="str">
        <f aca="false">INDEX(Parâmetros!$D$39:$D$43,MATCH(P143,Parâmetros!$A$39:$A$43,0))</f>
        <v>Cadência padrão</v>
      </c>
    </row>
    <row r="144" customFormat="false" ht="15" hidden="false" customHeight="false" outlineLevel="0" collapsed="false">
      <c r="A144" s="10" t="s">
        <v>336</v>
      </c>
      <c r="B144" s="10" t="s">
        <v>97</v>
      </c>
      <c r="C144" s="10" t="s">
        <v>92</v>
      </c>
      <c r="D144" s="10" t="s">
        <v>160</v>
      </c>
      <c r="E144" s="10" t="s">
        <v>50</v>
      </c>
      <c r="F144" s="10" t="s">
        <v>337</v>
      </c>
      <c r="G144" s="10" t="s">
        <v>162</v>
      </c>
      <c r="H144" s="30" t="n">
        <v>42989</v>
      </c>
      <c r="I144" s="8" t="n">
        <f aca="false">INDEX(Parâmetros!$C$13:$C$19,MATCH(E144,Parâmetros!$A$13:$A$19,0))</f>
        <v>1096</v>
      </c>
      <c r="J144" s="26" t="n">
        <f aca="false">IF(H144="","",Parâmetros!$B$5-H144)</f>
        <v>111</v>
      </c>
      <c r="K144" s="10" t="n">
        <f aca="false">INDEX(Parâmetros!$D$13:$D$19,MATCH(E144,Parâmetros!$A$13:$A$19,0))</f>
        <v>29</v>
      </c>
      <c r="L144" s="26" t="n">
        <f aca="false">IF(G144="Prospecting",Parâmetros!$B$9,IF(J144&gt;Parâmetros!$B$6,0,INDEX(Parâmetros!$C$24:$C$26,MATCH(J144,Parâmetros!$A$24:$A$26,1))))</f>
        <v>40</v>
      </c>
      <c r="M144" s="31" t="n">
        <f aca="false">IF(G144="Prospecting",1,INDEX(Parâmetros!$C$32:$C$35,MATCH(J144,Parâmetros!$A$32:$A$35,1)))</f>
        <v>1</v>
      </c>
      <c r="N144" s="2" t="n">
        <f aca="false">ROUND((K144+L144)*M144,0)</f>
        <v>69</v>
      </c>
      <c r="O144" s="10" t="str">
        <f aca="false">IF(AND(G144="Engaging",J144&gt;Parâmetros!$B$6),"Sim","Não")</f>
        <v>Não</v>
      </c>
      <c r="P144" s="32" t="str">
        <f aca="false">IF(O144="Sim","R",IF(N144&gt;=Parâmetros!$B$39,"A",IF(N144&gt;=Parâmetros!$B$40,"B",IF(N144&gt;=Parâmetros!$B$41,"C","D"))))</f>
        <v>B</v>
      </c>
      <c r="Q144" s="10" t="str">
        <f aca="false">IF(F144="","Completar cadastro","")</f>
        <v/>
      </c>
      <c r="R144" s="10" t="str">
        <f aca="false">INDEX(Parâmetros!$D$39:$D$43,MATCH(P144,Parâmetros!$A$39:$A$43,0))</f>
        <v>Cadência padrão</v>
      </c>
    </row>
    <row r="145" customFormat="false" ht="15" hidden="false" customHeight="false" outlineLevel="0" collapsed="false">
      <c r="A145" s="10" t="s">
        <v>338</v>
      </c>
      <c r="B145" s="10" t="s">
        <v>70</v>
      </c>
      <c r="C145" s="10" t="s">
        <v>65</v>
      </c>
      <c r="D145" s="10" t="s">
        <v>160</v>
      </c>
      <c r="E145" s="10" t="s">
        <v>50</v>
      </c>
      <c r="F145" s="10" t="s">
        <v>303</v>
      </c>
      <c r="G145" s="10" t="s">
        <v>162</v>
      </c>
      <c r="H145" s="30" t="n">
        <v>42990</v>
      </c>
      <c r="I145" s="8" t="n">
        <f aca="false">INDEX(Parâmetros!$C$13:$C$19,MATCH(E145,Parâmetros!$A$13:$A$19,0))</f>
        <v>1096</v>
      </c>
      <c r="J145" s="26" t="n">
        <f aca="false">IF(H145="","",Parâmetros!$B$5-H145)</f>
        <v>110</v>
      </c>
      <c r="K145" s="10" t="n">
        <f aca="false">INDEX(Parâmetros!$D$13:$D$19,MATCH(E145,Parâmetros!$A$13:$A$19,0))</f>
        <v>29</v>
      </c>
      <c r="L145" s="26" t="n">
        <f aca="false">IF(G145="Prospecting",Parâmetros!$B$9,IF(J145&gt;Parâmetros!$B$6,0,INDEX(Parâmetros!$C$24:$C$26,MATCH(J145,Parâmetros!$A$24:$A$26,1))))</f>
        <v>40</v>
      </c>
      <c r="M145" s="31" t="n">
        <f aca="false">IF(G145="Prospecting",1,INDEX(Parâmetros!$C$32:$C$35,MATCH(J145,Parâmetros!$A$32:$A$35,1)))</f>
        <v>1</v>
      </c>
      <c r="N145" s="2" t="n">
        <f aca="false">ROUND((K145+L145)*M145,0)</f>
        <v>69</v>
      </c>
      <c r="O145" s="10" t="str">
        <f aca="false">IF(AND(G145="Engaging",J145&gt;Parâmetros!$B$6),"Sim","Não")</f>
        <v>Não</v>
      </c>
      <c r="P145" s="32" t="str">
        <f aca="false">IF(O145="Sim","R",IF(N145&gt;=Parâmetros!$B$39,"A",IF(N145&gt;=Parâmetros!$B$40,"B",IF(N145&gt;=Parâmetros!$B$41,"C","D"))))</f>
        <v>B</v>
      </c>
      <c r="Q145" s="10" t="str">
        <f aca="false">IF(F145="","Completar cadastro","")</f>
        <v/>
      </c>
      <c r="R145" s="10" t="str">
        <f aca="false">INDEX(Parâmetros!$D$39:$D$43,MATCH(P145,Parâmetros!$A$39:$A$43,0))</f>
        <v>Cadência padrão</v>
      </c>
    </row>
    <row r="146" customFormat="false" ht="15" hidden="false" customHeight="false" outlineLevel="0" collapsed="false">
      <c r="A146" s="10" t="s">
        <v>339</v>
      </c>
      <c r="B146" s="10" t="s">
        <v>86</v>
      </c>
      <c r="C146" s="10" t="s">
        <v>85</v>
      </c>
      <c r="D146" s="10" t="s">
        <v>165</v>
      </c>
      <c r="E146" s="10" t="s">
        <v>50</v>
      </c>
      <c r="F146" s="10"/>
      <c r="G146" s="10" t="s">
        <v>162</v>
      </c>
      <c r="H146" s="30" t="n">
        <v>42991</v>
      </c>
      <c r="I146" s="8" t="n">
        <f aca="false">INDEX(Parâmetros!$C$13:$C$19,MATCH(E146,Parâmetros!$A$13:$A$19,0))</f>
        <v>1096</v>
      </c>
      <c r="J146" s="26" t="n">
        <f aca="false">IF(H146="","",Parâmetros!$B$5-H146)</f>
        <v>109</v>
      </c>
      <c r="K146" s="10" t="n">
        <f aca="false">INDEX(Parâmetros!$D$13:$D$19,MATCH(E146,Parâmetros!$A$13:$A$19,0))</f>
        <v>29</v>
      </c>
      <c r="L146" s="26" t="n">
        <f aca="false">IF(G146="Prospecting",Parâmetros!$B$9,IF(J146&gt;Parâmetros!$B$6,0,INDEX(Parâmetros!$C$24:$C$26,MATCH(J146,Parâmetros!$A$24:$A$26,1))))</f>
        <v>40</v>
      </c>
      <c r="M146" s="31" t="n">
        <f aca="false">IF(G146="Prospecting",1,INDEX(Parâmetros!$C$32:$C$35,MATCH(J146,Parâmetros!$A$32:$A$35,1)))</f>
        <v>1</v>
      </c>
      <c r="N146" s="2" t="n">
        <f aca="false">ROUND((K146+L146)*M146,0)</f>
        <v>69</v>
      </c>
      <c r="O146" s="10" t="str">
        <f aca="false">IF(AND(G146="Engaging",J146&gt;Parâmetros!$B$6),"Sim","Não")</f>
        <v>Não</v>
      </c>
      <c r="P146" s="32" t="str">
        <f aca="false">IF(O146="Sim","R",IF(N146&gt;=Parâmetros!$B$39,"A",IF(N146&gt;=Parâmetros!$B$40,"B",IF(N146&gt;=Parâmetros!$B$41,"C","D"))))</f>
        <v>B</v>
      </c>
      <c r="Q146" s="10" t="str">
        <f aca="false">IF(F146="","Completar cadastro","")</f>
        <v>Completar cadastro</v>
      </c>
      <c r="R146" s="10" t="str">
        <f aca="false">INDEX(Parâmetros!$D$39:$D$43,MATCH(P146,Parâmetros!$A$39:$A$43,0))</f>
        <v>Cadência padrão</v>
      </c>
    </row>
    <row r="147" customFormat="false" ht="15" hidden="false" customHeight="false" outlineLevel="0" collapsed="false">
      <c r="A147" s="10" t="s">
        <v>340</v>
      </c>
      <c r="B147" s="10" t="s">
        <v>96</v>
      </c>
      <c r="C147" s="10" t="s">
        <v>92</v>
      </c>
      <c r="D147" s="10" t="s">
        <v>160</v>
      </c>
      <c r="E147" s="10" t="s">
        <v>50</v>
      </c>
      <c r="F147" s="10"/>
      <c r="G147" s="10" t="s">
        <v>162</v>
      </c>
      <c r="H147" s="30" t="n">
        <v>42993</v>
      </c>
      <c r="I147" s="8" t="n">
        <f aca="false">INDEX(Parâmetros!$C$13:$C$19,MATCH(E147,Parâmetros!$A$13:$A$19,0))</f>
        <v>1096</v>
      </c>
      <c r="J147" s="26" t="n">
        <f aca="false">IF(H147="","",Parâmetros!$B$5-H147)</f>
        <v>107</v>
      </c>
      <c r="K147" s="10" t="n">
        <f aca="false">INDEX(Parâmetros!$D$13:$D$19,MATCH(E147,Parâmetros!$A$13:$A$19,0))</f>
        <v>29</v>
      </c>
      <c r="L147" s="26" t="n">
        <f aca="false">IF(G147="Prospecting",Parâmetros!$B$9,IF(J147&gt;Parâmetros!$B$6,0,INDEX(Parâmetros!$C$24:$C$26,MATCH(J147,Parâmetros!$A$24:$A$26,1))))</f>
        <v>40</v>
      </c>
      <c r="M147" s="31" t="n">
        <f aca="false">IF(G147="Prospecting",1,INDEX(Parâmetros!$C$32:$C$35,MATCH(J147,Parâmetros!$A$32:$A$35,1)))</f>
        <v>1</v>
      </c>
      <c r="N147" s="2" t="n">
        <f aca="false">ROUND((K147+L147)*M147,0)</f>
        <v>69</v>
      </c>
      <c r="O147" s="10" t="str">
        <f aca="false">IF(AND(G147="Engaging",J147&gt;Parâmetros!$B$6),"Sim","Não")</f>
        <v>Não</v>
      </c>
      <c r="P147" s="32" t="str">
        <f aca="false">IF(O147="Sim","R",IF(N147&gt;=Parâmetros!$B$39,"A",IF(N147&gt;=Parâmetros!$B$40,"B",IF(N147&gt;=Parâmetros!$B$41,"C","D"))))</f>
        <v>B</v>
      </c>
      <c r="Q147" s="10" t="str">
        <f aca="false">IF(F147="","Completar cadastro","")</f>
        <v>Completar cadastro</v>
      </c>
      <c r="R147" s="10" t="str">
        <f aca="false">INDEX(Parâmetros!$D$39:$D$43,MATCH(P147,Parâmetros!$A$39:$A$43,0))</f>
        <v>Cadência padrão</v>
      </c>
    </row>
    <row r="148" customFormat="false" ht="15" hidden="false" customHeight="false" outlineLevel="0" collapsed="false">
      <c r="A148" s="10" t="s">
        <v>341</v>
      </c>
      <c r="B148" s="10" t="s">
        <v>84</v>
      </c>
      <c r="C148" s="10" t="s">
        <v>85</v>
      </c>
      <c r="D148" s="10" t="s">
        <v>165</v>
      </c>
      <c r="E148" s="10" t="s">
        <v>50</v>
      </c>
      <c r="F148" s="10"/>
      <c r="G148" s="10" t="s">
        <v>162</v>
      </c>
      <c r="H148" s="30" t="n">
        <v>42995</v>
      </c>
      <c r="I148" s="8" t="n">
        <f aca="false">INDEX(Parâmetros!$C$13:$C$19,MATCH(E148,Parâmetros!$A$13:$A$19,0))</f>
        <v>1096</v>
      </c>
      <c r="J148" s="26" t="n">
        <f aca="false">IF(H148="","",Parâmetros!$B$5-H148)</f>
        <v>105</v>
      </c>
      <c r="K148" s="10" t="n">
        <f aca="false">INDEX(Parâmetros!$D$13:$D$19,MATCH(E148,Parâmetros!$A$13:$A$19,0))</f>
        <v>29</v>
      </c>
      <c r="L148" s="26" t="n">
        <f aca="false">IF(G148="Prospecting",Parâmetros!$B$9,IF(J148&gt;Parâmetros!$B$6,0,INDEX(Parâmetros!$C$24:$C$26,MATCH(J148,Parâmetros!$A$24:$A$26,1))))</f>
        <v>40</v>
      </c>
      <c r="M148" s="31" t="n">
        <f aca="false">IF(G148="Prospecting",1,INDEX(Parâmetros!$C$32:$C$35,MATCH(J148,Parâmetros!$A$32:$A$35,1)))</f>
        <v>1</v>
      </c>
      <c r="N148" s="2" t="n">
        <f aca="false">ROUND((K148+L148)*M148,0)</f>
        <v>69</v>
      </c>
      <c r="O148" s="10" t="str">
        <f aca="false">IF(AND(G148="Engaging",J148&gt;Parâmetros!$B$6),"Sim","Não")</f>
        <v>Não</v>
      </c>
      <c r="P148" s="32" t="str">
        <f aca="false">IF(O148="Sim","R",IF(N148&gt;=Parâmetros!$B$39,"A",IF(N148&gt;=Parâmetros!$B$40,"B",IF(N148&gt;=Parâmetros!$B$41,"C","D"))))</f>
        <v>B</v>
      </c>
      <c r="Q148" s="10" t="str">
        <f aca="false">IF(F148="","Completar cadastro","")</f>
        <v>Completar cadastro</v>
      </c>
      <c r="R148" s="10" t="str">
        <f aca="false">INDEX(Parâmetros!$D$39:$D$43,MATCH(P148,Parâmetros!$A$39:$A$43,0))</f>
        <v>Cadência padrão</v>
      </c>
    </row>
    <row r="149" customFormat="false" ht="15" hidden="false" customHeight="false" outlineLevel="0" collapsed="false">
      <c r="A149" s="10" t="s">
        <v>342</v>
      </c>
      <c r="B149" s="10" t="s">
        <v>96</v>
      </c>
      <c r="C149" s="10" t="s">
        <v>92</v>
      </c>
      <c r="D149" s="10" t="s">
        <v>160</v>
      </c>
      <c r="E149" s="10" t="s">
        <v>50</v>
      </c>
      <c r="F149" s="10"/>
      <c r="G149" s="10" t="s">
        <v>162</v>
      </c>
      <c r="H149" s="30" t="n">
        <v>42997</v>
      </c>
      <c r="I149" s="8" t="n">
        <f aca="false">INDEX(Parâmetros!$C$13:$C$19,MATCH(E149,Parâmetros!$A$13:$A$19,0))</f>
        <v>1096</v>
      </c>
      <c r="J149" s="26" t="n">
        <f aca="false">IF(H149="","",Parâmetros!$B$5-H149)</f>
        <v>103</v>
      </c>
      <c r="K149" s="10" t="n">
        <f aca="false">INDEX(Parâmetros!$D$13:$D$19,MATCH(E149,Parâmetros!$A$13:$A$19,0))</f>
        <v>29</v>
      </c>
      <c r="L149" s="26" t="n">
        <f aca="false">IF(G149="Prospecting",Parâmetros!$B$9,IF(J149&gt;Parâmetros!$B$6,0,INDEX(Parâmetros!$C$24:$C$26,MATCH(J149,Parâmetros!$A$24:$A$26,1))))</f>
        <v>40</v>
      </c>
      <c r="M149" s="31" t="n">
        <f aca="false">IF(G149="Prospecting",1,INDEX(Parâmetros!$C$32:$C$35,MATCH(J149,Parâmetros!$A$32:$A$35,1)))</f>
        <v>1</v>
      </c>
      <c r="N149" s="2" t="n">
        <f aca="false">ROUND((K149+L149)*M149,0)</f>
        <v>69</v>
      </c>
      <c r="O149" s="10" t="str">
        <f aca="false">IF(AND(G149="Engaging",J149&gt;Parâmetros!$B$6),"Sim","Não")</f>
        <v>Não</v>
      </c>
      <c r="P149" s="32" t="str">
        <f aca="false">IF(O149="Sim","R",IF(N149&gt;=Parâmetros!$B$39,"A",IF(N149&gt;=Parâmetros!$B$40,"B",IF(N149&gt;=Parâmetros!$B$41,"C","D"))))</f>
        <v>B</v>
      </c>
      <c r="Q149" s="10" t="str">
        <f aca="false">IF(F149="","Completar cadastro","")</f>
        <v>Completar cadastro</v>
      </c>
      <c r="R149" s="10" t="str">
        <f aca="false">INDEX(Parâmetros!$D$39:$D$43,MATCH(P149,Parâmetros!$A$39:$A$43,0))</f>
        <v>Cadência padrão</v>
      </c>
    </row>
    <row r="150" customFormat="false" ht="15" hidden="false" customHeight="false" outlineLevel="0" collapsed="false">
      <c r="A150" s="10" t="s">
        <v>343</v>
      </c>
      <c r="B150" s="10" t="s">
        <v>69</v>
      </c>
      <c r="C150" s="10" t="s">
        <v>65</v>
      </c>
      <c r="D150" s="10" t="s">
        <v>160</v>
      </c>
      <c r="E150" s="10" t="s">
        <v>50</v>
      </c>
      <c r="F150" s="10" t="s">
        <v>344</v>
      </c>
      <c r="G150" s="10" t="s">
        <v>162</v>
      </c>
      <c r="H150" s="30" t="n">
        <v>42998</v>
      </c>
      <c r="I150" s="8" t="n">
        <f aca="false">INDEX(Parâmetros!$C$13:$C$19,MATCH(E150,Parâmetros!$A$13:$A$19,0))</f>
        <v>1096</v>
      </c>
      <c r="J150" s="26" t="n">
        <f aca="false">IF(H150="","",Parâmetros!$B$5-H150)</f>
        <v>102</v>
      </c>
      <c r="K150" s="10" t="n">
        <f aca="false">INDEX(Parâmetros!$D$13:$D$19,MATCH(E150,Parâmetros!$A$13:$A$19,0))</f>
        <v>29</v>
      </c>
      <c r="L150" s="26" t="n">
        <f aca="false">IF(G150="Prospecting",Parâmetros!$B$9,IF(J150&gt;Parâmetros!$B$6,0,INDEX(Parâmetros!$C$24:$C$26,MATCH(J150,Parâmetros!$A$24:$A$26,1))))</f>
        <v>40</v>
      </c>
      <c r="M150" s="31" t="n">
        <f aca="false">IF(G150="Prospecting",1,INDEX(Parâmetros!$C$32:$C$35,MATCH(J150,Parâmetros!$A$32:$A$35,1)))</f>
        <v>1</v>
      </c>
      <c r="N150" s="2" t="n">
        <f aca="false">ROUND((K150+L150)*M150,0)</f>
        <v>69</v>
      </c>
      <c r="O150" s="10" t="str">
        <f aca="false">IF(AND(G150="Engaging",J150&gt;Parâmetros!$B$6),"Sim","Não")</f>
        <v>Não</v>
      </c>
      <c r="P150" s="32" t="str">
        <f aca="false">IF(O150="Sim","R",IF(N150&gt;=Parâmetros!$B$39,"A",IF(N150&gt;=Parâmetros!$B$40,"B",IF(N150&gt;=Parâmetros!$B$41,"C","D"))))</f>
        <v>B</v>
      </c>
      <c r="Q150" s="10" t="str">
        <f aca="false">IF(F150="","Completar cadastro","")</f>
        <v/>
      </c>
      <c r="R150" s="10" t="str">
        <f aca="false">INDEX(Parâmetros!$D$39:$D$43,MATCH(P150,Parâmetros!$A$39:$A$43,0))</f>
        <v>Cadência padrão</v>
      </c>
    </row>
    <row r="151" customFormat="false" ht="15" hidden="false" customHeight="false" outlineLevel="0" collapsed="false">
      <c r="A151" s="10" t="s">
        <v>345</v>
      </c>
      <c r="B151" s="10" t="s">
        <v>68</v>
      </c>
      <c r="C151" s="10" t="s">
        <v>65</v>
      </c>
      <c r="D151" s="10" t="s">
        <v>160</v>
      </c>
      <c r="E151" s="10" t="s">
        <v>50</v>
      </c>
      <c r="F151" s="10"/>
      <c r="G151" s="10" t="s">
        <v>162</v>
      </c>
      <c r="H151" s="30" t="n">
        <v>43004</v>
      </c>
      <c r="I151" s="8" t="n">
        <f aca="false">INDEX(Parâmetros!$C$13:$C$19,MATCH(E151,Parâmetros!$A$13:$A$19,0))</f>
        <v>1096</v>
      </c>
      <c r="J151" s="26" t="n">
        <f aca="false">IF(H151="","",Parâmetros!$B$5-H151)</f>
        <v>96</v>
      </c>
      <c r="K151" s="10" t="n">
        <f aca="false">INDEX(Parâmetros!$D$13:$D$19,MATCH(E151,Parâmetros!$A$13:$A$19,0))</f>
        <v>29</v>
      </c>
      <c r="L151" s="26" t="n">
        <f aca="false">IF(G151="Prospecting",Parâmetros!$B$9,IF(J151&gt;Parâmetros!$B$6,0,INDEX(Parâmetros!$C$24:$C$26,MATCH(J151,Parâmetros!$A$24:$A$26,1))))</f>
        <v>40</v>
      </c>
      <c r="M151" s="31" t="n">
        <f aca="false">IF(G151="Prospecting",1,INDEX(Parâmetros!$C$32:$C$35,MATCH(J151,Parâmetros!$A$32:$A$35,1)))</f>
        <v>1</v>
      </c>
      <c r="N151" s="2" t="n">
        <f aca="false">ROUND((K151+L151)*M151,0)</f>
        <v>69</v>
      </c>
      <c r="O151" s="10" t="str">
        <f aca="false">IF(AND(G151="Engaging",J151&gt;Parâmetros!$B$6),"Sim","Não")</f>
        <v>Não</v>
      </c>
      <c r="P151" s="32" t="str">
        <f aca="false">IF(O151="Sim","R",IF(N151&gt;=Parâmetros!$B$39,"A",IF(N151&gt;=Parâmetros!$B$40,"B",IF(N151&gt;=Parâmetros!$B$41,"C","D"))))</f>
        <v>B</v>
      </c>
      <c r="Q151" s="10" t="str">
        <f aca="false">IF(F151="","Completar cadastro","")</f>
        <v>Completar cadastro</v>
      </c>
      <c r="R151" s="10" t="str">
        <f aca="false">INDEX(Parâmetros!$D$39:$D$43,MATCH(P151,Parâmetros!$A$39:$A$43,0))</f>
        <v>Cadência padrão</v>
      </c>
    </row>
    <row r="152" customFormat="false" ht="15" hidden="false" customHeight="false" outlineLevel="0" collapsed="false">
      <c r="A152" s="10" t="s">
        <v>346</v>
      </c>
      <c r="B152" s="10" t="s">
        <v>87</v>
      </c>
      <c r="C152" s="10" t="s">
        <v>85</v>
      </c>
      <c r="D152" s="10" t="s">
        <v>165</v>
      </c>
      <c r="E152" s="10" t="s">
        <v>50</v>
      </c>
      <c r="F152" s="10"/>
      <c r="G152" s="10" t="s">
        <v>162</v>
      </c>
      <c r="H152" s="30" t="n">
        <v>43007</v>
      </c>
      <c r="I152" s="8" t="n">
        <f aca="false">INDEX(Parâmetros!$C$13:$C$19,MATCH(E152,Parâmetros!$A$13:$A$19,0))</f>
        <v>1096</v>
      </c>
      <c r="J152" s="26" t="n">
        <f aca="false">IF(H152="","",Parâmetros!$B$5-H152)</f>
        <v>93</v>
      </c>
      <c r="K152" s="10" t="n">
        <f aca="false">INDEX(Parâmetros!$D$13:$D$19,MATCH(E152,Parâmetros!$A$13:$A$19,0))</f>
        <v>29</v>
      </c>
      <c r="L152" s="26" t="n">
        <f aca="false">IF(G152="Prospecting",Parâmetros!$B$9,IF(J152&gt;Parâmetros!$B$6,0,INDEX(Parâmetros!$C$24:$C$26,MATCH(J152,Parâmetros!$A$24:$A$26,1))))</f>
        <v>40</v>
      </c>
      <c r="M152" s="31" t="n">
        <f aca="false">IF(G152="Prospecting",1,INDEX(Parâmetros!$C$32:$C$35,MATCH(J152,Parâmetros!$A$32:$A$35,1)))</f>
        <v>1</v>
      </c>
      <c r="N152" s="2" t="n">
        <f aca="false">ROUND((K152+L152)*M152,0)</f>
        <v>69</v>
      </c>
      <c r="O152" s="10" t="str">
        <f aca="false">IF(AND(G152="Engaging",J152&gt;Parâmetros!$B$6),"Sim","Não")</f>
        <v>Não</v>
      </c>
      <c r="P152" s="32" t="str">
        <f aca="false">IF(O152="Sim","R",IF(N152&gt;=Parâmetros!$B$39,"A",IF(N152&gt;=Parâmetros!$B$40,"B",IF(N152&gt;=Parâmetros!$B$41,"C","D"))))</f>
        <v>B</v>
      </c>
      <c r="Q152" s="10" t="str">
        <f aca="false">IF(F152="","Completar cadastro","")</f>
        <v>Completar cadastro</v>
      </c>
      <c r="R152" s="10" t="str">
        <f aca="false">INDEX(Parâmetros!$D$39:$D$43,MATCH(P152,Parâmetros!$A$39:$A$43,0))</f>
        <v>Cadência padrão</v>
      </c>
    </row>
    <row r="153" customFormat="false" ht="15" hidden="false" customHeight="false" outlineLevel="0" collapsed="false">
      <c r="A153" s="10" t="s">
        <v>347</v>
      </c>
      <c r="B153" s="10" t="s">
        <v>86</v>
      </c>
      <c r="C153" s="10" t="s">
        <v>85</v>
      </c>
      <c r="D153" s="10" t="s">
        <v>165</v>
      </c>
      <c r="E153" s="10" t="s">
        <v>50</v>
      </c>
      <c r="F153" s="10" t="s">
        <v>348</v>
      </c>
      <c r="G153" s="10" t="s">
        <v>162</v>
      </c>
      <c r="H153" s="30" t="n">
        <v>43009</v>
      </c>
      <c r="I153" s="8" t="n">
        <f aca="false">INDEX(Parâmetros!$C$13:$C$19,MATCH(E153,Parâmetros!$A$13:$A$19,0))</f>
        <v>1096</v>
      </c>
      <c r="J153" s="26" t="n">
        <f aca="false">IF(H153="","",Parâmetros!$B$5-H153)</f>
        <v>91</v>
      </c>
      <c r="K153" s="10" t="n">
        <f aca="false">INDEX(Parâmetros!$D$13:$D$19,MATCH(E153,Parâmetros!$A$13:$A$19,0))</f>
        <v>29</v>
      </c>
      <c r="L153" s="26" t="n">
        <f aca="false">IF(G153="Prospecting",Parâmetros!$B$9,IF(J153&gt;Parâmetros!$B$6,0,INDEX(Parâmetros!$C$24:$C$26,MATCH(J153,Parâmetros!$A$24:$A$26,1))))</f>
        <v>40</v>
      </c>
      <c r="M153" s="31" t="n">
        <f aca="false">IF(G153="Prospecting",1,INDEX(Parâmetros!$C$32:$C$35,MATCH(J153,Parâmetros!$A$32:$A$35,1)))</f>
        <v>1</v>
      </c>
      <c r="N153" s="2" t="n">
        <f aca="false">ROUND((K153+L153)*M153,0)</f>
        <v>69</v>
      </c>
      <c r="O153" s="10" t="str">
        <f aca="false">IF(AND(G153="Engaging",J153&gt;Parâmetros!$B$6),"Sim","Não")</f>
        <v>Não</v>
      </c>
      <c r="P153" s="32" t="str">
        <f aca="false">IF(O153="Sim","R",IF(N153&gt;=Parâmetros!$B$39,"A",IF(N153&gt;=Parâmetros!$B$40,"B",IF(N153&gt;=Parâmetros!$B$41,"C","D"))))</f>
        <v>B</v>
      </c>
      <c r="Q153" s="10" t="str">
        <f aca="false">IF(F153="","Completar cadastro","")</f>
        <v/>
      </c>
      <c r="R153" s="10" t="str">
        <f aca="false">INDEX(Parâmetros!$D$39:$D$43,MATCH(P153,Parâmetros!$A$39:$A$43,0))</f>
        <v>Cadência padrão</v>
      </c>
    </row>
    <row r="154" customFormat="false" ht="15" hidden="false" customHeight="false" outlineLevel="0" collapsed="false">
      <c r="A154" s="10" t="s">
        <v>349</v>
      </c>
      <c r="B154" s="10" t="s">
        <v>87</v>
      </c>
      <c r="C154" s="10" t="s">
        <v>85</v>
      </c>
      <c r="D154" s="10" t="s">
        <v>165</v>
      </c>
      <c r="E154" s="10" t="s">
        <v>50</v>
      </c>
      <c r="F154" s="10" t="s">
        <v>350</v>
      </c>
      <c r="G154" s="10" t="s">
        <v>162</v>
      </c>
      <c r="H154" s="30" t="n">
        <v>43009</v>
      </c>
      <c r="I154" s="8" t="n">
        <f aca="false">INDEX(Parâmetros!$C$13:$C$19,MATCH(E154,Parâmetros!$A$13:$A$19,0))</f>
        <v>1096</v>
      </c>
      <c r="J154" s="26" t="n">
        <f aca="false">IF(H154="","",Parâmetros!$B$5-H154)</f>
        <v>91</v>
      </c>
      <c r="K154" s="10" t="n">
        <f aca="false">INDEX(Parâmetros!$D$13:$D$19,MATCH(E154,Parâmetros!$A$13:$A$19,0))</f>
        <v>29</v>
      </c>
      <c r="L154" s="26" t="n">
        <f aca="false">IF(G154="Prospecting",Parâmetros!$B$9,IF(J154&gt;Parâmetros!$B$6,0,INDEX(Parâmetros!$C$24:$C$26,MATCH(J154,Parâmetros!$A$24:$A$26,1))))</f>
        <v>40</v>
      </c>
      <c r="M154" s="31" t="n">
        <f aca="false">IF(G154="Prospecting",1,INDEX(Parâmetros!$C$32:$C$35,MATCH(J154,Parâmetros!$A$32:$A$35,1)))</f>
        <v>1</v>
      </c>
      <c r="N154" s="2" t="n">
        <f aca="false">ROUND((K154+L154)*M154,0)</f>
        <v>69</v>
      </c>
      <c r="O154" s="10" t="str">
        <f aca="false">IF(AND(G154="Engaging",J154&gt;Parâmetros!$B$6),"Sim","Não")</f>
        <v>Não</v>
      </c>
      <c r="P154" s="32" t="str">
        <f aca="false">IF(O154="Sim","R",IF(N154&gt;=Parâmetros!$B$39,"A",IF(N154&gt;=Parâmetros!$B$40,"B",IF(N154&gt;=Parâmetros!$B$41,"C","D"))))</f>
        <v>B</v>
      </c>
      <c r="Q154" s="10" t="str">
        <f aca="false">IF(F154="","Completar cadastro","")</f>
        <v/>
      </c>
      <c r="R154" s="10" t="str">
        <f aca="false">INDEX(Parâmetros!$D$39:$D$43,MATCH(P154,Parâmetros!$A$39:$A$43,0))</f>
        <v>Cadência padrão</v>
      </c>
    </row>
    <row r="155" customFormat="false" ht="15" hidden="false" customHeight="false" outlineLevel="0" collapsed="false">
      <c r="A155" s="10" t="s">
        <v>351</v>
      </c>
      <c r="B155" s="10" t="s">
        <v>86</v>
      </c>
      <c r="C155" s="10" t="s">
        <v>85</v>
      </c>
      <c r="D155" s="10" t="s">
        <v>165</v>
      </c>
      <c r="E155" s="10" t="s">
        <v>47</v>
      </c>
      <c r="F155" s="10"/>
      <c r="G155" s="10" t="s">
        <v>162</v>
      </c>
      <c r="H155" s="30" t="n">
        <v>43090</v>
      </c>
      <c r="I155" s="8" t="n">
        <f aca="false">INDEX(Parâmetros!$C$13:$C$19,MATCH(E155,Parâmetros!$A$13:$A$19,0))</f>
        <v>5482</v>
      </c>
      <c r="J155" s="26" t="n">
        <f aca="false">IF(H155="","",Parâmetros!$B$5-H155)</f>
        <v>10</v>
      </c>
      <c r="K155" s="10" t="n">
        <f aca="false">INDEX(Parâmetros!$D$13:$D$19,MATCH(E155,Parâmetros!$A$13:$A$19,0))</f>
        <v>45</v>
      </c>
      <c r="L155" s="26" t="n">
        <f aca="false">IF(G155="Prospecting",Parâmetros!$B$9,IF(J155&gt;Parâmetros!$B$6,0,INDEX(Parâmetros!$C$24:$C$26,MATCH(J155,Parâmetros!$A$24:$A$26,1))))</f>
        <v>20</v>
      </c>
      <c r="M155" s="31" t="n">
        <f aca="false">IF(G155="Prospecting",1,INDEX(Parâmetros!$C$32:$C$35,MATCH(J155,Parâmetros!$A$32:$A$35,1)))</f>
        <v>1</v>
      </c>
      <c r="N155" s="2" t="n">
        <f aca="false">ROUND((K155+L155)*M155,0)</f>
        <v>65</v>
      </c>
      <c r="O155" s="10" t="str">
        <f aca="false">IF(AND(G155="Engaging",J155&gt;Parâmetros!$B$6),"Sim","Não")</f>
        <v>Não</v>
      </c>
      <c r="P155" s="32" t="str">
        <f aca="false">IF(O155="Sim","R",IF(N155&gt;=Parâmetros!$B$39,"A",IF(N155&gt;=Parâmetros!$B$40,"B",IF(N155&gt;=Parâmetros!$B$41,"C","D"))))</f>
        <v>B</v>
      </c>
      <c r="Q155" s="10" t="str">
        <f aca="false">IF(F155="","Completar cadastro","")</f>
        <v>Completar cadastro</v>
      </c>
      <c r="R155" s="10" t="str">
        <f aca="false">INDEX(Parâmetros!$D$39:$D$43,MATCH(P155,Parâmetros!$A$39:$A$43,0))</f>
        <v>Cadência padrão</v>
      </c>
    </row>
    <row r="156" customFormat="false" ht="15" hidden="false" customHeight="false" outlineLevel="0" collapsed="false">
      <c r="A156" s="10" t="s">
        <v>352</v>
      </c>
      <c r="B156" s="10" t="s">
        <v>95</v>
      </c>
      <c r="C156" s="10" t="s">
        <v>92</v>
      </c>
      <c r="D156" s="10" t="s">
        <v>160</v>
      </c>
      <c r="E156" s="10" t="s">
        <v>48</v>
      </c>
      <c r="F156" s="10" t="s">
        <v>353</v>
      </c>
      <c r="G156" s="10" t="s">
        <v>162</v>
      </c>
      <c r="H156" s="30" t="n">
        <v>43086</v>
      </c>
      <c r="I156" s="8" t="n">
        <f aca="false">INDEX(Parâmetros!$C$13:$C$19,MATCH(E156,Parâmetros!$A$13:$A$19,0))</f>
        <v>4821</v>
      </c>
      <c r="J156" s="26" t="n">
        <f aca="false">IF(H156="","",Parâmetros!$B$5-H156)</f>
        <v>14</v>
      </c>
      <c r="K156" s="10" t="n">
        <f aca="false">INDEX(Parâmetros!$D$13:$D$19,MATCH(E156,Parâmetros!$A$13:$A$19,0))</f>
        <v>43</v>
      </c>
      <c r="L156" s="26" t="n">
        <f aca="false">IF(G156="Prospecting",Parâmetros!$B$9,IF(J156&gt;Parâmetros!$B$6,0,INDEX(Parâmetros!$C$24:$C$26,MATCH(J156,Parâmetros!$A$24:$A$26,1))))</f>
        <v>20</v>
      </c>
      <c r="M156" s="31" t="n">
        <f aca="false">IF(G156="Prospecting",1,INDEX(Parâmetros!$C$32:$C$35,MATCH(J156,Parâmetros!$A$32:$A$35,1)))</f>
        <v>1</v>
      </c>
      <c r="N156" s="2" t="n">
        <f aca="false">ROUND((K156+L156)*M156,0)</f>
        <v>63</v>
      </c>
      <c r="O156" s="10" t="str">
        <f aca="false">IF(AND(G156="Engaging",J156&gt;Parâmetros!$B$6),"Sim","Não")</f>
        <v>Não</v>
      </c>
      <c r="P156" s="32" t="str">
        <f aca="false">IF(O156="Sim","R",IF(N156&gt;=Parâmetros!$B$39,"A",IF(N156&gt;=Parâmetros!$B$40,"B",IF(N156&gt;=Parâmetros!$B$41,"C","D"))))</f>
        <v>B</v>
      </c>
      <c r="Q156" s="10" t="str">
        <f aca="false">IF(F156="","Completar cadastro","")</f>
        <v/>
      </c>
      <c r="R156" s="10" t="str">
        <f aca="false">INDEX(Parâmetros!$D$39:$D$43,MATCH(P156,Parâmetros!$A$39:$A$43,0))</f>
        <v>Cadência padrão</v>
      </c>
    </row>
    <row r="157" customFormat="false" ht="15" hidden="false" customHeight="false" outlineLevel="0" collapsed="false">
      <c r="A157" s="10" t="s">
        <v>354</v>
      </c>
      <c r="B157" s="10" t="s">
        <v>84</v>
      </c>
      <c r="C157" s="10" t="s">
        <v>85</v>
      </c>
      <c r="D157" s="10" t="s">
        <v>165</v>
      </c>
      <c r="E157" s="10" t="s">
        <v>48</v>
      </c>
      <c r="F157" s="10"/>
      <c r="G157" s="10" t="s">
        <v>162</v>
      </c>
      <c r="H157" s="30" t="n">
        <v>43088</v>
      </c>
      <c r="I157" s="8" t="n">
        <f aca="false">INDEX(Parâmetros!$C$13:$C$19,MATCH(E157,Parâmetros!$A$13:$A$19,0))</f>
        <v>4821</v>
      </c>
      <c r="J157" s="26" t="n">
        <f aca="false">IF(H157="","",Parâmetros!$B$5-H157)</f>
        <v>12</v>
      </c>
      <c r="K157" s="10" t="n">
        <f aca="false">INDEX(Parâmetros!$D$13:$D$19,MATCH(E157,Parâmetros!$A$13:$A$19,0))</f>
        <v>43</v>
      </c>
      <c r="L157" s="26" t="n">
        <f aca="false">IF(G157="Prospecting",Parâmetros!$B$9,IF(J157&gt;Parâmetros!$B$6,0,INDEX(Parâmetros!$C$24:$C$26,MATCH(J157,Parâmetros!$A$24:$A$26,1))))</f>
        <v>20</v>
      </c>
      <c r="M157" s="31" t="n">
        <f aca="false">IF(G157="Prospecting",1,INDEX(Parâmetros!$C$32:$C$35,MATCH(J157,Parâmetros!$A$32:$A$35,1)))</f>
        <v>1</v>
      </c>
      <c r="N157" s="2" t="n">
        <f aca="false">ROUND((K157+L157)*M157,0)</f>
        <v>63</v>
      </c>
      <c r="O157" s="10" t="str">
        <f aca="false">IF(AND(G157="Engaging",J157&gt;Parâmetros!$B$6),"Sim","Não")</f>
        <v>Não</v>
      </c>
      <c r="P157" s="32" t="str">
        <f aca="false">IF(O157="Sim","R",IF(N157&gt;=Parâmetros!$B$39,"A",IF(N157&gt;=Parâmetros!$B$40,"B",IF(N157&gt;=Parâmetros!$B$41,"C","D"))))</f>
        <v>B</v>
      </c>
      <c r="Q157" s="10" t="str">
        <f aca="false">IF(F157="","Completar cadastro","")</f>
        <v>Completar cadastro</v>
      </c>
      <c r="R157" s="10" t="str">
        <f aca="false">INDEX(Parâmetros!$D$39:$D$43,MATCH(P157,Parâmetros!$A$39:$A$43,0))</f>
        <v>Cadência padrão</v>
      </c>
    </row>
    <row r="158" customFormat="false" ht="15" hidden="false" customHeight="false" outlineLevel="0" collapsed="false">
      <c r="A158" s="10" t="s">
        <v>355</v>
      </c>
      <c r="B158" s="10" t="s">
        <v>74</v>
      </c>
      <c r="C158" s="10" t="s">
        <v>72</v>
      </c>
      <c r="D158" s="10" t="s">
        <v>196</v>
      </c>
      <c r="E158" s="10" t="s">
        <v>51</v>
      </c>
      <c r="F158" s="10"/>
      <c r="G158" s="10" t="s">
        <v>162</v>
      </c>
      <c r="H158" s="30" t="n">
        <v>42962</v>
      </c>
      <c r="I158" s="8" t="n">
        <f aca="false">INDEX(Parâmetros!$C$13:$C$19,MATCH(E158,Parâmetros!$A$13:$A$19,0))</f>
        <v>550</v>
      </c>
      <c r="J158" s="26" t="n">
        <f aca="false">IF(H158="","",Parâmetros!$B$5-H158)</f>
        <v>138</v>
      </c>
      <c r="K158" s="10" t="n">
        <f aca="false">INDEX(Parâmetros!$D$13:$D$19,MATCH(E158,Parâmetros!$A$13:$A$19,0))</f>
        <v>22</v>
      </c>
      <c r="L158" s="26" t="n">
        <f aca="false">IF(G158="Prospecting",Parâmetros!$B$9,IF(J158&gt;Parâmetros!$B$6,0,INDEX(Parâmetros!$C$24:$C$26,MATCH(J158,Parâmetros!$A$24:$A$26,1))))</f>
        <v>40</v>
      </c>
      <c r="M158" s="31" t="n">
        <f aca="false">IF(G158="Prospecting",1,INDEX(Parâmetros!$C$32:$C$35,MATCH(J158,Parâmetros!$A$32:$A$35,1)))</f>
        <v>1</v>
      </c>
      <c r="N158" s="2" t="n">
        <f aca="false">ROUND((K158+L158)*M158,0)</f>
        <v>62</v>
      </c>
      <c r="O158" s="10" t="str">
        <f aca="false">IF(AND(G158="Engaging",J158&gt;Parâmetros!$B$6),"Sim","Não")</f>
        <v>Não</v>
      </c>
      <c r="P158" s="32" t="str">
        <f aca="false">IF(O158="Sim","R",IF(N158&gt;=Parâmetros!$B$39,"A",IF(N158&gt;=Parâmetros!$B$40,"B",IF(N158&gt;=Parâmetros!$B$41,"C","D"))))</f>
        <v>B</v>
      </c>
      <c r="Q158" s="10" t="str">
        <f aca="false">IF(F158="","Completar cadastro","")</f>
        <v>Completar cadastro</v>
      </c>
      <c r="R158" s="10" t="str">
        <f aca="false">INDEX(Parâmetros!$D$39:$D$43,MATCH(P158,Parâmetros!$A$39:$A$43,0))</f>
        <v>Cadência padrão</v>
      </c>
    </row>
    <row r="159" customFormat="false" ht="15" hidden="false" customHeight="false" outlineLevel="0" collapsed="false">
      <c r="A159" s="10" t="s">
        <v>356</v>
      </c>
      <c r="B159" s="10" t="s">
        <v>86</v>
      </c>
      <c r="C159" s="10" t="s">
        <v>85</v>
      </c>
      <c r="D159" s="10" t="s">
        <v>165</v>
      </c>
      <c r="E159" s="10" t="s">
        <v>51</v>
      </c>
      <c r="F159" s="10"/>
      <c r="G159" s="10" t="s">
        <v>162</v>
      </c>
      <c r="H159" s="30" t="n">
        <v>42964</v>
      </c>
      <c r="I159" s="8" t="n">
        <f aca="false">INDEX(Parâmetros!$C$13:$C$19,MATCH(E159,Parâmetros!$A$13:$A$19,0))</f>
        <v>550</v>
      </c>
      <c r="J159" s="26" t="n">
        <f aca="false">IF(H159="","",Parâmetros!$B$5-H159)</f>
        <v>136</v>
      </c>
      <c r="K159" s="10" t="n">
        <f aca="false">INDEX(Parâmetros!$D$13:$D$19,MATCH(E159,Parâmetros!$A$13:$A$19,0))</f>
        <v>22</v>
      </c>
      <c r="L159" s="26" t="n">
        <f aca="false">IF(G159="Prospecting",Parâmetros!$B$9,IF(J159&gt;Parâmetros!$B$6,0,INDEX(Parâmetros!$C$24:$C$26,MATCH(J159,Parâmetros!$A$24:$A$26,1))))</f>
        <v>40</v>
      </c>
      <c r="M159" s="31" t="n">
        <f aca="false">IF(G159="Prospecting",1,INDEX(Parâmetros!$C$32:$C$35,MATCH(J159,Parâmetros!$A$32:$A$35,1)))</f>
        <v>1</v>
      </c>
      <c r="N159" s="2" t="n">
        <f aca="false">ROUND((K159+L159)*M159,0)</f>
        <v>62</v>
      </c>
      <c r="O159" s="10" t="str">
        <f aca="false">IF(AND(G159="Engaging",J159&gt;Parâmetros!$B$6),"Sim","Não")</f>
        <v>Não</v>
      </c>
      <c r="P159" s="32" t="str">
        <f aca="false">IF(O159="Sim","R",IF(N159&gt;=Parâmetros!$B$39,"A",IF(N159&gt;=Parâmetros!$B$40,"B",IF(N159&gt;=Parâmetros!$B$41,"C","D"))))</f>
        <v>B</v>
      </c>
      <c r="Q159" s="10" t="str">
        <f aca="false">IF(F159="","Completar cadastro","")</f>
        <v>Completar cadastro</v>
      </c>
      <c r="R159" s="10" t="str">
        <f aca="false">INDEX(Parâmetros!$D$39:$D$43,MATCH(P159,Parâmetros!$A$39:$A$43,0))</f>
        <v>Cadência padrão</v>
      </c>
    </row>
    <row r="160" customFormat="false" ht="15" hidden="false" customHeight="false" outlineLevel="0" collapsed="false">
      <c r="A160" s="10" t="s">
        <v>357</v>
      </c>
      <c r="B160" s="10" t="s">
        <v>95</v>
      </c>
      <c r="C160" s="10" t="s">
        <v>92</v>
      </c>
      <c r="D160" s="10" t="s">
        <v>160</v>
      </c>
      <c r="E160" s="10" t="s">
        <v>51</v>
      </c>
      <c r="F160" s="10"/>
      <c r="G160" s="10" t="s">
        <v>162</v>
      </c>
      <c r="H160" s="30" t="n">
        <v>42965</v>
      </c>
      <c r="I160" s="8" t="n">
        <f aca="false">INDEX(Parâmetros!$C$13:$C$19,MATCH(E160,Parâmetros!$A$13:$A$19,0))</f>
        <v>550</v>
      </c>
      <c r="J160" s="26" t="n">
        <f aca="false">IF(H160="","",Parâmetros!$B$5-H160)</f>
        <v>135</v>
      </c>
      <c r="K160" s="10" t="n">
        <f aca="false">INDEX(Parâmetros!$D$13:$D$19,MATCH(E160,Parâmetros!$A$13:$A$19,0))</f>
        <v>22</v>
      </c>
      <c r="L160" s="26" t="n">
        <f aca="false">IF(G160="Prospecting",Parâmetros!$B$9,IF(J160&gt;Parâmetros!$B$6,0,INDEX(Parâmetros!$C$24:$C$26,MATCH(J160,Parâmetros!$A$24:$A$26,1))))</f>
        <v>40</v>
      </c>
      <c r="M160" s="31" t="n">
        <f aca="false">IF(G160="Prospecting",1,INDEX(Parâmetros!$C$32:$C$35,MATCH(J160,Parâmetros!$A$32:$A$35,1)))</f>
        <v>1</v>
      </c>
      <c r="N160" s="2" t="n">
        <f aca="false">ROUND((K160+L160)*M160,0)</f>
        <v>62</v>
      </c>
      <c r="O160" s="10" t="str">
        <f aca="false">IF(AND(G160="Engaging",J160&gt;Parâmetros!$B$6),"Sim","Não")</f>
        <v>Não</v>
      </c>
      <c r="P160" s="32" t="str">
        <f aca="false">IF(O160="Sim","R",IF(N160&gt;=Parâmetros!$B$39,"A",IF(N160&gt;=Parâmetros!$B$40,"B",IF(N160&gt;=Parâmetros!$B$41,"C","D"))))</f>
        <v>B</v>
      </c>
      <c r="Q160" s="10" t="str">
        <f aca="false">IF(F160="","Completar cadastro","")</f>
        <v>Completar cadastro</v>
      </c>
      <c r="R160" s="10" t="str">
        <f aca="false">INDEX(Parâmetros!$D$39:$D$43,MATCH(P160,Parâmetros!$A$39:$A$43,0))</f>
        <v>Cadência padrão</v>
      </c>
    </row>
    <row r="161" customFormat="false" ht="15" hidden="false" customHeight="false" outlineLevel="0" collapsed="false">
      <c r="A161" s="10" t="s">
        <v>358</v>
      </c>
      <c r="B161" s="10" t="s">
        <v>96</v>
      </c>
      <c r="C161" s="10" t="s">
        <v>92</v>
      </c>
      <c r="D161" s="10" t="s">
        <v>160</v>
      </c>
      <c r="E161" s="10" t="s">
        <v>51</v>
      </c>
      <c r="F161" s="10" t="s">
        <v>359</v>
      </c>
      <c r="G161" s="10" t="s">
        <v>162</v>
      </c>
      <c r="H161" s="30" t="n">
        <v>42965</v>
      </c>
      <c r="I161" s="8" t="n">
        <f aca="false">INDEX(Parâmetros!$C$13:$C$19,MATCH(E161,Parâmetros!$A$13:$A$19,0))</f>
        <v>550</v>
      </c>
      <c r="J161" s="26" t="n">
        <f aca="false">IF(H161="","",Parâmetros!$B$5-H161)</f>
        <v>135</v>
      </c>
      <c r="K161" s="10" t="n">
        <f aca="false">INDEX(Parâmetros!$D$13:$D$19,MATCH(E161,Parâmetros!$A$13:$A$19,0))</f>
        <v>22</v>
      </c>
      <c r="L161" s="26" t="n">
        <f aca="false">IF(G161="Prospecting",Parâmetros!$B$9,IF(J161&gt;Parâmetros!$B$6,0,INDEX(Parâmetros!$C$24:$C$26,MATCH(J161,Parâmetros!$A$24:$A$26,1))))</f>
        <v>40</v>
      </c>
      <c r="M161" s="31" t="n">
        <f aca="false">IF(G161="Prospecting",1,INDEX(Parâmetros!$C$32:$C$35,MATCH(J161,Parâmetros!$A$32:$A$35,1)))</f>
        <v>1</v>
      </c>
      <c r="N161" s="2" t="n">
        <f aca="false">ROUND((K161+L161)*M161,0)</f>
        <v>62</v>
      </c>
      <c r="O161" s="10" t="str">
        <f aca="false">IF(AND(G161="Engaging",J161&gt;Parâmetros!$B$6),"Sim","Não")</f>
        <v>Não</v>
      </c>
      <c r="P161" s="32" t="str">
        <f aca="false">IF(O161="Sim","R",IF(N161&gt;=Parâmetros!$B$39,"A",IF(N161&gt;=Parâmetros!$B$40,"B",IF(N161&gt;=Parâmetros!$B$41,"C","D"))))</f>
        <v>B</v>
      </c>
      <c r="Q161" s="10" t="str">
        <f aca="false">IF(F161="","Completar cadastro","")</f>
        <v/>
      </c>
      <c r="R161" s="10" t="str">
        <f aca="false">INDEX(Parâmetros!$D$39:$D$43,MATCH(P161,Parâmetros!$A$39:$A$43,0))</f>
        <v>Cadência padrão</v>
      </c>
    </row>
    <row r="162" customFormat="false" ht="15" hidden="false" customHeight="false" outlineLevel="0" collapsed="false">
      <c r="A162" s="10" t="s">
        <v>360</v>
      </c>
      <c r="B162" s="10" t="s">
        <v>95</v>
      </c>
      <c r="C162" s="10" t="s">
        <v>92</v>
      </c>
      <c r="D162" s="10" t="s">
        <v>160</v>
      </c>
      <c r="E162" s="10" t="s">
        <v>51</v>
      </c>
      <c r="F162" s="10"/>
      <c r="G162" s="10" t="s">
        <v>162</v>
      </c>
      <c r="H162" s="30" t="n">
        <v>42967</v>
      </c>
      <c r="I162" s="8" t="n">
        <f aca="false">INDEX(Parâmetros!$C$13:$C$19,MATCH(E162,Parâmetros!$A$13:$A$19,0))</f>
        <v>550</v>
      </c>
      <c r="J162" s="26" t="n">
        <f aca="false">IF(H162="","",Parâmetros!$B$5-H162)</f>
        <v>133</v>
      </c>
      <c r="K162" s="10" t="n">
        <f aca="false">INDEX(Parâmetros!$D$13:$D$19,MATCH(E162,Parâmetros!$A$13:$A$19,0))</f>
        <v>22</v>
      </c>
      <c r="L162" s="26" t="n">
        <f aca="false">IF(G162="Prospecting",Parâmetros!$B$9,IF(J162&gt;Parâmetros!$B$6,0,INDEX(Parâmetros!$C$24:$C$26,MATCH(J162,Parâmetros!$A$24:$A$26,1))))</f>
        <v>40</v>
      </c>
      <c r="M162" s="31" t="n">
        <f aca="false">IF(G162="Prospecting",1,INDEX(Parâmetros!$C$32:$C$35,MATCH(J162,Parâmetros!$A$32:$A$35,1)))</f>
        <v>1</v>
      </c>
      <c r="N162" s="2" t="n">
        <f aca="false">ROUND((K162+L162)*M162,0)</f>
        <v>62</v>
      </c>
      <c r="O162" s="10" t="str">
        <f aca="false">IF(AND(G162="Engaging",J162&gt;Parâmetros!$B$6),"Sim","Não")</f>
        <v>Não</v>
      </c>
      <c r="P162" s="32" t="str">
        <f aca="false">IF(O162="Sim","R",IF(N162&gt;=Parâmetros!$B$39,"A",IF(N162&gt;=Parâmetros!$B$40,"B",IF(N162&gt;=Parâmetros!$B$41,"C","D"))))</f>
        <v>B</v>
      </c>
      <c r="Q162" s="10" t="str">
        <f aca="false">IF(F162="","Completar cadastro","")</f>
        <v>Completar cadastro</v>
      </c>
      <c r="R162" s="10" t="str">
        <f aca="false">INDEX(Parâmetros!$D$39:$D$43,MATCH(P162,Parâmetros!$A$39:$A$43,0))</f>
        <v>Cadência padrão</v>
      </c>
    </row>
    <row r="163" customFormat="false" ht="15" hidden="false" customHeight="false" outlineLevel="0" collapsed="false">
      <c r="A163" s="10" t="s">
        <v>361</v>
      </c>
      <c r="B163" s="10" t="s">
        <v>94</v>
      </c>
      <c r="C163" s="10" t="s">
        <v>92</v>
      </c>
      <c r="D163" s="10" t="s">
        <v>160</v>
      </c>
      <c r="E163" s="10" t="s">
        <v>51</v>
      </c>
      <c r="F163" s="10" t="s">
        <v>170</v>
      </c>
      <c r="G163" s="10" t="s">
        <v>162</v>
      </c>
      <c r="H163" s="30" t="n">
        <v>42970</v>
      </c>
      <c r="I163" s="8" t="n">
        <f aca="false">INDEX(Parâmetros!$C$13:$C$19,MATCH(E163,Parâmetros!$A$13:$A$19,0))</f>
        <v>550</v>
      </c>
      <c r="J163" s="26" t="n">
        <f aca="false">IF(H163="","",Parâmetros!$B$5-H163)</f>
        <v>130</v>
      </c>
      <c r="K163" s="10" t="n">
        <f aca="false">INDEX(Parâmetros!$D$13:$D$19,MATCH(E163,Parâmetros!$A$13:$A$19,0))</f>
        <v>22</v>
      </c>
      <c r="L163" s="26" t="n">
        <f aca="false">IF(G163="Prospecting",Parâmetros!$B$9,IF(J163&gt;Parâmetros!$B$6,0,INDEX(Parâmetros!$C$24:$C$26,MATCH(J163,Parâmetros!$A$24:$A$26,1))))</f>
        <v>40</v>
      </c>
      <c r="M163" s="31" t="n">
        <f aca="false">IF(G163="Prospecting",1,INDEX(Parâmetros!$C$32:$C$35,MATCH(J163,Parâmetros!$A$32:$A$35,1)))</f>
        <v>1</v>
      </c>
      <c r="N163" s="2" t="n">
        <f aca="false">ROUND((K163+L163)*M163,0)</f>
        <v>62</v>
      </c>
      <c r="O163" s="10" t="str">
        <f aca="false">IF(AND(G163="Engaging",J163&gt;Parâmetros!$B$6),"Sim","Não")</f>
        <v>Não</v>
      </c>
      <c r="P163" s="32" t="str">
        <f aca="false">IF(O163="Sim","R",IF(N163&gt;=Parâmetros!$B$39,"A",IF(N163&gt;=Parâmetros!$B$40,"B",IF(N163&gt;=Parâmetros!$B$41,"C","D"))))</f>
        <v>B</v>
      </c>
      <c r="Q163" s="10" t="str">
        <f aca="false">IF(F163="","Completar cadastro","")</f>
        <v/>
      </c>
      <c r="R163" s="10" t="str">
        <f aca="false">INDEX(Parâmetros!$D$39:$D$43,MATCH(P163,Parâmetros!$A$39:$A$43,0))</f>
        <v>Cadência padrão</v>
      </c>
    </row>
    <row r="164" customFormat="false" ht="15" hidden="false" customHeight="false" outlineLevel="0" collapsed="false">
      <c r="A164" s="10" t="s">
        <v>362</v>
      </c>
      <c r="B164" s="10" t="s">
        <v>70</v>
      </c>
      <c r="C164" s="10" t="s">
        <v>65</v>
      </c>
      <c r="D164" s="10" t="s">
        <v>160</v>
      </c>
      <c r="E164" s="10" t="s">
        <v>51</v>
      </c>
      <c r="F164" s="10"/>
      <c r="G164" s="10" t="s">
        <v>162</v>
      </c>
      <c r="H164" s="30" t="n">
        <v>42970</v>
      </c>
      <c r="I164" s="8" t="n">
        <f aca="false">INDEX(Parâmetros!$C$13:$C$19,MATCH(E164,Parâmetros!$A$13:$A$19,0))</f>
        <v>550</v>
      </c>
      <c r="J164" s="26" t="n">
        <f aca="false">IF(H164="","",Parâmetros!$B$5-H164)</f>
        <v>130</v>
      </c>
      <c r="K164" s="10" t="n">
        <f aca="false">INDEX(Parâmetros!$D$13:$D$19,MATCH(E164,Parâmetros!$A$13:$A$19,0))</f>
        <v>22</v>
      </c>
      <c r="L164" s="26" t="n">
        <f aca="false">IF(G164="Prospecting",Parâmetros!$B$9,IF(J164&gt;Parâmetros!$B$6,0,INDEX(Parâmetros!$C$24:$C$26,MATCH(J164,Parâmetros!$A$24:$A$26,1))))</f>
        <v>40</v>
      </c>
      <c r="M164" s="31" t="n">
        <f aca="false">IF(G164="Prospecting",1,INDEX(Parâmetros!$C$32:$C$35,MATCH(J164,Parâmetros!$A$32:$A$35,1)))</f>
        <v>1</v>
      </c>
      <c r="N164" s="2" t="n">
        <f aca="false">ROUND((K164+L164)*M164,0)</f>
        <v>62</v>
      </c>
      <c r="O164" s="10" t="str">
        <f aca="false">IF(AND(G164="Engaging",J164&gt;Parâmetros!$B$6),"Sim","Não")</f>
        <v>Não</v>
      </c>
      <c r="P164" s="32" t="str">
        <f aca="false">IF(O164="Sim","R",IF(N164&gt;=Parâmetros!$B$39,"A",IF(N164&gt;=Parâmetros!$B$40,"B",IF(N164&gt;=Parâmetros!$B$41,"C","D"))))</f>
        <v>B</v>
      </c>
      <c r="Q164" s="10" t="str">
        <f aca="false">IF(F164="","Completar cadastro","")</f>
        <v>Completar cadastro</v>
      </c>
      <c r="R164" s="10" t="str">
        <f aca="false">INDEX(Parâmetros!$D$39:$D$43,MATCH(P164,Parâmetros!$A$39:$A$43,0))</f>
        <v>Cadência padrão</v>
      </c>
    </row>
    <row r="165" customFormat="false" ht="15" hidden="false" customHeight="false" outlineLevel="0" collapsed="false">
      <c r="A165" s="10" t="s">
        <v>363</v>
      </c>
      <c r="B165" s="10" t="s">
        <v>97</v>
      </c>
      <c r="C165" s="10" t="s">
        <v>92</v>
      </c>
      <c r="D165" s="10" t="s">
        <v>160</v>
      </c>
      <c r="E165" s="10" t="s">
        <v>51</v>
      </c>
      <c r="F165" s="10"/>
      <c r="G165" s="10" t="s">
        <v>162</v>
      </c>
      <c r="H165" s="30" t="n">
        <v>42971</v>
      </c>
      <c r="I165" s="8" t="n">
        <f aca="false">INDEX(Parâmetros!$C$13:$C$19,MATCH(E165,Parâmetros!$A$13:$A$19,0))</f>
        <v>550</v>
      </c>
      <c r="J165" s="26" t="n">
        <f aca="false">IF(H165="","",Parâmetros!$B$5-H165)</f>
        <v>129</v>
      </c>
      <c r="K165" s="10" t="n">
        <f aca="false">INDEX(Parâmetros!$D$13:$D$19,MATCH(E165,Parâmetros!$A$13:$A$19,0))</f>
        <v>22</v>
      </c>
      <c r="L165" s="26" t="n">
        <f aca="false">IF(G165="Prospecting",Parâmetros!$B$9,IF(J165&gt;Parâmetros!$B$6,0,INDEX(Parâmetros!$C$24:$C$26,MATCH(J165,Parâmetros!$A$24:$A$26,1))))</f>
        <v>40</v>
      </c>
      <c r="M165" s="31" t="n">
        <f aca="false">IF(G165="Prospecting",1,INDEX(Parâmetros!$C$32:$C$35,MATCH(J165,Parâmetros!$A$32:$A$35,1)))</f>
        <v>1</v>
      </c>
      <c r="N165" s="2" t="n">
        <f aca="false">ROUND((K165+L165)*M165,0)</f>
        <v>62</v>
      </c>
      <c r="O165" s="10" t="str">
        <f aca="false">IF(AND(G165="Engaging",J165&gt;Parâmetros!$B$6),"Sim","Não")</f>
        <v>Não</v>
      </c>
      <c r="P165" s="32" t="str">
        <f aca="false">IF(O165="Sim","R",IF(N165&gt;=Parâmetros!$B$39,"A",IF(N165&gt;=Parâmetros!$B$40,"B",IF(N165&gt;=Parâmetros!$B$41,"C","D"))))</f>
        <v>B</v>
      </c>
      <c r="Q165" s="10" t="str">
        <f aca="false">IF(F165="","Completar cadastro","")</f>
        <v>Completar cadastro</v>
      </c>
      <c r="R165" s="10" t="str">
        <f aca="false">INDEX(Parâmetros!$D$39:$D$43,MATCH(P165,Parâmetros!$A$39:$A$43,0))</f>
        <v>Cadência padrão</v>
      </c>
    </row>
    <row r="166" customFormat="false" ht="15" hidden="false" customHeight="false" outlineLevel="0" collapsed="false">
      <c r="A166" s="10" t="s">
        <v>364</v>
      </c>
      <c r="B166" s="10" t="s">
        <v>97</v>
      </c>
      <c r="C166" s="10" t="s">
        <v>92</v>
      </c>
      <c r="D166" s="10" t="s">
        <v>160</v>
      </c>
      <c r="E166" s="10" t="s">
        <v>51</v>
      </c>
      <c r="F166" s="10"/>
      <c r="G166" s="10" t="s">
        <v>162</v>
      </c>
      <c r="H166" s="30" t="n">
        <v>42974</v>
      </c>
      <c r="I166" s="8" t="n">
        <f aca="false">INDEX(Parâmetros!$C$13:$C$19,MATCH(E166,Parâmetros!$A$13:$A$19,0))</f>
        <v>550</v>
      </c>
      <c r="J166" s="26" t="n">
        <f aca="false">IF(H166="","",Parâmetros!$B$5-H166)</f>
        <v>126</v>
      </c>
      <c r="K166" s="10" t="n">
        <f aca="false">INDEX(Parâmetros!$D$13:$D$19,MATCH(E166,Parâmetros!$A$13:$A$19,0))</f>
        <v>22</v>
      </c>
      <c r="L166" s="26" t="n">
        <f aca="false">IF(G166="Prospecting",Parâmetros!$B$9,IF(J166&gt;Parâmetros!$B$6,0,INDEX(Parâmetros!$C$24:$C$26,MATCH(J166,Parâmetros!$A$24:$A$26,1))))</f>
        <v>40</v>
      </c>
      <c r="M166" s="31" t="n">
        <f aca="false">IF(G166="Prospecting",1,INDEX(Parâmetros!$C$32:$C$35,MATCH(J166,Parâmetros!$A$32:$A$35,1)))</f>
        <v>1</v>
      </c>
      <c r="N166" s="2" t="n">
        <f aca="false">ROUND((K166+L166)*M166,0)</f>
        <v>62</v>
      </c>
      <c r="O166" s="10" t="str">
        <f aca="false">IF(AND(G166="Engaging",J166&gt;Parâmetros!$B$6),"Sim","Não")</f>
        <v>Não</v>
      </c>
      <c r="P166" s="32" t="str">
        <f aca="false">IF(O166="Sim","R",IF(N166&gt;=Parâmetros!$B$39,"A",IF(N166&gt;=Parâmetros!$B$40,"B",IF(N166&gt;=Parâmetros!$B$41,"C","D"))))</f>
        <v>B</v>
      </c>
      <c r="Q166" s="10" t="str">
        <f aca="false">IF(F166="","Completar cadastro","")</f>
        <v>Completar cadastro</v>
      </c>
      <c r="R166" s="10" t="str">
        <f aca="false">INDEX(Parâmetros!$D$39:$D$43,MATCH(P166,Parâmetros!$A$39:$A$43,0))</f>
        <v>Cadência padrão</v>
      </c>
    </row>
    <row r="167" customFormat="false" ht="15" hidden="false" customHeight="false" outlineLevel="0" collapsed="false">
      <c r="A167" s="10" t="s">
        <v>365</v>
      </c>
      <c r="B167" s="10" t="s">
        <v>97</v>
      </c>
      <c r="C167" s="10" t="s">
        <v>92</v>
      </c>
      <c r="D167" s="10" t="s">
        <v>160</v>
      </c>
      <c r="E167" s="10" t="s">
        <v>51</v>
      </c>
      <c r="F167" s="10"/>
      <c r="G167" s="10" t="s">
        <v>162</v>
      </c>
      <c r="H167" s="30" t="n">
        <v>42974</v>
      </c>
      <c r="I167" s="8" t="n">
        <f aca="false">INDEX(Parâmetros!$C$13:$C$19,MATCH(E167,Parâmetros!$A$13:$A$19,0))</f>
        <v>550</v>
      </c>
      <c r="J167" s="26" t="n">
        <f aca="false">IF(H167="","",Parâmetros!$B$5-H167)</f>
        <v>126</v>
      </c>
      <c r="K167" s="10" t="n">
        <f aca="false">INDEX(Parâmetros!$D$13:$D$19,MATCH(E167,Parâmetros!$A$13:$A$19,0))</f>
        <v>22</v>
      </c>
      <c r="L167" s="26" t="n">
        <f aca="false">IF(G167="Prospecting",Parâmetros!$B$9,IF(J167&gt;Parâmetros!$B$6,0,INDEX(Parâmetros!$C$24:$C$26,MATCH(J167,Parâmetros!$A$24:$A$26,1))))</f>
        <v>40</v>
      </c>
      <c r="M167" s="31" t="n">
        <f aca="false">IF(G167="Prospecting",1,INDEX(Parâmetros!$C$32:$C$35,MATCH(J167,Parâmetros!$A$32:$A$35,1)))</f>
        <v>1</v>
      </c>
      <c r="N167" s="2" t="n">
        <f aca="false">ROUND((K167+L167)*M167,0)</f>
        <v>62</v>
      </c>
      <c r="O167" s="10" t="str">
        <f aca="false">IF(AND(G167="Engaging",J167&gt;Parâmetros!$B$6),"Sim","Não")</f>
        <v>Não</v>
      </c>
      <c r="P167" s="32" t="str">
        <f aca="false">IF(O167="Sim","R",IF(N167&gt;=Parâmetros!$B$39,"A",IF(N167&gt;=Parâmetros!$B$40,"B",IF(N167&gt;=Parâmetros!$B$41,"C","D"))))</f>
        <v>B</v>
      </c>
      <c r="Q167" s="10" t="str">
        <f aca="false">IF(F167="","Completar cadastro","")</f>
        <v>Completar cadastro</v>
      </c>
      <c r="R167" s="10" t="str">
        <f aca="false">INDEX(Parâmetros!$D$39:$D$43,MATCH(P167,Parâmetros!$A$39:$A$43,0))</f>
        <v>Cadência padrão</v>
      </c>
    </row>
    <row r="168" customFormat="false" ht="15" hidden="false" customHeight="false" outlineLevel="0" collapsed="false">
      <c r="A168" s="10" t="s">
        <v>366</v>
      </c>
      <c r="B168" s="10" t="s">
        <v>62</v>
      </c>
      <c r="C168" s="10" t="s">
        <v>58</v>
      </c>
      <c r="D168" s="10" t="s">
        <v>165</v>
      </c>
      <c r="E168" s="10" t="s">
        <v>51</v>
      </c>
      <c r="F168" s="10"/>
      <c r="G168" s="10" t="s">
        <v>162</v>
      </c>
      <c r="H168" s="30" t="n">
        <v>42976</v>
      </c>
      <c r="I168" s="8" t="n">
        <f aca="false">INDEX(Parâmetros!$C$13:$C$19,MATCH(E168,Parâmetros!$A$13:$A$19,0))</f>
        <v>550</v>
      </c>
      <c r="J168" s="26" t="n">
        <f aca="false">IF(H168="","",Parâmetros!$B$5-H168)</f>
        <v>124</v>
      </c>
      <c r="K168" s="10" t="n">
        <f aca="false">INDEX(Parâmetros!$D$13:$D$19,MATCH(E168,Parâmetros!$A$13:$A$19,0))</f>
        <v>22</v>
      </c>
      <c r="L168" s="26" t="n">
        <f aca="false">IF(G168="Prospecting",Parâmetros!$B$9,IF(J168&gt;Parâmetros!$B$6,0,INDEX(Parâmetros!$C$24:$C$26,MATCH(J168,Parâmetros!$A$24:$A$26,1))))</f>
        <v>40</v>
      </c>
      <c r="M168" s="31" t="n">
        <f aca="false">IF(G168="Prospecting",1,INDEX(Parâmetros!$C$32:$C$35,MATCH(J168,Parâmetros!$A$32:$A$35,1)))</f>
        <v>1</v>
      </c>
      <c r="N168" s="2" t="n">
        <f aca="false">ROUND((K168+L168)*M168,0)</f>
        <v>62</v>
      </c>
      <c r="O168" s="10" t="str">
        <f aca="false">IF(AND(G168="Engaging",J168&gt;Parâmetros!$B$6),"Sim","Não")</f>
        <v>Não</v>
      </c>
      <c r="P168" s="32" t="str">
        <f aca="false">IF(O168="Sim","R",IF(N168&gt;=Parâmetros!$B$39,"A",IF(N168&gt;=Parâmetros!$B$40,"B",IF(N168&gt;=Parâmetros!$B$41,"C","D"))))</f>
        <v>B</v>
      </c>
      <c r="Q168" s="10" t="str">
        <f aca="false">IF(F168="","Completar cadastro","")</f>
        <v>Completar cadastro</v>
      </c>
      <c r="R168" s="10" t="str">
        <f aca="false">INDEX(Parâmetros!$D$39:$D$43,MATCH(P168,Parâmetros!$A$39:$A$43,0))</f>
        <v>Cadência padrão</v>
      </c>
    </row>
    <row r="169" customFormat="false" ht="15" hidden="false" customHeight="false" outlineLevel="0" collapsed="false">
      <c r="A169" s="10" t="s">
        <v>367</v>
      </c>
      <c r="B169" s="10" t="s">
        <v>84</v>
      </c>
      <c r="C169" s="10" t="s">
        <v>85</v>
      </c>
      <c r="D169" s="10" t="s">
        <v>165</v>
      </c>
      <c r="E169" s="10" t="s">
        <v>51</v>
      </c>
      <c r="F169" s="10"/>
      <c r="G169" s="10" t="s">
        <v>162</v>
      </c>
      <c r="H169" s="30" t="n">
        <v>42978</v>
      </c>
      <c r="I169" s="8" t="n">
        <f aca="false">INDEX(Parâmetros!$C$13:$C$19,MATCH(E169,Parâmetros!$A$13:$A$19,0))</f>
        <v>550</v>
      </c>
      <c r="J169" s="26" t="n">
        <f aca="false">IF(H169="","",Parâmetros!$B$5-H169)</f>
        <v>122</v>
      </c>
      <c r="K169" s="10" t="n">
        <f aca="false">INDEX(Parâmetros!$D$13:$D$19,MATCH(E169,Parâmetros!$A$13:$A$19,0))</f>
        <v>22</v>
      </c>
      <c r="L169" s="26" t="n">
        <f aca="false">IF(G169="Prospecting",Parâmetros!$B$9,IF(J169&gt;Parâmetros!$B$6,0,INDEX(Parâmetros!$C$24:$C$26,MATCH(J169,Parâmetros!$A$24:$A$26,1))))</f>
        <v>40</v>
      </c>
      <c r="M169" s="31" t="n">
        <f aca="false">IF(G169="Prospecting",1,INDEX(Parâmetros!$C$32:$C$35,MATCH(J169,Parâmetros!$A$32:$A$35,1)))</f>
        <v>1</v>
      </c>
      <c r="N169" s="2" t="n">
        <f aca="false">ROUND((K169+L169)*M169,0)</f>
        <v>62</v>
      </c>
      <c r="O169" s="10" t="str">
        <f aca="false">IF(AND(G169="Engaging",J169&gt;Parâmetros!$B$6),"Sim","Não")</f>
        <v>Não</v>
      </c>
      <c r="P169" s="32" t="str">
        <f aca="false">IF(O169="Sim","R",IF(N169&gt;=Parâmetros!$B$39,"A",IF(N169&gt;=Parâmetros!$B$40,"B",IF(N169&gt;=Parâmetros!$B$41,"C","D"))))</f>
        <v>B</v>
      </c>
      <c r="Q169" s="10" t="str">
        <f aca="false">IF(F169="","Completar cadastro","")</f>
        <v>Completar cadastro</v>
      </c>
      <c r="R169" s="10" t="str">
        <f aca="false">INDEX(Parâmetros!$D$39:$D$43,MATCH(P169,Parâmetros!$A$39:$A$43,0))</f>
        <v>Cadência padrão</v>
      </c>
    </row>
    <row r="170" customFormat="false" ht="15" hidden="false" customHeight="false" outlineLevel="0" collapsed="false">
      <c r="A170" s="10" t="s">
        <v>368</v>
      </c>
      <c r="B170" s="10" t="s">
        <v>95</v>
      </c>
      <c r="C170" s="10" t="s">
        <v>92</v>
      </c>
      <c r="D170" s="10" t="s">
        <v>160</v>
      </c>
      <c r="E170" s="10" t="s">
        <v>51</v>
      </c>
      <c r="F170" s="10" t="s">
        <v>369</v>
      </c>
      <c r="G170" s="10" t="s">
        <v>162</v>
      </c>
      <c r="H170" s="30" t="n">
        <v>42978</v>
      </c>
      <c r="I170" s="8" t="n">
        <f aca="false">INDEX(Parâmetros!$C$13:$C$19,MATCH(E170,Parâmetros!$A$13:$A$19,0))</f>
        <v>550</v>
      </c>
      <c r="J170" s="26" t="n">
        <f aca="false">IF(H170="","",Parâmetros!$B$5-H170)</f>
        <v>122</v>
      </c>
      <c r="K170" s="10" t="n">
        <f aca="false">INDEX(Parâmetros!$D$13:$D$19,MATCH(E170,Parâmetros!$A$13:$A$19,0))</f>
        <v>22</v>
      </c>
      <c r="L170" s="26" t="n">
        <f aca="false">IF(G170="Prospecting",Parâmetros!$B$9,IF(J170&gt;Parâmetros!$B$6,0,INDEX(Parâmetros!$C$24:$C$26,MATCH(J170,Parâmetros!$A$24:$A$26,1))))</f>
        <v>40</v>
      </c>
      <c r="M170" s="31" t="n">
        <f aca="false">IF(G170="Prospecting",1,INDEX(Parâmetros!$C$32:$C$35,MATCH(J170,Parâmetros!$A$32:$A$35,1)))</f>
        <v>1</v>
      </c>
      <c r="N170" s="2" t="n">
        <f aca="false">ROUND((K170+L170)*M170,0)</f>
        <v>62</v>
      </c>
      <c r="O170" s="10" t="str">
        <f aca="false">IF(AND(G170="Engaging",J170&gt;Parâmetros!$B$6),"Sim","Não")</f>
        <v>Não</v>
      </c>
      <c r="P170" s="32" t="str">
        <f aca="false">IF(O170="Sim","R",IF(N170&gt;=Parâmetros!$B$39,"A",IF(N170&gt;=Parâmetros!$B$40,"B",IF(N170&gt;=Parâmetros!$B$41,"C","D"))))</f>
        <v>B</v>
      </c>
      <c r="Q170" s="10" t="str">
        <f aca="false">IF(F170="","Completar cadastro","")</f>
        <v/>
      </c>
      <c r="R170" s="10" t="str">
        <f aca="false">INDEX(Parâmetros!$D$39:$D$43,MATCH(P170,Parâmetros!$A$39:$A$43,0))</f>
        <v>Cadência padrão</v>
      </c>
    </row>
    <row r="171" customFormat="false" ht="15" hidden="false" customHeight="false" outlineLevel="0" collapsed="false">
      <c r="A171" s="10" t="s">
        <v>370</v>
      </c>
      <c r="B171" s="10" t="s">
        <v>61</v>
      </c>
      <c r="C171" s="10" t="s">
        <v>58</v>
      </c>
      <c r="D171" s="10" t="s">
        <v>165</v>
      </c>
      <c r="E171" s="10" t="s">
        <v>51</v>
      </c>
      <c r="F171" s="10"/>
      <c r="G171" s="10" t="s">
        <v>162</v>
      </c>
      <c r="H171" s="30" t="n">
        <v>42978</v>
      </c>
      <c r="I171" s="8" t="n">
        <f aca="false">INDEX(Parâmetros!$C$13:$C$19,MATCH(E171,Parâmetros!$A$13:$A$19,0))</f>
        <v>550</v>
      </c>
      <c r="J171" s="26" t="n">
        <f aca="false">IF(H171="","",Parâmetros!$B$5-H171)</f>
        <v>122</v>
      </c>
      <c r="K171" s="10" t="n">
        <f aca="false">INDEX(Parâmetros!$D$13:$D$19,MATCH(E171,Parâmetros!$A$13:$A$19,0))</f>
        <v>22</v>
      </c>
      <c r="L171" s="26" t="n">
        <f aca="false">IF(G171="Prospecting",Parâmetros!$B$9,IF(J171&gt;Parâmetros!$B$6,0,INDEX(Parâmetros!$C$24:$C$26,MATCH(J171,Parâmetros!$A$24:$A$26,1))))</f>
        <v>40</v>
      </c>
      <c r="M171" s="31" t="n">
        <f aca="false">IF(G171="Prospecting",1,INDEX(Parâmetros!$C$32:$C$35,MATCH(J171,Parâmetros!$A$32:$A$35,1)))</f>
        <v>1</v>
      </c>
      <c r="N171" s="2" t="n">
        <f aca="false">ROUND((K171+L171)*M171,0)</f>
        <v>62</v>
      </c>
      <c r="O171" s="10" t="str">
        <f aca="false">IF(AND(G171="Engaging",J171&gt;Parâmetros!$B$6),"Sim","Não")</f>
        <v>Não</v>
      </c>
      <c r="P171" s="32" t="str">
        <f aca="false">IF(O171="Sim","R",IF(N171&gt;=Parâmetros!$B$39,"A",IF(N171&gt;=Parâmetros!$B$40,"B",IF(N171&gt;=Parâmetros!$B$41,"C","D"))))</f>
        <v>B</v>
      </c>
      <c r="Q171" s="10" t="str">
        <f aca="false">IF(F171="","Completar cadastro","")</f>
        <v>Completar cadastro</v>
      </c>
      <c r="R171" s="10" t="str">
        <f aca="false">INDEX(Parâmetros!$D$39:$D$43,MATCH(P171,Parâmetros!$A$39:$A$43,0))</f>
        <v>Cadência padrão</v>
      </c>
    </row>
    <row r="172" customFormat="false" ht="15" hidden="false" customHeight="false" outlineLevel="0" collapsed="false">
      <c r="A172" s="10" t="s">
        <v>371</v>
      </c>
      <c r="B172" s="10" t="s">
        <v>70</v>
      </c>
      <c r="C172" s="10" t="s">
        <v>65</v>
      </c>
      <c r="D172" s="10" t="s">
        <v>160</v>
      </c>
      <c r="E172" s="10" t="s">
        <v>51</v>
      </c>
      <c r="F172" s="10"/>
      <c r="G172" s="10" t="s">
        <v>162</v>
      </c>
      <c r="H172" s="30" t="n">
        <v>42978</v>
      </c>
      <c r="I172" s="8" t="n">
        <f aca="false">INDEX(Parâmetros!$C$13:$C$19,MATCH(E172,Parâmetros!$A$13:$A$19,0))</f>
        <v>550</v>
      </c>
      <c r="J172" s="26" t="n">
        <f aca="false">IF(H172="","",Parâmetros!$B$5-H172)</f>
        <v>122</v>
      </c>
      <c r="K172" s="10" t="n">
        <f aca="false">INDEX(Parâmetros!$D$13:$D$19,MATCH(E172,Parâmetros!$A$13:$A$19,0))</f>
        <v>22</v>
      </c>
      <c r="L172" s="26" t="n">
        <f aca="false">IF(G172="Prospecting",Parâmetros!$B$9,IF(J172&gt;Parâmetros!$B$6,0,INDEX(Parâmetros!$C$24:$C$26,MATCH(J172,Parâmetros!$A$24:$A$26,1))))</f>
        <v>40</v>
      </c>
      <c r="M172" s="31" t="n">
        <f aca="false">IF(G172="Prospecting",1,INDEX(Parâmetros!$C$32:$C$35,MATCH(J172,Parâmetros!$A$32:$A$35,1)))</f>
        <v>1</v>
      </c>
      <c r="N172" s="2" t="n">
        <f aca="false">ROUND((K172+L172)*M172,0)</f>
        <v>62</v>
      </c>
      <c r="O172" s="10" t="str">
        <f aca="false">IF(AND(G172="Engaging",J172&gt;Parâmetros!$B$6),"Sim","Não")</f>
        <v>Não</v>
      </c>
      <c r="P172" s="32" t="str">
        <f aca="false">IF(O172="Sim","R",IF(N172&gt;=Parâmetros!$B$39,"A",IF(N172&gt;=Parâmetros!$B$40,"B",IF(N172&gt;=Parâmetros!$B$41,"C","D"))))</f>
        <v>B</v>
      </c>
      <c r="Q172" s="10" t="str">
        <f aca="false">IF(F172="","Completar cadastro","")</f>
        <v>Completar cadastro</v>
      </c>
      <c r="R172" s="10" t="str">
        <f aca="false">INDEX(Parâmetros!$D$39:$D$43,MATCH(P172,Parâmetros!$A$39:$A$43,0))</f>
        <v>Cadência padrão</v>
      </c>
    </row>
    <row r="173" customFormat="false" ht="15" hidden="false" customHeight="false" outlineLevel="0" collapsed="false">
      <c r="A173" s="10" t="s">
        <v>372</v>
      </c>
      <c r="B173" s="10" t="s">
        <v>97</v>
      </c>
      <c r="C173" s="10" t="s">
        <v>92</v>
      </c>
      <c r="D173" s="10" t="s">
        <v>160</v>
      </c>
      <c r="E173" s="10" t="s">
        <v>51</v>
      </c>
      <c r="F173" s="10"/>
      <c r="G173" s="10" t="s">
        <v>162</v>
      </c>
      <c r="H173" s="30" t="n">
        <v>42978</v>
      </c>
      <c r="I173" s="8" t="n">
        <f aca="false">INDEX(Parâmetros!$C$13:$C$19,MATCH(E173,Parâmetros!$A$13:$A$19,0))</f>
        <v>550</v>
      </c>
      <c r="J173" s="26" t="n">
        <f aca="false">IF(H173="","",Parâmetros!$B$5-H173)</f>
        <v>122</v>
      </c>
      <c r="K173" s="10" t="n">
        <f aca="false">INDEX(Parâmetros!$D$13:$D$19,MATCH(E173,Parâmetros!$A$13:$A$19,0))</f>
        <v>22</v>
      </c>
      <c r="L173" s="26" t="n">
        <f aca="false">IF(G173="Prospecting",Parâmetros!$B$9,IF(J173&gt;Parâmetros!$B$6,0,INDEX(Parâmetros!$C$24:$C$26,MATCH(J173,Parâmetros!$A$24:$A$26,1))))</f>
        <v>40</v>
      </c>
      <c r="M173" s="31" t="n">
        <f aca="false">IF(G173="Prospecting",1,INDEX(Parâmetros!$C$32:$C$35,MATCH(J173,Parâmetros!$A$32:$A$35,1)))</f>
        <v>1</v>
      </c>
      <c r="N173" s="2" t="n">
        <f aca="false">ROUND((K173+L173)*M173,0)</f>
        <v>62</v>
      </c>
      <c r="O173" s="10" t="str">
        <f aca="false">IF(AND(G173="Engaging",J173&gt;Parâmetros!$B$6),"Sim","Não")</f>
        <v>Não</v>
      </c>
      <c r="P173" s="32" t="str">
        <f aca="false">IF(O173="Sim","R",IF(N173&gt;=Parâmetros!$B$39,"A",IF(N173&gt;=Parâmetros!$B$40,"B",IF(N173&gt;=Parâmetros!$B$41,"C","D"))))</f>
        <v>B</v>
      </c>
      <c r="Q173" s="10" t="str">
        <f aca="false">IF(F173="","Completar cadastro","")</f>
        <v>Completar cadastro</v>
      </c>
      <c r="R173" s="10" t="str">
        <f aca="false">INDEX(Parâmetros!$D$39:$D$43,MATCH(P173,Parâmetros!$A$39:$A$43,0))</f>
        <v>Cadência padrão</v>
      </c>
    </row>
    <row r="174" customFormat="false" ht="15" hidden="false" customHeight="false" outlineLevel="0" collapsed="false">
      <c r="A174" s="10" t="s">
        <v>373</v>
      </c>
      <c r="B174" s="10" t="s">
        <v>86</v>
      </c>
      <c r="C174" s="10" t="s">
        <v>85</v>
      </c>
      <c r="D174" s="10" t="s">
        <v>165</v>
      </c>
      <c r="E174" s="10" t="s">
        <v>51</v>
      </c>
      <c r="F174" s="10"/>
      <c r="G174" s="10" t="s">
        <v>162</v>
      </c>
      <c r="H174" s="30" t="n">
        <v>42981</v>
      </c>
      <c r="I174" s="8" t="n">
        <f aca="false">INDEX(Parâmetros!$C$13:$C$19,MATCH(E174,Parâmetros!$A$13:$A$19,0))</f>
        <v>550</v>
      </c>
      <c r="J174" s="26" t="n">
        <f aca="false">IF(H174="","",Parâmetros!$B$5-H174)</f>
        <v>119</v>
      </c>
      <c r="K174" s="10" t="n">
        <f aca="false">INDEX(Parâmetros!$D$13:$D$19,MATCH(E174,Parâmetros!$A$13:$A$19,0))</f>
        <v>22</v>
      </c>
      <c r="L174" s="26" t="n">
        <f aca="false">IF(G174="Prospecting",Parâmetros!$B$9,IF(J174&gt;Parâmetros!$B$6,0,INDEX(Parâmetros!$C$24:$C$26,MATCH(J174,Parâmetros!$A$24:$A$26,1))))</f>
        <v>40</v>
      </c>
      <c r="M174" s="31" t="n">
        <f aca="false">IF(G174="Prospecting",1,INDEX(Parâmetros!$C$32:$C$35,MATCH(J174,Parâmetros!$A$32:$A$35,1)))</f>
        <v>1</v>
      </c>
      <c r="N174" s="2" t="n">
        <f aca="false">ROUND((K174+L174)*M174,0)</f>
        <v>62</v>
      </c>
      <c r="O174" s="10" t="str">
        <f aca="false">IF(AND(G174="Engaging",J174&gt;Parâmetros!$B$6),"Sim","Não")</f>
        <v>Não</v>
      </c>
      <c r="P174" s="32" t="str">
        <f aca="false">IF(O174="Sim","R",IF(N174&gt;=Parâmetros!$B$39,"A",IF(N174&gt;=Parâmetros!$B$40,"B",IF(N174&gt;=Parâmetros!$B$41,"C","D"))))</f>
        <v>B</v>
      </c>
      <c r="Q174" s="10" t="str">
        <f aca="false">IF(F174="","Completar cadastro","")</f>
        <v>Completar cadastro</v>
      </c>
      <c r="R174" s="10" t="str">
        <f aca="false">INDEX(Parâmetros!$D$39:$D$43,MATCH(P174,Parâmetros!$A$39:$A$43,0))</f>
        <v>Cadência padrão</v>
      </c>
    </row>
    <row r="175" customFormat="false" ht="15" hidden="false" customHeight="false" outlineLevel="0" collapsed="false">
      <c r="A175" s="10" t="s">
        <v>374</v>
      </c>
      <c r="B175" s="10" t="s">
        <v>62</v>
      </c>
      <c r="C175" s="10" t="s">
        <v>58</v>
      </c>
      <c r="D175" s="10" t="s">
        <v>165</v>
      </c>
      <c r="E175" s="10" t="s">
        <v>51</v>
      </c>
      <c r="F175" s="10"/>
      <c r="G175" s="10" t="s">
        <v>162</v>
      </c>
      <c r="H175" s="30" t="n">
        <v>42981</v>
      </c>
      <c r="I175" s="8" t="n">
        <f aca="false">INDEX(Parâmetros!$C$13:$C$19,MATCH(E175,Parâmetros!$A$13:$A$19,0))</f>
        <v>550</v>
      </c>
      <c r="J175" s="26" t="n">
        <f aca="false">IF(H175="","",Parâmetros!$B$5-H175)</f>
        <v>119</v>
      </c>
      <c r="K175" s="10" t="n">
        <f aca="false">INDEX(Parâmetros!$D$13:$D$19,MATCH(E175,Parâmetros!$A$13:$A$19,0))</f>
        <v>22</v>
      </c>
      <c r="L175" s="26" t="n">
        <f aca="false">IF(G175="Prospecting",Parâmetros!$B$9,IF(J175&gt;Parâmetros!$B$6,0,INDEX(Parâmetros!$C$24:$C$26,MATCH(J175,Parâmetros!$A$24:$A$26,1))))</f>
        <v>40</v>
      </c>
      <c r="M175" s="31" t="n">
        <f aca="false">IF(G175="Prospecting",1,INDEX(Parâmetros!$C$32:$C$35,MATCH(J175,Parâmetros!$A$32:$A$35,1)))</f>
        <v>1</v>
      </c>
      <c r="N175" s="2" t="n">
        <f aca="false">ROUND((K175+L175)*M175,0)</f>
        <v>62</v>
      </c>
      <c r="O175" s="10" t="str">
        <f aca="false">IF(AND(G175="Engaging",J175&gt;Parâmetros!$B$6),"Sim","Não")</f>
        <v>Não</v>
      </c>
      <c r="P175" s="32" t="str">
        <f aca="false">IF(O175="Sim","R",IF(N175&gt;=Parâmetros!$B$39,"A",IF(N175&gt;=Parâmetros!$B$40,"B",IF(N175&gt;=Parâmetros!$B$41,"C","D"))))</f>
        <v>B</v>
      </c>
      <c r="Q175" s="10" t="str">
        <f aca="false">IF(F175="","Completar cadastro","")</f>
        <v>Completar cadastro</v>
      </c>
      <c r="R175" s="10" t="str">
        <f aca="false">INDEX(Parâmetros!$D$39:$D$43,MATCH(P175,Parâmetros!$A$39:$A$43,0))</f>
        <v>Cadência padrão</v>
      </c>
    </row>
    <row r="176" customFormat="false" ht="15" hidden="false" customHeight="false" outlineLevel="0" collapsed="false">
      <c r="A176" s="10" t="s">
        <v>375</v>
      </c>
      <c r="B176" s="10" t="s">
        <v>97</v>
      </c>
      <c r="C176" s="10" t="s">
        <v>92</v>
      </c>
      <c r="D176" s="10" t="s">
        <v>160</v>
      </c>
      <c r="E176" s="10" t="s">
        <v>51</v>
      </c>
      <c r="F176" s="10"/>
      <c r="G176" s="10" t="s">
        <v>162</v>
      </c>
      <c r="H176" s="30" t="n">
        <v>42982</v>
      </c>
      <c r="I176" s="8" t="n">
        <f aca="false">INDEX(Parâmetros!$C$13:$C$19,MATCH(E176,Parâmetros!$A$13:$A$19,0))</f>
        <v>550</v>
      </c>
      <c r="J176" s="26" t="n">
        <f aca="false">IF(H176="","",Parâmetros!$B$5-H176)</f>
        <v>118</v>
      </c>
      <c r="K176" s="10" t="n">
        <f aca="false">INDEX(Parâmetros!$D$13:$D$19,MATCH(E176,Parâmetros!$A$13:$A$19,0))</f>
        <v>22</v>
      </c>
      <c r="L176" s="26" t="n">
        <f aca="false">IF(G176="Prospecting",Parâmetros!$B$9,IF(J176&gt;Parâmetros!$B$6,0,INDEX(Parâmetros!$C$24:$C$26,MATCH(J176,Parâmetros!$A$24:$A$26,1))))</f>
        <v>40</v>
      </c>
      <c r="M176" s="31" t="n">
        <f aca="false">IF(G176="Prospecting",1,INDEX(Parâmetros!$C$32:$C$35,MATCH(J176,Parâmetros!$A$32:$A$35,1)))</f>
        <v>1</v>
      </c>
      <c r="N176" s="2" t="n">
        <f aca="false">ROUND((K176+L176)*M176,0)</f>
        <v>62</v>
      </c>
      <c r="O176" s="10" t="str">
        <f aca="false">IF(AND(G176="Engaging",J176&gt;Parâmetros!$B$6),"Sim","Não")</f>
        <v>Não</v>
      </c>
      <c r="P176" s="32" t="str">
        <f aca="false">IF(O176="Sim","R",IF(N176&gt;=Parâmetros!$B$39,"A",IF(N176&gt;=Parâmetros!$B$40,"B",IF(N176&gt;=Parâmetros!$B$41,"C","D"))))</f>
        <v>B</v>
      </c>
      <c r="Q176" s="10" t="str">
        <f aca="false">IF(F176="","Completar cadastro","")</f>
        <v>Completar cadastro</v>
      </c>
      <c r="R176" s="10" t="str">
        <f aca="false">INDEX(Parâmetros!$D$39:$D$43,MATCH(P176,Parâmetros!$A$39:$A$43,0))</f>
        <v>Cadência padrão</v>
      </c>
    </row>
    <row r="177" customFormat="false" ht="15" hidden="false" customHeight="false" outlineLevel="0" collapsed="false">
      <c r="A177" s="10" t="s">
        <v>376</v>
      </c>
      <c r="B177" s="10" t="s">
        <v>94</v>
      </c>
      <c r="C177" s="10" t="s">
        <v>92</v>
      </c>
      <c r="D177" s="10" t="s">
        <v>160</v>
      </c>
      <c r="E177" s="10" t="s">
        <v>51</v>
      </c>
      <c r="F177" s="10"/>
      <c r="G177" s="10" t="s">
        <v>162</v>
      </c>
      <c r="H177" s="30" t="n">
        <v>42983</v>
      </c>
      <c r="I177" s="8" t="n">
        <f aca="false">INDEX(Parâmetros!$C$13:$C$19,MATCH(E177,Parâmetros!$A$13:$A$19,0))</f>
        <v>550</v>
      </c>
      <c r="J177" s="26" t="n">
        <f aca="false">IF(H177="","",Parâmetros!$B$5-H177)</f>
        <v>117</v>
      </c>
      <c r="K177" s="10" t="n">
        <f aca="false">INDEX(Parâmetros!$D$13:$D$19,MATCH(E177,Parâmetros!$A$13:$A$19,0))</f>
        <v>22</v>
      </c>
      <c r="L177" s="26" t="n">
        <f aca="false">IF(G177="Prospecting",Parâmetros!$B$9,IF(J177&gt;Parâmetros!$B$6,0,INDEX(Parâmetros!$C$24:$C$26,MATCH(J177,Parâmetros!$A$24:$A$26,1))))</f>
        <v>40</v>
      </c>
      <c r="M177" s="31" t="n">
        <f aca="false">IF(G177="Prospecting",1,INDEX(Parâmetros!$C$32:$C$35,MATCH(J177,Parâmetros!$A$32:$A$35,1)))</f>
        <v>1</v>
      </c>
      <c r="N177" s="2" t="n">
        <f aca="false">ROUND((K177+L177)*M177,0)</f>
        <v>62</v>
      </c>
      <c r="O177" s="10" t="str">
        <f aca="false">IF(AND(G177="Engaging",J177&gt;Parâmetros!$B$6),"Sim","Não")</f>
        <v>Não</v>
      </c>
      <c r="P177" s="32" t="str">
        <f aca="false">IF(O177="Sim","R",IF(N177&gt;=Parâmetros!$B$39,"A",IF(N177&gt;=Parâmetros!$B$40,"B",IF(N177&gt;=Parâmetros!$B$41,"C","D"))))</f>
        <v>B</v>
      </c>
      <c r="Q177" s="10" t="str">
        <f aca="false">IF(F177="","Completar cadastro","")</f>
        <v>Completar cadastro</v>
      </c>
      <c r="R177" s="10" t="str">
        <f aca="false">INDEX(Parâmetros!$D$39:$D$43,MATCH(P177,Parâmetros!$A$39:$A$43,0))</f>
        <v>Cadência padrão</v>
      </c>
    </row>
    <row r="178" customFormat="false" ht="15" hidden="false" customHeight="false" outlineLevel="0" collapsed="false">
      <c r="A178" s="10" t="s">
        <v>377</v>
      </c>
      <c r="B178" s="10" t="s">
        <v>96</v>
      </c>
      <c r="C178" s="10" t="s">
        <v>92</v>
      </c>
      <c r="D178" s="10" t="s">
        <v>160</v>
      </c>
      <c r="E178" s="10" t="s">
        <v>51</v>
      </c>
      <c r="F178" s="10" t="s">
        <v>378</v>
      </c>
      <c r="G178" s="10" t="s">
        <v>162</v>
      </c>
      <c r="H178" s="30" t="n">
        <v>42983</v>
      </c>
      <c r="I178" s="8" t="n">
        <f aca="false">INDEX(Parâmetros!$C$13:$C$19,MATCH(E178,Parâmetros!$A$13:$A$19,0))</f>
        <v>550</v>
      </c>
      <c r="J178" s="26" t="n">
        <f aca="false">IF(H178="","",Parâmetros!$B$5-H178)</f>
        <v>117</v>
      </c>
      <c r="K178" s="10" t="n">
        <f aca="false">INDEX(Parâmetros!$D$13:$D$19,MATCH(E178,Parâmetros!$A$13:$A$19,0))</f>
        <v>22</v>
      </c>
      <c r="L178" s="26" t="n">
        <f aca="false">IF(G178="Prospecting",Parâmetros!$B$9,IF(J178&gt;Parâmetros!$B$6,0,INDEX(Parâmetros!$C$24:$C$26,MATCH(J178,Parâmetros!$A$24:$A$26,1))))</f>
        <v>40</v>
      </c>
      <c r="M178" s="31" t="n">
        <f aca="false">IF(G178="Prospecting",1,INDEX(Parâmetros!$C$32:$C$35,MATCH(J178,Parâmetros!$A$32:$A$35,1)))</f>
        <v>1</v>
      </c>
      <c r="N178" s="2" t="n">
        <f aca="false">ROUND((K178+L178)*M178,0)</f>
        <v>62</v>
      </c>
      <c r="O178" s="10" t="str">
        <f aca="false">IF(AND(G178="Engaging",J178&gt;Parâmetros!$B$6),"Sim","Não")</f>
        <v>Não</v>
      </c>
      <c r="P178" s="32" t="str">
        <f aca="false">IF(O178="Sim","R",IF(N178&gt;=Parâmetros!$B$39,"A",IF(N178&gt;=Parâmetros!$B$40,"B",IF(N178&gt;=Parâmetros!$B$41,"C","D"))))</f>
        <v>B</v>
      </c>
      <c r="Q178" s="10" t="str">
        <f aca="false">IF(F178="","Completar cadastro","")</f>
        <v/>
      </c>
      <c r="R178" s="10" t="str">
        <f aca="false">INDEX(Parâmetros!$D$39:$D$43,MATCH(P178,Parâmetros!$A$39:$A$43,0))</f>
        <v>Cadência padrão</v>
      </c>
    </row>
    <row r="179" customFormat="false" ht="15" hidden="false" customHeight="false" outlineLevel="0" collapsed="false">
      <c r="A179" s="10" t="s">
        <v>379</v>
      </c>
      <c r="B179" s="10" t="s">
        <v>86</v>
      </c>
      <c r="C179" s="10" t="s">
        <v>85</v>
      </c>
      <c r="D179" s="10" t="s">
        <v>165</v>
      </c>
      <c r="E179" s="10" t="s">
        <v>51</v>
      </c>
      <c r="F179" s="10"/>
      <c r="G179" s="10" t="s">
        <v>162</v>
      </c>
      <c r="H179" s="30" t="n">
        <v>42984</v>
      </c>
      <c r="I179" s="8" t="n">
        <f aca="false">INDEX(Parâmetros!$C$13:$C$19,MATCH(E179,Parâmetros!$A$13:$A$19,0))</f>
        <v>550</v>
      </c>
      <c r="J179" s="26" t="n">
        <f aca="false">IF(H179="","",Parâmetros!$B$5-H179)</f>
        <v>116</v>
      </c>
      <c r="K179" s="10" t="n">
        <f aca="false">INDEX(Parâmetros!$D$13:$D$19,MATCH(E179,Parâmetros!$A$13:$A$19,0))</f>
        <v>22</v>
      </c>
      <c r="L179" s="26" t="n">
        <f aca="false">IF(G179="Prospecting",Parâmetros!$B$9,IF(J179&gt;Parâmetros!$B$6,0,INDEX(Parâmetros!$C$24:$C$26,MATCH(J179,Parâmetros!$A$24:$A$26,1))))</f>
        <v>40</v>
      </c>
      <c r="M179" s="31" t="n">
        <f aca="false">IF(G179="Prospecting",1,INDEX(Parâmetros!$C$32:$C$35,MATCH(J179,Parâmetros!$A$32:$A$35,1)))</f>
        <v>1</v>
      </c>
      <c r="N179" s="2" t="n">
        <f aca="false">ROUND((K179+L179)*M179,0)</f>
        <v>62</v>
      </c>
      <c r="O179" s="10" t="str">
        <f aca="false">IF(AND(G179="Engaging",J179&gt;Parâmetros!$B$6),"Sim","Não")</f>
        <v>Não</v>
      </c>
      <c r="P179" s="32" t="str">
        <f aca="false">IF(O179="Sim","R",IF(N179&gt;=Parâmetros!$B$39,"A",IF(N179&gt;=Parâmetros!$B$40,"B",IF(N179&gt;=Parâmetros!$B$41,"C","D"))))</f>
        <v>B</v>
      </c>
      <c r="Q179" s="10" t="str">
        <f aca="false">IF(F179="","Completar cadastro","")</f>
        <v>Completar cadastro</v>
      </c>
      <c r="R179" s="10" t="str">
        <f aca="false">INDEX(Parâmetros!$D$39:$D$43,MATCH(P179,Parâmetros!$A$39:$A$43,0))</f>
        <v>Cadência padrão</v>
      </c>
    </row>
    <row r="180" customFormat="false" ht="15" hidden="false" customHeight="false" outlineLevel="0" collapsed="false">
      <c r="A180" s="10" t="s">
        <v>380</v>
      </c>
      <c r="B180" s="10" t="s">
        <v>87</v>
      </c>
      <c r="C180" s="10" t="s">
        <v>85</v>
      </c>
      <c r="D180" s="10" t="s">
        <v>165</v>
      </c>
      <c r="E180" s="10" t="s">
        <v>51</v>
      </c>
      <c r="F180" s="10"/>
      <c r="G180" s="10" t="s">
        <v>162</v>
      </c>
      <c r="H180" s="30" t="n">
        <v>42984</v>
      </c>
      <c r="I180" s="8" t="n">
        <f aca="false">INDEX(Parâmetros!$C$13:$C$19,MATCH(E180,Parâmetros!$A$13:$A$19,0))</f>
        <v>550</v>
      </c>
      <c r="J180" s="26" t="n">
        <f aca="false">IF(H180="","",Parâmetros!$B$5-H180)</f>
        <v>116</v>
      </c>
      <c r="K180" s="10" t="n">
        <f aca="false">INDEX(Parâmetros!$D$13:$D$19,MATCH(E180,Parâmetros!$A$13:$A$19,0))</f>
        <v>22</v>
      </c>
      <c r="L180" s="26" t="n">
        <f aca="false">IF(G180="Prospecting",Parâmetros!$B$9,IF(J180&gt;Parâmetros!$B$6,0,INDEX(Parâmetros!$C$24:$C$26,MATCH(J180,Parâmetros!$A$24:$A$26,1))))</f>
        <v>40</v>
      </c>
      <c r="M180" s="31" t="n">
        <f aca="false">IF(G180="Prospecting",1,INDEX(Parâmetros!$C$32:$C$35,MATCH(J180,Parâmetros!$A$32:$A$35,1)))</f>
        <v>1</v>
      </c>
      <c r="N180" s="2" t="n">
        <f aca="false">ROUND((K180+L180)*M180,0)</f>
        <v>62</v>
      </c>
      <c r="O180" s="10" t="str">
        <f aca="false">IF(AND(G180="Engaging",J180&gt;Parâmetros!$B$6),"Sim","Não")</f>
        <v>Não</v>
      </c>
      <c r="P180" s="32" t="str">
        <f aca="false">IF(O180="Sim","R",IF(N180&gt;=Parâmetros!$B$39,"A",IF(N180&gt;=Parâmetros!$B$40,"B",IF(N180&gt;=Parâmetros!$B$41,"C","D"))))</f>
        <v>B</v>
      </c>
      <c r="Q180" s="10" t="str">
        <f aca="false">IF(F180="","Completar cadastro","")</f>
        <v>Completar cadastro</v>
      </c>
      <c r="R180" s="10" t="str">
        <f aca="false">INDEX(Parâmetros!$D$39:$D$43,MATCH(P180,Parâmetros!$A$39:$A$43,0))</f>
        <v>Cadência padrão</v>
      </c>
    </row>
    <row r="181" customFormat="false" ht="15" hidden="false" customHeight="false" outlineLevel="0" collapsed="false">
      <c r="A181" s="10" t="s">
        <v>381</v>
      </c>
      <c r="B181" s="10" t="s">
        <v>94</v>
      </c>
      <c r="C181" s="10" t="s">
        <v>92</v>
      </c>
      <c r="D181" s="10" t="s">
        <v>160</v>
      </c>
      <c r="E181" s="10" t="s">
        <v>51</v>
      </c>
      <c r="F181" s="10"/>
      <c r="G181" s="10" t="s">
        <v>162</v>
      </c>
      <c r="H181" s="30" t="n">
        <v>42984</v>
      </c>
      <c r="I181" s="8" t="n">
        <f aca="false">INDEX(Parâmetros!$C$13:$C$19,MATCH(E181,Parâmetros!$A$13:$A$19,0))</f>
        <v>550</v>
      </c>
      <c r="J181" s="26" t="n">
        <f aca="false">IF(H181="","",Parâmetros!$B$5-H181)</f>
        <v>116</v>
      </c>
      <c r="K181" s="10" t="n">
        <f aca="false">INDEX(Parâmetros!$D$13:$D$19,MATCH(E181,Parâmetros!$A$13:$A$19,0))</f>
        <v>22</v>
      </c>
      <c r="L181" s="26" t="n">
        <f aca="false">IF(G181="Prospecting",Parâmetros!$B$9,IF(J181&gt;Parâmetros!$B$6,0,INDEX(Parâmetros!$C$24:$C$26,MATCH(J181,Parâmetros!$A$24:$A$26,1))))</f>
        <v>40</v>
      </c>
      <c r="M181" s="31" t="n">
        <f aca="false">IF(G181="Prospecting",1,INDEX(Parâmetros!$C$32:$C$35,MATCH(J181,Parâmetros!$A$32:$A$35,1)))</f>
        <v>1</v>
      </c>
      <c r="N181" s="2" t="n">
        <f aca="false">ROUND((K181+L181)*M181,0)</f>
        <v>62</v>
      </c>
      <c r="O181" s="10" t="str">
        <f aca="false">IF(AND(G181="Engaging",J181&gt;Parâmetros!$B$6),"Sim","Não")</f>
        <v>Não</v>
      </c>
      <c r="P181" s="32" t="str">
        <f aca="false">IF(O181="Sim","R",IF(N181&gt;=Parâmetros!$B$39,"A",IF(N181&gt;=Parâmetros!$B$40,"B",IF(N181&gt;=Parâmetros!$B$41,"C","D"))))</f>
        <v>B</v>
      </c>
      <c r="Q181" s="10" t="str">
        <f aca="false">IF(F181="","Completar cadastro","")</f>
        <v>Completar cadastro</v>
      </c>
      <c r="R181" s="10" t="str">
        <f aca="false">INDEX(Parâmetros!$D$39:$D$43,MATCH(P181,Parâmetros!$A$39:$A$43,0))</f>
        <v>Cadência padrão</v>
      </c>
    </row>
    <row r="182" customFormat="false" ht="15" hidden="false" customHeight="false" outlineLevel="0" collapsed="false">
      <c r="A182" s="10" t="s">
        <v>382</v>
      </c>
      <c r="B182" s="10" t="s">
        <v>95</v>
      </c>
      <c r="C182" s="10" t="s">
        <v>92</v>
      </c>
      <c r="D182" s="10" t="s">
        <v>160</v>
      </c>
      <c r="E182" s="10" t="s">
        <v>51</v>
      </c>
      <c r="F182" s="10" t="s">
        <v>247</v>
      </c>
      <c r="G182" s="10" t="s">
        <v>162</v>
      </c>
      <c r="H182" s="30" t="n">
        <v>42984</v>
      </c>
      <c r="I182" s="8" t="n">
        <f aca="false">INDEX(Parâmetros!$C$13:$C$19,MATCH(E182,Parâmetros!$A$13:$A$19,0))</f>
        <v>550</v>
      </c>
      <c r="J182" s="26" t="n">
        <f aca="false">IF(H182="","",Parâmetros!$B$5-H182)</f>
        <v>116</v>
      </c>
      <c r="K182" s="10" t="n">
        <f aca="false">INDEX(Parâmetros!$D$13:$D$19,MATCH(E182,Parâmetros!$A$13:$A$19,0))</f>
        <v>22</v>
      </c>
      <c r="L182" s="26" t="n">
        <f aca="false">IF(G182="Prospecting",Parâmetros!$B$9,IF(J182&gt;Parâmetros!$B$6,0,INDEX(Parâmetros!$C$24:$C$26,MATCH(J182,Parâmetros!$A$24:$A$26,1))))</f>
        <v>40</v>
      </c>
      <c r="M182" s="31" t="n">
        <f aca="false">IF(G182="Prospecting",1,INDEX(Parâmetros!$C$32:$C$35,MATCH(J182,Parâmetros!$A$32:$A$35,1)))</f>
        <v>1</v>
      </c>
      <c r="N182" s="2" t="n">
        <f aca="false">ROUND((K182+L182)*M182,0)</f>
        <v>62</v>
      </c>
      <c r="O182" s="10" t="str">
        <f aca="false">IF(AND(G182="Engaging",J182&gt;Parâmetros!$B$6),"Sim","Não")</f>
        <v>Não</v>
      </c>
      <c r="P182" s="32" t="str">
        <f aca="false">IF(O182="Sim","R",IF(N182&gt;=Parâmetros!$B$39,"A",IF(N182&gt;=Parâmetros!$B$40,"B",IF(N182&gt;=Parâmetros!$B$41,"C","D"))))</f>
        <v>B</v>
      </c>
      <c r="Q182" s="10" t="str">
        <f aca="false">IF(F182="","Completar cadastro","")</f>
        <v/>
      </c>
      <c r="R182" s="10" t="str">
        <f aca="false">INDEX(Parâmetros!$D$39:$D$43,MATCH(P182,Parâmetros!$A$39:$A$43,0))</f>
        <v>Cadência padrão</v>
      </c>
    </row>
    <row r="183" customFormat="false" ht="15" hidden="false" customHeight="false" outlineLevel="0" collapsed="false">
      <c r="A183" s="10" t="s">
        <v>383</v>
      </c>
      <c r="B183" s="10" t="s">
        <v>97</v>
      </c>
      <c r="C183" s="10" t="s">
        <v>92</v>
      </c>
      <c r="D183" s="10" t="s">
        <v>160</v>
      </c>
      <c r="E183" s="10" t="s">
        <v>51</v>
      </c>
      <c r="F183" s="10" t="s">
        <v>384</v>
      </c>
      <c r="G183" s="10" t="s">
        <v>162</v>
      </c>
      <c r="H183" s="30" t="n">
        <v>42985</v>
      </c>
      <c r="I183" s="8" t="n">
        <f aca="false">INDEX(Parâmetros!$C$13:$C$19,MATCH(E183,Parâmetros!$A$13:$A$19,0))</f>
        <v>550</v>
      </c>
      <c r="J183" s="26" t="n">
        <f aca="false">IF(H183="","",Parâmetros!$B$5-H183)</f>
        <v>115</v>
      </c>
      <c r="K183" s="10" t="n">
        <f aca="false">INDEX(Parâmetros!$D$13:$D$19,MATCH(E183,Parâmetros!$A$13:$A$19,0))</f>
        <v>22</v>
      </c>
      <c r="L183" s="26" t="n">
        <f aca="false">IF(G183="Prospecting",Parâmetros!$B$9,IF(J183&gt;Parâmetros!$B$6,0,INDEX(Parâmetros!$C$24:$C$26,MATCH(J183,Parâmetros!$A$24:$A$26,1))))</f>
        <v>40</v>
      </c>
      <c r="M183" s="31" t="n">
        <f aca="false">IF(G183="Prospecting",1,INDEX(Parâmetros!$C$32:$C$35,MATCH(J183,Parâmetros!$A$32:$A$35,1)))</f>
        <v>1</v>
      </c>
      <c r="N183" s="2" t="n">
        <f aca="false">ROUND((K183+L183)*M183,0)</f>
        <v>62</v>
      </c>
      <c r="O183" s="10" t="str">
        <f aca="false">IF(AND(G183="Engaging",J183&gt;Parâmetros!$B$6),"Sim","Não")</f>
        <v>Não</v>
      </c>
      <c r="P183" s="32" t="str">
        <f aca="false">IF(O183="Sim","R",IF(N183&gt;=Parâmetros!$B$39,"A",IF(N183&gt;=Parâmetros!$B$40,"B",IF(N183&gt;=Parâmetros!$B$41,"C","D"))))</f>
        <v>B</v>
      </c>
      <c r="Q183" s="10" t="str">
        <f aca="false">IF(F183="","Completar cadastro","")</f>
        <v/>
      </c>
      <c r="R183" s="10" t="str">
        <f aca="false">INDEX(Parâmetros!$D$39:$D$43,MATCH(P183,Parâmetros!$A$39:$A$43,0))</f>
        <v>Cadência padrão</v>
      </c>
    </row>
    <row r="184" customFormat="false" ht="15" hidden="false" customHeight="false" outlineLevel="0" collapsed="false">
      <c r="A184" s="10" t="s">
        <v>385</v>
      </c>
      <c r="B184" s="10" t="s">
        <v>57</v>
      </c>
      <c r="C184" s="10" t="s">
        <v>58</v>
      </c>
      <c r="D184" s="10" t="s">
        <v>165</v>
      </c>
      <c r="E184" s="10" t="s">
        <v>51</v>
      </c>
      <c r="F184" s="10"/>
      <c r="G184" s="10" t="s">
        <v>162</v>
      </c>
      <c r="H184" s="30" t="n">
        <v>42989</v>
      </c>
      <c r="I184" s="8" t="n">
        <f aca="false">INDEX(Parâmetros!$C$13:$C$19,MATCH(E184,Parâmetros!$A$13:$A$19,0))</f>
        <v>550</v>
      </c>
      <c r="J184" s="26" t="n">
        <f aca="false">IF(H184="","",Parâmetros!$B$5-H184)</f>
        <v>111</v>
      </c>
      <c r="K184" s="10" t="n">
        <f aca="false">INDEX(Parâmetros!$D$13:$D$19,MATCH(E184,Parâmetros!$A$13:$A$19,0))</f>
        <v>22</v>
      </c>
      <c r="L184" s="26" t="n">
        <f aca="false">IF(G184="Prospecting",Parâmetros!$B$9,IF(J184&gt;Parâmetros!$B$6,0,INDEX(Parâmetros!$C$24:$C$26,MATCH(J184,Parâmetros!$A$24:$A$26,1))))</f>
        <v>40</v>
      </c>
      <c r="M184" s="31" t="n">
        <f aca="false">IF(G184="Prospecting",1,INDEX(Parâmetros!$C$32:$C$35,MATCH(J184,Parâmetros!$A$32:$A$35,1)))</f>
        <v>1</v>
      </c>
      <c r="N184" s="2" t="n">
        <f aca="false">ROUND((K184+L184)*M184,0)</f>
        <v>62</v>
      </c>
      <c r="O184" s="10" t="str">
        <f aca="false">IF(AND(G184="Engaging",J184&gt;Parâmetros!$B$6),"Sim","Não")</f>
        <v>Não</v>
      </c>
      <c r="P184" s="32" t="str">
        <f aca="false">IF(O184="Sim","R",IF(N184&gt;=Parâmetros!$B$39,"A",IF(N184&gt;=Parâmetros!$B$40,"B",IF(N184&gt;=Parâmetros!$B$41,"C","D"))))</f>
        <v>B</v>
      </c>
      <c r="Q184" s="10" t="str">
        <f aca="false">IF(F184="","Completar cadastro","")</f>
        <v>Completar cadastro</v>
      </c>
      <c r="R184" s="10" t="str">
        <f aca="false">INDEX(Parâmetros!$D$39:$D$43,MATCH(P184,Parâmetros!$A$39:$A$43,0))</f>
        <v>Cadência padrão</v>
      </c>
    </row>
    <row r="185" customFormat="false" ht="15" hidden="false" customHeight="false" outlineLevel="0" collapsed="false">
      <c r="A185" s="10" t="s">
        <v>386</v>
      </c>
      <c r="B185" s="10" t="s">
        <v>86</v>
      </c>
      <c r="C185" s="10" t="s">
        <v>85</v>
      </c>
      <c r="D185" s="10" t="s">
        <v>165</v>
      </c>
      <c r="E185" s="10" t="s">
        <v>51</v>
      </c>
      <c r="F185" s="10"/>
      <c r="G185" s="10" t="s">
        <v>162</v>
      </c>
      <c r="H185" s="30" t="n">
        <v>42990</v>
      </c>
      <c r="I185" s="8" t="n">
        <f aca="false">INDEX(Parâmetros!$C$13:$C$19,MATCH(E185,Parâmetros!$A$13:$A$19,0))</f>
        <v>550</v>
      </c>
      <c r="J185" s="26" t="n">
        <f aca="false">IF(H185="","",Parâmetros!$B$5-H185)</f>
        <v>110</v>
      </c>
      <c r="K185" s="10" t="n">
        <f aca="false">INDEX(Parâmetros!$D$13:$D$19,MATCH(E185,Parâmetros!$A$13:$A$19,0))</f>
        <v>22</v>
      </c>
      <c r="L185" s="26" t="n">
        <f aca="false">IF(G185="Prospecting",Parâmetros!$B$9,IF(J185&gt;Parâmetros!$B$6,0,INDEX(Parâmetros!$C$24:$C$26,MATCH(J185,Parâmetros!$A$24:$A$26,1))))</f>
        <v>40</v>
      </c>
      <c r="M185" s="31" t="n">
        <f aca="false">IF(G185="Prospecting",1,INDEX(Parâmetros!$C$32:$C$35,MATCH(J185,Parâmetros!$A$32:$A$35,1)))</f>
        <v>1</v>
      </c>
      <c r="N185" s="2" t="n">
        <f aca="false">ROUND((K185+L185)*M185,0)</f>
        <v>62</v>
      </c>
      <c r="O185" s="10" t="str">
        <f aca="false">IF(AND(G185="Engaging",J185&gt;Parâmetros!$B$6),"Sim","Não")</f>
        <v>Não</v>
      </c>
      <c r="P185" s="32" t="str">
        <f aca="false">IF(O185="Sim","R",IF(N185&gt;=Parâmetros!$B$39,"A",IF(N185&gt;=Parâmetros!$B$40,"B",IF(N185&gt;=Parâmetros!$B$41,"C","D"))))</f>
        <v>B</v>
      </c>
      <c r="Q185" s="10" t="str">
        <f aca="false">IF(F185="","Completar cadastro","")</f>
        <v>Completar cadastro</v>
      </c>
      <c r="R185" s="10" t="str">
        <f aca="false">INDEX(Parâmetros!$D$39:$D$43,MATCH(P185,Parâmetros!$A$39:$A$43,0))</f>
        <v>Cadência padrão</v>
      </c>
    </row>
    <row r="186" customFormat="false" ht="15" hidden="false" customHeight="false" outlineLevel="0" collapsed="false">
      <c r="A186" s="10" t="s">
        <v>387</v>
      </c>
      <c r="B186" s="10" t="s">
        <v>70</v>
      </c>
      <c r="C186" s="10" t="s">
        <v>65</v>
      </c>
      <c r="D186" s="10" t="s">
        <v>160</v>
      </c>
      <c r="E186" s="10" t="s">
        <v>51</v>
      </c>
      <c r="F186" s="10" t="s">
        <v>388</v>
      </c>
      <c r="G186" s="10" t="s">
        <v>162</v>
      </c>
      <c r="H186" s="30" t="n">
        <v>42990</v>
      </c>
      <c r="I186" s="8" t="n">
        <f aca="false">INDEX(Parâmetros!$C$13:$C$19,MATCH(E186,Parâmetros!$A$13:$A$19,0))</f>
        <v>550</v>
      </c>
      <c r="J186" s="26" t="n">
        <f aca="false">IF(H186="","",Parâmetros!$B$5-H186)</f>
        <v>110</v>
      </c>
      <c r="K186" s="10" t="n">
        <f aca="false">INDEX(Parâmetros!$D$13:$D$19,MATCH(E186,Parâmetros!$A$13:$A$19,0))</f>
        <v>22</v>
      </c>
      <c r="L186" s="26" t="n">
        <f aca="false">IF(G186="Prospecting",Parâmetros!$B$9,IF(J186&gt;Parâmetros!$B$6,0,INDEX(Parâmetros!$C$24:$C$26,MATCH(J186,Parâmetros!$A$24:$A$26,1))))</f>
        <v>40</v>
      </c>
      <c r="M186" s="31" t="n">
        <f aca="false">IF(G186="Prospecting",1,INDEX(Parâmetros!$C$32:$C$35,MATCH(J186,Parâmetros!$A$32:$A$35,1)))</f>
        <v>1</v>
      </c>
      <c r="N186" s="2" t="n">
        <f aca="false">ROUND((K186+L186)*M186,0)</f>
        <v>62</v>
      </c>
      <c r="O186" s="10" t="str">
        <f aca="false">IF(AND(G186="Engaging",J186&gt;Parâmetros!$B$6),"Sim","Não")</f>
        <v>Não</v>
      </c>
      <c r="P186" s="32" t="str">
        <f aca="false">IF(O186="Sim","R",IF(N186&gt;=Parâmetros!$B$39,"A",IF(N186&gt;=Parâmetros!$B$40,"B",IF(N186&gt;=Parâmetros!$B$41,"C","D"))))</f>
        <v>B</v>
      </c>
      <c r="Q186" s="10" t="str">
        <f aca="false">IF(F186="","Completar cadastro","")</f>
        <v/>
      </c>
      <c r="R186" s="10" t="str">
        <f aca="false">INDEX(Parâmetros!$D$39:$D$43,MATCH(P186,Parâmetros!$A$39:$A$43,0))</f>
        <v>Cadência padrão</v>
      </c>
    </row>
    <row r="187" customFormat="false" ht="15" hidden="false" customHeight="false" outlineLevel="0" collapsed="false">
      <c r="A187" s="10" t="s">
        <v>389</v>
      </c>
      <c r="B187" s="10" t="s">
        <v>97</v>
      </c>
      <c r="C187" s="10" t="s">
        <v>92</v>
      </c>
      <c r="D187" s="10" t="s">
        <v>160</v>
      </c>
      <c r="E187" s="10" t="s">
        <v>51</v>
      </c>
      <c r="F187" s="10"/>
      <c r="G187" s="10" t="s">
        <v>162</v>
      </c>
      <c r="H187" s="30" t="n">
        <v>42992</v>
      </c>
      <c r="I187" s="8" t="n">
        <f aca="false">INDEX(Parâmetros!$C$13:$C$19,MATCH(E187,Parâmetros!$A$13:$A$19,0))</f>
        <v>550</v>
      </c>
      <c r="J187" s="26" t="n">
        <f aca="false">IF(H187="","",Parâmetros!$B$5-H187)</f>
        <v>108</v>
      </c>
      <c r="K187" s="10" t="n">
        <f aca="false">INDEX(Parâmetros!$D$13:$D$19,MATCH(E187,Parâmetros!$A$13:$A$19,0))</f>
        <v>22</v>
      </c>
      <c r="L187" s="26" t="n">
        <f aca="false">IF(G187="Prospecting",Parâmetros!$B$9,IF(J187&gt;Parâmetros!$B$6,0,INDEX(Parâmetros!$C$24:$C$26,MATCH(J187,Parâmetros!$A$24:$A$26,1))))</f>
        <v>40</v>
      </c>
      <c r="M187" s="31" t="n">
        <f aca="false">IF(G187="Prospecting",1,INDEX(Parâmetros!$C$32:$C$35,MATCH(J187,Parâmetros!$A$32:$A$35,1)))</f>
        <v>1</v>
      </c>
      <c r="N187" s="2" t="n">
        <f aca="false">ROUND((K187+L187)*M187,0)</f>
        <v>62</v>
      </c>
      <c r="O187" s="10" t="str">
        <f aca="false">IF(AND(G187="Engaging",J187&gt;Parâmetros!$B$6),"Sim","Não")</f>
        <v>Não</v>
      </c>
      <c r="P187" s="32" t="str">
        <f aca="false">IF(O187="Sim","R",IF(N187&gt;=Parâmetros!$B$39,"A",IF(N187&gt;=Parâmetros!$B$40,"B",IF(N187&gt;=Parâmetros!$B$41,"C","D"))))</f>
        <v>B</v>
      </c>
      <c r="Q187" s="10" t="str">
        <f aca="false">IF(F187="","Completar cadastro","")</f>
        <v>Completar cadastro</v>
      </c>
      <c r="R187" s="10" t="str">
        <f aca="false">INDEX(Parâmetros!$D$39:$D$43,MATCH(P187,Parâmetros!$A$39:$A$43,0))</f>
        <v>Cadência padrão</v>
      </c>
    </row>
    <row r="188" customFormat="false" ht="15" hidden="false" customHeight="false" outlineLevel="0" collapsed="false">
      <c r="A188" s="10" t="s">
        <v>390</v>
      </c>
      <c r="B188" s="10" t="s">
        <v>57</v>
      </c>
      <c r="C188" s="10" t="s">
        <v>58</v>
      </c>
      <c r="D188" s="10" t="s">
        <v>165</v>
      </c>
      <c r="E188" s="10" t="s">
        <v>51</v>
      </c>
      <c r="F188" s="10"/>
      <c r="G188" s="10" t="s">
        <v>162</v>
      </c>
      <c r="H188" s="30" t="n">
        <v>42993</v>
      </c>
      <c r="I188" s="8" t="n">
        <f aca="false">INDEX(Parâmetros!$C$13:$C$19,MATCH(E188,Parâmetros!$A$13:$A$19,0))</f>
        <v>550</v>
      </c>
      <c r="J188" s="26" t="n">
        <f aca="false">IF(H188="","",Parâmetros!$B$5-H188)</f>
        <v>107</v>
      </c>
      <c r="K188" s="10" t="n">
        <f aca="false">INDEX(Parâmetros!$D$13:$D$19,MATCH(E188,Parâmetros!$A$13:$A$19,0))</f>
        <v>22</v>
      </c>
      <c r="L188" s="26" t="n">
        <f aca="false">IF(G188="Prospecting",Parâmetros!$B$9,IF(J188&gt;Parâmetros!$B$6,0,INDEX(Parâmetros!$C$24:$C$26,MATCH(J188,Parâmetros!$A$24:$A$26,1))))</f>
        <v>40</v>
      </c>
      <c r="M188" s="31" t="n">
        <f aca="false">IF(G188="Prospecting",1,INDEX(Parâmetros!$C$32:$C$35,MATCH(J188,Parâmetros!$A$32:$A$35,1)))</f>
        <v>1</v>
      </c>
      <c r="N188" s="2" t="n">
        <f aca="false">ROUND((K188+L188)*M188,0)</f>
        <v>62</v>
      </c>
      <c r="O188" s="10" t="str">
        <f aca="false">IF(AND(G188="Engaging",J188&gt;Parâmetros!$B$6),"Sim","Não")</f>
        <v>Não</v>
      </c>
      <c r="P188" s="32" t="str">
        <f aca="false">IF(O188="Sim","R",IF(N188&gt;=Parâmetros!$B$39,"A",IF(N188&gt;=Parâmetros!$B$40,"B",IF(N188&gt;=Parâmetros!$B$41,"C","D"))))</f>
        <v>B</v>
      </c>
      <c r="Q188" s="10" t="str">
        <f aca="false">IF(F188="","Completar cadastro","")</f>
        <v>Completar cadastro</v>
      </c>
      <c r="R188" s="10" t="str">
        <f aca="false">INDEX(Parâmetros!$D$39:$D$43,MATCH(P188,Parâmetros!$A$39:$A$43,0))</f>
        <v>Cadência padrão</v>
      </c>
    </row>
    <row r="189" customFormat="false" ht="15" hidden="false" customHeight="false" outlineLevel="0" collapsed="false">
      <c r="A189" s="10" t="s">
        <v>391</v>
      </c>
      <c r="B189" s="10" t="s">
        <v>94</v>
      </c>
      <c r="C189" s="10" t="s">
        <v>92</v>
      </c>
      <c r="D189" s="10" t="s">
        <v>160</v>
      </c>
      <c r="E189" s="10" t="s">
        <v>51</v>
      </c>
      <c r="F189" s="10"/>
      <c r="G189" s="10" t="s">
        <v>162</v>
      </c>
      <c r="H189" s="30" t="n">
        <v>42995</v>
      </c>
      <c r="I189" s="8" t="n">
        <f aca="false">INDEX(Parâmetros!$C$13:$C$19,MATCH(E189,Parâmetros!$A$13:$A$19,0))</f>
        <v>550</v>
      </c>
      <c r="J189" s="26" t="n">
        <f aca="false">IF(H189="","",Parâmetros!$B$5-H189)</f>
        <v>105</v>
      </c>
      <c r="K189" s="10" t="n">
        <f aca="false">INDEX(Parâmetros!$D$13:$D$19,MATCH(E189,Parâmetros!$A$13:$A$19,0))</f>
        <v>22</v>
      </c>
      <c r="L189" s="26" t="n">
        <f aca="false">IF(G189="Prospecting",Parâmetros!$B$9,IF(J189&gt;Parâmetros!$B$6,0,INDEX(Parâmetros!$C$24:$C$26,MATCH(J189,Parâmetros!$A$24:$A$26,1))))</f>
        <v>40</v>
      </c>
      <c r="M189" s="31" t="n">
        <f aca="false">IF(G189="Prospecting",1,INDEX(Parâmetros!$C$32:$C$35,MATCH(J189,Parâmetros!$A$32:$A$35,1)))</f>
        <v>1</v>
      </c>
      <c r="N189" s="2" t="n">
        <f aca="false">ROUND((K189+L189)*M189,0)</f>
        <v>62</v>
      </c>
      <c r="O189" s="10" t="str">
        <f aca="false">IF(AND(G189="Engaging",J189&gt;Parâmetros!$B$6),"Sim","Não")</f>
        <v>Não</v>
      </c>
      <c r="P189" s="32" t="str">
        <f aca="false">IF(O189="Sim","R",IF(N189&gt;=Parâmetros!$B$39,"A",IF(N189&gt;=Parâmetros!$B$40,"B",IF(N189&gt;=Parâmetros!$B$41,"C","D"))))</f>
        <v>B</v>
      </c>
      <c r="Q189" s="10" t="str">
        <f aca="false">IF(F189="","Completar cadastro","")</f>
        <v>Completar cadastro</v>
      </c>
      <c r="R189" s="10" t="str">
        <f aca="false">INDEX(Parâmetros!$D$39:$D$43,MATCH(P189,Parâmetros!$A$39:$A$43,0))</f>
        <v>Cadência padrão</v>
      </c>
    </row>
    <row r="190" customFormat="false" ht="15" hidden="false" customHeight="false" outlineLevel="0" collapsed="false">
      <c r="A190" s="10" t="s">
        <v>392</v>
      </c>
      <c r="B190" s="10" t="s">
        <v>95</v>
      </c>
      <c r="C190" s="10" t="s">
        <v>92</v>
      </c>
      <c r="D190" s="10" t="s">
        <v>160</v>
      </c>
      <c r="E190" s="10" t="s">
        <v>51</v>
      </c>
      <c r="F190" s="10"/>
      <c r="G190" s="10" t="s">
        <v>162</v>
      </c>
      <c r="H190" s="30" t="n">
        <v>42996</v>
      </c>
      <c r="I190" s="8" t="n">
        <f aca="false">INDEX(Parâmetros!$C$13:$C$19,MATCH(E190,Parâmetros!$A$13:$A$19,0))</f>
        <v>550</v>
      </c>
      <c r="J190" s="26" t="n">
        <f aca="false">IF(H190="","",Parâmetros!$B$5-H190)</f>
        <v>104</v>
      </c>
      <c r="K190" s="10" t="n">
        <f aca="false">INDEX(Parâmetros!$D$13:$D$19,MATCH(E190,Parâmetros!$A$13:$A$19,0))</f>
        <v>22</v>
      </c>
      <c r="L190" s="26" t="n">
        <f aca="false">IF(G190="Prospecting",Parâmetros!$B$9,IF(J190&gt;Parâmetros!$B$6,0,INDEX(Parâmetros!$C$24:$C$26,MATCH(J190,Parâmetros!$A$24:$A$26,1))))</f>
        <v>40</v>
      </c>
      <c r="M190" s="31" t="n">
        <f aca="false">IF(G190="Prospecting",1,INDEX(Parâmetros!$C$32:$C$35,MATCH(J190,Parâmetros!$A$32:$A$35,1)))</f>
        <v>1</v>
      </c>
      <c r="N190" s="2" t="n">
        <f aca="false">ROUND((K190+L190)*M190,0)</f>
        <v>62</v>
      </c>
      <c r="O190" s="10" t="str">
        <f aca="false">IF(AND(G190="Engaging",J190&gt;Parâmetros!$B$6),"Sim","Não")</f>
        <v>Não</v>
      </c>
      <c r="P190" s="32" t="str">
        <f aca="false">IF(O190="Sim","R",IF(N190&gt;=Parâmetros!$B$39,"A",IF(N190&gt;=Parâmetros!$B$40,"B",IF(N190&gt;=Parâmetros!$B$41,"C","D"))))</f>
        <v>B</v>
      </c>
      <c r="Q190" s="10" t="str">
        <f aca="false">IF(F190="","Completar cadastro","")</f>
        <v>Completar cadastro</v>
      </c>
      <c r="R190" s="10" t="str">
        <f aca="false">INDEX(Parâmetros!$D$39:$D$43,MATCH(P190,Parâmetros!$A$39:$A$43,0))</f>
        <v>Cadência padrão</v>
      </c>
    </row>
    <row r="191" customFormat="false" ht="15" hidden="false" customHeight="false" outlineLevel="0" collapsed="false">
      <c r="A191" s="10" t="s">
        <v>393</v>
      </c>
      <c r="B191" s="10" t="s">
        <v>94</v>
      </c>
      <c r="C191" s="10" t="s">
        <v>92</v>
      </c>
      <c r="D191" s="10" t="s">
        <v>160</v>
      </c>
      <c r="E191" s="10" t="s">
        <v>51</v>
      </c>
      <c r="F191" s="10"/>
      <c r="G191" s="10" t="s">
        <v>162</v>
      </c>
      <c r="H191" s="30" t="n">
        <v>43001</v>
      </c>
      <c r="I191" s="8" t="n">
        <f aca="false">INDEX(Parâmetros!$C$13:$C$19,MATCH(E191,Parâmetros!$A$13:$A$19,0))</f>
        <v>550</v>
      </c>
      <c r="J191" s="26" t="n">
        <f aca="false">IF(H191="","",Parâmetros!$B$5-H191)</f>
        <v>99</v>
      </c>
      <c r="K191" s="10" t="n">
        <f aca="false">INDEX(Parâmetros!$D$13:$D$19,MATCH(E191,Parâmetros!$A$13:$A$19,0))</f>
        <v>22</v>
      </c>
      <c r="L191" s="26" t="n">
        <f aca="false">IF(G191="Prospecting",Parâmetros!$B$9,IF(J191&gt;Parâmetros!$B$6,0,INDEX(Parâmetros!$C$24:$C$26,MATCH(J191,Parâmetros!$A$24:$A$26,1))))</f>
        <v>40</v>
      </c>
      <c r="M191" s="31" t="n">
        <f aca="false">IF(G191="Prospecting",1,INDEX(Parâmetros!$C$32:$C$35,MATCH(J191,Parâmetros!$A$32:$A$35,1)))</f>
        <v>1</v>
      </c>
      <c r="N191" s="2" t="n">
        <f aca="false">ROUND((K191+L191)*M191,0)</f>
        <v>62</v>
      </c>
      <c r="O191" s="10" t="str">
        <f aca="false">IF(AND(G191="Engaging",J191&gt;Parâmetros!$B$6),"Sim","Não")</f>
        <v>Não</v>
      </c>
      <c r="P191" s="32" t="str">
        <f aca="false">IF(O191="Sim","R",IF(N191&gt;=Parâmetros!$B$39,"A",IF(N191&gt;=Parâmetros!$B$40,"B",IF(N191&gt;=Parâmetros!$B$41,"C","D"))))</f>
        <v>B</v>
      </c>
      <c r="Q191" s="10" t="str">
        <f aca="false">IF(F191="","Completar cadastro","")</f>
        <v>Completar cadastro</v>
      </c>
      <c r="R191" s="10" t="str">
        <f aca="false">INDEX(Parâmetros!$D$39:$D$43,MATCH(P191,Parâmetros!$A$39:$A$43,0))</f>
        <v>Cadência padrão</v>
      </c>
    </row>
    <row r="192" customFormat="false" ht="15" hidden="false" customHeight="false" outlineLevel="0" collapsed="false">
      <c r="A192" s="10" t="s">
        <v>394</v>
      </c>
      <c r="B192" s="10" t="s">
        <v>95</v>
      </c>
      <c r="C192" s="10" t="s">
        <v>92</v>
      </c>
      <c r="D192" s="10" t="s">
        <v>160</v>
      </c>
      <c r="E192" s="10" t="s">
        <v>51</v>
      </c>
      <c r="F192" s="10"/>
      <c r="G192" s="10" t="s">
        <v>162</v>
      </c>
      <c r="H192" s="30" t="n">
        <v>43008</v>
      </c>
      <c r="I192" s="8" t="n">
        <f aca="false">INDEX(Parâmetros!$C$13:$C$19,MATCH(E192,Parâmetros!$A$13:$A$19,0))</f>
        <v>550</v>
      </c>
      <c r="J192" s="26" t="n">
        <f aca="false">IF(H192="","",Parâmetros!$B$5-H192)</f>
        <v>92</v>
      </c>
      <c r="K192" s="10" t="n">
        <f aca="false">INDEX(Parâmetros!$D$13:$D$19,MATCH(E192,Parâmetros!$A$13:$A$19,0))</f>
        <v>22</v>
      </c>
      <c r="L192" s="26" t="n">
        <f aca="false">IF(G192="Prospecting",Parâmetros!$B$9,IF(J192&gt;Parâmetros!$B$6,0,INDEX(Parâmetros!$C$24:$C$26,MATCH(J192,Parâmetros!$A$24:$A$26,1))))</f>
        <v>40</v>
      </c>
      <c r="M192" s="31" t="n">
        <f aca="false">IF(G192="Prospecting",1,INDEX(Parâmetros!$C$32:$C$35,MATCH(J192,Parâmetros!$A$32:$A$35,1)))</f>
        <v>1</v>
      </c>
      <c r="N192" s="2" t="n">
        <f aca="false">ROUND((K192+L192)*M192,0)</f>
        <v>62</v>
      </c>
      <c r="O192" s="10" t="str">
        <f aca="false">IF(AND(G192="Engaging",J192&gt;Parâmetros!$B$6),"Sim","Não")</f>
        <v>Não</v>
      </c>
      <c r="P192" s="32" t="str">
        <f aca="false">IF(O192="Sim","R",IF(N192&gt;=Parâmetros!$B$39,"A",IF(N192&gt;=Parâmetros!$B$40,"B",IF(N192&gt;=Parâmetros!$B$41,"C","D"))))</f>
        <v>B</v>
      </c>
      <c r="Q192" s="10" t="str">
        <f aca="false">IF(F192="","Completar cadastro","")</f>
        <v>Completar cadastro</v>
      </c>
      <c r="R192" s="10" t="str">
        <f aca="false">INDEX(Parâmetros!$D$39:$D$43,MATCH(P192,Parâmetros!$A$39:$A$43,0))</f>
        <v>Cadência padrão</v>
      </c>
    </row>
    <row r="193" customFormat="false" ht="15" hidden="false" customHeight="false" outlineLevel="0" collapsed="false">
      <c r="A193" s="10" t="s">
        <v>395</v>
      </c>
      <c r="B193" s="10" t="s">
        <v>86</v>
      </c>
      <c r="C193" s="10" t="s">
        <v>85</v>
      </c>
      <c r="D193" s="10" t="s">
        <v>165</v>
      </c>
      <c r="E193" s="10" t="s">
        <v>51</v>
      </c>
      <c r="F193" s="10" t="s">
        <v>396</v>
      </c>
      <c r="G193" s="10" t="s">
        <v>162</v>
      </c>
      <c r="H193" s="30" t="n">
        <v>43009</v>
      </c>
      <c r="I193" s="8" t="n">
        <f aca="false">INDEX(Parâmetros!$C$13:$C$19,MATCH(E193,Parâmetros!$A$13:$A$19,0))</f>
        <v>550</v>
      </c>
      <c r="J193" s="26" t="n">
        <f aca="false">IF(H193="","",Parâmetros!$B$5-H193)</f>
        <v>91</v>
      </c>
      <c r="K193" s="10" t="n">
        <f aca="false">INDEX(Parâmetros!$D$13:$D$19,MATCH(E193,Parâmetros!$A$13:$A$19,0))</f>
        <v>22</v>
      </c>
      <c r="L193" s="26" t="n">
        <f aca="false">IF(G193="Prospecting",Parâmetros!$B$9,IF(J193&gt;Parâmetros!$B$6,0,INDEX(Parâmetros!$C$24:$C$26,MATCH(J193,Parâmetros!$A$24:$A$26,1))))</f>
        <v>40</v>
      </c>
      <c r="M193" s="31" t="n">
        <f aca="false">IF(G193="Prospecting",1,INDEX(Parâmetros!$C$32:$C$35,MATCH(J193,Parâmetros!$A$32:$A$35,1)))</f>
        <v>1</v>
      </c>
      <c r="N193" s="2" t="n">
        <f aca="false">ROUND((K193+L193)*M193,0)</f>
        <v>62</v>
      </c>
      <c r="O193" s="10" t="str">
        <f aca="false">IF(AND(G193="Engaging",J193&gt;Parâmetros!$B$6),"Sim","Não")</f>
        <v>Não</v>
      </c>
      <c r="P193" s="32" t="str">
        <f aca="false">IF(O193="Sim","R",IF(N193&gt;=Parâmetros!$B$39,"A",IF(N193&gt;=Parâmetros!$B$40,"B",IF(N193&gt;=Parâmetros!$B$41,"C","D"))))</f>
        <v>B</v>
      </c>
      <c r="Q193" s="10" t="str">
        <f aca="false">IF(F193="","Completar cadastro","")</f>
        <v/>
      </c>
      <c r="R193" s="10" t="str">
        <f aca="false">INDEX(Parâmetros!$D$39:$D$43,MATCH(P193,Parâmetros!$A$39:$A$43,0))</f>
        <v>Cadência padrão</v>
      </c>
    </row>
    <row r="194" customFormat="false" ht="15" hidden="false" customHeight="false" outlineLevel="0" collapsed="false">
      <c r="A194" s="10" t="s">
        <v>397</v>
      </c>
      <c r="B194" s="10" t="s">
        <v>87</v>
      </c>
      <c r="C194" s="10" t="s">
        <v>85</v>
      </c>
      <c r="D194" s="10" t="s">
        <v>165</v>
      </c>
      <c r="E194" s="10" t="s">
        <v>50</v>
      </c>
      <c r="F194" s="10"/>
      <c r="G194" s="10" t="s">
        <v>162</v>
      </c>
      <c r="H194" s="30" t="n">
        <v>43012</v>
      </c>
      <c r="I194" s="8" t="n">
        <f aca="false">INDEX(Parâmetros!$C$13:$C$19,MATCH(E194,Parâmetros!$A$13:$A$19,0))</f>
        <v>1096</v>
      </c>
      <c r="J194" s="26" t="n">
        <f aca="false">IF(H194="","",Parâmetros!$B$5-H194)</f>
        <v>88</v>
      </c>
      <c r="K194" s="10" t="n">
        <f aca="false">INDEX(Parâmetros!$D$13:$D$19,MATCH(E194,Parâmetros!$A$13:$A$19,0))</f>
        <v>29</v>
      </c>
      <c r="L194" s="26" t="n">
        <f aca="false">IF(G194="Prospecting",Parâmetros!$B$9,IF(J194&gt;Parâmetros!$B$6,0,INDEX(Parâmetros!$C$24:$C$26,MATCH(J194,Parâmetros!$A$24:$A$26,1))))</f>
        <v>32</v>
      </c>
      <c r="M194" s="31" t="n">
        <f aca="false">IF(G194="Prospecting",1,INDEX(Parâmetros!$C$32:$C$35,MATCH(J194,Parâmetros!$A$32:$A$35,1)))</f>
        <v>1</v>
      </c>
      <c r="N194" s="2" t="n">
        <f aca="false">ROUND((K194+L194)*M194,0)</f>
        <v>61</v>
      </c>
      <c r="O194" s="10" t="str">
        <f aca="false">IF(AND(G194="Engaging",J194&gt;Parâmetros!$B$6),"Sim","Não")</f>
        <v>Não</v>
      </c>
      <c r="P194" s="32" t="str">
        <f aca="false">IF(O194="Sim","R",IF(N194&gt;=Parâmetros!$B$39,"A",IF(N194&gt;=Parâmetros!$B$40,"B",IF(N194&gt;=Parâmetros!$B$41,"C","D"))))</f>
        <v>B</v>
      </c>
      <c r="Q194" s="10" t="str">
        <f aca="false">IF(F194="","Completar cadastro","")</f>
        <v>Completar cadastro</v>
      </c>
      <c r="R194" s="10" t="str">
        <f aca="false">INDEX(Parâmetros!$D$39:$D$43,MATCH(P194,Parâmetros!$A$39:$A$43,0))</f>
        <v>Cadência padrão</v>
      </c>
    </row>
    <row r="195" customFormat="false" ht="15" hidden="false" customHeight="false" outlineLevel="0" collapsed="false">
      <c r="A195" s="10" t="s">
        <v>398</v>
      </c>
      <c r="B195" s="10" t="s">
        <v>94</v>
      </c>
      <c r="C195" s="10" t="s">
        <v>92</v>
      </c>
      <c r="D195" s="10" t="s">
        <v>160</v>
      </c>
      <c r="E195" s="10" t="s">
        <v>50</v>
      </c>
      <c r="F195" s="10"/>
      <c r="G195" s="10" t="s">
        <v>162</v>
      </c>
      <c r="H195" s="30" t="n">
        <v>43016</v>
      </c>
      <c r="I195" s="8" t="n">
        <f aca="false">INDEX(Parâmetros!$C$13:$C$19,MATCH(E195,Parâmetros!$A$13:$A$19,0))</f>
        <v>1096</v>
      </c>
      <c r="J195" s="26" t="n">
        <f aca="false">IF(H195="","",Parâmetros!$B$5-H195)</f>
        <v>84</v>
      </c>
      <c r="K195" s="10" t="n">
        <f aca="false">INDEX(Parâmetros!$D$13:$D$19,MATCH(E195,Parâmetros!$A$13:$A$19,0))</f>
        <v>29</v>
      </c>
      <c r="L195" s="26" t="n">
        <f aca="false">IF(G195="Prospecting",Parâmetros!$B$9,IF(J195&gt;Parâmetros!$B$6,0,INDEX(Parâmetros!$C$24:$C$26,MATCH(J195,Parâmetros!$A$24:$A$26,1))))</f>
        <v>32</v>
      </c>
      <c r="M195" s="31" t="n">
        <f aca="false">IF(G195="Prospecting",1,INDEX(Parâmetros!$C$32:$C$35,MATCH(J195,Parâmetros!$A$32:$A$35,1)))</f>
        <v>1</v>
      </c>
      <c r="N195" s="2" t="n">
        <f aca="false">ROUND((K195+L195)*M195,0)</f>
        <v>61</v>
      </c>
      <c r="O195" s="10" t="str">
        <f aca="false">IF(AND(G195="Engaging",J195&gt;Parâmetros!$B$6),"Sim","Não")</f>
        <v>Não</v>
      </c>
      <c r="P195" s="32" t="str">
        <f aca="false">IF(O195="Sim","R",IF(N195&gt;=Parâmetros!$B$39,"A",IF(N195&gt;=Parâmetros!$B$40,"B",IF(N195&gt;=Parâmetros!$B$41,"C","D"))))</f>
        <v>B</v>
      </c>
      <c r="Q195" s="10" t="str">
        <f aca="false">IF(F195="","Completar cadastro","")</f>
        <v>Completar cadastro</v>
      </c>
      <c r="R195" s="10" t="str">
        <f aca="false">INDEX(Parâmetros!$D$39:$D$43,MATCH(P195,Parâmetros!$A$39:$A$43,0))</f>
        <v>Cadência padrão</v>
      </c>
    </row>
    <row r="196" customFormat="false" ht="15" hidden="false" customHeight="false" outlineLevel="0" collapsed="false">
      <c r="A196" s="10" t="s">
        <v>399</v>
      </c>
      <c r="B196" s="10" t="s">
        <v>57</v>
      </c>
      <c r="C196" s="10" t="s">
        <v>58</v>
      </c>
      <c r="D196" s="10" t="s">
        <v>165</v>
      </c>
      <c r="E196" s="10" t="s">
        <v>50</v>
      </c>
      <c r="F196" s="10"/>
      <c r="G196" s="10" t="s">
        <v>162</v>
      </c>
      <c r="H196" s="30" t="n">
        <v>43020</v>
      </c>
      <c r="I196" s="8" t="n">
        <f aca="false">INDEX(Parâmetros!$C$13:$C$19,MATCH(E196,Parâmetros!$A$13:$A$19,0))</f>
        <v>1096</v>
      </c>
      <c r="J196" s="26" t="n">
        <f aca="false">IF(H196="","",Parâmetros!$B$5-H196)</f>
        <v>80</v>
      </c>
      <c r="K196" s="10" t="n">
        <f aca="false">INDEX(Parâmetros!$D$13:$D$19,MATCH(E196,Parâmetros!$A$13:$A$19,0))</f>
        <v>29</v>
      </c>
      <c r="L196" s="26" t="n">
        <f aca="false">IF(G196="Prospecting",Parâmetros!$B$9,IF(J196&gt;Parâmetros!$B$6,0,INDEX(Parâmetros!$C$24:$C$26,MATCH(J196,Parâmetros!$A$24:$A$26,1))))</f>
        <v>32</v>
      </c>
      <c r="M196" s="31" t="n">
        <f aca="false">IF(G196="Prospecting",1,INDEX(Parâmetros!$C$32:$C$35,MATCH(J196,Parâmetros!$A$32:$A$35,1)))</f>
        <v>1</v>
      </c>
      <c r="N196" s="2" t="n">
        <f aca="false">ROUND((K196+L196)*M196,0)</f>
        <v>61</v>
      </c>
      <c r="O196" s="10" t="str">
        <f aca="false">IF(AND(G196="Engaging",J196&gt;Parâmetros!$B$6),"Sim","Não")</f>
        <v>Não</v>
      </c>
      <c r="P196" s="32" t="str">
        <f aca="false">IF(O196="Sim","R",IF(N196&gt;=Parâmetros!$B$39,"A",IF(N196&gt;=Parâmetros!$B$40,"B",IF(N196&gt;=Parâmetros!$B$41,"C","D"))))</f>
        <v>B</v>
      </c>
      <c r="Q196" s="10" t="str">
        <f aca="false">IF(F196="","Completar cadastro","")</f>
        <v>Completar cadastro</v>
      </c>
      <c r="R196" s="10" t="str">
        <f aca="false">INDEX(Parâmetros!$D$39:$D$43,MATCH(P196,Parâmetros!$A$39:$A$43,0))</f>
        <v>Cadência padrão</v>
      </c>
    </row>
    <row r="197" customFormat="false" ht="15" hidden="false" customHeight="false" outlineLevel="0" collapsed="false">
      <c r="A197" s="10" t="s">
        <v>400</v>
      </c>
      <c r="B197" s="10" t="s">
        <v>94</v>
      </c>
      <c r="C197" s="10" t="s">
        <v>92</v>
      </c>
      <c r="D197" s="10" t="s">
        <v>160</v>
      </c>
      <c r="E197" s="10" t="s">
        <v>50</v>
      </c>
      <c r="F197" s="10"/>
      <c r="G197" s="10" t="s">
        <v>162</v>
      </c>
      <c r="H197" s="30" t="n">
        <v>43021</v>
      </c>
      <c r="I197" s="8" t="n">
        <f aca="false">INDEX(Parâmetros!$C$13:$C$19,MATCH(E197,Parâmetros!$A$13:$A$19,0))</f>
        <v>1096</v>
      </c>
      <c r="J197" s="26" t="n">
        <f aca="false">IF(H197="","",Parâmetros!$B$5-H197)</f>
        <v>79</v>
      </c>
      <c r="K197" s="10" t="n">
        <f aca="false">INDEX(Parâmetros!$D$13:$D$19,MATCH(E197,Parâmetros!$A$13:$A$19,0))</f>
        <v>29</v>
      </c>
      <c r="L197" s="26" t="n">
        <f aca="false">IF(G197="Prospecting",Parâmetros!$B$9,IF(J197&gt;Parâmetros!$B$6,0,INDEX(Parâmetros!$C$24:$C$26,MATCH(J197,Parâmetros!$A$24:$A$26,1))))</f>
        <v>32</v>
      </c>
      <c r="M197" s="31" t="n">
        <f aca="false">IF(G197="Prospecting",1,INDEX(Parâmetros!$C$32:$C$35,MATCH(J197,Parâmetros!$A$32:$A$35,1)))</f>
        <v>1</v>
      </c>
      <c r="N197" s="2" t="n">
        <f aca="false">ROUND((K197+L197)*M197,0)</f>
        <v>61</v>
      </c>
      <c r="O197" s="10" t="str">
        <f aca="false">IF(AND(G197="Engaging",J197&gt;Parâmetros!$B$6),"Sim","Não")</f>
        <v>Não</v>
      </c>
      <c r="P197" s="32" t="str">
        <f aca="false">IF(O197="Sim","R",IF(N197&gt;=Parâmetros!$B$39,"A",IF(N197&gt;=Parâmetros!$B$40,"B",IF(N197&gt;=Parâmetros!$B$41,"C","D"))))</f>
        <v>B</v>
      </c>
      <c r="Q197" s="10" t="str">
        <f aca="false">IF(F197="","Completar cadastro","")</f>
        <v>Completar cadastro</v>
      </c>
      <c r="R197" s="10" t="str">
        <f aca="false">INDEX(Parâmetros!$D$39:$D$43,MATCH(P197,Parâmetros!$A$39:$A$43,0))</f>
        <v>Cadência padrão</v>
      </c>
    </row>
    <row r="198" customFormat="false" ht="15" hidden="false" customHeight="false" outlineLevel="0" collapsed="false">
      <c r="A198" s="10" t="s">
        <v>401</v>
      </c>
      <c r="B198" s="10" t="s">
        <v>62</v>
      </c>
      <c r="C198" s="10" t="s">
        <v>58</v>
      </c>
      <c r="D198" s="10" t="s">
        <v>165</v>
      </c>
      <c r="E198" s="10" t="s">
        <v>50</v>
      </c>
      <c r="F198" s="10"/>
      <c r="G198" s="10" t="s">
        <v>162</v>
      </c>
      <c r="H198" s="30" t="n">
        <v>43024</v>
      </c>
      <c r="I198" s="8" t="n">
        <f aca="false">INDEX(Parâmetros!$C$13:$C$19,MATCH(E198,Parâmetros!$A$13:$A$19,0))</f>
        <v>1096</v>
      </c>
      <c r="J198" s="26" t="n">
        <f aca="false">IF(H198="","",Parâmetros!$B$5-H198)</f>
        <v>76</v>
      </c>
      <c r="K198" s="10" t="n">
        <f aca="false">INDEX(Parâmetros!$D$13:$D$19,MATCH(E198,Parâmetros!$A$13:$A$19,0))</f>
        <v>29</v>
      </c>
      <c r="L198" s="26" t="n">
        <f aca="false">IF(G198="Prospecting",Parâmetros!$B$9,IF(J198&gt;Parâmetros!$B$6,0,INDEX(Parâmetros!$C$24:$C$26,MATCH(J198,Parâmetros!$A$24:$A$26,1))))</f>
        <v>32</v>
      </c>
      <c r="M198" s="31" t="n">
        <f aca="false">IF(G198="Prospecting",1,INDEX(Parâmetros!$C$32:$C$35,MATCH(J198,Parâmetros!$A$32:$A$35,1)))</f>
        <v>1</v>
      </c>
      <c r="N198" s="2" t="n">
        <f aca="false">ROUND((K198+L198)*M198,0)</f>
        <v>61</v>
      </c>
      <c r="O198" s="10" t="str">
        <f aca="false">IF(AND(G198="Engaging",J198&gt;Parâmetros!$B$6),"Sim","Não")</f>
        <v>Não</v>
      </c>
      <c r="P198" s="32" t="str">
        <f aca="false">IF(O198="Sim","R",IF(N198&gt;=Parâmetros!$B$39,"A",IF(N198&gt;=Parâmetros!$B$40,"B",IF(N198&gt;=Parâmetros!$B$41,"C","D"))))</f>
        <v>B</v>
      </c>
      <c r="Q198" s="10" t="str">
        <f aca="false">IF(F198="","Completar cadastro","")</f>
        <v>Completar cadastro</v>
      </c>
      <c r="R198" s="10" t="str">
        <f aca="false">INDEX(Parâmetros!$D$39:$D$43,MATCH(P198,Parâmetros!$A$39:$A$43,0))</f>
        <v>Cadência padrão</v>
      </c>
    </row>
    <row r="199" customFormat="false" ht="15" hidden="false" customHeight="false" outlineLevel="0" collapsed="false">
      <c r="A199" s="10" t="s">
        <v>402</v>
      </c>
      <c r="B199" s="10" t="s">
        <v>94</v>
      </c>
      <c r="C199" s="10" t="s">
        <v>92</v>
      </c>
      <c r="D199" s="10" t="s">
        <v>160</v>
      </c>
      <c r="E199" s="10" t="s">
        <v>50</v>
      </c>
      <c r="F199" s="10"/>
      <c r="G199" s="10" t="s">
        <v>162</v>
      </c>
      <c r="H199" s="30" t="n">
        <v>43025</v>
      </c>
      <c r="I199" s="8" t="n">
        <f aca="false">INDEX(Parâmetros!$C$13:$C$19,MATCH(E199,Parâmetros!$A$13:$A$19,0))</f>
        <v>1096</v>
      </c>
      <c r="J199" s="26" t="n">
        <f aca="false">IF(H199="","",Parâmetros!$B$5-H199)</f>
        <v>75</v>
      </c>
      <c r="K199" s="10" t="n">
        <f aca="false">INDEX(Parâmetros!$D$13:$D$19,MATCH(E199,Parâmetros!$A$13:$A$19,0))</f>
        <v>29</v>
      </c>
      <c r="L199" s="26" t="n">
        <f aca="false">IF(G199="Prospecting",Parâmetros!$B$9,IF(J199&gt;Parâmetros!$B$6,0,INDEX(Parâmetros!$C$24:$C$26,MATCH(J199,Parâmetros!$A$24:$A$26,1))))</f>
        <v>32</v>
      </c>
      <c r="M199" s="31" t="n">
        <f aca="false">IF(G199="Prospecting",1,INDEX(Parâmetros!$C$32:$C$35,MATCH(J199,Parâmetros!$A$32:$A$35,1)))</f>
        <v>1</v>
      </c>
      <c r="N199" s="2" t="n">
        <f aca="false">ROUND((K199+L199)*M199,0)</f>
        <v>61</v>
      </c>
      <c r="O199" s="10" t="str">
        <f aca="false">IF(AND(G199="Engaging",J199&gt;Parâmetros!$B$6),"Sim","Não")</f>
        <v>Não</v>
      </c>
      <c r="P199" s="32" t="str">
        <f aca="false">IF(O199="Sim","R",IF(N199&gt;=Parâmetros!$B$39,"A",IF(N199&gt;=Parâmetros!$B$40,"B",IF(N199&gt;=Parâmetros!$B$41,"C","D"))))</f>
        <v>B</v>
      </c>
      <c r="Q199" s="10" t="str">
        <f aca="false">IF(F199="","Completar cadastro","")</f>
        <v>Completar cadastro</v>
      </c>
      <c r="R199" s="10" t="str">
        <f aca="false">INDEX(Parâmetros!$D$39:$D$43,MATCH(P199,Parâmetros!$A$39:$A$43,0))</f>
        <v>Cadência padrão</v>
      </c>
    </row>
    <row r="200" customFormat="false" ht="15" hidden="false" customHeight="false" outlineLevel="0" collapsed="false">
      <c r="A200" s="10" t="s">
        <v>403</v>
      </c>
      <c r="B200" s="10" t="s">
        <v>96</v>
      </c>
      <c r="C200" s="10" t="s">
        <v>92</v>
      </c>
      <c r="D200" s="10" t="s">
        <v>160</v>
      </c>
      <c r="E200" s="10" t="s">
        <v>50</v>
      </c>
      <c r="F200" s="10"/>
      <c r="G200" s="10" t="s">
        <v>162</v>
      </c>
      <c r="H200" s="30" t="n">
        <v>43027</v>
      </c>
      <c r="I200" s="8" t="n">
        <f aca="false">INDEX(Parâmetros!$C$13:$C$19,MATCH(E200,Parâmetros!$A$13:$A$19,0))</f>
        <v>1096</v>
      </c>
      <c r="J200" s="26" t="n">
        <f aca="false">IF(H200="","",Parâmetros!$B$5-H200)</f>
        <v>73</v>
      </c>
      <c r="K200" s="10" t="n">
        <f aca="false">INDEX(Parâmetros!$D$13:$D$19,MATCH(E200,Parâmetros!$A$13:$A$19,0))</f>
        <v>29</v>
      </c>
      <c r="L200" s="26" t="n">
        <f aca="false">IF(G200="Prospecting",Parâmetros!$B$9,IF(J200&gt;Parâmetros!$B$6,0,INDEX(Parâmetros!$C$24:$C$26,MATCH(J200,Parâmetros!$A$24:$A$26,1))))</f>
        <v>32</v>
      </c>
      <c r="M200" s="31" t="n">
        <f aca="false">IF(G200="Prospecting",1,INDEX(Parâmetros!$C$32:$C$35,MATCH(J200,Parâmetros!$A$32:$A$35,1)))</f>
        <v>1</v>
      </c>
      <c r="N200" s="2" t="n">
        <f aca="false">ROUND((K200+L200)*M200,0)</f>
        <v>61</v>
      </c>
      <c r="O200" s="10" t="str">
        <f aca="false">IF(AND(G200="Engaging",J200&gt;Parâmetros!$B$6),"Sim","Não")</f>
        <v>Não</v>
      </c>
      <c r="P200" s="32" t="str">
        <f aca="false">IF(O200="Sim","R",IF(N200&gt;=Parâmetros!$B$39,"A",IF(N200&gt;=Parâmetros!$B$40,"B",IF(N200&gt;=Parâmetros!$B$41,"C","D"))))</f>
        <v>B</v>
      </c>
      <c r="Q200" s="10" t="str">
        <f aca="false">IF(F200="","Completar cadastro","")</f>
        <v>Completar cadastro</v>
      </c>
      <c r="R200" s="10" t="str">
        <f aca="false">INDEX(Parâmetros!$D$39:$D$43,MATCH(P200,Parâmetros!$A$39:$A$43,0))</f>
        <v>Cadência padrão</v>
      </c>
    </row>
    <row r="201" customFormat="false" ht="15" hidden="false" customHeight="false" outlineLevel="0" collapsed="false">
      <c r="A201" s="10" t="s">
        <v>404</v>
      </c>
      <c r="B201" s="10" t="s">
        <v>87</v>
      </c>
      <c r="C201" s="10" t="s">
        <v>85</v>
      </c>
      <c r="D201" s="10" t="s">
        <v>165</v>
      </c>
      <c r="E201" s="10" t="s">
        <v>50</v>
      </c>
      <c r="F201" s="10" t="s">
        <v>405</v>
      </c>
      <c r="G201" s="10" t="s">
        <v>162</v>
      </c>
      <c r="H201" s="30" t="n">
        <v>43038</v>
      </c>
      <c r="I201" s="8" t="n">
        <f aca="false">INDEX(Parâmetros!$C$13:$C$19,MATCH(E201,Parâmetros!$A$13:$A$19,0))</f>
        <v>1096</v>
      </c>
      <c r="J201" s="26" t="n">
        <f aca="false">IF(H201="","",Parâmetros!$B$5-H201)</f>
        <v>62</v>
      </c>
      <c r="K201" s="10" t="n">
        <f aca="false">INDEX(Parâmetros!$D$13:$D$19,MATCH(E201,Parâmetros!$A$13:$A$19,0))</f>
        <v>29</v>
      </c>
      <c r="L201" s="26" t="n">
        <f aca="false">IF(G201="Prospecting",Parâmetros!$B$9,IF(J201&gt;Parâmetros!$B$6,0,INDEX(Parâmetros!$C$24:$C$26,MATCH(J201,Parâmetros!$A$24:$A$26,1))))</f>
        <v>32</v>
      </c>
      <c r="M201" s="31" t="n">
        <f aca="false">IF(G201="Prospecting",1,INDEX(Parâmetros!$C$32:$C$35,MATCH(J201,Parâmetros!$A$32:$A$35,1)))</f>
        <v>1</v>
      </c>
      <c r="N201" s="2" t="n">
        <f aca="false">ROUND((K201+L201)*M201,0)</f>
        <v>61</v>
      </c>
      <c r="O201" s="10" t="str">
        <f aca="false">IF(AND(G201="Engaging",J201&gt;Parâmetros!$B$6),"Sim","Não")</f>
        <v>Não</v>
      </c>
      <c r="P201" s="32" t="str">
        <f aca="false">IF(O201="Sim","R",IF(N201&gt;=Parâmetros!$B$39,"A",IF(N201&gt;=Parâmetros!$B$40,"B",IF(N201&gt;=Parâmetros!$B$41,"C","D"))))</f>
        <v>B</v>
      </c>
      <c r="Q201" s="10" t="str">
        <f aca="false">IF(F201="","Completar cadastro","")</f>
        <v/>
      </c>
      <c r="R201" s="10" t="str">
        <f aca="false">INDEX(Parâmetros!$D$39:$D$43,MATCH(P201,Parâmetros!$A$39:$A$43,0))</f>
        <v>Cadência padrão</v>
      </c>
    </row>
    <row r="202" customFormat="false" ht="15" hidden="false" customHeight="false" outlineLevel="0" collapsed="false">
      <c r="A202" s="10" t="s">
        <v>406</v>
      </c>
      <c r="B202" s="10" t="s">
        <v>68</v>
      </c>
      <c r="C202" s="10" t="s">
        <v>65</v>
      </c>
      <c r="D202" s="10" t="s">
        <v>160</v>
      </c>
      <c r="E202" s="10" t="s">
        <v>50</v>
      </c>
      <c r="F202" s="10" t="s">
        <v>303</v>
      </c>
      <c r="G202" s="10" t="s">
        <v>162</v>
      </c>
      <c r="H202" s="30" t="n">
        <v>43042</v>
      </c>
      <c r="I202" s="8" t="n">
        <f aca="false">INDEX(Parâmetros!$C$13:$C$19,MATCH(E202,Parâmetros!$A$13:$A$19,0))</f>
        <v>1096</v>
      </c>
      <c r="J202" s="26" t="n">
        <f aca="false">IF(H202="","",Parâmetros!$B$5-H202)</f>
        <v>58</v>
      </c>
      <c r="K202" s="10" t="n">
        <f aca="false">INDEX(Parâmetros!$D$13:$D$19,MATCH(E202,Parâmetros!$A$13:$A$19,0))</f>
        <v>29</v>
      </c>
      <c r="L202" s="26" t="n">
        <f aca="false">IF(G202="Prospecting",Parâmetros!$B$9,IF(J202&gt;Parâmetros!$B$6,0,INDEX(Parâmetros!$C$24:$C$26,MATCH(J202,Parâmetros!$A$24:$A$26,1))))</f>
        <v>32</v>
      </c>
      <c r="M202" s="31" t="n">
        <f aca="false">IF(G202="Prospecting",1,INDEX(Parâmetros!$C$32:$C$35,MATCH(J202,Parâmetros!$A$32:$A$35,1)))</f>
        <v>1</v>
      </c>
      <c r="N202" s="2" t="n">
        <f aca="false">ROUND((K202+L202)*M202,0)</f>
        <v>61</v>
      </c>
      <c r="O202" s="10" t="str">
        <f aca="false">IF(AND(G202="Engaging",J202&gt;Parâmetros!$B$6),"Sim","Não")</f>
        <v>Não</v>
      </c>
      <c r="P202" s="32" t="str">
        <f aca="false">IF(O202="Sim","R",IF(N202&gt;=Parâmetros!$B$39,"A",IF(N202&gt;=Parâmetros!$B$40,"B",IF(N202&gt;=Parâmetros!$B$41,"C","D"))))</f>
        <v>B</v>
      </c>
      <c r="Q202" s="10" t="str">
        <f aca="false">IF(F202="","Completar cadastro","")</f>
        <v/>
      </c>
      <c r="R202" s="10" t="str">
        <f aca="false">INDEX(Parâmetros!$D$39:$D$43,MATCH(P202,Parâmetros!$A$39:$A$43,0))</f>
        <v>Cadência padrão</v>
      </c>
    </row>
    <row r="203" customFormat="false" ht="15" hidden="false" customHeight="false" outlineLevel="0" collapsed="false">
      <c r="A203" s="10" t="s">
        <v>407</v>
      </c>
      <c r="B203" s="10" t="s">
        <v>63</v>
      </c>
      <c r="C203" s="10" t="s">
        <v>58</v>
      </c>
      <c r="D203" s="10" t="s">
        <v>165</v>
      </c>
      <c r="E203" s="10" t="s">
        <v>50</v>
      </c>
      <c r="F203" s="10"/>
      <c r="G203" s="10" t="s">
        <v>162</v>
      </c>
      <c r="H203" s="30" t="n">
        <v>43047</v>
      </c>
      <c r="I203" s="8" t="n">
        <f aca="false">INDEX(Parâmetros!$C$13:$C$19,MATCH(E203,Parâmetros!$A$13:$A$19,0))</f>
        <v>1096</v>
      </c>
      <c r="J203" s="26" t="n">
        <f aca="false">IF(H203="","",Parâmetros!$B$5-H203)</f>
        <v>53</v>
      </c>
      <c r="K203" s="10" t="n">
        <f aca="false">INDEX(Parâmetros!$D$13:$D$19,MATCH(E203,Parâmetros!$A$13:$A$19,0))</f>
        <v>29</v>
      </c>
      <c r="L203" s="26" t="n">
        <f aca="false">IF(G203="Prospecting",Parâmetros!$B$9,IF(J203&gt;Parâmetros!$B$6,0,INDEX(Parâmetros!$C$24:$C$26,MATCH(J203,Parâmetros!$A$24:$A$26,1))))</f>
        <v>32</v>
      </c>
      <c r="M203" s="31" t="n">
        <f aca="false">IF(G203="Prospecting",1,INDEX(Parâmetros!$C$32:$C$35,MATCH(J203,Parâmetros!$A$32:$A$35,1)))</f>
        <v>1</v>
      </c>
      <c r="N203" s="2" t="n">
        <f aca="false">ROUND((K203+L203)*M203,0)</f>
        <v>61</v>
      </c>
      <c r="O203" s="10" t="str">
        <f aca="false">IF(AND(G203="Engaging",J203&gt;Parâmetros!$B$6),"Sim","Não")</f>
        <v>Não</v>
      </c>
      <c r="P203" s="32" t="str">
        <f aca="false">IF(O203="Sim","R",IF(N203&gt;=Parâmetros!$B$39,"A",IF(N203&gt;=Parâmetros!$B$40,"B",IF(N203&gt;=Parâmetros!$B$41,"C","D"))))</f>
        <v>B</v>
      </c>
      <c r="Q203" s="10" t="str">
        <f aca="false">IF(F203="","Completar cadastro","")</f>
        <v>Completar cadastro</v>
      </c>
      <c r="R203" s="10" t="str">
        <f aca="false">INDEX(Parâmetros!$D$39:$D$43,MATCH(P203,Parâmetros!$A$39:$A$43,0))</f>
        <v>Cadência padrão</v>
      </c>
    </row>
    <row r="204" customFormat="false" ht="15" hidden="false" customHeight="false" outlineLevel="0" collapsed="false">
      <c r="A204" s="10" t="s">
        <v>408</v>
      </c>
      <c r="B204" s="10" t="s">
        <v>96</v>
      </c>
      <c r="C204" s="10" t="s">
        <v>92</v>
      </c>
      <c r="D204" s="10" t="s">
        <v>160</v>
      </c>
      <c r="E204" s="10" t="s">
        <v>50</v>
      </c>
      <c r="F204" s="10"/>
      <c r="G204" s="10" t="s">
        <v>162</v>
      </c>
      <c r="H204" s="30" t="n">
        <v>43052</v>
      </c>
      <c r="I204" s="8" t="n">
        <f aca="false">INDEX(Parâmetros!$C$13:$C$19,MATCH(E204,Parâmetros!$A$13:$A$19,0))</f>
        <v>1096</v>
      </c>
      <c r="J204" s="26" t="n">
        <f aca="false">IF(H204="","",Parâmetros!$B$5-H204)</f>
        <v>48</v>
      </c>
      <c r="K204" s="10" t="n">
        <f aca="false">INDEX(Parâmetros!$D$13:$D$19,MATCH(E204,Parâmetros!$A$13:$A$19,0))</f>
        <v>29</v>
      </c>
      <c r="L204" s="26" t="n">
        <f aca="false">IF(G204="Prospecting",Parâmetros!$B$9,IF(J204&gt;Parâmetros!$B$6,0,INDEX(Parâmetros!$C$24:$C$26,MATCH(J204,Parâmetros!$A$24:$A$26,1))))</f>
        <v>32</v>
      </c>
      <c r="M204" s="31" t="n">
        <f aca="false">IF(G204="Prospecting",1,INDEX(Parâmetros!$C$32:$C$35,MATCH(J204,Parâmetros!$A$32:$A$35,1)))</f>
        <v>1</v>
      </c>
      <c r="N204" s="2" t="n">
        <f aca="false">ROUND((K204+L204)*M204,0)</f>
        <v>61</v>
      </c>
      <c r="O204" s="10" t="str">
        <f aca="false">IF(AND(G204="Engaging",J204&gt;Parâmetros!$B$6),"Sim","Não")</f>
        <v>Não</v>
      </c>
      <c r="P204" s="32" t="str">
        <f aca="false">IF(O204="Sim","R",IF(N204&gt;=Parâmetros!$B$39,"A",IF(N204&gt;=Parâmetros!$B$40,"B",IF(N204&gt;=Parâmetros!$B$41,"C","D"))))</f>
        <v>B</v>
      </c>
      <c r="Q204" s="10" t="str">
        <f aca="false">IF(F204="","Completar cadastro","")</f>
        <v>Completar cadastro</v>
      </c>
      <c r="R204" s="10" t="str">
        <f aca="false">INDEX(Parâmetros!$D$39:$D$43,MATCH(P204,Parâmetros!$A$39:$A$43,0))</f>
        <v>Cadência padrão</v>
      </c>
    </row>
    <row r="205" customFormat="false" ht="15" hidden="false" customHeight="false" outlineLevel="0" collapsed="false">
      <c r="A205" s="10" t="s">
        <v>409</v>
      </c>
      <c r="B205" s="10" t="s">
        <v>87</v>
      </c>
      <c r="C205" s="10" t="s">
        <v>85</v>
      </c>
      <c r="D205" s="10" t="s">
        <v>165</v>
      </c>
      <c r="E205" s="10" t="s">
        <v>50</v>
      </c>
      <c r="F205" s="10" t="s">
        <v>410</v>
      </c>
      <c r="G205" s="10" t="s">
        <v>162</v>
      </c>
      <c r="H205" s="30" t="n">
        <v>43053</v>
      </c>
      <c r="I205" s="8" t="n">
        <f aca="false">INDEX(Parâmetros!$C$13:$C$19,MATCH(E205,Parâmetros!$A$13:$A$19,0))</f>
        <v>1096</v>
      </c>
      <c r="J205" s="26" t="n">
        <f aca="false">IF(H205="","",Parâmetros!$B$5-H205)</f>
        <v>47</v>
      </c>
      <c r="K205" s="10" t="n">
        <f aca="false">INDEX(Parâmetros!$D$13:$D$19,MATCH(E205,Parâmetros!$A$13:$A$19,0))</f>
        <v>29</v>
      </c>
      <c r="L205" s="26" t="n">
        <f aca="false">IF(G205="Prospecting",Parâmetros!$B$9,IF(J205&gt;Parâmetros!$B$6,0,INDEX(Parâmetros!$C$24:$C$26,MATCH(J205,Parâmetros!$A$24:$A$26,1))))</f>
        <v>32</v>
      </c>
      <c r="M205" s="31" t="n">
        <f aca="false">IF(G205="Prospecting",1,INDEX(Parâmetros!$C$32:$C$35,MATCH(J205,Parâmetros!$A$32:$A$35,1)))</f>
        <v>1</v>
      </c>
      <c r="N205" s="2" t="n">
        <f aca="false">ROUND((K205+L205)*M205,0)</f>
        <v>61</v>
      </c>
      <c r="O205" s="10" t="str">
        <f aca="false">IF(AND(G205="Engaging",J205&gt;Parâmetros!$B$6),"Sim","Não")</f>
        <v>Não</v>
      </c>
      <c r="P205" s="32" t="str">
        <f aca="false">IF(O205="Sim","R",IF(N205&gt;=Parâmetros!$B$39,"A",IF(N205&gt;=Parâmetros!$B$40,"B",IF(N205&gt;=Parâmetros!$B$41,"C","D"))))</f>
        <v>B</v>
      </c>
      <c r="Q205" s="10" t="str">
        <f aca="false">IF(F205="","Completar cadastro","")</f>
        <v/>
      </c>
      <c r="R205" s="10" t="str">
        <f aca="false">INDEX(Parâmetros!$D$39:$D$43,MATCH(P205,Parâmetros!$A$39:$A$43,0))</f>
        <v>Cadência padrão</v>
      </c>
    </row>
    <row r="206" customFormat="false" ht="15" hidden="false" customHeight="false" outlineLevel="0" collapsed="false">
      <c r="A206" s="10" t="s">
        <v>411</v>
      </c>
      <c r="B206" s="10" t="s">
        <v>96</v>
      </c>
      <c r="C206" s="10" t="s">
        <v>92</v>
      </c>
      <c r="D206" s="10" t="s">
        <v>160</v>
      </c>
      <c r="E206" s="10" t="s">
        <v>50</v>
      </c>
      <c r="F206" s="10"/>
      <c r="G206" s="10" t="s">
        <v>162</v>
      </c>
      <c r="H206" s="30" t="n">
        <v>43055</v>
      </c>
      <c r="I206" s="8" t="n">
        <f aca="false">INDEX(Parâmetros!$C$13:$C$19,MATCH(E206,Parâmetros!$A$13:$A$19,0))</f>
        <v>1096</v>
      </c>
      <c r="J206" s="26" t="n">
        <f aca="false">IF(H206="","",Parâmetros!$B$5-H206)</f>
        <v>45</v>
      </c>
      <c r="K206" s="10" t="n">
        <f aca="false">INDEX(Parâmetros!$D$13:$D$19,MATCH(E206,Parâmetros!$A$13:$A$19,0))</f>
        <v>29</v>
      </c>
      <c r="L206" s="26" t="n">
        <f aca="false">IF(G206="Prospecting",Parâmetros!$B$9,IF(J206&gt;Parâmetros!$B$6,0,INDEX(Parâmetros!$C$24:$C$26,MATCH(J206,Parâmetros!$A$24:$A$26,1))))</f>
        <v>32</v>
      </c>
      <c r="M206" s="31" t="n">
        <f aca="false">IF(G206="Prospecting",1,INDEX(Parâmetros!$C$32:$C$35,MATCH(J206,Parâmetros!$A$32:$A$35,1)))</f>
        <v>1</v>
      </c>
      <c r="N206" s="2" t="n">
        <f aca="false">ROUND((K206+L206)*M206,0)</f>
        <v>61</v>
      </c>
      <c r="O206" s="10" t="str">
        <f aca="false">IF(AND(G206="Engaging",J206&gt;Parâmetros!$B$6),"Sim","Não")</f>
        <v>Não</v>
      </c>
      <c r="P206" s="32" t="str">
        <f aca="false">IF(O206="Sim","R",IF(N206&gt;=Parâmetros!$B$39,"A",IF(N206&gt;=Parâmetros!$B$40,"B",IF(N206&gt;=Parâmetros!$B$41,"C","D"))))</f>
        <v>B</v>
      </c>
      <c r="Q206" s="10" t="str">
        <f aca="false">IF(F206="","Completar cadastro","")</f>
        <v>Completar cadastro</v>
      </c>
      <c r="R206" s="10" t="str">
        <f aca="false">INDEX(Parâmetros!$D$39:$D$43,MATCH(P206,Parâmetros!$A$39:$A$43,0))</f>
        <v>Cadência padrão</v>
      </c>
    </row>
    <row r="207" customFormat="false" ht="15" hidden="false" customHeight="false" outlineLevel="0" collapsed="false">
      <c r="A207" s="10" t="s">
        <v>412</v>
      </c>
      <c r="B207" s="10" t="s">
        <v>86</v>
      </c>
      <c r="C207" s="10" t="s">
        <v>85</v>
      </c>
      <c r="D207" s="10" t="s">
        <v>165</v>
      </c>
      <c r="E207" s="10" t="s">
        <v>50</v>
      </c>
      <c r="F207" s="10"/>
      <c r="G207" s="10" t="s">
        <v>162</v>
      </c>
      <c r="H207" s="30" t="n">
        <v>43059</v>
      </c>
      <c r="I207" s="8" t="n">
        <f aca="false">INDEX(Parâmetros!$C$13:$C$19,MATCH(E207,Parâmetros!$A$13:$A$19,0))</f>
        <v>1096</v>
      </c>
      <c r="J207" s="26" t="n">
        <f aca="false">IF(H207="","",Parâmetros!$B$5-H207)</f>
        <v>41</v>
      </c>
      <c r="K207" s="10" t="n">
        <f aca="false">INDEX(Parâmetros!$D$13:$D$19,MATCH(E207,Parâmetros!$A$13:$A$19,0))</f>
        <v>29</v>
      </c>
      <c r="L207" s="26" t="n">
        <f aca="false">IF(G207="Prospecting",Parâmetros!$B$9,IF(J207&gt;Parâmetros!$B$6,0,INDEX(Parâmetros!$C$24:$C$26,MATCH(J207,Parâmetros!$A$24:$A$26,1))))</f>
        <v>32</v>
      </c>
      <c r="M207" s="31" t="n">
        <f aca="false">IF(G207="Prospecting",1,INDEX(Parâmetros!$C$32:$C$35,MATCH(J207,Parâmetros!$A$32:$A$35,1)))</f>
        <v>1</v>
      </c>
      <c r="N207" s="2" t="n">
        <f aca="false">ROUND((K207+L207)*M207,0)</f>
        <v>61</v>
      </c>
      <c r="O207" s="10" t="str">
        <f aca="false">IF(AND(G207="Engaging",J207&gt;Parâmetros!$B$6),"Sim","Não")</f>
        <v>Não</v>
      </c>
      <c r="P207" s="32" t="str">
        <f aca="false">IF(O207="Sim","R",IF(N207&gt;=Parâmetros!$B$39,"A",IF(N207&gt;=Parâmetros!$B$40,"B",IF(N207&gt;=Parâmetros!$B$41,"C","D"))))</f>
        <v>B</v>
      </c>
      <c r="Q207" s="10" t="str">
        <f aca="false">IF(F207="","Completar cadastro","")</f>
        <v>Completar cadastro</v>
      </c>
      <c r="R207" s="10" t="str">
        <f aca="false">INDEX(Parâmetros!$D$39:$D$43,MATCH(P207,Parâmetros!$A$39:$A$43,0))</f>
        <v>Cadência padrão</v>
      </c>
    </row>
    <row r="208" customFormat="false" ht="15" hidden="false" customHeight="false" outlineLevel="0" collapsed="false">
      <c r="A208" s="10" t="s">
        <v>413</v>
      </c>
      <c r="B208" s="10" t="s">
        <v>95</v>
      </c>
      <c r="C208" s="10" t="s">
        <v>92</v>
      </c>
      <c r="D208" s="10" t="s">
        <v>160</v>
      </c>
      <c r="E208" s="10" t="s">
        <v>50</v>
      </c>
      <c r="F208" s="10" t="s">
        <v>414</v>
      </c>
      <c r="G208" s="10" t="s">
        <v>162</v>
      </c>
      <c r="H208" s="30" t="n">
        <v>43062</v>
      </c>
      <c r="I208" s="8" t="n">
        <f aca="false">INDEX(Parâmetros!$C$13:$C$19,MATCH(E208,Parâmetros!$A$13:$A$19,0))</f>
        <v>1096</v>
      </c>
      <c r="J208" s="26" t="n">
        <f aca="false">IF(H208="","",Parâmetros!$B$5-H208)</f>
        <v>38</v>
      </c>
      <c r="K208" s="10" t="n">
        <f aca="false">INDEX(Parâmetros!$D$13:$D$19,MATCH(E208,Parâmetros!$A$13:$A$19,0))</f>
        <v>29</v>
      </c>
      <c r="L208" s="26" t="n">
        <f aca="false">IF(G208="Prospecting",Parâmetros!$B$9,IF(J208&gt;Parâmetros!$B$6,0,INDEX(Parâmetros!$C$24:$C$26,MATCH(J208,Parâmetros!$A$24:$A$26,1))))</f>
        <v>32</v>
      </c>
      <c r="M208" s="31" t="n">
        <f aca="false">IF(G208="Prospecting",1,INDEX(Parâmetros!$C$32:$C$35,MATCH(J208,Parâmetros!$A$32:$A$35,1)))</f>
        <v>1</v>
      </c>
      <c r="N208" s="2" t="n">
        <f aca="false">ROUND((K208+L208)*M208,0)</f>
        <v>61</v>
      </c>
      <c r="O208" s="10" t="str">
        <f aca="false">IF(AND(G208="Engaging",J208&gt;Parâmetros!$B$6),"Sim","Não")</f>
        <v>Não</v>
      </c>
      <c r="P208" s="32" t="str">
        <f aca="false">IF(O208="Sim","R",IF(N208&gt;=Parâmetros!$B$39,"A",IF(N208&gt;=Parâmetros!$B$40,"B",IF(N208&gt;=Parâmetros!$B$41,"C","D"))))</f>
        <v>B</v>
      </c>
      <c r="Q208" s="10" t="str">
        <f aca="false">IF(F208="","Completar cadastro","")</f>
        <v/>
      </c>
      <c r="R208" s="10" t="str">
        <f aca="false">INDEX(Parâmetros!$D$39:$D$43,MATCH(P208,Parâmetros!$A$39:$A$43,0))</f>
        <v>Cadência padrão</v>
      </c>
    </row>
    <row r="209" customFormat="false" ht="15" hidden="false" customHeight="false" outlineLevel="0" collapsed="false">
      <c r="A209" s="10" t="s">
        <v>415</v>
      </c>
      <c r="B209" s="10" t="s">
        <v>97</v>
      </c>
      <c r="C209" s="10" t="s">
        <v>92</v>
      </c>
      <c r="D209" s="10" t="s">
        <v>160</v>
      </c>
      <c r="E209" s="10" t="s">
        <v>50</v>
      </c>
      <c r="F209" s="10"/>
      <c r="G209" s="10" t="s">
        <v>162</v>
      </c>
      <c r="H209" s="30" t="n">
        <v>43067</v>
      </c>
      <c r="I209" s="8" t="n">
        <f aca="false">INDEX(Parâmetros!$C$13:$C$19,MATCH(E209,Parâmetros!$A$13:$A$19,0))</f>
        <v>1096</v>
      </c>
      <c r="J209" s="26" t="n">
        <f aca="false">IF(H209="","",Parâmetros!$B$5-H209)</f>
        <v>33</v>
      </c>
      <c r="K209" s="10" t="n">
        <f aca="false">INDEX(Parâmetros!$D$13:$D$19,MATCH(E209,Parâmetros!$A$13:$A$19,0))</f>
        <v>29</v>
      </c>
      <c r="L209" s="26" t="n">
        <f aca="false">IF(G209="Prospecting",Parâmetros!$B$9,IF(J209&gt;Parâmetros!$B$6,0,INDEX(Parâmetros!$C$24:$C$26,MATCH(J209,Parâmetros!$A$24:$A$26,1))))</f>
        <v>32</v>
      </c>
      <c r="M209" s="31" t="n">
        <f aca="false">IF(G209="Prospecting",1,INDEX(Parâmetros!$C$32:$C$35,MATCH(J209,Parâmetros!$A$32:$A$35,1)))</f>
        <v>1</v>
      </c>
      <c r="N209" s="2" t="n">
        <f aca="false">ROUND((K209+L209)*M209,0)</f>
        <v>61</v>
      </c>
      <c r="O209" s="10" t="str">
        <f aca="false">IF(AND(G209="Engaging",J209&gt;Parâmetros!$B$6),"Sim","Não")</f>
        <v>Não</v>
      </c>
      <c r="P209" s="32" t="str">
        <f aca="false">IF(O209="Sim","R",IF(N209&gt;=Parâmetros!$B$39,"A",IF(N209&gt;=Parâmetros!$B$40,"B",IF(N209&gt;=Parâmetros!$B$41,"C","D"))))</f>
        <v>B</v>
      </c>
      <c r="Q209" s="10" t="str">
        <f aca="false">IF(F209="","Completar cadastro","")</f>
        <v>Completar cadastro</v>
      </c>
      <c r="R209" s="10" t="str">
        <f aca="false">INDEX(Parâmetros!$D$39:$D$43,MATCH(P209,Parâmetros!$A$39:$A$43,0))</f>
        <v>Cadência padrão</v>
      </c>
    </row>
    <row r="210" customFormat="false" ht="15" hidden="false" customHeight="false" outlineLevel="0" collapsed="false">
      <c r="A210" s="10" t="s">
        <v>416</v>
      </c>
      <c r="B210" s="10" t="s">
        <v>97</v>
      </c>
      <c r="C210" s="10" t="s">
        <v>92</v>
      </c>
      <c r="D210" s="10" t="s">
        <v>160</v>
      </c>
      <c r="E210" s="10" t="s">
        <v>50</v>
      </c>
      <c r="F210" s="10"/>
      <c r="G210" s="10" t="s">
        <v>162</v>
      </c>
      <c r="H210" s="30" t="n">
        <v>43076</v>
      </c>
      <c r="I210" s="8" t="n">
        <f aca="false">INDEX(Parâmetros!$C$13:$C$19,MATCH(E210,Parâmetros!$A$13:$A$19,0))</f>
        <v>1096</v>
      </c>
      <c r="J210" s="26" t="n">
        <f aca="false">IF(H210="","",Parâmetros!$B$5-H210)</f>
        <v>24</v>
      </c>
      <c r="K210" s="10" t="n">
        <f aca="false">INDEX(Parâmetros!$D$13:$D$19,MATCH(E210,Parâmetros!$A$13:$A$19,0))</f>
        <v>29</v>
      </c>
      <c r="L210" s="26" t="n">
        <f aca="false">IF(G210="Prospecting",Parâmetros!$B$9,IF(J210&gt;Parâmetros!$B$6,0,INDEX(Parâmetros!$C$24:$C$26,MATCH(J210,Parâmetros!$A$24:$A$26,1))))</f>
        <v>32</v>
      </c>
      <c r="M210" s="31" t="n">
        <f aca="false">IF(G210="Prospecting",1,INDEX(Parâmetros!$C$32:$C$35,MATCH(J210,Parâmetros!$A$32:$A$35,1)))</f>
        <v>1</v>
      </c>
      <c r="N210" s="2" t="n">
        <f aca="false">ROUND((K210+L210)*M210,0)</f>
        <v>61</v>
      </c>
      <c r="O210" s="10" t="str">
        <f aca="false">IF(AND(G210="Engaging",J210&gt;Parâmetros!$B$6),"Sim","Não")</f>
        <v>Não</v>
      </c>
      <c r="P210" s="32" t="str">
        <f aca="false">IF(O210="Sim","R",IF(N210&gt;=Parâmetros!$B$39,"A",IF(N210&gt;=Parâmetros!$B$40,"B",IF(N210&gt;=Parâmetros!$B$41,"C","D"))))</f>
        <v>B</v>
      </c>
      <c r="Q210" s="10" t="str">
        <f aca="false">IF(F210="","Completar cadastro","")</f>
        <v>Completar cadastro</v>
      </c>
      <c r="R210" s="10" t="str">
        <f aca="false">INDEX(Parâmetros!$D$39:$D$43,MATCH(P210,Parâmetros!$A$39:$A$43,0))</f>
        <v>Cadência padrão</v>
      </c>
    </row>
    <row r="211" customFormat="false" ht="15" hidden="false" customHeight="false" outlineLevel="0" collapsed="false">
      <c r="A211" s="10" t="s">
        <v>417</v>
      </c>
      <c r="B211" s="10" t="s">
        <v>95</v>
      </c>
      <c r="C211" s="10" t="s">
        <v>92</v>
      </c>
      <c r="D211" s="10" t="s">
        <v>160</v>
      </c>
      <c r="E211" s="10" t="s">
        <v>50</v>
      </c>
      <c r="F211" s="10"/>
      <c r="G211" s="10" t="s">
        <v>162</v>
      </c>
      <c r="H211" s="30" t="n">
        <v>43077</v>
      </c>
      <c r="I211" s="8" t="n">
        <f aca="false">INDEX(Parâmetros!$C$13:$C$19,MATCH(E211,Parâmetros!$A$13:$A$19,0))</f>
        <v>1096</v>
      </c>
      <c r="J211" s="26" t="n">
        <f aca="false">IF(H211="","",Parâmetros!$B$5-H211)</f>
        <v>23</v>
      </c>
      <c r="K211" s="10" t="n">
        <f aca="false">INDEX(Parâmetros!$D$13:$D$19,MATCH(E211,Parâmetros!$A$13:$A$19,0))</f>
        <v>29</v>
      </c>
      <c r="L211" s="26" t="n">
        <f aca="false">IF(G211="Prospecting",Parâmetros!$B$9,IF(J211&gt;Parâmetros!$B$6,0,INDEX(Parâmetros!$C$24:$C$26,MATCH(J211,Parâmetros!$A$24:$A$26,1))))</f>
        <v>32</v>
      </c>
      <c r="M211" s="31" t="n">
        <f aca="false">IF(G211="Prospecting",1,INDEX(Parâmetros!$C$32:$C$35,MATCH(J211,Parâmetros!$A$32:$A$35,1)))</f>
        <v>1</v>
      </c>
      <c r="N211" s="2" t="n">
        <f aca="false">ROUND((K211+L211)*M211,0)</f>
        <v>61</v>
      </c>
      <c r="O211" s="10" t="str">
        <f aca="false">IF(AND(G211="Engaging",J211&gt;Parâmetros!$B$6),"Sim","Não")</f>
        <v>Não</v>
      </c>
      <c r="P211" s="32" t="str">
        <f aca="false">IF(O211="Sim","R",IF(N211&gt;=Parâmetros!$B$39,"A",IF(N211&gt;=Parâmetros!$B$40,"B",IF(N211&gt;=Parâmetros!$B$41,"C","D"))))</f>
        <v>B</v>
      </c>
      <c r="Q211" s="10" t="str">
        <f aca="false">IF(F211="","Completar cadastro","")</f>
        <v>Completar cadastro</v>
      </c>
      <c r="R211" s="10" t="str">
        <f aca="false">INDEX(Parâmetros!$D$39:$D$43,MATCH(P211,Parâmetros!$A$39:$A$43,0))</f>
        <v>Cadência padrão</v>
      </c>
    </row>
    <row r="212" customFormat="false" ht="15" hidden="false" customHeight="false" outlineLevel="0" collapsed="false">
      <c r="A212" s="10" t="s">
        <v>418</v>
      </c>
      <c r="B212" s="10" t="s">
        <v>86</v>
      </c>
      <c r="C212" s="10" t="s">
        <v>85</v>
      </c>
      <c r="D212" s="10" t="s">
        <v>165</v>
      </c>
      <c r="E212" s="10" t="s">
        <v>50</v>
      </c>
      <c r="F212" s="10" t="s">
        <v>419</v>
      </c>
      <c r="G212" s="10" t="s">
        <v>162</v>
      </c>
      <c r="H212" s="30" t="n">
        <v>43082</v>
      </c>
      <c r="I212" s="8" t="n">
        <f aca="false">INDEX(Parâmetros!$C$13:$C$19,MATCH(E212,Parâmetros!$A$13:$A$19,0))</f>
        <v>1096</v>
      </c>
      <c r="J212" s="26" t="n">
        <f aca="false">IF(H212="","",Parâmetros!$B$5-H212)</f>
        <v>18</v>
      </c>
      <c r="K212" s="10" t="n">
        <f aca="false">INDEX(Parâmetros!$D$13:$D$19,MATCH(E212,Parâmetros!$A$13:$A$19,0))</f>
        <v>29</v>
      </c>
      <c r="L212" s="26" t="n">
        <f aca="false">IF(G212="Prospecting",Parâmetros!$B$9,IF(J212&gt;Parâmetros!$B$6,0,INDEX(Parâmetros!$C$24:$C$26,MATCH(J212,Parâmetros!$A$24:$A$26,1))))</f>
        <v>32</v>
      </c>
      <c r="M212" s="31" t="n">
        <f aca="false">IF(G212="Prospecting",1,INDEX(Parâmetros!$C$32:$C$35,MATCH(J212,Parâmetros!$A$32:$A$35,1)))</f>
        <v>1</v>
      </c>
      <c r="N212" s="2" t="n">
        <f aca="false">ROUND((K212+L212)*M212,0)</f>
        <v>61</v>
      </c>
      <c r="O212" s="10" t="str">
        <f aca="false">IF(AND(G212="Engaging",J212&gt;Parâmetros!$B$6),"Sim","Não")</f>
        <v>Não</v>
      </c>
      <c r="P212" s="32" t="str">
        <f aca="false">IF(O212="Sim","R",IF(N212&gt;=Parâmetros!$B$39,"A",IF(N212&gt;=Parâmetros!$B$40,"B",IF(N212&gt;=Parâmetros!$B$41,"C","D"))))</f>
        <v>B</v>
      </c>
      <c r="Q212" s="10" t="str">
        <f aca="false">IF(F212="","Completar cadastro","")</f>
        <v/>
      </c>
      <c r="R212" s="10" t="str">
        <f aca="false">INDEX(Parâmetros!$D$39:$D$43,MATCH(P212,Parâmetros!$A$39:$A$43,0))</f>
        <v>Cadência padrão</v>
      </c>
    </row>
    <row r="213" customFormat="false" ht="15" hidden="false" customHeight="false" outlineLevel="0" collapsed="false">
      <c r="A213" s="10" t="s">
        <v>420</v>
      </c>
      <c r="B213" s="10" t="s">
        <v>66</v>
      </c>
      <c r="C213" s="10" t="s">
        <v>65</v>
      </c>
      <c r="D213" s="10" t="s">
        <v>160</v>
      </c>
      <c r="E213" s="10" t="s">
        <v>50</v>
      </c>
      <c r="F213" s="10"/>
      <c r="G213" s="10" t="s">
        <v>162</v>
      </c>
      <c r="H213" s="30" t="n">
        <v>43082</v>
      </c>
      <c r="I213" s="8" t="n">
        <f aca="false">INDEX(Parâmetros!$C$13:$C$19,MATCH(E213,Parâmetros!$A$13:$A$19,0))</f>
        <v>1096</v>
      </c>
      <c r="J213" s="26" t="n">
        <f aca="false">IF(H213="","",Parâmetros!$B$5-H213)</f>
        <v>18</v>
      </c>
      <c r="K213" s="10" t="n">
        <f aca="false">INDEX(Parâmetros!$D$13:$D$19,MATCH(E213,Parâmetros!$A$13:$A$19,0))</f>
        <v>29</v>
      </c>
      <c r="L213" s="26" t="n">
        <f aca="false">IF(G213="Prospecting",Parâmetros!$B$9,IF(J213&gt;Parâmetros!$B$6,0,INDEX(Parâmetros!$C$24:$C$26,MATCH(J213,Parâmetros!$A$24:$A$26,1))))</f>
        <v>32</v>
      </c>
      <c r="M213" s="31" t="n">
        <f aca="false">IF(G213="Prospecting",1,INDEX(Parâmetros!$C$32:$C$35,MATCH(J213,Parâmetros!$A$32:$A$35,1)))</f>
        <v>1</v>
      </c>
      <c r="N213" s="2" t="n">
        <f aca="false">ROUND((K213+L213)*M213,0)</f>
        <v>61</v>
      </c>
      <c r="O213" s="10" t="str">
        <f aca="false">IF(AND(G213="Engaging",J213&gt;Parâmetros!$B$6),"Sim","Não")</f>
        <v>Não</v>
      </c>
      <c r="P213" s="32" t="str">
        <f aca="false">IF(O213="Sim","R",IF(N213&gt;=Parâmetros!$B$39,"A",IF(N213&gt;=Parâmetros!$B$40,"B",IF(N213&gt;=Parâmetros!$B$41,"C","D"))))</f>
        <v>B</v>
      </c>
      <c r="Q213" s="10" t="str">
        <f aca="false">IF(F213="","Completar cadastro","")</f>
        <v>Completar cadastro</v>
      </c>
      <c r="R213" s="10" t="str">
        <f aca="false">INDEX(Parâmetros!$D$39:$D$43,MATCH(P213,Parâmetros!$A$39:$A$43,0))</f>
        <v>Cadência padrão</v>
      </c>
    </row>
    <row r="214" customFormat="false" ht="15" hidden="false" customHeight="false" outlineLevel="0" collapsed="false">
      <c r="A214" s="10" t="s">
        <v>421</v>
      </c>
      <c r="B214" s="10" t="s">
        <v>87</v>
      </c>
      <c r="C214" s="10" t="s">
        <v>85</v>
      </c>
      <c r="D214" s="10" t="s">
        <v>165</v>
      </c>
      <c r="E214" s="10" t="s">
        <v>50</v>
      </c>
      <c r="F214" s="10" t="s">
        <v>422</v>
      </c>
      <c r="G214" s="10" t="s">
        <v>162</v>
      </c>
      <c r="H214" s="30" t="n">
        <v>43084</v>
      </c>
      <c r="I214" s="8" t="n">
        <f aca="false">INDEX(Parâmetros!$C$13:$C$19,MATCH(E214,Parâmetros!$A$13:$A$19,0))</f>
        <v>1096</v>
      </c>
      <c r="J214" s="26" t="n">
        <f aca="false">IF(H214="","",Parâmetros!$B$5-H214)</f>
        <v>16</v>
      </c>
      <c r="K214" s="10" t="n">
        <f aca="false">INDEX(Parâmetros!$D$13:$D$19,MATCH(E214,Parâmetros!$A$13:$A$19,0))</f>
        <v>29</v>
      </c>
      <c r="L214" s="26" t="n">
        <f aca="false">IF(G214="Prospecting",Parâmetros!$B$9,IF(J214&gt;Parâmetros!$B$6,0,INDEX(Parâmetros!$C$24:$C$26,MATCH(J214,Parâmetros!$A$24:$A$26,1))))</f>
        <v>32</v>
      </c>
      <c r="M214" s="31" t="n">
        <f aca="false">IF(G214="Prospecting",1,INDEX(Parâmetros!$C$32:$C$35,MATCH(J214,Parâmetros!$A$32:$A$35,1)))</f>
        <v>1</v>
      </c>
      <c r="N214" s="2" t="n">
        <f aca="false">ROUND((K214+L214)*M214,0)</f>
        <v>61</v>
      </c>
      <c r="O214" s="10" t="str">
        <f aca="false">IF(AND(G214="Engaging",J214&gt;Parâmetros!$B$6),"Sim","Não")</f>
        <v>Não</v>
      </c>
      <c r="P214" s="32" t="str">
        <f aca="false">IF(O214="Sim","R",IF(N214&gt;=Parâmetros!$B$39,"A",IF(N214&gt;=Parâmetros!$B$40,"B",IF(N214&gt;=Parâmetros!$B$41,"C","D"))))</f>
        <v>B</v>
      </c>
      <c r="Q214" s="10" t="str">
        <f aca="false">IF(F214="","Completar cadastro","")</f>
        <v/>
      </c>
      <c r="R214" s="10" t="str">
        <f aca="false">INDEX(Parâmetros!$D$39:$D$43,MATCH(P214,Parâmetros!$A$39:$A$43,0))</f>
        <v>Cadência padrão</v>
      </c>
    </row>
    <row r="215" customFormat="false" ht="15" hidden="false" customHeight="false" outlineLevel="0" collapsed="false">
      <c r="A215" s="10" t="s">
        <v>423</v>
      </c>
      <c r="B215" s="10" t="s">
        <v>71</v>
      </c>
      <c r="C215" s="10" t="s">
        <v>72</v>
      </c>
      <c r="D215" s="10" t="s">
        <v>196</v>
      </c>
      <c r="E215" s="10" t="s">
        <v>47</v>
      </c>
      <c r="F215" s="10" t="s">
        <v>424</v>
      </c>
      <c r="G215" s="10" t="s">
        <v>425</v>
      </c>
      <c r="H215" s="10"/>
      <c r="I215" s="8" t="n">
        <f aca="false">INDEX(Parâmetros!$C$13:$C$19,MATCH(E215,Parâmetros!$A$13:$A$19,0))</f>
        <v>5482</v>
      </c>
      <c r="J215" s="26" t="str">
        <f aca="false">IF(H215="","",Parâmetros!$B$5-H215)</f>
        <v/>
      </c>
      <c r="K215" s="10" t="n">
        <f aca="false">INDEX(Parâmetros!$D$13:$D$19,MATCH(E215,Parâmetros!$A$13:$A$19,0))</f>
        <v>45</v>
      </c>
      <c r="L215" s="26" t="n">
        <f aca="false">IF(G215="Prospecting",Parâmetros!$B$9,IF(J215&gt;Parâmetros!$B$6,0,INDEX(Parâmetros!$C$24:$C$26,MATCH(J215,Parâmetros!$A$24:$A$26,1))))</f>
        <v>10</v>
      </c>
      <c r="M215" s="31" t="n">
        <f aca="false">IF(G215="Prospecting",1,INDEX(Parâmetros!$C$32:$C$35,MATCH(J215,Parâmetros!$A$32:$A$35,1)))</f>
        <v>1</v>
      </c>
      <c r="N215" s="2" t="n">
        <f aca="false">ROUND((K215+L215)*M215,0)</f>
        <v>55</v>
      </c>
      <c r="O215" s="10" t="str">
        <f aca="false">IF(AND(G215="Engaging",J215&gt;Parâmetros!$B$6),"Sim","Não")</f>
        <v>Não</v>
      </c>
      <c r="P215" s="32" t="str">
        <f aca="false">IF(O215="Sim","R",IF(N215&gt;=Parâmetros!$B$39,"A",IF(N215&gt;=Parâmetros!$B$40,"B",IF(N215&gt;=Parâmetros!$B$41,"C","D"))))</f>
        <v>B</v>
      </c>
      <c r="Q215" s="10" t="str">
        <f aca="false">IF(F215="","Completar cadastro","")</f>
        <v/>
      </c>
      <c r="R215" s="10" t="str">
        <f aca="false">INDEX(Parâmetros!$D$39:$D$43,MATCH(P215,Parâmetros!$A$39:$A$43,0))</f>
        <v>Cadência padrão</v>
      </c>
    </row>
    <row r="216" customFormat="false" ht="15" hidden="false" customHeight="false" outlineLevel="0" collapsed="false">
      <c r="A216" s="10" t="s">
        <v>426</v>
      </c>
      <c r="B216" s="10" t="s">
        <v>71</v>
      </c>
      <c r="C216" s="10" t="s">
        <v>72</v>
      </c>
      <c r="D216" s="10" t="s">
        <v>196</v>
      </c>
      <c r="E216" s="10" t="s">
        <v>47</v>
      </c>
      <c r="F216" s="10" t="s">
        <v>427</v>
      </c>
      <c r="G216" s="10" t="s">
        <v>425</v>
      </c>
      <c r="H216" s="10"/>
      <c r="I216" s="8" t="n">
        <f aca="false">INDEX(Parâmetros!$C$13:$C$19,MATCH(E216,Parâmetros!$A$13:$A$19,0))</f>
        <v>5482</v>
      </c>
      <c r="J216" s="26" t="str">
        <f aca="false">IF(H216="","",Parâmetros!$B$5-H216)</f>
        <v/>
      </c>
      <c r="K216" s="10" t="n">
        <f aca="false">INDEX(Parâmetros!$D$13:$D$19,MATCH(E216,Parâmetros!$A$13:$A$19,0))</f>
        <v>45</v>
      </c>
      <c r="L216" s="26" t="n">
        <f aca="false">IF(G216="Prospecting",Parâmetros!$B$9,IF(J216&gt;Parâmetros!$B$6,0,INDEX(Parâmetros!$C$24:$C$26,MATCH(J216,Parâmetros!$A$24:$A$26,1))))</f>
        <v>10</v>
      </c>
      <c r="M216" s="31" t="n">
        <f aca="false">IF(G216="Prospecting",1,INDEX(Parâmetros!$C$32:$C$35,MATCH(J216,Parâmetros!$A$32:$A$35,1)))</f>
        <v>1</v>
      </c>
      <c r="N216" s="2" t="n">
        <f aca="false">ROUND((K216+L216)*M216,0)</f>
        <v>55</v>
      </c>
      <c r="O216" s="10" t="str">
        <f aca="false">IF(AND(G216="Engaging",J216&gt;Parâmetros!$B$6),"Sim","Não")</f>
        <v>Não</v>
      </c>
      <c r="P216" s="32" t="str">
        <f aca="false">IF(O216="Sim","R",IF(N216&gt;=Parâmetros!$B$39,"A",IF(N216&gt;=Parâmetros!$B$40,"B",IF(N216&gt;=Parâmetros!$B$41,"C","D"))))</f>
        <v>B</v>
      </c>
      <c r="Q216" s="10" t="str">
        <f aca="false">IF(F216="","Completar cadastro","")</f>
        <v/>
      </c>
      <c r="R216" s="10" t="str">
        <f aca="false">INDEX(Parâmetros!$D$39:$D$43,MATCH(P216,Parâmetros!$A$39:$A$43,0))</f>
        <v>Cadência padrão</v>
      </c>
    </row>
    <row r="217" customFormat="false" ht="15" hidden="false" customHeight="false" outlineLevel="0" collapsed="false">
      <c r="A217" s="10" t="s">
        <v>428</v>
      </c>
      <c r="B217" s="10" t="s">
        <v>71</v>
      </c>
      <c r="C217" s="10" t="s">
        <v>72</v>
      </c>
      <c r="D217" s="10" t="s">
        <v>196</v>
      </c>
      <c r="E217" s="10" t="s">
        <v>47</v>
      </c>
      <c r="F217" s="10"/>
      <c r="G217" s="10" t="s">
        <v>425</v>
      </c>
      <c r="H217" s="10"/>
      <c r="I217" s="8" t="n">
        <f aca="false">INDEX(Parâmetros!$C$13:$C$19,MATCH(E217,Parâmetros!$A$13:$A$19,0))</f>
        <v>5482</v>
      </c>
      <c r="J217" s="26" t="str">
        <f aca="false">IF(H217="","",Parâmetros!$B$5-H217)</f>
        <v/>
      </c>
      <c r="K217" s="10" t="n">
        <f aca="false">INDEX(Parâmetros!$D$13:$D$19,MATCH(E217,Parâmetros!$A$13:$A$19,0))</f>
        <v>45</v>
      </c>
      <c r="L217" s="26" t="n">
        <f aca="false">IF(G217="Prospecting",Parâmetros!$B$9,IF(J217&gt;Parâmetros!$B$6,0,INDEX(Parâmetros!$C$24:$C$26,MATCH(J217,Parâmetros!$A$24:$A$26,1))))</f>
        <v>10</v>
      </c>
      <c r="M217" s="31" t="n">
        <f aca="false">IF(G217="Prospecting",1,INDEX(Parâmetros!$C$32:$C$35,MATCH(J217,Parâmetros!$A$32:$A$35,1)))</f>
        <v>1</v>
      </c>
      <c r="N217" s="2" t="n">
        <f aca="false">ROUND((K217+L217)*M217,0)</f>
        <v>55</v>
      </c>
      <c r="O217" s="10" t="str">
        <f aca="false">IF(AND(G217="Engaging",J217&gt;Parâmetros!$B$6),"Sim","Não")</f>
        <v>Não</v>
      </c>
      <c r="P217" s="32" t="str">
        <f aca="false">IF(O217="Sim","R",IF(N217&gt;=Parâmetros!$B$39,"A",IF(N217&gt;=Parâmetros!$B$40,"B",IF(N217&gt;=Parâmetros!$B$41,"C","D"))))</f>
        <v>B</v>
      </c>
      <c r="Q217" s="10" t="str">
        <f aca="false">IF(F217="","Completar cadastro","")</f>
        <v>Completar cadastro</v>
      </c>
      <c r="R217" s="10" t="str">
        <f aca="false">INDEX(Parâmetros!$D$39:$D$43,MATCH(P217,Parâmetros!$A$39:$A$43,0))</f>
        <v>Cadência padrão</v>
      </c>
    </row>
    <row r="218" customFormat="false" ht="15" hidden="false" customHeight="false" outlineLevel="0" collapsed="false">
      <c r="A218" s="10" t="s">
        <v>429</v>
      </c>
      <c r="B218" s="10" t="s">
        <v>71</v>
      </c>
      <c r="C218" s="10" t="s">
        <v>72</v>
      </c>
      <c r="D218" s="10" t="s">
        <v>196</v>
      </c>
      <c r="E218" s="10" t="s">
        <v>47</v>
      </c>
      <c r="F218" s="10"/>
      <c r="G218" s="10" t="s">
        <v>425</v>
      </c>
      <c r="H218" s="10"/>
      <c r="I218" s="8" t="n">
        <f aca="false">INDEX(Parâmetros!$C$13:$C$19,MATCH(E218,Parâmetros!$A$13:$A$19,0))</f>
        <v>5482</v>
      </c>
      <c r="J218" s="26" t="str">
        <f aca="false">IF(H218="","",Parâmetros!$B$5-H218)</f>
        <v/>
      </c>
      <c r="K218" s="10" t="n">
        <f aca="false">INDEX(Parâmetros!$D$13:$D$19,MATCH(E218,Parâmetros!$A$13:$A$19,0))</f>
        <v>45</v>
      </c>
      <c r="L218" s="26" t="n">
        <f aca="false">IF(G218="Prospecting",Parâmetros!$B$9,IF(J218&gt;Parâmetros!$B$6,0,INDEX(Parâmetros!$C$24:$C$26,MATCH(J218,Parâmetros!$A$24:$A$26,1))))</f>
        <v>10</v>
      </c>
      <c r="M218" s="31" t="n">
        <f aca="false">IF(G218="Prospecting",1,INDEX(Parâmetros!$C$32:$C$35,MATCH(J218,Parâmetros!$A$32:$A$35,1)))</f>
        <v>1</v>
      </c>
      <c r="N218" s="2" t="n">
        <f aca="false">ROUND((K218+L218)*M218,0)</f>
        <v>55</v>
      </c>
      <c r="O218" s="10" t="str">
        <f aca="false">IF(AND(G218="Engaging",J218&gt;Parâmetros!$B$6),"Sim","Não")</f>
        <v>Não</v>
      </c>
      <c r="P218" s="32" t="str">
        <f aca="false">IF(O218="Sim","R",IF(N218&gt;=Parâmetros!$B$39,"A",IF(N218&gt;=Parâmetros!$B$40,"B",IF(N218&gt;=Parâmetros!$B$41,"C","D"))))</f>
        <v>B</v>
      </c>
      <c r="Q218" s="10" t="str">
        <f aca="false">IF(F218="","Completar cadastro","")</f>
        <v>Completar cadastro</v>
      </c>
      <c r="R218" s="10" t="str">
        <f aca="false">INDEX(Parâmetros!$D$39:$D$43,MATCH(P218,Parâmetros!$A$39:$A$43,0))</f>
        <v>Cadência padrão</v>
      </c>
    </row>
    <row r="219" customFormat="false" ht="15" hidden="false" customHeight="false" outlineLevel="0" collapsed="false">
      <c r="A219" s="10" t="s">
        <v>430</v>
      </c>
      <c r="B219" s="10" t="s">
        <v>71</v>
      </c>
      <c r="C219" s="10" t="s">
        <v>72</v>
      </c>
      <c r="D219" s="10" t="s">
        <v>196</v>
      </c>
      <c r="E219" s="10" t="s">
        <v>47</v>
      </c>
      <c r="F219" s="10"/>
      <c r="G219" s="10" t="s">
        <v>425</v>
      </c>
      <c r="H219" s="10"/>
      <c r="I219" s="8" t="n">
        <f aca="false">INDEX(Parâmetros!$C$13:$C$19,MATCH(E219,Parâmetros!$A$13:$A$19,0))</f>
        <v>5482</v>
      </c>
      <c r="J219" s="26" t="str">
        <f aca="false">IF(H219="","",Parâmetros!$B$5-H219)</f>
        <v/>
      </c>
      <c r="K219" s="10" t="n">
        <f aca="false">INDEX(Parâmetros!$D$13:$D$19,MATCH(E219,Parâmetros!$A$13:$A$19,0))</f>
        <v>45</v>
      </c>
      <c r="L219" s="26" t="n">
        <f aca="false">IF(G219="Prospecting",Parâmetros!$B$9,IF(J219&gt;Parâmetros!$B$6,0,INDEX(Parâmetros!$C$24:$C$26,MATCH(J219,Parâmetros!$A$24:$A$26,1))))</f>
        <v>10</v>
      </c>
      <c r="M219" s="31" t="n">
        <f aca="false">IF(G219="Prospecting",1,INDEX(Parâmetros!$C$32:$C$35,MATCH(J219,Parâmetros!$A$32:$A$35,1)))</f>
        <v>1</v>
      </c>
      <c r="N219" s="2" t="n">
        <f aca="false">ROUND((K219+L219)*M219,0)</f>
        <v>55</v>
      </c>
      <c r="O219" s="10" t="str">
        <f aca="false">IF(AND(G219="Engaging",J219&gt;Parâmetros!$B$6),"Sim","Não")</f>
        <v>Não</v>
      </c>
      <c r="P219" s="32" t="str">
        <f aca="false">IF(O219="Sim","R",IF(N219&gt;=Parâmetros!$B$39,"A",IF(N219&gt;=Parâmetros!$B$40,"B",IF(N219&gt;=Parâmetros!$B$41,"C","D"))))</f>
        <v>B</v>
      </c>
      <c r="Q219" s="10" t="str">
        <f aca="false">IF(F219="","Completar cadastro","")</f>
        <v>Completar cadastro</v>
      </c>
      <c r="R219" s="10" t="str">
        <f aca="false">INDEX(Parâmetros!$D$39:$D$43,MATCH(P219,Parâmetros!$A$39:$A$43,0))</f>
        <v>Cadência padrão</v>
      </c>
    </row>
    <row r="220" customFormat="false" ht="15" hidden="false" customHeight="false" outlineLevel="0" collapsed="false">
      <c r="A220" s="10" t="s">
        <v>431</v>
      </c>
      <c r="B220" s="10" t="s">
        <v>73</v>
      </c>
      <c r="C220" s="10" t="s">
        <v>72</v>
      </c>
      <c r="D220" s="10" t="s">
        <v>196</v>
      </c>
      <c r="E220" s="10" t="s">
        <v>47</v>
      </c>
      <c r="F220" s="10" t="s">
        <v>432</v>
      </c>
      <c r="G220" s="10" t="s">
        <v>425</v>
      </c>
      <c r="H220" s="10"/>
      <c r="I220" s="8" t="n">
        <f aca="false">INDEX(Parâmetros!$C$13:$C$19,MATCH(E220,Parâmetros!$A$13:$A$19,0))</f>
        <v>5482</v>
      </c>
      <c r="J220" s="26" t="str">
        <f aca="false">IF(H220="","",Parâmetros!$B$5-H220)</f>
        <v/>
      </c>
      <c r="K220" s="10" t="n">
        <f aca="false">INDEX(Parâmetros!$D$13:$D$19,MATCH(E220,Parâmetros!$A$13:$A$19,0))</f>
        <v>45</v>
      </c>
      <c r="L220" s="26" t="n">
        <f aca="false">IF(G220="Prospecting",Parâmetros!$B$9,IF(J220&gt;Parâmetros!$B$6,0,INDEX(Parâmetros!$C$24:$C$26,MATCH(J220,Parâmetros!$A$24:$A$26,1))))</f>
        <v>10</v>
      </c>
      <c r="M220" s="31" t="n">
        <f aca="false">IF(G220="Prospecting",1,INDEX(Parâmetros!$C$32:$C$35,MATCH(J220,Parâmetros!$A$32:$A$35,1)))</f>
        <v>1</v>
      </c>
      <c r="N220" s="2" t="n">
        <f aca="false">ROUND((K220+L220)*M220,0)</f>
        <v>55</v>
      </c>
      <c r="O220" s="10" t="str">
        <f aca="false">IF(AND(G220="Engaging",J220&gt;Parâmetros!$B$6),"Sim","Não")</f>
        <v>Não</v>
      </c>
      <c r="P220" s="32" t="str">
        <f aca="false">IF(O220="Sim","R",IF(N220&gt;=Parâmetros!$B$39,"A",IF(N220&gt;=Parâmetros!$B$40,"B",IF(N220&gt;=Parâmetros!$B$41,"C","D"))))</f>
        <v>B</v>
      </c>
      <c r="Q220" s="10" t="str">
        <f aca="false">IF(F220="","Completar cadastro","")</f>
        <v/>
      </c>
      <c r="R220" s="10" t="str">
        <f aca="false">INDEX(Parâmetros!$D$39:$D$43,MATCH(P220,Parâmetros!$A$39:$A$43,0))</f>
        <v>Cadência padrão</v>
      </c>
    </row>
    <row r="221" customFormat="false" ht="15" hidden="false" customHeight="false" outlineLevel="0" collapsed="false">
      <c r="A221" s="10" t="s">
        <v>433</v>
      </c>
      <c r="B221" s="10" t="s">
        <v>73</v>
      </c>
      <c r="C221" s="10" t="s">
        <v>72</v>
      </c>
      <c r="D221" s="10" t="s">
        <v>196</v>
      </c>
      <c r="E221" s="10" t="s">
        <v>47</v>
      </c>
      <c r="F221" s="10"/>
      <c r="G221" s="10" t="s">
        <v>425</v>
      </c>
      <c r="H221" s="10"/>
      <c r="I221" s="8" t="n">
        <f aca="false">INDEX(Parâmetros!$C$13:$C$19,MATCH(E221,Parâmetros!$A$13:$A$19,0))</f>
        <v>5482</v>
      </c>
      <c r="J221" s="26" t="str">
        <f aca="false">IF(H221="","",Parâmetros!$B$5-H221)</f>
        <v/>
      </c>
      <c r="K221" s="10" t="n">
        <f aca="false">INDEX(Parâmetros!$D$13:$D$19,MATCH(E221,Parâmetros!$A$13:$A$19,0))</f>
        <v>45</v>
      </c>
      <c r="L221" s="26" t="n">
        <f aca="false">IF(G221="Prospecting",Parâmetros!$B$9,IF(J221&gt;Parâmetros!$B$6,0,INDEX(Parâmetros!$C$24:$C$26,MATCH(J221,Parâmetros!$A$24:$A$26,1))))</f>
        <v>10</v>
      </c>
      <c r="M221" s="31" t="n">
        <f aca="false">IF(G221="Prospecting",1,INDEX(Parâmetros!$C$32:$C$35,MATCH(J221,Parâmetros!$A$32:$A$35,1)))</f>
        <v>1</v>
      </c>
      <c r="N221" s="2" t="n">
        <f aca="false">ROUND((K221+L221)*M221,0)</f>
        <v>55</v>
      </c>
      <c r="O221" s="10" t="str">
        <f aca="false">IF(AND(G221="Engaging",J221&gt;Parâmetros!$B$6),"Sim","Não")</f>
        <v>Não</v>
      </c>
      <c r="P221" s="32" t="str">
        <f aca="false">IF(O221="Sim","R",IF(N221&gt;=Parâmetros!$B$39,"A",IF(N221&gt;=Parâmetros!$B$40,"B",IF(N221&gt;=Parâmetros!$B$41,"C","D"))))</f>
        <v>B</v>
      </c>
      <c r="Q221" s="10" t="str">
        <f aca="false">IF(F221="","Completar cadastro","")</f>
        <v>Completar cadastro</v>
      </c>
      <c r="R221" s="10" t="str">
        <f aca="false">INDEX(Parâmetros!$D$39:$D$43,MATCH(P221,Parâmetros!$A$39:$A$43,0))</f>
        <v>Cadência padrão</v>
      </c>
    </row>
    <row r="222" customFormat="false" ht="15" hidden="false" customHeight="false" outlineLevel="0" collapsed="false">
      <c r="A222" s="10" t="s">
        <v>434</v>
      </c>
      <c r="B222" s="10" t="s">
        <v>73</v>
      </c>
      <c r="C222" s="10" t="s">
        <v>72</v>
      </c>
      <c r="D222" s="10" t="s">
        <v>196</v>
      </c>
      <c r="E222" s="10" t="s">
        <v>47</v>
      </c>
      <c r="F222" s="10"/>
      <c r="G222" s="10" t="s">
        <v>425</v>
      </c>
      <c r="H222" s="10"/>
      <c r="I222" s="8" t="n">
        <f aca="false">INDEX(Parâmetros!$C$13:$C$19,MATCH(E222,Parâmetros!$A$13:$A$19,0))</f>
        <v>5482</v>
      </c>
      <c r="J222" s="26" t="str">
        <f aca="false">IF(H222="","",Parâmetros!$B$5-H222)</f>
        <v/>
      </c>
      <c r="K222" s="10" t="n">
        <f aca="false">INDEX(Parâmetros!$D$13:$D$19,MATCH(E222,Parâmetros!$A$13:$A$19,0))</f>
        <v>45</v>
      </c>
      <c r="L222" s="26" t="n">
        <f aca="false">IF(G222="Prospecting",Parâmetros!$B$9,IF(J222&gt;Parâmetros!$B$6,0,INDEX(Parâmetros!$C$24:$C$26,MATCH(J222,Parâmetros!$A$24:$A$26,1))))</f>
        <v>10</v>
      </c>
      <c r="M222" s="31" t="n">
        <f aca="false">IF(G222="Prospecting",1,INDEX(Parâmetros!$C$32:$C$35,MATCH(J222,Parâmetros!$A$32:$A$35,1)))</f>
        <v>1</v>
      </c>
      <c r="N222" s="2" t="n">
        <f aca="false">ROUND((K222+L222)*M222,0)</f>
        <v>55</v>
      </c>
      <c r="O222" s="10" t="str">
        <f aca="false">IF(AND(G222="Engaging",J222&gt;Parâmetros!$B$6),"Sim","Não")</f>
        <v>Não</v>
      </c>
      <c r="P222" s="32" t="str">
        <f aca="false">IF(O222="Sim","R",IF(N222&gt;=Parâmetros!$B$39,"A",IF(N222&gt;=Parâmetros!$B$40,"B",IF(N222&gt;=Parâmetros!$B$41,"C","D"))))</f>
        <v>B</v>
      </c>
      <c r="Q222" s="10" t="str">
        <f aca="false">IF(F222="","Completar cadastro","")</f>
        <v>Completar cadastro</v>
      </c>
      <c r="R222" s="10" t="str">
        <f aca="false">INDEX(Parâmetros!$D$39:$D$43,MATCH(P222,Parâmetros!$A$39:$A$43,0))</f>
        <v>Cadência padrão</v>
      </c>
    </row>
    <row r="223" customFormat="false" ht="15" hidden="false" customHeight="false" outlineLevel="0" collapsed="false">
      <c r="A223" s="10" t="s">
        <v>435</v>
      </c>
      <c r="B223" s="10" t="s">
        <v>73</v>
      </c>
      <c r="C223" s="10" t="s">
        <v>72</v>
      </c>
      <c r="D223" s="10" t="s">
        <v>196</v>
      </c>
      <c r="E223" s="10" t="s">
        <v>47</v>
      </c>
      <c r="F223" s="10"/>
      <c r="G223" s="10" t="s">
        <v>425</v>
      </c>
      <c r="H223" s="10"/>
      <c r="I223" s="8" t="n">
        <f aca="false">INDEX(Parâmetros!$C$13:$C$19,MATCH(E223,Parâmetros!$A$13:$A$19,0))</f>
        <v>5482</v>
      </c>
      <c r="J223" s="26" t="str">
        <f aca="false">IF(H223="","",Parâmetros!$B$5-H223)</f>
        <v/>
      </c>
      <c r="K223" s="10" t="n">
        <f aca="false">INDEX(Parâmetros!$D$13:$D$19,MATCH(E223,Parâmetros!$A$13:$A$19,0))</f>
        <v>45</v>
      </c>
      <c r="L223" s="26" t="n">
        <f aca="false">IF(G223="Prospecting",Parâmetros!$B$9,IF(J223&gt;Parâmetros!$B$6,0,INDEX(Parâmetros!$C$24:$C$26,MATCH(J223,Parâmetros!$A$24:$A$26,1))))</f>
        <v>10</v>
      </c>
      <c r="M223" s="31" t="n">
        <f aca="false">IF(G223="Prospecting",1,INDEX(Parâmetros!$C$32:$C$35,MATCH(J223,Parâmetros!$A$32:$A$35,1)))</f>
        <v>1</v>
      </c>
      <c r="N223" s="2" t="n">
        <f aca="false">ROUND((K223+L223)*M223,0)</f>
        <v>55</v>
      </c>
      <c r="O223" s="10" t="str">
        <f aca="false">IF(AND(G223="Engaging",J223&gt;Parâmetros!$B$6),"Sim","Não")</f>
        <v>Não</v>
      </c>
      <c r="P223" s="32" t="str">
        <f aca="false">IF(O223="Sim","R",IF(N223&gt;=Parâmetros!$B$39,"A",IF(N223&gt;=Parâmetros!$B$40,"B",IF(N223&gt;=Parâmetros!$B$41,"C","D"))))</f>
        <v>B</v>
      </c>
      <c r="Q223" s="10" t="str">
        <f aca="false">IF(F223="","Completar cadastro","")</f>
        <v>Completar cadastro</v>
      </c>
      <c r="R223" s="10" t="str">
        <f aca="false">INDEX(Parâmetros!$D$39:$D$43,MATCH(P223,Parâmetros!$A$39:$A$43,0))</f>
        <v>Cadência padrão</v>
      </c>
    </row>
    <row r="224" customFormat="false" ht="15" hidden="false" customHeight="false" outlineLevel="0" collapsed="false">
      <c r="A224" s="10" t="s">
        <v>436</v>
      </c>
      <c r="B224" s="10" t="s">
        <v>77</v>
      </c>
      <c r="C224" s="10" t="s">
        <v>78</v>
      </c>
      <c r="D224" s="10" t="s">
        <v>196</v>
      </c>
      <c r="E224" s="10" t="s">
        <v>47</v>
      </c>
      <c r="F224" s="10" t="s">
        <v>437</v>
      </c>
      <c r="G224" s="10" t="s">
        <v>425</v>
      </c>
      <c r="H224" s="10"/>
      <c r="I224" s="8" t="n">
        <f aca="false">INDEX(Parâmetros!$C$13:$C$19,MATCH(E224,Parâmetros!$A$13:$A$19,0))</f>
        <v>5482</v>
      </c>
      <c r="J224" s="26" t="str">
        <f aca="false">IF(H224="","",Parâmetros!$B$5-H224)</f>
        <v/>
      </c>
      <c r="K224" s="10" t="n">
        <f aca="false">INDEX(Parâmetros!$D$13:$D$19,MATCH(E224,Parâmetros!$A$13:$A$19,0))</f>
        <v>45</v>
      </c>
      <c r="L224" s="26" t="n">
        <f aca="false">IF(G224="Prospecting",Parâmetros!$B$9,IF(J224&gt;Parâmetros!$B$6,0,INDEX(Parâmetros!$C$24:$C$26,MATCH(J224,Parâmetros!$A$24:$A$26,1))))</f>
        <v>10</v>
      </c>
      <c r="M224" s="31" t="n">
        <f aca="false">IF(G224="Prospecting",1,INDEX(Parâmetros!$C$32:$C$35,MATCH(J224,Parâmetros!$A$32:$A$35,1)))</f>
        <v>1</v>
      </c>
      <c r="N224" s="2" t="n">
        <f aca="false">ROUND((K224+L224)*M224,0)</f>
        <v>55</v>
      </c>
      <c r="O224" s="10" t="str">
        <f aca="false">IF(AND(G224="Engaging",J224&gt;Parâmetros!$B$6),"Sim","Não")</f>
        <v>Não</v>
      </c>
      <c r="P224" s="32" t="str">
        <f aca="false">IF(O224="Sim","R",IF(N224&gt;=Parâmetros!$B$39,"A",IF(N224&gt;=Parâmetros!$B$40,"B",IF(N224&gt;=Parâmetros!$B$41,"C","D"))))</f>
        <v>B</v>
      </c>
      <c r="Q224" s="10" t="str">
        <f aca="false">IF(F224="","Completar cadastro","")</f>
        <v/>
      </c>
      <c r="R224" s="10" t="str">
        <f aca="false">INDEX(Parâmetros!$D$39:$D$43,MATCH(P224,Parâmetros!$A$39:$A$43,0))</f>
        <v>Cadência padrão</v>
      </c>
    </row>
    <row r="225" customFormat="false" ht="15" hidden="false" customHeight="false" outlineLevel="0" collapsed="false">
      <c r="A225" s="10" t="s">
        <v>438</v>
      </c>
      <c r="B225" s="10" t="s">
        <v>77</v>
      </c>
      <c r="C225" s="10" t="s">
        <v>78</v>
      </c>
      <c r="D225" s="10" t="s">
        <v>196</v>
      </c>
      <c r="E225" s="10" t="s">
        <v>47</v>
      </c>
      <c r="F225" s="10" t="s">
        <v>199</v>
      </c>
      <c r="G225" s="10" t="s">
        <v>425</v>
      </c>
      <c r="H225" s="10"/>
      <c r="I225" s="8" t="n">
        <f aca="false">INDEX(Parâmetros!$C$13:$C$19,MATCH(E225,Parâmetros!$A$13:$A$19,0))</f>
        <v>5482</v>
      </c>
      <c r="J225" s="26" t="str">
        <f aca="false">IF(H225="","",Parâmetros!$B$5-H225)</f>
        <v/>
      </c>
      <c r="K225" s="10" t="n">
        <f aca="false">INDEX(Parâmetros!$D$13:$D$19,MATCH(E225,Parâmetros!$A$13:$A$19,0))</f>
        <v>45</v>
      </c>
      <c r="L225" s="26" t="n">
        <f aca="false">IF(G225="Prospecting",Parâmetros!$B$9,IF(J225&gt;Parâmetros!$B$6,0,INDEX(Parâmetros!$C$24:$C$26,MATCH(J225,Parâmetros!$A$24:$A$26,1))))</f>
        <v>10</v>
      </c>
      <c r="M225" s="31" t="n">
        <f aca="false">IF(G225="Prospecting",1,INDEX(Parâmetros!$C$32:$C$35,MATCH(J225,Parâmetros!$A$32:$A$35,1)))</f>
        <v>1</v>
      </c>
      <c r="N225" s="2" t="n">
        <f aca="false">ROUND((K225+L225)*M225,0)</f>
        <v>55</v>
      </c>
      <c r="O225" s="10" t="str">
        <f aca="false">IF(AND(G225="Engaging",J225&gt;Parâmetros!$B$6),"Sim","Não")</f>
        <v>Não</v>
      </c>
      <c r="P225" s="32" t="str">
        <f aca="false">IF(O225="Sim","R",IF(N225&gt;=Parâmetros!$B$39,"A",IF(N225&gt;=Parâmetros!$B$40,"B",IF(N225&gt;=Parâmetros!$B$41,"C","D"))))</f>
        <v>B</v>
      </c>
      <c r="Q225" s="10" t="str">
        <f aca="false">IF(F225="","Completar cadastro","")</f>
        <v/>
      </c>
      <c r="R225" s="10" t="str">
        <f aca="false">INDEX(Parâmetros!$D$39:$D$43,MATCH(P225,Parâmetros!$A$39:$A$43,0))</f>
        <v>Cadência padrão</v>
      </c>
    </row>
    <row r="226" customFormat="false" ht="15" hidden="false" customHeight="false" outlineLevel="0" collapsed="false">
      <c r="A226" s="10" t="s">
        <v>439</v>
      </c>
      <c r="B226" s="10" t="s">
        <v>77</v>
      </c>
      <c r="C226" s="10" t="s">
        <v>78</v>
      </c>
      <c r="D226" s="10" t="s">
        <v>196</v>
      </c>
      <c r="E226" s="10" t="s">
        <v>47</v>
      </c>
      <c r="F226" s="10" t="s">
        <v>424</v>
      </c>
      <c r="G226" s="10" t="s">
        <v>425</v>
      </c>
      <c r="H226" s="10"/>
      <c r="I226" s="8" t="n">
        <f aca="false">INDEX(Parâmetros!$C$13:$C$19,MATCH(E226,Parâmetros!$A$13:$A$19,0))</f>
        <v>5482</v>
      </c>
      <c r="J226" s="26" t="str">
        <f aca="false">IF(H226="","",Parâmetros!$B$5-H226)</f>
        <v/>
      </c>
      <c r="K226" s="10" t="n">
        <f aca="false">INDEX(Parâmetros!$D$13:$D$19,MATCH(E226,Parâmetros!$A$13:$A$19,0))</f>
        <v>45</v>
      </c>
      <c r="L226" s="26" t="n">
        <f aca="false">IF(G226="Prospecting",Parâmetros!$B$9,IF(J226&gt;Parâmetros!$B$6,0,INDEX(Parâmetros!$C$24:$C$26,MATCH(J226,Parâmetros!$A$24:$A$26,1))))</f>
        <v>10</v>
      </c>
      <c r="M226" s="31" t="n">
        <f aca="false">IF(G226="Prospecting",1,INDEX(Parâmetros!$C$32:$C$35,MATCH(J226,Parâmetros!$A$32:$A$35,1)))</f>
        <v>1</v>
      </c>
      <c r="N226" s="2" t="n">
        <f aca="false">ROUND((K226+L226)*M226,0)</f>
        <v>55</v>
      </c>
      <c r="O226" s="10" t="str">
        <f aca="false">IF(AND(G226="Engaging",J226&gt;Parâmetros!$B$6),"Sim","Não")</f>
        <v>Não</v>
      </c>
      <c r="P226" s="32" t="str">
        <f aca="false">IF(O226="Sim","R",IF(N226&gt;=Parâmetros!$B$39,"A",IF(N226&gt;=Parâmetros!$B$40,"B",IF(N226&gt;=Parâmetros!$B$41,"C","D"))))</f>
        <v>B</v>
      </c>
      <c r="Q226" s="10" t="str">
        <f aca="false">IF(F226="","Completar cadastro","")</f>
        <v/>
      </c>
      <c r="R226" s="10" t="str">
        <f aca="false">INDEX(Parâmetros!$D$39:$D$43,MATCH(P226,Parâmetros!$A$39:$A$43,0))</f>
        <v>Cadência padrão</v>
      </c>
    </row>
    <row r="227" customFormat="false" ht="15" hidden="false" customHeight="false" outlineLevel="0" collapsed="false">
      <c r="A227" s="10" t="s">
        <v>440</v>
      </c>
      <c r="B227" s="10" t="s">
        <v>77</v>
      </c>
      <c r="C227" s="10" t="s">
        <v>78</v>
      </c>
      <c r="D227" s="10" t="s">
        <v>196</v>
      </c>
      <c r="E227" s="10" t="s">
        <v>47</v>
      </c>
      <c r="F227" s="10" t="s">
        <v>441</v>
      </c>
      <c r="G227" s="10" t="s">
        <v>425</v>
      </c>
      <c r="H227" s="10"/>
      <c r="I227" s="8" t="n">
        <f aca="false">INDEX(Parâmetros!$C$13:$C$19,MATCH(E227,Parâmetros!$A$13:$A$19,0))</f>
        <v>5482</v>
      </c>
      <c r="J227" s="26" t="str">
        <f aca="false">IF(H227="","",Parâmetros!$B$5-H227)</f>
        <v/>
      </c>
      <c r="K227" s="10" t="n">
        <f aca="false">INDEX(Parâmetros!$D$13:$D$19,MATCH(E227,Parâmetros!$A$13:$A$19,0))</f>
        <v>45</v>
      </c>
      <c r="L227" s="26" t="n">
        <f aca="false">IF(G227="Prospecting",Parâmetros!$B$9,IF(J227&gt;Parâmetros!$B$6,0,INDEX(Parâmetros!$C$24:$C$26,MATCH(J227,Parâmetros!$A$24:$A$26,1))))</f>
        <v>10</v>
      </c>
      <c r="M227" s="31" t="n">
        <f aca="false">IF(G227="Prospecting",1,INDEX(Parâmetros!$C$32:$C$35,MATCH(J227,Parâmetros!$A$32:$A$35,1)))</f>
        <v>1</v>
      </c>
      <c r="N227" s="2" t="n">
        <f aca="false">ROUND((K227+L227)*M227,0)</f>
        <v>55</v>
      </c>
      <c r="O227" s="10" t="str">
        <f aca="false">IF(AND(G227="Engaging",J227&gt;Parâmetros!$B$6),"Sim","Não")</f>
        <v>Não</v>
      </c>
      <c r="P227" s="32" t="str">
        <f aca="false">IF(O227="Sim","R",IF(N227&gt;=Parâmetros!$B$39,"A",IF(N227&gt;=Parâmetros!$B$40,"B",IF(N227&gt;=Parâmetros!$B$41,"C","D"))))</f>
        <v>B</v>
      </c>
      <c r="Q227" s="10" t="str">
        <f aca="false">IF(F227="","Completar cadastro","")</f>
        <v/>
      </c>
      <c r="R227" s="10" t="str">
        <f aca="false">INDEX(Parâmetros!$D$39:$D$43,MATCH(P227,Parâmetros!$A$39:$A$43,0))</f>
        <v>Cadência padrão</v>
      </c>
    </row>
    <row r="228" customFormat="false" ht="15" hidden="false" customHeight="false" outlineLevel="0" collapsed="false">
      <c r="A228" s="10" t="s">
        <v>442</v>
      </c>
      <c r="B228" s="10" t="s">
        <v>77</v>
      </c>
      <c r="C228" s="10" t="s">
        <v>78</v>
      </c>
      <c r="D228" s="10" t="s">
        <v>196</v>
      </c>
      <c r="E228" s="10" t="s">
        <v>47</v>
      </c>
      <c r="F228" s="10"/>
      <c r="G228" s="10" t="s">
        <v>425</v>
      </c>
      <c r="H228" s="10"/>
      <c r="I228" s="8" t="n">
        <f aca="false">INDEX(Parâmetros!$C$13:$C$19,MATCH(E228,Parâmetros!$A$13:$A$19,0))</f>
        <v>5482</v>
      </c>
      <c r="J228" s="26" t="str">
        <f aca="false">IF(H228="","",Parâmetros!$B$5-H228)</f>
        <v/>
      </c>
      <c r="K228" s="10" t="n">
        <f aca="false">INDEX(Parâmetros!$D$13:$D$19,MATCH(E228,Parâmetros!$A$13:$A$19,0))</f>
        <v>45</v>
      </c>
      <c r="L228" s="26" t="n">
        <f aca="false">IF(G228="Prospecting",Parâmetros!$B$9,IF(J228&gt;Parâmetros!$B$6,0,INDEX(Parâmetros!$C$24:$C$26,MATCH(J228,Parâmetros!$A$24:$A$26,1))))</f>
        <v>10</v>
      </c>
      <c r="M228" s="31" t="n">
        <f aca="false">IF(G228="Prospecting",1,INDEX(Parâmetros!$C$32:$C$35,MATCH(J228,Parâmetros!$A$32:$A$35,1)))</f>
        <v>1</v>
      </c>
      <c r="N228" s="2" t="n">
        <f aca="false">ROUND((K228+L228)*M228,0)</f>
        <v>55</v>
      </c>
      <c r="O228" s="10" t="str">
        <f aca="false">IF(AND(G228="Engaging",J228&gt;Parâmetros!$B$6),"Sim","Não")</f>
        <v>Não</v>
      </c>
      <c r="P228" s="32" t="str">
        <f aca="false">IF(O228="Sim","R",IF(N228&gt;=Parâmetros!$B$39,"A",IF(N228&gt;=Parâmetros!$B$40,"B",IF(N228&gt;=Parâmetros!$B$41,"C","D"))))</f>
        <v>B</v>
      </c>
      <c r="Q228" s="10" t="str">
        <f aca="false">IF(F228="","Completar cadastro","")</f>
        <v>Completar cadastro</v>
      </c>
      <c r="R228" s="10" t="str">
        <f aca="false">INDEX(Parâmetros!$D$39:$D$43,MATCH(P228,Parâmetros!$A$39:$A$43,0))</f>
        <v>Cadência padrão</v>
      </c>
    </row>
    <row r="229" customFormat="false" ht="15" hidden="false" customHeight="false" outlineLevel="0" collapsed="false">
      <c r="A229" s="10" t="s">
        <v>443</v>
      </c>
      <c r="B229" s="10" t="s">
        <v>77</v>
      </c>
      <c r="C229" s="10" t="s">
        <v>78</v>
      </c>
      <c r="D229" s="10" t="s">
        <v>196</v>
      </c>
      <c r="E229" s="10" t="s">
        <v>47</v>
      </c>
      <c r="F229" s="10"/>
      <c r="G229" s="10" t="s">
        <v>425</v>
      </c>
      <c r="H229" s="10"/>
      <c r="I229" s="8" t="n">
        <f aca="false">INDEX(Parâmetros!$C$13:$C$19,MATCH(E229,Parâmetros!$A$13:$A$19,0))</f>
        <v>5482</v>
      </c>
      <c r="J229" s="26" t="str">
        <f aca="false">IF(H229="","",Parâmetros!$B$5-H229)</f>
        <v/>
      </c>
      <c r="K229" s="10" t="n">
        <f aca="false">INDEX(Parâmetros!$D$13:$D$19,MATCH(E229,Parâmetros!$A$13:$A$19,0))</f>
        <v>45</v>
      </c>
      <c r="L229" s="26" t="n">
        <f aca="false">IF(G229="Prospecting",Parâmetros!$B$9,IF(J229&gt;Parâmetros!$B$6,0,INDEX(Parâmetros!$C$24:$C$26,MATCH(J229,Parâmetros!$A$24:$A$26,1))))</f>
        <v>10</v>
      </c>
      <c r="M229" s="31" t="n">
        <f aca="false">IF(G229="Prospecting",1,INDEX(Parâmetros!$C$32:$C$35,MATCH(J229,Parâmetros!$A$32:$A$35,1)))</f>
        <v>1</v>
      </c>
      <c r="N229" s="2" t="n">
        <f aca="false">ROUND((K229+L229)*M229,0)</f>
        <v>55</v>
      </c>
      <c r="O229" s="10" t="str">
        <f aca="false">IF(AND(G229="Engaging",J229&gt;Parâmetros!$B$6),"Sim","Não")</f>
        <v>Não</v>
      </c>
      <c r="P229" s="32" t="str">
        <f aca="false">IF(O229="Sim","R",IF(N229&gt;=Parâmetros!$B$39,"A",IF(N229&gt;=Parâmetros!$B$40,"B",IF(N229&gt;=Parâmetros!$B$41,"C","D"))))</f>
        <v>B</v>
      </c>
      <c r="Q229" s="10" t="str">
        <f aca="false">IF(F229="","Completar cadastro","")</f>
        <v>Completar cadastro</v>
      </c>
      <c r="R229" s="10" t="str">
        <f aca="false">INDEX(Parâmetros!$D$39:$D$43,MATCH(P229,Parâmetros!$A$39:$A$43,0))</f>
        <v>Cadência padrão</v>
      </c>
    </row>
    <row r="230" customFormat="false" ht="15" hidden="false" customHeight="false" outlineLevel="0" collapsed="false">
      <c r="A230" s="10" t="s">
        <v>444</v>
      </c>
      <c r="B230" s="10" t="s">
        <v>77</v>
      </c>
      <c r="C230" s="10" t="s">
        <v>78</v>
      </c>
      <c r="D230" s="10" t="s">
        <v>196</v>
      </c>
      <c r="E230" s="10" t="s">
        <v>47</v>
      </c>
      <c r="F230" s="10"/>
      <c r="G230" s="10" t="s">
        <v>425</v>
      </c>
      <c r="H230" s="10"/>
      <c r="I230" s="8" t="n">
        <f aca="false">INDEX(Parâmetros!$C$13:$C$19,MATCH(E230,Parâmetros!$A$13:$A$19,0))</f>
        <v>5482</v>
      </c>
      <c r="J230" s="26" t="str">
        <f aca="false">IF(H230="","",Parâmetros!$B$5-H230)</f>
        <v/>
      </c>
      <c r="K230" s="10" t="n">
        <f aca="false">INDEX(Parâmetros!$D$13:$D$19,MATCH(E230,Parâmetros!$A$13:$A$19,0))</f>
        <v>45</v>
      </c>
      <c r="L230" s="26" t="n">
        <f aca="false">IF(G230="Prospecting",Parâmetros!$B$9,IF(J230&gt;Parâmetros!$B$6,0,INDEX(Parâmetros!$C$24:$C$26,MATCH(J230,Parâmetros!$A$24:$A$26,1))))</f>
        <v>10</v>
      </c>
      <c r="M230" s="31" t="n">
        <f aca="false">IF(G230="Prospecting",1,INDEX(Parâmetros!$C$32:$C$35,MATCH(J230,Parâmetros!$A$32:$A$35,1)))</f>
        <v>1</v>
      </c>
      <c r="N230" s="2" t="n">
        <f aca="false">ROUND((K230+L230)*M230,0)</f>
        <v>55</v>
      </c>
      <c r="O230" s="10" t="str">
        <f aca="false">IF(AND(G230="Engaging",J230&gt;Parâmetros!$B$6),"Sim","Não")</f>
        <v>Não</v>
      </c>
      <c r="P230" s="32" t="str">
        <f aca="false">IF(O230="Sim","R",IF(N230&gt;=Parâmetros!$B$39,"A",IF(N230&gt;=Parâmetros!$B$40,"B",IF(N230&gt;=Parâmetros!$B$41,"C","D"))))</f>
        <v>B</v>
      </c>
      <c r="Q230" s="10" t="str">
        <f aca="false">IF(F230="","Completar cadastro","")</f>
        <v>Completar cadastro</v>
      </c>
      <c r="R230" s="10" t="str">
        <f aca="false">INDEX(Parâmetros!$D$39:$D$43,MATCH(P230,Parâmetros!$A$39:$A$43,0))</f>
        <v>Cadência padrão</v>
      </c>
    </row>
    <row r="231" customFormat="false" ht="15" hidden="false" customHeight="false" outlineLevel="0" collapsed="false">
      <c r="A231" s="10" t="s">
        <v>445</v>
      </c>
      <c r="B231" s="10" t="s">
        <v>77</v>
      </c>
      <c r="C231" s="10" t="s">
        <v>78</v>
      </c>
      <c r="D231" s="10" t="s">
        <v>196</v>
      </c>
      <c r="E231" s="10" t="s">
        <v>47</v>
      </c>
      <c r="F231" s="10"/>
      <c r="G231" s="10" t="s">
        <v>425</v>
      </c>
      <c r="H231" s="10"/>
      <c r="I231" s="8" t="n">
        <f aca="false">INDEX(Parâmetros!$C$13:$C$19,MATCH(E231,Parâmetros!$A$13:$A$19,0))</f>
        <v>5482</v>
      </c>
      <c r="J231" s="26" t="str">
        <f aca="false">IF(H231="","",Parâmetros!$B$5-H231)</f>
        <v/>
      </c>
      <c r="K231" s="10" t="n">
        <f aca="false">INDEX(Parâmetros!$D$13:$D$19,MATCH(E231,Parâmetros!$A$13:$A$19,0))</f>
        <v>45</v>
      </c>
      <c r="L231" s="26" t="n">
        <f aca="false">IF(G231="Prospecting",Parâmetros!$B$9,IF(J231&gt;Parâmetros!$B$6,0,INDEX(Parâmetros!$C$24:$C$26,MATCH(J231,Parâmetros!$A$24:$A$26,1))))</f>
        <v>10</v>
      </c>
      <c r="M231" s="31" t="n">
        <f aca="false">IF(G231="Prospecting",1,INDEX(Parâmetros!$C$32:$C$35,MATCH(J231,Parâmetros!$A$32:$A$35,1)))</f>
        <v>1</v>
      </c>
      <c r="N231" s="2" t="n">
        <f aca="false">ROUND((K231+L231)*M231,0)</f>
        <v>55</v>
      </c>
      <c r="O231" s="10" t="str">
        <f aca="false">IF(AND(G231="Engaging",J231&gt;Parâmetros!$B$6),"Sim","Não")</f>
        <v>Não</v>
      </c>
      <c r="P231" s="32" t="str">
        <f aca="false">IF(O231="Sim","R",IF(N231&gt;=Parâmetros!$B$39,"A",IF(N231&gt;=Parâmetros!$B$40,"B",IF(N231&gt;=Parâmetros!$B$41,"C","D"))))</f>
        <v>B</v>
      </c>
      <c r="Q231" s="10" t="str">
        <f aca="false">IF(F231="","Completar cadastro","")</f>
        <v>Completar cadastro</v>
      </c>
      <c r="R231" s="10" t="str">
        <f aca="false">INDEX(Parâmetros!$D$39:$D$43,MATCH(P231,Parâmetros!$A$39:$A$43,0))</f>
        <v>Cadência padrão</v>
      </c>
    </row>
    <row r="232" customFormat="false" ht="15" hidden="false" customHeight="false" outlineLevel="0" collapsed="false">
      <c r="A232" s="10" t="s">
        <v>446</v>
      </c>
      <c r="B232" s="10" t="s">
        <v>77</v>
      </c>
      <c r="C232" s="10" t="s">
        <v>78</v>
      </c>
      <c r="D232" s="10" t="s">
        <v>196</v>
      </c>
      <c r="E232" s="10" t="s">
        <v>47</v>
      </c>
      <c r="F232" s="10"/>
      <c r="G232" s="10" t="s">
        <v>425</v>
      </c>
      <c r="H232" s="10"/>
      <c r="I232" s="8" t="n">
        <f aca="false">INDEX(Parâmetros!$C$13:$C$19,MATCH(E232,Parâmetros!$A$13:$A$19,0))</f>
        <v>5482</v>
      </c>
      <c r="J232" s="26" t="str">
        <f aca="false">IF(H232="","",Parâmetros!$B$5-H232)</f>
        <v/>
      </c>
      <c r="K232" s="10" t="n">
        <f aca="false">INDEX(Parâmetros!$D$13:$D$19,MATCH(E232,Parâmetros!$A$13:$A$19,0))</f>
        <v>45</v>
      </c>
      <c r="L232" s="26" t="n">
        <f aca="false">IF(G232="Prospecting",Parâmetros!$B$9,IF(J232&gt;Parâmetros!$B$6,0,INDEX(Parâmetros!$C$24:$C$26,MATCH(J232,Parâmetros!$A$24:$A$26,1))))</f>
        <v>10</v>
      </c>
      <c r="M232" s="31" t="n">
        <f aca="false">IF(G232="Prospecting",1,INDEX(Parâmetros!$C$32:$C$35,MATCH(J232,Parâmetros!$A$32:$A$35,1)))</f>
        <v>1</v>
      </c>
      <c r="N232" s="2" t="n">
        <f aca="false">ROUND((K232+L232)*M232,0)</f>
        <v>55</v>
      </c>
      <c r="O232" s="10" t="str">
        <f aca="false">IF(AND(G232="Engaging",J232&gt;Parâmetros!$B$6),"Sim","Não")</f>
        <v>Não</v>
      </c>
      <c r="P232" s="32" t="str">
        <f aca="false">IF(O232="Sim","R",IF(N232&gt;=Parâmetros!$B$39,"A",IF(N232&gt;=Parâmetros!$B$40,"B",IF(N232&gt;=Parâmetros!$B$41,"C","D"))))</f>
        <v>B</v>
      </c>
      <c r="Q232" s="10" t="str">
        <f aca="false">IF(F232="","Completar cadastro","")</f>
        <v>Completar cadastro</v>
      </c>
      <c r="R232" s="10" t="str">
        <f aca="false">INDEX(Parâmetros!$D$39:$D$43,MATCH(P232,Parâmetros!$A$39:$A$43,0))</f>
        <v>Cadência padrão</v>
      </c>
    </row>
    <row r="233" customFormat="false" ht="15" hidden="false" customHeight="false" outlineLevel="0" collapsed="false">
      <c r="A233" s="10" t="s">
        <v>447</v>
      </c>
      <c r="B233" s="10" t="s">
        <v>77</v>
      </c>
      <c r="C233" s="10" t="s">
        <v>78</v>
      </c>
      <c r="D233" s="10" t="s">
        <v>196</v>
      </c>
      <c r="E233" s="10" t="s">
        <v>47</v>
      </c>
      <c r="F233" s="10"/>
      <c r="G233" s="10" t="s">
        <v>425</v>
      </c>
      <c r="H233" s="10"/>
      <c r="I233" s="8" t="n">
        <f aca="false">INDEX(Parâmetros!$C$13:$C$19,MATCH(E233,Parâmetros!$A$13:$A$19,0))</f>
        <v>5482</v>
      </c>
      <c r="J233" s="26" t="str">
        <f aca="false">IF(H233="","",Parâmetros!$B$5-H233)</f>
        <v/>
      </c>
      <c r="K233" s="10" t="n">
        <f aca="false">INDEX(Parâmetros!$D$13:$D$19,MATCH(E233,Parâmetros!$A$13:$A$19,0))</f>
        <v>45</v>
      </c>
      <c r="L233" s="26" t="n">
        <f aca="false">IF(G233="Prospecting",Parâmetros!$B$9,IF(J233&gt;Parâmetros!$B$6,0,INDEX(Parâmetros!$C$24:$C$26,MATCH(J233,Parâmetros!$A$24:$A$26,1))))</f>
        <v>10</v>
      </c>
      <c r="M233" s="31" t="n">
        <f aca="false">IF(G233="Prospecting",1,INDEX(Parâmetros!$C$32:$C$35,MATCH(J233,Parâmetros!$A$32:$A$35,1)))</f>
        <v>1</v>
      </c>
      <c r="N233" s="2" t="n">
        <f aca="false">ROUND((K233+L233)*M233,0)</f>
        <v>55</v>
      </c>
      <c r="O233" s="10" t="str">
        <f aca="false">IF(AND(G233="Engaging",J233&gt;Parâmetros!$B$6),"Sim","Não")</f>
        <v>Não</v>
      </c>
      <c r="P233" s="32" t="str">
        <f aca="false">IF(O233="Sim","R",IF(N233&gt;=Parâmetros!$B$39,"A",IF(N233&gt;=Parâmetros!$B$40,"B",IF(N233&gt;=Parâmetros!$B$41,"C","D"))))</f>
        <v>B</v>
      </c>
      <c r="Q233" s="10" t="str">
        <f aca="false">IF(F233="","Completar cadastro","")</f>
        <v>Completar cadastro</v>
      </c>
      <c r="R233" s="10" t="str">
        <f aca="false">INDEX(Parâmetros!$D$39:$D$43,MATCH(P233,Parâmetros!$A$39:$A$43,0))</f>
        <v>Cadência padrão</v>
      </c>
    </row>
    <row r="234" customFormat="false" ht="15" hidden="false" customHeight="false" outlineLevel="0" collapsed="false">
      <c r="A234" s="10" t="s">
        <v>448</v>
      </c>
      <c r="B234" s="10" t="s">
        <v>77</v>
      </c>
      <c r="C234" s="10" t="s">
        <v>78</v>
      </c>
      <c r="D234" s="10" t="s">
        <v>196</v>
      </c>
      <c r="E234" s="10" t="s">
        <v>47</v>
      </c>
      <c r="F234" s="10"/>
      <c r="G234" s="10" t="s">
        <v>425</v>
      </c>
      <c r="H234" s="10"/>
      <c r="I234" s="8" t="n">
        <f aca="false">INDEX(Parâmetros!$C$13:$C$19,MATCH(E234,Parâmetros!$A$13:$A$19,0))</f>
        <v>5482</v>
      </c>
      <c r="J234" s="26" t="str">
        <f aca="false">IF(H234="","",Parâmetros!$B$5-H234)</f>
        <v/>
      </c>
      <c r="K234" s="10" t="n">
        <f aca="false">INDEX(Parâmetros!$D$13:$D$19,MATCH(E234,Parâmetros!$A$13:$A$19,0))</f>
        <v>45</v>
      </c>
      <c r="L234" s="26" t="n">
        <f aca="false">IF(G234="Prospecting",Parâmetros!$B$9,IF(J234&gt;Parâmetros!$B$6,0,INDEX(Parâmetros!$C$24:$C$26,MATCH(J234,Parâmetros!$A$24:$A$26,1))))</f>
        <v>10</v>
      </c>
      <c r="M234" s="31" t="n">
        <f aca="false">IF(G234="Prospecting",1,INDEX(Parâmetros!$C$32:$C$35,MATCH(J234,Parâmetros!$A$32:$A$35,1)))</f>
        <v>1</v>
      </c>
      <c r="N234" s="2" t="n">
        <f aca="false">ROUND((K234+L234)*M234,0)</f>
        <v>55</v>
      </c>
      <c r="O234" s="10" t="str">
        <f aca="false">IF(AND(G234="Engaging",J234&gt;Parâmetros!$B$6),"Sim","Não")</f>
        <v>Não</v>
      </c>
      <c r="P234" s="32" t="str">
        <f aca="false">IF(O234="Sim","R",IF(N234&gt;=Parâmetros!$B$39,"A",IF(N234&gt;=Parâmetros!$B$40,"B",IF(N234&gt;=Parâmetros!$B$41,"C","D"))))</f>
        <v>B</v>
      </c>
      <c r="Q234" s="10" t="str">
        <f aca="false">IF(F234="","Completar cadastro","")</f>
        <v>Completar cadastro</v>
      </c>
      <c r="R234" s="10" t="str">
        <f aca="false">INDEX(Parâmetros!$D$39:$D$43,MATCH(P234,Parâmetros!$A$39:$A$43,0))</f>
        <v>Cadência padrão</v>
      </c>
    </row>
    <row r="235" customFormat="false" ht="15" hidden="false" customHeight="false" outlineLevel="0" collapsed="false">
      <c r="A235" s="10" t="s">
        <v>449</v>
      </c>
      <c r="B235" s="10" t="s">
        <v>77</v>
      </c>
      <c r="C235" s="10" t="s">
        <v>78</v>
      </c>
      <c r="D235" s="10" t="s">
        <v>196</v>
      </c>
      <c r="E235" s="10" t="s">
        <v>47</v>
      </c>
      <c r="F235" s="10"/>
      <c r="G235" s="10" t="s">
        <v>425</v>
      </c>
      <c r="H235" s="10"/>
      <c r="I235" s="8" t="n">
        <f aca="false">INDEX(Parâmetros!$C$13:$C$19,MATCH(E235,Parâmetros!$A$13:$A$19,0))</f>
        <v>5482</v>
      </c>
      <c r="J235" s="26" t="str">
        <f aca="false">IF(H235="","",Parâmetros!$B$5-H235)</f>
        <v/>
      </c>
      <c r="K235" s="10" t="n">
        <f aca="false">INDEX(Parâmetros!$D$13:$D$19,MATCH(E235,Parâmetros!$A$13:$A$19,0))</f>
        <v>45</v>
      </c>
      <c r="L235" s="26" t="n">
        <f aca="false">IF(G235="Prospecting",Parâmetros!$B$9,IF(J235&gt;Parâmetros!$B$6,0,INDEX(Parâmetros!$C$24:$C$26,MATCH(J235,Parâmetros!$A$24:$A$26,1))))</f>
        <v>10</v>
      </c>
      <c r="M235" s="31" t="n">
        <f aca="false">IF(G235="Prospecting",1,INDEX(Parâmetros!$C$32:$C$35,MATCH(J235,Parâmetros!$A$32:$A$35,1)))</f>
        <v>1</v>
      </c>
      <c r="N235" s="2" t="n">
        <f aca="false">ROUND((K235+L235)*M235,0)</f>
        <v>55</v>
      </c>
      <c r="O235" s="10" t="str">
        <f aca="false">IF(AND(G235="Engaging",J235&gt;Parâmetros!$B$6),"Sim","Não")</f>
        <v>Não</v>
      </c>
      <c r="P235" s="32" t="str">
        <f aca="false">IF(O235="Sim","R",IF(N235&gt;=Parâmetros!$B$39,"A",IF(N235&gt;=Parâmetros!$B$40,"B",IF(N235&gt;=Parâmetros!$B$41,"C","D"))))</f>
        <v>B</v>
      </c>
      <c r="Q235" s="10" t="str">
        <f aca="false">IF(F235="","Completar cadastro","")</f>
        <v>Completar cadastro</v>
      </c>
      <c r="R235" s="10" t="str">
        <f aca="false">INDEX(Parâmetros!$D$39:$D$43,MATCH(P235,Parâmetros!$A$39:$A$43,0))</f>
        <v>Cadência padrão</v>
      </c>
    </row>
    <row r="236" customFormat="false" ht="15" hidden="false" customHeight="false" outlineLevel="0" collapsed="false">
      <c r="A236" s="10" t="s">
        <v>450</v>
      </c>
      <c r="B236" s="10" t="s">
        <v>77</v>
      </c>
      <c r="C236" s="10" t="s">
        <v>78</v>
      </c>
      <c r="D236" s="10" t="s">
        <v>196</v>
      </c>
      <c r="E236" s="10" t="s">
        <v>47</v>
      </c>
      <c r="F236" s="10"/>
      <c r="G236" s="10" t="s">
        <v>425</v>
      </c>
      <c r="H236" s="10"/>
      <c r="I236" s="8" t="n">
        <f aca="false">INDEX(Parâmetros!$C$13:$C$19,MATCH(E236,Parâmetros!$A$13:$A$19,0))</f>
        <v>5482</v>
      </c>
      <c r="J236" s="26" t="str">
        <f aca="false">IF(H236="","",Parâmetros!$B$5-H236)</f>
        <v/>
      </c>
      <c r="K236" s="10" t="n">
        <f aca="false">INDEX(Parâmetros!$D$13:$D$19,MATCH(E236,Parâmetros!$A$13:$A$19,0))</f>
        <v>45</v>
      </c>
      <c r="L236" s="26" t="n">
        <f aca="false">IF(G236="Prospecting",Parâmetros!$B$9,IF(J236&gt;Parâmetros!$B$6,0,INDEX(Parâmetros!$C$24:$C$26,MATCH(J236,Parâmetros!$A$24:$A$26,1))))</f>
        <v>10</v>
      </c>
      <c r="M236" s="31" t="n">
        <f aca="false">IF(G236="Prospecting",1,INDEX(Parâmetros!$C$32:$C$35,MATCH(J236,Parâmetros!$A$32:$A$35,1)))</f>
        <v>1</v>
      </c>
      <c r="N236" s="2" t="n">
        <f aca="false">ROUND((K236+L236)*M236,0)</f>
        <v>55</v>
      </c>
      <c r="O236" s="10" t="str">
        <f aca="false">IF(AND(G236="Engaging",J236&gt;Parâmetros!$B$6),"Sim","Não")</f>
        <v>Não</v>
      </c>
      <c r="P236" s="32" t="str">
        <f aca="false">IF(O236="Sim","R",IF(N236&gt;=Parâmetros!$B$39,"A",IF(N236&gt;=Parâmetros!$B$40,"B",IF(N236&gt;=Parâmetros!$B$41,"C","D"))))</f>
        <v>B</v>
      </c>
      <c r="Q236" s="10" t="str">
        <f aca="false">IF(F236="","Completar cadastro","")</f>
        <v>Completar cadastro</v>
      </c>
      <c r="R236" s="10" t="str">
        <f aca="false">INDEX(Parâmetros!$D$39:$D$43,MATCH(P236,Parâmetros!$A$39:$A$43,0))</f>
        <v>Cadência padrão</v>
      </c>
    </row>
    <row r="237" customFormat="false" ht="15" hidden="false" customHeight="false" outlineLevel="0" collapsed="false">
      <c r="A237" s="10" t="s">
        <v>451</v>
      </c>
      <c r="B237" s="10" t="s">
        <v>79</v>
      </c>
      <c r="C237" s="10" t="s">
        <v>78</v>
      </c>
      <c r="D237" s="10" t="s">
        <v>196</v>
      </c>
      <c r="E237" s="10" t="s">
        <v>47</v>
      </c>
      <c r="F237" s="10" t="s">
        <v>233</v>
      </c>
      <c r="G237" s="10" t="s">
        <v>425</v>
      </c>
      <c r="H237" s="10"/>
      <c r="I237" s="8" t="n">
        <f aca="false">INDEX(Parâmetros!$C$13:$C$19,MATCH(E237,Parâmetros!$A$13:$A$19,0))</f>
        <v>5482</v>
      </c>
      <c r="J237" s="26" t="str">
        <f aca="false">IF(H237="","",Parâmetros!$B$5-H237)</f>
        <v/>
      </c>
      <c r="K237" s="10" t="n">
        <f aca="false">INDEX(Parâmetros!$D$13:$D$19,MATCH(E237,Parâmetros!$A$13:$A$19,0))</f>
        <v>45</v>
      </c>
      <c r="L237" s="26" t="n">
        <f aca="false">IF(G237="Prospecting",Parâmetros!$B$9,IF(J237&gt;Parâmetros!$B$6,0,INDEX(Parâmetros!$C$24:$C$26,MATCH(J237,Parâmetros!$A$24:$A$26,1))))</f>
        <v>10</v>
      </c>
      <c r="M237" s="31" t="n">
        <f aca="false">IF(G237="Prospecting",1,INDEX(Parâmetros!$C$32:$C$35,MATCH(J237,Parâmetros!$A$32:$A$35,1)))</f>
        <v>1</v>
      </c>
      <c r="N237" s="2" t="n">
        <f aca="false">ROUND((K237+L237)*M237,0)</f>
        <v>55</v>
      </c>
      <c r="O237" s="10" t="str">
        <f aca="false">IF(AND(G237="Engaging",J237&gt;Parâmetros!$B$6),"Sim","Não")</f>
        <v>Não</v>
      </c>
      <c r="P237" s="32" t="str">
        <f aca="false">IF(O237="Sim","R",IF(N237&gt;=Parâmetros!$B$39,"A",IF(N237&gt;=Parâmetros!$B$40,"B",IF(N237&gt;=Parâmetros!$B$41,"C","D"))))</f>
        <v>B</v>
      </c>
      <c r="Q237" s="10" t="str">
        <f aca="false">IF(F237="","Completar cadastro","")</f>
        <v/>
      </c>
      <c r="R237" s="10" t="str">
        <f aca="false">INDEX(Parâmetros!$D$39:$D$43,MATCH(P237,Parâmetros!$A$39:$A$43,0))</f>
        <v>Cadência padrão</v>
      </c>
    </row>
    <row r="238" customFormat="false" ht="15" hidden="false" customHeight="false" outlineLevel="0" collapsed="false">
      <c r="A238" s="10" t="s">
        <v>452</v>
      </c>
      <c r="B238" s="10" t="s">
        <v>79</v>
      </c>
      <c r="C238" s="10" t="s">
        <v>78</v>
      </c>
      <c r="D238" s="10" t="s">
        <v>196</v>
      </c>
      <c r="E238" s="10" t="s">
        <v>47</v>
      </c>
      <c r="F238" s="10" t="s">
        <v>453</v>
      </c>
      <c r="G238" s="10" t="s">
        <v>425</v>
      </c>
      <c r="H238" s="10"/>
      <c r="I238" s="8" t="n">
        <f aca="false">INDEX(Parâmetros!$C$13:$C$19,MATCH(E238,Parâmetros!$A$13:$A$19,0))</f>
        <v>5482</v>
      </c>
      <c r="J238" s="26" t="str">
        <f aca="false">IF(H238="","",Parâmetros!$B$5-H238)</f>
        <v/>
      </c>
      <c r="K238" s="10" t="n">
        <f aca="false">INDEX(Parâmetros!$D$13:$D$19,MATCH(E238,Parâmetros!$A$13:$A$19,0))</f>
        <v>45</v>
      </c>
      <c r="L238" s="26" t="n">
        <f aca="false">IF(G238="Prospecting",Parâmetros!$B$9,IF(J238&gt;Parâmetros!$B$6,0,INDEX(Parâmetros!$C$24:$C$26,MATCH(J238,Parâmetros!$A$24:$A$26,1))))</f>
        <v>10</v>
      </c>
      <c r="M238" s="31" t="n">
        <f aca="false">IF(G238="Prospecting",1,INDEX(Parâmetros!$C$32:$C$35,MATCH(J238,Parâmetros!$A$32:$A$35,1)))</f>
        <v>1</v>
      </c>
      <c r="N238" s="2" t="n">
        <f aca="false">ROUND((K238+L238)*M238,0)</f>
        <v>55</v>
      </c>
      <c r="O238" s="10" t="str">
        <f aca="false">IF(AND(G238="Engaging",J238&gt;Parâmetros!$B$6),"Sim","Não")</f>
        <v>Não</v>
      </c>
      <c r="P238" s="32" t="str">
        <f aca="false">IF(O238="Sim","R",IF(N238&gt;=Parâmetros!$B$39,"A",IF(N238&gt;=Parâmetros!$B$40,"B",IF(N238&gt;=Parâmetros!$B$41,"C","D"))))</f>
        <v>B</v>
      </c>
      <c r="Q238" s="10" t="str">
        <f aca="false">IF(F238="","Completar cadastro","")</f>
        <v/>
      </c>
      <c r="R238" s="10" t="str">
        <f aca="false">INDEX(Parâmetros!$D$39:$D$43,MATCH(P238,Parâmetros!$A$39:$A$43,0))</f>
        <v>Cadência padrão</v>
      </c>
    </row>
    <row r="239" customFormat="false" ht="15" hidden="false" customHeight="false" outlineLevel="0" collapsed="false">
      <c r="A239" s="10" t="s">
        <v>454</v>
      </c>
      <c r="B239" s="10" t="s">
        <v>79</v>
      </c>
      <c r="C239" s="10" t="s">
        <v>78</v>
      </c>
      <c r="D239" s="10" t="s">
        <v>196</v>
      </c>
      <c r="E239" s="10" t="s">
        <v>47</v>
      </c>
      <c r="F239" s="10" t="s">
        <v>455</v>
      </c>
      <c r="G239" s="10" t="s">
        <v>425</v>
      </c>
      <c r="H239" s="10"/>
      <c r="I239" s="8" t="n">
        <f aca="false">INDEX(Parâmetros!$C$13:$C$19,MATCH(E239,Parâmetros!$A$13:$A$19,0))</f>
        <v>5482</v>
      </c>
      <c r="J239" s="26" t="str">
        <f aca="false">IF(H239="","",Parâmetros!$B$5-H239)</f>
        <v/>
      </c>
      <c r="K239" s="10" t="n">
        <f aca="false">INDEX(Parâmetros!$D$13:$D$19,MATCH(E239,Parâmetros!$A$13:$A$19,0))</f>
        <v>45</v>
      </c>
      <c r="L239" s="26" t="n">
        <f aca="false">IF(G239="Prospecting",Parâmetros!$B$9,IF(J239&gt;Parâmetros!$B$6,0,INDEX(Parâmetros!$C$24:$C$26,MATCH(J239,Parâmetros!$A$24:$A$26,1))))</f>
        <v>10</v>
      </c>
      <c r="M239" s="31" t="n">
        <f aca="false">IF(G239="Prospecting",1,INDEX(Parâmetros!$C$32:$C$35,MATCH(J239,Parâmetros!$A$32:$A$35,1)))</f>
        <v>1</v>
      </c>
      <c r="N239" s="2" t="n">
        <f aca="false">ROUND((K239+L239)*M239,0)</f>
        <v>55</v>
      </c>
      <c r="O239" s="10" t="str">
        <f aca="false">IF(AND(G239="Engaging",J239&gt;Parâmetros!$B$6),"Sim","Não")</f>
        <v>Não</v>
      </c>
      <c r="P239" s="32" t="str">
        <f aca="false">IF(O239="Sim","R",IF(N239&gt;=Parâmetros!$B$39,"A",IF(N239&gt;=Parâmetros!$B$40,"B",IF(N239&gt;=Parâmetros!$B$41,"C","D"))))</f>
        <v>B</v>
      </c>
      <c r="Q239" s="10" t="str">
        <f aca="false">IF(F239="","Completar cadastro","")</f>
        <v/>
      </c>
      <c r="R239" s="10" t="str">
        <f aca="false">INDEX(Parâmetros!$D$39:$D$43,MATCH(P239,Parâmetros!$A$39:$A$43,0))</f>
        <v>Cadência padrão</v>
      </c>
    </row>
    <row r="240" customFormat="false" ht="15" hidden="false" customHeight="false" outlineLevel="0" collapsed="false">
      <c r="A240" s="10" t="s">
        <v>456</v>
      </c>
      <c r="B240" s="10" t="s">
        <v>79</v>
      </c>
      <c r="C240" s="10" t="s">
        <v>78</v>
      </c>
      <c r="D240" s="10" t="s">
        <v>196</v>
      </c>
      <c r="E240" s="10" t="s">
        <v>47</v>
      </c>
      <c r="F240" s="10"/>
      <c r="G240" s="10" t="s">
        <v>425</v>
      </c>
      <c r="H240" s="10"/>
      <c r="I240" s="8" t="n">
        <f aca="false">INDEX(Parâmetros!$C$13:$C$19,MATCH(E240,Parâmetros!$A$13:$A$19,0))</f>
        <v>5482</v>
      </c>
      <c r="J240" s="26" t="str">
        <f aca="false">IF(H240="","",Parâmetros!$B$5-H240)</f>
        <v/>
      </c>
      <c r="K240" s="10" t="n">
        <f aca="false">INDEX(Parâmetros!$D$13:$D$19,MATCH(E240,Parâmetros!$A$13:$A$19,0))</f>
        <v>45</v>
      </c>
      <c r="L240" s="26" t="n">
        <f aca="false">IF(G240="Prospecting",Parâmetros!$B$9,IF(J240&gt;Parâmetros!$B$6,0,INDEX(Parâmetros!$C$24:$C$26,MATCH(J240,Parâmetros!$A$24:$A$26,1))))</f>
        <v>10</v>
      </c>
      <c r="M240" s="31" t="n">
        <f aca="false">IF(G240="Prospecting",1,INDEX(Parâmetros!$C$32:$C$35,MATCH(J240,Parâmetros!$A$32:$A$35,1)))</f>
        <v>1</v>
      </c>
      <c r="N240" s="2" t="n">
        <f aca="false">ROUND((K240+L240)*M240,0)</f>
        <v>55</v>
      </c>
      <c r="O240" s="10" t="str">
        <f aca="false">IF(AND(G240="Engaging",J240&gt;Parâmetros!$B$6),"Sim","Não")</f>
        <v>Não</v>
      </c>
      <c r="P240" s="32" t="str">
        <f aca="false">IF(O240="Sim","R",IF(N240&gt;=Parâmetros!$B$39,"A",IF(N240&gt;=Parâmetros!$B$40,"B",IF(N240&gt;=Parâmetros!$B$41,"C","D"))))</f>
        <v>B</v>
      </c>
      <c r="Q240" s="10" t="str">
        <f aca="false">IF(F240="","Completar cadastro","")</f>
        <v>Completar cadastro</v>
      </c>
      <c r="R240" s="10" t="str">
        <f aca="false">INDEX(Parâmetros!$D$39:$D$43,MATCH(P240,Parâmetros!$A$39:$A$43,0))</f>
        <v>Cadência padrão</v>
      </c>
    </row>
    <row r="241" customFormat="false" ht="15" hidden="false" customHeight="false" outlineLevel="0" collapsed="false">
      <c r="A241" s="10" t="s">
        <v>457</v>
      </c>
      <c r="B241" s="10" t="s">
        <v>79</v>
      </c>
      <c r="C241" s="10" t="s">
        <v>78</v>
      </c>
      <c r="D241" s="10" t="s">
        <v>196</v>
      </c>
      <c r="E241" s="10" t="s">
        <v>47</v>
      </c>
      <c r="F241" s="10"/>
      <c r="G241" s="10" t="s">
        <v>425</v>
      </c>
      <c r="H241" s="10"/>
      <c r="I241" s="8" t="n">
        <f aca="false">INDEX(Parâmetros!$C$13:$C$19,MATCH(E241,Parâmetros!$A$13:$A$19,0))</f>
        <v>5482</v>
      </c>
      <c r="J241" s="26" t="str">
        <f aca="false">IF(H241="","",Parâmetros!$B$5-H241)</f>
        <v/>
      </c>
      <c r="K241" s="10" t="n">
        <f aca="false">INDEX(Parâmetros!$D$13:$D$19,MATCH(E241,Parâmetros!$A$13:$A$19,0))</f>
        <v>45</v>
      </c>
      <c r="L241" s="26" t="n">
        <f aca="false">IF(G241="Prospecting",Parâmetros!$B$9,IF(J241&gt;Parâmetros!$B$6,0,INDEX(Parâmetros!$C$24:$C$26,MATCH(J241,Parâmetros!$A$24:$A$26,1))))</f>
        <v>10</v>
      </c>
      <c r="M241" s="31" t="n">
        <f aca="false">IF(G241="Prospecting",1,INDEX(Parâmetros!$C$32:$C$35,MATCH(J241,Parâmetros!$A$32:$A$35,1)))</f>
        <v>1</v>
      </c>
      <c r="N241" s="2" t="n">
        <f aca="false">ROUND((K241+L241)*M241,0)</f>
        <v>55</v>
      </c>
      <c r="O241" s="10" t="str">
        <f aca="false">IF(AND(G241="Engaging",J241&gt;Parâmetros!$B$6),"Sim","Não")</f>
        <v>Não</v>
      </c>
      <c r="P241" s="32" t="str">
        <f aca="false">IF(O241="Sim","R",IF(N241&gt;=Parâmetros!$B$39,"A",IF(N241&gt;=Parâmetros!$B$40,"B",IF(N241&gt;=Parâmetros!$B$41,"C","D"))))</f>
        <v>B</v>
      </c>
      <c r="Q241" s="10" t="str">
        <f aca="false">IF(F241="","Completar cadastro","")</f>
        <v>Completar cadastro</v>
      </c>
      <c r="R241" s="10" t="str">
        <f aca="false">INDEX(Parâmetros!$D$39:$D$43,MATCH(P241,Parâmetros!$A$39:$A$43,0))</f>
        <v>Cadência padrão</v>
      </c>
    </row>
    <row r="242" customFormat="false" ht="15" hidden="false" customHeight="false" outlineLevel="0" collapsed="false">
      <c r="A242" s="10" t="s">
        <v>458</v>
      </c>
      <c r="B242" s="10" t="s">
        <v>79</v>
      </c>
      <c r="C242" s="10" t="s">
        <v>78</v>
      </c>
      <c r="D242" s="10" t="s">
        <v>196</v>
      </c>
      <c r="E242" s="10" t="s">
        <v>47</v>
      </c>
      <c r="F242" s="10"/>
      <c r="G242" s="10" t="s">
        <v>425</v>
      </c>
      <c r="H242" s="10"/>
      <c r="I242" s="8" t="n">
        <f aca="false">INDEX(Parâmetros!$C$13:$C$19,MATCH(E242,Parâmetros!$A$13:$A$19,0))</f>
        <v>5482</v>
      </c>
      <c r="J242" s="26" t="str">
        <f aca="false">IF(H242="","",Parâmetros!$B$5-H242)</f>
        <v/>
      </c>
      <c r="K242" s="10" t="n">
        <f aca="false">INDEX(Parâmetros!$D$13:$D$19,MATCH(E242,Parâmetros!$A$13:$A$19,0))</f>
        <v>45</v>
      </c>
      <c r="L242" s="26" t="n">
        <f aca="false">IF(G242="Prospecting",Parâmetros!$B$9,IF(J242&gt;Parâmetros!$B$6,0,INDEX(Parâmetros!$C$24:$C$26,MATCH(J242,Parâmetros!$A$24:$A$26,1))))</f>
        <v>10</v>
      </c>
      <c r="M242" s="31" t="n">
        <f aca="false">IF(G242="Prospecting",1,INDEX(Parâmetros!$C$32:$C$35,MATCH(J242,Parâmetros!$A$32:$A$35,1)))</f>
        <v>1</v>
      </c>
      <c r="N242" s="2" t="n">
        <f aca="false">ROUND((K242+L242)*M242,0)</f>
        <v>55</v>
      </c>
      <c r="O242" s="10" t="str">
        <f aca="false">IF(AND(G242="Engaging",J242&gt;Parâmetros!$B$6),"Sim","Não")</f>
        <v>Não</v>
      </c>
      <c r="P242" s="32" t="str">
        <f aca="false">IF(O242="Sim","R",IF(N242&gt;=Parâmetros!$B$39,"A",IF(N242&gt;=Parâmetros!$B$40,"B",IF(N242&gt;=Parâmetros!$B$41,"C","D"))))</f>
        <v>B</v>
      </c>
      <c r="Q242" s="10" t="str">
        <f aca="false">IF(F242="","Completar cadastro","")</f>
        <v>Completar cadastro</v>
      </c>
      <c r="R242" s="10" t="str">
        <f aca="false">INDEX(Parâmetros!$D$39:$D$43,MATCH(P242,Parâmetros!$A$39:$A$43,0))</f>
        <v>Cadência padrão</v>
      </c>
    </row>
    <row r="243" customFormat="false" ht="15" hidden="false" customHeight="false" outlineLevel="0" collapsed="false">
      <c r="A243" s="10" t="s">
        <v>459</v>
      </c>
      <c r="B243" s="10" t="s">
        <v>79</v>
      </c>
      <c r="C243" s="10" t="s">
        <v>78</v>
      </c>
      <c r="D243" s="10" t="s">
        <v>196</v>
      </c>
      <c r="E243" s="10" t="s">
        <v>47</v>
      </c>
      <c r="F243" s="10"/>
      <c r="G243" s="10" t="s">
        <v>425</v>
      </c>
      <c r="H243" s="10"/>
      <c r="I243" s="8" t="n">
        <f aca="false">INDEX(Parâmetros!$C$13:$C$19,MATCH(E243,Parâmetros!$A$13:$A$19,0))</f>
        <v>5482</v>
      </c>
      <c r="J243" s="26" t="str">
        <f aca="false">IF(H243="","",Parâmetros!$B$5-H243)</f>
        <v/>
      </c>
      <c r="K243" s="10" t="n">
        <f aca="false">INDEX(Parâmetros!$D$13:$D$19,MATCH(E243,Parâmetros!$A$13:$A$19,0))</f>
        <v>45</v>
      </c>
      <c r="L243" s="26" t="n">
        <f aca="false">IF(G243="Prospecting",Parâmetros!$B$9,IF(J243&gt;Parâmetros!$B$6,0,INDEX(Parâmetros!$C$24:$C$26,MATCH(J243,Parâmetros!$A$24:$A$26,1))))</f>
        <v>10</v>
      </c>
      <c r="M243" s="31" t="n">
        <f aca="false">IF(G243="Prospecting",1,INDEX(Parâmetros!$C$32:$C$35,MATCH(J243,Parâmetros!$A$32:$A$35,1)))</f>
        <v>1</v>
      </c>
      <c r="N243" s="2" t="n">
        <f aca="false">ROUND((K243+L243)*M243,0)</f>
        <v>55</v>
      </c>
      <c r="O243" s="10" t="str">
        <f aca="false">IF(AND(G243="Engaging",J243&gt;Parâmetros!$B$6),"Sim","Não")</f>
        <v>Não</v>
      </c>
      <c r="P243" s="32" t="str">
        <f aca="false">IF(O243="Sim","R",IF(N243&gt;=Parâmetros!$B$39,"A",IF(N243&gt;=Parâmetros!$B$40,"B",IF(N243&gt;=Parâmetros!$B$41,"C","D"))))</f>
        <v>B</v>
      </c>
      <c r="Q243" s="10" t="str">
        <f aca="false">IF(F243="","Completar cadastro","")</f>
        <v>Completar cadastro</v>
      </c>
      <c r="R243" s="10" t="str">
        <f aca="false">INDEX(Parâmetros!$D$39:$D$43,MATCH(P243,Parâmetros!$A$39:$A$43,0))</f>
        <v>Cadência padrão</v>
      </c>
    </row>
    <row r="244" customFormat="false" ht="15" hidden="false" customHeight="false" outlineLevel="0" collapsed="false">
      <c r="A244" s="10" t="s">
        <v>460</v>
      </c>
      <c r="B244" s="10" t="s">
        <v>79</v>
      </c>
      <c r="C244" s="10" t="s">
        <v>78</v>
      </c>
      <c r="D244" s="10" t="s">
        <v>196</v>
      </c>
      <c r="E244" s="10" t="s">
        <v>47</v>
      </c>
      <c r="F244" s="10"/>
      <c r="G244" s="10" t="s">
        <v>425</v>
      </c>
      <c r="H244" s="10"/>
      <c r="I244" s="8" t="n">
        <f aca="false">INDEX(Parâmetros!$C$13:$C$19,MATCH(E244,Parâmetros!$A$13:$A$19,0))</f>
        <v>5482</v>
      </c>
      <c r="J244" s="26" t="str">
        <f aca="false">IF(H244="","",Parâmetros!$B$5-H244)</f>
        <v/>
      </c>
      <c r="K244" s="10" t="n">
        <f aca="false">INDEX(Parâmetros!$D$13:$D$19,MATCH(E244,Parâmetros!$A$13:$A$19,0))</f>
        <v>45</v>
      </c>
      <c r="L244" s="26" t="n">
        <f aca="false">IF(G244="Prospecting",Parâmetros!$B$9,IF(J244&gt;Parâmetros!$B$6,0,INDEX(Parâmetros!$C$24:$C$26,MATCH(J244,Parâmetros!$A$24:$A$26,1))))</f>
        <v>10</v>
      </c>
      <c r="M244" s="31" t="n">
        <f aca="false">IF(G244="Prospecting",1,INDEX(Parâmetros!$C$32:$C$35,MATCH(J244,Parâmetros!$A$32:$A$35,1)))</f>
        <v>1</v>
      </c>
      <c r="N244" s="2" t="n">
        <f aca="false">ROUND((K244+L244)*M244,0)</f>
        <v>55</v>
      </c>
      <c r="O244" s="10" t="str">
        <f aca="false">IF(AND(G244="Engaging",J244&gt;Parâmetros!$B$6),"Sim","Não")</f>
        <v>Não</v>
      </c>
      <c r="P244" s="32" t="str">
        <f aca="false">IF(O244="Sim","R",IF(N244&gt;=Parâmetros!$B$39,"A",IF(N244&gt;=Parâmetros!$B$40,"B",IF(N244&gt;=Parâmetros!$B$41,"C","D"))))</f>
        <v>B</v>
      </c>
      <c r="Q244" s="10" t="str">
        <f aca="false">IF(F244="","Completar cadastro","")</f>
        <v>Completar cadastro</v>
      </c>
      <c r="R244" s="10" t="str">
        <f aca="false">INDEX(Parâmetros!$D$39:$D$43,MATCH(P244,Parâmetros!$A$39:$A$43,0))</f>
        <v>Cadência padrão</v>
      </c>
    </row>
    <row r="245" customFormat="false" ht="15" hidden="false" customHeight="false" outlineLevel="0" collapsed="false">
      <c r="A245" s="10" t="s">
        <v>461</v>
      </c>
      <c r="B245" s="10" t="s">
        <v>79</v>
      </c>
      <c r="C245" s="10" t="s">
        <v>78</v>
      </c>
      <c r="D245" s="10" t="s">
        <v>196</v>
      </c>
      <c r="E245" s="10" t="s">
        <v>47</v>
      </c>
      <c r="F245" s="10"/>
      <c r="G245" s="10" t="s">
        <v>425</v>
      </c>
      <c r="H245" s="10"/>
      <c r="I245" s="8" t="n">
        <f aca="false">INDEX(Parâmetros!$C$13:$C$19,MATCH(E245,Parâmetros!$A$13:$A$19,0))</f>
        <v>5482</v>
      </c>
      <c r="J245" s="26" t="str">
        <f aca="false">IF(H245="","",Parâmetros!$B$5-H245)</f>
        <v/>
      </c>
      <c r="K245" s="10" t="n">
        <f aca="false">INDEX(Parâmetros!$D$13:$D$19,MATCH(E245,Parâmetros!$A$13:$A$19,0))</f>
        <v>45</v>
      </c>
      <c r="L245" s="26" t="n">
        <f aca="false">IF(G245="Prospecting",Parâmetros!$B$9,IF(J245&gt;Parâmetros!$B$6,0,INDEX(Parâmetros!$C$24:$C$26,MATCH(J245,Parâmetros!$A$24:$A$26,1))))</f>
        <v>10</v>
      </c>
      <c r="M245" s="31" t="n">
        <f aca="false">IF(G245="Prospecting",1,INDEX(Parâmetros!$C$32:$C$35,MATCH(J245,Parâmetros!$A$32:$A$35,1)))</f>
        <v>1</v>
      </c>
      <c r="N245" s="2" t="n">
        <f aca="false">ROUND((K245+L245)*M245,0)</f>
        <v>55</v>
      </c>
      <c r="O245" s="10" t="str">
        <f aca="false">IF(AND(G245="Engaging",J245&gt;Parâmetros!$B$6),"Sim","Não")</f>
        <v>Não</v>
      </c>
      <c r="P245" s="32" t="str">
        <f aca="false">IF(O245="Sim","R",IF(N245&gt;=Parâmetros!$B$39,"A",IF(N245&gt;=Parâmetros!$B$40,"B",IF(N245&gt;=Parâmetros!$B$41,"C","D"))))</f>
        <v>B</v>
      </c>
      <c r="Q245" s="10" t="str">
        <f aca="false">IF(F245="","Completar cadastro","")</f>
        <v>Completar cadastro</v>
      </c>
      <c r="R245" s="10" t="str">
        <f aca="false">INDEX(Parâmetros!$D$39:$D$43,MATCH(P245,Parâmetros!$A$39:$A$43,0))</f>
        <v>Cadência padrão</v>
      </c>
    </row>
    <row r="246" customFormat="false" ht="15" hidden="false" customHeight="false" outlineLevel="0" collapsed="false">
      <c r="A246" s="10" t="s">
        <v>462</v>
      </c>
      <c r="B246" s="10" t="s">
        <v>80</v>
      </c>
      <c r="C246" s="10" t="s">
        <v>78</v>
      </c>
      <c r="D246" s="10" t="s">
        <v>196</v>
      </c>
      <c r="E246" s="10" t="s">
        <v>47</v>
      </c>
      <c r="F246" s="10" t="s">
        <v>348</v>
      </c>
      <c r="G246" s="10" t="s">
        <v>425</v>
      </c>
      <c r="H246" s="10"/>
      <c r="I246" s="8" t="n">
        <f aca="false">INDEX(Parâmetros!$C$13:$C$19,MATCH(E246,Parâmetros!$A$13:$A$19,0))</f>
        <v>5482</v>
      </c>
      <c r="J246" s="26" t="str">
        <f aca="false">IF(H246="","",Parâmetros!$B$5-H246)</f>
        <v/>
      </c>
      <c r="K246" s="10" t="n">
        <f aca="false">INDEX(Parâmetros!$D$13:$D$19,MATCH(E246,Parâmetros!$A$13:$A$19,0))</f>
        <v>45</v>
      </c>
      <c r="L246" s="26" t="n">
        <f aca="false">IF(G246="Prospecting",Parâmetros!$B$9,IF(J246&gt;Parâmetros!$B$6,0,INDEX(Parâmetros!$C$24:$C$26,MATCH(J246,Parâmetros!$A$24:$A$26,1))))</f>
        <v>10</v>
      </c>
      <c r="M246" s="31" t="n">
        <f aca="false">IF(G246="Prospecting",1,INDEX(Parâmetros!$C$32:$C$35,MATCH(J246,Parâmetros!$A$32:$A$35,1)))</f>
        <v>1</v>
      </c>
      <c r="N246" s="2" t="n">
        <f aca="false">ROUND((K246+L246)*M246,0)</f>
        <v>55</v>
      </c>
      <c r="O246" s="10" t="str">
        <f aca="false">IF(AND(G246="Engaging",J246&gt;Parâmetros!$B$6),"Sim","Não")</f>
        <v>Não</v>
      </c>
      <c r="P246" s="32" t="str">
        <f aca="false">IF(O246="Sim","R",IF(N246&gt;=Parâmetros!$B$39,"A",IF(N246&gt;=Parâmetros!$B$40,"B",IF(N246&gt;=Parâmetros!$B$41,"C","D"))))</f>
        <v>B</v>
      </c>
      <c r="Q246" s="10" t="str">
        <f aca="false">IF(F246="","Completar cadastro","")</f>
        <v/>
      </c>
      <c r="R246" s="10" t="str">
        <f aca="false">INDEX(Parâmetros!$D$39:$D$43,MATCH(P246,Parâmetros!$A$39:$A$43,0))</f>
        <v>Cadência padrão</v>
      </c>
    </row>
    <row r="247" customFormat="false" ht="15" hidden="false" customHeight="false" outlineLevel="0" collapsed="false">
      <c r="A247" s="10" t="s">
        <v>463</v>
      </c>
      <c r="B247" s="10" t="s">
        <v>80</v>
      </c>
      <c r="C247" s="10" t="s">
        <v>78</v>
      </c>
      <c r="D247" s="10" t="s">
        <v>196</v>
      </c>
      <c r="E247" s="10" t="s">
        <v>47</v>
      </c>
      <c r="F247" s="10" t="s">
        <v>464</v>
      </c>
      <c r="G247" s="10" t="s">
        <v>425</v>
      </c>
      <c r="H247" s="10"/>
      <c r="I247" s="8" t="n">
        <f aca="false">INDEX(Parâmetros!$C$13:$C$19,MATCH(E247,Parâmetros!$A$13:$A$19,0))</f>
        <v>5482</v>
      </c>
      <c r="J247" s="26" t="str">
        <f aca="false">IF(H247="","",Parâmetros!$B$5-H247)</f>
        <v/>
      </c>
      <c r="K247" s="10" t="n">
        <f aca="false">INDEX(Parâmetros!$D$13:$D$19,MATCH(E247,Parâmetros!$A$13:$A$19,0))</f>
        <v>45</v>
      </c>
      <c r="L247" s="26" t="n">
        <f aca="false">IF(G247="Prospecting",Parâmetros!$B$9,IF(J247&gt;Parâmetros!$B$6,0,INDEX(Parâmetros!$C$24:$C$26,MATCH(J247,Parâmetros!$A$24:$A$26,1))))</f>
        <v>10</v>
      </c>
      <c r="M247" s="31" t="n">
        <f aca="false">IF(G247="Prospecting",1,INDEX(Parâmetros!$C$32:$C$35,MATCH(J247,Parâmetros!$A$32:$A$35,1)))</f>
        <v>1</v>
      </c>
      <c r="N247" s="2" t="n">
        <f aca="false">ROUND((K247+L247)*M247,0)</f>
        <v>55</v>
      </c>
      <c r="O247" s="10" t="str">
        <f aca="false">IF(AND(G247="Engaging",J247&gt;Parâmetros!$B$6),"Sim","Não")</f>
        <v>Não</v>
      </c>
      <c r="P247" s="32" t="str">
        <f aca="false">IF(O247="Sim","R",IF(N247&gt;=Parâmetros!$B$39,"A",IF(N247&gt;=Parâmetros!$B$40,"B",IF(N247&gt;=Parâmetros!$B$41,"C","D"))))</f>
        <v>B</v>
      </c>
      <c r="Q247" s="10" t="str">
        <f aca="false">IF(F247="","Completar cadastro","")</f>
        <v/>
      </c>
      <c r="R247" s="10" t="str">
        <f aca="false">INDEX(Parâmetros!$D$39:$D$43,MATCH(P247,Parâmetros!$A$39:$A$43,0))</f>
        <v>Cadência padrão</v>
      </c>
    </row>
    <row r="248" customFormat="false" ht="15" hidden="false" customHeight="false" outlineLevel="0" collapsed="false">
      <c r="A248" s="10" t="s">
        <v>465</v>
      </c>
      <c r="B248" s="10" t="s">
        <v>80</v>
      </c>
      <c r="C248" s="10" t="s">
        <v>78</v>
      </c>
      <c r="D248" s="10" t="s">
        <v>196</v>
      </c>
      <c r="E248" s="10" t="s">
        <v>47</v>
      </c>
      <c r="F248" s="10"/>
      <c r="G248" s="10" t="s">
        <v>425</v>
      </c>
      <c r="H248" s="10"/>
      <c r="I248" s="8" t="n">
        <f aca="false">INDEX(Parâmetros!$C$13:$C$19,MATCH(E248,Parâmetros!$A$13:$A$19,0))</f>
        <v>5482</v>
      </c>
      <c r="J248" s="26" t="str">
        <f aca="false">IF(H248="","",Parâmetros!$B$5-H248)</f>
        <v/>
      </c>
      <c r="K248" s="10" t="n">
        <f aca="false">INDEX(Parâmetros!$D$13:$D$19,MATCH(E248,Parâmetros!$A$13:$A$19,0))</f>
        <v>45</v>
      </c>
      <c r="L248" s="26" t="n">
        <f aca="false">IF(G248="Prospecting",Parâmetros!$B$9,IF(J248&gt;Parâmetros!$B$6,0,INDEX(Parâmetros!$C$24:$C$26,MATCH(J248,Parâmetros!$A$24:$A$26,1))))</f>
        <v>10</v>
      </c>
      <c r="M248" s="31" t="n">
        <f aca="false">IF(G248="Prospecting",1,INDEX(Parâmetros!$C$32:$C$35,MATCH(J248,Parâmetros!$A$32:$A$35,1)))</f>
        <v>1</v>
      </c>
      <c r="N248" s="2" t="n">
        <f aca="false">ROUND((K248+L248)*M248,0)</f>
        <v>55</v>
      </c>
      <c r="O248" s="10" t="str">
        <f aca="false">IF(AND(G248="Engaging",J248&gt;Parâmetros!$B$6),"Sim","Não")</f>
        <v>Não</v>
      </c>
      <c r="P248" s="32" t="str">
        <f aca="false">IF(O248="Sim","R",IF(N248&gt;=Parâmetros!$B$39,"A",IF(N248&gt;=Parâmetros!$B$40,"B",IF(N248&gt;=Parâmetros!$B$41,"C","D"))))</f>
        <v>B</v>
      </c>
      <c r="Q248" s="10" t="str">
        <f aca="false">IF(F248="","Completar cadastro","")</f>
        <v>Completar cadastro</v>
      </c>
      <c r="R248" s="10" t="str">
        <f aca="false">INDEX(Parâmetros!$D$39:$D$43,MATCH(P248,Parâmetros!$A$39:$A$43,0))</f>
        <v>Cadência padrão</v>
      </c>
    </row>
    <row r="249" customFormat="false" ht="15" hidden="false" customHeight="false" outlineLevel="0" collapsed="false">
      <c r="A249" s="10" t="s">
        <v>466</v>
      </c>
      <c r="B249" s="10" t="s">
        <v>80</v>
      </c>
      <c r="C249" s="10" t="s">
        <v>78</v>
      </c>
      <c r="D249" s="10" t="s">
        <v>196</v>
      </c>
      <c r="E249" s="10" t="s">
        <v>47</v>
      </c>
      <c r="F249" s="10"/>
      <c r="G249" s="10" t="s">
        <v>425</v>
      </c>
      <c r="H249" s="10"/>
      <c r="I249" s="8" t="n">
        <f aca="false">INDEX(Parâmetros!$C$13:$C$19,MATCH(E249,Parâmetros!$A$13:$A$19,0))</f>
        <v>5482</v>
      </c>
      <c r="J249" s="26" t="str">
        <f aca="false">IF(H249="","",Parâmetros!$B$5-H249)</f>
        <v/>
      </c>
      <c r="K249" s="10" t="n">
        <f aca="false">INDEX(Parâmetros!$D$13:$D$19,MATCH(E249,Parâmetros!$A$13:$A$19,0))</f>
        <v>45</v>
      </c>
      <c r="L249" s="26" t="n">
        <f aca="false">IF(G249="Prospecting",Parâmetros!$B$9,IF(J249&gt;Parâmetros!$B$6,0,INDEX(Parâmetros!$C$24:$C$26,MATCH(J249,Parâmetros!$A$24:$A$26,1))))</f>
        <v>10</v>
      </c>
      <c r="M249" s="31" t="n">
        <f aca="false">IF(G249="Prospecting",1,INDEX(Parâmetros!$C$32:$C$35,MATCH(J249,Parâmetros!$A$32:$A$35,1)))</f>
        <v>1</v>
      </c>
      <c r="N249" s="2" t="n">
        <f aca="false">ROUND((K249+L249)*M249,0)</f>
        <v>55</v>
      </c>
      <c r="O249" s="10" t="str">
        <f aca="false">IF(AND(G249="Engaging",J249&gt;Parâmetros!$B$6),"Sim","Não")</f>
        <v>Não</v>
      </c>
      <c r="P249" s="32" t="str">
        <f aca="false">IF(O249="Sim","R",IF(N249&gt;=Parâmetros!$B$39,"A",IF(N249&gt;=Parâmetros!$B$40,"B",IF(N249&gt;=Parâmetros!$B$41,"C","D"))))</f>
        <v>B</v>
      </c>
      <c r="Q249" s="10" t="str">
        <f aca="false">IF(F249="","Completar cadastro","")</f>
        <v>Completar cadastro</v>
      </c>
      <c r="R249" s="10" t="str">
        <f aca="false">INDEX(Parâmetros!$D$39:$D$43,MATCH(P249,Parâmetros!$A$39:$A$43,0))</f>
        <v>Cadência padrão</v>
      </c>
    </row>
    <row r="250" customFormat="false" ht="15" hidden="false" customHeight="false" outlineLevel="0" collapsed="false">
      <c r="A250" s="10" t="s">
        <v>467</v>
      </c>
      <c r="B250" s="10" t="s">
        <v>74</v>
      </c>
      <c r="C250" s="10" t="s">
        <v>72</v>
      </c>
      <c r="D250" s="10" t="s">
        <v>196</v>
      </c>
      <c r="E250" s="10" t="s">
        <v>47</v>
      </c>
      <c r="F250" s="10"/>
      <c r="G250" s="10" t="s">
        <v>425</v>
      </c>
      <c r="H250" s="10"/>
      <c r="I250" s="8" t="n">
        <f aca="false">INDEX(Parâmetros!$C$13:$C$19,MATCH(E250,Parâmetros!$A$13:$A$19,0))</f>
        <v>5482</v>
      </c>
      <c r="J250" s="26" t="str">
        <f aca="false">IF(H250="","",Parâmetros!$B$5-H250)</f>
        <v/>
      </c>
      <c r="K250" s="10" t="n">
        <f aca="false">INDEX(Parâmetros!$D$13:$D$19,MATCH(E250,Parâmetros!$A$13:$A$19,0))</f>
        <v>45</v>
      </c>
      <c r="L250" s="26" t="n">
        <f aca="false">IF(G250="Prospecting",Parâmetros!$B$9,IF(J250&gt;Parâmetros!$B$6,0,INDEX(Parâmetros!$C$24:$C$26,MATCH(J250,Parâmetros!$A$24:$A$26,1))))</f>
        <v>10</v>
      </c>
      <c r="M250" s="31" t="n">
        <f aca="false">IF(G250="Prospecting",1,INDEX(Parâmetros!$C$32:$C$35,MATCH(J250,Parâmetros!$A$32:$A$35,1)))</f>
        <v>1</v>
      </c>
      <c r="N250" s="2" t="n">
        <f aca="false">ROUND((K250+L250)*M250,0)</f>
        <v>55</v>
      </c>
      <c r="O250" s="10" t="str">
        <f aca="false">IF(AND(G250="Engaging",J250&gt;Parâmetros!$B$6),"Sim","Não")</f>
        <v>Não</v>
      </c>
      <c r="P250" s="32" t="str">
        <f aca="false">IF(O250="Sim","R",IF(N250&gt;=Parâmetros!$B$39,"A",IF(N250&gt;=Parâmetros!$B$40,"B",IF(N250&gt;=Parâmetros!$B$41,"C","D"))))</f>
        <v>B</v>
      </c>
      <c r="Q250" s="10" t="str">
        <f aca="false">IF(F250="","Completar cadastro","")</f>
        <v>Completar cadastro</v>
      </c>
      <c r="R250" s="10" t="str">
        <f aca="false">INDEX(Parâmetros!$D$39:$D$43,MATCH(P250,Parâmetros!$A$39:$A$43,0))</f>
        <v>Cadência padrão</v>
      </c>
    </row>
    <row r="251" customFormat="false" ht="15" hidden="false" customHeight="false" outlineLevel="0" collapsed="false">
      <c r="A251" s="10" t="s">
        <v>468</v>
      </c>
      <c r="B251" s="10" t="s">
        <v>81</v>
      </c>
      <c r="C251" s="10" t="s">
        <v>78</v>
      </c>
      <c r="D251" s="10" t="s">
        <v>196</v>
      </c>
      <c r="E251" s="10" t="s">
        <v>47</v>
      </c>
      <c r="F251" s="10"/>
      <c r="G251" s="10" t="s">
        <v>425</v>
      </c>
      <c r="H251" s="10"/>
      <c r="I251" s="8" t="n">
        <f aca="false">INDEX(Parâmetros!$C$13:$C$19,MATCH(E251,Parâmetros!$A$13:$A$19,0))</f>
        <v>5482</v>
      </c>
      <c r="J251" s="26" t="str">
        <f aca="false">IF(H251="","",Parâmetros!$B$5-H251)</f>
        <v/>
      </c>
      <c r="K251" s="10" t="n">
        <f aca="false">INDEX(Parâmetros!$D$13:$D$19,MATCH(E251,Parâmetros!$A$13:$A$19,0))</f>
        <v>45</v>
      </c>
      <c r="L251" s="26" t="n">
        <f aca="false">IF(G251="Prospecting",Parâmetros!$B$9,IF(J251&gt;Parâmetros!$B$6,0,INDEX(Parâmetros!$C$24:$C$26,MATCH(J251,Parâmetros!$A$24:$A$26,1))))</f>
        <v>10</v>
      </c>
      <c r="M251" s="31" t="n">
        <f aca="false">IF(G251="Prospecting",1,INDEX(Parâmetros!$C$32:$C$35,MATCH(J251,Parâmetros!$A$32:$A$35,1)))</f>
        <v>1</v>
      </c>
      <c r="N251" s="2" t="n">
        <f aca="false">ROUND((K251+L251)*M251,0)</f>
        <v>55</v>
      </c>
      <c r="O251" s="10" t="str">
        <f aca="false">IF(AND(G251="Engaging",J251&gt;Parâmetros!$B$6),"Sim","Não")</f>
        <v>Não</v>
      </c>
      <c r="P251" s="32" t="str">
        <f aca="false">IF(O251="Sim","R",IF(N251&gt;=Parâmetros!$B$39,"A",IF(N251&gt;=Parâmetros!$B$40,"B",IF(N251&gt;=Parâmetros!$B$41,"C","D"))))</f>
        <v>B</v>
      </c>
      <c r="Q251" s="10" t="str">
        <f aca="false">IF(F251="","Completar cadastro","")</f>
        <v>Completar cadastro</v>
      </c>
      <c r="R251" s="10" t="str">
        <f aca="false">INDEX(Parâmetros!$D$39:$D$43,MATCH(P251,Parâmetros!$A$39:$A$43,0))</f>
        <v>Cadência padrão</v>
      </c>
    </row>
    <row r="252" customFormat="false" ht="15" hidden="false" customHeight="false" outlineLevel="0" collapsed="false">
      <c r="A252" s="10" t="s">
        <v>469</v>
      </c>
      <c r="B252" s="10" t="s">
        <v>81</v>
      </c>
      <c r="C252" s="10" t="s">
        <v>78</v>
      </c>
      <c r="D252" s="10" t="s">
        <v>196</v>
      </c>
      <c r="E252" s="10" t="s">
        <v>47</v>
      </c>
      <c r="F252" s="10"/>
      <c r="G252" s="10" t="s">
        <v>425</v>
      </c>
      <c r="H252" s="10"/>
      <c r="I252" s="8" t="n">
        <f aca="false">INDEX(Parâmetros!$C$13:$C$19,MATCH(E252,Parâmetros!$A$13:$A$19,0))</f>
        <v>5482</v>
      </c>
      <c r="J252" s="26" t="str">
        <f aca="false">IF(H252="","",Parâmetros!$B$5-H252)</f>
        <v/>
      </c>
      <c r="K252" s="10" t="n">
        <f aca="false">INDEX(Parâmetros!$D$13:$D$19,MATCH(E252,Parâmetros!$A$13:$A$19,0))</f>
        <v>45</v>
      </c>
      <c r="L252" s="26" t="n">
        <f aca="false">IF(G252="Prospecting",Parâmetros!$B$9,IF(J252&gt;Parâmetros!$B$6,0,INDEX(Parâmetros!$C$24:$C$26,MATCH(J252,Parâmetros!$A$24:$A$26,1))))</f>
        <v>10</v>
      </c>
      <c r="M252" s="31" t="n">
        <f aca="false">IF(G252="Prospecting",1,INDEX(Parâmetros!$C$32:$C$35,MATCH(J252,Parâmetros!$A$32:$A$35,1)))</f>
        <v>1</v>
      </c>
      <c r="N252" s="2" t="n">
        <f aca="false">ROUND((K252+L252)*M252,0)</f>
        <v>55</v>
      </c>
      <c r="O252" s="10" t="str">
        <f aca="false">IF(AND(G252="Engaging",J252&gt;Parâmetros!$B$6),"Sim","Não")</f>
        <v>Não</v>
      </c>
      <c r="P252" s="32" t="str">
        <f aca="false">IF(O252="Sim","R",IF(N252&gt;=Parâmetros!$B$39,"A",IF(N252&gt;=Parâmetros!$B$40,"B",IF(N252&gt;=Parâmetros!$B$41,"C","D"))))</f>
        <v>B</v>
      </c>
      <c r="Q252" s="10" t="str">
        <f aca="false">IF(F252="","Completar cadastro","")</f>
        <v>Completar cadastro</v>
      </c>
      <c r="R252" s="10" t="str">
        <f aca="false">INDEX(Parâmetros!$D$39:$D$43,MATCH(P252,Parâmetros!$A$39:$A$43,0))</f>
        <v>Cadência padrão</v>
      </c>
    </row>
    <row r="253" customFormat="false" ht="15" hidden="false" customHeight="false" outlineLevel="0" collapsed="false">
      <c r="A253" s="10" t="s">
        <v>470</v>
      </c>
      <c r="B253" s="10" t="s">
        <v>81</v>
      </c>
      <c r="C253" s="10" t="s">
        <v>78</v>
      </c>
      <c r="D253" s="10" t="s">
        <v>196</v>
      </c>
      <c r="E253" s="10" t="s">
        <v>47</v>
      </c>
      <c r="F253" s="10"/>
      <c r="G253" s="10" t="s">
        <v>425</v>
      </c>
      <c r="H253" s="10"/>
      <c r="I253" s="8" t="n">
        <f aca="false">INDEX(Parâmetros!$C$13:$C$19,MATCH(E253,Parâmetros!$A$13:$A$19,0))</f>
        <v>5482</v>
      </c>
      <c r="J253" s="26" t="str">
        <f aca="false">IF(H253="","",Parâmetros!$B$5-H253)</f>
        <v/>
      </c>
      <c r="K253" s="10" t="n">
        <f aca="false">INDEX(Parâmetros!$D$13:$D$19,MATCH(E253,Parâmetros!$A$13:$A$19,0))</f>
        <v>45</v>
      </c>
      <c r="L253" s="26" t="n">
        <f aca="false">IF(G253="Prospecting",Parâmetros!$B$9,IF(J253&gt;Parâmetros!$B$6,0,INDEX(Parâmetros!$C$24:$C$26,MATCH(J253,Parâmetros!$A$24:$A$26,1))))</f>
        <v>10</v>
      </c>
      <c r="M253" s="31" t="n">
        <f aca="false">IF(G253="Prospecting",1,INDEX(Parâmetros!$C$32:$C$35,MATCH(J253,Parâmetros!$A$32:$A$35,1)))</f>
        <v>1</v>
      </c>
      <c r="N253" s="2" t="n">
        <f aca="false">ROUND((K253+L253)*M253,0)</f>
        <v>55</v>
      </c>
      <c r="O253" s="10" t="str">
        <f aca="false">IF(AND(G253="Engaging",J253&gt;Parâmetros!$B$6),"Sim","Não")</f>
        <v>Não</v>
      </c>
      <c r="P253" s="32" t="str">
        <f aca="false">IF(O253="Sim","R",IF(N253&gt;=Parâmetros!$B$39,"A",IF(N253&gt;=Parâmetros!$B$40,"B",IF(N253&gt;=Parâmetros!$B$41,"C","D"))))</f>
        <v>B</v>
      </c>
      <c r="Q253" s="10" t="str">
        <f aca="false">IF(F253="","Completar cadastro","")</f>
        <v>Completar cadastro</v>
      </c>
      <c r="R253" s="10" t="str">
        <f aca="false">INDEX(Parâmetros!$D$39:$D$43,MATCH(P253,Parâmetros!$A$39:$A$43,0))</f>
        <v>Cadência padrão</v>
      </c>
    </row>
    <row r="254" customFormat="false" ht="15" hidden="false" customHeight="false" outlineLevel="0" collapsed="false">
      <c r="A254" s="10" t="s">
        <v>471</v>
      </c>
      <c r="B254" s="10" t="s">
        <v>81</v>
      </c>
      <c r="C254" s="10" t="s">
        <v>78</v>
      </c>
      <c r="D254" s="10" t="s">
        <v>196</v>
      </c>
      <c r="E254" s="10" t="s">
        <v>47</v>
      </c>
      <c r="F254" s="10"/>
      <c r="G254" s="10" t="s">
        <v>425</v>
      </c>
      <c r="H254" s="10"/>
      <c r="I254" s="8" t="n">
        <f aca="false">INDEX(Parâmetros!$C$13:$C$19,MATCH(E254,Parâmetros!$A$13:$A$19,0))</f>
        <v>5482</v>
      </c>
      <c r="J254" s="26" t="str">
        <f aca="false">IF(H254="","",Parâmetros!$B$5-H254)</f>
        <v/>
      </c>
      <c r="K254" s="10" t="n">
        <f aca="false">INDEX(Parâmetros!$D$13:$D$19,MATCH(E254,Parâmetros!$A$13:$A$19,0))</f>
        <v>45</v>
      </c>
      <c r="L254" s="26" t="n">
        <f aca="false">IF(G254="Prospecting",Parâmetros!$B$9,IF(J254&gt;Parâmetros!$B$6,0,INDEX(Parâmetros!$C$24:$C$26,MATCH(J254,Parâmetros!$A$24:$A$26,1))))</f>
        <v>10</v>
      </c>
      <c r="M254" s="31" t="n">
        <f aca="false">IF(G254="Prospecting",1,INDEX(Parâmetros!$C$32:$C$35,MATCH(J254,Parâmetros!$A$32:$A$35,1)))</f>
        <v>1</v>
      </c>
      <c r="N254" s="2" t="n">
        <f aca="false">ROUND((K254+L254)*M254,0)</f>
        <v>55</v>
      </c>
      <c r="O254" s="10" t="str">
        <f aca="false">IF(AND(G254="Engaging",J254&gt;Parâmetros!$B$6),"Sim","Não")</f>
        <v>Não</v>
      </c>
      <c r="P254" s="32" t="str">
        <f aca="false">IF(O254="Sim","R",IF(N254&gt;=Parâmetros!$B$39,"A",IF(N254&gt;=Parâmetros!$B$40,"B",IF(N254&gt;=Parâmetros!$B$41,"C","D"))))</f>
        <v>B</v>
      </c>
      <c r="Q254" s="10" t="str">
        <f aca="false">IF(F254="","Completar cadastro","")</f>
        <v>Completar cadastro</v>
      </c>
      <c r="R254" s="10" t="str">
        <f aca="false">INDEX(Parâmetros!$D$39:$D$43,MATCH(P254,Parâmetros!$A$39:$A$43,0))</f>
        <v>Cadência padrão</v>
      </c>
    </row>
    <row r="255" customFormat="false" ht="15" hidden="false" customHeight="false" outlineLevel="0" collapsed="false">
      <c r="A255" s="10" t="s">
        <v>472</v>
      </c>
      <c r="B255" s="10" t="s">
        <v>81</v>
      </c>
      <c r="C255" s="10" t="s">
        <v>78</v>
      </c>
      <c r="D255" s="10" t="s">
        <v>196</v>
      </c>
      <c r="E255" s="10" t="s">
        <v>47</v>
      </c>
      <c r="F255" s="10"/>
      <c r="G255" s="10" t="s">
        <v>425</v>
      </c>
      <c r="H255" s="10"/>
      <c r="I255" s="8" t="n">
        <f aca="false">INDEX(Parâmetros!$C$13:$C$19,MATCH(E255,Parâmetros!$A$13:$A$19,0))</f>
        <v>5482</v>
      </c>
      <c r="J255" s="26" t="str">
        <f aca="false">IF(H255="","",Parâmetros!$B$5-H255)</f>
        <v/>
      </c>
      <c r="K255" s="10" t="n">
        <f aca="false">INDEX(Parâmetros!$D$13:$D$19,MATCH(E255,Parâmetros!$A$13:$A$19,0))</f>
        <v>45</v>
      </c>
      <c r="L255" s="26" t="n">
        <f aca="false">IF(G255="Prospecting",Parâmetros!$B$9,IF(J255&gt;Parâmetros!$B$6,0,INDEX(Parâmetros!$C$24:$C$26,MATCH(J255,Parâmetros!$A$24:$A$26,1))))</f>
        <v>10</v>
      </c>
      <c r="M255" s="31" t="n">
        <f aca="false">IF(G255="Prospecting",1,INDEX(Parâmetros!$C$32:$C$35,MATCH(J255,Parâmetros!$A$32:$A$35,1)))</f>
        <v>1</v>
      </c>
      <c r="N255" s="2" t="n">
        <f aca="false">ROUND((K255+L255)*M255,0)</f>
        <v>55</v>
      </c>
      <c r="O255" s="10" t="str">
        <f aca="false">IF(AND(G255="Engaging",J255&gt;Parâmetros!$B$6),"Sim","Não")</f>
        <v>Não</v>
      </c>
      <c r="P255" s="32" t="str">
        <f aca="false">IF(O255="Sim","R",IF(N255&gt;=Parâmetros!$B$39,"A",IF(N255&gt;=Parâmetros!$B$40,"B",IF(N255&gt;=Parâmetros!$B$41,"C","D"))))</f>
        <v>B</v>
      </c>
      <c r="Q255" s="10" t="str">
        <f aca="false">IF(F255="","Completar cadastro","")</f>
        <v>Completar cadastro</v>
      </c>
      <c r="R255" s="10" t="str">
        <f aca="false">INDEX(Parâmetros!$D$39:$D$43,MATCH(P255,Parâmetros!$A$39:$A$43,0))</f>
        <v>Cadência padrão</v>
      </c>
    </row>
    <row r="256" customFormat="false" ht="15" hidden="false" customHeight="false" outlineLevel="0" collapsed="false">
      <c r="A256" s="10" t="s">
        <v>473</v>
      </c>
      <c r="B256" s="10" t="s">
        <v>75</v>
      </c>
      <c r="C256" s="10" t="s">
        <v>72</v>
      </c>
      <c r="D256" s="10" t="s">
        <v>196</v>
      </c>
      <c r="E256" s="10" t="s">
        <v>47</v>
      </c>
      <c r="F256" s="10"/>
      <c r="G256" s="10" t="s">
        <v>425</v>
      </c>
      <c r="H256" s="10"/>
      <c r="I256" s="8" t="n">
        <f aca="false">INDEX(Parâmetros!$C$13:$C$19,MATCH(E256,Parâmetros!$A$13:$A$19,0))</f>
        <v>5482</v>
      </c>
      <c r="J256" s="26" t="str">
        <f aca="false">IF(H256="","",Parâmetros!$B$5-H256)</f>
        <v/>
      </c>
      <c r="K256" s="10" t="n">
        <f aca="false">INDEX(Parâmetros!$D$13:$D$19,MATCH(E256,Parâmetros!$A$13:$A$19,0))</f>
        <v>45</v>
      </c>
      <c r="L256" s="26" t="n">
        <f aca="false">IF(G256="Prospecting",Parâmetros!$B$9,IF(J256&gt;Parâmetros!$B$6,0,INDEX(Parâmetros!$C$24:$C$26,MATCH(J256,Parâmetros!$A$24:$A$26,1))))</f>
        <v>10</v>
      </c>
      <c r="M256" s="31" t="n">
        <f aca="false">IF(G256="Prospecting",1,INDEX(Parâmetros!$C$32:$C$35,MATCH(J256,Parâmetros!$A$32:$A$35,1)))</f>
        <v>1</v>
      </c>
      <c r="N256" s="2" t="n">
        <f aca="false">ROUND((K256+L256)*M256,0)</f>
        <v>55</v>
      </c>
      <c r="O256" s="10" t="str">
        <f aca="false">IF(AND(G256="Engaging",J256&gt;Parâmetros!$B$6),"Sim","Não")</f>
        <v>Não</v>
      </c>
      <c r="P256" s="32" t="str">
        <f aca="false">IF(O256="Sim","R",IF(N256&gt;=Parâmetros!$B$39,"A",IF(N256&gt;=Parâmetros!$B$40,"B",IF(N256&gt;=Parâmetros!$B$41,"C","D"))))</f>
        <v>B</v>
      </c>
      <c r="Q256" s="10" t="str">
        <f aca="false">IF(F256="","Completar cadastro","")</f>
        <v>Completar cadastro</v>
      </c>
      <c r="R256" s="10" t="str">
        <f aca="false">INDEX(Parâmetros!$D$39:$D$43,MATCH(P256,Parâmetros!$A$39:$A$43,0))</f>
        <v>Cadência padrão</v>
      </c>
    </row>
    <row r="257" customFormat="false" ht="15" hidden="false" customHeight="false" outlineLevel="0" collapsed="false">
      <c r="A257" s="10" t="s">
        <v>474</v>
      </c>
      <c r="B257" s="10" t="s">
        <v>83</v>
      </c>
      <c r="C257" s="10" t="s">
        <v>78</v>
      </c>
      <c r="D257" s="10" t="s">
        <v>196</v>
      </c>
      <c r="E257" s="10" t="s">
        <v>47</v>
      </c>
      <c r="F257" s="10" t="s">
        <v>286</v>
      </c>
      <c r="G257" s="10" t="s">
        <v>425</v>
      </c>
      <c r="H257" s="10"/>
      <c r="I257" s="8" t="n">
        <f aca="false">INDEX(Parâmetros!$C$13:$C$19,MATCH(E257,Parâmetros!$A$13:$A$19,0))</f>
        <v>5482</v>
      </c>
      <c r="J257" s="26" t="str">
        <f aca="false">IF(H257="","",Parâmetros!$B$5-H257)</f>
        <v/>
      </c>
      <c r="K257" s="10" t="n">
        <f aca="false">INDEX(Parâmetros!$D$13:$D$19,MATCH(E257,Parâmetros!$A$13:$A$19,0))</f>
        <v>45</v>
      </c>
      <c r="L257" s="26" t="n">
        <f aca="false">IF(G257="Prospecting",Parâmetros!$B$9,IF(J257&gt;Parâmetros!$B$6,0,INDEX(Parâmetros!$C$24:$C$26,MATCH(J257,Parâmetros!$A$24:$A$26,1))))</f>
        <v>10</v>
      </c>
      <c r="M257" s="31" t="n">
        <f aca="false">IF(G257="Prospecting",1,INDEX(Parâmetros!$C$32:$C$35,MATCH(J257,Parâmetros!$A$32:$A$35,1)))</f>
        <v>1</v>
      </c>
      <c r="N257" s="2" t="n">
        <f aca="false">ROUND((K257+L257)*M257,0)</f>
        <v>55</v>
      </c>
      <c r="O257" s="10" t="str">
        <f aca="false">IF(AND(G257="Engaging",J257&gt;Parâmetros!$B$6),"Sim","Não")</f>
        <v>Não</v>
      </c>
      <c r="P257" s="32" t="str">
        <f aca="false">IF(O257="Sim","R",IF(N257&gt;=Parâmetros!$B$39,"A",IF(N257&gt;=Parâmetros!$B$40,"B",IF(N257&gt;=Parâmetros!$B$41,"C","D"))))</f>
        <v>B</v>
      </c>
      <c r="Q257" s="10" t="str">
        <f aca="false">IF(F257="","Completar cadastro","")</f>
        <v/>
      </c>
      <c r="R257" s="10" t="str">
        <f aca="false">INDEX(Parâmetros!$D$39:$D$43,MATCH(P257,Parâmetros!$A$39:$A$43,0))</f>
        <v>Cadência padrão</v>
      </c>
    </row>
    <row r="258" customFormat="false" ht="15" hidden="false" customHeight="false" outlineLevel="0" collapsed="false">
      <c r="A258" s="10" t="s">
        <v>475</v>
      </c>
      <c r="B258" s="10" t="s">
        <v>83</v>
      </c>
      <c r="C258" s="10" t="s">
        <v>78</v>
      </c>
      <c r="D258" s="10" t="s">
        <v>196</v>
      </c>
      <c r="E258" s="10" t="s">
        <v>47</v>
      </c>
      <c r="F258" s="10" t="s">
        <v>293</v>
      </c>
      <c r="G258" s="10" t="s">
        <v>425</v>
      </c>
      <c r="H258" s="10"/>
      <c r="I258" s="8" t="n">
        <f aca="false">INDEX(Parâmetros!$C$13:$C$19,MATCH(E258,Parâmetros!$A$13:$A$19,0))</f>
        <v>5482</v>
      </c>
      <c r="J258" s="26" t="str">
        <f aca="false">IF(H258="","",Parâmetros!$B$5-H258)</f>
        <v/>
      </c>
      <c r="K258" s="10" t="n">
        <f aca="false">INDEX(Parâmetros!$D$13:$D$19,MATCH(E258,Parâmetros!$A$13:$A$19,0))</f>
        <v>45</v>
      </c>
      <c r="L258" s="26" t="n">
        <f aca="false">IF(G258="Prospecting",Parâmetros!$B$9,IF(J258&gt;Parâmetros!$B$6,0,INDEX(Parâmetros!$C$24:$C$26,MATCH(J258,Parâmetros!$A$24:$A$26,1))))</f>
        <v>10</v>
      </c>
      <c r="M258" s="31" t="n">
        <f aca="false">IF(G258="Prospecting",1,INDEX(Parâmetros!$C$32:$C$35,MATCH(J258,Parâmetros!$A$32:$A$35,1)))</f>
        <v>1</v>
      </c>
      <c r="N258" s="2" t="n">
        <f aca="false">ROUND((K258+L258)*M258,0)</f>
        <v>55</v>
      </c>
      <c r="O258" s="10" t="str">
        <f aca="false">IF(AND(G258="Engaging",J258&gt;Parâmetros!$B$6),"Sim","Não")</f>
        <v>Não</v>
      </c>
      <c r="P258" s="32" t="str">
        <f aca="false">IF(O258="Sim","R",IF(N258&gt;=Parâmetros!$B$39,"A",IF(N258&gt;=Parâmetros!$B$40,"B",IF(N258&gt;=Parâmetros!$B$41,"C","D"))))</f>
        <v>B</v>
      </c>
      <c r="Q258" s="10" t="str">
        <f aca="false">IF(F258="","Completar cadastro","")</f>
        <v/>
      </c>
      <c r="R258" s="10" t="str">
        <f aca="false">INDEX(Parâmetros!$D$39:$D$43,MATCH(P258,Parâmetros!$A$39:$A$43,0))</f>
        <v>Cadência padrão</v>
      </c>
    </row>
    <row r="259" customFormat="false" ht="15" hidden="false" customHeight="false" outlineLevel="0" collapsed="false">
      <c r="A259" s="10" t="s">
        <v>476</v>
      </c>
      <c r="B259" s="10" t="s">
        <v>83</v>
      </c>
      <c r="C259" s="10" t="s">
        <v>78</v>
      </c>
      <c r="D259" s="10" t="s">
        <v>196</v>
      </c>
      <c r="E259" s="10" t="s">
        <v>47</v>
      </c>
      <c r="F259" s="10"/>
      <c r="G259" s="10" t="s">
        <v>425</v>
      </c>
      <c r="H259" s="10"/>
      <c r="I259" s="8" t="n">
        <f aca="false">INDEX(Parâmetros!$C$13:$C$19,MATCH(E259,Parâmetros!$A$13:$A$19,0))</f>
        <v>5482</v>
      </c>
      <c r="J259" s="26" t="str">
        <f aca="false">IF(H259="","",Parâmetros!$B$5-H259)</f>
        <v/>
      </c>
      <c r="K259" s="10" t="n">
        <f aca="false">INDEX(Parâmetros!$D$13:$D$19,MATCH(E259,Parâmetros!$A$13:$A$19,0))</f>
        <v>45</v>
      </c>
      <c r="L259" s="26" t="n">
        <f aca="false">IF(G259="Prospecting",Parâmetros!$B$9,IF(J259&gt;Parâmetros!$B$6,0,INDEX(Parâmetros!$C$24:$C$26,MATCH(J259,Parâmetros!$A$24:$A$26,1))))</f>
        <v>10</v>
      </c>
      <c r="M259" s="31" t="n">
        <f aca="false">IF(G259="Prospecting",1,INDEX(Parâmetros!$C$32:$C$35,MATCH(J259,Parâmetros!$A$32:$A$35,1)))</f>
        <v>1</v>
      </c>
      <c r="N259" s="2" t="n">
        <f aca="false">ROUND((K259+L259)*M259,0)</f>
        <v>55</v>
      </c>
      <c r="O259" s="10" t="str">
        <f aca="false">IF(AND(G259="Engaging",J259&gt;Parâmetros!$B$6),"Sim","Não")</f>
        <v>Não</v>
      </c>
      <c r="P259" s="32" t="str">
        <f aca="false">IF(O259="Sim","R",IF(N259&gt;=Parâmetros!$B$39,"A",IF(N259&gt;=Parâmetros!$B$40,"B",IF(N259&gt;=Parâmetros!$B$41,"C","D"))))</f>
        <v>B</v>
      </c>
      <c r="Q259" s="10" t="str">
        <f aca="false">IF(F259="","Completar cadastro","")</f>
        <v>Completar cadastro</v>
      </c>
      <c r="R259" s="10" t="str">
        <f aca="false">INDEX(Parâmetros!$D$39:$D$43,MATCH(P259,Parâmetros!$A$39:$A$43,0))</f>
        <v>Cadência padrão</v>
      </c>
    </row>
    <row r="260" customFormat="false" ht="15" hidden="false" customHeight="false" outlineLevel="0" collapsed="false">
      <c r="A260" s="10" t="s">
        <v>477</v>
      </c>
      <c r="B260" s="10" t="s">
        <v>76</v>
      </c>
      <c r="C260" s="10" t="s">
        <v>72</v>
      </c>
      <c r="D260" s="10" t="s">
        <v>196</v>
      </c>
      <c r="E260" s="10" t="s">
        <v>47</v>
      </c>
      <c r="F260" s="10"/>
      <c r="G260" s="10" t="s">
        <v>425</v>
      </c>
      <c r="H260" s="10"/>
      <c r="I260" s="8" t="n">
        <f aca="false">INDEX(Parâmetros!$C$13:$C$19,MATCH(E260,Parâmetros!$A$13:$A$19,0))</f>
        <v>5482</v>
      </c>
      <c r="J260" s="26" t="str">
        <f aca="false">IF(H260="","",Parâmetros!$B$5-H260)</f>
        <v/>
      </c>
      <c r="K260" s="10" t="n">
        <f aca="false">INDEX(Parâmetros!$D$13:$D$19,MATCH(E260,Parâmetros!$A$13:$A$19,0))</f>
        <v>45</v>
      </c>
      <c r="L260" s="26" t="n">
        <f aca="false">IF(G260="Prospecting",Parâmetros!$B$9,IF(J260&gt;Parâmetros!$B$6,0,INDEX(Parâmetros!$C$24:$C$26,MATCH(J260,Parâmetros!$A$24:$A$26,1))))</f>
        <v>10</v>
      </c>
      <c r="M260" s="31" t="n">
        <f aca="false">IF(G260="Prospecting",1,INDEX(Parâmetros!$C$32:$C$35,MATCH(J260,Parâmetros!$A$32:$A$35,1)))</f>
        <v>1</v>
      </c>
      <c r="N260" s="2" t="n">
        <f aca="false">ROUND((K260+L260)*M260,0)</f>
        <v>55</v>
      </c>
      <c r="O260" s="10" t="str">
        <f aca="false">IF(AND(G260="Engaging",J260&gt;Parâmetros!$B$6),"Sim","Não")</f>
        <v>Não</v>
      </c>
      <c r="P260" s="32" t="str">
        <f aca="false">IF(O260="Sim","R",IF(N260&gt;=Parâmetros!$B$39,"A",IF(N260&gt;=Parâmetros!$B$40,"B",IF(N260&gt;=Parâmetros!$B$41,"C","D"))))</f>
        <v>B</v>
      </c>
      <c r="Q260" s="10" t="str">
        <f aca="false">IF(F260="","Completar cadastro","")</f>
        <v>Completar cadastro</v>
      </c>
      <c r="R260" s="10" t="str">
        <f aca="false">INDEX(Parâmetros!$D$39:$D$43,MATCH(P260,Parâmetros!$A$39:$A$43,0))</f>
        <v>Cadência padrão</v>
      </c>
    </row>
    <row r="261" customFormat="false" ht="15" hidden="false" customHeight="false" outlineLevel="0" collapsed="false">
      <c r="A261" s="10" t="s">
        <v>478</v>
      </c>
      <c r="B261" s="10" t="s">
        <v>76</v>
      </c>
      <c r="C261" s="10" t="s">
        <v>72</v>
      </c>
      <c r="D261" s="10" t="s">
        <v>196</v>
      </c>
      <c r="E261" s="10" t="s">
        <v>47</v>
      </c>
      <c r="F261" s="10"/>
      <c r="G261" s="10" t="s">
        <v>425</v>
      </c>
      <c r="H261" s="10"/>
      <c r="I261" s="8" t="n">
        <f aca="false">INDEX(Parâmetros!$C$13:$C$19,MATCH(E261,Parâmetros!$A$13:$A$19,0))</f>
        <v>5482</v>
      </c>
      <c r="J261" s="26" t="str">
        <f aca="false">IF(H261="","",Parâmetros!$B$5-H261)</f>
        <v/>
      </c>
      <c r="K261" s="10" t="n">
        <f aca="false">INDEX(Parâmetros!$D$13:$D$19,MATCH(E261,Parâmetros!$A$13:$A$19,0))</f>
        <v>45</v>
      </c>
      <c r="L261" s="26" t="n">
        <f aca="false">IF(G261="Prospecting",Parâmetros!$B$9,IF(J261&gt;Parâmetros!$B$6,0,INDEX(Parâmetros!$C$24:$C$26,MATCH(J261,Parâmetros!$A$24:$A$26,1))))</f>
        <v>10</v>
      </c>
      <c r="M261" s="31" t="n">
        <f aca="false">IF(G261="Prospecting",1,INDEX(Parâmetros!$C$32:$C$35,MATCH(J261,Parâmetros!$A$32:$A$35,1)))</f>
        <v>1</v>
      </c>
      <c r="N261" s="2" t="n">
        <f aca="false">ROUND((K261+L261)*M261,0)</f>
        <v>55</v>
      </c>
      <c r="O261" s="10" t="str">
        <f aca="false">IF(AND(G261="Engaging",J261&gt;Parâmetros!$B$6),"Sim","Não")</f>
        <v>Não</v>
      </c>
      <c r="P261" s="32" t="str">
        <f aca="false">IF(O261="Sim","R",IF(N261&gt;=Parâmetros!$B$39,"A",IF(N261&gt;=Parâmetros!$B$40,"B",IF(N261&gt;=Parâmetros!$B$41,"C","D"))))</f>
        <v>B</v>
      </c>
      <c r="Q261" s="10" t="str">
        <f aca="false">IF(F261="","Completar cadastro","")</f>
        <v>Completar cadastro</v>
      </c>
      <c r="R261" s="10" t="str">
        <f aca="false">INDEX(Parâmetros!$D$39:$D$43,MATCH(P261,Parâmetros!$A$39:$A$43,0))</f>
        <v>Cadência padrão</v>
      </c>
    </row>
    <row r="262" customFormat="false" ht="15" hidden="false" customHeight="false" outlineLevel="0" collapsed="false">
      <c r="A262" s="10" t="s">
        <v>479</v>
      </c>
      <c r="B262" s="10" t="s">
        <v>95</v>
      </c>
      <c r="C262" s="10" t="s">
        <v>92</v>
      </c>
      <c r="D262" s="10" t="s">
        <v>160</v>
      </c>
      <c r="E262" s="10" t="s">
        <v>51</v>
      </c>
      <c r="F262" s="10"/>
      <c r="G262" s="10" t="s">
        <v>162</v>
      </c>
      <c r="H262" s="30" t="n">
        <v>43011</v>
      </c>
      <c r="I262" s="8" t="n">
        <f aca="false">INDEX(Parâmetros!$C$13:$C$19,MATCH(E262,Parâmetros!$A$13:$A$19,0))</f>
        <v>550</v>
      </c>
      <c r="J262" s="26" t="n">
        <f aca="false">IF(H262="","",Parâmetros!$B$5-H262)</f>
        <v>89</v>
      </c>
      <c r="K262" s="10" t="n">
        <f aca="false">INDEX(Parâmetros!$D$13:$D$19,MATCH(E262,Parâmetros!$A$13:$A$19,0))</f>
        <v>22</v>
      </c>
      <c r="L262" s="26" t="n">
        <f aca="false">IF(G262="Prospecting",Parâmetros!$B$9,IF(J262&gt;Parâmetros!$B$6,0,INDEX(Parâmetros!$C$24:$C$26,MATCH(J262,Parâmetros!$A$24:$A$26,1))))</f>
        <v>32</v>
      </c>
      <c r="M262" s="31" t="n">
        <f aca="false">IF(G262="Prospecting",1,INDEX(Parâmetros!$C$32:$C$35,MATCH(J262,Parâmetros!$A$32:$A$35,1)))</f>
        <v>1</v>
      </c>
      <c r="N262" s="2" t="n">
        <f aca="false">ROUND((K262+L262)*M262,0)</f>
        <v>54</v>
      </c>
      <c r="O262" s="10" t="str">
        <f aca="false">IF(AND(G262="Engaging",J262&gt;Parâmetros!$B$6),"Sim","Não")</f>
        <v>Não</v>
      </c>
      <c r="P262" s="32" t="str">
        <f aca="false">IF(O262="Sim","R",IF(N262&gt;=Parâmetros!$B$39,"A",IF(N262&gt;=Parâmetros!$B$40,"B",IF(N262&gt;=Parâmetros!$B$41,"C","D"))))</f>
        <v>C</v>
      </c>
      <c r="Q262" s="10" t="str">
        <f aca="false">IF(F262="","Completar cadastro","")</f>
        <v>Completar cadastro</v>
      </c>
      <c r="R262" s="10" t="str">
        <f aca="false">INDEX(Parâmetros!$D$39:$D$43,MATCH(P262,Parâmetros!$A$39:$A$43,0))</f>
        <v>Cadência leve, foco em qualificar</v>
      </c>
    </row>
    <row r="263" customFormat="false" ht="15" hidden="false" customHeight="false" outlineLevel="0" collapsed="false">
      <c r="A263" s="10" t="s">
        <v>480</v>
      </c>
      <c r="B263" s="10" t="s">
        <v>57</v>
      </c>
      <c r="C263" s="10" t="s">
        <v>58</v>
      </c>
      <c r="D263" s="10" t="s">
        <v>165</v>
      </c>
      <c r="E263" s="10" t="s">
        <v>51</v>
      </c>
      <c r="F263" s="10"/>
      <c r="G263" s="10" t="s">
        <v>162</v>
      </c>
      <c r="H263" s="30" t="n">
        <v>43012</v>
      </c>
      <c r="I263" s="8" t="n">
        <f aca="false">INDEX(Parâmetros!$C$13:$C$19,MATCH(E263,Parâmetros!$A$13:$A$19,0))</f>
        <v>550</v>
      </c>
      <c r="J263" s="26" t="n">
        <f aca="false">IF(H263="","",Parâmetros!$B$5-H263)</f>
        <v>88</v>
      </c>
      <c r="K263" s="10" t="n">
        <f aca="false">INDEX(Parâmetros!$D$13:$D$19,MATCH(E263,Parâmetros!$A$13:$A$19,0))</f>
        <v>22</v>
      </c>
      <c r="L263" s="26" t="n">
        <f aca="false">IF(G263="Prospecting",Parâmetros!$B$9,IF(J263&gt;Parâmetros!$B$6,0,INDEX(Parâmetros!$C$24:$C$26,MATCH(J263,Parâmetros!$A$24:$A$26,1))))</f>
        <v>32</v>
      </c>
      <c r="M263" s="31" t="n">
        <f aca="false">IF(G263="Prospecting",1,INDEX(Parâmetros!$C$32:$C$35,MATCH(J263,Parâmetros!$A$32:$A$35,1)))</f>
        <v>1</v>
      </c>
      <c r="N263" s="2" t="n">
        <f aca="false">ROUND((K263+L263)*M263,0)</f>
        <v>54</v>
      </c>
      <c r="O263" s="10" t="str">
        <f aca="false">IF(AND(G263="Engaging",J263&gt;Parâmetros!$B$6),"Sim","Não")</f>
        <v>Não</v>
      </c>
      <c r="P263" s="32" t="str">
        <f aca="false">IF(O263="Sim","R",IF(N263&gt;=Parâmetros!$B$39,"A",IF(N263&gt;=Parâmetros!$B$40,"B",IF(N263&gt;=Parâmetros!$B$41,"C","D"))))</f>
        <v>C</v>
      </c>
      <c r="Q263" s="10" t="str">
        <f aca="false">IF(F263="","Completar cadastro","")</f>
        <v>Completar cadastro</v>
      </c>
      <c r="R263" s="10" t="str">
        <f aca="false">INDEX(Parâmetros!$D$39:$D$43,MATCH(P263,Parâmetros!$A$39:$A$43,0))</f>
        <v>Cadência leve, foco em qualificar</v>
      </c>
    </row>
    <row r="264" customFormat="false" ht="15" hidden="false" customHeight="false" outlineLevel="0" collapsed="false">
      <c r="A264" s="10" t="s">
        <v>481</v>
      </c>
      <c r="B264" s="10" t="s">
        <v>97</v>
      </c>
      <c r="C264" s="10" t="s">
        <v>92</v>
      </c>
      <c r="D264" s="10" t="s">
        <v>160</v>
      </c>
      <c r="E264" s="10" t="s">
        <v>51</v>
      </c>
      <c r="F264" s="10" t="s">
        <v>464</v>
      </c>
      <c r="G264" s="10" t="s">
        <v>162</v>
      </c>
      <c r="H264" s="30" t="n">
        <v>43019</v>
      </c>
      <c r="I264" s="8" t="n">
        <f aca="false">INDEX(Parâmetros!$C$13:$C$19,MATCH(E264,Parâmetros!$A$13:$A$19,0))</f>
        <v>550</v>
      </c>
      <c r="J264" s="26" t="n">
        <f aca="false">IF(H264="","",Parâmetros!$B$5-H264)</f>
        <v>81</v>
      </c>
      <c r="K264" s="10" t="n">
        <f aca="false">INDEX(Parâmetros!$D$13:$D$19,MATCH(E264,Parâmetros!$A$13:$A$19,0))</f>
        <v>22</v>
      </c>
      <c r="L264" s="26" t="n">
        <f aca="false">IF(G264="Prospecting",Parâmetros!$B$9,IF(J264&gt;Parâmetros!$B$6,0,INDEX(Parâmetros!$C$24:$C$26,MATCH(J264,Parâmetros!$A$24:$A$26,1))))</f>
        <v>32</v>
      </c>
      <c r="M264" s="31" t="n">
        <f aca="false">IF(G264="Prospecting",1,INDEX(Parâmetros!$C$32:$C$35,MATCH(J264,Parâmetros!$A$32:$A$35,1)))</f>
        <v>1</v>
      </c>
      <c r="N264" s="2" t="n">
        <f aca="false">ROUND((K264+L264)*M264,0)</f>
        <v>54</v>
      </c>
      <c r="O264" s="10" t="str">
        <f aca="false">IF(AND(G264="Engaging",J264&gt;Parâmetros!$B$6),"Sim","Não")</f>
        <v>Não</v>
      </c>
      <c r="P264" s="32" t="str">
        <f aca="false">IF(O264="Sim","R",IF(N264&gt;=Parâmetros!$B$39,"A",IF(N264&gt;=Parâmetros!$B$40,"B",IF(N264&gt;=Parâmetros!$B$41,"C","D"))))</f>
        <v>C</v>
      </c>
      <c r="Q264" s="10" t="str">
        <f aca="false">IF(F264="","Completar cadastro","")</f>
        <v/>
      </c>
      <c r="R264" s="10" t="str">
        <f aca="false">INDEX(Parâmetros!$D$39:$D$43,MATCH(P264,Parâmetros!$A$39:$A$43,0))</f>
        <v>Cadência leve, foco em qualificar</v>
      </c>
    </row>
    <row r="265" customFormat="false" ht="15" hidden="false" customHeight="false" outlineLevel="0" collapsed="false">
      <c r="A265" s="10" t="s">
        <v>482</v>
      </c>
      <c r="B265" s="10" t="s">
        <v>95</v>
      </c>
      <c r="C265" s="10" t="s">
        <v>92</v>
      </c>
      <c r="D265" s="10" t="s">
        <v>160</v>
      </c>
      <c r="E265" s="10" t="s">
        <v>51</v>
      </c>
      <c r="F265" s="10" t="s">
        <v>483</v>
      </c>
      <c r="G265" s="10" t="s">
        <v>162</v>
      </c>
      <c r="H265" s="30" t="n">
        <v>43021</v>
      </c>
      <c r="I265" s="8" t="n">
        <f aca="false">INDEX(Parâmetros!$C$13:$C$19,MATCH(E265,Parâmetros!$A$13:$A$19,0))</f>
        <v>550</v>
      </c>
      <c r="J265" s="26" t="n">
        <f aca="false">IF(H265="","",Parâmetros!$B$5-H265)</f>
        <v>79</v>
      </c>
      <c r="K265" s="10" t="n">
        <f aca="false">INDEX(Parâmetros!$D$13:$D$19,MATCH(E265,Parâmetros!$A$13:$A$19,0))</f>
        <v>22</v>
      </c>
      <c r="L265" s="26" t="n">
        <f aca="false">IF(G265="Prospecting",Parâmetros!$B$9,IF(J265&gt;Parâmetros!$B$6,0,INDEX(Parâmetros!$C$24:$C$26,MATCH(J265,Parâmetros!$A$24:$A$26,1))))</f>
        <v>32</v>
      </c>
      <c r="M265" s="31" t="n">
        <f aca="false">IF(G265="Prospecting",1,INDEX(Parâmetros!$C$32:$C$35,MATCH(J265,Parâmetros!$A$32:$A$35,1)))</f>
        <v>1</v>
      </c>
      <c r="N265" s="2" t="n">
        <f aca="false">ROUND((K265+L265)*M265,0)</f>
        <v>54</v>
      </c>
      <c r="O265" s="10" t="str">
        <f aca="false">IF(AND(G265="Engaging",J265&gt;Parâmetros!$B$6),"Sim","Não")</f>
        <v>Não</v>
      </c>
      <c r="P265" s="32" t="str">
        <f aca="false">IF(O265="Sim","R",IF(N265&gt;=Parâmetros!$B$39,"A",IF(N265&gt;=Parâmetros!$B$40,"B",IF(N265&gt;=Parâmetros!$B$41,"C","D"))))</f>
        <v>C</v>
      </c>
      <c r="Q265" s="10" t="str">
        <f aca="false">IF(F265="","Completar cadastro","")</f>
        <v/>
      </c>
      <c r="R265" s="10" t="str">
        <f aca="false">INDEX(Parâmetros!$D$39:$D$43,MATCH(P265,Parâmetros!$A$39:$A$43,0))</f>
        <v>Cadência leve, foco em qualificar</v>
      </c>
    </row>
    <row r="266" customFormat="false" ht="15" hidden="false" customHeight="false" outlineLevel="0" collapsed="false">
      <c r="A266" s="10" t="s">
        <v>484</v>
      </c>
      <c r="B266" s="10" t="s">
        <v>68</v>
      </c>
      <c r="C266" s="10" t="s">
        <v>65</v>
      </c>
      <c r="D266" s="10" t="s">
        <v>160</v>
      </c>
      <c r="E266" s="10" t="s">
        <v>51</v>
      </c>
      <c r="F266" s="10"/>
      <c r="G266" s="10" t="s">
        <v>162</v>
      </c>
      <c r="H266" s="30" t="n">
        <v>43021</v>
      </c>
      <c r="I266" s="8" t="n">
        <f aca="false">INDEX(Parâmetros!$C$13:$C$19,MATCH(E266,Parâmetros!$A$13:$A$19,0))</f>
        <v>550</v>
      </c>
      <c r="J266" s="26" t="n">
        <f aca="false">IF(H266="","",Parâmetros!$B$5-H266)</f>
        <v>79</v>
      </c>
      <c r="K266" s="10" t="n">
        <f aca="false">INDEX(Parâmetros!$D$13:$D$19,MATCH(E266,Parâmetros!$A$13:$A$19,0))</f>
        <v>22</v>
      </c>
      <c r="L266" s="26" t="n">
        <f aca="false">IF(G266="Prospecting",Parâmetros!$B$9,IF(J266&gt;Parâmetros!$B$6,0,INDEX(Parâmetros!$C$24:$C$26,MATCH(J266,Parâmetros!$A$24:$A$26,1))))</f>
        <v>32</v>
      </c>
      <c r="M266" s="31" t="n">
        <f aca="false">IF(G266="Prospecting",1,INDEX(Parâmetros!$C$32:$C$35,MATCH(J266,Parâmetros!$A$32:$A$35,1)))</f>
        <v>1</v>
      </c>
      <c r="N266" s="2" t="n">
        <f aca="false">ROUND((K266+L266)*M266,0)</f>
        <v>54</v>
      </c>
      <c r="O266" s="10" t="str">
        <f aca="false">IF(AND(G266="Engaging",J266&gt;Parâmetros!$B$6),"Sim","Não")</f>
        <v>Não</v>
      </c>
      <c r="P266" s="32" t="str">
        <f aca="false">IF(O266="Sim","R",IF(N266&gt;=Parâmetros!$B$39,"A",IF(N266&gt;=Parâmetros!$B$40,"B",IF(N266&gt;=Parâmetros!$B$41,"C","D"))))</f>
        <v>C</v>
      </c>
      <c r="Q266" s="10" t="str">
        <f aca="false">IF(F266="","Completar cadastro","")</f>
        <v>Completar cadastro</v>
      </c>
      <c r="R266" s="10" t="str">
        <f aca="false">INDEX(Parâmetros!$D$39:$D$43,MATCH(P266,Parâmetros!$A$39:$A$43,0))</f>
        <v>Cadência leve, foco em qualificar</v>
      </c>
    </row>
    <row r="267" customFormat="false" ht="15" hidden="false" customHeight="false" outlineLevel="0" collapsed="false">
      <c r="A267" s="10" t="s">
        <v>485</v>
      </c>
      <c r="B267" s="10" t="s">
        <v>62</v>
      </c>
      <c r="C267" s="10" t="s">
        <v>58</v>
      </c>
      <c r="D267" s="10" t="s">
        <v>165</v>
      </c>
      <c r="E267" s="10" t="s">
        <v>51</v>
      </c>
      <c r="F267" s="10"/>
      <c r="G267" s="10" t="s">
        <v>162</v>
      </c>
      <c r="H267" s="30" t="n">
        <v>43024</v>
      </c>
      <c r="I267" s="8" t="n">
        <f aca="false">INDEX(Parâmetros!$C$13:$C$19,MATCH(E267,Parâmetros!$A$13:$A$19,0))</f>
        <v>550</v>
      </c>
      <c r="J267" s="26" t="n">
        <f aca="false">IF(H267="","",Parâmetros!$B$5-H267)</f>
        <v>76</v>
      </c>
      <c r="K267" s="10" t="n">
        <f aca="false">INDEX(Parâmetros!$D$13:$D$19,MATCH(E267,Parâmetros!$A$13:$A$19,0))</f>
        <v>22</v>
      </c>
      <c r="L267" s="26" t="n">
        <f aca="false">IF(G267="Prospecting",Parâmetros!$B$9,IF(J267&gt;Parâmetros!$B$6,0,INDEX(Parâmetros!$C$24:$C$26,MATCH(J267,Parâmetros!$A$24:$A$26,1))))</f>
        <v>32</v>
      </c>
      <c r="M267" s="31" t="n">
        <f aca="false">IF(G267="Prospecting",1,INDEX(Parâmetros!$C$32:$C$35,MATCH(J267,Parâmetros!$A$32:$A$35,1)))</f>
        <v>1</v>
      </c>
      <c r="N267" s="2" t="n">
        <f aca="false">ROUND((K267+L267)*M267,0)</f>
        <v>54</v>
      </c>
      <c r="O267" s="10" t="str">
        <f aca="false">IF(AND(G267="Engaging",J267&gt;Parâmetros!$B$6),"Sim","Não")</f>
        <v>Não</v>
      </c>
      <c r="P267" s="32" t="str">
        <f aca="false">IF(O267="Sim","R",IF(N267&gt;=Parâmetros!$B$39,"A",IF(N267&gt;=Parâmetros!$B$40,"B",IF(N267&gt;=Parâmetros!$B$41,"C","D"))))</f>
        <v>C</v>
      </c>
      <c r="Q267" s="10" t="str">
        <f aca="false">IF(F267="","Completar cadastro","")</f>
        <v>Completar cadastro</v>
      </c>
      <c r="R267" s="10" t="str">
        <f aca="false">INDEX(Parâmetros!$D$39:$D$43,MATCH(P267,Parâmetros!$A$39:$A$43,0))</f>
        <v>Cadência leve, foco em qualificar</v>
      </c>
    </row>
    <row r="268" customFormat="false" ht="15" hidden="false" customHeight="false" outlineLevel="0" collapsed="false">
      <c r="A268" s="10" t="s">
        <v>486</v>
      </c>
      <c r="B268" s="10" t="s">
        <v>94</v>
      </c>
      <c r="C268" s="10" t="s">
        <v>92</v>
      </c>
      <c r="D268" s="10" t="s">
        <v>160</v>
      </c>
      <c r="E268" s="10" t="s">
        <v>51</v>
      </c>
      <c r="F268" s="10" t="s">
        <v>487</v>
      </c>
      <c r="G268" s="10" t="s">
        <v>162</v>
      </c>
      <c r="H268" s="30" t="n">
        <v>43028</v>
      </c>
      <c r="I268" s="8" t="n">
        <f aca="false">INDEX(Parâmetros!$C$13:$C$19,MATCH(E268,Parâmetros!$A$13:$A$19,0))</f>
        <v>550</v>
      </c>
      <c r="J268" s="26" t="n">
        <f aca="false">IF(H268="","",Parâmetros!$B$5-H268)</f>
        <v>72</v>
      </c>
      <c r="K268" s="10" t="n">
        <f aca="false">INDEX(Parâmetros!$D$13:$D$19,MATCH(E268,Parâmetros!$A$13:$A$19,0))</f>
        <v>22</v>
      </c>
      <c r="L268" s="26" t="n">
        <f aca="false">IF(G268="Prospecting",Parâmetros!$B$9,IF(J268&gt;Parâmetros!$B$6,0,INDEX(Parâmetros!$C$24:$C$26,MATCH(J268,Parâmetros!$A$24:$A$26,1))))</f>
        <v>32</v>
      </c>
      <c r="M268" s="31" t="n">
        <f aca="false">IF(G268="Prospecting",1,INDEX(Parâmetros!$C$32:$C$35,MATCH(J268,Parâmetros!$A$32:$A$35,1)))</f>
        <v>1</v>
      </c>
      <c r="N268" s="2" t="n">
        <f aca="false">ROUND((K268+L268)*M268,0)</f>
        <v>54</v>
      </c>
      <c r="O268" s="10" t="str">
        <f aca="false">IF(AND(G268="Engaging",J268&gt;Parâmetros!$B$6),"Sim","Não")</f>
        <v>Não</v>
      </c>
      <c r="P268" s="32" t="str">
        <f aca="false">IF(O268="Sim","R",IF(N268&gt;=Parâmetros!$B$39,"A",IF(N268&gt;=Parâmetros!$B$40,"B",IF(N268&gt;=Parâmetros!$B$41,"C","D"))))</f>
        <v>C</v>
      </c>
      <c r="Q268" s="10" t="str">
        <f aca="false">IF(F268="","Completar cadastro","")</f>
        <v/>
      </c>
      <c r="R268" s="10" t="str">
        <f aca="false">INDEX(Parâmetros!$D$39:$D$43,MATCH(P268,Parâmetros!$A$39:$A$43,0))</f>
        <v>Cadência leve, foco em qualificar</v>
      </c>
    </row>
    <row r="269" customFormat="false" ht="15" hidden="false" customHeight="false" outlineLevel="0" collapsed="false">
      <c r="A269" s="10" t="s">
        <v>488</v>
      </c>
      <c r="B269" s="10" t="s">
        <v>69</v>
      </c>
      <c r="C269" s="10" t="s">
        <v>65</v>
      </c>
      <c r="D269" s="10" t="s">
        <v>160</v>
      </c>
      <c r="E269" s="10" t="s">
        <v>51</v>
      </c>
      <c r="F269" s="10"/>
      <c r="G269" s="10" t="s">
        <v>162</v>
      </c>
      <c r="H269" s="30" t="n">
        <v>43030</v>
      </c>
      <c r="I269" s="8" t="n">
        <f aca="false">INDEX(Parâmetros!$C$13:$C$19,MATCH(E269,Parâmetros!$A$13:$A$19,0))</f>
        <v>550</v>
      </c>
      <c r="J269" s="26" t="n">
        <f aca="false">IF(H269="","",Parâmetros!$B$5-H269)</f>
        <v>70</v>
      </c>
      <c r="K269" s="10" t="n">
        <f aca="false">INDEX(Parâmetros!$D$13:$D$19,MATCH(E269,Parâmetros!$A$13:$A$19,0))</f>
        <v>22</v>
      </c>
      <c r="L269" s="26" t="n">
        <f aca="false">IF(G269="Prospecting",Parâmetros!$B$9,IF(J269&gt;Parâmetros!$B$6,0,INDEX(Parâmetros!$C$24:$C$26,MATCH(J269,Parâmetros!$A$24:$A$26,1))))</f>
        <v>32</v>
      </c>
      <c r="M269" s="31" t="n">
        <f aca="false">IF(G269="Prospecting",1,INDEX(Parâmetros!$C$32:$C$35,MATCH(J269,Parâmetros!$A$32:$A$35,1)))</f>
        <v>1</v>
      </c>
      <c r="N269" s="2" t="n">
        <f aca="false">ROUND((K269+L269)*M269,0)</f>
        <v>54</v>
      </c>
      <c r="O269" s="10" t="str">
        <f aca="false">IF(AND(G269="Engaging",J269&gt;Parâmetros!$B$6),"Sim","Não")</f>
        <v>Não</v>
      </c>
      <c r="P269" s="32" t="str">
        <f aca="false">IF(O269="Sim","R",IF(N269&gt;=Parâmetros!$B$39,"A",IF(N269&gt;=Parâmetros!$B$40,"B",IF(N269&gt;=Parâmetros!$B$41,"C","D"))))</f>
        <v>C</v>
      </c>
      <c r="Q269" s="10" t="str">
        <f aca="false">IF(F269="","Completar cadastro","")</f>
        <v>Completar cadastro</v>
      </c>
      <c r="R269" s="10" t="str">
        <f aca="false">INDEX(Parâmetros!$D$39:$D$43,MATCH(P269,Parâmetros!$A$39:$A$43,0))</f>
        <v>Cadência leve, foco em qualificar</v>
      </c>
    </row>
    <row r="270" customFormat="false" ht="15" hidden="false" customHeight="false" outlineLevel="0" collapsed="false">
      <c r="A270" s="10" t="s">
        <v>489</v>
      </c>
      <c r="B270" s="10" t="s">
        <v>63</v>
      </c>
      <c r="C270" s="10" t="s">
        <v>58</v>
      </c>
      <c r="D270" s="10" t="s">
        <v>165</v>
      </c>
      <c r="E270" s="10" t="s">
        <v>51</v>
      </c>
      <c r="F270" s="10"/>
      <c r="G270" s="10" t="s">
        <v>162</v>
      </c>
      <c r="H270" s="30" t="n">
        <v>43032</v>
      </c>
      <c r="I270" s="8" t="n">
        <f aca="false">INDEX(Parâmetros!$C$13:$C$19,MATCH(E270,Parâmetros!$A$13:$A$19,0))</f>
        <v>550</v>
      </c>
      <c r="J270" s="26" t="n">
        <f aca="false">IF(H270="","",Parâmetros!$B$5-H270)</f>
        <v>68</v>
      </c>
      <c r="K270" s="10" t="n">
        <f aca="false">INDEX(Parâmetros!$D$13:$D$19,MATCH(E270,Parâmetros!$A$13:$A$19,0))</f>
        <v>22</v>
      </c>
      <c r="L270" s="26" t="n">
        <f aca="false">IF(G270="Prospecting",Parâmetros!$B$9,IF(J270&gt;Parâmetros!$B$6,0,INDEX(Parâmetros!$C$24:$C$26,MATCH(J270,Parâmetros!$A$24:$A$26,1))))</f>
        <v>32</v>
      </c>
      <c r="M270" s="31" t="n">
        <f aca="false">IF(G270="Prospecting",1,INDEX(Parâmetros!$C$32:$C$35,MATCH(J270,Parâmetros!$A$32:$A$35,1)))</f>
        <v>1</v>
      </c>
      <c r="N270" s="2" t="n">
        <f aca="false">ROUND((K270+L270)*M270,0)</f>
        <v>54</v>
      </c>
      <c r="O270" s="10" t="str">
        <f aca="false">IF(AND(G270="Engaging",J270&gt;Parâmetros!$B$6),"Sim","Não")</f>
        <v>Não</v>
      </c>
      <c r="P270" s="32" t="str">
        <f aca="false">IF(O270="Sim","R",IF(N270&gt;=Parâmetros!$B$39,"A",IF(N270&gt;=Parâmetros!$B$40,"B",IF(N270&gt;=Parâmetros!$B$41,"C","D"))))</f>
        <v>C</v>
      </c>
      <c r="Q270" s="10" t="str">
        <f aca="false">IF(F270="","Completar cadastro","")</f>
        <v>Completar cadastro</v>
      </c>
      <c r="R270" s="10" t="str">
        <f aca="false">INDEX(Parâmetros!$D$39:$D$43,MATCH(P270,Parâmetros!$A$39:$A$43,0))</f>
        <v>Cadência leve, foco em qualificar</v>
      </c>
    </row>
    <row r="271" customFormat="false" ht="15" hidden="false" customHeight="false" outlineLevel="0" collapsed="false">
      <c r="A271" s="10" t="s">
        <v>490</v>
      </c>
      <c r="B271" s="10" t="s">
        <v>57</v>
      </c>
      <c r="C271" s="10" t="s">
        <v>58</v>
      </c>
      <c r="D271" s="10" t="s">
        <v>165</v>
      </c>
      <c r="E271" s="10" t="s">
        <v>51</v>
      </c>
      <c r="F271" s="10"/>
      <c r="G271" s="10" t="s">
        <v>162</v>
      </c>
      <c r="H271" s="30" t="n">
        <v>43033</v>
      </c>
      <c r="I271" s="8" t="n">
        <f aca="false">INDEX(Parâmetros!$C$13:$C$19,MATCH(E271,Parâmetros!$A$13:$A$19,0))</f>
        <v>550</v>
      </c>
      <c r="J271" s="26" t="n">
        <f aca="false">IF(H271="","",Parâmetros!$B$5-H271)</f>
        <v>67</v>
      </c>
      <c r="K271" s="10" t="n">
        <f aca="false">INDEX(Parâmetros!$D$13:$D$19,MATCH(E271,Parâmetros!$A$13:$A$19,0))</f>
        <v>22</v>
      </c>
      <c r="L271" s="26" t="n">
        <f aca="false">IF(G271="Prospecting",Parâmetros!$B$9,IF(J271&gt;Parâmetros!$B$6,0,INDEX(Parâmetros!$C$24:$C$26,MATCH(J271,Parâmetros!$A$24:$A$26,1))))</f>
        <v>32</v>
      </c>
      <c r="M271" s="31" t="n">
        <f aca="false">IF(G271="Prospecting",1,INDEX(Parâmetros!$C$32:$C$35,MATCH(J271,Parâmetros!$A$32:$A$35,1)))</f>
        <v>1</v>
      </c>
      <c r="N271" s="2" t="n">
        <f aca="false">ROUND((K271+L271)*M271,0)</f>
        <v>54</v>
      </c>
      <c r="O271" s="10" t="str">
        <f aca="false">IF(AND(G271="Engaging",J271&gt;Parâmetros!$B$6),"Sim","Não")</f>
        <v>Não</v>
      </c>
      <c r="P271" s="32" t="str">
        <f aca="false">IF(O271="Sim","R",IF(N271&gt;=Parâmetros!$B$39,"A",IF(N271&gt;=Parâmetros!$B$40,"B",IF(N271&gt;=Parâmetros!$B$41,"C","D"))))</f>
        <v>C</v>
      </c>
      <c r="Q271" s="10" t="str">
        <f aca="false">IF(F271="","Completar cadastro","")</f>
        <v>Completar cadastro</v>
      </c>
      <c r="R271" s="10" t="str">
        <f aca="false">INDEX(Parâmetros!$D$39:$D$43,MATCH(P271,Parâmetros!$A$39:$A$43,0))</f>
        <v>Cadência leve, foco em qualificar</v>
      </c>
    </row>
    <row r="272" customFormat="false" ht="15" hidden="false" customHeight="false" outlineLevel="0" collapsed="false">
      <c r="A272" s="10" t="s">
        <v>491</v>
      </c>
      <c r="B272" s="10" t="s">
        <v>70</v>
      </c>
      <c r="C272" s="10" t="s">
        <v>65</v>
      </c>
      <c r="D272" s="10" t="s">
        <v>160</v>
      </c>
      <c r="E272" s="10" t="s">
        <v>51</v>
      </c>
      <c r="F272" s="10"/>
      <c r="G272" s="10" t="s">
        <v>162</v>
      </c>
      <c r="H272" s="30" t="n">
        <v>43034</v>
      </c>
      <c r="I272" s="8" t="n">
        <f aca="false">INDEX(Parâmetros!$C$13:$C$19,MATCH(E272,Parâmetros!$A$13:$A$19,0))</f>
        <v>550</v>
      </c>
      <c r="J272" s="26" t="n">
        <f aca="false">IF(H272="","",Parâmetros!$B$5-H272)</f>
        <v>66</v>
      </c>
      <c r="K272" s="10" t="n">
        <f aca="false">INDEX(Parâmetros!$D$13:$D$19,MATCH(E272,Parâmetros!$A$13:$A$19,0))</f>
        <v>22</v>
      </c>
      <c r="L272" s="26" t="n">
        <f aca="false">IF(G272="Prospecting",Parâmetros!$B$9,IF(J272&gt;Parâmetros!$B$6,0,INDEX(Parâmetros!$C$24:$C$26,MATCH(J272,Parâmetros!$A$24:$A$26,1))))</f>
        <v>32</v>
      </c>
      <c r="M272" s="31" t="n">
        <f aca="false">IF(G272="Prospecting",1,INDEX(Parâmetros!$C$32:$C$35,MATCH(J272,Parâmetros!$A$32:$A$35,1)))</f>
        <v>1</v>
      </c>
      <c r="N272" s="2" t="n">
        <f aca="false">ROUND((K272+L272)*M272,0)</f>
        <v>54</v>
      </c>
      <c r="O272" s="10" t="str">
        <f aca="false">IF(AND(G272="Engaging",J272&gt;Parâmetros!$B$6),"Sim","Não")</f>
        <v>Não</v>
      </c>
      <c r="P272" s="32" t="str">
        <f aca="false">IF(O272="Sim","R",IF(N272&gt;=Parâmetros!$B$39,"A",IF(N272&gt;=Parâmetros!$B$40,"B",IF(N272&gt;=Parâmetros!$B$41,"C","D"))))</f>
        <v>C</v>
      </c>
      <c r="Q272" s="10" t="str">
        <f aca="false">IF(F272="","Completar cadastro","")</f>
        <v>Completar cadastro</v>
      </c>
      <c r="R272" s="10" t="str">
        <f aca="false">INDEX(Parâmetros!$D$39:$D$43,MATCH(P272,Parâmetros!$A$39:$A$43,0))</f>
        <v>Cadência leve, foco em qualificar</v>
      </c>
    </row>
    <row r="273" customFormat="false" ht="15" hidden="false" customHeight="false" outlineLevel="0" collapsed="false">
      <c r="A273" s="10" t="s">
        <v>492</v>
      </c>
      <c r="B273" s="10" t="s">
        <v>95</v>
      </c>
      <c r="C273" s="10" t="s">
        <v>92</v>
      </c>
      <c r="D273" s="10" t="s">
        <v>160</v>
      </c>
      <c r="E273" s="10" t="s">
        <v>51</v>
      </c>
      <c r="F273" s="10" t="s">
        <v>419</v>
      </c>
      <c r="G273" s="10" t="s">
        <v>162</v>
      </c>
      <c r="H273" s="30" t="n">
        <v>43036</v>
      </c>
      <c r="I273" s="8" t="n">
        <f aca="false">INDEX(Parâmetros!$C$13:$C$19,MATCH(E273,Parâmetros!$A$13:$A$19,0))</f>
        <v>550</v>
      </c>
      <c r="J273" s="26" t="n">
        <f aca="false">IF(H273="","",Parâmetros!$B$5-H273)</f>
        <v>64</v>
      </c>
      <c r="K273" s="10" t="n">
        <f aca="false">INDEX(Parâmetros!$D$13:$D$19,MATCH(E273,Parâmetros!$A$13:$A$19,0))</f>
        <v>22</v>
      </c>
      <c r="L273" s="26" t="n">
        <f aca="false">IF(G273="Prospecting",Parâmetros!$B$9,IF(J273&gt;Parâmetros!$B$6,0,INDEX(Parâmetros!$C$24:$C$26,MATCH(J273,Parâmetros!$A$24:$A$26,1))))</f>
        <v>32</v>
      </c>
      <c r="M273" s="31" t="n">
        <f aca="false">IF(G273="Prospecting",1,INDEX(Parâmetros!$C$32:$C$35,MATCH(J273,Parâmetros!$A$32:$A$35,1)))</f>
        <v>1</v>
      </c>
      <c r="N273" s="2" t="n">
        <f aca="false">ROUND((K273+L273)*M273,0)</f>
        <v>54</v>
      </c>
      <c r="O273" s="10" t="str">
        <f aca="false">IF(AND(G273="Engaging",J273&gt;Parâmetros!$B$6),"Sim","Não")</f>
        <v>Não</v>
      </c>
      <c r="P273" s="32" t="str">
        <f aca="false">IF(O273="Sim","R",IF(N273&gt;=Parâmetros!$B$39,"A",IF(N273&gt;=Parâmetros!$B$40,"B",IF(N273&gt;=Parâmetros!$B$41,"C","D"))))</f>
        <v>C</v>
      </c>
      <c r="Q273" s="10" t="str">
        <f aca="false">IF(F273="","Completar cadastro","")</f>
        <v/>
      </c>
      <c r="R273" s="10" t="str">
        <f aca="false">INDEX(Parâmetros!$D$39:$D$43,MATCH(P273,Parâmetros!$A$39:$A$43,0))</f>
        <v>Cadência leve, foco em qualificar</v>
      </c>
    </row>
    <row r="274" customFormat="false" ht="15" hidden="false" customHeight="false" outlineLevel="0" collapsed="false">
      <c r="A274" s="10" t="s">
        <v>493</v>
      </c>
      <c r="B274" s="10" t="s">
        <v>94</v>
      </c>
      <c r="C274" s="10" t="s">
        <v>92</v>
      </c>
      <c r="D274" s="10" t="s">
        <v>160</v>
      </c>
      <c r="E274" s="10" t="s">
        <v>51</v>
      </c>
      <c r="F274" s="10"/>
      <c r="G274" s="10" t="s">
        <v>162</v>
      </c>
      <c r="H274" s="30" t="n">
        <v>43042</v>
      </c>
      <c r="I274" s="8" t="n">
        <f aca="false">INDEX(Parâmetros!$C$13:$C$19,MATCH(E274,Parâmetros!$A$13:$A$19,0))</f>
        <v>550</v>
      </c>
      <c r="J274" s="26" t="n">
        <f aca="false">IF(H274="","",Parâmetros!$B$5-H274)</f>
        <v>58</v>
      </c>
      <c r="K274" s="10" t="n">
        <f aca="false">INDEX(Parâmetros!$D$13:$D$19,MATCH(E274,Parâmetros!$A$13:$A$19,0))</f>
        <v>22</v>
      </c>
      <c r="L274" s="26" t="n">
        <f aca="false">IF(G274="Prospecting",Parâmetros!$B$9,IF(J274&gt;Parâmetros!$B$6,0,INDEX(Parâmetros!$C$24:$C$26,MATCH(J274,Parâmetros!$A$24:$A$26,1))))</f>
        <v>32</v>
      </c>
      <c r="M274" s="31" t="n">
        <f aca="false">IF(G274="Prospecting",1,INDEX(Parâmetros!$C$32:$C$35,MATCH(J274,Parâmetros!$A$32:$A$35,1)))</f>
        <v>1</v>
      </c>
      <c r="N274" s="2" t="n">
        <f aca="false">ROUND((K274+L274)*M274,0)</f>
        <v>54</v>
      </c>
      <c r="O274" s="10" t="str">
        <f aca="false">IF(AND(G274="Engaging",J274&gt;Parâmetros!$B$6),"Sim","Não")</f>
        <v>Não</v>
      </c>
      <c r="P274" s="32" t="str">
        <f aca="false">IF(O274="Sim","R",IF(N274&gt;=Parâmetros!$B$39,"A",IF(N274&gt;=Parâmetros!$B$40,"B",IF(N274&gt;=Parâmetros!$B$41,"C","D"))))</f>
        <v>C</v>
      </c>
      <c r="Q274" s="10" t="str">
        <f aca="false">IF(F274="","Completar cadastro","")</f>
        <v>Completar cadastro</v>
      </c>
      <c r="R274" s="10" t="str">
        <f aca="false">INDEX(Parâmetros!$D$39:$D$43,MATCH(P274,Parâmetros!$A$39:$A$43,0))</f>
        <v>Cadência leve, foco em qualificar</v>
      </c>
    </row>
    <row r="275" customFormat="false" ht="15" hidden="false" customHeight="false" outlineLevel="0" collapsed="false">
      <c r="A275" s="10" t="s">
        <v>494</v>
      </c>
      <c r="B275" s="10" t="s">
        <v>97</v>
      </c>
      <c r="C275" s="10" t="s">
        <v>92</v>
      </c>
      <c r="D275" s="10" t="s">
        <v>160</v>
      </c>
      <c r="E275" s="10" t="s">
        <v>51</v>
      </c>
      <c r="F275" s="10"/>
      <c r="G275" s="10" t="s">
        <v>162</v>
      </c>
      <c r="H275" s="30" t="n">
        <v>43043</v>
      </c>
      <c r="I275" s="8" t="n">
        <f aca="false">INDEX(Parâmetros!$C$13:$C$19,MATCH(E275,Parâmetros!$A$13:$A$19,0))</f>
        <v>550</v>
      </c>
      <c r="J275" s="26" t="n">
        <f aca="false">IF(H275="","",Parâmetros!$B$5-H275)</f>
        <v>57</v>
      </c>
      <c r="K275" s="10" t="n">
        <f aca="false">INDEX(Parâmetros!$D$13:$D$19,MATCH(E275,Parâmetros!$A$13:$A$19,0))</f>
        <v>22</v>
      </c>
      <c r="L275" s="26" t="n">
        <f aca="false">IF(G275="Prospecting",Parâmetros!$B$9,IF(J275&gt;Parâmetros!$B$6,0,INDEX(Parâmetros!$C$24:$C$26,MATCH(J275,Parâmetros!$A$24:$A$26,1))))</f>
        <v>32</v>
      </c>
      <c r="M275" s="31" t="n">
        <f aca="false">IF(G275="Prospecting",1,INDEX(Parâmetros!$C$32:$C$35,MATCH(J275,Parâmetros!$A$32:$A$35,1)))</f>
        <v>1</v>
      </c>
      <c r="N275" s="2" t="n">
        <f aca="false">ROUND((K275+L275)*M275,0)</f>
        <v>54</v>
      </c>
      <c r="O275" s="10" t="str">
        <f aca="false">IF(AND(G275="Engaging",J275&gt;Parâmetros!$B$6),"Sim","Não")</f>
        <v>Não</v>
      </c>
      <c r="P275" s="32" t="str">
        <f aca="false">IF(O275="Sim","R",IF(N275&gt;=Parâmetros!$B$39,"A",IF(N275&gt;=Parâmetros!$B$40,"B",IF(N275&gt;=Parâmetros!$B$41,"C","D"))))</f>
        <v>C</v>
      </c>
      <c r="Q275" s="10" t="str">
        <f aca="false">IF(F275="","Completar cadastro","")</f>
        <v>Completar cadastro</v>
      </c>
      <c r="R275" s="10" t="str">
        <f aca="false">INDEX(Parâmetros!$D$39:$D$43,MATCH(P275,Parâmetros!$A$39:$A$43,0))</f>
        <v>Cadência leve, foco em qualificar</v>
      </c>
    </row>
    <row r="276" customFormat="false" ht="15" hidden="false" customHeight="false" outlineLevel="0" collapsed="false">
      <c r="A276" s="10" t="s">
        <v>495</v>
      </c>
      <c r="B276" s="10" t="s">
        <v>87</v>
      </c>
      <c r="C276" s="10" t="s">
        <v>85</v>
      </c>
      <c r="D276" s="10" t="s">
        <v>165</v>
      </c>
      <c r="E276" s="10" t="s">
        <v>51</v>
      </c>
      <c r="F276" s="10" t="s">
        <v>247</v>
      </c>
      <c r="G276" s="10" t="s">
        <v>162</v>
      </c>
      <c r="H276" s="30" t="n">
        <v>43044</v>
      </c>
      <c r="I276" s="8" t="n">
        <f aca="false">INDEX(Parâmetros!$C$13:$C$19,MATCH(E276,Parâmetros!$A$13:$A$19,0))</f>
        <v>550</v>
      </c>
      <c r="J276" s="26" t="n">
        <f aca="false">IF(H276="","",Parâmetros!$B$5-H276)</f>
        <v>56</v>
      </c>
      <c r="K276" s="10" t="n">
        <f aca="false">INDEX(Parâmetros!$D$13:$D$19,MATCH(E276,Parâmetros!$A$13:$A$19,0))</f>
        <v>22</v>
      </c>
      <c r="L276" s="26" t="n">
        <f aca="false">IF(G276="Prospecting",Parâmetros!$B$9,IF(J276&gt;Parâmetros!$B$6,0,INDEX(Parâmetros!$C$24:$C$26,MATCH(J276,Parâmetros!$A$24:$A$26,1))))</f>
        <v>32</v>
      </c>
      <c r="M276" s="31" t="n">
        <f aca="false">IF(G276="Prospecting",1,INDEX(Parâmetros!$C$32:$C$35,MATCH(J276,Parâmetros!$A$32:$A$35,1)))</f>
        <v>1</v>
      </c>
      <c r="N276" s="2" t="n">
        <f aca="false">ROUND((K276+L276)*M276,0)</f>
        <v>54</v>
      </c>
      <c r="O276" s="10" t="str">
        <f aca="false">IF(AND(G276="Engaging",J276&gt;Parâmetros!$B$6),"Sim","Não")</f>
        <v>Não</v>
      </c>
      <c r="P276" s="32" t="str">
        <f aca="false">IF(O276="Sim","R",IF(N276&gt;=Parâmetros!$B$39,"A",IF(N276&gt;=Parâmetros!$B$40,"B",IF(N276&gt;=Parâmetros!$B$41,"C","D"))))</f>
        <v>C</v>
      </c>
      <c r="Q276" s="10" t="str">
        <f aca="false">IF(F276="","Completar cadastro","")</f>
        <v/>
      </c>
      <c r="R276" s="10" t="str">
        <f aca="false">INDEX(Parâmetros!$D$39:$D$43,MATCH(P276,Parâmetros!$A$39:$A$43,0))</f>
        <v>Cadência leve, foco em qualificar</v>
      </c>
    </row>
    <row r="277" customFormat="false" ht="15" hidden="false" customHeight="false" outlineLevel="0" collapsed="false">
      <c r="A277" s="10" t="s">
        <v>496</v>
      </c>
      <c r="B277" s="10" t="s">
        <v>95</v>
      </c>
      <c r="C277" s="10" t="s">
        <v>92</v>
      </c>
      <c r="D277" s="10" t="s">
        <v>160</v>
      </c>
      <c r="E277" s="10" t="s">
        <v>51</v>
      </c>
      <c r="F277" s="10" t="s">
        <v>497</v>
      </c>
      <c r="G277" s="10" t="s">
        <v>162</v>
      </c>
      <c r="H277" s="30" t="n">
        <v>43045</v>
      </c>
      <c r="I277" s="8" t="n">
        <f aca="false">INDEX(Parâmetros!$C$13:$C$19,MATCH(E277,Parâmetros!$A$13:$A$19,0))</f>
        <v>550</v>
      </c>
      <c r="J277" s="26" t="n">
        <f aca="false">IF(H277="","",Parâmetros!$B$5-H277)</f>
        <v>55</v>
      </c>
      <c r="K277" s="10" t="n">
        <f aca="false">INDEX(Parâmetros!$D$13:$D$19,MATCH(E277,Parâmetros!$A$13:$A$19,0))</f>
        <v>22</v>
      </c>
      <c r="L277" s="26" t="n">
        <f aca="false">IF(G277="Prospecting",Parâmetros!$B$9,IF(J277&gt;Parâmetros!$B$6,0,INDEX(Parâmetros!$C$24:$C$26,MATCH(J277,Parâmetros!$A$24:$A$26,1))))</f>
        <v>32</v>
      </c>
      <c r="M277" s="31" t="n">
        <f aca="false">IF(G277="Prospecting",1,INDEX(Parâmetros!$C$32:$C$35,MATCH(J277,Parâmetros!$A$32:$A$35,1)))</f>
        <v>1</v>
      </c>
      <c r="N277" s="2" t="n">
        <f aca="false">ROUND((K277+L277)*M277,0)</f>
        <v>54</v>
      </c>
      <c r="O277" s="10" t="str">
        <f aca="false">IF(AND(G277="Engaging",J277&gt;Parâmetros!$B$6),"Sim","Não")</f>
        <v>Não</v>
      </c>
      <c r="P277" s="32" t="str">
        <f aca="false">IF(O277="Sim","R",IF(N277&gt;=Parâmetros!$B$39,"A",IF(N277&gt;=Parâmetros!$B$40,"B",IF(N277&gt;=Parâmetros!$B$41,"C","D"))))</f>
        <v>C</v>
      </c>
      <c r="Q277" s="10" t="str">
        <f aca="false">IF(F277="","Completar cadastro","")</f>
        <v/>
      </c>
      <c r="R277" s="10" t="str">
        <f aca="false">INDEX(Parâmetros!$D$39:$D$43,MATCH(P277,Parâmetros!$A$39:$A$43,0))</f>
        <v>Cadência leve, foco em qualificar</v>
      </c>
    </row>
    <row r="278" customFormat="false" ht="15" hidden="false" customHeight="false" outlineLevel="0" collapsed="false">
      <c r="A278" s="10" t="s">
        <v>498</v>
      </c>
      <c r="B278" s="10" t="s">
        <v>84</v>
      </c>
      <c r="C278" s="10" t="s">
        <v>85</v>
      </c>
      <c r="D278" s="10" t="s">
        <v>165</v>
      </c>
      <c r="E278" s="10" t="s">
        <v>51</v>
      </c>
      <c r="F278" s="10"/>
      <c r="G278" s="10" t="s">
        <v>162</v>
      </c>
      <c r="H278" s="30" t="n">
        <v>43048</v>
      </c>
      <c r="I278" s="8" t="n">
        <f aca="false">INDEX(Parâmetros!$C$13:$C$19,MATCH(E278,Parâmetros!$A$13:$A$19,0))</f>
        <v>550</v>
      </c>
      <c r="J278" s="26" t="n">
        <f aca="false">IF(H278="","",Parâmetros!$B$5-H278)</f>
        <v>52</v>
      </c>
      <c r="K278" s="10" t="n">
        <f aca="false">INDEX(Parâmetros!$D$13:$D$19,MATCH(E278,Parâmetros!$A$13:$A$19,0))</f>
        <v>22</v>
      </c>
      <c r="L278" s="26" t="n">
        <f aca="false">IF(G278="Prospecting",Parâmetros!$B$9,IF(J278&gt;Parâmetros!$B$6,0,INDEX(Parâmetros!$C$24:$C$26,MATCH(J278,Parâmetros!$A$24:$A$26,1))))</f>
        <v>32</v>
      </c>
      <c r="M278" s="31" t="n">
        <f aca="false">IF(G278="Prospecting",1,INDEX(Parâmetros!$C$32:$C$35,MATCH(J278,Parâmetros!$A$32:$A$35,1)))</f>
        <v>1</v>
      </c>
      <c r="N278" s="2" t="n">
        <f aca="false">ROUND((K278+L278)*M278,0)</f>
        <v>54</v>
      </c>
      <c r="O278" s="10" t="str">
        <f aca="false">IF(AND(G278="Engaging",J278&gt;Parâmetros!$B$6),"Sim","Não")</f>
        <v>Não</v>
      </c>
      <c r="P278" s="32" t="str">
        <f aca="false">IF(O278="Sim","R",IF(N278&gt;=Parâmetros!$B$39,"A",IF(N278&gt;=Parâmetros!$B$40,"B",IF(N278&gt;=Parâmetros!$B$41,"C","D"))))</f>
        <v>C</v>
      </c>
      <c r="Q278" s="10" t="str">
        <f aca="false">IF(F278="","Completar cadastro","")</f>
        <v>Completar cadastro</v>
      </c>
      <c r="R278" s="10" t="str">
        <f aca="false">INDEX(Parâmetros!$D$39:$D$43,MATCH(P278,Parâmetros!$A$39:$A$43,0))</f>
        <v>Cadência leve, foco em qualificar</v>
      </c>
    </row>
    <row r="279" customFormat="false" ht="15" hidden="false" customHeight="false" outlineLevel="0" collapsed="false">
      <c r="A279" s="10" t="s">
        <v>499</v>
      </c>
      <c r="B279" s="10" t="s">
        <v>97</v>
      </c>
      <c r="C279" s="10" t="s">
        <v>92</v>
      </c>
      <c r="D279" s="10" t="s">
        <v>160</v>
      </c>
      <c r="E279" s="10" t="s">
        <v>51</v>
      </c>
      <c r="F279" s="10" t="s">
        <v>172</v>
      </c>
      <c r="G279" s="10" t="s">
        <v>162</v>
      </c>
      <c r="H279" s="30" t="n">
        <v>43061</v>
      </c>
      <c r="I279" s="8" t="n">
        <f aca="false">INDEX(Parâmetros!$C$13:$C$19,MATCH(E279,Parâmetros!$A$13:$A$19,0))</f>
        <v>550</v>
      </c>
      <c r="J279" s="26" t="n">
        <f aca="false">IF(H279="","",Parâmetros!$B$5-H279)</f>
        <v>39</v>
      </c>
      <c r="K279" s="10" t="n">
        <f aca="false">INDEX(Parâmetros!$D$13:$D$19,MATCH(E279,Parâmetros!$A$13:$A$19,0))</f>
        <v>22</v>
      </c>
      <c r="L279" s="26" t="n">
        <f aca="false">IF(G279="Prospecting",Parâmetros!$B$9,IF(J279&gt;Parâmetros!$B$6,0,INDEX(Parâmetros!$C$24:$C$26,MATCH(J279,Parâmetros!$A$24:$A$26,1))))</f>
        <v>32</v>
      </c>
      <c r="M279" s="31" t="n">
        <f aca="false">IF(G279="Prospecting",1,INDEX(Parâmetros!$C$32:$C$35,MATCH(J279,Parâmetros!$A$32:$A$35,1)))</f>
        <v>1</v>
      </c>
      <c r="N279" s="2" t="n">
        <f aca="false">ROUND((K279+L279)*M279,0)</f>
        <v>54</v>
      </c>
      <c r="O279" s="10" t="str">
        <f aca="false">IF(AND(G279="Engaging",J279&gt;Parâmetros!$B$6),"Sim","Não")</f>
        <v>Não</v>
      </c>
      <c r="P279" s="32" t="str">
        <f aca="false">IF(O279="Sim","R",IF(N279&gt;=Parâmetros!$B$39,"A",IF(N279&gt;=Parâmetros!$B$40,"B",IF(N279&gt;=Parâmetros!$B$41,"C","D"))))</f>
        <v>C</v>
      </c>
      <c r="Q279" s="10" t="str">
        <f aca="false">IF(F279="","Completar cadastro","")</f>
        <v/>
      </c>
      <c r="R279" s="10" t="str">
        <f aca="false">INDEX(Parâmetros!$D$39:$D$43,MATCH(P279,Parâmetros!$A$39:$A$43,0))</f>
        <v>Cadência leve, foco em qualificar</v>
      </c>
    </row>
    <row r="280" customFormat="false" ht="15" hidden="false" customHeight="false" outlineLevel="0" collapsed="false">
      <c r="A280" s="10" t="s">
        <v>500</v>
      </c>
      <c r="B280" s="10" t="s">
        <v>97</v>
      </c>
      <c r="C280" s="10" t="s">
        <v>92</v>
      </c>
      <c r="D280" s="10" t="s">
        <v>160</v>
      </c>
      <c r="E280" s="10" t="s">
        <v>51</v>
      </c>
      <c r="F280" s="10" t="s">
        <v>291</v>
      </c>
      <c r="G280" s="10" t="s">
        <v>162</v>
      </c>
      <c r="H280" s="30" t="n">
        <v>43066</v>
      </c>
      <c r="I280" s="8" t="n">
        <f aca="false">INDEX(Parâmetros!$C$13:$C$19,MATCH(E280,Parâmetros!$A$13:$A$19,0))</f>
        <v>550</v>
      </c>
      <c r="J280" s="26" t="n">
        <f aca="false">IF(H280="","",Parâmetros!$B$5-H280)</f>
        <v>34</v>
      </c>
      <c r="K280" s="10" t="n">
        <f aca="false">INDEX(Parâmetros!$D$13:$D$19,MATCH(E280,Parâmetros!$A$13:$A$19,0))</f>
        <v>22</v>
      </c>
      <c r="L280" s="26" t="n">
        <f aca="false">IF(G280="Prospecting",Parâmetros!$B$9,IF(J280&gt;Parâmetros!$B$6,0,INDEX(Parâmetros!$C$24:$C$26,MATCH(J280,Parâmetros!$A$24:$A$26,1))))</f>
        <v>32</v>
      </c>
      <c r="M280" s="31" t="n">
        <f aca="false">IF(G280="Prospecting",1,INDEX(Parâmetros!$C$32:$C$35,MATCH(J280,Parâmetros!$A$32:$A$35,1)))</f>
        <v>1</v>
      </c>
      <c r="N280" s="2" t="n">
        <f aca="false">ROUND((K280+L280)*M280,0)</f>
        <v>54</v>
      </c>
      <c r="O280" s="10" t="str">
        <f aca="false">IF(AND(G280="Engaging",J280&gt;Parâmetros!$B$6),"Sim","Não")</f>
        <v>Não</v>
      </c>
      <c r="P280" s="32" t="str">
        <f aca="false">IF(O280="Sim","R",IF(N280&gt;=Parâmetros!$B$39,"A",IF(N280&gt;=Parâmetros!$B$40,"B",IF(N280&gt;=Parâmetros!$B$41,"C","D"))))</f>
        <v>C</v>
      </c>
      <c r="Q280" s="10" t="str">
        <f aca="false">IF(F280="","Completar cadastro","")</f>
        <v/>
      </c>
      <c r="R280" s="10" t="str">
        <f aca="false">INDEX(Parâmetros!$D$39:$D$43,MATCH(P280,Parâmetros!$A$39:$A$43,0))</f>
        <v>Cadência leve, foco em qualificar</v>
      </c>
    </row>
    <row r="281" customFormat="false" ht="15" hidden="false" customHeight="false" outlineLevel="0" collapsed="false">
      <c r="A281" s="10" t="s">
        <v>501</v>
      </c>
      <c r="B281" s="10" t="s">
        <v>94</v>
      </c>
      <c r="C281" s="10" t="s">
        <v>92</v>
      </c>
      <c r="D281" s="10" t="s">
        <v>160</v>
      </c>
      <c r="E281" s="10" t="s">
        <v>51</v>
      </c>
      <c r="F281" s="10"/>
      <c r="G281" s="10" t="s">
        <v>162</v>
      </c>
      <c r="H281" s="30" t="n">
        <v>43070</v>
      </c>
      <c r="I281" s="8" t="n">
        <f aca="false">INDEX(Parâmetros!$C$13:$C$19,MATCH(E281,Parâmetros!$A$13:$A$19,0))</f>
        <v>550</v>
      </c>
      <c r="J281" s="26" t="n">
        <f aca="false">IF(H281="","",Parâmetros!$B$5-H281)</f>
        <v>30</v>
      </c>
      <c r="K281" s="10" t="n">
        <f aca="false">INDEX(Parâmetros!$D$13:$D$19,MATCH(E281,Parâmetros!$A$13:$A$19,0))</f>
        <v>22</v>
      </c>
      <c r="L281" s="26" t="n">
        <f aca="false">IF(G281="Prospecting",Parâmetros!$B$9,IF(J281&gt;Parâmetros!$B$6,0,INDEX(Parâmetros!$C$24:$C$26,MATCH(J281,Parâmetros!$A$24:$A$26,1))))</f>
        <v>32</v>
      </c>
      <c r="M281" s="31" t="n">
        <f aca="false">IF(G281="Prospecting",1,INDEX(Parâmetros!$C$32:$C$35,MATCH(J281,Parâmetros!$A$32:$A$35,1)))</f>
        <v>1</v>
      </c>
      <c r="N281" s="2" t="n">
        <f aca="false">ROUND((K281+L281)*M281,0)</f>
        <v>54</v>
      </c>
      <c r="O281" s="10" t="str">
        <f aca="false">IF(AND(G281="Engaging",J281&gt;Parâmetros!$B$6),"Sim","Não")</f>
        <v>Não</v>
      </c>
      <c r="P281" s="32" t="str">
        <f aca="false">IF(O281="Sim","R",IF(N281&gt;=Parâmetros!$B$39,"A",IF(N281&gt;=Parâmetros!$B$40,"B",IF(N281&gt;=Parâmetros!$B$41,"C","D"))))</f>
        <v>C</v>
      </c>
      <c r="Q281" s="10" t="str">
        <f aca="false">IF(F281="","Completar cadastro","")</f>
        <v>Completar cadastro</v>
      </c>
      <c r="R281" s="10" t="str">
        <f aca="false">INDEX(Parâmetros!$D$39:$D$43,MATCH(P281,Parâmetros!$A$39:$A$43,0))</f>
        <v>Cadência leve, foco em qualificar</v>
      </c>
    </row>
    <row r="282" customFormat="false" ht="15" hidden="false" customHeight="false" outlineLevel="0" collapsed="false">
      <c r="A282" s="10" t="s">
        <v>502</v>
      </c>
      <c r="B282" s="10" t="s">
        <v>96</v>
      </c>
      <c r="C282" s="10" t="s">
        <v>92</v>
      </c>
      <c r="D282" s="10" t="s">
        <v>160</v>
      </c>
      <c r="E282" s="10" t="s">
        <v>51</v>
      </c>
      <c r="F282" s="10"/>
      <c r="G282" s="10" t="s">
        <v>162</v>
      </c>
      <c r="H282" s="30" t="n">
        <v>43078</v>
      </c>
      <c r="I282" s="8" t="n">
        <f aca="false">INDEX(Parâmetros!$C$13:$C$19,MATCH(E282,Parâmetros!$A$13:$A$19,0))</f>
        <v>550</v>
      </c>
      <c r="J282" s="26" t="n">
        <f aca="false">IF(H282="","",Parâmetros!$B$5-H282)</f>
        <v>22</v>
      </c>
      <c r="K282" s="10" t="n">
        <f aca="false">INDEX(Parâmetros!$D$13:$D$19,MATCH(E282,Parâmetros!$A$13:$A$19,0))</f>
        <v>22</v>
      </c>
      <c r="L282" s="26" t="n">
        <f aca="false">IF(G282="Prospecting",Parâmetros!$B$9,IF(J282&gt;Parâmetros!$B$6,0,INDEX(Parâmetros!$C$24:$C$26,MATCH(J282,Parâmetros!$A$24:$A$26,1))))</f>
        <v>32</v>
      </c>
      <c r="M282" s="31" t="n">
        <f aca="false">IF(G282="Prospecting",1,INDEX(Parâmetros!$C$32:$C$35,MATCH(J282,Parâmetros!$A$32:$A$35,1)))</f>
        <v>1</v>
      </c>
      <c r="N282" s="2" t="n">
        <f aca="false">ROUND((K282+L282)*M282,0)</f>
        <v>54</v>
      </c>
      <c r="O282" s="10" t="str">
        <f aca="false">IF(AND(G282="Engaging",J282&gt;Parâmetros!$B$6),"Sim","Não")</f>
        <v>Não</v>
      </c>
      <c r="P282" s="32" t="str">
        <f aca="false">IF(O282="Sim","R",IF(N282&gt;=Parâmetros!$B$39,"A",IF(N282&gt;=Parâmetros!$B$40,"B",IF(N282&gt;=Parâmetros!$B$41,"C","D"))))</f>
        <v>C</v>
      </c>
      <c r="Q282" s="10" t="str">
        <f aca="false">IF(F282="","Completar cadastro","")</f>
        <v>Completar cadastro</v>
      </c>
      <c r="R282" s="10" t="str">
        <f aca="false">INDEX(Parâmetros!$D$39:$D$43,MATCH(P282,Parâmetros!$A$39:$A$43,0))</f>
        <v>Cadência leve, foco em qualificar</v>
      </c>
    </row>
    <row r="283" customFormat="false" ht="15" hidden="false" customHeight="false" outlineLevel="0" collapsed="false">
      <c r="A283" s="10" t="s">
        <v>503</v>
      </c>
      <c r="B283" s="10" t="s">
        <v>97</v>
      </c>
      <c r="C283" s="10" t="s">
        <v>92</v>
      </c>
      <c r="D283" s="10" t="s">
        <v>160</v>
      </c>
      <c r="E283" s="10" t="s">
        <v>51</v>
      </c>
      <c r="F283" s="10" t="s">
        <v>378</v>
      </c>
      <c r="G283" s="10" t="s">
        <v>162</v>
      </c>
      <c r="H283" s="30" t="n">
        <v>43084</v>
      </c>
      <c r="I283" s="8" t="n">
        <f aca="false">INDEX(Parâmetros!$C$13:$C$19,MATCH(E283,Parâmetros!$A$13:$A$19,0))</f>
        <v>550</v>
      </c>
      <c r="J283" s="26" t="n">
        <f aca="false">IF(H283="","",Parâmetros!$B$5-H283)</f>
        <v>16</v>
      </c>
      <c r="K283" s="10" t="n">
        <f aca="false">INDEX(Parâmetros!$D$13:$D$19,MATCH(E283,Parâmetros!$A$13:$A$19,0))</f>
        <v>22</v>
      </c>
      <c r="L283" s="26" t="n">
        <f aca="false">IF(G283="Prospecting",Parâmetros!$B$9,IF(J283&gt;Parâmetros!$B$6,0,INDEX(Parâmetros!$C$24:$C$26,MATCH(J283,Parâmetros!$A$24:$A$26,1))))</f>
        <v>32</v>
      </c>
      <c r="M283" s="31" t="n">
        <f aca="false">IF(G283="Prospecting",1,INDEX(Parâmetros!$C$32:$C$35,MATCH(J283,Parâmetros!$A$32:$A$35,1)))</f>
        <v>1</v>
      </c>
      <c r="N283" s="2" t="n">
        <f aca="false">ROUND((K283+L283)*M283,0)</f>
        <v>54</v>
      </c>
      <c r="O283" s="10" t="str">
        <f aca="false">IF(AND(G283="Engaging",J283&gt;Parâmetros!$B$6),"Sim","Não")</f>
        <v>Não</v>
      </c>
      <c r="P283" s="32" t="str">
        <f aca="false">IF(O283="Sim","R",IF(N283&gt;=Parâmetros!$B$39,"A",IF(N283&gt;=Parâmetros!$B$40,"B",IF(N283&gt;=Parâmetros!$B$41,"C","D"))))</f>
        <v>C</v>
      </c>
      <c r="Q283" s="10" t="str">
        <f aca="false">IF(F283="","Completar cadastro","")</f>
        <v/>
      </c>
      <c r="R283" s="10" t="str">
        <f aca="false">INDEX(Parâmetros!$D$39:$D$43,MATCH(P283,Parâmetros!$A$39:$A$43,0))</f>
        <v>Cadência leve, foco em qualificar</v>
      </c>
    </row>
    <row r="284" customFormat="false" ht="15" hidden="false" customHeight="false" outlineLevel="0" collapsed="false">
      <c r="A284" s="10" t="s">
        <v>504</v>
      </c>
      <c r="B284" s="10" t="s">
        <v>77</v>
      </c>
      <c r="C284" s="10" t="s">
        <v>78</v>
      </c>
      <c r="D284" s="10" t="s">
        <v>196</v>
      </c>
      <c r="E284" s="10" t="s">
        <v>48</v>
      </c>
      <c r="F284" s="10" t="s">
        <v>422</v>
      </c>
      <c r="G284" s="10" t="s">
        <v>425</v>
      </c>
      <c r="H284" s="10"/>
      <c r="I284" s="8" t="n">
        <f aca="false">INDEX(Parâmetros!$C$13:$C$19,MATCH(E284,Parâmetros!$A$13:$A$19,0))</f>
        <v>4821</v>
      </c>
      <c r="J284" s="26" t="str">
        <f aca="false">IF(H284="","",Parâmetros!$B$5-H284)</f>
        <v/>
      </c>
      <c r="K284" s="10" t="n">
        <f aca="false">INDEX(Parâmetros!$D$13:$D$19,MATCH(E284,Parâmetros!$A$13:$A$19,0))</f>
        <v>43</v>
      </c>
      <c r="L284" s="26" t="n">
        <f aca="false">IF(G284="Prospecting",Parâmetros!$B$9,IF(J284&gt;Parâmetros!$B$6,0,INDEX(Parâmetros!$C$24:$C$26,MATCH(J284,Parâmetros!$A$24:$A$26,1))))</f>
        <v>10</v>
      </c>
      <c r="M284" s="31" t="n">
        <f aca="false">IF(G284="Prospecting",1,INDEX(Parâmetros!$C$32:$C$35,MATCH(J284,Parâmetros!$A$32:$A$35,1)))</f>
        <v>1</v>
      </c>
      <c r="N284" s="2" t="n">
        <f aca="false">ROUND((K284+L284)*M284,0)</f>
        <v>53</v>
      </c>
      <c r="O284" s="10" t="str">
        <f aca="false">IF(AND(G284="Engaging",J284&gt;Parâmetros!$B$6),"Sim","Não")</f>
        <v>Não</v>
      </c>
      <c r="P284" s="32" t="str">
        <f aca="false">IF(O284="Sim","R",IF(N284&gt;=Parâmetros!$B$39,"A",IF(N284&gt;=Parâmetros!$B$40,"B",IF(N284&gt;=Parâmetros!$B$41,"C","D"))))</f>
        <v>C</v>
      </c>
      <c r="Q284" s="10" t="str">
        <f aca="false">IF(F284="","Completar cadastro","")</f>
        <v/>
      </c>
      <c r="R284" s="10" t="str">
        <f aca="false">INDEX(Parâmetros!$D$39:$D$43,MATCH(P284,Parâmetros!$A$39:$A$43,0))</f>
        <v>Cadência leve, foco em qualificar</v>
      </c>
    </row>
    <row r="285" customFormat="false" ht="15" hidden="false" customHeight="false" outlineLevel="0" collapsed="false">
      <c r="A285" s="10" t="s">
        <v>505</v>
      </c>
      <c r="B285" s="10" t="s">
        <v>77</v>
      </c>
      <c r="C285" s="10" t="s">
        <v>78</v>
      </c>
      <c r="D285" s="10" t="s">
        <v>196</v>
      </c>
      <c r="E285" s="10" t="s">
        <v>48</v>
      </c>
      <c r="F285" s="10" t="s">
        <v>506</v>
      </c>
      <c r="G285" s="10" t="s">
        <v>425</v>
      </c>
      <c r="H285" s="10"/>
      <c r="I285" s="8" t="n">
        <f aca="false">INDEX(Parâmetros!$C$13:$C$19,MATCH(E285,Parâmetros!$A$13:$A$19,0))</f>
        <v>4821</v>
      </c>
      <c r="J285" s="26" t="str">
        <f aca="false">IF(H285="","",Parâmetros!$B$5-H285)</f>
        <v/>
      </c>
      <c r="K285" s="10" t="n">
        <f aca="false">INDEX(Parâmetros!$D$13:$D$19,MATCH(E285,Parâmetros!$A$13:$A$19,0))</f>
        <v>43</v>
      </c>
      <c r="L285" s="26" t="n">
        <f aca="false">IF(G285="Prospecting",Parâmetros!$B$9,IF(J285&gt;Parâmetros!$B$6,0,INDEX(Parâmetros!$C$24:$C$26,MATCH(J285,Parâmetros!$A$24:$A$26,1))))</f>
        <v>10</v>
      </c>
      <c r="M285" s="31" t="n">
        <f aca="false">IF(G285="Prospecting",1,INDEX(Parâmetros!$C$32:$C$35,MATCH(J285,Parâmetros!$A$32:$A$35,1)))</f>
        <v>1</v>
      </c>
      <c r="N285" s="2" t="n">
        <f aca="false">ROUND((K285+L285)*M285,0)</f>
        <v>53</v>
      </c>
      <c r="O285" s="10" t="str">
        <f aca="false">IF(AND(G285="Engaging",J285&gt;Parâmetros!$B$6),"Sim","Não")</f>
        <v>Não</v>
      </c>
      <c r="P285" s="32" t="str">
        <f aca="false">IF(O285="Sim","R",IF(N285&gt;=Parâmetros!$B$39,"A",IF(N285&gt;=Parâmetros!$B$40,"B",IF(N285&gt;=Parâmetros!$B$41,"C","D"))))</f>
        <v>C</v>
      </c>
      <c r="Q285" s="10" t="str">
        <f aca="false">IF(F285="","Completar cadastro","")</f>
        <v/>
      </c>
      <c r="R285" s="10" t="str">
        <f aca="false">INDEX(Parâmetros!$D$39:$D$43,MATCH(P285,Parâmetros!$A$39:$A$43,0))</f>
        <v>Cadência leve, foco em qualificar</v>
      </c>
    </row>
    <row r="286" customFormat="false" ht="15" hidden="false" customHeight="false" outlineLevel="0" collapsed="false">
      <c r="A286" s="10" t="s">
        <v>507</v>
      </c>
      <c r="B286" s="10" t="s">
        <v>77</v>
      </c>
      <c r="C286" s="10" t="s">
        <v>78</v>
      </c>
      <c r="D286" s="10" t="s">
        <v>196</v>
      </c>
      <c r="E286" s="10" t="s">
        <v>48</v>
      </c>
      <c r="F286" s="10" t="s">
        <v>274</v>
      </c>
      <c r="G286" s="10" t="s">
        <v>425</v>
      </c>
      <c r="H286" s="10"/>
      <c r="I286" s="8" t="n">
        <f aca="false">INDEX(Parâmetros!$C$13:$C$19,MATCH(E286,Parâmetros!$A$13:$A$19,0))</f>
        <v>4821</v>
      </c>
      <c r="J286" s="26" t="str">
        <f aca="false">IF(H286="","",Parâmetros!$B$5-H286)</f>
        <v/>
      </c>
      <c r="K286" s="10" t="n">
        <f aca="false">INDEX(Parâmetros!$D$13:$D$19,MATCH(E286,Parâmetros!$A$13:$A$19,0))</f>
        <v>43</v>
      </c>
      <c r="L286" s="26" t="n">
        <f aca="false">IF(G286="Prospecting",Parâmetros!$B$9,IF(J286&gt;Parâmetros!$B$6,0,INDEX(Parâmetros!$C$24:$C$26,MATCH(J286,Parâmetros!$A$24:$A$26,1))))</f>
        <v>10</v>
      </c>
      <c r="M286" s="31" t="n">
        <f aca="false">IF(G286="Prospecting",1,INDEX(Parâmetros!$C$32:$C$35,MATCH(J286,Parâmetros!$A$32:$A$35,1)))</f>
        <v>1</v>
      </c>
      <c r="N286" s="2" t="n">
        <f aca="false">ROUND((K286+L286)*M286,0)</f>
        <v>53</v>
      </c>
      <c r="O286" s="10" t="str">
        <f aca="false">IF(AND(G286="Engaging",J286&gt;Parâmetros!$B$6),"Sim","Não")</f>
        <v>Não</v>
      </c>
      <c r="P286" s="32" t="str">
        <f aca="false">IF(O286="Sim","R",IF(N286&gt;=Parâmetros!$B$39,"A",IF(N286&gt;=Parâmetros!$B$40,"B",IF(N286&gt;=Parâmetros!$B$41,"C","D"))))</f>
        <v>C</v>
      </c>
      <c r="Q286" s="10" t="str">
        <f aca="false">IF(F286="","Completar cadastro","")</f>
        <v/>
      </c>
      <c r="R286" s="10" t="str">
        <f aca="false">INDEX(Parâmetros!$D$39:$D$43,MATCH(P286,Parâmetros!$A$39:$A$43,0))</f>
        <v>Cadência leve, foco em qualificar</v>
      </c>
    </row>
    <row r="287" customFormat="false" ht="15" hidden="false" customHeight="false" outlineLevel="0" collapsed="false">
      <c r="A287" s="10" t="s">
        <v>508</v>
      </c>
      <c r="B287" s="10" t="s">
        <v>77</v>
      </c>
      <c r="C287" s="10" t="s">
        <v>78</v>
      </c>
      <c r="D287" s="10" t="s">
        <v>196</v>
      </c>
      <c r="E287" s="10" t="s">
        <v>48</v>
      </c>
      <c r="F287" s="10" t="s">
        <v>210</v>
      </c>
      <c r="G287" s="10" t="s">
        <v>425</v>
      </c>
      <c r="H287" s="10"/>
      <c r="I287" s="8" t="n">
        <f aca="false">INDEX(Parâmetros!$C$13:$C$19,MATCH(E287,Parâmetros!$A$13:$A$19,0))</f>
        <v>4821</v>
      </c>
      <c r="J287" s="26" t="str">
        <f aca="false">IF(H287="","",Parâmetros!$B$5-H287)</f>
        <v/>
      </c>
      <c r="K287" s="10" t="n">
        <f aca="false">INDEX(Parâmetros!$D$13:$D$19,MATCH(E287,Parâmetros!$A$13:$A$19,0))</f>
        <v>43</v>
      </c>
      <c r="L287" s="26" t="n">
        <f aca="false">IF(G287="Prospecting",Parâmetros!$B$9,IF(J287&gt;Parâmetros!$B$6,0,INDEX(Parâmetros!$C$24:$C$26,MATCH(J287,Parâmetros!$A$24:$A$26,1))))</f>
        <v>10</v>
      </c>
      <c r="M287" s="31" t="n">
        <f aca="false">IF(G287="Prospecting",1,INDEX(Parâmetros!$C$32:$C$35,MATCH(J287,Parâmetros!$A$32:$A$35,1)))</f>
        <v>1</v>
      </c>
      <c r="N287" s="2" t="n">
        <f aca="false">ROUND((K287+L287)*M287,0)</f>
        <v>53</v>
      </c>
      <c r="O287" s="10" t="str">
        <f aca="false">IF(AND(G287="Engaging",J287&gt;Parâmetros!$B$6),"Sim","Não")</f>
        <v>Não</v>
      </c>
      <c r="P287" s="32" t="str">
        <f aca="false">IF(O287="Sim","R",IF(N287&gt;=Parâmetros!$B$39,"A",IF(N287&gt;=Parâmetros!$B$40,"B",IF(N287&gt;=Parâmetros!$B$41,"C","D"))))</f>
        <v>C</v>
      </c>
      <c r="Q287" s="10" t="str">
        <f aca="false">IF(F287="","Completar cadastro","")</f>
        <v/>
      </c>
      <c r="R287" s="10" t="str">
        <f aca="false">INDEX(Parâmetros!$D$39:$D$43,MATCH(P287,Parâmetros!$A$39:$A$43,0))</f>
        <v>Cadência leve, foco em qualificar</v>
      </c>
    </row>
    <row r="288" customFormat="false" ht="15" hidden="false" customHeight="false" outlineLevel="0" collapsed="false">
      <c r="A288" s="10" t="s">
        <v>509</v>
      </c>
      <c r="B288" s="10" t="s">
        <v>77</v>
      </c>
      <c r="C288" s="10" t="s">
        <v>78</v>
      </c>
      <c r="D288" s="10" t="s">
        <v>196</v>
      </c>
      <c r="E288" s="10" t="s">
        <v>48</v>
      </c>
      <c r="F288" s="10" t="s">
        <v>210</v>
      </c>
      <c r="G288" s="10" t="s">
        <v>425</v>
      </c>
      <c r="H288" s="10"/>
      <c r="I288" s="8" t="n">
        <f aca="false">INDEX(Parâmetros!$C$13:$C$19,MATCH(E288,Parâmetros!$A$13:$A$19,0))</f>
        <v>4821</v>
      </c>
      <c r="J288" s="26" t="str">
        <f aca="false">IF(H288="","",Parâmetros!$B$5-H288)</f>
        <v/>
      </c>
      <c r="K288" s="10" t="n">
        <f aca="false">INDEX(Parâmetros!$D$13:$D$19,MATCH(E288,Parâmetros!$A$13:$A$19,0))</f>
        <v>43</v>
      </c>
      <c r="L288" s="26" t="n">
        <f aca="false">IF(G288="Prospecting",Parâmetros!$B$9,IF(J288&gt;Parâmetros!$B$6,0,INDEX(Parâmetros!$C$24:$C$26,MATCH(J288,Parâmetros!$A$24:$A$26,1))))</f>
        <v>10</v>
      </c>
      <c r="M288" s="31" t="n">
        <f aca="false">IF(G288="Prospecting",1,INDEX(Parâmetros!$C$32:$C$35,MATCH(J288,Parâmetros!$A$32:$A$35,1)))</f>
        <v>1</v>
      </c>
      <c r="N288" s="2" t="n">
        <f aca="false">ROUND((K288+L288)*M288,0)</f>
        <v>53</v>
      </c>
      <c r="O288" s="10" t="str">
        <f aca="false">IF(AND(G288="Engaging",J288&gt;Parâmetros!$B$6),"Sim","Não")</f>
        <v>Não</v>
      </c>
      <c r="P288" s="32" t="str">
        <f aca="false">IF(O288="Sim","R",IF(N288&gt;=Parâmetros!$B$39,"A",IF(N288&gt;=Parâmetros!$B$40,"B",IF(N288&gt;=Parâmetros!$B$41,"C","D"))))</f>
        <v>C</v>
      </c>
      <c r="Q288" s="10" t="str">
        <f aca="false">IF(F288="","Completar cadastro","")</f>
        <v/>
      </c>
      <c r="R288" s="10" t="str">
        <f aca="false">INDEX(Parâmetros!$D$39:$D$43,MATCH(P288,Parâmetros!$A$39:$A$43,0))</f>
        <v>Cadência leve, foco em qualificar</v>
      </c>
    </row>
    <row r="289" customFormat="false" ht="15" hidden="false" customHeight="false" outlineLevel="0" collapsed="false">
      <c r="A289" s="10" t="s">
        <v>510</v>
      </c>
      <c r="B289" s="10" t="s">
        <v>77</v>
      </c>
      <c r="C289" s="10" t="s">
        <v>78</v>
      </c>
      <c r="D289" s="10" t="s">
        <v>196</v>
      </c>
      <c r="E289" s="10" t="s">
        <v>48</v>
      </c>
      <c r="F289" s="10" t="s">
        <v>359</v>
      </c>
      <c r="G289" s="10" t="s">
        <v>425</v>
      </c>
      <c r="H289" s="10"/>
      <c r="I289" s="8" t="n">
        <f aca="false">INDEX(Parâmetros!$C$13:$C$19,MATCH(E289,Parâmetros!$A$13:$A$19,0))</f>
        <v>4821</v>
      </c>
      <c r="J289" s="26" t="str">
        <f aca="false">IF(H289="","",Parâmetros!$B$5-H289)</f>
        <v/>
      </c>
      <c r="K289" s="10" t="n">
        <f aca="false">INDEX(Parâmetros!$D$13:$D$19,MATCH(E289,Parâmetros!$A$13:$A$19,0))</f>
        <v>43</v>
      </c>
      <c r="L289" s="26" t="n">
        <f aca="false">IF(G289="Prospecting",Parâmetros!$B$9,IF(J289&gt;Parâmetros!$B$6,0,INDEX(Parâmetros!$C$24:$C$26,MATCH(J289,Parâmetros!$A$24:$A$26,1))))</f>
        <v>10</v>
      </c>
      <c r="M289" s="31" t="n">
        <f aca="false">IF(G289="Prospecting",1,INDEX(Parâmetros!$C$32:$C$35,MATCH(J289,Parâmetros!$A$32:$A$35,1)))</f>
        <v>1</v>
      </c>
      <c r="N289" s="2" t="n">
        <f aca="false">ROUND((K289+L289)*M289,0)</f>
        <v>53</v>
      </c>
      <c r="O289" s="10" t="str">
        <f aca="false">IF(AND(G289="Engaging",J289&gt;Parâmetros!$B$6),"Sim","Não")</f>
        <v>Não</v>
      </c>
      <c r="P289" s="32" t="str">
        <f aca="false">IF(O289="Sim","R",IF(N289&gt;=Parâmetros!$B$39,"A",IF(N289&gt;=Parâmetros!$B$40,"B",IF(N289&gt;=Parâmetros!$B$41,"C","D"))))</f>
        <v>C</v>
      </c>
      <c r="Q289" s="10" t="str">
        <f aca="false">IF(F289="","Completar cadastro","")</f>
        <v/>
      </c>
      <c r="R289" s="10" t="str">
        <f aca="false">INDEX(Parâmetros!$D$39:$D$43,MATCH(P289,Parâmetros!$A$39:$A$43,0))</f>
        <v>Cadência leve, foco em qualificar</v>
      </c>
    </row>
    <row r="290" customFormat="false" ht="15" hidden="false" customHeight="false" outlineLevel="0" collapsed="false">
      <c r="A290" s="10" t="s">
        <v>511</v>
      </c>
      <c r="B290" s="10" t="s">
        <v>77</v>
      </c>
      <c r="C290" s="10" t="s">
        <v>78</v>
      </c>
      <c r="D290" s="10" t="s">
        <v>196</v>
      </c>
      <c r="E290" s="10" t="s">
        <v>48</v>
      </c>
      <c r="F290" s="10" t="s">
        <v>512</v>
      </c>
      <c r="G290" s="10" t="s">
        <v>425</v>
      </c>
      <c r="H290" s="10"/>
      <c r="I290" s="8" t="n">
        <f aca="false">INDEX(Parâmetros!$C$13:$C$19,MATCH(E290,Parâmetros!$A$13:$A$19,0))</f>
        <v>4821</v>
      </c>
      <c r="J290" s="26" t="str">
        <f aca="false">IF(H290="","",Parâmetros!$B$5-H290)</f>
        <v/>
      </c>
      <c r="K290" s="10" t="n">
        <f aca="false">INDEX(Parâmetros!$D$13:$D$19,MATCH(E290,Parâmetros!$A$13:$A$19,0))</f>
        <v>43</v>
      </c>
      <c r="L290" s="26" t="n">
        <f aca="false">IF(G290="Prospecting",Parâmetros!$B$9,IF(J290&gt;Parâmetros!$B$6,0,INDEX(Parâmetros!$C$24:$C$26,MATCH(J290,Parâmetros!$A$24:$A$26,1))))</f>
        <v>10</v>
      </c>
      <c r="M290" s="31" t="n">
        <f aca="false">IF(G290="Prospecting",1,INDEX(Parâmetros!$C$32:$C$35,MATCH(J290,Parâmetros!$A$32:$A$35,1)))</f>
        <v>1</v>
      </c>
      <c r="N290" s="2" t="n">
        <f aca="false">ROUND((K290+L290)*M290,0)</f>
        <v>53</v>
      </c>
      <c r="O290" s="10" t="str">
        <f aca="false">IF(AND(G290="Engaging",J290&gt;Parâmetros!$B$6),"Sim","Não")</f>
        <v>Não</v>
      </c>
      <c r="P290" s="32" t="str">
        <f aca="false">IF(O290="Sim","R",IF(N290&gt;=Parâmetros!$B$39,"A",IF(N290&gt;=Parâmetros!$B$40,"B",IF(N290&gt;=Parâmetros!$B$41,"C","D"))))</f>
        <v>C</v>
      </c>
      <c r="Q290" s="10" t="str">
        <f aca="false">IF(F290="","Completar cadastro","")</f>
        <v/>
      </c>
      <c r="R290" s="10" t="str">
        <f aca="false">INDEX(Parâmetros!$D$39:$D$43,MATCH(P290,Parâmetros!$A$39:$A$43,0))</f>
        <v>Cadência leve, foco em qualificar</v>
      </c>
    </row>
    <row r="291" customFormat="false" ht="15" hidden="false" customHeight="false" outlineLevel="0" collapsed="false">
      <c r="A291" s="10" t="s">
        <v>513</v>
      </c>
      <c r="B291" s="10" t="s">
        <v>77</v>
      </c>
      <c r="C291" s="10" t="s">
        <v>78</v>
      </c>
      <c r="D291" s="10" t="s">
        <v>196</v>
      </c>
      <c r="E291" s="10" t="s">
        <v>48</v>
      </c>
      <c r="F291" s="10" t="s">
        <v>514</v>
      </c>
      <c r="G291" s="10" t="s">
        <v>425</v>
      </c>
      <c r="H291" s="10"/>
      <c r="I291" s="8" t="n">
        <f aca="false">INDEX(Parâmetros!$C$13:$C$19,MATCH(E291,Parâmetros!$A$13:$A$19,0))</f>
        <v>4821</v>
      </c>
      <c r="J291" s="26" t="str">
        <f aca="false">IF(H291="","",Parâmetros!$B$5-H291)</f>
        <v/>
      </c>
      <c r="K291" s="10" t="n">
        <f aca="false">INDEX(Parâmetros!$D$13:$D$19,MATCH(E291,Parâmetros!$A$13:$A$19,0))</f>
        <v>43</v>
      </c>
      <c r="L291" s="26" t="n">
        <f aca="false">IF(G291="Prospecting",Parâmetros!$B$9,IF(J291&gt;Parâmetros!$B$6,0,INDEX(Parâmetros!$C$24:$C$26,MATCH(J291,Parâmetros!$A$24:$A$26,1))))</f>
        <v>10</v>
      </c>
      <c r="M291" s="31" t="n">
        <f aca="false">IF(G291="Prospecting",1,INDEX(Parâmetros!$C$32:$C$35,MATCH(J291,Parâmetros!$A$32:$A$35,1)))</f>
        <v>1</v>
      </c>
      <c r="N291" s="2" t="n">
        <f aca="false">ROUND((K291+L291)*M291,0)</f>
        <v>53</v>
      </c>
      <c r="O291" s="10" t="str">
        <f aca="false">IF(AND(G291="Engaging",J291&gt;Parâmetros!$B$6),"Sim","Não")</f>
        <v>Não</v>
      </c>
      <c r="P291" s="32" t="str">
        <f aca="false">IF(O291="Sim","R",IF(N291&gt;=Parâmetros!$B$39,"A",IF(N291&gt;=Parâmetros!$B$40,"B",IF(N291&gt;=Parâmetros!$B$41,"C","D"))))</f>
        <v>C</v>
      </c>
      <c r="Q291" s="10" t="str">
        <f aca="false">IF(F291="","Completar cadastro","")</f>
        <v/>
      </c>
      <c r="R291" s="10" t="str">
        <f aca="false">INDEX(Parâmetros!$D$39:$D$43,MATCH(P291,Parâmetros!$A$39:$A$43,0))</f>
        <v>Cadência leve, foco em qualificar</v>
      </c>
    </row>
    <row r="292" customFormat="false" ht="15" hidden="false" customHeight="false" outlineLevel="0" collapsed="false">
      <c r="A292" s="10" t="s">
        <v>515</v>
      </c>
      <c r="B292" s="10" t="s">
        <v>77</v>
      </c>
      <c r="C292" s="10" t="s">
        <v>78</v>
      </c>
      <c r="D292" s="10" t="s">
        <v>196</v>
      </c>
      <c r="E292" s="10" t="s">
        <v>48</v>
      </c>
      <c r="F292" s="10" t="s">
        <v>514</v>
      </c>
      <c r="G292" s="10" t="s">
        <v>425</v>
      </c>
      <c r="H292" s="10"/>
      <c r="I292" s="8" t="n">
        <f aca="false">INDEX(Parâmetros!$C$13:$C$19,MATCH(E292,Parâmetros!$A$13:$A$19,0))</f>
        <v>4821</v>
      </c>
      <c r="J292" s="26" t="str">
        <f aca="false">IF(H292="","",Parâmetros!$B$5-H292)</f>
        <v/>
      </c>
      <c r="K292" s="10" t="n">
        <f aca="false">INDEX(Parâmetros!$D$13:$D$19,MATCH(E292,Parâmetros!$A$13:$A$19,0))</f>
        <v>43</v>
      </c>
      <c r="L292" s="26" t="n">
        <f aca="false">IF(G292="Prospecting",Parâmetros!$B$9,IF(J292&gt;Parâmetros!$B$6,0,INDEX(Parâmetros!$C$24:$C$26,MATCH(J292,Parâmetros!$A$24:$A$26,1))))</f>
        <v>10</v>
      </c>
      <c r="M292" s="31" t="n">
        <f aca="false">IF(G292="Prospecting",1,INDEX(Parâmetros!$C$32:$C$35,MATCH(J292,Parâmetros!$A$32:$A$35,1)))</f>
        <v>1</v>
      </c>
      <c r="N292" s="2" t="n">
        <f aca="false">ROUND((K292+L292)*M292,0)</f>
        <v>53</v>
      </c>
      <c r="O292" s="10" t="str">
        <f aca="false">IF(AND(G292="Engaging",J292&gt;Parâmetros!$B$6),"Sim","Não")</f>
        <v>Não</v>
      </c>
      <c r="P292" s="32" t="str">
        <f aca="false">IF(O292="Sim","R",IF(N292&gt;=Parâmetros!$B$39,"A",IF(N292&gt;=Parâmetros!$B$40,"B",IF(N292&gt;=Parâmetros!$B$41,"C","D"))))</f>
        <v>C</v>
      </c>
      <c r="Q292" s="10" t="str">
        <f aca="false">IF(F292="","Completar cadastro","")</f>
        <v/>
      </c>
      <c r="R292" s="10" t="str">
        <f aca="false">INDEX(Parâmetros!$D$39:$D$43,MATCH(P292,Parâmetros!$A$39:$A$43,0))</f>
        <v>Cadência leve, foco em qualificar</v>
      </c>
    </row>
    <row r="293" customFormat="false" ht="15" hidden="false" customHeight="false" outlineLevel="0" collapsed="false">
      <c r="A293" s="10" t="s">
        <v>516</v>
      </c>
      <c r="B293" s="10" t="s">
        <v>77</v>
      </c>
      <c r="C293" s="10" t="s">
        <v>78</v>
      </c>
      <c r="D293" s="10" t="s">
        <v>196</v>
      </c>
      <c r="E293" s="10" t="s">
        <v>48</v>
      </c>
      <c r="F293" s="10" t="s">
        <v>437</v>
      </c>
      <c r="G293" s="10" t="s">
        <v>425</v>
      </c>
      <c r="H293" s="10"/>
      <c r="I293" s="8" t="n">
        <f aca="false">INDEX(Parâmetros!$C$13:$C$19,MATCH(E293,Parâmetros!$A$13:$A$19,0))</f>
        <v>4821</v>
      </c>
      <c r="J293" s="26" t="str">
        <f aca="false">IF(H293="","",Parâmetros!$B$5-H293)</f>
        <v/>
      </c>
      <c r="K293" s="10" t="n">
        <f aca="false">INDEX(Parâmetros!$D$13:$D$19,MATCH(E293,Parâmetros!$A$13:$A$19,0))</f>
        <v>43</v>
      </c>
      <c r="L293" s="26" t="n">
        <f aca="false">IF(G293="Prospecting",Parâmetros!$B$9,IF(J293&gt;Parâmetros!$B$6,0,INDEX(Parâmetros!$C$24:$C$26,MATCH(J293,Parâmetros!$A$24:$A$26,1))))</f>
        <v>10</v>
      </c>
      <c r="M293" s="31" t="n">
        <f aca="false">IF(G293="Prospecting",1,INDEX(Parâmetros!$C$32:$C$35,MATCH(J293,Parâmetros!$A$32:$A$35,1)))</f>
        <v>1</v>
      </c>
      <c r="N293" s="2" t="n">
        <f aca="false">ROUND((K293+L293)*M293,0)</f>
        <v>53</v>
      </c>
      <c r="O293" s="10" t="str">
        <f aca="false">IF(AND(G293="Engaging",J293&gt;Parâmetros!$B$6),"Sim","Não")</f>
        <v>Não</v>
      </c>
      <c r="P293" s="32" t="str">
        <f aca="false">IF(O293="Sim","R",IF(N293&gt;=Parâmetros!$B$39,"A",IF(N293&gt;=Parâmetros!$B$40,"B",IF(N293&gt;=Parâmetros!$B$41,"C","D"))))</f>
        <v>C</v>
      </c>
      <c r="Q293" s="10" t="str">
        <f aca="false">IF(F293="","Completar cadastro","")</f>
        <v/>
      </c>
      <c r="R293" s="10" t="str">
        <f aca="false">INDEX(Parâmetros!$D$39:$D$43,MATCH(P293,Parâmetros!$A$39:$A$43,0))</f>
        <v>Cadência leve, foco em qualificar</v>
      </c>
    </row>
    <row r="294" customFormat="false" ht="15" hidden="false" customHeight="false" outlineLevel="0" collapsed="false">
      <c r="A294" s="10" t="s">
        <v>517</v>
      </c>
      <c r="B294" s="10" t="s">
        <v>77</v>
      </c>
      <c r="C294" s="10" t="s">
        <v>78</v>
      </c>
      <c r="D294" s="10" t="s">
        <v>196</v>
      </c>
      <c r="E294" s="10" t="s">
        <v>48</v>
      </c>
      <c r="F294" s="10" t="s">
        <v>185</v>
      </c>
      <c r="G294" s="10" t="s">
        <v>425</v>
      </c>
      <c r="H294" s="10"/>
      <c r="I294" s="8" t="n">
        <f aca="false">INDEX(Parâmetros!$C$13:$C$19,MATCH(E294,Parâmetros!$A$13:$A$19,0))</f>
        <v>4821</v>
      </c>
      <c r="J294" s="26" t="str">
        <f aca="false">IF(H294="","",Parâmetros!$B$5-H294)</f>
        <v/>
      </c>
      <c r="K294" s="10" t="n">
        <f aca="false">INDEX(Parâmetros!$D$13:$D$19,MATCH(E294,Parâmetros!$A$13:$A$19,0))</f>
        <v>43</v>
      </c>
      <c r="L294" s="26" t="n">
        <f aca="false">IF(G294="Prospecting",Parâmetros!$B$9,IF(J294&gt;Parâmetros!$B$6,0,INDEX(Parâmetros!$C$24:$C$26,MATCH(J294,Parâmetros!$A$24:$A$26,1))))</f>
        <v>10</v>
      </c>
      <c r="M294" s="31" t="n">
        <f aca="false">IF(G294="Prospecting",1,INDEX(Parâmetros!$C$32:$C$35,MATCH(J294,Parâmetros!$A$32:$A$35,1)))</f>
        <v>1</v>
      </c>
      <c r="N294" s="2" t="n">
        <f aca="false">ROUND((K294+L294)*M294,0)</f>
        <v>53</v>
      </c>
      <c r="O294" s="10" t="str">
        <f aca="false">IF(AND(G294="Engaging",J294&gt;Parâmetros!$B$6),"Sim","Não")</f>
        <v>Não</v>
      </c>
      <c r="P294" s="32" t="str">
        <f aca="false">IF(O294="Sim","R",IF(N294&gt;=Parâmetros!$B$39,"A",IF(N294&gt;=Parâmetros!$B$40,"B",IF(N294&gt;=Parâmetros!$B$41,"C","D"))))</f>
        <v>C</v>
      </c>
      <c r="Q294" s="10" t="str">
        <f aca="false">IF(F294="","Completar cadastro","")</f>
        <v/>
      </c>
      <c r="R294" s="10" t="str">
        <f aca="false">INDEX(Parâmetros!$D$39:$D$43,MATCH(P294,Parâmetros!$A$39:$A$43,0))</f>
        <v>Cadência leve, foco em qualificar</v>
      </c>
    </row>
    <row r="295" customFormat="false" ht="15" hidden="false" customHeight="false" outlineLevel="0" collapsed="false">
      <c r="A295" s="10" t="s">
        <v>518</v>
      </c>
      <c r="B295" s="10" t="s">
        <v>77</v>
      </c>
      <c r="C295" s="10" t="s">
        <v>78</v>
      </c>
      <c r="D295" s="10" t="s">
        <v>196</v>
      </c>
      <c r="E295" s="10" t="s">
        <v>48</v>
      </c>
      <c r="F295" s="10" t="s">
        <v>291</v>
      </c>
      <c r="G295" s="10" t="s">
        <v>425</v>
      </c>
      <c r="H295" s="10"/>
      <c r="I295" s="8" t="n">
        <f aca="false">INDEX(Parâmetros!$C$13:$C$19,MATCH(E295,Parâmetros!$A$13:$A$19,0))</f>
        <v>4821</v>
      </c>
      <c r="J295" s="26" t="str">
        <f aca="false">IF(H295="","",Parâmetros!$B$5-H295)</f>
        <v/>
      </c>
      <c r="K295" s="10" t="n">
        <f aca="false">INDEX(Parâmetros!$D$13:$D$19,MATCH(E295,Parâmetros!$A$13:$A$19,0))</f>
        <v>43</v>
      </c>
      <c r="L295" s="26" t="n">
        <f aca="false">IF(G295="Prospecting",Parâmetros!$B$9,IF(J295&gt;Parâmetros!$B$6,0,INDEX(Parâmetros!$C$24:$C$26,MATCH(J295,Parâmetros!$A$24:$A$26,1))))</f>
        <v>10</v>
      </c>
      <c r="M295" s="31" t="n">
        <f aca="false">IF(G295="Prospecting",1,INDEX(Parâmetros!$C$32:$C$35,MATCH(J295,Parâmetros!$A$32:$A$35,1)))</f>
        <v>1</v>
      </c>
      <c r="N295" s="2" t="n">
        <f aca="false">ROUND((K295+L295)*M295,0)</f>
        <v>53</v>
      </c>
      <c r="O295" s="10" t="str">
        <f aca="false">IF(AND(G295="Engaging",J295&gt;Parâmetros!$B$6),"Sim","Não")</f>
        <v>Não</v>
      </c>
      <c r="P295" s="32" t="str">
        <f aca="false">IF(O295="Sim","R",IF(N295&gt;=Parâmetros!$B$39,"A",IF(N295&gt;=Parâmetros!$B$40,"B",IF(N295&gt;=Parâmetros!$B$41,"C","D"))))</f>
        <v>C</v>
      </c>
      <c r="Q295" s="10" t="str">
        <f aca="false">IF(F295="","Completar cadastro","")</f>
        <v/>
      </c>
      <c r="R295" s="10" t="str">
        <f aca="false">INDEX(Parâmetros!$D$39:$D$43,MATCH(P295,Parâmetros!$A$39:$A$43,0))</f>
        <v>Cadência leve, foco em qualificar</v>
      </c>
    </row>
    <row r="296" customFormat="false" ht="15" hidden="false" customHeight="false" outlineLevel="0" collapsed="false">
      <c r="A296" s="10" t="s">
        <v>519</v>
      </c>
      <c r="B296" s="10" t="s">
        <v>77</v>
      </c>
      <c r="C296" s="10" t="s">
        <v>78</v>
      </c>
      <c r="D296" s="10" t="s">
        <v>196</v>
      </c>
      <c r="E296" s="10" t="s">
        <v>48</v>
      </c>
      <c r="F296" s="10" t="s">
        <v>247</v>
      </c>
      <c r="G296" s="10" t="s">
        <v>425</v>
      </c>
      <c r="H296" s="10"/>
      <c r="I296" s="8" t="n">
        <f aca="false">INDEX(Parâmetros!$C$13:$C$19,MATCH(E296,Parâmetros!$A$13:$A$19,0))</f>
        <v>4821</v>
      </c>
      <c r="J296" s="26" t="str">
        <f aca="false">IF(H296="","",Parâmetros!$B$5-H296)</f>
        <v/>
      </c>
      <c r="K296" s="10" t="n">
        <f aca="false">INDEX(Parâmetros!$D$13:$D$19,MATCH(E296,Parâmetros!$A$13:$A$19,0))</f>
        <v>43</v>
      </c>
      <c r="L296" s="26" t="n">
        <f aca="false">IF(G296="Prospecting",Parâmetros!$B$9,IF(J296&gt;Parâmetros!$B$6,0,INDEX(Parâmetros!$C$24:$C$26,MATCH(J296,Parâmetros!$A$24:$A$26,1))))</f>
        <v>10</v>
      </c>
      <c r="M296" s="31" t="n">
        <f aca="false">IF(G296="Prospecting",1,INDEX(Parâmetros!$C$32:$C$35,MATCH(J296,Parâmetros!$A$32:$A$35,1)))</f>
        <v>1</v>
      </c>
      <c r="N296" s="2" t="n">
        <f aca="false">ROUND((K296+L296)*M296,0)</f>
        <v>53</v>
      </c>
      <c r="O296" s="10" t="str">
        <f aca="false">IF(AND(G296="Engaging",J296&gt;Parâmetros!$B$6),"Sim","Não")</f>
        <v>Não</v>
      </c>
      <c r="P296" s="32" t="str">
        <f aca="false">IF(O296="Sim","R",IF(N296&gt;=Parâmetros!$B$39,"A",IF(N296&gt;=Parâmetros!$B$40,"B",IF(N296&gt;=Parâmetros!$B$41,"C","D"))))</f>
        <v>C</v>
      </c>
      <c r="Q296" s="10" t="str">
        <f aca="false">IF(F296="","Completar cadastro","")</f>
        <v/>
      </c>
      <c r="R296" s="10" t="str">
        <f aca="false">INDEX(Parâmetros!$D$39:$D$43,MATCH(P296,Parâmetros!$A$39:$A$43,0))</f>
        <v>Cadência leve, foco em qualificar</v>
      </c>
    </row>
    <row r="297" customFormat="false" ht="15" hidden="false" customHeight="false" outlineLevel="0" collapsed="false">
      <c r="A297" s="10" t="s">
        <v>520</v>
      </c>
      <c r="B297" s="10" t="s">
        <v>77</v>
      </c>
      <c r="C297" s="10" t="s">
        <v>78</v>
      </c>
      <c r="D297" s="10" t="s">
        <v>196</v>
      </c>
      <c r="E297" s="10" t="s">
        <v>48</v>
      </c>
      <c r="F297" s="10" t="s">
        <v>215</v>
      </c>
      <c r="G297" s="10" t="s">
        <v>425</v>
      </c>
      <c r="H297" s="10"/>
      <c r="I297" s="8" t="n">
        <f aca="false">INDEX(Parâmetros!$C$13:$C$19,MATCH(E297,Parâmetros!$A$13:$A$19,0))</f>
        <v>4821</v>
      </c>
      <c r="J297" s="26" t="str">
        <f aca="false">IF(H297="","",Parâmetros!$B$5-H297)</f>
        <v/>
      </c>
      <c r="K297" s="10" t="n">
        <f aca="false">INDEX(Parâmetros!$D$13:$D$19,MATCH(E297,Parâmetros!$A$13:$A$19,0))</f>
        <v>43</v>
      </c>
      <c r="L297" s="26" t="n">
        <f aca="false">IF(G297="Prospecting",Parâmetros!$B$9,IF(J297&gt;Parâmetros!$B$6,0,INDEX(Parâmetros!$C$24:$C$26,MATCH(J297,Parâmetros!$A$24:$A$26,1))))</f>
        <v>10</v>
      </c>
      <c r="M297" s="31" t="n">
        <f aca="false">IF(G297="Prospecting",1,INDEX(Parâmetros!$C$32:$C$35,MATCH(J297,Parâmetros!$A$32:$A$35,1)))</f>
        <v>1</v>
      </c>
      <c r="N297" s="2" t="n">
        <f aca="false">ROUND((K297+L297)*M297,0)</f>
        <v>53</v>
      </c>
      <c r="O297" s="10" t="str">
        <f aca="false">IF(AND(G297="Engaging",J297&gt;Parâmetros!$B$6),"Sim","Não")</f>
        <v>Não</v>
      </c>
      <c r="P297" s="32" t="str">
        <f aca="false">IF(O297="Sim","R",IF(N297&gt;=Parâmetros!$B$39,"A",IF(N297&gt;=Parâmetros!$B$40,"B",IF(N297&gt;=Parâmetros!$B$41,"C","D"))))</f>
        <v>C</v>
      </c>
      <c r="Q297" s="10" t="str">
        <f aca="false">IF(F297="","Completar cadastro","")</f>
        <v/>
      </c>
      <c r="R297" s="10" t="str">
        <f aca="false">INDEX(Parâmetros!$D$39:$D$43,MATCH(P297,Parâmetros!$A$39:$A$43,0))</f>
        <v>Cadência leve, foco em qualificar</v>
      </c>
    </row>
    <row r="298" customFormat="false" ht="15" hidden="false" customHeight="false" outlineLevel="0" collapsed="false">
      <c r="A298" s="10" t="s">
        <v>521</v>
      </c>
      <c r="B298" s="10" t="s">
        <v>77</v>
      </c>
      <c r="C298" s="10" t="s">
        <v>78</v>
      </c>
      <c r="D298" s="10" t="s">
        <v>196</v>
      </c>
      <c r="E298" s="10" t="s">
        <v>48</v>
      </c>
      <c r="F298" s="10" t="s">
        <v>522</v>
      </c>
      <c r="G298" s="10" t="s">
        <v>425</v>
      </c>
      <c r="H298" s="10"/>
      <c r="I298" s="8" t="n">
        <f aca="false">INDEX(Parâmetros!$C$13:$C$19,MATCH(E298,Parâmetros!$A$13:$A$19,0))</f>
        <v>4821</v>
      </c>
      <c r="J298" s="26" t="str">
        <f aca="false">IF(H298="","",Parâmetros!$B$5-H298)</f>
        <v/>
      </c>
      <c r="K298" s="10" t="n">
        <f aca="false">INDEX(Parâmetros!$D$13:$D$19,MATCH(E298,Parâmetros!$A$13:$A$19,0))</f>
        <v>43</v>
      </c>
      <c r="L298" s="26" t="n">
        <f aca="false">IF(G298="Prospecting",Parâmetros!$B$9,IF(J298&gt;Parâmetros!$B$6,0,INDEX(Parâmetros!$C$24:$C$26,MATCH(J298,Parâmetros!$A$24:$A$26,1))))</f>
        <v>10</v>
      </c>
      <c r="M298" s="31" t="n">
        <f aca="false">IF(G298="Prospecting",1,INDEX(Parâmetros!$C$32:$C$35,MATCH(J298,Parâmetros!$A$32:$A$35,1)))</f>
        <v>1</v>
      </c>
      <c r="N298" s="2" t="n">
        <f aca="false">ROUND((K298+L298)*M298,0)</f>
        <v>53</v>
      </c>
      <c r="O298" s="10" t="str">
        <f aca="false">IF(AND(G298="Engaging",J298&gt;Parâmetros!$B$6),"Sim","Não")</f>
        <v>Não</v>
      </c>
      <c r="P298" s="32" t="str">
        <f aca="false">IF(O298="Sim","R",IF(N298&gt;=Parâmetros!$B$39,"A",IF(N298&gt;=Parâmetros!$B$40,"B",IF(N298&gt;=Parâmetros!$B$41,"C","D"))))</f>
        <v>C</v>
      </c>
      <c r="Q298" s="10" t="str">
        <f aca="false">IF(F298="","Completar cadastro","")</f>
        <v/>
      </c>
      <c r="R298" s="10" t="str">
        <f aca="false">INDEX(Parâmetros!$D$39:$D$43,MATCH(P298,Parâmetros!$A$39:$A$43,0))</f>
        <v>Cadência leve, foco em qualificar</v>
      </c>
    </row>
    <row r="299" customFormat="false" ht="15" hidden="false" customHeight="false" outlineLevel="0" collapsed="false">
      <c r="A299" s="10" t="s">
        <v>523</v>
      </c>
      <c r="B299" s="10" t="s">
        <v>77</v>
      </c>
      <c r="C299" s="10" t="s">
        <v>78</v>
      </c>
      <c r="D299" s="10" t="s">
        <v>196</v>
      </c>
      <c r="E299" s="10" t="s">
        <v>48</v>
      </c>
      <c r="F299" s="10" t="s">
        <v>524</v>
      </c>
      <c r="G299" s="10" t="s">
        <v>425</v>
      </c>
      <c r="H299" s="10"/>
      <c r="I299" s="8" t="n">
        <f aca="false">INDEX(Parâmetros!$C$13:$C$19,MATCH(E299,Parâmetros!$A$13:$A$19,0))</f>
        <v>4821</v>
      </c>
      <c r="J299" s="26" t="str">
        <f aca="false">IF(H299="","",Parâmetros!$B$5-H299)</f>
        <v/>
      </c>
      <c r="K299" s="10" t="n">
        <f aca="false">INDEX(Parâmetros!$D$13:$D$19,MATCH(E299,Parâmetros!$A$13:$A$19,0))</f>
        <v>43</v>
      </c>
      <c r="L299" s="26" t="n">
        <f aca="false">IF(G299="Prospecting",Parâmetros!$B$9,IF(J299&gt;Parâmetros!$B$6,0,INDEX(Parâmetros!$C$24:$C$26,MATCH(J299,Parâmetros!$A$24:$A$26,1))))</f>
        <v>10</v>
      </c>
      <c r="M299" s="31" t="n">
        <f aca="false">IF(G299="Prospecting",1,INDEX(Parâmetros!$C$32:$C$35,MATCH(J299,Parâmetros!$A$32:$A$35,1)))</f>
        <v>1</v>
      </c>
      <c r="N299" s="2" t="n">
        <f aca="false">ROUND((K299+L299)*M299,0)</f>
        <v>53</v>
      </c>
      <c r="O299" s="10" t="str">
        <f aca="false">IF(AND(G299="Engaging",J299&gt;Parâmetros!$B$6),"Sim","Não")</f>
        <v>Não</v>
      </c>
      <c r="P299" s="32" t="str">
        <f aca="false">IF(O299="Sim","R",IF(N299&gt;=Parâmetros!$B$39,"A",IF(N299&gt;=Parâmetros!$B$40,"B",IF(N299&gt;=Parâmetros!$B$41,"C","D"))))</f>
        <v>C</v>
      </c>
      <c r="Q299" s="10" t="str">
        <f aca="false">IF(F299="","Completar cadastro","")</f>
        <v/>
      </c>
      <c r="R299" s="10" t="str">
        <f aca="false">INDEX(Parâmetros!$D$39:$D$43,MATCH(P299,Parâmetros!$A$39:$A$43,0))</f>
        <v>Cadência leve, foco em qualificar</v>
      </c>
    </row>
    <row r="300" customFormat="false" ht="15" hidden="false" customHeight="false" outlineLevel="0" collapsed="false">
      <c r="A300" s="10" t="s">
        <v>525</v>
      </c>
      <c r="B300" s="10" t="s">
        <v>77</v>
      </c>
      <c r="C300" s="10" t="s">
        <v>78</v>
      </c>
      <c r="D300" s="10" t="s">
        <v>196</v>
      </c>
      <c r="E300" s="10" t="s">
        <v>48</v>
      </c>
      <c r="F300" s="10" t="s">
        <v>524</v>
      </c>
      <c r="G300" s="10" t="s">
        <v>425</v>
      </c>
      <c r="H300" s="10"/>
      <c r="I300" s="8" t="n">
        <f aca="false">INDEX(Parâmetros!$C$13:$C$19,MATCH(E300,Parâmetros!$A$13:$A$19,0))</f>
        <v>4821</v>
      </c>
      <c r="J300" s="26" t="str">
        <f aca="false">IF(H300="","",Parâmetros!$B$5-H300)</f>
        <v/>
      </c>
      <c r="K300" s="10" t="n">
        <f aca="false">INDEX(Parâmetros!$D$13:$D$19,MATCH(E300,Parâmetros!$A$13:$A$19,0))</f>
        <v>43</v>
      </c>
      <c r="L300" s="26" t="n">
        <f aca="false">IF(G300="Prospecting",Parâmetros!$B$9,IF(J300&gt;Parâmetros!$B$6,0,INDEX(Parâmetros!$C$24:$C$26,MATCH(J300,Parâmetros!$A$24:$A$26,1))))</f>
        <v>10</v>
      </c>
      <c r="M300" s="31" t="n">
        <f aca="false">IF(G300="Prospecting",1,INDEX(Parâmetros!$C$32:$C$35,MATCH(J300,Parâmetros!$A$32:$A$35,1)))</f>
        <v>1</v>
      </c>
      <c r="N300" s="2" t="n">
        <f aca="false">ROUND((K300+L300)*M300,0)</f>
        <v>53</v>
      </c>
      <c r="O300" s="10" t="str">
        <f aca="false">IF(AND(G300="Engaging",J300&gt;Parâmetros!$B$6),"Sim","Não")</f>
        <v>Não</v>
      </c>
      <c r="P300" s="32" t="str">
        <f aca="false">IF(O300="Sim","R",IF(N300&gt;=Parâmetros!$B$39,"A",IF(N300&gt;=Parâmetros!$B$40,"B",IF(N300&gt;=Parâmetros!$B$41,"C","D"))))</f>
        <v>C</v>
      </c>
      <c r="Q300" s="10" t="str">
        <f aca="false">IF(F300="","Completar cadastro","")</f>
        <v/>
      </c>
      <c r="R300" s="10" t="str">
        <f aca="false">INDEX(Parâmetros!$D$39:$D$43,MATCH(P300,Parâmetros!$A$39:$A$43,0))</f>
        <v>Cadência leve, foco em qualificar</v>
      </c>
    </row>
    <row r="301" customFormat="false" ht="15" hidden="false" customHeight="false" outlineLevel="0" collapsed="false">
      <c r="A301" s="10" t="s">
        <v>526</v>
      </c>
      <c r="B301" s="10" t="s">
        <v>77</v>
      </c>
      <c r="C301" s="10" t="s">
        <v>78</v>
      </c>
      <c r="D301" s="10" t="s">
        <v>196</v>
      </c>
      <c r="E301" s="10" t="s">
        <v>48</v>
      </c>
      <c r="F301" s="10" t="s">
        <v>527</v>
      </c>
      <c r="G301" s="10" t="s">
        <v>425</v>
      </c>
      <c r="H301" s="10"/>
      <c r="I301" s="8" t="n">
        <f aca="false">INDEX(Parâmetros!$C$13:$C$19,MATCH(E301,Parâmetros!$A$13:$A$19,0))</f>
        <v>4821</v>
      </c>
      <c r="J301" s="26" t="str">
        <f aca="false">IF(H301="","",Parâmetros!$B$5-H301)</f>
        <v/>
      </c>
      <c r="K301" s="10" t="n">
        <f aca="false">INDEX(Parâmetros!$D$13:$D$19,MATCH(E301,Parâmetros!$A$13:$A$19,0))</f>
        <v>43</v>
      </c>
      <c r="L301" s="26" t="n">
        <f aca="false">IF(G301="Prospecting",Parâmetros!$B$9,IF(J301&gt;Parâmetros!$B$6,0,INDEX(Parâmetros!$C$24:$C$26,MATCH(J301,Parâmetros!$A$24:$A$26,1))))</f>
        <v>10</v>
      </c>
      <c r="M301" s="31" t="n">
        <f aca="false">IF(G301="Prospecting",1,INDEX(Parâmetros!$C$32:$C$35,MATCH(J301,Parâmetros!$A$32:$A$35,1)))</f>
        <v>1</v>
      </c>
      <c r="N301" s="2" t="n">
        <f aca="false">ROUND((K301+L301)*M301,0)</f>
        <v>53</v>
      </c>
      <c r="O301" s="10" t="str">
        <f aca="false">IF(AND(G301="Engaging",J301&gt;Parâmetros!$B$6),"Sim","Não")</f>
        <v>Não</v>
      </c>
      <c r="P301" s="32" t="str">
        <f aca="false">IF(O301="Sim","R",IF(N301&gt;=Parâmetros!$B$39,"A",IF(N301&gt;=Parâmetros!$B$40,"B",IF(N301&gt;=Parâmetros!$B$41,"C","D"))))</f>
        <v>C</v>
      </c>
      <c r="Q301" s="10" t="str">
        <f aca="false">IF(F301="","Completar cadastro","")</f>
        <v/>
      </c>
      <c r="R301" s="10" t="str">
        <f aca="false">INDEX(Parâmetros!$D$39:$D$43,MATCH(P301,Parâmetros!$A$39:$A$43,0))</f>
        <v>Cadência leve, foco em qualificar</v>
      </c>
    </row>
    <row r="302" customFormat="false" ht="15" hidden="false" customHeight="false" outlineLevel="0" collapsed="false">
      <c r="A302" s="10" t="s">
        <v>528</v>
      </c>
      <c r="B302" s="10" t="s">
        <v>77</v>
      </c>
      <c r="C302" s="10" t="s">
        <v>78</v>
      </c>
      <c r="D302" s="10" t="s">
        <v>196</v>
      </c>
      <c r="E302" s="10" t="s">
        <v>48</v>
      </c>
      <c r="F302" s="10" t="s">
        <v>527</v>
      </c>
      <c r="G302" s="10" t="s">
        <v>425</v>
      </c>
      <c r="H302" s="10"/>
      <c r="I302" s="8" t="n">
        <f aca="false">INDEX(Parâmetros!$C$13:$C$19,MATCH(E302,Parâmetros!$A$13:$A$19,0))</f>
        <v>4821</v>
      </c>
      <c r="J302" s="26" t="str">
        <f aca="false">IF(H302="","",Parâmetros!$B$5-H302)</f>
        <v/>
      </c>
      <c r="K302" s="10" t="n">
        <f aca="false">INDEX(Parâmetros!$D$13:$D$19,MATCH(E302,Parâmetros!$A$13:$A$19,0))</f>
        <v>43</v>
      </c>
      <c r="L302" s="26" t="n">
        <f aca="false">IF(G302="Prospecting",Parâmetros!$B$9,IF(J302&gt;Parâmetros!$B$6,0,INDEX(Parâmetros!$C$24:$C$26,MATCH(J302,Parâmetros!$A$24:$A$26,1))))</f>
        <v>10</v>
      </c>
      <c r="M302" s="31" t="n">
        <f aca="false">IF(G302="Prospecting",1,INDEX(Parâmetros!$C$32:$C$35,MATCH(J302,Parâmetros!$A$32:$A$35,1)))</f>
        <v>1</v>
      </c>
      <c r="N302" s="2" t="n">
        <f aca="false">ROUND((K302+L302)*M302,0)</f>
        <v>53</v>
      </c>
      <c r="O302" s="10" t="str">
        <f aca="false">IF(AND(G302="Engaging",J302&gt;Parâmetros!$B$6),"Sim","Não")</f>
        <v>Não</v>
      </c>
      <c r="P302" s="32" t="str">
        <f aca="false">IF(O302="Sim","R",IF(N302&gt;=Parâmetros!$B$39,"A",IF(N302&gt;=Parâmetros!$B$40,"B",IF(N302&gt;=Parâmetros!$B$41,"C","D"))))</f>
        <v>C</v>
      </c>
      <c r="Q302" s="10" t="str">
        <f aca="false">IF(F302="","Completar cadastro","")</f>
        <v/>
      </c>
      <c r="R302" s="10" t="str">
        <f aca="false">INDEX(Parâmetros!$D$39:$D$43,MATCH(P302,Parâmetros!$A$39:$A$43,0))</f>
        <v>Cadência leve, foco em qualificar</v>
      </c>
    </row>
    <row r="303" customFormat="false" ht="15" hidden="false" customHeight="false" outlineLevel="0" collapsed="false">
      <c r="A303" s="10" t="s">
        <v>529</v>
      </c>
      <c r="B303" s="10" t="s">
        <v>77</v>
      </c>
      <c r="C303" s="10" t="s">
        <v>78</v>
      </c>
      <c r="D303" s="10" t="s">
        <v>196</v>
      </c>
      <c r="E303" s="10" t="s">
        <v>48</v>
      </c>
      <c r="F303" s="10" t="s">
        <v>414</v>
      </c>
      <c r="G303" s="10" t="s">
        <v>425</v>
      </c>
      <c r="H303" s="10"/>
      <c r="I303" s="8" t="n">
        <f aca="false">INDEX(Parâmetros!$C$13:$C$19,MATCH(E303,Parâmetros!$A$13:$A$19,0))</f>
        <v>4821</v>
      </c>
      <c r="J303" s="26" t="str">
        <f aca="false">IF(H303="","",Parâmetros!$B$5-H303)</f>
        <v/>
      </c>
      <c r="K303" s="10" t="n">
        <f aca="false">INDEX(Parâmetros!$D$13:$D$19,MATCH(E303,Parâmetros!$A$13:$A$19,0))</f>
        <v>43</v>
      </c>
      <c r="L303" s="26" t="n">
        <f aca="false">IF(G303="Prospecting",Parâmetros!$B$9,IF(J303&gt;Parâmetros!$B$6,0,INDEX(Parâmetros!$C$24:$C$26,MATCH(J303,Parâmetros!$A$24:$A$26,1))))</f>
        <v>10</v>
      </c>
      <c r="M303" s="31" t="n">
        <f aca="false">IF(G303="Prospecting",1,INDEX(Parâmetros!$C$32:$C$35,MATCH(J303,Parâmetros!$A$32:$A$35,1)))</f>
        <v>1</v>
      </c>
      <c r="N303" s="2" t="n">
        <f aca="false">ROUND((K303+L303)*M303,0)</f>
        <v>53</v>
      </c>
      <c r="O303" s="10" t="str">
        <f aca="false">IF(AND(G303="Engaging",J303&gt;Parâmetros!$B$6),"Sim","Não")</f>
        <v>Não</v>
      </c>
      <c r="P303" s="32" t="str">
        <f aca="false">IF(O303="Sim","R",IF(N303&gt;=Parâmetros!$B$39,"A",IF(N303&gt;=Parâmetros!$B$40,"B",IF(N303&gt;=Parâmetros!$B$41,"C","D"))))</f>
        <v>C</v>
      </c>
      <c r="Q303" s="10" t="str">
        <f aca="false">IF(F303="","Completar cadastro","")</f>
        <v/>
      </c>
      <c r="R303" s="10" t="str">
        <f aca="false">INDEX(Parâmetros!$D$39:$D$43,MATCH(P303,Parâmetros!$A$39:$A$43,0))</f>
        <v>Cadência leve, foco em qualificar</v>
      </c>
    </row>
    <row r="304" customFormat="false" ht="15" hidden="false" customHeight="false" outlineLevel="0" collapsed="false">
      <c r="A304" s="10" t="s">
        <v>530</v>
      </c>
      <c r="B304" s="10" t="s">
        <v>77</v>
      </c>
      <c r="C304" s="10" t="s">
        <v>78</v>
      </c>
      <c r="D304" s="10" t="s">
        <v>196</v>
      </c>
      <c r="E304" s="10" t="s">
        <v>48</v>
      </c>
      <c r="F304" s="10" t="s">
        <v>350</v>
      </c>
      <c r="G304" s="10" t="s">
        <v>425</v>
      </c>
      <c r="H304" s="10"/>
      <c r="I304" s="8" t="n">
        <f aca="false">INDEX(Parâmetros!$C$13:$C$19,MATCH(E304,Parâmetros!$A$13:$A$19,0))</f>
        <v>4821</v>
      </c>
      <c r="J304" s="26" t="str">
        <f aca="false">IF(H304="","",Parâmetros!$B$5-H304)</f>
        <v/>
      </c>
      <c r="K304" s="10" t="n">
        <f aca="false">INDEX(Parâmetros!$D$13:$D$19,MATCH(E304,Parâmetros!$A$13:$A$19,0))</f>
        <v>43</v>
      </c>
      <c r="L304" s="26" t="n">
        <f aca="false">IF(G304="Prospecting",Parâmetros!$B$9,IF(J304&gt;Parâmetros!$B$6,0,INDEX(Parâmetros!$C$24:$C$26,MATCH(J304,Parâmetros!$A$24:$A$26,1))))</f>
        <v>10</v>
      </c>
      <c r="M304" s="31" t="n">
        <f aca="false">IF(G304="Prospecting",1,INDEX(Parâmetros!$C$32:$C$35,MATCH(J304,Parâmetros!$A$32:$A$35,1)))</f>
        <v>1</v>
      </c>
      <c r="N304" s="2" t="n">
        <f aca="false">ROUND((K304+L304)*M304,0)</f>
        <v>53</v>
      </c>
      <c r="O304" s="10" t="str">
        <f aca="false">IF(AND(G304="Engaging",J304&gt;Parâmetros!$B$6),"Sim","Não")</f>
        <v>Não</v>
      </c>
      <c r="P304" s="32" t="str">
        <f aca="false">IF(O304="Sim","R",IF(N304&gt;=Parâmetros!$B$39,"A",IF(N304&gt;=Parâmetros!$B$40,"B",IF(N304&gt;=Parâmetros!$B$41,"C","D"))))</f>
        <v>C</v>
      </c>
      <c r="Q304" s="10" t="str">
        <f aca="false">IF(F304="","Completar cadastro","")</f>
        <v/>
      </c>
      <c r="R304" s="10" t="str">
        <f aca="false">INDEX(Parâmetros!$D$39:$D$43,MATCH(P304,Parâmetros!$A$39:$A$43,0))</f>
        <v>Cadência leve, foco em qualificar</v>
      </c>
    </row>
    <row r="305" customFormat="false" ht="15" hidden="false" customHeight="false" outlineLevel="0" collapsed="false">
      <c r="A305" s="10" t="s">
        <v>531</v>
      </c>
      <c r="B305" s="10" t="s">
        <v>77</v>
      </c>
      <c r="C305" s="10" t="s">
        <v>78</v>
      </c>
      <c r="D305" s="10" t="s">
        <v>196</v>
      </c>
      <c r="E305" s="10" t="s">
        <v>48</v>
      </c>
      <c r="F305" s="10" t="s">
        <v>532</v>
      </c>
      <c r="G305" s="10" t="s">
        <v>425</v>
      </c>
      <c r="H305" s="10"/>
      <c r="I305" s="8" t="n">
        <f aca="false">INDEX(Parâmetros!$C$13:$C$19,MATCH(E305,Parâmetros!$A$13:$A$19,0))</f>
        <v>4821</v>
      </c>
      <c r="J305" s="26" t="str">
        <f aca="false">IF(H305="","",Parâmetros!$B$5-H305)</f>
        <v/>
      </c>
      <c r="K305" s="10" t="n">
        <f aca="false">INDEX(Parâmetros!$D$13:$D$19,MATCH(E305,Parâmetros!$A$13:$A$19,0))</f>
        <v>43</v>
      </c>
      <c r="L305" s="26" t="n">
        <f aca="false">IF(G305="Prospecting",Parâmetros!$B$9,IF(J305&gt;Parâmetros!$B$6,0,INDEX(Parâmetros!$C$24:$C$26,MATCH(J305,Parâmetros!$A$24:$A$26,1))))</f>
        <v>10</v>
      </c>
      <c r="M305" s="31" t="n">
        <f aca="false">IF(G305="Prospecting",1,INDEX(Parâmetros!$C$32:$C$35,MATCH(J305,Parâmetros!$A$32:$A$35,1)))</f>
        <v>1</v>
      </c>
      <c r="N305" s="2" t="n">
        <f aca="false">ROUND((K305+L305)*M305,0)</f>
        <v>53</v>
      </c>
      <c r="O305" s="10" t="str">
        <f aca="false">IF(AND(G305="Engaging",J305&gt;Parâmetros!$B$6),"Sim","Não")</f>
        <v>Não</v>
      </c>
      <c r="P305" s="32" t="str">
        <f aca="false">IF(O305="Sim","R",IF(N305&gt;=Parâmetros!$B$39,"A",IF(N305&gt;=Parâmetros!$B$40,"B",IF(N305&gt;=Parâmetros!$B$41,"C","D"))))</f>
        <v>C</v>
      </c>
      <c r="Q305" s="10" t="str">
        <f aca="false">IF(F305="","Completar cadastro","")</f>
        <v/>
      </c>
      <c r="R305" s="10" t="str">
        <f aca="false">INDEX(Parâmetros!$D$39:$D$43,MATCH(P305,Parâmetros!$A$39:$A$43,0))</f>
        <v>Cadência leve, foco em qualificar</v>
      </c>
    </row>
    <row r="306" customFormat="false" ht="15" hidden="false" customHeight="false" outlineLevel="0" collapsed="false">
      <c r="A306" s="10" t="s">
        <v>533</v>
      </c>
      <c r="B306" s="10" t="s">
        <v>77</v>
      </c>
      <c r="C306" s="10" t="s">
        <v>78</v>
      </c>
      <c r="D306" s="10" t="s">
        <v>196</v>
      </c>
      <c r="E306" s="10" t="s">
        <v>48</v>
      </c>
      <c r="F306" s="10" t="s">
        <v>441</v>
      </c>
      <c r="G306" s="10" t="s">
        <v>425</v>
      </c>
      <c r="H306" s="10"/>
      <c r="I306" s="8" t="n">
        <f aca="false">INDEX(Parâmetros!$C$13:$C$19,MATCH(E306,Parâmetros!$A$13:$A$19,0))</f>
        <v>4821</v>
      </c>
      <c r="J306" s="26" t="str">
        <f aca="false">IF(H306="","",Parâmetros!$B$5-H306)</f>
        <v/>
      </c>
      <c r="K306" s="10" t="n">
        <f aca="false">INDEX(Parâmetros!$D$13:$D$19,MATCH(E306,Parâmetros!$A$13:$A$19,0))</f>
        <v>43</v>
      </c>
      <c r="L306" s="26" t="n">
        <f aca="false">IF(G306="Prospecting",Parâmetros!$B$9,IF(J306&gt;Parâmetros!$B$6,0,INDEX(Parâmetros!$C$24:$C$26,MATCH(J306,Parâmetros!$A$24:$A$26,1))))</f>
        <v>10</v>
      </c>
      <c r="M306" s="31" t="n">
        <f aca="false">IF(G306="Prospecting",1,INDEX(Parâmetros!$C$32:$C$35,MATCH(J306,Parâmetros!$A$32:$A$35,1)))</f>
        <v>1</v>
      </c>
      <c r="N306" s="2" t="n">
        <f aca="false">ROUND((K306+L306)*M306,0)</f>
        <v>53</v>
      </c>
      <c r="O306" s="10" t="str">
        <f aca="false">IF(AND(G306="Engaging",J306&gt;Parâmetros!$B$6),"Sim","Não")</f>
        <v>Não</v>
      </c>
      <c r="P306" s="32" t="str">
        <f aca="false">IF(O306="Sim","R",IF(N306&gt;=Parâmetros!$B$39,"A",IF(N306&gt;=Parâmetros!$B$40,"B",IF(N306&gt;=Parâmetros!$B$41,"C","D"))))</f>
        <v>C</v>
      </c>
      <c r="Q306" s="10" t="str">
        <f aca="false">IF(F306="","Completar cadastro","")</f>
        <v/>
      </c>
      <c r="R306" s="10" t="str">
        <f aca="false">INDEX(Parâmetros!$D$39:$D$43,MATCH(P306,Parâmetros!$A$39:$A$43,0))</f>
        <v>Cadência leve, foco em qualificar</v>
      </c>
    </row>
    <row r="307" customFormat="false" ht="15" hidden="false" customHeight="false" outlineLevel="0" collapsed="false">
      <c r="A307" s="10" t="s">
        <v>534</v>
      </c>
      <c r="B307" s="10" t="s">
        <v>77</v>
      </c>
      <c r="C307" s="10" t="s">
        <v>78</v>
      </c>
      <c r="D307" s="10" t="s">
        <v>196</v>
      </c>
      <c r="E307" s="10" t="s">
        <v>48</v>
      </c>
      <c r="F307" s="10" t="s">
        <v>293</v>
      </c>
      <c r="G307" s="10" t="s">
        <v>425</v>
      </c>
      <c r="H307" s="10"/>
      <c r="I307" s="8" t="n">
        <f aca="false">INDEX(Parâmetros!$C$13:$C$19,MATCH(E307,Parâmetros!$A$13:$A$19,0))</f>
        <v>4821</v>
      </c>
      <c r="J307" s="26" t="str">
        <f aca="false">IF(H307="","",Parâmetros!$B$5-H307)</f>
        <v/>
      </c>
      <c r="K307" s="10" t="n">
        <f aca="false">INDEX(Parâmetros!$D$13:$D$19,MATCH(E307,Parâmetros!$A$13:$A$19,0))</f>
        <v>43</v>
      </c>
      <c r="L307" s="26" t="n">
        <f aca="false">IF(G307="Prospecting",Parâmetros!$B$9,IF(J307&gt;Parâmetros!$B$6,0,INDEX(Parâmetros!$C$24:$C$26,MATCH(J307,Parâmetros!$A$24:$A$26,1))))</f>
        <v>10</v>
      </c>
      <c r="M307" s="31" t="n">
        <f aca="false">IF(G307="Prospecting",1,INDEX(Parâmetros!$C$32:$C$35,MATCH(J307,Parâmetros!$A$32:$A$35,1)))</f>
        <v>1</v>
      </c>
      <c r="N307" s="2" t="n">
        <f aca="false">ROUND((K307+L307)*M307,0)</f>
        <v>53</v>
      </c>
      <c r="O307" s="10" t="str">
        <f aca="false">IF(AND(G307="Engaging",J307&gt;Parâmetros!$B$6),"Sim","Não")</f>
        <v>Não</v>
      </c>
      <c r="P307" s="32" t="str">
        <f aca="false">IF(O307="Sim","R",IF(N307&gt;=Parâmetros!$B$39,"A",IF(N307&gt;=Parâmetros!$B$40,"B",IF(N307&gt;=Parâmetros!$B$41,"C","D"))))</f>
        <v>C</v>
      </c>
      <c r="Q307" s="10" t="str">
        <f aca="false">IF(F307="","Completar cadastro","")</f>
        <v/>
      </c>
      <c r="R307" s="10" t="str">
        <f aca="false">INDEX(Parâmetros!$D$39:$D$43,MATCH(P307,Parâmetros!$A$39:$A$43,0))</f>
        <v>Cadência leve, foco em qualificar</v>
      </c>
    </row>
    <row r="308" customFormat="false" ht="15" hidden="false" customHeight="false" outlineLevel="0" collapsed="false">
      <c r="A308" s="10" t="s">
        <v>535</v>
      </c>
      <c r="B308" s="10" t="s">
        <v>77</v>
      </c>
      <c r="C308" s="10" t="s">
        <v>78</v>
      </c>
      <c r="D308" s="10" t="s">
        <v>196</v>
      </c>
      <c r="E308" s="10" t="s">
        <v>48</v>
      </c>
      <c r="F308" s="10" t="s">
        <v>536</v>
      </c>
      <c r="G308" s="10" t="s">
        <v>425</v>
      </c>
      <c r="H308" s="10"/>
      <c r="I308" s="8" t="n">
        <f aca="false">INDEX(Parâmetros!$C$13:$C$19,MATCH(E308,Parâmetros!$A$13:$A$19,0))</f>
        <v>4821</v>
      </c>
      <c r="J308" s="26" t="str">
        <f aca="false">IF(H308="","",Parâmetros!$B$5-H308)</f>
        <v/>
      </c>
      <c r="K308" s="10" t="n">
        <f aca="false">INDEX(Parâmetros!$D$13:$D$19,MATCH(E308,Parâmetros!$A$13:$A$19,0))</f>
        <v>43</v>
      </c>
      <c r="L308" s="26" t="n">
        <f aca="false">IF(G308="Prospecting",Parâmetros!$B$9,IF(J308&gt;Parâmetros!$B$6,0,INDEX(Parâmetros!$C$24:$C$26,MATCH(J308,Parâmetros!$A$24:$A$26,1))))</f>
        <v>10</v>
      </c>
      <c r="M308" s="31" t="n">
        <f aca="false">IF(G308="Prospecting",1,INDEX(Parâmetros!$C$32:$C$35,MATCH(J308,Parâmetros!$A$32:$A$35,1)))</f>
        <v>1</v>
      </c>
      <c r="N308" s="2" t="n">
        <f aca="false">ROUND((K308+L308)*M308,0)</f>
        <v>53</v>
      </c>
      <c r="O308" s="10" t="str">
        <f aca="false">IF(AND(G308="Engaging",J308&gt;Parâmetros!$B$6),"Sim","Não")</f>
        <v>Não</v>
      </c>
      <c r="P308" s="32" t="str">
        <f aca="false">IF(O308="Sim","R",IF(N308&gt;=Parâmetros!$B$39,"A",IF(N308&gt;=Parâmetros!$B$40,"B",IF(N308&gt;=Parâmetros!$B$41,"C","D"))))</f>
        <v>C</v>
      </c>
      <c r="Q308" s="10" t="str">
        <f aca="false">IF(F308="","Completar cadastro","")</f>
        <v/>
      </c>
      <c r="R308" s="10" t="str">
        <f aca="false">INDEX(Parâmetros!$D$39:$D$43,MATCH(P308,Parâmetros!$A$39:$A$43,0))</f>
        <v>Cadência leve, foco em qualificar</v>
      </c>
    </row>
    <row r="309" customFormat="false" ht="15" hidden="false" customHeight="false" outlineLevel="0" collapsed="false">
      <c r="A309" s="10" t="s">
        <v>537</v>
      </c>
      <c r="B309" s="10" t="s">
        <v>77</v>
      </c>
      <c r="C309" s="10" t="s">
        <v>78</v>
      </c>
      <c r="D309" s="10" t="s">
        <v>196</v>
      </c>
      <c r="E309" s="10" t="s">
        <v>48</v>
      </c>
      <c r="F309" s="10"/>
      <c r="G309" s="10" t="s">
        <v>425</v>
      </c>
      <c r="H309" s="10"/>
      <c r="I309" s="8" t="n">
        <f aca="false">INDEX(Parâmetros!$C$13:$C$19,MATCH(E309,Parâmetros!$A$13:$A$19,0))</f>
        <v>4821</v>
      </c>
      <c r="J309" s="26" t="str">
        <f aca="false">IF(H309="","",Parâmetros!$B$5-H309)</f>
        <v/>
      </c>
      <c r="K309" s="10" t="n">
        <f aca="false">INDEX(Parâmetros!$D$13:$D$19,MATCH(E309,Parâmetros!$A$13:$A$19,0))</f>
        <v>43</v>
      </c>
      <c r="L309" s="26" t="n">
        <f aca="false">IF(G309="Prospecting",Parâmetros!$B$9,IF(J309&gt;Parâmetros!$B$6,0,INDEX(Parâmetros!$C$24:$C$26,MATCH(J309,Parâmetros!$A$24:$A$26,1))))</f>
        <v>10</v>
      </c>
      <c r="M309" s="31" t="n">
        <f aca="false">IF(G309="Prospecting",1,INDEX(Parâmetros!$C$32:$C$35,MATCH(J309,Parâmetros!$A$32:$A$35,1)))</f>
        <v>1</v>
      </c>
      <c r="N309" s="2" t="n">
        <f aca="false">ROUND((K309+L309)*M309,0)</f>
        <v>53</v>
      </c>
      <c r="O309" s="10" t="str">
        <f aca="false">IF(AND(G309="Engaging",J309&gt;Parâmetros!$B$6),"Sim","Não")</f>
        <v>Não</v>
      </c>
      <c r="P309" s="32" t="str">
        <f aca="false">IF(O309="Sim","R",IF(N309&gt;=Parâmetros!$B$39,"A",IF(N309&gt;=Parâmetros!$B$40,"B",IF(N309&gt;=Parâmetros!$B$41,"C","D"))))</f>
        <v>C</v>
      </c>
      <c r="Q309" s="10" t="str">
        <f aca="false">IF(F309="","Completar cadastro","")</f>
        <v>Completar cadastro</v>
      </c>
      <c r="R309" s="10" t="str">
        <f aca="false">INDEX(Parâmetros!$D$39:$D$43,MATCH(P309,Parâmetros!$A$39:$A$43,0))</f>
        <v>Cadência leve, foco em qualificar</v>
      </c>
    </row>
    <row r="310" customFormat="false" ht="15" hidden="false" customHeight="false" outlineLevel="0" collapsed="false">
      <c r="A310" s="10" t="s">
        <v>538</v>
      </c>
      <c r="B310" s="10" t="s">
        <v>77</v>
      </c>
      <c r="C310" s="10" t="s">
        <v>78</v>
      </c>
      <c r="D310" s="10" t="s">
        <v>196</v>
      </c>
      <c r="E310" s="10" t="s">
        <v>48</v>
      </c>
      <c r="F310" s="10"/>
      <c r="G310" s="10" t="s">
        <v>425</v>
      </c>
      <c r="H310" s="10"/>
      <c r="I310" s="8" t="n">
        <f aca="false">INDEX(Parâmetros!$C$13:$C$19,MATCH(E310,Parâmetros!$A$13:$A$19,0))</f>
        <v>4821</v>
      </c>
      <c r="J310" s="26" t="str">
        <f aca="false">IF(H310="","",Parâmetros!$B$5-H310)</f>
        <v/>
      </c>
      <c r="K310" s="10" t="n">
        <f aca="false">INDEX(Parâmetros!$D$13:$D$19,MATCH(E310,Parâmetros!$A$13:$A$19,0))</f>
        <v>43</v>
      </c>
      <c r="L310" s="26" t="n">
        <f aca="false">IF(G310="Prospecting",Parâmetros!$B$9,IF(J310&gt;Parâmetros!$B$6,0,INDEX(Parâmetros!$C$24:$C$26,MATCH(J310,Parâmetros!$A$24:$A$26,1))))</f>
        <v>10</v>
      </c>
      <c r="M310" s="31" t="n">
        <f aca="false">IF(G310="Prospecting",1,INDEX(Parâmetros!$C$32:$C$35,MATCH(J310,Parâmetros!$A$32:$A$35,1)))</f>
        <v>1</v>
      </c>
      <c r="N310" s="2" t="n">
        <f aca="false">ROUND((K310+L310)*M310,0)</f>
        <v>53</v>
      </c>
      <c r="O310" s="10" t="str">
        <f aca="false">IF(AND(G310="Engaging",J310&gt;Parâmetros!$B$6),"Sim","Não")</f>
        <v>Não</v>
      </c>
      <c r="P310" s="32" t="str">
        <f aca="false">IF(O310="Sim","R",IF(N310&gt;=Parâmetros!$B$39,"A",IF(N310&gt;=Parâmetros!$B$40,"B",IF(N310&gt;=Parâmetros!$B$41,"C","D"))))</f>
        <v>C</v>
      </c>
      <c r="Q310" s="10" t="str">
        <f aca="false">IF(F310="","Completar cadastro","")</f>
        <v>Completar cadastro</v>
      </c>
      <c r="R310" s="10" t="str">
        <f aca="false">INDEX(Parâmetros!$D$39:$D$43,MATCH(P310,Parâmetros!$A$39:$A$43,0))</f>
        <v>Cadência leve, foco em qualificar</v>
      </c>
    </row>
    <row r="311" customFormat="false" ht="15" hidden="false" customHeight="false" outlineLevel="0" collapsed="false">
      <c r="A311" s="10" t="s">
        <v>539</v>
      </c>
      <c r="B311" s="10" t="s">
        <v>77</v>
      </c>
      <c r="C311" s="10" t="s">
        <v>78</v>
      </c>
      <c r="D311" s="10" t="s">
        <v>196</v>
      </c>
      <c r="E311" s="10" t="s">
        <v>48</v>
      </c>
      <c r="F311" s="10"/>
      <c r="G311" s="10" t="s">
        <v>425</v>
      </c>
      <c r="H311" s="10"/>
      <c r="I311" s="8" t="n">
        <f aca="false">INDEX(Parâmetros!$C$13:$C$19,MATCH(E311,Parâmetros!$A$13:$A$19,0))</f>
        <v>4821</v>
      </c>
      <c r="J311" s="26" t="str">
        <f aca="false">IF(H311="","",Parâmetros!$B$5-H311)</f>
        <v/>
      </c>
      <c r="K311" s="10" t="n">
        <f aca="false">INDEX(Parâmetros!$D$13:$D$19,MATCH(E311,Parâmetros!$A$13:$A$19,0))</f>
        <v>43</v>
      </c>
      <c r="L311" s="26" t="n">
        <f aca="false">IF(G311="Prospecting",Parâmetros!$B$9,IF(J311&gt;Parâmetros!$B$6,0,INDEX(Parâmetros!$C$24:$C$26,MATCH(J311,Parâmetros!$A$24:$A$26,1))))</f>
        <v>10</v>
      </c>
      <c r="M311" s="31" t="n">
        <f aca="false">IF(G311="Prospecting",1,INDEX(Parâmetros!$C$32:$C$35,MATCH(J311,Parâmetros!$A$32:$A$35,1)))</f>
        <v>1</v>
      </c>
      <c r="N311" s="2" t="n">
        <f aca="false">ROUND((K311+L311)*M311,0)</f>
        <v>53</v>
      </c>
      <c r="O311" s="10" t="str">
        <f aca="false">IF(AND(G311="Engaging",J311&gt;Parâmetros!$B$6),"Sim","Não")</f>
        <v>Não</v>
      </c>
      <c r="P311" s="32" t="str">
        <f aca="false">IF(O311="Sim","R",IF(N311&gt;=Parâmetros!$B$39,"A",IF(N311&gt;=Parâmetros!$B$40,"B",IF(N311&gt;=Parâmetros!$B$41,"C","D"))))</f>
        <v>C</v>
      </c>
      <c r="Q311" s="10" t="str">
        <f aca="false">IF(F311="","Completar cadastro","")</f>
        <v>Completar cadastro</v>
      </c>
      <c r="R311" s="10" t="str">
        <f aca="false">INDEX(Parâmetros!$D$39:$D$43,MATCH(P311,Parâmetros!$A$39:$A$43,0))</f>
        <v>Cadência leve, foco em qualificar</v>
      </c>
    </row>
    <row r="312" customFormat="false" ht="15" hidden="false" customHeight="false" outlineLevel="0" collapsed="false">
      <c r="A312" s="10" t="s">
        <v>540</v>
      </c>
      <c r="B312" s="10" t="s">
        <v>77</v>
      </c>
      <c r="C312" s="10" t="s">
        <v>78</v>
      </c>
      <c r="D312" s="10" t="s">
        <v>196</v>
      </c>
      <c r="E312" s="10" t="s">
        <v>48</v>
      </c>
      <c r="F312" s="10"/>
      <c r="G312" s="10" t="s">
        <v>425</v>
      </c>
      <c r="H312" s="10"/>
      <c r="I312" s="8" t="n">
        <f aca="false">INDEX(Parâmetros!$C$13:$C$19,MATCH(E312,Parâmetros!$A$13:$A$19,0))</f>
        <v>4821</v>
      </c>
      <c r="J312" s="26" t="str">
        <f aca="false">IF(H312="","",Parâmetros!$B$5-H312)</f>
        <v/>
      </c>
      <c r="K312" s="10" t="n">
        <f aca="false">INDEX(Parâmetros!$D$13:$D$19,MATCH(E312,Parâmetros!$A$13:$A$19,0))</f>
        <v>43</v>
      </c>
      <c r="L312" s="26" t="n">
        <f aca="false">IF(G312="Prospecting",Parâmetros!$B$9,IF(J312&gt;Parâmetros!$B$6,0,INDEX(Parâmetros!$C$24:$C$26,MATCH(J312,Parâmetros!$A$24:$A$26,1))))</f>
        <v>10</v>
      </c>
      <c r="M312" s="31" t="n">
        <f aca="false">IF(G312="Prospecting",1,INDEX(Parâmetros!$C$32:$C$35,MATCH(J312,Parâmetros!$A$32:$A$35,1)))</f>
        <v>1</v>
      </c>
      <c r="N312" s="2" t="n">
        <f aca="false">ROUND((K312+L312)*M312,0)</f>
        <v>53</v>
      </c>
      <c r="O312" s="10" t="str">
        <f aca="false">IF(AND(G312="Engaging",J312&gt;Parâmetros!$B$6),"Sim","Não")</f>
        <v>Não</v>
      </c>
      <c r="P312" s="32" t="str">
        <f aca="false">IF(O312="Sim","R",IF(N312&gt;=Parâmetros!$B$39,"A",IF(N312&gt;=Parâmetros!$B$40,"B",IF(N312&gt;=Parâmetros!$B$41,"C","D"))))</f>
        <v>C</v>
      </c>
      <c r="Q312" s="10" t="str">
        <f aca="false">IF(F312="","Completar cadastro","")</f>
        <v>Completar cadastro</v>
      </c>
      <c r="R312" s="10" t="str">
        <f aca="false">INDEX(Parâmetros!$D$39:$D$43,MATCH(P312,Parâmetros!$A$39:$A$43,0))</f>
        <v>Cadência leve, foco em qualificar</v>
      </c>
    </row>
    <row r="313" customFormat="false" ht="15" hidden="false" customHeight="false" outlineLevel="0" collapsed="false">
      <c r="A313" s="10" t="s">
        <v>541</v>
      </c>
      <c r="B313" s="10" t="s">
        <v>77</v>
      </c>
      <c r="C313" s="10" t="s">
        <v>78</v>
      </c>
      <c r="D313" s="10" t="s">
        <v>196</v>
      </c>
      <c r="E313" s="10" t="s">
        <v>48</v>
      </c>
      <c r="F313" s="10"/>
      <c r="G313" s="10" t="s">
        <v>425</v>
      </c>
      <c r="H313" s="10"/>
      <c r="I313" s="8" t="n">
        <f aca="false">INDEX(Parâmetros!$C$13:$C$19,MATCH(E313,Parâmetros!$A$13:$A$19,0))</f>
        <v>4821</v>
      </c>
      <c r="J313" s="26" t="str">
        <f aca="false">IF(H313="","",Parâmetros!$B$5-H313)</f>
        <v/>
      </c>
      <c r="K313" s="10" t="n">
        <f aca="false">INDEX(Parâmetros!$D$13:$D$19,MATCH(E313,Parâmetros!$A$13:$A$19,0))</f>
        <v>43</v>
      </c>
      <c r="L313" s="26" t="n">
        <f aca="false">IF(G313="Prospecting",Parâmetros!$B$9,IF(J313&gt;Parâmetros!$B$6,0,INDEX(Parâmetros!$C$24:$C$26,MATCH(J313,Parâmetros!$A$24:$A$26,1))))</f>
        <v>10</v>
      </c>
      <c r="M313" s="31" t="n">
        <f aca="false">IF(G313="Prospecting",1,INDEX(Parâmetros!$C$32:$C$35,MATCH(J313,Parâmetros!$A$32:$A$35,1)))</f>
        <v>1</v>
      </c>
      <c r="N313" s="2" t="n">
        <f aca="false">ROUND((K313+L313)*M313,0)</f>
        <v>53</v>
      </c>
      <c r="O313" s="10" t="str">
        <f aca="false">IF(AND(G313="Engaging",J313&gt;Parâmetros!$B$6),"Sim","Não")</f>
        <v>Não</v>
      </c>
      <c r="P313" s="32" t="str">
        <f aca="false">IF(O313="Sim","R",IF(N313&gt;=Parâmetros!$B$39,"A",IF(N313&gt;=Parâmetros!$B$40,"B",IF(N313&gt;=Parâmetros!$B$41,"C","D"))))</f>
        <v>C</v>
      </c>
      <c r="Q313" s="10" t="str">
        <f aca="false">IF(F313="","Completar cadastro","")</f>
        <v>Completar cadastro</v>
      </c>
      <c r="R313" s="10" t="str">
        <f aca="false">INDEX(Parâmetros!$D$39:$D$43,MATCH(P313,Parâmetros!$A$39:$A$43,0))</f>
        <v>Cadência leve, foco em qualificar</v>
      </c>
    </row>
    <row r="314" customFormat="false" ht="15" hidden="false" customHeight="false" outlineLevel="0" collapsed="false">
      <c r="A314" s="10" t="s">
        <v>542</v>
      </c>
      <c r="B314" s="10" t="s">
        <v>77</v>
      </c>
      <c r="C314" s="10" t="s">
        <v>78</v>
      </c>
      <c r="D314" s="10" t="s">
        <v>196</v>
      </c>
      <c r="E314" s="10" t="s">
        <v>48</v>
      </c>
      <c r="F314" s="10"/>
      <c r="G314" s="10" t="s">
        <v>425</v>
      </c>
      <c r="H314" s="10"/>
      <c r="I314" s="8" t="n">
        <f aca="false">INDEX(Parâmetros!$C$13:$C$19,MATCH(E314,Parâmetros!$A$13:$A$19,0))</f>
        <v>4821</v>
      </c>
      <c r="J314" s="26" t="str">
        <f aca="false">IF(H314="","",Parâmetros!$B$5-H314)</f>
        <v/>
      </c>
      <c r="K314" s="10" t="n">
        <f aca="false">INDEX(Parâmetros!$D$13:$D$19,MATCH(E314,Parâmetros!$A$13:$A$19,0))</f>
        <v>43</v>
      </c>
      <c r="L314" s="26" t="n">
        <f aca="false">IF(G314="Prospecting",Parâmetros!$B$9,IF(J314&gt;Parâmetros!$B$6,0,INDEX(Parâmetros!$C$24:$C$26,MATCH(J314,Parâmetros!$A$24:$A$26,1))))</f>
        <v>10</v>
      </c>
      <c r="M314" s="31" t="n">
        <f aca="false">IF(G314="Prospecting",1,INDEX(Parâmetros!$C$32:$C$35,MATCH(J314,Parâmetros!$A$32:$A$35,1)))</f>
        <v>1</v>
      </c>
      <c r="N314" s="2" t="n">
        <f aca="false">ROUND((K314+L314)*M314,0)</f>
        <v>53</v>
      </c>
      <c r="O314" s="10" t="str">
        <f aca="false">IF(AND(G314="Engaging",J314&gt;Parâmetros!$B$6),"Sim","Não")</f>
        <v>Não</v>
      </c>
      <c r="P314" s="32" t="str">
        <f aca="false">IF(O314="Sim","R",IF(N314&gt;=Parâmetros!$B$39,"A",IF(N314&gt;=Parâmetros!$B$40,"B",IF(N314&gt;=Parâmetros!$B$41,"C","D"))))</f>
        <v>C</v>
      </c>
      <c r="Q314" s="10" t="str">
        <f aca="false">IF(F314="","Completar cadastro","")</f>
        <v>Completar cadastro</v>
      </c>
      <c r="R314" s="10" t="str">
        <f aca="false">INDEX(Parâmetros!$D$39:$D$43,MATCH(P314,Parâmetros!$A$39:$A$43,0))</f>
        <v>Cadência leve, foco em qualificar</v>
      </c>
    </row>
    <row r="315" customFormat="false" ht="15" hidden="false" customHeight="false" outlineLevel="0" collapsed="false">
      <c r="A315" s="10" t="s">
        <v>543</v>
      </c>
      <c r="B315" s="10" t="s">
        <v>77</v>
      </c>
      <c r="C315" s="10" t="s">
        <v>78</v>
      </c>
      <c r="D315" s="10" t="s">
        <v>196</v>
      </c>
      <c r="E315" s="10" t="s">
        <v>48</v>
      </c>
      <c r="F315" s="10"/>
      <c r="G315" s="10" t="s">
        <v>425</v>
      </c>
      <c r="H315" s="10"/>
      <c r="I315" s="8" t="n">
        <f aca="false">INDEX(Parâmetros!$C$13:$C$19,MATCH(E315,Parâmetros!$A$13:$A$19,0))</f>
        <v>4821</v>
      </c>
      <c r="J315" s="26" t="str">
        <f aca="false">IF(H315="","",Parâmetros!$B$5-H315)</f>
        <v/>
      </c>
      <c r="K315" s="10" t="n">
        <f aca="false">INDEX(Parâmetros!$D$13:$D$19,MATCH(E315,Parâmetros!$A$13:$A$19,0))</f>
        <v>43</v>
      </c>
      <c r="L315" s="26" t="n">
        <f aca="false">IF(G315="Prospecting",Parâmetros!$B$9,IF(J315&gt;Parâmetros!$B$6,0,INDEX(Parâmetros!$C$24:$C$26,MATCH(J315,Parâmetros!$A$24:$A$26,1))))</f>
        <v>10</v>
      </c>
      <c r="M315" s="31" t="n">
        <f aca="false">IF(G315="Prospecting",1,INDEX(Parâmetros!$C$32:$C$35,MATCH(J315,Parâmetros!$A$32:$A$35,1)))</f>
        <v>1</v>
      </c>
      <c r="N315" s="2" t="n">
        <f aca="false">ROUND((K315+L315)*M315,0)</f>
        <v>53</v>
      </c>
      <c r="O315" s="10" t="str">
        <f aca="false">IF(AND(G315="Engaging",J315&gt;Parâmetros!$B$6),"Sim","Não")</f>
        <v>Não</v>
      </c>
      <c r="P315" s="32" t="str">
        <f aca="false">IF(O315="Sim","R",IF(N315&gt;=Parâmetros!$B$39,"A",IF(N315&gt;=Parâmetros!$B$40,"B",IF(N315&gt;=Parâmetros!$B$41,"C","D"))))</f>
        <v>C</v>
      </c>
      <c r="Q315" s="10" t="str">
        <f aca="false">IF(F315="","Completar cadastro","")</f>
        <v>Completar cadastro</v>
      </c>
      <c r="R315" s="10" t="str">
        <f aca="false">INDEX(Parâmetros!$D$39:$D$43,MATCH(P315,Parâmetros!$A$39:$A$43,0))</f>
        <v>Cadência leve, foco em qualificar</v>
      </c>
    </row>
    <row r="316" customFormat="false" ht="15" hidden="false" customHeight="false" outlineLevel="0" collapsed="false">
      <c r="A316" s="10" t="s">
        <v>544</v>
      </c>
      <c r="B316" s="10" t="s">
        <v>77</v>
      </c>
      <c r="C316" s="10" t="s">
        <v>78</v>
      </c>
      <c r="D316" s="10" t="s">
        <v>196</v>
      </c>
      <c r="E316" s="10" t="s">
        <v>48</v>
      </c>
      <c r="F316" s="10"/>
      <c r="G316" s="10" t="s">
        <v>425</v>
      </c>
      <c r="H316" s="10"/>
      <c r="I316" s="8" t="n">
        <f aca="false">INDEX(Parâmetros!$C$13:$C$19,MATCH(E316,Parâmetros!$A$13:$A$19,0))</f>
        <v>4821</v>
      </c>
      <c r="J316" s="26" t="str">
        <f aca="false">IF(H316="","",Parâmetros!$B$5-H316)</f>
        <v/>
      </c>
      <c r="K316" s="10" t="n">
        <f aca="false">INDEX(Parâmetros!$D$13:$D$19,MATCH(E316,Parâmetros!$A$13:$A$19,0))</f>
        <v>43</v>
      </c>
      <c r="L316" s="26" t="n">
        <f aca="false">IF(G316="Prospecting",Parâmetros!$B$9,IF(J316&gt;Parâmetros!$B$6,0,INDEX(Parâmetros!$C$24:$C$26,MATCH(J316,Parâmetros!$A$24:$A$26,1))))</f>
        <v>10</v>
      </c>
      <c r="M316" s="31" t="n">
        <f aca="false">IF(G316="Prospecting",1,INDEX(Parâmetros!$C$32:$C$35,MATCH(J316,Parâmetros!$A$32:$A$35,1)))</f>
        <v>1</v>
      </c>
      <c r="N316" s="2" t="n">
        <f aca="false">ROUND((K316+L316)*M316,0)</f>
        <v>53</v>
      </c>
      <c r="O316" s="10" t="str">
        <f aca="false">IF(AND(G316="Engaging",J316&gt;Parâmetros!$B$6),"Sim","Não")</f>
        <v>Não</v>
      </c>
      <c r="P316" s="32" t="str">
        <f aca="false">IF(O316="Sim","R",IF(N316&gt;=Parâmetros!$B$39,"A",IF(N316&gt;=Parâmetros!$B$40,"B",IF(N316&gt;=Parâmetros!$B$41,"C","D"))))</f>
        <v>C</v>
      </c>
      <c r="Q316" s="10" t="str">
        <f aca="false">IF(F316="","Completar cadastro","")</f>
        <v>Completar cadastro</v>
      </c>
      <c r="R316" s="10" t="str">
        <f aca="false">INDEX(Parâmetros!$D$39:$D$43,MATCH(P316,Parâmetros!$A$39:$A$43,0))</f>
        <v>Cadência leve, foco em qualificar</v>
      </c>
    </row>
    <row r="317" customFormat="false" ht="15" hidden="false" customHeight="false" outlineLevel="0" collapsed="false">
      <c r="A317" s="10" t="s">
        <v>545</v>
      </c>
      <c r="B317" s="10" t="s">
        <v>77</v>
      </c>
      <c r="C317" s="10" t="s">
        <v>78</v>
      </c>
      <c r="D317" s="10" t="s">
        <v>196</v>
      </c>
      <c r="E317" s="10" t="s">
        <v>48</v>
      </c>
      <c r="F317" s="10"/>
      <c r="G317" s="10" t="s">
        <v>425</v>
      </c>
      <c r="H317" s="10"/>
      <c r="I317" s="8" t="n">
        <f aca="false">INDEX(Parâmetros!$C$13:$C$19,MATCH(E317,Parâmetros!$A$13:$A$19,0))</f>
        <v>4821</v>
      </c>
      <c r="J317" s="26" t="str">
        <f aca="false">IF(H317="","",Parâmetros!$B$5-H317)</f>
        <v/>
      </c>
      <c r="K317" s="10" t="n">
        <f aca="false">INDEX(Parâmetros!$D$13:$D$19,MATCH(E317,Parâmetros!$A$13:$A$19,0))</f>
        <v>43</v>
      </c>
      <c r="L317" s="26" t="n">
        <f aca="false">IF(G317="Prospecting",Parâmetros!$B$9,IF(J317&gt;Parâmetros!$B$6,0,INDEX(Parâmetros!$C$24:$C$26,MATCH(J317,Parâmetros!$A$24:$A$26,1))))</f>
        <v>10</v>
      </c>
      <c r="M317" s="31" t="n">
        <f aca="false">IF(G317="Prospecting",1,INDEX(Parâmetros!$C$32:$C$35,MATCH(J317,Parâmetros!$A$32:$A$35,1)))</f>
        <v>1</v>
      </c>
      <c r="N317" s="2" t="n">
        <f aca="false">ROUND((K317+L317)*M317,0)</f>
        <v>53</v>
      </c>
      <c r="O317" s="10" t="str">
        <f aca="false">IF(AND(G317="Engaging",J317&gt;Parâmetros!$B$6),"Sim","Não")</f>
        <v>Não</v>
      </c>
      <c r="P317" s="32" t="str">
        <f aca="false">IF(O317="Sim","R",IF(N317&gt;=Parâmetros!$B$39,"A",IF(N317&gt;=Parâmetros!$B$40,"B",IF(N317&gt;=Parâmetros!$B$41,"C","D"))))</f>
        <v>C</v>
      </c>
      <c r="Q317" s="10" t="str">
        <f aca="false">IF(F317="","Completar cadastro","")</f>
        <v>Completar cadastro</v>
      </c>
      <c r="R317" s="10" t="str">
        <f aca="false">INDEX(Parâmetros!$D$39:$D$43,MATCH(P317,Parâmetros!$A$39:$A$43,0))</f>
        <v>Cadência leve, foco em qualificar</v>
      </c>
    </row>
    <row r="318" customFormat="false" ht="15" hidden="false" customHeight="false" outlineLevel="0" collapsed="false">
      <c r="A318" s="10" t="s">
        <v>546</v>
      </c>
      <c r="B318" s="10" t="s">
        <v>77</v>
      </c>
      <c r="C318" s="10" t="s">
        <v>78</v>
      </c>
      <c r="D318" s="10" t="s">
        <v>196</v>
      </c>
      <c r="E318" s="10" t="s">
        <v>48</v>
      </c>
      <c r="F318" s="10"/>
      <c r="G318" s="10" t="s">
        <v>425</v>
      </c>
      <c r="H318" s="10"/>
      <c r="I318" s="8" t="n">
        <f aca="false">INDEX(Parâmetros!$C$13:$C$19,MATCH(E318,Parâmetros!$A$13:$A$19,0))</f>
        <v>4821</v>
      </c>
      <c r="J318" s="26" t="str">
        <f aca="false">IF(H318="","",Parâmetros!$B$5-H318)</f>
        <v/>
      </c>
      <c r="K318" s="10" t="n">
        <f aca="false">INDEX(Parâmetros!$D$13:$D$19,MATCH(E318,Parâmetros!$A$13:$A$19,0))</f>
        <v>43</v>
      </c>
      <c r="L318" s="26" t="n">
        <f aca="false">IF(G318="Prospecting",Parâmetros!$B$9,IF(J318&gt;Parâmetros!$B$6,0,INDEX(Parâmetros!$C$24:$C$26,MATCH(J318,Parâmetros!$A$24:$A$26,1))))</f>
        <v>10</v>
      </c>
      <c r="M318" s="31" t="n">
        <f aca="false">IF(G318="Prospecting",1,INDEX(Parâmetros!$C$32:$C$35,MATCH(J318,Parâmetros!$A$32:$A$35,1)))</f>
        <v>1</v>
      </c>
      <c r="N318" s="2" t="n">
        <f aca="false">ROUND((K318+L318)*M318,0)</f>
        <v>53</v>
      </c>
      <c r="O318" s="10" t="str">
        <f aca="false">IF(AND(G318="Engaging",J318&gt;Parâmetros!$B$6),"Sim","Não")</f>
        <v>Não</v>
      </c>
      <c r="P318" s="32" t="str">
        <f aca="false">IF(O318="Sim","R",IF(N318&gt;=Parâmetros!$B$39,"A",IF(N318&gt;=Parâmetros!$B$40,"B",IF(N318&gt;=Parâmetros!$B$41,"C","D"))))</f>
        <v>C</v>
      </c>
      <c r="Q318" s="10" t="str">
        <f aca="false">IF(F318="","Completar cadastro","")</f>
        <v>Completar cadastro</v>
      </c>
      <c r="R318" s="10" t="str">
        <f aca="false">INDEX(Parâmetros!$D$39:$D$43,MATCH(P318,Parâmetros!$A$39:$A$43,0))</f>
        <v>Cadência leve, foco em qualificar</v>
      </c>
    </row>
    <row r="319" customFormat="false" ht="15" hidden="false" customHeight="false" outlineLevel="0" collapsed="false">
      <c r="A319" s="10" t="s">
        <v>547</v>
      </c>
      <c r="B319" s="10" t="s">
        <v>77</v>
      </c>
      <c r="C319" s="10" t="s">
        <v>78</v>
      </c>
      <c r="D319" s="10" t="s">
        <v>196</v>
      </c>
      <c r="E319" s="10" t="s">
        <v>48</v>
      </c>
      <c r="F319" s="10"/>
      <c r="G319" s="10" t="s">
        <v>425</v>
      </c>
      <c r="H319" s="10"/>
      <c r="I319" s="8" t="n">
        <f aca="false">INDEX(Parâmetros!$C$13:$C$19,MATCH(E319,Parâmetros!$A$13:$A$19,0))</f>
        <v>4821</v>
      </c>
      <c r="J319" s="26" t="str">
        <f aca="false">IF(H319="","",Parâmetros!$B$5-H319)</f>
        <v/>
      </c>
      <c r="K319" s="10" t="n">
        <f aca="false">INDEX(Parâmetros!$D$13:$D$19,MATCH(E319,Parâmetros!$A$13:$A$19,0))</f>
        <v>43</v>
      </c>
      <c r="L319" s="26" t="n">
        <f aca="false">IF(G319="Prospecting",Parâmetros!$B$9,IF(J319&gt;Parâmetros!$B$6,0,INDEX(Parâmetros!$C$24:$C$26,MATCH(J319,Parâmetros!$A$24:$A$26,1))))</f>
        <v>10</v>
      </c>
      <c r="M319" s="31" t="n">
        <f aca="false">IF(G319="Prospecting",1,INDEX(Parâmetros!$C$32:$C$35,MATCH(J319,Parâmetros!$A$32:$A$35,1)))</f>
        <v>1</v>
      </c>
      <c r="N319" s="2" t="n">
        <f aca="false">ROUND((K319+L319)*M319,0)</f>
        <v>53</v>
      </c>
      <c r="O319" s="10" t="str">
        <f aca="false">IF(AND(G319="Engaging",J319&gt;Parâmetros!$B$6),"Sim","Não")</f>
        <v>Não</v>
      </c>
      <c r="P319" s="32" t="str">
        <f aca="false">IF(O319="Sim","R",IF(N319&gt;=Parâmetros!$B$39,"A",IF(N319&gt;=Parâmetros!$B$40,"B",IF(N319&gt;=Parâmetros!$B$41,"C","D"))))</f>
        <v>C</v>
      </c>
      <c r="Q319" s="10" t="str">
        <f aca="false">IF(F319="","Completar cadastro","")</f>
        <v>Completar cadastro</v>
      </c>
      <c r="R319" s="10" t="str">
        <f aca="false">INDEX(Parâmetros!$D$39:$D$43,MATCH(P319,Parâmetros!$A$39:$A$43,0))</f>
        <v>Cadência leve, foco em qualificar</v>
      </c>
    </row>
    <row r="320" customFormat="false" ht="15" hidden="false" customHeight="false" outlineLevel="0" collapsed="false">
      <c r="A320" s="10" t="s">
        <v>548</v>
      </c>
      <c r="B320" s="10" t="s">
        <v>77</v>
      </c>
      <c r="C320" s="10" t="s">
        <v>78</v>
      </c>
      <c r="D320" s="10" t="s">
        <v>196</v>
      </c>
      <c r="E320" s="10" t="s">
        <v>48</v>
      </c>
      <c r="F320" s="10"/>
      <c r="G320" s="10" t="s">
        <v>425</v>
      </c>
      <c r="H320" s="10"/>
      <c r="I320" s="8" t="n">
        <f aca="false">INDEX(Parâmetros!$C$13:$C$19,MATCH(E320,Parâmetros!$A$13:$A$19,0))</f>
        <v>4821</v>
      </c>
      <c r="J320" s="26" t="str">
        <f aca="false">IF(H320="","",Parâmetros!$B$5-H320)</f>
        <v/>
      </c>
      <c r="K320" s="10" t="n">
        <f aca="false">INDEX(Parâmetros!$D$13:$D$19,MATCH(E320,Parâmetros!$A$13:$A$19,0))</f>
        <v>43</v>
      </c>
      <c r="L320" s="26" t="n">
        <f aca="false">IF(G320="Prospecting",Parâmetros!$B$9,IF(J320&gt;Parâmetros!$B$6,0,INDEX(Parâmetros!$C$24:$C$26,MATCH(J320,Parâmetros!$A$24:$A$26,1))))</f>
        <v>10</v>
      </c>
      <c r="M320" s="31" t="n">
        <f aca="false">IF(G320="Prospecting",1,INDEX(Parâmetros!$C$32:$C$35,MATCH(J320,Parâmetros!$A$32:$A$35,1)))</f>
        <v>1</v>
      </c>
      <c r="N320" s="2" t="n">
        <f aca="false">ROUND((K320+L320)*M320,0)</f>
        <v>53</v>
      </c>
      <c r="O320" s="10" t="str">
        <f aca="false">IF(AND(G320="Engaging",J320&gt;Parâmetros!$B$6),"Sim","Não")</f>
        <v>Não</v>
      </c>
      <c r="P320" s="32" t="str">
        <f aca="false">IF(O320="Sim","R",IF(N320&gt;=Parâmetros!$B$39,"A",IF(N320&gt;=Parâmetros!$B$40,"B",IF(N320&gt;=Parâmetros!$B$41,"C","D"))))</f>
        <v>C</v>
      </c>
      <c r="Q320" s="10" t="str">
        <f aca="false">IF(F320="","Completar cadastro","")</f>
        <v>Completar cadastro</v>
      </c>
      <c r="R320" s="10" t="str">
        <f aca="false">INDEX(Parâmetros!$D$39:$D$43,MATCH(P320,Parâmetros!$A$39:$A$43,0))</f>
        <v>Cadência leve, foco em qualificar</v>
      </c>
    </row>
    <row r="321" customFormat="false" ht="15" hidden="false" customHeight="false" outlineLevel="0" collapsed="false">
      <c r="A321" s="10" t="s">
        <v>549</v>
      </c>
      <c r="B321" s="10" t="s">
        <v>77</v>
      </c>
      <c r="C321" s="10" t="s">
        <v>78</v>
      </c>
      <c r="D321" s="10" t="s">
        <v>196</v>
      </c>
      <c r="E321" s="10" t="s">
        <v>48</v>
      </c>
      <c r="F321" s="10"/>
      <c r="G321" s="10" t="s">
        <v>425</v>
      </c>
      <c r="H321" s="10"/>
      <c r="I321" s="8" t="n">
        <f aca="false">INDEX(Parâmetros!$C$13:$C$19,MATCH(E321,Parâmetros!$A$13:$A$19,0))</f>
        <v>4821</v>
      </c>
      <c r="J321" s="26" t="str">
        <f aca="false">IF(H321="","",Parâmetros!$B$5-H321)</f>
        <v/>
      </c>
      <c r="K321" s="10" t="n">
        <f aca="false">INDEX(Parâmetros!$D$13:$D$19,MATCH(E321,Parâmetros!$A$13:$A$19,0))</f>
        <v>43</v>
      </c>
      <c r="L321" s="26" t="n">
        <f aca="false">IF(G321="Prospecting",Parâmetros!$B$9,IF(J321&gt;Parâmetros!$B$6,0,INDEX(Parâmetros!$C$24:$C$26,MATCH(J321,Parâmetros!$A$24:$A$26,1))))</f>
        <v>10</v>
      </c>
      <c r="M321" s="31" t="n">
        <f aca="false">IF(G321="Prospecting",1,INDEX(Parâmetros!$C$32:$C$35,MATCH(J321,Parâmetros!$A$32:$A$35,1)))</f>
        <v>1</v>
      </c>
      <c r="N321" s="2" t="n">
        <f aca="false">ROUND((K321+L321)*M321,0)</f>
        <v>53</v>
      </c>
      <c r="O321" s="10" t="str">
        <f aca="false">IF(AND(G321="Engaging",J321&gt;Parâmetros!$B$6),"Sim","Não")</f>
        <v>Não</v>
      </c>
      <c r="P321" s="32" t="str">
        <f aca="false">IF(O321="Sim","R",IF(N321&gt;=Parâmetros!$B$39,"A",IF(N321&gt;=Parâmetros!$B$40,"B",IF(N321&gt;=Parâmetros!$B$41,"C","D"))))</f>
        <v>C</v>
      </c>
      <c r="Q321" s="10" t="str">
        <f aca="false">IF(F321="","Completar cadastro","")</f>
        <v>Completar cadastro</v>
      </c>
      <c r="R321" s="10" t="str">
        <f aca="false">INDEX(Parâmetros!$D$39:$D$43,MATCH(P321,Parâmetros!$A$39:$A$43,0))</f>
        <v>Cadência leve, foco em qualificar</v>
      </c>
    </row>
    <row r="322" customFormat="false" ht="15" hidden="false" customHeight="false" outlineLevel="0" collapsed="false">
      <c r="A322" s="10" t="s">
        <v>550</v>
      </c>
      <c r="B322" s="10" t="s">
        <v>77</v>
      </c>
      <c r="C322" s="10" t="s">
        <v>78</v>
      </c>
      <c r="D322" s="10" t="s">
        <v>196</v>
      </c>
      <c r="E322" s="10" t="s">
        <v>48</v>
      </c>
      <c r="F322" s="10"/>
      <c r="G322" s="10" t="s">
        <v>425</v>
      </c>
      <c r="H322" s="10"/>
      <c r="I322" s="8" t="n">
        <f aca="false">INDEX(Parâmetros!$C$13:$C$19,MATCH(E322,Parâmetros!$A$13:$A$19,0))</f>
        <v>4821</v>
      </c>
      <c r="J322" s="26" t="str">
        <f aca="false">IF(H322="","",Parâmetros!$B$5-H322)</f>
        <v/>
      </c>
      <c r="K322" s="10" t="n">
        <f aca="false">INDEX(Parâmetros!$D$13:$D$19,MATCH(E322,Parâmetros!$A$13:$A$19,0))</f>
        <v>43</v>
      </c>
      <c r="L322" s="26" t="n">
        <f aca="false">IF(G322="Prospecting",Parâmetros!$B$9,IF(J322&gt;Parâmetros!$B$6,0,INDEX(Parâmetros!$C$24:$C$26,MATCH(J322,Parâmetros!$A$24:$A$26,1))))</f>
        <v>10</v>
      </c>
      <c r="M322" s="31" t="n">
        <f aca="false">IF(G322="Prospecting",1,INDEX(Parâmetros!$C$32:$C$35,MATCH(J322,Parâmetros!$A$32:$A$35,1)))</f>
        <v>1</v>
      </c>
      <c r="N322" s="2" t="n">
        <f aca="false">ROUND((K322+L322)*M322,0)</f>
        <v>53</v>
      </c>
      <c r="O322" s="10" t="str">
        <f aca="false">IF(AND(G322="Engaging",J322&gt;Parâmetros!$B$6),"Sim","Não")</f>
        <v>Não</v>
      </c>
      <c r="P322" s="32" t="str">
        <f aca="false">IF(O322="Sim","R",IF(N322&gt;=Parâmetros!$B$39,"A",IF(N322&gt;=Parâmetros!$B$40,"B",IF(N322&gt;=Parâmetros!$B$41,"C","D"))))</f>
        <v>C</v>
      </c>
      <c r="Q322" s="10" t="str">
        <f aca="false">IF(F322="","Completar cadastro","")</f>
        <v>Completar cadastro</v>
      </c>
      <c r="R322" s="10" t="str">
        <f aca="false">INDEX(Parâmetros!$D$39:$D$43,MATCH(P322,Parâmetros!$A$39:$A$43,0))</f>
        <v>Cadência leve, foco em qualificar</v>
      </c>
    </row>
    <row r="323" customFormat="false" ht="15" hidden="false" customHeight="false" outlineLevel="0" collapsed="false">
      <c r="A323" s="10" t="s">
        <v>551</v>
      </c>
      <c r="B323" s="10" t="s">
        <v>77</v>
      </c>
      <c r="C323" s="10" t="s">
        <v>78</v>
      </c>
      <c r="D323" s="10" t="s">
        <v>196</v>
      </c>
      <c r="E323" s="10" t="s">
        <v>48</v>
      </c>
      <c r="F323" s="10"/>
      <c r="G323" s="10" t="s">
        <v>425</v>
      </c>
      <c r="H323" s="10"/>
      <c r="I323" s="8" t="n">
        <f aca="false">INDEX(Parâmetros!$C$13:$C$19,MATCH(E323,Parâmetros!$A$13:$A$19,0))</f>
        <v>4821</v>
      </c>
      <c r="J323" s="26" t="str">
        <f aca="false">IF(H323="","",Parâmetros!$B$5-H323)</f>
        <v/>
      </c>
      <c r="K323" s="10" t="n">
        <f aca="false">INDEX(Parâmetros!$D$13:$D$19,MATCH(E323,Parâmetros!$A$13:$A$19,0))</f>
        <v>43</v>
      </c>
      <c r="L323" s="26" t="n">
        <f aca="false">IF(G323="Prospecting",Parâmetros!$B$9,IF(J323&gt;Parâmetros!$B$6,0,INDEX(Parâmetros!$C$24:$C$26,MATCH(J323,Parâmetros!$A$24:$A$26,1))))</f>
        <v>10</v>
      </c>
      <c r="M323" s="31" t="n">
        <f aca="false">IF(G323="Prospecting",1,INDEX(Parâmetros!$C$32:$C$35,MATCH(J323,Parâmetros!$A$32:$A$35,1)))</f>
        <v>1</v>
      </c>
      <c r="N323" s="2" t="n">
        <f aca="false">ROUND((K323+L323)*M323,0)</f>
        <v>53</v>
      </c>
      <c r="O323" s="10" t="str">
        <f aca="false">IF(AND(G323="Engaging",J323&gt;Parâmetros!$B$6),"Sim","Não")</f>
        <v>Não</v>
      </c>
      <c r="P323" s="32" t="str">
        <f aca="false">IF(O323="Sim","R",IF(N323&gt;=Parâmetros!$B$39,"A",IF(N323&gt;=Parâmetros!$B$40,"B",IF(N323&gt;=Parâmetros!$B$41,"C","D"))))</f>
        <v>C</v>
      </c>
      <c r="Q323" s="10" t="str">
        <f aca="false">IF(F323="","Completar cadastro","")</f>
        <v>Completar cadastro</v>
      </c>
      <c r="R323" s="10" t="str">
        <f aca="false">INDEX(Parâmetros!$D$39:$D$43,MATCH(P323,Parâmetros!$A$39:$A$43,0))</f>
        <v>Cadência leve, foco em qualificar</v>
      </c>
    </row>
    <row r="324" customFormat="false" ht="15" hidden="false" customHeight="false" outlineLevel="0" collapsed="false">
      <c r="A324" s="10" t="s">
        <v>552</v>
      </c>
      <c r="B324" s="10" t="s">
        <v>77</v>
      </c>
      <c r="C324" s="10" t="s">
        <v>78</v>
      </c>
      <c r="D324" s="10" t="s">
        <v>196</v>
      </c>
      <c r="E324" s="10" t="s">
        <v>48</v>
      </c>
      <c r="F324" s="10"/>
      <c r="G324" s="10" t="s">
        <v>425</v>
      </c>
      <c r="H324" s="10"/>
      <c r="I324" s="8" t="n">
        <f aca="false">INDEX(Parâmetros!$C$13:$C$19,MATCH(E324,Parâmetros!$A$13:$A$19,0))</f>
        <v>4821</v>
      </c>
      <c r="J324" s="26" t="str">
        <f aca="false">IF(H324="","",Parâmetros!$B$5-H324)</f>
        <v/>
      </c>
      <c r="K324" s="10" t="n">
        <f aca="false">INDEX(Parâmetros!$D$13:$D$19,MATCH(E324,Parâmetros!$A$13:$A$19,0))</f>
        <v>43</v>
      </c>
      <c r="L324" s="26" t="n">
        <f aca="false">IF(G324="Prospecting",Parâmetros!$B$9,IF(J324&gt;Parâmetros!$B$6,0,INDEX(Parâmetros!$C$24:$C$26,MATCH(J324,Parâmetros!$A$24:$A$26,1))))</f>
        <v>10</v>
      </c>
      <c r="M324" s="31" t="n">
        <f aca="false">IF(G324="Prospecting",1,INDEX(Parâmetros!$C$32:$C$35,MATCH(J324,Parâmetros!$A$32:$A$35,1)))</f>
        <v>1</v>
      </c>
      <c r="N324" s="2" t="n">
        <f aca="false">ROUND((K324+L324)*M324,0)</f>
        <v>53</v>
      </c>
      <c r="O324" s="10" t="str">
        <f aca="false">IF(AND(G324="Engaging",J324&gt;Parâmetros!$B$6),"Sim","Não")</f>
        <v>Não</v>
      </c>
      <c r="P324" s="32" t="str">
        <f aca="false">IF(O324="Sim","R",IF(N324&gt;=Parâmetros!$B$39,"A",IF(N324&gt;=Parâmetros!$B$40,"B",IF(N324&gt;=Parâmetros!$B$41,"C","D"))))</f>
        <v>C</v>
      </c>
      <c r="Q324" s="10" t="str">
        <f aca="false">IF(F324="","Completar cadastro","")</f>
        <v>Completar cadastro</v>
      </c>
      <c r="R324" s="10" t="str">
        <f aca="false">INDEX(Parâmetros!$D$39:$D$43,MATCH(P324,Parâmetros!$A$39:$A$43,0))</f>
        <v>Cadência leve, foco em qualificar</v>
      </c>
    </row>
    <row r="325" customFormat="false" ht="15" hidden="false" customHeight="false" outlineLevel="0" collapsed="false">
      <c r="A325" s="10" t="s">
        <v>553</v>
      </c>
      <c r="B325" s="10" t="s">
        <v>77</v>
      </c>
      <c r="C325" s="10" t="s">
        <v>78</v>
      </c>
      <c r="D325" s="10" t="s">
        <v>196</v>
      </c>
      <c r="E325" s="10" t="s">
        <v>48</v>
      </c>
      <c r="F325" s="10"/>
      <c r="G325" s="10" t="s">
        <v>425</v>
      </c>
      <c r="H325" s="10"/>
      <c r="I325" s="8" t="n">
        <f aca="false">INDEX(Parâmetros!$C$13:$C$19,MATCH(E325,Parâmetros!$A$13:$A$19,0))</f>
        <v>4821</v>
      </c>
      <c r="J325" s="26" t="str">
        <f aca="false">IF(H325="","",Parâmetros!$B$5-H325)</f>
        <v/>
      </c>
      <c r="K325" s="10" t="n">
        <f aca="false">INDEX(Parâmetros!$D$13:$D$19,MATCH(E325,Parâmetros!$A$13:$A$19,0))</f>
        <v>43</v>
      </c>
      <c r="L325" s="26" t="n">
        <f aca="false">IF(G325="Prospecting",Parâmetros!$B$9,IF(J325&gt;Parâmetros!$B$6,0,INDEX(Parâmetros!$C$24:$C$26,MATCH(J325,Parâmetros!$A$24:$A$26,1))))</f>
        <v>10</v>
      </c>
      <c r="M325" s="31" t="n">
        <f aca="false">IF(G325="Prospecting",1,INDEX(Parâmetros!$C$32:$C$35,MATCH(J325,Parâmetros!$A$32:$A$35,1)))</f>
        <v>1</v>
      </c>
      <c r="N325" s="2" t="n">
        <f aca="false">ROUND((K325+L325)*M325,0)</f>
        <v>53</v>
      </c>
      <c r="O325" s="10" t="str">
        <f aca="false">IF(AND(G325="Engaging",J325&gt;Parâmetros!$B$6),"Sim","Não")</f>
        <v>Não</v>
      </c>
      <c r="P325" s="32" t="str">
        <f aca="false">IF(O325="Sim","R",IF(N325&gt;=Parâmetros!$B$39,"A",IF(N325&gt;=Parâmetros!$B$40,"B",IF(N325&gt;=Parâmetros!$B$41,"C","D"))))</f>
        <v>C</v>
      </c>
      <c r="Q325" s="10" t="str">
        <f aca="false">IF(F325="","Completar cadastro","")</f>
        <v>Completar cadastro</v>
      </c>
      <c r="R325" s="10" t="str">
        <f aca="false">INDEX(Parâmetros!$D$39:$D$43,MATCH(P325,Parâmetros!$A$39:$A$43,0))</f>
        <v>Cadência leve, foco em qualificar</v>
      </c>
    </row>
    <row r="326" customFormat="false" ht="15" hidden="false" customHeight="false" outlineLevel="0" collapsed="false">
      <c r="A326" s="10" t="s">
        <v>554</v>
      </c>
      <c r="B326" s="10" t="s">
        <v>77</v>
      </c>
      <c r="C326" s="10" t="s">
        <v>78</v>
      </c>
      <c r="D326" s="10" t="s">
        <v>196</v>
      </c>
      <c r="E326" s="10" t="s">
        <v>48</v>
      </c>
      <c r="F326" s="10"/>
      <c r="G326" s="10" t="s">
        <v>425</v>
      </c>
      <c r="H326" s="10"/>
      <c r="I326" s="8" t="n">
        <f aca="false">INDEX(Parâmetros!$C$13:$C$19,MATCH(E326,Parâmetros!$A$13:$A$19,0))</f>
        <v>4821</v>
      </c>
      <c r="J326" s="26" t="str">
        <f aca="false">IF(H326="","",Parâmetros!$B$5-H326)</f>
        <v/>
      </c>
      <c r="K326" s="10" t="n">
        <f aca="false">INDEX(Parâmetros!$D$13:$D$19,MATCH(E326,Parâmetros!$A$13:$A$19,0))</f>
        <v>43</v>
      </c>
      <c r="L326" s="26" t="n">
        <f aca="false">IF(G326="Prospecting",Parâmetros!$B$9,IF(J326&gt;Parâmetros!$B$6,0,INDEX(Parâmetros!$C$24:$C$26,MATCH(J326,Parâmetros!$A$24:$A$26,1))))</f>
        <v>10</v>
      </c>
      <c r="M326" s="31" t="n">
        <f aca="false">IF(G326="Prospecting",1,INDEX(Parâmetros!$C$32:$C$35,MATCH(J326,Parâmetros!$A$32:$A$35,1)))</f>
        <v>1</v>
      </c>
      <c r="N326" s="2" t="n">
        <f aca="false">ROUND((K326+L326)*M326,0)</f>
        <v>53</v>
      </c>
      <c r="O326" s="10" t="str">
        <f aca="false">IF(AND(G326="Engaging",J326&gt;Parâmetros!$B$6),"Sim","Não")</f>
        <v>Não</v>
      </c>
      <c r="P326" s="32" t="str">
        <f aca="false">IF(O326="Sim","R",IF(N326&gt;=Parâmetros!$B$39,"A",IF(N326&gt;=Parâmetros!$B$40,"B",IF(N326&gt;=Parâmetros!$B$41,"C","D"))))</f>
        <v>C</v>
      </c>
      <c r="Q326" s="10" t="str">
        <f aca="false">IF(F326="","Completar cadastro","")</f>
        <v>Completar cadastro</v>
      </c>
      <c r="R326" s="10" t="str">
        <f aca="false">INDEX(Parâmetros!$D$39:$D$43,MATCH(P326,Parâmetros!$A$39:$A$43,0))</f>
        <v>Cadência leve, foco em qualificar</v>
      </c>
    </row>
    <row r="327" customFormat="false" ht="15" hidden="false" customHeight="false" outlineLevel="0" collapsed="false">
      <c r="A327" s="10" t="s">
        <v>555</v>
      </c>
      <c r="B327" s="10" t="s">
        <v>77</v>
      </c>
      <c r="C327" s="10" t="s">
        <v>78</v>
      </c>
      <c r="D327" s="10" t="s">
        <v>196</v>
      </c>
      <c r="E327" s="10" t="s">
        <v>48</v>
      </c>
      <c r="F327" s="10"/>
      <c r="G327" s="10" t="s">
        <v>425</v>
      </c>
      <c r="H327" s="10"/>
      <c r="I327" s="8" t="n">
        <f aca="false">INDEX(Parâmetros!$C$13:$C$19,MATCH(E327,Parâmetros!$A$13:$A$19,0))</f>
        <v>4821</v>
      </c>
      <c r="J327" s="26" t="str">
        <f aca="false">IF(H327="","",Parâmetros!$B$5-H327)</f>
        <v/>
      </c>
      <c r="K327" s="10" t="n">
        <f aca="false">INDEX(Parâmetros!$D$13:$D$19,MATCH(E327,Parâmetros!$A$13:$A$19,0))</f>
        <v>43</v>
      </c>
      <c r="L327" s="26" t="n">
        <f aca="false">IF(G327="Prospecting",Parâmetros!$B$9,IF(J327&gt;Parâmetros!$B$6,0,INDEX(Parâmetros!$C$24:$C$26,MATCH(J327,Parâmetros!$A$24:$A$26,1))))</f>
        <v>10</v>
      </c>
      <c r="M327" s="31" t="n">
        <f aca="false">IF(G327="Prospecting",1,INDEX(Parâmetros!$C$32:$C$35,MATCH(J327,Parâmetros!$A$32:$A$35,1)))</f>
        <v>1</v>
      </c>
      <c r="N327" s="2" t="n">
        <f aca="false">ROUND((K327+L327)*M327,0)</f>
        <v>53</v>
      </c>
      <c r="O327" s="10" t="str">
        <f aca="false">IF(AND(G327="Engaging",J327&gt;Parâmetros!$B$6),"Sim","Não")</f>
        <v>Não</v>
      </c>
      <c r="P327" s="32" t="str">
        <f aca="false">IF(O327="Sim","R",IF(N327&gt;=Parâmetros!$B$39,"A",IF(N327&gt;=Parâmetros!$B$40,"B",IF(N327&gt;=Parâmetros!$B$41,"C","D"))))</f>
        <v>C</v>
      </c>
      <c r="Q327" s="10" t="str">
        <f aca="false">IF(F327="","Completar cadastro","")</f>
        <v>Completar cadastro</v>
      </c>
      <c r="R327" s="10" t="str">
        <f aca="false">INDEX(Parâmetros!$D$39:$D$43,MATCH(P327,Parâmetros!$A$39:$A$43,0))</f>
        <v>Cadência leve, foco em qualificar</v>
      </c>
    </row>
    <row r="328" customFormat="false" ht="15" hidden="false" customHeight="false" outlineLevel="0" collapsed="false">
      <c r="A328" s="10" t="s">
        <v>556</v>
      </c>
      <c r="B328" s="10" t="s">
        <v>77</v>
      </c>
      <c r="C328" s="10" t="s">
        <v>78</v>
      </c>
      <c r="D328" s="10" t="s">
        <v>196</v>
      </c>
      <c r="E328" s="10" t="s">
        <v>48</v>
      </c>
      <c r="F328" s="10"/>
      <c r="G328" s="10" t="s">
        <v>425</v>
      </c>
      <c r="H328" s="10"/>
      <c r="I328" s="8" t="n">
        <f aca="false">INDEX(Parâmetros!$C$13:$C$19,MATCH(E328,Parâmetros!$A$13:$A$19,0))</f>
        <v>4821</v>
      </c>
      <c r="J328" s="26" t="str">
        <f aca="false">IF(H328="","",Parâmetros!$B$5-H328)</f>
        <v/>
      </c>
      <c r="K328" s="10" t="n">
        <f aca="false">INDEX(Parâmetros!$D$13:$D$19,MATCH(E328,Parâmetros!$A$13:$A$19,0))</f>
        <v>43</v>
      </c>
      <c r="L328" s="26" t="n">
        <f aca="false">IF(G328="Prospecting",Parâmetros!$B$9,IF(J328&gt;Parâmetros!$B$6,0,INDEX(Parâmetros!$C$24:$C$26,MATCH(J328,Parâmetros!$A$24:$A$26,1))))</f>
        <v>10</v>
      </c>
      <c r="M328" s="31" t="n">
        <f aca="false">IF(G328="Prospecting",1,INDEX(Parâmetros!$C$32:$C$35,MATCH(J328,Parâmetros!$A$32:$A$35,1)))</f>
        <v>1</v>
      </c>
      <c r="N328" s="2" t="n">
        <f aca="false">ROUND((K328+L328)*M328,0)</f>
        <v>53</v>
      </c>
      <c r="O328" s="10" t="str">
        <f aca="false">IF(AND(G328="Engaging",J328&gt;Parâmetros!$B$6),"Sim","Não")</f>
        <v>Não</v>
      </c>
      <c r="P328" s="32" t="str">
        <f aca="false">IF(O328="Sim","R",IF(N328&gt;=Parâmetros!$B$39,"A",IF(N328&gt;=Parâmetros!$B$40,"B",IF(N328&gt;=Parâmetros!$B$41,"C","D"))))</f>
        <v>C</v>
      </c>
      <c r="Q328" s="10" t="str">
        <f aca="false">IF(F328="","Completar cadastro","")</f>
        <v>Completar cadastro</v>
      </c>
      <c r="R328" s="10" t="str">
        <f aca="false">INDEX(Parâmetros!$D$39:$D$43,MATCH(P328,Parâmetros!$A$39:$A$43,0))</f>
        <v>Cadência leve, foco em qualificar</v>
      </c>
    </row>
    <row r="329" customFormat="false" ht="15" hidden="false" customHeight="false" outlineLevel="0" collapsed="false">
      <c r="A329" s="10" t="s">
        <v>557</v>
      </c>
      <c r="B329" s="10" t="s">
        <v>77</v>
      </c>
      <c r="C329" s="10" t="s">
        <v>78</v>
      </c>
      <c r="D329" s="10" t="s">
        <v>196</v>
      </c>
      <c r="E329" s="10" t="s">
        <v>48</v>
      </c>
      <c r="F329" s="10"/>
      <c r="G329" s="10" t="s">
        <v>425</v>
      </c>
      <c r="H329" s="10"/>
      <c r="I329" s="8" t="n">
        <f aca="false">INDEX(Parâmetros!$C$13:$C$19,MATCH(E329,Parâmetros!$A$13:$A$19,0))</f>
        <v>4821</v>
      </c>
      <c r="J329" s="26" t="str">
        <f aca="false">IF(H329="","",Parâmetros!$B$5-H329)</f>
        <v/>
      </c>
      <c r="K329" s="10" t="n">
        <f aca="false">INDEX(Parâmetros!$D$13:$D$19,MATCH(E329,Parâmetros!$A$13:$A$19,0))</f>
        <v>43</v>
      </c>
      <c r="L329" s="26" t="n">
        <f aca="false">IF(G329="Prospecting",Parâmetros!$B$9,IF(J329&gt;Parâmetros!$B$6,0,INDEX(Parâmetros!$C$24:$C$26,MATCH(J329,Parâmetros!$A$24:$A$26,1))))</f>
        <v>10</v>
      </c>
      <c r="M329" s="31" t="n">
        <f aca="false">IF(G329="Prospecting",1,INDEX(Parâmetros!$C$32:$C$35,MATCH(J329,Parâmetros!$A$32:$A$35,1)))</f>
        <v>1</v>
      </c>
      <c r="N329" s="2" t="n">
        <f aca="false">ROUND((K329+L329)*M329,0)</f>
        <v>53</v>
      </c>
      <c r="O329" s="10" t="str">
        <f aca="false">IF(AND(G329="Engaging",J329&gt;Parâmetros!$B$6),"Sim","Não")</f>
        <v>Não</v>
      </c>
      <c r="P329" s="32" t="str">
        <f aca="false">IF(O329="Sim","R",IF(N329&gt;=Parâmetros!$B$39,"A",IF(N329&gt;=Parâmetros!$B$40,"B",IF(N329&gt;=Parâmetros!$B$41,"C","D"))))</f>
        <v>C</v>
      </c>
      <c r="Q329" s="10" t="str">
        <f aca="false">IF(F329="","Completar cadastro","")</f>
        <v>Completar cadastro</v>
      </c>
      <c r="R329" s="10" t="str">
        <f aca="false">INDEX(Parâmetros!$D$39:$D$43,MATCH(P329,Parâmetros!$A$39:$A$43,0))</f>
        <v>Cadência leve, foco em qualificar</v>
      </c>
    </row>
    <row r="330" customFormat="false" ht="15" hidden="false" customHeight="false" outlineLevel="0" collapsed="false">
      <c r="A330" s="10" t="s">
        <v>558</v>
      </c>
      <c r="B330" s="10" t="s">
        <v>77</v>
      </c>
      <c r="C330" s="10" t="s">
        <v>78</v>
      </c>
      <c r="D330" s="10" t="s">
        <v>196</v>
      </c>
      <c r="E330" s="10" t="s">
        <v>48</v>
      </c>
      <c r="F330" s="10"/>
      <c r="G330" s="10" t="s">
        <v>425</v>
      </c>
      <c r="H330" s="10"/>
      <c r="I330" s="8" t="n">
        <f aca="false">INDEX(Parâmetros!$C$13:$C$19,MATCH(E330,Parâmetros!$A$13:$A$19,0))</f>
        <v>4821</v>
      </c>
      <c r="J330" s="26" t="str">
        <f aca="false">IF(H330="","",Parâmetros!$B$5-H330)</f>
        <v/>
      </c>
      <c r="K330" s="10" t="n">
        <f aca="false">INDEX(Parâmetros!$D$13:$D$19,MATCH(E330,Parâmetros!$A$13:$A$19,0))</f>
        <v>43</v>
      </c>
      <c r="L330" s="26" t="n">
        <f aca="false">IF(G330="Prospecting",Parâmetros!$B$9,IF(J330&gt;Parâmetros!$B$6,0,INDEX(Parâmetros!$C$24:$C$26,MATCH(J330,Parâmetros!$A$24:$A$26,1))))</f>
        <v>10</v>
      </c>
      <c r="M330" s="31" t="n">
        <f aca="false">IF(G330="Prospecting",1,INDEX(Parâmetros!$C$32:$C$35,MATCH(J330,Parâmetros!$A$32:$A$35,1)))</f>
        <v>1</v>
      </c>
      <c r="N330" s="2" t="n">
        <f aca="false">ROUND((K330+L330)*M330,0)</f>
        <v>53</v>
      </c>
      <c r="O330" s="10" t="str">
        <f aca="false">IF(AND(G330="Engaging",J330&gt;Parâmetros!$B$6),"Sim","Não")</f>
        <v>Não</v>
      </c>
      <c r="P330" s="32" t="str">
        <f aca="false">IF(O330="Sim","R",IF(N330&gt;=Parâmetros!$B$39,"A",IF(N330&gt;=Parâmetros!$B$40,"B",IF(N330&gt;=Parâmetros!$B$41,"C","D"))))</f>
        <v>C</v>
      </c>
      <c r="Q330" s="10" t="str">
        <f aca="false">IF(F330="","Completar cadastro","")</f>
        <v>Completar cadastro</v>
      </c>
      <c r="R330" s="10" t="str">
        <f aca="false">INDEX(Parâmetros!$D$39:$D$43,MATCH(P330,Parâmetros!$A$39:$A$43,0))</f>
        <v>Cadência leve, foco em qualificar</v>
      </c>
    </row>
    <row r="331" customFormat="false" ht="15" hidden="false" customHeight="false" outlineLevel="0" collapsed="false">
      <c r="A331" s="10" t="s">
        <v>559</v>
      </c>
      <c r="B331" s="10" t="s">
        <v>77</v>
      </c>
      <c r="C331" s="10" t="s">
        <v>78</v>
      </c>
      <c r="D331" s="10" t="s">
        <v>196</v>
      </c>
      <c r="E331" s="10" t="s">
        <v>48</v>
      </c>
      <c r="F331" s="10"/>
      <c r="G331" s="10" t="s">
        <v>425</v>
      </c>
      <c r="H331" s="10"/>
      <c r="I331" s="8" t="n">
        <f aca="false">INDEX(Parâmetros!$C$13:$C$19,MATCH(E331,Parâmetros!$A$13:$A$19,0))</f>
        <v>4821</v>
      </c>
      <c r="J331" s="26" t="str">
        <f aca="false">IF(H331="","",Parâmetros!$B$5-H331)</f>
        <v/>
      </c>
      <c r="K331" s="10" t="n">
        <f aca="false">INDEX(Parâmetros!$D$13:$D$19,MATCH(E331,Parâmetros!$A$13:$A$19,0))</f>
        <v>43</v>
      </c>
      <c r="L331" s="26" t="n">
        <f aca="false">IF(G331="Prospecting",Parâmetros!$B$9,IF(J331&gt;Parâmetros!$B$6,0,INDEX(Parâmetros!$C$24:$C$26,MATCH(J331,Parâmetros!$A$24:$A$26,1))))</f>
        <v>10</v>
      </c>
      <c r="M331" s="31" t="n">
        <f aca="false">IF(G331="Prospecting",1,INDEX(Parâmetros!$C$32:$C$35,MATCH(J331,Parâmetros!$A$32:$A$35,1)))</f>
        <v>1</v>
      </c>
      <c r="N331" s="2" t="n">
        <f aca="false">ROUND((K331+L331)*M331,0)</f>
        <v>53</v>
      </c>
      <c r="O331" s="10" t="str">
        <f aca="false">IF(AND(G331="Engaging",J331&gt;Parâmetros!$B$6),"Sim","Não")</f>
        <v>Não</v>
      </c>
      <c r="P331" s="32" t="str">
        <f aca="false">IF(O331="Sim","R",IF(N331&gt;=Parâmetros!$B$39,"A",IF(N331&gt;=Parâmetros!$B$40,"B",IF(N331&gt;=Parâmetros!$B$41,"C","D"))))</f>
        <v>C</v>
      </c>
      <c r="Q331" s="10" t="str">
        <f aca="false">IF(F331="","Completar cadastro","")</f>
        <v>Completar cadastro</v>
      </c>
      <c r="R331" s="10" t="str">
        <f aca="false">INDEX(Parâmetros!$D$39:$D$43,MATCH(P331,Parâmetros!$A$39:$A$43,0))</f>
        <v>Cadência leve, foco em qualificar</v>
      </c>
    </row>
    <row r="332" customFormat="false" ht="15" hidden="false" customHeight="false" outlineLevel="0" collapsed="false">
      <c r="A332" s="10" t="s">
        <v>560</v>
      </c>
      <c r="B332" s="10" t="s">
        <v>77</v>
      </c>
      <c r="C332" s="10" t="s">
        <v>78</v>
      </c>
      <c r="D332" s="10" t="s">
        <v>196</v>
      </c>
      <c r="E332" s="10" t="s">
        <v>48</v>
      </c>
      <c r="F332" s="10"/>
      <c r="G332" s="10" t="s">
        <v>425</v>
      </c>
      <c r="H332" s="10"/>
      <c r="I332" s="8" t="n">
        <f aca="false">INDEX(Parâmetros!$C$13:$C$19,MATCH(E332,Parâmetros!$A$13:$A$19,0))</f>
        <v>4821</v>
      </c>
      <c r="J332" s="26" t="str">
        <f aca="false">IF(H332="","",Parâmetros!$B$5-H332)</f>
        <v/>
      </c>
      <c r="K332" s="10" t="n">
        <f aca="false">INDEX(Parâmetros!$D$13:$D$19,MATCH(E332,Parâmetros!$A$13:$A$19,0))</f>
        <v>43</v>
      </c>
      <c r="L332" s="26" t="n">
        <f aca="false">IF(G332="Prospecting",Parâmetros!$B$9,IF(J332&gt;Parâmetros!$B$6,0,INDEX(Parâmetros!$C$24:$C$26,MATCH(J332,Parâmetros!$A$24:$A$26,1))))</f>
        <v>10</v>
      </c>
      <c r="M332" s="31" t="n">
        <f aca="false">IF(G332="Prospecting",1,INDEX(Parâmetros!$C$32:$C$35,MATCH(J332,Parâmetros!$A$32:$A$35,1)))</f>
        <v>1</v>
      </c>
      <c r="N332" s="2" t="n">
        <f aca="false">ROUND((K332+L332)*M332,0)</f>
        <v>53</v>
      </c>
      <c r="O332" s="10" t="str">
        <f aca="false">IF(AND(G332="Engaging",J332&gt;Parâmetros!$B$6),"Sim","Não")</f>
        <v>Não</v>
      </c>
      <c r="P332" s="32" t="str">
        <f aca="false">IF(O332="Sim","R",IF(N332&gt;=Parâmetros!$B$39,"A",IF(N332&gt;=Parâmetros!$B$40,"B",IF(N332&gt;=Parâmetros!$B$41,"C","D"))))</f>
        <v>C</v>
      </c>
      <c r="Q332" s="10" t="str">
        <f aca="false">IF(F332="","Completar cadastro","")</f>
        <v>Completar cadastro</v>
      </c>
      <c r="R332" s="10" t="str">
        <f aca="false">INDEX(Parâmetros!$D$39:$D$43,MATCH(P332,Parâmetros!$A$39:$A$43,0))</f>
        <v>Cadência leve, foco em qualificar</v>
      </c>
    </row>
    <row r="333" customFormat="false" ht="15" hidden="false" customHeight="false" outlineLevel="0" collapsed="false">
      <c r="A333" s="10" t="s">
        <v>561</v>
      </c>
      <c r="B333" s="10" t="s">
        <v>77</v>
      </c>
      <c r="C333" s="10" t="s">
        <v>78</v>
      </c>
      <c r="D333" s="10" t="s">
        <v>196</v>
      </c>
      <c r="E333" s="10" t="s">
        <v>48</v>
      </c>
      <c r="F333" s="10"/>
      <c r="G333" s="10" t="s">
        <v>425</v>
      </c>
      <c r="H333" s="10"/>
      <c r="I333" s="8" t="n">
        <f aca="false">INDEX(Parâmetros!$C$13:$C$19,MATCH(E333,Parâmetros!$A$13:$A$19,0))</f>
        <v>4821</v>
      </c>
      <c r="J333" s="26" t="str">
        <f aca="false">IF(H333="","",Parâmetros!$B$5-H333)</f>
        <v/>
      </c>
      <c r="K333" s="10" t="n">
        <f aca="false">INDEX(Parâmetros!$D$13:$D$19,MATCH(E333,Parâmetros!$A$13:$A$19,0))</f>
        <v>43</v>
      </c>
      <c r="L333" s="26" t="n">
        <f aca="false">IF(G333="Prospecting",Parâmetros!$B$9,IF(J333&gt;Parâmetros!$B$6,0,INDEX(Parâmetros!$C$24:$C$26,MATCH(J333,Parâmetros!$A$24:$A$26,1))))</f>
        <v>10</v>
      </c>
      <c r="M333" s="31" t="n">
        <f aca="false">IF(G333="Prospecting",1,INDEX(Parâmetros!$C$32:$C$35,MATCH(J333,Parâmetros!$A$32:$A$35,1)))</f>
        <v>1</v>
      </c>
      <c r="N333" s="2" t="n">
        <f aca="false">ROUND((K333+L333)*M333,0)</f>
        <v>53</v>
      </c>
      <c r="O333" s="10" t="str">
        <f aca="false">IF(AND(G333="Engaging",J333&gt;Parâmetros!$B$6),"Sim","Não")</f>
        <v>Não</v>
      </c>
      <c r="P333" s="32" t="str">
        <f aca="false">IF(O333="Sim","R",IF(N333&gt;=Parâmetros!$B$39,"A",IF(N333&gt;=Parâmetros!$B$40,"B",IF(N333&gt;=Parâmetros!$B$41,"C","D"))))</f>
        <v>C</v>
      </c>
      <c r="Q333" s="10" t="str">
        <f aca="false">IF(F333="","Completar cadastro","")</f>
        <v>Completar cadastro</v>
      </c>
      <c r="R333" s="10" t="str">
        <f aca="false">INDEX(Parâmetros!$D$39:$D$43,MATCH(P333,Parâmetros!$A$39:$A$43,0))</f>
        <v>Cadência leve, foco em qualificar</v>
      </c>
    </row>
    <row r="334" customFormat="false" ht="15" hidden="false" customHeight="false" outlineLevel="0" collapsed="false">
      <c r="A334" s="10" t="s">
        <v>562</v>
      </c>
      <c r="B334" s="10" t="s">
        <v>77</v>
      </c>
      <c r="C334" s="10" t="s">
        <v>78</v>
      </c>
      <c r="D334" s="10" t="s">
        <v>196</v>
      </c>
      <c r="E334" s="10" t="s">
        <v>48</v>
      </c>
      <c r="F334" s="10"/>
      <c r="G334" s="10" t="s">
        <v>425</v>
      </c>
      <c r="H334" s="10"/>
      <c r="I334" s="8" t="n">
        <f aca="false">INDEX(Parâmetros!$C$13:$C$19,MATCH(E334,Parâmetros!$A$13:$A$19,0))</f>
        <v>4821</v>
      </c>
      <c r="J334" s="26" t="str">
        <f aca="false">IF(H334="","",Parâmetros!$B$5-H334)</f>
        <v/>
      </c>
      <c r="K334" s="10" t="n">
        <f aca="false">INDEX(Parâmetros!$D$13:$D$19,MATCH(E334,Parâmetros!$A$13:$A$19,0))</f>
        <v>43</v>
      </c>
      <c r="L334" s="26" t="n">
        <f aca="false">IF(G334="Prospecting",Parâmetros!$B$9,IF(J334&gt;Parâmetros!$B$6,0,INDEX(Parâmetros!$C$24:$C$26,MATCH(J334,Parâmetros!$A$24:$A$26,1))))</f>
        <v>10</v>
      </c>
      <c r="M334" s="31" t="n">
        <f aca="false">IF(G334="Prospecting",1,INDEX(Parâmetros!$C$32:$C$35,MATCH(J334,Parâmetros!$A$32:$A$35,1)))</f>
        <v>1</v>
      </c>
      <c r="N334" s="2" t="n">
        <f aca="false">ROUND((K334+L334)*M334,0)</f>
        <v>53</v>
      </c>
      <c r="O334" s="10" t="str">
        <f aca="false">IF(AND(G334="Engaging",J334&gt;Parâmetros!$B$6),"Sim","Não")</f>
        <v>Não</v>
      </c>
      <c r="P334" s="32" t="str">
        <f aca="false">IF(O334="Sim","R",IF(N334&gt;=Parâmetros!$B$39,"A",IF(N334&gt;=Parâmetros!$B$40,"B",IF(N334&gt;=Parâmetros!$B$41,"C","D"))))</f>
        <v>C</v>
      </c>
      <c r="Q334" s="10" t="str">
        <f aca="false">IF(F334="","Completar cadastro","")</f>
        <v>Completar cadastro</v>
      </c>
      <c r="R334" s="10" t="str">
        <f aca="false">INDEX(Parâmetros!$D$39:$D$43,MATCH(P334,Parâmetros!$A$39:$A$43,0))</f>
        <v>Cadência leve, foco em qualificar</v>
      </c>
    </row>
    <row r="335" customFormat="false" ht="15" hidden="false" customHeight="false" outlineLevel="0" collapsed="false">
      <c r="A335" s="10" t="s">
        <v>563</v>
      </c>
      <c r="B335" s="10" t="s">
        <v>77</v>
      </c>
      <c r="C335" s="10" t="s">
        <v>78</v>
      </c>
      <c r="D335" s="10" t="s">
        <v>196</v>
      </c>
      <c r="E335" s="10" t="s">
        <v>48</v>
      </c>
      <c r="F335" s="10"/>
      <c r="G335" s="10" t="s">
        <v>425</v>
      </c>
      <c r="H335" s="10"/>
      <c r="I335" s="8" t="n">
        <f aca="false">INDEX(Parâmetros!$C$13:$C$19,MATCH(E335,Parâmetros!$A$13:$A$19,0))</f>
        <v>4821</v>
      </c>
      <c r="J335" s="26" t="str">
        <f aca="false">IF(H335="","",Parâmetros!$B$5-H335)</f>
        <v/>
      </c>
      <c r="K335" s="10" t="n">
        <f aca="false">INDEX(Parâmetros!$D$13:$D$19,MATCH(E335,Parâmetros!$A$13:$A$19,0))</f>
        <v>43</v>
      </c>
      <c r="L335" s="26" t="n">
        <f aca="false">IF(G335="Prospecting",Parâmetros!$B$9,IF(J335&gt;Parâmetros!$B$6,0,INDEX(Parâmetros!$C$24:$C$26,MATCH(J335,Parâmetros!$A$24:$A$26,1))))</f>
        <v>10</v>
      </c>
      <c r="M335" s="31" t="n">
        <f aca="false">IF(G335="Prospecting",1,INDEX(Parâmetros!$C$32:$C$35,MATCH(J335,Parâmetros!$A$32:$A$35,1)))</f>
        <v>1</v>
      </c>
      <c r="N335" s="2" t="n">
        <f aca="false">ROUND((K335+L335)*M335,0)</f>
        <v>53</v>
      </c>
      <c r="O335" s="10" t="str">
        <f aca="false">IF(AND(G335="Engaging",J335&gt;Parâmetros!$B$6),"Sim","Não")</f>
        <v>Não</v>
      </c>
      <c r="P335" s="32" t="str">
        <f aca="false">IF(O335="Sim","R",IF(N335&gt;=Parâmetros!$B$39,"A",IF(N335&gt;=Parâmetros!$B$40,"B",IF(N335&gt;=Parâmetros!$B$41,"C","D"))))</f>
        <v>C</v>
      </c>
      <c r="Q335" s="10" t="str">
        <f aca="false">IF(F335="","Completar cadastro","")</f>
        <v>Completar cadastro</v>
      </c>
      <c r="R335" s="10" t="str">
        <f aca="false">INDEX(Parâmetros!$D$39:$D$43,MATCH(P335,Parâmetros!$A$39:$A$43,0))</f>
        <v>Cadência leve, foco em qualificar</v>
      </c>
    </row>
    <row r="336" customFormat="false" ht="15" hidden="false" customHeight="false" outlineLevel="0" collapsed="false">
      <c r="A336" s="10" t="s">
        <v>564</v>
      </c>
      <c r="B336" s="10" t="s">
        <v>77</v>
      </c>
      <c r="C336" s="10" t="s">
        <v>78</v>
      </c>
      <c r="D336" s="10" t="s">
        <v>196</v>
      </c>
      <c r="E336" s="10" t="s">
        <v>48</v>
      </c>
      <c r="F336" s="10"/>
      <c r="G336" s="10" t="s">
        <v>425</v>
      </c>
      <c r="H336" s="10"/>
      <c r="I336" s="8" t="n">
        <f aca="false">INDEX(Parâmetros!$C$13:$C$19,MATCH(E336,Parâmetros!$A$13:$A$19,0))</f>
        <v>4821</v>
      </c>
      <c r="J336" s="26" t="str">
        <f aca="false">IF(H336="","",Parâmetros!$B$5-H336)</f>
        <v/>
      </c>
      <c r="K336" s="10" t="n">
        <f aca="false">INDEX(Parâmetros!$D$13:$D$19,MATCH(E336,Parâmetros!$A$13:$A$19,0))</f>
        <v>43</v>
      </c>
      <c r="L336" s="26" t="n">
        <f aca="false">IF(G336="Prospecting",Parâmetros!$B$9,IF(J336&gt;Parâmetros!$B$6,0,INDEX(Parâmetros!$C$24:$C$26,MATCH(J336,Parâmetros!$A$24:$A$26,1))))</f>
        <v>10</v>
      </c>
      <c r="M336" s="31" t="n">
        <f aca="false">IF(G336="Prospecting",1,INDEX(Parâmetros!$C$32:$C$35,MATCH(J336,Parâmetros!$A$32:$A$35,1)))</f>
        <v>1</v>
      </c>
      <c r="N336" s="2" t="n">
        <f aca="false">ROUND((K336+L336)*M336,0)</f>
        <v>53</v>
      </c>
      <c r="O336" s="10" t="str">
        <f aca="false">IF(AND(G336="Engaging",J336&gt;Parâmetros!$B$6),"Sim","Não")</f>
        <v>Não</v>
      </c>
      <c r="P336" s="32" t="str">
        <f aca="false">IF(O336="Sim","R",IF(N336&gt;=Parâmetros!$B$39,"A",IF(N336&gt;=Parâmetros!$B$40,"B",IF(N336&gt;=Parâmetros!$B$41,"C","D"))))</f>
        <v>C</v>
      </c>
      <c r="Q336" s="10" t="str">
        <f aca="false">IF(F336="","Completar cadastro","")</f>
        <v>Completar cadastro</v>
      </c>
      <c r="R336" s="10" t="str">
        <f aca="false">INDEX(Parâmetros!$D$39:$D$43,MATCH(P336,Parâmetros!$A$39:$A$43,0))</f>
        <v>Cadência leve, foco em qualificar</v>
      </c>
    </row>
    <row r="337" customFormat="false" ht="15" hidden="false" customHeight="false" outlineLevel="0" collapsed="false">
      <c r="A337" s="10" t="s">
        <v>565</v>
      </c>
      <c r="B337" s="10" t="s">
        <v>79</v>
      </c>
      <c r="C337" s="10" t="s">
        <v>78</v>
      </c>
      <c r="D337" s="10" t="s">
        <v>196</v>
      </c>
      <c r="E337" s="10" t="s">
        <v>48</v>
      </c>
      <c r="F337" s="10" t="s">
        <v>422</v>
      </c>
      <c r="G337" s="10" t="s">
        <v>425</v>
      </c>
      <c r="H337" s="10"/>
      <c r="I337" s="8" t="n">
        <f aca="false">INDEX(Parâmetros!$C$13:$C$19,MATCH(E337,Parâmetros!$A$13:$A$19,0))</f>
        <v>4821</v>
      </c>
      <c r="J337" s="26" t="str">
        <f aca="false">IF(H337="","",Parâmetros!$B$5-H337)</f>
        <v/>
      </c>
      <c r="K337" s="10" t="n">
        <f aca="false">INDEX(Parâmetros!$D$13:$D$19,MATCH(E337,Parâmetros!$A$13:$A$19,0))</f>
        <v>43</v>
      </c>
      <c r="L337" s="26" t="n">
        <f aca="false">IF(G337="Prospecting",Parâmetros!$B$9,IF(J337&gt;Parâmetros!$B$6,0,INDEX(Parâmetros!$C$24:$C$26,MATCH(J337,Parâmetros!$A$24:$A$26,1))))</f>
        <v>10</v>
      </c>
      <c r="M337" s="31" t="n">
        <f aca="false">IF(G337="Prospecting",1,INDEX(Parâmetros!$C$32:$C$35,MATCH(J337,Parâmetros!$A$32:$A$35,1)))</f>
        <v>1</v>
      </c>
      <c r="N337" s="2" t="n">
        <f aca="false">ROUND((K337+L337)*M337,0)</f>
        <v>53</v>
      </c>
      <c r="O337" s="10" t="str">
        <f aca="false">IF(AND(G337="Engaging",J337&gt;Parâmetros!$B$6),"Sim","Não")</f>
        <v>Não</v>
      </c>
      <c r="P337" s="32" t="str">
        <f aca="false">IF(O337="Sim","R",IF(N337&gt;=Parâmetros!$B$39,"A",IF(N337&gt;=Parâmetros!$B$40,"B",IF(N337&gt;=Parâmetros!$B$41,"C","D"))))</f>
        <v>C</v>
      </c>
      <c r="Q337" s="10" t="str">
        <f aca="false">IF(F337="","Completar cadastro","")</f>
        <v/>
      </c>
      <c r="R337" s="10" t="str">
        <f aca="false">INDEX(Parâmetros!$D$39:$D$43,MATCH(P337,Parâmetros!$A$39:$A$43,0))</f>
        <v>Cadência leve, foco em qualificar</v>
      </c>
    </row>
    <row r="338" customFormat="false" ht="15" hidden="false" customHeight="false" outlineLevel="0" collapsed="false">
      <c r="A338" s="10" t="s">
        <v>566</v>
      </c>
      <c r="B338" s="10" t="s">
        <v>79</v>
      </c>
      <c r="C338" s="10" t="s">
        <v>78</v>
      </c>
      <c r="D338" s="10" t="s">
        <v>196</v>
      </c>
      <c r="E338" s="10" t="s">
        <v>48</v>
      </c>
      <c r="F338" s="10" t="s">
        <v>388</v>
      </c>
      <c r="G338" s="10" t="s">
        <v>425</v>
      </c>
      <c r="H338" s="10"/>
      <c r="I338" s="8" t="n">
        <f aca="false">INDEX(Parâmetros!$C$13:$C$19,MATCH(E338,Parâmetros!$A$13:$A$19,0))</f>
        <v>4821</v>
      </c>
      <c r="J338" s="26" t="str">
        <f aca="false">IF(H338="","",Parâmetros!$B$5-H338)</f>
        <v/>
      </c>
      <c r="K338" s="10" t="n">
        <f aca="false">INDEX(Parâmetros!$D$13:$D$19,MATCH(E338,Parâmetros!$A$13:$A$19,0))</f>
        <v>43</v>
      </c>
      <c r="L338" s="26" t="n">
        <f aca="false">IF(G338="Prospecting",Parâmetros!$B$9,IF(J338&gt;Parâmetros!$B$6,0,INDEX(Parâmetros!$C$24:$C$26,MATCH(J338,Parâmetros!$A$24:$A$26,1))))</f>
        <v>10</v>
      </c>
      <c r="M338" s="31" t="n">
        <f aca="false">IF(G338="Prospecting",1,INDEX(Parâmetros!$C$32:$C$35,MATCH(J338,Parâmetros!$A$32:$A$35,1)))</f>
        <v>1</v>
      </c>
      <c r="N338" s="2" t="n">
        <f aca="false">ROUND((K338+L338)*M338,0)</f>
        <v>53</v>
      </c>
      <c r="O338" s="10" t="str">
        <f aca="false">IF(AND(G338="Engaging",J338&gt;Parâmetros!$B$6),"Sim","Não")</f>
        <v>Não</v>
      </c>
      <c r="P338" s="32" t="str">
        <f aca="false">IF(O338="Sim","R",IF(N338&gt;=Parâmetros!$B$39,"A",IF(N338&gt;=Parâmetros!$B$40,"B",IF(N338&gt;=Parâmetros!$B$41,"C","D"))))</f>
        <v>C</v>
      </c>
      <c r="Q338" s="10" t="str">
        <f aca="false">IF(F338="","Completar cadastro","")</f>
        <v/>
      </c>
      <c r="R338" s="10" t="str">
        <f aca="false">INDEX(Parâmetros!$D$39:$D$43,MATCH(P338,Parâmetros!$A$39:$A$43,0))</f>
        <v>Cadência leve, foco em qualificar</v>
      </c>
    </row>
    <row r="339" customFormat="false" ht="15" hidden="false" customHeight="false" outlineLevel="0" collapsed="false">
      <c r="A339" s="10" t="s">
        <v>567</v>
      </c>
      <c r="B339" s="10" t="s">
        <v>79</v>
      </c>
      <c r="C339" s="10" t="s">
        <v>78</v>
      </c>
      <c r="D339" s="10" t="s">
        <v>196</v>
      </c>
      <c r="E339" s="10" t="s">
        <v>48</v>
      </c>
      <c r="F339" s="10" t="s">
        <v>193</v>
      </c>
      <c r="G339" s="10" t="s">
        <v>425</v>
      </c>
      <c r="H339" s="10"/>
      <c r="I339" s="8" t="n">
        <f aca="false">INDEX(Parâmetros!$C$13:$C$19,MATCH(E339,Parâmetros!$A$13:$A$19,0))</f>
        <v>4821</v>
      </c>
      <c r="J339" s="26" t="str">
        <f aca="false">IF(H339="","",Parâmetros!$B$5-H339)</f>
        <v/>
      </c>
      <c r="K339" s="10" t="n">
        <f aca="false">INDEX(Parâmetros!$D$13:$D$19,MATCH(E339,Parâmetros!$A$13:$A$19,0))</f>
        <v>43</v>
      </c>
      <c r="L339" s="26" t="n">
        <f aca="false">IF(G339="Prospecting",Parâmetros!$B$9,IF(J339&gt;Parâmetros!$B$6,0,INDEX(Parâmetros!$C$24:$C$26,MATCH(J339,Parâmetros!$A$24:$A$26,1))))</f>
        <v>10</v>
      </c>
      <c r="M339" s="31" t="n">
        <f aca="false">IF(G339="Prospecting",1,INDEX(Parâmetros!$C$32:$C$35,MATCH(J339,Parâmetros!$A$32:$A$35,1)))</f>
        <v>1</v>
      </c>
      <c r="N339" s="2" t="n">
        <f aca="false">ROUND((K339+L339)*M339,0)</f>
        <v>53</v>
      </c>
      <c r="O339" s="10" t="str">
        <f aca="false">IF(AND(G339="Engaging",J339&gt;Parâmetros!$B$6),"Sim","Não")</f>
        <v>Não</v>
      </c>
      <c r="P339" s="32" t="str">
        <f aca="false">IF(O339="Sim","R",IF(N339&gt;=Parâmetros!$B$39,"A",IF(N339&gt;=Parâmetros!$B$40,"B",IF(N339&gt;=Parâmetros!$B$41,"C","D"))))</f>
        <v>C</v>
      </c>
      <c r="Q339" s="10" t="str">
        <f aca="false">IF(F339="","Completar cadastro","")</f>
        <v/>
      </c>
      <c r="R339" s="10" t="str">
        <f aca="false">INDEX(Parâmetros!$D$39:$D$43,MATCH(P339,Parâmetros!$A$39:$A$43,0))</f>
        <v>Cadência leve, foco em qualificar</v>
      </c>
    </row>
    <row r="340" customFormat="false" ht="15" hidden="false" customHeight="false" outlineLevel="0" collapsed="false">
      <c r="A340" s="10" t="s">
        <v>568</v>
      </c>
      <c r="B340" s="10" t="s">
        <v>79</v>
      </c>
      <c r="C340" s="10" t="s">
        <v>78</v>
      </c>
      <c r="D340" s="10" t="s">
        <v>196</v>
      </c>
      <c r="E340" s="10" t="s">
        <v>48</v>
      </c>
      <c r="F340" s="10"/>
      <c r="G340" s="10" t="s">
        <v>425</v>
      </c>
      <c r="H340" s="10"/>
      <c r="I340" s="8" t="n">
        <f aca="false">INDEX(Parâmetros!$C$13:$C$19,MATCH(E340,Parâmetros!$A$13:$A$19,0))</f>
        <v>4821</v>
      </c>
      <c r="J340" s="26" t="str">
        <f aca="false">IF(H340="","",Parâmetros!$B$5-H340)</f>
        <v/>
      </c>
      <c r="K340" s="10" t="n">
        <f aca="false">INDEX(Parâmetros!$D$13:$D$19,MATCH(E340,Parâmetros!$A$13:$A$19,0))</f>
        <v>43</v>
      </c>
      <c r="L340" s="26" t="n">
        <f aca="false">IF(G340="Prospecting",Parâmetros!$B$9,IF(J340&gt;Parâmetros!$B$6,0,INDEX(Parâmetros!$C$24:$C$26,MATCH(J340,Parâmetros!$A$24:$A$26,1))))</f>
        <v>10</v>
      </c>
      <c r="M340" s="31" t="n">
        <f aca="false">IF(G340="Prospecting",1,INDEX(Parâmetros!$C$32:$C$35,MATCH(J340,Parâmetros!$A$32:$A$35,1)))</f>
        <v>1</v>
      </c>
      <c r="N340" s="2" t="n">
        <f aca="false">ROUND((K340+L340)*M340,0)</f>
        <v>53</v>
      </c>
      <c r="O340" s="10" t="str">
        <f aca="false">IF(AND(G340="Engaging",J340&gt;Parâmetros!$B$6),"Sim","Não")</f>
        <v>Não</v>
      </c>
      <c r="P340" s="32" t="str">
        <f aca="false">IF(O340="Sim","R",IF(N340&gt;=Parâmetros!$B$39,"A",IF(N340&gt;=Parâmetros!$B$40,"B",IF(N340&gt;=Parâmetros!$B$41,"C","D"))))</f>
        <v>C</v>
      </c>
      <c r="Q340" s="10" t="str">
        <f aca="false">IF(F340="","Completar cadastro","")</f>
        <v>Completar cadastro</v>
      </c>
      <c r="R340" s="10" t="str">
        <f aca="false">INDEX(Parâmetros!$D$39:$D$43,MATCH(P340,Parâmetros!$A$39:$A$43,0))</f>
        <v>Cadência leve, foco em qualificar</v>
      </c>
    </row>
    <row r="341" customFormat="false" ht="15" hidden="false" customHeight="false" outlineLevel="0" collapsed="false">
      <c r="A341" s="10" t="s">
        <v>569</v>
      </c>
      <c r="B341" s="10" t="s">
        <v>79</v>
      </c>
      <c r="C341" s="10" t="s">
        <v>78</v>
      </c>
      <c r="D341" s="10" t="s">
        <v>196</v>
      </c>
      <c r="E341" s="10" t="s">
        <v>48</v>
      </c>
      <c r="F341" s="10"/>
      <c r="G341" s="10" t="s">
        <v>425</v>
      </c>
      <c r="H341" s="10"/>
      <c r="I341" s="8" t="n">
        <f aca="false">INDEX(Parâmetros!$C$13:$C$19,MATCH(E341,Parâmetros!$A$13:$A$19,0))</f>
        <v>4821</v>
      </c>
      <c r="J341" s="26" t="str">
        <f aca="false">IF(H341="","",Parâmetros!$B$5-H341)</f>
        <v/>
      </c>
      <c r="K341" s="10" t="n">
        <f aca="false">INDEX(Parâmetros!$D$13:$D$19,MATCH(E341,Parâmetros!$A$13:$A$19,0))</f>
        <v>43</v>
      </c>
      <c r="L341" s="26" t="n">
        <f aca="false">IF(G341="Prospecting",Parâmetros!$B$9,IF(J341&gt;Parâmetros!$B$6,0,INDEX(Parâmetros!$C$24:$C$26,MATCH(J341,Parâmetros!$A$24:$A$26,1))))</f>
        <v>10</v>
      </c>
      <c r="M341" s="31" t="n">
        <f aca="false">IF(G341="Prospecting",1,INDEX(Parâmetros!$C$32:$C$35,MATCH(J341,Parâmetros!$A$32:$A$35,1)))</f>
        <v>1</v>
      </c>
      <c r="N341" s="2" t="n">
        <f aca="false">ROUND((K341+L341)*M341,0)</f>
        <v>53</v>
      </c>
      <c r="O341" s="10" t="str">
        <f aca="false">IF(AND(G341="Engaging",J341&gt;Parâmetros!$B$6),"Sim","Não")</f>
        <v>Não</v>
      </c>
      <c r="P341" s="32" t="str">
        <f aca="false">IF(O341="Sim","R",IF(N341&gt;=Parâmetros!$B$39,"A",IF(N341&gt;=Parâmetros!$B$40,"B",IF(N341&gt;=Parâmetros!$B$41,"C","D"))))</f>
        <v>C</v>
      </c>
      <c r="Q341" s="10" t="str">
        <f aca="false">IF(F341="","Completar cadastro","")</f>
        <v>Completar cadastro</v>
      </c>
      <c r="R341" s="10" t="str">
        <f aca="false">INDEX(Parâmetros!$D$39:$D$43,MATCH(P341,Parâmetros!$A$39:$A$43,0))</f>
        <v>Cadência leve, foco em qualificar</v>
      </c>
    </row>
    <row r="342" customFormat="false" ht="15" hidden="false" customHeight="false" outlineLevel="0" collapsed="false">
      <c r="A342" s="10" t="s">
        <v>570</v>
      </c>
      <c r="B342" s="10" t="s">
        <v>79</v>
      </c>
      <c r="C342" s="10" t="s">
        <v>78</v>
      </c>
      <c r="D342" s="10" t="s">
        <v>196</v>
      </c>
      <c r="E342" s="10" t="s">
        <v>48</v>
      </c>
      <c r="F342" s="10"/>
      <c r="G342" s="10" t="s">
        <v>425</v>
      </c>
      <c r="H342" s="10"/>
      <c r="I342" s="8" t="n">
        <f aca="false">INDEX(Parâmetros!$C$13:$C$19,MATCH(E342,Parâmetros!$A$13:$A$19,0))</f>
        <v>4821</v>
      </c>
      <c r="J342" s="26" t="str">
        <f aca="false">IF(H342="","",Parâmetros!$B$5-H342)</f>
        <v/>
      </c>
      <c r="K342" s="10" t="n">
        <f aca="false">INDEX(Parâmetros!$D$13:$D$19,MATCH(E342,Parâmetros!$A$13:$A$19,0))</f>
        <v>43</v>
      </c>
      <c r="L342" s="26" t="n">
        <f aca="false">IF(G342="Prospecting",Parâmetros!$B$9,IF(J342&gt;Parâmetros!$B$6,0,INDEX(Parâmetros!$C$24:$C$26,MATCH(J342,Parâmetros!$A$24:$A$26,1))))</f>
        <v>10</v>
      </c>
      <c r="M342" s="31" t="n">
        <f aca="false">IF(G342="Prospecting",1,INDEX(Parâmetros!$C$32:$C$35,MATCH(J342,Parâmetros!$A$32:$A$35,1)))</f>
        <v>1</v>
      </c>
      <c r="N342" s="2" t="n">
        <f aca="false">ROUND((K342+L342)*M342,0)</f>
        <v>53</v>
      </c>
      <c r="O342" s="10" t="str">
        <f aca="false">IF(AND(G342="Engaging",J342&gt;Parâmetros!$B$6),"Sim","Não")</f>
        <v>Não</v>
      </c>
      <c r="P342" s="32" t="str">
        <f aca="false">IF(O342="Sim","R",IF(N342&gt;=Parâmetros!$B$39,"A",IF(N342&gt;=Parâmetros!$B$40,"B",IF(N342&gt;=Parâmetros!$B$41,"C","D"))))</f>
        <v>C</v>
      </c>
      <c r="Q342" s="10" t="str">
        <f aca="false">IF(F342="","Completar cadastro","")</f>
        <v>Completar cadastro</v>
      </c>
      <c r="R342" s="10" t="str">
        <f aca="false">INDEX(Parâmetros!$D$39:$D$43,MATCH(P342,Parâmetros!$A$39:$A$43,0))</f>
        <v>Cadência leve, foco em qualificar</v>
      </c>
    </row>
    <row r="343" customFormat="false" ht="15" hidden="false" customHeight="false" outlineLevel="0" collapsed="false">
      <c r="A343" s="10" t="s">
        <v>571</v>
      </c>
      <c r="B343" s="10" t="s">
        <v>79</v>
      </c>
      <c r="C343" s="10" t="s">
        <v>78</v>
      </c>
      <c r="D343" s="10" t="s">
        <v>196</v>
      </c>
      <c r="E343" s="10" t="s">
        <v>48</v>
      </c>
      <c r="F343" s="10"/>
      <c r="G343" s="10" t="s">
        <v>425</v>
      </c>
      <c r="H343" s="10"/>
      <c r="I343" s="8" t="n">
        <f aca="false">INDEX(Parâmetros!$C$13:$C$19,MATCH(E343,Parâmetros!$A$13:$A$19,0))</f>
        <v>4821</v>
      </c>
      <c r="J343" s="26" t="str">
        <f aca="false">IF(H343="","",Parâmetros!$B$5-H343)</f>
        <v/>
      </c>
      <c r="K343" s="10" t="n">
        <f aca="false">INDEX(Parâmetros!$D$13:$D$19,MATCH(E343,Parâmetros!$A$13:$A$19,0))</f>
        <v>43</v>
      </c>
      <c r="L343" s="26" t="n">
        <f aca="false">IF(G343="Prospecting",Parâmetros!$B$9,IF(J343&gt;Parâmetros!$B$6,0,INDEX(Parâmetros!$C$24:$C$26,MATCH(J343,Parâmetros!$A$24:$A$26,1))))</f>
        <v>10</v>
      </c>
      <c r="M343" s="31" t="n">
        <f aca="false">IF(G343="Prospecting",1,INDEX(Parâmetros!$C$32:$C$35,MATCH(J343,Parâmetros!$A$32:$A$35,1)))</f>
        <v>1</v>
      </c>
      <c r="N343" s="2" t="n">
        <f aca="false">ROUND((K343+L343)*M343,0)</f>
        <v>53</v>
      </c>
      <c r="O343" s="10" t="str">
        <f aca="false">IF(AND(G343="Engaging",J343&gt;Parâmetros!$B$6),"Sim","Não")</f>
        <v>Não</v>
      </c>
      <c r="P343" s="32" t="str">
        <f aca="false">IF(O343="Sim","R",IF(N343&gt;=Parâmetros!$B$39,"A",IF(N343&gt;=Parâmetros!$B$40,"B",IF(N343&gt;=Parâmetros!$B$41,"C","D"))))</f>
        <v>C</v>
      </c>
      <c r="Q343" s="10" t="str">
        <f aca="false">IF(F343="","Completar cadastro","")</f>
        <v>Completar cadastro</v>
      </c>
      <c r="R343" s="10" t="str">
        <f aca="false">INDEX(Parâmetros!$D$39:$D$43,MATCH(P343,Parâmetros!$A$39:$A$43,0))</f>
        <v>Cadência leve, foco em qualificar</v>
      </c>
    </row>
    <row r="344" customFormat="false" ht="15" hidden="false" customHeight="false" outlineLevel="0" collapsed="false">
      <c r="A344" s="10" t="s">
        <v>572</v>
      </c>
      <c r="B344" s="10" t="s">
        <v>80</v>
      </c>
      <c r="C344" s="10" t="s">
        <v>78</v>
      </c>
      <c r="D344" s="10" t="s">
        <v>196</v>
      </c>
      <c r="E344" s="10" t="s">
        <v>48</v>
      </c>
      <c r="F344" s="10" t="s">
        <v>185</v>
      </c>
      <c r="G344" s="10" t="s">
        <v>425</v>
      </c>
      <c r="H344" s="10"/>
      <c r="I344" s="8" t="n">
        <f aca="false">INDEX(Parâmetros!$C$13:$C$19,MATCH(E344,Parâmetros!$A$13:$A$19,0))</f>
        <v>4821</v>
      </c>
      <c r="J344" s="26" t="str">
        <f aca="false">IF(H344="","",Parâmetros!$B$5-H344)</f>
        <v/>
      </c>
      <c r="K344" s="10" t="n">
        <f aca="false">INDEX(Parâmetros!$D$13:$D$19,MATCH(E344,Parâmetros!$A$13:$A$19,0))</f>
        <v>43</v>
      </c>
      <c r="L344" s="26" t="n">
        <f aca="false">IF(G344="Prospecting",Parâmetros!$B$9,IF(J344&gt;Parâmetros!$B$6,0,INDEX(Parâmetros!$C$24:$C$26,MATCH(J344,Parâmetros!$A$24:$A$26,1))))</f>
        <v>10</v>
      </c>
      <c r="M344" s="31" t="n">
        <f aca="false">IF(G344="Prospecting",1,INDEX(Parâmetros!$C$32:$C$35,MATCH(J344,Parâmetros!$A$32:$A$35,1)))</f>
        <v>1</v>
      </c>
      <c r="N344" s="2" t="n">
        <f aca="false">ROUND((K344+L344)*M344,0)</f>
        <v>53</v>
      </c>
      <c r="O344" s="10" t="str">
        <f aca="false">IF(AND(G344="Engaging",J344&gt;Parâmetros!$B$6),"Sim","Não")</f>
        <v>Não</v>
      </c>
      <c r="P344" s="32" t="str">
        <f aca="false">IF(O344="Sim","R",IF(N344&gt;=Parâmetros!$B$39,"A",IF(N344&gt;=Parâmetros!$B$40,"B",IF(N344&gt;=Parâmetros!$B$41,"C","D"))))</f>
        <v>C</v>
      </c>
      <c r="Q344" s="10" t="str">
        <f aca="false">IF(F344="","Completar cadastro","")</f>
        <v/>
      </c>
      <c r="R344" s="10" t="str">
        <f aca="false">INDEX(Parâmetros!$D$39:$D$43,MATCH(P344,Parâmetros!$A$39:$A$43,0))</f>
        <v>Cadência leve, foco em qualificar</v>
      </c>
    </row>
    <row r="345" customFormat="false" ht="15" hidden="false" customHeight="false" outlineLevel="0" collapsed="false">
      <c r="A345" s="10" t="s">
        <v>573</v>
      </c>
      <c r="B345" s="10" t="s">
        <v>80</v>
      </c>
      <c r="C345" s="10" t="s">
        <v>78</v>
      </c>
      <c r="D345" s="10" t="s">
        <v>196</v>
      </c>
      <c r="E345" s="10" t="s">
        <v>48</v>
      </c>
      <c r="F345" s="10" t="s">
        <v>175</v>
      </c>
      <c r="G345" s="10" t="s">
        <v>425</v>
      </c>
      <c r="H345" s="10"/>
      <c r="I345" s="8" t="n">
        <f aca="false">INDEX(Parâmetros!$C$13:$C$19,MATCH(E345,Parâmetros!$A$13:$A$19,0))</f>
        <v>4821</v>
      </c>
      <c r="J345" s="26" t="str">
        <f aca="false">IF(H345="","",Parâmetros!$B$5-H345)</f>
        <v/>
      </c>
      <c r="K345" s="10" t="n">
        <f aca="false">INDEX(Parâmetros!$D$13:$D$19,MATCH(E345,Parâmetros!$A$13:$A$19,0))</f>
        <v>43</v>
      </c>
      <c r="L345" s="26" t="n">
        <f aca="false">IF(G345="Prospecting",Parâmetros!$B$9,IF(J345&gt;Parâmetros!$B$6,0,INDEX(Parâmetros!$C$24:$C$26,MATCH(J345,Parâmetros!$A$24:$A$26,1))))</f>
        <v>10</v>
      </c>
      <c r="M345" s="31" t="n">
        <f aca="false">IF(G345="Prospecting",1,INDEX(Parâmetros!$C$32:$C$35,MATCH(J345,Parâmetros!$A$32:$A$35,1)))</f>
        <v>1</v>
      </c>
      <c r="N345" s="2" t="n">
        <f aca="false">ROUND((K345+L345)*M345,0)</f>
        <v>53</v>
      </c>
      <c r="O345" s="10" t="str">
        <f aca="false">IF(AND(G345="Engaging",J345&gt;Parâmetros!$B$6),"Sim","Não")</f>
        <v>Não</v>
      </c>
      <c r="P345" s="32" t="str">
        <f aca="false">IF(O345="Sim","R",IF(N345&gt;=Parâmetros!$B$39,"A",IF(N345&gt;=Parâmetros!$B$40,"B",IF(N345&gt;=Parâmetros!$B$41,"C","D"))))</f>
        <v>C</v>
      </c>
      <c r="Q345" s="10" t="str">
        <f aca="false">IF(F345="","Completar cadastro","")</f>
        <v/>
      </c>
      <c r="R345" s="10" t="str">
        <f aca="false">INDEX(Parâmetros!$D$39:$D$43,MATCH(P345,Parâmetros!$A$39:$A$43,0))</f>
        <v>Cadência leve, foco em qualificar</v>
      </c>
    </row>
    <row r="346" customFormat="false" ht="15" hidden="false" customHeight="false" outlineLevel="0" collapsed="false">
      <c r="A346" s="10" t="s">
        <v>574</v>
      </c>
      <c r="B346" s="10" t="s">
        <v>80</v>
      </c>
      <c r="C346" s="10" t="s">
        <v>78</v>
      </c>
      <c r="D346" s="10" t="s">
        <v>196</v>
      </c>
      <c r="E346" s="10" t="s">
        <v>48</v>
      </c>
      <c r="F346" s="10"/>
      <c r="G346" s="10" t="s">
        <v>425</v>
      </c>
      <c r="H346" s="10"/>
      <c r="I346" s="8" t="n">
        <f aca="false">INDEX(Parâmetros!$C$13:$C$19,MATCH(E346,Parâmetros!$A$13:$A$19,0))</f>
        <v>4821</v>
      </c>
      <c r="J346" s="26" t="str">
        <f aca="false">IF(H346="","",Parâmetros!$B$5-H346)</f>
        <v/>
      </c>
      <c r="K346" s="10" t="n">
        <f aca="false">INDEX(Parâmetros!$D$13:$D$19,MATCH(E346,Parâmetros!$A$13:$A$19,0))</f>
        <v>43</v>
      </c>
      <c r="L346" s="26" t="n">
        <f aca="false">IF(G346="Prospecting",Parâmetros!$B$9,IF(J346&gt;Parâmetros!$B$6,0,INDEX(Parâmetros!$C$24:$C$26,MATCH(J346,Parâmetros!$A$24:$A$26,1))))</f>
        <v>10</v>
      </c>
      <c r="M346" s="31" t="n">
        <f aca="false">IF(G346="Prospecting",1,INDEX(Parâmetros!$C$32:$C$35,MATCH(J346,Parâmetros!$A$32:$A$35,1)))</f>
        <v>1</v>
      </c>
      <c r="N346" s="2" t="n">
        <f aca="false">ROUND((K346+L346)*M346,0)</f>
        <v>53</v>
      </c>
      <c r="O346" s="10" t="str">
        <f aca="false">IF(AND(G346="Engaging",J346&gt;Parâmetros!$B$6),"Sim","Não")</f>
        <v>Não</v>
      </c>
      <c r="P346" s="32" t="str">
        <f aca="false">IF(O346="Sim","R",IF(N346&gt;=Parâmetros!$B$39,"A",IF(N346&gt;=Parâmetros!$B$40,"B",IF(N346&gt;=Parâmetros!$B$41,"C","D"))))</f>
        <v>C</v>
      </c>
      <c r="Q346" s="10" t="str">
        <f aca="false">IF(F346="","Completar cadastro","")</f>
        <v>Completar cadastro</v>
      </c>
      <c r="R346" s="10" t="str">
        <f aca="false">INDEX(Parâmetros!$D$39:$D$43,MATCH(P346,Parâmetros!$A$39:$A$43,0))</f>
        <v>Cadência leve, foco em qualificar</v>
      </c>
    </row>
    <row r="347" customFormat="false" ht="15" hidden="false" customHeight="false" outlineLevel="0" collapsed="false">
      <c r="A347" s="10" t="s">
        <v>575</v>
      </c>
      <c r="B347" s="10" t="s">
        <v>80</v>
      </c>
      <c r="C347" s="10" t="s">
        <v>78</v>
      </c>
      <c r="D347" s="10" t="s">
        <v>196</v>
      </c>
      <c r="E347" s="10" t="s">
        <v>48</v>
      </c>
      <c r="F347" s="10"/>
      <c r="G347" s="10" t="s">
        <v>425</v>
      </c>
      <c r="H347" s="10"/>
      <c r="I347" s="8" t="n">
        <f aca="false">INDEX(Parâmetros!$C$13:$C$19,MATCH(E347,Parâmetros!$A$13:$A$19,0))</f>
        <v>4821</v>
      </c>
      <c r="J347" s="26" t="str">
        <f aca="false">IF(H347="","",Parâmetros!$B$5-H347)</f>
        <v/>
      </c>
      <c r="K347" s="10" t="n">
        <f aca="false">INDEX(Parâmetros!$D$13:$D$19,MATCH(E347,Parâmetros!$A$13:$A$19,0))</f>
        <v>43</v>
      </c>
      <c r="L347" s="26" t="n">
        <f aca="false">IF(G347="Prospecting",Parâmetros!$B$9,IF(J347&gt;Parâmetros!$B$6,0,INDEX(Parâmetros!$C$24:$C$26,MATCH(J347,Parâmetros!$A$24:$A$26,1))))</f>
        <v>10</v>
      </c>
      <c r="M347" s="31" t="n">
        <f aca="false">IF(G347="Prospecting",1,INDEX(Parâmetros!$C$32:$C$35,MATCH(J347,Parâmetros!$A$32:$A$35,1)))</f>
        <v>1</v>
      </c>
      <c r="N347" s="2" t="n">
        <f aca="false">ROUND((K347+L347)*M347,0)</f>
        <v>53</v>
      </c>
      <c r="O347" s="10" t="str">
        <f aca="false">IF(AND(G347="Engaging",J347&gt;Parâmetros!$B$6),"Sim","Não")</f>
        <v>Não</v>
      </c>
      <c r="P347" s="32" t="str">
        <f aca="false">IF(O347="Sim","R",IF(N347&gt;=Parâmetros!$B$39,"A",IF(N347&gt;=Parâmetros!$B$40,"B",IF(N347&gt;=Parâmetros!$B$41,"C","D"))))</f>
        <v>C</v>
      </c>
      <c r="Q347" s="10" t="str">
        <f aca="false">IF(F347="","Completar cadastro","")</f>
        <v>Completar cadastro</v>
      </c>
      <c r="R347" s="10" t="str">
        <f aca="false">INDEX(Parâmetros!$D$39:$D$43,MATCH(P347,Parâmetros!$A$39:$A$43,0))</f>
        <v>Cadência leve, foco em qualificar</v>
      </c>
    </row>
    <row r="348" customFormat="false" ht="15" hidden="false" customHeight="false" outlineLevel="0" collapsed="false">
      <c r="A348" s="10" t="s">
        <v>576</v>
      </c>
      <c r="B348" s="10" t="s">
        <v>80</v>
      </c>
      <c r="C348" s="10" t="s">
        <v>78</v>
      </c>
      <c r="D348" s="10" t="s">
        <v>196</v>
      </c>
      <c r="E348" s="10" t="s">
        <v>48</v>
      </c>
      <c r="F348" s="10"/>
      <c r="G348" s="10" t="s">
        <v>425</v>
      </c>
      <c r="H348" s="10"/>
      <c r="I348" s="8" t="n">
        <f aca="false">INDEX(Parâmetros!$C$13:$C$19,MATCH(E348,Parâmetros!$A$13:$A$19,0))</f>
        <v>4821</v>
      </c>
      <c r="J348" s="26" t="str">
        <f aca="false">IF(H348="","",Parâmetros!$B$5-H348)</f>
        <v/>
      </c>
      <c r="K348" s="10" t="n">
        <f aca="false">INDEX(Parâmetros!$D$13:$D$19,MATCH(E348,Parâmetros!$A$13:$A$19,0))</f>
        <v>43</v>
      </c>
      <c r="L348" s="26" t="n">
        <f aca="false">IF(G348="Prospecting",Parâmetros!$B$9,IF(J348&gt;Parâmetros!$B$6,0,INDEX(Parâmetros!$C$24:$C$26,MATCH(J348,Parâmetros!$A$24:$A$26,1))))</f>
        <v>10</v>
      </c>
      <c r="M348" s="31" t="n">
        <f aca="false">IF(G348="Prospecting",1,INDEX(Parâmetros!$C$32:$C$35,MATCH(J348,Parâmetros!$A$32:$A$35,1)))</f>
        <v>1</v>
      </c>
      <c r="N348" s="2" t="n">
        <f aca="false">ROUND((K348+L348)*M348,0)</f>
        <v>53</v>
      </c>
      <c r="O348" s="10" t="str">
        <f aca="false">IF(AND(G348="Engaging",J348&gt;Parâmetros!$B$6),"Sim","Não")</f>
        <v>Não</v>
      </c>
      <c r="P348" s="32" t="str">
        <f aca="false">IF(O348="Sim","R",IF(N348&gt;=Parâmetros!$B$39,"A",IF(N348&gt;=Parâmetros!$B$40,"B",IF(N348&gt;=Parâmetros!$B$41,"C","D"))))</f>
        <v>C</v>
      </c>
      <c r="Q348" s="10" t="str">
        <f aca="false">IF(F348="","Completar cadastro","")</f>
        <v>Completar cadastro</v>
      </c>
      <c r="R348" s="10" t="str">
        <f aca="false">INDEX(Parâmetros!$D$39:$D$43,MATCH(P348,Parâmetros!$A$39:$A$43,0))</f>
        <v>Cadência leve, foco em qualificar</v>
      </c>
    </row>
    <row r="349" customFormat="false" ht="15" hidden="false" customHeight="false" outlineLevel="0" collapsed="false">
      <c r="A349" s="10" t="s">
        <v>577</v>
      </c>
      <c r="B349" s="10" t="s">
        <v>80</v>
      </c>
      <c r="C349" s="10" t="s">
        <v>78</v>
      </c>
      <c r="D349" s="10" t="s">
        <v>196</v>
      </c>
      <c r="E349" s="10" t="s">
        <v>48</v>
      </c>
      <c r="F349" s="10"/>
      <c r="G349" s="10" t="s">
        <v>425</v>
      </c>
      <c r="H349" s="10"/>
      <c r="I349" s="8" t="n">
        <f aca="false">INDEX(Parâmetros!$C$13:$C$19,MATCH(E349,Parâmetros!$A$13:$A$19,0))</f>
        <v>4821</v>
      </c>
      <c r="J349" s="26" t="str">
        <f aca="false">IF(H349="","",Parâmetros!$B$5-H349)</f>
        <v/>
      </c>
      <c r="K349" s="10" t="n">
        <f aca="false">INDEX(Parâmetros!$D$13:$D$19,MATCH(E349,Parâmetros!$A$13:$A$19,0))</f>
        <v>43</v>
      </c>
      <c r="L349" s="26" t="n">
        <f aca="false">IF(G349="Prospecting",Parâmetros!$B$9,IF(J349&gt;Parâmetros!$B$6,0,INDEX(Parâmetros!$C$24:$C$26,MATCH(J349,Parâmetros!$A$24:$A$26,1))))</f>
        <v>10</v>
      </c>
      <c r="M349" s="31" t="n">
        <f aca="false">IF(G349="Prospecting",1,INDEX(Parâmetros!$C$32:$C$35,MATCH(J349,Parâmetros!$A$32:$A$35,1)))</f>
        <v>1</v>
      </c>
      <c r="N349" s="2" t="n">
        <f aca="false">ROUND((K349+L349)*M349,0)</f>
        <v>53</v>
      </c>
      <c r="O349" s="10" t="str">
        <f aca="false">IF(AND(G349="Engaging",J349&gt;Parâmetros!$B$6),"Sim","Não")</f>
        <v>Não</v>
      </c>
      <c r="P349" s="32" t="str">
        <f aca="false">IF(O349="Sim","R",IF(N349&gt;=Parâmetros!$B$39,"A",IF(N349&gt;=Parâmetros!$B$40,"B",IF(N349&gt;=Parâmetros!$B$41,"C","D"))))</f>
        <v>C</v>
      </c>
      <c r="Q349" s="10" t="str">
        <f aca="false">IF(F349="","Completar cadastro","")</f>
        <v>Completar cadastro</v>
      </c>
      <c r="R349" s="10" t="str">
        <f aca="false">INDEX(Parâmetros!$D$39:$D$43,MATCH(P349,Parâmetros!$A$39:$A$43,0))</f>
        <v>Cadência leve, foco em qualificar</v>
      </c>
    </row>
    <row r="350" customFormat="false" ht="15" hidden="false" customHeight="false" outlineLevel="0" collapsed="false">
      <c r="A350" s="10" t="s">
        <v>578</v>
      </c>
      <c r="B350" s="10" t="s">
        <v>80</v>
      </c>
      <c r="C350" s="10" t="s">
        <v>78</v>
      </c>
      <c r="D350" s="10" t="s">
        <v>196</v>
      </c>
      <c r="E350" s="10" t="s">
        <v>48</v>
      </c>
      <c r="F350" s="10"/>
      <c r="G350" s="10" t="s">
        <v>425</v>
      </c>
      <c r="H350" s="10"/>
      <c r="I350" s="8" t="n">
        <f aca="false">INDEX(Parâmetros!$C$13:$C$19,MATCH(E350,Parâmetros!$A$13:$A$19,0))</f>
        <v>4821</v>
      </c>
      <c r="J350" s="26" t="str">
        <f aca="false">IF(H350="","",Parâmetros!$B$5-H350)</f>
        <v/>
      </c>
      <c r="K350" s="10" t="n">
        <f aca="false">INDEX(Parâmetros!$D$13:$D$19,MATCH(E350,Parâmetros!$A$13:$A$19,0))</f>
        <v>43</v>
      </c>
      <c r="L350" s="26" t="n">
        <f aca="false">IF(G350="Prospecting",Parâmetros!$B$9,IF(J350&gt;Parâmetros!$B$6,0,INDEX(Parâmetros!$C$24:$C$26,MATCH(J350,Parâmetros!$A$24:$A$26,1))))</f>
        <v>10</v>
      </c>
      <c r="M350" s="31" t="n">
        <f aca="false">IF(G350="Prospecting",1,INDEX(Parâmetros!$C$32:$C$35,MATCH(J350,Parâmetros!$A$32:$A$35,1)))</f>
        <v>1</v>
      </c>
      <c r="N350" s="2" t="n">
        <f aca="false">ROUND((K350+L350)*M350,0)</f>
        <v>53</v>
      </c>
      <c r="O350" s="10" t="str">
        <f aca="false">IF(AND(G350="Engaging",J350&gt;Parâmetros!$B$6),"Sim","Não")</f>
        <v>Não</v>
      </c>
      <c r="P350" s="32" t="str">
        <f aca="false">IF(O350="Sim","R",IF(N350&gt;=Parâmetros!$B$39,"A",IF(N350&gt;=Parâmetros!$B$40,"B",IF(N350&gt;=Parâmetros!$B$41,"C","D"))))</f>
        <v>C</v>
      </c>
      <c r="Q350" s="10" t="str">
        <f aca="false">IF(F350="","Completar cadastro","")</f>
        <v>Completar cadastro</v>
      </c>
      <c r="R350" s="10" t="str">
        <f aca="false">INDEX(Parâmetros!$D$39:$D$43,MATCH(P350,Parâmetros!$A$39:$A$43,0))</f>
        <v>Cadência leve, foco em qualificar</v>
      </c>
    </row>
    <row r="351" customFormat="false" ht="15" hidden="false" customHeight="false" outlineLevel="0" collapsed="false">
      <c r="A351" s="10" t="s">
        <v>579</v>
      </c>
      <c r="B351" s="10" t="s">
        <v>80</v>
      </c>
      <c r="C351" s="10" t="s">
        <v>78</v>
      </c>
      <c r="D351" s="10" t="s">
        <v>196</v>
      </c>
      <c r="E351" s="10" t="s">
        <v>48</v>
      </c>
      <c r="F351" s="10"/>
      <c r="G351" s="10" t="s">
        <v>425</v>
      </c>
      <c r="H351" s="10"/>
      <c r="I351" s="8" t="n">
        <f aca="false">INDEX(Parâmetros!$C$13:$C$19,MATCH(E351,Parâmetros!$A$13:$A$19,0))</f>
        <v>4821</v>
      </c>
      <c r="J351" s="26" t="str">
        <f aca="false">IF(H351="","",Parâmetros!$B$5-H351)</f>
        <v/>
      </c>
      <c r="K351" s="10" t="n">
        <f aca="false">INDEX(Parâmetros!$D$13:$D$19,MATCH(E351,Parâmetros!$A$13:$A$19,0))</f>
        <v>43</v>
      </c>
      <c r="L351" s="26" t="n">
        <f aca="false">IF(G351="Prospecting",Parâmetros!$B$9,IF(J351&gt;Parâmetros!$B$6,0,INDEX(Parâmetros!$C$24:$C$26,MATCH(J351,Parâmetros!$A$24:$A$26,1))))</f>
        <v>10</v>
      </c>
      <c r="M351" s="31" t="n">
        <f aca="false">IF(G351="Prospecting",1,INDEX(Parâmetros!$C$32:$C$35,MATCH(J351,Parâmetros!$A$32:$A$35,1)))</f>
        <v>1</v>
      </c>
      <c r="N351" s="2" t="n">
        <f aca="false">ROUND((K351+L351)*M351,0)</f>
        <v>53</v>
      </c>
      <c r="O351" s="10" t="str">
        <f aca="false">IF(AND(G351="Engaging",J351&gt;Parâmetros!$B$6),"Sim","Não")</f>
        <v>Não</v>
      </c>
      <c r="P351" s="32" t="str">
        <f aca="false">IF(O351="Sim","R",IF(N351&gt;=Parâmetros!$B$39,"A",IF(N351&gt;=Parâmetros!$B$40,"B",IF(N351&gt;=Parâmetros!$B$41,"C","D"))))</f>
        <v>C</v>
      </c>
      <c r="Q351" s="10" t="str">
        <f aca="false">IF(F351="","Completar cadastro","")</f>
        <v>Completar cadastro</v>
      </c>
      <c r="R351" s="10" t="str">
        <f aca="false">INDEX(Parâmetros!$D$39:$D$43,MATCH(P351,Parâmetros!$A$39:$A$43,0))</f>
        <v>Cadência leve, foco em qualificar</v>
      </c>
    </row>
    <row r="352" customFormat="false" ht="15" hidden="false" customHeight="false" outlineLevel="0" collapsed="false">
      <c r="A352" s="10" t="s">
        <v>580</v>
      </c>
      <c r="B352" s="10" t="s">
        <v>80</v>
      </c>
      <c r="C352" s="10" t="s">
        <v>78</v>
      </c>
      <c r="D352" s="10" t="s">
        <v>196</v>
      </c>
      <c r="E352" s="10" t="s">
        <v>48</v>
      </c>
      <c r="F352" s="10"/>
      <c r="G352" s="10" t="s">
        <v>425</v>
      </c>
      <c r="H352" s="10"/>
      <c r="I352" s="8" t="n">
        <f aca="false">INDEX(Parâmetros!$C$13:$C$19,MATCH(E352,Parâmetros!$A$13:$A$19,0))</f>
        <v>4821</v>
      </c>
      <c r="J352" s="26" t="str">
        <f aca="false">IF(H352="","",Parâmetros!$B$5-H352)</f>
        <v/>
      </c>
      <c r="K352" s="10" t="n">
        <f aca="false">INDEX(Parâmetros!$D$13:$D$19,MATCH(E352,Parâmetros!$A$13:$A$19,0))</f>
        <v>43</v>
      </c>
      <c r="L352" s="26" t="n">
        <f aca="false">IF(G352="Prospecting",Parâmetros!$B$9,IF(J352&gt;Parâmetros!$B$6,0,INDEX(Parâmetros!$C$24:$C$26,MATCH(J352,Parâmetros!$A$24:$A$26,1))))</f>
        <v>10</v>
      </c>
      <c r="M352" s="31" t="n">
        <f aca="false">IF(G352="Prospecting",1,INDEX(Parâmetros!$C$32:$C$35,MATCH(J352,Parâmetros!$A$32:$A$35,1)))</f>
        <v>1</v>
      </c>
      <c r="N352" s="2" t="n">
        <f aca="false">ROUND((K352+L352)*M352,0)</f>
        <v>53</v>
      </c>
      <c r="O352" s="10" t="str">
        <f aca="false">IF(AND(G352="Engaging",J352&gt;Parâmetros!$B$6),"Sim","Não")</f>
        <v>Não</v>
      </c>
      <c r="P352" s="32" t="str">
        <f aca="false">IF(O352="Sim","R",IF(N352&gt;=Parâmetros!$B$39,"A",IF(N352&gt;=Parâmetros!$B$40,"B",IF(N352&gt;=Parâmetros!$B$41,"C","D"))))</f>
        <v>C</v>
      </c>
      <c r="Q352" s="10" t="str">
        <f aca="false">IF(F352="","Completar cadastro","")</f>
        <v>Completar cadastro</v>
      </c>
      <c r="R352" s="10" t="str">
        <f aca="false">INDEX(Parâmetros!$D$39:$D$43,MATCH(P352,Parâmetros!$A$39:$A$43,0))</f>
        <v>Cadência leve, foco em qualificar</v>
      </c>
    </row>
    <row r="353" customFormat="false" ht="15" hidden="false" customHeight="false" outlineLevel="0" collapsed="false">
      <c r="A353" s="10" t="s">
        <v>581</v>
      </c>
      <c r="B353" s="10" t="s">
        <v>81</v>
      </c>
      <c r="C353" s="10" t="s">
        <v>78</v>
      </c>
      <c r="D353" s="10" t="s">
        <v>196</v>
      </c>
      <c r="E353" s="10" t="s">
        <v>48</v>
      </c>
      <c r="F353" s="10" t="s">
        <v>254</v>
      </c>
      <c r="G353" s="10" t="s">
        <v>425</v>
      </c>
      <c r="H353" s="10"/>
      <c r="I353" s="8" t="n">
        <f aca="false">INDEX(Parâmetros!$C$13:$C$19,MATCH(E353,Parâmetros!$A$13:$A$19,0))</f>
        <v>4821</v>
      </c>
      <c r="J353" s="26" t="str">
        <f aca="false">IF(H353="","",Parâmetros!$B$5-H353)</f>
        <v/>
      </c>
      <c r="K353" s="10" t="n">
        <f aca="false">INDEX(Parâmetros!$D$13:$D$19,MATCH(E353,Parâmetros!$A$13:$A$19,0))</f>
        <v>43</v>
      </c>
      <c r="L353" s="26" t="n">
        <f aca="false">IF(G353="Prospecting",Parâmetros!$B$9,IF(J353&gt;Parâmetros!$B$6,0,INDEX(Parâmetros!$C$24:$C$26,MATCH(J353,Parâmetros!$A$24:$A$26,1))))</f>
        <v>10</v>
      </c>
      <c r="M353" s="31" t="n">
        <f aca="false">IF(G353="Prospecting",1,INDEX(Parâmetros!$C$32:$C$35,MATCH(J353,Parâmetros!$A$32:$A$35,1)))</f>
        <v>1</v>
      </c>
      <c r="N353" s="2" t="n">
        <f aca="false">ROUND((K353+L353)*M353,0)</f>
        <v>53</v>
      </c>
      <c r="O353" s="10" t="str">
        <f aca="false">IF(AND(G353="Engaging",J353&gt;Parâmetros!$B$6),"Sim","Não")</f>
        <v>Não</v>
      </c>
      <c r="P353" s="32" t="str">
        <f aca="false">IF(O353="Sim","R",IF(N353&gt;=Parâmetros!$B$39,"A",IF(N353&gt;=Parâmetros!$B$40,"B",IF(N353&gt;=Parâmetros!$B$41,"C","D"))))</f>
        <v>C</v>
      </c>
      <c r="Q353" s="10" t="str">
        <f aca="false">IF(F353="","Completar cadastro","")</f>
        <v/>
      </c>
      <c r="R353" s="10" t="str">
        <f aca="false">INDEX(Parâmetros!$D$39:$D$43,MATCH(P353,Parâmetros!$A$39:$A$43,0))</f>
        <v>Cadência leve, foco em qualificar</v>
      </c>
    </row>
    <row r="354" customFormat="false" ht="15" hidden="false" customHeight="false" outlineLevel="0" collapsed="false">
      <c r="A354" s="10" t="s">
        <v>582</v>
      </c>
      <c r="B354" s="10" t="s">
        <v>81</v>
      </c>
      <c r="C354" s="10" t="s">
        <v>78</v>
      </c>
      <c r="D354" s="10" t="s">
        <v>196</v>
      </c>
      <c r="E354" s="10" t="s">
        <v>48</v>
      </c>
      <c r="F354" s="10" t="s">
        <v>369</v>
      </c>
      <c r="G354" s="10" t="s">
        <v>425</v>
      </c>
      <c r="H354" s="10"/>
      <c r="I354" s="8" t="n">
        <f aca="false">INDEX(Parâmetros!$C$13:$C$19,MATCH(E354,Parâmetros!$A$13:$A$19,0))</f>
        <v>4821</v>
      </c>
      <c r="J354" s="26" t="str">
        <f aca="false">IF(H354="","",Parâmetros!$B$5-H354)</f>
        <v/>
      </c>
      <c r="K354" s="10" t="n">
        <f aca="false">INDEX(Parâmetros!$D$13:$D$19,MATCH(E354,Parâmetros!$A$13:$A$19,0))</f>
        <v>43</v>
      </c>
      <c r="L354" s="26" t="n">
        <f aca="false">IF(G354="Prospecting",Parâmetros!$B$9,IF(J354&gt;Parâmetros!$B$6,0,INDEX(Parâmetros!$C$24:$C$26,MATCH(J354,Parâmetros!$A$24:$A$26,1))))</f>
        <v>10</v>
      </c>
      <c r="M354" s="31" t="n">
        <f aca="false">IF(G354="Prospecting",1,INDEX(Parâmetros!$C$32:$C$35,MATCH(J354,Parâmetros!$A$32:$A$35,1)))</f>
        <v>1</v>
      </c>
      <c r="N354" s="2" t="n">
        <f aca="false">ROUND((K354+L354)*M354,0)</f>
        <v>53</v>
      </c>
      <c r="O354" s="10" t="str">
        <f aca="false">IF(AND(G354="Engaging",J354&gt;Parâmetros!$B$6),"Sim","Não")</f>
        <v>Não</v>
      </c>
      <c r="P354" s="32" t="str">
        <f aca="false">IF(O354="Sim","R",IF(N354&gt;=Parâmetros!$B$39,"A",IF(N354&gt;=Parâmetros!$B$40,"B",IF(N354&gt;=Parâmetros!$B$41,"C","D"))))</f>
        <v>C</v>
      </c>
      <c r="Q354" s="10" t="str">
        <f aca="false">IF(F354="","Completar cadastro","")</f>
        <v/>
      </c>
      <c r="R354" s="10" t="str">
        <f aca="false">INDEX(Parâmetros!$D$39:$D$43,MATCH(P354,Parâmetros!$A$39:$A$43,0))</f>
        <v>Cadência leve, foco em qualificar</v>
      </c>
    </row>
    <row r="355" customFormat="false" ht="15" hidden="false" customHeight="false" outlineLevel="0" collapsed="false">
      <c r="A355" s="10" t="s">
        <v>583</v>
      </c>
      <c r="B355" s="10" t="s">
        <v>81</v>
      </c>
      <c r="C355" s="10" t="s">
        <v>78</v>
      </c>
      <c r="D355" s="10" t="s">
        <v>196</v>
      </c>
      <c r="E355" s="10" t="s">
        <v>48</v>
      </c>
      <c r="F355" s="10" t="s">
        <v>179</v>
      </c>
      <c r="G355" s="10" t="s">
        <v>425</v>
      </c>
      <c r="H355" s="10"/>
      <c r="I355" s="8" t="n">
        <f aca="false">INDEX(Parâmetros!$C$13:$C$19,MATCH(E355,Parâmetros!$A$13:$A$19,0))</f>
        <v>4821</v>
      </c>
      <c r="J355" s="26" t="str">
        <f aca="false">IF(H355="","",Parâmetros!$B$5-H355)</f>
        <v/>
      </c>
      <c r="K355" s="10" t="n">
        <f aca="false">INDEX(Parâmetros!$D$13:$D$19,MATCH(E355,Parâmetros!$A$13:$A$19,0))</f>
        <v>43</v>
      </c>
      <c r="L355" s="26" t="n">
        <f aca="false">IF(G355="Prospecting",Parâmetros!$B$9,IF(J355&gt;Parâmetros!$B$6,0,INDEX(Parâmetros!$C$24:$C$26,MATCH(J355,Parâmetros!$A$24:$A$26,1))))</f>
        <v>10</v>
      </c>
      <c r="M355" s="31" t="n">
        <f aca="false">IF(G355="Prospecting",1,INDEX(Parâmetros!$C$32:$C$35,MATCH(J355,Parâmetros!$A$32:$A$35,1)))</f>
        <v>1</v>
      </c>
      <c r="N355" s="2" t="n">
        <f aca="false">ROUND((K355+L355)*M355,0)</f>
        <v>53</v>
      </c>
      <c r="O355" s="10" t="str">
        <f aca="false">IF(AND(G355="Engaging",J355&gt;Parâmetros!$B$6),"Sim","Não")</f>
        <v>Não</v>
      </c>
      <c r="P355" s="32" t="str">
        <f aca="false">IF(O355="Sim","R",IF(N355&gt;=Parâmetros!$B$39,"A",IF(N355&gt;=Parâmetros!$B$40,"B",IF(N355&gt;=Parâmetros!$B$41,"C","D"))))</f>
        <v>C</v>
      </c>
      <c r="Q355" s="10" t="str">
        <f aca="false">IF(F355="","Completar cadastro","")</f>
        <v/>
      </c>
      <c r="R355" s="10" t="str">
        <f aca="false">INDEX(Parâmetros!$D$39:$D$43,MATCH(P355,Parâmetros!$A$39:$A$43,0))</f>
        <v>Cadência leve, foco em qualificar</v>
      </c>
    </row>
    <row r="356" customFormat="false" ht="15" hidden="false" customHeight="false" outlineLevel="0" collapsed="false">
      <c r="A356" s="10" t="s">
        <v>584</v>
      </c>
      <c r="B356" s="10" t="s">
        <v>81</v>
      </c>
      <c r="C356" s="10" t="s">
        <v>78</v>
      </c>
      <c r="D356" s="10" t="s">
        <v>196</v>
      </c>
      <c r="E356" s="10" t="s">
        <v>48</v>
      </c>
      <c r="F356" s="10" t="s">
        <v>522</v>
      </c>
      <c r="G356" s="10" t="s">
        <v>425</v>
      </c>
      <c r="H356" s="10"/>
      <c r="I356" s="8" t="n">
        <f aca="false">INDEX(Parâmetros!$C$13:$C$19,MATCH(E356,Parâmetros!$A$13:$A$19,0))</f>
        <v>4821</v>
      </c>
      <c r="J356" s="26" t="str">
        <f aca="false">IF(H356="","",Parâmetros!$B$5-H356)</f>
        <v/>
      </c>
      <c r="K356" s="10" t="n">
        <f aca="false">INDEX(Parâmetros!$D$13:$D$19,MATCH(E356,Parâmetros!$A$13:$A$19,0))</f>
        <v>43</v>
      </c>
      <c r="L356" s="26" t="n">
        <f aca="false">IF(G356="Prospecting",Parâmetros!$B$9,IF(J356&gt;Parâmetros!$B$6,0,INDEX(Parâmetros!$C$24:$C$26,MATCH(J356,Parâmetros!$A$24:$A$26,1))))</f>
        <v>10</v>
      </c>
      <c r="M356" s="31" t="n">
        <f aca="false">IF(G356="Prospecting",1,INDEX(Parâmetros!$C$32:$C$35,MATCH(J356,Parâmetros!$A$32:$A$35,1)))</f>
        <v>1</v>
      </c>
      <c r="N356" s="2" t="n">
        <f aca="false">ROUND((K356+L356)*M356,0)</f>
        <v>53</v>
      </c>
      <c r="O356" s="10" t="str">
        <f aca="false">IF(AND(G356="Engaging",J356&gt;Parâmetros!$B$6),"Sim","Não")</f>
        <v>Não</v>
      </c>
      <c r="P356" s="32" t="str">
        <f aca="false">IF(O356="Sim","R",IF(N356&gt;=Parâmetros!$B$39,"A",IF(N356&gt;=Parâmetros!$B$40,"B",IF(N356&gt;=Parâmetros!$B$41,"C","D"))))</f>
        <v>C</v>
      </c>
      <c r="Q356" s="10" t="str">
        <f aca="false">IF(F356="","Completar cadastro","")</f>
        <v/>
      </c>
      <c r="R356" s="10" t="str">
        <f aca="false">INDEX(Parâmetros!$D$39:$D$43,MATCH(P356,Parâmetros!$A$39:$A$43,0))</f>
        <v>Cadência leve, foco em qualificar</v>
      </c>
    </row>
    <row r="357" customFormat="false" ht="15" hidden="false" customHeight="false" outlineLevel="0" collapsed="false">
      <c r="A357" s="10" t="s">
        <v>585</v>
      </c>
      <c r="B357" s="10" t="s">
        <v>81</v>
      </c>
      <c r="C357" s="10" t="s">
        <v>78</v>
      </c>
      <c r="D357" s="10" t="s">
        <v>196</v>
      </c>
      <c r="E357" s="10" t="s">
        <v>48</v>
      </c>
      <c r="F357" s="10"/>
      <c r="G357" s="10" t="s">
        <v>425</v>
      </c>
      <c r="H357" s="10"/>
      <c r="I357" s="8" t="n">
        <f aca="false">INDEX(Parâmetros!$C$13:$C$19,MATCH(E357,Parâmetros!$A$13:$A$19,0))</f>
        <v>4821</v>
      </c>
      <c r="J357" s="26" t="str">
        <f aca="false">IF(H357="","",Parâmetros!$B$5-H357)</f>
        <v/>
      </c>
      <c r="K357" s="10" t="n">
        <f aca="false">INDEX(Parâmetros!$D$13:$D$19,MATCH(E357,Parâmetros!$A$13:$A$19,0))</f>
        <v>43</v>
      </c>
      <c r="L357" s="26" t="n">
        <f aca="false">IF(G357="Prospecting",Parâmetros!$B$9,IF(J357&gt;Parâmetros!$B$6,0,INDEX(Parâmetros!$C$24:$C$26,MATCH(J357,Parâmetros!$A$24:$A$26,1))))</f>
        <v>10</v>
      </c>
      <c r="M357" s="31" t="n">
        <f aca="false">IF(G357="Prospecting",1,INDEX(Parâmetros!$C$32:$C$35,MATCH(J357,Parâmetros!$A$32:$A$35,1)))</f>
        <v>1</v>
      </c>
      <c r="N357" s="2" t="n">
        <f aca="false">ROUND((K357+L357)*M357,0)</f>
        <v>53</v>
      </c>
      <c r="O357" s="10" t="str">
        <f aca="false">IF(AND(G357="Engaging",J357&gt;Parâmetros!$B$6),"Sim","Não")</f>
        <v>Não</v>
      </c>
      <c r="P357" s="32" t="str">
        <f aca="false">IF(O357="Sim","R",IF(N357&gt;=Parâmetros!$B$39,"A",IF(N357&gt;=Parâmetros!$B$40,"B",IF(N357&gt;=Parâmetros!$B$41,"C","D"))))</f>
        <v>C</v>
      </c>
      <c r="Q357" s="10" t="str">
        <f aca="false">IF(F357="","Completar cadastro","")</f>
        <v>Completar cadastro</v>
      </c>
      <c r="R357" s="10" t="str">
        <f aca="false">INDEX(Parâmetros!$D$39:$D$43,MATCH(P357,Parâmetros!$A$39:$A$43,0))</f>
        <v>Cadência leve, foco em qualificar</v>
      </c>
    </row>
    <row r="358" customFormat="false" ht="15" hidden="false" customHeight="false" outlineLevel="0" collapsed="false">
      <c r="A358" s="10" t="s">
        <v>586</v>
      </c>
      <c r="B358" s="10" t="s">
        <v>81</v>
      </c>
      <c r="C358" s="10" t="s">
        <v>78</v>
      </c>
      <c r="D358" s="10" t="s">
        <v>196</v>
      </c>
      <c r="E358" s="10" t="s">
        <v>48</v>
      </c>
      <c r="F358" s="10"/>
      <c r="G358" s="10" t="s">
        <v>425</v>
      </c>
      <c r="H358" s="10"/>
      <c r="I358" s="8" t="n">
        <f aca="false">INDEX(Parâmetros!$C$13:$C$19,MATCH(E358,Parâmetros!$A$13:$A$19,0))</f>
        <v>4821</v>
      </c>
      <c r="J358" s="26" t="str">
        <f aca="false">IF(H358="","",Parâmetros!$B$5-H358)</f>
        <v/>
      </c>
      <c r="K358" s="10" t="n">
        <f aca="false">INDEX(Parâmetros!$D$13:$D$19,MATCH(E358,Parâmetros!$A$13:$A$19,0))</f>
        <v>43</v>
      </c>
      <c r="L358" s="26" t="n">
        <f aca="false">IF(G358="Prospecting",Parâmetros!$B$9,IF(J358&gt;Parâmetros!$B$6,0,INDEX(Parâmetros!$C$24:$C$26,MATCH(J358,Parâmetros!$A$24:$A$26,1))))</f>
        <v>10</v>
      </c>
      <c r="M358" s="31" t="n">
        <f aca="false">IF(G358="Prospecting",1,INDEX(Parâmetros!$C$32:$C$35,MATCH(J358,Parâmetros!$A$32:$A$35,1)))</f>
        <v>1</v>
      </c>
      <c r="N358" s="2" t="n">
        <f aca="false">ROUND((K358+L358)*M358,0)</f>
        <v>53</v>
      </c>
      <c r="O358" s="10" t="str">
        <f aca="false">IF(AND(G358="Engaging",J358&gt;Parâmetros!$B$6),"Sim","Não")</f>
        <v>Não</v>
      </c>
      <c r="P358" s="32" t="str">
        <f aca="false">IF(O358="Sim","R",IF(N358&gt;=Parâmetros!$B$39,"A",IF(N358&gt;=Parâmetros!$B$40,"B",IF(N358&gt;=Parâmetros!$B$41,"C","D"))))</f>
        <v>C</v>
      </c>
      <c r="Q358" s="10" t="str">
        <f aca="false">IF(F358="","Completar cadastro","")</f>
        <v>Completar cadastro</v>
      </c>
      <c r="R358" s="10" t="str">
        <f aca="false">INDEX(Parâmetros!$D$39:$D$43,MATCH(P358,Parâmetros!$A$39:$A$43,0))</f>
        <v>Cadência leve, foco em qualificar</v>
      </c>
    </row>
    <row r="359" customFormat="false" ht="15" hidden="false" customHeight="false" outlineLevel="0" collapsed="false">
      <c r="A359" s="10" t="s">
        <v>587</v>
      </c>
      <c r="B359" s="10" t="s">
        <v>81</v>
      </c>
      <c r="C359" s="10" t="s">
        <v>78</v>
      </c>
      <c r="D359" s="10" t="s">
        <v>196</v>
      </c>
      <c r="E359" s="10" t="s">
        <v>48</v>
      </c>
      <c r="F359" s="10"/>
      <c r="G359" s="10" t="s">
        <v>425</v>
      </c>
      <c r="H359" s="10"/>
      <c r="I359" s="8" t="n">
        <f aca="false">INDEX(Parâmetros!$C$13:$C$19,MATCH(E359,Parâmetros!$A$13:$A$19,0))</f>
        <v>4821</v>
      </c>
      <c r="J359" s="26" t="str">
        <f aca="false">IF(H359="","",Parâmetros!$B$5-H359)</f>
        <v/>
      </c>
      <c r="K359" s="10" t="n">
        <f aca="false">INDEX(Parâmetros!$D$13:$D$19,MATCH(E359,Parâmetros!$A$13:$A$19,0))</f>
        <v>43</v>
      </c>
      <c r="L359" s="26" t="n">
        <f aca="false">IF(G359="Prospecting",Parâmetros!$B$9,IF(J359&gt;Parâmetros!$B$6,0,INDEX(Parâmetros!$C$24:$C$26,MATCH(J359,Parâmetros!$A$24:$A$26,1))))</f>
        <v>10</v>
      </c>
      <c r="M359" s="31" t="n">
        <f aca="false">IF(G359="Prospecting",1,INDEX(Parâmetros!$C$32:$C$35,MATCH(J359,Parâmetros!$A$32:$A$35,1)))</f>
        <v>1</v>
      </c>
      <c r="N359" s="2" t="n">
        <f aca="false">ROUND((K359+L359)*M359,0)</f>
        <v>53</v>
      </c>
      <c r="O359" s="10" t="str">
        <f aca="false">IF(AND(G359="Engaging",J359&gt;Parâmetros!$B$6),"Sim","Não")</f>
        <v>Não</v>
      </c>
      <c r="P359" s="32" t="str">
        <f aca="false">IF(O359="Sim","R",IF(N359&gt;=Parâmetros!$B$39,"A",IF(N359&gt;=Parâmetros!$B$40,"B",IF(N359&gt;=Parâmetros!$B$41,"C","D"))))</f>
        <v>C</v>
      </c>
      <c r="Q359" s="10" t="str">
        <f aca="false">IF(F359="","Completar cadastro","")</f>
        <v>Completar cadastro</v>
      </c>
      <c r="R359" s="10" t="str">
        <f aca="false">INDEX(Parâmetros!$D$39:$D$43,MATCH(P359,Parâmetros!$A$39:$A$43,0))</f>
        <v>Cadência leve, foco em qualificar</v>
      </c>
    </row>
    <row r="360" customFormat="false" ht="15" hidden="false" customHeight="false" outlineLevel="0" collapsed="false">
      <c r="A360" s="10" t="s">
        <v>588</v>
      </c>
      <c r="B360" s="10" t="s">
        <v>81</v>
      </c>
      <c r="C360" s="10" t="s">
        <v>78</v>
      </c>
      <c r="D360" s="10" t="s">
        <v>196</v>
      </c>
      <c r="E360" s="10" t="s">
        <v>48</v>
      </c>
      <c r="F360" s="10"/>
      <c r="G360" s="10" t="s">
        <v>425</v>
      </c>
      <c r="H360" s="10"/>
      <c r="I360" s="8" t="n">
        <f aca="false">INDEX(Parâmetros!$C$13:$C$19,MATCH(E360,Parâmetros!$A$13:$A$19,0))</f>
        <v>4821</v>
      </c>
      <c r="J360" s="26" t="str">
        <f aca="false">IF(H360="","",Parâmetros!$B$5-H360)</f>
        <v/>
      </c>
      <c r="K360" s="10" t="n">
        <f aca="false">INDEX(Parâmetros!$D$13:$D$19,MATCH(E360,Parâmetros!$A$13:$A$19,0))</f>
        <v>43</v>
      </c>
      <c r="L360" s="26" t="n">
        <f aca="false">IF(G360="Prospecting",Parâmetros!$B$9,IF(J360&gt;Parâmetros!$B$6,0,INDEX(Parâmetros!$C$24:$C$26,MATCH(J360,Parâmetros!$A$24:$A$26,1))))</f>
        <v>10</v>
      </c>
      <c r="M360" s="31" t="n">
        <f aca="false">IF(G360="Prospecting",1,INDEX(Parâmetros!$C$32:$C$35,MATCH(J360,Parâmetros!$A$32:$A$35,1)))</f>
        <v>1</v>
      </c>
      <c r="N360" s="2" t="n">
        <f aca="false">ROUND((K360+L360)*M360,0)</f>
        <v>53</v>
      </c>
      <c r="O360" s="10" t="str">
        <f aca="false">IF(AND(G360="Engaging",J360&gt;Parâmetros!$B$6),"Sim","Não")</f>
        <v>Não</v>
      </c>
      <c r="P360" s="32" t="str">
        <f aca="false">IF(O360="Sim","R",IF(N360&gt;=Parâmetros!$B$39,"A",IF(N360&gt;=Parâmetros!$B$40,"B",IF(N360&gt;=Parâmetros!$B$41,"C","D"))))</f>
        <v>C</v>
      </c>
      <c r="Q360" s="10" t="str">
        <f aca="false">IF(F360="","Completar cadastro","")</f>
        <v>Completar cadastro</v>
      </c>
      <c r="R360" s="10" t="str">
        <f aca="false">INDEX(Parâmetros!$D$39:$D$43,MATCH(P360,Parâmetros!$A$39:$A$43,0))</f>
        <v>Cadência leve, foco em qualificar</v>
      </c>
    </row>
    <row r="361" customFormat="false" ht="15" hidden="false" customHeight="false" outlineLevel="0" collapsed="false">
      <c r="A361" s="10" t="s">
        <v>589</v>
      </c>
      <c r="B361" s="10" t="s">
        <v>83</v>
      </c>
      <c r="C361" s="10" t="s">
        <v>78</v>
      </c>
      <c r="D361" s="10" t="s">
        <v>196</v>
      </c>
      <c r="E361" s="10" t="s">
        <v>48</v>
      </c>
      <c r="F361" s="10"/>
      <c r="G361" s="10" t="s">
        <v>425</v>
      </c>
      <c r="H361" s="10"/>
      <c r="I361" s="8" t="n">
        <f aca="false">INDEX(Parâmetros!$C$13:$C$19,MATCH(E361,Parâmetros!$A$13:$A$19,0))</f>
        <v>4821</v>
      </c>
      <c r="J361" s="26" t="str">
        <f aca="false">IF(H361="","",Parâmetros!$B$5-H361)</f>
        <v/>
      </c>
      <c r="K361" s="10" t="n">
        <f aca="false">INDEX(Parâmetros!$D$13:$D$19,MATCH(E361,Parâmetros!$A$13:$A$19,0))</f>
        <v>43</v>
      </c>
      <c r="L361" s="26" t="n">
        <f aca="false">IF(G361="Prospecting",Parâmetros!$B$9,IF(J361&gt;Parâmetros!$B$6,0,INDEX(Parâmetros!$C$24:$C$26,MATCH(J361,Parâmetros!$A$24:$A$26,1))))</f>
        <v>10</v>
      </c>
      <c r="M361" s="31" t="n">
        <f aca="false">IF(G361="Prospecting",1,INDEX(Parâmetros!$C$32:$C$35,MATCH(J361,Parâmetros!$A$32:$A$35,1)))</f>
        <v>1</v>
      </c>
      <c r="N361" s="2" t="n">
        <f aca="false">ROUND((K361+L361)*M361,0)</f>
        <v>53</v>
      </c>
      <c r="O361" s="10" t="str">
        <f aca="false">IF(AND(G361="Engaging",J361&gt;Parâmetros!$B$6),"Sim","Não")</f>
        <v>Não</v>
      </c>
      <c r="P361" s="32" t="str">
        <f aca="false">IF(O361="Sim","R",IF(N361&gt;=Parâmetros!$B$39,"A",IF(N361&gt;=Parâmetros!$B$40,"B",IF(N361&gt;=Parâmetros!$B$41,"C","D"))))</f>
        <v>C</v>
      </c>
      <c r="Q361" s="10" t="str">
        <f aca="false">IF(F361="","Completar cadastro","")</f>
        <v>Completar cadastro</v>
      </c>
      <c r="R361" s="10" t="str">
        <f aca="false">INDEX(Parâmetros!$D$39:$D$43,MATCH(P361,Parâmetros!$A$39:$A$43,0))</f>
        <v>Cadência leve, foco em qualificar</v>
      </c>
    </row>
    <row r="362" customFormat="false" ht="15" hidden="false" customHeight="false" outlineLevel="0" collapsed="false">
      <c r="A362" s="10" t="s">
        <v>590</v>
      </c>
      <c r="B362" s="10" t="s">
        <v>83</v>
      </c>
      <c r="C362" s="10" t="s">
        <v>78</v>
      </c>
      <c r="D362" s="10" t="s">
        <v>196</v>
      </c>
      <c r="E362" s="10" t="s">
        <v>48</v>
      </c>
      <c r="F362" s="10"/>
      <c r="G362" s="10" t="s">
        <v>425</v>
      </c>
      <c r="H362" s="10"/>
      <c r="I362" s="8" t="n">
        <f aca="false">INDEX(Parâmetros!$C$13:$C$19,MATCH(E362,Parâmetros!$A$13:$A$19,0))</f>
        <v>4821</v>
      </c>
      <c r="J362" s="26" t="str">
        <f aca="false">IF(H362="","",Parâmetros!$B$5-H362)</f>
        <v/>
      </c>
      <c r="K362" s="10" t="n">
        <f aca="false">INDEX(Parâmetros!$D$13:$D$19,MATCH(E362,Parâmetros!$A$13:$A$19,0))</f>
        <v>43</v>
      </c>
      <c r="L362" s="26" t="n">
        <f aca="false">IF(G362="Prospecting",Parâmetros!$B$9,IF(J362&gt;Parâmetros!$B$6,0,INDEX(Parâmetros!$C$24:$C$26,MATCH(J362,Parâmetros!$A$24:$A$26,1))))</f>
        <v>10</v>
      </c>
      <c r="M362" s="31" t="n">
        <f aca="false">IF(G362="Prospecting",1,INDEX(Parâmetros!$C$32:$C$35,MATCH(J362,Parâmetros!$A$32:$A$35,1)))</f>
        <v>1</v>
      </c>
      <c r="N362" s="2" t="n">
        <f aca="false">ROUND((K362+L362)*M362,0)</f>
        <v>53</v>
      </c>
      <c r="O362" s="10" t="str">
        <f aca="false">IF(AND(G362="Engaging",J362&gt;Parâmetros!$B$6),"Sim","Não")</f>
        <v>Não</v>
      </c>
      <c r="P362" s="32" t="str">
        <f aca="false">IF(O362="Sim","R",IF(N362&gt;=Parâmetros!$B$39,"A",IF(N362&gt;=Parâmetros!$B$40,"B",IF(N362&gt;=Parâmetros!$B$41,"C","D"))))</f>
        <v>C</v>
      </c>
      <c r="Q362" s="10" t="str">
        <f aca="false">IF(F362="","Completar cadastro","")</f>
        <v>Completar cadastro</v>
      </c>
      <c r="R362" s="10" t="str">
        <f aca="false">INDEX(Parâmetros!$D$39:$D$43,MATCH(P362,Parâmetros!$A$39:$A$43,0))</f>
        <v>Cadência leve, foco em qualificar</v>
      </c>
    </row>
    <row r="363" customFormat="false" ht="15" hidden="false" customHeight="false" outlineLevel="0" collapsed="false">
      <c r="A363" s="10" t="s">
        <v>591</v>
      </c>
      <c r="B363" s="10" t="s">
        <v>83</v>
      </c>
      <c r="C363" s="10" t="s">
        <v>78</v>
      </c>
      <c r="D363" s="10" t="s">
        <v>196</v>
      </c>
      <c r="E363" s="10" t="s">
        <v>48</v>
      </c>
      <c r="F363" s="10"/>
      <c r="G363" s="10" t="s">
        <v>425</v>
      </c>
      <c r="H363" s="10"/>
      <c r="I363" s="8" t="n">
        <f aca="false">INDEX(Parâmetros!$C$13:$C$19,MATCH(E363,Parâmetros!$A$13:$A$19,0))</f>
        <v>4821</v>
      </c>
      <c r="J363" s="26" t="str">
        <f aca="false">IF(H363="","",Parâmetros!$B$5-H363)</f>
        <v/>
      </c>
      <c r="K363" s="10" t="n">
        <f aca="false">INDEX(Parâmetros!$D$13:$D$19,MATCH(E363,Parâmetros!$A$13:$A$19,0))</f>
        <v>43</v>
      </c>
      <c r="L363" s="26" t="n">
        <f aca="false">IF(G363="Prospecting",Parâmetros!$B$9,IF(J363&gt;Parâmetros!$B$6,0,INDEX(Parâmetros!$C$24:$C$26,MATCH(J363,Parâmetros!$A$24:$A$26,1))))</f>
        <v>10</v>
      </c>
      <c r="M363" s="31" t="n">
        <f aca="false">IF(G363="Prospecting",1,INDEX(Parâmetros!$C$32:$C$35,MATCH(J363,Parâmetros!$A$32:$A$35,1)))</f>
        <v>1</v>
      </c>
      <c r="N363" s="2" t="n">
        <f aca="false">ROUND((K363+L363)*M363,0)</f>
        <v>53</v>
      </c>
      <c r="O363" s="10" t="str">
        <f aca="false">IF(AND(G363="Engaging",J363&gt;Parâmetros!$B$6),"Sim","Não")</f>
        <v>Não</v>
      </c>
      <c r="P363" s="32" t="str">
        <f aca="false">IF(O363="Sim","R",IF(N363&gt;=Parâmetros!$B$39,"A",IF(N363&gt;=Parâmetros!$B$40,"B",IF(N363&gt;=Parâmetros!$B$41,"C","D"))))</f>
        <v>C</v>
      </c>
      <c r="Q363" s="10" t="str">
        <f aca="false">IF(F363="","Completar cadastro","")</f>
        <v>Completar cadastro</v>
      </c>
      <c r="R363" s="10" t="str">
        <f aca="false">INDEX(Parâmetros!$D$39:$D$43,MATCH(P363,Parâmetros!$A$39:$A$43,0))</f>
        <v>Cadência leve, foco em qualificar</v>
      </c>
    </row>
    <row r="364" customFormat="false" ht="15" hidden="false" customHeight="false" outlineLevel="0" collapsed="false">
      <c r="A364" s="10" t="s">
        <v>592</v>
      </c>
      <c r="B364" s="10" t="s">
        <v>71</v>
      </c>
      <c r="C364" s="10" t="s">
        <v>72</v>
      </c>
      <c r="D364" s="10" t="s">
        <v>196</v>
      </c>
      <c r="E364" s="10" t="s">
        <v>49</v>
      </c>
      <c r="F364" s="10" t="s">
        <v>161</v>
      </c>
      <c r="G364" s="10" t="s">
        <v>425</v>
      </c>
      <c r="H364" s="10"/>
      <c r="I364" s="8" t="n">
        <f aca="false">INDEX(Parâmetros!$C$13:$C$19,MATCH(E364,Parâmetros!$A$13:$A$19,0))</f>
        <v>3393</v>
      </c>
      <c r="J364" s="26" t="str">
        <f aca="false">IF(H364="","",Parâmetros!$B$5-H364)</f>
        <v/>
      </c>
      <c r="K364" s="10" t="n">
        <f aca="false">INDEX(Parâmetros!$D$13:$D$19,MATCH(E364,Parâmetros!$A$13:$A$19,0))</f>
        <v>40</v>
      </c>
      <c r="L364" s="26" t="n">
        <f aca="false">IF(G364="Prospecting",Parâmetros!$B$9,IF(J364&gt;Parâmetros!$B$6,0,INDEX(Parâmetros!$C$24:$C$26,MATCH(J364,Parâmetros!$A$24:$A$26,1))))</f>
        <v>10</v>
      </c>
      <c r="M364" s="31" t="n">
        <f aca="false">IF(G364="Prospecting",1,INDEX(Parâmetros!$C$32:$C$35,MATCH(J364,Parâmetros!$A$32:$A$35,1)))</f>
        <v>1</v>
      </c>
      <c r="N364" s="2" t="n">
        <f aca="false">ROUND((K364+L364)*M364,0)</f>
        <v>50</v>
      </c>
      <c r="O364" s="10" t="str">
        <f aca="false">IF(AND(G364="Engaging",J364&gt;Parâmetros!$B$6),"Sim","Não")</f>
        <v>Não</v>
      </c>
      <c r="P364" s="32" t="str">
        <f aca="false">IF(O364="Sim","R",IF(N364&gt;=Parâmetros!$B$39,"A",IF(N364&gt;=Parâmetros!$B$40,"B",IF(N364&gt;=Parâmetros!$B$41,"C","D"))))</f>
        <v>C</v>
      </c>
      <c r="Q364" s="10" t="str">
        <f aca="false">IF(F364="","Completar cadastro","")</f>
        <v/>
      </c>
      <c r="R364" s="10" t="str">
        <f aca="false">INDEX(Parâmetros!$D$39:$D$43,MATCH(P364,Parâmetros!$A$39:$A$43,0))</f>
        <v>Cadência leve, foco em qualificar</v>
      </c>
    </row>
    <row r="365" customFormat="false" ht="15" hidden="false" customHeight="false" outlineLevel="0" collapsed="false">
      <c r="A365" s="10" t="s">
        <v>593</v>
      </c>
      <c r="B365" s="10" t="s">
        <v>71</v>
      </c>
      <c r="C365" s="10" t="s">
        <v>72</v>
      </c>
      <c r="D365" s="10" t="s">
        <v>196</v>
      </c>
      <c r="E365" s="10" t="s">
        <v>49</v>
      </c>
      <c r="F365" s="10" t="s">
        <v>378</v>
      </c>
      <c r="G365" s="10" t="s">
        <v>425</v>
      </c>
      <c r="H365" s="10"/>
      <c r="I365" s="8" t="n">
        <f aca="false">INDEX(Parâmetros!$C$13:$C$19,MATCH(E365,Parâmetros!$A$13:$A$19,0))</f>
        <v>3393</v>
      </c>
      <c r="J365" s="26" t="str">
        <f aca="false">IF(H365="","",Parâmetros!$B$5-H365)</f>
        <v/>
      </c>
      <c r="K365" s="10" t="n">
        <f aca="false">INDEX(Parâmetros!$D$13:$D$19,MATCH(E365,Parâmetros!$A$13:$A$19,0))</f>
        <v>40</v>
      </c>
      <c r="L365" s="26" t="n">
        <f aca="false">IF(G365="Prospecting",Parâmetros!$B$9,IF(J365&gt;Parâmetros!$B$6,0,INDEX(Parâmetros!$C$24:$C$26,MATCH(J365,Parâmetros!$A$24:$A$26,1))))</f>
        <v>10</v>
      </c>
      <c r="M365" s="31" t="n">
        <f aca="false">IF(G365="Prospecting",1,INDEX(Parâmetros!$C$32:$C$35,MATCH(J365,Parâmetros!$A$32:$A$35,1)))</f>
        <v>1</v>
      </c>
      <c r="N365" s="2" t="n">
        <f aca="false">ROUND((K365+L365)*M365,0)</f>
        <v>50</v>
      </c>
      <c r="O365" s="10" t="str">
        <f aca="false">IF(AND(G365="Engaging",J365&gt;Parâmetros!$B$6),"Sim","Não")</f>
        <v>Não</v>
      </c>
      <c r="P365" s="32" t="str">
        <f aca="false">IF(O365="Sim","R",IF(N365&gt;=Parâmetros!$B$39,"A",IF(N365&gt;=Parâmetros!$B$40,"B",IF(N365&gt;=Parâmetros!$B$41,"C","D"))))</f>
        <v>C</v>
      </c>
      <c r="Q365" s="10" t="str">
        <f aca="false">IF(F365="","Completar cadastro","")</f>
        <v/>
      </c>
      <c r="R365" s="10" t="str">
        <f aca="false">INDEX(Parâmetros!$D$39:$D$43,MATCH(P365,Parâmetros!$A$39:$A$43,0))</f>
        <v>Cadência leve, foco em qualificar</v>
      </c>
    </row>
    <row r="366" customFormat="false" ht="15" hidden="false" customHeight="false" outlineLevel="0" collapsed="false">
      <c r="A366" s="10" t="s">
        <v>594</v>
      </c>
      <c r="B366" s="10" t="s">
        <v>71</v>
      </c>
      <c r="C366" s="10" t="s">
        <v>72</v>
      </c>
      <c r="D366" s="10" t="s">
        <v>196</v>
      </c>
      <c r="E366" s="10" t="s">
        <v>49</v>
      </c>
      <c r="F366" s="10" t="s">
        <v>487</v>
      </c>
      <c r="G366" s="10" t="s">
        <v>425</v>
      </c>
      <c r="H366" s="10"/>
      <c r="I366" s="8" t="n">
        <f aca="false">INDEX(Parâmetros!$C$13:$C$19,MATCH(E366,Parâmetros!$A$13:$A$19,0))</f>
        <v>3393</v>
      </c>
      <c r="J366" s="26" t="str">
        <f aca="false">IF(H366="","",Parâmetros!$B$5-H366)</f>
        <v/>
      </c>
      <c r="K366" s="10" t="n">
        <f aca="false">INDEX(Parâmetros!$D$13:$D$19,MATCH(E366,Parâmetros!$A$13:$A$19,0))</f>
        <v>40</v>
      </c>
      <c r="L366" s="26" t="n">
        <f aca="false">IF(G366="Prospecting",Parâmetros!$B$9,IF(J366&gt;Parâmetros!$B$6,0,INDEX(Parâmetros!$C$24:$C$26,MATCH(J366,Parâmetros!$A$24:$A$26,1))))</f>
        <v>10</v>
      </c>
      <c r="M366" s="31" t="n">
        <f aca="false">IF(G366="Prospecting",1,INDEX(Parâmetros!$C$32:$C$35,MATCH(J366,Parâmetros!$A$32:$A$35,1)))</f>
        <v>1</v>
      </c>
      <c r="N366" s="2" t="n">
        <f aca="false">ROUND((K366+L366)*M366,0)</f>
        <v>50</v>
      </c>
      <c r="O366" s="10" t="str">
        <f aca="false">IF(AND(G366="Engaging",J366&gt;Parâmetros!$B$6),"Sim","Não")</f>
        <v>Não</v>
      </c>
      <c r="P366" s="32" t="str">
        <f aca="false">IF(O366="Sim","R",IF(N366&gt;=Parâmetros!$B$39,"A",IF(N366&gt;=Parâmetros!$B$40,"B",IF(N366&gt;=Parâmetros!$B$41,"C","D"))))</f>
        <v>C</v>
      </c>
      <c r="Q366" s="10" t="str">
        <f aca="false">IF(F366="","Completar cadastro","")</f>
        <v/>
      </c>
      <c r="R366" s="10" t="str">
        <f aca="false">INDEX(Parâmetros!$D$39:$D$43,MATCH(P366,Parâmetros!$A$39:$A$43,0))</f>
        <v>Cadência leve, foco em qualificar</v>
      </c>
    </row>
    <row r="367" customFormat="false" ht="15" hidden="false" customHeight="false" outlineLevel="0" collapsed="false">
      <c r="A367" s="10" t="s">
        <v>595</v>
      </c>
      <c r="B367" s="10" t="s">
        <v>71</v>
      </c>
      <c r="C367" s="10" t="s">
        <v>72</v>
      </c>
      <c r="D367" s="10" t="s">
        <v>196</v>
      </c>
      <c r="E367" s="10" t="s">
        <v>49</v>
      </c>
      <c r="F367" s="10" t="s">
        <v>291</v>
      </c>
      <c r="G367" s="10" t="s">
        <v>425</v>
      </c>
      <c r="H367" s="10"/>
      <c r="I367" s="8" t="n">
        <f aca="false">INDEX(Parâmetros!$C$13:$C$19,MATCH(E367,Parâmetros!$A$13:$A$19,0))</f>
        <v>3393</v>
      </c>
      <c r="J367" s="26" t="str">
        <f aca="false">IF(H367="","",Parâmetros!$B$5-H367)</f>
        <v/>
      </c>
      <c r="K367" s="10" t="n">
        <f aca="false">INDEX(Parâmetros!$D$13:$D$19,MATCH(E367,Parâmetros!$A$13:$A$19,0))</f>
        <v>40</v>
      </c>
      <c r="L367" s="26" t="n">
        <f aca="false">IF(G367="Prospecting",Parâmetros!$B$9,IF(J367&gt;Parâmetros!$B$6,0,INDEX(Parâmetros!$C$24:$C$26,MATCH(J367,Parâmetros!$A$24:$A$26,1))))</f>
        <v>10</v>
      </c>
      <c r="M367" s="31" t="n">
        <f aca="false">IF(G367="Prospecting",1,INDEX(Parâmetros!$C$32:$C$35,MATCH(J367,Parâmetros!$A$32:$A$35,1)))</f>
        <v>1</v>
      </c>
      <c r="N367" s="2" t="n">
        <f aca="false">ROUND((K367+L367)*M367,0)</f>
        <v>50</v>
      </c>
      <c r="O367" s="10" t="str">
        <f aca="false">IF(AND(G367="Engaging",J367&gt;Parâmetros!$B$6),"Sim","Não")</f>
        <v>Não</v>
      </c>
      <c r="P367" s="32" t="str">
        <f aca="false">IF(O367="Sim","R",IF(N367&gt;=Parâmetros!$B$39,"A",IF(N367&gt;=Parâmetros!$B$40,"B",IF(N367&gt;=Parâmetros!$B$41,"C","D"))))</f>
        <v>C</v>
      </c>
      <c r="Q367" s="10" t="str">
        <f aca="false">IF(F367="","Completar cadastro","")</f>
        <v/>
      </c>
      <c r="R367" s="10" t="str">
        <f aca="false">INDEX(Parâmetros!$D$39:$D$43,MATCH(P367,Parâmetros!$A$39:$A$43,0))</f>
        <v>Cadência leve, foco em qualificar</v>
      </c>
    </row>
    <row r="368" customFormat="false" ht="15" hidden="false" customHeight="false" outlineLevel="0" collapsed="false">
      <c r="A368" s="10" t="s">
        <v>596</v>
      </c>
      <c r="B368" s="10" t="s">
        <v>71</v>
      </c>
      <c r="C368" s="10" t="s">
        <v>72</v>
      </c>
      <c r="D368" s="10" t="s">
        <v>196</v>
      </c>
      <c r="E368" s="10" t="s">
        <v>49</v>
      </c>
      <c r="F368" s="10" t="s">
        <v>597</v>
      </c>
      <c r="G368" s="10" t="s">
        <v>425</v>
      </c>
      <c r="H368" s="10"/>
      <c r="I368" s="8" t="n">
        <f aca="false">INDEX(Parâmetros!$C$13:$C$19,MATCH(E368,Parâmetros!$A$13:$A$19,0))</f>
        <v>3393</v>
      </c>
      <c r="J368" s="26" t="str">
        <f aca="false">IF(H368="","",Parâmetros!$B$5-H368)</f>
        <v/>
      </c>
      <c r="K368" s="10" t="n">
        <f aca="false">INDEX(Parâmetros!$D$13:$D$19,MATCH(E368,Parâmetros!$A$13:$A$19,0))</f>
        <v>40</v>
      </c>
      <c r="L368" s="26" t="n">
        <f aca="false">IF(G368="Prospecting",Parâmetros!$B$9,IF(J368&gt;Parâmetros!$B$6,0,INDEX(Parâmetros!$C$24:$C$26,MATCH(J368,Parâmetros!$A$24:$A$26,1))))</f>
        <v>10</v>
      </c>
      <c r="M368" s="31" t="n">
        <f aca="false">IF(G368="Prospecting",1,INDEX(Parâmetros!$C$32:$C$35,MATCH(J368,Parâmetros!$A$32:$A$35,1)))</f>
        <v>1</v>
      </c>
      <c r="N368" s="2" t="n">
        <f aca="false">ROUND((K368+L368)*M368,0)</f>
        <v>50</v>
      </c>
      <c r="O368" s="10" t="str">
        <f aca="false">IF(AND(G368="Engaging",J368&gt;Parâmetros!$B$6),"Sim","Não")</f>
        <v>Não</v>
      </c>
      <c r="P368" s="32" t="str">
        <f aca="false">IF(O368="Sim","R",IF(N368&gt;=Parâmetros!$B$39,"A",IF(N368&gt;=Parâmetros!$B$40,"B",IF(N368&gt;=Parâmetros!$B$41,"C","D"))))</f>
        <v>C</v>
      </c>
      <c r="Q368" s="10" t="str">
        <f aca="false">IF(F368="","Completar cadastro","")</f>
        <v/>
      </c>
      <c r="R368" s="10" t="str">
        <f aca="false">INDEX(Parâmetros!$D$39:$D$43,MATCH(P368,Parâmetros!$A$39:$A$43,0))</f>
        <v>Cadência leve, foco em qualificar</v>
      </c>
    </row>
    <row r="369" customFormat="false" ht="15" hidden="false" customHeight="false" outlineLevel="0" collapsed="false">
      <c r="A369" s="10" t="s">
        <v>598</v>
      </c>
      <c r="B369" s="10" t="s">
        <v>71</v>
      </c>
      <c r="C369" s="10" t="s">
        <v>72</v>
      </c>
      <c r="D369" s="10" t="s">
        <v>196</v>
      </c>
      <c r="E369" s="10" t="s">
        <v>49</v>
      </c>
      <c r="F369" s="10"/>
      <c r="G369" s="10" t="s">
        <v>425</v>
      </c>
      <c r="H369" s="10"/>
      <c r="I369" s="8" t="n">
        <f aca="false">INDEX(Parâmetros!$C$13:$C$19,MATCH(E369,Parâmetros!$A$13:$A$19,0))</f>
        <v>3393</v>
      </c>
      <c r="J369" s="26" t="str">
        <f aca="false">IF(H369="","",Parâmetros!$B$5-H369)</f>
        <v/>
      </c>
      <c r="K369" s="10" t="n">
        <f aca="false">INDEX(Parâmetros!$D$13:$D$19,MATCH(E369,Parâmetros!$A$13:$A$19,0))</f>
        <v>40</v>
      </c>
      <c r="L369" s="26" t="n">
        <f aca="false">IF(G369="Prospecting",Parâmetros!$B$9,IF(J369&gt;Parâmetros!$B$6,0,INDEX(Parâmetros!$C$24:$C$26,MATCH(J369,Parâmetros!$A$24:$A$26,1))))</f>
        <v>10</v>
      </c>
      <c r="M369" s="31" t="n">
        <f aca="false">IF(G369="Prospecting",1,INDEX(Parâmetros!$C$32:$C$35,MATCH(J369,Parâmetros!$A$32:$A$35,1)))</f>
        <v>1</v>
      </c>
      <c r="N369" s="2" t="n">
        <f aca="false">ROUND((K369+L369)*M369,0)</f>
        <v>50</v>
      </c>
      <c r="O369" s="10" t="str">
        <f aca="false">IF(AND(G369="Engaging",J369&gt;Parâmetros!$B$6),"Sim","Não")</f>
        <v>Não</v>
      </c>
      <c r="P369" s="32" t="str">
        <f aca="false">IF(O369="Sim","R",IF(N369&gt;=Parâmetros!$B$39,"A",IF(N369&gt;=Parâmetros!$B$40,"B",IF(N369&gt;=Parâmetros!$B$41,"C","D"))))</f>
        <v>C</v>
      </c>
      <c r="Q369" s="10" t="str">
        <f aca="false">IF(F369="","Completar cadastro","")</f>
        <v>Completar cadastro</v>
      </c>
      <c r="R369" s="10" t="str">
        <f aca="false">INDEX(Parâmetros!$D$39:$D$43,MATCH(P369,Parâmetros!$A$39:$A$43,0))</f>
        <v>Cadência leve, foco em qualificar</v>
      </c>
    </row>
    <row r="370" customFormat="false" ht="15" hidden="false" customHeight="false" outlineLevel="0" collapsed="false">
      <c r="A370" s="10" t="s">
        <v>599</v>
      </c>
      <c r="B370" s="10" t="s">
        <v>71</v>
      </c>
      <c r="C370" s="10" t="s">
        <v>72</v>
      </c>
      <c r="D370" s="10" t="s">
        <v>196</v>
      </c>
      <c r="E370" s="10" t="s">
        <v>49</v>
      </c>
      <c r="F370" s="10"/>
      <c r="G370" s="10" t="s">
        <v>425</v>
      </c>
      <c r="H370" s="10"/>
      <c r="I370" s="8" t="n">
        <f aca="false">INDEX(Parâmetros!$C$13:$C$19,MATCH(E370,Parâmetros!$A$13:$A$19,0))</f>
        <v>3393</v>
      </c>
      <c r="J370" s="26" t="str">
        <f aca="false">IF(H370="","",Parâmetros!$B$5-H370)</f>
        <v/>
      </c>
      <c r="K370" s="10" t="n">
        <f aca="false">INDEX(Parâmetros!$D$13:$D$19,MATCH(E370,Parâmetros!$A$13:$A$19,0))</f>
        <v>40</v>
      </c>
      <c r="L370" s="26" t="n">
        <f aca="false">IF(G370="Prospecting",Parâmetros!$B$9,IF(J370&gt;Parâmetros!$B$6,0,INDEX(Parâmetros!$C$24:$C$26,MATCH(J370,Parâmetros!$A$24:$A$26,1))))</f>
        <v>10</v>
      </c>
      <c r="M370" s="31" t="n">
        <f aca="false">IF(G370="Prospecting",1,INDEX(Parâmetros!$C$32:$C$35,MATCH(J370,Parâmetros!$A$32:$A$35,1)))</f>
        <v>1</v>
      </c>
      <c r="N370" s="2" t="n">
        <f aca="false">ROUND((K370+L370)*M370,0)</f>
        <v>50</v>
      </c>
      <c r="O370" s="10" t="str">
        <f aca="false">IF(AND(G370="Engaging",J370&gt;Parâmetros!$B$6),"Sim","Não")</f>
        <v>Não</v>
      </c>
      <c r="P370" s="32" t="str">
        <f aca="false">IF(O370="Sim","R",IF(N370&gt;=Parâmetros!$B$39,"A",IF(N370&gt;=Parâmetros!$B$40,"B",IF(N370&gt;=Parâmetros!$B$41,"C","D"))))</f>
        <v>C</v>
      </c>
      <c r="Q370" s="10" t="str">
        <f aca="false">IF(F370="","Completar cadastro","")</f>
        <v>Completar cadastro</v>
      </c>
      <c r="R370" s="10" t="str">
        <f aca="false">INDEX(Parâmetros!$D$39:$D$43,MATCH(P370,Parâmetros!$A$39:$A$43,0))</f>
        <v>Cadência leve, foco em qualificar</v>
      </c>
    </row>
    <row r="371" customFormat="false" ht="15" hidden="false" customHeight="false" outlineLevel="0" collapsed="false">
      <c r="A371" s="10" t="s">
        <v>600</v>
      </c>
      <c r="B371" s="10" t="s">
        <v>71</v>
      </c>
      <c r="C371" s="10" t="s">
        <v>72</v>
      </c>
      <c r="D371" s="10" t="s">
        <v>196</v>
      </c>
      <c r="E371" s="10" t="s">
        <v>49</v>
      </c>
      <c r="F371" s="10"/>
      <c r="G371" s="10" t="s">
        <v>425</v>
      </c>
      <c r="H371" s="10"/>
      <c r="I371" s="8" t="n">
        <f aca="false">INDEX(Parâmetros!$C$13:$C$19,MATCH(E371,Parâmetros!$A$13:$A$19,0))</f>
        <v>3393</v>
      </c>
      <c r="J371" s="26" t="str">
        <f aca="false">IF(H371="","",Parâmetros!$B$5-H371)</f>
        <v/>
      </c>
      <c r="K371" s="10" t="n">
        <f aca="false">INDEX(Parâmetros!$D$13:$D$19,MATCH(E371,Parâmetros!$A$13:$A$19,0))</f>
        <v>40</v>
      </c>
      <c r="L371" s="26" t="n">
        <f aca="false">IF(G371="Prospecting",Parâmetros!$B$9,IF(J371&gt;Parâmetros!$B$6,0,INDEX(Parâmetros!$C$24:$C$26,MATCH(J371,Parâmetros!$A$24:$A$26,1))))</f>
        <v>10</v>
      </c>
      <c r="M371" s="31" t="n">
        <f aca="false">IF(G371="Prospecting",1,INDEX(Parâmetros!$C$32:$C$35,MATCH(J371,Parâmetros!$A$32:$A$35,1)))</f>
        <v>1</v>
      </c>
      <c r="N371" s="2" t="n">
        <f aca="false">ROUND((K371+L371)*M371,0)</f>
        <v>50</v>
      </c>
      <c r="O371" s="10" t="str">
        <f aca="false">IF(AND(G371="Engaging",J371&gt;Parâmetros!$B$6),"Sim","Não")</f>
        <v>Não</v>
      </c>
      <c r="P371" s="32" t="str">
        <f aca="false">IF(O371="Sim","R",IF(N371&gt;=Parâmetros!$B$39,"A",IF(N371&gt;=Parâmetros!$B$40,"B",IF(N371&gt;=Parâmetros!$B$41,"C","D"))))</f>
        <v>C</v>
      </c>
      <c r="Q371" s="10" t="str">
        <f aca="false">IF(F371="","Completar cadastro","")</f>
        <v>Completar cadastro</v>
      </c>
      <c r="R371" s="10" t="str">
        <f aca="false">INDEX(Parâmetros!$D$39:$D$43,MATCH(P371,Parâmetros!$A$39:$A$43,0))</f>
        <v>Cadência leve, foco em qualificar</v>
      </c>
    </row>
    <row r="372" customFormat="false" ht="15" hidden="false" customHeight="false" outlineLevel="0" collapsed="false">
      <c r="A372" s="10" t="s">
        <v>601</v>
      </c>
      <c r="B372" s="10" t="s">
        <v>71</v>
      </c>
      <c r="C372" s="10" t="s">
        <v>72</v>
      </c>
      <c r="D372" s="10" t="s">
        <v>196</v>
      </c>
      <c r="E372" s="10" t="s">
        <v>49</v>
      </c>
      <c r="F372" s="10"/>
      <c r="G372" s="10" t="s">
        <v>425</v>
      </c>
      <c r="H372" s="10"/>
      <c r="I372" s="8" t="n">
        <f aca="false">INDEX(Parâmetros!$C$13:$C$19,MATCH(E372,Parâmetros!$A$13:$A$19,0))</f>
        <v>3393</v>
      </c>
      <c r="J372" s="26" t="str">
        <f aca="false">IF(H372="","",Parâmetros!$B$5-H372)</f>
        <v/>
      </c>
      <c r="K372" s="10" t="n">
        <f aca="false">INDEX(Parâmetros!$D$13:$D$19,MATCH(E372,Parâmetros!$A$13:$A$19,0))</f>
        <v>40</v>
      </c>
      <c r="L372" s="26" t="n">
        <f aca="false">IF(G372="Prospecting",Parâmetros!$B$9,IF(J372&gt;Parâmetros!$B$6,0,INDEX(Parâmetros!$C$24:$C$26,MATCH(J372,Parâmetros!$A$24:$A$26,1))))</f>
        <v>10</v>
      </c>
      <c r="M372" s="31" t="n">
        <f aca="false">IF(G372="Prospecting",1,INDEX(Parâmetros!$C$32:$C$35,MATCH(J372,Parâmetros!$A$32:$A$35,1)))</f>
        <v>1</v>
      </c>
      <c r="N372" s="2" t="n">
        <f aca="false">ROUND((K372+L372)*M372,0)</f>
        <v>50</v>
      </c>
      <c r="O372" s="10" t="str">
        <f aca="false">IF(AND(G372="Engaging",J372&gt;Parâmetros!$B$6),"Sim","Não")</f>
        <v>Não</v>
      </c>
      <c r="P372" s="32" t="str">
        <f aca="false">IF(O372="Sim","R",IF(N372&gt;=Parâmetros!$B$39,"A",IF(N372&gt;=Parâmetros!$B$40,"B",IF(N372&gt;=Parâmetros!$B$41,"C","D"))))</f>
        <v>C</v>
      </c>
      <c r="Q372" s="10" t="str">
        <f aca="false">IF(F372="","Completar cadastro","")</f>
        <v>Completar cadastro</v>
      </c>
      <c r="R372" s="10" t="str">
        <f aca="false">INDEX(Parâmetros!$D$39:$D$43,MATCH(P372,Parâmetros!$A$39:$A$43,0))</f>
        <v>Cadência leve, foco em qualificar</v>
      </c>
    </row>
    <row r="373" customFormat="false" ht="15" hidden="false" customHeight="false" outlineLevel="0" collapsed="false">
      <c r="A373" s="10" t="s">
        <v>602</v>
      </c>
      <c r="B373" s="10" t="s">
        <v>71</v>
      </c>
      <c r="C373" s="10" t="s">
        <v>72</v>
      </c>
      <c r="D373" s="10" t="s">
        <v>196</v>
      </c>
      <c r="E373" s="10" t="s">
        <v>49</v>
      </c>
      <c r="F373" s="10"/>
      <c r="G373" s="10" t="s">
        <v>425</v>
      </c>
      <c r="H373" s="10"/>
      <c r="I373" s="8" t="n">
        <f aca="false">INDEX(Parâmetros!$C$13:$C$19,MATCH(E373,Parâmetros!$A$13:$A$19,0))</f>
        <v>3393</v>
      </c>
      <c r="J373" s="26" t="str">
        <f aca="false">IF(H373="","",Parâmetros!$B$5-H373)</f>
        <v/>
      </c>
      <c r="K373" s="10" t="n">
        <f aca="false">INDEX(Parâmetros!$D$13:$D$19,MATCH(E373,Parâmetros!$A$13:$A$19,0))</f>
        <v>40</v>
      </c>
      <c r="L373" s="26" t="n">
        <f aca="false">IF(G373="Prospecting",Parâmetros!$B$9,IF(J373&gt;Parâmetros!$B$6,0,INDEX(Parâmetros!$C$24:$C$26,MATCH(J373,Parâmetros!$A$24:$A$26,1))))</f>
        <v>10</v>
      </c>
      <c r="M373" s="31" t="n">
        <f aca="false">IF(G373="Prospecting",1,INDEX(Parâmetros!$C$32:$C$35,MATCH(J373,Parâmetros!$A$32:$A$35,1)))</f>
        <v>1</v>
      </c>
      <c r="N373" s="2" t="n">
        <f aca="false">ROUND((K373+L373)*M373,0)</f>
        <v>50</v>
      </c>
      <c r="O373" s="10" t="str">
        <f aca="false">IF(AND(G373="Engaging",J373&gt;Parâmetros!$B$6),"Sim","Não")</f>
        <v>Não</v>
      </c>
      <c r="P373" s="32" t="str">
        <f aca="false">IF(O373="Sim","R",IF(N373&gt;=Parâmetros!$B$39,"A",IF(N373&gt;=Parâmetros!$B$40,"B",IF(N373&gt;=Parâmetros!$B$41,"C","D"))))</f>
        <v>C</v>
      </c>
      <c r="Q373" s="10" t="str">
        <f aca="false">IF(F373="","Completar cadastro","")</f>
        <v>Completar cadastro</v>
      </c>
      <c r="R373" s="10" t="str">
        <f aca="false">INDEX(Parâmetros!$D$39:$D$43,MATCH(P373,Parâmetros!$A$39:$A$43,0))</f>
        <v>Cadência leve, foco em qualificar</v>
      </c>
    </row>
    <row r="374" customFormat="false" ht="15" hidden="false" customHeight="false" outlineLevel="0" collapsed="false">
      <c r="A374" s="10" t="s">
        <v>603</v>
      </c>
      <c r="B374" s="10" t="s">
        <v>71</v>
      </c>
      <c r="C374" s="10" t="s">
        <v>72</v>
      </c>
      <c r="D374" s="10" t="s">
        <v>196</v>
      </c>
      <c r="E374" s="10" t="s">
        <v>49</v>
      </c>
      <c r="F374" s="10"/>
      <c r="G374" s="10" t="s">
        <v>425</v>
      </c>
      <c r="H374" s="10"/>
      <c r="I374" s="8" t="n">
        <f aca="false">INDEX(Parâmetros!$C$13:$C$19,MATCH(E374,Parâmetros!$A$13:$A$19,0))</f>
        <v>3393</v>
      </c>
      <c r="J374" s="26" t="str">
        <f aca="false">IF(H374="","",Parâmetros!$B$5-H374)</f>
        <v/>
      </c>
      <c r="K374" s="10" t="n">
        <f aca="false">INDEX(Parâmetros!$D$13:$D$19,MATCH(E374,Parâmetros!$A$13:$A$19,0))</f>
        <v>40</v>
      </c>
      <c r="L374" s="26" t="n">
        <f aca="false">IF(G374="Prospecting",Parâmetros!$B$9,IF(J374&gt;Parâmetros!$B$6,0,INDEX(Parâmetros!$C$24:$C$26,MATCH(J374,Parâmetros!$A$24:$A$26,1))))</f>
        <v>10</v>
      </c>
      <c r="M374" s="31" t="n">
        <f aca="false">IF(G374="Prospecting",1,INDEX(Parâmetros!$C$32:$C$35,MATCH(J374,Parâmetros!$A$32:$A$35,1)))</f>
        <v>1</v>
      </c>
      <c r="N374" s="2" t="n">
        <f aca="false">ROUND((K374+L374)*M374,0)</f>
        <v>50</v>
      </c>
      <c r="O374" s="10" t="str">
        <f aca="false">IF(AND(G374="Engaging",J374&gt;Parâmetros!$B$6),"Sim","Não")</f>
        <v>Não</v>
      </c>
      <c r="P374" s="32" t="str">
        <f aca="false">IF(O374="Sim","R",IF(N374&gt;=Parâmetros!$B$39,"A",IF(N374&gt;=Parâmetros!$B$40,"B",IF(N374&gt;=Parâmetros!$B$41,"C","D"))))</f>
        <v>C</v>
      </c>
      <c r="Q374" s="10" t="str">
        <f aca="false">IF(F374="","Completar cadastro","")</f>
        <v>Completar cadastro</v>
      </c>
      <c r="R374" s="10" t="str">
        <f aca="false">INDEX(Parâmetros!$D$39:$D$43,MATCH(P374,Parâmetros!$A$39:$A$43,0))</f>
        <v>Cadência leve, foco em qualificar</v>
      </c>
    </row>
    <row r="375" customFormat="false" ht="15" hidden="false" customHeight="false" outlineLevel="0" collapsed="false">
      <c r="A375" s="10" t="s">
        <v>604</v>
      </c>
      <c r="B375" s="10" t="s">
        <v>71</v>
      </c>
      <c r="C375" s="10" t="s">
        <v>72</v>
      </c>
      <c r="D375" s="10" t="s">
        <v>196</v>
      </c>
      <c r="E375" s="10" t="s">
        <v>49</v>
      </c>
      <c r="F375" s="10"/>
      <c r="G375" s="10" t="s">
        <v>425</v>
      </c>
      <c r="H375" s="10"/>
      <c r="I375" s="8" t="n">
        <f aca="false">INDEX(Parâmetros!$C$13:$C$19,MATCH(E375,Parâmetros!$A$13:$A$19,0))</f>
        <v>3393</v>
      </c>
      <c r="J375" s="26" t="str">
        <f aca="false">IF(H375="","",Parâmetros!$B$5-H375)</f>
        <v/>
      </c>
      <c r="K375" s="10" t="n">
        <f aca="false">INDEX(Parâmetros!$D$13:$D$19,MATCH(E375,Parâmetros!$A$13:$A$19,0))</f>
        <v>40</v>
      </c>
      <c r="L375" s="26" t="n">
        <f aca="false">IF(G375="Prospecting",Parâmetros!$B$9,IF(J375&gt;Parâmetros!$B$6,0,INDEX(Parâmetros!$C$24:$C$26,MATCH(J375,Parâmetros!$A$24:$A$26,1))))</f>
        <v>10</v>
      </c>
      <c r="M375" s="31" t="n">
        <f aca="false">IF(G375="Prospecting",1,INDEX(Parâmetros!$C$32:$C$35,MATCH(J375,Parâmetros!$A$32:$A$35,1)))</f>
        <v>1</v>
      </c>
      <c r="N375" s="2" t="n">
        <f aca="false">ROUND((K375+L375)*M375,0)</f>
        <v>50</v>
      </c>
      <c r="O375" s="10" t="str">
        <f aca="false">IF(AND(G375="Engaging",J375&gt;Parâmetros!$B$6),"Sim","Não")</f>
        <v>Não</v>
      </c>
      <c r="P375" s="32" t="str">
        <f aca="false">IF(O375="Sim","R",IF(N375&gt;=Parâmetros!$B$39,"A",IF(N375&gt;=Parâmetros!$B$40,"B",IF(N375&gt;=Parâmetros!$B$41,"C","D"))))</f>
        <v>C</v>
      </c>
      <c r="Q375" s="10" t="str">
        <f aca="false">IF(F375="","Completar cadastro","")</f>
        <v>Completar cadastro</v>
      </c>
      <c r="R375" s="10" t="str">
        <f aca="false">INDEX(Parâmetros!$D$39:$D$43,MATCH(P375,Parâmetros!$A$39:$A$43,0))</f>
        <v>Cadência leve, foco em qualificar</v>
      </c>
    </row>
    <row r="376" customFormat="false" ht="15" hidden="false" customHeight="false" outlineLevel="0" collapsed="false">
      <c r="A376" s="10" t="s">
        <v>605</v>
      </c>
      <c r="B376" s="10" t="s">
        <v>73</v>
      </c>
      <c r="C376" s="10" t="s">
        <v>72</v>
      </c>
      <c r="D376" s="10" t="s">
        <v>196</v>
      </c>
      <c r="E376" s="10" t="s">
        <v>49</v>
      </c>
      <c r="F376" s="10" t="s">
        <v>606</v>
      </c>
      <c r="G376" s="10" t="s">
        <v>425</v>
      </c>
      <c r="H376" s="10"/>
      <c r="I376" s="8" t="n">
        <f aca="false">INDEX(Parâmetros!$C$13:$C$19,MATCH(E376,Parâmetros!$A$13:$A$19,0))</f>
        <v>3393</v>
      </c>
      <c r="J376" s="26" t="str">
        <f aca="false">IF(H376="","",Parâmetros!$B$5-H376)</f>
        <v/>
      </c>
      <c r="K376" s="10" t="n">
        <f aca="false">INDEX(Parâmetros!$D$13:$D$19,MATCH(E376,Parâmetros!$A$13:$A$19,0))</f>
        <v>40</v>
      </c>
      <c r="L376" s="26" t="n">
        <f aca="false">IF(G376="Prospecting",Parâmetros!$B$9,IF(J376&gt;Parâmetros!$B$6,0,INDEX(Parâmetros!$C$24:$C$26,MATCH(J376,Parâmetros!$A$24:$A$26,1))))</f>
        <v>10</v>
      </c>
      <c r="M376" s="31" t="n">
        <f aca="false">IF(G376="Prospecting",1,INDEX(Parâmetros!$C$32:$C$35,MATCH(J376,Parâmetros!$A$32:$A$35,1)))</f>
        <v>1</v>
      </c>
      <c r="N376" s="2" t="n">
        <f aca="false">ROUND((K376+L376)*M376,0)</f>
        <v>50</v>
      </c>
      <c r="O376" s="10" t="str">
        <f aca="false">IF(AND(G376="Engaging",J376&gt;Parâmetros!$B$6),"Sim","Não")</f>
        <v>Não</v>
      </c>
      <c r="P376" s="32" t="str">
        <f aca="false">IF(O376="Sim","R",IF(N376&gt;=Parâmetros!$B$39,"A",IF(N376&gt;=Parâmetros!$B$40,"B",IF(N376&gt;=Parâmetros!$B$41,"C","D"))))</f>
        <v>C</v>
      </c>
      <c r="Q376" s="10" t="str">
        <f aca="false">IF(F376="","Completar cadastro","")</f>
        <v/>
      </c>
      <c r="R376" s="10" t="str">
        <f aca="false">INDEX(Parâmetros!$D$39:$D$43,MATCH(P376,Parâmetros!$A$39:$A$43,0))</f>
        <v>Cadência leve, foco em qualificar</v>
      </c>
    </row>
    <row r="377" customFormat="false" ht="15" hidden="false" customHeight="false" outlineLevel="0" collapsed="false">
      <c r="A377" s="10" t="s">
        <v>607</v>
      </c>
      <c r="B377" s="10" t="s">
        <v>73</v>
      </c>
      <c r="C377" s="10" t="s">
        <v>72</v>
      </c>
      <c r="D377" s="10" t="s">
        <v>196</v>
      </c>
      <c r="E377" s="10" t="s">
        <v>49</v>
      </c>
      <c r="F377" s="10"/>
      <c r="G377" s="10" t="s">
        <v>425</v>
      </c>
      <c r="H377" s="10"/>
      <c r="I377" s="8" t="n">
        <f aca="false">INDEX(Parâmetros!$C$13:$C$19,MATCH(E377,Parâmetros!$A$13:$A$19,0))</f>
        <v>3393</v>
      </c>
      <c r="J377" s="26" t="str">
        <f aca="false">IF(H377="","",Parâmetros!$B$5-H377)</f>
        <v/>
      </c>
      <c r="K377" s="10" t="n">
        <f aca="false">INDEX(Parâmetros!$D$13:$D$19,MATCH(E377,Parâmetros!$A$13:$A$19,0))</f>
        <v>40</v>
      </c>
      <c r="L377" s="26" t="n">
        <f aca="false">IF(G377="Prospecting",Parâmetros!$B$9,IF(J377&gt;Parâmetros!$B$6,0,INDEX(Parâmetros!$C$24:$C$26,MATCH(J377,Parâmetros!$A$24:$A$26,1))))</f>
        <v>10</v>
      </c>
      <c r="M377" s="31" t="n">
        <f aca="false">IF(G377="Prospecting",1,INDEX(Parâmetros!$C$32:$C$35,MATCH(J377,Parâmetros!$A$32:$A$35,1)))</f>
        <v>1</v>
      </c>
      <c r="N377" s="2" t="n">
        <f aca="false">ROUND((K377+L377)*M377,0)</f>
        <v>50</v>
      </c>
      <c r="O377" s="10" t="str">
        <f aca="false">IF(AND(G377="Engaging",J377&gt;Parâmetros!$B$6),"Sim","Não")</f>
        <v>Não</v>
      </c>
      <c r="P377" s="32" t="str">
        <f aca="false">IF(O377="Sim","R",IF(N377&gt;=Parâmetros!$B$39,"A",IF(N377&gt;=Parâmetros!$B$40,"B",IF(N377&gt;=Parâmetros!$B$41,"C","D"))))</f>
        <v>C</v>
      </c>
      <c r="Q377" s="10" t="str">
        <f aca="false">IF(F377="","Completar cadastro","")</f>
        <v>Completar cadastro</v>
      </c>
      <c r="R377" s="10" t="str">
        <f aca="false">INDEX(Parâmetros!$D$39:$D$43,MATCH(P377,Parâmetros!$A$39:$A$43,0))</f>
        <v>Cadência leve, foco em qualificar</v>
      </c>
    </row>
    <row r="378" customFormat="false" ht="15" hidden="false" customHeight="false" outlineLevel="0" collapsed="false">
      <c r="A378" s="10" t="s">
        <v>608</v>
      </c>
      <c r="B378" s="10" t="s">
        <v>73</v>
      </c>
      <c r="C378" s="10" t="s">
        <v>72</v>
      </c>
      <c r="D378" s="10" t="s">
        <v>196</v>
      </c>
      <c r="E378" s="10" t="s">
        <v>49</v>
      </c>
      <c r="F378" s="10"/>
      <c r="G378" s="10" t="s">
        <v>425</v>
      </c>
      <c r="H378" s="10"/>
      <c r="I378" s="8" t="n">
        <f aca="false">INDEX(Parâmetros!$C$13:$C$19,MATCH(E378,Parâmetros!$A$13:$A$19,0))</f>
        <v>3393</v>
      </c>
      <c r="J378" s="26" t="str">
        <f aca="false">IF(H378="","",Parâmetros!$B$5-H378)</f>
        <v/>
      </c>
      <c r="K378" s="10" t="n">
        <f aca="false">INDEX(Parâmetros!$D$13:$D$19,MATCH(E378,Parâmetros!$A$13:$A$19,0))</f>
        <v>40</v>
      </c>
      <c r="L378" s="26" t="n">
        <f aca="false">IF(G378="Prospecting",Parâmetros!$B$9,IF(J378&gt;Parâmetros!$B$6,0,INDEX(Parâmetros!$C$24:$C$26,MATCH(J378,Parâmetros!$A$24:$A$26,1))))</f>
        <v>10</v>
      </c>
      <c r="M378" s="31" t="n">
        <f aca="false">IF(G378="Prospecting",1,INDEX(Parâmetros!$C$32:$C$35,MATCH(J378,Parâmetros!$A$32:$A$35,1)))</f>
        <v>1</v>
      </c>
      <c r="N378" s="2" t="n">
        <f aca="false">ROUND((K378+L378)*M378,0)</f>
        <v>50</v>
      </c>
      <c r="O378" s="10" t="str">
        <f aca="false">IF(AND(G378="Engaging",J378&gt;Parâmetros!$B$6),"Sim","Não")</f>
        <v>Não</v>
      </c>
      <c r="P378" s="32" t="str">
        <f aca="false">IF(O378="Sim","R",IF(N378&gt;=Parâmetros!$B$39,"A",IF(N378&gt;=Parâmetros!$B$40,"B",IF(N378&gt;=Parâmetros!$B$41,"C","D"))))</f>
        <v>C</v>
      </c>
      <c r="Q378" s="10" t="str">
        <f aca="false">IF(F378="","Completar cadastro","")</f>
        <v>Completar cadastro</v>
      </c>
      <c r="R378" s="10" t="str">
        <f aca="false">INDEX(Parâmetros!$D$39:$D$43,MATCH(P378,Parâmetros!$A$39:$A$43,0))</f>
        <v>Cadência leve, foco em qualificar</v>
      </c>
    </row>
    <row r="379" customFormat="false" ht="15" hidden="false" customHeight="false" outlineLevel="0" collapsed="false">
      <c r="A379" s="10" t="s">
        <v>609</v>
      </c>
      <c r="B379" s="10" t="s">
        <v>73</v>
      </c>
      <c r="C379" s="10" t="s">
        <v>72</v>
      </c>
      <c r="D379" s="10" t="s">
        <v>196</v>
      </c>
      <c r="E379" s="10" t="s">
        <v>49</v>
      </c>
      <c r="F379" s="10"/>
      <c r="G379" s="10" t="s">
        <v>425</v>
      </c>
      <c r="H379" s="10"/>
      <c r="I379" s="8" t="n">
        <f aca="false">INDEX(Parâmetros!$C$13:$C$19,MATCH(E379,Parâmetros!$A$13:$A$19,0))</f>
        <v>3393</v>
      </c>
      <c r="J379" s="26" t="str">
        <f aca="false">IF(H379="","",Parâmetros!$B$5-H379)</f>
        <v/>
      </c>
      <c r="K379" s="10" t="n">
        <f aca="false">INDEX(Parâmetros!$D$13:$D$19,MATCH(E379,Parâmetros!$A$13:$A$19,0))</f>
        <v>40</v>
      </c>
      <c r="L379" s="26" t="n">
        <f aca="false">IF(G379="Prospecting",Parâmetros!$B$9,IF(J379&gt;Parâmetros!$B$6,0,INDEX(Parâmetros!$C$24:$C$26,MATCH(J379,Parâmetros!$A$24:$A$26,1))))</f>
        <v>10</v>
      </c>
      <c r="M379" s="31" t="n">
        <f aca="false">IF(G379="Prospecting",1,INDEX(Parâmetros!$C$32:$C$35,MATCH(J379,Parâmetros!$A$32:$A$35,1)))</f>
        <v>1</v>
      </c>
      <c r="N379" s="2" t="n">
        <f aca="false">ROUND((K379+L379)*M379,0)</f>
        <v>50</v>
      </c>
      <c r="O379" s="10" t="str">
        <f aca="false">IF(AND(G379="Engaging",J379&gt;Parâmetros!$B$6),"Sim","Não")</f>
        <v>Não</v>
      </c>
      <c r="P379" s="32" t="str">
        <f aca="false">IF(O379="Sim","R",IF(N379&gt;=Parâmetros!$B$39,"A",IF(N379&gt;=Parâmetros!$B$40,"B",IF(N379&gt;=Parâmetros!$B$41,"C","D"))))</f>
        <v>C</v>
      </c>
      <c r="Q379" s="10" t="str">
        <f aca="false">IF(F379="","Completar cadastro","")</f>
        <v>Completar cadastro</v>
      </c>
      <c r="R379" s="10" t="str">
        <f aca="false">INDEX(Parâmetros!$D$39:$D$43,MATCH(P379,Parâmetros!$A$39:$A$43,0))</f>
        <v>Cadência leve, foco em qualificar</v>
      </c>
    </row>
    <row r="380" customFormat="false" ht="15" hidden="false" customHeight="false" outlineLevel="0" collapsed="false">
      <c r="A380" s="10" t="s">
        <v>610</v>
      </c>
      <c r="B380" s="10" t="s">
        <v>73</v>
      </c>
      <c r="C380" s="10" t="s">
        <v>72</v>
      </c>
      <c r="D380" s="10" t="s">
        <v>196</v>
      </c>
      <c r="E380" s="10" t="s">
        <v>49</v>
      </c>
      <c r="F380" s="10"/>
      <c r="G380" s="10" t="s">
        <v>425</v>
      </c>
      <c r="H380" s="10"/>
      <c r="I380" s="8" t="n">
        <f aca="false">INDEX(Parâmetros!$C$13:$C$19,MATCH(E380,Parâmetros!$A$13:$A$19,0))</f>
        <v>3393</v>
      </c>
      <c r="J380" s="26" t="str">
        <f aca="false">IF(H380="","",Parâmetros!$B$5-H380)</f>
        <v/>
      </c>
      <c r="K380" s="10" t="n">
        <f aca="false">INDEX(Parâmetros!$D$13:$D$19,MATCH(E380,Parâmetros!$A$13:$A$19,0))</f>
        <v>40</v>
      </c>
      <c r="L380" s="26" t="n">
        <f aca="false">IF(G380="Prospecting",Parâmetros!$B$9,IF(J380&gt;Parâmetros!$B$6,0,INDEX(Parâmetros!$C$24:$C$26,MATCH(J380,Parâmetros!$A$24:$A$26,1))))</f>
        <v>10</v>
      </c>
      <c r="M380" s="31" t="n">
        <f aca="false">IF(G380="Prospecting",1,INDEX(Parâmetros!$C$32:$C$35,MATCH(J380,Parâmetros!$A$32:$A$35,1)))</f>
        <v>1</v>
      </c>
      <c r="N380" s="2" t="n">
        <f aca="false">ROUND((K380+L380)*M380,0)</f>
        <v>50</v>
      </c>
      <c r="O380" s="10" t="str">
        <f aca="false">IF(AND(G380="Engaging",J380&gt;Parâmetros!$B$6),"Sim","Não")</f>
        <v>Não</v>
      </c>
      <c r="P380" s="32" t="str">
        <f aca="false">IF(O380="Sim","R",IF(N380&gt;=Parâmetros!$B$39,"A",IF(N380&gt;=Parâmetros!$B$40,"B",IF(N380&gt;=Parâmetros!$B$41,"C","D"))))</f>
        <v>C</v>
      </c>
      <c r="Q380" s="10" t="str">
        <f aca="false">IF(F380="","Completar cadastro","")</f>
        <v>Completar cadastro</v>
      </c>
      <c r="R380" s="10" t="str">
        <f aca="false">INDEX(Parâmetros!$D$39:$D$43,MATCH(P380,Parâmetros!$A$39:$A$43,0))</f>
        <v>Cadência leve, foco em qualificar</v>
      </c>
    </row>
    <row r="381" customFormat="false" ht="15" hidden="false" customHeight="false" outlineLevel="0" collapsed="false">
      <c r="A381" s="10" t="s">
        <v>611</v>
      </c>
      <c r="B381" s="10" t="s">
        <v>73</v>
      </c>
      <c r="C381" s="10" t="s">
        <v>72</v>
      </c>
      <c r="D381" s="10" t="s">
        <v>196</v>
      </c>
      <c r="E381" s="10" t="s">
        <v>49</v>
      </c>
      <c r="F381" s="10"/>
      <c r="G381" s="10" t="s">
        <v>425</v>
      </c>
      <c r="H381" s="10"/>
      <c r="I381" s="8" t="n">
        <f aca="false">INDEX(Parâmetros!$C$13:$C$19,MATCH(E381,Parâmetros!$A$13:$A$19,0))</f>
        <v>3393</v>
      </c>
      <c r="J381" s="26" t="str">
        <f aca="false">IF(H381="","",Parâmetros!$B$5-H381)</f>
        <v/>
      </c>
      <c r="K381" s="10" t="n">
        <f aca="false">INDEX(Parâmetros!$D$13:$D$19,MATCH(E381,Parâmetros!$A$13:$A$19,0))</f>
        <v>40</v>
      </c>
      <c r="L381" s="26" t="n">
        <f aca="false">IF(G381="Prospecting",Parâmetros!$B$9,IF(J381&gt;Parâmetros!$B$6,0,INDEX(Parâmetros!$C$24:$C$26,MATCH(J381,Parâmetros!$A$24:$A$26,1))))</f>
        <v>10</v>
      </c>
      <c r="M381" s="31" t="n">
        <f aca="false">IF(G381="Prospecting",1,INDEX(Parâmetros!$C$32:$C$35,MATCH(J381,Parâmetros!$A$32:$A$35,1)))</f>
        <v>1</v>
      </c>
      <c r="N381" s="2" t="n">
        <f aca="false">ROUND((K381+L381)*M381,0)</f>
        <v>50</v>
      </c>
      <c r="O381" s="10" t="str">
        <f aca="false">IF(AND(G381="Engaging",J381&gt;Parâmetros!$B$6),"Sim","Não")</f>
        <v>Não</v>
      </c>
      <c r="P381" s="32" t="str">
        <f aca="false">IF(O381="Sim","R",IF(N381&gt;=Parâmetros!$B$39,"A",IF(N381&gt;=Parâmetros!$B$40,"B",IF(N381&gt;=Parâmetros!$B$41,"C","D"))))</f>
        <v>C</v>
      </c>
      <c r="Q381" s="10" t="str">
        <f aca="false">IF(F381="","Completar cadastro","")</f>
        <v>Completar cadastro</v>
      </c>
      <c r="R381" s="10" t="str">
        <f aca="false">INDEX(Parâmetros!$D$39:$D$43,MATCH(P381,Parâmetros!$A$39:$A$43,0))</f>
        <v>Cadência leve, foco em qualificar</v>
      </c>
    </row>
    <row r="382" customFormat="false" ht="15" hidden="false" customHeight="false" outlineLevel="0" collapsed="false">
      <c r="A382" s="10" t="s">
        <v>612</v>
      </c>
      <c r="B382" s="10" t="s">
        <v>73</v>
      </c>
      <c r="C382" s="10" t="s">
        <v>72</v>
      </c>
      <c r="D382" s="10" t="s">
        <v>196</v>
      </c>
      <c r="E382" s="10" t="s">
        <v>49</v>
      </c>
      <c r="F382" s="10"/>
      <c r="G382" s="10" t="s">
        <v>425</v>
      </c>
      <c r="H382" s="10"/>
      <c r="I382" s="8" t="n">
        <f aca="false">INDEX(Parâmetros!$C$13:$C$19,MATCH(E382,Parâmetros!$A$13:$A$19,0))</f>
        <v>3393</v>
      </c>
      <c r="J382" s="26" t="str">
        <f aca="false">IF(H382="","",Parâmetros!$B$5-H382)</f>
        <v/>
      </c>
      <c r="K382" s="10" t="n">
        <f aca="false">INDEX(Parâmetros!$D$13:$D$19,MATCH(E382,Parâmetros!$A$13:$A$19,0))</f>
        <v>40</v>
      </c>
      <c r="L382" s="26" t="n">
        <f aca="false">IF(G382="Prospecting",Parâmetros!$B$9,IF(J382&gt;Parâmetros!$B$6,0,INDEX(Parâmetros!$C$24:$C$26,MATCH(J382,Parâmetros!$A$24:$A$26,1))))</f>
        <v>10</v>
      </c>
      <c r="M382" s="31" t="n">
        <f aca="false">IF(G382="Prospecting",1,INDEX(Parâmetros!$C$32:$C$35,MATCH(J382,Parâmetros!$A$32:$A$35,1)))</f>
        <v>1</v>
      </c>
      <c r="N382" s="2" t="n">
        <f aca="false">ROUND((K382+L382)*M382,0)</f>
        <v>50</v>
      </c>
      <c r="O382" s="10" t="str">
        <f aca="false">IF(AND(G382="Engaging",J382&gt;Parâmetros!$B$6),"Sim","Não")</f>
        <v>Não</v>
      </c>
      <c r="P382" s="32" t="str">
        <f aca="false">IF(O382="Sim","R",IF(N382&gt;=Parâmetros!$B$39,"A",IF(N382&gt;=Parâmetros!$B$40,"B",IF(N382&gt;=Parâmetros!$B$41,"C","D"))))</f>
        <v>C</v>
      </c>
      <c r="Q382" s="10" t="str">
        <f aca="false">IF(F382="","Completar cadastro","")</f>
        <v>Completar cadastro</v>
      </c>
      <c r="R382" s="10" t="str">
        <f aca="false">INDEX(Parâmetros!$D$39:$D$43,MATCH(P382,Parâmetros!$A$39:$A$43,0))</f>
        <v>Cadência leve, foco em qualificar</v>
      </c>
    </row>
    <row r="383" customFormat="false" ht="15" hidden="false" customHeight="false" outlineLevel="0" collapsed="false">
      <c r="A383" s="10" t="s">
        <v>613</v>
      </c>
      <c r="B383" s="10" t="s">
        <v>73</v>
      </c>
      <c r="C383" s="10" t="s">
        <v>72</v>
      </c>
      <c r="D383" s="10" t="s">
        <v>196</v>
      </c>
      <c r="E383" s="10" t="s">
        <v>49</v>
      </c>
      <c r="F383" s="10"/>
      <c r="G383" s="10" t="s">
        <v>425</v>
      </c>
      <c r="H383" s="10"/>
      <c r="I383" s="8" t="n">
        <f aca="false">INDEX(Parâmetros!$C$13:$C$19,MATCH(E383,Parâmetros!$A$13:$A$19,0))</f>
        <v>3393</v>
      </c>
      <c r="J383" s="26" t="str">
        <f aca="false">IF(H383="","",Parâmetros!$B$5-H383)</f>
        <v/>
      </c>
      <c r="K383" s="10" t="n">
        <f aca="false">INDEX(Parâmetros!$D$13:$D$19,MATCH(E383,Parâmetros!$A$13:$A$19,0))</f>
        <v>40</v>
      </c>
      <c r="L383" s="26" t="n">
        <f aca="false">IF(G383="Prospecting",Parâmetros!$B$9,IF(J383&gt;Parâmetros!$B$6,0,INDEX(Parâmetros!$C$24:$C$26,MATCH(J383,Parâmetros!$A$24:$A$26,1))))</f>
        <v>10</v>
      </c>
      <c r="M383" s="31" t="n">
        <f aca="false">IF(G383="Prospecting",1,INDEX(Parâmetros!$C$32:$C$35,MATCH(J383,Parâmetros!$A$32:$A$35,1)))</f>
        <v>1</v>
      </c>
      <c r="N383" s="2" t="n">
        <f aca="false">ROUND((K383+L383)*M383,0)</f>
        <v>50</v>
      </c>
      <c r="O383" s="10" t="str">
        <f aca="false">IF(AND(G383="Engaging",J383&gt;Parâmetros!$B$6),"Sim","Não")</f>
        <v>Não</v>
      </c>
      <c r="P383" s="32" t="str">
        <f aca="false">IF(O383="Sim","R",IF(N383&gt;=Parâmetros!$B$39,"A",IF(N383&gt;=Parâmetros!$B$40,"B",IF(N383&gt;=Parâmetros!$B$41,"C","D"))))</f>
        <v>C</v>
      </c>
      <c r="Q383" s="10" t="str">
        <f aca="false">IF(F383="","Completar cadastro","")</f>
        <v>Completar cadastro</v>
      </c>
      <c r="R383" s="10" t="str">
        <f aca="false">INDEX(Parâmetros!$D$39:$D$43,MATCH(P383,Parâmetros!$A$39:$A$43,0))</f>
        <v>Cadência leve, foco em qualificar</v>
      </c>
    </row>
    <row r="384" customFormat="false" ht="15" hidden="false" customHeight="false" outlineLevel="0" collapsed="false">
      <c r="A384" s="10" t="s">
        <v>614</v>
      </c>
      <c r="B384" s="10" t="s">
        <v>73</v>
      </c>
      <c r="C384" s="10" t="s">
        <v>72</v>
      </c>
      <c r="D384" s="10" t="s">
        <v>196</v>
      </c>
      <c r="E384" s="10" t="s">
        <v>49</v>
      </c>
      <c r="F384" s="10"/>
      <c r="G384" s="10" t="s">
        <v>425</v>
      </c>
      <c r="H384" s="10"/>
      <c r="I384" s="8" t="n">
        <f aca="false">INDEX(Parâmetros!$C$13:$C$19,MATCH(E384,Parâmetros!$A$13:$A$19,0))</f>
        <v>3393</v>
      </c>
      <c r="J384" s="26" t="str">
        <f aca="false">IF(H384="","",Parâmetros!$B$5-H384)</f>
        <v/>
      </c>
      <c r="K384" s="10" t="n">
        <f aca="false">INDEX(Parâmetros!$D$13:$D$19,MATCH(E384,Parâmetros!$A$13:$A$19,0))</f>
        <v>40</v>
      </c>
      <c r="L384" s="26" t="n">
        <f aca="false">IF(G384="Prospecting",Parâmetros!$B$9,IF(J384&gt;Parâmetros!$B$6,0,INDEX(Parâmetros!$C$24:$C$26,MATCH(J384,Parâmetros!$A$24:$A$26,1))))</f>
        <v>10</v>
      </c>
      <c r="M384" s="31" t="n">
        <f aca="false">IF(G384="Prospecting",1,INDEX(Parâmetros!$C$32:$C$35,MATCH(J384,Parâmetros!$A$32:$A$35,1)))</f>
        <v>1</v>
      </c>
      <c r="N384" s="2" t="n">
        <f aca="false">ROUND((K384+L384)*M384,0)</f>
        <v>50</v>
      </c>
      <c r="O384" s="10" t="str">
        <f aca="false">IF(AND(G384="Engaging",J384&gt;Parâmetros!$B$6),"Sim","Não")</f>
        <v>Não</v>
      </c>
      <c r="P384" s="32" t="str">
        <f aca="false">IF(O384="Sim","R",IF(N384&gt;=Parâmetros!$B$39,"A",IF(N384&gt;=Parâmetros!$B$40,"B",IF(N384&gt;=Parâmetros!$B$41,"C","D"))))</f>
        <v>C</v>
      </c>
      <c r="Q384" s="10" t="str">
        <f aca="false">IF(F384="","Completar cadastro","")</f>
        <v>Completar cadastro</v>
      </c>
      <c r="R384" s="10" t="str">
        <f aca="false">INDEX(Parâmetros!$D$39:$D$43,MATCH(P384,Parâmetros!$A$39:$A$43,0))</f>
        <v>Cadência leve, foco em qualificar</v>
      </c>
    </row>
    <row r="385" customFormat="false" ht="15" hidden="false" customHeight="false" outlineLevel="0" collapsed="false">
      <c r="A385" s="10" t="s">
        <v>615</v>
      </c>
      <c r="B385" s="10" t="s">
        <v>77</v>
      </c>
      <c r="C385" s="10" t="s">
        <v>78</v>
      </c>
      <c r="D385" s="10" t="s">
        <v>196</v>
      </c>
      <c r="E385" s="10" t="s">
        <v>49</v>
      </c>
      <c r="F385" s="10" t="s">
        <v>616</v>
      </c>
      <c r="G385" s="10" t="s">
        <v>425</v>
      </c>
      <c r="H385" s="10"/>
      <c r="I385" s="8" t="n">
        <f aca="false">INDEX(Parâmetros!$C$13:$C$19,MATCH(E385,Parâmetros!$A$13:$A$19,0))</f>
        <v>3393</v>
      </c>
      <c r="J385" s="26" t="str">
        <f aca="false">IF(H385="","",Parâmetros!$B$5-H385)</f>
        <v/>
      </c>
      <c r="K385" s="10" t="n">
        <f aca="false">INDEX(Parâmetros!$D$13:$D$19,MATCH(E385,Parâmetros!$A$13:$A$19,0))</f>
        <v>40</v>
      </c>
      <c r="L385" s="26" t="n">
        <f aca="false">IF(G385="Prospecting",Parâmetros!$B$9,IF(J385&gt;Parâmetros!$B$6,0,INDEX(Parâmetros!$C$24:$C$26,MATCH(J385,Parâmetros!$A$24:$A$26,1))))</f>
        <v>10</v>
      </c>
      <c r="M385" s="31" t="n">
        <f aca="false">IF(G385="Prospecting",1,INDEX(Parâmetros!$C$32:$C$35,MATCH(J385,Parâmetros!$A$32:$A$35,1)))</f>
        <v>1</v>
      </c>
      <c r="N385" s="2" t="n">
        <f aca="false">ROUND((K385+L385)*M385,0)</f>
        <v>50</v>
      </c>
      <c r="O385" s="10" t="str">
        <f aca="false">IF(AND(G385="Engaging",J385&gt;Parâmetros!$B$6),"Sim","Não")</f>
        <v>Não</v>
      </c>
      <c r="P385" s="32" t="str">
        <f aca="false">IF(O385="Sim","R",IF(N385&gt;=Parâmetros!$B$39,"A",IF(N385&gt;=Parâmetros!$B$40,"B",IF(N385&gt;=Parâmetros!$B$41,"C","D"))))</f>
        <v>C</v>
      </c>
      <c r="Q385" s="10" t="str">
        <f aca="false">IF(F385="","Completar cadastro","")</f>
        <v/>
      </c>
      <c r="R385" s="10" t="str">
        <f aca="false">INDEX(Parâmetros!$D$39:$D$43,MATCH(P385,Parâmetros!$A$39:$A$43,0))</f>
        <v>Cadência leve, foco em qualificar</v>
      </c>
    </row>
    <row r="386" customFormat="false" ht="15" hidden="false" customHeight="false" outlineLevel="0" collapsed="false">
      <c r="A386" s="10" t="s">
        <v>617</v>
      </c>
      <c r="B386" s="10" t="s">
        <v>77</v>
      </c>
      <c r="C386" s="10" t="s">
        <v>78</v>
      </c>
      <c r="D386" s="10" t="s">
        <v>196</v>
      </c>
      <c r="E386" s="10" t="s">
        <v>49</v>
      </c>
      <c r="F386" s="10" t="s">
        <v>359</v>
      </c>
      <c r="G386" s="10" t="s">
        <v>425</v>
      </c>
      <c r="H386" s="10"/>
      <c r="I386" s="8" t="n">
        <f aca="false">INDEX(Parâmetros!$C$13:$C$19,MATCH(E386,Parâmetros!$A$13:$A$19,0))</f>
        <v>3393</v>
      </c>
      <c r="J386" s="26" t="str">
        <f aca="false">IF(H386="","",Parâmetros!$B$5-H386)</f>
        <v/>
      </c>
      <c r="K386" s="10" t="n">
        <f aca="false">INDEX(Parâmetros!$D$13:$D$19,MATCH(E386,Parâmetros!$A$13:$A$19,0))</f>
        <v>40</v>
      </c>
      <c r="L386" s="26" t="n">
        <f aca="false">IF(G386="Prospecting",Parâmetros!$B$9,IF(J386&gt;Parâmetros!$B$6,0,INDEX(Parâmetros!$C$24:$C$26,MATCH(J386,Parâmetros!$A$24:$A$26,1))))</f>
        <v>10</v>
      </c>
      <c r="M386" s="31" t="n">
        <f aca="false">IF(G386="Prospecting",1,INDEX(Parâmetros!$C$32:$C$35,MATCH(J386,Parâmetros!$A$32:$A$35,1)))</f>
        <v>1</v>
      </c>
      <c r="N386" s="2" t="n">
        <f aca="false">ROUND((K386+L386)*M386,0)</f>
        <v>50</v>
      </c>
      <c r="O386" s="10" t="str">
        <f aca="false">IF(AND(G386="Engaging",J386&gt;Parâmetros!$B$6),"Sim","Não")</f>
        <v>Não</v>
      </c>
      <c r="P386" s="32" t="str">
        <f aca="false">IF(O386="Sim","R",IF(N386&gt;=Parâmetros!$B$39,"A",IF(N386&gt;=Parâmetros!$B$40,"B",IF(N386&gt;=Parâmetros!$B$41,"C","D"))))</f>
        <v>C</v>
      </c>
      <c r="Q386" s="10" t="str">
        <f aca="false">IF(F386="","Completar cadastro","")</f>
        <v/>
      </c>
      <c r="R386" s="10" t="str">
        <f aca="false">INDEX(Parâmetros!$D$39:$D$43,MATCH(P386,Parâmetros!$A$39:$A$43,0))</f>
        <v>Cadência leve, foco em qualificar</v>
      </c>
    </row>
    <row r="387" customFormat="false" ht="15" hidden="false" customHeight="false" outlineLevel="0" collapsed="false">
      <c r="A387" s="10" t="s">
        <v>618</v>
      </c>
      <c r="B387" s="10" t="s">
        <v>77</v>
      </c>
      <c r="C387" s="10" t="s">
        <v>78</v>
      </c>
      <c r="D387" s="10" t="s">
        <v>196</v>
      </c>
      <c r="E387" s="10" t="s">
        <v>49</v>
      </c>
      <c r="F387" s="10"/>
      <c r="G387" s="10" t="s">
        <v>425</v>
      </c>
      <c r="H387" s="10"/>
      <c r="I387" s="8" t="n">
        <f aca="false">INDEX(Parâmetros!$C$13:$C$19,MATCH(E387,Parâmetros!$A$13:$A$19,0))</f>
        <v>3393</v>
      </c>
      <c r="J387" s="26" t="str">
        <f aca="false">IF(H387="","",Parâmetros!$B$5-H387)</f>
        <v/>
      </c>
      <c r="K387" s="10" t="n">
        <f aca="false">INDEX(Parâmetros!$D$13:$D$19,MATCH(E387,Parâmetros!$A$13:$A$19,0))</f>
        <v>40</v>
      </c>
      <c r="L387" s="26" t="n">
        <f aca="false">IF(G387="Prospecting",Parâmetros!$B$9,IF(J387&gt;Parâmetros!$B$6,0,INDEX(Parâmetros!$C$24:$C$26,MATCH(J387,Parâmetros!$A$24:$A$26,1))))</f>
        <v>10</v>
      </c>
      <c r="M387" s="31" t="n">
        <f aca="false">IF(G387="Prospecting",1,INDEX(Parâmetros!$C$32:$C$35,MATCH(J387,Parâmetros!$A$32:$A$35,1)))</f>
        <v>1</v>
      </c>
      <c r="N387" s="2" t="n">
        <f aca="false">ROUND((K387+L387)*M387,0)</f>
        <v>50</v>
      </c>
      <c r="O387" s="10" t="str">
        <f aca="false">IF(AND(G387="Engaging",J387&gt;Parâmetros!$B$6),"Sim","Não")</f>
        <v>Não</v>
      </c>
      <c r="P387" s="32" t="str">
        <f aca="false">IF(O387="Sim","R",IF(N387&gt;=Parâmetros!$B$39,"A",IF(N387&gt;=Parâmetros!$B$40,"B",IF(N387&gt;=Parâmetros!$B$41,"C","D"))))</f>
        <v>C</v>
      </c>
      <c r="Q387" s="10" t="str">
        <f aca="false">IF(F387="","Completar cadastro","")</f>
        <v>Completar cadastro</v>
      </c>
      <c r="R387" s="10" t="str">
        <f aca="false">INDEX(Parâmetros!$D$39:$D$43,MATCH(P387,Parâmetros!$A$39:$A$43,0))</f>
        <v>Cadência leve, foco em qualificar</v>
      </c>
    </row>
    <row r="388" customFormat="false" ht="15" hidden="false" customHeight="false" outlineLevel="0" collapsed="false">
      <c r="A388" s="10" t="s">
        <v>619</v>
      </c>
      <c r="B388" s="10" t="s">
        <v>77</v>
      </c>
      <c r="C388" s="10" t="s">
        <v>78</v>
      </c>
      <c r="D388" s="10" t="s">
        <v>196</v>
      </c>
      <c r="E388" s="10" t="s">
        <v>49</v>
      </c>
      <c r="F388" s="10"/>
      <c r="G388" s="10" t="s">
        <v>425</v>
      </c>
      <c r="H388" s="10"/>
      <c r="I388" s="8" t="n">
        <f aca="false">INDEX(Parâmetros!$C$13:$C$19,MATCH(E388,Parâmetros!$A$13:$A$19,0))</f>
        <v>3393</v>
      </c>
      <c r="J388" s="26" t="str">
        <f aca="false">IF(H388="","",Parâmetros!$B$5-H388)</f>
        <v/>
      </c>
      <c r="K388" s="10" t="n">
        <f aca="false">INDEX(Parâmetros!$D$13:$D$19,MATCH(E388,Parâmetros!$A$13:$A$19,0))</f>
        <v>40</v>
      </c>
      <c r="L388" s="26" t="n">
        <f aca="false">IF(G388="Prospecting",Parâmetros!$B$9,IF(J388&gt;Parâmetros!$B$6,0,INDEX(Parâmetros!$C$24:$C$26,MATCH(J388,Parâmetros!$A$24:$A$26,1))))</f>
        <v>10</v>
      </c>
      <c r="M388" s="31" t="n">
        <f aca="false">IF(G388="Prospecting",1,INDEX(Parâmetros!$C$32:$C$35,MATCH(J388,Parâmetros!$A$32:$A$35,1)))</f>
        <v>1</v>
      </c>
      <c r="N388" s="2" t="n">
        <f aca="false">ROUND((K388+L388)*M388,0)</f>
        <v>50</v>
      </c>
      <c r="O388" s="10" t="str">
        <f aca="false">IF(AND(G388="Engaging",J388&gt;Parâmetros!$B$6),"Sim","Não")</f>
        <v>Não</v>
      </c>
      <c r="P388" s="32" t="str">
        <f aca="false">IF(O388="Sim","R",IF(N388&gt;=Parâmetros!$B$39,"A",IF(N388&gt;=Parâmetros!$B$40,"B",IF(N388&gt;=Parâmetros!$B$41,"C","D"))))</f>
        <v>C</v>
      </c>
      <c r="Q388" s="10" t="str">
        <f aca="false">IF(F388="","Completar cadastro","")</f>
        <v>Completar cadastro</v>
      </c>
      <c r="R388" s="10" t="str">
        <f aca="false">INDEX(Parâmetros!$D$39:$D$43,MATCH(P388,Parâmetros!$A$39:$A$43,0))</f>
        <v>Cadência leve, foco em qualificar</v>
      </c>
    </row>
    <row r="389" customFormat="false" ht="15" hidden="false" customHeight="false" outlineLevel="0" collapsed="false">
      <c r="A389" s="10" t="s">
        <v>620</v>
      </c>
      <c r="B389" s="10" t="s">
        <v>77</v>
      </c>
      <c r="C389" s="10" t="s">
        <v>78</v>
      </c>
      <c r="D389" s="10" t="s">
        <v>196</v>
      </c>
      <c r="E389" s="10" t="s">
        <v>49</v>
      </c>
      <c r="F389" s="10"/>
      <c r="G389" s="10" t="s">
        <v>425</v>
      </c>
      <c r="H389" s="10"/>
      <c r="I389" s="8" t="n">
        <f aca="false">INDEX(Parâmetros!$C$13:$C$19,MATCH(E389,Parâmetros!$A$13:$A$19,0))</f>
        <v>3393</v>
      </c>
      <c r="J389" s="26" t="str">
        <f aca="false">IF(H389="","",Parâmetros!$B$5-H389)</f>
        <v/>
      </c>
      <c r="K389" s="10" t="n">
        <f aca="false">INDEX(Parâmetros!$D$13:$D$19,MATCH(E389,Parâmetros!$A$13:$A$19,0))</f>
        <v>40</v>
      </c>
      <c r="L389" s="26" t="n">
        <f aca="false">IF(G389="Prospecting",Parâmetros!$B$9,IF(J389&gt;Parâmetros!$B$6,0,INDEX(Parâmetros!$C$24:$C$26,MATCH(J389,Parâmetros!$A$24:$A$26,1))))</f>
        <v>10</v>
      </c>
      <c r="M389" s="31" t="n">
        <f aca="false">IF(G389="Prospecting",1,INDEX(Parâmetros!$C$32:$C$35,MATCH(J389,Parâmetros!$A$32:$A$35,1)))</f>
        <v>1</v>
      </c>
      <c r="N389" s="2" t="n">
        <f aca="false">ROUND((K389+L389)*M389,0)</f>
        <v>50</v>
      </c>
      <c r="O389" s="10" t="str">
        <f aca="false">IF(AND(G389="Engaging",J389&gt;Parâmetros!$B$6),"Sim","Não")</f>
        <v>Não</v>
      </c>
      <c r="P389" s="32" t="str">
        <f aca="false">IF(O389="Sim","R",IF(N389&gt;=Parâmetros!$B$39,"A",IF(N389&gt;=Parâmetros!$B$40,"B",IF(N389&gt;=Parâmetros!$B$41,"C","D"))))</f>
        <v>C</v>
      </c>
      <c r="Q389" s="10" t="str">
        <f aca="false">IF(F389="","Completar cadastro","")</f>
        <v>Completar cadastro</v>
      </c>
      <c r="R389" s="10" t="str">
        <f aca="false">INDEX(Parâmetros!$D$39:$D$43,MATCH(P389,Parâmetros!$A$39:$A$43,0))</f>
        <v>Cadência leve, foco em qualificar</v>
      </c>
    </row>
    <row r="390" customFormat="false" ht="15" hidden="false" customHeight="false" outlineLevel="0" collapsed="false">
      <c r="A390" s="10" t="s">
        <v>621</v>
      </c>
      <c r="B390" s="10" t="s">
        <v>77</v>
      </c>
      <c r="C390" s="10" t="s">
        <v>78</v>
      </c>
      <c r="D390" s="10" t="s">
        <v>196</v>
      </c>
      <c r="E390" s="10" t="s">
        <v>49</v>
      </c>
      <c r="F390" s="10"/>
      <c r="G390" s="10" t="s">
        <v>425</v>
      </c>
      <c r="H390" s="10"/>
      <c r="I390" s="8" t="n">
        <f aca="false">INDEX(Parâmetros!$C$13:$C$19,MATCH(E390,Parâmetros!$A$13:$A$19,0))</f>
        <v>3393</v>
      </c>
      <c r="J390" s="26" t="str">
        <f aca="false">IF(H390="","",Parâmetros!$B$5-H390)</f>
        <v/>
      </c>
      <c r="K390" s="10" t="n">
        <f aca="false">INDEX(Parâmetros!$D$13:$D$19,MATCH(E390,Parâmetros!$A$13:$A$19,0))</f>
        <v>40</v>
      </c>
      <c r="L390" s="26" t="n">
        <f aca="false">IF(G390="Prospecting",Parâmetros!$B$9,IF(J390&gt;Parâmetros!$B$6,0,INDEX(Parâmetros!$C$24:$C$26,MATCH(J390,Parâmetros!$A$24:$A$26,1))))</f>
        <v>10</v>
      </c>
      <c r="M390" s="31" t="n">
        <f aca="false">IF(G390="Prospecting",1,INDEX(Parâmetros!$C$32:$C$35,MATCH(J390,Parâmetros!$A$32:$A$35,1)))</f>
        <v>1</v>
      </c>
      <c r="N390" s="2" t="n">
        <f aca="false">ROUND((K390+L390)*M390,0)</f>
        <v>50</v>
      </c>
      <c r="O390" s="10" t="str">
        <f aca="false">IF(AND(G390="Engaging",J390&gt;Parâmetros!$B$6),"Sim","Não")</f>
        <v>Não</v>
      </c>
      <c r="P390" s="32" t="str">
        <f aca="false">IF(O390="Sim","R",IF(N390&gt;=Parâmetros!$B$39,"A",IF(N390&gt;=Parâmetros!$B$40,"B",IF(N390&gt;=Parâmetros!$B$41,"C","D"))))</f>
        <v>C</v>
      </c>
      <c r="Q390" s="10" t="str">
        <f aca="false">IF(F390="","Completar cadastro","")</f>
        <v>Completar cadastro</v>
      </c>
      <c r="R390" s="10" t="str">
        <f aca="false">INDEX(Parâmetros!$D$39:$D$43,MATCH(P390,Parâmetros!$A$39:$A$43,0))</f>
        <v>Cadência leve, foco em qualificar</v>
      </c>
    </row>
    <row r="391" customFormat="false" ht="15" hidden="false" customHeight="false" outlineLevel="0" collapsed="false">
      <c r="A391" s="10" t="s">
        <v>622</v>
      </c>
      <c r="B391" s="10" t="s">
        <v>77</v>
      </c>
      <c r="C391" s="10" t="s">
        <v>78</v>
      </c>
      <c r="D391" s="10" t="s">
        <v>196</v>
      </c>
      <c r="E391" s="10" t="s">
        <v>49</v>
      </c>
      <c r="F391" s="10"/>
      <c r="G391" s="10" t="s">
        <v>425</v>
      </c>
      <c r="H391" s="10"/>
      <c r="I391" s="8" t="n">
        <f aca="false">INDEX(Parâmetros!$C$13:$C$19,MATCH(E391,Parâmetros!$A$13:$A$19,0))</f>
        <v>3393</v>
      </c>
      <c r="J391" s="26" t="str">
        <f aca="false">IF(H391="","",Parâmetros!$B$5-H391)</f>
        <v/>
      </c>
      <c r="K391" s="10" t="n">
        <f aca="false">INDEX(Parâmetros!$D$13:$D$19,MATCH(E391,Parâmetros!$A$13:$A$19,0))</f>
        <v>40</v>
      </c>
      <c r="L391" s="26" t="n">
        <f aca="false">IF(G391="Prospecting",Parâmetros!$B$9,IF(J391&gt;Parâmetros!$B$6,0,INDEX(Parâmetros!$C$24:$C$26,MATCH(J391,Parâmetros!$A$24:$A$26,1))))</f>
        <v>10</v>
      </c>
      <c r="M391" s="31" t="n">
        <f aca="false">IF(G391="Prospecting",1,INDEX(Parâmetros!$C$32:$C$35,MATCH(J391,Parâmetros!$A$32:$A$35,1)))</f>
        <v>1</v>
      </c>
      <c r="N391" s="2" t="n">
        <f aca="false">ROUND((K391+L391)*M391,0)</f>
        <v>50</v>
      </c>
      <c r="O391" s="10" t="str">
        <f aca="false">IF(AND(G391="Engaging",J391&gt;Parâmetros!$B$6),"Sim","Não")</f>
        <v>Não</v>
      </c>
      <c r="P391" s="32" t="str">
        <f aca="false">IF(O391="Sim","R",IF(N391&gt;=Parâmetros!$B$39,"A",IF(N391&gt;=Parâmetros!$B$40,"B",IF(N391&gt;=Parâmetros!$B$41,"C","D"))))</f>
        <v>C</v>
      </c>
      <c r="Q391" s="10" t="str">
        <f aca="false">IF(F391="","Completar cadastro","")</f>
        <v>Completar cadastro</v>
      </c>
      <c r="R391" s="10" t="str">
        <f aca="false">INDEX(Parâmetros!$D$39:$D$43,MATCH(P391,Parâmetros!$A$39:$A$43,0))</f>
        <v>Cadência leve, foco em qualificar</v>
      </c>
    </row>
    <row r="392" customFormat="false" ht="15" hidden="false" customHeight="false" outlineLevel="0" collapsed="false">
      <c r="A392" s="10" t="s">
        <v>623</v>
      </c>
      <c r="B392" s="10" t="s">
        <v>77</v>
      </c>
      <c r="C392" s="10" t="s">
        <v>78</v>
      </c>
      <c r="D392" s="10" t="s">
        <v>196</v>
      </c>
      <c r="E392" s="10" t="s">
        <v>49</v>
      </c>
      <c r="F392" s="10"/>
      <c r="G392" s="10" t="s">
        <v>425</v>
      </c>
      <c r="H392" s="10"/>
      <c r="I392" s="8" t="n">
        <f aca="false">INDEX(Parâmetros!$C$13:$C$19,MATCH(E392,Parâmetros!$A$13:$A$19,0))</f>
        <v>3393</v>
      </c>
      <c r="J392" s="26" t="str">
        <f aca="false">IF(H392="","",Parâmetros!$B$5-H392)</f>
        <v/>
      </c>
      <c r="K392" s="10" t="n">
        <f aca="false">INDEX(Parâmetros!$D$13:$D$19,MATCH(E392,Parâmetros!$A$13:$A$19,0))</f>
        <v>40</v>
      </c>
      <c r="L392" s="26" t="n">
        <f aca="false">IF(G392="Prospecting",Parâmetros!$B$9,IF(J392&gt;Parâmetros!$B$6,0,INDEX(Parâmetros!$C$24:$C$26,MATCH(J392,Parâmetros!$A$24:$A$26,1))))</f>
        <v>10</v>
      </c>
      <c r="M392" s="31" t="n">
        <f aca="false">IF(G392="Prospecting",1,INDEX(Parâmetros!$C$32:$C$35,MATCH(J392,Parâmetros!$A$32:$A$35,1)))</f>
        <v>1</v>
      </c>
      <c r="N392" s="2" t="n">
        <f aca="false">ROUND((K392+L392)*M392,0)</f>
        <v>50</v>
      </c>
      <c r="O392" s="10" t="str">
        <f aca="false">IF(AND(G392="Engaging",J392&gt;Parâmetros!$B$6),"Sim","Não")</f>
        <v>Não</v>
      </c>
      <c r="P392" s="32" t="str">
        <f aca="false">IF(O392="Sim","R",IF(N392&gt;=Parâmetros!$B$39,"A",IF(N392&gt;=Parâmetros!$B$40,"B",IF(N392&gt;=Parâmetros!$B$41,"C","D"))))</f>
        <v>C</v>
      </c>
      <c r="Q392" s="10" t="str">
        <f aca="false">IF(F392="","Completar cadastro","")</f>
        <v>Completar cadastro</v>
      </c>
      <c r="R392" s="10" t="str">
        <f aca="false">INDEX(Parâmetros!$D$39:$D$43,MATCH(P392,Parâmetros!$A$39:$A$43,0))</f>
        <v>Cadência leve, foco em qualificar</v>
      </c>
    </row>
    <row r="393" customFormat="false" ht="15" hidden="false" customHeight="false" outlineLevel="0" collapsed="false">
      <c r="A393" s="10" t="s">
        <v>624</v>
      </c>
      <c r="B393" s="10" t="s">
        <v>79</v>
      </c>
      <c r="C393" s="10" t="s">
        <v>78</v>
      </c>
      <c r="D393" s="10" t="s">
        <v>196</v>
      </c>
      <c r="E393" s="10" t="s">
        <v>49</v>
      </c>
      <c r="F393" s="10" t="s">
        <v>410</v>
      </c>
      <c r="G393" s="10" t="s">
        <v>425</v>
      </c>
      <c r="H393" s="10"/>
      <c r="I393" s="8" t="n">
        <f aca="false">INDEX(Parâmetros!$C$13:$C$19,MATCH(E393,Parâmetros!$A$13:$A$19,0))</f>
        <v>3393</v>
      </c>
      <c r="J393" s="26" t="str">
        <f aca="false">IF(H393="","",Parâmetros!$B$5-H393)</f>
        <v/>
      </c>
      <c r="K393" s="10" t="n">
        <f aca="false">INDEX(Parâmetros!$D$13:$D$19,MATCH(E393,Parâmetros!$A$13:$A$19,0))</f>
        <v>40</v>
      </c>
      <c r="L393" s="26" t="n">
        <f aca="false">IF(G393="Prospecting",Parâmetros!$B$9,IF(J393&gt;Parâmetros!$B$6,0,INDEX(Parâmetros!$C$24:$C$26,MATCH(J393,Parâmetros!$A$24:$A$26,1))))</f>
        <v>10</v>
      </c>
      <c r="M393" s="31" t="n">
        <f aca="false">IF(G393="Prospecting",1,INDEX(Parâmetros!$C$32:$C$35,MATCH(J393,Parâmetros!$A$32:$A$35,1)))</f>
        <v>1</v>
      </c>
      <c r="N393" s="2" t="n">
        <f aca="false">ROUND((K393+L393)*M393,0)</f>
        <v>50</v>
      </c>
      <c r="O393" s="10" t="str">
        <f aca="false">IF(AND(G393="Engaging",J393&gt;Parâmetros!$B$6),"Sim","Não")</f>
        <v>Não</v>
      </c>
      <c r="P393" s="32" t="str">
        <f aca="false">IF(O393="Sim","R",IF(N393&gt;=Parâmetros!$B$39,"A",IF(N393&gt;=Parâmetros!$B$40,"B",IF(N393&gt;=Parâmetros!$B$41,"C","D"))))</f>
        <v>C</v>
      </c>
      <c r="Q393" s="10" t="str">
        <f aca="false">IF(F393="","Completar cadastro","")</f>
        <v/>
      </c>
      <c r="R393" s="10" t="str">
        <f aca="false">INDEX(Parâmetros!$D$39:$D$43,MATCH(P393,Parâmetros!$A$39:$A$43,0))</f>
        <v>Cadência leve, foco em qualificar</v>
      </c>
    </row>
    <row r="394" customFormat="false" ht="15" hidden="false" customHeight="false" outlineLevel="0" collapsed="false">
      <c r="A394" s="10" t="s">
        <v>625</v>
      </c>
      <c r="B394" s="10" t="s">
        <v>79</v>
      </c>
      <c r="C394" s="10" t="s">
        <v>78</v>
      </c>
      <c r="D394" s="10" t="s">
        <v>196</v>
      </c>
      <c r="E394" s="10" t="s">
        <v>49</v>
      </c>
      <c r="F394" s="10" t="s">
        <v>522</v>
      </c>
      <c r="G394" s="10" t="s">
        <v>425</v>
      </c>
      <c r="H394" s="10"/>
      <c r="I394" s="8" t="n">
        <f aca="false">INDEX(Parâmetros!$C$13:$C$19,MATCH(E394,Parâmetros!$A$13:$A$19,0))</f>
        <v>3393</v>
      </c>
      <c r="J394" s="26" t="str">
        <f aca="false">IF(H394="","",Parâmetros!$B$5-H394)</f>
        <v/>
      </c>
      <c r="K394" s="10" t="n">
        <f aca="false">INDEX(Parâmetros!$D$13:$D$19,MATCH(E394,Parâmetros!$A$13:$A$19,0))</f>
        <v>40</v>
      </c>
      <c r="L394" s="26" t="n">
        <f aca="false">IF(G394="Prospecting",Parâmetros!$B$9,IF(J394&gt;Parâmetros!$B$6,0,INDEX(Parâmetros!$C$24:$C$26,MATCH(J394,Parâmetros!$A$24:$A$26,1))))</f>
        <v>10</v>
      </c>
      <c r="M394" s="31" t="n">
        <f aca="false">IF(G394="Prospecting",1,INDEX(Parâmetros!$C$32:$C$35,MATCH(J394,Parâmetros!$A$32:$A$35,1)))</f>
        <v>1</v>
      </c>
      <c r="N394" s="2" t="n">
        <f aca="false">ROUND((K394+L394)*M394,0)</f>
        <v>50</v>
      </c>
      <c r="O394" s="10" t="str">
        <f aca="false">IF(AND(G394="Engaging",J394&gt;Parâmetros!$B$6),"Sim","Não")</f>
        <v>Não</v>
      </c>
      <c r="P394" s="32" t="str">
        <f aca="false">IF(O394="Sim","R",IF(N394&gt;=Parâmetros!$B$39,"A",IF(N394&gt;=Parâmetros!$B$40,"B",IF(N394&gt;=Parâmetros!$B$41,"C","D"))))</f>
        <v>C</v>
      </c>
      <c r="Q394" s="10" t="str">
        <f aca="false">IF(F394="","Completar cadastro","")</f>
        <v/>
      </c>
      <c r="R394" s="10" t="str">
        <f aca="false">INDEX(Parâmetros!$D$39:$D$43,MATCH(P394,Parâmetros!$A$39:$A$43,0))</f>
        <v>Cadência leve, foco em qualificar</v>
      </c>
    </row>
    <row r="395" customFormat="false" ht="15" hidden="false" customHeight="false" outlineLevel="0" collapsed="false">
      <c r="A395" s="10" t="s">
        <v>626</v>
      </c>
      <c r="B395" s="10" t="s">
        <v>79</v>
      </c>
      <c r="C395" s="10" t="s">
        <v>78</v>
      </c>
      <c r="D395" s="10" t="s">
        <v>196</v>
      </c>
      <c r="E395" s="10" t="s">
        <v>49</v>
      </c>
      <c r="F395" s="10" t="s">
        <v>524</v>
      </c>
      <c r="G395" s="10" t="s">
        <v>425</v>
      </c>
      <c r="H395" s="10"/>
      <c r="I395" s="8" t="n">
        <f aca="false">INDEX(Parâmetros!$C$13:$C$19,MATCH(E395,Parâmetros!$A$13:$A$19,0))</f>
        <v>3393</v>
      </c>
      <c r="J395" s="26" t="str">
        <f aca="false">IF(H395="","",Parâmetros!$B$5-H395)</f>
        <v/>
      </c>
      <c r="K395" s="10" t="n">
        <f aca="false">INDEX(Parâmetros!$D$13:$D$19,MATCH(E395,Parâmetros!$A$13:$A$19,0))</f>
        <v>40</v>
      </c>
      <c r="L395" s="26" t="n">
        <f aca="false">IF(G395="Prospecting",Parâmetros!$B$9,IF(J395&gt;Parâmetros!$B$6,0,INDEX(Parâmetros!$C$24:$C$26,MATCH(J395,Parâmetros!$A$24:$A$26,1))))</f>
        <v>10</v>
      </c>
      <c r="M395" s="31" t="n">
        <f aca="false">IF(G395="Prospecting",1,INDEX(Parâmetros!$C$32:$C$35,MATCH(J395,Parâmetros!$A$32:$A$35,1)))</f>
        <v>1</v>
      </c>
      <c r="N395" s="2" t="n">
        <f aca="false">ROUND((K395+L395)*M395,0)</f>
        <v>50</v>
      </c>
      <c r="O395" s="10" t="str">
        <f aca="false">IF(AND(G395="Engaging",J395&gt;Parâmetros!$B$6),"Sim","Não")</f>
        <v>Não</v>
      </c>
      <c r="P395" s="32" t="str">
        <f aca="false">IF(O395="Sim","R",IF(N395&gt;=Parâmetros!$B$39,"A",IF(N395&gt;=Parâmetros!$B$40,"B",IF(N395&gt;=Parâmetros!$B$41,"C","D"))))</f>
        <v>C</v>
      </c>
      <c r="Q395" s="10" t="str">
        <f aca="false">IF(F395="","Completar cadastro","")</f>
        <v/>
      </c>
      <c r="R395" s="10" t="str">
        <f aca="false">INDEX(Parâmetros!$D$39:$D$43,MATCH(P395,Parâmetros!$A$39:$A$43,0))</f>
        <v>Cadência leve, foco em qualificar</v>
      </c>
    </row>
    <row r="396" customFormat="false" ht="15" hidden="false" customHeight="false" outlineLevel="0" collapsed="false">
      <c r="A396" s="10" t="s">
        <v>627</v>
      </c>
      <c r="B396" s="10" t="s">
        <v>79</v>
      </c>
      <c r="C396" s="10" t="s">
        <v>78</v>
      </c>
      <c r="D396" s="10" t="s">
        <v>196</v>
      </c>
      <c r="E396" s="10" t="s">
        <v>49</v>
      </c>
      <c r="F396" s="10" t="s">
        <v>350</v>
      </c>
      <c r="G396" s="10" t="s">
        <v>425</v>
      </c>
      <c r="H396" s="10"/>
      <c r="I396" s="8" t="n">
        <f aca="false">INDEX(Parâmetros!$C$13:$C$19,MATCH(E396,Parâmetros!$A$13:$A$19,0))</f>
        <v>3393</v>
      </c>
      <c r="J396" s="26" t="str">
        <f aca="false">IF(H396="","",Parâmetros!$B$5-H396)</f>
        <v/>
      </c>
      <c r="K396" s="10" t="n">
        <f aca="false">INDEX(Parâmetros!$D$13:$D$19,MATCH(E396,Parâmetros!$A$13:$A$19,0))</f>
        <v>40</v>
      </c>
      <c r="L396" s="26" t="n">
        <f aca="false">IF(G396="Prospecting",Parâmetros!$B$9,IF(J396&gt;Parâmetros!$B$6,0,INDEX(Parâmetros!$C$24:$C$26,MATCH(J396,Parâmetros!$A$24:$A$26,1))))</f>
        <v>10</v>
      </c>
      <c r="M396" s="31" t="n">
        <f aca="false">IF(G396="Prospecting",1,INDEX(Parâmetros!$C$32:$C$35,MATCH(J396,Parâmetros!$A$32:$A$35,1)))</f>
        <v>1</v>
      </c>
      <c r="N396" s="2" t="n">
        <f aca="false">ROUND((K396+L396)*M396,0)</f>
        <v>50</v>
      </c>
      <c r="O396" s="10" t="str">
        <f aca="false">IF(AND(G396="Engaging",J396&gt;Parâmetros!$B$6),"Sim","Não")</f>
        <v>Não</v>
      </c>
      <c r="P396" s="32" t="str">
        <f aca="false">IF(O396="Sim","R",IF(N396&gt;=Parâmetros!$B$39,"A",IF(N396&gt;=Parâmetros!$B$40,"B",IF(N396&gt;=Parâmetros!$B$41,"C","D"))))</f>
        <v>C</v>
      </c>
      <c r="Q396" s="10" t="str">
        <f aca="false">IF(F396="","Completar cadastro","")</f>
        <v/>
      </c>
      <c r="R396" s="10" t="str">
        <f aca="false">INDEX(Parâmetros!$D$39:$D$43,MATCH(P396,Parâmetros!$A$39:$A$43,0))</f>
        <v>Cadência leve, foco em qualificar</v>
      </c>
    </row>
    <row r="397" customFormat="false" ht="15" hidden="false" customHeight="false" outlineLevel="0" collapsed="false">
      <c r="A397" s="10" t="s">
        <v>628</v>
      </c>
      <c r="B397" s="10" t="s">
        <v>79</v>
      </c>
      <c r="C397" s="10" t="s">
        <v>78</v>
      </c>
      <c r="D397" s="10" t="s">
        <v>196</v>
      </c>
      <c r="E397" s="10" t="s">
        <v>49</v>
      </c>
      <c r="F397" s="10"/>
      <c r="G397" s="10" t="s">
        <v>425</v>
      </c>
      <c r="H397" s="10"/>
      <c r="I397" s="8" t="n">
        <f aca="false">INDEX(Parâmetros!$C$13:$C$19,MATCH(E397,Parâmetros!$A$13:$A$19,0))</f>
        <v>3393</v>
      </c>
      <c r="J397" s="26" t="str">
        <f aca="false">IF(H397="","",Parâmetros!$B$5-H397)</f>
        <v/>
      </c>
      <c r="K397" s="10" t="n">
        <f aca="false">INDEX(Parâmetros!$D$13:$D$19,MATCH(E397,Parâmetros!$A$13:$A$19,0))</f>
        <v>40</v>
      </c>
      <c r="L397" s="26" t="n">
        <f aca="false">IF(G397="Prospecting",Parâmetros!$B$9,IF(J397&gt;Parâmetros!$B$6,0,INDEX(Parâmetros!$C$24:$C$26,MATCH(J397,Parâmetros!$A$24:$A$26,1))))</f>
        <v>10</v>
      </c>
      <c r="M397" s="31" t="n">
        <f aca="false">IF(G397="Prospecting",1,INDEX(Parâmetros!$C$32:$C$35,MATCH(J397,Parâmetros!$A$32:$A$35,1)))</f>
        <v>1</v>
      </c>
      <c r="N397" s="2" t="n">
        <f aca="false">ROUND((K397+L397)*M397,0)</f>
        <v>50</v>
      </c>
      <c r="O397" s="10" t="str">
        <f aca="false">IF(AND(G397="Engaging",J397&gt;Parâmetros!$B$6),"Sim","Não")</f>
        <v>Não</v>
      </c>
      <c r="P397" s="32" t="str">
        <f aca="false">IF(O397="Sim","R",IF(N397&gt;=Parâmetros!$B$39,"A",IF(N397&gt;=Parâmetros!$B$40,"B",IF(N397&gt;=Parâmetros!$B$41,"C","D"))))</f>
        <v>C</v>
      </c>
      <c r="Q397" s="10" t="str">
        <f aca="false">IF(F397="","Completar cadastro","")</f>
        <v>Completar cadastro</v>
      </c>
      <c r="R397" s="10" t="str">
        <f aca="false">INDEX(Parâmetros!$D$39:$D$43,MATCH(P397,Parâmetros!$A$39:$A$43,0))</f>
        <v>Cadência leve, foco em qualificar</v>
      </c>
    </row>
    <row r="398" customFormat="false" ht="15" hidden="false" customHeight="false" outlineLevel="0" collapsed="false">
      <c r="A398" s="10" t="s">
        <v>629</v>
      </c>
      <c r="B398" s="10" t="s">
        <v>79</v>
      </c>
      <c r="C398" s="10" t="s">
        <v>78</v>
      </c>
      <c r="D398" s="10" t="s">
        <v>196</v>
      </c>
      <c r="E398" s="10" t="s">
        <v>49</v>
      </c>
      <c r="F398" s="10"/>
      <c r="G398" s="10" t="s">
        <v>425</v>
      </c>
      <c r="H398" s="10"/>
      <c r="I398" s="8" t="n">
        <f aca="false">INDEX(Parâmetros!$C$13:$C$19,MATCH(E398,Parâmetros!$A$13:$A$19,0))</f>
        <v>3393</v>
      </c>
      <c r="J398" s="26" t="str">
        <f aca="false">IF(H398="","",Parâmetros!$B$5-H398)</f>
        <v/>
      </c>
      <c r="K398" s="10" t="n">
        <f aca="false">INDEX(Parâmetros!$D$13:$D$19,MATCH(E398,Parâmetros!$A$13:$A$19,0))</f>
        <v>40</v>
      </c>
      <c r="L398" s="26" t="n">
        <f aca="false">IF(G398="Prospecting",Parâmetros!$B$9,IF(J398&gt;Parâmetros!$B$6,0,INDEX(Parâmetros!$C$24:$C$26,MATCH(J398,Parâmetros!$A$24:$A$26,1))))</f>
        <v>10</v>
      </c>
      <c r="M398" s="31" t="n">
        <f aca="false">IF(G398="Prospecting",1,INDEX(Parâmetros!$C$32:$C$35,MATCH(J398,Parâmetros!$A$32:$A$35,1)))</f>
        <v>1</v>
      </c>
      <c r="N398" s="2" t="n">
        <f aca="false">ROUND((K398+L398)*M398,0)</f>
        <v>50</v>
      </c>
      <c r="O398" s="10" t="str">
        <f aca="false">IF(AND(G398="Engaging",J398&gt;Parâmetros!$B$6),"Sim","Não")</f>
        <v>Não</v>
      </c>
      <c r="P398" s="32" t="str">
        <f aca="false">IF(O398="Sim","R",IF(N398&gt;=Parâmetros!$B$39,"A",IF(N398&gt;=Parâmetros!$B$40,"B",IF(N398&gt;=Parâmetros!$B$41,"C","D"))))</f>
        <v>C</v>
      </c>
      <c r="Q398" s="10" t="str">
        <f aca="false">IF(F398="","Completar cadastro","")</f>
        <v>Completar cadastro</v>
      </c>
      <c r="R398" s="10" t="str">
        <f aca="false">INDEX(Parâmetros!$D$39:$D$43,MATCH(P398,Parâmetros!$A$39:$A$43,0))</f>
        <v>Cadência leve, foco em qualificar</v>
      </c>
    </row>
    <row r="399" customFormat="false" ht="15" hidden="false" customHeight="false" outlineLevel="0" collapsed="false">
      <c r="A399" s="10" t="s">
        <v>630</v>
      </c>
      <c r="B399" s="10" t="s">
        <v>79</v>
      </c>
      <c r="C399" s="10" t="s">
        <v>78</v>
      </c>
      <c r="D399" s="10" t="s">
        <v>196</v>
      </c>
      <c r="E399" s="10" t="s">
        <v>49</v>
      </c>
      <c r="F399" s="10"/>
      <c r="G399" s="10" t="s">
        <v>425</v>
      </c>
      <c r="H399" s="10"/>
      <c r="I399" s="8" t="n">
        <f aca="false">INDEX(Parâmetros!$C$13:$C$19,MATCH(E399,Parâmetros!$A$13:$A$19,0))</f>
        <v>3393</v>
      </c>
      <c r="J399" s="26" t="str">
        <f aca="false">IF(H399="","",Parâmetros!$B$5-H399)</f>
        <v/>
      </c>
      <c r="K399" s="10" t="n">
        <f aca="false">INDEX(Parâmetros!$D$13:$D$19,MATCH(E399,Parâmetros!$A$13:$A$19,0))</f>
        <v>40</v>
      </c>
      <c r="L399" s="26" t="n">
        <f aca="false">IF(G399="Prospecting",Parâmetros!$B$9,IF(J399&gt;Parâmetros!$B$6,0,INDEX(Parâmetros!$C$24:$C$26,MATCH(J399,Parâmetros!$A$24:$A$26,1))))</f>
        <v>10</v>
      </c>
      <c r="M399" s="31" t="n">
        <f aca="false">IF(G399="Prospecting",1,INDEX(Parâmetros!$C$32:$C$35,MATCH(J399,Parâmetros!$A$32:$A$35,1)))</f>
        <v>1</v>
      </c>
      <c r="N399" s="2" t="n">
        <f aca="false">ROUND((K399+L399)*M399,0)</f>
        <v>50</v>
      </c>
      <c r="O399" s="10" t="str">
        <f aca="false">IF(AND(G399="Engaging",J399&gt;Parâmetros!$B$6),"Sim","Não")</f>
        <v>Não</v>
      </c>
      <c r="P399" s="32" t="str">
        <f aca="false">IF(O399="Sim","R",IF(N399&gt;=Parâmetros!$B$39,"A",IF(N399&gt;=Parâmetros!$B$40,"B",IF(N399&gt;=Parâmetros!$B$41,"C","D"))))</f>
        <v>C</v>
      </c>
      <c r="Q399" s="10" t="str">
        <f aca="false">IF(F399="","Completar cadastro","")</f>
        <v>Completar cadastro</v>
      </c>
      <c r="R399" s="10" t="str">
        <f aca="false">INDEX(Parâmetros!$D$39:$D$43,MATCH(P399,Parâmetros!$A$39:$A$43,0))</f>
        <v>Cadência leve, foco em qualificar</v>
      </c>
    </row>
    <row r="400" customFormat="false" ht="15" hidden="false" customHeight="false" outlineLevel="0" collapsed="false">
      <c r="A400" s="10" t="s">
        <v>631</v>
      </c>
      <c r="B400" s="10" t="s">
        <v>79</v>
      </c>
      <c r="C400" s="10" t="s">
        <v>78</v>
      </c>
      <c r="D400" s="10" t="s">
        <v>196</v>
      </c>
      <c r="E400" s="10" t="s">
        <v>49</v>
      </c>
      <c r="F400" s="10"/>
      <c r="G400" s="10" t="s">
        <v>425</v>
      </c>
      <c r="H400" s="10"/>
      <c r="I400" s="8" t="n">
        <f aca="false">INDEX(Parâmetros!$C$13:$C$19,MATCH(E400,Parâmetros!$A$13:$A$19,0))</f>
        <v>3393</v>
      </c>
      <c r="J400" s="26" t="str">
        <f aca="false">IF(H400="","",Parâmetros!$B$5-H400)</f>
        <v/>
      </c>
      <c r="K400" s="10" t="n">
        <f aca="false">INDEX(Parâmetros!$D$13:$D$19,MATCH(E400,Parâmetros!$A$13:$A$19,0))</f>
        <v>40</v>
      </c>
      <c r="L400" s="26" t="n">
        <f aca="false">IF(G400="Prospecting",Parâmetros!$B$9,IF(J400&gt;Parâmetros!$B$6,0,INDEX(Parâmetros!$C$24:$C$26,MATCH(J400,Parâmetros!$A$24:$A$26,1))))</f>
        <v>10</v>
      </c>
      <c r="M400" s="31" t="n">
        <f aca="false">IF(G400="Prospecting",1,INDEX(Parâmetros!$C$32:$C$35,MATCH(J400,Parâmetros!$A$32:$A$35,1)))</f>
        <v>1</v>
      </c>
      <c r="N400" s="2" t="n">
        <f aca="false">ROUND((K400+L400)*M400,0)</f>
        <v>50</v>
      </c>
      <c r="O400" s="10" t="str">
        <f aca="false">IF(AND(G400="Engaging",J400&gt;Parâmetros!$B$6),"Sim","Não")</f>
        <v>Não</v>
      </c>
      <c r="P400" s="32" t="str">
        <f aca="false">IF(O400="Sim","R",IF(N400&gt;=Parâmetros!$B$39,"A",IF(N400&gt;=Parâmetros!$B$40,"B",IF(N400&gt;=Parâmetros!$B$41,"C","D"))))</f>
        <v>C</v>
      </c>
      <c r="Q400" s="10" t="str">
        <f aca="false">IF(F400="","Completar cadastro","")</f>
        <v>Completar cadastro</v>
      </c>
      <c r="R400" s="10" t="str">
        <f aca="false">INDEX(Parâmetros!$D$39:$D$43,MATCH(P400,Parâmetros!$A$39:$A$43,0))</f>
        <v>Cadência leve, foco em qualificar</v>
      </c>
    </row>
    <row r="401" customFormat="false" ht="15" hidden="false" customHeight="false" outlineLevel="0" collapsed="false">
      <c r="A401" s="10" t="s">
        <v>632</v>
      </c>
      <c r="B401" s="10" t="s">
        <v>79</v>
      </c>
      <c r="C401" s="10" t="s">
        <v>78</v>
      </c>
      <c r="D401" s="10" t="s">
        <v>196</v>
      </c>
      <c r="E401" s="10" t="s">
        <v>49</v>
      </c>
      <c r="F401" s="10"/>
      <c r="G401" s="10" t="s">
        <v>425</v>
      </c>
      <c r="H401" s="10"/>
      <c r="I401" s="8" t="n">
        <f aca="false">INDEX(Parâmetros!$C$13:$C$19,MATCH(E401,Parâmetros!$A$13:$A$19,0))</f>
        <v>3393</v>
      </c>
      <c r="J401" s="26" t="str">
        <f aca="false">IF(H401="","",Parâmetros!$B$5-H401)</f>
        <v/>
      </c>
      <c r="K401" s="10" t="n">
        <f aca="false">INDEX(Parâmetros!$D$13:$D$19,MATCH(E401,Parâmetros!$A$13:$A$19,0))</f>
        <v>40</v>
      </c>
      <c r="L401" s="26" t="n">
        <f aca="false">IF(G401="Prospecting",Parâmetros!$B$9,IF(J401&gt;Parâmetros!$B$6,0,INDEX(Parâmetros!$C$24:$C$26,MATCH(J401,Parâmetros!$A$24:$A$26,1))))</f>
        <v>10</v>
      </c>
      <c r="M401" s="31" t="n">
        <f aca="false">IF(G401="Prospecting",1,INDEX(Parâmetros!$C$32:$C$35,MATCH(J401,Parâmetros!$A$32:$A$35,1)))</f>
        <v>1</v>
      </c>
      <c r="N401" s="2" t="n">
        <f aca="false">ROUND((K401+L401)*M401,0)</f>
        <v>50</v>
      </c>
      <c r="O401" s="10" t="str">
        <f aca="false">IF(AND(G401="Engaging",J401&gt;Parâmetros!$B$6),"Sim","Não")</f>
        <v>Não</v>
      </c>
      <c r="P401" s="32" t="str">
        <f aca="false">IF(O401="Sim","R",IF(N401&gt;=Parâmetros!$B$39,"A",IF(N401&gt;=Parâmetros!$B$40,"B",IF(N401&gt;=Parâmetros!$B$41,"C","D"))))</f>
        <v>C</v>
      </c>
      <c r="Q401" s="10" t="str">
        <f aca="false">IF(F401="","Completar cadastro","")</f>
        <v>Completar cadastro</v>
      </c>
      <c r="R401" s="10" t="str">
        <f aca="false">INDEX(Parâmetros!$D$39:$D$43,MATCH(P401,Parâmetros!$A$39:$A$43,0))</f>
        <v>Cadência leve, foco em qualificar</v>
      </c>
    </row>
    <row r="402" customFormat="false" ht="15" hidden="false" customHeight="false" outlineLevel="0" collapsed="false">
      <c r="A402" s="10" t="s">
        <v>633</v>
      </c>
      <c r="B402" s="10" t="s">
        <v>79</v>
      </c>
      <c r="C402" s="10" t="s">
        <v>78</v>
      </c>
      <c r="D402" s="10" t="s">
        <v>196</v>
      </c>
      <c r="E402" s="10" t="s">
        <v>49</v>
      </c>
      <c r="F402" s="10"/>
      <c r="G402" s="10" t="s">
        <v>425</v>
      </c>
      <c r="H402" s="10"/>
      <c r="I402" s="8" t="n">
        <f aca="false">INDEX(Parâmetros!$C$13:$C$19,MATCH(E402,Parâmetros!$A$13:$A$19,0))</f>
        <v>3393</v>
      </c>
      <c r="J402" s="26" t="str">
        <f aca="false">IF(H402="","",Parâmetros!$B$5-H402)</f>
        <v/>
      </c>
      <c r="K402" s="10" t="n">
        <f aca="false">INDEX(Parâmetros!$D$13:$D$19,MATCH(E402,Parâmetros!$A$13:$A$19,0))</f>
        <v>40</v>
      </c>
      <c r="L402" s="26" t="n">
        <f aca="false">IF(G402="Prospecting",Parâmetros!$B$9,IF(J402&gt;Parâmetros!$B$6,0,INDEX(Parâmetros!$C$24:$C$26,MATCH(J402,Parâmetros!$A$24:$A$26,1))))</f>
        <v>10</v>
      </c>
      <c r="M402" s="31" t="n">
        <f aca="false">IF(G402="Prospecting",1,INDEX(Parâmetros!$C$32:$C$35,MATCH(J402,Parâmetros!$A$32:$A$35,1)))</f>
        <v>1</v>
      </c>
      <c r="N402" s="2" t="n">
        <f aca="false">ROUND((K402+L402)*M402,0)</f>
        <v>50</v>
      </c>
      <c r="O402" s="10" t="str">
        <f aca="false">IF(AND(G402="Engaging",J402&gt;Parâmetros!$B$6),"Sim","Não")</f>
        <v>Não</v>
      </c>
      <c r="P402" s="32" t="str">
        <f aca="false">IF(O402="Sim","R",IF(N402&gt;=Parâmetros!$B$39,"A",IF(N402&gt;=Parâmetros!$B$40,"B",IF(N402&gt;=Parâmetros!$B$41,"C","D"))))</f>
        <v>C</v>
      </c>
      <c r="Q402" s="10" t="str">
        <f aca="false">IF(F402="","Completar cadastro","")</f>
        <v>Completar cadastro</v>
      </c>
      <c r="R402" s="10" t="str">
        <f aca="false">INDEX(Parâmetros!$D$39:$D$43,MATCH(P402,Parâmetros!$A$39:$A$43,0))</f>
        <v>Cadência leve, foco em qualificar</v>
      </c>
    </row>
    <row r="403" customFormat="false" ht="15" hidden="false" customHeight="false" outlineLevel="0" collapsed="false">
      <c r="A403" s="10" t="s">
        <v>634</v>
      </c>
      <c r="B403" s="10" t="s">
        <v>80</v>
      </c>
      <c r="C403" s="10" t="s">
        <v>78</v>
      </c>
      <c r="D403" s="10" t="s">
        <v>196</v>
      </c>
      <c r="E403" s="10" t="s">
        <v>49</v>
      </c>
      <c r="F403" s="10"/>
      <c r="G403" s="10" t="s">
        <v>425</v>
      </c>
      <c r="H403" s="10"/>
      <c r="I403" s="8" t="n">
        <f aca="false">INDEX(Parâmetros!$C$13:$C$19,MATCH(E403,Parâmetros!$A$13:$A$19,0))</f>
        <v>3393</v>
      </c>
      <c r="J403" s="26" t="str">
        <f aca="false">IF(H403="","",Parâmetros!$B$5-H403)</f>
        <v/>
      </c>
      <c r="K403" s="10" t="n">
        <f aca="false">INDEX(Parâmetros!$D$13:$D$19,MATCH(E403,Parâmetros!$A$13:$A$19,0))</f>
        <v>40</v>
      </c>
      <c r="L403" s="26" t="n">
        <f aca="false">IF(G403="Prospecting",Parâmetros!$B$9,IF(J403&gt;Parâmetros!$B$6,0,INDEX(Parâmetros!$C$24:$C$26,MATCH(J403,Parâmetros!$A$24:$A$26,1))))</f>
        <v>10</v>
      </c>
      <c r="M403" s="31" t="n">
        <f aca="false">IF(G403="Prospecting",1,INDEX(Parâmetros!$C$32:$C$35,MATCH(J403,Parâmetros!$A$32:$A$35,1)))</f>
        <v>1</v>
      </c>
      <c r="N403" s="2" t="n">
        <f aca="false">ROUND((K403+L403)*M403,0)</f>
        <v>50</v>
      </c>
      <c r="O403" s="10" t="str">
        <f aca="false">IF(AND(G403="Engaging",J403&gt;Parâmetros!$B$6),"Sim","Não")</f>
        <v>Não</v>
      </c>
      <c r="P403" s="32" t="str">
        <f aca="false">IF(O403="Sim","R",IF(N403&gt;=Parâmetros!$B$39,"A",IF(N403&gt;=Parâmetros!$B$40,"B",IF(N403&gt;=Parâmetros!$B$41,"C","D"))))</f>
        <v>C</v>
      </c>
      <c r="Q403" s="10" t="str">
        <f aca="false">IF(F403="","Completar cadastro","")</f>
        <v>Completar cadastro</v>
      </c>
      <c r="R403" s="10" t="str">
        <f aca="false">INDEX(Parâmetros!$D$39:$D$43,MATCH(P403,Parâmetros!$A$39:$A$43,0))</f>
        <v>Cadência leve, foco em qualificar</v>
      </c>
    </row>
    <row r="404" customFormat="false" ht="15" hidden="false" customHeight="false" outlineLevel="0" collapsed="false">
      <c r="A404" s="10" t="s">
        <v>635</v>
      </c>
      <c r="B404" s="10" t="s">
        <v>74</v>
      </c>
      <c r="C404" s="10" t="s">
        <v>72</v>
      </c>
      <c r="D404" s="10" t="s">
        <v>196</v>
      </c>
      <c r="E404" s="10" t="s">
        <v>49</v>
      </c>
      <c r="F404" s="10" t="s">
        <v>437</v>
      </c>
      <c r="G404" s="10" t="s">
        <v>425</v>
      </c>
      <c r="H404" s="10"/>
      <c r="I404" s="8" t="n">
        <f aca="false">INDEX(Parâmetros!$C$13:$C$19,MATCH(E404,Parâmetros!$A$13:$A$19,0))</f>
        <v>3393</v>
      </c>
      <c r="J404" s="26" t="str">
        <f aca="false">IF(H404="","",Parâmetros!$B$5-H404)</f>
        <v/>
      </c>
      <c r="K404" s="10" t="n">
        <f aca="false">INDEX(Parâmetros!$D$13:$D$19,MATCH(E404,Parâmetros!$A$13:$A$19,0))</f>
        <v>40</v>
      </c>
      <c r="L404" s="26" t="n">
        <f aca="false">IF(G404="Prospecting",Parâmetros!$B$9,IF(J404&gt;Parâmetros!$B$6,0,INDEX(Parâmetros!$C$24:$C$26,MATCH(J404,Parâmetros!$A$24:$A$26,1))))</f>
        <v>10</v>
      </c>
      <c r="M404" s="31" t="n">
        <f aca="false">IF(G404="Prospecting",1,INDEX(Parâmetros!$C$32:$C$35,MATCH(J404,Parâmetros!$A$32:$A$35,1)))</f>
        <v>1</v>
      </c>
      <c r="N404" s="2" t="n">
        <f aca="false">ROUND((K404+L404)*M404,0)</f>
        <v>50</v>
      </c>
      <c r="O404" s="10" t="str">
        <f aca="false">IF(AND(G404="Engaging",J404&gt;Parâmetros!$B$6),"Sim","Não")</f>
        <v>Não</v>
      </c>
      <c r="P404" s="32" t="str">
        <f aca="false">IF(O404="Sim","R",IF(N404&gt;=Parâmetros!$B$39,"A",IF(N404&gt;=Parâmetros!$B$40,"B",IF(N404&gt;=Parâmetros!$B$41,"C","D"))))</f>
        <v>C</v>
      </c>
      <c r="Q404" s="10" t="str">
        <f aca="false">IF(F404="","Completar cadastro","")</f>
        <v/>
      </c>
      <c r="R404" s="10" t="str">
        <f aca="false">INDEX(Parâmetros!$D$39:$D$43,MATCH(P404,Parâmetros!$A$39:$A$43,0))</f>
        <v>Cadência leve, foco em qualificar</v>
      </c>
    </row>
    <row r="405" customFormat="false" ht="15" hidden="false" customHeight="false" outlineLevel="0" collapsed="false">
      <c r="A405" s="10" t="s">
        <v>636</v>
      </c>
      <c r="B405" s="10" t="s">
        <v>74</v>
      </c>
      <c r="C405" s="10" t="s">
        <v>72</v>
      </c>
      <c r="D405" s="10" t="s">
        <v>196</v>
      </c>
      <c r="E405" s="10" t="s">
        <v>49</v>
      </c>
      <c r="F405" s="10" t="s">
        <v>637</v>
      </c>
      <c r="G405" s="10" t="s">
        <v>425</v>
      </c>
      <c r="H405" s="10"/>
      <c r="I405" s="8" t="n">
        <f aca="false">INDEX(Parâmetros!$C$13:$C$19,MATCH(E405,Parâmetros!$A$13:$A$19,0))</f>
        <v>3393</v>
      </c>
      <c r="J405" s="26" t="str">
        <f aca="false">IF(H405="","",Parâmetros!$B$5-H405)</f>
        <v/>
      </c>
      <c r="K405" s="10" t="n">
        <f aca="false">INDEX(Parâmetros!$D$13:$D$19,MATCH(E405,Parâmetros!$A$13:$A$19,0))</f>
        <v>40</v>
      </c>
      <c r="L405" s="26" t="n">
        <f aca="false">IF(G405="Prospecting",Parâmetros!$B$9,IF(J405&gt;Parâmetros!$B$6,0,INDEX(Parâmetros!$C$24:$C$26,MATCH(J405,Parâmetros!$A$24:$A$26,1))))</f>
        <v>10</v>
      </c>
      <c r="M405" s="31" t="n">
        <f aca="false">IF(G405="Prospecting",1,INDEX(Parâmetros!$C$32:$C$35,MATCH(J405,Parâmetros!$A$32:$A$35,1)))</f>
        <v>1</v>
      </c>
      <c r="N405" s="2" t="n">
        <f aca="false">ROUND((K405+L405)*M405,0)</f>
        <v>50</v>
      </c>
      <c r="O405" s="10" t="str">
        <f aca="false">IF(AND(G405="Engaging",J405&gt;Parâmetros!$B$6),"Sim","Não")</f>
        <v>Não</v>
      </c>
      <c r="P405" s="32" t="str">
        <f aca="false">IF(O405="Sim","R",IF(N405&gt;=Parâmetros!$B$39,"A",IF(N405&gt;=Parâmetros!$B$40,"B",IF(N405&gt;=Parâmetros!$B$41,"C","D"))))</f>
        <v>C</v>
      </c>
      <c r="Q405" s="10" t="str">
        <f aca="false">IF(F405="","Completar cadastro","")</f>
        <v/>
      </c>
      <c r="R405" s="10" t="str">
        <f aca="false">INDEX(Parâmetros!$D$39:$D$43,MATCH(P405,Parâmetros!$A$39:$A$43,0))</f>
        <v>Cadência leve, foco em qualificar</v>
      </c>
    </row>
    <row r="406" customFormat="false" ht="15" hidden="false" customHeight="false" outlineLevel="0" collapsed="false">
      <c r="A406" s="10" t="s">
        <v>638</v>
      </c>
      <c r="B406" s="10" t="s">
        <v>74</v>
      </c>
      <c r="C406" s="10" t="s">
        <v>72</v>
      </c>
      <c r="D406" s="10" t="s">
        <v>196</v>
      </c>
      <c r="E406" s="10" t="s">
        <v>49</v>
      </c>
      <c r="F406" s="10" t="s">
        <v>267</v>
      </c>
      <c r="G406" s="10" t="s">
        <v>425</v>
      </c>
      <c r="H406" s="10"/>
      <c r="I406" s="8" t="n">
        <f aca="false">INDEX(Parâmetros!$C$13:$C$19,MATCH(E406,Parâmetros!$A$13:$A$19,0))</f>
        <v>3393</v>
      </c>
      <c r="J406" s="26" t="str">
        <f aca="false">IF(H406="","",Parâmetros!$B$5-H406)</f>
        <v/>
      </c>
      <c r="K406" s="10" t="n">
        <f aca="false">INDEX(Parâmetros!$D$13:$D$19,MATCH(E406,Parâmetros!$A$13:$A$19,0))</f>
        <v>40</v>
      </c>
      <c r="L406" s="26" t="n">
        <f aca="false">IF(G406="Prospecting",Parâmetros!$B$9,IF(J406&gt;Parâmetros!$B$6,0,INDEX(Parâmetros!$C$24:$C$26,MATCH(J406,Parâmetros!$A$24:$A$26,1))))</f>
        <v>10</v>
      </c>
      <c r="M406" s="31" t="n">
        <f aca="false">IF(G406="Prospecting",1,INDEX(Parâmetros!$C$32:$C$35,MATCH(J406,Parâmetros!$A$32:$A$35,1)))</f>
        <v>1</v>
      </c>
      <c r="N406" s="2" t="n">
        <f aca="false">ROUND((K406+L406)*M406,0)</f>
        <v>50</v>
      </c>
      <c r="O406" s="10" t="str">
        <f aca="false">IF(AND(G406="Engaging",J406&gt;Parâmetros!$B$6),"Sim","Não")</f>
        <v>Não</v>
      </c>
      <c r="P406" s="32" t="str">
        <f aca="false">IF(O406="Sim","R",IF(N406&gt;=Parâmetros!$B$39,"A",IF(N406&gt;=Parâmetros!$B$40,"B",IF(N406&gt;=Parâmetros!$B$41,"C","D"))))</f>
        <v>C</v>
      </c>
      <c r="Q406" s="10" t="str">
        <f aca="false">IF(F406="","Completar cadastro","")</f>
        <v/>
      </c>
      <c r="R406" s="10" t="str">
        <f aca="false">INDEX(Parâmetros!$D$39:$D$43,MATCH(P406,Parâmetros!$A$39:$A$43,0))</f>
        <v>Cadência leve, foco em qualificar</v>
      </c>
    </row>
    <row r="407" customFormat="false" ht="15" hidden="false" customHeight="false" outlineLevel="0" collapsed="false">
      <c r="A407" s="10" t="s">
        <v>639</v>
      </c>
      <c r="B407" s="10" t="s">
        <v>74</v>
      </c>
      <c r="C407" s="10" t="s">
        <v>72</v>
      </c>
      <c r="D407" s="10" t="s">
        <v>196</v>
      </c>
      <c r="E407" s="10" t="s">
        <v>49</v>
      </c>
      <c r="F407" s="10"/>
      <c r="G407" s="10" t="s">
        <v>425</v>
      </c>
      <c r="H407" s="10"/>
      <c r="I407" s="8" t="n">
        <f aca="false">INDEX(Parâmetros!$C$13:$C$19,MATCH(E407,Parâmetros!$A$13:$A$19,0))</f>
        <v>3393</v>
      </c>
      <c r="J407" s="26" t="str">
        <f aca="false">IF(H407="","",Parâmetros!$B$5-H407)</f>
        <v/>
      </c>
      <c r="K407" s="10" t="n">
        <f aca="false">INDEX(Parâmetros!$D$13:$D$19,MATCH(E407,Parâmetros!$A$13:$A$19,0))</f>
        <v>40</v>
      </c>
      <c r="L407" s="26" t="n">
        <f aca="false">IF(G407="Prospecting",Parâmetros!$B$9,IF(J407&gt;Parâmetros!$B$6,0,INDEX(Parâmetros!$C$24:$C$26,MATCH(J407,Parâmetros!$A$24:$A$26,1))))</f>
        <v>10</v>
      </c>
      <c r="M407" s="31" t="n">
        <f aca="false">IF(G407="Prospecting",1,INDEX(Parâmetros!$C$32:$C$35,MATCH(J407,Parâmetros!$A$32:$A$35,1)))</f>
        <v>1</v>
      </c>
      <c r="N407" s="2" t="n">
        <f aca="false">ROUND((K407+L407)*M407,0)</f>
        <v>50</v>
      </c>
      <c r="O407" s="10" t="str">
        <f aca="false">IF(AND(G407="Engaging",J407&gt;Parâmetros!$B$6),"Sim","Não")</f>
        <v>Não</v>
      </c>
      <c r="P407" s="32" t="str">
        <f aca="false">IF(O407="Sim","R",IF(N407&gt;=Parâmetros!$B$39,"A",IF(N407&gt;=Parâmetros!$B$40,"B",IF(N407&gt;=Parâmetros!$B$41,"C","D"))))</f>
        <v>C</v>
      </c>
      <c r="Q407" s="10" t="str">
        <f aca="false">IF(F407="","Completar cadastro","")</f>
        <v>Completar cadastro</v>
      </c>
      <c r="R407" s="10" t="str">
        <f aca="false">INDEX(Parâmetros!$D$39:$D$43,MATCH(P407,Parâmetros!$A$39:$A$43,0))</f>
        <v>Cadência leve, foco em qualificar</v>
      </c>
    </row>
    <row r="408" customFormat="false" ht="15" hidden="false" customHeight="false" outlineLevel="0" collapsed="false">
      <c r="A408" s="10" t="s">
        <v>640</v>
      </c>
      <c r="B408" s="10" t="s">
        <v>74</v>
      </c>
      <c r="C408" s="10" t="s">
        <v>72</v>
      </c>
      <c r="D408" s="10" t="s">
        <v>196</v>
      </c>
      <c r="E408" s="10" t="s">
        <v>49</v>
      </c>
      <c r="F408" s="10"/>
      <c r="G408" s="10" t="s">
        <v>425</v>
      </c>
      <c r="H408" s="10"/>
      <c r="I408" s="8" t="n">
        <f aca="false">INDEX(Parâmetros!$C$13:$C$19,MATCH(E408,Parâmetros!$A$13:$A$19,0))</f>
        <v>3393</v>
      </c>
      <c r="J408" s="26" t="str">
        <f aca="false">IF(H408="","",Parâmetros!$B$5-H408)</f>
        <v/>
      </c>
      <c r="K408" s="10" t="n">
        <f aca="false">INDEX(Parâmetros!$D$13:$D$19,MATCH(E408,Parâmetros!$A$13:$A$19,0))</f>
        <v>40</v>
      </c>
      <c r="L408" s="26" t="n">
        <f aca="false">IF(G408="Prospecting",Parâmetros!$B$9,IF(J408&gt;Parâmetros!$B$6,0,INDEX(Parâmetros!$C$24:$C$26,MATCH(J408,Parâmetros!$A$24:$A$26,1))))</f>
        <v>10</v>
      </c>
      <c r="M408" s="31" t="n">
        <f aca="false">IF(G408="Prospecting",1,INDEX(Parâmetros!$C$32:$C$35,MATCH(J408,Parâmetros!$A$32:$A$35,1)))</f>
        <v>1</v>
      </c>
      <c r="N408" s="2" t="n">
        <f aca="false">ROUND((K408+L408)*M408,0)</f>
        <v>50</v>
      </c>
      <c r="O408" s="10" t="str">
        <f aca="false">IF(AND(G408="Engaging",J408&gt;Parâmetros!$B$6),"Sim","Não")</f>
        <v>Não</v>
      </c>
      <c r="P408" s="32" t="str">
        <f aca="false">IF(O408="Sim","R",IF(N408&gt;=Parâmetros!$B$39,"A",IF(N408&gt;=Parâmetros!$B$40,"B",IF(N408&gt;=Parâmetros!$B$41,"C","D"))))</f>
        <v>C</v>
      </c>
      <c r="Q408" s="10" t="str">
        <f aca="false">IF(F408="","Completar cadastro","")</f>
        <v>Completar cadastro</v>
      </c>
      <c r="R408" s="10" t="str">
        <f aca="false">INDEX(Parâmetros!$D$39:$D$43,MATCH(P408,Parâmetros!$A$39:$A$43,0))</f>
        <v>Cadência leve, foco em qualificar</v>
      </c>
    </row>
    <row r="409" customFormat="false" ht="15" hidden="false" customHeight="false" outlineLevel="0" collapsed="false">
      <c r="A409" s="10" t="s">
        <v>641</v>
      </c>
      <c r="B409" s="10" t="s">
        <v>74</v>
      </c>
      <c r="C409" s="10" t="s">
        <v>72</v>
      </c>
      <c r="D409" s="10" t="s">
        <v>196</v>
      </c>
      <c r="E409" s="10" t="s">
        <v>49</v>
      </c>
      <c r="F409" s="10"/>
      <c r="G409" s="10" t="s">
        <v>425</v>
      </c>
      <c r="H409" s="10"/>
      <c r="I409" s="8" t="n">
        <f aca="false">INDEX(Parâmetros!$C$13:$C$19,MATCH(E409,Parâmetros!$A$13:$A$19,0))</f>
        <v>3393</v>
      </c>
      <c r="J409" s="26" t="str">
        <f aca="false">IF(H409="","",Parâmetros!$B$5-H409)</f>
        <v/>
      </c>
      <c r="K409" s="10" t="n">
        <f aca="false">INDEX(Parâmetros!$D$13:$D$19,MATCH(E409,Parâmetros!$A$13:$A$19,0))</f>
        <v>40</v>
      </c>
      <c r="L409" s="26" t="n">
        <f aca="false">IF(G409="Prospecting",Parâmetros!$B$9,IF(J409&gt;Parâmetros!$B$6,0,INDEX(Parâmetros!$C$24:$C$26,MATCH(J409,Parâmetros!$A$24:$A$26,1))))</f>
        <v>10</v>
      </c>
      <c r="M409" s="31" t="n">
        <f aca="false">IF(G409="Prospecting",1,INDEX(Parâmetros!$C$32:$C$35,MATCH(J409,Parâmetros!$A$32:$A$35,1)))</f>
        <v>1</v>
      </c>
      <c r="N409" s="2" t="n">
        <f aca="false">ROUND((K409+L409)*M409,0)</f>
        <v>50</v>
      </c>
      <c r="O409" s="10" t="str">
        <f aca="false">IF(AND(G409="Engaging",J409&gt;Parâmetros!$B$6),"Sim","Não")</f>
        <v>Não</v>
      </c>
      <c r="P409" s="32" t="str">
        <f aca="false">IF(O409="Sim","R",IF(N409&gt;=Parâmetros!$B$39,"A",IF(N409&gt;=Parâmetros!$B$40,"B",IF(N409&gt;=Parâmetros!$B$41,"C","D"))))</f>
        <v>C</v>
      </c>
      <c r="Q409" s="10" t="str">
        <f aca="false">IF(F409="","Completar cadastro","")</f>
        <v>Completar cadastro</v>
      </c>
      <c r="R409" s="10" t="str">
        <f aca="false">INDEX(Parâmetros!$D$39:$D$43,MATCH(P409,Parâmetros!$A$39:$A$43,0))</f>
        <v>Cadência leve, foco em qualificar</v>
      </c>
    </row>
    <row r="410" customFormat="false" ht="15" hidden="false" customHeight="false" outlineLevel="0" collapsed="false">
      <c r="A410" s="10" t="s">
        <v>642</v>
      </c>
      <c r="B410" s="10" t="s">
        <v>74</v>
      </c>
      <c r="C410" s="10" t="s">
        <v>72</v>
      </c>
      <c r="D410" s="10" t="s">
        <v>196</v>
      </c>
      <c r="E410" s="10" t="s">
        <v>49</v>
      </c>
      <c r="F410" s="10"/>
      <c r="G410" s="10" t="s">
        <v>425</v>
      </c>
      <c r="H410" s="10"/>
      <c r="I410" s="8" t="n">
        <f aca="false">INDEX(Parâmetros!$C$13:$C$19,MATCH(E410,Parâmetros!$A$13:$A$19,0))</f>
        <v>3393</v>
      </c>
      <c r="J410" s="26" t="str">
        <f aca="false">IF(H410="","",Parâmetros!$B$5-H410)</f>
        <v/>
      </c>
      <c r="K410" s="10" t="n">
        <f aca="false">INDEX(Parâmetros!$D$13:$D$19,MATCH(E410,Parâmetros!$A$13:$A$19,0))</f>
        <v>40</v>
      </c>
      <c r="L410" s="26" t="n">
        <f aca="false">IF(G410="Prospecting",Parâmetros!$B$9,IF(J410&gt;Parâmetros!$B$6,0,INDEX(Parâmetros!$C$24:$C$26,MATCH(J410,Parâmetros!$A$24:$A$26,1))))</f>
        <v>10</v>
      </c>
      <c r="M410" s="31" t="n">
        <f aca="false">IF(G410="Prospecting",1,INDEX(Parâmetros!$C$32:$C$35,MATCH(J410,Parâmetros!$A$32:$A$35,1)))</f>
        <v>1</v>
      </c>
      <c r="N410" s="2" t="n">
        <f aca="false">ROUND((K410+L410)*M410,0)</f>
        <v>50</v>
      </c>
      <c r="O410" s="10" t="str">
        <f aca="false">IF(AND(G410="Engaging",J410&gt;Parâmetros!$B$6),"Sim","Não")</f>
        <v>Não</v>
      </c>
      <c r="P410" s="32" t="str">
        <f aca="false">IF(O410="Sim","R",IF(N410&gt;=Parâmetros!$B$39,"A",IF(N410&gt;=Parâmetros!$B$40,"B",IF(N410&gt;=Parâmetros!$B$41,"C","D"))))</f>
        <v>C</v>
      </c>
      <c r="Q410" s="10" t="str">
        <f aca="false">IF(F410="","Completar cadastro","")</f>
        <v>Completar cadastro</v>
      </c>
      <c r="R410" s="10" t="str">
        <f aca="false">INDEX(Parâmetros!$D$39:$D$43,MATCH(P410,Parâmetros!$A$39:$A$43,0))</f>
        <v>Cadência leve, foco em qualificar</v>
      </c>
    </row>
    <row r="411" customFormat="false" ht="15" hidden="false" customHeight="false" outlineLevel="0" collapsed="false">
      <c r="A411" s="10" t="s">
        <v>643</v>
      </c>
      <c r="B411" s="10" t="s">
        <v>74</v>
      </c>
      <c r="C411" s="10" t="s">
        <v>72</v>
      </c>
      <c r="D411" s="10" t="s">
        <v>196</v>
      </c>
      <c r="E411" s="10" t="s">
        <v>49</v>
      </c>
      <c r="F411" s="10"/>
      <c r="G411" s="10" t="s">
        <v>425</v>
      </c>
      <c r="H411" s="10"/>
      <c r="I411" s="8" t="n">
        <f aca="false">INDEX(Parâmetros!$C$13:$C$19,MATCH(E411,Parâmetros!$A$13:$A$19,0))</f>
        <v>3393</v>
      </c>
      <c r="J411" s="26" t="str">
        <f aca="false">IF(H411="","",Parâmetros!$B$5-H411)</f>
        <v/>
      </c>
      <c r="K411" s="10" t="n">
        <f aca="false">INDEX(Parâmetros!$D$13:$D$19,MATCH(E411,Parâmetros!$A$13:$A$19,0))</f>
        <v>40</v>
      </c>
      <c r="L411" s="26" t="n">
        <f aca="false">IF(G411="Prospecting",Parâmetros!$B$9,IF(J411&gt;Parâmetros!$B$6,0,INDEX(Parâmetros!$C$24:$C$26,MATCH(J411,Parâmetros!$A$24:$A$26,1))))</f>
        <v>10</v>
      </c>
      <c r="M411" s="31" t="n">
        <f aca="false">IF(G411="Prospecting",1,INDEX(Parâmetros!$C$32:$C$35,MATCH(J411,Parâmetros!$A$32:$A$35,1)))</f>
        <v>1</v>
      </c>
      <c r="N411" s="2" t="n">
        <f aca="false">ROUND((K411+L411)*M411,0)</f>
        <v>50</v>
      </c>
      <c r="O411" s="10" t="str">
        <f aca="false">IF(AND(G411="Engaging",J411&gt;Parâmetros!$B$6),"Sim","Não")</f>
        <v>Não</v>
      </c>
      <c r="P411" s="32" t="str">
        <f aca="false">IF(O411="Sim","R",IF(N411&gt;=Parâmetros!$B$39,"A",IF(N411&gt;=Parâmetros!$B$40,"B",IF(N411&gt;=Parâmetros!$B$41,"C","D"))))</f>
        <v>C</v>
      </c>
      <c r="Q411" s="10" t="str">
        <f aca="false">IF(F411="","Completar cadastro","")</f>
        <v>Completar cadastro</v>
      </c>
      <c r="R411" s="10" t="str">
        <f aca="false">INDEX(Parâmetros!$D$39:$D$43,MATCH(P411,Parâmetros!$A$39:$A$43,0))</f>
        <v>Cadência leve, foco em qualificar</v>
      </c>
    </row>
    <row r="412" customFormat="false" ht="15" hidden="false" customHeight="false" outlineLevel="0" collapsed="false">
      <c r="A412" s="10" t="s">
        <v>644</v>
      </c>
      <c r="B412" s="10" t="s">
        <v>74</v>
      </c>
      <c r="C412" s="10" t="s">
        <v>72</v>
      </c>
      <c r="D412" s="10" t="s">
        <v>196</v>
      </c>
      <c r="E412" s="10" t="s">
        <v>49</v>
      </c>
      <c r="F412" s="10"/>
      <c r="G412" s="10" t="s">
        <v>425</v>
      </c>
      <c r="H412" s="10"/>
      <c r="I412" s="8" t="n">
        <f aca="false">INDEX(Parâmetros!$C$13:$C$19,MATCH(E412,Parâmetros!$A$13:$A$19,0))</f>
        <v>3393</v>
      </c>
      <c r="J412" s="26" t="str">
        <f aca="false">IF(H412="","",Parâmetros!$B$5-H412)</f>
        <v/>
      </c>
      <c r="K412" s="10" t="n">
        <f aca="false">INDEX(Parâmetros!$D$13:$D$19,MATCH(E412,Parâmetros!$A$13:$A$19,0))</f>
        <v>40</v>
      </c>
      <c r="L412" s="26" t="n">
        <f aca="false">IF(G412="Prospecting",Parâmetros!$B$9,IF(J412&gt;Parâmetros!$B$6,0,INDEX(Parâmetros!$C$24:$C$26,MATCH(J412,Parâmetros!$A$24:$A$26,1))))</f>
        <v>10</v>
      </c>
      <c r="M412" s="31" t="n">
        <f aca="false">IF(G412="Prospecting",1,INDEX(Parâmetros!$C$32:$C$35,MATCH(J412,Parâmetros!$A$32:$A$35,1)))</f>
        <v>1</v>
      </c>
      <c r="N412" s="2" t="n">
        <f aca="false">ROUND((K412+L412)*M412,0)</f>
        <v>50</v>
      </c>
      <c r="O412" s="10" t="str">
        <f aca="false">IF(AND(G412="Engaging",J412&gt;Parâmetros!$B$6),"Sim","Não")</f>
        <v>Não</v>
      </c>
      <c r="P412" s="32" t="str">
        <f aca="false">IF(O412="Sim","R",IF(N412&gt;=Parâmetros!$B$39,"A",IF(N412&gt;=Parâmetros!$B$40,"B",IF(N412&gt;=Parâmetros!$B$41,"C","D"))))</f>
        <v>C</v>
      </c>
      <c r="Q412" s="10" t="str">
        <f aca="false">IF(F412="","Completar cadastro","")</f>
        <v>Completar cadastro</v>
      </c>
      <c r="R412" s="10" t="str">
        <f aca="false">INDEX(Parâmetros!$D$39:$D$43,MATCH(P412,Parâmetros!$A$39:$A$43,0))</f>
        <v>Cadência leve, foco em qualificar</v>
      </c>
    </row>
    <row r="413" customFormat="false" ht="15" hidden="false" customHeight="false" outlineLevel="0" collapsed="false">
      <c r="A413" s="10" t="s">
        <v>645</v>
      </c>
      <c r="B413" s="10" t="s">
        <v>74</v>
      </c>
      <c r="C413" s="10" t="s">
        <v>72</v>
      </c>
      <c r="D413" s="10" t="s">
        <v>196</v>
      </c>
      <c r="E413" s="10" t="s">
        <v>49</v>
      </c>
      <c r="F413" s="10"/>
      <c r="G413" s="10" t="s">
        <v>425</v>
      </c>
      <c r="H413" s="10"/>
      <c r="I413" s="8" t="n">
        <f aca="false">INDEX(Parâmetros!$C$13:$C$19,MATCH(E413,Parâmetros!$A$13:$A$19,0))</f>
        <v>3393</v>
      </c>
      <c r="J413" s="26" t="str">
        <f aca="false">IF(H413="","",Parâmetros!$B$5-H413)</f>
        <v/>
      </c>
      <c r="K413" s="10" t="n">
        <f aca="false">INDEX(Parâmetros!$D$13:$D$19,MATCH(E413,Parâmetros!$A$13:$A$19,0))</f>
        <v>40</v>
      </c>
      <c r="L413" s="26" t="n">
        <f aca="false">IF(G413="Prospecting",Parâmetros!$B$9,IF(J413&gt;Parâmetros!$B$6,0,INDEX(Parâmetros!$C$24:$C$26,MATCH(J413,Parâmetros!$A$24:$A$26,1))))</f>
        <v>10</v>
      </c>
      <c r="M413" s="31" t="n">
        <f aca="false">IF(G413="Prospecting",1,INDEX(Parâmetros!$C$32:$C$35,MATCH(J413,Parâmetros!$A$32:$A$35,1)))</f>
        <v>1</v>
      </c>
      <c r="N413" s="2" t="n">
        <f aca="false">ROUND((K413+L413)*M413,0)</f>
        <v>50</v>
      </c>
      <c r="O413" s="10" t="str">
        <f aca="false">IF(AND(G413="Engaging",J413&gt;Parâmetros!$B$6),"Sim","Não")</f>
        <v>Não</v>
      </c>
      <c r="P413" s="32" t="str">
        <f aca="false">IF(O413="Sim","R",IF(N413&gt;=Parâmetros!$B$39,"A",IF(N413&gt;=Parâmetros!$B$40,"B",IF(N413&gt;=Parâmetros!$B$41,"C","D"))))</f>
        <v>C</v>
      </c>
      <c r="Q413" s="10" t="str">
        <f aca="false">IF(F413="","Completar cadastro","")</f>
        <v>Completar cadastro</v>
      </c>
      <c r="R413" s="10" t="str">
        <f aca="false">INDEX(Parâmetros!$D$39:$D$43,MATCH(P413,Parâmetros!$A$39:$A$43,0))</f>
        <v>Cadência leve, foco em qualificar</v>
      </c>
    </row>
    <row r="414" customFormat="false" ht="15" hidden="false" customHeight="false" outlineLevel="0" collapsed="false">
      <c r="A414" s="10" t="s">
        <v>646</v>
      </c>
      <c r="B414" s="10" t="s">
        <v>74</v>
      </c>
      <c r="C414" s="10" t="s">
        <v>72</v>
      </c>
      <c r="D414" s="10" t="s">
        <v>196</v>
      </c>
      <c r="E414" s="10" t="s">
        <v>49</v>
      </c>
      <c r="F414" s="10"/>
      <c r="G414" s="10" t="s">
        <v>425</v>
      </c>
      <c r="H414" s="10"/>
      <c r="I414" s="8" t="n">
        <f aca="false">INDEX(Parâmetros!$C$13:$C$19,MATCH(E414,Parâmetros!$A$13:$A$19,0))</f>
        <v>3393</v>
      </c>
      <c r="J414" s="26" t="str">
        <f aca="false">IF(H414="","",Parâmetros!$B$5-H414)</f>
        <v/>
      </c>
      <c r="K414" s="10" t="n">
        <f aca="false">INDEX(Parâmetros!$D$13:$D$19,MATCH(E414,Parâmetros!$A$13:$A$19,0))</f>
        <v>40</v>
      </c>
      <c r="L414" s="26" t="n">
        <f aca="false">IF(G414="Prospecting",Parâmetros!$B$9,IF(J414&gt;Parâmetros!$B$6,0,INDEX(Parâmetros!$C$24:$C$26,MATCH(J414,Parâmetros!$A$24:$A$26,1))))</f>
        <v>10</v>
      </c>
      <c r="M414" s="31" t="n">
        <f aca="false">IF(G414="Prospecting",1,INDEX(Parâmetros!$C$32:$C$35,MATCH(J414,Parâmetros!$A$32:$A$35,1)))</f>
        <v>1</v>
      </c>
      <c r="N414" s="2" t="n">
        <f aca="false">ROUND((K414+L414)*M414,0)</f>
        <v>50</v>
      </c>
      <c r="O414" s="10" t="str">
        <f aca="false">IF(AND(G414="Engaging",J414&gt;Parâmetros!$B$6),"Sim","Não")</f>
        <v>Não</v>
      </c>
      <c r="P414" s="32" t="str">
        <f aca="false">IF(O414="Sim","R",IF(N414&gt;=Parâmetros!$B$39,"A",IF(N414&gt;=Parâmetros!$B$40,"B",IF(N414&gt;=Parâmetros!$B$41,"C","D"))))</f>
        <v>C</v>
      </c>
      <c r="Q414" s="10" t="str">
        <f aca="false">IF(F414="","Completar cadastro","")</f>
        <v>Completar cadastro</v>
      </c>
      <c r="R414" s="10" t="str">
        <f aca="false">INDEX(Parâmetros!$D$39:$D$43,MATCH(P414,Parâmetros!$A$39:$A$43,0))</f>
        <v>Cadência leve, foco em qualificar</v>
      </c>
    </row>
    <row r="415" customFormat="false" ht="15" hidden="false" customHeight="false" outlineLevel="0" collapsed="false">
      <c r="A415" s="10" t="s">
        <v>647</v>
      </c>
      <c r="B415" s="10" t="s">
        <v>81</v>
      </c>
      <c r="C415" s="10" t="s">
        <v>78</v>
      </c>
      <c r="D415" s="10" t="s">
        <v>196</v>
      </c>
      <c r="E415" s="10" t="s">
        <v>49</v>
      </c>
      <c r="F415" s="10" t="s">
        <v>405</v>
      </c>
      <c r="G415" s="10" t="s">
        <v>425</v>
      </c>
      <c r="H415" s="10"/>
      <c r="I415" s="8" t="n">
        <f aca="false">INDEX(Parâmetros!$C$13:$C$19,MATCH(E415,Parâmetros!$A$13:$A$19,0))</f>
        <v>3393</v>
      </c>
      <c r="J415" s="26" t="str">
        <f aca="false">IF(H415="","",Parâmetros!$B$5-H415)</f>
        <v/>
      </c>
      <c r="K415" s="10" t="n">
        <f aca="false">INDEX(Parâmetros!$D$13:$D$19,MATCH(E415,Parâmetros!$A$13:$A$19,0))</f>
        <v>40</v>
      </c>
      <c r="L415" s="26" t="n">
        <f aca="false">IF(G415="Prospecting",Parâmetros!$B$9,IF(J415&gt;Parâmetros!$B$6,0,INDEX(Parâmetros!$C$24:$C$26,MATCH(J415,Parâmetros!$A$24:$A$26,1))))</f>
        <v>10</v>
      </c>
      <c r="M415" s="31" t="n">
        <f aca="false">IF(G415="Prospecting",1,INDEX(Parâmetros!$C$32:$C$35,MATCH(J415,Parâmetros!$A$32:$A$35,1)))</f>
        <v>1</v>
      </c>
      <c r="N415" s="2" t="n">
        <f aca="false">ROUND((K415+L415)*M415,0)</f>
        <v>50</v>
      </c>
      <c r="O415" s="10" t="str">
        <f aca="false">IF(AND(G415="Engaging",J415&gt;Parâmetros!$B$6),"Sim","Não")</f>
        <v>Não</v>
      </c>
      <c r="P415" s="32" t="str">
        <f aca="false">IF(O415="Sim","R",IF(N415&gt;=Parâmetros!$B$39,"A",IF(N415&gt;=Parâmetros!$B$40,"B",IF(N415&gt;=Parâmetros!$B$41,"C","D"))))</f>
        <v>C</v>
      </c>
      <c r="Q415" s="10" t="str">
        <f aca="false">IF(F415="","Completar cadastro","")</f>
        <v/>
      </c>
      <c r="R415" s="10" t="str">
        <f aca="false">INDEX(Parâmetros!$D$39:$D$43,MATCH(P415,Parâmetros!$A$39:$A$43,0))</f>
        <v>Cadência leve, foco em qualificar</v>
      </c>
    </row>
    <row r="416" customFormat="false" ht="15" hidden="false" customHeight="false" outlineLevel="0" collapsed="false">
      <c r="A416" s="10" t="s">
        <v>648</v>
      </c>
      <c r="B416" s="10" t="s">
        <v>81</v>
      </c>
      <c r="C416" s="10" t="s">
        <v>78</v>
      </c>
      <c r="D416" s="10" t="s">
        <v>196</v>
      </c>
      <c r="E416" s="10" t="s">
        <v>49</v>
      </c>
      <c r="F416" s="10" t="s">
        <v>210</v>
      </c>
      <c r="G416" s="10" t="s">
        <v>425</v>
      </c>
      <c r="H416" s="10"/>
      <c r="I416" s="8" t="n">
        <f aca="false">INDEX(Parâmetros!$C$13:$C$19,MATCH(E416,Parâmetros!$A$13:$A$19,0))</f>
        <v>3393</v>
      </c>
      <c r="J416" s="26" t="str">
        <f aca="false">IF(H416="","",Parâmetros!$B$5-H416)</f>
        <v/>
      </c>
      <c r="K416" s="10" t="n">
        <f aca="false">INDEX(Parâmetros!$D$13:$D$19,MATCH(E416,Parâmetros!$A$13:$A$19,0))</f>
        <v>40</v>
      </c>
      <c r="L416" s="26" t="n">
        <f aca="false">IF(G416="Prospecting",Parâmetros!$B$9,IF(J416&gt;Parâmetros!$B$6,0,INDEX(Parâmetros!$C$24:$C$26,MATCH(J416,Parâmetros!$A$24:$A$26,1))))</f>
        <v>10</v>
      </c>
      <c r="M416" s="31" t="n">
        <f aca="false">IF(G416="Prospecting",1,INDEX(Parâmetros!$C$32:$C$35,MATCH(J416,Parâmetros!$A$32:$A$35,1)))</f>
        <v>1</v>
      </c>
      <c r="N416" s="2" t="n">
        <f aca="false">ROUND((K416+L416)*M416,0)</f>
        <v>50</v>
      </c>
      <c r="O416" s="10" t="str">
        <f aca="false">IF(AND(G416="Engaging",J416&gt;Parâmetros!$B$6),"Sim","Não")</f>
        <v>Não</v>
      </c>
      <c r="P416" s="32" t="str">
        <f aca="false">IF(O416="Sim","R",IF(N416&gt;=Parâmetros!$B$39,"A",IF(N416&gt;=Parâmetros!$B$40,"B",IF(N416&gt;=Parâmetros!$B$41,"C","D"))))</f>
        <v>C</v>
      </c>
      <c r="Q416" s="10" t="str">
        <f aca="false">IF(F416="","Completar cadastro","")</f>
        <v/>
      </c>
      <c r="R416" s="10" t="str">
        <f aca="false">INDEX(Parâmetros!$D$39:$D$43,MATCH(P416,Parâmetros!$A$39:$A$43,0))</f>
        <v>Cadência leve, foco em qualificar</v>
      </c>
    </row>
    <row r="417" customFormat="false" ht="15" hidden="false" customHeight="false" outlineLevel="0" collapsed="false">
      <c r="A417" s="10" t="s">
        <v>649</v>
      </c>
      <c r="B417" s="10" t="s">
        <v>81</v>
      </c>
      <c r="C417" s="10" t="s">
        <v>78</v>
      </c>
      <c r="D417" s="10" t="s">
        <v>196</v>
      </c>
      <c r="E417" s="10" t="s">
        <v>49</v>
      </c>
      <c r="F417" s="10" t="s">
        <v>437</v>
      </c>
      <c r="G417" s="10" t="s">
        <v>425</v>
      </c>
      <c r="H417" s="10"/>
      <c r="I417" s="8" t="n">
        <f aca="false">INDEX(Parâmetros!$C$13:$C$19,MATCH(E417,Parâmetros!$A$13:$A$19,0))</f>
        <v>3393</v>
      </c>
      <c r="J417" s="26" t="str">
        <f aca="false">IF(H417="","",Parâmetros!$B$5-H417)</f>
        <v/>
      </c>
      <c r="K417" s="10" t="n">
        <f aca="false">INDEX(Parâmetros!$D$13:$D$19,MATCH(E417,Parâmetros!$A$13:$A$19,0))</f>
        <v>40</v>
      </c>
      <c r="L417" s="26" t="n">
        <f aca="false">IF(G417="Prospecting",Parâmetros!$B$9,IF(J417&gt;Parâmetros!$B$6,0,INDEX(Parâmetros!$C$24:$C$26,MATCH(J417,Parâmetros!$A$24:$A$26,1))))</f>
        <v>10</v>
      </c>
      <c r="M417" s="31" t="n">
        <f aca="false">IF(G417="Prospecting",1,INDEX(Parâmetros!$C$32:$C$35,MATCH(J417,Parâmetros!$A$32:$A$35,1)))</f>
        <v>1</v>
      </c>
      <c r="N417" s="2" t="n">
        <f aca="false">ROUND((K417+L417)*M417,0)</f>
        <v>50</v>
      </c>
      <c r="O417" s="10" t="str">
        <f aca="false">IF(AND(G417="Engaging",J417&gt;Parâmetros!$B$6),"Sim","Não")</f>
        <v>Não</v>
      </c>
      <c r="P417" s="32" t="str">
        <f aca="false">IF(O417="Sim","R",IF(N417&gt;=Parâmetros!$B$39,"A",IF(N417&gt;=Parâmetros!$B$40,"B",IF(N417&gt;=Parâmetros!$B$41,"C","D"))))</f>
        <v>C</v>
      </c>
      <c r="Q417" s="10" t="str">
        <f aca="false">IF(F417="","Completar cadastro","")</f>
        <v/>
      </c>
      <c r="R417" s="10" t="str">
        <f aca="false">INDEX(Parâmetros!$D$39:$D$43,MATCH(P417,Parâmetros!$A$39:$A$43,0))</f>
        <v>Cadência leve, foco em qualificar</v>
      </c>
    </row>
    <row r="418" customFormat="false" ht="15" hidden="false" customHeight="false" outlineLevel="0" collapsed="false">
      <c r="A418" s="10" t="s">
        <v>650</v>
      </c>
      <c r="B418" s="10" t="s">
        <v>81</v>
      </c>
      <c r="C418" s="10" t="s">
        <v>78</v>
      </c>
      <c r="D418" s="10" t="s">
        <v>196</v>
      </c>
      <c r="E418" s="10" t="s">
        <v>49</v>
      </c>
      <c r="F418" s="10" t="s">
        <v>247</v>
      </c>
      <c r="G418" s="10" t="s">
        <v>425</v>
      </c>
      <c r="H418" s="10"/>
      <c r="I418" s="8" t="n">
        <f aca="false">INDEX(Parâmetros!$C$13:$C$19,MATCH(E418,Parâmetros!$A$13:$A$19,0))</f>
        <v>3393</v>
      </c>
      <c r="J418" s="26" t="str">
        <f aca="false">IF(H418="","",Parâmetros!$B$5-H418)</f>
        <v/>
      </c>
      <c r="K418" s="10" t="n">
        <f aca="false">INDEX(Parâmetros!$D$13:$D$19,MATCH(E418,Parâmetros!$A$13:$A$19,0))</f>
        <v>40</v>
      </c>
      <c r="L418" s="26" t="n">
        <f aca="false">IF(G418="Prospecting",Parâmetros!$B$9,IF(J418&gt;Parâmetros!$B$6,0,INDEX(Parâmetros!$C$24:$C$26,MATCH(J418,Parâmetros!$A$24:$A$26,1))))</f>
        <v>10</v>
      </c>
      <c r="M418" s="31" t="n">
        <f aca="false">IF(G418="Prospecting",1,INDEX(Parâmetros!$C$32:$C$35,MATCH(J418,Parâmetros!$A$32:$A$35,1)))</f>
        <v>1</v>
      </c>
      <c r="N418" s="2" t="n">
        <f aca="false">ROUND((K418+L418)*M418,0)</f>
        <v>50</v>
      </c>
      <c r="O418" s="10" t="str">
        <f aca="false">IF(AND(G418="Engaging",J418&gt;Parâmetros!$B$6),"Sim","Não")</f>
        <v>Não</v>
      </c>
      <c r="P418" s="32" t="str">
        <f aca="false">IF(O418="Sim","R",IF(N418&gt;=Parâmetros!$B$39,"A",IF(N418&gt;=Parâmetros!$B$40,"B",IF(N418&gt;=Parâmetros!$B$41,"C","D"))))</f>
        <v>C</v>
      </c>
      <c r="Q418" s="10" t="str">
        <f aca="false">IF(F418="","Completar cadastro","")</f>
        <v/>
      </c>
      <c r="R418" s="10" t="str">
        <f aca="false">INDEX(Parâmetros!$D$39:$D$43,MATCH(P418,Parâmetros!$A$39:$A$43,0))</f>
        <v>Cadência leve, foco em qualificar</v>
      </c>
    </row>
    <row r="419" customFormat="false" ht="15" hidden="false" customHeight="false" outlineLevel="0" collapsed="false">
      <c r="A419" s="10" t="s">
        <v>651</v>
      </c>
      <c r="B419" s="10" t="s">
        <v>81</v>
      </c>
      <c r="C419" s="10" t="s">
        <v>78</v>
      </c>
      <c r="D419" s="10" t="s">
        <v>196</v>
      </c>
      <c r="E419" s="10" t="s">
        <v>49</v>
      </c>
      <c r="F419" s="10"/>
      <c r="G419" s="10" t="s">
        <v>425</v>
      </c>
      <c r="H419" s="10"/>
      <c r="I419" s="8" t="n">
        <f aca="false">INDEX(Parâmetros!$C$13:$C$19,MATCH(E419,Parâmetros!$A$13:$A$19,0))</f>
        <v>3393</v>
      </c>
      <c r="J419" s="26" t="str">
        <f aca="false">IF(H419="","",Parâmetros!$B$5-H419)</f>
        <v/>
      </c>
      <c r="K419" s="10" t="n">
        <f aca="false">INDEX(Parâmetros!$D$13:$D$19,MATCH(E419,Parâmetros!$A$13:$A$19,0))</f>
        <v>40</v>
      </c>
      <c r="L419" s="26" t="n">
        <f aca="false">IF(G419="Prospecting",Parâmetros!$B$9,IF(J419&gt;Parâmetros!$B$6,0,INDEX(Parâmetros!$C$24:$C$26,MATCH(J419,Parâmetros!$A$24:$A$26,1))))</f>
        <v>10</v>
      </c>
      <c r="M419" s="31" t="n">
        <f aca="false">IF(G419="Prospecting",1,INDEX(Parâmetros!$C$32:$C$35,MATCH(J419,Parâmetros!$A$32:$A$35,1)))</f>
        <v>1</v>
      </c>
      <c r="N419" s="2" t="n">
        <f aca="false">ROUND((K419+L419)*M419,0)</f>
        <v>50</v>
      </c>
      <c r="O419" s="10" t="str">
        <f aca="false">IF(AND(G419="Engaging",J419&gt;Parâmetros!$B$6),"Sim","Não")</f>
        <v>Não</v>
      </c>
      <c r="P419" s="32" t="str">
        <f aca="false">IF(O419="Sim","R",IF(N419&gt;=Parâmetros!$B$39,"A",IF(N419&gt;=Parâmetros!$B$40,"B",IF(N419&gt;=Parâmetros!$B$41,"C","D"))))</f>
        <v>C</v>
      </c>
      <c r="Q419" s="10" t="str">
        <f aca="false">IF(F419="","Completar cadastro","")</f>
        <v>Completar cadastro</v>
      </c>
      <c r="R419" s="10" t="str">
        <f aca="false">INDEX(Parâmetros!$D$39:$D$43,MATCH(P419,Parâmetros!$A$39:$A$43,0))</f>
        <v>Cadência leve, foco em qualificar</v>
      </c>
    </row>
    <row r="420" customFormat="false" ht="15" hidden="false" customHeight="false" outlineLevel="0" collapsed="false">
      <c r="A420" s="10" t="s">
        <v>652</v>
      </c>
      <c r="B420" s="10" t="s">
        <v>81</v>
      </c>
      <c r="C420" s="10" t="s">
        <v>78</v>
      </c>
      <c r="D420" s="10" t="s">
        <v>196</v>
      </c>
      <c r="E420" s="10" t="s">
        <v>49</v>
      </c>
      <c r="F420" s="10"/>
      <c r="G420" s="10" t="s">
        <v>425</v>
      </c>
      <c r="H420" s="10"/>
      <c r="I420" s="8" t="n">
        <f aca="false">INDEX(Parâmetros!$C$13:$C$19,MATCH(E420,Parâmetros!$A$13:$A$19,0))</f>
        <v>3393</v>
      </c>
      <c r="J420" s="26" t="str">
        <f aca="false">IF(H420="","",Parâmetros!$B$5-H420)</f>
        <v/>
      </c>
      <c r="K420" s="10" t="n">
        <f aca="false">INDEX(Parâmetros!$D$13:$D$19,MATCH(E420,Parâmetros!$A$13:$A$19,0))</f>
        <v>40</v>
      </c>
      <c r="L420" s="26" t="n">
        <f aca="false">IF(G420="Prospecting",Parâmetros!$B$9,IF(J420&gt;Parâmetros!$B$6,0,INDEX(Parâmetros!$C$24:$C$26,MATCH(J420,Parâmetros!$A$24:$A$26,1))))</f>
        <v>10</v>
      </c>
      <c r="M420" s="31" t="n">
        <f aca="false">IF(G420="Prospecting",1,INDEX(Parâmetros!$C$32:$C$35,MATCH(J420,Parâmetros!$A$32:$A$35,1)))</f>
        <v>1</v>
      </c>
      <c r="N420" s="2" t="n">
        <f aca="false">ROUND((K420+L420)*M420,0)</f>
        <v>50</v>
      </c>
      <c r="O420" s="10" t="str">
        <f aca="false">IF(AND(G420="Engaging",J420&gt;Parâmetros!$B$6),"Sim","Não")</f>
        <v>Não</v>
      </c>
      <c r="P420" s="32" t="str">
        <f aca="false">IF(O420="Sim","R",IF(N420&gt;=Parâmetros!$B$39,"A",IF(N420&gt;=Parâmetros!$B$40,"B",IF(N420&gt;=Parâmetros!$B$41,"C","D"))))</f>
        <v>C</v>
      </c>
      <c r="Q420" s="10" t="str">
        <f aca="false">IF(F420="","Completar cadastro","")</f>
        <v>Completar cadastro</v>
      </c>
      <c r="R420" s="10" t="str">
        <f aca="false">INDEX(Parâmetros!$D$39:$D$43,MATCH(P420,Parâmetros!$A$39:$A$43,0))</f>
        <v>Cadência leve, foco em qualificar</v>
      </c>
    </row>
    <row r="421" customFormat="false" ht="15" hidden="false" customHeight="false" outlineLevel="0" collapsed="false">
      <c r="A421" s="10" t="s">
        <v>653</v>
      </c>
      <c r="B421" s="10" t="s">
        <v>81</v>
      </c>
      <c r="C421" s="10" t="s">
        <v>78</v>
      </c>
      <c r="D421" s="10" t="s">
        <v>196</v>
      </c>
      <c r="E421" s="10" t="s">
        <v>49</v>
      </c>
      <c r="F421" s="10"/>
      <c r="G421" s="10" t="s">
        <v>425</v>
      </c>
      <c r="H421" s="10"/>
      <c r="I421" s="8" t="n">
        <f aca="false">INDEX(Parâmetros!$C$13:$C$19,MATCH(E421,Parâmetros!$A$13:$A$19,0))</f>
        <v>3393</v>
      </c>
      <c r="J421" s="26" t="str">
        <f aca="false">IF(H421="","",Parâmetros!$B$5-H421)</f>
        <v/>
      </c>
      <c r="K421" s="10" t="n">
        <f aca="false">INDEX(Parâmetros!$D$13:$D$19,MATCH(E421,Parâmetros!$A$13:$A$19,0))</f>
        <v>40</v>
      </c>
      <c r="L421" s="26" t="n">
        <f aca="false">IF(G421="Prospecting",Parâmetros!$B$9,IF(J421&gt;Parâmetros!$B$6,0,INDEX(Parâmetros!$C$24:$C$26,MATCH(J421,Parâmetros!$A$24:$A$26,1))))</f>
        <v>10</v>
      </c>
      <c r="M421" s="31" t="n">
        <f aca="false">IF(G421="Prospecting",1,INDEX(Parâmetros!$C$32:$C$35,MATCH(J421,Parâmetros!$A$32:$A$35,1)))</f>
        <v>1</v>
      </c>
      <c r="N421" s="2" t="n">
        <f aca="false">ROUND((K421+L421)*M421,0)</f>
        <v>50</v>
      </c>
      <c r="O421" s="10" t="str">
        <f aca="false">IF(AND(G421="Engaging",J421&gt;Parâmetros!$B$6),"Sim","Não")</f>
        <v>Não</v>
      </c>
      <c r="P421" s="32" t="str">
        <f aca="false">IF(O421="Sim","R",IF(N421&gt;=Parâmetros!$B$39,"A",IF(N421&gt;=Parâmetros!$B$40,"B",IF(N421&gt;=Parâmetros!$B$41,"C","D"))))</f>
        <v>C</v>
      </c>
      <c r="Q421" s="10" t="str">
        <f aca="false">IF(F421="","Completar cadastro","")</f>
        <v>Completar cadastro</v>
      </c>
      <c r="R421" s="10" t="str">
        <f aca="false">INDEX(Parâmetros!$D$39:$D$43,MATCH(P421,Parâmetros!$A$39:$A$43,0))</f>
        <v>Cadência leve, foco em qualificar</v>
      </c>
    </row>
    <row r="422" customFormat="false" ht="15" hidden="false" customHeight="false" outlineLevel="0" collapsed="false">
      <c r="A422" s="10" t="s">
        <v>654</v>
      </c>
      <c r="B422" s="10" t="s">
        <v>81</v>
      </c>
      <c r="C422" s="10" t="s">
        <v>78</v>
      </c>
      <c r="D422" s="10" t="s">
        <v>196</v>
      </c>
      <c r="E422" s="10" t="s">
        <v>49</v>
      </c>
      <c r="F422" s="10"/>
      <c r="G422" s="10" t="s">
        <v>425</v>
      </c>
      <c r="H422" s="10"/>
      <c r="I422" s="8" t="n">
        <f aca="false">INDEX(Parâmetros!$C$13:$C$19,MATCH(E422,Parâmetros!$A$13:$A$19,0))</f>
        <v>3393</v>
      </c>
      <c r="J422" s="26" t="str">
        <f aca="false">IF(H422="","",Parâmetros!$B$5-H422)</f>
        <v/>
      </c>
      <c r="K422" s="10" t="n">
        <f aca="false">INDEX(Parâmetros!$D$13:$D$19,MATCH(E422,Parâmetros!$A$13:$A$19,0))</f>
        <v>40</v>
      </c>
      <c r="L422" s="26" t="n">
        <f aca="false">IF(G422="Prospecting",Parâmetros!$B$9,IF(J422&gt;Parâmetros!$B$6,0,INDEX(Parâmetros!$C$24:$C$26,MATCH(J422,Parâmetros!$A$24:$A$26,1))))</f>
        <v>10</v>
      </c>
      <c r="M422" s="31" t="n">
        <f aca="false">IF(G422="Prospecting",1,INDEX(Parâmetros!$C$32:$C$35,MATCH(J422,Parâmetros!$A$32:$A$35,1)))</f>
        <v>1</v>
      </c>
      <c r="N422" s="2" t="n">
        <f aca="false">ROUND((K422+L422)*M422,0)</f>
        <v>50</v>
      </c>
      <c r="O422" s="10" t="str">
        <f aca="false">IF(AND(G422="Engaging",J422&gt;Parâmetros!$B$6),"Sim","Não")</f>
        <v>Não</v>
      </c>
      <c r="P422" s="32" t="str">
        <f aca="false">IF(O422="Sim","R",IF(N422&gt;=Parâmetros!$B$39,"A",IF(N422&gt;=Parâmetros!$B$40,"B",IF(N422&gt;=Parâmetros!$B$41,"C","D"))))</f>
        <v>C</v>
      </c>
      <c r="Q422" s="10" t="str">
        <f aca="false">IF(F422="","Completar cadastro","")</f>
        <v>Completar cadastro</v>
      </c>
      <c r="R422" s="10" t="str">
        <f aca="false">INDEX(Parâmetros!$D$39:$D$43,MATCH(P422,Parâmetros!$A$39:$A$43,0))</f>
        <v>Cadência leve, foco em qualificar</v>
      </c>
    </row>
    <row r="423" customFormat="false" ht="15" hidden="false" customHeight="false" outlineLevel="0" collapsed="false">
      <c r="A423" s="10" t="s">
        <v>655</v>
      </c>
      <c r="B423" s="10" t="s">
        <v>81</v>
      </c>
      <c r="C423" s="10" t="s">
        <v>78</v>
      </c>
      <c r="D423" s="10" t="s">
        <v>196</v>
      </c>
      <c r="E423" s="10" t="s">
        <v>49</v>
      </c>
      <c r="F423" s="10"/>
      <c r="G423" s="10" t="s">
        <v>425</v>
      </c>
      <c r="H423" s="10"/>
      <c r="I423" s="8" t="n">
        <f aca="false">INDEX(Parâmetros!$C$13:$C$19,MATCH(E423,Parâmetros!$A$13:$A$19,0))</f>
        <v>3393</v>
      </c>
      <c r="J423" s="26" t="str">
        <f aca="false">IF(H423="","",Parâmetros!$B$5-H423)</f>
        <v/>
      </c>
      <c r="K423" s="10" t="n">
        <f aca="false">INDEX(Parâmetros!$D$13:$D$19,MATCH(E423,Parâmetros!$A$13:$A$19,0))</f>
        <v>40</v>
      </c>
      <c r="L423" s="26" t="n">
        <f aca="false">IF(G423="Prospecting",Parâmetros!$B$9,IF(J423&gt;Parâmetros!$B$6,0,INDEX(Parâmetros!$C$24:$C$26,MATCH(J423,Parâmetros!$A$24:$A$26,1))))</f>
        <v>10</v>
      </c>
      <c r="M423" s="31" t="n">
        <f aca="false">IF(G423="Prospecting",1,INDEX(Parâmetros!$C$32:$C$35,MATCH(J423,Parâmetros!$A$32:$A$35,1)))</f>
        <v>1</v>
      </c>
      <c r="N423" s="2" t="n">
        <f aca="false">ROUND((K423+L423)*M423,0)</f>
        <v>50</v>
      </c>
      <c r="O423" s="10" t="str">
        <f aca="false">IF(AND(G423="Engaging",J423&gt;Parâmetros!$B$6),"Sim","Não")</f>
        <v>Não</v>
      </c>
      <c r="P423" s="32" t="str">
        <f aca="false">IF(O423="Sim","R",IF(N423&gt;=Parâmetros!$B$39,"A",IF(N423&gt;=Parâmetros!$B$40,"B",IF(N423&gt;=Parâmetros!$B$41,"C","D"))))</f>
        <v>C</v>
      </c>
      <c r="Q423" s="10" t="str">
        <f aca="false">IF(F423="","Completar cadastro","")</f>
        <v>Completar cadastro</v>
      </c>
      <c r="R423" s="10" t="str">
        <f aca="false">INDEX(Parâmetros!$D$39:$D$43,MATCH(P423,Parâmetros!$A$39:$A$43,0))</f>
        <v>Cadência leve, foco em qualificar</v>
      </c>
    </row>
    <row r="424" customFormat="false" ht="15" hidden="false" customHeight="false" outlineLevel="0" collapsed="false">
      <c r="A424" s="10" t="s">
        <v>656</v>
      </c>
      <c r="B424" s="10" t="s">
        <v>81</v>
      </c>
      <c r="C424" s="10" t="s">
        <v>78</v>
      </c>
      <c r="D424" s="10" t="s">
        <v>196</v>
      </c>
      <c r="E424" s="10" t="s">
        <v>49</v>
      </c>
      <c r="F424" s="10"/>
      <c r="G424" s="10" t="s">
        <v>425</v>
      </c>
      <c r="H424" s="10"/>
      <c r="I424" s="8" t="n">
        <f aca="false">INDEX(Parâmetros!$C$13:$C$19,MATCH(E424,Parâmetros!$A$13:$A$19,0))</f>
        <v>3393</v>
      </c>
      <c r="J424" s="26" t="str">
        <f aca="false">IF(H424="","",Parâmetros!$B$5-H424)</f>
        <v/>
      </c>
      <c r="K424" s="10" t="n">
        <f aca="false">INDEX(Parâmetros!$D$13:$D$19,MATCH(E424,Parâmetros!$A$13:$A$19,0))</f>
        <v>40</v>
      </c>
      <c r="L424" s="26" t="n">
        <f aca="false">IF(G424="Prospecting",Parâmetros!$B$9,IF(J424&gt;Parâmetros!$B$6,0,INDEX(Parâmetros!$C$24:$C$26,MATCH(J424,Parâmetros!$A$24:$A$26,1))))</f>
        <v>10</v>
      </c>
      <c r="M424" s="31" t="n">
        <f aca="false">IF(G424="Prospecting",1,INDEX(Parâmetros!$C$32:$C$35,MATCH(J424,Parâmetros!$A$32:$A$35,1)))</f>
        <v>1</v>
      </c>
      <c r="N424" s="2" t="n">
        <f aca="false">ROUND((K424+L424)*M424,0)</f>
        <v>50</v>
      </c>
      <c r="O424" s="10" t="str">
        <f aca="false">IF(AND(G424="Engaging",J424&gt;Parâmetros!$B$6),"Sim","Não")</f>
        <v>Não</v>
      </c>
      <c r="P424" s="32" t="str">
        <f aca="false">IF(O424="Sim","R",IF(N424&gt;=Parâmetros!$B$39,"A",IF(N424&gt;=Parâmetros!$B$40,"B",IF(N424&gt;=Parâmetros!$B$41,"C","D"))))</f>
        <v>C</v>
      </c>
      <c r="Q424" s="10" t="str">
        <f aca="false">IF(F424="","Completar cadastro","")</f>
        <v>Completar cadastro</v>
      </c>
      <c r="R424" s="10" t="str">
        <f aca="false">INDEX(Parâmetros!$D$39:$D$43,MATCH(P424,Parâmetros!$A$39:$A$43,0))</f>
        <v>Cadência leve, foco em qualificar</v>
      </c>
    </row>
    <row r="425" customFormat="false" ht="15" hidden="false" customHeight="false" outlineLevel="0" collapsed="false">
      <c r="A425" s="10" t="s">
        <v>657</v>
      </c>
      <c r="B425" s="10" t="s">
        <v>75</v>
      </c>
      <c r="C425" s="10" t="s">
        <v>72</v>
      </c>
      <c r="D425" s="10" t="s">
        <v>196</v>
      </c>
      <c r="E425" s="10" t="s">
        <v>49</v>
      </c>
      <c r="F425" s="10" t="s">
        <v>344</v>
      </c>
      <c r="G425" s="10" t="s">
        <v>425</v>
      </c>
      <c r="H425" s="10"/>
      <c r="I425" s="8" t="n">
        <f aca="false">INDEX(Parâmetros!$C$13:$C$19,MATCH(E425,Parâmetros!$A$13:$A$19,0))</f>
        <v>3393</v>
      </c>
      <c r="J425" s="26" t="str">
        <f aca="false">IF(H425="","",Parâmetros!$B$5-H425)</f>
        <v/>
      </c>
      <c r="K425" s="10" t="n">
        <f aca="false">INDEX(Parâmetros!$D$13:$D$19,MATCH(E425,Parâmetros!$A$13:$A$19,0))</f>
        <v>40</v>
      </c>
      <c r="L425" s="26" t="n">
        <f aca="false">IF(G425="Prospecting",Parâmetros!$B$9,IF(J425&gt;Parâmetros!$B$6,0,INDEX(Parâmetros!$C$24:$C$26,MATCH(J425,Parâmetros!$A$24:$A$26,1))))</f>
        <v>10</v>
      </c>
      <c r="M425" s="31" t="n">
        <f aca="false">IF(G425="Prospecting",1,INDEX(Parâmetros!$C$32:$C$35,MATCH(J425,Parâmetros!$A$32:$A$35,1)))</f>
        <v>1</v>
      </c>
      <c r="N425" s="2" t="n">
        <f aca="false">ROUND((K425+L425)*M425,0)</f>
        <v>50</v>
      </c>
      <c r="O425" s="10" t="str">
        <f aca="false">IF(AND(G425="Engaging",J425&gt;Parâmetros!$B$6),"Sim","Não")</f>
        <v>Não</v>
      </c>
      <c r="P425" s="32" t="str">
        <f aca="false">IF(O425="Sim","R",IF(N425&gt;=Parâmetros!$B$39,"A",IF(N425&gt;=Parâmetros!$B$40,"B",IF(N425&gt;=Parâmetros!$B$41,"C","D"))))</f>
        <v>C</v>
      </c>
      <c r="Q425" s="10" t="str">
        <f aca="false">IF(F425="","Completar cadastro","")</f>
        <v/>
      </c>
      <c r="R425" s="10" t="str">
        <f aca="false">INDEX(Parâmetros!$D$39:$D$43,MATCH(P425,Parâmetros!$A$39:$A$43,0))</f>
        <v>Cadência leve, foco em qualificar</v>
      </c>
    </row>
    <row r="426" customFormat="false" ht="15" hidden="false" customHeight="false" outlineLevel="0" collapsed="false">
      <c r="A426" s="10" t="s">
        <v>658</v>
      </c>
      <c r="B426" s="10" t="s">
        <v>75</v>
      </c>
      <c r="C426" s="10" t="s">
        <v>72</v>
      </c>
      <c r="D426" s="10" t="s">
        <v>196</v>
      </c>
      <c r="E426" s="10" t="s">
        <v>49</v>
      </c>
      <c r="F426" s="10" t="s">
        <v>359</v>
      </c>
      <c r="G426" s="10" t="s">
        <v>425</v>
      </c>
      <c r="H426" s="10"/>
      <c r="I426" s="8" t="n">
        <f aca="false">INDEX(Parâmetros!$C$13:$C$19,MATCH(E426,Parâmetros!$A$13:$A$19,0))</f>
        <v>3393</v>
      </c>
      <c r="J426" s="26" t="str">
        <f aca="false">IF(H426="","",Parâmetros!$B$5-H426)</f>
        <v/>
      </c>
      <c r="K426" s="10" t="n">
        <f aca="false">INDEX(Parâmetros!$D$13:$D$19,MATCH(E426,Parâmetros!$A$13:$A$19,0))</f>
        <v>40</v>
      </c>
      <c r="L426" s="26" t="n">
        <f aca="false">IF(G426="Prospecting",Parâmetros!$B$9,IF(J426&gt;Parâmetros!$B$6,0,INDEX(Parâmetros!$C$24:$C$26,MATCH(J426,Parâmetros!$A$24:$A$26,1))))</f>
        <v>10</v>
      </c>
      <c r="M426" s="31" t="n">
        <f aca="false">IF(G426="Prospecting",1,INDEX(Parâmetros!$C$32:$C$35,MATCH(J426,Parâmetros!$A$32:$A$35,1)))</f>
        <v>1</v>
      </c>
      <c r="N426" s="2" t="n">
        <f aca="false">ROUND((K426+L426)*M426,0)</f>
        <v>50</v>
      </c>
      <c r="O426" s="10" t="str">
        <f aca="false">IF(AND(G426="Engaging",J426&gt;Parâmetros!$B$6),"Sim","Não")</f>
        <v>Não</v>
      </c>
      <c r="P426" s="32" t="str">
        <f aca="false">IF(O426="Sim","R",IF(N426&gt;=Parâmetros!$B$39,"A",IF(N426&gt;=Parâmetros!$B$40,"B",IF(N426&gt;=Parâmetros!$B$41,"C","D"))))</f>
        <v>C</v>
      </c>
      <c r="Q426" s="10" t="str">
        <f aca="false">IF(F426="","Completar cadastro","")</f>
        <v/>
      </c>
      <c r="R426" s="10" t="str">
        <f aca="false">INDEX(Parâmetros!$D$39:$D$43,MATCH(P426,Parâmetros!$A$39:$A$43,0))</f>
        <v>Cadência leve, foco em qualificar</v>
      </c>
    </row>
    <row r="427" customFormat="false" ht="15" hidden="false" customHeight="false" outlineLevel="0" collapsed="false">
      <c r="A427" s="10" t="s">
        <v>659</v>
      </c>
      <c r="B427" s="10" t="s">
        <v>75</v>
      </c>
      <c r="C427" s="10" t="s">
        <v>72</v>
      </c>
      <c r="D427" s="10" t="s">
        <v>196</v>
      </c>
      <c r="E427" s="10" t="s">
        <v>49</v>
      </c>
      <c r="F427" s="10" t="s">
        <v>660</v>
      </c>
      <c r="G427" s="10" t="s">
        <v>425</v>
      </c>
      <c r="H427" s="10"/>
      <c r="I427" s="8" t="n">
        <f aca="false">INDEX(Parâmetros!$C$13:$C$19,MATCH(E427,Parâmetros!$A$13:$A$19,0))</f>
        <v>3393</v>
      </c>
      <c r="J427" s="26" t="str">
        <f aca="false">IF(H427="","",Parâmetros!$B$5-H427)</f>
        <v/>
      </c>
      <c r="K427" s="10" t="n">
        <f aca="false">INDEX(Parâmetros!$D$13:$D$19,MATCH(E427,Parâmetros!$A$13:$A$19,0))</f>
        <v>40</v>
      </c>
      <c r="L427" s="26" t="n">
        <f aca="false">IF(G427="Prospecting",Parâmetros!$B$9,IF(J427&gt;Parâmetros!$B$6,0,INDEX(Parâmetros!$C$24:$C$26,MATCH(J427,Parâmetros!$A$24:$A$26,1))))</f>
        <v>10</v>
      </c>
      <c r="M427" s="31" t="n">
        <f aca="false">IF(G427="Prospecting",1,INDEX(Parâmetros!$C$32:$C$35,MATCH(J427,Parâmetros!$A$32:$A$35,1)))</f>
        <v>1</v>
      </c>
      <c r="N427" s="2" t="n">
        <f aca="false">ROUND((K427+L427)*M427,0)</f>
        <v>50</v>
      </c>
      <c r="O427" s="10" t="str">
        <f aca="false">IF(AND(G427="Engaging",J427&gt;Parâmetros!$B$6),"Sim","Não")</f>
        <v>Não</v>
      </c>
      <c r="P427" s="32" t="str">
        <f aca="false">IF(O427="Sim","R",IF(N427&gt;=Parâmetros!$B$39,"A",IF(N427&gt;=Parâmetros!$B$40,"B",IF(N427&gt;=Parâmetros!$B$41,"C","D"))))</f>
        <v>C</v>
      </c>
      <c r="Q427" s="10" t="str">
        <f aca="false">IF(F427="","Completar cadastro","")</f>
        <v/>
      </c>
      <c r="R427" s="10" t="str">
        <f aca="false">INDEX(Parâmetros!$D$39:$D$43,MATCH(P427,Parâmetros!$A$39:$A$43,0))</f>
        <v>Cadência leve, foco em qualificar</v>
      </c>
    </row>
    <row r="428" customFormat="false" ht="15" hidden="false" customHeight="false" outlineLevel="0" collapsed="false">
      <c r="A428" s="10" t="s">
        <v>661</v>
      </c>
      <c r="B428" s="10" t="s">
        <v>75</v>
      </c>
      <c r="C428" s="10" t="s">
        <v>72</v>
      </c>
      <c r="D428" s="10" t="s">
        <v>196</v>
      </c>
      <c r="E428" s="10" t="s">
        <v>49</v>
      </c>
      <c r="F428" s="10"/>
      <c r="G428" s="10" t="s">
        <v>425</v>
      </c>
      <c r="H428" s="10"/>
      <c r="I428" s="8" t="n">
        <f aca="false">INDEX(Parâmetros!$C$13:$C$19,MATCH(E428,Parâmetros!$A$13:$A$19,0))</f>
        <v>3393</v>
      </c>
      <c r="J428" s="26" t="str">
        <f aca="false">IF(H428="","",Parâmetros!$B$5-H428)</f>
        <v/>
      </c>
      <c r="K428" s="10" t="n">
        <f aca="false">INDEX(Parâmetros!$D$13:$D$19,MATCH(E428,Parâmetros!$A$13:$A$19,0))</f>
        <v>40</v>
      </c>
      <c r="L428" s="26" t="n">
        <f aca="false">IF(G428="Prospecting",Parâmetros!$B$9,IF(J428&gt;Parâmetros!$B$6,0,INDEX(Parâmetros!$C$24:$C$26,MATCH(J428,Parâmetros!$A$24:$A$26,1))))</f>
        <v>10</v>
      </c>
      <c r="M428" s="31" t="n">
        <f aca="false">IF(G428="Prospecting",1,INDEX(Parâmetros!$C$32:$C$35,MATCH(J428,Parâmetros!$A$32:$A$35,1)))</f>
        <v>1</v>
      </c>
      <c r="N428" s="2" t="n">
        <f aca="false">ROUND((K428+L428)*M428,0)</f>
        <v>50</v>
      </c>
      <c r="O428" s="10" t="str">
        <f aca="false">IF(AND(G428="Engaging",J428&gt;Parâmetros!$B$6),"Sim","Não")</f>
        <v>Não</v>
      </c>
      <c r="P428" s="32" t="str">
        <f aca="false">IF(O428="Sim","R",IF(N428&gt;=Parâmetros!$B$39,"A",IF(N428&gt;=Parâmetros!$B$40,"B",IF(N428&gt;=Parâmetros!$B$41,"C","D"))))</f>
        <v>C</v>
      </c>
      <c r="Q428" s="10" t="str">
        <f aca="false">IF(F428="","Completar cadastro","")</f>
        <v>Completar cadastro</v>
      </c>
      <c r="R428" s="10" t="str">
        <f aca="false">INDEX(Parâmetros!$D$39:$D$43,MATCH(P428,Parâmetros!$A$39:$A$43,0))</f>
        <v>Cadência leve, foco em qualificar</v>
      </c>
    </row>
    <row r="429" customFormat="false" ht="15" hidden="false" customHeight="false" outlineLevel="0" collapsed="false">
      <c r="A429" s="10" t="s">
        <v>662</v>
      </c>
      <c r="B429" s="10" t="s">
        <v>75</v>
      </c>
      <c r="C429" s="10" t="s">
        <v>72</v>
      </c>
      <c r="D429" s="10" t="s">
        <v>196</v>
      </c>
      <c r="E429" s="10" t="s">
        <v>49</v>
      </c>
      <c r="F429" s="10"/>
      <c r="G429" s="10" t="s">
        <v>425</v>
      </c>
      <c r="H429" s="10"/>
      <c r="I429" s="8" t="n">
        <f aca="false">INDEX(Parâmetros!$C$13:$C$19,MATCH(E429,Parâmetros!$A$13:$A$19,0))</f>
        <v>3393</v>
      </c>
      <c r="J429" s="26" t="str">
        <f aca="false">IF(H429="","",Parâmetros!$B$5-H429)</f>
        <v/>
      </c>
      <c r="K429" s="10" t="n">
        <f aca="false">INDEX(Parâmetros!$D$13:$D$19,MATCH(E429,Parâmetros!$A$13:$A$19,0))</f>
        <v>40</v>
      </c>
      <c r="L429" s="26" t="n">
        <f aca="false">IF(G429="Prospecting",Parâmetros!$B$9,IF(J429&gt;Parâmetros!$B$6,0,INDEX(Parâmetros!$C$24:$C$26,MATCH(J429,Parâmetros!$A$24:$A$26,1))))</f>
        <v>10</v>
      </c>
      <c r="M429" s="31" t="n">
        <f aca="false">IF(G429="Prospecting",1,INDEX(Parâmetros!$C$32:$C$35,MATCH(J429,Parâmetros!$A$32:$A$35,1)))</f>
        <v>1</v>
      </c>
      <c r="N429" s="2" t="n">
        <f aca="false">ROUND((K429+L429)*M429,0)</f>
        <v>50</v>
      </c>
      <c r="O429" s="10" t="str">
        <f aca="false">IF(AND(G429="Engaging",J429&gt;Parâmetros!$B$6),"Sim","Não")</f>
        <v>Não</v>
      </c>
      <c r="P429" s="32" t="str">
        <f aca="false">IF(O429="Sim","R",IF(N429&gt;=Parâmetros!$B$39,"A",IF(N429&gt;=Parâmetros!$B$40,"B",IF(N429&gt;=Parâmetros!$B$41,"C","D"))))</f>
        <v>C</v>
      </c>
      <c r="Q429" s="10" t="str">
        <f aca="false">IF(F429="","Completar cadastro","")</f>
        <v>Completar cadastro</v>
      </c>
      <c r="R429" s="10" t="str">
        <f aca="false">INDEX(Parâmetros!$D$39:$D$43,MATCH(P429,Parâmetros!$A$39:$A$43,0))</f>
        <v>Cadência leve, foco em qualificar</v>
      </c>
    </row>
    <row r="430" customFormat="false" ht="15" hidden="false" customHeight="false" outlineLevel="0" collapsed="false">
      <c r="A430" s="10" t="s">
        <v>663</v>
      </c>
      <c r="B430" s="10" t="s">
        <v>75</v>
      </c>
      <c r="C430" s="10" t="s">
        <v>72</v>
      </c>
      <c r="D430" s="10" t="s">
        <v>196</v>
      </c>
      <c r="E430" s="10" t="s">
        <v>49</v>
      </c>
      <c r="F430" s="10"/>
      <c r="G430" s="10" t="s">
        <v>425</v>
      </c>
      <c r="H430" s="10"/>
      <c r="I430" s="8" t="n">
        <f aca="false">INDEX(Parâmetros!$C$13:$C$19,MATCH(E430,Parâmetros!$A$13:$A$19,0))</f>
        <v>3393</v>
      </c>
      <c r="J430" s="26" t="str">
        <f aca="false">IF(H430="","",Parâmetros!$B$5-H430)</f>
        <v/>
      </c>
      <c r="K430" s="10" t="n">
        <f aca="false">INDEX(Parâmetros!$D$13:$D$19,MATCH(E430,Parâmetros!$A$13:$A$19,0))</f>
        <v>40</v>
      </c>
      <c r="L430" s="26" t="n">
        <f aca="false">IF(G430="Prospecting",Parâmetros!$B$9,IF(J430&gt;Parâmetros!$B$6,0,INDEX(Parâmetros!$C$24:$C$26,MATCH(J430,Parâmetros!$A$24:$A$26,1))))</f>
        <v>10</v>
      </c>
      <c r="M430" s="31" t="n">
        <f aca="false">IF(G430="Prospecting",1,INDEX(Parâmetros!$C$32:$C$35,MATCH(J430,Parâmetros!$A$32:$A$35,1)))</f>
        <v>1</v>
      </c>
      <c r="N430" s="2" t="n">
        <f aca="false">ROUND((K430+L430)*M430,0)</f>
        <v>50</v>
      </c>
      <c r="O430" s="10" t="str">
        <f aca="false">IF(AND(G430="Engaging",J430&gt;Parâmetros!$B$6),"Sim","Não")</f>
        <v>Não</v>
      </c>
      <c r="P430" s="32" t="str">
        <f aca="false">IF(O430="Sim","R",IF(N430&gt;=Parâmetros!$B$39,"A",IF(N430&gt;=Parâmetros!$B$40,"B",IF(N430&gt;=Parâmetros!$B$41,"C","D"))))</f>
        <v>C</v>
      </c>
      <c r="Q430" s="10" t="str">
        <f aca="false">IF(F430="","Completar cadastro","")</f>
        <v>Completar cadastro</v>
      </c>
      <c r="R430" s="10" t="str">
        <f aca="false">INDEX(Parâmetros!$D$39:$D$43,MATCH(P430,Parâmetros!$A$39:$A$43,0))</f>
        <v>Cadência leve, foco em qualificar</v>
      </c>
    </row>
    <row r="431" customFormat="false" ht="15" hidden="false" customHeight="false" outlineLevel="0" collapsed="false">
      <c r="A431" s="10" t="s">
        <v>664</v>
      </c>
      <c r="B431" s="10" t="s">
        <v>75</v>
      </c>
      <c r="C431" s="10" t="s">
        <v>72</v>
      </c>
      <c r="D431" s="10" t="s">
        <v>196</v>
      </c>
      <c r="E431" s="10" t="s">
        <v>49</v>
      </c>
      <c r="F431" s="10"/>
      <c r="G431" s="10" t="s">
        <v>425</v>
      </c>
      <c r="H431" s="10"/>
      <c r="I431" s="8" t="n">
        <f aca="false">INDEX(Parâmetros!$C$13:$C$19,MATCH(E431,Parâmetros!$A$13:$A$19,0))</f>
        <v>3393</v>
      </c>
      <c r="J431" s="26" t="str">
        <f aca="false">IF(H431="","",Parâmetros!$B$5-H431)</f>
        <v/>
      </c>
      <c r="K431" s="10" t="n">
        <f aca="false">INDEX(Parâmetros!$D$13:$D$19,MATCH(E431,Parâmetros!$A$13:$A$19,0))</f>
        <v>40</v>
      </c>
      <c r="L431" s="26" t="n">
        <f aca="false">IF(G431="Prospecting",Parâmetros!$B$9,IF(J431&gt;Parâmetros!$B$6,0,INDEX(Parâmetros!$C$24:$C$26,MATCH(J431,Parâmetros!$A$24:$A$26,1))))</f>
        <v>10</v>
      </c>
      <c r="M431" s="31" t="n">
        <f aca="false">IF(G431="Prospecting",1,INDEX(Parâmetros!$C$32:$C$35,MATCH(J431,Parâmetros!$A$32:$A$35,1)))</f>
        <v>1</v>
      </c>
      <c r="N431" s="2" t="n">
        <f aca="false">ROUND((K431+L431)*M431,0)</f>
        <v>50</v>
      </c>
      <c r="O431" s="10" t="str">
        <f aca="false">IF(AND(G431="Engaging",J431&gt;Parâmetros!$B$6),"Sim","Não")</f>
        <v>Não</v>
      </c>
      <c r="P431" s="32" t="str">
        <f aca="false">IF(O431="Sim","R",IF(N431&gt;=Parâmetros!$B$39,"A",IF(N431&gt;=Parâmetros!$B$40,"B",IF(N431&gt;=Parâmetros!$B$41,"C","D"))))</f>
        <v>C</v>
      </c>
      <c r="Q431" s="10" t="str">
        <f aca="false">IF(F431="","Completar cadastro","")</f>
        <v>Completar cadastro</v>
      </c>
      <c r="R431" s="10" t="str">
        <f aca="false">INDEX(Parâmetros!$D$39:$D$43,MATCH(P431,Parâmetros!$A$39:$A$43,0))</f>
        <v>Cadência leve, foco em qualificar</v>
      </c>
    </row>
    <row r="432" customFormat="false" ht="15" hidden="false" customHeight="false" outlineLevel="0" collapsed="false">
      <c r="A432" s="10" t="s">
        <v>665</v>
      </c>
      <c r="B432" s="10" t="s">
        <v>75</v>
      </c>
      <c r="C432" s="10" t="s">
        <v>72</v>
      </c>
      <c r="D432" s="10" t="s">
        <v>196</v>
      </c>
      <c r="E432" s="10" t="s">
        <v>49</v>
      </c>
      <c r="F432" s="10"/>
      <c r="G432" s="10" t="s">
        <v>425</v>
      </c>
      <c r="H432" s="10"/>
      <c r="I432" s="8" t="n">
        <f aca="false">INDEX(Parâmetros!$C$13:$C$19,MATCH(E432,Parâmetros!$A$13:$A$19,0))</f>
        <v>3393</v>
      </c>
      <c r="J432" s="26" t="str">
        <f aca="false">IF(H432="","",Parâmetros!$B$5-H432)</f>
        <v/>
      </c>
      <c r="K432" s="10" t="n">
        <f aca="false">INDEX(Parâmetros!$D$13:$D$19,MATCH(E432,Parâmetros!$A$13:$A$19,0))</f>
        <v>40</v>
      </c>
      <c r="L432" s="26" t="n">
        <f aca="false">IF(G432="Prospecting",Parâmetros!$B$9,IF(J432&gt;Parâmetros!$B$6,0,INDEX(Parâmetros!$C$24:$C$26,MATCH(J432,Parâmetros!$A$24:$A$26,1))))</f>
        <v>10</v>
      </c>
      <c r="M432" s="31" t="n">
        <f aca="false">IF(G432="Prospecting",1,INDEX(Parâmetros!$C$32:$C$35,MATCH(J432,Parâmetros!$A$32:$A$35,1)))</f>
        <v>1</v>
      </c>
      <c r="N432" s="2" t="n">
        <f aca="false">ROUND((K432+L432)*M432,0)</f>
        <v>50</v>
      </c>
      <c r="O432" s="10" t="str">
        <f aca="false">IF(AND(G432="Engaging",J432&gt;Parâmetros!$B$6),"Sim","Não")</f>
        <v>Não</v>
      </c>
      <c r="P432" s="32" t="str">
        <f aca="false">IF(O432="Sim","R",IF(N432&gt;=Parâmetros!$B$39,"A",IF(N432&gt;=Parâmetros!$B$40,"B",IF(N432&gt;=Parâmetros!$B$41,"C","D"))))</f>
        <v>C</v>
      </c>
      <c r="Q432" s="10" t="str">
        <f aca="false">IF(F432="","Completar cadastro","")</f>
        <v>Completar cadastro</v>
      </c>
      <c r="R432" s="10" t="str">
        <f aca="false">INDEX(Parâmetros!$D$39:$D$43,MATCH(P432,Parâmetros!$A$39:$A$43,0))</f>
        <v>Cadência leve, foco em qualificar</v>
      </c>
    </row>
    <row r="433" customFormat="false" ht="15" hidden="false" customHeight="false" outlineLevel="0" collapsed="false">
      <c r="A433" s="10" t="s">
        <v>666</v>
      </c>
      <c r="B433" s="10" t="s">
        <v>75</v>
      </c>
      <c r="C433" s="10" t="s">
        <v>72</v>
      </c>
      <c r="D433" s="10" t="s">
        <v>196</v>
      </c>
      <c r="E433" s="10" t="s">
        <v>49</v>
      </c>
      <c r="F433" s="10"/>
      <c r="G433" s="10" t="s">
        <v>425</v>
      </c>
      <c r="H433" s="10"/>
      <c r="I433" s="8" t="n">
        <f aca="false">INDEX(Parâmetros!$C$13:$C$19,MATCH(E433,Parâmetros!$A$13:$A$19,0))</f>
        <v>3393</v>
      </c>
      <c r="J433" s="26" t="str">
        <f aca="false">IF(H433="","",Parâmetros!$B$5-H433)</f>
        <v/>
      </c>
      <c r="K433" s="10" t="n">
        <f aca="false">INDEX(Parâmetros!$D$13:$D$19,MATCH(E433,Parâmetros!$A$13:$A$19,0))</f>
        <v>40</v>
      </c>
      <c r="L433" s="26" t="n">
        <f aca="false">IF(G433="Prospecting",Parâmetros!$B$9,IF(J433&gt;Parâmetros!$B$6,0,INDEX(Parâmetros!$C$24:$C$26,MATCH(J433,Parâmetros!$A$24:$A$26,1))))</f>
        <v>10</v>
      </c>
      <c r="M433" s="31" t="n">
        <f aca="false">IF(G433="Prospecting",1,INDEX(Parâmetros!$C$32:$C$35,MATCH(J433,Parâmetros!$A$32:$A$35,1)))</f>
        <v>1</v>
      </c>
      <c r="N433" s="2" t="n">
        <f aca="false">ROUND((K433+L433)*M433,0)</f>
        <v>50</v>
      </c>
      <c r="O433" s="10" t="str">
        <f aca="false">IF(AND(G433="Engaging",J433&gt;Parâmetros!$B$6),"Sim","Não")</f>
        <v>Não</v>
      </c>
      <c r="P433" s="32" t="str">
        <f aca="false">IF(O433="Sim","R",IF(N433&gt;=Parâmetros!$B$39,"A",IF(N433&gt;=Parâmetros!$B$40,"B",IF(N433&gt;=Parâmetros!$B$41,"C","D"))))</f>
        <v>C</v>
      </c>
      <c r="Q433" s="10" t="str">
        <f aca="false">IF(F433="","Completar cadastro","")</f>
        <v>Completar cadastro</v>
      </c>
      <c r="R433" s="10" t="str">
        <f aca="false">INDEX(Parâmetros!$D$39:$D$43,MATCH(P433,Parâmetros!$A$39:$A$43,0))</f>
        <v>Cadência leve, foco em qualificar</v>
      </c>
    </row>
    <row r="434" customFormat="false" ht="15" hidden="false" customHeight="false" outlineLevel="0" collapsed="false">
      <c r="A434" s="10" t="s">
        <v>667</v>
      </c>
      <c r="B434" s="10" t="s">
        <v>75</v>
      </c>
      <c r="C434" s="10" t="s">
        <v>72</v>
      </c>
      <c r="D434" s="10" t="s">
        <v>196</v>
      </c>
      <c r="E434" s="10" t="s">
        <v>49</v>
      </c>
      <c r="F434" s="10"/>
      <c r="G434" s="10" t="s">
        <v>425</v>
      </c>
      <c r="H434" s="10"/>
      <c r="I434" s="8" t="n">
        <f aca="false">INDEX(Parâmetros!$C$13:$C$19,MATCH(E434,Parâmetros!$A$13:$A$19,0))</f>
        <v>3393</v>
      </c>
      <c r="J434" s="26" t="str">
        <f aca="false">IF(H434="","",Parâmetros!$B$5-H434)</f>
        <v/>
      </c>
      <c r="K434" s="10" t="n">
        <f aca="false">INDEX(Parâmetros!$D$13:$D$19,MATCH(E434,Parâmetros!$A$13:$A$19,0))</f>
        <v>40</v>
      </c>
      <c r="L434" s="26" t="n">
        <f aca="false">IF(G434="Prospecting",Parâmetros!$B$9,IF(J434&gt;Parâmetros!$B$6,0,INDEX(Parâmetros!$C$24:$C$26,MATCH(J434,Parâmetros!$A$24:$A$26,1))))</f>
        <v>10</v>
      </c>
      <c r="M434" s="31" t="n">
        <f aca="false">IF(G434="Prospecting",1,INDEX(Parâmetros!$C$32:$C$35,MATCH(J434,Parâmetros!$A$32:$A$35,1)))</f>
        <v>1</v>
      </c>
      <c r="N434" s="2" t="n">
        <f aca="false">ROUND((K434+L434)*M434,0)</f>
        <v>50</v>
      </c>
      <c r="O434" s="10" t="str">
        <f aca="false">IF(AND(G434="Engaging",J434&gt;Parâmetros!$B$6),"Sim","Não")</f>
        <v>Não</v>
      </c>
      <c r="P434" s="32" t="str">
        <f aca="false">IF(O434="Sim","R",IF(N434&gt;=Parâmetros!$B$39,"A",IF(N434&gt;=Parâmetros!$B$40,"B",IF(N434&gt;=Parâmetros!$B$41,"C","D"))))</f>
        <v>C</v>
      </c>
      <c r="Q434" s="10" t="str">
        <f aca="false">IF(F434="","Completar cadastro","")</f>
        <v>Completar cadastro</v>
      </c>
      <c r="R434" s="10" t="str">
        <f aca="false">INDEX(Parâmetros!$D$39:$D$43,MATCH(P434,Parâmetros!$A$39:$A$43,0))</f>
        <v>Cadência leve, foco em qualificar</v>
      </c>
    </row>
    <row r="435" customFormat="false" ht="15" hidden="false" customHeight="false" outlineLevel="0" collapsed="false">
      <c r="A435" s="10" t="s">
        <v>668</v>
      </c>
      <c r="B435" s="10" t="s">
        <v>75</v>
      </c>
      <c r="C435" s="10" t="s">
        <v>72</v>
      </c>
      <c r="D435" s="10" t="s">
        <v>196</v>
      </c>
      <c r="E435" s="10" t="s">
        <v>49</v>
      </c>
      <c r="F435" s="10"/>
      <c r="G435" s="10" t="s">
        <v>425</v>
      </c>
      <c r="H435" s="10"/>
      <c r="I435" s="8" t="n">
        <f aca="false">INDEX(Parâmetros!$C$13:$C$19,MATCH(E435,Parâmetros!$A$13:$A$19,0))</f>
        <v>3393</v>
      </c>
      <c r="J435" s="26" t="str">
        <f aca="false">IF(H435="","",Parâmetros!$B$5-H435)</f>
        <v/>
      </c>
      <c r="K435" s="10" t="n">
        <f aca="false">INDEX(Parâmetros!$D$13:$D$19,MATCH(E435,Parâmetros!$A$13:$A$19,0))</f>
        <v>40</v>
      </c>
      <c r="L435" s="26" t="n">
        <f aca="false">IF(G435="Prospecting",Parâmetros!$B$9,IF(J435&gt;Parâmetros!$B$6,0,INDEX(Parâmetros!$C$24:$C$26,MATCH(J435,Parâmetros!$A$24:$A$26,1))))</f>
        <v>10</v>
      </c>
      <c r="M435" s="31" t="n">
        <f aca="false">IF(G435="Prospecting",1,INDEX(Parâmetros!$C$32:$C$35,MATCH(J435,Parâmetros!$A$32:$A$35,1)))</f>
        <v>1</v>
      </c>
      <c r="N435" s="2" t="n">
        <f aca="false">ROUND((K435+L435)*M435,0)</f>
        <v>50</v>
      </c>
      <c r="O435" s="10" t="str">
        <f aca="false">IF(AND(G435="Engaging",J435&gt;Parâmetros!$B$6),"Sim","Não")</f>
        <v>Não</v>
      </c>
      <c r="P435" s="32" t="str">
        <f aca="false">IF(O435="Sim","R",IF(N435&gt;=Parâmetros!$B$39,"A",IF(N435&gt;=Parâmetros!$B$40,"B",IF(N435&gt;=Parâmetros!$B$41,"C","D"))))</f>
        <v>C</v>
      </c>
      <c r="Q435" s="10" t="str">
        <f aca="false">IF(F435="","Completar cadastro","")</f>
        <v>Completar cadastro</v>
      </c>
      <c r="R435" s="10" t="str">
        <f aca="false">INDEX(Parâmetros!$D$39:$D$43,MATCH(P435,Parâmetros!$A$39:$A$43,0))</f>
        <v>Cadência leve, foco em qualificar</v>
      </c>
    </row>
    <row r="436" customFormat="false" ht="15" hidden="false" customHeight="false" outlineLevel="0" collapsed="false">
      <c r="A436" s="10" t="s">
        <v>669</v>
      </c>
      <c r="B436" s="10" t="s">
        <v>75</v>
      </c>
      <c r="C436" s="10" t="s">
        <v>72</v>
      </c>
      <c r="D436" s="10" t="s">
        <v>196</v>
      </c>
      <c r="E436" s="10" t="s">
        <v>49</v>
      </c>
      <c r="F436" s="10"/>
      <c r="G436" s="10" t="s">
        <v>425</v>
      </c>
      <c r="H436" s="10"/>
      <c r="I436" s="8" t="n">
        <f aca="false">INDEX(Parâmetros!$C$13:$C$19,MATCH(E436,Parâmetros!$A$13:$A$19,0))</f>
        <v>3393</v>
      </c>
      <c r="J436" s="26" t="str">
        <f aca="false">IF(H436="","",Parâmetros!$B$5-H436)</f>
        <v/>
      </c>
      <c r="K436" s="10" t="n">
        <f aca="false">INDEX(Parâmetros!$D$13:$D$19,MATCH(E436,Parâmetros!$A$13:$A$19,0))</f>
        <v>40</v>
      </c>
      <c r="L436" s="26" t="n">
        <f aca="false">IF(G436="Prospecting",Parâmetros!$B$9,IF(J436&gt;Parâmetros!$B$6,0,INDEX(Parâmetros!$C$24:$C$26,MATCH(J436,Parâmetros!$A$24:$A$26,1))))</f>
        <v>10</v>
      </c>
      <c r="M436" s="31" t="n">
        <f aca="false">IF(G436="Prospecting",1,INDEX(Parâmetros!$C$32:$C$35,MATCH(J436,Parâmetros!$A$32:$A$35,1)))</f>
        <v>1</v>
      </c>
      <c r="N436" s="2" t="n">
        <f aca="false">ROUND((K436+L436)*M436,0)</f>
        <v>50</v>
      </c>
      <c r="O436" s="10" t="str">
        <f aca="false">IF(AND(G436="Engaging",J436&gt;Parâmetros!$B$6),"Sim","Não")</f>
        <v>Não</v>
      </c>
      <c r="P436" s="32" t="str">
        <f aca="false">IF(O436="Sim","R",IF(N436&gt;=Parâmetros!$B$39,"A",IF(N436&gt;=Parâmetros!$B$40,"B",IF(N436&gt;=Parâmetros!$B$41,"C","D"))))</f>
        <v>C</v>
      </c>
      <c r="Q436" s="10" t="str">
        <f aca="false">IF(F436="","Completar cadastro","")</f>
        <v>Completar cadastro</v>
      </c>
      <c r="R436" s="10" t="str">
        <f aca="false">INDEX(Parâmetros!$D$39:$D$43,MATCH(P436,Parâmetros!$A$39:$A$43,0))</f>
        <v>Cadência leve, foco em qualificar</v>
      </c>
    </row>
    <row r="437" customFormat="false" ht="15" hidden="false" customHeight="false" outlineLevel="0" collapsed="false">
      <c r="A437" s="10" t="s">
        <v>670</v>
      </c>
      <c r="B437" s="10" t="s">
        <v>75</v>
      </c>
      <c r="C437" s="10" t="s">
        <v>72</v>
      </c>
      <c r="D437" s="10" t="s">
        <v>196</v>
      </c>
      <c r="E437" s="10" t="s">
        <v>49</v>
      </c>
      <c r="F437" s="10"/>
      <c r="G437" s="10" t="s">
        <v>425</v>
      </c>
      <c r="H437" s="10"/>
      <c r="I437" s="8" t="n">
        <f aca="false">INDEX(Parâmetros!$C$13:$C$19,MATCH(E437,Parâmetros!$A$13:$A$19,0))</f>
        <v>3393</v>
      </c>
      <c r="J437" s="26" t="str">
        <f aca="false">IF(H437="","",Parâmetros!$B$5-H437)</f>
        <v/>
      </c>
      <c r="K437" s="10" t="n">
        <f aca="false">INDEX(Parâmetros!$D$13:$D$19,MATCH(E437,Parâmetros!$A$13:$A$19,0))</f>
        <v>40</v>
      </c>
      <c r="L437" s="26" t="n">
        <f aca="false">IF(G437="Prospecting",Parâmetros!$B$9,IF(J437&gt;Parâmetros!$B$6,0,INDEX(Parâmetros!$C$24:$C$26,MATCH(J437,Parâmetros!$A$24:$A$26,1))))</f>
        <v>10</v>
      </c>
      <c r="M437" s="31" t="n">
        <f aca="false">IF(G437="Prospecting",1,INDEX(Parâmetros!$C$32:$C$35,MATCH(J437,Parâmetros!$A$32:$A$35,1)))</f>
        <v>1</v>
      </c>
      <c r="N437" s="2" t="n">
        <f aca="false">ROUND((K437+L437)*M437,0)</f>
        <v>50</v>
      </c>
      <c r="O437" s="10" t="str">
        <f aca="false">IF(AND(G437="Engaging",J437&gt;Parâmetros!$B$6),"Sim","Não")</f>
        <v>Não</v>
      </c>
      <c r="P437" s="32" t="str">
        <f aca="false">IF(O437="Sim","R",IF(N437&gt;=Parâmetros!$B$39,"A",IF(N437&gt;=Parâmetros!$B$40,"B",IF(N437&gt;=Parâmetros!$B$41,"C","D"))))</f>
        <v>C</v>
      </c>
      <c r="Q437" s="10" t="str">
        <f aca="false">IF(F437="","Completar cadastro","")</f>
        <v>Completar cadastro</v>
      </c>
      <c r="R437" s="10" t="str">
        <f aca="false">INDEX(Parâmetros!$D$39:$D$43,MATCH(P437,Parâmetros!$A$39:$A$43,0))</f>
        <v>Cadência leve, foco em qualificar</v>
      </c>
    </row>
    <row r="438" customFormat="false" ht="15" hidden="false" customHeight="false" outlineLevel="0" collapsed="false">
      <c r="A438" s="10" t="s">
        <v>671</v>
      </c>
      <c r="B438" s="10" t="s">
        <v>83</v>
      </c>
      <c r="C438" s="10" t="s">
        <v>78</v>
      </c>
      <c r="D438" s="10" t="s">
        <v>196</v>
      </c>
      <c r="E438" s="10" t="s">
        <v>49</v>
      </c>
      <c r="F438" s="10" t="s">
        <v>514</v>
      </c>
      <c r="G438" s="10" t="s">
        <v>425</v>
      </c>
      <c r="H438" s="10"/>
      <c r="I438" s="8" t="n">
        <f aca="false">INDEX(Parâmetros!$C$13:$C$19,MATCH(E438,Parâmetros!$A$13:$A$19,0))</f>
        <v>3393</v>
      </c>
      <c r="J438" s="26" t="str">
        <f aca="false">IF(H438="","",Parâmetros!$B$5-H438)</f>
        <v/>
      </c>
      <c r="K438" s="10" t="n">
        <f aca="false">INDEX(Parâmetros!$D$13:$D$19,MATCH(E438,Parâmetros!$A$13:$A$19,0))</f>
        <v>40</v>
      </c>
      <c r="L438" s="26" t="n">
        <f aca="false">IF(G438="Prospecting",Parâmetros!$B$9,IF(J438&gt;Parâmetros!$B$6,0,INDEX(Parâmetros!$C$24:$C$26,MATCH(J438,Parâmetros!$A$24:$A$26,1))))</f>
        <v>10</v>
      </c>
      <c r="M438" s="31" t="n">
        <f aca="false">IF(G438="Prospecting",1,INDEX(Parâmetros!$C$32:$C$35,MATCH(J438,Parâmetros!$A$32:$A$35,1)))</f>
        <v>1</v>
      </c>
      <c r="N438" s="2" t="n">
        <f aca="false">ROUND((K438+L438)*M438,0)</f>
        <v>50</v>
      </c>
      <c r="O438" s="10" t="str">
        <f aca="false">IF(AND(G438="Engaging",J438&gt;Parâmetros!$B$6),"Sim","Não")</f>
        <v>Não</v>
      </c>
      <c r="P438" s="32" t="str">
        <f aca="false">IF(O438="Sim","R",IF(N438&gt;=Parâmetros!$B$39,"A",IF(N438&gt;=Parâmetros!$B$40,"B",IF(N438&gt;=Parâmetros!$B$41,"C","D"))))</f>
        <v>C</v>
      </c>
      <c r="Q438" s="10" t="str">
        <f aca="false">IF(F438="","Completar cadastro","")</f>
        <v/>
      </c>
      <c r="R438" s="10" t="str">
        <f aca="false">INDEX(Parâmetros!$D$39:$D$43,MATCH(P438,Parâmetros!$A$39:$A$43,0))</f>
        <v>Cadência leve, foco em qualificar</v>
      </c>
    </row>
    <row r="439" customFormat="false" ht="15" hidden="false" customHeight="false" outlineLevel="0" collapsed="false">
      <c r="A439" s="10" t="s">
        <v>672</v>
      </c>
      <c r="B439" s="10" t="s">
        <v>83</v>
      </c>
      <c r="C439" s="10" t="s">
        <v>78</v>
      </c>
      <c r="D439" s="10" t="s">
        <v>196</v>
      </c>
      <c r="E439" s="10" t="s">
        <v>49</v>
      </c>
      <c r="F439" s="10"/>
      <c r="G439" s="10" t="s">
        <v>425</v>
      </c>
      <c r="H439" s="10"/>
      <c r="I439" s="8" t="n">
        <f aca="false">INDEX(Parâmetros!$C$13:$C$19,MATCH(E439,Parâmetros!$A$13:$A$19,0))</f>
        <v>3393</v>
      </c>
      <c r="J439" s="26" t="str">
        <f aca="false">IF(H439="","",Parâmetros!$B$5-H439)</f>
        <v/>
      </c>
      <c r="K439" s="10" t="n">
        <f aca="false">INDEX(Parâmetros!$D$13:$D$19,MATCH(E439,Parâmetros!$A$13:$A$19,0))</f>
        <v>40</v>
      </c>
      <c r="L439" s="26" t="n">
        <f aca="false">IF(G439="Prospecting",Parâmetros!$B$9,IF(J439&gt;Parâmetros!$B$6,0,INDEX(Parâmetros!$C$24:$C$26,MATCH(J439,Parâmetros!$A$24:$A$26,1))))</f>
        <v>10</v>
      </c>
      <c r="M439" s="31" t="n">
        <f aca="false">IF(G439="Prospecting",1,INDEX(Parâmetros!$C$32:$C$35,MATCH(J439,Parâmetros!$A$32:$A$35,1)))</f>
        <v>1</v>
      </c>
      <c r="N439" s="2" t="n">
        <f aca="false">ROUND((K439+L439)*M439,0)</f>
        <v>50</v>
      </c>
      <c r="O439" s="10" t="str">
        <f aca="false">IF(AND(G439="Engaging",J439&gt;Parâmetros!$B$6),"Sim","Não")</f>
        <v>Não</v>
      </c>
      <c r="P439" s="32" t="str">
        <f aca="false">IF(O439="Sim","R",IF(N439&gt;=Parâmetros!$B$39,"A",IF(N439&gt;=Parâmetros!$B$40,"B",IF(N439&gt;=Parâmetros!$B$41,"C","D"))))</f>
        <v>C</v>
      </c>
      <c r="Q439" s="10" t="str">
        <f aca="false">IF(F439="","Completar cadastro","")</f>
        <v>Completar cadastro</v>
      </c>
      <c r="R439" s="10" t="str">
        <f aca="false">INDEX(Parâmetros!$D$39:$D$43,MATCH(P439,Parâmetros!$A$39:$A$43,0))</f>
        <v>Cadência leve, foco em qualificar</v>
      </c>
    </row>
    <row r="440" customFormat="false" ht="15" hidden="false" customHeight="false" outlineLevel="0" collapsed="false">
      <c r="A440" s="10" t="s">
        <v>673</v>
      </c>
      <c r="B440" s="10" t="s">
        <v>76</v>
      </c>
      <c r="C440" s="10" t="s">
        <v>72</v>
      </c>
      <c r="D440" s="10" t="s">
        <v>196</v>
      </c>
      <c r="E440" s="10" t="s">
        <v>49</v>
      </c>
      <c r="F440" s="10" t="s">
        <v>674</v>
      </c>
      <c r="G440" s="10" t="s">
        <v>425</v>
      </c>
      <c r="H440" s="10"/>
      <c r="I440" s="8" t="n">
        <f aca="false">INDEX(Parâmetros!$C$13:$C$19,MATCH(E440,Parâmetros!$A$13:$A$19,0))</f>
        <v>3393</v>
      </c>
      <c r="J440" s="26" t="str">
        <f aca="false">IF(H440="","",Parâmetros!$B$5-H440)</f>
        <v/>
      </c>
      <c r="K440" s="10" t="n">
        <f aca="false">INDEX(Parâmetros!$D$13:$D$19,MATCH(E440,Parâmetros!$A$13:$A$19,0))</f>
        <v>40</v>
      </c>
      <c r="L440" s="26" t="n">
        <f aca="false">IF(G440="Prospecting",Parâmetros!$B$9,IF(J440&gt;Parâmetros!$B$6,0,INDEX(Parâmetros!$C$24:$C$26,MATCH(J440,Parâmetros!$A$24:$A$26,1))))</f>
        <v>10</v>
      </c>
      <c r="M440" s="31" t="n">
        <f aca="false">IF(G440="Prospecting",1,INDEX(Parâmetros!$C$32:$C$35,MATCH(J440,Parâmetros!$A$32:$A$35,1)))</f>
        <v>1</v>
      </c>
      <c r="N440" s="2" t="n">
        <f aca="false">ROUND((K440+L440)*M440,0)</f>
        <v>50</v>
      </c>
      <c r="O440" s="10" t="str">
        <f aca="false">IF(AND(G440="Engaging",J440&gt;Parâmetros!$B$6),"Sim","Não")</f>
        <v>Não</v>
      </c>
      <c r="P440" s="32" t="str">
        <f aca="false">IF(O440="Sim","R",IF(N440&gt;=Parâmetros!$B$39,"A",IF(N440&gt;=Parâmetros!$B$40,"B",IF(N440&gt;=Parâmetros!$B$41,"C","D"))))</f>
        <v>C</v>
      </c>
      <c r="Q440" s="10" t="str">
        <f aca="false">IF(F440="","Completar cadastro","")</f>
        <v/>
      </c>
      <c r="R440" s="10" t="str">
        <f aca="false">INDEX(Parâmetros!$D$39:$D$43,MATCH(P440,Parâmetros!$A$39:$A$43,0))</f>
        <v>Cadência leve, foco em qualificar</v>
      </c>
    </row>
    <row r="441" customFormat="false" ht="15" hidden="false" customHeight="false" outlineLevel="0" collapsed="false">
      <c r="A441" s="10" t="s">
        <v>675</v>
      </c>
      <c r="B441" s="10" t="s">
        <v>76</v>
      </c>
      <c r="C441" s="10" t="s">
        <v>72</v>
      </c>
      <c r="D441" s="10" t="s">
        <v>196</v>
      </c>
      <c r="E441" s="10" t="s">
        <v>49</v>
      </c>
      <c r="F441" s="10" t="s">
        <v>464</v>
      </c>
      <c r="G441" s="10" t="s">
        <v>425</v>
      </c>
      <c r="H441" s="10"/>
      <c r="I441" s="8" t="n">
        <f aca="false">INDEX(Parâmetros!$C$13:$C$19,MATCH(E441,Parâmetros!$A$13:$A$19,0))</f>
        <v>3393</v>
      </c>
      <c r="J441" s="26" t="str">
        <f aca="false">IF(H441="","",Parâmetros!$B$5-H441)</f>
        <v/>
      </c>
      <c r="K441" s="10" t="n">
        <f aca="false">INDEX(Parâmetros!$D$13:$D$19,MATCH(E441,Parâmetros!$A$13:$A$19,0))</f>
        <v>40</v>
      </c>
      <c r="L441" s="26" t="n">
        <f aca="false">IF(G441="Prospecting",Parâmetros!$B$9,IF(J441&gt;Parâmetros!$B$6,0,INDEX(Parâmetros!$C$24:$C$26,MATCH(J441,Parâmetros!$A$24:$A$26,1))))</f>
        <v>10</v>
      </c>
      <c r="M441" s="31" t="n">
        <f aca="false">IF(G441="Prospecting",1,INDEX(Parâmetros!$C$32:$C$35,MATCH(J441,Parâmetros!$A$32:$A$35,1)))</f>
        <v>1</v>
      </c>
      <c r="N441" s="2" t="n">
        <f aca="false">ROUND((K441+L441)*M441,0)</f>
        <v>50</v>
      </c>
      <c r="O441" s="10" t="str">
        <f aca="false">IF(AND(G441="Engaging",J441&gt;Parâmetros!$B$6),"Sim","Não")</f>
        <v>Não</v>
      </c>
      <c r="P441" s="32" t="str">
        <f aca="false">IF(O441="Sim","R",IF(N441&gt;=Parâmetros!$B$39,"A",IF(N441&gt;=Parâmetros!$B$40,"B",IF(N441&gt;=Parâmetros!$B$41,"C","D"))))</f>
        <v>C</v>
      </c>
      <c r="Q441" s="10" t="str">
        <f aca="false">IF(F441="","Completar cadastro","")</f>
        <v/>
      </c>
      <c r="R441" s="10" t="str">
        <f aca="false">INDEX(Parâmetros!$D$39:$D$43,MATCH(P441,Parâmetros!$A$39:$A$43,0))</f>
        <v>Cadência leve, foco em qualificar</v>
      </c>
    </row>
    <row r="442" customFormat="false" ht="15" hidden="false" customHeight="false" outlineLevel="0" collapsed="false">
      <c r="A442" s="10" t="s">
        <v>676</v>
      </c>
      <c r="B442" s="10" t="s">
        <v>76</v>
      </c>
      <c r="C442" s="10" t="s">
        <v>72</v>
      </c>
      <c r="D442" s="10" t="s">
        <v>196</v>
      </c>
      <c r="E442" s="10" t="s">
        <v>49</v>
      </c>
      <c r="F442" s="10"/>
      <c r="G442" s="10" t="s">
        <v>425</v>
      </c>
      <c r="H442" s="10"/>
      <c r="I442" s="8" t="n">
        <f aca="false">INDEX(Parâmetros!$C$13:$C$19,MATCH(E442,Parâmetros!$A$13:$A$19,0))</f>
        <v>3393</v>
      </c>
      <c r="J442" s="26" t="str">
        <f aca="false">IF(H442="","",Parâmetros!$B$5-H442)</f>
        <v/>
      </c>
      <c r="K442" s="10" t="n">
        <f aca="false">INDEX(Parâmetros!$D$13:$D$19,MATCH(E442,Parâmetros!$A$13:$A$19,0))</f>
        <v>40</v>
      </c>
      <c r="L442" s="26" t="n">
        <f aca="false">IF(G442="Prospecting",Parâmetros!$B$9,IF(J442&gt;Parâmetros!$B$6,0,INDEX(Parâmetros!$C$24:$C$26,MATCH(J442,Parâmetros!$A$24:$A$26,1))))</f>
        <v>10</v>
      </c>
      <c r="M442" s="31" t="n">
        <f aca="false">IF(G442="Prospecting",1,INDEX(Parâmetros!$C$32:$C$35,MATCH(J442,Parâmetros!$A$32:$A$35,1)))</f>
        <v>1</v>
      </c>
      <c r="N442" s="2" t="n">
        <f aca="false">ROUND((K442+L442)*M442,0)</f>
        <v>50</v>
      </c>
      <c r="O442" s="10" t="str">
        <f aca="false">IF(AND(G442="Engaging",J442&gt;Parâmetros!$B$6),"Sim","Não")</f>
        <v>Não</v>
      </c>
      <c r="P442" s="32" t="str">
        <f aca="false">IF(O442="Sim","R",IF(N442&gt;=Parâmetros!$B$39,"A",IF(N442&gt;=Parâmetros!$B$40,"B",IF(N442&gt;=Parâmetros!$B$41,"C","D"))))</f>
        <v>C</v>
      </c>
      <c r="Q442" s="10" t="str">
        <f aca="false">IF(F442="","Completar cadastro","")</f>
        <v>Completar cadastro</v>
      </c>
      <c r="R442" s="10" t="str">
        <f aca="false">INDEX(Parâmetros!$D$39:$D$43,MATCH(P442,Parâmetros!$A$39:$A$43,0))</f>
        <v>Cadência leve, foco em qualificar</v>
      </c>
    </row>
    <row r="443" customFormat="false" ht="15" hidden="false" customHeight="false" outlineLevel="0" collapsed="false">
      <c r="A443" s="10" t="s">
        <v>677</v>
      </c>
      <c r="B443" s="10" t="s">
        <v>76</v>
      </c>
      <c r="C443" s="10" t="s">
        <v>72</v>
      </c>
      <c r="D443" s="10" t="s">
        <v>196</v>
      </c>
      <c r="E443" s="10" t="s">
        <v>49</v>
      </c>
      <c r="F443" s="10"/>
      <c r="G443" s="10" t="s">
        <v>425</v>
      </c>
      <c r="H443" s="10"/>
      <c r="I443" s="8" t="n">
        <f aca="false">INDEX(Parâmetros!$C$13:$C$19,MATCH(E443,Parâmetros!$A$13:$A$19,0))</f>
        <v>3393</v>
      </c>
      <c r="J443" s="26" t="str">
        <f aca="false">IF(H443="","",Parâmetros!$B$5-H443)</f>
        <v/>
      </c>
      <c r="K443" s="10" t="n">
        <f aca="false">INDEX(Parâmetros!$D$13:$D$19,MATCH(E443,Parâmetros!$A$13:$A$19,0))</f>
        <v>40</v>
      </c>
      <c r="L443" s="26" t="n">
        <f aca="false">IF(G443="Prospecting",Parâmetros!$B$9,IF(J443&gt;Parâmetros!$B$6,0,INDEX(Parâmetros!$C$24:$C$26,MATCH(J443,Parâmetros!$A$24:$A$26,1))))</f>
        <v>10</v>
      </c>
      <c r="M443" s="31" t="n">
        <f aca="false">IF(G443="Prospecting",1,INDEX(Parâmetros!$C$32:$C$35,MATCH(J443,Parâmetros!$A$32:$A$35,1)))</f>
        <v>1</v>
      </c>
      <c r="N443" s="2" t="n">
        <f aca="false">ROUND((K443+L443)*M443,0)</f>
        <v>50</v>
      </c>
      <c r="O443" s="10" t="str">
        <f aca="false">IF(AND(G443="Engaging",J443&gt;Parâmetros!$B$6),"Sim","Não")</f>
        <v>Não</v>
      </c>
      <c r="P443" s="32" t="str">
        <f aca="false">IF(O443="Sim","R",IF(N443&gt;=Parâmetros!$B$39,"A",IF(N443&gt;=Parâmetros!$B$40,"B",IF(N443&gt;=Parâmetros!$B$41,"C","D"))))</f>
        <v>C</v>
      </c>
      <c r="Q443" s="10" t="str">
        <f aca="false">IF(F443="","Completar cadastro","")</f>
        <v>Completar cadastro</v>
      </c>
      <c r="R443" s="10" t="str">
        <f aca="false">INDEX(Parâmetros!$D$39:$D$43,MATCH(P443,Parâmetros!$A$39:$A$43,0))</f>
        <v>Cadência leve, foco em qualificar</v>
      </c>
    </row>
    <row r="444" customFormat="false" ht="15" hidden="false" customHeight="false" outlineLevel="0" collapsed="false">
      <c r="A444" s="10" t="s">
        <v>678</v>
      </c>
      <c r="B444" s="10" t="s">
        <v>76</v>
      </c>
      <c r="C444" s="10" t="s">
        <v>72</v>
      </c>
      <c r="D444" s="10" t="s">
        <v>196</v>
      </c>
      <c r="E444" s="10" t="s">
        <v>49</v>
      </c>
      <c r="F444" s="10"/>
      <c r="G444" s="10" t="s">
        <v>425</v>
      </c>
      <c r="H444" s="10"/>
      <c r="I444" s="8" t="n">
        <f aca="false">INDEX(Parâmetros!$C$13:$C$19,MATCH(E444,Parâmetros!$A$13:$A$19,0))</f>
        <v>3393</v>
      </c>
      <c r="J444" s="26" t="str">
        <f aca="false">IF(H444="","",Parâmetros!$B$5-H444)</f>
        <v/>
      </c>
      <c r="K444" s="10" t="n">
        <f aca="false">INDEX(Parâmetros!$D$13:$D$19,MATCH(E444,Parâmetros!$A$13:$A$19,0))</f>
        <v>40</v>
      </c>
      <c r="L444" s="26" t="n">
        <f aca="false">IF(G444="Prospecting",Parâmetros!$B$9,IF(J444&gt;Parâmetros!$B$6,0,INDEX(Parâmetros!$C$24:$C$26,MATCH(J444,Parâmetros!$A$24:$A$26,1))))</f>
        <v>10</v>
      </c>
      <c r="M444" s="31" t="n">
        <f aca="false">IF(G444="Prospecting",1,INDEX(Parâmetros!$C$32:$C$35,MATCH(J444,Parâmetros!$A$32:$A$35,1)))</f>
        <v>1</v>
      </c>
      <c r="N444" s="2" t="n">
        <f aca="false">ROUND((K444+L444)*M444,0)</f>
        <v>50</v>
      </c>
      <c r="O444" s="10" t="str">
        <f aca="false">IF(AND(G444="Engaging",J444&gt;Parâmetros!$B$6),"Sim","Não")</f>
        <v>Não</v>
      </c>
      <c r="P444" s="32" t="str">
        <f aca="false">IF(O444="Sim","R",IF(N444&gt;=Parâmetros!$B$39,"A",IF(N444&gt;=Parâmetros!$B$40,"B",IF(N444&gt;=Parâmetros!$B$41,"C","D"))))</f>
        <v>C</v>
      </c>
      <c r="Q444" s="10" t="str">
        <f aca="false">IF(F444="","Completar cadastro","")</f>
        <v>Completar cadastro</v>
      </c>
      <c r="R444" s="10" t="str">
        <f aca="false">INDEX(Parâmetros!$D$39:$D$43,MATCH(P444,Parâmetros!$A$39:$A$43,0))</f>
        <v>Cadência leve, foco em qualificar</v>
      </c>
    </row>
    <row r="445" customFormat="false" ht="15" hidden="false" customHeight="false" outlineLevel="0" collapsed="false">
      <c r="A445" s="10" t="s">
        <v>679</v>
      </c>
      <c r="B445" s="10" t="s">
        <v>76</v>
      </c>
      <c r="C445" s="10" t="s">
        <v>72</v>
      </c>
      <c r="D445" s="10" t="s">
        <v>196</v>
      </c>
      <c r="E445" s="10" t="s">
        <v>49</v>
      </c>
      <c r="F445" s="10"/>
      <c r="G445" s="10" t="s">
        <v>425</v>
      </c>
      <c r="H445" s="10"/>
      <c r="I445" s="8" t="n">
        <f aca="false">INDEX(Parâmetros!$C$13:$C$19,MATCH(E445,Parâmetros!$A$13:$A$19,0))</f>
        <v>3393</v>
      </c>
      <c r="J445" s="26" t="str">
        <f aca="false">IF(H445="","",Parâmetros!$B$5-H445)</f>
        <v/>
      </c>
      <c r="K445" s="10" t="n">
        <f aca="false">INDEX(Parâmetros!$D$13:$D$19,MATCH(E445,Parâmetros!$A$13:$A$19,0))</f>
        <v>40</v>
      </c>
      <c r="L445" s="26" t="n">
        <f aca="false">IF(G445="Prospecting",Parâmetros!$B$9,IF(J445&gt;Parâmetros!$B$6,0,INDEX(Parâmetros!$C$24:$C$26,MATCH(J445,Parâmetros!$A$24:$A$26,1))))</f>
        <v>10</v>
      </c>
      <c r="M445" s="31" t="n">
        <f aca="false">IF(G445="Prospecting",1,INDEX(Parâmetros!$C$32:$C$35,MATCH(J445,Parâmetros!$A$32:$A$35,1)))</f>
        <v>1</v>
      </c>
      <c r="N445" s="2" t="n">
        <f aca="false">ROUND((K445+L445)*M445,0)</f>
        <v>50</v>
      </c>
      <c r="O445" s="10" t="str">
        <f aca="false">IF(AND(G445="Engaging",J445&gt;Parâmetros!$B$6),"Sim","Não")</f>
        <v>Não</v>
      </c>
      <c r="P445" s="32" t="str">
        <f aca="false">IF(O445="Sim","R",IF(N445&gt;=Parâmetros!$B$39,"A",IF(N445&gt;=Parâmetros!$B$40,"B",IF(N445&gt;=Parâmetros!$B$41,"C","D"))))</f>
        <v>C</v>
      </c>
      <c r="Q445" s="10" t="str">
        <f aca="false">IF(F445="","Completar cadastro","")</f>
        <v>Completar cadastro</v>
      </c>
      <c r="R445" s="10" t="str">
        <f aca="false">INDEX(Parâmetros!$D$39:$D$43,MATCH(P445,Parâmetros!$A$39:$A$43,0))</f>
        <v>Cadência leve, foco em qualificar</v>
      </c>
    </row>
    <row r="446" customFormat="false" ht="15" hidden="false" customHeight="false" outlineLevel="0" collapsed="false">
      <c r="A446" s="10" t="s">
        <v>680</v>
      </c>
      <c r="B446" s="10" t="s">
        <v>76</v>
      </c>
      <c r="C446" s="10" t="s">
        <v>72</v>
      </c>
      <c r="D446" s="10" t="s">
        <v>196</v>
      </c>
      <c r="E446" s="10" t="s">
        <v>49</v>
      </c>
      <c r="F446" s="10"/>
      <c r="G446" s="10" t="s">
        <v>425</v>
      </c>
      <c r="H446" s="10"/>
      <c r="I446" s="8" t="n">
        <f aca="false">INDEX(Parâmetros!$C$13:$C$19,MATCH(E446,Parâmetros!$A$13:$A$19,0))</f>
        <v>3393</v>
      </c>
      <c r="J446" s="26" t="str">
        <f aca="false">IF(H446="","",Parâmetros!$B$5-H446)</f>
        <v/>
      </c>
      <c r="K446" s="10" t="n">
        <f aca="false">INDEX(Parâmetros!$D$13:$D$19,MATCH(E446,Parâmetros!$A$13:$A$19,0))</f>
        <v>40</v>
      </c>
      <c r="L446" s="26" t="n">
        <f aca="false">IF(G446="Prospecting",Parâmetros!$B$9,IF(J446&gt;Parâmetros!$B$6,0,INDEX(Parâmetros!$C$24:$C$26,MATCH(J446,Parâmetros!$A$24:$A$26,1))))</f>
        <v>10</v>
      </c>
      <c r="M446" s="31" t="n">
        <f aca="false">IF(G446="Prospecting",1,INDEX(Parâmetros!$C$32:$C$35,MATCH(J446,Parâmetros!$A$32:$A$35,1)))</f>
        <v>1</v>
      </c>
      <c r="N446" s="2" t="n">
        <f aca="false">ROUND((K446+L446)*M446,0)</f>
        <v>50</v>
      </c>
      <c r="O446" s="10" t="str">
        <f aca="false">IF(AND(G446="Engaging",J446&gt;Parâmetros!$B$6),"Sim","Não")</f>
        <v>Não</v>
      </c>
      <c r="P446" s="32" t="str">
        <f aca="false">IF(O446="Sim","R",IF(N446&gt;=Parâmetros!$B$39,"A",IF(N446&gt;=Parâmetros!$B$40,"B",IF(N446&gt;=Parâmetros!$B$41,"C","D"))))</f>
        <v>C</v>
      </c>
      <c r="Q446" s="10" t="str">
        <f aca="false">IF(F446="","Completar cadastro","")</f>
        <v>Completar cadastro</v>
      </c>
      <c r="R446" s="10" t="str">
        <f aca="false">INDEX(Parâmetros!$D$39:$D$43,MATCH(P446,Parâmetros!$A$39:$A$43,0))</f>
        <v>Cadência leve, foco em qualificar</v>
      </c>
    </row>
    <row r="447" customFormat="false" ht="15" hidden="false" customHeight="false" outlineLevel="0" collapsed="false">
      <c r="A447" s="10" t="s">
        <v>681</v>
      </c>
      <c r="B447" s="10" t="s">
        <v>76</v>
      </c>
      <c r="C447" s="10" t="s">
        <v>72</v>
      </c>
      <c r="D447" s="10" t="s">
        <v>196</v>
      </c>
      <c r="E447" s="10" t="s">
        <v>49</v>
      </c>
      <c r="F447" s="10"/>
      <c r="G447" s="10" t="s">
        <v>425</v>
      </c>
      <c r="H447" s="10"/>
      <c r="I447" s="8" t="n">
        <f aca="false">INDEX(Parâmetros!$C$13:$C$19,MATCH(E447,Parâmetros!$A$13:$A$19,0))</f>
        <v>3393</v>
      </c>
      <c r="J447" s="26" t="str">
        <f aca="false">IF(H447="","",Parâmetros!$B$5-H447)</f>
        <v/>
      </c>
      <c r="K447" s="10" t="n">
        <f aca="false">INDEX(Parâmetros!$D$13:$D$19,MATCH(E447,Parâmetros!$A$13:$A$19,0))</f>
        <v>40</v>
      </c>
      <c r="L447" s="26" t="n">
        <f aca="false">IF(G447="Prospecting",Parâmetros!$B$9,IF(J447&gt;Parâmetros!$B$6,0,INDEX(Parâmetros!$C$24:$C$26,MATCH(J447,Parâmetros!$A$24:$A$26,1))))</f>
        <v>10</v>
      </c>
      <c r="M447" s="31" t="n">
        <f aca="false">IF(G447="Prospecting",1,INDEX(Parâmetros!$C$32:$C$35,MATCH(J447,Parâmetros!$A$32:$A$35,1)))</f>
        <v>1</v>
      </c>
      <c r="N447" s="2" t="n">
        <f aca="false">ROUND((K447+L447)*M447,0)</f>
        <v>50</v>
      </c>
      <c r="O447" s="10" t="str">
        <f aca="false">IF(AND(G447="Engaging",J447&gt;Parâmetros!$B$6),"Sim","Não")</f>
        <v>Não</v>
      </c>
      <c r="P447" s="32" t="str">
        <f aca="false">IF(O447="Sim","R",IF(N447&gt;=Parâmetros!$B$39,"A",IF(N447&gt;=Parâmetros!$B$40,"B",IF(N447&gt;=Parâmetros!$B$41,"C","D"))))</f>
        <v>C</v>
      </c>
      <c r="Q447" s="10" t="str">
        <f aca="false">IF(F447="","Completar cadastro","")</f>
        <v>Completar cadastro</v>
      </c>
      <c r="R447" s="10" t="str">
        <f aca="false">INDEX(Parâmetros!$D$39:$D$43,MATCH(P447,Parâmetros!$A$39:$A$43,0))</f>
        <v>Cadência leve, foco em qualificar</v>
      </c>
    </row>
    <row r="448" customFormat="false" ht="15" hidden="false" customHeight="false" outlineLevel="0" collapsed="false">
      <c r="A448" s="10" t="s">
        <v>682</v>
      </c>
      <c r="B448" s="10" t="s">
        <v>76</v>
      </c>
      <c r="C448" s="10" t="s">
        <v>72</v>
      </c>
      <c r="D448" s="10" t="s">
        <v>196</v>
      </c>
      <c r="E448" s="10" t="s">
        <v>49</v>
      </c>
      <c r="F448" s="10"/>
      <c r="G448" s="10" t="s">
        <v>425</v>
      </c>
      <c r="H448" s="10"/>
      <c r="I448" s="8" t="n">
        <f aca="false">INDEX(Parâmetros!$C$13:$C$19,MATCH(E448,Parâmetros!$A$13:$A$19,0))</f>
        <v>3393</v>
      </c>
      <c r="J448" s="26" t="str">
        <f aca="false">IF(H448="","",Parâmetros!$B$5-H448)</f>
        <v/>
      </c>
      <c r="K448" s="10" t="n">
        <f aca="false">INDEX(Parâmetros!$D$13:$D$19,MATCH(E448,Parâmetros!$A$13:$A$19,0))</f>
        <v>40</v>
      </c>
      <c r="L448" s="26" t="n">
        <f aca="false">IF(G448="Prospecting",Parâmetros!$B$9,IF(J448&gt;Parâmetros!$B$6,0,INDEX(Parâmetros!$C$24:$C$26,MATCH(J448,Parâmetros!$A$24:$A$26,1))))</f>
        <v>10</v>
      </c>
      <c r="M448" s="31" t="n">
        <f aca="false">IF(G448="Prospecting",1,INDEX(Parâmetros!$C$32:$C$35,MATCH(J448,Parâmetros!$A$32:$A$35,1)))</f>
        <v>1</v>
      </c>
      <c r="N448" s="2" t="n">
        <f aca="false">ROUND((K448+L448)*M448,0)</f>
        <v>50</v>
      </c>
      <c r="O448" s="10" t="str">
        <f aca="false">IF(AND(G448="Engaging",J448&gt;Parâmetros!$B$6),"Sim","Não")</f>
        <v>Não</v>
      </c>
      <c r="P448" s="32" t="str">
        <f aca="false">IF(O448="Sim","R",IF(N448&gt;=Parâmetros!$B$39,"A",IF(N448&gt;=Parâmetros!$B$40,"B",IF(N448&gt;=Parâmetros!$B$41,"C","D"))))</f>
        <v>C</v>
      </c>
      <c r="Q448" s="10" t="str">
        <f aca="false">IF(F448="","Completar cadastro","")</f>
        <v>Completar cadastro</v>
      </c>
      <c r="R448" s="10" t="str">
        <f aca="false">INDEX(Parâmetros!$D$39:$D$43,MATCH(P448,Parâmetros!$A$39:$A$43,0))</f>
        <v>Cadência leve, foco em qualificar</v>
      </c>
    </row>
    <row r="449" customFormat="false" ht="15" hidden="false" customHeight="false" outlineLevel="0" collapsed="false">
      <c r="A449" s="10" t="s">
        <v>683</v>
      </c>
      <c r="B449" s="10" t="s">
        <v>76</v>
      </c>
      <c r="C449" s="10" t="s">
        <v>72</v>
      </c>
      <c r="D449" s="10" t="s">
        <v>196</v>
      </c>
      <c r="E449" s="10" t="s">
        <v>49</v>
      </c>
      <c r="F449" s="10"/>
      <c r="G449" s="10" t="s">
        <v>425</v>
      </c>
      <c r="H449" s="10"/>
      <c r="I449" s="8" t="n">
        <f aca="false">INDEX(Parâmetros!$C$13:$C$19,MATCH(E449,Parâmetros!$A$13:$A$19,0))</f>
        <v>3393</v>
      </c>
      <c r="J449" s="26" t="str">
        <f aca="false">IF(H449="","",Parâmetros!$B$5-H449)</f>
        <v/>
      </c>
      <c r="K449" s="10" t="n">
        <f aca="false">INDEX(Parâmetros!$D$13:$D$19,MATCH(E449,Parâmetros!$A$13:$A$19,0))</f>
        <v>40</v>
      </c>
      <c r="L449" s="26" t="n">
        <f aca="false">IF(G449="Prospecting",Parâmetros!$B$9,IF(J449&gt;Parâmetros!$B$6,0,INDEX(Parâmetros!$C$24:$C$26,MATCH(J449,Parâmetros!$A$24:$A$26,1))))</f>
        <v>10</v>
      </c>
      <c r="M449" s="31" t="n">
        <f aca="false">IF(G449="Prospecting",1,INDEX(Parâmetros!$C$32:$C$35,MATCH(J449,Parâmetros!$A$32:$A$35,1)))</f>
        <v>1</v>
      </c>
      <c r="N449" s="2" t="n">
        <f aca="false">ROUND((K449+L449)*M449,0)</f>
        <v>50</v>
      </c>
      <c r="O449" s="10" t="str">
        <f aca="false">IF(AND(G449="Engaging",J449&gt;Parâmetros!$B$6),"Sim","Não")</f>
        <v>Não</v>
      </c>
      <c r="P449" s="32" t="str">
        <f aca="false">IF(O449="Sim","R",IF(N449&gt;=Parâmetros!$B$39,"A",IF(N449&gt;=Parâmetros!$B$40,"B",IF(N449&gt;=Parâmetros!$B$41,"C","D"))))</f>
        <v>C</v>
      </c>
      <c r="Q449" s="10" t="str">
        <f aca="false">IF(F449="","Completar cadastro","")</f>
        <v>Completar cadastro</v>
      </c>
      <c r="R449" s="10" t="str">
        <f aca="false">INDEX(Parâmetros!$D$39:$D$43,MATCH(P449,Parâmetros!$A$39:$A$43,0))</f>
        <v>Cadência leve, foco em qualificar</v>
      </c>
    </row>
    <row r="450" customFormat="false" ht="15" hidden="false" customHeight="false" outlineLevel="0" collapsed="false">
      <c r="A450" s="10" t="s">
        <v>684</v>
      </c>
      <c r="B450" s="10" t="s">
        <v>63</v>
      </c>
      <c r="C450" s="10" t="s">
        <v>58</v>
      </c>
      <c r="D450" s="10" t="s">
        <v>165</v>
      </c>
      <c r="E450" s="10" t="s">
        <v>50</v>
      </c>
      <c r="F450" s="10"/>
      <c r="G450" s="10" t="s">
        <v>162</v>
      </c>
      <c r="H450" s="30" t="n">
        <v>43089</v>
      </c>
      <c r="I450" s="8" t="n">
        <f aca="false">INDEX(Parâmetros!$C$13:$C$19,MATCH(E450,Parâmetros!$A$13:$A$19,0))</f>
        <v>1096</v>
      </c>
      <c r="J450" s="26" t="n">
        <f aca="false">IF(H450="","",Parâmetros!$B$5-H450)</f>
        <v>11</v>
      </c>
      <c r="K450" s="10" t="n">
        <f aca="false">INDEX(Parâmetros!$D$13:$D$19,MATCH(E450,Parâmetros!$A$13:$A$19,0))</f>
        <v>29</v>
      </c>
      <c r="L450" s="26" t="n">
        <f aca="false">IF(G450="Prospecting",Parâmetros!$B$9,IF(J450&gt;Parâmetros!$B$6,0,INDEX(Parâmetros!$C$24:$C$26,MATCH(J450,Parâmetros!$A$24:$A$26,1))))</f>
        <v>20</v>
      </c>
      <c r="M450" s="31" t="n">
        <f aca="false">IF(G450="Prospecting",1,INDEX(Parâmetros!$C$32:$C$35,MATCH(J450,Parâmetros!$A$32:$A$35,1)))</f>
        <v>1</v>
      </c>
      <c r="N450" s="2" t="n">
        <f aca="false">ROUND((K450+L450)*M450,0)</f>
        <v>49</v>
      </c>
      <c r="O450" s="10" t="str">
        <f aca="false">IF(AND(G450="Engaging",J450&gt;Parâmetros!$B$6),"Sim","Não")</f>
        <v>Não</v>
      </c>
      <c r="P450" s="32" t="str">
        <f aca="false">IF(O450="Sim","R",IF(N450&gt;=Parâmetros!$B$39,"A",IF(N450&gt;=Parâmetros!$B$40,"B",IF(N450&gt;=Parâmetros!$B$41,"C","D"))))</f>
        <v>C</v>
      </c>
      <c r="Q450" s="10" t="str">
        <f aca="false">IF(F450="","Completar cadastro","")</f>
        <v>Completar cadastro</v>
      </c>
      <c r="R450" s="10" t="str">
        <f aca="false">INDEX(Parâmetros!$D$39:$D$43,MATCH(P450,Parâmetros!$A$39:$A$43,0))</f>
        <v>Cadência leve, foco em qualificar</v>
      </c>
    </row>
    <row r="451" customFormat="false" ht="15" hidden="false" customHeight="false" outlineLevel="0" collapsed="false">
      <c r="A451" s="10" t="s">
        <v>685</v>
      </c>
      <c r="B451" s="10" t="s">
        <v>71</v>
      </c>
      <c r="C451" s="10" t="s">
        <v>72</v>
      </c>
      <c r="D451" s="10" t="s">
        <v>196</v>
      </c>
      <c r="E451" s="10" t="s">
        <v>52</v>
      </c>
      <c r="F451" s="10"/>
      <c r="G451" s="10" t="s">
        <v>162</v>
      </c>
      <c r="H451" s="30" t="n">
        <v>42962</v>
      </c>
      <c r="I451" s="8" t="n">
        <f aca="false">INDEX(Parâmetros!$C$13:$C$19,MATCH(E451,Parâmetros!$A$13:$A$19,0))</f>
        <v>55</v>
      </c>
      <c r="J451" s="26" t="n">
        <f aca="false">IF(H451="","",Parâmetros!$B$5-H451)</f>
        <v>138</v>
      </c>
      <c r="K451" s="10" t="n">
        <f aca="false">INDEX(Parâmetros!$D$13:$D$19,MATCH(E451,Parâmetros!$A$13:$A$19,0))</f>
        <v>0</v>
      </c>
      <c r="L451" s="26" t="n">
        <f aca="false">IF(G451="Prospecting",Parâmetros!$B$9,IF(J451&gt;Parâmetros!$B$6,0,INDEX(Parâmetros!$C$24:$C$26,MATCH(J451,Parâmetros!$A$24:$A$26,1))))</f>
        <v>40</v>
      </c>
      <c r="M451" s="31" t="n">
        <f aca="false">IF(G451="Prospecting",1,INDEX(Parâmetros!$C$32:$C$35,MATCH(J451,Parâmetros!$A$32:$A$35,1)))</f>
        <v>1</v>
      </c>
      <c r="N451" s="2" t="n">
        <f aca="false">ROUND((K451+L451)*M451,0)</f>
        <v>40</v>
      </c>
      <c r="O451" s="10" t="str">
        <f aca="false">IF(AND(G451="Engaging",J451&gt;Parâmetros!$B$6),"Sim","Não")</f>
        <v>Não</v>
      </c>
      <c r="P451" s="32" t="str">
        <f aca="false">IF(O451="Sim","R",IF(N451&gt;=Parâmetros!$B$39,"A",IF(N451&gt;=Parâmetros!$B$40,"B",IF(N451&gt;=Parâmetros!$B$41,"C","D"))))</f>
        <v>C</v>
      </c>
      <c r="Q451" s="10" t="str">
        <f aca="false">IF(F451="","Completar cadastro","")</f>
        <v>Completar cadastro</v>
      </c>
      <c r="R451" s="10" t="str">
        <f aca="false">INDEX(Parâmetros!$D$39:$D$43,MATCH(P451,Parâmetros!$A$39:$A$43,0))</f>
        <v>Cadência leve, foco em qualificar</v>
      </c>
    </row>
    <row r="452" customFormat="false" ht="15" hidden="false" customHeight="false" outlineLevel="0" collapsed="false">
      <c r="A452" s="10" t="s">
        <v>686</v>
      </c>
      <c r="B452" s="10" t="s">
        <v>76</v>
      </c>
      <c r="C452" s="10" t="s">
        <v>72</v>
      </c>
      <c r="D452" s="10" t="s">
        <v>196</v>
      </c>
      <c r="E452" s="10" t="s">
        <v>52</v>
      </c>
      <c r="F452" s="10" t="s">
        <v>369</v>
      </c>
      <c r="G452" s="10" t="s">
        <v>162</v>
      </c>
      <c r="H452" s="30" t="n">
        <v>42962</v>
      </c>
      <c r="I452" s="8" t="n">
        <f aca="false">INDEX(Parâmetros!$C$13:$C$19,MATCH(E452,Parâmetros!$A$13:$A$19,0))</f>
        <v>55</v>
      </c>
      <c r="J452" s="26" t="n">
        <f aca="false">IF(H452="","",Parâmetros!$B$5-H452)</f>
        <v>138</v>
      </c>
      <c r="K452" s="10" t="n">
        <f aca="false">INDEX(Parâmetros!$D$13:$D$19,MATCH(E452,Parâmetros!$A$13:$A$19,0))</f>
        <v>0</v>
      </c>
      <c r="L452" s="26" t="n">
        <f aca="false">IF(G452="Prospecting",Parâmetros!$B$9,IF(J452&gt;Parâmetros!$B$6,0,INDEX(Parâmetros!$C$24:$C$26,MATCH(J452,Parâmetros!$A$24:$A$26,1))))</f>
        <v>40</v>
      </c>
      <c r="M452" s="31" t="n">
        <f aca="false">IF(G452="Prospecting",1,INDEX(Parâmetros!$C$32:$C$35,MATCH(J452,Parâmetros!$A$32:$A$35,1)))</f>
        <v>1</v>
      </c>
      <c r="N452" s="2" t="n">
        <f aca="false">ROUND((K452+L452)*M452,0)</f>
        <v>40</v>
      </c>
      <c r="O452" s="10" t="str">
        <f aca="false">IF(AND(G452="Engaging",J452&gt;Parâmetros!$B$6),"Sim","Não")</f>
        <v>Não</v>
      </c>
      <c r="P452" s="32" t="str">
        <f aca="false">IF(O452="Sim","R",IF(N452&gt;=Parâmetros!$B$39,"A",IF(N452&gt;=Parâmetros!$B$40,"B",IF(N452&gt;=Parâmetros!$B$41,"C","D"))))</f>
        <v>C</v>
      </c>
      <c r="Q452" s="10" t="str">
        <f aca="false">IF(F452="","Completar cadastro","")</f>
        <v/>
      </c>
      <c r="R452" s="10" t="str">
        <f aca="false">INDEX(Parâmetros!$D$39:$D$43,MATCH(P452,Parâmetros!$A$39:$A$43,0))</f>
        <v>Cadência leve, foco em qualificar</v>
      </c>
    </row>
    <row r="453" customFormat="false" ht="15" hidden="false" customHeight="false" outlineLevel="0" collapsed="false">
      <c r="A453" s="10" t="s">
        <v>687</v>
      </c>
      <c r="B453" s="10" t="s">
        <v>70</v>
      </c>
      <c r="C453" s="10" t="s">
        <v>65</v>
      </c>
      <c r="D453" s="10" t="s">
        <v>160</v>
      </c>
      <c r="E453" s="10" t="s">
        <v>52</v>
      </c>
      <c r="F453" s="10"/>
      <c r="G453" s="10" t="s">
        <v>162</v>
      </c>
      <c r="H453" s="30" t="n">
        <v>42963</v>
      </c>
      <c r="I453" s="8" t="n">
        <f aca="false">INDEX(Parâmetros!$C$13:$C$19,MATCH(E453,Parâmetros!$A$13:$A$19,0))</f>
        <v>55</v>
      </c>
      <c r="J453" s="26" t="n">
        <f aca="false">IF(H453="","",Parâmetros!$B$5-H453)</f>
        <v>137</v>
      </c>
      <c r="K453" s="10" t="n">
        <f aca="false">INDEX(Parâmetros!$D$13:$D$19,MATCH(E453,Parâmetros!$A$13:$A$19,0))</f>
        <v>0</v>
      </c>
      <c r="L453" s="26" t="n">
        <f aca="false">IF(G453="Prospecting",Parâmetros!$B$9,IF(J453&gt;Parâmetros!$B$6,0,INDEX(Parâmetros!$C$24:$C$26,MATCH(J453,Parâmetros!$A$24:$A$26,1))))</f>
        <v>40</v>
      </c>
      <c r="M453" s="31" t="n">
        <f aca="false">IF(G453="Prospecting",1,INDEX(Parâmetros!$C$32:$C$35,MATCH(J453,Parâmetros!$A$32:$A$35,1)))</f>
        <v>1</v>
      </c>
      <c r="N453" s="2" t="n">
        <f aca="false">ROUND((K453+L453)*M453,0)</f>
        <v>40</v>
      </c>
      <c r="O453" s="10" t="str">
        <f aca="false">IF(AND(G453="Engaging",J453&gt;Parâmetros!$B$6),"Sim","Não")</f>
        <v>Não</v>
      </c>
      <c r="P453" s="32" t="str">
        <f aca="false">IF(O453="Sim","R",IF(N453&gt;=Parâmetros!$B$39,"A",IF(N453&gt;=Parâmetros!$B$40,"B",IF(N453&gt;=Parâmetros!$B$41,"C","D"))))</f>
        <v>C</v>
      </c>
      <c r="Q453" s="10" t="str">
        <f aca="false">IF(F453="","Completar cadastro","")</f>
        <v>Completar cadastro</v>
      </c>
      <c r="R453" s="10" t="str">
        <f aca="false">INDEX(Parâmetros!$D$39:$D$43,MATCH(P453,Parâmetros!$A$39:$A$43,0))</f>
        <v>Cadência leve, foco em qualificar</v>
      </c>
    </row>
    <row r="454" customFormat="false" ht="15" hidden="false" customHeight="false" outlineLevel="0" collapsed="false">
      <c r="A454" s="10" t="s">
        <v>688</v>
      </c>
      <c r="B454" s="10" t="s">
        <v>69</v>
      </c>
      <c r="C454" s="10" t="s">
        <v>65</v>
      </c>
      <c r="D454" s="10" t="s">
        <v>160</v>
      </c>
      <c r="E454" s="10" t="s">
        <v>52</v>
      </c>
      <c r="F454" s="10" t="s">
        <v>674</v>
      </c>
      <c r="G454" s="10" t="s">
        <v>162</v>
      </c>
      <c r="H454" s="30" t="n">
        <v>42964</v>
      </c>
      <c r="I454" s="8" t="n">
        <f aca="false">INDEX(Parâmetros!$C$13:$C$19,MATCH(E454,Parâmetros!$A$13:$A$19,0))</f>
        <v>55</v>
      </c>
      <c r="J454" s="26" t="n">
        <f aca="false">IF(H454="","",Parâmetros!$B$5-H454)</f>
        <v>136</v>
      </c>
      <c r="K454" s="10" t="n">
        <f aca="false">INDEX(Parâmetros!$D$13:$D$19,MATCH(E454,Parâmetros!$A$13:$A$19,0))</f>
        <v>0</v>
      </c>
      <c r="L454" s="26" t="n">
        <f aca="false">IF(G454="Prospecting",Parâmetros!$B$9,IF(J454&gt;Parâmetros!$B$6,0,INDEX(Parâmetros!$C$24:$C$26,MATCH(J454,Parâmetros!$A$24:$A$26,1))))</f>
        <v>40</v>
      </c>
      <c r="M454" s="31" t="n">
        <f aca="false">IF(G454="Prospecting",1,INDEX(Parâmetros!$C$32:$C$35,MATCH(J454,Parâmetros!$A$32:$A$35,1)))</f>
        <v>1</v>
      </c>
      <c r="N454" s="2" t="n">
        <f aca="false">ROUND((K454+L454)*M454,0)</f>
        <v>40</v>
      </c>
      <c r="O454" s="10" t="str">
        <f aca="false">IF(AND(G454="Engaging",J454&gt;Parâmetros!$B$6),"Sim","Não")</f>
        <v>Não</v>
      </c>
      <c r="P454" s="32" t="str">
        <f aca="false">IF(O454="Sim","R",IF(N454&gt;=Parâmetros!$B$39,"A",IF(N454&gt;=Parâmetros!$B$40,"B",IF(N454&gt;=Parâmetros!$B$41,"C","D"))))</f>
        <v>C</v>
      </c>
      <c r="Q454" s="10" t="str">
        <f aca="false">IF(F454="","Completar cadastro","")</f>
        <v/>
      </c>
      <c r="R454" s="10" t="str">
        <f aca="false">INDEX(Parâmetros!$D$39:$D$43,MATCH(P454,Parâmetros!$A$39:$A$43,0))</f>
        <v>Cadência leve, foco em qualificar</v>
      </c>
    </row>
    <row r="455" customFormat="false" ht="15" hidden="false" customHeight="false" outlineLevel="0" collapsed="false">
      <c r="A455" s="10" t="s">
        <v>689</v>
      </c>
      <c r="B455" s="10" t="s">
        <v>62</v>
      </c>
      <c r="C455" s="10" t="s">
        <v>58</v>
      </c>
      <c r="D455" s="10" t="s">
        <v>165</v>
      </c>
      <c r="E455" s="10" t="s">
        <v>52</v>
      </c>
      <c r="F455" s="10" t="s">
        <v>424</v>
      </c>
      <c r="G455" s="10" t="s">
        <v>162</v>
      </c>
      <c r="H455" s="30" t="n">
        <v>42964</v>
      </c>
      <c r="I455" s="8" t="n">
        <f aca="false">INDEX(Parâmetros!$C$13:$C$19,MATCH(E455,Parâmetros!$A$13:$A$19,0))</f>
        <v>55</v>
      </c>
      <c r="J455" s="26" t="n">
        <f aca="false">IF(H455="","",Parâmetros!$B$5-H455)</f>
        <v>136</v>
      </c>
      <c r="K455" s="10" t="n">
        <f aca="false">INDEX(Parâmetros!$D$13:$D$19,MATCH(E455,Parâmetros!$A$13:$A$19,0))</f>
        <v>0</v>
      </c>
      <c r="L455" s="26" t="n">
        <f aca="false">IF(G455="Prospecting",Parâmetros!$B$9,IF(J455&gt;Parâmetros!$B$6,0,INDEX(Parâmetros!$C$24:$C$26,MATCH(J455,Parâmetros!$A$24:$A$26,1))))</f>
        <v>40</v>
      </c>
      <c r="M455" s="31" t="n">
        <f aca="false">IF(G455="Prospecting",1,INDEX(Parâmetros!$C$32:$C$35,MATCH(J455,Parâmetros!$A$32:$A$35,1)))</f>
        <v>1</v>
      </c>
      <c r="N455" s="2" t="n">
        <f aca="false">ROUND((K455+L455)*M455,0)</f>
        <v>40</v>
      </c>
      <c r="O455" s="10" t="str">
        <f aca="false">IF(AND(G455="Engaging",J455&gt;Parâmetros!$B$6),"Sim","Não")</f>
        <v>Não</v>
      </c>
      <c r="P455" s="32" t="str">
        <f aca="false">IF(O455="Sim","R",IF(N455&gt;=Parâmetros!$B$39,"A",IF(N455&gt;=Parâmetros!$B$40,"B",IF(N455&gt;=Parâmetros!$B$41,"C","D"))))</f>
        <v>C</v>
      </c>
      <c r="Q455" s="10" t="str">
        <f aca="false">IF(F455="","Completar cadastro","")</f>
        <v/>
      </c>
      <c r="R455" s="10" t="str">
        <f aca="false">INDEX(Parâmetros!$D$39:$D$43,MATCH(P455,Parâmetros!$A$39:$A$43,0))</f>
        <v>Cadência leve, foco em qualificar</v>
      </c>
    </row>
    <row r="456" customFormat="false" ht="15" hidden="false" customHeight="false" outlineLevel="0" collapsed="false">
      <c r="A456" s="10" t="s">
        <v>690</v>
      </c>
      <c r="B456" s="10" t="s">
        <v>87</v>
      </c>
      <c r="C456" s="10" t="s">
        <v>85</v>
      </c>
      <c r="D456" s="10" t="s">
        <v>165</v>
      </c>
      <c r="E456" s="10" t="s">
        <v>52</v>
      </c>
      <c r="F456" s="10"/>
      <c r="G456" s="10" t="s">
        <v>162</v>
      </c>
      <c r="H456" s="30" t="n">
        <v>42966</v>
      </c>
      <c r="I456" s="8" t="n">
        <f aca="false">INDEX(Parâmetros!$C$13:$C$19,MATCH(E456,Parâmetros!$A$13:$A$19,0))</f>
        <v>55</v>
      </c>
      <c r="J456" s="26" t="n">
        <f aca="false">IF(H456="","",Parâmetros!$B$5-H456)</f>
        <v>134</v>
      </c>
      <c r="K456" s="10" t="n">
        <f aca="false">INDEX(Parâmetros!$D$13:$D$19,MATCH(E456,Parâmetros!$A$13:$A$19,0))</f>
        <v>0</v>
      </c>
      <c r="L456" s="26" t="n">
        <f aca="false">IF(G456="Prospecting",Parâmetros!$B$9,IF(J456&gt;Parâmetros!$B$6,0,INDEX(Parâmetros!$C$24:$C$26,MATCH(J456,Parâmetros!$A$24:$A$26,1))))</f>
        <v>40</v>
      </c>
      <c r="M456" s="31" t="n">
        <f aca="false">IF(G456="Prospecting",1,INDEX(Parâmetros!$C$32:$C$35,MATCH(J456,Parâmetros!$A$32:$A$35,1)))</f>
        <v>1</v>
      </c>
      <c r="N456" s="2" t="n">
        <f aca="false">ROUND((K456+L456)*M456,0)</f>
        <v>40</v>
      </c>
      <c r="O456" s="10" t="str">
        <f aca="false">IF(AND(G456="Engaging",J456&gt;Parâmetros!$B$6),"Sim","Não")</f>
        <v>Não</v>
      </c>
      <c r="P456" s="32" t="str">
        <f aca="false">IF(O456="Sim","R",IF(N456&gt;=Parâmetros!$B$39,"A",IF(N456&gt;=Parâmetros!$B$40,"B",IF(N456&gt;=Parâmetros!$B$41,"C","D"))))</f>
        <v>C</v>
      </c>
      <c r="Q456" s="10" t="str">
        <f aca="false">IF(F456="","Completar cadastro","")</f>
        <v>Completar cadastro</v>
      </c>
      <c r="R456" s="10" t="str">
        <f aca="false">INDEX(Parâmetros!$D$39:$D$43,MATCH(P456,Parâmetros!$A$39:$A$43,0))</f>
        <v>Cadência leve, foco em qualificar</v>
      </c>
    </row>
    <row r="457" customFormat="false" ht="15" hidden="false" customHeight="false" outlineLevel="0" collapsed="false">
      <c r="A457" s="10" t="s">
        <v>691</v>
      </c>
      <c r="B457" s="10" t="s">
        <v>70</v>
      </c>
      <c r="C457" s="10" t="s">
        <v>65</v>
      </c>
      <c r="D457" s="10" t="s">
        <v>160</v>
      </c>
      <c r="E457" s="10" t="s">
        <v>52</v>
      </c>
      <c r="F457" s="10" t="s">
        <v>692</v>
      </c>
      <c r="G457" s="10" t="s">
        <v>162</v>
      </c>
      <c r="H457" s="30" t="n">
        <v>42967</v>
      </c>
      <c r="I457" s="8" t="n">
        <f aca="false">INDEX(Parâmetros!$C$13:$C$19,MATCH(E457,Parâmetros!$A$13:$A$19,0))</f>
        <v>55</v>
      </c>
      <c r="J457" s="26" t="n">
        <f aca="false">IF(H457="","",Parâmetros!$B$5-H457)</f>
        <v>133</v>
      </c>
      <c r="K457" s="10" t="n">
        <f aca="false">INDEX(Parâmetros!$D$13:$D$19,MATCH(E457,Parâmetros!$A$13:$A$19,0))</f>
        <v>0</v>
      </c>
      <c r="L457" s="26" t="n">
        <f aca="false">IF(G457="Prospecting",Parâmetros!$B$9,IF(J457&gt;Parâmetros!$B$6,0,INDEX(Parâmetros!$C$24:$C$26,MATCH(J457,Parâmetros!$A$24:$A$26,1))))</f>
        <v>40</v>
      </c>
      <c r="M457" s="31" t="n">
        <f aca="false">IF(G457="Prospecting",1,INDEX(Parâmetros!$C$32:$C$35,MATCH(J457,Parâmetros!$A$32:$A$35,1)))</f>
        <v>1</v>
      </c>
      <c r="N457" s="2" t="n">
        <f aca="false">ROUND((K457+L457)*M457,0)</f>
        <v>40</v>
      </c>
      <c r="O457" s="10" t="str">
        <f aca="false">IF(AND(G457="Engaging",J457&gt;Parâmetros!$B$6),"Sim","Não")</f>
        <v>Não</v>
      </c>
      <c r="P457" s="32" t="str">
        <f aca="false">IF(O457="Sim","R",IF(N457&gt;=Parâmetros!$B$39,"A",IF(N457&gt;=Parâmetros!$B$40,"B",IF(N457&gt;=Parâmetros!$B$41,"C","D"))))</f>
        <v>C</v>
      </c>
      <c r="Q457" s="10" t="str">
        <f aca="false">IF(F457="","Completar cadastro","")</f>
        <v/>
      </c>
      <c r="R457" s="10" t="str">
        <f aca="false">INDEX(Parâmetros!$D$39:$D$43,MATCH(P457,Parâmetros!$A$39:$A$43,0))</f>
        <v>Cadência leve, foco em qualificar</v>
      </c>
    </row>
    <row r="458" customFormat="false" ht="15" hidden="false" customHeight="false" outlineLevel="0" collapsed="false">
      <c r="A458" s="10" t="s">
        <v>693</v>
      </c>
      <c r="B458" s="10" t="s">
        <v>68</v>
      </c>
      <c r="C458" s="10" t="s">
        <v>65</v>
      </c>
      <c r="D458" s="10" t="s">
        <v>160</v>
      </c>
      <c r="E458" s="10" t="s">
        <v>52</v>
      </c>
      <c r="F458" s="10"/>
      <c r="G458" s="10" t="s">
        <v>162</v>
      </c>
      <c r="H458" s="30" t="n">
        <v>42968</v>
      </c>
      <c r="I458" s="8" t="n">
        <f aca="false">INDEX(Parâmetros!$C$13:$C$19,MATCH(E458,Parâmetros!$A$13:$A$19,0))</f>
        <v>55</v>
      </c>
      <c r="J458" s="26" t="n">
        <f aca="false">IF(H458="","",Parâmetros!$B$5-H458)</f>
        <v>132</v>
      </c>
      <c r="K458" s="10" t="n">
        <f aca="false">INDEX(Parâmetros!$D$13:$D$19,MATCH(E458,Parâmetros!$A$13:$A$19,0))</f>
        <v>0</v>
      </c>
      <c r="L458" s="26" t="n">
        <f aca="false">IF(G458="Prospecting",Parâmetros!$B$9,IF(J458&gt;Parâmetros!$B$6,0,INDEX(Parâmetros!$C$24:$C$26,MATCH(J458,Parâmetros!$A$24:$A$26,1))))</f>
        <v>40</v>
      </c>
      <c r="M458" s="31" t="n">
        <f aca="false">IF(G458="Prospecting",1,INDEX(Parâmetros!$C$32:$C$35,MATCH(J458,Parâmetros!$A$32:$A$35,1)))</f>
        <v>1</v>
      </c>
      <c r="N458" s="2" t="n">
        <f aca="false">ROUND((K458+L458)*M458,0)</f>
        <v>40</v>
      </c>
      <c r="O458" s="10" t="str">
        <f aca="false">IF(AND(G458="Engaging",J458&gt;Parâmetros!$B$6),"Sim","Não")</f>
        <v>Não</v>
      </c>
      <c r="P458" s="32" t="str">
        <f aca="false">IF(O458="Sim","R",IF(N458&gt;=Parâmetros!$B$39,"A",IF(N458&gt;=Parâmetros!$B$40,"B",IF(N458&gt;=Parâmetros!$B$41,"C","D"))))</f>
        <v>C</v>
      </c>
      <c r="Q458" s="10" t="str">
        <f aca="false">IF(F458="","Completar cadastro","")</f>
        <v>Completar cadastro</v>
      </c>
      <c r="R458" s="10" t="str">
        <f aca="false">INDEX(Parâmetros!$D$39:$D$43,MATCH(P458,Parâmetros!$A$39:$A$43,0))</f>
        <v>Cadência leve, foco em qualificar</v>
      </c>
    </row>
    <row r="459" customFormat="false" ht="15" hidden="false" customHeight="false" outlineLevel="0" collapsed="false">
      <c r="A459" s="10" t="s">
        <v>694</v>
      </c>
      <c r="B459" s="10" t="s">
        <v>69</v>
      </c>
      <c r="C459" s="10" t="s">
        <v>65</v>
      </c>
      <c r="D459" s="10" t="s">
        <v>160</v>
      </c>
      <c r="E459" s="10" t="s">
        <v>52</v>
      </c>
      <c r="F459" s="10" t="s">
        <v>419</v>
      </c>
      <c r="G459" s="10" t="s">
        <v>162</v>
      </c>
      <c r="H459" s="30" t="n">
        <v>42968</v>
      </c>
      <c r="I459" s="8" t="n">
        <f aca="false">INDEX(Parâmetros!$C$13:$C$19,MATCH(E459,Parâmetros!$A$13:$A$19,0))</f>
        <v>55</v>
      </c>
      <c r="J459" s="26" t="n">
        <f aca="false">IF(H459="","",Parâmetros!$B$5-H459)</f>
        <v>132</v>
      </c>
      <c r="K459" s="10" t="n">
        <f aca="false">INDEX(Parâmetros!$D$13:$D$19,MATCH(E459,Parâmetros!$A$13:$A$19,0))</f>
        <v>0</v>
      </c>
      <c r="L459" s="26" t="n">
        <f aca="false">IF(G459="Prospecting",Parâmetros!$B$9,IF(J459&gt;Parâmetros!$B$6,0,INDEX(Parâmetros!$C$24:$C$26,MATCH(J459,Parâmetros!$A$24:$A$26,1))))</f>
        <v>40</v>
      </c>
      <c r="M459" s="31" t="n">
        <f aca="false">IF(G459="Prospecting",1,INDEX(Parâmetros!$C$32:$C$35,MATCH(J459,Parâmetros!$A$32:$A$35,1)))</f>
        <v>1</v>
      </c>
      <c r="N459" s="2" t="n">
        <f aca="false">ROUND((K459+L459)*M459,0)</f>
        <v>40</v>
      </c>
      <c r="O459" s="10" t="str">
        <f aca="false">IF(AND(G459="Engaging",J459&gt;Parâmetros!$B$6),"Sim","Não")</f>
        <v>Não</v>
      </c>
      <c r="P459" s="32" t="str">
        <f aca="false">IF(O459="Sim","R",IF(N459&gt;=Parâmetros!$B$39,"A",IF(N459&gt;=Parâmetros!$B$40,"B",IF(N459&gt;=Parâmetros!$B$41,"C","D"))))</f>
        <v>C</v>
      </c>
      <c r="Q459" s="10" t="str">
        <f aca="false">IF(F459="","Completar cadastro","")</f>
        <v/>
      </c>
      <c r="R459" s="10" t="str">
        <f aca="false">INDEX(Parâmetros!$D$39:$D$43,MATCH(P459,Parâmetros!$A$39:$A$43,0))</f>
        <v>Cadência leve, foco em qualificar</v>
      </c>
    </row>
    <row r="460" customFormat="false" ht="15" hidden="false" customHeight="false" outlineLevel="0" collapsed="false">
      <c r="A460" s="10" t="s">
        <v>695</v>
      </c>
      <c r="B460" s="10" t="s">
        <v>70</v>
      </c>
      <c r="C460" s="10" t="s">
        <v>65</v>
      </c>
      <c r="D460" s="10" t="s">
        <v>160</v>
      </c>
      <c r="E460" s="10" t="s">
        <v>52</v>
      </c>
      <c r="F460" s="10"/>
      <c r="G460" s="10" t="s">
        <v>162</v>
      </c>
      <c r="H460" s="30" t="n">
        <v>42968</v>
      </c>
      <c r="I460" s="8" t="n">
        <f aca="false">INDEX(Parâmetros!$C$13:$C$19,MATCH(E460,Parâmetros!$A$13:$A$19,0))</f>
        <v>55</v>
      </c>
      <c r="J460" s="26" t="n">
        <f aca="false">IF(H460="","",Parâmetros!$B$5-H460)</f>
        <v>132</v>
      </c>
      <c r="K460" s="10" t="n">
        <f aca="false">INDEX(Parâmetros!$D$13:$D$19,MATCH(E460,Parâmetros!$A$13:$A$19,0))</f>
        <v>0</v>
      </c>
      <c r="L460" s="26" t="n">
        <f aca="false">IF(G460="Prospecting",Parâmetros!$B$9,IF(J460&gt;Parâmetros!$B$6,0,INDEX(Parâmetros!$C$24:$C$26,MATCH(J460,Parâmetros!$A$24:$A$26,1))))</f>
        <v>40</v>
      </c>
      <c r="M460" s="31" t="n">
        <f aca="false">IF(G460="Prospecting",1,INDEX(Parâmetros!$C$32:$C$35,MATCH(J460,Parâmetros!$A$32:$A$35,1)))</f>
        <v>1</v>
      </c>
      <c r="N460" s="2" t="n">
        <f aca="false">ROUND((K460+L460)*M460,0)</f>
        <v>40</v>
      </c>
      <c r="O460" s="10" t="str">
        <f aca="false">IF(AND(G460="Engaging",J460&gt;Parâmetros!$B$6),"Sim","Não")</f>
        <v>Não</v>
      </c>
      <c r="P460" s="32" t="str">
        <f aca="false">IF(O460="Sim","R",IF(N460&gt;=Parâmetros!$B$39,"A",IF(N460&gt;=Parâmetros!$B$40,"B",IF(N460&gt;=Parâmetros!$B$41,"C","D"))))</f>
        <v>C</v>
      </c>
      <c r="Q460" s="10" t="str">
        <f aca="false">IF(F460="","Completar cadastro","")</f>
        <v>Completar cadastro</v>
      </c>
      <c r="R460" s="10" t="str">
        <f aca="false">INDEX(Parâmetros!$D$39:$D$43,MATCH(P460,Parâmetros!$A$39:$A$43,0))</f>
        <v>Cadência leve, foco em qualificar</v>
      </c>
    </row>
    <row r="461" customFormat="false" ht="15" hidden="false" customHeight="false" outlineLevel="0" collapsed="false">
      <c r="A461" s="10" t="s">
        <v>696</v>
      </c>
      <c r="B461" s="10" t="s">
        <v>70</v>
      </c>
      <c r="C461" s="10" t="s">
        <v>65</v>
      </c>
      <c r="D461" s="10" t="s">
        <v>160</v>
      </c>
      <c r="E461" s="10" t="s">
        <v>52</v>
      </c>
      <c r="F461" s="10" t="s">
        <v>697</v>
      </c>
      <c r="G461" s="10" t="s">
        <v>162</v>
      </c>
      <c r="H461" s="30" t="n">
        <v>42970</v>
      </c>
      <c r="I461" s="8" t="n">
        <f aca="false">INDEX(Parâmetros!$C$13:$C$19,MATCH(E461,Parâmetros!$A$13:$A$19,0))</f>
        <v>55</v>
      </c>
      <c r="J461" s="26" t="n">
        <f aca="false">IF(H461="","",Parâmetros!$B$5-H461)</f>
        <v>130</v>
      </c>
      <c r="K461" s="10" t="n">
        <f aca="false">INDEX(Parâmetros!$D$13:$D$19,MATCH(E461,Parâmetros!$A$13:$A$19,0))</f>
        <v>0</v>
      </c>
      <c r="L461" s="26" t="n">
        <f aca="false">IF(G461="Prospecting",Parâmetros!$B$9,IF(J461&gt;Parâmetros!$B$6,0,INDEX(Parâmetros!$C$24:$C$26,MATCH(J461,Parâmetros!$A$24:$A$26,1))))</f>
        <v>40</v>
      </c>
      <c r="M461" s="31" t="n">
        <f aca="false">IF(G461="Prospecting",1,INDEX(Parâmetros!$C$32:$C$35,MATCH(J461,Parâmetros!$A$32:$A$35,1)))</f>
        <v>1</v>
      </c>
      <c r="N461" s="2" t="n">
        <f aca="false">ROUND((K461+L461)*M461,0)</f>
        <v>40</v>
      </c>
      <c r="O461" s="10" t="str">
        <f aca="false">IF(AND(G461="Engaging",J461&gt;Parâmetros!$B$6),"Sim","Não")</f>
        <v>Não</v>
      </c>
      <c r="P461" s="32" t="str">
        <f aca="false">IF(O461="Sim","R",IF(N461&gt;=Parâmetros!$B$39,"A",IF(N461&gt;=Parâmetros!$B$40,"B",IF(N461&gt;=Parâmetros!$B$41,"C","D"))))</f>
        <v>C</v>
      </c>
      <c r="Q461" s="10" t="str">
        <f aca="false">IF(F461="","Completar cadastro","")</f>
        <v/>
      </c>
      <c r="R461" s="10" t="str">
        <f aca="false">INDEX(Parâmetros!$D$39:$D$43,MATCH(P461,Parâmetros!$A$39:$A$43,0))</f>
        <v>Cadência leve, foco em qualificar</v>
      </c>
    </row>
    <row r="462" customFormat="false" ht="15" hidden="false" customHeight="false" outlineLevel="0" collapsed="false">
      <c r="A462" s="10" t="s">
        <v>698</v>
      </c>
      <c r="B462" s="10" t="s">
        <v>62</v>
      </c>
      <c r="C462" s="10" t="s">
        <v>58</v>
      </c>
      <c r="D462" s="10" t="s">
        <v>165</v>
      </c>
      <c r="E462" s="10" t="s">
        <v>52</v>
      </c>
      <c r="F462" s="10" t="s">
        <v>455</v>
      </c>
      <c r="G462" s="10" t="s">
        <v>162</v>
      </c>
      <c r="H462" s="30" t="n">
        <v>42972</v>
      </c>
      <c r="I462" s="8" t="n">
        <f aca="false">INDEX(Parâmetros!$C$13:$C$19,MATCH(E462,Parâmetros!$A$13:$A$19,0))</f>
        <v>55</v>
      </c>
      <c r="J462" s="26" t="n">
        <f aca="false">IF(H462="","",Parâmetros!$B$5-H462)</f>
        <v>128</v>
      </c>
      <c r="K462" s="10" t="n">
        <f aca="false">INDEX(Parâmetros!$D$13:$D$19,MATCH(E462,Parâmetros!$A$13:$A$19,0))</f>
        <v>0</v>
      </c>
      <c r="L462" s="26" t="n">
        <f aca="false">IF(G462="Prospecting",Parâmetros!$B$9,IF(J462&gt;Parâmetros!$B$6,0,INDEX(Parâmetros!$C$24:$C$26,MATCH(J462,Parâmetros!$A$24:$A$26,1))))</f>
        <v>40</v>
      </c>
      <c r="M462" s="31" t="n">
        <f aca="false">IF(G462="Prospecting",1,INDEX(Parâmetros!$C$32:$C$35,MATCH(J462,Parâmetros!$A$32:$A$35,1)))</f>
        <v>1</v>
      </c>
      <c r="N462" s="2" t="n">
        <f aca="false">ROUND((K462+L462)*M462,0)</f>
        <v>40</v>
      </c>
      <c r="O462" s="10" t="str">
        <f aca="false">IF(AND(G462="Engaging",J462&gt;Parâmetros!$B$6),"Sim","Não")</f>
        <v>Não</v>
      </c>
      <c r="P462" s="32" t="str">
        <f aca="false">IF(O462="Sim","R",IF(N462&gt;=Parâmetros!$B$39,"A",IF(N462&gt;=Parâmetros!$B$40,"B",IF(N462&gt;=Parâmetros!$B$41,"C","D"))))</f>
        <v>C</v>
      </c>
      <c r="Q462" s="10" t="str">
        <f aca="false">IF(F462="","Completar cadastro","")</f>
        <v/>
      </c>
      <c r="R462" s="10" t="str">
        <f aca="false">INDEX(Parâmetros!$D$39:$D$43,MATCH(P462,Parâmetros!$A$39:$A$43,0))</f>
        <v>Cadência leve, foco em qualificar</v>
      </c>
    </row>
    <row r="463" customFormat="false" ht="15" hidden="false" customHeight="false" outlineLevel="0" collapsed="false">
      <c r="A463" s="10" t="s">
        <v>699</v>
      </c>
      <c r="B463" s="10" t="s">
        <v>69</v>
      </c>
      <c r="C463" s="10" t="s">
        <v>65</v>
      </c>
      <c r="D463" s="10" t="s">
        <v>160</v>
      </c>
      <c r="E463" s="10" t="s">
        <v>52</v>
      </c>
      <c r="F463" s="10"/>
      <c r="G463" s="10" t="s">
        <v>162</v>
      </c>
      <c r="H463" s="30" t="n">
        <v>42973</v>
      </c>
      <c r="I463" s="8" t="n">
        <f aca="false">INDEX(Parâmetros!$C$13:$C$19,MATCH(E463,Parâmetros!$A$13:$A$19,0))</f>
        <v>55</v>
      </c>
      <c r="J463" s="26" t="n">
        <f aca="false">IF(H463="","",Parâmetros!$B$5-H463)</f>
        <v>127</v>
      </c>
      <c r="K463" s="10" t="n">
        <f aca="false">INDEX(Parâmetros!$D$13:$D$19,MATCH(E463,Parâmetros!$A$13:$A$19,0))</f>
        <v>0</v>
      </c>
      <c r="L463" s="26" t="n">
        <f aca="false">IF(G463="Prospecting",Parâmetros!$B$9,IF(J463&gt;Parâmetros!$B$6,0,INDEX(Parâmetros!$C$24:$C$26,MATCH(J463,Parâmetros!$A$24:$A$26,1))))</f>
        <v>40</v>
      </c>
      <c r="M463" s="31" t="n">
        <f aca="false">IF(G463="Prospecting",1,INDEX(Parâmetros!$C$32:$C$35,MATCH(J463,Parâmetros!$A$32:$A$35,1)))</f>
        <v>1</v>
      </c>
      <c r="N463" s="2" t="n">
        <f aca="false">ROUND((K463+L463)*M463,0)</f>
        <v>40</v>
      </c>
      <c r="O463" s="10" t="str">
        <f aca="false">IF(AND(G463="Engaging",J463&gt;Parâmetros!$B$6),"Sim","Não")</f>
        <v>Não</v>
      </c>
      <c r="P463" s="32" t="str">
        <f aca="false">IF(O463="Sim","R",IF(N463&gt;=Parâmetros!$B$39,"A",IF(N463&gt;=Parâmetros!$B$40,"B",IF(N463&gt;=Parâmetros!$B$41,"C","D"))))</f>
        <v>C</v>
      </c>
      <c r="Q463" s="10" t="str">
        <f aca="false">IF(F463="","Completar cadastro","")</f>
        <v>Completar cadastro</v>
      </c>
      <c r="R463" s="10" t="str">
        <f aca="false">INDEX(Parâmetros!$D$39:$D$43,MATCH(P463,Parâmetros!$A$39:$A$43,0))</f>
        <v>Cadência leve, foco em qualificar</v>
      </c>
    </row>
    <row r="464" customFormat="false" ht="15" hidden="false" customHeight="false" outlineLevel="0" collapsed="false">
      <c r="A464" s="10" t="s">
        <v>700</v>
      </c>
      <c r="B464" s="10" t="s">
        <v>94</v>
      </c>
      <c r="C464" s="10" t="s">
        <v>92</v>
      </c>
      <c r="D464" s="10" t="s">
        <v>160</v>
      </c>
      <c r="E464" s="10" t="s">
        <v>52</v>
      </c>
      <c r="F464" s="10"/>
      <c r="G464" s="10" t="s">
        <v>162</v>
      </c>
      <c r="H464" s="30" t="n">
        <v>42974</v>
      </c>
      <c r="I464" s="8" t="n">
        <f aca="false">INDEX(Parâmetros!$C$13:$C$19,MATCH(E464,Parâmetros!$A$13:$A$19,0))</f>
        <v>55</v>
      </c>
      <c r="J464" s="26" t="n">
        <f aca="false">IF(H464="","",Parâmetros!$B$5-H464)</f>
        <v>126</v>
      </c>
      <c r="K464" s="10" t="n">
        <f aca="false">INDEX(Parâmetros!$D$13:$D$19,MATCH(E464,Parâmetros!$A$13:$A$19,0))</f>
        <v>0</v>
      </c>
      <c r="L464" s="26" t="n">
        <f aca="false">IF(G464="Prospecting",Parâmetros!$B$9,IF(J464&gt;Parâmetros!$B$6,0,INDEX(Parâmetros!$C$24:$C$26,MATCH(J464,Parâmetros!$A$24:$A$26,1))))</f>
        <v>40</v>
      </c>
      <c r="M464" s="31" t="n">
        <f aca="false">IF(G464="Prospecting",1,INDEX(Parâmetros!$C$32:$C$35,MATCH(J464,Parâmetros!$A$32:$A$35,1)))</f>
        <v>1</v>
      </c>
      <c r="N464" s="2" t="n">
        <f aca="false">ROUND((K464+L464)*M464,0)</f>
        <v>40</v>
      </c>
      <c r="O464" s="10" t="str">
        <f aca="false">IF(AND(G464="Engaging",J464&gt;Parâmetros!$B$6),"Sim","Não")</f>
        <v>Não</v>
      </c>
      <c r="P464" s="32" t="str">
        <f aca="false">IF(O464="Sim","R",IF(N464&gt;=Parâmetros!$B$39,"A",IF(N464&gt;=Parâmetros!$B$40,"B",IF(N464&gt;=Parâmetros!$B$41,"C","D"))))</f>
        <v>C</v>
      </c>
      <c r="Q464" s="10" t="str">
        <f aca="false">IF(F464="","Completar cadastro","")</f>
        <v>Completar cadastro</v>
      </c>
      <c r="R464" s="10" t="str">
        <f aca="false">INDEX(Parâmetros!$D$39:$D$43,MATCH(P464,Parâmetros!$A$39:$A$43,0))</f>
        <v>Cadência leve, foco em qualificar</v>
      </c>
    </row>
    <row r="465" customFormat="false" ht="15" hidden="false" customHeight="false" outlineLevel="0" collapsed="false">
      <c r="A465" s="10" t="s">
        <v>701</v>
      </c>
      <c r="B465" s="10" t="s">
        <v>86</v>
      </c>
      <c r="C465" s="10" t="s">
        <v>85</v>
      </c>
      <c r="D465" s="10" t="s">
        <v>165</v>
      </c>
      <c r="E465" s="10" t="s">
        <v>52</v>
      </c>
      <c r="F465" s="10"/>
      <c r="G465" s="10" t="s">
        <v>162</v>
      </c>
      <c r="H465" s="30" t="n">
        <v>42977</v>
      </c>
      <c r="I465" s="8" t="n">
        <f aca="false">INDEX(Parâmetros!$C$13:$C$19,MATCH(E465,Parâmetros!$A$13:$A$19,0))</f>
        <v>55</v>
      </c>
      <c r="J465" s="26" t="n">
        <f aca="false">IF(H465="","",Parâmetros!$B$5-H465)</f>
        <v>123</v>
      </c>
      <c r="K465" s="10" t="n">
        <f aca="false">INDEX(Parâmetros!$D$13:$D$19,MATCH(E465,Parâmetros!$A$13:$A$19,0))</f>
        <v>0</v>
      </c>
      <c r="L465" s="26" t="n">
        <f aca="false">IF(G465="Prospecting",Parâmetros!$B$9,IF(J465&gt;Parâmetros!$B$6,0,INDEX(Parâmetros!$C$24:$C$26,MATCH(J465,Parâmetros!$A$24:$A$26,1))))</f>
        <v>40</v>
      </c>
      <c r="M465" s="31" t="n">
        <f aca="false">IF(G465="Prospecting",1,INDEX(Parâmetros!$C$32:$C$35,MATCH(J465,Parâmetros!$A$32:$A$35,1)))</f>
        <v>1</v>
      </c>
      <c r="N465" s="2" t="n">
        <f aca="false">ROUND((K465+L465)*M465,0)</f>
        <v>40</v>
      </c>
      <c r="O465" s="10" t="str">
        <f aca="false">IF(AND(G465="Engaging",J465&gt;Parâmetros!$B$6),"Sim","Não")</f>
        <v>Não</v>
      </c>
      <c r="P465" s="32" t="str">
        <f aca="false">IF(O465="Sim","R",IF(N465&gt;=Parâmetros!$B$39,"A",IF(N465&gt;=Parâmetros!$B$40,"B",IF(N465&gt;=Parâmetros!$B$41,"C","D"))))</f>
        <v>C</v>
      </c>
      <c r="Q465" s="10" t="str">
        <f aca="false">IF(F465="","Completar cadastro","")</f>
        <v>Completar cadastro</v>
      </c>
      <c r="R465" s="10" t="str">
        <f aca="false">INDEX(Parâmetros!$D$39:$D$43,MATCH(P465,Parâmetros!$A$39:$A$43,0))</f>
        <v>Cadência leve, foco em qualificar</v>
      </c>
    </row>
    <row r="466" customFormat="false" ht="15" hidden="false" customHeight="false" outlineLevel="0" collapsed="false">
      <c r="A466" s="10" t="s">
        <v>702</v>
      </c>
      <c r="B466" s="10" t="s">
        <v>68</v>
      </c>
      <c r="C466" s="10" t="s">
        <v>65</v>
      </c>
      <c r="D466" s="10" t="s">
        <v>160</v>
      </c>
      <c r="E466" s="10" t="s">
        <v>52</v>
      </c>
      <c r="F466" s="10"/>
      <c r="G466" s="10" t="s">
        <v>162</v>
      </c>
      <c r="H466" s="30" t="n">
        <v>42977</v>
      </c>
      <c r="I466" s="8" t="n">
        <f aca="false">INDEX(Parâmetros!$C$13:$C$19,MATCH(E466,Parâmetros!$A$13:$A$19,0))</f>
        <v>55</v>
      </c>
      <c r="J466" s="26" t="n">
        <f aca="false">IF(H466="","",Parâmetros!$B$5-H466)</f>
        <v>123</v>
      </c>
      <c r="K466" s="10" t="n">
        <f aca="false">INDEX(Parâmetros!$D$13:$D$19,MATCH(E466,Parâmetros!$A$13:$A$19,0))</f>
        <v>0</v>
      </c>
      <c r="L466" s="26" t="n">
        <f aca="false">IF(G466="Prospecting",Parâmetros!$B$9,IF(J466&gt;Parâmetros!$B$6,0,INDEX(Parâmetros!$C$24:$C$26,MATCH(J466,Parâmetros!$A$24:$A$26,1))))</f>
        <v>40</v>
      </c>
      <c r="M466" s="31" t="n">
        <f aca="false">IF(G466="Prospecting",1,INDEX(Parâmetros!$C$32:$C$35,MATCH(J466,Parâmetros!$A$32:$A$35,1)))</f>
        <v>1</v>
      </c>
      <c r="N466" s="2" t="n">
        <f aca="false">ROUND((K466+L466)*M466,0)</f>
        <v>40</v>
      </c>
      <c r="O466" s="10" t="str">
        <f aca="false">IF(AND(G466="Engaging",J466&gt;Parâmetros!$B$6),"Sim","Não")</f>
        <v>Não</v>
      </c>
      <c r="P466" s="32" t="str">
        <f aca="false">IF(O466="Sim","R",IF(N466&gt;=Parâmetros!$B$39,"A",IF(N466&gt;=Parâmetros!$B$40,"B",IF(N466&gt;=Parâmetros!$B$41,"C","D"))))</f>
        <v>C</v>
      </c>
      <c r="Q466" s="10" t="str">
        <f aca="false">IF(F466="","Completar cadastro","")</f>
        <v>Completar cadastro</v>
      </c>
      <c r="R466" s="10" t="str">
        <f aca="false">INDEX(Parâmetros!$D$39:$D$43,MATCH(P466,Parâmetros!$A$39:$A$43,0))</f>
        <v>Cadência leve, foco em qualificar</v>
      </c>
    </row>
    <row r="467" customFormat="false" ht="15" hidden="false" customHeight="false" outlineLevel="0" collapsed="false">
      <c r="A467" s="10" t="s">
        <v>703</v>
      </c>
      <c r="B467" s="10" t="s">
        <v>69</v>
      </c>
      <c r="C467" s="10" t="s">
        <v>65</v>
      </c>
      <c r="D467" s="10" t="s">
        <v>160</v>
      </c>
      <c r="E467" s="10" t="s">
        <v>52</v>
      </c>
      <c r="F467" s="10"/>
      <c r="G467" s="10" t="s">
        <v>162</v>
      </c>
      <c r="H467" s="30" t="n">
        <v>42977</v>
      </c>
      <c r="I467" s="8" t="n">
        <f aca="false">INDEX(Parâmetros!$C$13:$C$19,MATCH(E467,Parâmetros!$A$13:$A$19,0))</f>
        <v>55</v>
      </c>
      <c r="J467" s="26" t="n">
        <f aca="false">IF(H467="","",Parâmetros!$B$5-H467)</f>
        <v>123</v>
      </c>
      <c r="K467" s="10" t="n">
        <f aca="false">INDEX(Parâmetros!$D$13:$D$19,MATCH(E467,Parâmetros!$A$13:$A$19,0))</f>
        <v>0</v>
      </c>
      <c r="L467" s="26" t="n">
        <f aca="false">IF(G467="Prospecting",Parâmetros!$B$9,IF(J467&gt;Parâmetros!$B$6,0,INDEX(Parâmetros!$C$24:$C$26,MATCH(J467,Parâmetros!$A$24:$A$26,1))))</f>
        <v>40</v>
      </c>
      <c r="M467" s="31" t="n">
        <f aca="false">IF(G467="Prospecting",1,INDEX(Parâmetros!$C$32:$C$35,MATCH(J467,Parâmetros!$A$32:$A$35,1)))</f>
        <v>1</v>
      </c>
      <c r="N467" s="2" t="n">
        <f aca="false">ROUND((K467+L467)*M467,0)</f>
        <v>40</v>
      </c>
      <c r="O467" s="10" t="str">
        <f aca="false">IF(AND(G467="Engaging",J467&gt;Parâmetros!$B$6),"Sim","Não")</f>
        <v>Não</v>
      </c>
      <c r="P467" s="32" t="str">
        <f aca="false">IF(O467="Sim","R",IF(N467&gt;=Parâmetros!$B$39,"A",IF(N467&gt;=Parâmetros!$B$40,"B",IF(N467&gt;=Parâmetros!$B$41,"C","D"))))</f>
        <v>C</v>
      </c>
      <c r="Q467" s="10" t="str">
        <f aca="false">IF(F467="","Completar cadastro","")</f>
        <v>Completar cadastro</v>
      </c>
      <c r="R467" s="10" t="str">
        <f aca="false">INDEX(Parâmetros!$D$39:$D$43,MATCH(P467,Parâmetros!$A$39:$A$43,0))</f>
        <v>Cadência leve, foco em qualificar</v>
      </c>
    </row>
    <row r="468" customFormat="false" ht="15" hidden="false" customHeight="false" outlineLevel="0" collapsed="false">
      <c r="A468" s="10" t="s">
        <v>704</v>
      </c>
      <c r="B468" s="10" t="s">
        <v>62</v>
      </c>
      <c r="C468" s="10" t="s">
        <v>58</v>
      </c>
      <c r="D468" s="10" t="s">
        <v>165</v>
      </c>
      <c r="E468" s="10" t="s">
        <v>52</v>
      </c>
      <c r="F468" s="10"/>
      <c r="G468" s="10" t="s">
        <v>162</v>
      </c>
      <c r="H468" s="30" t="n">
        <v>42977</v>
      </c>
      <c r="I468" s="8" t="n">
        <f aca="false">INDEX(Parâmetros!$C$13:$C$19,MATCH(E468,Parâmetros!$A$13:$A$19,0))</f>
        <v>55</v>
      </c>
      <c r="J468" s="26" t="n">
        <f aca="false">IF(H468="","",Parâmetros!$B$5-H468)</f>
        <v>123</v>
      </c>
      <c r="K468" s="10" t="n">
        <f aca="false">INDEX(Parâmetros!$D$13:$D$19,MATCH(E468,Parâmetros!$A$13:$A$19,0))</f>
        <v>0</v>
      </c>
      <c r="L468" s="26" t="n">
        <f aca="false">IF(G468="Prospecting",Parâmetros!$B$9,IF(J468&gt;Parâmetros!$B$6,0,INDEX(Parâmetros!$C$24:$C$26,MATCH(J468,Parâmetros!$A$24:$A$26,1))))</f>
        <v>40</v>
      </c>
      <c r="M468" s="31" t="n">
        <f aca="false">IF(G468="Prospecting",1,INDEX(Parâmetros!$C$32:$C$35,MATCH(J468,Parâmetros!$A$32:$A$35,1)))</f>
        <v>1</v>
      </c>
      <c r="N468" s="2" t="n">
        <f aca="false">ROUND((K468+L468)*M468,0)</f>
        <v>40</v>
      </c>
      <c r="O468" s="10" t="str">
        <f aca="false">IF(AND(G468="Engaging",J468&gt;Parâmetros!$B$6),"Sim","Não")</f>
        <v>Não</v>
      </c>
      <c r="P468" s="32" t="str">
        <f aca="false">IF(O468="Sim","R",IF(N468&gt;=Parâmetros!$B$39,"A",IF(N468&gt;=Parâmetros!$B$40,"B",IF(N468&gt;=Parâmetros!$B$41,"C","D"))))</f>
        <v>C</v>
      </c>
      <c r="Q468" s="10" t="str">
        <f aca="false">IF(F468="","Completar cadastro","")</f>
        <v>Completar cadastro</v>
      </c>
      <c r="R468" s="10" t="str">
        <f aca="false">INDEX(Parâmetros!$D$39:$D$43,MATCH(P468,Parâmetros!$A$39:$A$43,0))</f>
        <v>Cadência leve, foco em qualificar</v>
      </c>
    </row>
    <row r="469" customFormat="false" ht="15" hidden="false" customHeight="false" outlineLevel="0" collapsed="false">
      <c r="A469" s="10" t="s">
        <v>705</v>
      </c>
      <c r="B469" s="10" t="s">
        <v>66</v>
      </c>
      <c r="C469" s="10" t="s">
        <v>65</v>
      </c>
      <c r="D469" s="10" t="s">
        <v>160</v>
      </c>
      <c r="E469" s="10" t="s">
        <v>52</v>
      </c>
      <c r="F469" s="10"/>
      <c r="G469" s="10" t="s">
        <v>162</v>
      </c>
      <c r="H469" s="30" t="n">
        <v>42979</v>
      </c>
      <c r="I469" s="8" t="n">
        <f aca="false">INDEX(Parâmetros!$C$13:$C$19,MATCH(E469,Parâmetros!$A$13:$A$19,0))</f>
        <v>55</v>
      </c>
      <c r="J469" s="26" t="n">
        <f aca="false">IF(H469="","",Parâmetros!$B$5-H469)</f>
        <v>121</v>
      </c>
      <c r="K469" s="10" t="n">
        <f aca="false">INDEX(Parâmetros!$D$13:$D$19,MATCH(E469,Parâmetros!$A$13:$A$19,0))</f>
        <v>0</v>
      </c>
      <c r="L469" s="26" t="n">
        <f aca="false">IF(G469="Prospecting",Parâmetros!$B$9,IF(J469&gt;Parâmetros!$B$6,0,INDEX(Parâmetros!$C$24:$C$26,MATCH(J469,Parâmetros!$A$24:$A$26,1))))</f>
        <v>40</v>
      </c>
      <c r="M469" s="31" t="n">
        <f aca="false">IF(G469="Prospecting",1,INDEX(Parâmetros!$C$32:$C$35,MATCH(J469,Parâmetros!$A$32:$A$35,1)))</f>
        <v>1</v>
      </c>
      <c r="N469" s="2" t="n">
        <f aca="false">ROUND((K469+L469)*M469,0)</f>
        <v>40</v>
      </c>
      <c r="O469" s="10" t="str">
        <f aca="false">IF(AND(G469="Engaging",J469&gt;Parâmetros!$B$6),"Sim","Não")</f>
        <v>Não</v>
      </c>
      <c r="P469" s="32" t="str">
        <f aca="false">IF(O469="Sim","R",IF(N469&gt;=Parâmetros!$B$39,"A",IF(N469&gt;=Parâmetros!$B$40,"B",IF(N469&gt;=Parâmetros!$B$41,"C","D"))))</f>
        <v>C</v>
      </c>
      <c r="Q469" s="10" t="str">
        <f aca="false">IF(F469="","Completar cadastro","")</f>
        <v>Completar cadastro</v>
      </c>
      <c r="R469" s="10" t="str">
        <f aca="false">INDEX(Parâmetros!$D$39:$D$43,MATCH(P469,Parâmetros!$A$39:$A$43,0))</f>
        <v>Cadência leve, foco em qualificar</v>
      </c>
    </row>
    <row r="470" customFormat="false" ht="15" hidden="false" customHeight="false" outlineLevel="0" collapsed="false">
      <c r="A470" s="10" t="s">
        <v>706</v>
      </c>
      <c r="B470" s="10" t="s">
        <v>66</v>
      </c>
      <c r="C470" s="10" t="s">
        <v>65</v>
      </c>
      <c r="D470" s="10" t="s">
        <v>160</v>
      </c>
      <c r="E470" s="10" t="s">
        <v>52</v>
      </c>
      <c r="F470" s="10"/>
      <c r="G470" s="10" t="s">
        <v>162</v>
      </c>
      <c r="H470" s="30" t="n">
        <v>42981</v>
      </c>
      <c r="I470" s="8" t="n">
        <f aca="false">INDEX(Parâmetros!$C$13:$C$19,MATCH(E470,Parâmetros!$A$13:$A$19,0))</f>
        <v>55</v>
      </c>
      <c r="J470" s="26" t="n">
        <f aca="false">IF(H470="","",Parâmetros!$B$5-H470)</f>
        <v>119</v>
      </c>
      <c r="K470" s="10" t="n">
        <f aca="false">INDEX(Parâmetros!$D$13:$D$19,MATCH(E470,Parâmetros!$A$13:$A$19,0))</f>
        <v>0</v>
      </c>
      <c r="L470" s="26" t="n">
        <f aca="false">IF(G470="Prospecting",Parâmetros!$B$9,IF(J470&gt;Parâmetros!$B$6,0,INDEX(Parâmetros!$C$24:$C$26,MATCH(J470,Parâmetros!$A$24:$A$26,1))))</f>
        <v>40</v>
      </c>
      <c r="M470" s="31" t="n">
        <f aca="false">IF(G470="Prospecting",1,INDEX(Parâmetros!$C$32:$C$35,MATCH(J470,Parâmetros!$A$32:$A$35,1)))</f>
        <v>1</v>
      </c>
      <c r="N470" s="2" t="n">
        <f aca="false">ROUND((K470+L470)*M470,0)</f>
        <v>40</v>
      </c>
      <c r="O470" s="10" t="str">
        <f aca="false">IF(AND(G470="Engaging",J470&gt;Parâmetros!$B$6),"Sim","Não")</f>
        <v>Não</v>
      </c>
      <c r="P470" s="32" t="str">
        <f aca="false">IF(O470="Sim","R",IF(N470&gt;=Parâmetros!$B$39,"A",IF(N470&gt;=Parâmetros!$B$40,"B",IF(N470&gt;=Parâmetros!$B$41,"C","D"))))</f>
        <v>C</v>
      </c>
      <c r="Q470" s="10" t="str">
        <f aca="false">IF(F470="","Completar cadastro","")</f>
        <v>Completar cadastro</v>
      </c>
      <c r="R470" s="10" t="str">
        <f aca="false">INDEX(Parâmetros!$D$39:$D$43,MATCH(P470,Parâmetros!$A$39:$A$43,0))</f>
        <v>Cadência leve, foco em qualificar</v>
      </c>
    </row>
    <row r="471" customFormat="false" ht="15" hidden="false" customHeight="false" outlineLevel="0" collapsed="false">
      <c r="A471" s="10" t="s">
        <v>707</v>
      </c>
      <c r="B471" s="10" t="s">
        <v>67</v>
      </c>
      <c r="C471" s="10" t="s">
        <v>65</v>
      </c>
      <c r="D471" s="10" t="s">
        <v>160</v>
      </c>
      <c r="E471" s="10" t="s">
        <v>52</v>
      </c>
      <c r="F471" s="10" t="s">
        <v>369</v>
      </c>
      <c r="G471" s="10" t="s">
        <v>162</v>
      </c>
      <c r="H471" s="30" t="n">
        <v>42981</v>
      </c>
      <c r="I471" s="8" t="n">
        <f aca="false">INDEX(Parâmetros!$C$13:$C$19,MATCH(E471,Parâmetros!$A$13:$A$19,0))</f>
        <v>55</v>
      </c>
      <c r="J471" s="26" t="n">
        <f aca="false">IF(H471="","",Parâmetros!$B$5-H471)</f>
        <v>119</v>
      </c>
      <c r="K471" s="10" t="n">
        <f aca="false">INDEX(Parâmetros!$D$13:$D$19,MATCH(E471,Parâmetros!$A$13:$A$19,0))</f>
        <v>0</v>
      </c>
      <c r="L471" s="26" t="n">
        <f aca="false">IF(G471="Prospecting",Parâmetros!$B$9,IF(J471&gt;Parâmetros!$B$6,0,INDEX(Parâmetros!$C$24:$C$26,MATCH(J471,Parâmetros!$A$24:$A$26,1))))</f>
        <v>40</v>
      </c>
      <c r="M471" s="31" t="n">
        <f aca="false">IF(G471="Prospecting",1,INDEX(Parâmetros!$C$32:$C$35,MATCH(J471,Parâmetros!$A$32:$A$35,1)))</f>
        <v>1</v>
      </c>
      <c r="N471" s="2" t="n">
        <f aca="false">ROUND((K471+L471)*M471,0)</f>
        <v>40</v>
      </c>
      <c r="O471" s="10" t="str">
        <f aca="false">IF(AND(G471="Engaging",J471&gt;Parâmetros!$B$6),"Sim","Não")</f>
        <v>Não</v>
      </c>
      <c r="P471" s="32" t="str">
        <f aca="false">IF(O471="Sim","R",IF(N471&gt;=Parâmetros!$B$39,"A",IF(N471&gt;=Parâmetros!$B$40,"B",IF(N471&gt;=Parâmetros!$B$41,"C","D"))))</f>
        <v>C</v>
      </c>
      <c r="Q471" s="10" t="str">
        <f aca="false">IF(F471="","Completar cadastro","")</f>
        <v/>
      </c>
      <c r="R471" s="10" t="str">
        <f aca="false">INDEX(Parâmetros!$D$39:$D$43,MATCH(P471,Parâmetros!$A$39:$A$43,0))</f>
        <v>Cadência leve, foco em qualificar</v>
      </c>
    </row>
    <row r="472" customFormat="false" ht="15" hidden="false" customHeight="false" outlineLevel="0" collapsed="false">
      <c r="A472" s="10" t="s">
        <v>708</v>
      </c>
      <c r="B472" s="10" t="s">
        <v>70</v>
      </c>
      <c r="C472" s="10" t="s">
        <v>65</v>
      </c>
      <c r="D472" s="10" t="s">
        <v>160</v>
      </c>
      <c r="E472" s="10" t="s">
        <v>52</v>
      </c>
      <c r="F472" s="10"/>
      <c r="G472" s="10" t="s">
        <v>162</v>
      </c>
      <c r="H472" s="30" t="n">
        <v>42981</v>
      </c>
      <c r="I472" s="8" t="n">
        <f aca="false">INDEX(Parâmetros!$C$13:$C$19,MATCH(E472,Parâmetros!$A$13:$A$19,0))</f>
        <v>55</v>
      </c>
      <c r="J472" s="26" t="n">
        <f aca="false">IF(H472="","",Parâmetros!$B$5-H472)</f>
        <v>119</v>
      </c>
      <c r="K472" s="10" t="n">
        <f aca="false">INDEX(Parâmetros!$D$13:$D$19,MATCH(E472,Parâmetros!$A$13:$A$19,0))</f>
        <v>0</v>
      </c>
      <c r="L472" s="26" t="n">
        <f aca="false">IF(G472="Prospecting",Parâmetros!$B$9,IF(J472&gt;Parâmetros!$B$6,0,INDEX(Parâmetros!$C$24:$C$26,MATCH(J472,Parâmetros!$A$24:$A$26,1))))</f>
        <v>40</v>
      </c>
      <c r="M472" s="31" t="n">
        <f aca="false">IF(G472="Prospecting",1,INDEX(Parâmetros!$C$32:$C$35,MATCH(J472,Parâmetros!$A$32:$A$35,1)))</f>
        <v>1</v>
      </c>
      <c r="N472" s="2" t="n">
        <f aca="false">ROUND((K472+L472)*M472,0)</f>
        <v>40</v>
      </c>
      <c r="O472" s="10" t="str">
        <f aca="false">IF(AND(G472="Engaging",J472&gt;Parâmetros!$B$6),"Sim","Não")</f>
        <v>Não</v>
      </c>
      <c r="P472" s="32" t="str">
        <f aca="false">IF(O472="Sim","R",IF(N472&gt;=Parâmetros!$B$39,"A",IF(N472&gt;=Parâmetros!$B$40,"B",IF(N472&gt;=Parâmetros!$B$41,"C","D"))))</f>
        <v>C</v>
      </c>
      <c r="Q472" s="10" t="str">
        <f aca="false">IF(F472="","Completar cadastro","")</f>
        <v>Completar cadastro</v>
      </c>
      <c r="R472" s="10" t="str">
        <f aca="false">INDEX(Parâmetros!$D$39:$D$43,MATCH(P472,Parâmetros!$A$39:$A$43,0))</f>
        <v>Cadência leve, foco em qualificar</v>
      </c>
    </row>
    <row r="473" customFormat="false" ht="15" hidden="false" customHeight="false" outlineLevel="0" collapsed="false">
      <c r="A473" s="10" t="s">
        <v>709</v>
      </c>
      <c r="B473" s="10" t="s">
        <v>62</v>
      </c>
      <c r="C473" s="10" t="s">
        <v>58</v>
      </c>
      <c r="D473" s="10" t="s">
        <v>165</v>
      </c>
      <c r="E473" s="10" t="s">
        <v>52</v>
      </c>
      <c r="F473" s="10"/>
      <c r="G473" s="10" t="s">
        <v>162</v>
      </c>
      <c r="H473" s="30" t="n">
        <v>42984</v>
      </c>
      <c r="I473" s="8" t="n">
        <f aca="false">INDEX(Parâmetros!$C$13:$C$19,MATCH(E473,Parâmetros!$A$13:$A$19,0))</f>
        <v>55</v>
      </c>
      <c r="J473" s="26" t="n">
        <f aca="false">IF(H473="","",Parâmetros!$B$5-H473)</f>
        <v>116</v>
      </c>
      <c r="K473" s="10" t="n">
        <f aca="false">INDEX(Parâmetros!$D$13:$D$19,MATCH(E473,Parâmetros!$A$13:$A$19,0))</f>
        <v>0</v>
      </c>
      <c r="L473" s="26" t="n">
        <f aca="false">IF(G473="Prospecting",Parâmetros!$B$9,IF(J473&gt;Parâmetros!$B$6,0,INDEX(Parâmetros!$C$24:$C$26,MATCH(J473,Parâmetros!$A$24:$A$26,1))))</f>
        <v>40</v>
      </c>
      <c r="M473" s="31" t="n">
        <f aca="false">IF(G473="Prospecting",1,INDEX(Parâmetros!$C$32:$C$35,MATCH(J473,Parâmetros!$A$32:$A$35,1)))</f>
        <v>1</v>
      </c>
      <c r="N473" s="2" t="n">
        <f aca="false">ROUND((K473+L473)*M473,0)</f>
        <v>40</v>
      </c>
      <c r="O473" s="10" t="str">
        <f aca="false">IF(AND(G473="Engaging",J473&gt;Parâmetros!$B$6),"Sim","Não")</f>
        <v>Não</v>
      </c>
      <c r="P473" s="32" t="str">
        <f aca="false">IF(O473="Sim","R",IF(N473&gt;=Parâmetros!$B$39,"A",IF(N473&gt;=Parâmetros!$B$40,"B",IF(N473&gt;=Parâmetros!$B$41,"C","D"))))</f>
        <v>C</v>
      </c>
      <c r="Q473" s="10" t="str">
        <f aca="false">IF(F473="","Completar cadastro","")</f>
        <v>Completar cadastro</v>
      </c>
      <c r="R473" s="10" t="str">
        <f aca="false">INDEX(Parâmetros!$D$39:$D$43,MATCH(P473,Parâmetros!$A$39:$A$43,0))</f>
        <v>Cadência leve, foco em qualificar</v>
      </c>
    </row>
    <row r="474" customFormat="false" ht="15" hidden="false" customHeight="false" outlineLevel="0" collapsed="false">
      <c r="A474" s="10" t="s">
        <v>710</v>
      </c>
      <c r="B474" s="10" t="s">
        <v>97</v>
      </c>
      <c r="C474" s="10" t="s">
        <v>92</v>
      </c>
      <c r="D474" s="10" t="s">
        <v>160</v>
      </c>
      <c r="E474" s="10" t="s">
        <v>52</v>
      </c>
      <c r="F474" s="10" t="s">
        <v>711</v>
      </c>
      <c r="G474" s="10" t="s">
        <v>162</v>
      </c>
      <c r="H474" s="30" t="n">
        <v>42984</v>
      </c>
      <c r="I474" s="8" t="n">
        <f aca="false">INDEX(Parâmetros!$C$13:$C$19,MATCH(E474,Parâmetros!$A$13:$A$19,0))</f>
        <v>55</v>
      </c>
      <c r="J474" s="26" t="n">
        <f aca="false">IF(H474="","",Parâmetros!$B$5-H474)</f>
        <v>116</v>
      </c>
      <c r="K474" s="10" t="n">
        <f aca="false">INDEX(Parâmetros!$D$13:$D$19,MATCH(E474,Parâmetros!$A$13:$A$19,0))</f>
        <v>0</v>
      </c>
      <c r="L474" s="26" t="n">
        <f aca="false">IF(G474="Prospecting",Parâmetros!$B$9,IF(J474&gt;Parâmetros!$B$6,0,INDEX(Parâmetros!$C$24:$C$26,MATCH(J474,Parâmetros!$A$24:$A$26,1))))</f>
        <v>40</v>
      </c>
      <c r="M474" s="31" t="n">
        <f aca="false">IF(G474="Prospecting",1,INDEX(Parâmetros!$C$32:$C$35,MATCH(J474,Parâmetros!$A$32:$A$35,1)))</f>
        <v>1</v>
      </c>
      <c r="N474" s="2" t="n">
        <f aca="false">ROUND((K474+L474)*M474,0)</f>
        <v>40</v>
      </c>
      <c r="O474" s="10" t="str">
        <f aca="false">IF(AND(G474="Engaging",J474&gt;Parâmetros!$B$6),"Sim","Não")</f>
        <v>Não</v>
      </c>
      <c r="P474" s="32" t="str">
        <f aca="false">IF(O474="Sim","R",IF(N474&gt;=Parâmetros!$B$39,"A",IF(N474&gt;=Parâmetros!$B$40,"B",IF(N474&gt;=Parâmetros!$B$41,"C","D"))))</f>
        <v>C</v>
      </c>
      <c r="Q474" s="10" t="str">
        <f aca="false">IF(F474="","Completar cadastro","")</f>
        <v/>
      </c>
      <c r="R474" s="10" t="str">
        <f aca="false">INDEX(Parâmetros!$D$39:$D$43,MATCH(P474,Parâmetros!$A$39:$A$43,0))</f>
        <v>Cadência leve, foco em qualificar</v>
      </c>
    </row>
    <row r="475" customFormat="false" ht="15" hidden="false" customHeight="false" outlineLevel="0" collapsed="false">
      <c r="A475" s="10" t="s">
        <v>712</v>
      </c>
      <c r="B475" s="10" t="s">
        <v>69</v>
      </c>
      <c r="C475" s="10" t="s">
        <v>65</v>
      </c>
      <c r="D475" s="10" t="s">
        <v>160</v>
      </c>
      <c r="E475" s="10" t="s">
        <v>52</v>
      </c>
      <c r="F475" s="10" t="s">
        <v>247</v>
      </c>
      <c r="G475" s="10" t="s">
        <v>162</v>
      </c>
      <c r="H475" s="30" t="n">
        <v>42985</v>
      </c>
      <c r="I475" s="8" t="n">
        <f aca="false">INDEX(Parâmetros!$C$13:$C$19,MATCH(E475,Parâmetros!$A$13:$A$19,0))</f>
        <v>55</v>
      </c>
      <c r="J475" s="26" t="n">
        <f aca="false">IF(H475="","",Parâmetros!$B$5-H475)</f>
        <v>115</v>
      </c>
      <c r="K475" s="10" t="n">
        <f aca="false">INDEX(Parâmetros!$D$13:$D$19,MATCH(E475,Parâmetros!$A$13:$A$19,0))</f>
        <v>0</v>
      </c>
      <c r="L475" s="26" t="n">
        <f aca="false">IF(G475="Prospecting",Parâmetros!$B$9,IF(J475&gt;Parâmetros!$B$6,0,INDEX(Parâmetros!$C$24:$C$26,MATCH(J475,Parâmetros!$A$24:$A$26,1))))</f>
        <v>40</v>
      </c>
      <c r="M475" s="31" t="n">
        <f aca="false">IF(G475="Prospecting",1,INDEX(Parâmetros!$C$32:$C$35,MATCH(J475,Parâmetros!$A$32:$A$35,1)))</f>
        <v>1</v>
      </c>
      <c r="N475" s="2" t="n">
        <f aca="false">ROUND((K475+L475)*M475,0)</f>
        <v>40</v>
      </c>
      <c r="O475" s="10" t="str">
        <f aca="false">IF(AND(G475="Engaging",J475&gt;Parâmetros!$B$6),"Sim","Não")</f>
        <v>Não</v>
      </c>
      <c r="P475" s="32" t="str">
        <f aca="false">IF(O475="Sim","R",IF(N475&gt;=Parâmetros!$B$39,"A",IF(N475&gt;=Parâmetros!$B$40,"B",IF(N475&gt;=Parâmetros!$B$41,"C","D"))))</f>
        <v>C</v>
      </c>
      <c r="Q475" s="10" t="str">
        <f aca="false">IF(F475="","Completar cadastro","")</f>
        <v/>
      </c>
      <c r="R475" s="10" t="str">
        <f aca="false">INDEX(Parâmetros!$D$39:$D$43,MATCH(P475,Parâmetros!$A$39:$A$43,0))</f>
        <v>Cadência leve, foco em qualificar</v>
      </c>
    </row>
    <row r="476" customFormat="false" ht="15" hidden="false" customHeight="false" outlineLevel="0" collapsed="false">
      <c r="A476" s="10" t="s">
        <v>713</v>
      </c>
      <c r="B476" s="10" t="s">
        <v>96</v>
      </c>
      <c r="C476" s="10" t="s">
        <v>92</v>
      </c>
      <c r="D476" s="10" t="s">
        <v>160</v>
      </c>
      <c r="E476" s="10" t="s">
        <v>52</v>
      </c>
      <c r="F476" s="10"/>
      <c r="G476" s="10" t="s">
        <v>162</v>
      </c>
      <c r="H476" s="30" t="n">
        <v>42986</v>
      </c>
      <c r="I476" s="8" t="n">
        <f aca="false">INDEX(Parâmetros!$C$13:$C$19,MATCH(E476,Parâmetros!$A$13:$A$19,0))</f>
        <v>55</v>
      </c>
      <c r="J476" s="26" t="n">
        <f aca="false">IF(H476="","",Parâmetros!$B$5-H476)</f>
        <v>114</v>
      </c>
      <c r="K476" s="10" t="n">
        <f aca="false">INDEX(Parâmetros!$D$13:$D$19,MATCH(E476,Parâmetros!$A$13:$A$19,0))</f>
        <v>0</v>
      </c>
      <c r="L476" s="26" t="n">
        <f aca="false">IF(G476="Prospecting",Parâmetros!$B$9,IF(J476&gt;Parâmetros!$B$6,0,INDEX(Parâmetros!$C$24:$C$26,MATCH(J476,Parâmetros!$A$24:$A$26,1))))</f>
        <v>40</v>
      </c>
      <c r="M476" s="31" t="n">
        <f aca="false">IF(G476="Prospecting",1,INDEX(Parâmetros!$C$32:$C$35,MATCH(J476,Parâmetros!$A$32:$A$35,1)))</f>
        <v>1</v>
      </c>
      <c r="N476" s="2" t="n">
        <f aca="false">ROUND((K476+L476)*M476,0)</f>
        <v>40</v>
      </c>
      <c r="O476" s="10" t="str">
        <f aca="false">IF(AND(G476="Engaging",J476&gt;Parâmetros!$B$6),"Sim","Não")</f>
        <v>Não</v>
      </c>
      <c r="P476" s="32" t="str">
        <f aca="false">IF(O476="Sim","R",IF(N476&gt;=Parâmetros!$B$39,"A",IF(N476&gt;=Parâmetros!$B$40,"B",IF(N476&gt;=Parâmetros!$B$41,"C","D"))))</f>
        <v>C</v>
      </c>
      <c r="Q476" s="10" t="str">
        <f aca="false">IF(F476="","Completar cadastro","")</f>
        <v>Completar cadastro</v>
      </c>
      <c r="R476" s="10" t="str">
        <f aca="false">INDEX(Parâmetros!$D$39:$D$43,MATCH(P476,Parâmetros!$A$39:$A$43,0))</f>
        <v>Cadência leve, foco em qualificar</v>
      </c>
    </row>
    <row r="477" customFormat="false" ht="15" hidden="false" customHeight="false" outlineLevel="0" collapsed="false">
      <c r="A477" s="10" t="s">
        <v>714</v>
      </c>
      <c r="B477" s="10" t="s">
        <v>69</v>
      </c>
      <c r="C477" s="10" t="s">
        <v>65</v>
      </c>
      <c r="D477" s="10" t="s">
        <v>160</v>
      </c>
      <c r="E477" s="10" t="s">
        <v>52</v>
      </c>
      <c r="F477" s="10" t="s">
        <v>616</v>
      </c>
      <c r="G477" s="10" t="s">
        <v>162</v>
      </c>
      <c r="H477" s="30" t="n">
        <v>42988</v>
      </c>
      <c r="I477" s="8" t="n">
        <f aca="false">INDEX(Parâmetros!$C$13:$C$19,MATCH(E477,Parâmetros!$A$13:$A$19,0))</f>
        <v>55</v>
      </c>
      <c r="J477" s="26" t="n">
        <f aca="false">IF(H477="","",Parâmetros!$B$5-H477)</f>
        <v>112</v>
      </c>
      <c r="K477" s="10" t="n">
        <f aca="false">INDEX(Parâmetros!$D$13:$D$19,MATCH(E477,Parâmetros!$A$13:$A$19,0))</f>
        <v>0</v>
      </c>
      <c r="L477" s="26" t="n">
        <f aca="false">IF(G477="Prospecting",Parâmetros!$B$9,IF(J477&gt;Parâmetros!$B$6,0,INDEX(Parâmetros!$C$24:$C$26,MATCH(J477,Parâmetros!$A$24:$A$26,1))))</f>
        <v>40</v>
      </c>
      <c r="M477" s="31" t="n">
        <f aca="false">IF(G477="Prospecting",1,INDEX(Parâmetros!$C$32:$C$35,MATCH(J477,Parâmetros!$A$32:$A$35,1)))</f>
        <v>1</v>
      </c>
      <c r="N477" s="2" t="n">
        <f aca="false">ROUND((K477+L477)*M477,0)</f>
        <v>40</v>
      </c>
      <c r="O477" s="10" t="str">
        <f aca="false">IF(AND(G477="Engaging",J477&gt;Parâmetros!$B$6),"Sim","Não")</f>
        <v>Não</v>
      </c>
      <c r="P477" s="32" t="str">
        <f aca="false">IF(O477="Sim","R",IF(N477&gt;=Parâmetros!$B$39,"A",IF(N477&gt;=Parâmetros!$B$40,"B",IF(N477&gt;=Parâmetros!$B$41,"C","D"))))</f>
        <v>C</v>
      </c>
      <c r="Q477" s="10" t="str">
        <f aca="false">IF(F477="","Completar cadastro","")</f>
        <v/>
      </c>
      <c r="R477" s="10" t="str">
        <f aca="false">INDEX(Parâmetros!$D$39:$D$43,MATCH(P477,Parâmetros!$A$39:$A$43,0))</f>
        <v>Cadência leve, foco em qualificar</v>
      </c>
    </row>
    <row r="478" customFormat="false" ht="15" hidden="false" customHeight="false" outlineLevel="0" collapsed="false">
      <c r="A478" s="10" t="s">
        <v>715</v>
      </c>
      <c r="B478" s="10" t="s">
        <v>69</v>
      </c>
      <c r="C478" s="10" t="s">
        <v>65</v>
      </c>
      <c r="D478" s="10" t="s">
        <v>160</v>
      </c>
      <c r="E478" s="10" t="s">
        <v>52</v>
      </c>
      <c r="F478" s="10"/>
      <c r="G478" s="10" t="s">
        <v>162</v>
      </c>
      <c r="H478" s="30" t="n">
        <v>42988</v>
      </c>
      <c r="I478" s="8" t="n">
        <f aca="false">INDEX(Parâmetros!$C$13:$C$19,MATCH(E478,Parâmetros!$A$13:$A$19,0))</f>
        <v>55</v>
      </c>
      <c r="J478" s="26" t="n">
        <f aca="false">IF(H478="","",Parâmetros!$B$5-H478)</f>
        <v>112</v>
      </c>
      <c r="K478" s="10" t="n">
        <f aca="false">INDEX(Parâmetros!$D$13:$D$19,MATCH(E478,Parâmetros!$A$13:$A$19,0))</f>
        <v>0</v>
      </c>
      <c r="L478" s="26" t="n">
        <f aca="false">IF(G478="Prospecting",Parâmetros!$B$9,IF(J478&gt;Parâmetros!$B$6,0,INDEX(Parâmetros!$C$24:$C$26,MATCH(J478,Parâmetros!$A$24:$A$26,1))))</f>
        <v>40</v>
      </c>
      <c r="M478" s="31" t="n">
        <f aca="false">IF(G478="Prospecting",1,INDEX(Parâmetros!$C$32:$C$35,MATCH(J478,Parâmetros!$A$32:$A$35,1)))</f>
        <v>1</v>
      </c>
      <c r="N478" s="2" t="n">
        <f aca="false">ROUND((K478+L478)*M478,0)</f>
        <v>40</v>
      </c>
      <c r="O478" s="10" t="str">
        <f aca="false">IF(AND(G478="Engaging",J478&gt;Parâmetros!$B$6),"Sim","Não")</f>
        <v>Não</v>
      </c>
      <c r="P478" s="32" t="str">
        <f aca="false">IF(O478="Sim","R",IF(N478&gt;=Parâmetros!$B$39,"A",IF(N478&gt;=Parâmetros!$B$40,"B",IF(N478&gt;=Parâmetros!$B$41,"C","D"))))</f>
        <v>C</v>
      </c>
      <c r="Q478" s="10" t="str">
        <f aca="false">IF(F478="","Completar cadastro","")</f>
        <v>Completar cadastro</v>
      </c>
      <c r="R478" s="10" t="str">
        <f aca="false">INDEX(Parâmetros!$D$39:$D$43,MATCH(P478,Parâmetros!$A$39:$A$43,0))</f>
        <v>Cadência leve, foco em qualificar</v>
      </c>
    </row>
    <row r="479" customFormat="false" ht="15" hidden="false" customHeight="false" outlineLevel="0" collapsed="false">
      <c r="A479" s="10" t="s">
        <v>716</v>
      </c>
      <c r="B479" s="10" t="s">
        <v>69</v>
      </c>
      <c r="C479" s="10" t="s">
        <v>65</v>
      </c>
      <c r="D479" s="10" t="s">
        <v>160</v>
      </c>
      <c r="E479" s="10" t="s">
        <v>52</v>
      </c>
      <c r="F479" s="10"/>
      <c r="G479" s="10" t="s">
        <v>162</v>
      </c>
      <c r="H479" s="30" t="n">
        <v>42989</v>
      </c>
      <c r="I479" s="8" t="n">
        <f aca="false">INDEX(Parâmetros!$C$13:$C$19,MATCH(E479,Parâmetros!$A$13:$A$19,0))</f>
        <v>55</v>
      </c>
      <c r="J479" s="26" t="n">
        <f aca="false">IF(H479="","",Parâmetros!$B$5-H479)</f>
        <v>111</v>
      </c>
      <c r="K479" s="10" t="n">
        <f aca="false">INDEX(Parâmetros!$D$13:$D$19,MATCH(E479,Parâmetros!$A$13:$A$19,0))</f>
        <v>0</v>
      </c>
      <c r="L479" s="26" t="n">
        <f aca="false">IF(G479="Prospecting",Parâmetros!$B$9,IF(J479&gt;Parâmetros!$B$6,0,INDEX(Parâmetros!$C$24:$C$26,MATCH(J479,Parâmetros!$A$24:$A$26,1))))</f>
        <v>40</v>
      </c>
      <c r="M479" s="31" t="n">
        <f aca="false">IF(G479="Prospecting",1,INDEX(Parâmetros!$C$32:$C$35,MATCH(J479,Parâmetros!$A$32:$A$35,1)))</f>
        <v>1</v>
      </c>
      <c r="N479" s="2" t="n">
        <f aca="false">ROUND((K479+L479)*M479,0)</f>
        <v>40</v>
      </c>
      <c r="O479" s="10" t="str">
        <f aca="false">IF(AND(G479="Engaging",J479&gt;Parâmetros!$B$6),"Sim","Não")</f>
        <v>Não</v>
      </c>
      <c r="P479" s="32" t="str">
        <f aca="false">IF(O479="Sim","R",IF(N479&gt;=Parâmetros!$B$39,"A",IF(N479&gt;=Parâmetros!$B$40,"B",IF(N479&gt;=Parâmetros!$B$41,"C","D"))))</f>
        <v>C</v>
      </c>
      <c r="Q479" s="10" t="str">
        <f aca="false">IF(F479="","Completar cadastro","")</f>
        <v>Completar cadastro</v>
      </c>
      <c r="R479" s="10" t="str">
        <f aca="false">INDEX(Parâmetros!$D$39:$D$43,MATCH(P479,Parâmetros!$A$39:$A$43,0))</f>
        <v>Cadência leve, foco em qualificar</v>
      </c>
    </row>
    <row r="480" customFormat="false" ht="15" hidden="false" customHeight="false" outlineLevel="0" collapsed="false">
      <c r="A480" s="10" t="s">
        <v>717</v>
      </c>
      <c r="B480" s="10" t="s">
        <v>70</v>
      </c>
      <c r="C480" s="10" t="s">
        <v>65</v>
      </c>
      <c r="D480" s="10" t="s">
        <v>160</v>
      </c>
      <c r="E480" s="10" t="s">
        <v>52</v>
      </c>
      <c r="F480" s="10"/>
      <c r="G480" s="10" t="s">
        <v>162</v>
      </c>
      <c r="H480" s="30" t="n">
        <v>42991</v>
      </c>
      <c r="I480" s="8" t="n">
        <f aca="false">INDEX(Parâmetros!$C$13:$C$19,MATCH(E480,Parâmetros!$A$13:$A$19,0))</f>
        <v>55</v>
      </c>
      <c r="J480" s="26" t="n">
        <f aca="false">IF(H480="","",Parâmetros!$B$5-H480)</f>
        <v>109</v>
      </c>
      <c r="K480" s="10" t="n">
        <f aca="false">INDEX(Parâmetros!$D$13:$D$19,MATCH(E480,Parâmetros!$A$13:$A$19,0))</f>
        <v>0</v>
      </c>
      <c r="L480" s="26" t="n">
        <f aca="false">IF(G480="Prospecting",Parâmetros!$B$9,IF(J480&gt;Parâmetros!$B$6,0,INDEX(Parâmetros!$C$24:$C$26,MATCH(J480,Parâmetros!$A$24:$A$26,1))))</f>
        <v>40</v>
      </c>
      <c r="M480" s="31" t="n">
        <f aca="false">IF(G480="Prospecting",1,INDEX(Parâmetros!$C$32:$C$35,MATCH(J480,Parâmetros!$A$32:$A$35,1)))</f>
        <v>1</v>
      </c>
      <c r="N480" s="2" t="n">
        <f aca="false">ROUND((K480+L480)*M480,0)</f>
        <v>40</v>
      </c>
      <c r="O480" s="10" t="str">
        <f aca="false">IF(AND(G480="Engaging",J480&gt;Parâmetros!$B$6),"Sim","Não")</f>
        <v>Não</v>
      </c>
      <c r="P480" s="32" t="str">
        <f aca="false">IF(O480="Sim","R",IF(N480&gt;=Parâmetros!$B$39,"A",IF(N480&gt;=Parâmetros!$B$40,"B",IF(N480&gt;=Parâmetros!$B$41,"C","D"))))</f>
        <v>C</v>
      </c>
      <c r="Q480" s="10" t="str">
        <f aca="false">IF(F480="","Completar cadastro","")</f>
        <v>Completar cadastro</v>
      </c>
      <c r="R480" s="10" t="str">
        <f aca="false">INDEX(Parâmetros!$D$39:$D$43,MATCH(P480,Parâmetros!$A$39:$A$43,0))</f>
        <v>Cadência leve, foco em qualificar</v>
      </c>
    </row>
    <row r="481" customFormat="false" ht="15" hidden="false" customHeight="false" outlineLevel="0" collapsed="false">
      <c r="A481" s="10" t="s">
        <v>718</v>
      </c>
      <c r="B481" s="10" t="s">
        <v>97</v>
      </c>
      <c r="C481" s="10" t="s">
        <v>92</v>
      </c>
      <c r="D481" s="10" t="s">
        <v>160</v>
      </c>
      <c r="E481" s="10" t="s">
        <v>52</v>
      </c>
      <c r="F481" s="10" t="s">
        <v>259</v>
      </c>
      <c r="G481" s="10" t="s">
        <v>162</v>
      </c>
      <c r="H481" s="30" t="n">
        <v>42996</v>
      </c>
      <c r="I481" s="8" t="n">
        <f aca="false">INDEX(Parâmetros!$C$13:$C$19,MATCH(E481,Parâmetros!$A$13:$A$19,0))</f>
        <v>55</v>
      </c>
      <c r="J481" s="26" t="n">
        <f aca="false">IF(H481="","",Parâmetros!$B$5-H481)</f>
        <v>104</v>
      </c>
      <c r="K481" s="10" t="n">
        <f aca="false">INDEX(Parâmetros!$D$13:$D$19,MATCH(E481,Parâmetros!$A$13:$A$19,0))</f>
        <v>0</v>
      </c>
      <c r="L481" s="26" t="n">
        <f aca="false">IF(G481="Prospecting",Parâmetros!$B$9,IF(J481&gt;Parâmetros!$B$6,0,INDEX(Parâmetros!$C$24:$C$26,MATCH(J481,Parâmetros!$A$24:$A$26,1))))</f>
        <v>40</v>
      </c>
      <c r="M481" s="31" t="n">
        <f aca="false">IF(G481="Prospecting",1,INDEX(Parâmetros!$C$32:$C$35,MATCH(J481,Parâmetros!$A$32:$A$35,1)))</f>
        <v>1</v>
      </c>
      <c r="N481" s="2" t="n">
        <f aca="false">ROUND((K481+L481)*M481,0)</f>
        <v>40</v>
      </c>
      <c r="O481" s="10" t="str">
        <f aca="false">IF(AND(G481="Engaging",J481&gt;Parâmetros!$B$6),"Sim","Não")</f>
        <v>Não</v>
      </c>
      <c r="P481" s="32" t="str">
        <f aca="false">IF(O481="Sim","R",IF(N481&gt;=Parâmetros!$B$39,"A",IF(N481&gt;=Parâmetros!$B$40,"B",IF(N481&gt;=Parâmetros!$B$41,"C","D"))))</f>
        <v>C</v>
      </c>
      <c r="Q481" s="10" t="str">
        <f aca="false">IF(F481="","Completar cadastro","")</f>
        <v/>
      </c>
      <c r="R481" s="10" t="str">
        <f aca="false">INDEX(Parâmetros!$D$39:$D$43,MATCH(P481,Parâmetros!$A$39:$A$43,0))</f>
        <v>Cadência leve, foco em qualificar</v>
      </c>
    </row>
    <row r="482" customFormat="false" ht="15" hidden="false" customHeight="false" outlineLevel="0" collapsed="false">
      <c r="A482" s="10" t="s">
        <v>719</v>
      </c>
      <c r="B482" s="10" t="s">
        <v>66</v>
      </c>
      <c r="C482" s="10" t="s">
        <v>65</v>
      </c>
      <c r="D482" s="10" t="s">
        <v>160</v>
      </c>
      <c r="E482" s="10" t="s">
        <v>52</v>
      </c>
      <c r="F482" s="10"/>
      <c r="G482" s="10" t="s">
        <v>162</v>
      </c>
      <c r="H482" s="30" t="n">
        <v>42998</v>
      </c>
      <c r="I482" s="8" t="n">
        <f aca="false">INDEX(Parâmetros!$C$13:$C$19,MATCH(E482,Parâmetros!$A$13:$A$19,0))</f>
        <v>55</v>
      </c>
      <c r="J482" s="26" t="n">
        <f aca="false">IF(H482="","",Parâmetros!$B$5-H482)</f>
        <v>102</v>
      </c>
      <c r="K482" s="10" t="n">
        <f aca="false">INDEX(Parâmetros!$D$13:$D$19,MATCH(E482,Parâmetros!$A$13:$A$19,0))</f>
        <v>0</v>
      </c>
      <c r="L482" s="26" t="n">
        <f aca="false">IF(G482="Prospecting",Parâmetros!$B$9,IF(J482&gt;Parâmetros!$B$6,0,INDEX(Parâmetros!$C$24:$C$26,MATCH(J482,Parâmetros!$A$24:$A$26,1))))</f>
        <v>40</v>
      </c>
      <c r="M482" s="31" t="n">
        <f aca="false">IF(G482="Prospecting",1,INDEX(Parâmetros!$C$32:$C$35,MATCH(J482,Parâmetros!$A$32:$A$35,1)))</f>
        <v>1</v>
      </c>
      <c r="N482" s="2" t="n">
        <f aca="false">ROUND((K482+L482)*M482,0)</f>
        <v>40</v>
      </c>
      <c r="O482" s="10" t="str">
        <f aca="false">IF(AND(G482="Engaging",J482&gt;Parâmetros!$B$6),"Sim","Não")</f>
        <v>Não</v>
      </c>
      <c r="P482" s="32" t="str">
        <f aca="false">IF(O482="Sim","R",IF(N482&gt;=Parâmetros!$B$39,"A",IF(N482&gt;=Parâmetros!$B$40,"B",IF(N482&gt;=Parâmetros!$B$41,"C","D"))))</f>
        <v>C</v>
      </c>
      <c r="Q482" s="10" t="str">
        <f aca="false">IF(F482="","Completar cadastro","")</f>
        <v>Completar cadastro</v>
      </c>
      <c r="R482" s="10" t="str">
        <f aca="false">INDEX(Parâmetros!$D$39:$D$43,MATCH(P482,Parâmetros!$A$39:$A$43,0))</f>
        <v>Cadência leve, foco em qualificar</v>
      </c>
    </row>
    <row r="483" customFormat="false" ht="15" hidden="false" customHeight="false" outlineLevel="0" collapsed="false">
      <c r="A483" s="10" t="s">
        <v>720</v>
      </c>
      <c r="B483" s="10" t="s">
        <v>70</v>
      </c>
      <c r="C483" s="10" t="s">
        <v>65</v>
      </c>
      <c r="D483" s="10" t="s">
        <v>160</v>
      </c>
      <c r="E483" s="10" t="s">
        <v>52</v>
      </c>
      <c r="F483" s="10" t="s">
        <v>536</v>
      </c>
      <c r="G483" s="10" t="s">
        <v>162</v>
      </c>
      <c r="H483" s="30" t="n">
        <v>42998</v>
      </c>
      <c r="I483" s="8" t="n">
        <f aca="false">INDEX(Parâmetros!$C$13:$C$19,MATCH(E483,Parâmetros!$A$13:$A$19,0))</f>
        <v>55</v>
      </c>
      <c r="J483" s="26" t="n">
        <f aca="false">IF(H483="","",Parâmetros!$B$5-H483)</f>
        <v>102</v>
      </c>
      <c r="K483" s="10" t="n">
        <f aca="false">INDEX(Parâmetros!$D$13:$D$19,MATCH(E483,Parâmetros!$A$13:$A$19,0))</f>
        <v>0</v>
      </c>
      <c r="L483" s="26" t="n">
        <f aca="false">IF(G483="Prospecting",Parâmetros!$B$9,IF(J483&gt;Parâmetros!$B$6,0,INDEX(Parâmetros!$C$24:$C$26,MATCH(J483,Parâmetros!$A$24:$A$26,1))))</f>
        <v>40</v>
      </c>
      <c r="M483" s="31" t="n">
        <f aca="false">IF(G483="Prospecting",1,INDEX(Parâmetros!$C$32:$C$35,MATCH(J483,Parâmetros!$A$32:$A$35,1)))</f>
        <v>1</v>
      </c>
      <c r="N483" s="2" t="n">
        <f aca="false">ROUND((K483+L483)*M483,0)</f>
        <v>40</v>
      </c>
      <c r="O483" s="10" t="str">
        <f aca="false">IF(AND(G483="Engaging",J483&gt;Parâmetros!$B$6),"Sim","Não")</f>
        <v>Não</v>
      </c>
      <c r="P483" s="32" t="str">
        <f aca="false">IF(O483="Sim","R",IF(N483&gt;=Parâmetros!$B$39,"A",IF(N483&gt;=Parâmetros!$B$40,"B",IF(N483&gt;=Parâmetros!$B$41,"C","D"))))</f>
        <v>C</v>
      </c>
      <c r="Q483" s="10" t="str">
        <f aca="false">IF(F483="","Completar cadastro","")</f>
        <v/>
      </c>
      <c r="R483" s="10" t="str">
        <f aca="false">INDEX(Parâmetros!$D$39:$D$43,MATCH(P483,Parâmetros!$A$39:$A$43,0))</f>
        <v>Cadência leve, foco em qualificar</v>
      </c>
    </row>
    <row r="484" customFormat="false" ht="15" hidden="false" customHeight="false" outlineLevel="0" collapsed="false">
      <c r="A484" s="10" t="s">
        <v>721</v>
      </c>
      <c r="B484" s="10" t="s">
        <v>93</v>
      </c>
      <c r="C484" s="10" t="s">
        <v>92</v>
      </c>
      <c r="D484" s="10" t="s">
        <v>160</v>
      </c>
      <c r="E484" s="10" t="s">
        <v>52</v>
      </c>
      <c r="F484" s="10" t="s">
        <v>161</v>
      </c>
      <c r="G484" s="10" t="s">
        <v>162</v>
      </c>
      <c r="H484" s="30" t="n">
        <v>43003</v>
      </c>
      <c r="I484" s="8" t="n">
        <f aca="false">INDEX(Parâmetros!$C$13:$C$19,MATCH(E484,Parâmetros!$A$13:$A$19,0))</f>
        <v>55</v>
      </c>
      <c r="J484" s="26" t="n">
        <f aca="false">IF(H484="","",Parâmetros!$B$5-H484)</f>
        <v>97</v>
      </c>
      <c r="K484" s="10" t="n">
        <f aca="false">INDEX(Parâmetros!$D$13:$D$19,MATCH(E484,Parâmetros!$A$13:$A$19,0))</f>
        <v>0</v>
      </c>
      <c r="L484" s="26" t="n">
        <f aca="false">IF(G484="Prospecting",Parâmetros!$B$9,IF(J484&gt;Parâmetros!$B$6,0,INDEX(Parâmetros!$C$24:$C$26,MATCH(J484,Parâmetros!$A$24:$A$26,1))))</f>
        <v>40</v>
      </c>
      <c r="M484" s="31" t="n">
        <f aca="false">IF(G484="Prospecting",1,INDEX(Parâmetros!$C$32:$C$35,MATCH(J484,Parâmetros!$A$32:$A$35,1)))</f>
        <v>1</v>
      </c>
      <c r="N484" s="2" t="n">
        <f aca="false">ROUND((K484+L484)*M484,0)</f>
        <v>40</v>
      </c>
      <c r="O484" s="10" t="str">
        <f aca="false">IF(AND(G484="Engaging",J484&gt;Parâmetros!$B$6),"Sim","Não")</f>
        <v>Não</v>
      </c>
      <c r="P484" s="32" t="str">
        <f aca="false">IF(O484="Sim","R",IF(N484&gt;=Parâmetros!$B$39,"A",IF(N484&gt;=Parâmetros!$B$40,"B",IF(N484&gt;=Parâmetros!$B$41,"C","D"))))</f>
        <v>C</v>
      </c>
      <c r="Q484" s="10" t="str">
        <f aca="false">IF(F484="","Completar cadastro","")</f>
        <v/>
      </c>
      <c r="R484" s="10" t="str">
        <f aca="false">INDEX(Parâmetros!$D$39:$D$43,MATCH(P484,Parâmetros!$A$39:$A$43,0))</f>
        <v>Cadência leve, foco em qualificar</v>
      </c>
    </row>
    <row r="485" customFormat="false" ht="15" hidden="false" customHeight="false" outlineLevel="0" collapsed="false">
      <c r="A485" s="10" t="s">
        <v>722</v>
      </c>
      <c r="B485" s="10" t="s">
        <v>70</v>
      </c>
      <c r="C485" s="10" t="s">
        <v>65</v>
      </c>
      <c r="D485" s="10" t="s">
        <v>160</v>
      </c>
      <c r="E485" s="10" t="s">
        <v>52</v>
      </c>
      <c r="F485" s="10"/>
      <c r="G485" s="10" t="s">
        <v>162</v>
      </c>
      <c r="H485" s="30" t="n">
        <v>43007</v>
      </c>
      <c r="I485" s="8" t="n">
        <f aca="false">INDEX(Parâmetros!$C$13:$C$19,MATCH(E485,Parâmetros!$A$13:$A$19,0))</f>
        <v>55</v>
      </c>
      <c r="J485" s="26" t="n">
        <f aca="false">IF(H485="","",Parâmetros!$B$5-H485)</f>
        <v>93</v>
      </c>
      <c r="K485" s="10" t="n">
        <f aca="false">INDEX(Parâmetros!$D$13:$D$19,MATCH(E485,Parâmetros!$A$13:$A$19,0))</f>
        <v>0</v>
      </c>
      <c r="L485" s="26" t="n">
        <f aca="false">IF(G485="Prospecting",Parâmetros!$B$9,IF(J485&gt;Parâmetros!$B$6,0,INDEX(Parâmetros!$C$24:$C$26,MATCH(J485,Parâmetros!$A$24:$A$26,1))))</f>
        <v>40</v>
      </c>
      <c r="M485" s="31" t="n">
        <f aca="false">IF(G485="Prospecting",1,INDEX(Parâmetros!$C$32:$C$35,MATCH(J485,Parâmetros!$A$32:$A$35,1)))</f>
        <v>1</v>
      </c>
      <c r="N485" s="2" t="n">
        <f aca="false">ROUND((K485+L485)*M485,0)</f>
        <v>40</v>
      </c>
      <c r="O485" s="10" t="str">
        <f aca="false">IF(AND(G485="Engaging",J485&gt;Parâmetros!$B$6),"Sim","Não")</f>
        <v>Não</v>
      </c>
      <c r="P485" s="32" t="str">
        <f aca="false">IF(O485="Sim","R",IF(N485&gt;=Parâmetros!$B$39,"A",IF(N485&gt;=Parâmetros!$B$40,"B",IF(N485&gt;=Parâmetros!$B$41,"C","D"))))</f>
        <v>C</v>
      </c>
      <c r="Q485" s="10" t="str">
        <f aca="false">IF(F485="","Completar cadastro","")</f>
        <v>Completar cadastro</v>
      </c>
      <c r="R485" s="10" t="str">
        <f aca="false">INDEX(Parâmetros!$D$39:$D$43,MATCH(P485,Parâmetros!$A$39:$A$43,0))</f>
        <v>Cadência leve, foco em qualificar</v>
      </c>
    </row>
    <row r="486" customFormat="false" ht="15" hidden="false" customHeight="false" outlineLevel="0" collapsed="false">
      <c r="A486" s="10" t="s">
        <v>723</v>
      </c>
      <c r="B486" s="10" t="s">
        <v>68</v>
      </c>
      <c r="C486" s="10" t="s">
        <v>65</v>
      </c>
      <c r="D486" s="10" t="s">
        <v>160</v>
      </c>
      <c r="E486" s="10" t="s">
        <v>52</v>
      </c>
      <c r="F486" s="10" t="s">
        <v>405</v>
      </c>
      <c r="G486" s="10" t="s">
        <v>162</v>
      </c>
      <c r="H486" s="30" t="n">
        <v>43009</v>
      </c>
      <c r="I486" s="8" t="n">
        <f aca="false">INDEX(Parâmetros!$C$13:$C$19,MATCH(E486,Parâmetros!$A$13:$A$19,0))</f>
        <v>55</v>
      </c>
      <c r="J486" s="26" t="n">
        <f aca="false">IF(H486="","",Parâmetros!$B$5-H486)</f>
        <v>91</v>
      </c>
      <c r="K486" s="10" t="n">
        <f aca="false">INDEX(Parâmetros!$D$13:$D$19,MATCH(E486,Parâmetros!$A$13:$A$19,0))</f>
        <v>0</v>
      </c>
      <c r="L486" s="26" t="n">
        <f aca="false">IF(G486="Prospecting",Parâmetros!$B$9,IF(J486&gt;Parâmetros!$B$6,0,INDEX(Parâmetros!$C$24:$C$26,MATCH(J486,Parâmetros!$A$24:$A$26,1))))</f>
        <v>40</v>
      </c>
      <c r="M486" s="31" t="n">
        <f aca="false">IF(G486="Prospecting",1,INDEX(Parâmetros!$C$32:$C$35,MATCH(J486,Parâmetros!$A$32:$A$35,1)))</f>
        <v>1</v>
      </c>
      <c r="N486" s="2" t="n">
        <f aca="false">ROUND((K486+L486)*M486,0)</f>
        <v>40</v>
      </c>
      <c r="O486" s="10" t="str">
        <f aca="false">IF(AND(G486="Engaging",J486&gt;Parâmetros!$B$6),"Sim","Não")</f>
        <v>Não</v>
      </c>
      <c r="P486" s="32" t="str">
        <f aca="false">IF(O486="Sim","R",IF(N486&gt;=Parâmetros!$B$39,"A",IF(N486&gt;=Parâmetros!$B$40,"B",IF(N486&gt;=Parâmetros!$B$41,"C","D"))))</f>
        <v>C</v>
      </c>
      <c r="Q486" s="10" t="str">
        <f aca="false">IF(F486="","Completar cadastro","")</f>
        <v/>
      </c>
      <c r="R486" s="10" t="str">
        <f aca="false">INDEX(Parâmetros!$D$39:$D$43,MATCH(P486,Parâmetros!$A$39:$A$43,0))</f>
        <v>Cadência leve, foco em qualificar</v>
      </c>
    </row>
    <row r="487" customFormat="false" ht="15" hidden="false" customHeight="false" outlineLevel="0" collapsed="false">
      <c r="A487" s="10" t="s">
        <v>724</v>
      </c>
      <c r="B487" s="10" t="s">
        <v>71</v>
      </c>
      <c r="C487" s="10" t="s">
        <v>72</v>
      </c>
      <c r="D487" s="10" t="s">
        <v>196</v>
      </c>
      <c r="E487" s="10" t="s">
        <v>50</v>
      </c>
      <c r="F487" s="10" t="s">
        <v>522</v>
      </c>
      <c r="G487" s="10" t="s">
        <v>425</v>
      </c>
      <c r="H487" s="10"/>
      <c r="I487" s="8" t="n">
        <f aca="false">INDEX(Parâmetros!$C$13:$C$19,MATCH(E487,Parâmetros!$A$13:$A$19,0))</f>
        <v>1096</v>
      </c>
      <c r="J487" s="26" t="str">
        <f aca="false">IF(H487="","",Parâmetros!$B$5-H487)</f>
        <v/>
      </c>
      <c r="K487" s="10" t="n">
        <f aca="false">INDEX(Parâmetros!$D$13:$D$19,MATCH(E487,Parâmetros!$A$13:$A$19,0))</f>
        <v>29</v>
      </c>
      <c r="L487" s="26" t="n">
        <f aca="false">IF(G487="Prospecting",Parâmetros!$B$9,IF(J487&gt;Parâmetros!$B$6,0,INDEX(Parâmetros!$C$24:$C$26,MATCH(J487,Parâmetros!$A$24:$A$26,1))))</f>
        <v>10</v>
      </c>
      <c r="M487" s="31" t="n">
        <f aca="false">IF(G487="Prospecting",1,INDEX(Parâmetros!$C$32:$C$35,MATCH(J487,Parâmetros!$A$32:$A$35,1)))</f>
        <v>1</v>
      </c>
      <c r="N487" s="2" t="n">
        <f aca="false">ROUND((K487+L487)*M487,0)</f>
        <v>39</v>
      </c>
      <c r="O487" s="10" t="str">
        <f aca="false">IF(AND(G487="Engaging",J487&gt;Parâmetros!$B$6),"Sim","Não")</f>
        <v>Não</v>
      </c>
      <c r="P487" s="32" t="str">
        <f aca="false">IF(O487="Sim","R",IF(N487&gt;=Parâmetros!$B$39,"A",IF(N487&gt;=Parâmetros!$B$40,"B",IF(N487&gt;=Parâmetros!$B$41,"C","D"))))</f>
        <v>C</v>
      </c>
      <c r="Q487" s="10" t="str">
        <f aca="false">IF(F487="","Completar cadastro","")</f>
        <v/>
      </c>
      <c r="R487" s="10" t="str">
        <f aca="false">INDEX(Parâmetros!$D$39:$D$43,MATCH(P487,Parâmetros!$A$39:$A$43,0))</f>
        <v>Cadência leve, foco em qualificar</v>
      </c>
    </row>
    <row r="488" customFormat="false" ht="15" hidden="false" customHeight="false" outlineLevel="0" collapsed="false">
      <c r="A488" s="10" t="s">
        <v>725</v>
      </c>
      <c r="B488" s="10" t="s">
        <v>71</v>
      </c>
      <c r="C488" s="10" t="s">
        <v>72</v>
      </c>
      <c r="D488" s="10" t="s">
        <v>196</v>
      </c>
      <c r="E488" s="10" t="s">
        <v>50</v>
      </c>
      <c r="F488" s="10" t="s">
        <v>536</v>
      </c>
      <c r="G488" s="10" t="s">
        <v>425</v>
      </c>
      <c r="H488" s="10"/>
      <c r="I488" s="8" t="n">
        <f aca="false">INDEX(Parâmetros!$C$13:$C$19,MATCH(E488,Parâmetros!$A$13:$A$19,0))</f>
        <v>1096</v>
      </c>
      <c r="J488" s="26" t="str">
        <f aca="false">IF(H488="","",Parâmetros!$B$5-H488)</f>
        <v/>
      </c>
      <c r="K488" s="10" t="n">
        <f aca="false">INDEX(Parâmetros!$D$13:$D$19,MATCH(E488,Parâmetros!$A$13:$A$19,0))</f>
        <v>29</v>
      </c>
      <c r="L488" s="26" t="n">
        <f aca="false">IF(G488="Prospecting",Parâmetros!$B$9,IF(J488&gt;Parâmetros!$B$6,0,INDEX(Parâmetros!$C$24:$C$26,MATCH(J488,Parâmetros!$A$24:$A$26,1))))</f>
        <v>10</v>
      </c>
      <c r="M488" s="31" t="n">
        <f aca="false">IF(G488="Prospecting",1,INDEX(Parâmetros!$C$32:$C$35,MATCH(J488,Parâmetros!$A$32:$A$35,1)))</f>
        <v>1</v>
      </c>
      <c r="N488" s="2" t="n">
        <f aca="false">ROUND((K488+L488)*M488,0)</f>
        <v>39</v>
      </c>
      <c r="O488" s="10" t="str">
        <f aca="false">IF(AND(G488="Engaging",J488&gt;Parâmetros!$B$6),"Sim","Não")</f>
        <v>Não</v>
      </c>
      <c r="P488" s="32" t="str">
        <f aca="false">IF(O488="Sim","R",IF(N488&gt;=Parâmetros!$B$39,"A",IF(N488&gt;=Parâmetros!$B$40,"B",IF(N488&gt;=Parâmetros!$B$41,"C","D"))))</f>
        <v>C</v>
      </c>
      <c r="Q488" s="10" t="str">
        <f aca="false">IF(F488="","Completar cadastro","")</f>
        <v/>
      </c>
      <c r="R488" s="10" t="str">
        <f aca="false">INDEX(Parâmetros!$D$39:$D$43,MATCH(P488,Parâmetros!$A$39:$A$43,0))</f>
        <v>Cadência leve, foco em qualificar</v>
      </c>
    </row>
    <row r="489" customFormat="false" ht="15" hidden="false" customHeight="false" outlineLevel="0" collapsed="false">
      <c r="A489" s="10" t="s">
        <v>726</v>
      </c>
      <c r="B489" s="10" t="s">
        <v>71</v>
      </c>
      <c r="C489" s="10" t="s">
        <v>72</v>
      </c>
      <c r="D489" s="10" t="s">
        <v>196</v>
      </c>
      <c r="E489" s="10" t="s">
        <v>50</v>
      </c>
      <c r="F489" s="10"/>
      <c r="G489" s="10" t="s">
        <v>425</v>
      </c>
      <c r="H489" s="10"/>
      <c r="I489" s="8" t="n">
        <f aca="false">INDEX(Parâmetros!$C$13:$C$19,MATCH(E489,Parâmetros!$A$13:$A$19,0))</f>
        <v>1096</v>
      </c>
      <c r="J489" s="26" t="str">
        <f aca="false">IF(H489="","",Parâmetros!$B$5-H489)</f>
        <v/>
      </c>
      <c r="K489" s="10" t="n">
        <f aca="false">INDEX(Parâmetros!$D$13:$D$19,MATCH(E489,Parâmetros!$A$13:$A$19,0))</f>
        <v>29</v>
      </c>
      <c r="L489" s="26" t="n">
        <f aca="false">IF(G489="Prospecting",Parâmetros!$B$9,IF(J489&gt;Parâmetros!$B$6,0,INDEX(Parâmetros!$C$24:$C$26,MATCH(J489,Parâmetros!$A$24:$A$26,1))))</f>
        <v>10</v>
      </c>
      <c r="M489" s="31" t="n">
        <f aca="false">IF(G489="Prospecting",1,INDEX(Parâmetros!$C$32:$C$35,MATCH(J489,Parâmetros!$A$32:$A$35,1)))</f>
        <v>1</v>
      </c>
      <c r="N489" s="2" t="n">
        <f aca="false">ROUND((K489+L489)*M489,0)</f>
        <v>39</v>
      </c>
      <c r="O489" s="10" t="str">
        <f aca="false">IF(AND(G489="Engaging",J489&gt;Parâmetros!$B$6),"Sim","Não")</f>
        <v>Não</v>
      </c>
      <c r="P489" s="32" t="str">
        <f aca="false">IF(O489="Sim","R",IF(N489&gt;=Parâmetros!$B$39,"A",IF(N489&gt;=Parâmetros!$B$40,"B",IF(N489&gt;=Parâmetros!$B$41,"C","D"))))</f>
        <v>C</v>
      </c>
      <c r="Q489" s="10" t="str">
        <f aca="false">IF(F489="","Completar cadastro","")</f>
        <v>Completar cadastro</v>
      </c>
      <c r="R489" s="10" t="str">
        <f aca="false">INDEX(Parâmetros!$D$39:$D$43,MATCH(P489,Parâmetros!$A$39:$A$43,0))</f>
        <v>Cadência leve, foco em qualificar</v>
      </c>
    </row>
    <row r="490" customFormat="false" ht="15" hidden="false" customHeight="false" outlineLevel="0" collapsed="false">
      <c r="A490" s="10" t="s">
        <v>727</v>
      </c>
      <c r="B490" s="10" t="s">
        <v>71</v>
      </c>
      <c r="C490" s="10" t="s">
        <v>72</v>
      </c>
      <c r="D490" s="10" t="s">
        <v>196</v>
      </c>
      <c r="E490" s="10" t="s">
        <v>50</v>
      </c>
      <c r="F490" s="10"/>
      <c r="G490" s="10" t="s">
        <v>425</v>
      </c>
      <c r="H490" s="10"/>
      <c r="I490" s="8" t="n">
        <f aca="false">INDEX(Parâmetros!$C$13:$C$19,MATCH(E490,Parâmetros!$A$13:$A$19,0))</f>
        <v>1096</v>
      </c>
      <c r="J490" s="26" t="str">
        <f aca="false">IF(H490="","",Parâmetros!$B$5-H490)</f>
        <v/>
      </c>
      <c r="K490" s="10" t="n">
        <f aca="false">INDEX(Parâmetros!$D$13:$D$19,MATCH(E490,Parâmetros!$A$13:$A$19,0))</f>
        <v>29</v>
      </c>
      <c r="L490" s="26" t="n">
        <f aca="false">IF(G490="Prospecting",Parâmetros!$B$9,IF(J490&gt;Parâmetros!$B$6,0,INDEX(Parâmetros!$C$24:$C$26,MATCH(J490,Parâmetros!$A$24:$A$26,1))))</f>
        <v>10</v>
      </c>
      <c r="M490" s="31" t="n">
        <f aca="false">IF(G490="Prospecting",1,INDEX(Parâmetros!$C$32:$C$35,MATCH(J490,Parâmetros!$A$32:$A$35,1)))</f>
        <v>1</v>
      </c>
      <c r="N490" s="2" t="n">
        <f aca="false">ROUND((K490+L490)*M490,0)</f>
        <v>39</v>
      </c>
      <c r="O490" s="10" t="str">
        <f aca="false">IF(AND(G490="Engaging",J490&gt;Parâmetros!$B$6),"Sim","Não")</f>
        <v>Não</v>
      </c>
      <c r="P490" s="32" t="str">
        <f aca="false">IF(O490="Sim","R",IF(N490&gt;=Parâmetros!$B$39,"A",IF(N490&gt;=Parâmetros!$B$40,"B",IF(N490&gt;=Parâmetros!$B$41,"C","D"))))</f>
        <v>C</v>
      </c>
      <c r="Q490" s="10" t="str">
        <f aca="false">IF(F490="","Completar cadastro","")</f>
        <v>Completar cadastro</v>
      </c>
      <c r="R490" s="10" t="str">
        <f aca="false">INDEX(Parâmetros!$D$39:$D$43,MATCH(P490,Parâmetros!$A$39:$A$43,0))</f>
        <v>Cadência leve, foco em qualificar</v>
      </c>
    </row>
    <row r="491" customFormat="false" ht="15" hidden="false" customHeight="false" outlineLevel="0" collapsed="false">
      <c r="A491" s="10" t="s">
        <v>728</v>
      </c>
      <c r="B491" s="10" t="s">
        <v>73</v>
      </c>
      <c r="C491" s="10" t="s">
        <v>72</v>
      </c>
      <c r="D491" s="10" t="s">
        <v>196</v>
      </c>
      <c r="E491" s="10" t="s">
        <v>50</v>
      </c>
      <c r="F491" s="10"/>
      <c r="G491" s="10" t="s">
        <v>425</v>
      </c>
      <c r="H491" s="10"/>
      <c r="I491" s="8" t="n">
        <f aca="false">INDEX(Parâmetros!$C$13:$C$19,MATCH(E491,Parâmetros!$A$13:$A$19,0))</f>
        <v>1096</v>
      </c>
      <c r="J491" s="26" t="str">
        <f aca="false">IF(H491="","",Parâmetros!$B$5-H491)</f>
        <v/>
      </c>
      <c r="K491" s="10" t="n">
        <f aca="false">INDEX(Parâmetros!$D$13:$D$19,MATCH(E491,Parâmetros!$A$13:$A$19,0))</f>
        <v>29</v>
      </c>
      <c r="L491" s="26" t="n">
        <f aca="false">IF(G491="Prospecting",Parâmetros!$B$9,IF(J491&gt;Parâmetros!$B$6,0,INDEX(Parâmetros!$C$24:$C$26,MATCH(J491,Parâmetros!$A$24:$A$26,1))))</f>
        <v>10</v>
      </c>
      <c r="M491" s="31" t="n">
        <f aca="false">IF(G491="Prospecting",1,INDEX(Parâmetros!$C$32:$C$35,MATCH(J491,Parâmetros!$A$32:$A$35,1)))</f>
        <v>1</v>
      </c>
      <c r="N491" s="2" t="n">
        <f aca="false">ROUND((K491+L491)*M491,0)</f>
        <v>39</v>
      </c>
      <c r="O491" s="10" t="str">
        <f aca="false">IF(AND(G491="Engaging",J491&gt;Parâmetros!$B$6),"Sim","Não")</f>
        <v>Não</v>
      </c>
      <c r="P491" s="32" t="str">
        <f aca="false">IF(O491="Sim","R",IF(N491&gt;=Parâmetros!$B$39,"A",IF(N491&gt;=Parâmetros!$B$40,"B",IF(N491&gt;=Parâmetros!$B$41,"C","D"))))</f>
        <v>C</v>
      </c>
      <c r="Q491" s="10" t="str">
        <f aca="false">IF(F491="","Completar cadastro","")</f>
        <v>Completar cadastro</v>
      </c>
      <c r="R491" s="10" t="str">
        <f aca="false">INDEX(Parâmetros!$D$39:$D$43,MATCH(P491,Parâmetros!$A$39:$A$43,0))</f>
        <v>Cadência leve, foco em qualificar</v>
      </c>
    </row>
    <row r="492" customFormat="false" ht="15" hidden="false" customHeight="false" outlineLevel="0" collapsed="false">
      <c r="A492" s="10" t="s">
        <v>729</v>
      </c>
      <c r="B492" s="10" t="s">
        <v>73</v>
      </c>
      <c r="C492" s="10" t="s">
        <v>72</v>
      </c>
      <c r="D492" s="10" t="s">
        <v>196</v>
      </c>
      <c r="E492" s="10" t="s">
        <v>50</v>
      </c>
      <c r="F492" s="10"/>
      <c r="G492" s="10" t="s">
        <v>425</v>
      </c>
      <c r="H492" s="10"/>
      <c r="I492" s="8" t="n">
        <f aca="false">INDEX(Parâmetros!$C$13:$C$19,MATCH(E492,Parâmetros!$A$13:$A$19,0))</f>
        <v>1096</v>
      </c>
      <c r="J492" s="26" t="str">
        <f aca="false">IF(H492="","",Parâmetros!$B$5-H492)</f>
        <v/>
      </c>
      <c r="K492" s="10" t="n">
        <f aca="false">INDEX(Parâmetros!$D$13:$D$19,MATCH(E492,Parâmetros!$A$13:$A$19,0))</f>
        <v>29</v>
      </c>
      <c r="L492" s="26" t="n">
        <f aca="false">IF(G492="Prospecting",Parâmetros!$B$9,IF(J492&gt;Parâmetros!$B$6,0,INDEX(Parâmetros!$C$24:$C$26,MATCH(J492,Parâmetros!$A$24:$A$26,1))))</f>
        <v>10</v>
      </c>
      <c r="M492" s="31" t="n">
        <f aca="false">IF(G492="Prospecting",1,INDEX(Parâmetros!$C$32:$C$35,MATCH(J492,Parâmetros!$A$32:$A$35,1)))</f>
        <v>1</v>
      </c>
      <c r="N492" s="2" t="n">
        <f aca="false">ROUND((K492+L492)*M492,0)</f>
        <v>39</v>
      </c>
      <c r="O492" s="10" t="str">
        <f aca="false">IF(AND(G492="Engaging",J492&gt;Parâmetros!$B$6),"Sim","Não")</f>
        <v>Não</v>
      </c>
      <c r="P492" s="32" t="str">
        <f aca="false">IF(O492="Sim","R",IF(N492&gt;=Parâmetros!$B$39,"A",IF(N492&gt;=Parâmetros!$B$40,"B",IF(N492&gt;=Parâmetros!$B$41,"C","D"))))</f>
        <v>C</v>
      </c>
      <c r="Q492" s="10" t="str">
        <f aca="false">IF(F492="","Completar cadastro","")</f>
        <v>Completar cadastro</v>
      </c>
      <c r="R492" s="10" t="str">
        <f aca="false">INDEX(Parâmetros!$D$39:$D$43,MATCH(P492,Parâmetros!$A$39:$A$43,0))</f>
        <v>Cadência leve, foco em qualificar</v>
      </c>
    </row>
    <row r="493" customFormat="false" ht="15" hidden="false" customHeight="false" outlineLevel="0" collapsed="false">
      <c r="A493" s="10" t="s">
        <v>730</v>
      </c>
      <c r="B493" s="10" t="s">
        <v>73</v>
      </c>
      <c r="C493" s="10" t="s">
        <v>72</v>
      </c>
      <c r="D493" s="10" t="s">
        <v>196</v>
      </c>
      <c r="E493" s="10" t="s">
        <v>50</v>
      </c>
      <c r="F493" s="10"/>
      <c r="G493" s="10" t="s">
        <v>425</v>
      </c>
      <c r="H493" s="10"/>
      <c r="I493" s="8" t="n">
        <f aca="false">INDEX(Parâmetros!$C$13:$C$19,MATCH(E493,Parâmetros!$A$13:$A$19,0))</f>
        <v>1096</v>
      </c>
      <c r="J493" s="26" t="str">
        <f aca="false">IF(H493="","",Parâmetros!$B$5-H493)</f>
        <v/>
      </c>
      <c r="K493" s="10" t="n">
        <f aca="false">INDEX(Parâmetros!$D$13:$D$19,MATCH(E493,Parâmetros!$A$13:$A$19,0))</f>
        <v>29</v>
      </c>
      <c r="L493" s="26" t="n">
        <f aca="false">IF(G493="Prospecting",Parâmetros!$B$9,IF(J493&gt;Parâmetros!$B$6,0,INDEX(Parâmetros!$C$24:$C$26,MATCH(J493,Parâmetros!$A$24:$A$26,1))))</f>
        <v>10</v>
      </c>
      <c r="M493" s="31" t="n">
        <f aca="false">IF(G493="Prospecting",1,INDEX(Parâmetros!$C$32:$C$35,MATCH(J493,Parâmetros!$A$32:$A$35,1)))</f>
        <v>1</v>
      </c>
      <c r="N493" s="2" t="n">
        <f aca="false">ROUND((K493+L493)*M493,0)</f>
        <v>39</v>
      </c>
      <c r="O493" s="10" t="str">
        <f aca="false">IF(AND(G493="Engaging",J493&gt;Parâmetros!$B$6),"Sim","Não")</f>
        <v>Não</v>
      </c>
      <c r="P493" s="32" t="str">
        <f aca="false">IF(O493="Sim","R",IF(N493&gt;=Parâmetros!$B$39,"A",IF(N493&gt;=Parâmetros!$B$40,"B",IF(N493&gt;=Parâmetros!$B$41,"C","D"))))</f>
        <v>C</v>
      </c>
      <c r="Q493" s="10" t="str">
        <f aca="false">IF(F493="","Completar cadastro","")</f>
        <v>Completar cadastro</v>
      </c>
      <c r="R493" s="10" t="str">
        <f aca="false">INDEX(Parâmetros!$D$39:$D$43,MATCH(P493,Parâmetros!$A$39:$A$43,0))</f>
        <v>Cadência leve, foco em qualificar</v>
      </c>
    </row>
    <row r="494" customFormat="false" ht="15" hidden="false" customHeight="false" outlineLevel="0" collapsed="false">
      <c r="A494" s="10" t="s">
        <v>731</v>
      </c>
      <c r="B494" s="10" t="s">
        <v>77</v>
      </c>
      <c r="C494" s="10" t="s">
        <v>78</v>
      </c>
      <c r="D494" s="10" t="s">
        <v>196</v>
      </c>
      <c r="E494" s="10" t="s">
        <v>50</v>
      </c>
      <c r="F494" s="10" t="s">
        <v>405</v>
      </c>
      <c r="G494" s="10" t="s">
        <v>425</v>
      </c>
      <c r="H494" s="10"/>
      <c r="I494" s="8" t="n">
        <f aca="false">INDEX(Parâmetros!$C$13:$C$19,MATCH(E494,Parâmetros!$A$13:$A$19,0))</f>
        <v>1096</v>
      </c>
      <c r="J494" s="26" t="str">
        <f aca="false">IF(H494="","",Parâmetros!$B$5-H494)</f>
        <v/>
      </c>
      <c r="K494" s="10" t="n">
        <f aca="false">INDEX(Parâmetros!$D$13:$D$19,MATCH(E494,Parâmetros!$A$13:$A$19,0))</f>
        <v>29</v>
      </c>
      <c r="L494" s="26" t="n">
        <f aca="false">IF(G494="Prospecting",Parâmetros!$B$9,IF(J494&gt;Parâmetros!$B$6,0,INDEX(Parâmetros!$C$24:$C$26,MATCH(J494,Parâmetros!$A$24:$A$26,1))))</f>
        <v>10</v>
      </c>
      <c r="M494" s="31" t="n">
        <f aca="false">IF(G494="Prospecting",1,INDEX(Parâmetros!$C$32:$C$35,MATCH(J494,Parâmetros!$A$32:$A$35,1)))</f>
        <v>1</v>
      </c>
      <c r="N494" s="2" t="n">
        <f aca="false">ROUND((K494+L494)*M494,0)</f>
        <v>39</v>
      </c>
      <c r="O494" s="10" t="str">
        <f aca="false">IF(AND(G494="Engaging",J494&gt;Parâmetros!$B$6),"Sim","Não")</f>
        <v>Não</v>
      </c>
      <c r="P494" s="32" t="str">
        <f aca="false">IF(O494="Sim","R",IF(N494&gt;=Parâmetros!$B$39,"A",IF(N494&gt;=Parâmetros!$B$40,"B",IF(N494&gt;=Parâmetros!$B$41,"C","D"))))</f>
        <v>C</v>
      </c>
      <c r="Q494" s="10" t="str">
        <f aca="false">IF(F494="","Completar cadastro","")</f>
        <v/>
      </c>
      <c r="R494" s="10" t="str">
        <f aca="false">INDEX(Parâmetros!$D$39:$D$43,MATCH(P494,Parâmetros!$A$39:$A$43,0))</f>
        <v>Cadência leve, foco em qualificar</v>
      </c>
    </row>
    <row r="495" customFormat="false" ht="15" hidden="false" customHeight="false" outlineLevel="0" collapsed="false">
      <c r="A495" s="10" t="s">
        <v>732</v>
      </c>
      <c r="B495" s="10" t="s">
        <v>77</v>
      </c>
      <c r="C495" s="10" t="s">
        <v>78</v>
      </c>
      <c r="D495" s="10" t="s">
        <v>196</v>
      </c>
      <c r="E495" s="10" t="s">
        <v>50</v>
      </c>
      <c r="F495" s="10" t="s">
        <v>514</v>
      </c>
      <c r="G495" s="10" t="s">
        <v>425</v>
      </c>
      <c r="H495" s="10"/>
      <c r="I495" s="8" t="n">
        <f aca="false">INDEX(Parâmetros!$C$13:$C$19,MATCH(E495,Parâmetros!$A$13:$A$19,0))</f>
        <v>1096</v>
      </c>
      <c r="J495" s="26" t="str">
        <f aca="false">IF(H495="","",Parâmetros!$B$5-H495)</f>
        <v/>
      </c>
      <c r="K495" s="10" t="n">
        <f aca="false">INDEX(Parâmetros!$D$13:$D$19,MATCH(E495,Parâmetros!$A$13:$A$19,0))</f>
        <v>29</v>
      </c>
      <c r="L495" s="26" t="n">
        <f aca="false">IF(G495="Prospecting",Parâmetros!$B$9,IF(J495&gt;Parâmetros!$B$6,0,INDEX(Parâmetros!$C$24:$C$26,MATCH(J495,Parâmetros!$A$24:$A$26,1))))</f>
        <v>10</v>
      </c>
      <c r="M495" s="31" t="n">
        <f aca="false">IF(G495="Prospecting",1,INDEX(Parâmetros!$C$32:$C$35,MATCH(J495,Parâmetros!$A$32:$A$35,1)))</f>
        <v>1</v>
      </c>
      <c r="N495" s="2" t="n">
        <f aca="false">ROUND((K495+L495)*M495,0)</f>
        <v>39</v>
      </c>
      <c r="O495" s="10" t="str">
        <f aca="false">IF(AND(G495="Engaging",J495&gt;Parâmetros!$B$6),"Sim","Não")</f>
        <v>Não</v>
      </c>
      <c r="P495" s="32" t="str">
        <f aca="false">IF(O495="Sim","R",IF(N495&gt;=Parâmetros!$B$39,"A",IF(N495&gt;=Parâmetros!$B$40,"B",IF(N495&gt;=Parâmetros!$B$41,"C","D"))))</f>
        <v>C</v>
      </c>
      <c r="Q495" s="10" t="str">
        <f aca="false">IF(F495="","Completar cadastro","")</f>
        <v/>
      </c>
      <c r="R495" s="10" t="str">
        <f aca="false">INDEX(Parâmetros!$D$39:$D$43,MATCH(P495,Parâmetros!$A$39:$A$43,0))</f>
        <v>Cadência leve, foco em qualificar</v>
      </c>
    </row>
    <row r="496" customFormat="false" ht="15" hidden="false" customHeight="false" outlineLevel="0" collapsed="false">
      <c r="A496" s="10" t="s">
        <v>733</v>
      </c>
      <c r="B496" s="10" t="s">
        <v>77</v>
      </c>
      <c r="C496" s="10" t="s">
        <v>78</v>
      </c>
      <c r="D496" s="10" t="s">
        <v>196</v>
      </c>
      <c r="E496" s="10" t="s">
        <v>50</v>
      </c>
      <c r="F496" s="10" t="s">
        <v>532</v>
      </c>
      <c r="G496" s="10" t="s">
        <v>425</v>
      </c>
      <c r="H496" s="10"/>
      <c r="I496" s="8" t="n">
        <f aca="false">INDEX(Parâmetros!$C$13:$C$19,MATCH(E496,Parâmetros!$A$13:$A$19,0))</f>
        <v>1096</v>
      </c>
      <c r="J496" s="26" t="str">
        <f aca="false">IF(H496="","",Parâmetros!$B$5-H496)</f>
        <v/>
      </c>
      <c r="K496" s="10" t="n">
        <f aca="false">INDEX(Parâmetros!$D$13:$D$19,MATCH(E496,Parâmetros!$A$13:$A$19,0))</f>
        <v>29</v>
      </c>
      <c r="L496" s="26" t="n">
        <f aca="false">IF(G496="Prospecting",Parâmetros!$B$9,IF(J496&gt;Parâmetros!$B$6,0,INDEX(Parâmetros!$C$24:$C$26,MATCH(J496,Parâmetros!$A$24:$A$26,1))))</f>
        <v>10</v>
      </c>
      <c r="M496" s="31" t="n">
        <f aca="false">IF(G496="Prospecting",1,INDEX(Parâmetros!$C$32:$C$35,MATCH(J496,Parâmetros!$A$32:$A$35,1)))</f>
        <v>1</v>
      </c>
      <c r="N496" s="2" t="n">
        <f aca="false">ROUND((K496+L496)*M496,0)</f>
        <v>39</v>
      </c>
      <c r="O496" s="10" t="str">
        <f aca="false">IF(AND(G496="Engaging",J496&gt;Parâmetros!$B$6),"Sim","Não")</f>
        <v>Não</v>
      </c>
      <c r="P496" s="32" t="str">
        <f aca="false">IF(O496="Sim","R",IF(N496&gt;=Parâmetros!$B$39,"A",IF(N496&gt;=Parâmetros!$B$40,"B",IF(N496&gt;=Parâmetros!$B$41,"C","D"))))</f>
        <v>C</v>
      </c>
      <c r="Q496" s="10" t="str">
        <f aca="false">IF(F496="","Completar cadastro","")</f>
        <v/>
      </c>
      <c r="R496" s="10" t="str">
        <f aca="false">INDEX(Parâmetros!$D$39:$D$43,MATCH(P496,Parâmetros!$A$39:$A$43,0))</f>
        <v>Cadência leve, foco em qualificar</v>
      </c>
    </row>
    <row r="497" customFormat="false" ht="15" hidden="false" customHeight="false" outlineLevel="0" collapsed="false">
      <c r="A497" s="10" t="s">
        <v>734</v>
      </c>
      <c r="B497" s="10" t="s">
        <v>77</v>
      </c>
      <c r="C497" s="10" t="s">
        <v>78</v>
      </c>
      <c r="D497" s="10" t="s">
        <v>196</v>
      </c>
      <c r="E497" s="10" t="s">
        <v>50</v>
      </c>
      <c r="F497" s="10"/>
      <c r="G497" s="10" t="s">
        <v>425</v>
      </c>
      <c r="H497" s="10"/>
      <c r="I497" s="8" t="n">
        <f aca="false">INDEX(Parâmetros!$C$13:$C$19,MATCH(E497,Parâmetros!$A$13:$A$19,0))</f>
        <v>1096</v>
      </c>
      <c r="J497" s="26" t="str">
        <f aca="false">IF(H497="","",Parâmetros!$B$5-H497)</f>
        <v/>
      </c>
      <c r="K497" s="10" t="n">
        <f aca="false">INDEX(Parâmetros!$D$13:$D$19,MATCH(E497,Parâmetros!$A$13:$A$19,0))</f>
        <v>29</v>
      </c>
      <c r="L497" s="26" t="n">
        <f aca="false">IF(G497="Prospecting",Parâmetros!$B$9,IF(J497&gt;Parâmetros!$B$6,0,INDEX(Parâmetros!$C$24:$C$26,MATCH(J497,Parâmetros!$A$24:$A$26,1))))</f>
        <v>10</v>
      </c>
      <c r="M497" s="31" t="n">
        <f aca="false">IF(G497="Prospecting",1,INDEX(Parâmetros!$C$32:$C$35,MATCH(J497,Parâmetros!$A$32:$A$35,1)))</f>
        <v>1</v>
      </c>
      <c r="N497" s="2" t="n">
        <f aca="false">ROUND((K497+L497)*M497,0)</f>
        <v>39</v>
      </c>
      <c r="O497" s="10" t="str">
        <f aca="false">IF(AND(G497="Engaging",J497&gt;Parâmetros!$B$6),"Sim","Não")</f>
        <v>Não</v>
      </c>
      <c r="P497" s="32" t="str">
        <f aca="false">IF(O497="Sim","R",IF(N497&gt;=Parâmetros!$B$39,"A",IF(N497&gt;=Parâmetros!$B$40,"B",IF(N497&gt;=Parâmetros!$B$41,"C","D"))))</f>
        <v>C</v>
      </c>
      <c r="Q497" s="10" t="str">
        <f aca="false">IF(F497="","Completar cadastro","")</f>
        <v>Completar cadastro</v>
      </c>
      <c r="R497" s="10" t="str">
        <f aca="false">INDEX(Parâmetros!$D$39:$D$43,MATCH(P497,Parâmetros!$A$39:$A$43,0))</f>
        <v>Cadência leve, foco em qualificar</v>
      </c>
    </row>
    <row r="498" customFormat="false" ht="15" hidden="false" customHeight="false" outlineLevel="0" collapsed="false">
      <c r="A498" s="10" t="s">
        <v>735</v>
      </c>
      <c r="B498" s="10" t="s">
        <v>77</v>
      </c>
      <c r="C498" s="10" t="s">
        <v>78</v>
      </c>
      <c r="D498" s="10" t="s">
        <v>196</v>
      </c>
      <c r="E498" s="10" t="s">
        <v>50</v>
      </c>
      <c r="F498" s="10"/>
      <c r="G498" s="10" t="s">
        <v>425</v>
      </c>
      <c r="H498" s="10"/>
      <c r="I498" s="8" t="n">
        <f aca="false">INDEX(Parâmetros!$C$13:$C$19,MATCH(E498,Parâmetros!$A$13:$A$19,0))</f>
        <v>1096</v>
      </c>
      <c r="J498" s="26" t="str">
        <f aca="false">IF(H498="","",Parâmetros!$B$5-H498)</f>
        <v/>
      </c>
      <c r="K498" s="10" t="n">
        <f aca="false">INDEX(Parâmetros!$D$13:$D$19,MATCH(E498,Parâmetros!$A$13:$A$19,0))</f>
        <v>29</v>
      </c>
      <c r="L498" s="26" t="n">
        <f aca="false">IF(G498="Prospecting",Parâmetros!$B$9,IF(J498&gt;Parâmetros!$B$6,0,INDEX(Parâmetros!$C$24:$C$26,MATCH(J498,Parâmetros!$A$24:$A$26,1))))</f>
        <v>10</v>
      </c>
      <c r="M498" s="31" t="n">
        <f aca="false">IF(G498="Prospecting",1,INDEX(Parâmetros!$C$32:$C$35,MATCH(J498,Parâmetros!$A$32:$A$35,1)))</f>
        <v>1</v>
      </c>
      <c r="N498" s="2" t="n">
        <f aca="false">ROUND((K498+L498)*M498,0)</f>
        <v>39</v>
      </c>
      <c r="O498" s="10" t="str">
        <f aca="false">IF(AND(G498="Engaging",J498&gt;Parâmetros!$B$6),"Sim","Não")</f>
        <v>Não</v>
      </c>
      <c r="P498" s="32" t="str">
        <f aca="false">IF(O498="Sim","R",IF(N498&gt;=Parâmetros!$B$39,"A",IF(N498&gt;=Parâmetros!$B$40,"B",IF(N498&gt;=Parâmetros!$B$41,"C","D"))))</f>
        <v>C</v>
      </c>
      <c r="Q498" s="10" t="str">
        <f aca="false">IF(F498="","Completar cadastro","")</f>
        <v>Completar cadastro</v>
      </c>
      <c r="R498" s="10" t="str">
        <f aca="false">INDEX(Parâmetros!$D$39:$D$43,MATCH(P498,Parâmetros!$A$39:$A$43,0))</f>
        <v>Cadência leve, foco em qualificar</v>
      </c>
    </row>
    <row r="499" customFormat="false" ht="15" hidden="false" customHeight="false" outlineLevel="0" collapsed="false">
      <c r="A499" s="10" t="s">
        <v>736</v>
      </c>
      <c r="B499" s="10" t="s">
        <v>77</v>
      </c>
      <c r="C499" s="10" t="s">
        <v>78</v>
      </c>
      <c r="D499" s="10" t="s">
        <v>196</v>
      </c>
      <c r="E499" s="10" t="s">
        <v>50</v>
      </c>
      <c r="F499" s="10"/>
      <c r="G499" s="10" t="s">
        <v>425</v>
      </c>
      <c r="H499" s="10"/>
      <c r="I499" s="8" t="n">
        <f aca="false">INDEX(Parâmetros!$C$13:$C$19,MATCH(E499,Parâmetros!$A$13:$A$19,0))</f>
        <v>1096</v>
      </c>
      <c r="J499" s="26" t="str">
        <f aca="false">IF(H499="","",Parâmetros!$B$5-H499)</f>
        <v/>
      </c>
      <c r="K499" s="10" t="n">
        <f aca="false">INDEX(Parâmetros!$D$13:$D$19,MATCH(E499,Parâmetros!$A$13:$A$19,0))</f>
        <v>29</v>
      </c>
      <c r="L499" s="26" t="n">
        <f aca="false">IF(G499="Prospecting",Parâmetros!$B$9,IF(J499&gt;Parâmetros!$B$6,0,INDEX(Parâmetros!$C$24:$C$26,MATCH(J499,Parâmetros!$A$24:$A$26,1))))</f>
        <v>10</v>
      </c>
      <c r="M499" s="31" t="n">
        <f aca="false">IF(G499="Prospecting",1,INDEX(Parâmetros!$C$32:$C$35,MATCH(J499,Parâmetros!$A$32:$A$35,1)))</f>
        <v>1</v>
      </c>
      <c r="N499" s="2" t="n">
        <f aca="false">ROUND((K499+L499)*M499,0)</f>
        <v>39</v>
      </c>
      <c r="O499" s="10" t="str">
        <f aca="false">IF(AND(G499="Engaging",J499&gt;Parâmetros!$B$6),"Sim","Não")</f>
        <v>Não</v>
      </c>
      <c r="P499" s="32" t="str">
        <f aca="false">IF(O499="Sim","R",IF(N499&gt;=Parâmetros!$B$39,"A",IF(N499&gt;=Parâmetros!$B$40,"B",IF(N499&gt;=Parâmetros!$B$41,"C","D"))))</f>
        <v>C</v>
      </c>
      <c r="Q499" s="10" t="str">
        <f aca="false">IF(F499="","Completar cadastro","")</f>
        <v>Completar cadastro</v>
      </c>
      <c r="R499" s="10" t="str">
        <f aca="false">INDEX(Parâmetros!$D$39:$D$43,MATCH(P499,Parâmetros!$A$39:$A$43,0))</f>
        <v>Cadência leve, foco em qualificar</v>
      </c>
    </row>
    <row r="500" customFormat="false" ht="15" hidden="false" customHeight="false" outlineLevel="0" collapsed="false">
      <c r="A500" s="10" t="s">
        <v>737</v>
      </c>
      <c r="B500" s="10" t="s">
        <v>77</v>
      </c>
      <c r="C500" s="10" t="s">
        <v>78</v>
      </c>
      <c r="D500" s="10" t="s">
        <v>196</v>
      </c>
      <c r="E500" s="10" t="s">
        <v>50</v>
      </c>
      <c r="F500" s="10"/>
      <c r="G500" s="10" t="s">
        <v>425</v>
      </c>
      <c r="H500" s="10"/>
      <c r="I500" s="8" t="n">
        <f aca="false">INDEX(Parâmetros!$C$13:$C$19,MATCH(E500,Parâmetros!$A$13:$A$19,0))</f>
        <v>1096</v>
      </c>
      <c r="J500" s="26" t="str">
        <f aca="false">IF(H500="","",Parâmetros!$B$5-H500)</f>
        <v/>
      </c>
      <c r="K500" s="10" t="n">
        <f aca="false">INDEX(Parâmetros!$D$13:$D$19,MATCH(E500,Parâmetros!$A$13:$A$19,0))</f>
        <v>29</v>
      </c>
      <c r="L500" s="26" t="n">
        <f aca="false">IF(G500="Prospecting",Parâmetros!$B$9,IF(J500&gt;Parâmetros!$B$6,0,INDEX(Parâmetros!$C$24:$C$26,MATCH(J500,Parâmetros!$A$24:$A$26,1))))</f>
        <v>10</v>
      </c>
      <c r="M500" s="31" t="n">
        <f aca="false">IF(G500="Prospecting",1,INDEX(Parâmetros!$C$32:$C$35,MATCH(J500,Parâmetros!$A$32:$A$35,1)))</f>
        <v>1</v>
      </c>
      <c r="N500" s="2" t="n">
        <f aca="false">ROUND((K500+L500)*M500,0)</f>
        <v>39</v>
      </c>
      <c r="O500" s="10" t="str">
        <f aca="false">IF(AND(G500="Engaging",J500&gt;Parâmetros!$B$6),"Sim","Não")</f>
        <v>Não</v>
      </c>
      <c r="P500" s="32" t="str">
        <f aca="false">IF(O500="Sim","R",IF(N500&gt;=Parâmetros!$B$39,"A",IF(N500&gt;=Parâmetros!$B$40,"B",IF(N500&gt;=Parâmetros!$B$41,"C","D"))))</f>
        <v>C</v>
      </c>
      <c r="Q500" s="10" t="str">
        <f aca="false">IF(F500="","Completar cadastro","")</f>
        <v>Completar cadastro</v>
      </c>
      <c r="R500" s="10" t="str">
        <f aca="false">INDEX(Parâmetros!$D$39:$D$43,MATCH(P500,Parâmetros!$A$39:$A$43,0))</f>
        <v>Cadência leve, foco em qualificar</v>
      </c>
    </row>
    <row r="501" customFormat="false" ht="15" hidden="false" customHeight="false" outlineLevel="0" collapsed="false">
      <c r="A501" s="10" t="s">
        <v>738</v>
      </c>
      <c r="B501" s="10" t="s">
        <v>77</v>
      </c>
      <c r="C501" s="10" t="s">
        <v>78</v>
      </c>
      <c r="D501" s="10" t="s">
        <v>196</v>
      </c>
      <c r="E501" s="10" t="s">
        <v>50</v>
      </c>
      <c r="F501" s="10"/>
      <c r="G501" s="10" t="s">
        <v>425</v>
      </c>
      <c r="H501" s="10"/>
      <c r="I501" s="8" t="n">
        <f aca="false">INDEX(Parâmetros!$C$13:$C$19,MATCH(E501,Parâmetros!$A$13:$A$19,0))</f>
        <v>1096</v>
      </c>
      <c r="J501" s="26" t="str">
        <f aca="false">IF(H501="","",Parâmetros!$B$5-H501)</f>
        <v/>
      </c>
      <c r="K501" s="10" t="n">
        <f aca="false">INDEX(Parâmetros!$D$13:$D$19,MATCH(E501,Parâmetros!$A$13:$A$19,0))</f>
        <v>29</v>
      </c>
      <c r="L501" s="26" t="n">
        <f aca="false">IF(G501="Prospecting",Parâmetros!$B$9,IF(J501&gt;Parâmetros!$B$6,0,INDEX(Parâmetros!$C$24:$C$26,MATCH(J501,Parâmetros!$A$24:$A$26,1))))</f>
        <v>10</v>
      </c>
      <c r="M501" s="31" t="n">
        <f aca="false">IF(G501="Prospecting",1,INDEX(Parâmetros!$C$32:$C$35,MATCH(J501,Parâmetros!$A$32:$A$35,1)))</f>
        <v>1</v>
      </c>
      <c r="N501" s="2" t="n">
        <f aca="false">ROUND((K501+L501)*M501,0)</f>
        <v>39</v>
      </c>
      <c r="O501" s="10" t="str">
        <f aca="false">IF(AND(G501="Engaging",J501&gt;Parâmetros!$B$6),"Sim","Não")</f>
        <v>Não</v>
      </c>
      <c r="P501" s="32" t="str">
        <f aca="false">IF(O501="Sim","R",IF(N501&gt;=Parâmetros!$B$39,"A",IF(N501&gt;=Parâmetros!$B$40,"B",IF(N501&gt;=Parâmetros!$B$41,"C","D"))))</f>
        <v>C</v>
      </c>
      <c r="Q501" s="10" t="str">
        <f aca="false">IF(F501="","Completar cadastro","")</f>
        <v>Completar cadastro</v>
      </c>
      <c r="R501" s="10" t="str">
        <f aca="false">INDEX(Parâmetros!$D$39:$D$43,MATCH(P501,Parâmetros!$A$39:$A$43,0))</f>
        <v>Cadência leve, foco em qualificar</v>
      </c>
    </row>
    <row r="502" customFormat="false" ht="15" hidden="false" customHeight="false" outlineLevel="0" collapsed="false">
      <c r="A502" s="10" t="s">
        <v>739</v>
      </c>
      <c r="B502" s="10" t="s">
        <v>77</v>
      </c>
      <c r="C502" s="10" t="s">
        <v>78</v>
      </c>
      <c r="D502" s="10" t="s">
        <v>196</v>
      </c>
      <c r="E502" s="10" t="s">
        <v>50</v>
      </c>
      <c r="F502" s="10"/>
      <c r="G502" s="10" t="s">
        <v>425</v>
      </c>
      <c r="H502" s="10"/>
      <c r="I502" s="8" t="n">
        <f aca="false">INDEX(Parâmetros!$C$13:$C$19,MATCH(E502,Parâmetros!$A$13:$A$19,0))</f>
        <v>1096</v>
      </c>
      <c r="J502" s="26" t="str">
        <f aca="false">IF(H502="","",Parâmetros!$B$5-H502)</f>
        <v/>
      </c>
      <c r="K502" s="10" t="n">
        <f aca="false">INDEX(Parâmetros!$D$13:$D$19,MATCH(E502,Parâmetros!$A$13:$A$19,0))</f>
        <v>29</v>
      </c>
      <c r="L502" s="26" t="n">
        <f aca="false">IF(G502="Prospecting",Parâmetros!$B$9,IF(J502&gt;Parâmetros!$B$6,0,INDEX(Parâmetros!$C$24:$C$26,MATCH(J502,Parâmetros!$A$24:$A$26,1))))</f>
        <v>10</v>
      </c>
      <c r="M502" s="31" t="n">
        <f aca="false">IF(G502="Prospecting",1,INDEX(Parâmetros!$C$32:$C$35,MATCH(J502,Parâmetros!$A$32:$A$35,1)))</f>
        <v>1</v>
      </c>
      <c r="N502" s="2" t="n">
        <f aca="false">ROUND((K502+L502)*M502,0)</f>
        <v>39</v>
      </c>
      <c r="O502" s="10" t="str">
        <f aca="false">IF(AND(G502="Engaging",J502&gt;Parâmetros!$B$6),"Sim","Não")</f>
        <v>Não</v>
      </c>
      <c r="P502" s="32" t="str">
        <f aca="false">IF(O502="Sim","R",IF(N502&gt;=Parâmetros!$B$39,"A",IF(N502&gt;=Parâmetros!$B$40,"B",IF(N502&gt;=Parâmetros!$B$41,"C","D"))))</f>
        <v>C</v>
      </c>
      <c r="Q502" s="10" t="str">
        <f aca="false">IF(F502="","Completar cadastro","")</f>
        <v>Completar cadastro</v>
      </c>
      <c r="R502" s="10" t="str">
        <f aca="false">INDEX(Parâmetros!$D$39:$D$43,MATCH(P502,Parâmetros!$A$39:$A$43,0))</f>
        <v>Cadência leve, foco em qualificar</v>
      </c>
    </row>
    <row r="503" customFormat="false" ht="15" hidden="false" customHeight="false" outlineLevel="0" collapsed="false">
      <c r="A503" s="10" t="s">
        <v>740</v>
      </c>
      <c r="B503" s="10" t="s">
        <v>77</v>
      </c>
      <c r="C503" s="10" t="s">
        <v>78</v>
      </c>
      <c r="D503" s="10" t="s">
        <v>196</v>
      </c>
      <c r="E503" s="10" t="s">
        <v>50</v>
      </c>
      <c r="F503" s="10"/>
      <c r="G503" s="10" t="s">
        <v>425</v>
      </c>
      <c r="H503" s="10"/>
      <c r="I503" s="8" t="n">
        <f aca="false">INDEX(Parâmetros!$C$13:$C$19,MATCH(E503,Parâmetros!$A$13:$A$19,0))</f>
        <v>1096</v>
      </c>
      <c r="J503" s="26" t="str">
        <f aca="false">IF(H503="","",Parâmetros!$B$5-H503)</f>
        <v/>
      </c>
      <c r="K503" s="10" t="n">
        <f aca="false">INDEX(Parâmetros!$D$13:$D$19,MATCH(E503,Parâmetros!$A$13:$A$19,0))</f>
        <v>29</v>
      </c>
      <c r="L503" s="26" t="n">
        <f aca="false">IF(G503="Prospecting",Parâmetros!$B$9,IF(J503&gt;Parâmetros!$B$6,0,INDEX(Parâmetros!$C$24:$C$26,MATCH(J503,Parâmetros!$A$24:$A$26,1))))</f>
        <v>10</v>
      </c>
      <c r="M503" s="31" t="n">
        <f aca="false">IF(G503="Prospecting",1,INDEX(Parâmetros!$C$32:$C$35,MATCH(J503,Parâmetros!$A$32:$A$35,1)))</f>
        <v>1</v>
      </c>
      <c r="N503" s="2" t="n">
        <f aca="false">ROUND((K503+L503)*M503,0)</f>
        <v>39</v>
      </c>
      <c r="O503" s="10" t="str">
        <f aca="false">IF(AND(G503="Engaging",J503&gt;Parâmetros!$B$6),"Sim","Não")</f>
        <v>Não</v>
      </c>
      <c r="P503" s="32" t="str">
        <f aca="false">IF(O503="Sim","R",IF(N503&gt;=Parâmetros!$B$39,"A",IF(N503&gt;=Parâmetros!$B$40,"B",IF(N503&gt;=Parâmetros!$B$41,"C","D"))))</f>
        <v>C</v>
      </c>
      <c r="Q503" s="10" t="str">
        <f aca="false">IF(F503="","Completar cadastro","")</f>
        <v>Completar cadastro</v>
      </c>
      <c r="R503" s="10" t="str">
        <f aca="false">INDEX(Parâmetros!$D$39:$D$43,MATCH(P503,Parâmetros!$A$39:$A$43,0))</f>
        <v>Cadência leve, foco em qualificar</v>
      </c>
    </row>
    <row r="504" customFormat="false" ht="15" hidden="false" customHeight="false" outlineLevel="0" collapsed="false">
      <c r="A504" s="10" t="s">
        <v>741</v>
      </c>
      <c r="B504" s="10" t="s">
        <v>77</v>
      </c>
      <c r="C504" s="10" t="s">
        <v>78</v>
      </c>
      <c r="D504" s="10" t="s">
        <v>196</v>
      </c>
      <c r="E504" s="10" t="s">
        <v>50</v>
      </c>
      <c r="F504" s="10"/>
      <c r="G504" s="10" t="s">
        <v>425</v>
      </c>
      <c r="H504" s="10"/>
      <c r="I504" s="8" t="n">
        <f aca="false">INDEX(Parâmetros!$C$13:$C$19,MATCH(E504,Parâmetros!$A$13:$A$19,0))</f>
        <v>1096</v>
      </c>
      <c r="J504" s="26" t="str">
        <f aca="false">IF(H504="","",Parâmetros!$B$5-H504)</f>
        <v/>
      </c>
      <c r="K504" s="10" t="n">
        <f aca="false">INDEX(Parâmetros!$D$13:$D$19,MATCH(E504,Parâmetros!$A$13:$A$19,0))</f>
        <v>29</v>
      </c>
      <c r="L504" s="26" t="n">
        <f aca="false">IF(G504="Prospecting",Parâmetros!$B$9,IF(J504&gt;Parâmetros!$B$6,0,INDEX(Parâmetros!$C$24:$C$26,MATCH(J504,Parâmetros!$A$24:$A$26,1))))</f>
        <v>10</v>
      </c>
      <c r="M504" s="31" t="n">
        <f aca="false">IF(G504="Prospecting",1,INDEX(Parâmetros!$C$32:$C$35,MATCH(J504,Parâmetros!$A$32:$A$35,1)))</f>
        <v>1</v>
      </c>
      <c r="N504" s="2" t="n">
        <f aca="false">ROUND((K504+L504)*M504,0)</f>
        <v>39</v>
      </c>
      <c r="O504" s="10" t="str">
        <f aca="false">IF(AND(G504="Engaging",J504&gt;Parâmetros!$B$6),"Sim","Não")</f>
        <v>Não</v>
      </c>
      <c r="P504" s="32" t="str">
        <f aca="false">IF(O504="Sim","R",IF(N504&gt;=Parâmetros!$B$39,"A",IF(N504&gt;=Parâmetros!$B$40,"B",IF(N504&gt;=Parâmetros!$B$41,"C","D"))))</f>
        <v>C</v>
      </c>
      <c r="Q504" s="10" t="str">
        <f aca="false">IF(F504="","Completar cadastro","")</f>
        <v>Completar cadastro</v>
      </c>
      <c r="R504" s="10" t="str">
        <f aca="false">INDEX(Parâmetros!$D$39:$D$43,MATCH(P504,Parâmetros!$A$39:$A$43,0))</f>
        <v>Cadência leve, foco em qualificar</v>
      </c>
    </row>
    <row r="505" customFormat="false" ht="15" hidden="false" customHeight="false" outlineLevel="0" collapsed="false">
      <c r="A505" s="10" t="s">
        <v>742</v>
      </c>
      <c r="B505" s="10" t="s">
        <v>77</v>
      </c>
      <c r="C505" s="10" t="s">
        <v>78</v>
      </c>
      <c r="D505" s="10" t="s">
        <v>196</v>
      </c>
      <c r="E505" s="10" t="s">
        <v>50</v>
      </c>
      <c r="F505" s="10"/>
      <c r="G505" s="10" t="s">
        <v>425</v>
      </c>
      <c r="H505" s="10"/>
      <c r="I505" s="8" t="n">
        <f aca="false">INDEX(Parâmetros!$C$13:$C$19,MATCH(E505,Parâmetros!$A$13:$A$19,0))</f>
        <v>1096</v>
      </c>
      <c r="J505" s="26" t="str">
        <f aca="false">IF(H505="","",Parâmetros!$B$5-H505)</f>
        <v/>
      </c>
      <c r="K505" s="10" t="n">
        <f aca="false">INDEX(Parâmetros!$D$13:$D$19,MATCH(E505,Parâmetros!$A$13:$A$19,0))</f>
        <v>29</v>
      </c>
      <c r="L505" s="26" t="n">
        <f aca="false">IF(G505="Prospecting",Parâmetros!$B$9,IF(J505&gt;Parâmetros!$B$6,0,INDEX(Parâmetros!$C$24:$C$26,MATCH(J505,Parâmetros!$A$24:$A$26,1))))</f>
        <v>10</v>
      </c>
      <c r="M505" s="31" t="n">
        <f aca="false">IF(G505="Prospecting",1,INDEX(Parâmetros!$C$32:$C$35,MATCH(J505,Parâmetros!$A$32:$A$35,1)))</f>
        <v>1</v>
      </c>
      <c r="N505" s="2" t="n">
        <f aca="false">ROUND((K505+L505)*M505,0)</f>
        <v>39</v>
      </c>
      <c r="O505" s="10" t="str">
        <f aca="false">IF(AND(G505="Engaging",J505&gt;Parâmetros!$B$6),"Sim","Não")</f>
        <v>Não</v>
      </c>
      <c r="P505" s="32" t="str">
        <f aca="false">IF(O505="Sim","R",IF(N505&gt;=Parâmetros!$B$39,"A",IF(N505&gt;=Parâmetros!$B$40,"B",IF(N505&gt;=Parâmetros!$B$41,"C","D"))))</f>
        <v>C</v>
      </c>
      <c r="Q505" s="10" t="str">
        <f aca="false">IF(F505="","Completar cadastro","")</f>
        <v>Completar cadastro</v>
      </c>
      <c r="R505" s="10" t="str">
        <f aca="false">INDEX(Parâmetros!$D$39:$D$43,MATCH(P505,Parâmetros!$A$39:$A$43,0))</f>
        <v>Cadência leve, foco em qualificar</v>
      </c>
    </row>
    <row r="506" customFormat="false" ht="15" hidden="false" customHeight="false" outlineLevel="0" collapsed="false">
      <c r="A506" s="10" t="s">
        <v>743</v>
      </c>
      <c r="B506" s="10" t="s">
        <v>77</v>
      </c>
      <c r="C506" s="10" t="s">
        <v>78</v>
      </c>
      <c r="D506" s="10" t="s">
        <v>196</v>
      </c>
      <c r="E506" s="10" t="s">
        <v>50</v>
      </c>
      <c r="F506" s="10"/>
      <c r="G506" s="10" t="s">
        <v>425</v>
      </c>
      <c r="H506" s="10"/>
      <c r="I506" s="8" t="n">
        <f aca="false">INDEX(Parâmetros!$C$13:$C$19,MATCH(E506,Parâmetros!$A$13:$A$19,0))</f>
        <v>1096</v>
      </c>
      <c r="J506" s="26" t="str">
        <f aca="false">IF(H506="","",Parâmetros!$B$5-H506)</f>
        <v/>
      </c>
      <c r="K506" s="10" t="n">
        <f aca="false">INDEX(Parâmetros!$D$13:$D$19,MATCH(E506,Parâmetros!$A$13:$A$19,0))</f>
        <v>29</v>
      </c>
      <c r="L506" s="26" t="n">
        <f aca="false">IF(G506="Prospecting",Parâmetros!$B$9,IF(J506&gt;Parâmetros!$B$6,0,INDEX(Parâmetros!$C$24:$C$26,MATCH(J506,Parâmetros!$A$24:$A$26,1))))</f>
        <v>10</v>
      </c>
      <c r="M506" s="31" t="n">
        <f aca="false">IF(G506="Prospecting",1,INDEX(Parâmetros!$C$32:$C$35,MATCH(J506,Parâmetros!$A$32:$A$35,1)))</f>
        <v>1</v>
      </c>
      <c r="N506" s="2" t="n">
        <f aca="false">ROUND((K506+L506)*M506,0)</f>
        <v>39</v>
      </c>
      <c r="O506" s="10" t="str">
        <f aca="false">IF(AND(G506="Engaging",J506&gt;Parâmetros!$B$6),"Sim","Não")</f>
        <v>Não</v>
      </c>
      <c r="P506" s="32" t="str">
        <f aca="false">IF(O506="Sim","R",IF(N506&gt;=Parâmetros!$B$39,"A",IF(N506&gt;=Parâmetros!$B$40,"B",IF(N506&gt;=Parâmetros!$B$41,"C","D"))))</f>
        <v>C</v>
      </c>
      <c r="Q506" s="10" t="str">
        <f aca="false">IF(F506="","Completar cadastro","")</f>
        <v>Completar cadastro</v>
      </c>
      <c r="R506" s="10" t="str">
        <f aca="false">INDEX(Parâmetros!$D$39:$D$43,MATCH(P506,Parâmetros!$A$39:$A$43,0))</f>
        <v>Cadência leve, foco em qualificar</v>
      </c>
    </row>
    <row r="507" customFormat="false" ht="15" hidden="false" customHeight="false" outlineLevel="0" collapsed="false">
      <c r="A507" s="10" t="s">
        <v>744</v>
      </c>
      <c r="B507" s="10" t="s">
        <v>77</v>
      </c>
      <c r="C507" s="10" t="s">
        <v>78</v>
      </c>
      <c r="D507" s="10" t="s">
        <v>196</v>
      </c>
      <c r="E507" s="10" t="s">
        <v>50</v>
      </c>
      <c r="F507" s="10"/>
      <c r="G507" s="10" t="s">
        <v>425</v>
      </c>
      <c r="H507" s="10"/>
      <c r="I507" s="8" t="n">
        <f aca="false">INDEX(Parâmetros!$C$13:$C$19,MATCH(E507,Parâmetros!$A$13:$A$19,0))</f>
        <v>1096</v>
      </c>
      <c r="J507" s="26" t="str">
        <f aca="false">IF(H507="","",Parâmetros!$B$5-H507)</f>
        <v/>
      </c>
      <c r="K507" s="10" t="n">
        <f aca="false">INDEX(Parâmetros!$D$13:$D$19,MATCH(E507,Parâmetros!$A$13:$A$19,0))</f>
        <v>29</v>
      </c>
      <c r="L507" s="26" t="n">
        <f aca="false">IF(G507="Prospecting",Parâmetros!$B$9,IF(J507&gt;Parâmetros!$B$6,0,INDEX(Parâmetros!$C$24:$C$26,MATCH(J507,Parâmetros!$A$24:$A$26,1))))</f>
        <v>10</v>
      </c>
      <c r="M507" s="31" t="n">
        <f aca="false">IF(G507="Prospecting",1,INDEX(Parâmetros!$C$32:$C$35,MATCH(J507,Parâmetros!$A$32:$A$35,1)))</f>
        <v>1</v>
      </c>
      <c r="N507" s="2" t="n">
        <f aca="false">ROUND((K507+L507)*M507,0)</f>
        <v>39</v>
      </c>
      <c r="O507" s="10" t="str">
        <f aca="false">IF(AND(G507="Engaging",J507&gt;Parâmetros!$B$6),"Sim","Não")</f>
        <v>Não</v>
      </c>
      <c r="P507" s="32" t="str">
        <f aca="false">IF(O507="Sim","R",IF(N507&gt;=Parâmetros!$B$39,"A",IF(N507&gt;=Parâmetros!$B$40,"B",IF(N507&gt;=Parâmetros!$B$41,"C","D"))))</f>
        <v>C</v>
      </c>
      <c r="Q507" s="10" t="str">
        <f aca="false">IF(F507="","Completar cadastro","")</f>
        <v>Completar cadastro</v>
      </c>
      <c r="R507" s="10" t="str">
        <f aca="false">INDEX(Parâmetros!$D$39:$D$43,MATCH(P507,Parâmetros!$A$39:$A$43,0))</f>
        <v>Cadência leve, foco em qualificar</v>
      </c>
    </row>
    <row r="508" customFormat="false" ht="15" hidden="false" customHeight="false" outlineLevel="0" collapsed="false">
      <c r="A508" s="10" t="s">
        <v>745</v>
      </c>
      <c r="B508" s="10" t="s">
        <v>77</v>
      </c>
      <c r="C508" s="10" t="s">
        <v>78</v>
      </c>
      <c r="D508" s="10" t="s">
        <v>196</v>
      </c>
      <c r="E508" s="10" t="s">
        <v>50</v>
      </c>
      <c r="F508" s="10"/>
      <c r="G508" s="10" t="s">
        <v>425</v>
      </c>
      <c r="H508" s="10"/>
      <c r="I508" s="8" t="n">
        <f aca="false">INDEX(Parâmetros!$C$13:$C$19,MATCH(E508,Parâmetros!$A$13:$A$19,0))</f>
        <v>1096</v>
      </c>
      <c r="J508" s="26" t="str">
        <f aca="false">IF(H508="","",Parâmetros!$B$5-H508)</f>
        <v/>
      </c>
      <c r="K508" s="10" t="n">
        <f aca="false">INDEX(Parâmetros!$D$13:$D$19,MATCH(E508,Parâmetros!$A$13:$A$19,0))</f>
        <v>29</v>
      </c>
      <c r="L508" s="26" t="n">
        <f aca="false">IF(G508="Prospecting",Parâmetros!$B$9,IF(J508&gt;Parâmetros!$B$6,0,INDEX(Parâmetros!$C$24:$C$26,MATCH(J508,Parâmetros!$A$24:$A$26,1))))</f>
        <v>10</v>
      </c>
      <c r="M508" s="31" t="n">
        <f aca="false">IF(G508="Prospecting",1,INDEX(Parâmetros!$C$32:$C$35,MATCH(J508,Parâmetros!$A$32:$A$35,1)))</f>
        <v>1</v>
      </c>
      <c r="N508" s="2" t="n">
        <f aca="false">ROUND((K508+L508)*M508,0)</f>
        <v>39</v>
      </c>
      <c r="O508" s="10" t="str">
        <f aca="false">IF(AND(G508="Engaging",J508&gt;Parâmetros!$B$6),"Sim","Não")</f>
        <v>Não</v>
      </c>
      <c r="P508" s="32" t="str">
        <f aca="false">IF(O508="Sim","R",IF(N508&gt;=Parâmetros!$B$39,"A",IF(N508&gt;=Parâmetros!$B$40,"B",IF(N508&gt;=Parâmetros!$B$41,"C","D"))))</f>
        <v>C</v>
      </c>
      <c r="Q508" s="10" t="str">
        <f aca="false">IF(F508="","Completar cadastro","")</f>
        <v>Completar cadastro</v>
      </c>
      <c r="R508" s="10" t="str">
        <f aca="false">INDEX(Parâmetros!$D$39:$D$43,MATCH(P508,Parâmetros!$A$39:$A$43,0))</f>
        <v>Cadência leve, foco em qualificar</v>
      </c>
    </row>
    <row r="509" customFormat="false" ht="15" hidden="false" customHeight="false" outlineLevel="0" collapsed="false">
      <c r="A509" s="10" t="s">
        <v>746</v>
      </c>
      <c r="B509" s="10" t="s">
        <v>77</v>
      </c>
      <c r="C509" s="10" t="s">
        <v>78</v>
      </c>
      <c r="D509" s="10" t="s">
        <v>196</v>
      </c>
      <c r="E509" s="10" t="s">
        <v>50</v>
      </c>
      <c r="F509" s="10"/>
      <c r="G509" s="10" t="s">
        <v>425</v>
      </c>
      <c r="H509" s="10"/>
      <c r="I509" s="8" t="n">
        <f aca="false">INDEX(Parâmetros!$C$13:$C$19,MATCH(E509,Parâmetros!$A$13:$A$19,0))</f>
        <v>1096</v>
      </c>
      <c r="J509" s="26" t="str">
        <f aca="false">IF(H509="","",Parâmetros!$B$5-H509)</f>
        <v/>
      </c>
      <c r="K509" s="10" t="n">
        <f aca="false">INDEX(Parâmetros!$D$13:$D$19,MATCH(E509,Parâmetros!$A$13:$A$19,0))</f>
        <v>29</v>
      </c>
      <c r="L509" s="26" t="n">
        <f aca="false">IF(G509="Prospecting",Parâmetros!$B$9,IF(J509&gt;Parâmetros!$B$6,0,INDEX(Parâmetros!$C$24:$C$26,MATCH(J509,Parâmetros!$A$24:$A$26,1))))</f>
        <v>10</v>
      </c>
      <c r="M509" s="31" t="n">
        <f aca="false">IF(G509="Prospecting",1,INDEX(Parâmetros!$C$32:$C$35,MATCH(J509,Parâmetros!$A$32:$A$35,1)))</f>
        <v>1</v>
      </c>
      <c r="N509" s="2" t="n">
        <f aca="false">ROUND((K509+L509)*M509,0)</f>
        <v>39</v>
      </c>
      <c r="O509" s="10" t="str">
        <f aca="false">IF(AND(G509="Engaging",J509&gt;Parâmetros!$B$6),"Sim","Não")</f>
        <v>Não</v>
      </c>
      <c r="P509" s="32" t="str">
        <f aca="false">IF(O509="Sim","R",IF(N509&gt;=Parâmetros!$B$39,"A",IF(N509&gt;=Parâmetros!$B$40,"B",IF(N509&gt;=Parâmetros!$B$41,"C","D"))))</f>
        <v>C</v>
      </c>
      <c r="Q509" s="10" t="str">
        <f aca="false">IF(F509="","Completar cadastro","")</f>
        <v>Completar cadastro</v>
      </c>
      <c r="R509" s="10" t="str">
        <f aca="false">INDEX(Parâmetros!$D$39:$D$43,MATCH(P509,Parâmetros!$A$39:$A$43,0))</f>
        <v>Cadência leve, foco em qualificar</v>
      </c>
    </row>
    <row r="510" customFormat="false" ht="15" hidden="false" customHeight="false" outlineLevel="0" collapsed="false">
      <c r="A510" s="10" t="s">
        <v>747</v>
      </c>
      <c r="B510" s="10" t="s">
        <v>77</v>
      </c>
      <c r="C510" s="10" t="s">
        <v>78</v>
      </c>
      <c r="D510" s="10" t="s">
        <v>196</v>
      </c>
      <c r="E510" s="10" t="s">
        <v>50</v>
      </c>
      <c r="F510" s="10"/>
      <c r="G510" s="10" t="s">
        <v>425</v>
      </c>
      <c r="H510" s="10"/>
      <c r="I510" s="8" t="n">
        <f aca="false">INDEX(Parâmetros!$C$13:$C$19,MATCH(E510,Parâmetros!$A$13:$A$19,0))</f>
        <v>1096</v>
      </c>
      <c r="J510" s="26" t="str">
        <f aca="false">IF(H510="","",Parâmetros!$B$5-H510)</f>
        <v/>
      </c>
      <c r="K510" s="10" t="n">
        <f aca="false">INDEX(Parâmetros!$D$13:$D$19,MATCH(E510,Parâmetros!$A$13:$A$19,0))</f>
        <v>29</v>
      </c>
      <c r="L510" s="26" t="n">
        <f aca="false">IF(G510="Prospecting",Parâmetros!$B$9,IF(J510&gt;Parâmetros!$B$6,0,INDEX(Parâmetros!$C$24:$C$26,MATCH(J510,Parâmetros!$A$24:$A$26,1))))</f>
        <v>10</v>
      </c>
      <c r="M510" s="31" t="n">
        <f aca="false">IF(G510="Prospecting",1,INDEX(Parâmetros!$C$32:$C$35,MATCH(J510,Parâmetros!$A$32:$A$35,1)))</f>
        <v>1</v>
      </c>
      <c r="N510" s="2" t="n">
        <f aca="false">ROUND((K510+L510)*M510,0)</f>
        <v>39</v>
      </c>
      <c r="O510" s="10" t="str">
        <f aca="false">IF(AND(G510="Engaging",J510&gt;Parâmetros!$B$6),"Sim","Não")</f>
        <v>Não</v>
      </c>
      <c r="P510" s="32" t="str">
        <f aca="false">IF(O510="Sim","R",IF(N510&gt;=Parâmetros!$B$39,"A",IF(N510&gt;=Parâmetros!$B$40,"B",IF(N510&gt;=Parâmetros!$B$41,"C","D"))))</f>
        <v>C</v>
      </c>
      <c r="Q510" s="10" t="str">
        <f aca="false">IF(F510="","Completar cadastro","")</f>
        <v>Completar cadastro</v>
      </c>
      <c r="R510" s="10" t="str">
        <f aca="false">INDEX(Parâmetros!$D$39:$D$43,MATCH(P510,Parâmetros!$A$39:$A$43,0))</f>
        <v>Cadência leve, foco em qualificar</v>
      </c>
    </row>
    <row r="511" customFormat="false" ht="15" hidden="false" customHeight="false" outlineLevel="0" collapsed="false">
      <c r="A511" s="10" t="s">
        <v>748</v>
      </c>
      <c r="B511" s="10" t="s">
        <v>77</v>
      </c>
      <c r="C511" s="10" t="s">
        <v>78</v>
      </c>
      <c r="D511" s="10" t="s">
        <v>196</v>
      </c>
      <c r="E511" s="10" t="s">
        <v>50</v>
      </c>
      <c r="F511" s="10"/>
      <c r="G511" s="10" t="s">
        <v>425</v>
      </c>
      <c r="H511" s="10"/>
      <c r="I511" s="8" t="n">
        <f aca="false">INDEX(Parâmetros!$C$13:$C$19,MATCH(E511,Parâmetros!$A$13:$A$19,0))</f>
        <v>1096</v>
      </c>
      <c r="J511" s="26" t="str">
        <f aca="false">IF(H511="","",Parâmetros!$B$5-H511)</f>
        <v/>
      </c>
      <c r="K511" s="10" t="n">
        <f aca="false">INDEX(Parâmetros!$D$13:$D$19,MATCH(E511,Parâmetros!$A$13:$A$19,0))</f>
        <v>29</v>
      </c>
      <c r="L511" s="26" t="n">
        <f aca="false">IF(G511="Prospecting",Parâmetros!$B$9,IF(J511&gt;Parâmetros!$B$6,0,INDEX(Parâmetros!$C$24:$C$26,MATCH(J511,Parâmetros!$A$24:$A$26,1))))</f>
        <v>10</v>
      </c>
      <c r="M511" s="31" t="n">
        <f aca="false">IF(G511="Prospecting",1,INDEX(Parâmetros!$C$32:$C$35,MATCH(J511,Parâmetros!$A$32:$A$35,1)))</f>
        <v>1</v>
      </c>
      <c r="N511" s="2" t="n">
        <f aca="false">ROUND((K511+L511)*M511,0)</f>
        <v>39</v>
      </c>
      <c r="O511" s="10" t="str">
        <f aca="false">IF(AND(G511="Engaging",J511&gt;Parâmetros!$B$6),"Sim","Não")</f>
        <v>Não</v>
      </c>
      <c r="P511" s="32" t="str">
        <f aca="false">IF(O511="Sim","R",IF(N511&gt;=Parâmetros!$B$39,"A",IF(N511&gt;=Parâmetros!$B$40,"B",IF(N511&gt;=Parâmetros!$B$41,"C","D"))))</f>
        <v>C</v>
      </c>
      <c r="Q511" s="10" t="str">
        <f aca="false">IF(F511="","Completar cadastro","")</f>
        <v>Completar cadastro</v>
      </c>
      <c r="R511" s="10" t="str">
        <f aca="false">INDEX(Parâmetros!$D$39:$D$43,MATCH(P511,Parâmetros!$A$39:$A$43,0))</f>
        <v>Cadência leve, foco em qualificar</v>
      </c>
    </row>
    <row r="512" customFormat="false" ht="15" hidden="false" customHeight="false" outlineLevel="0" collapsed="false">
      <c r="A512" s="10" t="s">
        <v>749</v>
      </c>
      <c r="B512" s="10" t="s">
        <v>77</v>
      </c>
      <c r="C512" s="10" t="s">
        <v>78</v>
      </c>
      <c r="D512" s="10" t="s">
        <v>196</v>
      </c>
      <c r="E512" s="10" t="s">
        <v>50</v>
      </c>
      <c r="F512" s="10"/>
      <c r="G512" s="10" t="s">
        <v>425</v>
      </c>
      <c r="H512" s="10"/>
      <c r="I512" s="8" t="n">
        <f aca="false">INDEX(Parâmetros!$C$13:$C$19,MATCH(E512,Parâmetros!$A$13:$A$19,0))</f>
        <v>1096</v>
      </c>
      <c r="J512" s="26" t="str">
        <f aca="false">IF(H512="","",Parâmetros!$B$5-H512)</f>
        <v/>
      </c>
      <c r="K512" s="10" t="n">
        <f aca="false">INDEX(Parâmetros!$D$13:$D$19,MATCH(E512,Parâmetros!$A$13:$A$19,0))</f>
        <v>29</v>
      </c>
      <c r="L512" s="26" t="n">
        <f aca="false">IF(G512="Prospecting",Parâmetros!$B$9,IF(J512&gt;Parâmetros!$B$6,0,INDEX(Parâmetros!$C$24:$C$26,MATCH(J512,Parâmetros!$A$24:$A$26,1))))</f>
        <v>10</v>
      </c>
      <c r="M512" s="31" t="n">
        <f aca="false">IF(G512="Prospecting",1,INDEX(Parâmetros!$C$32:$C$35,MATCH(J512,Parâmetros!$A$32:$A$35,1)))</f>
        <v>1</v>
      </c>
      <c r="N512" s="2" t="n">
        <f aca="false">ROUND((K512+L512)*M512,0)</f>
        <v>39</v>
      </c>
      <c r="O512" s="10" t="str">
        <f aca="false">IF(AND(G512="Engaging",J512&gt;Parâmetros!$B$6),"Sim","Não")</f>
        <v>Não</v>
      </c>
      <c r="P512" s="32" t="str">
        <f aca="false">IF(O512="Sim","R",IF(N512&gt;=Parâmetros!$B$39,"A",IF(N512&gt;=Parâmetros!$B$40,"B",IF(N512&gt;=Parâmetros!$B$41,"C","D"))))</f>
        <v>C</v>
      </c>
      <c r="Q512" s="10" t="str">
        <f aca="false">IF(F512="","Completar cadastro","")</f>
        <v>Completar cadastro</v>
      </c>
      <c r="R512" s="10" t="str">
        <f aca="false">INDEX(Parâmetros!$D$39:$D$43,MATCH(P512,Parâmetros!$A$39:$A$43,0))</f>
        <v>Cadência leve, foco em qualificar</v>
      </c>
    </row>
    <row r="513" customFormat="false" ht="15" hidden="false" customHeight="false" outlineLevel="0" collapsed="false">
      <c r="A513" s="10" t="s">
        <v>750</v>
      </c>
      <c r="B513" s="10" t="s">
        <v>77</v>
      </c>
      <c r="C513" s="10" t="s">
        <v>78</v>
      </c>
      <c r="D513" s="10" t="s">
        <v>196</v>
      </c>
      <c r="E513" s="10" t="s">
        <v>50</v>
      </c>
      <c r="F513" s="10"/>
      <c r="G513" s="10" t="s">
        <v>425</v>
      </c>
      <c r="H513" s="10"/>
      <c r="I513" s="8" t="n">
        <f aca="false">INDEX(Parâmetros!$C$13:$C$19,MATCH(E513,Parâmetros!$A$13:$A$19,0))</f>
        <v>1096</v>
      </c>
      <c r="J513" s="26" t="str">
        <f aca="false">IF(H513="","",Parâmetros!$B$5-H513)</f>
        <v/>
      </c>
      <c r="K513" s="10" t="n">
        <f aca="false">INDEX(Parâmetros!$D$13:$D$19,MATCH(E513,Parâmetros!$A$13:$A$19,0))</f>
        <v>29</v>
      </c>
      <c r="L513" s="26" t="n">
        <f aca="false">IF(G513="Prospecting",Parâmetros!$B$9,IF(J513&gt;Parâmetros!$B$6,0,INDEX(Parâmetros!$C$24:$C$26,MATCH(J513,Parâmetros!$A$24:$A$26,1))))</f>
        <v>10</v>
      </c>
      <c r="M513" s="31" t="n">
        <f aca="false">IF(G513="Prospecting",1,INDEX(Parâmetros!$C$32:$C$35,MATCH(J513,Parâmetros!$A$32:$A$35,1)))</f>
        <v>1</v>
      </c>
      <c r="N513" s="2" t="n">
        <f aca="false">ROUND((K513+L513)*M513,0)</f>
        <v>39</v>
      </c>
      <c r="O513" s="10" t="str">
        <f aca="false">IF(AND(G513="Engaging",J513&gt;Parâmetros!$B$6),"Sim","Não")</f>
        <v>Não</v>
      </c>
      <c r="P513" s="32" t="str">
        <f aca="false">IF(O513="Sim","R",IF(N513&gt;=Parâmetros!$B$39,"A",IF(N513&gt;=Parâmetros!$B$40,"B",IF(N513&gt;=Parâmetros!$B$41,"C","D"))))</f>
        <v>C</v>
      </c>
      <c r="Q513" s="10" t="str">
        <f aca="false">IF(F513="","Completar cadastro","")</f>
        <v>Completar cadastro</v>
      </c>
      <c r="R513" s="10" t="str">
        <f aca="false">INDEX(Parâmetros!$D$39:$D$43,MATCH(P513,Parâmetros!$A$39:$A$43,0))</f>
        <v>Cadência leve, foco em qualificar</v>
      </c>
    </row>
    <row r="514" customFormat="false" ht="15" hidden="false" customHeight="false" outlineLevel="0" collapsed="false">
      <c r="A514" s="10" t="s">
        <v>751</v>
      </c>
      <c r="B514" s="10" t="s">
        <v>77</v>
      </c>
      <c r="C514" s="10" t="s">
        <v>78</v>
      </c>
      <c r="D514" s="10" t="s">
        <v>196</v>
      </c>
      <c r="E514" s="10" t="s">
        <v>50</v>
      </c>
      <c r="F514" s="10"/>
      <c r="G514" s="10" t="s">
        <v>425</v>
      </c>
      <c r="H514" s="10"/>
      <c r="I514" s="8" t="n">
        <f aca="false">INDEX(Parâmetros!$C$13:$C$19,MATCH(E514,Parâmetros!$A$13:$A$19,0))</f>
        <v>1096</v>
      </c>
      <c r="J514" s="26" t="str">
        <f aca="false">IF(H514="","",Parâmetros!$B$5-H514)</f>
        <v/>
      </c>
      <c r="K514" s="10" t="n">
        <f aca="false">INDEX(Parâmetros!$D$13:$D$19,MATCH(E514,Parâmetros!$A$13:$A$19,0))</f>
        <v>29</v>
      </c>
      <c r="L514" s="26" t="n">
        <f aca="false">IF(G514="Prospecting",Parâmetros!$B$9,IF(J514&gt;Parâmetros!$B$6,0,INDEX(Parâmetros!$C$24:$C$26,MATCH(J514,Parâmetros!$A$24:$A$26,1))))</f>
        <v>10</v>
      </c>
      <c r="M514" s="31" t="n">
        <f aca="false">IF(G514="Prospecting",1,INDEX(Parâmetros!$C$32:$C$35,MATCH(J514,Parâmetros!$A$32:$A$35,1)))</f>
        <v>1</v>
      </c>
      <c r="N514" s="2" t="n">
        <f aca="false">ROUND((K514+L514)*M514,0)</f>
        <v>39</v>
      </c>
      <c r="O514" s="10" t="str">
        <f aca="false">IF(AND(G514="Engaging",J514&gt;Parâmetros!$B$6),"Sim","Não")</f>
        <v>Não</v>
      </c>
      <c r="P514" s="32" t="str">
        <f aca="false">IF(O514="Sim","R",IF(N514&gt;=Parâmetros!$B$39,"A",IF(N514&gt;=Parâmetros!$B$40,"B",IF(N514&gt;=Parâmetros!$B$41,"C","D"))))</f>
        <v>C</v>
      </c>
      <c r="Q514" s="10" t="str">
        <f aca="false">IF(F514="","Completar cadastro","")</f>
        <v>Completar cadastro</v>
      </c>
      <c r="R514" s="10" t="str">
        <f aca="false">INDEX(Parâmetros!$D$39:$D$43,MATCH(P514,Parâmetros!$A$39:$A$43,0))</f>
        <v>Cadência leve, foco em qualificar</v>
      </c>
    </row>
    <row r="515" customFormat="false" ht="15" hidden="false" customHeight="false" outlineLevel="0" collapsed="false">
      <c r="A515" s="10" t="s">
        <v>752</v>
      </c>
      <c r="B515" s="10" t="s">
        <v>79</v>
      </c>
      <c r="C515" s="10" t="s">
        <v>78</v>
      </c>
      <c r="D515" s="10" t="s">
        <v>196</v>
      </c>
      <c r="E515" s="10" t="s">
        <v>50</v>
      </c>
      <c r="F515" s="10" t="s">
        <v>247</v>
      </c>
      <c r="G515" s="10" t="s">
        <v>425</v>
      </c>
      <c r="H515" s="10"/>
      <c r="I515" s="8" t="n">
        <f aca="false">INDEX(Parâmetros!$C$13:$C$19,MATCH(E515,Parâmetros!$A$13:$A$19,0))</f>
        <v>1096</v>
      </c>
      <c r="J515" s="26" t="str">
        <f aca="false">IF(H515="","",Parâmetros!$B$5-H515)</f>
        <v/>
      </c>
      <c r="K515" s="10" t="n">
        <f aca="false">INDEX(Parâmetros!$D$13:$D$19,MATCH(E515,Parâmetros!$A$13:$A$19,0))</f>
        <v>29</v>
      </c>
      <c r="L515" s="26" t="n">
        <f aca="false">IF(G515="Prospecting",Parâmetros!$B$9,IF(J515&gt;Parâmetros!$B$6,0,INDEX(Parâmetros!$C$24:$C$26,MATCH(J515,Parâmetros!$A$24:$A$26,1))))</f>
        <v>10</v>
      </c>
      <c r="M515" s="31" t="n">
        <f aca="false">IF(G515="Prospecting",1,INDEX(Parâmetros!$C$32:$C$35,MATCH(J515,Parâmetros!$A$32:$A$35,1)))</f>
        <v>1</v>
      </c>
      <c r="N515" s="2" t="n">
        <f aca="false">ROUND((K515+L515)*M515,0)</f>
        <v>39</v>
      </c>
      <c r="O515" s="10" t="str">
        <f aca="false">IF(AND(G515="Engaging",J515&gt;Parâmetros!$B$6),"Sim","Não")</f>
        <v>Não</v>
      </c>
      <c r="P515" s="32" t="str">
        <f aca="false">IF(O515="Sim","R",IF(N515&gt;=Parâmetros!$B$39,"A",IF(N515&gt;=Parâmetros!$B$40,"B",IF(N515&gt;=Parâmetros!$B$41,"C","D"))))</f>
        <v>C</v>
      </c>
      <c r="Q515" s="10" t="str">
        <f aca="false">IF(F515="","Completar cadastro","")</f>
        <v/>
      </c>
      <c r="R515" s="10" t="str">
        <f aca="false">INDEX(Parâmetros!$D$39:$D$43,MATCH(P515,Parâmetros!$A$39:$A$43,0))</f>
        <v>Cadência leve, foco em qualificar</v>
      </c>
    </row>
    <row r="516" customFormat="false" ht="15" hidden="false" customHeight="false" outlineLevel="0" collapsed="false">
      <c r="A516" s="10" t="s">
        <v>753</v>
      </c>
      <c r="B516" s="10" t="s">
        <v>79</v>
      </c>
      <c r="C516" s="10" t="s">
        <v>78</v>
      </c>
      <c r="D516" s="10" t="s">
        <v>196</v>
      </c>
      <c r="E516" s="10" t="s">
        <v>50</v>
      </c>
      <c r="F516" s="10" t="s">
        <v>175</v>
      </c>
      <c r="G516" s="10" t="s">
        <v>425</v>
      </c>
      <c r="H516" s="10"/>
      <c r="I516" s="8" t="n">
        <f aca="false">INDEX(Parâmetros!$C$13:$C$19,MATCH(E516,Parâmetros!$A$13:$A$19,0))</f>
        <v>1096</v>
      </c>
      <c r="J516" s="26" t="str">
        <f aca="false">IF(H516="","",Parâmetros!$B$5-H516)</f>
        <v/>
      </c>
      <c r="K516" s="10" t="n">
        <f aca="false">INDEX(Parâmetros!$D$13:$D$19,MATCH(E516,Parâmetros!$A$13:$A$19,0))</f>
        <v>29</v>
      </c>
      <c r="L516" s="26" t="n">
        <f aca="false">IF(G516="Prospecting",Parâmetros!$B$9,IF(J516&gt;Parâmetros!$B$6,0,INDEX(Parâmetros!$C$24:$C$26,MATCH(J516,Parâmetros!$A$24:$A$26,1))))</f>
        <v>10</v>
      </c>
      <c r="M516" s="31" t="n">
        <f aca="false">IF(G516="Prospecting",1,INDEX(Parâmetros!$C$32:$C$35,MATCH(J516,Parâmetros!$A$32:$A$35,1)))</f>
        <v>1</v>
      </c>
      <c r="N516" s="2" t="n">
        <f aca="false">ROUND((K516+L516)*M516,0)</f>
        <v>39</v>
      </c>
      <c r="O516" s="10" t="str">
        <f aca="false">IF(AND(G516="Engaging",J516&gt;Parâmetros!$B$6),"Sim","Não")</f>
        <v>Não</v>
      </c>
      <c r="P516" s="32" t="str">
        <f aca="false">IF(O516="Sim","R",IF(N516&gt;=Parâmetros!$B$39,"A",IF(N516&gt;=Parâmetros!$B$40,"B",IF(N516&gt;=Parâmetros!$B$41,"C","D"))))</f>
        <v>C</v>
      </c>
      <c r="Q516" s="10" t="str">
        <f aca="false">IF(F516="","Completar cadastro","")</f>
        <v/>
      </c>
      <c r="R516" s="10" t="str">
        <f aca="false">INDEX(Parâmetros!$D$39:$D$43,MATCH(P516,Parâmetros!$A$39:$A$43,0))</f>
        <v>Cadência leve, foco em qualificar</v>
      </c>
    </row>
    <row r="517" customFormat="false" ht="15" hidden="false" customHeight="false" outlineLevel="0" collapsed="false">
      <c r="A517" s="10" t="s">
        <v>754</v>
      </c>
      <c r="B517" s="10" t="s">
        <v>79</v>
      </c>
      <c r="C517" s="10" t="s">
        <v>78</v>
      </c>
      <c r="D517" s="10" t="s">
        <v>196</v>
      </c>
      <c r="E517" s="10" t="s">
        <v>50</v>
      </c>
      <c r="F517" s="10"/>
      <c r="G517" s="10" t="s">
        <v>425</v>
      </c>
      <c r="H517" s="10"/>
      <c r="I517" s="8" t="n">
        <f aca="false">INDEX(Parâmetros!$C$13:$C$19,MATCH(E517,Parâmetros!$A$13:$A$19,0))</f>
        <v>1096</v>
      </c>
      <c r="J517" s="26" t="str">
        <f aca="false">IF(H517="","",Parâmetros!$B$5-H517)</f>
        <v/>
      </c>
      <c r="K517" s="10" t="n">
        <f aca="false">INDEX(Parâmetros!$D$13:$D$19,MATCH(E517,Parâmetros!$A$13:$A$19,0))</f>
        <v>29</v>
      </c>
      <c r="L517" s="26" t="n">
        <f aca="false">IF(G517="Prospecting",Parâmetros!$B$9,IF(J517&gt;Parâmetros!$B$6,0,INDEX(Parâmetros!$C$24:$C$26,MATCH(J517,Parâmetros!$A$24:$A$26,1))))</f>
        <v>10</v>
      </c>
      <c r="M517" s="31" t="n">
        <f aca="false">IF(G517="Prospecting",1,INDEX(Parâmetros!$C$32:$C$35,MATCH(J517,Parâmetros!$A$32:$A$35,1)))</f>
        <v>1</v>
      </c>
      <c r="N517" s="2" t="n">
        <f aca="false">ROUND((K517+L517)*M517,0)</f>
        <v>39</v>
      </c>
      <c r="O517" s="10" t="str">
        <f aca="false">IF(AND(G517="Engaging",J517&gt;Parâmetros!$B$6),"Sim","Não")</f>
        <v>Não</v>
      </c>
      <c r="P517" s="32" t="str">
        <f aca="false">IF(O517="Sim","R",IF(N517&gt;=Parâmetros!$B$39,"A",IF(N517&gt;=Parâmetros!$B$40,"B",IF(N517&gt;=Parâmetros!$B$41,"C","D"))))</f>
        <v>C</v>
      </c>
      <c r="Q517" s="10" t="str">
        <f aca="false">IF(F517="","Completar cadastro","")</f>
        <v>Completar cadastro</v>
      </c>
      <c r="R517" s="10" t="str">
        <f aca="false">INDEX(Parâmetros!$D$39:$D$43,MATCH(P517,Parâmetros!$A$39:$A$43,0))</f>
        <v>Cadência leve, foco em qualificar</v>
      </c>
    </row>
    <row r="518" customFormat="false" ht="15" hidden="false" customHeight="false" outlineLevel="0" collapsed="false">
      <c r="A518" s="10" t="s">
        <v>755</v>
      </c>
      <c r="B518" s="10" t="s">
        <v>79</v>
      </c>
      <c r="C518" s="10" t="s">
        <v>78</v>
      </c>
      <c r="D518" s="10" t="s">
        <v>196</v>
      </c>
      <c r="E518" s="10" t="s">
        <v>50</v>
      </c>
      <c r="F518" s="10"/>
      <c r="G518" s="10" t="s">
        <v>425</v>
      </c>
      <c r="H518" s="10"/>
      <c r="I518" s="8" t="n">
        <f aca="false">INDEX(Parâmetros!$C$13:$C$19,MATCH(E518,Parâmetros!$A$13:$A$19,0))</f>
        <v>1096</v>
      </c>
      <c r="J518" s="26" t="str">
        <f aca="false">IF(H518="","",Parâmetros!$B$5-H518)</f>
        <v/>
      </c>
      <c r="K518" s="10" t="n">
        <f aca="false">INDEX(Parâmetros!$D$13:$D$19,MATCH(E518,Parâmetros!$A$13:$A$19,0))</f>
        <v>29</v>
      </c>
      <c r="L518" s="26" t="n">
        <f aca="false">IF(G518="Prospecting",Parâmetros!$B$9,IF(J518&gt;Parâmetros!$B$6,0,INDEX(Parâmetros!$C$24:$C$26,MATCH(J518,Parâmetros!$A$24:$A$26,1))))</f>
        <v>10</v>
      </c>
      <c r="M518" s="31" t="n">
        <f aca="false">IF(G518="Prospecting",1,INDEX(Parâmetros!$C$32:$C$35,MATCH(J518,Parâmetros!$A$32:$A$35,1)))</f>
        <v>1</v>
      </c>
      <c r="N518" s="2" t="n">
        <f aca="false">ROUND((K518+L518)*M518,0)</f>
        <v>39</v>
      </c>
      <c r="O518" s="10" t="str">
        <f aca="false">IF(AND(G518="Engaging",J518&gt;Parâmetros!$B$6),"Sim","Não")</f>
        <v>Não</v>
      </c>
      <c r="P518" s="32" t="str">
        <f aca="false">IF(O518="Sim","R",IF(N518&gt;=Parâmetros!$B$39,"A",IF(N518&gt;=Parâmetros!$B$40,"B",IF(N518&gt;=Parâmetros!$B$41,"C","D"))))</f>
        <v>C</v>
      </c>
      <c r="Q518" s="10" t="str">
        <f aca="false">IF(F518="","Completar cadastro","")</f>
        <v>Completar cadastro</v>
      </c>
      <c r="R518" s="10" t="str">
        <f aca="false">INDEX(Parâmetros!$D$39:$D$43,MATCH(P518,Parâmetros!$A$39:$A$43,0))</f>
        <v>Cadência leve, foco em qualificar</v>
      </c>
    </row>
    <row r="519" customFormat="false" ht="15" hidden="false" customHeight="false" outlineLevel="0" collapsed="false">
      <c r="A519" s="10" t="s">
        <v>756</v>
      </c>
      <c r="B519" s="10" t="s">
        <v>79</v>
      </c>
      <c r="C519" s="10" t="s">
        <v>78</v>
      </c>
      <c r="D519" s="10" t="s">
        <v>196</v>
      </c>
      <c r="E519" s="10" t="s">
        <v>50</v>
      </c>
      <c r="F519" s="10"/>
      <c r="G519" s="10" t="s">
        <v>425</v>
      </c>
      <c r="H519" s="10"/>
      <c r="I519" s="8" t="n">
        <f aca="false">INDEX(Parâmetros!$C$13:$C$19,MATCH(E519,Parâmetros!$A$13:$A$19,0))</f>
        <v>1096</v>
      </c>
      <c r="J519" s="26" t="str">
        <f aca="false">IF(H519="","",Parâmetros!$B$5-H519)</f>
        <v/>
      </c>
      <c r="K519" s="10" t="n">
        <f aca="false">INDEX(Parâmetros!$D$13:$D$19,MATCH(E519,Parâmetros!$A$13:$A$19,0))</f>
        <v>29</v>
      </c>
      <c r="L519" s="26" t="n">
        <f aca="false">IF(G519="Prospecting",Parâmetros!$B$9,IF(J519&gt;Parâmetros!$B$6,0,INDEX(Parâmetros!$C$24:$C$26,MATCH(J519,Parâmetros!$A$24:$A$26,1))))</f>
        <v>10</v>
      </c>
      <c r="M519" s="31" t="n">
        <f aca="false">IF(G519="Prospecting",1,INDEX(Parâmetros!$C$32:$C$35,MATCH(J519,Parâmetros!$A$32:$A$35,1)))</f>
        <v>1</v>
      </c>
      <c r="N519" s="2" t="n">
        <f aca="false">ROUND((K519+L519)*M519,0)</f>
        <v>39</v>
      </c>
      <c r="O519" s="10" t="str">
        <f aca="false">IF(AND(G519="Engaging",J519&gt;Parâmetros!$B$6),"Sim","Não")</f>
        <v>Não</v>
      </c>
      <c r="P519" s="32" t="str">
        <f aca="false">IF(O519="Sim","R",IF(N519&gt;=Parâmetros!$B$39,"A",IF(N519&gt;=Parâmetros!$B$40,"B",IF(N519&gt;=Parâmetros!$B$41,"C","D"))))</f>
        <v>C</v>
      </c>
      <c r="Q519" s="10" t="str">
        <f aca="false">IF(F519="","Completar cadastro","")</f>
        <v>Completar cadastro</v>
      </c>
      <c r="R519" s="10" t="str">
        <f aca="false">INDEX(Parâmetros!$D$39:$D$43,MATCH(P519,Parâmetros!$A$39:$A$43,0))</f>
        <v>Cadência leve, foco em qualificar</v>
      </c>
    </row>
    <row r="520" customFormat="false" ht="15" hidden="false" customHeight="false" outlineLevel="0" collapsed="false">
      <c r="A520" s="10" t="s">
        <v>757</v>
      </c>
      <c r="B520" s="10" t="s">
        <v>79</v>
      </c>
      <c r="C520" s="10" t="s">
        <v>78</v>
      </c>
      <c r="D520" s="10" t="s">
        <v>196</v>
      </c>
      <c r="E520" s="10" t="s">
        <v>50</v>
      </c>
      <c r="F520" s="10"/>
      <c r="G520" s="10" t="s">
        <v>425</v>
      </c>
      <c r="H520" s="10"/>
      <c r="I520" s="8" t="n">
        <f aca="false">INDEX(Parâmetros!$C$13:$C$19,MATCH(E520,Parâmetros!$A$13:$A$19,0))</f>
        <v>1096</v>
      </c>
      <c r="J520" s="26" t="str">
        <f aca="false">IF(H520="","",Parâmetros!$B$5-H520)</f>
        <v/>
      </c>
      <c r="K520" s="10" t="n">
        <f aca="false">INDEX(Parâmetros!$D$13:$D$19,MATCH(E520,Parâmetros!$A$13:$A$19,0))</f>
        <v>29</v>
      </c>
      <c r="L520" s="26" t="n">
        <f aca="false">IF(G520="Prospecting",Parâmetros!$B$9,IF(J520&gt;Parâmetros!$B$6,0,INDEX(Parâmetros!$C$24:$C$26,MATCH(J520,Parâmetros!$A$24:$A$26,1))))</f>
        <v>10</v>
      </c>
      <c r="M520" s="31" t="n">
        <f aca="false">IF(G520="Prospecting",1,INDEX(Parâmetros!$C$32:$C$35,MATCH(J520,Parâmetros!$A$32:$A$35,1)))</f>
        <v>1</v>
      </c>
      <c r="N520" s="2" t="n">
        <f aca="false">ROUND((K520+L520)*M520,0)</f>
        <v>39</v>
      </c>
      <c r="O520" s="10" t="str">
        <f aca="false">IF(AND(G520="Engaging",J520&gt;Parâmetros!$B$6),"Sim","Não")</f>
        <v>Não</v>
      </c>
      <c r="P520" s="32" t="str">
        <f aca="false">IF(O520="Sim","R",IF(N520&gt;=Parâmetros!$B$39,"A",IF(N520&gt;=Parâmetros!$B$40,"B",IF(N520&gt;=Parâmetros!$B$41,"C","D"))))</f>
        <v>C</v>
      </c>
      <c r="Q520" s="10" t="str">
        <f aca="false">IF(F520="","Completar cadastro","")</f>
        <v>Completar cadastro</v>
      </c>
      <c r="R520" s="10" t="str">
        <f aca="false">INDEX(Parâmetros!$D$39:$D$43,MATCH(P520,Parâmetros!$A$39:$A$43,0))</f>
        <v>Cadência leve, foco em qualificar</v>
      </c>
    </row>
    <row r="521" customFormat="false" ht="15" hidden="false" customHeight="false" outlineLevel="0" collapsed="false">
      <c r="A521" s="10" t="s">
        <v>758</v>
      </c>
      <c r="B521" s="10" t="s">
        <v>79</v>
      </c>
      <c r="C521" s="10" t="s">
        <v>78</v>
      </c>
      <c r="D521" s="10" t="s">
        <v>196</v>
      </c>
      <c r="E521" s="10" t="s">
        <v>50</v>
      </c>
      <c r="F521" s="10"/>
      <c r="G521" s="10" t="s">
        <v>425</v>
      </c>
      <c r="H521" s="10"/>
      <c r="I521" s="8" t="n">
        <f aca="false">INDEX(Parâmetros!$C$13:$C$19,MATCH(E521,Parâmetros!$A$13:$A$19,0))</f>
        <v>1096</v>
      </c>
      <c r="J521" s="26" t="str">
        <f aca="false">IF(H521="","",Parâmetros!$B$5-H521)</f>
        <v/>
      </c>
      <c r="K521" s="10" t="n">
        <f aca="false">INDEX(Parâmetros!$D$13:$D$19,MATCH(E521,Parâmetros!$A$13:$A$19,0))</f>
        <v>29</v>
      </c>
      <c r="L521" s="26" t="n">
        <f aca="false">IF(G521="Prospecting",Parâmetros!$B$9,IF(J521&gt;Parâmetros!$B$6,0,INDEX(Parâmetros!$C$24:$C$26,MATCH(J521,Parâmetros!$A$24:$A$26,1))))</f>
        <v>10</v>
      </c>
      <c r="M521" s="31" t="n">
        <f aca="false">IF(G521="Prospecting",1,INDEX(Parâmetros!$C$32:$C$35,MATCH(J521,Parâmetros!$A$32:$A$35,1)))</f>
        <v>1</v>
      </c>
      <c r="N521" s="2" t="n">
        <f aca="false">ROUND((K521+L521)*M521,0)</f>
        <v>39</v>
      </c>
      <c r="O521" s="10" t="str">
        <f aca="false">IF(AND(G521="Engaging",J521&gt;Parâmetros!$B$6),"Sim","Não")</f>
        <v>Não</v>
      </c>
      <c r="P521" s="32" t="str">
        <f aca="false">IF(O521="Sim","R",IF(N521&gt;=Parâmetros!$B$39,"A",IF(N521&gt;=Parâmetros!$B$40,"B",IF(N521&gt;=Parâmetros!$B$41,"C","D"))))</f>
        <v>C</v>
      </c>
      <c r="Q521" s="10" t="str">
        <f aca="false">IF(F521="","Completar cadastro","")</f>
        <v>Completar cadastro</v>
      </c>
      <c r="R521" s="10" t="str">
        <f aca="false">INDEX(Parâmetros!$D$39:$D$43,MATCH(P521,Parâmetros!$A$39:$A$43,0))</f>
        <v>Cadência leve, foco em qualificar</v>
      </c>
    </row>
    <row r="522" customFormat="false" ht="15" hidden="false" customHeight="false" outlineLevel="0" collapsed="false">
      <c r="A522" s="10" t="s">
        <v>759</v>
      </c>
      <c r="B522" s="10" t="s">
        <v>79</v>
      </c>
      <c r="C522" s="10" t="s">
        <v>78</v>
      </c>
      <c r="D522" s="10" t="s">
        <v>196</v>
      </c>
      <c r="E522" s="10" t="s">
        <v>50</v>
      </c>
      <c r="F522" s="10"/>
      <c r="G522" s="10" t="s">
        <v>425</v>
      </c>
      <c r="H522" s="10"/>
      <c r="I522" s="8" t="n">
        <f aca="false">INDEX(Parâmetros!$C$13:$C$19,MATCH(E522,Parâmetros!$A$13:$A$19,0))</f>
        <v>1096</v>
      </c>
      <c r="J522" s="26" t="str">
        <f aca="false">IF(H522="","",Parâmetros!$B$5-H522)</f>
        <v/>
      </c>
      <c r="K522" s="10" t="n">
        <f aca="false">INDEX(Parâmetros!$D$13:$D$19,MATCH(E522,Parâmetros!$A$13:$A$19,0))</f>
        <v>29</v>
      </c>
      <c r="L522" s="26" t="n">
        <f aca="false">IF(G522="Prospecting",Parâmetros!$B$9,IF(J522&gt;Parâmetros!$B$6,0,INDEX(Parâmetros!$C$24:$C$26,MATCH(J522,Parâmetros!$A$24:$A$26,1))))</f>
        <v>10</v>
      </c>
      <c r="M522" s="31" t="n">
        <f aca="false">IF(G522="Prospecting",1,INDEX(Parâmetros!$C$32:$C$35,MATCH(J522,Parâmetros!$A$32:$A$35,1)))</f>
        <v>1</v>
      </c>
      <c r="N522" s="2" t="n">
        <f aca="false">ROUND((K522+L522)*M522,0)</f>
        <v>39</v>
      </c>
      <c r="O522" s="10" t="str">
        <f aca="false">IF(AND(G522="Engaging",J522&gt;Parâmetros!$B$6),"Sim","Não")</f>
        <v>Não</v>
      </c>
      <c r="P522" s="32" t="str">
        <f aca="false">IF(O522="Sim","R",IF(N522&gt;=Parâmetros!$B$39,"A",IF(N522&gt;=Parâmetros!$B$40,"B",IF(N522&gt;=Parâmetros!$B$41,"C","D"))))</f>
        <v>C</v>
      </c>
      <c r="Q522" s="10" t="str">
        <f aca="false">IF(F522="","Completar cadastro","")</f>
        <v>Completar cadastro</v>
      </c>
      <c r="R522" s="10" t="str">
        <f aca="false">INDEX(Parâmetros!$D$39:$D$43,MATCH(P522,Parâmetros!$A$39:$A$43,0))</f>
        <v>Cadência leve, foco em qualificar</v>
      </c>
    </row>
    <row r="523" customFormat="false" ht="15" hidden="false" customHeight="false" outlineLevel="0" collapsed="false">
      <c r="A523" s="10" t="s">
        <v>760</v>
      </c>
      <c r="B523" s="10" t="s">
        <v>79</v>
      </c>
      <c r="C523" s="10" t="s">
        <v>78</v>
      </c>
      <c r="D523" s="10" t="s">
        <v>196</v>
      </c>
      <c r="E523" s="10" t="s">
        <v>50</v>
      </c>
      <c r="F523" s="10"/>
      <c r="G523" s="10" t="s">
        <v>425</v>
      </c>
      <c r="H523" s="10"/>
      <c r="I523" s="8" t="n">
        <f aca="false">INDEX(Parâmetros!$C$13:$C$19,MATCH(E523,Parâmetros!$A$13:$A$19,0))</f>
        <v>1096</v>
      </c>
      <c r="J523" s="26" t="str">
        <f aca="false">IF(H523="","",Parâmetros!$B$5-H523)</f>
        <v/>
      </c>
      <c r="K523" s="10" t="n">
        <f aca="false">INDEX(Parâmetros!$D$13:$D$19,MATCH(E523,Parâmetros!$A$13:$A$19,0))</f>
        <v>29</v>
      </c>
      <c r="L523" s="26" t="n">
        <f aca="false">IF(G523="Prospecting",Parâmetros!$B$9,IF(J523&gt;Parâmetros!$B$6,0,INDEX(Parâmetros!$C$24:$C$26,MATCH(J523,Parâmetros!$A$24:$A$26,1))))</f>
        <v>10</v>
      </c>
      <c r="M523" s="31" t="n">
        <f aca="false">IF(G523="Prospecting",1,INDEX(Parâmetros!$C$32:$C$35,MATCH(J523,Parâmetros!$A$32:$A$35,1)))</f>
        <v>1</v>
      </c>
      <c r="N523" s="2" t="n">
        <f aca="false">ROUND((K523+L523)*M523,0)</f>
        <v>39</v>
      </c>
      <c r="O523" s="10" t="str">
        <f aca="false">IF(AND(G523="Engaging",J523&gt;Parâmetros!$B$6),"Sim","Não")</f>
        <v>Não</v>
      </c>
      <c r="P523" s="32" t="str">
        <f aca="false">IF(O523="Sim","R",IF(N523&gt;=Parâmetros!$B$39,"A",IF(N523&gt;=Parâmetros!$B$40,"B",IF(N523&gt;=Parâmetros!$B$41,"C","D"))))</f>
        <v>C</v>
      </c>
      <c r="Q523" s="10" t="str">
        <f aca="false">IF(F523="","Completar cadastro","")</f>
        <v>Completar cadastro</v>
      </c>
      <c r="R523" s="10" t="str">
        <f aca="false">INDEX(Parâmetros!$D$39:$D$43,MATCH(P523,Parâmetros!$A$39:$A$43,0))</f>
        <v>Cadência leve, foco em qualificar</v>
      </c>
    </row>
    <row r="524" customFormat="false" ht="15" hidden="false" customHeight="false" outlineLevel="0" collapsed="false">
      <c r="A524" s="10" t="s">
        <v>761</v>
      </c>
      <c r="B524" s="10" t="s">
        <v>80</v>
      </c>
      <c r="C524" s="10" t="s">
        <v>78</v>
      </c>
      <c r="D524" s="10" t="s">
        <v>196</v>
      </c>
      <c r="E524" s="10" t="s">
        <v>50</v>
      </c>
      <c r="F524" s="10" t="s">
        <v>762</v>
      </c>
      <c r="G524" s="10" t="s">
        <v>425</v>
      </c>
      <c r="H524" s="10"/>
      <c r="I524" s="8" t="n">
        <f aca="false">INDEX(Parâmetros!$C$13:$C$19,MATCH(E524,Parâmetros!$A$13:$A$19,0))</f>
        <v>1096</v>
      </c>
      <c r="J524" s="26" t="str">
        <f aca="false">IF(H524="","",Parâmetros!$B$5-H524)</f>
        <v/>
      </c>
      <c r="K524" s="10" t="n">
        <f aca="false">INDEX(Parâmetros!$D$13:$D$19,MATCH(E524,Parâmetros!$A$13:$A$19,0))</f>
        <v>29</v>
      </c>
      <c r="L524" s="26" t="n">
        <f aca="false">IF(G524="Prospecting",Parâmetros!$B$9,IF(J524&gt;Parâmetros!$B$6,0,INDEX(Parâmetros!$C$24:$C$26,MATCH(J524,Parâmetros!$A$24:$A$26,1))))</f>
        <v>10</v>
      </c>
      <c r="M524" s="31" t="n">
        <f aca="false">IF(G524="Prospecting",1,INDEX(Parâmetros!$C$32:$C$35,MATCH(J524,Parâmetros!$A$32:$A$35,1)))</f>
        <v>1</v>
      </c>
      <c r="N524" s="2" t="n">
        <f aca="false">ROUND((K524+L524)*M524,0)</f>
        <v>39</v>
      </c>
      <c r="O524" s="10" t="str">
        <f aca="false">IF(AND(G524="Engaging",J524&gt;Parâmetros!$B$6),"Sim","Não")</f>
        <v>Não</v>
      </c>
      <c r="P524" s="32" t="str">
        <f aca="false">IF(O524="Sim","R",IF(N524&gt;=Parâmetros!$B$39,"A",IF(N524&gt;=Parâmetros!$B$40,"B",IF(N524&gt;=Parâmetros!$B$41,"C","D"))))</f>
        <v>C</v>
      </c>
      <c r="Q524" s="10" t="str">
        <f aca="false">IF(F524="","Completar cadastro","")</f>
        <v/>
      </c>
      <c r="R524" s="10" t="str">
        <f aca="false">INDEX(Parâmetros!$D$39:$D$43,MATCH(P524,Parâmetros!$A$39:$A$43,0))</f>
        <v>Cadência leve, foco em qualificar</v>
      </c>
    </row>
    <row r="525" customFormat="false" ht="15" hidden="false" customHeight="false" outlineLevel="0" collapsed="false">
      <c r="A525" s="10" t="s">
        <v>763</v>
      </c>
      <c r="B525" s="10" t="s">
        <v>80</v>
      </c>
      <c r="C525" s="10" t="s">
        <v>78</v>
      </c>
      <c r="D525" s="10" t="s">
        <v>196</v>
      </c>
      <c r="E525" s="10" t="s">
        <v>50</v>
      </c>
      <c r="F525" s="10" t="s">
        <v>697</v>
      </c>
      <c r="G525" s="10" t="s">
        <v>425</v>
      </c>
      <c r="H525" s="10"/>
      <c r="I525" s="8" t="n">
        <f aca="false">INDEX(Parâmetros!$C$13:$C$19,MATCH(E525,Parâmetros!$A$13:$A$19,0))</f>
        <v>1096</v>
      </c>
      <c r="J525" s="26" t="str">
        <f aca="false">IF(H525="","",Parâmetros!$B$5-H525)</f>
        <v/>
      </c>
      <c r="K525" s="10" t="n">
        <f aca="false">INDEX(Parâmetros!$D$13:$D$19,MATCH(E525,Parâmetros!$A$13:$A$19,0))</f>
        <v>29</v>
      </c>
      <c r="L525" s="26" t="n">
        <f aca="false">IF(G525="Prospecting",Parâmetros!$B$9,IF(J525&gt;Parâmetros!$B$6,0,INDEX(Parâmetros!$C$24:$C$26,MATCH(J525,Parâmetros!$A$24:$A$26,1))))</f>
        <v>10</v>
      </c>
      <c r="M525" s="31" t="n">
        <f aca="false">IF(G525="Prospecting",1,INDEX(Parâmetros!$C$32:$C$35,MATCH(J525,Parâmetros!$A$32:$A$35,1)))</f>
        <v>1</v>
      </c>
      <c r="N525" s="2" t="n">
        <f aca="false">ROUND((K525+L525)*M525,0)</f>
        <v>39</v>
      </c>
      <c r="O525" s="10" t="str">
        <f aca="false">IF(AND(G525="Engaging",J525&gt;Parâmetros!$B$6),"Sim","Não")</f>
        <v>Não</v>
      </c>
      <c r="P525" s="32" t="str">
        <f aca="false">IF(O525="Sim","R",IF(N525&gt;=Parâmetros!$B$39,"A",IF(N525&gt;=Parâmetros!$B$40,"B",IF(N525&gt;=Parâmetros!$B$41,"C","D"))))</f>
        <v>C</v>
      </c>
      <c r="Q525" s="10" t="str">
        <f aca="false">IF(F525="","Completar cadastro","")</f>
        <v/>
      </c>
      <c r="R525" s="10" t="str">
        <f aca="false">INDEX(Parâmetros!$D$39:$D$43,MATCH(P525,Parâmetros!$A$39:$A$43,0))</f>
        <v>Cadência leve, foco em qualificar</v>
      </c>
    </row>
    <row r="526" customFormat="false" ht="15" hidden="false" customHeight="false" outlineLevel="0" collapsed="false">
      <c r="A526" s="10" t="s">
        <v>764</v>
      </c>
      <c r="B526" s="10" t="s">
        <v>80</v>
      </c>
      <c r="C526" s="10" t="s">
        <v>78</v>
      </c>
      <c r="D526" s="10" t="s">
        <v>196</v>
      </c>
      <c r="E526" s="10" t="s">
        <v>50</v>
      </c>
      <c r="F526" s="10"/>
      <c r="G526" s="10" t="s">
        <v>425</v>
      </c>
      <c r="H526" s="10"/>
      <c r="I526" s="8" t="n">
        <f aca="false">INDEX(Parâmetros!$C$13:$C$19,MATCH(E526,Parâmetros!$A$13:$A$19,0))</f>
        <v>1096</v>
      </c>
      <c r="J526" s="26" t="str">
        <f aca="false">IF(H526="","",Parâmetros!$B$5-H526)</f>
        <v/>
      </c>
      <c r="K526" s="10" t="n">
        <f aca="false">INDEX(Parâmetros!$D$13:$D$19,MATCH(E526,Parâmetros!$A$13:$A$19,0))</f>
        <v>29</v>
      </c>
      <c r="L526" s="26" t="n">
        <f aca="false">IF(G526="Prospecting",Parâmetros!$B$9,IF(J526&gt;Parâmetros!$B$6,0,INDEX(Parâmetros!$C$24:$C$26,MATCH(J526,Parâmetros!$A$24:$A$26,1))))</f>
        <v>10</v>
      </c>
      <c r="M526" s="31" t="n">
        <f aca="false">IF(G526="Prospecting",1,INDEX(Parâmetros!$C$32:$C$35,MATCH(J526,Parâmetros!$A$32:$A$35,1)))</f>
        <v>1</v>
      </c>
      <c r="N526" s="2" t="n">
        <f aca="false">ROUND((K526+L526)*M526,0)</f>
        <v>39</v>
      </c>
      <c r="O526" s="10" t="str">
        <f aca="false">IF(AND(G526="Engaging",J526&gt;Parâmetros!$B$6),"Sim","Não")</f>
        <v>Não</v>
      </c>
      <c r="P526" s="32" t="str">
        <f aca="false">IF(O526="Sim","R",IF(N526&gt;=Parâmetros!$B$39,"A",IF(N526&gt;=Parâmetros!$B$40,"B",IF(N526&gt;=Parâmetros!$B$41,"C","D"))))</f>
        <v>C</v>
      </c>
      <c r="Q526" s="10" t="str">
        <f aca="false">IF(F526="","Completar cadastro","")</f>
        <v>Completar cadastro</v>
      </c>
      <c r="R526" s="10" t="str">
        <f aca="false">INDEX(Parâmetros!$D$39:$D$43,MATCH(P526,Parâmetros!$A$39:$A$43,0))</f>
        <v>Cadência leve, foco em qualificar</v>
      </c>
    </row>
    <row r="527" customFormat="false" ht="15" hidden="false" customHeight="false" outlineLevel="0" collapsed="false">
      <c r="A527" s="10" t="s">
        <v>765</v>
      </c>
      <c r="B527" s="10" t="s">
        <v>80</v>
      </c>
      <c r="C527" s="10" t="s">
        <v>78</v>
      </c>
      <c r="D527" s="10" t="s">
        <v>196</v>
      </c>
      <c r="E527" s="10" t="s">
        <v>50</v>
      </c>
      <c r="F527" s="10"/>
      <c r="G527" s="10" t="s">
        <v>425</v>
      </c>
      <c r="H527" s="10"/>
      <c r="I527" s="8" t="n">
        <f aca="false">INDEX(Parâmetros!$C$13:$C$19,MATCH(E527,Parâmetros!$A$13:$A$19,0))</f>
        <v>1096</v>
      </c>
      <c r="J527" s="26" t="str">
        <f aca="false">IF(H527="","",Parâmetros!$B$5-H527)</f>
        <v/>
      </c>
      <c r="K527" s="10" t="n">
        <f aca="false">INDEX(Parâmetros!$D$13:$D$19,MATCH(E527,Parâmetros!$A$13:$A$19,0))</f>
        <v>29</v>
      </c>
      <c r="L527" s="26" t="n">
        <f aca="false">IF(G527="Prospecting",Parâmetros!$B$9,IF(J527&gt;Parâmetros!$B$6,0,INDEX(Parâmetros!$C$24:$C$26,MATCH(J527,Parâmetros!$A$24:$A$26,1))))</f>
        <v>10</v>
      </c>
      <c r="M527" s="31" t="n">
        <f aca="false">IF(G527="Prospecting",1,INDEX(Parâmetros!$C$32:$C$35,MATCH(J527,Parâmetros!$A$32:$A$35,1)))</f>
        <v>1</v>
      </c>
      <c r="N527" s="2" t="n">
        <f aca="false">ROUND((K527+L527)*M527,0)</f>
        <v>39</v>
      </c>
      <c r="O527" s="10" t="str">
        <f aca="false">IF(AND(G527="Engaging",J527&gt;Parâmetros!$B$6),"Sim","Não")</f>
        <v>Não</v>
      </c>
      <c r="P527" s="32" t="str">
        <f aca="false">IF(O527="Sim","R",IF(N527&gt;=Parâmetros!$B$39,"A",IF(N527&gt;=Parâmetros!$B$40,"B",IF(N527&gt;=Parâmetros!$B$41,"C","D"))))</f>
        <v>C</v>
      </c>
      <c r="Q527" s="10" t="str">
        <f aca="false">IF(F527="","Completar cadastro","")</f>
        <v>Completar cadastro</v>
      </c>
      <c r="R527" s="10" t="str">
        <f aca="false">INDEX(Parâmetros!$D$39:$D$43,MATCH(P527,Parâmetros!$A$39:$A$43,0))</f>
        <v>Cadência leve, foco em qualificar</v>
      </c>
    </row>
    <row r="528" customFormat="false" ht="15" hidden="false" customHeight="false" outlineLevel="0" collapsed="false">
      <c r="A528" s="10" t="s">
        <v>766</v>
      </c>
      <c r="B528" s="10" t="s">
        <v>80</v>
      </c>
      <c r="C528" s="10" t="s">
        <v>78</v>
      </c>
      <c r="D528" s="10" t="s">
        <v>196</v>
      </c>
      <c r="E528" s="10" t="s">
        <v>50</v>
      </c>
      <c r="F528" s="10"/>
      <c r="G528" s="10" t="s">
        <v>425</v>
      </c>
      <c r="H528" s="10"/>
      <c r="I528" s="8" t="n">
        <f aca="false">INDEX(Parâmetros!$C$13:$C$19,MATCH(E528,Parâmetros!$A$13:$A$19,0))</f>
        <v>1096</v>
      </c>
      <c r="J528" s="26" t="str">
        <f aca="false">IF(H528="","",Parâmetros!$B$5-H528)</f>
        <v/>
      </c>
      <c r="K528" s="10" t="n">
        <f aca="false">INDEX(Parâmetros!$D$13:$D$19,MATCH(E528,Parâmetros!$A$13:$A$19,0))</f>
        <v>29</v>
      </c>
      <c r="L528" s="26" t="n">
        <f aca="false">IF(G528="Prospecting",Parâmetros!$B$9,IF(J528&gt;Parâmetros!$B$6,0,INDEX(Parâmetros!$C$24:$C$26,MATCH(J528,Parâmetros!$A$24:$A$26,1))))</f>
        <v>10</v>
      </c>
      <c r="M528" s="31" t="n">
        <f aca="false">IF(G528="Prospecting",1,INDEX(Parâmetros!$C$32:$C$35,MATCH(J528,Parâmetros!$A$32:$A$35,1)))</f>
        <v>1</v>
      </c>
      <c r="N528" s="2" t="n">
        <f aca="false">ROUND((K528+L528)*M528,0)</f>
        <v>39</v>
      </c>
      <c r="O528" s="10" t="str">
        <f aca="false">IF(AND(G528="Engaging",J528&gt;Parâmetros!$B$6),"Sim","Não")</f>
        <v>Não</v>
      </c>
      <c r="P528" s="32" t="str">
        <f aca="false">IF(O528="Sim","R",IF(N528&gt;=Parâmetros!$B$39,"A",IF(N528&gt;=Parâmetros!$B$40,"B",IF(N528&gt;=Parâmetros!$B$41,"C","D"))))</f>
        <v>C</v>
      </c>
      <c r="Q528" s="10" t="str">
        <f aca="false">IF(F528="","Completar cadastro","")</f>
        <v>Completar cadastro</v>
      </c>
      <c r="R528" s="10" t="str">
        <f aca="false">INDEX(Parâmetros!$D$39:$D$43,MATCH(P528,Parâmetros!$A$39:$A$43,0))</f>
        <v>Cadência leve, foco em qualificar</v>
      </c>
    </row>
    <row r="529" customFormat="false" ht="15" hidden="false" customHeight="false" outlineLevel="0" collapsed="false">
      <c r="A529" s="10" t="s">
        <v>767</v>
      </c>
      <c r="B529" s="10" t="s">
        <v>80</v>
      </c>
      <c r="C529" s="10" t="s">
        <v>78</v>
      </c>
      <c r="D529" s="10" t="s">
        <v>196</v>
      </c>
      <c r="E529" s="10" t="s">
        <v>50</v>
      </c>
      <c r="F529" s="10"/>
      <c r="G529" s="10" t="s">
        <v>425</v>
      </c>
      <c r="H529" s="10"/>
      <c r="I529" s="8" t="n">
        <f aca="false">INDEX(Parâmetros!$C$13:$C$19,MATCH(E529,Parâmetros!$A$13:$A$19,0))</f>
        <v>1096</v>
      </c>
      <c r="J529" s="26" t="str">
        <f aca="false">IF(H529="","",Parâmetros!$B$5-H529)</f>
        <v/>
      </c>
      <c r="K529" s="10" t="n">
        <f aca="false">INDEX(Parâmetros!$D$13:$D$19,MATCH(E529,Parâmetros!$A$13:$A$19,0))</f>
        <v>29</v>
      </c>
      <c r="L529" s="26" t="n">
        <f aca="false">IF(G529="Prospecting",Parâmetros!$B$9,IF(J529&gt;Parâmetros!$B$6,0,INDEX(Parâmetros!$C$24:$C$26,MATCH(J529,Parâmetros!$A$24:$A$26,1))))</f>
        <v>10</v>
      </c>
      <c r="M529" s="31" t="n">
        <f aca="false">IF(G529="Prospecting",1,INDEX(Parâmetros!$C$32:$C$35,MATCH(J529,Parâmetros!$A$32:$A$35,1)))</f>
        <v>1</v>
      </c>
      <c r="N529" s="2" t="n">
        <f aca="false">ROUND((K529+L529)*M529,0)</f>
        <v>39</v>
      </c>
      <c r="O529" s="10" t="str">
        <f aca="false">IF(AND(G529="Engaging",J529&gt;Parâmetros!$B$6),"Sim","Não")</f>
        <v>Não</v>
      </c>
      <c r="P529" s="32" t="str">
        <f aca="false">IF(O529="Sim","R",IF(N529&gt;=Parâmetros!$B$39,"A",IF(N529&gt;=Parâmetros!$B$40,"B",IF(N529&gt;=Parâmetros!$B$41,"C","D"))))</f>
        <v>C</v>
      </c>
      <c r="Q529" s="10" t="str">
        <f aca="false">IF(F529="","Completar cadastro","")</f>
        <v>Completar cadastro</v>
      </c>
      <c r="R529" s="10" t="str">
        <f aca="false">INDEX(Parâmetros!$D$39:$D$43,MATCH(P529,Parâmetros!$A$39:$A$43,0))</f>
        <v>Cadência leve, foco em qualificar</v>
      </c>
    </row>
    <row r="530" customFormat="false" ht="15" hidden="false" customHeight="false" outlineLevel="0" collapsed="false">
      <c r="A530" s="10" t="s">
        <v>768</v>
      </c>
      <c r="B530" s="10" t="s">
        <v>74</v>
      </c>
      <c r="C530" s="10" t="s">
        <v>72</v>
      </c>
      <c r="D530" s="10" t="s">
        <v>196</v>
      </c>
      <c r="E530" s="10" t="s">
        <v>50</v>
      </c>
      <c r="F530" s="10" t="s">
        <v>344</v>
      </c>
      <c r="G530" s="10" t="s">
        <v>425</v>
      </c>
      <c r="H530" s="10"/>
      <c r="I530" s="8" t="n">
        <f aca="false">INDEX(Parâmetros!$C$13:$C$19,MATCH(E530,Parâmetros!$A$13:$A$19,0))</f>
        <v>1096</v>
      </c>
      <c r="J530" s="26" t="str">
        <f aca="false">IF(H530="","",Parâmetros!$B$5-H530)</f>
        <v/>
      </c>
      <c r="K530" s="10" t="n">
        <f aca="false">INDEX(Parâmetros!$D$13:$D$19,MATCH(E530,Parâmetros!$A$13:$A$19,0))</f>
        <v>29</v>
      </c>
      <c r="L530" s="26" t="n">
        <f aca="false">IF(G530="Prospecting",Parâmetros!$B$9,IF(J530&gt;Parâmetros!$B$6,0,INDEX(Parâmetros!$C$24:$C$26,MATCH(J530,Parâmetros!$A$24:$A$26,1))))</f>
        <v>10</v>
      </c>
      <c r="M530" s="31" t="n">
        <f aca="false">IF(G530="Prospecting",1,INDEX(Parâmetros!$C$32:$C$35,MATCH(J530,Parâmetros!$A$32:$A$35,1)))</f>
        <v>1</v>
      </c>
      <c r="N530" s="2" t="n">
        <f aca="false">ROUND((K530+L530)*M530,0)</f>
        <v>39</v>
      </c>
      <c r="O530" s="10" t="str">
        <f aca="false">IF(AND(G530="Engaging",J530&gt;Parâmetros!$B$6),"Sim","Não")</f>
        <v>Não</v>
      </c>
      <c r="P530" s="32" t="str">
        <f aca="false">IF(O530="Sim","R",IF(N530&gt;=Parâmetros!$B$39,"A",IF(N530&gt;=Parâmetros!$B$40,"B",IF(N530&gt;=Parâmetros!$B$41,"C","D"))))</f>
        <v>C</v>
      </c>
      <c r="Q530" s="10" t="str">
        <f aca="false">IF(F530="","Completar cadastro","")</f>
        <v/>
      </c>
      <c r="R530" s="10" t="str">
        <f aca="false">INDEX(Parâmetros!$D$39:$D$43,MATCH(P530,Parâmetros!$A$39:$A$43,0))</f>
        <v>Cadência leve, foco em qualificar</v>
      </c>
    </row>
    <row r="531" customFormat="false" ht="15" hidden="false" customHeight="false" outlineLevel="0" collapsed="false">
      <c r="A531" s="10" t="s">
        <v>769</v>
      </c>
      <c r="B531" s="10" t="s">
        <v>74</v>
      </c>
      <c r="C531" s="10" t="s">
        <v>72</v>
      </c>
      <c r="D531" s="10" t="s">
        <v>196</v>
      </c>
      <c r="E531" s="10" t="s">
        <v>50</v>
      </c>
      <c r="F531" s="10"/>
      <c r="G531" s="10" t="s">
        <v>425</v>
      </c>
      <c r="H531" s="10"/>
      <c r="I531" s="8" t="n">
        <f aca="false">INDEX(Parâmetros!$C$13:$C$19,MATCH(E531,Parâmetros!$A$13:$A$19,0))</f>
        <v>1096</v>
      </c>
      <c r="J531" s="26" t="str">
        <f aca="false">IF(H531="","",Parâmetros!$B$5-H531)</f>
        <v/>
      </c>
      <c r="K531" s="10" t="n">
        <f aca="false">INDEX(Parâmetros!$D$13:$D$19,MATCH(E531,Parâmetros!$A$13:$A$19,0))</f>
        <v>29</v>
      </c>
      <c r="L531" s="26" t="n">
        <f aca="false">IF(G531="Prospecting",Parâmetros!$B$9,IF(J531&gt;Parâmetros!$B$6,0,INDEX(Parâmetros!$C$24:$C$26,MATCH(J531,Parâmetros!$A$24:$A$26,1))))</f>
        <v>10</v>
      </c>
      <c r="M531" s="31" t="n">
        <f aca="false">IF(G531="Prospecting",1,INDEX(Parâmetros!$C$32:$C$35,MATCH(J531,Parâmetros!$A$32:$A$35,1)))</f>
        <v>1</v>
      </c>
      <c r="N531" s="2" t="n">
        <f aca="false">ROUND((K531+L531)*M531,0)</f>
        <v>39</v>
      </c>
      <c r="O531" s="10" t="str">
        <f aca="false">IF(AND(G531="Engaging",J531&gt;Parâmetros!$B$6),"Sim","Não")</f>
        <v>Não</v>
      </c>
      <c r="P531" s="32" t="str">
        <f aca="false">IF(O531="Sim","R",IF(N531&gt;=Parâmetros!$B$39,"A",IF(N531&gt;=Parâmetros!$B$40,"B",IF(N531&gt;=Parâmetros!$B$41,"C","D"))))</f>
        <v>C</v>
      </c>
      <c r="Q531" s="10" t="str">
        <f aca="false">IF(F531="","Completar cadastro","")</f>
        <v>Completar cadastro</v>
      </c>
      <c r="R531" s="10" t="str">
        <f aca="false">INDEX(Parâmetros!$D$39:$D$43,MATCH(P531,Parâmetros!$A$39:$A$43,0))</f>
        <v>Cadência leve, foco em qualificar</v>
      </c>
    </row>
    <row r="532" customFormat="false" ht="15" hidden="false" customHeight="false" outlineLevel="0" collapsed="false">
      <c r="A532" s="10" t="s">
        <v>770</v>
      </c>
      <c r="B532" s="10" t="s">
        <v>74</v>
      </c>
      <c r="C532" s="10" t="s">
        <v>72</v>
      </c>
      <c r="D532" s="10" t="s">
        <v>196</v>
      </c>
      <c r="E532" s="10" t="s">
        <v>50</v>
      </c>
      <c r="F532" s="10"/>
      <c r="G532" s="10" t="s">
        <v>425</v>
      </c>
      <c r="H532" s="10"/>
      <c r="I532" s="8" t="n">
        <f aca="false">INDEX(Parâmetros!$C$13:$C$19,MATCH(E532,Parâmetros!$A$13:$A$19,0))</f>
        <v>1096</v>
      </c>
      <c r="J532" s="26" t="str">
        <f aca="false">IF(H532="","",Parâmetros!$B$5-H532)</f>
        <v/>
      </c>
      <c r="K532" s="10" t="n">
        <f aca="false">INDEX(Parâmetros!$D$13:$D$19,MATCH(E532,Parâmetros!$A$13:$A$19,0))</f>
        <v>29</v>
      </c>
      <c r="L532" s="26" t="n">
        <f aca="false">IF(G532="Prospecting",Parâmetros!$B$9,IF(J532&gt;Parâmetros!$B$6,0,INDEX(Parâmetros!$C$24:$C$26,MATCH(J532,Parâmetros!$A$24:$A$26,1))))</f>
        <v>10</v>
      </c>
      <c r="M532" s="31" t="n">
        <f aca="false">IF(G532="Prospecting",1,INDEX(Parâmetros!$C$32:$C$35,MATCH(J532,Parâmetros!$A$32:$A$35,1)))</f>
        <v>1</v>
      </c>
      <c r="N532" s="2" t="n">
        <f aca="false">ROUND((K532+L532)*M532,0)</f>
        <v>39</v>
      </c>
      <c r="O532" s="10" t="str">
        <f aca="false">IF(AND(G532="Engaging",J532&gt;Parâmetros!$B$6),"Sim","Não")</f>
        <v>Não</v>
      </c>
      <c r="P532" s="32" t="str">
        <f aca="false">IF(O532="Sim","R",IF(N532&gt;=Parâmetros!$B$39,"A",IF(N532&gt;=Parâmetros!$B$40,"B",IF(N532&gt;=Parâmetros!$B$41,"C","D"))))</f>
        <v>C</v>
      </c>
      <c r="Q532" s="10" t="str">
        <f aca="false">IF(F532="","Completar cadastro","")</f>
        <v>Completar cadastro</v>
      </c>
      <c r="R532" s="10" t="str">
        <f aca="false">INDEX(Parâmetros!$D$39:$D$43,MATCH(P532,Parâmetros!$A$39:$A$43,0))</f>
        <v>Cadência leve, foco em qualificar</v>
      </c>
    </row>
    <row r="533" customFormat="false" ht="15" hidden="false" customHeight="false" outlineLevel="0" collapsed="false">
      <c r="A533" s="10" t="s">
        <v>771</v>
      </c>
      <c r="B533" s="10" t="s">
        <v>74</v>
      </c>
      <c r="C533" s="10" t="s">
        <v>72</v>
      </c>
      <c r="D533" s="10" t="s">
        <v>196</v>
      </c>
      <c r="E533" s="10" t="s">
        <v>50</v>
      </c>
      <c r="F533" s="10"/>
      <c r="G533" s="10" t="s">
        <v>425</v>
      </c>
      <c r="H533" s="10"/>
      <c r="I533" s="8" t="n">
        <f aca="false">INDEX(Parâmetros!$C$13:$C$19,MATCH(E533,Parâmetros!$A$13:$A$19,0))</f>
        <v>1096</v>
      </c>
      <c r="J533" s="26" t="str">
        <f aca="false">IF(H533="","",Parâmetros!$B$5-H533)</f>
        <v/>
      </c>
      <c r="K533" s="10" t="n">
        <f aca="false">INDEX(Parâmetros!$D$13:$D$19,MATCH(E533,Parâmetros!$A$13:$A$19,0))</f>
        <v>29</v>
      </c>
      <c r="L533" s="26" t="n">
        <f aca="false">IF(G533="Prospecting",Parâmetros!$B$9,IF(J533&gt;Parâmetros!$B$6,0,INDEX(Parâmetros!$C$24:$C$26,MATCH(J533,Parâmetros!$A$24:$A$26,1))))</f>
        <v>10</v>
      </c>
      <c r="M533" s="31" t="n">
        <f aca="false">IF(G533="Prospecting",1,INDEX(Parâmetros!$C$32:$C$35,MATCH(J533,Parâmetros!$A$32:$A$35,1)))</f>
        <v>1</v>
      </c>
      <c r="N533" s="2" t="n">
        <f aca="false">ROUND((K533+L533)*M533,0)</f>
        <v>39</v>
      </c>
      <c r="O533" s="10" t="str">
        <f aca="false">IF(AND(G533="Engaging",J533&gt;Parâmetros!$B$6),"Sim","Não")</f>
        <v>Não</v>
      </c>
      <c r="P533" s="32" t="str">
        <f aca="false">IF(O533="Sim","R",IF(N533&gt;=Parâmetros!$B$39,"A",IF(N533&gt;=Parâmetros!$B$40,"B",IF(N533&gt;=Parâmetros!$B$41,"C","D"))))</f>
        <v>C</v>
      </c>
      <c r="Q533" s="10" t="str">
        <f aca="false">IF(F533="","Completar cadastro","")</f>
        <v>Completar cadastro</v>
      </c>
      <c r="R533" s="10" t="str">
        <f aca="false">INDEX(Parâmetros!$D$39:$D$43,MATCH(P533,Parâmetros!$A$39:$A$43,0))</f>
        <v>Cadência leve, foco em qualificar</v>
      </c>
    </row>
    <row r="534" customFormat="false" ht="15" hidden="false" customHeight="false" outlineLevel="0" collapsed="false">
      <c r="A534" s="10" t="s">
        <v>772</v>
      </c>
      <c r="B534" s="10" t="s">
        <v>74</v>
      </c>
      <c r="C534" s="10" t="s">
        <v>72</v>
      </c>
      <c r="D534" s="10" t="s">
        <v>196</v>
      </c>
      <c r="E534" s="10" t="s">
        <v>50</v>
      </c>
      <c r="F534" s="10"/>
      <c r="G534" s="10" t="s">
        <v>425</v>
      </c>
      <c r="H534" s="10"/>
      <c r="I534" s="8" t="n">
        <f aca="false">INDEX(Parâmetros!$C$13:$C$19,MATCH(E534,Parâmetros!$A$13:$A$19,0))</f>
        <v>1096</v>
      </c>
      <c r="J534" s="26" t="str">
        <f aca="false">IF(H534="","",Parâmetros!$B$5-H534)</f>
        <v/>
      </c>
      <c r="K534" s="10" t="n">
        <f aca="false">INDEX(Parâmetros!$D$13:$D$19,MATCH(E534,Parâmetros!$A$13:$A$19,0))</f>
        <v>29</v>
      </c>
      <c r="L534" s="26" t="n">
        <f aca="false">IF(G534="Prospecting",Parâmetros!$B$9,IF(J534&gt;Parâmetros!$B$6,0,INDEX(Parâmetros!$C$24:$C$26,MATCH(J534,Parâmetros!$A$24:$A$26,1))))</f>
        <v>10</v>
      </c>
      <c r="M534" s="31" t="n">
        <f aca="false">IF(G534="Prospecting",1,INDEX(Parâmetros!$C$32:$C$35,MATCH(J534,Parâmetros!$A$32:$A$35,1)))</f>
        <v>1</v>
      </c>
      <c r="N534" s="2" t="n">
        <f aca="false">ROUND((K534+L534)*M534,0)</f>
        <v>39</v>
      </c>
      <c r="O534" s="10" t="str">
        <f aca="false">IF(AND(G534="Engaging",J534&gt;Parâmetros!$B$6),"Sim","Não")</f>
        <v>Não</v>
      </c>
      <c r="P534" s="32" t="str">
        <f aca="false">IF(O534="Sim","R",IF(N534&gt;=Parâmetros!$B$39,"A",IF(N534&gt;=Parâmetros!$B$40,"B",IF(N534&gt;=Parâmetros!$B$41,"C","D"))))</f>
        <v>C</v>
      </c>
      <c r="Q534" s="10" t="str">
        <f aca="false">IF(F534="","Completar cadastro","")</f>
        <v>Completar cadastro</v>
      </c>
      <c r="R534" s="10" t="str">
        <f aca="false">INDEX(Parâmetros!$D$39:$D$43,MATCH(P534,Parâmetros!$A$39:$A$43,0))</f>
        <v>Cadência leve, foco em qualificar</v>
      </c>
    </row>
    <row r="535" customFormat="false" ht="15" hidden="false" customHeight="false" outlineLevel="0" collapsed="false">
      <c r="A535" s="10" t="s">
        <v>773</v>
      </c>
      <c r="B535" s="10" t="s">
        <v>74</v>
      </c>
      <c r="C535" s="10" t="s">
        <v>72</v>
      </c>
      <c r="D535" s="10" t="s">
        <v>196</v>
      </c>
      <c r="E535" s="10" t="s">
        <v>50</v>
      </c>
      <c r="F535" s="10"/>
      <c r="G535" s="10" t="s">
        <v>425</v>
      </c>
      <c r="H535" s="10"/>
      <c r="I535" s="8" t="n">
        <f aca="false">INDEX(Parâmetros!$C$13:$C$19,MATCH(E535,Parâmetros!$A$13:$A$19,0))</f>
        <v>1096</v>
      </c>
      <c r="J535" s="26" t="str">
        <f aca="false">IF(H535="","",Parâmetros!$B$5-H535)</f>
        <v/>
      </c>
      <c r="K535" s="10" t="n">
        <f aca="false">INDEX(Parâmetros!$D$13:$D$19,MATCH(E535,Parâmetros!$A$13:$A$19,0))</f>
        <v>29</v>
      </c>
      <c r="L535" s="26" t="n">
        <f aca="false">IF(G535="Prospecting",Parâmetros!$B$9,IF(J535&gt;Parâmetros!$B$6,0,INDEX(Parâmetros!$C$24:$C$26,MATCH(J535,Parâmetros!$A$24:$A$26,1))))</f>
        <v>10</v>
      </c>
      <c r="M535" s="31" t="n">
        <f aca="false">IF(G535="Prospecting",1,INDEX(Parâmetros!$C$32:$C$35,MATCH(J535,Parâmetros!$A$32:$A$35,1)))</f>
        <v>1</v>
      </c>
      <c r="N535" s="2" t="n">
        <f aca="false">ROUND((K535+L535)*M535,0)</f>
        <v>39</v>
      </c>
      <c r="O535" s="10" t="str">
        <f aca="false">IF(AND(G535="Engaging",J535&gt;Parâmetros!$B$6),"Sim","Não")</f>
        <v>Não</v>
      </c>
      <c r="P535" s="32" t="str">
        <f aca="false">IF(O535="Sim","R",IF(N535&gt;=Parâmetros!$B$39,"A",IF(N535&gt;=Parâmetros!$B$40,"B",IF(N535&gt;=Parâmetros!$B$41,"C","D"))))</f>
        <v>C</v>
      </c>
      <c r="Q535" s="10" t="str">
        <f aca="false">IF(F535="","Completar cadastro","")</f>
        <v>Completar cadastro</v>
      </c>
      <c r="R535" s="10" t="str">
        <f aca="false">INDEX(Parâmetros!$D$39:$D$43,MATCH(P535,Parâmetros!$A$39:$A$43,0))</f>
        <v>Cadência leve, foco em qualificar</v>
      </c>
    </row>
    <row r="536" customFormat="false" ht="15" hidden="false" customHeight="false" outlineLevel="0" collapsed="false">
      <c r="A536" s="10" t="s">
        <v>774</v>
      </c>
      <c r="B536" s="10" t="s">
        <v>81</v>
      </c>
      <c r="C536" s="10" t="s">
        <v>78</v>
      </c>
      <c r="D536" s="10" t="s">
        <v>196</v>
      </c>
      <c r="E536" s="10" t="s">
        <v>50</v>
      </c>
      <c r="F536" s="10" t="s">
        <v>161</v>
      </c>
      <c r="G536" s="10" t="s">
        <v>425</v>
      </c>
      <c r="H536" s="10"/>
      <c r="I536" s="8" t="n">
        <f aca="false">INDEX(Parâmetros!$C$13:$C$19,MATCH(E536,Parâmetros!$A$13:$A$19,0))</f>
        <v>1096</v>
      </c>
      <c r="J536" s="26" t="str">
        <f aca="false">IF(H536="","",Parâmetros!$B$5-H536)</f>
        <v/>
      </c>
      <c r="K536" s="10" t="n">
        <f aca="false">INDEX(Parâmetros!$D$13:$D$19,MATCH(E536,Parâmetros!$A$13:$A$19,0))</f>
        <v>29</v>
      </c>
      <c r="L536" s="26" t="n">
        <f aca="false">IF(G536="Prospecting",Parâmetros!$B$9,IF(J536&gt;Parâmetros!$B$6,0,INDEX(Parâmetros!$C$24:$C$26,MATCH(J536,Parâmetros!$A$24:$A$26,1))))</f>
        <v>10</v>
      </c>
      <c r="M536" s="31" t="n">
        <f aca="false">IF(G536="Prospecting",1,INDEX(Parâmetros!$C$32:$C$35,MATCH(J536,Parâmetros!$A$32:$A$35,1)))</f>
        <v>1</v>
      </c>
      <c r="N536" s="2" t="n">
        <f aca="false">ROUND((K536+L536)*M536,0)</f>
        <v>39</v>
      </c>
      <c r="O536" s="10" t="str">
        <f aca="false">IF(AND(G536="Engaging",J536&gt;Parâmetros!$B$6),"Sim","Não")</f>
        <v>Não</v>
      </c>
      <c r="P536" s="32" t="str">
        <f aca="false">IF(O536="Sim","R",IF(N536&gt;=Parâmetros!$B$39,"A",IF(N536&gt;=Parâmetros!$B$40,"B",IF(N536&gt;=Parâmetros!$B$41,"C","D"))))</f>
        <v>C</v>
      </c>
      <c r="Q536" s="10" t="str">
        <f aca="false">IF(F536="","Completar cadastro","")</f>
        <v/>
      </c>
      <c r="R536" s="10" t="str">
        <f aca="false">INDEX(Parâmetros!$D$39:$D$43,MATCH(P536,Parâmetros!$A$39:$A$43,0))</f>
        <v>Cadência leve, foco em qualificar</v>
      </c>
    </row>
    <row r="537" customFormat="false" ht="15" hidden="false" customHeight="false" outlineLevel="0" collapsed="false">
      <c r="A537" s="10" t="s">
        <v>775</v>
      </c>
      <c r="B537" s="10" t="s">
        <v>81</v>
      </c>
      <c r="C537" s="10" t="s">
        <v>78</v>
      </c>
      <c r="D537" s="10" t="s">
        <v>196</v>
      </c>
      <c r="E537" s="10" t="s">
        <v>50</v>
      </c>
      <c r="F537" s="10" t="s">
        <v>359</v>
      </c>
      <c r="G537" s="10" t="s">
        <v>425</v>
      </c>
      <c r="H537" s="10"/>
      <c r="I537" s="8" t="n">
        <f aca="false">INDEX(Parâmetros!$C$13:$C$19,MATCH(E537,Parâmetros!$A$13:$A$19,0))</f>
        <v>1096</v>
      </c>
      <c r="J537" s="26" t="str">
        <f aca="false">IF(H537="","",Parâmetros!$B$5-H537)</f>
        <v/>
      </c>
      <c r="K537" s="10" t="n">
        <f aca="false">INDEX(Parâmetros!$D$13:$D$19,MATCH(E537,Parâmetros!$A$13:$A$19,0))</f>
        <v>29</v>
      </c>
      <c r="L537" s="26" t="n">
        <f aca="false">IF(G537="Prospecting",Parâmetros!$B$9,IF(J537&gt;Parâmetros!$B$6,0,INDEX(Parâmetros!$C$24:$C$26,MATCH(J537,Parâmetros!$A$24:$A$26,1))))</f>
        <v>10</v>
      </c>
      <c r="M537" s="31" t="n">
        <f aca="false">IF(G537="Prospecting",1,INDEX(Parâmetros!$C$32:$C$35,MATCH(J537,Parâmetros!$A$32:$A$35,1)))</f>
        <v>1</v>
      </c>
      <c r="N537" s="2" t="n">
        <f aca="false">ROUND((K537+L537)*M537,0)</f>
        <v>39</v>
      </c>
      <c r="O537" s="10" t="str">
        <f aca="false">IF(AND(G537="Engaging",J537&gt;Parâmetros!$B$6),"Sim","Não")</f>
        <v>Não</v>
      </c>
      <c r="P537" s="32" t="str">
        <f aca="false">IF(O537="Sim","R",IF(N537&gt;=Parâmetros!$B$39,"A",IF(N537&gt;=Parâmetros!$B$40,"B",IF(N537&gt;=Parâmetros!$B$41,"C","D"))))</f>
        <v>C</v>
      </c>
      <c r="Q537" s="10" t="str">
        <f aca="false">IF(F537="","Completar cadastro","")</f>
        <v/>
      </c>
      <c r="R537" s="10" t="str">
        <f aca="false">INDEX(Parâmetros!$D$39:$D$43,MATCH(P537,Parâmetros!$A$39:$A$43,0))</f>
        <v>Cadência leve, foco em qualificar</v>
      </c>
    </row>
    <row r="538" customFormat="false" ht="15" hidden="false" customHeight="false" outlineLevel="0" collapsed="false">
      <c r="A538" s="10" t="s">
        <v>776</v>
      </c>
      <c r="B538" s="10" t="s">
        <v>81</v>
      </c>
      <c r="C538" s="10" t="s">
        <v>78</v>
      </c>
      <c r="D538" s="10" t="s">
        <v>196</v>
      </c>
      <c r="E538" s="10" t="s">
        <v>50</v>
      </c>
      <c r="F538" s="10" t="s">
        <v>453</v>
      </c>
      <c r="G538" s="10" t="s">
        <v>425</v>
      </c>
      <c r="H538" s="10"/>
      <c r="I538" s="8" t="n">
        <f aca="false">INDEX(Parâmetros!$C$13:$C$19,MATCH(E538,Parâmetros!$A$13:$A$19,0))</f>
        <v>1096</v>
      </c>
      <c r="J538" s="26" t="str">
        <f aca="false">IF(H538="","",Parâmetros!$B$5-H538)</f>
        <v/>
      </c>
      <c r="K538" s="10" t="n">
        <f aca="false">INDEX(Parâmetros!$D$13:$D$19,MATCH(E538,Parâmetros!$A$13:$A$19,0))</f>
        <v>29</v>
      </c>
      <c r="L538" s="26" t="n">
        <f aca="false">IF(G538="Prospecting",Parâmetros!$B$9,IF(J538&gt;Parâmetros!$B$6,0,INDEX(Parâmetros!$C$24:$C$26,MATCH(J538,Parâmetros!$A$24:$A$26,1))))</f>
        <v>10</v>
      </c>
      <c r="M538" s="31" t="n">
        <f aca="false">IF(G538="Prospecting",1,INDEX(Parâmetros!$C$32:$C$35,MATCH(J538,Parâmetros!$A$32:$A$35,1)))</f>
        <v>1</v>
      </c>
      <c r="N538" s="2" t="n">
        <f aca="false">ROUND((K538+L538)*M538,0)</f>
        <v>39</v>
      </c>
      <c r="O538" s="10" t="str">
        <f aca="false">IF(AND(G538="Engaging",J538&gt;Parâmetros!$B$6),"Sim","Não")</f>
        <v>Não</v>
      </c>
      <c r="P538" s="32" t="str">
        <f aca="false">IF(O538="Sim","R",IF(N538&gt;=Parâmetros!$B$39,"A",IF(N538&gt;=Parâmetros!$B$40,"B",IF(N538&gt;=Parâmetros!$B$41,"C","D"))))</f>
        <v>C</v>
      </c>
      <c r="Q538" s="10" t="str">
        <f aca="false">IF(F538="","Completar cadastro","")</f>
        <v/>
      </c>
      <c r="R538" s="10" t="str">
        <f aca="false">INDEX(Parâmetros!$D$39:$D$43,MATCH(P538,Parâmetros!$A$39:$A$43,0))</f>
        <v>Cadência leve, foco em qualificar</v>
      </c>
    </row>
    <row r="539" customFormat="false" ht="15" hidden="false" customHeight="false" outlineLevel="0" collapsed="false">
      <c r="A539" s="10" t="s">
        <v>777</v>
      </c>
      <c r="B539" s="10" t="s">
        <v>81</v>
      </c>
      <c r="C539" s="10" t="s">
        <v>78</v>
      </c>
      <c r="D539" s="10" t="s">
        <v>196</v>
      </c>
      <c r="E539" s="10" t="s">
        <v>50</v>
      </c>
      <c r="F539" s="10" t="s">
        <v>464</v>
      </c>
      <c r="G539" s="10" t="s">
        <v>425</v>
      </c>
      <c r="H539" s="10"/>
      <c r="I539" s="8" t="n">
        <f aca="false">INDEX(Parâmetros!$C$13:$C$19,MATCH(E539,Parâmetros!$A$13:$A$19,0))</f>
        <v>1096</v>
      </c>
      <c r="J539" s="26" t="str">
        <f aca="false">IF(H539="","",Parâmetros!$B$5-H539)</f>
        <v/>
      </c>
      <c r="K539" s="10" t="n">
        <f aca="false">INDEX(Parâmetros!$D$13:$D$19,MATCH(E539,Parâmetros!$A$13:$A$19,0))</f>
        <v>29</v>
      </c>
      <c r="L539" s="26" t="n">
        <f aca="false">IF(G539="Prospecting",Parâmetros!$B$9,IF(J539&gt;Parâmetros!$B$6,0,INDEX(Parâmetros!$C$24:$C$26,MATCH(J539,Parâmetros!$A$24:$A$26,1))))</f>
        <v>10</v>
      </c>
      <c r="M539" s="31" t="n">
        <f aca="false">IF(G539="Prospecting",1,INDEX(Parâmetros!$C$32:$C$35,MATCH(J539,Parâmetros!$A$32:$A$35,1)))</f>
        <v>1</v>
      </c>
      <c r="N539" s="2" t="n">
        <f aca="false">ROUND((K539+L539)*M539,0)</f>
        <v>39</v>
      </c>
      <c r="O539" s="10" t="str">
        <f aca="false">IF(AND(G539="Engaging",J539&gt;Parâmetros!$B$6),"Sim","Não")</f>
        <v>Não</v>
      </c>
      <c r="P539" s="32" t="str">
        <f aca="false">IF(O539="Sim","R",IF(N539&gt;=Parâmetros!$B$39,"A",IF(N539&gt;=Parâmetros!$B$40,"B",IF(N539&gt;=Parâmetros!$B$41,"C","D"))))</f>
        <v>C</v>
      </c>
      <c r="Q539" s="10" t="str">
        <f aca="false">IF(F539="","Completar cadastro","")</f>
        <v/>
      </c>
      <c r="R539" s="10" t="str">
        <f aca="false">INDEX(Parâmetros!$D$39:$D$43,MATCH(P539,Parâmetros!$A$39:$A$43,0))</f>
        <v>Cadência leve, foco em qualificar</v>
      </c>
    </row>
    <row r="540" customFormat="false" ht="15" hidden="false" customHeight="false" outlineLevel="0" collapsed="false">
      <c r="A540" s="10" t="s">
        <v>778</v>
      </c>
      <c r="B540" s="10" t="s">
        <v>81</v>
      </c>
      <c r="C540" s="10" t="s">
        <v>78</v>
      </c>
      <c r="D540" s="10" t="s">
        <v>196</v>
      </c>
      <c r="E540" s="10" t="s">
        <v>50</v>
      </c>
      <c r="F540" s="10" t="s">
        <v>259</v>
      </c>
      <c r="G540" s="10" t="s">
        <v>425</v>
      </c>
      <c r="H540" s="10"/>
      <c r="I540" s="8" t="n">
        <f aca="false">INDEX(Parâmetros!$C$13:$C$19,MATCH(E540,Parâmetros!$A$13:$A$19,0))</f>
        <v>1096</v>
      </c>
      <c r="J540" s="26" t="str">
        <f aca="false">IF(H540="","",Parâmetros!$B$5-H540)</f>
        <v/>
      </c>
      <c r="K540" s="10" t="n">
        <f aca="false">INDEX(Parâmetros!$D$13:$D$19,MATCH(E540,Parâmetros!$A$13:$A$19,0))</f>
        <v>29</v>
      </c>
      <c r="L540" s="26" t="n">
        <f aca="false">IF(G540="Prospecting",Parâmetros!$B$9,IF(J540&gt;Parâmetros!$B$6,0,INDEX(Parâmetros!$C$24:$C$26,MATCH(J540,Parâmetros!$A$24:$A$26,1))))</f>
        <v>10</v>
      </c>
      <c r="M540" s="31" t="n">
        <f aca="false">IF(G540="Prospecting",1,INDEX(Parâmetros!$C$32:$C$35,MATCH(J540,Parâmetros!$A$32:$A$35,1)))</f>
        <v>1</v>
      </c>
      <c r="N540" s="2" t="n">
        <f aca="false">ROUND((K540+L540)*M540,0)</f>
        <v>39</v>
      </c>
      <c r="O540" s="10" t="str">
        <f aca="false">IF(AND(G540="Engaging",J540&gt;Parâmetros!$B$6),"Sim","Não")</f>
        <v>Não</v>
      </c>
      <c r="P540" s="32" t="str">
        <f aca="false">IF(O540="Sim","R",IF(N540&gt;=Parâmetros!$B$39,"A",IF(N540&gt;=Parâmetros!$B$40,"B",IF(N540&gt;=Parâmetros!$B$41,"C","D"))))</f>
        <v>C</v>
      </c>
      <c r="Q540" s="10" t="str">
        <f aca="false">IF(F540="","Completar cadastro","")</f>
        <v/>
      </c>
      <c r="R540" s="10" t="str">
        <f aca="false">INDEX(Parâmetros!$D$39:$D$43,MATCH(P540,Parâmetros!$A$39:$A$43,0))</f>
        <v>Cadência leve, foco em qualificar</v>
      </c>
    </row>
    <row r="541" customFormat="false" ht="15" hidden="false" customHeight="false" outlineLevel="0" collapsed="false">
      <c r="A541" s="10" t="s">
        <v>779</v>
      </c>
      <c r="B541" s="10" t="s">
        <v>81</v>
      </c>
      <c r="C541" s="10" t="s">
        <v>78</v>
      </c>
      <c r="D541" s="10" t="s">
        <v>196</v>
      </c>
      <c r="E541" s="10" t="s">
        <v>50</v>
      </c>
      <c r="F541" s="10" t="s">
        <v>536</v>
      </c>
      <c r="G541" s="10" t="s">
        <v>425</v>
      </c>
      <c r="H541" s="10"/>
      <c r="I541" s="8" t="n">
        <f aca="false">INDEX(Parâmetros!$C$13:$C$19,MATCH(E541,Parâmetros!$A$13:$A$19,0))</f>
        <v>1096</v>
      </c>
      <c r="J541" s="26" t="str">
        <f aca="false">IF(H541="","",Parâmetros!$B$5-H541)</f>
        <v/>
      </c>
      <c r="K541" s="10" t="n">
        <f aca="false">INDEX(Parâmetros!$D$13:$D$19,MATCH(E541,Parâmetros!$A$13:$A$19,0))</f>
        <v>29</v>
      </c>
      <c r="L541" s="26" t="n">
        <f aca="false">IF(G541="Prospecting",Parâmetros!$B$9,IF(J541&gt;Parâmetros!$B$6,0,INDEX(Parâmetros!$C$24:$C$26,MATCH(J541,Parâmetros!$A$24:$A$26,1))))</f>
        <v>10</v>
      </c>
      <c r="M541" s="31" t="n">
        <f aca="false">IF(G541="Prospecting",1,INDEX(Parâmetros!$C$32:$C$35,MATCH(J541,Parâmetros!$A$32:$A$35,1)))</f>
        <v>1</v>
      </c>
      <c r="N541" s="2" t="n">
        <f aca="false">ROUND((K541+L541)*M541,0)</f>
        <v>39</v>
      </c>
      <c r="O541" s="10" t="str">
        <f aca="false">IF(AND(G541="Engaging",J541&gt;Parâmetros!$B$6),"Sim","Não")</f>
        <v>Não</v>
      </c>
      <c r="P541" s="32" t="str">
        <f aca="false">IF(O541="Sim","R",IF(N541&gt;=Parâmetros!$B$39,"A",IF(N541&gt;=Parâmetros!$B$40,"B",IF(N541&gt;=Parâmetros!$B$41,"C","D"))))</f>
        <v>C</v>
      </c>
      <c r="Q541" s="10" t="str">
        <f aca="false">IF(F541="","Completar cadastro","")</f>
        <v/>
      </c>
      <c r="R541" s="10" t="str">
        <f aca="false">INDEX(Parâmetros!$D$39:$D$43,MATCH(P541,Parâmetros!$A$39:$A$43,0))</f>
        <v>Cadência leve, foco em qualificar</v>
      </c>
    </row>
    <row r="542" customFormat="false" ht="15" hidden="false" customHeight="false" outlineLevel="0" collapsed="false">
      <c r="A542" s="10" t="s">
        <v>780</v>
      </c>
      <c r="B542" s="10" t="s">
        <v>81</v>
      </c>
      <c r="C542" s="10" t="s">
        <v>78</v>
      </c>
      <c r="D542" s="10" t="s">
        <v>196</v>
      </c>
      <c r="E542" s="10" t="s">
        <v>50</v>
      </c>
      <c r="F542" s="10"/>
      <c r="G542" s="10" t="s">
        <v>425</v>
      </c>
      <c r="H542" s="10"/>
      <c r="I542" s="8" t="n">
        <f aca="false">INDEX(Parâmetros!$C$13:$C$19,MATCH(E542,Parâmetros!$A$13:$A$19,0))</f>
        <v>1096</v>
      </c>
      <c r="J542" s="26" t="str">
        <f aca="false">IF(H542="","",Parâmetros!$B$5-H542)</f>
        <v/>
      </c>
      <c r="K542" s="10" t="n">
        <f aca="false">INDEX(Parâmetros!$D$13:$D$19,MATCH(E542,Parâmetros!$A$13:$A$19,0))</f>
        <v>29</v>
      </c>
      <c r="L542" s="26" t="n">
        <f aca="false">IF(G542="Prospecting",Parâmetros!$B$9,IF(J542&gt;Parâmetros!$B$6,0,INDEX(Parâmetros!$C$24:$C$26,MATCH(J542,Parâmetros!$A$24:$A$26,1))))</f>
        <v>10</v>
      </c>
      <c r="M542" s="31" t="n">
        <f aca="false">IF(G542="Prospecting",1,INDEX(Parâmetros!$C$32:$C$35,MATCH(J542,Parâmetros!$A$32:$A$35,1)))</f>
        <v>1</v>
      </c>
      <c r="N542" s="2" t="n">
        <f aca="false">ROUND((K542+L542)*M542,0)</f>
        <v>39</v>
      </c>
      <c r="O542" s="10" t="str">
        <f aca="false">IF(AND(G542="Engaging",J542&gt;Parâmetros!$B$6),"Sim","Não")</f>
        <v>Não</v>
      </c>
      <c r="P542" s="32" t="str">
        <f aca="false">IF(O542="Sim","R",IF(N542&gt;=Parâmetros!$B$39,"A",IF(N542&gt;=Parâmetros!$B$40,"B",IF(N542&gt;=Parâmetros!$B$41,"C","D"))))</f>
        <v>C</v>
      </c>
      <c r="Q542" s="10" t="str">
        <f aca="false">IF(F542="","Completar cadastro","")</f>
        <v>Completar cadastro</v>
      </c>
      <c r="R542" s="10" t="str">
        <f aca="false">INDEX(Parâmetros!$D$39:$D$43,MATCH(P542,Parâmetros!$A$39:$A$43,0))</f>
        <v>Cadência leve, foco em qualificar</v>
      </c>
    </row>
    <row r="543" customFormat="false" ht="15" hidden="false" customHeight="false" outlineLevel="0" collapsed="false">
      <c r="A543" s="10" t="s">
        <v>781</v>
      </c>
      <c r="B543" s="10" t="s">
        <v>81</v>
      </c>
      <c r="C543" s="10" t="s">
        <v>78</v>
      </c>
      <c r="D543" s="10" t="s">
        <v>196</v>
      </c>
      <c r="E543" s="10" t="s">
        <v>50</v>
      </c>
      <c r="F543" s="10"/>
      <c r="G543" s="10" t="s">
        <v>425</v>
      </c>
      <c r="H543" s="10"/>
      <c r="I543" s="8" t="n">
        <f aca="false">INDEX(Parâmetros!$C$13:$C$19,MATCH(E543,Parâmetros!$A$13:$A$19,0))</f>
        <v>1096</v>
      </c>
      <c r="J543" s="26" t="str">
        <f aca="false">IF(H543="","",Parâmetros!$B$5-H543)</f>
        <v/>
      </c>
      <c r="K543" s="10" t="n">
        <f aca="false">INDEX(Parâmetros!$D$13:$D$19,MATCH(E543,Parâmetros!$A$13:$A$19,0))</f>
        <v>29</v>
      </c>
      <c r="L543" s="26" t="n">
        <f aca="false">IF(G543="Prospecting",Parâmetros!$B$9,IF(J543&gt;Parâmetros!$B$6,0,INDEX(Parâmetros!$C$24:$C$26,MATCH(J543,Parâmetros!$A$24:$A$26,1))))</f>
        <v>10</v>
      </c>
      <c r="M543" s="31" t="n">
        <f aca="false">IF(G543="Prospecting",1,INDEX(Parâmetros!$C$32:$C$35,MATCH(J543,Parâmetros!$A$32:$A$35,1)))</f>
        <v>1</v>
      </c>
      <c r="N543" s="2" t="n">
        <f aca="false">ROUND((K543+L543)*M543,0)</f>
        <v>39</v>
      </c>
      <c r="O543" s="10" t="str">
        <f aca="false">IF(AND(G543="Engaging",J543&gt;Parâmetros!$B$6),"Sim","Não")</f>
        <v>Não</v>
      </c>
      <c r="P543" s="32" t="str">
        <f aca="false">IF(O543="Sim","R",IF(N543&gt;=Parâmetros!$B$39,"A",IF(N543&gt;=Parâmetros!$B$40,"B",IF(N543&gt;=Parâmetros!$B$41,"C","D"))))</f>
        <v>C</v>
      </c>
      <c r="Q543" s="10" t="str">
        <f aca="false">IF(F543="","Completar cadastro","")</f>
        <v>Completar cadastro</v>
      </c>
      <c r="R543" s="10" t="str">
        <f aca="false">INDEX(Parâmetros!$D$39:$D$43,MATCH(P543,Parâmetros!$A$39:$A$43,0))</f>
        <v>Cadência leve, foco em qualificar</v>
      </c>
    </row>
    <row r="544" customFormat="false" ht="15" hidden="false" customHeight="false" outlineLevel="0" collapsed="false">
      <c r="A544" s="10" t="s">
        <v>782</v>
      </c>
      <c r="B544" s="10" t="s">
        <v>81</v>
      </c>
      <c r="C544" s="10" t="s">
        <v>78</v>
      </c>
      <c r="D544" s="10" t="s">
        <v>196</v>
      </c>
      <c r="E544" s="10" t="s">
        <v>50</v>
      </c>
      <c r="F544" s="10"/>
      <c r="G544" s="10" t="s">
        <v>425</v>
      </c>
      <c r="H544" s="10"/>
      <c r="I544" s="8" t="n">
        <f aca="false">INDEX(Parâmetros!$C$13:$C$19,MATCH(E544,Parâmetros!$A$13:$A$19,0))</f>
        <v>1096</v>
      </c>
      <c r="J544" s="26" t="str">
        <f aca="false">IF(H544="","",Parâmetros!$B$5-H544)</f>
        <v/>
      </c>
      <c r="K544" s="10" t="n">
        <f aca="false">INDEX(Parâmetros!$D$13:$D$19,MATCH(E544,Parâmetros!$A$13:$A$19,0))</f>
        <v>29</v>
      </c>
      <c r="L544" s="26" t="n">
        <f aca="false">IF(G544="Prospecting",Parâmetros!$B$9,IF(J544&gt;Parâmetros!$B$6,0,INDEX(Parâmetros!$C$24:$C$26,MATCH(J544,Parâmetros!$A$24:$A$26,1))))</f>
        <v>10</v>
      </c>
      <c r="M544" s="31" t="n">
        <f aca="false">IF(G544="Prospecting",1,INDEX(Parâmetros!$C$32:$C$35,MATCH(J544,Parâmetros!$A$32:$A$35,1)))</f>
        <v>1</v>
      </c>
      <c r="N544" s="2" t="n">
        <f aca="false">ROUND((K544+L544)*M544,0)</f>
        <v>39</v>
      </c>
      <c r="O544" s="10" t="str">
        <f aca="false">IF(AND(G544="Engaging",J544&gt;Parâmetros!$B$6),"Sim","Não")</f>
        <v>Não</v>
      </c>
      <c r="P544" s="32" t="str">
        <f aca="false">IF(O544="Sim","R",IF(N544&gt;=Parâmetros!$B$39,"A",IF(N544&gt;=Parâmetros!$B$40,"B",IF(N544&gt;=Parâmetros!$B$41,"C","D"))))</f>
        <v>C</v>
      </c>
      <c r="Q544" s="10" t="str">
        <f aca="false">IF(F544="","Completar cadastro","")</f>
        <v>Completar cadastro</v>
      </c>
      <c r="R544" s="10" t="str">
        <f aca="false">INDEX(Parâmetros!$D$39:$D$43,MATCH(P544,Parâmetros!$A$39:$A$43,0))</f>
        <v>Cadência leve, foco em qualificar</v>
      </c>
    </row>
    <row r="545" customFormat="false" ht="15" hidden="false" customHeight="false" outlineLevel="0" collapsed="false">
      <c r="A545" s="10" t="s">
        <v>783</v>
      </c>
      <c r="B545" s="10" t="s">
        <v>81</v>
      </c>
      <c r="C545" s="10" t="s">
        <v>78</v>
      </c>
      <c r="D545" s="10" t="s">
        <v>196</v>
      </c>
      <c r="E545" s="10" t="s">
        <v>50</v>
      </c>
      <c r="F545" s="10"/>
      <c r="G545" s="10" t="s">
        <v>425</v>
      </c>
      <c r="H545" s="10"/>
      <c r="I545" s="8" t="n">
        <f aca="false">INDEX(Parâmetros!$C$13:$C$19,MATCH(E545,Parâmetros!$A$13:$A$19,0))</f>
        <v>1096</v>
      </c>
      <c r="J545" s="26" t="str">
        <f aca="false">IF(H545="","",Parâmetros!$B$5-H545)</f>
        <v/>
      </c>
      <c r="K545" s="10" t="n">
        <f aca="false">INDEX(Parâmetros!$D$13:$D$19,MATCH(E545,Parâmetros!$A$13:$A$19,0))</f>
        <v>29</v>
      </c>
      <c r="L545" s="26" t="n">
        <f aca="false">IF(G545="Prospecting",Parâmetros!$B$9,IF(J545&gt;Parâmetros!$B$6,0,INDEX(Parâmetros!$C$24:$C$26,MATCH(J545,Parâmetros!$A$24:$A$26,1))))</f>
        <v>10</v>
      </c>
      <c r="M545" s="31" t="n">
        <f aca="false">IF(G545="Prospecting",1,INDEX(Parâmetros!$C$32:$C$35,MATCH(J545,Parâmetros!$A$32:$A$35,1)))</f>
        <v>1</v>
      </c>
      <c r="N545" s="2" t="n">
        <f aca="false">ROUND((K545+L545)*M545,0)</f>
        <v>39</v>
      </c>
      <c r="O545" s="10" t="str">
        <f aca="false">IF(AND(G545="Engaging",J545&gt;Parâmetros!$B$6),"Sim","Não")</f>
        <v>Não</v>
      </c>
      <c r="P545" s="32" t="str">
        <f aca="false">IF(O545="Sim","R",IF(N545&gt;=Parâmetros!$B$39,"A",IF(N545&gt;=Parâmetros!$B$40,"B",IF(N545&gt;=Parâmetros!$B$41,"C","D"))))</f>
        <v>C</v>
      </c>
      <c r="Q545" s="10" t="str">
        <f aca="false">IF(F545="","Completar cadastro","")</f>
        <v>Completar cadastro</v>
      </c>
      <c r="R545" s="10" t="str">
        <f aca="false">INDEX(Parâmetros!$D$39:$D$43,MATCH(P545,Parâmetros!$A$39:$A$43,0))</f>
        <v>Cadência leve, foco em qualificar</v>
      </c>
    </row>
    <row r="546" customFormat="false" ht="15" hidden="false" customHeight="false" outlineLevel="0" collapsed="false">
      <c r="A546" s="10" t="s">
        <v>784</v>
      </c>
      <c r="B546" s="10" t="s">
        <v>81</v>
      </c>
      <c r="C546" s="10" t="s">
        <v>78</v>
      </c>
      <c r="D546" s="10" t="s">
        <v>196</v>
      </c>
      <c r="E546" s="10" t="s">
        <v>50</v>
      </c>
      <c r="F546" s="10"/>
      <c r="G546" s="10" t="s">
        <v>425</v>
      </c>
      <c r="H546" s="10"/>
      <c r="I546" s="8" t="n">
        <f aca="false">INDEX(Parâmetros!$C$13:$C$19,MATCH(E546,Parâmetros!$A$13:$A$19,0))</f>
        <v>1096</v>
      </c>
      <c r="J546" s="26" t="str">
        <f aca="false">IF(H546="","",Parâmetros!$B$5-H546)</f>
        <v/>
      </c>
      <c r="K546" s="10" t="n">
        <f aca="false">INDEX(Parâmetros!$D$13:$D$19,MATCH(E546,Parâmetros!$A$13:$A$19,0))</f>
        <v>29</v>
      </c>
      <c r="L546" s="26" t="n">
        <f aca="false">IF(G546="Prospecting",Parâmetros!$B$9,IF(J546&gt;Parâmetros!$B$6,0,INDEX(Parâmetros!$C$24:$C$26,MATCH(J546,Parâmetros!$A$24:$A$26,1))))</f>
        <v>10</v>
      </c>
      <c r="M546" s="31" t="n">
        <f aca="false">IF(G546="Prospecting",1,INDEX(Parâmetros!$C$32:$C$35,MATCH(J546,Parâmetros!$A$32:$A$35,1)))</f>
        <v>1</v>
      </c>
      <c r="N546" s="2" t="n">
        <f aca="false">ROUND((K546+L546)*M546,0)</f>
        <v>39</v>
      </c>
      <c r="O546" s="10" t="str">
        <f aca="false">IF(AND(G546="Engaging",J546&gt;Parâmetros!$B$6),"Sim","Não")</f>
        <v>Não</v>
      </c>
      <c r="P546" s="32" t="str">
        <f aca="false">IF(O546="Sim","R",IF(N546&gt;=Parâmetros!$B$39,"A",IF(N546&gt;=Parâmetros!$B$40,"B",IF(N546&gt;=Parâmetros!$B$41,"C","D"))))</f>
        <v>C</v>
      </c>
      <c r="Q546" s="10" t="str">
        <f aca="false">IF(F546="","Completar cadastro","")</f>
        <v>Completar cadastro</v>
      </c>
      <c r="R546" s="10" t="str">
        <f aca="false">INDEX(Parâmetros!$D$39:$D$43,MATCH(P546,Parâmetros!$A$39:$A$43,0))</f>
        <v>Cadência leve, foco em qualificar</v>
      </c>
    </row>
    <row r="547" customFormat="false" ht="15" hidden="false" customHeight="false" outlineLevel="0" collapsed="false">
      <c r="A547" s="10" t="s">
        <v>785</v>
      </c>
      <c r="B547" s="10" t="s">
        <v>81</v>
      </c>
      <c r="C547" s="10" t="s">
        <v>78</v>
      </c>
      <c r="D547" s="10" t="s">
        <v>196</v>
      </c>
      <c r="E547" s="10" t="s">
        <v>50</v>
      </c>
      <c r="F547" s="10"/>
      <c r="G547" s="10" t="s">
        <v>425</v>
      </c>
      <c r="H547" s="10"/>
      <c r="I547" s="8" t="n">
        <f aca="false">INDEX(Parâmetros!$C$13:$C$19,MATCH(E547,Parâmetros!$A$13:$A$19,0))</f>
        <v>1096</v>
      </c>
      <c r="J547" s="26" t="str">
        <f aca="false">IF(H547="","",Parâmetros!$B$5-H547)</f>
        <v/>
      </c>
      <c r="K547" s="10" t="n">
        <f aca="false">INDEX(Parâmetros!$D$13:$D$19,MATCH(E547,Parâmetros!$A$13:$A$19,0))</f>
        <v>29</v>
      </c>
      <c r="L547" s="26" t="n">
        <f aca="false">IF(G547="Prospecting",Parâmetros!$B$9,IF(J547&gt;Parâmetros!$B$6,0,INDEX(Parâmetros!$C$24:$C$26,MATCH(J547,Parâmetros!$A$24:$A$26,1))))</f>
        <v>10</v>
      </c>
      <c r="M547" s="31" t="n">
        <f aca="false">IF(G547="Prospecting",1,INDEX(Parâmetros!$C$32:$C$35,MATCH(J547,Parâmetros!$A$32:$A$35,1)))</f>
        <v>1</v>
      </c>
      <c r="N547" s="2" t="n">
        <f aca="false">ROUND((K547+L547)*M547,0)</f>
        <v>39</v>
      </c>
      <c r="O547" s="10" t="str">
        <f aca="false">IF(AND(G547="Engaging",J547&gt;Parâmetros!$B$6),"Sim","Não")</f>
        <v>Não</v>
      </c>
      <c r="P547" s="32" t="str">
        <f aca="false">IF(O547="Sim","R",IF(N547&gt;=Parâmetros!$B$39,"A",IF(N547&gt;=Parâmetros!$B$40,"B",IF(N547&gt;=Parâmetros!$B$41,"C","D"))))</f>
        <v>C</v>
      </c>
      <c r="Q547" s="10" t="str">
        <f aca="false">IF(F547="","Completar cadastro","")</f>
        <v>Completar cadastro</v>
      </c>
      <c r="R547" s="10" t="str">
        <f aca="false">INDEX(Parâmetros!$D$39:$D$43,MATCH(P547,Parâmetros!$A$39:$A$43,0))</f>
        <v>Cadência leve, foco em qualificar</v>
      </c>
    </row>
    <row r="548" customFormat="false" ht="15" hidden="false" customHeight="false" outlineLevel="0" collapsed="false">
      <c r="A548" s="10" t="s">
        <v>786</v>
      </c>
      <c r="B548" s="10" t="s">
        <v>81</v>
      </c>
      <c r="C548" s="10" t="s">
        <v>78</v>
      </c>
      <c r="D548" s="10" t="s">
        <v>196</v>
      </c>
      <c r="E548" s="10" t="s">
        <v>50</v>
      </c>
      <c r="F548" s="10"/>
      <c r="G548" s="10" t="s">
        <v>425</v>
      </c>
      <c r="H548" s="10"/>
      <c r="I548" s="8" t="n">
        <f aca="false">INDEX(Parâmetros!$C$13:$C$19,MATCH(E548,Parâmetros!$A$13:$A$19,0))</f>
        <v>1096</v>
      </c>
      <c r="J548" s="26" t="str">
        <f aca="false">IF(H548="","",Parâmetros!$B$5-H548)</f>
        <v/>
      </c>
      <c r="K548" s="10" t="n">
        <f aca="false">INDEX(Parâmetros!$D$13:$D$19,MATCH(E548,Parâmetros!$A$13:$A$19,0))</f>
        <v>29</v>
      </c>
      <c r="L548" s="26" t="n">
        <f aca="false">IF(G548="Prospecting",Parâmetros!$B$9,IF(J548&gt;Parâmetros!$B$6,0,INDEX(Parâmetros!$C$24:$C$26,MATCH(J548,Parâmetros!$A$24:$A$26,1))))</f>
        <v>10</v>
      </c>
      <c r="M548" s="31" t="n">
        <f aca="false">IF(G548="Prospecting",1,INDEX(Parâmetros!$C$32:$C$35,MATCH(J548,Parâmetros!$A$32:$A$35,1)))</f>
        <v>1</v>
      </c>
      <c r="N548" s="2" t="n">
        <f aca="false">ROUND((K548+L548)*M548,0)</f>
        <v>39</v>
      </c>
      <c r="O548" s="10" t="str">
        <f aca="false">IF(AND(G548="Engaging",J548&gt;Parâmetros!$B$6),"Sim","Não")</f>
        <v>Não</v>
      </c>
      <c r="P548" s="32" t="str">
        <f aca="false">IF(O548="Sim","R",IF(N548&gt;=Parâmetros!$B$39,"A",IF(N548&gt;=Parâmetros!$B$40,"B",IF(N548&gt;=Parâmetros!$B$41,"C","D"))))</f>
        <v>C</v>
      </c>
      <c r="Q548" s="10" t="str">
        <f aca="false">IF(F548="","Completar cadastro","")</f>
        <v>Completar cadastro</v>
      </c>
      <c r="R548" s="10" t="str">
        <f aca="false">INDEX(Parâmetros!$D$39:$D$43,MATCH(P548,Parâmetros!$A$39:$A$43,0))</f>
        <v>Cadência leve, foco em qualificar</v>
      </c>
    </row>
    <row r="549" customFormat="false" ht="15" hidden="false" customHeight="false" outlineLevel="0" collapsed="false">
      <c r="A549" s="10" t="s">
        <v>787</v>
      </c>
      <c r="B549" s="10" t="s">
        <v>81</v>
      </c>
      <c r="C549" s="10" t="s">
        <v>78</v>
      </c>
      <c r="D549" s="10" t="s">
        <v>196</v>
      </c>
      <c r="E549" s="10" t="s">
        <v>50</v>
      </c>
      <c r="F549" s="10"/>
      <c r="G549" s="10" t="s">
        <v>425</v>
      </c>
      <c r="H549" s="10"/>
      <c r="I549" s="8" t="n">
        <f aca="false">INDEX(Parâmetros!$C$13:$C$19,MATCH(E549,Parâmetros!$A$13:$A$19,0))</f>
        <v>1096</v>
      </c>
      <c r="J549" s="26" t="str">
        <f aca="false">IF(H549="","",Parâmetros!$B$5-H549)</f>
        <v/>
      </c>
      <c r="K549" s="10" t="n">
        <f aca="false">INDEX(Parâmetros!$D$13:$D$19,MATCH(E549,Parâmetros!$A$13:$A$19,0))</f>
        <v>29</v>
      </c>
      <c r="L549" s="26" t="n">
        <f aca="false">IF(G549="Prospecting",Parâmetros!$B$9,IF(J549&gt;Parâmetros!$B$6,0,INDEX(Parâmetros!$C$24:$C$26,MATCH(J549,Parâmetros!$A$24:$A$26,1))))</f>
        <v>10</v>
      </c>
      <c r="M549" s="31" t="n">
        <f aca="false">IF(G549="Prospecting",1,INDEX(Parâmetros!$C$32:$C$35,MATCH(J549,Parâmetros!$A$32:$A$35,1)))</f>
        <v>1</v>
      </c>
      <c r="N549" s="2" t="n">
        <f aca="false">ROUND((K549+L549)*M549,0)</f>
        <v>39</v>
      </c>
      <c r="O549" s="10" t="str">
        <f aca="false">IF(AND(G549="Engaging",J549&gt;Parâmetros!$B$6),"Sim","Não")</f>
        <v>Não</v>
      </c>
      <c r="P549" s="32" t="str">
        <f aca="false">IF(O549="Sim","R",IF(N549&gt;=Parâmetros!$B$39,"A",IF(N549&gt;=Parâmetros!$B$40,"B",IF(N549&gt;=Parâmetros!$B$41,"C","D"))))</f>
        <v>C</v>
      </c>
      <c r="Q549" s="10" t="str">
        <f aca="false">IF(F549="","Completar cadastro","")</f>
        <v>Completar cadastro</v>
      </c>
      <c r="R549" s="10" t="str">
        <f aca="false">INDEX(Parâmetros!$D$39:$D$43,MATCH(P549,Parâmetros!$A$39:$A$43,0))</f>
        <v>Cadência leve, foco em qualificar</v>
      </c>
    </row>
    <row r="550" customFormat="false" ht="15" hidden="false" customHeight="false" outlineLevel="0" collapsed="false">
      <c r="A550" s="10" t="s">
        <v>788</v>
      </c>
      <c r="B550" s="10" t="s">
        <v>75</v>
      </c>
      <c r="C550" s="10" t="s">
        <v>72</v>
      </c>
      <c r="D550" s="10" t="s">
        <v>196</v>
      </c>
      <c r="E550" s="10" t="s">
        <v>50</v>
      </c>
      <c r="F550" s="10"/>
      <c r="G550" s="10" t="s">
        <v>425</v>
      </c>
      <c r="H550" s="10"/>
      <c r="I550" s="8" t="n">
        <f aca="false">INDEX(Parâmetros!$C$13:$C$19,MATCH(E550,Parâmetros!$A$13:$A$19,0))</f>
        <v>1096</v>
      </c>
      <c r="J550" s="26" t="str">
        <f aca="false">IF(H550="","",Parâmetros!$B$5-H550)</f>
        <v/>
      </c>
      <c r="K550" s="10" t="n">
        <f aca="false">INDEX(Parâmetros!$D$13:$D$19,MATCH(E550,Parâmetros!$A$13:$A$19,0))</f>
        <v>29</v>
      </c>
      <c r="L550" s="26" t="n">
        <f aca="false">IF(G550="Prospecting",Parâmetros!$B$9,IF(J550&gt;Parâmetros!$B$6,0,INDEX(Parâmetros!$C$24:$C$26,MATCH(J550,Parâmetros!$A$24:$A$26,1))))</f>
        <v>10</v>
      </c>
      <c r="M550" s="31" t="n">
        <f aca="false">IF(G550="Prospecting",1,INDEX(Parâmetros!$C$32:$C$35,MATCH(J550,Parâmetros!$A$32:$A$35,1)))</f>
        <v>1</v>
      </c>
      <c r="N550" s="2" t="n">
        <f aca="false">ROUND((K550+L550)*M550,0)</f>
        <v>39</v>
      </c>
      <c r="O550" s="10" t="str">
        <f aca="false">IF(AND(G550="Engaging",J550&gt;Parâmetros!$B$6),"Sim","Não")</f>
        <v>Não</v>
      </c>
      <c r="P550" s="32" t="str">
        <f aca="false">IF(O550="Sim","R",IF(N550&gt;=Parâmetros!$B$39,"A",IF(N550&gt;=Parâmetros!$B$40,"B",IF(N550&gt;=Parâmetros!$B$41,"C","D"))))</f>
        <v>C</v>
      </c>
      <c r="Q550" s="10" t="str">
        <f aca="false">IF(F550="","Completar cadastro","")</f>
        <v>Completar cadastro</v>
      </c>
      <c r="R550" s="10" t="str">
        <f aca="false">INDEX(Parâmetros!$D$39:$D$43,MATCH(P550,Parâmetros!$A$39:$A$43,0))</f>
        <v>Cadência leve, foco em qualificar</v>
      </c>
    </row>
    <row r="551" customFormat="false" ht="15" hidden="false" customHeight="false" outlineLevel="0" collapsed="false">
      <c r="A551" s="10" t="s">
        <v>789</v>
      </c>
      <c r="B551" s="10" t="s">
        <v>75</v>
      </c>
      <c r="C551" s="10" t="s">
        <v>72</v>
      </c>
      <c r="D551" s="10" t="s">
        <v>196</v>
      </c>
      <c r="E551" s="10" t="s">
        <v>50</v>
      </c>
      <c r="F551" s="10"/>
      <c r="G551" s="10" t="s">
        <v>425</v>
      </c>
      <c r="H551" s="10"/>
      <c r="I551" s="8" t="n">
        <f aca="false">INDEX(Parâmetros!$C$13:$C$19,MATCH(E551,Parâmetros!$A$13:$A$19,0))</f>
        <v>1096</v>
      </c>
      <c r="J551" s="26" t="str">
        <f aca="false">IF(H551="","",Parâmetros!$B$5-H551)</f>
        <v/>
      </c>
      <c r="K551" s="10" t="n">
        <f aca="false">INDEX(Parâmetros!$D$13:$D$19,MATCH(E551,Parâmetros!$A$13:$A$19,0))</f>
        <v>29</v>
      </c>
      <c r="L551" s="26" t="n">
        <f aca="false">IF(G551="Prospecting",Parâmetros!$B$9,IF(J551&gt;Parâmetros!$B$6,0,INDEX(Parâmetros!$C$24:$C$26,MATCH(J551,Parâmetros!$A$24:$A$26,1))))</f>
        <v>10</v>
      </c>
      <c r="M551" s="31" t="n">
        <f aca="false">IF(G551="Prospecting",1,INDEX(Parâmetros!$C$32:$C$35,MATCH(J551,Parâmetros!$A$32:$A$35,1)))</f>
        <v>1</v>
      </c>
      <c r="N551" s="2" t="n">
        <f aca="false">ROUND((K551+L551)*M551,0)</f>
        <v>39</v>
      </c>
      <c r="O551" s="10" t="str">
        <f aca="false">IF(AND(G551="Engaging",J551&gt;Parâmetros!$B$6),"Sim","Não")</f>
        <v>Não</v>
      </c>
      <c r="P551" s="32" t="str">
        <f aca="false">IF(O551="Sim","R",IF(N551&gt;=Parâmetros!$B$39,"A",IF(N551&gt;=Parâmetros!$B$40,"B",IF(N551&gt;=Parâmetros!$B$41,"C","D"))))</f>
        <v>C</v>
      </c>
      <c r="Q551" s="10" t="str">
        <f aca="false">IF(F551="","Completar cadastro","")</f>
        <v>Completar cadastro</v>
      </c>
      <c r="R551" s="10" t="str">
        <f aca="false">INDEX(Parâmetros!$D$39:$D$43,MATCH(P551,Parâmetros!$A$39:$A$43,0))</f>
        <v>Cadência leve, foco em qualificar</v>
      </c>
    </row>
    <row r="552" customFormat="false" ht="15" hidden="false" customHeight="false" outlineLevel="0" collapsed="false">
      <c r="A552" s="10" t="s">
        <v>790</v>
      </c>
      <c r="B552" s="10" t="s">
        <v>75</v>
      </c>
      <c r="C552" s="10" t="s">
        <v>72</v>
      </c>
      <c r="D552" s="10" t="s">
        <v>196</v>
      </c>
      <c r="E552" s="10" t="s">
        <v>50</v>
      </c>
      <c r="F552" s="10"/>
      <c r="G552" s="10" t="s">
        <v>425</v>
      </c>
      <c r="H552" s="10"/>
      <c r="I552" s="8" t="n">
        <f aca="false">INDEX(Parâmetros!$C$13:$C$19,MATCH(E552,Parâmetros!$A$13:$A$19,0))</f>
        <v>1096</v>
      </c>
      <c r="J552" s="26" t="str">
        <f aca="false">IF(H552="","",Parâmetros!$B$5-H552)</f>
        <v/>
      </c>
      <c r="K552" s="10" t="n">
        <f aca="false">INDEX(Parâmetros!$D$13:$D$19,MATCH(E552,Parâmetros!$A$13:$A$19,0))</f>
        <v>29</v>
      </c>
      <c r="L552" s="26" t="n">
        <f aca="false">IF(G552="Prospecting",Parâmetros!$B$9,IF(J552&gt;Parâmetros!$B$6,0,INDEX(Parâmetros!$C$24:$C$26,MATCH(J552,Parâmetros!$A$24:$A$26,1))))</f>
        <v>10</v>
      </c>
      <c r="M552" s="31" t="n">
        <f aca="false">IF(G552="Prospecting",1,INDEX(Parâmetros!$C$32:$C$35,MATCH(J552,Parâmetros!$A$32:$A$35,1)))</f>
        <v>1</v>
      </c>
      <c r="N552" s="2" t="n">
        <f aca="false">ROUND((K552+L552)*M552,0)</f>
        <v>39</v>
      </c>
      <c r="O552" s="10" t="str">
        <f aca="false">IF(AND(G552="Engaging",J552&gt;Parâmetros!$B$6),"Sim","Não")</f>
        <v>Não</v>
      </c>
      <c r="P552" s="32" t="str">
        <f aca="false">IF(O552="Sim","R",IF(N552&gt;=Parâmetros!$B$39,"A",IF(N552&gt;=Parâmetros!$B$40,"B",IF(N552&gt;=Parâmetros!$B$41,"C","D"))))</f>
        <v>C</v>
      </c>
      <c r="Q552" s="10" t="str">
        <f aca="false">IF(F552="","Completar cadastro","")</f>
        <v>Completar cadastro</v>
      </c>
      <c r="R552" s="10" t="str">
        <f aca="false">INDEX(Parâmetros!$D$39:$D$43,MATCH(P552,Parâmetros!$A$39:$A$43,0))</f>
        <v>Cadência leve, foco em qualificar</v>
      </c>
    </row>
    <row r="553" customFormat="false" ht="15" hidden="false" customHeight="false" outlineLevel="0" collapsed="false">
      <c r="A553" s="10" t="s">
        <v>791</v>
      </c>
      <c r="B553" s="10" t="s">
        <v>83</v>
      </c>
      <c r="C553" s="10" t="s">
        <v>78</v>
      </c>
      <c r="D553" s="10" t="s">
        <v>196</v>
      </c>
      <c r="E553" s="10" t="s">
        <v>50</v>
      </c>
      <c r="F553" s="10" t="s">
        <v>384</v>
      </c>
      <c r="G553" s="10" t="s">
        <v>425</v>
      </c>
      <c r="H553" s="10"/>
      <c r="I553" s="8" t="n">
        <f aca="false">INDEX(Parâmetros!$C$13:$C$19,MATCH(E553,Parâmetros!$A$13:$A$19,0))</f>
        <v>1096</v>
      </c>
      <c r="J553" s="26" t="str">
        <f aca="false">IF(H553="","",Parâmetros!$B$5-H553)</f>
        <v/>
      </c>
      <c r="K553" s="10" t="n">
        <f aca="false">INDEX(Parâmetros!$D$13:$D$19,MATCH(E553,Parâmetros!$A$13:$A$19,0))</f>
        <v>29</v>
      </c>
      <c r="L553" s="26" t="n">
        <f aca="false">IF(G553="Prospecting",Parâmetros!$B$9,IF(J553&gt;Parâmetros!$B$6,0,INDEX(Parâmetros!$C$24:$C$26,MATCH(J553,Parâmetros!$A$24:$A$26,1))))</f>
        <v>10</v>
      </c>
      <c r="M553" s="31" t="n">
        <f aca="false">IF(G553="Prospecting",1,INDEX(Parâmetros!$C$32:$C$35,MATCH(J553,Parâmetros!$A$32:$A$35,1)))</f>
        <v>1</v>
      </c>
      <c r="N553" s="2" t="n">
        <f aca="false">ROUND((K553+L553)*M553,0)</f>
        <v>39</v>
      </c>
      <c r="O553" s="10" t="str">
        <f aca="false">IF(AND(G553="Engaging",J553&gt;Parâmetros!$B$6),"Sim","Não")</f>
        <v>Não</v>
      </c>
      <c r="P553" s="32" t="str">
        <f aca="false">IF(O553="Sim","R",IF(N553&gt;=Parâmetros!$B$39,"A",IF(N553&gt;=Parâmetros!$B$40,"B",IF(N553&gt;=Parâmetros!$B$41,"C","D"))))</f>
        <v>C</v>
      </c>
      <c r="Q553" s="10" t="str">
        <f aca="false">IF(F553="","Completar cadastro","")</f>
        <v/>
      </c>
      <c r="R553" s="10" t="str">
        <f aca="false">INDEX(Parâmetros!$D$39:$D$43,MATCH(P553,Parâmetros!$A$39:$A$43,0))</f>
        <v>Cadência leve, foco em qualificar</v>
      </c>
    </row>
    <row r="554" customFormat="false" ht="15" hidden="false" customHeight="false" outlineLevel="0" collapsed="false">
      <c r="A554" s="10" t="s">
        <v>792</v>
      </c>
      <c r="B554" s="10" t="s">
        <v>83</v>
      </c>
      <c r="C554" s="10" t="s">
        <v>78</v>
      </c>
      <c r="D554" s="10" t="s">
        <v>196</v>
      </c>
      <c r="E554" s="10" t="s">
        <v>50</v>
      </c>
      <c r="F554" s="10" t="s">
        <v>597</v>
      </c>
      <c r="G554" s="10" t="s">
        <v>425</v>
      </c>
      <c r="H554" s="10"/>
      <c r="I554" s="8" t="n">
        <f aca="false">INDEX(Parâmetros!$C$13:$C$19,MATCH(E554,Parâmetros!$A$13:$A$19,0))</f>
        <v>1096</v>
      </c>
      <c r="J554" s="26" t="str">
        <f aca="false">IF(H554="","",Parâmetros!$B$5-H554)</f>
        <v/>
      </c>
      <c r="K554" s="10" t="n">
        <f aca="false">INDEX(Parâmetros!$D$13:$D$19,MATCH(E554,Parâmetros!$A$13:$A$19,0))</f>
        <v>29</v>
      </c>
      <c r="L554" s="26" t="n">
        <f aca="false">IF(G554="Prospecting",Parâmetros!$B$9,IF(J554&gt;Parâmetros!$B$6,0,INDEX(Parâmetros!$C$24:$C$26,MATCH(J554,Parâmetros!$A$24:$A$26,1))))</f>
        <v>10</v>
      </c>
      <c r="M554" s="31" t="n">
        <f aca="false">IF(G554="Prospecting",1,INDEX(Parâmetros!$C$32:$C$35,MATCH(J554,Parâmetros!$A$32:$A$35,1)))</f>
        <v>1</v>
      </c>
      <c r="N554" s="2" t="n">
        <f aca="false">ROUND((K554+L554)*M554,0)</f>
        <v>39</v>
      </c>
      <c r="O554" s="10" t="str">
        <f aca="false">IF(AND(G554="Engaging",J554&gt;Parâmetros!$B$6),"Sim","Não")</f>
        <v>Não</v>
      </c>
      <c r="P554" s="32" t="str">
        <f aca="false">IF(O554="Sim","R",IF(N554&gt;=Parâmetros!$B$39,"A",IF(N554&gt;=Parâmetros!$B$40,"B",IF(N554&gt;=Parâmetros!$B$41,"C","D"))))</f>
        <v>C</v>
      </c>
      <c r="Q554" s="10" t="str">
        <f aca="false">IF(F554="","Completar cadastro","")</f>
        <v/>
      </c>
      <c r="R554" s="10" t="str">
        <f aca="false">INDEX(Parâmetros!$D$39:$D$43,MATCH(P554,Parâmetros!$A$39:$A$43,0))</f>
        <v>Cadência leve, foco em qualificar</v>
      </c>
    </row>
    <row r="555" customFormat="false" ht="15" hidden="false" customHeight="false" outlineLevel="0" collapsed="false">
      <c r="A555" s="10" t="s">
        <v>793</v>
      </c>
      <c r="B555" s="10" t="s">
        <v>83</v>
      </c>
      <c r="C555" s="10" t="s">
        <v>78</v>
      </c>
      <c r="D555" s="10" t="s">
        <v>196</v>
      </c>
      <c r="E555" s="10" t="s">
        <v>50</v>
      </c>
      <c r="F555" s="10" t="s">
        <v>303</v>
      </c>
      <c r="G555" s="10" t="s">
        <v>425</v>
      </c>
      <c r="H555" s="10"/>
      <c r="I555" s="8" t="n">
        <f aca="false">INDEX(Parâmetros!$C$13:$C$19,MATCH(E555,Parâmetros!$A$13:$A$19,0))</f>
        <v>1096</v>
      </c>
      <c r="J555" s="26" t="str">
        <f aca="false">IF(H555="","",Parâmetros!$B$5-H555)</f>
        <v/>
      </c>
      <c r="K555" s="10" t="n">
        <f aca="false">INDEX(Parâmetros!$D$13:$D$19,MATCH(E555,Parâmetros!$A$13:$A$19,0))</f>
        <v>29</v>
      </c>
      <c r="L555" s="26" t="n">
        <f aca="false">IF(G555="Prospecting",Parâmetros!$B$9,IF(J555&gt;Parâmetros!$B$6,0,INDEX(Parâmetros!$C$24:$C$26,MATCH(J555,Parâmetros!$A$24:$A$26,1))))</f>
        <v>10</v>
      </c>
      <c r="M555" s="31" t="n">
        <f aca="false">IF(G555="Prospecting",1,INDEX(Parâmetros!$C$32:$C$35,MATCH(J555,Parâmetros!$A$32:$A$35,1)))</f>
        <v>1</v>
      </c>
      <c r="N555" s="2" t="n">
        <f aca="false">ROUND((K555+L555)*M555,0)</f>
        <v>39</v>
      </c>
      <c r="O555" s="10" t="str">
        <f aca="false">IF(AND(G555="Engaging",J555&gt;Parâmetros!$B$6),"Sim","Não")</f>
        <v>Não</v>
      </c>
      <c r="P555" s="32" t="str">
        <f aca="false">IF(O555="Sim","R",IF(N555&gt;=Parâmetros!$B$39,"A",IF(N555&gt;=Parâmetros!$B$40,"B",IF(N555&gt;=Parâmetros!$B$41,"C","D"))))</f>
        <v>C</v>
      </c>
      <c r="Q555" s="10" t="str">
        <f aca="false">IF(F555="","Completar cadastro","")</f>
        <v/>
      </c>
      <c r="R555" s="10" t="str">
        <f aca="false">INDEX(Parâmetros!$D$39:$D$43,MATCH(P555,Parâmetros!$A$39:$A$43,0))</f>
        <v>Cadência leve, foco em qualificar</v>
      </c>
    </row>
    <row r="556" customFormat="false" ht="15" hidden="false" customHeight="false" outlineLevel="0" collapsed="false">
      <c r="A556" s="10" t="s">
        <v>794</v>
      </c>
      <c r="B556" s="10" t="s">
        <v>83</v>
      </c>
      <c r="C556" s="10" t="s">
        <v>78</v>
      </c>
      <c r="D556" s="10" t="s">
        <v>196</v>
      </c>
      <c r="E556" s="10" t="s">
        <v>50</v>
      </c>
      <c r="F556" s="10"/>
      <c r="G556" s="10" t="s">
        <v>425</v>
      </c>
      <c r="H556" s="10"/>
      <c r="I556" s="8" t="n">
        <f aca="false">INDEX(Parâmetros!$C$13:$C$19,MATCH(E556,Parâmetros!$A$13:$A$19,0))</f>
        <v>1096</v>
      </c>
      <c r="J556" s="26" t="str">
        <f aca="false">IF(H556="","",Parâmetros!$B$5-H556)</f>
        <v/>
      </c>
      <c r="K556" s="10" t="n">
        <f aca="false">INDEX(Parâmetros!$D$13:$D$19,MATCH(E556,Parâmetros!$A$13:$A$19,0))</f>
        <v>29</v>
      </c>
      <c r="L556" s="26" t="n">
        <f aca="false">IF(G556="Prospecting",Parâmetros!$B$9,IF(J556&gt;Parâmetros!$B$6,0,INDEX(Parâmetros!$C$24:$C$26,MATCH(J556,Parâmetros!$A$24:$A$26,1))))</f>
        <v>10</v>
      </c>
      <c r="M556" s="31" t="n">
        <f aca="false">IF(G556="Prospecting",1,INDEX(Parâmetros!$C$32:$C$35,MATCH(J556,Parâmetros!$A$32:$A$35,1)))</f>
        <v>1</v>
      </c>
      <c r="N556" s="2" t="n">
        <f aca="false">ROUND((K556+L556)*M556,0)</f>
        <v>39</v>
      </c>
      <c r="O556" s="10" t="str">
        <f aca="false">IF(AND(G556="Engaging",J556&gt;Parâmetros!$B$6),"Sim","Não")</f>
        <v>Não</v>
      </c>
      <c r="P556" s="32" t="str">
        <f aca="false">IF(O556="Sim","R",IF(N556&gt;=Parâmetros!$B$39,"A",IF(N556&gt;=Parâmetros!$B$40,"B",IF(N556&gt;=Parâmetros!$B$41,"C","D"))))</f>
        <v>C</v>
      </c>
      <c r="Q556" s="10" t="str">
        <f aca="false">IF(F556="","Completar cadastro","")</f>
        <v>Completar cadastro</v>
      </c>
      <c r="R556" s="10" t="str">
        <f aca="false">INDEX(Parâmetros!$D$39:$D$43,MATCH(P556,Parâmetros!$A$39:$A$43,0))</f>
        <v>Cadência leve, foco em qualificar</v>
      </c>
    </row>
    <row r="557" customFormat="false" ht="15" hidden="false" customHeight="false" outlineLevel="0" collapsed="false">
      <c r="A557" s="10" t="s">
        <v>795</v>
      </c>
      <c r="B557" s="10" t="s">
        <v>83</v>
      </c>
      <c r="C557" s="10" t="s">
        <v>78</v>
      </c>
      <c r="D557" s="10" t="s">
        <v>196</v>
      </c>
      <c r="E557" s="10" t="s">
        <v>50</v>
      </c>
      <c r="F557" s="10"/>
      <c r="G557" s="10" t="s">
        <v>425</v>
      </c>
      <c r="H557" s="10"/>
      <c r="I557" s="8" t="n">
        <f aca="false">INDEX(Parâmetros!$C$13:$C$19,MATCH(E557,Parâmetros!$A$13:$A$19,0))</f>
        <v>1096</v>
      </c>
      <c r="J557" s="26" t="str">
        <f aca="false">IF(H557="","",Parâmetros!$B$5-H557)</f>
        <v/>
      </c>
      <c r="K557" s="10" t="n">
        <f aca="false">INDEX(Parâmetros!$D$13:$D$19,MATCH(E557,Parâmetros!$A$13:$A$19,0))</f>
        <v>29</v>
      </c>
      <c r="L557" s="26" t="n">
        <f aca="false">IF(G557="Prospecting",Parâmetros!$B$9,IF(J557&gt;Parâmetros!$B$6,0,INDEX(Parâmetros!$C$24:$C$26,MATCH(J557,Parâmetros!$A$24:$A$26,1))))</f>
        <v>10</v>
      </c>
      <c r="M557" s="31" t="n">
        <f aca="false">IF(G557="Prospecting",1,INDEX(Parâmetros!$C$32:$C$35,MATCH(J557,Parâmetros!$A$32:$A$35,1)))</f>
        <v>1</v>
      </c>
      <c r="N557" s="2" t="n">
        <f aca="false">ROUND((K557+L557)*M557,0)</f>
        <v>39</v>
      </c>
      <c r="O557" s="10" t="str">
        <f aca="false">IF(AND(G557="Engaging",J557&gt;Parâmetros!$B$6),"Sim","Não")</f>
        <v>Não</v>
      </c>
      <c r="P557" s="32" t="str">
        <f aca="false">IF(O557="Sim","R",IF(N557&gt;=Parâmetros!$B$39,"A",IF(N557&gt;=Parâmetros!$B$40,"B",IF(N557&gt;=Parâmetros!$B$41,"C","D"))))</f>
        <v>C</v>
      </c>
      <c r="Q557" s="10" t="str">
        <f aca="false">IF(F557="","Completar cadastro","")</f>
        <v>Completar cadastro</v>
      </c>
      <c r="R557" s="10" t="str">
        <f aca="false">INDEX(Parâmetros!$D$39:$D$43,MATCH(P557,Parâmetros!$A$39:$A$43,0))</f>
        <v>Cadência leve, foco em qualificar</v>
      </c>
    </row>
    <row r="558" customFormat="false" ht="15" hidden="false" customHeight="false" outlineLevel="0" collapsed="false">
      <c r="A558" s="10" t="s">
        <v>796</v>
      </c>
      <c r="B558" s="10" t="s">
        <v>83</v>
      </c>
      <c r="C558" s="10" t="s">
        <v>78</v>
      </c>
      <c r="D558" s="10" t="s">
        <v>196</v>
      </c>
      <c r="E558" s="10" t="s">
        <v>50</v>
      </c>
      <c r="F558" s="10"/>
      <c r="G558" s="10" t="s">
        <v>425</v>
      </c>
      <c r="H558" s="10"/>
      <c r="I558" s="8" t="n">
        <f aca="false">INDEX(Parâmetros!$C$13:$C$19,MATCH(E558,Parâmetros!$A$13:$A$19,0))</f>
        <v>1096</v>
      </c>
      <c r="J558" s="26" t="str">
        <f aca="false">IF(H558="","",Parâmetros!$B$5-H558)</f>
        <v/>
      </c>
      <c r="K558" s="10" t="n">
        <f aca="false">INDEX(Parâmetros!$D$13:$D$19,MATCH(E558,Parâmetros!$A$13:$A$19,0))</f>
        <v>29</v>
      </c>
      <c r="L558" s="26" t="n">
        <f aca="false">IF(G558="Prospecting",Parâmetros!$B$9,IF(J558&gt;Parâmetros!$B$6,0,INDEX(Parâmetros!$C$24:$C$26,MATCH(J558,Parâmetros!$A$24:$A$26,1))))</f>
        <v>10</v>
      </c>
      <c r="M558" s="31" t="n">
        <f aca="false">IF(G558="Prospecting",1,INDEX(Parâmetros!$C$32:$C$35,MATCH(J558,Parâmetros!$A$32:$A$35,1)))</f>
        <v>1</v>
      </c>
      <c r="N558" s="2" t="n">
        <f aca="false">ROUND((K558+L558)*M558,0)</f>
        <v>39</v>
      </c>
      <c r="O558" s="10" t="str">
        <f aca="false">IF(AND(G558="Engaging",J558&gt;Parâmetros!$B$6),"Sim","Não")</f>
        <v>Não</v>
      </c>
      <c r="P558" s="32" t="str">
        <f aca="false">IF(O558="Sim","R",IF(N558&gt;=Parâmetros!$B$39,"A",IF(N558&gt;=Parâmetros!$B$40,"B",IF(N558&gt;=Parâmetros!$B$41,"C","D"))))</f>
        <v>C</v>
      </c>
      <c r="Q558" s="10" t="str">
        <f aca="false">IF(F558="","Completar cadastro","")</f>
        <v>Completar cadastro</v>
      </c>
      <c r="R558" s="10" t="str">
        <f aca="false">INDEX(Parâmetros!$D$39:$D$43,MATCH(P558,Parâmetros!$A$39:$A$43,0))</f>
        <v>Cadência leve, foco em qualificar</v>
      </c>
    </row>
    <row r="559" customFormat="false" ht="15" hidden="false" customHeight="false" outlineLevel="0" collapsed="false">
      <c r="A559" s="10" t="s">
        <v>797</v>
      </c>
      <c r="B559" s="10" t="s">
        <v>76</v>
      </c>
      <c r="C559" s="10" t="s">
        <v>72</v>
      </c>
      <c r="D559" s="10" t="s">
        <v>196</v>
      </c>
      <c r="E559" s="10" t="s">
        <v>50</v>
      </c>
      <c r="F559" s="10" t="s">
        <v>427</v>
      </c>
      <c r="G559" s="10" t="s">
        <v>425</v>
      </c>
      <c r="H559" s="10"/>
      <c r="I559" s="8" t="n">
        <f aca="false">INDEX(Parâmetros!$C$13:$C$19,MATCH(E559,Parâmetros!$A$13:$A$19,0))</f>
        <v>1096</v>
      </c>
      <c r="J559" s="26" t="str">
        <f aca="false">IF(H559="","",Parâmetros!$B$5-H559)</f>
        <v/>
      </c>
      <c r="K559" s="10" t="n">
        <f aca="false">INDEX(Parâmetros!$D$13:$D$19,MATCH(E559,Parâmetros!$A$13:$A$19,0))</f>
        <v>29</v>
      </c>
      <c r="L559" s="26" t="n">
        <f aca="false">IF(G559="Prospecting",Parâmetros!$B$9,IF(J559&gt;Parâmetros!$B$6,0,INDEX(Parâmetros!$C$24:$C$26,MATCH(J559,Parâmetros!$A$24:$A$26,1))))</f>
        <v>10</v>
      </c>
      <c r="M559" s="31" t="n">
        <f aca="false">IF(G559="Prospecting",1,INDEX(Parâmetros!$C$32:$C$35,MATCH(J559,Parâmetros!$A$32:$A$35,1)))</f>
        <v>1</v>
      </c>
      <c r="N559" s="2" t="n">
        <f aca="false">ROUND((K559+L559)*M559,0)</f>
        <v>39</v>
      </c>
      <c r="O559" s="10" t="str">
        <f aca="false">IF(AND(G559="Engaging",J559&gt;Parâmetros!$B$6),"Sim","Não")</f>
        <v>Não</v>
      </c>
      <c r="P559" s="32" t="str">
        <f aca="false">IF(O559="Sim","R",IF(N559&gt;=Parâmetros!$B$39,"A",IF(N559&gt;=Parâmetros!$B$40,"B",IF(N559&gt;=Parâmetros!$B$41,"C","D"))))</f>
        <v>C</v>
      </c>
      <c r="Q559" s="10" t="str">
        <f aca="false">IF(F559="","Completar cadastro","")</f>
        <v/>
      </c>
      <c r="R559" s="10" t="str">
        <f aca="false">INDEX(Parâmetros!$D$39:$D$43,MATCH(P559,Parâmetros!$A$39:$A$43,0))</f>
        <v>Cadência leve, foco em qualificar</v>
      </c>
    </row>
    <row r="560" customFormat="false" ht="15" hidden="false" customHeight="false" outlineLevel="0" collapsed="false">
      <c r="A560" s="10" t="s">
        <v>798</v>
      </c>
      <c r="B560" s="10" t="s">
        <v>76</v>
      </c>
      <c r="C560" s="10" t="s">
        <v>72</v>
      </c>
      <c r="D560" s="10" t="s">
        <v>196</v>
      </c>
      <c r="E560" s="10" t="s">
        <v>50</v>
      </c>
      <c r="F560" s="10"/>
      <c r="G560" s="10" t="s">
        <v>425</v>
      </c>
      <c r="H560" s="10"/>
      <c r="I560" s="8" t="n">
        <f aca="false">INDEX(Parâmetros!$C$13:$C$19,MATCH(E560,Parâmetros!$A$13:$A$19,0))</f>
        <v>1096</v>
      </c>
      <c r="J560" s="26" t="str">
        <f aca="false">IF(H560="","",Parâmetros!$B$5-H560)</f>
        <v/>
      </c>
      <c r="K560" s="10" t="n">
        <f aca="false">INDEX(Parâmetros!$D$13:$D$19,MATCH(E560,Parâmetros!$A$13:$A$19,0))</f>
        <v>29</v>
      </c>
      <c r="L560" s="26" t="n">
        <f aca="false">IF(G560="Prospecting",Parâmetros!$B$9,IF(J560&gt;Parâmetros!$B$6,0,INDEX(Parâmetros!$C$24:$C$26,MATCH(J560,Parâmetros!$A$24:$A$26,1))))</f>
        <v>10</v>
      </c>
      <c r="M560" s="31" t="n">
        <f aca="false">IF(G560="Prospecting",1,INDEX(Parâmetros!$C$32:$C$35,MATCH(J560,Parâmetros!$A$32:$A$35,1)))</f>
        <v>1</v>
      </c>
      <c r="N560" s="2" t="n">
        <f aca="false">ROUND((K560+L560)*M560,0)</f>
        <v>39</v>
      </c>
      <c r="O560" s="10" t="str">
        <f aca="false">IF(AND(G560="Engaging",J560&gt;Parâmetros!$B$6),"Sim","Não")</f>
        <v>Não</v>
      </c>
      <c r="P560" s="32" t="str">
        <f aca="false">IF(O560="Sim","R",IF(N560&gt;=Parâmetros!$B$39,"A",IF(N560&gt;=Parâmetros!$B$40,"B",IF(N560&gt;=Parâmetros!$B$41,"C","D"))))</f>
        <v>C</v>
      </c>
      <c r="Q560" s="10" t="str">
        <f aca="false">IF(F560="","Completar cadastro","")</f>
        <v>Completar cadastro</v>
      </c>
      <c r="R560" s="10" t="str">
        <f aca="false">INDEX(Parâmetros!$D$39:$D$43,MATCH(P560,Parâmetros!$A$39:$A$43,0))</f>
        <v>Cadência leve, foco em qualificar</v>
      </c>
    </row>
    <row r="561" customFormat="false" ht="15" hidden="false" customHeight="false" outlineLevel="0" collapsed="false">
      <c r="A561" s="10" t="s">
        <v>799</v>
      </c>
      <c r="B561" s="10" t="s">
        <v>66</v>
      </c>
      <c r="C561" s="10" t="s">
        <v>65</v>
      </c>
      <c r="D561" s="10" t="s">
        <v>160</v>
      </c>
      <c r="E561" s="10" t="s">
        <v>52</v>
      </c>
      <c r="F561" s="10"/>
      <c r="G561" s="10" t="s">
        <v>162</v>
      </c>
      <c r="H561" s="30" t="n">
        <v>43013</v>
      </c>
      <c r="I561" s="8" t="n">
        <f aca="false">INDEX(Parâmetros!$C$13:$C$19,MATCH(E561,Parâmetros!$A$13:$A$19,0))</f>
        <v>55</v>
      </c>
      <c r="J561" s="26" t="n">
        <f aca="false">IF(H561="","",Parâmetros!$B$5-H561)</f>
        <v>87</v>
      </c>
      <c r="K561" s="10" t="n">
        <f aca="false">INDEX(Parâmetros!$D$13:$D$19,MATCH(E561,Parâmetros!$A$13:$A$19,0))</f>
        <v>0</v>
      </c>
      <c r="L561" s="26" t="n">
        <f aca="false">IF(G561="Prospecting",Parâmetros!$B$9,IF(J561&gt;Parâmetros!$B$6,0,INDEX(Parâmetros!$C$24:$C$26,MATCH(J561,Parâmetros!$A$24:$A$26,1))))</f>
        <v>32</v>
      </c>
      <c r="M561" s="31" t="n">
        <f aca="false">IF(G561="Prospecting",1,INDEX(Parâmetros!$C$32:$C$35,MATCH(J561,Parâmetros!$A$32:$A$35,1)))</f>
        <v>1</v>
      </c>
      <c r="N561" s="2" t="n">
        <f aca="false">ROUND((K561+L561)*M561,0)</f>
        <v>32</v>
      </c>
      <c r="O561" s="10" t="str">
        <f aca="false">IF(AND(G561="Engaging",J561&gt;Parâmetros!$B$6),"Sim","Não")</f>
        <v>Não</v>
      </c>
      <c r="P561" s="32" t="str">
        <f aca="false">IF(O561="Sim","R",IF(N561&gt;=Parâmetros!$B$39,"A",IF(N561&gt;=Parâmetros!$B$40,"B",IF(N561&gt;=Parâmetros!$B$41,"C","D"))))</f>
        <v>D</v>
      </c>
      <c r="Q561" s="10" t="str">
        <f aca="false">IF(F561="","Completar cadastro","")</f>
        <v>Completar cadastro</v>
      </c>
      <c r="R561" s="10" t="str">
        <f aca="false">INDEX(Parâmetros!$D$39:$D$43,MATCH(P561,Parâmetros!$A$39:$A$43,0))</f>
        <v>Automatizar ou vender em lote</v>
      </c>
    </row>
    <row r="562" customFormat="false" ht="15" hidden="false" customHeight="false" outlineLevel="0" collapsed="false">
      <c r="A562" s="10" t="s">
        <v>800</v>
      </c>
      <c r="B562" s="10" t="s">
        <v>66</v>
      </c>
      <c r="C562" s="10" t="s">
        <v>65</v>
      </c>
      <c r="D562" s="10" t="s">
        <v>160</v>
      </c>
      <c r="E562" s="10" t="s">
        <v>52</v>
      </c>
      <c r="F562" s="10"/>
      <c r="G562" s="10" t="s">
        <v>162</v>
      </c>
      <c r="H562" s="30" t="n">
        <v>43014</v>
      </c>
      <c r="I562" s="8" t="n">
        <f aca="false">INDEX(Parâmetros!$C$13:$C$19,MATCH(E562,Parâmetros!$A$13:$A$19,0))</f>
        <v>55</v>
      </c>
      <c r="J562" s="26" t="n">
        <f aca="false">IF(H562="","",Parâmetros!$B$5-H562)</f>
        <v>86</v>
      </c>
      <c r="K562" s="10" t="n">
        <f aca="false">INDEX(Parâmetros!$D$13:$D$19,MATCH(E562,Parâmetros!$A$13:$A$19,0))</f>
        <v>0</v>
      </c>
      <c r="L562" s="26" t="n">
        <f aca="false">IF(G562="Prospecting",Parâmetros!$B$9,IF(J562&gt;Parâmetros!$B$6,0,INDEX(Parâmetros!$C$24:$C$26,MATCH(J562,Parâmetros!$A$24:$A$26,1))))</f>
        <v>32</v>
      </c>
      <c r="M562" s="31" t="n">
        <f aca="false">IF(G562="Prospecting",1,INDEX(Parâmetros!$C$32:$C$35,MATCH(J562,Parâmetros!$A$32:$A$35,1)))</f>
        <v>1</v>
      </c>
      <c r="N562" s="2" t="n">
        <f aca="false">ROUND((K562+L562)*M562,0)</f>
        <v>32</v>
      </c>
      <c r="O562" s="10" t="str">
        <f aca="false">IF(AND(G562="Engaging",J562&gt;Parâmetros!$B$6),"Sim","Não")</f>
        <v>Não</v>
      </c>
      <c r="P562" s="32" t="str">
        <f aca="false">IF(O562="Sim","R",IF(N562&gt;=Parâmetros!$B$39,"A",IF(N562&gt;=Parâmetros!$B$40,"B",IF(N562&gt;=Parâmetros!$B$41,"C","D"))))</f>
        <v>D</v>
      </c>
      <c r="Q562" s="10" t="str">
        <f aca="false">IF(F562="","Completar cadastro","")</f>
        <v>Completar cadastro</v>
      </c>
      <c r="R562" s="10" t="str">
        <f aca="false">INDEX(Parâmetros!$D$39:$D$43,MATCH(P562,Parâmetros!$A$39:$A$43,0))</f>
        <v>Automatizar ou vender em lote</v>
      </c>
    </row>
    <row r="563" customFormat="false" ht="15" hidden="false" customHeight="false" outlineLevel="0" collapsed="false">
      <c r="A563" s="10" t="s">
        <v>801</v>
      </c>
      <c r="B563" s="10" t="s">
        <v>68</v>
      </c>
      <c r="C563" s="10" t="s">
        <v>65</v>
      </c>
      <c r="D563" s="10" t="s">
        <v>160</v>
      </c>
      <c r="E563" s="10" t="s">
        <v>52</v>
      </c>
      <c r="F563" s="10"/>
      <c r="G563" s="10" t="s">
        <v>162</v>
      </c>
      <c r="H563" s="30" t="n">
        <v>43016</v>
      </c>
      <c r="I563" s="8" t="n">
        <f aca="false">INDEX(Parâmetros!$C$13:$C$19,MATCH(E563,Parâmetros!$A$13:$A$19,0))</f>
        <v>55</v>
      </c>
      <c r="J563" s="26" t="n">
        <f aca="false">IF(H563="","",Parâmetros!$B$5-H563)</f>
        <v>84</v>
      </c>
      <c r="K563" s="10" t="n">
        <f aca="false">INDEX(Parâmetros!$D$13:$D$19,MATCH(E563,Parâmetros!$A$13:$A$19,0))</f>
        <v>0</v>
      </c>
      <c r="L563" s="26" t="n">
        <f aca="false">IF(G563="Prospecting",Parâmetros!$B$9,IF(J563&gt;Parâmetros!$B$6,0,INDEX(Parâmetros!$C$24:$C$26,MATCH(J563,Parâmetros!$A$24:$A$26,1))))</f>
        <v>32</v>
      </c>
      <c r="M563" s="31" t="n">
        <f aca="false">IF(G563="Prospecting",1,INDEX(Parâmetros!$C$32:$C$35,MATCH(J563,Parâmetros!$A$32:$A$35,1)))</f>
        <v>1</v>
      </c>
      <c r="N563" s="2" t="n">
        <f aca="false">ROUND((K563+L563)*M563,0)</f>
        <v>32</v>
      </c>
      <c r="O563" s="10" t="str">
        <f aca="false">IF(AND(G563="Engaging",J563&gt;Parâmetros!$B$6),"Sim","Não")</f>
        <v>Não</v>
      </c>
      <c r="P563" s="32" t="str">
        <f aca="false">IF(O563="Sim","R",IF(N563&gt;=Parâmetros!$B$39,"A",IF(N563&gt;=Parâmetros!$B$40,"B",IF(N563&gt;=Parâmetros!$B$41,"C","D"))))</f>
        <v>D</v>
      </c>
      <c r="Q563" s="10" t="str">
        <f aca="false">IF(F563="","Completar cadastro","")</f>
        <v>Completar cadastro</v>
      </c>
      <c r="R563" s="10" t="str">
        <f aca="false">INDEX(Parâmetros!$D$39:$D$43,MATCH(P563,Parâmetros!$A$39:$A$43,0))</f>
        <v>Automatizar ou vender em lote</v>
      </c>
    </row>
    <row r="564" customFormat="false" ht="15" hidden="false" customHeight="false" outlineLevel="0" collapsed="false">
      <c r="A564" s="10" t="s">
        <v>802</v>
      </c>
      <c r="B564" s="10" t="s">
        <v>97</v>
      </c>
      <c r="C564" s="10" t="s">
        <v>92</v>
      </c>
      <c r="D564" s="10" t="s">
        <v>160</v>
      </c>
      <c r="E564" s="10" t="s">
        <v>52</v>
      </c>
      <c r="F564" s="10"/>
      <c r="G564" s="10" t="s">
        <v>162</v>
      </c>
      <c r="H564" s="30" t="n">
        <v>43016</v>
      </c>
      <c r="I564" s="8" t="n">
        <f aca="false">INDEX(Parâmetros!$C$13:$C$19,MATCH(E564,Parâmetros!$A$13:$A$19,0))</f>
        <v>55</v>
      </c>
      <c r="J564" s="26" t="n">
        <f aca="false">IF(H564="","",Parâmetros!$B$5-H564)</f>
        <v>84</v>
      </c>
      <c r="K564" s="10" t="n">
        <f aca="false">INDEX(Parâmetros!$D$13:$D$19,MATCH(E564,Parâmetros!$A$13:$A$19,0))</f>
        <v>0</v>
      </c>
      <c r="L564" s="26" t="n">
        <f aca="false">IF(G564="Prospecting",Parâmetros!$B$9,IF(J564&gt;Parâmetros!$B$6,0,INDEX(Parâmetros!$C$24:$C$26,MATCH(J564,Parâmetros!$A$24:$A$26,1))))</f>
        <v>32</v>
      </c>
      <c r="M564" s="31" t="n">
        <f aca="false">IF(G564="Prospecting",1,INDEX(Parâmetros!$C$32:$C$35,MATCH(J564,Parâmetros!$A$32:$A$35,1)))</f>
        <v>1</v>
      </c>
      <c r="N564" s="2" t="n">
        <f aca="false">ROUND((K564+L564)*M564,0)</f>
        <v>32</v>
      </c>
      <c r="O564" s="10" t="str">
        <f aca="false">IF(AND(G564="Engaging",J564&gt;Parâmetros!$B$6),"Sim","Não")</f>
        <v>Não</v>
      </c>
      <c r="P564" s="32" t="str">
        <f aca="false">IF(O564="Sim","R",IF(N564&gt;=Parâmetros!$B$39,"A",IF(N564&gt;=Parâmetros!$B$40,"B",IF(N564&gt;=Parâmetros!$B$41,"C","D"))))</f>
        <v>D</v>
      </c>
      <c r="Q564" s="10" t="str">
        <f aca="false">IF(F564="","Completar cadastro","")</f>
        <v>Completar cadastro</v>
      </c>
      <c r="R564" s="10" t="str">
        <f aca="false">INDEX(Parâmetros!$D$39:$D$43,MATCH(P564,Parâmetros!$A$39:$A$43,0))</f>
        <v>Automatizar ou vender em lote</v>
      </c>
    </row>
    <row r="565" customFormat="false" ht="15" hidden="false" customHeight="false" outlineLevel="0" collapsed="false">
      <c r="A565" s="10" t="s">
        <v>803</v>
      </c>
      <c r="B565" s="10" t="s">
        <v>68</v>
      </c>
      <c r="C565" s="10" t="s">
        <v>65</v>
      </c>
      <c r="D565" s="10" t="s">
        <v>160</v>
      </c>
      <c r="E565" s="10" t="s">
        <v>52</v>
      </c>
      <c r="F565" s="10"/>
      <c r="G565" s="10" t="s">
        <v>162</v>
      </c>
      <c r="H565" s="30" t="n">
        <v>43017</v>
      </c>
      <c r="I565" s="8" t="n">
        <f aca="false">INDEX(Parâmetros!$C$13:$C$19,MATCH(E565,Parâmetros!$A$13:$A$19,0))</f>
        <v>55</v>
      </c>
      <c r="J565" s="26" t="n">
        <f aca="false">IF(H565="","",Parâmetros!$B$5-H565)</f>
        <v>83</v>
      </c>
      <c r="K565" s="10" t="n">
        <f aca="false">INDEX(Parâmetros!$D$13:$D$19,MATCH(E565,Parâmetros!$A$13:$A$19,0))</f>
        <v>0</v>
      </c>
      <c r="L565" s="26" t="n">
        <f aca="false">IF(G565="Prospecting",Parâmetros!$B$9,IF(J565&gt;Parâmetros!$B$6,0,INDEX(Parâmetros!$C$24:$C$26,MATCH(J565,Parâmetros!$A$24:$A$26,1))))</f>
        <v>32</v>
      </c>
      <c r="M565" s="31" t="n">
        <f aca="false">IF(G565="Prospecting",1,INDEX(Parâmetros!$C$32:$C$35,MATCH(J565,Parâmetros!$A$32:$A$35,1)))</f>
        <v>1</v>
      </c>
      <c r="N565" s="2" t="n">
        <f aca="false">ROUND((K565+L565)*M565,0)</f>
        <v>32</v>
      </c>
      <c r="O565" s="10" t="str">
        <f aca="false">IF(AND(G565="Engaging",J565&gt;Parâmetros!$B$6),"Sim","Não")</f>
        <v>Não</v>
      </c>
      <c r="P565" s="32" t="str">
        <f aca="false">IF(O565="Sim","R",IF(N565&gt;=Parâmetros!$B$39,"A",IF(N565&gt;=Parâmetros!$B$40,"B",IF(N565&gt;=Parâmetros!$B$41,"C","D"))))</f>
        <v>D</v>
      </c>
      <c r="Q565" s="10" t="str">
        <f aca="false">IF(F565="","Completar cadastro","")</f>
        <v>Completar cadastro</v>
      </c>
      <c r="R565" s="10" t="str">
        <f aca="false">INDEX(Parâmetros!$D$39:$D$43,MATCH(P565,Parâmetros!$A$39:$A$43,0))</f>
        <v>Automatizar ou vender em lote</v>
      </c>
    </row>
    <row r="566" customFormat="false" ht="15" hidden="false" customHeight="false" outlineLevel="0" collapsed="false">
      <c r="A566" s="10" t="s">
        <v>804</v>
      </c>
      <c r="B566" s="10" t="s">
        <v>68</v>
      </c>
      <c r="C566" s="10" t="s">
        <v>65</v>
      </c>
      <c r="D566" s="10" t="s">
        <v>160</v>
      </c>
      <c r="E566" s="10" t="s">
        <v>52</v>
      </c>
      <c r="F566" s="10"/>
      <c r="G566" s="10" t="s">
        <v>162</v>
      </c>
      <c r="H566" s="30" t="n">
        <v>43019</v>
      </c>
      <c r="I566" s="8" t="n">
        <f aca="false">INDEX(Parâmetros!$C$13:$C$19,MATCH(E566,Parâmetros!$A$13:$A$19,0))</f>
        <v>55</v>
      </c>
      <c r="J566" s="26" t="n">
        <f aca="false">IF(H566="","",Parâmetros!$B$5-H566)</f>
        <v>81</v>
      </c>
      <c r="K566" s="10" t="n">
        <f aca="false">INDEX(Parâmetros!$D$13:$D$19,MATCH(E566,Parâmetros!$A$13:$A$19,0))</f>
        <v>0</v>
      </c>
      <c r="L566" s="26" t="n">
        <f aca="false">IF(G566="Prospecting",Parâmetros!$B$9,IF(J566&gt;Parâmetros!$B$6,0,INDEX(Parâmetros!$C$24:$C$26,MATCH(J566,Parâmetros!$A$24:$A$26,1))))</f>
        <v>32</v>
      </c>
      <c r="M566" s="31" t="n">
        <f aca="false">IF(G566="Prospecting",1,INDEX(Parâmetros!$C$32:$C$35,MATCH(J566,Parâmetros!$A$32:$A$35,1)))</f>
        <v>1</v>
      </c>
      <c r="N566" s="2" t="n">
        <f aca="false">ROUND((K566+L566)*M566,0)</f>
        <v>32</v>
      </c>
      <c r="O566" s="10" t="str">
        <f aca="false">IF(AND(G566="Engaging",J566&gt;Parâmetros!$B$6),"Sim","Não")</f>
        <v>Não</v>
      </c>
      <c r="P566" s="32" t="str">
        <f aca="false">IF(O566="Sim","R",IF(N566&gt;=Parâmetros!$B$39,"A",IF(N566&gt;=Parâmetros!$B$40,"B",IF(N566&gt;=Parâmetros!$B$41,"C","D"))))</f>
        <v>D</v>
      </c>
      <c r="Q566" s="10" t="str">
        <f aca="false">IF(F566="","Completar cadastro","")</f>
        <v>Completar cadastro</v>
      </c>
      <c r="R566" s="10" t="str">
        <f aca="false">INDEX(Parâmetros!$D$39:$D$43,MATCH(P566,Parâmetros!$A$39:$A$43,0))</f>
        <v>Automatizar ou vender em lote</v>
      </c>
    </row>
    <row r="567" customFormat="false" ht="15" hidden="false" customHeight="false" outlineLevel="0" collapsed="false">
      <c r="A567" s="10" t="s">
        <v>805</v>
      </c>
      <c r="B567" s="10" t="s">
        <v>69</v>
      </c>
      <c r="C567" s="10" t="s">
        <v>65</v>
      </c>
      <c r="D567" s="10" t="s">
        <v>160</v>
      </c>
      <c r="E567" s="10" t="s">
        <v>52</v>
      </c>
      <c r="F567" s="10"/>
      <c r="G567" s="10" t="s">
        <v>162</v>
      </c>
      <c r="H567" s="30" t="n">
        <v>43026</v>
      </c>
      <c r="I567" s="8" t="n">
        <f aca="false">INDEX(Parâmetros!$C$13:$C$19,MATCH(E567,Parâmetros!$A$13:$A$19,0))</f>
        <v>55</v>
      </c>
      <c r="J567" s="26" t="n">
        <f aca="false">IF(H567="","",Parâmetros!$B$5-H567)</f>
        <v>74</v>
      </c>
      <c r="K567" s="10" t="n">
        <f aca="false">INDEX(Parâmetros!$D$13:$D$19,MATCH(E567,Parâmetros!$A$13:$A$19,0))</f>
        <v>0</v>
      </c>
      <c r="L567" s="26" t="n">
        <f aca="false">IF(G567="Prospecting",Parâmetros!$B$9,IF(J567&gt;Parâmetros!$B$6,0,INDEX(Parâmetros!$C$24:$C$26,MATCH(J567,Parâmetros!$A$24:$A$26,1))))</f>
        <v>32</v>
      </c>
      <c r="M567" s="31" t="n">
        <f aca="false">IF(G567="Prospecting",1,INDEX(Parâmetros!$C$32:$C$35,MATCH(J567,Parâmetros!$A$32:$A$35,1)))</f>
        <v>1</v>
      </c>
      <c r="N567" s="2" t="n">
        <f aca="false">ROUND((K567+L567)*M567,0)</f>
        <v>32</v>
      </c>
      <c r="O567" s="10" t="str">
        <f aca="false">IF(AND(G567="Engaging",J567&gt;Parâmetros!$B$6),"Sim","Não")</f>
        <v>Não</v>
      </c>
      <c r="P567" s="32" t="str">
        <f aca="false">IF(O567="Sim","R",IF(N567&gt;=Parâmetros!$B$39,"A",IF(N567&gt;=Parâmetros!$B$40,"B",IF(N567&gt;=Parâmetros!$B$41,"C","D"))))</f>
        <v>D</v>
      </c>
      <c r="Q567" s="10" t="str">
        <f aca="false">IF(F567="","Completar cadastro","")</f>
        <v>Completar cadastro</v>
      </c>
      <c r="R567" s="10" t="str">
        <f aca="false">INDEX(Parâmetros!$D$39:$D$43,MATCH(P567,Parâmetros!$A$39:$A$43,0))</f>
        <v>Automatizar ou vender em lote</v>
      </c>
    </row>
    <row r="568" customFormat="false" ht="15" hidden="false" customHeight="false" outlineLevel="0" collapsed="false">
      <c r="A568" s="10" t="s">
        <v>806</v>
      </c>
      <c r="B568" s="10" t="s">
        <v>68</v>
      </c>
      <c r="C568" s="10" t="s">
        <v>65</v>
      </c>
      <c r="D568" s="10" t="s">
        <v>160</v>
      </c>
      <c r="E568" s="10" t="s">
        <v>52</v>
      </c>
      <c r="F568" s="10"/>
      <c r="G568" s="10" t="s">
        <v>162</v>
      </c>
      <c r="H568" s="30" t="n">
        <v>43027</v>
      </c>
      <c r="I568" s="8" t="n">
        <f aca="false">INDEX(Parâmetros!$C$13:$C$19,MATCH(E568,Parâmetros!$A$13:$A$19,0))</f>
        <v>55</v>
      </c>
      <c r="J568" s="26" t="n">
        <f aca="false">IF(H568="","",Parâmetros!$B$5-H568)</f>
        <v>73</v>
      </c>
      <c r="K568" s="10" t="n">
        <f aca="false">INDEX(Parâmetros!$D$13:$D$19,MATCH(E568,Parâmetros!$A$13:$A$19,0))</f>
        <v>0</v>
      </c>
      <c r="L568" s="26" t="n">
        <f aca="false">IF(G568="Prospecting",Parâmetros!$B$9,IF(J568&gt;Parâmetros!$B$6,0,INDEX(Parâmetros!$C$24:$C$26,MATCH(J568,Parâmetros!$A$24:$A$26,1))))</f>
        <v>32</v>
      </c>
      <c r="M568" s="31" t="n">
        <f aca="false">IF(G568="Prospecting",1,INDEX(Parâmetros!$C$32:$C$35,MATCH(J568,Parâmetros!$A$32:$A$35,1)))</f>
        <v>1</v>
      </c>
      <c r="N568" s="2" t="n">
        <f aca="false">ROUND((K568+L568)*M568,0)</f>
        <v>32</v>
      </c>
      <c r="O568" s="10" t="str">
        <f aca="false">IF(AND(G568="Engaging",J568&gt;Parâmetros!$B$6),"Sim","Não")</f>
        <v>Não</v>
      </c>
      <c r="P568" s="32" t="str">
        <f aca="false">IF(O568="Sim","R",IF(N568&gt;=Parâmetros!$B$39,"A",IF(N568&gt;=Parâmetros!$B$40,"B",IF(N568&gt;=Parâmetros!$B$41,"C","D"))))</f>
        <v>D</v>
      </c>
      <c r="Q568" s="10" t="str">
        <f aca="false">IF(F568="","Completar cadastro","")</f>
        <v>Completar cadastro</v>
      </c>
      <c r="R568" s="10" t="str">
        <f aca="false">INDEX(Parâmetros!$D$39:$D$43,MATCH(P568,Parâmetros!$A$39:$A$43,0))</f>
        <v>Automatizar ou vender em lote</v>
      </c>
    </row>
    <row r="569" customFormat="false" ht="15" hidden="false" customHeight="false" outlineLevel="0" collapsed="false">
      <c r="A569" s="10" t="s">
        <v>807</v>
      </c>
      <c r="B569" s="10" t="s">
        <v>68</v>
      </c>
      <c r="C569" s="10" t="s">
        <v>65</v>
      </c>
      <c r="D569" s="10" t="s">
        <v>160</v>
      </c>
      <c r="E569" s="10" t="s">
        <v>52</v>
      </c>
      <c r="F569" s="10"/>
      <c r="G569" s="10" t="s">
        <v>162</v>
      </c>
      <c r="H569" s="30" t="n">
        <v>43027</v>
      </c>
      <c r="I569" s="8" t="n">
        <f aca="false">INDEX(Parâmetros!$C$13:$C$19,MATCH(E569,Parâmetros!$A$13:$A$19,0))</f>
        <v>55</v>
      </c>
      <c r="J569" s="26" t="n">
        <f aca="false">IF(H569="","",Parâmetros!$B$5-H569)</f>
        <v>73</v>
      </c>
      <c r="K569" s="10" t="n">
        <f aca="false">INDEX(Parâmetros!$D$13:$D$19,MATCH(E569,Parâmetros!$A$13:$A$19,0))</f>
        <v>0</v>
      </c>
      <c r="L569" s="26" t="n">
        <f aca="false">IF(G569="Prospecting",Parâmetros!$B$9,IF(J569&gt;Parâmetros!$B$6,0,INDEX(Parâmetros!$C$24:$C$26,MATCH(J569,Parâmetros!$A$24:$A$26,1))))</f>
        <v>32</v>
      </c>
      <c r="M569" s="31" t="n">
        <f aca="false">IF(G569="Prospecting",1,INDEX(Parâmetros!$C$32:$C$35,MATCH(J569,Parâmetros!$A$32:$A$35,1)))</f>
        <v>1</v>
      </c>
      <c r="N569" s="2" t="n">
        <f aca="false">ROUND((K569+L569)*M569,0)</f>
        <v>32</v>
      </c>
      <c r="O569" s="10" t="str">
        <f aca="false">IF(AND(G569="Engaging",J569&gt;Parâmetros!$B$6),"Sim","Não")</f>
        <v>Não</v>
      </c>
      <c r="P569" s="32" t="str">
        <f aca="false">IF(O569="Sim","R",IF(N569&gt;=Parâmetros!$B$39,"A",IF(N569&gt;=Parâmetros!$B$40,"B",IF(N569&gt;=Parâmetros!$B$41,"C","D"))))</f>
        <v>D</v>
      </c>
      <c r="Q569" s="10" t="str">
        <f aca="false">IF(F569="","Completar cadastro","")</f>
        <v>Completar cadastro</v>
      </c>
      <c r="R569" s="10" t="str">
        <f aca="false">INDEX(Parâmetros!$D$39:$D$43,MATCH(P569,Parâmetros!$A$39:$A$43,0))</f>
        <v>Automatizar ou vender em lote</v>
      </c>
    </row>
    <row r="570" customFormat="false" ht="15" hidden="false" customHeight="false" outlineLevel="0" collapsed="false">
      <c r="A570" s="10" t="s">
        <v>808</v>
      </c>
      <c r="B570" s="10" t="s">
        <v>57</v>
      </c>
      <c r="C570" s="10" t="s">
        <v>58</v>
      </c>
      <c r="D570" s="10" t="s">
        <v>165</v>
      </c>
      <c r="E570" s="10" t="s">
        <v>52</v>
      </c>
      <c r="F570" s="10"/>
      <c r="G570" s="10" t="s">
        <v>162</v>
      </c>
      <c r="H570" s="30" t="n">
        <v>43032</v>
      </c>
      <c r="I570" s="8" t="n">
        <f aca="false">INDEX(Parâmetros!$C$13:$C$19,MATCH(E570,Parâmetros!$A$13:$A$19,0))</f>
        <v>55</v>
      </c>
      <c r="J570" s="26" t="n">
        <f aca="false">IF(H570="","",Parâmetros!$B$5-H570)</f>
        <v>68</v>
      </c>
      <c r="K570" s="10" t="n">
        <f aca="false">INDEX(Parâmetros!$D$13:$D$19,MATCH(E570,Parâmetros!$A$13:$A$19,0))</f>
        <v>0</v>
      </c>
      <c r="L570" s="26" t="n">
        <f aca="false">IF(G570="Prospecting",Parâmetros!$B$9,IF(J570&gt;Parâmetros!$B$6,0,INDEX(Parâmetros!$C$24:$C$26,MATCH(J570,Parâmetros!$A$24:$A$26,1))))</f>
        <v>32</v>
      </c>
      <c r="M570" s="31" t="n">
        <f aca="false">IF(G570="Prospecting",1,INDEX(Parâmetros!$C$32:$C$35,MATCH(J570,Parâmetros!$A$32:$A$35,1)))</f>
        <v>1</v>
      </c>
      <c r="N570" s="2" t="n">
        <f aca="false">ROUND((K570+L570)*M570,0)</f>
        <v>32</v>
      </c>
      <c r="O570" s="10" t="str">
        <f aca="false">IF(AND(G570="Engaging",J570&gt;Parâmetros!$B$6),"Sim","Não")</f>
        <v>Não</v>
      </c>
      <c r="P570" s="32" t="str">
        <f aca="false">IF(O570="Sim","R",IF(N570&gt;=Parâmetros!$B$39,"A",IF(N570&gt;=Parâmetros!$B$40,"B",IF(N570&gt;=Parâmetros!$B$41,"C","D"))))</f>
        <v>D</v>
      </c>
      <c r="Q570" s="10" t="str">
        <f aca="false">IF(F570="","Completar cadastro","")</f>
        <v>Completar cadastro</v>
      </c>
      <c r="R570" s="10" t="str">
        <f aca="false">INDEX(Parâmetros!$D$39:$D$43,MATCH(P570,Parâmetros!$A$39:$A$43,0))</f>
        <v>Automatizar ou vender em lote</v>
      </c>
    </row>
    <row r="571" customFormat="false" ht="15" hidden="false" customHeight="false" outlineLevel="0" collapsed="false">
      <c r="A571" s="10" t="s">
        <v>809</v>
      </c>
      <c r="B571" s="10" t="s">
        <v>67</v>
      </c>
      <c r="C571" s="10" t="s">
        <v>65</v>
      </c>
      <c r="D571" s="10" t="s">
        <v>160</v>
      </c>
      <c r="E571" s="10" t="s">
        <v>52</v>
      </c>
      <c r="F571" s="10"/>
      <c r="G571" s="10" t="s">
        <v>162</v>
      </c>
      <c r="H571" s="30" t="n">
        <v>43038</v>
      </c>
      <c r="I571" s="8" t="n">
        <f aca="false">INDEX(Parâmetros!$C$13:$C$19,MATCH(E571,Parâmetros!$A$13:$A$19,0))</f>
        <v>55</v>
      </c>
      <c r="J571" s="26" t="n">
        <f aca="false">IF(H571="","",Parâmetros!$B$5-H571)</f>
        <v>62</v>
      </c>
      <c r="K571" s="10" t="n">
        <f aca="false">INDEX(Parâmetros!$D$13:$D$19,MATCH(E571,Parâmetros!$A$13:$A$19,0))</f>
        <v>0</v>
      </c>
      <c r="L571" s="26" t="n">
        <f aca="false">IF(G571="Prospecting",Parâmetros!$B$9,IF(J571&gt;Parâmetros!$B$6,0,INDEX(Parâmetros!$C$24:$C$26,MATCH(J571,Parâmetros!$A$24:$A$26,1))))</f>
        <v>32</v>
      </c>
      <c r="M571" s="31" t="n">
        <f aca="false">IF(G571="Prospecting",1,INDEX(Parâmetros!$C$32:$C$35,MATCH(J571,Parâmetros!$A$32:$A$35,1)))</f>
        <v>1</v>
      </c>
      <c r="N571" s="2" t="n">
        <f aca="false">ROUND((K571+L571)*M571,0)</f>
        <v>32</v>
      </c>
      <c r="O571" s="10" t="str">
        <f aca="false">IF(AND(G571="Engaging",J571&gt;Parâmetros!$B$6),"Sim","Não")</f>
        <v>Não</v>
      </c>
      <c r="P571" s="32" t="str">
        <f aca="false">IF(O571="Sim","R",IF(N571&gt;=Parâmetros!$B$39,"A",IF(N571&gt;=Parâmetros!$B$40,"B",IF(N571&gt;=Parâmetros!$B$41,"C","D"))))</f>
        <v>D</v>
      </c>
      <c r="Q571" s="10" t="str">
        <f aca="false">IF(F571="","Completar cadastro","")</f>
        <v>Completar cadastro</v>
      </c>
      <c r="R571" s="10" t="str">
        <f aca="false">INDEX(Parâmetros!$D$39:$D$43,MATCH(P571,Parâmetros!$A$39:$A$43,0))</f>
        <v>Automatizar ou vender em lote</v>
      </c>
    </row>
    <row r="572" customFormat="false" ht="15" hidden="false" customHeight="false" outlineLevel="0" collapsed="false">
      <c r="A572" s="10" t="s">
        <v>810</v>
      </c>
      <c r="B572" s="10" t="s">
        <v>66</v>
      </c>
      <c r="C572" s="10" t="s">
        <v>65</v>
      </c>
      <c r="D572" s="10" t="s">
        <v>160</v>
      </c>
      <c r="E572" s="10" t="s">
        <v>52</v>
      </c>
      <c r="F572" s="10"/>
      <c r="G572" s="10" t="s">
        <v>162</v>
      </c>
      <c r="H572" s="30" t="n">
        <v>43039</v>
      </c>
      <c r="I572" s="8" t="n">
        <f aca="false">INDEX(Parâmetros!$C$13:$C$19,MATCH(E572,Parâmetros!$A$13:$A$19,0))</f>
        <v>55</v>
      </c>
      <c r="J572" s="26" t="n">
        <f aca="false">IF(H572="","",Parâmetros!$B$5-H572)</f>
        <v>61</v>
      </c>
      <c r="K572" s="10" t="n">
        <f aca="false">INDEX(Parâmetros!$D$13:$D$19,MATCH(E572,Parâmetros!$A$13:$A$19,0))</f>
        <v>0</v>
      </c>
      <c r="L572" s="26" t="n">
        <f aca="false">IF(G572="Prospecting",Parâmetros!$B$9,IF(J572&gt;Parâmetros!$B$6,0,INDEX(Parâmetros!$C$24:$C$26,MATCH(J572,Parâmetros!$A$24:$A$26,1))))</f>
        <v>32</v>
      </c>
      <c r="M572" s="31" t="n">
        <f aca="false">IF(G572="Prospecting",1,INDEX(Parâmetros!$C$32:$C$35,MATCH(J572,Parâmetros!$A$32:$A$35,1)))</f>
        <v>1</v>
      </c>
      <c r="N572" s="2" t="n">
        <f aca="false">ROUND((K572+L572)*M572,0)</f>
        <v>32</v>
      </c>
      <c r="O572" s="10" t="str">
        <f aca="false">IF(AND(G572="Engaging",J572&gt;Parâmetros!$B$6),"Sim","Não")</f>
        <v>Não</v>
      </c>
      <c r="P572" s="32" t="str">
        <f aca="false">IF(O572="Sim","R",IF(N572&gt;=Parâmetros!$B$39,"A",IF(N572&gt;=Parâmetros!$B$40,"B",IF(N572&gt;=Parâmetros!$B$41,"C","D"))))</f>
        <v>D</v>
      </c>
      <c r="Q572" s="10" t="str">
        <f aca="false">IF(F572="","Completar cadastro","")</f>
        <v>Completar cadastro</v>
      </c>
      <c r="R572" s="10" t="str">
        <f aca="false">INDEX(Parâmetros!$D$39:$D$43,MATCH(P572,Parâmetros!$A$39:$A$43,0))</f>
        <v>Automatizar ou vender em lote</v>
      </c>
    </row>
    <row r="573" customFormat="false" ht="15" hidden="false" customHeight="false" outlineLevel="0" collapsed="false">
      <c r="A573" s="10" t="s">
        <v>811</v>
      </c>
      <c r="B573" s="10" t="s">
        <v>62</v>
      </c>
      <c r="C573" s="10" t="s">
        <v>58</v>
      </c>
      <c r="D573" s="10" t="s">
        <v>165</v>
      </c>
      <c r="E573" s="10" t="s">
        <v>52</v>
      </c>
      <c r="F573" s="10"/>
      <c r="G573" s="10" t="s">
        <v>162</v>
      </c>
      <c r="H573" s="30" t="n">
        <v>43040</v>
      </c>
      <c r="I573" s="8" t="n">
        <f aca="false">INDEX(Parâmetros!$C$13:$C$19,MATCH(E573,Parâmetros!$A$13:$A$19,0))</f>
        <v>55</v>
      </c>
      <c r="J573" s="26" t="n">
        <f aca="false">IF(H573="","",Parâmetros!$B$5-H573)</f>
        <v>60</v>
      </c>
      <c r="K573" s="10" t="n">
        <f aca="false">INDEX(Parâmetros!$D$13:$D$19,MATCH(E573,Parâmetros!$A$13:$A$19,0))</f>
        <v>0</v>
      </c>
      <c r="L573" s="26" t="n">
        <f aca="false">IF(G573="Prospecting",Parâmetros!$B$9,IF(J573&gt;Parâmetros!$B$6,0,INDEX(Parâmetros!$C$24:$C$26,MATCH(J573,Parâmetros!$A$24:$A$26,1))))</f>
        <v>32</v>
      </c>
      <c r="M573" s="31" t="n">
        <f aca="false">IF(G573="Prospecting",1,INDEX(Parâmetros!$C$32:$C$35,MATCH(J573,Parâmetros!$A$32:$A$35,1)))</f>
        <v>1</v>
      </c>
      <c r="N573" s="2" t="n">
        <f aca="false">ROUND((K573+L573)*M573,0)</f>
        <v>32</v>
      </c>
      <c r="O573" s="10" t="str">
        <f aca="false">IF(AND(G573="Engaging",J573&gt;Parâmetros!$B$6),"Sim","Não")</f>
        <v>Não</v>
      </c>
      <c r="P573" s="32" t="str">
        <f aca="false">IF(O573="Sim","R",IF(N573&gt;=Parâmetros!$B$39,"A",IF(N573&gt;=Parâmetros!$B$40,"B",IF(N573&gt;=Parâmetros!$B$41,"C","D"))))</f>
        <v>D</v>
      </c>
      <c r="Q573" s="10" t="str">
        <f aca="false">IF(F573="","Completar cadastro","")</f>
        <v>Completar cadastro</v>
      </c>
      <c r="R573" s="10" t="str">
        <f aca="false">INDEX(Parâmetros!$D$39:$D$43,MATCH(P573,Parâmetros!$A$39:$A$43,0))</f>
        <v>Automatizar ou vender em lote</v>
      </c>
    </row>
    <row r="574" customFormat="false" ht="15" hidden="false" customHeight="false" outlineLevel="0" collapsed="false">
      <c r="A574" s="10" t="s">
        <v>812</v>
      </c>
      <c r="B574" s="10" t="s">
        <v>57</v>
      </c>
      <c r="C574" s="10" t="s">
        <v>58</v>
      </c>
      <c r="D574" s="10" t="s">
        <v>165</v>
      </c>
      <c r="E574" s="10" t="s">
        <v>52</v>
      </c>
      <c r="F574" s="10"/>
      <c r="G574" s="10" t="s">
        <v>162</v>
      </c>
      <c r="H574" s="30" t="n">
        <v>43041</v>
      </c>
      <c r="I574" s="8" t="n">
        <f aca="false">INDEX(Parâmetros!$C$13:$C$19,MATCH(E574,Parâmetros!$A$13:$A$19,0))</f>
        <v>55</v>
      </c>
      <c r="J574" s="26" t="n">
        <f aca="false">IF(H574="","",Parâmetros!$B$5-H574)</f>
        <v>59</v>
      </c>
      <c r="K574" s="10" t="n">
        <f aca="false">INDEX(Parâmetros!$D$13:$D$19,MATCH(E574,Parâmetros!$A$13:$A$19,0))</f>
        <v>0</v>
      </c>
      <c r="L574" s="26" t="n">
        <f aca="false">IF(G574="Prospecting",Parâmetros!$B$9,IF(J574&gt;Parâmetros!$B$6,0,INDEX(Parâmetros!$C$24:$C$26,MATCH(J574,Parâmetros!$A$24:$A$26,1))))</f>
        <v>32</v>
      </c>
      <c r="M574" s="31" t="n">
        <f aca="false">IF(G574="Prospecting",1,INDEX(Parâmetros!$C$32:$C$35,MATCH(J574,Parâmetros!$A$32:$A$35,1)))</f>
        <v>1</v>
      </c>
      <c r="N574" s="2" t="n">
        <f aca="false">ROUND((K574+L574)*M574,0)</f>
        <v>32</v>
      </c>
      <c r="O574" s="10" t="str">
        <f aca="false">IF(AND(G574="Engaging",J574&gt;Parâmetros!$B$6),"Sim","Não")</f>
        <v>Não</v>
      </c>
      <c r="P574" s="32" t="str">
        <f aca="false">IF(O574="Sim","R",IF(N574&gt;=Parâmetros!$B$39,"A",IF(N574&gt;=Parâmetros!$B$40,"B",IF(N574&gt;=Parâmetros!$B$41,"C","D"))))</f>
        <v>D</v>
      </c>
      <c r="Q574" s="10" t="str">
        <f aca="false">IF(F574="","Completar cadastro","")</f>
        <v>Completar cadastro</v>
      </c>
      <c r="R574" s="10" t="str">
        <f aca="false">INDEX(Parâmetros!$D$39:$D$43,MATCH(P574,Parâmetros!$A$39:$A$43,0))</f>
        <v>Automatizar ou vender em lote</v>
      </c>
    </row>
    <row r="575" customFormat="false" ht="15" hidden="false" customHeight="false" outlineLevel="0" collapsed="false">
      <c r="A575" s="10" t="s">
        <v>813</v>
      </c>
      <c r="B575" s="10" t="s">
        <v>86</v>
      </c>
      <c r="C575" s="10" t="s">
        <v>85</v>
      </c>
      <c r="D575" s="10" t="s">
        <v>165</v>
      </c>
      <c r="E575" s="10" t="s">
        <v>52</v>
      </c>
      <c r="F575" s="10"/>
      <c r="G575" s="10" t="s">
        <v>162</v>
      </c>
      <c r="H575" s="30" t="n">
        <v>43044</v>
      </c>
      <c r="I575" s="8" t="n">
        <f aca="false">INDEX(Parâmetros!$C$13:$C$19,MATCH(E575,Parâmetros!$A$13:$A$19,0))</f>
        <v>55</v>
      </c>
      <c r="J575" s="26" t="n">
        <f aca="false">IF(H575="","",Parâmetros!$B$5-H575)</f>
        <v>56</v>
      </c>
      <c r="K575" s="10" t="n">
        <f aca="false">INDEX(Parâmetros!$D$13:$D$19,MATCH(E575,Parâmetros!$A$13:$A$19,0))</f>
        <v>0</v>
      </c>
      <c r="L575" s="26" t="n">
        <f aca="false">IF(G575="Prospecting",Parâmetros!$B$9,IF(J575&gt;Parâmetros!$B$6,0,INDEX(Parâmetros!$C$24:$C$26,MATCH(J575,Parâmetros!$A$24:$A$26,1))))</f>
        <v>32</v>
      </c>
      <c r="M575" s="31" t="n">
        <f aca="false">IF(G575="Prospecting",1,INDEX(Parâmetros!$C$32:$C$35,MATCH(J575,Parâmetros!$A$32:$A$35,1)))</f>
        <v>1</v>
      </c>
      <c r="N575" s="2" t="n">
        <f aca="false">ROUND((K575+L575)*M575,0)</f>
        <v>32</v>
      </c>
      <c r="O575" s="10" t="str">
        <f aca="false">IF(AND(G575="Engaging",J575&gt;Parâmetros!$B$6),"Sim","Não")</f>
        <v>Não</v>
      </c>
      <c r="P575" s="32" t="str">
        <f aca="false">IF(O575="Sim","R",IF(N575&gt;=Parâmetros!$B$39,"A",IF(N575&gt;=Parâmetros!$B$40,"B",IF(N575&gt;=Parâmetros!$B$41,"C","D"))))</f>
        <v>D</v>
      </c>
      <c r="Q575" s="10" t="str">
        <f aca="false">IF(F575="","Completar cadastro","")</f>
        <v>Completar cadastro</v>
      </c>
      <c r="R575" s="10" t="str">
        <f aca="false">INDEX(Parâmetros!$D$39:$D$43,MATCH(P575,Parâmetros!$A$39:$A$43,0))</f>
        <v>Automatizar ou vender em lote</v>
      </c>
    </row>
    <row r="576" customFormat="false" ht="15" hidden="false" customHeight="false" outlineLevel="0" collapsed="false">
      <c r="A576" s="10" t="s">
        <v>814</v>
      </c>
      <c r="B576" s="10" t="s">
        <v>62</v>
      </c>
      <c r="C576" s="10" t="s">
        <v>58</v>
      </c>
      <c r="D576" s="10" t="s">
        <v>165</v>
      </c>
      <c r="E576" s="10" t="s">
        <v>52</v>
      </c>
      <c r="F576" s="10"/>
      <c r="G576" s="10" t="s">
        <v>162</v>
      </c>
      <c r="H576" s="30" t="n">
        <v>43045</v>
      </c>
      <c r="I576" s="8" t="n">
        <f aca="false">INDEX(Parâmetros!$C$13:$C$19,MATCH(E576,Parâmetros!$A$13:$A$19,0))</f>
        <v>55</v>
      </c>
      <c r="J576" s="26" t="n">
        <f aca="false">IF(H576="","",Parâmetros!$B$5-H576)</f>
        <v>55</v>
      </c>
      <c r="K576" s="10" t="n">
        <f aca="false">INDEX(Parâmetros!$D$13:$D$19,MATCH(E576,Parâmetros!$A$13:$A$19,0))</f>
        <v>0</v>
      </c>
      <c r="L576" s="26" t="n">
        <f aca="false">IF(G576="Prospecting",Parâmetros!$B$9,IF(J576&gt;Parâmetros!$B$6,0,INDEX(Parâmetros!$C$24:$C$26,MATCH(J576,Parâmetros!$A$24:$A$26,1))))</f>
        <v>32</v>
      </c>
      <c r="M576" s="31" t="n">
        <f aca="false">IF(G576="Prospecting",1,INDEX(Parâmetros!$C$32:$C$35,MATCH(J576,Parâmetros!$A$32:$A$35,1)))</f>
        <v>1</v>
      </c>
      <c r="N576" s="2" t="n">
        <f aca="false">ROUND((K576+L576)*M576,0)</f>
        <v>32</v>
      </c>
      <c r="O576" s="10" t="str">
        <f aca="false">IF(AND(G576="Engaging",J576&gt;Parâmetros!$B$6),"Sim","Não")</f>
        <v>Não</v>
      </c>
      <c r="P576" s="32" t="str">
        <f aca="false">IF(O576="Sim","R",IF(N576&gt;=Parâmetros!$B$39,"A",IF(N576&gt;=Parâmetros!$B$40,"B",IF(N576&gt;=Parâmetros!$B$41,"C","D"))))</f>
        <v>D</v>
      </c>
      <c r="Q576" s="10" t="str">
        <f aca="false">IF(F576="","Completar cadastro","")</f>
        <v>Completar cadastro</v>
      </c>
      <c r="R576" s="10" t="str">
        <f aca="false">INDEX(Parâmetros!$D$39:$D$43,MATCH(P576,Parâmetros!$A$39:$A$43,0))</f>
        <v>Automatizar ou vender em lote</v>
      </c>
    </row>
    <row r="577" customFormat="false" ht="15" hidden="false" customHeight="false" outlineLevel="0" collapsed="false">
      <c r="A577" s="10" t="s">
        <v>815</v>
      </c>
      <c r="B577" s="10" t="s">
        <v>69</v>
      </c>
      <c r="C577" s="10" t="s">
        <v>65</v>
      </c>
      <c r="D577" s="10" t="s">
        <v>160</v>
      </c>
      <c r="E577" s="10" t="s">
        <v>52</v>
      </c>
      <c r="F577" s="10"/>
      <c r="G577" s="10" t="s">
        <v>162</v>
      </c>
      <c r="H577" s="30" t="n">
        <v>43049</v>
      </c>
      <c r="I577" s="8" t="n">
        <f aca="false">INDEX(Parâmetros!$C$13:$C$19,MATCH(E577,Parâmetros!$A$13:$A$19,0))</f>
        <v>55</v>
      </c>
      <c r="J577" s="26" t="n">
        <f aca="false">IF(H577="","",Parâmetros!$B$5-H577)</f>
        <v>51</v>
      </c>
      <c r="K577" s="10" t="n">
        <f aca="false">INDEX(Parâmetros!$D$13:$D$19,MATCH(E577,Parâmetros!$A$13:$A$19,0))</f>
        <v>0</v>
      </c>
      <c r="L577" s="26" t="n">
        <f aca="false">IF(G577="Prospecting",Parâmetros!$B$9,IF(J577&gt;Parâmetros!$B$6,0,INDEX(Parâmetros!$C$24:$C$26,MATCH(J577,Parâmetros!$A$24:$A$26,1))))</f>
        <v>32</v>
      </c>
      <c r="M577" s="31" t="n">
        <f aca="false">IF(G577="Prospecting",1,INDEX(Parâmetros!$C$32:$C$35,MATCH(J577,Parâmetros!$A$32:$A$35,1)))</f>
        <v>1</v>
      </c>
      <c r="N577" s="2" t="n">
        <f aca="false">ROUND((K577+L577)*M577,0)</f>
        <v>32</v>
      </c>
      <c r="O577" s="10" t="str">
        <f aca="false">IF(AND(G577="Engaging",J577&gt;Parâmetros!$B$6),"Sim","Não")</f>
        <v>Não</v>
      </c>
      <c r="P577" s="32" t="str">
        <f aca="false">IF(O577="Sim","R",IF(N577&gt;=Parâmetros!$B$39,"A",IF(N577&gt;=Parâmetros!$B$40,"B",IF(N577&gt;=Parâmetros!$B$41,"C","D"))))</f>
        <v>D</v>
      </c>
      <c r="Q577" s="10" t="str">
        <f aca="false">IF(F577="","Completar cadastro","")</f>
        <v>Completar cadastro</v>
      </c>
      <c r="R577" s="10" t="str">
        <f aca="false">INDEX(Parâmetros!$D$39:$D$43,MATCH(P577,Parâmetros!$A$39:$A$43,0))</f>
        <v>Automatizar ou vender em lote</v>
      </c>
    </row>
    <row r="578" customFormat="false" ht="15" hidden="false" customHeight="false" outlineLevel="0" collapsed="false">
      <c r="A578" s="10" t="s">
        <v>816</v>
      </c>
      <c r="B578" s="10" t="s">
        <v>94</v>
      </c>
      <c r="C578" s="10" t="s">
        <v>92</v>
      </c>
      <c r="D578" s="10" t="s">
        <v>160</v>
      </c>
      <c r="E578" s="10" t="s">
        <v>52</v>
      </c>
      <c r="F578" s="10" t="s">
        <v>396</v>
      </c>
      <c r="G578" s="10" t="s">
        <v>162</v>
      </c>
      <c r="H578" s="30" t="n">
        <v>43054</v>
      </c>
      <c r="I578" s="8" t="n">
        <f aca="false">INDEX(Parâmetros!$C$13:$C$19,MATCH(E578,Parâmetros!$A$13:$A$19,0))</f>
        <v>55</v>
      </c>
      <c r="J578" s="26" t="n">
        <f aca="false">IF(H578="","",Parâmetros!$B$5-H578)</f>
        <v>46</v>
      </c>
      <c r="K578" s="10" t="n">
        <f aca="false">INDEX(Parâmetros!$D$13:$D$19,MATCH(E578,Parâmetros!$A$13:$A$19,0))</f>
        <v>0</v>
      </c>
      <c r="L578" s="26" t="n">
        <f aca="false">IF(G578="Prospecting",Parâmetros!$B$9,IF(J578&gt;Parâmetros!$B$6,0,INDEX(Parâmetros!$C$24:$C$26,MATCH(J578,Parâmetros!$A$24:$A$26,1))))</f>
        <v>32</v>
      </c>
      <c r="M578" s="31" t="n">
        <f aca="false">IF(G578="Prospecting",1,INDEX(Parâmetros!$C$32:$C$35,MATCH(J578,Parâmetros!$A$32:$A$35,1)))</f>
        <v>1</v>
      </c>
      <c r="N578" s="2" t="n">
        <f aca="false">ROUND((K578+L578)*M578,0)</f>
        <v>32</v>
      </c>
      <c r="O578" s="10" t="str">
        <f aca="false">IF(AND(G578="Engaging",J578&gt;Parâmetros!$B$6),"Sim","Não")</f>
        <v>Não</v>
      </c>
      <c r="P578" s="32" t="str">
        <f aca="false">IF(O578="Sim","R",IF(N578&gt;=Parâmetros!$B$39,"A",IF(N578&gt;=Parâmetros!$B$40,"B",IF(N578&gt;=Parâmetros!$B$41,"C","D"))))</f>
        <v>D</v>
      </c>
      <c r="Q578" s="10" t="str">
        <f aca="false">IF(F578="","Completar cadastro","")</f>
        <v/>
      </c>
      <c r="R578" s="10" t="str">
        <f aca="false">INDEX(Parâmetros!$D$39:$D$43,MATCH(P578,Parâmetros!$A$39:$A$43,0))</f>
        <v>Automatizar ou vender em lote</v>
      </c>
    </row>
    <row r="579" customFormat="false" ht="15" hidden="false" customHeight="false" outlineLevel="0" collapsed="false">
      <c r="A579" s="10" t="s">
        <v>817</v>
      </c>
      <c r="B579" s="10" t="s">
        <v>62</v>
      </c>
      <c r="C579" s="10" t="s">
        <v>58</v>
      </c>
      <c r="D579" s="10" t="s">
        <v>165</v>
      </c>
      <c r="E579" s="10" t="s">
        <v>52</v>
      </c>
      <c r="F579" s="10"/>
      <c r="G579" s="10" t="s">
        <v>162</v>
      </c>
      <c r="H579" s="30" t="n">
        <v>43059</v>
      </c>
      <c r="I579" s="8" t="n">
        <f aca="false">INDEX(Parâmetros!$C$13:$C$19,MATCH(E579,Parâmetros!$A$13:$A$19,0))</f>
        <v>55</v>
      </c>
      <c r="J579" s="26" t="n">
        <f aca="false">IF(H579="","",Parâmetros!$B$5-H579)</f>
        <v>41</v>
      </c>
      <c r="K579" s="10" t="n">
        <f aca="false">INDEX(Parâmetros!$D$13:$D$19,MATCH(E579,Parâmetros!$A$13:$A$19,0))</f>
        <v>0</v>
      </c>
      <c r="L579" s="26" t="n">
        <f aca="false">IF(G579="Prospecting",Parâmetros!$B$9,IF(J579&gt;Parâmetros!$B$6,0,INDEX(Parâmetros!$C$24:$C$26,MATCH(J579,Parâmetros!$A$24:$A$26,1))))</f>
        <v>32</v>
      </c>
      <c r="M579" s="31" t="n">
        <f aca="false">IF(G579="Prospecting",1,INDEX(Parâmetros!$C$32:$C$35,MATCH(J579,Parâmetros!$A$32:$A$35,1)))</f>
        <v>1</v>
      </c>
      <c r="N579" s="2" t="n">
        <f aca="false">ROUND((K579+L579)*M579,0)</f>
        <v>32</v>
      </c>
      <c r="O579" s="10" t="str">
        <f aca="false">IF(AND(G579="Engaging",J579&gt;Parâmetros!$B$6),"Sim","Não")</f>
        <v>Não</v>
      </c>
      <c r="P579" s="32" t="str">
        <f aca="false">IF(O579="Sim","R",IF(N579&gt;=Parâmetros!$B$39,"A",IF(N579&gt;=Parâmetros!$B$40,"B",IF(N579&gt;=Parâmetros!$B$41,"C","D"))))</f>
        <v>D</v>
      </c>
      <c r="Q579" s="10" t="str">
        <f aca="false">IF(F579="","Completar cadastro","")</f>
        <v>Completar cadastro</v>
      </c>
      <c r="R579" s="10" t="str">
        <f aca="false">INDEX(Parâmetros!$D$39:$D$43,MATCH(P579,Parâmetros!$A$39:$A$43,0))</f>
        <v>Automatizar ou vender em lote</v>
      </c>
    </row>
    <row r="580" customFormat="false" ht="15" hidden="false" customHeight="false" outlineLevel="0" collapsed="false">
      <c r="A580" s="10" t="s">
        <v>818</v>
      </c>
      <c r="B580" s="10" t="s">
        <v>70</v>
      </c>
      <c r="C580" s="10" t="s">
        <v>65</v>
      </c>
      <c r="D580" s="10" t="s">
        <v>160</v>
      </c>
      <c r="E580" s="10" t="s">
        <v>52</v>
      </c>
      <c r="F580" s="10"/>
      <c r="G580" s="10" t="s">
        <v>162</v>
      </c>
      <c r="H580" s="30" t="n">
        <v>43062</v>
      </c>
      <c r="I580" s="8" t="n">
        <f aca="false">INDEX(Parâmetros!$C$13:$C$19,MATCH(E580,Parâmetros!$A$13:$A$19,0))</f>
        <v>55</v>
      </c>
      <c r="J580" s="26" t="n">
        <f aca="false">IF(H580="","",Parâmetros!$B$5-H580)</f>
        <v>38</v>
      </c>
      <c r="K580" s="10" t="n">
        <f aca="false">INDEX(Parâmetros!$D$13:$D$19,MATCH(E580,Parâmetros!$A$13:$A$19,0))</f>
        <v>0</v>
      </c>
      <c r="L580" s="26" t="n">
        <f aca="false">IF(G580="Prospecting",Parâmetros!$B$9,IF(J580&gt;Parâmetros!$B$6,0,INDEX(Parâmetros!$C$24:$C$26,MATCH(J580,Parâmetros!$A$24:$A$26,1))))</f>
        <v>32</v>
      </c>
      <c r="M580" s="31" t="n">
        <f aca="false">IF(G580="Prospecting",1,INDEX(Parâmetros!$C$32:$C$35,MATCH(J580,Parâmetros!$A$32:$A$35,1)))</f>
        <v>1</v>
      </c>
      <c r="N580" s="2" t="n">
        <f aca="false">ROUND((K580+L580)*M580,0)</f>
        <v>32</v>
      </c>
      <c r="O580" s="10" t="str">
        <f aca="false">IF(AND(G580="Engaging",J580&gt;Parâmetros!$B$6),"Sim","Não")</f>
        <v>Não</v>
      </c>
      <c r="P580" s="32" t="str">
        <f aca="false">IF(O580="Sim","R",IF(N580&gt;=Parâmetros!$B$39,"A",IF(N580&gt;=Parâmetros!$B$40,"B",IF(N580&gt;=Parâmetros!$B$41,"C","D"))))</f>
        <v>D</v>
      </c>
      <c r="Q580" s="10" t="str">
        <f aca="false">IF(F580="","Completar cadastro","")</f>
        <v>Completar cadastro</v>
      </c>
      <c r="R580" s="10" t="str">
        <f aca="false">INDEX(Parâmetros!$D$39:$D$43,MATCH(P580,Parâmetros!$A$39:$A$43,0))</f>
        <v>Automatizar ou vender em lote</v>
      </c>
    </row>
    <row r="581" customFormat="false" ht="15" hidden="false" customHeight="false" outlineLevel="0" collapsed="false">
      <c r="A581" s="10" t="s">
        <v>819</v>
      </c>
      <c r="B581" s="10" t="s">
        <v>62</v>
      </c>
      <c r="C581" s="10" t="s">
        <v>58</v>
      </c>
      <c r="D581" s="10" t="s">
        <v>165</v>
      </c>
      <c r="E581" s="10" t="s">
        <v>52</v>
      </c>
      <c r="F581" s="10" t="s">
        <v>233</v>
      </c>
      <c r="G581" s="10" t="s">
        <v>162</v>
      </c>
      <c r="H581" s="30" t="n">
        <v>43062</v>
      </c>
      <c r="I581" s="8" t="n">
        <f aca="false">INDEX(Parâmetros!$C$13:$C$19,MATCH(E581,Parâmetros!$A$13:$A$19,0))</f>
        <v>55</v>
      </c>
      <c r="J581" s="26" t="n">
        <f aca="false">IF(H581="","",Parâmetros!$B$5-H581)</f>
        <v>38</v>
      </c>
      <c r="K581" s="10" t="n">
        <f aca="false">INDEX(Parâmetros!$D$13:$D$19,MATCH(E581,Parâmetros!$A$13:$A$19,0))</f>
        <v>0</v>
      </c>
      <c r="L581" s="26" t="n">
        <f aca="false">IF(G581="Prospecting",Parâmetros!$B$9,IF(J581&gt;Parâmetros!$B$6,0,INDEX(Parâmetros!$C$24:$C$26,MATCH(J581,Parâmetros!$A$24:$A$26,1))))</f>
        <v>32</v>
      </c>
      <c r="M581" s="31" t="n">
        <f aca="false">IF(G581="Prospecting",1,INDEX(Parâmetros!$C$32:$C$35,MATCH(J581,Parâmetros!$A$32:$A$35,1)))</f>
        <v>1</v>
      </c>
      <c r="N581" s="2" t="n">
        <f aca="false">ROUND((K581+L581)*M581,0)</f>
        <v>32</v>
      </c>
      <c r="O581" s="10" t="str">
        <f aca="false">IF(AND(G581="Engaging",J581&gt;Parâmetros!$B$6),"Sim","Não")</f>
        <v>Não</v>
      </c>
      <c r="P581" s="32" t="str">
        <f aca="false">IF(O581="Sim","R",IF(N581&gt;=Parâmetros!$B$39,"A",IF(N581&gt;=Parâmetros!$B$40,"B",IF(N581&gt;=Parâmetros!$B$41,"C","D"))))</f>
        <v>D</v>
      </c>
      <c r="Q581" s="10" t="str">
        <f aca="false">IF(F581="","Completar cadastro","")</f>
        <v/>
      </c>
      <c r="R581" s="10" t="str">
        <f aca="false">INDEX(Parâmetros!$D$39:$D$43,MATCH(P581,Parâmetros!$A$39:$A$43,0))</f>
        <v>Automatizar ou vender em lote</v>
      </c>
    </row>
    <row r="582" customFormat="false" ht="15" hidden="false" customHeight="false" outlineLevel="0" collapsed="false">
      <c r="A582" s="10" t="s">
        <v>820</v>
      </c>
      <c r="B582" s="10" t="s">
        <v>69</v>
      </c>
      <c r="C582" s="10" t="s">
        <v>65</v>
      </c>
      <c r="D582" s="10" t="s">
        <v>160</v>
      </c>
      <c r="E582" s="10" t="s">
        <v>52</v>
      </c>
      <c r="F582" s="10"/>
      <c r="G582" s="10" t="s">
        <v>162</v>
      </c>
      <c r="H582" s="30" t="n">
        <v>43066</v>
      </c>
      <c r="I582" s="8" t="n">
        <f aca="false">INDEX(Parâmetros!$C$13:$C$19,MATCH(E582,Parâmetros!$A$13:$A$19,0))</f>
        <v>55</v>
      </c>
      <c r="J582" s="26" t="n">
        <f aca="false">IF(H582="","",Parâmetros!$B$5-H582)</f>
        <v>34</v>
      </c>
      <c r="K582" s="10" t="n">
        <f aca="false">INDEX(Parâmetros!$D$13:$D$19,MATCH(E582,Parâmetros!$A$13:$A$19,0))</f>
        <v>0</v>
      </c>
      <c r="L582" s="26" t="n">
        <f aca="false">IF(G582="Prospecting",Parâmetros!$B$9,IF(J582&gt;Parâmetros!$B$6,0,INDEX(Parâmetros!$C$24:$C$26,MATCH(J582,Parâmetros!$A$24:$A$26,1))))</f>
        <v>32</v>
      </c>
      <c r="M582" s="31" t="n">
        <f aca="false">IF(G582="Prospecting",1,INDEX(Parâmetros!$C$32:$C$35,MATCH(J582,Parâmetros!$A$32:$A$35,1)))</f>
        <v>1</v>
      </c>
      <c r="N582" s="2" t="n">
        <f aca="false">ROUND((K582+L582)*M582,0)</f>
        <v>32</v>
      </c>
      <c r="O582" s="10" t="str">
        <f aca="false">IF(AND(G582="Engaging",J582&gt;Parâmetros!$B$6),"Sim","Não")</f>
        <v>Não</v>
      </c>
      <c r="P582" s="32" t="str">
        <f aca="false">IF(O582="Sim","R",IF(N582&gt;=Parâmetros!$B$39,"A",IF(N582&gt;=Parâmetros!$B$40,"B",IF(N582&gt;=Parâmetros!$B$41,"C","D"))))</f>
        <v>D</v>
      </c>
      <c r="Q582" s="10" t="str">
        <f aca="false">IF(F582="","Completar cadastro","")</f>
        <v>Completar cadastro</v>
      </c>
      <c r="R582" s="10" t="str">
        <f aca="false">INDEX(Parâmetros!$D$39:$D$43,MATCH(P582,Parâmetros!$A$39:$A$43,0))</f>
        <v>Automatizar ou vender em lote</v>
      </c>
    </row>
    <row r="583" customFormat="false" ht="15" hidden="false" customHeight="false" outlineLevel="0" collapsed="false">
      <c r="A583" s="10" t="s">
        <v>821</v>
      </c>
      <c r="B583" s="10" t="s">
        <v>62</v>
      </c>
      <c r="C583" s="10" t="s">
        <v>58</v>
      </c>
      <c r="D583" s="10" t="s">
        <v>165</v>
      </c>
      <c r="E583" s="10" t="s">
        <v>52</v>
      </c>
      <c r="F583" s="10"/>
      <c r="G583" s="10" t="s">
        <v>162</v>
      </c>
      <c r="H583" s="30" t="n">
        <v>43074</v>
      </c>
      <c r="I583" s="8" t="n">
        <f aca="false">INDEX(Parâmetros!$C$13:$C$19,MATCH(E583,Parâmetros!$A$13:$A$19,0))</f>
        <v>55</v>
      </c>
      <c r="J583" s="26" t="n">
        <f aca="false">IF(H583="","",Parâmetros!$B$5-H583)</f>
        <v>26</v>
      </c>
      <c r="K583" s="10" t="n">
        <f aca="false">INDEX(Parâmetros!$D$13:$D$19,MATCH(E583,Parâmetros!$A$13:$A$19,0))</f>
        <v>0</v>
      </c>
      <c r="L583" s="26" t="n">
        <f aca="false">IF(G583="Prospecting",Parâmetros!$B$9,IF(J583&gt;Parâmetros!$B$6,0,INDEX(Parâmetros!$C$24:$C$26,MATCH(J583,Parâmetros!$A$24:$A$26,1))))</f>
        <v>32</v>
      </c>
      <c r="M583" s="31" t="n">
        <f aca="false">IF(G583="Prospecting",1,INDEX(Parâmetros!$C$32:$C$35,MATCH(J583,Parâmetros!$A$32:$A$35,1)))</f>
        <v>1</v>
      </c>
      <c r="N583" s="2" t="n">
        <f aca="false">ROUND((K583+L583)*M583,0)</f>
        <v>32</v>
      </c>
      <c r="O583" s="10" t="str">
        <f aca="false">IF(AND(G583="Engaging",J583&gt;Parâmetros!$B$6),"Sim","Não")</f>
        <v>Não</v>
      </c>
      <c r="P583" s="32" t="str">
        <f aca="false">IF(O583="Sim","R",IF(N583&gt;=Parâmetros!$B$39,"A",IF(N583&gt;=Parâmetros!$B$40,"B",IF(N583&gt;=Parâmetros!$B$41,"C","D"))))</f>
        <v>D</v>
      </c>
      <c r="Q583" s="10" t="str">
        <f aca="false">IF(F583="","Completar cadastro","")</f>
        <v>Completar cadastro</v>
      </c>
      <c r="R583" s="10" t="str">
        <f aca="false">INDEX(Parâmetros!$D$39:$D$43,MATCH(P583,Parâmetros!$A$39:$A$43,0))</f>
        <v>Automatizar ou vender em lote</v>
      </c>
    </row>
    <row r="584" customFormat="false" ht="15" hidden="false" customHeight="false" outlineLevel="0" collapsed="false">
      <c r="A584" s="10" t="s">
        <v>822</v>
      </c>
      <c r="B584" s="10" t="s">
        <v>71</v>
      </c>
      <c r="C584" s="10" t="s">
        <v>72</v>
      </c>
      <c r="D584" s="10" t="s">
        <v>196</v>
      </c>
      <c r="E584" s="10" t="s">
        <v>51</v>
      </c>
      <c r="F584" s="10" t="s">
        <v>199</v>
      </c>
      <c r="G584" s="10" t="s">
        <v>425</v>
      </c>
      <c r="H584" s="10"/>
      <c r="I584" s="8" t="n">
        <f aca="false">INDEX(Parâmetros!$C$13:$C$19,MATCH(E584,Parâmetros!$A$13:$A$19,0))</f>
        <v>550</v>
      </c>
      <c r="J584" s="26" t="str">
        <f aca="false">IF(H584="","",Parâmetros!$B$5-H584)</f>
        <v/>
      </c>
      <c r="K584" s="10" t="n">
        <f aca="false">INDEX(Parâmetros!$D$13:$D$19,MATCH(E584,Parâmetros!$A$13:$A$19,0))</f>
        <v>22</v>
      </c>
      <c r="L584" s="26" t="n">
        <f aca="false">IF(G584="Prospecting",Parâmetros!$B$9,IF(J584&gt;Parâmetros!$B$6,0,INDEX(Parâmetros!$C$24:$C$26,MATCH(J584,Parâmetros!$A$24:$A$26,1))))</f>
        <v>10</v>
      </c>
      <c r="M584" s="31" t="n">
        <f aca="false">IF(G584="Prospecting",1,INDEX(Parâmetros!$C$32:$C$35,MATCH(J584,Parâmetros!$A$32:$A$35,1)))</f>
        <v>1</v>
      </c>
      <c r="N584" s="2" t="n">
        <f aca="false">ROUND((K584+L584)*M584,0)</f>
        <v>32</v>
      </c>
      <c r="O584" s="10" t="str">
        <f aca="false">IF(AND(G584="Engaging",J584&gt;Parâmetros!$B$6),"Sim","Não")</f>
        <v>Não</v>
      </c>
      <c r="P584" s="32" t="str">
        <f aca="false">IF(O584="Sim","R",IF(N584&gt;=Parâmetros!$B$39,"A",IF(N584&gt;=Parâmetros!$B$40,"B",IF(N584&gt;=Parâmetros!$B$41,"C","D"))))</f>
        <v>D</v>
      </c>
      <c r="Q584" s="10" t="str">
        <f aca="false">IF(F584="","Completar cadastro","")</f>
        <v/>
      </c>
      <c r="R584" s="10" t="str">
        <f aca="false">INDEX(Parâmetros!$D$39:$D$43,MATCH(P584,Parâmetros!$A$39:$A$43,0))</f>
        <v>Automatizar ou vender em lote</v>
      </c>
    </row>
    <row r="585" customFormat="false" ht="15" hidden="false" customHeight="false" outlineLevel="0" collapsed="false">
      <c r="A585" s="10" t="s">
        <v>823</v>
      </c>
      <c r="B585" s="10" t="s">
        <v>71</v>
      </c>
      <c r="C585" s="10" t="s">
        <v>72</v>
      </c>
      <c r="D585" s="10" t="s">
        <v>196</v>
      </c>
      <c r="E585" s="10" t="s">
        <v>51</v>
      </c>
      <c r="F585" s="10"/>
      <c r="G585" s="10" t="s">
        <v>425</v>
      </c>
      <c r="H585" s="10"/>
      <c r="I585" s="8" t="n">
        <f aca="false">INDEX(Parâmetros!$C$13:$C$19,MATCH(E585,Parâmetros!$A$13:$A$19,0))</f>
        <v>550</v>
      </c>
      <c r="J585" s="26" t="str">
        <f aca="false">IF(H585="","",Parâmetros!$B$5-H585)</f>
        <v/>
      </c>
      <c r="K585" s="10" t="n">
        <f aca="false">INDEX(Parâmetros!$D$13:$D$19,MATCH(E585,Parâmetros!$A$13:$A$19,0))</f>
        <v>22</v>
      </c>
      <c r="L585" s="26" t="n">
        <f aca="false">IF(G585="Prospecting",Parâmetros!$B$9,IF(J585&gt;Parâmetros!$B$6,0,INDEX(Parâmetros!$C$24:$C$26,MATCH(J585,Parâmetros!$A$24:$A$26,1))))</f>
        <v>10</v>
      </c>
      <c r="M585" s="31" t="n">
        <f aca="false">IF(G585="Prospecting",1,INDEX(Parâmetros!$C$32:$C$35,MATCH(J585,Parâmetros!$A$32:$A$35,1)))</f>
        <v>1</v>
      </c>
      <c r="N585" s="2" t="n">
        <f aca="false">ROUND((K585+L585)*M585,0)</f>
        <v>32</v>
      </c>
      <c r="O585" s="10" t="str">
        <f aca="false">IF(AND(G585="Engaging",J585&gt;Parâmetros!$B$6),"Sim","Não")</f>
        <v>Não</v>
      </c>
      <c r="P585" s="32" t="str">
        <f aca="false">IF(O585="Sim","R",IF(N585&gt;=Parâmetros!$B$39,"A",IF(N585&gt;=Parâmetros!$B$40,"B",IF(N585&gt;=Parâmetros!$B$41,"C","D"))))</f>
        <v>D</v>
      </c>
      <c r="Q585" s="10" t="str">
        <f aca="false">IF(F585="","Completar cadastro","")</f>
        <v>Completar cadastro</v>
      </c>
      <c r="R585" s="10" t="str">
        <f aca="false">INDEX(Parâmetros!$D$39:$D$43,MATCH(P585,Parâmetros!$A$39:$A$43,0))</f>
        <v>Automatizar ou vender em lote</v>
      </c>
    </row>
    <row r="586" customFormat="false" ht="15" hidden="false" customHeight="false" outlineLevel="0" collapsed="false">
      <c r="A586" s="10" t="s">
        <v>824</v>
      </c>
      <c r="B586" s="10" t="s">
        <v>71</v>
      </c>
      <c r="C586" s="10" t="s">
        <v>72</v>
      </c>
      <c r="D586" s="10" t="s">
        <v>196</v>
      </c>
      <c r="E586" s="10" t="s">
        <v>51</v>
      </c>
      <c r="F586" s="10"/>
      <c r="G586" s="10" t="s">
        <v>425</v>
      </c>
      <c r="H586" s="10"/>
      <c r="I586" s="8" t="n">
        <f aca="false">INDEX(Parâmetros!$C$13:$C$19,MATCH(E586,Parâmetros!$A$13:$A$19,0))</f>
        <v>550</v>
      </c>
      <c r="J586" s="26" t="str">
        <f aca="false">IF(H586="","",Parâmetros!$B$5-H586)</f>
        <v/>
      </c>
      <c r="K586" s="10" t="n">
        <f aca="false">INDEX(Parâmetros!$D$13:$D$19,MATCH(E586,Parâmetros!$A$13:$A$19,0))</f>
        <v>22</v>
      </c>
      <c r="L586" s="26" t="n">
        <f aca="false">IF(G586="Prospecting",Parâmetros!$B$9,IF(J586&gt;Parâmetros!$B$6,0,INDEX(Parâmetros!$C$24:$C$26,MATCH(J586,Parâmetros!$A$24:$A$26,1))))</f>
        <v>10</v>
      </c>
      <c r="M586" s="31" t="n">
        <f aca="false">IF(G586="Prospecting",1,INDEX(Parâmetros!$C$32:$C$35,MATCH(J586,Parâmetros!$A$32:$A$35,1)))</f>
        <v>1</v>
      </c>
      <c r="N586" s="2" t="n">
        <f aca="false">ROUND((K586+L586)*M586,0)</f>
        <v>32</v>
      </c>
      <c r="O586" s="10" t="str">
        <f aca="false">IF(AND(G586="Engaging",J586&gt;Parâmetros!$B$6),"Sim","Não")</f>
        <v>Não</v>
      </c>
      <c r="P586" s="32" t="str">
        <f aca="false">IF(O586="Sim","R",IF(N586&gt;=Parâmetros!$B$39,"A",IF(N586&gt;=Parâmetros!$B$40,"B",IF(N586&gt;=Parâmetros!$B$41,"C","D"))))</f>
        <v>D</v>
      </c>
      <c r="Q586" s="10" t="str">
        <f aca="false">IF(F586="","Completar cadastro","")</f>
        <v>Completar cadastro</v>
      </c>
      <c r="R586" s="10" t="str">
        <f aca="false">INDEX(Parâmetros!$D$39:$D$43,MATCH(P586,Parâmetros!$A$39:$A$43,0))</f>
        <v>Automatizar ou vender em lote</v>
      </c>
    </row>
    <row r="587" customFormat="false" ht="15" hidden="false" customHeight="false" outlineLevel="0" collapsed="false">
      <c r="A587" s="10" t="s">
        <v>825</v>
      </c>
      <c r="B587" s="10" t="s">
        <v>71</v>
      </c>
      <c r="C587" s="10" t="s">
        <v>72</v>
      </c>
      <c r="D587" s="10" t="s">
        <v>196</v>
      </c>
      <c r="E587" s="10" t="s">
        <v>51</v>
      </c>
      <c r="F587" s="10"/>
      <c r="G587" s="10" t="s">
        <v>425</v>
      </c>
      <c r="H587" s="10"/>
      <c r="I587" s="8" t="n">
        <f aca="false">INDEX(Parâmetros!$C$13:$C$19,MATCH(E587,Parâmetros!$A$13:$A$19,0))</f>
        <v>550</v>
      </c>
      <c r="J587" s="26" t="str">
        <f aca="false">IF(H587="","",Parâmetros!$B$5-H587)</f>
        <v/>
      </c>
      <c r="K587" s="10" t="n">
        <f aca="false">INDEX(Parâmetros!$D$13:$D$19,MATCH(E587,Parâmetros!$A$13:$A$19,0))</f>
        <v>22</v>
      </c>
      <c r="L587" s="26" t="n">
        <f aca="false">IF(G587="Prospecting",Parâmetros!$B$9,IF(J587&gt;Parâmetros!$B$6,0,INDEX(Parâmetros!$C$24:$C$26,MATCH(J587,Parâmetros!$A$24:$A$26,1))))</f>
        <v>10</v>
      </c>
      <c r="M587" s="31" t="n">
        <f aca="false">IF(G587="Prospecting",1,INDEX(Parâmetros!$C$32:$C$35,MATCH(J587,Parâmetros!$A$32:$A$35,1)))</f>
        <v>1</v>
      </c>
      <c r="N587" s="2" t="n">
        <f aca="false">ROUND((K587+L587)*M587,0)</f>
        <v>32</v>
      </c>
      <c r="O587" s="10" t="str">
        <f aca="false">IF(AND(G587="Engaging",J587&gt;Parâmetros!$B$6),"Sim","Não")</f>
        <v>Não</v>
      </c>
      <c r="P587" s="32" t="str">
        <f aca="false">IF(O587="Sim","R",IF(N587&gt;=Parâmetros!$B$39,"A",IF(N587&gt;=Parâmetros!$B$40,"B",IF(N587&gt;=Parâmetros!$B$41,"C","D"))))</f>
        <v>D</v>
      </c>
      <c r="Q587" s="10" t="str">
        <f aca="false">IF(F587="","Completar cadastro","")</f>
        <v>Completar cadastro</v>
      </c>
      <c r="R587" s="10" t="str">
        <f aca="false">INDEX(Parâmetros!$D$39:$D$43,MATCH(P587,Parâmetros!$A$39:$A$43,0))</f>
        <v>Automatizar ou vender em lote</v>
      </c>
    </row>
    <row r="588" customFormat="false" ht="15" hidden="false" customHeight="false" outlineLevel="0" collapsed="false">
      <c r="A588" s="10" t="s">
        <v>826</v>
      </c>
      <c r="B588" s="10" t="s">
        <v>71</v>
      </c>
      <c r="C588" s="10" t="s">
        <v>72</v>
      </c>
      <c r="D588" s="10" t="s">
        <v>196</v>
      </c>
      <c r="E588" s="10" t="s">
        <v>51</v>
      </c>
      <c r="F588" s="10"/>
      <c r="G588" s="10" t="s">
        <v>425</v>
      </c>
      <c r="H588" s="10"/>
      <c r="I588" s="8" t="n">
        <f aca="false">INDEX(Parâmetros!$C$13:$C$19,MATCH(E588,Parâmetros!$A$13:$A$19,0))</f>
        <v>550</v>
      </c>
      <c r="J588" s="26" t="str">
        <f aca="false">IF(H588="","",Parâmetros!$B$5-H588)</f>
        <v/>
      </c>
      <c r="K588" s="10" t="n">
        <f aca="false">INDEX(Parâmetros!$D$13:$D$19,MATCH(E588,Parâmetros!$A$13:$A$19,0))</f>
        <v>22</v>
      </c>
      <c r="L588" s="26" t="n">
        <f aca="false">IF(G588="Prospecting",Parâmetros!$B$9,IF(J588&gt;Parâmetros!$B$6,0,INDEX(Parâmetros!$C$24:$C$26,MATCH(J588,Parâmetros!$A$24:$A$26,1))))</f>
        <v>10</v>
      </c>
      <c r="M588" s="31" t="n">
        <f aca="false">IF(G588="Prospecting",1,INDEX(Parâmetros!$C$32:$C$35,MATCH(J588,Parâmetros!$A$32:$A$35,1)))</f>
        <v>1</v>
      </c>
      <c r="N588" s="2" t="n">
        <f aca="false">ROUND((K588+L588)*M588,0)</f>
        <v>32</v>
      </c>
      <c r="O588" s="10" t="str">
        <f aca="false">IF(AND(G588="Engaging",J588&gt;Parâmetros!$B$6),"Sim","Não")</f>
        <v>Não</v>
      </c>
      <c r="P588" s="32" t="str">
        <f aca="false">IF(O588="Sim","R",IF(N588&gt;=Parâmetros!$B$39,"A",IF(N588&gt;=Parâmetros!$B$40,"B",IF(N588&gt;=Parâmetros!$B$41,"C","D"))))</f>
        <v>D</v>
      </c>
      <c r="Q588" s="10" t="str">
        <f aca="false">IF(F588="","Completar cadastro","")</f>
        <v>Completar cadastro</v>
      </c>
      <c r="R588" s="10" t="str">
        <f aca="false">INDEX(Parâmetros!$D$39:$D$43,MATCH(P588,Parâmetros!$A$39:$A$43,0))</f>
        <v>Automatizar ou vender em lote</v>
      </c>
    </row>
    <row r="589" customFormat="false" ht="15" hidden="false" customHeight="false" outlineLevel="0" collapsed="false">
      <c r="A589" s="10" t="s">
        <v>827</v>
      </c>
      <c r="B589" s="10" t="s">
        <v>71</v>
      </c>
      <c r="C589" s="10" t="s">
        <v>72</v>
      </c>
      <c r="D589" s="10" t="s">
        <v>196</v>
      </c>
      <c r="E589" s="10" t="s">
        <v>51</v>
      </c>
      <c r="F589" s="10"/>
      <c r="G589" s="10" t="s">
        <v>425</v>
      </c>
      <c r="H589" s="10"/>
      <c r="I589" s="8" t="n">
        <f aca="false">INDEX(Parâmetros!$C$13:$C$19,MATCH(E589,Parâmetros!$A$13:$A$19,0))</f>
        <v>550</v>
      </c>
      <c r="J589" s="26" t="str">
        <f aca="false">IF(H589="","",Parâmetros!$B$5-H589)</f>
        <v/>
      </c>
      <c r="K589" s="10" t="n">
        <f aca="false">INDEX(Parâmetros!$D$13:$D$19,MATCH(E589,Parâmetros!$A$13:$A$19,0))</f>
        <v>22</v>
      </c>
      <c r="L589" s="26" t="n">
        <f aca="false">IF(G589="Prospecting",Parâmetros!$B$9,IF(J589&gt;Parâmetros!$B$6,0,INDEX(Parâmetros!$C$24:$C$26,MATCH(J589,Parâmetros!$A$24:$A$26,1))))</f>
        <v>10</v>
      </c>
      <c r="M589" s="31" t="n">
        <f aca="false">IF(G589="Prospecting",1,INDEX(Parâmetros!$C$32:$C$35,MATCH(J589,Parâmetros!$A$32:$A$35,1)))</f>
        <v>1</v>
      </c>
      <c r="N589" s="2" t="n">
        <f aca="false">ROUND((K589+L589)*M589,0)</f>
        <v>32</v>
      </c>
      <c r="O589" s="10" t="str">
        <f aca="false">IF(AND(G589="Engaging",J589&gt;Parâmetros!$B$6),"Sim","Não")</f>
        <v>Não</v>
      </c>
      <c r="P589" s="32" t="str">
        <f aca="false">IF(O589="Sim","R",IF(N589&gt;=Parâmetros!$B$39,"A",IF(N589&gt;=Parâmetros!$B$40,"B",IF(N589&gt;=Parâmetros!$B$41,"C","D"))))</f>
        <v>D</v>
      </c>
      <c r="Q589" s="10" t="str">
        <f aca="false">IF(F589="","Completar cadastro","")</f>
        <v>Completar cadastro</v>
      </c>
      <c r="R589" s="10" t="str">
        <f aca="false">INDEX(Parâmetros!$D$39:$D$43,MATCH(P589,Parâmetros!$A$39:$A$43,0))</f>
        <v>Automatizar ou vender em lote</v>
      </c>
    </row>
    <row r="590" customFormat="false" ht="15" hidden="false" customHeight="false" outlineLevel="0" collapsed="false">
      <c r="A590" s="10" t="s">
        <v>828</v>
      </c>
      <c r="B590" s="10" t="s">
        <v>71</v>
      </c>
      <c r="C590" s="10" t="s">
        <v>72</v>
      </c>
      <c r="D590" s="10" t="s">
        <v>196</v>
      </c>
      <c r="E590" s="10" t="s">
        <v>51</v>
      </c>
      <c r="F590" s="10"/>
      <c r="G590" s="10" t="s">
        <v>425</v>
      </c>
      <c r="H590" s="10"/>
      <c r="I590" s="8" t="n">
        <f aca="false">INDEX(Parâmetros!$C$13:$C$19,MATCH(E590,Parâmetros!$A$13:$A$19,0))</f>
        <v>550</v>
      </c>
      <c r="J590" s="26" t="str">
        <f aca="false">IF(H590="","",Parâmetros!$B$5-H590)</f>
        <v/>
      </c>
      <c r="K590" s="10" t="n">
        <f aca="false">INDEX(Parâmetros!$D$13:$D$19,MATCH(E590,Parâmetros!$A$13:$A$19,0))</f>
        <v>22</v>
      </c>
      <c r="L590" s="26" t="n">
        <f aca="false">IF(G590="Prospecting",Parâmetros!$B$9,IF(J590&gt;Parâmetros!$B$6,0,INDEX(Parâmetros!$C$24:$C$26,MATCH(J590,Parâmetros!$A$24:$A$26,1))))</f>
        <v>10</v>
      </c>
      <c r="M590" s="31" t="n">
        <f aca="false">IF(G590="Prospecting",1,INDEX(Parâmetros!$C$32:$C$35,MATCH(J590,Parâmetros!$A$32:$A$35,1)))</f>
        <v>1</v>
      </c>
      <c r="N590" s="2" t="n">
        <f aca="false">ROUND((K590+L590)*M590,0)</f>
        <v>32</v>
      </c>
      <c r="O590" s="10" t="str">
        <f aca="false">IF(AND(G590="Engaging",J590&gt;Parâmetros!$B$6),"Sim","Não")</f>
        <v>Não</v>
      </c>
      <c r="P590" s="32" t="str">
        <f aca="false">IF(O590="Sim","R",IF(N590&gt;=Parâmetros!$B$39,"A",IF(N590&gt;=Parâmetros!$B$40,"B",IF(N590&gt;=Parâmetros!$B$41,"C","D"))))</f>
        <v>D</v>
      </c>
      <c r="Q590" s="10" t="str">
        <f aca="false">IF(F590="","Completar cadastro","")</f>
        <v>Completar cadastro</v>
      </c>
      <c r="R590" s="10" t="str">
        <f aca="false">INDEX(Parâmetros!$D$39:$D$43,MATCH(P590,Parâmetros!$A$39:$A$43,0))</f>
        <v>Automatizar ou vender em lote</v>
      </c>
    </row>
    <row r="591" customFormat="false" ht="15" hidden="false" customHeight="false" outlineLevel="0" collapsed="false">
      <c r="A591" s="10" t="s">
        <v>829</v>
      </c>
      <c r="B591" s="10" t="s">
        <v>73</v>
      </c>
      <c r="C591" s="10" t="s">
        <v>72</v>
      </c>
      <c r="D591" s="10" t="s">
        <v>196</v>
      </c>
      <c r="E591" s="10" t="s">
        <v>51</v>
      </c>
      <c r="F591" s="10" t="s">
        <v>487</v>
      </c>
      <c r="G591" s="10" t="s">
        <v>425</v>
      </c>
      <c r="H591" s="10"/>
      <c r="I591" s="8" t="n">
        <f aca="false">INDEX(Parâmetros!$C$13:$C$19,MATCH(E591,Parâmetros!$A$13:$A$19,0))</f>
        <v>550</v>
      </c>
      <c r="J591" s="26" t="str">
        <f aca="false">IF(H591="","",Parâmetros!$B$5-H591)</f>
        <v/>
      </c>
      <c r="K591" s="10" t="n">
        <f aca="false">INDEX(Parâmetros!$D$13:$D$19,MATCH(E591,Parâmetros!$A$13:$A$19,0))</f>
        <v>22</v>
      </c>
      <c r="L591" s="26" t="n">
        <f aca="false">IF(G591="Prospecting",Parâmetros!$B$9,IF(J591&gt;Parâmetros!$B$6,0,INDEX(Parâmetros!$C$24:$C$26,MATCH(J591,Parâmetros!$A$24:$A$26,1))))</f>
        <v>10</v>
      </c>
      <c r="M591" s="31" t="n">
        <f aca="false">IF(G591="Prospecting",1,INDEX(Parâmetros!$C$32:$C$35,MATCH(J591,Parâmetros!$A$32:$A$35,1)))</f>
        <v>1</v>
      </c>
      <c r="N591" s="2" t="n">
        <f aca="false">ROUND((K591+L591)*M591,0)</f>
        <v>32</v>
      </c>
      <c r="O591" s="10" t="str">
        <f aca="false">IF(AND(G591="Engaging",J591&gt;Parâmetros!$B$6),"Sim","Não")</f>
        <v>Não</v>
      </c>
      <c r="P591" s="32" t="str">
        <f aca="false">IF(O591="Sim","R",IF(N591&gt;=Parâmetros!$B$39,"A",IF(N591&gt;=Parâmetros!$B$40,"B",IF(N591&gt;=Parâmetros!$B$41,"C","D"))))</f>
        <v>D</v>
      </c>
      <c r="Q591" s="10" t="str">
        <f aca="false">IF(F591="","Completar cadastro","")</f>
        <v/>
      </c>
      <c r="R591" s="10" t="str">
        <f aca="false">INDEX(Parâmetros!$D$39:$D$43,MATCH(P591,Parâmetros!$A$39:$A$43,0))</f>
        <v>Automatizar ou vender em lote</v>
      </c>
    </row>
    <row r="592" customFormat="false" ht="15" hidden="false" customHeight="false" outlineLevel="0" collapsed="false">
      <c r="A592" s="10" t="s">
        <v>830</v>
      </c>
      <c r="B592" s="10" t="s">
        <v>73</v>
      </c>
      <c r="C592" s="10" t="s">
        <v>72</v>
      </c>
      <c r="D592" s="10" t="s">
        <v>196</v>
      </c>
      <c r="E592" s="10" t="s">
        <v>51</v>
      </c>
      <c r="F592" s="10"/>
      <c r="G592" s="10" t="s">
        <v>425</v>
      </c>
      <c r="H592" s="10"/>
      <c r="I592" s="8" t="n">
        <f aca="false">INDEX(Parâmetros!$C$13:$C$19,MATCH(E592,Parâmetros!$A$13:$A$19,0))</f>
        <v>550</v>
      </c>
      <c r="J592" s="26" t="str">
        <f aca="false">IF(H592="","",Parâmetros!$B$5-H592)</f>
        <v/>
      </c>
      <c r="K592" s="10" t="n">
        <f aca="false">INDEX(Parâmetros!$D$13:$D$19,MATCH(E592,Parâmetros!$A$13:$A$19,0))</f>
        <v>22</v>
      </c>
      <c r="L592" s="26" t="n">
        <f aca="false">IF(G592="Prospecting",Parâmetros!$B$9,IF(J592&gt;Parâmetros!$B$6,0,INDEX(Parâmetros!$C$24:$C$26,MATCH(J592,Parâmetros!$A$24:$A$26,1))))</f>
        <v>10</v>
      </c>
      <c r="M592" s="31" t="n">
        <f aca="false">IF(G592="Prospecting",1,INDEX(Parâmetros!$C$32:$C$35,MATCH(J592,Parâmetros!$A$32:$A$35,1)))</f>
        <v>1</v>
      </c>
      <c r="N592" s="2" t="n">
        <f aca="false">ROUND((K592+L592)*M592,0)</f>
        <v>32</v>
      </c>
      <c r="O592" s="10" t="str">
        <f aca="false">IF(AND(G592="Engaging",J592&gt;Parâmetros!$B$6),"Sim","Não")</f>
        <v>Não</v>
      </c>
      <c r="P592" s="32" t="str">
        <f aca="false">IF(O592="Sim","R",IF(N592&gt;=Parâmetros!$B$39,"A",IF(N592&gt;=Parâmetros!$B$40,"B",IF(N592&gt;=Parâmetros!$B$41,"C","D"))))</f>
        <v>D</v>
      </c>
      <c r="Q592" s="10" t="str">
        <f aca="false">IF(F592="","Completar cadastro","")</f>
        <v>Completar cadastro</v>
      </c>
      <c r="R592" s="10" t="str">
        <f aca="false">INDEX(Parâmetros!$D$39:$D$43,MATCH(P592,Parâmetros!$A$39:$A$43,0))</f>
        <v>Automatizar ou vender em lote</v>
      </c>
    </row>
    <row r="593" customFormat="false" ht="15" hidden="false" customHeight="false" outlineLevel="0" collapsed="false">
      <c r="A593" s="10" t="s">
        <v>831</v>
      </c>
      <c r="B593" s="10" t="s">
        <v>77</v>
      </c>
      <c r="C593" s="10" t="s">
        <v>78</v>
      </c>
      <c r="D593" s="10" t="s">
        <v>196</v>
      </c>
      <c r="E593" s="10" t="s">
        <v>51</v>
      </c>
      <c r="F593" s="10" t="s">
        <v>359</v>
      </c>
      <c r="G593" s="10" t="s">
        <v>425</v>
      </c>
      <c r="H593" s="10"/>
      <c r="I593" s="8" t="n">
        <f aca="false">INDEX(Parâmetros!$C$13:$C$19,MATCH(E593,Parâmetros!$A$13:$A$19,0))</f>
        <v>550</v>
      </c>
      <c r="J593" s="26" t="str">
        <f aca="false">IF(H593="","",Parâmetros!$B$5-H593)</f>
        <v/>
      </c>
      <c r="K593" s="10" t="n">
        <f aca="false">INDEX(Parâmetros!$D$13:$D$19,MATCH(E593,Parâmetros!$A$13:$A$19,0))</f>
        <v>22</v>
      </c>
      <c r="L593" s="26" t="n">
        <f aca="false">IF(G593="Prospecting",Parâmetros!$B$9,IF(J593&gt;Parâmetros!$B$6,0,INDEX(Parâmetros!$C$24:$C$26,MATCH(J593,Parâmetros!$A$24:$A$26,1))))</f>
        <v>10</v>
      </c>
      <c r="M593" s="31" t="n">
        <f aca="false">IF(G593="Prospecting",1,INDEX(Parâmetros!$C$32:$C$35,MATCH(J593,Parâmetros!$A$32:$A$35,1)))</f>
        <v>1</v>
      </c>
      <c r="N593" s="2" t="n">
        <f aca="false">ROUND((K593+L593)*M593,0)</f>
        <v>32</v>
      </c>
      <c r="O593" s="10" t="str">
        <f aca="false">IF(AND(G593="Engaging",J593&gt;Parâmetros!$B$6),"Sim","Não")</f>
        <v>Não</v>
      </c>
      <c r="P593" s="32" t="str">
        <f aca="false">IF(O593="Sim","R",IF(N593&gt;=Parâmetros!$B$39,"A",IF(N593&gt;=Parâmetros!$B$40,"B",IF(N593&gt;=Parâmetros!$B$41,"C","D"))))</f>
        <v>D</v>
      </c>
      <c r="Q593" s="10" t="str">
        <f aca="false">IF(F593="","Completar cadastro","")</f>
        <v/>
      </c>
      <c r="R593" s="10" t="str">
        <f aca="false">INDEX(Parâmetros!$D$39:$D$43,MATCH(P593,Parâmetros!$A$39:$A$43,0))</f>
        <v>Automatizar ou vender em lote</v>
      </c>
    </row>
    <row r="594" customFormat="false" ht="15" hidden="false" customHeight="false" outlineLevel="0" collapsed="false">
      <c r="A594" s="10" t="s">
        <v>832</v>
      </c>
      <c r="B594" s="10" t="s">
        <v>77</v>
      </c>
      <c r="C594" s="10" t="s">
        <v>78</v>
      </c>
      <c r="D594" s="10" t="s">
        <v>196</v>
      </c>
      <c r="E594" s="10" t="s">
        <v>51</v>
      </c>
      <c r="F594" s="10" t="s">
        <v>637</v>
      </c>
      <c r="G594" s="10" t="s">
        <v>425</v>
      </c>
      <c r="H594" s="10"/>
      <c r="I594" s="8" t="n">
        <f aca="false">INDEX(Parâmetros!$C$13:$C$19,MATCH(E594,Parâmetros!$A$13:$A$19,0))</f>
        <v>550</v>
      </c>
      <c r="J594" s="26" t="str">
        <f aca="false">IF(H594="","",Parâmetros!$B$5-H594)</f>
        <v/>
      </c>
      <c r="K594" s="10" t="n">
        <f aca="false">INDEX(Parâmetros!$D$13:$D$19,MATCH(E594,Parâmetros!$A$13:$A$19,0))</f>
        <v>22</v>
      </c>
      <c r="L594" s="26" t="n">
        <f aca="false">IF(G594="Prospecting",Parâmetros!$B$9,IF(J594&gt;Parâmetros!$B$6,0,INDEX(Parâmetros!$C$24:$C$26,MATCH(J594,Parâmetros!$A$24:$A$26,1))))</f>
        <v>10</v>
      </c>
      <c r="M594" s="31" t="n">
        <f aca="false">IF(G594="Prospecting",1,INDEX(Parâmetros!$C$32:$C$35,MATCH(J594,Parâmetros!$A$32:$A$35,1)))</f>
        <v>1</v>
      </c>
      <c r="N594" s="2" t="n">
        <f aca="false">ROUND((K594+L594)*M594,0)</f>
        <v>32</v>
      </c>
      <c r="O594" s="10" t="str">
        <f aca="false">IF(AND(G594="Engaging",J594&gt;Parâmetros!$B$6),"Sim","Não")</f>
        <v>Não</v>
      </c>
      <c r="P594" s="32" t="str">
        <f aca="false">IF(O594="Sim","R",IF(N594&gt;=Parâmetros!$B$39,"A",IF(N594&gt;=Parâmetros!$B$40,"B",IF(N594&gt;=Parâmetros!$B$41,"C","D"))))</f>
        <v>D</v>
      </c>
      <c r="Q594" s="10" t="str">
        <f aca="false">IF(F594="","Completar cadastro","")</f>
        <v/>
      </c>
      <c r="R594" s="10" t="str">
        <f aca="false">INDEX(Parâmetros!$D$39:$D$43,MATCH(P594,Parâmetros!$A$39:$A$43,0))</f>
        <v>Automatizar ou vender em lote</v>
      </c>
    </row>
    <row r="595" customFormat="false" ht="15" hidden="false" customHeight="false" outlineLevel="0" collapsed="false">
      <c r="A595" s="10" t="s">
        <v>833</v>
      </c>
      <c r="B595" s="10" t="s">
        <v>77</v>
      </c>
      <c r="C595" s="10" t="s">
        <v>78</v>
      </c>
      <c r="D595" s="10" t="s">
        <v>196</v>
      </c>
      <c r="E595" s="10" t="s">
        <v>51</v>
      </c>
      <c r="F595" s="10" t="s">
        <v>179</v>
      </c>
      <c r="G595" s="10" t="s">
        <v>425</v>
      </c>
      <c r="H595" s="10"/>
      <c r="I595" s="8" t="n">
        <f aca="false">INDEX(Parâmetros!$C$13:$C$19,MATCH(E595,Parâmetros!$A$13:$A$19,0))</f>
        <v>550</v>
      </c>
      <c r="J595" s="26" t="str">
        <f aca="false">IF(H595="","",Parâmetros!$B$5-H595)</f>
        <v/>
      </c>
      <c r="K595" s="10" t="n">
        <f aca="false">INDEX(Parâmetros!$D$13:$D$19,MATCH(E595,Parâmetros!$A$13:$A$19,0))</f>
        <v>22</v>
      </c>
      <c r="L595" s="26" t="n">
        <f aca="false">IF(G595="Prospecting",Parâmetros!$B$9,IF(J595&gt;Parâmetros!$B$6,0,INDEX(Parâmetros!$C$24:$C$26,MATCH(J595,Parâmetros!$A$24:$A$26,1))))</f>
        <v>10</v>
      </c>
      <c r="M595" s="31" t="n">
        <f aca="false">IF(G595="Prospecting",1,INDEX(Parâmetros!$C$32:$C$35,MATCH(J595,Parâmetros!$A$32:$A$35,1)))</f>
        <v>1</v>
      </c>
      <c r="N595" s="2" t="n">
        <f aca="false">ROUND((K595+L595)*M595,0)</f>
        <v>32</v>
      </c>
      <c r="O595" s="10" t="str">
        <f aca="false">IF(AND(G595="Engaging",J595&gt;Parâmetros!$B$6),"Sim","Não")</f>
        <v>Não</v>
      </c>
      <c r="P595" s="32" t="str">
        <f aca="false">IF(O595="Sim","R",IF(N595&gt;=Parâmetros!$B$39,"A",IF(N595&gt;=Parâmetros!$B$40,"B",IF(N595&gt;=Parâmetros!$B$41,"C","D"))))</f>
        <v>D</v>
      </c>
      <c r="Q595" s="10" t="str">
        <f aca="false">IF(F595="","Completar cadastro","")</f>
        <v/>
      </c>
      <c r="R595" s="10" t="str">
        <f aca="false">INDEX(Parâmetros!$D$39:$D$43,MATCH(P595,Parâmetros!$A$39:$A$43,0))</f>
        <v>Automatizar ou vender em lote</v>
      </c>
    </row>
    <row r="596" customFormat="false" ht="15" hidden="false" customHeight="false" outlineLevel="0" collapsed="false">
      <c r="A596" s="10" t="s">
        <v>834</v>
      </c>
      <c r="B596" s="10" t="s">
        <v>77</v>
      </c>
      <c r="C596" s="10" t="s">
        <v>78</v>
      </c>
      <c r="D596" s="10" t="s">
        <v>196</v>
      </c>
      <c r="E596" s="10" t="s">
        <v>51</v>
      </c>
      <c r="F596" s="10"/>
      <c r="G596" s="10" t="s">
        <v>425</v>
      </c>
      <c r="H596" s="10"/>
      <c r="I596" s="8" t="n">
        <f aca="false">INDEX(Parâmetros!$C$13:$C$19,MATCH(E596,Parâmetros!$A$13:$A$19,0))</f>
        <v>550</v>
      </c>
      <c r="J596" s="26" t="str">
        <f aca="false">IF(H596="","",Parâmetros!$B$5-H596)</f>
        <v/>
      </c>
      <c r="K596" s="10" t="n">
        <f aca="false">INDEX(Parâmetros!$D$13:$D$19,MATCH(E596,Parâmetros!$A$13:$A$19,0))</f>
        <v>22</v>
      </c>
      <c r="L596" s="26" t="n">
        <f aca="false">IF(G596="Prospecting",Parâmetros!$B$9,IF(J596&gt;Parâmetros!$B$6,0,INDEX(Parâmetros!$C$24:$C$26,MATCH(J596,Parâmetros!$A$24:$A$26,1))))</f>
        <v>10</v>
      </c>
      <c r="M596" s="31" t="n">
        <f aca="false">IF(G596="Prospecting",1,INDEX(Parâmetros!$C$32:$C$35,MATCH(J596,Parâmetros!$A$32:$A$35,1)))</f>
        <v>1</v>
      </c>
      <c r="N596" s="2" t="n">
        <f aca="false">ROUND((K596+L596)*M596,0)</f>
        <v>32</v>
      </c>
      <c r="O596" s="10" t="str">
        <f aca="false">IF(AND(G596="Engaging",J596&gt;Parâmetros!$B$6),"Sim","Não")</f>
        <v>Não</v>
      </c>
      <c r="P596" s="32" t="str">
        <f aca="false">IF(O596="Sim","R",IF(N596&gt;=Parâmetros!$B$39,"A",IF(N596&gt;=Parâmetros!$B$40,"B",IF(N596&gt;=Parâmetros!$B$41,"C","D"))))</f>
        <v>D</v>
      </c>
      <c r="Q596" s="10" t="str">
        <f aca="false">IF(F596="","Completar cadastro","")</f>
        <v>Completar cadastro</v>
      </c>
      <c r="R596" s="10" t="str">
        <f aca="false">INDEX(Parâmetros!$D$39:$D$43,MATCH(P596,Parâmetros!$A$39:$A$43,0))</f>
        <v>Automatizar ou vender em lote</v>
      </c>
    </row>
    <row r="597" customFormat="false" ht="15" hidden="false" customHeight="false" outlineLevel="0" collapsed="false">
      <c r="A597" s="10" t="s">
        <v>835</v>
      </c>
      <c r="B597" s="10" t="s">
        <v>77</v>
      </c>
      <c r="C597" s="10" t="s">
        <v>78</v>
      </c>
      <c r="D597" s="10" t="s">
        <v>196</v>
      </c>
      <c r="E597" s="10" t="s">
        <v>51</v>
      </c>
      <c r="F597" s="10"/>
      <c r="G597" s="10" t="s">
        <v>425</v>
      </c>
      <c r="H597" s="10"/>
      <c r="I597" s="8" t="n">
        <f aca="false">INDEX(Parâmetros!$C$13:$C$19,MATCH(E597,Parâmetros!$A$13:$A$19,0))</f>
        <v>550</v>
      </c>
      <c r="J597" s="26" t="str">
        <f aca="false">IF(H597="","",Parâmetros!$B$5-H597)</f>
        <v/>
      </c>
      <c r="K597" s="10" t="n">
        <f aca="false">INDEX(Parâmetros!$D$13:$D$19,MATCH(E597,Parâmetros!$A$13:$A$19,0))</f>
        <v>22</v>
      </c>
      <c r="L597" s="26" t="n">
        <f aca="false">IF(G597="Prospecting",Parâmetros!$B$9,IF(J597&gt;Parâmetros!$B$6,0,INDEX(Parâmetros!$C$24:$C$26,MATCH(J597,Parâmetros!$A$24:$A$26,1))))</f>
        <v>10</v>
      </c>
      <c r="M597" s="31" t="n">
        <f aca="false">IF(G597="Prospecting",1,INDEX(Parâmetros!$C$32:$C$35,MATCH(J597,Parâmetros!$A$32:$A$35,1)))</f>
        <v>1</v>
      </c>
      <c r="N597" s="2" t="n">
        <f aca="false">ROUND((K597+L597)*M597,0)</f>
        <v>32</v>
      </c>
      <c r="O597" s="10" t="str">
        <f aca="false">IF(AND(G597="Engaging",J597&gt;Parâmetros!$B$6),"Sim","Não")</f>
        <v>Não</v>
      </c>
      <c r="P597" s="32" t="str">
        <f aca="false">IF(O597="Sim","R",IF(N597&gt;=Parâmetros!$B$39,"A",IF(N597&gt;=Parâmetros!$B$40,"B",IF(N597&gt;=Parâmetros!$B$41,"C","D"))))</f>
        <v>D</v>
      </c>
      <c r="Q597" s="10" t="str">
        <f aca="false">IF(F597="","Completar cadastro","")</f>
        <v>Completar cadastro</v>
      </c>
      <c r="R597" s="10" t="str">
        <f aca="false">INDEX(Parâmetros!$D$39:$D$43,MATCH(P597,Parâmetros!$A$39:$A$43,0))</f>
        <v>Automatizar ou vender em lote</v>
      </c>
    </row>
    <row r="598" customFormat="false" ht="15" hidden="false" customHeight="false" outlineLevel="0" collapsed="false">
      <c r="A598" s="10" t="s">
        <v>836</v>
      </c>
      <c r="B598" s="10" t="s">
        <v>77</v>
      </c>
      <c r="C598" s="10" t="s">
        <v>78</v>
      </c>
      <c r="D598" s="10" t="s">
        <v>196</v>
      </c>
      <c r="E598" s="10" t="s">
        <v>51</v>
      </c>
      <c r="F598" s="10"/>
      <c r="G598" s="10" t="s">
        <v>425</v>
      </c>
      <c r="H598" s="10"/>
      <c r="I598" s="8" t="n">
        <f aca="false">INDEX(Parâmetros!$C$13:$C$19,MATCH(E598,Parâmetros!$A$13:$A$19,0))</f>
        <v>550</v>
      </c>
      <c r="J598" s="26" t="str">
        <f aca="false">IF(H598="","",Parâmetros!$B$5-H598)</f>
        <v/>
      </c>
      <c r="K598" s="10" t="n">
        <f aca="false">INDEX(Parâmetros!$D$13:$D$19,MATCH(E598,Parâmetros!$A$13:$A$19,0))</f>
        <v>22</v>
      </c>
      <c r="L598" s="26" t="n">
        <f aca="false">IF(G598="Prospecting",Parâmetros!$B$9,IF(J598&gt;Parâmetros!$B$6,0,INDEX(Parâmetros!$C$24:$C$26,MATCH(J598,Parâmetros!$A$24:$A$26,1))))</f>
        <v>10</v>
      </c>
      <c r="M598" s="31" t="n">
        <f aca="false">IF(G598="Prospecting",1,INDEX(Parâmetros!$C$32:$C$35,MATCH(J598,Parâmetros!$A$32:$A$35,1)))</f>
        <v>1</v>
      </c>
      <c r="N598" s="2" t="n">
        <f aca="false">ROUND((K598+L598)*M598,0)</f>
        <v>32</v>
      </c>
      <c r="O598" s="10" t="str">
        <f aca="false">IF(AND(G598="Engaging",J598&gt;Parâmetros!$B$6),"Sim","Não")</f>
        <v>Não</v>
      </c>
      <c r="P598" s="32" t="str">
        <f aca="false">IF(O598="Sim","R",IF(N598&gt;=Parâmetros!$B$39,"A",IF(N598&gt;=Parâmetros!$B$40,"B",IF(N598&gt;=Parâmetros!$B$41,"C","D"))))</f>
        <v>D</v>
      </c>
      <c r="Q598" s="10" t="str">
        <f aca="false">IF(F598="","Completar cadastro","")</f>
        <v>Completar cadastro</v>
      </c>
      <c r="R598" s="10" t="str">
        <f aca="false">INDEX(Parâmetros!$D$39:$D$43,MATCH(P598,Parâmetros!$A$39:$A$43,0))</f>
        <v>Automatizar ou vender em lote</v>
      </c>
    </row>
    <row r="599" customFormat="false" ht="15" hidden="false" customHeight="false" outlineLevel="0" collapsed="false">
      <c r="A599" s="10" t="s">
        <v>837</v>
      </c>
      <c r="B599" s="10" t="s">
        <v>77</v>
      </c>
      <c r="C599" s="10" t="s">
        <v>78</v>
      </c>
      <c r="D599" s="10" t="s">
        <v>196</v>
      </c>
      <c r="E599" s="10" t="s">
        <v>51</v>
      </c>
      <c r="F599" s="10"/>
      <c r="G599" s="10" t="s">
        <v>425</v>
      </c>
      <c r="H599" s="10"/>
      <c r="I599" s="8" t="n">
        <f aca="false">INDEX(Parâmetros!$C$13:$C$19,MATCH(E599,Parâmetros!$A$13:$A$19,0))</f>
        <v>550</v>
      </c>
      <c r="J599" s="26" t="str">
        <f aca="false">IF(H599="","",Parâmetros!$B$5-H599)</f>
        <v/>
      </c>
      <c r="K599" s="10" t="n">
        <f aca="false">INDEX(Parâmetros!$D$13:$D$19,MATCH(E599,Parâmetros!$A$13:$A$19,0))</f>
        <v>22</v>
      </c>
      <c r="L599" s="26" t="n">
        <f aca="false">IF(G599="Prospecting",Parâmetros!$B$9,IF(J599&gt;Parâmetros!$B$6,0,INDEX(Parâmetros!$C$24:$C$26,MATCH(J599,Parâmetros!$A$24:$A$26,1))))</f>
        <v>10</v>
      </c>
      <c r="M599" s="31" t="n">
        <f aca="false">IF(G599="Prospecting",1,INDEX(Parâmetros!$C$32:$C$35,MATCH(J599,Parâmetros!$A$32:$A$35,1)))</f>
        <v>1</v>
      </c>
      <c r="N599" s="2" t="n">
        <f aca="false">ROUND((K599+L599)*M599,0)</f>
        <v>32</v>
      </c>
      <c r="O599" s="10" t="str">
        <f aca="false">IF(AND(G599="Engaging",J599&gt;Parâmetros!$B$6),"Sim","Não")</f>
        <v>Não</v>
      </c>
      <c r="P599" s="32" t="str">
        <f aca="false">IF(O599="Sim","R",IF(N599&gt;=Parâmetros!$B$39,"A",IF(N599&gt;=Parâmetros!$B$40,"B",IF(N599&gt;=Parâmetros!$B$41,"C","D"))))</f>
        <v>D</v>
      </c>
      <c r="Q599" s="10" t="str">
        <f aca="false">IF(F599="","Completar cadastro","")</f>
        <v>Completar cadastro</v>
      </c>
      <c r="R599" s="10" t="str">
        <f aca="false">INDEX(Parâmetros!$D$39:$D$43,MATCH(P599,Parâmetros!$A$39:$A$43,0))</f>
        <v>Automatizar ou vender em lote</v>
      </c>
    </row>
    <row r="600" customFormat="false" ht="15" hidden="false" customHeight="false" outlineLevel="0" collapsed="false">
      <c r="A600" s="10" t="s">
        <v>838</v>
      </c>
      <c r="B600" s="10" t="s">
        <v>77</v>
      </c>
      <c r="C600" s="10" t="s">
        <v>78</v>
      </c>
      <c r="D600" s="10" t="s">
        <v>196</v>
      </c>
      <c r="E600" s="10" t="s">
        <v>51</v>
      </c>
      <c r="F600" s="10"/>
      <c r="G600" s="10" t="s">
        <v>425</v>
      </c>
      <c r="H600" s="10"/>
      <c r="I600" s="8" t="n">
        <f aca="false">INDEX(Parâmetros!$C$13:$C$19,MATCH(E600,Parâmetros!$A$13:$A$19,0))</f>
        <v>550</v>
      </c>
      <c r="J600" s="26" t="str">
        <f aca="false">IF(H600="","",Parâmetros!$B$5-H600)</f>
        <v/>
      </c>
      <c r="K600" s="10" t="n">
        <f aca="false">INDEX(Parâmetros!$D$13:$D$19,MATCH(E600,Parâmetros!$A$13:$A$19,0))</f>
        <v>22</v>
      </c>
      <c r="L600" s="26" t="n">
        <f aca="false">IF(G600="Prospecting",Parâmetros!$B$9,IF(J600&gt;Parâmetros!$B$6,0,INDEX(Parâmetros!$C$24:$C$26,MATCH(J600,Parâmetros!$A$24:$A$26,1))))</f>
        <v>10</v>
      </c>
      <c r="M600" s="31" t="n">
        <f aca="false">IF(G600="Prospecting",1,INDEX(Parâmetros!$C$32:$C$35,MATCH(J600,Parâmetros!$A$32:$A$35,1)))</f>
        <v>1</v>
      </c>
      <c r="N600" s="2" t="n">
        <f aca="false">ROUND((K600+L600)*M600,0)</f>
        <v>32</v>
      </c>
      <c r="O600" s="10" t="str">
        <f aca="false">IF(AND(G600="Engaging",J600&gt;Parâmetros!$B$6),"Sim","Não")</f>
        <v>Não</v>
      </c>
      <c r="P600" s="32" t="str">
        <f aca="false">IF(O600="Sim","R",IF(N600&gt;=Parâmetros!$B$39,"A",IF(N600&gt;=Parâmetros!$B$40,"B",IF(N600&gt;=Parâmetros!$B$41,"C","D"))))</f>
        <v>D</v>
      </c>
      <c r="Q600" s="10" t="str">
        <f aca="false">IF(F600="","Completar cadastro","")</f>
        <v>Completar cadastro</v>
      </c>
      <c r="R600" s="10" t="str">
        <f aca="false">INDEX(Parâmetros!$D$39:$D$43,MATCH(P600,Parâmetros!$A$39:$A$43,0))</f>
        <v>Automatizar ou vender em lote</v>
      </c>
    </row>
    <row r="601" customFormat="false" ht="15" hidden="false" customHeight="false" outlineLevel="0" collapsed="false">
      <c r="A601" s="10" t="s">
        <v>839</v>
      </c>
      <c r="B601" s="10" t="s">
        <v>77</v>
      </c>
      <c r="C601" s="10" t="s">
        <v>78</v>
      </c>
      <c r="D601" s="10" t="s">
        <v>196</v>
      </c>
      <c r="E601" s="10" t="s">
        <v>51</v>
      </c>
      <c r="F601" s="10"/>
      <c r="G601" s="10" t="s">
        <v>425</v>
      </c>
      <c r="H601" s="10"/>
      <c r="I601" s="8" t="n">
        <f aca="false">INDEX(Parâmetros!$C$13:$C$19,MATCH(E601,Parâmetros!$A$13:$A$19,0))</f>
        <v>550</v>
      </c>
      <c r="J601" s="26" t="str">
        <f aca="false">IF(H601="","",Parâmetros!$B$5-H601)</f>
        <v/>
      </c>
      <c r="K601" s="10" t="n">
        <f aca="false">INDEX(Parâmetros!$D$13:$D$19,MATCH(E601,Parâmetros!$A$13:$A$19,0))</f>
        <v>22</v>
      </c>
      <c r="L601" s="26" t="n">
        <f aca="false">IF(G601="Prospecting",Parâmetros!$B$9,IF(J601&gt;Parâmetros!$B$6,0,INDEX(Parâmetros!$C$24:$C$26,MATCH(J601,Parâmetros!$A$24:$A$26,1))))</f>
        <v>10</v>
      </c>
      <c r="M601" s="31" t="n">
        <f aca="false">IF(G601="Prospecting",1,INDEX(Parâmetros!$C$32:$C$35,MATCH(J601,Parâmetros!$A$32:$A$35,1)))</f>
        <v>1</v>
      </c>
      <c r="N601" s="2" t="n">
        <f aca="false">ROUND((K601+L601)*M601,0)</f>
        <v>32</v>
      </c>
      <c r="O601" s="10" t="str">
        <f aca="false">IF(AND(G601="Engaging",J601&gt;Parâmetros!$B$6),"Sim","Não")</f>
        <v>Não</v>
      </c>
      <c r="P601" s="32" t="str">
        <f aca="false">IF(O601="Sim","R",IF(N601&gt;=Parâmetros!$B$39,"A",IF(N601&gt;=Parâmetros!$B$40,"B",IF(N601&gt;=Parâmetros!$B$41,"C","D"))))</f>
        <v>D</v>
      </c>
      <c r="Q601" s="10" t="str">
        <f aca="false">IF(F601="","Completar cadastro","")</f>
        <v>Completar cadastro</v>
      </c>
      <c r="R601" s="10" t="str">
        <f aca="false">INDEX(Parâmetros!$D$39:$D$43,MATCH(P601,Parâmetros!$A$39:$A$43,0))</f>
        <v>Automatizar ou vender em lote</v>
      </c>
    </row>
    <row r="602" customFormat="false" ht="15" hidden="false" customHeight="false" outlineLevel="0" collapsed="false">
      <c r="A602" s="10" t="s">
        <v>840</v>
      </c>
      <c r="B602" s="10" t="s">
        <v>79</v>
      </c>
      <c r="C602" s="10" t="s">
        <v>78</v>
      </c>
      <c r="D602" s="10" t="s">
        <v>196</v>
      </c>
      <c r="E602" s="10" t="s">
        <v>51</v>
      </c>
      <c r="F602" s="10" t="s">
        <v>483</v>
      </c>
      <c r="G602" s="10" t="s">
        <v>425</v>
      </c>
      <c r="H602" s="10"/>
      <c r="I602" s="8" t="n">
        <f aca="false">INDEX(Parâmetros!$C$13:$C$19,MATCH(E602,Parâmetros!$A$13:$A$19,0))</f>
        <v>550</v>
      </c>
      <c r="J602" s="26" t="str">
        <f aca="false">IF(H602="","",Parâmetros!$B$5-H602)</f>
        <v/>
      </c>
      <c r="K602" s="10" t="n">
        <f aca="false">INDEX(Parâmetros!$D$13:$D$19,MATCH(E602,Parâmetros!$A$13:$A$19,0))</f>
        <v>22</v>
      </c>
      <c r="L602" s="26" t="n">
        <f aca="false">IF(G602="Prospecting",Parâmetros!$B$9,IF(J602&gt;Parâmetros!$B$6,0,INDEX(Parâmetros!$C$24:$C$26,MATCH(J602,Parâmetros!$A$24:$A$26,1))))</f>
        <v>10</v>
      </c>
      <c r="M602" s="31" t="n">
        <f aca="false">IF(G602="Prospecting",1,INDEX(Parâmetros!$C$32:$C$35,MATCH(J602,Parâmetros!$A$32:$A$35,1)))</f>
        <v>1</v>
      </c>
      <c r="N602" s="2" t="n">
        <f aca="false">ROUND((K602+L602)*M602,0)</f>
        <v>32</v>
      </c>
      <c r="O602" s="10" t="str">
        <f aca="false">IF(AND(G602="Engaging",J602&gt;Parâmetros!$B$6),"Sim","Não")</f>
        <v>Não</v>
      </c>
      <c r="P602" s="32" t="str">
        <f aca="false">IF(O602="Sim","R",IF(N602&gt;=Parâmetros!$B$39,"A",IF(N602&gt;=Parâmetros!$B$40,"B",IF(N602&gt;=Parâmetros!$B$41,"C","D"))))</f>
        <v>D</v>
      </c>
      <c r="Q602" s="10" t="str">
        <f aca="false">IF(F602="","Completar cadastro","")</f>
        <v/>
      </c>
      <c r="R602" s="10" t="str">
        <f aca="false">INDEX(Parâmetros!$D$39:$D$43,MATCH(P602,Parâmetros!$A$39:$A$43,0))</f>
        <v>Automatizar ou vender em lote</v>
      </c>
    </row>
    <row r="603" customFormat="false" ht="15" hidden="false" customHeight="false" outlineLevel="0" collapsed="false">
      <c r="A603" s="10" t="s">
        <v>841</v>
      </c>
      <c r="B603" s="10" t="s">
        <v>79</v>
      </c>
      <c r="C603" s="10" t="s">
        <v>78</v>
      </c>
      <c r="D603" s="10" t="s">
        <v>196</v>
      </c>
      <c r="E603" s="10" t="s">
        <v>51</v>
      </c>
      <c r="F603" s="10"/>
      <c r="G603" s="10" t="s">
        <v>425</v>
      </c>
      <c r="H603" s="10"/>
      <c r="I603" s="8" t="n">
        <f aca="false">INDEX(Parâmetros!$C$13:$C$19,MATCH(E603,Parâmetros!$A$13:$A$19,0))</f>
        <v>550</v>
      </c>
      <c r="J603" s="26" t="str">
        <f aca="false">IF(H603="","",Parâmetros!$B$5-H603)</f>
        <v/>
      </c>
      <c r="K603" s="10" t="n">
        <f aca="false">INDEX(Parâmetros!$D$13:$D$19,MATCH(E603,Parâmetros!$A$13:$A$19,0))</f>
        <v>22</v>
      </c>
      <c r="L603" s="26" t="n">
        <f aca="false">IF(G603="Prospecting",Parâmetros!$B$9,IF(J603&gt;Parâmetros!$B$6,0,INDEX(Parâmetros!$C$24:$C$26,MATCH(J603,Parâmetros!$A$24:$A$26,1))))</f>
        <v>10</v>
      </c>
      <c r="M603" s="31" t="n">
        <f aca="false">IF(G603="Prospecting",1,INDEX(Parâmetros!$C$32:$C$35,MATCH(J603,Parâmetros!$A$32:$A$35,1)))</f>
        <v>1</v>
      </c>
      <c r="N603" s="2" t="n">
        <f aca="false">ROUND((K603+L603)*M603,0)</f>
        <v>32</v>
      </c>
      <c r="O603" s="10" t="str">
        <f aca="false">IF(AND(G603="Engaging",J603&gt;Parâmetros!$B$6),"Sim","Não")</f>
        <v>Não</v>
      </c>
      <c r="P603" s="32" t="str">
        <f aca="false">IF(O603="Sim","R",IF(N603&gt;=Parâmetros!$B$39,"A",IF(N603&gt;=Parâmetros!$B$40,"B",IF(N603&gt;=Parâmetros!$B$41,"C","D"))))</f>
        <v>D</v>
      </c>
      <c r="Q603" s="10" t="str">
        <f aca="false">IF(F603="","Completar cadastro","")</f>
        <v>Completar cadastro</v>
      </c>
      <c r="R603" s="10" t="str">
        <f aca="false">INDEX(Parâmetros!$D$39:$D$43,MATCH(P603,Parâmetros!$A$39:$A$43,0))</f>
        <v>Automatizar ou vender em lote</v>
      </c>
    </row>
    <row r="604" customFormat="false" ht="15" hidden="false" customHeight="false" outlineLevel="0" collapsed="false">
      <c r="A604" s="10" t="s">
        <v>842</v>
      </c>
      <c r="B604" s="10" t="s">
        <v>79</v>
      </c>
      <c r="C604" s="10" t="s">
        <v>78</v>
      </c>
      <c r="D604" s="10" t="s">
        <v>196</v>
      </c>
      <c r="E604" s="10" t="s">
        <v>51</v>
      </c>
      <c r="F604" s="10"/>
      <c r="G604" s="10" t="s">
        <v>425</v>
      </c>
      <c r="H604" s="10"/>
      <c r="I604" s="8" t="n">
        <f aca="false">INDEX(Parâmetros!$C$13:$C$19,MATCH(E604,Parâmetros!$A$13:$A$19,0))</f>
        <v>550</v>
      </c>
      <c r="J604" s="26" t="str">
        <f aca="false">IF(H604="","",Parâmetros!$B$5-H604)</f>
        <v/>
      </c>
      <c r="K604" s="10" t="n">
        <f aca="false">INDEX(Parâmetros!$D$13:$D$19,MATCH(E604,Parâmetros!$A$13:$A$19,0))</f>
        <v>22</v>
      </c>
      <c r="L604" s="26" t="n">
        <f aca="false">IF(G604="Prospecting",Parâmetros!$B$9,IF(J604&gt;Parâmetros!$B$6,0,INDEX(Parâmetros!$C$24:$C$26,MATCH(J604,Parâmetros!$A$24:$A$26,1))))</f>
        <v>10</v>
      </c>
      <c r="M604" s="31" t="n">
        <f aca="false">IF(G604="Prospecting",1,INDEX(Parâmetros!$C$32:$C$35,MATCH(J604,Parâmetros!$A$32:$A$35,1)))</f>
        <v>1</v>
      </c>
      <c r="N604" s="2" t="n">
        <f aca="false">ROUND((K604+L604)*M604,0)</f>
        <v>32</v>
      </c>
      <c r="O604" s="10" t="str">
        <f aca="false">IF(AND(G604="Engaging",J604&gt;Parâmetros!$B$6),"Sim","Não")</f>
        <v>Não</v>
      </c>
      <c r="P604" s="32" t="str">
        <f aca="false">IF(O604="Sim","R",IF(N604&gt;=Parâmetros!$B$39,"A",IF(N604&gt;=Parâmetros!$B$40,"B",IF(N604&gt;=Parâmetros!$B$41,"C","D"))))</f>
        <v>D</v>
      </c>
      <c r="Q604" s="10" t="str">
        <f aca="false">IF(F604="","Completar cadastro","")</f>
        <v>Completar cadastro</v>
      </c>
      <c r="R604" s="10" t="str">
        <f aca="false">INDEX(Parâmetros!$D$39:$D$43,MATCH(P604,Parâmetros!$A$39:$A$43,0))</f>
        <v>Automatizar ou vender em lote</v>
      </c>
    </row>
    <row r="605" customFormat="false" ht="15" hidden="false" customHeight="false" outlineLevel="0" collapsed="false">
      <c r="A605" s="10" t="s">
        <v>843</v>
      </c>
      <c r="B605" s="10" t="s">
        <v>79</v>
      </c>
      <c r="C605" s="10" t="s">
        <v>78</v>
      </c>
      <c r="D605" s="10" t="s">
        <v>196</v>
      </c>
      <c r="E605" s="10" t="s">
        <v>51</v>
      </c>
      <c r="F605" s="10"/>
      <c r="G605" s="10" t="s">
        <v>425</v>
      </c>
      <c r="H605" s="10"/>
      <c r="I605" s="8" t="n">
        <f aca="false">INDEX(Parâmetros!$C$13:$C$19,MATCH(E605,Parâmetros!$A$13:$A$19,0))</f>
        <v>550</v>
      </c>
      <c r="J605" s="26" t="str">
        <f aca="false">IF(H605="","",Parâmetros!$B$5-H605)</f>
        <v/>
      </c>
      <c r="K605" s="10" t="n">
        <f aca="false">INDEX(Parâmetros!$D$13:$D$19,MATCH(E605,Parâmetros!$A$13:$A$19,0))</f>
        <v>22</v>
      </c>
      <c r="L605" s="26" t="n">
        <f aca="false">IF(G605="Prospecting",Parâmetros!$B$9,IF(J605&gt;Parâmetros!$B$6,0,INDEX(Parâmetros!$C$24:$C$26,MATCH(J605,Parâmetros!$A$24:$A$26,1))))</f>
        <v>10</v>
      </c>
      <c r="M605" s="31" t="n">
        <f aca="false">IF(G605="Prospecting",1,INDEX(Parâmetros!$C$32:$C$35,MATCH(J605,Parâmetros!$A$32:$A$35,1)))</f>
        <v>1</v>
      </c>
      <c r="N605" s="2" t="n">
        <f aca="false">ROUND((K605+L605)*M605,0)</f>
        <v>32</v>
      </c>
      <c r="O605" s="10" t="str">
        <f aca="false">IF(AND(G605="Engaging",J605&gt;Parâmetros!$B$6),"Sim","Não")</f>
        <v>Não</v>
      </c>
      <c r="P605" s="32" t="str">
        <f aca="false">IF(O605="Sim","R",IF(N605&gt;=Parâmetros!$B$39,"A",IF(N605&gt;=Parâmetros!$B$40,"B",IF(N605&gt;=Parâmetros!$B$41,"C","D"))))</f>
        <v>D</v>
      </c>
      <c r="Q605" s="10" t="str">
        <f aca="false">IF(F605="","Completar cadastro","")</f>
        <v>Completar cadastro</v>
      </c>
      <c r="R605" s="10" t="str">
        <f aca="false">INDEX(Parâmetros!$D$39:$D$43,MATCH(P605,Parâmetros!$A$39:$A$43,0))</f>
        <v>Automatizar ou vender em lote</v>
      </c>
    </row>
    <row r="606" customFormat="false" ht="15" hidden="false" customHeight="false" outlineLevel="0" collapsed="false">
      <c r="A606" s="10" t="s">
        <v>844</v>
      </c>
      <c r="B606" s="10" t="s">
        <v>80</v>
      </c>
      <c r="C606" s="10" t="s">
        <v>78</v>
      </c>
      <c r="D606" s="10" t="s">
        <v>196</v>
      </c>
      <c r="E606" s="10" t="s">
        <v>51</v>
      </c>
      <c r="F606" s="10" t="s">
        <v>274</v>
      </c>
      <c r="G606" s="10" t="s">
        <v>425</v>
      </c>
      <c r="H606" s="10"/>
      <c r="I606" s="8" t="n">
        <f aca="false">INDEX(Parâmetros!$C$13:$C$19,MATCH(E606,Parâmetros!$A$13:$A$19,0))</f>
        <v>550</v>
      </c>
      <c r="J606" s="26" t="str">
        <f aca="false">IF(H606="","",Parâmetros!$B$5-H606)</f>
        <v/>
      </c>
      <c r="K606" s="10" t="n">
        <f aca="false">INDEX(Parâmetros!$D$13:$D$19,MATCH(E606,Parâmetros!$A$13:$A$19,0))</f>
        <v>22</v>
      </c>
      <c r="L606" s="26" t="n">
        <f aca="false">IF(G606="Prospecting",Parâmetros!$B$9,IF(J606&gt;Parâmetros!$B$6,0,INDEX(Parâmetros!$C$24:$C$26,MATCH(J606,Parâmetros!$A$24:$A$26,1))))</f>
        <v>10</v>
      </c>
      <c r="M606" s="31" t="n">
        <f aca="false">IF(G606="Prospecting",1,INDEX(Parâmetros!$C$32:$C$35,MATCH(J606,Parâmetros!$A$32:$A$35,1)))</f>
        <v>1</v>
      </c>
      <c r="N606" s="2" t="n">
        <f aca="false">ROUND((K606+L606)*M606,0)</f>
        <v>32</v>
      </c>
      <c r="O606" s="10" t="str">
        <f aca="false">IF(AND(G606="Engaging",J606&gt;Parâmetros!$B$6),"Sim","Não")</f>
        <v>Não</v>
      </c>
      <c r="P606" s="32" t="str">
        <f aca="false">IF(O606="Sim","R",IF(N606&gt;=Parâmetros!$B$39,"A",IF(N606&gt;=Parâmetros!$B$40,"B",IF(N606&gt;=Parâmetros!$B$41,"C","D"))))</f>
        <v>D</v>
      </c>
      <c r="Q606" s="10" t="str">
        <f aca="false">IF(F606="","Completar cadastro","")</f>
        <v/>
      </c>
      <c r="R606" s="10" t="str">
        <f aca="false">INDEX(Parâmetros!$D$39:$D$43,MATCH(P606,Parâmetros!$A$39:$A$43,0))</f>
        <v>Automatizar ou vender em lote</v>
      </c>
    </row>
    <row r="607" customFormat="false" ht="15" hidden="false" customHeight="false" outlineLevel="0" collapsed="false">
      <c r="A607" s="10" t="s">
        <v>845</v>
      </c>
      <c r="B607" s="10" t="s">
        <v>80</v>
      </c>
      <c r="C607" s="10" t="s">
        <v>78</v>
      </c>
      <c r="D607" s="10" t="s">
        <v>196</v>
      </c>
      <c r="E607" s="10" t="s">
        <v>51</v>
      </c>
      <c r="F607" s="10" t="s">
        <v>353</v>
      </c>
      <c r="G607" s="10" t="s">
        <v>425</v>
      </c>
      <c r="H607" s="10"/>
      <c r="I607" s="8" t="n">
        <f aca="false">INDEX(Parâmetros!$C$13:$C$19,MATCH(E607,Parâmetros!$A$13:$A$19,0))</f>
        <v>550</v>
      </c>
      <c r="J607" s="26" t="str">
        <f aca="false">IF(H607="","",Parâmetros!$B$5-H607)</f>
        <v/>
      </c>
      <c r="K607" s="10" t="n">
        <f aca="false">INDEX(Parâmetros!$D$13:$D$19,MATCH(E607,Parâmetros!$A$13:$A$19,0))</f>
        <v>22</v>
      </c>
      <c r="L607" s="26" t="n">
        <f aca="false">IF(G607="Prospecting",Parâmetros!$B$9,IF(J607&gt;Parâmetros!$B$6,0,INDEX(Parâmetros!$C$24:$C$26,MATCH(J607,Parâmetros!$A$24:$A$26,1))))</f>
        <v>10</v>
      </c>
      <c r="M607" s="31" t="n">
        <f aca="false">IF(G607="Prospecting",1,INDEX(Parâmetros!$C$32:$C$35,MATCH(J607,Parâmetros!$A$32:$A$35,1)))</f>
        <v>1</v>
      </c>
      <c r="N607" s="2" t="n">
        <f aca="false">ROUND((K607+L607)*M607,0)</f>
        <v>32</v>
      </c>
      <c r="O607" s="10" t="str">
        <f aca="false">IF(AND(G607="Engaging",J607&gt;Parâmetros!$B$6),"Sim","Não")</f>
        <v>Não</v>
      </c>
      <c r="P607" s="32" t="str">
        <f aca="false">IF(O607="Sim","R",IF(N607&gt;=Parâmetros!$B$39,"A",IF(N607&gt;=Parâmetros!$B$40,"B",IF(N607&gt;=Parâmetros!$B$41,"C","D"))))</f>
        <v>D</v>
      </c>
      <c r="Q607" s="10" t="str">
        <f aca="false">IF(F607="","Completar cadastro","")</f>
        <v/>
      </c>
      <c r="R607" s="10" t="str">
        <f aca="false">INDEX(Parâmetros!$D$39:$D$43,MATCH(P607,Parâmetros!$A$39:$A$43,0))</f>
        <v>Automatizar ou vender em lote</v>
      </c>
    </row>
    <row r="608" customFormat="false" ht="15" hidden="false" customHeight="false" outlineLevel="0" collapsed="false">
      <c r="A608" s="10" t="s">
        <v>846</v>
      </c>
      <c r="B608" s="10" t="s">
        <v>80</v>
      </c>
      <c r="C608" s="10" t="s">
        <v>78</v>
      </c>
      <c r="D608" s="10" t="s">
        <v>196</v>
      </c>
      <c r="E608" s="10" t="s">
        <v>51</v>
      </c>
      <c r="F608" s="10" t="s">
        <v>512</v>
      </c>
      <c r="G608" s="10" t="s">
        <v>425</v>
      </c>
      <c r="H608" s="10"/>
      <c r="I608" s="8" t="n">
        <f aca="false">INDEX(Parâmetros!$C$13:$C$19,MATCH(E608,Parâmetros!$A$13:$A$19,0))</f>
        <v>550</v>
      </c>
      <c r="J608" s="26" t="str">
        <f aca="false">IF(H608="","",Parâmetros!$B$5-H608)</f>
        <v/>
      </c>
      <c r="K608" s="10" t="n">
        <f aca="false">INDEX(Parâmetros!$D$13:$D$19,MATCH(E608,Parâmetros!$A$13:$A$19,0))</f>
        <v>22</v>
      </c>
      <c r="L608" s="26" t="n">
        <f aca="false">IF(G608="Prospecting",Parâmetros!$B$9,IF(J608&gt;Parâmetros!$B$6,0,INDEX(Parâmetros!$C$24:$C$26,MATCH(J608,Parâmetros!$A$24:$A$26,1))))</f>
        <v>10</v>
      </c>
      <c r="M608" s="31" t="n">
        <f aca="false">IF(G608="Prospecting",1,INDEX(Parâmetros!$C$32:$C$35,MATCH(J608,Parâmetros!$A$32:$A$35,1)))</f>
        <v>1</v>
      </c>
      <c r="N608" s="2" t="n">
        <f aca="false">ROUND((K608+L608)*M608,0)</f>
        <v>32</v>
      </c>
      <c r="O608" s="10" t="str">
        <f aca="false">IF(AND(G608="Engaging",J608&gt;Parâmetros!$B$6),"Sim","Não")</f>
        <v>Não</v>
      </c>
      <c r="P608" s="32" t="str">
        <f aca="false">IF(O608="Sim","R",IF(N608&gt;=Parâmetros!$B$39,"A",IF(N608&gt;=Parâmetros!$B$40,"B",IF(N608&gt;=Parâmetros!$B$41,"C","D"))))</f>
        <v>D</v>
      </c>
      <c r="Q608" s="10" t="str">
        <f aca="false">IF(F608="","Completar cadastro","")</f>
        <v/>
      </c>
      <c r="R608" s="10" t="str">
        <f aca="false">INDEX(Parâmetros!$D$39:$D$43,MATCH(P608,Parâmetros!$A$39:$A$43,0))</f>
        <v>Automatizar ou vender em lote</v>
      </c>
    </row>
    <row r="609" customFormat="false" ht="15" hidden="false" customHeight="false" outlineLevel="0" collapsed="false">
      <c r="A609" s="10" t="s">
        <v>847</v>
      </c>
      <c r="B609" s="10" t="s">
        <v>80</v>
      </c>
      <c r="C609" s="10" t="s">
        <v>78</v>
      </c>
      <c r="D609" s="10" t="s">
        <v>196</v>
      </c>
      <c r="E609" s="10" t="s">
        <v>51</v>
      </c>
      <c r="F609" s="10" t="s">
        <v>279</v>
      </c>
      <c r="G609" s="10" t="s">
        <v>425</v>
      </c>
      <c r="H609" s="10"/>
      <c r="I609" s="8" t="n">
        <f aca="false">INDEX(Parâmetros!$C$13:$C$19,MATCH(E609,Parâmetros!$A$13:$A$19,0))</f>
        <v>550</v>
      </c>
      <c r="J609" s="26" t="str">
        <f aca="false">IF(H609="","",Parâmetros!$B$5-H609)</f>
        <v/>
      </c>
      <c r="K609" s="10" t="n">
        <f aca="false">INDEX(Parâmetros!$D$13:$D$19,MATCH(E609,Parâmetros!$A$13:$A$19,0))</f>
        <v>22</v>
      </c>
      <c r="L609" s="26" t="n">
        <f aca="false">IF(G609="Prospecting",Parâmetros!$B$9,IF(J609&gt;Parâmetros!$B$6,0,INDEX(Parâmetros!$C$24:$C$26,MATCH(J609,Parâmetros!$A$24:$A$26,1))))</f>
        <v>10</v>
      </c>
      <c r="M609" s="31" t="n">
        <f aca="false">IF(G609="Prospecting",1,INDEX(Parâmetros!$C$32:$C$35,MATCH(J609,Parâmetros!$A$32:$A$35,1)))</f>
        <v>1</v>
      </c>
      <c r="N609" s="2" t="n">
        <f aca="false">ROUND((K609+L609)*M609,0)</f>
        <v>32</v>
      </c>
      <c r="O609" s="10" t="str">
        <f aca="false">IF(AND(G609="Engaging",J609&gt;Parâmetros!$B$6),"Sim","Não")</f>
        <v>Não</v>
      </c>
      <c r="P609" s="32" t="str">
        <f aca="false">IF(O609="Sim","R",IF(N609&gt;=Parâmetros!$B$39,"A",IF(N609&gt;=Parâmetros!$B$40,"B",IF(N609&gt;=Parâmetros!$B$41,"C","D"))))</f>
        <v>D</v>
      </c>
      <c r="Q609" s="10" t="str">
        <f aca="false">IF(F609="","Completar cadastro","")</f>
        <v/>
      </c>
      <c r="R609" s="10" t="str">
        <f aca="false">INDEX(Parâmetros!$D$39:$D$43,MATCH(P609,Parâmetros!$A$39:$A$43,0))</f>
        <v>Automatizar ou vender em lote</v>
      </c>
    </row>
    <row r="610" customFormat="false" ht="15" hidden="false" customHeight="false" outlineLevel="0" collapsed="false">
      <c r="A610" s="10" t="s">
        <v>848</v>
      </c>
      <c r="B610" s="10" t="s">
        <v>80</v>
      </c>
      <c r="C610" s="10" t="s">
        <v>78</v>
      </c>
      <c r="D610" s="10" t="s">
        <v>196</v>
      </c>
      <c r="E610" s="10" t="s">
        <v>51</v>
      </c>
      <c r="F610" s="10" t="s">
        <v>711</v>
      </c>
      <c r="G610" s="10" t="s">
        <v>425</v>
      </c>
      <c r="H610" s="10"/>
      <c r="I610" s="8" t="n">
        <f aca="false">INDEX(Parâmetros!$C$13:$C$19,MATCH(E610,Parâmetros!$A$13:$A$19,0))</f>
        <v>550</v>
      </c>
      <c r="J610" s="26" t="str">
        <f aca="false">IF(H610="","",Parâmetros!$B$5-H610)</f>
        <v/>
      </c>
      <c r="K610" s="10" t="n">
        <f aca="false">INDEX(Parâmetros!$D$13:$D$19,MATCH(E610,Parâmetros!$A$13:$A$19,0))</f>
        <v>22</v>
      </c>
      <c r="L610" s="26" t="n">
        <f aca="false">IF(G610="Prospecting",Parâmetros!$B$9,IF(J610&gt;Parâmetros!$B$6,0,INDEX(Parâmetros!$C$24:$C$26,MATCH(J610,Parâmetros!$A$24:$A$26,1))))</f>
        <v>10</v>
      </c>
      <c r="M610" s="31" t="n">
        <f aca="false">IF(G610="Prospecting",1,INDEX(Parâmetros!$C$32:$C$35,MATCH(J610,Parâmetros!$A$32:$A$35,1)))</f>
        <v>1</v>
      </c>
      <c r="N610" s="2" t="n">
        <f aca="false">ROUND((K610+L610)*M610,0)</f>
        <v>32</v>
      </c>
      <c r="O610" s="10" t="str">
        <f aca="false">IF(AND(G610="Engaging",J610&gt;Parâmetros!$B$6),"Sim","Não")</f>
        <v>Não</v>
      </c>
      <c r="P610" s="32" t="str">
        <f aca="false">IF(O610="Sim","R",IF(N610&gt;=Parâmetros!$B$39,"A",IF(N610&gt;=Parâmetros!$B$40,"B",IF(N610&gt;=Parâmetros!$B$41,"C","D"))))</f>
        <v>D</v>
      </c>
      <c r="Q610" s="10" t="str">
        <f aca="false">IF(F610="","Completar cadastro","")</f>
        <v/>
      </c>
      <c r="R610" s="10" t="str">
        <f aca="false">INDEX(Parâmetros!$D$39:$D$43,MATCH(P610,Parâmetros!$A$39:$A$43,0))</f>
        <v>Automatizar ou vender em lote</v>
      </c>
    </row>
    <row r="611" customFormat="false" ht="15" hidden="false" customHeight="false" outlineLevel="0" collapsed="false">
      <c r="A611" s="10" t="s">
        <v>849</v>
      </c>
      <c r="B611" s="10" t="s">
        <v>80</v>
      </c>
      <c r="C611" s="10" t="s">
        <v>78</v>
      </c>
      <c r="D611" s="10" t="s">
        <v>196</v>
      </c>
      <c r="E611" s="10" t="s">
        <v>51</v>
      </c>
      <c r="F611" s="10" t="s">
        <v>170</v>
      </c>
      <c r="G611" s="10" t="s">
        <v>425</v>
      </c>
      <c r="H611" s="10"/>
      <c r="I611" s="8" t="n">
        <f aca="false">INDEX(Parâmetros!$C$13:$C$19,MATCH(E611,Parâmetros!$A$13:$A$19,0))</f>
        <v>550</v>
      </c>
      <c r="J611" s="26" t="str">
        <f aca="false">IF(H611="","",Parâmetros!$B$5-H611)</f>
        <v/>
      </c>
      <c r="K611" s="10" t="n">
        <f aca="false">INDEX(Parâmetros!$D$13:$D$19,MATCH(E611,Parâmetros!$A$13:$A$19,0))</f>
        <v>22</v>
      </c>
      <c r="L611" s="26" t="n">
        <f aca="false">IF(G611="Prospecting",Parâmetros!$B$9,IF(J611&gt;Parâmetros!$B$6,0,INDEX(Parâmetros!$C$24:$C$26,MATCH(J611,Parâmetros!$A$24:$A$26,1))))</f>
        <v>10</v>
      </c>
      <c r="M611" s="31" t="n">
        <f aca="false">IF(G611="Prospecting",1,INDEX(Parâmetros!$C$32:$C$35,MATCH(J611,Parâmetros!$A$32:$A$35,1)))</f>
        <v>1</v>
      </c>
      <c r="N611" s="2" t="n">
        <f aca="false">ROUND((K611+L611)*M611,0)</f>
        <v>32</v>
      </c>
      <c r="O611" s="10" t="str">
        <f aca="false">IF(AND(G611="Engaging",J611&gt;Parâmetros!$B$6),"Sim","Não")</f>
        <v>Não</v>
      </c>
      <c r="P611" s="32" t="str">
        <f aca="false">IF(O611="Sim","R",IF(N611&gt;=Parâmetros!$B$39,"A",IF(N611&gt;=Parâmetros!$B$40,"B",IF(N611&gt;=Parâmetros!$B$41,"C","D"))))</f>
        <v>D</v>
      </c>
      <c r="Q611" s="10" t="str">
        <f aca="false">IF(F611="","Completar cadastro","")</f>
        <v/>
      </c>
      <c r="R611" s="10" t="str">
        <f aca="false">INDEX(Parâmetros!$D$39:$D$43,MATCH(P611,Parâmetros!$A$39:$A$43,0))</f>
        <v>Automatizar ou vender em lote</v>
      </c>
    </row>
    <row r="612" customFormat="false" ht="15" hidden="false" customHeight="false" outlineLevel="0" collapsed="false">
      <c r="A612" s="10" t="s">
        <v>850</v>
      </c>
      <c r="B612" s="10" t="s">
        <v>80</v>
      </c>
      <c r="C612" s="10" t="s">
        <v>78</v>
      </c>
      <c r="D612" s="10" t="s">
        <v>196</v>
      </c>
      <c r="E612" s="10" t="s">
        <v>51</v>
      </c>
      <c r="F612" s="10" t="s">
        <v>455</v>
      </c>
      <c r="G612" s="10" t="s">
        <v>425</v>
      </c>
      <c r="H612" s="10"/>
      <c r="I612" s="8" t="n">
        <f aca="false">INDEX(Parâmetros!$C$13:$C$19,MATCH(E612,Parâmetros!$A$13:$A$19,0))</f>
        <v>550</v>
      </c>
      <c r="J612" s="26" t="str">
        <f aca="false">IF(H612="","",Parâmetros!$B$5-H612)</f>
        <v/>
      </c>
      <c r="K612" s="10" t="n">
        <f aca="false">INDEX(Parâmetros!$D$13:$D$19,MATCH(E612,Parâmetros!$A$13:$A$19,0))</f>
        <v>22</v>
      </c>
      <c r="L612" s="26" t="n">
        <f aca="false">IF(G612="Prospecting",Parâmetros!$B$9,IF(J612&gt;Parâmetros!$B$6,0,INDEX(Parâmetros!$C$24:$C$26,MATCH(J612,Parâmetros!$A$24:$A$26,1))))</f>
        <v>10</v>
      </c>
      <c r="M612" s="31" t="n">
        <f aca="false">IF(G612="Prospecting",1,INDEX(Parâmetros!$C$32:$C$35,MATCH(J612,Parâmetros!$A$32:$A$35,1)))</f>
        <v>1</v>
      </c>
      <c r="N612" s="2" t="n">
        <f aca="false">ROUND((K612+L612)*M612,0)</f>
        <v>32</v>
      </c>
      <c r="O612" s="10" t="str">
        <f aca="false">IF(AND(G612="Engaging",J612&gt;Parâmetros!$B$6),"Sim","Não")</f>
        <v>Não</v>
      </c>
      <c r="P612" s="32" t="str">
        <f aca="false">IF(O612="Sim","R",IF(N612&gt;=Parâmetros!$B$39,"A",IF(N612&gt;=Parâmetros!$B$40,"B",IF(N612&gt;=Parâmetros!$B$41,"C","D"))))</f>
        <v>D</v>
      </c>
      <c r="Q612" s="10" t="str">
        <f aca="false">IF(F612="","Completar cadastro","")</f>
        <v/>
      </c>
      <c r="R612" s="10" t="str">
        <f aca="false">INDEX(Parâmetros!$D$39:$D$43,MATCH(P612,Parâmetros!$A$39:$A$43,0))</f>
        <v>Automatizar ou vender em lote</v>
      </c>
    </row>
    <row r="613" customFormat="false" ht="15" hidden="false" customHeight="false" outlineLevel="0" collapsed="false">
      <c r="A613" s="10" t="s">
        <v>851</v>
      </c>
      <c r="B613" s="10" t="s">
        <v>80</v>
      </c>
      <c r="C613" s="10" t="s">
        <v>78</v>
      </c>
      <c r="D613" s="10" t="s">
        <v>196</v>
      </c>
      <c r="E613" s="10" t="s">
        <v>51</v>
      </c>
      <c r="F613" s="10" t="s">
        <v>350</v>
      </c>
      <c r="G613" s="10" t="s">
        <v>425</v>
      </c>
      <c r="H613" s="10"/>
      <c r="I613" s="8" t="n">
        <f aca="false">INDEX(Parâmetros!$C$13:$C$19,MATCH(E613,Parâmetros!$A$13:$A$19,0))</f>
        <v>550</v>
      </c>
      <c r="J613" s="26" t="str">
        <f aca="false">IF(H613="","",Parâmetros!$B$5-H613)</f>
        <v/>
      </c>
      <c r="K613" s="10" t="n">
        <f aca="false">INDEX(Parâmetros!$D$13:$D$19,MATCH(E613,Parâmetros!$A$13:$A$19,0))</f>
        <v>22</v>
      </c>
      <c r="L613" s="26" t="n">
        <f aca="false">IF(G613="Prospecting",Parâmetros!$B$9,IF(J613&gt;Parâmetros!$B$6,0,INDEX(Parâmetros!$C$24:$C$26,MATCH(J613,Parâmetros!$A$24:$A$26,1))))</f>
        <v>10</v>
      </c>
      <c r="M613" s="31" t="n">
        <f aca="false">IF(G613="Prospecting",1,INDEX(Parâmetros!$C$32:$C$35,MATCH(J613,Parâmetros!$A$32:$A$35,1)))</f>
        <v>1</v>
      </c>
      <c r="N613" s="2" t="n">
        <f aca="false">ROUND((K613+L613)*M613,0)</f>
        <v>32</v>
      </c>
      <c r="O613" s="10" t="str">
        <f aca="false">IF(AND(G613="Engaging",J613&gt;Parâmetros!$B$6),"Sim","Não")</f>
        <v>Não</v>
      </c>
      <c r="P613" s="32" t="str">
        <f aca="false">IF(O613="Sim","R",IF(N613&gt;=Parâmetros!$B$39,"A",IF(N613&gt;=Parâmetros!$B$40,"B",IF(N613&gt;=Parâmetros!$B$41,"C","D"))))</f>
        <v>D</v>
      </c>
      <c r="Q613" s="10" t="str">
        <f aca="false">IF(F613="","Completar cadastro","")</f>
        <v/>
      </c>
      <c r="R613" s="10" t="str">
        <f aca="false">INDEX(Parâmetros!$D$39:$D$43,MATCH(P613,Parâmetros!$A$39:$A$43,0))</f>
        <v>Automatizar ou vender em lote</v>
      </c>
    </row>
    <row r="614" customFormat="false" ht="15" hidden="false" customHeight="false" outlineLevel="0" collapsed="false">
      <c r="A614" s="10" t="s">
        <v>852</v>
      </c>
      <c r="B614" s="10" t="s">
        <v>80</v>
      </c>
      <c r="C614" s="10" t="s">
        <v>78</v>
      </c>
      <c r="D614" s="10" t="s">
        <v>196</v>
      </c>
      <c r="E614" s="10" t="s">
        <v>51</v>
      </c>
      <c r="F614" s="10" t="s">
        <v>293</v>
      </c>
      <c r="G614" s="10" t="s">
        <v>425</v>
      </c>
      <c r="H614" s="10"/>
      <c r="I614" s="8" t="n">
        <f aca="false">INDEX(Parâmetros!$C$13:$C$19,MATCH(E614,Parâmetros!$A$13:$A$19,0))</f>
        <v>550</v>
      </c>
      <c r="J614" s="26" t="str">
        <f aca="false">IF(H614="","",Parâmetros!$B$5-H614)</f>
        <v/>
      </c>
      <c r="K614" s="10" t="n">
        <f aca="false">INDEX(Parâmetros!$D$13:$D$19,MATCH(E614,Parâmetros!$A$13:$A$19,0))</f>
        <v>22</v>
      </c>
      <c r="L614" s="26" t="n">
        <f aca="false">IF(G614="Prospecting",Parâmetros!$B$9,IF(J614&gt;Parâmetros!$B$6,0,INDEX(Parâmetros!$C$24:$C$26,MATCH(J614,Parâmetros!$A$24:$A$26,1))))</f>
        <v>10</v>
      </c>
      <c r="M614" s="31" t="n">
        <f aca="false">IF(G614="Prospecting",1,INDEX(Parâmetros!$C$32:$C$35,MATCH(J614,Parâmetros!$A$32:$A$35,1)))</f>
        <v>1</v>
      </c>
      <c r="N614" s="2" t="n">
        <f aca="false">ROUND((K614+L614)*M614,0)</f>
        <v>32</v>
      </c>
      <c r="O614" s="10" t="str">
        <f aca="false">IF(AND(G614="Engaging",J614&gt;Parâmetros!$B$6),"Sim","Não")</f>
        <v>Não</v>
      </c>
      <c r="P614" s="32" t="str">
        <f aca="false">IF(O614="Sim","R",IF(N614&gt;=Parâmetros!$B$39,"A",IF(N614&gt;=Parâmetros!$B$40,"B",IF(N614&gt;=Parâmetros!$B$41,"C","D"))))</f>
        <v>D</v>
      </c>
      <c r="Q614" s="10" t="str">
        <f aca="false">IF(F614="","Completar cadastro","")</f>
        <v/>
      </c>
      <c r="R614" s="10" t="str">
        <f aca="false">INDEX(Parâmetros!$D$39:$D$43,MATCH(P614,Parâmetros!$A$39:$A$43,0))</f>
        <v>Automatizar ou vender em lote</v>
      </c>
    </row>
    <row r="615" customFormat="false" ht="15" hidden="false" customHeight="false" outlineLevel="0" collapsed="false">
      <c r="A615" s="10" t="s">
        <v>853</v>
      </c>
      <c r="B615" s="10" t="s">
        <v>80</v>
      </c>
      <c r="C615" s="10" t="s">
        <v>78</v>
      </c>
      <c r="D615" s="10" t="s">
        <v>196</v>
      </c>
      <c r="E615" s="10" t="s">
        <v>51</v>
      </c>
      <c r="F615" s="10"/>
      <c r="G615" s="10" t="s">
        <v>425</v>
      </c>
      <c r="H615" s="10"/>
      <c r="I615" s="8" t="n">
        <f aca="false">INDEX(Parâmetros!$C$13:$C$19,MATCH(E615,Parâmetros!$A$13:$A$19,0))</f>
        <v>550</v>
      </c>
      <c r="J615" s="26" t="str">
        <f aca="false">IF(H615="","",Parâmetros!$B$5-H615)</f>
        <v/>
      </c>
      <c r="K615" s="10" t="n">
        <f aca="false">INDEX(Parâmetros!$D$13:$D$19,MATCH(E615,Parâmetros!$A$13:$A$19,0))</f>
        <v>22</v>
      </c>
      <c r="L615" s="26" t="n">
        <f aca="false">IF(G615="Prospecting",Parâmetros!$B$9,IF(J615&gt;Parâmetros!$B$6,0,INDEX(Parâmetros!$C$24:$C$26,MATCH(J615,Parâmetros!$A$24:$A$26,1))))</f>
        <v>10</v>
      </c>
      <c r="M615" s="31" t="n">
        <f aca="false">IF(G615="Prospecting",1,INDEX(Parâmetros!$C$32:$C$35,MATCH(J615,Parâmetros!$A$32:$A$35,1)))</f>
        <v>1</v>
      </c>
      <c r="N615" s="2" t="n">
        <f aca="false">ROUND((K615+L615)*M615,0)</f>
        <v>32</v>
      </c>
      <c r="O615" s="10" t="str">
        <f aca="false">IF(AND(G615="Engaging",J615&gt;Parâmetros!$B$6),"Sim","Não")</f>
        <v>Não</v>
      </c>
      <c r="P615" s="32" t="str">
        <f aca="false">IF(O615="Sim","R",IF(N615&gt;=Parâmetros!$B$39,"A",IF(N615&gt;=Parâmetros!$B$40,"B",IF(N615&gt;=Parâmetros!$B$41,"C","D"))))</f>
        <v>D</v>
      </c>
      <c r="Q615" s="10" t="str">
        <f aca="false">IF(F615="","Completar cadastro","")</f>
        <v>Completar cadastro</v>
      </c>
      <c r="R615" s="10" t="str">
        <f aca="false">INDEX(Parâmetros!$D$39:$D$43,MATCH(P615,Parâmetros!$A$39:$A$43,0))</f>
        <v>Automatizar ou vender em lote</v>
      </c>
    </row>
    <row r="616" customFormat="false" ht="15" hidden="false" customHeight="false" outlineLevel="0" collapsed="false">
      <c r="A616" s="10" t="s">
        <v>854</v>
      </c>
      <c r="B616" s="10" t="s">
        <v>80</v>
      </c>
      <c r="C616" s="10" t="s">
        <v>78</v>
      </c>
      <c r="D616" s="10" t="s">
        <v>196</v>
      </c>
      <c r="E616" s="10" t="s">
        <v>51</v>
      </c>
      <c r="F616" s="10"/>
      <c r="G616" s="10" t="s">
        <v>425</v>
      </c>
      <c r="H616" s="10"/>
      <c r="I616" s="8" t="n">
        <f aca="false">INDEX(Parâmetros!$C$13:$C$19,MATCH(E616,Parâmetros!$A$13:$A$19,0))</f>
        <v>550</v>
      </c>
      <c r="J616" s="26" t="str">
        <f aca="false">IF(H616="","",Parâmetros!$B$5-H616)</f>
        <v/>
      </c>
      <c r="K616" s="10" t="n">
        <f aca="false">INDEX(Parâmetros!$D$13:$D$19,MATCH(E616,Parâmetros!$A$13:$A$19,0))</f>
        <v>22</v>
      </c>
      <c r="L616" s="26" t="n">
        <f aca="false">IF(G616="Prospecting",Parâmetros!$B$9,IF(J616&gt;Parâmetros!$B$6,0,INDEX(Parâmetros!$C$24:$C$26,MATCH(J616,Parâmetros!$A$24:$A$26,1))))</f>
        <v>10</v>
      </c>
      <c r="M616" s="31" t="n">
        <f aca="false">IF(G616="Prospecting",1,INDEX(Parâmetros!$C$32:$C$35,MATCH(J616,Parâmetros!$A$32:$A$35,1)))</f>
        <v>1</v>
      </c>
      <c r="N616" s="2" t="n">
        <f aca="false">ROUND((K616+L616)*M616,0)</f>
        <v>32</v>
      </c>
      <c r="O616" s="10" t="str">
        <f aca="false">IF(AND(G616="Engaging",J616&gt;Parâmetros!$B$6),"Sim","Não")</f>
        <v>Não</v>
      </c>
      <c r="P616" s="32" t="str">
        <f aca="false">IF(O616="Sim","R",IF(N616&gt;=Parâmetros!$B$39,"A",IF(N616&gt;=Parâmetros!$B$40,"B",IF(N616&gt;=Parâmetros!$B$41,"C","D"))))</f>
        <v>D</v>
      </c>
      <c r="Q616" s="10" t="str">
        <f aca="false">IF(F616="","Completar cadastro","")</f>
        <v>Completar cadastro</v>
      </c>
      <c r="R616" s="10" t="str">
        <f aca="false">INDEX(Parâmetros!$D$39:$D$43,MATCH(P616,Parâmetros!$A$39:$A$43,0))</f>
        <v>Automatizar ou vender em lote</v>
      </c>
    </row>
    <row r="617" customFormat="false" ht="15" hidden="false" customHeight="false" outlineLevel="0" collapsed="false">
      <c r="A617" s="10" t="s">
        <v>855</v>
      </c>
      <c r="B617" s="10" t="s">
        <v>80</v>
      </c>
      <c r="C617" s="10" t="s">
        <v>78</v>
      </c>
      <c r="D617" s="10" t="s">
        <v>196</v>
      </c>
      <c r="E617" s="10" t="s">
        <v>51</v>
      </c>
      <c r="F617" s="10"/>
      <c r="G617" s="10" t="s">
        <v>425</v>
      </c>
      <c r="H617" s="10"/>
      <c r="I617" s="8" t="n">
        <f aca="false">INDEX(Parâmetros!$C$13:$C$19,MATCH(E617,Parâmetros!$A$13:$A$19,0))</f>
        <v>550</v>
      </c>
      <c r="J617" s="26" t="str">
        <f aca="false">IF(H617="","",Parâmetros!$B$5-H617)</f>
        <v/>
      </c>
      <c r="K617" s="10" t="n">
        <f aca="false">INDEX(Parâmetros!$D$13:$D$19,MATCH(E617,Parâmetros!$A$13:$A$19,0))</f>
        <v>22</v>
      </c>
      <c r="L617" s="26" t="n">
        <f aca="false">IF(G617="Prospecting",Parâmetros!$B$9,IF(J617&gt;Parâmetros!$B$6,0,INDEX(Parâmetros!$C$24:$C$26,MATCH(J617,Parâmetros!$A$24:$A$26,1))))</f>
        <v>10</v>
      </c>
      <c r="M617" s="31" t="n">
        <f aca="false">IF(G617="Prospecting",1,INDEX(Parâmetros!$C$32:$C$35,MATCH(J617,Parâmetros!$A$32:$A$35,1)))</f>
        <v>1</v>
      </c>
      <c r="N617" s="2" t="n">
        <f aca="false">ROUND((K617+L617)*M617,0)</f>
        <v>32</v>
      </c>
      <c r="O617" s="10" t="str">
        <f aca="false">IF(AND(G617="Engaging",J617&gt;Parâmetros!$B$6),"Sim","Não")</f>
        <v>Não</v>
      </c>
      <c r="P617" s="32" t="str">
        <f aca="false">IF(O617="Sim","R",IF(N617&gt;=Parâmetros!$B$39,"A",IF(N617&gt;=Parâmetros!$B$40,"B",IF(N617&gt;=Parâmetros!$B$41,"C","D"))))</f>
        <v>D</v>
      </c>
      <c r="Q617" s="10" t="str">
        <f aca="false">IF(F617="","Completar cadastro","")</f>
        <v>Completar cadastro</v>
      </c>
      <c r="R617" s="10" t="str">
        <f aca="false">INDEX(Parâmetros!$D$39:$D$43,MATCH(P617,Parâmetros!$A$39:$A$43,0))</f>
        <v>Automatizar ou vender em lote</v>
      </c>
    </row>
    <row r="618" customFormat="false" ht="15" hidden="false" customHeight="false" outlineLevel="0" collapsed="false">
      <c r="A618" s="10" t="s">
        <v>856</v>
      </c>
      <c r="B618" s="10" t="s">
        <v>80</v>
      </c>
      <c r="C618" s="10" t="s">
        <v>78</v>
      </c>
      <c r="D618" s="10" t="s">
        <v>196</v>
      </c>
      <c r="E618" s="10" t="s">
        <v>51</v>
      </c>
      <c r="F618" s="10"/>
      <c r="G618" s="10" t="s">
        <v>425</v>
      </c>
      <c r="H618" s="10"/>
      <c r="I618" s="8" t="n">
        <f aca="false">INDEX(Parâmetros!$C$13:$C$19,MATCH(E618,Parâmetros!$A$13:$A$19,0))</f>
        <v>550</v>
      </c>
      <c r="J618" s="26" t="str">
        <f aca="false">IF(H618="","",Parâmetros!$B$5-H618)</f>
        <v/>
      </c>
      <c r="K618" s="10" t="n">
        <f aca="false">INDEX(Parâmetros!$D$13:$D$19,MATCH(E618,Parâmetros!$A$13:$A$19,0))</f>
        <v>22</v>
      </c>
      <c r="L618" s="26" t="n">
        <f aca="false">IF(G618="Prospecting",Parâmetros!$B$9,IF(J618&gt;Parâmetros!$B$6,0,INDEX(Parâmetros!$C$24:$C$26,MATCH(J618,Parâmetros!$A$24:$A$26,1))))</f>
        <v>10</v>
      </c>
      <c r="M618" s="31" t="n">
        <f aca="false">IF(G618="Prospecting",1,INDEX(Parâmetros!$C$32:$C$35,MATCH(J618,Parâmetros!$A$32:$A$35,1)))</f>
        <v>1</v>
      </c>
      <c r="N618" s="2" t="n">
        <f aca="false">ROUND((K618+L618)*M618,0)</f>
        <v>32</v>
      </c>
      <c r="O618" s="10" t="str">
        <f aca="false">IF(AND(G618="Engaging",J618&gt;Parâmetros!$B$6),"Sim","Não")</f>
        <v>Não</v>
      </c>
      <c r="P618" s="32" t="str">
        <f aca="false">IF(O618="Sim","R",IF(N618&gt;=Parâmetros!$B$39,"A",IF(N618&gt;=Parâmetros!$B$40,"B",IF(N618&gt;=Parâmetros!$B$41,"C","D"))))</f>
        <v>D</v>
      </c>
      <c r="Q618" s="10" t="str">
        <f aca="false">IF(F618="","Completar cadastro","")</f>
        <v>Completar cadastro</v>
      </c>
      <c r="R618" s="10" t="str">
        <f aca="false">INDEX(Parâmetros!$D$39:$D$43,MATCH(P618,Parâmetros!$A$39:$A$43,0))</f>
        <v>Automatizar ou vender em lote</v>
      </c>
    </row>
    <row r="619" customFormat="false" ht="15" hidden="false" customHeight="false" outlineLevel="0" collapsed="false">
      <c r="A619" s="10" t="s">
        <v>857</v>
      </c>
      <c r="B619" s="10" t="s">
        <v>80</v>
      </c>
      <c r="C619" s="10" t="s">
        <v>78</v>
      </c>
      <c r="D619" s="10" t="s">
        <v>196</v>
      </c>
      <c r="E619" s="10" t="s">
        <v>51</v>
      </c>
      <c r="F619" s="10"/>
      <c r="G619" s="10" t="s">
        <v>425</v>
      </c>
      <c r="H619" s="10"/>
      <c r="I619" s="8" t="n">
        <f aca="false">INDEX(Parâmetros!$C$13:$C$19,MATCH(E619,Parâmetros!$A$13:$A$19,0))</f>
        <v>550</v>
      </c>
      <c r="J619" s="26" t="str">
        <f aca="false">IF(H619="","",Parâmetros!$B$5-H619)</f>
        <v/>
      </c>
      <c r="K619" s="10" t="n">
        <f aca="false">INDEX(Parâmetros!$D$13:$D$19,MATCH(E619,Parâmetros!$A$13:$A$19,0))</f>
        <v>22</v>
      </c>
      <c r="L619" s="26" t="n">
        <f aca="false">IF(G619="Prospecting",Parâmetros!$B$9,IF(J619&gt;Parâmetros!$B$6,0,INDEX(Parâmetros!$C$24:$C$26,MATCH(J619,Parâmetros!$A$24:$A$26,1))))</f>
        <v>10</v>
      </c>
      <c r="M619" s="31" t="n">
        <f aca="false">IF(G619="Prospecting",1,INDEX(Parâmetros!$C$32:$C$35,MATCH(J619,Parâmetros!$A$32:$A$35,1)))</f>
        <v>1</v>
      </c>
      <c r="N619" s="2" t="n">
        <f aca="false">ROUND((K619+L619)*M619,0)</f>
        <v>32</v>
      </c>
      <c r="O619" s="10" t="str">
        <f aca="false">IF(AND(G619="Engaging",J619&gt;Parâmetros!$B$6),"Sim","Não")</f>
        <v>Não</v>
      </c>
      <c r="P619" s="32" t="str">
        <f aca="false">IF(O619="Sim","R",IF(N619&gt;=Parâmetros!$B$39,"A",IF(N619&gt;=Parâmetros!$B$40,"B",IF(N619&gt;=Parâmetros!$B$41,"C","D"))))</f>
        <v>D</v>
      </c>
      <c r="Q619" s="10" t="str">
        <f aca="false">IF(F619="","Completar cadastro","")</f>
        <v>Completar cadastro</v>
      </c>
      <c r="R619" s="10" t="str">
        <f aca="false">INDEX(Parâmetros!$D$39:$D$43,MATCH(P619,Parâmetros!$A$39:$A$43,0))</f>
        <v>Automatizar ou vender em lote</v>
      </c>
    </row>
    <row r="620" customFormat="false" ht="15" hidden="false" customHeight="false" outlineLevel="0" collapsed="false">
      <c r="A620" s="10" t="s">
        <v>858</v>
      </c>
      <c r="B620" s="10" t="s">
        <v>80</v>
      </c>
      <c r="C620" s="10" t="s">
        <v>78</v>
      </c>
      <c r="D620" s="10" t="s">
        <v>196</v>
      </c>
      <c r="E620" s="10" t="s">
        <v>51</v>
      </c>
      <c r="F620" s="10"/>
      <c r="G620" s="10" t="s">
        <v>425</v>
      </c>
      <c r="H620" s="10"/>
      <c r="I620" s="8" t="n">
        <f aca="false">INDEX(Parâmetros!$C$13:$C$19,MATCH(E620,Parâmetros!$A$13:$A$19,0))</f>
        <v>550</v>
      </c>
      <c r="J620" s="26" t="str">
        <f aca="false">IF(H620="","",Parâmetros!$B$5-H620)</f>
        <v/>
      </c>
      <c r="K620" s="10" t="n">
        <f aca="false">INDEX(Parâmetros!$D$13:$D$19,MATCH(E620,Parâmetros!$A$13:$A$19,0))</f>
        <v>22</v>
      </c>
      <c r="L620" s="26" t="n">
        <f aca="false">IF(G620="Prospecting",Parâmetros!$B$9,IF(J620&gt;Parâmetros!$B$6,0,INDEX(Parâmetros!$C$24:$C$26,MATCH(J620,Parâmetros!$A$24:$A$26,1))))</f>
        <v>10</v>
      </c>
      <c r="M620" s="31" t="n">
        <f aca="false">IF(G620="Prospecting",1,INDEX(Parâmetros!$C$32:$C$35,MATCH(J620,Parâmetros!$A$32:$A$35,1)))</f>
        <v>1</v>
      </c>
      <c r="N620" s="2" t="n">
        <f aca="false">ROUND((K620+L620)*M620,0)</f>
        <v>32</v>
      </c>
      <c r="O620" s="10" t="str">
        <f aca="false">IF(AND(G620="Engaging",J620&gt;Parâmetros!$B$6),"Sim","Não")</f>
        <v>Não</v>
      </c>
      <c r="P620" s="32" t="str">
        <f aca="false">IF(O620="Sim","R",IF(N620&gt;=Parâmetros!$B$39,"A",IF(N620&gt;=Parâmetros!$B$40,"B",IF(N620&gt;=Parâmetros!$B$41,"C","D"))))</f>
        <v>D</v>
      </c>
      <c r="Q620" s="10" t="str">
        <f aca="false">IF(F620="","Completar cadastro","")</f>
        <v>Completar cadastro</v>
      </c>
      <c r="R620" s="10" t="str">
        <f aca="false">INDEX(Parâmetros!$D$39:$D$43,MATCH(P620,Parâmetros!$A$39:$A$43,0))</f>
        <v>Automatizar ou vender em lote</v>
      </c>
    </row>
    <row r="621" customFormat="false" ht="15" hidden="false" customHeight="false" outlineLevel="0" collapsed="false">
      <c r="A621" s="10" t="s">
        <v>859</v>
      </c>
      <c r="B621" s="10" t="s">
        <v>80</v>
      </c>
      <c r="C621" s="10" t="s">
        <v>78</v>
      </c>
      <c r="D621" s="10" t="s">
        <v>196</v>
      </c>
      <c r="E621" s="10" t="s">
        <v>51</v>
      </c>
      <c r="F621" s="10"/>
      <c r="G621" s="10" t="s">
        <v>425</v>
      </c>
      <c r="H621" s="10"/>
      <c r="I621" s="8" t="n">
        <f aca="false">INDEX(Parâmetros!$C$13:$C$19,MATCH(E621,Parâmetros!$A$13:$A$19,0))</f>
        <v>550</v>
      </c>
      <c r="J621" s="26" t="str">
        <f aca="false">IF(H621="","",Parâmetros!$B$5-H621)</f>
        <v/>
      </c>
      <c r="K621" s="10" t="n">
        <f aca="false">INDEX(Parâmetros!$D$13:$D$19,MATCH(E621,Parâmetros!$A$13:$A$19,0))</f>
        <v>22</v>
      </c>
      <c r="L621" s="26" t="n">
        <f aca="false">IF(G621="Prospecting",Parâmetros!$B$9,IF(J621&gt;Parâmetros!$B$6,0,INDEX(Parâmetros!$C$24:$C$26,MATCH(J621,Parâmetros!$A$24:$A$26,1))))</f>
        <v>10</v>
      </c>
      <c r="M621" s="31" t="n">
        <f aca="false">IF(G621="Prospecting",1,INDEX(Parâmetros!$C$32:$C$35,MATCH(J621,Parâmetros!$A$32:$A$35,1)))</f>
        <v>1</v>
      </c>
      <c r="N621" s="2" t="n">
        <f aca="false">ROUND((K621+L621)*M621,0)</f>
        <v>32</v>
      </c>
      <c r="O621" s="10" t="str">
        <f aca="false">IF(AND(G621="Engaging",J621&gt;Parâmetros!$B$6),"Sim","Não")</f>
        <v>Não</v>
      </c>
      <c r="P621" s="32" t="str">
        <f aca="false">IF(O621="Sim","R",IF(N621&gt;=Parâmetros!$B$39,"A",IF(N621&gt;=Parâmetros!$B$40,"B",IF(N621&gt;=Parâmetros!$B$41,"C","D"))))</f>
        <v>D</v>
      </c>
      <c r="Q621" s="10" t="str">
        <f aca="false">IF(F621="","Completar cadastro","")</f>
        <v>Completar cadastro</v>
      </c>
      <c r="R621" s="10" t="str">
        <f aca="false">INDEX(Parâmetros!$D$39:$D$43,MATCH(P621,Parâmetros!$A$39:$A$43,0))</f>
        <v>Automatizar ou vender em lote</v>
      </c>
    </row>
    <row r="622" customFormat="false" ht="15" hidden="false" customHeight="false" outlineLevel="0" collapsed="false">
      <c r="A622" s="10" t="s">
        <v>860</v>
      </c>
      <c r="B622" s="10" t="s">
        <v>80</v>
      </c>
      <c r="C622" s="10" t="s">
        <v>78</v>
      </c>
      <c r="D622" s="10" t="s">
        <v>196</v>
      </c>
      <c r="E622" s="10" t="s">
        <v>51</v>
      </c>
      <c r="F622" s="10"/>
      <c r="G622" s="10" t="s">
        <v>425</v>
      </c>
      <c r="H622" s="10"/>
      <c r="I622" s="8" t="n">
        <f aca="false">INDEX(Parâmetros!$C$13:$C$19,MATCH(E622,Parâmetros!$A$13:$A$19,0))</f>
        <v>550</v>
      </c>
      <c r="J622" s="26" t="str">
        <f aca="false">IF(H622="","",Parâmetros!$B$5-H622)</f>
        <v/>
      </c>
      <c r="K622" s="10" t="n">
        <f aca="false">INDEX(Parâmetros!$D$13:$D$19,MATCH(E622,Parâmetros!$A$13:$A$19,0))</f>
        <v>22</v>
      </c>
      <c r="L622" s="26" t="n">
        <f aca="false">IF(G622="Prospecting",Parâmetros!$B$9,IF(J622&gt;Parâmetros!$B$6,0,INDEX(Parâmetros!$C$24:$C$26,MATCH(J622,Parâmetros!$A$24:$A$26,1))))</f>
        <v>10</v>
      </c>
      <c r="M622" s="31" t="n">
        <f aca="false">IF(G622="Prospecting",1,INDEX(Parâmetros!$C$32:$C$35,MATCH(J622,Parâmetros!$A$32:$A$35,1)))</f>
        <v>1</v>
      </c>
      <c r="N622" s="2" t="n">
        <f aca="false">ROUND((K622+L622)*M622,0)</f>
        <v>32</v>
      </c>
      <c r="O622" s="10" t="str">
        <f aca="false">IF(AND(G622="Engaging",J622&gt;Parâmetros!$B$6),"Sim","Não")</f>
        <v>Não</v>
      </c>
      <c r="P622" s="32" t="str">
        <f aca="false">IF(O622="Sim","R",IF(N622&gt;=Parâmetros!$B$39,"A",IF(N622&gt;=Parâmetros!$B$40,"B",IF(N622&gt;=Parâmetros!$B$41,"C","D"))))</f>
        <v>D</v>
      </c>
      <c r="Q622" s="10" t="str">
        <f aca="false">IF(F622="","Completar cadastro","")</f>
        <v>Completar cadastro</v>
      </c>
      <c r="R622" s="10" t="str">
        <f aca="false">INDEX(Parâmetros!$D$39:$D$43,MATCH(P622,Parâmetros!$A$39:$A$43,0))</f>
        <v>Automatizar ou vender em lote</v>
      </c>
    </row>
    <row r="623" customFormat="false" ht="15" hidden="false" customHeight="false" outlineLevel="0" collapsed="false">
      <c r="A623" s="10" t="s">
        <v>861</v>
      </c>
      <c r="B623" s="10" t="s">
        <v>80</v>
      </c>
      <c r="C623" s="10" t="s">
        <v>78</v>
      </c>
      <c r="D623" s="10" t="s">
        <v>196</v>
      </c>
      <c r="E623" s="10" t="s">
        <v>51</v>
      </c>
      <c r="F623" s="10"/>
      <c r="G623" s="10" t="s">
        <v>425</v>
      </c>
      <c r="H623" s="10"/>
      <c r="I623" s="8" t="n">
        <f aca="false">INDEX(Parâmetros!$C$13:$C$19,MATCH(E623,Parâmetros!$A$13:$A$19,0))</f>
        <v>550</v>
      </c>
      <c r="J623" s="26" t="str">
        <f aca="false">IF(H623="","",Parâmetros!$B$5-H623)</f>
        <v/>
      </c>
      <c r="K623" s="10" t="n">
        <f aca="false">INDEX(Parâmetros!$D$13:$D$19,MATCH(E623,Parâmetros!$A$13:$A$19,0))</f>
        <v>22</v>
      </c>
      <c r="L623" s="26" t="n">
        <f aca="false">IF(G623="Prospecting",Parâmetros!$B$9,IF(J623&gt;Parâmetros!$B$6,0,INDEX(Parâmetros!$C$24:$C$26,MATCH(J623,Parâmetros!$A$24:$A$26,1))))</f>
        <v>10</v>
      </c>
      <c r="M623" s="31" t="n">
        <f aca="false">IF(G623="Prospecting",1,INDEX(Parâmetros!$C$32:$C$35,MATCH(J623,Parâmetros!$A$32:$A$35,1)))</f>
        <v>1</v>
      </c>
      <c r="N623" s="2" t="n">
        <f aca="false">ROUND((K623+L623)*M623,0)</f>
        <v>32</v>
      </c>
      <c r="O623" s="10" t="str">
        <f aca="false">IF(AND(G623="Engaging",J623&gt;Parâmetros!$B$6),"Sim","Não")</f>
        <v>Não</v>
      </c>
      <c r="P623" s="32" t="str">
        <f aca="false">IF(O623="Sim","R",IF(N623&gt;=Parâmetros!$B$39,"A",IF(N623&gt;=Parâmetros!$B$40,"B",IF(N623&gt;=Parâmetros!$B$41,"C","D"))))</f>
        <v>D</v>
      </c>
      <c r="Q623" s="10" t="str">
        <f aca="false">IF(F623="","Completar cadastro","")</f>
        <v>Completar cadastro</v>
      </c>
      <c r="R623" s="10" t="str">
        <f aca="false">INDEX(Parâmetros!$D$39:$D$43,MATCH(P623,Parâmetros!$A$39:$A$43,0))</f>
        <v>Automatizar ou vender em lote</v>
      </c>
    </row>
    <row r="624" customFormat="false" ht="15" hidden="false" customHeight="false" outlineLevel="0" collapsed="false">
      <c r="A624" s="10" t="s">
        <v>862</v>
      </c>
      <c r="B624" s="10" t="s">
        <v>80</v>
      </c>
      <c r="C624" s="10" t="s">
        <v>78</v>
      </c>
      <c r="D624" s="10" t="s">
        <v>196</v>
      </c>
      <c r="E624" s="10" t="s">
        <v>51</v>
      </c>
      <c r="F624" s="10"/>
      <c r="G624" s="10" t="s">
        <v>425</v>
      </c>
      <c r="H624" s="10"/>
      <c r="I624" s="8" t="n">
        <f aca="false">INDEX(Parâmetros!$C$13:$C$19,MATCH(E624,Parâmetros!$A$13:$A$19,0))</f>
        <v>550</v>
      </c>
      <c r="J624" s="26" t="str">
        <f aca="false">IF(H624="","",Parâmetros!$B$5-H624)</f>
        <v/>
      </c>
      <c r="K624" s="10" t="n">
        <f aca="false">INDEX(Parâmetros!$D$13:$D$19,MATCH(E624,Parâmetros!$A$13:$A$19,0))</f>
        <v>22</v>
      </c>
      <c r="L624" s="26" t="n">
        <f aca="false">IF(G624="Prospecting",Parâmetros!$B$9,IF(J624&gt;Parâmetros!$B$6,0,INDEX(Parâmetros!$C$24:$C$26,MATCH(J624,Parâmetros!$A$24:$A$26,1))))</f>
        <v>10</v>
      </c>
      <c r="M624" s="31" t="n">
        <f aca="false">IF(G624="Prospecting",1,INDEX(Parâmetros!$C$32:$C$35,MATCH(J624,Parâmetros!$A$32:$A$35,1)))</f>
        <v>1</v>
      </c>
      <c r="N624" s="2" t="n">
        <f aca="false">ROUND((K624+L624)*M624,0)</f>
        <v>32</v>
      </c>
      <c r="O624" s="10" t="str">
        <f aca="false">IF(AND(G624="Engaging",J624&gt;Parâmetros!$B$6),"Sim","Não")</f>
        <v>Não</v>
      </c>
      <c r="P624" s="32" t="str">
        <f aca="false">IF(O624="Sim","R",IF(N624&gt;=Parâmetros!$B$39,"A",IF(N624&gt;=Parâmetros!$B$40,"B",IF(N624&gt;=Parâmetros!$B$41,"C","D"))))</f>
        <v>D</v>
      </c>
      <c r="Q624" s="10" t="str">
        <f aca="false">IF(F624="","Completar cadastro","")</f>
        <v>Completar cadastro</v>
      </c>
      <c r="R624" s="10" t="str">
        <f aca="false">INDEX(Parâmetros!$D$39:$D$43,MATCH(P624,Parâmetros!$A$39:$A$43,0))</f>
        <v>Automatizar ou vender em lote</v>
      </c>
    </row>
    <row r="625" customFormat="false" ht="15" hidden="false" customHeight="false" outlineLevel="0" collapsed="false">
      <c r="A625" s="10" t="s">
        <v>863</v>
      </c>
      <c r="B625" s="10" t="s">
        <v>80</v>
      </c>
      <c r="C625" s="10" t="s">
        <v>78</v>
      </c>
      <c r="D625" s="10" t="s">
        <v>196</v>
      </c>
      <c r="E625" s="10" t="s">
        <v>51</v>
      </c>
      <c r="F625" s="10"/>
      <c r="G625" s="10" t="s">
        <v>425</v>
      </c>
      <c r="H625" s="10"/>
      <c r="I625" s="8" t="n">
        <f aca="false">INDEX(Parâmetros!$C$13:$C$19,MATCH(E625,Parâmetros!$A$13:$A$19,0))</f>
        <v>550</v>
      </c>
      <c r="J625" s="26" t="str">
        <f aca="false">IF(H625="","",Parâmetros!$B$5-H625)</f>
        <v/>
      </c>
      <c r="K625" s="10" t="n">
        <f aca="false">INDEX(Parâmetros!$D$13:$D$19,MATCH(E625,Parâmetros!$A$13:$A$19,0))</f>
        <v>22</v>
      </c>
      <c r="L625" s="26" t="n">
        <f aca="false">IF(G625="Prospecting",Parâmetros!$B$9,IF(J625&gt;Parâmetros!$B$6,0,INDEX(Parâmetros!$C$24:$C$26,MATCH(J625,Parâmetros!$A$24:$A$26,1))))</f>
        <v>10</v>
      </c>
      <c r="M625" s="31" t="n">
        <f aca="false">IF(G625="Prospecting",1,INDEX(Parâmetros!$C$32:$C$35,MATCH(J625,Parâmetros!$A$32:$A$35,1)))</f>
        <v>1</v>
      </c>
      <c r="N625" s="2" t="n">
        <f aca="false">ROUND((K625+L625)*M625,0)</f>
        <v>32</v>
      </c>
      <c r="O625" s="10" t="str">
        <f aca="false">IF(AND(G625="Engaging",J625&gt;Parâmetros!$B$6),"Sim","Não")</f>
        <v>Não</v>
      </c>
      <c r="P625" s="32" t="str">
        <f aca="false">IF(O625="Sim","R",IF(N625&gt;=Parâmetros!$B$39,"A",IF(N625&gt;=Parâmetros!$B$40,"B",IF(N625&gt;=Parâmetros!$B$41,"C","D"))))</f>
        <v>D</v>
      </c>
      <c r="Q625" s="10" t="str">
        <f aca="false">IF(F625="","Completar cadastro","")</f>
        <v>Completar cadastro</v>
      </c>
      <c r="R625" s="10" t="str">
        <f aca="false">INDEX(Parâmetros!$D$39:$D$43,MATCH(P625,Parâmetros!$A$39:$A$43,0))</f>
        <v>Automatizar ou vender em lote</v>
      </c>
    </row>
    <row r="626" customFormat="false" ht="15" hidden="false" customHeight="false" outlineLevel="0" collapsed="false">
      <c r="A626" s="10" t="s">
        <v>864</v>
      </c>
      <c r="B626" s="10" t="s">
        <v>80</v>
      </c>
      <c r="C626" s="10" t="s">
        <v>78</v>
      </c>
      <c r="D626" s="10" t="s">
        <v>196</v>
      </c>
      <c r="E626" s="10" t="s">
        <v>51</v>
      </c>
      <c r="F626" s="10"/>
      <c r="G626" s="10" t="s">
        <v>425</v>
      </c>
      <c r="H626" s="10"/>
      <c r="I626" s="8" t="n">
        <f aca="false">INDEX(Parâmetros!$C$13:$C$19,MATCH(E626,Parâmetros!$A$13:$A$19,0))</f>
        <v>550</v>
      </c>
      <c r="J626" s="26" t="str">
        <f aca="false">IF(H626="","",Parâmetros!$B$5-H626)</f>
        <v/>
      </c>
      <c r="K626" s="10" t="n">
        <f aca="false">INDEX(Parâmetros!$D$13:$D$19,MATCH(E626,Parâmetros!$A$13:$A$19,0))</f>
        <v>22</v>
      </c>
      <c r="L626" s="26" t="n">
        <f aca="false">IF(G626="Prospecting",Parâmetros!$B$9,IF(J626&gt;Parâmetros!$B$6,0,INDEX(Parâmetros!$C$24:$C$26,MATCH(J626,Parâmetros!$A$24:$A$26,1))))</f>
        <v>10</v>
      </c>
      <c r="M626" s="31" t="n">
        <f aca="false">IF(G626="Prospecting",1,INDEX(Parâmetros!$C$32:$C$35,MATCH(J626,Parâmetros!$A$32:$A$35,1)))</f>
        <v>1</v>
      </c>
      <c r="N626" s="2" t="n">
        <f aca="false">ROUND((K626+L626)*M626,0)</f>
        <v>32</v>
      </c>
      <c r="O626" s="10" t="str">
        <f aca="false">IF(AND(G626="Engaging",J626&gt;Parâmetros!$B$6),"Sim","Não")</f>
        <v>Não</v>
      </c>
      <c r="P626" s="32" t="str">
        <f aca="false">IF(O626="Sim","R",IF(N626&gt;=Parâmetros!$B$39,"A",IF(N626&gt;=Parâmetros!$B$40,"B",IF(N626&gt;=Parâmetros!$B$41,"C","D"))))</f>
        <v>D</v>
      </c>
      <c r="Q626" s="10" t="str">
        <f aca="false">IF(F626="","Completar cadastro","")</f>
        <v>Completar cadastro</v>
      </c>
      <c r="R626" s="10" t="str">
        <f aca="false">INDEX(Parâmetros!$D$39:$D$43,MATCH(P626,Parâmetros!$A$39:$A$43,0))</f>
        <v>Automatizar ou vender em lote</v>
      </c>
    </row>
    <row r="627" customFormat="false" ht="15" hidden="false" customHeight="false" outlineLevel="0" collapsed="false">
      <c r="A627" s="10" t="s">
        <v>865</v>
      </c>
      <c r="B627" s="10" t="s">
        <v>80</v>
      </c>
      <c r="C627" s="10" t="s">
        <v>78</v>
      </c>
      <c r="D627" s="10" t="s">
        <v>196</v>
      </c>
      <c r="E627" s="10" t="s">
        <v>51</v>
      </c>
      <c r="F627" s="10"/>
      <c r="G627" s="10" t="s">
        <v>425</v>
      </c>
      <c r="H627" s="10"/>
      <c r="I627" s="8" t="n">
        <f aca="false">INDEX(Parâmetros!$C$13:$C$19,MATCH(E627,Parâmetros!$A$13:$A$19,0))</f>
        <v>550</v>
      </c>
      <c r="J627" s="26" t="str">
        <f aca="false">IF(H627="","",Parâmetros!$B$5-H627)</f>
        <v/>
      </c>
      <c r="K627" s="10" t="n">
        <f aca="false">INDEX(Parâmetros!$D$13:$D$19,MATCH(E627,Parâmetros!$A$13:$A$19,0))</f>
        <v>22</v>
      </c>
      <c r="L627" s="26" t="n">
        <f aca="false">IF(G627="Prospecting",Parâmetros!$B$9,IF(J627&gt;Parâmetros!$B$6,0,INDEX(Parâmetros!$C$24:$C$26,MATCH(J627,Parâmetros!$A$24:$A$26,1))))</f>
        <v>10</v>
      </c>
      <c r="M627" s="31" t="n">
        <f aca="false">IF(G627="Prospecting",1,INDEX(Parâmetros!$C$32:$C$35,MATCH(J627,Parâmetros!$A$32:$A$35,1)))</f>
        <v>1</v>
      </c>
      <c r="N627" s="2" t="n">
        <f aca="false">ROUND((K627+L627)*M627,0)</f>
        <v>32</v>
      </c>
      <c r="O627" s="10" t="str">
        <f aca="false">IF(AND(G627="Engaging",J627&gt;Parâmetros!$B$6),"Sim","Não")</f>
        <v>Não</v>
      </c>
      <c r="P627" s="32" t="str">
        <f aca="false">IF(O627="Sim","R",IF(N627&gt;=Parâmetros!$B$39,"A",IF(N627&gt;=Parâmetros!$B$40,"B",IF(N627&gt;=Parâmetros!$B$41,"C","D"))))</f>
        <v>D</v>
      </c>
      <c r="Q627" s="10" t="str">
        <f aca="false">IF(F627="","Completar cadastro","")</f>
        <v>Completar cadastro</v>
      </c>
      <c r="R627" s="10" t="str">
        <f aca="false">INDEX(Parâmetros!$D$39:$D$43,MATCH(P627,Parâmetros!$A$39:$A$43,0))</f>
        <v>Automatizar ou vender em lote</v>
      </c>
    </row>
    <row r="628" customFormat="false" ht="15" hidden="false" customHeight="false" outlineLevel="0" collapsed="false">
      <c r="A628" s="10" t="s">
        <v>866</v>
      </c>
      <c r="B628" s="10" t="s">
        <v>74</v>
      </c>
      <c r="C628" s="10" t="s">
        <v>72</v>
      </c>
      <c r="D628" s="10" t="s">
        <v>196</v>
      </c>
      <c r="E628" s="10" t="s">
        <v>51</v>
      </c>
      <c r="F628" s="10" t="s">
        <v>274</v>
      </c>
      <c r="G628" s="10" t="s">
        <v>425</v>
      </c>
      <c r="H628" s="10"/>
      <c r="I628" s="8" t="n">
        <f aca="false">INDEX(Parâmetros!$C$13:$C$19,MATCH(E628,Parâmetros!$A$13:$A$19,0))</f>
        <v>550</v>
      </c>
      <c r="J628" s="26" t="str">
        <f aca="false">IF(H628="","",Parâmetros!$B$5-H628)</f>
        <v/>
      </c>
      <c r="K628" s="10" t="n">
        <f aca="false">INDEX(Parâmetros!$D$13:$D$19,MATCH(E628,Parâmetros!$A$13:$A$19,0))</f>
        <v>22</v>
      </c>
      <c r="L628" s="26" t="n">
        <f aca="false">IF(G628="Prospecting",Parâmetros!$B$9,IF(J628&gt;Parâmetros!$B$6,0,INDEX(Parâmetros!$C$24:$C$26,MATCH(J628,Parâmetros!$A$24:$A$26,1))))</f>
        <v>10</v>
      </c>
      <c r="M628" s="31" t="n">
        <f aca="false">IF(G628="Prospecting",1,INDEX(Parâmetros!$C$32:$C$35,MATCH(J628,Parâmetros!$A$32:$A$35,1)))</f>
        <v>1</v>
      </c>
      <c r="N628" s="2" t="n">
        <f aca="false">ROUND((K628+L628)*M628,0)</f>
        <v>32</v>
      </c>
      <c r="O628" s="10" t="str">
        <f aca="false">IF(AND(G628="Engaging",J628&gt;Parâmetros!$B$6),"Sim","Não")</f>
        <v>Não</v>
      </c>
      <c r="P628" s="32" t="str">
        <f aca="false">IF(O628="Sim","R",IF(N628&gt;=Parâmetros!$B$39,"A",IF(N628&gt;=Parâmetros!$B$40,"B",IF(N628&gt;=Parâmetros!$B$41,"C","D"))))</f>
        <v>D</v>
      </c>
      <c r="Q628" s="10" t="str">
        <f aca="false">IF(F628="","Completar cadastro","")</f>
        <v/>
      </c>
      <c r="R628" s="10" t="str">
        <f aca="false">INDEX(Parâmetros!$D$39:$D$43,MATCH(P628,Parâmetros!$A$39:$A$43,0))</f>
        <v>Automatizar ou vender em lote</v>
      </c>
    </row>
    <row r="629" customFormat="false" ht="15" hidden="false" customHeight="false" outlineLevel="0" collapsed="false">
      <c r="A629" s="10" t="s">
        <v>867</v>
      </c>
      <c r="B629" s="10" t="s">
        <v>74</v>
      </c>
      <c r="C629" s="10" t="s">
        <v>72</v>
      </c>
      <c r="D629" s="10" t="s">
        <v>196</v>
      </c>
      <c r="E629" s="10" t="s">
        <v>51</v>
      </c>
      <c r="F629" s="10" t="s">
        <v>286</v>
      </c>
      <c r="G629" s="10" t="s">
        <v>425</v>
      </c>
      <c r="H629" s="10"/>
      <c r="I629" s="8" t="n">
        <f aca="false">INDEX(Parâmetros!$C$13:$C$19,MATCH(E629,Parâmetros!$A$13:$A$19,0))</f>
        <v>550</v>
      </c>
      <c r="J629" s="26" t="str">
        <f aca="false">IF(H629="","",Parâmetros!$B$5-H629)</f>
        <v/>
      </c>
      <c r="K629" s="10" t="n">
        <f aca="false">INDEX(Parâmetros!$D$13:$D$19,MATCH(E629,Parâmetros!$A$13:$A$19,0))</f>
        <v>22</v>
      </c>
      <c r="L629" s="26" t="n">
        <f aca="false">IF(G629="Prospecting",Parâmetros!$B$9,IF(J629&gt;Parâmetros!$B$6,0,INDEX(Parâmetros!$C$24:$C$26,MATCH(J629,Parâmetros!$A$24:$A$26,1))))</f>
        <v>10</v>
      </c>
      <c r="M629" s="31" t="n">
        <f aca="false">IF(G629="Prospecting",1,INDEX(Parâmetros!$C$32:$C$35,MATCH(J629,Parâmetros!$A$32:$A$35,1)))</f>
        <v>1</v>
      </c>
      <c r="N629" s="2" t="n">
        <f aca="false">ROUND((K629+L629)*M629,0)</f>
        <v>32</v>
      </c>
      <c r="O629" s="10" t="str">
        <f aca="false">IF(AND(G629="Engaging",J629&gt;Parâmetros!$B$6),"Sim","Não")</f>
        <v>Não</v>
      </c>
      <c r="P629" s="32" t="str">
        <f aca="false">IF(O629="Sim","R",IF(N629&gt;=Parâmetros!$B$39,"A",IF(N629&gt;=Parâmetros!$B$40,"B",IF(N629&gt;=Parâmetros!$B$41,"C","D"))))</f>
        <v>D</v>
      </c>
      <c r="Q629" s="10" t="str">
        <f aca="false">IF(F629="","Completar cadastro","")</f>
        <v/>
      </c>
      <c r="R629" s="10" t="str">
        <f aca="false">INDEX(Parâmetros!$D$39:$D$43,MATCH(P629,Parâmetros!$A$39:$A$43,0))</f>
        <v>Automatizar ou vender em lote</v>
      </c>
    </row>
    <row r="630" customFormat="false" ht="15" hidden="false" customHeight="false" outlineLevel="0" collapsed="false">
      <c r="A630" s="10" t="s">
        <v>868</v>
      </c>
      <c r="B630" s="10" t="s">
        <v>74</v>
      </c>
      <c r="C630" s="10" t="s">
        <v>72</v>
      </c>
      <c r="D630" s="10" t="s">
        <v>196</v>
      </c>
      <c r="E630" s="10" t="s">
        <v>51</v>
      </c>
      <c r="F630" s="10" t="s">
        <v>869</v>
      </c>
      <c r="G630" s="10" t="s">
        <v>425</v>
      </c>
      <c r="H630" s="10"/>
      <c r="I630" s="8" t="n">
        <f aca="false">INDEX(Parâmetros!$C$13:$C$19,MATCH(E630,Parâmetros!$A$13:$A$19,0))</f>
        <v>550</v>
      </c>
      <c r="J630" s="26" t="str">
        <f aca="false">IF(H630="","",Parâmetros!$B$5-H630)</f>
        <v/>
      </c>
      <c r="K630" s="10" t="n">
        <f aca="false">INDEX(Parâmetros!$D$13:$D$19,MATCH(E630,Parâmetros!$A$13:$A$19,0))</f>
        <v>22</v>
      </c>
      <c r="L630" s="26" t="n">
        <f aca="false">IF(G630="Prospecting",Parâmetros!$B$9,IF(J630&gt;Parâmetros!$B$6,0,INDEX(Parâmetros!$C$24:$C$26,MATCH(J630,Parâmetros!$A$24:$A$26,1))))</f>
        <v>10</v>
      </c>
      <c r="M630" s="31" t="n">
        <f aca="false">IF(G630="Prospecting",1,INDEX(Parâmetros!$C$32:$C$35,MATCH(J630,Parâmetros!$A$32:$A$35,1)))</f>
        <v>1</v>
      </c>
      <c r="N630" s="2" t="n">
        <f aca="false">ROUND((K630+L630)*M630,0)</f>
        <v>32</v>
      </c>
      <c r="O630" s="10" t="str">
        <f aca="false">IF(AND(G630="Engaging",J630&gt;Parâmetros!$B$6),"Sim","Não")</f>
        <v>Não</v>
      </c>
      <c r="P630" s="32" t="str">
        <f aca="false">IF(O630="Sim","R",IF(N630&gt;=Parâmetros!$B$39,"A",IF(N630&gt;=Parâmetros!$B$40,"B",IF(N630&gt;=Parâmetros!$B$41,"C","D"))))</f>
        <v>D</v>
      </c>
      <c r="Q630" s="10" t="str">
        <f aca="false">IF(F630="","Completar cadastro","")</f>
        <v/>
      </c>
      <c r="R630" s="10" t="str">
        <f aca="false">INDEX(Parâmetros!$D$39:$D$43,MATCH(P630,Parâmetros!$A$39:$A$43,0))</f>
        <v>Automatizar ou vender em lote</v>
      </c>
    </row>
    <row r="631" customFormat="false" ht="15" hidden="false" customHeight="false" outlineLevel="0" collapsed="false">
      <c r="A631" s="10" t="s">
        <v>870</v>
      </c>
      <c r="B631" s="10" t="s">
        <v>74</v>
      </c>
      <c r="C631" s="10" t="s">
        <v>72</v>
      </c>
      <c r="D631" s="10" t="s">
        <v>196</v>
      </c>
      <c r="E631" s="10" t="s">
        <v>51</v>
      </c>
      <c r="F631" s="10"/>
      <c r="G631" s="10" t="s">
        <v>425</v>
      </c>
      <c r="H631" s="10"/>
      <c r="I631" s="8" t="n">
        <f aca="false">INDEX(Parâmetros!$C$13:$C$19,MATCH(E631,Parâmetros!$A$13:$A$19,0))</f>
        <v>550</v>
      </c>
      <c r="J631" s="26" t="str">
        <f aca="false">IF(H631="","",Parâmetros!$B$5-H631)</f>
        <v/>
      </c>
      <c r="K631" s="10" t="n">
        <f aca="false">INDEX(Parâmetros!$D$13:$D$19,MATCH(E631,Parâmetros!$A$13:$A$19,0))</f>
        <v>22</v>
      </c>
      <c r="L631" s="26" t="n">
        <f aca="false">IF(G631="Prospecting",Parâmetros!$B$9,IF(J631&gt;Parâmetros!$B$6,0,INDEX(Parâmetros!$C$24:$C$26,MATCH(J631,Parâmetros!$A$24:$A$26,1))))</f>
        <v>10</v>
      </c>
      <c r="M631" s="31" t="n">
        <f aca="false">IF(G631="Prospecting",1,INDEX(Parâmetros!$C$32:$C$35,MATCH(J631,Parâmetros!$A$32:$A$35,1)))</f>
        <v>1</v>
      </c>
      <c r="N631" s="2" t="n">
        <f aca="false">ROUND((K631+L631)*M631,0)</f>
        <v>32</v>
      </c>
      <c r="O631" s="10" t="str">
        <f aca="false">IF(AND(G631="Engaging",J631&gt;Parâmetros!$B$6),"Sim","Não")</f>
        <v>Não</v>
      </c>
      <c r="P631" s="32" t="str">
        <f aca="false">IF(O631="Sim","R",IF(N631&gt;=Parâmetros!$B$39,"A",IF(N631&gt;=Parâmetros!$B$40,"B",IF(N631&gt;=Parâmetros!$B$41,"C","D"))))</f>
        <v>D</v>
      </c>
      <c r="Q631" s="10" t="str">
        <f aca="false">IF(F631="","Completar cadastro","")</f>
        <v>Completar cadastro</v>
      </c>
      <c r="R631" s="10" t="str">
        <f aca="false">INDEX(Parâmetros!$D$39:$D$43,MATCH(P631,Parâmetros!$A$39:$A$43,0))</f>
        <v>Automatizar ou vender em lote</v>
      </c>
    </row>
    <row r="632" customFormat="false" ht="15" hidden="false" customHeight="false" outlineLevel="0" collapsed="false">
      <c r="A632" s="10" t="s">
        <v>871</v>
      </c>
      <c r="B632" s="10" t="s">
        <v>74</v>
      </c>
      <c r="C632" s="10" t="s">
        <v>72</v>
      </c>
      <c r="D632" s="10" t="s">
        <v>196</v>
      </c>
      <c r="E632" s="10" t="s">
        <v>51</v>
      </c>
      <c r="F632" s="10"/>
      <c r="G632" s="10" t="s">
        <v>425</v>
      </c>
      <c r="H632" s="10"/>
      <c r="I632" s="8" t="n">
        <f aca="false">INDEX(Parâmetros!$C$13:$C$19,MATCH(E632,Parâmetros!$A$13:$A$19,0))</f>
        <v>550</v>
      </c>
      <c r="J632" s="26" t="str">
        <f aca="false">IF(H632="","",Parâmetros!$B$5-H632)</f>
        <v/>
      </c>
      <c r="K632" s="10" t="n">
        <f aca="false">INDEX(Parâmetros!$D$13:$D$19,MATCH(E632,Parâmetros!$A$13:$A$19,0))</f>
        <v>22</v>
      </c>
      <c r="L632" s="26" t="n">
        <f aca="false">IF(G632="Prospecting",Parâmetros!$B$9,IF(J632&gt;Parâmetros!$B$6,0,INDEX(Parâmetros!$C$24:$C$26,MATCH(J632,Parâmetros!$A$24:$A$26,1))))</f>
        <v>10</v>
      </c>
      <c r="M632" s="31" t="n">
        <f aca="false">IF(G632="Prospecting",1,INDEX(Parâmetros!$C$32:$C$35,MATCH(J632,Parâmetros!$A$32:$A$35,1)))</f>
        <v>1</v>
      </c>
      <c r="N632" s="2" t="n">
        <f aca="false">ROUND((K632+L632)*M632,0)</f>
        <v>32</v>
      </c>
      <c r="O632" s="10" t="str">
        <f aca="false">IF(AND(G632="Engaging",J632&gt;Parâmetros!$B$6),"Sim","Não")</f>
        <v>Não</v>
      </c>
      <c r="P632" s="32" t="str">
        <f aca="false">IF(O632="Sim","R",IF(N632&gt;=Parâmetros!$B$39,"A",IF(N632&gt;=Parâmetros!$B$40,"B",IF(N632&gt;=Parâmetros!$B$41,"C","D"))))</f>
        <v>D</v>
      </c>
      <c r="Q632" s="10" t="str">
        <f aca="false">IF(F632="","Completar cadastro","")</f>
        <v>Completar cadastro</v>
      </c>
      <c r="R632" s="10" t="str">
        <f aca="false">INDEX(Parâmetros!$D$39:$D$43,MATCH(P632,Parâmetros!$A$39:$A$43,0))</f>
        <v>Automatizar ou vender em lote</v>
      </c>
    </row>
    <row r="633" customFormat="false" ht="15" hidden="false" customHeight="false" outlineLevel="0" collapsed="false">
      <c r="A633" s="10" t="s">
        <v>872</v>
      </c>
      <c r="B633" s="10" t="s">
        <v>74</v>
      </c>
      <c r="C633" s="10" t="s">
        <v>72</v>
      </c>
      <c r="D633" s="10" t="s">
        <v>196</v>
      </c>
      <c r="E633" s="10" t="s">
        <v>51</v>
      </c>
      <c r="F633" s="10"/>
      <c r="G633" s="10" t="s">
        <v>425</v>
      </c>
      <c r="H633" s="10"/>
      <c r="I633" s="8" t="n">
        <f aca="false">INDEX(Parâmetros!$C$13:$C$19,MATCH(E633,Parâmetros!$A$13:$A$19,0))</f>
        <v>550</v>
      </c>
      <c r="J633" s="26" t="str">
        <f aca="false">IF(H633="","",Parâmetros!$B$5-H633)</f>
        <v/>
      </c>
      <c r="K633" s="10" t="n">
        <f aca="false">INDEX(Parâmetros!$D$13:$D$19,MATCH(E633,Parâmetros!$A$13:$A$19,0))</f>
        <v>22</v>
      </c>
      <c r="L633" s="26" t="n">
        <f aca="false">IF(G633="Prospecting",Parâmetros!$B$9,IF(J633&gt;Parâmetros!$B$6,0,INDEX(Parâmetros!$C$24:$C$26,MATCH(J633,Parâmetros!$A$24:$A$26,1))))</f>
        <v>10</v>
      </c>
      <c r="M633" s="31" t="n">
        <f aca="false">IF(G633="Prospecting",1,INDEX(Parâmetros!$C$32:$C$35,MATCH(J633,Parâmetros!$A$32:$A$35,1)))</f>
        <v>1</v>
      </c>
      <c r="N633" s="2" t="n">
        <f aca="false">ROUND((K633+L633)*M633,0)</f>
        <v>32</v>
      </c>
      <c r="O633" s="10" t="str">
        <f aca="false">IF(AND(G633="Engaging",J633&gt;Parâmetros!$B$6),"Sim","Não")</f>
        <v>Não</v>
      </c>
      <c r="P633" s="32" t="str">
        <f aca="false">IF(O633="Sim","R",IF(N633&gt;=Parâmetros!$B$39,"A",IF(N633&gt;=Parâmetros!$B$40,"B",IF(N633&gt;=Parâmetros!$B$41,"C","D"))))</f>
        <v>D</v>
      </c>
      <c r="Q633" s="10" t="str">
        <f aca="false">IF(F633="","Completar cadastro","")</f>
        <v>Completar cadastro</v>
      </c>
      <c r="R633" s="10" t="str">
        <f aca="false">INDEX(Parâmetros!$D$39:$D$43,MATCH(P633,Parâmetros!$A$39:$A$43,0))</f>
        <v>Automatizar ou vender em lote</v>
      </c>
    </row>
    <row r="634" customFormat="false" ht="15" hidden="false" customHeight="false" outlineLevel="0" collapsed="false">
      <c r="A634" s="10" t="s">
        <v>873</v>
      </c>
      <c r="B634" s="10" t="s">
        <v>74</v>
      </c>
      <c r="C634" s="10" t="s">
        <v>72</v>
      </c>
      <c r="D634" s="10" t="s">
        <v>196</v>
      </c>
      <c r="E634" s="10" t="s">
        <v>51</v>
      </c>
      <c r="F634" s="10"/>
      <c r="G634" s="10" t="s">
        <v>425</v>
      </c>
      <c r="H634" s="10"/>
      <c r="I634" s="8" t="n">
        <f aca="false">INDEX(Parâmetros!$C$13:$C$19,MATCH(E634,Parâmetros!$A$13:$A$19,0))</f>
        <v>550</v>
      </c>
      <c r="J634" s="26" t="str">
        <f aca="false">IF(H634="","",Parâmetros!$B$5-H634)</f>
        <v/>
      </c>
      <c r="K634" s="10" t="n">
        <f aca="false">INDEX(Parâmetros!$D$13:$D$19,MATCH(E634,Parâmetros!$A$13:$A$19,0))</f>
        <v>22</v>
      </c>
      <c r="L634" s="26" t="n">
        <f aca="false">IF(G634="Prospecting",Parâmetros!$B$9,IF(J634&gt;Parâmetros!$B$6,0,INDEX(Parâmetros!$C$24:$C$26,MATCH(J634,Parâmetros!$A$24:$A$26,1))))</f>
        <v>10</v>
      </c>
      <c r="M634" s="31" t="n">
        <f aca="false">IF(G634="Prospecting",1,INDEX(Parâmetros!$C$32:$C$35,MATCH(J634,Parâmetros!$A$32:$A$35,1)))</f>
        <v>1</v>
      </c>
      <c r="N634" s="2" t="n">
        <f aca="false">ROUND((K634+L634)*M634,0)</f>
        <v>32</v>
      </c>
      <c r="O634" s="10" t="str">
        <f aca="false">IF(AND(G634="Engaging",J634&gt;Parâmetros!$B$6),"Sim","Não")</f>
        <v>Não</v>
      </c>
      <c r="P634" s="32" t="str">
        <f aca="false">IF(O634="Sim","R",IF(N634&gt;=Parâmetros!$B$39,"A",IF(N634&gt;=Parâmetros!$B$40,"B",IF(N634&gt;=Parâmetros!$B$41,"C","D"))))</f>
        <v>D</v>
      </c>
      <c r="Q634" s="10" t="str">
        <f aca="false">IF(F634="","Completar cadastro","")</f>
        <v>Completar cadastro</v>
      </c>
      <c r="R634" s="10" t="str">
        <f aca="false">INDEX(Parâmetros!$D$39:$D$43,MATCH(P634,Parâmetros!$A$39:$A$43,0))</f>
        <v>Automatizar ou vender em lote</v>
      </c>
    </row>
    <row r="635" customFormat="false" ht="15" hidden="false" customHeight="false" outlineLevel="0" collapsed="false">
      <c r="A635" s="10" t="s">
        <v>874</v>
      </c>
      <c r="B635" s="10" t="s">
        <v>74</v>
      </c>
      <c r="C635" s="10" t="s">
        <v>72</v>
      </c>
      <c r="D635" s="10" t="s">
        <v>196</v>
      </c>
      <c r="E635" s="10" t="s">
        <v>51</v>
      </c>
      <c r="F635" s="10"/>
      <c r="G635" s="10" t="s">
        <v>425</v>
      </c>
      <c r="H635" s="10"/>
      <c r="I635" s="8" t="n">
        <f aca="false">INDEX(Parâmetros!$C$13:$C$19,MATCH(E635,Parâmetros!$A$13:$A$19,0))</f>
        <v>550</v>
      </c>
      <c r="J635" s="26" t="str">
        <f aca="false">IF(H635="","",Parâmetros!$B$5-H635)</f>
        <v/>
      </c>
      <c r="K635" s="10" t="n">
        <f aca="false">INDEX(Parâmetros!$D$13:$D$19,MATCH(E635,Parâmetros!$A$13:$A$19,0))</f>
        <v>22</v>
      </c>
      <c r="L635" s="26" t="n">
        <f aca="false">IF(G635="Prospecting",Parâmetros!$B$9,IF(J635&gt;Parâmetros!$B$6,0,INDEX(Parâmetros!$C$24:$C$26,MATCH(J635,Parâmetros!$A$24:$A$26,1))))</f>
        <v>10</v>
      </c>
      <c r="M635" s="31" t="n">
        <f aca="false">IF(G635="Prospecting",1,INDEX(Parâmetros!$C$32:$C$35,MATCH(J635,Parâmetros!$A$32:$A$35,1)))</f>
        <v>1</v>
      </c>
      <c r="N635" s="2" t="n">
        <f aca="false">ROUND((K635+L635)*M635,0)</f>
        <v>32</v>
      </c>
      <c r="O635" s="10" t="str">
        <f aca="false">IF(AND(G635="Engaging",J635&gt;Parâmetros!$B$6),"Sim","Não")</f>
        <v>Não</v>
      </c>
      <c r="P635" s="32" t="str">
        <f aca="false">IF(O635="Sim","R",IF(N635&gt;=Parâmetros!$B$39,"A",IF(N635&gt;=Parâmetros!$B$40,"B",IF(N635&gt;=Parâmetros!$B$41,"C","D"))))</f>
        <v>D</v>
      </c>
      <c r="Q635" s="10" t="str">
        <f aca="false">IF(F635="","Completar cadastro","")</f>
        <v>Completar cadastro</v>
      </c>
      <c r="R635" s="10" t="str">
        <f aca="false">INDEX(Parâmetros!$D$39:$D$43,MATCH(P635,Parâmetros!$A$39:$A$43,0))</f>
        <v>Automatizar ou vender em lote</v>
      </c>
    </row>
    <row r="636" customFormat="false" ht="15" hidden="false" customHeight="false" outlineLevel="0" collapsed="false">
      <c r="A636" s="10" t="s">
        <v>875</v>
      </c>
      <c r="B636" s="10" t="s">
        <v>74</v>
      </c>
      <c r="C636" s="10" t="s">
        <v>72</v>
      </c>
      <c r="D636" s="10" t="s">
        <v>196</v>
      </c>
      <c r="E636" s="10" t="s">
        <v>51</v>
      </c>
      <c r="F636" s="10"/>
      <c r="G636" s="10" t="s">
        <v>425</v>
      </c>
      <c r="H636" s="10"/>
      <c r="I636" s="8" t="n">
        <f aca="false">INDEX(Parâmetros!$C$13:$C$19,MATCH(E636,Parâmetros!$A$13:$A$19,0))</f>
        <v>550</v>
      </c>
      <c r="J636" s="26" t="str">
        <f aca="false">IF(H636="","",Parâmetros!$B$5-H636)</f>
        <v/>
      </c>
      <c r="K636" s="10" t="n">
        <f aca="false">INDEX(Parâmetros!$D$13:$D$19,MATCH(E636,Parâmetros!$A$13:$A$19,0))</f>
        <v>22</v>
      </c>
      <c r="L636" s="26" t="n">
        <f aca="false">IF(G636="Prospecting",Parâmetros!$B$9,IF(J636&gt;Parâmetros!$B$6,0,INDEX(Parâmetros!$C$24:$C$26,MATCH(J636,Parâmetros!$A$24:$A$26,1))))</f>
        <v>10</v>
      </c>
      <c r="M636" s="31" t="n">
        <f aca="false">IF(G636="Prospecting",1,INDEX(Parâmetros!$C$32:$C$35,MATCH(J636,Parâmetros!$A$32:$A$35,1)))</f>
        <v>1</v>
      </c>
      <c r="N636" s="2" t="n">
        <f aca="false">ROUND((K636+L636)*M636,0)</f>
        <v>32</v>
      </c>
      <c r="O636" s="10" t="str">
        <f aca="false">IF(AND(G636="Engaging",J636&gt;Parâmetros!$B$6),"Sim","Não")</f>
        <v>Não</v>
      </c>
      <c r="P636" s="32" t="str">
        <f aca="false">IF(O636="Sim","R",IF(N636&gt;=Parâmetros!$B$39,"A",IF(N636&gt;=Parâmetros!$B$40,"B",IF(N636&gt;=Parâmetros!$B$41,"C","D"))))</f>
        <v>D</v>
      </c>
      <c r="Q636" s="10" t="str">
        <f aca="false">IF(F636="","Completar cadastro","")</f>
        <v>Completar cadastro</v>
      </c>
      <c r="R636" s="10" t="str">
        <f aca="false">INDEX(Parâmetros!$D$39:$D$43,MATCH(P636,Parâmetros!$A$39:$A$43,0))</f>
        <v>Automatizar ou vender em lote</v>
      </c>
    </row>
    <row r="637" customFormat="false" ht="15" hidden="false" customHeight="false" outlineLevel="0" collapsed="false">
      <c r="A637" s="10" t="s">
        <v>876</v>
      </c>
      <c r="B637" s="10" t="s">
        <v>74</v>
      </c>
      <c r="C637" s="10" t="s">
        <v>72</v>
      </c>
      <c r="D637" s="10" t="s">
        <v>196</v>
      </c>
      <c r="E637" s="10" t="s">
        <v>51</v>
      </c>
      <c r="F637" s="10"/>
      <c r="G637" s="10" t="s">
        <v>425</v>
      </c>
      <c r="H637" s="10"/>
      <c r="I637" s="8" t="n">
        <f aca="false">INDEX(Parâmetros!$C$13:$C$19,MATCH(E637,Parâmetros!$A$13:$A$19,0))</f>
        <v>550</v>
      </c>
      <c r="J637" s="26" t="str">
        <f aca="false">IF(H637="","",Parâmetros!$B$5-H637)</f>
        <v/>
      </c>
      <c r="K637" s="10" t="n">
        <f aca="false">INDEX(Parâmetros!$D$13:$D$19,MATCH(E637,Parâmetros!$A$13:$A$19,0))</f>
        <v>22</v>
      </c>
      <c r="L637" s="26" t="n">
        <f aca="false">IF(G637="Prospecting",Parâmetros!$B$9,IF(J637&gt;Parâmetros!$B$6,0,INDEX(Parâmetros!$C$24:$C$26,MATCH(J637,Parâmetros!$A$24:$A$26,1))))</f>
        <v>10</v>
      </c>
      <c r="M637" s="31" t="n">
        <f aca="false">IF(G637="Prospecting",1,INDEX(Parâmetros!$C$32:$C$35,MATCH(J637,Parâmetros!$A$32:$A$35,1)))</f>
        <v>1</v>
      </c>
      <c r="N637" s="2" t="n">
        <f aca="false">ROUND((K637+L637)*M637,0)</f>
        <v>32</v>
      </c>
      <c r="O637" s="10" t="str">
        <f aca="false">IF(AND(G637="Engaging",J637&gt;Parâmetros!$B$6),"Sim","Não")</f>
        <v>Não</v>
      </c>
      <c r="P637" s="32" t="str">
        <f aca="false">IF(O637="Sim","R",IF(N637&gt;=Parâmetros!$B$39,"A",IF(N637&gt;=Parâmetros!$B$40,"B",IF(N637&gt;=Parâmetros!$B$41,"C","D"))))</f>
        <v>D</v>
      </c>
      <c r="Q637" s="10" t="str">
        <f aca="false">IF(F637="","Completar cadastro","")</f>
        <v>Completar cadastro</v>
      </c>
      <c r="R637" s="10" t="str">
        <f aca="false">INDEX(Parâmetros!$D$39:$D$43,MATCH(P637,Parâmetros!$A$39:$A$43,0))</f>
        <v>Automatizar ou vender em lote</v>
      </c>
    </row>
    <row r="638" customFormat="false" ht="15" hidden="false" customHeight="false" outlineLevel="0" collapsed="false">
      <c r="A638" s="10" t="s">
        <v>877</v>
      </c>
      <c r="B638" s="10" t="s">
        <v>74</v>
      </c>
      <c r="C638" s="10" t="s">
        <v>72</v>
      </c>
      <c r="D638" s="10" t="s">
        <v>196</v>
      </c>
      <c r="E638" s="10" t="s">
        <v>51</v>
      </c>
      <c r="F638" s="10"/>
      <c r="G638" s="10" t="s">
        <v>425</v>
      </c>
      <c r="H638" s="10"/>
      <c r="I638" s="8" t="n">
        <f aca="false">INDEX(Parâmetros!$C$13:$C$19,MATCH(E638,Parâmetros!$A$13:$A$19,0))</f>
        <v>550</v>
      </c>
      <c r="J638" s="26" t="str">
        <f aca="false">IF(H638="","",Parâmetros!$B$5-H638)</f>
        <v/>
      </c>
      <c r="K638" s="10" t="n">
        <f aca="false">INDEX(Parâmetros!$D$13:$D$19,MATCH(E638,Parâmetros!$A$13:$A$19,0))</f>
        <v>22</v>
      </c>
      <c r="L638" s="26" t="n">
        <f aca="false">IF(G638="Prospecting",Parâmetros!$B$9,IF(J638&gt;Parâmetros!$B$6,0,INDEX(Parâmetros!$C$24:$C$26,MATCH(J638,Parâmetros!$A$24:$A$26,1))))</f>
        <v>10</v>
      </c>
      <c r="M638" s="31" t="n">
        <f aca="false">IF(G638="Prospecting",1,INDEX(Parâmetros!$C$32:$C$35,MATCH(J638,Parâmetros!$A$32:$A$35,1)))</f>
        <v>1</v>
      </c>
      <c r="N638" s="2" t="n">
        <f aca="false">ROUND((K638+L638)*M638,0)</f>
        <v>32</v>
      </c>
      <c r="O638" s="10" t="str">
        <f aca="false">IF(AND(G638="Engaging",J638&gt;Parâmetros!$B$6),"Sim","Não")</f>
        <v>Não</v>
      </c>
      <c r="P638" s="32" t="str">
        <f aca="false">IF(O638="Sim","R",IF(N638&gt;=Parâmetros!$B$39,"A",IF(N638&gt;=Parâmetros!$B$40,"B",IF(N638&gt;=Parâmetros!$B$41,"C","D"))))</f>
        <v>D</v>
      </c>
      <c r="Q638" s="10" t="str">
        <f aca="false">IF(F638="","Completar cadastro","")</f>
        <v>Completar cadastro</v>
      </c>
      <c r="R638" s="10" t="str">
        <f aca="false">INDEX(Parâmetros!$D$39:$D$43,MATCH(P638,Parâmetros!$A$39:$A$43,0))</f>
        <v>Automatizar ou vender em lote</v>
      </c>
    </row>
    <row r="639" customFormat="false" ht="15" hidden="false" customHeight="false" outlineLevel="0" collapsed="false">
      <c r="A639" s="10" t="s">
        <v>878</v>
      </c>
      <c r="B639" s="10" t="s">
        <v>74</v>
      </c>
      <c r="C639" s="10" t="s">
        <v>72</v>
      </c>
      <c r="D639" s="10" t="s">
        <v>196</v>
      </c>
      <c r="E639" s="10" t="s">
        <v>51</v>
      </c>
      <c r="F639" s="10"/>
      <c r="G639" s="10" t="s">
        <v>425</v>
      </c>
      <c r="H639" s="10"/>
      <c r="I639" s="8" t="n">
        <f aca="false">INDEX(Parâmetros!$C$13:$C$19,MATCH(E639,Parâmetros!$A$13:$A$19,0))</f>
        <v>550</v>
      </c>
      <c r="J639" s="26" t="str">
        <f aca="false">IF(H639="","",Parâmetros!$B$5-H639)</f>
        <v/>
      </c>
      <c r="K639" s="10" t="n">
        <f aca="false">INDEX(Parâmetros!$D$13:$D$19,MATCH(E639,Parâmetros!$A$13:$A$19,0))</f>
        <v>22</v>
      </c>
      <c r="L639" s="26" t="n">
        <f aca="false">IF(G639="Prospecting",Parâmetros!$B$9,IF(J639&gt;Parâmetros!$B$6,0,INDEX(Parâmetros!$C$24:$C$26,MATCH(J639,Parâmetros!$A$24:$A$26,1))))</f>
        <v>10</v>
      </c>
      <c r="M639" s="31" t="n">
        <f aca="false">IF(G639="Prospecting",1,INDEX(Parâmetros!$C$32:$C$35,MATCH(J639,Parâmetros!$A$32:$A$35,1)))</f>
        <v>1</v>
      </c>
      <c r="N639" s="2" t="n">
        <f aca="false">ROUND((K639+L639)*M639,0)</f>
        <v>32</v>
      </c>
      <c r="O639" s="10" t="str">
        <f aca="false">IF(AND(G639="Engaging",J639&gt;Parâmetros!$B$6),"Sim","Não")</f>
        <v>Não</v>
      </c>
      <c r="P639" s="32" t="str">
        <f aca="false">IF(O639="Sim","R",IF(N639&gt;=Parâmetros!$B$39,"A",IF(N639&gt;=Parâmetros!$B$40,"B",IF(N639&gt;=Parâmetros!$B$41,"C","D"))))</f>
        <v>D</v>
      </c>
      <c r="Q639" s="10" t="str">
        <f aca="false">IF(F639="","Completar cadastro","")</f>
        <v>Completar cadastro</v>
      </c>
      <c r="R639" s="10" t="str">
        <f aca="false">INDEX(Parâmetros!$D$39:$D$43,MATCH(P639,Parâmetros!$A$39:$A$43,0))</f>
        <v>Automatizar ou vender em lote</v>
      </c>
    </row>
    <row r="640" customFormat="false" ht="15" hidden="false" customHeight="false" outlineLevel="0" collapsed="false">
      <c r="A640" s="10" t="s">
        <v>879</v>
      </c>
      <c r="B640" s="10" t="s">
        <v>74</v>
      </c>
      <c r="C640" s="10" t="s">
        <v>72</v>
      </c>
      <c r="D640" s="10" t="s">
        <v>196</v>
      </c>
      <c r="E640" s="10" t="s">
        <v>51</v>
      </c>
      <c r="F640" s="10"/>
      <c r="G640" s="10" t="s">
        <v>425</v>
      </c>
      <c r="H640" s="10"/>
      <c r="I640" s="8" t="n">
        <f aca="false">INDEX(Parâmetros!$C$13:$C$19,MATCH(E640,Parâmetros!$A$13:$A$19,0))</f>
        <v>550</v>
      </c>
      <c r="J640" s="26" t="str">
        <f aca="false">IF(H640="","",Parâmetros!$B$5-H640)</f>
        <v/>
      </c>
      <c r="K640" s="10" t="n">
        <f aca="false">INDEX(Parâmetros!$D$13:$D$19,MATCH(E640,Parâmetros!$A$13:$A$19,0))</f>
        <v>22</v>
      </c>
      <c r="L640" s="26" t="n">
        <f aca="false">IF(G640="Prospecting",Parâmetros!$B$9,IF(J640&gt;Parâmetros!$B$6,0,INDEX(Parâmetros!$C$24:$C$26,MATCH(J640,Parâmetros!$A$24:$A$26,1))))</f>
        <v>10</v>
      </c>
      <c r="M640" s="31" t="n">
        <f aca="false">IF(G640="Prospecting",1,INDEX(Parâmetros!$C$32:$C$35,MATCH(J640,Parâmetros!$A$32:$A$35,1)))</f>
        <v>1</v>
      </c>
      <c r="N640" s="2" t="n">
        <f aca="false">ROUND((K640+L640)*M640,0)</f>
        <v>32</v>
      </c>
      <c r="O640" s="10" t="str">
        <f aca="false">IF(AND(G640="Engaging",J640&gt;Parâmetros!$B$6),"Sim","Não")</f>
        <v>Não</v>
      </c>
      <c r="P640" s="32" t="str">
        <f aca="false">IF(O640="Sim","R",IF(N640&gt;=Parâmetros!$B$39,"A",IF(N640&gt;=Parâmetros!$B$40,"B",IF(N640&gt;=Parâmetros!$B$41,"C","D"))))</f>
        <v>D</v>
      </c>
      <c r="Q640" s="10" t="str">
        <f aca="false">IF(F640="","Completar cadastro","")</f>
        <v>Completar cadastro</v>
      </c>
      <c r="R640" s="10" t="str">
        <f aca="false">INDEX(Parâmetros!$D$39:$D$43,MATCH(P640,Parâmetros!$A$39:$A$43,0))</f>
        <v>Automatizar ou vender em lote</v>
      </c>
    </row>
    <row r="641" customFormat="false" ht="15" hidden="false" customHeight="false" outlineLevel="0" collapsed="false">
      <c r="A641" s="10" t="s">
        <v>880</v>
      </c>
      <c r="B641" s="10" t="s">
        <v>74</v>
      </c>
      <c r="C641" s="10" t="s">
        <v>72</v>
      </c>
      <c r="D641" s="10" t="s">
        <v>196</v>
      </c>
      <c r="E641" s="10" t="s">
        <v>51</v>
      </c>
      <c r="F641" s="10"/>
      <c r="G641" s="10" t="s">
        <v>425</v>
      </c>
      <c r="H641" s="10"/>
      <c r="I641" s="8" t="n">
        <f aca="false">INDEX(Parâmetros!$C$13:$C$19,MATCH(E641,Parâmetros!$A$13:$A$19,0))</f>
        <v>550</v>
      </c>
      <c r="J641" s="26" t="str">
        <f aca="false">IF(H641="","",Parâmetros!$B$5-H641)</f>
        <v/>
      </c>
      <c r="K641" s="10" t="n">
        <f aca="false">INDEX(Parâmetros!$D$13:$D$19,MATCH(E641,Parâmetros!$A$13:$A$19,0))</f>
        <v>22</v>
      </c>
      <c r="L641" s="26" t="n">
        <f aca="false">IF(G641="Prospecting",Parâmetros!$B$9,IF(J641&gt;Parâmetros!$B$6,0,INDEX(Parâmetros!$C$24:$C$26,MATCH(J641,Parâmetros!$A$24:$A$26,1))))</f>
        <v>10</v>
      </c>
      <c r="M641" s="31" t="n">
        <f aca="false">IF(G641="Prospecting",1,INDEX(Parâmetros!$C$32:$C$35,MATCH(J641,Parâmetros!$A$32:$A$35,1)))</f>
        <v>1</v>
      </c>
      <c r="N641" s="2" t="n">
        <f aca="false">ROUND((K641+L641)*M641,0)</f>
        <v>32</v>
      </c>
      <c r="O641" s="10" t="str">
        <f aca="false">IF(AND(G641="Engaging",J641&gt;Parâmetros!$B$6),"Sim","Não")</f>
        <v>Não</v>
      </c>
      <c r="P641" s="32" t="str">
        <f aca="false">IF(O641="Sim","R",IF(N641&gt;=Parâmetros!$B$39,"A",IF(N641&gt;=Parâmetros!$B$40,"B",IF(N641&gt;=Parâmetros!$B$41,"C","D"))))</f>
        <v>D</v>
      </c>
      <c r="Q641" s="10" t="str">
        <f aca="false">IF(F641="","Completar cadastro","")</f>
        <v>Completar cadastro</v>
      </c>
      <c r="R641" s="10" t="str">
        <f aca="false">INDEX(Parâmetros!$D$39:$D$43,MATCH(P641,Parâmetros!$A$39:$A$43,0))</f>
        <v>Automatizar ou vender em lote</v>
      </c>
    </row>
    <row r="642" customFormat="false" ht="15" hidden="false" customHeight="false" outlineLevel="0" collapsed="false">
      <c r="A642" s="10" t="s">
        <v>881</v>
      </c>
      <c r="B642" s="10" t="s">
        <v>81</v>
      </c>
      <c r="C642" s="10" t="s">
        <v>78</v>
      </c>
      <c r="D642" s="10" t="s">
        <v>196</v>
      </c>
      <c r="E642" s="10" t="s">
        <v>51</v>
      </c>
      <c r="F642" s="10" t="s">
        <v>175</v>
      </c>
      <c r="G642" s="10" t="s">
        <v>425</v>
      </c>
      <c r="H642" s="10"/>
      <c r="I642" s="8" t="n">
        <f aca="false">INDEX(Parâmetros!$C$13:$C$19,MATCH(E642,Parâmetros!$A$13:$A$19,0))</f>
        <v>550</v>
      </c>
      <c r="J642" s="26" t="str">
        <f aca="false">IF(H642="","",Parâmetros!$B$5-H642)</f>
        <v/>
      </c>
      <c r="K642" s="10" t="n">
        <f aca="false">INDEX(Parâmetros!$D$13:$D$19,MATCH(E642,Parâmetros!$A$13:$A$19,0))</f>
        <v>22</v>
      </c>
      <c r="L642" s="26" t="n">
        <f aca="false">IF(G642="Prospecting",Parâmetros!$B$9,IF(J642&gt;Parâmetros!$B$6,0,INDEX(Parâmetros!$C$24:$C$26,MATCH(J642,Parâmetros!$A$24:$A$26,1))))</f>
        <v>10</v>
      </c>
      <c r="M642" s="31" t="n">
        <f aca="false">IF(G642="Prospecting",1,INDEX(Parâmetros!$C$32:$C$35,MATCH(J642,Parâmetros!$A$32:$A$35,1)))</f>
        <v>1</v>
      </c>
      <c r="N642" s="2" t="n">
        <f aca="false">ROUND((K642+L642)*M642,0)</f>
        <v>32</v>
      </c>
      <c r="O642" s="10" t="str">
        <f aca="false">IF(AND(G642="Engaging",J642&gt;Parâmetros!$B$6),"Sim","Não")</f>
        <v>Não</v>
      </c>
      <c r="P642" s="32" t="str">
        <f aca="false">IF(O642="Sim","R",IF(N642&gt;=Parâmetros!$B$39,"A",IF(N642&gt;=Parâmetros!$B$40,"B",IF(N642&gt;=Parâmetros!$B$41,"C","D"))))</f>
        <v>D</v>
      </c>
      <c r="Q642" s="10" t="str">
        <f aca="false">IF(F642="","Completar cadastro","")</f>
        <v/>
      </c>
      <c r="R642" s="10" t="str">
        <f aca="false">INDEX(Parâmetros!$D$39:$D$43,MATCH(P642,Parâmetros!$A$39:$A$43,0))</f>
        <v>Automatizar ou vender em lote</v>
      </c>
    </row>
    <row r="643" customFormat="false" ht="15" hidden="false" customHeight="false" outlineLevel="0" collapsed="false">
      <c r="A643" s="10" t="s">
        <v>882</v>
      </c>
      <c r="B643" s="10" t="s">
        <v>81</v>
      </c>
      <c r="C643" s="10" t="s">
        <v>78</v>
      </c>
      <c r="D643" s="10" t="s">
        <v>196</v>
      </c>
      <c r="E643" s="10" t="s">
        <v>51</v>
      </c>
      <c r="F643" s="10" t="s">
        <v>311</v>
      </c>
      <c r="G643" s="10" t="s">
        <v>425</v>
      </c>
      <c r="H643" s="10"/>
      <c r="I643" s="8" t="n">
        <f aca="false">INDEX(Parâmetros!$C$13:$C$19,MATCH(E643,Parâmetros!$A$13:$A$19,0))</f>
        <v>550</v>
      </c>
      <c r="J643" s="26" t="str">
        <f aca="false">IF(H643="","",Parâmetros!$B$5-H643)</f>
        <v/>
      </c>
      <c r="K643" s="10" t="n">
        <f aca="false">INDEX(Parâmetros!$D$13:$D$19,MATCH(E643,Parâmetros!$A$13:$A$19,0))</f>
        <v>22</v>
      </c>
      <c r="L643" s="26" t="n">
        <f aca="false">IF(G643="Prospecting",Parâmetros!$B$9,IF(J643&gt;Parâmetros!$B$6,0,INDEX(Parâmetros!$C$24:$C$26,MATCH(J643,Parâmetros!$A$24:$A$26,1))))</f>
        <v>10</v>
      </c>
      <c r="M643" s="31" t="n">
        <f aca="false">IF(G643="Prospecting",1,INDEX(Parâmetros!$C$32:$C$35,MATCH(J643,Parâmetros!$A$32:$A$35,1)))</f>
        <v>1</v>
      </c>
      <c r="N643" s="2" t="n">
        <f aca="false">ROUND((K643+L643)*M643,0)</f>
        <v>32</v>
      </c>
      <c r="O643" s="10" t="str">
        <f aca="false">IF(AND(G643="Engaging",J643&gt;Parâmetros!$B$6),"Sim","Não")</f>
        <v>Não</v>
      </c>
      <c r="P643" s="32" t="str">
        <f aca="false">IF(O643="Sim","R",IF(N643&gt;=Parâmetros!$B$39,"A",IF(N643&gt;=Parâmetros!$B$40,"B",IF(N643&gt;=Parâmetros!$B$41,"C","D"))))</f>
        <v>D</v>
      </c>
      <c r="Q643" s="10" t="str">
        <f aca="false">IF(F643="","Completar cadastro","")</f>
        <v/>
      </c>
      <c r="R643" s="10" t="str">
        <f aca="false">INDEX(Parâmetros!$D$39:$D$43,MATCH(P643,Parâmetros!$A$39:$A$43,0))</f>
        <v>Automatizar ou vender em lote</v>
      </c>
    </row>
    <row r="644" customFormat="false" ht="15" hidden="false" customHeight="false" outlineLevel="0" collapsed="false">
      <c r="A644" s="10" t="s">
        <v>883</v>
      </c>
      <c r="B644" s="10" t="s">
        <v>81</v>
      </c>
      <c r="C644" s="10" t="s">
        <v>78</v>
      </c>
      <c r="D644" s="10" t="s">
        <v>196</v>
      </c>
      <c r="E644" s="10" t="s">
        <v>51</v>
      </c>
      <c r="F644" s="10" t="s">
        <v>350</v>
      </c>
      <c r="G644" s="10" t="s">
        <v>425</v>
      </c>
      <c r="H644" s="10"/>
      <c r="I644" s="8" t="n">
        <f aca="false">INDEX(Parâmetros!$C$13:$C$19,MATCH(E644,Parâmetros!$A$13:$A$19,0))</f>
        <v>550</v>
      </c>
      <c r="J644" s="26" t="str">
        <f aca="false">IF(H644="","",Parâmetros!$B$5-H644)</f>
        <v/>
      </c>
      <c r="K644" s="10" t="n">
        <f aca="false">INDEX(Parâmetros!$D$13:$D$19,MATCH(E644,Parâmetros!$A$13:$A$19,0))</f>
        <v>22</v>
      </c>
      <c r="L644" s="26" t="n">
        <f aca="false">IF(G644="Prospecting",Parâmetros!$B$9,IF(J644&gt;Parâmetros!$B$6,0,INDEX(Parâmetros!$C$24:$C$26,MATCH(J644,Parâmetros!$A$24:$A$26,1))))</f>
        <v>10</v>
      </c>
      <c r="M644" s="31" t="n">
        <f aca="false">IF(G644="Prospecting",1,INDEX(Parâmetros!$C$32:$C$35,MATCH(J644,Parâmetros!$A$32:$A$35,1)))</f>
        <v>1</v>
      </c>
      <c r="N644" s="2" t="n">
        <f aca="false">ROUND((K644+L644)*M644,0)</f>
        <v>32</v>
      </c>
      <c r="O644" s="10" t="str">
        <f aca="false">IF(AND(G644="Engaging",J644&gt;Parâmetros!$B$6),"Sim","Não")</f>
        <v>Não</v>
      </c>
      <c r="P644" s="32" t="str">
        <f aca="false">IF(O644="Sim","R",IF(N644&gt;=Parâmetros!$B$39,"A",IF(N644&gt;=Parâmetros!$B$40,"B",IF(N644&gt;=Parâmetros!$B$41,"C","D"))))</f>
        <v>D</v>
      </c>
      <c r="Q644" s="10" t="str">
        <f aca="false">IF(F644="","Completar cadastro","")</f>
        <v/>
      </c>
      <c r="R644" s="10" t="str">
        <f aca="false">INDEX(Parâmetros!$D$39:$D$43,MATCH(P644,Parâmetros!$A$39:$A$43,0))</f>
        <v>Automatizar ou vender em lote</v>
      </c>
    </row>
    <row r="645" customFormat="false" ht="15" hidden="false" customHeight="false" outlineLevel="0" collapsed="false">
      <c r="A645" s="10" t="s">
        <v>884</v>
      </c>
      <c r="B645" s="10" t="s">
        <v>81</v>
      </c>
      <c r="C645" s="10" t="s">
        <v>78</v>
      </c>
      <c r="D645" s="10" t="s">
        <v>196</v>
      </c>
      <c r="E645" s="10" t="s">
        <v>51</v>
      </c>
      <c r="F645" s="10"/>
      <c r="G645" s="10" t="s">
        <v>425</v>
      </c>
      <c r="H645" s="10"/>
      <c r="I645" s="8" t="n">
        <f aca="false">INDEX(Parâmetros!$C$13:$C$19,MATCH(E645,Parâmetros!$A$13:$A$19,0))</f>
        <v>550</v>
      </c>
      <c r="J645" s="26" t="str">
        <f aca="false">IF(H645="","",Parâmetros!$B$5-H645)</f>
        <v/>
      </c>
      <c r="K645" s="10" t="n">
        <f aca="false">INDEX(Parâmetros!$D$13:$D$19,MATCH(E645,Parâmetros!$A$13:$A$19,0))</f>
        <v>22</v>
      </c>
      <c r="L645" s="26" t="n">
        <f aca="false">IF(G645="Prospecting",Parâmetros!$B$9,IF(J645&gt;Parâmetros!$B$6,0,INDEX(Parâmetros!$C$24:$C$26,MATCH(J645,Parâmetros!$A$24:$A$26,1))))</f>
        <v>10</v>
      </c>
      <c r="M645" s="31" t="n">
        <f aca="false">IF(G645="Prospecting",1,INDEX(Parâmetros!$C$32:$C$35,MATCH(J645,Parâmetros!$A$32:$A$35,1)))</f>
        <v>1</v>
      </c>
      <c r="N645" s="2" t="n">
        <f aca="false">ROUND((K645+L645)*M645,0)</f>
        <v>32</v>
      </c>
      <c r="O645" s="10" t="str">
        <f aca="false">IF(AND(G645="Engaging",J645&gt;Parâmetros!$B$6),"Sim","Não")</f>
        <v>Não</v>
      </c>
      <c r="P645" s="32" t="str">
        <f aca="false">IF(O645="Sim","R",IF(N645&gt;=Parâmetros!$B$39,"A",IF(N645&gt;=Parâmetros!$B$40,"B",IF(N645&gt;=Parâmetros!$B$41,"C","D"))))</f>
        <v>D</v>
      </c>
      <c r="Q645" s="10" t="str">
        <f aca="false">IF(F645="","Completar cadastro","")</f>
        <v>Completar cadastro</v>
      </c>
      <c r="R645" s="10" t="str">
        <f aca="false">INDEX(Parâmetros!$D$39:$D$43,MATCH(P645,Parâmetros!$A$39:$A$43,0))</f>
        <v>Automatizar ou vender em lote</v>
      </c>
    </row>
    <row r="646" customFormat="false" ht="15" hidden="false" customHeight="false" outlineLevel="0" collapsed="false">
      <c r="A646" s="10" t="s">
        <v>885</v>
      </c>
      <c r="B646" s="10" t="s">
        <v>81</v>
      </c>
      <c r="C646" s="10" t="s">
        <v>78</v>
      </c>
      <c r="D646" s="10" t="s">
        <v>196</v>
      </c>
      <c r="E646" s="10" t="s">
        <v>51</v>
      </c>
      <c r="F646" s="10"/>
      <c r="G646" s="10" t="s">
        <v>425</v>
      </c>
      <c r="H646" s="10"/>
      <c r="I646" s="8" t="n">
        <f aca="false">INDEX(Parâmetros!$C$13:$C$19,MATCH(E646,Parâmetros!$A$13:$A$19,0))</f>
        <v>550</v>
      </c>
      <c r="J646" s="26" t="str">
        <f aca="false">IF(H646="","",Parâmetros!$B$5-H646)</f>
        <v/>
      </c>
      <c r="K646" s="10" t="n">
        <f aca="false">INDEX(Parâmetros!$D$13:$D$19,MATCH(E646,Parâmetros!$A$13:$A$19,0))</f>
        <v>22</v>
      </c>
      <c r="L646" s="26" t="n">
        <f aca="false">IF(G646="Prospecting",Parâmetros!$B$9,IF(J646&gt;Parâmetros!$B$6,0,INDEX(Parâmetros!$C$24:$C$26,MATCH(J646,Parâmetros!$A$24:$A$26,1))))</f>
        <v>10</v>
      </c>
      <c r="M646" s="31" t="n">
        <f aca="false">IF(G646="Prospecting",1,INDEX(Parâmetros!$C$32:$C$35,MATCH(J646,Parâmetros!$A$32:$A$35,1)))</f>
        <v>1</v>
      </c>
      <c r="N646" s="2" t="n">
        <f aca="false">ROUND((K646+L646)*M646,0)</f>
        <v>32</v>
      </c>
      <c r="O646" s="10" t="str">
        <f aca="false">IF(AND(G646="Engaging",J646&gt;Parâmetros!$B$6),"Sim","Não")</f>
        <v>Não</v>
      </c>
      <c r="P646" s="32" t="str">
        <f aca="false">IF(O646="Sim","R",IF(N646&gt;=Parâmetros!$B$39,"A",IF(N646&gt;=Parâmetros!$B$40,"B",IF(N646&gt;=Parâmetros!$B$41,"C","D"))))</f>
        <v>D</v>
      </c>
      <c r="Q646" s="10" t="str">
        <f aca="false">IF(F646="","Completar cadastro","")</f>
        <v>Completar cadastro</v>
      </c>
      <c r="R646" s="10" t="str">
        <f aca="false">INDEX(Parâmetros!$D$39:$D$43,MATCH(P646,Parâmetros!$A$39:$A$43,0))</f>
        <v>Automatizar ou vender em lote</v>
      </c>
    </row>
    <row r="647" customFormat="false" ht="15" hidden="false" customHeight="false" outlineLevel="0" collapsed="false">
      <c r="A647" s="10" t="s">
        <v>886</v>
      </c>
      <c r="B647" s="10" t="s">
        <v>81</v>
      </c>
      <c r="C647" s="10" t="s">
        <v>78</v>
      </c>
      <c r="D647" s="10" t="s">
        <v>196</v>
      </c>
      <c r="E647" s="10" t="s">
        <v>51</v>
      </c>
      <c r="F647" s="10"/>
      <c r="G647" s="10" t="s">
        <v>425</v>
      </c>
      <c r="H647" s="10"/>
      <c r="I647" s="8" t="n">
        <f aca="false">INDEX(Parâmetros!$C$13:$C$19,MATCH(E647,Parâmetros!$A$13:$A$19,0))</f>
        <v>550</v>
      </c>
      <c r="J647" s="26" t="str">
        <f aca="false">IF(H647="","",Parâmetros!$B$5-H647)</f>
        <v/>
      </c>
      <c r="K647" s="10" t="n">
        <f aca="false">INDEX(Parâmetros!$D$13:$D$19,MATCH(E647,Parâmetros!$A$13:$A$19,0))</f>
        <v>22</v>
      </c>
      <c r="L647" s="26" t="n">
        <f aca="false">IF(G647="Prospecting",Parâmetros!$B$9,IF(J647&gt;Parâmetros!$B$6,0,INDEX(Parâmetros!$C$24:$C$26,MATCH(J647,Parâmetros!$A$24:$A$26,1))))</f>
        <v>10</v>
      </c>
      <c r="M647" s="31" t="n">
        <f aca="false">IF(G647="Prospecting",1,INDEX(Parâmetros!$C$32:$C$35,MATCH(J647,Parâmetros!$A$32:$A$35,1)))</f>
        <v>1</v>
      </c>
      <c r="N647" s="2" t="n">
        <f aca="false">ROUND((K647+L647)*M647,0)</f>
        <v>32</v>
      </c>
      <c r="O647" s="10" t="str">
        <f aca="false">IF(AND(G647="Engaging",J647&gt;Parâmetros!$B$6),"Sim","Não")</f>
        <v>Não</v>
      </c>
      <c r="P647" s="32" t="str">
        <f aca="false">IF(O647="Sim","R",IF(N647&gt;=Parâmetros!$B$39,"A",IF(N647&gt;=Parâmetros!$B$40,"B",IF(N647&gt;=Parâmetros!$B$41,"C","D"))))</f>
        <v>D</v>
      </c>
      <c r="Q647" s="10" t="str">
        <f aca="false">IF(F647="","Completar cadastro","")</f>
        <v>Completar cadastro</v>
      </c>
      <c r="R647" s="10" t="str">
        <f aca="false">INDEX(Parâmetros!$D$39:$D$43,MATCH(P647,Parâmetros!$A$39:$A$43,0))</f>
        <v>Automatizar ou vender em lote</v>
      </c>
    </row>
    <row r="648" customFormat="false" ht="15" hidden="false" customHeight="false" outlineLevel="0" collapsed="false">
      <c r="A648" s="10" t="s">
        <v>887</v>
      </c>
      <c r="B648" s="10" t="s">
        <v>81</v>
      </c>
      <c r="C648" s="10" t="s">
        <v>78</v>
      </c>
      <c r="D648" s="10" t="s">
        <v>196</v>
      </c>
      <c r="E648" s="10" t="s">
        <v>51</v>
      </c>
      <c r="F648" s="10"/>
      <c r="G648" s="10" t="s">
        <v>425</v>
      </c>
      <c r="H648" s="10"/>
      <c r="I648" s="8" t="n">
        <f aca="false">INDEX(Parâmetros!$C$13:$C$19,MATCH(E648,Parâmetros!$A$13:$A$19,0))</f>
        <v>550</v>
      </c>
      <c r="J648" s="26" t="str">
        <f aca="false">IF(H648="","",Parâmetros!$B$5-H648)</f>
        <v/>
      </c>
      <c r="K648" s="10" t="n">
        <f aca="false">INDEX(Parâmetros!$D$13:$D$19,MATCH(E648,Parâmetros!$A$13:$A$19,0))</f>
        <v>22</v>
      </c>
      <c r="L648" s="26" t="n">
        <f aca="false">IF(G648="Prospecting",Parâmetros!$B$9,IF(J648&gt;Parâmetros!$B$6,0,INDEX(Parâmetros!$C$24:$C$26,MATCH(J648,Parâmetros!$A$24:$A$26,1))))</f>
        <v>10</v>
      </c>
      <c r="M648" s="31" t="n">
        <f aca="false">IF(G648="Prospecting",1,INDEX(Parâmetros!$C$32:$C$35,MATCH(J648,Parâmetros!$A$32:$A$35,1)))</f>
        <v>1</v>
      </c>
      <c r="N648" s="2" t="n">
        <f aca="false">ROUND((K648+L648)*M648,0)</f>
        <v>32</v>
      </c>
      <c r="O648" s="10" t="str">
        <f aca="false">IF(AND(G648="Engaging",J648&gt;Parâmetros!$B$6),"Sim","Não")</f>
        <v>Não</v>
      </c>
      <c r="P648" s="32" t="str">
        <f aca="false">IF(O648="Sim","R",IF(N648&gt;=Parâmetros!$B$39,"A",IF(N648&gt;=Parâmetros!$B$40,"B",IF(N648&gt;=Parâmetros!$B$41,"C","D"))))</f>
        <v>D</v>
      </c>
      <c r="Q648" s="10" t="str">
        <f aca="false">IF(F648="","Completar cadastro","")</f>
        <v>Completar cadastro</v>
      </c>
      <c r="R648" s="10" t="str">
        <f aca="false">INDEX(Parâmetros!$D$39:$D$43,MATCH(P648,Parâmetros!$A$39:$A$43,0))</f>
        <v>Automatizar ou vender em lote</v>
      </c>
    </row>
    <row r="649" customFormat="false" ht="15" hidden="false" customHeight="false" outlineLevel="0" collapsed="false">
      <c r="A649" s="10" t="s">
        <v>888</v>
      </c>
      <c r="B649" s="10" t="s">
        <v>81</v>
      </c>
      <c r="C649" s="10" t="s">
        <v>78</v>
      </c>
      <c r="D649" s="10" t="s">
        <v>196</v>
      </c>
      <c r="E649" s="10" t="s">
        <v>51</v>
      </c>
      <c r="F649" s="10"/>
      <c r="G649" s="10" t="s">
        <v>425</v>
      </c>
      <c r="H649" s="10"/>
      <c r="I649" s="8" t="n">
        <f aca="false">INDEX(Parâmetros!$C$13:$C$19,MATCH(E649,Parâmetros!$A$13:$A$19,0))</f>
        <v>550</v>
      </c>
      <c r="J649" s="26" t="str">
        <f aca="false">IF(H649="","",Parâmetros!$B$5-H649)</f>
        <v/>
      </c>
      <c r="K649" s="10" t="n">
        <f aca="false">INDEX(Parâmetros!$D$13:$D$19,MATCH(E649,Parâmetros!$A$13:$A$19,0))</f>
        <v>22</v>
      </c>
      <c r="L649" s="26" t="n">
        <f aca="false">IF(G649="Prospecting",Parâmetros!$B$9,IF(J649&gt;Parâmetros!$B$6,0,INDEX(Parâmetros!$C$24:$C$26,MATCH(J649,Parâmetros!$A$24:$A$26,1))))</f>
        <v>10</v>
      </c>
      <c r="M649" s="31" t="n">
        <f aca="false">IF(G649="Prospecting",1,INDEX(Parâmetros!$C$32:$C$35,MATCH(J649,Parâmetros!$A$32:$A$35,1)))</f>
        <v>1</v>
      </c>
      <c r="N649" s="2" t="n">
        <f aca="false">ROUND((K649+L649)*M649,0)</f>
        <v>32</v>
      </c>
      <c r="O649" s="10" t="str">
        <f aca="false">IF(AND(G649="Engaging",J649&gt;Parâmetros!$B$6),"Sim","Não")</f>
        <v>Não</v>
      </c>
      <c r="P649" s="32" t="str">
        <f aca="false">IF(O649="Sim","R",IF(N649&gt;=Parâmetros!$B$39,"A",IF(N649&gt;=Parâmetros!$B$40,"B",IF(N649&gt;=Parâmetros!$B$41,"C","D"))))</f>
        <v>D</v>
      </c>
      <c r="Q649" s="10" t="str">
        <f aca="false">IF(F649="","Completar cadastro","")</f>
        <v>Completar cadastro</v>
      </c>
      <c r="R649" s="10" t="str">
        <f aca="false">INDEX(Parâmetros!$D$39:$D$43,MATCH(P649,Parâmetros!$A$39:$A$43,0))</f>
        <v>Automatizar ou vender em lote</v>
      </c>
    </row>
    <row r="650" customFormat="false" ht="15" hidden="false" customHeight="false" outlineLevel="0" collapsed="false">
      <c r="A650" s="10" t="s">
        <v>889</v>
      </c>
      <c r="B650" s="10" t="s">
        <v>81</v>
      </c>
      <c r="C650" s="10" t="s">
        <v>78</v>
      </c>
      <c r="D650" s="10" t="s">
        <v>196</v>
      </c>
      <c r="E650" s="10" t="s">
        <v>51</v>
      </c>
      <c r="F650" s="10"/>
      <c r="G650" s="10" t="s">
        <v>425</v>
      </c>
      <c r="H650" s="10"/>
      <c r="I650" s="8" t="n">
        <f aca="false">INDEX(Parâmetros!$C$13:$C$19,MATCH(E650,Parâmetros!$A$13:$A$19,0))</f>
        <v>550</v>
      </c>
      <c r="J650" s="26" t="str">
        <f aca="false">IF(H650="","",Parâmetros!$B$5-H650)</f>
        <v/>
      </c>
      <c r="K650" s="10" t="n">
        <f aca="false">INDEX(Parâmetros!$D$13:$D$19,MATCH(E650,Parâmetros!$A$13:$A$19,0))</f>
        <v>22</v>
      </c>
      <c r="L650" s="26" t="n">
        <f aca="false">IF(G650="Prospecting",Parâmetros!$B$9,IF(J650&gt;Parâmetros!$B$6,0,INDEX(Parâmetros!$C$24:$C$26,MATCH(J650,Parâmetros!$A$24:$A$26,1))))</f>
        <v>10</v>
      </c>
      <c r="M650" s="31" t="n">
        <f aca="false">IF(G650="Prospecting",1,INDEX(Parâmetros!$C$32:$C$35,MATCH(J650,Parâmetros!$A$32:$A$35,1)))</f>
        <v>1</v>
      </c>
      <c r="N650" s="2" t="n">
        <f aca="false">ROUND((K650+L650)*M650,0)</f>
        <v>32</v>
      </c>
      <c r="O650" s="10" t="str">
        <f aca="false">IF(AND(G650="Engaging",J650&gt;Parâmetros!$B$6),"Sim","Não")</f>
        <v>Não</v>
      </c>
      <c r="P650" s="32" t="str">
        <f aca="false">IF(O650="Sim","R",IF(N650&gt;=Parâmetros!$B$39,"A",IF(N650&gt;=Parâmetros!$B$40,"B",IF(N650&gt;=Parâmetros!$B$41,"C","D"))))</f>
        <v>D</v>
      </c>
      <c r="Q650" s="10" t="str">
        <f aca="false">IF(F650="","Completar cadastro","")</f>
        <v>Completar cadastro</v>
      </c>
      <c r="R650" s="10" t="str">
        <f aca="false">INDEX(Parâmetros!$D$39:$D$43,MATCH(P650,Parâmetros!$A$39:$A$43,0))</f>
        <v>Automatizar ou vender em lote</v>
      </c>
    </row>
    <row r="651" customFormat="false" ht="15" hidden="false" customHeight="false" outlineLevel="0" collapsed="false">
      <c r="A651" s="10" t="s">
        <v>890</v>
      </c>
      <c r="B651" s="10" t="s">
        <v>75</v>
      </c>
      <c r="C651" s="10" t="s">
        <v>72</v>
      </c>
      <c r="D651" s="10" t="s">
        <v>196</v>
      </c>
      <c r="E651" s="10" t="s">
        <v>51</v>
      </c>
      <c r="F651" s="10" t="s">
        <v>522</v>
      </c>
      <c r="G651" s="10" t="s">
        <v>425</v>
      </c>
      <c r="H651" s="10"/>
      <c r="I651" s="8" t="n">
        <f aca="false">INDEX(Parâmetros!$C$13:$C$19,MATCH(E651,Parâmetros!$A$13:$A$19,0))</f>
        <v>550</v>
      </c>
      <c r="J651" s="26" t="str">
        <f aca="false">IF(H651="","",Parâmetros!$B$5-H651)</f>
        <v/>
      </c>
      <c r="K651" s="10" t="n">
        <f aca="false">INDEX(Parâmetros!$D$13:$D$19,MATCH(E651,Parâmetros!$A$13:$A$19,0))</f>
        <v>22</v>
      </c>
      <c r="L651" s="26" t="n">
        <f aca="false">IF(G651="Prospecting",Parâmetros!$B$9,IF(J651&gt;Parâmetros!$B$6,0,INDEX(Parâmetros!$C$24:$C$26,MATCH(J651,Parâmetros!$A$24:$A$26,1))))</f>
        <v>10</v>
      </c>
      <c r="M651" s="31" t="n">
        <f aca="false">IF(G651="Prospecting",1,INDEX(Parâmetros!$C$32:$C$35,MATCH(J651,Parâmetros!$A$32:$A$35,1)))</f>
        <v>1</v>
      </c>
      <c r="N651" s="2" t="n">
        <f aca="false">ROUND((K651+L651)*M651,0)</f>
        <v>32</v>
      </c>
      <c r="O651" s="10" t="str">
        <f aca="false">IF(AND(G651="Engaging",J651&gt;Parâmetros!$B$6),"Sim","Não")</f>
        <v>Não</v>
      </c>
      <c r="P651" s="32" t="str">
        <f aca="false">IF(O651="Sim","R",IF(N651&gt;=Parâmetros!$B$39,"A",IF(N651&gt;=Parâmetros!$B$40,"B",IF(N651&gt;=Parâmetros!$B$41,"C","D"))))</f>
        <v>D</v>
      </c>
      <c r="Q651" s="10" t="str">
        <f aca="false">IF(F651="","Completar cadastro","")</f>
        <v/>
      </c>
      <c r="R651" s="10" t="str">
        <f aca="false">INDEX(Parâmetros!$D$39:$D$43,MATCH(P651,Parâmetros!$A$39:$A$43,0))</f>
        <v>Automatizar ou vender em lote</v>
      </c>
    </row>
    <row r="652" customFormat="false" ht="15" hidden="false" customHeight="false" outlineLevel="0" collapsed="false">
      <c r="A652" s="10" t="s">
        <v>891</v>
      </c>
      <c r="B652" s="10" t="s">
        <v>75</v>
      </c>
      <c r="C652" s="10" t="s">
        <v>72</v>
      </c>
      <c r="D652" s="10" t="s">
        <v>196</v>
      </c>
      <c r="E652" s="10" t="s">
        <v>51</v>
      </c>
      <c r="F652" s="10" t="s">
        <v>311</v>
      </c>
      <c r="G652" s="10" t="s">
        <v>425</v>
      </c>
      <c r="H652" s="10"/>
      <c r="I652" s="8" t="n">
        <f aca="false">INDEX(Parâmetros!$C$13:$C$19,MATCH(E652,Parâmetros!$A$13:$A$19,0))</f>
        <v>550</v>
      </c>
      <c r="J652" s="26" t="str">
        <f aca="false">IF(H652="","",Parâmetros!$B$5-H652)</f>
        <v/>
      </c>
      <c r="K652" s="10" t="n">
        <f aca="false">INDEX(Parâmetros!$D$13:$D$19,MATCH(E652,Parâmetros!$A$13:$A$19,0))</f>
        <v>22</v>
      </c>
      <c r="L652" s="26" t="n">
        <f aca="false">IF(G652="Prospecting",Parâmetros!$B$9,IF(J652&gt;Parâmetros!$B$6,0,INDEX(Parâmetros!$C$24:$C$26,MATCH(J652,Parâmetros!$A$24:$A$26,1))))</f>
        <v>10</v>
      </c>
      <c r="M652" s="31" t="n">
        <f aca="false">IF(G652="Prospecting",1,INDEX(Parâmetros!$C$32:$C$35,MATCH(J652,Parâmetros!$A$32:$A$35,1)))</f>
        <v>1</v>
      </c>
      <c r="N652" s="2" t="n">
        <f aca="false">ROUND((K652+L652)*M652,0)</f>
        <v>32</v>
      </c>
      <c r="O652" s="10" t="str">
        <f aca="false">IF(AND(G652="Engaging",J652&gt;Parâmetros!$B$6),"Sim","Não")</f>
        <v>Não</v>
      </c>
      <c r="P652" s="32" t="str">
        <f aca="false">IF(O652="Sim","R",IF(N652&gt;=Parâmetros!$B$39,"A",IF(N652&gt;=Parâmetros!$B$40,"B",IF(N652&gt;=Parâmetros!$B$41,"C","D"))))</f>
        <v>D</v>
      </c>
      <c r="Q652" s="10" t="str">
        <f aca="false">IF(F652="","Completar cadastro","")</f>
        <v/>
      </c>
      <c r="R652" s="10" t="str">
        <f aca="false">INDEX(Parâmetros!$D$39:$D$43,MATCH(P652,Parâmetros!$A$39:$A$43,0))</f>
        <v>Automatizar ou vender em lote</v>
      </c>
    </row>
    <row r="653" customFormat="false" ht="15" hidden="false" customHeight="false" outlineLevel="0" collapsed="false">
      <c r="A653" s="10" t="s">
        <v>892</v>
      </c>
      <c r="B653" s="10" t="s">
        <v>75</v>
      </c>
      <c r="C653" s="10" t="s">
        <v>72</v>
      </c>
      <c r="D653" s="10" t="s">
        <v>196</v>
      </c>
      <c r="E653" s="10" t="s">
        <v>51</v>
      </c>
      <c r="F653" s="10" t="s">
        <v>293</v>
      </c>
      <c r="G653" s="10" t="s">
        <v>425</v>
      </c>
      <c r="H653" s="10"/>
      <c r="I653" s="8" t="n">
        <f aca="false">INDEX(Parâmetros!$C$13:$C$19,MATCH(E653,Parâmetros!$A$13:$A$19,0))</f>
        <v>550</v>
      </c>
      <c r="J653" s="26" t="str">
        <f aca="false">IF(H653="","",Parâmetros!$B$5-H653)</f>
        <v/>
      </c>
      <c r="K653" s="10" t="n">
        <f aca="false">INDEX(Parâmetros!$D$13:$D$19,MATCH(E653,Parâmetros!$A$13:$A$19,0))</f>
        <v>22</v>
      </c>
      <c r="L653" s="26" t="n">
        <f aca="false">IF(G653="Prospecting",Parâmetros!$B$9,IF(J653&gt;Parâmetros!$B$6,0,INDEX(Parâmetros!$C$24:$C$26,MATCH(J653,Parâmetros!$A$24:$A$26,1))))</f>
        <v>10</v>
      </c>
      <c r="M653" s="31" t="n">
        <f aca="false">IF(G653="Prospecting",1,INDEX(Parâmetros!$C$32:$C$35,MATCH(J653,Parâmetros!$A$32:$A$35,1)))</f>
        <v>1</v>
      </c>
      <c r="N653" s="2" t="n">
        <f aca="false">ROUND((K653+L653)*M653,0)</f>
        <v>32</v>
      </c>
      <c r="O653" s="10" t="str">
        <f aca="false">IF(AND(G653="Engaging",J653&gt;Parâmetros!$B$6),"Sim","Não")</f>
        <v>Não</v>
      </c>
      <c r="P653" s="32" t="str">
        <f aca="false">IF(O653="Sim","R",IF(N653&gt;=Parâmetros!$B$39,"A",IF(N653&gt;=Parâmetros!$B$40,"B",IF(N653&gt;=Parâmetros!$B$41,"C","D"))))</f>
        <v>D</v>
      </c>
      <c r="Q653" s="10" t="str">
        <f aca="false">IF(F653="","Completar cadastro","")</f>
        <v/>
      </c>
      <c r="R653" s="10" t="str">
        <f aca="false">INDEX(Parâmetros!$D$39:$D$43,MATCH(P653,Parâmetros!$A$39:$A$43,0))</f>
        <v>Automatizar ou vender em lote</v>
      </c>
    </row>
    <row r="654" customFormat="false" ht="15" hidden="false" customHeight="false" outlineLevel="0" collapsed="false">
      <c r="A654" s="10" t="s">
        <v>893</v>
      </c>
      <c r="B654" s="10" t="s">
        <v>75</v>
      </c>
      <c r="C654" s="10" t="s">
        <v>72</v>
      </c>
      <c r="D654" s="10" t="s">
        <v>196</v>
      </c>
      <c r="E654" s="10" t="s">
        <v>51</v>
      </c>
      <c r="F654" s="10"/>
      <c r="G654" s="10" t="s">
        <v>425</v>
      </c>
      <c r="H654" s="10"/>
      <c r="I654" s="8" t="n">
        <f aca="false">INDEX(Parâmetros!$C$13:$C$19,MATCH(E654,Parâmetros!$A$13:$A$19,0))</f>
        <v>550</v>
      </c>
      <c r="J654" s="26" t="str">
        <f aca="false">IF(H654="","",Parâmetros!$B$5-H654)</f>
        <v/>
      </c>
      <c r="K654" s="10" t="n">
        <f aca="false">INDEX(Parâmetros!$D$13:$D$19,MATCH(E654,Parâmetros!$A$13:$A$19,0))</f>
        <v>22</v>
      </c>
      <c r="L654" s="26" t="n">
        <f aca="false">IF(G654="Prospecting",Parâmetros!$B$9,IF(J654&gt;Parâmetros!$B$6,0,INDEX(Parâmetros!$C$24:$C$26,MATCH(J654,Parâmetros!$A$24:$A$26,1))))</f>
        <v>10</v>
      </c>
      <c r="M654" s="31" t="n">
        <f aca="false">IF(G654="Prospecting",1,INDEX(Parâmetros!$C$32:$C$35,MATCH(J654,Parâmetros!$A$32:$A$35,1)))</f>
        <v>1</v>
      </c>
      <c r="N654" s="2" t="n">
        <f aca="false">ROUND((K654+L654)*M654,0)</f>
        <v>32</v>
      </c>
      <c r="O654" s="10" t="str">
        <f aca="false">IF(AND(G654="Engaging",J654&gt;Parâmetros!$B$6),"Sim","Não")</f>
        <v>Não</v>
      </c>
      <c r="P654" s="32" t="str">
        <f aca="false">IF(O654="Sim","R",IF(N654&gt;=Parâmetros!$B$39,"A",IF(N654&gt;=Parâmetros!$B$40,"B",IF(N654&gt;=Parâmetros!$B$41,"C","D"))))</f>
        <v>D</v>
      </c>
      <c r="Q654" s="10" t="str">
        <f aca="false">IF(F654="","Completar cadastro","")</f>
        <v>Completar cadastro</v>
      </c>
      <c r="R654" s="10" t="str">
        <f aca="false">INDEX(Parâmetros!$D$39:$D$43,MATCH(P654,Parâmetros!$A$39:$A$43,0))</f>
        <v>Automatizar ou vender em lote</v>
      </c>
    </row>
    <row r="655" customFormat="false" ht="15" hidden="false" customHeight="false" outlineLevel="0" collapsed="false">
      <c r="A655" s="10" t="s">
        <v>894</v>
      </c>
      <c r="B655" s="10" t="s">
        <v>75</v>
      </c>
      <c r="C655" s="10" t="s">
        <v>72</v>
      </c>
      <c r="D655" s="10" t="s">
        <v>196</v>
      </c>
      <c r="E655" s="10" t="s">
        <v>51</v>
      </c>
      <c r="F655" s="10"/>
      <c r="G655" s="10" t="s">
        <v>425</v>
      </c>
      <c r="H655" s="10"/>
      <c r="I655" s="8" t="n">
        <f aca="false">INDEX(Parâmetros!$C$13:$C$19,MATCH(E655,Parâmetros!$A$13:$A$19,0))</f>
        <v>550</v>
      </c>
      <c r="J655" s="26" t="str">
        <f aca="false">IF(H655="","",Parâmetros!$B$5-H655)</f>
        <v/>
      </c>
      <c r="K655" s="10" t="n">
        <f aca="false">INDEX(Parâmetros!$D$13:$D$19,MATCH(E655,Parâmetros!$A$13:$A$19,0))</f>
        <v>22</v>
      </c>
      <c r="L655" s="26" t="n">
        <f aca="false">IF(G655="Prospecting",Parâmetros!$B$9,IF(J655&gt;Parâmetros!$B$6,0,INDEX(Parâmetros!$C$24:$C$26,MATCH(J655,Parâmetros!$A$24:$A$26,1))))</f>
        <v>10</v>
      </c>
      <c r="M655" s="31" t="n">
        <f aca="false">IF(G655="Prospecting",1,INDEX(Parâmetros!$C$32:$C$35,MATCH(J655,Parâmetros!$A$32:$A$35,1)))</f>
        <v>1</v>
      </c>
      <c r="N655" s="2" t="n">
        <f aca="false">ROUND((K655+L655)*M655,0)</f>
        <v>32</v>
      </c>
      <c r="O655" s="10" t="str">
        <f aca="false">IF(AND(G655="Engaging",J655&gt;Parâmetros!$B$6),"Sim","Não")</f>
        <v>Não</v>
      </c>
      <c r="P655" s="32" t="str">
        <f aca="false">IF(O655="Sim","R",IF(N655&gt;=Parâmetros!$B$39,"A",IF(N655&gt;=Parâmetros!$B$40,"B",IF(N655&gt;=Parâmetros!$B$41,"C","D"))))</f>
        <v>D</v>
      </c>
      <c r="Q655" s="10" t="str">
        <f aca="false">IF(F655="","Completar cadastro","")</f>
        <v>Completar cadastro</v>
      </c>
      <c r="R655" s="10" t="str">
        <f aca="false">INDEX(Parâmetros!$D$39:$D$43,MATCH(P655,Parâmetros!$A$39:$A$43,0))</f>
        <v>Automatizar ou vender em lote</v>
      </c>
    </row>
    <row r="656" customFormat="false" ht="15" hidden="false" customHeight="false" outlineLevel="0" collapsed="false">
      <c r="A656" s="10" t="s">
        <v>895</v>
      </c>
      <c r="B656" s="10" t="s">
        <v>75</v>
      </c>
      <c r="C656" s="10" t="s">
        <v>72</v>
      </c>
      <c r="D656" s="10" t="s">
        <v>196</v>
      </c>
      <c r="E656" s="10" t="s">
        <v>51</v>
      </c>
      <c r="F656" s="10"/>
      <c r="G656" s="10" t="s">
        <v>425</v>
      </c>
      <c r="H656" s="10"/>
      <c r="I656" s="8" t="n">
        <f aca="false">INDEX(Parâmetros!$C$13:$C$19,MATCH(E656,Parâmetros!$A$13:$A$19,0))</f>
        <v>550</v>
      </c>
      <c r="J656" s="26" t="str">
        <f aca="false">IF(H656="","",Parâmetros!$B$5-H656)</f>
        <v/>
      </c>
      <c r="K656" s="10" t="n">
        <f aca="false">INDEX(Parâmetros!$D$13:$D$19,MATCH(E656,Parâmetros!$A$13:$A$19,0))</f>
        <v>22</v>
      </c>
      <c r="L656" s="26" t="n">
        <f aca="false">IF(G656="Prospecting",Parâmetros!$B$9,IF(J656&gt;Parâmetros!$B$6,0,INDEX(Parâmetros!$C$24:$C$26,MATCH(J656,Parâmetros!$A$24:$A$26,1))))</f>
        <v>10</v>
      </c>
      <c r="M656" s="31" t="n">
        <f aca="false">IF(G656="Prospecting",1,INDEX(Parâmetros!$C$32:$C$35,MATCH(J656,Parâmetros!$A$32:$A$35,1)))</f>
        <v>1</v>
      </c>
      <c r="N656" s="2" t="n">
        <f aca="false">ROUND((K656+L656)*M656,0)</f>
        <v>32</v>
      </c>
      <c r="O656" s="10" t="str">
        <f aca="false">IF(AND(G656="Engaging",J656&gt;Parâmetros!$B$6),"Sim","Não")</f>
        <v>Não</v>
      </c>
      <c r="P656" s="32" t="str">
        <f aca="false">IF(O656="Sim","R",IF(N656&gt;=Parâmetros!$B$39,"A",IF(N656&gt;=Parâmetros!$B$40,"B",IF(N656&gt;=Parâmetros!$B$41,"C","D"))))</f>
        <v>D</v>
      </c>
      <c r="Q656" s="10" t="str">
        <f aca="false">IF(F656="","Completar cadastro","")</f>
        <v>Completar cadastro</v>
      </c>
      <c r="R656" s="10" t="str">
        <f aca="false">INDEX(Parâmetros!$D$39:$D$43,MATCH(P656,Parâmetros!$A$39:$A$43,0))</f>
        <v>Automatizar ou vender em lote</v>
      </c>
    </row>
    <row r="657" customFormat="false" ht="15" hidden="false" customHeight="false" outlineLevel="0" collapsed="false">
      <c r="A657" s="10" t="s">
        <v>896</v>
      </c>
      <c r="B657" s="10" t="s">
        <v>75</v>
      </c>
      <c r="C657" s="10" t="s">
        <v>72</v>
      </c>
      <c r="D657" s="10" t="s">
        <v>196</v>
      </c>
      <c r="E657" s="10" t="s">
        <v>51</v>
      </c>
      <c r="F657" s="10"/>
      <c r="G657" s="10" t="s">
        <v>425</v>
      </c>
      <c r="H657" s="10"/>
      <c r="I657" s="8" t="n">
        <f aca="false">INDEX(Parâmetros!$C$13:$C$19,MATCH(E657,Parâmetros!$A$13:$A$19,0))</f>
        <v>550</v>
      </c>
      <c r="J657" s="26" t="str">
        <f aca="false">IF(H657="","",Parâmetros!$B$5-H657)</f>
        <v/>
      </c>
      <c r="K657" s="10" t="n">
        <f aca="false">INDEX(Parâmetros!$D$13:$D$19,MATCH(E657,Parâmetros!$A$13:$A$19,0))</f>
        <v>22</v>
      </c>
      <c r="L657" s="26" t="n">
        <f aca="false">IF(G657="Prospecting",Parâmetros!$B$9,IF(J657&gt;Parâmetros!$B$6,0,INDEX(Parâmetros!$C$24:$C$26,MATCH(J657,Parâmetros!$A$24:$A$26,1))))</f>
        <v>10</v>
      </c>
      <c r="M657" s="31" t="n">
        <f aca="false">IF(G657="Prospecting",1,INDEX(Parâmetros!$C$32:$C$35,MATCH(J657,Parâmetros!$A$32:$A$35,1)))</f>
        <v>1</v>
      </c>
      <c r="N657" s="2" t="n">
        <f aca="false">ROUND((K657+L657)*M657,0)</f>
        <v>32</v>
      </c>
      <c r="O657" s="10" t="str">
        <f aca="false">IF(AND(G657="Engaging",J657&gt;Parâmetros!$B$6),"Sim","Não")</f>
        <v>Não</v>
      </c>
      <c r="P657" s="32" t="str">
        <f aca="false">IF(O657="Sim","R",IF(N657&gt;=Parâmetros!$B$39,"A",IF(N657&gt;=Parâmetros!$B$40,"B",IF(N657&gt;=Parâmetros!$B$41,"C","D"))))</f>
        <v>D</v>
      </c>
      <c r="Q657" s="10" t="str">
        <f aca="false">IF(F657="","Completar cadastro","")</f>
        <v>Completar cadastro</v>
      </c>
      <c r="R657" s="10" t="str">
        <f aca="false">INDEX(Parâmetros!$D$39:$D$43,MATCH(P657,Parâmetros!$A$39:$A$43,0))</f>
        <v>Automatizar ou vender em lote</v>
      </c>
    </row>
    <row r="658" customFormat="false" ht="15" hidden="false" customHeight="false" outlineLevel="0" collapsed="false">
      <c r="A658" s="10" t="s">
        <v>897</v>
      </c>
      <c r="B658" s="10" t="s">
        <v>75</v>
      </c>
      <c r="C658" s="10" t="s">
        <v>72</v>
      </c>
      <c r="D658" s="10" t="s">
        <v>196</v>
      </c>
      <c r="E658" s="10" t="s">
        <v>51</v>
      </c>
      <c r="F658" s="10"/>
      <c r="G658" s="10" t="s">
        <v>425</v>
      </c>
      <c r="H658" s="10"/>
      <c r="I658" s="8" t="n">
        <f aca="false">INDEX(Parâmetros!$C$13:$C$19,MATCH(E658,Parâmetros!$A$13:$A$19,0))</f>
        <v>550</v>
      </c>
      <c r="J658" s="26" t="str">
        <f aca="false">IF(H658="","",Parâmetros!$B$5-H658)</f>
        <v/>
      </c>
      <c r="K658" s="10" t="n">
        <f aca="false">INDEX(Parâmetros!$D$13:$D$19,MATCH(E658,Parâmetros!$A$13:$A$19,0))</f>
        <v>22</v>
      </c>
      <c r="L658" s="26" t="n">
        <f aca="false">IF(G658="Prospecting",Parâmetros!$B$9,IF(J658&gt;Parâmetros!$B$6,0,INDEX(Parâmetros!$C$24:$C$26,MATCH(J658,Parâmetros!$A$24:$A$26,1))))</f>
        <v>10</v>
      </c>
      <c r="M658" s="31" t="n">
        <f aca="false">IF(G658="Prospecting",1,INDEX(Parâmetros!$C$32:$C$35,MATCH(J658,Parâmetros!$A$32:$A$35,1)))</f>
        <v>1</v>
      </c>
      <c r="N658" s="2" t="n">
        <f aca="false">ROUND((K658+L658)*M658,0)</f>
        <v>32</v>
      </c>
      <c r="O658" s="10" t="str">
        <f aca="false">IF(AND(G658="Engaging",J658&gt;Parâmetros!$B$6),"Sim","Não")</f>
        <v>Não</v>
      </c>
      <c r="P658" s="32" t="str">
        <f aca="false">IF(O658="Sim","R",IF(N658&gt;=Parâmetros!$B$39,"A",IF(N658&gt;=Parâmetros!$B$40,"B",IF(N658&gt;=Parâmetros!$B$41,"C","D"))))</f>
        <v>D</v>
      </c>
      <c r="Q658" s="10" t="str">
        <f aca="false">IF(F658="","Completar cadastro","")</f>
        <v>Completar cadastro</v>
      </c>
      <c r="R658" s="10" t="str">
        <f aca="false">INDEX(Parâmetros!$D$39:$D$43,MATCH(P658,Parâmetros!$A$39:$A$43,0))</f>
        <v>Automatizar ou vender em lote</v>
      </c>
    </row>
    <row r="659" customFormat="false" ht="15" hidden="false" customHeight="false" outlineLevel="0" collapsed="false">
      <c r="A659" s="10" t="s">
        <v>898</v>
      </c>
      <c r="B659" s="10" t="s">
        <v>83</v>
      </c>
      <c r="C659" s="10" t="s">
        <v>78</v>
      </c>
      <c r="D659" s="10" t="s">
        <v>196</v>
      </c>
      <c r="E659" s="10" t="s">
        <v>51</v>
      </c>
      <c r="F659" s="10" t="s">
        <v>711</v>
      </c>
      <c r="G659" s="10" t="s">
        <v>425</v>
      </c>
      <c r="H659" s="10"/>
      <c r="I659" s="8" t="n">
        <f aca="false">INDEX(Parâmetros!$C$13:$C$19,MATCH(E659,Parâmetros!$A$13:$A$19,0))</f>
        <v>550</v>
      </c>
      <c r="J659" s="26" t="str">
        <f aca="false">IF(H659="","",Parâmetros!$B$5-H659)</f>
        <v/>
      </c>
      <c r="K659" s="10" t="n">
        <f aca="false">INDEX(Parâmetros!$D$13:$D$19,MATCH(E659,Parâmetros!$A$13:$A$19,0))</f>
        <v>22</v>
      </c>
      <c r="L659" s="26" t="n">
        <f aca="false">IF(G659="Prospecting",Parâmetros!$B$9,IF(J659&gt;Parâmetros!$B$6,0,INDEX(Parâmetros!$C$24:$C$26,MATCH(J659,Parâmetros!$A$24:$A$26,1))))</f>
        <v>10</v>
      </c>
      <c r="M659" s="31" t="n">
        <f aca="false">IF(G659="Prospecting",1,INDEX(Parâmetros!$C$32:$C$35,MATCH(J659,Parâmetros!$A$32:$A$35,1)))</f>
        <v>1</v>
      </c>
      <c r="N659" s="2" t="n">
        <f aca="false">ROUND((K659+L659)*M659,0)</f>
        <v>32</v>
      </c>
      <c r="O659" s="10" t="str">
        <f aca="false">IF(AND(G659="Engaging",J659&gt;Parâmetros!$B$6),"Sim","Não")</f>
        <v>Não</v>
      </c>
      <c r="P659" s="32" t="str">
        <f aca="false">IF(O659="Sim","R",IF(N659&gt;=Parâmetros!$B$39,"A",IF(N659&gt;=Parâmetros!$B$40,"B",IF(N659&gt;=Parâmetros!$B$41,"C","D"))))</f>
        <v>D</v>
      </c>
      <c r="Q659" s="10" t="str">
        <f aca="false">IF(F659="","Completar cadastro","")</f>
        <v/>
      </c>
      <c r="R659" s="10" t="str">
        <f aca="false">INDEX(Parâmetros!$D$39:$D$43,MATCH(P659,Parâmetros!$A$39:$A$43,0))</f>
        <v>Automatizar ou vender em lote</v>
      </c>
    </row>
    <row r="660" customFormat="false" ht="15" hidden="false" customHeight="false" outlineLevel="0" collapsed="false">
      <c r="A660" s="10" t="s">
        <v>899</v>
      </c>
      <c r="B660" s="10" t="s">
        <v>83</v>
      </c>
      <c r="C660" s="10" t="s">
        <v>78</v>
      </c>
      <c r="D660" s="10" t="s">
        <v>196</v>
      </c>
      <c r="E660" s="10" t="s">
        <v>51</v>
      </c>
      <c r="F660" s="10" t="s">
        <v>453</v>
      </c>
      <c r="G660" s="10" t="s">
        <v>425</v>
      </c>
      <c r="H660" s="10"/>
      <c r="I660" s="8" t="n">
        <f aca="false">INDEX(Parâmetros!$C$13:$C$19,MATCH(E660,Parâmetros!$A$13:$A$19,0))</f>
        <v>550</v>
      </c>
      <c r="J660" s="26" t="str">
        <f aca="false">IF(H660="","",Parâmetros!$B$5-H660)</f>
        <v/>
      </c>
      <c r="K660" s="10" t="n">
        <f aca="false">INDEX(Parâmetros!$D$13:$D$19,MATCH(E660,Parâmetros!$A$13:$A$19,0))</f>
        <v>22</v>
      </c>
      <c r="L660" s="26" t="n">
        <f aca="false">IF(G660="Prospecting",Parâmetros!$B$9,IF(J660&gt;Parâmetros!$B$6,0,INDEX(Parâmetros!$C$24:$C$26,MATCH(J660,Parâmetros!$A$24:$A$26,1))))</f>
        <v>10</v>
      </c>
      <c r="M660" s="31" t="n">
        <f aca="false">IF(G660="Prospecting",1,INDEX(Parâmetros!$C$32:$C$35,MATCH(J660,Parâmetros!$A$32:$A$35,1)))</f>
        <v>1</v>
      </c>
      <c r="N660" s="2" t="n">
        <f aca="false">ROUND((K660+L660)*M660,0)</f>
        <v>32</v>
      </c>
      <c r="O660" s="10" t="str">
        <f aca="false">IF(AND(G660="Engaging",J660&gt;Parâmetros!$B$6),"Sim","Não")</f>
        <v>Não</v>
      </c>
      <c r="P660" s="32" t="str">
        <f aca="false">IF(O660="Sim","R",IF(N660&gt;=Parâmetros!$B$39,"A",IF(N660&gt;=Parâmetros!$B$40,"B",IF(N660&gt;=Parâmetros!$B$41,"C","D"))))</f>
        <v>D</v>
      </c>
      <c r="Q660" s="10" t="str">
        <f aca="false">IF(F660="","Completar cadastro","")</f>
        <v/>
      </c>
      <c r="R660" s="10" t="str">
        <f aca="false">INDEX(Parâmetros!$D$39:$D$43,MATCH(P660,Parâmetros!$A$39:$A$43,0))</f>
        <v>Automatizar ou vender em lote</v>
      </c>
    </row>
    <row r="661" customFormat="false" ht="15" hidden="false" customHeight="false" outlineLevel="0" collapsed="false">
      <c r="A661" s="10" t="s">
        <v>900</v>
      </c>
      <c r="B661" s="10" t="s">
        <v>83</v>
      </c>
      <c r="C661" s="10" t="s">
        <v>78</v>
      </c>
      <c r="D661" s="10" t="s">
        <v>196</v>
      </c>
      <c r="E661" s="10" t="s">
        <v>51</v>
      </c>
      <c r="F661" s="10"/>
      <c r="G661" s="10" t="s">
        <v>425</v>
      </c>
      <c r="H661" s="10"/>
      <c r="I661" s="8" t="n">
        <f aca="false">INDEX(Parâmetros!$C$13:$C$19,MATCH(E661,Parâmetros!$A$13:$A$19,0))</f>
        <v>550</v>
      </c>
      <c r="J661" s="26" t="str">
        <f aca="false">IF(H661="","",Parâmetros!$B$5-H661)</f>
        <v/>
      </c>
      <c r="K661" s="10" t="n">
        <f aca="false">INDEX(Parâmetros!$D$13:$D$19,MATCH(E661,Parâmetros!$A$13:$A$19,0))</f>
        <v>22</v>
      </c>
      <c r="L661" s="26" t="n">
        <f aca="false">IF(G661="Prospecting",Parâmetros!$B$9,IF(J661&gt;Parâmetros!$B$6,0,INDEX(Parâmetros!$C$24:$C$26,MATCH(J661,Parâmetros!$A$24:$A$26,1))))</f>
        <v>10</v>
      </c>
      <c r="M661" s="31" t="n">
        <f aca="false">IF(G661="Prospecting",1,INDEX(Parâmetros!$C$32:$C$35,MATCH(J661,Parâmetros!$A$32:$A$35,1)))</f>
        <v>1</v>
      </c>
      <c r="N661" s="2" t="n">
        <f aca="false">ROUND((K661+L661)*M661,0)</f>
        <v>32</v>
      </c>
      <c r="O661" s="10" t="str">
        <f aca="false">IF(AND(G661="Engaging",J661&gt;Parâmetros!$B$6),"Sim","Não")</f>
        <v>Não</v>
      </c>
      <c r="P661" s="32" t="str">
        <f aca="false">IF(O661="Sim","R",IF(N661&gt;=Parâmetros!$B$39,"A",IF(N661&gt;=Parâmetros!$B$40,"B",IF(N661&gt;=Parâmetros!$B$41,"C","D"))))</f>
        <v>D</v>
      </c>
      <c r="Q661" s="10" t="str">
        <f aca="false">IF(F661="","Completar cadastro","")</f>
        <v>Completar cadastro</v>
      </c>
      <c r="R661" s="10" t="str">
        <f aca="false">INDEX(Parâmetros!$D$39:$D$43,MATCH(P661,Parâmetros!$A$39:$A$43,0))</f>
        <v>Automatizar ou vender em lote</v>
      </c>
    </row>
    <row r="662" customFormat="false" ht="15" hidden="false" customHeight="false" outlineLevel="0" collapsed="false">
      <c r="A662" s="10" t="s">
        <v>901</v>
      </c>
      <c r="B662" s="10" t="s">
        <v>83</v>
      </c>
      <c r="C662" s="10" t="s">
        <v>78</v>
      </c>
      <c r="D662" s="10" t="s">
        <v>196</v>
      </c>
      <c r="E662" s="10" t="s">
        <v>51</v>
      </c>
      <c r="F662" s="10"/>
      <c r="G662" s="10" t="s">
        <v>425</v>
      </c>
      <c r="H662" s="10"/>
      <c r="I662" s="8" t="n">
        <f aca="false">INDEX(Parâmetros!$C$13:$C$19,MATCH(E662,Parâmetros!$A$13:$A$19,0))</f>
        <v>550</v>
      </c>
      <c r="J662" s="26" t="str">
        <f aca="false">IF(H662="","",Parâmetros!$B$5-H662)</f>
        <v/>
      </c>
      <c r="K662" s="10" t="n">
        <f aca="false">INDEX(Parâmetros!$D$13:$D$19,MATCH(E662,Parâmetros!$A$13:$A$19,0))</f>
        <v>22</v>
      </c>
      <c r="L662" s="26" t="n">
        <f aca="false">IF(G662="Prospecting",Parâmetros!$B$9,IF(J662&gt;Parâmetros!$B$6,0,INDEX(Parâmetros!$C$24:$C$26,MATCH(J662,Parâmetros!$A$24:$A$26,1))))</f>
        <v>10</v>
      </c>
      <c r="M662" s="31" t="n">
        <f aca="false">IF(G662="Prospecting",1,INDEX(Parâmetros!$C$32:$C$35,MATCH(J662,Parâmetros!$A$32:$A$35,1)))</f>
        <v>1</v>
      </c>
      <c r="N662" s="2" t="n">
        <f aca="false">ROUND((K662+L662)*M662,0)</f>
        <v>32</v>
      </c>
      <c r="O662" s="10" t="str">
        <f aca="false">IF(AND(G662="Engaging",J662&gt;Parâmetros!$B$6),"Sim","Não")</f>
        <v>Não</v>
      </c>
      <c r="P662" s="32" t="str">
        <f aca="false">IF(O662="Sim","R",IF(N662&gt;=Parâmetros!$B$39,"A",IF(N662&gt;=Parâmetros!$B$40,"B",IF(N662&gt;=Parâmetros!$B$41,"C","D"))))</f>
        <v>D</v>
      </c>
      <c r="Q662" s="10" t="str">
        <f aca="false">IF(F662="","Completar cadastro","")</f>
        <v>Completar cadastro</v>
      </c>
      <c r="R662" s="10" t="str">
        <f aca="false">INDEX(Parâmetros!$D$39:$D$43,MATCH(P662,Parâmetros!$A$39:$A$43,0))</f>
        <v>Automatizar ou vender em lote</v>
      </c>
    </row>
    <row r="663" customFormat="false" ht="15" hidden="false" customHeight="false" outlineLevel="0" collapsed="false">
      <c r="A663" s="10" t="s">
        <v>902</v>
      </c>
      <c r="B663" s="10" t="s">
        <v>83</v>
      </c>
      <c r="C663" s="10" t="s">
        <v>78</v>
      </c>
      <c r="D663" s="10" t="s">
        <v>196</v>
      </c>
      <c r="E663" s="10" t="s">
        <v>51</v>
      </c>
      <c r="F663" s="10"/>
      <c r="G663" s="10" t="s">
        <v>425</v>
      </c>
      <c r="H663" s="10"/>
      <c r="I663" s="8" t="n">
        <f aca="false">INDEX(Parâmetros!$C$13:$C$19,MATCH(E663,Parâmetros!$A$13:$A$19,0))</f>
        <v>550</v>
      </c>
      <c r="J663" s="26" t="str">
        <f aca="false">IF(H663="","",Parâmetros!$B$5-H663)</f>
        <v/>
      </c>
      <c r="K663" s="10" t="n">
        <f aca="false">INDEX(Parâmetros!$D$13:$D$19,MATCH(E663,Parâmetros!$A$13:$A$19,0))</f>
        <v>22</v>
      </c>
      <c r="L663" s="26" t="n">
        <f aca="false">IF(G663="Prospecting",Parâmetros!$B$9,IF(J663&gt;Parâmetros!$B$6,0,INDEX(Parâmetros!$C$24:$C$26,MATCH(J663,Parâmetros!$A$24:$A$26,1))))</f>
        <v>10</v>
      </c>
      <c r="M663" s="31" t="n">
        <f aca="false">IF(G663="Prospecting",1,INDEX(Parâmetros!$C$32:$C$35,MATCH(J663,Parâmetros!$A$32:$A$35,1)))</f>
        <v>1</v>
      </c>
      <c r="N663" s="2" t="n">
        <f aca="false">ROUND((K663+L663)*M663,0)</f>
        <v>32</v>
      </c>
      <c r="O663" s="10" t="str">
        <f aca="false">IF(AND(G663="Engaging",J663&gt;Parâmetros!$B$6),"Sim","Não")</f>
        <v>Não</v>
      </c>
      <c r="P663" s="32" t="str">
        <f aca="false">IF(O663="Sim","R",IF(N663&gt;=Parâmetros!$B$39,"A",IF(N663&gt;=Parâmetros!$B$40,"B",IF(N663&gt;=Parâmetros!$B$41,"C","D"))))</f>
        <v>D</v>
      </c>
      <c r="Q663" s="10" t="str">
        <f aca="false">IF(F663="","Completar cadastro","")</f>
        <v>Completar cadastro</v>
      </c>
      <c r="R663" s="10" t="str">
        <f aca="false">INDEX(Parâmetros!$D$39:$D$43,MATCH(P663,Parâmetros!$A$39:$A$43,0))</f>
        <v>Automatizar ou vender em lote</v>
      </c>
    </row>
    <row r="664" customFormat="false" ht="15" hidden="false" customHeight="false" outlineLevel="0" collapsed="false">
      <c r="A664" s="10" t="s">
        <v>903</v>
      </c>
      <c r="B664" s="10" t="s">
        <v>83</v>
      </c>
      <c r="C664" s="10" t="s">
        <v>78</v>
      </c>
      <c r="D664" s="10" t="s">
        <v>196</v>
      </c>
      <c r="E664" s="10" t="s">
        <v>51</v>
      </c>
      <c r="F664" s="10"/>
      <c r="G664" s="10" t="s">
        <v>425</v>
      </c>
      <c r="H664" s="10"/>
      <c r="I664" s="8" t="n">
        <f aca="false">INDEX(Parâmetros!$C$13:$C$19,MATCH(E664,Parâmetros!$A$13:$A$19,0))</f>
        <v>550</v>
      </c>
      <c r="J664" s="26" t="str">
        <f aca="false">IF(H664="","",Parâmetros!$B$5-H664)</f>
        <v/>
      </c>
      <c r="K664" s="10" t="n">
        <f aca="false">INDEX(Parâmetros!$D$13:$D$19,MATCH(E664,Parâmetros!$A$13:$A$19,0))</f>
        <v>22</v>
      </c>
      <c r="L664" s="26" t="n">
        <f aca="false">IF(G664="Prospecting",Parâmetros!$B$9,IF(J664&gt;Parâmetros!$B$6,0,INDEX(Parâmetros!$C$24:$C$26,MATCH(J664,Parâmetros!$A$24:$A$26,1))))</f>
        <v>10</v>
      </c>
      <c r="M664" s="31" t="n">
        <f aca="false">IF(G664="Prospecting",1,INDEX(Parâmetros!$C$32:$C$35,MATCH(J664,Parâmetros!$A$32:$A$35,1)))</f>
        <v>1</v>
      </c>
      <c r="N664" s="2" t="n">
        <f aca="false">ROUND((K664+L664)*M664,0)</f>
        <v>32</v>
      </c>
      <c r="O664" s="10" t="str">
        <f aca="false">IF(AND(G664="Engaging",J664&gt;Parâmetros!$B$6),"Sim","Não")</f>
        <v>Não</v>
      </c>
      <c r="P664" s="32" t="str">
        <f aca="false">IF(O664="Sim","R",IF(N664&gt;=Parâmetros!$B$39,"A",IF(N664&gt;=Parâmetros!$B$40,"B",IF(N664&gt;=Parâmetros!$B$41,"C","D"))))</f>
        <v>D</v>
      </c>
      <c r="Q664" s="10" t="str">
        <f aca="false">IF(F664="","Completar cadastro","")</f>
        <v>Completar cadastro</v>
      </c>
      <c r="R664" s="10" t="str">
        <f aca="false">INDEX(Parâmetros!$D$39:$D$43,MATCH(P664,Parâmetros!$A$39:$A$43,0))</f>
        <v>Automatizar ou vender em lote</v>
      </c>
    </row>
    <row r="665" customFormat="false" ht="15" hidden="false" customHeight="false" outlineLevel="0" collapsed="false">
      <c r="A665" s="10" t="s">
        <v>904</v>
      </c>
      <c r="B665" s="10" t="s">
        <v>83</v>
      </c>
      <c r="C665" s="10" t="s">
        <v>78</v>
      </c>
      <c r="D665" s="10" t="s">
        <v>196</v>
      </c>
      <c r="E665" s="10" t="s">
        <v>51</v>
      </c>
      <c r="F665" s="10"/>
      <c r="G665" s="10" t="s">
        <v>425</v>
      </c>
      <c r="H665" s="10"/>
      <c r="I665" s="8" t="n">
        <f aca="false">INDEX(Parâmetros!$C$13:$C$19,MATCH(E665,Parâmetros!$A$13:$A$19,0))</f>
        <v>550</v>
      </c>
      <c r="J665" s="26" t="str">
        <f aca="false">IF(H665="","",Parâmetros!$B$5-H665)</f>
        <v/>
      </c>
      <c r="K665" s="10" t="n">
        <f aca="false">INDEX(Parâmetros!$D$13:$D$19,MATCH(E665,Parâmetros!$A$13:$A$19,0))</f>
        <v>22</v>
      </c>
      <c r="L665" s="26" t="n">
        <f aca="false">IF(G665="Prospecting",Parâmetros!$B$9,IF(J665&gt;Parâmetros!$B$6,0,INDEX(Parâmetros!$C$24:$C$26,MATCH(J665,Parâmetros!$A$24:$A$26,1))))</f>
        <v>10</v>
      </c>
      <c r="M665" s="31" t="n">
        <f aca="false">IF(G665="Prospecting",1,INDEX(Parâmetros!$C$32:$C$35,MATCH(J665,Parâmetros!$A$32:$A$35,1)))</f>
        <v>1</v>
      </c>
      <c r="N665" s="2" t="n">
        <f aca="false">ROUND((K665+L665)*M665,0)</f>
        <v>32</v>
      </c>
      <c r="O665" s="10" t="str">
        <f aca="false">IF(AND(G665="Engaging",J665&gt;Parâmetros!$B$6),"Sim","Não")</f>
        <v>Não</v>
      </c>
      <c r="P665" s="32" t="str">
        <f aca="false">IF(O665="Sim","R",IF(N665&gt;=Parâmetros!$B$39,"A",IF(N665&gt;=Parâmetros!$B$40,"B",IF(N665&gt;=Parâmetros!$B$41,"C","D"))))</f>
        <v>D</v>
      </c>
      <c r="Q665" s="10" t="str">
        <f aca="false">IF(F665="","Completar cadastro","")</f>
        <v>Completar cadastro</v>
      </c>
      <c r="R665" s="10" t="str">
        <f aca="false">INDEX(Parâmetros!$D$39:$D$43,MATCH(P665,Parâmetros!$A$39:$A$43,0))</f>
        <v>Automatizar ou vender em lote</v>
      </c>
    </row>
    <row r="666" customFormat="false" ht="15" hidden="false" customHeight="false" outlineLevel="0" collapsed="false">
      <c r="A666" s="10" t="s">
        <v>905</v>
      </c>
      <c r="B666" s="10" t="s">
        <v>83</v>
      </c>
      <c r="C666" s="10" t="s">
        <v>78</v>
      </c>
      <c r="D666" s="10" t="s">
        <v>196</v>
      </c>
      <c r="E666" s="10" t="s">
        <v>51</v>
      </c>
      <c r="F666" s="10"/>
      <c r="G666" s="10" t="s">
        <v>425</v>
      </c>
      <c r="H666" s="10"/>
      <c r="I666" s="8" t="n">
        <f aca="false">INDEX(Parâmetros!$C$13:$C$19,MATCH(E666,Parâmetros!$A$13:$A$19,0))</f>
        <v>550</v>
      </c>
      <c r="J666" s="26" t="str">
        <f aca="false">IF(H666="","",Parâmetros!$B$5-H666)</f>
        <v/>
      </c>
      <c r="K666" s="10" t="n">
        <f aca="false">INDEX(Parâmetros!$D$13:$D$19,MATCH(E666,Parâmetros!$A$13:$A$19,0))</f>
        <v>22</v>
      </c>
      <c r="L666" s="26" t="n">
        <f aca="false">IF(G666="Prospecting",Parâmetros!$B$9,IF(J666&gt;Parâmetros!$B$6,0,INDEX(Parâmetros!$C$24:$C$26,MATCH(J666,Parâmetros!$A$24:$A$26,1))))</f>
        <v>10</v>
      </c>
      <c r="M666" s="31" t="n">
        <f aca="false">IF(G666="Prospecting",1,INDEX(Parâmetros!$C$32:$C$35,MATCH(J666,Parâmetros!$A$32:$A$35,1)))</f>
        <v>1</v>
      </c>
      <c r="N666" s="2" t="n">
        <f aca="false">ROUND((K666+L666)*M666,0)</f>
        <v>32</v>
      </c>
      <c r="O666" s="10" t="str">
        <f aca="false">IF(AND(G666="Engaging",J666&gt;Parâmetros!$B$6),"Sim","Não")</f>
        <v>Não</v>
      </c>
      <c r="P666" s="32" t="str">
        <f aca="false">IF(O666="Sim","R",IF(N666&gt;=Parâmetros!$B$39,"A",IF(N666&gt;=Parâmetros!$B$40,"B",IF(N666&gt;=Parâmetros!$B$41,"C","D"))))</f>
        <v>D</v>
      </c>
      <c r="Q666" s="10" t="str">
        <f aca="false">IF(F666="","Completar cadastro","")</f>
        <v>Completar cadastro</v>
      </c>
      <c r="R666" s="10" t="str">
        <f aca="false">INDEX(Parâmetros!$D$39:$D$43,MATCH(P666,Parâmetros!$A$39:$A$43,0))</f>
        <v>Automatizar ou vender em lote</v>
      </c>
    </row>
    <row r="667" customFormat="false" ht="15" hidden="false" customHeight="false" outlineLevel="0" collapsed="false">
      <c r="A667" s="10" t="s">
        <v>906</v>
      </c>
      <c r="B667" s="10" t="s">
        <v>83</v>
      </c>
      <c r="C667" s="10" t="s">
        <v>78</v>
      </c>
      <c r="D667" s="10" t="s">
        <v>196</v>
      </c>
      <c r="E667" s="10" t="s">
        <v>51</v>
      </c>
      <c r="F667" s="10"/>
      <c r="G667" s="10" t="s">
        <v>425</v>
      </c>
      <c r="H667" s="10"/>
      <c r="I667" s="8" t="n">
        <f aca="false">INDEX(Parâmetros!$C$13:$C$19,MATCH(E667,Parâmetros!$A$13:$A$19,0))</f>
        <v>550</v>
      </c>
      <c r="J667" s="26" t="str">
        <f aca="false">IF(H667="","",Parâmetros!$B$5-H667)</f>
        <v/>
      </c>
      <c r="K667" s="10" t="n">
        <f aca="false">INDEX(Parâmetros!$D$13:$D$19,MATCH(E667,Parâmetros!$A$13:$A$19,0))</f>
        <v>22</v>
      </c>
      <c r="L667" s="26" t="n">
        <f aca="false">IF(G667="Prospecting",Parâmetros!$B$9,IF(J667&gt;Parâmetros!$B$6,0,INDEX(Parâmetros!$C$24:$C$26,MATCH(J667,Parâmetros!$A$24:$A$26,1))))</f>
        <v>10</v>
      </c>
      <c r="M667" s="31" t="n">
        <f aca="false">IF(G667="Prospecting",1,INDEX(Parâmetros!$C$32:$C$35,MATCH(J667,Parâmetros!$A$32:$A$35,1)))</f>
        <v>1</v>
      </c>
      <c r="N667" s="2" t="n">
        <f aca="false">ROUND((K667+L667)*M667,0)</f>
        <v>32</v>
      </c>
      <c r="O667" s="10" t="str">
        <f aca="false">IF(AND(G667="Engaging",J667&gt;Parâmetros!$B$6),"Sim","Não")</f>
        <v>Não</v>
      </c>
      <c r="P667" s="32" t="str">
        <f aca="false">IF(O667="Sim","R",IF(N667&gt;=Parâmetros!$B$39,"A",IF(N667&gt;=Parâmetros!$B$40,"B",IF(N667&gt;=Parâmetros!$B$41,"C","D"))))</f>
        <v>D</v>
      </c>
      <c r="Q667" s="10" t="str">
        <f aca="false">IF(F667="","Completar cadastro","")</f>
        <v>Completar cadastro</v>
      </c>
      <c r="R667" s="10" t="str">
        <f aca="false">INDEX(Parâmetros!$D$39:$D$43,MATCH(P667,Parâmetros!$A$39:$A$43,0))</f>
        <v>Automatizar ou vender em lote</v>
      </c>
    </row>
    <row r="668" customFormat="false" ht="15" hidden="false" customHeight="false" outlineLevel="0" collapsed="false">
      <c r="A668" s="10" t="s">
        <v>907</v>
      </c>
      <c r="B668" s="10" t="s">
        <v>83</v>
      </c>
      <c r="C668" s="10" t="s">
        <v>78</v>
      </c>
      <c r="D668" s="10" t="s">
        <v>196</v>
      </c>
      <c r="E668" s="10" t="s">
        <v>51</v>
      </c>
      <c r="F668" s="10"/>
      <c r="G668" s="10" t="s">
        <v>425</v>
      </c>
      <c r="H668" s="10"/>
      <c r="I668" s="8" t="n">
        <f aca="false">INDEX(Parâmetros!$C$13:$C$19,MATCH(E668,Parâmetros!$A$13:$A$19,0))</f>
        <v>550</v>
      </c>
      <c r="J668" s="26" t="str">
        <f aca="false">IF(H668="","",Parâmetros!$B$5-H668)</f>
        <v/>
      </c>
      <c r="K668" s="10" t="n">
        <f aca="false">INDEX(Parâmetros!$D$13:$D$19,MATCH(E668,Parâmetros!$A$13:$A$19,0))</f>
        <v>22</v>
      </c>
      <c r="L668" s="26" t="n">
        <f aca="false">IF(G668="Prospecting",Parâmetros!$B$9,IF(J668&gt;Parâmetros!$B$6,0,INDEX(Parâmetros!$C$24:$C$26,MATCH(J668,Parâmetros!$A$24:$A$26,1))))</f>
        <v>10</v>
      </c>
      <c r="M668" s="31" t="n">
        <f aca="false">IF(G668="Prospecting",1,INDEX(Parâmetros!$C$32:$C$35,MATCH(J668,Parâmetros!$A$32:$A$35,1)))</f>
        <v>1</v>
      </c>
      <c r="N668" s="2" t="n">
        <f aca="false">ROUND((K668+L668)*M668,0)</f>
        <v>32</v>
      </c>
      <c r="O668" s="10" t="str">
        <f aca="false">IF(AND(G668="Engaging",J668&gt;Parâmetros!$B$6),"Sim","Não")</f>
        <v>Não</v>
      </c>
      <c r="P668" s="32" t="str">
        <f aca="false">IF(O668="Sim","R",IF(N668&gt;=Parâmetros!$B$39,"A",IF(N668&gt;=Parâmetros!$B$40,"B",IF(N668&gt;=Parâmetros!$B$41,"C","D"))))</f>
        <v>D</v>
      </c>
      <c r="Q668" s="10" t="str">
        <f aca="false">IF(F668="","Completar cadastro","")</f>
        <v>Completar cadastro</v>
      </c>
      <c r="R668" s="10" t="str">
        <f aca="false">INDEX(Parâmetros!$D$39:$D$43,MATCH(P668,Parâmetros!$A$39:$A$43,0))</f>
        <v>Automatizar ou vender em lote</v>
      </c>
    </row>
    <row r="669" customFormat="false" ht="15" hidden="false" customHeight="false" outlineLevel="0" collapsed="false">
      <c r="A669" s="10" t="s">
        <v>908</v>
      </c>
      <c r="B669" s="10" t="s">
        <v>83</v>
      </c>
      <c r="C669" s="10" t="s">
        <v>78</v>
      </c>
      <c r="D669" s="10" t="s">
        <v>196</v>
      </c>
      <c r="E669" s="10" t="s">
        <v>51</v>
      </c>
      <c r="F669" s="10"/>
      <c r="G669" s="10" t="s">
        <v>425</v>
      </c>
      <c r="H669" s="10"/>
      <c r="I669" s="8" t="n">
        <f aca="false">INDEX(Parâmetros!$C$13:$C$19,MATCH(E669,Parâmetros!$A$13:$A$19,0))</f>
        <v>550</v>
      </c>
      <c r="J669" s="26" t="str">
        <f aca="false">IF(H669="","",Parâmetros!$B$5-H669)</f>
        <v/>
      </c>
      <c r="K669" s="10" t="n">
        <f aca="false">INDEX(Parâmetros!$D$13:$D$19,MATCH(E669,Parâmetros!$A$13:$A$19,0))</f>
        <v>22</v>
      </c>
      <c r="L669" s="26" t="n">
        <f aca="false">IF(G669="Prospecting",Parâmetros!$B$9,IF(J669&gt;Parâmetros!$B$6,0,INDEX(Parâmetros!$C$24:$C$26,MATCH(J669,Parâmetros!$A$24:$A$26,1))))</f>
        <v>10</v>
      </c>
      <c r="M669" s="31" t="n">
        <f aca="false">IF(G669="Prospecting",1,INDEX(Parâmetros!$C$32:$C$35,MATCH(J669,Parâmetros!$A$32:$A$35,1)))</f>
        <v>1</v>
      </c>
      <c r="N669" s="2" t="n">
        <f aca="false">ROUND((K669+L669)*M669,0)</f>
        <v>32</v>
      </c>
      <c r="O669" s="10" t="str">
        <f aca="false">IF(AND(G669="Engaging",J669&gt;Parâmetros!$B$6),"Sim","Não")</f>
        <v>Não</v>
      </c>
      <c r="P669" s="32" t="str">
        <f aca="false">IF(O669="Sim","R",IF(N669&gt;=Parâmetros!$B$39,"A",IF(N669&gt;=Parâmetros!$B$40,"B",IF(N669&gt;=Parâmetros!$B$41,"C","D"))))</f>
        <v>D</v>
      </c>
      <c r="Q669" s="10" t="str">
        <f aca="false">IF(F669="","Completar cadastro","")</f>
        <v>Completar cadastro</v>
      </c>
      <c r="R669" s="10" t="str">
        <f aca="false">INDEX(Parâmetros!$D$39:$D$43,MATCH(P669,Parâmetros!$A$39:$A$43,0))</f>
        <v>Automatizar ou vender em lote</v>
      </c>
    </row>
    <row r="670" customFormat="false" ht="15" hidden="false" customHeight="false" outlineLevel="0" collapsed="false">
      <c r="A670" s="10" t="s">
        <v>909</v>
      </c>
      <c r="B670" s="10" t="s">
        <v>76</v>
      </c>
      <c r="C670" s="10" t="s">
        <v>72</v>
      </c>
      <c r="D670" s="10" t="s">
        <v>196</v>
      </c>
      <c r="E670" s="10" t="s">
        <v>51</v>
      </c>
      <c r="F670" s="10" t="s">
        <v>291</v>
      </c>
      <c r="G670" s="10" t="s">
        <v>425</v>
      </c>
      <c r="H670" s="10"/>
      <c r="I670" s="8" t="n">
        <f aca="false">INDEX(Parâmetros!$C$13:$C$19,MATCH(E670,Parâmetros!$A$13:$A$19,0))</f>
        <v>550</v>
      </c>
      <c r="J670" s="26" t="str">
        <f aca="false">IF(H670="","",Parâmetros!$B$5-H670)</f>
        <v/>
      </c>
      <c r="K670" s="10" t="n">
        <f aca="false">INDEX(Parâmetros!$D$13:$D$19,MATCH(E670,Parâmetros!$A$13:$A$19,0))</f>
        <v>22</v>
      </c>
      <c r="L670" s="26" t="n">
        <f aca="false">IF(G670="Prospecting",Parâmetros!$B$9,IF(J670&gt;Parâmetros!$B$6,0,INDEX(Parâmetros!$C$24:$C$26,MATCH(J670,Parâmetros!$A$24:$A$26,1))))</f>
        <v>10</v>
      </c>
      <c r="M670" s="31" t="n">
        <f aca="false">IF(G670="Prospecting",1,INDEX(Parâmetros!$C$32:$C$35,MATCH(J670,Parâmetros!$A$32:$A$35,1)))</f>
        <v>1</v>
      </c>
      <c r="N670" s="2" t="n">
        <f aca="false">ROUND((K670+L670)*M670,0)</f>
        <v>32</v>
      </c>
      <c r="O670" s="10" t="str">
        <f aca="false">IF(AND(G670="Engaging",J670&gt;Parâmetros!$B$6),"Sim","Não")</f>
        <v>Não</v>
      </c>
      <c r="P670" s="32" t="str">
        <f aca="false">IF(O670="Sim","R",IF(N670&gt;=Parâmetros!$B$39,"A",IF(N670&gt;=Parâmetros!$B$40,"B",IF(N670&gt;=Parâmetros!$B$41,"C","D"))))</f>
        <v>D</v>
      </c>
      <c r="Q670" s="10" t="str">
        <f aca="false">IF(F670="","Completar cadastro","")</f>
        <v/>
      </c>
      <c r="R670" s="10" t="str">
        <f aca="false">INDEX(Parâmetros!$D$39:$D$43,MATCH(P670,Parâmetros!$A$39:$A$43,0))</f>
        <v>Automatizar ou vender em lote</v>
      </c>
    </row>
    <row r="671" customFormat="false" ht="15" hidden="false" customHeight="false" outlineLevel="0" collapsed="false">
      <c r="A671" s="10" t="s">
        <v>910</v>
      </c>
      <c r="B671" s="10" t="s">
        <v>76</v>
      </c>
      <c r="C671" s="10" t="s">
        <v>72</v>
      </c>
      <c r="D671" s="10" t="s">
        <v>196</v>
      </c>
      <c r="E671" s="10" t="s">
        <v>51</v>
      </c>
      <c r="F671" s="10" t="s">
        <v>170</v>
      </c>
      <c r="G671" s="10" t="s">
        <v>425</v>
      </c>
      <c r="H671" s="10"/>
      <c r="I671" s="8" t="n">
        <f aca="false">INDEX(Parâmetros!$C$13:$C$19,MATCH(E671,Parâmetros!$A$13:$A$19,0))</f>
        <v>550</v>
      </c>
      <c r="J671" s="26" t="str">
        <f aca="false">IF(H671="","",Parâmetros!$B$5-H671)</f>
        <v/>
      </c>
      <c r="K671" s="10" t="n">
        <f aca="false">INDEX(Parâmetros!$D$13:$D$19,MATCH(E671,Parâmetros!$A$13:$A$19,0))</f>
        <v>22</v>
      </c>
      <c r="L671" s="26" t="n">
        <f aca="false">IF(G671="Prospecting",Parâmetros!$B$9,IF(J671&gt;Parâmetros!$B$6,0,INDEX(Parâmetros!$C$24:$C$26,MATCH(J671,Parâmetros!$A$24:$A$26,1))))</f>
        <v>10</v>
      </c>
      <c r="M671" s="31" t="n">
        <f aca="false">IF(G671="Prospecting",1,INDEX(Parâmetros!$C$32:$C$35,MATCH(J671,Parâmetros!$A$32:$A$35,1)))</f>
        <v>1</v>
      </c>
      <c r="N671" s="2" t="n">
        <f aca="false">ROUND((K671+L671)*M671,0)</f>
        <v>32</v>
      </c>
      <c r="O671" s="10" t="str">
        <f aca="false">IF(AND(G671="Engaging",J671&gt;Parâmetros!$B$6),"Sim","Não")</f>
        <v>Não</v>
      </c>
      <c r="P671" s="32" t="str">
        <f aca="false">IF(O671="Sim","R",IF(N671&gt;=Parâmetros!$B$39,"A",IF(N671&gt;=Parâmetros!$B$40,"B",IF(N671&gt;=Parâmetros!$B$41,"C","D"))))</f>
        <v>D</v>
      </c>
      <c r="Q671" s="10" t="str">
        <f aca="false">IF(F671="","Completar cadastro","")</f>
        <v/>
      </c>
      <c r="R671" s="10" t="str">
        <f aca="false">INDEX(Parâmetros!$D$39:$D$43,MATCH(P671,Parâmetros!$A$39:$A$43,0))</f>
        <v>Automatizar ou vender em lote</v>
      </c>
    </row>
    <row r="672" customFormat="false" ht="15" hidden="false" customHeight="false" outlineLevel="0" collapsed="false">
      <c r="A672" s="10" t="s">
        <v>911</v>
      </c>
      <c r="B672" s="10" t="s">
        <v>76</v>
      </c>
      <c r="C672" s="10" t="s">
        <v>72</v>
      </c>
      <c r="D672" s="10" t="s">
        <v>196</v>
      </c>
      <c r="E672" s="10" t="s">
        <v>51</v>
      </c>
      <c r="F672" s="10" t="s">
        <v>321</v>
      </c>
      <c r="G672" s="10" t="s">
        <v>425</v>
      </c>
      <c r="H672" s="10"/>
      <c r="I672" s="8" t="n">
        <f aca="false">INDEX(Parâmetros!$C$13:$C$19,MATCH(E672,Parâmetros!$A$13:$A$19,0))</f>
        <v>550</v>
      </c>
      <c r="J672" s="26" t="str">
        <f aca="false">IF(H672="","",Parâmetros!$B$5-H672)</f>
        <v/>
      </c>
      <c r="K672" s="10" t="n">
        <f aca="false">INDEX(Parâmetros!$D$13:$D$19,MATCH(E672,Parâmetros!$A$13:$A$19,0))</f>
        <v>22</v>
      </c>
      <c r="L672" s="26" t="n">
        <f aca="false">IF(G672="Prospecting",Parâmetros!$B$9,IF(J672&gt;Parâmetros!$B$6,0,INDEX(Parâmetros!$C$24:$C$26,MATCH(J672,Parâmetros!$A$24:$A$26,1))))</f>
        <v>10</v>
      </c>
      <c r="M672" s="31" t="n">
        <f aca="false">IF(G672="Prospecting",1,INDEX(Parâmetros!$C$32:$C$35,MATCH(J672,Parâmetros!$A$32:$A$35,1)))</f>
        <v>1</v>
      </c>
      <c r="N672" s="2" t="n">
        <f aca="false">ROUND((K672+L672)*M672,0)</f>
        <v>32</v>
      </c>
      <c r="O672" s="10" t="str">
        <f aca="false">IF(AND(G672="Engaging",J672&gt;Parâmetros!$B$6),"Sim","Não")</f>
        <v>Não</v>
      </c>
      <c r="P672" s="32" t="str">
        <f aca="false">IF(O672="Sim","R",IF(N672&gt;=Parâmetros!$B$39,"A",IF(N672&gt;=Parâmetros!$B$40,"B",IF(N672&gt;=Parâmetros!$B$41,"C","D"))))</f>
        <v>D</v>
      </c>
      <c r="Q672" s="10" t="str">
        <f aca="false">IF(F672="","Completar cadastro","")</f>
        <v/>
      </c>
      <c r="R672" s="10" t="str">
        <f aca="false">INDEX(Parâmetros!$D$39:$D$43,MATCH(P672,Parâmetros!$A$39:$A$43,0))</f>
        <v>Automatizar ou vender em lote</v>
      </c>
    </row>
    <row r="673" customFormat="false" ht="15" hidden="false" customHeight="false" outlineLevel="0" collapsed="false">
      <c r="A673" s="10" t="s">
        <v>912</v>
      </c>
      <c r="B673" s="10" t="s">
        <v>76</v>
      </c>
      <c r="C673" s="10" t="s">
        <v>72</v>
      </c>
      <c r="D673" s="10" t="s">
        <v>196</v>
      </c>
      <c r="E673" s="10" t="s">
        <v>51</v>
      </c>
      <c r="F673" s="10"/>
      <c r="G673" s="10" t="s">
        <v>425</v>
      </c>
      <c r="H673" s="10"/>
      <c r="I673" s="8" t="n">
        <f aca="false">INDEX(Parâmetros!$C$13:$C$19,MATCH(E673,Parâmetros!$A$13:$A$19,0))</f>
        <v>550</v>
      </c>
      <c r="J673" s="26" t="str">
        <f aca="false">IF(H673="","",Parâmetros!$B$5-H673)</f>
        <v/>
      </c>
      <c r="K673" s="10" t="n">
        <f aca="false">INDEX(Parâmetros!$D$13:$D$19,MATCH(E673,Parâmetros!$A$13:$A$19,0))</f>
        <v>22</v>
      </c>
      <c r="L673" s="26" t="n">
        <f aca="false">IF(G673="Prospecting",Parâmetros!$B$9,IF(J673&gt;Parâmetros!$B$6,0,INDEX(Parâmetros!$C$24:$C$26,MATCH(J673,Parâmetros!$A$24:$A$26,1))))</f>
        <v>10</v>
      </c>
      <c r="M673" s="31" t="n">
        <f aca="false">IF(G673="Prospecting",1,INDEX(Parâmetros!$C$32:$C$35,MATCH(J673,Parâmetros!$A$32:$A$35,1)))</f>
        <v>1</v>
      </c>
      <c r="N673" s="2" t="n">
        <f aca="false">ROUND((K673+L673)*M673,0)</f>
        <v>32</v>
      </c>
      <c r="O673" s="10" t="str">
        <f aca="false">IF(AND(G673="Engaging",J673&gt;Parâmetros!$B$6),"Sim","Não")</f>
        <v>Não</v>
      </c>
      <c r="P673" s="32" t="str">
        <f aca="false">IF(O673="Sim","R",IF(N673&gt;=Parâmetros!$B$39,"A",IF(N673&gt;=Parâmetros!$B$40,"B",IF(N673&gt;=Parâmetros!$B$41,"C","D"))))</f>
        <v>D</v>
      </c>
      <c r="Q673" s="10" t="str">
        <f aca="false">IF(F673="","Completar cadastro","")</f>
        <v>Completar cadastro</v>
      </c>
      <c r="R673" s="10" t="str">
        <f aca="false">INDEX(Parâmetros!$D$39:$D$43,MATCH(P673,Parâmetros!$A$39:$A$43,0))</f>
        <v>Automatizar ou vender em lote</v>
      </c>
    </row>
    <row r="674" customFormat="false" ht="15" hidden="false" customHeight="false" outlineLevel="0" collapsed="false">
      <c r="A674" s="10" t="s">
        <v>913</v>
      </c>
      <c r="B674" s="10" t="s">
        <v>76</v>
      </c>
      <c r="C674" s="10" t="s">
        <v>72</v>
      </c>
      <c r="D674" s="10" t="s">
        <v>196</v>
      </c>
      <c r="E674" s="10" t="s">
        <v>51</v>
      </c>
      <c r="F674" s="10"/>
      <c r="G674" s="10" t="s">
        <v>425</v>
      </c>
      <c r="H674" s="10"/>
      <c r="I674" s="8" t="n">
        <f aca="false">INDEX(Parâmetros!$C$13:$C$19,MATCH(E674,Parâmetros!$A$13:$A$19,0))</f>
        <v>550</v>
      </c>
      <c r="J674" s="26" t="str">
        <f aca="false">IF(H674="","",Parâmetros!$B$5-H674)</f>
        <v/>
      </c>
      <c r="K674" s="10" t="n">
        <f aca="false">INDEX(Parâmetros!$D$13:$D$19,MATCH(E674,Parâmetros!$A$13:$A$19,0))</f>
        <v>22</v>
      </c>
      <c r="L674" s="26" t="n">
        <f aca="false">IF(G674="Prospecting",Parâmetros!$B$9,IF(J674&gt;Parâmetros!$B$6,0,INDEX(Parâmetros!$C$24:$C$26,MATCH(J674,Parâmetros!$A$24:$A$26,1))))</f>
        <v>10</v>
      </c>
      <c r="M674" s="31" t="n">
        <f aca="false">IF(G674="Prospecting",1,INDEX(Parâmetros!$C$32:$C$35,MATCH(J674,Parâmetros!$A$32:$A$35,1)))</f>
        <v>1</v>
      </c>
      <c r="N674" s="2" t="n">
        <f aca="false">ROUND((K674+L674)*M674,0)</f>
        <v>32</v>
      </c>
      <c r="O674" s="10" t="str">
        <f aca="false">IF(AND(G674="Engaging",J674&gt;Parâmetros!$B$6),"Sim","Não")</f>
        <v>Não</v>
      </c>
      <c r="P674" s="32" t="str">
        <f aca="false">IF(O674="Sim","R",IF(N674&gt;=Parâmetros!$B$39,"A",IF(N674&gt;=Parâmetros!$B$40,"B",IF(N674&gt;=Parâmetros!$B$41,"C","D"))))</f>
        <v>D</v>
      </c>
      <c r="Q674" s="10" t="str">
        <f aca="false">IF(F674="","Completar cadastro","")</f>
        <v>Completar cadastro</v>
      </c>
      <c r="R674" s="10" t="str">
        <f aca="false">INDEX(Parâmetros!$D$39:$D$43,MATCH(P674,Parâmetros!$A$39:$A$43,0))</f>
        <v>Automatizar ou vender em lote</v>
      </c>
    </row>
    <row r="675" customFormat="false" ht="15" hidden="false" customHeight="false" outlineLevel="0" collapsed="false">
      <c r="A675" s="10" t="s">
        <v>914</v>
      </c>
      <c r="B675" s="10" t="s">
        <v>76</v>
      </c>
      <c r="C675" s="10" t="s">
        <v>72</v>
      </c>
      <c r="D675" s="10" t="s">
        <v>196</v>
      </c>
      <c r="E675" s="10" t="s">
        <v>51</v>
      </c>
      <c r="F675" s="10"/>
      <c r="G675" s="10" t="s">
        <v>425</v>
      </c>
      <c r="H675" s="10"/>
      <c r="I675" s="8" t="n">
        <f aca="false">INDEX(Parâmetros!$C$13:$C$19,MATCH(E675,Parâmetros!$A$13:$A$19,0))</f>
        <v>550</v>
      </c>
      <c r="J675" s="26" t="str">
        <f aca="false">IF(H675="","",Parâmetros!$B$5-H675)</f>
        <v/>
      </c>
      <c r="K675" s="10" t="n">
        <f aca="false">INDEX(Parâmetros!$D$13:$D$19,MATCH(E675,Parâmetros!$A$13:$A$19,0))</f>
        <v>22</v>
      </c>
      <c r="L675" s="26" t="n">
        <f aca="false">IF(G675="Prospecting",Parâmetros!$B$9,IF(J675&gt;Parâmetros!$B$6,0,INDEX(Parâmetros!$C$24:$C$26,MATCH(J675,Parâmetros!$A$24:$A$26,1))))</f>
        <v>10</v>
      </c>
      <c r="M675" s="31" t="n">
        <f aca="false">IF(G675="Prospecting",1,INDEX(Parâmetros!$C$32:$C$35,MATCH(J675,Parâmetros!$A$32:$A$35,1)))</f>
        <v>1</v>
      </c>
      <c r="N675" s="2" t="n">
        <f aca="false">ROUND((K675+L675)*M675,0)</f>
        <v>32</v>
      </c>
      <c r="O675" s="10" t="str">
        <f aca="false">IF(AND(G675="Engaging",J675&gt;Parâmetros!$B$6),"Sim","Não")</f>
        <v>Não</v>
      </c>
      <c r="P675" s="32" t="str">
        <f aca="false">IF(O675="Sim","R",IF(N675&gt;=Parâmetros!$B$39,"A",IF(N675&gt;=Parâmetros!$B$40,"B",IF(N675&gt;=Parâmetros!$B$41,"C","D"))))</f>
        <v>D</v>
      </c>
      <c r="Q675" s="10" t="str">
        <f aca="false">IF(F675="","Completar cadastro","")</f>
        <v>Completar cadastro</v>
      </c>
      <c r="R675" s="10" t="str">
        <f aca="false">INDEX(Parâmetros!$D$39:$D$43,MATCH(P675,Parâmetros!$A$39:$A$43,0))</f>
        <v>Automatizar ou vender em lote</v>
      </c>
    </row>
    <row r="676" customFormat="false" ht="15" hidden="false" customHeight="false" outlineLevel="0" collapsed="false">
      <c r="A676" s="10" t="s">
        <v>915</v>
      </c>
      <c r="B676" s="10" t="s">
        <v>76</v>
      </c>
      <c r="C676" s="10" t="s">
        <v>72</v>
      </c>
      <c r="D676" s="10" t="s">
        <v>196</v>
      </c>
      <c r="E676" s="10" t="s">
        <v>51</v>
      </c>
      <c r="F676" s="10"/>
      <c r="G676" s="10" t="s">
        <v>425</v>
      </c>
      <c r="H676" s="10"/>
      <c r="I676" s="8" t="n">
        <f aca="false">INDEX(Parâmetros!$C$13:$C$19,MATCH(E676,Parâmetros!$A$13:$A$19,0))</f>
        <v>550</v>
      </c>
      <c r="J676" s="26" t="str">
        <f aca="false">IF(H676="","",Parâmetros!$B$5-H676)</f>
        <v/>
      </c>
      <c r="K676" s="10" t="n">
        <f aca="false">INDEX(Parâmetros!$D$13:$D$19,MATCH(E676,Parâmetros!$A$13:$A$19,0))</f>
        <v>22</v>
      </c>
      <c r="L676" s="26" t="n">
        <f aca="false">IF(G676="Prospecting",Parâmetros!$B$9,IF(J676&gt;Parâmetros!$B$6,0,INDEX(Parâmetros!$C$24:$C$26,MATCH(J676,Parâmetros!$A$24:$A$26,1))))</f>
        <v>10</v>
      </c>
      <c r="M676" s="31" t="n">
        <f aca="false">IF(G676="Prospecting",1,INDEX(Parâmetros!$C$32:$C$35,MATCH(J676,Parâmetros!$A$32:$A$35,1)))</f>
        <v>1</v>
      </c>
      <c r="N676" s="2" t="n">
        <f aca="false">ROUND((K676+L676)*M676,0)</f>
        <v>32</v>
      </c>
      <c r="O676" s="10" t="str">
        <f aca="false">IF(AND(G676="Engaging",J676&gt;Parâmetros!$B$6),"Sim","Não")</f>
        <v>Não</v>
      </c>
      <c r="P676" s="32" t="str">
        <f aca="false">IF(O676="Sim","R",IF(N676&gt;=Parâmetros!$B$39,"A",IF(N676&gt;=Parâmetros!$B$40,"B",IF(N676&gt;=Parâmetros!$B$41,"C","D"))))</f>
        <v>D</v>
      </c>
      <c r="Q676" s="10" t="str">
        <f aca="false">IF(F676="","Completar cadastro","")</f>
        <v>Completar cadastro</v>
      </c>
      <c r="R676" s="10" t="str">
        <f aca="false">INDEX(Parâmetros!$D$39:$D$43,MATCH(P676,Parâmetros!$A$39:$A$43,0))</f>
        <v>Automatizar ou vender em lote</v>
      </c>
    </row>
    <row r="677" customFormat="false" ht="15" hidden="false" customHeight="false" outlineLevel="0" collapsed="false">
      <c r="A677" s="10" t="s">
        <v>916</v>
      </c>
      <c r="B677" s="10" t="s">
        <v>62</v>
      </c>
      <c r="C677" s="10" t="s">
        <v>58</v>
      </c>
      <c r="D677" s="10" t="s">
        <v>165</v>
      </c>
      <c r="E677" s="10" t="s">
        <v>52</v>
      </c>
      <c r="F677" s="10"/>
      <c r="G677" s="10" t="s">
        <v>162</v>
      </c>
      <c r="H677" s="30" t="n">
        <v>43086</v>
      </c>
      <c r="I677" s="8" t="n">
        <f aca="false">INDEX(Parâmetros!$C$13:$C$19,MATCH(E677,Parâmetros!$A$13:$A$19,0))</f>
        <v>55</v>
      </c>
      <c r="J677" s="26" t="n">
        <f aca="false">IF(H677="","",Parâmetros!$B$5-H677)</f>
        <v>14</v>
      </c>
      <c r="K677" s="10" t="n">
        <f aca="false">INDEX(Parâmetros!$D$13:$D$19,MATCH(E677,Parâmetros!$A$13:$A$19,0))</f>
        <v>0</v>
      </c>
      <c r="L677" s="26" t="n">
        <f aca="false">IF(G677="Prospecting",Parâmetros!$B$9,IF(J677&gt;Parâmetros!$B$6,0,INDEX(Parâmetros!$C$24:$C$26,MATCH(J677,Parâmetros!$A$24:$A$26,1))))</f>
        <v>20</v>
      </c>
      <c r="M677" s="31" t="n">
        <f aca="false">IF(G677="Prospecting",1,INDEX(Parâmetros!$C$32:$C$35,MATCH(J677,Parâmetros!$A$32:$A$35,1)))</f>
        <v>1</v>
      </c>
      <c r="N677" s="2" t="n">
        <f aca="false">ROUND((K677+L677)*M677,0)</f>
        <v>20</v>
      </c>
      <c r="O677" s="10" t="str">
        <f aca="false">IF(AND(G677="Engaging",J677&gt;Parâmetros!$B$6),"Sim","Não")</f>
        <v>Não</v>
      </c>
      <c r="P677" s="32" t="str">
        <f aca="false">IF(O677="Sim","R",IF(N677&gt;=Parâmetros!$B$39,"A",IF(N677&gt;=Parâmetros!$B$40,"B",IF(N677&gt;=Parâmetros!$B$41,"C","D"))))</f>
        <v>D</v>
      </c>
      <c r="Q677" s="10" t="str">
        <f aca="false">IF(F677="","Completar cadastro","")</f>
        <v>Completar cadastro</v>
      </c>
      <c r="R677" s="10" t="str">
        <f aca="false">INDEX(Parâmetros!$D$39:$D$43,MATCH(P677,Parâmetros!$A$39:$A$43,0))</f>
        <v>Automatizar ou vender em lote</v>
      </c>
    </row>
    <row r="678" customFormat="false" ht="15" hidden="false" customHeight="false" outlineLevel="0" collapsed="false">
      <c r="A678" s="10" t="s">
        <v>917</v>
      </c>
      <c r="B678" s="10" t="s">
        <v>67</v>
      </c>
      <c r="C678" s="10" t="s">
        <v>65</v>
      </c>
      <c r="D678" s="10" t="s">
        <v>160</v>
      </c>
      <c r="E678" s="10" t="s">
        <v>52</v>
      </c>
      <c r="F678" s="10" t="s">
        <v>464</v>
      </c>
      <c r="G678" s="10" t="s">
        <v>162</v>
      </c>
      <c r="H678" s="30" t="n">
        <v>43089</v>
      </c>
      <c r="I678" s="8" t="n">
        <f aca="false">INDEX(Parâmetros!$C$13:$C$19,MATCH(E678,Parâmetros!$A$13:$A$19,0))</f>
        <v>55</v>
      </c>
      <c r="J678" s="26" t="n">
        <f aca="false">IF(H678="","",Parâmetros!$B$5-H678)</f>
        <v>11</v>
      </c>
      <c r="K678" s="10" t="n">
        <f aca="false">INDEX(Parâmetros!$D$13:$D$19,MATCH(E678,Parâmetros!$A$13:$A$19,0))</f>
        <v>0</v>
      </c>
      <c r="L678" s="26" t="n">
        <f aca="false">IF(G678="Prospecting",Parâmetros!$B$9,IF(J678&gt;Parâmetros!$B$6,0,INDEX(Parâmetros!$C$24:$C$26,MATCH(J678,Parâmetros!$A$24:$A$26,1))))</f>
        <v>20</v>
      </c>
      <c r="M678" s="31" t="n">
        <f aca="false">IF(G678="Prospecting",1,INDEX(Parâmetros!$C$32:$C$35,MATCH(J678,Parâmetros!$A$32:$A$35,1)))</f>
        <v>1</v>
      </c>
      <c r="N678" s="2" t="n">
        <f aca="false">ROUND((K678+L678)*M678,0)</f>
        <v>20</v>
      </c>
      <c r="O678" s="10" t="str">
        <f aca="false">IF(AND(G678="Engaging",J678&gt;Parâmetros!$B$6),"Sim","Não")</f>
        <v>Não</v>
      </c>
      <c r="P678" s="32" t="str">
        <f aca="false">IF(O678="Sim","R",IF(N678&gt;=Parâmetros!$B$39,"A",IF(N678&gt;=Parâmetros!$B$40,"B",IF(N678&gt;=Parâmetros!$B$41,"C","D"))))</f>
        <v>D</v>
      </c>
      <c r="Q678" s="10" t="str">
        <f aca="false">IF(F678="","Completar cadastro","")</f>
        <v/>
      </c>
      <c r="R678" s="10" t="str">
        <f aca="false">INDEX(Parâmetros!$D$39:$D$43,MATCH(P678,Parâmetros!$A$39:$A$43,0))</f>
        <v>Automatizar ou vender em lote</v>
      </c>
    </row>
    <row r="679" customFormat="false" ht="15" hidden="false" customHeight="false" outlineLevel="0" collapsed="false">
      <c r="A679" s="10" t="s">
        <v>918</v>
      </c>
      <c r="B679" s="10" t="s">
        <v>66</v>
      </c>
      <c r="C679" s="10" t="s">
        <v>65</v>
      </c>
      <c r="D679" s="10" t="s">
        <v>160</v>
      </c>
      <c r="E679" s="10" t="s">
        <v>52</v>
      </c>
      <c r="F679" s="10"/>
      <c r="G679" s="10" t="s">
        <v>162</v>
      </c>
      <c r="H679" s="30" t="n">
        <v>43091</v>
      </c>
      <c r="I679" s="8" t="n">
        <f aca="false">INDEX(Parâmetros!$C$13:$C$19,MATCH(E679,Parâmetros!$A$13:$A$19,0))</f>
        <v>55</v>
      </c>
      <c r="J679" s="26" t="n">
        <f aca="false">IF(H679="","",Parâmetros!$B$5-H679)</f>
        <v>9</v>
      </c>
      <c r="K679" s="10" t="n">
        <f aca="false">INDEX(Parâmetros!$D$13:$D$19,MATCH(E679,Parâmetros!$A$13:$A$19,0))</f>
        <v>0</v>
      </c>
      <c r="L679" s="26" t="n">
        <f aca="false">IF(G679="Prospecting",Parâmetros!$B$9,IF(J679&gt;Parâmetros!$B$6,0,INDEX(Parâmetros!$C$24:$C$26,MATCH(J679,Parâmetros!$A$24:$A$26,1))))</f>
        <v>20</v>
      </c>
      <c r="M679" s="31" t="n">
        <f aca="false">IF(G679="Prospecting",1,INDEX(Parâmetros!$C$32:$C$35,MATCH(J679,Parâmetros!$A$32:$A$35,1)))</f>
        <v>1</v>
      </c>
      <c r="N679" s="2" t="n">
        <f aca="false">ROUND((K679+L679)*M679,0)</f>
        <v>20</v>
      </c>
      <c r="O679" s="10" t="str">
        <f aca="false">IF(AND(G679="Engaging",J679&gt;Parâmetros!$B$6),"Sim","Não")</f>
        <v>Não</v>
      </c>
      <c r="P679" s="32" t="str">
        <f aca="false">IF(O679="Sim","R",IF(N679&gt;=Parâmetros!$B$39,"A",IF(N679&gt;=Parâmetros!$B$40,"B",IF(N679&gt;=Parâmetros!$B$41,"C","D"))))</f>
        <v>D</v>
      </c>
      <c r="Q679" s="10" t="str">
        <f aca="false">IF(F679="","Completar cadastro","")</f>
        <v>Completar cadastro</v>
      </c>
      <c r="R679" s="10" t="str">
        <f aca="false">INDEX(Parâmetros!$D$39:$D$43,MATCH(P679,Parâmetros!$A$39:$A$43,0))</f>
        <v>Automatizar ou vender em lote</v>
      </c>
    </row>
    <row r="680" customFormat="false" ht="15" hidden="false" customHeight="false" outlineLevel="0" collapsed="false">
      <c r="A680" s="10" t="s">
        <v>919</v>
      </c>
      <c r="B680" s="10" t="s">
        <v>71</v>
      </c>
      <c r="C680" s="10" t="s">
        <v>72</v>
      </c>
      <c r="D680" s="10" t="s">
        <v>196</v>
      </c>
      <c r="E680" s="10" t="s">
        <v>52</v>
      </c>
      <c r="F680" s="10" t="s">
        <v>353</v>
      </c>
      <c r="G680" s="10" t="s">
        <v>425</v>
      </c>
      <c r="H680" s="10"/>
      <c r="I680" s="8" t="n">
        <f aca="false">INDEX(Parâmetros!$C$13:$C$19,MATCH(E680,Parâmetros!$A$13:$A$19,0))</f>
        <v>55</v>
      </c>
      <c r="J680" s="26" t="str">
        <f aca="false">IF(H680="","",Parâmetros!$B$5-H680)</f>
        <v/>
      </c>
      <c r="K680" s="10" t="n">
        <f aca="false">INDEX(Parâmetros!$D$13:$D$19,MATCH(E680,Parâmetros!$A$13:$A$19,0))</f>
        <v>0</v>
      </c>
      <c r="L680" s="26" t="n">
        <f aca="false">IF(G680="Prospecting",Parâmetros!$B$9,IF(J680&gt;Parâmetros!$B$6,0,INDEX(Parâmetros!$C$24:$C$26,MATCH(J680,Parâmetros!$A$24:$A$26,1))))</f>
        <v>10</v>
      </c>
      <c r="M680" s="31" t="n">
        <f aca="false">IF(G680="Prospecting",1,INDEX(Parâmetros!$C$32:$C$35,MATCH(J680,Parâmetros!$A$32:$A$35,1)))</f>
        <v>1</v>
      </c>
      <c r="N680" s="2" t="n">
        <f aca="false">ROUND((K680+L680)*M680,0)</f>
        <v>10</v>
      </c>
      <c r="O680" s="10" t="str">
        <f aca="false">IF(AND(G680="Engaging",J680&gt;Parâmetros!$B$6),"Sim","Não")</f>
        <v>Não</v>
      </c>
      <c r="P680" s="32" t="str">
        <f aca="false">IF(O680="Sim","R",IF(N680&gt;=Parâmetros!$B$39,"A",IF(N680&gt;=Parâmetros!$B$40,"B",IF(N680&gt;=Parâmetros!$B$41,"C","D"))))</f>
        <v>D</v>
      </c>
      <c r="Q680" s="10" t="str">
        <f aca="false">IF(F680="","Completar cadastro","")</f>
        <v/>
      </c>
      <c r="R680" s="10" t="str">
        <f aca="false">INDEX(Parâmetros!$D$39:$D$43,MATCH(P680,Parâmetros!$A$39:$A$43,0))</f>
        <v>Automatizar ou vender em lote</v>
      </c>
    </row>
    <row r="681" customFormat="false" ht="15" hidden="false" customHeight="false" outlineLevel="0" collapsed="false">
      <c r="A681" s="10" t="s">
        <v>920</v>
      </c>
      <c r="B681" s="10" t="s">
        <v>71</v>
      </c>
      <c r="C681" s="10" t="s">
        <v>72</v>
      </c>
      <c r="D681" s="10" t="s">
        <v>196</v>
      </c>
      <c r="E681" s="10" t="s">
        <v>52</v>
      </c>
      <c r="F681" s="10" t="s">
        <v>512</v>
      </c>
      <c r="G681" s="10" t="s">
        <v>425</v>
      </c>
      <c r="H681" s="10"/>
      <c r="I681" s="8" t="n">
        <f aca="false">INDEX(Parâmetros!$C$13:$C$19,MATCH(E681,Parâmetros!$A$13:$A$19,0))</f>
        <v>55</v>
      </c>
      <c r="J681" s="26" t="str">
        <f aca="false">IF(H681="","",Parâmetros!$B$5-H681)</f>
        <v/>
      </c>
      <c r="K681" s="10" t="n">
        <f aca="false">INDEX(Parâmetros!$D$13:$D$19,MATCH(E681,Parâmetros!$A$13:$A$19,0))</f>
        <v>0</v>
      </c>
      <c r="L681" s="26" t="n">
        <f aca="false">IF(G681="Prospecting",Parâmetros!$B$9,IF(J681&gt;Parâmetros!$B$6,0,INDEX(Parâmetros!$C$24:$C$26,MATCH(J681,Parâmetros!$A$24:$A$26,1))))</f>
        <v>10</v>
      </c>
      <c r="M681" s="31" t="n">
        <f aca="false">IF(G681="Prospecting",1,INDEX(Parâmetros!$C$32:$C$35,MATCH(J681,Parâmetros!$A$32:$A$35,1)))</f>
        <v>1</v>
      </c>
      <c r="N681" s="2" t="n">
        <f aca="false">ROUND((K681+L681)*M681,0)</f>
        <v>10</v>
      </c>
      <c r="O681" s="10" t="str">
        <f aca="false">IF(AND(G681="Engaging",J681&gt;Parâmetros!$B$6),"Sim","Não")</f>
        <v>Não</v>
      </c>
      <c r="P681" s="32" t="str">
        <f aca="false">IF(O681="Sim","R",IF(N681&gt;=Parâmetros!$B$39,"A",IF(N681&gt;=Parâmetros!$B$40,"B",IF(N681&gt;=Parâmetros!$B$41,"C","D"))))</f>
        <v>D</v>
      </c>
      <c r="Q681" s="10" t="str">
        <f aca="false">IF(F681="","Completar cadastro","")</f>
        <v/>
      </c>
      <c r="R681" s="10" t="str">
        <f aca="false">INDEX(Parâmetros!$D$39:$D$43,MATCH(P681,Parâmetros!$A$39:$A$43,0))</f>
        <v>Automatizar ou vender em lote</v>
      </c>
    </row>
    <row r="682" customFormat="false" ht="15" hidden="false" customHeight="false" outlineLevel="0" collapsed="false">
      <c r="A682" s="10" t="s">
        <v>921</v>
      </c>
      <c r="B682" s="10" t="s">
        <v>71</v>
      </c>
      <c r="C682" s="10" t="s">
        <v>72</v>
      </c>
      <c r="D682" s="10" t="s">
        <v>196</v>
      </c>
      <c r="E682" s="10" t="s">
        <v>52</v>
      </c>
      <c r="F682" s="10" t="s">
        <v>369</v>
      </c>
      <c r="G682" s="10" t="s">
        <v>425</v>
      </c>
      <c r="H682" s="10"/>
      <c r="I682" s="8" t="n">
        <f aca="false">INDEX(Parâmetros!$C$13:$C$19,MATCH(E682,Parâmetros!$A$13:$A$19,0))</f>
        <v>55</v>
      </c>
      <c r="J682" s="26" t="str">
        <f aca="false">IF(H682="","",Parâmetros!$B$5-H682)</f>
        <v/>
      </c>
      <c r="K682" s="10" t="n">
        <f aca="false">INDEX(Parâmetros!$D$13:$D$19,MATCH(E682,Parâmetros!$A$13:$A$19,0))</f>
        <v>0</v>
      </c>
      <c r="L682" s="26" t="n">
        <f aca="false">IF(G682="Prospecting",Parâmetros!$B$9,IF(J682&gt;Parâmetros!$B$6,0,INDEX(Parâmetros!$C$24:$C$26,MATCH(J682,Parâmetros!$A$24:$A$26,1))))</f>
        <v>10</v>
      </c>
      <c r="M682" s="31" t="n">
        <f aca="false">IF(G682="Prospecting",1,INDEX(Parâmetros!$C$32:$C$35,MATCH(J682,Parâmetros!$A$32:$A$35,1)))</f>
        <v>1</v>
      </c>
      <c r="N682" s="2" t="n">
        <f aca="false">ROUND((K682+L682)*M682,0)</f>
        <v>10</v>
      </c>
      <c r="O682" s="10" t="str">
        <f aca="false">IF(AND(G682="Engaging",J682&gt;Parâmetros!$B$6),"Sim","Não")</f>
        <v>Não</v>
      </c>
      <c r="P682" s="32" t="str">
        <f aca="false">IF(O682="Sim","R",IF(N682&gt;=Parâmetros!$B$39,"A",IF(N682&gt;=Parâmetros!$B$40,"B",IF(N682&gt;=Parâmetros!$B$41,"C","D"))))</f>
        <v>D</v>
      </c>
      <c r="Q682" s="10" t="str">
        <f aca="false">IF(F682="","Completar cadastro","")</f>
        <v/>
      </c>
      <c r="R682" s="10" t="str">
        <f aca="false">INDEX(Parâmetros!$D$39:$D$43,MATCH(P682,Parâmetros!$A$39:$A$43,0))</f>
        <v>Automatizar ou vender em lote</v>
      </c>
    </row>
    <row r="683" customFormat="false" ht="15" hidden="false" customHeight="false" outlineLevel="0" collapsed="false">
      <c r="A683" s="10" t="s">
        <v>922</v>
      </c>
      <c r="B683" s="10" t="s">
        <v>71</v>
      </c>
      <c r="C683" s="10" t="s">
        <v>72</v>
      </c>
      <c r="D683" s="10" t="s">
        <v>196</v>
      </c>
      <c r="E683" s="10" t="s">
        <v>52</v>
      </c>
      <c r="F683" s="10" t="s">
        <v>674</v>
      </c>
      <c r="G683" s="10" t="s">
        <v>425</v>
      </c>
      <c r="H683" s="10"/>
      <c r="I683" s="8" t="n">
        <f aca="false">INDEX(Parâmetros!$C$13:$C$19,MATCH(E683,Parâmetros!$A$13:$A$19,0))</f>
        <v>55</v>
      </c>
      <c r="J683" s="26" t="str">
        <f aca="false">IF(H683="","",Parâmetros!$B$5-H683)</f>
        <v/>
      </c>
      <c r="K683" s="10" t="n">
        <f aca="false">INDEX(Parâmetros!$D$13:$D$19,MATCH(E683,Parâmetros!$A$13:$A$19,0))</f>
        <v>0</v>
      </c>
      <c r="L683" s="26" t="n">
        <f aca="false">IF(G683="Prospecting",Parâmetros!$B$9,IF(J683&gt;Parâmetros!$B$6,0,INDEX(Parâmetros!$C$24:$C$26,MATCH(J683,Parâmetros!$A$24:$A$26,1))))</f>
        <v>10</v>
      </c>
      <c r="M683" s="31" t="n">
        <f aca="false">IF(G683="Prospecting",1,INDEX(Parâmetros!$C$32:$C$35,MATCH(J683,Parâmetros!$A$32:$A$35,1)))</f>
        <v>1</v>
      </c>
      <c r="N683" s="2" t="n">
        <f aca="false">ROUND((K683+L683)*M683,0)</f>
        <v>10</v>
      </c>
      <c r="O683" s="10" t="str">
        <f aca="false">IF(AND(G683="Engaging",J683&gt;Parâmetros!$B$6),"Sim","Não")</f>
        <v>Não</v>
      </c>
      <c r="P683" s="32" t="str">
        <f aca="false">IF(O683="Sim","R",IF(N683&gt;=Parâmetros!$B$39,"A",IF(N683&gt;=Parâmetros!$B$40,"B",IF(N683&gt;=Parâmetros!$B$41,"C","D"))))</f>
        <v>D</v>
      </c>
      <c r="Q683" s="10" t="str">
        <f aca="false">IF(F683="","Completar cadastro","")</f>
        <v/>
      </c>
      <c r="R683" s="10" t="str">
        <f aca="false">INDEX(Parâmetros!$D$39:$D$43,MATCH(P683,Parâmetros!$A$39:$A$43,0))</f>
        <v>Automatizar ou vender em lote</v>
      </c>
    </row>
    <row r="684" customFormat="false" ht="15" hidden="false" customHeight="false" outlineLevel="0" collapsed="false">
      <c r="A684" s="10" t="s">
        <v>923</v>
      </c>
      <c r="B684" s="10" t="s">
        <v>71</v>
      </c>
      <c r="C684" s="10" t="s">
        <v>72</v>
      </c>
      <c r="D684" s="10" t="s">
        <v>196</v>
      </c>
      <c r="E684" s="10" t="s">
        <v>52</v>
      </c>
      <c r="F684" s="10" t="s">
        <v>199</v>
      </c>
      <c r="G684" s="10" t="s">
        <v>425</v>
      </c>
      <c r="H684" s="10"/>
      <c r="I684" s="8" t="n">
        <f aca="false">INDEX(Parâmetros!$C$13:$C$19,MATCH(E684,Parâmetros!$A$13:$A$19,0))</f>
        <v>55</v>
      </c>
      <c r="J684" s="26" t="str">
        <f aca="false">IF(H684="","",Parâmetros!$B$5-H684)</f>
        <v/>
      </c>
      <c r="K684" s="10" t="n">
        <f aca="false">INDEX(Parâmetros!$D$13:$D$19,MATCH(E684,Parâmetros!$A$13:$A$19,0))</f>
        <v>0</v>
      </c>
      <c r="L684" s="26" t="n">
        <f aca="false">IF(G684="Prospecting",Parâmetros!$B$9,IF(J684&gt;Parâmetros!$B$6,0,INDEX(Parâmetros!$C$24:$C$26,MATCH(J684,Parâmetros!$A$24:$A$26,1))))</f>
        <v>10</v>
      </c>
      <c r="M684" s="31" t="n">
        <f aca="false">IF(G684="Prospecting",1,INDEX(Parâmetros!$C$32:$C$35,MATCH(J684,Parâmetros!$A$32:$A$35,1)))</f>
        <v>1</v>
      </c>
      <c r="N684" s="2" t="n">
        <f aca="false">ROUND((K684+L684)*M684,0)</f>
        <v>10</v>
      </c>
      <c r="O684" s="10" t="str">
        <f aca="false">IF(AND(G684="Engaging",J684&gt;Parâmetros!$B$6),"Sim","Não")</f>
        <v>Não</v>
      </c>
      <c r="P684" s="32" t="str">
        <f aca="false">IF(O684="Sim","R",IF(N684&gt;=Parâmetros!$B$39,"A",IF(N684&gt;=Parâmetros!$B$40,"B",IF(N684&gt;=Parâmetros!$B$41,"C","D"))))</f>
        <v>D</v>
      </c>
      <c r="Q684" s="10" t="str">
        <f aca="false">IF(F684="","Completar cadastro","")</f>
        <v/>
      </c>
      <c r="R684" s="10" t="str">
        <f aca="false">INDEX(Parâmetros!$D$39:$D$43,MATCH(P684,Parâmetros!$A$39:$A$43,0))</f>
        <v>Automatizar ou vender em lote</v>
      </c>
    </row>
    <row r="685" customFormat="false" ht="15" hidden="false" customHeight="false" outlineLevel="0" collapsed="false">
      <c r="A685" s="10" t="s">
        <v>924</v>
      </c>
      <c r="B685" s="10" t="s">
        <v>71</v>
      </c>
      <c r="C685" s="10" t="s">
        <v>72</v>
      </c>
      <c r="D685" s="10" t="s">
        <v>196</v>
      </c>
      <c r="E685" s="10" t="s">
        <v>52</v>
      </c>
      <c r="F685" s="10" t="s">
        <v>337</v>
      </c>
      <c r="G685" s="10" t="s">
        <v>425</v>
      </c>
      <c r="H685" s="10"/>
      <c r="I685" s="8" t="n">
        <f aca="false">INDEX(Parâmetros!$C$13:$C$19,MATCH(E685,Parâmetros!$A$13:$A$19,0))</f>
        <v>55</v>
      </c>
      <c r="J685" s="26" t="str">
        <f aca="false">IF(H685="","",Parâmetros!$B$5-H685)</f>
        <v/>
      </c>
      <c r="K685" s="10" t="n">
        <f aca="false">INDEX(Parâmetros!$D$13:$D$19,MATCH(E685,Parâmetros!$A$13:$A$19,0))</f>
        <v>0</v>
      </c>
      <c r="L685" s="26" t="n">
        <f aca="false">IF(G685="Prospecting",Parâmetros!$B$9,IF(J685&gt;Parâmetros!$B$6,0,INDEX(Parâmetros!$C$24:$C$26,MATCH(J685,Parâmetros!$A$24:$A$26,1))))</f>
        <v>10</v>
      </c>
      <c r="M685" s="31" t="n">
        <f aca="false">IF(G685="Prospecting",1,INDEX(Parâmetros!$C$32:$C$35,MATCH(J685,Parâmetros!$A$32:$A$35,1)))</f>
        <v>1</v>
      </c>
      <c r="N685" s="2" t="n">
        <f aca="false">ROUND((K685+L685)*M685,0)</f>
        <v>10</v>
      </c>
      <c r="O685" s="10" t="str">
        <f aca="false">IF(AND(G685="Engaging",J685&gt;Parâmetros!$B$6),"Sim","Não")</f>
        <v>Não</v>
      </c>
      <c r="P685" s="32" t="str">
        <f aca="false">IF(O685="Sim","R",IF(N685&gt;=Parâmetros!$B$39,"A",IF(N685&gt;=Parâmetros!$B$40,"B",IF(N685&gt;=Parâmetros!$B$41,"C","D"))))</f>
        <v>D</v>
      </c>
      <c r="Q685" s="10" t="str">
        <f aca="false">IF(F685="","Completar cadastro","")</f>
        <v/>
      </c>
      <c r="R685" s="10" t="str">
        <f aca="false">INDEX(Parâmetros!$D$39:$D$43,MATCH(P685,Parâmetros!$A$39:$A$43,0))</f>
        <v>Automatizar ou vender em lote</v>
      </c>
    </row>
    <row r="686" customFormat="false" ht="15" hidden="false" customHeight="false" outlineLevel="0" collapsed="false">
      <c r="A686" s="10" t="s">
        <v>925</v>
      </c>
      <c r="B686" s="10" t="s">
        <v>71</v>
      </c>
      <c r="C686" s="10" t="s">
        <v>72</v>
      </c>
      <c r="D686" s="10" t="s">
        <v>196</v>
      </c>
      <c r="E686" s="10" t="s">
        <v>52</v>
      </c>
      <c r="F686" s="10" t="s">
        <v>168</v>
      </c>
      <c r="G686" s="10" t="s">
        <v>425</v>
      </c>
      <c r="H686" s="10"/>
      <c r="I686" s="8" t="n">
        <f aca="false">INDEX(Parâmetros!$C$13:$C$19,MATCH(E686,Parâmetros!$A$13:$A$19,0))</f>
        <v>55</v>
      </c>
      <c r="J686" s="26" t="str">
        <f aca="false">IF(H686="","",Parâmetros!$B$5-H686)</f>
        <v/>
      </c>
      <c r="K686" s="10" t="n">
        <f aca="false">INDEX(Parâmetros!$D$13:$D$19,MATCH(E686,Parâmetros!$A$13:$A$19,0))</f>
        <v>0</v>
      </c>
      <c r="L686" s="26" t="n">
        <f aca="false">IF(G686="Prospecting",Parâmetros!$B$9,IF(J686&gt;Parâmetros!$B$6,0,INDEX(Parâmetros!$C$24:$C$26,MATCH(J686,Parâmetros!$A$24:$A$26,1))))</f>
        <v>10</v>
      </c>
      <c r="M686" s="31" t="n">
        <f aca="false">IF(G686="Prospecting",1,INDEX(Parâmetros!$C$32:$C$35,MATCH(J686,Parâmetros!$A$32:$A$35,1)))</f>
        <v>1</v>
      </c>
      <c r="N686" s="2" t="n">
        <f aca="false">ROUND((K686+L686)*M686,0)</f>
        <v>10</v>
      </c>
      <c r="O686" s="10" t="str">
        <f aca="false">IF(AND(G686="Engaging",J686&gt;Parâmetros!$B$6),"Sim","Não")</f>
        <v>Não</v>
      </c>
      <c r="P686" s="32" t="str">
        <f aca="false">IF(O686="Sim","R",IF(N686&gt;=Parâmetros!$B$39,"A",IF(N686&gt;=Parâmetros!$B$40,"B",IF(N686&gt;=Parâmetros!$B$41,"C","D"))))</f>
        <v>D</v>
      </c>
      <c r="Q686" s="10" t="str">
        <f aca="false">IF(F686="","Completar cadastro","")</f>
        <v/>
      </c>
      <c r="R686" s="10" t="str">
        <f aca="false">INDEX(Parâmetros!$D$39:$D$43,MATCH(P686,Parâmetros!$A$39:$A$43,0))</f>
        <v>Automatizar ou vender em lote</v>
      </c>
    </row>
    <row r="687" customFormat="false" ht="15" hidden="false" customHeight="false" outlineLevel="0" collapsed="false">
      <c r="A687" s="10" t="s">
        <v>926</v>
      </c>
      <c r="B687" s="10" t="s">
        <v>71</v>
      </c>
      <c r="C687" s="10" t="s">
        <v>72</v>
      </c>
      <c r="D687" s="10" t="s">
        <v>196</v>
      </c>
      <c r="E687" s="10" t="s">
        <v>52</v>
      </c>
      <c r="F687" s="10" t="s">
        <v>384</v>
      </c>
      <c r="G687" s="10" t="s">
        <v>425</v>
      </c>
      <c r="H687" s="10"/>
      <c r="I687" s="8" t="n">
        <f aca="false">INDEX(Parâmetros!$C$13:$C$19,MATCH(E687,Parâmetros!$A$13:$A$19,0))</f>
        <v>55</v>
      </c>
      <c r="J687" s="26" t="str">
        <f aca="false">IF(H687="","",Parâmetros!$B$5-H687)</f>
        <v/>
      </c>
      <c r="K687" s="10" t="n">
        <f aca="false">INDEX(Parâmetros!$D$13:$D$19,MATCH(E687,Parâmetros!$A$13:$A$19,0))</f>
        <v>0</v>
      </c>
      <c r="L687" s="26" t="n">
        <f aca="false">IF(G687="Prospecting",Parâmetros!$B$9,IF(J687&gt;Parâmetros!$B$6,0,INDEX(Parâmetros!$C$24:$C$26,MATCH(J687,Parâmetros!$A$24:$A$26,1))))</f>
        <v>10</v>
      </c>
      <c r="M687" s="31" t="n">
        <f aca="false">IF(G687="Prospecting",1,INDEX(Parâmetros!$C$32:$C$35,MATCH(J687,Parâmetros!$A$32:$A$35,1)))</f>
        <v>1</v>
      </c>
      <c r="N687" s="2" t="n">
        <f aca="false">ROUND((K687+L687)*M687,0)</f>
        <v>10</v>
      </c>
      <c r="O687" s="10" t="str">
        <f aca="false">IF(AND(G687="Engaging",J687&gt;Parâmetros!$B$6),"Sim","Não")</f>
        <v>Não</v>
      </c>
      <c r="P687" s="32" t="str">
        <f aca="false">IF(O687="Sim","R",IF(N687&gt;=Parâmetros!$B$39,"A",IF(N687&gt;=Parâmetros!$B$40,"B",IF(N687&gt;=Parâmetros!$B$41,"C","D"))))</f>
        <v>D</v>
      </c>
      <c r="Q687" s="10" t="str">
        <f aca="false">IF(F687="","Completar cadastro","")</f>
        <v/>
      </c>
      <c r="R687" s="10" t="str">
        <f aca="false">INDEX(Parâmetros!$D$39:$D$43,MATCH(P687,Parâmetros!$A$39:$A$43,0))</f>
        <v>Automatizar ou vender em lote</v>
      </c>
    </row>
    <row r="688" customFormat="false" ht="15" hidden="false" customHeight="false" outlineLevel="0" collapsed="false">
      <c r="A688" s="10" t="s">
        <v>927</v>
      </c>
      <c r="B688" s="10" t="s">
        <v>71</v>
      </c>
      <c r="C688" s="10" t="s">
        <v>72</v>
      </c>
      <c r="D688" s="10" t="s">
        <v>196</v>
      </c>
      <c r="E688" s="10" t="s">
        <v>52</v>
      </c>
      <c r="F688" s="10" t="s">
        <v>453</v>
      </c>
      <c r="G688" s="10" t="s">
        <v>425</v>
      </c>
      <c r="H688" s="10"/>
      <c r="I688" s="8" t="n">
        <f aca="false">INDEX(Parâmetros!$C$13:$C$19,MATCH(E688,Parâmetros!$A$13:$A$19,0))</f>
        <v>55</v>
      </c>
      <c r="J688" s="26" t="str">
        <f aca="false">IF(H688="","",Parâmetros!$B$5-H688)</f>
        <v/>
      </c>
      <c r="K688" s="10" t="n">
        <f aca="false">INDEX(Parâmetros!$D$13:$D$19,MATCH(E688,Parâmetros!$A$13:$A$19,0))</f>
        <v>0</v>
      </c>
      <c r="L688" s="26" t="n">
        <f aca="false">IF(G688="Prospecting",Parâmetros!$B$9,IF(J688&gt;Parâmetros!$B$6,0,INDEX(Parâmetros!$C$24:$C$26,MATCH(J688,Parâmetros!$A$24:$A$26,1))))</f>
        <v>10</v>
      </c>
      <c r="M688" s="31" t="n">
        <f aca="false">IF(G688="Prospecting",1,INDEX(Parâmetros!$C$32:$C$35,MATCH(J688,Parâmetros!$A$32:$A$35,1)))</f>
        <v>1</v>
      </c>
      <c r="N688" s="2" t="n">
        <f aca="false">ROUND((K688+L688)*M688,0)</f>
        <v>10</v>
      </c>
      <c r="O688" s="10" t="str">
        <f aca="false">IF(AND(G688="Engaging",J688&gt;Parâmetros!$B$6),"Sim","Não")</f>
        <v>Não</v>
      </c>
      <c r="P688" s="32" t="str">
        <f aca="false">IF(O688="Sim","R",IF(N688&gt;=Parâmetros!$B$39,"A",IF(N688&gt;=Parâmetros!$B$40,"B",IF(N688&gt;=Parâmetros!$B$41,"C","D"))))</f>
        <v>D</v>
      </c>
      <c r="Q688" s="10" t="str">
        <f aca="false">IF(F688="","Completar cadastro","")</f>
        <v/>
      </c>
      <c r="R688" s="10" t="str">
        <f aca="false">INDEX(Parâmetros!$D$39:$D$43,MATCH(P688,Parâmetros!$A$39:$A$43,0))</f>
        <v>Automatizar ou vender em lote</v>
      </c>
    </row>
    <row r="689" customFormat="false" ht="15" hidden="false" customHeight="false" outlineLevel="0" collapsed="false">
      <c r="A689" s="10" t="s">
        <v>928</v>
      </c>
      <c r="B689" s="10" t="s">
        <v>71</v>
      </c>
      <c r="C689" s="10" t="s">
        <v>72</v>
      </c>
      <c r="D689" s="10" t="s">
        <v>196</v>
      </c>
      <c r="E689" s="10" t="s">
        <v>52</v>
      </c>
      <c r="F689" s="10" t="s">
        <v>453</v>
      </c>
      <c r="G689" s="10" t="s">
        <v>425</v>
      </c>
      <c r="H689" s="10"/>
      <c r="I689" s="8" t="n">
        <f aca="false">INDEX(Parâmetros!$C$13:$C$19,MATCH(E689,Parâmetros!$A$13:$A$19,0))</f>
        <v>55</v>
      </c>
      <c r="J689" s="26" t="str">
        <f aca="false">IF(H689="","",Parâmetros!$B$5-H689)</f>
        <v/>
      </c>
      <c r="K689" s="10" t="n">
        <f aca="false">INDEX(Parâmetros!$D$13:$D$19,MATCH(E689,Parâmetros!$A$13:$A$19,0))</f>
        <v>0</v>
      </c>
      <c r="L689" s="26" t="n">
        <f aca="false">IF(G689="Prospecting",Parâmetros!$B$9,IF(J689&gt;Parâmetros!$B$6,0,INDEX(Parâmetros!$C$24:$C$26,MATCH(J689,Parâmetros!$A$24:$A$26,1))))</f>
        <v>10</v>
      </c>
      <c r="M689" s="31" t="n">
        <f aca="false">IF(G689="Prospecting",1,INDEX(Parâmetros!$C$32:$C$35,MATCH(J689,Parâmetros!$A$32:$A$35,1)))</f>
        <v>1</v>
      </c>
      <c r="N689" s="2" t="n">
        <f aca="false">ROUND((K689+L689)*M689,0)</f>
        <v>10</v>
      </c>
      <c r="O689" s="10" t="str">
        <f aca="false">IF(AND(G689="Engaging",J689&gt;Parâmetros!$B$6),"Sim","Não")</f>
        <v>Não</v>
      </c>
      <c r="P689" s="32" t="str">
        <f aca="false">IF(O689="Sim","R",IF(N689&gt;=Parâmetros!$B$39,"A",IF(N689&gt;=Parâmetros!$B$40,"B",IF(N689&gt;=Parâmetros!$B$41,"C","D"))))</f>
        <v>D</v>
      </c>
      <c r="Q689" s="10" t="str">
        <f aca="false">IF(F689="","Completar cadastro","")</f>
        <v/>
      </c>
      <c r="R689" s="10" t="str">
        <f aca="false">INDEX(Parâmetros!$D$39:$D$43,MATCH(P689,Parâmetros!$A$39:$A$43,0))</f>
        <v>Automatizar ou vender em lote</v>
      </c>
    </row>
    <row r="690" customFormat="false" ht="15" hidden="false" customHeight="false" outlineLevel="0" collapsed="false">
      <c r="A690" s="10" t="s">
        <v>929</v>
      </c>
      <c r="B690" s="10" t="s">
        <v>71</v>
      </c>
      <c r="C690" s="10" t="s">
        <v>72</v>
      </c>
      <c r="D690" s="10" t="s">
        <v>196</v>
      </c>
      <c r="E690" s="10" t="s">
        <v>52</v>
      </c>
      <c r="F690" s="10" t="s">
        <v>396</v>
      </c>
      <c r="G690" s="10" t="s">
        <v>425</v>
      </c>
      <c r="H690" s="10"/>
      <c r="I690" s="8" t="n">
        <f aca="false">INDEX(Parâmetros!$C$13:$C$19,MATCH(E690,Parâmetros!$A$13:$A$19,0))</f>
        <v>55</v>
      </c>
      <c r="J690" s="26" t="str">
        <f aca="false">IF(H690="","",Parâmetros!$B$5-H690)</f>
        <v/>
      </c>
      <c r="K690" s="10" t="n">
        <f aca="false">INDEX(Parâmetros!$D$13:$D$19,MATCH(E690,Parâmetros!$A$13:$A$19,0))</f>
        <v>0</v>
      </c>
      <c r="L690" s="26" t="n">
        <f aca="false">IF(G690="Prospecting",Parâmetros!$B$9,IF(J690&gt;Parâmetros!$B$6,0,INDEX(Parâmetros!$C$24:$C$26,MATCH(J690,Parâmetros!$A$24:$A$26,1))))</f>
        <v>10</v>
      </c>
      <c r="M690" s="31" t="n">
        <f aca="false">IF(G690="Prospecting",1,INDEX(Parâmetros!$C$32:$C$35,MATCH(J690,Parâmetros!$A$32:$A$35,1)))</f>
        <v>1</v>
      </c>
      <c r="N690" s="2" t="n">
        <f aca="false">ROUND((K690+L690)*M690,0)</f>
        <v>10</v>
      </c>
      <c r="O690" s="10" t="str">
        <f aca="false">IF(AND(G690="Engaging",J690&gt;Parâmetros!$B$6),"Sim","Não")</f>
        <v>Não</v>
      </c>
      <c r="P690" s="32" t="str">
        <f aca="false">IF(O690="Sim","R",IF(N690&gt;=Parâmetros!$B$39,"A",IF(N690&gt;=Parâmetros!$B$40,"B",IF(N690&gt;=Parâmetros!$B$41,"C","D"))))</f>
        <v>D</v>
      </c>
      <c r="Q690" s="10" t="str">
        <f aca="false">IF(F690="","Completar cadastro","")</f>
        <v/>
      </c>
      <c r="R690" s="10" t="str">
        <f aca="false">INDEX(Parâmetros!$D$39:$D$43,MATCH(P690,Parâmetros!$A$39:$A$43,0))</f>
        <v>Automatizar ou vender em lote</v>
      </c>
    </row>
    <row r="691" customFormat="false" ht="15" hidden="false" customHeight="false" outlineLevel="0" collapsed="false">
      <c r="A691" s="10" t="s">
        <v>930</v>
      </c>
      <c r="B691" s="10" t="s">
        <v>71</v>
      </c>
      <c r="C691" s="10" t="s">
        <v>72</v>
      </c>
      <c r="D691" s="10" t="s">
        <v>196</v>
      </c>
      <c r="E691" s="10" t="s">
        <v>52</v>
      </c>
      <c r="F691" s="10" t="s">
        <v>227</v>
      </c>
      <c r="G691" s="10" t="s">
        <v>425</v>
      </c>
      <c r="H691" s="10"/>
      <c r="I691" s="8" t="n">
        <f aca="false">INDEX(Parâmetros!$C$13:$C$19,MATCH(E691,Parâmetros!$A$13:$A$19,0))</f>
        <v>55</v>
      </c>
      <c r="J691" s="26" t="str">
        <f aca="false">IF(H691="","",Parâmetros!$B$5-H691)</f>
        <v/>
      </c>
      <c r="K691" s="10" t="n">
        <f aca="false">INDEX(Parâmetros!$D$13:$D$19,MATCH(E691,Parâmetros!$A$13:$A$19,0))</f>
        <v>0</v>
      </c>
      <c r="L691" s="26" t="n">
        <f aca="false">IF(G691="Prospecting",Parâmetros!$B$9,IF(J691&gt;Parâmetros!$B$6,0,INDEX(Parâmetros!$C$24:$C$26,MATCH(J691,Parâmetros!$A$24:$A$26,1))))</f>
        <v>10</v>
      </c>
      <c r="M691" s="31" t="n">
        <f aca="false">IF(G691="Prospecting",1,INDEX(Parâmetros!$C$32:$C$35,MATCH(J691,Parâmetros!$A$32:$A$35,1)))</f>
        <v>1</v>
      </c>
      <c r="N691" s="2" t="n">
        <f aca="false">ROUND((K691+L691)*M691,0)</f>
        <v>10</v>
      </c>
      <c r="O691" s="10" t="str">
        <f aca="false">IF(AND(G691="Engaging",J691&gt;Parâmetros!$B$6),"Sim","Não")</f>
        <v>Não</v>
      </c>
      <c r="P691" s="32" t="str">
        <f aca="false">IF(O691="Sim","R",IF(N691&gt;=Parâmetros!$B$39,"A",IF(N691&gt;=Parâmetros!$B$40,"B",IF(N691&gt;=Parâmetros!$B$41,"C","D"))))</f>
        <v>D</v>
      </c>
      <c r="Q691" s="10" t="str">
        <f aca="false">IF(F691="","Completar cadastro","")</f>
        <v/>
      </c>
      <c r="R691" s="10" t="str">
        <f aca="false">INDEX(Parâmetros!$D$39:$D$43,MATCH(P691,Parâmetros!$A$39:$A$43,0))</f>
        <v>Automatizar ou vender em lote</v>
      </c>
    </row>
    <row r="692" customFormat="false" ht="15" hidden="false" customHeight="false" outlineLevel="0" collapsed="false">
      <c r="A692" s="10" t="s">
        <v>931</v>
      </c>
      <c r="B692" s="10" t="s">
        <v>71</v>
      </c>
      <c r="C692" s="10" t="s">
        <v>72</v>
      </c>
      <c r="D692" s="10" t="s">
        <v>196</v>
      </c>
      <c r="E692" s="10" t="s">
        <v>52</v>
      </c>
      <c r="F692" s="10" t="s">
        <v>455</v>
      </c>
      <c r="G692" s="10" t="s">
        <v>425</v>
      </c>
      <c r="H692" s="10"/>
      <c r="I692" s="8" t="n">
        <f aca="false">INDEX(Parâmetros!$C$13:$C$19,MATCH(E692,Parâmetros!$A$13:$A$19,0))</f>
        <v>55</v>
      </c>
      <c r="J692" s="26" t="str">
        <f aca="false">IF(H692="","",Parâmetros!$B$5-H692)</f>
        <v/>
      </c>
      <c r="K692" s="10" t="n">
        <f aca="false">INDEX(Parâmetros!$D$13:$D$19,MATCH(E692,Parâmetros!$A$13:$A$19,0))</f>
        <v>0</v>
      </c>
      <c r="L692" s="26" t="n">
        <f aca="false">IF(G692="Prospecting",Parâmetros!$B$9,IF(J692&gt;Parâmetros!$B$6,0,INDEX(Parâmetros!$C$24:$C$26,MATCH(J692,Parâmetros!$A$24:$A$26,1))))</f>
        <v>10</v>
      </c>
      <c r="M692" s="31" t="n">
        <f aca="false">IF(G692="Prospecting",1,INDEX(Parâmetros!$C$32:$C$35,MATCH(J692,Parâmetros!$A$32:$A$35,1)))</f>
        <v>1</v>
      </c>
      <c r="N692" s="2" t="n">
        <f aca="false">ROUND((K692+L692)*M692,0)</f>
        <v>10</v>
      </c>
      <c r="O692" s="10" t="str">
        <f aca="false">IF(AND(G692="Engaging",J692&gt;Parâmetros!$B$6),"Sim","Não")</f>
        <v>Não</v>
      </c>
      <c r="P692" s="32" t="str">
        <f aca="false">IF(O692="Sim","R",IF(N692&gt;=Parâmetros!$B$39,"A",IF(N692&gt;=Parâmetros!$B$40,"B",IF(N692&gt;=Parâmetros!$B$41,"C","D"))))</f>
        <v>D</v>
      </c>
      <c r="Q692" s="10" t="str">
        <f aca="false">IF(F692="","Completar cadastro","")</f>
        <v/>
      </c>
      <c r="R692" s="10" t="str">
        <f aca="false">INDEX(Parâmetros!$D$39:$D$43,MATCH(P692,Parâmetros!$A$39:$A$43,0))</f>
        <v>Automatizar ou vender em lote</v>
      </c>
    </row>
    <row r="693" customFormat="false" ht="15" hidden="false" customHeight="false" outlineLevel="0" collapsed="false">
      <c r="A693" s="10" t="s">
        <v>932</v>
      </c>
      <c r="B693" s="10" t="s">
        <v>71</v>
      </c>
      <c r="C693" s="10" t="s">
        <v>72</v>
      </c>
      <c r="D693" s="10" t="s">
        <v>196</v>
      </c>
      <c r="E693" s="10" t="s">
        <v>52</v>
      </c>
      <c r="F693" s="10" t="s">
        <v>303</v>
      </c>
      <c r="G693" s="10" t="s">
        <v>425</v>
      </c>
      <c r="H693" s="10"/>
      <c r="I693" s="8" t="n">
        <f aca="false">INDEX(Parâmetros!$C$13:$C$19,MATCH(E693,Parâmetros!$A$13:$A$19,0))</f>
        <v>55</v>
      </c>
      <c r="J693" s="26" t="str">
        <f aca="false">IF(H693="","",Parâmetros!$B$5-H693)</f>
        <v/>
      </c>
      <c r="K693" s="10" t="n">
        <f aca="false">INDEX(Parâmetros!$D$13:$D$19,MATCH(E693,Parâmetros!$A$13:$A$19,0))</f>
        <v>0</v>
      </c>
      <c r="L693" s="26" t="n">
        <f aca="false">IF(G693="Prospecting",Parâmetros!$B$9,IF(J693&gt;Parâmetros!$B$6,0,INDEX(Parâmetros!$C$24:$C$26,MATCH(J693,Parâmetros!$A$24:$A$26,1))))</f>
        <v>10</v>
      </c>
      <c r="M693" s="31" t="n">
        <f aca="false">IF(G693="Prospecting",1,INDEX(Parâmetros!$C$32:$C$35,MATCH(J693,Parâmetros!$A$32:$A$35,1)))</f>
        <v>1</v>
      </c>
      <c r="N693" s="2" t="n">
        <f aca="false">ROUND((K693+L693)*M693,0)</f>
        <v>10</v>
      </c>
      <c r="O693" s="10" t="str">
        <f aca="false">IF(AND(G693="Engaging",J693&gt;Parâmetros!$B$6),"Sim","Não")</f>
        <v>Não</v>
      </c>
      <c r="P693" s="32" t="str">
        <f aca="false">IF(O693="Sim","R",IF(N693&gt;=Parâmetros!$B$39,"A",IF(N693&gt;=Parâmetros!$B$40,"B",IF(N693&gt;=Parâmetros!$B$41,"C","D"))))</f>
        <v>D</v>
      </c>
      <c r="Q693" s="10" t="str">
        <f aca="false">IF(F693="","Completar cadastro","")</f>
        <v/>
      </c>
      <c r="R693" s="10" t="str">
        <f aca="false">INDEX(Parâmetros!$D$39:$D$43,MATCH(P693,Parâmetros!$A$39:$A$43,0))</f>
        <v>Automatizar ou vender em lote</v>
      </c>
    </row>
    <row r="694" customFormat="false" ht="15" hidden="false" customHeight="false" outlineLevel="0" collapsed="false">
      <c r="A694" s="10" t="s">
        <v>933</v>
      </c>
      <c r="B694" s="10" t="s">
        <v>71</v>
      </c>
      <c r="C694" s="10" t="s">
        <v>72</v>
      </c>
      <c r="D694" s="10" t="s">
        <v>196</v>
      </c>
      <c r="E694" s="10" t="s">
        <v>52</v>
      </c>
      <c r="F694" s="10"/>
      <c r="G694" s="10" t="s">
        <v>425</v>
      </c>
      <c r="H694" s="10"/>
      <c r="I694" s="8" t="n">
        <f aca="false">INDEX(Parâmetros!$C$13:$C$19,MATCH(E694,Parâmetros!$A$13:$A$19,0))</f>
        <v>55</v>
      </c>
      <c r="J694" s="26" t="str">
        <f aca="false">IF(H694="","",Parâmetros!$B$5-H694)</f>
        <v/>
      </c>
      <c r="K694" s="10" t="n">
        <f aca="false">INDEX(Parâmetros!$D$13:$D$19,MATCH(E694,Parâmetros!$A$13:$A$19,0))</f>
        <v>0</v>
      </c>
      <c r="L694" s="26" t="n">
        <f aca="false">IF(G694="Prospecting",Parâmetros!$B$9,IF(J694&gt;Parâmetros!$B$6,0,INDEX(Parâmetros!$C$24:$C$26,MATCH(J694,Parâmetros!$A$24:$A$26,1))))</f>
        <v>10</v>
      </c>
      <c r="M694" s="31" t="n">
        <f aca="false">IF(G694="Prospecting",1,INDEX(Parâmetros!$C$32:$C$35,MATCH(J694,Parâmetros!$A$32:$A$35,1)))</f>
        <v>1</v>
      </c>
      <c r="N694" s="2" t="n">
        <f aca="false">ROUND((K694+L694)*M694,0)</f>
        <v>10</v>
      </c>
      <c r="O694" s="10" t="str">
        <f aca="false">IF(AND(G694="Engaging",J694&gt;Parâmetros!$B$6),"Sim","Não")</f>
        <v>Não</v>
      </c>
      <c r="P694" s="32" t="str">
        <f aca="false">IF(O694="Sim","R",IF(N694&gt;=Parâmetros!$B$39,"A",IF(N694&gt;=Parâmetros!$B$40,"B",IF(N694&gt;=Parâmetros!$B$41,"C","D"))))</f>
        <v>D</v>
      </c>
      <c r="Q694" s="10" t="str">
        <f aca="false">IF(F694="","Completar cadastro","")</f>
        <v>Completar cadastro</v>
      </c>
      <c r="R694" s="10" t="str">
        <f aca="false">INDEX(Parâmetros!$D$39:$D$43,MATCH(P694,Parâmetros!$A$39:$A$43,0))</f>
        <v>Automatizar ou vender em lote</v>
      </c>
    </row>
    <row r="695" customFormat="false" ht="15" hidden="false" customHeight="false" outlineLevel="0" collapsed="false">
      <c r="A695" s="10" t="s">
        <v>934</v>
      </c>
      <c r="B695" s="10" t="s">
        <v>71</v>
      </c>
      <c r="C695" s="10" t="s">
        <v>72</v>
      </c>
      <c r="D695" s="10" t="s">
        <v>196</v>
      </c>
      <c r="E695" s="10" t="s">
        <v>52</v>
      </c>
      <c r="F695" s="10"/>
      <c r="G695" s="10" t="s">
        <v>425</v>
      </c>
      <c r="H695" s="10"/>
      <c r="I695" s="8" t="n">
        <f aca="false">INDEX(Parâmetros!$C$13:$C$19,MATCH(E695,Parâmetros!$A$13:$A$19,0))</f>
        <v>55</v>
      </c>
      <c r="J695" s="26" t="str">
        <f aca="false">IF(H695="","",Parâmetros!$B$5-H695)</f>
        <v/>
      </c>
      <c r="K695" s="10" t="n">
        <f aca="false">INDEX(Parâmetros!$D$13:$D$19,MATCH(E695,Parâmetros!$A$13:$A$19,0))</f>
        <v>0</v>
      </c>
      <c r="L695" s="26" t="n">
        <f aca="false">IF(G695="Prospecting",Parâmetros!$B$9,IF(J695&gt;Parâmetros!$B$6,0,INDEX(Parâmetros!$C$24:$C$26,MATCH(J695,Parâmetros!$A$24:$A$26,1))))</f>
        <v>10</v>
      </c>
      <c r="M695" s="31" t="n">
        <f aca="false">IF(G695="Prospecting",1,INDEX(Parâmetros!$C$32:$C$35,MATCH(J695,Parâmetros!$A$32:$A$35,1)))</f>
        <v>1</v>
      </c>
      <c r="N695" s="2" t="n">
        <f aca="false">ROUND((K695+L695)*M695,0)</f>
        <v>10</v>
      </c>
      <c r="O695" s="10" t="str">
        <f aca="false">IF(AND(G695="Engaging",J695&gt;Parâmetros!$B$6),"Sim","Não")</f>
        <v>Não</v>
      </c>
      <c r="P695" s="32" t="str">
        <f aca="false">IF(O695="Sim","R",IF(N695&gt;=Parâmetros!$B$39,"A",IF(N695&gt;=Parâmetros!$B$40,"B",IF(N695&gt;=Parâmetros!$B$41,"C","D"))))</f>
        <v>D</v>
      </c>
      <c r="Q695" s="10" t="str">
        <f aca="false">IF(F695="","Completar cadastro","")</f>
        <v>Completar cadastro</v>
      </c>
      <c r="R695" s="10" t="str">
        <f aca="false">INDEX(Parâmetros!$D$39:$D$43,MATCH(P695,Parâmetros!$A$39:$A$43,0))</f>
        <v>Automatizar ou vender em lote</v>
      </c>
    </row>
    <row r="696" customFormat="false" ht="15" hidden="false" customHeight="false" outlineLevel="0" collapsed="false">
      <c r="A696" s="10" t="s">
        <v>935</v>
      </c>
      <c r="B696" s="10" t="s">
        <v>71</v>
      </c>
      <c r="C696" s="10" t="s">
        <v>72</v>
      </c>
      <c r="D696" s="10" t="s">
        <v>196</v>
      </c>
      <c r="E696" s="10" t="s">
        <v>52</v>
      </c>
      <c r="F696" s="10"/>
      <c r="G696" s="10" t="s">
        <v>425</v>
      </c>
      <c r="H696" s="10"/>
      <c r="I696" s="8" t="n">
        <f aca="false">INDEX(Parâmetros!$C$13:$C$19,MATCH(E696,Parâmetros!$A$13:$A$19,0))</f>
        <v>55</v>
      </c>
      <c r="J696" s="26" t="str">
        <f aca="false">IF(H696="","",Parâmetros!$B$5-H696)</f>
        <v/>
      </c>
      <c r="K696" s="10" t="n">
        <f aca="false">INDEX(Parâmetros!$D$13:$D$19,MATCH(E696,Parâmetros!$A$13:$A$19,0))</f>
        <v>0</v>
      </c>
      <c r="L696" s="26" t="n">
        <f aca="false">IF(G696="Prospecting",Parâmetros!$B$9,IF(J696&gt;Parâmetros!$B$6,0,INDEX(Parâmetros!$C$24:$C$26,MATCH(J696,Parâmetros!$A$24:$A$26,1))))</f>
        <v>10</v>
      </c>
      <c r="M696" s="31" t="n">
        <f aca="false">IF(G696="Prospecting",1,INDEX(Parâmetros!$C$32:$C$35,MATCH(J696,Parâmetros!$A$32:$A$35,1)))</f>
        <v>1</v>
      </c>
      <c r="N696" s="2" t="n">
        <f aca="false">ROUND((K696+L696)*M696,0)</f>
        <v>10</v>
      </c>
      <c r="O696" s="10" t="str">
        <f aca="false">IF(AND(G696="Engaging",J696&gt;Parâmetros!$B$6),"Sim","Não")</f>
        <v>Não</v>
      </c>
      <c r="P696" s="32" t="str">
        <f aca="false">IF(O696="Sim","R",IF(N696&gt;=Parâmetros!$B$39,"A",IF(N696&gt;=Parâmetros!$B$40,"B",IF(N696&gt;=Parâmetros!$B$41,"C","D"))))</f>
        <v>D</v>
      </c>
      <c r="Q696" s="10" t="str">
        <f aca="false">IF(F696="","Completar cadastro","")</f>
        <v>Completar cadastro</v>
      </c>
      <c r="R696" s="10" t="str">
        <f aca="false">INDEX(Parâmetros!$D$39:$D$43,MATCH(P696,Parâmetros!$A$39:$A$43,0))</f>
        <v>Automatizar ou vender em lote</v>
      </c>
    </row>
    <row r="697" customFormat="false" ht="15" hidden="false" customHeight="false" outlineLevel="0" collapsed="false">
      <c r="A697" s="10" t="s">
        <v>936</v>
      </c>
      <c r="B697" s="10" t="s">
        <v>71</v>
      </c>
      <c r="C697" s="10" t="s">
        <v>72</v>
      </c>
      <c r="D697" s="10" t="s">
        <v>196</v>
      </c>
      <c r="E697" s="10" t="s">
        <v>52</v>
      </c>
      <c r="F697" s="10"/>
      <c r="G697" s="10" t="s">
        <v>425</v>
      </c>
      <c r="H697" s="10"/>
      <c r="I697" s="8" t="n">
        <f aca="false">INDEX(Parâmetros!$C$13:$C$19,MATCH(E697,Parâmetros!$A$13:$A$19,0))</f>
        <v>55</v>
      </c>
      <c r="J697" s="26" t="str">
        <f aca="false">IF(H697="","",Parâmetros!$B$5-H697)</f>
        <v/>
      </c>
      <c r="K697" s="10" t="n">
        <f aca="false">INDEX(Parâmetros!$D$13:$D$19,MATCH(E697,Parâmetros!$A$13:$A$19,0))</f>
        <v>0</v>
      </c>
      <c r="L697" s="26" t="n">
        <f aca="false">IF(G697="Prospecting",Parâmetros!$B$9,IF(J697&gt;Parâmetros!$B$6,0,INDEX(Parâmetros!$C$24:$C$26,MATCH(J697,Parâmetros!$A$24:$A$26,1))))</f>
        <v>10</v>
      </c>
      <c r="M697" s="31" t="n">
        <f aca="false">IF(G697="Prospecting",1,INDEX(Parâmetros!$C$32:$C$35,MATCH(J697,Parâmetros!$A$32:$A$35,1)))</f>
        <v>1</v>
      </c>
      <c r="N697" s="2" t="n">
        <f aca="false">ROUND((K697+L697)*M697,0)</f>
        <v>10</v>
      </c>
      <c r="O697" s="10" t="str">
        <f aca="false">IF(AND(G697="Engaging",J697&gt;Parâmetros!$B$6),"Sim","Não")</f>
        <v>Não</v>
      </c>
      <c r="P697" s="32" t="str">
        <f aca="false">IF(O697="Sim","R",IF(N697&gt;=Parâmetros!$B$39,"A",IF(N697&gt;=Parâmetros!$B$40,"B",IF(N697&gt;=Parâmetros!$B$41,"C","D"))))</f>
        <v>D</v>
      </c>
      <c r="Q697" s="10" t="str">
        <f aca="false">IF(F697="","Completar cadastro","")</f>
        <v>Completar cadastro</v>
      </c>
      <c r="R697" s="10" t="str">
        <f aca="false">INDEX(Parâmetros!$D$39:$D$43,MATCH(P697,Parâmetros!$A$39:$A$43,0))</f>
        <v>Automatizar ou vender em lote</v>
      </c>
    </row>
    <row r="698" customFormat="false" ht="15" hidden="false" customHeight="false" outlineLevel="0" collapsed="false">
      <c r="A698" s="10" t="s">
        <v>937</v>
      </c>
      <c r="B698" s="10" t="s">
        <v>71</v>
      </c>
      <c r="C698" s="10" t="s">
        <v>72</v>
      </c>
      <c r="D698" s="10" t="s">
        <v>196</v>
      </c>
      <c r="E698" s="10" t="s">
        <v>52</v>
      </c>
      <c r="F698" s="10"/>
      <c r="G698" s="10" t="s">
        <v>425</v>
      </c>
      <c r="H698" s="10"/>
      <c r="I698" s="8" t="n">
        <f aca="false">INDEX(Parâmetros!$C$13:$C$19,MATCH(E698,Parâmetros!$A$13:$A$19,0))</f>
        <v>55</v>
      </c>
      <c r="J698" s="26" t="str">
        <f aca="false">IF(H698="","",Parâmetros!$B$5-H698)</f>
        <v/>
      </c>
      <c r="K698" s="10" t="n">
        <f aca="false">INDEX(Parâmetros!$D$13:$D$19,MATCH(E698,Parâmetros!$A$13:$A$19,0))</f>
        <v>0</v>
      </c>
      <c r="L698" s="26" t="n">
        <f aca="false">IF(G698="Prospecting",Parâmetros!$B$9,IF(J698&gt;Parâmetros!$B$6,0,INDEX(Parâmetros!$C$24:$C$26,MATCH(J698,Parâmetros!$A$24:$A$26,1))))</f>
        <v>10</v>
      </c>
      <c r="M698" s="31" t="n">
        <f aca="false">IF(G698="Prospecting",1,INDEX(Parâmetros!$C$32:$C$35,MATCH(J698,Parâmetros!$A$32:$A$35,1)))</f>
        <v>1</v>
      </c>
      <c r="N698" s="2" t="n">
        <f aca="false">ROUND((K698+L698)*M698,0)</f>
        <v>10</v>
      </c>
      <c r="O698" s="10" t="str">
        <f aca="false">IF(AND(G698="Engaging",J698&gt;Parâmetros!$B$6),"Sim","Não")</f>
        <v>Não</v>
      </c>
      <c r="P698" s="32" t="str">
        <f aca="false">IF(O698="Sim","R",IF(N698&gt;=Parâmetros!$B$39,"A",IF(N698&gt;=Parâmetros!$B$40,"B",IF(N698&gt;=Parâmetros!$B$41,"C","D"))))</f>
        <v>D</v>
      </c>
      <c r="Q698" s="10" t="str">
        <f aca="false">IF(F698="","Completar cadastro","")</f>
        <v>Completar cadastro</v>
      </c>
      <c r="R698" s="10" t="str">
        <f aca="false">INDEX(Parâmetros!$D$39:$D$43,MATCH(P698,Parâmetros!$A$39:$A$43,0))</f>
        <v>Automatizar ou vender em lote</v>
      </c>
    </row>
    <row r="699" customFormat="false" ht="15" hidden="false" customHeight="false" outlineLevel="0" collapsed="false">
      <c r="A699" s="10" t="s">
        <v>938</v>
      </c>
      <c r="B699" s="10" t="s">
        <v>71</v>
      </c>
      <c r="C699" s="10" t="s">
        <v>72</v>
      </c>
      <c r="D699" s="10" t="s">
        <v>196</v>
      </c>
      <c r="E699" s="10" t="s">
        <v>52</v>
      </c>
      <c r="F699" s="10"/>
      <c r="G699" s="10" t="s">
        <v>425</v>
      </c>
      <c r="H699" s="10"/>
      <c r="I699" s="8" t="n">
        <f aca="false">INDEX(Parâmetros!$C$13:$C$19,MATCH(E699,Parâmetros!$A$13:$A$19,0))</f>
        <v>55</v>
      </c>
      <c r="J699" s="26" t="str">
        <f aca="false">IF(H699="","",Parâmetros!$B$5-H699)</f>
        <v/>
      </c>
      <c r="K699" s="10" t="n">
        <f aca="false">INDEX(Parâmetros!$D$13:$D$19,MATCH(E699,Parâmetros!$A$13:$A$19,0))</f>
        <v>0</v>
      </c>
      <c r="L699" s="26" t="n">
        <f aca="false">IF(G699="Prospecting",Parâmetros!$B$9,IF(J699&gt;Parâmetros!$B$6,0,INDEX(Parâmetros!$C$24:$C$26,MATCH(J699,Parâmetros!$A$24:$A$26,1))))</f>
        <v>10</v>
      </c>
      <c r="M699" s="31" t="n">
        <f aca="false">IF(G699="Prospecting",1,INDEX(Parâmetros!$C$32:$C$35,MATCH(J699,Parâmetros!$A$32:$A$35,1)))</f>
        <v>1</v>
      </c>
      <c r="N699" s="2" t="n">
        <f aca="false">ROUND((K699+L699)*M699,0)</f>
        <v>10</v>
      </c>
      <c r="O699" s="10" t="str">
        <f aca="false">IF(AND(G699="Engaging",J699&gt;Parâmetros!$B$6),"Sim","Não")</f>
        <v>Não</v>
      </c>
      <c r="P699" s="32" t="str">
        <f aca="false">IF(O699="Sim","R",IF(N699&gt;=Parâmetros!$B$39,"A",IF(N699&gt;=Parâmetros!$B$40,"B",IF(N699&gt;=Parâmetros!$B$41,"C","D"))))</f>
        <v>D</v>
      </c>
      <c r="Q699" s="10" t="str">
        <f aca="false">IF(F699="","Completar cadastro","")</f>
        <v>Completar cadastro</v>
      </c>
      <c r="R699" s="10" t="str">
        <f aca="false">INDEX(Parâmetros!$D$39:$D$43,MATCH(P699,Parâmetros!$A$39:$A$43,0))</f>
        <v>Automatizar ou vender em lote</v>
      </c>
    </row>
    <row r="700" customFormat="false" ht="15" hidden="false" customHeight="false" outlineLevel="0" collapsed="false">
      <c r="A700" s="10" t="s">
        <v>939</v>
      </c>
      <c r="B700" s="10" t="s">
        <v>71</v>
      </c>
      <c r="C700" s="10" t="s">
        <v>72</v>
      </c>
      <c r="D700" s="10" t="s">
        <v>196</v>
      </c>
      <c r="E700" s="10" t="s">
        <v>52</v>
      </c>
      <c r="F700" s="10"/>
      <c r="G700" s="10" t="s">
        <v>425</v>
      </c>
      <c r="H700" s="10"/>
      <c r="I700" s="8" t="n">
        <f aca="false">INDEX(Parâmetros!$C$13:$C$19,MATCH(E700,Parâmetros!$A$13:$A$19,0))</f>
        <v>55</v>
      </c>
      <c r="J700" s="26" t="str">
        <f aca="false">IF(H700="","",Parâmetros!$B$5-H700)</f>
        <v/>
      </c>
      <c r="K700" s="10" t="n">
        <f aca="false">INDEX(Parâmetros!$D$13:$D$19,MATCH(E700,Parâmetros!$A$13:$A$19,0))</f>
        <v>0</v>
      </c>
      <c r="L700" s="26" t="n">
        <f aca="false">IF(G700="Prospecting",Parâmetros!$B$9,IF(J700&gt;Parâmetros!$B$6,0,INDEX(Parâmetros!$C$24:$C$26,MATCH(J700,Parâmetros!$A$24:$A$26,1))))</f>
        <v>10</v>
      </c>
      <c r="M700" s="31" t="n">
        <f aca="false">IF(G700="Prospecting",1,INDEX(Parâmetros!$C$32:$C$35,MATCH(J700,Parâmetros!$A$32:$A$35,1)))</f>
        <v>1</v>
      </c>
      <c r="N700" s="2" t="n">
        <f aca="false">ROUND((K700+L700)*M700,0)</f>
        <v>10</v>
      </c>
      <c r="O700" s="10" t="str">
        <f aca="false">IF(AND(G700="Engaging",J700&gt;Parâmetros!$B$6),"Sim","Não")</f>
        <v>Não</v>
      </c>
      <c r="P700" s="32" t="str">
        <f aca="false">IF(O700="Sim","R",IF(N700&gt;=Parâmetros!$B$39,"A",IF(N700&gt;=Parâmetros!$B$40,"B",IF(N700&gt;=Parâmetros!$B$41,"C","D"))))</f>
        <v>D</v>
      </c>
      <c r="Q700" s="10" t="str">
        <f aca="false">IF(F700="","Completar cadastro","")</f>
        <v>Completar cadastro</v>
      </c>
      <c r="R700" s="10" t="str">
        <f aca="false">INDEX(Parâmetros!$D$39:$D$43,MATCH(P700,Parâmetros!$A$39:$A$43,0))</f>
        <v>Automatizar ou vender em lote</v>
      </c>
    </row>
    <row r="701" customFormat="false" ht="15" hidden="false" customHeight="false" outlineLevel="0" collapsed="false">
      <c r="A701" s="10" t="s">
        <v>940</v>
      </c>
      <c r="B701" s="10" t="s">
        <v>71</v>
      </c>
      <c r="C701" s="10" t="s">
        <v>72</v>
      </c>
      <c r="D701" s="10" t="s">
        <v>196</v>
      </c>
      <c r="E701" s="10" t="s">
        <v>52</v>
      </c>
      <c r="F701" s="10"/>
      <c r="G701" s="10" t="s">
        <v>425</v>
      </c>
      <c r="H701" s="10"/>
      <c r="I701" s="8" t="n">
        <f aca="false">INDEX(Parâmetros!$C$13:$C$19,MATCH(E701,Parâmetros!$A$13:$A$19,0))</f>
        <v>55</v>
      </c>
      <c r="J701" s="26" t="str">
        <f aca="false">IF(H701="","",Parâmetros!$B$5-H701)</f>
        <v/>
      </c>
      <c r="K701" s="10" t="n">
        <f aca="false">INDEX(Parâmetros!$D$13:$D$19,MATCH(E701,Parâmetros!$A$13:$A$19,0))</f>
        <v>0</v>
      </c>
      <c r="L701" s="26" t="n">
        <f aca="false">IF(G701="Prospecting",Parâmetros!$B$9,IF(J701&gt;Parâmetros!$B$6,0,INDEX(Parâmetros!$C$24:$C$26,MATCH(J701,Parâmetros!$A$24:$A$26,1))))</f>
        <v>10</v>
      </c>
      <c r="M701" s="31" t="n">
        <f aca="false">IF(G701="Prospecting",1,INDEX(Parâmetros!$C$32:$C$35,MATCH(J701,Parâmetros!$A$32:$A$35,1)))</f>
        <v>1</v>
      </c>
      <c r="N701" s="2" t="n">
        <f aca="false">ROUND((K701+L701)*M701,0)</f>
        <v>10</v>
      </c>
      <c r="O701" s="10" t="str">
        <f aca="false">IF(AND(G701="Engaging",J701&gt;Parâmetros!$B$6),"Sim","Não")</f>
        <v>Não</v>
      </c>
      <c r="P701" s="32" t="str">
        <f aca="false">IF(O701="Sim","R",IF(N701&gt;=Parâmetros!$B$39,"A",IF(N701&gt;=Parâmetros!$B$40,"B",IF(N701&gt;=Parâmetros!$B$41,"C","D"))))</f>
        <v>D</v>
      </c>
      <c r="Q701" s="10" t="str">
        <f aca="false">IF(F701="","Completar cadastro","")</f>
        <v>Completar cadastro</v>
      </c>
      <c r="R701" s="10" t="str">
        <f aca="false">INDEX(Parâmetros!$D$39:$D$43,MATCH(P701,Parâmetros!$A$39:$A$43,0))</f>
        <v>Automatizar ou vender em lote</v>
      </c>
    </row>
    <row r="702" customFormat="false" ht="15" hidden="false" customHeight="false" outlineLevel="0" collapsed="false">
      <c r="A702" s="10" t="s">
        <v>941</v>
      </c>
      <c r="B702" s="10" t="s">
        <v>71</v>
      </c>
      <c r="C702" s="10" t="s">
        <v>72</v>
      </c>
      <c r="D702" s="10" t="s">
        <v>196</v>
      </c>
      <c r="E702" s="10" t="s">
        <v>52</v>
      </c>
      <c r="F702" s="10"/>
      <c r="G702" s="10" t="s">
        <v>425</v>
      </c>
      <c r="H702" s="10"/>
      <c r="I702" s="8" t="n">
        <f aca="false">INDEX(Parâmetros!$C$13:$C$19,MATCH(E702,Parâmetros!$A$13:$A$19,0))</f>
        <v>55</v>
      </c>
      <c r="J702" s="26" t="str">
        <f aca="false">IF(H702="","",Parâmetros!$B$5-H702)</f>
        <v/>
      </c>
      <c r="K702" s="10" t="n">
        <f aca="false">INDEX(Parâmetros!$D$13:$D$19,MATCH(E702,Parâmetros!$A$13:$A$19,0))</f>
        <v>0</v>
      </c>
      <c r="L702" s="26" t="n">
        <f aca="false">IF(G702="Prospecting",Parâmetros!$B$9,IF(J702&gt;Parâmetros!$B$6,0,INDEX(Parâmetros!$C$24:$C$26,MATCH(J702,Parâmetros!$A$24:$A$26,1))))</f>
        <v>10</v>
      </c>
      <c r="M702" s="31" t="n">
        <f aca="false">IF(G702="Prospecting",1,INDEX(Parâmetros!$C$32:$C$35,MATCH(J702,Parâmetros!$A$32:$A$35,1)))</f>
        <v>1</v>
      </c>
      <c r="N702" s="2" t="n">
        <f aca="false">ROUND((K702+L702)*M702,0)</f>
        <v>10</v>
      </c>
      <c r="O702" s="10" t="str">
        <f aca="false">IF(AND(G702="Engaging",J702&gt;Parâmetros!$B$6),"Sim","Não")</f>
        <v>Não</v>
      </c>
      <c r="P702" s="32" t="str">
        <f aca="false">IF(O702="Sim","R",IF(N702&gt;=Parâmetros!$B$39,"A",IF(N702&gt;=Parâmetros!$B$40,"B",IF(N702&gt;=Parâmetros!$B$41,"C","D"))))</f>
        <v>D</v>
      </c>
      <c r="Q702" s="10" t="str">
        <f aca="false">IF(F702="","Completar cadastro","")</f>
        <v>Completar cadastro</v>
      </c>
      <c r="R702" s="10" t="str">
        <f aca="false">INDEX(Parâmetros!$D$39:$D$43,MATCH(P702,Parâmetros!$A$39:$A$43,0))</f>
        <v>Automatizar ou vender em lote</v>
      </c>
    </row>
    <row r="703" customFormat="false" ht="15" hidden="false" customHeight="false" outlineLevel="0" collapsed="false">
      <c r="A703" s="10" t="s">
        <v>942</v>
      </c>
      <c r="B703" s="10" t="s">
        <v>71</v>
      </c>
      <c r="C703" s="10" t="s">
        <v>72</v>
      </c>
      <c r="D703" s="10" t="s">
        <v>196</v>
      </c>
      <c r="E703" s="10" t="s">
        <v>52</v>
      </c>
      <c r="F703" s="10"/>
      <c r="G703" s="10" t="s">
        <v>425</v>
      </c>
      <c r="H703" s="10"/>
      <c r="I703" s="8" t="n">
        <f aca="false">INDEX(Parâmetros!$C$13:$C$19,MATCH(E703,Parâmetros!$A$13:$A$19,0))</f>
        <v>55</v>
      </c>
      <c r="J703" s="26" t="str">
        <f aca="false">IF(H703="","",Parâmetros!$B$5-H703)</f>
        <v/>
      </c>
      <c r="K703" s="10" t="n">
        <f aca="false">INDEX(Parâmetros!$D$13:$D$19,MATCH(E703,Parâmetros!$A$13:$A$19,0))</f>
        <v>0</v>
      </c>
      <c r="L703" s="26" t="n">
        <f aca="false">IF(G703="Prospecting",Parâmetros!$B$9,IF(J703&gt;Parâmetros!$B$6,0,INDEX(Parâmetros!$C$24:$C$26,MATCH(J703,Parâmetros!$A$24:$A$26,1))))</f>
        <v>10</v>
      </c>
      <c r="M703" s="31" t="n">
        <f aca="false">IF(G703="Prospecting",1,INDEX(Parâmetros!$C$32:$C$35,MATCH(J703,Parâmetros!$A$32:$A$35,1)))</f>
        <v>1</v>
      </c>
      <c r="N703" s="2" t="n">
        <f aca="false">ROUND((K703+L703)*M703,0)</f>
        <v>10</v>
      </c>
      <c r="O703" s="10" t="str">
        <f aca="false">IF(AND(G703="Engaging",J703&gt;Parâmetros!$B$6),"Sim","Não")</f>
        <v>Não</v>
      </c>
      <c r="P703" s="32" t="str">
        <f aca="false">IF(O703="Sim","R",IF(N703&gt;=Parâmetros!$B$39,"A",IF(N703&gt;=Parâmetros!$B$40,"B",IF(N703&gt;=Parâmetros!$B$41,"C","D"))))</f>
        <v>D</v>
      </c>
      <c r="Q703" s="10" t="str">
        <f aca="false">IF(F703="","Completar cadastro","")</f>
        <v>Completar cadastro</v>
      </c>
      <c r="R703" s="10" t="str">
        <f aca="false">INDEX(Parâmetros!$D$39:$D$43,MATCH(P703,Parâmetros!$A$39:$A$43,0))</f>
        <v>Automatizar ou vender em lote</v>
      </c>
    </row>
    <row r="704" customFormat="false" ht="15" hidden="false" customHeight="false" outlineLevel="0" collapsed="false">
      <c r="A704" s="10" t="s">
        <v>943</v>
      </c>
      <c r="B704" s="10" t="s">
        <v>71</v>
      </c>
      <c r="C704" s="10" t="s">
        <v>72</v>
      </c>
      <c r="D704" s="10" t="s">
        <v>196</v>
      </c>
      <c r="E704" s="10" t="s">
        <v>52</v>
      </c>
      <c r="F704" s="10"/>
      <c r="G704" s="10" t="s">
        <v>425</v>
      </c>
      <c r="H704" s="10"/>
      <c r="I704" s="8" t="n">
        <f aca="false">INDEX(Parâmetros!$C$13:$C$19,MATCH(E704,Parâmetros!$A$13:$A$19,0))</f>
        <v>55</v>
      </c>
      <c r="J704" s="26" t="str">
        <f aca="false">IF(H704="","",Parâmetros!$B$5-H704)</f>
        <v/>
      </c>
      <c r="K704" s="10" t="n">
        <f aca="false">INDEX(Parâmetros!$D$13:$D$19,MATCH(E704,Parâmetros!$A$13:$A$19,0))</f>
        <v>0</v>
      </c>
      <c r="L704" s="26" t="n">
        <f aca="false">IF(G704="Prospecting",Parâmetros!$B$9,IF(J704&gt;Parâmetros!$B$6,0,INDEX(Parâmetros!$C$24:$C$26,MATCH(J704,Parâmetros!$A$24:$A$26,1))))</f>
        <v>10</v>
      </c>
      <c r="M704" s="31" t="n">
        <f aca="false">IF(G704="Prospecting",1,INDEX(Parâmetros!$C$32:$C$35,MATCH(J704,Parâmetros!$A$32:$A$35,1)))</f>
        <v>1</v>
      </c>
      <c r="N704" s="2" t="n">
        <f aca="false">ROUND((K704+L704)*M704,0)</f>
        <v>10</v>
      </c>
      <c r="O704" s="10" t="str">
        <f aca="false">IF(AND(G704="Engaging",J704&gt;Parâmetros!$B$6),"Sim","Não")</f>
        <v>Não</v>
      </c>
      <c r="P704" s="32" t="str">
        <f aca="false">IF(O704="Sim","R",IF(N704&gt;=Parâmetros!$B$39,"A",IF(N704&gt;=Parâmetros!$B$40,"B",IF(N704&gt;=Parâmetros!$B$41,"C","D"))))</f>
        <v>D</v>
      </c>
      <c r="Q704" s="10" t="str">
        <f aca="false">IF(F704="","Completar cadastro","")</f>
        <v>Completar cadastro</v>
      </c>
      <c r="R704" s="10" t="str">
        <f aca="false">INDEX(Parâmetros!$D$39:$D$43,MATCH(P704,Parâmetros!$A$39:$A$43,0))</f>
        <v>Automatizar ou vender em lote</v>
      </c>
    </row>
    <row r="705" customFormat="false" ht="15" hidden="false" customHeight="false" outlineLevel="0" collapsed="false">
      <c r="A705" s="10" t="s">
        <v>944</v>
      </c>
      <c r="B705" s="10" t="s">
        <v>71</v>
      </c>
      <c r="C705" s="10" t="s">
        <v>72</v>
      </c>
      <c r="D705" s="10" t="s">
        <v>196</v>
      </c>
      <c r="E705" s="10" t="s">
        <v>52</v>
      </c>
      <c r="F705" s="10"/>
      <c r="G705" s="10" t="s">
        <v>425</v>
      </c>
      <c r="H705" s="10"/>
      <c r="I705" s="8" t="n">
        <f aca="false">INDEX(Parâmetros!$C$13:$C$19,MATCH(E705,Parâmetros!$A$13:$A$19,0))</f>
        <v>55</v>
      </c>
      <c r="J705" s="26" t="str">
        <f aca="false">IF(H705="","",Parâmetros!$B$5-H705)</f>
        <v/>
      </c>
      <c r="K705" s="10" t="n">
        <f aca="false">INDEX(Parâmetros!$D$13:$D$19,MATCH(E705,Parâmetros!$A$13:$A$19,0))</f>
        <v>0</v>
      </c>
      <c r="L705" s="26" t="n">
        <f aca="false">IF(G705="Prospecting",Parâmetros!$B$9,IF(J705&gt;Parâmetros!$B$6,0,INDEX(Parâmetros!$C$24:$C$26,MATCH(J705,Parâmetros!$A$24:$A$26,1))))</f>
        <v>10</v>
      </c>
      <c r="M705" s="31" t="n">
        <f aca="false">IF(G705="Prospecting",1,INDEX(Parâmetros!$C$32:$C$35,MATCH(J705,Parâmetros!$A$32:$A$35,1)))</f>
        <v>1</v>
      </c>
      <c r="N705" s="2" t="n">
        <f aca="false">ROUND((K705+L705)*M705,0)</f>
        <v>10</v>
      </c>
      <c r="O705" s="10" t="str">
        <f aca="false">IF(AND(G705="Engaging",J705&gt;Parâmetros!$B$6),"Sim","Não")</f>
        <v>Não</v>
      </c>
      <c r="P705" s="32" t="str">
        <f aca="false">IF(O705="Sim","R",IF(N705&gt;=Parâmetros!$B$39,"A",IF(N705&gt;=Parâmetros!$B$40,"B",IF(N705&gt;=Parâmetros!$B$41,"C","D"))))</f>
        <v>D</v>
      </c>
      <c r="Q705" s="10" t="str">
        <f aca="false">IF(F705="","Completar cadastro","")</f>
        <v>Completar cadastro</v>
      </c>
      <c r="R705" s="10" t="str">
        <f aca="false">INDEX(Parâmetros!$D$39:$D$43,MATCH(P705,Parâmetros!$A$39:$A$43,0))</f>
        <v>Automatizar ou vender em lote</v>
      </c>
    </row>
    <row r="706" customFormat="false" ht="15" hidden="false" customHeight="false" outlineLevel="0" collapsed="false">
      <c r="A706" s="10" t="s">
        <v>945</v>
      </c>
      <c r="B706" s="10" t="s">
        <v>71</v>
      </c>
      <c r="C706" s="10" t="s">
        <v>72</v>
      </c>
      <c r="D706" s="10" t="s">
        <v>196</v>
      </c>
      <c r="E706" s="10" t="s">
        <v>52</v>
      </c>
      <c r="F706" s="10"/>
      <c r="G706" s="10" t="s">
        <v>425</v>
      </c>
      <c r="H706" s="10"/>
      <c r="I706" s="8" t="n">
        <f aca="false">INDEX(Parâmetros!$C$13:$C$19,MATCH(E706,Parâmetros!$A$13:$A$19,0))</f>
        <v>55</v>
      </c>
      <c r="J706" s="26" t="str">
        <f aca="false">IF(H706="","",Parâmetros!$B$5-H706)</f>
        <v/>
      </c>
      <c r="K706" s="10" t="n">
        <f aca="false">INDEX(Parâmetros!$D$13:$D$19,MATCH(E706,Parâmetros!$A$13:$A$19,0))</f>
        <v>0</v>
      </c>
      <c r="L706" s="26" t="n">
        <f aca="false">IF(G706="Prospecting",Parâmetros!$B$9,IF(J706&gt;Parâmetros!$B$6,0,INDEX(Parâmetros!$C$24:$C$26,MATCH(J706,Parâmetros!$A$24:$A$26,1))))</f>
        <v>10</v>
      </c>
      <c r="M706" s="31" t="n">
        <f aca="false">IF(G706="Prospecting",1,INDEX(Parâmetros!$C$32:$C$35,MATCH(J706,Parâmetros!$A$32:$A$35,1)))</f>
        <v>1</v>
      </c>
      <c r="N706" s="2" t="n">
        <f aca="false">ROUND((K706+L706)*M706,0)</f>
        <v>10</v>
      </c>
      <c r="O706" s="10" t="str">
        <f aca="false">IF(AND(G706="Engaging",J706&gt;Parâmetros!$B$6),"Sim","Não")</f>
        <v>Não</v>
      </c>
      <c r="P706" s="32" t="str">
        <f aca="false">IF(O706="Sim","R",IF(N706&gt;=Parâmetros!$B$39,"A",IF(N706&gt;=Parâmetros!$B$40,"B",IF(N706&gt;=Parâmetros!$B$41,"C","D"))))</f>
        <v>D</v>
      </c>
      <c r="Q706" s="10" t="str">
        <f aca="false">IF(F706="","Completar cadastro","")</f>
        <v>Completar cadastro</v>
      </c>
      <c r="R706" s="10" t="str">
        <f aca="false">INDEX(Parâmetros!$D$39:$D$43,MATCH(P706,Parâmetros!$A$39:$A$43,0))</f>
        <v>Automatizar ou vender em lote</v>
      </c>
    </row>
    <row r="707" customFormat="false" ht="15" hidden="false" customHeight="false" outlineLevel="0" collapsed="false">
      <c r="A707" s="10" t="s">
        <v>946</v>
      </c>
      <c r="B707" s="10" t="s">
        <v>73</v>
      </c>
      <c r="C707" s="10" t="s">
        <v>72</v>
      </c>
      <c r="D707" s="10" t="s">
        <v>196</v>
      </c>
      <c r="E707" s="10" t="s">
        <v>52</v>
      </c>
      <c r="F707" s="10" t="s">
        <v>947</v>
      </c>
      <c r="G707" s="10" t="s">
        <v>425</v>
      </c>
      <c r="H707" s="10"/>
      <c r="I707" s="8" t="n">
        <f aca="false">INDEX(Parâmetros!$C$13:$C$19,MATCH(E707,Parâmetros!$A$13:$A$19,0))</f>
        <v>55</v>
      </c>
      <c r="J707" s="26" t="str">
        <f aca="false">IF(H707="","",Parâmetros!$B$5-H707)</f>
        <v/>
      </c>
      <c r="K707" s="10" t="n">
        <f aca="false">INDEX(Parâmetros!$D$13:$D$19,MATCH(E707,Parâmetros!$A$13:$A$19,0))</f>
        <v>0</v>
      </c>
      <c r="L707" s="26" t="n">
        <f aca="false">IF(G707="Prospecting",Parâmetros!$B$9,IF(J707&gt;Parâmetros!$B$6,0,INDEX(Parâmetros!$C$24:$C$26,MATCH(J707,Parâmetros!$A$24:$A$26,1))))</f>
        <v>10</v>
      </c>
      <c r="M707" s="31" t="n">
        <f aca="false">IF(G707="Prospecting",1,INDEX(Parâmetros!$C$32:$C$35,MATCH(J707,Parâmetros!$A$32:$A$35,1)))</f>
        <v>1</v>
      </c>
      <c r="N707" s="2" t="n">
        <f aca="false">ROUND((K707+L707)*M707,0)</f>
        <v>10</v>
      </c>
      <c r="O707" s="10" t="str">
        <f aca="false">IF(AND(G707="Engaging",J707&gt;Parâmetros!$B$6),"Sim","Não")</f>
        <v>Não</v>
      </c>
      <c r="P707" s="32" t="str">
        <f aca="false">IF(O707="Sim","R",IF(N707&gt;=Parâmetros!$B$39,"A",IF(N707&gt;=Parâmetros!$B$40,"B",IF(N707&gt;=Parâmetros!$B$41,"C","D"))))</f>
        <v>D</v>
      </c>
      <c r="Q707" s="10" t="str">
        <f aca="false">IF(F707="","Completar cadastro","")</f>
        <v/>
      </c>
      <c r="R707" s="10" t="str">
        <f aca="false">INDEX(Parâmetros!$D$39:$D$43,MATCH(P707,Parâmetros!$A$39:$A$43,0))</f>
        <v>Automatizar ou vender em lote</v>
      </c>
    </row>
    <row r="708" customFormat="false" ht="15" hidden="false" customHeight="false" outlineLevel="0" collapsed="false">
      <c r="A708" s="10" t="s">
        <v>948</v>
      </c>
      <c r="B708" s="10" t="s">
        <v>73</v>
      </c>
      <c r="C708" s="10" t="s">
        <v>72</v>
      </c>
      <c r="D708" s="10" t="s">
        <v>196</v>
      </c>
      <c r="E708" s="10" t="s">
        <v>52</v>
      </c>
      <c r="F708" s="10" t="s">
        <v>353</v>
      </c>
      <c r="G708" s="10" t="s">
        <v>425</v>
      </c>
      <c r="H708" s="10"/>
      <c r="I708" s="8" t="n">
        <f aca="false">INDEX(Parâmetros!$C$13:$C$19,MATCH(E708,Parâmetros!$A$13:$A$19,0))</f>
        <v>55</v>
      </c>
      <c r="J708" s="26" t="str">
        <f aca="false">IF(H708="","",Parâmetros!$B$5-H708)</f>
        <v/>
      </c>
      <c r="K708" s="10" t="n">
        <f aca="false">INDEX(Parâmetros!$D$13:$D$19,MATCH(E708,Parâmetros!$A$13:$A$19,0))</f>
        <v>0</v>
      </c>
      <c r="L708" s="26" t="n">
        <f aca="false">IF(G708="Prospecting",Parâmetros!$B$9,IF(J708&gt;Parâmetros!$B$6,0,INDEX(Parâmetros!$C$24:$C$26,MATCH(J708,Parâmetros!$A$24:$A$26,1))))</f>
        <v>10</v>
      </c>
      <c r="M708" s="31" t="n">
        <f aca="false">IF(G708="Prospecting",1,INDEX(Parâmetros!$C$32:$C$35,MATCH(J708,Parâmetros!$A$32:$A$35,1)))</f>
        <v>1</v>
      </c>
      <c r="N708" s="2" t="n">
        <f aca="false">ROUND((K708+L708)*M708,0)</f>
        <v>10</v>
      </c>
      <c r="O708" s="10" t="str">
        <f aca="false">IF(AND(G708="Engaging",J708&gt;Parâmetros!$B$6),"Sim","Não")</f>
        <v>Não</v>
      </c>
      <c r="P708" s="32" t="str">
        <f aca="false">IF(O708="Sim","R",IF(N708&gt;=Parâmetros!$B$39,"A",IF(N708&gt;=Parâmetros!$B$40,"B",IF(N708&gt;=Parâmetros!$B$41,"C","D"))))</f>
        <v>D</v>
      </c>
      <c r="Q708" s="10" t="str">
        <f aca="false">IF(F708="","Completar cadastro","")</f>
        <v/>
      </c>
      <c r="R708" s="10" t="str">
        <f aca="false">INDEX(Parâmetros!$D$39:$D$43,MATCH(P708,Parâmetros!$A$39:$A$43,0))</f>
        <v>Automatizar ou vender em lote</v>
      </c>
    </row>
    <row r="709" customFormat="false" ht="15" hidden="false" customHeight="false" outlineLevel="0" collapsed="false">
      <c r="A709" s="10" t="s">
        <v>949</v>
      </c>
      <c r="B709" s="10" t="s">
        <v>73</v>
      </c>
      <c r="C709" s="10" t="s">
        <v>72</v>
      </c>
      <c r="D709" s="10" t="s">
        <v>196</v>
      </c>
      <c r="E709" s="10" t="s">
        <v>52</v>
      </c>
      <c r="F709" s="10" t="s">
        <v>172</v>
      </c>
      <c r="G709" s="10" t="s">
        <v>425</v>
      </c>
      <c r="H709" s="10"/>
      <c r="I709" s="8" t="n">
        <f aca="false">INDEX(Parâmetros!$C$13:$C$19,MATCH(E709,Parâmetros!$A$13:$A$19,0))</f>
        <v>55</v>
      </c>
      <c r="J709" s="26" t="str">
        <f aca="false">IF(H709="","",Parâmetros!$B$5-H709)</f>
        <v/>
      </c>
      <c r="K709" s="10" t="n">
        <f aca="false">INDEX(Parâmetros!$D$13:$D$19,MATCH(E709,Parâmetros!$A$13:$A$19,0))</f>
        <v>0</v>
      </c>
      <c r="L709" s="26" t="n">
        <f aca="false">IF(G709="Prospecting",Parâmetros!$B$9,IF(J709&gt;Parâmetros!$B$6,0,INDEX(Parâmetros!$C$24:$C$26,MATCH(J709,Parâmetros!$A$24:$A$26,1))))</f>
        <v>10</v>
      </c>
      <c r="M709" s="31" t="n">
        <f aca="false">IF(G709="Prospecting",1,INDEX(Parâmetros!$C$32:$C$35,MATCH(J709,Parâmetros!$A$32:$A$35,1)))</f>
        <v>1</v>
      </c>
      <c r="N709" s="2" t="n">
        <f aca="false">ROUND((K709+L709)*M709,0)</f>
        <v>10</v>
      </c>
      <c r="O709" s="10" t="str">
        <f aca="false">IF(AND(G709="Engaging",J709&gt;Parâmetros!$B$6),"Sim","Não")</f>
        <v>Não</v>
      </c>
      <c r="P709" s="32" t="str">
        <f aca="false">IF(O709="Sim","R",IF(N709&gt;=Parâmetros!$B$39,"A",IF(N709&gt;=Parâmetros!$B$40,"B",IF(N709&gt;=Parâmetros!$B$41,"C","D"))))</f>
        <v>D</v>
      </c>
      <c r="Q709" s="10" t="str">
        <f aca="false">IF(F709="","Completar cadastro","")</f>
        <v/>
      </c>
      <c r="R709" s="10" t="str">
        <f aca="false">INDEX(Parâmetros!$D$39:$D$43,MATCH(P709,Parâmetros!$A$39:$A$43,0))</f>
        <v>Automatizar ou vender em lote</v>
      </c>
    </row>
    <row r="710" customFormat="false" ht="15" hidden="false" customHeight="false" outlineLevel="0" collapsed="false">
      <c r="A710" s="10" t="s">
        <v>950</v>
      </c>
      <c r="B710" s="10" t="s">
        <v>73</v>
      </c>
      <c r="C710" s="10" t="s">
        <v>72</v>
      </c>
      <c r="D710" s="10" t="s">
        <v>196</v>
      </c>
      <c r="E710" s="10" t="s">
        <v>52</v>
      </c>
      <c r="F710" s="10" t="s">
        <v>427</v>
      </c>
      <c r="G710" s="10" t="s">
        <v>425</v>
      </c>
      <c r="H710" s="10"/>
      <c r="I710" s="8" t="n">
        <f aca="false">INDEX(Parâmetros!$C$13:$C$19,MATCH(E710,Parâmetros!$A$13:$A$19,0))</f>
        <v>55</v>
      </c>
      <c r="J710" s="26" t="str">
        <f aca="false">IF(H710="","",Parâmetros!$B$5-H710)</f>
        <v/>
      </c>
      <c r="K710" s="10" t="n">
        <f aca="false">INDEX(Parâmetros!$D$13:$D$19,MATCH(E710,Parâmetros!$A$13:$A$19,0))</f>
        <v>0</v>
      </c>
      <c r="L710" s="26" t="n">
        <f aca="false">IF(G710="Prospecting",Parâmetros!$B$9,IF(J710&gt;Parâmetros!$B$6,0,INDEX(Parâmetros!$C$24:$C$26,MATCH(J710,Parâmetros!$A$24:$A$26,1))))</f>
        <v>10</v>
      </c>
      <c r="M710" s="31" t="n">
        <f aca="false">IF(G710="Prospecting",1,INDEX(Parâmetros!$C$32:$C$35,MATCH(J710,Parâmetros!$A$32:$A$35,1)))</f>
        <v>1</v>
      </c>
      <c r="N710" s="2" t="n">
        <f aca="false">ROUND((K710+L710)*M710,0)</f>
        <v>10</v>
      </c>
      <c r="O710" s="10" t="str">
        <f aca="false">IF(AND(G710="Engaging",J710&gt;Parâmetros!$B$6),"Sim","Não")</f>
        <v>Não</v>
      </c>
      <c r="P710" s="32" t="str">
        <f aca="false">IF(O710="Sim","R",IF(N710&gt;=Parâmetros!$B$39,"A",IF(N710&gt;=Parâmetros!$B$40,"B",IF(N710&gt;=Parâmetros!$B$41,"C","D"))))</f>
        <v>D</v>
      </c>
      <c r="Q710" s="10" t="str">
        <f aca="false">IF(F710="","Completar cadastro","")</f>
        <v/>
      </c>
      <c r="R710" s="10" t="str">
        <f aca="false">INDEX(Parâmetros!$D$39:$D$43,MATCH(P710,Parâmetros!$A$39:$A$43,0))</f>
        <v>Automatizar ou vender em lote</v>
      </c>
    </row>
    <row r="711" customFormat="false" ht="15" hidden="false" customHeight="false" outlineLevel="0" collapsed="false">
      <c r="A711" s="10" t="s">
        <v>951</v>
      </c>
      <c r="B711" s="10" t="s">
        <v>73</v>
      </c>
      <c r="C711" s="10" t="s">
        <v>72</v>
      </c>
      <c r="D711" s="10" t="s">
        <v>196</v>
      </c>
      <c r="E711" s="10" t="s">
        <v>52</v>
      </c>
      <c r="F711" s="10"/>
      <c r="G711" s="10" t="s">
        <v>425</v>
      </c>
      <c r="H711" s="10"/>
      <c r="I711" s="8" t="n">
        <f aca="false">INDEX(Parâmetros!$C$13:$C$19,MATCH(E711,Parâmetros!$A$13:$A$19,0))</f>
        <v>55</v>
      </c>
      <c r="J711" s="26" t="str">
        <f aca="false">IF(H711="","",Parâmetros!$B$5-H711)</f>
        <v/>
      </c>
      <c r="K711" s="10" t="n">
        <f aca="false">INDEX(Parâmetros!$D$13:$D$19,MATCH(E711,Parâmetros!$A$13:$A$19,0))</f>
        <v>0</v>
      </c>
      <c r="L711" s="26" t="n">
        <f aca="false">IF(G711="Prospecting",Parâmetros!$B$9,IF(J711&gt;Parâmetros!$B$6,0,INDEX(Parâmetros!$C$24:$C$26,MATCH(J711,Parâmetros!$A$24:$A$26,1))))</f>
        <v>10</v>
      </c>
      <c r="M711" s="31" t="n">
        <f aca="false">IF(G711="Prospecting",1,INDEX(Parâmetros!$C$32:$C$35,MATCH(J711,Parâmetros!$A$32:$A$35,1)))</f>
        <v>1</v>
      </c>
      <c r="N711" s="2" t="n">
        <f aca="false">ROUND((K711+L711)*M711,0)</f>
        <v>10</v>
      </c>
      <c r="O711" s="10" t="str">
        <f aca="false">IF(AND(G711="Engaging",J711&gt;Parâmetros!$B$6),"Sim","Não")</f>
        <v>Não</v>
      </c>
      <c r="P711" s="32" t="str">
        <f aca="false">IF(O711="Sim","R",IF(N711&gt;=Parâmetros!$B$39,"A",IF(N711&gt;=Parâmetros!$B$40,"B",IF(N711&gt;=Parâmetros!$B$41,"C","D"))))</f>
        <v>D</v>
      </c>
      <c r="Q711" s="10" t="str">
        <f aca="false">IF(F711="","Completar cadastro","")</f>
        <v>Completar cadastro</v>
      </c>
      <c r="R711" s="10" t="str">
        <f aca="false">INDEX(Parâmetros!$D$39:$D$43,MATCH(P711,Parâmetros!$A$39:$A$43,0))</f>
        <v>Automatizar ou vender em lote</v>
      </c>
    </row>
    <row r="712" customFormat="false" ht="15" hidden="false" customHeight="false" outlineLevel="0" collapsed="false">
      <c r="A712" s="10" t="s">
        <v>952</v>
      </c>
      <c r="B712" s="10" t="s">
        <v>73</v>
      </c>
      <c r="C712" s="10" t="s">
        <v>72</v>
      </c>
      <c r="D712" s="10" t="s">
        <v>196</v>
      </c>
      <c r="E712" s="10" t="s">
        <v>52</v>
      </c>
      <c r="F712" s="10"/>
      <c r="G712" s="10" t="s">
        <v>425</v>
      </c>
      <c r="H712" s="10"/>
      <c r="I712" s="8" t="n">
        <f aca="false">INDEX(Parâmetros!$C$13:$C$19,MATCH(E712,Parâmetros!$A$13:$A$19,0))</f>
        <v>55</v>
      </c>
      <c r="J712" s="26" t="str">
        <f aca="false">IF(H712="","",Parâmetros!$B$5-H712)</f>
        <v/>
      </c>
      <c r="K712" s="10" t="n">
        <f aca="false">INDEX(Parâmetros!$D$13:$D$19,MATCH(E712,Parâmetros!$A$13:$A$19,0))</f>
        <v>0</v>
      </c>
      <c r="L712" s="26" t="n">
        <f aca="false">IF(G712="Prospecting",Parâmetros!$B$9,IF(J712&gt;Parâmetros!$B$6,0,INDEX(Parâmetros!$C$24:$C$26,MATCH(J712,Parâmetros!$A$24:$A$26,1))))</f>
        <v>10</v>
      </c>
      <c r="M712" s="31" t="n">
        <f aca="false">IF(G712="Prospecting",1,INDEX(Parâmetros!$C$32:$C$35,MATCH(J712,Parâmetros!$A$32:$A$35,1)))</f>
        <v>1</v>
      </c>
      <c r="N712" s="2" t="n">
        <f aca="false">ROUND((K712+L712)*M712,0)</f>
        <v>10</v>
      </c>
      <c r="O712" s="10" t="str">
        <f aca="false">IF(AND(G712="Engaging",J712&gt;Parâmetros!$B$6),"Sim","Não")</f>
        <v>Não</v>
      </c>
      <c r="P712" s="32" t="str">
        <f aca="false">IF(O712="Sim","R",IF(N712&gt;=Parâmetros!$B$39,"A",IF(N712&gt;=Parâmetros!$B$40,"B",IF(N712&gt;=Parâmetros!$B$41,"C","D"))))</f>
        <v>D</v>
      </c>
      <c r="Q712" s="10" t="str">
        <f aca="false">IF(F712="","Completar cadastro","")</f>
        <v>Completar cadastro</v>
      </c>
      <c r="R712" s="10" t="str">
        <f aca="false">INDEX(Parâmetros!$D$39:$D$43,MATCH(P712,Parâmetros!$A$39:$A$43,0))</f>
        <v>Automatizar ou vender em lote</v>
      </c>
    </row>
    <row r="713" customFormat="false" ht="15" hidden="false" customHeight="false" outlineLevel="0" collapsed="false">
      <c r="A713" s="10" t="s">
        <v>953</v>
      </c>
      <c r="B713" s="10" t="s">
        <v>77</v>
      </c>
      <c r="C713" s="10" t="s">
        <v>78</v>
      </c>
      <c r="D713" s="10" t="s">
        <v>196</v>
      </c>
      <c r="E713" s="10" t="s">
        <v>52</v>
      </c>
      <c r="F713" s="10"/>
      <c r="G713" s="10" t="s">
        <v>425</v>
      </c>
      <c r="H713" s="10"/>
      <c r="I713" s="8" t="n">
        <f aca="false">INDEX(Parâmetros!$C$13:$C$19,MATCH(E713,Parâmetros!$A$13:$A$19,0))</f>
        <v>55</v>
      </c>
      <c r="J713" s="26" t="str">
        <f aca="false">IF(H713="","",Parâmetros!$B$5-H713)</f>
        <v/>
      </c>
      <c r="K713" s="10" t="n">
        <f aca="false">INDEX(Parâmetros!$D$13:$D$19,MATCH(E713,Parâmetros!$A$13:$A$19,0))</f>
        <v>0</v>
      </c>
      <c r="L713" s="26" t="n">
        <f aca="false">IF(G713="Prospecting",Parâmetros!$B$9,IF(J713&gt;Parâmetros!$B$6,0,INDEX(Parâmetros!$C$24:$C$26,MATCH(J713,Parâmetros!$A$24:$A$26,1))))</f>
        <v>10</v>
      </c>
      <c r="M713" s="31" t="n">
        <f aca="false">IF(G713="Prospecting",1,INDEX(Parâmetros!$C$32:$C$35,MATCH(J713,Parâmetros!$A$32:$A$35,1)))</f>
        <v>1</v>
      </c>
      <c r="N713" s="2" t="n">
        <f aca="false">ROUND((K713+L713)*M713,0)</f>
        <v>10</v>
      </c>
      <c r="O713" s="10" t="str">
        <f aca="false">IF(AND(G713="Engaging",J713&gt;Parâmetros!$B$6),"Sim","Não")</f>
        <v>Não</v>
      </c>
      <c r="P713" s="32" t="str">
        <f aca="false">IF(O713="Sim","R",IF(N713&gt;=Parâmetros!$B$39,"A",IF(N713&gt;=Parâmetros!$B$40,"B",IF(N713&gt;=Parâmetros!$B$41,"C","D"))))</f>
        <v>D</v>
      </c>
      <c r="Q713" s="10" t="str">
        <f aca="false">IF(F713="","Completar cadastro","")</f>
        <v>Completar cadastro</v>
      </c>
      <c r="R713" s="10" t="str">
        <f aca="false">INDEX(Parâmetros!$D$39:$D$43,MATCH(P713,Parâmetros!$A$39:$A$43,0))</f>
        <v>Automatizar ou vender em lote</v>
      </c>
    </row>
    <row r="714" customFormat="false" ht="15" hidden="false" customHeight="false" outlineLevel="0" collapsed="false">
      <c r="A714" s="10" t="s">
        <v>954</v>
      </c>
      <c r="B714" s="10" t="s">
        <v>77</v>
      </c>
      <c r="C714" s="10" t="s">
        <v>78</v>
      </c>
      <c r="D714" s="10" t="s">
        <v>196</v>
      </c>
      <c r="E714" s="10" t="s">
        <v>52</v>
      </c>
      <c r="F714" s="10"/>
      <c r="G714" s="10" t="s">
        <v>425</v>
      </c>
      <c r="H714" s="10"/>
      <c r="I714" s="8" t="n">
        <f aca="false">INDEX(Parâmetros!$C$13:$C$19,MATCH(E714,Parâmetros!$A$13:$A$19,0))</f>
        <v>55</v>
      </c>
      <c r="J714" s="26" t="str">
        <f aca="false">IF(H714="","",Parâmetros!$B$5-H714)</f>
        <v/>
      </c>
      <c r="K714" s="10" t="n">
        <f aca="false">INDEX(Parâmetros!$D$13:$D$19,MATCH(E714,Parâmetros!$A$13:$A$19,0))</f>
        <v>0</v>
      </c>
      <c r="L714" s="26" t="n">
        <f aca="false">IF(G714="Prospecting",Parâmetros!$B$9,IF(J714&gt;Parâmetros!$B$6,0,INDEX(Parâmetros!$C$24:$C$26,MATCH(J714,Parâmetros!$A$24:$A$26,1))))</f>
        <v>10</v>
      </c>
      <c r="M714" s="31" t="n">
        <f aca="false">IF(G714="Prospecting",1,INDEX(Parâmetros!$C$32:$C$35,MATCH(J714,Parâmetros!$A$32:$A$35,1)))</f>
        <v>1</v>
      </c>
      <c r="N714" s="2" t="n">
        <f aca="false">ROUND((K714+L714)*M714,0)</f>
        <v>10</v>
      </c>
      <c r="O714" s="10" t="str">
        <f aca="false">IF(AND(G714="Engaging",J714&gt;Parâmetros!$B$6),"Sim","Não")</f>
        <v>Não</v>
      </c>
      <c r="P714" s="32" t="str">
        <f aca="false">IF(O714="Sim","R",IF(N714&gt;=Parâmetros!$B$39,"A",IF(N714&gt;=Parâmetros!$B$40,"B",IF(N714&gt;=Parâmetros!$B$41,"C","D"))))</f>
        <v>D</v>
      </c>
      <c r="Q714" s="10" t="str">
        <f aca="false">IF(F714="","Completar cadastro","")</f>
        <v>Completar cadastro</v>
      </c>
      <c r="R714" s="10" t="str">
        <f aca="false">INDEX(Parâmetros!$D$39:$D$43,MATCH(P714,Parâmetros!$A$39:$A$43,0))</f>
        <v>Automatizar ou vender em lote</v>
      </c>
    </row>
    <row r="715" customFormat="false" ht="15" hidden="false" customHeight="false" outlineLevel="0" collapsed="false">
      <c r="A715" s="10" t="s">
        <v>955</v>
      </c>
      <c r="B715" s="10" t="s">
        <v>77</v>
      </c>
      <c r="C715" s="10" t="s">
        <v>78</v>
      </c>
      <c r="D715" s="10" t="s">
        <v>196</v>
      </c>
      <c r="E715" s="10" t="s">
        <v>52</v>
      </c>
      <c r="F715" s="10"/>
      <c r="G715" s="10" t="s">
        <v>425</v>
      </c>
      <c r="H715" s="10"/>
      <c r="I715" s="8" t="n">
        <f aca="false">INDEX(Parâmetros!$C$13:$C$19,MATCH(E715,Parâmetros!$A$13:$A$19,0))</f>
        <v>55</v>
      </c>
      <c r="J715" s="26" t="str">
        <f aca="false">IF(H715="","",Parâmetros!$B$5-H715)</f>
        <v/>
      </c>
      <c r="K715" s="10" t="n">
        <f aca="false">INDEX(Parâmetros!$D$13:$D$19,MATCH(E715,Parâmetros!$A$13:$A$19,0))</f>
        <v>0</v>
      </c>
      <c r="L715" s="26" t="n">
        <f aca="false">IF(G715="Prospecting",Parâmetros!$B$9,IF(J715&gt;Parâmetros!$B$6,0,INDEX(Parâmetros!$C$24:$C$26,MATCH(J715,Parâmetros!$A$24:$A$26,1))))</f>
        <v>10</v>
      </c>
      <c r="M715" s="31" t="n">
        <f aca="false">IF(G715="Prospecting",1,INDEX(Parâmetros!$C$32:$C$35,MATCH(J715,Parâmetros!$A$32:$A$35,1)))</f>
        <v>1</v>
      </c>
      <c r="N715" s="2" t="n">
        <f aca="false">ROUND((K715+L715)*M715,0)</f>
        <v>10</v>
      </c>
      <c r="O715" s="10" t="str">
        <f aca="false">IF(AND(G715="Engaging",J715&gt;Parâmetros!$B$6),"Sim","Não")</f>
        <v>Não</v>
      </c>
      <c r="P715" s="32" t="str">
        <f aca="false">IF(O715="Sim","R",IF(N715&gt;=Parâmetros!$B$39,"A",IF(N715&gt;=Parâmetros!$B$40,"B",IF(N715&gt;=Parâmetros!$B$41,"C","D"))))</f>
        <v>D</v>
      </c>
      <c r="Q715" s="10" t="str">
        <f aca="false">IF(F715="","Completar cadastro","")</f>
        <v>Completar cadastro</v>
      </c>
      <c r="R715" s="10" t="str">
        <f aca="false">INDEX(Parâmetros!$D$39:$D$43,MATCH(P715,Parâmetros!$A$39:$A$43,0))</f>
        <v>Automatizar ou vender em lote</v>
      </c>
    </row>
    <row r="716" customFormat="false" ht="15" hidden="false" customHeight="false" outlineLevel="0" collapsed="false">
      <c r="A716" s="10" t="s">
        <v>956</v>
      </c>
      <c r="B716" s="10" t="s">
        <v>77</v>
      </c>
      <c r="C716" s="10" t="s">
        <v>78</v>
      </c>
      <c r="D716" s="10" t="s">
        <v>196</v>
      </c>
      <c r="E716" s="10" t="s">
        <v>52</v>
      </c>
      <c r="F716" s="10"/>
      <c r="G716" s="10" t="s">
        <v>425</v>
      </c>
      <c r="H716" s="10"/>
      <c r="I716" s="8" t="n">
        <f aca="false">INDEX(Parâmetros!$C$13:$C$19,MATCH(E716,Parâmetros!$A$13:$A$19,0))</f>
        <v>55</v>
      </c>
      <c r="J716" s="26" t="str">
        <f aca="false">IF(H716="","",Parâmetros!$B$5-H716)</f>
        <v/>
      </c>
      <c r="K716" s="10" t="n">
        <f aca="false">INDEX(Parâmetros!$D$13:$D$19,MATCH(E716,Parâmetros!$A$13:$A$19,0))</f>
        <v>0</v>
      </c>
      <c r="L716" s="26" t="n">
        <f aca="false">IF(G716="Prospecting",Parâmetros!$B$9,IF(J716&gt;Parâmetros!$B$6,0,INDEX(Parâmetros!$C$24:$C$26,MATCH(J716,Parâmetros!$A$24:$A$26,1))))</f>
        <v>10</v>
      </c>
      <c r="M716" s="31" t="n">
        <f aca="false">IF(G716="Prospecting",1,INDEX(Parâmetros!$C$32:$C$35,MATCH(J716,Parâmetros!$A$32:$A$35,1)))</f>
        <v>1</v>
      </c>
      <c r="N716" s="2" t="n">
        <f aca="false">ROUND((K716+L716)*M716,0)</f>
        <v>10</v>
      </c>
      <c r="O716" s="10" t="str">
        <f aca="false">IF(AND(G716="Engaging",J716&gt;Parâmetros!$B$6),"Sim","Não")</f>
        <v>Não</v>
      </c>
      <c r="P716" s="32" t="str">
        <f aca="false">IF(O716="Sim","R",IF(N716&gt;=Parâmetros!$B$39,"A",IF(N716&gt;=Parâmetros!$B$40,"B",IF(N716&gt;=Parâmetros!$B$41,"C","D"))))</f>
        <v>D</v>
      </c>
      <c r="Q716" s="10" t="str">
        <f aca="false">IF(F716="","Completar cadastro","")</f>
        <v>Completar cadastro</v>
      </c>
      <c r="R716" s="10" t="str">
        <f aca="false">INDEX(Parâmetros!$D$39:$D$43,MATCH(P716,Parâmetros!$A$39:$A$43,0))</f>
        <v>Automatizar ou vender em lote</v>
      </c>
    </row>
    <row r="717" customFormat="false" ht="15" hidden="false" customHeight="false" outlineLevel="0" collapsed="false">
      <c r="A717" s="10" t="s">
        <v>957</v>
      </c>
      <c r="B717" s="10" t="s">
        <v>77</v>
      </c>
      <c r="C717" s="10" t="s">
        <v>78</v>
      </c>
      <c r="D717" s="10" t="s">
        <v>196</v>
      </c>
      <c r="E717" s="10" t="s">
        <v>52</v>
      </c>
      <c r="F717" s="10"/>
      <c r="G717" s="10" t="s">
        <v>425</v>
      </c>
      <c r="H717" s="10"/>
      <c r="I717" s="8" t="n">
        <f aca="false">INDEX(Parâmetros!$C$13:$C$19,MATCH(E717,Parâmetros!$A$13:$A$19,0))</f>
        <v>55</v>
      </c>
      <c r="J717" s="26" t="str">
        <f aca="false">IF(H717="","",Parâmetros!$B$5-H717)</f>
        <v/>
      </c>
      <c r="K717" s="10" t="n">
        <f aca="false">INDEX(Parâmetros!$D$13:$D$19,MATCH(E717,Parâmetros!$A$13:$A$19,0))</f>
        <v>0</v>
      </c>
      <c r="L717" s="26" t="n">
        <f aca="false">IF(G717="Prospecting",Parâmetros!$B$9,IF(J717&gt;Parâmetros!$B$6,0,INDEX(Parâmetros!$C$24:$C$26,MATCH(J717,Parâmetros!$A$24:$A$26,1))))</f>
        <v>10</v>
      </c>
      <c r="M717" s="31" t="n">
        <f aca="false">IF(G717="Prospecting",1,INDEX(Parâmetros!$C$32:$C$35,MATCH(J717,Parâmetros!$A$32:$A$35,1)))</f>
        <v>1</v>
      </c>
      <c r="N717" s="2" t="n">
        <f aca="false">ROUND((K717+L717)*M717,0)</f>
        <v>10</v>
      </c>
      <c r="O717" s="10" t="str">
        <f aca="false">IF(AND(G717="Engaging",J717&gt;Parâmetros!$B$6),"Sim","Não")</f>
        <v>Não</v>
      </c>
      <c r="P717" s="32" t="str">
        <f aca="false">IF(O717="Sim","R",IF(N717&gt;=Parâmetros!$B$39,"A",IF(N717&gt;=Parâmetros!$B$40,"B",IF(N717&gt;=Parâmetros!$B$41,"C","D"))))</f>
        <v>D</v>
      </c>
      <c r="Q717" s="10" t="str">
        <f aca="false">IF(F717="","Completar cadastro","")</f>
        <v>Completar cadastro</v>
      </c>
      <c r="R717" s="10" t="str">
        <f aca="false">INDEX(Parâmetros!$D$39:$D$43,MATCH(P717,Parâmetros!$A$39:$A$43,0))</f>
        <v>Automatizar ou vender em lote</v>
      </c>
    </row>
    <row r="718" customFormat="false" ht="15" hidden="false" customHeight="false" outlineLevel="0" collapsed="false">
      <c r="A718" s="10" t="s">
        <v>958</v>
      </c>
      <c r="B718" s="10" t="s">
        <v>77</v>
      </c>
      <c r="C718" s="10" t="s">
        <v>78</v>
      </c>
      <c r="D718" s="10" t="s">
        <v>196</v>
      </c>
      <c r="E718" s="10" t="s">
        <v>52</v>
      </c>
      <c r="F718" s="10"/>
      <c r="G718" s="10" t="s">
        <v>425</v>
      </c>
      <c r="H718" s="10"/>
      <c r="I718" s="8" t="n">
        <f aca="false">INDEX(Parâmetros!$C$13:$C$19,MATCH(E718,Parâmetros!$A$13:$A$19,0))</f>
        <v>55</v>
      </c>
      <c r="J718" s="26" t="str">
        <f aca="false">IF(H718="","",Parâmetros!$B$5-H718)</f>
        <v/>
      </c>
      <c r="K718" s="10" t="n">
        <f aca="false">INDEX(Parâmetros!$D$13:$D$19,MATCH(E718,Parâmetros!$A$13:$A$19,0))</f>
        <v>0</v>
      </c>
      <c r="L718" s="26" t="n">
        <f aca="false">IF(G718="Prospecting",Parâmetros!$B$9,IF(J718&gt;Parâmetros!$B$6,0,INDEX(Parâmetros!$C$24:$C$26,MATCH(J718,Parâmetros!$A$24:$A$26,1))))</f>
        <v>10</v>
      </c>
      <c r="M718" s="31" t="n">
        <f aca="false">IF(G718="Prospecting",1,INDEX(Parâmetros!$C$32:$C$35,MATCH(J718,Parâmetros!$A$32:$A$35,1)))</f>
        <v>1</v>
      </c>
      <c r="N718" s="2" t="n">
        <f aca="false">ROUND((K718+L718)*M718,0)</f>
        <v>10</v>
      </c>
      <c r="O718" s="10" t="str">
        <f aca="false">IF(AND(G718="Engaging",J718&gt;Parâmetros!$B$6),"Sim","Não")</f>
        <v>Não</v>
      </c>
      <c r="P718" s="32" t="str">
        <f aca="false">IF(O718="Sim","R",IF(N718&gt;=Parâmetros!$B$39,"A",IF(N718&gt;=Parâmetros!$B$40,"B",IF(N718&gt;=Parâmetros!$B$41,"C","D"))))</f>
        <v>D</v>
      </c>
      <c r="Q718" s="10" t="str">
        <f aca="false">IF(F718="","Completar cadastro","")</f>
        <v>Completar cadastro</v>
      </c>
      <c r="R718" s="10" t="str">
        <f aca="false">INDEX(Parâmetros!$D$39:$D$43,MATCH(P718,Parâmetros!$A$39:$A$43,0))</f>
        <v>Automatizar ou vender em lote</v>
      </c>
    </row>
    <row r="719" customFormat="false" ht="15" hidden="false" customHeight="false" outlineLevel="0" collapsed="false">
      <c r="A719" s="10" t="s">
        <v>959</v>
      </c>
      <c r="B719" s="10" t="s">
        <v>77</v>
      </c>
      <c r="C719" s="10" t="s">
        <v>78</v>
      </c>
      <c r="D719" s="10" t="s">
        <v>196</v>
      </c>
      <c r="E719" s="10" t="s">
        <v>52</v>
      </c>
      <c r="F719" s="10"/>
      <c r="G719" s="10" t="s">
        <v>425</v>
      </c>
      <c r="H719" s="10"/>
      <c r="I719" s="8" t="n">
        <f aca="false">INDEX(Parâmetros!$C$13:$C$19,MATCH(E719,Parâmetros!$A$13:$A$19,0))</f>
        <v>55</v>
      </c>
      <c r="J719" s="26" t="str">
        <f aca="false">IF(H719="","",Parâmetros!$B$5-H719)</f>
        <v/>
      </c>
      <c r="K719" s="10" t="n">
        <f aca="false">INDEX(Parâmetros!$D$13:$D$19,MATCH(E719,Parâmetros!$A$13:$A$19,0))</f>
        <v>0</v>
      </c>
      <c r="L719" s="26" t="n">
        <f aca="false">IF(G719="Prospecting",Parâmetros!$B$9,IF(J719&gt;Parâmetros!$B$6,0,INDEX(Parâmetros!$C$24:$C$26,MATCH(J719,Parâmetros!$A$24:$A$26,1))))</f>
        <v>10</v>
      </c>
      <c r="M719" s="31" t="n">
        <f aca="false">IF(G719="Prospecting",1,INDEX(Parâmetros!$C$32:$C$35,MATCH(J719,Parâmetros!$A$32:$A$35,1)))</f>
        <v>1</v>
      </c>
      <c r="N719" s="2" t="n">
        <f aca="false">ROUND((K719+L719)*M719,0)</f>
        <v>10</v>
      </c>
      <c r="O719" s="10" t="str">
        <f aca="false">IF(AND(G719="Engaging",J719&gt;Parâmetros!$B$6),"Sim","Não")</f>
        <v>Não</v>
      </c>
      <c r="P719" s="32" t="str">
        <f aca="false">IF(O719="Sim","R",IF(N719&gt;=Parâmetros!$B$39,"A",IF(N719&gt;=Parâmetros!$B$40,"B",IF(N719&gt;=Parâmetros!$B$41,"C","D"))))</f>
        <v>D</v>
      </c>
      <c r="Q719" s="10" t="str">
        <f aca="false">IF(F719="","Completar cadastro","")</f>
        <v>Completar cadastro</v>
      </c>
      <c r="R719" s="10" t="str">
        <f aca="false">INDEX(Parâmetros!$D$39:$D$43,MATCH(P719,Parâmetros!$A$39:$A$43,0))</f>
        <v>Automatizar ou vender em lote</v>
      </c>
    </row>
    <row r="720" customFormat="false" ht="15" hidden="false" customHeight="false" outlineLevel="0" collapsed="false">
      <c r="A720" s="10" t="s">
        <v>960</v>
      </c>
      <c r="B720" s="10" t="s">
        <v>79</v>
      </c>
      <c r="C720" s="10" t="s">
        <v>78</v>
      </c>
      <c r="D720" s="10" t="s">
        <v>196</v>
      </c>
      <c r="E720" s="10" t="s">
        <v>52</v>
      </c>
      <c r="F720" s="10" t="s">
        <v>961</v>
      </c>
      <c r="G720" s="10" t="s">
        <v>425</v>
      </c>
      <c r="H720" s="10"/>
      <c r="I720" s="8" t="n">
        <f aca="false">INDEX(Parâmetros!$C$13:$C$19,MATCH(E720,Parâmetros!$A$13:$A$19,0))</f>
        <v>55</v>
      </c>
      <c r="J720" s="26" t="str">
        <f aca="false">IF(H720="","",Parâmetros!$B$5-H720)</f>
        <v/>
      </c>
      <c r="K720" s="10" t="n">
        <f aca="false">INDEX(Parâmetros!$D$13:$D$19,MATCH(E720,Parâmetros!$A$13:$A$19,0))</f>
        <v>0</v>
      </c>
      <c r="L720" s="26" t="n">
        <f aca="false">IF(G720="Prospecting",Parâmetros!$B$9,IF(J720&gt;Parâmetros!$B$6,0,INDEX(Parâmetros!$C$24:$C$26,MATCH(J720,Parâmetros!$A$24:$A$26,1))))</f>
        <v>10</v>
      </c>
      <c r="M720" s="31" t="n">
        <f aca="false">IF(G720="Prospecting",1,INDEX(Parâmetros!$C$32:$C$35,MATCH(J720,Parâmetros!$A$32:$A$35,1)))</f>
        <v>1</v>
      </c>
      <c r="N720" s="2" t="n">
        <f aca="false">ROUND((K720+L720)*M720,0)</f>
        <v>10</v>
      </c>
      <c r="O720" s="10" t="str">
        <f aca="false">IF(AND(G720="Engaging",J720&gt;Parâmetros!$B$6),"Sim","Não")</f>
        <v>Não</v>
      </c>
      <c r="P720" s="32" t="str">
        <f aca="false">IF(O720="Sim","R",IF(N720&gt;=Parâmetros!$B$39,"A",IF(N720&gt;=Parâmetros!$B$40,"B",IF(N720&gt;=Parâmetros!$B$41,"C","D"))))</f>
        <v>D</v>
      </c>
      <c r="Q720" s="10" t="str">
        <f aca="false">IF(F720="","Completar cadastro","")</f>
        <v/>
      </c>
      <c r="R720" s="10" t="str">
        <f aca="false">INDEX(Parâmetros!$D$39:$D$43,MATCH(P720,Parâmetros!$A$39:$A$43,0))</f>
        <v>Automatizar ou vender em lote</v>
      </c>
    </row>
    <row r="721" customFormat="false" ht="15" hidden="false" customHeight="false" outlineLevel="0" collapsed="false">
      <c r="A721" s="10" t="s">
        <v>962</v>
      </c>
      <c r="B721" s="10" t="s">
        <v>79</v>
      </c>
      <c r="C721" s="10" t="s">
        <v>78</v>
      </c>
      <c r="D721" s="10" t="s">
        <v>196</v>
      </c>
      <c r="E721" s="10" t="s">
        <v>52</v>
      </c>
      <c r="F721" s="10" t="s">
        <v>175</v>
      </c>
      <c r="G721" s="10" t="s">
        <v>425</v>
      </c>
      <c r="H721" s="10"/>
      <c r="I721" s="8" t="n">
        <f aca="false">INDEX(Parâmetros!$C$13:$C$19,MATCH(E721,Parâmetros!$A$13:$A$19,0))</f>
        <v>55</v>
      </c>
      <c r="J721" s="26" t="str">
        <f aca="false">IF(H721="","",Parâmetros!$B$5-H721)</f>
        <v/>
      </c>
      <c r="K721" s="10" t="n">
        <f aca="false">INDEX(Parâmetros!$D$13:$D$19,MATCH(E721,Parâmetros!$A$13:$A$19,0))</f>
        <v>0</v>
      </c>
      <c r="L721" s="26" t="n">
        <f aca="false">IF(G721="Prospecting",Parâmetros!$B$9,IF(J721&gt;Parâmetros!$B$6,0,INDEX(Parâmetros!$C$24:$C$26,MATCH(J721,Parâmetros!$A$24:$A$26,1))))</f>
        <v>10</v>
      </c>
      <c r="M721" s="31" t="n">
        <f aca="false">IF(G721="Prospecting",1,INDEX(Parâmetros!$C$32:$C$35,MATCH(J721,Parâmetros!$A$32:$A$35,1)))</f>
        <v>1</v>
      </c>
      <c r="N721" s="2" t="n">
        <f aca="false">ROUND((K721+L721)*M721,0)</f>
        <v>10</v>
      </c>
      <c r="O721" s="10" t="str">
        <f aca="false">IF(AND(G721="Engaging",J721&gt;Parâmetros!$B$6),"Sim","Não")</f>
        <v>Não</v>
      </c>
      <c r="P721" s="32" t="str">
        <f aca="false">IF(O721="Sim","R",IF(N721&gt;=Parâmetros!$B$39,"A",IF(N721&gt;=Parâmetros!$B$40,"B",IF(N721&gt;=Parâmetros!$B$41,"C","D"))))</f>
        <v>D</v>
      </c>
      <c r="Q721" s="10" t="str">
        <f aca="false">IF(F721="","Completar cadastro","")</f>
        <v/>
      </c>
      <c r="R721" s="10" t="str">
        <f aca="false">INDEX(Parâmetros!$D$39:$D$43,MATCH(P721,Parâmetros!$A$39:$A$43,0))</f>
        <v>Automatizar ou vender em lote</v>
      </c>
    </row>
    <row r="722" customFormat="false" ht="15" hidden="false" customHeight="false" outlineLevel="0" collapsed="false">
      <c r="A722" s="10" t="s">
        <v>963</v>
      </c>
      <c r="B722" s="10" t="s">
        <v>79</v>
      </c>
      <c r="C722" s="10" t="s">
        <v>78</v>
      </c>
      <c r="D722" s="10" t="s">
        <v>196</v>
      </c>
      <c r="E722" s="10" t="s">
        <v>52</v>
      </c>
      <c r="F722" s="10" t="s">
        <v>527</v>
      </c>
      <c r="G722" s="10" t="s">
        <v>425</v>
      </c>
      <c r="H722" s="10"/>
      <c r="I722" s="8" t="n">
        <f aca="false">INDEX(Parâmetros!$C$13:$C$19,MATCH(E722,Parâmetros!$A$13:$A$19,0))</f>
        <v>55</v>
      </c>
      <c r="J722" s="26" t="str">
        <f aca="false">IF(H722="","",Parâmetros!$B$5-H722)</f>
        <v/>
      </c>
      <c r="K722" s="10" t="n">
        <f aca="false">INDEX(Parâmetros!$D$13:$D$19,MATCH(E722,Parâmetros!$A$13:$A$19,0))</f>
        <v>0</v>
      </c>
      <c r="L722" s="26" t="n">
        <f aca="false">IF(G722="Prospecting",Parâmetros!$B$9,IF(J722&gt;Parâmetros!$B$6,0,INDEX(Parâmetros!$C$24:$C$26,MATCH(J722,Parâmetros!$A$24:$A$26,1))))</f>
        <v>10</v>
      </c>
      <c r="M722" s="31" t="n">
        <f aca="false">IF(G722="Prospecting",1,INDEX(Parâmetros!$C$32:$C$35,MATCH(J722,Parâmetros!$A$32:$A$35,1)))</f>
        <v>1</v>
      </c>
      <c r="N722" s="2" t="n">
        <f aca="false">ROUND((K722+L722)*M722,0)</f>
        <v>10</v>
      </c>
      <c r="O722" s="10" t="str">
        <f aca="false">IF(AND(G722="Engaging",J722&gt;Parâmetros!$B$6),"Sim","Não")</f>
        <v>Não</v>
      </c>
      <c r="P722" s="32" t="str">
        <f aca="false">IF(O722="Sim","R",IF(N722&gt;=Parâmetros!$B$39,"A",IF(N722&gt;=Parâmetros!$B$40,"B",IF(N722&gt;=Parâmetros!$B$41,"C","D"))))</f>
        <v>D</v>
      </c>
      <c r="Q722" s="10" t="str">
        <f aca="false">IF(F722="","Completar cadastro","")</f>
        <v/>
      </c>
      <c r="R722" s="10" t="str">
        <f aca="false">INDEX(Parâmetros!$D$39:$D$43,MATCH(P722,Parâmetros!$A$39:$A$43,0))</f>
        <v>Automatizar ou vender em lote</v>
      </c>
    </row>
    <row r="723" customFormat="false" ht="15" hidden="false" customHeight="false" outlineLevel="0" collapsed="false">
      <c r="A723" s="10" t="s">
        <v>964</v>
      </c>
      <c r="B723" s="10" t="s">
        <v>79</v>
      </c>
      <c r="C723" s="10" t="s">
        <v>78</v>
      </c>
      <c r="D723" s="10" t="s">
        <v>196</v>
      </c>
      <c r="E723" s="10" t="s">
        <v>52</v>
      </c>
      <c r="F723" s="10" t="s">
        <v>277</v>
      </c>
      <c r="G723" s="10" t="s">
        <v>425</v>
      </c>
      <c r="H723" s="10"/>
      <c r="I723" s="8" t="n">
        <f aca="false">INDEX(Parâmetros!$C$13:$C$19,MATCH(E723,Parâmetros!$A$13:$A$19,0))</f>
        <v>55</v>
      </c>
      <c r="J723" s="26" t="str">
        <f aca="false">IF(H723="","",Parâmetros!$B$5-H723)</f>
        <v/>
      </c>
      <c r="K723" s="10" t="n">
        <f aca="false">INDEX(Parâmetros!$D$13:$D$19,MATCH(E723,Parâmetros!$A$13:$A$19,0))</f>
        <v>0</v>
      </c>
      <c r="L723" s="26" t="n">
        <f aca="false">IF(G723="Prospecting",Parâmetros!$B$9,IF(J723&gt;Parâmetros!$B$6,0,INDEX(Parâmetros!$C$24:$C$26,MATCH(J723,Parâmetros!$A$24:$A$26,1))))</f>
        <v>10</v>
      </c>
      <c r="M723" s="31" t="n">
        <f aca="false">IF(G723="Prospecting",1,INDEX(Parâmetros!$C$32:$C$35,MATCH(J723,Parâmetros!$A$32:$A$35,1)))</f>
        <v>1</v>
      </c>
      <c r="N723" s="2" t="n">
        <f aca="false">ROUND((K723+L723)*M723,0)</f>
        <v>10</v>
      </c>
      <c r="O723" s="10" t="str">
        <f aca="false">IF(AND(G723="Engaging",J723&gt;Parâmetros!$B$6),"Sim","Não")</f>
        <v>Não</v>
      </c>
      <c r="P723" s="32" t="str">
        <f aca="false">IF(O723="Sim","R",IF(N723&gt;=Parâmetros!$B$39,"A",IF(N723&gt;=Parâmetros!$B$40,"B",IF(N723&gt;=Parâmetros!$B$41,"C","D"))))</f>
        <v>D</v>
      </c>
      <c r="Q723" s="10" t="str">
        <f aca="false">IF(F723="","Completar cadastro","")</f>
        <v/>
      </c>
      <c r="R723" s="10" t="str">
        <f aca="false">INDEX(Parâmetros!$D$39:$D$43,MATCH(P723,Parâmetros!$A$39:$A$43,0))</f>
        <v>Automatizar ou vender em lote</v>
      </c>
    </row>
    <row r="724" customFormat="false" ht="15" hidden="false" customHeight="false" outlineLevel="0" collapsed="false">
      <c r="A724" s="10" t="s">
        <v>965</v>
      </c>
      <c r="B724" s="10" t="s">
        <v>79</v>
      </c>
      <c r="C724" s="10" t="s">
        <v>78</v>
      </c>
      <c r="D724" s="10" t="s">
        <v>196</v>
      </c>
      <c r="E724" s="10" t="s">
        <v>52</v>
      </c>
      <c r="F724" s="10" t="s">
        <v>532</v>
      </c>
      <c r="G724" s="10" t="s">
        <v>425</v>
      </c>
      <c r="H724" s="10"/>
      <c r="I724" s="8" t="n">
        <f aca="false">INDEX(Parâmetros!$C$13:$C$19,MATCH(E724,Parâmetros!$A$13:$A$19,0))</f>
        <v>55</v>
      </c>
      <c r="J724" s="26" t="str">
        <f aca="false">IF(H724="","",Parâmetros!$B$5-H724)</f>
        <v/>
      </c>
      <c r="K724" s="10" t="n">
        <f aca="false">INDEX(Parâmetros!$D$13:$D$19,MATCH(E724,Parâmetros!$A$13:$A$19,0))</f>
        <v>0</v>
      </c>
      <c r="L724" s="26" t="n">
        <f aca="false">IF(G724="Prospecting",Parâmetros!$B$9,IF(J724&gt;Parâmetros!$B$6,0,INDEX(Parâmetros!$C$24:$C$26,MATCH(J724,Parâmetros!$A$24:$A$26,1))))</f>
        <v>10</v>
      </c>
      <c r="M724" s="31" t="n">
        <f aca="false">IF(G724="Prospecting",1,INDEX(Parâmetros!$C$32:$C$35,MATCH(J724,Parâmetros!$A$32:$A$35,1)))</f>
        <v>1</v>
      </c>
      <c r="N724" s="2" t="n">
        <f aca="false">ROUND((K724+L724)*M724,0)</f>
        <v>10</v>
      </c>
      <c r="O724" s="10" t="str">
        <f aca="false">IF(AND(G724="Engaging",J724&gt;Parâmetros!$B$6),"Sim","Não")</f>
        <v>Não</v>
      </c>
      <c r="P724" s="32" t="str">
        <f aca="false">IF(O724="Sim","R",IF(N724&gt;=Parâmetros!$B$39,"A",IF(N724&gt;=Parâmetros!$B$40,"B",IF(N724&gt;=Parâmetros!$B$41,"C","D"))))</f>
        <v>D</v>
      </c>
      <c r="Q724" s="10" t="str">
        <f aca="false">IF(F724="","Completar cadastro","")</f>
        <v/>
      </c>
      <c r="R724" s="10" t="str">
        <f aca="false">INDEX(Parâmetros!$D$39:$D$43,MATCH(P724,Parâmetros!$A$39:$A$43,0))</f>
        <v>Automatizar ou vender em lote</v>
      </c>
    </row>
    <row r="725" customFormat="false" ht="15" hidden="false" customHeight="false" outlineLevel="0" collapsed="false">
      <c r="A725" s="10" t="s">
        <v>966</v>
      </c>
      <c r="B725" s="10" t="s">
        <v>79</v>
      </c>
      <c r="C725" s="10" t="s">
        <v>78</v>
      </c>
      <c r="D725" s="10" t="s">
        <v>196</v>
      </c>
      <c r="E725" s="10" t="s">
        <v>52</v>
      </c>
      <c r="F725" s="10"/>
      <c r="G725" s="10" t="s">
        <v>425</v>
      </c>
      <c r="H725" s="10"/>
      <c r="I725" s="8" t="n">
        <f aca="false">INDEX(Parâmetros!$C$13:$C$19,MATCH(E725,Parâmetros!$A$13:$A$19,0))</f>
        <v>55</v>
      </c>
      <c r="J725" s="26" t="str">
        <f aca="false">IF(H725="","",Parâmetros!$B$5-H725)</f>
        <v/>
      </c>
      <c r="K725" s="10" t="n">
        <f aca="false">INDEX(Parâmetros!$D$13:$D$19,MATCH(E725,Parâmetros!$A$13:$A$19,0))</f>
        <v>0</v>
      </c>
      <c r="L725" s="26" t="n">
        <f aca="false">IF(G725="Prospecting",Parâmetros!$B$9,IF(J725&gt;Parâmetros!$B$6,0,INDEX(Parâmetros!$C$24:$C$26,MATCH(J725,Parâmetros!$A$24:$A$26,1))))</f>
        <v>10</v>
      </c>
      <c r="M725" s="31" t="n">
        <f aca="false">IF(G725="Prospecting",1,INDEX(Parâmetros!$C$32:$C$35,MATCH(J725,Parâmetros!$A$32:$A$35,1)))</f>
        <v>1</v>
      </c>
      <c r="N725" s="2" t="n">
        <f aca="false">ROUND((K725+L725)*M725,0)</f>
        <v>10</v>
      </c>
      <c r="O725" s="10" t="str">
        <f aca="false">IF(AND(G725="Engaging",J725&gt;Parâmetros!$B$6),"Sim","Não")</f>
        <v>Não</v>
      </c>
      <c r="P725" s="32" t="str">
        <f aca="false">IF(O725="Sim","R",IF(N725&gt;=Parâmetros!$B$39,"A",IF(N725&gt;=Parâmetros!$B$40,"B",IF(N725&gt;=Parâmetros!$B$41,"C","D"))))</f>
        <v>D</v>
      </c>
      <c r="Q725" s="10" t="str">
        <f aca="false">IF(F725="","Completar cadastro","")</f>
        <v>Completar cadastro</v>
      </c>
      <c r="R725" s="10" t="str">
        <f aca="false">INDEX(Parâmetros!$D$39:$D$43,MATCH(P725,Parâmetros!$A$39:$A$43,0))</f>
        <v>Automatizar ou vender em lote</v>
      </c>
    </row>
    <row r="726" customFormat="false" ht="15" hidden="false" customHeight="false" outlineLevel="0" collapsed="false">
      <c r="A726" s="10" t="s">
        <v>967</v>
      </c>
      <c r="B726" s="10" t="s">
        <v>79</v>
      </c>
      <c r="C726" s="10" t="s">
        <v>78</v>
      </c>
      <c r="D726" s="10" t="s">
        <v>196</v>
      </c>
      <c r="E726" s="10" t="s">
        <v>52</v>
      </c>
      <c r="F726" s="10"/>
      <c r="G726" s="10" t="s">
        <v>425</v>
      </c>
      <c r="H726" s="10"/>
      <c r="I726" s="8" t="n">
        <f aca="false">INDEX(Parâmetros!$C$13:$C$19,MATCH(E726,Parâmetros!$A$13:$A$19,0))</f>
        <v>55</v>
      </c>
      <c r="J726" s="26" t="str">
        <f aca="false">IF(H726="","",Parâmetros!$B$5-H726)</f>
        <v/>
      </c>
      <c r="K726" s="10" t="n">
        <f aca="false">INDEX(Parâmetros!$D$13:$D$19,MATCH(E726,Parâmetros!$A$13:$A$19,0))</f>
        <v>0</v>
      </c>
      <c r="L726" s="26" t="n">
        <f aca="false">IF(G726="Prospecting",Parâmetros!$B$9,IF(J726&gt;Parâmetros!$B$6,0,INDEX(Parâmetros!$C$24:$C$26,MATCH(J726,Parâmetros!$A$24:$A$26,1))))</f>
        <v>10</v>
      </c>
      <c r="M726" s="31" t="n">
        <f aca="false">IF(G726="Prospecting",1,INDEX(Parâmetros!$C$32:$C$35,MATCH(J726,Parâmetros!$A$32:$A$35,1)))</f>
        <v>1</v>
      </c>
      <c r="N726" s="2" t="n">
        <f aca="false">ROUND((K726+L726)*M726,0)</f>
        <v>10</v>
      </c>
      <c r="O726" s="10" t="str">
        <f aca="false">IF(AND(G726="Engaging",J726&gt;Parâmetros!$B$6),"Sim","Não")</f>
        <v>Não</v>
      </c>
      <c r="P726" s="32" t="str">
        <f aca="false">IF(O726="Sim","R",IF(N726&gt;=Parâmetros!$B$39,"A",IF(N726&gt;=Parâmetros!$B$40,"B",IF(N726&gt;=Parâmetros!$B$41,"C","D"))))</f>
        <v>D</v>
      </c>
      <c r="Q726" s="10" t="str">
        <f aca="false">IF(F726="","Completar cadastro","")</f>
        <v>Completar cadastro</v>
      </c>
      <c r="R726" s="10" t="str">
        <f aca="false">INDEX(Parâmetros!$D$39:$D$43,MATCH(P726,Parâmetros!$A$39:$A$43,0))</f>
        <v>Automatizar ou vender em lote</v>
      </c>
    </row>
    <row r="727" customFormat="false" ht="15" hidden="false" customHeight="false" outlineLevel="0" collapsed="false">
      <c r="A727" s="10" t="s">
        <v>968</v>
      </c>
      <c r="B727" s="10" t="s">
        <v>79</v>
      </c>
      <c r="C727" s="10" t="s">
        <v>78</v>
      </c>
      <c r="D727" s="10" t="s">
        <v>196</v>
      </c>
      <c r="E727" s="10" t="s">
        <v>52</v>
      </c>
      <c r="F727" s="10"/>
      <c r="G727" s="10" t="s">
        <v>425</v>
      </c>
      <c r="H727" s="10"/>
      <c r="I727" s="8" t="n">
        <f aca="false">INDEX(Parâmetros!$C$13:$C$19,MATCH(E727,Parâmetros!$A$13:$A$19,0))</f>
        <v>55</v>
      </c>
      <c r="J727" s="26" t="str">
        <f aca="false">IF(H727="","",Parâmetros!$B$5-H727)</f>
        <v/>
      </c>
      <c r="K727" s="10" t="n">
        <f aca="false">INDEX(Parâmetros!$D$13:$D$19,MATCH(E727,Parâmetros!$A$13:$A$19,0))</f>
        <v>0</v>
      </c>
      <c r="L727" s="26" t="n">
        <f aca="false">IF(G727="Prospecting",Parâmetros!$B$9,IF(J727&gt;Parâmetros!$B$6,0,INDEX(Parâmetros!$C$24:$C$26,MATCH(J727,Parâmetros!$A$24:$A$26,1))))</f>
        <v>10</v>
      </c>
      <c r="M727" s="31" t="n">
        <f aca="false">IF(G727="Prospecting",1,INDEX(Parâmetros!$C$32:$C$35,MATCH(J727,Parâmetros!$A$32:$A$35,1)))</f>
        <v>1</v>
      </c>
      <c r="N727" s="2" t="n">
        <f aca="false">ROUND((K727+L727)*M727,0)</f>
        <v>10</v>
      </c>
      <c r="O727" s="10" t="str">
        <f aca="false">IF(AND(G727="Engaging",J727&gt;Parâmetros!$B$6),"Sim","Não")</f>
        <v>Não</v>
      </c>
      <c r="P727" s="32" t="str">
        <f aca="false">IF(O727="Sim","R",IF(N727&gt;=Parâmetros!$B$39,"A",IF(N727&gt;=Parâmetros!$B$40,"B",IF(N727&gt;=Parâmetros!$B$41,"C","D"))))</f>
        <v>D</v>
      </c>
      <c r="Q727" s="10" t="str">
        <f aca="false">IF(F727="","Completar cadastro","")</f>
        <v>Completar cadastro</v>
      </c>
      <c r="R727" s="10" t="str">
        <f aca="false">INDEX(Parâmetros!$D$39:$D$43,MATCH(P727,Parâmetros!$A$39:$A$43,0))</f>
        <v>Automatizar ou vender em lote</v>
      </c>
    </row>
    <row r="728" customFormat="false" ht="15" hidden="false" customHeight="false" outlineLevel="0" collapsed="false">
      <c r="A728" s="10" t="s">
        <v>969</v>
      </c>
      <c r="B728" s="10" t="s">
        <v>79</v>
      </c>
      <c r="C728" s="10" t="s">
        <v>78</v>
      </c>
      <c r="D728" s="10" t="s">
        <v>196</v>
      </c>
      <c r="E728" s="10" t="s">
        <v>52</v>
      </c>
      <c r="F728" s="10"/>
      <c r="G728" s="10" t="s">
        <v>425</v>
      </c>
      <c r="H728" s="10"/>
      <c r="I728" s="8" t="n">
        <f aca="false">INDEX(Parâmetros!$C$13:$C$19,MATCH(E728,Parâmetros!$A$13:$A$19,0))</f>
        <v>55</v>
      </c>
      <c r="J728" s="26" t="str">
        <f aca="false">IF(H728="","",Parâmetros!$B$5-H728)</f>
        <v/>
      </c>
      <c r="K728" s="10" t="n">
        <f aca="false">INDEX(Parâmetros!$D$13:$D$19,MATCH(E728,Parâmetros!$A$13:$A$19,0))</f>
        <v>0</v>
      </c>
      <c r="L728" s="26" t="n">
        <f aca="false">IF(G728="Prospecting",Parâmetros!$B$9,IF(J728&gt;Parâmetros!$B$6,0,INDEX(Parâmetros!$C$24:$C$26,MATCH(J728,Parâmetros!$A$24:$A$26,1))))</f>
        <v>10</v>
      </c>
      <c r="M728" s="31" t="n">
        <f aca="false">IF(G728="Prospecting",1,INDEX(Parâmetros!$C$32:$C$35,MATCH(J728,Parâmetros!$A$32:$A$35,1)))</f>
        <v>1</v>
      </c>
      <c r="N728" s="2" t="n">
        <f aca="false">ROUND((K728+L728)*M728,0)</f>
        <v>10</v>
      </c>
      <c r="O728" s="10" t="str">
        <f aca="false">IF(AND(G728="Engaging",J728&gt;Parâmetros!$B$6),"Sim","Não")</f>
        <v>Não</v>
      </c>
      <c r="P728" s="32" t="str">
        <f aca="false">IF(O728="Sim","R",IF(N728&gt;=Parâmetros!$B$39,"A",IF(N728&gt;=Parâmetros!$B$40,"B",IF(N728&gt;=Parâmetros!$B$41,"C","D"))))</f>
        <v>D</v>
      </c>
      <c r="Q728" s="10" t="str">
        <f aca="false">IF(F728="","Completar cadastro","")</f>
        <v>Completar cadastro</v>
      </c>
      <c r="R728" s="10" t="str">
        <f aca="false">INDEX(Parâmetros!$D$39:$D$43,MATCH(P728,Parâmetros!$A$39:$A$43,0))</f>
        <v>Automatizar ou vender em lote</v>
      </c>
    </row>
    <row r="729" customFormat="false" ht="15" hidden="false" customHeight="false" outlineLevel="0" collapsed="false">
      <c r="A729" s="10" t="s">
        <v>970</v>
      </c>
      <c r="B729" s="10" t="s">
        <v>79</v>
      </c>
      <c r="C729" s="10" t="s">
        <v>78</v>
      </c>
      <c r="D729" s="10" t="s">
        <v>196</v>
      </c>
      <c r="E729" s="10" t="s">
        <v>52</v>
      </c>
      <c r="F729" s="10"/>
      <c r="G729" s="10" t="s">
        <v>425</v>
      </c>
      <c r="H729" s="10"/>
      <c r="I729" s="8" t="n">
        <f aca="false">INDEX(Parâmetros!$C$13:$C$19,MATCH(E729,Parâmetros!$A$13:$A$19,0))</f>
        <v>55</v>
      </c>
      <c r="J729" s="26" t="str">
        <f aca="false">IF(H729="","",Parâmetros!$B$5-H729)</f>
        <v/>
      </c>
      <c r="K729" s="10" t="n">
        <f aca="false">INDEX(Parâmetros!$D$13:$D$19,MATCH(E729,Parâmetros!$A$13:$A$19,0))</f>
        <v>0</v>
      </c>
      <c r="L729" s="26" t="n">
        <f aca="false">IF(G729="Prospecting",Parâmetros!$B$9,IF(J729&gt;Parâmetros!$B$6,0,INDEX(Parâmetros!$C$24:$C$26,MATCH(J729,Parâmetros!$A$24:$A$26,1))))</f>
        <v>10</v>
      </c>
      <c r="M729" s="31" t="n">
        <f aca="false">IF(G729="Prospecting",1,INDEX(Parâmetros!$C$32:$C$35,MATCH(J729,Parâmetros!$A$32:$A$35,1)))</f>
        <v>1</v>
      </c>
      <c r="N729" s="2" t="n">
        <f aca="false">ROUND((K729+L729)*M729,0)</f>
        <v>10</v>
      </c>
      <c r="O729" s="10" t="str">
        <f aca="false">IF(AND(G729="Engaging",J729&gt;Parâmetros!$B$6),"Sim","Não")</f>
        <v>Não</v>
      </c>
      <c r="P729" s="32" t="str">
        <f aca="false">IF(O729="Sim","R",IF(N729&gt;=Parâmetros!$B$39,"A",IF(N729&gt;=Parâmetros!$B$40,"B",IF(N729&gt;=Parâmetros!$B$41,"C","D"))))</f>
        <v>D</v>
      </c>
      <c r="Q729" s="10" t="str">
        <f aca="false">IF(F729="","Completar cadastro","")</f>
        <v>Completar cadastro</v>
      </c>
      <c r="R729" s="10" t="str">
        <f aca="false">INDEX(Parâmetros!$D$39:$D$43,MATCH(P729,Parâmetros!$A$39:$A$43,0))</f>
        <v>Automatizar ou vender em lote</v>
      </c>
    </row>
    <row r="730" customFormat="false" ht="15" hidden="false" customHeight="false" outlineLevel="0" collapsed="false">
      <c r="A730" s="10" t="s">
        <v>971</v>
      </c>
      <c r="B730" s="10" t="s">
        <v>80</v>
      </c>
      <c r="C730" s="10" t="s">
        <v>78</v>
      </c>
      <c r="D730" s="10" t="s">
        <v>196</v>
      </c>
      <c r="E730" s="10" t="s">
        <v>52</v>
      </c>
      <c r="F730" s="10" t="s">
        <v>506</v>
      </c>
      <c r="G730" s="10" t="s">
        <v>425</v>
      </c>
      <c r="H730" s="10"/>
      <c r="I730" s="8" t="n">
        <f aca="false">INDEX(Parâmetros!$C$13:$C$19,MATCH(E730,Parâmetros!$A$13:$A$19,0))</f>
        <v>55</v>
      </c>
      <c r="J730" s="26" t="str">
        <f aca="false">IF(H730="","",Parâmetros!$B$5-H730)</f>
        <v/>
      </c>
      <c r="K730" s="10" t="n">
        <f aca="false">INDEX(Parâmetros!$D$13:$D$19,MATCH(E730,Parâmetros!$A$13:$A$19,0))</f>
        <v>0</v>
      </c>
      <c r="L730" s="26" t="n">
        <f aca="false">IF(G730="Prospecting",Parâmetros!$B$9,IF(J730&gt;Parâmetros!$B$6,0,INDEX(Parâmetros!$C$24:$C$26,MATCH(J730,Parâmetros!$A$24:$A$26,1))))</f>
        <v>10</v>
      </c>
      <c r="M730" s="31" t="n">
        <f aca="false">IF(G730="Prospecting",1,INDEX(Parâmetros!$C$32:$C$35,MATCH(J730,Parâmetros!$A$32:$A$35,1)))</f>
        <v>1</v>
      </c>
      <c r="N730" s="2" t="n">
        <f aca="false">ROUND((K730+L730)*M730,0)</f>
        <v>10</v>
      </c>
      <c r="O730" s="10" t="str">
        <f aca="false">IF(AND(G730="Engaging",J730&gt;Parâmetros!$B$6),"Sim","Não")</f>
        <v>Não</v>
      </c>
      <c r="P730" s="32" t="str">
        <f aca="false">IF(O730="Sim","R",IF(N730&gt;=Parâmetros!$B$39,"A",IF(N730&gt;=Parâmetros!$B$40,"B",IF(N730&gt;=Parâmetros!$B$41,"C","D"))))</f>
        <v>D</v>
      </c>
      <c r="Q730" s="10" t="str">
        <f aca="false">IF(F730="","Completar cadastro","")</f>
        <v/>
      </c>
      <c r="R730" s="10" t="str">
        <f aca="false">INDEX(Parâmetros!$D$39:$D$43,MATCH(P730,Parâmetros!$A$39:$A$43,0))</f>
        <v>Automatizar ou vender em lote</v>
      </c>
    </row>
    <row r="731" customFormat="false" ht="15" hidden="false" customHeight="false" outlineLevel="0" collapsed="false">
      <c r="A731" s="10" t="s">
        <v>972</v>
      </c>
      <c r="B731" s="10" t="s">
        <v>80</v>
      </c>
      <c r="C731" s="10" t="s">
        <v>78</v>
      </c>
      <c r="D731" s="10" t="s">
        <v>196</v>
      </c>
      <c r="E731" s="10" t="s">
        <v>52</v>
      </c>
      <c r="F731" s="10" t="s">
        <v>274</v>
      </c>
      <c r="G731" s="10" t="s">
        <v>425</v>
      </c>
      <c r="H731" s="10"/>
      <c r="I731" s="8" t="n">
        <f aca="false">INDEX(Parâmetros!$C$13:$C$19,MATCH(E731,Parâmetros!$A$13:$A$19,0))</f>
        <v>55</v>
      </c>
      <c r="J731" s="26" t="str">
        <f aca="false">IF(H731="","",Parâmetros!$B$5-H731)</f>
        <v/>
      </c>
      <c r="K731" s="10" t="n">
        <f aca="false">INDEX(Parâmetros!$D$13:$D$19,MATCH(E731,Parâmetros!$A$13:$A$19,0))</f>
        <v>0</v>
      </c>
      <c r="L731" s="26" t="n">
        <f aca="false">IF(G731="Prospecting",Parâmetros!$B$9,IF(J731&gt;Parâmetros!$B$6,0,INDEX(Parâmetros!$C$24:$C$26,MATCH(J731,Parâmetros!$A$24:$A$26,1))))</f>
        <v>10</v>
      </c>
      <c r="M731" s="31" t="n">
        <f aca="false">IF(G731="Prospecting",1,INDEX(Parâmetros!$C$32:$C$35,MATCH(J731,Parâmetros!$A$32:$A$35,1)))</f>
        <v>1</v>
      </c>
      <c r="N731" s="2" t="n">
        <f aca="false">ROUND((K731+L731)*M731,0)</f>
        <v>10</v>
      </c>
      <c r="O731" s="10" t="str">
        <f aca="false">IF(AND(G731="Engaging",J731&gt;Parâmetros!$B$6),"Sim","Não")</f>
        <v>Não</v>
      </c>
      <c r="P731" s="32" t="str">
        <f aca="false">IF(O731="Sim","R",IF(N731&gt;=Parâmetros!$B$39,"A",IF(N731&gt;=Parâmetros!$B$40,"B",IF(N731&gt;=Parâmetros!$B$41,"C","D"))))</f>
        <v>D</v>
      </c>
      <c r="Q731" s="10" t="str">
        <f aca="false">IF(F731="","Completar cadastro","")</f>
        <v/>
      </c>
      <c r="R731" s="10" t="str">
        <f aca="false">INDEX(Parâmetros!$D$39:$D$43,MATCH(P731,Parâmetros!$A$39:$A$43,0))</f>
        <v>Automatizar ou vender em lote</v>
      </c>
    </row>
    <row r="732" customFormat="false" ht="15" hidden="false" customHeight="false" outlineLevel="0" collapsed="false">
      <c r="A732" s="10" t="s">
        <v>973</v>
      </c>
      <c r="B732" s="10" t="s">
        <v>80</v>
      </c>
      <c r="C732" s="10" t="s">
        <v>78</v>
      </c>
      <c r="D732" s="10" t="s">
        <v>196</v>
      </c>
      <c r="E732" s="10" t="s">
        <v>52</v>
      </c>
      <c r="F732" s="10"/>
      <c r="G732" s="10" t="s">
        <v>425</v>
      </c>
      <c r="H732" s="10"/>
      <c r="I732" s="8" t="n">
        <f aca="false">INDEX(Parâmetros!$C$13:$C$19,MATCH(E732,Parâmetros!$A$13:$A$19,0))</f>
        <v>55</v>
      </c>
      <c r="J732" s="26" t="str">
        <f aca="false">IF(H732="","",Parâmetros!$B$5-H732)</f>
        <v/>
      </c>
      <c r="K732" s="10" t="n">
        <f aca="false">INDEX(Parâmetros!$D$13:$D$19,MATCH(E732,Parâmetros!$A$13:$A$19,0))</f>
        <v>0</v>
      </c>
      <c r="L732" s="26" t="n">
        <f aca="false">IF(G732="Prospecting",Parâmetros!$B$9,IF(J732&gt;Parâmetros!$B$6,0,INDEX(Parâmetros!$C$24:$C$26,MATCH(J732,Parâmetros!$A$24:$A$26,1))))</f>
        <v>10</v>
      </c>
      <c r="M732" s="31" t="n">
        <f aca="false">IF(G732="Prospecting",1,INDEX(Parâmetros!$C$32:$C$35,MATCH(J732,Parâmetros!$A$32:$A$35,1)))</f>
        <v>1</v>
      </c>
      <c r="N732" s="2" t="n">
        <f aca="false">ROUND((K732+L732)*M732,0)</f>
        <v>10</v>
      </c>
      <c r="O732" s="10" t="str">
        <f aca="false">IF(AND(G732="Engaging",J732&gt;Parâmetros!$B$6),"Sim","Não")</f>
        <v>Não</v>
      </c>
      <c r="P732" s="32" t="str">
        <f aca="false">IF(O732="Sim","R",IF(N732&gt;=Parâmetros!$B$39,"A",IF(N732&gt;=Parâmetros!$B$40,"B",IF(N732&gt;=Parâmetros!$B$41,"C","D"))))</f>
        <v>D</v>
      </c>
      <c r="Q732" s="10" t="str">
        <f aca="false">IF(F732="","Completar cadastro","")</f>
        <v>Completar cadastro</v>
      </c>
      <c r="R732" s="10" t="str">
        <f aca="false">INDEX(Parâmetros!$D$39:$D$43,MATCH(P732,Parâmetros!$A$39:$A$43,0))</f>
        <v>Automatizar ou vender em lote</v>
      </c>
    </row>
    <row r="733" customFormat="false" ht="15" hidden="false" customHeight="false" outlineLevel="0" collapsed="false">
      <c r="A733" s="10" t="s">
        <v>974</v>
      </c>
      <c r="B733" s="10" t="s">
        <v>80</v>
      </c>
      <c r="C733" s="10" t="s">
        <v>78</v>
      </c>
      <c r="D733" s="10" t="s">
        <v>196</v>
      </c>
      <c r="E733" s="10" t="s">
        <v>52</v>
      </c>
      <c r="F733" s="10"/>
      <c r="G733" s="10" t="s">
        <v>425</v>
      </c>
      <c r="H733" s="10"/>
      <c r="I733" s="8" t="n">
        <f aca="false">INDEX(Parâmetros!$C$13:$C$19,MATCH(E733,Parâmetros!$A$13:$A$19,0))</f>
        <v>55</v>
      </c>
      <c r="J733" s="26" t="str">
        <f aca="false">IF(H733="","",Parâmetros!$B$5-H733)</f>
        <v/>
      </c>
      <c r="K733" s="10" t="n">
        <f aca="false">INDEX(Parâmetros!$D$13:$D$19,MATCH(E733,Parâmetros!$A$13:$A$19,0))</f>
        <v>0</v>
      </c>
      <c r="L733" s="26" t="n">
        <f aca="false">IF(G733="Prospecting",Parâmetros!$B$9,IF(J733&gt;Parâmetros!$B$6,0,INDEX(Parâmetros!$C$24:$C$26,MATCH(J733,Parâmetros!$A$24:$A$26,1))))</f>
        <v>10</v>
      </c>
      <c r="M733" s="31" t="n">
        <f aca="false">IF(G733="Prospecting",1,INDEX(Parâmetros!$C$32:$C$35,MATCH(J733,Parâmetros!$A$32:$A$35,1)))</f>
        <v>1</v>
      </c>
      <c r="N733" s="2" t="n">
        <f aca="false">ROUND((K733+L733)*M733,0)</f>
        <v>10</v>
      </c>
      <c r="O733" s="10" t="str">
        <f aca="false">IF(AND(G733="Engaging",J733&gt;Parâmetros!$B$6),"Sim","Não")</f>
        <v>Não</v>
      </c>
      <c r="P733" s="32" t="str">
        <f aca="false">IF(O733="Sim","R",IF(N733&gt;=Parâmetros!$B$39,"A",IF(N733&gt;=Parâmetros!$B$40,"B",IF(N733&gt;=Parâmetros!$B$41,"C","D"))))</f>
        <v>D</v>
      </c>
      <c r="Q733" s="10" t="str">
        <f aca="false">IF(F733="","Completar cadastro","")</f>
        <v>Completar cadastro</v>
      </c>
      <c r="R733" s="10" t="str">
        <f aca="false">INDEX(Parâmetros!$D$39:$D$43,MATCH(P733,Parâmetros!$A$39:$A$43,0))</f>
        <v>Automatizar ou vender em lote</v>
      </c>
    </row>
    <row r="734" customFormat="false" ht="15" hidden="false" customHeight="false" outlineLevel="0" collapsed="false">
      <c r="A734" s="10" t="s">
        <v>975</v>
      </c>
      <c r="B734" s="10" t="s">
        <v>80</v>
      </c>
      <c r="C734" s="10" t="s">
        <v>78</v>
      </c>
      <c r="D734" s="10" t="s">
        <v>196</v>
      </c>
      <c r="E734" s="10" t="s">
        <v>52</v>
      </c>
      <c r="F734" s="10"/>
      <c r="G734" s="10" t="s">
        <v>425</v>
      </c>
      <c r="H734" s="10"/>
      <c r="I734" s="8" t="n">
        <f aca="false">INDEX(Parâmetros!$C$13:$C$19,MATCH(E734,Parâmetros!$A$13:$A$19,0))</f>
        <v>55</v>
      </c>
      <c r="J734" s="26" t="str">
        <f aca="false">IF(H734="","",Parâmetros!$B$5-H734)</f>
        <v/>
      </c>
      <c r="K734" s="10" t="n">
        <f aca="false">INDEX(Parâmetros!$D$13:$D$19,MATCH(E734,Parâmetros!$A$13:$A$19,0))</f>
        <v>0</v>
      </c>
      <c r="L734" s="26" t="n">
        <f aca="false">IF(G734="Prospecting",Parâmetros!$B$9,IF(J734&gt;Parâmetros!$B$6,0,INDEX(Parâmetros!$C$24:$C$26,MATCH(J734,Parâmetros!$A$24:$A$26,1))))</f>
        <v>10</v>
      </c>
      <c r="M734" s="31" t="n">
        <f aca="false">IF(G734="Prospecting",1,INDEX(Parâmetros!$C$32:$C$35,MATCH(J734,Parâmetros!$A$32:$A$35,1)))</f>
        <v>1</v>
      </c>
      <c r="N734" s="2" t="n">
        <f aca="false">ROUND((K734+L734)*M734,0)</f>
        <v>10</v>
      </c>
      <c r="O734" s="10" t="str">
        <f aca="false">IF(AND(G734="Engaging",J734&gt;Parâmetros!$B$6),"Sim","Não")</f>
        <v>Não</v>
      </c>
      <c r="P734" s="32" t="str">
        <f aca="false">IF(O734="Sim","R",IF(N734&gt;=Parâmetros!$B$39,"A",IF(N734&gt;=Parâmetros!$B$40,"B",IF(N734&gt;=Parâmetros!$B$41,"C","D"))))</f>
        <v>D</v>
      </c>
      <c r="Q734" s="10" t="str">
        <f aca="false">IF(F734="","Completar cadastro","")</f>
        <v>Completar cadastro</v>
      </c>
      <c r="R734" s="10" t="str">
        <f aca="false">INDEX(Parâmetros!$D$39:$D$43,MATCH(P734,Parâmetros!$A$39:$A$43,0))</f>
        <v>Automatizar ou vender em lote</v>
      </c>
    </row>
    <row r="735" customFormat="false" ht="15" hidden="false" customHeight="false" outlineLevel="0" collapsed="false">
      <c r="A735" s="10" t="s">
        <v>976</v>
      </c>
      <c r="B735" s="10" t="s">
        <v>80</v>
      </c>
      <c r="C735" s="10" t="s">
        <v>78</v>
      </c>
      <c r="D735" s="10" t="s">
        <v>196</v>
      </c>
      <c r="E735" s="10" t="s">
        <v>52</v>
      </c>
      <c r="F735" s="10"/>
      <c r="G735" s="10" t="s">
        <v>425</v>
      </c>
      <c r="H735" s="10"/>
      <c r="I735" s="8" t="n">
        <f aca="false">INDEX(Parâmetros!$C$13:$C$19,MATCH(E735,Parâmetros!$A$13:$A$19,0))</f>
        <v>55</v>
      </c>
      <c r="J735" s="26" t="str">
        <f aca="false">IF(H735="","",Parâmetros!$B$5-H735)</f>
        <v/>
      </c>
      <c r="K735" s="10" t="n">
        <f aca="false">INDEX(Parâmetros!$D$13:$D$19,MATCH(E735,Parâmetros!$A$13:$A$19,0))</f>
        <v>0</v>
      </c>
      <c r="L735" s="26" t="n">
        <f aca="false">IF(G735="Prospecting",Parâmetros!$B$9,IF(J735&gt;Parâmetros!$B$6,0,INDEX(Parâmetros!$C$24:$C$26,MATCH(J735,Parâmetros!$A$24:$A$26,1))))</f>
        <v>10</v>
      </c>
      <c r="M735" s="31" t="n">
        <f aca="false">IF(G735="Prospecting",1,INDEX(Parâmetros!$C$32:$C$35,MATCH(J735,Parâmetros!$A$32:$A$35,1)))</f>
        <v>1</v>
      </c>
      <c r="N735" s="2" t="n">
        <f aca="false">ROUND((K735+L735)*M735,0)</f>
        <v>10</v>
      </c>
      <c r="O735" s="10" t="str">
        <f aca="false">IF(AND(G735="Engaging",J735&gt;Parâmetros!$B$6),"Sim","Não")</f>
        <v>Não</v>
      </c>
      <c r="P735" s="32" t="str">
        <f aca="false">IF(O735="Sim","R",IF(N735&gt;=Parâmetros!$B$39,"A",IF(N735&gt;=Parâmetros!$B$40,"B",IF(N735&gt;=Parâmetros!$B$41,"C","D"))))</f>
        <v>D</v>
      </c>
      <c r="Q735" s="10" t="str">
        <f aca="false">IF(F735="","Completar cadastro","")</f>
        <v>Completar cadastro</v>
      </c>
      <c r="R735" s="10" t="str">
        <f aca="false">INDEX(Parâmetros!$D$39:$D$43,MATCH(P735,Parâmetros!$A$39:$A$43,0))</f>
        <v>Automatizar ou vender em lote</v>
      </c>
    </row>
    <row r="736" customFormat="false" ht="15" hidden="false" customHeight="false" outlineLevel="0" collapsed="false">
      <c r="A736" s="10" t="s">
        <v>977</v>
      </c>
      <c r="B736" s="10" t="s">
        <v>74</v>
      </c>
      <c r="C736" s="10" t="s">
        <v>72</v>
      </c>
      <c r="D736" s="10" t="s">
        <v>196</v>
      </c>
      <c r="E736" s="10" t="s">
        <v>52</v>
      </c>
      <c r="F736" s="10" t="s">
        <v>378</v>
      </c>
      <c r="G736" s="10" t="s">
        <v>425</v>
      </c>
      <c r="H736" s="10"/>
      <c r="I736" s="8" t="n">
        <f aca="false">INDEX(Parâmetros!$C$13:$C$19,MATCH(E736,Parâmetros!$A$13:$A$19,0))</f>
        <v>55</v>
      </c>
      <c r="J736" s="26" t="str">
        <f aca="false">IF(H736="","",Parâmetros!$B$5-H736)</f>
        <v/>
      </c>
      <c r="K736" s="10" t="n">
        <f aca="false">INDEX(Parâmetros!$D$13:$D$19,MATCH(E736,Parâmetros!$A$13:$A$19,0))</f>
        <v>0</v>
      </c>
      <c r="L736" s="26" t="n">
        <f aca="false">IF(G736="Prospecting",Parâmetros!$B$9,IF(J736&gt;Parâmetros!$B$6,0,INDEX(Parâmetros!$C$24:$C$26,MATCH(J736,Parâmetros!$A$24:$A$26,1))))</f>
        <v>10</v>
      </c>
      <c r="M736" s="31" t="n">
        <f aca="false">IF(G736="Prospecting",1,INDEX(Parâmetros!$C$32:$C$35,MATCH(J736,Parâmetros!$A$32:$A$35,1)))</f>
        <v>1</v>
      </c>
      <c r="N736" s="2" t="n">
        <f aca="false">ROUND((K736+L736)*M736,0)</f>
        <v>10</v>
      </c>
      <c r="O736" s="10" t="str">
        <f aca="false">IF(AND(G736="Engaging",J736&gt;Parâmetros!$B$6),"Sim","Não")</f>
        <v>Não</v>
      </c>
      <c r="P736" s="32" t="str">
        <f aca="false">IF(O736="Sim","R",IF(N736&gt;=Parâmetros!$B$39,"A",IF(N736&gt;=Parâmetros!$B$40,"B",IF(N736&gt;=Parâmetros!$B$41,"C","D"))))</f>
        <v>D</v>
      </c>
      <c r="Q736" s="10" t="str">
        <f aca="false">IF(F736="","Completar cadastro","")</f>
        <v/>
      </c>
      <c r="R736" s="10" t="str">
        <f aca="false">INDEX(Parâmetros!$D$39:$D$43,MATCH(P736,Parâmetros!$A$39:$A$43,0))</f>
        <v>Automatizar ou vender em lote</v>
      </c>
    </row>
    <row r="737" customFormat="false" ht="15" hidden="false" customHeight="false" outlineLevel="0" collapsed="false">
      <c r="A737" s="10" t="s">
        <v>978</v>
      </c>
      <c r="B737" s="10" t="s">
        <v>74</v>
      </c>
      <c r="C737" s="10" t="s">
        <v>72</v>
      </c>
      <c r="D737" s="10" t="s">
        <v>196</v>
      </c>
      <c r="E737" s="10" t="s">
        <v>52</v>
      </c>
      <c r="F737" s="10" t="s">
        <v>961</v>
      </c>
      <c r="G737" s="10" t="s">
        <v>425</v>
      </c>
      <c r="H737" s="10"/>
      <c r="I737" s="8" t="n">
        <f aca="false">INDEX(Parâmetros!$C$13:$C$19,MATCH(E737,Parâmetros!$A$13:$A$19,0))</f>
        <v>55</v>
      </c>
      <c r="J737" s="26" t="str">
        <f aca="false">IF(H737="","",Parâmetros!$B$5-H737)</f>
        <v/>
      </c>
      <c r="K737" s="10" t="n">
        <f aca="false">INDEX(Parâmetros!$D$13:$D$19,MATCH(E737,Parâmetros!$A$13:$A$19,0))</f>
        <v>0</v>
      </c>
      <c r="L737" s="26" t="n">
        <f aca="false">IF(G737="Prospecting",Parâmetros!$B$9,IF(J737&gt;Parâmetros!$B$6,0,INDEX(Parâmetros!$C$24:$C$26,MATCH(J737,Parâmetros!$A$24:$A$26,1))))</f>
        <v>10</v>
      </c>
      <c r="M737" s="31" t="n">
        <f aca="false">IF(G737="Prospecting",1,INDEX(Parâmetros!$C$32:$C$35,MATCH(J737,Parâmetros!$A$32:$A$35,1)))</f>
        <v>1</v>
      </c>
      <c r="N737" s="2" t="n">
        <f aca="false">ROUND((K737+L737)*M737,0)</f>
        <v>10</v>
      </c>
      <c r="O737" s="10" t="str">
        <f aca="false">IF(AND(G737="Engaging",J737&gt;Parâmetros!$B$6),"Sim","Não")</f>
        <v>Não</v>
      </c>
      <c r="P737" s="32" t="str">
        <f aca="false">IF(O737="Sim","R",IF(N737&gt;=Parâmetros!$B$39,"A",IF(N737&gt;=Parâmetros!$B$40,"B",IF(N737&gt;=Parâmetros!$B$41,"C","D"))))</f>
        <v>D</v>
      </c>
      <c r="Q737" s="10" t="str">
        <f aca="false">IF(F737="","Completar cadastro","")</f>
        <v/>
      </c>
      <c r="R737" s="10" t="str">
        <f aca="false">INDEX(Parâmetros!$D$39:$D$43,MATCH(P737,Parâmetros!$A$39:$A$43,0))</f>
        <v>Automatizar ou vender em lote</v>
      </c>
    </row>
    <row r="738" customFormat="false" ht="15" hidden="false" customHeight="false" outlineLevel="0" collapsed="false">
      <c r="A738" s="10" t="s">
        <v>979</v>
      </c>
      <c r="B738" s="10" t="s">
        <v>74</v>
      </c>
      <c r="C738" s="10" t="s">
        <v>72</v>
      </c>
      <c r="D738" s="10" t="s">
        <v>196</v>
      </c>
      <c r="E738" s="10" t="s">
        <v>52</v>
      </c>
      <c r="F738" s="10"/>
      <c r="G738" s="10" t="s">
        <v>425</v>
      </c>
      <c r="H738" s="10"/>
      <c r="I738" s="8" t="n">
        <f aca="false">INDEX(Parâmetros!$C$13:$C$19,MATCH(E738,Parâmetros!$A$13:$A$19,0))</f>
        <v>55</v>
      </c>
      <c r="J738" s="26" t="str">
        <f aca="false">IF(H738="","",Parâmetros!$B$5-H738)</f>
        <v/>
      </c>
      <c r="K738" s="10" t="n">
        <f aca="false">INDEX(Parâmetros!$D$13:$D$19,MATCH(E738,Parâmetros!$A$13:$A$19,0))</f>
        <v>0</v>
      </c>
      <c r="L738" s="26" t="n">
        <f aca="false">IF(G738="Prospecting",Parâmetros!$B$9,IF(J738&gt;Parâmetros!$B$6,0,INDEX(Parâmetros!$C$24:$C$26,MATCH(J738,Parâmetros!$A$24:$A$26,1))))</f>
        <v>10</v>
      </c>
      <c r="M738" s="31" t="n">
        <f aca="false">IF(G738="Prospecting",1,INDEX(Parâmetros!$C$32:$C$35,MATCH(J738,Parâmetros!$A$32:$A$35,1)))</f>
        <v>1</v>
      </c>
      <c r="N738" s="2" t="n">
        <f aca="false">ROUND((K738+L738)*M738,0)</f>
        <v>10</v>
      </c>
      <c r="O738" s="10" t="str">
        <f aca="false">IF(AND(G738="Engaging",J738&gt;Parâmetros!$B$6),"Sim","Não")</f>
        <v>Não</v>
      </c>
      <c r="P738" s="32" t="str">
        <f aca="false">IF(O738="Sim","R",IF(N738&gt;=Parâmetros!$B$39,"A",IF(N738&gt;=Parâmetros!$B$40,"B",IF(N738&gt;=Parâmetros!$B$41,"C","D"))))</f>
        <v>D</v>
      </c>
      <c r="Q738" s="10" t="str">
        <f aca="false">IF(F738="","Completar cadastro","")</f>
        <v>Completar cadastro</v>
      </c>
      <c r="R738" s="10" t="str">
        <f aca="false">INDEX(Parâmetros!$D$39:$D$43,MATCH(P738,Parâmetros!$A$39:$A$43,0))</f>
        <v>Automatizar ou vender em lote</v>
      </c>
    </row>
    <row r="739" customFormat="false" ht="15" hidden="false" customHeight="false" outlineLevel="0" collapsed="false">
      <c r="A739" s="10" t="s">
        <v>980</v>
      </c>
      <c r="B739" s="10" t="s">
        <v>74</v>
      </c>
      <c r="C739" s="10" t="s">
        <v>72</v>
      </c>
      <c r="D739" s="10" t="s">
        <v>196</v>
      </c>
      <c r="E739" s="10" t="s">
        <v>52</v>
      </c>
      <c r="F739" s="10"/>
      <c r="G739" s="10" t="s">
        <v>425</v>
      </c>
      <c r="H739" s="10"/>
      <c r="I739" s="8" t="n">
        <f aca="false">INDEX(Parâmetros!$C$13:$C$19,MATCH(E739,Parâmetros!$A$13:$A$19,0))</f>
        <v>55</v>
      </c>
      <c r="J739" s="26" t="str">
        <f aca="false">IF(H739="","",Parâmetros!$B$5-H739)</f>
        <v/>
      </c>
      <c r="K739" s="10" t="n">
        <f aca="false">INDEX(Parâmetros!$D$13:$D$19,MATCH(E739,Parâmetros!$A$13:$A$19,0))</f>
        <v>0</v>
      </c>
      <c r="L739" s="26" t="n">
        <f aca="false">IF(G739="Prospecting",Parâmetros!$B$9,IF(J739&gt;Parâmetros!$B$6,0,INDEX(Parâmetros!$C$24:$C$26,MATCH(J739,Parâmetros!$A$24:$A$26,1))))</f>
        <v>10</v>
      </c>
      <c r="M739" s="31" t="n">
        <f aca="false">IF(G739="Prospecting",1,INDEX(Parâmetros!$C$32:$C$35,MATCH(J739,Parâmetros!$A$32:$A$35,1)))</f>
        <v>1</v>
      </c>
      <c r="N739" s="2" t="n">
        <f aca="false">ROUND((K739+L739)*M739,0)</f>
        <v>10</v>
      </c>
      <c r="O739" s="10" t="str">
        <f aca="false">IF(AND(G739="Engaging",J739&gt;Parâmetros!$B$6),"Sim","Não")</f>
        <v>Não</v>
      </c>
      <c r="P739" s="32" t="str">
        <f aca="false">IF(O739="Sim","R",IF(N739&gt;=Parâmetros!$B$39,"A",IF(N739&gt;=Parâmetros!$B$40,"B",IF(N739&gt;=Parâmetros!$B$41,"C","D"))))</f>
        <v>D</v>
      </c>
      <c r="Q739" s="10" t="str">
        <f aca="false">IF(F739="","Completar cadastro","")</f>
        <v>Completar cadastro</v>
      </c>
      <c r="R739" s="10" t="str">
        <f aca="false">INDEX(Parâmetros!$D$39:$D$43,MATCH(P739,Parâmetros!$A$39:$A$43,0))</f>
        <v>Automatizar ou vender em lote</v>
      </c>
    </row>
    <row r="740" customFormat="false" ht="15" hidden="false" customHeight="false" outlineLevel="0" collapsed="false">
      <c r="A740" s="10" t="s">
        <v>981</v>
      </c>
      <c r="B740" s="10" t="s">
        <v>74</v>
      </c>
      <c r="C740" s="10" t="s">
        <v>72</v>
      </c>
      <c r="D740" s="10" t="s">
        <v>196</v>
      </c>
      <c r="E740" s="10" t="s">
        <v>52</v>
      </c>
      <c r="F740" s="10"/>
      <c r="G740" s="10" t="s">
        <v>425</v>
      </c>
      <c r="H740" s="10"/>
      <c r="I740" s="8" t="n">
        <f aca="false">INDEX(Parâmetros!$C$13:$C$19,MATCH(E740,Parâmetros!$A$13:$A$19,0))</f>
        <v>55</v>
      </c>
      <c r="J740" s="26" t="str">
        <f aca="false">IF(H740="","",Parâmetros!$B$5-H740)</f>
        <v/>
      </c>
      <c r="K740" s="10" t="n">
        <f aca="false">INDEX(Parâmetros!$D$13:$D$19,MATCH(E740,Parâmetros!$A$13:$A$19,0))</f>
        <v>0</v>
      </c>
      <c r="L740" s="26" t="n">
        <f aca="false">IF(G740="Prospecting",Parâmetros!$B$9,IF(J740&gt;Parâmetros!$B$6,0,INDEX(Parâmetros!$C$24:$C$26,MATCH(J740,Parâmetros!$A$24:$A$26,1))))</f>
        <v>10</v>
      </c>
      <c r="M740" s="31" t="n">
        <f aca="false">IF(G740="Prospecting",1,INDEX(Parâmetros!$C$32:$C$35,MATCH(J740,Parâmetros!$A$32:$A$35,1)))</f>
        <v>1</v>
      </c>
      <c r="N740" s="2" t="n">
        <f aca="false">ROUND((K740+L740)*M740,0)</f>
        <v>10</v>
      </c>
      <c r="O740" s="10" t="str">
        <f aca="false">IF(AND(G740="Engaging",J740&gt;Parâmetros!$B$6),"Sim","Não")</f>
        <v>Não</v>
      </c>
      <c r="P740" s="32" t="str">
        <f aca="false">IF(O740="Sim","R",IF(N740&gt;=Parâmetros!$B$39,"A",IF(N740&gt;=Parâmetros!$B$40,"B",IF(N740&gt;=Parâmetros!$B$41,"C","D"))))</f>
        <v>D</v>
      </c>
      <c r="Q740" s="10" t="str">
        <f aca="false">IF(F740="","Completar cadastro","")</f>
        <v>Completar cadastro</v>
      </c>
      <c r="R740" s="10" t="str">
        <f aca="false">INDEX(Parâmetros!$D$39:$D$43,MATCH(P740,Parâmetros!$A$39:$A$43,0))</f>
        <v>Automatizar ou vender em lote</v>
      </c>
    </row>
    <row r="741" customFormat="false" ht="15" hidden="false" customHeight="false" outlineLevel="0" collapsed="false">
      <c r="A741" s="10" t="s">
        <v>982</v>
      </c>
      <c r="B741" s="10" t="s">
        <v>74</v>
      </c>
      <c r="C741" s="10" t="s">
        <v>72</v>
      </c>
      <c r="D741" s="10" t="s">
        <v>196</v>
      </c>
      <c r="E741" s="10" t="s">
        <v>52</v>
      </c>
      <c r="F741" s="10"/>
      <c r="G741" s="10" t="s">
        <v>425</v>
      </c>
      <c r="H741" s="10"/>
      <c r="I741" s="8" t="n">
        <f aca="false">INDEX(Parâmetros!$C$13:$C$19,MATCH(E741,Parâmetros!$A$13:$A$19,0))</f>
        <v>55</v>
      </c>
      <c r="J741" s="26" t="str">
        <f aca="false">IF(H741="","",Parâmetros!$B$5-H741)</f>
        <v/>
      </c>
      <c r="K741" s="10" t="n">
        <f aca="false">INDEX(Parâmetros!$D$13:$D$19,MATCH(E741,Parâmetros!$A$13:$A$19,0))</f>
        <v>0</v>
      </c>
      <c r="L741" s="26" t="n">
        <f aca="false">IF(G741="Prospecting",Parâmetros!$B$9,IF(J741&gt;Parâmetros!$B$6,0,INDEX(Parâmetros!$C$24:$C$26,MATCH(J741,Parâmetros!$A$24:$A$26,1))))</f>
        <v>10</v>
      </c>
      <c r="M741" s="31" t="n">
        <f aca="false">IF(G741="Prospecting",1,INDEX(Parâmetros!$C$32:$C$35,MATCH(J741,Parâmetros!$A$32:$A$35,1)))</f>
        <v>1</v>
      </c>
      <c r="N741" s="2" t="n">
        <f aca="false">ROUND((K741+L741)*M741,0)</f>
        <v>10</v>
      </c>
      <c r="O741" s="10" t="str">
        <f aca="false">IF(AND(G741="Engaging",J741&gt;Parâmetros!$B$6),"Sim","Não")</f>
        <v>Não</v>
      </c>
      <c r="P741" s="32" t="str">
        <f aca="false">IF(O741="Sim","R",IF(N741&gt;=Parâmetros!$B$39,"A",IF(N741&gt;=Parâmetros!$B$40,"B",IF(N741&gt;=Parâmetros!$B$41,"C","D"))))</f>
        <v>D</v>
      </c>
      <c r="Q741" s="10" t="str">
        <f aca="false">IF(F741="","Completar cadastro","")</f>
        <v>Completar cadastro</v>
      </c>
      <c r="R741" s="10" t="str">
        <f aca="false">INDEX(Parâmetros!$D$39:$D$43,MATCH(P741,Parâmetros!$A$39:$A$43,0))</f>
        <v>Automatizar ou vender em lote</v>
      </c>
    </row>
    <row r="742" customFormat="false" ht="15" hidden="false" customHeight="false" outlineLevel="0" collapsed="false">
      <c r="A742" s="10" t="s">
        <v>983</v>
      </c>
      <c r="B742" s="10" t="s">
        <v>74</v>
      </c>
      <c r="C742" s="10" t="s">
        <v>72</v>
      </c>
      <c r="D742" s="10" t="s">
        <v>196</v>
      </c>
      <c r="E742" s="10" t="s">
        <v>52</v>
      </c>
      <c r="F742" s="10"/>
      <c r="G742" s="10" t="s">
        <v>425</v>
      </c>
      <c r="H742" s="10"/>
      <c r="I742" s="8" t="n">
        <f aca="false">INDEX(Parâmetros!$C$13:$C$19,MATCH(E742,Parâmetros!$A$13:$A$19,0))</f>
        <v>55</v>
      </c>
      <c r="J742" s="26" t="str">
        <f aca="false">IF(H742="","",Parâmetros!$B$5-H742)</f>
        <v/>
      </c>
      <c r="K742" s="10" t="n">
        <f aca="false">INDEX(Parâmetros!$D$13:$D$19,MATCH(E742,Parâmetros!$A$13:$A$19,0))</f>
        <v>0</v>
      </c>
      <c r="L742" s="26" t="n">
        <f aca="false">IF(G742="Prospecting",Parâmetros!$B$9,IF(J742&gt;Parâmetros!$B$6,0,INDEX(Parâmetros!$C$24:$C$26,MATCH(J742,Parâmetros!$A$24:$A$26,1))))</f>
        <v>10</v>
      </c>
      <c r="M742" s="31" t="n">
        <f aca="false">IF(G742="Prospecting",1,INDEX(Parâmetros!$C$32:$C$35,MATCH(J742,Parâmetros!$A$32:$A$35,1)))</f>
        <v>1</v>
      </c>
      <c r="N742" s="2" t="n">
        <f aca="false">ROUND((K742+L742)*M742,0)</f>
        <v>10</v>
      </c>
      <c r="O742" s="10" t="str">
        <f aca="false">IF(AND(G742="Engaging",J742&gt;Parâmetros!$B$6),"Sim","Não")</f>
        <v>Não</v>
      </c>
      <c r="P742" s="32" t="str">
        <f aca="false">IF(O742="Sim","R",IF(N742&gt;=Parâmetros!$B$39,"A",IF(N742&gt;=Parâmetros!$B$40,"B",IF(N742&gt;=Parâmetros!$B$41,"C","D"))))</f>
        <v>D</v>
      </c>
      <c r="Q742" s="10" t="str">
        <f aca="false">IF(F742="","Completar cadastro","")</f>
        <v>Completar cadastro</v>
      </c>
      <c r="R742" s="10" t="str">
        <f aca="false">INDEX(Parâmetros!$D$39:$D$43,MATCH(P742,Parâmetros!$A$39:$A$43,0))</f>
        <v>Automatizar ou vender em lote</v>
      </c>
    </row>
    <row r="743" customFormat="false" ht="15" hidden="false" customHeight="false" outlineLevel="0" collapsed="false">
      <c r="A743" s="10" t="s">
        <v>984</v>
      </c>
      <c r="B743" s="10" t="s">
        <v>74</v>
      </c>
      <c r="C743" s="10" t="s">
        <v>72</v>
      </c>
      <c r="D743" s="10" t="s">
        <v>196</v>
      </c>
      <c r="E743" s="10" t="s">
        <v>52</v>
      </c>
      <c r="F743" s="10"/>
      <c r="G743" s="10" t="s">
        <v>425</v>
      </c>
      <c r="H743" s="10"/>
      <c r="I743" s="8" t="n">
        <f aca="false">INDEX(Parâmetros!$C$13:$C$19,MATCH(E743,Parâmetros!$A$13:$A$19,0))</f>
        <v>55</v>
      </c>
      <c r="J743" s="26" t="str">
        <f aca="false">IF(H743="","",Parâmetros!$B$5-H743)</f>
        <v/>
      </c>
      <c r="K743" s="10" t="n">
        <f aca="false">INDEX(Parâmetros!$D$13:$D$19,MATCH(E743,Parâmetros!$A$13:$A$19,0))</f>
        <v>0</v>
      </c>
      <c r="L743" s="26" t="n">
        <f aca="false">IF(G743="Prospecting",Parâmetros!$B$9,IF(J743&gt;Parâmetros!$B$6,0,INDEX(Parâmetros!$C$24:$C$26,MATCH(J743,Parâmetros!$A$24:$A$26,1))))</f>
        <v>10</v>
      </c>
      <c r="M743" s="31" t="n">
        <f aca="false">IF(G743="Prospecting",1,INDEX(Parâmetros!$C$32:$C$35,MATCH(J743,Parâmetros!$A$32:$A$35,1)))</f>
        <v>1</v>
      </c>
      <c r="N743" s="2" t="n">
        <f aca="false">ROUND((K743+L743)*M743,0)</f>
        <v>10</v>
      </c>
      <c r="O743" s="10" t="str">
        <f aca="false">IF(AND(G743="Engaging",J743&gt;Parâmetros!$B$6),"Sim","Não")</f>
        <v>Não</v>
      </c>
      <c r="P743" s="32" t="str">
        <f aca="false">IF(O743="Sim","R",IF(N743&gt;=Parâmetros!$B$39,"A",IF(N743&gt;=Parâmetros!$B$40,"B",IF(N743&gt;=Parâmetros!$B$41,"C","D"))))</f>
        <v>D</v>
      </c>
      <c r="Q743" s="10" t="str">
        <f aca="false">IF(F743="","Completar cadastro","")</f>
        <v>Completar cadastro</v>
      </c>
      <c r="R743" s="10" t="str">
        <f aca="false">INDEX(Parâmetros!$D$39:$D$43,MATCH(P743,Parâmetros!$A$39:$A$43,0))</f>
        <v>Automatizar ou vender em lote</v>
      </c>
    </row>
    <row r="744" customFormat="false" ht="15" hidden="false" customHeight="false" outlineLevel="0" collapsed="false">
      <c r="A744" s="10" t="s">
        <v>985</v>
      </c>
      <c r="B744" s="10" t="s">
        <v>81</v>
      </c>
      <c r="C744" s="10" t="s">
        <v>78</v>
      </c>
      <c r="D744" s="10" t="s">
        <v>196</v>
      </c>
      <c r="E744" s="10" t="s">
        <v>52</v>
      </c>
      <c r="F744" s="10" t="s">
        <v>986</v>
      </c>
      <c r="G744" s="10" t="s">
        <v>425</v>
      </c>
      <c r="H744" s="10"/>
      <c r="I744" s="8" t="n">
        <f aca="false">INDEX(Parâmetros!$C$13:$C$19,MATCH(E744,Parâmetros!$A$13:$A$19,0))</f>
        <v>55</v>
      </c>
      <c r="J744" s="26" t="str">
        <f aca="false">IF(H744="","",Parâmetros!$B$5-H744)</f>
        <v/>
      </c>
      <c r="K744" s="10" t="n">
        <f aca="false">INDEX(Parâmetros!$D$13:$D$19,MATCH(E744,Parâmetros!$A$13:$A$19,0))</f>
        <v>0</v>
      </c>
      <c r="L744" s="26" t="n">
        <f aca="false">IF(G744="Prospecting",Parâmetros!$B$9,IF(J744&gt;Parâmetros!$B$6,0,INDEX(Parâmetros!$C$24:$C$26,MATCH(J744,Parâmetros!$A$24:$A$26,1))))</f>
        <v>10</v>
      </c>
      <c r="M744" s="31" t="n">
        <f aca="false">IF(G744="Prospecting",1,INDEX(Parâmetros!$C$32:$C$35,MATCH(J744,Parâmetros!$A$32:$A$35,1)))</f>
        <v>1</v>
      </c>
      <c r="N744" s="2" t="n">
        <f aca="false">ROUND((K744+L744)*M744,0)</f>
        <v>10</v>
      </c>
      <c r="O744" s="10" t="str">
        <f aca="false">IF(AND(G744="Engaging",J744&gt;Parâmetros!$B$6),"Sim","Não")</f>
        <v>Não</v>
      </c>
      <c r="P744" s="32" t="str">
        <f aca="false">IF(O744="Sim","R",IF(N744&gt;=Parâmetros!$B$39,"A",IF(N744&gt;=Parâmetros!$B$40,"B",IF(N744&gt;=Parâmetros!$B$41,"C","D"))))</f>
        <v>D</v>
      </c>
      <c r="Q744" s="10" t="str">
        <f aca="false">IF(F744="","Completar cadastro","")</f>
        <v/>
      </c>
      <c r="R744" s="10" t="str">
        <f aca="false">INDEX(Parâmetros!$D$39:$D$43,MATCH(P744,Parâmetros!$A$39:$A$43,0))</f>
        <v>Automatizar ou vender em lote</v>
      </c>
    </row>
    <row r="745" customFormat="false" ht="15" hidden="false" customHeight="false" outlineLevel="0" collapsed="false">
      <c r="A745" s="10" t="s">
        <v>987</v>
      </c>
      <c r="B745" s="10" t="s">
        <v>81</v>
      </c>
      <c r="C745" s="10" t="s">
        <v>78</v>
      </c>
      <c r="D745" s="10" t="s">
        <v>196</v>
      </c>
      <c r="E745" s="10" t="s">
        <v>52</v>
      </c>
      <c r="F745" s="10" t="s">
        <v>514</v>
      </c>
      <c r="G745" s="10" t="s">
        <v>425</v>
      </c>
      <c r="H745" s="10"/>
      <c r="I745" s="8" t="n">
        <f aca="false">INDEX(Parâmetros!$C$13:$C$19,MATCH(E745,Parâmetros!$A$13:$A$19,0))</f>
        <v>55</v>
      </c>
      <c r="J745" s="26" t="str">
        <f aca="false">IF(H745="","",Parâmetros!$B$5-H745)</f>
        <v/>
      </c>
      <c r="K745" s="10" t="n">
        <f aca="false">INDEX(Parâmetros!$D$13:$D$19,MATCH(E745,Parâmetros!$A$13:$A$19,0))</f>
        <v>0</v>
      </c>
      <c r="L745" s="26" t="n">
        <f aca="false">IF(G745="Prospecting",Parâmetros!$B$9,IF(J745&gt;Parâmetros!$B$6,0,INDEX(Parâmetros!$C$24:$C$26,MATCH(J745,Parâmetros!$A$24:$A$26,1))))</f>
        <v>10</v>
      </c>
      <c r="M745" s="31" t="n">
        <f aca="false">IF(G745="Prospecting",1,INDEX(Parâmetros!$C$32:$C$35,MATCH(J745,Parâmetros!$A$32:$A$35,1)))</f>
        <v>1</v>
      </c>
      <c r="N745" s="2" t="n">
        <f aca="false">ROUND((K745+L745)*M745,0)</f>
        <v>10</v>
      </c>
      <c r="O745" s="10" t="str">
        <f aca="false">IF(AND(G745="Engaging",J745&gt;Parâmetros!$B$6),"Sim","Não")</f>
        <v>Não</v>
      </c>
      <c r="P745" s="32" t="str">
        <f aca="false">IF(O745="Sim","R",IF(N745&gt;=Parâmetros!$B$39,"A",IF(N745&gt;=Parâmetros!$B$40,"B",IF(N745&gt;=Parâmetros!$B$41,"C","D"))))</f>
        <v>D</v>
      </c>
      <c r="Q745" s="10" t="str">
        <f aca="false">IF(F745="","Completar cadastro","")</f>
        <v/>
      </c>
      <c r="R745" s="10" t="str">
        <f aca="false">INDEX(Parâmetros!$D$39:$D$43,MATCH(P745,Parâmetros!$A$39:$A$43,0))</f>
        <v>Automatizar ou vender em lote</v>
      </c>
    </row>
    <row r="746" customFormat="false" ht="15" hidden="false" customHeight="false" outlineLevel="0" collapsed="false">
      <c r="A746" s="10" t="s">
        <v>988</v>
      </c>
      <c r="B746" s="10" t="s">
        <v>81</v>
      </c>
      <c r="C746" s="10" t="s">
        <v>78</v>
      </c>
      <c r="D746" s="10" t="s">
        <v>196</v>
      </c>
      <c r="E746" s="10" t="s">
        <v>52</v>
      </c>
      <c r="F746" s="10" t="s">
        <v>762</v>
      </c>
      <c r="G746" s="10" t="s">
        <v>425</v>
      </c>
      <c r="H746" s="10"/>
      <c r="I746" s="8" t="n">
        <f aca="false">INDEX(Parâmetros!$C$13:$C$19,MATCH(E746,Parâmetros!$A$13:$A$19,0))</f>
        <v>55</v>
      </c>
      <c r="J746" s="26" t="str">
        <f aca="false">IF(H746="","",Parâmetros!$B$5-H746)</f>
        <v/>
      </c>
      <c r="K746" s="10" t="n">
        <f aca="false">INDEX(Parâmetros!$D$13:$D$19,MATCH(E746,Parâmetros!$A$13:$A$19,0))</f>
        <v>0</v>
      </c>
      <c r="L746" s="26" t="n">
        <f aca="false">IF(G746="Prospecting",Parâmetros!$B$9,IF(J746&gt;Parâmetros!$B$6,0,INDEX(Parâmetros!$C$24:$C$26,MATCH(J746,Parâmetros!$A$24:$A$26,1))))</f>
        <v>10</v>
      </c>
      <c r="M746" s="31" t="n">
        <f aca="false">IF(G746="Prospecting",1,INDEX(Parâmetros!$C$32:$C$35,MATCH(J746,Parâmetros!$A$32:$A$35,1)))</f>
        <v>1</v>
      </c>
      <c r="N746" s="2" t="n">
        <f aca="false">ROUND((K746+L746)*M746,0)</f>
        <v>10</v>
      </c>
      <c r="O746" s="10" t="str">
        <f aca="false">IF(AND(G746="Engaging",J746&gt;Parâmetros!$B$6),"Sim","Não")</f>
        <v>Não</v>
      </c>
      <c r="P746" s="32" t="str">
        <f aca="false">IF(O746="Sim","R",IF(N746&gt;=Parâmetros!$B$39,"A",IF(N746&gt;=Parâmetros!$B$40,"B",IF(N746&gt;=Parâmetros!$B$41,"C","D"))))</f>
        <v>D</v>
      </c>
      <c r="Q746" s="10" t="str">
        <f aca="false">IF(F746="","Completar cadastro","")</f>
        <v/>
      </c>
      <c r="R746" s="10" t="str">
        <f aca="false">INDEX(Parâmetros!$D$39:$D$43,MATCH(P746,Parâmetros!$A$39:$A$43,0))</f>
        <v>Automatizar ou vender em lote</v>
      </c>
    </row>
    <row r="747" customFormat="false" ht="15" hidden="false" customHeight="false" outlineLevel="0" collapsed="false">
      <c r="A747" s="10" t="s">
        <v>989</v>
      </c>
      <c r="B747" s="10" t="s">
        <v>81</v>
      </c>
      <c r="C747" s="10" t="s">
        <v>78</v>
      </c>
      <c r="D747" s="10" t="s">
        <v>196</v>
      </c>
      <c r="E747" s="10" t="s">
        <v>52</v>
      </c>
      <c r="F747" s="10" t="s">
        <v>267</v>
      </c>
      <c r="G747" s="10" t="s">
        <v>425</v>
      </c>
      <c r="H747" s="10"/>
      <c r="I747" s="8" t="n">
        <f aca="false">INDEX(Parâmetros!$C$13:$C$19,MATCH(E747,Parâmetros!$A$13:$A$19,0))</f>
        <v>55</v>
      </c>
      <c r="J747" s="26" t="str">
        <f aca="false">IF(H747="","",Parâmetros!$B$5-H747)</f>
        <v/>
      </c>
      <c r="K747" s="10" t="n">
        <f aca="false">INDEX(Parâmetros!$D$13:$D$19,MATCH(E747,Parâmetros!$A$13:$A$19,0))</f>
        <v>0</v>
      </c>
      <c r="L747" s="26" t="n">
        <f aca="false">IF(G747="Prospecting",Parâmetros!$B$9,IF(J747&gt;Parâmetros!$B$6,0,INDEX(Parâmetros!$C$24:$C$26,MATCH(J747,Parâmetros!$A$24:$A$26,1))))</f>
        <v>10</v>
      </c>
      <c r="M747" s="31" t="n">
        <f aca="false">IF(G747="Prospecting",1,INDEX(Parâmetros!$C$32:$C$35,MATCH(J747,Parâmetros!$A$32:$A$35,1)))</f>
        <v>1</v>
      </c>
      <c r="N747" s="2" t="n">
        <f aca="false">ROUND((K747+L747)*M747,0)</f>
        <v>10</v>
      </c>
      <c r="O747" s="10" t="str">
        <f aca="false">IF(AND(G747="Engaging",J747&gt;Parâmetros!$B$6),"Sim","Não")</f>
        <v>Não</v>
      </c>
      <c r="P747" s="32" t="str">
        <f aca="false">IF(O747="Sim","R",IF(N747&gt;=Parâmetros!$B$39,"A",IF(N747&gt;=Parâmetros!$B$40,"B",IF(N747&gt;=Parâmetros!$B$41,"C","D"))))</f>
        <v>D</v>
      </c>
      <c r="Q747" s="10" t="str">
        <f aca="false">IF(F747="","Completar cadastro","")</f>
        <v/>
      </c>
      <c r="R747" s="10" t="str">
        <f aca="false">INDEX(Parâmetros!$D$39:$D$43,MATCH(P747,Parâmetros!$A$39:$A$43,0))</f>
        <v>Automatizar ou vender em lote</v>
      </c>
    </row>
    <row r="748" customFormat="false" ht="15" hidden="false" customHeight="false" outlineLevel="0" collapsed="false">
      <c r="A748" s="10" t="s">
        <v>990</v>
      </c>
      <c r="B748" s="10" t="s">
        <v>81</v>
      </c>
      <c r="C748" s="10" t="s">
        <v>78</v>
      </c>
      <c r="D748" s="10" t="s">
        <v>196</v>
      </c>
      <c r="E748" s="10" t="s">
        <v>52</v>
      </c>
      <c r="F748" s="10"/>
      <c r="G748" s="10" t="s">
        <v>425</v>
      </c>
      <c r="H748" s="10"/>
      <c r="I748" s="8" t="n">
        <f aca="false">INDEX(Parâmetros!$C$13:$C$19,MATCH(E748,Parâmetros!$A$13:$A$19,0))</f>
        <v>55</v>
      </c>
      <c r="J748" s="26" t="str">
        <f aca="false">IF(H748="","",Parâmetros!$B$5-H748)</f>
        <v/>
      </c>
      <c r="K748" s="10" t="n">
        <f aca="false">INDEX(Parâmetros!$D$13:$D$19,MATCH(E748,Parâmetros!$A$13:$A$19,0))</f>
        <v>0</v>
      </c>
      <c r="L748" s="26" t="n">
        <f aca="false">IF(G748="Prospecting",Parâmetros!$B$9,IF(J748&gt;Parâmetros!$B$6,0,INDEX(Parâmetros!$C$24:$C$26,MATCH(J748,Parâmetros!$A$24:$A$26,1))))</f>
        <v>10</v>
      </c>
      <c r="M748" s="31" t="n">
        <f aca="false">IF(G748="Prospecting",1,INDEX(Parâmetros!$C$32:$C$35,MATCH(J748,Parâmetros!$A$32:$A$35,1)))</f>
        <v>1</v>
      </c>
      <c r="N748" s="2" t="n">
        <f aca="false">ROUND((K748+L748)*M748,0)</f>
        <v>10</v>
      </c>
      <c r="O748" s="10" t="str">
        <f aca="false">IF(AND(G748="Engaging",J748&gt;Parâmetros!$B$6),"Sim","Não")</f>
        <v>Não</v>
      </c>
      <c r="P748" s="32" t="str">
        <f aca="false">IF(O748="Sim","R",IF(N748&gt;=Parâmetros!$B$39,"A",IF(N748&gt;=Parâmetros!$B$40,"B",IF(N748&gt;=Parâmetros!$B$41,"C","D"))))</f>
        <v>D</v>
      </c>
      <c r="Q748" s="10" t="str">
        <f aca="false">IF(F748="","Completar cadastro","")</f>
        <v>Completar cadastro</v>
      </c>
      <c r="R748" s="10" t="str">
        <f aca="false">INDEX(Parâmetros!$D$39:$D$43,MATCH(P748,Parâmetros!$A$39:$A$43,0))</f>
        <v>Automatizar ou vender em lote</v>
      </c>
    </row>
    <row r="749" customFormat="false" ht="15" hidden="false" customHeight="false" outlineLevel="0" collapsed="false">
      <c r="A749" s="10" t="s">
        <v>991</v>
      </c>
      <c r="B749" s="10" t="s">
        <v>81</v>
      </c>
      <c r="C749" s="10" t="s">
        <v>78</v>
      </c>
      <c r="D749" s="10" t="s">
        <v>196</v>
      </c>
      <c r="E749" s="10" t="s">
        <v>52</v>
      </c>
      <c r="F749" s="10"/>
      <c r="G749" s="10" t="s">
        <v>425</v>
      </c>
      <c r="H749" s="10"/>
      <c r="I749" s="8" t="n">
        <f aca="false">INDEX(Parâmetros!$C$13:$C$19,MATCH(E749,Parâmetros!$A$13:$A$19,0))</f>
        <v>55</v>
      </c>
      <c r="J749" s="26" t="str">
        <f aca="false">IF(H749="","",Parâmetros!$B$5-H749)</f>
        <v/>
      </c>
      <c r="K749" s="10" t="n">
        <f aca="false">INDEX(Parâmetros!$D$13:$D$19,MATCH(E749,Parâmetros!$A$13:$A$19,0))</f>
        <v>0</v>
      </c>
      <c r="L749" s="26" t="n">
        <f aca="false">IF(G749="Prospecting",Parâmetros!$B$9,IF(J749&gt;Parâmetros!$B$6,0,INDEX(Parâmetros!$C$24:$C$26,MATCH(J749,Parâmetros!$A$24:$A$26,1))))</f>
        <v>10</v>
      </c>
      <c r="M749" s="31" t="n">
        <f aca="false">IF(G749="Prospecting",1,INDEX(Parâmetros!$C$32:$C$35,MATCH(J749,Parâmetros!$A$32:$A$35,1)))</f>
        <v>1</v>
      </c>
      <c r="N749" s="2" t="n">
        <f aca="false">ROUND((K749+L749)*M749,0)</f>
        <v>10</v>
      </c>
      <c r="O749" s="10" t="str">
        <f aca="false">IF(AND(G749="Engaging",J749&gt;Parâmetros!$B$6),"Sim","Não")</f>
        <v>Não</v>
      </c>
      <c r="P749" s="32" t="str">
        <f aca="false">IF(O749="Sim","R",IF(N749&gt;=Parâmetros!$B$39,"A",IF(N749&gt;=Parâmetros!$B$40,"B",IF(N749&gt;=Parâmetros!$B$41,"C","D"))))</f>
        <v>D</v>
      </c>
      <c r="Q749" s="10" t="str">
        <f aca="false">IF(F749="","Completar cadastro","")</f>
        <v>Completar cadastro</v>
      </c>
      <c r="R749" s="10" t="str">
        <f aca="false">INDEX(Parâmetros!$D$39:$D$43,MATCH(P749,Parâmetros!$A$39:$A$43,0))</f>
        <v>Automatizar ou vender em lote</v>
      </c>
    </row>
    <row r="750" customFormat="false" ht="15" hidden="false" customHeight="false" outlineLevel="0" collapsed="false">
      <c r="A750" s="10" t="s">
        <v>992</v>
      </c>
      <c r="B750" s="10" t="s">
        <v>81</v>
      </c>
      <c r="C750" s="10" t="s">
        <v>78</v>
      </c>
      <c r="D750" s="10" t="s">
        <v>196</v>
      </c>
      <c r="E750" s="10" t="s">
        <v>52</v>
      </c>
      <c r="F750" s="10"/>
      <c r="G750" s="10" t="s">
        <v>425</v>
      </c>
      <c r="H750" s="10"/>
      <c r="I750" s="8" t="n">
        <f aca="false">INDEX(Parâmetros!$C$13:$C$19,MATCH(E750,Parâmetros!$A$13:$A$19,0))</f>
        <v>55</v>
      </c>
      <c r="J750" s="26" t="str">
        <f aca="false">IF(H750="","",Parâmetros!$B$5-H750)</f>
        <v/>
      </c>
      <c r="K750" s="10" t="n">
        <f aca="false">INDEX(Parâmetros!$D$13:$D$19,MATCH(E750,Parâmetros!$A$13:$A$19,0))</f>
        <v>0</v>
      </c>
      <c r="L750" s="26" t="n">
        <f aca="false">IF(G750="Prospecting",Parâmetros!$B$9,IF(J750&gt;Parâmetros!$B$6,0,INDEX(Parâmetros!$C$24:$C$26,MATCH(J750,Parâmetros!$A$24:$A$26,1))))</f>
        <v>10</v>
      </c>
      <c r="M750" s="31" t="n">
        <f aca="false">IF(G750="Prospecting",1,INDEX(Parâmetros!$C$32:$C$35,MATCH(J750,Parâmetros!$A$32:$A$35,1)))</f>
        <v>1</v>
      </c>
      <c r="N750" s="2" t="n">
        <f aca="false">ROUND((K750+L750)*M750,0)</f>
        <v>10</v>
      </c>
      <c r="O750" s="10" t="str">
        <f aca="false">IF(AND(G750="Engaging",J750&gt;Parâmetros!$B$6),"Sim","Não")</f>
        <v>Não</v>
      </c>
      <c r="P750" s="32" t="str">
        <f aca="false">IF(O750="Sim","R",IF(N750&gt;=Parâmetros!$B$39,"A",IF(N750&gt;=Parâmetros!$B$40,"B",IF(N750&gt;=Parâmetros!$B$41,"C","D"))))</f>
        <v>D</v>
      </c>
      <c r="Q750" s="10" t="str">
        <f aca="false">IF(F750="","Completar cadastro","")</f>
        <v>Completar cadastro</v>
      </c>
      <c r="R750" s="10" t="str">
        <f aca="false">INDEX(Parâmetros!$D$39:$D$43,MATCH(P750,Parâmetros!$A$39:$A$43,0))</f>
        <v>Automatizar ou vender em lote</v>
      </c>
    </row>
    <row r="751" customFormat="false" ht="15" hidden="false" customHeight="false" outlineLevel="0" collapsed="false">
      <c r="A751" s="10" t="s">
        <v>993</v>
      </c>
      <c r="B751" s="10" t="s">
        <v>81</v>
      </c>
      <c r="C751" s="10" t="s">
        <v>78</v>
      </c>
      <c r="D751" s="10" t="s">
        <v>196</v>
      </c>
      <c r="E751" s="10" t="s">
        <v>52</v>
      </c>
      <c r="F751" s="10"/>
      <c r="G751" s="10" t="s">
        <v>425</v>
      </c>
      <c r="H751" s="10"/>
      <c r="I751" s="8" t="n">
        <f aca="false">INDEX(Parâmetros!$C$13:$C$19,MATCH(E751,Parâmetros!$A$13:$A$19,0))</f>
        <v>55</v>
      </c>
      <c r="J751" s="26" t="str">
        <f aca="false">IF(H751="","",Parâmetros!$B$5-H751)</f>
        <v/>
      </c>
      <c r="K751" s="10" t="n">
        <f aca="false">INDEX(Parâmetros!$D$13:$D$19,MATCH(E751,Parâmetros!$A$13:$A$19,0))</f>
        <v>0</v>
      </c>
      <c r="L751" s="26" t="n">
        <f aca="false">IF(G751="Prospecting",Parâmetros!$B$9,IF(J751&gt;Parâmetros!$B$6,0,INDEX(Parâmetros!$C$24:$C$26,MATCH(J751,Parâmetros!$A$24:$A$26,1))))</f>
        <v>10</v>
      </c>
      <c r="M751" s="31" t="n">
        <f aca="false">IF(G751="Prospecting",1,INDEX(Parâmetros!$C$32:$C$35,MATCH(J751,Parâmetros!$A$32:$A$35,1)))</f>
        <v>1</v>
      </c>
      <c r="N751" s="2" t="n">
        <f aca="false">ROUND((K751+L751)*M751,0)</f>
        <v>10</v>
      </c>
      <c r="O751" s="10" t="str">
        <f aca="false">IF(AND(G751="Engaging",J751&gt;Parâmetros!$B$6),"Sim","Não")</f>
        <v>Não</v>
      </c>
      <c r="P751" s="32" t="str">
        <f aca="false">IF(O751="Sim","R",IF(N751&gt;=Parâmetros!$B$39,"A",IF(N751&gt;=Parâmetros!$B$40,"B",IF(N751&gt;=Parâmetros!$B$41,"C","D"))))</f>
        <v>D</v>
      </c>
      <c r="Q751" s="10" t="str">
        <f aca="false">IF(F751="","Completar cadastro","")</f>
        <v>Completar cadastro</v>
      </c>
      <c r="R751" s="10" t="str">
        <f aca="false">INDEX(Parâmetros!$D$39:$D$43,MATCH(P751,Parâmetros!$A$39:$A$43,0))</f>
        <v>Automatizar ou vender em lote</v>
      </c>
    </row>
    <row r="752" customFormat="false" ht="15" hidden="false" customHeight="false" outlineLevel="0" collapsed="false">
      <c r="A752" s="10" t="s">
        <v>994</v>
      </c>
      <c r="B752" s="10" t="s">
        <v>75</v>
      </c>
      <c r="C752" s="10" t="s">
        <v>72</v>
      </c>
      <c r="D752" s="10" t="s">
        <v>196</v>
      </c>
      <c r="E752" s="10" t="s">
        <v>52</v>
      </c>
      <c r="F752" s="10" t="s">
        <v>532</v>
      </c>
      <c r="G752" s="10" t="s">
        <v>425</v>
      </c>
      <c r="H752" s="10"/>
      <c r="I752" s="8" t="n">
        <f aca="false">INDEX(Parâmetros!$C$13:$C$19,MATCH(E752,Parâmetros!$A$13:$A$19,0))</f>
        <v>55</v>
      </c>
      <c r="J752" s="26" t="str">
        <f aca="false">IF(H752="","",Parâmetros!$B$5-H752)</f>
        <v/>
      </c>
      <c r="K752" s="10" t="n">
        <f aca="false">INDEX(Parâmetros!$D$13:$D$19,MATCH(E752,Parâmetros!$A$13:$A$19,0))</f>
        <v>0</v>
      </c>
      <c r="L752" s="26" t="n">
        <f aca="false">IF(G752="Prospecting",Parâmetros!$B$9,IF(J752&gt;Parâmetros!$B$6,0,INDEX(Parâmetros!$C$24:$C$26,MATCH(J752,Parâmetros!$A$24:$A$26,1))))</f>
        <v>10</v>
      </c>
      <c r="M752" s="31" t="n">
        <f aca="false">IF(G752="Prospecting",1,INDEX(Parâmetros!$C$32:$C$35,MATCH(J752,Parâmetros!$A$32:$A$35,1)))</f>
        <v>1</v>
      </c>
      <c r="N752" s="2" t="n">
        <f aca="false">ROUND((K752+L752)*M752,0)</f>
        <v>10</v>
      </c>
      <c r="O752" s="10" t="str">
        <f aca="false">IF(AND(G752="Engaging",J752&gt;Parâmetros!$B$6),"Sim","Não")</f>
        <v>Não</v>
      </c>
      <c r="P752" s="32" t="str">
        <f aca="false">IF(O752="Sim","R",IF(N752&gt;=Parâmetros!$B$39,"A",IF(N752&gt;=Parâmetros!$B$40,"B",IF(N752&gt;=Parâmetros!$B$41,"C","D"))))</f>
        <v>D</v>
      </c>
      <c r="Q752" s="10" t="str">
        <f aca="false">IF(F752="","Completar cadastro","")</f>
        <v/>
      </c>
      <c r="R752" s="10" t="str">
        <f aca="false">INDEX(Parâmetros!$D$39:$D$43,MATCH(P752,Parâmetros!$A$39:$A$43,0))</f>
        <v>Automatizar ou vender em lote</v>
      </c>
    </row>
    <row r="753" customFormat="false" ht="15" hidden="false" customHeight="false" outlineLevel="0" collapsed="false">
      <c r="A753" s="10" t="s">
        <v>995</v>
      </c>
      <c r="B753" s="10" t="s">
        <v>75</v>
      </c>
      <c r="C753" s="10" t="s">
        <v>72</v>
      </c>
      <c r="D753" s="10" t="s">
        <v>196</v>
      </c>
      <c r="E753" s="10" t="s">
        <v>52</v>
      </c>
      <c r="F753" s="10"/>
      <c r="G753" s="10" t="s">
        <v>425</v>
      </c>
      <c r="H753" s="10"/>
      <c r="I753" s="8" t="n">
        <f aca="false">INDEX(Parâmetros!$C$13:$C$19,MATCH(E753,Parâmetros!$A$13:$A$19,0))</f>
        <v>55</v>
      </c>
      <c r="J753" s="26" t="str">
        <f aca="false">IF(H753="","",Parâmetros!$B$5-H753)</f>
        <v/>
      </c>
      <c r="K753" s="10" t="n">
        <f aca="false">INDEX(Parâmetros!$D$13:$D$19,MATCH(E753,Parâmetros!$A$13:$A$19,0))</f>
        <v>0</v>
      </c>
      <c r="L753" s="26" t="n">
        <f aca="false">IF(G753="Prospecting",Parâmetros!$B$9,IF(J753&gt;Parâmetros!$B$6,0,INDEX(Parâmetros!$C$24:$C$26,MATCH(J753,Parâmetros!$A$24:$A$26,1))))</f>
        <v>10</v>
      </c>
      <c r="M753" s="31" t="n">
        <f aca="false">IF(G753="Prospecting",1,INDEX(Parâmetros!$C$32:$C$35,MATCH(J753,Parâmetros!$A$32:$A$35,1)))</f>
        <v>1</v>
      </c>
      <c r="N753" s="2" t="n">
        <f aca="false">ROUND((K753+L753)*M753,0)</f>
        <v>10</v>
      </c>
      <c r="O753" s="10" t="str">
        <f aca="false">IF(AND(G753="Engaging",J753&gt;Parâmetros!$B$6),"Sim","Não")</f>
        <v>Não</v>
      </c>
      <c r="P753" s="32" t="str">
        <f aca="false">IF(O753="Sim","R",IF(N753&gt;=Parâmetros!$B$39,"A",IF(N753&gt;=Parâmetros!$B$40,"B",IF(N753&gt;=Parâmetros!$B$41,"C","D"))))</f>
        <v>D</v>
      </c>
      <c r="Q753" s="10" t="str">
        <f aca="false">IF(F753="","Completar cadastro","")</f>
        <v>Completar cadastro</v>
      </c>
      <c r="R753" s="10" t="str">
        <f aca="false">INDEX(Parâmetros!$D$39:$D$43,MATCH(P753,Parâmetros!$A$39:$A$43,0))</f>
        <v>Automatizar ou vender em lote</v>
      </c>
    </row>
    <row r="754" customFormat="false" ht="15" hidden="false" customHeight="false" outlineLevel="0" collapsed="false">
      <c r="A754" s="10" t="s">
        <v>996</v>
      </c>
      <c r="B754" s="10" t="s">
        <v>75</v>
      </c>
      <c r="C754" s="10" t="s">
        <v>72</v>
      </c>
      <c r="D754" s="10" t="s">
        <v>196</v>
      </c>
      <c r="E754" s="10" t="s">
        <v>52</v>
      </c>
      <c r="F754" s="10"/>
      <c r="G754" s="10" t="s">
        <v>425</v>
      </c>
      <c r="H754" s="10"/>
      <c r="I754" s="8" t="n">
        <f aca="false">INDEX(Parâmetros!$C$13:$C$19,MATCH(E754,Parâmetros!$A$13:$A$19,0))</f>
        <v>55</v>
      </c>
      <c r="J754" s="26" t="str">
        <f aca="false">IF(H754="","",Parâmetros!$B$5-H754)</f>
        <v/>
      </c>
      <c r="K754" s="10" t="n">
        <f aca="false">INDEX(Parâmetros!$D$13:$D$19,MATCH(E754,Parâmetros!$A$13:$A$19,0))</f>
        <v>0</v>
      </c>
      <c r="L754" s="26" t="n">
        <f aca="false">IF(G754="Prospecting",Parâmetros!$B$9,IF(J754&gt;Parâmetros!$B$6,0,INDEX(Parâmetros!$C$24:$C$26,MATCH(J754,Parâmetros!$A$24:$A$26,1))))</f>
        <v>10</v>
      </c>
      <c r="M754" s="31" t="n">
        <f aca="false">IF(G754="Prospecting",1,INDEX(Parâmetros!$C$32:$C$35,MATCH(J754,Parâmetros!$A$32:$A$35,1)))</f>
        <v>1</v>
      </c>
      <c r="N754" s="2" t="n">
        <f aca="false">ROUND((K754+L754)*M754,0)</f>
        <v>10</v>
      </c>
      <c r="O754" s="10" t="str">
        <f aca="false">IF(AND(G754="Engaging",J754&gt;Parâmetros!$B$6),"Sim","Não")</f>
        <v>Não</v>
      </c>
      <c r="P754" s="32" t="str">
        <f aca="false">IF(O754="Sim","R",IF(N754&gt;=Parâmetros!$B$39,"A",IF(N754&gt;=Parâmetros!$B$40,"B",IF(N754&gt;=Parâmetros!$B$41,"C","D"))))</f>
        <v>D</v>
      </c>
      <c r="Q754" s="10" t="str">
        <f aca="false">IF(F754="","Completar cadastro","")</f>
        <v>Completar cadastro</v>
      </c>
      <c r="R754" s="10" t="str">
        <f aca="false">INDEX(Parâmetros!$D$39:$D$43,MATCH(P754,Parâmetros!$A$39:$A$43,0))</f>
        <v>Automatizar ou vender em lote</v>
      </c>
    </row>
    <row r="755" customFormat="false" ht="15" hidden="false" customHeight="false" outlineLevel="0" collapsed="false">
      <c r="A755" s="10" t="s">
        <v>997</v>
      </c>
      <c r="B755" s="10" t="s">
        <v>75</v>
      </c>
      <c r="C755" s="10" t="s">
        <v>72</v>
      </c>
      <c r="D755" s="10" t="s">
        <v>196</v>
      </c>
      <c r="E755" s="10" t="s">
        <v>52</v>
      </c>
      <c r="F755" s="10"/>
      <c r="G755" s="10" t="s">
        <v>425</v>
      </c>
      <c r="H755" s="10"/>
      <c r="I755" s="8" t="n">
        <f aca="false">INDEX(Parâmetros!$C$13:$C$19,MATCH(E755,Parâmetros!$A$13:$A$19,0))</f>
        <v>55</v>
      </c>
      <c r="J755" s="26" t="str">
        <f aca="false">IF(H755="","",Parâmetros!$B$5-H755)</f>
        <v/>
      </c>
      <c r="K755" s="10" t="n">
        <f aca="false">INDEX(Parâmetros!$D$13:$D$19,MATCH(E755,Parâmetros!$A$13:$A$19,0))</f>
        <v>0</v>
      </c>
      <c r="L755" s="26" t="n">
        <f aca="false">IF(G755="Prospecting",Parâmetros!$B$9,IF(J755&gt;Parâmetros!$B$6,0,INDEX(Parâmetros!$C$24:$C$26,MATCH(J755,Parâmetros!$A$24:$A$26,1))))</f>
        <v>10</v>
      </c>
      <c r="M755" s="31" t="n">
        <f aca="false">IF(G755="Prospecting",1,INDEX(Parâmetros!$C$32:$C$35,MATCH(J755,Parâmetros!$A$32:$A$35,1)))</f>
        <v>1</v>
      </c>
      <c r="N755" s="2" t="n">
        <f aca="false">ROUND((K755+L755)*M755,0)</f>
        <v>10</v>
      </c>
      <c r="O755" s="10" t="str">
        <f aca="false">IF(AND(G755="Engaging",J755&gt;Parâmetros!$B$6),"Sim","Não")</f>
        <v>Não</v>
      </c>
      <c r="P755" s="32" t="str">
        <f aca="false">IF(O755="Sim","R",IF(N755&gt;=Parâmetros!$B$39,"A",IF(N755&gt;=Parâmetros!$B$40,"B",IF(N755&gt;=Parâmetros!$B$41,"C","D"))))</f>
        <v>D</v>
      </c>
      <c r="Q755" s="10" t="str">
        <f aca="false">IF(F755="","Completar cadastro","")</f>
        <v>Completar cadastro</v>
      </c>
      <c r="R755" s="10" t="str">
        <f aca="false">INDEX(Parâmetros!$D$39:$D$43,MATCH(P755,Parâmetros!$A$39:$A$43,0))</f>
        <v>Automatizar ou vender em lote</v>
      </c>
    </row>
    <row r="756" customFormat="false" ht="15" hidden="false" customHeight="false" outlineLevel="0" collapsed="false">
      <c r="A756" s="10" t="s">
        <v>998</v>
      </c>
      <c r="B756" s="10" t="s">
        <v>75</v>
      </c>
      <c r="C756" s="10" t="s">
        <v>72</v>
      </c>
      <c r="D756" s="10" t="s">
        <v>196</v>
      </c>
      <c r="E756" s="10" t="s">
        <v>52</v>
      </c>
      <c r="F756" s="10"/>
      <c r="G756" s="10" t="s">
        <v>425</v>
      </c>
      <c r="H756" s="10"/>
      <c r="I756" s="8" t="n">
        <f aca="false">INDEX(Parâmetros!$C$13:$C$19,MATCH(E756,Parâmetros!$A$13:$A$19,0))</f>
        <v>55</v>
      </c>
      <c r="J756" s="26" t="str">
        <f aca="false">IF(H756="","",Parâmetros!$B$5-H756)</f>
        <v/>
      </c>
      <c r="K756" s="10" t="n">
        <f aca="false">INDEX(Parâmetros!$D$13:$D$19,MATCH(E756,Parâmetros!$A$13:$A$19,0))</f>
        <v>0</v>
      </c>
      <c r="L756" s="26" t="n">
        <f aca="false">IF(G756="Prospecting",Parâmetros!$B$9,IF(J756&gt;Parâmetros!$B$6,0,INDEX(Parâmetros!$C$24:$C$26,MATCH(J756,Parâmetros!$A$24:$A$26,1))))</f>
        <v>10</v>
      </c>
      <c r="M756" s="31" t="n">
        <f aca="false">IF(G756="Prospecting",1,INDEX(Parâmetros!$C$32:$C$35,MATCH(J756,Parâmetros!$A$32:$A$35,1)))</f>
        <v>1</v>
      </c>
      <c r="N756" s="2" t="n">
        <f aca="false">ROUND((K756+L756)*M756,0)</f>
        <v>10</v>
      </c>
      <c r="O756" s="10" t="str">
        <f aca="false">IF(AND(G756="Engaging",J756&gt;Parâmetros!$B$6),"Sim","Não")</f>
        <v>Não</v>
      </c>
      <c r="P756" s="32" t="str">
        <f aca="false">IF(O756="Sim","R",IF(N756&gt;=Parâmetros!$B$39,"A",IF(N756&gt;=Parâmetros!$B$40,"B",IF(N756&gt;=Parâmetros!$B$41,"C","D"))))</f>
        <v>D</v>
      </c>
      <c r="Q756" s="10" t="str">
        <f aca="false">IF(F756="","Completar cadastro","")</f>
        <v>Completar cadastro</v>
      </c>
      <c r="R756" s="10" t="str">
        <f aca="false">INDEX(Parâmetros!$D$39:$D$43,MATCH(P756,Parâmetros!$A$39:$A$43,0))</f>
        <v>Automatizar ou vender em lote</v>
      </c>
    </row>
    <row r="757" customFormat="false" ht="15" hidden="false" customHeight="false" outlineLevel="0" collapsed="false">
      <c r="A757" s="10" t="s">
        <v>999</v>
      </c>
      <c r="B757" s="10" t="s">
        <v>75</v>
      </c>
      <c r="C757" s="10" t="s">
        <v>72</v>
      </c>
      <c r="D757" s="10" t="s">
        <v>196</v>
      </c>
      <c r="E757" s="10" t="s">
        <v>52</v>
      </c>
      <c r="F757" s="10"/>
      <c r="G757" s="10" t="s">
        <v>425</v>
      </c>
      <c r="H757" s="10"/>
      <c r="I757" s="8" t="n">
        <f aca="false">INDEX(Parâmetros!$C$13:$C$19,MATCH(E757,Parâmetros!$A$13:$A$19,0))</f>
        <v>55</v>
      </c>
      <c r="J757" s="26" t="str">
        <f aca="false">IF(H757="","",Parâmetros!$B$5-H757)</f>
        <v/>
      </c>
      <c r="K757" s="10" t="n">
        <f aca="false">INDEX(Parâmetros!$D$13:$D$19,MATCH(E757,Parâmetros!$A$13:$A$19,0))</f>
        <v>0</v>
      </c>
      <c r="L757" s="26" t="n">
        <f aca="false">IF(G757="Prospecting",Parâmetros!$B$9,IF(J757&gt;Parâmetros!$B$6,0,INDEX(Parâmetros!$C$24:$C$26,MATCH(J757,Parâmetros!$A$24:$A$26,1))))</f>
        <v>10</v>
      </c>
      <c r="M757" s="31" t="n">
        <f aca="false">IF(G757="Prospecting",1,INDEX(Parâmetros!$C$32:$C$35,MATCH(J757,Parâmetros!$A$32:$A$35,1)))</f>
        <v>1</v>
      </c>
      <c r="N757" s="2" t="n">
        <f aca="false">ROUND((K757+L757)*M757,0)</f>
        <v>10</v>
      </c>
      <c r="O757" s="10" t="str">
        <f aca="false">IF(AND(G757="Engaging",J757&gt;Parâmetros!$B$6),"Sim","Não")</f>
        <v>Não</v>
      </c>
      <c r="P757" s="32" t="str">
        <f aca="false">IF(O757="Sim","R",IF(N757&gt;=Parâmetros!$B$39,"A",IF(N757&gt;=Parâmetros!$B$40,"B",IF(N757&gt;=Parâmetros!$B$41,"C","D"))))</f>
        <v>D</v>
      </c>
      <c r="Q757" s="10" t="str">
        <f aca="false">IF(F757="","Completar cadastro","")</f>
        <v>Completar cadastro</v>
      </c>
      <c r="R757" s="10" t="str">
        <f aca="false">INDEX(Parâmetros!$D$39:$D$43,MATCH(P757,Parâmetros!$A$39:$A$43,0))</f>
        <v>Automatizar ou vender em lote</v>
      </c>
    </row>
    <row r="758" customFormat="false" ht="15" hidden="false" customHeight="false" outlineLevel="0" collapsed="false">
      <c r="A758" s="10" t="s">
        <v>1000</v>
      </c>
      <c r="B758" s="10" t="s">
        <v>83</v>
      </c>
      <c r="C758" s="10" t="s">
        <v>78</v>
      </c>
      <c r="D758" s="10" t="s">
        <v>196</v>
      </c>
      <c r="E758" s="10" t="s">
        <v>52</v>
      </c>
      <c r="F758" s="10" t="s">
        <v>483</v>
      </c>
      <c r="G758" s="10" t="s">
        <v>425</v>
      </c>
      <c r="H758" s="10"/>
      <c r="I758" s="8" t="n">
        <f aca="false">INDEX(Parâmetros!$C$13:$C$19,MATCH(E758,Parâmetros!$A$13:$A$19,0))</f>
        <v>55</v>
      </c>
      <c r="J758" s="26" t="str">
        <f aca="false">IF(H758="","",Parâmetros!$B$5-H758)</f>
        <v/>
      </c>
      <c r="K758" s="10" t="n">
        <f aca="false">INDEX(Parâmetros!$D$13:$D$19,MATCH(E758,Parâmetros!$A$13:$A$19,0))</f>
        <v>0</v>
      </c>
      <c r="L758" s="26" t="n">
        <f aca="false">IF(G758="Prospecting",Parâmetros!$B$9,IF(J758&gt;Parâmetros!$B$6,0,INDEX(Parâmetros!$C$24:$C$26,MATCH(J758,Parâmetros!$A$24:$A$26,1))))</f>
        <v>10</v>
      </c>
      <c r="M758" s="31" t="n">
        <f aca="false">IF(G758="Prospecting",1,INDEX(Parâmetros!$C$32:$C$35,MATCH(J758,Parâmetros!$A$32:$A$35,1)))</f>
        <v>1</v>
      </c>
      <c r="N758" s="2" t="n">
        <f aca="false">ROUND((K758+L758)*M758,0)</f>
        <v>10</v>
      </c>
      <c r="O758" s="10" t="str">
        <f aca="false">IF(AND(G758="Engaging",J758&gt;Parâmetros!$B$6),"Sim","Não")</f>
        <v>Não</v>
      </c>
      <c r="P758" s="32" t="str">
        <f aca="false">IF(O758="Sim","R",IF(N758&gt;=Parâmetros!$B$39,"A",IF(N758&gt;=Parâmetros!$B$40,"B",IF(N758&gt;=Parâmetros!$B$41,"C","D"))))</f>
        <v>D</v>
      </c>
      <c r="Q758" s="10" t="str">
        <f aca="false">IF(F758="","Completar cadastro","")</f>
        <v/>
      </c>
      <c r="R758" s="10" t="str">
        <f aca="false">INDEX(Parâmetros!$D$39:$D$43,MATCH(P758,Parâmetros!$A$39:$A$43,0))</f>
        <v>Automatizar ou vender em lote</v>
      </c>
    </row>
    <row r="759" customFormat="false" ht="15" hidden="false" customHeight="false" outlineLevel="0" collapsed="false">
      <c r="A759" s="10" t="s">
        <v>1001</v>
      </c>
      <c r="B759" s="10" t="s">
        <v>83</v>
      </c>
      <c r="C759" s="10" t="s">
        <v>78</v>
      </c>
      <c r="D759" s="10" t="s">
        <v>196</v>
      </c>
      <c r="E759" s="10" t="s">
        <v>52</v>
      </c>
      <c r="F759" s="10" t="s">
        <v>286</v>
      </c>
      <c r="G759" s="10" t="s">
        <v>425</v>
      </c>
      <c r="H759" s="10"/>
      <c r="I759" s="8" t="n">
        <f aca="false">INDEX(Parâmetros!$C$13:$C$19,MATCH(E759,Parâmetros!$A$13:$A$19,0))</f>
        <v>55</v>
      </c>
      <c r="J759" s="26" t="str">
        <f aca="false">IF(H759="","",Parâmetros!$B$5-H759)</f>
        <v/>
      </c>
      <c r="K759" s="10" t="n">
        <f aca="false">INDEX(Parâmetros!$D$13:$D$19,MATCH(E759,Parâmetros!$A$13:$A$19,0))</f>
        <v>0</v>
      </c>
      <c r="L759" s="26" t="n">
        <f aca="false">IF(G759="Prospecting",Parâmetros!$B$9,IF(J759&gt;Parâmetros!$B$6,0,INDEX(Parâmetros!$C$24:$C$26,MATCH(J759,Parâmetros!$A$24:$A$26,1))))</f>
        <v>10</v>
      </c>
      <c r="M759" s="31" t="n">
        <f aca="false">IF(G759="Prospecting",1,INDEX(Parâmetros!$C$32:$C$35,MATCH(J759,Parâmetros!$A$32:$A$35,1)))</f>
        <v>1</v>
      </c>
      <c r="N759" s="2" t="n">
        <f aca="false">ROUND((K759+L759)*M759,0)</f>
        <v>10</v>
      </c>
      <c r="O759" s="10" t="str">
        <f aca="false">IF(AND(G759="Engaging",J759&gt;Parâmetros!$B$6),"Sim","Não")</f>
        <v>Não</v>
      </c>
      <c r="P759" s="32" t="str">
        <f aca="false">IF(O759="Sim","R",IF(N759&gt;=Parâmetros!$B$39,"A",IF(N759&gt;=Parâmetros!$B$40,"B",IF(N759&gt;=Parâmetros!$B$41,"C","D"))))</f>
        <v>D</v>
      </c>
      <c r="Q759" s="10" t="str">
        <f aca="false">IF(F759="","Completar cadastro","")</f>
        <v/>
      </c>
      <c r="R759" s="10" t="str">
        <f aca="false">INDEX(Parâmetros!$D$39:$D$43,MATCH(P759,Parâmetros!$A$39:$A$43,0))</f>
        <v>Automatizar ou vender em lote</v>
      </c>
    </row>
    <row r="760" customFormat="false" ht="15" hidden="false" customHeight="false" outlineLevel="0" collapsed="false">
      <c r="A760" s="10" t="s">
        <v>1002</v>
      </c>
      <c r="B760" s="10" t="s">
        <v>83</v>
      </c>
      <c r="C760" s="10" t="s">
        <v>78</v>
      </c>
      <c r="D760" s="10" t="s">
        <v>196</v>
      </c>
      <c r="E760" s="10" t="s">
        <v>52</v>
      </c>
      <c r="F760" s="10"/>
      <c r="G760" s="10" t="s">
        <v>425</v>
      </c>
      <c r="H760" s="10"/>
      <c r="I760" s="8" t="n">
        <f aca="false">INDEX(Parâmetros!$C$13:$C$19,MATCH(E760,Parâmetros!$A$13:$A$19,0))</f>
        <v>55</v>
      </c>
      <c r="J760" s="26" t="str">
        <f aca="false">IF(H760="","",Parâmetros!$B$5-H760)</f>
        <v/>
      </c>
      <c r="K760" s="10" t="n">
        <f aca="false">INDEX(Parâmetros!$D$13:$D$19,MATCH(E760,Parâmetros!$A$13:$A$19,0))</f>
        <v>0</v>
      </c>
      <c r="L760" s="26" t="n">
        <f aca="false">IF(G760="Prospecting",Parâmetros!$B$9,IF(J760&gt;Parâmetros!$B$6,0,INDEX(Parâmetros!$C$24:$C$26,MATCH(J760,Parâmetros!$A$24:$A$26,1))))</f>
        <v>10</v>
      </c>
      <c r="M760" s="31" t="n">
        <f aca="false">IF(G760="Prospecting",1,INDEX(Parâmetros!$C$32:$C$35,MATCH(J760,Parâmetros!$A$32:$A$35,1)))</f>
        <v>1</v>
      </c>
      <c r="N760" s="2" t="n">
        <f aca="false">ROUND((K760+L760)*M760,0)</f>
        <v>10</v>
      </c>
      <c r="O760" s="10" t="str">
        <f aca="false">IF(AND(G760="Engaging",J760&gt;Parâmetros!$B$6),"Sim","Não")</f>
        <v>Não</v>
      </c>
      <c r="P760" s="32" t="str">
        <f aca="false">IF(O760="Sim","R",IF(N760&gt;=Parâmetros!$B$39,"A",IF(N760&gt;=Parâmetros!$B$40,"B",IF(N760&gt;=Parâmetros!$B$41,"C","D"))))</f>
        <v>D</v>
      </c>
      <c r="Q760" s="10" t="str">
        <f aca="false">IF(F760="","Completar cadastro","")</f>
        <v>Completar cadastro</v>
      </c>
      <c r="R760" s="10" t="str">
        <f aca="false">INDEX(Parâmetros!$D$39:$D$43,MATCH(P760,Parâmetros!$A$39:$A$43,0))</f>
        <v>Automatizar ou vender em lote</v>
      </c>
    </row>
    <row r="761" customFormat="false" ht="15" hidden="false" customHeight="false" outlineLevel="0" collapsed="false">
      <c r="A761" s="10" t="s">
        <v>1003</v>
      </c>
      <c r="B761" s="10" t="s">
        <v>83</v>
      </c>
      <c r="C761" s="10" t="s">
        <v>78</v>
      </c>
      <c r="D761" s="10" t="s">
        <v>196</v>
      </c>
      <c r="E761" s="10" t="s">
        <v>52</v>
      </c>
      <c r="F761" s="10"/>
      <c r="G761" s="10" t="s">
        <v>425</v>
      </c>
      <c r="H761" s="10"/>
      <c r="I761" s="8" t="n">
        <f aca="false">INDEX(Parâmetros!$C$13:$C$19,MATCH(E761,Parâmetros!$A$13:$A$19,0))</f>
        <v>55</v>
      </c>
      <c r="J761" s="26" t="str">
        <f aca="false">IF(H761="","",Parâmetros!$B$5-H761)</f>
        <v/>
      </c>
      <c r="K761" s="10" t="n">
        <f aca="false">INDEX(Parâmetros!$D$13:$D$19,MATCH(E761,Parâmetros!$A$13:$A$19,0))</f>
        <v>0</v>
      </c>
      <c r="L761" s="26" t="n">
        <f aca="false">IF(G761="Prospecting",Parâmetros!$B$9,IF(J761&gt;Parâmetros!$B$6,0,INDEX(Parâmetros!$C$24:$C$26,MATCH(J761,Parâmetros!$A$24:$A$26,1))))</f>
        <v>10</v>
      </c>
      <c r="M761" s="31" t="n">
        <f aca="false">IF(G761="Prospecting",1,INDEX(Parâmetros!$C$32:$C$35,MATCH(J761,Parâmetros!$A$32:$A$35,1)))</f>
        <v>1</v>
      </c>
      <c r="N761" s="2" t="n">
        <f aca="false">ROUND((K761+L761)*M761,0)</f>
        <v>10</v>
      </c>
      <c r="O761" s="10" t="str">
        <f aca="false">IF(AND(G761="Engaging",J761&gt;Parâmetros!$B$6),"Sim","Não")</f>
        <v>Não</v>
      </c>
      <c r="P761" s="32" t="str">
        <f aca="false">IF(O761="Sim","R",IF(N761&gt;=Parâmetros!$B$39,"A",IF(N761&gt;=Parâmetros!$B$40,"B",IF(N761&gt;=Parâmetros!$B$41,"C","D"))))</f>
        <v>D</v>
      </c>
      <c r="Q761" s="10" t="str">
        <f aca="false">IF(F761="","Completar cadastro","")</f>
        <v>Completar cadastro</v>
      </c>
      <c r="R761" s="10" t="str">
        <f aca="false">INDEX(Parâmetros!$D$39:$D$43,MATCH(P761,Parâmetros!$A$39:$A$43,0))</f>
        <v>Automatizar ou vender em lote</v>
      </c>
    </row>
    <row r="762" customFormat="false" ht="15" hidden="false" customHeight="false" outlineLevel="0" collapsed="false">
      <c r="A762" s="10" t="s">
        <v>1004</v>
      </c>
      <c r="B762" s="10" t="s">
        <v>83</v>
      </c>
      <c r="C762" s="10" t="s">
        <v>78</v>
      </c>
      <c r="D762" s="10" t="s">
        <v>196</v>
      </c>
      <c r="E762" s="10" t="s">
        <v>52</v>
      </c>
      <c r="F762" s="10"/>
      <c r="G762" s="10" t="s">
        <v>425</v>
      </c>
      <c r="H762" s="10"/>
      <c r="I762" s="8" t="n">
        <f aca="false">INDEX(Parâmetros!$C$13:$C$19,MATCH(E762,Parâmetros!$A$13:$A$19,0))</f>
        <v>55</v>
      </c>
      <c r="J762" s="26" t="str">
        <f aca="false">IF(H762="","",Parâmetros!$B$5-H762)</f>
        <v/>
      </c>
      <c r="K762" s="10" t="n">
        <f aca="false">INDEX(Parâmetros!$D$13:$D$19,MATCH(E762,Parâmetros!$A$13:$A$19,0))</f>
        <v>0</v>
      </c>
      <c r="L762" s="26" t="n">
        <f aca="false">IF(G762="Prospecting",Parâmetros!$B$9,IF(J762&gt;Parâmetros!$B$6,0,INDEX(Parâmetros!$C$24:$C$26,MATCH(J762,Parâmetros!$A$24:$A$26,1))))</f>
        <v>10</v>
      </c>
      <c r="M762" s="31" t="n">
        <f aca="false">IF(G762="Prospecting",1,INDEX(Parâmetros!$C$32:$C$35,MATCH(J762,Parâmetros!$A$32:$A$35,1)))</f>
        <v>1</v>
      </c>
      <c r="N762" s="2" t="n">
        <f aca="false">ROUND((K762+L762)*M762,0)</f>
        <v>10</v>
      </c>
      <c r="O762" s="10" t="str">
        <f aca="false">IF(AND(G762="Engaging",J762&gt;Parâmetros!$B$6),"Sim","Não")</f>
        <v>Não</v>
      </c>
      <c r="P762" s="32" t="str">
        <f aca="false">IF(O762="Sim","R",IF(N762&gt;=Parâmetros!$B$39,"A",IF(N762&gt;=Parâmetros!$B$40,"B",IF(N762&gt;=Parâmetros!$B$41,"C","D"))))</f>
        <v>D</v>
      </c>
      <c r="Q762" s="10" t="str">
        <f aca="false">IF(F762="","Completar cadastro","")</f>
        <v>Completar cadastro</v>
      </c>
      <c r="R762" s="10" t="str">
        <f aca="false">INDEX(Parâmetros!$D$39:$D$43,MATCH(P762,Parâmetros!$A$39:$A$43,0))</f>
        <v>Automatizar ou vender em lote</v>
      </c>
    </row>
    <row r="763" customFormat="false" ht="15" hidden="false" customHeight="false" outlineLevel="0" collapsed="false">
      <c r="A763" s="10" t="s">
        <v>1005</v>
      </c>
      <c r="B763" s="10" t="s">
        <v>83</v>
      </c>
      <c r="C763" s="10" t="s">
        <v>78</v>
      </c>
      <c r="D763" s="10" t="s">
        <v>196</v>
      </c>
      <c r="E763" s="10" t="s">
        <v>52</v>
      </c>
      <c r="F763" s="10"/>
      <c r="G763" s="10" t="s">
        <v>425</v>
      </c>
      <c r="H763" s="10"/>
      <c r="I763" s="8" t="n">
        <f aca="false">INDEX(Parâmetros!$C$13:$C$19,MATCH(E763,Parâmetros!$A$13:$A$19,0))</f>
        <v>55</v>
      </c>
      <c r="J763" s="26" t="str">
        <f aca="false">IF(H763="","",Parâmetros!$B$5-H763)</f>
        <v/>
      </c>
      <c r="K763" s="10" t="n">
        <f aca="false">INDEX(Parâmetros!$D$13:$D$19,MATCH(E763,Parâmetros!$A$13:$A$19,0))</f>
        <v>0</v>
      </c>
      <c r="L763" s="26" t="n">
        <f aca="false">IF(G763="Prospecting",Parâmetros!$B$9,IF(J763&gt;Parâmetros!$B$6,0,INDEX(Parâmetros!$C$24:$C$26,MATCH(J763,Parâmetros!$A$24:$A$26,1))))</f>
        <v>10</v>
      </c>
      <c r="M763" s="31" t="n">
        <f aca="false">IF(G763="Prospecting",1,INDEX(Parâmetros!$C$32:$C$35,MATCH(J763,Parâmetros!$A$32:$A$35,1)))</f>
        <v>1</v>
      </c>
      <c r="N763" s="2" t="n">
        <f aca="false">ROUND((K763+L763)*M763,0)</f>
        <v>10</v>
      </c>
      <c r="O763" s="10" t="str">
        <f aca="false">IF(AND(G763="Engaging",J763&gt;Parâmetros!$B$6),"Sim","Não")</f>
        <v>Não</v>
      </c>
      <c r="P763" s="32" t="str">
        <f aca="false">IF(O763="Sim","R",IF(N763&gt;=Parâmetros!$B$39,"A",IF(N763&gt;=Parâmetros!$B$40,"B",IF(N763&gt;=Parâmetros!$B$41,"C","D"))))</f>
        <v>D</v>
      </c>
      <c r="Q763" s="10" t="str">
        <f aca="false">IF(F763="","Completar cadastro","")</f>
        <v>Completar cadastro</v>
      </c>
      <c r="R763" s="10" t="str">
        <f aca="false">INDEX(Parâmetros!$D$39:$D$43,MATCH(P763,Parâmetros!$A$39:$A$43,0))</f>
        <v>Automatizar ou vender em lote</v>
      </c>
    </row>
    <row r="764" customFormat="false" ht="15" hidden="false" customHeight="false" outlineLevel="0" collapsed="false">
      <c r="A764" s="10" t="s">
        <v>1006</v>
      </c>
      <c r="B764" s="10" t="s">
        <v>83</v>
      </c>
      <c r="C764" s="10" t="s">
        <v>78</v>
      </c>
      <c r="D764" s="10" t="s">
        <v>196</v>
      </c>
      <c r="E764" s="10" t="s">
        <v>52</v>
      </c>
      <c r="F764" s="10"/>
      <c r="G764" s="10" t="s">
        <v>425</v>
      </c>
      <c r="H764" s="10"/>
      <c r="I764" s="8" t="n">
        <f aca="false">INDEX(Parâmetros!$C$13:$C$19,MATCH(E764,Parâmetros!$A$13:$A$19,0))</f>
        <v>55</v>
      </c>
      <c r="J764" s="26" t="str">
        <f aca="false">IF(H764="","",Parâmetros!$B$5-H764)</f>
        <v/>
      </c>
      <c r="K764" s="10" t="n">
        <f aca="false">INDEX(Parâmetros!$D$13:$D$19,MATCH(E764,Parâmetros!$A$13:$A$19,0))</f>
        <v>0</v>
      </c>
      <c r="L764" s="26" t="n">
        <f aca="false">IF(G764="Prospecting",Parâmetros!$B$9,IF(J764&gt;Parâmetros!$B$6,0,INDEX(Parâmetros!$C$24:$C$26,MATCH(J764,Parâmetros!$A$24:$A$26,1))))</f>
        <v>10</v>
      </c>
      <c r="M764" s="31" t="n">
        <f aca="false">IF(G764="Prospecting",1,INDEX(Parâmetros!$C$32:$C$35,MATCH(J764,Parâmetros!$A$32:$A$35,1)))</f>
        <v>1</v>
      </c>
      <c r="N764" s="2" t="n">
        <f aca="false">ROUND((K764+L764)*M764,0)</f>
        <v>10</v>
      </c>
      <c r="O764" s="10" t="str">
        <f aca="false">IF(AND(G764="Engaging",J764&gt;Parâmetros!$B$6),"Sim","Não")</f>
        <v>Não</v>
      </c>
      <c r="P764" s="32" t="str">
        <f aca="false">IF(O764="Sim","R",IF(N764&gt;=Parâmetros!$B$39,"A",IF(N764&gt;=Parâmetros!$B$40,"B",IF(N764&gt;=Parâmetros!$B$41,"C","D"))))</f>
        <v>D</v>
      </c>
      <c r="Q764" s="10" t="str">
        <f aca="false">IF(F764="","Completar cadastro","")</f>
        <v>Completar cadastro</v>
      </c>
      <c r="R764" s="10" t="str">
        <f aca="false">INDEX(Parâmetros!$D$39:$D$43,MATCH(P764,Parâmetros!$A$39:$A$43,0))</f>
        <v>Automatizar ou vender em lote</v>
      </c>
    </row>
    <row r="765" customFormat="false" ht="15" hidden="false" customHeight="false" outlineLevel="0" collapsed="false">
      <c r="A765" s="10" t="s">
        <v>1007</v>
      </c>
      <c r="B765" s="10" t="s">
        <v>83</v>
      </c>
      <c r="C765" s="10" t="s">
        <v>78</v>
      </c>
      <c r="D765" s="10" t="s">
        <v>196</v>
      </c>
      <c r="E765" s="10" t="s">
        <v>52</v>
      </c>
      <c r="F765" s="10"/>
      <c r="G765" s="10" t="s">
        <v>425</v>
      </c>
      <c r="H765" s="10"/>
      <c r="I765" s="8" t="n">
        <f aca="false">INDEX(Parâmetros!$C$13:$C$19,MATCH(E765,Parâmetros!$A$13:$A$19,0))</f>
        <v>55</v>
      </c>
      <c r="J765" s="26" t="str">
        <f aca="false">IF(H765="","",Parâmetros!$B$5-H765)</f>
        <v/>
      </c>
      <c r="K765" s="10" t="n">
        <f aca="false">INDEX(Parâmetros!$D$13:$D$19,MATCH(E765,Parâmetros!$A$13:$A$19,0))</f>
        <v>0</v>
      </c>
      <c r="L765" s="26" t="n">
        <f aca="false">IF(G765="Prospecting",Parâmetros!$B$9,IF(J765&gt;Parâmetros!$B$6,0,INDEX(Parâmetros!$C$24:$C$26,MATCH(J765,Parâmetros!$A$24:$A$26,1))))</f>
        <v>10</v>
      </c>
      <c r="M765" s="31" t="n">
        <f aca="false">IF(G765="Prospecting",1,INDEX(Parâmetros!$C$32:$C$35,MATCH(J765,Parâmetros!$A$32:$A$35,1)))</f>
        <v>1</v>
      </c>
      <c r="N765" s="2" t="n">
        <f aca="false">ROUND((K765+L765)*M765,0)</f>
        <v>10</v>
      </c>
      <c r="O765" s="10" t="str">
        <f aca="false">IF(AND(G765="Engaging",J765&gt;Parâmetros!$B$6),"Sim","Não")</f>
        <v>Não</v>
      </c>
      <c r="P765" s="32" t="str">
        <f aca="false">IF(O765="Sim","R",IF(N765&gt;=Parâmetros!$B$39,"A",IF(N765&gt;=Parâmetros!$B$40,"B",IF(N765&gt;=Parâmetros!$B$41,"C","D"))))</f>
        <v>D</v>
      </c>
      <c r="Q765" s="10" t="str">
        <f aca="false">IF(F765="","Completar cadastro","")</f>
        <v>Completar cadastro</v>
      </c>
      <c r="R765" s="10" t="str">
        <f aca="false">INDEX(Parâmetros!$D$39:$D$43,MATCH(P765,Parâmetros!$A$39:$A$43,0))</f>
        <v>Automatizar ou vender em lote</v>
      </c>
    </row>
    <row r="766" customFormat="false" ht="15" hidden="false" customHeight="false" outlineLevel="0" collapsed="false">
      <c r="A766" s="10" t="s">
        <v>1008</v>
      </c>
      <c r="B766" s="10" t="s">
        <v>83</v>
      </c>
      <c r="C766" s="10" t="s">
        <v>78</v>
      </c>
      <c r="D766" s="10" t="s">
        <v>196</v>
      </c>
      <c r="E766" s="10" t="s">
        <v>52</v>
      </c>
      <c r="F766" s="10"/>
      <c r="G766" s="10" t="s">
        <v>425</v>
      </c>
      <c r="H766" s="10"/>
      <c r="I766" s="8" t="n">
        <f aca="false">INDEX(Parâmetros!$C$13:$C$19,MATCH(E766,Parâmetros!$A$13:$A$19,0))</f>
        <v>55</v>
      </c>
      <c r="J766" s="26" t="str">
        <f aca="false">IF(H766="","",Parâmetros!$B$5-H766)</f>
        <v/>
      </c>
      <c r="K766" s="10" t="n">
        <f aca="false">INDEX(Parâmetros!$D$13:$D$19,MATCH(E766,Parâmetros!$A$13:$A$19,0))</f>
        <v>0</v>
      </c>
      <c r="L766" s="26" t="n">
        <f aca="false">IF(G766="Prospecting",Parâmetros!$B$9,IF(J766&gt;Parâmetros!$B$6,0,INDEX(Parâmetros!$C$24:$C$26,MATCH(J766,Parâmetros!$A$24:$A$26,1))))</f>
        <v>10</v>
      </c>
      <c r="M766" s="31" t="n">
        <f aca="false">IF(G766="Prospecting",1,INDEX(Parâmetros!$C$32:$C$35,MATCH(J766,Parâmetros!$A$32:$A$35,1)))</f>
        <v>1</v>
      </c>
      <c r="N766" s="2" t="n">
        <f aca="false">ROUND((K766+L766)*M766,0)</f>
        <v>10</v>
      </c>
      <c r="O766" s="10" t="str">
        <f aca="false">IF(AND(G766="Engaging",J766&gt;Parâmetros!$B$6),"Sim","Não")</f>
        <v>Não</v>
      </c>
      <c r="P766" s="32" t="str">
        <f aca="false">IF(O766="Sim","R",IF(N766&gt;=Parâmetros!$B$39,"A",IF(N766&gt;=Parâmetros!$B$40,"B",IF(N766&gt;=Parâmetros!$B$41,"C","D"))))</f>
        <v>D</v>
      </c>
      <c r="Q766" s="10" t="str">
        <f aca="false">IF(F766="","Completar cadastro","")</f>
        <v>Completar cadastro</v>
      </c>
      <c r="R766" s="10" t="str">
        <f aca="false">INDEX(Parâmetros!$D$39:$D$43,MATCH(P766,Parâmetros!$A$39:$A$43,0))</f>
        <v>Automatizar ou vender em lote</v>
      </c>
    </row>
    <row r="767" customFormat="false" ht="15" hidden="false" customHeight="false" outlineLevel="0" collapsed="false">
      <c r="A767" s="10" t="s">
        <v>1009</v>
      </c>
      <c r="B767" s="10" t="s">
        <v>76</v>
      </c>
      <c r="C767" s="10" t="s">
        <v>72</v>
      </c>
      <c r="D767" s="10" t="s">
        <v>196</v>
      </c>
      <c r="E767" s="10" t="s">
        <v>52</v>
      </c>
      <c r="F767" s="10" t="s">
        <v>506</v>
      </c>
      <c r="G767" s="10" t="s">
        <v>425</v>
      </c>
      <c r="H767" s="10"/>
      <c r="I767" s="8" t="n">
        <f aca="false">INDEX(Parâmetros!$C$13:$C$19,MATCH(E767,Parâmetros!$A$13:$A$19,0))</f>
        <v>55</v>
      </c>
      <c r="J767" s="26" t="str">
        <f aca="false">IF(H767="","",Parâmetros!$B$5-H767)</f>
        <v/>
      </c>
      <c r="K767" s="10" t="n">
        <f aca="false">INDEX(Parâmetros!$D$13:$D$19,MATCH(E767,Parâmetros!$A$13:$A$19,0))</f>
        <v>0</v>
      </c>
      <c r="L767" s="26" t="n">
        <f aca="false">IF(G767="Prospecting",Parâmetros!$B$9,IF(J767&gt;Parâmetros!$B$6,0,INDEX(Parâmetros!$C$24:$C$26,MATCH(J767,Parâmetros!$A$24:$A$26,1))))</f>
        <v>10</v>
      </c>
      <c r="M767" s="31" t="n">
        <f aca="false">IF(G767="Prospecting",1,INDEX(Parâmetros!$C$32:$C$35,MATCH(J767,Parâmetros!$A$32:$A$35,1)))</f>
        <v>1</v>
      </c>
      <c r="N767" s="2" t="n">
        <f aca="false">ROUND((K767+L767)*M767,0)</f>
        <v>10</v>
      </c>
      <c r="O767" s="10" t="str">
        <f aca="false">IF(AND(G767="Engaging",J767&gt;Parâmetros!$B$6),"Sim","Não")</f>
        <v>Não</v>
      </c>
      <c r="P767" s="32" t="str">
        <f aca="false">IF(O767="Sim","R",IF(N767&gt;=Parâmetros!$B$39,"A",IF(N767&gt;=Parâmetros!$B$40,"B",IF(N767&gt;=Parâmetros!$B$41,"C","D"))))</f>
        <v>D</v>
      </c>
      <c r="Q767" s="10" t="str">
        <f aca="false">IF(F767="","Completar cadastro","")</f>
        <v/>
      </c>
      <c r="R767" s="10" t="str">
        <f aca="false">INDEX(Parâmetros!$D$39:$D$43,MATCH(P767,Parâmetros!$A$39:$A$43,0))</f>
        <v>Automatizar ou vender em lote</v>
      </c>
    </row>
    <row r="768" customFormat="false" ht="15" hidden="false" customHeight="false" outlineLevel="0" collapsed="false">
      <c r="A768" s="10" t="s">
        <v>1010</v>
      </c>
      <c r="B768" s="10" t="s">
        <v>76</v>
      </c>
      <c r="C768" s="10" t="s">
        <v>72</v>
      </c>
      <c r="D768" s="10" t="s">
        <v>196</v>
      </c>
      <c r="E768" s="10" t="s">
        <v>52</v>
      </c>
      <c r="F768" s="10" t="s">
        <v>986</v>
      </c>
      <c r="G768" s="10" t="s">
        <v>425</v>
      </c>
      <c r="H768" s="10"/>
      <c r="I768" s="8" t="n">
        <f aca="false">INDEX(Parâmetros!$C$13:$C$19,MATCH(E768,Parâmetros!$A$13:$A$19,0))</f>
        <v>55</v>
      </c>
      <c r="J768" s="26" t="str">
        <f aca="false">IF(H768="","",Parâmetros!$B$5-H768)</f>
        <v/>
      </c>
      <c r="K768" s="10" t="n">
        <f aca="false">INDEX(Parâmetros!$D$13:$D$19,MATCH(E768,Parâmetros!$A$13:$A$19,0))</f>
        <v>0</v>
      </c>
      <c r="L768" s="26" t="n">
        <f aca="false">IF(G768="Prospecting",Parâmetros!$B$9,IF(J768&gt;Parâmetros!$B$6,0,INDEX(Parâmetros!$C$24:$C$26,MATCH(J768,Parâmetros!$A$24:$A$26,1))))</f>
        <v>10</v>
      </c>
      <c r="M768" s="31" t="n">
        <f aca="false">IF(G768="Prospecting",1,INDEX(Parâmetros!$C$32:$C$35,MATCH(J768,Parâmetros!$A$32:$A$35,1)))</f>
        <v>1</v>
      </c>
      <c r="N768" s="2" t="n">
        <f aca="false">ROUND((K768+L768)*M768,0)</f>
        <v>10</v>
      </c>
      <c r="O768" s="10" t="str">
        <f aca="false">IF(AND(G768="Engaging",J768&gt;Parâmetros!$B$6),"Sim","Não")</f>
        <v>Não</v>
      </c>
      <c r="P768" s="32" t="str">
        <f aca="false">IF(O768="Sim","R",IF(N768&gt;=Parâmetros!$B$39,"A",IF(N768&gt;=Parâmetros!$B$40,"B",IF(N768&gt;=Parâmetros!$B$41,"C","D"))))</f>
        <v>D</v>
      </c>
      <c r="Q768" s="10" t="str">
        <f aca="false">IF(F768="","Completar cadastro","")</f>
        <v/>
      </c>
      <c r="R768" s="10" t="str">
        <f aca="false">INDEX(Parâmetros!$D$39:$D$43,MATCH(P768,Parâmetros!$A$39:$A$43,0))</f>
        <v>Automatizar ou vender em lote</v>
      </c>
    </row>
    <row r="769" customFormat="false" ht="15" hidden="false" customHeight="false" outlineLevel="0" collapsed="false">
      <c r="A769" s="10" t="s">
        <v>1011</v>
      </c>
      <c r="B769" s="10" t="s">
        <v>76</v>
      </c>
      <c r="C769" s="10" t="s">
        <v>72</v>
      </c>
      <c r="D769" s="10" t="s">
        <v>196</v>
      </c>
      <c r="E769" s="10" t="s">
        <v>52</v>
      </c>
      <c r="F769" s="10" t="s">
        <v>497</v>
      </c>
      <c r="G769" s="10" t="s">
        <v>425</v>
      </c>
      <c r="H769" s="10"/>
      <c r="I769" s="8" t="n">
        <f aca="false">INDEX(Parâmetros!$C$13:$C$19,MATCH(E769,Parâmetros!$A$13:$A$19,0))</f>
        <v>55</v>
      </c>
      <c r="J769" s="26" t="str">
        <f aca="false">IF(H769="","",Parâmetros!$B$5-H769)</f>
        <v/>
      </c>
      <c r="K769" s="10" t="n">
        <f aca="false">INDEX(Parâmetros!$D$13:$D$19,MATCH(E769,Parâmetros!$A$13:$A$19,0))</f>
        <v>0</v>
      </c>
      <c r="L769" s="26" t="n">
        <f aca="false">IF(G769="Prospecting",Parâmetros!$B$9,IF(J769&gt;Parâmetros!$B$6,0,INDEX(Parâmetros!$C$24:$C$26,MATCH(J769,Parâmetros!$A$24:$A$26,1))))</f>
        <v>10</v>
      </c>
      <c r="M769" s="31" t="n">
        <f aca="false">IF(G769="Prospecting",1,INDEX(Parâmetros!$C$32:$C$35,MATCH(J769,Parâmetros!$A$32:$A$35,1)))</f>
        <v>1</v>
      </c>
      <c r="N769" s="2" t="n">
        <f aca="false">ROUND((K769+L769)*M769,0)</f>
        <v>10</v>
      </c>
      <c r="O769" s="10" t="str">
        <f aca="false">IF(AND(G769="Engaging",J769&gt;Parâmetros!$B$6),"Sim","Não")</f>
        <v>Não</v>
      </c>
      <c r="P769" s="32" t="str">
        <f aca="false">IF(O769="Sim","R",IF(N769&gt;=Parâmetros!$B$39,"A",IF(N769&gt;=Parâmetros!$B$40,"B",IF(N769&gt;=Parâmetros!$B$41,"C","D"))))</f>
        <v>D</v>
      </c>
      <c r="Q769" s="10" t="str">
        <f aca="false">IF(F769="","Completar cadastro","")</f>
        <v/>
      </c>
      <c r="R769" s="10" t="str">
        <f aca="false">INDEX(Parâmetros!$D$39:$D$43,MATCH(P769,Parâmetros!$A$39:$A$43,0))</f>
        <v>Automatizar ou vender em lote</v>
      </c>
    </row>
    <row r="770" customFormat="false" ht="15" hidden="false" customHeight="false" outlineLevel="0" collapsed="false">
      <c r="A770" s="10" t="s">
        <v>1012</v>
      </c>
      <c r="B770" s="10" t="s">
        <v>76</v>
      </c>
      <c r="C770" s="10" t="s">
        <v>72</v>
      </c>
      <c r="D770" s="10" t="s">
        <v>196</v>
      </c>
      <c r="E770" s="10" t="s">
        <v>52</v>
      </c>
      <c r="F770" s="10" t="s">
        <v>172</v>
      </c>
      <c r="G770" s="10" t="s">
        <v>425</v>
      </c>
      <c r="H770" s="10"/>
      <c r="I770" s="8" t="n">
        <f aca="false">INDEX(Parâmetros!$C$13:$C$19,MATCH(E770,Parâmetros!$A$13:$A$19,0))</f>
        <v>55</v>
      </c>
      <c r="J770" s="26" t="str">
        <f aca="false">IF(H770="","",Parâmetros!$B$5-H770)</f>
        <v/>
      </c>
      <c r="K770" s="10" t="n">
        <f aca="false">INDEX(Parâmetros!$D$13:$D$19,MATCH(E770,Parâmetros!$A$13:$A$19,0))</f>
        <v>0</v>
      </c>
      <c r="L770" s="26" t="n">
        <f aca="false">IF(G770="Prospecting",Parâmetros!$B$9,IF(J770&gt;Parâmetros!$B$6,0,INDEX(Parâmetros!$C$24:$C$26,MATCH(J770,Parâmetros!$A$24:$A$26,1))))</f>
        <v>10</v>
      </c>
      <c r="M770" s="31" t="n">
        <f aca="false">IF(G770="Prospecting",1,INDEX(Parâmetros!$C$32:$C$35,MATCH(J770,Parâmetros!$A$32:$A$35,1)))</f>
        <v>1</v>
      </c>
      <c r="N770" s="2" t="n">
        <f aca="false">ROUND((K770+L770)*M770,0)</f>
        <v>10</v>
      </c>
      <c r="O770" s="10" t="str">
        <f aca="false">IF(AND(G770="Engaging",J770&gt;Parâmetros!$B$6),"Sim","Não")</f>
        <v>Não</v>
      </c>
      <c r="P770" s="32" t="str">
        <f aca="false">IF(O770="Sim","R",IF(N770&gt;=Parâmetros!$B$39,"A",IF(N770&gt;=Parâmetros!$B$40,"B",IF(N770&gt;=Parâmetros!$B$41,"C","D"))))</f>
        <v>D</v>
      </c>
      <c r="Q770" s="10" t="str">
        <f aca="false">IF(F770="","Completar cadastro","")</f>
        <v/>
      </c>
      <c r="R770" s="10" t="str">
        <f aca="false">INDEX(Parâmetros!$D$39:$D$43,MATCH(P770,Parâmetros!$A$39:$A$43,0))</f>
        <v>Automatizar ou vender em lote</v>
      </c>
    </row>
    <row r="771" customFormat="false" ht="15" hidden="false" customHeight="false" outlineLevel="0" collapsed="false">
      <c r="A771" s="10" t="s">
        <v>1013</v>
      </c>
      <c r="B771" s="10" t="s">
        <v>76</v>
      </c>
      <c r="C771" s="10" t="s">
        <v>72</v>
      </c>
      <c r="D771" s="10" t="s">
        <v>196</v>
      </c>
      <c r="E771" s="10" t="s">
        <v>52</v>
      </c>
      <c r="F771" s="10" t="s">
        <v>179</v>
      </c>
      <c r="G771" s="10" t="s">
        <v>425</v>
      </c>
      <c r="H771" s="10"/>
      <c r="I771" s="8" t="n">
        <f aca="false">INDEX(Parâmetros!$C$13:$C$19,MATCH(E771,Parâmetros!$A$13:$A$19,0))</f>
        <v>55</v>
      </c>
      <c r="J771" s="26" t="str">
        <f aca="false">IF(H771="","",Parâmetros!$B$5-H771)</f>
        <v/>
      </c>
      <c r="K771" s="10" t="n">
        <f aca="false">INDEX(Parâmetros!$D$13:$D$19,MATCH(E771,Parâmetros!$A$13:$A$19,0))</f>
        <v>0</v>
      </c>
      <c r="L771" s="26" t="n">
        <f aca="false">IF(G771="Prospecting",Parâmetros!$B$9,IF(J771&gt;Parâmetros!$B$6,0,INDEX(Parâmetros!$C$24:$C$26,MATCH(J771,Parâmetros!$A$24:$A$26,1))))</f>
        <v>10</v>
      </c>
      <c r="M771" s="31" t="n">
        <f aca="false">IF(G771="Prospecting",1,INDEX(Parâmetros!$C$32:$C$35,MATCH(J771,Parâmetros!$A$32:$A$35,1)))</f>
        <v>1</v>
      </c>
      <c r="N771" s="2" t="n">
        <f aca="false">ROUND((K771+L771)*M771,0)</f>
        <v>10</v>
      </c>
      <c r="O771" s="10" t="str">
        <f aca="false">IF(AND(G771="Engaging",J771&gt;Parâmetros!$B$6),"Sim","Não")</f>
        <v>Não</v>
      </c>
      <c r="P771" s="32" t="str">
        <f aca="false">IF(O771="Sim","R",IF(N771&gt;=Parâmetros!$B$39,"A",IF(N771&gt;=Parâmetros!$B$40,"B",IF(N771&gt;=Parâmetros!$B$41,"C","D"))))</f>
        <v>D</v>
      </c>
      <c r="Q771" s="10" t="str">
        <f aca="false">IF(F771="","Completar cadastro","")</f>
        <v/>
      </c>
      <c r="R771" s="10" t="str">
        <f aca="false">INDEX(Parâmetros!$D$39:$D$43,MATCH(P771,Parâmetros!$A$39:$A$43,0))</f>
        <v>Automatizar ou vender em lote</v>
      </c>
    </row>
    <row r="772" customFormat="false" ht="15" hidden="false" customHeight="false" outlineLevel="0" collapsed="false">
      <c r="A772" s="10" t="s">
        <v>1014</v>
      </c>
      <c r="B772" s="10" t="s">
        <v>76</v>
      </c>
      <c r="C772" s="10" t="s">
        <v>72</v>
      </c>
      <c r="D772" s="10" t="s">
        <v>196</v>
      </c>
      <c r="E772" s="10" t="s">
        <v>52</v>
      </c>
      <c r="F772" s="10" t="s">
        <v>215</v>
      </c>
      <c r="G772" s="10" t="s">
        <v>425</v>
      </c>
      <c r="H772" s="10"/>
      <c r="I772" s="8" t="n">
        <f aca="false">INDEX(Parâmetros!$C$13:$C$19,MATCH(E772,Parâmetros!$A$13:$A$19,0))</f>
        <v>55</v>
      </c>
      <c r="J772" s="26" t="str">
        <f aca="false">IF(H772="","",Parâmetros!$B$5-H772)</f>
        <v/>
      </c>
      <c r="K772" s="10" t="n">
        <f aca="false">INDEX(Parâmetros!$D$13:$D$19,MATCH(E772,Parâmetros!$A$13:$A$19,0))</f>
        <v>0</v>
      </c>
      <c r="L772" s="26" t="n">
        <f aca="false">IF(G772="Prospecting",Parâmetros!$B$9,IF(J772&gt;Parâmetros!$B$6,0,INDEX(Parâmetros!$C$24:$C$26,MATCH(J772,Parâmetros!$A$24:$A$26,1))))</f>
        <v>10</v>
      </c>
      <c r="M772" s="31" t="n">
        <f aca="false">IF(G772="Prospecting",1,INDEX(Parâmetros!$C$32:$C$35,MATCH(J772,Parâmetros!$A$32:$A$35,1)))</f>
        <v>1</v>
      </c>
      <c r="N772" s="2" t="n">
        <f aca="false">ROUND((K772+L772)*M772,0)</f>
        <v>10</v>
      </c>
      <c r="O772" s="10" t="str">
        <f aca="false">IF(AND(G772="Engaging",J772&gt;Parâmetros!$B$6),"Sim","Não")</f>
        <v>Não</v>
      </c>
      <c r="P772" s="32" t="str">
        <f aca="false">IF(O772="Sim","R",IF(N772&gt;=Parâmetros!$B$39,"A",IF(N772&gt;=Parâmetros!$B$40,"B",IF(N772&gt;=Parâmetros!$B$41,"C","D"))))</f>
        <v>D</v>
      </c>
      <c r="Q772" s="10" t="str">
        <f aca="false">IF(F772="","Completar cadastro","")</f>
        <v/>
      </c>
      <c r="R772" s="10" t="str">
        <f aca="false">INDEX(Parâmetros!$D$39:$D$43,MATCH(P772,Parâmetros!$A$39:$A$43,0))</f>
        <v>Automatizar ou vender em lote</v>
      </c>
    </row>
    <row r="773" customFormat="false" ht="15" hidden="false" customHeight="false" outlineLevel="0" collapsed="false">
      <c r="A773" s="10" t="s">
        <v>1015</v>
      </c>
      <c r="B773" s="10" t="s">
        <v>76</v>
      </c>
      <c r="C773" s="10" t="s">
        <v>72</v>
      </c>
      <c r="D773" s="10" t="s">
        <v>196</v>
      </c>
      <c r="E773" s="10" t="s">
        <v>52</v>
      </c>
      <c r="F773" s="10" t="s">
        <v>527</v>
      </c>
      <c r="G773" s="10" t="s">
        <v>425</v>
      </c>
      <c r="H773" s="10"/>
      <c r="I773" s="8" t="n">
        <f aca="false">INDEX(Parâmetros!$C$13:$C$19,MATCH(E773,Parâmetros!$A$13:$A$19,0))</f>
        <v>55</v>
      </c>
      <c r="J773" s="26" t="str">
        <f aca="false">IF(H773="","",Parâmetros!$B$5-H773)</f>
        <v/>
      </c>
      <c r="K773" s="10" t="n">
        <f aca="false">INDEX(Parâmetros!$D$13:$D$19,MATCH(E773,Parâmetros!$A$13:$A$19,0))</f>
        <v>0</v>
      </c>
      <c r="L773" s="26" t="n">
        <f aca="false">IF(G773="Prospecting",Parâmetros!$B$9,IF(J773&gt;Parâmetros!$B$6,0,INDEX(Parâmetros!$C$24:$C$26,MATCH(J773,Parâmetros!$A$24:$A$26,1))))</f>
        <v>10</v>
      </c>
      <c r="M773" s="31" t="n">
        <f aca="false">IF(G773="Prospecting",1,INDEX(Parâmetros!$C$32:$C$35,MATCH(J773,Parâmetros!$A$32:$A$35,1)))</f>
        <v>1</v>
      </c>
      <c r="N773" s="2" t="n">
        <f aca="false">ROUND((K773+L773)*M773,0)</f>
        <v>10</v>
      </c>
      <c r="O773" s="10" t="str">
        <f aca="false">IF(AND(G773="Engaging",J773&gt;Parâmetros!$B$6),"Sim","Não")</f>
        <v>Não</v>
      </c>
      <c r="P773" s="32" t="str">
        <f aca="false">IF(O773="Sim","R",IF(N773&gt;=Parâmetros!$B$39,"A",IF(N773&gt;=Parâmetros!$B$40,"B",IF(N773&gt;=Parâmetros!$B$41,"C","D"))))</f>
        <v>D</v>
      </c>
      <c r="Q773" s="10" t="str">
        <f aca="false">IF(F773="","Completar cadastro","")</f>
        <v/>
      </c>
      <c r="R773" s="10" t="str">
        <f aca="false">INDEX(Parâmetros!$D$39:$D$43,MATCH(P773,Parâmetros!$A$39:$A$43,0))</f>
        <v>Automatizar ou vender em lote</v>
      </c>
    </row>
    <row r="774" customFormat="false" ht="15" hidden="false" customHeight="false" outlineLevel="0" collapsed="false">
      <c r="A774" s="10" t="s">
        <v>1016</v>
      </c>
      <c r="B774" s="10" t="s">
        <v>76</v>
      </c>
      <c r="C774" s="10" t="s">
        <v>72</v>
      </c>
      <c r="D774" s="10" t="s">
        <v>196</v>
      </c>
      <c r="E774" s="10" t="s">
        <v>52</v>
      </c>
      <c r="F774" s="10"/>
      <c r="G774" s="10" t="s">
        <v>425</v>
      </c>
      <c r="H774" s="10"/>
      <c r="I774" s="8" t="n">
        <f aca="false">INDEX(Parâmetros!$C$13:$C$19,MATCH(E774,Parâmetros!$A$13:$A$19,0))</f>
        <v>55</v>
      </c>
      <c r="J774" s="26" t="str">
        <f aca="false">IF(H774="","",Parâmetros!$B$5-H774)</f>
        <v/>
      </c>
      <c r="K774" s="10" t="n">
        <f aca="false">INDEX(Parâmetros!$D$13:$D$19,MATCH(E774,Parâmetros!$A$13:$A$19,0))</f>
        <v>0</v>
      </c>
      <c r="L774" s="26" t="n">
        <f aca="false">IF(G774="Prospecting",Parâmetros!$B$9,IF(J774&gt;Parâmetros!$B$6,0,INDEX(Parâmetros!$C$24:$C$26,MATCH(J774,Parâmetros!$A$24:$A$26,1))))</f>
        <v>10</v>
      </c>
      <c r="M774" s="31" t="n">
        <f aca="false">IF(G774="Prospecting",1,INDEX(Parâmetros!$C$32:$C$35,MATCH(J774,Parâmetros!$A$32:$A$35,1)))</f>
        <v>1</v>
      </c>
      <c r="N774" s="2" t="n">
        <f aca="false">ROUND((K774+L774)*M774,0)</f>
        <v>10</v>
      </c>
      <c r="O774" s="10" t="str">
        <f aca="false">IF(AND(G774="Engaging",J774&gt;Parâmetros!$B$6),"Sim","Não")</f>
        <v>Não</v>
      </c>
      <c r="P774" s="32" t="str">
        <f aca="false">IF(O774="Sim","R",IF(N774&gt;=Parâmetros!$B$39,"A",IF(N774&gt;=Parâmetros!$B$40,"B",IF(N774&gt;=Parâmetros!$B$41,"C","D"))))</f>
        <v>D</v>
      </c>
      <c r="Q774" s="10" t="str">
        <f aca="false">IF(F774="","Completar cadastro","")</f>
        <v>Completar cadastro</v>
      </c>
      <c r="R774" s="10" t="str">
        <f aca="false">INDEX(Parâmetros!$D$39:$D$43,MATCH(P774,Parâmetros!$A$39:$A$43,0))</f>
        <v>Automatizar ou vender em lote</v>
      </c>
    </row>
    <row r="775" customFormat="false" ht="15" hidden="false" customHeight="false" outlineLevel="0" collapsed="false">
      <c r="A775" s="10" t="s">
        <v>1017</v>
      </c>
      <c r="B775" s="10" t="s">
        <v>76</v>
      </c>
      <c r="C775" s="10" t="s">
        <v>72</v>
      </c>
      <c r="D775" s="10" t="s">
        <v>196</v>
      </c>
      <c r="E775" s="10" t="s">
        <v>52</v>
      </c>
      <c r="F775" s="10"/>
      <c r="G775" s="10" t="s">
        <v>425</v>
      </c>
      <c r="H775" s="10"/>
      <c r="I775" s="8" t="n">
        <f aca="false">INDEX(Parâmetros!$C$13:$C$19,MATCH(E775,Parâmetros!$A$13:$A$19,0))</f>
        <v>55</v>
      </c>
      <c r="J775" s="26" t="str">
        <f aca="false">IF(H775="","",Parâmetros!$B$5-H775)</f>
        <v/>
      </c>
      <c r="K775" s="10" t="n">
        <f aca="false">INDEX(Parâmetros!$D$13:$D$19,MATCH(E775,Parâmetros!$A$13:$A$19,0))</f>
        <v>0</v>
      </c>
      <c r="L775" s="26" t="n">
        <f aca="false">IF(G775="Prospecting",Parâmetros!$B$9,IF(J775&gt;Parâmetros!$B$6,0,INDEX(Parâmetros!$C$24:$C$26,MATCH(J775,Parâmetros!$A$24:$A$26,1))))</f>
        <v>10</v>
      </c>
      <c r="M775" s="31" t="n">
        <f aca="false">IF(G775="Prospecting",1,INDEX(Parâmetros!$C$32:$C$35,MATCH(J775,Parâmetros!$A$32:$A$35,1)))</f>
        <v>1</v>
      </c>
      <c r="N775" s="2" t="n">
        <f aca="false">ROUND((K775+L775)*M775,0)</f>
        <v>10</v>
      </c>
      <c r="O775" s="10" t="str">
        <f aca="false">IF(AND(G775="Engaging",J775&gt;Parâmetros!$B$6),"Sim","Não")</f>
        <v>Não</v>
      </c>
      <c r="P775" s="32" t="str">
        <f aca="false">IF(O775="Sim","R",IF(N775&gt;=Parâmetros!$B$39,"A",IF(N775&gt;=Parâmetros!$B$40,"B",IF(N775&gt;=Parâmetros!$B$41,"C","D"))))</f>
        <v>D</v>
      </c>
      <c r="Q775" s="10" t="str">
        <f aca="false">IF(F775="","Completar cadastro","")</f>
        <v>Completar cadastro</v>
      </c>
      <c r="R775" s="10" t="str">
        <f aca="false">INDEX(Parâmetros!$D$39:$D$43,MATCH(P775,Parâmetros!$A$39:$A$43,0))</f>
        <v>Automatizar ou vender em lote</v>
      </c>
    </row>
    <row r="776" customFormat="false" ht="15" hidden="false" customHeight="false" outlineLevel="0" collapsed="false">
      <c r="A776" s="10" t="s">
        <v>1018</v>
      </c>
      <c r="B776" s="10" t="s">
        <v>76</v>
      </c>
      <c r="C776" s="10" t="s">
        <v>72</v>
      </c>
      <c r="D776" s="10" t="s">
        <v>196</v>
      </c>
      <c r="E776" s="10" t="s">
        <v>52</v>
      </c>
      <c r="F776" s="10"/>
      <c r="G776" s="10" t="s">
        <v>425</v>
      </c>
      <c r="H776" s="10"/>
      <c r="I776" s="8" t="n">
        <f aca="false">INDEX(Parâmetros!$C$13:$C$19,MATCH(E776,Parâmetros!$A$13:$A$19,0))</f>
        <v>55</v>
      </c>
      <c r="J776" s="26" t="str">
        <f aca="false">IF(H776="","",Parâmetros!$B$5-H776)</f>
        <v/>
      </c>
      <c r="K776" s="10" t="n">
        <f aca="false">INDEX(Parâmetros!$D$13:$D$19,MATCH(E776,Parâmetros!$A$13:$A$19,0))</f>
        <v>0</v>
      </c>
      <c r="L776" s="26" t="n">
        <f aca="false">IF(G776="Prospecting",Parâmetros!$B$9,IF(J776&gt;Parâmetros!$B$6,0,INDEX(Parâmetros!$C$24:$C$26,MATCH(J776,Parâmetros!$A$24:$A$26,1))))</f>
        <v>10</v>
      </c>
      <c r="M776" s="31" t="n">
        <f aca="false">IF(G776="Prospecting",1,INDEX(Parâmetros!$C$32:$C$35,MATCH(J776,Parâmetros!$A$32:$A$35,1)))</f>
        <v>1</v>
      </c>
      <c r="N776" s="2" t="n">
        <f aca="false">ROUND((K776+L776)*M776,0)</f>
        <v>10</v>
      </c>
      <c r="O776" s="10" t="str">
        <f aca="false">IF(AND(G776="Engaging",J776&gt;Parâmetros!$B$6),"Sim","Não")</f>
        <v>Não</v>
      </c>
      <c r="P776" s="32" t="str">
        <f aca="false">IF(O776="Sim","R",IF(N776&gt;=Parâmetros!$B$39,"A",IF(N776&gt;=Parâmetros!$B$40,"B",IF(N776&gt;=Parâmetros!$B$41,"C","D"))))</f>
        <v>D</v>
      </c>
      <c r="Q776" s="10" t="str">
        <f aca="false">IF(F776="","Completar cadastro","")</f>
        <v>Completar cadastro</v>
      </c>
      <c r="R776" s="10" t="str">
        <f aca="false">INDEX(Parâmetros!$D$39:$D$43,MATCH(P776,Parâmetros!$A$39:$A$43,0))</f>
        <v>Automatizar ou vender em lote</v>
      </c>
    </row>
    <row r="777" customFormat="false" ht="15" hidden="false" customHeight="false" outlineLevel="0" collapsed="false">
      <c r="A777" s="10" t="s">
        <v>1019</v>
      </c>
      <c r="B777" s="10" t="s">
        <v>76</v>
      </c>
      <c r="C777" s="10" t="s">
        <v>72</v>
      </c>
      <c r="D777" s="10" t="s">
        <v>196</v>
      </c>
      <c r="E777" s="10" t="s">
        <v>52</v>
      </c>
      <c r="F777" s="10"/>
      <c r="G777" s="10" t="s">
        <v>425</v>
      </c>
      <c r="H777" s="10"/>
      <c r="I777" s="8" t="n">
        <f aca="false">INDEX(Parâmetros!$C$13:$C$19,MATCH(E777,Parâmetros!$A$13:$A$19,0))</f>
        <v>55</v>
      </c>
      <c r="J777" s="26" t="str">
        <f aca="false">IF(H777="","",Parâmetros!$B$5-H777)</f>
        <v/>
      </c>
      <c r="K777" s="10" t="n">
        <f aca="false">INDEX(Parâmetros!$D$13:$D$19,MATCH(E777,Parâmetros!$A$13:$A$19,0))</f>
        <v>0</v>
      </c>
      <c r="L777" s="26" t="n">
        <f aca="false">IF(G777="Prospecting",Parâmetros!$B$9,IF(J777&gt;Parâmetros!$B$6,0,INDEX(Parâmetros!$C$24:$C$26,MATCH(J777,Parâmetros!$A$24:$A$26,1))))</f>
        <v>10</v>
      </c>
      <c r="M777" s="31" t="n">
        <f aca="false">IF(G777="Prospecting",1,INDEX(Parâmetros!$C$32:$C$35,MATCH(J777,Parâmetros!$A$32:$A$35,1)))</f>
        <v>1</v>
      </c>
      <c r="N777" s="2" t="n">
        <f aca="false">ROUND((K777+L777)*M777,0)</f>
        <v>10</v>
      </c>
      <c r="O777" s="10" t="str">
        <f aca="false">IF(AND(G777="Engaging",J777&gt;Parâmetros!$B$6),"Sim","Não")</f>
        <v>Não</v>
      </c>
      <c r="P777" s="32" t="str">
        <f aca="false">IF(O777="Sim","R",IF(N777&gt;=Parâmetros!$B$39,"A",IF(N777&gt;=Parâmetros!$B$40,"B",IF(N777&gt;=Parâmetros!$B$41,"C","D"))))</f>
        <v>D</v>
      </c>
      <c r="Q777" s="10" t="str">
        <f aca="false">IF(F777="","Completar cadastro","")</f>
        <v>Completar cadastro</v>
      </c>
      <c r="R777" s="10" t="str">
        <f aca="false">INDEX(Parâmetros!$D$39:$D$43,MATCH(P777,Parâmetros!$A$39:$A$43,0))</f>
        <v>Automatizar ou vender em lote</v>
      </c>
    </row>
    <row r="778" customFormat="false" ht="15" hidden="false" customHeight="false" outlineLevel="0" collapsed="false">
      <c r="A778" s="10" t="s">
        <v>1020</v>
      </c>
      <c r="B778" s="10" t="s">
        <v>76</v>
      </c>
      <c r="C778" s="10" t="s">
        <v>72</v>
      </c>
      <c r="D778" s="10" t="s">
        <v>196</v>
      </c>
      <c r="E778" s="10" t="s">
        <v>52</v>
      </c>
      <c r="F778" s="10"/>
      <c r="G778" s="10" t="s">
        <v>425</v>
      </c>
      <c r="H778" s="10"/>
      <c r="I778" s="8" t="n">
        <f aca="false">INDEX(Parâmetros!$C$13:$C$19,MATCH(E778,Parâmetros!$A$13:$A$19,0))</f>
        <v>55</v>
      </c>
      <c r="J778" s="26" t="str">
        <f aca="false">IF(H778="","",Parâmetros!$B$5-H778)</f>
        <v/>
      </c>
      <c r="K778" s="10" t="n">
        <f aca="false">INDEX(Parâmetros!$D$13:$D$19,MATCH(E778,Parâmetros!$A$13:$A$19,0))</f>
        <v>0</v>
      </c>
      <c r="L778" s="26" t="n">
        <f aca="false">IF(G778="Prospecting",Parâmetros!$B$9,IF(J778&gt;Parâmetros!$B$6,0,INDEX(Parâmetros!$C$24:$C$26,MATCH(J778,Parâmetros!$A$24:$A$26,1))))</f>
        <v>10</v>
      </c>
      <c r="M778" s="31" t="n">
        <f aca="false">IF(G778="Prospecting",1,INDEX(Parâmetros!$C$32:$C$35,MATCH(J778,Parâmetros!$A$32:$A$35,1)))</f>
        <v>1</v>
      </c>
      <c r="N778" s="2" t="n">
        <f aca="false">ROUND((K778+L778)*M778,0)</f>
        <v>10</v>
      </c>
      <c r="O778" s="10" t="str">
        <f aca="false">IF(AND(G778="Engaging",J778&gt;Parâmetros!$B$6),"Sim","Não")</f>
        <v>Não</v>
      </c>
      <c r="P778" s="32" t="str">
        <f aca="false">IF(O778="Sim","R",IF(N778&gt;=Parâmetros!$B$39,"A",IF(N778&gt;=Parâmetros!$B$40,"B",IF(N778&gt;=Parâmetros!$B$41,"C","D"))))</f>
        <v>D</v>
      </c>
      <c r="Q778" s="10" t="str">
        <f aca="false">IF(F778="","Completar cadastro","")</f>
        <v>Completar cadastro</v>
      </c>
      <c r="R778" s="10" t="str">
        <f aca="false">INDEX(Parâmetros!$D$39:$D$43,MATCH(P778,Parâmetros!$A$39:$A$43,0))</f>
        <v>Automatizar ou vender em lote</v>
      </c>
    </row>
    <row r="779" customFormat="false" ht="15" hidden="false" customHeight="false" outlineLevel="0" collapsed="false">
      <c r="A779" s="10" t="s">
        <v>1021</v>
      </c>
      <c r="B779" s="10" t="s">
        <v>76</v>
      </c>
      <c r="C779" s="10" t="s">
        <v>72</v>
      </c>
      <c r="D779" s="10" t="s">
        <v>196</v>
      </c>
      <c r="E779" s="10" t="s">
        <v>52</v>
      </c>
      <c r="F779" s="10"/>
      <c r="G779" s="10" t="s">
        <v>425</v>
      </c>
      <c r="H779" s="10"/>
      <c r="I779" s="8" t="n">
        <f aca="false">INDEX(Parâmetros!$C$13:$C$19,MATCH(E779,Parâmetros!$A$13:$A$19,0))</f>
        <v>55</v>
      </c>
      <c r="J779" s="26" t="str">
        <f aca="false">IF(H779="","",Parâmetros!$B$5-H779)</f>
        <v/>
      </c>
      <c r="K779" s="10" t="n">
        <f aca="false">INDEX(Parâmetros!$D$13:$D$19,MATCH(E779,Parâmetros!$A$13:$A$19,0))</f>
        <v>0</v>
      </c>
      <c r="L779" s="26" t="n">
        <f aca="false">IF(G779="Prospecting",Parâmetros!$B$9,IF(J779&gt;Parâmetros!$B$6,0,INDEX(Parâmetros!$C$24:$C$26,MATCH(J779,Parâmetros!$A$24:$A$26,1))))</f>
        <v>10</v>
      </c>
      <c r="M779" s="31" t="n">
        <f aca="false">IF(G779="Prospecting",1,INDEX(Parâmetros!$C$32:$C$35,MATCH(J779,Parâmetros!$A$32:$A$35,1)))</f>
        <v>1</v>
      </c>
      <c r="N779" s="2" t="n">
        <f aca="false">ROUND((K779+L779)*M779,0)</f>
        <v>10</v>
      </c>
      <c r="O779" s="10" t="str">
        <f aca="false">IF(AND(G779="Engaging",J779&gt;Parâmetros!$B$6),"Sim","Não")</f>
        <v>Não</v>
      </c>
      <c r="P779" s="32" t="str">
        <f aca="false">IF(O779="Sim","R",IF(N779&gt;=Parâmetros!$B$39,"A",IF(N779&gt;=Parâmetros!$B$40,"B",IF(N779&gt;=Parâmetros!$B$41,"C","D"))))</f>
        <v>D</v>
      </c>
      <c r="Q779" s="10" t="str">
        <f aca="false">IF(F779="","Completar cadastro","")</f>
        <v>Completar cadastro</v>
      </c>
      <c r="R779" s="10" t="str">
        <f aca="false">INDEX(Parâmetros!$D$39:$D$43,MATCH(P779,Parâmetros!$A$39:$A$43,0))</f>
        <v>Automatizar ou vender em lote</v>
      </c>
    </row>
    <row r="780" customFormat="false" ht="15" hidden="false" customHeight="false" outlineLevel="0" collapsed="false">
      <c r="A780" s="10" t="s">
        <v>1022</v>
      </c>
      <c r="B780" s="10" t="s">
        <v>76</v>
      </c>
      <c r="C780" s="10" t="s">
        <v>72</v>
      </c>
      <c r="D780" s="10" t="s">
        <v>196</v>
      </c>
      <c r="E780" s="10" t="s">
        <v>52</v>
      </c>
      <c r="F780" s="10"/>
      <c r="G780" s="10" t="s">
        <v>425</v>
      </c>
      <c r="H780" s="10"/>
      <c r="I780" s="8" t="n">
        <f aca="false">INDEX(Parâmetros!$C$13:$C$19,MATCH(E780,Parâmetros!$A$13:$A$19,0))</f>
        <v>55</v>
      </c>
      <c r="J780" s="26" t="str">
        <f aca="false">IF(H780="","",Parâmetros!$B$5-H780)</f>
        <v/>
      </c>
      <c r="K780" s="10" t="n">
        <f aca="false">INDEX(Parâmetros!$D$13:$D$19,MATCH(E780,Parâmetros!$A$13:$A$19,0))</f>
        <v>0</v>
      </c>
      <c r="L780" s="26" t="n">
        <f aca="false">IF(G780="Prospecting",Parâmetros!$B$9,IF(J780&gt;Parâmetros!$B$6,0,INDEX(Parâmetros!$C$24:$C$26,MATCH(J780,Parâmetros!$A$24:$A$26,1))))</f>
        <v>10</v>
      </c>
      <c r="M780" s="31" t="n">
        <f aca="false">IF(G780="Prospecting",1,INDEX(Parâmetros!$C$32:$C$35,MATCH(J780,Parâmetros!$A$32:$A$35,1)))</f>
        <v>1</v>
      </c>
      <c r="N780" s="2" t="n">
        <f aca="false">ROUND((K780+L780)*M780,0)</f>
        <v>10</v>
      </c>
      <c r="O780" s="10" t="str">
        <f aca="false">IF(AND(G780="Engaging",J780&gt;Parâmetros!$B$6),"Sim","Não")</f>
        <v>Não</v>
      </c>
      <c r="P780" s="32" t="str">
        <f aca="false">IF(O780="Sim","R",IF(N780&gt;=Parâmetros!$B$39,"A",IF(N780&gt;=Parâmetros!$B$40,"B",IF(N780&gt;=Parâmetros!$B$41,"C","D"))))</f>
        <v>D</v>
      </c>
      <c r="Q780" s="10" t="str">
        <f aca="false">IF(F780="","Completar cadastro","")</f>
        <v>Completar cadastro</v>
      </c>
      <c r="R780" s="10" t="str">
        <f aca="false">INDEX(Parâmetros!$D$39:$D$43,MATCH(P780,Parâmetros!$A$39:$A$43,0))</f>
        <v>Automatizar ou vender em lote</v>
      </c>
    </row>
    <row r="781" customFormat="false" ht="15" hidden="false" customHeight="false" outlineLevel="0" collapsed="false">
      <c r="A781" s="10" t="s">
        <v>1023</v>
      </c>
      <c r="B781" s="10" t="s">
        <v>76</v>
      </c>
      <c r="C781" s="10" t="s">
        <v>72</v>
      </c>
      <c r="D781" s="10" t="s">
        <v>196</v>
      </c>
      <c r="E781" s="10" t="s">
        <v>52</v>
      </c>
      <c r="F781" s="10"/>
      <c r="G781" s="10" t="s">
        <v>425</v>
      </c>
      <c r="H781" s="10"/>
      <c r="I781" s="8" t="n">
        <f aca="false">INDEX(Parâmetros!$C$13:$C$19,MATCH(E781,Parâmetros!$A$13:$A$19,0))</f>
        <v>55</v>
      </c>
      <c r="J781" s="26" t="str">
        <f aca="false">IF(H781="","",Parâmetros!$B$5-H781)</f>
        <v/>
      </c>
      <c r="K781" s="10" t="n">
        <f aca="false">INDEX(Parâmetros!$D$13:$D$19,MATCH(E781,Parâmetros!$A$13:$A$19,0))</f>
        <v>0</v>
      </c>
      <c r="L781" s="26" t="n">
        <f aca="false">IF(G781="Prospecting",Parâmetros!$B$9,IF(J781&gt;Parâmetros!$B$6,0,INDEX(Parâmetros!$C$24:$C$26,MATCH(J781,Parâmetros!$A$24:$A$26,1))))</f>
        <v>10</v>
      </c>
      <c r="M781" s="31" t="n">
        <f aca="false">IF(G781="Prospecting",1,INDEX(Parâmetros!$C$32:$C$35,MATCH(J781,Parâmetros!$A$32:$A$35,1)))</f>
        <v>1</v>
      </c>
      <c r="N781" s="2" t="n">
        <f aca="false">ROUND((K781+L781)*M781,0)</f>
        <v>10</v>
      </c>
      <c r="O781" s="10" t="str">
        <f aca="false">IF(AND(G781="Engaging",J781&gt;Parâmetros!$B$6),"Sim","Não")</f>
        <v>Não</v>
      </c>
      <c r="P781" s="32" t="str">
        <f aca="false">IF(O781="Sim","R",IF(N781&gt;=Parâmetros!$B$39,"A",IF(N781&gt;=Parâmetros!$B$40,"B",IF(N781&gt;=Parâmetros!$B$41,"C","D"))))</f>
        <v>D</v>
      </c>
      <c r="Q781" s="10" t="str">
        <f aca="false">IF(F781="","Completar cadastro","")</f>
        <v>Completar cadastro</v>
      </c>
      <c r="R781" s="10" t="str">
        <f aca="false">INDEX(Parâmetros!$D$39:$D$43,MATCH(P781,Parâmetros!$A$39:$A$43,0))</f>
        <v>Automatizar ou vender em lote</v>
      </c>
    </row>
    <row r="782" customFormat="false" ht="15" hidden="false" customHeight="false" outlineLevel="0" collapsed="false">
      <c r="A782" s="10" t="s">
        <v>1024</v>
      </c>
      <c r="B782" s="10" t="s">
        <v>76</v>
      </c>
      <c r="C782" s="10" t="s">
        <v>72</v>
      </c>
      <c r="D782" s="10" t="s">
        <v>196</v>
      </c>
      <c r="E782" s="10" t="s">
        <v>52</v>
      </c>
      <c r="F782" s="10"/>
      <c r="G782" s="10" t="s">
        <v>425</v>
      </c>
      <c r="H782" s="10"/>
      <c r="I782" s="8" t="n">
        <f aca="false">INDEX(Parâmetros!$C$13:$C$19,MATCH(E782,Parâmetros!$A$13:$A$19,0))</f>
        <v>55</v>
      </c>
      <c r="J782" s="26" t="str">
        <f aca="false">IF(H782="","",Parâmetros!$B$5-H782)</f>
        <v/>
      </c>
      <c r="K782" s="10" t="n">
        <f aca="false">INDEX(Parâmetros!$D$13:$D$19,MATCH(E782,Parâmetros!$A$13:$A$19,0))</f>
        <v>0</v>
      </c>
      <c r="L782" s="26" t="n">
        <f aca="false">IF(G782="Prospecting",Parâmetros!$B$9,IF(J782&gt;Parâmetros!$B$6,0,INDEX(Parâmetros!$C$24:$C$26,MATCH(J782,Parâmetros!$A$24:$A$26,1))))</f>
        <v>10</v>
      </c>
      <c r="M782" s="31" t="n">
        <f aca="false">IF(G782="Prospecting",1,INDEX(Parâmetros!$C$32:$C$35,MATCH(J782,Parâmetros!$A$32:$A$35,1)))</f>
        <v>1</v>
      </c>
      <c r="N782" s="2" t="n">
        <f aca="false">ROUND((K782+L782)*M782,0)</f>
        <v>10</v>
      </c>
      <c r="O782" s="10" t="str">
        <f aca="false">IF(AND(G782="Engaging",J782&gt;Parâmetros!$B$6),"Sim","Não")</f>
        <v>Não</v>
      </c>
      <c r="P782" s="32" t="str">
        <f aca="false">IF(O782="Sim","R",IF(N782&gt;=Parâmetros!$B$39,"A",IF(N782&gt;=Parâmetros!$B$40,"B",IF(N782&gt;=Parâmetros!$B$41,"C","D"))))</f>
        <v>D</v>
      </c>
      <c r="Q782" s="10" t="str">
        <f aca="false">IF(F782="","Completar cadastro","")</f>
        <v>Completar cadastro</v>
      </c>
      <c r="R782" s="10" t="str">
        <f aca="false">INDEX(Parâmetros!$D$39:$D$43,MATCH(P782,Parâmetros!$A$39:$A$43,0))</f>
        <v>Automatizar ou vender em lote</v>
      </c>
    </row>
    <row r="783" customFormat="false" ht="15" hidden="false" customHeight="false" outlineLevel="0" collapsed="false">
      <c r="A783" s="10" t="s">
        <v>1025</v>
      </c>
      <c r="B783" s="10" t="s">
        <v>76</v>
      </c>
      <c r="C783" s="10" t="s">
        <v>72</v>
      </c>
      <c r="D783" s="10" t="s">
        <v>196</v>
      </c>
      <c r="E783" s="10" t="s">
        <v>52</v>
      </c>
      <c r="F783" s="10"/>
      <c r="G783" s="10" t="s">
        <v>425</v>
      </c>
      <c r="H783" s="10"/>
      <c r="I783" s="8" t="n">
        <f aca="false">INDEX(Parâmetros!$C$13:$C$19,MATCH(E783,Parâmetros!$A$13:$A$19,0))</f>
        <v>55</v>
      </c>
      <c r="J783" s="26" t="str">
        <f aca="false">IF(H783="","",Parâmetros!$B$5-H783)</f>
        <v/>
      </c>
      <c r="K783" s="10" t="n">
        <f aca="false">INDEX(Parâmetros!$D$13:$D$19,MATCH(E783,Parâmetros!$A$13:$A$19,0))</f>
        <v>0</v>
      </c>
      <c r="L783" s="26" t="n">
        <f aca="false">IF(G783="Prospecting",Parâmetros!$B$9,IF(J783&gt;Parâmetros!$B$6,0,INDEX(Parâmetros!$C$24:$C$26,MATCH(J783,Parâmetros!$A$24:$A$26,1))))</f>
        <v>10</v>
      </c>
      <c r="M783" s="31" t="n">
        <f aca="false">IF(G783="Prospecting",1,INDEX(Parâmetros!$C$32:$C$35,MATCH(J783,Parâmetros!$A$32:$A$35,1)))</f>
        <v>1</v>
      </c>
      <c r="N783" s="2" t="n">
        <f aca="false">ROUND((K783+L783)*M783,0)</f>
        <v>10</v>
      </c>
      <c r="O783" s="10" t="str">
        <f aca="false">IF(AND(G783="Engaging",J783&gt;Parâmetros!$B$6),"Sim","Não")</f>
        <v>Não</v>
      </c>
      <c r="P783" s="32" t="str">
        <f aca="false">IF(O783="Sim","R",IF(N783&gt;=Parâmetros!$B$39,"A",IF(N783&gt;=Parâmetros!$B$40,"B",IF(N783&gt;=Parâmetros!$B$41,"C","D"))))</f>
        <v>D</v>
      </c>
      <c r="Q783" s="10" t="str">
        <f aca="false">IF(F783="","Completar cadastro","")</f>
        <v>Completar cadastro</v>
      </c>
      <c r="R783" s="10" t="str">
        <f aca="false">INDEX(Parâmetros!$D$39:$D$43,MATCH(P783,Parâmetros!$A$39:$A$43,0))</f>
        <v>Automatizar ou vender em lote</v>
      </c>
    </row>
    <row r="784" customFormat="false" ht="15" hidden="false" customHeight="false" outlineLevel="0" collapsed="false">
      <c r="A784" s="10" t="s">
        <v>1026</v>
      </c>
      <c r="B784" s="10" t="s">
        <v>76</v>
      </c>
      <c r="C784" s="10" t="s">
        <v>72</v>
      </c>
      <c r="D784" s="10" t="s">
        <v>196</v>
      </c>
      <c r="E784" s="10" t="s">
        <v>52</v>
      </c>
      <c r="F784" s="10"/>
      <c r="G784" s="10" t="s">
        <v>425</v>
      </c>
      <c r="H784" s="10"/>
      <c r="I784" s="8" t="n">
        <f aca="false">INDEX(Parâmetros!$C$13:$C$19,MATCH(E784,Parâmetros!$A$13:$A$19,0))</f>
        <v>55</v>
      </c>
      <c r="J784" s="26" t="str">
        <f aca="false">IF(H784="","",Parâmetros!$B$5-H784)</f>
        <v/>
      </c>
      <c r="K784" s="10" t="n">
        <f aca="false">INDEX(Parâmetros!$D$13:$D$19,MATCH(E784,Parâmetros!$A$13:$A$19,0))</f>
        <v>0</v>
      </c>
      <c r="L784" s="26" t="n">
        <f aca="false">IF(G784="Prospecting",Parâmetros!$B$9,IF(J784&gt;Parâmetros!$B$6,0,INDEX(Parâmetros!$C$24:$C$26,MATCH(J784,Parâmetros!$A$24:$A$26,1))))</f>
        <v>10</v>
      </c>
      <c r="M784" s="31" t="n">
        <f aca="false">IF(G784="Prospecting",1,INDEX(Parâmetros!$C$32:$C$35,MATCH(J784,Parâmetros!$A$32:$A$35,1)))</f>
        <v>1</v>
      </c>
      <c r="N784" s="2" t="n">
        <f aca="false">ROUND((K784+L784)*M784,0)</f>
        <v>10</v>
      </c>
      <c r="O784" s="10" t="str">
        <f aca="false">IF(AND(G784="Engaging",J784&gt;Parâmetros!$B$6),"Sim","Não")</f>
        <v>Não</v>
      </c>
      <c r="P784" s="32" t="str">
        <f aca="false">IF(O784="Sim","R",IF(N784&gt;=Parâmetros!$B$39,"A",IF(N784&gt;=Parâmetros!$B$40,"B",IF(N784&gt;=Parâmetros!$B$41,"C","D"))))</f>
        <v>D</v>
      </c>
      <c r="Q784" s="10" t="str">
        <f aca="false">IF(F784="","Completar cadastro","")</f>
        <v>Completar cadastro</v>
      </c>
      <c r="R784" s="10" t="str">
        <f aca="false">INDEX(Parâmetros!$D$39:$D$43,MATCH(P784,Parâmetros!$A$39:$A$43,0))</f>
        <v>Automatizar ou vender em lote</v>
      </c>
    </row>
    <row r="785" customFormat="false" ht="15" hidden="false" customHeight="false" outlineLevel="0" collapsed="false">
      <c r="A785" s="10" t="s">
        <v>1027</v>
      </c>
      <c r="B785" s="10" t="s">
        <v>76</v>
      </c>
      <c r="C785" s="10" t="s">
        <v>72</v>
      </c>
      <c r="D785" s="10" t="s">
        <v>196</v>
      </c>
      <c r="E785" s="10" t="s">
        <v>52</v>
      </c>
      <c r="F785" s="10"/>
      <c r="G785" s="10" t="s">
        <v>425</v>
      </c>
      <c r="H785" s="10"/>
      <c r="I785" s="8" t="n">
        <f aca="false">INDEX(Parâmetros!$C$13:$C$19,MATCH(E785,Parâmetros!$A$13:$A$19,0))</f>
        <v>55</v>
      </c>
      <c r="J785" s="26" t="str">
        <f aca="false">IF(H785="","",Parâmetros!$B$5-H785)</f>
        <v/>
      </c>
      <c r="K785" s="10" t="n">
        <f aca="false">INDEX(Parâmetros!$D$13:$D$19,MATCH(E785,Parâmetros!$A$13:$A$19,0))</f>
        <v>0</v>
      </c>
      <c r="L785" s="26" t="n">
        <f aca="false">IF(G785="Prospecting",Parâmetros!$B$9,IF(J785&gt;Parâmetros!$B$6,0,INDEX(Parâmetros!$C$24:$C$26,MATCH(J785,Parâmetros!$A$24:$A$26,1))))</f>
        <v>10</v>
      </c>
      <c r="M785" s="31" t="n">
        <f aca="false">IF(G785="Prospecting",1,INDEX(Parâmetros!$C$32:$C$35,MATCH(J785,Parâmetros!$A$32:$A$35,1)))</f>
        <v>1</v>
      </c>
      <c r="N785" s="2" t="n">
        <f aca="false">ROUND((K785+L785)*M785,0)</f>
        <v>10</v>
      </c>
      <c r="O785" s="10" t="str">
        <f aca="false">IF(AND(G785="Engaging",J785&gt;Parâmetros!$B$6),"Sim","Não")</f>
        <v>Não</v>
      </c>
      <c r="P785" s="32" t="str">
        <f aca="false">IF(O785="Sim","R",IF(N785&gt;=Parâmetros!$B$39,"A",IF(N785&gt;=Parâmetros!$B$40,"B",IF(N785&gt;=Parâmetros!$B$41,"C","D"))))</f>
        <v>D</v>
      </c>
      <c r="Q785" s="10" t="str">
        <f aca="false">IF(F785="","Completar cadastro","")</f>
        <v>Completar cadastro</v>
      </c>
      <c r="R785" s="10" t="str">
        <f aca="false">INDEX(Parâmetros!$D$39:$D$43,MATCH(P785,Parâmetros!$A$39:$A$43,0))</f>
        <v>Automatizar ou vender em lote</v>
      </c>
    </row>
    <row r="786" customFormat="false" ht="15" hidden="false" customHeight="false" outlineLevel="0" collapsed="false">
      <c r="A786" s="10" t="s">
        <v>1028</v>
      </c>
      <c r="B786" s="10" t="s">
        <v>76</v>
      </c>
      <c r="C786" s="10" t="s">
        <v>72</v>
      </c>
      <c r="D786" s="10" t="s">
        <v>196</v>
      </c>
      <c r="E786" s="10" t="s">
        <v>52</v>
      </c>
      <c r="F786" s="10"/>
      <c r="G786" s="10" t="s">
        <v>425</v>
      </c>
      <c r="H786" s="10"/>
      <c r="I786" s="8" t="n">
        <f aca="false">INDEX(Parâmetros!$C$13:$C$19,MATCH(E786,Parâmetros!$A$13:$A$19,0))</f>
        <v>55</v>
      </c>
      <c r="J786" s="26" t="str">
        <f aca="false">IF(H786="","",Parâmetros!$B$5-H786)</f>
        <v/>
      </c>
      <c r="K786" s="10" t="n">
        <f aca="false">INDEX(Parâmetros!$D$13:$D$19,MATCH(E786,Parâmetros!$A$13:$A$19,0))</f>
        <v>0</v>
      </c>
      <c r="L786" s="26" t="n">
        <f aca="false">IF(G786="Prospecting",Parâmetros!$B$9,IF(J786&gt;Parâmetros!$B$6,0,INDEX(Parâmetros!$C$24:$C$26,MATCH(J786,Parâmetros!$A$24:$A$26,1))))</f>
        <v>10</v>
      </c>
      <c r="M786" s="31" t="n">
        <f aca="false">IF(G786="Prospecting",1,INDEX(Parâmetros!$C$32:$C$35,MATCH(J786,Parâmetros!$A$32:$A$35,1)))</f>
        <v>1</v>
      </c>
      <c r="N786" s="2" t="n">
        <f aca="false">ROUND((K786+L786)*M786,0)</f>
        <v>10</v>
      </c>
      <c r="O786" s="10" t="str">
        <f aca="false">IF(AND(G786="Engaging",J786&gt;Parâmetros!$B$6),"Sim","Não")</f>
        <v>Não</v>
      </c>
      <c r="P786" s="32" t="str">
        <f aca="false">IF(O786="Sim","R",IF(N786&gt;=Parâmetros!$B$39,"A",IF(N786&gt;=Parâmetros!$B$40,"B",IF(N786&gt;=Parâmetros!$B$41,"C","D"))))</f>
        <v>D</v>
      </c>
      <c r="Q786" s="10" t="str">
        <f aca="false">IF(F786="","Completar cadastro","")</f>
        <v>Completar cadastro</v>
      </c>
      <c r="R786" s="10" t="str">
        <f aca="false">INDEX(Parâmetros!$D$39:$D$43,MATCH(P786,Parâmetros!$A$39:$A$43,0))</f>
        <v>Automatizar ou vender em lote</v>
      </c>
    </row>
    <row r="787" customFormat="false" ht="15" hidden="false" customHeight="false" outlineLevel="0" collapsed="false">
      <c r="A787" s="10" t="s">
        <v>1029</v>
      </c>
      <c r="B787" s="10" t="s">
        <v>76</v>
      </c>
      <c r="C787" s="10" t="s">
        <v>72</v>
      </c>
      <c r="D787" s="10" t="s">
        <v>196</v>
      </c>
      <c r="E787" s="10" t="s">
        <v>52</v>
      </c>
      <c r="F787" s="10"/>
      <c r="G787" s="10" t="s">
        <v>425</v>
      </c>
      <c r="H787" s="10"/>
      <c r="I787" s="8" t="n">
        <f aca="false">INDEX(Parâmetros!$C$13:$C$19,MATCH(E787,Parâmetros!$A$13:$A$19,0))</f>
        <v>55</v>
      </c>
      <c r="J787" s="26" t="str">
        <f aca="false">IF(H787="","",Parâmetros!$B$5-H787)</f>
        <v/>
      </c>
      <c r="K787" s="10" t="n">
        <f aca="false">INDEX(Parâmetros!$D$13:$D$19,MATCH(E787,Parâmetros!$A$13:$A$19,0))</f>
        <v>0</v>
      </c>
      <c r="L787" s="26" t="n">
        <f aca="false">IF(G787="Prospecting",Parâmetros!$B$9,IF(J787&gt;Parâmetros!$B$6,0,INDEX(Parâmetros!$C$24:$C$26,MATCH(J787,Parâmetros!$A$24:$A$26,1))))</f>
        <v>10</v>
      </c>
      <c r="M787" s="31" t="n">
        <f aca="false">IF(G787="Prospecting",1,INDEX(Parâmetros!$C$32:$C$35,MATCH(J787,Parâmetros!$A$32:$A$35,1)))</f>
        <v>1</v>
      </c>
      <c r="N787" s="2" t="n">
        <f aca="false">ROUND((K787+L787)*M787,0)</f>
        <v>10</v>
      </c>
      <c r="O787" s="10" t="str">
        <f aca="false">IF(AND(G787="Engaging",J787&gt;Parâmetros!$B$6),"Sim","Não")</f>
        <v>Não</v>
      </c>
      <c r="P787" s="32" t="str">
        <f aca="false">IF(O787="Sim","R",IF(N787&gt;=Parâmetros!$B$39,"A",IF(N787&gt;=Parâmetros!$B$40,"B",IF(N787&gt;=Parâmetros!$B$41,"C","D"))))</f>
        <v>D</v>
      </c>
      <c r="Q787" s="10" t="str">
        <f aca="false">IF(F787="","Completar cadastro","")</f>
        <v>Completar cadastro</v>
      </c>
      <c r="R787" s="10" t="str">
        <f aca="false">INDEX(Parâmetros!$D$39:$D$43,MATCH(P787,Parâmetros!$A$39:$A$43,0))</f>
        <v>Automatizar ou vender em lote</v>
      </c>
    </row>
    <row r="788" customFormat="false" ht="15" hidden="false" customHeight="false" outlineLevel="0" collapsed="false">
      <c r="A788" s="10" t="s">
        <v>1030</v>
      </c>
      <c r="B788" s="10" t="s">
        <v>76</v>
      </c>
      <c r="C788" s="10" t="s">
        <v>72</v>
      </c>
      <c r="D788" s="10" t="s">
        <v>196</v>
      </c>
      <c r="E788" s="10" t="s">
        <v>52</v>
      </c>
      <c r="F788" s="10"/>
      <c r="G788" s="10" t="s">
        <v>425</v>
      </c>
      <c r="H788" s="10"/>
      <c r="I788" s="8" t="n">
        <f aca="false">INDEX(Parâmetros!$C$13:$C$19,MATCH(E788,Parâmetros!$A$13:$A$19,0))</f>
        <v>55</v>
      </c>
      <c r="J788" s="26" t="str">
        <f aca="false">IF(H788="","",Parâmetros!$B$5-H788)</f>
        <v/>
      </c>
      <c r="K788" s="10" t="n">
        <f aca="false">INDEX(Parâmetros!$D$13:$D$19,MATCH(E788,Parâmetros!$A$13:$A$19,0))</f>
        <v>0</v>
      </c>
      <c r="L788" s="26" t="n">
        <f aca="false">IF(G788="Prospecting",Parâmetros!$B$9,IF(J788&gt;Parâmetros!$B$6,0,INDEX(Parâmetros!$C$24:$C$26,MATCH(J788,Parâmetros!$A$24:$A$26,1))))</f>
        <v>10</v>
      </c>
      <c r="M788" s="31" t="n">
        <f aca="false">IF(G788="Prospecting",1,INDEX(Parâmetros!$C$32:$C$35,MATCH(J788,Parâmetros!$A$32:$A$35,1)))</f>
        <v>1</v>
      </c>
      <c r="N788" s="2" t="n">
        <f aca="false">ROUND((K788+L788)*M788,0)</f>
        <v>10</v>
      </c>
      <c r="O788" s="10" t="str">
        <f aca="false">IF(AND(G788="Engaging",J788&gt;Parâmetros!$B$6),"Sim","Não")</f>
        <v>Não</v>
      </c>
      <c r="P788" s="32" t="str">
        <f aca="false">IF(O788="Sim","R",IF(N788&gt;=Parâmetros!$B$39,"A",IF(N788&gt;=Parâmetros!$B$40,"B",IF(N788&gt;=Parâmetros!$B$41,"C","D"))))</f>
        <v>D</v>
      </c>
      <c r="Q788" s="10" t="str">
        <f aca="false">IF(F788="","Completar cadastro","")</f>
        <v>Completar cadastro</v>
      </c>
      <c r="R788" s="10" t="str">
        <f aca="false">INDEX(Parâmetros!$D$39:$D$43,MATCH(P788,Parâmetros!$A$39:$A$43,0))</f>
        <v>Automatizar ou vender em lote</v>
      </c>
    </row>
    <row r="789" customFormat="false" ht="15" hidden="false" customHeight="false" outlineLevel="0" collapsed="false">
      <c r="A789" s="10" t="s">
        <v>1031</v>
      </c>
      <c r="B789" s="10" t="s">
        <v>76</v>
      </c>
      <c r="C789" s="10" t="s">
        <v>72</v>
      </c>
      <c r="D789" s="10" t="s">
        <v>196</v>
      </c>
      <c r="E789" s="10" t="s">
        <v>52</v>
      </c>
      <c r="F789" s="10"/>
      <c r="G789" s="10" t="s">
        <v>425</v>
      </c>
      <c r="H789" s="10"/>
      <c r="I789" s="8" t="n">
        <f aca="false">INDEX(Parâmetros!$C$13:$C$19,MATCH(E789,Parâmetros!$A$13:$A$19,0))</f>
        <v>55</v>
      </c>
      <c r="J789" s="26" t="str">
        <f aca="false">IF(H789="","",Parâmetros!$B$5-H789)</f>
        <v/>
      </c>
      <c r="K789" s="10" t="n">
        <f aca="false">INDEX(Parâmetros!$D$13:$D$19,MATCH(E789,Parâmetros!$A$13:$A$19,0))</f>
        <v>0</v>
      </c>
      <c r="L789" s="26" t="n">
        <f aca="false">IF(G789="Prospecting",Parâmetros!$B$9,IF(J789&gt;Parâmetros!$B$6,0,INDEX(Parâmetros!$C$24:$C$26,MATCH(J789,Parâmetros!$A$24:$A$26,1))))</f>
        <v>10</v>
      </c>
      <c r="M789" s="31" t="n">
        <f aca="false">IF(G789="Prospecting",1,INDEX(Parâmetros!$C$32:$C$35,MATCH(J789,Parâmetros!$A$32:$A$35,1)))</f>
        <v>1</v>
      </c>
      <c r="N789" s="2" t="n">
        <f aca="false">ROUND((K789+L789)*M789,0)</f>
        <v>10</v>
      </c>
      <c r="O789" s="10" t="str">
        <f aca="false">IF(AND(G789="Engaging",J789&gt;Parâmetros!$B$6),"Sim","Não")</f>
        <v>Não</v>
      </c>
      <c r="P789" s="32" t="str">
        <f aca="false">IF(O789="Sim","R",IF(N789&gt;=Parâmetros!$B$39,"A",IF(N789&gt;=Parâmetros!$B$40,"B",IF(N789&gt;=Parâmetros!$B$41,"C","D"))))</f>
        <v>D</v>
      </c>
      <c r="Q789" s="10" t="str">
        <f aca="false">IF(F789="","Completar cadastro","")</f>
        <v>Completar cadastro</v>
      </c>
      <c r="R789" s="10" t="str">
        <f aca="false">INDEX(Parâmetros!$D$39:$D$43,MATCH(P789,Parâmetros!$A$39:$A$43,0))</f>
        <v>Automatizar ou vender em lote</v>
      </c>
    </row>
    <row r="790" customFormat="false" ht="15" hidden="false" customHeight="false" outlineLevel="0" collapsed="false">
      <c r="A790" s="10" t="s">
        <v>1032</v>
      </c>
      <c r="B790" s="10" t="s">
        <v>76</v>
      </c>
      <c r="C790" s="10" t="s">
        <v>72</v>
      </c>
      <c r="D790" s="10" t="s">
        <v>196</v>
      </c>
      <c r="E790" s="10" t="s">
        <v>52</v>
      </c>
      <c r="F790" s="10"/>
      <c r="G790" s="10" t="s">
        <v>425</v>
      </c>
      <c r="H790" s="10"/>
      <c r="I790" s="8" t="n">
        <f aca="false">INDEX(Parâmetros!$C$13:$C$19,MATCH(E790,Parâmetros!$A$13:$A$19,0))</f>
        <v>55</v>
      </c>
      <c r="J790" s="26" t="str">
        <f aca="false">IF(H790="","",Parâmetros!$B$5-H790)</f>
        <v/>
      </c>
      <c r="K790" s="10" t="n">
        <f aca="false">INDEX(Parâmetros!$D$13:$D$19,MATCH(E790,Parâmetros!$A$13:$A$19,0))</f>
        <v>0</v>
      </c>
      <c r="L790" s="26" t="n">
        <f aca="false">IF(G790="Prospecting",Parâmetros!$B$9,IF(J790&gt;Parâmetros!$B$6,0,INDEX(Parâmetros!$C$24:$C$26,MATCH(J790,Parâmetros!$A$24:$A$26,1))))</f>
        <v>10</v>
      </c>
      <c r="M790" s="31" t="n">
        <f aca="false">IF(G790="Prospecting",1,INDEX(Parâmetros!$C$32:$C$35,MATCH(J790,Parâmetros!$A$32:$A$35,1)))</f>
        <v>1</v>
      </c>
      <c r="N790" s="2" t="n">
        <f aca="false">ROUND((K790+L790)*M790,0)</f>
        <v>10</v>
      </c>
      <c r="O790" s="10" t="str">
        <f aca="false">IF(AND(G790="Engaging",J790&gt;Parâmetros!$B$6),"Sim","Não")</f>
        <v>Não</v>
      </c>
      <c r="P790" s="32" t="str">
        <f aca="false">IF(O790="Sim","R",IF(N790&gt;=Parâmetros!$B$39,"A",IF(N790&gt;=Parâmetros!$B$40,"B",IF(N790&gt;=Parâmetros!$B$41,"C","D"))))</f>
        <v>D</v>
      </c>
      <c r="Q790" s="10" t="str">
        <f aca="false">IF(F790="","Completar cadastro","")</f>
        <v>Completar cadastro</v>
      </c>
      <c r="R790" s="10" t="str">
        <f aca="false">INDEX(Parâmetros!$D$39:$D$43,MATCH(P790,Parâmetros!$A$39:$A$43,0))</f>
        <v>Automatizar ou vender em lote</v>
      </c>
    </row>
    <row r="791" customFormat="false" ht="15" hidden="false" customHeight="false" outlineLevel="0" collapsed="false">
      <c r="A791" s="10" t="s">
        <v>1033</v>
      </c>
      <c r="B791" s="10" t="s">
        <v>76</v>
      </c>
      <c r="C791" s="10" t="s">
        <v>72</v>
      </c>
      <c r="D791" s="10" t="s">
        <v>196</v>
      </c>
      <c r="E791" s="10" t="s">
        <v>52</v>
      </c>
      <c r="F791" s="10"/>
      <c r="G791" s="10" t="s">
        <v>425</v>
      </c>
      <c r="H791" s="10"/>
      <c r="I791" s="8" t="n">
        <f aca="false">INDEX(Parâmetros!$C$13:$C$19,MATCH(E791,Parâmetros!$A$13:$A$19,0))</f>
        <v>55</v>
      </c>
      <c r="J791" s="26" t="str">
        <f aca="false">IF(H791="","",Parâmetros!$B$5-H791)</f>
        <v/>
      </c>
      <c r="K791" s="10" t="n">
        <f aca="false">INDEX(Parâmetros!$D$13:$D$19,MATCH(E791,Parâmetros!$A$13:$A$19,0))</f>
        <v>0</v>
      </c>
      <c r="L791" s="26" t="n">
        <f aca="false">IF(G791="Prospecting",Parâmetros!$B$9,IF(J791&gt;Parâmetros!$B$6,0,INDEX(Parâmetros!$C$24:$C$26,MATCH(J791,Parâmetros!$A$24:$A$26,1))))</f>
        <v>10</v>
      </c>
      <c r="M791" s="31" t="n">
        <f aca="false">IF(G791="Prospecting",1,INDEX(Parâmetros!$C$32:$C$35,MATCH(J791,Parâmetros!$A$32:$A$35,1)))</f>
        <v>1</v>
      </c>
      <c r="N791" s="2" t="n">
        <f aca="false">ROUND((K791+L791)*M791,0)</f>
        <v>10</v>
      </c>
      <c r="O791" s="10" t="str">
        <f aca="false">IF(AND(G791="Engaging",J791&gt;Parâmetros!$B$6),"Sim","Não")</f>
        <v>Não</v>
      </c>
      <c r="P791" s="32" t="str">
        <f aca="false">IF(O791="Sim","R",IF(N791&gt;=Parâmetros!$B$39,"A",IF(N791&gt;=Parâmetros!$B$40,"B",IF(N791&gt;=Parâmetros!$B$41,"C","D"))))</f>
        <v>D</v>
      </c>
      <c r="Q791" s="10" t="str">
        <f aca="false">IF(F791="","Completar cadastro","")</f>
        <v>Completar cadastro</v>
      </c>
      <c r="R791" s="10" t="str">
        <f aca="false">INDEX(Parâmetros!$D$39:$D$43,MATCH(P791,Parâmetros!$A$39:$A$43,0))</f>
        <v>Automatizar ou vender em lote</v>
      </c>
    </row>
    <row r="792" customFormat="false" ht="15" hidden="false" customHeight="false" outlineLevel="0" collapsed="false">
      <c r="A792" s="10" t="s">
        <v>1034</v>
      </c>
      <c r="B792" s="10" t="s">
        <v>76</v>
      </c>
      <c r="C792" s="10" t="s">
        <v>72</v>
      </c>
      <c r="D792" s="10" t="s">
        <v>196</v>
      </c>
      <c r="E792" s="10" t="s">
        <v>52</v>
      </c>
      <c r="F792" s="10"/>
      <c r="G792" s="10" t="s">
        <v>425</v>
      </c>
      <c r="H792" s="10"/>
      <c r="I792" s="8" t="n">
        <f aca="false">INDEX(Parâmetros!$C$13:$C$19,MATCH(E792,Parâmetros!$A$13:$A$19,0))</f>
        <v>55</v>
      </c>
      <c r="J792" s="26" t="str">
        <f aca="false">IF(H792="","",Parâmetros!$B$5-H792)</f>
        <v/>
      </c>
      <c r="K792" s="10" t="n">
        <f aca="false">INDEX(Parâmetros!$D$13:$D$19,MATCH(E792,Parâmetros!$A$13:$A$19,0))</f>
        <v>0</v>
      </c>
      <c r="L792" s="26" t="n">
        <f aca="false">IF(G792="Prospecting",Parâmetros!$B$9,IF(J792&gt;Parâmetros!$B$6,0,INDEX(Parâmetros!$C$24:$C$26,MATCH(J792,Parâmetros!$A$24:$A$26,1))))</f>
        <v>10</v>
      </c>
      <c r="M792" s="31" t="n">
        <f aca="false">IF(G792="Prospecting",1,INDEX(Parâmetros!$C$32:$C$35,MATCH(J792,Parâmetros!$A$32:$A$35,1)))</f>
        <v>1</v>
      </c>
      <c r="N792" s="2" t="n">
        <f aca="false">ROUND((K792+L792)*M792,0)</f>
        <v>10</v>
      </c>
      <c r="O792" s="10" t="str">
        <f aca="false">IF(AND(G792="Engaging",J792&gt;Parâmetros!$B$6),"Sim","Não")</f>
        <v>Não</v>
      </c>
      <c r="P792" s="32" t="str">
        <f aca="false">IF(O792="Sim","R",IF(N792&gt;=Parâmetros!$B$39,"A",IF(N792&gt;=Parâmetros!$B$40,"B",IF(N792&gt;=Parâmetros!$B$41,"C","D"))))</f>
        <v>D</v>
      </c>
      <c r="Q792" s="10" t="str">
        <f aca="false">IF(F792="","Completar cadastro","")</f>
        <v>Completar cadastro</v>
      </c>
      <c r="R792" s="10" t="str">
        <f aca="false">INDEX(Parâmetros!$D$39:$D$43,MATCH(P792,Parâmetros!$A$39:$A$43,0))</f>
        <v>Automatizar ou vender em lote</v>
      </c>
    </row>
    <row r="793" customFormat="false" ht="15" hidden="false" customHeight="false" outlineLevel="0" collapsed="false">
      <c r="A793" s="10" t="s">
        <v>1035</v>
      </c>
      <c r="B793" s="10" t="s">
        <v>76</v>
      </c>
      <c r="C793" s="10" t="s">
        <v>72</v>
      </c>
      <c r="D793" s="10" t="s">
        <v>196</v>
      </c>
      <c r="E793" s="10" t="s">
        <v>52</v>
      </c>
      <c r="F793" s="10"/>
      <c r="G793" s="10" t="s">
        <v>425</v>
      </c>
      <c r="H793" s="10"/>
      <c r="I793" s="8" t="n">
        <f aca="false">INDEX(Parâmetros!$C$13:$C$19,MATCH(E793,Parâmetros!$A$13:$A$19,0))</f>
        <v>55</v>
      </c>
      <c r="J793" s="26" t="str">
        <f aca="false">IF(H793="","",Parâmetros!$B$5-H793)</f>
        <v/>
      </c>
      <c r="K793" s="10" t="n">
        <f aca="false">INDEX(Parâmetros!$D$13:$D$19,MATCH(E793,Parâmetros!$A$13:$A$19,0))</f>
        <v>0</v>
      </c>
      <c r="L793" s="26" t="n">
        <f aca="false">IF(G793="Prospecting",Parâmetros!$B$9,IF(J793&gt;Parâmetros!$B$6,0,INDEX(Parâmetros!$C$24:$C$26,MATCH(J793,Parâmetros!$A$24:$A$26,1))))</f>
        <v>10</v>
      </c>
      <c r="M793" s="31" t="n">
        <f aca="false">IF(G793="Prospecting",1,INDEX(Parâmetros!$C$32:$C$35,MATCH(J793,Parâmetros!$A$32:$A$35,1)))</f>
        <v>1</v>
      </c>
      <c r="N793" s="2" t="n">
        <f aca="false">ROUND((K793+L793)*M793,0)</f>
        <v>10</v>
      </c>
      <c r="O793" s="10" t="str">
        <f aca="false">IF(AND(G793="Engaging",J793&gt;Parâmetros!$B$6),"Sim","Não")</f>
        <v>Não</v>
      </c>
      <c r="P793" s="32" t="str">
        <f aca="false">IF(O793="Sim","R",IF(N793&gt;=Parâmetros!$B$39,"A",IF(N793&gt;=Parâmetros!$B$40,"B",IF(N793&gt;=Parâmetros!$B$41,"C","D"))))</f>
        <v>D</v>
      </c>
      <c r="Q793" s="10" t="str">
        <f aca="false">IF(F793="","Completar cadastro","")</f>
        <v>Completar cadastro</v>
      </c>
      <c r="R793" s="10" t="str">
        <f aca="false">INDEX(Parâmetros!$D$39:$D$43,MATCH(P793,Parâmetros!$A$39:$A$43,0))</f>
        <v>Automatizar ou vender em lote</v>
      </c>
    </row>
    <row r="794" customFormat="false" ht="15" hidden="false" customHeight="false" outlineLevel="0" collapsed="false">
      <c r="A794" s="10" t="s">
        <v>1036</v>
      </c>
      <c r="B794" s="10" t="s">
        <v>76</v>
      </c>
      <c r="C794" s="10" t="s">
        <v>72</v>
      </c>
      <c r="D794" s="10" t="s">
        <v>196</v>
      </c>
      <c r="E794" s="10" t="s">
        <v>52</v>
      </c>
      <c r="F794" s="10"/>
      <c r="G794" s="10" t="s">
        <v>425</v>
      </c>
      <c r="H794" s="10"/>
      <c r="I794" s="8" t="n">
        <f aca="false">INDEX(Parâmetros!$C$13:$C$19,MATCH(E794,Parâmetros!$A$13:$A$19,0))</f>
        <v>55</v>
      </c>
      <c r="J794" s="26" t="str">
        <f aca="false">IF(H794="","",Parâmetros!$B$5-H794)</f>
        <v/>
      </c>
      <c r="K794" s="10" t="n">
        <f aca="false">INDEX(Parâmetros!$D$13:$D$19,MATCH(E794,Parâmetros!$A$13:$A$19,0))</f>
        <v>0</v>
      </c>
      <c r="L794" s="26" t="n">
        <f aca="false">IF(G794="Prospecting",Parâmetros!$B$9,IF(J794&gt;Parâmetros!$B$6,0,INDEX(Parâmetros!$C$24:$C$26,MATCH(J794,Parâmetros!$A$24:$A$26,1))))</f>
        <v>10</v>
      </c>
      <c r="M794" s="31" t="n">
        <f aca="false">IF(G794="Prospecting",1,INDEX(Parâmetros!$C$32:$C$35,MATCH(J794,Parâmetros!$A$32:$A$35,1)))</f>
        <v>1</v>
      </c>
      <c r="N794" s="2" t="n">
        <f aca="false">ROUND((K794+L794)*M794,0)</f>
        <v>10</v>
      </c>
      <c r="O794" s="10" t="str">
        <f aca="false">IF(AND(G794="Engaging",J794&gt;Parâmetros!$B$6),"Sim","Não")</f>
        <v>Não</v>
      </c>
      <c r="P794" s="32" t="str">
        <f aca="false">IF(O794="Sim","R",IF(N794&gt;=Parâmetros!$B$39,"A",IF(N794&gt;=Parâmetros!$B$40,"B",IF(N794&gt;=Parâmetros!$B$41,"C","D"))))</f>
        <v>D</v>
      </c>
      <c r="Q794" s="10" t="str">
        <f aca="false">IF(F794="","Completar cadastro","")</f>
        <v>Completar cadastro</v>
      </c>
      <c r="R794" s="10" t="str">
        <f aca="false">INDEX(Parâmetros!$D$39:$D$43,MATCH(P794,Parâmetros!$A$39:$A$43,0))</f>
        <v>Automatizar ou vender em lote</v>
      </c>
    </row>
    <row r="795" customFormat="false" ht="15" hidden="false" customHeight="false" outlineLevel="0" collapsed="false">
      <c r="A795" s="10" t="s">
        <v>1037</v>
      </c>
      <c r="B795" s="10" t="s">
        <v>76</v>
      </c>
      <c r="C795" s="10" t="s">
        <v>72</v>
      </c>
      <c r="D795" s="10" t="s">
        <v>196</v>
      </c>
      <c r="E795" s="10" t="s">
        <v>52</v>
      </c>
      <c r="F795" s="10"/>
      <c r="G795" s="10" t="s">
        <v>425</v>
      </c>
      <c r="H795" s="10"/>
      <c r="I795" s="8" t="n">
        <f aca="false">INDEX(Parâmetros!$C$13:$C$19,MATCH(E795,Parâmetros!$A$13:$A$19,0))</f>
        <v>55</v>
      </c>
      <c r="J795" s="26" t="str">
        <f aca="false">IF(H795="","",Parâmetros!$B$5-H795)</f>
        <v/>
      </c>
      <c r="K795" s="10" t="n">
        <f aca="false">INDEX(Parâmetros!$D$13:$D$19,MATCH(E795,Parâmetros!$A$13:$A$19,0))</f>
        <v>0</v>
      </c>
      <c r="L795" s="26" t="n">
        <f aca="false">IF(G795="Prospecting",Parâmetros!$B$9,IF(J795&gt;Parâmetros!$B$6,0,INDEX(Parâmetros!$C$24:$C$26,MATCH(J795,Parâmetros!$A$24:$A$26,1))))</f>
        <v>10</v>
      </c>
      <c r="M795" s="31" t="n">
        <f aca="false">IF(G795="Prospecting",1,INDEX(Parâmetros!$C$32:$C$35,MATCH(J795,Parâmetros!$A$32:$A$35,1)))</f>
        <v>1</v>
      </c>
      <c r="N795" s="2" t="n">
        <f aca="false">ROUND((K795+L795)*M795,0)</f>
        <v>10</v>
      </c>
      <c r="O795" s="10" t="str">
        <f aca="false">IF(AND(G795="Engaging",J795&gt;Parâmetros!$B$6),"Sim","Não")</f>
        <v>Não</v>
      </c>
      <c r="P795" s="32" t="str">
        <f aca="false">IF(O795="Sim","R",IF(N795&gt;=Parâmetros!$B$39,"A",IF(N795&gt;=Parâmetros!$B$40,"B",IF(N795&gt;=Parâmetros!$B$41,"C","D"))))</f>
        <v>D</v>
      </c>
      <c r="Q795" s="10" t="str">
        <f aca="false">IF(F795="","Completar cadastro","")</f>
        <v>Completar cadastro</v>
      </c>
      <c r="R795" s="10" t="str">
        <f aca="false">INDEX(Parâmetros!$D$39:$D$43,MATCH(P795,Parâmetros!$A$39:$A$43,0))</f>
        <v>Automatizar ou vender em lote</v>
      </c>
    </row>
    <row r="796" customFormat="false" ht="15" hidden="false" customHeight="false" outlineLevel="0" collapsed="false">
      <c r="A796" s="10" t="s">
        <v>1038</v>
      </c>
      <c r="B796" s="10" t="s">
        <v>76</v>
      </c>
      <c r="C796" s="10" t="s">
        <v>72</v>
      </c>
      <c r="D796" s="10" t="s">
        <v>196</v>
      </c>
      <c r="E796" s="10" t="s">
        <v>52</v>
      </c>
      <c r="F796" s="10"/>
      <c r="G796" s="10" t="s">
        <v>425</v>
      </c>
      <c r="H796" s="10"/>
      <c r="I796" s="8" t="n">
        <f aca="false">INDEX(Parâmetros!$C$13:$C$19,MATCH(E796,Parâmetros!$A$13:$A$19,0))</f>
        <v>55</v>
      </c>
      <c r="J796" s="26" t="str">
        <f aca="false">IF(H796="","",Parâmetros!$B$5-H796)</f>
        <v/>
      </c>
      <c r="K796" s="10" t="n">
        <f aca="false">INDEX(Parâmetros!$D$13:$D$19,MATCH(E796,Parâmetros!$A$13:$A$19,0))</f>
        <v>0</v>
      </c>
      <c r="L796" s="26" t="n">
        <f aca="false">IF(G796="Prospecting",Parâmetros!$B$9,IF(J796&gt;Parâmetros!$B$6,0,INDEX(Parâmetros!$C$24:$C$26,MATCH(J796,Parâmetros!$A$24:$A$26,1))))</f>
        <v>10</v>
      </c>
      <c r="M796" s="31" t="n">
        <f aca="false">IF(G796="Prospecting",1,INDEX(Parâmetros!$C$32:$C$35,MATCH(J796,Parâmetros!$A$32:$A$35,1)))</f>
        <v>1</v>
      </c>
      <c r="N796" s="2" t="n">
        <f aca="false">ROUND((K796+L796)*M796,0)</f>
        <v>10</v>
      </c>
      <c r="O796" s="10" t="str">
        <f aca="false">IF(AND(G796="Engaging",J796&gt;Parâmetros!$B$6),"Sim","Não")</f>
        <v>Não</v>
      </c>
      <c r="P796" s="32" t="str">
        <f aca="false">IF(O796="Sim","R",IF(N796&gt;=Parâmetros!$B$39,"A",IF(N796&gt;=Parâmetros!$B$40,"B",IF(N796&gt;=Parâmetros!$B$41,"C","D"))))</f>
        <v>D</v>
      </c>
      <c r="Q796" s="10" t="str">
        <f aca="false">IF(F796="","Completar cadastro","")</f>
        <v>Completar cadastro</v>
      </c>
      <c r="R796" s="10" t="str">
        <f aca="false">INDEX(Parâmetros!$D$39:$D$43,MATCH(P796,Parâmetros!$A$39:$A$43,0))</f>
        <v>Automatizar ou vender em lote</v>
      </c>
    </row>
    <row r="797" customFormat="false" ht="15" hidden="false" customHeight="false" outlineLevel="0" collapsed="false">
      <c r="A797" s="10" t="s">
        <v>1039</v>
      </c>
      <c r="B797" s="10" t="s">
        <v>76</v>
      </c>
      <c r="C797" s="10" t="s">
        <v>72</v>
      </c>
      <c r="D797" s="10" t="s">
        <v>196</v>
      </c>
      <c r="E797" s="10" t="s">
        <v>52</v>
      </c>
      <c r="F797" s="10"/>
      <c r="G797" s="10" t="s">
        <v>425</v>
      </c>
      <c r="H797" s="10"/>
      <c r="I797" s="8" t="n">
        <f aca="false">INDEX(Parâmetros!$C$13:$C$19,MATCH(E797,Parâmetros!$A$13:$A$19,0))</f>
        <v>55</v>
      </c>
      <c r="J797" s="26" t="str">
        <f aca="false">IF(H797="","",Parâmetros!$B$5-H797)</f>
        <v/>
      </c>
      <c r="K797" s="10" t="n">
        <f aca="false">INDEX(Parâmetros!$D$13:$D$19,MATCH(E797,Parâmetros!$A$13:$A$19,0))</f>
        <v>0</v>
      </c>
      <c r="L797" s="26" t="n">
        <f aca="false">IF(G797="Prospecting",Parâmetros!$B$9,IF(J797&gt;Parâmetros!$B$6,0,INDEX(Parâmetros!$C$24:$C$26,MATCH(J797,Parâmetros!$A$24:$A$26,1))))</f>
        <v>10</v>
      </c>
      <c r="M797" s="31" t="n">
        <f aca="false">IF(G797="Prospecting",1,INDEX(Parâmetros!$C$32:$C$35,MATCH(J797,Parâmetros!$A$32:$A$35,1)))</f>
        <v>1</v>
      </c>
      <c r="N797" s="2" t="n">
        <f aca="false">ROUND((K797+L797)*M797,0)</f>
        <v>10</v>
      </c>
      <c r="O797" s="10" t="str">
        <f aca="false">IF(AND(G797="Engaging",J797&gt;Parâmetros!$B$6),"Sim","Não")</f>
        <v>Não</v>
      </c>
      <c r="P797" s="32" t="str">
        <f aca="false">IF(O797="Sim","R",IF(N797&gt;=Parâmetros!$B$39,"A",IF(N797&gt;=Parâmetros!$B$40,"B",IF(N797&gt;=Parâmetros!$B$41,"C","D"))))</f>
        <v>D</v>
      </c>
      <c r="Q797" s="10" t="str">
        <f aca="false">IF(F797="","Completar cadastro","")</f>
        <v>Completar cadastro</v>
      </c>
      <c r="R797" s="10" t="str">
        <f aca="false">INDEX(Parâmetros!$D$39:$D$43,MATCH(P797,Parâmetros!$A$39:$A$43,0))</f>
        <v>Automatizar ou vender em lote</v>
      </c>
    </row>
    <row r="798" customFormat="false" ht="15" hidden="false" customHeight="false" outlineLevel="0" collapsed="false">
      <c r="A798" s="10" t="s">
        <v>1040</v>
      </c>
      <c r="B798" s="10" t="s">
        <v>76</v>
      </c>
      <c r="C798" s="10" t="s">
        <v>72</v>
      </c>
      <c r="D798" s="10" t="s">
        <v>196</v>
      </c>
      <c r="E798" s="10" t="s">
        <v>52</v>
      </c>
      <c r="F798" s="10"/>
      <c r="G798" s="10" t="s">
        <v>425</v>
      </c>
      <c r="H798" s="10"/>
      <c r="I798" s="8" t="n">
        <f aca="false">INDEX(Parâmetros!$C$13:$C$19,MATCH(E798,Parâmetros!$A$13:$A$19,0))</f>
        <v>55</v>
      </c>
      <c r="J798" s="26" t="str">
        <f aca="false">IF(H798="","",Parâmetros!$B$5-H798)</f>
        <v/>
      </c>
      <c r="K798" s="10" t="n">
        <f aca="false">INDEX(Parâmetros!$D$13:$D$19,MATCH(E798,Parâmetros!$A$13:$A$19,0))</f>
        <v>0</v>
      </c>
      <c r="L798" s="26" t="n">
        <f aca="false">IF(G798="Prospecting",Parâmetros!$B$9,IF(J798&gt;Parâmetros!$B$6,0,INDEX(Parâmetros!$C$24:$C$26,MATCH(J798,Parâmetros!$A$24:$A$26,1))))</f>
        <v>10</v>
      </c>
      <c r="M798" s="31" t="n">
        <f aca="false">IF(G798="Prospecting",1,INDEX(Parâmetros!$C$32:$C$35,MATCH(J798,Parâmetros!$A$32:$A$35,1)))</f>
        <v>1</v>
      </c>
      <c r="N798" s="2" t="n">
        <f aca="false">ROUND((K798+L798)*M798,0)</f>
        <v>10</v>
      </c>
      <c r="O798" s="10" t="str">
        <f aca="false">IF(AND(G798="Engaging",J798&gt;Parâmetros!$B$6),"Sim","Não")</f>
        <v>Não</v>
      </c>
      <c r="P798" s="32" t="str">
        <f aca="false">IF(O798="Sim","R",IF(N798&gt;=Parâmetros!$B$39,"A",IF(N798&gt;=Parâmetros!$B$40,"B",IF(N798&gt;=Parâmetros!$B$41,"C","D"))))</f>
        <v>D</v>
      </c>
      <c r="Q798" s="10" t="str">
        <f aca="false">IF(F798="","Completar cadastro","")</f>
        <v>Completar cadastro</v>
      </c>
      <c r="R798" s="10" t="str">
        <f aca="false">INDEX(Parâmetros!$D$39:$D$43,MATCH(P798,Parâmetros!$A$39:$A$43,0))</f>
        <v>Automatizar ou vender em lote</v>
      </c>
    </row>
    <row r="799" customFormat="false" ht="15" hidden="false" customHeight="false" outlineLevel="0" collapsed="false">
      <c r="A799" s="10" t="s">
        <v>1041</v>
      </c>
      <c r="B799" s="10" t="s">
        <v>76</v>
      </c>
      <c r="C799" s="10" t="s">
        <v>72</v>
      </c>
      <c r="D799" s="10" t="s">
        <v>196</v>
      </c>
      <c r="E799" s="10" t="s">
        <v>52</v>
      </c>
      <c r="F799" s="10"/>
      <c r="G799" s="10" t="s">
        <v>425</v>
      </c>
      <c r="H799" s="10"/>
      <c r="I799" s="8" t="n">
        <f aca="false">INDEX(Parâmetros!$C$13:$C$19,MATCH(E799,Parâmetros!$A$13:$A$19,0))</f>
        <v>55</v>
      </c>
      <c r="J799" s="26" t="str">
        <f aca="false">IF(H799="","",Parâmetros!$B$5-H799)</f>
        <v/>
      </c>
      <c r="K799" s="10" t="n">
        <f aca="false">INDEX(Parâmetros!$D$13:$D$19,MATCH(E799,Parâmetros!$A$13:$A$19,0))</f>
        <v>0</v>
      </c>
      <c r="L799" s="26" t="n">
        <f aca="false">IF(G799="Prospecting",Parâmetros!$B$9,IF(J799&gt;Parâmetros!$B$6,0,INDEX(Parâmetros!$C$24:$C$26,MATCH(J799,Parâmetros!$A$24:$A$26,1))))</f>
        <v>10</v>
      </c>
      <c r="M799" s="31" t="n">
        <f aca="false">IF(G799="Prospecting",1,INDEX(Parâmetros!$C$32:$C$35,MATCH(J799,Parâmetros!$A$32:$A$35,1)))</f>
        <v>1</v>
      </c>
      <c r="N799" s="2" t="n">
        <f aca="false">ROUND((K799+L799)*M799,0)</f>
        <v>10</v>
      </c>
      <c r="O799" s="10" t="str">
        <f aca="false">IF(AND(G799="Engaging",J799&gt;Parâmetros!$B$6),"Sim","Não")</f>
        <v>Não</v>
      </c>
      <c r="P799" s="32" t="str">
        <f aca="false">IF(O799="Sim","R",IF(N799&gt;=Parâmetros!$B$39,"A",IF(N799&gt;=Parâmetros!$B$40,"B",IF(N799&gt;=Parâmetros!$B$41,"C","D"))))</f>
        <v>D</v>
      </c>
      <c r="Q799" s="10" t="str">
        <f aca="false">IF(F799="","Completar cadastro","")</f>
        <v>Completar cadastro</v>
      </c>
      <c r="R799" s="10" t="str">
        <f aca="false">INDEX(Parâmetros!$D$39:$D$43,MATCH(P799,Parâmetros!$A$39:$A$43,0))</f>
        <v>Automatizar ou vender em lote</v>
      </c>
    </row>
    <row r="800" customFormat="false" ht="15" hidden="false" customHeight="false" outlineLevel="0" collapsed="false">
      <c r="A800" s="10" t="s">
        <v>1042</v>
      </c>
      <c r="B800" s="10" t="s">
        <v>68</v>
      </c>
      <c r="C800" s="10" t="s">
        <v>65</v>
      </c>
      <c r="D800" s="10" t="s">
        <v>160</v>
      </c>
      <c r="E800" s="10" t="s">
        <v>46</v>
      </c>
      <c r="F800" s="10" t="s">
        <v>527</v>
      </c>
      <c r="G800" s="10" t="s">
        <v>162</v>
      </c>
      <c r="H800" s="30" t="n">
        <v>42939</v>
      </c>
      <c r="I800" s="8" t="n">
        <f aca="false">INDEX(Parâmetros!$C$13:$C$19,MATCH(E800,Parâmetros!$A$13:$A$19,0))</f>
        <v>26768</v>
      </c>
      <c r="J800" s="26" t="n">
        <f aca="false">IF(H800="","",Parâmetros!$B$5-H800)</f>
        <v>161</v>
      </c>
      <c r="K800" s="10" t="n">
        <f aca="false">INDEX(Parâmetros!$D$13:$D$19,MATCH(E800,Parâmetros!$A$13:$A$19,0))</f>
        <v>60</v>
      </c>
      <c r="L800" s="10" t="n">
        <f aca="false">IF(G800="Prospecting",Parâmetros!$B$9,IF(J800&gt;Parâmetros!$B$6,0,INDEX(Parâmetros!$C$24:$C$26,MATCH(J800,Parâmetros!$A$24:$A$26,1))))</f>
        <v>0</v>
      </c>
      <c r="M800" s="31" t="n">
        <f aca="false">IF(G800="Prospecting",1,INDEX(Parâmetros!$C$32:$C$35,MATCH(J800,Parâmetros!$A$32:$A$35,1)))</f>
        <v>0.6</v>
      </c>
      <c r="N800" s="2" t="n">
        <f aca="false">ROUND((K800+L800)*M800,0)</f>
        <v>36</v>
      </c>
      <c r="O800" s="10" t="str">
        <f aca="false">IF(AND(G800="Engaging",J800&gt;Parâmetros!$B$6),"Sim","Não")</f>
        <v>Sim</v>
      </c>
      <c r="P800" s="32" t="str">
        <f aca="false">IF(O800="Sim","R",IF(N800&gt;=Parâmetros!$B$39,"A",IF(N800&gt;=Parâmetros!$B$40,"B",IF(N800&gt;=Parâmetros!$B$41,"C","D"))))</f>
        <v>R</v>
      </c>
      <c r="Q800" s="10" t="str">
        <f aca="false">IF(F800="","Completar cadastro","")</f>
        <v/>
      </c>
      <c r="R800" s="10" t="str">
        <f aca="false">INDEX(Parâmetros!$D$39:$D$43,MATCH(P800,Parâmetros!$A$39:$A$43,0))</f>
        <v>Reciclar: requalificar, reengajar ou encerrar</v>
      </c>
    </row>
    <row r="801" customFormat="false" ht="15" hidden="false" customHeight="false" outlineLevel="0" collapsed="false">
      <c r="A801" s="10" t="s">
        <v>1043</v>
      </c>
      <c r="B801" s="10" t="s">
        <v>69</v>
      </c>
      <c r="C801" s="10" t="s">
        <v>65</v>
      </c>
      <c r="D801" s="10" t="s">
        <v>160</v>
      </c>
      <c r="E801" s="10" t="s">
        <v>46</v>
      </c>
      <c r="F801" s="10"/>
      <c r="G801" s="10" t="s">
        <v>162</v>
      </c>
      <c r="H801" s="30" t="n">
        <v>42943</v>
      </c>
      <c r="I801" s="8" t="n">
        <f aca="false">INDEX(Parâmetros!$C$13:$C$19,MATCH(E801,Parâmetros!$A$13:$A$19,0))</f>
        <v>26768</v>
      </c>
      <c r="J801" s="26" t="n">
        <f aca="false">IF(H801="","",Parâmetros!$B$5-H801)</f>
        <v>157</v>
      </c>
      <c r="K801" s="10" t="n">
        <f aca="false">INDEX(Parâmetros!$D$13:$D$19,MATCH(E801,Parâmetros!$A$13:$A$19,0))</f>
        <v>60</v>
      </c>
      <c r="L801" s="10" t="n">
        <f aca="false">IF(G801="Prospecting",Parâmetros!$B$9,IF(J801&gt;Parâmetros!$B$6,0,INDEX(Parâmetros!$C$24:$C$26,MATCH(J801,Parâmetros!$A$24:$A$26,1))))</f>
        <v>0</v>
      </c>
      <c r="M801" s="31" t="n">
        <f aca="false">IF(G801="Prospecting",1,INDEX(Parâmetros!$C$32:$C$35,MATCH(J801,Parâmetros!$A$32:$A$35,1)))</f>
        <v>0.6</v>
      </c>
      <c r="N801" s="2" t="n">
        <f aca="false">ROUND((K801+L801)*M801,0)</f>
        <v>36</v>
      </c>
      <c r="O801" s="10" t="str">
        <f aca="false">IF(AND(G801="Engaging",J801&gt;Parâmetros!$B$6),"Sim","Não")</f>
        <v>Sim</v>
      </c>
      <c r="P801" s="32" t="str">
        <f aca="false">IF(O801="Sim","R",IF(N801&gt;=Parâmetros!$B$39,"A",IF(N801&gt;=Parâmetros!$B$40,"B",IF(N801&gt;=Parâmetros!$B$41,"C","D"))))</f>
        <v>R</v>
      </c>
      <c r="Q801" s="10" t="str">
        <f aca="false">IF(F801="","Completar cadastro","")</f>
        <v>Completar cadastro</v>
      </c>
      <c r="R801" s="10" t="str">
        <f aca="false">INDEX(Parâmetros!$D$39:$D$43,MATCH(P801,Parâmetros!$A$39:$A$43,0))</f>
        <v>Reciclar: requalificar, reengajar ou encerrar</v>
      </c>
    </row>
    <row r="802" customFormat="false" ht="15" hidden="false" customHeight="false" outlineLevel="0" collapsed="false">
      <c r="A802" s="10" t="s">
        <v>1044</v>
      </c>
      <c r="B802" s="10" t="s">
        <v>81</v>
      </c>
      <c r="C802" s="10" t="s">
        <v>78</v>
      </c>
      <c r="D802" s="10" t="s">
        <v>196</v>
      </c>
      <c r="E802" s="10" t="s">
        <v>46</v>
      </c>
      <c r="F802" s="10"/>
      <c r="G802" s="10" t="s">
        <v>162</v>
      </c>
      <c r="H802" s="30" t="n">
        <v>42948</v>
      </c>
      <c r="I802" s="8" t="n">
        <f aca="false">INDEX(Parâmetros!$C$13:$C$19,MATCH(E802,Parâmetros!$A$13:$A$19,0))</f>
        <v>26768</v>
      </c>
      <c r="J802" s="26" t="n">
        <f aca="false">IF(H802="","",Parâmetros!$B$5-H802)</f>
        <v>152</v>
      </c>
      <c r="K802" s="10" t="n">
        <f aca="false">INDEX(Parâmetros!$D$13:$D$19,MATCH(E802,Parâmetros!$A$13:$A$19,0))</f>
        <v>60</v>
      </c>
      <c r="L802" s="10" t="n">
        <f aca="false">IF(G802="Prospecting",Parâmetros!$B$9,IF(J802&gt;Parâmetros!$B$6,0,INDEX(Parâmetros!$C$24:$C$26,MATCH(J802,Parâmetros!$A$24:$A$26,1))))</f>
        <v>0</v>
      </c>
      <c r="M802" s="31" t="n">
        <f aca="false">IF(G802="Prospecting",1,INDEX(Parâmetros!$C$32:$C$35,MATCH(J802,Parâmetros!$A$32:$A$35,1)))</f>
        <v>0.6</v>
      </c>
      <c r="N802" s="2" t="n">
        <f aca="false">ROUND((K802+L802)*M802,0)</f>
        <v>36</v>
      </c>
      <c r="O802" s="10" t="str">
        <f aca="false">IF(AND(G802="Engaging",J802&gt;Parâmetros!$B$6),"Sim","Não")</f>
        <v>Sim</v>
      </c>
      <c r="P802" s="32" t="str">
        <f aca="false">IF(O802="Sim","R",IF(N802&gt;=Parâmetros!$B$39,"A",IF(N802&gt;=Parâmetros!$B$40,"B",IF(N802&gt;=Parâmetros!$B$41,"C","D"))))</f>
        <v>R</v>
      </c>
      <c r="Q802" s="10" t="str">
        <f aca="false">IF(F802="","Completar cadastro","")</f>
        <v>Completar cadastro</v>
      </c>
      <c r="R802" s="10" t="str">
        <f aca="false">INDEX(Parâmetros!$D$39:$D$43,MATCH(P802,Parâmetros!$A$39:$A$43,0))</f>
        <v>Reciclar: requalificar, reengajar ou encerrar</v>
      </c>
    </row>
    <row r="803" customFormat="false" ht="15" hidden="false" customHeight="false" outlineLevel="0" collapsed="false">
      <c r="A803" s="10" t="s">
        <v>1045</v>
      </c>
      <c r="B803" s="10" t="s">
        <v>66</v>
      </c>
      <c r="C803" s="10" t="s">
        <v>65</v>
      </c>
      <c r="D803" s="10" t="s">
        <v>160</v>
      </c>
      <c r="E803" s="10" t="s">
        <v>46</v>
      </c>
      <c r="F803" s="10"/>
      <c r="G803" s="10" t="s">
        <v>162</v>
      </c>
      <c r="H803" s="30" t="n">
        <v>42950</v>
      </c>
      <c r="I803" s="8" t="n">
        <f aca="false">INDEX(Parâmetros!$C$13:$C$19,MATCH(E803,Parâmetros!$A$13:$A$19,0))</f>
        <v>26768</v>
      </c>
      <c r="J803" s="26" t="n">
        <f aca="false">IF(H803="","",Parâmetros!$B$5-H803)</f>
        <v>150</v>
      </c>
      <c r="K803" s="10" t="n">
        <f aca="false">INDEX(Parâmetros!$D$13:$D$19,MATCH(E803,Parâmetros!$A$13:$A$19,0))</f>
        <v>60</v>
      </c>
      <c r="L803" s="10" t="n">
        <f aca="false">IF(G803="Prospecting",Parâmetros!$B$9,IF(J803&gt;Parâmetros!$B$6,0,INDEX(Parâmetros!$C$24:$C$26,MATCH(J803,Parâmetros!$A$24:$A$26,1))))</f>
        <v>0</v>
      </c>
      <c r="M803" s="31" t="n">
        <f aca="false">IF(G803="Prospecting",1,INDEX(Parâmetros!$C$32:$C$35,MATCH(J803,Parâmetros!$A$32:$A$35,1)))</f>
        <v>0.6</v>
      </c>
      <c r="N803" s="2" t="n">
        <f aca="false">ROUND((K803+L803)*M803,0)</f>
        <v>36</v>
      </c>
      <c r="O803" s="10" t="str">
        <f aca="false">IF(AND(G803="Engaging",J803&gt;Parâmetros!$B$6),"Sim","Não")</f>
        <v>Sim</v>
      </c>
      <c r="P803" s="32" t="str">
        <f aca="false">IF(O803="Sim","R",IF(N803&gt;=Parâmetros!$B$39,"A",IF(N803&gt;=Parâmetros!$B$40,"B",IF(N803&gt;=Parâmetros!$B$41,"C","D"))))</f>
        <v>R</v>
      </c>
      <c r="Q803" s="10" t="str">
        <f aca="false">IF(F803="","Completar cadastro","")</f>
        <v>Completar cadastro</v>
      </c>
      <c r="R803" s="10" t="str">
        <f aca="false">INDEX(Parâmetros!$D$39:$D$43,MATCH(P803,Parâmetros!$A$39:$A$43,0))</f>
        <v>Reciclar: requalificar, reengajar ou encerrar</v>
      </c>
    </row>
    <row r="804" customFormat="false" ht="15" hidden="false" customHeight="false" outlineLevel="0" collapsed="false">
      <c r="A804" s="10" t="s">
        <v>1046</v>
      </c>
      <c r="B804" s="10" t="s">
        <v>86</v>
      </c>
      <c r="C804" s="10" t="s">
        <v>85</v>
      </c>
      <c r="D804" s="10" t="s">
        <v>165</v>
      </c>
      <c r="E804" s="10" t="s">
        <v>47</v>
      </c>
      <c r="F804" s="10" t="s">
        <v>321</v>
      </c>
      <c r="G804" s="10" t="s">
        <v>162</v>
      </c>
      <c r="H804" s="30" t="n">
        <v>42920</v>
      </c>
      <c r="I804" s="8" t="n">
        <f aca="false">INDEX(Parâmetros!$C$13:$C$19,MATCH(E804,Parâmetros!$A$13:$A$19,0))</f>
        <v>5482</v>
      </c>
      <c r="J804" s="26" t="n">
        <f aca="false">IF(H804="","",Parâmetros!$B$5-H804)</f>
        <v>180</v>
      </c>
      <c r="K804" s="10" t="n">
        <f aca="false">INDEX(Parâmetros!$D$13:$D$19,MATCH(E804,Parâmetros!$A$13:$A$19,0))</f>
        <v>45</v>
      </c>
      <c r="L804" s="10" t="n">
        <f aca="false">IF(G804="Prospecting",Parâmetros!$B$9,IF(J804&gt;Parâmetros!$B$6,0,INDEX(Parâmetros!$C$24:$C$26,MATCH(J804,Parâmetros!$A$24:$A$26,1))))</f>
        <v>0</v>
      </c>
      <c r="M804" s="31" t="n">
        <f aca="false">IF(G804="Prospecting",1,INDEX(Parâmetros!$C$32:$C$35,MATCH(J804,Parâmetros!$A$32:$A$35,1)))</f>
        <v>0.6</v>
      </c>
      <c r="N804" s="2" t="n">
        <f aca="false">ROUND((K804+L804)*M804,0)</f>
        <v>27</v>
      </c>
      <c r="O804" s="10" t="str">
        <f aca="false">IF(AND(G804="Engaging",J804&gt;Parâmetros!$B$6),"Sim","Não")</f>
        <v>Sim</v>
      </c>
      <c r="P804" s="32" t="str">
        <f aca="false">IF(O804="Sim","R",IF(N804&gt;=Parâmetros!$B$39,"A",IF(N804&gt;=Parâmetros!$B$40,"B",IF(N804&gt;=Parâmetros!$B$41,"C","D"))))</f>
        <v>R</v>
      </c>
      <c r="Q804" s="10" t="str">
        <f aca="false">IF(F804="","Completar cadastro","")</f>
        <v/>
      </c>
      <c r="R804" s="10" t="str">
        <f aca="false">INDEX(Parâmetros!$D$39:$D$43,MATCH(P804,Parâmetros!$A$39:$A$43,0))</f>
        <v>Reciclar: requalificar, reengajar ou encerrar</v>
      </c>
    </row>
    <row r="805" customFormat="false" ht="15" hidden="false" customHeight="false" outlineLevel="0" collapsed="false">
      <c r="A805" s="10" t="s">
        <v>1047</v>
      </c>
      <c r="B805" s="10" t="s">
        <v>95</v>
      </c>
      <c r="C805" s="10" t="s">
        <v>92</v>
      </c>
      <c r="D805" s="10" t="s">
        <v>160</v>
      </c>
      <c r="E805" s="10" t="s">
        <v>47</v>
      </c>
      <c r="F805" s="10" t="s">
        <v>344</v>
      </c>
      <c r="G805" s="10" t="s">
        <v>162</v>
      </c>
      <c r="H805" s="30" t="n">
        <v>42921</v>
      </c>
      <c r="I805" s="8" t="n">
        <f aca="false">INDEX(Parâmetros!$C$13:$C$19,MATCH(E805,Parâmetros!$A$13:$A$19,0))</f>
        <v>5482</v>
      </c>
      <c r="J805" s="26" t="n">
        <f aca="false">IF(H805="","",Parâmetros!$B$5-H805)</f>
        <v>179</v>
      </c>
      <c r="K805" s="10" t="n">
        <f aca="false">INDEX(Parâmetros!$D$13:$D$19,MATCH(E805,Parâmetros!$A$13:$A$19,0))</f>
        <v>45</v>
      </c>
      <c r="L805" s="10" t="n">
        <f aca="false">IF(G805="Prospecting",Parâmetros!$B$9,IF(J805&gt;Parâmetros!$B$6,0,INDEX(Parâmetros!$C$24:$C$26,MATCH(J805,Parâmetros!$A$24:$A$26,1))))</f>
        <v>0</v>
      </c>
      <c r="M805" s="31" t="n">
        <f aca="false">IF(G805="Prospecting",1,INDEX(Parâmetros!$C$32:$C$35,MATCH(J805,Parâmetros!$A$32:$A$35,1)))</f>
        <v>0.6</v>
      </c>
      <c r="N805" s="2" t="n">
        <f aca="false">ROUND((K805+L805)*M805,0)</f>
        <v>27</v>
      </c>
      <c r="O805" s="10" t="str">
        <f aca="false">IF(AND(G805="Engaging",J805&gt;Parâmetros!$B$6),"Sim","Não")</f>
        <v>Sim</v>
      </c>
      <c r="P805" s="32" t="str">
        <f aca="false">IF(O805="Sim","R",IF(N805&gt;=Parâmetros!$B$39,"A",IF(N805&gt;=Parâmetros!$B$40,"B",IF(N805&gt;=Parâmetros!$B$41,"C","D"))))</f>
        <v>R</v>
      </c>
      <c r="Q805" s="10" t="str">
        <f aca="false">IF(F805="","Completar cadastro","")</f>
        <v/>
      </c>
      <c r="R805" s="10" t="str">
        <f aca="false">INDEX(Parâmetros!$D$39:$D$43,MATCH(P805,Parâmetros!$A$39:$A$43,0))</f>
        <v>Reciclar: requalificar, reengajar ou encerrar</v>
      </c>
    </row>
    <row r="806" customFormat="false" ht="15" hidden="false" customHeight="false" outlineLevel="0" collapsed="false">
      <c r="A806" s="10" t="s">
        <v>1048</v>
      </c>
      <c r="B806" s="10" t="s">
        <v>95</v>
      </c>
      <c r="C806" s="10" t="s">
        <v>92</v>
      </c>
      <c r="D806" s="10" t="s">
        <v>160</v>
      </c>
      <c r="E806" s="10" t="s">
        <v>47</v>
      </c>
      <c r="F806" s="10" t="s">
        <v>353</v>
      </c>
      <c r="G806" s="10" t="s">
        <v>162</v>
      </c>
      <c r="H806" s="30" t="n">
        <v>42923</v>
      </c>
      <c r="I806" s="8" t="n">
        <f aca="false">INDEX(Parâmetros!$C$13:$C$19,MATCH(E806,Parâmetros!$A$13:$A$19,0))</f>
        <v>5482</v>
      </c>
      <c r="J806" s="26" t="n">
        <f aca="false">IF(H806="","",Parâmetros!$B$5-H806)</f>
        <v>177</v>
      </c>
      <c r="K806" s="10" t="n">
        <f aca="false">INDEX(Parâmetros!$D$13:$D$19,MATCH(E806,Parâmetros!$A$13:$A$19,0))</f>
        <v>45</v>
      </c>
      <c r="L806" s="10" t="n">
        <f aca="false">IF(G806="Prospecting",Parâmetros!$B$9,IF(J806&gt;Parâmetros!$B$6,0,INDEX(Parâmetros!$C$24:$C$26,MATCH(J806,Parâmetros!$A$24:$A$26,1))))</f>
        <v>0</v>
      </c>
      <c r="M806" s="31" t="n">
        <f aca="false">IF(G806="Prospecting",1,INDEX(Parâmetros!$C$32:$C$35,MATCH(J806,Parâmetros!$A$32:$A$35,1)))</f>
        <v>0.6</v>
      </c>
      <c r="N806" s="2" t="n">
        <f aca="false">ROUND((K806+L806)*M806,0)</f>
        <v>27</v>
      </c>
      <c r="O806" s="10" t="str">
        <f aca="false">IF(AND(G806="Engaging",J806&gt;Parâmetros!$B$6),"Sim","Não")</f>
        <v>Sim</v>
      </c>
      <c r="P806" s="32" t="str">
        <f aca="false">IF(O806="Sim","R",IF(N806&gt;=Parâmetros!$B$39,"A",IF(N806&gt;=Parâmetros!$B$40,"B",IF(N806&gt;=Parâmetros!$B$41,"C","D"))))</f>
        <v>R</v>
      </c>
      <c r="Q806" s="10" t="str">
        <f aca="false">IF(F806="","Completar cadastro","")</f>
        <v/>
      </c>
      <c r="R806" s="10" t="str">
        <f aca="false">INDEX(Parâmetros!$D$39:$D$43,MATCH(P806,Parâmetros!$A$39:$A$43,0))</f>
        <v>Reciclar: requalificar, reengajar ou encerrar</v>
      </c>
    </row>
    <row r="807" customFormat="false" ht="15" hidden="false" customHeight="false" outlineLevel="0" collapsed="false">
      <c r="A807" s="10" t="s">
        <v>1049</v>
      </c>
      <c r="B807" s="10" t="s">
        <v>61</v>
      </c>
      <c r="C807" s="10" t="s">
        <v>58</v>
      </c>
      <c r="D807" s="10" t="s">
        <v>165</v>
      </c>
      <c r="E807" s="10" t="s">
        <v>47</v>
      </c>
      <c r="F807" s="10"/>
      <c r="G807" s="10" t="s">
        <v>162</v>
      </c>
      <c r="H807" s="30" t="n">
        <v>42923</v>
      </c>
      <c r="I807" s="8" t="n">
        <f aca="false">INDEX(Parâmetros!$C$13:$C$19,MATCH(E807,Parâmetros!$A$13:$A$19,0))</f>
        <v>5482</v>
      </c>
      <c r="J807" s="26" t="n">
        <f aca="false">IF(H807="","",Parâmetros!$B$5-H807)</f>
        <v>177</v>
      </c>
      <c r="K807" s="10" t="n">
        <f aca="false">INDEX(Parâmetros!$D$13:$D$19,MATCH(E807,Parâmetros!$A$13:$A$19,0))</f>
        <v>45</v>
      </c>
      <c r="L807" s="10" t="n">
        <f aca="false">IF(G807="Prospecting",Parâmetros!$B$9,IF(J807&gt;Parâmetros!$B$6,0,INDEX(Parâmetros!$C$24:$C$26,MATCH(J807,Parâmetros!$A$24:$A$26,1))))</f>
        <v>0</v>
      </c>
      <c r="M807" s="31" t="n">
        <f aca="false">IF(G807="Prospecting",1,INDEX(Parâmetros!$C$32:$C$35,MATCH(J807,Parâmetros!$A$32:$A$35,1)))</f>
        <v>0.6</v>
      </c>
      <c r="N807" s="2" t="n">
        <f aca="false">ROUND((K807+L807)*M807,0)</f>
        <v>27</v>
      </c>
      <c r="O807" s="10" t="str">
        <f aca="false">IF(AND(G807="Engaging",J807&gt;Parâmetros!$B$6),"Sim","Não")</f>
        <v>Sim</v>
      </c>
      <c r="P807" s="32" t="str">
        <f aca="false">IF(O807="Sim","R",IF(N807&gt;=Parâmetros!$B$39,"A",IF(N807&gt;=Parâmetros!$B$40,"B",IF(N807&gt;=Parâmetros!$B$41,"C","D"))))</f>
        <v>R</v>
      </c>
      <c r="Q807" s="10" t="str">
        <f aca="false">IF(F807="","Completar cadastro","")</f>
        <v>Completar cadastro</v>
      </c>
      <c r="R807" s="10" t="str">
        <f aca="false">INDEX(Parâmetros!$D$39:$D$43,MATCH(P807,Parâmetros!$A$39:$A$43,0))</f>
        <v>Reciclar: requalificar, reengajar ou encerrar</v>
      </c>
    </row>
    <row r="808" customFormat="false" ht="15" hidden="false" customHeight="false" outlineLevel="0" collapsed="false">
      <c r="A808" s="10" t="s">
        <v>1050</v>
      </c>
      <c r="B808" s="10" t="s">
        <v>86</v>
      </c>
      <c r="C808" s="10" t="s">
        <v>85</v>
      </c>
      <c r="D808" s="10" t="s">
        <v>165</v>
      </c>
      <c r="E808" s="10" t="s">
        <v>47</v>
      </c>
      <c r="F808" s="10"/>
      <c r="G808" s="10" t="s">
        <v>162</v>
      </c>
      <c r="H808" s="30" t="n">
        <v>42925</v>
      </c>
      <c r="I808" s="8" t="n">
        <f aca="false">INDEX(Parâmetros!$C$13:$C$19,MATCH(E808,Parâmetros!$A$13:$A$19,0))</f>
        <v>5482</v>
      </c>
      <c r="J808" s="26" t="n">
        <f aca="false">IF(H808="","",Parâmetros!$B$5-H808)</f>
        <v>175</v>
      </c>
      <c r="K808" s="10" t="n">
        <f aca="false">INDEX(Parâmetros!$D$13:$D$19,MATCH(E808,Parâmetros!$A$13:$A$19,0))</f>
        <v>45</v>
      </c>
      <c r="L808" s="10" t="n">
        <f aca="false">IF(G808="Prospecting",Parâmetros!$B$9,IF(J808&gt;Parâmetros!$B$6,0,INDEX(Parâmetros!$C$24:$C$26,MATCH(J808,Parâmetros!$A$24:$A$26,1))))</f>
        <v>0</v>
      </c>
      <c r="M808" s="31" t="n">
        <f aca="false">IF(G808="Prospecting",1,INDEX(Parâmetros!$C$32:$C$35,MATCH(J808,Parâmetros!$A$32:$A$35,1)))</f>
        <v>0.6</v>
      </c>
      <c r="N808" s="2" t="n">
        <f aca="false">ROUND((K808+L808)*M808,0)</f>
        <v>27</v>
      </c>
      <c r="O808" s="10" t="str">
        <f aca="false">IF(AND(G808="Engaging",J808&gt;Parâmetros!$B$6),"Sim","Não")</f>
        <v>Sim</v>
      </c>
      <c r="P808" s="32" t="str">
        <f aca="false">IF(O808="Sim","R",IF(N808&gt;=Parâmetros!$B$39,"A",IF(N808&gt;=Parâmetros!$B$40,"B",IF(N808&gt;=Parâmetros!$B$41,"C","D"))))</f>
        <v>R</v>
      </c>
      <c r="Q808" s="10" t="str">
        <f aca="false">IF(F808="","Completar cadastro","")</f>
        <v>Completar cadastro</v>
      </c>
      <c r="R808" s="10" t="str">
        <f aca="false">INDEX(Parâmetros!$D$39:$D$43,MATCH(P808,Parâmetros!$A$39:$A$43,0))</f>
        <v>Reciclar: requalificar, reengajar ou encerrar</v>
      </c>
    </row>
    <row r="809" customFormat="false" ht="15" hidden="false" customHeight="false" outlineLevel="0" collapsed="false">
      <c r="A809" s="10" t="s">
        <v>1051</v>
      </c>
      <c r="B809" s="10" t="s">
        <v>86</v>
      </c>
      <c r="C809" s="10" t="s">
        <v>85</v>
      </c>
      <c r="D809" s="10" t="s">
        <v>165</v>
      </c>
      <c r="E809" s="10" t="s">
        <v>47</v>
      </c>
      <c r="F809" s="10"/>
      <c r="G809" s="10" t="s">
        <v>162</v>
      </c>
      <c r="H809" s="30" t="n">
        <v>42927</v>
      </c>
      <c r="I809" s="8" t="n">
        <f aca="false">INDEX(Parâmetros!$C$13:$C$19,MATCH(E809,Parâmetros!$A$13:$A$19,0))</f>
        <v>5482</v>
      </c>
      <c r="J809" s="26" t="n">
        <f aca="false">IF(H809="","",Parâmetros!$B$5-H809)</f>
        <v>173</v>
      </c>
      <c r="K809" s="10" t="n">
        <f aca="false">INDEX(Parâmetros!$D$13:$D$19,MATCH(E809,Parâmetros!$A$13:$A$19,0))</f>
        <v>45</v>
      </c>
      <c r="L809" s="10" t="n">
        <f aca="false">IF(G809="Prospecting",Parâmetros!$B$9,IF(J809&gt;Parâmetros!$B$6,0,INDEX(Parâmetros!$C$24:$C$26,MATCH(J809,Parâmetros!$A$24:$A$26,1))))</f>
        <v>0</v>
      </c>
      <c r="M809" s="31" t="n">
        <f aca="false">IF(G809="Prospecting",1,INDEX(Parâmetros!$C$32:$C$35,MATCH(J809,Parâmetros!$A$32:$A$35,1)))</f>
        <v>0.6</v>
      </c>
      <c r="N809" s="2" t="n">
        <f aca="false">ROUND((K809+L809)*M809,0)</f>
        <v>27</v>
      </c>
      <c r="O809" s="10" t="str">
        <f aca="false">IF(AND(G809="Engaging",J809&gt;Parâmetros!$B$6),"Sim","Não")</f>
        <v>Sim</v>
      </c>
      <c r="P809" s="32" t="str">
        <f aca="false">IF(O809="Sim","R",IF(N809&gt;=Parâmetros!$B$39,"A",IF(N809&gt;=Parâmetros!$B$40,"B",IF(N809&gt;=Parâmetros!$B$41,"C","D"))))</f>
        <v>R</v>
      </c>
      <c r="Q809" s="10" t="str">
        <f aca="false">IF(F809="","Completar cadastro","")</f>
        <v>Completar cadastro</v>
      </c>
      <c r="R809" s="10" t="str">
        <f aca="false">INDEX(Parâmetros!$D$39:$D$43,MATCH(P809,Parâmetros!$A$39:$A$43,0))</f>
        <v>Reciclar: requalificar, reengajar ou encerrar</v>
      </c>
    </row>
    <row r="810" customFormat="false" ht="15" hidden="false" customHeight="false" outlineLevel="0" collapsed="false">
      <c r="A810" s="10" t="s">
        <v>1052</v>
      </c>
      <c r="B810" s="10" t="s">
        <v>95</v>
      </c>
      <c r="C810" s="10" t="s">
        <v>92</v>
      </c>
      <c r="D810" s="10" t="s">
        <v>160</v>
      </c>
      <c r="E810" s="10" t="s">
        <v>47</v>
      </c>
      <c r="F810" s="10"/>
      <c r="G810" s="10" t="s">
        <v>162</v>
      </c>
      <c r="H810" s="30" t="n">
        <v>42927</v>
      </c>
      <c r="I810" s="8" t="n">
        <f aca="false">INDEX(Parâmetros!$C$13:$C$19,MATCH(E810,Parâmetros!$A$13:$A$19,0))</f>
        <v>5482</v>
      </c>
      <c r="J810" s="26" t="n">
        <f aca="false">IF(H810="","",Parâmetros!$B$5-H810)</f>
        <v>173</v>
      </c>
      <c r="K810" s="10" t="n">
        <f aca="false">INDEX(Parâmetros!$D$13:$D$19,MATCH(E810,Parâmetros!$A$13:$A$19,0))</f>
        <v>45</v>
      </c>
      <c r="L810" s="10" t="n">
        <f aca="false">IF(G810="Prospecting",Parâmetros!$B$9,IF(J810&gt;Parâmetros!$B$6,0,INDEX(Parâmetros!$C$24:$C$26,MATCH(J810,Parâmetros!$A$24:$A$26,1))))</f>
        <v>0</v>
      </c>
      <c r="M810" s="31" t="n">
        <f aca="false">IF(G810="Prospecting",1,INDEX(Parâmetros!$C$32:$C$35,MATCH(J810,Parâmetros!$A$32:$A$35,1)))</f>
        <v>0.6</v>
      </c>
      <c r="N810" s="2" t="n">
        <f aca="false">ROUND((K810+L810)*M810,0)</f>
        <v>27</v>
      </c>
      <c r="O810" s="10" t="str">
        <f aca="false">IF(AND(G810="Engaging",J810&gt;Parâmetros!$B$6),"Sim","Não")</f>
        <v>Sim</v>
      </c>
      <c r="P810" s="32" t="str">
        <f aca="false">IF(O810="Sim","R",IF(N810&gt;=Parâmetros!$B$39,"A",IF(N810&gt;=Parâmetros!$B$40,"B",IF(N810&gt;=Parâmetros!$B$41,"C","D"))))</f>
        <v>R</v>
      </c>
      <c r="Q810" s="10" t="str">
        <f aca="false">IF(F810="","Completar cadastro","")</f>
        <v>Completar cadastro</v>
      </c>
      <c r="R810" s="10" t="str">
        <f aca="false">INDEX(Parâmetros!$D$39:$D$43,MATCH(P810,Parâmetros!$A$39:$A$43,0))</f>
        <v>Reciclar: requalificar, reengajar ou encerrar</v>
      </c>
    </row>
    <row r="811" customFormat="false" ht="15" hidden="false" customHeight="false" outlineLevel="0" collapsed="false">
      <c r="A811" s="10" t="s">
        <v>1053</v>
      </c>
      <c r="B811" s="10" t="s">
        <v>67</v>
      </c>
      <c r="C811" s="10" t="s">
        <v>65</v>
      </c>
      <c r="D811" s="10" t="s">
        <v>160</v>
      </c>
      <c r="E811" s="10" t="s">
        <v>47</v>
      </c>
      <c r="F811" s="10"/>
      <c r="G811" s="10" t="s">
        <v>162</v>
      </c>
      <c r="H811" s="30" t="n">
        <v>42932</v>
      </c>
      <c r="I811" s="8" t="n">
        <f aca="false">INDEX(Parâmetros!$C$13:$C$19,MATCH(E811,Parâmetros!$A$13:$A$19,0))</f>
        <v>5482</v>
      </c>
      <c r="J811" s="26" t="n">
        <f aca="false">IF(H811="","",Parâmetros!$B$5-H811)</f>
        <v>168</v>
      </c>
      <c r="K811" s="10" t="n">
        <f aca="false">INDEX(Parâmetros!$D$13:$D$19,MATCH(E811,Parâmetros!$A$13:$A$19,0))</f>
        <v>45</v>
      </c>
      <c r="L811" s="10" t="n">
        <f aca="false">IF(G811="Prospecting",Parâmetros!$B$9,IF(J811&gt;Parâmetros!$B$6,0,INDEX(Parâmetros!$C$24:$C$26,MATCH(J811,Parâmetros!$A$24:$A$26,1))))</f>
        <v>0</v>
      </c>
      <c r="M811" s="31" t="n">
        <f aca="false">IF(G811="Prospecting",1,INDEX(Parâmetros!$C$32:$C$35,MATCH(J811,Parâmetros!$A$32:$A$35,1)))</f>
        <v>0.6</v>
      </c>
      <c r="N811" s="2" t="n">
        <f aca="false">ROUND((K811+L811)*M811,0)</f>
        <v>27</v>
      </c>
      <c r="O811" s="10" t="str">
        <f aca="false">IF(AND(G811="Engaging",J811&gt;Parâmetros!$B$6),"Sim","Não")</f>
        <v>Sim</v>
      </c>
      <c r="P811" s="32" t="str">
        <f aca="false">IF(O811="Sim","R",IF(N811&gt;=Parâmetros!$B$39,"A",IF(N811&gt;=Parâmetros!$B$40,"B",IF(N811&gt;=Parâmetros!$B$41,"C","D"))))</f>
        <v>R</v>
      </c>
      <c r="Q811" s="10" t="str">
        <f aca="false">IF(F811="","Completar cadastro","")</f>
        <v>Completar cadastro</v>
      </c>
      <c r="R811" s="10" t="str">
        <f aca="false">INDEX(Parâmetros!$D$39:$D$43,MATCH(P811,Parâmetros!$A$39:$A$43,0))</f>
        <v>Reciclar: requalificar, reengajar ou encerrar</v>
      </c>
    </row>
    <row r="812" customFormat="false" ht="15" hidden="false" customHeight="false" outlineLevel="0" collapsed="false">
      <c r="A812" s="10" t="s">
        <v>1054</v>
      </c>
      <c r="B812" s="10" t="s">
        <v>70</v>
      </c>
      <c r="C812" s="10" t="s">
        <v>65</v>
      </c>
      <c r="D812" s="10" t="s">
        <v>160</v>
      </c>
      <c r="E812" s="10" t="s">
        <v>47</v>
      </c>
      <c r="F812" s="10" t="s">
        <v>227</v>
      </c>
      <c r="G812" s="10" t="s">
        <v>162</v>
      </c>
      <c r="H812" s="30" t="n">
        <v>42933</v>
      </c>
      <c r="I812" s="8" t="n">
        <f aca="false">INDEX(Parâmetros!$C$13:$C$19,MATCH(E812,Parâmetros!$A$13:$A$19,0))</f>
        <v>5482</v>
      </c>
      <c r="J812" s="26" t="n">
        <f aca="false">IF(H812="","",Parâmetros!$B$5-H812)</f>
        <v>167</v>
      </c>
      <c r="K812" s="10" t="n">
        <f aca="false">INDEX(Parâmetros!$D$13:$D$19,MATCH(E812,Parâmetros!$A$13:$A$19,0))</f>
        <v>45</v>
      </c>
      <c r="L812" s="10" t="n">
        <f aca="false">IF(G812="Prospecting",Parâmetros!$B$9,IF(J812&gt;Parâmetros!$B$6,0,INDEX(Parâmetros!$C$24:$C$26,MATCH(J812,Parâmetros!$A$24:$A$26,1))))</f>
        <v>0</v>
      </c>
      <c r="M812" s="31" t="n">
        <f aca="false">IF(G812="Prospecting",1,INDEX(Parâmetros!$C$32:$C$35,MATCH(J812,Parâmetros!$A$32:$A$35,1)))</f>
        <v>0.6</v>
      </c>
      <c r="N812" s="2" t="n">
        <f aca="false">ROUND((K812+L812)*M812,0)</f>
        <v>27</v>
      </c>
      <c r="O812" s="10" t="str">
        <f aca="false">IF(AND(G812="Engaging",J812&gt;Parâmetros!$B$6),"Sim","Não")</f>
        <v>Sim</v>
      </c>
      <c r="P812" s="32" t="str">
        <f aca="false">IF(O812="Sim","R",IF(N812&gt;=Parâmetros!$B$39,"A",IF(N812&gt;=Parâmetros!$B$40,"B",IF(N812&gt;=Parâmetros!$B$41,"C","D"))))</f>
        <v>R</v>
      </c>
      <c r="Q812" s="10" t="str">
        <f aca="false">IF(F812="","Completar cadastro","")</f>
        <v/>
      </c>
      <c r="R812" s="10" t="str">
        <f aca="false">INDEX(Parâmetros!$D$39:$D$43,MATCH(P812,Parâmetros!$A$39:$A$43,0))</f>
        <v>Reciclar: requalificar, reengajar ou encerrar</v>
      </c>
    </row>
    <row r="813" customFormat="false" ht="15" hidden="false" customHeight="false" outlineLevel="0" collapsed="false">
      <c r="A813" s="10" t="s">
        <v>1055</v>
      </c>
      <c r="B813" s="10" t="s">
        <v>77</v>
      </c>
      <c r="C813" s="10" t="s">
        <v>78</v>
      </c>
      <c r="D813" s="10" t="s">
        <v>196</v>
      </c>
      <c r="E813" s="10" t="s">
        <v>47</v>
      </c>
      <c r="F813" s="10" t="s">
        <v>697</v>
      </c>
      <c r="G813" s="10" t="s">
        <v>162</v>
      </c>
      <c r="H813" s="30" t="n">
        <v>42935</v>
      </c>
      <c r="I813" s="8" t="n">
        <f aca="false">INDEX(Parâmetros!$C$13:$C$19,MATCH(E813,Parâmetros!$A$13:$A$19,0))</f>
        <v>5482</v>
      </c>
      <c r="J813" s="26" t="n">
        <f aca="false">IF(H813="","",Parâmetros!$B$5-H813)</f>
        <v>165</v>
      </c>
      <c r="K813" s="10" t="n">
        <f aca="false">INDEX(Parâmetros!$D$13:$D$19,MATCH(E813,Parâmetros!$A$13:$A$19,0))</f>
        <v>45</v>
      </c>
      <c r="L813" s="10" t="n">
        <f aca="false">IF(G813="Prospecting",Parâmetros!$B$9,IF(J813&gt;Parâmetros!$B$6,0,INDEX(Parâmetros!$C$24:$C$26,MATCH(J813,Parâmetros!$A$24:$A$26,1))))</f>
        <v>0</v>
      </c>
      <c r="M813" s="31" t="n">
        <f aca="false">IF(G813="Prospecting",1,INDEX(Parâmetros!$C$32:$C$35,MATCH(J813,Parâmetros!$A$32:$A$35,1)))</f>
        <v>0.6</v>
      </c>
      <c r="N813" s="2" t="n">
        <f aca="false">ROUND((K813+L813)*M813,0)</f>
        <v>27</v>
      </c>
      <c r="O813" s="10" t="str">
        <f aca="false">IF(AND(G813="Engaging",J813&gt;Parâmetros!$B$6),"Sim","Não")</f>
        <v>Sim</v>
      </c>
      <c r="P813" s="32" t="str">
        <f aca="false">IF(O813="Sim","R",IF(N813&gt;=Parâmetros!$B$39,"A",IF(N813&gt;=Parâmetros!$B$40,"B",IF(N813&gt;=Parâmetros!$B$41,"C","D"))))</f>
        <v>R</v>
      </c>
      <c r="Q813" s="10" t="str">
        <f aca="false">IF(F813="","Completar cadastro","")</f>
        <v/>
      </c>
      <c r="R813" s="10" t="str">
        <f aca="false">INDEX(Parâmetros!$D$39:$D$43,MATCH(P813,Parâmetros!$A$39:$A$43,0))</f>
        <v>Reciclar: requalificar, reengajar ou encerrar</v>
      </c>
    </row>
    <row r="814" customFormat="false" ht="15" hidden="false" customHeight="false" outlineLevel="0" collapsed="false">
      <c r="A814" s="10" t="s">
        <v>1056</v>
      </c>
      <c r="B814" s="10" t="s">
        <v>81</v>
      </c>
      <c r="C814" s="10" t="s">
        <v>78</v>
      </c>
      <c r="D814" s="10" t="s">
        <v>196</v>
      </c>
      <c r="E814" s="10" t="s">
        <v>47</v>
      </c>
      <c r="F814" s="10" t="s">
        <v>332</v>
      </c>
      <c r="G814" s="10" t="s">
        <v>162</v>
      </c>
      <c r="H814" s="30" t="n">
        <v>42935</v>
      </c>
      <c r="I814" s="8" t="n">
        <f aca="false">INDEX(Parâmetros!$C$13:$C$19,MATCH(E814,Parâmetros!$A$13:$A$19,0))</f>
        <v>5482</v>
      </c>
      <c r="J814" s="26" t="n">
        <f aca="false">IF(H814="","",Parâmetros!$B$5-H814)</f>
        <v>165</v>
      </c>
      <c r="K814" s="10" t="n">
        <f aca="false">INDEX(Parâmetros!$D$13:$D$19,MATCH(E814,Parâmetros!$A$13:$A$19,0))</f>
        <v>45</v>
      </c>
      <c r="L814" s="10" t="n">
        <f aca="false">IF(G814="Prospecting",Parâmetros!$B$9,IF(J814&gt;Parâmetros!$B$6,0,INDEX(Parâmetros!$C$24:$C$26,MATCH(J814,Parâmetros!$A$24:$A$26,1))))</f>
        <v>0</v>
      </c>
      <c r="M814" s="31" t="n">
        <f aca="false">IF(G814="Prospecting",1,INDEX(Parâmetros!$C$32:$C$35,MATCH(J814,Parâmetros!$A$32:$A$35,1)))</f>
        <v>0.6</v>
      </c>
      <c r="N814" s="2" t="n">
        <f aca="false">ROUND((K814+L814)*M814,0)</f>
        <v>27</v>
      </c>
      <c r="O814" s="10" t="str">
        <f aca="false">IF(AND(G814="Engaging",J814&gt;Parâmetros!$B$6),"Sim","Não")</f>
        <v>Sim</v>
      </c>
      <c r="P814" s="32" t="str">
        <f aca="false">IF(O814="Sim","R",IF(N814&gt;=Parâmetros!$B$39,"A",IF(N814&gt;=Parâmetros!$B$40,"B",IF(N814&gt;=Parâmetros!$B$41,"C","D"))))</f>
        <v>R</v>
      </c>
      <c r="Q814" s="10" t="str">
        <f aca="false">IF(F814="","Completar cadastro","")</f>
        <v/>
      </c>
      <c r="R814" s="10" t="str">
        <f aca="false">INDEX(Parâmetros!$D$39:$D$43,MATCH(P814,Parâmetros!$A$39:$A$43,0))</f>
        <v>Reciclar: requalificar, reengajar ou encerrar</v>
      </c>
    </row>
    <row r="815" customFormat="false" ht="15" hidden="false" customHeight="false" outlineLevel="0" collapsed="false">
      <c r="A815" s="10" t="s">
        <v>1057</v>
      </c>
      <c r="B815" s="10" t="s">
        <v>71</v>
      </c>
      <c r="C815" s="10" t="s">
        <v>72</v>
      </c>
      <c r="D815" s="10" t="s">
        <v>196</v>
      </c>
      <c r="E815" s="10" t="s">
        <v>47</v>
      </c>
      <c r="F815" s="10" t="s">
        <v>711</v>
      </c>
      <c r="G815" s="10" t="s">
        <v>162</v>
      </c>
      <c r="H815" s="30" t="n">
        <v>42936</v>
      </c>
      <c r="I815" s="8" t="n">
        <f aca="false">INDEX(Parâmetros!$C$13:$C$19,MATCH(E815,Parâmetros!$A$13:$A$19,0))</f>
        <v>5482</v>
      </c>
      <c r="J815" s="26" t="n">
        <f aca="false">IF(H815="","",Parâmetros!$B$5-H815)</f>
        <v>164</v>
      </c>
      <c r="K815" s="10" t="n">
        <f aca="false">INDEX(Parâmetros!$D$13:$D$19,MATCH(E815,Parâmetros!$A$13:$A$19,0))</f>
        <v>45</v>
      </c>
      <c r="L815" s="10" t="n">
        <f aca="false">IF(G815="Prospecting",Parâmetros!$B$9,IF(J815&gt;Parâmetros!$B$6,0,INDEX(Parâmetros!$C$24:$C$26,MATCH(J815,Parâmetros!$A$24:$A$26,1))))</f>
        <v>0</v>
      </c>
      <c r="M815" s="31" t="n">
        <f aca="false">IF(G815="Prospecting",1,INDEX(Parâmetros!$C$32:$C$35,MATCH(J815,Parâmetros!$A$32:$A$35,1)))</f>
        <v>0.6</v>
      </c>
      <c r="N815" s="2" t="n">
        <f aca="false">ROUND((K815+L815)*M815,0)</f>
        <v>27</v>
      </c>
      <c r="O815" s="10" t="str">
        <f aca="false">IF(AND(G815="Engaging",J815&gt;Parâmetros!$B$6),"Sim","Não")</f>
        <v>Sim</v>
      </c>
      <c r="P815" s="32" t="str">
        <f aca="false">IF(O815="Sim","R",IF(N815&gt;=Parâmetros!$B$39,"A",IF(N815&gt;=Parâmetros!$B$40,"B",IF(N815&gt;=Parâmetros!$B$41,"C","D"))))</f>
        <v>R</v>
      </c>
      <c r="Q815" s="10" t="str">
        <f aca="false">IF(F815="","Completar cadastro","")</f>
        <v/>
      </c>
      <c r="R815" s="10" t="str">
        <f aca="false">INDEX(Parâmetros!$D$39:$D$43,MATCH(P815,Parâmetros!$A$39:$A$43,0))</f>
        <v>Reciclar: requalificar, reengajar ou encerrar</v>
      </c>
    </row>
    <row r="816" customFormat="false" ht="15" hidden="false" customHeight="false" outlineLevel="0" collapsed="false">
      <c r="A816" s="10" t="s">
        <v>1058</v>
      </c>
      <c r="B816" s="10" t="s">
        <v>71</v>
      </c>
      <c r="C816" s="10" t="s">
        <v>72</v>
      </c>
      <c r="D816" s="10" t="s">
        <v>196</v>
      </c>
      <c r="E816" s="10" t="s">
        <v>47</v>
      </c>
      <c r="F816" s="10" t="s">
        <v>168</v>
      </c>
      <c r="G816" s="10" t="s">
        <v>162</v>
      </c>
      <c r="H816" s="30" t="n">
        <v>42936</v>
      </c>
      <c r="I816" s="8" t="n">
        <f aca="false">INDEX(Parâmetros!$C$13:$C$19,MATCH(E816,Parâmetros!$A$13:$A$19,0))</f>
        <v>5482</v>
      </c>
      <c r="J816" s="26" t="n">
        <f aca="false">IF(H816="","",Parâmetros!$B$5-H816)</f>
        <v>164</v>
      </c>
      <c r="K816" s="10" t="n">
        <f aca="false">INDEX(Parâmetros!$D$13:$D$19,MATCH(E816,Parâmetros!$A$13:$A$19,0))</f>
        <v>45</v>
      </c>
      <c r="L816" s="10" t="n">
        <f aca="false">IF(G816="Prospecting",Parâmetros!$B$9,IF(J816&gt;Parâmetros!$B$6,0,INDEX(Parâmetros!$C$24:$C$26,MATCH(J816,Parâmetros!$A$24:$A$26,1))))</f>
        <v>0</v>
      </c>
      <c r="M816" s="31" t="n">
        <f aca="false">IF(G816="Prospecting",1,INDEX(Parâmetros!$C$32:$C$35,MATCH(J816,Parâmetros!$A$32:$A$35,1)))</f>
        <v>0.6</v>
      </c>
      <c r="N816" s="2" t="n">
        <f aca="false">ROUND((K816+L816)*M816,0)</f>
        <v>27</v>
      </c>
      <c r="O816" s="10" t="str">
        <f aca="false">IF(AND(G816="Engaging",J816&gt;Parâmetros!$B$6),"Sim","Não")</f>
        <v>Sim</v>
      </c>
      <c r="P816" s="32" t="str">
        <f aca="false">IF(O816="Sim","R",IF(N816&gt;=Parâmetros!$B$39,"A",IF(N816&gt;=Parâmetros!$B$40,"B",IF(N816&gt;=Parâmetros!$B$41,"C","D"))))</f>
        <v>R</v>
      </c>
      <c r="Q816" s="10" t="str">
        <f aca="false">IF(F816="","Completar cadastro","")</f>
        <v/>
      </c>
      <c r="R816" s="10" t="str">
        <f aca="false">INDEX(Parâmetros!$D$39:$D$43,MATCH(P816,Parâmetros!$A$39:$A$43,0))</f>
        <v>Reciclar: requalificar, reengajar ou encerrar</v>
      </c>
    </row>
    <row r="817" customFormat="false" ht="15" hidden="false" customHeight="false" outlineLevel="0" collapsed="false">
      <c r="A817" s="10" t="s">
        <v>1059</v>
      </c>
      <c r="B817" s="10" t="s">
        <v>75</v>
      </c>
      <c r="C817" s="10" t="s">
        <v>72</v>
      </c>
      <c r="D817" s="10" t="s">
        <v>196</v>
      </c>
      <c r="E817" s="10" t="s">
        <v>47</v>
      </c>
      <c r="F817" s="10" t="s">
        <v>388</v>
      </c>
      <c r="G817" s="10" t="s">
        <v>162</v>
      </c>
      <c r="H817" s="30" t="n">
        <v>42936</v>
      </c>
      <c r="I817" s="8" t="n">
        <f aca="false">INDEX(Parâmetros!$C$13:$C$19,MATCH(E817,Parâmetros!$A$13:$A$19,0))</f>
        <v>5482</v>
      </c>
      <c r="J817" s="26" t="n">
        <f aca="false">IF(H817="","",Parâmetros!$B$5-H817)</f>
        <v>164</v>
      </c>
      <c r="K817" s="10" t="n">
        <f aca="false">INDEX(Parâmetros!$D$13:$D$19,MATCH(E817,Parâmetros!$A$13:$A$19,0))</f>
        <v>45</v>
      </c>
      <c r="L817" s="10" t="n">
        <f aca="false">IF(G817="Prospecting",Parâmetros!$B$9,IF(J817&gt;Parâmetros!$B$6,0,INDEX(Parâmetros!$C$24:$C$26,MATCH(J817,Parâmetros!$A$24:$A$26,1))))</f>
        <v>0</v>
      </c>
      <c r="M817" s="31" t="n">
        <f aca="false">IF(G817="Prospecting",1,INDEX(Parâmetros!$C$32:$C$35,MATCH(J817,Parâmetros!$A$32:$A$35,1)))</f>
        <v>0.6</v>
      </c>
      <c r="N817" s="2" t="n">
        <f aca="false">ROUND((K817+L817)*M817,0)</f>
        <v>27</v>
      </c>
      <c r="O817" s="10" t="str">
        <f aca="false">IF(AND(G817="Engaging",J817&gt;Parâmetros!$B$6),"Sim","Não")</f>
        <v>Sim</v>
      </c>
      <c r="P817" s="32" t="str">
        <f aca="false">IF(O817="Sim","R",IF(N817&gt;=Parâmetros!$B$39,"A",IF(N817&gt;=Parâmetros!$B$40,"B",IF(N817&gt;=Parâmetros!$B$41,"C","D"))))</f>
        <v>R</v>
      </c>
      <c r="Q817" s="10" t="str">
        <f aca="false">IF(F817="","Completar cadastro","")</f>
        <v/>
      </c>
      <c r="R817" s="10" t="str">
        <f aca="false">INDEX(Parâmetros!$D$39:$D$43,MATCH(P817,Parâmetros!$A$39:$A$43,0))</f>
        <v>Reciclar: requalificar, reengajar ou encerrar</v>
      </c>
    </row>
    <row r="818" customFormat="false" ht="15" hidden="false" customHeight="false" outlineLevel="0" collapsed="false">
      <c r="A818" s="10" t="s">
        <v>1060</v>
      </c>
      <c r="B818" s="10" t="s">
        <v>83</v>
      </c>
      <c r="C818" s="10" t="s">
        <v>78</v>
      </c>
      <c r="D818" s="10" t="s">
        <v>196</v>
      </c>
      <c r="E818" s="10" t="s">
        <v>47</v>
      </c>
      <c r="F818" s="10" t="s">
        <v>506</v>
      </c>
      <c r="G818" s="10" t="s">
        <v>162</v>
      </c>
      <c r="H818" s="30" t="n">
        <v>42936</v>
      </c>
      <c r="I818" s="8" t="n">
        <f aca="false">INDEX(Parâmetros!$C$13:$C$19,MATCH(E818,Parâmetros!$A$13:$A$19,0))</f>
        <v>5482</v>
      </c>
      <c r="J818" s="26" t="n">
        <f aca="false">IF(H818="","",Parâmetros!$B$5-H818)</f>
        <v>164</v>
      </c>
      <c r="K818" s="10" t="n">
        <f aca="false">INDEX(Parâmetros!$D$13:$D$19,MATCH(E818,Parâmetros!$A$13:$A$19,0))</f>
        <v>45</v>
      </c>
      <c r="L818" s="10" t="n">
        <f aca="false">IF(G818="Prospecting",Parâmetros!$B$9,IF(J818&gt;Parâmetros!$B$6,0,INDEX(Parâmetros!$C$24:$C$26,MATCH(J818,Parâmetros!$A$24:$A$26,1))))</f>
        <v>0</v>
      </c>
      <c r="M818" s="31" t="n">
        <f aca="false">IF(G818="Prospecting",1,INDEX(Parâmetros!$C$32:$C$35,MATCH(J818,Parâmetros!$A$32:$A$35,1)))</f>
        <v>0.6</v>
      </c>
      <c r="N818" s="2" t="n">
        <f aca="false">ROUND((K818+L818)*M818,0)</f>
        <v>27</v>
      </c>
      <c r="O818" s="10" t="str">
        <f aca="false">IF(AND(G818="Engaging",J818&gt;Parâmetros!$B$6),"Sim","Não")</f>
        <v>Sim</v>
      </c>
      <c r="P818" s="32" t="str">
        <f aca="false">IF(O818="Sim","R",IF(N818&gt;=Parâmetros!$B$39,"A",IF(N818&gt;=Parâmetros!$B$40,"B",IF(N818&gt;=Parâmetros!$B$41,"C","D"))))</f>
        <v>R</v>
      </c>
      <c r="Q818" s="10" t="str">
        <f aca="false">IF(F818="","Completar cadastro","")</f>
        <v/>
      </c>
      <c r="R818" s="10" t="str">
        <f aca="false">INDEX(Parâmetros!$D$39:$D$43,MATCH(P818,Parâmetros!$A$39:$A$43,0))</f>
        <v>Reciclar: requalificar, reengajar ou encerrar</v>
      </c>
    </row>
    <row r="819" customFormat="false" ht="15" hidden="false" customHeight="false" outlineLevel="0" collapsed="false">
      <c r="A819" s="10" t="s">
        <v>1061</v>
      </c>
      <c r="B819" s="10" t="s">
        <v>81</v>
      </c>
      <c r="C819" s="10" t="s">
        <v>78</v>
      </c>
      <c r="D819" s="10" t="s">
        <v>196</v>
      </c>
      <c r="E819" s="10" t="s">
        <v>47</v>
      </c>
      <c r="F819" s="10" t="s">
        <v>464</v>
      </c>
      <c r="G819" s="10" t="s">
        <v>162</v>
      </c>
      <c r="H819" s="30" t="n">
        <v>42937</v>
      </c>
      <c r="I819" s="8" t="n">
        <f aca="false">INDEX(Parâmetros!$C$13:$C$19,MATCH(E819,Parâmetros!$A$13:$A$19,0))</f>
        <v>5482</v>
      </c>
      <c r="J819" s="26" t="n">
        <f aca="false">IF(H819="","",Parâmetros!$B$5-H819)</f>
        <v>163</v>
      </c>
      <c r="K819" s="10" t="n">
        <f aca="false">INDEX(Parâmetros!$D$13:$D$19,MATCH(E819,Parâmetros!$A$13:$A$19,0))</f>
        <v>45</v>
      </c>
      <c r="L819" s="10" t="n">
        <f aca="false">IF(G819="Prospecting",Parâmetros!$B$9,IF(J819&gt;Parâmetros!$B$6,0,INDEX(Parâmetros!$C$24:$C$26,MATCH(J819,Parâmetros!$A$24:$A$26,1))))</f>
        <v>0</v>
      </c>
      <c r="M819" s="31" t="n">
        <f aca="false">IF(G819="Prospecting",1,INDEX(Parâmetros!$C$32:$C$35,MATCH(J819,Parâmetros!$A$32:$A$35,1)))</f>
        <v>0.6</v>
      </c>
      <c r="N819" s="2" t="n">
        <f aca="false">ROUND((K819+L819)*M819,0)</f>
        <v>27</v>
      </c>
      <c r="O819" s="10" t="str">
        <f aca="false">IF(AND(G819="Engaging",J819&gt;Parâmetros!$B$6),"Sim","Não")</f>
        <v>Sim</v>
      </c>
      <c r="P819" s="32" t="str">
        <f aca="false">IF(O819="Sim","R",IF(N819&gt;=Parâmetros!$B$39,"A",IF(N819&gt;=Parâmetros!$B$40,"B",IF(N819&gt;=Parâmetros!$B$41,"C","D"))))</f>
        <v>R</v>
      </c>
      <c r="Q819" s="10" t="str">
        <f aca="false">IF(F819="","Completar cadastro","")</f>
        <v/>
      </c>
      <c r="R819" s="10" t="str">
        <f aca="false">INDEX(Parâmetros!$D$39:$D$43,MATCH(P819,Parâmetros!$A$39:$A$43,0))</f>
        <v>Reciclar: requalificar, reengajar ou encerrar</v>
      </c>
    </row>
    <row r="820" customFormat="false" ht="15" hidden="false" customHeight="false" outlineLevel="0" collapsed="false">
      <c r="A820" s="10" t="s">
        <v>1062</v>
      </c>
      <c r="B820" s="10" t="s">
        <v>76</v>
      </c>
      <c r="C820" s="10" t="s">
        <v>72</v>
      </c>
      <c r="D820" s="10" t="s">
        <v>196</v>
      </c>
      <c r="E820" s="10" t="s">
        <v>47</v>
      </c>
      <c r="F820" s="10"/>
      <c r="G820" s="10" t="s">
        <v>162</v>
      </c>
      <c r="H820" s="30" t="n">
        <v>42937</v>
      </c>
      <c r="I820" s="8" t="n">
        <f aca="false">INDEX(Parâmetros!$C$13:$C$19,MATCH(E820,Parâmetros!$A$13:$A$19,0))</f>
        <v>5482</v>
      </c>
      <c r="J820" s="26" t="n">
        <f aca="false">IF(H820="","",Parâmetros!$B$5-H820)</f>
        <v>163</v>
      </c>
      <c r="K820" s="10" t="n">
        <f aca="false">INDEX(Parâmetros!$D$13:$D$19,MATCH(E820,Parâmetros!$A$13:$A$19,0))</f>
        <v>45</v>
      </c>
      <c r="L820" s="10" t="n">
        <f aca="false">IF(G820="Prospecting",Parâmetros!$B$9,IF(J820&gt;Parâmetros!$B$6,0,INDEX(Parâmetros!$C$24:$C$26,MATCH(J820,Parâmetros!$A$24:$A$26,1))))</f>
        <v>0</v>
      </c>
      <c r="M820" s="31" t="n">
        <f aca="false">IF(G820="Prospecting",1,INDEX(Parâmetros!$C$32:$C$35,MATCH(J820,Parâmetros!$A$32:$A$35,1)))</f>
        <v>0.6</v>
      </c>
      <c r="N820" s="2" t="n">
        <f aca="false">ROUND((K820+L820)*M820,0)</f>
        <v>27</v>
      </c>
      <c r="O820" s="10" t="str">
        <f aca="false">IF(AND(G820="Engaging",J820&gt;Parâmetros!$B$6),"Sim","Não")</f>
        <v>Sim</v>
      </c>
      <c r="P820" s="32" t="str">
        <f aca="false">IF(O820="Sim","R",IF(N820&gt;=Parâmetros!$B$39,"A",IF(N820&gt;=Parâmetros!$B$40,"B",IF(N820&gt;=Parâmetros!$B$41,"C","D"))))</f>
        <v>R</v>
      </c>
      <c r="Q820" s="10" t="str">
        <f aca="false">IF(F820="","Completar cadastro","")</f>
        <v>Completar cadastro</v>
      </c>
      <c r="R820" s="10" t="str">
        <f aca="false">INDEX(Parâmetros!$D$39:$D$43,MATCH(P820,Parâmetros!$A$39:$A$43,0))</f>
        <v>Reciclar: requalificar, reengajar ou encerrar</v>
      </c>
    </row>
    <row r="821" customFormat="false" ht="15" hidden="false" customHeight="false" outlineLevel="0" collapsed="false">
      <c r="A821" s="10" t="s">
        <v>1063</v>
      </c>
      <c r="B821" s="10" t="s">
        <v>71</v>
      </c>
      <c r="C821" s="10" t="s">
        <v>72</v>
      </c>
      <c r="D821" s="10" t="s">
        <v>196</v>
      </c>
      <c r="E821" s="10" t="s">
        <v>47</v>
      </c>
      <c r="F821" s="10"/>
      <c r="G821" s="10" t="s">
        <v>162</v>
      </c>
      <c r="H821" s="30" t="n">
        <v>42938</v>
      </c>
      <c r="I821" s="8" t="n">
        <f aca="false">INDEX(Parâmetros!$C$13:$C$19,MATCH(E821,Parâmetros!$A$13:$A$19,0))</f>
        <v>5482</v>
      </c>
      <c r="J821" s="26" t="n">
        <f aca="false">IF(H821="","",Parâmetros!$B$5-H821)</f>
        <v>162</v>
      </c>
      <c r="K821" s="10" t="n">
        <f aca="false">INDEX(Parâmetros!$D$13:$D$19,MATCH(E821,Parâmetros!$A$13:$A$19,0))</f>
        <v>45</v>
      </c>
      <c r="L821" s="10" t="n">
        <f aca="false">IF(G821="Prospecting",Parâmetros!$B$9,IF(J821&gt;Parâmetros!$B$6,0,INDEX(Parâmetros!$C$24:$C$26,MATCH(J821,Parâmetros!$A$24:$A$26,1))))</f>
        <v>0</v>
      </c>
      <c r="M821" s="31" t="n">
        <f aca="false">IF(G821="Prospecting",1,INDEX(Parâmetros!$C$32:$C$35,MATCH(J821,Parâmetros!$A$32:$A$35,1)))</f>
        <v>0.6</v>
      </c>
      <c r="N821" s="2" t="n">
        <f aca="false">ROUND((K821+L821)*M821,0)</f>
        <v>27</v>
      </c>
      <c r="O821" s="10" t="str">
        <f aca="false">IF(AND(G821="Engaging",J821&gt;Parâmetros!$B$6),"Sim","Não")</f>
        <v>Sim</v>
      </c>
      <c r="P821" s="32" t="str">
        <f aca="false">IF(O821="Sim","R",IF(N821&gt;=Parâmetros!$B$39,"A",IF(N821&gt;=Parâmetros!$B$40,"B",IF(N821&gt;=Parâmetros!$B$41,"C","D"))))</f>
        <v>R</v>
      </c>
      <c r="Q821" s="10" t="str">
        <f aca="false">IF(F821="","Completar cadastro","")</f>
        <v>Completar cadastro</v>
      </c>
      <c r="R821" s="10" t="str">
        <f aca="false">INDEX(Parâmetros!$D$39:$D$43,MATCH(P821,Parâmetros!$A$39:$A$43,0))</f>
        <v>Reciclar: requalificar, reengajar ou encerrar</v>
      </c>
    </row>
    <row r="822" customFormat="false" ht="15" hidden="false" customHeight="false" outlineLevel="0" collapsed="false">
      <c r="A822" s="10" t="s">
        <v>1064</v>
      </c>
      <c r="B822" s="10" t="s">
        <v>74</v>
      </c>
      <c r="C822" s="10" t="s">
        <v>72</v>
      </c>
      <c r="D822" s="10" t="s">
        <v>196</v>
      </c>
      <c r="E822" s="10" t="s">
        <v>47</v>
      </c>
      <c r="F822" s="10"/>
      <c r="G822" s="10" t="s">
        <v>162</v>
      </c>
      <c r="H822" s="30" t="n">
        <v>42938</v>
      </c>
      <c r="I822" s="8" t="n">
        <f aca="false">INDEX(Parâmetros!$C$13:$C$19,MATCH(E822,Parâmetros!$A$13:$A$19,0))</f>
        <v>5482</v>
      </c>
      <c r="J822" s="26" t="n">
        <f aca="false">IF(H822="","",Parâmetros!$B$5-H822)</f>
        <v>162</v>
      </c>
      <c r="K822" s="10" t="n">
        <f aca="false">INDEX(Parâmetros!$D$13:$D$19,MATCH(E822,Parâmetros!$A$13:$A$19,0))</f>
        <v>45</v>
      </c>
      <c r="L822" s="10" t="n">
        <f aca="false">IF(G822="Prospecting",Parâmetros!$B$9,IF(J822&gt;Parâmetros!$B$6,0,INDEX(Parâmetros!$C$24:$C$26,MATCH(J822,Parâmetros!$A$24:$A$26,1))))</f>
        <v>0</v>
      </c>
      <c r="M822" s="31" t="n">
        <f aca="false">IF(G822="Prospecting",1,INDEX(Parâmetros!$C$32:$C$35,MATCH(J822,Parâmetros!$A$32:$A$35,1)))</f>
        <v>0.6</v>
      </c>
      <c r="N822" s="2" t="n">
        <f aca="false">ROUND((K822+L822)*M822,0)</f>
        <v>27</v>
      </c>
      <c r="O822" s="10" t="str">
        <f aca="false">IF(AND(G822="Engaging",J822&gt;Parâmetros!$B$6),"Sim","Não")</f>
        <v>Sim</v>
      </c>
      <c r="P822" s="32" t="str">
        <f aca="false">IF(O822="Sim","R",IF(N822&gt;=Parâmetros!$B$39,"A",IF(N822&gt;=Parâmetros!$B$40,"B",IF(N822&gt;=Parâmetros!$B$41,"C","D"))))</f>
        <v>R</v>
      </c>
      <c r="Q822" s="10" t="str">
        <f aca="false">IF(F822="","Completar cadastro","")</f>
        <v>Completar cadastro</v>
      </c>
      <c r="R822" s="10" t="str">
        <f aca="false">INDEX(Parâmetros!$D$39:$D$43,MATCH(P822,Parâmetros!$A$39:$A$43,0))</f>
        <v>Reciclar: requalificar, reengajar ou encerrar</v>
      </c>
    </row>
    <row r="823" customFormat="false" ht="15" hidden="false" customHeight="false" outlineLevel="0" collapsed="false">
      <c r="A823" s="10" t="s">
        <v>1065</v>
      </c>
      <c r="B823" s="10" t="s">
        <v>86</v>
      </c>
      <c r="C823" s="10" t="s">
        <v>85</v>
      </c>
      <c r="D823" s="10" t="s">
        <v>165</v>
      </c>
      <c r="E823" s="10" t="s">
        <v>47</v>
      </c>
      <c r="F823" s="10"/>
      <c r="G823" s="10" t="s">
        <v>162</v>
      </c>
      <c r="H823" s="30" t="n">
        <v>42939</v>
      </c>
      <c r="I823" s="8" t="n">
        <f aca="false">INDEX(Parâmetros!$C$13:$C$19,MATCH(E823,Parâmetros!$A$13:$A$19,0))</f>
        <v>5482</v>
      </c>
      <c r="J823" s="26" t="n">
        <f aca="false">IF(H823="","",Parâmetros!$B$5-H823)</f>
        <v>161</v>
      </c>
      <c r="K823" s="10" t="n">
        <f aca="false">INDEX(Parâmetros!$D$13:$D$19,MATCH(E823,Parâmetros!$A$13:$A$19,0))</f>
        <v>45</v>
      </c>
      <c r="L823" s="10" t="n">
        <f aca="false">IF(G823="Prospecting",Parâmetros!$B$9,IF(J823&gt;Parâmetros!$B$6,0,INDEX(Parâmetros!$C$24:$C$26,MATCH(J823,Parâmetros!$A$24:$A$26,1))))</f>
        <v>0</v>
      </c>
      <c r="M823" s="31" t="n">
        <f aca="false">IF(G823="Prospecting",1,INDEX(Parâmetros!$C$32:$C$35,MATCH(J823,Parâmetros!$A$32:$A$35,1)))</f>
        <v>0.6</v>
      </c>
      <c r="N823" s="2" t="n">
        <f aca="false">ROUND((K823+L823)*M823,0)</f>
        <v>27</v>
      </c>
      <c r="O823" s="10" t="str">
        <f aca="false">IF(AND(G823="Engaging",J823&gt;Parâmetros!$B$6),"Sim","Não")</f>
        <v>Sim</v>
      </c>
      <c r="P823" s="32" t="str">
        <f aca="false">IF(O823="Sim","R",IF(N823&gt;=Parâmetros!$B$39,"A",IF(N823&gt;=Parâmetros!$B$40,"B",IF(N823&gt;=Parâmetros!$B$41,"C","D"))))</f>
        <v>R</v>
      </c>
      <c r="Q823" s="10" t="str">
        <f aca="false">IF(F823="","Completar cadastro","")</f>
        <v>Completar cadastro</v>
      </c>
      <c r="R823" s="10" t="str">
        <f aca="false">INDEX(Parâmetros!$D$39:$D$43,MATCH(P823,Parâmetros!$A$39:$A$43,0))</f>
        <v>Reciclar: requalificar, reengajar ou encerrar</v>
      </c>
    </row>
    <row r="824" customFormat="false" ht="15" hidden="false" customHeight="false" outlineLevel="0" collapsed="false">
      <c r="A824" s="10" t="s">
        <v>1066</v>
      </c>
      <c r="B824" s="10" t="s">
        <v>71</v>
      </c>
      <c r="C824" s="10" t="s">
        <v>72</v>
      </c>
      <c r="D824" s="10" t="s">
        <v>196</v>
      </c>
      <c r="E824" s="10" t="s">
        <v>47</v>
      </c>
      <c r="F824" s="10" t="s">
        <v>396</v>
      </c>
      <c r="G824" s="10" t="s">
        <v>162</v>
      </c>
      <c r="H824" s="30" t="n">
        <v>42940</v>
      </c>
      <c r="I824" s="8" t="n">
        <f aca="false">INDEX(Parâmetros!$C$13:$C$19,MATCH(E824,Parâmetros!$A$13:$A$19,0))</f>
        <v>5482</v>
      </c>
      <c r="J824" s="26" t="n">
        <f aca="false">IF(H824="","",Parâmetros!$B$5-H824)</f>
        <v>160</v>
      </c>
      <c r="K824" s="10" t="n">
        <f aca="false">INDEX(Parâmetros!$D$13:$D$19,MATCH(E824,Parâmetros!$A$13:$A$19,0))</f>
        <v>45</v>
      </c>
      <c r="L824" s="10" t="n">
        <f aca="false">IF(G824="Prospecting",Parâmetros!$B$9,IF(J824&gt;Parâmetros!$B$6,0,INDEX(Parâmetros!$C$24:$C$26,MATCH(J824,Parâmetros!$A$24:$A$26,1))))</f>
        <v>0</v>
      </c>
      <c r="M824" s="31" t="n">
        <f aca="false">IF(G824="Prospecting",1,INDEX(Parâmetros!$C$32:$C$35,MATCH(J824,Parâmetros!$A$32:$A$35,1)))</f>
        <v>0.6</v>
      </c>
      <c r="N824" s="2" t="n">
        <f aca="false">ROUND((K824+L824)*M824,0)</f>
        <v>27</v>
      </c>
      <c r="O824" s="10" t="str">
        <f aca="false">IF(AND(G824="Engaging",J824&gt;Parâmetros!$B$6),"Sim","Não")</f>
        <v>Sim</v>
      </c>
      <c r="P824" s="32" t="str">
        <f aca="false">IF(O824="Sim","R",IF(N824&gt;=Parâmetros!$B$39,"A",IF(N824&gt;=Parâmetros!$B$40,"B",IF(N824&gt;=Parâmetros!$B$41,"C","D"))))</f>
        <v>R</v>
      </c>
      <c r="Q824" s="10" t="str">
        <f aca="false">IF(F824="","Completar cadastro","")</f>
        <v/>
      </c>
      <c r="R824" s="10" t="str">
        <f aca="false">INDEX(Parâmetros!$D$39:$D$43,MATCH(P824,Parâmetros!$A$39:$A$43,0))</f>
        <v>Reciclar: requalificar, reengajar ou encerrar</v>
      </c>
    </row>
    <row r="825" customFormat="false" ht="15" hidden="false" customHeight="false" outlineLevel="0" collapsed="false">
      <c r="A825" s="10" t="s">
        <v>1067</v>
      </c>
      <c r="B825" s="10" t="s">
        <v>71</v>
      </c>
      <c r="C825" s="10" t="s">
        <v>72</v>
      </c>
      <c r="D825" s="10" t="s">
        <v>196</v>
      </c>
      <c r="E825" s="10" t="s">
        <v>47</v>
      </c>
      <c r="F825" s="10"/>
      <c r="G825" s="10" t="s">
        <v>162</v>
      </c>
      <c r="H825" s="30" t="n">
        <v>42940</v>
      </c>
      <c r="I825" s="8" t="n">
        <f aca="false">INDEX(Parâmetros!$C$13:$C$19,MATCH(E825,Parâmetros!$A$13:$A$19,0))</f>
        <v>5482</v>
      </c>
      <c r="J825" s="26" t="n">
        <f aca="false">IF(H825="","",Parâmetros!$B$5-H825)</f>
        <v>160</v>
      </c>
      <c r="K825" s="10" t="n">
        <f aca="false">INDEX(Parâmetros!$D$13:$D$19,MATCH(E825,Parâmetros!$A$13:$A$19,0))</f>
        <v>45</v>
      </c>
      <c r="L825" s="10" t="n">
        <f aca="false">IF(G825="Prospecting",Parâmetros!$B$9,IF(J825&gt;Parâmetros!$B$6,0,INDEX(Parâmetros!$C$24:$C$26,MATCH(J825,Parâmetros!$A$24:$A$26,1))))</f>
        <v>0</v>
      </c>
      <c r="M825" s="31" t="n">
        <f aca="false">IF(G825="Prospecting",1,INDEX(Parâmetros!$C$32:$C$35,MATCH(J825,Parâmetros!$A$32:$A$35,1)))</f>
        <v>0.6</v>
      </c>
      <c r="N825" s="2" t="n">
        <f aca="false">ROUND((K825+L825)*M825,0)</f>
        <v>27</v>
      </c>
      <c r="O825" s="10" t="str">
        <f aca="false">IF(AND(G825="Engaging",J825&gt;Parâmetros!$B$6),"Sim","Não")</f>
        <v>Sim</v>
      </c>
      <c r="P825" s="32" t="str">
        <f aca="false">IF(O825="Sim","R",IF(N825&gt;=Parâmetros!$B$39,"A",IF(N825&gt;=Parâmetros!$B$40,"B",IF(N825&gt;=Parâmetros!$B$41,"C","D"))))</f>
        <v>R</v>
      </c>
      <c r="Q825" s="10" t="str">
        <f aca="false">IF(F825="","Completar cadastro","")</f>
        <v>Completar cadastro</v>
      </c>
      <c r="R825" s="10" t="str">
        <f aca="false">INDEX(Parâmetros!$D$39:$D$43,MATCH(P825,Parâmetros!$A$39:$A$43,0))</f>
        <v>Reciclar: requalificar, reengajar ou encerrar</v>
      </c>
    </row>
    <row r="826" customFormat="false" ht="15" hidden="false" customHeight="false" outlineLevel="0" collapsed="false">
      <c r="A826" s="10" t="s">
        <v>1068</v>
      </c>
      <c r="B826" s="10" t="s">
        <v>79</v>
      </c>
      <c r="C826" s="10" t="s">
        <v>78</v>
      </c>
      <c r="D826" s="10" t="s">
        <v>196</v>
      </c>
      <c r="E826" s="10" t="s">
        <v>47</v>
      </c>
      <c r="F826" s="10" t="s">
        <v>326</v>
      </c>
      <c r="G826" s="10" t="s">
        <v>162</v>
      </c>
      <c r="H826" s="30" t="n">
        <v>42940</v>
      </c>
      <c r="I826" s="8" t="n">
        <f aca="false">INDEX(Parâmetros!$C$13:$C$19,MATCH(E826,Parâmetros!$A$13:$A$19,0))</f>
        <v>5482</v>
      </c>
      <c r="J826" s="26" t="n">
        <f aca="false">IF(H826="","",Parâmetros!$B$5-H826)</f>
        <v>160</v>
      </c>
      <c r="K826" s="10" t="n">
        <f aca="false">INDEX(Parâmetros!$D$13:$D$19,MATCH(E826,Parâmetros!$A$13:$A$19,0))</f>
        <v>45</v>
      </c>
      <c r="L826" s="10" t="n">
        <f aca="false">IF(G826="Prospecting",Parâmetros!$B$9,IF(J826&gt;Parâmetros!$B$6,0,INDEX(Parâmetros!$C$24:$C$26,MATCH(J826,Parâmetros!$A$24:$A$26,1))))</f>
        <v>0</v>
      </c>
      <c r="M826" s="31" t="n">
        <f aca="false">IF(G826="Prospecting",1,INDEX(Parâmetros!$C$32:$C$35,MATCH(J826,Parâmetros!$A$32:$A$35,1)))</f>
        <v>0.6</v>
      </c>
      <c r="N826" s="2" t="n">
        <f aca="false">ROUND((K826+L826)*M826,0)</f>
        <v>27</v>
      </c>
      <c r="O826" s="10" t="str">
        <f aca="false">IF(AND(G826="Engaging",J826&gt;Parâmetros!$B$6),"Sim","Não")</f>
        <v>Sim</v>
      </c>
      <c r="P826" s="32" t="str">
        <f aca="false">IF(O826="Sim","R",IF(N826&gt;=Parâmetros!$B$39,"A",IF(N826&gt;=Parâmetros!$B$40,"B",IF(N826&gt;=Parâmetros!$B$41,"C","D"))))</f>
        <v>R</v>
      </c>
      <c r="Q826" s="10" t="str">
        <f aca="false">IF(F826="","Completar cadastro","")</f>
        <v/>
      </c>
      <c r="R826" s="10" t="str">
        <f aca="false">INDEX(Parâmetros!$D$39:$D$43,MATCH(P826,Parâmetros!$A$39:$A$43,0))</f>
        <v>Reciclar: requalificar, reengajar ou encerrar</v>
      </c>
    </row>
    <row r="827" customFormat="false" ht="15" hidden="false" customHeight="false" outlineLevel="0" collapsed="false">
      <c r="A827" s="10" t="s">
        <v>1069</v>
      </c>
      <c r="B827" s="10" t="s">
        <v>81</v>
      </c>
      <c r="C827" s="10" t="s">
        <v>78</v>
      </c>
      <c r="D827" s="10" t="s">
        <v>196</v>
      </c>
      <c r="E827" s="10" t="s">
        <v>47</v>
      </c>
      <c r="F827" s="10"/>
      <c r="G827" s="10" t="s">
        <v>162</v>
      </c>
      <c r="H827" s="30" t="n">
        <v>42941</v>
      </c>
      <c r="I827" s="8" t="n">
        <f aca="false">INDEX(Parâmetros!$C$13:$C$19,MATCH(E827,Parâmetros!$A$13:$A$19,0))</f>
        <v>5482</v>
      </c>
      <c r="J827" s="26" t="n">
        <f aca="false">IF(H827="","",Parâmetros!$B$5-H827)</f>
        <v>159</v>
      </c>
      <c r="K827" s="10" t="n">
        <f aca="false">INDEX(Parâmetros!$D$13:$D$19,MATCH(E827,Parâmetros!$A$13:$A$19,0))</f>
        <v>45</v>
      </c>
      <c r="L827" s="10" t="n">
        <f aca="false">IF(G827="Prospecting",Parâmetros!$B$9,IF(J827&gt;Parâmetros!$B$6,0,INDEX(Parâmetros!$C$24:$C$26,MATCH(J827,Parâmetros!$A$24:$A$26,1))))</f>
        <v>0</v>
      </c>
      <c r="M827" s="31" t="n">
        <f aca="false">IF(G827="Prospecting",1,INDEX(Parâmetros!$C$32:$C$35,MATCH(J827,Parâmetros!$A$32:$A$35,1)))</f>
        <v>0.6</v>
      </c>
      <c r="N827" s="2" t="n">
        <f aca="false">ROUND((K827+L827)*M827,0)</f>
        <v>27</v>
      </c>
      <c r="O827" s="10" t="str">
        <f aca="false">IF(AND(G827="Engaging",J827&gt;Parâmetros!$B$6),"Sim","Não")</f>
        <v>Sim</v>
      </c>
      <c r="P827" s="32" t="str">
        <f aca="false">IF(O827="Sim","R",IF(N827&gt;=Parâmetros!$B$39,"A",IF(N827&gt;=Parâmetros!$B$40,"B",IF(N827&gt;=Parâmetros!$B$41,"C","D"))))</f>
        <v>R</v>
      </c>
      <c r="Q827" s="10" t="str">
        <f aca="false">IF(F827="","Completar cadastro","")</f>
        <v>Completar cadastro</v>
      </c>
      <c r="R827" s="10" t="str">
        <f aca="false">INDEX(Parâmetros!$D$39:$D$43,MATCH(P827,Parâmetros!$A$39:$A$43,0))</f>
        <v>Reciclar: requalificar, reengajar ou encerrar</v>
      </c>
    </row>
    <row r="828" customFormat="false" ht="15" hidden="false" customHeight="false" outlineLevel="0" collapsed="false">
      <c r="A828" s="10" t="s">
        <v>1070</v>
      </c>
      <c r="B828" s="10" t="s">
        <v>77</v>
      </c>
      <c r="C828" s="10" t="s">
        <v>78</v>
      </c>
      <c r="D828" s="10" t="s">
        <v>196</v>
      </c>
      <c r="E828" s="10" t="s">
        <v>47</v>
      </c>
      <c r="F828" s="10" t="s">
        <v>291</v>
      </c>
      <c r="G828" s="10" t="s">
        <v>162</v>
      </c>
      <c r="H828" s="30" t="n">
        <v>42942</v>
      </c>
      <c r="I828" s="8" t="n">
        <f aca="false">INDEX(Parâmetros!$C$13:$C$19,MATCH(E828,Parâmetros!$A$13:$A$19,0))</f>
        <v>5482</v>
      </c>
      <c r="J828" s="26" t="n">
        <f aca="false">IF(H828="","",Parâmetros!$B$5-H828)</f>
        <v>158</v>
      </c>
      <c r="K828" s="10" t="n">
        <f aca="false">INDEX(Parâmetros!$D$13:$D$19,MATCH(E828,Parâmetros!$A$13:$A$19,0))</f>
        <v>45</v>
      </c>
      <c r="L828" s="10" t="n">
        <f aca="false">IF(G828="Prospecting",Parâmetros!$B$9,IF(J828&gt;Parâmetros!$B$6,0,INDEX(Parâmetros!$C$24:$C$26,MATCH(J828,Parâmetros!$A$24:$A$26,1))))</f>
        <v>0</v>
      </c>
      <c r="M828" s="31" t="n">
        <f aca="false">IF(G828="Prospecting",1,INDEX(Parâmetros!$C$32:$C$35,MATCH(J828,Parâmetros!$A$32:$A$35,1)))</f>
        <v>0.6</v>
      </c>
      <c r="N828" s="2" t="n">
        <f aca="false">ROUND((K828+L828)*M828,0)</f>
        <v>27</v>
      </c>
      <c r="O828" s="10" t="str">
        <f aca="false">IF(AND(G828="Engaging",J828&gt;Parâmetros!$B$6),"Sim","Não")</f>
        <v>Sim</v>
      </c>
      <c r="P828" s="32" t="str">
        <f aca="false">IF(O828="Sim","R",IF(N828&gt;=Parâmetros!$B$39,"A",IF(N828&gt;=Parâmetros!$B$40,"B",IF(N828&gt;=Parâmetros!$B$41,"C","D"))))</f>
        <v>R</v>
      </c>
      <c r="Q828" s="10" t="str">
        <f aca="false">IF(F828="","Completar cadastro","")</f>
        <v/>
      </c>
      <c r="R828" s="10" t="str">
        <f aca="false">INDEX(Parâmetros!$D$39:$D$43,MATCH(P828,Parâmetros!$A$39:$A$43,0))</f>
        <v>Reciclar: requalificar, reengajar ou encerrar</v>
      </c>
    </row>
    <row r="829" customFormat="false" ht="15" hidden="false" customHeight="false" outlineLevel="0" collapsed="false">
      <c r="A829" s="10" t="s">
        <v>1071</v>
      </c>
      <c r="B829" s="10" t="s">
        <v>95</v>
      </c>
      <c r="C829" s="10" t="s">
        <v>92</v>
      </c>
      <c r="D829" s="10" t="s">
        <v>160</v>
      </c>
      <c r="E829" s="10" t="s">
        <v>47</v>
      </c>
      <c r="F829" s="10"/>
      <c r="G829" s="10" t="s">
        <v>162</v>
      </c>
      <c r="H829" s="30" t="n">
        <v>42942</v>
      </c>
      <c r="I829" s="8" t="n">
        <f aca="false">INDEX(Parâmetros!$C$13:$C$19,MATCH(E829,Parâmetros!$A$13:$A$19,0))</f>
        <v>5482</v>
      </c>
      <c r="J829" s="26" t="n">
        <f aca="false">IF(H829="","",Parâmetros!$B$5-H829)</f>
        <v>158</v>
      </c>
      <c r="K829" s="10" t="n">
        <f aca="false">INDEX(Parâmetros!$D$13:$D$19,MATCH(E829,Parâmetros!$A$13:$A$19,0))</f>
        <v>45</v>
      </c>
      <c r="L829" s="10" t="n">
        <f aca="false">IF(G829="Prospecting",Parâmetros!$B$9,IF(J829&gt;Parâmetros!$B$6,0,INDEX(Parâmetros!$C$24:$C$26,MATCH(J829,Parâmetros!$A$24:$A$26,1))))</f>
        <v>0</v>
      </c>
      <c r="M829" s="31" t="n">
        <f aca="false">IF(G829="Prospecting",1,INDEX(Parâmetros!$C$32:$C$35,MATCH(J829,Parâmetros!$A$32:$A$35,1)))</f>
        <v>0.6</v>
      </c>
      <c r="N829" s="2" t="n">
        <f aca="false">ROUND((K829+L829)*M829,0)</f>
        <v>27</v>
      </c>
      <c r="O829" s="10" t="str">
        <f aca="false">IF(AND(G829="Engaging",J829&gt;Parâmetros!$B$6),"Sim","Não")</f>
        <v>Sim</v>
      </c>
      <c r="P829" s="32" t="str">
        <f aca="false">IF(O829="Sim","R",IF(N829&gt;=Parâmetros!$B$39,"A",IF(N829&gt;=Parâmetros!$B$40,"B",IF(N829&gt;=Parâmetros!$B$41,"C","D"))))</f>
        <v>R</v>
      </c>
      <c r="Q829" s="10" t="str">
        <f aca="false">IF(F829="","Completar cadastro","")</f>
        <v>Completar cadastro</v>
      </c>
      <c r="R829" s="10" t="str">
        <f aca="false">INDEX(Parâmetros!$D$39:$D$43,MATCH(P829,Parâmetros!$A$39:$A$43,0))</f>
        <v>Reciclar: requalificar, reengajar ou encerrar</v>
      </c>
    </row>
    <row r="830" customFormat="false" ht="15" hidden="false" customHeight="false" outlineLevel="0" collapsed="false">
      <c r="A830" s="10" t="s">
        <v>1072</v>
      </c>
      <c r="B830" s="10" t="s">
        <v>74</v>
      </c>
      <c r="C830" s="10" t="s">
        <v>72</v>
      </c>
      <c r="D830" s="10" t="s">
        <v>196</v>
      </c>
      <c r="E830" s="10" t="s">
        <v>47</v>
      </c>
      <c r="F830" s="10"/>
      <c r="G830" s="10" t="s">
        <v>162</v>
      </c>
      <c r="H830" s="30" t="n">
        <v>42942</v>
      </c>
      <c r="I830" s="8" t="n">
        <f aca="false">INDEX(Parâmetros!$C$13:$C$19,MATCH(E830,Parâmetros!$A$13:$A$19,0))</f>
        <v>5482</v>
      </c>
      <c r="J830" s="26" t="n">
        <f aca="false">IF(H830="","",Parâmetros!$B$5-H830)</f>
        <v>158</v>
      </c>
      <c r="K830" s="10" t="n">
        <f aca="false">INDEX(Parâmetros!$D$13:$D$19,MATCH(E830,Parâmetros!$A$13:$A$19,0))</f>
        <v>45</v>
      </c>
      <c r="L830" s="10" t="n">
        <f aca="false">IF(G830="Prospecting",Parâmetros!$B$9,IF(J830&gt;Parâmetros!$B$6,0,INDEX(Parâmetros!$C$24:$C$26,MATCH(J830,Parâmetros!$A$24:$A$26,1))))</f>
        <v>0</v>
      </c>
      <c r="M830" s="31" t="n">
        <f aca="false">IF(G830="Prospecting",1,INDEX(Parâmetros!$C$32:$C$35,MATCH(J830,Parâmetros!$A$32:$A$35,1)))</f>
        <v>0.6</v>
      </c>
      <c r="N830" s="2" t="n">
        <f aca="false">ROUND((K830+L830)*M830,0)</f>
        <v>27</v>
      </c>
      <c r="O830" s="10" t="str">
        <f aca="false">IF(AND(G830="Engaging",J830&gt;Parâmetros!$B$6),"Sim","Não")</f>
        <v>Sim</v>
      </c>
      <c r="P830" s="32" t="str">
        <f aca="false">IF(O830="Sim","R",IF(N830&gt;=Parâmetros!$B$39,"A",IF(N830&gt;=Parâmetros!$B$40,"B",IF(N830&gt;=Parâmetros!$B$41,"C","D"))))</f>
        <v>R</v>
      </c>
      <c r="Q830" s="10" t="str">
        <f aca="false">IF(F830="","Completar cadastro","")</f>
        <v>Completar cadastro</v>
      </c>
      <c r="R830" s="10" t="str">
        <f aca="false">INDEX(Parâmetros!$D$39:$D$43,MATCH(P830,Parâmetros!$A$39:$A$43,0))</f>
        <v>Reciclar: requalificar, reengajar ou encerrar</v>
      </c>
    </row>
    <row r="831" customFormat="false" ht="15" hidden="false" customHeight="false" outlineLevel="0" collapsed="false">
      <c r="A831" s="10" t="s">
        <v>1073</v>
      </c>
      <c r="B831" s="10" t="s">
        <v>71</v>
      </c>
      <c r="C831" s="10" t="s">
        <v>72</v>
      </c>
      <c r="D831" s="10" t="s">
        <v>196</v>
      </c>
      <c r="E831" s="10" t="s">
        <v>47</v>
      </c>
      <c r="F831" s="10"/>
      <c r="G831" s="10" t="s">
        <v>162</v>
      </c>
      <c r="H831" s="30" t="n">
        <v>42943</v>
      </c>
      <c r="I831" s="8" t="n">
        <f aca="false">INDEX(Parâmetros!$C$13:$C$19,MATCH(E831,Parâmetros!$A$13:$A$19,0))</f>
        <v>5482</v>
      </c>
      <c r="J831" s="26" t="n">
        <f aca="false">IF(H831="","",Parâmetros!$B$5-H831)</f>
        <v>157</v>
      </c>
      <c r="K831" s="10" t="n">
        <f aca="false">INDEX(Parâmetros!$D$13:$D$19,MATCH(E831,Parâmetros!$A$13:$A$19,0))</f>
        <v>45</v>
      </c>
      <c r="L831" s="10" t="n">
        <f aca="false">IF(G831="Prospecting",Parâmetros!$B$9,IF(J831&gt;Parâmetros!$B$6,0,INDEX(Parâmetros!$C$24:$C$26,MATCH(J831,Parâmetros!$A$24:$A$26,1))))</f>
        <v>0</v>
      </c>
      <c r="M831" s="31" t="n">
        <f aca="false">IF(G831="Prospecting",1,INDEX(Parâmetros!$C$32:$C$35,MATCH(J831,Parâmetros!$A$32:$A$35,1)))</f>
        <v>0.6</v>
      </c>
      <c r="N831" s="2" t="n">
        <f aca="false">ROUND((K831+L831)*M831,0)</f>
        <v>27</v>
      </c>
      <c r="O831" s="10" t="str">
        <f aca="false">IF(AND(G831="Engaging",J831&gt;Parâmetros!$B$6),"Sim","Não")</f>
        <v>Sim</v>
      </c>
      <c r="P831" s="32" t="str">
        <f aca="false">IF(O831="Sim","R",IF(N831&gt;=Parâmetros!$B$39,"A",IF(N831&gt;=Parâmetros!$B$40,"B",IF(N831&gt;=Parâmetros!$B$41,"C","D"))))</f>
        <v>R</v>
      </c>
      <c r="Q831" s="10" t="str">
        <f aca="false">IF(F831="","Completar cadastro","")</f>
        <v>Completar cadastro</v>
      </c>
      <c r="R831" s="10" t="str">
        <f aca="false">INDEX(Parâmetros!$D$39:$D$43,MATCH(P831,Parâmetros!$A$39:$A$43,0))</f>
        <v>Reciclar: requalificar, reengajar ou encerrar</v>
      </c>
    </row>
    <row r="832" customFormat="false" ht="15" hidden="false" customHeight="false" outlineLevel="0" collapsed="false">
      <c r="A832" s="10" t="s">
        <v>1074</v>
      </c>
      <c r="B832" s="10" t="s">
        <v>71</v>
      </c>
      <c r="C832" s="10" t="s">
        <v>72</v>
      </c>
      <c r="D832" s="10" t="s">
        <v>196</v>
      </c>
      <c r="E832" s="10" t="s">
        <v>47</v>
      </c>
      <c r="F832" s="10"/>
      <c r="G832" s="10" t="s">
        <v>162</v>
      </c>
      <c r="H832" s="30" t="n">
        <v>42943</v>
      </c>
      <c r="I832" s="8" t="n">
        <f aca="false">INDEX(Parâmetros!$C$13:$C$19,MATCH(E832,Parâmetros!$A$13:$A$19,0))</f>
        <v>5482</v>
      </c>
      <c r="J832" s="26" t="n">
        <f aca="false">IF(H832="","",Parâmetros!$B$5-H832)</f>
        <v>157</v>
      </c>
      <c r="K832" s="10" t="n">
        <f aca="false">INDEX(Parâmetros!$D$13:$D$19,MATCH(E832,Parâmetros!$A$13:$A$19,0))</f>
        <v>45</v>
      </c>
      <c r="L832" s="10" t="n">
        <f aca="false">IF(G832="Prospecting",Parâmetros!$B$9,IF(J832&gt;Parâmetros!$B$6,0,INDEX(Parâmetros!$C$24:$C$26,MATCH(J832,Parâmetros!$A$24:$A$26,1))))</f>
        <v>0</v>
      </c>
      <c r="M832" s="31" t="n">
        <f aca="false">IF(G832="Prospecting",1,INDEX(Parâmetros!$C$32:$C$35,MATCH(J832,Parâmetros!$A$32:$A$35,1)))</f>
        <v>0.6</v>
      </c>
      <c r="N832" s="2" t="n">
        <f aca="false">ROUND((K832+L832)*M832,0)</f>
        <v>27</v>
      </c>
      <c r="O832" s="10" t="str">
        <f aca="false">IF(AND(G832="Engaging",J832&gt;Parâmetros!$B$6),"Sim","Não")</f>
        <v>Sim</v>
      </c>
      <c r="P832" s="32" t="str">
        <f aca="false">IF(O832="Sim","R",IF(N832&gt;=Parâmetros!$B$39,"A",IF(N832&gt;=Parâmetros!$B$40,"B",IF(N832&gt;=Parâmetros!$B$41,"C","D"))))</f>
        <v>R</v>
      </c>
      <c r="Q832" s="10" t="str">
        <f aca="false">IF(F832="","Completar cadastro","")</f>
        <v>Completar cadastro</v>
      </c>
      <c r="R832" s="10" t="str">
        <f aca="false">INDEX(Parâmetros!$D$39:$D$43,MATCH(P832,Parâmetros!$A$39:$A$43,0))</f>
        <v>Reciclar: requalificar, reengajar ou encerrar</v>
      </c>
    </row>
    <row r="833" customFormat="false" ht="15" hidden="false" customHeight="false" outlineLevel="0" collapsed="false">
      <c r="A833" s="10" t="s">
        <v>1075</v>
      </c>
      <c r="B833" s="10" t="s">
        <v>79</v>
      </c>
      <c r="C833" s="10" t="s">
        <v>78</v>
      </c>
      <c r="D833" s="10" t="s">
        <v>196</v>
      </c>
      <c r="E833" s="10" t="s">
        <v>47</v>
      </c>
      <c r="F833" s="10"/>
      <c r="G833" s="10" t="s">
        <v>162</v>
      </c>
      <c r="H833" s="30" t="n">
        <v>42943</v>
      </c>
      <c r="I833" s="8" t="n">
        <f aca="false">INDEX(Parâmetros!$C$13:$C$19,MATCH(E833,Parâmetros!$A$13:$A$19,0))</f>
        <v>5482</v>
      </c>
      <c r="J833" s="26" t="n">
        <f aca="false">IF(H833="","",Parâmetros!$B$5-H833)</f>
        <v>157</v>
      </c>
      <c r="K833" s="10" t="n">
        <f aca="false">INDEX(Parâmetros!$D$13:$D$19,MATCH(E833,Parâmetros!$A$13:$A$19,0))</f>
        <v>45</v>
      </c>
      <c r="L833" s="10" t="n">
        <f aca="false">IF(G833="Prospecting",Parâmetros!$B$9,IF(J833&gt;Parâmetros!$B$6,0,INDEX(Parâmetros!$C$24:$C$26,MATCH(J833,Parâmetros!$A$24:$A$26,1))))</f>
        <v>0</v>
      </c>
      <c r="M833" s="31" t="n">
        <f aca="false">IF(G833="Prospecting",1,INDEX(Parâmetros!$C$32:$C$35,MATCH(J833,Parâmetros!$A$32:$A$35,1)))</f>
        <v>0.6</v>
      </c>
      <c r="N833" s="2" t="n">
        <f aca="false">ROUND((K833+L833)*M833,0)</f>
        <v>27</v>
      </c>
      <c r="O833" s="10" t="str">
        <f aca="false">IF(AND(G833="Engaging",J833&gt;Parâmetros!$B$6),"Sim","Não")</f>
        <v>Sim</v>
      </c>
      <c r="P833" s="32" t="str">
        <f aca="false">IF(O833="Sim","R",IF(N833&gt;=Parâmetros!$B$39,"A",IF(N833&gt;=Parâmetros!$B$40,"B",IF(N833&gt;=Parâmetros!$B$41,"C","D"))))</f>
        <v>R</v>
      </c>
      <c r="Q833" s="10" t="str">
        <f aca="false">IF(F833="","Completar cadastro","")</f>
        <v>Completar cadastro</v>
      </c>
      <c r="R833" s="10" t="str">
        <f aca="false">INDEX(Parâmetros!$D$39:$D$43,MATCH(P833,Parâmetros!$A$39:$A$43,0))</f>
        <v>Reciclar: requalificar, reengajar ou encerrar</v>
      </c>
    </row>
    <row r="834" customFormat="false" ht="15" hidden="false" customHeight="false" outlineLevel="0" collapsed="false">
      <c r="A834" s="10" t="s">
        <v>1076</v>
      </c>
      <c r="B834" s="10" t="s">
        <v>76</v>
      </c>
      <c r="C834" s="10" t="s">
        <v>72</v>
      </c>
      <c r="D834" s="10" t="s">
        <v>196</v>
      </c>
      <c r="E834" s="10" t="s">
        <v>47</v>
      </c>
      <c r="F834" s="10" t="s">
        <v>350</v>
      </c>
      <c r="G834" s="10" t="s">
        <v>162</v>
      </c>
      <c r="H834" s="30" t="n">
        <v>42943</v>
      </c>
      <c r="I834" s="8" t="n">
        <f aca="false">INDEX(Parâmetros!$C$13:$C$19,MATCH(E834,Parâmetros!$A$13:$A$19,0))</f>
        <v>5482</v>
      </c>
      <c r="J834" s="26" t="n">
        <f aca="false">IF(H834="","",Parâmetros!$B$5-H834)</f>
        <v>157</v>
      </c>
      <c r="K834" s="10" t="n">
        <f aca="false">INDEX(Parâmetros!$D$13:$D$19,MATCH(E834,Parâmetros!$A$13:$A$19,0))</f>
        <v>45</v>
      </c>
      <c r="L834" s="10" t="n">
        <f aca="false">IF(G834="Prospecting",Parâmetros!$B$9,IF(J834&gt;Parâmetros!$B$6,0,INDEX(Parâmetros!$C$24:$C$26,MATCH(J834,Parâmetros!$A$24:$A$26,1))))</f>
        <v>0</v>
      </c>
      <c r="M834" s="31" t="n">
        <f aca="false">IF(G834="Prospecting",1,INDEX(Parâmetros!$C$32:$C$35,MATCH(J834,Parâmetros!$A$32:$A$35,1)))</f>
        <v>0.6</v>
      </c>
      <c r="N834" s="2" t="n">
        <f aca="false">ROUND((K834+L834)*M834,0)</f>
        <v>27</v>
      </c>
      <c r="O834" s="10" t="str">
        <f aca="false">IF(AND(G834="Engaging",J834&gt;Parâmetros!$B$6),"Sim","Não")</f>
        <v>Sim</v>
      </c>
      <c r="P834" s="32" t="str">
        <f aca="false">IF(O834="Sim","R",IF(N834&gt;=Parâmetros!$B$39,"A",IF(N834&gt;=Parâmetros!$B$40,"B",IF(N834&gt;=Parâmetros!$B$41,"C","D"))))</f>
        <v>R</v>
      </c>
      <c r="Q834" s="10" t="str">
        <f aca="false">IF(F834="","Completar cadastro","")</f>
        <v/>
      </c>
      <c r="R834" s="10" t="str">
        <f aca="false">INDEX(Parâmetros!$D$39:$D$43,MATCH(P834,Parâmetros!$A$39:$A$43,0))</f>
        <v>Reciclar: requalificar, reengajar ou encerrar</v>
      </c>
    </row>
    <row r="835" customFormat="false" ht="15" hidden="false" customHeight="false" outlineLevel="0" collapsed="false">
      <c r="A835" s="10" t="s">
        <v>1077</v>
      </c>
      <c r="B835" s="10" t="s">
        <v>71</v>
      </c>
      <c r="C835" s="10" t="s">
        <v>72</v>
      </c>
      <c r="D835" s="10" t="s">
        <v>196</v>
      </c>
      <c r="E835" s="10" t="s">
        <v>47</v>
      </c>
      <c r="F835" s="10"/>
      <c r="G835" s="10" t="s">
        <v>162</v>
      </c>
      <c r="H835" s="30" t="n">
        <v>42945</v>
      </c>
      <c r="I835" s="8" t="n">
        <f aca="false">INDEX(Parâmetros!$C$13:$C$19,MATCH(E835,Parâmetros!$A$13:$A$19,0))</f>
        <v>5482</v>
      </c>
      <c r="J835" s="26" t="n">
        <f aca="false">IF(H835="","",Parâmetros!$B$5-H835)</f>
        <v>155</v>
      </c>
      <c r="K835" s="10" t="n">
        <f aca="false">INDEX(Parâmetros!$D$13:$D$19,MATCH(E835,Parâmetros!$A$13:$A$19,0))</f>
        <v>45</v>
      </c>
      <c r="L835" s="10" t="n">
        <f aca="false">IF(G835="Prospecting",Parâmetros!$B$9,IF(J835&gt;Parâmetros!$B$6,0,INDEX(Parâmetros!$C$24:$C$26,MATCH(J835,Parâmetros!$A$24:$A$26,1))))</f>
        <v>0</v>
      </c>
      <c r="M835" s="31" t="n">
        <f aca="false">IF(G835="Prospecting",1,INDEX(Parâmetros!$C$32:$C$35,MATCH(J835,Parâmetros!$A$32:$A$35,1)))</f>
        <v>0.6</v>
      </c>
      <c r="N835" s="2" t="n">
        <f aca="false">ROUND((K835+L835)*M835,0)</f>
        <v>27</v>
      </c>
      <c r="O835" s="10" t="str">
        <f aca="false">IF(AND(G835="Engaging",J835&gt;Parâmetros!$B$6),"Sim","Não")</f>
        <v>Sim</v>
      </c>
      <c r="P835" s="32" t="str">
        <f aca="false">IF(O835="Sim","R",IF(N835&gt;=Parâmetros!$B$39,"A",IF(N835&gt;=Parâmetros!$B$40,"B",IF(N835&gt;=Parâmetros!$B$41,"C","D"))))</f>
        <v>R</v>
      </c>
      <c r="Q835" s="10" t="str">
        <f aca="false">IF(F835="","Completar cadastro","")</f>
        <v>Completar cadastro</v>
      </c>
      <c r="R835" s="10" t="str">
        <f aca="false">INDEX(Parâmetros!$D$39:$D$43,MATCH(P835,Parâmetros!$A$39:$A$43,0))</f>
        <v>Reciclar: requalificar, reengajar ou encerrar</v>
      </c>
    </row>
    <row r="836" customFormat="false" ht="15" hidden="false" customHeight="false" outlineLevel="0" collapsed="false">
      <c r="A836" s="10" t="s">
        <v>1078</v>
      </c>
      <c r="B836" s="10" t="s">
        <v>76</v>
      </c>
      <c r="C836" s="10" t="s">
        <v>72</v>
      </c>
      <c r="D836" s="10" t="s">
        <v>196</v>
      </c>
      <c r="E836" s="10" t="s">
        <v>47</v>
      </c>
      <c r="F836" s="10"/>
      <c r="G836" s="10" t="s">
        <v>162</v>
      </c>
      <c r="H836" s="30" t="n">
        <v>42945</v>
      </c>
      <c r="I836" s="8" t="n">
        <f aca="false">INDEX(Parâmetros!$C$13:$C$19,MATCH(E836,Parâmetros!$A$13:$A$19,0))</f>
        <v>5482</v>
      </c>
      <c r="J836" s="26" t="n">
        <f aca="false">IF(H836="","",Parâmetros!$B$5-H836)</f>
        <v>155</v>
      </c>
      <c r="K836" s="10" t="n">
        <f aca="false">INDEX(Parâmetros!$D$13:$D$19,MATCH(E836,Parâmetros!$A$13:$A$19,0))</f>
        <v>45</v>
      </c>
      <c r="L836" s="10" t="n">
        <f aca="false">IF(G836="Prospecting",Parâmetros!$B$9,IF(J836&gt;Parâmetros!$B$6,0,INDEX(Parâmetros!$C$24:$C$26,MATCH(J836,Parâmetros!$A$24:$A$26,1))))</f>
        <v>0</v>
      </c>
      <c r="M836" s="31" t="n">
        <f aca="false">IF(G836="Prospecting",1,INDEX(Parâmetros!$C$32:$C$35,MATCH(J836,Parâmetros!$A$32:$A$35,1)))</f>
        <v>0.6</v>
      </c>
      <c r="N836" s="2" t="n">
        <f aca="false">ROUND((K836+L836)*M836,0)</f>
        <v>27</v>
      </c>
      <c r="O836" s="10" t="str">
        <f aca="false">IF(AND(G836="Engaging",J836&gt;Parâmetros!$B$6),"Sim","Não")</f>
        <v>Sim</v>
      </c>
      <c r="P836" s="32" t="str">
        <f aca="false">IF(O836="Sim","R",IF(N836&gt;=Parâmetros!$B$39,"A",IF(N836&gt;=Parâmetros!$B$40,"B",IF(N836&gt;=Parâmetros!$B$41,"C","D"))))</f>
        <v>R</v>
      </c>
      <c r="Q836" s="10" t="str">
        <f aca="false">IF(F836="","Completar cadastro","")</f>
        <v>Completar cadastro</v>
      </c>
      <c r="R836" s="10" t="str">
        <f aca="false">INDEX(Parâmetros!$D$39:$D$43,MATCH(P836,Parâmetros!$A$39:$A$43,0))</f>
        <v>Reciclar: requalificar, reengajar ou encerrar</v>
      </c>
    </row>
    <row r="837" customFormat="false" ht="15" hidden="false" customHeight="false" outlineLevel="0" collapsed="false">
      <c r="A837" s="10" t="s">
        <v>1079</v>
      </c>
      <c r="B837" s="10" t="s">
        <v>77</v>
      </c>
      <c r="C837" s="10" t="s">
        <v>78</v>
      </c>
      <c r="D837" s="10" t="s">
        <v>196</v>
      </c>
      <c r="E837" s="10" t="s">
        <v>47</v>
      </c>
      <c r="F837" s="10" t="s">
        <v>321</v>
      </c>
      <c r="G837" s="10" t="s">
        <v>162</v>
      </c>
      <c r="H837" s="30" t="n">
        <v>42946</v>
      </c>
      <c r="I837" s="8" t="n">
        <f aca="false">INDEX(Parâmetros!$C$13:$C$19,MATCH(E837,Parâmetros!$A$13:$A$19,0))</f>
        <v>5482</v>
      </c>
      <c r="J837" s="26" t="n">
        <f aca="false">IF(H837="","",Parâmetros!$B$5-H837)</f>
        <v>154</v>
      </c>
      <c r="K837" s="10" t="n">
        <f aca="false">INDEX(Parâmetros!$D$13:$D$19,MATCH(E837,Parâmetros!$A$13:$A$19,0))</f>
        <v>45</v>
      </c>
      <c r="L837" s="10" t="n">
        <f aca="false">IF(G837="Prospecting",Parâmetros!$B$9,IF(J837&gt;Parâmetros!$B$6,0,INDEX(Parâmetros!$C$24:$C$26,MATCH(J837,Parâmetros!$A$24:$A$26,1))))</f>
        <v>0</v>
      </c>
      <c r="M837" s="31" t="n">
        <f aca="false">IF(G837="Prospecting",1,INDEX(Parâmetros!$C$32:$C$35,MATCH(J837,Parâmetros!$A$32:$A$35,1)))</f>
        <v>0.6</v>
      </c>
      <c r="N837" s="2" t="n">
        <f aca="false">ROUND((K837+L837)*M837,0)</f>
        <v>27</v>
      </c>
      <c r="O837" s="10" t="str">
        <f aca="false">IF(AND(G837="Engaging",J837&gt;Parâmetros!$B$6),"Sim","Não")</f>
        <v>Sim</v>
      </c>
      <c r="P837" s="32" t="str">
        <f aca="false">IF(O837="Sim","R",IF(N837&gt;=Parâmetros!$B$39,"A",IF(N837&gt;=Parâmetros!$B$40,"B",IF(N837&gt;=Parâmetros!$B$41,"C","D"))))</f>
        <v>R</v>
      </c>
      <c r="Q837" s="10" t="str">
        <f aca="false">IF(F837="","Completar cadastro","")</f>
        <v/>
      </c>
      <c r="R837" s="10" t="str">
        <f aca="false">INDEX(Parâmetros!$D$39:$D$43,MATCH(P837,Parâmetros!$A$39:$A$43,0))</f>
        <v>Reciclar: requalificar, reengajar ou encerrar</v>
      </c>
    </row>
    <row r="838" customFormat="false" ht="15" hidden="false" customHeight="false" outlineLevel="0" collapsed="false">
      <c r="A838" s="10" t="s">
        <v>1080</v>
      </c>
      <c r="B838" s="10" t="s">
        <v>93</v>
      </c>
      <c r="C838" s="10" t="s">
        <v>92</v>
      </c>
      <c r="D838" s="10" t="s">
        <v>160</v>
      </c>
      <c r="E838" s="10" t="s">
        <v>47</v>
      </c>
      <c r="F838" s="10"/>
      <c r="G838" s="10" t="s">
        <v>162</v>
      </c>
      <c r="H838" s="30" t="n">
        <v>42947</v>
      </c>
      <c r="I838" s="8" t="n">
        <f aca="false">INDEX(Parâmetros!$C$13:$C$19,MATCH(E838,Parâmetros!$A$13:$A$19,0))</f>
        <v>5482</v>
      </c>
      <c r="J838" s="26" t="n">
        <f aca="false">IF(H838="","",Parâmetros!$B$5-H838)</f>
        <v>153</v>
      </c>
      <c r="K838" s="10" t="n">
        <f aca="false">INDEX(Parâmetros!$D$13:$D$19,MATCH(E838,Parâmetros!$A$13:$A$19,0))</f>
        <v>45</v>
      </c>
      <c r="L838" s="10" t="n">
        <f aca="false">IF(G838="Prospecting",Parâmetros!$B$9,IF(J838&gt;Parâmetros!$B$6,0,INDEX(Parâmetros!$C$24:$C$26,MATCH(J838,Parâmetros!$A$24:$A$26,1))))</f>
        <v>0</v>
      </c>
      <c r="M838" s="31" t="n">
        <f aca="false">IF(G838="Prospecting",1,INDEX(Parâmetros!$C$32:$C$35,MATCH(J838,Parâmetros!$A$32:$A$35,1)))</f>
        <v>0.6</v>
      </c>
      <c r="N838" s="2" t="n">
        <f aca="false">ROUND((K838+L838)*M838,0)</f>
        <v>27</v>
      </c>
      <c r="O838" s="10" t="str">
        <f aca="false">IF(AND(G838="Engaging",J838&gt;Parâmetros!$B$6),"Sim","Não")</f>
        <v>Sim</v>
      </c>
      <c r="P838" s="32" t="str">
        <f aca="false">IF(O838="Sim","R",IF(N838&gt;=Parâmetros!$B$39,"A",IF(N838&gt;=Parâmetros!$B$40,"B",IF(N838&gt;=Parâmetros!$B$41,"C","D"))))</f>
        <v>R</v>
      </c>
      <c r="Q838" s="10" t="str">
        <f aca="false">IF(F838="","Completar cadastro","")</f>
        <v>Completar cadastro</v>
      </c>
      <c r="R838" s="10" t="str">
        <f aca="false">INDEX(Parâmetros!$D$39:$D$43,MATCH(P838,Parâmetros!$A$39:$A$43,0))</f>
        <v>Reciclar: requalificar, reengajar ou encerrar</v>
      </c>
    </row>
    <row r="839" customFormat="false" ht="15" hidden="false" customHeight="false" outlineLevel="0" collapsed="false">
      <c r="A839" s="10" t="s">
        <v>1081</v>
      </c>
      <c r="B839" s="10" t="s">
        <v>68</v>
      </c>
      <c r="C839" s="10" t="s">
        <v>65</v>
      </c>
      <c r="D839" s="10" t="s">
        <v>160</v>
      </c>
      <c r="E839" s="10" t="s">
        <v>47</v>
      </c>
      <c r="F839" s="10"/>
      <c r="G839" s="10" t="s">
        <v>162</v>
      </c>
      <c r="H839" s="30" t="n">
        <v>42947</v>
      </c>
      <c r="I839" s="8" t="n">
        <f aca="false">INDEX(Parâmetros!$C$13:$C$19,MATCH(E839,Parâmetros!$A$13:$A$19,0))</f>
        <v>5482</v>
      </c>
      <c r="J839" s="26" t="n">
        <f aca="false">IF(H839="","",Parâmetros!$B$5-H839)</f>
        <v>153</v>
      </c>
      <c r="K839" s="10" t="n">
        <f aca="false">INDEX(Parâmetros!$D$13:$D$19,MATCH(E839,Parâmetros!$A$13:$A$19,0))</f>
        <v>45</v>
      </c>
      <c r="L839" s="10" t="n">
        <f aca="false">IF(G839="Prospecting",Parâmetros!$B$9,IF(J839&gt;Parâmetros!$B$6,0,INDEX(Parâmetros!$C$24:$C$26,MATCH(J839,Parâmetros!$A$24:$A$26,1))))</f>
        <v>0</v>
      </c>
      <c r="M839" s="31" t="n">
        <f aca="false">IF(G839="Prospecting",1,INDEX(Parâmetros!$C$32:$C$35,MATCH(J839,Parâmetros!$A$32:$A$35,1)))</f>
        <v>0.6</v>
      </c>
      <c r="N839" s="2" t="n">
        <f aca="false">ROUND((K839+L839)*M839,0)</f>
        <v>27</v>
      </c>
      <c r="O839" s="10" t="str">
        <f aca="false">IF(AND(G839="Engaging",J839&gt;Parâmetros!$B$6),"Sim","Não")</f>
        <v>Sim</v>
      </c>
      <c r="P839" s="32" t="str">
        <f aca="false">IF(O839="Sim","R",IF(N839&gt;=Parâmetros!$B$39,"A",IF(N839&gt;=Parâmetros!$B$40,"B",IF(N839&gt;=Parâmetros!$B$41,"C","D"))))</f>
        <v>R</v>
      </c>
      <c r="Q839" s="10" t="str">
        <f aca="false">IF(F839="","Completar cadastro","")</f>
        <v>Completar cadastro</v>
      </c>
      <c r="R839" s="10" t="str">
        <f aca="false">INDEX(Parâmetros!$D$39:$D$43,MATCH(P839,Parâmetros!$A$39:$A$43,0))</f>
        <v>Reciclar: requalificar, reengajar ou encerrar</v>
      </c>
    </row>
    <row r="840" customFormat="false" ht="15" hidden="false" customHeight="false" outlineLevel="0" collapsed="false">
      <c r="A840" s="10" t="s">
        <v>1082</v>
      </c>
      <c r="B840" s="10" t="s">
        <v>81</v>
      </c>
      <c r="C840" s="10" t="s">
        <v>78</v>
      </c>
      <c r="D840" s="10" t="s">
        <v>196</v>
      </c>
      <c r="E840" s="10" t="s">
        <v>47</v>
      </c>
      <c r="F840" s="10"/>
      <c r="G840" s="10" t="s">
        <v>162</v>
      </c>
      <c r="H840" s="30" t="n">
        <v>42948</v>
      </c>
      <c r="I840" s="8" t="n">
        <f aca="false">INDEX(Parâmetros!$C$13:$C$19,MATCH(E840,Parâmetros!$A$13:$A$19,0))</f>
        <v>5482</v>
      </c>
      <c r="J840" s="26" t="n">
        <f aca="false">IF(H840="","",Parâmetros!$B$5-H840)</f>
        <v>152</v>
      </c>
      <c r="K840" s="10" t="n">
        <f aca="false">INDEX(Parâmetros!$D$13:$D$19,MATCH(E840,Parâmetros!$A$13:$A$19,0))</f>
        <v>45</v>
      </c>
      <c r="L840" s="10" t="n">
        <f aca="false">IF(G840="Prospecting",Parâmetros!$B$9,IF(J840&gt;Parâmetros!$B$6,0,INDEX(Parâmetros!$C$24:$C$26,MATCH(J840,Parâmetros!$A$24:$A$26,1))))</f>
        <v>0</v>
      </c>
      <c r="M840" s="31" t="n">
        <f aca="false">IF(G840="Prospecting",1,INDEX(Parâmetros!$C$32:$C$35,MATCH(J840,Parâmetros!$A$32:$A$35,1)))</f>
        <v>0.6</v>
      </c>
      <c r="N840" s="2" t="n">
        <f aca="false">ROUND((K840+L840)*M840,0)</f>
        <v>27</v>
      </c>
      <c r="O840" s="10" t="str">
        <f aca="false">IF(AND(G840="Engaging",J840&gt;Parâmetros!$B$6),"Sim","Não")</f>
        <v>Sim</v>
      </c>
      <c r="P840" s="32" t="str">
        <f aca="false">IF(O840="Sim","R",IF(N840&gt;=Parâmetros!$B$39,"A",IF(N840&gt;=Parâmetros!$B$40,"B",IF(N840&gt;=Parâmetros!$B$41,"C","D"))))</f>
        <v>R</v>
      </c>
      <c r="Q840" s="10" t="str">
        <f aca="false">IF(F840="","Completar cadastro","")</f>
        <v>Completar cadastro</v>
      </c>
      <c r="R840" s="10" t="str">
        <f aca="false">INDEX(Parâmetros!$D$39:$D$43,MATCH(P840,Parâmetros!$A$39:$A$43,0))</f>
        <v>Reciclar: requalificar, reengajar ou encerrar</v>
      </c>
    </row>
    <row r="841" customFormat="false" ht="15" hidden="false" customHeight="false" outlineLevel="0" collapsed="false">
      <c r="A841" s="10" t="s">
        <v>1083</v>
      </c>
      <c r="B841" s="10" t="s">
        <v>76</v>
      </c>
      <c r="C841" s="10" t="s">
        <v>72</v>
      </c>
      <c r="D841" s="10" t="s">
        <v>196</v>
      </c>
      <c r="E841" s="10" t="s">
        <v>47</v>
      </c>
      <c r="F841" s="10" t="s">
        <v>424</v>
      </c>
      <c r="G841" s="10" t="s">
        <v>162</v>
      </c>
      <c r="H841" s="30" t="n">
        <v>42948</v>
      </c>
      <c r="I841" s="8" t="n">
        <f aca="false">INDEX(Parâmetros!$C$13:$C$19,MATCH(E841,Parâmetros!$A$13:$A$19,0))</f>
        <v>5482</v>
      </c>
      <c r="J841" s="26" t="n">
        <f aca="false">IF(H841="","",Parâmetros!$B$5-H841)</f>
        <v>152</v>
      </c>
      <c r="K841" s="10" t="n">
        <f aca="false">INDEX(Parâmetros!$D$13:$D$19,MATCH(E841,Parâmetros!$A$13:$A$19,0))</f>
        <v>45</v>
      </c>
      <c r="L841" s="10" t="n">
        <f aca="false">IF(G841="Prospecting",Parâmetros!$B$9,IF(J841&gt;Parâmetros!$B$6,0,INDEX(Parâmetros!$C$24:$C$26,MATCH(J841,Parâmetros!$A$24:$A$26,1))))</f>
        <v>0</v>
      </c>
      <c r="M841" s="31" t="n">
        <f aca="false">IF(G841="Prospecting",1,INDEX(Parâmetros!$C$32:$C$35,MATCH(J841,Parâmetros!$A$32:$A$35,1)))</f>
        <v>0.6</v>
      </c>
      <c r="N841" s="2" t="n">
        <f aca="false">ROUND((K841+L841)*M841,0)</f>
        <v>27</v>
      </c>
      <c r="O841" s="10" t="str">
        <f aca="false">IF(AND(G841="Engaging",J841&gt;Parâmetros!$B$6),"Sim","Não")</f>
        <v>Sim</v>
      </c>
      <c r="P841" s="32" t="str">
        <f aca="false">IF(O841="Sim","R",IF(N841&gt;=Parâmetros!$B$39,"A",IF(N841&gt;=Parâmetros!$B$40,"B",IF(N841&gt;=Parâmetros!$B$41,"C","D"))))</f>
        <v>R</v>
      </c>
      <c r="Q841" s="10" t="str">
        <f aca="false">IF(F841="","Completar cadastro","")</f>
        <v/>
      </c>
      <c r="R841" s="10" t="str">
        <f aca="false">INDEX(Parâmetros!$D$39:$D$43,MATCH(P841,Parâmetros!$A$39:$A$43,0))</f>
        <v>Reciclar: requalificar, reengajar ou encerrar</v>
      </c>
    </row>
    <row r="842" customFormat="false" ht="15" hidden="false" customHeight="false" outlineLevel="0" collapsed="false">
      <c r="A842" s="10" t="s">
        <v>1084</v>
      </c>
      <c r="B842" s="10" t="s">
        <v>86</v>
      </c>
      <c r="C842" s="10" t="s">
        <v>85</v>
      </c>
      <c r="D842" s="10" t="s">
        <v>165</v>
      </c>
      <c r="E842" s="10" t="s">
        <v>47</v>
      </c>
      <c r="F842" s="10"/>
      <c r="G842" s="10" t="s">
        <v>162</v>
      </c>
      <c r="H842" s="30" t="n">
        <v>42950</v>
      </c>
      <c r="I842" s="8" t="n">
        <f aca="false">INDEX(Parâmetros!$C$13:$C$19,MATCH(E842,Parâmetros!$A$13:$A$19,0))</f>
        <v>5482</v>
      </c>
      <c r="J842" s="26" t="n">
        <f aca="false">IF(H842="","",Parâmetros!$B$5-H842)</f>
        <v>150</v>
      </c>
      <c r="K842" s="10" t="n">
        <f aca="false">INDEX(Parâmetros!$D$13:$D$19,MATCH(E842,Parâmetros!$A$13:$A$19,0))</f>
        <v>45</v>
      </c>
      <c r="L842" s="10" t="n">
        <f aca="false">IF(G842="Prospecting",Parâmetros!$B$9,IF(J842&gt;Parâmetros!$B$6,0,INDEX(Parâmetros!$C$24:$C$26,MATCH(J842,Parâmetros!$A$24:$A$26,1))))</f>
        <v>0</v>
      </c>
      <c r="M842" s="31" t="n">
        <f aca="false">IF(G842="Prospecting",1,INDEX(Parâmetros!$C$32:$C$35,MATCH(J842,Parâmetros!$A$32:$A$35,1)))</f>
        <v>0.6</v>
      </c>
      <c r="N842" s="2" t="n">
        <f aca="false">ROUND((K842+L842)*M842,0)</f>
        <v>27</v>
      </c>
      <c r="O842" s="10" t="str">
        <f aca="false">IF(AND(G842="Engaging",J842&gt;Parâmetros!$B$6),"Sim","Não")</f>
        <v>Sim</v>
      </c>
      <c r="P842" s="32" t="str">
        <f aca="false">IF(O842="Sim","R",IF(N842&gt;=Parâmetros!$B$39,"A",IF(N842&gt;=Parâmetros!$B$40,"B",IF(N842&gt;=Parâmetros!$B$41,"C","D"))))</f>
        <v>R</v>
      </c>
      <c r="Q842" s="10" t="str">
        <f aca="false">IF(F842="","Completar cadastro","")</f>
        <v>Completar cadastro</v>
      </c>
      <c r="R842" s="10" t="str">
        <f aca="false">INDEX(Parâmetros!$D$39:$D$43,MATCH(P842,Parâmetros!$A$39:$A$43,0))</f>
        <v>Reciclar: requalificar, reengajar ou encerrar</v>
      </c>
    </row>
    <row r="843" customFormat="false" ht="15" hidden="false" customHeight="false" outlineLevel="0" collapsed="false">
      <c r="A843" s="10" t="s">
        <v>1085</v>
      </c>
      <c r="B843" s="10" t="s">
        <v>71</v>
      </c>
      <c r="C843" s="10" t="s">
        <v>72</v>
      </c>
      <c r="D843" s="10" t="s">
        <v>196</v>
      </c>
      <c r="E843" s="10" t="s">
        <v>47</v>
      </c>
      <c r="F843" s="10"/>
      <c r="G843" s="10" t="s">
        <v>162</v>
      </c>
      <c r="H843" s="30" t="n">
        <v>42952</v>
      </c>
      <c r="I843" s="8" t="n">
        <f aca="false">INDEX(Parâmetros!$C$13:$C$19,MATCH(E843,Parâmetros!$A$13:$A$19,0))</f>
        <v>5482</v>
      </c>
      <c r="J843" s="26" t="n">
        <f aca="false">IF(H843="","",Parâmetros!$B$5-H843)</f>
        <v>148</v>
      </c>
      <c r="K843" s="10" t="n">
        <f aca="false">INDEX(Parâmetros!$D$13:$D$19,MATCH(E843,Parâmetros!$A$13:$A$19,0))</f>
        <v>45</v>
      </c>
      <c r="L843" s="10" t="n">
        <f aca="false">IF(G843="Prospecting",Parâmetros!$B$9,IF(J843&gt;Parâmetros!$B$6,0,INDEX(Parâmetros!$C$24:$C$26,MATCH(J843,Parâmetros!$A$24:$A$26,1))))</f>
        <v>0</v>
      </c>
      <c r="M843" s="31" t="n">
        <f aca="false">IF(G843="Prospecting",1,INDEX(Parâmetros!$C$32:$C$35,MATCH(J843,Parâmetros!$A$32:$A$35,1)))</f>
        <v>0.6</v>
      </c>
      <c r="N843" s="2" t="n">
        <f aca="false">ROUND((K843+L843)*M843,0)</f>
        <v>27</v>
      </c>
      <c r="O843" s="10" t="str">
        <f aca="false">IF(AND(G843="Engaging",J843&gt;Parâmetros!$B$6),"Sim","Não")</f>
        <v>Sim</v>
      </c>
      <c r="P843" s="32" t="str">
        <f aca="false">IF(O843="Sim","R",IF(N843&gt;=Parâmetros!$B$39,"A",IF(N843&gt;=Parâmetros!$B$40,"B",IF(N843&gt;=Parâmetros!$B$41,"C","D"))))</f>
        <v>R</v>
      </c>
      <c r="Q843" s="10" t="str">
        <f aca="false">IF(F843="","Completar cadastro","")</f>
        <v>Completar cadastro</v>
      </c>
      <c r="R843" s="10" t="str">
        <f aca="false">INDEX(Parâmetros!$D$39:$D$43,MATCH(P843,Parâmetros!$A$39:$A$43,0))</f>
        <v>Reciclar: requalificar, reengajar ou encerrar</v>
      </c>
    </row>
    <row r="844" customFormat="false" ht="15" hidden="false" customHeight="false" outlineLevel="0" collapsed="false">
      <c r="A844" s="10" t="s">
        <v>1086</v>
      </c>
      <c r="B844" s="10" t="s">
        <v>77</v>
      </c>
      <c r="C844" s="10" t="s">
        <v>78</v>
      </c>
      <c r="D844" s="10" t="s">
        <v>196</v>
      </c>
      <c r="E844" s="10" t="s">
        <v>47</v>
      </c>
      <c r="F844" s="10"/>
      <c r="G844" s="10" t="s">
        <v>162</v>
      </c>
      <c r="H844" s="30" t="n">
        <v>42952</v>
      </c>
      <c r="I844" s="8" t="n">
        <f aca="false">INDEX(Parâmetros!$C$13:$C$19,MATCH(E844,Parâmetros!$A$13:$A$19,0))</f>
        <v>5482</v>
      </c>
      <c r="J844" s="26" t="n">
        <f aca="false">IF(H844="","",Parâmetros!$B$5-H844)</f>
        <v>148</v>
      </c>
      <c r="K844" s="10" t="n">
        <f aca="false">INDEX(Parâmetros!$D$13:$D$19,MATCH(E844,Parâmetros!$A$13:$A$19,0))</f>
        <v>45</v>
      </c>
      <c r="L844" s="10" t="n">
        <f aca="false">IF(G844="Prospecting",Parâmetros!$B$9,IF(J844&gt;Parâmetros!$B$6,0,INDEX(Parâmetros!$C$24:$C$26,MATCH(J844,Parâmetros!$A$24:$A$26,1))))</f>
        <v>0</v>
      </c>
      <c r="M844" s="31" t="n">
        <f aca="false">IF(G844="Prospecting",1,INDEX(Parâmetros!$C$32:$C$35,MATCH(J844,Parâmetros!$A$32:$A$35,1)))</f>
        <v>0.6</v>
      </c>
      <c r="N844" s="2" t="n">
        <f aca="false">ROUND((K844+L844)*M844,0)</f>
        <v>27</v>
      </c>
      <c r="O844" s="10" t="str">
        <f aca="false">IF(AND(G844="Engaging",J844&gt;Parâmetros!$B$6),"Sim","Não")</f>
        <v>Sim</v>
      </c>
      <c r="P844" s="32" t="str">
        <f aca="false">IF(O844="Sim","R",IF(N844&gt;=Parâmetros!$B$39,"A",IF(N844&gt;=Parâmetros!$B$40,"B",IF(N844&gt;=Parâmetros!$B$41,"C","D"))))</f>
        <v>R</v>
      </c>
      <c r="Q844" s="10" t="str">
        <f aca="false">IF(F844="","Completar cadastro","")</f>
        <v>Completar cadastro</v>
      </c>
      <c r="R844" s="10" t="str">
        <f aca="false">INDEX(Parâmetros!$D$39:$D$43,MATCH(P844,Parâmetros!$A$39:$A$43,0))</f>
        <v>Reciclar: requalificar, reengajar ou encerrar</v>
      </c>
    </row>
    <row r="845" customFormat="false" ht="15" hidden="false" customHeight="false" outlineLevel="0" collapsed="false">
      <c r="A845" s="10" t="s">
        <v>1087</v>
      </c>
      <c r="B845" s="10" t="s">
        <v>77</v>
      </c>
      <c r="C845" s="10" t="s">
        <v>78</v>
      </c>
      <c r="D845" s="10" t="s">
        <v>196</v>
      </c>
      <c r="E845" s="10" t="s">
        <v>47</v>
      </c>
      <c r="F845" s="10"/>
      <c r="G845" s="10" t="s">
        <v>162</v>
      </c>
      <c r="H845" s="30" t="n">
        <v>42952</v>
      </c>
      <c r="I845" s="8" t="n">
        <f aca="false">INDEX(Parâmetros!$C$13:$C$19,MATCH(E845,Parâmetros!$A$13:$A$19,0))</f>
        <v>5482</v>
      </c>
      <c r="J845" s="26" t="n">
        <f aca="false">IF(H845="","",Parâmetros!$B$5-H845)</f>
        <v>148</v>
      </c>
      <c r="K845" s="10" t="n">
        <f aca="false">INDEX(Parâmetros!$D$13:$D$19,MATCH(E845,Parâmetros!$A$13:$A$19,0))</f>
        <v>45</v>
      </c>
      <c r="L845" s="10" t="n">
        <f aca="false">IF(G845="Prospecting",Parâmetros!$B$9,IF(J845&gt;Parâmetros!$B$6,0,INDEX(Parâmetros!$C$24:$C$26,MATCH(J845,Parâmetros!$A$24:$A$26,1))))</f>
        <v>0</v>
      </c>
      <c r="M845" s="31" t="n">
        <f aca="false">IF(G845="Prospecting",1,INDEX(Parâmetros!$C$32:$C$35,MATCH(J845,Parâmetros!$A$32:$A$35,1)))</f>
        <v>0.6</v>
      </c>
      <c r="N845" s="2" t="n">
        <f aca="false">ROUND((K845+L845)*M845,0)</f>
        <v>27</v>
      </c>
      <c r="O845" s="10" t="str">
        <f aca="false">IF(AND(G845="Engaging",J845&gt;Parâmetros!$B$6),"Sim","Não")</f>
        <v>Sim</v>
      </c>
      <c r="P845" s="32" t="str">
        <f aca="false">IF(O845="Sim","R",IF(N845&gt;=Parâmetros!$B$39,"A",IF(N845&gt;=Parâmetros!$B$40,"B",IF(N845&gt;=Parâmetros!$B$41,"C","D"))))</f>
        <v>R</v>
      </c>
      <c r="Q845" s="10" t="str">
        <f aca="false">IF(F845="","Completar cadastro","")</f>
        <v>Completar cadastro</v>
      </c>
      <c r="R845" s="10" t="str">
        <f aca="false">INDEX(Parâmetros!$D$39:$D$43,MATCH(P845,Parâmetros!$A$39:$A$43,0))</f>
        <v>Reciclar: requalificar, reengajar ou encerrar</v>
      </c>
    </row>
    <row r="846" customFormat="false" ht="15" hidden="false" customHeight="false" outlineLevel="0" collapsed="false">
      <c r="A846" s="10" t="s">
        <v>1088</v>
      </c>
      <c r="B846" s="10" t="s">
        <v>95</v>
      </c>
      <c r="C846" s="10" t="s">
        <v>92</v>
      </c>
      <c r="D846" s="10" t="s">
        <v>160</v>
      </c>
      <c r="E846" s="10" t="s">
        <v>47</v>
      </c>
      <c r="F846" s="10" t="s">
        <v>161</v>
      </c>
      <c r="G846" s="10" t="s">
        <v>162</v>
      </c>
      <c r="H846" s="30" t="n">
        <v>42952</v>
      </c>
      <c r="I846" s="8" t="n">
        <f aca="false">INDEX(Parâmetros!$C$13:$C$19,MATCH(E846,Parâmetros!$A$13:$A$19,0))</f>
        <v>5482</v>
      </c>
      <c r="J846" s="26" t="n">
        <f aca="false">IF(H846="","",Parâmetros!$B$5-H846)</f>
        <v>148</v>
      </c>
      <c r="K846" s="10" t="n">
        <f aca="false">INDEX(Parâmetros!$D$13:$D$19,MATCH(E846,Parâmetros!$A$13:$A$19,0))</f>
        <v>45</v>
      </c>
      <c r="L846" s="10" t="n">
        <f aca="false">IF(G846="Prospecting",Parâmetros!$B$9,IF(J846&gt;Parâmetros!$B$6,0,INDEX(Parâmetros!$C$24:$C$26,MATCH(J846,Parâmetros!$A$24:$A$26,1))))</f>
        <v>0</v>
      </c>
      <c r="M846" s="31" t="n">
        <f aca="false">IF(G846="Prospecting",1,INDEX(Parâmetros!$C$32:$C$35,MATCH(J846,Parâmetros!$A$32:$A$35,1)))</f>
        <v>0.6</v>
      </c>
      <c r="N846" s="2" t="n">
        <f aca="false">ROUND((K846+L846)*M846,0)</f>
        <v>27</v>
      </c>
      <c r="O846" s="10" t="str">
        <f aca="false">IF(AND(G846="Engaging",J846&gt;Parâmetros!$B$6),"Sim","Não")</f>
        <v>Sim</v>
      </c>
      <c r="P846" s="32" t="str">
        <f aca="false">IF(O846="Sim","R",IF(N846&gt;=Parâmetros!$B$39,"A",IF(N846&gt;=Parâmetros!$B$40,"B",IF(N846&gt;=Parâmetros!$B$41,"C","D"))))</f>
        <v>R</v>
      </c>
      <c r="Q846" s="10" t="str">
        <f aca="false">IF(F846="","Completar cadastro","")</f>
        <v/>
      </c>
      <c r="R846" s="10" t="str">
        <f aca="false">INDEX(Parâmetros!$D$39:$D$43,MATCH(P846,Parâmetros!$A$39:$A$43,0))</f>
        <v>Reciclar: requalificar, reengajar ou encerrar</v>
      </c>
    </row>
    <row r="847" customFormat="false" ht="15" hidden="false" customHeight="false" outlineLevel="0" collapsed="false">
      <c r="A847" s="10" t="s">
        <v>1089</v>
      </c>
      <c r="B847" s="10" t="s">
        <v>84</v>
      </c>
      <c r="C847" s="10" t="s">
        <v>85</v>
      </c>
      <c r="D847" s="10" t="s">
        <v>165</v>
      </c>
      <c r="E847" s="10" t="s">
        <v>47</v>
      </c>
      <c r="F847" s="10"/>
      <c r="G847" s="10" t="s">
        <v>162</v>
      </c>
      <c r="H847" s="30" t="n">
        <v>42953</v>
      </c>
      <c r="I847" s="8" t="n">
        <f aca="false">INDEX(Parâmetros!$C$13:$C$19,MATCH(E847,Parâmetros!$A$13:$A$19,0))</f>
        <v>5482</v>
      </c>
      <c r="J847" s="26" t="n">
        <f aca="false">IF(H847="","",Parâmetros!$B$5-H847)</f>
        <v>147</v>
      </c>
      <c r="K847" s="10" t="n">
        <f aca="false">INDEX(Parâmetros!$D$13:$D$19,MATCH(E847,Parâmetros!$A$13:$A$19,0))</f>
        <v>45</v>
      </c>
      <c r="L847" s="10" t="n">
        <f aca="false">IF(G847="Prospecting",Parâmetros!$B$9,IF(J847&gt;Parâmetros!$B$6,0,INDEX(Parâmetros!$C$24:$C$26,MATCH(J847,Parâmetros!$A$24:$A$26,1))))</f>
        <v>0</v>
      </c>
      <c r="M847" s="31" t="n">
        <f aca="false">IF(G847="Prospecting",1,INDEX(Parâmetros!$C$32:$C$35,MATCH(J847,Parâmetros!$A$32:$A$35,1)))</f>
        <v>0.6</v>
      </c>
      <c r="N847" s="2" t="n">
        <f aca="false">ROUND((K847+L847)*M847,0)</f>
        <v>27</v>
      </c>
      <c r="O847" s="10" t="str">
        <f aca="false">IF(AND(G847="Engaging",J847&gt;Parâmetros!$B$6),"Sim","Não")</f>
        <v>Sim</v>
      </c>
      <c r="P847" s="32" t="str">
        <f aca="false">IF(O847="Sim","R",IF(N847&gt;=Parâmetros!$B$39,"A",IF(N847&gt;=Parâmetros!$B$40,"B",IF(N847&gt;=Parâmetros!$B$41,"C","D"))))</f>
        <v>R</v>
      </c>
      <c r="Q847" s="10" t="str">
        <f aca="false">IF(F847="","Completar cadastro","")</f>
        <v>Completar cadastro</v>
      </c>
      <c r="R847" s="10" t="str">
        <f aca="false">INDEX(Parâmetros!$D$39:$D$43,MATCH(P847,Parâmetros!$A$39:$A$43,0))</f>
        <v>Reciclar: requalificar, reengajar ou encerrar</v>
      </c>
    </row>
    <row r="848" customFormat="false" ht="15" hidden="false" customHeight="false" outlineLevel="0" collapsed="false">
      <c r="A848" s="10" t="s">
        <v>1090</v>
      </c>
      <c r="B848" s="10" t="s">
        <v>81</v>
      </c>
      <c r="C848" s="10" t="s">
        <v>78</v>
      </c>
      <c r="D848" s="10" t="s">
        <v>196</v>
      </c>
      <c r="E848" s="10" t="s">
        <v>47</v>
      </c>
      <c r="F848" s="10"/>
      <c r="G848" s="10" t="s">
        <v>162</v>
      </c>
      <c r="H848" s="30" t="n">
        <v>42953</v>
      </c>
      <c r="I848" s="8" t="n">
        <f aca="false">INDEX(Parâmetros!$C$13:$C$19,MATCH(E848,Parâmetros!$A$13:$A$19,0))</f>
        <v>5482</v>
      </c>
      <c r="J848" s="26" t="n">
        <f aca="false">IF(H848="","",Parâmetros!$B$5-H848)</f>
        <v>147</v>
      </c>
      <c r="K848" s="10" t="n">
        <f aca="false">INDEX(Parâmetros!$D$13:$D$19,MATCH(E848,Parâmetros!$A$13:$A$19,0))</f>
        <v>45</v>
      </c>
      <c r="L848" s="10" t="n">
        <f aca="false">IF(G848="Prospecting",Parâmetros!$B$9,IF(J848&gt;Parâmetros!$B$6,0,INDEX(Parâmetros!$C$24:$C$26,MATCH(J848,Parâmetros!$A$24:$A$26,1))))</f>
        <v>0</v>
      </c>
      <c r="M848" s="31" t="n">
        <f aca="false">IF(G848="Prospecting",1,INDEX(Parâmetros!$C$32:$C$35,MATCH(J848,Parâmetros!$A$32:$A$35,1)))</f>
        <v>0.6</v>
      </c>
      <c r="N848" s="2" t="n">
        <f aca="false">ROUND((K848+L848)*M848,0)</f>
        <v>27</v>
      </c>
      <c r="O848" s="10" t="str">
        <f aca="false">IF(AND(G848="Engaging",J848&gt;Parâmetros!$B$6),"Sim","Não")</f>
        <v>Sim</v>
      </c>
      <c r="P848" s="32" t="str">
        <f aca="false">IF(O848="Sim","R",IF(N848&gt;=Parâmetros!$B$39,"A",IF(N848&gt;=Parâmetros!$B$40,"B",IF(N848&gt;=Parâmetros!$B$41,"C","D"))))</f>
        <v>R</v>
      </c>
      <c r="Q848" s="10" t="str">
        <f aca="false">IF(F848="","Completar cadastro","")</f>
        <v>Completar cadastro</v>
      </c>
      <c r="R848" s="10" t="str">
        <f aca="false">INDEX(Parâmetros!$D$39:$D$43,MATCH(P848,Parâmetros!$A$39:$A$43,0))</f>
        <v>Reciclar: requalificar, reengajar ou encerrar</v>
      </c>
    </row>
    <row r="849" customFormat="false" ht="15" hidden="false" customHeight="false" outlineLevel="0" collapsed="false">
      <c r="A849" s="10" t="s">
        <v>1091</v>
      </c>
      <c r="B849" s="10" t="s">
        <v>61</v>
      </c>
      <c r="C849" s="10" t="s">
        <v>58</v>
      </c>
      <c r="D849" s="10" t="s">
        <v>165</v>
      </c>
      <c r="E849" s="10" t="s">
        <v>47</v>
      </c>
      <c r="F849" s="10"/>
      <c r="G849" s="10" t="s">
        <v>162</v>
      </c>
      <c r="H849" s="30" t="n">
        <v>42953</v>
      </c>
      <c r="I849" s="8" t="n">
        <f aca="false">INDEX(Parâmetros!$C$13:$C$19,MATCH(E849,Parâmetros!$A$13:$A$19,0))</f>
        <v>5482</v>
      </c>
      <c r="J849" s="26" t="n">
        <f aca="false">IF(H849="","",Parâmetros!$B$5-H849)</f>
        <v>147</v>
      </c>
      <c r="K849" s="10" t="n">
        <f aca="false">INDEX(Parâmetros!$D$13:$D$19,MATCH(E849,Parâmetros!$A$13:$A$19,0))</f>
        <v>45</v>
      </c>
      <c r="L849" s="10" t="n">
        <f aca="false">IF(G849="Prospecting",Parâmetros!$B$9,IF(J849&gt;Parâmetros!$B$6,0,INDEX(Parâmetros!$C$24:$C$26,MATCH(J849,Parâmetros!$A$24:$A$26,1))))</f>
        <v>0</v>
      </c>
      <c r="M849" s="31" t="n">
        <f aca="false">IF(G849="Prospecting",1,INDEX(Parâmetros!$C$32:$C$35,MATCH(J849,Parâmetros!$A$32:$A$35,1)))</f>
        <v>0.6</v>
      </c>
      <c r="N849" s="2" t="n">
        <f aca="false">ROUND((K849+L849)*M849,0)</f>
        <v>27</v>
      </c>
      <c r="O849" s="10" t="str">
        <f aca="false">IF(AND(G849="Engaging",J849&gt;Parâmetros!$B$6),"Sim","Não")</f>
        <v>Sim</v>
      </c>
      <c r="P849" s="32" t="str">
        <f aca="false">IF(O849="Sim","R",IF(N849&gt;=Parâmetros!$B$39,"A",IF(N849&gt;=Parâmetros!$B$40,"B",IF(N849&gt;=Parâmetros!$B$41,"C","D"))))</f>
        <v>R</v>
      </c>
      <c r="Q849" s="10" t="str">
        <f aca="false">IF(F849="","Completar cadastro","")</f>
        <v>Completar cadastro</v>
      </c>
      <c r="R849" s="10" t="str">
        <f aca="false">INDEX(Parâmetros!$D$39:$D$43,MATCH(P849,Parâmetros!$A$39:$A$43,0))</f>
        <v>Reciclar: requalificar, reengajar ou encerrar</v>
      </c>
    </row>
    <row r="850" customFormat="false" ht="15" hidden="false" customHeight="false" outlineLevel="0" collapsed="false">
      <c r="A850" s="10" t="s">
        <v>1092</v>
      </c>
      <c r="B850" s="10" t="s">
        <v>71</v>
      </c>
      <c r="C850" s="10" t="s">
        <v>72</v>
      </c>
      <c r="D850" s="10" t="s">
        <v>196</v>
      </c>
      <c r="E850" s="10" t="s">
        <v>47</v>
      </c>
      <c r="F850" s="10"/>
      <c r="G850" s="10" t="s">
        <v>162</v>
      </c>
      <c r="H850" s="30" t="n">
        <v>42956</v>
      </c>
      <c r="I850" s="8" t="n">
        <f aca="false">INDEX(Parâmetros!$C$13:$C$19,MATCH(E850,Parâmetros!$A$13:$A$19,0))</f>
        <v>5482</v>
      </c>
      <c r="J850" s="26" t="n">
        <f aca="false">IF(H850="","",Parâmetros!$B$5-H850)</f>
        <v>144</v>
      </c>
      <c r="K850" s="10" t="n">
        <f aca="false">INDEX(Parâmetros!$D$13:$D$19,MATCH(E850,Parâmetros!$A$13:$A$19,0))</f>
        <v>45</v>
      </c>
      <c r="L850" s="10" t="n">
        <f aca="false">IF(G850="Prospecting",Parâmetros!$B$9,IF(J850&gt;Parâmetros!$B$6,0,INDEX(Parâmetros!$C$24:$C$26,MATCH(J850,Parâmetros!$A$24:$A$26,1))))</f>
        <v>0</v>
      </c>
      <c r="M850" s="31" t="n">
        <f aca="false">IF(G850="Prospecting",1,INDEX(Parâmetros!$C$32:$C$35,MATCH(J850,Parâmetros!$A$32:$A$35,1)))</f>
        <v>0.6</v>
      </c>
      <c r="N850" s="2" t="n">
        <f aca="false">ROUND((K850+L850)*M850,0)</f>
        <v>27</v>
      </c>
      <c r="O850" s="10" t="str">
        <f aca="false">IF(AND(G850="Engaging",J850&gt;Parâmetros!$B$6),"Sim","Não")</f>
        <v>Sim</v>
      </c>
      <c r="P850" s="32" t="str">
        <f aca="false">IF(O850="Sim","R",IF(N850&gt;=Parâmetros!$B$39,"A",IF(N850&gt;=Parâmetros!$B$40,"B",IF(N850&gt;=Parâmetros!$B$41,"C","D"))))</f>
        <v>R</v>
      </c>
      <c r="Q850" s="10" t="str">
        <f aca="false">IF(F850="","Completar cadastro","")</f>
        <v>Completar cadastro</v>
      </c>
      <c r="R850" s="10" t="str">
        <f aca="false">INDEX(Parâmetros!$D$39:$D$43,MATCH(P850,Parâmetros!$A$39:$A$43,0))</f>
        <v>Reciclar: requalificar, reengajar ou encerrar</v>
      </c>
    </row>
    <row r="851" customFormat="false" ht="15" hidden="false" customHeight="false" outlineLevel="0" collapsed="false">
      <c r="A851" s="10" t="s">
        <v>1093</v>
      </c>
      <c r="B851" s="10" t="s">
        <v>81</v>
      </c>
      <c r="C851" s="10" t="s">
        <v>78</v>
      </c>
      <c r="D851" s="10" t="s">
        <v>196</v>
      </c>
      <c r="E851" s="10" t="s">
        <v>47</v>
      </c>
      <c r="F851" s="10" t="s">
        <v>424</v>
      </c>
      <c r="G851" s="10" t="s">
        <v>162</v>
      </c>
      <c r="H851" s="30" t="n">
        <v>42956</v>
      </c>
      <c r="I851" s="8" t="n">
        <f aca="false">INDEX(Parâmetros!$C$13:$C$19,MATCH(E851,Parâmetros!$A$13:$A$19,0))</f>
        <v>5482</v>
      </c>
      <c r="J851" s="26" t="n">
        <f aca="false">IF(H851="","",Parâmetros!$B$5-H851)</f>
        <v>144</v>
      </c>
      <c r="K851" s="10" t="n">
        <f aca="false">INDEX(Parâmetros!$D$13:$D$19,MATCH(E851,Parâmetros!$A$13:$A$19,0))</f>
        <v>45</v>
      </c>
      <c r="L851" s="10" t="n">
        <f aca="false">IF(G851="Prospecting",Parâmetros!$B$9,IF(J851&gt;Parâmetros!$B$6,0,INDEX(Parâmetros!$C$24:$C$26,MATCH(J851,Parâmetros!$A$24:$A$26,1))))</f>
        <v>0</v>
      </c>
      <c r="M851" s="31" t="n">
        <f aca="false">IF(G851="Prospecting",1,INDEX(Parâmetros!$C$32:$C$35,MATCH(J851,Parâmetros!$A$32:$A$35,1)))</f>
        <v>0.6</v>
      </c>
      <c r="N851" s="2" t="n">
        <f aca="false">ROUND((K851+L851)*M851,0)</f>
        <v>27</v>
      </c>
      <c r="O851" s="10" t="str">
        <f aca="false">IF(AND(G851="Engaging",J851&gt;Parâmetros!$B$6),"Sim","Não")</f>
        <v>Sim</v>
      </c>
      <c r="P851" s="32" t="str">
        <f aca="false">IF(O851="Sim","R",IF(N851&gt;=Parâmetros!$B$39,"A",IF(N851&gt;=Parâmetros!$B$40,"B",IF(N851&gt;=Parâmetros!$B$41,"C","D"))))</f>
        <v>R</v>
      </c>
      <c r="Q851" s="10" t="str">
        <f aca="false">IF(F851="","Completar cadastro","")</f>
        <v/>
      </c>
      <c r="R851" s="10" t="str">
        <f aca="false">INDEX(Parâmetros!$D$39:$D$43,MATCH(P851,Parâmetros!$A$39:$A$43,0))</f>
        <v>Reciclar: requalificar, reengajar ou encerrar</v>
      </c>
    </row>
    <row r="852" customFormat="false" ht="15" hidden="false" customHeight="false" outlineLevel="0" collapsed="false">
      <c r="A852" s="10" t="s">
        <v>1094</v>
      </c>
      <c r="B852" s="10" t="s">
        <v>77</v>
      </c>
      <c r="C852" s="10" t="s">
        <v>78</v>
      </c>
      <c r="D852" s="10" t="s">
        <v>196</v>
      </c>
      <c r="E852" s="10" t="s">
        <v>47</v>
      </c>
      <c r="F852" s="10"/>
      <c r="G852" s="10" t="s">
        <v>162</v>
      </c>
      <c r="H852" s="30" t="n">
        <v>42957</v>
      </c>
      <c r="I852" s="8" t="n">
        <f aca="false">INDEX(Parâmetros!$C$13:$C$19,MATCH(E852,Parâmetros!$A$13:$A$19,0))</f>
        <v>5482</v>
      </c>
      <c r="J852" s="26" t="n">
        <f aca="false">IF(H852="","",Parâmetros!$B$5-H852)</f>
        <v>143</v>
      </c>
      <c r="K852" s="10" t="n">
        <f aca="false">INDEX(Parâmetros!$D$13:$D$19,MATCH(E852,Parâmetros!$A$13:$A$19,0))</f>
        <v>45</v>
      </c>
      <c r="L852" s="10" t="n">
        <f aca="false">IF(G852="Prospecting",Parâmetros!$B$9,IF(J852&gt;Parâmetros!$B$6,0,INDEX(Parâmetros!$C$24:$C$26,MATCH(J852,Parâmetros!$A$24:$A$26,1))))</f>
        <v>0</v>
      </c>
      <c r="M852" s="31" t="n">
        <f aca="false">IF(G852="Prospecting",1,INDEX(Parâmetros!$C$32:$C$35,MATCH(J852,Parâmetros!$A$32:$A$35,1)))</f>
        <v>0.6</v>
      </c>
      <c r="N852" s="2" t="n">
        <f aca="false">ROUND((K852+L852)*M852,0)</f>
        <v>27</v>
      </c>
      <c r="O852" s="10" t="str">
        <f aca="false">IF(AND(G852="Engaging",J852&gt;Parâmetros!$B$6),"Sim","Não")</f>
        <v>Sim</v>
      </c>
      <c r="P852" s="32" t="str">
        <f aca="false">IF(O852="Sim","R",IF(N852&gt;=Parâmetros!$B$39,"A",IF(N852&gt;=Parâmetros!$B$40,"B",IF(N852&gt;=Parâmetros!$B$41,"C","D"))))</f>
        <v>R</v>
      </c>
      <c r="Q852" s="10" t="str">
        <f aca="false">IF(F852="","Completar cadastro","")</f>
        <v>Completar cadastro</v>
      </c>
      <c r="R852" s="10" t="str">
        <f aca="false">INDEX(Parâmetros!$D$39:$D$43,MATCH(P852,Parâmetros!$A$39:$A$43,0))</f>
        <v>Reciclar: requalificar, reengajar ou encerrar</v>
      </c>
    </row>
    <row r="853" customFormat="false" ht="15" hidden="false" customHeight="false" outlineLevel="0" collapsed="false">
      <c r="A853" s="10" t="s">
        <v>1095</v>
      </c>
      <c r="B853" s="10" t="s">
        <v>81</v>
      </c>
      <c r="C853" s="10" t="s">
        <v>78</v>
      </c>
      <c r="D853" s="10" t="s">
        <v>196</v>
      </c>
      <c r="E853" s="10" t="s">
        <v>47</v>
      </c>
      <c r="F853" s="10" t="s">
        <v>427</v>
      </c>
      <c r="G853" s="10" t="s">
        <v>162</v>
      </c>
      <c r="H853" s="30" t="n">
        <v>42957</v>
      </c>
      <c r="I853" s="8" t="n">
        <f aca="false">INDEX(Parâmetros!$C$13:$C$19,MATCH(E853,Parâmetros!$A$13:$A$19,0))</f>
        <v>5482</v>
      </c>
      <c r="J853" s="26" t="n">
        <f aca="false">IF(H853="","",Parâmetros!$B$5-H853)</f>
        <v>143</v>
      </c>
      <c r="K853" s="10" t="n">
        <f aca="false">INDEX(Parâmetros!$D$13:$D$19,MATCH(E853,Parâmetros!$A$13:$A$19,0))</f>
        <v>45</v>
      </c>
      <c r="L853" s="10" t="n">
        <f aca="false">IF(G853="Prospecting",Parâmetros!$B$9,IF(J853&gt;Parâmetros!$B$6,0,INDEX(Parâmetros!$C$24:$C$26,MATCH(J853,Parâmetros!$A$24:$A$26,1))))</f>
        <v>0</v>
      </c>
      <c r="M853" s="31" t="n">
        <f aca="false">IF(G853="Prospecting",1,INDEX(Parâmetros!$C$32:$C$35,MATCH(J853,Parâmetros!$A$32:$A$35,1)))</f>
        <v>0.6</v>
      </c>
      <c r="N853" s="2" t="n">
        <f aca="false">ROUND((K853+L853)*M853,0)</f>
        <v>27</v>
      </c>
      <c r="O853" s="10" t="str">
        <f aca="false">IF(AND(G853="Engaging",J853&gt;Parâmetros!$B$6),"Sim","Não")</f>
        <v>Sim</v>
      </c>
      <c r="P853" s="32" t="str">
        <f aca="false">IF(O853="Sim","R",IF(N853&gt;=Parâmetros!$B$39,"A",IF(N853&gt;=Parâmetros!$B$40,"B",IF(N853&gt;=Parâmetros!$B$41,"C","D"))))</f>
        <v>R</v>
      </c>
      <c r="Q853" s="10" t="str">
        <f aca="false">IF(F853="","Completar cadastro","")</f>
        <v/>
      </c>
      <c r="R853" s="10" t="str">
        <f aca="false">INDEX(Parâmetros!$D$39:$D$43,MATCH(P853,Parâmetros!$A$39:$A$43,0))</f>
        <v>Reciclar: requalificar, reengajar ou encerrar</v>
      </c>
    </row>
    <row r="854" customFormat="false" ht="15" hidden="false" customHeight="false" outlineLevel="0" collapsed="false">
      <c r="A854" s="10" t="s">
        <v>1096</v>
      </c>
      <c r="B854" s="10" t="s">
        <v>79</v>
      </c>
      <c r="C854" s="10" t="s">
        <v>78</v>
      </c>
      <c r="D854" s="10" t="s">
        <v>196</v>
      </c>
      <c r="E854" s="10" t="s">
        <v>47</v>
      </c>
      <c r="F854" s="10" t="s">
        <v>277</v>
      </c>
      <c r="G854" s="10" t="s">
        <v>162</v>
      </c>
      <c r="H854" s="30" t="n">
        <v>42958</v>
      </c>
      <c r="I854" s="8" t="n">
        <f aca="false">INDEX(Parâmetros!$C$13:$C$19,MATCH(E854,Parâmetros!$A$13:$A$19,0))</f>
        <v>5482</v>
      </c>
      <c r="J854" s="26" t="n">
        <f aca="false">IF(H854="","",Parâmetros!$B$5-H854)</f>
        <v>142</v>
      </c>
      <c r="K854" s="10" t="n">
        <f aca="false">INDEX(Parâmetros!$D$13:$D$19,MATCH(E854,Parâmetros!$A$13:$A$19,0))</f>
        <v>45</v>
      </c>
      <c r="L854" s="10" t="n">
        <f aca="false">IF(G854="Prospecting",Parâmetros!$B$9,IF(J854&gt;Parâmetros!$B$6,0,INDEX(Parâmetros!$C$24:$C$26,MATCH(J854,Parâmetros!$A$24:$A$26,1))))</f>
        <v>0</v>
      </c>
      <c r="M854" s="31" t="n">
        <f aca="false">IF(G854="Prospecting",1,INDEX(Parâmetros!$C$32:$C$35,MATCH(J854,Parâmetros!$A$32:$A$35,1)))</f>
        <v>0.6</v>
      </c>
      <c r="N854" s="2" t="n">
        <f aca="false">ROUND((K854+L854)*M854,0)</f>
        <v>27</v>
      </c>
      <c r="O854" s="10" t="str">
        <f aca="false">IF(AND(G854="Engaging",J854&gt;Parâmetros!$B$6),"Sim","Não")</f>
        <v>Sim</v>
      </c>
      <c r="P854" s="32" t="str">
        <f aca="false">IF(O854="Sim","R",IF(N854&gt;=Parâmetros!$B$39,"A",IF(N854&gt;=Parâmetros!$B$40,"B",IF(N854&gt;=Parâmetros!$B$41,"C","D"))))</f>
        <v>R</v>
      </c>
      <c r="Q854" s="10" t="str">
        <f aca="false">IF(F854="","Completar cadastro","")</f>
        <v/>
      </c>
      <c r="R854" s="10" t="str">
        <f aca="false">INDEX(Parâmetros!$D$39:$D$43,MATCH(P854,Parâmetros!$A$39:$A$43,0))</f>
        <v>Reciclar: requalificar, reengajar ou encerrar</v>
      </c>
    </row>
    <row r="855" customFormat="false" ht="15" hidden="false" customHeight="false" outlineLevel="0" collapsed="false">
      <c r="A855" s="10" t="s">
        <v>1097</v>
      </c>
      <c r="B855" s="10" t="s">
        <v>70</v>
      </c>
      <c r="C855" s="10" t="s">
        <v>65</v>
      </c>
      <c r="D855" s="10" t="s">
        <v>160</v>
      </c>
      <c r="E855" s="10" t="s">
        <v>47</v>
      </c>
      <c r="F855" s="10"/>
      <c r="G855" s="10" t="s">
        <v>162</v>
      </c>
      <c r="H855" s="30" t="n">
        <v>42959</v>
      </c>
      <c r="I855" s="8" t="n">
        <f aca="false">INDEX(Parâmetros!$C$13:$C$19,MATCH(E855,Parâmetros!$A$13:$A$19,0))</f>
        <v>5482</v>
      </c>
      <c r="J855" s="26" t="n">
        <f aca="false">IF(H855="","",Parâmetros!$B$5-H855)</f>
        <v>141</v>
      </c>
      <c r="K855" s="10" t="n">
        <f aca="false">INDEX(Parâmetros!$D$13:$D$19,MATCH(E855,Parâmetros!$A$13:$A$19,0))</f>
        <v>45</v>
      </c>
      <c r="L855" s="10" t="n">
        <f aca="false">IF(G855="Prospecting",Parâmetros!$B$9,IF(J855&gt;Parâmetros!$B$6,0,INDEX(Parâmetros!$C$24:$C$26,MATCH(J855,Parâmetros!$A$24:$A$26,1))))</f>
        <v>0</v>
      </c>
      <c r="M855" s="31" t="n">
        <f aca="false">IF(G855="Prospecting",1,INDEX(Parâmetros!$C$32:$C$35,MATCH(J855,Parâmetros!$A$32:$A$35,1)))</f>
        <v>0.6</v>
      </c>
      <c r="N855" s="2" t="n">
        <f aca="false">ROUND((K855+L855)*M855,0)</f>
        <v>27</v>
      </c>
      <c r="O855" s="10" t="str">
        <f aca="false">IF(AND(G855="Engaging",J855&gt;Parâmetros!$B$6),"Sim","Não")</f>
        <v>Sim</v>
      </c>
      <c r="P855" s="32" t="str">
        <f aca="false">IF(O855="Sim","R",IF(N855&gt;=Parâmetros!$B$39,"A",IF(N855&gt;=Parâmetros!$B$40,"B",IF(N855&gt;=Parâmetros!$B$41,"C","D"))))</f>
        <v>R</v>
      </c>
      <c r="Q855" s="10" t="str">
        <f aca="false">IF(F855="","Completar cadastro","")</f>
        <v>Completar cadastro</v>
      </c>
      <c r="R855" s="10" t="str">
        <f aca="false">INDEX(Parâmetros!$D$39:$D$43,MATCH(P855,Parâmetros!$A$39:$A$43,0))</f>
        <v>Reciclar: requalificar, reengajar ou encerrar</v>
      </c>
    </row>
    <row r="856" customFormat="false" ht="15" hidden="false" customHeight="false" outlineLevel="0" collapsed="false">
      <c r="A856" s="10" t="s">
        <v>1098</v>
      </c>
      <c r="B856" s="10" t="s">
        <v>67</v>
      </c>
      <c r="C856" s="10" t="s">
        <v>65</v>
      </c>
      <c r="D856" s="10" t="s">
        <v>160</v>
      </c>
      <c r="E856" s="10" t="s">
        <v>47</v>
      </c>
      <c r="F856" s="10"/>
      <c r="G856" s="10" t="s">
        <v>162</v>
      </c>
      <c r="H856" s="30" t="n">
        <v>42960</v>
      </c>
      <c r="I856" s="8" t="n">
        <f aca="false">INDEX(Parâmetros!$C$13:$C$19,MATCH(E856,Parâmetros!$A$13:$A$19,0))</f>
        <v>5482</v>
      </c>
      <c r="J856" s="26" t="n">
        <f aca="false">IF(H856="","",Parâmetros!$B$5-H856)</f>
        <v>140</v>
      </c>
      <c r="K856" s="10" t="n">
        <f aca="false">INDEX(Parâmetros!$D$13:$D$19,MATCH(E856,Parâmetros!$A$13:$A$19,0))</f>
        <v>45</v>
      </c>
      <c r="L856" s="10" t="n">
        <f aca="false">IF(G856="Prospecting",Parâmetros!$B$9,IF(J856&gt;Parâmetros!$B$6,0,INDEX(Parâmetros!$C$24:$C$26,MATCH(J856,Parâmetros!$A$24:$A$26,1))))</f>
        <v>0</v>
      </c>
      <c r="M856" s="31" t="n">
        <f aca="false">IF(G856="Prospecting",1,INDEX(Parâmetros!$C$32:$C$35,MATCH(J856,Parâmetros!$A$32:$A$35,1)))</f>
        <v>0.6</v>
      </c>
      <c r="N856" s="2" t="n">
        <f aca="false">ROUND((K856+L856)*M856,0)</f>
        <v>27</v>
      </c>
      <c r="O856" s="10" t="str">
        <f aca="false">IF(AND(G856="Engaging",J856&gt;Parâmetros!$B$6),"Sim","Não")</f>
        <v>Sim</v>
      </c>
      <c r="P856" s="32" t="str">
        <f aca="false">IF(O856="Sim","R",IF(N856&gt;=Parâmetros!$B$39,"A",IF(N856&gt;=Parâmetros!$B$40,"B",IF(N856&gt;=Parâmetros!$B$41,"C","D"))))</f>
        <v>R</v>
      </c>
      <c r="Q856" s="10" t="str">
        <f aca="false">IF(F856="","Completar cadastro","")</f>
        <v>Completar cadastro</v>
      </c>
      <c r="R856" s="10" t="str">
        <f aca="false">INDEX(Parâmetros!$D$39:$D$43,MATCH(P856,Parâmetros!$A$39:$A$43,0))</f>
        <v>Reciclar: requalificar, reengajar ou encerrar</v>
      </c>
    </row>
    <row r="857" customFormat="false" ht="15" hidden="false" customHeight="false" outlineLevel="0" collapsed="false">
      <c r="A857" s="10" t="s">
        <v>1099</v>
      </c>
      <c r="B857" s="10" t="s">
        <v>95</v>
      </c>
      <c r="C857" s="10" t="s">
        <v>92</v>
      </c>
      <c r="D857" s="10" t="s">
        <v>160</v>
      </c>
      <c r="E857" s="10" t="s">
        <v>47</v>
      </c>
      <c r="F857" s="10" t="s">
        <v>233</v>
      </c>
      <c r="G857" s="10" t="s">
        <v>162</v>
      </c>
      <c r="H857" s="30" t="n">
        <v>42960</v>
      </c>
      <c r="I857" s="8" t="n">
        <f aca="false">INDEX(Parâmetros!$C$13:$C$19,MATCH(E857,Parâmetros!$A$13:$A$19,0))</f>
        <v>5482</v>
      </c>
      <c r="J857" s="26" t="n">
        <f aca="false">IF(H857="","",Parâmetros!$B$5-H857)</f>
        <v>140</v>
      </c>
      <c r="K857" s="10" t="n">
        <f aca="false">INDEX(Parâmetros!$D$13:$D$19,MATCH(E857,Parâmetros!$A$13:$A$19,0))</f>
        <v>45</v>
      </c>
      <c r="L857" s="10" t="n">
        <f aca="false">IF(G857="Prospecting",Parâmetros!$B$9,IF(J857&gt;Parâmetros!$B$6,0,INDEX(Parâmetros!$C$24:$C$26,MATCH(J857,Parâmetros!$A$24:$A$26,1))))</f>
        <v>0</v>
      </c>
      <c r="M857" s="31" t="n">
        <f aca="false">IF(G857="Prospecting",1,INDEX(Parâmetros!$C$32:$C$35,MATCH(J857,Parâmetros!$A$32:$A$35,1)))</f>
        <v>0.6</v>
      </c>
      <c r="N857" s="2" t="n">
        <f aca="false">ROUND((K857+L857)*M857,0)</f>
        <v>27</v>
      </c>
      <c r="O857" s="10" t="str">
        <f aca="false">IF(AND(G857="Engaging",J857&gt;Parâmetros!$B$6),"Sim","Não")</f>
        <v>Sim</v>
      </c>
      <c r="P857" s="32" t="str">
        <f aca="false">IF(O857="Sim","R",IF(N857&gt;=Parâmetros!$B$39,"A",IF(N857&gt;=Parâmetros!$B$40,"B",IF(N857&gt;=Parâmetros!$B$41,"C","D"))))</f>
        <v>R</v>
      </c>
      <c r="Q857" s="10" t="str">
        <f aca="false">IF(F857="","Completar cadastro","")</f>
        <v/>
      </c>
      <c r="R857" s="10" t="str">
        <f aca="false">INDEX(Parâmetros!$D$39:$D$43,MATCH(P857,Parâmetros!$A$39:$A$43,0))</f>
        <v>Reciclar: requalificar, reengajar ou encerrar</v>
      </c>
    </row>
    <row r="858" customFormat="false" ht="15" hidden="false" customHeight="false" outlineLevel="0" collapsed="false">
      <c r="A858" s="10" t="s">
        <v>1100</v>
      </c>
      <c r="B858" s="10" t="s">
        <v>71</v>
      </c>
      <c r="C858" s="10" t="s">
        <v>72</v>
      </c>
      <c r="D858" s="10" t="s">
        <v>196</v>
      </c>
      <c r="E858" s="10" t="s">
        <v>47</v>
      </c>
      <c r="F858" s="10" t="s">
        <v>422</v>
      </c>
      <c r="G858" s="10" t="s">
        <v>162</v>
      </c>
      <c r="H858" s="30" t="n">
        <v>42961</v>
      </c>
      <c r="I858" s="8" t="n">
        <f aca="false">INDEX(Parâmetros!$C$13:$C$19,MATCH(E858,Parâmetros!$A$13:$A$19,0))</f>
        <v>5482</v>
      </c>
      <c r="J858" s="26" t="n">
        <f aca="false">IF(H858="","",Parâmetros!$B$5-H858)</f>
        <v>139</v>
      </c>
      <c r="K858" s="10" t="n">
        <f aca="false">INDEX(Parâmetros!$D$13:$D$19,MATCH(E858,Parâmetros!$A$13:$A$19,0))</f>
        <v>45</v>
      </c>
      <c r="L858" s="10" t="n">
        <f aca="false">IF(G858="Prospecting",Parâmetros!$B$9,IF(J858&gt;Parâmetros!$B$6,0,INDEX(Parâmetros!$C$24:$C$26,MATCH(J858,Parâmetros!$A$24:$A$26,1))))</f>
        <v>0</v>
      </c>
      <c r="M858" s="31" t="n">
        <f aca="false">IF(G858="Prospecting",1,INDEX(Parâmetros!$C$32:$C$35,MATCH(J858,Parâmetros!$A$32:$A$35,1)))</f>
        <v>0.6</v>
      </c>
      <c r="N858" s="2" t="n">
        <f aca="false">ROUND((K858+L858)*M858,0)</f>
        <v>27</v>
      </c>
      <c r="O858" s="10" t="str">
        <f aca="false">IF(AND(G858="Engaging",J858&gt;Parâmetros!$B$6),"Sim","Não")</f>
        <v>Sim</v>
      </c>
      <c r="P858" s="32" t="str">
        <f aca="false">IF(O858="Sim","R",IF(N858&gt;=Parâmetros!$B$39,"A",IF(N858&gt;=Parâmetros!$B$40,"B",IF(N858&gt;=Parâmetros!$B$41,"C","D"))))</f>
        <v>R</v>
      </c>
      <c r="Q858" s="10" t="str">
        <f aca="false">IF(F858="","Completar cadastro","")</f>
        <v/>
      </c>
      <c r="R858" s="10" t="str">
        <f aca="false">INDEX(Parâmetros!$D$39:$D$43,MATCH(P858,Parâmetros!$A$39:$A$43,0))</f>
        <v>Reciclar: requalificar, reengajar ou encerrar</v>
      </c>
    </row>
    <row r="859" customFormat="false" ht="15" hidden="false" customHeight="false" outlineLevel="0" collapsed="false">
      <c r="A859" s="10" t="s">
        <v>1101</v>
      </c>
      <c r="B859" s="10" t="s">
        <v>96</v>
      </c>
      <c r="C859" s="10" t="s">
        <v>92</v>
      </c>
      <c r="D859" s="10" t="s">
        <v>160</v>
      </c>
      <c r="E859" s="10" t="s">
        <v>48</v>
      </c>
      <c r="F859" s="10"/>
      <c r="G859" s="10" t="s">
        <v>162</v>
      </c>
      <c r="H859" s="30" t="n">
        <v>42922</v>
      </c>
      <c r="I859" s="8" t="n">
        <f aca="false">INDEX(Parâmetros!$C$13:$C$19,MATCH(E859,Parâmetros!$A$13:$A$19,0))</f>
        <v>4821</v>
      </c>
      <c r="J859" s="26" t="n">
        <f aca="false">IF(H859="","",Parâmetros!$B$5-H859)</f>
        <v>178</v>
      </c>
      <c r="K859" s="10" t="n">
        <f aca="false">INDEX(Parâmetros!$D$13:$D$19,MATCH(E859,Parâmetros!$A$13:$A$19,0))</f>
        <v>43</v>
      </c>
      <c r="L859" s="10" t="n">
        <f aca="false">IF(G859="Prospecting",Parâmetros!$B$9,IF(J859&gt;Parâmetros!$B$6,0,INDEX(Parâmetros!$C$24:$C$26,MATCH(J859,Parâmetros!$A$24:$A$26,1))))</f>
        <v>0</v>
      </c>
      <c r="M859" s="31" t="n">
        <f aca="false">IF(G859="Prospecting",1,INDEX(Parâmetros!$C$32:$C$35,MATCH(J859,Parâmetros!$A$32:$A$35,1)))</f>
        <v>0.6</v>
      </c>
      <c r="N859" s="2" t="n">
        <f aca="false">ROUND((K859+L859)*M859,0)</f>
        <v>26</v>
      </c>
      <c r="O859" s="10" t="str">
        <f aca="false">IF(AND(G859="Engaging",J859&gt;Parâmetros!$B$6),"Sim","Não")</f>
        <v>Sim</v>
      </c>
      <c r="P859" s="32" t="str">
        <f aca="false">IF(O859="Sim","R",IF(N859&gt;=Parâmetros!$B$39,"A",IF(N859&gt;=Parâmetros!$B$40,"B",IF(N859&gt;=Parâmetros!$B$41,"C","D"))))</f>
        <v>R</v>
      </c>
      <c r="Q859" s="10" t="str">
        <f aca="false">IF(F859="","Completar cadastro","")</f>
        <v>Completar cadastro</v>
      </c>
      <c r="R859" s="10" t="str">
        <f aca="false">INDEX(Parâmetros!$D$39:$D$43,MATCH(P859,Parâmetros!$A$39:$A$43,0))</f>
        <v>Reciclar: requalificar, reengajar ou encerrar</v>
      </c>
    </row>
    <row r="860" customFormat="false" ht="15" hidden="false" customHeight="false" outlineLevel="0" collapsed="false">
      <c r="A860" s="10" t="s">
        <v>1102</v>
      </c>
      <c r="B860" s="10" t="s">
        <v>84</v>
      </c>
      <c r="C860" s="10" t="s">
        <v>85</v>
      </c>
      <c r="D860" s="10" t="s">
        <v>165</v>
      </c>
      <c r="E860" s="10" t="s">
        <v>48</v>
      </c>
      <c r="F860" s="10"/>
      <c r="G860" s="10" t="s">
        <v>162</v>
      </c>
      <c r="H860" s="30" t="n">
        <v>42923</v>
      </c>
      <c r="I860" s="8" t="n">
        <f aca="false">INDEX(Parâmetros!$C$13:$C$19,MATCH(E860,Parâmetros!$A$13:$A$19,0))</f>
        <v>4821</v>
      </c>
      <c r="J860" s="26" t="n">
        <f aca="false">IF(H860="","",Parâmetros!$B$5-H860)</f>
        <v>177</v>
      </c>
      <c r="K860" s="10" t="n">
        <f aca="false">INDEX(Parâmetros!$D$13:$D$19,MATCH(E860,Parâmetros!$A$13:$A$19,0))</f>
        <v>43</v>
      </c>
      <c r="L860" s="10" t="n">
        <f aca="false">IF(G860="Prospecting",Parâmetros!$B$9,IF(J860&gt;Parâmetros!$B$6,0,INDEX(Parâmetros!$C$24:$C$26,MATCH(J860,Parâmetros!$A$24:$A$26,1))))</f>
        <v>0</v>
      </c>
      <c r="M860" s="31" t="n">
        <f aca="false">IF(G860="Prospecting",1,INDEX(Parâmetros!$C$32:$C$35,MATCH(J860,Parâmetros!$A$32:$A$35,1)))</f>
        <v>0.6</v>
      </c>
      <c r="N860" s="2" t="n">
        <f aca="false">ROUND((K860+L860)*M860,0)</f>
        <v>26</v>
      </c>
      <c r="O860" s="10" t="str">
        <f aca="false">IF(AND(G860="Engaging",J860&gt;Parâmetros!$B$6),"Sim","Não")</f>
        <v>Sim</v>
      </c>
      <c r="P860" s="32" t="str">
        <f aca="false">IF(O860="Sim","R",IF(N860&gt;=Parâmetros!$B$39,"A",IF(N860&gt;=Parâmetros!$B$40,"B",IF(N860&gt;=Parâmetros!$B$41,"C","D"))))</f>
        <v>R</v>
      </c>
      <c r="Q860" s="10" t="str">
        <f aca="false">IF(F860="","Completar cadastro","")</f>
        <v>Completar cadastro</v>
      </c>
      <c r="R860" s="10" t="str">
        <f aca="false">INDEX(Parâmetros!$D$39:$D$43,MATCH(P860,Parâmetros!$A$39:$A$43,0))</f>
        <v>Reciclar: requalificar, reengajar ou encerrar</v>
      </c>
    </row>
    <row r="861" customFormat="false" ht="15" hidden="false" customHeight="false" outlineLevel="0" collapsed="false">
      <c r="A861" s="10" t="s">
        <v>1103</v>
      </c>
      <c r="B861" s="10" t="s">
        <v>87</v>
      </c>
      <c r="C861" s="10" t="s">
        <v>85</v>
      </c>
      <c r="D861" s="10" t="s">
        <v>165</v>
      </c>
      <c r="E861" s="10" t="s">
        <v>48</v>
      </c>
      <c r="F861" s="10" t="s">
        <v>947</v>
      </c>
      <c r="G861" s="10" t="s">
        <v>162</v>
      </c>
      <c r="H861" s="30" t="n">
        <v>42925</v>
      </c>
      <c r="I861" s="8" t="n">
        <f aca="false">INDEX(Parâmetros!$C$13:$C$19,MATCH(E861,Parâmetros!$A$13:$A$19,0))</f>
        <v>4821</v>
      </c>
      <c r="J861" s="26" t="n">
        <f aca="false">IF(H861="","",Parâmetros!$B$5-H861)</f>
        <v>175</v>
      </c>
      <c r="K861" s="10" t="n">
        <f aca="false">INDEX(Parâmetros!$D$13:$D$19,MATCH(E861,Parâmetros!$A$13:$A$19,0))</f>
        <v>43</v>
      </c>
      <c r="L861" s="10" t="n">
        <f aca="false">IF(G861="Prospecting",Parâmetros!$B$9,IF(J861&gt;Parâmetros!$B$6,0,INDEX(Parâmetros!$C$24:$C$26,MATCH(J861,Parâmetros!$A$24:$A$26,1))))</f>
        <v>0</v>
      </c>
      <c r="M861" s="31" t="n">
        <f aca="false">IF(G861="Prospecting",1,INDEX(Parâmetros!$C$32:$C$35,MATCH(J861,Parâmetros!$A$32:$A$35,1)))</f>
        <v>0.6</v>
      </c>
      <c r="N861" s="2" t="n">
        <f aca="false">ROUND((K861+L861)*M861,0)</f>
        <v>26</v>
      </c>
      <c r="O861" s="10" t="str">
        <f aca="false">IF(AND(G861="Engaging",J861&gt;Parâmetros!$B$6),"Sim","Não")</f>
        <v>Sim</v>
      </c>
      <c r="P861" s="32" t="str">
        <f aca="false">IF(O861="Sim","R",IF(N861&gt;=Parâmetros!$B$39,"A",IF(N861&gt;=Parâmetros!$B$40,"B",IF(N861&gt;=Parâmetros!$B$41,"C","D"))))</f>
        <v>R</v>
      </c>
      <c r="Q861" s="10" t="str">
        <f aca="false">IF(F861="","Completar cadastro","")</f>
        <v/>
      </c>
      <c r="R861" s="10" t="str">
        <f aca="false">INDEX(Parâmetros!$D$39:$D$43,MATCH(P861,Parâmetros!$A$39:$A$43,0))</f>
        <v>Reciclar: requalificar, reengajar ou encerrar</v>
      </c>
    </row>
    <row r="862" customFormat="false" ht="15" hidden="false" customHeight="false" outlineLevel="0" collapsed="false">
      <c r="A862" s="10" t="s">
        <v>1104</v>
      </c>
      <c r="B862" s="10" t="s">
        <v>69</v>
      </c>
      <c r="C862" s="10" t="s">
        <v>65</v>
      </c>
      <c r="D862" s="10" t="s">
        <v>160</v>
      </c>
      <c r="E862" s="10" t="s">
        <v>48</v>
      </c>
      <c r="F862" s="10" t="s">
        <v>869</v>
      </c>
      <c r="G862" s="10" t="s">
        <v>162</v>
      </c>
      <c r="H862" s="30" t="n">
        <v>42925</v>
      </c>
      <c r="I862" s="8" t="n">
        <f aca="false">INDEX(Parâmetros!$C$13:$C$19,MATCH(E862,Parâmetros!$A$13:$A$19,0))</f>
        <v>4821</v>
      </c>
      <c r="J862" s="26" t="n">
        <f aca="false">IF(H862="","",Parâmetros!$B$5-H862)</f>
        <v>175</v>
      </c>
      <c r="K862" s="10" t="n">
        <f aca="false">INDEX(Parâmetros!$D$13:$D$19,MATCH(E862,Parâmetros!$A$13:$A$19,0))</f>
        <v>43</v>
      </c>
      <c r="L862" s="10" t="n">
        <f aca="false">IF(G862="Prospecting",Parâmetros!$B$9,IF(J862&gt;Parâmetros!$B$6,0,INDEX(Parâmetros!$C$24:$C$26,MATCH(J862,Parâmetros!$A$24:$A$26,1))))</f>
        <v>0</v>
      </c>
      <c r="M862" s="31" t="n">
        <f aca="false">IF(G862="Prospecting",1,INDEX(Parâmetros!$C$32:$C$35,MATCH(J862,Parâmetros!$A$32:$A$35,1)))</f>
        <v>0.6</v>
      </c>
      <c r="N862" s="2" t="n">
        <f aca="false">ROUND((K862+L862)*M862,0)</f>
        <v>26</v>
      </c>
      <c r="O862" s="10" t="str">
        <f aca="false">IF(AND(G862="Engaging",J862&gt;Parâmetros!$B$6),"Sim","Não")</f>
        <v>Sim</v>
      </c>
      <c r="P862" s="32" t="str">
        <f aca="false">IF(O862="Sim","R",IF(N862&gt;=Parâmetros!$B$39,"A",IF(N862&gt;=Parâmetros!$B$40,"B",IF(N862&gt;=Parâmetros!$B$41,"C","D"))))</f>
        <v>R</v>
      </c>
      <c r="Q862" s="10" t="str">
        <f aca="false">IF(F862="","Completar cadastro","")</f>
        <v/>
      </c>
      <c r="R862" s="10" t="str">
        <f aca="false">INDEX(Parâmetros!$D$39:$D$43,MATCH(P862,Parâmetros!$A$39:$A$43,0))</f>
        <v>Reciclar: requalificar, reengajar ou encerrar</v>
      </c>
    </row>
    <row r="863" customFormat="false" ht="15" hidden="false" customHeight="false" outlineLevel="0" collapsed="false">
      <c r="A863" s="10" t="s">
        <v>1105</v>
      </c>
      <c r="B863" s="10" t="s">
        <v>97</v>
      </c>
      <c r="C863" s="10" t="s">
        <v>92</v>
      </c>
      <c r="D863" s="10" t="s">
        <v>160</v>
      </c>
      <c r="E863" s="10" t="s">
        <v>48</v>
      </c>
      <c r="F863" s="10"/>
      <c r="G863" s="10" t="s">
        <v>162</v>
      </c>
      <c r="H863" s="30" t="n">
        <v>42925</v>
      </c>
      <c r="I863" s="8" t="n">
        <f aca="false">INDEX(Parâmetros!$C$13:$C$19,MATCH(E863,Parâmetros!$A$13:$A$19,0))</f>
        <v>4821</v>
      </c>
      <c r="J863" s="26" t="n">
        <f aca="false">IF(H863="","",Parâmetros!$B$5-H863)</f>
        <v>175</v>
      </c>
      <c r="K863" s="10" t="n">
        <f aca="false">INDEX(Parâmetros!$D$13:$D$19,MATCH(E863,Parâmetros!$A$13:$A$19,0))</f>
        <v>43</v>
      </c>
      <c r="L863" s="10" t="n">
        <f aca="false">IF(G863="Prospecting",Parâmetros!$B$9,IF(J863&gt;Parâmetros!$B$6,0,INDEX(Parâmetros!$C$24:$C$26,MATCH(J863,Parâmetros!$A$24:$A$26,1))))</f>
        <v>0</v>
      </c>
      <c r="M863" s="31" t="n">
        <f aca="false">IF(G863="Prospecting",1,INDEX(Parâmetros!$C$32:$C$35,MATCH(J863,Parâmetros!$A$32:$A$35,1)))</f>
        <v>0.6</v>
      </c>
      <c r="N863" s="2" t="n">
        <f aca="false">ROUND((K863+L863)*M863,0)</f>
        <v>26</v>
      </c>
      <c r="O863" s="10" t="str">
        <f aca="false">IF(AND(G863="Engaging",J863&gt;Parâmetros!$B$6),"Sim","Não")</f>
        <v>Sim</v>
      </c>
      <c r="P863" s="32" t="str">
        <f aca="false">IF(O863="Sim","R",IF(N863&gt;=Parâmetros!$B$39,"A",IF(N863&gt;=Parâmetros!$B$40,"B",IF(N863&gt;=Parâmetros!$B$41,"C","D"))))</f>
        <v>R</v>
      </c>
      <c r="Q863" s="10" t="str">
        <f aca="false">IF(F863="","Completar cadastro","")</f>
        <v>Completar cadastro</v>
      </c>
      <c r="R863" s="10" t="str">
        <f aca="false">INDEX(Parâmetros!$D$39:$D$43,MATCH(P863,Parâmetros!$A$39:$A$43,0))</f>
        <v>Reciclar: requalificar, reengajar ou encerrar</v>
      </c>
    </row>
    <row r="864" customFormat="false" ht="15" hidden="false" customHeight="false" outlineLevel="0" collapsed="false">
      <c r="A864" s="10" t="s">
        <v>1106</v>
      </c>
      <c r="B864" s="10" t="s">
        <v>61</v>
      </c>
      <c r="C864" s="10" t="s">
        <v>58</v>
      </c>
      <c r="D864" s="10" t="s">
        <v>165</v>
      </c>
      <c r="E864" s="10" t="s">
        <v>48</v>
      </c>
      <c r="F864" s="10"/>
      <c r="G864" s="10" t="s">
        <v>162</v>
      </c>
      <c r="H864" s="30" t="n">
        <v>42926</v>
      </c>
      <c r="I864" s="8" t="n">
        <f aca="false">INDEX(Parâmetros!$C$13:$C$19,MATCH(E864,Parâmetros!$A$13:$A$19,0))</f>
        <v>4821</v>
      </c>
      <c r="J864" s="26" t="n">
        <f aca="false">IF(H864="","",Parâmetros!$B$5-H864)</f>
        <v>174</v>
      </c>
      <c r="K864" s="10" t="n">
        <f aca="false">INDEX(Parâmetros!$D$13:$D$19,MATCH(E864,Parâmetros!$A$13:$A$19,0))</f>
        <v>43</v>
      </c>
      <c r="L864" s="10" t="n">
        <f aca="false">IF(G864="Prospecting",Parâmetros!$B$9,IF(J864&gt;Parâmetros!$B$6,0,INDEX(Parâmetros!$C$24:$C$26,MATCH(J864,Parâmetros!$A$24:$A$26,1))))</f>
        <v>0</v>
      </c>
      <c r="M864" s="31" t="n">
        <f aca="false">IF(G864="Prospecting",1,INDEX(Parâmetros!$C$32:$C$35,MATCH(J864,Parâmetros!$A$32:$A$35,1)))</f>
        <v>0.6</v>
      </c>
      <c r="N864" s="2" t="n">
        <f aca="false">ROUND((K864+L864)*M864,0)</f>
        <v>26</v>
      </c>
      <c r="O864" s="10" t="str">
        <f aca="false">IF(AND(G864="Engaging",J864&gt;Parâmetros!$B$6),"Sim","Não")</f>
        <v>Sim</v>
      </c>
      <c r="P864" s="32" t="str">
        <f aca="false">IF(O864="Sim","R",IF(N864&gt;=Parâmetros!$B$39,"A",IF(N864&gt;=Parâmetros!$B$40,"B",IF(N864&gt;=Parâmetros!$B$41,"C","D"))))</f>
        <v>R</v>
      </c>
      <c r="Q864" s="10" t="str">
        <f aca="false">IF(F864="","Completar cadastro","")</f>
        <v>Completar cadastro</v>
      </c>
      <c r="R864" s="10" t="str">
        <f aca="false">INDEX(Parâmetros!$D$39:$D$43,MATCH(P864,Parâmetros!$A$39:$A$43,0))</f>
        <v>Reciclar: requalificar, reengajar ou encerrar</v>
      </c>
    </row>
    <row r="865" customFormat="false" ht="15" hidden="false" customHeight="false" outlineLevel="0" collapsed="false">
      <c r="A865" s="10" t="s">
        <v>1107</v>
      </c>
      <c r="B865" s="10" t="s">
        <v>77</v>
      </c>
      <c r="C865" s="10" t="s">
        <v>78</v>
      </c>
      <c r="D865" s="10" t="s">
        <v>196</v>
      </c>
      <c r="E865" s="10" t="s">
        <v>48</v>
      </c>
      <c r="F865" s="10"/>
      <c r="G865" s="10" t="s">
        <v>162</v>
      </c>
      <c r="H865" s="30" t="n">
        <v>42935</v>
      </c>
      <c r="I865" s="8" t="n">
        <f aca="false">INDEX(Parâmetros!$C$13:$C$19,MATCH(E865,Parâmetros!$A$13:$A$19,0))</f>
        <v>4821</v>
      </c>
      <c r="J865" s="26" t="n">
        <f aca="false">IF(H865="","",Parâmetros!$B$5-H865)</f>
        <v>165</v>
      </c>
      <c r="K865" s="10" t="n">
        <f aca="false">INDEX(Parâmetros!$D$13:$D$19,MATCH(E865,Parâmetros!$A$13:$A$19,0))</f>
        <v>43</v>
      </c>
      <c r="L865" s="10" t="n">
        <f aca="false">IF(G865="Prospecting",Parâmetros!$B$9,IF(J865&gt;Parâmetros!$B$6,0,INDEX(Parâmetros!$C$24:$C$26,MATCH(J865,Parâmetros!$A$24:$A$26,1))))</f>
        <v>0</v>
      </c>
      <c r="M865" s="31" t="n">
        <f aca="false">IF(G865="Prospecting",1,INDEX(Parâmetros!$C$32:$C$35,MATCH(J865,Parâmetros!$A$32:$A$35,1)))</f>
        <v>0.6</v>
      </c>
      <c r="N865" s="2" t="n">
        <f aca="false">ROUND((K865+L865)*M865,0)</f>
        <v>26</v>
      </c>
      <c r="O865" s="10" t="str">
        <f aca="false">IF(AND(G865="Engaging",J865&gt;Parâmetros!$B$6),"Sim","Não")</f>
        <v>Sim</v>
      </c>
      <c r="P865" s="32" t="str">
        <f aca="false">IF(O865="Sim","R",IF(N865&gt;=Parâmetros!$B$39,"A",IF(N865&gt;=Parâmetros!$B$40,"B",IF(N865&gt;=Parâmetros!$B$41,"C","D"))))</f>
        <v>R</v>
      </c>
      <c r="Q865" s="10" t="str">
        <f aca="false">IF(F865="","Completar cadastro","")</f>
        <v>Completar cadastro</v>
      </c>
      <c r="R865" s="10" t="str">
        <f aca="false">INDEX(Parâmetros!$D$39:$D$43,MATCH(P865,Parâmetros!$A$39:$A$43,0))</f>
        <v>Reciclar: requalificar, reengajar ou encerrar</v>
      </c>
    </row>
    <row r="866" customFormat="false" ht="15" hidden="false" customHeight="false" outlineLevel="0" collapsed="false">
      <c r="A866" s="10" t="s">
        <v>1108</v>
      </c>
      <c r="B866" s="10" t="s">
        <v>66</v>
      </c>
      <c r="C866" s="10" t="s">
        <v>65</v>
      </c>
      <c r="D866" s="10" t="s">
        <v>160</v>
      </c>
      <c r="E866" s="10" t="s">
        <v>48</v>
      </c>
      <c r="F866" s="10"/>
      <c r="G866" s="10" t="s">
        <v>162</v>
      </c>
      <c r="H866" s="30" t="n">
        <v>42935</v>
      </c>
      <c r="I866" s="8" t="n">
        <f aca="false">INDEX(Parâmetros!$C$13:$C$19,MATCH(E866,Parâmetros!$A$13:$A$19,0))</f>
        <v>4821</v>
      </c>
      <c r="J866" s="26" t="n">
        <f aca="false">IF(H866="","",Parâmetros!$B$5-H866)</f>
        <v>165</v>
      </c>
      <c r="K866" s="10" t="n">
        <f aca="false">INDEX(Parâmetros!$D$13:$D$19,MATCH(E866,Parâmetros!$A$13:$A$19,0))</f>
        <v>43</v>
      </c>
      <c r="L866" s="10" t="n">
        <f aca="false">IF(G866="Prospecting",Parâmetros!$B$9,IF(J866&gt;Parâmetros!$B$6,0,INDEX(Parâmetros!$C$24:$C$26,MATCH(J866,Parâmetros!$A$24:$A$26,1))))</f>
        <v>0</v>
      </c>
      <c r="M866" s="31" t="n">
        <f aca="false">IF(G866="Prospecting",1,INDEX(Parâmetros!$C$32:$C$35,MATCH(J866,Parâmetros!$A$32:$A$35,1)))</f>
        <v>0.6</v>
      </c>
      <c r="N866" s="2" t="n">
        <f aca="false">ROUND((K866+L866)*M866,0)</f>
        <v>26</v>
      </c>
      <c r="O866" s="10" t="str">
        <f aca="false">IF(AND(G866="Engaging",J866&gt;Parâmetros!$B$6),"Sim","Não")</f>
        <v>Sim</v>
      </c>
      <c r="P866" s="32" t="str">
        <f aca="false">IF(O866="Sim","R",IF(N866&gt;=Parâmetros!$B$39,"A",IF(N866&gt;=Parâmetros!$B$40,"B",IF(N866&gt;=Parâmetros!$B$41,"C","D"))))</f>
        <v>R</v>
      </c>
      <c r="Q866" s="10" t="str">
        <f aca="false">IF(F866="","Completar cadastro","")</f>
        <v>Completar cadastro</v>
      </c>
      <c r="R866" s="10" t="str">
        <f aca="false">INDEX(Parâmetros!$D$39:$D$43,MATCH(P866,Parâmetros!$A$39:$A$43,0))</f>
        <v>Reciclar: requalificar, reengajar ou encerrar</v>
      </c>
    </row>
    <row r="867" customFormat="false" ht="15" hidden="false" customHeight="false" outlineLevel="0" collapsed="false">
      <c r="A867" s="10" t="s">
        <v>1109</v>
      </c>
      <c r="B867" s="10" t="s">
        <v>80</v>
      </c>
      <c r="C867" s="10" t="s">
        <v>78</v>
      </c>
      <c r="D867" s="10" t="s">
        <v>196</v>
      </c>
      <c r="E867" s="10" t="s">
        <v>48</v>
      </c>
      <c r="F867" s="10" t="s">
        <v>291</v>
      </c>
      <c r="G867" s="10" t="s">
        <v>162</v>
      </c>
      <c r="H867" s="30" t="n">
        <v>42935</v>
      </c>
      <c r="I867" s="8" t="n">
        <f aca="false">INDEX(Parâmetros!$C$13:$C$19,MATCH(E867,Parâmetros!$A$13:$A$19,0))</f>
        <v>4821</v>
      </c>
      <c r="J867" s="26" t="n">
        <f aca="false">IF(H867="","",Parâmetros!$B$5-H867)</f>
        <v>165</v>
      </c>
      <c r="K867" s="10" t="n">
        <f aca="false">INDEX(Parâmetros!$D$13:$D$19,MATCH(E867,Parâmetros!$A$13:$A$19,0))</f>
        <v>43</v>
      </c>
      <c r="L867" s="10" t="n">
        <f aca="false">IF(G867="Prospecting",Parâmetros!$B$9,IF(J867&gt;Parâmetros!$B$6,0,INDEX(Parâmetros!$C$24:$C$26,MATCH(J867,Parâmetros!$A$24:$A$26,1))))</f>
        <v>0</v>
      </c>
      <c r="M867" s="31" t="n">
        <f aca="false">IF(G867="Prospecting",1,INDEX(Parâmetros!$C$32:$C$35,MATCH(J867,Parâmetros!$A$32:$A$35,1)))</f>
        <v>0.6</v>
      </c>
      <c r="N867" s="2" t="n">
        <f aca="false">ROUND((K867+L867)*M867,0)</f>
        <v>26</v>
      </c>
      <c r="O867" s="10" t="str">
        <f aca="false">IF(AND(G867="Engaging",J867&gt;Parâmetros!$B$6),"Sim","Não")</f>
        <v>Sim</v>
      </c>
      <c r="P867" s="32" t="str">
        <f aca="false">IF(O867="Sim","R",IF(N867&gt;=Parâmetros!$B$39,"A",IF(N867&gt;=Parâmetros!$B$40,"B",IF(N867&gt;=Parâmetros!$B$41,"C","D"))))</f>
        <v>R</v>
      </c>
      <c r="Q867" s="10" t="str">
        <f aca="false">IF(F867="","Completar cadastro","")</f>
        <v/>
      </c>
      <c r="R867" s="10" t="str">
        <f aca="false">INDEX(Parâmetros!$D$39:$D$43,MATCH(P867,Parâmetros!$A$39:$A$43,0))</f>
        <v>Reciclar: requalificar, reengajar ou encerrar</v>
      </c>
    </row>
    <row r="868" customFormat="false" ht="15" hidden="false" customHeight="false" outlineLevel="0" collapsed="false">
      <c r="A868" s="10" t="s">
        <v>1110</v>
      </c>
      <c r="B868" s="10" t="s">
        <v>70</v>
      </c>
      <c r="C868" s="10" t="s">
        <v>65</v>
      </c>
      <c r="D868" s="10" t="s">
        <v>160</v>
      </c>
      <c r="E868" s="10" t="s">
        <v>48</v>
      </c>
      <c r="F868" s="10" t="s">
        <v>199</v>
      </c>
      <c r="G868" s="10" t="s">
        <v>162</v>
      </c>
      <c r="H868" s="30" t="n">
        <v>42935</v>
      </c>
      <c r="I868" s="8" t="n">
        <f aca="false">INDEX(Parâmetros!$C$13:$C$19,MATCH(E868,Parâmetros!$A$13:$A$19,0))</f>
        <v>4821</v>
      </c>
      <c r="J868" s="26" t="n">
        <f aca="false">IF(H868="","",Parâmetros!$B$5-H868)</f>
        <v>165</v>
      </c>
      <c r="K868" s="10" t="n">
        <f aca="false">INDEX(Parâmetros!$D$13:$D$19,MATCH(E868,Parâmetros!$A$13:$A$19,0))</f>
        <v>43</v>
      </c>
      <c r="L868" s="10" t="n">
        <f aca="false">IF(G868="Prospecting",Parâmetros!$B$9,IF(J868&gt;Parâmetros!$B$6,0,INDEX(Parâmetros!$C$24:$C$26,MATCH(J868,Parâmetros!$A$24:$A$26,1))))</f>
        <v>0</v>
      </c>
      <c r="M868" s="31" t="n">
        <f aca="false">IF(G868="Prospecting",1,INDEX(Parâmetros!$C$32:$C$35,MATCH(J868,Parâmetros!$A$32:$A$35,1)))</f>
        <v>0.6</v>
      </c>
      <c r="N868" s="2" t="n">
        <f aca="false">ROUND((K868+L868)*M868,0)</f>
        <v>26</v>
      </c>
      <c r="O868" s="10" t="str">
        <f aca="false">IF(AND(G868="Engaging",J868&gt;Parâmetros!$B$6),"Sim","Não")</f>
        <v>Sim</v>
      </c>
      <c r="P868" s="32" t="str">
        <f aca="false">IF(O868="Sim","R",IF(N868&gt;=Parâmetros!$B$39,"A",IF(N868&gt;=Parâmetros!$B$40,"B",IF(N868&gt;=Parâmetros!$B$41,"C","D"))))</f>
        <v>R</v>
      </c>
      <c r="Q868" s="10" t="str">
        <f aca="false">IF(F868="","Completar cadastro","")</f>
        <v/>
      </c>
      <c r="R868" s="10" t="str">
        <f aca="false">INDEX(Parâmetros!$D$39:$D$43,MATCH(P868,Parâmetros!$A$39:$A$43,0))</f>
        <v>Reciclar: requalificar, reengajar ou encerrar</v>
      </c>
    </row>
    <row r="869" customFormat="false" ht="15" hidden="false" customHeight="false" outlineLevel="0" collapsed="false">
      <c r="A869" s="10" t="s">
        <v>1111</v>
      </c>
      <c r="B869" s="10" t="s">
        <v>77</v>
      </c>
      <c r="C869" s="10" t="s">
        <v>78</v>
      </c>
      <c r="D869" s="10" t="s">
        <v>196</v>
      </c>
      <c r="E869" s="10" t="s">
        <v>48</v>
      </c>
      <c r="F869" s="10"/>
      <c r="G869" s="10" t="s">
        <v>162</v>
      </c>
      <c r="H869" s="30" t="n">
        <v>42936</v>
      </c>
      <c r="I869" s="8" t="n">
        <f aca="false">INDEX(Parâmetros!$C$13:$C$19,MATCH(E869,Parâmetros!$A$13:$A$19,0))</f>
        <v>4821</v>
      </c>
      <c r="J869" s="26" t="n">
        <f aca="false">IF(H869="","",Parâmetros!$B$5-H869)</f>
        <v>164</v>
      </c>
      <c r="K869" s="10" t="n">
        <f aca="false">INDEX(Parâmetros!$D$13:$D$19,MATCH(E869,Parâmetros!$A$13:$A$19,0))</f>
        <v>43</v>
      </c>
      <c r="L869" s="10" t="n">
        <f aca="false">IF(G869="Prospecting",Parâmetros!$B$9,IF(J869&gt;Parâmetros!$B$6,0,INDEX(Parâmetros!$C$24:$C$26,MATCH(J869,Parâmetros!$A$24:$A$26,1))))</f>
        <v>0</v>
      </c>
      <c r="M869" s="31" t="n">
        <f aca="false">IF(G869="Prospecting",1,INDEX(Parâmetros!$C$32:$C$35,MATCH(J869,Parâmetros!$A$32:$A$35,1)))</f>
        <v>0.6</v>
      </c>
      <c r="N869" s="2" t="n">
        <f aca="false">ROUND((K869+L869)*M869,0)</f>
        <v>26</v>
      </c>
      <c r="O869" s="10" t="str">
        <f aca="false">IF(AND(G869="Engaging",J869&gt;Parâmetros!$B$6),"Sim","Não")</f>
        <v>Sim</v>
      </c>
      <c r="P869" s="32" t="str">
        <f aca="false">IF(O869="Sim","R",IF(N869&gt;=Parâmetros!$B$39,"A",IF(N869&gt;=Parâmetros!$B$40,"B",IF(N869&gt;=Parâmetros!$B$41,"C","D"))))</f>
        <v>R</v>
      </c>
      <c r="Q869" s="10" t="str">
        <f aca="false">IF(F869="","Completar cadastro","")</f>
        <v>Completar cadastro</v>
      </c>
      <c r="R869" s="10" t="str">
        <f aca="false">INDEX(Parâmetros!$D$39:$D$43,MATCH(P869,Parâmetros!$A$39:$A$43,0))</f>
        <v>Reciclar: requalificar, reengajar ou encerrar</v>
      </c>
    </row>
    <row r="870" customFormat="false" ht="15" hidden="false" customHeight="false" outlineLevel="0" collapsed="false">
      <c r="A870" s="10" t="s">
        <v>1112</v>
      </c>
      <c r="B870" s="10" t="s">
        <v>80</v>
      </c>
      <c r="C870" s="10" t="s">
        <v>78</v>
      </c>
      <c r="D870" s="10" t="s">
        <v>196</v>
      </c>
      <c r="E870" s="10" t="s">
        <v>48</v>
      </c>
      <c r="F870" s="10"/>
      <c r="G870" s="10" t="s">
        <v>162</v>
      </c>
      <c r="H870" s="30" t="n">
        <v>42936</v>
      </c>
      <c r="I870" s="8" t="n">
        <f aca="false">INDEX(Parâmetros!$C$13:$C$19,MATCH(E870,Parâmetros!$A$13:$A$19,0))</f>
        <v>4821</v>
      </c>
      <c r="J870" s="26" t="n">
        <f aca="false">IF(H870="","",Parâmetros!$B$5-H870)</f>
        <v>164</v>
      </c>
      <c r="K870" s="10" t="n">
        <f aca="false">INDEX(Parâmetros!$D$13:$D$19,MATCH(E870,Parâmetros!$A$13:$A$19,0))</f>
        <v>43</v>
      </c>
      <c r="L870" s="10" t="n">
        <f aca="false">IF(G870="Prospecting",Parâmetros!$B$9,IF(J870&gt;Parâmetros!$B$6,0,INDEX(Parâmetros!$C$24:$C$26,MATCH(J870,Parâmetros!$A$24:$A$26,1))))</f>
        <v>0</v>
      </c>
      <c r="M870" s="31" t="n">
        <f aca="false">IF(G870="Prospecting",1,INDEX(Parâmetros!$C$32:$C$35,MATCH(J870,Parâmetros!$A$32:$A$35,1)))</f>
        <v>0.6</v>
      </c>
      <c r="N870" s="2" t="n">
        <f aca="false">ROUND((K870+L870)*M870,0)</f>
        <v>26</v>
      </c>
      <c r="O870" s="10" t="str">
        <f aca="false">IF(AND(G870="Engaging",J870&gt;Parâmetros!$B$6),"Sim","Não")</f>
        <v>Sim</v>
      </c>
      <c r="P870" s="32" t="str">
        <f aca="false">IF(O870="Sim","R",IF(N870&gt;=Parâmetros!$B$39,"A",IF(N870&gt;=Parâmetros!$B$40,"B",IF(N870&gt;=Parâmetros!$B$41,"C","D"))))</f>
        <v>R</v>
      </c>
      <c r="Q870" s="10" t="str">
        <f aca="false">IF(F870="","Completar cadastro","")</f>
        <v>Completar cadastro</v>
      </c>
      <c r="R870" s="10" t="str">
        <f aca="false">INDEX(Parâmetros!$D$39:$D$43,MATCH(P870,Parâmetros!$A$39:$A$43,0))</f>
        <v>Reciclar: requalificar, reengajar ou encerrar</v>
      </c>
    </row>
    <row r="871" customFormat="false" ht="15" hidden="false" customHeight="false" outlineLevel="0" collapsed="false">
      <c r="A871" s="10" t="s">
        <v>1113</v>
      </c>
      <c r="B871" s="10" t="s">
        <v>81</v>
      </c>
      <c r="C871" s="10" t="s">
        <v>78</v>
      </c>
      <c r="D871" s="10" t="s">
        <v>196</v>
      </c>
      <c r="E871" s="10" t="s">
        <v>48</v>
      </c>
      <c r="F871" s="10" t="s">
        <v>427</v>
      </c>
      <c r="G871" s="10" t="s">
        <v>162</v>
      </c>
      <c r="H871" s="30" t="n">
        <v>42936</v>
      </c>
      <c r="I871" s="8" t="n">
        <f aca="false">INDEX(Parâmetros!$C$13:$C$19,MATCH(E871,Parâmetros!$A$13:$A$19,0))</f>
        <v>4821</v>
      </c>
      <c r="J871" s="26" t="n">
        <f aca="false">IF(H871="","",Parâmetros!$B$5-H871)</f>
        <v>164</v>
      </c>
      <c r="K871" s="10" t="n">
        <f aca="false">INDEX(Parâmetros!$D$13:$D$19,MATCH(E871,Parâmetros!$A$13:$A$19,0))</f>
        <v>43</v>
      </c>
      <c r="L871" s="10" t="n">
        <f aca="false">IF(G871="Prospecting",Parâmetros!$B$9,IF(J871&gt;Parâmetros!$B$6,0,INDEX(Parâmetros!$C$24:$C$26,MATCH(J871,Parâmetros!$A$24:$A$26,1))))</f>
        <v>0</v>
      </c>
      <c r="M871" s="31" t="n">
        <f aca="false">IF(G871="Prospecting",1,INDEX(Parâmetros!$C$32:$C$35,MATCH(J871,Parâmetros!$A$32:$A$35,1)))</f>
        <v>0.6</v>
      </c>
      <c r="N871" s="2" t="n">
        <f aca="false">ROUND((K871+L871)*M871,0)</f>
        <v>26</v>
      </c>
      <c r="O871" s="10" t="str">
        <f aca="false">IF(AND(G871="Engaging",J871&gt;Parâmetros!$B$6),"Sim","Não")</f>
        <v>Sim</v>
      </c>
      <c r="P871" s="32" t="str">
        <f aca="false">IF(O871="Sim","R",IF(N871&gt;=Parâmetros!$B$39,"A",IF(N871&gt;=Parâmetros!$B$40,"B",IF(N871&gt;=Parâmetros!$B$41,"C","D"))))</f>
        <v>R</v>
      </c>
      <c r="Q871" s="10" t="str">
        <f aca="false">IF(F871="","Completar cadastro","")</f>
        <v/>
      </c>
      <c r="R871" s="10" t="str">
        <f aca="false">INDEX(Parâmetros!$D$39:$D$43,MATCH(P871,Parâmetros!$A$39:$A$43,0))</f>
        <v>Reciclar: requalificar, reengajar ou encerrar</v>
      </c>
    </row>
    <row r="872" customFormat="false" ht="15" hidden="false" customHeight="false" outlineLevel="0" collapsed="false">
      <c r="A872" s="10" t="s">
        <v>1114</v>
      </c>
      <c r="B872" s="10" t="s">
        <v>77</v>
      </c>
      <c r="C872" s="10" t="s">
        <v>78</v>
      </c>
      <c r="D872" s="10" t="s">
        <v>196</v>
      </c>
      <c r="E872" s="10" t="s">
        <v>48</v>
      </c>
      <c r="F872" s="10"/>
      <c r="G872" s="10" t="s">
        <v>162</v>
      </c>
      <c r="H872" s="30" t="n">
        <v>42937</v>
      </c>
      <c r="I872" s="8" t="n">
        <f aca="false">INDEX(Parâmetros!$C$13:$C$19,MATCH(E872,Parâmetros!$A$13:$A$19,0))</f>
        <v>4821</v>
      </c>
      <c r="J872" s="26" t="n">
        <f aca="false">IF(H872="","",Parâmetros!$B$5-H872)</f>
        <v>163</v>
      </c>
      <c r="K872" s="10" t="n">
        <f aca="false">INDEX(Parâmetros!$D$13:$D$19,MATCH(E872,Parâmetros!$A$13:$A$19,0))</f>
        <v>43</v>
      </c>
      <c r="L872" s="10" t="n">
        <f aca="false">IF(G872="Prospecting",Parâmetros!$B$9,IF(J872&gt;Parâmetros!$B$6,0,INDEX(Parâmetros!$C$24:$C$26,MATCH(J872,Parâmetros!$A$24:$A$26,1))))</f>
        <v>0</v>
      </c>
      <c r="M872" s="31" t="n">
        <f aca="false">IF(G872="Prospecting",1,INDEX(Parâmetros!$C$32:$C$35,MATCH(J872,Parâmetros!$A$32:$A$35,1)))</f>
        <v>0.6</v>
      </c>
      <c r="N872" s="2" t="n">
        <f aca="false">ROUND((K872+L872)*M872,0)</f>
        <v>26</v>
      </c>
      <c r="O872" s="10" t="str">
        <f aca="false">IF(AND(G872="Engaging",J872&gt;Parâmetros!$B$6),"Sim","Não")</f>
        <v>Sim</v>
      </c>
      <c r="P872" s="32" t="str">
        <f aca="false">IF(O872="Sim","R",IF(N872&gt;=Parâmetros!$B$39,"A",IF(N872&gt;=Parâmetros!$B$40,"B",IF(N872&gt;=Parâmetros!$B$41,"C","D"))))</f>
        <v>R</v>
      </c>
      <c r="Q872" s="10" t="str">
        <f aca="false">IF(F872="","Completar cadastro","")</f>
        <v>Completar cadastro</v>
      </c>
      <c r="R872" s="10" t="str">
        <f aca="false">INDEX(Parâmetros!$D$39:$D$43,MATCH(P872,Parâmetros!$A$39:$A$43,0))</f>
        <v>Reciclar: requalificar, reengajar ou encerrar</v>
      </c>
    </row>
    <row r="873" customFormat="false" ht="15" hidden="false" customHeight="false" outlineLevel="0" collapsed="false">
      <c r="A873" s="10" t="s">
        <v>1115</v>
      </c>
      <c r="B873" s="10" t="s">
        <v>77</v>
      </c>
      <c r="C873" s="10" t="s">
        <v>78</v>
      </c>
      <c r="D873" s="10" t="s">
        <v>196</v>
      </c>
      <c r="E873" s="10" t="s">
        <v>48</v>
      </c>
      <c r="F873" s="10"/>
      <c r="G873" s="10" t="s">
        <v>162</v>
      </c>
      <c r="H873" s="30" t="n">
        <v>42937</v>
      </c>
      <c r="I873" s="8" t="n">
        <f aca="false">INDEX(Parâmetros!$C$13:$C$19,MATCH(E873,Parâmetros!$A$13:$A$19,0))</f>
        <v>4821</v>
      </c>
      <c r="J873" s="26" t="n">
        <f aca="false">IF(H873="","",Parâmetros!$B$5-H873)</f>
        <v>163</v>
      </c>
      <c r="K873" s="10" t="n">
        <f aca="false">INDEX(Parâmetros!$D$13:$D$19,MATCH(E873,Parâmetros!$A$13:$A$19,0))</f>
        <v>43</v>
      </c>
      <c r="L873" s="10" t="n">
        <f aca="false">IF(G873="Prospecting",Parâmetros!$B$9,IF(J873&gt;Parâmetros!$B$6,0,INDEX(Parâmetros!$C$24:$C$26,MATCH(J873,Parâmetros!$A$24:$A$26,1))))</f>
        <v>0</v>
      </c>
      <c r="M873" s="31" t="n">
        <f aca="false">IF(G873="Prospecting",1,INDEX(Parâmetros!$C$32:$C$35,MATCH(J873,Parâmetros!$A$32:$A$35,1)))</f>
        <v>0.6</v>
      </c>
      <c r="N873" s="2" t="n">
        <f aca="false">ROUND((K873+L873)*M873,0)</f>
        <v>26</v>
      </c>
      <c r="O873" s="10" t="str">
        <f aca="false">IF(AND(G873="Engaging",J873&gt;Parâmetros!$B$6),"Sim","Não")</f>
        <v>Sim</v>
      </c>
      <c r="P873" s="32" t="str">
        <f aca="false">IF(O873="Sim","R",IF(N873&gt;=Parâmetros!$B$39,"A",IF(N873&gt;=Parâmetros!$B$40,"B",IF(N873&gt;=Parâmetros!$B$41,"C","D"))))</f>
        <v>R</v>
      </c>
      <c r="Q873" s="10" t="str">
        <f aca="false">IF(F873="","Completar cadastro","")</f>
        <v>Completar cadastro</v>
      </c>
      <c r="R873" s="10" t="str">
        <f aca="false">INDEX(Parâmetros!$D$39:$D$43,MATCH(P873,Parâmetros!$A$39:$A$43,0))</f>
        <v>Reciclar: requalificar, reengajar ou encerrar</v>
      </c>
    </row>
    <row r="874" customFormat="false" ht="15" hidden="false" customHeight="false" outlineLevel="0" collapsed="false">
      <c r="A874" s="10" t="s">
        <v>1116</v>
      </c>
      <c r="B874" s="10" t="s">
        <v>96</v>
      </c>
      <c r="C874" s="10" t="s">
        <v>92</v>
      </c>
      <c r="D874" s="10" t="s">
        <v>160</v>
      </c>
      <c r="E874" s="10" t="s">
        <v>48</v>
      </c>
      <c r="F874" s="10"/>
      <c r="G874" s="10" t="s">
        <v>162</v>
      </c>
      <c r="H874" s="30" t="n">
        <v>42937</v>
      </c>
      <c r="I874" s="8" t="n">
        <f aca="false">INDEX(Parâmetros!$C$13:$C$19,MATCH(E874,Parâmetros!$A$13:$A$19,0))</f>
        <v>4821</v>
      </c>
      <c r="J874" s="26" t="n">
        <f aca="false">IF(H874="","",Parâmetros!$B$5-H874)</f>
        <v>163</v>
      </c>
      <c r="K874" s="10" t="n">
        <f aca="false">INDEX(Parâmetros!$D$13:$D$19,MATCH(E874,Parâmetros!$A$13:$A$19,0))</f>
        <v>43</v>
      </c>
      <c r="L874" s="10" t="n">
        <f aca="false">IF(G874="Prospecting",Parâmetros!$B$9,IF(J874&gt;Parâmetros!$B$6,0,INDEX(Parâmetros!$C$24:$C$26,MATCH(J874,Parâmetros!$A$24:$A$26,1))))</f>
        <v>0</v>
      </c>
      <c r="M874" s="31" t="n">
        <f aca="false">IF(G874="Prospecting",1,INDEX(Parâmetros!$C$32:$C$35,MATCH(J874,Parâmetros!$A$32:$A$35,1)))</f>
        <v>0.6</v>
      </c>
      <c r="N874" s="2" t="n">
        <f aca="false">ROUND((K874+L874)*M874,0)</f>
        <v>26</v>
      </c>
      <c r="O874" s="10" t="str">
        <f aca="false">IF(AND(G874="Engaging",J874&gt;Parâmetros!$B$6),"Sim","Não")</f>
        <v>Sim</v>
      </c>
      <c r="P874" s="32" t="str">
        <f aca="false">IF(O874="Sim","R",IF(N874&gt;=Parâmetros!$B$39,"A",IF(N874&gt;=Parâmetros!$B$40,"B",IF(N874&gt;=Parâmetros!$B$41,"C","D"))))</f>
        <v>R</v>
      </c>
      <c r="Q874" s="10" t="str">
        <f aca="false">IF(F874="","Completar cadastro","")</f>
        <v>Completar cadastro</v>
      </c>
      <c r="R874" s="10" t="str">
        <f aca="false">INDEX(Parâmetros!$D$39:$D$43,MATCH(P874,Parâmetros!$A$39:$A$43,0))</f>
        <v>Reciclar: requalificar, reengajar ou encerrar</v>
      </c>
    </row>
    <row r="875" customFormat="false" ht="15" hidden="false" customHeight="false" outlineLevel="0" collapsed="false">
      <c r="A875" s="10" t="s">
        <v>1117</v>
      </c>
      <c r="B875" s="10" t="s">
        <v>70</v>
      </c>
      <c r="C875" s="10" t="s">
        <v>65</v>
      </c>
      <c r="D875" s="10" t="s">
        <v>160</v>
      </c>
      <c r="E875" s="10" t="s">
        <v>48</v>
      </c>
      <c r="F875" s="10" t="s">
        <v>1118</v>
      </c>
      <c r="G875" s="10" t="s">
        <v>162</v>
      </c>
      <c r="H875" s="30" t="n">
        <v>42937</v>
      </c>
      <c r="I875" s="8" t="n">
        <f aca="false">INDEX(Parâmetros!$C$13:$C$19,MATCH(E875,Parâmetros!$A$13:$A$19,0))</f>
        <v>4821</v>
      </c>
      <c r="J875" s="26" t="n">
        <f aca="false">IF(H875="","",Parâmetros!$B$5-H875)</f>
        <v>163</v>
      </c>
      <c r="K875" s="10" t="n">
        <f aca="false">INDEX(Parâmetros!$D$13:$D$19,MATCH(E875,Parâmetros!$A$13:$A$19,0))</f>
        <v>43</v>
      </c>
      <c r="L875" s="10" t="n">
        <f aca="false">IF(G875="Prospecting",Parâmetros!$B$9,IF(J875&gt;Parâmetros!$B$6,0,INDEX(Parâmetros!$C$24:$C$26,MATCH(J875,Parâmetros!$A$24:$A$26,1))))</f>
        <v>0</v>
      </c>
      <c r="M875" s="31" t="n">
        <f aca="false">IF(G875="Prospecting",1,INDEX(Parâmetros!$C$32:$C$35,MATCH(J875,Parâmetros!$A$32:$A$35,1)))</f>
        <v>0.6</v>
      </c>
      <c r="N875" s="2" t="n">
        <f aca="false">ROUND((K875+L875)*M875,0)</f>
        <v>26</v>
      </c>
      <c r="O875" s="10" t="str">
        <f aca="false">IF(AND(G875="Engaging",J875&gt;Parâmetros!$B$6),"Sim","Não")</f>
        <v>Sim</v>
      </c>
      <c r="P875" s="32" t="str">
        <f aca="false">IF(O875="Sim","R",IF(N875&gt;=Parâmetros!$B$39,"A",IF(N875&gt;=Parâmetros!$B$40,"B",IF(N875&gt;=Parâmetros!$B$41,"C","D"))))</f>
        <v>R</v>
      </c>
      <c r="Q875" s="10" t="str">
        <f aca="false">IF(F875="","Completar cadastro","")</f>
        <v/>
      </c>
      <c r="R875" s="10" t="str">
        <f aca="false">INDEX(Parâmetros!$D$39:$D$43,MATCH(P875,Parâmetros!$A$39:$A$43,0))</f>
        <v>Reciclar: requalificar, reengajar ou encerrar</v>
      </c>
    </row>
    <row r="876" customFormat="false" ht="15" hidden="false" customHeight="false" outlineLevel="0" collapsed="false">
      <c r="A876" s="10" t="s">
        <v>1119</v>
      </c>
      <c r="B876" s="10" t="s">
        <v>70</v>
      </c>
      <c r="C876" s="10" t="s">
        <v>65</v>
      </c>
      <c r="D876" s="10" t="s">
        <v>160</v>
      </c>
      <c r="E876" s="10" t="s">
        <v>48</v>
      </c>
      <c r="F876" s="10"/>
      <c r="G876" s="10" t="s">
        <v>162</v>
      </c>
      <c r="H876" s="30" t="n">
        <v>42937</v>
      </c>
      <c r="I876" s="8" t="n">
        <f aca="false">INDEX(Parâmetros!$C$13:$C$19,MATCH(E876,Parâmetros!$A$13:$A$19,0))</f>
        <v>4821</v>
      </c>
      <c r="J876" s="26" t="n">
        <f aca="false">IF(H876="","",Parâmetros!$B$5-H876)</f>
        <v>163</v>
      </c>
      <c r="K876" s="10" t="n">
        <f aca="false">INDEX(Parâmetros!$D$13:$D$19,MATCH(E876,Parâmetros!$A$13:$A$19,0))</f>
        <v>43</v>
      </c>
      <c r="L876" s="10" t="n">
        <f aca="false">IF(G876="Prospecting",Parâmetros!$B$9,IF(J876&gt;Parâmetros!$B$6,0,INDEX(Parâmetros!$C$24:$C$26,MATCH(J876,Parâmetros!$A$24:$A$26,1))))</f>
        <v>0</v>
      </c>
      <c r="M876" s="31" t="n">
        <f aca="false">IF(G876="Prospecting",1,INDEX(Parâmetros!$C$32:$C$35,MATCH(J876,Parâmetros!$A$32:$A$35,1)))</f>
        <v>0.6</v>
      </c>
      <c r="N876" s="2" t="n">
        <f aca="false">ROUND((K876+L876)*M876,0)</f>
        <v>26</v>
      </c>
      <c r="O876" s="10" t="str">
        <f aca="false">IF(AND(G876="Engaging",J876&gt;Parâmetros!$B$6),"Sim","Não")</f>
        <v>Sim</v>
      </c>
      <c r="P876" s="32" t="str">
        <f aca="false">IF(O876="Sim","R",IF(N876&gt;=Parâmetros!$B$39,"A",IF(N876&gt;=Parâmetros!$B$40,"B",IF(N876&gt;=Parâmetros!$B$41,"C","D"))))</f>
        <v>R</v>
      </c>
      <c r="Q876" s="10" t="str">
        <f aca="false">IF(F876="","Completar cadastro","")</f>
        <v>Completar cadastro</v>
      </c>
      <c r="R876" s="10" t="str">
        <f aca="false">INDEX(Parâmetros!$D$39:$D$43,MATCH(P876,Parâmetros!$A$39:$A$43,0))</f>
        <v>Reciclar: requalificar, reengajar ou encerrar</v>
      </c>
    </row>
    <row r="877" customFormat="false" ht="15" hidden="false" customHeight="false" outlineLevel="0" collapsed="false">
      <c r="A877" s="10" t="s">
        <v>1120</v>
      </c>
      <c r="B877" s="10" t="s">
        <v>77</v>
      </c>
      <c r="C877" s="10" t="s">
        <v>78</v>
      </c>
      <c r="D877" s="10" t="s">
        <v>196</v>
      </c>
      <c r="E877" s="10" t="s">
        <v>48</v>
      </c>
      <c r="F877" s="10"/>
      <c r="G877" s="10" t="s">
        <v>162</v>
      </c>
      <c r="H877" s="30" t="n">
        <v>42938</v>
      </c>
      <c r="I877" s="8" t="n">
        <f aca="false">INDEX(Parâmetros!$C$13:$C$19,MATCH(E877,Parâmetros!$A$13:$A$19,0))</f>
        <v>4821</v>
      </c>
      <c r="J877" s="26" t="n">
        <f aca="false">IF(H877="","",Parâmetros!$B$5-H877)</f>
        <v>162</v>
      </c>
      <c r="K877" s="10" t="n">
        <f aca="false">INDEX(Parâmetros!$D$13:$D$19,MATCH(E877,Parâmetros!$A$13:$A$19,0))</f>
        <v>43</v>
      </c>
      <c r="L877" s="10" t="n">
        <f aca="false">IF(G877="Prospecting",Parâmetros!$B$9,IF(J877&gt;Parâmetros!$B$6,0,INDEX(Parâmetros!$C$24:$C$26,MATCH(J877,Parâmetros!$A$24:$A$26,1))))</f>
        <v>0</v>
      </c>
      <c r="M877" s="31" t="n">
        <f aca="false">IF(G877="Prospecting",1,INDEX(Parâmetros!$C$32:$C$35,MATCH(J877,Parâmetros!$A$32:$A$35,1)))</f>
        <v>0.6</v>
      </c>
      <c r="N877" s="2" t="n">
        <f aca="false">ROUND((K877+L877)*M877,0)</f>
        <v>26</v>
      </c>
      <c r="O877" s="10" t="str">
        <f aca="false">IF(AND(G877="Engaging",J877&gt;Parâmetros!$B$6),"Sim","Não")</f>
        <v>Sim</v>
      </c>
      <c r="P877" s="32" t="str">
        <f aca="false">IF(O877="Sim","R",IF(N877&gt;=Parâmetros!$B$39,"A",IF(N877&gt;=Parâmetros!$B$40,"B",IF(N877&gt;=Parâmetros!$B$41,"C","D"))))</f>
        <v>R</v>
      </c>
      <c r="Q877" s="10" t="str">
        <f aca="false">IF(F877="","Completar cadastro","")</f>
        <v>Completar cadastro</v>
      </c>
      <c r="R877" s="10" t="str">
        <f aca="false">INDEX(Parâmetros!$D$39:$D$43,MATCH(P877,Parâmetros!$A$39:$A$43,0))</f>
        <v>Reciclar: requalificar, reengajar ou encerrar</v>
      </c>
    </row>
    <row r="878" customFormat="false" ht="15" hidden="false" customHeight="false" outlineLevel="0" collapsed="false">
      <c r="A878" s="10" t="s">
        <v>1121</v>
      </c>
      <c r="B878" s="10" t="s">
        <v>77</v>
      </c>
      <c r="C878" s="10" t="s">
        <v>78</v>
      </c>
      <c r="D878" s="10" t="s">
        <v>196</v>
      </c>
      <c r="E878" s="10" t="s">
        <v>48</v>
      </c>
      <c r="F878" s="10"/>
      <c r="G878" s="10" t="s">
        <v>162</v>
      </c>
      <c r="H878" s="30" t="n">
        <v>42939</v>
      </c>
      <c r="I878" s="8" t="n">
        <f aca="false">INDEX(Parâmetros!$C$13:$C$19,MATCH(E878,Parâmetros!$A$13:$A$19,0))</f>
        <v>4821</v>
      </c>
      <c r="J878" s="26" t="n">
        <f aca="false">IF(H878="","",Parâmetros!$B$5-H878)</f>
        <v>161</v>
      </c>
      <c r="K878" s="10" t="n">
        <f aca="false">INDEX(Parâmetros!$D$13:$D$19,MATCH(E878,Parâmetros!$A$13:$A$19,0))</f>
        <v>43</v>
      </c>
      <c r="L878" s="10" t="n">
        <f aca="false">IF(G878="Prospecting",Parâmetros!$B$9,IF(J878&gt;Parâmetros!$B$6,0,INDEX(Parâmetros!$C$24:$C$26,MATCH(J878,Parâmetros!$A$24:$A$26,1))))</f>
        <v>0</v>
      </c>
      <c r="M878" s="31" t="n">
        <f aca="false">IF(G878="Prospecting",1,INDEX(Parâmetros!$C$32:$C$35,MATCH(J878,Parâmetros!$A$32:$A$35,1)))</f>
        <v>0.6</v>
      </c>
      <c r="N878" s="2" t="n">
        <f aca="false">ROUND((K878+L878)*M878,0)</f>
        <v>26</v>
      </c>
      <c r="O878" s="10" t="str">
        <f aca="false">IF(AND(G878="Engaging",J878&gt;Parâmetros!$B$6),"Sim","Não")</f>
        <v>Sim</v>
      </c>
      <c r="P878" s="32" t="str">
        <f aca="false">IF(O878="Sim","R",IF(N878&gt;=Parâmetros!$B$39,"A",IF(N878&gt;=Parâmetros!$B$40,"B",IF(N878&gt;=Parâmetros!$B$41,"C","D"))))</f>
        <v>R</v>
      </c>
      <c r="Q878" s="10" t="str">
        <f aca="false">IF(F878="","Completar cadastro","")</f>
        <v>Completar cadastro</v>
      </c>
      <c r="R878" s="10" t="str">
        <f aca="false">INDEX(Parâmetros!$D$39:$D$43,MATCH(P878,Parâmetros!$A$39:$A$43,0))</f>
        <v>Reciclar: requalificar, reengajar ou encerrar</v>
      </c>
    </row>
    <row r="879" customFormat="false" ht="15" hidden="false" customHeight="false" outlineLevel="0" collapsed="false">
      <c r="A879" s="10" t="s">
        <v>1122</v>
      </c>
      <c r="B879" s="10" t="s">
        <v>77</v>
      </c>
      <c r="C879" s="10" t="s">
        <v>78</v>
      </c>
      <c r="D879" s="10" t="s">
        <v>196</v>
      </c>
      <c r="E879" s="10" t="s">
        <v>48</v>
      </c>
      <c r="F879" s="10" t="s">
        <v>512</v>
      </c>
      <c r="G879" s="10" t="s">
        <v>162</v>
      </c>
      <c r="H879" s="30" t="n">
        <v>42940</v>
      </c>
      <c r="I879" s="8" t="n">
        <f aca="false">INDEX(Parâmetros!$C$13:$C$19,MATCH(E879,Parâmetros!$A$13:$A$19,0))</f>
        <v>4821</v>
      </c>
      <c r="J879" s="26" t="n">
        <f aca="false">IF(H879="","",Parâmetros!$B$5-H879)</f>
        <v>160</v>
      </c>
      <c r="K879" s="10" t="n">
        <f aca="false">INDEX(Parâmetros!$D$13:$D$19,MATCH(E879,Parâmetros!$A$13:$A$19,0))</f>
        <v>43</v>
      </c>
      <c r="L879" s="10" t="n">
        <f aca="false">IF(G879="Prospecting",Parâmetros!$B$9,IF(J879&gt;Parâmetros!$B$6,0,INDEX(Parâmetros!$C$24:$C$26,MATCH(J879,Parâmetros!$A$24:$A$26,1))))</f>
        <v>0</v>
      </c>
      <c r="M879" s="31" t="n">
        <f aca="false">IF(G879="Prospecting",1,INDEX(Parâmetros!$C$32:$C$35,MATCH(J879,Parâmetros!$A$32:$A$35,1)))</f>
        <v>0.6</v>
      </c>
      <c r="N879" s="2" t="n">
        <f aca="false">ROUND((K879+L879)*M879,0)</f>
        <v>26</v>
      </c>
      <c r="O879" s="10" t="str">
        <f aca="false">IF(AND(G879="Engaging",J879&gt;Parâmetros!$B$6),"Sim","Não")</f>
        <v>Sim</v>
      </c>
      <c r="P879" s="32" t="str">
        <f aca="false">IF(O879="Sim","R",IF(N879&gt;=Parâmetros!$B$39,"A",IF(N879&gt;=Parâmetros!$B$40,"B",IF(N879&gt;=Parâmetros!$B$41,"C","D"))))</f>
        <v>R</v>
      </c>
      <c r="Q879" s="10" t="str">
        <f aca="false">IF(F879="","Completar cadastro","")</f>
        <v/>
      </c>
      <c r="R879" s="10" t="str">
        <f aca="false">INDEX(Parâmetros!$D$39:$D$43,MATCH(P879,Parâmetros!$A$39:$A$43,0))</f>
        <v>Reciclar: requalificar, reengajar ou encerrar</v>
      </c>
    </row>
    <row r="880" customFormat="false" ht="15" hidden="false" customHeight="false" outlineLevel="0" collapsed="false">
      <c r="A880" s="10" t="s">
        <v>1123</v>
      </c>
      <c r="B880" s="10" t="s">
        <v>77</v>
      </c>
      <c r="C880" s="10" t="s">
        <v>78</v>
      </c>
      <c r="D880" s="10" t="s">
        <v>196</v>
      </c>
      <c r="E880" s="10" t="s">
        <v>48</v>
      </c>
      <c r="F880" s="10"/>
      <c r="G880" s="10" t="s">
        <v>162</v>
      </c>
      <c r="H880" s="30" t="n">
        <v>42940</v>
      </c>
      <c r="I880" s="8" t="n">
        <f aca="false">INDEX(Parâmetros!$C$13:$C$19,MATCH(E880,Parâmetros!$A$13:$A$19,0))</f>
        <v>4821</v>
      </c>
      <c r="J880" s="26" t="n">
        <f aca="false">IF(H880="","",Parâmetros!$B$5-H880)</f>
        <v>160</v>
      </c>
      <c r="K880" s="10" t="n">
        <f aca="false">INDEX(Parâmetros!$D$13:$D$19,MATCH(E880,Parâmetros!$A$13:$A$19,0))</f>
        <v>43</v>
      </c>
      <c r="L880" s="10" t="n">
        <f aca="false">IF(G880="Prospecting",Parâmetros!$B$9,IF(J880&gt;Parâmetros!$B$6,0,INDEX(Parâmetros!$C$24:$C$26,MATCH(J880,Parâmetros!$A$24:$A$26,1))))</f>
        <v>0</v>
      </c>
      <c r="M880" s="31" t="n">
        <f aca="false">IF(G880="Prospecting",1,INDEX(Parâmetros!$C$32:$C$35,MATCH(J880,Parâmetros!$A$32:$A$35,1)))</f>
        <v>0.6</v>
      </c>
      <c r="N880" s="2" t="n">
        <f aca="false">ROUND((K880+L880)*M880,0)</f>
        <v>26</v>
      </c>
      <c r="O880" s="10" t="str">
        <f aca="false">IF(AND(G880="Engaging",J880&gt;Parâmetros!$B$6),"Sim","Não")</f>
        <v>Sim</v>
      </c>
      <c r="P880" s="32" t="str">
        <f aca="false">IF(O880="Sim","R",IF(N880&gt;=Parâmetros!$B$39,"A",IF(N880&gt;=Parâmetros!$B$40,"B",IF(N880&gt;=Parâmetros!$B$41,"C","D"))))</f>
        <v>R</v>
      </c>
      <c r="Q880" s="10" t="str">
        <f aca="false">IF(F880="","Completar cadastro","")</f>
        <v>Completar cadastro</v>
      </c>
      <c r="R880" s="10" t="str">
        <f aca="false">INDEX(Parâmetros!$D$39:$D$43,MATCH(P880,Parâmetros!$A$39:$A$43,0))</f>
        <v>Reciclar: requalificar, reengajar ou encerrar</v>
      </c>
    </row>
    <row r="881" customFormat="false" ht="15" hidden="false" customHeight="false" outlineLevel="0" collapsed="false">
      <c r="A881" s="10" t="s">
        <v>1124</v>
      </c>
      <c r="B881" s="10" t="s">
        <v>77</v>
      </c>
      <c r="C881" s="10" t="s">
        <v>78</v>
      </c>
      <c r="D881" s="10" t="s">
        <v>196</v>
      </c>
      <c r="E881" s="10" t="s">
        <v>48</v>
      </c>
      <c r="F881" s="10"/>
      <c r="G881" s="10" t="s">
        <v>162</v>
      </c>
      <c r="H881" s="30" t="n">
        <v>42940</v>
      </c>
      <c r="I881" s="8" t="n">
        <f aca="false">INDEX(Parâmetros!$C$13:$C$19,MATCH(E881,Parâmetros!$A$13:$A$19,0))</f>
        <v>4821</v>
      </c>
      <c r="J881" s="26" t="n">
        <f aca="false">IF(H881="","",Parâmetros!$B$5-H881)</f>
        <v>160</v>
      </c>
      <c r="K881" s="10" t="n">
        <f aca="false">INDEX(Parâmetros!$D$13:$D$19,MATCH(E881,Parâmetros!$A$13:$A$19,0))</f>
        <v>43</v>
      </c>
      <c r="L881" s="10" t="n">
        <f aca="false">IF(G881="Prospecting",Parâmetros!$B$9,IF(J881&gt;Parâmetros!$B$6,0,INDEX(Parâmetros!$C$24:$C$26,MATCH(J881,Parâmetros!$A$24:$A$26,1))))</f>
        <v>0</v>
      </c>
      <c r="M881" s="31" t="n">
        <f aca="false">IF(G881="Prospecting",1,INDEX(Parâmetros!$C$32:$C$35,MATCH(J881,Parâmetros!$A$32:$A$35,1)))</f>
        <v>0.6</v>
      </c>
      <c r="N881" s="2" t="n">
        <f aca="false">ROUND((K881+L881)*M881,0)</f>
        <v>26</v>
      </c>
      <c r="O881" s="10" t="str">
        <f aca="false">IF(AND(G881="Engaging",J881&gt;Parâmetros!$B$6),"Sim","Não")</f>
        <v>Sim</v>
      </c>
      <c r="P881" s="32" t="str">
        <f aca="false">IF(O881="Sim","R",IF(N881&gt;=Parâmetros!$B$39,"A",IF(N881&gt;=Parâmetros!$B$40,"B",IF(N881&gt;=Parâmetros!$B$41,"C","D"))))</f>
        <v>R</v>
      </c>
      <c r="Q881" s="10" t="str">
        <f aca="false">IF(F881="","Completar cadastro","")</f>
        <v>Completar cadastro</v>
      </c>
      <c r="R881" s="10" t="str">
        <f aca="false">INDEX(Parâmetros!$D$39:$D$43,MATCH(P881,Parâmetros!$A$39:$A$43,0))</f>
        <v>Reciclar: requalificar, reengajar ou encerrar</v>
      </c>
    </row>
    <row r="882" customFormat="false" ht="15" hidden="false" customHeight="false" outlineLevel="0" collapsed="false">
      <c r="A882" s="10" t="s">
        <v>1125</v>
      </c>
      <c r="B882" s="10" t="s">
        <v>83</v>
      </c>
      <c r="C882" s="10" t="s">
        <v>78</v>
      </c>
      <c r="D882" s="10" t="s">
        <v>196</v>
      </c>
      <c r="E882" s="10" t="s">
        <v>48</v>
      </c>
      <c r="F882" s="10"/>
      <c r="G882" s="10" t="s">
        <v>162</v>
      </c>
      <c r="H882" s="30" t="n">
        <v>42940</v>
      </c>
      <c r="I882" s="8" t="n">
        <f aca="false">INDEX(Parâmetros!$C$13:$C$19,MATCH(E882,Parâmetros!$A$13:$A$19,0))</f>
        <v>4821</v>
      </c>
      <c r="J882" s="26" t="n">
        <f aca="false">IF(H882="","",Parâmetros!$B$5-H882)</f>
        <v>160</v>
      </c>
      <c r="K882" s="10" t="n">
        <f aca="false">INDEX(Parâmetros!$D$13:$D$19,MATCH(E882,Parâmetros!$A$13:$A$19,0))</f>
        <v>43</v>
      </c>
      <c r="L882" s="10" t="n">
        <f aca="false">IF(G882="Prospecting",Parâmetros!$B$9,IF(J882&gt;Parâmetros!$B$6,0,INDEX(Parâmetros!$C$24:$C$26,MATCH(J882,Parâmetros!$A$24:$A$26,1))))</f>
        <v>0</v>
      </c>
      <c r="M882" s="31" t="n">
        <f aca="false">IF(G882="Prospecting",1,INDEX(Parâmetros!$C$32:$C$35,MATCH(J882,Parâmetros!$A$32:$A$35,1)))</f>
        <v>0.6</v>
      </c>
      <c r="N882" s="2" t="n">
        <f aca="false">ROUND((K882+L882)*M882,0)</f>
        <v>26</v>
      </c>
      <c r="O882" s="10" t="str">
        <f aca="false">IF(AND(G882="Engaging",J882&gt;Parâmetros!$B$6),"Sim","Não")</f>
        <v>Sim</v>
      </c>
      <c r="P882" s="32" t="str">
        <f aca="false">IF(O882="Sim","R",IF(N882&gt;=Parâmetros!$B$39,"A",IF(N882&gt;=Parâmetros!$B$40,"B",IF(N882&gt;=Parâmetros!$B$41,"C","D"))))</f>
        <v>R</v>
      </c>
      <c r="Q882" s="10" t="str">
        <f aca="false">IF(F882="","Completar cadastro","")</f>
        <v>Completar cadastro</v>
      </c>
      <c r="R882" s="10" t="str">
        <f aca="false">INDEX(Parâmetros!$D$39:$D$43,MATCH(P882,Parâmetros!$A$39:$A$43,0))</f>
        <v>Reciclar: requalificar, reengajar ou encerrar</v>
      </c>
    </row>
    <row r="883" customFormat="false" ht="15" hidden="false" customHeight="false" outlineLevel="0" collapsed="false">
      <c r="A883" s="10" t="s">
        <v>1126</v>
      </c>
      <c r="B883" s="10" t="s">
        <v>77</v>
      </c>
      <c r="C883" s="10" t="s">
        <v>78</v>
      </c>
      <c r="D883" s="10" t="s">
        <v>196</v>
      </c>
      <c r="E883" s="10" t="s">
        <v>48</v>
      </c>
      <c r="F883" s="10" t="s">
        <v>697</v>
      </c>
      <c r="G883" s="10" t="s">
        <v>162</v>
      </c>
      <c r="H883" s="30" t="n">
        <v>42941</v>
      </c>
      <c r="I883" s="8" t="n">
        <f aca="false">INDEX(Parâmetros!$C$13:$C$19,MATCH(E883,Parâmetros!$A$13:$A$19,0))</f>
        <v>4821</v>
      </c>
      <c r="J883" s="26" t="n">
        <f aca="false">IF(H883="","",Parâmetros!$B$5-H883)</f>
        <v>159</v>
      </c>
      <c r="K883" s="10" t="n">
        <f aca="false">INDEX(Parâmetros!$D$13:$D$19,MATCH(E883,Parâmetros!$A$13:$A$19,0))</f>
        <v>43</v>
      </c>
      <c r="L883" s="10" t="n">
        <f aca="false">IF(G883="Prospecting",Parâmetros!$B$9,IF(J883&gt;Parâmetros!$B$6,0,INDEX(Parâmetros!$C$24:$C$26,MATCH(J883,Parâmetros!$A$24:$A$26,1))))</f>
        <v>0</v>
      </c>
      <c r="M883" s="31" t="n">
        <f aca="false">IF(G883="Prospecting",1,INDEX(Parâmetros!$C$32:$C$35,MATCH(J883,Parâmetros!$A$32:$A$35,1)))</f>
        <v>0.6</v>
      </c>
      <c r="N883" s="2" t="n">
        <f aca="false">ROUND((K883+L883)*M883,0)</f>
        <v>26</v>
      </c>
      <c r="O883" s="10" t="str">
        <f aca="false">IF(AND(G883="Engaging",J883&gt;Parâmetros!$B$6),"Sim","Não")</f>
        <v>Sim</v>
      </c>
      <c r="P883" s="32" t="str">
        <f aca="false">IF(O883="Sim","R",IF(N883&gt;=Parâmetros!$B$39,"A",IF(N883&gt;=Parâmetros!$B$40,"B",IF(N883&gt;=Parâmetros!$B$41,"C","D"))))</f>
        <v>R</v>
      </c>
      <c r="Q883" s="10" t="str">
        <f aca="false">IF(F883="","Completar cadastro","")</f>
        <v/>
      </c>
      <c r="R883" s="10" t="str">
        <f aca="false">INDEX(Parâmetros!$D$39:$D$43,MATCH(P883,Parâmetros!$A$39:$A$43,0))</f>
        <v>Reciclar: requalificar, reengajar ou encerrar</v>
      </c>
    </row>
    <row r="884" customFormat="false" ht="15" hidden="false" customHeight="false" outlineLevel="0" collapsed="false">
      <c r="A884" s="10" t="s">
        <v>1127</v>
      </c>
      <c r="B884" s="10" t="s">
        <v>77</v>
      </c>
      <c r="C884" s="10" t="s">
        <v>78</v>
      </c>
      <c r="D884" s="10" t="s">
        <v>196</v>
      </c>
      <c r="E884" s="10" t="s">
        <v>48</v>
      </c>
      <c r="F884" s="10" t="s">
        <v>697</v>
      </c>
      <c r="G884" s="10" t="s">
        <v>162</v>
      </c>
      <c r="H884" s="30" t="n">
        <v>42941</v>
      </c>
      <c r="I884" s="8" t="n">
        <f aca="false">INDEX(Parâmetros!$C$13:$C$19,MATCH(E884,Parâmetros!$A$13:$A$19,0))</f>
        <v>4821</v>
      </c>
      <c r="J884" s="26" t="n">
        <f aca="false">IF(H884="","",Parâmetros!$B$5-H884)</f>
        <v>159</v>
      </c>
      <c r="K884" s="10" t="n">
        <f aca="false">INDEX(Parâmetros!$D$13:$D$19,MATCH(E884,Parâmetros!$A$13:$A$19,0))</f>
        <v>43</v>
      </c>
      <c r="L884" s="10" t="n">
        <f aca="false">IF(G884="Prospecting",Parâmetros!$B$9,IF(J884&gt;Parâmetros!$B$6,0,INDEX(Parâmetros!$C$24:$C$26,MATCH(J884,Parâmetros!$A$24:$A$26,1))))</f>
        <v>0</v>
      </c>
      <c r="M884" s="31" t="n">
        <f aca="false">IF(G884="Prospecting",1,INDEX(Parâmetros!$C$32:$C$35,MATCH(J884,Parâmetros!$A$32:$A$35,1)))</f>
        <v>0.6</v>
      </c>
      <c r="N884" s="2" t="n">
        <f aca="false">ROUND((K884+L884)*M884,0)</f>
        <v>26</v>
      </c>
      <c r="O884" s="10" t="str">
        <f aca="false">IF(AND(G884="Engaging",J884&gt;Parâmetros!$B$6),"Sim","Não")</f>
        <v>Sim</v>
      </c>
      <c r="P884" s="32" t="str">
        <f aca="false">IF(O884="Sim","R",IF(N884&gt;=Parâmetros!$B$39,"A",IF(N884&gt;=Parâmetros!$B$40,"B",IF(N884&gt;=Parâmetros!$B$41,"C","D"))))</f>
        <v>R</v>
      </c>
      <c r="Q884" s="10" t="str">
        <f aca="false">IF(F884="","Completar cadastro","")</f>
        <v/>
      </c>
      <c r="R884" s="10" t="str">
        <f aca="false">INDEX(Parâmetros!$D$39:$D$43,MATCH(P884,Parâmetros!$A$39:$A$43,0))</f>
        <v>Reciclar: requalificar, reengajar ou encerrar</v>
      </c>
    </row>
    <row r="885" customFormat="false" ht="15" hidden="false" customHeight="false" outlineLevel="0" collapsed="false">
      <c r="A885" s="10" t="s">
        <v>1128</v>
      </c>
      <c r="B885" s="10" t="s">
        <v>77</v>
      </c>
      <c r="C885" s="10" t="s">
        <v>78</v>
      </c>
      <c r="D885" s="10" t="s">
        <v>196</v>
      </c>
      <c r="E885" s="10" t="s">
        <v>48</v>
      </c>
      <c r="F885" s="10"/>
      <c r="G885" s="10" t="s">
        <v>162</v>
      </c>
      <c r="H885" s="30" t="n">
        <v>42941</v>
      </c>
      <c r="I885" s="8" t="n">
        <f aca="false">INDEX(Parâmetros!$C$13:$C$19,MATCH(E885,Parâmetros!$A$13:$A$19,0))</f>
        <v>4821</v>
      </c>
      <c r="J885" s="26" t="n">
        <f aca="false">IF(H885="","",Parâmetros!$B$5-H885)</f>
        <v>159</v>
      </c>
      <c r="K885" s="10" t="n">
        <f aca="false">INDEX(Parâmetros!$D$13:$D$19,MATCH(E885,Parâmetros!$A$13:$A$19,0))</f>
        <v>43</v>
      </c>
      <c r="L885" s="10" t="n">
        <f aca="false">IF(G885="Prospecting",Parâmetros!$B$9,IF(J885&gt;Parâmetros!$B$6,0,INDEX(Parâmetros!$C$24:$C$26,MATCH(J885,Parâmetros!$A$24:$A$26,1))))</f>
        <v>0</v>
      </c>
      <c r="M885" s="31" t="n">
        <f aca="false">IF(G885="Prospecting",1,INDEX(Parâmetros!$C$32:$C$35,MATCH(J885,Parâmetros!$A$32:$A$35,1)))</f>
        <v>0.6</v>
      </c>
      <c r="N885" s="2" t="n">
        <f aca="false">ROUND((K885+L885)*M885,0)</f>
        <v>26</v>
      </c>
      <c r="O885" s="10" t="str">
        <f aca="false">IF(AND(G885="Engaging",J885&gt;Parâmetros!$B$6),"Sim","Não")</f>
        <v>Sim</v>
      </c>
      <c r="P885" s="32" t="str">
        <f aca="false">IF(O885="Sim","R",IF(N885&gt;=Parâmetros!$B$39,"A",IF(N885&gt;=Parâmetros!$B$40,"B",IF(N885&gt;=Parâmetros!$B$41,"C","D"))))</f>
        <v>R</v>
      </c>
      <c r="Q885" s="10" t="str">
        <f aca="false">IF(F885="","Completar cadastro","")</f>
        <v>Completar cadastro</v>
      </c>
      <c r="R885" s="10" t="str">
        <f aca="false">INDEX(Parâmetros!$D$39:$D$43,MATCH(P885,Parâmetros!$A$39:$A$43,0))</f>
        <v>Reciclar: requalificar, reengajar ou encerrar</v>
      </c>
    </row>
    <row r="886" customFormat="false" ht="15" hidden="false" customHeight="false" outlineLevel="0" collapsed="false">
      <c r="A886" s="10" t="s">
        <v>1129</v>
      </c>
      <c r="B886" s="10" t="s">
        <v>77</v>
      </c>
      <c r="C886" s="10" t="s">
        <v>78</v>
      </c>
      <c r="D886" s="10" t="s">
        <v>196</v>
      </c>
      <c r="E886" s="10" t="s">
        <v>48</v>
      </c>
      <c r="F886" s="10"/>
      <c r="G886" s="10" t="s">
        <v>162</v>
      </c>
      <c r="H886" s="30" t="n">
        <v>42941</v>
      </c>
      <c r="I886" s="8" t="n">
        <f aca="false">INDEX(Parâmetros!$C$13:$C$19,MATCH(E886,Parâmetros!$A$13:$A$19,0))</f>
        <v>4821</v>
      </c>
      <c r="J886" s="26" t="n">
        <f aca="false">IF(H886="","",Parâmetros!$B$5-H886)</f>
        <v>159</v>
      </c>
      <c r="K886" s="10" t="n">
        <f aca="false">INDEX(Parâmetros!$D$13:$D$19,MATCH(E886,Parâmetros!$A$13:$A$19,0))</f>
        <v>43</v>
      </c>
      <c r="L886" s="10" t="n">
        <f aca="false">IF(G886="Prospecting",Parâmetros!$B$9,IF(J886&gt;Parâmetros!$B$6,0,INDEX(Parâmetros!$C$24:$C$26,MATCH(J886,Parâmetros!$A$24:$A$26,1))))</f>
        <v>0</v>
      </c>
      <c r="M886" s="31" t="n">
        <f aca="false">IF(G886="Prospecting",1,INDEX(Parâmetros!$C$32:$C$35,MATCH(J886,Parâmetros!$A$32:$A$35,1)))</f>
        <v>0.6</v>
      </c>
      <c r="N886" s="2" t="n">
        <f aca="false">ROUND((K886+L886)*M886,0)</f>
        <v>26</v>
      </c>
      <c r="O886" s="10" t="str">
        <f aca="false">IF(AND(G886="Engaging",J886&gt;Parâmetros!$B$6),"Sim","Não")</f>
        <v>Sim</v>
      </c>
      <c r="P886" s="32" t="str">
        <f aca="false">IF(O886="Sim","R",IF(N886&gt;=Parâmetros!$B$39,"A",IF(N886&gt;=Parâmetros!$B$40,"B",IF(N886&gt;=Parâmetros!$B$41,"C","D"))))</f>
        <v>R</v>
      </c>
      <c r="Q886" s="10" t="str">
        <f aca="false">IF(F886="","Completar cadastro","")</f>
        <v>Completar cadastro</v>
      </c>
      <c r="R886" s="10" t="str">
        <f aca="false">INDEX(Parâmetros!$D$39:$D$43,MATCH(P886,Parâmetros!$A$39:$A$43,0))</f>
        <v>Reciclar: requalificar, reengajar ou encerrar</v>
      </c>
    </row>
    <row r="887" customFormat="false" ht="15" hidden="false" customHeight="false" outlineLevel="0" collapsed="false">
      <c r="A887" s="10" t="s">
        <v>1130</v>
      </c>
      <c r="B887" s="10" t="s">
        <v>77</v>
      </c>
      <c r="C887" s="10" t="s">
        <v>78</v>
      </c>
      <c r="D887" s="10" t="s">
        <v>196</v>
      </c>
      <c r="E887" s="10" t="s">
        <v>48</v>
      </c>
      <c r="F887" s="10" t="s">
        <v>427</v>
      </c>
      <c r="G887" s="10" t="s">
        <v>162</v>
      </c>
      <c r="H887" s="30" t="n">
        <v>42942</v>
      </c>
      <c r="I887" s="8" t="n">
        <f aca="false">INDEX(Parâmetros!$C$13:$C$19,MATCH(E887,Parâmetros!$A$13:$A$19,0))</f>
        <v>4821</v>
      </c>
      <c r="J887" s="26" t="n">
        <f aca="false">IF(H887="","",Parâmetros!$B$5-H887)</f>
        <v>158</v>
      </c>
      <c r="K887" s="10" t="n">
        <f aca="false">INDEX(Parâmetros!$D$13:$D$19,MATCH(E887,Parâmetros!$A$13:$A$19,0))</f>
        <v>43</v>
      </c>
      <c r="L887" s="10" t="n">
        <f aca="false">IF(G887="Prospecting",Parâmetros!$B$9,IF(J887&gt;Parâmetros!$B$6,0,INDEX(Parâmetros!$C$24:$C$26,MATCH(J887,Parâmetros!$A$24:$A$26,1))))</f>
        <v>0</v>
      </c>
      <c r="M887" s="31" t="n">
        <f aca="false">IF(G887="Prospecting",1,INDEX(Parâmetros!$C$32:$C$35,MATCH(J887,Parâmetros!$A$32:$A$35,1)))</f>
        <v>0.6</v>
      </c>
      <c r="N887" s="2" t="n">
        <f aca="false">ROUND((K887+L887)*M887,0)</f>
        <v>26</v>
      </c>
      <c r="O887" s="10" t="str">
        <f aca="false">IF(AND(G887="Engaging",J887&gt;Parâmetros!$B$6),"Sim","Não")</f>
        <v>Sim</v>
      </c>
      <c r="P887" s="32" t="str">
        <f aca="false">IF(O887="Sim","R",IF(N887&gt;=Parâmetros!$B$39,"A",IF(N887&gt;=Parâmetros!$B$40,"B",IF(N887&gt;=Parâmetros!$B$41,"C","D"))))</f>
        <v>R</v>
      </c>
      <c r="Q887" s="10" t="str">
        <f aca="false">IF(F887="","Completar cadastro","")</f>
        <v/>
      </c>
      <c r="R887" s="10" t="str">
        <f aca="false">INDEX(Parâmetros!$D$39:$D$43,MATCH(P887,Parâmetros!$A$39:$A$43,0))</f>
        <v>Reciclar: requalificar, reengajar ou encerrar</v>
      </c>
    </row>
    <row r="888" customFormat="false" ht="15" hidden="false" customHeight="false" outlineLevel="0" collapsed="false">
      <c r="A888" s="10" t="s">
        <v>1131</v>
      </c>
      <c r="B888" s="10" t="s">
        <v>77</v>
      </c>
      <c r="C888" s="10" t="s">
        <v>78</v>
      </c>
      <c r="D888" s="10" t="s">
        <v>196</v>
      </c>
      <c r="E888" s="10" t="s">
        <v>48</v>
      </c>
      <c r="F888" s="10"/>
      <c r="G888" s="10" t="s">
        <v>162</v>
      </c>
      <c r="H888" s="30" t="n">
        <v>42942</v>
      </c>
      <c r="I888" s="8" t="n">
        <f aca="false">INDEX(Parâmetros!$C$13:$C$19,MATCH(E888,Parâmetros!$A$13:$A$19,0))</f>
        <v>4821</v>
      </c>
      <c r="J888" s="26" t="n">
        <f aca="false">IF(H888="","",Parâmetros!$B$5-H888)</f>
        <v>158</v>
      </c>
      <c r="K888" s="10" t="n">
        <f aca="false">INDEX(Parâmetros!$D$13:$D$19,MATCH(E888,Parâmetros!$A$13:$A$19,0))</f>
        <v>43</v>
      </c>
      <c r="L888" s="10" t="n">
        <f aca="false">IF(G888="Prospecting",Parâmetros!$B$9,IF(J888&gt;Parâmetros!$B$6,0,INDEX(Parâmetros!$C$24:$C$26,MATCH(J888,Parâmetros!$A$24:$A$26,1))))</f>
        <v>0</v>
      </c>
      <c r="M888" s="31" t="n">
        <f aca="false">IF(G888="Prospecting",1,INDEX(Parâmetros!$C$32:$C$35,MATCH(J888,Parâmetros!$A$32:$A$35,1)))</f>
        <v>0.6</v>
      </c>
      <c r="N888" s="2" t="n">
        <f aca="false">ROUND((K888+L888)*M888,0)</f>
        <v>26</v>
      </c>
      <c r="O888" s="10" t="str">
        <f aca="false">IF(AND(G888="Engaging",J888&gt;Parâmetros!$B$6),"Sim","Não")</f>
        <v>Sim</v>
      </c>
      <c r="P888" s="32" t="str">
        <f aca="false">IF(O888="Sim","R",IF(N888&gt;=Parâmetros!$B$39,"A",IF(N888&gt;=Parâmetros!$B$40,"B",IF(N888&gt;=Parâmetros!$B$41,"C","D"))))</f>
        <v>R</v>
      </c>
      <c r="Q888" s="10" t="str">
        <f aca="false">IF(F888="","Completar cadastro","")</f>
        <v>Completar cadastro</v>
      </c>
      <c r="R888" s="10" t="str">
        <f aca="false">INDEX(Parâmetros!$D$39:$D$43,MATCH(P888,Parâmetros!$A$39:$A$43,0))</f>
        <v>Reciclar: requalificar, reengajar ou encerrar</v>
      </c>
    </row>
    <row r="889" customFormat="false" ht="15" hidden="false" customHeight="false" outlineLevel="0" collapsed="false">
      <c r="A889" s="10" t="s">
        <v>1132</v>
      </c>
      <c r="B889" s="10" t="s">
        <v>77</v>
      </c>
      <c r="C889" s="10" t="s">
        <v>78</v>
      </c>
      <c r="D889" s="10" t="s">
        <v>196</v>
      </c>
      <c r="E889" s="10" t="s">
        <v>48</v>
      </c>
      <c r="F889" s="10"/>
      <c r="G889" s="10" t="s">
        <v>162</v>
      </c>
      <c r="H889" s="30" t="n">
        <v>42942</v>
      </c>
      <c r="I889" s="8" t="n">
        <f aca="false">INDEX(Parâmetros!$C$13:$C$19,MATCH(E889,Parâmetros!$A$13:$A$19,0))</f>
        <v>4821</v>
      </c>
      <c r="J889" s="26" t="n">
        <f aca="false">IF(H889="","",Parâmetros!$B$5-H889)</f>
        <v>158</v>
      </c>
      <c r="K889" s="10" t="n">
        <f aca="false">INDEX(Parâmetros!$D$13:$D$19,MATCH(E889,Parâmetros!$A$13:$A$19,0))</f>
        <v>43</v>
      </c>
      <c r="L889" s="10" t="n">
        <f aca="false">IF(G889="Prospecting",Parâmetros!$B$9,IF(J889&gt;Parâmetros!$B$6,0,INDEX(Parâmetros!$C$24:$C$26,MATCH(J889,Parâmetros!$A$24:$A$26,1))))</f>
        <v>0</v>
      </c>
      <c r="M889" s="31" t="n">
        <f aca="false">IF(G889="Prospecting",1,INDEX(Parâmetros!$C$32:$C$35,MATCH(J889,Parâmetros!$A$32:$A$35,1)))</f>
        <v>0.6</v>
      </c>
      <c r="N889" s="2" t="n">
        <f aca="false">ROUND((K889+L889)*M889,0)</f>
        <v>26</v>
      </c>
      <c r="O889" s="10" t="str">
        <f aca="false">IF(AND(G889="Engaging",J889&gt;Parâmetros!$B$6),"Sim","Não")</f>
        <v>Sim</v>
      </c>
      <c r="P889" s="32" t="str">
        <f aca="false">IF(O889="Sim","R",IF(N889&gt;=Parâmetros!$B$39,"A",IF(N889&gt;=Parâmetros!$B$40,"B",IF(N889&gt;=Parâmetros!$B$41,"C","D"))))</f>
        <v>R</v>
      </c>
      <c r="Q889" s="10" t="str">
        <f aca="false">IF(F889="","Completar cadastro","")</f>
        <v>Completar cadastro</v>
      </c>
      <c r="R889" s="10" t="str">
        <f aca="false">INDEX(Parâmetros!$D$39:$D$43,MATCH(P889,Parâmetros!$A$39:$A$43,0))</f>
        <v>Reciclar: requalificar, reengajar ou encerrar</v>
      </c>
    </row>
    <row r="890" customFormat="false" ht="15" hidden="false" customHeight="false" outlineLevel="0" collapsed="false">
      <c r="A890" s="10" t="s">
        <v>1133</v>
      </c>
      <c r="B890" s="10" t="s">
        <v>93</v>
      </c>
      <c r="C890" s="10" t="s">
        <v>92</v>
      </c>
      <c r="D890" s="10" t="s">
        <v>160</v>
      </c>
      <c r="E890" s="10" t="s">
        <v>48</v>
      </c>
      <c r="F890" s="10" t="s">
        <v>359</v>
      </c>
      <c r="G890" s="10" t="s">
        <v>162</v>
      </c>
      <c r="H890" s="30" t="n">
        <v>42942</v>
      </c>
      <c r="I890" s="8" t="n">
        <f aca="false">INDEX(Parâmetros!$C$13:$C$19,MATCH(E890,Parâmetros!$A$13:$A$19,0))</f>
        <v>4821</v>
      </c>
      <c r="J890" s="26" t="n">
        <f aca="false">IF(H890="","",Parâmetros!$B$5-H890)</f>
        <v>158</v>
      </c>
      <c r="K890" s="10" t="n">
        <f aca="false">INDEX(Parâmetros!$D$13:$D$19,MATCH(E890,Parâmetros!$A$13:$A$19,0))</f>
        <v>43</v>
      </c>
      <c r="L890" s="10" t="n">
        <f aca="false">IF(G890="Prospecting",Parâmetros!$B$9,IF(J890&gt;Parâmetros!$B$6,0,INDEX(Parâmetros!$C$24:$C$26,MATCH(J890,Parâmetros!$A$24:$A$26,1))))</f>
        <v>0</v>
      </c>
      <c r="M890" s="31" t="n">
        <f aca="false">IF(G890="Prospecting",1,INDEX(Parâmetros!$C$32:$C$35,MATCH(J890,Parâmetros!$A$32:$A$35,1)))</f>
        <v>0.6</v>
      </c>
      <c r="N890" s="2" t="n">
        <f aca="false">ROUND((K890+L890)*M890,0)</f>
        <v>26</v>
      </c>
      <c r="O890" s="10" t="str">
        <f aca="false">IF(AND(G890="Engaging",J890&gt;Parâmetros!$B$6),"Sim","Não")</f>
        <v>Sim</v>
      </c>
      <c r="P890" s="32" t="str">
        <f aca="false">IF(O890="Sim","R",IF(N890&gt;=Parâmetros!$B$39,"A",IF(N890&gt;=Parâmetros!$B$40,"B",IF(N890&gt;=Parâmetros!$B$41,"C","D"))))</f>
        <v>R</v>
      </c>
      <c r="Q890" s="10" t="str">
        <f aca="false">IF(F890="","Completar cadastro","")</f>
        <v/>
      </c>
      <c r="R890" s="10" t="str">
        <f aca="false">INDEX(Parâmetros!$D$39:$D$43,MATCH(P890,Parâmetros!$A$39:$A$43,0))</f>
        <v>Reciclar: requalificar, reengajar ou encerrar</v>
      </c>
    </row>
    <row r="891" customFormat="false" ht="15" hidden="false" customHeight="false" outlineLevel="0" collapsed="false">
      <c r="A891" s="10" t="s">
        <v>1134</v>
      </c>
      <c r="B891" s="10" t="s">
        <v>70</v>
      </c>
      <c r="C891" s="10" t="s">
        <v>65</v>
      </c>
      <c r="D891" s="10" t="s">
        <v>160</v>
      </c>
      <c r="E891" s="10" t="s">
        <v>48</v>
      </c>
      <c r="F891" s="10"/>
      <c r="G891" s="10" t="s">
        <v>162</v>
      </c>
      <c r="H891" s="30" t="n">
        <v>42942</v>
      </c>
      <c r="I891" s="8" t="n">
        <f aca="false">INDEX(Parâmetros!$C$13:$C$19,MATCH(E891,Parâmetros!$A$13:$A$19,0))</f>
        <v>4821</v>
      </c>
      <c r="J891" s="26" t="n">
        <f aca="false">IF(H891="","",Parâmetros!$B$5-H891)</f>
        <v>158</v>
      </c>
      <c r="K891" s="10" t="n">
        <f aca="false">INDEX(Parâmetros!$D$13:$D$19,MATCH(E891,Parâmetros!$A$13:$A$19,0))</f>
        <v>43</v>
      </c>
      <c r="L891" s="10" t="n">
        <f aca="false">IF(G891="Prospecting",Parâmetros!$B$9,IF(J891&gt;Parâmetros!$B$6,0,INDEX(Parâmetros!$C$24:$C$26,MATCH(J891,Parâmetros!$A$24:$A$26,1))))</f>
        <v>0</v>
      </c>
      <c r="M891" s="31" t="n">
        <f aca="false">IF(G891="Prospecting",1,INDEX(Parâmetros!$C$32:$C$35,MATCH(J891,Parâmetros!$A$32:$A$35,1)))</f>
        <v>0.6</v>
      </c>
      <c r="N891" s="2" t="n">
        <f aca="false">ROUND((K891+L891)*M891,0)</f>
        <v>26</v>
      </c>
      <c r="O891" s="10" t="str">
        <f aca="false">IF(AND(G891="Engaging",J891&gt;Parâmetros!$B$6),"Sim","Não")</f>
        <v>Sim</v>
      </c>
      <c r="P891" s="32" t="str">
        <f aca="false">IF(O891="Sim","R",IF(N891&gt;=Parâmetros!$B$39,"A",IF(N891&gt;=Parâmetros!$B$40,"B",IF(N891&gt;=Parâmetros!$B$41,"C","D"))))</f>
        <v>R</v>
      </c>
      <c r="Q891" s="10" t="str">
        <f aca="false">IF(F891="","Completar cadastro","")</f>
        <v>Completar cadastro</v>
      </c>
      <c r="R891" s="10" t="str">
        <f aca="false">INDEX(Parâmetros!$D$39:$D$43,MATCH(P891,Parâmetros!$A$39:$A$43,0))</f>
        <v>Reciclar: requalificar, reengajar ou encerrar</v>
      </c>
    </row>
    <row r="892" customFormat="false" ht="15" hidden="false" customHeight="false" outlineLevel="0" collapsed="false">
      <c r="A892" s="10" t="s">
        <v>1135</v>
      </c>
      <c r="B892" s="10" t="s">
        <v>77</v>
      </c>
      <c r="C892" s="10" t="s">
        <v>78</v>
      </c>
      <c r="D892" s="10" t="s">
        <v>196</v>
      </c>
      <c r="E892" s="10" t="s">
        <v>48</v>
      </c>
      <c r="F892" s="10" t="s">
        <v>437</v>
      </c>
      <c r="G892" s="10" t="s">
        <v>162</v>
      </c>
      <c r="H892" s="30" t="n">
        <v>42943</v>
      </c>
      <c r="I892" s="8" t="n">
        <f aca="false">INDEX(Parâmetros!$C$13:$C$19,MATCH(E892,Parâmetros!$A$13:$A$19,0))</f>
        <v>4821</v>
      </c>
      <c r="J892" s="26" t="n">
        <f aca="false">IF(H892="","",Parâmetros!$B$5-H892)</f>
        <v>157</v>
      </c>
      <c r="K892" s="10" t="n">
        <f aca="false">INDEX(Parâmetros!$D$13:$D$19,MATCH(E892,Parâmetros!$A$13:$A$19,0))</f>
        <v>43</v>
      </c>
      <c r="L892" s="10" t="n">
        <f aca="false">IF(G892="Prospecting",Parâmetros!$B$9,IF(J892&gt;Parâmetros!$B$6,0,INDEX(Parâmetros!$C$24:$C$26,MATCH(J892,Parâmetros!$A$24:$A$26,1))))</f>
        <v>0</v>
      </c>
      <c r="M892" s="31" t="n">
        <f aca="false">IF(G892="Prospecting",1,INDEX(Parâmetros!$C$32:$C$35,MATCH(J892,Parâmetros!$A$32:$A$35,1)))</f>
        <v>0.6</v>
      </c>
      <c r="N892" s="2" t="n">
        <f aca="false">ROUND((K892+L892)*M892,0)</f>
        <v>26</v>
      </c>
      <c r="O892" s="10" t="str">
        <f aca="false">IF(AND(G892="Engaging",J892&gt;Parâmetros!$B$6),"Sim","Não")</f>
        <v>Sim</v>
      </c>
      <c r="P892" s="32" t="str">
        <f aca="false">IF(O892="Sim","R",IF(N892&gt;=Parâmetros!$B$39,"A",IF(N892&gt;=Parâmetros!$B$40,"B",IF(N892&gt;=Parâmetros!$B$41,"C","D"))))</f>
        <v>R</v>
      </c>
      <c r="Q892" s="10" t="str">
        <f aca="false">IF(F892="","Completar cadastro","")</f>
        <v/>
      </c>
      <c r="R892" s="10" t="str">
        <f aca="false">INDEX(Parâmetros!$D$39:$D$43,MATCH(P892,Parâmetros!$A$39:$A$43,0))</f>
        <v>Reciclar: requalificar, reengajar ou encerrar</v>
      </c>
    </row>
    <row r="893" customFormat="false" ht="15" hidden="false" customHeight="false" outlineLevel="0" collapsed="false">
      <c r="A893" s="10" t="s">
        <v>1136</v>
      </c>
      <c r="B893" s="10" t="s">
        <v>77</v>
      </c>
      <c r="C893" s="10" t="s">
        <v>78</v>
      </c>
      <c r="D893" s="10" t="s">
        <v>196</v>
      </c>
      <c r="E893" s="10" t="s">
        <v>48</v>
      </c>
      <c r="F893" s="10" t="s">
        <v>660</v>
      </c>
      <c r="G893" s="10" t="s">
        <v>162</v>
      </c>
      <c r="H893" s="30" t="n">
        <v>42943</v>
      </c>
      <c r="I893" s="8" t="n">
        <f aca="false">INDEX(Parâmetros!$C$13:$C$19,MATCH(E893,Parâmetros!$A$13:$A$19,0))</f>
        <v>4821</v>
      </c>
      <c r="J893" s="26" t="n">
        <f aca="false">IF(H893="","",Parâmetros!$B$5-H893)</f>
        <v>157</v>
      </c>
      <c r="K893" s="10" t="n">
        <f aca="false">INDEX(Parâmetros!$D$13:$D$19,MATCH(E893,Parâmetros!$A$13:$A$19,0))</f>
        <v>43</v>
      </c>
      <c r="L893" s="10" t="n">
        <f aca="false">IF(G893="Prospecting",Parâmetros!$B$9,IF(J893&gt;Parâmetros!$B$6,0,INDEX(Parâmetros!$C$24:$C$26,MATCH(J893,Parâmetros!$A$24:$A$26,1))))</f>
        <v>0</v>
      </c>
      <c r="M893" s="31" t="n">
        <f aca="false">IF(G893="Prospecting",1,INDEX(Parâmetros!$C$32:$C$35,MATCH(J893,Parâmetros!$A$32:$A$35,1)))</f>
        <v>0.6</v>
      </c>
      <c r="N893" s="2" t="n">
        <f aca="false">ROUND((K893+L893)*M893,0)</f>
        <v>26</v>
      </c>
      <c r="O893" s="10" t="str">
        <f aca="false">IF(AND(G893="Engaging",J893&gt;Parâmetros!$B$6),"Sim","Não")</f>
        <v>Sim</v>
      </c>
      <c r="P893" s="32" t="str">
        <f aca="false">IF(O893="Sim","R",IF(N893&gt;=Parâmetros!$B$39,"A",IF(N893&gt;=Parâmetros!$B$40,"B",IF(N893&gt;=Parâmetros!$B$41,"C","D"))))</f>
        <v>R</v>
      </c>
      <c r="Q893" s="10" t="str">
        <f aca="false">IF(F893="","Completar cadastro","")</f>
        <v/>
      </c>
      <c r="R893" s="10" t="str">
        <f aca="false">INDEX(Parâmetros!$D$39:$D$43,MATCH(P893,Parâmetros!$A$39:$A$43,0))</f>
        <v>Reciclar: requalificar, reengajar ou encerrar</v>
      </c>
    </row>
    <row r="894" customFormat="false" ht="15" hidden="false" customHeight="false" outlineLevel="0" collapsed="false">
      <c r="A894" s="10" t="s">
        <v>1137</v>
      </c>
      <c r="B894" s="10" t="s">
        <v>77</v>
      </c>
      <c r="C894" s="10" t="s">
        <v>78</v>
      </c>
      <c r="D894" s="10" t="s">
        <v>196</v>
      </c>
      <c r="E894" s="10" t="s">
        <v>48</v>
      </c>
      <c r="F894" s="10" t="s">
        <v>286</v>
      </c>
      <c r="G894" s="10" t="s">
        <v>162</v>
      </c>
      <c r="H894" s="30" t="n">
        <v>42943</v>
      </c>
      <c r="I894" s="8" t="n">
        <f aca="false">INDEX(Parâmetros!$C$13:$C$19,MATCH(E894,Parâmetros!$A$13:$A$19,0))</f>
        <v>4821</v>
      </c>
      <c r="J894" s="26" t="n">
        <f aca="false">IF(H894="","",Parâmetros!$B$5-H894)</f>
        <v>157</v>
      </c>
      <c r="K894" s="10" t="n">
        <f aca="false">INDEX(Parâmetros!$D$13:$D$19,MATCH(E894,Parâmetros!$A$13:$A$19,0))</f>
        <v>43</v>
      </c>
      <c r="L894" s="10" t="n">
        <f aca="false">IF(G894="Prospecting",Parâmetros!$B$9,IF(J894&gt;Parâmetros!$B$6,0,INDEX(Parâmetros!$C$24:$C$26,MATCH(J894,Parâmetros!$A$24:$A$26,1))))</f>
        <v>0</v>
      </c>
      <c r="M894" s="31" t="n">
        <f aca="false">IF(G894="Prospecting",1,INDEX(Parâmetros!$C$32:$C$35,MATCH(J894,Parâmetros!$A$32:$A$35,1)))</f>
        <v>0.6</v>
      </c>
      <c r="N894" s="2" t="n">
        <f aca="false">ROUND((K894+L894)*M894,0)</f>
        <v>26</v>
      </c>
      <c r="O894" s="10" t="str">
        <f aca="false">IF(AND(G894="Engaging",J894&gt;Parâmetros!$B$6),"Sim","Não")</f>
        <v>Sim</v>
      </c>
      <c r="P894" s="32" t="str">
        <f aca="false">IF(O894="Sim","R",IF(N894&gt;=Parâmetros!$B$39,"A",IF(N894&gt;=Parâmetros!$B$40,"B",IF(N894&gt;=Parâmetros!$B$41,"C","D"))))</f>
        <v>R</v>
      </c>
      <c r="Q894" s="10" t="str">
        <f aca="false">IF(F894="","Completar cadastro","")</f>
        <v/>
      </c>
      <c r="R894" s="10" t="str">
        <f aca="false">INDEX(Parâmetros!$D$39:$D$43,MATCH(P894,Parâmetros!$A$39:$A$43,0))</f>
        <v>Reciclar: requalificar, reengajar ou encerrar</v>
      </c>
    </row>
    <row r="895" customFormat="false" ht="15" hidden="false" customHeight="false" outlineLevel="0" collapsed="false">
      <c r="A895" s="10" t="s">
        <v>1138</v>
      </c>
      <c r="B895" s="10" t="s">
        <v>77</v>
      </c>
      <c r="C895" s="10" t="s">
        <v>78</v>
      </c>
      <c r="D895" s="10" t="s">
        <v>196</v>
      </c>
      <c r="E895" s="10" t="s">
        <v>48</v>
      </c>
      <c r="F895" s="10"/>
      <c r="G895" s="10" t="s">
        <v>162</v>
      </c>
      <c r="H895" s="30" t="n">
        <v>42943</v>
      </c>
      <c r="I895" s="8" t="n">
        <f aca="false">INDEX(Parâmetros!$C$13:$C$19,MATCH(E895,Parâmetros!$A$13:$A$19,0))</f>
        <v>4821</v>
      </c>
      <c r="J895" s="26" t="n">
        <f aca="false">IF(H895="","",Parâmetros!$B$5-H895)</f>
        <v>157</v>
      </c>
      <c r="K895" s="10" t="n">
        <f aca="false">INDEX(Parâmetros!$D$13:$D$19,MATCH(E895,Parâmetros!$A$13:$A$19,0))</f>
        <v>43</v>
      </c>
      <c r="L895" s="10" t="n">
        <f aca="false">IF(G895="Prospecting",Parâmetros!$B$9,IF(J895&gt;Parâmetros!$B$6,0,INDEX(Parâmetros!$C$24:$C$26,MATCH(J895,Parâmetros!$A$24:$A$26,1))))</f>
        <v>0</v>
      </c>
      <c r="M895" s="31" t="n">
        <f aca="false">IF(G895="Prospecting",1,INDEX(Parâmetros!$C$32:$C$35,MATCH(J895,Parâmetros!$A$32:$A$35,1)))</f>
        <v>0.6</v>
      </c>
      <c r="N895" s="2" t="n">
        <f aca="false">ROUND((K895+L895)*M895,0)</f>
        <v>26</v>
      </c>
      <c r="O895" s="10" t="str">
        <f aca="false">IF(AND(G895="Engaging",J895&gt;Parâmetros!$B$6),"Sim","Não")</f>
        <v>Sim</v>
      </c>
      <c r="P895" s="32" t="str">
        <f aca="false">IF(O895="Sim","R",IF(N895&gt;=Parâmetros!$B$39,"A",IF(N895&gt;=Parâmetros!$B$40,"B",IF(N895&gt;=Parâmetros!$B$41,"C","D"))))</f>
        <v>R</v>
      </c>
      <c r="Q895" s="10" t="str">
        <f aca="false">IF(F895="","Completar cadastro","")</f>
        <v>Completar cadastro</v>
      </c>
      <c r="R895" s="10" t="str">
        <f aca="false">INDEX(Parâmetros!$D$39:$D$43,MATCH(P895,Parâmetros!$A$39:$A$43,0))</f>
        <v>Reciclar: requalificar, reengajar ou encerrar</v>
      </c>
    </row>
    <row r="896" customFormat="false" ht="15" hidden="false" customHeight="false" outlineLevel="0" collapsed="false">
      <c r="A896" s="10" t="s">
        <v>1139</v>
      </c>
      <c r="B896" s="10" t="s">
        <v>77</v>
      </c>
      <c r="C896" s="10" t="s">
        <v>78</v>
      </c>
      <c r="D896" s="10" t="s">
        <v>196</v>
      </c>
      <c r="E896" s="10" t="s">
        <v>48</v>
      </c>
      <c r="F896" s="10"/>
      <c r="G896" s="10" t="s">
        <v>162</v>
      </c>
      <c r="H896" s="30" t="n">
        <v>42943</v>
      </c>
      <c r="I896" s="8" t="n">
        <f aca="false">INDEX(Parâmetros!$C$13:$C$19,MATCH(E896,Parâmetros!$A$13:$A$19,0))</f>
        <v>4821</v>
      </c>
      <c r="J896" s="26" t="n">
        <f aca="false">IF(H896="","",Parâmetros!$B$5-H896)</f>
        <v>157</v>
      </c>
      <c r="K896" s="10" t="n">
        <f aca="false">INDEX(Parâmetros!$D$13:$D$19,MATCH(E896,Parâmetros!$A$13:$A$19,0))</f>
        <v>43</v>
      </c>
      <c r="L896" s="10" t="n">
        <f aca="false">IF(G896="Prospecting",Parâmetros!$B$9,IF(J896&gt;Parâmetros!$B$6,0,INDEX(Parâmetros!$C$24:$C$26,MATCH(J896,Parâmetros!$A$24:$A$26,1))))</f>
        <v>0</v>
      </c>
      <c r="M896" s="31" t="n">
        <f aca="false">IF(G896="Prospecting",1,INDEX(Parâmetros!$C$32:$C$35,MATCH(J896,Parâmetros!$A$32:$A$35,1)))</f>
        <v>0.6</v>
      </c>
      <c r="N896" s="2" t="n">
        <f aca="false">ROUND((K896+L896)*M896,0)</f>
        <v>26</v>
      </c>
      <c r="O896" s="10" t="str">
        <f aca="false">IF(AND(G896="Engaging",J896&gt;Parâmetros!$B$6),"Sim","Não")</f>
        <v>Sim</v>
      </c>
      <c r="P896" s="32" t="str">
        <f aca="false">IF(O896="Sim","R",IF(N896&gt;=Parâmetros!$B$39,"A",IF(N896&gt;=Parâmetros!$B$40,"B",IF(N896&gt;=Parâmetros!$B$41,"C","D"))))</f>
        <v>R</v>
      </c>
      <c r="Q896" s="10" t="str">
        <f aca="false">IF(F896="","Completar cadastro","")</f>
        <v>Completar cadastro</v>
      </c>
      <c r="R896" s="10" t="str">
        <f aca="false">INDEX(Parâmetros!$D$39:$D$43,MATCH(P896,Parâmetros!$A$39:$A$43,0))</f>
        <v>Reciclar: requalificar, reengajar ou encerrar</v>
      </c>
    </row>
    <row r="897" customFormat="false" ht="15" hidden="false" customHeight="false" outlineLevel="0" collapsed="false">
      <c r="A897" s="10" t="s">
        <v>1140</v>
      </c>
      <c r="B897" s="10" t="s">
        <v>77</v>
      </c>
      <c r="C897" s="10" t="s">
        <v>78</v>
      </c>
      <c r="D897" s="10" t="s">
        <v>196</v>
      </c>
      <c r="E897" s="10" t="s">
        <v>48</v>
      </c>
      <c r="F897" s="10"/>
      <c r="G897" s="10" t="s">
        <v>162</v>
      </c>
      <c r="H897" s="30" t="n">
        <v>42943</v>
      </c>
      <c r="I897" s="8" t="n">
        <f aca="false">INDEX(Parâmetros!$C$13:$C$19,MATCH(E897,Parâmetros!$A$13:$A$19,0))</f>
        <v>4821</v>
      </c>
      <c r="J897" s="26" t="n">
        <f aca="false">IF(H897="","",Parâmetros!$B$5-H897)</f>
        <v>157</v>
      </c>
      <c r="K897" s="10" t="n">
        <f aca="false">INDEX(Parâmetros!$D$13:$D$19,MATCH(E897,Parâmetros!$A$13:$A$19,0))</f>
        <v>43</v>
      </c>
      <c r="L897" s="10" t="n">
        <f aca="false">IF(G897="Prospecting",Parâmetros!$B$9,IF(J897&gt;Parâmetros!$B$6,0,INDEX(Parâmetros!$C$24:$C$26,MATCH(J897,Parâmetros!$A$24:$A$26,1))))</f>
        <v>0</v>
      </c>
      <c r="M897" s="31" t="n">
        <f aca="false">IF(G897="Prospecting",1,INDEX(Parâmetros!$C$32:$C$35,MATCH(J897,Parâmetros!$A$32:$A$35,1)))</f>
        <v>0.6</v>
      </c>
      <c r="N897" s="2" t="n">
        <f aca="false">ROUND((K897+L897)*M897,0)</f>
        <v>26</v>
      </c>
      <c r="O897" s="10" t="str">
        <f aca="false">IF(AND(G897="Engaging",J897&gt;Parâmetros!$B$6),"Sim","Não")</f>
        <v>Sim</v>
      </c>
      <c r="P897" s="32" t="str">
        <f aca="false">IF(O897="Sim","R",IF(N897&gt;=Parâmetros!$B$39,"A",IF(N897&gt;=Parâmetros!$B$40,"B",IF(N897&gt;=Parâmetros!$B$41,"C","D"))))</f>
        <v>R</v>
      </c>
      <c r="Q897" s="10" t="str">
        <f aca="false">IF(F897="","Completar cadastro","")</f>
        <v>Completar cadastro</v>
      </c>
      <c r="R897" s="10" t="str">
        <f aca="false">INDEX(Parâmetros!$D$39:$D$43,MATCH(P897,Parâmetros!$A$39:$A$43,0))</f>
        <v>Reciclar: requalificar, reengajar ou encerrar</v>
      </c>
    </row>
    <row r="898" customFormat="false" ht="15" hidden="false" customHeight="false" outlineLevel="0" collapsed="false">
      <c r="A898" s="10" t="s">
        <v>1141</v>
      </c>
      <c r="B898" s="10" t="s">
        <v>77</v>
      </c>
      <c r="C898" s="10" t="s">
        <v>78</v>
      </c>
      <c r="D898" s="10" t="s">
        <v>196</v>
      </c>
      <c r="E898" s="10" t="s">
        <v>48</v>
      </c>
      <c r="F898" s="10"/>
      <c r="G898" s="10" t="s">
        <v>162</v>
      </c>
      <c r="H898" s="30" t="n">
        <v>42943</v>
      </c>
      <c r="I898" s="8" t="n">
        <f aca="false">INDEX(Parâmetros!$C$13:$C$19,MATCH(E898,Parâmetros!$A$13:$A$19,0))</f>
        <v>4821</v>
      </c>
      <c r="J898" s="26" t="n">
        <f aca="false">IF(H898="","",Parâmetros!$B$5-H898)</f>
        <v>157</v>
      </c>
      <c r="K898" s="10" t="n">
        <f aca="false">INDEX(Parâmetros!$D$13:$D$19,MATCH(E898,Parâmetros!$A$13:$A$19,0))</f>
        <v>43</v>
      </c>
      <c r="L898" s="10" t="n">
        <f aca="false">IF(G898="Prospecting",Parâmetros!$B$9,IF(J898&gt;Parâmetros!$B$6,0,INDEX(Parâmetros!$C$24:$C$26,MATCH(J898,Parâmetros!$A$24:$A$26,1))))</f>
        <v>0</v>
      </c>
      <c r="M898" s="31" t="n">
        <f aca="false">IF(G898="Prospecting",1,INDEX(Parâmetros!$C$32:$C$35,MATCH(J898,Parâmetros!$A$32:$A$35,1)))</f>
        <v>0.6</v>
      </c>
      <c r="N898" s="2" t="n">
        <f aca="false">ROUND((K898+L898)*M898,0)</f>
        <v>26</v>
      </c>
      <c r="O898" s="10" t="str">
        <f aca="false">IF(AND(G898="Engaging",J898&gt;Parâmetros!$B$6),"Sim","Não")</f>
        <v>Sim</v>
      </c>
      <c r="P898" s="32" t="str">
        <f aca="false">IF(O898="Sim","R",IF(N898&gt;=Parâmetros!$B$39,"A",IF(N898&gt;=Parâmetros!$B$40,"B",IF(N898&gt;=Parâmetros!$B$41,"C","D"))))</f>
        <v>R</v>
      </c>
      <c r="Q898" s="10" t="str">
        <f aca="false">IF(F898="","Completar cadastro","")</f>
        <v>Completar cadastro</v>
      </c>
      <c r="R898" s="10" t="str">
        <f aca="false">INDEX(Parâmetros!$D$39:$D$43,MATCH(P898,Parâmetros!$A$39:$A$43,0))</f>
        <v>Reciclar: requalificar, reengajar ou encerrar</v>
      </c>
    </row>
    <row r="899" customFormat="false" ht="15" hidden="false" customHeight="false" outlineLevel="0" collapsed="false">
      <c r="A899" s="10" t="s">
        <v>1142</v>
      </c>
      <c r="B899" s="10" t="s">
        <v>97</v>
      </c>
      <c r="C899" s="10" t="s">
        <v>92</v>
      </c>
      <c r="D899" s="10" t="s">
        <v>160</v>
      </c>
      <c r="E899" s="10" t="s">
        <v>48</v>
      </c>
      <c r="F899" s="10" t="s">
        <v>259</v>
      </c>
      <c r="G899" s="10" t="s">
        <v>162</v>
      </c>
      <c r="H899" s="30" t="n">
        <v>42943</v>
      </c>
      <c r="I899" s="8" t="n">
        <f aca="false">INDEX(Parâmetros!$C$13:$C$19,MATCH(E899,Parâmetros!$A$13:$A$19,0))</f>
        <v>4821</v>
      </c>
      <c r="J899" s="26" t="n">
        <f aca="false">IF(H899="","",Parâmetros!$B$5-H899)</f>
        <v>157</v>
      </c>
      <c r="K899" s="10" t="n">
        <f aca="false">INDEX(Parâmetros!$D$13:$D$19,MATCH(E899,Parâmetros!$A$13:$A$19,0))</f>
        <v>43</v>
      </c>
      <c r="L899" s="10" t="n">
        <f aca="false">IF(G899="Prospecting",Parâmetros!$B$9,IF(J899&gt;Parâmetros!$B$6,0,INDEX(Parâmetros!$C$24:$C$26,MATCH(J899,Parâmetros!$A$24:$A$26,1))))</f>
        <v>0</v>
      </c>
      <c r="M899" s="31" t="n">
        <f aca="false">IF(G899="Prospecting",1,INDEX(Parâmetros!$C$32:$C$35,MATCH(J899,Parâmetros!$A$32:$A$35,1)))</f>
        <v>0.6</v>
      </c>
      <c r="N899" s="2" t="n">
        <f aca="false">ROUND((K899+L899)*M899,0)</f>
        <v>26</v>
      </c>
      <c r="O899" s="10" t="str">
        <f aca="false">IF(AND(G899="Engaging",J899&gt;Parâmetros!$B$6),"Sim","Não")</f>
        <v>Sim</v>
      </c>
      <c r="P899" s="32" t="str">
        <f aca="false">IF(O899="Sim","R",IF(N899&gt;=Parâmetros!$B$39,"A",IF(N899&gt;=Parâmetros!$B$40,"B",IF(N899&gt;=Parâmetros!$B$41,"C","D"))))</f>
        <v>R</v>
      </c>
      <c r="Q899" s="10" t="str">
        <f aca="false">IF(F899="","Completar cadastro","")</f>
        <v/>
      </c>
      <c r="R899" s="10" t="str">
        <f aca="false">INDEX(Parâmetros!$D$39:$D$43,MATCH(P899,Parâmetros!$A$39:$A$43,0))</f>
        <v>Reciclar: requalificar, reengajar ou encerrar</v>
      </c>
    </row>
    <row r="900" customFormat="false" ht="15" hidden="false" customHeight="false" outlineLevel="0" collapsed="false">
      <c r="A900" s="10" t="s">
        <v>1143</v>
      </c>
      <c r="B900" s="10" t="s">
        <v>77</v>
      </c>
      <c r="C900" s="10" t="s">
        <v>78</v>
      </c>
      <c r="D900" s="10" t="s">
        <v>196</v>
      </c>
      <c r="E900" s="10" t="s">
        <v>48</v>
      </c>
      <c r="F900" s="10" t="s">
        <v>350</v>
      </c>
      <c r="G900" s="10" t="s">
        <v>162</v>
      </c>
      <c r="H900" s="30" t="n">
        <v>42944</v>
      </c>
      <c r="I900" s="8" t="n">
        <f aca="false">INDEX(Parâmetros!$C$13:$C$19,MATCH(E900,Parâmetros!$A$13:$A$19,0))</f>
        <v>4821</v>
      </c>
      <c r="J900" s="26" t="n">
        <f aca="false">IF(H900="","",Parâmetros!$B$5-H900)</f>
        <v>156</v>
      </c>
      <c r="K900" s="10" t="n">
        <f aca="false">INDEX(Parâmetros!$D$13:$D$19,MATCH(E900,Parâmetros!$A$13:$A$19,0))</f>
        <v>43</v>
      </c>
      <c r="L900" s="10" t="n">
        <f aca="false">IF(G900="Prospecting",Parâmetros!$B$9,IF(J900&gt;Parâmetros!$B$6,0,INDEX(Parâmetros!$C$24:$C$26,MATCH(J900,Parâmetros!$A$24:$A$26,1))))</f>
        <v>0</v>
      </c>
      <c r="M900" s="31" t="n">
        <f aca="false">IF(G900="Prospecting",1,INDEX(Parâmetros!$C$32:$C$35,MATCH(J900,Parâmetros!$A$32:$A$35,1)))</f>
        <v>0.6</v>
      </c>
      <c r="N900" s="2" t="n">
        <f aca="false">ROUND((K900+L900)*M900,0)</f>
        <v>26</v>
      </c>
      <c r="O900" s="10" t="str">
        <f aca="false">IF(AND(G900="Engaging",J900&gt;Parâmetros!$B$6),"Sim","Não")</f>
        <v>Sim</v>
      </c>
      <c r="P900" s="32" t="str">
        <f aca="false">IF(O900="Sim","R",IF(N900&gt;=Parâmetros!$B$39,"A",IF(N900&gt;=Parâmetros!$B$40,"B",IF(N900&gt;=Parâmetros!$B$41,"C","D"))))</f>
        <v>R</v>
      </c>
      <c r="Q900" s="10" t="str">
        <f aca="false">IF(F900="","Completar cadastro","")</f>
        <v/>
      </c>
      <c r="R900" s="10" t="str">
        <f aca="false">INDEX(Parâmetros!$D$39:$D$43,MATCH(P900,Parâmetros!$A$39:$A$43,0))</f>
        <v>Reciclar: requalificar, reengajar ou encerrar</v>
      </c>
    </row>
    <row r="901" customFormat="false" ht="15" hidden="false" customHeight="false" outlineLevel="0" collapsed="false">
      <c r="A901" s="10" t="s">
        <v>1144</v>
      </c>
      <c r="B901" s="10" t="s">
        <v>77</v>
      </c>
      <c r="C901" s="10" t="s">
        <v>78</v>
      </c>
      <c r="D901" s="10" t="s">
        <v>196</v>
      </c>
      <c r="E901" s="10" t="s">
        <v>48</v>
      </c>
      <c r="F901" s="10"/>
      <c r="G901" s="10" t="s">
        <v>162</v>
      </c>
      <c r="H901" s="30" t="n">
        <v>42944</v>
      </c>
      <c r="I901" s="8" t="n">
        <f aca="false">INDEX(Parâmetros!$C$13:$C$19,MATCH(E901,Parâmetros!$A$13:$A$19,0))</f>
        <v>4821</v>
      </c>
      <c r="J901" s="26" t="n">
        <f aca="false">IF(H901="","",Parâmetros!$B$5-H901)</f>
        <v>156</v>
      </c>
      <c r="K901" s="10" t="n">
        <f aca="false">INDEX(Parâmetros!$D$13:$D$19,MATCH(E901,Parâmetros!$A$13:$A$19,0))</f>
        <v>43</v>
      </c>
      <c r="L901" s="10" t="n">
        <f aca="false">IF(G901="Prospecting",Parâmetros!$B$9,IF(J901&gt;Parâmetros!$B$6,0,INDEX(Parâmetros!$C$24:$C$26,MATCH(J901,Parâmetros!$A$24:$A$26,1))))</f>
        <v>0</v>
      </c>
      <c r="M901" s="31" t="n">
        <f aca="false">IF(G901="Prospecting",1,INDEX(Parâmetros!$C$32:$C$35,MATCH(J901,Parâmetros!$A$32:$A$35,1)))</f>
        <v>0.6</v>
      </c>
      <c r="N901" s="2" t="n">
        <f aca="false">ROUND((K901+L901)*M901,0)</f>
        <v>26</v>
      </c>
      <c r="O901" s="10" t="str">
        <f aca="false">IF(AND(G901="Engaging",J901&gt;Parâmetros!$B$6),"Sim","Não")</f>
        <v>Sim</v>
      </c>
      <c r="P901" s="32" t="str">
        <f aca="false">IF(O901="Sim","R",IF(N901&gt;=Parâmetros!$B$39,"A",IF(N901&gt;=Parâmetros!$B$40,"B",IF(N901&gt;=Parâmetros!$B$41,"C","D"))))</f>
        <v>R</v>
      </c>
      <c r="Q901" s="10" t="str">
        <f aca="false">IF(F901="","Completar cadastro","")</f>
        <v>Completar cadastro</v>
      </c>
      <c r="R901" s="10" t="str">
        <f aca="false">INDEX(Parâmetros!$D$39:$D$43,MATCH(P901,Parâmetros!$A$39:$A$43,0))</f>
        <v>Reciclar: requalificar, reengajar ou encerrar</v>
      </c>
    </row>
    <row r="902" customFormat="false" ht="15" hidden="false" customHeight="false" outlineLevel="0" collapsed="false">
      <c r="A902" s="10" t="s">
        <v>1145</v>
      </c>
      <c r="B902" s="10" t="s">
        <v>79</v>
      </c>
      <c r="C902" s="10" t="s">
        <v>78</v>
      </c>
      <c r="D902" s="10" t="s">
        <v>196</v>
      </c>
      <c r="E902" s="10" t="s">
        <v>48</v>
      </c>
      <c r="F902" s="10" t="s">
        <v>299</v>
      </c>
      <c r="G902" s="10" t="s">
        <v>162</v>
      </c>
      <c r="H902" s="30" t="n">
        <v>42944</v>
      </c>
      <c r="I902" s="8" t="n">
        <f aca="false">INDEX(Parâmetros!$C$13:$C$19,MATCH(E902,Parâmetros!$A$13:$A$19,0))</f>
        <v>4821</v>
      </c>
      <c r="J902" s="26" t="n">
        <f aca="false">IF(H902="","",Parâmetros!$B$5-H902)</f>
        <v>156</v>
      </c>
      <c r="K902" s="10" t="n">
        <f aca="false">INDEX(Parâmetros!$D$13:$D$19,MATCH(E902,Parâmetros!$A$13:$A$19,0))</f>
        <v>43</v>
      </c>
      <c r="L902" s="10" t="n">
        <f aca="false">IF(G902="Prospecting",Parâmetros!$B$9,IF(J902&gt;Parâmetros!$B$6,0,INDEX(Parâmetros!$C$24:$C$26,MATCH(J902,Parâmetros!$A$24:$A$26,1))))</f>
        <v>0</v>
      </c>
      <c r="M902" s="31" t="n">
        <f aca="false">IF(G902="Prospecting",1,INDEX(Parâmetros!$C$32:$C$35,MATCH(J902,Parâmetros!$A$32:$A$35,1)))</f>
        <v>0.6</v>
      </c>
      <c r="N902" s="2" t="n">
        <f aca="false">ROUND((K902+L902)*M902,0)</f>
        <v>26</v>
      </c>
      <c r="O902" s="10" t="str">
        <f aca="false">IF(AND(G902="Engaging",J902&gt;Parâmetros!$B$6),"Sim","Não")</f>
        <v>Sim</v>
      </c>
      <c r="P902" s="32" t="str">
        <f aca="false">IF(O902="Sim","R",IF(N902&gt;=Parâmetros!$B$39,"A",IF(N902&gt;=Parâmetros!$B$40,"B",IF(N902&gt;=Parâmetros!$B$41,"C","D"))))</f>
        <v>R</v>
      </c>
      <c r="Q902" s="10" t="str">
        <f aca="false">IF(F902="","Completar cadastro","")</f>
        <v/>
      </c>
      <c r="R902" s="10" t="str">
        <f aca="false">INDEX(Parâmetros!$D$39:$D$43,MATCH(P902,Parâmetros!$A$39:$A$43,0))</f>
        <v>Reciclar: requalificar, reengajar ou encerrar</v>
      </c>
    </row>
    <row r="903" customFormat="false" ht="15" hidden="false" customHeight="false" outlineLevel="0" collapsed="false">
      <c r="A903" s="10" t="s">
        <v>1146</v>
      </c>
      <c r="B903" s="10" t="s">
        <v>80</v>
      </c>
      <c r="C903" s="10" t="s">
        <v>78</v>
      </c>
      <c r="D903" s="10" t="s">
        <v>196</v>
      </c>
      <c r="E903" s="10" t="s">
        <v>48</v>
      </c>
      <c r="F903" s="10"/>
      <c r="G903" s="10" t="s">
        <v>162</v>
      </c>
      <c r="H903" s="30" t="n">
        <v>42944</v>
      </c>
      <c r="I903" s="8" t="n">
        <f aca="false">INDEX(Parâmetros!$C$13:$C$19,MATCH(E903,Parâmetros!$A$13:$A$19,0))</f>
        <v>4821</v>
      </c>
      <c r="J903" s="26" t="n">
        <f aca="false">IF(H903="","",Parâmetros!$B$5-H903)</f>
        <v>156</v>
      </c>
      <c r="K903" s="10" t="n">
        <f aca="false">INDEX(Parâmetros!$D$13:$D$19,MATCH(E903,Parâmetros!$A$13:$A$19,0))</f>
        <v>43</v>
      </c>
      <c r="L903" s="10" t="n">
        <f aca="false">IF(G903="Prospecting",Parâmetros!$B$9,IF(J903&gt;Parâmetros!$B$6,0,INDEX(Parâmetros!$C$24:$C$26,MATCH(J903,Parâmetros!$A$24:$A$26,1))))</f>
        <v>0</v>
      </c>
      <c r="M903" s="31" t="n">
        <f aca="false">IF(G903="Prospecting",1,INDEX(Parâmetros!$C$32:$C$35,MATCH(J903,Parâmetros!$A$32:$A$35,1)))</f>
        <v>0.6</v>
      </c>
      <c r="N903" s="2" t="n">
        <f aca="false">ROUND((K903+L903)*M903,0)</f>
        <v>26</v>
      </c>
      <c r="O903" s="10" t="str">
        <f aca="false">IF(AND(G903="Engaging",J903&gt;Parâmetros!$B$6),"Sim","Não")</f>
        <v>Sim</v>
      </c>
      <c r="P903" s="32" t="str">
        <f aca="false">IF(O903="Sim","R",IF(N903&gt;=Parâmetros!$B$39,"A",IF(N903&gt;=Parâmetros!$B$40,"B",IF(N903&gt;=Parâmetros!$B$41,"C","D"))))</f>
        <v>R</v>
      </c>
      <c r="Q903" s="10" t="str">
        <f aca="false">IF(F903="","Completar cadastro","")</f>
        <v>Completar cadastro</v>
      </c>
      <c r="R903" s="10" t="str">
        <f aca="false">INDEX(Parâmetros!$D$39:$D$43,MATCH(P903,Parâmetros!$A$39:$A$43,0))</f>
        <v>Reciclar: requalificar, reengajar ou encerrar</v>
      </c>
    </row>
    <row r="904" customFormat="false" ht="15" hidden="false" customHeight="false" outlineLevel="0" collapsed="false">
      <c r="A904" s="10" t="s">
        <v>1147</v>
      </c>
      <c r="B904" s="10" t="s">
        <v>77</v>
      </c>
      <c r="C904" s="10" t="s">
        <v>78</v>
      </c>
      <c r="D904" s="10" t="s">
        <v>196</v>
      </c>
      <c r="E904" s="10" t="s">
        <v>48</v>
      </c>
      <c r="F904" s="10" t="s">
        <v>277</v>
      </c>
      <c r="G904" s="10" t="s">
        <v>162</v>
      </c>
      <c r="H904" s="30" t="n">
        <v>42945</v>
      </c>
      <c r="I904" s="8" t="n">
        <f aca="false">INDEX(Parâmetros!$C$13:$C$19,MATCH(E904,Parâmetros!$A$13:$A$19,0))</f>
        <v>4821</v>
      </c>
      <c r="J904" s="26" t="n">
        <f aca="false">IF(H904="","",Parâmetros!$B$5-H904)</f>
        <v>155</v>
      </c>
      <c r="K904" s="10" t="n">
        <f aca="false">INDEX(Parâmetros!$D$13:$D$19,MATCH(E904,Parâmetros!$A$13:$A$19,0))</f>
        <v>43</v>
      </c>
      <c r="L904" s="10" t="n">
        <f aca="false">IF(G904="Prospecting",Parâmetros!$B$9,IF(J904&gt;Parâmetros!$B$6,0,INDEX(Parâmetros!$C$24:$C$26,MATCH(J904,Parâmetros!$A$24:$A$26,1))))</f>
        <v>0</v>
      </c>
      <c r="M904" s="31" t="n">
        <f aca="false">IF(G904="Prospecting",1,INDEX(Parâmetros!$C$32:$C$35,MATCH(J904,Parâmetros!$A$32:$A$35,1)))</f>
        <v>0.6</v>
      </c>
      <c r="N904" s="2" t="n">
        <f aca="false">ROUND((K904+L904)*M904,0)</f>
        <v>26</v>
      </c>
      <c r="O904" s="10" t="str">
        <f aca="false">IF(AND(G904="Engaging",J904&gt;Parâmetros!$B$6),"Sim","Não")</f>
        <v>Sim</v>
      </c>
      <c r="P904" s="32" t="str">
        <f aca="false">IF(O904="Sim","R",IF(N904&gt;=Parâmetros!$B$39,"A",IF(N904&gt;=Parâmetros!$B$40,"B",IF(N904&gt;=Parâmetros!$B$41,"C","D"))))</f>
        <v>R</v>
      </c>
      <c r="Q904" s="10" t="str">
        <f aca="false">IF(F904="","Completar cadastro","")</f>
        <v/>
      </c>
      <c r="R904" s="10" t="str">
        <f aca="false">INDEX(Parâmetros!$D$39:$D$43,MATCH(P904,Parâmetros!$A$39:$A$43,0))</f>
        <v>Reciclar: requalificar, reengajar ou encerrar</v>
      </c>
    </row>
    <row r="905" customFormat="false" ht="15" hidden="false" customHeight="false" outlineLevel="0" collapsed="false">
      <c r="A905" s="10" t="s">
        <v>1148</v>
      </c>
      <c r="B905" s="10" t="s">
        <v>77</v>
      </c>
      <c r="C905" s="10" t="s">
        <v>78</v>
      </c>
      <c r="D905" s="10" t="s">
        <v>196</v>
      </c>
      <c r="E905" s="10" t="s">
        <v>48</v>
      </c>
      <c r="F905" s="10"/>
      <c r="G905" s="10" t="s">
        <v>162</v>
      </c>
      <c r="H905" s="30" t="n">
        <v>42945</v>
      </c>
      <c r="I905" s="8" t="n">
        <f aca="false">INDEX(Parâmetros!$C$13:$C$19,MATCH(E905,Parâmetros!$A$13:$A$19,0))</f>
        <v>4821</v>
      </c>
      <c r="J905" s="26" t="n">
        <f aca="false">IF(H905="","",Parâmetros!$B$5-H905)</f>
        <v>155</v>
      </c>
      <c r="K905" s="10" t="n">
        <f aca="false">INDEX(Parâmetros!$D$13:$D$19,MATCH(E905,Parâmetros!$A$13:$A$19,0))</f>
        <v>43</v>
      </c>
      <c r="L905" s="10" t="n">
        <f aca="false">IF(G905="Prospecting",Parâmetros!$B$9,IF(J905&gt;Parâmetros!$B$6,0,INDEX(Parâmetros!$C$24:$C$26,MATCH(J905,Parâmetros!$A$24:$A$26,1))))</f>
        <v>0</v>
      </c>
      <c r="M905" s="31" t="n">
        <f aca="false">IF(G905="Prospecting",1,INDEX(Parâmetros!$C$32:$C$35,MATCH(J905,Parâmetros!$A$32:$A$35,1)))</f>
        <v>0.6</v>
      </c>
      <c r="N905" s="2" t="n">
        <f aca="false">ROUND((K905+L905)*M905,0)</f>
        <v>26</v>
      </c>
      <c r="O905" s="10" t="str">
        <f aca="false">IF(AND(G905="Engaging",J905&gt;Parâmetros!$B$6),"Sim","Não")</f>
        <v>Sim</v>
      </c>
      <c r="P905" s="32" t="str">
        <f aca="false">IF(O905="Sim","R",IF(N905&gt;=Parâmetros!$B$39,"A",IF(N905&gt;=Parâmetros!$B$40,"B",IF(N905&gt;=Parâmetros!$B$41,"C","D"))))</f>
        <v>R</v>
      </c>
      <c r="Q905" s="10" t="str">
        <f aca="false">IF(F905="","Completar cadastro","")</f>
        <v>Completar cadastro</v>
      </c>
      <c r="R905" s="10" t="str">
        <f aca="false">INDEX(Parâmetros!$D$39:$D$43,MATCH(P905,Parâmetros!$A$39:$A$43,0))</f>
        <v>Reciclar: requalificar, reengajar ou encerrar</v>
      </c>
    </row>
    <row r="906" customFormat="false" ht="15" hidden="false" customHeight="false" outlineLevel="0" collapsed="false">
      <c r="A906" s="10" t="s">
        <v>1149</v>
      </c>
      <c r="B906" s="10" t="s">
        <v>77</v>
      </c>
      <c r="C906" s="10" t="s">
        <v>78</v>
      </c>
      <c r="D906" s="10" t="s">
        <v>196</v>
      </c>
      <c r="E906" s="10" t="s">
        <v>48</v>
      </c>
      <c r="F906" s="10"/>
      <c r="G906" s="10" t="s">
        <v>162</v>
      </c>
      <c r="H906" s="30" t="n">
        <v>42945</v>
      </c>
      <c r="I906" s="8" t="n">
        <f aca="false">INDEX(Parâmetros!$C$13:$C$19,MATCH(E906,Parâmetros!$A$13:$A$19,0))</f>
        <v>4821</v>
      </c>
      <c r="J906" s="26" t="n">
        <f aca="false">IF(H906="","",Parâmetros!$B$5-H906)</f>
        <v>155</v>
      </c>
      <c r="K906" s="10" t="n">
        <f aca="false">INDEX(Parâmetros!$D$13:$D$19,MATCH(E906,Parâmetros!$A$13:$A$19,0))</f>
        <v>43</v>
      </c>
      <c r="L906" s="10" t="n">
        <f aca="false">IF(G906="Prospecting",Parâmetros!$B$9,IF(J906&gt;Parâmetros!$B$6,0,INDEX(Parâmetros!$C$24:$C$26,MATCH(J906,Parâmetros!$A$24:$A$26,1))))</f>
        <v>0</v>
      </c>
      <c r="M906" s="31" t="n">
        <f aca="false">IF(G906="Prospecting",1,INDEX(Parâmetros!$C$32:$C$35,MATCH(J906,Parâmetros!$A$32:$A$35,1)))</f>
        <v>0.6</v>
      </c>
      <c r="N906" s="2" t="n">
        <f aca="false">ROUND((K906+L906)*M906,0)</f>
        <v>26</v>
      </c>
      <c r="O906" s="10" t="str">
        <f aca="false">IF(AND(G906="Engaging",J906&gt;Parâmetros!$B$6),"Sim","Não")</f>
        <v>Sim</v>
      </c>
      <c r="P906" s="32" t="str">
        <f aca="false">IF(O906="Sim","R",IF(N906&gt;=Parâmetros!$B$39,"A",IF(N906&gt;=Parâmetros!$B$40,"B",IF(N906&gt;=Parâmetros!$B$41,"C","D"))))</f>
        <v>R</v>
      </c>
      <c r="Q906" s="10" t="str">
        <f aca="false">IF(F906="","Completar cadastro","")</f>
        <v>Completar cadastro</v>
      </c>
      <c r="R906" s="10" t="str">
        <f aca="false">INDEX(Parâmetros!$D$39:$D$43,MATCH(P906,Parâmetros!$A$39:$A$43,0))</f>
        <v>Reciclar: requalificar, reengajar ou encerrar</v>
      </c>
    </row>
    <row r="907" customFormat="false" ht="15" hidden="false" customHeight="false" outlineLevel="0" collapsed="false">
      <c r="A907" s="10" t="s">
        <v>1150</v>
      </c>
      <c r="B907" s="10" t="s">
        <v>77</v>
      </c>
      <c r="C907" s="10" t="s">
        <v>78</v>
      </c>
      <c r="D907" s="10" t="s">
        <v>196</v>
      </c>
      <c r="E907" s="10" t="s">
        <v>48</v>
      </c>
      <c r="F907" s="10" t="s">
        <v>337</v>
      </c>
      <c r="G907" s="10" t="s">
        <v>162</v>
      </c>
      <c r="H907" s="30" t="n">
        <v>42946</v>
      </c>
      <c r="I907" s="8" t="n">
        <f aca="false">INDEX(Parâmetros!$C$13:$C$19,MATCH(E907,Parâmetros!$A$13:$A$19,0))</f>
        <v>4821</v>
      </c>
      <c r="J907" s="26" t="n">
        <f aca="false">IF(H907="","",Parâmetros!$B$5-H907)</f>
        <v>154</v>
      </c>
      <c r="K907" s="10" t="n">
        <f aca="false">INDEX(Parâmetros!$D$13:$D$19,MATCH(E907,Parâmetros!$A$13:$A$19,0))</f>
        <v>43</v>
      </c>
      <c r="L907" s="10" t="n">
        <f aca="false">IF(G907="Prospecting",Parâmetros!$B$9,IF(J907&gt;Parâmetros!$B$6,0,INDEX(Parâmetros!$C$24:$C$26,MATCH(J907,Parâmetros!$A$24:$A$26,1))))</f>
        <v>0</v>
      </c>
      <c r="M907" s="31" t="n">
        <f aca="false">IF(G907="Prospecting",1,INDEX(Parâmetros!$C$32:$C$35,MATCH(J907,Parâmetros!$A$32:$A$35,1)))</f>
        <v>0.6</v>
      </c>
      <c r="N907" s="2" t="n">
        <f aca="false">ROUND((K907+L907)*M907,0)</f>
        <v>26</v>
      </c>
      <c r="O907" s="10" t="str">
        <f aca="false">IF(AND(G907="Engaging",J907&gt;Parâmetros!$B$6),"Sim","Não")</f>
        <v>Sim</v>
      </c>
      <c r="P907" s="32" t="str">
        <f aca="false">IF(O907="Sim","R",IF(N907&gt;=Parâmetros!$B$39,"A",IF(N907&gt;=Parâmetros!$B$40,"B",IF(N907&gt;=Parâmetros!$B$41,"C","D"))))</f>
        <v>R</v>
      </c>
      <c r="Q907" s="10" t="str">
        <f aca="false">IF(F907="","Completar cadastro","")</f>
        <v/>
      </c>
      <c r="R907" s="10" t="str">
        <f aca="false">INDEX(Parâmetros!$D$39:$D$43,MATCH(P907,Parâmetros!$A$39:$A$43,0))</f>
        <v>Reciclar: requalificar, reengajar ou encerrar</v>
      </c>
    </row>
    <row r="908" customFormat="false" ht="15" hidden="false" customHeight="false" outlineLevel="0" collapsed="false">
      <c r="A908" s="10" t="s">
        <v>1151</v>
      </c>
      <c r="B908" s="10" t="s">
        <v>79</v>
      </c>
      <c r="C908" s="10" t="s">
        <v>78</v>
      </c>
      <c r="D908" s="10" t="s">
        <v>196</v>
      </c>
      <c r="E908" s="10" t="s">
        <v>48</v>
      </c>
      <c r="F908" s="10"/>
      <c r="G908" s="10" t="s">
        <v>162</v>
      </c>
      <c r="H908" s="30" t="n">
        <v>42946</v>
      </c>
      <c r="I908" s="8" t="n">
        <f aca="false">INDEX(Parâmetros!$C$13:$C$19,MATCH(E908,Parâmetros!$A$13:$A$19,0))</f>
        <v>4821</v>
      </c>
      <c r="J908" s="26" t="n">
        <f aca="false">IF(H908="","",Parâmetros!$B$5-H908)</f>
        <v>154</v>
      </c>
      <c r="K908" s="10" t="n">
        <f aca="false">INDEX(Parâmetros!$D$13:$D$19,MATCH(E908,Parâmetros!$A$13:$A$19,0))</f>
        <v>43</v>
      </c>
      <c r="L908" s="10" t="n">
        <f aca="false">IF(G908="Prospecting",Parâmetros!$B$9,IF(J908&gt;Parâmetros!$B$6,0,INDEX(Parâmetros!$C$24:$C$26,MATCH(J908,Parâmetros!$A$24:$A$26,1))))</f>
        <v>0</v>
      </c>
      <c r="M908" s="31" t="n">
        <f aca="false">IF(G908="Prospecting",1,INDEX(Parâmetros!$C$32:$C$35,MATCH(J908,Parâmetros!$A$32:$A$35,1)))</f>
        <v>0.6</v>
      </c>
      <c r="N908" s="2" t="n">
        <f aca="false">ROUND((K908+L908)*M908,0)</f>
        <v>26</v>
      </c>
      <c r="O908" s="10" t="str">
        <f aca="false">IF(AND(G908="Engaging",J908&gt;Parâmetros!$B$6),"Sim","Não")</f>
        <v>Sim</v>
      </c>
      <c r="P908" s="32" t="str">
        <f aca="false">IF(O908="Sim","R",IF(N908&gt;=Parâmetros!$B$39,"A",IF(N908&gt;=Parâmetros!$B$40,"B",IF(N908&gt;=Parâmetros!$B$41,"C","D"))))</f>
        <v>R</v>
      </c>
      <c r="Q908" s="10" t="str">
        <f aca="false">IF(F908="","Completar cadastro","")</f>
        <v>Completar cadastro</v>
      </c>
      <c r="R908" s="10" t="str">
        <f aca="false">INDEX(Parâmetros!$D$39:$D$43,MATCH(P908,Parâmetros!$A$39:$A$43,0))</f>
        <v>Reciclar: requalificar, reengajar ou encerrar</v>
      </c>
    </row>
    <row r="909" customFormat="false" ht="15" hidden="false" customHeight="false" outlineLevel="0" collapsed="false">
      <c r="A909" s="10" t="s">
        <v>1152</v>
      </c>
      <c r="B909" s="10" t="s">
        <v>77</v>
      </c>
      <c r="C909" s="10" t="s">
        <v>78</v>
      </c>
      <c r="D909" s="10" t="s">
        <v>196</v>
      </c>
      <c r="E909" s="10" t="s">
        <v>48</v>
      </c>
      <c r="F909" s="10"/>
      <c r="G909" s="10" t="s">
        <v>162</v>
      </c>
      <c r="H909" s="30" t="n">
        <v>42947</v>
      </c>
      <c r="I909" s="8" t="n">
        <f aca="false">INDEX(Parâmetros!$C$13:$C$19,MATCH(E909,Parâmetros!$A$13:$A$19,0))</f>
        <v>4821</v>
      </c>
      <c r="J909" s="26" t="n">
        <f aca="false">IF(H909="","",Parâmetros!$B$5-H909)</f>
        <v>153</v>
      </c>
      <c r="K909" s="10" t="n">
        <f aca="false">INDEX(Parâmetros!$D$13:$D$19,MATCH(E909,Parâmetros!$A$13:$A$19,0))</f>
        <v>43</v>
      </c>
      <c r="L909" s="10" t="n">
        <f aca="false">IF(G909="Prospecting",Parâmetros!$B$9,IF(J909&gt;Parâmetros!$B$6,0,INDEX(Parâmetros!$C$24:$C$26,MATCH(J909,Parâmetros!$A$24:$A$26,1))))</f>
        <v>0</v>
      </c>
      <c r="M909" s="31" t="n">
        <f aca="false">IF(G909="Prospecting",1,INDEX(Parâmetros!$C$32:$C$35,MATCH(J909,Parâmetros!$A$32:$A$35,1)))</f>
        <v>0.6</v>
      </c>
      <c r="N909" s="2" t="n">
        <f aca="false">ROUND((K909+L909)*M909,0)</f>
        <v>26</v>
      </c>
      <c r="O909" s="10" t="str">
        <f aca="false">IF(AND(G909="Engaging",J909&gt;Parâmetros!$B$6),"Sim","Não")</f>
        <v>Sim</v>
      </c>
      <c r="P909" s="32" t="str">
        <f aca="false">IF(O909="Sim","R",IF(N909&gt;=Parâmetros!$B$39,"A",IF(N909&gt;=Parâmetros!$B$40,"B",IF(N909&gt;=Parâmetros!$B$41,"C","D"))))</f>
        <v>R</v>
      </c>
      <c r="Q909" s="10" t="str">
        <f aca="false">IF(F909="","Completar cadastro","")</f>
        <v>Completar cadastro</v>
      </c>
      <c r="R909" s="10" t="str">
        <f aca="false">INDEX(Parâmetros!$D$39:$D$43,MATCH(P909,Parâmetros!$A$39:$A$43,0))</f>
        <v>Reciclar: requalificar, reengajar ou encerrar</v>
      </c>
    </row>
    <row r="910" customFormat="false" ht="15" hidden="false" customHeight="false" outlineLevel="0" collapsed="false">
      <c r="A910" s="10" t="s">
        <v>1153</v>
      </c>
      <c r="B910" s="10" t="s">
        <v>77</v>
      </c>
      <c r="C910" s="10" t="s">
        <v>78</v>
      </c>
      <c r="D910" s="10" t="s">
        <v>196</v>
      </c>
      <c r="E910" s="10" t="s">
        <v>48</v>
      </c>
      <c r="F910" s="10"/>
      <c r="G910" s="10" t="s">
        <v>162</v>
      </c>
      <c r="H910" s="30" t="n">
        <v>42947</v>
      </c>
      <c r="I910" s="8" t="n">
        <f aca="false">INDEX(Parâmetros!$C$13:$C$19,MATCH(E910,Parâmetros!$A$13:$A$19,0))</f>
        <v>4821</v>
      </c>
      <c r="J910" s="26" t="n">
        <f aca="false">IF(H910="","",Parâmetros!$B$5-H910)</f>
        <v>153</v>
      </c>
      <c r="K910" s="10" t="n">
        <f aca="false">INDEX(Parâmetros!$D$13:$D$19,MATCH(E910,Parâmetros!$A$13:$A$19,0))</f>
        <v>43</v>
      </c>
      <c r="L910" s="10" t="n">
        <f aca="false">IF(G910="Prospecting",Parâmetros!$B$9,IF(J910&gt;Parâmetros!$B$6,0,INDEX(Parâmetros!$C$24:$C$26,MATCH(J910,Parâmetros!$A$24:$A$26,1))))</f>
        <v>0</v>
      </c>
      <c r="M910" s="31" t="n">
        <f aca="false">IF(G910="Prospecting",1,INDEX(Parâmetros!$C$32:$C$35,MATCH(J910,Parâmetros!$A$32:$A$35,1)))</f>
        <v>0.6</v>
      </c>
      <c r="N910" s="2" t="n">
        <f aca="false">ROUND((K910+L910)*M910,0)</f>
        <v>26</v>
      </c>
      <c r="O910" s="10" t="str">
        <f aca="false">IF(AND(G910="Engaging",J910&gt;Parâmetros!$B$6),"Sim","Não")</f>
        <v>Sim</v>
      </c>
      <c r="P910" s="32" t="str">
        <f aca="false">IF(O910="Sim","R",IF(N910&gt;=Parâmetros!$B$39,"A",IF(N910&gt;=Parâmetros!$B$40,"B",IF(N910&gt;=Parâmetros!$B$41,"C","D"))))</f>
        <v>R</v>
      </c>
      <c r="Q910" s="10" t="str">
        <f aca="false">IF(F910="","Completar cadastro","")</f>
        <v>Completar cadastro</v>
      </c>
      <c r="R910" s="10" t="str">
        <f aca="false">INDEX(Parâmetros!$D$39:$D$43,MATCH(P910,Parâmetros!$A$39:$A$43,0))</f>
        <v>Reciclar: requalificar, reengajar ou encerrar</v>
      </c>
    </row>
    <row r="911" customFormat="false" ht="15" hidden="false" customHeight="false" outlineLevel="0" collapsed="false">
      <c r="A911" s="10" t="s">
        <v>1154</v>
      </c>
      <c r="B911" s="10" t="s">
        <v>77</v>
      </c>
      <c r="C911" s="10" t="s">
        <v>78</v>
      </c>
      <c r="D911" s="10" t="s">
        <v>196</v>
      </c>
      <c r="E911" s="10" t="s">
        <v>48</v>
      </c>
      <c r="F911" s="10"/>
      <c r="G911" s="10" t="s">
        <v>162</v>
      </c>
      <c r="H911" s="30" t="n">
        <v>42948</v>
      </c>
      <c r="I911" s="8" t="n">
        <f aca="false">INDEX(Parâmetros!$C$13:$C$19,MATCH(E911,Parâmetros!$A$13:$A$19,0))</f>
        <v>4821</v>
      </c>
      <c r="J911" s="26" t="n">
        <f aca="false">IF(H911="","",Parâmetros!$B$5-H911)</f>
        <v>152</v>
      </c>
      <c r="K911" s="10" t="n">
        <f aca="false">INDEX(Parâmetros!$D$13:$D$19,MATCH(E911,Parâmetros!$A$13:$A$19,0))</f>
        <v>43</v>
      </c>
      <c r="L911" s="10" t="n">
        <f aca="false">IF(G911="Prospecting",Parâmetros!$B$9,IF(J911&gt;Parâmetros!$B$6,0,INDEX(Parâmetros!$C$24:$C$26,MATCH(J911,Parâmetros!$A$24:$A$26,1))))</f>
        <v>0</v>
      </c>
      <c r="M911" s="31" t="n">
        <f aca="false">IF(G911="Prospecting",1,INDEX(Parâmetros!$C$32:$C$35,MATCH(J911,Parâmetros!$A$32:$A$35,1)))</f>
        <v>0.6</v>
      </c>
      <c r="N911" s="2" t="n">
        <f aca="false">ROUND((K911+L911)*M911,0)</f>
        <v>26</v>
      </c>
      <c r="O911" s="10" t="str">
        <f aca="false">IF(AND(G911="Engaging",J911&gt;Parâmetros!$B$6),"Sim","Não")</f>
        <v>Sim</v>
      </c>
      <c r="P911" s="32" t="str">
        <f aca="false">IF(O911="Sim","R",IF(N911&gt;=Parâmetros!$B$39,"A",IF(N911&gt;=Parâmetros!$B$40,"B",IF(N911&gt;=Parâmetros!$B$41,"C","D"))))</f>
        <v>R</v>
      </c>
      <c r="Q911" s="10" t="str">
        <f aca="false">IF(F911="","Completar cadastro","")</f>
        <v>Completar cadastro</v>
      </c>
      <c r="R911" s="10" t="str">
        <f aca="false">INDEX(Parâmetros!$D$39:$D$43,MATCH(P911,Parâmetros!$A$39:$A$43,0))</f>
        <v>Reciclar: requalificar, reengajar ou encerrar</v>
      </c>
    </row>
    <row r="912" customFormat="false" ht="15" hidden="false" customHeight="false" outlineLevel="0" collapsed="false">
      <c r="A912" s="10" t="s">
        <v>1155</v>
      </c>
      <c r="B912" s="10" t="s">
        <v>77</v>
      </c>
      <c r="C912" s="10" t="s">
        <v>78</v>
      </c>
      <c r="D912" s="10" t="s">
        <v>196</v>
      </c>
      <c r="E912" s="10" t="s">
        <v>48</v>
      </c>
      <c r="F912" s="10"/>
      <c r="G912" s="10" t="s">
        <v>162</v>
      </c>
      <c r="H912" s="30" t="n">
        <v>42948</v>
      </c>
      <c r="I912" s="8" t="n">
        <f aca="false">INDEX(Parâmetros!$C$13:$C$19,MATCH(E912,Parâmetros!$A$13:$A$19,0))</f>
        <v>4821</v>
      </c>
      <c r="J912" s="26" t="n">
        <f aca="false">IF(H912="","",Parâmetros!$B$5-H912)</f>
        <v>152</v>
      </c>
      <c r="K912" s="10" t="n">
        <f aca="false">INDEX(Parâmetros!$D$13:$D$19,MATCH(E912,Parâmetros!$A$13:$A$19,0))</f>
        <v>43</v>
      </c>
      <c r="L912" s="10" t="n">
        <f aca="false">IF(G912="Prospecting",Parâmetros!$B$9,IF(J912&gt;Parâmetros!$B$6,0,INDEX(Parâmetros!$C$24:$C$26,MATCH(J912,Parâmetros!$A$24:$A$26,1))))</f>
        <v>0</v>
      </c>
      <c r="M912" s="31" t="n">
        <f aca="false">IF(G912="Prospecting",1,INDEX(Parâmetros!$C$32:$C$35,MATCH(J912,Parâmetros!$A$32:$A$35,1)))</f>
        <v>0.6</v>
      </c>
      <c r="N912" s="2" t="n">
        <f aca="false">ROUND((K912+L912)*M912,0)</f>
        <v>26</v>
      </c>
      <c r="O912" s="10" t="str">
        <f aca="false">IF(AND(G912="Engaging",J912&gt;Parâmetros!$B$6),"Sim","Não")</f>
        <v>Sim</v>
      </c>
      <c r="P912" s="32" t="str">
        <f aca="false">IF(O912="Sim","R",IF(N912&gt;=Parâmetros!$B$39,"A",IF(N912&gt;=Parâmetros!$B$40,"B",IF(N912&gt;=Parâmetros!$B$41,"C","D"))))</f>
        <v>R</v>
      </c>
      <c r="Q912" s="10" t="str">
        <f aca="false">IF(F912="","Completar cadastro","")</f>
        <v>Completar cadastro</v>
      </c>
      <c r="R912" s="10" t="str">
        <f aca="false">INDEX(Parâmetros!$D$39:$D$43,MATCH(P912,Parâmetros!$A$39:$A$43,0))</f>
        <v>Reciclar: requalificar, reengajar ou encerrar</v>
      </c>
    </row>
    <row r="913" customFormat="false" ht="15" hidden="false" customHeight="false" outlineLevel="0" collapsed="false">
      <c r="A913" s="10" t="s">
        <v>1156</v>
      </c>
      <c r="B913" s="10" t="s">
        <v>81</v>
      </c>
      <c r="C913" s="10" t="s">
        <v>78</v>
      </c>
      <c r="D913" s="10" t="s">
        <v>196</v>
      </c>
      <c r="E913" s="10" t="s">
        <v>48</v>
      </c>
      <c r="F913" s="10"/>
      <c r="G913" s="10" t="s">
        <v>162</v>
      </c>
      <c r="H913" s="30" t="n">
        <v>42948</v>
      </c>
      <c r="I913" s="8" t="n">
        <f aca="false">INDEX(Parâmetros!$C$13:$C$19,MATCH(E913,Parâmetros!$A$13:$A$19,0))</f>
        <v>4821</v>
      </c>
      <c r="J913" s="26" t="n">
        <f aca="false">IF(H913="","",Parâmetros!$B$5-H913)</f>
        <v>152</v>
      </c>
      <c r="K913" s="10" t="n">
        <f aca="false">INDEX(Parâmetros!$D$13:$D$19,MATCH(E913,Parâmetros!$A$13:$A$19,0))</f>
        <v>43</v>
      </c>
      <c r="L913" s="10" t="n">
        <f aca="false">IF(G913="Prospecting",Parâmetros!$B$9,IF(J913&gt;Parâmetros!$B$6,0,INDEX(Parâmetros!$C$24:$C$26,MATCH(J913,Parâmetros!$A$24:$A$26,1))))</f>
        <v>0</v>
      </c>
      <c r="M913" s="31" t="n">
        <f aca="false">IF(G913="Prospecting",1,INDEX(Parâmetros!$C$32:$C$35,MATCH(J913,Parâmetros!$A$32:$A$35,1)))</f>
        <v>0.6</v>
      </c>
      <c r="N913" s="2" t="n">
        <f aca="false">ROUND((K913+L913)*M913,0)</f>
        <v>26</v>
      </c>
      <c r="O913" s="10" t="str">
        <f aca="false">IF(AND(G913="Engaging",J913&gt;Parâmetros!$B$6),"Sim","Não")</f>
        <v>Sim</v>
      </c>
      <c r="P913" s="32" t="str">
        <f aca="false">IF(O913="Sim","R",IF(N913&gt;=Parâmetros!$B$39,"A",IF(N913&gt;=Parâmetros!$B$40,"B",IF(N913&gt;=Parâmetros!$B$41,"C","D"))))</f>
        <v>R</v>
      </c>
      <c r="Q913" s="10" t="str">
        <f aca="false">IF(F913="","Completar cadastro","")</f>
        <v>Completar cadastro</v>
      </c>
      <c r="R913" s="10" t="str">
        <f aca="false">INDEX(Parâmetros!$D$39:$D$43,MATCH(P913,Parâmetros!$A$39:$A$43,0))</f>
        <v>Reciclar: requalificar, reengajar ou encerrar</v>
      </c>
    </row>
    <row r="914" customFormat="false" ht="15" hidden="false" customHeight="false" outlineLevel="0" collapsed="false">
      <c r="A914" s="10" t="s">
        <v>1157</v>
      </c>
      <c r="B914" s="10" t="s">
        <v>83</v>
      </c>
      <c r="C914" s="10" t="s">
        <v>78</v>
      </c>
      <c r="D914" s="10" t="s">
        <v>196</v>
      </c>
      <c r="E914" s="10" t="s">
        <v>48</v>
      </c>
      <c r="F914" s="10" t="s">
        <v>218</v>
      </c>
      <c r="G914" s="10" t="s">
        <v>162</v>
      </c>
      <c r="H914" s="30" t="n">
        <v>42948</v>
      </c>
      <c r="I914" s="8" t="n">
        <f aca="false">INDEX(Parâmetros!$C$13:$C$19,MATCH(E914,Parâmetros!$A$13:$A$19,0))</f>
        <v>4821</v>
      </c>
      <c r="J914" s="26" t="n">
        <f aca="false">IF(H914="","",Parâmetros!$B$5-H914)</f>
        <v>152</v>
      </c>
      <c r="K914" s="10" t="n">
        <f aca="false">INDEX(Parâmetros!$D$13:$D$19,MATCH(E914,Parâmetros!$A$13:$A$19,0))</f>
        <v>43</v>
      </c>
      <c r="L914" s="10" t="n">
        <f aca="false">IF(G914="Prospecting",Parâmetros!$B$9,IF(J914&gt;Parâmetros!$B$6,0,INDEX(Parâmetros!$C$24:$C$26,MATCH(J914,Parâmetros!$A$24:$A$26,1))))</f>
        <v>0</v>
      </c>
      <c r="M914" s="31" t="n">
        <f aca="false">IF(G914="Prospecting",1,INDEX(Parâmetros!$C$32:$C$35,MATCH(J914,Parâmetros!$A$32:$A$35,1)))</f>
        <v>0.6</v>
      </c>
      <c r="N914" s="2" t="n">
        <f aca="false">ROUND((K914+L914)*M914,0)</f>
        <v>26</v>
      </c>
      <c r="O914" s="10" t="str">
        <f aca="false">IF(AND(G914="Engaging",J914&gt;Parâmetros!$B$6),"Sim","Não")</f>
        <v>Sim</v>
      </c>
      <c r="P914" s="32" t="str">
        <f aca="false">IF(O914="Sim","R",IF(N914&gt;=Parâmetros!$B$39,"A",IF(N914&gt;=Parâmetros!$B$40,"B",IF(N914&gt;=Parâmetros!$B$41,"C","D"))))</f>
        <v>R</v>
      </c>
      <c r="Q914" s="10" t="str">
        <f aca="false">IF(F914="","Completar cadastro","")</f>
        <v/>
      </c>
      <c r="R914" s="10" t="str">
        <f aca="false">INDEX(Parâmetros!$D$39:$D$43,MATCH(P914,Parâmetros!$A$39:$A$43,0))</f>
        <v>Reciclar: requalificar, reengajar ou encerrar</v>
      </c>
    </row>
    <row r="915" customFormat="false" ht="15" hidden="false" customHeight="false" outlineLevel="0" collapsed="false">
      <c r="A915" s="10" t="s">
        <v>1158</v>
      </c>
      <c r="B915" s="10" t="s">
        <v>83</v>
      </c>
      <c r="C915" s="10" t="s">
        <v>78</v>
      </c>
      <c r="D915" s="10" t="s">
        <v>196</v>
      </c>
      <c r="E915" s="10" t="s">
        <v>48</v>
      </c>
      <c r="F915" s="10"/>
      <c r="G915" s="10" t="s">
        <v>162</v>
      </c>
      <c r="H915" s="30" t="n">
        <v>42949</v>
      </c>
      <c r="I915" s="8" t="n">
        <f aca="false">INDEX(Parâmetros!$C$13:$C$19,MATCH(E915,Parâmetros!$A$13:$A$19,0))</f>
        <v>4821</v>
      </c>
      <c r="J915" s="26" t="n">
        <f aca="false">IF(H915="","",Parâmetros!$B$5-H915)</f>
        <v>151</v>
      </c>
      <c r="K915" s="10" t="n">
        <f aca="false">INDEX(Parâmetros!$D$13:$D$19,MATCH(E915,Parâmetros!$A$13:$A$19,0))</f>
        <v>43</v>
      </c>
      <c r="L915" s="10" t="n">
        <f aca="false">IF(G915="Prospecting",Parâmetros!$B$9,IF(J915&gt;Parâmetros!$B$6,0,INDEX(Parâmetros!$C$24:$C$26,MATCH(J915,Parâmetros!$A$24:$A$26,1))))</f>
        <v>0</v>
      </c>
      <c r="M915" s="31" t="n">
        <f aca="false">IF(G915="Prospecting",1,INDEX(Parâmetros!$C$32:$C$35,MATCH(J915,Parâmetros!$A$32:$A$35,1)))</f>
        <v>0.6</v>
      </c>
      <c r="N915" s="2" t="n">
        <f aca="false">ROUND((K915+L915)*M915,0)</f>
        <v>26</v>
      </c>
      <c r="O915" s="10" t="str">
        <f aca="false">IF(AND(G915="Engaging",J915&gt;Parâmetros!$B$6),"Sim","Não")</f>
        <v>Sim</v>
      </c>
      <c r="P915" s="32" t="str">
        <f aca="false">IF(O915="Sim","R",IF(N915&gt;=Parâmetros!$B$39,"A",IF(N915&gt;=Parâmetros!$B$40,"B",IF(N915&gt;=Parâmetros!$B$41,"C","D"))))</f>
        <v>R</v>
      </c>
      <c r="Q915" s="10" t="str">
        <f aca="false">IF(F915="","Completar cadastro","")</f>
        <v>Completar cadastro</v>
      </c>
      <c r="R915" s="10" t="str">
        <f aca="false">INDEX(Parâmetros!$D$39:$D$43,MATCH(P915,Parâmetros!$A$39:$A$43,0))</f>
        <v>Reciclar: requalificar, reengajar ou encerrar</v>
      </c>
    </row>
    <row r="916" customFormat="false" ht="15" hidden="false" customHeight="false" outlineLevel="0" collapsed="false">
      <c r="A916" s="10" t="s">
        <v>1159</v>
      </c>
      <c r="B916" s="10" t="s">
        <v>77</v>
      </c>
      <c r="C916" s="10" t="s">
        <v>78</v>
      </c>
      <c r="D916" s="10" t="s">
        <v>196</v>
      </c>
      <c r="E916" s="10" t="s">
        <v>48</v>
      </c>
      <c r="F916" s="10"/>
      <c r="G916" s="10" t="s">
        <v>162</v>
      </c>
      <c r="H916" s="30" t="n">
        <v>42951</v>
      </c>
      <c r="I916" s="8" t="n">
        <f aca="false">INDEX(Parâmetros!$C$13:$C$19,MATCH(E916,Parâmetros!$A$13:$A$19,0))</f>
        <v>4821</v>
      </c>
      <c r="J916" s="26" t="n">
        <f aca="false">IF(H916="","",Parâmetros!$B$5-H916)</f>
        <v>149</v>
      </c>
      <c r="K916" s="10" t="n">
        <f aca="false">INDEX(Parâmetros!$D$13:$D$19,MATCH(E916,Parâmetros!$A$13:$A$19,0))</f>
        <v>43</v>
      </c>
      <c r="L916" s="10" t="n">
        <f aca="false">IF(G916="Prospecting",Parâmetros!$B$9,IF(J916&gt;Parâmetros!$B$6,0,INDEX(Parâmetros!$C$24:$C$26,MATCH(J916,Parâmetros!$A$24:$A$26,1))))</f>
        <v>0</v>
      </c>
      <c r="M916" s="31" t="n">
        <f aca="false">IF(G916="Prospecting",1,INDEX(Parâmetros!$C$32:$C$35,MATCH(J916,Parâmetros!$A$32:$A$35,1)))</f>
        <v>0.6</v>
      </c>
      <c r="N916" s="2" t="n">
        <f aca="false">ROUND((K916+L916)*M916,0)</f>
        <v>26</v>
      </c>
      <c r="O916" s="10" t="str">
        <f aca="false">IF(AND(G916="Engaging",J916&gt;Parâmetros!$B$6),"Sim","Não")</f>
        <v>Sim</v>
      </c>
      <c r="P916" s="32" t="str">
        <f aca="false">IF(O916="Sim","R",IF(N916&gt;=Parâmetros!$B$39,"A",IF(N916&gt;=Parâmetros!$B$40,"B",IF(N916&gt;=Parâmetros!$B$41,"C","D"))))</f>
        <v>R</v>
      </c>
      <c r="Q916" s="10" t="str">
        <f aca="false">IF(F916="","Completar cadastro","")</f>
        <v>Completar cadastro</v>
      </c>
      <c r="R916" s="10" t="str">
        <f aca="false">INDEX(Parâmetros!$D$39:$D$43,MATCH(P916,Parâmetros!$A$39:$A$43,0))</f>
        <v>Reciclar: requalificar, reengajar ou encerrar</v>
      </c>
    </row>
    <row r="917" customFormat="false" ht="15" hidden="false" customHeight="false" outlineLevel="0" collapsed="false">
      <c r="A917" s="10" t="s">
        <v>1160</v>
      </c>
      <c r="B917" s="10" t="s">
        <v>77</v>
      </c>
      <c r="C917" s="10" t="s">
        <v>78</v>
      </c>
      <c r="D917" s="10" t="s">
        <v>196</v>
      </c>
      <c r="E917" s="10" t="s">
        <v>48</v>
      </c>
      <c r="F917" s="10"/>
      <c r="G917" s="10" t="s">
        <v>162</v>
      </c>
      <c r="H917" s="30" t="n">
        <v>42951</v>
      </c>
      <c r="I917" s="8" t="n">
        <f aca="false">INDEX(Parâmetros!$C$13:$C$19,MATCH(E917,Parâmetros!$A$13:$A$19,0))</f>
        <v>4821</v>
      </c>
      <c r="J917" s="26" t="n">
        <f aca="false">IF(H917="","",Parâmetros!$B$5-H917)</f>
        <v>149</v>
      </c>
      <c r="K917" s="10" t="n">
        <f aca="false">INDEX(Parâmetros!$D$13:$D$19,MATCH(E917,Parâmetros!$A$13:$A$19,0))</f>
        <v>43</v>
      </c>
      <c r="L917" s="10" t="n">
        <f aca="false">IF(G917="Prospecting",Parâmetros!$B$9,IF(J917&gt;Parâmetros!$B$6,0,INDEX(Parâmetros!$C$24:$C$26,MATCH(J917,Parâmetros!$A$24:$A$26,1))))</f>
        <v>0</v>
      </c>
      <c r="M917" s="31" t="n">
        <f aca="false">IF(G917="Prospecting",1,INDEX(Parâmetros!$C$32:$C$35,MATCH(J917,Parâmetros!$A$32:$A$35,1)))</f>
        <v>0.6</v>
      </c>
      <c r="N917" s="2" t="n">
        <f aca="false">ROUND((K917+L917)*M917,0)</f>
        <v>26</v>
      </c>
      <c r="O917" s="10" t="str">
        <f aca="false">IF(AND(G917="Engaging",J917&gt;Parâmetros!$B$6),"Sim","Não")</f>
        <v>Sim</v>
      </c>
      <c r="P917" s="32" t="str">
        <f aca="false">IF(O917="Sim","R",IF(N917&gt;=Parâmetros!$B$39,"A",IF(N917&gt;=Parâmetros!$B$40,"B",IF(N917&gt;=Parâmetros!$B$41,"C","D"))))</f>
        <v>R</v>
      </c>
      <c r="Q917" s="10" t="str">
        <f aca="false">IF(F917="","Completar cadastro","")</f>
        <v>Completar cadastro</v>
      </c>
      <c r="R917" s="10" t="str">
        <f aca="false">INDEX(Parâmetros!$D$39:$D$43,MATCH(P917,Parâmetros!$A$39:$A$43,0))</f>
        <v>Reciclar: requalificar, reengajar ou encerrar</v>
      </c>
    </row>
    <row r="918" customFormat="false" ht="15" hidden="false" customHeight="false" outlineLevel="0" collapsed="false">
      <c r="A918" s="10" t="s">
        <v>1161</v>
      </c>
      <c r="B918" s="10" t="s">
        <v>84</v>
      </c>
      <c r="C918" s="10" t="s">
        <v>85</v>
      </c>
      <c r="D918" s="10" t="s">
        <v>165</v>
      </c>
      <c r="E918" s="10" t="s">
        <v>48</v>
      </c>
      <c r="F918" s="10"/>
      <c r="G918" s="10" t="s">
        <v>162</v>
      </c>
      <c r="H918" s="30" t="n">
        <v>42952</v>
      </c>
      <c r="I918" s="8" t="n">
        <f aca="false">INDEX(Parâmetros!$C$13:$C$19,MATCH(E918,Parâmetros!$A$13:$A$19,0))</f>
        <v>4821</v>
      </c>
      <c r="J918" s="26" t="n">
        <f aca="false">IF(H918="","",Parâmetros!$B$5-H918)</f>
        <v>148</v>
      </c>
      <c r="K918" s="10" t="n">
        <f aca="false">INDEX(Parâmetros!$D$13:$D$19,MATCH(E918,Parâmetros!$A$13:$A$19,0))</f>
        <v>43</v>
      </c>
      <c r="L918" s="10" t="n">
        <f aca="false">IF(G918="Prospecting",Parâmetros!$B$9,IF(J918&gt;Parâmetros!$B$6,0,INDEX(Parâmetros!$C$24:$C$26,MATCH(J918,Parâmetros!$A$24:$A$26,1))))</f>
        <v>0</v>
      </c>
      <c r="M918" s="31" t="n">
        <f aca="false">IF(G918="Prospecting",1,INDEX(Parâmetros!$C$32:$C$35,MATCH(J918,Parâmetros!$A$32:$A$35,1)))</f>
        <v>0.6</v>
      </c>
      <c r="N918" s="2" t="n">
        <f aca="false">ROUND((K918+L918)*M918,0)</f>
        <v>26</v>
      </c>
      <c r="O918" s="10" t="str">
        <f aca="false">IF(AND(G918="Engaging",J918&gt;Parâmetros!$B$6),"Sim","Não")</f>
        <v>Sim</v>
      </c>
      <c r="P918" s="32" t="str">
        <f aca="false">IF(O918="Sim","R",IF(N918&gt;=Parâmetros!$B$39,"A",IF(N918&gt;=Parâmetros!$B$40,"B",IF(N918&gt;=Parâmetros!$B$41,"C","D"))))</f>
        <v>R</v>
      </c>
      <c r="Q918" s="10" t="str">
        <f aca="false">IF(F918="","Completar cadastro","")</f>
        <v>Completar cadastro</v>
      </c>
      <c r="R918" s="10" t="str">
        <f aca="false">INDEX(Parâmetros!$D$39:$D$43,MATCH(P918,Parâmetros!$A$39:$A$43,0))</f>
        <v>Reciclar: requalificar, reengajar ou encerrar</v>
      </c>
    </row>
    <row r="919" customFormat="false" ht="15" hidden="false" customHeight="false" outlineLevel="0" collapsed="false">
      <c r="A919" s="10" t="s">
        <v>1162</v>
      </c>
      <c r="B919" s="10" t="s">
        <v>87</v>
      </c>
      <c r="C919" s="10" t="s">
        <v>85</v>
      </c>
      <c r="D919" s="10" t="s">
        <v>165</v>
      </c>
      <c r="E919" s="10" t="s">
        <v>48</v>
      </c>
      <c r="F919" s="10" t="s">
        <v>422</v>
      </c>
      <c r="G919" s="10" t="s">
        <v>162</v>
      </c>
      <c r="H919" s="30" t="n">
        <v>42952</v>
      </c>
      <c r="I919" s="8" t="n">
        <f aca="false">INDEX(Parâmetros!$C$13:$C$19,MATCH(E919,Parâmetros!$A$13:$A$19,0))</f>
        <v>4821</v>
      </c>
      <c r="J919" s="26" t="n">
        <f aca="false">IF(H919="","",Parâmetros!$B$5-H919)</f>
        <v>148</v>
      </c>
      <c r="K919" s="10" t="n">
        <f aca="false">INDEX(Parâmetros!$D$13:$D$19,MATCH(E919,Parâmetros!$A$13:$A$19,0))</f>
        <v>43</v>
      </c>
      <c r="L919" s="10" t="n">
        <f aca="false">IF(G919="Prospecting",Parâmetros!$B$9,IF(J919&gt;Parâmetros!$B$6,0,INDEX(Parâmetros!$C$24:$C$26,MATCH(J919,Parâmetros!$A$24:$A$26,1))))</f>
        <v>0</v>
      </c>
      <c r="M919" s="31" t="n">
        <f aca="false">IF(G919="Prospecting",1,INDEX(Parâmetros!$C$32:$C$35,MATCH(J919,Parâmetros!$A$32:$A$35,1)))</f>
        <v>0.6</v>
      </c>
      <c r="N919" s="2" t="n">
        <f aca="false">ROUND((K919+L919)*M919,0)</f>
        <v>26</v>
      </c>
      <c r="O919" s="10" t="str">
        <f aca="false">IF(AND(G919="Engaging",J919&gt;Parâmetros!$B$6),"Sim","Não")</f>
        <v>Sim</v>
      </c>
      <c r="P919" s="32" t="str">
        <f aca="false">IF(O919="Sim","R",IF(N919&gt;=Parâmetros!$B$39,"A",IF(N919&gt;=Parâmetros!$B$40,"B",IF(N919&gt;=Parâmetros!$B$41,"C","D"))))</f>
        <v>R</v>
      </c>
      <c r="Q919" s="10" t="str">
        <f aca="false">IF(F919="","Completar cadastro","")</f>
        <v/>
      </c>
      <c r="R919" s="10" t="str">
        <f aca="false">INDEX(Parâmetros!$D$39:$D$43,MATCH(P919,Parâmetros!$A$39:$A$43,0))</f>
        <v>Reciclar: requalificar, reengajar ou encerrar</v>
      </c>
    </row>
    <row r="920" customFormat="false" ht="15" hidden="false" customHeight="false" outlineLevel="0" collapsed="false">
      <c r="A920" s="10" t="s">
        <v>1163</v>
      </c>
      <c r="B920" s="10" t="s">
        <v>77</v>
      </c>
      <c r="C920" s="10" t="s">
        <v>78</v>
      </c>
      <c r="D920" s="10" t="s">
        <v>196</v>
      </c>
      <c r="E920" s="10" t="s">
        <v>48</v>
      </c>
      <c r="F920" s="10"/>
      <c r="G920" s="10" t="s">
        <v>162</v>
      </c>
      <c r="H920" s="30" t="n">
        <v>42953</v>
      </c>
      <c r="I920" s="8" t="n">
        <f aca="false">INDEX(Parâmetros!$C$13:$C$19,MATCH(E920,Parâmetros!$A$13:$A$19,0))</f>
        <v>4821</v>
      </c>
      <c r="J920" s="26" t="n">
        <f aca="false">IF(H920="","",Parâmetros!$B$5-H920)</f>
        <v>147</v>
      </c>
      <c r="K920" s="10" t="n">
        <f aca="false">INDEX(Parâmetros!$D$13:$D$19,MATCH(E920,Parâmetros!$A$13:$A$19,0))</f>
        <v>43</v>
      </c>
      <c r="L920" s="10" t="n">
        <f aca="false">IF(G920="Prospecting",Parâmetros!$B$9,IF(J920&gt;Parâmetros!$B$6,0,INDEX(Parâmetros!$C$24:$C$26,MATCH(J920,Parâmetros!$A$24:$A$26,1))))</f>
        <v>0</v>
      </c>
      <c r="M920" s="31" t="n">
        <f aca="false">IF(G920="Prospecting",1,INDEX(Parâmetros!$C$32:$C$35,MATCH(J920,Parâmetros!$A$32:$A$35,1)))</f>
        <v>0.6</v>
      </c>
      <c r="N920" s="2" t="n">
        <f aca="false">ROUND((K920+L920)*M920,0)</f>
        <v>26</v>
      </c>
      <c r="O920" s="10" t="str">
        <f aca="false">IF(AND(G920="Engaging",J920&gt;Parâmetros!$B$6),"Sim","Não")</f>
        <v>Sim</v>
      </c>
      <c r="P920" s="32" t="str">
        <f aca="false">IF(O920="Sim","R",IF(N920&gt;=Parâmetros!$B$39,"A",IF(N920&gt;=Parâmetros!$B$40,"B",IF(N920&gt;=Parâmetros!$B$41,"C","D"))))</f>
        <v>R</v>
      </c>
      <c r="Q920" s="10" t="str">
        <f aca="false">IF(F920="","Completar cadastro","")</f>
        <v>Completar cadastro</v>
      </c>
      <c r="R920" s="10" t="str">
        <f aca="false">INDEX(Parâmetros!$D$39:$D$43,MATCH(P920,Parâmetros!$A$39:$A$43,0))</f>
        <v>Reciclar: requalificar, reengajar ou encerrar</v>
      </c>
    </row>
    <row r="921" customFormat="false" ht="15" hidden="false" customHeight="false" outlineLevel="0" collapsed="false">
      <c r="A921" s="10" t="s">
        <v>1164</v>
      </c>
      <c r="B921" s="10" t="s">
        <v>79</v>
      </c>
      <c r="C921" s="10" t="s">
        <v>78</v>
      </c>
      <c r="D921" s="10" t="s">
        <v>196</v>
      </c>
      <c r="E921" s="10" t="s">
        <v>48</v>
      </c>
      <c r="F921" s="10" t="s">
        <v>522</v>
      </c>
      <c r="G921" s="10" t="s">
        <v>162</v>
      </c>
      <c r="H921" s="30" t="n">
        <v>42953</v>
      </c>
      <c r="I921" s="8" t="n">
        <f aca="false">INDEX(Parâmetros!$C$13:$C$19,MATCH(E921,Parâmetros!$A$13:$A$19,0))</f>
        <v>4821</v>
      </c>
      <c r="J921" s="26" t="n">
        <f aca="false">IF(H921="","",Parâmetros!$B$5-H921)</f>
        <v>147</v>
      </c>
      <c r="K921" s="10" t="n">
        <f aca="false">INDEX(Parâmetros!$D$13:$D$19,MATCH(E921,Parâmetros!$A$13:$A$19,0))</f>
        <v>43</v>
      </c>
      <c r="L921" s="10" t="n">
        <f aca="false">IF(G921="Prospecting",Parâmetros!$B$9,IF(J921&gt;Parâmetros!$B$6,0,INDEX(Parâmetros!$C$24:$C$26,MATCH(J921,Parâmetros!$A$24:$A$26,1))))</f>
        <v>0</v>
      </c>
      <c r="M921" s="31" t="n">
        <f aca="false">IF(G921="Prospecting",1,INDEX(Parâmetros!$C$32:$C$35,MATCH(J921,Parâmetros!$A$32:$A$35,1)))</f>
        <v>0.6</v>
      </c>
      <c r="N921" s="2" t="n">
        <f aca="false">ROUND((K921+L921)*M921,0)</f>
        <v>26</v>
      </c>
      <c r="O921" s="10" t="str">
        <f aca="false">IF(AND(G921="Engaging",J921&gt;Parâmetros!$B$6),"Sim","Não")</f>
        <v>Sim</v>
      </c>
      <c r="P921" s="32" t="str">
        <f aca="false">IF(O921="Sim","R",IF(N921&gt;=Parâmetros!$B$39,"A",IF(N921&gt;=Parâmetros!$B$40,"B",IF(N921&gt;=Parâmetros!$B$41,"C","D"))))</f>
        <v>R</v>
      </c>
      <c r="Q921" s="10" t="str">
        <f aca="false">IF(F921="","Completar cadastro","")</f>
        <v/>
      </c>
      <c r="R921" s="10" t="str">
        <f aca="false">INDEX(Parâmetros!$D$39:$D$43,MATCH(P921,Parâmetros!$A$39:$A$43,0))</f>
        <v>Reciclar: requalificar, reengajar ou encerrar</v>
      </c>
    </row>
    <row r="922" customFormat="false" ht="15" hidden="false" customHeight="false" outlineLevel="0" collapsed="false">
      <c r="A922" s="10" t="s">
        <v>1165</v>
      </c>
      <c r="B922" s="10" t="s">
        <v>95</v>
      </c>
      <c r="C922" s="10" t="s">
        <v>92</v>
      </c>
      <c r="D922" s="10" t="s">
        <v>160</v>
      </c>
      <c r="E922" s="10" t="s">
        <v>48</v>
      </c>
      <c r="F922" s="10"/>
      <c r="G922" s="10" t="s">
        <v>162</v>
      </c>
      <c r="H922" s="30" t="n">
        <v>42953</v>
      </c>
      <c r="I922" s="8" t="n">
        <f aca="false">INDEX(Parâmetros!$C$13:$C$19,MATCH(E922,Parâmetros!$A$13:$A$19,0))</f>
        <v>4821</v>
      </c>
      <c r="J922" s="26" t="n">
        <f aca="false">IF(H922="","",Parâmetros!$B$5-H922)</f>
        <v>147</v>
      </c>
      <c r="K922" s="10" t="n">
        <f aca="false">INDEX(Parâmetros!$D$13:$D$19,MATCH(E922,Parâmetros!$A$13:$A$19,0))</f>
        <v>43</v>
      </c>
      <c r="L922" s="10" t="n">
        <f aca="false">IF(G922="Prospecting",Parâmetros!$B$9,IF(J922&gt;Parâmetros!$B$6,0,INDEX(Parâmetros!$C$24:$C$26,MATCH(J922,Parâmetros!$A$24:$A$26,1))))</f>
        <v>0</v>
      </c>
      <c r="M922" s="31" t="n">
        <f aca="false">IF(G922="Prospecting",1,INDEX(Parâmetros!$C$32:$C$35,MATCH(J922,Parâmetros!$A$32:$A$35,1)))</f>
        <v>0.6</v>
      </c>
      <c r="N922" s="2" t="n">
        <f aca="false">ROUND((K922+L922)*M922,0)</f>
        <v>26</v>
      </c>
      <c r="O922" s="10" t="str">
        <f aca="false">IF(AND(G922="Engaging",J922&gt;Parâmetros!$B$6),"Sim","Não")</f>
        <v>Sim</v>
      </c>
      <c r="P922" s="32" t="str">
        <f aca="false">IF(O922="Sim","R",IF(N922&gt;=Parâmetros!$B$39,"A",IF(N922&gt;=Parâmetros!$B$40,"B",IF(N922&gt;=Parâmetros!$B$41,"C","D"))))</f>
        <v>R</v>
      </c>
      <c r="Q922" s="10" t="str">
        <f aca="false">IF(F922="","Completar cadastro","")</f>
        <v>Completar cadastro</v>
      </c>
      <c r="R922" s="10" t="str">
        <f aca="false">INDEX(Parâmetros!$D$39:$D$43,MATCH(P922,Parâmetros!$A$39:$A$43,0))</f>
        <v>Reciclar: requalificar, reengajar ou encerrar</v>
      </c>
    </row>
    <row r="923" customFormat="false" ht="15" hidden="false" customHeight="false" outlineLevel="0" collapsed="false">
      <c r="A923" s="10" t="s">
        <v>1166</v>
      </c>
      <c r="B923" s="10" t="s">
        <v>83</v>
      </c>
      <c r="C923" s="10" t="s">
        <v>78</v>
      </c>
      <c r="D923" s="10" t="s">
        <v>196</v>
      </c>
      <c r="E923" s="10" t="s">
        <v>48</v>
      </c>
      <c r="F923" s="10"/>
      <c r="G923" s="10" t="s">
        <v>162</v>
      </c>
      <c r="H923" s="30" t="n">
        <v>42954</v>
      </c>
      <c r="I923" s="8" t="n">
        <f aca="false">INDEX(Parâmetros!$C$13:$C$19,MATCH(E923,Parâmetros!$A$13:$A$19,0))</f>
        <v>4821</v>
      </c>
      <c r="J923" s="26" t="n">
        <f aca="false">IF(H923="","",Parâmetros!$B$5-H923)</f>
        <v>146</v>
      </c>
      <c r="K923" s="10" t="n">
        <f aca="false">INDEX(Parâmetros!$D$13:$D$19,MATCH(E923,Parâmetros!$A$13:$A$19,0))</f>
        <v>43</v>
      </c>
      <c r="L923" s="10" t="n">
        <f aca="false">IF(G923="Prospecting",Parâmetros!$B$9,IF(J923&gt;Parâmetros!$B$6,0,INDEX(Parâmetros!$C$24:$C$26,MATCH(J923,Parâmetros!$A$24:$A$26,1))))</f>
        <v>0</v>
      </c>
      <c r="M923" s="31" t="n">
        <f aca="false">IF(G923="Prospecting",1,INDEX(Parâmetros!$C$32:$C$35,MATCH(J923,Parâmetros!$A$32:$A$35,1)))</f>
        <v>0.6</v>
      </c>
      <c r="N923" s="2" t="n">
        <f aca="false">ROUND((K923+L923)*M923,0)</f>
        <v>26</v>
      </c>
      <c r="O923" s="10" t="str">
        <f aca="false">IF(AND(G923="Engaging",J923&gt;Parâmetros!$B$6),"Sim","Não")</f>
        <v>Sim</v>
      </c>
      <c r="P923" s="32" t="str">
        <f aca="false">IF(O923="Sim","R",IF(N923&gt;=Parâmetros!$B$39,"A",IF(N923&gt;=Parâmetros!$B$40,"B",IF(N923&gt;=Parâmetros!$B$41,"C","D"))))</f>
        <v>R</v>
      </c>
      <c r="Q923" s="10" t="str">
        <f aca="false">IF(F923="","Completar cadastro","")</f>
        <v>Completar cadastro</v>
      </c>
      <c r="R923" s="10" t="str">
        <f aca="false">INDEX(Parâmetros!$D$39:$D$43,MATCH(P923,Parâmetros!$A$39:$A$43,0))</f>
        <v>Reciclar: requalificar, reengajar ou encerrar</v>
      </c>
    </row>
    <row r="924" customFormat="false" ht="15" hidden="false" customHeight="false" outlineLevel="0" collapsed="false">
      <c r="A924" s="10" t="s">
        <v>1167</v>
      </c>
      <c r="B924" s="10" t="s">
        <v>77</v>
      </c>
      <c r="C924" s="10" t="s">
        <v>78</v>
      </c>
      <c r="D924" s="10" t="s">
        <v>196</v>
      </c>
      <c r="E924" s="10" t="s">
        <v>48</v>
      </c>
      <c r="F924" s="10"/>
      <c r="G924" s="10" t="s">
        <v>162</v>
      </c>
      <c r="H924" s="30" t="n">
        <v>42955</v>
      </c>
      <c r="I924" s="8" t="n">
        <f aca="false">INDEX(Parâmetros!$C$13:$C$19,MATCH(E924,Parâmetros!$A$13:$A$19,0))</f>
        <v>4821</v>
      </c>
      <c r="J924" s="26" t="n">
        <f aca="false">IF(H924="","",Parâmetros!$B$5-H924)</f>
        <v>145</v>
      </c>
      <c r="K924" s="10" t="n">
        <f aca="false">INDEX(Parâmetros!$D$13:$D$19,MATCH(E924,Parâmetros!$A$13:$A$19,0))</f>
        <v>43</v>
      </c>
      <c r="L924" s="10" t="n">
        <f aca="false">IF(G924="Prospecting",Parâmetros!$B$9,IF(J924&gt;Parâmetros!$B$6,0,INDEX(Parâmetros!$C$24:$C$26,MATCH(J924,Parâmetros!$A$24:$A$26,1))))</f>
        <v>0</v>
      </c>
      <c r="M924" s="31" t="n">
        <f aca="false">IF(G924="Prospecting",1,INDEX(Parâmetros!$C$32:$C$35,MATCH(J924,Parâmetros!$A$32:$A$35,1)))</f>
        <v>0.6</v>
      </c>
      <c r="N924" s="2" t="n">
        <f aca="false">ROUND((K924+L924)*M924,0)</f>
        <v>26</v>
      </c>
      <c r="O924" s="10" t="str">
        <f aca="false">IF(AND(G924="Engaging",J924&gt;Parâmetros!$B$6),"Sim","Não")</f>
        <v>Sim</v>
      </c>
      <c r="P924" s="32" t="str">
        <f aca="false">IF(O924="Sim","R",IF(N924&gt;=Parâmetros!$B$39,"A",IF(N924&gt;=Parâmetros!$B$40,"B",IF(N924&gt;=Parâmetros!$B$41,"C","D"))))</f>
        <v>R</v>
      </c>
      <c r="Q924" s="10" t="str">
        <f aca="false">IF(F924="","Completar cadastro","")</f>
        <v>Completar cadastro</v>
      </c>
      <c r="R924" s="10" t="str">
        <f aca="false">INDEX(Parâmetros!$D$39:$D$43,MATCH(P924,Parâmetros!$A$39:$A$43,0))</f>
        <v>Reciclar: requalificar, reengajar ou encerrar</v>
      </c>
    </row>
    <row r="925" customFormat="false" ht="15" hidden="false" customHeight="false" outlineLevel="0" collapsed="false">
      <c r="A925" s="10" t="s">
        <v>1168</v>
      </c>
      <c r="B925" s="10" t="s">
        <v>77</v>
      </c>
      <c r="C925" s="10" t="s">
        <v>78</v>
      </c>
      <c r="D925" s="10" t="s">
        <v>196</v>
      </c>
      <c r="E925" s="10" t="s">
        <v>48</v>
      </c>
      <c r="F925" s="10"/>
      <c r="G925" s="10" t="s">
        <v>162</v>
      </c>
      <c r="H925" s="30" t="n">
        <v>42956</v>
      </c>
      <c r="I925" s="8" t="n">
        <f aca="false">INDEX(Parâmetros!$C$13:$C$19,MATCH(E925,Parâmetros!$A$13:$A$19,0))</f>
        <v>4821</v>
      </c>
      <c r="J925" s="26" t="n">
        <f aca="false">IF(H925="","",Parâmetros!$B$5-H925)</f>
        <v>144</v>
      </c>
      <c r="K925" s="10" t="n">
        <f aca="false">INDEX(Parâmetros!$D$13:$D$19,MATCH(E925,Parâmetros!$A$13:$A$19,0))</f>
        <v>43</v>
      </c>
      <c r="L925" s="10" t="n">
        <f aca="false">IF(G925="Prospecting",Parâmetros!$B$9,IF(J925&gt;Parâmetros!$B$6,0,INDEX(Parâmetros!$C$24:$C$26,MATCH(J925,Parâmetros!$A$24:$A$26,1))))</f>
        <v>0</v>
      </c>
      <c r="M925" s="31" t="n">
        <f aca="false">IF(G925="Prospecting",1,INDEX(Parâmetros!$C$32:$C$35,MATCH(J925,Parâmetros!$A$32:$A$35,1)))</f>
        <v>0.6</v>
      </c>
      <c r="N925" s="2" t="n">
        <f aca="false">ROUND((K925+L925)*M925,0)</f>
        <v>26</v>
      </c>
      <c r="O925" s="10" t="str">
        <f aca="false">IF(AND(G925="Engaging",J925&gt;Parâmetros!$B$6),"Sim","Não")</f>
        <v>Sim</v>
      </c>
      <c r="P925" s="32" t="str">
        <f aca="false">IF(O925="Sim","R",IF(N925&gt;=Parâmetros!$B$39,"A",IF(N925&gt;=Parâmetros!$B$40,"B",IF(N925&gt;=Parâmetros!$B$41,"C","D"))))</f>
        <v>R</v>
      </c>
      <c r="Q925" s="10" t="str">
        <f aca="false">IF(F925="","Completar cadastro","")</f>
        <v>Completar cadastro</v>
      </c>
      <c r="R925" s="10" t="str">
        <f aca="false">INDEX(Parâmetros!$D$39:$D$43,MATCH(P925,Parâmetros!$A$39:$A$43,0))</f>
        <v>Reciclar: requalificar, reengajar ou encerrar</v>
      </c>
    </row>
    <row r="926" customFormat="false" ht="15" hidden="false" customHeight="false" outlineLevel="0" collapsed="false">
      <c r="A926" s="10" t="s">
        <v>1169</v>
      </c>
      <c r="B926" s="10" t="s">
        <v>61</v>
      </c>
      <c r="C926" s="10" t="s">
        <v>58</v>
      </c>
      <c r="D926" s="10" t="s">
        <v>165</v>
      </c>
      <c r="E926" s="10" t="s">
        <v>48</v>
      </c>
      <c r="F926" s="10" t="s">
        <v>514</v>
      </c>
      <c r="G926" s="10" t="s">
        <v>162</v>
      </c>
      <c r="H926" s="30" t="n">
        <v>42957</v>
      </c>
      <c r="I926" s="8" t="n">
        <f aca="false">INDEX(Parâmetros!$C$13:$C$19,MATCH(E926,Parâmetros!$A$13:$A$19,0))</f>
        <v>4821</v>
      </c>
      <c r="J926" s="26" t="n">
        <f aca="false">IF(H926="","",Parâmetros!$B$5-H926)</f>
        <v>143</v>
      </c>
      <c r="K926" s="10" t="n">
        <f aca="false">INDEX(Parâmetros!$D$13:$D$19,MATCH(E926,Parâmetros!$A$13:$A$19,0))</f>
        <v>43</v>
      </c>
      <c r="L926" s="10" t="n">
        <f aca="false">IF(G926="Prospecting",Parâmetros!$B$9,IF(J926&gt;Parâmetros!$B$6,0,INDEX(Parâmetros!$C$24:$C$26,MATCH(J926,Parâmetros!$A$24:$A$26,1))))</f>
        <v>0</v>
      </c>
      <c r="M926" s="31" t="n">
        <f aca="false">IF(G926="Prospecting",1,INDEX(Parâmetros!$C$32:$C$35,MATCH(J926,Parâmetros!$A$32:$A$35,1)))</f>
        <v>0.6</v>
      </c>
      <c r="N926" s="2" t="n">
        <f aca="false">ROUND((K926+L926)*M926,0)</f>
        <v>26</v>
      </c>
      <c r="O926" s="10" t="str">
        <f aca="false">IF(AND(G926="Engaging",J926&gt;Parâmetros!$B$6),"Sim","Não")</f>
        <v>Sim</v>
      </c>
      <c r="P926" s="32" t="str">
        <f aca="false">IF(O926="Sim","R",IF(N926&gt;=Parâmetros!$B$39,"A",IF(N926&gt;=Parâmetros!$B$40,"B",IF(N926&gt;=Parâmetros!$B$41,"C","D"))))</f>
        <v>R</v>
      </c>
      <c r="Q926" s="10" t="str">
        <f aca="false">IF(F926="","Completar cadastro","")</f>
        <v/>
      </c>
      <c r="R926" s="10" t="str">
        <f aca="false">INDEX(Parâmetros!$D$39:$D$43,MATCH(P926,Parâmetros!$A$39:$A$43,0))</f>
        <v>Reciclar: requalificar, reengajar ou encerrar</v>
      </c>
    </row>
    <row r="927" customFormat="false" ht="15" hidden="false" customHeight="false" outlineLevel="0" collapsed="false">
      <c r="A927" s="10" t="s">
        <v>1170</v>
      </c>
      <c r="B927" s="10" t="s">
        <v>86</v>
      </c>
      <c r="C927" s="10" t="s">
        <v>85</v>
      </c>
      <c r="D927" s="10" t="s">
        <v>165</v>
      </c>
      <c r="E927" s="10" t="s">
        <v>48</v>
      </c>
      <c r="F927" s="10"/>
      <c r="G927" s="10" t="s">
        <v>162</v>
      </c>
      <c r="H927" s="30" t="n">
        <v>42959</v>
      </c>
      <c r="I927" s="8" t="n">
        <f aca="false">INDEX(Parâmetros!$C$13:$C$19,MATCH(E927,Parâmetros!$A$13:$A$19,0))</f>
        <v>4821</v>
      </c>
      <c r="J927" s="26" t="n">
        <f aca="false">IF(H927="","",Parâmetros!$B$5-H927)</f>
        <v>141</v>
      </c>
      <c r="K927" s="10" t="n">
        <f aca="false">INDEX(Parâmetros!$D$13:$D$19,MATCH(E927,Parâmetros!$A$13:$A$19,0))</f>
        <v>43</v>
      </c>
      <c r="L927" s="10" t="n">
        <f aca="false">IF(G927="Prospecting",Parâmetros!$B$9,IF(J927&gt;Parâmetros!$B$6,0,INDEX(Parâmetros!$C$24:$C$26,MATCH(J927,Parâmetros!$A$24:$A$26,1))))</f>
        <v>0</v>
      </c>
      <c r="M927" s="31" t="n">
        <f aca="false">IF(G927="Prospecting",1,INDEX(Parâmetros!$C$32:$C$35,MATCH(J927,Parâmetros!$A$32:$A$35,1)))</f>
        <v>0.6</v>
      </c>
      <c r="N927" s="2" t="n">
        <f aca="false">ROUND((K927+L927)*M927,0)</f>
        <v>26</v>
      </c>
      <c r="O927" s="10" t="str">
        <f aca="false">IF(AND(G927="Engaging",J927&gt;Parâmetros!$B$6),"Sim","Não")</f>
        <v>Sim</v>
      </c>
      <c r="P927" s="32" t="str">
        <f aca="false">IF(O927="Sim","R",IF(N927&gt;=Parâmetros!$B$39,"A",IF(N927&gt;=Parâmetros!$B$40,"B",IF(N927&gt;=Parâmetros!$B$41,"C","D"))))</f>
        <v>R</v>
      </c>
      <c r="Q927" s="10" t="str">
        <f aca="false">IF(F927="","Completar cadastro","")</f>
        <v>Completar cadastro</v>
      </c>
      <c r="R927" s="10" t="str">
        <f aca="false">INDEX(Parâmetros!$D$39:$D$43,MATCH(P927,Parâmetros!$A$39:$A$43,0))</f>
        <v>Reciclar: requalificar, reengajar ou encerrar</v>
      </c>
    </row>
    <row r="928" customFormat="false" ht="15" hidden="false" customHeight="false" outlineLevel="0" collapsed="false">
      <c r="A928" s="10" t="s">
        <v>1171</v>
      </c>
      <c r="B928" s="10" t="s">
        <v>70</v>
      </c>
      <c r="C928" s="10" t="s">
        <v>65</v>
      </c>
      <c r="D928" s="10" t="s">
        <v>160</v>
      </c>
      <c r="E928" s="10" t="s">
        <v>48</v>
      </c>
      <c r="F928" s="10" t="s">
        <v>410</v>
      </c>
      <c r="G928" s="10" t="s">
        <v>162</v>
      </c>
      <c r="H928" s="30" t="n">
        <v>42959</v>
      </c>
      <c r="I928" s="8" t="n">
        <f aca="false">INDEX(Parâmetros!$C$13:$C$19,MATCH(E928,Parâmetros!$A$13:$A$19,0))</f>
        <v>4821</v>
      </c>
      <c r="J928" s="26" t="n">
        <f aca="false">IF(H928="","",Parâmetros!$B$5-H928)</f>
        <v>141</v>
      </c>
      <c r="K928" s="10" t="n">
        <f aca="false">INDEX(Parâmetros!$D$13:$D$19,MATCH(E928,Parâmetros!$A$13:$A$19,0))</f>
        <v>43</v>
      </c>
      <c r="L928" s="10" t="n">
        <f aca="false">IF(G928="Prospecting",Parâmetros!$B$9,IF(J928&gt;Parâmetros!$B$6,0,INDEX(Parâmetros!$C$24:$C$26,MATCH(J928,Parâmetros!$A$24:$A$26,1))))</f>
        <v>0</v>
      </c>
      <c r="M928" s="31" t="n">
        <f aca="false">IF(G928="Prospecting",1,INDEX(Parâmetros!$C$32:$C$35,MATCH(J928,Parâmetros!$A$32:$A$35,1)))</f>
        <v>0.6</v>
      </c>
      <c r="N928" s="2" t="n">
        <f aca="false">ROUND((K928+L928)*M928,0)</f>
        <v>26</v>
      </c>
      <c r="O928" s="10" t="str">
        <f aca="false">IF(AND(G928="Engaging",J928&gt;Parâmetros!$B$6),"Sim","Não")</f>
        <v>Sim</v>
      </c>
      <c r="P928" s="32" t="str">
        <f aca="false">IF(O928="Sim","R",IF(N928&gt;=Parâmetros!$B$39,"A",IF(N928&gt;=Parâmetros!$B$40,"B",IF(N928&gt;=Parâmetros!$B$41,"C","D"))))</f>
        <v>R</v>
      </c>
      <c r="Q928" s="10" t="str">
        <f aca="false">IF(F928="","Completar cadastro","")</f>
        <v/>
      </c>
      <c r="R928" s="10" t="str">
        <f aca="false">INDEX(Parâmetros!$D$39:$D$43,MATCH(P928,Parâmetros!$A$39:$A$43,0))</f>
        <v>Reciclar: requalificar, reengajar ou encerrar</v>
      </c>
    </row>
    <row r="929" customFormat="false" ht="15" hidden="false" customHeight="false" outlineLevel="0" collapsed="false">
      <c r="A929" s="10" t="s">
        <v>1172</v>
      </c>
      <c r="B929" s="10" t="s">
        <v>81</v>
      </c>
      <c r="C929" s="10" t="s">
        <v>78</v>
      </c>
      <c r="D929" s="10" t="s">
        <v>196</v>
      </c>
      <c r="E929" s="10" t="s">
        <v>48</v>
      </c>
      <c r="F929" s="10"/>
      <c r="G929" s="10" t="s">
        <v>162</v>
      </c>
      <c r="H929" s="30" t="n">
        <v>42960</v>
      </c>
      <c r="I929" s="8" t="n">
        <f aca="false">INDEX(Parâmetros!$C$13:$C$19,MATCH(E929,Parâmetros!$A$13:$A$19,0))</f>
        <v>4821</v>
      </c>
      <c r="J929" s="26" t="n">
        <f aca="false">IF(H929="","",Parâmetros!$B$5-H929)</f>
        <v>140</v>
      </c>
      <c r="K929" s="10" t="n">
        <f aca="false">INDEX(Parâmetros!$D$13:$D$19,MATCH(E929,Parâmetros!$A$13:$A$19,0))</f>
        <v>43</v>
      </c>
      <c r="L929" s="10" t="n">
        <f aca="false">IF(G929="Prospecting",Parâmetros!$B$9,IF(J929&gt;Parâmetros!$B$6,0,INDEX(Parâmetros!$C$24:$C$26,MATCH(J929,Parâmetros!$A$24:$A$26,1))))</f>
        <v>0</v>
      </c>
      <c r="M929" s="31" t="n">
        <f aca="false">IF(G929="Prospecting",1,INDEX(Parâmetros!$C$32:$C$35,MATCH(J929,Parâmetros!$A$32:$A$35,1)))</f>
        <v>0.6</v>
      </c>
      <c r="N929" s="2" t="n">
        <f aca="false">ROUND((K929+L929)*M929,0)</f>
        <v>26</v>
      </c>
      <c r="O929" s="10" t="str">
        <f aca="false">IF(AND(G929="Engaging",J929&gt;Parâmetros!$B$6),"Sim","Não")</f>
        <v>Sim</v>
      </c>
      <c r="P929" s="32" t="str">
        <f aca="false">IF(O929="Sim","R",IF(N929&gt;=Parâmetros!$B$39,"A",IF(N929&gt;=Parâmetros!$B$40,"B",IF(N929&gt;=Parâmetros!$B$41,"C","D"))))</f>
        <v>R</v>
      </c>
      <c r="Q929" s="10" t="str">
        <f aca="false">IF(F929="","Completar cadastro","")</f>
        <v>Completar cadastro</v>
      </c>
      <c r="R929" s="10" t="str">
        <f aca="false">INDEX(Parâmetros!$D$39:$D$43,MATCH(P929,Parâmetros!$A$39:$A$43,0))</f>
        <v>Reciclar: requalificar, reengajar ou encerrar</v>
      </c>
    </row>
    <row r="930" customFormat="false" ht="15" hidden="false" customHeight="false" outlineLevel="0" collapsed="false">
      <c r="A930" s="10" t="s">
        <v>1173</v>
      </c>
      <c r="B930" s="10" t="s">
        <v>86</v>
      </c>
      <c r="C930" s="10" t="s">
        <v>85</v>
      </c>
      <c r="D930" s="10" t="s">
        <v>165</v>
      </c>
      <c r="E930" s="10" t="s">
        <v>48</v>
      </c>
      <c r="F930" s="10"/>
      <c r="G930" s="10" t="s">
        <v>162</v>
      </c>
      <c r="H930" s="30" t="n">
        <v>42961</v>
      </c>
      <c r="I930" s="8" t="n">
        <f aca="false">INDEX(Parâmetros!$C$13:$C$19,MATCH(E930,Parâmetros!$A$13:$A$19,0))</f>
        <v>4821</v>
      </c>
      <c r="J930" s="26" t="n">
        <f aca="false">IF(H930="","",Parâmetros!$B$5-H930)</f>
        <v>139</v>
      </c>
      <c r="K930" s="10" t="n">
        <f aca="false">INDEX(Parâmetros!$D$13:$D$19,MATCH(E930,Parâmetros!$A$13:$A$19,0))</f>
        <v>43</v>
      </c>
      <c r="L930" s="10" t="n">
        <f aca="false">IF(G930="Prospecting",Parâmetros!$B$9,IF(J930&gt;Parâmetros!$B$6,0,INDEX(Parâmetros!$C$24:$C$26,MATCH(J930,Parâmetros!$A$24:$A$26,1))))</f>
        <v>0</v>
      </c>
      <c r="M930" s="31" t="n">
        <f aca="false">IF(G930="Prospecting",1,INDEX(Parâmetros!$C$32:$C$35,MATCH(J930,Parâmetros!$A$32:$A$35,1)))</f>
        <v>0.6</v>
      </c>
      <c r="N930" s="2" t="n">
        <f aca="false">ROUND((K930+L930)*M930,0)</f>
        <v>26</v>
      </c>
      <c r="O930" s="10" t="str">
        <f aca="false">IF(AND(G930="Engaging",J930&gt;Parâmetros!$B$6),"Sim","Não")</f>
        <v>Sim</v>
      </c>
      <c r="P930" s="32" t="str">
        <f aca="false">IF(O930="Sim","R",IF(N930&gt;=Parâmetros!$B$39,"A",IF(N930&gt;=Parâmetros!$B$40,"B",IF(N930&gt;=Parâmetros!$B$41,"C","D"))))</f>
        <v>R</v>
      </c>
      <c r="Q930" s="10" t="str">
        <f aca="false">IF(F930="","Completar cadastro","")</f>
        <v>Completar cadastro</v>
      </c>
      <c r="R930" s="10" t="str">
        <f aca="false">INDEX(Parâmetros!$D$39:$D$43,MATCH(P930,Parâmetros!$A$39:$A$43,0))</f>
        <v>Reciclar: requalificar, reengajar ou encerrar</v>
      </c>
    </row>
    <row r="931" customFormat="false" ht="15" hidden="false" customHeight="false" outlineLevel="0" collapsed="false">
      <c r="A931" s="10" t="s">
        <v>1174</v>
      </c>
      <c r="B931" s="10" t="s">
        <v>77</v>
      </c>
      <c r="C931" s="10" t="s">
        <v>78</v>
      </c>
      <c r="D931" s="10" t="s">
        <v>196</v>
      </c>
      <c r="E931" s="10" t="s">
        <v>48</v>
      </c>
      <c r="F931" s="10"/>
      <c r="G931" s="10" t="s">
        <v>162</v>
      </c>
      <c r="H931" s="30" t="n">
        <v>42961</v>
      </c>
      <c r="I931" s="8" t="n">
        <f aca="false">INDEX(Parâmetros!$C$13:$C$19,MATCH(E931,Parâmetros!$A$13:$A$19,0))</f>
        <v>4821</v>
      </c>
      <c r="J931" s="26" t="n">
        <f aca="false">IF(H931="","",Parâmetros!$B$5-H931)</f>
        <v>139</v>
      </c>
      <c r="K931" s="10" t="n">
        <f aca="false">INDEX(Parâmetros!$D$13:$D$19,MATCH(E931,Parâmetros!$A$13:$A$19,0))</f>
        <v>43</v>
      </c>
      <c r="L931" s="10" t="n">
        <f aca="false">IF(G931="Prospecting",Parâmetros!$B$9,IF(J931&gt;Parâmetros!$B$6,0,INDEX(Parâmetros!$C$24:$C$26,MATCH(J931,Parâmetros!$A$24:$A$26,1))))</f>
        <v>0</v>
      </c>
      <c r="M931" s="31" t="n">
        <f aca="false">IF(G931="Prospecting",1,INDEX(Parâmetros!$C$32:$C$35,MATCH(J931,Parâmetros!$A$32:$A$35,1)))</f>
        <v>0.6</v>
      </c>
      <c r="N931" s="2" t="n">
        <f aca="false">ROUND((K931+L931)*M931,0)</f>
        <v>26</v>
      </c>
      <c r="O931" s="10" t="str">
        <f aca="false">IF(AND(G931="Engaging",J931&gt;Parâmetros!$B$6),"Sim","Não")</f>
        <v>Sim</v>
      </c>
      <c r="P931" s="32" t="str">
        <f aca="false">IF(O931="Sim","R",IF(N931&gt;=Parâmetros!$B$39,"A",IF(N931&gt;=Parâmetros!$B$40,"B",IF(N931&gt;=Parâmetros!$B$41,"C","D"))))</f>
        <v>R</v>
      </c>
      <c r="Q931" s="10" t="str">
        <f aca="false">IF(F931="","Completar cadastro","")</f>
        <v>Completar cadastro</v>
      </c>
      <c r="R931" s="10" t="str">
        <f aca="false">INDEX(Parâmetros!$D$39:$D$43,MATCH(P931,Parâmetros!$A$39:$A$43,0))</f>
        <v>Reciclar: requalificar, reengajar ou encerrar</v>
      </c>
    </row>
    <row r="932" customFormat="false" ht="15" hidden="false" customHeight="false" outlineLevel="0" collapsed="false">
      <c r="A932" s="10" t="s">
        <v>1175</v>
      </c>
      <c r="B932" s="10" t="s">
        <v>77</v>
      </c>
      <c r="C932" s="10" t="s">
        <v>78</v>
      </c>
      <c r="D932" s="10" t="s">
        <v>196</v>
      </c>
      <c r="E932" s="10" t="s">
        <v>48</v>
      </c>
      <c r="F932" s="10"/>
      <c r="G932" s="10" t="s">
        <v>162</v>
      </c>
      <c r="H932" s="30" t="n">
        <v>42961</v>
      </c>
      <c r="I932" s="8" t="n">
        <f aca="false">INDEX(Parâmetros!$C$13:$C$19,MATCH(E932,Parâmetros!$A$13:$A$19,0))</f>
        <v>4821</v>
      </c>
      <c r="J932" s="26" t="n">
        <f aca="false">IF(H932="","",Parâmetros!$B$5-H932)</f>
        <v>139</v>
      </c>
      <c r="K932" s="10" t="n">
        <f aca="false">INDEX(Parâmetros!$D$13:$D$19,MATCH(E932,Parâmetros!$A$13:$A$19,0))</f>
        <v>43</v>
      </c>
      <c r="L932" s="10" t="n">
        <f aca="false">IF(G932="Prospecting",Parâmetros!$B$9,IF(J932&gt;Parâmetros!$B$6,0,INDEX(Parâmetros!$C$24:$C$26,MATCH(J932,Parâmetros!$A$24:$A$26,1))))</f>
        <v>0</v>
      </c>
      <c r="M932" s="31" t="n">
        <f aca="false">IF(G932="Prospecting",1,INDEX(Parâmetros!$C$32:$C$35,MATCH(J932,Parâmetros!$A$32:$A$35,1)))</f>
        <v>0.6</v>
      </c>
      <c r="N932" s="2" t="n">
        <f aca="false">ROUND((K932+L932)*M932,0)</f>
        <v>26</v>
      </c>
      <c r="O932" s="10" t="str">
        <f aca="false">IF(AND(G932="Engaging",J932&gt;Parâmetros!$B$6),"Sim","Não")</f>
        <v>Sim</v>
      </c>
      <c r="P932" s="32" t="str">
        <f aca="false">IF(O932="Sim","R",IF(N932&gt;=Parâmetros!$B$39,"A",IF(N932&gt;=Parâmetros!$B$40,"B",IF(N932&gt;=Parâmetros!$B$41,"C","D"))))</f>
        <v>R</v>
      </c>
      <c r="Q932" s="10" t="str">
        <f aca="false">IF(F932="","Completar cadastro","")</f>
        <v>Completar cadastro</v>
      </c>
      <c r="R932" s="10" t="str">
        <f aca="false">INDEX(Parâmetros!$D$39:$D$43,MATCH(P932,Parâmetros!$A$39:$A$43,0))</f>
        <v>Reciclar: requalificar, reengajar ou encerrar</v>
      </c>
    </row>
    <row r="933" customFormat="false" ht="15" hidden="false" customHeight="false" outlineLevel="0" collapsed="false">
      <c r="A933" s="10" t="s">
        <v>1176</v>
      </c>
      <c r="B933" s="10" t="s">
        <v>80</v>
      </c>
      <c r="C933" s="10" t="s">
        <v>78</v>
      </c>
      <c r="D933" s="10" t="s">
        <v>196</v>
      </c>
      <c r="E933" s="10" t="s">
        <v>48</v>
      </c>
      <c r="F933" s="10"/>
      <c r="G933" s="10" t="s">
        <v>162</v>
      </c>
      <c r="H933" s="30" t="n">
        <v>42961</v>
      </c>
      <c r="I933" s="8" t="n">
        <f aca="false">INDEX(Parâmetros!$C$13:$C$19,MATCH(E933,Parâmetros!$A$13:$A$19,0))</f>
        <v>4821</v>
      </c>
      <c r="J933" s="26" t="n">
        <f aca="false">IF(H933="","",Parâmetros!$B$5-H933)</f>
        <v>139</v>
      </c>
      <c r="K933" s="10" t="n">
        <f aca="false">INDEX(Parâmetros!$D$13:$D$19,MATCH(E933,Parâmetros!$A$13:$A$19,0))</f>
        <v>43</v>
      </c>
      <c r="L933" s="10" t="n">
        <f aca="false">IF(G933="Prospecting",Parâmetros!$B$9,IF(J933&gt;Parâmetros!$B$6,0,INDEX(Parâmetros!$C$24:$C$26,MATCH(J933,Parâmetros!$A$24:$A$26,1))))</f>
        <v>0</v>
      </c>
      <c r="M933" s="31" t="n">
        <f aca="false">IF(G933="Prospecting",1,INDEX(Parâmetros!$C$32:$C$35,MATCH(J933,Parâmetros!$A$32:$A$35,1)))</f>
        <v>0.6</v>
      </c>
      <c r="N933" s="2" t="n">
        <f aca="false">ROUND((K933+L933)*M933,0)</f>
        <v>26</v>
      </c>
      <c r="O933" s="10" t="str">
        <f aca="false">IF(AND(G933="Engaging",J933&gt;Parâmetros!$B$6),"Sim","Não")</f>
        <v>Sim</v>
      </c>
      <c r="P933" s="32" t="str">
        <f aca="false">IF(O933="Sim","R",IF(N933&gt;=Parâmetros!$B$39,"A",IF(N933&gt;=Parâmetros!$B$40,"B",IF(N933&gt;=Parâmetros!$B$41,"C","D"))))</f>
        <v>R</v>
      </c>
      <c r="Q933" s="10" t="str">
        <f aca="false">IF(F933="","Completar cadastro","")</f>
        <v>Completar cadastro</v>
      </c>
      <c r="R933" s="10" t="str">
        <f aca="false">INDEX(Parâmetros!$D$39:$D$43,MATCH(P933,Parâmetros!$A$39:$A$43,0))</f>
        <v>Reciclar: requalificar, reengajar ou encerrar</v>
      </c>
    </row>
    <row r="934" customFormat="false" ht="15" hidden="false" customHeight="false" outlineLevel="0" collapsed="false">
      <c r="A934" s="10" t="s">
        <v>1177</v>
      </c>
      <c r="B934" s="10" t="s">
        <v>96</v>
      </c>
      <c r="C934" s="10" t="s">
        <v>92</v>
      </c>
      <c r="D934" s="10" t="s">
        <v>160</v>
      </c>
      <c r="E934" s="10" t="s">
        <v>48</v>
      </c>
      <c r="F934" s="10"/>
      <c r="G934" s="10" t="s">
        <v>162</v>
      </c>
      <c r="H934" s="30" t="n">
        <v>42961</v>
      </c>
      <c r="I934" s="8" t="n">
        <f aca="false">INDEX(Parâmetros!$C$13:$C$19,MATCH(E934,Parâmetros!$A$13:$A$19,0))</f>
        <v>4821</v>
      </c>
      <c r="J934" s="26" t="n">
        <f aca="false">IF(H934="","",Parâmetros!$B$5-H934)</f>
        <v>139</v>
      </c>
      <c r="K934" s="10" t="n">
        <f aca="false">INDEX(Parâmetros!$D$13:$D$19,MATCH(E934,Parâmetros!$A$13:$A$19,0))</f>
        <v>43</v>
      </c>
      <c r="L934" s="10" t="n">
        <f aca="false">IF(G934="Prospecting",Parâmetros!$B$9,IF(J934&gt;Parâmetros!$B$6,0,INDEX(Parâmetros!$C$24:$C$26,MATCH(J934,Parâmetros!$A$24:$A$26,1))))</f>
        <v>0</v>
      </c>
      <c r="M934" s="31" t="n">
        <f aca="false">IF(G934="Prospecting",1,INDEX(Parâmetros!$C$32:$C$35,MATCH(J934,Parâmetros!$A$32:$A$35,1)))</f>
        <v>0.6</v>
      </c>
      <c r="N934" s="2" t="n">
        <f aca="false">ROUND((K934+L934)*M934,0)</f>
        <v>26</v>
      </c>
      <c r="O934" s="10" t="str">
        <f aca="false">IF(AND(G934="Engaging",J934&gt;Parâmetros!$B$6),"Sim","Não")</f>
        <v>Sim</v>
      </c>
      <c r="P934" s="32" t="str">
        <f aca="false">IF(O934="Sim","R",IF(N934&gt;=Parâmetros!$B$39,"A",IF(N934&gt;=Parâmetros!$B$40,"B",IF(N934&gt;=Parâmetros!$B$41,"C","D"))))</f>
        <v>R</v>
      </c>
      <c r="Q934" s="10" t="str">
        <f aca="false">IF(F934="","Completar cadastro","")</f>
        <v>Completar cadastro</v>
      </c>
      <c r="R934" s="10" t="str">
        <f aca="false">INDEX(Parâmetros!$D$39:$D$43,MATCH(P934,Parâmetros!$A$39:$A$43,0))</f>
        <v>Reciclar: requalificar, reengajar ou encerrar</v>
      </c>
    </row>
    <row r="935" customFormat="false" ht="15" hidden="false" customHeight="false" outlineLevel="0" collapsed="false">
      <c r="A935" s="10" t="s">
        <v>1178</v>
      </c>
      <c r="B935" s="10" t="s">
        <v>61</v>
      </c>
      <c r="C935" s="10" t="s">
        <v>58</v>
      </c>
      <c r="D935" s="10" t="s">
        <v>165</v>
      </c>
      <c r="E935" s="10" t="s">
        <v>48</v>
      </c>
      <c r="F935" s="10"/>
      <c r="G935" s="10" t="s">
        <v>162</v>
      </c>
      <c r="H935" s="30" t="n">
        <v>42961</v>
      </c>
      <c r="I935" s="8" t="n">
        <f aca="false">INDEX(Parâmetros!$C$13:$C$19,MATCH(E935,Parâmetros!$A$13:$A$19,0))</f>
        <v>4821</v>
      </c>
      <c r="J935" s="26" t="n">
        <f aca="false">IF(H935="","",Parâmetros!$B$5-H935)</f>
        <v>139</v>
      </c>
      <c r="K935" s="10" t="n">
        <f aca="false">INDEX(Parâmetros!$D$13:$D$19,MATCH(E935,Parâmetros!$A$13:$A$19,0))</f>
        <v>43</v>
      </c>
      <c r="L935" s="10" t="n">
        <f aca="false">IF(G935="Prospecting",Parâmetros!$B$9,IF(J935&gt;Parâmetros!$B$6,0,INDEX(Parâmetros!$C$24:$C$26,MATCH(J935,Parâmetros!$A$24:$A$26,1))))</f>
        <v>0</v>
      </c>
      <c r="M935" s="31" t="n">
        <f aca="false">IF(G935="Prospecting",1,INDEX(Parâmetros!$C$32:$C$35,MATCH(J935,Parâmetros!$A$32:$A$35,1)))</f>
        <v>0.6</v>
      </c>
      <c r="N935" s="2" t="n">
        <f aca="false">ROUND((K935+L935)*M935,0)</f>
        <v>26</v>
      </c>
      <c r="O935" s="10" t="str">
        <f aca="false">IF(AND(G935="Engaging",J935&gt;Parâmetros!$B$6),"Sim","Não")</f>
        <v>Sim</v>
      </c>
      <c r="P935" s="32" t="str">
        <f aca="false">IF(O935="Sim","R",IF(N935&gt;=Parâmetros!$B$39,"A",IF(N935&gt;=Parâmetros!$B$40,"B",IF(N935&gt;=Parâmetros!$B$41,"C","D"))))</f>
        <v>R</v>
      </c>
      <c r="Q935" s="10" t="str">
        <f aca="false">IF(F935="","Completar cadastro","")</f>
        <v>Completar cadastro</v>
      </c>
      <c r="R935" s="10" t="str">
        <f aca="false">INDEX(Parâmetros!$D$39:$D$43,MATCH(P935,Parâmetros!$A$39:$A$43,0))</f>
        <v>Reciclar: requalificar, reengajar ou encerrar</v>
      </c>
    </row>
    <row r="936" customFormat="false" ht="15" hidden="false" customHeight="false" outlineLevel="0" collapsed="false">
      <c r="A936" s="10" t="s">
        <v>1179</v>
      </c>
      <c r="B936" s="10" t="s">
        <v>66</v>
      </c>
      <c r="C936" s="10" t="s">
        <v>65</v>
      </c>
      <c r="D936" s="10" t="s">
        <v>160</v>
      </c>
      <c r="E936" s="10" t="s">
        <v>46</v>
      </c>
      <c r="F936" s="10"/>
      <c r="G936" s="10" t="s">
        <v>162</v>
      </c>
      <c r="H936" s="30" t="n">
        <v>42831</v>
      </c>
      <c r="I936" s="8" t="n">
        <f aca="false">INDEX(Parâmetros!$C$13:$C$19,MATCH(E936,Parâmetros!$A$13:$A$19,0))</f>
        <v>26768</v>
      </c>
      <c r="J936" s="26" t="n">
        <f aca="false">IF(H936="","",Parâmetros!$B$5-H936)</f>
        <v>269</v>
      </c>
      <c r="K936" s="10" t="n">
        <f aca="false">INDEX(Parâmetros!$D$13:$D$19,MATCH(E936,Parâmetros!$A$13:$A$19,0))</f>
        <v>60</v>
      </c>
      <c r="L936" s="10" t="n">
        <f aca="false">IF(G936="Prospecting",Parâmetros!$B$9,IF(J936&gt;Parâmetros!$B$6,0,INDEX(Parâmetros!$C$24:$C$26,MATCH(J936,Parâmetros!$A$24:$A$26,1))))</f>
        <v>0</v>
      </c>
      <c r="M936" s="31" t="n">
        <f aca="false">IF(G936="Prospecting",1,INDEX(Parâmetros!$C$32:$C$35,MATCH(J936,Parâmetros!$A$32:$A$35,1)))</f>
        <v>0.4</v>
      </c>
      <c r="N936" s="2" t="n">
        <f aca="false">ROUND((K936+L936)*M936,0)</f>
        <v>24</v>
      </c>
      <c r="O936" s="10" t="str">
        <f aca="false">IF(AND(G936="Engaging",J936&gt;Parâmetros!$B$6),"Sim","Não")</f>
        <v>Sim</v>
      </c>
      <c r="P936" s="32" t="str">
        <f aca="false">IF(O936="Sim","R",IF(N936&gt;=Parâmetros!$B$39,"A",IF(N936&gt;=Parâmetros!$B$40,"B",IF(N936&gt;=Parâmetros!$B$41,"C","D"))))</f>
        <v>R</v>
      </c>
      <c r="Q936" s="10" t="str">
        <f aca="false">IF(F936="","Completar cadastro","")</f>
        <v>Completar cadastro</v>
      </c>
      <c r="R936" s="10" t="str">
        <f aca="false">INDEX(Parâmetros!$D$39:$D$43,MATCH(P936,Parâmetros!$A$39:$A$43,0))</f>
        <v>Reciclar: requalificar, reengajar ou encerrar</v>
      </c>
    </row>
    <row r="937" customFormat="false" ht="15" hidden="false" customHeight="false" outlineLevel="0" collapsed="false">
      <c r="A937" s="10" t="s">
        <v>1180</v>
      </c>
      <c r="B937" s="10" t="s">
        <v>66</v>
      </c>
      <c r="C937" s="10" t="s">
        <v>65</v>
      </c>
      <c r="D937" s="10" t="s">
        <v>160</v>
      </c>
      <c r="E937" s="10" t="s">
        <v>46</v>
      </c>
      <c r="F937" s="10" t="s">
        <v>350</v>
      </c>
      <c r="G937" s="10" t="s">
        <v>162</v>
      </c>
      <c r="H937" s="30" t="n">
        <v>42843</v>
      </c>
      <c r="I937" s="8" t="n">
        <f aca="false">INDEX(Parâmetros!$C$13:$C$19,MATCH(E937,Parâmetros!$A$13:$A$19,0))</f>
        <v>26768</v>
      </c>
      <c r="J937" s="26" t="n">
        <f aca="false">IF(H937="","",Parâmetros!$B$5-H937)</f>
        <v>257</v>
      </c>
      <c r="K937" s="10" t="n">
        <f aca="false">INDEX(Parâmetros!$D$13:$D$19,MATCH(E937,Parâmetros!$A$13:$A$19,0))</f>
        <v>60</v>
      </c>
      <c r="L937" s="10" t="n">
        <f aca="false">IF(G937="Prospecting",Parâmetros!$B$9,IF(J937&gt;Parâmetros!$B$6,0,INDEX(Parâmetros!$C$24:$C$26,MATCH(J937,Parâmetros!$A$24:$A$26,1))))</f>
        <v>0</v>
      </c>
      <c r="M937" s="31" t="n">
        <f aca="false">IF(G937="Prospecting",1,INDEX(Parâmetros!$C$32:$C$35,MATCH(J937,Parâmetros!$A$32:$A$35,1)))</f>
        <v>0.4</v>
      </c>
      <c r="N937" s="2" t="n">
        <f aca="false">ROUND((K937+L937)*M937,0)</f>
        <v>24</v>
      </c>
      <c r="O937" s="10" t="str">
        <f aca="false">IF(AND(G937="Engaging",J937&gt;Parâmetros!$B$6),"Sim","Não")</f>
        <v>Sim</v>
      </c>
      <c r="P937" s="32" t="str">
        <f aca="false">IF(O937="Sim","R",IF(N937&gt;=Parâmetros!$B$39,"A",IF(N937&gt;=Parâmetros!$B$40,"B",IF(N937&gt;=Parâmetros!$B$41,"C","D"))))</f>
        <v>R</v>
      </c>
      <c r="Q937" s="10" t="str">
        <f aca="false">IF(F937="","Completar cadastro","")</f>
        <v/>
      </c>
      <c r="R937" s="10" t="str">
        <f aca="false">INDEX(Parâmetros!$D$39:$D$43,MATCH(P937,Parâmetros!$A$39:$A$43,0))</f>
        <v>Reciclar: requalificar, reengajar ou encerrar</v>
      </c>
    </row>
    <row r="938" customFormat="false" ht="15" hidden="false" customHeight="false" outlineLevel="0" collapsed="false">
      <c r="A938" s="10" t="s">
        <v>1181</v>
      </c>
      <c r="B938" s="10" t="s">
        <v>68</v>
      </c>
      <c r="C938" s="10" t="s">
        <v>65</v>
      </c>
      <c r="D938" s="10" t="s">
        <v>160</v>
      </c>
      <c r="E938" s="10" t="s">
        <v>46</v>
      </c>
      <c r="F938" s="10"/>
      <c r="G938" s="10" t="s">
        <v>162</v>
      </c>
      <c r="H938" s="30" t="n">
        <v>42864</v>
      </c>
      <c r="I938" s="8" t="n">
        <f aca="false">INDEX(Parâmetros!$C$13:$C$19,MATCH(E938,Parâmetros!$A$13:$A$19,0))</f>
        <v>26768</v>
      </c>
      <c r="J938" s="26" t="n">
        <f aca="false">IF(H938="","",Parâmetros!$B$5-H938)</f>
        <v>236</v>
      </c>
      <c r="K938" s="10" t="n">
        <f aca="false">INDEX(Parâmetros!$D$13:$D$19,MATCH(E938,Parâmetros!$A$13:$A$19,0))</f>
        <v>60</v>
      </c>
      <c r="L938" s="10" t="n">
        <f aca="false">IF(G938="Prospecting",Parâmetros!$B$9,IF(J938&gt;Parâmetros!$B$6,0,INDEX(Parâmetros!$C$24:$C$26,MATCH(J938,Parâmetros!$A$24:$A$26,1))))</f>
        <v>0</v>
      </c>
      <c r="M938" s="31" t="n">
        <f aca="false">IF(G938="Prospecting",1,INDEX(Parâmetros!$C$32:$C$35,MATCH(J938,Parâmetros!$A$32:$A$35,1)))</f>
        <v>0.4</v>
      </c>
      <c r="N938" s="2" t="n">
        <f aca="false">ROUND((K938+L938)*M938,0)</f>
        <v>24</v>
      </c>
      <c r="O938" s="10" t="str">
        <f aca="false">IF(AND(G938="Engaging",J938&gt;Parâmetros!$B$6),"Sim","Não")</f>
        <v>Sim</v>
      </c>
      <c r="P938" s="32" t="str">
        <f aca="false">IF(O938="Sim","R",IF(N938&gt;=Parâmetros!$B$39,"A",IF(N938&gt;=Parâmetros!$B$40,"B",IF(N938&gt;=Parâmetros!$B$41,"C","D"))))</f>
        <v>R</v>
      </c>
      <c r="Q938" s="10" t="str">
        <f aca="false">IF(F938="","Completar cadastro","")</f>
        <v>Completar cadastro</v>
      </c>
      <c r="R938" s="10" t="str">
        <f aca="false">INDEX(Parâmetros!$D$39:$D$43,MATCH(P938,Parâmetros!$A$39:$A$43,0))</f>
        <v>Reciclar: requalificar, reengajar ou encerrar</v>
      </c>
    </row>
    <row r="939" customFormat="false" ht="15" hidden="false" customHeight="false" outlineLevel="0" collapsed="false">
      <c r="A939" s="10" t="s">
        <v>1182</v>
      </c>
      <c r="B939" s="10" t="s">
        <v>68</v>
      </c>
      <c r="C939" s="10" t="s">
        <v>65</v>
      </c>
      <c r="D939" s="10" t="s">
        <v>160</v>
      </c>
      <c r="E939" s="10" t="s">
        <v>46</v>
      </c>
      <c r="F939" s="10"/>
      <c r="G939" s="10" t="s">
        <v>162</v>
      </c>
      <c r="H939" s="30" t="n">
        <v>42873</v>
      </c>
      <c r="I939" s="8" t="n">
        <f aca="false">INDEX(Parâmetros!$C$13:$C$19,MATCH(E939,Parâmetros!$A$13:$A$19,0))</f>
        <v>26768</v>
      </c>
      <c r="J939" s="26" t="n">
        <f aca="false">IF(H939="","",Parâmetros!$B$5-H939)</f>
        <v>227</v>
      </c>
      <c r="K939" s="10" t="n">
        <f aca="false">INDEX(Parâmetros!$D$13:$D$19,MATCH(E939,Parâmetros!$A$13:$A$19,0))</f>
        <v>60</v>
      </c>
      <c r="L939" s="10" t="n">
        <f aca="false">IF(G939="Prospecting",Parâmetros!$B$9,IF(J939&gt;Parâmetros!$B$6,0,INDEX(Parâmetros!$C$24:$C$26,MATCH(J939,Parâmetros!$A$24:$A$26,1))))</f>
        <v>0</v>
      </c>
      <c r="M939" s="31" t="n">
        <f aca="false">IF(G939="Prospecting",1,INDEX(Parâmetros!$C$32:$C$35,MATCH(J939,Parâmetros!$A$32:$A$35,1)))</f>
        <v>0.4</v>
      </c>
      <c r="N939" s="2" t="n">
        <f aca="false">ROUND((K939+L939)*M939,0)</f>
        <v>24</v>
      </c>
      <c r="O939" s="10" t="str">
        <f aca="false">IF(AND(G939="Engaging",J939&gt;Parâmetros!$B$6),"Sim","Não")</f>
        <v>Sim</v>
      </c>
      <c r="P939" s="32" t="str">
        <f aca="false">IF(O939="Sim","R",IF(N939&gt;=Parâmetros!$B$39,"A",IF(N939&gt;=Parâmetros!$B$40,"B",IF(N939&gt;=Parâmetros!$B$41,"C","D"))))</f>
        <v>R</v>
      </c>
      <c r="Q939" s="10" t="str">
        <f aca="false">IF(F939="","Completar cadastro","")</f>
        <v>Completar cadastro</v>
      </c>
      <c r="R939" s="10" t="str">
        <f aca="false">INDEX(Parâmetros!$D$39:$D$43,MATCH(P939,Parâmetros!$A$39:$A$43,0))</f>
        <v>Reciclar: requalificar, reengajar ou encerrar</v>
      </c>
    </row>
    <row r="940" customFormat="false" ht="15" hidden="false" customHeight="false" outlineLevel="0" collapsed="false">
      <c r="A940" s="10" t="s">
        <v>1183</v>
      </c>
      <c r="B940" s="10" t="s">
        <v>66</v>
      </c>
      <c r="C940" s="10" t="s">
        <v>65</v>
      </c>
      <c r="D940" s="10" t="s">
        <v>160</v>
      </c>
      <c r="E940" s="10" t="s">
        <v>46</v>
      </c>
      <c r="F940" s="10" t="s">
        <v>170</v>
      </c>
      <c r="G940" s="10" t="s">
        <v>162</v>
      </c>
      <c r="H940" s="30" t="n">
        <v>42896</v>
      </c>
      <c r="I940" s="8" t="n">
        <f aca="false">INDEX(Parâmetros!$C$13:$C$19,MATCH(E940,Parâmetros!$A$13:$A$19,0))</f>
        <v>26768</v>
      </c>
      <c r="J940" s="26" t="n">
        <f aca="false">IF(H940="","",Parâmetros!$B$5-H940)</f>
        <v>204</v>
      </c>
      <c r="K940" s="10" t="n">
        <f aca="false">INDEX(Parâmetros!$D$13:$D$19,MATCH(E940,Parâmetros!$A$13:$A$19,0))</f>
        <v>60</v>
      </c>
      <c r="L940" s="10" t="n">
        <f aca="false">IF(G940="Prospecting",Parâmetros!$B$9,IF(J940&gt;Parâmetros!$B$6,0,INDEX(Parâmetros!$C$24:$C$26,MATCH(J940,Parâmetros!$A$24:$A$26,1))))</f>
        <v>0</v>
      </c>
      <c r="M940" s="31" t="n">
        <f aca="false">IF(G940="Prospecting",1,INDEX(Parâmetros!$C$32:$C$35,MATCH(J940,Parâmetros!$A$32:$A$35,1)))</f>
        <v>0.4</v>
      </c>
      <c r="N940" s="2" t="n">
        <f aca="false">ROUND((K940+L940)*M940,0)</f>
        <v>24</v>
      </c>
      <c r="O940" s="10" t="str">
        <f aca="false">IF(AND(G940="Engaging",J940&gt;Parâmetros!$B$6),"Sim","Não")</f>
        <v>Sim</v>
      </c>
      <c r="P940" s="32" t="str">
        <f aca="false">IF(O940="Sim","R",IF(N940&gt;=Parâmetros!$B$39,"A",IF(N940&gt;=Parâmetros!$B$40,"B",IF(N940&gt;=Parâmetros!$B$41,"C","D"))))</f>
        <v>R</v>
      </c>
      <c r="Q940" s="10" t="str">
        <f aca="false">IF(F940="","Completar cadastro","")</f>
        <v/>
      </c>
      <c r="R940" s="10" t="str">
        <f aca="false">INDEX(Parâmetros!$D$39:$D$43,MATCH(P940,Parâmetros!$A$39:$A$43,0))</f>
        <v>Reciclar: requalificar, reengajar ou encerrar</v>
      </c>
    </row>
    <row r="941" customFormat="false" ht="15" hidden="false" customHeight="false" outlineLevel="0" collapsed="false">
      <c r="A941" s="10" t="s">
        <v>1184</v>
      </c>
      <c r="B941" s="10" t="s">
        <v>68</v>
      </c>
      <c r="C941" s="10" t="s">
        <v>65</v>
      </c>
      <c r="D941" s="10" t="s">
        <v>160</v>
      </c>
      <c r="E941" s="10" t="s">
        <v>46</v>
      </c>
      <c r="F941" s="10" t="s">
        <v>193</v>
      </c>
      <c r="G941" s="10" t="s">
        <v>162</v>
      </c>
      <c r="H941" s="30" t="n">
        <v>42900</v>
      </c>
      <c r="I941" s="8" t="n">
        <f aca="false">INDEX(Parâmetros!$C$13:$C$19,MATCH(E941,Parâmetros!$A$13:$A$19,0))</f>
        <v>26768</v>
      </c>
      <c r="J941" s="26" t="n">
        <f aca="false">IF(H941="","",Parâmetros!$B$5-H941)</f>
        <v>200</v>
      </c>
      <c r="K941" s="10" t="n">
        <f aca="false">INDEX(Parâmetros!$D$13:$D$19,MATCH(E941,Parâmetros!$A$13:$A$19,0))</f>
        <v>60</v>
      </c>
      <c r="L941" s="10" t="n">
        <f aca="false">IF(G941="Prospecting",Parâmetros!$B$9,IF(J941&gt;Parâmetros!$B$6,0,INDEX(Parâmetros!$C$24:$C$26,MATCH(J941,Parâmetros!$A$24:$A$26,1))))</f>
        <v>0</v>
      </c>
      <c r="M941" s="31" t="n">
        <f aca="false">IF(G941="Prospecting",1,INDEX(Parâmetros!$C$32:$C$35,MATCH(J941,Parâmetros!$A$32:$A$35,1)))</f>
        <v>0.4</v>
      </c>
      <c r="N941" s="2" t="n">
        <f aca="false">ROUND((K941+L941)*M941,0)</f>
        <v>24</v>
      </c>
      <c r="O941" s="10" t="str">
        <f aca="false">IF(AND(G941="Engaging",J941&gt;Parâmetros!$B$6),"Sim","Não")</f>
        <v>Sim</v>
      </c>
      <c r="P941" s="32" t="str">
        <f aca="false">IF(O941="Sim","R",IF(N941&gt;=Parâmetros!$B$39,"A",IF(N941&gt;=Parâmetros!$B$40,"B",IF(N941&gt;=Parâmetros!$B$41,"C","D"))))</f>
        <v>R</v>
      </c>
      <c r="Q941" s="10" t="str">
        <f aca="false">IF(F941="","Completar cadastro","")</f>
        <v/>
      </c>
      <c r="R941" s="10" t="str">
        <f aca="false">INDEX(Parâmetros!$D$39:$D$43,MATCH(P941,Parâmetros!$A$39:$A$43,0))</f>
        <v>Reciclar: requalificar, reengajar ou encerrar</v>
      </c>
    </row>
    <row r="942" customFormat="false" ht="15" hidden="false" customHeight="false" outlineLevel="0" collapsed="false">
      <c r="A942" s="10" t="s">
        <v>1185</v>
      </c>
      <c r="B942" s="10" t="s">
        <v>95</v>
      </c>
      <c r="C942" s="10" t="s">
        <v>92</v>
      </c>
      <c r="D942" s="10" t="s">
        <v>160</v>
      </c>
      <c r="E942" s="10" t="s">
        <v>49</v>
      </c>
      <c r="F942" s="10"/>
      <c r="G942" s="10" t="s">
        <v>162</v>
      </c>
      <c r="H942" s="30" t="n">
        <v>42920</v>
      </c>
      <c r="I942" s="8" t="n">
        <f aca="false">INDEX(Parâmetros!$C$13:$C$19,MATCH(E942,Parâmetros!$A$13:$A$19,0))</f>
        <v>3393</v>
      </c>
      <c r="J942" s="26" t="n">
        <f aca="false">IF(H942="","",Parâmetros!$B$5-H942)</f>
        <v>180</v>
      </c>
      <c r="K942" s="10" t="n">
        <f aca="false">INDEX(Parâmetros!$D$13:$D$19,MATCH(E942,Parâmetros!$A$13:$A$19,0))</f>
        <v>40</v>
      </c>
      <c r="L942" s="10" t="n">
        <f aca="false">IF(G942="Prospecting",Parâmetros!$B$9,IF(J942&gt;Parâmetros!$B$6,0,INDEX(Parâmetros!$C$24:$C$26,MATCH(J942,Parâmetros!$A$24:$A$26,1))))</f>
        <v>0</v>
      </c>
      <c r="M942" s="31" t="n">
        <f aca="false">IF(G942="Prospecting",1,INDEX(Parâmetros!$C$32:$C$35,MATCH(J942,Parâmetros!$A$32:$A$35,1)))</f>
        <v>0.6</v>
      </c>
      <c r="N942" s="2" t="n">
        <f aca="false">ROUND((K942+L942)*M942,0)</f>
        <v>24</v>
      </c>
      <c r="O942" s="10" t="str">
        <f aca="false">IF(AND(G942="Engaging",J942&gt;Parâmetros!$B$6),"Sim","Não")</f>
        <v>Sim</v>
      </c>
      <c r="P942" s="32" t="str">
        <f aca="false">IF(O942="Sim","R",IF(N942&gt;=Parâmetros!$B$39,"A",IF(N942&gt;=Parâmetros!$B$40,"B",IF(N942&gt;=Parâmetros!$B$41,"C","D"))))</f>
        <v>R</v>
      </c>
      <c r="Q942" s="10" t="str">
        <f aca="false">IF(F942="","Completar cadastro","")</f>
        <v>Completar cadastro</v>
      </c>
      <c r="R942" s="10" t="str">
        <f aca="false">INDEX(Parâmetros!$D$39:$D$43,MATCH(P942,Parâmetros!$A$39:$A$43,0))</f>
        <v>Reciclar: requalificar, reengajar ou encerrar</v>
      </c>
    </row>
    <row r="943" customFormat="false" ht="15" hidden="false" customHeight="false" outlineLevel="0" collapsed="false">
      <c r="A943" s="10" t="s">
        <v>1186</v>
      </c>
      <c r="B943" s="10" t="s">
        <v>61</v>
      </c>
      <c r="C943" s="10" t="s">
        <v>58</v>
      </c>
      <c r="D943" s="10" t="s">
        <v>165</v>
      </c>
      <c r="E943" s="10" t="s">
        <v>49</v>
      </c>
      <c r="F943" s="10" t="s">
        <v>637</v>
      </c>
      <c r="G943" s="10" t="s">
        <v>162</v>
      </c>
      <c r="H943" s="30" t="n">
        <v>42921</v>
      </c>
      <c r="I943" s="8" t="n">
        <f aca="false">INDEX(Parâmetros!$C$13:$C$19,MATCH(E943,Parâmetros!$A$13:$A$19,0))</f>
        <v>3393</v>
      </c>
      <c r="J943" s="26" t="n">
        <f aca="false">IF(H943="","",Parâmetros!$B$5-H943)</f>
        <v>179</v>
      </c>
      <c r="K943" s="10" t="n">
        <f aca="false">INDEX(Parâmetros!$D$13:$D$19,MATCH(E943,Parâmetros!$A$13:$A$19,0))</f>
        <v>40</v>
      </c>
      <c r="L943" s="10" t="n">
        <f aca="false">IF(G943="Prospecting",Parâmetros!$B$9,IF(J943&gt;Parâmetros!$B$6,0,INDEX(Parâmetros!$C$24:$C$26,MATCH(J943,Parâmetros!$A$24:$A$26,1))))</f>
        <v>0</v>
      </c>
      <c r="M943" s="31" t="n">
        <f aca="false">IF(G943="Prospecting",1,INDEX(Parâmetros!$C$32:$C$35,MATCH(J943,Parâmetros!$A$32:$A$35,1)))</f>
        <v>0.6</v>
      </c>
      <c r="N943" s="2" t="n">
        <f aca="false">ROUND((K943+L943)*M943,0)</f>
        <v>24</v>
      </c>
      <c r="O943" s="10" t="str">
        <f aca="false">IF(AND(G943="Engaging",J943&gt;Parâmetros!$B$6),"Sim","Não")</f>
        <v>Sim</v>
      </c>
      <c r="P943" s="32" t="str">
        <f aca="false">IF(O943="Sim","R",IF(N943&gt;=Parâmetros!$B$39,"A",IF(N943&gt;=Parâmetros!$B$40,"B",IF(N943&gt;=Parâmetros!$B$41,"C","D"))))</f>
        <v>R</v>
      </c>
      <c r="Q943" s="10" t="str">
        <f aca="false">IF(F943="","Completar cadastro","")</f>
        <v/>
      </c>
      <c r="R943" s="10" t="str">
        <f aca="false">INDEX(Parâmetros!$D$39:$D$43,MATCH(P943,Parâmetros!$A$39:$A$43,0))</f>
        <v>Reciclar: requalificar, reengajar ou encerrar</v>
      </c>
    </row>
    <row r="944" customFormat="false" ht="15" hidden="false" customHeight="false" outlineLevel="0" collapsed="false">
      <c r="A944" s="10" t="s">
        <v>1187</v>
      </c>
      <c r="B944" s="10" t="s">
        <v>87</v>
      </c>
      <c r="C944" s="10" t="s">
        <v>85</v>
      </c>
      <c r="D944" s="10" t="s">
        <v>165</v>
      </c>
      <c r="E944" s="10" t="s">
        <v>49</v>
      </c>
      <c r="F944" s="10"/>
      <c r="G944" s="10" t="s">
        <v>162</v>
      </c>
      <c r="H944" s="30" t="n">
        <v>42922</v>
      </c>
      <c r="I944" s="8" t="n">
        <f aca="false">INDEX(Parâmetros!$C$13:$C$19,MATCH(E944,Parâmetros!$A$13:$A$19,0))</f>
        <v>3393</v>
      </c>
      <c r="J944" s="26" t="n">
        <f aca="false">IF(H944="","",Parâmetros!$B$5-H944)</f>
        <v>178</v>
      </c>
      <c r="K944" s="10" t="n">
        <f aca="false">INDEX(Parâmetros!$D$13:$D$19,MATCH(E944,Parâmetros!$A$13:$A$19,0))</f>
        <v>40</v>
      </c>
      <c r="L944" s="10" t="n">
        <f aca="false">IF(G944="Prospecting",Parâmetros!$B$9,IF(J944&gt;Parâmetros!$B$6,0,INDEX(Parâmetros!$C$24:$C$26,MATCH(J944,Parâmetros!$A$24:$A$26,1))))</f>
        <v>0</v>
      </c>
      <c r="M944" s="31" t="n">
        <f aca="false">IF(G944="Prospecting",1,INDEX(Parâmetros!$C$32:$C$35,MATCH(J944,Parâmetros!$A$32:$A$35,1)))</f>
        <v>0.6</v>
      </c>
      <c r="N944" s="2" t="n">
        <f aca="false">ROUND((K944+L944)*M944,0)</f>
        <v>24</v>
      </c>
      <c r="O944" s="10" t="str">
        <f aca="false">IF(AND(G944="Engaging",J944&gt;Parâmetros!$B$6),"Sim","Não")</f>
        <v>Sim</v>
      </c>
      <c r="P944" s="32" t="str">
        <f aca="false">IF(O944="Sim","R",IF(N944&gt;=Parâmetros!$B$39,"A",IF(N944&gt;=Parâmetros!$B$40,"B",IF(N944&gt;=Parâmetros!$B$41,"C","D"))))</f>
        <v>R</v>
      </c>
      <c r="Q944" s="10" t="str">
        <f aca="false">IF(F944="","Completar cadastro","")</f>
        <v>Completar cadastro</v>
      </c>
      <c r="R944" s="10" t="str">
        <f aca="false">INDEX(Parâmetros!$D$39:$D$43,MATCH(P944,Parâmetros!$A$39:$A$43,0))</f>
        <v>Reciclar: requalificar, reengajar ou encerrar</v>
      </c>
    </row>
    <row r="945" customFormat="false" ht="15" hidden="false" customHeight="false" outlineLevel="0" collapsed="false">
      <c r="A945" s="10" t="s">
        <v>1188</v>
      </c>
      <c r="B945" s="10" t="s">
        <v>69</v>
      </c>
      <c r="C945" s="10" t="s">
        <v>65</v>
      </c>
      <c r="D945" s="10" t="s">
        <v>160</v>
      </c>
      <c r="E945" s="10" t="s">
        <v>49</v>
      </c>
      <c r="F945" s="10"/>
      <c r="G945" s="10" t="s">
        <v>162</v>
      </c>
      <c r="H945" s="30" t="n">
        <v>42925</v>
      </c>
      <c r="I945" s="8" t="n">
        <f aca="false">INDEX(Parâmetros!$C$13:$C$19,MATCH(E945,Parâmetros!$A$13:$A$19,0))</f>
        <v>3393</v>
      </c>
      <c r="J945" s="26" t="n">
        <f aca="false">IF(H945="","",Parâmetros!$B$5-H945)</f>
        <v>175</v>
      </c>
      <c r="K945" s="10" t="n">
        <f aca="false">INDEX(Parâmetros!$D$13:$D$19,MATCH(E945,Parâmetros!$A$13:$A$19,0))</f>
        <v>40</v>
      </c>
      <c r="L945" s="10" t="n">
        <f aca="false">IF(G945="Prospecting",Parâmetros!$B$9,IF(J945&gt;Parâmetros!$B$6,0,INDEX(Parâmetros!$C$24:$C$26,MATCH(J945,Parâmetros!$A$24:$A$26,1))))</f>
        <v>0</v>
      </c>
      <c r="M945" s="31" t="n">
        <f aca="false">IF(G945="Prospecting",1,INDEX(Parâmetros!$C$32:$C$35,MATCH(J945,Parâmetros!$A$32:$A$35,1)))</f>
        <v>0.6</v>
      </c>
      <c r="N945" s="2" t="n">
        <f aca="false">ROUND((K945+L945)*M945,0)</f>
        <v>24</v>
      </c>
      <c r="O945" s="10" t="str">
        <f aca="false">IF(AND(G945="Engaging",J945&gt;Parâmetros!$B$6),"Sim","Não")</f>
        <v>Sim</v>
      </c>
      <c r="P945" s="32" t="str">
        <f aca="false">IF(O945="Sim","R",IF(N945&gt;=Parâmetros!$B$39,"A",IF(N945&gt;=Parâmetros!$B$40,"B",IF(N945&gt;=Parâmetros!$B$41,"C","D"))))</f>
        <v>R</v>
      </c>
      <c r="Q945" s="10" t="str">
        <f aca="false">IF(F945="","Completar cadastro","")</f>
        <v>Completar cadastro</v>
      </c>
      <c r="R945" s="10" t="str">
        <f aca="false">INDEX(Parâmetros!$D$39:$D$43,MATCH(P945,Parâmetros!$A$39:$A$43,0))</f>
        <v>Reciclar: requalificar, reengajar ou encerrar</v>
      </c>
    </row>
    <row r="946" customFormat="false" ht="15" hidden="false" customHeight="false" outlineLevel="0" collapsed="false">
      <c r="A946" s="10" t="s">
        <v>1189</v>
      </c>
      <c r="B946" s="10" t="s">
        <v>86</v>
      </c>
      <c r="C946" s="10" t="s">
        <v>85</v>
      </c>
      <c r="D946" s="10" t="s">
        <v>165</v>
      </c>
      <c r="E946" s="10" t="s">
        <v>49</v>
      </c>
      <c r="F946" s="10"/>
      <c r="G946" s="10" t="s">
        <v>162</v>
      </c>
      <c r="H946" s="30" t="n">
        <v>42933</v>
      </c>
      <c r="I946" s="8" t="n">
        <f aca="false">INDEX(Parâmetros!$C$13:$C$19,MATCH(E946,Parâmetros!$A$13:$A$19,0))</f>
        <v>3393</v>
      </c>
      <c r="J946" s="26" t="n">
        <f aca="false">IF(H946="","",Parâmetros!$B$5-H946)</f>
        <v>167</v>
      </c>
      <c r="K946" s="10" t="n">
        <f aca="false">INDEX(Parâmetros!$D$13:$D$19,MATCH(E946,Parâmetros!$A$13:$A$19,0))</f>
        <v>40</v>
      </c>
      <c r="L946" s="10" t="n">
        <f aca="false">IF(G946="Prospecting",Parâmetros!$B$9,IF(J946&gt;Parâmetros!$B$6,0,INDEX(Parâmetros!$C$24:$C$26,MATCH(J946,Parâmetros!$A$24:$A$26,1))))</f>
        <v>0</v>
      </c>
      <c r="M946" s="31" t="n">
        <f aca="false">IF(G946="Prospecting",1,INDEX(Parâmetros!$C$32:$C$35,MATCH(J946,Parâmetros!$A$32:$A$35,1)))</f>
        <v>0.6</v>
      </c>
      <c r="N946" s="2" t="n">
        <f aca="false">ROUND((K946+L946)*M946,0)</f>
        <v>24</v>
      </c>
      <c r="O946" s="10" t="str">
        <f aca="false">IF(AND(G946="Engaging",J946&gt;Parâmetros!$B$6),"Sim","Não")</f>
        <v>Sim</v>
      </c>
      <c r="P946" s="32" t="str">
        <f aca="false">IF(O946="Sim","R",IF(N946&gt;=Parâmetros!$B$39,"A",IF(N946&gt;=Parâmetros!$B$40,"B",IF(N946&gt;=Parâmetros!$B$41,"C","D"))))</f>
        <v>R</v>
      </c>
      <c r="Q946" s="10" t="str">
        <f aca="false">IF(F946="","Completar cadastro","")</f>
        <v>Completar cadastro</v>
      </c>
      <c r="R946" s="10" t="str">
        <f aca="false">INDEX(Parâmetros!$D$39:$D$43,MATCH(P946,Parâmetros!$A$39:$A$43,0))</f>
        <v>Reciclar: requalificar, reengajar ou encerrar</v>
      </c>
    </row>
    <row r="947" customFormat="false" ht="15" hidden="false" customHeight="false" outlineLevel="0" collapsed="false">
      <c r="A947" s="10" t="s">
        <v>1190</v>
      </c>
      <c r="B947" s="10" t="s">
        <v>66</v>
      </c>
      <c r="C947" s="10" t="s">
        <v>65</v>
      </c>
      <c r="D947" s="10" t="s">
        <v>160</v>
      </c>
      <c r="E947" s="10" t="s">
        <v>49</v>
      </c>
      <c r="F947" s="10"/>
      <c r="G947" s="10" t="s">
        <v>162</v>
      </c>
      <c r="H947" s="30" t="n">
        <v>42933</v>
      </c>
      <c r="I947" s="8" t="n">
        <f aca="false">INDEX(Parâmetros!$C$13:$C$19,MATCH(E947,Parâmetros!$A$13:$A$19,0))</f>
        <v>3393</v>
      </c>
      <c r="J947" s="26" t="n">
        <f aca="false">IF(H947="","",Parâmetros!$B$5-H947)</f>
        <v>167</v>
      </c>
      <c r="K947" s="10" t="n">
        <f aca="false">INDEX(Parâmetros!$D$13:$D$19,MATCH(E947,Parâmetros!$A$13:$A$19,0))</f>
        <v>40</v>
      </c>
      <c r="L947" s="10" t="n">
        <f aca="false">IF(G947="Prospecting",Parâmetros!$B$9,IF(J947&gt;Parâmetros!$B$6,0,INDEX(Parâmetros!$C$24:$C$26,MATCH(J947,Parâmetros!$A$24:$A$26,1))))</f>
        <v>0</v>
      </c>
      <c r="M947" s="31" t="n">
        <f aca="false">IF(G947="Prospecting",1,INDEX(Parâmetros!$C$32:$C$35,MATCH(J947,Parâmetros!$A$32:$A$35,1)))</f>
        <v>0.6</v>
      </c>
      <c r="N947" s="2" t="n">
        <f aca="false">ROUND((K947+L947)*M947,0)</f>
        <v>24</v>
      </c>
      <c r="O947" s="10" t="str">
        <f aca="false">IF(AND(G947="Engaging",J947&gt;Parâmetros!$B$6),"Sim","Não")</f>
        <v>Sim</v>
      </c>
      <c r="P947" s="32" t="str">
        <f aca="false">IF(O947="Sim","R",IF(N947&gt;=Parâmetros!$B$39,"A",IF(N947&gt;=Parâmetros!$B$40,"B",IF(N947&gt;=Parâmetros!$B$41,"C","D"))))</f>
        <v>R</v>
      </c>
      <c r="Q947" s="10" t="str">
        <f aca="false">IF(F947="","Completar cadastro","")</f>
        <v>Completar cadastro</v>
      </c>
      <c r="R947" s="10" t="str">
        <f aca="false">INDEX(Parâmetros!$D$39:$D$43,MATCH(P947,Parâmetros!$A$39:$A$43,0))</f>
        <v>Reciclar: requalificar, reengajar ou encerrar</v>
      </c>
    </row>
    <row r="948" customFormat="false" ht="15" hidden="false" customHeight="false" outlineLevel="0" collapsed="false">
      <c r="A948" s="10" t="s">
        <v>1191</v>
      </c>
      <c r="B948" s="10" t="s">
        <v>93</v>
      </c>
      <c r="C948" s="10" t="s">
        <v>92</v>
      </c>
      <c r="D948" s="10" t="s">
        <v>160</v>
      </c>
      <c r="E948" s="10" t="s">
        <v>49</v>
      </c>
      <c r="F948" s="10"/>
      <c r="G948" s="10" t="s">
        <v>162</v>
      </c>
      <c r="H948" s="30" t="n">
        <v>42934</v>
      </c>
      <c r="I948" s="8" t="n">
        <f aca="false">INDEX(Parâmetros!$C$13:$C$19,MATCH(E948,Parâmetros!$A$13:$A$19,0))</f>
        <v>3393</v>
      </c>
      <c r="J948" s="26" t="n">
        <f aca="false">IF(H948="","",Parâmetros!$B$5-H948)</f>
        <v>166</v>
      </c>
      <c r="K948" s="10" t="n">
        <f aca="false">INDEX(Parâmetros!$D$13:$D$19,MATCH(E948,Parâmetros!$A$13:$A$19,0))</f>
        <v>40</v>
      </c>
      <c r="L948" s="10" t="n">
        <f aca="false">IF(G948="Prospecting",Parâmetros!$B$9,IF(J948&gt;Parâmetros!$B$6,0,INDEX(Parâmetros!$C$24:$C$26,MATCH(J948,Parâmetros!$A$24:$A$26,1))))</f>
        <v>0</v>
      </c>
      <c r="M948" s="31" t="n">
        <f aca="false">IF(G948="Prospecting",1,INDEX(Parâmetros!$C$32:$C$35,MATCH(J948,Parâmetros!$A$32:$A$35,1)))</f>
        <v>0.6</v>
      </c>
      <c r="N948" s="2" t="n">
        <f aca="false">ROUND((K948+L948)*M948,0)</f>
        <v>24</v>
      </c>
      <c r="O948" s="10" t="str">
        <f aca="false">IF(AND(G948="Engaging",J948&gt;Parâmetros!$B$6),"Sim","Não")</f>
        <v>Sim</v>
      </c>
      <c r="P948" s="32" t="str">
        <f aca="false">IF(O948="Sim","R",IF(N948&gt;=Parâmetros!$B$39,"A",IF(N948&gt;=Parâmetros!$B$40,"B",IF(N948&gt;=Parâmetros!$B$41,"C","D"))))</f>
        <v>R</v>
      </c>
      <c r="Q948" s="10" t="str">
        <f aca="false">IF(F948="","Completar cadastro","")</f>
        <v>Completar cadastro</v>
      </c>
      <c r="R948" s="10" t="str">
        <f aca="false">INDEX(Parâmetros!$D$39:$D$43,MATCH(P948,Parâmetros!$A$39:$A$43,0))</f>
        <v>Reciclar: requalificar, reengajar ou encerrar</v>
      </c>
    </row>
    <row r="949" customFormat="false" ht="15" hidden="false" customHeight="false" outlineLevel="0" collapsed="false">
      <c r="A949" s="10" t="s">
        <v>1192</v>
      </c>
      <c r="B949" s="10" t="s">
        <v>81</v>
      </c>
      <c r="C949" s="10" t="s">
        <v>78</v>
      </c>
      <c r="D949" s="10" t="s">
        <v>196</v>
      </c>
      <c r="E949" s="10" t="s">
        <v>49</v>
      </c>
      <c r="F949" s="10"/>
      <c r="G949" s="10" t="s">
        <v>162</v>
      </c>
      <c r="H949" s="30" t="n">
        <v>42935</v>
      </c>
      <c r="I949" s="8" t="n">
        <f aca="false">INDEX(Parâmetros!$C$13:$C$19,MATCH(E949,Parâmetros!$A$13:$A$19,0))</f>
        <v>3393</v>
      </c>
      <c r="J949" s="26" t="n">
        <f aca="false">IF(H949="","",Parâmetros!$B$5-H949)</f>
        <v>165</v>
      </c>
      <c r="K949" s="10" t="n">
        <f aca="false">INDEX(Parâmetros!$D$13:$D$19,MATCH(E949,Parâmetros!$A$13:$A$19,0))</f>
        <v>40</v>
      </c>
      <c r="L949" s="10" t="n">
        <f aca="false">IF(G949="Prospecting",Parâmetros!$B$9,IF(J949&gt;Parâmetros!$B$6,0,INDEX(Parâmetros!$C$24:$C$26,MATCH(J949,Parâmetros!$A$24:$A$26,1))))</f>
        <v>0</v>
      </c>
      <c r="M949" s="31" t="n">
        <f aca="false">IF(G949="Prospecting",1,INDEX(Parâmetros!$C$32:$C$35,MATCH(J949,Parâmetros!$A$32:$A$35,1)))</f>
        <v>0.6</v>
      </c>
      <c r="N949" s="2" t="n">
        <f aca="false">ROUND((K949+L949)*M949,0)</f>
        <v>24</v>
      </c>
      <c r="O949" s="10" t="str">
        <f aca="false">IF(AND(G949="Engaging",J949&gt;Parâmetros!$B$6),"Sim","Não")</f>
        <v>Sim</v>
      </c>
      <c r="P949" s="32" t="str">
        <f aca="false">IF(O949="Sim","R",IF(N949&gt;=Parâmetros!$B$39,"A",IF(N949&gt;=Parâmetros!$B$40,"B",IF(N949&gt;=Parâmetros!$B$41,"C","D"))))</f>
        <v>R</v>
      </c>
      <c r="Q949" s="10" t="str">
        <f aca="false">IF(F949="","Completar cadastro","")</f>
        <v>Completar cadastro</v>
      </c>
      <c r="R949" s="10" t="str">
        <f aca="false">INDEX(Parâmetros!$D$39:$D$43,MATCH(P949,Parâmetros!$A$39:$A$43,0))</f>
        <v>Reciclar: requalificar, reengajar ou encerrar</v>
      </c>
    </row>
    <row r="950" customFormat="false" ht="15" hidden="false" customHeight="false" outlineLevel="0" collapsed="false">
      <c r="A950" s="10" t="s">
        <v>1193</v>
      </c>
      <c r="B950" s="10" t="s">
        <v>62</v>
      </c>
      <c r="C950" s="10" t="s">
        <v>58</v>
      </c>
      <c r="D950" s="10" t="s">
        <v>165</v>
      </c>
      <c r="E950" s="10" t="s">
        <v>49</v>
      </c>
      <c r="F950" s="10" t="s">
        <v>170</v>
      </c>
      <c r="G950" s="10" t="s">
        <v>162</v>
      </c>
      <c r="H950" s="30" t="n">
        <v>42935</v>
      </c>
      <c r="I950" s="8" t="n">
        <f aca="false">INDEX(Parâmetros!$C$13:$C$19,MATCH(E950,Parâmetros!$A$13:$A$19,0))</f>
        <v>3393</v>
      </c>
      <c r="J950" s="26" t="n">
        <f aca="false">IF(H950="","",Parâmetros!$B$5-H950)</f>
        <v>165</v>
      </c>
      <c r="K950" s="10" t="n">
        <f aca="false">INDEX(Parâmetros!$D$13:$D$19,MATCH(E950,Parâmetros!$A$13:$A$19,0))</f>
        <v>40</v>
      </c>
      <c r="L950" s="10" t="n">
        <f aca="false">IF(G950="Prospecting",Parâmetros!$B$9,IF(J950&gt;Parâmetros!$B$6,0,INDEX(Parâmetros!$C$24:$C$26,MATCH(J950,Parâmetros!$A$24:$A$26,1))))</f>
        <v>0</v>
      </c>
      <c r="M950" s="31" t="n">
        <f aca="false">IF(G950="Prospecting",1,INDEX(Parâmetros!$C$32:$C$35,MATCH(J950,Parâmetros!$A$32:$A$35,1)))</f>
        <v>0.6</v>
      </c>
      <c r="N950" s="2" t="n">
        <f aca="false">ROUND((K950+L950)*M950,0)</f>
        <v>24</v>
      </c>
      <c r="O950" s="10" t="str">
        <f aca="false">IF(AND(G950="Engaging",J950&gt;Parâmetros!$B$6),"Sim","Não")</f>
        <v>Sim</v>
      </c>
      <c r="P950" s="32" t="str">
        <f aca="false">IF(O950="Sim","R",IF(N950&gt;=Parâmetros!$B$39,"A",IF(N950&gt;=Parâmetros!$B$40,"B",IF(N950&gt;=Parâmetros!$B$41,"C","D"))))</f>
        <v>R</v>
      </c>
      <c r="Q950" s="10" t="str">
        <f aca="false">IF(F950="","Completar cadastro","")</f>
        <v/>
      </c>
      <c r="R950" s="10" t="str">
        <f aca="false">INDEX(Parâmetros!$D$39:$D$43,MATCH(P950,Parâmetros!$A$39:$A$43,0))</f>
        <v>Reciclar: requalificar, reengajar ou encerrar</v>
      </c>
    </row>
    <row r="951" customFormat="false" ht="15" hidden="false" customHeight="false" outlineLevel="0" collapsed="false">
      <c r="A951" s="10" t="s">
        <v>1194</v>
      </c>
      <c r="B951" s="10" t="s">
        <v>94</v>
      </c>
      <c r="C951" s="10" t="s">
        <v>92</v>
      </c>
      <c r="D951" s="10" t="s">
        <v>160</v>
      </c>
      <c r="E951" s="10" t="s">
        <v>49</v>
      </c>
      <c r="F951" s="10" t="s">
        <v>637</v>
      </c>
      <c r="G951" s="10" t="s">
        <v>162</v>
      </c>
      <c r="H951" s="30" t="n">
        <v>42936</v>
      </c>
      <c r="I951" s="8" t="n">
        <f aca="false">INDEX(Parâmetros!$C$13:$C$19,MATCH(E951,Parâmetros!$A$13:$A$19,0))</f>
        <v>3393</v>
      </c>
      <c r="J951" s="26" t="n">
        <f aca="false">IF(H951="","",Parâmetros!$B$5-H951)</f>
        <v>164</v>
      </c>
      <c r="K951" s="10" t="n">
        <f aca="false">INDEX(Parâmetros!$D$13:$D$19,MATCH(E951,Parâmetros!$A$13:$A$19,0))</f>
        <v>40</v>
      </c>
      <c r="L951" s="10" t="n">
        <f aca="false">IF(G951="Prospecting",Parâmetros!$B$9,IF(J951&gt;Parâmetros!$B$6,0,INDEX(Parâmetros!$C$24:$C$26,MATCH(J951,Parâmetros!$A$24:$A$26,1))))</f>
        <v>0</v>
      </c>
      <c r="M951" s="31" t="n">
        <f aca="false">IF(G951="Prospecting",1,INDEX(Parâmetros!$C$32:$C$35,MATCH(J951,Parâmetros!$A$32:$A$35,1)))</f>
        <v>0.6</v>
      </c>
      <c r="N951" s="2" t="n">
        <f aca="false">ROUND((K951+L951)*M951,0)</f>
        <v>24</v>
      </c>
      <c r="O951" s="10" t="str">
        <f aca="false">IF(AND(G951="Engaging",J951&gt;Parâmetros!$B$6),"Sim","Não")</f>
        <v>Sim</v>
      </c>
      <c r="P951" s="32" t="str">
        <f aca="false">IF(O951="Sim","R",IF(N951&gt;=Parâmetros!$B$39,"A",IF(N951&gt;=Parâmetros!$B$40,"B",IF(N951&gt;=Parâmetros!$B$41,"C","D"))))</f>
        <v>R</v>
      </c>
      <c r="Q951" s="10" t="str">
        <f aca="false">IF(F951="","Completar cadastro","")</f>
        <v/>
      </c>
      <c r="R951" s="10" t="str">
        <f aca="false">INDEX(Parâmetros!$D$39:$D$43,MATCH(P951,Parâmetros!$A$39:$A$43,0))</f>
        <v>Reciclar: requalificar, reengajar ou encerrar</v>
      </c>
    </row>
    <row r="952" customFormat="false" ht="15" hidden="false" customHeight="false" outlineLevel="0" collapsed="false">
      <c r="A952" s="10" t="s">
        <v>1195</v>
      </c>
      <c r="B952" s="10" t="s">
        <v>71</v>
      </c>
      <c r="C952" s="10" t="s">
        <v>72</v>
      </c>
      <c r="D952" s="10" t="s">
        <v>196</v>
      </c>
      <c r="E952" s="10" t="s">
        <v>49</v>
      </c>
      <c r="F952" s="10" t="s">
        <v>424</v>
      </c>
      <c r="G952" s="10" t="s">
        <v>162</v>
      </c>
      <c r="H952" s="30" t="n">
        <v>42937</v>
      </c>
      <c r="I952" s="8" t="n">
        <f aca="false">INDEX(Parâmetros!$C$13:$C$19,MATCH(E952,Parâmetros!$A$13:$A$19,0))</f>
        <v>3393</v>
      </c>
      <c r="J952" s="26" t="n">
        <f aca="false">IF(H952="","",Parâmetros!$B$5-H952)</f>
        <v>163</v>
      </c>
      <c r="K952" s="10" t="n">
        <f aca="false">INDEX(Parâmetros!$D$13:$D$19,MATCH(E952,Parâmetros!$A$13:$A$19,0))</f>
        <v>40</v>
      </c>
      <c r="L952" s="10" t="n">
        <f aca="false">IF(G952="Prospecting",Parâmetros!$B$9,IF(J952&gt;Parâmetros!$B$6,0,INDEX(Parâmetros!$C$24:$C$26,MATCH(J952,Parâmetros!$A$24:$A$26,1))))</f>
        <v>0</v>
      </c>
      <c r="M952" s="31" t="n">
        <f aca="false">IF(G952="Prospecting",1,INDEX(Parâmetros!$C$32:$C$35,MATCH(J952,Parâmetros!$A$32:$A$35,1)))</f>
        <v>0.6</v>
      </c>
      <c r="N952" s="2" t="n">
        <f aca="false">ROUND((K952+L952)*M952,0)</f>
        <v>24</v>
      </c>
      <c r="O952" s="10" t="str">
        <f aca="false">IF(AND(G952="Engaging",J952&gt;Parâmetros!$B$6),"Sim","Não")</f>
        <v>Sim</v>
      </c>
      <c r="P952" s="32" t="str">
        <f aca="false">IF(O952="Sim","R",IF(N952&gt;=Parâmetros!$B$39,"A",IF(N952&gt;=Parâmetros!$B$40,"B",IF(N952&gt;=Parâmetros!$B$41,"C","D"))))</f>
        <v>R</v>
      </c>
      <c r="Q952" s="10" t="str">
        <f aca="false">IF(F952="","Completar cadastro","")</f>
        <v/>
      </c>
      <c r="R952" s="10" t="str">
        <f aca="false">INDEX(Parâmetros!$D$39:$D$43,MATCH(P952,Parâmetros!$A$39:$A$43,0))</f>
        <v>Reciclar: requalificar, reengajar ou encerrar</v>
      </c>
    </row>
    <row r="953" customFormat="false" ht="15" hidden="false" customHeight="false" outlineLevel="0" collapsed="false">
      <c r="A953" s="10" t="s">
        <v>1196</v>
      </c>
      <c r="B953" s="10" t="s">
        <v>77</v>
      </c>
      <c r="C953" s="10" t="s">
        <v>78</v>
      </c>
      <c r="D953" s="10" t="s">
        <v>196</v>
      </c>
      <c r="E953" s="10" t="s">
        <v>49</v>
      </c>
      <c r="F953" s="10" t="s">
        <v>616</v>
      </c>
      <c r="G953" s="10" t="s">
        <v>162</v>
      </c>
      <c r="H953" s="30" t="n">
        <v>42937</v>
      </c>
      <c r="I953" s="8" t="n">
        <f aca="false">INDEX(Parâmetros!$C$13:$C$19,MATCH(E953,Parâmetros!$A$13:$A$19,0))</f>
        <v>3393</v>
      </c>
      <c r="J953" s="26" t="n">
        <f aca="false">IF(H953="","",Parâmetros!$B$5-H953)</f>
        <v>163</v>
      </c>
      <c r="K953" s="10" t="n">
        <f aca="false">INDEX(Parâmetros!$D$13:$D$19,MATCH(E953,Parâmetros!$A$13:$A$19,0))</f>
        <v>40</v>
      </c>
      <c r="L953" s="10" t="n">
        <f aca="false">IF(G953="Prospecting",Parâmetros!$B$9,IF(J953&gt;Parâmetros!$B$6,0,INDEX(Parâmetros!$C$24:$C$26,MATCH(J953,Parâmetros!$A$24:$A$26,1))))</f>
        <v>0</v>
      </c>
      <c r="M953" s="31" t="n">
        <f aca="false">IF(G953="Prospecting",1,INDEX(Parâmetros!$C$32:$C$35,MATCH(J953,Parâmetros!$A$32:$A$35,1)))</f>
        <v>0.6</v>
      </c>
      <c r="N953" s="2" t="n">
        <f aca="false">ROUND((K953+L953)*M953,0)</f>
        <v>24</v>
      </c>
      <c r="O953" s="10" t="str">
        <f aca="false">IF(AND(G953="Engaging",J953&gt;Parâmetros!$B$6),"Sim","Não")</f>
        <v>Sim</v>
      </c>
      <c r="P953" s="32" t="str">
        <f aca="false">IF(O953="Sim","R",IF(N953&gt;=Parâmetros!$B$39,"A",IF(N953&gt;=Parâmetros!$B$40,"B",IF(N953&gt;=Parâmetros!$B$41,"C","D"))))</f>
        <v>R</v>
      </c>
      <c r="Q953" s="10" t="str">
        <f aca="false">IF(F953="","Completar cadastro","")</f>
        <v/>
      </c>
      <c r="R953" s="10" t="str">
        <f aca="false">INDEX(Parâmetros!$D$39:$D$43,MATCH(P953,Parâmetros!$A$39:$A$43,0))</f>
        <v>Reciclar: requalificar, reengajar ou encerrar</v>
      </c>
    </row>
    <row r="954" customFormat="false" ht="15" hidden="false" customHeight="false" outlineLevel="0" collapsed="false">
      <c r="A954" s="10" t="s">
        <v>1197</v>
      </c>
      <c r="B954" s="10" t="s">
        <v>77</v>
      </c>
      <c r="C954" s="10" t="s">
        <v>78</v>
      </c>
      <c r="D954" s="10" t="s">
        <v>196</v>
      </c>
      <c r="E954" s="10" t="s">
        <v>49</v>
      </c>
      <c r="F954" s="10" t="s">
        <v>396</v>
      </c>
      <c r="G954" s="10" t="s">
        <v>162</v>
      </c>
      <c r="H954" s="30" t="n">
        <v>42937</v>
      </c>
      <c r="I954" s="8" t="n">
        <f aca="false">INDEX(Parâmetros!$C$13:$C$19,MATCH(E954,Parâmetros!$A$13:$A$19,0))</f>
        <v>3393</v>
      </c>
      <c r="J954" s="26" t="n">
        <f aca="false">IF(H954="","",Parâmetros!$B$5-H954)</f>
        <v>163</v>
      </c>
      <c r="K954" s="10" t="n">
        <f aca="false">INDEX(Parâmetros!$D$13:$D$19,MATCH(E954,Parâmetros!$A$13:$A$19,0))</f>
        <v>40</v>
      </c>
      <c r="L954" s="10" t="n">
        <f aca="false">IF(G954="Prospecting",Parâmetros!$B$9,IF(J954&gt;Parâmetros!$B$6,0,INDEX(Parâmetros!$C$24:$C$26,MATCH(J954,Parâmetros!$A$24:$A$26,1))))</f>
        <v>0</v>
      </c>
      <c r="M954" s="31" t="n">
        <f aca="false">IF(G954="Prospecting",1,INDEX(Parâmetros!$C$32:$C$35,MATCH(J954,Parâmetros!$A$32:$A$35,1)))</f>
        <v>0.6</v>
      </c>
      <c r="N954" s="2" t="n">
        <f aca="false">ROUND((K954+L954)*M954,0)</f>
        <v>24</v>
      </c>
      <c r="O954" s="10" t="str">
        <f aca="false">IF(AND(G954="Engaging",J954&gt;Parâmetros!$B$6),"Sim","Não")</f>
        <v>Sim</v>
      </c>
      <c r="P954" s="32" t="str">
        <f aca="false">IF(O954="Sim","R",IF(N954&gt;=Parâmetros!$B$39,"A",IF(N954&gt;=Parâmetros!$B$40,"B",IF(N954&gt;=Parâmetros!$B$41,"C","D"))))</f>
        <v>R</v>
      </c>
      <c r="Q954" s="10" t="str">
        <f aca="false">IF(F954="","Completar cadastro","")</f>
        <v/>
      </c>
      <c r="R954" s="10" t="str">
        <f aca="false">INDEX(Parâmetros!$D$39:$D$43,MATCH(P954,Parâmetros!$A$39:$A$43,0))</f>
        <v>Reciclar: requalificar, reengajar ou encerrar</v>
      </c>
    </row>
    <row r="955" customFormat="false" ht="15" hidden="false" customHeight="false" outlineLevel="0" collapsed="false">
      <c r="A955" s="10" t="s">
        <v>1198</v>
      </c>
      <c r="B955" s="10" t="s">
        <v>79</v>
      </c>
      <c r="C955" s="10" t="s">
        <v>78</v>
      </c>
      <c r="D955" s="10" t="s">
        <v>196</v>
      </c>
      <c r="E955" s="10" t="s">
        <v>49</v>
      </c>
      <c r="F955" s="10"/>
      <c r="G955" s="10" t="s">
        <v>162</v>
      </c>
      <c r="H955" s="30" t="n">
        <v>42937</v>
      </c>
      <c r="I955" s="8" t="n">
        <f aca="false">INDEX(Parâmetros!$C$13:$C$19,MATCH(E955,Parâmetros!$A$13:$A$19,0))</f>
        <v>3393</v>
      </c>
      <c r="J955" s="26" t="n">
        <f aca="false">IF(H955="","",Parâmetros!$B$5-H955)</f>
        <v>163</v>
      </c>
      <c r="K955" s="10" t="n">
        <f aca="false">INDEX(Parâmetros!$D$13:$D$19,MATCH(E955,Parâmetros!$A$13:$A$19,0))</f>
        <v>40</v>
      </c>
      <c r="L955" s="10" t="n">
        <f aca="false">IF(G955="Prospecting",Parâmetros!$B$9,IF(J955&gt;Parâmetros!$B$6,0,INDEX(Parâmetros!$C$24:$C$26,MATCH(J955,Parâmetros!$A$24:$A$26,1))))</f>
        <v>0</v>
      </c>
      <c r="M955" s="31" t="n">
        <f aca="false">IF(G955="Prospecting",1,INDEX(Parâmetros!$C$32:$C$35,MATCH(J955,Parâmetros!$A$32:$A$35,1)))</f>
        <v>0.6</v>
      </c>
      <c r="N955" s="2" t="n">
        <f aca="false">ROUND((K955+L955)*M955,0)</f>
        <v>24</v>
      </c>
      <c r="O955" s="10" t="str">
        <f aca="false">IF(AND(G955="Engaging",J955&gt;Parâmetros!$B$6),"Sim","Não")</f>
        <v>Sim</v>
      </c>
      <c r="P955" s="32" t="str">
        <f aca="false">IF(O955="Sim","R",IF(N955&gt;=Parâmetros!$B$39,"A",IF(N955&gt;=Parâmetros!$B$40,"B",IF(N955&gt;=Parâmetros!$B$41,"C","D"))))</f>
        <v>R</v>
      </c>
      <c r="Q955" s="10" t="str">
        <f aca="false">IF(F955="","Completar cadastro","")</f>
        <v>Completar cadastro</v>
      </c>
      <c r="R955" s="10" t="str">
        <f aca="false">INDEX(Parâmetros!$D$39:$D$43,MATCH(P955,Parâmetros!$A$39:$A$43,0))</f>
        <v>Reciclar: requalificar, reengajar ou encerrar</v>
      </c>
    </row>
    <row r="956" customFormat="false" ht="15" hidden="false" customHeight="false" outlineLevel="0" collapsed="false">
      <c r="A956" s="10" t="s">
        <v>1199</v>
      </c>
      <c r="B956" s="10" t="s">
        <v>71</v>
      </c>
      <c r="C956" s="10" t="s">
        <v>72</v>
      </c>
      <c r="D956" s="10" t="s">
        <v>196</v>
      </c>
      <c r="E956" s="10" t="s">
        <v>49</v>
      </c>
      <c r="F956" s="10"/>
      <c r="G956" s="10" t="s">
        <v>162</v>
      </c>
      <c r="H956" s="30" t="n">
        <v>42938</v>
      </c>
      <c r="I956" s="8" t="n">
        <f aca="false">INDEX(Parâmetros!$C$13:$C$19,MATCH(E956,Parâmetros!$A$13:$A$19,0))</f>
        <v>3393</v>
      </c>
      <c r="J956" s="26" t="n">
        <f aca="false">IF(H956="","",Parâmetros!$B$5-H956)</f>
        <v>162</v>
      </c>
      <c r="K956" s="10" t="n">
        <f aca="false">INDEX(Parâmetros!$D$13:$D$19,MATCH(E956,Parâmetros!$A$13:$A$19,0))</f>
        <v>40</v>
      </c>
      <c r="L956" s="10" t="n">
        <f aca="false">IF(G956="Prospecting",Parâmetros!$B$9,IF(J956&gt;Parâmetros!$B$6,0,INDEX(Parâmetros!$C$24:$C$26,MATCH(J956,Parâmetros!$A$24:$A$26,1))))</f>
        <v>0</v>
      </c>
      <c r="M956" s="31" t="n">
        <f aca="false">IF(G956="Prospecting",1,INDEX(Parâmetros!$C$32:$C$35,MATCH(J956,Parâmetros!$A$32:$A$35,1)))</f>
        <v>0.6</v>
      </c>
      <c r="N956" s="2" t="n">
        <f aca="false">ROUND((K956+L956)*M956,0)</f>
        <v>24</v>
      </c>
      <c r="O956" s="10" t="str">
        <f aca="false">IF(AND(G956="Engaging",J956&gt;Parâmetros!$B$6),"Sim","Não")</f>
        <v>Sim</v>
      </c>
      <c r="P956" s="32" t="str">
        <f aca="false">IF(O956="Sim","R",IF(N956&gt;=Parâmetros!$B$39,"A",IF(N956&gt;=Parâmetros!$B$40,"B",IF(N956&gt;=Parâmetros!$B$41,"C","D"))))</f>
        <v>R</v>
      </c>
      <c r="Q956" s="10" t="str">
        <f aca="false">IF(F956="","Completar cadastro","")</f>
        <v>Completar cadastro</v>
      </c>
      <c r="R956" s="10" t="str">
        <f aca="false">INDEX(Parâmetros!$D$39:$D$43,MATCH(P956,Parâmetros!$A$39:$A$43,0))</f>
        <v>Reciclar: requalificar, reengajar ou encerrar</v>
      </c>
    </row>
    <row r="957" customFormat="false" ht="15" hidden="false" customHeight="false" outlineLevel="0" collapsed="false">
      <c r="A957" s="10" t="s">
        <v>1200</v>
      </c>
      <c r="B957" s="10" t="s">
        <v>73</v>
      </c>
      <c r="C957" s="10" t="s">
        <v>72</v>
      </c>
      <c r="D957" s="10" t="s">
        <v>196</v>
      </c>
      <c r="E957" s="10" t="s">
        <v>49</v>
      </c>
      <c r="F957" s="10" t="s">
        <v>193</v>
      </c>
      <c r="G957" s="10" t="s">
        <v>162</v>
      </c>
      <c r="H957" s="30" t="n">
        <v>42938</v>
      </c>
      <c r="I957" s="8" t="n">
        <f aca="false">INDEX(Parâmetros!$C$13:$C$19,MATCH(E957,Parâmetros!$A$13:$A$19,0))</f>
        <v>3393</v>
      </c>
      <c r="J957" s="26" t="n">
        <f aca="false">IF(H957="","",Parâmetros!$B$5-H957)</f>
        <v>162</v>
      </c>
      <c r="K957" s="10" t="n">
        <f aca="false">INDEX(Parâmetros!$D$13:$D$19,MATCH(E957,Parâmetros!$A$13:$A$19,0))</f>
        <v>40</v>
      </c>
      <c r="L957" s="10" t="n">
        <f aca="false">IF(G957="Prospecting",Parâmetros!$B$9,IF(J957&gt;Parâmetros!$B$6,0,INDEX(Parâmetros!$C$24:$C$26,MATCH(J957,Parâmetros!$A$24:$A$26,1))))</f>
        <v>0</v>
      </c>
      <c r="M957" s="31" t="n">
        <f aca="false">IF(G957="Prospecting",1,INDEX(Parâmetros!$C$32:$C$35,MATCH(J957,Parâmetros!$A$32:$A$35,1)))</f>
        <v>0.6</v>
      </c>
      <c r="N957" s="2" t="n">
        <f aca="false">ROUND((K957+L957)*M957,0)</f>
        <v>24</v>
      </c>
      <c r="O957" s="10" t="str">
        <f aca="false">IF(AND(G957="Engaging",J957&gt;Parâmetros!$B$6),"Sim","Não")</f>
        <v>Sim</v>
      </c>
      <c r="P957" s="32" t="str">
        <f aca="false">IF(O957="Sim","R",IF(N957&gt;=Parâmetros!$B$39,"A",IF(N957&gt;=Parâmetros!$B$40,"B",IF(N957&gt;=Parâmetros!$B$41,"C","D"))))</f>
        <v>R</v>
      </c>
      <c r="Q957" s="10" t="str">
        <f aca="false">IF(F957="","Completar cadastro","")</f>
        <v/>
      </c>
      <c r="R957" s="10" t="str">
        <f aca="false">INDEX(Parâmetros!$D$39:$D$43,MATCH(P957,Parâmetros!$A$39:$A$43,0))</f>
        <v>Reciclar: requalificar, reengajar ou encerrar</v>
      </c>
    </row>
    <row r="958" customFormat="false" ht="15" hidden="false" customHeight="false" outlineLevel="0" collapsed="false">
      <c r="A958" s="10" t="s">
        <v>1201</v>
      </c>
      <c r="B958" s="10" t="s">
        <v>79</v>
      </c>
      <c r="C958" s="10" t="s">
        <v>78</v>
      </c>
      <c r="D958" s="10" t="s">
        <v>196</v>
      </c>
      <c r="E958" s="10" t="s">
        <v>49</v>
      </c>
      <c r="F958" s="10" t="s">
        <v>692</v>
      </c>
      <c r="G958" s="10" t="s">
        <v>162</v>
      </c>
      <c r="H958" s="30" t="n">
        <v>42938</v>
      </c>
      <c r="I958" s="8" t="n">
        <f aca="false">INDEX(Parâmetros!$C$13:$C$19,MATCH(E958,Parâmetros!$A$13:$A$19,0))</f>
        <v>3393</v>
      </c>
      <c r="J958" s="26" t="n">
        <f aca="false">IF(H958="","",Parâmetros!$B$5-H958)</f>
        <v>162</v>
      </c>
      <c r="K958" s="10" t="n">
        <f aca="false">INDEX(Parâmetros!$D$13:$D$19,MATCH(E958,Parâmetros!$A$13:$A$19,0))</f>
        <v>40</v>
      </c>
      <c r="L958" s="10" t="n">
        <f aca="false">IF(G958="Prospecting",Parâmetros!$B$9,IF(J958&gt;Parâmetros!$B$6,0,INDEX(Parâmetros!$C$24:$C$26,MATCH(J958,Parâmetros!$A$24:$A$26,1))))</f>
        <v>0</v>
      </c>
      <c r="M958" s="31" t="n">
        <f aca="false">IF(G958="Prospecting",1,INDEX(Parâmetros!$C$32:$C$35,MATCH(J958,Parâmetros!$A$32:$A$35,1)))</f>
        <v>0.6</v>
      </c>
      <c r="N958" s="2" t="n">
        <f aca="false">ROUND((K958+L958)*M958,0)</f>
        <v>24</v>
      </c>
      <c r="O958" s="10" t="str">
        <f aca="false">IF(AND(G958="Engaging",J958&gt;Parâmetros!$B$6),"Sim","Não")</f>
        <v>Sim</v>
      </c>
      <c r="P958" s="32" t="str">
        <f aca="false">IF(O958="Sim","R",IF(N958&gt;=Parâmetros!$B$39,"A",IF(N958&gt;=Parâmetros!$B$40,"B",IF(N958&gt;=Parâmetros!$B$41,"C","D"))))</f>
        <v>R</v>
      </c>
      <c r="Q958" s="10" t="str">
        <f aca="false">IF(F958="","Completar cadastro","")</f>
        <v/>
      </c>
      <c r="R958" s="10" t="str">
        <f aca="false">INDEX(Parâmetros!$D$39:$D$43,MATCH(P958,Parâmetros!$A$39:$A$43,0))</f>
        <v>Reciclar: requalificar, reengajar ou encerrar</v>
      </c>
    </row>
    <row r="959" customFormat="false" ht="15" hidden="false" customHeight="false" outlineLevel="0" collapsed="false">
      <c r="A959" s="10" t="s">
        <v>1202</v>
      </c>
      <c r="B959" s="10" t="s">
        <v>74</v>
      </c>
      <c r="C959" s="10" t="s">
        <v>72</v>
      </c>
      <c r="D959" s="10" t="s">
        <v>196</v>
      </c>
      <c r="E959" s="10" t="s">
        <v>49</v>
      </c>
      <c r="F959" s="10"/>
      <c r="G959" s="10" t="s">
        <v>162</v>
      </c>
      <c r="H959" s="30" t="n">
        <v>42938</v>
      </c>
      <c r="I959" s="8" t="n">
        <f aca="false">INDEX(Parâmetros!$C$13:$C$19,MATCH(E959,Parâmetros!$A$13:$A$19,0))</f>
        <v>3393</v>
      </c>
      <c r="J959" s="26" t="n">
        <f aca="false">IF(H959="","",Parâmetros!$B$5-H959)</f>
        <v>162</v>
      </c>
      <c r="K959" s="10" t="n">
        <f aca="false">INDEX(Parâmetros!$D$13:$D$19,MATCH(E959,Parâmetros!$A$13:$A$19,0))</f>
        <v>40</v>
      </c>
      <c r="L959" s="10" t="n">
        <f aca="false">IF(G959="Prospecting",Parâmetros!$B$9,IF(J959&gt;Parâmetros!$B$6,0,INDEX(Parâmetros!$C$24:$C$26,MATCH(J959,Parâmetros!$A$24:$A$26,1))))</f>
        <v>0</v>
      </c>
      <c r="M959" s="31" t="n">
        <f aca="false">IF(G959="Prospecting",1,INDEX(Parâmetros!$C$32:$C$35,MATCH(J959,Parâmetros!$A$32:$A$35,1)))</f>
        <v>0.6</v>
      </c>
      <c r="N959" s="2" t="n">
        <f aca="false">ROUND((K959+L959)*M959,0)</f>
        <v>24</v>
      </c>
      <c r="O959" s="10" t="str">
        <f aca="false">IF(AND(G959="Engaging",J959&gt;Parâmetros!$B$6),"Sim","Não")</f>
        <v>Sim</v>
      </c>
      <c r="P959" s="32" t="str">
        <f aca="false">IF(O959="Sim","R",IF(N959&gt;=Parâmetros!$B$39,"A",IF(N959&gt;=Parâmetros!$B$40,"B",IF(N959&gt;=Parâmetros!$B$41,"C","D"))))</f>
        <v>R</v>
      </c>
      <c r="Q959" s="10" t="str">
        <f aca="false">IF(F959="","Completar cadastro","")</f>
        <v>Completar cadastro</v>
      </c>
      <c r="R959" s="10" t="str">
        <f aca="false">INDEX(Parâmetros!$D$39:$D$43,MATCH(P959,Parâmetros!$A$39:$A$43,0))</f>
        <v>Reciclar: requalificar, reengajar ou encerrar</v>
      </c>
    </row>
    <row r="960" customFormat="false" ht="15" hidden="false" customHeight="false" outlineLevel="0" collapsed="false">
      <c r="A960" s="10" t="s">
        <v>1203</v>
      </c>
      <c r="B960" s="10" t="s">
        <v>75</v>
      </c>
      <c r="C960" s="10" t="s">
        <v>72</v>
      </c>
      <c r="D960" s="10" t="s">
        <v>196</v>
      </c>
      <c r="E960" s="10" t="s">
        <v>49</v>
      </c>
      <c r="F960" s="10"/>
      <c r="G960" s="10" t="s">
        <v>162</v>
      </c>
      <c r="H960" s="30" t="n">
        <v>42938</v>
      </c>
      <c r="I960" s="8" t="n">
        <f aca="false">INDEX(Parâmetros!$C$13:$C$19,MATCH(E960,Parâmetros!$A$13:$A$19,0))</f>
        <v>3393</v>
      </c>
      <c r="J960" s="26" t="n">
        <f aca="false">IF(H960="","",Parâmetros!$B$5-H960)</f>
        <v>162</v>
      </c>
      <c r="K960" s="10" t="n">
        <f aca="false">INDEX(Parâmetros!$D$13:$D$19,MATCH(E960,Parâmetros!$A$13:$A$19,0))</f>
        <v>40</v>
      </c>
      <c r="L960" s="10" t="n">
        <f aca="false">IF(G960="Prospecting",Parâmetros!$B$9,IF(J960&gt;Parâmetros!$B$6,0,INDEX(Parâmetros!$C$24:$C$26,MATCH(J960,Parâmetros!$A$24:$A$26,1))))</f>
        <v>0</v>
      </c>
      <c r="M960" s="31" t="n">
        <f aca="false">IF(G960="Prospecting",1,INDEX(Parâmetros!$C$32:$C$35,MATCH(J960,Parâmetros!$A$32:$A$35,1)))</f>
        <v>0.6</v>
      </c>
      <c r="N960" s="2" t="n">
        <f aca="false">ROUND((K960+L960)*M960,0)</f>
        <v>24</v>
      </c>
      <c r="O960" s="10" t="str">
        <f aca="false">IF(AND(G960="Engaging",J960&gt;Parâmetros!$B$6),"Sim","Não")</f>
        <v>Sim</v>
      </c>
      <c r="P960" s="32" t="str">
        <f aca="false">IF(O960="Sim","R",IF(N960&gt;=Parâmetros!$B$39,"A",IF(N960&gt;=Parâmetros!$B$40,"B",IF(N960&gt;=Parâmetros!$B$41,"C","D"))))</f>
        <v>R</v>
      </c>
      <c r="Q960" s="10" t="str">
        <f aca="false">IF(F960="","Completar cadastro","")</f>
        <v>Completar cadastro</v>
      </c>
      <c r="R960" s="10" t="str">
        <f aca="false">INDEX(Parâmetros!$D$39:$D$43,MATCH(P960,Parâmetros!$A$39:$A$43,0))</f>
        <v>Reciclar: requalificar, reengajar ou encerrar</v>
      </c>
    </row>
    <row r="961" customFormat="false" ht="15" hidden="false" customHeight="false" outlineLevel="0" collapsed="false">
      <c r="A961" s="10" t="s">
        <v>1204</v>
      </c>
      <c r="B961" s="10" t="s">
        <v>75</v>
      </c>
      <c r="C961" s="10" t="s">
        <v>72</v>
      </c>
      <c r="D961" s="10" t="s">
        <v>196</v>
      </c>
      <c r="E961" s="10" t="s">
        <v>49</v>
      </c>
      <c r="F961" s="10"/>
      <c r="G961" s="10" t="s">
        <v>162</v>
      </c>
      <c r="H961" s="30" t="n">
        <v>42938</v>
      </c>
      <c r="I961" s="8" t="n">
        <f aca="false">INDEX(Parâmetros!$C$13:$C$19,MATCH(E961,Parâmetros!$A$13:$A$19,0))</f>
        <v>3393</v>
      </c>
      <c r="J961" s="26" t="n">
        <f aca="false">IF(H961="","",Parâmetros!$B$5-H961)</f>
        <v>162</v>
      </c>
      <c r="K961" s="10" t="n">
        <f aca="false">INDEX(Parâmetros!$D$13:$D$19,MATCH(E961,Parâmetros!$A$13:$A$19,0))</f>
        <v>40</v>
      </c>
      <c r="L961" s="10" t="n">
        <f aca="false">IF(G961="Prospecting",Parâmetros!$B$9,IF(J961&gt;Parâmetros!$B$6,0,INDEX(Parâmetros!$C$24:$C$26,MATCH(J961,Parâmetros!$A$24:$A$26,1))))</f>
        <v>0</v>
      </c>
      <c r="M961" s="31" t="n">
        <f aca="false">IF(G961="Prospecting",1,INDEX(Parâmetros!$C$32:$C$35,MATCH(J961,Parâmetros!$A$32:$A$35,1)))</f>
        <v>0.6</v>
      </c>
      <c r="N961" s="2" t="n">
        <f aca="false">ROUND((K961+L961)*M961,0)</f>
        <v>24</v>
      </c>
      <c r="O961" s="10" t="str">
        <f aca="false">IF(AND(G961="Engaging",J961&gt;Parâmetros!$B$6),"Sim","Não")</f>
        <v>Sim</v>
      </c>
      <c r="P961" s="32" t="str">
        <f aca="false">IF(O961="Sim","R",IF(N961&gt;=Parâmetros!$B$39,"A",IF(N961&gt;=Parâmetros!$B$40,"B",IF(N961&gt;=Parâmetros!$B$41,"C","D"))))</f>
        <v>R</v>
      </c>
      <c r="Q961" s="10" t="str">
        <f aca="false">IF(F961="","Completar cadastro","")</f>
        <v>Completar cadastro</v>
      </c>
      <c r="R961" s="10" t="str">
        <f aca="false">INDEX(Parâmetros!$D$39:$D$43,MATCH(P961,Parâmetros!$A$39:$A$43,0))</f>
        <v>Reciclar: requalificar, reengajar ou encerrar</v>
      </c>
    </row>
    <row r="962" customFormat="false" ht="15" hidden="false" customHeight="false" outlineLevel="0" collapsed="false">
      <c r="A962" s="10" t="s">
        <v>1205</v>
      </c>
      <c r="B962" s="10" t="s">
        <v>75</v>
      </c>
      <c r="C962" s="10" t="s">
        <v>72</v>
      </c>
      <c r="D962" s="10" t="s">
        <v>196</v>
      </c>
      <c r="E962" s="10" t="s">
        <v>49</v>
      </c>
      <c r="F962" s="10"/>
      <c r="G962" s="10" t="s">
        <v>162</v>
      </c>
      <c r="H962" s="30" t="n">
        <v>42938</v>
      </c>
      <c r="I962" s="8" t="n">
        <f aca="false">INDEX(Parâmetros!$C$13:$C$19,MATCH(E962,Parâmetros!$A$13:$A$19,0))</f>
        <v>3393</v>
      </c>
      <c r="J962" s="26" t="n">
        <f aca="false">IF(H962="","",Parâmetros!$B$5-H962)</f>
        <v>162</v>
      </c>
      <c r="K962" s="10" t="n">
        <f aca="false">INDEX(Parâmetros!$D$13:$D$19,MATCH(E962,Parâmetros!$A$13:$A$19,0))</f>
        <v>40</v>
      </c>
      <c r="L962" s="10" t="n">
        <f aca="false">IF(G962="Prospecting",Parâmetros!$B$9,IF(J962&gt;Parâmetros!$B$6,0,INDEX(Parâmetros!$C$24:$C$26,MATCH(J962,Parâmetros!$A$24:$A$26,1))))</f>
        <v>0</v>
      </c>
      <c r="M962" s="31" t="n">
        <f aca="false">IF(G962="Prospecting",1,INDEX(Parâmetros!$C$32:$C$35,MATCH(J962,Parâmetros!$A$32:$A$35,1)))</f>
        <v>0.6</v>
      </c>
      <c r="N962" s="2" t="n">
        <f aca="false">ROUND((K962+L962)*M962,0)</f>
        <v>24</v>
      </c>
      <c r="O962" s="10" t="str">
        <f aca="false">IF(AND(G962="Engaging",J962&gt;Parâmetros!$B$6),"Sim","Não")</f>
        <v>Sim</v>
      </c>
      <c r="P962" s="32" t="str">
        <f aca="false">IF(O962="Sim","R",IF(N962&gt;=Parâmetros!$B$39,"A",IF(N962&gt;=Parâmetros!$B$40,"B",IF(N962&gt;=Parâmetros!$B$41,"C","D"))))</f>
        <v>R</v>
      </c>
      <c r="Q962" s="10" t="str">
        <f aca="false">IF(F962="","Completar cadastro","")</f>
        <v>Completar cadastro</v>
      </c>
      <c r="R962" s="10" t="str">
        <f aca="false">INDEX(Parâmetros!$D$39:$D$43,MATCH(P962,Parâmetros!$A$39:$A$43,0))</f>
        <v>Reciclar: requalificar, reengajar ou encerrar</v>
      </c>
    </row>
    <row r="963" customFormat="false" ht="15" hidden="false" customHeight="false" outlineLevel="0" collapsed="false">
      <c r="A963" s="10" t="s">
        <v>1206</v>
      </c>
      <c r="B963" s="10" t="s">
        <v>76</v>
      </c>
      <c r="C963" s="10" t="s">
        <v>72</v>
      </c>
      <c r="D963" s="10" t="s">
        <v>196</v>
      </c>
      <c r="E963" s="10" t="s">
        <v>49</v>
      </c>
      <c r="F963" s="10"/>
      <c r="G963" s="10" t="s">
        <v>162</v>
      </c>
      <c r="H963" s="30" t="n">
        <v>42938</v>
      </c>
      <c r="I963" s="8" t="n">
        <f aca="false">INDEX(Parâmetros!$C$13:$C$19,MATCH(E963,Parâmetros!$A$13:$A$19,0))</f>
        <v>3393</v>
      </c>
      <c r="J963" s="26" t="n">
        <f aca="false">IF(H963="","",Parâmetros!$B$5-H963)</f>
        <v>162</v>
      </c>
      <c r="K963" s="10" t="n">
        <f aca="false">INDEX(Parâmetros!$D$13:$D$19,MATCH(E963,Parâmetros!$A$13:$A$19,0))</f>
        <v>40</v>
      </c>
      <c r="L963" s="10" t="n">
        <f aca="false">IF(G963="Prospecting",Parâmetros!$B$9,IF(J963&gt;Parâmetros!$B$6,0,INDEX(Parâmetros!$C$24:$C$26,MATCH(J963,Parâmetros!$A$24:$A$26,1))))</f>
        <v>0</v>
      </c>
      <c r="M963" s="31" t="n">
        <f aca="false">IF(G963="Prospecting",1,INDEX(Parâmetros!$C$32:$C$35,MATCH(J963,Parâmetros!$A$32:$A$35,1)))</f>
        <v>0.6</v>
      </c>
      <c r="N963" s="2" t="n">
        <f aca="false">ROUND((K963+L963)*M963,0)</f>
        <v>24</v>
      </c>
      <c r="O963" s="10" t="str">
        <f aca="false">IF(AND(G963="Engaging",J963&gt;Parâmetros!$B$6),"Sim","Não")</f>
        <v>Sim</v>
      </c>
      <c r="P963" s="32" t="str">
        <f aca="false">IF(O963="Sim","R",IF(N963&gt;=Parâmetros!$B$39,"A",IF(N963&gt;=Parâmetros!$B$40,"B",IF(N963&gt;=Parâmetros!$B$41,"C","D"))))</f>
        <v>R</v>
      </c>
      <c r="Q963" s="10" t="str">
        <f aca="false">IF(F963="","Completar cadastro","")</f>
        <v>Completar cadastro</v>
      </c>
      <c r="R963" s="10" t="str">
        <f aca="false">INDEX(Parâmetros!$D$39:$D$43,MATCH(P963,Parâmetros!$A$39:$A$43,0))</f>
        <v>Reciclar: requalificar, reengajar ou encerrar</v>
      </c>
    </row>
    <row r="964" customFormat="false" ht="15" hidden="false" customHeight="false" outlineLevel="0" collapsed="false">
      <c r="A964" s="10" t="s">
        <v>1207</v>
      </c>
      <c r="B964" s="10" t="s">
        <v>71</v>
      </c>
      <c r="C964" s="10" t="s">
        <v>72</v>
      </c>
      <c r="D964" s="10" t="s">
        <v>196</v>
      </c>
      <c r="E964" s="10" t="s">
        <v>49</v>
      </c>
      <c r="F964" s="10"/>
      <c r="G964" s="10" t="s">
        <v>162</v>
      </c>
      <c r="H964" s="30" t="n">
        <v>42939</v>
      </c>
      <c r="I964" s="8" t="n">
        <f aca="false">INDEX(Parâmetros!$C$13:$C$19,MATCH(E964,Parâmetros!$A$13:$A$19,0))</f>
        <v>3393</v>
      </c>
      <c r="J964" s="26" t="n">
        <f aca="false">IF(H964="","",Parâmetros!$B$5-H964)</f>
        <v>161</v>
      </c>
      <c r="K964" s="10" t="n">
        <f aca="false">INDEX(Parâmetros!$D$13:$D$19,MATCH(E964,Parâmetros!$A$13:$A$19,0))</f>
        <v>40</v>
      </c>
      <c r="L964" s="10" t="n">
        <f aca="false">IF(G964="Prospecting",Parâmetros!$B$9,IF(J964&gt;Parâmetros!$B$6,0,INDEX(Parâmetros!$C$24:$C$26,MATCH(J964,Parâmetros!$A$24:$A$26,1))))</f>
        <v>0</v>
      </c>
      <c r="M964" s="31" t="n">
        <f aca="false">IF(G964="Prospecting",1,INDEX(Parâmetros!$C$32:$C$35,MATCH(J964,Parâmetros!$A$32:$A$35,1)))</f>
        <v>0.6</v>
      </c>
      <c r="N964" s="2" t="n">
        <f aca="false">ROUND((K964+L964)*M964,0)</f>
        <v>24</v>
      </c>
      <c r="O964" s="10" t="str">
        <f aca="false">IF(AND(G964="Engaging",J964&gt;Parâmetros!$B$6),"Sim","Não")</f>
        <v>Sim</v>
      </c>
      <c r="P964" s="32" t="str">
        <f aca="false">IF(O964="Sim","R",IF(N964&gt;=Parâmetros!$B$39,"A",IF(N964&gt;=Parâmetros!$B$40,"B",IF(N964&gt;=Parâmetros!$B$41,"C","D"))))</f>
        <v>R</v>
      </c>
      <c r="Q964" s="10" t="str">
        <f aca="false">IF(F964="","Completar cadastro","")</f>
        <v>Completar cadastro</v>
      </c>
      <c r="R964" s="10" t="str">
        <f aca="false">INDEX(Parâmetros!$D$39:$D$43,MATCH(P964,Parâmetros!$A$39:$A$43,0))</f>
        <v>Reciclar: requalificar, reengajar ou encerrar</v>
      </c>
    </row>
    <row r="965" customFormat="false" ht="15" hidden="false" customHeight="false" outlineLevel="0" collapsed="false">
      <c r="A965" s="10" t="s">
        <v>1208</v>
      </c>
      <c r="B965" s="10" t="s">
        <v>83</v>
      </c>
      <c r="C965" s="10" t="s">
        <v>78</v>
      </c>
      <c r="D965" s="10" t="s">
        <v>196</v>
      </c>
      <c r="E965" s="10" t="s">
        <v>49</v>
      </c>
      <c r="F965" s="10"/>
      <c r="G965" s="10" t="s">
        <v>162</v>
      </c>
      <c r="H965" s="30" t="n">
        <v>42939</v>
      </c>
      <c r="I965" s="8" t="n">
        <f aca="false">INDEX(Parâmetros!$C$13:$C$19,MATCH(E965,Parâmetros!$A$13:$A$19,0))</f>
        <v>3393</v>
      </c>
      <c r="J965" s="26" t="n">
        <f aca="false">IF(H965="","",Parâmetros!$B$5-H965)</f>
        <v>161</v>
      </c>
      <c r="K965" s="10" t="n">
        <f aca="false">INDEX(Parâmetros!$D$13:$D$19,MATCH(E965,Parâmetros!$A$13:$A$19,0))</f>
        <v>40</v>
      </c>
      <c r="L965" s="10" t="n">
        <f aca="false">IF(G965="Prospecting",Parâmetros!$B$9,IF(J965&gt;Parâmetros!$B$6,0,INDEX(Parâmetros!$C$24:$C$26,MATCH(J965,Parâmetros!$A$24:$A$26,1))))</f>
        <v>0</v>
      </c>
      <c r="M965" s="31" t="n">
        <f aca="false">IF(G965="Prospecting",1,INDEX(Parâmetros!$C$32:$C$35,MATCH(J965,Parâmetros!$A$32:$A$35,1)))</f>
        <v>0.6</v>
      </c>
      <c r="N965" s="2" t="n">
        <f aca="false">ROUND((K965+L965)*M965,0)</f>
        <v>24</v>
      </c>
      <c r="O965" s="10" t="str">
        <f aca="false">IF(AND(G965="Engaging",J965&gt;Parâmetros!$B$6),"Sim","Não")</f>
        <v>Sim</v>
      </c>
      <c r="P965" s="32" t="str">
        <f aca="false">IF(O965="Sim","R",IF(N965&gt;=Parâmetros!$B$39,"A",IF(N965&gt;=Parâmetros!$B$40,"B",IF(N965&gt;=Parâmetros!$B$41,"C","D"))))</f>
        <v>R</v>
      </c>
      <c r="Q965" s="10" t="str">
        <f aca="false">IF(F965="","Completar cadastro","")</f>
        <v>Completar cadastro</v>
      </c>
      <c r="R965" s="10" t="str">
        <f aca="false">INDEX(Parâmetros!$D$39:$D$43,MATCH(P965,Parâmetros!$A$39:$A$43,0))</f>
        <v>Reciclar: requalificar, reengajar ou encerrar</v>
      </c>
    </row>
    <row r="966" customFormat="false" ht="15" hidden="false" customHeight="false" outlineLevel="0" collapsed="false">
      <c r="A966" s="10" t="s">
        <v>1209</v>
      </c>
      <c r="B966" s="10" t="s">
        <v>86</v>
      </c>
      <c r="C966" s="10" t="s">
        <v>85</v>
      </c>
      <c r="D966" s="10" t="s">
        <v>165</v>
      </c>
      <c r="E966" s="10" t="s">
        <v>49</v>
      </c>
      <c r="F966" s="10"/>
      <c r="G966" s="10" t="s">
        <v>162</v>
      </c>
      <c r="H966" s="30" t="n">
        <v>42940</v>
      </c>
      <c r="I966" s="8" t="n">
        <f aca="false">INDEX(Parâmetros!$C$13:$C$19,MATCH(E966,Parâmetros!$A$13:$A$19,0))</f>
        <v>3393</v>
      </c>
      <c r="J966" s="26" t="n">
        <f aca="false">IF(H966="","",Parâmetros!$B$5-H966)</f>
        <v>160</v>
      </c>
      <c r="K966" s="10" t="n">
        <f aca="false">INDEX(Parâmetros!$D$13:$D$19,MATCH(E966,Parâmetros!$A$13:$A$19,0))</f>
        <v>40</v>
      </c>
      <c r="L966" s="10" t="n">
        <f aca="false">IF(G966="Prospecting",Parâmetros!$B$9,IF(J966&gt;Parâmetros!$B$6,0,INDEX(Parâmetros!$C$24:$C$26,MATCH(J966,Parâmetros!$A$24:$A$26,1))))</f>
        <v>0</v>
      </c>
      <c r="M966" s="31" t="n">
        <f aca="false">IF(G966="Prospecting",1,INDEX(Parâmetros!$C$32:$C$35,MATCH(J966,Parâmetros!$A$32:$A$35,1)))</f>
        <v>0.6</v>
      </c>
      <c r="N966" s="2" t="n">
        <f aca="false">ROUND((K966+L966)*M966,0)</f>
        <v>24</v>
      </c>
      <c r="O966" s="10" t="str">
        <f aca="false">IF(AND(G966="Engaging",J966&gt;Parâmetros!$B$6),"Sim","Não")</f>
        <v>Sim</v>
      </c>
      <c r="P966" s="32" t="str">
        <f aca="false">IF(O966="Sim","R",IF(N966&gt;=Parâmetros!$B$39,"A",IF(N966&gt;=Parâmetros!$B$40,"B",IF(N966&gt;=Parâmetros!$B$41,"C","D"))))</f>
        <v>R</v>
      </c>
      <c r="Q966" s="10" t="str">
        <f aca="false">IF(F966="","Completar cadastro","")</f>
        <v>Completar cadastro</v>
      </c>
      <c r="R966" s="10" t="str">
        <f aca="false">INDEX(Parâmetros!$D$39:$D$43,MATCH(P966,Parâmetros!$A$39:$A$43,0))</f>
        <v>Reciclar: requalificar, reengajar ou encerrar</v>
      </c>
    </row>
    <row r="967" customFormat="false" ht="15" hidden="false" customHeight="false" outlineLevel="0" collapsed="false">
      <c r="A967" s="10" t="s">
        <v>1210</v>
      </c>
      <c r="B967" s="10" t="s">
        <v>77</v>
      </c>
      <c r="C967" s="10" t="s">
        <v>78</v>
      </c>
      <c r="D967" s="10" t="s">
        <v>196</v>
      </c>
      <c r="E967" s="10" t="s">
        <v>49</v>
      </c>
      <c r="F967" s="10"/>
      <c r="G967" s="10" t="s">
        <v>162</v>
      </c>
      <c r="H967" s="30" t="n">
        <v>42940</v>
      </c>
      <c r="I967" s="8" t="n">
        <f aca="false">INDEX(Parâmetros!$C$13:$C$19,MATCH(E967,Parâmetros!$A$13:$A$19,0))</f>
        <v>3393</v>
      </c>
      <c r="J967" s="26" t="n">
        <f aca="false">IF(H967="","",Parâmetros!$B$5-H967)</f>
        <v>160</v>
      </c>
      <c r="K967" s="10" t="n">
        <f aca="false">INDEX(Parâmetros!$D$13:$D$19,MATCH(E967,Parâmetros!$A$13:$A$19,0))</f>
        <v>40</v>
      </c>
      <c r="L967" s="10" t="n">
        <f aca="false">IF(G967="Prospecting",Parâmetros!$B$9,IF(J967&gt;Parâmetros!$B$6,0,INDEX(Parâmetros!$C$24:$C$26,MATCH(J967,Parâmetros!$A$24:$A$26,1))))</f>
        <v>0</v>
      </c>
      <c r="M967" s="31" t="n">
        <f aca="false">IF(G967="Prospecting",1,INDEX(Parâmetros!$C$32:$C$35,MATCH(J967,Parâmetros!$A$32:$A$35,1)))</f>
        <v>0.6</v>
      </c>
      <c r="N967" s="2" t="n">
        <f aca="false">ROUND((K967+L967)*M967,0)</f>
        <v>24</v>
      </c>
      <c r="O967" s="10" t="str">
        <f aca="false">IF(AND(G967="Engaging",J967&gt;Parâmetros!$B$6),"Sim","Não")</f>
        <v>Sim</v>
      </c>
      <c r="P967" s="32" t="str">
        <f aca="false">IF(O967="Sim","R",IF(N967&gt;=Parâmetros!$B$39,"A",IF(N967&gt;=Parâmetros!$B$40,"B",IF(N967&gt;=Parâmetros!$B$41,"C","D"))))</f>
        <v>R</v>
      </c>
      <c r="Q967" s="10" t="str">
        <f aca="false">IF(F967="","Completar cadastro","")</f>
        <v>Completar cadastro</v>
      </c>
      <c r="R967" s="10" t="str">
        <f aca="false">INDEX(Parâmetros!$D$39:$D$43,MATCH(P967,Parâmetros!$A$39:$A$43,0))</f>
        <v>Reciclar: requalificar, reengajar ou encerrar</v>
      </c>
    </row>
    <row r="968" customFormat="false" ht="15" hidden="false" customHeight="false" outlineLevel="0" collapsed="false">
      <c r="A968" s="10" t="s">
        <v>1211</v>
      </c>
      <c r="B968" s="10" t="s">
        <v>76</v>
      </c>
      <c r="C968" s="10" t="s">
        <v>72</v>
      </c>
      <c r="D968" s="10" t="s">
        <v>196</v>
      </c>
      <c r="E968" s="10" t="s">
        <v>49</v>
      </c>
      <c r="F968" s="10" t="s">
        <v>986</v>
      </c>
      <c r="G968" s="10" t="s">
        <v>162</v>
      </c>
      <c r="H968" s="30" t="n">
        <v>42940</v>
      </c>
      <c r="I968" s="8" t="n">
        <f aca="false">INDEX(Parâmetros!$C$13:$C$19,MATCH(E968,Parâmetros!$A$13:$A$19,0))</f>
        <v>3393</v>
      </c>
      <c r="J968" s="26" t="n">
        <f aca="false">IF(H968="","",Parâmetros!$B$5-H968)</f>
        <v>160</v>
      </c>
      <c r="K968" s="10" t="n">
        <f aca="false">INDEX(Parâmetros!$D$13:$D$19,MATCH(E968,Parâmetros!$A$13:$A$19,0))</f>
        <v>40</v>
      </c>
      <c r="L968" s="10" t="n">
        <f aca="false">IF(G968="Prospecting",Parâmetros!$B$9,IF(J968&gt;Parâmetros!$B$6,0,INDEX(Parâmetros!$C$24:$C$26,MATCH(J968,Parâmetros!$A$24:$A$26,1))))</f>
        <v>0</v>
      </c>
      <c r="M968" s="31" t="n">
        <f aca="false">IF(G968="Prospecting",1,INDEX(Parâmetros!$C$32:$C$35,MATCH(J968,Parâmetros!$A$32:$A$35,1)))</f>
        <v>0.6</v>
      </c>
      <c r="N968" s="2" t="n">
        <f aca="false">ROUND((K968+L968)*M968,0)</f>
        <v>24</v>
      </c>
      <c r="O968" s="10" t="str">
        <f aca="false">IF(AND(G968="Engaging",J968&gt;Parâmetros!$B$6),"Sim","Não")</f>
        <v>Sim</v>
      </c>
      <c r="P968" s="32" t="str">
        <f aca="false">IF(O968="Sim","R",IF(N968&gt;=Parâmetros!$B$39,"A",IF(N968&gt;=Parâmetros!$B$40,"B",IF(N968&gt;=Parâmetros!$B$41,"C","D"))))</f>
        <v>R</v>
      </c>
      <c r="Q968" s="10" t="str">
        <f aca="false">IF(F968="","Completar cadastro","")</f>
        <v/>
      </c>
      <c r="R968" s="10" t="str">
        <f aca="false">INDEX(Parâmetros!$D$39:$D$43,MATCH(P968,Parâmetros!$A$39:$A$43,0))</f>
        <v>Reciclar: requalificar, reengajar ou encerrar</v>
      </c>
    </row>
    <row r="969" customFormat="false" ht="15" hidden="false" customHeight="false" outlineLevel="0" collapsed="false">
      <c r="A969" s="10" t="s">
        <v>1212</v>
      </c>
      <c r="B969" s="10" t="s">
        <v>76</v>
      </c>
      <c r="C969" s="10" t="s">
        <v>72</v>
      </c>
      <c r="D969" s="10" t="s">
        <v>196</v>
      </c>
      <c r="E969" s="10" t="s">
        <v>49</v>
      </c>
      <c r="F969" s="10" t="s">
        <v>524</v>
      </c>
      <c r="G969" s="10" t="s">
        <v>162</v>
      </c>
      <c r="H969" s="30" t="n">
        <v>42940</v>
      </c>
      <c r="I969" s="8" t="n">
        <f aca="false">INDEX(Parâmetros!$C$13:$C$19,MATCH(E969,Parâmetros!$A$13:$A$19,0))</f>
        <v>3393</v>
      </c>
      <c r="J969" s="26" t="n">
        <f aca="false">IF(H969="","",Parâmetros!$B$5-H969)</f>
        <v>160</v>
      </c>
      <c r="K969" s="10" t="n">
        <f aca="false">INDEX(Parâmetros!$D$13:$D$19,MATCH(E969,Parâmetros!$A$13:$A$19,0))</f>
        <v>40</v>
      </c>
      <c r="L969" s="10" t="n">
        <f aca="false">IF(G969="Prospecting",Parâmetros!$B$9,IF(J969&gt;Parâmetros!$B$6,0,INDEX(Parâmetros!$C$24:$C$26,MATCH(J969,Parâmetros!$A$24:$A$26,1))))</f>
        <v>0</v>
      </c>
      <c r="M969" s="31" t="n">
        <f aca="false">IF(G969="Prospecting",1,INDEX(Parâmetros!$C$32:$C$35,MATCH(J969,Parâmetros!$A$32:$A$35,1)))</f>
        <v>0.6</v>
      </c>
      <c r="N969" s="2" t="n">
        <f aca="false">ROUND((K969+L969)*M969,0)</f>
        <v>24</v>
      </c>
      <c r="O969" s="10" t="str">
        <f aca="false">IF(AND(G969="Engaging",J969&gt;Parâmetros!$B$6),"Sim","Não")</f>
        <v>Sim</v>
      </c>
      <c r="P969" s="32" t="str">
        <f aca="false">IF(O969="Sim","R",IF(N969&gt;=Parâmetros!$B$39,"A",IF(N969&gt;=Parâmetros!$B$40,"B",IF(N969&gt;=Parâmetros!$B$41,"C","D"))))</f>
        <v>R</v>
      </c>
      <c r="Q969" s="10" t="str">
        <f aca="false">IF(F969="","Completar cadastro","")</f>
        <v/>
      </c>
      <c r="R969" s="10" t="str">
        <f aca="false">INDEX(Parâmetros!$D$39:$D$43,MATCH(P969,Parâmetros!$A$39:$A$43,0))</f>
        <v>Reciclar: requalificar, reengajar ou encerrar</v>
      </c>
    </row>
    <row r="970" customFormat="false" ht="15" hidden="false" customHeight="false" outlineLevel="0" collapsed="false">
      <c r="A970" s="10" t="s">
        <v>1213</v>
      </c>
      <c r="B970" s="10" t="s">
        <v>71</v>
      </c>
      <c r="C970" s="10" t="s">
        <v>72</v>
      </c>
      <c r="D970" s="10" t="s">
        <v>196</v>
      </c>
      <c r="E970" s="10" t="s">
        <v>49</v>
      </c>
      <c r="F970" s="10" t="s">
        <v>344</v>
      </c>
      <c r="G970" s="10" t="s">
        <v>162</v>
      </c>
      <c r="H970" s="30" t="n">
        <v>42941</v>
      </c>
      <c r="I970" s="8" t="n">
        <f aca="false">INDEX(Parâmetros!$C$13:$C$19,MATCH(E970,Parâmetros!$A$13:$A$19,0))</f>
        <v>3393</v>
      </c>
      <c r="J970" s="26" t="n">
        <f aca="false">IF(H970="","",Parâmetros!$B$5-H970)</f>
        <v>159</v>
      </c>
      <c r="K970" s="10" t="n">
        <f aca="false">INDEX(Parâmetros!$D$13:$D$19,MATCH(E970,Parâmetros!$A$13:$A$19,0))</f>
        <v>40</v>
      </c>
      <c r="L970" s="10" t="n">
        <f aca="false">IF(G970="Prospecting",Parâmetros!$B$9,IF(J970&gt;Parâmetros!$B$6,0,INDEX(Parâmetros!$C$24:$C$26,MATCH(J970,Parâmetros!$A$24:$A$26,1))))</f>
        <v>0</v>
      </c>
      <c r="M970" s="31" t="n">
        <f aca="false">IF(G970="Prospecting",1,INDEX(Parâmetros!$C$32:$C$35,MATCH(J970,Parâmetros!$A$32:$A$35,1)))</f>
        <v>0.6</v>
      </c>
      <c r="N970" s="2" t="n">
        <f aca="false">ROUND((K970+L970)*M970,0)</f>
        <v>24</v>
      </c>
      <c r="O970" s="10" t="str">
        <f aca="false">IF(AND(G970="Engaging",J970&gt;Parâmetros!$B$6),"Sim","Não")</f>
        <v>Sim</v>
      </c>
      <c r="P970" s="32" t="str">
        <f aca="false">IF(O970="Sim","R",IF(N970&gt;=Parâmetros!$B$39,"A",IF(N970&gt;=Parâmetros!$B$40,"B",IF(N970&gt;=Parâmetros!$B$41,"C","D"))))</f>
        <v>R</v>
      </c>
      <c r="Q970" s="10" t="str">
        <f aca="false">IF(F970="","Completar cadastro","")</f>
        <v/>
      </c>
      <c r="R970" s="10" t="str">
        <f aca="false">INDEX(Parâmetros!$D$39:$D$43,MATCH(P970,Parâmetros!$A$39:$A$43,0))</f>
        <v>Reciclar: requalificar, reengajar ou encerrar</v>
      </c>
    </row>
    <row r="971" customFormat="false" ht="15" hidden="false" customHeight="false" outlineLevel="0" collapsed="false">
      <c r="A971" s="10" t="s">
        <v>1214</v>
      </c>
      <c r="B971" s="10" t="s">
        <v>71</v>
      </c>
      <c r="C971" s="10" t="s">
        <v>72</v>
      </c>
      <c r="D971" s="10" t="s">
        <v>196</v>
      </c>
      <c r="E971" s="10" t="s">
        <v>49</v>
      </c>
      <c r="F971" s="10" t="s">
        <v>359</v>
      </c>
      <c r="G971" s="10" t="s">
        <v>162</v>
      </c>
      <c r="H971" s="30" t="n">
        <v>42941</v>
      </c>
      <c r="I971" s="8" t="n">
        <f aca="false">INDEX(Parâmetros!$C$13:$C$19,MATCH(E971,Parâmetros!$A$13:$A$19,0))</f>
        <v>3393</v>
      </c>
      <c r="J971" s="26" t="n">
        <f aca="false">IF(H971="","",Parâmetros!$B$5-H971)</f>
        <v>159</v>
      </c>
      <c r="K971" s="10" t="n">
        <f aca="false">INDEX(Parâmetros!$D$13:$D$19,MATCH(E971,Parâmetros!$A$13:$A$19,0))</f>
        <v>40</v>
      </c>
      <c r="L971" s="10" t="n">
        <f aca="false">IF(G971="Prospecting",Parâmetros!$B$9,IF(J971&gt;Parâmetros!$B$6,0,INDEX(Parâmetros!$C$24:$C$26,MATCH(J971,Parâmetros!$A$24:$A$26,1))))</f>
        <v>0</v>
      </c>
      <c r="M971" s="31" t="n">
        <f aca="false">IF(G971="Prospecting",1,INDEX(Parâmetros!$C$32:$C$35,MATCH(J971,Parâmetros!$A$32:$A$35,1)))</f>
        <v>0.6</v>
      </c>
      <c r="N971" s="2" t="n">
        <f aca="false">ROUND((K971+L971)*M971,0)</f>
        <v>24</v>
      </c>
      <c r="O971" s="10" t="str">
        <f aca="false">IF(AND(G971="Engaging",J971&gt;Parâmetros!$B$6),"Sim","Não")</f>
        <v>Sim</v>
      </c>
      <c r="P971" s="32" t="str">
        <f aca="false">IF(O971="Sim","R",IF(N971&gt;=Parâmetros!$B$39,"A",IF(N971&gt;=Parâmetros!$B$40,"B",IF(N971&gt;=Parâmetros!$B$41,"C","D"))))</f>
        <v>R</v>
      </c>
      <c r="Q971" s="10" t="str">
        <f aca="false">IF(F971="","Completar cadastro","")</f>
        <v/>
      </c>
      <c r="R971" s="10" t="str">
        <f aca="false">INDEX(Parâmetros!$D$39:$D$43,MATCH(P971,Parâmetros!$A$39:$A$43,0))</f>
        <v>Reciclar: requalificar, reengajar ou encerrar</v>
      </c>
    </row>
    <row r="972" customFormat="false" ht="15" hidden="false" customHeight="false" outlineLevel="0" collapsed="false">
      <c r="A972" s="10" t="s">
        <v>1215</v>
      </c>
      <c r="B972" s="10" t="s">
        <v>73</v>
      </c>
      <c r="C972" s="10" t="s">
        <v>72</v>
      </c>
      <c r="D972" s="10" t="s">
        <v>196</v>
      </c>
      <c r="E972" s="10" t="s">
        <v>49</v>
      </c>
      <c r="F972" s="10" t="s">
        <v>279</v>
      </c>
      <c r="G972" s="10" t="s">
        <v>162</v>
      </c>
      <c r="H972" s="30" t="n">
        <v>42941</v>
      </c>
      <c r="I972" s="8" t="n">
        <f aca="false">INDEX(Parâmetros!$C$13:$C$19,MATCH(E972,Parâmetros!$A$13:$A$19,0))</f>
        <v>3393</v>
      </c>
      <c r="J972" s="26" t="n">
        <f aca="false">IF(H972="","",Parâmetros!$B$5-H972)</f>
        <v>159</v>
      </c>
      <c r="K972" s="10" t="n">
        <f aca="false">INDEX(Parâmetros!$D$13:$D$19,MATCH(E972,Parâmetros!$A$13:$A$19,0))</f>
        <v>40</v>
      </c>
      <c r="L972" s="10" t="n">
        <f aca="false">IF(G972="Prospecting",Parâmetros!$B$9,IF(J972&gt;Parâmetros!$B$6,0,INDEX(Parâmetros!$C$24:$C$26,MATCH(J972,Parâmetros!$A$24:$A$26,1))))</f>
        <v>0</v>
      </c>
      <c r="M972" s="31" t="n">
        <f aca="false">IF(G972="Prospecting",1,INDEX(Parâmetros!$C$32:$C$35,MATCH(J972,Parâmetros!$A$32:$A$35,1)))</f>
        <v>0.6</v>
      </c>
      <c r="N972" s="2" t="n">
        <f aca="false">ROUND((K972+L972)*M972,0)</f>
        <v>24</v>
      </c>
      <c r="O972" s="10" t="str">
        <f aca="false">IF(AND(G972="Engaging",J972&gt;Parâmetros!$B$6),"Sim","Não")</f>
        <v>Sim</v>
      </c>
      <c r="P972" s="32" t="str">
        <f aca="false">IF(O972="Sim","R",IF(N972&gt;=Parâmetros!$B$39,"A",IF(N972&gt;=Parâmetros!$B$40,"B",IF(N972&gt;=Parâmetros!$B$41,"C","D"))))</f>
        <v>R</v>
      </c>
      <c r="Q972" s="10" t="str">
        <f aca="false">IF(F972="","Completar cadastro","")</f>
        <v/>
      </c>
      <c r="R972" s="10" t="str">
        <f aca="false">INDEX(Parâmetros!$D$39:$D$43,MATCH(P972,Parâmetros!$A$39:$A$43,0))</f>
        <v>Reciclar: requalificar, reengajar ou encerrar</v>
      </c>
    </row>
    <row r="973" customFormat="false" ht="15" hidden="false" customHeight="false" outlineLevel="0" collapsed="false">
      <c r="A973" s="10" t="s">
        <v>1216</v>
      </c>
      <c r="B973" s="10" t="s">
        <v>77</v>
      </c>
      <c r="C973" s="10" t="s">
        <v>78</v>
      </c>
      <c r="D973" s="10" t="s">
        <v>196</v>
      </c>
      <c r="E973" s="10" t="s">
        <v>49</v>
      </c>
      <c r="F973" s="10"/>
      <c r="G973" s="10" t="s">
        <v>162</v>
      </c>
      <c r="H973" s="30" t="n">
        <v>42941</v>
      </c>
      <c r="I973" s="8" t="n">
        <f aca="false">INDEX(Parâmetros!$C$13:$C$19,MATCH(E973,Parâmetros!$A$13:$A$19,0))</f>
        <v>3393</v>
      </c>
      <c r="J973" s="26" t="n">
        <f aca="false">IF(H973="","",Parâmetros!$B$5-H973)</f>
        <v>159</v>
      </c>
      <c r="K973" s="10" t="n">
        <f aca="false">INDEX(Parâmetros!$D$13:$D$19,MATCH(E973,Parâmetros!$A$13:$A$19,0))</f>
        <v>40</v>
      </c>
      <c r="L973" s="10" t="n">
        <f aca="false">IF(G973="Prospecting",Parâmetros!$B$9,IF(J973&gt;Parâmetros!$B$6,0,INDEX(Parâmetros!$C$24:$C$26,MATCH(J973,Parâmetros!$A$24:$A$26,1))))</f>
        <v>0</v>
      </c>
      <c r="M973" s="31" t="n">
        <f aca="false">IF(G973="Prospecting",1,INDEX(Parâmetros!$C$32:$C$35,MATCH(J973,Parâmetros!$A$32:$A$35,1)))</f>
        <v>0.6</v>
      </c>
      <c r="N973" s="2" t="n">
        <f aca="false">ROUND((K973+L973)*M973,0)</f>
        <v>24</v>
      </c>
      <c r="O973" s="10" t="str">
        <f aca="false">IF(AND(G973="Engaging",J973&gt;Parâmetros!$B$6),"Sim","Não")</f>
        <v>Sim</v>
      </c>
      <c r="P973" s="32" t="str">
        <f aca="false">IF(O973="Sim","R",IF(N973&gt;=Parâmetros!$B$39,"A",IF(N973&gt;=Parâmetros!$B$40,"B",IF(N973&gt;=Parâmetros!$B$41,"C","D"))))</f>
        <v>R</v>
      </c>
      <c r="Q973" s="10" t="str">
        <f aca="false">IF(F973="","Completar cadastro","")</f>
        <v>Completar cadastro</v>
      </c>
      <c r="R973" s="10" t="str">
        <f aca="false">INDEX(Parâmetros!$D$39:$D$43,MATCH(P973,Parâmetros!$A$39:$A$43,0))</f>
        <v>Reciclar: requalificar, reengajar ou encerrar</v>
      </c>
    </row>
    <row r="974" customFormat="false" ht="15" hidden="false" customHeight="false" outlineLevel="0" collapsed="false">
      <c r="A974" s="10" t="s">
        <v>1217</v>
      </c>
      <c r="B974" s="10" t="s">
        <v>79</v>
      </c>
      <c r="C974" s="10" t="s">
        <v>78</v>
      </c>
      <c r="D974" s="10" t="s">
        <v>196</v>
      </c>
      <c r="E974" s="10" t="s">
        <v>49</v>
      </c>
      <c r="F974" s="10"/>
      <c r="G974" s="10" t="s">
        <v>162</v>
      </c>
      <c r="H974" s="30" t="n">
        <v>42941</v>
      </c>
      <c r="I974" s="8" t="n">
        <f aca="false">INDEX(Parâmetros!$C$13:$C$19,MATCH(E974,Parâmetros!$A$13:$A$19,0))</f>
        <v>3393</v>
      </c>
      <c r="J974" s="26" t="n">
        <f aca="false">IF(H974="","",Parâmetros!$B$5-H974)</f>
        <v>159</v>
      </c>
      <c r="K974" s="10" t="n">
        <f aca="false">INDEX(Parâmetros!$D$13:$D$19,MATCH(E974,Parâmetros!$A$13:$A$19,0))</f>
        <v>40</v>
      </c>
      <c r="L974" s="10" t="n">
        <f aca="false">IF(G974="Prospecting",Parâmetros!$B$9,IF(J974&gt;Parâmetros!$B$6,0,INDEX(Parâmetros!$C$24:$C$26,MATCH(J974,Parâmetros!$A$24:$A$26,1))))</f>
        <v>0</v>
      </c>
      <c r="M974" s="31" t="n">
        <f aca="false">IF(G974="Prospecting",1,INDEX(Parâmetros!$C$32:$C$35,MATCH(J974,Parâmetros!$A$32:$A$35,1)))</f>
        <v>0.6</v>
      </c>
      <c r="N974" s="2" t="n">
        <f aca="false">ROUND((K974+L974)*M974,0)</f>
        <v>24</v>
      </c>
      <c r="O974" s="10" t="str">
        <f aca="false">IF(AND(G974="Engaging",J974&gt;Parâmetros!$B$6),"Sim","Não")</f>
        <v>Sim</v>
      </c>
      <c r="P974" s="32" t="str">
        <f aca="false">IF(O974="Sim","R",IF(N974&gt;=Parâmetros!$B$39,"A",IF(N974&gt;=Parâmetros!$B$40,"B",IF(N974&gt;=Parâmetros!$B$41,"C","D"))))</f>
        <v>R</v>
      </c>
      <c r="Q974" s="10" t="str">
        <f aca="false">IF(F974="","Completar cadastro","")</f>
        <v>Completar cadastro</v>
      </c>
      <c r="R974" s="10" t="str">
        <f aca="false">INDEX(Parâmetros!$D$39:$D$43,MATCH(P974,Parâmetros!$A$39:$A$43,0))</f>
        <v>Reciclar: requalificar, reengajar ou encerrar</v>
      </c>
    </row>
    <row r="975" customFormat="false" ht="15" hidden="false" customHeight="false" outlineLevel="0" collapsed="false">
      <c r="A975" s="10" t="s">
        <v>1218</v>
      </c>
      <c r="B975" s="10" t="s">
        <v>67</v>
      </c>
      <c r="C975" s="10" t="s">
        <v>65</v>
      </c>
      <c r="D975" s="10" t="s">
        <v>160</v>
      </c>
      <c r="E975" s="10" t="s">
        <v>49</v>
      </c>
      <c r="F975" s="10"/>
      <c r="G975" s="10" t="s">
        <v>162</v>
      </c>
      <c r="H975" s="30" t="n">
        <v>42941</v>
      </c>
      <c r="I975" s="8" t="n">
        <f aca="false">INDEX(Parâmetros!$C$13:$C$19,MATCH(E975,Parâmetros!$A$13:$A$19,0))</f>
        <v>3393</v>
      </c>
      <c r="J975" s="26" t="n">
        <f aca="false">IF(H975="","",Parâmetros!$B$5-H975)</f>
        <v>159</v>
      </c>
      <c r="K975" s="10" t="n">
        <f aca="false">INDEX(Parâmetros!$D$13:$D$19,MATCH(E975,Parâmetros!$A$13:$A$19,0))</f>
        <v>40</v>
      </c>
      <c r="L975" s="10" t="n">
        <f aca="false">IF(G975="Prospecting",Parâmetros!$B$9,IF(J975&gt;Parâmetros!$B$6,0,INDEX(Parâmetros!$C$24:$C$26,MATCH(J975,Parâmetros!$A$24:$A$26,1))))</f>
        <v>0</v>
      </c>
      <c r="M975" s="31" t="n">
        <f aca="false">IF(G975="Prospecting",1,INDEX(Parâmetros!$C$32:$C$35,MATCH(J975,Parâmetros!$A$32:$A$35,1)))</f>
        <v>0.6</v>
      </c>
      <c r="N975" s="2" t="n">
        <f aca="false">ROUND((K975+L975)*M975,0)</f>
        <v>24</v>
      </c>
      <c r="O975" s="10" t="str">
        <f aca="false">IF(AND(G975="Engaging",J975&gt;Parâmetros!$B$6),"Sim","Não")</f>
        <v>Sim</v>
      </c>
      <c r="P975" s="32" t="str">
        <f aca="false">IF(O975="Sim","R",IF(N975&gt;=Parâmetros!$B$39,"A",IF(N975&gt;=Parâmetros!$B$40,"B",IF(N975&gt;=Parâmetros!$B$41,"C","D"))))</f>
        <v>R</v>
      </c>
      <c r="Q975" s="10" t="str">
        <f aca="false">IF(F975="","Completar cadastro","")</f>
        <v>Completar cadastro</v>
      </c>
      <c r="R975" s="10" t="str">
        <f aca="false">INDEX(Parâmetros!$D$39:$D$43,MATCH(P975,Parâmetros!$A$39:$A$43,0))</f>
        <v>Reciclar: requalificar, reengajar ou encerrar</v>
      </c>
    </row>
    <row r="976" customFormat="false" ht="15" hidden="false" customHeight="false" outlineLevel="0" collapsed="false">
      <c r="A976" s="10" t="s">
        <v>1219</v>
      </c>
      <c r="B976" s="10" t="s">
        <v>74</v>
      </c>
      <c r="C976" s="10" t="s">
        <v>72</v>
      </c>
      <c r="D976" s="10" t="s">
        <v>196</v>
      </c>
      <c r="E976" s="10" t="s">
        <v>49</v>
      </c>
      <c r="F976" s="10" t="s">
        <v>1118</v>
      </c>
      <c r="G976" s="10" t="s">
        <v>162</v>
      </c>
      <c r="H976" s="30" t="n">
        <v>42941</v>
      </c>
      <c r="I976" s="8" t="n">
        <f aca="false">INDEX(Parâmetros!$C$13:$C$19,MATCH(E976,Parâmetros!$A$13:$A$19,0))</f>
        <v>3393</v>
      </c>
      <c r="J976" s="26" t="n">
        <f aca="false">IF(H976="","",Parâmetros!$B$5-H976)</f>
        <v>159</v>
      </c>
      <c r="K976" s="10" t="n">
        <f aca="false">INDEX(Parâmetros!$D$13:$D$19,MATCH(E976,Parâmetros!$A$13:$A$19,0))</f>
        <v>40</v>
      </c>
      <c r="L976" s="10" t="n">
        <f aca="false">IF(G976="Prospecting",Parâmetros!$B$9,IF(J976&gt;Parâmetros!$B$6,0,INDEX(Parâmetros!$C$24:$C$26,MATCH(J976,Parâmetros!$A$24:$A$26,1))))</f>
        <v>0</v>
      </c>
      <c r="M976" s="31" t="n">
        <f aca="false">IF(G976="Prospecting",1,INDEX(Parâmetros!$C$32:$C$35,MATCH(J976,Parâmetros!$A$32:$A$35,1)))</f>
        <v>0.6</v>
      </c>
      <c r="N976" s="2" t="n">
        <f aca="false">ROUND((K976+L976)*M976,0)</f>
        <v>24</v>
      </c>
      <c r="O976" s="10" t="str">
        <f aca="false">IF(AND(G976="Engaging",J976&gt;Parâmetros!$B$6),"Sim","Não")</f>
        <v>Sim</v>
      </c>
      <c r="P976" s="32" t="str">
        <f aca="false">IF(O976="Sim","R",IF(N976&gt;=Parâmetros!$B$39,"A",IF(N976&gt;=Parâmetros!$B$40,"B",IF(N976&gt;=Parâmetros!$B$41,"C","D"))))</f>
        <v>R</v>
      </c>
      <c r="Q976" s="10" t="str">
        <f aca="false">IF(F976="","Completar cadastro","")</f>
        <v/>
      </c>
      <c r="R976" s="10" t="str">
        <f aca="false">INDEX(Parâmetros!$D$39:$D$43,MATCH(P976,Parâmetros!$A$39:$A$43,0))</f>
        <v>Reciclar: requalificar, reengajar ou encerrar</v>
      </c>
    </row>
    <row r="977" customFormat="false" ht="15" hidden="false" customHeight="false" outlineLevel="0" collapsed="false">
      <c r="A977" s="10" t="s">
        <v>1220</v>
      </c>
      <c r="B977" s="10" t="s">
        <v>74</v>
      </c>
      <c r="C977" s="10" t="s">
        <v>72</v>
      </c>
      <c r="D977" s="10" t="s">
        <v>196</v>
      </c>
      <c r="E977" s="10" t="s">
        <v>49</v>
      </c>
      <c r="F977" s="10"/>
      <c r="G977" s="10" t="s">
        <v>162</v>
      </c>
      <c r="H977" s="30" t="n">
        <v>42941</v>
      </c>
      <c r="I977" s="8" t="n">
        <f aca="false">INDEX(Parâmetros!$C$13:$C$19,MATCH(E977,Parâmetros!$A$13:$A$19,0))</f>
        <v>3393</v>
      </c>
      <c r="J977" s="26" t="n">
        <f aca="false">IF(H977="","",Parâmetros!$B$5-H977)</f>
        <v>159</v>
      </c>
      <c r="K977" s="10" t="n">
        <f aca="false">INDEX(Parâmetros!$D$13:$D$19,MATCH(E977,Parâmetros!$A$13:$A$19,0))</f>
        <v>40</v>
      </c>
      <c r="L977" s="10" t="n">
        <f aca="false">IF(G977="Prospecting",Parâmetros!$B$9,IF(J977&gt;Parâmetros!$B$6,0,INDEX(Parâmetros!$C$24:$C$26,MATCH(J977,Parâmetros!$A$24:$A$26,1))))</f>
        <v>0</v>
      </c>
      <c r="M977" s="31" t="n">
        <f aca="false">IF(G977="Prospecting",1,INDEX(Parâmetros!$C$32:$C$35,MATCH(J977,Parâmetros!$A$32:$A$35,1)))</f>
        <v>0.6</v>
      </c>
      <c r="N977" s="2" t="n">
        <f aca="false">ROUND((K977+L977)*M977,0)</f>
        <v>24</v>
      </c>
      <c r="O977" s="10" t="str">
        <f aca="false">IF(AND(G977="Engaging",J977&gt;Parâmetros!$B$6),"Sim","Não")</f>
        <v>Sim</v>
      </c>
      <c r="P977" s="32" t="str">
        <f aca="false">IF(O977="Sim","R",IF(N977&gt;=Parâmetros!$B$39,"A",IF(N977&gt;=Parâmetros!$B$40,"B",IF(N977&gt;=Parâmetros!$B$41,"C","D"))))</f>
        <v>R</v>
      </c>
      <c r="Q977" s="10" t="str">
        <f aca="false">IF(F977="","Completar cadastro","")</f>
        <v>Completar cadastro</v>
      </c>
      <c r="R977" s="10" t="str">
        <f aca="false">INDEX(Parâmetros!$D$39:$D$43,MATCH(P977,Parâmetros!$A$39:$A$43,0))</f>
        <v>Reciclar: requalificar, reengajar ou encerrar</v>
      </c>
    </row>
    <row r="978" customFormat="false" ht="15" hidden="false" customHeight="false" outlineLevel="0" collapsed="false">
      <c r="A978" s="10" t="s">
        <v>1221</v>
      </c>
      <c r="B978" s="10" t="s">
        <v>75</v>
      </c>
      <c r="C978" s="10" t="s">
        <v>72</v>
      </c>
      <c r="D978" s="10" t="s">
        <v>196</v>
      </c>
      <c r="E978" s="10" t="s">
        <v>49</v>
      </c>
      <c r="F978" s="10" t="s">
        <v>419</v>
      </c>
      <c r="G978" s="10" t="s">
        <v>162</v>
      </c>
      <c r="H978" s="30" t="n">
        <v>42941</v>
      </c>
      <c r="I978" s="8" t="n">
        <f aca="false">INDEX(Parâmetros!$C$13:$C$19,MATCH(E978,Parâmetros!$A$13:$A$19,0))</f>
        <v>3393</v>
      </c>
      <c r="J978" s="26" t="n">
        <f aca="false">IF(H978="","",Parâmetros!$B$5-H978)</f>
        <v>159</v>
      </c>
      <c r="K978" s="10" t="n">
        <f aca="false">INDEX(Parâmetros!$D$13:$D$19,MATCH(E978,Parâmetros!$A$13:$A$19,0))</f>
        <v>40</v>
      </c>
      <c r="L978" s="10" t="n">
        <f aca="false">IF(G978="Prospecting",Parâmetros!$B$9,IF(J978&gt;Parâmetros!$B$6,0,INDEX(Parâmetros!$C$24:$C$26,MATCH(J978,Parâmetros!$A$24:$A$26,1))))</f>
        <v>0</v>
      </c>
      <c r="M978" s="31" t="n">
        <f aca="false">IF(G978="Prospecting",1,INDEX(Parâmetros!$C$32:$C$35,MATCH(J978,Parâmetros!$A$32:$A$35,1)))</f>
        <v>0.6</v>
      </c>
      <c r="N978" s="2" t="n">
        <f aca="false">ROUND((K978+L978)*M978,0)</f>
        <v>24</v>
      </c>
      <c r="O978" s="10" t="str">
        <f aca="false">IF(AND(G978="Engaging",J978&gt;Parâmetros!$B$6),"Sim","Não")</f>
        <v>Sim</v>
      </c>
      <c r="P978" s="32" t="str">
        <f aca="false">IF(O978="Sim","R",IF(N978&gt;=Parâmetros!$B$39,"A",IF(N978&gt;=Parâmetros!$B$40,"B",IF(N978&gt;=Parâmetros!$B$41,"C","D"))))</f>
        <v>R</v>
      </c>
      <c r="Q978" s="10" t="str">
        <f aca="false">IF(F978="","Completar cadastro","")</f>
        <v/>
      </c>
      <c r="R978" s="10" t="str">
        <f aca="false">INDEX(Parâmetros!$D$39:$D$43,MATCH(P978,Parâmetros!$A$39:$A$43,0))</f>
        <v>Reciclar: requalificar, reengajar ou encerrar</v>
      </c>
    </row>
    <row r="979" customFormat="false" ht="15" hidden="false" customHeight="false" outlineLevel="0" collapsed="false">
      <c r="A979" s="10" t="s">
        <v>1222</v>
      </c>
      <c r="B979" s="10" t="s">
        <v>83</v>
      </c>
      <c r="C979" s="10" t="s">
        <v>78</v>
      </c>
      <c r="D979" s="10" t="s">
        <v>196</v>
      </c>
      <c r="E979" s="10" t="s">
        <v>49</v>
      </c>
      <c r="F979" s="10" t="s">
        <v>514</v>
      </c>
      <c r="G979" s="10" t="s">
        <v>162</v>
      </c>
      <c r="H979" s="30" t="n">
        <v>42941</v>
      </c>
      <c r="I979" s="8" t="n">
        <f aca="false">INDEX(Parâmetros!$C$13:$C$19,MATCH(E979,Parâmetros!$A$13:$A$19,0))</f>
        <v>3393</v>
      </c>
      <c r="J979" s="26" t="n">
        <f aca="false">IF(H979="","",Parâmetros!$B$5-H979)</f>
        <v>159</v>
      </c>
      <c r="K979" s="10" t="n">
        <f aca="false">INDEX(Parâmetros!$D$13:$D$19,MATCH(E979,Parâmetros!$A$13:$A$19,0))</f>
        <v>40</v>
      </c>
      <c r="L979" s="10" t="n">
        <f aca="false">IF(G979="Prospecting",Parâmetros!$B$9,IF(J979&gt;Parâmetros!$B$6,0,INDEX(Parâmetros!$C$24:$C$26,MATCH(J979,Parâmetros!$A$24:$A$26,1))))</f>
        <v>0</v>
      </c>
      <c r="M979" s="31" t="n">
        <f aca="false">IF(G979="Prospecting",1,INDEX(Parâmetros!$C$32:$C$35,MATCH(J979,Parâmetros!$A$32:$A$35,1)))</f>
        <v>0.6</v>
      </c>
      <c r="N979" s="2" t="n">
        <f aca="false">ROUND((K979+L979)*M979,0)</f>
        <v>24</v>
      </c>
      <c r="O979" s="10" t="str">
        <f aca="false">IF(AND(G979="Engaging",J979&gt;Parâmetros!$B$6),"Sim","Não")</f>
        <v>Sim</v>
      </c>
      <c r="P979" s="32" t="str">
        <f aca="false">IF(O979="Sim","R",IF(N979&gt;=Parâmetros!$B$39,"A",IF(N979&gt;=Parâmetros!$B$40,"B",IF(N979&gt;=Parâmetros!$B$41,"C","D"))))</f>
        <v>R</v>
      </c>
      <c r="Q979" s="10" t="str">
        <f aca="false">IF(F979="","Completar cadastro","")</f>
        <v/>
      </c>
      <c r="R979" s="10" t="str">
        <f aca="false">INDEX(Parâmetros!$D$39:$D$43,MATCH(P979,Parâmetros!$A$39:$A$43,0))</f>
        <v>Reciclar: requalificar, reengajar ou encerrar</v>
      </c>
    </row>
    <row r="980" customFormat="false" ht="15" hidden="false" customHeight="false" outlineLevel="0" collapsed="false">
      <c r="A980" s="10" t="s">
        <v>1223</v>
      </c>
      <c r="B980" s="10" t="s">
        <v>77</v>
      </c>
      <c r="C980" s="10" t="s">
        <v>78</v>
      </c>
      <c r="D980" s="10" t="s">
        <v>196</v>
      </c>
      <c r="E980" s="10" t="s">
        <v>49</v>
      </c>
      <c r="F980" s="10"/>
      <c r="G980" s="10" t="s">
        <v>162</v>
      </c>
      <c r="H980" s="30" t="n">
        <v>42942</v>
      </c>
      <c r="I980" s="8" t="n">
        <f aca="false">INDEX(Parâmetros!$C$13:$C$19,MATCH(E980,Parâmetros!$A$13:$A$19,0))</f>
        <v>3393</v>
      </c>
      <c r="J980" s="26" t="n">
        <f aca="false">IF(H980="","",Parâmetros!$B$5-H980)</f>
        <v>158</v>
      </c>
      <c r="K980" s="10" t="n">
        <f aca="false">INDEX(Parâmetros!$D$13:$D$19,MATCH(E980,Parâmetros!$A$13:$A$19,0))</f>
        <v>40</v>
      </c>
      <c r="L980" s="10" t="n">
        <f aca="false">IF(G980="Prospecting",Parâmetros!$B$9,IF(J980&gt;Parâmetros!$B$6,0,INDEX(Parâmetros!$C$24:$C$26,MATCH(J980,Parâmetros!$A$24:$A$26,1))))</f>
        <v>0</v>
      </c>
      <c r="M980" s="31" t="n">
        <f aca="false">IF(G980="Prospecting",1,INDEX(Parâmetros!$C$32:$C$35,MATCH(J980,Parâmetros!$A$32:$A$35,1)))</f>
        <v>0.6</v>
      </c>
      <c r="N980" s="2" t="n">
        <f aca="false">ROUND((K980+L980)*M980,0)</f>
        <v>24</v>
      </c>
      <c r="O980" s="10" t="str">
        <f aca="false">IF(AND(G980="Engaging",J980&gt;Parâmetros!$B$6),"Sim","Não")</f>
        <v>Sim</v>
      </c>
      <c r="P980" s="32" t="str">
        <f aca="false">IF(O980="Sim","R",IF(N980&gt;=Parâmetros!$B$39,"A",IF(N980&gt;=Parâmetros!$B$40,"B",IF(N980&gt;=Parâmetros!$B$41,"C","D"))))</f>
        <v>R</v>
      </c>
      <c r="Q980" s="10" t="str">
        <f aca="false">IF(F980="","Completar cadastro","")</f>
        <v>Completar cadastro</v>
      </c>
      <c r="R980" s="10" t="str">
        <f aca="false">INDEX(Parâmetros!$D$39:$D$43,MATCH(P980,Parâmetros!$A$39:$A$43,0))</f>
        <v>Reciclar: requalificar, reengajar ou encerrar</v>
      </c>
    </row>
    <row r="981" customFormat="false" ht="15" hidden="false" customHeight="false" outlineLevel="0" collapsed="false">
      <c r="A981" s="10" t="s">
        <v>1224</v>
      </c>
      <c r="B981" s="10" t="s">
        <v>79</v>
      </c>
      <c r="C981" s="10" t="s">
        <v>78</v>
      </c>
      <c r="D981" s="10" t="s">
        <v>196</v>
      </c>
      <c r="E981" s="10" t="s">
        <v>49</v>
      </c>
      <c r="F981" s="10" t="s">
        <v>419</v>
      </c>
      <c r="G981" s="10" t="s">
        <v>162</v>
      </c>
      <c r="H981" s="30" t="n">
        <v>42942</v>
      </c>
      <c r="I981" s="8" t="n">
        <f aca="false">INDEX(Parâmetros!$C$13:$C$19,MATCH(E981,Parâmetros!$A$13:$A$19,0))</f>
        <v>3393</v>
      </c>
      <c r="J981" s="26" t="n">
        <f aca="false">IF(H981="","",Parâmetros!$B$5-H981)</f>
        <v>158</v>
      </c>
      <c r="K981" s="10" t="n">
        <f aca="false">INDEX(Parâmetros!$D$13:$D$19,MATCH(E981,Parâmetros!$A$13:$A$19,0))</f>
        <v>40</v>
      </c>
      <c r="L981" s="10" t="n">
        <f aca="false">IF(G981="Prospecting",Parâmetros!$B$9,IF(J981&gt;Parâmetros!$B$6,0,INDEX(Parâmetros!$C$24:$C$26,MATCH(J981,Parâmetros!$A$24:$A$26,1))))</f>
        <v>0</v>
      </c>
      <c r="M981" s="31" t="n">
        <f aca="false">IF(G981="Prospecting",1,INDEX(Parâmetros!$C$32:$C$35,MATCH(J981,Parâmetros!$A$32:$A$35,1)))</f>
        <v>0.6</v>
      </c>
      <c r="N981" s="2" t="n">
        <f aca="false">ROUND((K981+L981)*M981,0)</f>
        <v>24</v>
      </c>
      <c r="O981" s="10" t="str">
        <f aca="false">IF(AND(G981="Engaging",J981&gt;Parâmetros!$B$6),"Sim","Não")</f>
        <v>Sim</v>
      </c>
      <c r="P981" s="32" t="str">
        <f aca="false">IF(O981="Sim","R",IF(N981&gt;=Parâmetros!$B$39,"A",IF(N981&gt;=Parâmetros!$B$40,"B",IF(N981&gt;=Parâmetros!$B$41,"C","D"))))</f>
        <v>R</v>
      </c>
      <c r="Q981" s="10" t="str">
        <f aca="false">IF(F981="","Completar cadastro","")</f>
        <v/>
      </c>
      <c r="R981" s="10" t="str">
        <f aca="false">INDEX(Parâmetros!$D$39:$D$43,MATCH(P981,Parâmetros!$A$39:$A$43,0))</f>
        <v>Reciclar: requalificar, reengajar ou encerrar</v>
      </c>
    </row>
    <row r="982" customFormat="false" ht="15" hidden="false" customHeight="false" outlineLevel="0" collapsed="false">
      <c r="A982" s="10" t="s">
        <v>1225</v>
      </c>
      <c r="B982" s="10" t="s">
        <v>74</v>
      </c>
      <c r="C982" s="10" t="s">
        <v>72</v>
      </c>
      <c r="D982" s="10" t="s">
        <v>196</v>
      </c>
      <c r="E982" s="10" t="s">
        <v>49</v>
      </c>
      <c r="F982" s="10" t="s">
        <v>277</v>
      </c>
      <c r="G982" s="10" t="s">
        <v>162</v>
      </c>
      <c r="H982" s="30" t="n">
        <v>42942</v>
      </c>
      <c r="I982" s="8" t="n">
        <f aca="false">INDEX(Parâmetros!$C$13:$C$19,MATCH(E982,Parâmetros!$A$13:$A$19,0))</f>
        <v>3393</v>
      </c>
      <c r="J982" s="26" t="n">
        <f aca="false">IF(H982="","",Parâmetros!$B$5-H982)</f>
        <v>158</v>
      </c>
      <c r="K982" s="10" t="n">
        <f aca="false">INDEX(Parâmetros!$D$13:$D$19,MATCH(E982,Parâmetros!$A$13:$A$19,0))</f>
        <v>40</v>
      </c>
      <c r="L982" s="10" t="n">
        <f aca="false">IF(G982="Prospecting",Parâmetros!$B$9,IF(J982&gt;Parâmetros!$B$6,0,INDEX(Parâmetros!$C$24:$C$26,MATCH(J982,Parâmetros!$A$24:$A$26,1))))</f>
        <v>0</v>
      </c>
      <c r="M982" s="31" t="n">
        <f aca="false">IF(G982="Prospecting",1,INDEX(Parâmetros!$C$32:$C$35,MATCH(J982,Parâmetros!$A$32:$A$35,1)))</f>
        <v>0.6</v>
      </c>
      <c r="N982" s="2" t="n">
        <f aca="false">ROUND((K982+L982)*M982,0)</f>
        <v>24</v>
      </c>
      <c r="O982" s="10" t="str">
        <f aca="false">IF(AND(G982="Engaging",J982&gt;Parâmetros!$B$6),"Sim","Não")</f>
        <v>Sim</v>
      </c>
      <c r="P982" s="32" t="str">
        <f aca="false">IF(O982="Sim","R",IF(N982&gt;=Parâmetros!$B$39,"A",IF(N982&gt;=Parâmetros!$B$40,"B",IF(N982&gt;=Parâmetros!$B$41,"C","D"))))</f>
        <v>R</v>
      </c>
      <c r="Q982" s="10" t="str">
        <f aca="false">IF(F982="","Completar cadastro","")</f>
        <v/>
      </c>
      <c r="R982" s="10" t="str">
        <f aca="false">INDEX(Parâmetros!$D$39:$D$43,MATCH(P982,Parâmetros!$A$39:$A$43,0))</f>
        <v>Reciclar: requalificar, reengajar ou encerrar</v>
      </c>
    </row>
    <row r="983" customFormat="false" ht="15" hidden="false" customHeight="false" outlineLevel="0" collapsed="false">
      <c r="A983" s="10" t="s">
        <v>1226</v>
      </c>
      <c r="B983" s="10" t="s">
        <v>74</v>
      </c>
      <c r="C983" s="10" t="s">
        <v>72</v>
      </c>
      <c r="D983" s="10" t="s">
        <v>196</v>
      </c>
      <c r="E983" s="10" t="s">
        <v>49</v>
      </c>
      <c r="F983" s="10"/>
      <c r="G983" s="10" t="s">
        <v>162</v>
      </c>
      <c r="H983" s="30" t="n">
        <v>42942</v>
      </c>
      <c r="I983" s="8" t="n">
        <f aca="false">INDEX(Parâmetros!$C$13:$C$19,MATCH(E983,Parâmetros!$A$13:$A$19,0))</f>
        <v>3393</v>
      </c>
      <c r="J983" s="26" t="n">
        <f aca="false">IF(H983="","",Parâmetros!$B$5-H983)</f>
        <v>158</v>
      </c>
      <c r="K983" s="10" t="n">
        <f aca="false">INDEX(Parâmetros!$D$13:$D$19,MATCH(E983,Parâmetros!$A$13:$A$19,0))</f>
        <v>40</v>
      </c>
      <c r="L983" s="10" t="n">
        <f aca="false">IF(G983="Prospecting",Parâmetros!$B$9,IF(J983&gt;Parâmetros!$B$6,0,INDEX(Parâmetros!$C$24:$C$26,MATCH(J983,Parâmetros!$A$24:$A$26,1))))</f>
        <v>0</v>
      </c>
      <c r="M983" s="31" t="n">
        <f aca="false">IF(G983="Prospecting",1,INDEX(Parâmetros!$C$32:$C$35,MATCH(J983,Parâmetros!$A$32:$A$35,1)))</f>
        <v>0.6</v>
      </c>
      <c r="N983" s="2" t="n">
        <f aca="false">ROUND((K983+L983)*M983,0)</f>
        <v>24</v>
      </c>
      <c r="O983" s="10" t="str">
        <f aca="false">IF(AND(G983="Engaging",J983&gt;Parâmetros!$B$6),"Sim","Não")</f>
        <v>Sim</v>
      </c>
      <c r="P983" s="32" t="str">
        <f aca="false">IF(O983="Sim","R",IF(N983&gt;=Parâmetros!$B$39,"A",IF(N983&gt;=Parâmetros!$B$40,"B",IF(N983&gt;=Parâmetros!$B$41,"C","D"))))</f>
        <v>R</v>
      </c>
      <c r="Q983" s="10" t="str">
        <f aca="false">IF(F983="","Completar cadastro","")</f>
        <v>Completar cadastro</v>
      </c>
      <c r="R983" s="10" t="str">
        <f aca="false">INDEX(Parâmetros!$D$39:$D$43,MATCH(P983,Parâmetros!$A$39:$A$43,0))</f>
        <v>Reciclar: requalificar, reengajar ou encerrar</v>
      </c>
    </row>
    <row r="984" customFormat="false" ht="15" hidden="false" customHeight="false" outlineLevel="0" collapsed="false">
      <c r="A984" s="10" t="s">
        <v>1227</v>
      </c>
      <c r="B984" s="10" t="s">
        <v>75</v>
      </c>
      <c r="C984" s="10" t="s">
        <v>72</v>
      </c>
      <c r="D984" s="10" t="s">
        <v>196</v>
      </c>
      <c r="E984" s="10" t="s">
        <v>49</v>
      </c>
      <c r="F984" s="10"/>
      <c r="G984" s="10" t="s">
        <v>162</v>
      </c>
      <c r="H984" s="30" t="n">
        <v>42942</v>
      </c>
      <c r="I984" s="8" t="n">
        <f aca="false">INDEX(Parâmetros!$C$13:$C$19,MATCH(E984,Parâmetros!$A$13:$A$19,0))</f>
        <v>3393</v>
      </c>
      <c r="J984" s="26" t="n">
        <f aca="false">IF(H984="","",Parâmetros!$B$5-H984)</f>
        <v>158</v>
      </c>
      <c r="K984" s="10" t="n">
        <f aca="false">INDEX(Parâmetros!$D$13:$D$19,MATCH(E984,Parâmetros!$A$13:$A$19,0))</f>
        <v>40</v>
      </c>
      <c r="L984" s="10" t="n">
        <f aca="false">IF(G984="Prospecting",Parâmetros!$B$9,IF(J984&gt;Parâmetros!$B$6,0,INDEX(Parâmetros!$C$24:$C$26,MATCH(J984,Parâmetros!$A$24:$A$26,1))))</f>
        <v>0</v>
      </c>
      <c r="M984" s="31" t="n">
        <f aca="false">IF(G984="Prospecting",1,INDEX(Parâmetros!$C$32:$C$35,MATCH(J984,Parâmetros!$A$32:$A$35,1)))</f>
        <v>0.6</v>
      </c>
      <c r="N984" s="2" t="n">
        <f aca="false">ROUND((K984+L984)*M984,0)</f>
        <v>24</v>
      </c>
      <c r="O984" s="10" t="str">
        <f aca="false">IF(AND(G984="Engaging",J984&gt;Parâmetros!$B$6),"Sim","Não")</f>
        <v>Sim</v>
      </c>
      <c r="P984" s="32" t="str">
        <f aca="false">IF(O984="Sim","R",IF(N984&gt;=Parâmetros!$B$39,"A",IF(N984&gt;=Parâmetros!$B$40,"B",IF(N984&gt;=Parâmetros!$B$41,"C","D"))))</f>
        <v>R</v>
      </c>
      <c r="Q984" s="10" t="str">
        <f aca="false">IF(F984="","Completar cadastro","")</f>
        <v>Completar cadastro</v>
      </c>
      <c r="R984" s="10" t="str">
        <f aca="false">INDEX(Parâmetros!$D$39:$D$43,MATCH(P984,Parâmetros!$A$39:$A$43,0))</f>
        <v>Reciclar: requalificar, reengajar ou encerrar</v>
      </c>
    </row>
    <row r="985" customFormat="false" ht="15" hidden="false" customHeight="false" outlineLevel="0" collapsed="false">
      <c r="A985" s="10" t="s">
        <v>1228</v>
      </c>
      <c r="B985" s="10" t="s">
        <v>75</v>
      </c>
      <c r="C985" s="10" t="s">
        <v>72</v>
      </c>
      <c r="D985" s="10" t="s">
        <v>196</v>
      </c>
      <c r="E985" s="10" t="s">
        <v>49</v>
      </c>
      <c r="F985" s="10"/>
      <c r="G985" s="10" t="s">
        <v>162</v>
      </c>
      <c r="H985" s="30" t="n">
        <v>42942</v>
      </c>
      <c r="I985" s="8" t="n">
        <f aca="false">INDEX(Parâmetros!$C$13:$C$19,MATCH(E985,Parâmetros!$A$13:$A$19,0))</f>
        <v>3393</v>
      </c>
      <c r="J985" s="26" t="n">
        <f aca="false">IF(H985="","",Parâmetros!$B$5-H985)</f>
        <v>158</v>
      </c>
      <c r="K985" s="10" t="n">
        <f aca="false">INDEX(Parâmetros!$D$13:$D$19,MATCH(E985,Parâmetros!$A$13:$A$19,0))</f>
        <v>40</v>
      </c>
      <c r="L985" s="10" t="n">
        <f aca="false">IF(G985="Prospecting",Parâmetros!$B$9,IF(J985&gt;Parâmetros!$B$6,0,INDEX(Parâmetros!$C$24:$C$26,MATCH(J985,Parâmetros!$A$24:$A$26,1))))</f>
        <v>0</v>
      </c>
      <c r="M985" s="31" t="n">
        <f aca="false">IF(G985="Prospecting",1,INDEX(Parâmetros!$C$32:$C$35,MATCH(J985,Parâmetros!$A$32:$A$35,1)))</f>
        <v>0.6</v>
      </c>
      <c r="N985" s="2" t="n">
        <f aca="false">ROUND((K985+L985)*M985,0)</f>
        <v>24</v>
      </c>
      <c r="O985" s="10" t="str">
        <f aca="false">IF(AND(G985="Engaging",J985&gt;Parâmetros!$B$6),"Sim","Não")</f>
        <v>Sim</v>
      </c>
      <c r="P985" s="32" t="str">
        <f aca="false">IF(O985="Sim","R",IF(N985&gt;=Parâmetros!$B$39,"A",IF(N985&gt;=Parâmetros!$B$40,"B",IF(N985&gt;=Parâmetros!$B$41,"C","D"))))</f>
        <v>R</v>
      </c>
      <c r="Q985" s="10" t="str">
        <f aca="false">IF(F985="","Completar cadastro","")</f>
        <v>Completar cadastro</v>
      </c>
      <c r="R985" s="10" t="str">
        <f aca="false">INDEX(Parâmetros!$D$39:$D$43,MATCH(P985,Parâmetros!$A$39:$A$43,0))</f>
        <v>Reciclar: requalificar, reengajar ou encerrar</v>
      </c>
    </row>
    <row r="986" customFormat="false" ht="15" hidden="false" customHeight="false" outlineLevel="0" collapsed="false">
      <c r="A986" s="10" t="s">
        <v>1229</v>
      </c>
      <c r="B986" s="10" t="s">
        <v>77</v>
      </c>
      <c r="C986" s="10" t="s">
        <v>78</v>
      </c>
      <c r="D986" s="10" t="s">
        <v>196</v>
      </c>
      <c r="E986" s="10" t="s">
        <v>49</v>
      </c>
      <c r="F986" s="10"/>
      <c r="G986" s="10" t="s">
        <v>162</v>
      </c>
      <c r="H986" s="30" t="n">
        <v>42943</v>
      </c>
      <c r="I986" s="8" t="n">
        <f aca="false">INDEX(Parâmetros!$C$13:$C$19,MATCH(E986,Parâmetros!$A$13:$A$19,0))</f>
        <v>3393</v>
      </c>
      <c r="J986" s="26" t="n">
        <f aca="false">IF(H986="","",Parâmetros!$B$5-H986)</f>
        <v>157</v>
      </c>
      <c r="K986" s="10" t="n">
        <f aca="false">INDEX(Parâmetros!$D$13:$D$19,MATCH(E986,Parâmetros!$A$13:$A$19,0))</f>
        <v>40</v>
      </c>
      <c r="L986" s="10" t="n">
        <f aca="false">IF(G986="Prospecting",Parâmetros!$B$9,IF(J986&gt;Parâmetros!$B$6,0,INDEX(Parâmetros!$C$24:$C$26,MATCH(J986,Parâmetros!$A$24:$A$26,1))))</f>
        <v>0</v>
      </c>
      <c r="M986" s="31" t="n">
        <f aca="false">IF(G986="Prospecting",1,INDEX(Parâmetros!$C$32:$C$35,MATCH(J986,Parâmetros!$A$32:$A$35,1)))</f>
        <v>0.6</v>
      </c>
      <c r="N986" s="2" t="n">
        <f aca="false">ROUND((K986+L986)*M986,0)</f>
        <v>24</v>
      </c>
      <c r="O986" s="10" t="str">
        <f aca="false">IF(AND(G986="Engaging",J986&gt;Parâmetros!$B$6),"Sim","Não")</f>
        <v>Sim</v>
      </c>
      <c r="P986" s="32" t="str">
        <f aca="false">IF(O986="Sim","R",IF(N986&gt;=Parâmetros!$B$39,"A",IF(N986&gt;=Parâmetros!$B$40,"B",IF(N986&gt;=Parâmetros!$B$41,"C","D"))))</f>
        <v>R</v>
      </c>
      <c r="Q986" s="10" t="str">
        <f aca="false">IF(F986="","Completar cadastro","")</f>
        <v>Completar cadastro</v>
      </c>
      <c r="R986" s="10" t="str">
        <f aca="false">INDEX(Parâmetros!$D$39:$D$43,MATCH(P986,Parâmetros!$A$39:$A$43,0))</f>
        <v>Reciclar: requalificar, reengajar ou encerrar</v>
      </c>
    </row>
    <row r="987" customFormat="false" ht="15" hidden="false" customHeight="false" outlineLevel="0" collapsed="false">
      <c r="A987" s="10" t="s">
        <v>1230</v>
      </c>
      <c r="B987" s="10" t="s">
        <v>77</v>
      </c>
      <c r="C987" s="10" t="s">
        <v>78</v>
      </c>
      <c r="D987" s="10" t="s">
        <v>196</v>
      </c>
      <c r="E987" s="10" t="s">
        <v>49</v>
      </c>
      <c r="F987" s="10"/>
      <c r="G987" s="10" t="s">
        <v>162</v>
      </c>
      <c r="H987" s="30" t="n">
        <v>42943</v>
      </c>
      <c r="I987" s="8" t="n">
        <f aca="false">INDEX(Parâmetros!$C$13:$C$19,MATCH(E987,Parâmetros!$A$13:$A$19,0))</f>
        <v>3393</v>
      </c>
      <c r="J987" s="26" t="n">
        <f aca="false">IF(H987="","",Parâmetros!$B$5-H987)</f>
        <v>157</v>
      </c>
      <c r="K987" s="10" t="n">
        <f aca="false">INDEX(Parâmetros!$D$13:$D$19,MATCH(E987,Parâmetros!$A$13:$A$19,0))</f>
        <v>40</v>
      </c>
      <c r="L987" s="10" t="n">
        <f aca="false">IF(G987="Prospecting",Parâmetros!$B$9,IF(J987&gt;Parâmetros!$B$6,0,INDEX(Parâmetros!$C$24:$C$26,MATCH(J987,Parâmetros!$A$24:$A$26,1))))</f>
        <v>0</v>
      </c>
      <c r="M987" s="31" t="n">
        <f aca="false">IF(G987="Prospecting",1,INDEX(Parâmetros!$C$32:$C$35,MATCH(J987,Parâmetros!$A$32:$A$35,1)))</f>
        <v>0.6</v>
      </c>
      <c r="N987" s="2" t="n">
        <f aca="false">ROUND((K987+L987)*M987,0)</f>
        <v>24</v>
      </c>
      <c r="O987" s="10" t="str">
        <f aca="false">IF(AND(G987="Engaging",J987&gt;Parâmetros!$B$6),"Sim","Não")</f>
        <v>Sim</v>
      </c>
      <c r="P987" s="32" t="str">
        <f aca="false">IF(O987="Sim","R",IF(N987&gt;=Parâmetros!$B$39,"A",IF(N987&gt;=Parâmetros!$B$40,"B",IF(N987&gt;=Parâmetros!$B$41,"C","D"))))</f>
        <v>R</v>
      </c>
      <c r="Q987" s="10" t="str">
        <f aca="false">IF(F987="","Completar cadastro","")</f>
        <v>Completar cadastro</v>
      </c>
      <c r="R987" s="10" t="str">
        <f aca="false">INDEX(Parâmetros!$D$39:$D$43,MATCH(P987,Parâmetros!$A$39:$A$43,0))</f>
        <v>Reciclar: requalificar, reengajar ou encerrar</v>
      </c>
    </row>
    <row r="988" customFormat="false" ht="15" hidden="false" customHeight="false" outlineLevel="0" collapsed="false">
      <c r="A988" s="10" t="s">
        <v>1231</v>
      </c>
      <c r="B988" s="10" t="s">
        <v>79</v>
      </c>
      <c r="C988" s="10" t="s">
        <v>78</v>
      </c>
      <c r="D988" s="10" t="s">
        <v>196</v>
      </c>
      <c r="E988" s="10" t="s">
        <v>49</v>
      </c>
      <c r="F988" s="10"/>
      <c r="G988" s="10" t="s">
        <v>162</v>
      </c>
      <c r="H988" s="30" t="n">
        <v>42943</v>
      </c>
      <c r="I988" s="8" t="n">
        <f aca="false">INDEX(Parâmetros!$C$13:$C$19,MATCH(E988,Parâmetros!$A$13:$A$19,0))</f>
        <v>3393</v>
      </c>
      <c r="J988" s="26" t="n">
        <f aca="false">IF(H988="","",Parâmetros!$B$5-H988)</f>
        <v>157</v>
      </c>
      <c r="K988" s="10" t="n">
        <f aca="false">INDEX(Parâmetros!$D$13:$D$19,MATCH(E988,Parâmetros!$A$13:$A$19,0))</f>
        <v>40</v>
      </c>
      <c r="L988" s="10" t="n">
        <f aca="false">IF(G988="Prospecting",Parâmetros!$B$9,IF(J988&gt;Parâmetros!$B$6,0,INDEX(Parâmetros!$C$24:$C$26,MATCH(J988,Parâmetros!$A$24:$A$26,1))))</f>
        <v>0</v>
      </c>
      <c r="M988" s="31" t="n">
        <f aca="false">IF(G988="Prospecting",1,INDEX(Parâmetros!$C$32:$C$35,MATCH(J988,Parâmetros!$A$32:$A$35,1)))</f>
        <v>0.6</v>
      </c>
      <c r="N988" s="2" t="n">
        <f aca="false">ROUND((K988+L988)*M988,0)</f>
        <v>24</v>
      </c>
      <c r="O988" s="10" t="str">
        <f aca="false">IF(AND(G988="Engaging",J988&gt;Parâmetros!$B$6),"Sim","Não")</f>
        <v>Sim</v>
      </c>
      <c r="P988" s="32" t="str">
        <f aca="false">IF(O988="Sim","R",IF(N988&gt;=Parâmetros!$B$39,"A",IF(N988&gt;=Parâmetros!$B$40,"B",IF(N988&gt;=Parâmetros!$B$41,"C","D"))))</f>
        <v>R</v>
      </c>
      <c r="Q988" s="10" t="str">
        <f aca="false">IF(F988="","Completar cadastro","")</f>
        <v>Completar cadastro</v>
      </c>
      <c r="R988" s="10" t="str">
        <f aca="false">INDEX(Parâmetros!$D$39:$D$43,MATCH(P988,Parâmetros!$A$39:$A$43,0))</f>
        <v>Reciclar: requalificar, reengajar ou encerrar</v>
      </c>
    </row>
    <row r="989" customFormat="false" ht="15" hidden="false" customHeight="false" outlineLevel="0" collapsed="false">
      <c r="A989" s="10" t="s">
        <v>1232</v>
      </c>
      <c r="B989" s="10" t="s">
        <v>83</v>
      </c>
      <c r="C989" s="10" t="s">
        <v>78</v>
      </c>
      <c r="D989" s="10" t="s">
        <v>196</v>
      </c>
      <c r="E989" s="10" t="s">
        <v>49</v>
      </c>
      <c r="F989" s="10" t="s">
        <v>193</v>
      </c>
      <c r="G989" s="10" t="s">
        <v>162</v>
      </c>
      <c r="H989" s="30" t="n">
        <v>42944</v>
      </c>
      <c r="I989" s="8" t="n">
        <f aca="false">INDEX(Parâmetros!$C$13:$C$19,MATCH(E989,Parâmetros!$A$13:$A$19,0))</f>
        <v>3393</v>
      </c>
      <c r="J989" s="26" t="n">
        <f aca="false">IF(H989="","",Parâmetros!$B$5-H989)</f>
        <v>156</v>
      </c>
      <c r="K989" s="10" t="n">
        <f aca="false">INDEX(Parâmetros!$D$13:$D$19,MATCH(E989,Parâmetros!$A$13:$A$19,0))</f>
        <v>40</v>
      </c>
      <c r="L989" s="10" t="n">
        <f aca="false">IF(G989="Prospecting",Parâmetros!$B$9,IF(J989&gt;Parâmetros!$B$6,0,INDEX(Parâmetros!$C$24:$C$26,MATCH(J989,Parâmetros!$A$24:$A$26,1))))</f>
        <v>0</v>
      </c>
      <c r="M989" s="31" t="n">
        <f aca="false">IF(G989="Prospecting",1,INDEX(Parâmetros!$C$32:$C$35,MATCH(J989,Parâmetros!$A$32:$A$35,1)))</f>
        <v>0.6</v>
      </c>
      <c r="N989" s="2" t="n">
        <f aca="false">ROUND((K989+L989)*M989,0)</f>
        <v>24</v>
      </c>
      <c r="O989" s="10" t="str">
        <f aca="false">IF(AND(G989="Engaging",J989&gt;Parâmetros!$B$6),"Sim","Não")</f>
        <v>Sim</v>
      </c>
      <c r="P989" s="32" t="str">
        <f aca="false">IF(O989="Sim","R",IF(N989&gt;=Parâmetros!$B$39,"A",IF(N989&gt;=Parâmetros!$B$40,"B",IF(N989&gt;=Parâmetros!$B$41,"C","D"))))</f>
        <v>R</v>
      </c>
      <c r="Q989" s="10" t="str">
        <f aca="false">IF(F989="","Completar cadastro","")</f>
        <v/>
      </c>
      <c r="R989" s="10" t="str">
        <f aca="false">INDEX(Parâmetros!$D$39:$D$43,MATCH(P989,Parâmetros!$A$39:$A$43,0))</f>
        <v>Reciclar: requalificar, reengajar ou encerrar</v>
      </c>
    </row>
    <row r="990" customFormat="false" ht="15" hidden="false" customHeight="false" outlineLevel="0" collapsed="false">
      <c r="A990" s="10" t="s">
        <v>1233</v>
      </c>
      <c r="B990" s="10" t="s">
        <v>71</v>
      </c>
      <c r="C990" s="10" t="s">
        <v>72</v>
      </c>
      <c r="D990" s="10" t="s">
        <v>196</v>
      </c>
      <c r="E990" s="10" t="s">
        <v>49</v>
      </c>
      <c r="F990" s="10"/>
      <c r="G990" s="10" t="s">
        <v>162</v>
      </c>
      <c r="H990" s="30" t="n">
        <v>42945</v>
      </c>
      <c r="I990" s="8" t="n">
        <f aca="false">INDEX(Parâmetros!$C$13:$C$19,MATCH(E990,Parâmetros!$A$13:$A$19,0))</f>
        <v>3393</v>
      </c>
      <c r="J990" s="26" t="n">
        <f aca="false">IF(H990="","",Parâmetros!$B$5-H990)</f>
        <v>155</v>
      </c>
      <c r="K990" s="10" t="n">
        <f aca="false">INDEX(Parâmetros!$D$13:$D$19,MATCH(E990,Parâmetros!$A$13:$A$19,0))</f>
        <v>40</v>
      </c>
      <c r="L990" s="10" t="n">
        <f aca="false">IF(G990="Prospecting",Parâmetros!$B$9,IF(J990&gt;Parâmetros!$B$6,0,INDEX(Parâmetros!$C$24:$C$26,MATCH(J990,Parâmetros!$A$24:$A$26,1))))</f>
        <v>0</v>
      </c>
      <c r="M990" s="31" t="n">
        <f aca="false">IF(G990="Prospecting",1,INDEX(Parâmetros!$C$32:$C$35,MATCH(J990,Parâmetros!$A$32:$A$35,1)))</f>
        <v>0.6</v>
      </c>
      <c r="N990" s="2" t="n">
        <f aca="false">ROUND((K990+L990)*M990,0)</f>
        <v>24</v>
      </c>
      <c r="O990" s="10" t="str">
        <f aca="false">IF(AND(G990="Engaging",J990&gt;Parâmetros!$B$6),"Sim","Não")</f>
        <v>Sim</v>
      </c>
      <c r="P990" s="32" t="str">
        <f aca="false">IF(O990="Sim","R",IF(N990&gt;=Parâmetros!$B$39,"A",IF(N990&gt;=Parâmetros!$B$40,"B",IF(N990&gt;=Parâmetros!$B$41,"C","D"))))</f>
        <v>R</v>
      </c>
      <c r="Q990" s="10" t="str">
        <f aca="false">IF(F990="","Completar cadastro","")</f>
        <v>Completar cadastro</v>
      </c>
      <c r="R990" s="10" t="str">
        <f aca="false">INDEX(Parâmetros!$D$39:$D$43,MATCH(P990,Parâmetros!$A$39:$A$43,0))</f>
        <v>Reciclar: requalificar, reengajar ou encerrar</v>
      </c>
    </row>
    <row r="991" customFormat="false" ht="15" hidden="false" customHeight="false" outlineLevel="0" collapsed="false">
      <c r="A991" s="10" t="s">
        <v>1234</v>
      </c>
      <c r="B991" s="10" t="s">
        <v>57</v>
      </c>
      <c r="C991" s="10" t="s">
        <v>58</v>
      </c>
      <c r="D991" s="10" t="s">
        <v>165</v>
      </c>
      <c r="E991" s="10" t="s">
        <v>49</v>
      </c>
      <c r="F991" s="10"/>
      <c r="G991" s="10" t="s">
        <v>162</v>
      </c>
      <c r="H991" s="30" t="n">
        <v>42945</v>
      </c>
      <c r="I991" s="8" t="n">
        <f aca="false">INDEX(Parâmetros!$C$13:$C$19,MATCH(E991,Parâmetros!$A$13:$A$19,0))</f>
        <v>3393</v>
      </c>
      <c r="J991" s="26" t="n">
        <f aca="false">IF(H991="","",Parâmetros!$B$5-H991)</f>
        <v>155</v>
      </c>
      <c r="K991" s="10" t="n">
        <f aca="false">INDEX(Parâmetros!$D$13:$D$19,MATCH(E991,Parâmetros!$A$13:$A$19,0))</f>
        <v>40</v>
      </c>
      <c r="L991" s="10" t="n">
        <f aca="false">IF(G991="Prospecting",Parâmetros!$B$9,IF(J991&gt;Parâmetros!$B$6,0,INDEX(Parâmetros!$C$24:$C$26,MATCH(J991,Parâmetros!$A$24:$A$26,1))))</f>
        <v>0</v>
      </c>
      <c r="M991" s="31" t="n">
        <f aca="false">IF(G991="Prospecting",1,INDEX(Parâmetros!$C$32:$C$35,MATCH(J991,Parâmetros!$A$32:$A$35,1)))</f>
        <v>0.6</v>
      </c>
      <c r="N991" s="2" t="n">
        <f aca="false">ROUND((K991+L991)*M991,0)</f>
        <v>24</v>
      </c>
      <c r="O991" s="10" t="str">
        <f aca="false">IF(AND(G991="Engaging",J991&gt;Parâmetros!$B$6),"Sim","Não")</f>
        <v>Sim</v>
      </c>
      <c r="P991" s="32" t="str">
        <f aca="false">IF(O991="Sim","R",IF(N991&gt;=Parâmetros!$B$39,"A",IF(N991&gt;=Parâmetros!$B$40,"B",IF(N991&gt;=Parâmetros!$B$41,"C","D"))))</f>
        <v>R</v>
      </c>
      <c r="Q991" s="10" t="str">
        <f aca="false">IF(F991="","Completar cadastro","")</f>
        <v>Completar cadastro</v>
      </c>
      <c r="R991" s="10" t="str">
        <f aca="false">INDEX(Parâmetros!$D$39:$D$43,MATCH(P991,Parâmetros!$A$39:$A$43,0))</f>
        <v>Reciclar: requalificar, reengajar ou encerrar</v>
      </c>
    </row>
    <row r="992" customFormat="false" ht="15" hidden="false" customHeight="false" outlineLevel="0" collapsed="false">
      <c r="A992" s="10" t="s">
        <v>1235</v>
      </c>
      <c r="B992" s="10" t="s">
        <v>94</v>
      </c>
      <c r="C992" s="10" t="s">
        <v>92</v>
      </c>
      <c r="D992" s="10" t="s">
        <v>160</v>
      </c>
      <c r="E992" s="10" t="s">
        <v>49</v>
      </c>
      <c r="F992" s="10"/>
      <c r="G992" s="10" t="s">
        <v>162</v>
      </c>
      <c r="H992" s="30" t="n">
        <v>42945</v>
      </c>
      <c r="I992" s="8" t="n">
        <f aca="false">INDEX(Parâmetros!$C$13:$C$19,MATCH(E992,Parâmetros!$A$13:$A$19,0))</f>
        <v>3393</v>
      </c>
      <c r="J992" s="26" t="n">
        <f aca="false">IF(H992="","",Parâmetros!$B$5-H992)</f>
        <v>155</v>
      </c>
      <c r="K992" s="10" t="n">
        <f aca="false">INDEX(Parâmetros!$D$13:$D$19,MATCH(E992,Parâmetros!$A$13:$A$19,0))</f>
        <v>40</v>
      </c>
      <c r="L992" s="10" t="n">
        <f aca="false">IF(G992="Prospecting",Parâmetros!$B$9,IF(J992&gt;Parâmetros!$B$6,0,INDEX(Parâmetros!$C$24:$C$26,MATCH(J992,Parâmetros!$A$24:$A$26,1))))</f>
        <v>0</v>
      </c>
      <c r="M992" s="31" t="n">
        <f aca="false">IF(G992="Prospecting",1,INDEX(Parâmetros!$C$32:$C$35,MATCH(J992,Parâmetros!$A$32:$A$35,1)))</f>
        <v>0.6</v>
      </c>
      <c r="N992" s="2" t="n">
        <f aca="false">ROUND((K992+L992)*M992,0)</f>
        <v>24</v>
      </c>
      <c r="O992" s="10" t="str">
        <f aca="false">IF(AND(G992="Engaging",J992&gt;Parâmetros!$B$6),"Sim","Não")</f>
        <v>Sim</v>
      </c>
      <c r="P992" s="32" t="str">
        <f aca="false">IF(O992="Sim","R",IF(N992&gt;=Parâmetros!$B$39,"A",IF(N992&gt;=Parâmetros!$B$40,"B",IF(N992&gt;=Parâmetros!$B$41,"C","D"))))</f>
        <v>R</v>
      </c>
      <c r="Q992" s="10" t="str">
        <f aca="false">IF(F992="","Completar cadastro","")</f>
        <v>Completar cadastro</v>
      </c>
      <c r="R992" s="10" t="str">
        <f aca="false">INDEX(Parâmetros!$D$39:$D$43,MATCH(P992,Parâmetros!$A$39:$A$43,0))</f>
        <v>Reciclar: requalificar, reengajar ou encerrar</v>
      </c>
    </row>
    <row r="993" customFormat="false" ht="15" hidden="false" customHeight="false" outlineLevel="0" collapsed="false">
      <c r="A993" s="10" t="s">
        <v>1236</v>
      </c>
      <c r="B993" s="10" t="s">
        <v>63</v>
      </c>
      <c r="C993" s="10" t="s">
        <v>58</v>
      </c>
      <c r="D993" s="10" t="s">
        <v>165</v>
      </c>
      <c r="E993" s="10" t="s">
        <v>49</v>
      </c>
      <c r="F993" s="10"/>
      <c r="G993" s="10" t="s">
        <v>162</v>
      </c>
      <c r="H993" s="30" t="n">
        <v>42945</v>
      </c>
      <c r="I993" s="8" t="n">
        <f aca="false">INDEX(Parâmetros!$C$13:$C$19,MATCH(E993,Parâmetros!$A$13:$A$19,0))</f>
        <v>3393</v>
      </c>
      <c r="J993" s="26" t="n">
        <f aca="false">IF(H993="","",Parâmetros!$B$5-H993)</f>
        <v>155</v>
      </c>
      <c r="K993" s="10" t="n">
        <f aca="false">INDEX(Parâmetros!$D$13:$D$19,MATCH(E993,Parâmetros!$A$13:$A$19,0))</f>
        <v>40</v>
      </c>
      <c r="L993" s="10" t="n">
        <f aca="false">IF(G993="Prospecting",Parâmetros!$B$9,IF(J993&gt;Parâmetros!$B$6,0,INDEX(Parâmetros!$C$24:$C$26,MATCH(J993,Parâmetros!$A$24:$A$26,1))))</f>
        <v>0</v>
      </c>
      <c r="M993" s="31" t="n">
        <f aca="false">IF(G993="Prospecting",1,INDEX(Parâmetros!$C$32:$C$35,MATCH(J993,Parâmetros!$A$32:$A$35,1)))</f>
        <v>0.6</v>
      </c>
      <c r="N993" s="2" t="n">
        <f aca="false">ROUND((K993+L993)*M993,0)</f>
        <v>24</v>
      </c>
      <c r="O993" s="10" t="str">
        <f aca="false">IF(AND(G993="Engaging",J993&gt;Parâmetros!$B$6),"Sim","Não")</f>
        <v>Sim</v>
      </c>
      <c r="P993" s="32" t="str">
        <f aca="false">IF(O993="Sim","R",IF(N993&gt;=Parâmetros!$B$39,"A",IF(N993&gt;=Parâmetros!$B$40,"B",IF(N993&gt;=Parâmetros!$B$41,"C","D"))))</f>
        <v>R</v>
      </c>
      <c r="Q993" s="10" t="str">
        <f aca="false">IF(F993="","Completar cadastro","")</f>
        <v>Completar cadastro</v>
      </c>
      <c r="R993" s="10" t="str">
        <f aca="false">INDEX(Parâmetros!$D$39:$D$43,MATCH(P993,Parâmetros!$A$39:$A$43,0))</f>
        <v>Reciclar: requalificar, reengajar ou encerrar</v>
      </c>
    </row>
    <row r="994" customFormat="false" ht="15" hidden="false" customHeight="false" outlineLevel="0" collapsed="false">
      <c r="A994" s="10" t="s">
        <v>1237</v>
      </c>
      <c r="B994" s="10" t="s">
        <v>73</v>
      </c>
      <c r="C994" s="10" t="s">
        <v>72</v>
      </c>
      <c r="D994" s="10" t="s">
        <v>196</v>
      </c>
      <c r="E994" s="10" t="s">
        <v>49</v>
      </c>
      <c r="F994" s="10"/>
      <c r="G994" s="10" t="s">
        <v>162</v>
      </c>
      <c r="H994" s="30" t="n">
        <v>42946</v>
      </c>
      <c r="I994" s="8" t="n">
        <f aca="false">INDEX(Parâmetros!$C$13:$C$19,MATCH(E994,Parâmetros!$A$13:$A$19,0))</f>
        <v>3393</v>
      </c>
      <c r="J994" s="26" t="n">
        <f aca="false">IF(H994="","",Parâmetros!$B$5-H994)</f>
        <v>154</v>
      </c>
      <c r="K994" s="10" t="n">
        <f aca="false">INDEX(Parâmetros!$D$13:$D$19,MATCH(E994,Parâmetros!$A$13:$A$19,0))</f>
        <v>40</v>
      </c>
      <c r="L994" s="10" t="n">
        <f aca="false">IF(G994="Prospecting",Parâmetros!$B$9,IF(J994&gt;Parâmetros!$B$6,0,INDEX(Parâmetros!$C$24:$C$26,MATCH(J994,Parâmetros!$A$24:$A$26,1))))</f>
        <v>0</v>
      </c>
      <c r="M994" s="31" t="n">
        <f aca="false">IF(G994="Prospecting",1,INDEX(Parâmetros!$C$32:$C$35,MATCH(J994,Parâmetros!$A$32:$A$35,1)))</f>
        <v>0.6</v>
      </c>
      <c r="N994" s="2" t="n">
        <f aca="false">ROUND((K994+L994)*M994,0)</f>
        <v>24</v>
      </c>
      <c r="O994" s="10" t="str">
        <f aca="false">IF(AND(G994="Engaging",J994&gt;Parâmetros!$B$6),"Sim","Não")</f>
        <v>Sim</v>
      </c>
      <c r="P994" s="32" t="str">
        <f aca="false">IF(O994="Sim","R",IF(N994&gt;=Parâmetros!$B$39,"A",IF(N994&gt;=Parâmetros!$B$40,"B",IF(N994&gt;=Parâmetros!$B$41,"C","D"))))</f>
        <v>R</v>
      </c>
      <c r="Q994" s="10" t="str">
        <f aca="false">IF(F994="","Completar cadastro","")</f>
        <v>Completar cadastro</v>
      </c>
      <c r="R994" s="10" t="str">
        <f aca="false">INDEX(Parâmetros!$D$39:$D$43,MATCH(P994,Parâmetros!$A$39:$A$43,0))</f>
        <v>Reciclar: requalificar, reengajar ou encerrar</v>
      </c>
    </row>
    <row r="995" customFormat="false" ht="15" hidden="false" customHeight="false" outlineLevel="0" collapsed="false">
      <c r="A995" s="10" t="s">
        <v>1238</v>
      </c>
      <c r="B995" s="10" t="s">
        <v>77</v>
      </c>
      <c r="C995" s="10" t="s">
        <v>78</v>
      </c>
      <c r="D995" s="10" t="s">
        <v>196</v>
      </c>
      <c r="E995" s="10" t="s">
        <v>49</v>
      </c>
      <c r="F995" s="10"/>
      <c r="G995" s="10" t="s">
        <v>162</v>
      </c>
      <c r="H995" s="30" t="n">
        <v>42946</v>
      </c>
      <c r="I995" s="8" t="n">
        <f aca="false">INDEX(Parâmetros!$C$13:$C$19,MATCH(E995,Parâmetros!$A$13:$A$19,0))</f>
        <v>3393</v>
      </c>
      <c r="J995" s="26" t="n">
        <f aca="false">IF(H995="","",Parâmetros!$B$5-H995)</f>
        <v>154</v>
      </c>
      <c r="K995" s="10" t="n">
        <f aca="false">INDEX(Parâmetros!$D$13:$D$19,MATCH(E995,Parâmetros!$A$13:$A$19,0))</f>
        <v>40</v>
      </c>
      <c r="L995" s="10" t="n">
        <f aca="false">IF(G995="Prospecting",Parâmetros!$B$9,IF(J995&gt;Parâmetros!$B$6,0,INDEX(Parâmetros!$C$24:$C$26,MATCH(J995,Parâmetros!$A$24:$A$26,1))))</f>
        <v>0</v>
      </c>
      <c r="M995" s="31" t="n">
        <f aca="false">IF(G995="Prospecting",1,INDEX(Parâmetros!$C$32:$C$35,MATCH(J995,Parâmetros!$A$32:$A$35,1)))</f>
        <v>0.6</v>
      </c>
      <c r="N995" s="2" t="n">
        <f aca="false">ROUND((K995+L995)*M995,0)</f>
        <v>24</v>
      </c>
      <c r="O995" s="10" t="str">
        <f aca="false">IF(AND(G995="Engaging",J995&gt;Parâmetros!$B$6),"Sim","Não")</f>
        <v>Sim</v>
      </c>
      <c r="P995" s="32" t="str">
        <f aca="false">IF(O995="Sim","R",IF(N995&gt;=Parâmetros!$B$39,"A",IF(N995&gt;=Parâmetros!$B$40,"B",IF(N995&gt;=Parâmetros!$B$41,"C","D"))))</f>
        <v>R</v>
      </c>
      <c r="Q995" s="10" t="str">
        <f aca="false">IF(F995="","Completar cadastro","")</f>
        <v>Completar cadastro</v>
      </c>
      <c r="R995" s="10" t="str">
        <f aca="false">INDEX(Parâmetros!$D$39:$D$43,MATCH(P995,Parâmetros!$A$39:$A$43,0))</f>
        <v>Reciclar: requalificar, reengajar ou encerrar</v>
      </c>
    </row>
    <row r="996" customFormat="false" ht="15" hidden="false" customHeight="false" outlineLevel="0" collapsed="false">
      <c r="A996" s="10" t="s">
        <v>1239</v>
      </c>
      <c r="B996" s="10" t="s">
        <v>77</v>
      </c>
      <c r="C996" s="10" t="s">
        <v>78</v>
      </c>
      <c r="D996" s="10" t="s">
        <v>196</v>
      </c>
      <c r="E996" s="10" t="s">
        <v>49</v>
      </c>
      <c r="F996" s="10"/>
      <c r="G996" s="10" t="s">
        <v>162</v>
      </c>
      <c r="H996" s="30" t="n">
        <v>42946</v>
      </c>
      <c r="I996" s="8" t="n">
        <f aca="false">INDEX(Parâmetros!$C$13:$C$19,MATCH(E996,Parâmetros!$A$13:$A$19,0))</f>
        <v>3393</v>
      </c>
      <c r="J996" s="26" t="n">
        <f aca="false">IF(H996="","",Parâmetros!$B$5-H996)</f>
        <v>154</v>
      </c>
      <c r="K996" s="10" t="n">
        <f aca="false">INDEX(Parâmetros!$D$13:$D$19,MATCH(E996,Parâmetros!$A$13:$A$19,0))</f>
        <v>40</v>
      </c>
      <c r="L996" s="10" t="n">
        <f aca="false">IF(G996="Prospecting",Parâmetros!$B$9,IF(J996&gt;Parâmetros!$B$6,0,INDEX(Parâmetros!$C$24:$C$26,MATCH(J996,Parâmetros!$A$24:$A$26,1))))</f>
        <v>0</v>
      </c>
      <c r="M996" s="31" t="n">
        <f aca="false">IF(G996="Prospecting",1,INDEX(Parâmetros!$C$32:$C$35,MATCH(J996,Parâmetros!$A$32:$A$35,1)))</f>
        <v>0.6</v>
      </c>
      <c r="N996" s="2" t="n">
        <f aca="false">ROUND((K996+L996)*M996,0)</f>
        <v>24</v>
      </c>
      <c r="O996" s="10" t="str">
        <f aca="false">IF(AND(G996="Engaging",J996&gt;Parâmetros!$B$6),"Sim","Não")</f>
        <v>Sim</v>
      </c>
      <c r="P996" s="32" t="str">
        <f aca="false">IF(O996="Sim","R",IF(N996&gt;=Parâmetros!$B$39,"A",IF(N996&gt;=Parâmetros!$B$40,"B",IF(N996&gt;=Parâmetros!$B$41,"C","D"))))</f>
        <v>R</v>
      </c>
      <c r="Q996" s="10" t="str">
        <f aca="false">IF(F996="","Completar cadastro","")</f>
        <v>Completar cadastro</v>
      </c>
      <c r="R996" s="10" t="str">
        <f aca="false">INDEX(Parâmetros!$D$39:$D$43,MATCH(P996,Parâmetros!$A$39:$A$43,0))</f>
        <v>Reciclar: requalificar, reengajar ou encerrar</v>
      </c>
    </row>
    <row r="997" customFormat="false" ht="15" hidden="false" customHeight="false" outlineLevel="0" collapsed="false">
      <c r="A997" s="10" t="s">
        <v>1240</v>
      </c>
      <c r="B997" s="10" t="s">
        <v>76</v>
      </c>
      <c r="C997" s="10" t="s">
        <v>72</v>
      </c>
      <c r="D997" s="10" t="s">
        <v>196</v>
      </c>
      <c r="E997" s="10" t="s">
        <v>49</v>
      </c>
      <c r="F997" s="10"/>
      <c r="G997" s="10" t="s">
        <v>162</v>
      </c>
      <c r="H997" s="30" t="n">
        <v>42946</v>
      </c>
      <c r="I997" s="8" t="n">
        <f aca="false">INDEX(Parâmetros!$C$13:$C$19,MATCH(E997,Parâmetros!$A$13:$A$19,0))</f>
        <v>3393</v>
      </c>
      <c r="J997" s="26" t="n">
        <f aca="false">IF(H997="","",Parâmetros!$B$5-H997)</f>
        <v>154</v>
      </c>
      <c r="K997" s="10" t="n">
        <f aca="false">INDEX(Parâmetros!$D$13:$D$19,MATCH(E997,Parâmetros!$A$13:$A$19,0))</f>
        <v>40</v>
      </c>
      <c r="L997" s="10" t="n">
        <f aca="false">IF(G997="Prospecting",Parâmetros!$B$9,IF(J997&gt;Parâmetros!$B$6,0,INDEX(Parâmetros!$C$24:$C$26,MATCH(J997,Parâmetros!$A$24:$A$26,1))))</f>
        <v>0</v>
      </c>
      <c r="M997" s="31" t="n">
        <f aca="false">IF(G997="Prospecting",1,INDEX(Parâmetros!$C$32:$C$35,MATCH(J997,Parâmetros!$A$32:$A$35,1)))</f>
        <v>0.6</v>
      </c>
      <c r="N997" s="2" t="n">
        <f aca="false">ROUND((K997+L997)*M997,0)</f>
        <v>24</v>
      </c>
      <c r="O997" s="10" t="str">
        <f aca="false">IF(AND(G997="Engaging",J997&gt;Parâmetros!$B$6),"Sim","Não")</f>
        <v>Sim</v>
      </c>
      <c r="P997" s="32" t="str">
        <f aca="false">IF(O997="Sim","R",IF(N997&gt;=Parâmetros!$B$39,"A",IF(N997&gt;=Parâmetros!$B$40,"B",IF(N997&gt;=Parâmetros!$B$41,"C","D"))))</f>
        <v>R</v>
      </c>
      <c r="Q997" s="10" t="str">
        <f aca="false">IF(F997="","Completar cadastro","")</f>
        <v>Completar cadastro</v>
      </c>
      <c r="R997" s="10" t="str">
        <f aca="false">INDEX(Parâmetros!$D$39:$D$43,MATCH(P997,Parâmetros!$A$39:$A$43,0))</f>
        <v>Reciclar: requalificar, reengajar ou encerrar</v>
      </c>
    </row>
    <row r="998" customFormat="false" ht="15" hidden="false" customHeight="false" outlineLevel="0" collapsed="false">
      <c r="A998" s="10" t="s">
        <v>1241</v>
      </c>
      <c r="B998" s="10" t="s">
        <v>73</v>
      </c>
      <c r="C998" s="10" t="s">
        <v>72</v>
      </c>
      <c r="D998" s="10" t="s">
        <v>196</v>
      </c>
      <c r="E998" s="10" t="s">
        <v>49</v>
      </c>
      <c r="F998" s="10"/>
      <c r="G998" s="10" t="s">
        <v>162</v>
      </c>
      <c r="H998" s="30" t="n">
        <v>42947</v>
      </c>
      <c r="I998" s="8" t="n">
        <f aca="false">INDEX(Parâmetros!$C$13:$C$19,MATCH(E998,Parâmetros!$A$13:$A$19,0))</f>
        <v>3393</v>
      </c>
      <c r="J998" s="26" t="n">
        <f aca="false">IF(H998="","",Parâmetros!$B$5-H998)</f>
        <v>153</v>
      </c>
      <c r="K998" s="10" t="n">
        <f aca="false">INDEX(Parâmetros!$D$13:$D$19,MATCH(E998,Parâmetros!$A$13:$A$19,0))</f>
        <v>40</v>
      </c>
      <c r="L998" s="10" t="n">
        <f aca="false">IF(G998="Prospecting",Parâmetros!$B$9,IF(J998&gt;Parâmetros!$B$6,0,INDEX(Parâmetros!$C$24:$C$26,MATCH(J998,Parâmetros!$A$24:$A$26,1))))</f>
        <v>0</v>
      </c>
      <c r="M998" s="31" t="n">
        <f aca="false">IF(G998="Prospecting",1,INDEX(Parâmetros!$C$32:$C$35,MATCH(J998,Parâmetros!$A$32:$A$35,1)))</f>
        <v>0.6</v>
      </c>
      <c r="N998" s="2" t="n">
        <f aca="false">ROUND((K998+L998)*M998,0)</f>
        <v>24</v>
      </c>
      <c r="O998" s="10" t="str">
        <f aca="false">IF(AND(G998="Engaging",J998&gt;Parâmetros!$B$6),"Sim","Não")</f>
        <v>Sim</v>
      </c>
      <c r="P998" s="32" t="str">
        <f aca="false">IF(O998="Sim","R",IF(N998&gt;=Parâmetros!$B$39,"A",IF(N998&gt;=Parâmetros!$B$40,"B",IF(N998&gt;=Parâmetros!$B$41,"C","D"))))</f>
        <v>R</v>
      </c>
      <c r="Q998" s="10" t="str">
        <f aca="false">IF(F998="","Completar cadastro","")</f>
        <v>Completar cadastro</v>
      </c>
      <c r="R998" s="10" t="str">
        <f aca="false">INDEX(Parâmetros!$D$39:$D$43,MATCH(P998,Parâmetros!$A$39:$A$43,0))</f>
        <v>Reciclar: requalificar, reengajar ou encerrar</v>
      </c>
    </row>
    <row r="999" customFormat="false" ht="15" hidden="false" customHeight="false" outlineLevel="0" collapsed="false">
      <c r="A999" s="10" t="s">
        <v>1242</v>
      </c>
      <c r="B999" s="10" t="s">
        <v>79</v>
      </c>
      <c r="C999" s="10" t="s">
        <v>78</v>
      </c>
      <c r="D999" s="10" t="s">
        <v>196</v>
      </c>
      <c r="E999" s="10" t="s">
        <v>49</v>
      </c>
      <c r="F999" s="10" t="s">
        <v>427</v>
      </c>
      <c r="G999" s="10" t="s">
        <v>162</v>
      </c>
      <c r="H999" s="30" t="n">
        <v>42947</v>
      </c>
      <c r="I999" s="8" t="n">
        <f aca="false">INDEX(Parâmetros!$C$13:$C$19,MATCH(E999,Parâmetros!$A$13:$A$19,0))</f>
        <v>3393</v>
      </c>
      <c r="J999" s="26" t="n">
        <f aca="false">IF(H999="","",Parâmetros!$B$5-H999)</f>
        <v>153</v>
      </c>
      <c r="K999" s="10" t="n">
        <f aca="false">INDEX(Parâmetros!$D$13:$D$19,MATCH(E999,Parâmetros!$A$13:$A$19,0))</f>
        <v>40</v>
      </c>
      <c r="L999" s="10" t="n">
        <f aca="false">IF(G999="Prospecting",Parâmetros!$B$9,IF(J999&gt;Parâmetros!$B$6,0,INDEX(Parâmetros!$C$24:$C$26,MATCH(J999,Parâmetros!$A$24:$A$26,1))))</f>
        <v>0</v>
      </c>
      <c r="M999" s="31" t="n">
        <f aca="false">IF(G999="Prospecting",1,INDEX(Parâmetros!$C$32:$C$35,MATCH(J999,Parâmetros!$A$32:$A$35,1)))</f>
        <v>0.6</v>
      </c>
      <c r="N999" s="2" t="n">
        <f aca="false">ROUND((K999+L999)*M999,0)</f>
        <v>24</v>
      </c>
      <c r="O999" s="10" t="str">
        <f aca="false">IF(AND(G999="Engaging",J999&gt;Parâmetros!$B$6),"Sim","Não")</f>
        <v>Sim</v>
      </c>
      <c r="P999" s="32" t="str">
        <f aca="false">IF(O999="Sim","R",IF(N999&gt;=Parâmetros!$B$39,"A",IF(N999&gt;=Parâmetros!$B$40,"B",IF(N999&gt;=Parâmetros!$B$41,"C","D"))))</f>
        <v>R</v>
      </c>
      <c r="Q999" s="10" t="str">
        <f aca="false">IF(F999="","Completar cadastro","")</f>
        <v/>
      </c>
      <c r="R999" s="10" t="str">
        <f aca="false">INDEX(Parâmetros!$D$39:$D$43,MATCH(P999,Parâmetros!$A$39:$A$43,0))</f>
        <v>Reciclar: requalificar, reengajar ou encerrar</v>
      </c>
    </row>
    <row r="1000" customFormat="false" ht="15" hidden="false" customHeight="false" outlineLevel="0" collapsed="false">
      <c r="A1000" s="10" t="s">
        <v>1243</v>
      </c>
      <c r="B1000" s="10" t="s">
        <v>67</v>
      </c>
      <c r="C1000" s="10" t="s">
        <v>65</v>
      </c>
      <c r="D1000" s="10" t="s">
        <v>160</v>
      </c>
      <c r="E1000" s="10" t="s">
        <v>49</v>
      </c>
      <c r="F1000" s="10"/>
      <c r="G1000" s="10" t="s">
        <v>162</v>
      </c>
      <c r="H1000" s="30" t="n">
        <v>42947</v>
      </c>
      <c r="I1000" s="8" t="n">
        <f aca="false">INDEX(Parâmetros!$C$13:$C$19,MATCH(E1000,Parâmetros!$A$13:$A$19,0))</f>
        <v>3393</v>
      </c>
      <c r="J1000" s="26" t="n">
        <f aca="false">IF(H1000="","",Parâmetros!$B$5-H1000)</f>
        <v>153</v>
      </c>
      <c r="K1000" s="10" t="n">
        <f aca="false">INDEX(Parâmetros!$D$13:$D$19,MATCH(E1000,Parâmetros!$A$13:$A$19,0))</f>
        <v>40</v>
      </c>
      <c r="L1000" s="10" t="n">
        <f aca="false">IF(G1000="Prospecting",Parâmetros!$B$9,IF(J1000&gt;Parâmetros!$B$6,0,INDEX(Parâmetros!$C$24:$C$26,MATCH(J1000,Parâmetros!$A$24:$A$26,1))))</f>
        <v>0</v>
      </c>
      <c r="M1000" s="31" t="n">
        <f aca="false">IF(G1000="Prospecting",1,INDEX(Parâmetros!$C$32:$C$35,MATCH(J1000,Parâmetros!$A$32:$A$35,1)))</f>
        <v>0.6</v>
      </c>
      <c r="N1000" s="2" t="n">
        <f aca="false">ROUND((K1000+L1000)*M1000,0)</f>
        <v>24</v>
      </c>
      <c r="O1000" s="10" t="str">
        <f aca="false">IF(AND(G1000="Engaging",J1000&gt;Parâmetros!$B$6),"Sim","Não")</f>
        <v>Sim</v>
      </c>
      <c r="P1000" s="32" t="str">
        <f aca="false">IF(O1000="Sim","R",IF(N1000&gt;=Parâmetros!$B$39,"A",IF(N1000&gt;=Parâmetros!$B$40,"B",IF(N1000&gt;=Parâmetros!$B$41,"C","D"))))</f>
        <v>R</v>
      </c>
      <c r="Q1000" s="10" t="str">
        <f aca="false">IF(F1000="","Completar cadastro","")</f>
        <v>Completar cadastro</v>
      </c>
      <c r="R1000" s="10" t="str">
        <f aca="false">INDEX(Parâmetros!$D$39:$D$43,MATCH(P1000,Parâmetros!$A$39:$A$43,0))</f>
        <v>Reciclar: requalificar, reengajar ou encerrar</v>
      </c>
    </row>
    <row r="1001" customFormat="false" ht="15" hidden="false" customHeight="false" outlineLevel="0" collapsed="false">
      <c r="A1001" s="10" t="s">
        <v>1244</v>
      </c>
      <c r="B1001" s="10" t="s">
        <v>74</v>
      </c>
      <c r="C1001" s="10" t="s">
        <v>72</v>
      </c>
      <c r="D1001" s="10" t="s">
        <v>196</v>
      </c>
      <c r="E1001" s="10" t="s">
        <v>49</v>
      </c>
      <c r="F1001" s="10" t="s">
        <v>405</v>
      </c>
      <c r="G1001" s="10" t="s">
        <v>162</v>
      </c>
      <c r="H1001" s="30" t="n">
        <v>42947</v>
      </c>
      <c r="I1001" s="8" t="n">
        <f aca="false">INDEX(Parâmetros!$C$13:$C$19,MATCH(E1001,Parâmetros!$A$13:$A$19,0))</f>
        <v>3393</v>
      </c>
      <c r="J1001" s="26" t="n">
        <f aca="false">IF(H1001="","",Parâmetros!$B$5-H1001)</f>
        <v>153</v>
      </c>
      <c r="K1001" s="10" t="n">
        <f aca="false">INDEX(Parâmetros!$D$13:$D$19,MATCH(E1001,Parâmetros!$A$13:$A$19,0))</f>
        <v>40</v>
      </c>
      <c r="L1001" s="10" t="n">
        <f aca="false">IF(G1001="Prospecting",Parâmetros!$B$9,IF(J1001&gt;Parâmetros!$B$6,0,INDEX(Parâmetros!$C$24:$C$26,MATCH(J1001,Parâmetros!$A$24:$A$26,1))))</f>
        <v>0</v>
      </c>
      <c r="M1001" s="31" t="n">
        <f aca="false">IF(G1001="Prospecting",1,INDEX(Parâmetros!$C$32:$C$35,MATCH(J1001,Parâmetros!$A$32:$A$35,1)))</f>
        <v>0.6</v>
      </c>
      <c r="N1001" s="2" t="n">
        <f aca="false">ROUND((K1001+L1001)*M1001,0)</f>
        <v>24</v>
      </c>
      <c r="O1001" s="10" t="str">
        <f aca="false">IF(AND(G1001="Engaging",J1001&gt;Parâmetros!$B$6),"Sim","Não")</f>
        <v>Sim</v>
      </c>
      <c r="P1001" s="32" t="str">
        <f aca="false">IF(O1001="Sim","R",IF(N1001&gt;=Parâmetros!$B$39,"A",IF(N1001&gt;=Parâmetros!$B$40,"B",IF(N1001&gt;=Parâmetros!$B$41,"C","D"))))</f>
        <v>R</v>
      </c>
      <c r="Q1001" s="10" t="str">
        <f aca="false">IF(F1001="","Completar cadastro","")</f>
        <v/>
      </c>
      <c r="R1001" s="10" t="str">
        <f aca="false">INDEX(Parâmetros!$D$39:$D$43,MATCH(P1001,Parâmetros!$A$39:$A$43,0))</f>
        <v>Reciclar: requalificar, reengajar ou encerrar</v>
      </c>
    </row>
    <row r="1002" customFormat="false" ht="15" hidden="false" customHeight="false" outlineLevel="0" collapsed="false">
      <c r="A1002" s="10" t="s">
        <v>1245</v>
      </c>
      <c r="B1002" s="10" t="s">
        <v>74</v>
      </c>
      <c r="C1002" s="10" t="s">
        <v>72</v>
      </c>
      <c r="D1002" s="10" t="s">
        <v>196</v>
      </c>
      <c r="E1002" s="10" t="s">
        <v>49</v>
      </c>
      <c r="F1002" s="10"/>
      <c r="G1002" s="10" t="s">
        <v>162</v>
      </c>
      <c r="H1002" s="30" t="n">
        <v>42947</v>
      </c>
      <c r="I1002" s="8" t="n">
        <f aca="false">INDEX(Parâmetros!$C$13:$C$19,MATCH(E1002,Parâmetros!$A$13:$A$19,0))</f>
        <v>3393</v>
      </c>
      <c r="J1002" s="26" t="n">
        <f aca="false">IF(H1002="","",Parâmetros!$B$5-H1002)</f>
        <v>153</v>
      </c>
      <c r="K1002" s="10" t="n">
        <f aca="false">INDEX(Parâmetros!$D$13:$D$19,MATCH(E1002,Parâmetros!$A$13:$A$19,0))</f>
        <v>40</v>
      </c>
      <c r="L1002" s="10" t="n">
        <f aca="false">IF(G1002="Prospecting",Parâmetros!$B$9,IF(J1002&gt;Parâmetros!$B$6,0,INDEX(Parâmetros!$C$24:$C$26,MATCH(J1002,Parâmetros!$A$24:$A$26,1))))</f>
        <v>0</v>
      </c>
      <c r="M1002" s="31" t="n">
        <f aca="false">IF(G1002="Prospecting",1,INDEX(Parâmetros!$C$32:$C$35,MATCH(J1002,Parâmetros!$A$32:$A$35,1)))</f>
        <v>0.6</v>
      </c>
      <c r="N1002" s="2" t="n">
        <f aca="false">ROUND((K1002+L1002)*M1002,0)</f>
        <v>24</v>
      </c>
      <c r="O1002" s="10" t="str">
        <f aca="false">IF(AND(G1002="Engaging",J1002&gt;Parâmetros!$B$6),"Sim","Não")</f>
        <v>Sim</v>
      </c>
      <c r="P1002" s="32" t="str">
        <f aca="false">IF(O1002="Sim","R",IF(N1002&gt;=Parâmetros!$B$39,"A",IF(N1002&gt;=Parâmetros!$B$40,"B",IF(N1002&gt;=Parâmetros!$B$41,"C","D"))))</f>
        <v>R</v>
      </c>
      <c r="Q1002" s="10" t="str">
        <f aca="false">IF(F1002="","Completar cadastro","")</f>
        <v>Completar cadastro</v>
      </c>
      <c r="R1002" s="10" t="str">
        <f aca="false">INDEX(Parâmetros!$D$39:$D$43,MATCH(P1002,Parâmetros!$A$39:$A$43,0))</f>
        <v>Reciclar: requalificar, reengajar ou encerrar</v>
      </c>
    </row>
    <row r="1003" customFormat="false" ht="15" hidden="false" customHeight="false" outlineLevel="0" collapsed="false">
      <c r="A1003" s="10" t="s">
        <v>1246</v>
      </c>
      <c r="B1003" s="10" t="s">
        <v>75</v>
      </c>
      <c r="C1003" s="10" t="s">
        <v>72</v>
      </c>
      <c r="D1003" s="10" t="s">
        <v>196</v>
      </c>
      <c r="E1003" s="10" t="s">
        <v>49</v>
      </c>
      <c r="F1003" s="10"/>
      <c r="G1003" s="10" t="s">
        <v>162</v>
      </c>
      <c r="H1003" s="30" t="n">
        <v>42947</v>
      </c>
      <c r="I1003" s="8" t="n">
        <f aca="false">INDEX(Parâmetros!$C$13:$C$19,MATCH(E1003,Parâmetros!$A$13:$A$19,0))</f>
        <v>3393</v>
      </c>
      <c r="J1003" s="26" t="n">
        <f aca="false">IF(H1003="","",Parâmetros!$B$5-H1003)</f>
        <v>153</v>
      </c>
      <c r="K1003" s="10" t="n">
        <f aca="false">INDEX(Parâmetros!$D$13:$D$19,MATCH(E1003,Parâmetros!$A$13:$A$19,0))</f>
        <v>40</v>
      </c>
      <c r="L1003" s="10" t="n">
        <f aca="false">IF(G1003="Prospecting",Parâmetros!$B$9,IF(J1003&gt;Parâmetros!$B$6,0,INDEX(Parâmetros!$C$24:$C$26,MATCH(J1003,Parâmetros!$A$24:$A$26,1))))</f>
        <v>0</v>
      </c>
      <c r="M1003" s="31" t="n">
        <f aca="false">IF(G1003="Prospecting",1,INDEX(Parâmetros!$C$32:$C$35,MATCH(J1003,Parâmetros!$A$32:$A$35,1)))</f>
        <v>0.6</v>
      </c>
      <c r="N1003" s="2" t="n">
        <f aca="false">ROUND((K1003+L1003)*M1003,0)</f>
        <v>24</v>
      </c>
      <c r="O1003" s="10" t="str">
        <f aca="false">IF(AND(G1003="Engaging",J1003&gt;Parâmetros!$B$6),"Sim","Não")</f>
        <v>Sim</v>
      </c>
      <c r="P1003" s="32" t="str">
        <f aca="false">IF(O1003="Sim","R",IF(N1003&gt;=Parâmetros!$B$39,"A",IF(N1003&gt;=Parâmetros!$B$40,"B",IF(N1003&gt;=Parâmetros!$B$41,"C","D"))))</f>
        <v>R</v>
      </c>
      <c r="Q1003" s="10" t="str">
        <f aca="false">IF(F1003="","Completar cadastro","")</f>
        <v>Completar cadastro</v>
      </c>
      <c r="R1003" s="10" t="str">
        <f aca="false">INDEX(Parâmetros!$D$39:$D$43,MATCH(P1003,Parâmetros!$A$39:$A$43,0))</f>
        <v>Reciclar: requalificar, reengajar ou encerrar</v>
      </c>
    </row>
    <row r="1004" customFormat="false" ht="15" hidden="false" customHeight="false" outlineLevel="0" collapsed="false">
      <c r="A1004" s="10" t="s">
        <v>1247</v>
      </c>
      <c r="B1004" s="10" t="s">
        <v>86</v>
      </c>
      <c r="C1004" s="10" t="s">
        <v>85</v>
      </c>
      <c r="D1004" s="10" t="s">
        <v>165</v>
      </c>
      <c r="E1004" s="10" t="s">
        <v>49</v>
      </c>
      <c r="F1004" s="10"/>
      <c r="G1004" s="10" t="s">
        <v>162</v>
      </c>
      <c r="H1004" s="30" t="n">
        <v>42948</v>
      </c>
      <c r="I1004" s="8" t="n">
        <f aca="false">INDEX(Parâmetros!$C$13:$C$19,MATCH(E1004,Parâmetros!$A$13:$A$19,0))</f>
        <v>3393</v>
      </c>
      <c r="J1004" s="26" t="n">
        <f aca="false">IF(H1004="","",Parâmetros!$B$5-H1004)</f>
        <v>152</v>
      </c>
      <c r="K1004" s="10" t="n">
        <f aca="false">INDEX(Parâmetros!$D$13:$D$19,MATCH(E1004,Parâmetros!$A$13:$A$19,0))</f>
        <v>40</v>
      </c>
      <c r="L1004" s="10" t="n">
        <f aca="false">IF(G1004="Prospecting",Parâmetros!$B$9,IF(J1004&gt;Parâmetros!$B$6,0,INDEX(Parâmetros!$C$24:$C$26,MATCH(J1004,Parâmetros!$A$24:$A$26,1))))</f>
        <v>0</v>
      </c>
      <c r="M1004" s="31" t="n">
        <f aca="false">IF(G1004="Prospecting",1,INDEX(Parâmetros!$C$32:$C$35,MATCH(J1004,Parâmetros!$A$32:$A$35,1)))</f>
        <v>0.6</v>
      </c>
      <c r="N1004" s="2" t="n">
        <f aca="false">ROUND((K1004+L1004)*M1004,0)</f>
        <v>24</v>
      </c>
      <c r="O1004" s="10" t="str">
        <f aca="false">IF(AND(G1004="Engaging",J1004&gt;Parâmetros!$B$6),"Sim","Não")</f>
        <v>Sim</v>
      </c>
      <c r="P1004" s="32" t="str">
        <f aca="false">IF(O1004="Sim","R",IF(N1004&gt;=Parâmetros!$B$39,"A",IF(N1004&gt;=Parâmetros!$B$40,"B",IF(N1004&gt;=Parâmetros!$B$41,"C","D"))))</f>
        <v>R</v>
      </c>
      <c r="Q1004" s="10" t="str">
        <f aca="false">IF(F1004="","Completar cadastro","")</f>
        <v>Completar cadastro</v>
      </c>
      <c r="R1004" s="10" t="str">
        <f aca="false">INDEX(Parâmetros!$D$39:$D$43,MATCH(P1004,Parâmetros!$A$39:$A$43,0))</f>
        <v>Reciclar: requalificar, reengajar ou encerrar</v>
      </c>
    </row>
    <row r="1005" customFormat="false" ht="15" hidden="false" customHeight="false" outlineLevel="0" collapsed="false">
      <c r="A1005" s="10" t="s">
        <v>1248</v>
      </c>
      <c r="B1005" s="10" t="s">
        <v>79</v>
      </c>
      <c r="C1005" s="10" t="s">
        <v>78</v>
      </c>
      <c r="D1005" s="10" t="s">
        <v>196</v>
      </c>
      <c r="E1005" s="10" t="s">
        <v>49</v>
      </c>
      <c r="F1005" s="10"/>
      <c r="G1005" s="10" t="s">
        <v>162</v>
      </c>
      <c r="H1005" s="30" t="n">
        <v>42948</v>
      </c>
      <c r="I1005" s="8" t="n">
        <f aca="false">INDEX(Parâmetros!$C$13:$C$19,MATCH(E1005,Parâmetros!$A$13:$A$19,0))</f>
        <v>3393</v>
      </c>
      <c r="J1005" s="26" t="n">
        <f aca="false">IF(H1005="","",Parâmetros!$B$5-H1005)</f>
        <v>152</v>
      </c>
      <c r="K1005" s="10" t="n">
        <f aca="false">INDEX(Parâmetros!$D$13:$D$19,MATCH(E1005,Parâmetros!$A$13:$A$19,0))</f>
        <v>40</v>
      </c>
      <c r="L1005" s="10" t="n">
        <f aca="false">IF(G1005="Prospecting",Parâmetros!$B$9,IF(J1005&gt;Parâmetros!$B$6,0,INDEX(Parâmetros!$C$24:$C$26,MATCH(J1005,Parâmetros!$A$24:$A$26,1))))</f>
        <v>0</v>
      </c>
      <c r="M1005" s="31" t="n">
        <f aca="false">IF(G1005="Prospecting",1,INDEX(Parâmetros!$C$32:$C$35,MATCH(J1005,Parâmetros!$A$32:$A$35,1)))</f>
        <v>0.6</v>
      </c>
      <c r="N1005" s="2" t="n">
        <f aca="false">ROUND((K1005+L1005)*M1005,0)</f>
        <v>24</v>
      </c>
      <c r="O1005" s="10" t="str">
        <f aca="false">IF(AND(G1005="Engaging",J1005&gt;Parâmetros!$B$6),"Sim","Não")</f>
        <v>Sim</v>
      </c>
      <c r="P1005" s="32" t="str">
        <f aca="false">IF(O1005="Sim","R",IF(N1005&gt;=Parâmetros!$B$39,"A",IF(N1005&gt;=Parâmetros!$B$40,"B",IF(N1005&gt;=Parâmetros!$B$41,"C","D"))))</f>
        <v>R</v>
      </c>
      <c r="Q1005" s="10" t="str">
        <f aca="false">IF(F1005="","Completar cadastro","")</f>
        <v>Completar cadastro</v>
      </c>
      <c r="R1005" s="10" t="str">
        <f aca="false">INDEX(Parâmetros!$D$39:$D$43,MATCH(P1005,Parâmetros!$A$39:$A$43,0))</f>
        <v>Reciclar: requalificar, reengajar ou encerrar</v>
      </c>
    </row>
    <row r="1006" customFormat="false" ht="15" hidden="false" customHeight="false" outlineLevel="0" collapsed="false">
      <c r="A1006" s="10" t="s">
        <v>1249</v>
      </c>
      <c r="B1006" s="10" t="s">
        <v>97</v>
      </c>
      <c r="C1006" s="10" t="s">
        <v>92</v>
      </c>
      <c r="D1006" s="10" t="s">
        <v>160</v>
      </c>
      <c r="E1006" s="10" t="s">
        <v>49</v>
      </c>
      <c r="F1006" s="10"/>
      <c r="G1006" s="10" t="s">
        <v>162</v>
      </c>
      <c r="H1006" s="30" t="n">
        <v>42948</v>
      </c>
      <c r="I1006" s="8" t="n">
        <f aca="false">INDEX(Parâmetros!$C$13:$C$19,MATCH(E1006,Parâmetros!$A$13:$A$19,0))</f>
        <v>3393</v>
      </c>
      <c r="J1006" s="26" t="n">
        <f aca="false">IF(H1006="","",Parâmetros!$B$5-H1006)</f>
        <v>152</v>
      </c>
      <c r="K1006" s="10" t="n">
        <f aca="false">INDEX(Parâmetros!$D$13:$D$19,MATCH(E1006,Parâmetros!$A$13:$A$19,0))</f>
        <v>40</v>
      </c>
      <c r="L1006" s="10" t="n">
        <f aca="false">IF(G1006="Prospecting",Parâmetros!$B$9,IF(J1006&gt;Parâmetros!$B$6,0,INDEX(Parâmetros!$C$24:$C$26,MATCH(J1006,Parâmetros!$A$24:$A$26,1))))</f>
        <v>0</v>
      </c>
      <c r="M1006" s="31" t="n">
        <f aca="false">IF(G1006="Prospecting",1,INDEX(Parâmetros!$C$32:$C$35,MATCH(J1006,Parâmetros!$A$32:$A$35,1)))</f>
        <v>0.6</v>
      </c>
      <c r="N1006" s="2" t="n">
        <f aca="false">ROUND((K1006+L1006)*M1006,0)</f>
        <v>24</v>
      </c>
      <c r="O1006" s="10" t="str">
        <f aca="false">IF(AND(G1006="Engaging",J1006&gt;Parâmetros!$B$6),"Sim","Não")</f>
        <v>Sim</v>
      </c>
      <c r="P1006" s="32" t="str">
        <f aca="false">IF(O1006="Sim","R",IF(N1006&gt;=Parâmetros!$B$39,"A",IF(N1006&gt;=Parâmetros!$B$40,"B",IF(N1006&gt;=Parâmetros!$B$41,"C","D"))))</f>
        <v>R</v>
      </c>
      <c r="Q1006" s="10" t="str">
        <f aca="false">IF(F1006="","Completar cadastro","")</f>
        <v>Completar cadastro</v>
      </c>
      <c r="R1006" s="10" t="str">
        <f aca="false">INDEX(Parâmetros!$D$39:$D$43,MATCH(P1006,Parâmetros!$A$39:$A$43,0))</f>
        <v>Reciclar: requalificar, reengajar ou encerrar</v>
      </c>
    </row>
    <row r="1007" customFormat="false" ht="15" hidden="false" customHeight="false" outlineLevel="0" collapsed="false">
      <c r="A1007" s="10" t="s">
        <v>1250</v>
      </c>
      <c r="B1007" s="10" t="s">
        <v>75</v>
      </c>
      <c r="C1007" s="10" t="s">
        <v>72</v>
      </c>
      <c r="D1007" s="10" t="s">
        <v>196</v>
      </c>
      <c r="E1007" s="10" t="s">
        <v>49</v>
      </c>
      <c r="F1007" s="10" t="s">
        <v>1251</v>
      </c>
      <c r="G1007" s="10" t="s">
        <v>162</v>
      </c>
      <c r="H1007" s="30" t="n">
        <v>42949</v>
      </c>
      <c r="I1007" s="8" t="n">
        <f aca="false">INDEX(Parâmetros!$C$13:$C$19,MATCH(E1007,Parâmetros!$A$13:$A$19,0))</f>
        <v>3393</v>
      </c>
      <c r="J1007" s="26" t="n">
        <f aca="false">IF(H1007="","",Parâmetros!$B$5-H1007)</f>
        <v>151</v>
      </c>
      <c r="K1007" s="10" t="n">
        <f aca="false">INDEX(Parâmetros!$D$13:$D$19,MATCH(E1007,Parâmetros!$A$13:$A$19,0))</f>
        <v>40</v>
      </c>
      <c r="L1007" s="10" t="n">
        <f aca="false">IF(G1007="Prospecting",Parâmetros!$B$9,IF(J1007&gt;Parâmetros!$B$6,0,INDEX(Parâmetros!$C$24:$C$26,MATCH(J1007,Parâmetros!$A$24:$A$26,1))))</f>
        <v>0</v>
      </c>
      <c r="M1007" s="31" t="n">
        <f aca="false">IF(G1007="Prospecting",1,INDEX(Parâmetros!$C$32:$C$35,MATCH(J1007,Parâmetros!$A$32:$A$35,1)))</f>
        <v>0.6</v>
      </c>
      <c r="N1007" s="2" t="n">
        <f aca="false">ROUND((K1007+L1007)*M1007,0)</f>
        <v>24</v>
      </c>
      <c r="O1007" s="10" t="str">
        <f aca="false">IF(AND(G1007="Engaging",J1007&gt;Parâmetros!$B$6),"Sim","Não")</f>
        <v>Sim</v>
      </c>
      <c r="P1007" s="32" t="str">
        <f aca="false">IF(O1007="Sim","R",IF(N1007&gt;=Parâmetros!$B$39,"A",IF(N1007&gt;=Parâmetros!$B$40,"B",IF(N1007&gt;=Parâmetros!$B$41,"C","D"))))</f>
        <v>R</v>
      </c>
      <c r="Q1007" s="10" t="str">
        <f aca="false">IF(F1007="","Completar cadastro","")</f>
        <v/>
      </c>
      <c r="R1007" s="10" t="str">
        <f aca="false">INDEX(Parâmetros!$D$39:$D$43,MATCH(P1007,Parâmetros!$A$39:$A$43,0))</f>
        <v>Reciclar: requalificar, reengajar ou encerrar</v>
      </c>
    </row>
    <row r="1008" customFormat="false" ht="15" hidden="false" customHeight="false" outlineLevel="0" collapsed="false">
      <c r="A1008" s="10" t="s">
        <v>1252</v>
      </c>
      <c r="B1008" s="10" t="s">
        <v>70</v>
      </c>
      <c r="C1008" s="10" t="s">
        <v>65</v>
      </c>
      <c r="D1008" s="10" t="s">
        <v>160</v>
      </c>
      <c r="E1008" s="10" t="s">
        <v>49</v>
      </c>
      <c r="F1008" s="10"/>
      <c r="G1008" s="10" t="s">
        <v>162</v>
      </c>
      <c r="H1008" s="30" t="n">
        <v>42949</v>
      </c>
      <c r="I1008" s="8" t="n">
        <f aca="false">INDEX(Parâmetros!$C$13:$C$19,MATCH(E1008,Parâmetros!$A$13:$A$19,0))</f>
        <v>3393</v>
      </c>
      <c r="J1008" s="26" t="n">
        <f aca="false">IF(H1008="","",Parâmetros!$B$5-H1008)</f>
        <v>151</v>
      </c>
      <c r="K1008" s="10" t="n">
        <f aca="false">INDEX(Parâmetros!$D$13:$D$19,MATCH(E1008,Parâmetros!$A$13:$A$19,0))</f>
        <v>40</v>
      </c>
      <c r="L1008" s="10" t="n">
        <f aca="false">IF(G1008="Prospecting",Parâmetros!$B$9,IF(J1008&gt;Parâmetros!$B$6,0,INDEX(Parâmetros!$C$24:$C$26,MATCH(J1008,Parâmetros!$A$24:$A$26,1))))</f>
        <v>0</v>
      </c>
      <c r="M1008" s="31" t="n">
        <f aca="false">IF(G1008="Prospecting",1,INDEX(Parâmetros!$C$32:$C$35,MATCH(J1008,Parâmetros!$A$32:$A$35,1)))</f>
        <v>0.6</v>
      </c>
      <c r="N1008" s="2" t="n">
        <f aca="false">ROUND((K1008+L1008)*M1008,0)</f>
        <v>24</v>
      </c>
      <c r="O1008" s="10" t="str">
        <f aca="false">IF(AND(G1008="Engaging",J1008&gt;Parâmetros!$B$6),"Sim","Não")</f>
        <v>Sim</v>
      </c>
      <c r="P1008" s="32" t="str">
        <f aca="false">IF(O1008="Sim","R",IF(N1008&gt;=Parâmetros!$B$39,"A",IF(N1008&gt;=Parâmetros!$B$40,"B",IF(N1008&gt;=Parâmetros!$B$41,"C","D"))))</f>
        <v>R</v>
      </c>
      <c r="Q1008" s="10" t="str">
        <f aca="false">IF(F1008="","Completar cadastro","")</f>
        <v>Completar cadastro</v>
      </c>
      <c r="R1008" s="10" t="str">
        <f aca="false">INDEX(Parâmetros!$D$39:$D$43,MATCH(P1008,Parâmetros!$A$39:$A$43,0))</f>
        <v>Reciclar: requalificar, reengajar ou encerrar</v>
      </c>
    </row>
    <row r="1009" customFormat="false" ht="15" hidden="false" customHeight="false" outlineLevel="0" collapsed="false">
      <c r="A1009" s="10" t="s">
        <v>1253</v>
      </c>
      <c r="B1009" s="10" t="s">
        <v>71</v>
      </c>
      <c r="C1009" s="10" t="s">
        <v>72</v>
      </c>
      <c r="D1009" s="10" t="s">
        <v>196</v>
      </c>
      <c r="E1009" s="10" t="s">
        <v>49</v>
      </c>
      <c r="F1009" s="10" t="s">
        <v>674</v>
      </c>
      <c r="G1009" s="10" t="s">
        <v>162</v>
      </c>
      <c r="H1009" s="30" t="n">
        <v>42950</v>
      </c>
      <c r="I1009" s="8" t="n">
        <f aca="false">INDEX(Parâmetros!$C$13:$C$19,MATCH(E1009,Parâmetros!$A$13:$A$19,0))</f>
        <v>3393</v>
      </c>
      <c r="J1009" s="26" t="n">
        <f aca="false">IF(H1009="","",Parâmetros!$B$5-H1009)</f>
        <v>150</v>
      </c>
      <c r="K1009" s="10" t="n">
        <f aca="false">INDEX(Parâmetros!$D$13:$D$19,MATCH(E1009,Parâmetros!$A$13:$A$19,0))</f>
        <v>40</v>
      </c>
      <c r="L1009" s="10" t="n">
        <f aca="false">IF(G1009="Prospecting",Parâmetros!$B$9,IF(J1009&gt;Parâmetros!$B$6,0,INDEX(Parâmetros!$C$24:$C$26,MATCH(J1009,Parâmetros!$A$24:$A$26,1))))</f>
        <v>0</v>
      </c>
      <c r="M1009" s="31" t="n">
        <f aca="false">IF(G1009="Prospecting",1,INDEX(Parâmetros!$C$32:$C$35,MATCH(J1009,Parâmetros!$A$32:$A$35,1)))</f>
        <v>0.6</v>
      </c>
      <c r="N1009" s="2" t="n">
        <f aca="false">ROUND((K1009+L1009)*M1009,0)</f>
        <v>24</v>
      </c>
      <c r="O1009" s="10" t="str">
        <f aca="false">IF(AND(G1009="Engaging",J1009&gt;Parâmetros!$B$6),"Sim","Não")</f>
        <v>Sim</v>
      </c>
      <c r="P1009" s="32" t="str">
        <f aca="false">IF(O1009="Sim","R",IF(N1009&gt;=Parâmetros!$B$39,"A",IF(N1009&gt;=Parâmetros!$B$40,"B",IF(N1009&gt;=Parâmetros!$B$41,"C","D"))))</f>
        <v>R</v>
      </c>
      <c r="Q1009" s="10" t="str">
        <f aca="false">IF(F1009="","Completar cadastro","")</f>
        <v/>
      </c>
      <c r="R1009" s="10" t="str">
        <f aca="false">INDEX(Parâmetros!$D$39:$D$43,MATCH(P1009,Parâmetros!$A$39:$A$43,0))</f>
        <v>Reciclar: requalificar, reengajar ou encerrar</v>
      </c>
    </row>
    <row r="1010" customFormat="false" ht="15" hidden="false" customHeight="false" outlineLevel="0" collapsed="false">
      <c r="A1010" s="10" t="s">
        <v>1254</v>
      </c>
      <c r="B1010" s="10" t="s">
        <v>73</v>
      </c>
      <c r="C1010" s="10" t="s">
        <v>72</v>
      </c>
      <c r="D1010" s="10" t="s">
        <v>196</v>
      </c>
      <c r="E1010" s="10" t="s">
        <v>49</v>
      </c>
      <c r="F1010" s="10"/>
      <c r="G1010" s="10" t="s">
        <v>162</v>
      </c>
      <c r="H1010" s="30" t="n">
        <v>42950</v>
      </c>
      <c r="I1010" s="8" t="n">
        <f aca="false">INDEX(Parâmetros!$C$13:$C$19,MATCH(E1010,Parâmetros!$A$13:$A$19,0))</f>
        <v>3393</v>
      </c>
      <c r="J1010" s="26" t="n">
        <f aca="false">IF(H1010="","",Parâmetros!$B$5-H1010)</f>
        <v>150</v>
      </c>
      <c r="K1010" s="10" t="n">
        <f aca="false">INDEX(Parâmetros!$D$13:$D$19,MATCH(E1010,Parâmetros!$A$13:$A$19,0))</f>
        <v>40</v>
      </c>
      <c r="L1010" s="10" t="n">
        <f aca="false">IF(G1010="Prospecting",Parâmetros!$B$9,IF(J1010&gt;Parâmetros!$B$6,0,INDEX(Parâmetros!$C$24:$C$26,MATCH(J1010,Parâmetros!$A$24:$A$26,1))))</f>
        <v>0</v>
      </c>
      <c r="M1010" s="31" t="n">
        <f aca="false">IF(G1010="Prospecting",1,INDEX(Parâmetros!$C$32:$C$35,MATCH(J1010,Parâmetros!$A$32:$A$35,1)))</f>
        <v>0.6</v>
      </c>
      <c r="N1010" s="2" t="n">
        <f aca="false">ROUND((K1010+L1010)*M1010,0)</f>
        <v>24</v>
      </c>
      <c r="O1010" s="10" t="str">
        <f aca="false">IF(AND(G1010="Engaging",J1010&gt;Parâmetros!$B$6),"Sim","Não")</f>
        <v>Sim</v>
      </c>
      <c r="P1010" s="32" t="str">
        <f aca="false">IF(O1010="Sim","R",IF(N1010&gt;=Parâmetros!$B$39,"A",IF(N1010&gt;=Parâmetros!$B$40,"B",IF(N1010&gt;=Parâmetros!$B$41,"C","D"))))</f>
        <v>R</v>
      </c>
      <c r="Q1010" s="10" t="str">
        <f aca="false">IF(F1010="","Completar cadastro","")</f>
        <v>Completar cadastro</v>
      </c>
      <c r="R1010" s="10" t="str">
        <f aca="false">INDEX(Parâmetros!$D$39:$D$43,MATCH(P1010,Parâmetros!$A$39:$A$43,0))</f>
        <v>Reciclar: requalificar, reengajar ou encerrar</v>
      </c>
    </row>
    <row r="1011" customFormat="false" ht="15" hidden="false" customHeight="false" outlineLevel="0" collapsed="false">
      <c r="A1011" s="10" t="s">
        <v>1255</v>
      </c>
      <c r="B1011" s="10" t="s">
        <v>74</v>
      </c>
      <c r="C1011" s="10" t="s">
        <v>72</v>
      </c>
      <c r="D1011" s="10" t="s">
        <v>196</v>
      </c>
      <c r="E1011" s="10" t="s">
        <v>49</v>
      </c>
      <c r="F1011" s="10" t="s">
        <v>405</v>
      </c>
      <c r="G1011" s="10" t="s">
        <v>162</v>
      </c>
      <c r="H1011" s="30" t="n">
        <v>42950</v>
      </c>
      <c r="I1011" s="8" t="n">
        <f aca="false">INDEX(Parâmetros!$C$13:$C$19,MATCH(E1011,Parâmetros!$A$13:$A$19,0))</f>
        <v>3393</v>
      </c>
      <c r="J1011" s="26" t="n">
        <f aca="false">IF(H1011="","",Parâmetros!$B$5-H1011)</f>
        <v>150</v>
      </c>
      <c r="K1011" s="10" t="n">
        <f aca="false">INDEX(Parâmetros!$D$13:$D$19,MATCH(E1011,Parâmetros!$A$13:$A$19,0))</f>
        <v>40</v>
      </c>
      <c r="L1011" s="10" t="n">
        <f aca="false">IF(G1011="Prospecting",Parâmetros!$B$9,IF(J1011&gt;Parâmetros!$B$6,0,INDEX(Parâmetros!$C$24:$C$26,MATCH(J1011,Parâmetros!$A$24:$A$26,1))))</f>
        <v>0</v>
      </c>
      <c r="M1011" s="31" t="n">
        <f aca="false">IF(G1011="Prospecting",1,INDEX(Parâmetros!$C$32:$C$35,MATCH(J1011,Parâmetros!$A$32:$A$35,1)))</f>
        <v>0.6</v>
      </c>
      <c r="N1011" s="2" t="n">
        <f aca="false">ROUND((K1011+L1011)*M1011,0)</f>
        <v>24</v>
      </c>
      <c r="O1011" s="10" t="str">
        <f aca="false">IF(AND(G1011="Engaging",J1011&gt;Parâmetros!$B$6),"Sim","Não")</f>
        <v>Sim</v>
      </c>
      <c r="P1011" s="32" t="str">
        <f aca="false">IF(O1011="Sim","R",IF(N1011&gt;=Parâmetros!$B$39,"A",IF(N1011&gt;=Parâmetros!$B$40,"B",IF(N1011&gt;=Parâmetros!$B$41,"C","D"))))</f>
        <v>R</v>
      </c>
      <c r="Q1011" s="10" t="str">
        <f aca="false">IF(F1011="","Completar cadastro","")</f>
        <v/>
      </c>
      <c r="R1011" s="10" t="str">
        <f aca="false">INDEX(Parâmetros!$D$39:$D$43,MATCH(P1011,Parâmetros!$A$39:$A$43,0))</f>
        <v>Reciclar: requalificar, reengajar ou encerrar</v>
      </c>
    </row>
    <row r="1012" customFormat="false" ht="15" hidden="false" customHeight="false" outlineLevel="0" collapsed="false">
      <c r="A1012" s="10" t="s">
        <v>1256</v>
      </c>
      <c r="B1012" s="10" t="s">
        <v>81</v>
      </c>
      <c r="C1012" s="10" t="s">
        <v>78</v>
      </c>
      <c r="D1012" s="10" t="s">
        <v>196</v>
      </c>
      <c r="E1012" s="10" t="s">
        <v>49</v>
      </c>
      <c r="F1012" s="10"/>
      <c r="G1012" s="10" t="s">
        <v>162</v>
      </c>
      <c r="H1012" s="30" t="n">
        <v>42950</v>
      </c>
      <c r="I1012" s="8" t="n">
        <f aca="false">INDEX(Parâmetros!$C$13:$C$19,MATCH(E1012,Parâmetros!$A$13:$A$19,0))</f>
        <v>3393</v>
      </c>
      <c r="J1012" s="26" t="n">
        <f aca="false">IF(H1012="","",Parâmetros!$B$5-H1012)</f>
        <v>150</v>
      </c>
      <c r="K1012" s="10" t="n">
        <f aca="false">INDEX(Parâmetros!$D$13:$D$19,MATCH(E1012,Parâmetros!$A$13:$A$19,0))</f>
        <v>40</v>
      </c>
      <c r="L1012" s="10" t="n">
        <f aca="false">IF(G1012="Prospecting",Parâmetros!$B$9,IF(J1012&gt;Parâmetros!$B$6,0,INDEX(Parâmetros!$C$24:$C$26,MATCH(J1012,Parâmetros!$A$24:$A$26,1))))</f>
        <v>0</v>
      </c>
      <c r="M1012" s="31" t="n">
        <f aca="false">IF(G1012="Prospecting",1,INDEX(Parâmetros!$C$32:$C$35,MATCH(J1012,Parâmetros!$A$32:$A$35,1)))</f>
        <v>0.6</v>
      </c>
      <c r="N1012" s="2" t="n">
        <f aca="false">ROUND((K1012+L1012)*M1012,0)</f>
        <v>24</v>
      </c>
      <c r="O1012" s="10" t="str">
        <f aca="false">IF(AND(G1012="Engaging",J1012&gt;Parâmetros!$B$6),"Sim","Não")</f>
        <v>Sim</v>
      </c>
      <c r="P1012" s="32" t="str">
        <f aca="false">IF(O1012="Sim","R",IF(N1012&gt;=Parâmetros!$B$39,"A",IF(N1012&gt;=Parâmetros!$B$40,"B",IF(N1012&gt;=Parâmetros!$B$41,"C","D"))))</f>
        <v>R</v>
      </c>
      <c r="Q1012" s="10" t="str">
        <f aca="false">IF(F1012="","Completar cadastro","")</f>
        <v>Completar cadastro</v>
      </c>
      <c r="R1012" s="10" t="str">
        <f aca="false">INDEX(Parâmetros!$D$39:$D$43,MATCH(P1012,Parâmetros!$A$39:$A$43,0))</f>
        <v>Reciclar: requalificar, reengajar ou encerrar</v>
      </c>
    </row>
    <row r="1013" customFormat="false" ht="15" hidden="false" customHeight="false" outlineLevel="0" collapsed="false">
      <c r="A1013" s="10" t="s">
        <v>1257</v>
      </c>
      <c r="B1013" s="10" t="s">
        <v>75</v>
      </c>
      <c r="C1013" s="10" t="s">
        <v>72</v>
      </c>
      <c r="D1013" s="10" t="s">
        <v>196</v>
      </c>
      <c r="E1013" s="10" t="s">
        <v>49</v>
      </c>
      <c r="F1013" s="10" t="s">
        <v>1118</v>
      </c>
      <c r="G1013" s="10" t="s">
        <v>162</v>
      </c>
      <c r="H1013" s="30" t="n">
        <v>42950</v>
      </c>
      <c r="I1013" s="8" t="n">
        <f aca="false">INDEX(Parâmetros!$C$13:$C$19,MATCH(E1013,Parâmetros!$A$13:$A$19,0))</f>
        <v>3393</v>
      </c>
      <c r="J1013" s="26" t="n">
        <f aca="false">IF(H1013="","",Parâmetros!$B$5-H1013)</f>
        <v>150</v>
      </c>
      <c r="K1013" s="10" t="n">
        <f aca="false">INDEX(Parâmetros!$D$13:$D$19,MATCH(E1013,Parâmetros!$A$13:$A$19,0))</f>
        <v>40</v>
      </c>
      <c r="L1013" s="10" t="n">
        <f aca="false">IF(G1013="Prospecting",Parâmetros!$B$9,IF(J1013&gt;Parâmetros!$B$6,0,INDEX(Parâmetros!$C$24:$C$26,MATCH(J1013,Parâmetros!$A$24:$A$26,1))))</f>
        <v>0</v>
      </c>
      <c r="M1013" s="31" t="n">
        <f aca="false">IF(G1013="Prospecting",1,INDEX(Parâmetros!$C$32:$C$35,MATCH(J1013,Parâmetros!$A$32:$A$35,1)))</f>
        <v>0.6</v>
      </c>
      <c r="N1013" s="2" t="n">
        <f aca="false">ROUND((K1013+L1013)*M1013,0)</f>
        <v>24</v>
      </c>
      <c r="O1013" s="10" t="str">
        <f aca="false">IF(AND(G1013="Engaging",J1013&gt;Parâmetros!$B$6),"Sim","Não")</f>
        <v>Sim</v>
      </c>
      <c r="P1013" s="32" t="str">
        <f aca="false">IF(O1013="Sim","R",IF(N1013&gt;=Parâmetros!$B$39,"A",IF(N1013&gt;=Parâmetros!$B$40,"B",IF(N1013&gt;=Parâmetros!$B$41,"C","D"))))</f>
        <v>R</v>
      </c>
      <c r="Q1013" s="10" t="str">
        <f aca="false">IF(F1013="","Completar cadastro","")</f>
        <v/>
      </c>
      <c r="R1013" s="10" t="str">
        <f aca="false">INDEX(Parâmetros!$D$39:$D$43,MATCH(P1013,Parâmetros!$A$39:$A$43,0))</f>
        <v>Reciclar: requalificar, reengajar ou encerrar</v>
      </c>
    </row>
    <row r="1014" customFormat="false" ht="15" hidden="false" customHeight="false" outlineLevel="0" collapsed="false">
      <c r="A1014" s="10" t="s">
        <v>1258</v>
      </c>
      <c r="B1014" s="10" t="s">
        <v>75</v>
      </c>
      <c r="C1014" s="10" t="s">
        <v>72</v>
      </c>
      <c r="D1014" s="10" t="s">
        <v>196</v>
      </c>
      <c r="E1014" s="10" t="s">
        <v>49</v>
      </c>
      <c r="F1014" s="10" t="s">
        <v>660</v>
      </c>
      <c r="G1014" s="10" t="s">
        <v>162</v>
      </c>
      <c r="H1014" s="30" t="n">
        <v>42951</v>
      </c>
      <c r="I1014" s="8" t="n">
        <f aca="false">INDEX(Parâmetros!$C$13:$C$19,MATCH(E1014,Parâmetros!$A$13:$A$19,0))</f>
        <v>3393</v>
      </c>
      <c r="J1014" s="26" t="n">
        <f aca="false">IF(H1014="","",Parâmetros!$B$5-H1014)</f>
        <v>149</v>
      </c>
      <c r="K1014" s="10" t="n">
        <f aca="false">INDEX(Parâmetros!$D$13:$D$19,MATCH(E1014,Parâmetros!$A$13:$A$19,0))</f>
        <v>40</v>
      </c>
      <c r="L1014" s="10" t="n">
        <f aca="false">IF(G1014="Prospecting",Parâmetros!$B$9,IF(J1014&gt;Parâmetros!$B$6,0,INDEX(Parâmetros!$C$24:$C$26,MATCH(J1014,Parâmetros!$A$24:$A$26,1))))</f>
        <v>0</v>
      </c>
      <c r="M1014" s="31" t="n">
        <f aca="false">IF(G1014="Prospecting",1,INDEX(Parâmetros!$C$32:$C$35,MATCH(J1014,Parâmetros!$A$32:$A$35,1)))</f>
        <v>0.6</v>
      </c>
      <c r="N1014" s="2" t="n">
        <f aca="false">ROUND((K1014+L1014)*M1014,0)</f>
        <v>24</v>
      </c>
      <c r="O1014" s="10" t="str">
        <f aca="false">IF(AND(G1014="Engaging",J1014&gt;Parâmetros!$B$6),"Sim","Não")</f>
        <v>Sim</v>
      </c>
      <c r="P1014" s="32" t="str">
        <f aca="false">IF(O1014="Sim","R",IF(N1014&gt;=Parâmetros!$B$39,"A",IF(N1014&gt;=Parâmetros!$B$40,"B",IF(N1014&gt;=Parâmetros!$B$41,"C","D"))))</f>
        <v>R</v>
      </c>
      <c r="Q1014" s="10" t="str">
        <f aca="false">IF(F1014="","Completar cadastro","")</f>
        <v/>
      </c>
      <c r="R1014" s="10" t="str">
        <f aca="false">INDEX(Parâmetros!$D$39:$D$43,MATCH(P1014,Parâmetros!$A$39:$A$43,0))</f>
        <v>Reciclar: requalificar, reengajar ou encerrar</v>
      </c>
    </row>
    <row r="1015" customFormat="false" ht="15" hidden="false" customHeight="false" outlineLevel="0" collapsed="false">
      <c r="A1015" s="10" t="s">
        <v>1259</v>
      </c>
      <c r="B1015" s="10" t="s">
        <v>70</v>
      </c>
      <c r="C1015" s="10" t="s">
        <v>65</v>
      </c>
      <c r="D1015" s="10" t="s">
        <v>160</v>
      </c>
      <c r="E1015" s="10" t="s">
        <v>49</v>
      </c>
      <c r="F1015" s="10" t="s">
        <v>1251</v>
      </c>
      <c r="G1015" s="10" t="s">
        <v>162</v>
      </c>
      <c r="H1015" s="30" t="n">
        <v>42952</v>
      </c>
      <c r="I1015" s="8" t="n">
        <f aca="false">INDEX(Parâmetros!$C$13:$C$19,MATCH(E1015,Parâmetros!$A$13:$A$19,0))</f>
        <v>3393</v>
      </c>
      <c r="J1015" s="26" t="n">
        <f aca="false">IF(H1015="","",Parâmetros!$B$5-H1015)</f>
        <v>148</v>
      </c>
      <c r="K1015" s="10" t="n">
        <f aca="false">INDEX(Parâmetros!$D$13:$D$19,MATCH(E1015,Parâmetros!$A$13:$A$19,0))</f>
        <v>40</v>
      </c>
      <c r="L1015" s="10" t="n">
        <f aca="false">IF(G1015="Prospecting",Parâmetros!$B$9,IF(J1015&gt;Parâmetros!$B$6,0,INDEX(Parâmetros!$C$24:$C$26,MATCH(J1015,Parâmetros!$A$24:$A$26,1))))</f>
        <v>0</v>
      </c>
      <c r="M1015" s="31" t="n">
        <f aca="false">IF(G1015="Prospecting",1,INDEX(Parâmetros!$C$32:$C$35,MATCH(J1015,Parâmetros!$A$32:$A$35,1)))</f>
        <v>0.6</v>
      </c>
      <c r="N1015" s="2" t="n">
        <f aca="false">ROUND((K1015+L1015)*M1015,0)</f>
        <v>24</v>
      </c>
      <c r="O1015" s="10" t="str">
        <f aca="false">IF(AND(G1015="Engaging",J1015&gt;Parâmetros!$B$6),"Sim","Não")</f>
        <v>Sim</v>
      </c>
      <c r="P1015" s="32" t="str">
        <f aca="false">IF(O1015="Sim","R",IF(N1015&gt;=Parâmetros!$B$39,"A",IF(N1015&gt;=Parâmetros!$B$40,"B",IF(N1015&gt;=Parâmetros!$B$41,"C","D"))))</f>
        <v>R</v>
      </c>
      <c r="Q1015" s="10" t="str">
        <f aca="false">IF(F1015="","Completar cadastro","")</f>
        <v/>
      </c>
      <c r="R1015" s="10" t="str">
        <f aca="false">INDEX(Parâmetros!$D$39:$D$43,MATCH(P1015,Parâmetros!$A$39:$A$43,0))</f>
        <v>Reciclar: requalificar, reengajar ou encerrar</v>
      </c>
    </row>
    <row r="1016" customFormat="false" ht="15" hidden="false" customHeight="false" outlineLevel="0" collapsed="false">
      <c r="A1016" s="10" t="s">
        <v>1260</v>
      </c>
      <c r="B1016" s="10" t="s">
        <v>74</v>
      </c>
      <c r="C1016" s="10" t="s">
        <v>72</v>
      </c>
      <c r="D1016" s="10" t="s">
        <v>196</v>
      </c>
      <c r="E1016" s="10" t="s">
        <v>49</v>
      </c>
      <c r="F1016" s="10" t="s">
        <v>762</v>
      </c>
      <c r="G1016" s="10" t="s">
        <v>162</v>
      </c>
      <c r="H1016" s="30" t="n">
        <v>42953</v>
      </c>
      <c r="I1016" s="8" t="n">
        <f aca="false">INDEX(Parâmetros!$C$13:$C$19,MATCH(E1016,Parâmetros!$A$13:$A$19,0))</f>
        <v>3393</v>
      </c>
      <c r="J1016" s="26" t="n">
        <f aca="false">IF(H1016="","",Parâmetros!$B$5-H1016)</f>
        <v>147</v>
      </c>
      <c r="K1016" s="10" t="n">
        <f aca="false">INDEX(Parâmetros!$D$13:$D$19,MATCH(E1016,Parâmetros!$A$13:$A$19,0))</f>
        <v>40</v>
      </c>
      <c r="L1016" s="10" t="n">
        <f aca="false">IF(G1016="Prospecting",Parâmetros!$B$9,IF(J1016&gt;Parâmetros!$B$6,0,INDEX(Parâmetros!$C$24:$C$26,MATCH(J1016,Parâmetros!$A$24:$A$26,1))))</f>
        <v>0</v>
      </c>
      <c r="M1016" s="31" t="n">
        <f aca="false">IF(G1016="Prospecting",1,INDEX(Parâmetros!$C$32:$C$35,MATCH(J1016,Parâmetros!$A$32:$A$35,1)))</f>
        <v>0.6</v>
      </c>
      <c r="N1016" s="2" t="n">
        <f aca="false">ROUND((K1016+L1016)*M1016,0)</f>
        <v>24</v>
      </c>
      <c r="O1016" s="10" t="str">
        <f aca="false">IF(AND(G1016="Engaging",J1016&gt;Parâmetros!$B$6),"Sim","Não")</f>
        <v>Sim</v>
      </c>
      <c r="P1016" s="32" t="str">
        <f aca="false">IF(O1016="Sim","R",IF(N1016&gt;=Parâmetros!$B$39,"A",IF(N1016&gt;=Parâmetros!$B$40,"B",IF(N1016&gt;=Parâmetros!$B$41,"C","D"))))</f>
        <v>R</v>
      </c>
      <c r="Q1016" s="10" t="str">
        <f aca="false">IF(F1016="","Completar cadastro","")</f>
        <v/>
      </c>
      <c r="R1016" s="10" t="str">
        <f aca="false">INDEX(Parâmetros!$D$39:$D$43,MATCH(P1016,Parâmetros!$A$39:$A$43,0))</f>
        <v>Reciclar: requalificar, reengajar ou encerrar</v>
      </c>
    </row>
    <row r="1017" customFormat="false" ht="15" hidden="false" customHeight="false" outlineLevel="0" collapsed="false">
      <c r="A1017" s="10" t="s">
        <v>1261</v>
      </c>
      <c r="B1017" s="10" t="s">
        <v>76</v>
      </c>
      <c r="C1017" s="10" t="s">
        <v>72</v>
      </c>
      <c r="D1017" s="10" t="s">
        <v>196</v>
      </c>
      <c r="E1017" s="10" t="s">
        <v>49</v>
      </c>
      <c r="F1017" s="10"/>
      <c r="G1017" s="10" t="s">
        <v>162</v>
      </c>
      <c r="H1017" s="30" t="n">
        <v>42953</v>
      </c>
      <c r="I1017" s="8" t="n">
        <f aca="false">INDEX(Parâmetros!$C$13:$C$19,MATCH(E1017,Parâmetros!$A$13:$A$19,0))</f>
        <v>3393</v>
      </c>
      <c r="J1017" s="26" t="n">
        <f aca="false">IF(H1017="","",Parâmetros!$B$5-H1017)</f>
        <v>147</v>
      </c>
      <c r="K1017" s="10" t="n">
        <f aca="false">INDEX(Parâmetros!$D$13:$D$19,MATCH(E1017,Parâmetros!$A$13:$A$19,0))</f>
        <v>40</v>
      </c>
      <c r="L1017" s="10" t="n">
        <f aca="false">IF(G1017="Prospecting",Parâmetros!$B$9,IF(J1017&gt;Parâmetros!$B$6,0,INDEX(Parâmetros!$C$24:$C$26,MATCH(J1017,Parâmetros!$A$24:$A$26,1))))</f>
        <v>0</v>
      </c>
      <c r="M1017" s="31" t="n">
        <f aca="false">IF(G1017="Prospecting",1,INDEX(Parâmetros!$C$32:$C$35,MATCH(J1017,Parâmetros!$A$32:$A$35,1)))</f>
        <v>0.6</v>
      </c>
      <c r="N1017" s="2" t="n">
        <f aca="false">ROUND((K1017+L1017)*M1017,0)</f>
        <v>24</v>
      </c>
      <c r="O1017" s="10" t="str">
        <f aca="false">IF(AND(G1017="Engaging",J1017&gt;Parâmetros!$B$6),"Sim","Não")</f>
        <v>Sim</v>
      </c>
      <c r="P1017" s="32" t="str">
        <f aca="false">IF(O1017="Sim","R",IF(N1017&gt;=Parâmetros!$B$39,"A",IF(N1017&gt;=Parâmetros!$B$40,"B",IF(N1017&gt;=Parâmetros!$B$41,"C","D"))))</f>
        <v>R</v>
      </c>
      <c r="Q1017" s="10" t="str">
        <f aca="false">IF(F1017="","Completar cadastro","")</f>
        <v>Completar cadastro</v>
      </c>
      <c r="R1017" s="10" t="str">
        <f aca="false">INDEX(Parâmetros!$D$39:$D$43,MATCH(P1017,Parâmetros!$A$39:$A$43,0))</f>
        <v>Reciclar: requalificar, reengajar ou encerrar</v>
      </c>
    </row>
    <row r="1018" customFormat="false" ht="15" hidden="false" customHeight="false" outlineLevel="0" collapsed="false">
      <c r="A1018" s="10" t="s">
        <v>1262</v>
      </c>
      <c r="B1018" s="10" t="s">
        <v>76</v>
      </c>
      <c r="C1018" s="10" t="s">
        <v>72</v>
      </c>
      <c r="D1018" s="10" t="s">
        <v>196</v>
      </c>
      <c r="E1018" s="10" t="s">
        <v>49</v>
      </c>
      <c r="F1018" s="10"/>
      <c r="G1018" s="10" t="s">
        <v>162</v>
      </c>
      <c r="H1018" s="30" t="n">
        <v>42953</v>
      </c>
      <c r="I1018" s="8" t="n">
        <f aca="false">INDEX(Parâmetros!$C$13:$C$19,MATCH(E1018,Parâmetros!$A$13:$A$19,0))</f>
        <v>3393</v>
      </c>
      <c r="J1018" s="26" t="n">
        <f aca="false">IF(H1018="","",Parâmetros!$B$5-H1018)</f>
        <v>147</v>
      </c>
      <c r="K1018" s="10" t="n">
        <f aca="false">INDEX(Parâmetros!$D$13:$D$19,MATCH(E1018,Parâmetros!$A$13:$A$19,0))</f>
        <v>40</v>
      </c>
      <c r="L1018" s="10" t="n">
        <f aca="false">IF(G1018="Prospecting",Parâmetros!$B$9,IF(J1018&gt;Parâmetros!$B$6,0,INDEX(Parâmetros!$C$24:$C$26,MATCH(J1018,Parâmetros!$A$24:$A$26,1))))</f>
        <v>0</v>
      </c>
      <c r="M1018" s="31" t="n">
        <f aca="false">IF(G1018="Prospecting",1,INDEX(Parâmetros!$C$32:$C$35,MATCH(J1018,Parâmetros!$A$32:$A$35,1)))</f>
        <v>0.6</v>
      </c>
      <c r="N1018" s="2" t="n">
        <f aca="false">ROUND((K1018+L1018)*M1018,0)</f>
        <v>24</v>
      </c>
      <c r="O1018" s="10" t="str">
        <f aca="false">IF(AND(G1018="Engaging",J1018&gt;Parâmetros!$B$6),"Sim","Não")</f>
        <v>Sim</v>
      </c>
      <c r="P1018" s="32" t="str">
        <f aca="false">IF(O1018="Sim","R",IF(N1018&gt;=Parâmetros!$B$39,"A",IF(N1018&gt;=Parâmetros!$B$40,"B",IF(N1018&gt;=Parâmetros!$B$41,"C","D"))))</f>
        <v>R</v>
      </c>
      <c r="Q1018" s="10" t="str">
        <f aca="false">IF(F1018="","Completar cadastro","")</f>
        <v>Completar cadastro</v>
      </c>
      <c r="R1018" s="10" t="str">
        <f aca="false">INDEX(Parâmetros!$D$39:$D$43,MATCH(P1018,Parâmetros!$A$39:$A$43,0))</f>
        <v>Reciclar: requalificar, reengajar ou encerrar</v>
      </c>
    </row>
    <row r="1019" customFormat="false" ht="15" hidden="false" customHeight="false" outlineLevel="0" collapsed="false">
      <c r="A1019" s="10" t="s">
        <v>1263</v>
      </c>
      <c r="B1019" s="10" t="s">
        <v>68</v>
      </c>
      <c r="C1019" s="10" t="s">
        <v>65</v>
      </c>
      <c r="D1019" s="10" t="s">
        <v>160</v>
      </c>
      <c r="E1019" s="10" t="s">
        <v>49</v>
      </c>
      <c r="F1019" s="10"/>
      <c r="G1019" s="10" t="s">
        <v>162</v>
      </c>
      <c r="H1019" s="30" t="n">
        <v>42954</v>
      </c>
      <c r="I1019" s="8" t="n">
        <f aca="false">INDEX(Parâmetros!$C$13:$C$19,MATCH(E1019,Parâmetros!$A$13:$A$19,0))</f>
        <v>3393</v>
      </c>
      <c r="J1019" s="26" t="n">
        <f aca="false">IF(H1019="","",Parâmetros!$B$5-H1019)</f>
        <v>146</v>
      </c>
      <c r="K1019" s="10" t="n">
        <f aca="false">INDEX(Parâmetros!$D$13:$D$19,MATCH(E1019,Parâmetros!$A$13:$A$19,0))</f>
        <v>40</v>
      </c>
      <c r="L1019" s="10" t="n">
        <f aca="false">IF(G1019="Prospecting",Parâmetros!$B$9,IF(J1019&gt;Parâmetros!$B$6,0,INDEX(Parâmetros!$C$24:$C$26,MATCH(J1019,Parâmetros!$A$24:$A$26,1))))</f>
        <v>0</v>
      </c>
      <c r="M1019" s="31" t="n">
        <f aca="false">IF(G1019="Prospecting",1,INDEX(Parâmetros!$C$32:$C$35,MATCH(J1019,Parâmetros!$A$32:$A$35,1)))</f>
        <v>0.6</v>
      </c>
      <c r="N1019" s="2" t="n">
        <f aca="false">ROUND((K1019+L1019)*M1019,0)</f>
        <v>24</v>
      </c>
      <c r="O1019" s="10" t="str">
        <f aca="false">IF(AND(G1019="Engaging",J1019&gt;Parâmetros!$B$6),"Sim","Não")</f>
        <v>Sim</v>
      </c>
      <c r="P1019" s="32" t="str">
        <f aca="false">IF(O1019="Sim","R",IF(N1019&gt;=Parâmetros!$B$39,"A",IF(N1019&gt;=Parâmetros!$B$40,"B",IF(N1019&gt;=Parâmetros!$B$41,"C","D"))))</f>
        <v>R</v>
      </c>
      <c r="Q1019" s="10" t="str">
        <f aca="false">IF(F1019="","Completar cadastro","")</f>
        <v>Completar cadastro</v>
      </c>
      <c r="R1019" s="10" t="str">
        <f aca="false">INDEX(Parâmetros!$D$39:$D$43,MATCH(P1019,Parâmetros!$A$39:$A$43,0))</f>
        <v>Reciclar: requalificar, reengajar ou encerrar</v>
      </c>
    </row>
    <row r="1020" customFormat="false" ht="15" hidden="false" customHeight="false" outlineLevel="0" collapsed="false">
      <c r="A1020" s="10" t="s">
        <v>1264</v>
      </c>
      <c r="B1020" s="10" t="s">
        <v>73</v>
      </c>
      <c r="C1020" s="10" t="s">
        <v>72</v>
      </c>
      <c r="D1020" s="10" t="s">
        <v>196</v>
      </c>
      <c r="E1020" s="10" t="s">
        <v>49</v>
      </c>
      <c r="F1020" s="10"/>
      <c r="G1020" s="10" t="s">
        <v>162</v>
      </c>
      <c r="H1020" s="30" t="n">
        <v>42955</v>
      </c>
      <c r="I1020" s="8" t="n">
        <f aca="false">INDEX(Parâmetros!$C$13:$C$19,MATCH(E1020,Parâmetros!$A$13:$A$19,0))</f>
        <v>3393</v>
      </c>
      <c r="J1020" s="26" t="n">
        <f aca="false">IF(H1020="","",Parâmetros!$B$5-H1020)</f>
        <v>145</v>
      </c>
      <c r="K1020" s="10" t="n">
        <f aca="false">INDEX(Parâmetros!$D$13:$D$19,MATCH(E1020,Parâmetros!$A$13:$A$19,0))</f>
        <v>40</v>
      </c>
      <c r="L1020" s="10" t="n">
        <f aca="false">IF(G1020="Prospecting",Parâmetros!$B$9,IF(J1020&gt;Parâmetros!$B$6,0,INDEX(Parâmetros!$C$24:$C$26,MATCH(J1020,Parâmetros!$A$24:$A$26,1))))</f>
        <v>0</v>
      </c>
      <c r="M1020" s="31" t="n">
        <f aca="false">IF(G1020="Prospecting",1,INDEX(Parâmetros!$C$32:$C$35,MATCH(J1020,Parâmetros!$A$32:$A$35,1)))</f>
        <v>0.6</v>
      </c>
      <c r="N1020" s="2" t="n">
        <f aca="false">ROUND((K1020+L1020)*M1020,0)</f>
        <v>24</v>
      </c>
      <c r="O1020" s="10" t="str">
        <f aca="false">IF(AND(G1020="Engaging",J1020&gt;Parâmetros!$B$6),"Sim","Não")</f>
        <v>Sim</v>
      </c>
      <c r="P1020" s="32" t="str">
        <f aca="false">IF(O1020="Sim","R",IF(N1020&gt;=Parâmetros!$B$39,"A",IF(N1020&gt;=Parâmetros!$B$40,"B",IF(N1020&gt;=Parâmetros!$B$41,"C","D"))))</f>
        <v>R</v>
      </c>
      <c r="Q1020" s="10" t="str">
        <f aca="false">IF(F1020="","Completar cadastro","")</f>
        <v>Completar cadastro</v>
      </c>
      <c r="R1020" s="10" t="str">
        <f aca="false">INDEX(Parâmetros!$D$39:$D$43,MATCH(P1020,Parâmetros!$A$39:$A$43,0))</f>
        <v>Reciclar: requalificar, reengajar ou encerrar</v>
      </c>
    </row>
    <row r="1021" customFormat="false" ht="15" hidden="false" customHeight="false" outlineLevel="0" collapsed="false">
      <c r="A1021" s="10" t="s">
        <v>1265</v>
      </c>
      <c r="B1021" s="10" t="s">
        <v>61</v>
      </c>
      <c r="C1021" s="10" t="s">
        <v>58</v>
      </c>
      <c r="D1021" s="10" t="s">
        <v>165</v>
      </c>
      <c r="E1021" s="10" t="s">
        <v>49</v>
      </c>
      <c r="F1021" s="10"/>
      <c r="G1021" s="10" t="s">
        <v>162</v>
      </c>
      <c r="H1021" s="30" t="n">
        <v>42955</v>
      </c>
      <c r="I1021" s="8" t="n">
        <f aca="false">INDEX(Parâmetros!$C$13:$C$19,MATCH(E1021,Parâmetros!$A$13:$A$19,0))</f>
        <v>3393</v>
      </c>
      <c r="J1021" s="26" t="n">
        <f aca="false">IF(H1021="","",Parâmetros!$B$5-H1021)</f>
        <v>145</v>
      </c>
      <c r="K1021" s="10" t="n">
        <f aca="false">INDEX(Parâmetros!$D$13:$D$19,MATCH(E1021,Parâmetros!$A$13:$A$19,0))</f>
        <v>40</v>
      </c>
      <c r="L1021" s="10" t="n">
        <f aca="false">IF(G1021="Prospecting",Parâmetros!$B$9,IF(J1021&gt;Parâmetros!$B$6,0,INDEX(Parâmetros!$C$24:$C$26,MATCH(J1021,Parâmetros!$A$24:$A$26,1))))</f>
        <v>0</v>
      </c>
      <c r="M1021" s="31" t="n">
        <f aca="false">IF(G1021="Prospecting",1,INDEX(Parâmetros!$C$32:$C$35,MATCH(J1021,Parâmetros!$A$32:$A$35,1)))</f>
        <v>0.6</v>
      </c>
      <c r="N1021" s="2" t="n">
        <f aca="false">ROUND((K1021+L1021)*M1021,0)</f>
        <v>24</v>
      </c>
      <c r="O1021" s="10" t="str">
        <f aca="false">IF(AND(G1021="Engaging",J1021&gt;Parâmetros!$B$6),"Sim","Não")</f>
        <v>Sim</v>
      </c>
      <c r="P1021" s="32" t="str">
        <f aca="false">IF(O1021="Sim","R",IF(N1021&gt;=Parâmetros!$B$39,"A",IF(N1021&gt;=Parâmetros!$B$40,"B",IF(N1021&gt;=Parâmetros!$B$41,"C","D"))))</f>
        <v>R</v>
      </c>
      <c r="Q1021" s="10" t="str">
        <f aca="false">IF(F1021="","Completar cadastro","")</f>
        <v>Completar cadastro</v>
      </c>
      <c r="R1021" s="10" t="str">
        <f aca="false">INDEX(Parâmetros!$D$39:$D$43,MATCH(P1021,Parâmetros!$A$39:$A$43,0))</f>
        <v>Reciclar: requalificar, reengajar ou encerrar</v>
      </c>
    </row>
    <row r="1022" customFormat="false" ht="15" hidden="false" customHeight="false" outlineLevel="0" collapsed="false">
      <c r="A1022" s="10" t="s">
        <v>1266</v>
      </c>
      <c r="B1022" s="10" t="s">
        <v>81</v>
      </c>
      <c r="C1022" s="10" t="s">
        <v>78</v>
      </c>
      <c r="D1022" s="10" t="s">
        <v>196</v>
      </c>
      <c r="E1022" s="10" t="s">
        <v>49</v>
      </c>
      <c r="F1022" s="10"/>
      <c r="G1022" s="10" t="s">
        <v>162</v>
      </c>
      <c r="H1022" s="30" t="n">
        <v>42956</v>
      </c>
      <c r="I1022" s="8" t="n">
        <f aca="false">INDEX(Parâmetros!$C$13:$C$19,MATCH(E1022,Parâmetros!$A$13:$A$19,0))</f>
        <v>3393</v>
      </c>
      <c r="J1022" s="26" t="n">
        <f aca="false">IF(H1022="","",Parâmetros!$B$5-H1022)</f>
        <v>144</v>
      </c>
      <c r="K1022" s="10" t="n">
        <f aca="false">INDEX(Parâmetros!$D$13:$D$19,MATCH(E1022,Parâmetros!$A$13:$A$19,0))</f>
        <v>40</v>
      </c>
      <c r="L1022" s="10" t="n">
        <f aca="false">IF(G1022="Prospecting",Parâmetros!$B$9,IF(J1022&gt;Parâmetros!$B$6,0,INDEX(Parâmetros!$C$24:$C$26,MATCH(J1022,Parâmetros!$A$24:$A$26,1))))</f>
        <v>0</v>
      </c>
      <c r="M1022" s="31" t="n">
        <f aca="false">IF(G1022="Prospecting",1,INDEX(Parâmetros!$C$32:$C$35,MATCH(J1022,Parâmetros!$A$32:$A$35,1)))</f>
        <v>0.6</v>
      </c>
      <c r="N1022" s="2" t="n">
        <f aca="false">ROUND((K1022+L1022)*M1022,0)</f>
        <v>24</v>
      </c>
      <c r="O1022" s="10" t="str">
        <f aca="false">IF(AND(G1022="Engaging",J1022&gt;Parâmetros!$B$6),"Sim","Não")</f>
        <v>Sim</v>
      </c>
      <c r="P1022" s="32" t="str">
        <f aca="false">IF(O1022="Sim","R",IF(N1022&gt;=Parâmetros!$B$39,"A",IF(N1022&gt;=Parâmetros!$B$40,"B",IF(N1022&gt;=Parâmetros!$B$41,"C","D"))))</f>
        <v>R</v>
      </c>
      <c r="Q1022" s="10" t="str">
        <f aca="false">IF(F1022="","Completar cadastro","")</f>
        <v>Completar cadastro</v>
      </c>
      <c r="R1022" s="10" t="str">
        <f aca="false">INDEX(Parâmetros!$D$39:$D$43,MATCH(P1022,Parâmetros!$A$39:$A$43,0))</f>
        <v>Reciclar: requalificar, reengajar ou encerrar</v>
      </c>
    </row>
    <row r="1023" customFormat="false" ht="15" hidden="false" customHeight="false" outlineLevel="0" collapsed="false">
      <c r="A1023" s="10" t="s">
        <v>1267</v>
      </c>
      <c r="B1023" s="10" t="s">
        <v>81</v>
      </c>
      <c r="C1023" s="10" t="s">
        <v>78</v>
      </c>
      <c r="D1023" s="10" t="s">
        <v>196</v>
      </c>
      <c r="E1023" s="10" t="s">
        <v>49</v>
      </c>
      <c r="F1023" s="10" t="s">
        <v>597</v>
      </c>
      <c r="G1023" s="10" t="s">
        <v>162</v>
      </c>
      <c r="H1023" s="30" t="n">
        <v>42958</v>
      </c>
      <c r="I1023" s="8" t="n">
        <f aca="false">INDEX(Parâmetros!$C$13:$C$19,MATCH(E1023,Parâmetros!$A$13:$A$19,0))</f>
        <v>3393</v>
      </c>
      <c r="J1023" s="26" t="n">
        <f aca="false">IF(H1023="","",Parâmetros!$B$5-H1023)</f>
        <v>142</v>
      </c>
      <c r="K1023" s="10" t="n">
        <f aca="false">INDEX(Parâmetros!$D$13:$D$19,MATCH(E1023,Parâmetros!$A$13:$A$19,0))</f>
        <v>40</v>
      </c>
      <c r="L1023" s="10" t="n">
        <f aca="false">IF(G1023="Prospecting",Parâmetros!$B$9,IF(J1023&gt;Parâmetros!$B$6,0,INDEX(Parâmetros!$C$24:$C$26,MATCH(J1023,Parâmetros!$A$24:$A$26,1))))</f>
        <v>0</v>
      </c>
      <c r="M1023" s="31" t="n">
        <f aca="false">IF(G1023="Prospecting",1,INDEX(Parâmetros!$C$32:$C$35,MATCH(J1023,Parâmetros!$A$32:$A$35,1)))</f>
        <v>0.6</v>
      </c>
      <c r="N1023" s="2" t="n">
        <f aca="false">ROUND((K1023+L1023)*M1023,0)</f>
        <v>24</v>
      </c>
      <c r="O1023" s="10" t="str">
        <f aca="false">IF(AND(G1023="Engaging",J1023&gt;Parâmetros!$B$6),"Sim","Não")</f>
        <v>Sim</v>
      </c>
      <c r="P1023" s="32" t="str">
        <f aca="false">IF(O1023="Sim","R",IF(N1023&gt;=Parâmetros!$B$39,"A",IF(N1023&gt;=Parâmetros!$B$40,"B",IF(N1023&gt;=Parâmetros!$B$41,"C","D"))))</f>
        <v>R</v>
      </c>
      <c r="Q1023" s="10" t="str">
        <f aca="false">IF(F1023="","Completar cadastro","")</f>
        <v/>
      </c>
      <c r="R1023" s="10" t="str">
        <f aca="false">INDEX(Parâmetros!$D$39:$D$43,MATCH(P1023,Parâmetros!$A$39:$A$43,0))</f>
        <v>Reciclar: requalificar, reengajar ou encerrar</v>
      </c>
    </row>
    <row r="1024" customFormat="false" ht="15" hidden="false" customHeight="false" outlineLevel="0" collapsed="false">
      <c r="A1024" s="10" t="s">
        <v>1268</v>
      </c>
      <c r="B1024" s="10" t="s">
        <v>73</v>
      </c>
      <c r="C1024" s="10" t="s">
        <v>72</v>
      </c>
      <c r="D1024" s="10" t="s">
        <v>196</v>
      </c>
      <c r="E1024" s="10" t="s">
        <v>49</v>
      </c>
      <c r="F1024" s="10"/>
      <c r="G1024" s="10" t="s">
        <v>162</v>
      </c>
      <c r="H1024" s="30" t="n">
        <v>42959</v>
      </c>
      <c r="I1024" s="8" t="n">
        <f aca="false">INDEX(Parâmetros!$C$13:$C$19,MATCH(E1024,Parâmetros!$A$13:$A$19,0))</f>
        <v>3393</v>
      </c>
      <c r="J1024" s="26" t="n">
        <f aca="false">IF(H1024="","",Parâmetros!$B$5-H1024)</f>
        <v>141</v>
      </c>
      <c r="K1024" s="10" t="n">
        <f aca="false">INDEX(Parâmetros!$D$13:$D$19,MATCH(E1024,Parâmetros!$A$13:$A$19,0))</f>
        <v>40</v>
      </c>
      <c r="L1024" s="10" t="n">
        <f aca="false">IF(G1024="Prospecting",Parâmetros!$B$9,IF(J1024&gt;Parâmetros!$B$6,0,INDEX(Parâmetros!$C$24:$C$26,MATCH(J1024,Parâmetros!$A$24:$A$26,1))))</f>
        <v>0</v>
      </c>
      <c r="M1024" s="31" t="n">
        <f aca="false">IF(G1024="Prospecting",1,INDEX(Parâmetros!$C$32:$C$35,MATCH(J1024,Parâmetros!$A$32:$A$35,1)))</f>
        <v>0.6</v>
      </c>
      <c r="N1024" s="2" t="n">
        <f aca="false">ROUND((K1024+L1024)*M1024,0)</f>
        <v>24</v>
      </c>
      <c r="O1024" s="10" t="str">
        <f aca="false">IF(AND(G1024="Engaging",J1024&gt;Parâmetros!$B$6),"Sim","Não")</f>
        <v>Sim</v>
      </c>
      <c r="P1024" s="32" t="str">
        <f aca="false">IF(O1024="Sim","R",IF(N1024&gt;=Parâmetros!$B$39,"A",IF(N1024&gt;=Parâmetros!$B$40,"B",IF(N1024&gt;=Parâmetros!$B$41,"C","D"))))</f>
        <v>R</v>
      </c>
      <c r="Q1024" s="10" t="str">
        <f aca="false">IF(F1024="","Completar cadastro","")</f>
        <v>Completar cadastro</v>
      </c>
      <c r="R1024" s="10" t="str">
        <f aca="false">INDEX(Parâmetros!$D$39:$D$43,MATCH(P1024,Parâmetros!$A$39:$A$43,0))</f>
        <v>Reciclar: requalificar, reengajar ou encerrar</v>
      </c>
    </row>
    <row r="1025" customFormat="false" ht="15" hidden="false" customHeight="false" outlineLevel="0" collapsed="false">
      <c r="A1025" s="10" t="s">
        <v>1269</v>
      </c>
      <c r="B1025" s="10" t="s">
        <v>57</v>
      </c>
      <c r="C1025" s="10" t="s">
        <v>58</v>
      </c>
      <c r="D1025" s="10" t="s">
        <v>165</v>
      </c>
      <c r="E1025" s="10" t="s">
        <v>49</v>
      </c>
      <c r="F1025" s="10"/>
      <c r="G1025" s="10" t="s">
        <v>162</v>
      </c>
      <c r="H1025" s="30" t="n">
        <v>42960</v>
      </c>
      <c r="I1025" s="8" t="n">
        <f aca="false">INDEX(Parâmetros!$C$13:$C$19,MATCH(E1025,Parâmetros!$A$13:$A$19,0))</f>
        <v>3393</v>
      </c>
      <c r="J1025" s="26" t="n">
        <f aca="false">IF(H1025="","",Parâmetros!$B$5-H1025)</f>
        <v>140</v>
      </c>
      <c r="K1025" s="10" t="n">
        <f aca="false">INDEX(Parâmetros!$D$13:$D$19,MATCH(E1025,Parâmetros!$A$13:$A$19,0))</f>
        <v>40</v>
      </c>
      <c r="L1025" s="10" t="n">
        <f aca="false">IF(G1025="Prospecting",Parâmetros!$B$9,IF(J1025&gt;Parâmetros!$B$6,0,INDEX(Parâmetros!$C$24:$C$26,MATCH(J1025,Parâmetros!$A$24:$A$26,1))))</f>
        <v>0</v>
      </c>
      <c r="M1025" s="31" t="n">
        <f aca="false">IF(G1025="Prospecting",1,INDEX(Parâmetros!$C$32:$C$35,MATCH(J1025,Parâmetros!$A$32:$A$35,1)))</f>
        <v>0.6</v>
      </c>
      <c r="N1025" s="2" t="n">
        <f aca="false">ROUND((K1025+L1025)*M1025,0)</f>
        <v>24</v>
      </c>
      <c r="O1025" s="10" t="str">
        <f aca="false">IF(AND(G1025="Engaging",J1025&gt;Parâmetros!$B$6),"Sim","Não")</f>
        <v>Sim</v>
      </c>
      <c r="P1025" s="32" t="str">
        <f aca="false">IF(O1025="Sim","R",IF(N1025&gt;=Parâmetros!$B$39,"A",IF(N1025&gt;=Parâmetros!$B$40,"B",IF(N1025&gt;=Parâmetros!$B$41,"C","D"))))</f>
        <v>R</v>
      </c>
      <c r="Q1025" s="10" t="str">
        <f aca="false">IF(F1025="","Completar cadastro","")</f>
        <v>Completar cadastro</v>
      </c>
      <c r="R1025" s="10" t="str">
        <f aca="false">INDEX(Parâmetros!$D$39:$D$43,MATCH(P1025,Parâmetros!$A$39:$A$43,0))</f>
        <v>Reciclar: requalificar, reengajar ou encerrar</v>
      </c>
    </row>
    <row r="1026" customFormat="false" ht="15" hidden="false" customHeight="false" outlineLevel="0" collapsed="false">
      <c r="A1026" s="10" t="s">
        <v>1270</v>
      </c>
      <c r="B1026" s="10" t="s">
        <v>68</v>
      </c>
      <c r="C1026" s="10" t="s">
        <v>65</v>
      </c>
      <c r="D1026" s="10" t="s">
        <v>160</v>
      </c>
      <c r="E1026" s="10" t="s">
        <v>49</v>
      </c>
      <c r="F1026" s="10"/>
      <c r="G1026" s="10" t="s">
        <v>162</v>
      </c>
      <c r="H1026" s="30" t="n">
        <v>42960</v>
      </c>
      <c r="I1026" s="8" t="n">
        <f aca="false">INDEX(Parâmetros!$C$13:$C$19,MATCH(E1026,Parâmetros!$A$13:$A$19,0))</f>
        <v>3393</v>
      </c>
      <c r="J1026" s="26" t="n">
        <f aca="false">IF(H1026="","",Parâmetros!$B$5-H1026)</f>
        <v>140</v>
      </c>
      <c r="K1026" s="10" t="n">
        <f aca="false">INDEX(Parâmetros!$D$13:$D$19,MATCH(E1026,Parâmetros!$A$13:$A$19,0))</f>
        <v>40</v>
      </c>
      <c r="L1026" s="10" t="n">
        <f aca="false">IF(G1026="Prospecting",Parâmetros!$B$9,IF(J1026&gt;Parâmetros!$B$6,0,INDEX(Parâmetros!$C$24:$C$26,MATCH(J1026,Parâmetros!$A$24:$A$26,1))))</f>
        <v>0</v>
      </c>
      <c r="M1026" s="31" t="n">
        <f aca="false">IF(G1026="Prospecting",1,INDEX(Parâmetros!$C$32:$C$35,MATCH(J1026,Parâmetros!$A$32:$A$35,1)))</f>
        <v>0.6</v>
      </c>
      <c r="N1026" s="2" t="n">
        <f aca="false">ROUND((K1026+L1026)*M1026,0)</f>
        <v>24</v>
      </c>
      <c r="O1026" s="10" t="str">
        <f aca="false">IF(AND(G1026="Engaging",J1026&gt;Parâmetros!$B$6),"Sim","Não")</f>
        <v>Sim</v>
      </c>
      <c r="P1026" s="32" t="str">
        <f aca="false">IF(O1026="Sim","R",IF(N1026&gt;=Parâmetros!$B$39,"A",IF(N1026&gt;=Parâmetros!$B$40,"B",IF(N1026&gt;=Parâmetros!$B$41,"C","D"))))</f>
        <v>R</v>
      </c>
      <c r="Q1026" s="10" t="str">
        <f aca="false">IF(F1026="","Completar cadastro","")</f>
        <v>Completar cadastro</v>
      </c>
      <c r="R1026" s="10" t="str">
        <f aca="false">INDEX(Parâmetros!$D$39:$D$43,MATCH(P1026,Parâmetros!$A$39:$A$43,0))</f>
        <v>Reciclar: requalificar, reengajar ou encerrar</v>
      </c>
    </row>
    <row r="1027" customFormat="false" ht="15" hidden="false" customHeight="false" outlineLevel="0" collapsed="false">
      <c r="A1027" s="10" t="s">
        <v>1271</v>
      </c>
      <c r="B1027" s="10" t="s">
        <v>75</v>
      </c>
      <c r="C1027" s="10" t="s">
        <v>72</v>
      </c>
      <c r="D1027" s="10" t="s">
        <v>196</v>
      </c>
      <c r="E1027" s="10" t="s">
        <v>49</v>
      </c>
      <c r="F1027" s="10"/>
      <c r="G1027" s="10" t="s">
        <v>162</v>
      </c>
      <c r="H1027" s="30" t="n">
        <v>42960</v>
      </c>
      <c r="I1027" s="8" t="n">
        <f aca="false">INDEX(Parâmetros!$C$13:$C$19,MATCH(E1027,Parâmetros!$A$13:$A$19,0))</f>
        <v>3393</v>
      </c>
      <c r="J1027" s="26" t="n">
        <f aca="false">IF(H1027="","",Parâmetros!$B$5-H1027)</f>
        <v>140</v>
      </c>
      <c r="K1027" s="10" t="n">
        <f aca="false">INDEX(Parâmetros!$D$13:$D$19,MATCH(E1027,Parâmetros!$A$13:$A$19,0))</f>
        <v>40</v>
      </c>
      <c r="L1027" s="10" t="n">
        <f aca="false">IF(G1027="Prospecting",Parâmetros!$B$9,IF(J1027&gt;Parâmetros!$B$6,0,INDEX(Parâmetros!$C$24:$C$26,MATCH(J1027,Parâmetros!$A$24:$A$26,1))))</f>
        <v>0</v>
      </c>
      <c r="M1027" s="31" t="n">
        <f aca="false">IF(G1027="Prospecting",1,INDEX(Parâmetros!$C$32:$C$35,MATCH(J1027,Parâmetros!$A$32:$A$35,1)))</f>
        <v>0.6</v>
      </c>
      <c r="N1027" s="2" t="n">
        <f aca="false">ROUND((K1027+L1027)*M1027,0)</f>
        <v>24</v>
      </c>
      <c r="O1027" s="10" t="str">
        <f aca="false">IF(AND(G1027="Engaging",J1027&gt;Parâmetros!$B$6),"Sim","Não")</f>
        <v>Sim</v>
      </c>
      <c r="P1027" s="32" t="str">
        <f aca="false">IF(O1027="Sim","R",IF(N1027&gt;=Parâmetros!$B$39,"A",IF(N1027&gt;=Parâmetros!$B$40,"B",IF(N1027&gt;=Parâmetros!$B$41,"C","D"))))</f>
        <v>R</v>
      </c>
      <c r="Q1027" s="10" t="str">
        <f aca="false">IF(F1027="","Completar cadastro","")</f>
        <v>Completar cadastro</v>
      </c>
      <c r="R1027" s="10" t="str">
        <f aca="false">INDEX(Parâmetros!$D$39:$D$43,MATCH(P1027,Parâmetros!$A$39:$A$43,0))</f>
        <v>Reciclar: requalificar, reengajar ou encerrar</v>
      </c>
    </row>
    <row r="1028" customFormat="false" ht="15" hidden="false" customHeight="false" outlineLevel="0" collapsed="false">
      <c r="A1028" s="10" t="s">
        <v>1272</v>
      </c>
      <c r="B1028" s="10" t="s">
        <v>67</v>
      </c>
      <c r="C1028" s="10" t="s">
        <v>65</v>
      </c>
      <c r="D1028" s="10" t="s">
        <v>160</v>
      </c>
      <c r="E1028" s="10" t="s">
        <v>49</v>
      </c>
      <c r="F1028" s="10"/>
      <c r="G1028" s="10" t="s">
        <v>162</v>
      </c>
      <c r="H1028" s="30" t="n">
        <v>42961</v>
      </c>
      <c r="I1028" s="8" t="n">
        <f aca="false">INDEX(Parâmetros!$C$13:$C$19,MATCH(E1028,Parâmetros!$A$13:$A$19,0))</f>
        <v>3393</v>
      </c>
      <c r="J1028" s="26" t="n">
        <f aca="false">IF(H1028="","",Parâmetros!$B$5-H1028)</f>
        <v>139</v>
      </c>
      <c r="K1028" s="10" t="n">
        <f aca="false">INDEX(Parâmetros!$D$13:$D$19,MATCH(E1028,Parâmetros!$A$13:$A$19,0))</f>
        <v>40</v>
      </c>
      <c r="L1028" s="10" t="n">
        <f aca="false">IF(G1028="Prospecting",Parâmetros!$B$9,IF(J1028&gt;Parâmetros!$B$6,0,INDEX(Parâmetros!$C$24:$C$26,MATCH(J1028,Parâmetros!$A$24:$A$26,1))))</f>
        <v>0</v>
      </c>
      <c r="M1028" s="31" t="n">
        <f aca="false">IF(G1028="Prospecting",1,INDEX(Parâmetros!$C$32:$C$35,MATCH(J1028,Parâmetros!$A$32:$A$35,1)))</f>
        <v>0.6</v>
      </c>
      <c r="N1028" s="2" t="n">
        <f aca="false">ROUND((K1028+L1028)*M1028,0)</f>
        <v>24</v>
      </c>
      <c r="O1028" s="10" t="str">
        <f aca="false">IF(AND(G1028="Engaging",J1028&gt;Parâmetros!$B$6),"Sim","Não")</f>
        <v>Sim</v>
      </c>
      <c r="P1028" s="32" t="str">
        <f aca="false">IF(O1028="Sim","R",IF(N1028&gt;=Parâmetros!$B$39,"A",IF(N1028&gt;=Parâmetros!$B$40,"B",IF(N1028&gt;=Parâmetros!$B$41,"C","D"))))</f>
        <v>R</v>
      </c>
      <c r="Q1028" s="10" t="str">
        <f aca="false">IF(F1028="","Completar cadastro","")</f>
        <v>Completar cadastro</v>
      </c>
      <c r="R1028" s="10" t="str">
        <f aca="false">INDEX(Parâmetros!$D$39:$D$43,MATCH(P1028,Parâmetros!$A$39:$A$43,0))</f>
        <v>Reciclar: requalificar, reengajar ou encerrar</v>
      </c>
    </row>
    <row r="1029" customFormat="false" ht="15" hidden="false" customHeight="false" outlineLevel="0" collapsed="false">
      <c r="A1029" s="10" t="s">
        <v>1273</v>
      </c>
      <c r="B1029" s="10" t="s">
        <v>74</v>
      </c>
      <c r="C1029" s="10" t="s">
        <v>72</v>
      </c>
      <c r="D1029" s="10" t="s">
        <v>196</v>
      </c>
      <c r="E1029" s="10" t="s">
        <v>49</v>
      </c>
      <c r="F1029" s="10" t="s">
        <v>453</v>
      </c>
      <c r="G1029" s="10" t="s">
        <v>162</v>
      </c>
      <c r="H1029" s="30" t="n">
        <v>42961</v>
      </c>
      <c r="I1029" s="8" t="n">
        <f aca="false">INDEX(Parâmetros!$C$13:$C$19,MATCH(E1029,Parâmetros!$A$13:$A$19,0))</f>
        <v>3393</v>
      </c>
      <c r="J1029" s="26" t="n">
        <f aca="false">IF(H1029="","",Parâmetros!$B$5-H1029)</f>
        <v>139</v>
      </c>
      <c r="K1029" s="10" t="n">
        <f aca="false">INDEX(Parâmetros!$D$13:$D$19,MATCH(E1029,Parâmetros!$A$13:$A$19,0))</f>
        <v>40</v>
      </c>
      <c r="L1029" s="10" t="n">
        <f aca="false">IF(G1029="Prospecting",Parâmetros!$B$9,IF(J1029&gt;Parâmetros!$B$6,0,INDEX(Parâmetros!$C$24:$C$26,MATCH(J1029,Parâmetros!$A$24:$A$26,1))))</f>
        <v>0</v>
      </c>
      <c r="M1029" s="31" t="n">
        <f aca="false">IF(G1029="Prospecting",1,INDEX(Parâmetros!$C$32:$C$35,MATCH(J1029,Parâmetros!$A$32:$A$35,1)))</f>
        <v>0.6</v>
      </c>
      <c r="N1029" s="2" t="n">
        <f aca="false">ROUND((K1029+L1029)*M1029,0)</f>
        <v>24</v>
      </c>
      <c r="O1029" s="10" t="str">
        <f aca="false">IF(AND(G1029="Engaging",J1029&gt;Parâmetros!$B$6),"Sim","Não")</f>
        <v>Sim</v>
      </c>
      <c r="P1029" s="32" t="str">
        <f aca="false">IF(O1029="Sim","R",IF(N1029&gt;=Parâmetros!$B$39,"A",IF(N1029&gt;=Parâmetros!$B$40,"B",IF(N1029&gt;=Parâmetros!$B$41,"C","D"))))</f>
        <v>R</v>
      </c>
      <c r="Q1029" s="10" t="str">
        <f aca="false">IF(F1029="","Completar cadastro","")</f>
        <v/>
      </c>
      <c r="R1029" s="10" t="str">
        <f aca="false">INDEX(Parâmetros!$D$39:$D$43,MATCH(P1029,Parâmetros!$A$39:$A$43,0))</f>
        <v>Reciclar: requalificar, reengajar ou encerrar</v>
      </c>
    </row>
    <row r="1030" customFormat="false" ht="15" hidden="false" customHeight="false" outlineLevel="0" collapsed="false">
      <c r="A1030" s="10" t="s">
        <v>1274</v>
      </c>
      <c r="B1030" s="10" t="s">
        <v>81</v>
      </c>
      <c r="C1030" s="10" t="s">
        <v>78</v>
      </c>
      <c r="D1030" s="10" t="s">
        <v>196</v>
      </c>
      <c r="E1030" s="10" t="s">
        <v>49</v>
      </c>
      <c r="F1030" s="10" t="s">
        <v>606</v>
      </c>
      <c r="G1030" s="10" t="s">
        <v>162</v>
      </c>
      <c r="H1030" s="30" t="n">
        <v>42961</v>
      </c>
      <c r="I1030" s="8" t="n">
        <f aca="false">INDEX(Parâmetros!$C$13:$C$19,MATCH(E1030,Parâmetros!$A$13:$A$19,0))</f>
        <v>3393</v>
      </c>
      <c r="J1030" s="26" t="n">
        <f aca="false">IF(H1030="","",Parâmetros!$B$5-H1030)</f>
        <v>139</v>
      </c>
      <c r="K1030" s="10" t="n">
        <f aca="false">INDEX(Parâmetros!$D$13:$D$19,MATCH(E1030,Parâmetros!$A$13:$A$19,0))</f>
        <v>40</v>
      </c>
      <c r="L1030" s="10" t="n">
        <f aca="false">IF(G1030="Prospecting",Parâmetros!$B$9,IF(J1030&gt;Parâmetros!$B$6,0,INDEX(Parâmetros!$C$24:$C$26,MATCH(J1030,Parâmetros!$A$24:$A$26,1))))</f>
        <v>0</v>
      </c>
      <c r="M1030" s="31" t="n">
        <f aca="false">IF(G1030="Prospecting",1,INDEX(Parâmetros!$C$32:$C$35,MATCH(J1030,Parâmetros!$A$32:$A$35,1)))</f>
        <v>0.6</v>
      </c>
      <c r="N1030" s="2" t="n">
        <f aca="false">ROUND((K1030+L1030)*M1030,0)</f>
        <v>24</v>
      </c>
      <c r="O1030" s="10" t="str">
        <f aca="false">IF(AND(G1030="Engaging",J1030&gt;Parâmetros!$B$6),"Sim","Não")</f>
        <v>Sim</v>
      </c>
      <c r="P1030" s="32" t="str">
        <f aca="false">IF(O1030="Sim","R",IF(N1030&gt;=Parâmetros!$B$39,"A",IF(N1030&gt;=Parâmetros!$B$40,"B",IF(N1030&gt;=Parâmetros!$B$41,"C","D"))))</f>
        <v>R</v>
      </c>
      <c r="Q1030" s="10" t="str">
        <f aca="false">IF(F1030="","Completar cadastro","")</f>
        <v/>
      </c>
      <c r="R1030" s="10" t="str">
        <f aca="false">INDEX(Parâmetros!$D$39:$D$43,MATCH(P1030,Parâmetros!$A$39:$A$43,0))</f>
        <v>Reciclar: requalificar, reengajar ou encerrar</v>
      </c>
    </row>
    <row r="1031" customFormat="false" ht="15" hidden="false" customHeight="false" outlineLevel="0" collapsed="false">
      <c r="A1031" s="10" t="s">
        <v>1275</v>
      </c>
      <c r="B1031" s="10" t="s">
        <v>70</v>
      </c>
      <c r="C1031" s="10" t="s">
        <v>65</v>
      </c>
      <c r="D1031" s="10" t="s">
        <v>160</v>
      </c>
      <c r="E1031" s="10" t="s">
        <v>49</v>
      </c>
      <c r="F1031" s="10" t="s">
        <v>247</v>
      </c>
      <c r="G1031" s="10" t="s">
        <v>162</v>
      </c>
      <c r="H1031" s="30" t="n">
        <v>42961</v>
      </c>
      <c r="I1031" s="8" t="n">
        <f aca="false">INDEX(Parâmetros!$C$13:$C$19,MATCH(E1031,Parâmetros!$A$13:$A$19,0))</f>
        <v>3393</v>
      </c>
      <c r="J1031" s="26" t="n">
        <f aca="false">IF(H1031="","",Parâmetros!$B$5-H1031)</f>
        <v>139</v>
      </c>
      <c r="K1031" s="10" t="n">
        <f aca="false">INDEX(Parâmetros!$D$13:$D$19,MATCH(E1031,Parâmetros!$A$13:$A$19,0))</f>
        <v>40</v>
      </c>
      <c r="L1031" s="10" t="n">
        <f aca="false">IF(G1031="Prospecting",Parâmetros!$B$9,IF(J1031&gt;Parâmetros!$B$6,0,INDEX(Parâmetros!$C$24:$C$26,MATCH(J1031,Parâmetros!$A$24:$A$26,1))))</f>
        <v>0</v>
      </c>
      <c r="M1031" s="31" t="n">
        <f aca="false">IF(G1031="Prospecting",1,INDEX(Parâmetros!$C$32:$C$35,MATCH(J1031,Parâmetros!$A$32:$A$35,1)))</f>
        <v>0.6</v>
      </c>
      <c r="N1031" s="2" t="n">
        <f aca="false">ROUND((K1031+L1031)*M1031,0)</f>
        <v>24</v>
      </c>
      <c r="O1031" s="10" t="str">
        <f aca="false">IF(AND(G1031="Engaging",J1031&gt;Parâmetros!$B$6),"Sim","Não")</f>
        <v>Sim</v>
      </c>
      <c r="P1031" s="32" t="str">
        <f aca="false">IF(O1031="Sim","R",IF(N1031&gt;=Parâmetros!$B$39,"A",IF(N1031&gt;=Parâmetros!$B$40,"B",IF(N1031&gt;=Parâmetros!$B$41,"C","D"))))</f>
        <v>R</v>
      </c>
      <c r="Q1031" s="10" t="str">
        <f aca="false">IF(F1031="","Completar cadastro","")</f>
        <v/>
      </c>
      <c r="R1031" s="10" t="str">
        <f aca="false">INDEX(Parâmetros!$D$39:$D$43,MATCH(P1031,Parâmetros!$A$39:$A$43,0))</f>
        <v>Reciclar: requalificar, reengajar ou encerrar</v>
      </c>
    </row>
    <row r="1032" customFormat="false" ht="15" hidden="false" customHeight="false" outlineLevel="0" collapsed="false">
      <c r="A1032" s="10" t="s">
        <v>1276</v>
      </c>
      <c r="B1032" s="10" t="s">
        <v>63</v>
      </c>
      <c r="C1032" s="10" t="s">
        <v>58</v>
      </c>
      <c r="D1032" s="10" t="s">
        <v>165</v>
      </c>
      <c r="E1032" s="10" t="s">
        <v>49</v>
      </c>
      <c r="F1032" s="10"/>
      <c r="G1032" s="10" t="s">
        <v>162</v>
      </c>
      <c r="H1032" s="30" t="n">
        <v>42961</v>
      </c>
      <c r="I1032" s="8" t="n">
        <f aca="false">INDEX(Parâmetros!$C$13:$C$19,MATCH(E1032,Parâmetros!$A$13:$A$19,0))</f>
        <v>3393</v>
      </c>
      <c r="J1032" s="26" t="n">
        <f aca="false">IF(H1032="","",Parâmetros!$B$5-H1032)</f>
        <v>139</v>
      </c>
      <c r="K1032" s="10" t="n">
        <f aca="false">INDEX(Parâmetros!$D$13:$D$19,MATCH(E1032,Parâmetros!$A$13:$A$19,0))</f>
        <v>40</v>
      </c>
      <c r="L1032" s="10" t="n">
        <f aca="false">IF(G1032="Prospecting",Parâmetros!$B$9,IF(J1032&gt;Parâmetros!$B$6,0,INDEX(Parâmetros!$C$24:$C$26,MATCH(J1032,Parâmetros!$A$24:$A$26,1))))</f>
        <v>0</v>
      </c>
      <c r="M1032" s="31" t="n">
        <f aca="false">IF(G1032="Prospecting",1,INDEX(Parâmetros!$C$32:$C$35,MATCH(J1032,Parâmetros!$A$32:$A$35,1)))</f>
        <v>0.6</v>
      </c>
      <c r="N1032" s="2" t="n">
        <f aca="false">ROUND((K1032+L1032)*M1032,0)</f>
        <v>24</v>
      </c>
      <c r="O1032" s="10" t="str">
        <f aca="false">IF(AND(G1032="Engaging",J1032&gt;Parâmetros!$B$6),"Sim","Não")</f>
        <v>Sim</v>
      </c>
      <c r="P1032" s="32" t="str">
        <f aca="false">IF(O1032="Sim","R",IF(N1032&gt;=Parâmetros!$B$39,"A",IF(N1032&gt;=Parâmetros!$B$40,"B",IF(N1032&gt;=Parâmetros!$B$41,"C","D"))))</f>
        <v>R</v>
      </c>
      <c r="Q1032" s="10" t="str">
        <f aca="false">IF(F1032="","Completar cadastro","")</f>
        <v>Completar cadastro</v>
      </c>
      <c r="R1032" s="10" t="str">
        <f aca="false">INDEX(Parâmetros!$D$39:$D$43,MATCH(P1032,Parâmetros!$A$39:$A$43,0))</f>
        <v>Reciclar: requalificar, reengajar ou encerrar</v>
      </c>
    </row>
    <row r="1033" customFormat="false" ht="15" hidden="false" customHeight="false" outlineLevel="0" collapsed="false">
      <c r="A1033" s="10" t="s">
        <v>1277</v>
      </c>
      <c r="B1033" s="10" t="s">
        <v>87</v>
      </c>
      <c r="C1033" s="10" t="s">
        <v>85</v>
      </c>
      <c r="D1033" s="10" t="s">
        <v>165</v>
      </c>
      <c r="E1033" s="10" t="s">
        <v>47</v>
      </c>
      <c r="F1033" s="10" t="s">
        <v>326</v>
      </c>
      <c r="G1033" s="10" t="s">
        <v>162</v>
      </c>
      <c r="H1033" s="30" t="n">
        <v>42833</v>
      </c>
      <c r="I1033" s="8" t="n">
        <f aca="false">INDEX(Parâmetros!$C$13:$C$19,MATCH(E1033,Parâmetros!$A$13:$A$19,0))</f>
        <v>5482</v>
      </c>
      <c r="J1033" s="26" t="n">
        <f aca="false">IF(H1033="","",Parâmetros!$B$5-H1033)</f>
        <v>267</v>
      </c>
      <c r="K1033" s="10" t="n">
        <f aca="false">INDEX(Parâmetros!$D$13:$D$19,MATCH(E1033,Parâmetros!$A$13:$A$19,0))</f>
        <v>45</v>
      </c>
      <c r="L1033" s="10" t="n">
        <f aca="false">IF(G1033="Prospecting",Parâmetros!$B$9,IF(J1033&gt;Parâmetros!$B$6,0,INDEX(Parâmetros!$C$24:$C$26,MATCH(J1033,Parâmetros!$A$24:$A$26,1))))</f>
        <v>0</v>
      </c>
      <c r="M1033" s="31" t="n">
        <f aca="false">IF(G1033="Prospecting",1,INDEX(Parâmetros!$C$32:$C$35,MATCH(J1033,Parâmetros!$A$32:$A$35,1)))</f>
        <v>0.4</v>
      </c>
      <c r="N1033" s="2" t="n">
        <f aca="false">ROUND((K1033+L1033)*M1033,0)</f>
        <v>18</v>
      </c>
      <c r="O1033" s="10" t="str">
        <f aca="false">IF(AND(G1033="Engaging",J1033&gt;Parâmetros!$B$6),"Sim","Não")</f>
        <v>Sim</v>
      </c>
      <c r="P1033" s="32" t="str">
        <f aca="false">IF(O1033="Sim","R",IF(N1033&gt;=Parâmetros!$B$39,"A",IF(N1033&gt;=Parâmetros!$B$40,"B",IF(N1033&gt;=Parâmetros!$B$41,"C","D"))))</f>
        <v>R</v>
      </c>
      <c r="Q1033" s="10" t="str">
        <f aca="false">IF(F1033="","Completar cadastro","")</f>
        <v/>
      </c>
      <c r="R1033" s="10" t="str">
        <f aca="false">INDEX(Parâmetros!$D$39:$D$43,MATCH(P1033,Parâmetros!$A$39:$A$43,0))</f>
        <v>Reciclar: requalificar, reengajar ou encerrar</v>
      </c>
    </row>
    <row r="1034" customFormat="false" ht="15" hidden="false" customHeight="false" outlineLevel="0" collapsed="false">
      <c r="A1034" s="10" t="s">
        <v>1278</v>
      </c>
      <c r="B1034" s="10" t="s">
        <v>57</v>
      </c>
      <c r="C1034" s="10" t="s">
        <v>58</v>
      </c>
      <c r="D1034" s="10" t="s">
        <v>165</v>
      </c>
      <c r="E1034" s="10" t="s">
        <v>47</v>
      </c>
      <c r="F1034" s="10" t="s">
        <v>267</v>
      </c>
      <c r="G1034" s="10" t="s">
        <v>162</v>
      </c>
      <c r="H1034" s="30" t="n">
        <v>42837</v>
      </c>
      <c r="I1034" s="8" t="n">
        <f aca="false">INDEX(Parâmetros!$C$13:$C$19,MATCH(E1034,Parâmetros!$A$13:$A$19,0))</f>
        <v>5482</v>
      </c>
      <c r="J1034" s="26" t="n">
        <f aca="false">IF(H1034="","",Parâmetros!$B$5-H1034)</f>
        <v>263</v>
      </c>
      <c r="K1034" s="10" t="n">
        <f aca="false">INDEX(Parâmetros!$D$13:$D$19,MATCH(E1034,Parâmetros!$A$13:$A$19,0))</f>
        <v>45</v>
      </c>
      <c r="L1034" s="10" t="n">
        <f aca="false">IF(G1034="Prospecting",Parâmetros!$B$9,IF(J1034&gt;Parâmetros!$B$6,0,INDEX(Parâmetros!$C$24:$C$26,MATCH(J1034,Parâmetros!$A$24:$A$26,1))))</f>
        <v>0</v>
      </c>
      <c r="M1034" s="31" t="n">
        <f aca="false">IF(G1034="Prospecting",1,INDEX(Parâmetros!$C$32:$C$35,MATCH(J1034,Parâmetros!$A$32:$A$35,1)))</f>
        <v>0.4</v>
      </c>
      <c r="N1034" s="2" t="n">
        <f aca="false">ROUND((K1034+L1034)*M1034,0)</f>
        <v>18</v>
      </c>
      <c r="O1034" s="10" t="str">
        <f aca="false">IF(AND(G1034="Engaging",J1034&gt;Parâmetros!$B$6),"Sim","Não")</f>
        <v>Sim</v>
      </c>
      <c r="P1034" s="32" t="str">
        <f aca="false">IF(O1034="Sim","R",IF(N1034&gt;=Parâmetros!$B$39,"A",IF(N1034&gt;=Parâmetros!$B$40,"B",IF(N1034&gt;=Parâmetros!$B$41,"C","D"))))</f>
        <v>R</v>
      </c>
      <c r="Q1034" s="10" t="str">
        <f aca="false">IF(F1034="","Completar cadastro","")</f>
        <v/>
      </c>
      <c r="R1034" s="10" t="str">
        <f aca="false">INDEX(Parâmetros!$D$39:$D$43,MATCH(P1034,Parâmetros!$A$39:$A$43,0))</f>
        <v>Reciclar: requalificar, reengajar ou encerrar</v>
      </c>
    </row>
    <row r="1035" customFormat="false" ht="15" hidden="false" customHeight="false" outlineLevel="0" collapsed="false">
      <c r="A1035" s="10" t="s">
        <v>1279</v>
      </c>
      <c r="B1035" s="10" t="s">
        <v>95</v>
      </c>
      <c r="C1035" s="10" t="s">
        <v>92</v>
      </c>
      <c r="D1035" s="10" t="s">
        <v>160</v>
      </c>
      <c r="E1035" s="10" t="s">
        <v>47</v>
      </c>
      <c r="F1035" s="10"/>
      <c r="G1035" s="10" t="s">
        <v>162</v>
      </c>
      <c r="H1035" s="30" t="n">
        <v>42842</v>
      </c>
      <c r="I1035" s="8" t="n">
        <f aca="false">INDEX(Parâmetros!$C$13:$C$19,MATCH(E1035,Parâmetros!$A$13:$A$19,0))</f>
        <v>5482</v>
      </c>
      <c r="J1035" s="26" t="n">
        <f aca="false">IF(H1035="","",Parâmetros!$B$5-H1035)</f>
        <v>258</v>
      </c>
      <c r="K1035" s="10" t="n">
        <f aca="false">INDEX(Parâmetros!$D$13:$D$19,MATCH(E1035,Parâmetros!$A$13:$A$19,0))</f>
        <v>45</v>
      </c>
      <c r="L1035" s="10" t="n">
        <f aca="false">IF(G1035="Prospecting",Parâmetros!$B$9,IF(J1035&gt;Parâmetros!$B$6,0,INDEX(Parâmetros!$C$24:$C$26,MATCH(J1035,Parâmetros!$A$24:$A$26,1))))</f>
        <v>0</v>
      </c>
      <c r="M1035" s="31" t="n">
        <f aca="false">IF(G1035="Prospecting",1,INDEX(Parâmetros!$C$32:$C$35,MATCH(J1035,Parâmetros!$A$32:$A$35,1)))</f>
        <v>0.4</v>
      </c>
      <c r="N1035" s="2" t="n">
        <f aca="false">ROUND((K1035+L1035)*M1035,0)</f>
        <v>18</v>
      </c>
      <c r="O1035" s="10" t="str">
        <f aca="false">IF(AND(G1035="Engaging",J1035&gt;Parâmetros!$B$6),"Sim","Não")</f>
        <v>Sim</v>
      </c>
      <c r="P1035" s="32" t="str">
        <f aca="false">IF(O1035="Sim","R",IF(N1035&gt;=Parâmetros!$B$39,"A",IF(N1035&gt;=Parâmetros!$B$40,"B",IF(N1035&gt;=Parâmetros!$B$41,"C","D"))))</f>
        <v>R</v>
      </c>
      <c r="Q1035" s="10" t="str">
        <f aca="false">IF(F1035="","Completar cadastro","")</f>
        <v>Completar cadastro</v>
      </c>
      <c r="R1035" s="10" t="str">
        <f aca="false">INDEX(Parâmetros!$D$39:$D$43,MATCH(P1035,Parâmetros!$A$39:$A$43,0))</f>
        <v>Reciclar: requalificar, reengajar ou encerrar</v>
      </c>
    </row>
    <row r="1036" customFormat="false" ht="15" hidden="false" customHeight="false" outlineLevel="0" collapsed="false">
      <c r="A1036" s="10" t="s">
        <v>1280</v>
      </c>
      <c r="B1036" s="10" t="s">
        <v>95</v>
      </c>
      <c r="C1036" s="10" t="s">
        <v>92</v>
      </c>
      <c r="D1036" s="10" t="s">
        <v>160</v>
      </c>
      <c r="E1036" s="10" t="s">
        <v>47</v>
      </c>
      <c r="F1036" s="10" t="s">
        <v>215</v>
      </c>
      <c r="G1036" s="10" t="s">
        <v>162</v>
      </c>
      <c r="H1036" s="30" t="n">
        <v>42843</v>
      </c>
      <c r="I1036" s="8" t="n">
        <f aca="false">INDEX(Parâmetros!$C$13:$C$19,MATCH(E1036,Parâmetros!$A$13:$A$19,0))</f>
        <v>5482</v>
      </c>
      <c r="J1036" s="26" t="n">
        <f aca="false">IF(H1036="","",Parâmetros!$B$5-H1036)</f>
        <v>257</v>
      </c>
      <c r="K1036" s="10" t="n">
        <f aca="false">INDEX(Parâmetros!$D$13:$D$19,MATCH(E1036,Parâmetros!$A$13:$A$19,0))</f>
        <v>45</v>
      </c>
      <c r="L1036" s="10" t="n">
        <f aca="false">IF(G1036="Prospecting",Parâmetros!$B$9,IF(J1036&gt;Parâmetros!$B$6,0,INDEX(Parâmetros!$C$24:$C$26,MATCH(J1036,Parâmetros!$A$24:$A$26,1))))</f>
        <v>0</v>
      </c>
      <c r="M1036" s="31" t="n">
        <f aca="false">IF(G1036="Prospecting",1,INDEX(Parâmetros!$C$32:$C$35,MATCH(J1036,Parâmetros!$A$32:$A$35,1)))</f>
        <v>0.4</v>
      </c>
      <c r="N1036" s="2" t="n">
        <f aca="false">ROUND((K1036+L1036)*M1036,0)</f>
        <v>18</v>
      </c>
      <c r="O1036" s="10" t="str">
        <f aca="false">IF(AND(G1036="Engaging",J1036&gt;Parâmetros!$B$6),"Sim","Não")</f>
        <v>Sim</v>
      </c>
      <c r="P1036" s="32" t="str">
        <f aca="false">IF(O1036="Sim","R",IF(N1036&gt;=Parâmetros!$B$39,"A",IF(N1036&gt;=Parâmetros!$B$40,"B",IF(N1036&gt;=Parâmetros!$B$41,"C","D"))))</f>
        <v>R</v>
      </c>
      <c r="Q1036" s="10" t="str">
        <f aca="false">IF(F1036="","Completar cadastro","")</f>
        <v/>
      </c>
      <c r="R1036" s="10" t="str">
        <f aca="false">INDEX(Parâmetros!$D$39:$D$43,MATCH(P1036,Parâmetros!$A$39:$A$43,0))</f>
        <v>Reciclar: requalificar, reengajar ou encerrar</v>
      </c>
    </row>
    <row r="1037" customFormat="false" ht="15" hidden="false" customHeight="false" outlineLevel="0" collapsed="false">
      <c r="A1037" s="10" t="s">
        <v>1281</v>
      </c>
      <c r="B1037" s="10" t="s">
        <v>61</v>
      </c>
      <c r="C1037" s="10" t="s">
        <v>58</v>
      </c>
      <c r="D1037" s="10" t="s">
        <v>165</v>
      </c>
      <c r="E1037" s="10" t="s">
        <v>47</v>
      </c>
      <c r="F1037" s="10"/>
      <c r="G1037" s="10" t="s">
        <v>162</v>
      </c>
      <c r="H1037" s="30" t="n">
        <v>42843</v>
      </c>
      <c r="I1037" s="8" t="n">
        <f aca="false">INDEX(Parâmetros!$C$13:$C$19,MATCH(E1037,Parâmetros!$A$13:$A$19,0))</f>
        <v>5482</v>
      </c>
      <c r="J1037" s="26" t="n">
        <f aca="false">IF(H1037="","",Parâmetros!$B$5-H1037)</f>
        <v>257</v>
      </c>
      <c r="K1037" s="10" t="n">
        <f aca="false">INDEX(Parâmetros!$D$13:$D$19,MATCH(E1037,Parâmetros!$A$13:$A$19,0))</f>
        <v>45</v>
      </c>
      <c r="L1037" s="10" t="n">
        <f aca="false">IF(G1037="Prospecting",Parâmetros!$B$9,IF(J1037&gt;Parâmetros!$B$6,0,INDEX(Parâmetros!$C$24:$C$26,MATCH(J1037,Parâmetros!$A$24:$A$26,1))))</f>
        <v>0</v>
      </c>
      <c r="M1037" s="31" t="n">
        <f aca="false">IF(G1037="Prospecting",1,INDEX(Parâmetros!$C$32:$C$35,MATCH(J1037,Parâmetros!$A$32:$A$35,1)))</f>
        <v>0.4</v>
      </c>
      <c r="N1037" s="2" t="n">
        <f aca="false">ROUND((K1037+L1037)*M1037,0)</f>
        <v>18</v>
      </c>
      <c r="O1037" s="10" t="str">
        <f aca="false">IF(AND(G1037="Engaging",J1037&gt;Parâmetros!$B$6),"Sim","Não")</f>
        <v>Sim</v>
      </c>
      <c r="P1037" s="32" t="str">
        <f aca="false">IF(O1037="Sim","R",IF(N1037&gt;=Parâmetros!$B$39,"A",IF(N1037&gt;=Parâmetros!$B$40,"B",IF(N1037&gt;=Parâmetros!$B$41,"C","D"))))</f>
        <v>R</v>
      </c>
      <c r="Q1037" s="10" t="str">
        <f aca="false">IF(F1037="","Completar cadastro","")</f>
        <v>Completar cadastro</v>
      </c>
      <c r="R1037" s="10" t="str">
        <f aca="false">INDEX(Parâmetros!$D$39:$D$43,MATCH(P1037,Parâmetros!$A$39:$A$43,0))</f>
        <v>Reciclar: requalificar, reengajar ou encerrar</v>
      </c>
    </row>
    <row r="1038" customFormat="false" ht="15" hidden="false" customHeight="false" outlineLevel="0" collapsed="false">
      <c r="A1038" s="10" t="s">
        <v>1282</v>
      </c>
      <c r="B1038" s="10" t="s">
        <v>57</v>
      </c>
      <c r="C1038" s="10" t="s">
        <v>58</v>
      </c>
      <c r="D1038" s="10" t="s">
        <v>165</v>
      </c>
      <c r="E1038" s="10" t="s">
        <v>47</v>
      </c>
      <c r="F1038" s="10"/>
      <c r="G1038" s="10" t="s">
        <v>162</v>
      </c>
      <c r="H1038" s="30" t="n">
        <v>42851</v>
      </c>
      <c r="I1038" s="8" t="n">
        <f aca="false">INDEX(Parâmetros!$C$13:$C$19,MATCH(E1038,Parâmetros!$A$13:$A$19,0))</f>
        <v>5482</v>
      </c>
      <c r="J1038" s="26" t="n">
        <f aca="false">IF(H1038="","",Parâmetros!$B$5-H1038)</f>
        <v>249</v>
      </c>
      <c r="K1038" s="10" t="n">
        <f aca="false">INDEX(Parâmetros!$D$13:$D$19,MATCH(E1038,Parâmetros!$A$13:$A$19,0))</f>
        <v>45</v>
      </c>
      <c r="L1038" s="10" t="n">
        <f aca="false">IF(G1038="Prospecting",Parâmetros!$B$9,IF(J1038&gt;Parâmetros!$B$6,0,INDEX(Parâmetros!$C$24:$C$26,MATCH(J1038,Parâmetros!$A$24:$A$26,1))))</f>
        <v>0</v>
      </c>
      <c r="M1038" s="31" t="n">
        <f aca="false">IF(G1038="Prospecting",1,INDEX(Parâmetros!$C$32:$C$35,MATCH(J1038,Parâmetros!$A$32:$A$35,1)))</f>
        <v>0.4</v>
      </c>
      <c r="N1038" s="2" t="n">
        <f aca="false">ROUND((K1038+L1038)*M1038,0)</f>
        <v>18</v>
      </c>
      <c r="O1038" s="10" t="str">
        <f aca="false">IF(AND(G1038="Engaging",J1038&gt;Parâmetros!$B$6),"Sim","Não")</f>
        <v>Sim</v>
      </c>
      <c r="P1038" s="32" t="str">
        <f aca="false">IF(O1038="Sim","R",IF(N1038&gt;=Parâmetros!$B$39,"A",IF(N1038&gt;=Parâmetros!$B$40,"B",IF(N1038&gt;=Parâmetros!$B$41,"C","D"))))</f>
        <v>R</v>
      </c>
      <c r="Q1038" s="10" t="str">
        <f aca="false">IF(F1038="","Completar cadastro","")</f>
        <v>Completar cadastro</v>
      </c>
      <c r="R1038" s="10" t="str">
        <f aca="false">INDEX(Parâmetros!$D$39:$D$43,MATCH(P1038,Parâmetros!$A$39:$A$43,0))</f>
        <v>Reciclar: requalificar, reengajar ou encerrar</v>
      </c>
    </row>
    <row r="1039" customFormat="false" ht="15" hidden="false" customHeight="false" outlineLevel="0" collapsed="false">
      <c r="A1039" s="10" t="s">
        <v>1283</v>
      </c>
      <c r="B1039" s="10" t="s">
        <v>87</v>
      </c>
      <c r="C1039" s="10" t="s">
        <v>85</v>
      </c>
      <c r="D1039" s="10" t="s">
        <v>165</v>
      </c>
      <c r="E1039" s="10" t="s">
        <v>47</v>
      </c>
      <c r="F1039" s="10"/>
      <c r="G1039" s="10" t="s">
        <v>162</v>
      </c>
      <c r="H1039" s="30" t="n">
        <v>42852</v>
      </c>
      <c r="I1039" s="8" t="n">
        <f aca="false">INDEX(Parâmetros!$C$13:$C$19,MATCH(E1039,Parâmetros!$A$13:$A$19,0))</f>
        <v>5482</v>
      </c>
      <c r="J1039" s="26" t="n">
        <f aca="false">IF(H1039="","",Parâmetros!$B$5-H1039)</f>
        <v>248</v>
      </c>
      <c r="K1039" s="10" t="n">
        <f aca="false">INDEX(Parâmetros!$D$13:$D$19,MATCH(E1039,Parâmetros!$A$13:$A$19,0))</f>
        <v>45</v>
      </c>
      <c r="L1039" s="10" t="n">
        <f aca="false">IF(G1039="Prospecting",Parâmetros!$B$9,IF(J1039&gt;Parâmetros!$B$6,0,INDEX(Parâmetros!$C$24:$C$26,MATCH(J1039,Parâmetros!$A$24:$A$26,1))))</f>
        <v>0</v>
      </c>
      <c r="M1039" s="31" t="n">
        <f aca="false">IF(G1039="Prospecting",1,INDEX(Parâmetros!$C$32:$C$35,MATCH(J1039,Parâmetros!$A$32:$A$35,1)))</f>
        <v>0.4</v>
      </c>
      <c r="N1039" s="2" t="n">
        <f aca="false">ROUND((K1039+L1039)*M1039,0)</f>
        <v>18</v>
      </c>
      <c r="O1039" s="10" t="str">
        <f aca="false">IF(AND(G1039="Engaging",J1039&gt;Parâmetros!$B$6),"Sim","Não")</f>
        <v>Sim</v>
      </c>
      <c r="P1039" s="32" t="str">
        <f aca="false">IF(O1039="Sim","R",IF(N1039&gt;=Parâmetros!$B$39,"A",IF(N1039&gt;=Parâmetros!$B$40,"B",IF(N1039&gt;=Parâmetros!$B$41,"C","D"))))</f>
        <v>R</v>
      </c>
      <c r="Q1039" s="10" t="str">
        <f aca="false">IF(F1039="","Completar cadastro","")</f>
        <v>Completar cadastro</v>
      </c>
      <c r="R1039" s="10" t="str">
        <f aca="false">INDEX(Parâmetros!$D$39:$D$43,MATCH(P1039,Parâmetros!$A$39:$A$43,0))</f>
        <v>Reciclar: requalificar, reengajar ou encerrar</v>
      </c>
    </row>
    <row r="1040" customFormat="false" ht="15" hidden="false" customHeight="false" outlineLevel="0" collapsed="false">
      <c r="A1040" s="10" t="s">
        <v>1284</v>
      </c>
      <c r="B1040" s="10" t="s">
        <v>70</v>
      </c>
      <c r="C1040" s="10" t="s">
        <v>65</v>
      </c>
      <c r="D1040" s="10" t="s">
        <v>160</v>
      </c>
      <c r="E1040" s="10" t="s">
        <v>47</v>
      </c>
      <c r="F1040" s="10" t="s">
        <v>359</v>
      </c>
      <c r="G1040" s="10" t="s">
        <v>162</v>
      </c>
      <c r="H1040" s="30" t="n">
        <v>42853</v>
      </c>
      <c r="I1040" s="8" t="n">
        <f aca="false">INDEX(Parâmetros!$C$13:$C$19,MATCH(E1040,Parâmetros!$A$13:$A$19,0))</f>
        <v>5482</v>
      </c>
      <c r="J1040" s="26" t="n">
        <f aca="false">IF(H1040="","",Parâmetros!$B$5-H1040)</f>
        <v>247</v>
      </c>
      <c r="K1040" s="10" t="n">
        <f aca="false">INDEX(Parâmetros!$D$13:$D$19,MATCH(E1040,Parâmetros!$A$13:$A$19,0))</f>
        <v>45</v>
      </c>
      <c r="L1040" s="10" t="n">
        <f aca="false">IF(G1040="Prospecting",Parâmetros!$B$9,IF(J1040&gt;Parâmetros!$B$6,0,INDEX(Parâmetros!$C$24:$C$26,MATCH(J1040,Parâmetros!$A$24:$A$26,1))))</f>
        <v>0</v>
      </c>
      <c r="M1040" s="31" t="n">
        <f aca="false">IF(G1040="Prospecting",1,INDEX(Parâmetros!$C$32:$C$35,MATCH(J1040,Parâmetros!$A$32:$A$35,1)))</f>
        <v>0.4</v>
      </c>
      <c r="N1040" s="2" t="n">
        <f aca="false">ROUND((K1040+L1040)*M1040,0)</f>
        <v>18</v>
      </c>
      <c r="O1040" s="10" t="str">
        <f aca="false">IF(AND(G1040="Engaging",J1040&gt;Parâmetros!$B$6),"Sim","Não")</f>
        <v>Sim</v>
      </c>
      <c r="P1040" s="32" t="str">
        <f aca="false">IF(O1040="Sim","R",IF(N1040&gt;=Parâmetros!$B$39,"A",IF(N1040&gt;=Parâmetros!$B$40,"B",IF(N1040&gt;=Parâmetros!$B$41,"C","D"))))</f>
        <v>R</v>
      </c>
      <c r="Q1040" s="10" t="str">
        <f aca="false">IF(F1040="","Completar cadastro","")</f>
        <v/>
      </c>
      <c r="R1040" s="10" t="str">
        <f aca="false">INDEX(Parâmetros!$D$39:$D$43,MATCH(P1040,Parâmetros!$A$39:$A$43,0))</f>
        <v>Reciclar: requalificar, reengajar ou encerrar</v>
      </c>
    </row>
    <row r="1041" customFormat="false" ht="15" hidden="false" customHeight="false" outlineLevel="0" collapsed="false">
      <c r="A1041" s="10" t="s">
        <v>1285</v>
      </c>
      <c r="B1041" s="10" t="s">
        <v>87</v>
      </c>
      <c r="C1041" s="10" t="s">
        <v>85</v>
      </c>
      <c r="D1041" s="10" t="s">
        <v>165</v>
      </c>
      <c r="E1041" s="10" t="s">
        <v>47</v>
      </c>
      <c r="F1041" s="10"/>
      <c r="G1041" s="10" t="s">
        <v>162</v>
      </c>
      <c r="H1041" s="30" t="n">
        <v>42855</v>
      </c>
      <c r="I1041" s="8" t="n">
        <f aca="false">INDEX(Parâmetros!$C$13:$C$19,MATCH(E1041,Parâmetros!$A$13:$A$19,0))</f>
        <v>5482</v>
      </c>
      <c r="J1041" s="26" t="n">
        <f aca="false">IF(H1041="","",Parâmetros!$B$5-H1041)</f>
        <v>245</v>
      </c>
      <c r="K1041" s="10" t="n">
        <f aca="false">INDEX(Parâmetros!$D$13:$D$19,MATCH(E1041,Parâmetros!$A$13:$A$19,0))</f>
        <v>45</v>
      </c>
      <c r="L1041" s="10" t="n">
        <f aca="false">IF(G1041="Prospecting",Parâmetros!$B$9,IF(J1041&gt;Parâmetros!$B$6,0,INDEX(Parâmetros!$C$24:$C$26,MATCH(J1041,Parâmetros!$A$24:$A$26,1))))</f>
        <v>0</v>
      </c>
      <c r="M1041" s="31" t="n">
        <f aca="false">IF(G1041="Prospecting",1,INDEX(Parâmetros!$C$32:$C$35,MATCH(J1041,Parâmetros!$A$32:$A$35,1)))</f>
        <v>0.4</v>
      </c>
      <c r="N1041" s="2" t="n">
        <f aca="false">ROUND((K1041+L1041)*M1041,0)</f>
        <v>18</v>
      </c>
      <c r="O1041" s="10" t="str">
        <f aca="false">IF(AND(G1041="Engaging",J1041&gt;Parâmetros!$B$6),"Sim","Não")</f>
        <v>Sim</v>
      </c>
      <c r="P1041" s="32" t="str">
        <f aca="false">IF(O1041="Sim","R",IF(N1041&gt;=Parâmetros!$B$39,"A",IF(N1041&gt;=Parâmetros!$B$40,"B",IF(N1041&gt;=Parâmetros!$B$41,"C","D"))))</f>
        <v>R</v>
      </c>
      <c r="Q1041" s="10" t="str">
        <f aca="false">IF(F1041="","Completar cadastro","")</f>
        <v>Completar cadastro</v>
      </c>
      <c r="R1041" s="10" t="str">
        <f aca="false">INDEX(Parâmetros!$D$39:$D$43,MATCH(P1041,Parâmetros!$A$39:$A$43,0))</f>
        <v>Reciclar: requalificar, reengajar ou encerrar</v>
      </c>
    </row>
    <row r="1042" customFormat="false" ht="15" hidden="false" customHeight="false" outlineLevel="0" collapsed="false">
      <c r="A1042" s="10" t="s">
        <v>1286</v>
      </c>
      <c r="B1042" s="10" t="s">
        <v>84</v>
      </c>
      <c r="C1042" s="10" t="s">
        <v>85</v>
      </c>
      <c r="D1042" s="10" t="s">
        <v>165</v>
      </c>
      <c r="E1042" s="10" t="s">
        <v>47</v>
      </c>
      <c r="F1042" s="10"/>
      <c r="G1042" s="10" t="s">
        <v>162</v>
      </c>
      <c r="H1042" s="30" t="n">
        <v>42856</v>
      </c>
      <c r="I1042" s="8" t="n">
        <f aca="false">INDEX(Parâmetros!$C$13:$C$19,MATCH(E1042,Parâmetros!$A$13:$A$19,0))</f>
        <v>5482</v>
      </c>
      <c r="J1042" s="26" t="n">
        <f aca="false">IF(H1042="","",Parâmetros!$B$5-H1042)</f>
        <v>244</v>
      </c>
      <c r="K1042" s="10" t="n">
        <f aca="false">INDEX(Parâmetros!$D$13:$D$19,MATCH(E1042,Parâmetros!$A$13:$A$19,0))</f>
        <v>45</v>
      </c>
      <c r="L1042" s="10" t="n">
        <f aca="false">IF(G1042="Prospecting",Parâmetros!$B$9,IF(J1042&gt;Parâmetros!$B$6,0,INDEX(Parâmetros!$C$24:$C$26,MATCH(J1042,Parâmetros!$A$24:$A$26,1))))</f>
        <v>0</v>
      </c>
      <c r="M1042" s="31" t="n">
        <f aca="false">IF(G1042="Prospecting",1,INDEX(Parâmetros!$C$32:$C$35,MATCH(J1042,Parâmetros!$A$32:$A$35,1)))</f>
        <v>0.4</v>
      </c>
      <c r="N1042" s="2" t="n">
        <f aca="false">ROUND((K1042+L1042)*M1042,0)</f>
        <v>18</v>
      </c>
      <c r="O1042" s="10" t="str">
        <f aca="false">IF(AND(G1042="Engaging",J1042&gt;Parâmetros!$B$6),"Sim","Não")</f>
        <v>Sim</v>
      </c>
      <c r="P1042" s="32" t="str">
        <f aca="false">IF(O1042="Sim","R",IF(N1042&gt;=Parâmetros!$B$39,"A",IF(N1042&gt;=Parâmetros!$B$40,"B",IF(N1042&gt;=Parâmetros!$B$41,"C","D"))))</f>
        <v>R</v>
      </c>
      <c r="Q1042" s="10" t="str">
        <f aca="false">IF(F1042="","Completar cadastro","")</f>
        <v>Completar cadastro</v>
      </c>
      <c r="R1042" s="10" t="str">
        <f aca="false">INDEX(Parâmetros!$D$39:$D$43,MATCH(P1042,Parâmetros!$A$39:$A$43,0))</f>
        <v>Reciclar: requalificar, reengajar ou encerrar</v>
      </c>
    </row>
    <row r="1043" customFormat="false" ht="15" hidden="false" customHeight="false" outlineLevel="0" collapsed="false">
      <c r="A1043" s="10" t="s">
        <v>1287</v>
      </c>
      <c r="B1043" s="10" t="s">
        <v>93</v>
      </c>
      <c r="C1043" s="10" t="s">
        <v>92</v>
      </c>
      <c r="D1043" s="10" t="s">
        <v>160</v>
      </c>
      <c r="E1043" s="10" t="s">
        <v>47</v>
      </c>
      <c r="F1043" s="10" t="s">
        <v>869</v>
      </c>
      <c r="G1043" s="10" t="s">
        <v>162</v>
      </c>
      <c r="H1043" s="30" t="n">
        <v>42856</v>
      </c>
      <c r="I1043" s="8" t="n">
        <f aca="false">INDEX(Parâmetros!$C$13:$C$19,MATCH(E1043,Parâmetros!$A$13:$A$19,0))</f>
        <v>5482</v>
      </c>
      <c r="J1043" s="26" t="n">
        <f aca="false">IF(H1043="","",Parâmetros!$B$5-H1043)</f>
        <v>244</v>
      </c>
      <c r="K1043" s="10" t="n">
        <f aca="false">INDEX(Parâmetros!$D$13:$D$19,MATCH(E1043,Parâmetros!$A$13:$A$19,0))</f>
        <v>45</v>
      </c>
      <c r="L1043" s="10" t="n">
        <f aca="false">IF(G1043="Prospecting",Parâmetros!$B$9,IF(J1043&gt;Parâmetros!$B$6,0,INDEX(Parâmetros!$C$24:$C$26,MATCH(J1043,Parâmetros!$A$24:$A$26,1))))</f>
        <v>0</v>
      </c>
      <c r="M1043" s="31" t="n">
        <f aca="false">IF(G1043="Prospecting",1,INDEX(Parâmetros!$C$32:$C$35,MATCH(J1043,Parâmetros!$A$32:$A$35,1)))</f>
        <v>0.4</v>
      </c>
      <c r="N1043" s="2" t="n">
        <f aca="false">ROUND((K1043+L1043)*M1043,0)</f>
        <v>18</v>
      </c>
      <c r="O1043" s="10" t="str">
        <f aca="false">IF(AND(G1043="Engaging",J1043&gt;Parâmetros!$B$6),"Sim","Não")</f>
        <v>Sim</v>
      </c>
      <c r="P1043" s="32" t="str">
        <f aca="false">IF(O1043="Sim","R",IF(N1043&gt;=Parâmetros!$B$39,"A",IF(N1043&gt;=Parâmetros!$B$40,"B",IF(N1043&gt;=Parâmetros!$B$41,"C","D"))))</f>
        <v>R</v>
      </c>
      <c r="Q1043" s="10" t="str">
        <f aca="false">IF(F1043="","Completar cadastro","")</f>
        <v/>
      </c>
      <c r="R1043" s="10" t="str">
        <f aca="false">INDEX(Parâmetros!$D$39:$D$43,MATCH(P1043,Parâmetros!$A$39:$A$43,0))</f>
        <v>Reciclar: requalificar, reengajar ou encerrar</v>
      </c>
    </row>
    <row r="1044" customFormat="false" ht="15" hidden="false" customHeight="false" outlineLevel="0" collapsed="false">
      <c r="A1044" s="10" t="s">
        <v>1288</v>
      </c>
      <c r="B1044" s="10" t="s">
        <v>96</v>
      </c>
      <c r="C1044" s="10" t="s">
        <v>92</v>
      </c>
      <c r="D1044" s="10" t="s">
        <v>160</v>
      </c>
      <c r="E1044" s="10" t="s">
        <v>47</v>
      </c>
      <c r="F1044" s="10"/>
      <c r="G1044" s="10" t="s">
        <v>162</v>
      </c>
      <c r="H1044" s="30" t="n">
        <v>42856</v>
      </c>
      <c r="I1044" s="8" t="n">
        <f aca="false">INDEX(Parâmetros!$C$13:$C$19,MATCH(E1044,Parâmetros!$A$13:$A$19,0))</f>
        <v>5482</v>
      </c>
      <c r="J1044" s="26" t="n">
        <f aca="false">IF(H1044="","",Parâmetros!$B$5-H1044)</f>
        <v>244</v>
      </c>
      <c r="K1044" s="10" t="n">
        <f aca="false">INDEX(Parâmetros!$D$13:$D$19,MATCH(E1044,Parâmetros!$A$13:$A$19,0))</f>
        <v>45</v>
      </c>
      <c r="L1044" s="10" t="n">
        <f aca="false">IF(G1044="Prospecting",Parâmetros!$B$9,IF(J1044&gt;Parâmetros!$B$6,0,INDEX(Parâmetros!$C$24:$C$26,MATCH(J1044,Parâmetros!$A$24:$A$26,1))))</f>
        <v>0</v>
      </c>
      <c r="M1044" s="31" t="n">
        <f aca="false">IF(G1044="Prospecting",1,INDEX(Parâmetros!$C$32:$C$35,MATCH(J1044,Parâmetros!$A$32:$A$35,1)))</f>
        <v>0.4</v>
      </c>
      <c r="N1044" s="2" t="n">
        <f aca="false">ROUND((K1044+L1044)*M1044,0)</f>
        <v>18</v>
      </c>
      <c r="O1044" s="10" t="str">
        <f aca="false">IF(AND(G1044="Engaging",J1044&gt;Parâmetros!$B$6),"Sim","Não")</f>
        <v>Sim</v>
      </c>
      <c r="P1044" s="32" t="str">
        <f aca="false">IF(O1044="Sim","R",IF(N1044&gt;=Parâmetros!$B$39,"A",IF(N1044&gt;=Parâmetros!$B$40,"B",IF(N1044&gt;=Parâmetros!$B$41,"C","D"))))</f>
        <v>R</v>
      </c>
      <c r="Q1044" s="10" t="str">
        <f aca="false">IF(F1044="","Completar cadastro","")</f>
        <v>Completar cadastro</v>
      </c>
      <c r="R1044" s="10" t="str">
        <f aca="false">INDEX(Parâmetros!$D$39:$D$43,MATCH(P1044,Parâmetros!$A$39:$A$43,0))</f>
        <v>Reciclar: requalificar, reengajar ou encerrar</v>
      </c>
    </row>
    <row r="1045" customFormat="false" ht="15" hidden="false" customHeight="false" outlineLevel="0" collapsed="false">
      <c r="A1045" s="10" t="s">
        <v>1289</v>
      </c>
      <c r="B1045" s="10" t="s">
        <v>70</v>
      </c>
      <c r="C1045" s="10" t="s">
        <v>65</v>
      </c>
      <c r="D1045" s="10" t="s">
        <v>160</v>
      </c>
      <c r="E1045" s="10" t="s">
        <v>47</v>
      </c>
      <c r="F1045" s="10"/>
      <c r="G1045" s="10" t="s">
        <v>162</v>
      </c>
      <c r="H1045" s="30" t="n">
        <v>42856</v>
      </c>
      <c r="I1045" s="8" t="n">
        <f aca="false">INDEX(Parâmetros!$C$13:$C$19,MATCH(E1045,Parâmetros!$A$13:$A$19,0))</f>
        <v>5482</v>
      </c>
      <c r="J1045" s="26" t="n">
        <f aca="false">IF(H1045="","",Parâmetros!$B$5-H1045)</f>
        <v>244</v>
      </c>
      <c r="K1045" s="10" t="n">
        <f aca="false">INDEX(Parâmetros!$D$13:$D$19,MATCH(E1045,Parâmetros!$A$13:$A$19,0))</f>
        <v>45</v>
      </c>
      <c r="L1045" s="10" t="n">
        <f aca="false">IF(G1045="Prospecting",Parâmetros!$B$9,IF(J1045&gt;Parâmetros!$B$6,0,INDEX(Parâmetros!$C$24:$C$26,MATCH(J1045,Parâmetros!$A$24:$A$26,1))))</f>
        <v>0</v>
      </c>
      <c r="M1045" s="31" t="n">
        <f aca="false">IF(G1045="Prospecting",1,INDEX(Parâmetros!$C$32:$C$35,MATCH(J1045,Parâmetros!$A$32:$A$35,1)))</f>
        <v>0.4</v>
      </c>
      <c r="N1045" s="2" t="n">
        <f aca="false">ROUND((K1045+L1045)*M1045,0)</f>
        <v>18</v>
      </c>
      <c r="O1045" s="10" t="str">
        <f aca="false">IF(AND(G1045="Engaging",J1045&gt;Parâmetros!$B$6),"Sim","Não")</f>
        <v>Sim</v>
      </c>
      <c r="P1045" s="32" t="str">
        <f aca="false">IF(O1045="Sim","R",IF(N1045&gt;=Parâmetros!$B$39,"A",IF(N1045&gt;=Parâmetros!$B$40,"B",IF(N1045&gt;=Parâmetros!$B$41,"C","D"))))</f>
        <v>R</v>
      </c>
      <c r="Q1045" s="10" t="str">
        <f aca="false">IF(F1045="","Completar cadastro","")</f>
        <v>Completar cadastro</v>
      </c>
      <c r="R1045" s="10" t="str">
        <f aca="false">INDEX(Parâmetros!$D$39:$D$43,MATCH(P1045,Parâmetros!$A$39:$A$43,0))</f>
        <v>Reciclar: requalificar, reengajar ou encerrar</v>
      </c>
    </row>
    <row r="1046" customFormat="false" ht="15" hidden="false" customHeight="false" outlineLevel="0" collapsed="false">
      <c r="A1046" s="10" t="s">
        <v>1290</v>
      </c>
      <c r="B1046" s="10" t="s">
        <v>97</v>
      </c>
      <c r="C1046" s="10" t="s">
        <v>92</v>
      </c>
      <c r="D1046" s="10" t="s">
        <v>160</v>
      </c>
      <c r="E1046" s="10" t="s">
        <v>47</v>
      </c>
      <c r="F1046" s="10"/>
      <c r="G1046" s="10" t="s">
        <v>162</v>
      </c>
      <c r="H1046" s="30" t="n">
        <v>42857</v>
      </c>
      <c r="I1046" s="8" t="n">
        <f aca="false">INDEX(Parâmetros!$C$13:$C$19,MATCH(E1046,Parâmetros!$A$13:$A$19,0))</f>
        <v>5482</v>
      </c>
      <c r="J1046" s="26" t="n">
        <f aca="false">IF(H1046="","",Parâmetros!$B$5-H1046)</f>
        <v>243</v>
      </c>
      <c r="K1046" s="10" t="n">
        <f aca="false">INDEX(Parâmetros!$D$13:$D$19,MATCH(E1046,Parâmetros!$A$13:$A$19,0))</f>
        <v>45</v>
      </c>
      <c r="L1046" s="10" t="n">
        <f aca="false">IF(G1046="Prospecting",Parâmetros!$B$9,IF(J1046&gt;Parâmetros!$B$6,0,INDEX(Parâmetros!$C$24:$C$26,MATCH(J1046,Parâmetros!$A$24:$A$26,1))))</f>
        <v>0</v>
      </c>
      <c r="M1046" s="31" t="n">
        <f aca="false">IF(G1046="Prospecting",1,INDEX(Parâmetros!$C$32:$C$35,MATCH(J1046,Parâmetros!$A$32:$A$35,1)))</f>
        <v>0.4</v>
      </c>
      <c r="N1046" s="2" t="n">
        <f aca="false">ROUND((K1046+L1046)*M1046,0)</f>
        <v>18</v>
      </c>
      <c r="O1046" s="10" t="str">
        <f aca="false">IF(AND(G1046="Engaging",J1046&gt;Parâmetros!$B$6),"Sim","Não")</f>
        <v>Sim</v>
      </c>
      <c r="P1046" s="32" t="str">
        <f aca="false">IF(O1046="Sim","R",IF(N1046&gt;=Parâmetros!$B$39,"A",IF(N1046&gt;=Parâmetros!$B$40,"B",IF(N1046&gt;=Parâmetros!$B$41,"C","D"))))</f>
        <v>R</v>
      </c>
      <c r="Q1046" s="10" t="str">
        <f aca="false">IF(F1046="","Completar cadastro","")</f>
        <v>Completar cadastro</v>
      </c>
      <c r="R1046" s="10" t="str">
        <f aca="false">INDEX(Parâmetros!$D$39:$D$43,MATCH(P1046,Parâmetros!$A$39:$A$43,0))</f>
        <v>Reciclar: requalificar, reengajar ou encerrar</v>
      </c>
    </row>
    <row r="1047" customFormat="false" ht="15" hidden="false" customHeight="false" outlineLevel="0" collapsed="false">
      <c r="A1047" s="10" t="s">
        <v>1291</v>
      </c>
      <c r="B1047" s="10" t="s">
        <v>68</v>
      </c>
      <c r="C1047" s="10" t="s">
        <v>65</v>
      </c>
      <c r="D1047" s="10" t="s">
        <v>160</v>
      </c>
      <c r="E1047" s="10" t="s">
        <v>47</v>
      </c>
      <c r="F1047" s="10"/>
      <c r="G1047" s="10" t="s">
        <v>162</v>
      </c>
      <c r="H1047" s="30" t="n">
        <v>42858</v>
      </c>
      <c r="I1047" s="8" t="n">
        <f aca="false">INDEX(Parâmetros!$C$13:$C$19,MATCH(E1047,Parâmetros!$A$13:$A$19,0))</f>
        <v>5482</v>
      </c>
      <c r="J1047" s="26" t="n">
        <f aca="false">IF(H1047="","",Parâmetros!$B$5-H1047)</f>
        <v>242</v>
      </c>
      <c r="K1047" s="10" t="n">
        <f aca="false">INDEX(Parâmetros!$D$13:$D$19,MATCH(E1047,Parâmetros!$A$13:$A$19,0))</f>
        <v>45</v>
      </c>
      <c r="L1047" s="10" t="n">
        <f aca="false">IF(G1047="Prospecting",Parâmetros!$B$9,IF(J1047&gt;Parâmetros!$B$6,0,INDEX(Parâmetros!$C$24:$C$26,MATCH(J1047,Parâmetros!$A$24:$A$26,1))))</f>
        <v>0</v>
      </c>
      <c r="M1047" s="31" t="n">
        <f aca="false">IF(G1047="Prospecting",1,INDEX(Parâmetros!$C$32:$C$35,MATCH(J1047,Parâmetros!$A$32:$A$35,1)))</f>
        <v>0.4</v>
      </c>
      <c r="N1047" s="2" t="n">
        <f aca="false">ROUND((K1047+L1047)*M1047,0)</f>
        <v>18</v>
      </c>
      <c r="O1047" s="10" t="str">
        <f aca="false">IF(AND(G1047="Engaging",J1047&gt;Parâmetros!$B$6),"Sim","Não")</f>
        <v>Sim</v>
      </c>
      <c r="P1047" s="32" t="str">
        <f aca="false">IF(O1047="Sim","R",IF(N1047&gt;=Parâmetros!$B$39,"A",IF(N1047&gt;=Parâmetros!$B$40,"B",IF(N1047&gt;=Parâmetros!$B$41,"C","D"))))</f>
        <v>R</v>
      </c>
      <c r="Q1047" s="10" t="str">
        <f aca="false">IF(F1047="","Completar cadastro","")</f>
        <v>Completar cadastro</v>
      </c>
      <c r="R1047" s="10" t="str">
        <f aca="false">INDEX(Parâmetros!$D$39:$D$43,MATCH(P1047,Parâmetros!$A$39:$A$43,0))</f>
        <v>Reciclar: requalificar, reengajar ou encerrar</v>
      </c>
    </row>
    <row r="1048" customFormat="false" ht="15" hidden="false" customHeight="false" outlineLevel="0" collapsed="false">
      <c r="A1048" s="10" t="s">
        <v>1292</v>
      </c>
      <c r="B1048" s="10" t="s">
        <v>57</v>
      </c>
      <c r="C1048" s="10" t="s">
        <v>58</v>
      </c>
      <c r="D1048" s="10" t="s">
        <v>165</v>
      </c>
      <c r="E1048" s="10" t="s">
        <v>47</v>
      </c>
      <c r="F1048" s="10" t="s">
        <v>674</v>
      </c>
      <c r="G1048" s="10" t="s">
        <v>162</v>
      </c>
      <c r="H1048" s="30" t="n">
        <v>42861</v>
      </c>
      <c r="I1048" s="8" t="n">
        <f aca="false">INDEX(Parâmetros!$C$13:$C$19,MATCH(E1048,Parâmetros!$A$13:$A$19,0))</f>
        <v>5482</v>
      </c>
      <c r="J1048" s="26" t="n">
        <f aca="false">IF(H1048="","",Parâmetros!$B$5-H1048)</f>
        <v>239</v>
      </c>
      <c r="K1048" s="10" t="n">
        <f aca="false">INDEX(Parâmetros!$D$13:$D$19,MATCH(E1048,Parâmetros!$A$13:$A$19,0))</f>
        <v>45</v>
      </c>
      <c r="L1048" s="10" t="n">
        <f aca="false">IF(G1048="Prospecting",Parâmetros!$B$9,IF(J1048&gt;Parâmetros!$B$6,0,INDEX(Parâmetros!$C$24:$C$26,MATCH(J1048,Parâmetros!$A$24:$A$26,1))))</f>
        <v>0</v>
      </c>
      <c r="M1048" s="31" t="n">
        <f aca="false">IF(G1048="Prospecting",1,INDEX(Parâmetros!$C$32:$C$35,MATCH(J1048,Parâmetros!$A$32:$A$35,1)))</f>
        <v>0.4</v>
      </c>
      <c r="N1048" s="2" t="n">
        <f aca="false">ROUND((K1048+L1048)*M1048,0)</f>
        <v>18</v>
      </c>
      <c r="O1048" s="10" t="str">
        <f aca="false">IF(AND(G1048="Engaging",J1048&gt;Parâmetros!$B$6),"Sim","Não")</f>
        <v>Sim</v>
      </c>
      <c r="P1048" s="32" t="str">
        <f aca="false">IF(O1048="Sim","R",IF(N1048&gt;=Parâmetros!$B$39,"A",IF(N1048&gt;=Parâmetros!$B$40,"B",IF(N1048&gt;=Parâmetros!$B$41,"C","D"))))</f>
        <v>R</v>
      </c>
      <c r="Q1048" s="10" t="str">
        <f aca="false">IF(F1048="","Completar cadastro","")</f>
        <v/>
      </c>
      <c r="R1048" s="10" t="str">
        <f aca="false">INDEX(Parâmetros!$D$39:$D$43,MATCH(P1048,Parâmetros!$A$39:$A$43,0))</f>
        <v>Reciclar: requalificar, reengajar ou encerrar</v>
      </c>
    </row>
    <row r="1049" customFormat="false" ht="15" hidden="false" customHeight="false" outlineLevel="0" collapsed="false">
      <c r="A1049" s="10" t="s">
        <v>1293</v>
      </c>
      <c r="B1049" s="10" t="s">
        <v>70</v>
      </c>
      <c r="C1049" s="10" t="s">
        <v>65</v>
      </c>
      <c r="D1049" s="10" t="s">
        <v>160</v>
      </c>
      <c r="E1049" s="10" t="s">
        <v>47</v>
      </c>
      <c r="F1049" s="10" t="s">
        <v>497</v>
      </c>
      <c r="G1049" s="10" t="s">
        <v>162</v>
      </c>
      <c r="H1049" s="30" t="n">
        <v>42861</v>
      </c>
      <c r="I1049" s="8" t="n">
        <f aca="false">INDEX(Parâmetros!$C$13:$C$19,MATCH(E1049,Parâmetros!$A$13:$A$19,0))</f>
        <v>5482</v>
      </c>
      <c r="J1049" s="26" t="n">
        <f aca="false">IF(H1049="","",Parâmetros!$B$5-H1049)</f>
        <v>239</v>
      </c>
      <c r="K1049" s="10" t="n">
        <f aca="false">INDEX(Parâmetros!$D$13:$D$19,MATCH(E1049,Parâmetros!$A$13:$A$19,0))</f>
        <v>45</v>
      </c>
      <c r="L1049" s="10" t="n">
        <f aca="false">IF(G1049="Prospecting",Parâmetros!$B$9,IF(J1049&gt;Parâmetros!$B$6,0,INDEX(Parâmetros!$C$24:$C$26,MATCH(J1049,Parâmetros!$A$24:$A$26,1))))</f>
        <v>0</v>
      </c>
      <c r="M1049" s="31" t="n">
        <f aca="false">IF(G1049="Prospecting",1,INDEX(Parâmetros!$C$32:$C$35,MATCH(J1049,Parâmetros!$A$32:$A$35,1)))</f>
        <v>0.4</v>
      </c>
      <c r="N1049" s="2" t="n">
        <f aca="false">ROUND((K1049+L1049)*M1049,0)</f>
        <v>18</v>
      </c>
      <c r="O1049" s="10" t="str">
        <f aca="false">IF(AND(G1049="Engaging",J1049&gt;Parâmetros!$B$6),"Sim","Não")</f>
        <v>Sim</v>
      </c>
      <c r="P1049" s="32" t="str">
        <f aca="false">IF(O1049="Sim","R",IF(N1049&gt;=Parâmetros!$B$39,"A",IF(N1049&gt;=Parâmetros!$B$40,"B",IF(N1049&gt;=Parâmetros!$B$41,"C","D"))))</f>
        <v>R</v>
      </c>
      <c r="Q1049" s="10" t="str">
        <f aca="false">IF(F1049="","Completar cadastro","")</f>
        <v/>
      </c>
      <c r="R1049" s="10" t="str">
        <f aca="false">INDEX(Parâmetros!$D$39:$D$43,MATCH(P1049,Parâmetros!$A$39:$A$43,0))</f>
        <v>Reciclar: requalificar, reengajar ou encerrar</v>
      </c>
    </row>
    <row r="1050" customFormat="false" ht="15" hidden="false" customHeight="false" outlineLevel="0" collapsed="false">
      <c r="A1050" s="10" t="s">
        <v>1294</v>
      </c>
      <c r="B1050" s="10" t="s">
        <v>68</v>
      </c>
      <c r="C1050" s="10" t="s">
        <v>65</v>
      </c>
      <c r="D1050" s="10" t="s">
        <v>160</v>
      </c>
      <c r="E1050" s="10" t="s">
        <v>47</v>
      </c>
      <c r="F1050" s="10"/>
      <c r="G1050" s="10" t="s">
        <v>162</v>
      </c>
      <c r="H1050" s="30" t="n">
        <v>42862</v>
      </c>
      <c r="I1050" s="8" t="n">
        <f aca="false">INDEX(Parâmetros!$C$13:$C$19,MATCH(E1050,Parâmetros!$A$13:$A$19,0))</f>
        <v>5482</v>
      </c>
      <c r="J1050" s="26" t="n">
        <f aca="false">IF(H1050="","",Parâmetros!$B$5-H1050)</f>
        <v>238</v>
      </c>
      <c r="K1050" s="10" t="n">
        <f aca="false">INDEX(Parâmetros!$D$13:$D$19,MATCH(E1050,Parâmetros!$A$13:$A$19,0))</f>
        <v>45</v>
      </c>
      <c r="L1050" s="10" t="n">
        <f aca="false">IF(G1050="Prospecting",Parâmetros!$B$9,IF(J1050&gt;Parâmetros!$B$6,0,INDEX(Parâmetros!$C$24:$C$26,MATCH(J1050,Parâmetros!$A$24:$A$26,1))))</f>
        <v>0</v>
      </c>
      <c r="M1050" s="31" t="n">
        <f aca="false">IF(G1050="Prospecting",1,INDEX(Parâmetros!$C$32:$C$35,MATCH(J1050,Parâmetros!$A$32:$A$35,1)))</f>
        <v>0.4</v>
      </c>
      <c r="N1050" s="2" t="n">
        <f aca="false">ROUND((K1050+L1050)*M1050,0)</f>
        <v>18</v>
      </c>
      <c r="O1050" s="10" t="str">
        <f aca="false">IF(AND(G1050="Engaging",J1050&gt;Parâmetros!$B$6),"Sim","Não")</f>
        <v>Sim</v>
      </c>
      <c r="P1050" s="32" t="str">
        <f aca="false">IF(O1050="Sim","R",IF(N1050&gt;=Parâmetros!$B$39,"A",IF(N1050&gt;=Parâmetros!$B$40,"B",IF(N1050&gt;=Parâmetros!$B$41,"C","D"))))</f>
        <v>R</v>
      </c>
      <c r="Q1050" s="10" t="str">
        <f aca="false">IF(F1050="","Completar cadastro","")</f>
        <v>Completar cadastro</v>
      </c>
      <c r="R1050" s="10" t="str">
        <f aca="false">INDEX(Parâmetros!$D$39:$D$43,MATCH(P1050,Parâmetros!$A$39:$A$43,0))</f>
        <v>Reciclar: requalificar, reengajar ou encerrar</v>
      </c>
    </row>
    <row r="1051" customFormat="false" ht="15" hidden="false" customHeight="false" outlineLevel="0" collapsed="false">
      <c r="A1051" s="10" t="s">
        <v>1295</v>
      </c>
      <c r="B1051" s="10" t="s">
        <v>96</v>
      </c>
      <c r="C1051" s="10" t="s">
        <v>92</v>
      </c>
      <c r="D1051" s="10" t="s">
        <v>160</v>
      </c>
      <c r="E1051" s="10" t="s">
        <v>47</v>
      </c>
      <c r="F1051" s="10" t="s">
        <v>227</v>
      </c>
      <c r="G1051" s="10" t="s">
        <v>162</v>
      </c>
      <c r="H1051" s="30" t="n">
        <v>42866</v>
      </c>
      <c r="I1051" s="8" t="n">
        <f aca="false">INDEX(Parâmetros!$C$13:$C$19,MATCH(E1051,Parâmetros!$A$13:$A$19,0))</f>
        <v>5482</v>
      </c>
      <c r="J1051" s="26" t="n">
        <f aca="false">IF(H1051="","",Parâmetros!$B$5-H1051)</f>
        <v>234</v>
      </c>
      <c r="K1051" s="10" t="n">
        <f aca="false">INDEX(Parâmetros!$D$13:$D$19,MATCH(E1051,Parâmetros!$A$13:$A$19,0))</f>
        <v>45</v>
      </c>
      <c r="L1051" s="10" t="n">
        <f aca="false">IF(G1051="Prospecting",Parâmetros!$B$9,IF(J1051&gt;Parâmetros!$B$6,0,INDEX(Parâmetros!$C$24:$C$26,MATCH(J1051,Parâmetros!$A$24:$A$26,1))))</f>
        <v>0</v>
      </c>
      <c r="M1051" s="31" t="n">
        <f aca="false">IF(G1051="Prospecting",1,INDEX(Parâmetros!$C$32:$C$35,MATCH(J1051,Parâmetros!$A$32:$A$35,1)))</f>
        <v>0.4</v>
      </c>
      <c r="N1051" s="2" t="n">
        <f aca="false">ROUND((K1051+L1051)*M1051,0)</f>
        <v>18</v>
      </c>
      <c r="O1051" s="10" t="str">
        <f aca="false">IF(AND(G1051="Engaging",J1051&gt;Parâmetros!$B$6),"Sim","Não")</f>
        <v>Sim</v>
      </c>
      <c r="P1051" s="32" t="str">
        <f aca="false">IF(O1051="Sim","R",IF(N1051&gt;=Parâmetros!$B$39,"A",IF(N1051&gt;=Parâmetros!$B$40,"B",IF(N1051&gt;=Parâmetros!$B$41,"C","D"))))</f>
        <v>R</v>
      </c>
      <c r="Q1051" s="10" t="str">
        <f aca="false">IF(F1051="","Completar cadastro","")</f>
        <v/>
      </c>
      <c r="R1051" s="10" t="str">
        <f aca="false">INDEX(Parâmetros!$D$39:$D$43,MATCH(P1051,Parâmetros!$A$39:$A$43,0))</f>
        <v>Reciclar: requalificar, reengajar ou encerrar</v>
      </c>
    </row>
    <row r="1052" customFormat="false" ht="15" hidden="false" customHeight="false" outlineLevel="0" collapsed="false">
      <c r="A1052" s="10" t="s">
        <v>1296</v>
      </c>
      <c r="B1052" s="10" t="s">
        <v>70</v>
      </c>
      <c r="C1052" s="10" t="s">
        <v>65</v>
      </c>
      <c r="D1052" s="10" t="s">
        <v>160</v>
      </c>
      <c r="E1052" s="10" t="s">
        <v>47</v>
      </c>
      <c r="F1052" s="10"/>
      <c r="G1052" s="10" t="s">
        <v>162</v>
      </c>
      <c r="H1052" s="30" t="n">
        <v>42866</v>
      </c>
      <c r="I1052" s="8" t="n">
        <f aca="false">INDEX(Parâmetros!$C$13:$C$19,MATCH(E1052,Parâmetros!$A$13:$A$19,0))</f>
        <v>5482</v>
      </c>
      <c r="J1052" s="26" t="n">
        <f aca="false">IF(H1052="","",Parâmetros!$B$5-H1052)</f>
        <v>234</v>
      </c>
      <c r="K1052" s="10" t="n">
        <f aca="false">INDEX(Parâmetros!$D$13:$D$19,MATCH(E1052,Parâmetros!$A$13:$A$19,0))</f>
        <v>45</v>
      </c>
      <c r="L1052" s="10" t="n">
        <f aca="false">IF(G1052="Prospecting",Parâmetros!$B$9,IF(J1052&gt;Parâmetros!$B$6,0,INDEX(Parâmetros!$C$24:$C$26,MATCH(J1052,Parâmetros!$A$24:$A$26,1))))</f>
        <v>0</v>
      </c>
      <c r="M1052" s="31" t="n">
        <f aca="false">IF(G1052="Prospecting",1,INDEX(Parâmetros!$C$32:$C$35,MATCH(J1052,Parâmetros!$A$32:$A$35,1)))</f>
        <v>0.4</v>
      </c>
      <c r="N1052" s="2" t="n">
        <f aca="false">ROUND((K1052+L1052)*M1052,0)</f>
        <v>18</v>
      </c>
      <c r="O1052" s="10" t="str">
        <f aca="false">IF(AND(G1052="Engaging",J1052&gt;Parâmetros!$B$6),"Sim","Não")</f>
        <v>Sim</v>
      </c>
      <c r="P1052" s="32" t="str">
        <f aca="false">IF(O1052="Sim","R",IF(N1052&gt;=Parâmetros!$B$39,"A",IF(N1052&gt;=Parâmetros!$B$40,"B",IF(N1052&gt;=Parâmetros!$B$41,"C","D"))))</f>
        <v>R</v>
      </c>
      <c r="Q1052" s="10" t="str">
        <f aca="false">IF(F1052="","Completar cadastro","")</f>
        <v>Completar cadastro</v>
      </c>
      <c r="R1052" s="10" t="str">
        <f aca="false">INDEX(Parâmetros!$D$39:$D$43,MATCH(P1052,Parâmetros!$A$39:$A$43,0))</f>
        <v>Reciclar: requalificar, reengajar ou encerrar</v>
      </c>
    </row>
    <row r="1053" customFormat="false" ht="15" hidden="false" customHeight="false" outlineLevel="0" collapsed="false">
      <c r="A1053" s="10" t="s">
        <v>1297</v>
      </c>
      <c r="B1053" s="10" t="s">
        <v>93</v>
      </c>
      <c r="C1053" s="10" t="s">
        <v>92</v>
      </c>
      <c r="D1053" s="10" t="s">
        <v>160</v>
      </c>
      <c r="E1053" s="10" t="s">
        <v>47</v>
      </c>
      <c r="F1053" s="10" t="s">
        <v>637</v>
      </c>
      <c r="G1053" s="10" t="s">
        <v>162</v>
      </c>
      <c r="H1053" s="30" t="n">
        <v>42869</v>
      </c>
      <c r="I1053" s="8" t="n">
        <f aca="false">INDEX(Parâmetros!$C$13:$C$19,MATCH(E1053,Parâmetros!$A$13:$A$19,0))</f>
        <v>5482</v>
      </c>
      <c r="J1053" s="26" t="n">
        <f aca="false">IF(H1053="","",Parâmetros!$B$5-H1053)</f>
        <v>231</v>
      </c>
      <c r="K1053" s="10" t="n">
        <f aca="false">INDEX(Parâmetros!$D$13:$D$19,MATCH(E1053,Parâmetros!$A$13:$A$19,0))</f>
        <v>45</v>
      </c>
      <c r="L1053" s="10" t="n">
        <f aca="false">IF(G1053="Prospecting",Parâmetros!$B$9,IF(J1053&gt;Parâmetros!$B$6,0,INDEX(Parâmetros!$C$24:$C$26,MATCH(J1053,Parâmetros!$A$24:$A$26,1))))</f>
        <v>0</v>
      </c>
      <c r="M1053" s="31" t="n">
        <f aca="false">IF(G1053="Prospecting",1,INDEX(Parâmetros!$C$32:$C$35,MATCH(J1053,Parâmetros!$A$32:$A$35,1)))</f>
        <v>0.4</v>
      </c>
      <c r="N1053" s="2" t="n">
        <f aca="false">ROUND((K1053+L1053)*M1053,0)</f>
        <v>18</v>
      </c>
      <c r="O1053" s="10" t="str">
        <f aca="false">IF(AND(G1053="Engaging",J1053&gt;Parâmetros!$B$6),"Sim","Não")</f>
        <v>Sim</v>
      </c>
      <c r="P1053" s="32" t="str">
        <f aca="false">IF(O1053="Sim","R",IF(N1053&gt;=Parâmetros!$B$39,"A",IF(N1053&gt;=Parâmetros!$B$40,"B",IF(N1053&gt;=Parâmetros!$B$41,"C","D"))))</f>
        <v>R</v>
      </c>
      <c r="Q1053" s="10" t="str">
        <f aca="false">IF(F1053="","Completar cadastro","")</f>
        <v/>
      </c>
      <c r="R1053" s="10" t="str">
        <f aca="false">INDEX(Parâmetros!$D$39:$D$43,MATCH(P1053,Parâmetros!$A$39:$A$43,0))</f>
        <v>Reciclar: requalificar, reengajar ou encerrar</v>
      </c>
    </row>
    <row r="1054" customFormat="false" ht="15" hidden="false" customHeight="false" outlineLevel="0" collapsed="false">
      <c r="A1054" s="10" t="s">
        <v>1298</v>
      </c>
      <c r="B1054" s="10" t="s">
        <v>87</v>
      </c>
      <c r="C1054" s="10" t="s">
        <v>85</v>
      </c>
      <c r="D1054" s="10" t="s">
        <v>165</v>
      </c>
      <c r="E1054" s="10" t="s">
        <v>47</v>
      </c>
      <c r="F1054" s="10" t="s">
        <v>168</v>
      </c>
      <c r="G1054" s="10" t="s">
        <v>162</v>
      </c>
      <c r="H1054" s="30" t="n">
        <v>42870</v>
      </c>
      <c r="I1054" s="8" t="n">
        <f aca="false">INDEX(Parâmetros!$C$13:$C$19,MATCH(E1054,Parâmetros!$A$13:$A$19,0))</f>
        <v>5482</v>
      </c>
      <c r="J1054" s="26" t="n">
        <f aca="false">IF(H1054="","",Parâmetros!$B$5-H1054)</f>
        <v>230</v>
      </c>
      <c r="K1054" s="10" t="n">
        <f aca="false">INDEX(Parâmetros!$D$13:$D$19,MATCH(E1054,Parâmetros!$A$13:$A$19,0))</f>
        <v>45</v>
      </c>
      <c r="L1054" s="10" t="n">
        <f aca="false">IF(G1054="Prospecting",Parâmetros!$B$9,IF(J1054&gt;Parâmetros!$B$6,0,INDEX(Parâmetros!$C$24:$C$26,MATCH(J1054,Parâmetros!$A$24:$A$26,1))))</f>
        <v>0</v>
      </c>
      <c r="M1054" s="31" t="n">
        <f aca="false">IF(G1054="Prospecting",1,INDEX(Parâmetros!$C$32:$C$35,MATCH(J1054,Parâmetros!$A$32:$A$35,1)))</f>
        <v>0.4</v>
      </c>
      <c r="N1054" s="2" t="n">
        <f aca="false">ROUND((K1054+L1054)*M1054,0)</f>
        <v>18</v>
      </c>
      <c r="O1054" s="10" t="str">
        <f aca="false">IF(AND(G1054="Engaging",J1054&gt;Parâmetros!$B$6),"Sim","Não")</f>
        <v>Sim</v>
      </c>
      <c r="P1054" s="32" t="str">
        <f aca="false">IF(O1054="Sim","R",IF(N1054&gt;=Parâmetros!$B$39,"A",IF(N1054&gt;=Parâmetros!$B$40,"B",IF(N1054&gt;=Parâmetros!$B$41,"C","D"))))</f>
        <v>R</v>
      </c>
      <c r="Q1054" s="10" t="str">
        <f aca="false">IF(F1054="","Completar cadastro","")</f>
        <v/>
      </c>
      <c r="R1054" s="10" t="str">
        <f aca="false">INDEX(Parâmetros!$D$39:$D$43,MATCH(P1054,Parâmetros!$A$39:$A$43,0))</f>
        <v>Reciclar: requalificar, reengajar ou encerrar</v>
      </c>
    </row>
    <row r="1055" customFormat="false" ht="15" hidden="false" customHeight="false" outlineLevel="0" collapsed="false">
      <c r="A1055" s="10" t="s">
        <v>1299</v>
      </c>
      <c r="B1055" s="10" t="s">
        <v>66</v>
      </c>
      <c r="C1055" s="10" t="s">
        <v>65</v>
      </c>
      <c r="D1055" s="10" t="s">
        <v>160</v>
      </c>
      <c r="E1055" s="10" t="s">
        <v>47</v>
      </c>
      <c r="F1055" s="10"/>
      <c r="G1055" s="10" t="s">
        <v>162</v>
      </c>
      <c r="H1055" s="30" t="n">
        <v>42872</v>
      </c>
      <c r="I1055" s="8" t="n">
        <f aca="false">INDEX(Parâmetros!$C$13:$C$19,MATCH(E1055,Parâmetros!$A$13:$A$19,0))</f>
        <v>5482</v>
      </c>
      <c r="J1055" s="26" t="n">
        <f aca="false">IF(H1055="","",Parâmetros!$B$5-H1055)</f>
        <v>228</v>
      </c>
      <c r="K1055" s="10" t="n">
        <f aca="false">INDEX(Parâmetros!$D$13:$D$19,MATCH(E1055,Parâmetros!$A$13:$A$19,0))</f>
        <v>45</v>
      </c>
      <c r="L1055" s="10" t="n">
        <f aca="false">IF(G1055="Prospecting",Parâmetros!$B$9,IF(J1055&gt;Parâmetros!$B$6,0,INDEX(Parâmetros!$C$24:$C$26,MATCH(J1055,Parâmetros!$A$24:$A$26,1))))</f>
        <v>0</v>
      </c>
      <c r="M1055" s="31" t="n">
        <f aca="false">IF(G1055="Prospecting",1,INDEX(Parâmetros!$C$32:$C$35,MATCH(J1055,Parâmetros!$A$32:$A$35,1)))</f>
        <v>0.4</v>
      </c>
      <c r="N1055" s="2" t="n">
        <f aca="false">ROUND((K1055+L1055)*M1055,0)</f>
        <v>18</v>
      </c>
      <c r="O1055" s="10" t="str">
        <f aca="false">IF(AND(G1055="Engaging",J1055&gt;Parâmetros!$B$6),"Sim","Não")</f>
        <v>Sim</v>
      </c>
      <c r="P1055" s="32" t="str">
        <f aca="false">IF(O1055="Sim","R",IF(N1055&gt;=Parâmetros!$B$39,"A",IF(N1055&gt;=Parâmetros!$B$40,"B",IF(N1055&gt;=Parâmetros!$B$41,"C","D"))))</f>
        <v>R</v>
      </c>
      <c r="Q1055" s="10" t="str">
        <f aca="false">IF(F1055="","Completar cadastro","")</f>
        <v>Completar cadastro</v>
      </c>
      <c r="R1055" s="10" t="str">
        <f aca="false">INDEX(Parâmetros!$D$39:$D$43,MATCH(P1055,Parâmetros!$A$39:$A$43,0))</f>
        <v>Reciclar: requalificar, reengajar ou encerrar</v>
      </c>
    </row>
    <row r="1056" customFormat="false" ht="15" hidden="false" customHeight="false" outlineLevel="0" collapsed="false">
      <c r="A1056" s="10" t="s">
        <v>1300</v>
      </c>
      <c r="B1056" s="10" t="s">
        <v>67</v>
      </c>
      <c r="C1056" s="10" t="s">
        <v>65</v>
      </c>
      <c r="D1056" s="10" t="s">
        <v>160</v>
      </c>
      <c r="E1056" s="10" t="s">
        <v>47</v>
      </c>
      <c r="F1056" s="10" t="s">
        <v>660</v>
      </c>
      <c r="G1056" s="10" t="s">
        <v>162</v>
      </c>
      <c r="H1056" s="30" t="n">
        <v>42873</v>
      </c>
      <c r="I1056" s="8" t="n">
        <f aca="false">INDEX(Parâmetros!$C$13:$C$19,MATCH(E1056,Parâmetros!$A$13:$A$19,0))</f>
        <v>5482</v>
      </c>
      <c r="J1056" s="26" t="n">
        <f aca="false">IF(H1056="","",Parâmetros!$B$5-H1056)</f>
        <v>227</v>
      </c>
      <c r="K1056" s="10" t="n">
        <f aca="false">INDEX(Parâmetros!$D$13:$D$19,MATCH(E1056,Parâmetros!$A$13:$A$19,0))</f>
        <v>45</v>
      </c>
      <c r="L1056" s="10" t="n">
        <f aca="false">IF(G1056="Prospecting",Parâmetros!$B$9,IF(J1056&gt;Parâmetros!$B$6,0,INDEX(Parâmetros!$C$24:$C$26,MATCH(J1056,Parâmetros!$A$24:$A$26,1))))</f>
        <v>0</v>
      </c>
      <c r="M1056" s="31" t="n">
        <f aca="false">IF(G1056="Prospecting",1,INDEX(Parâmetros!$C$32:$C$35,MATCH(J1056,Parâmetros!$A$32:$A$35,1)))</f>
        <v>0.4</v>
      </c>
      <c r="N1056" s="2" t="n">
        <f aca="false">ROUND((K1056+L1056)*M1056,0)</f>
        <v>18</v>
      </c>
      <c r="O1056" s="10" t="str">
        <f aca="false">IF(AND(G1056="Engaging",J1056&gt;Parâmetros!$B$6),"Sim","Não")</f>
        <v>Sim</v>
      </c>
      <c r="P1056" s="32" t="str">
        <f aca="false">IF(O1056="Sim","R",IF(N1056&gt;=Parâmetros!$B$39,"A",IF(N1056&gt;=Parâmetros!$B$40,"B",IF(N1056&gt;=Parâmetros!$B$41,"C","D"))))</f>
        <v>R</v>
      </c>
      <c r="Q1056" s="10" t="str">
        <f aca="false">IF(F1056="","Completar cadastro","")</f>
        <v/>
      </c>
      <c r="R1056" s="10" t="str">
        <f aca="false">INDEX(Parâmetros!$D$39:$D$43,MATCH(P1056,Parâmetros!$A$39:$A$43,0))</f>
        <v>Reciclar: requalificar, reengajar ou encerrar</v>
      </c>
    </row>
    <row r="1057" customFormat="false" ht="15" hidden="false" customHeight="false" outlineLevel="0" collapsed="false">
      <c r="A1057" s="10" t="s">
        <v>1301</v>
      </c>
      <c r="B1057" s="10" t="s">
        <v>93</v>
      </c>
      <c r="C1057" s="10" t="s">
        <v>92</v>
      </c>
      <c r="D1057" s="10" t="s">
        <v>160</v>
      </c>
      <c r="E1057" s="10" t="s">
        <v>47</v>
      </c>
      <c r="F1057" s="10" t="s">
        <v>359</v>
      </c>
      <c r="G1057" s="10" t="s">
        <v>162</v>
      </c>
      <c r="H1057" s="30" t="n">
        <v>42873</v>
      </c>
      <c r="I1057" s="8" t="n">
        <f aca="false">INDEX(Parâmetros!$C$13:$C$19,MATCH(E1057,Parâmetros!$A$13:$A$19,0))</f>
        <v>5482</v>
      </c>
      <c r="J1057" s="26" t="n">
        <f aca="false">IF(H1057="","",Parâmetros!$B$5-H1057)</f>
        <v>227</v>
      </c>
      <c r="K1057" s="10" t="n">
        <f aca="false">INDEX(Parâmetros!$D$13:$D$19,MATCH(E1057,Parâmetros!$A$13:$A$19,0))</f>
        <v>45</v>
      </c>
      <c r="L1057" s="10" t="n">
        <f aca="false">IF(G1057="Prospecting",Parâmetros!$B$9,IF(J1057&gt;Parâmetros!$B$6,0,INDEX(Parâmetros!$C$24:$C$26,MATCH(J1057,Parâmetros!$A$24:$A$26,1))))</f>
        <v>0</v>
      </c>
      <c r="M1057" s="31" t="n">
        <f aca="false">IF(G1057="Prospecting",1,INDEX(Parâmetros!$C$32:$C$35,MATCH(J1057,Parâmetros!$A$32:$A$35,1)))</f>
        <v>0.4</v>
      </c>
      <c r="N1057" s="2" t="n">
        <f aca="false">ROUND((K1057+L1057)*M1057,0)</f>
        <v>18</v>
      </c>
      <c r="O1057" s="10" t="str">
        <f aca="false">IF(AND(G1057="Engaging",J1057&gt;Parâmetros!$B$6),"Sim","Não")</f>
        <v>Sim</v>
      </c>
      <c r="P1057" s="32" t="str">
        <f aca="false">IF(O1057="Sim","R",IF(N1057&gt;=Parâmetros!$B$39,"A",IF(N1057&gt;=Parâmetros!$B$40,"B",IF(N1057&gt;=Parâmetros!$B$41,"C","D"))))</f>
        <v>R</v>
      </c>
      <c r="Q1057" s="10" t="str">
        <f aca="false">IF(F1057="","Completar cadastro","")</f>
        <v/>
      </c>
      <c r="R1057" s="10" t="str">
        <f aca="false">INDEX(Parâmetros!$D$39:$D$43,MATCH(P1057,Parâmetros!$A$39:$A$43,0))</f>
        <v>Reciclar: requalificar, reengajar ou encerrar</v>
      </c>
    </row>
    <row r="1058" customFormat="false" ht="15" hidden="false" customHeight="false" outlineLevel="0" collapsed="false">
      <c r="A1058" s="10" t="s">
        <v>1302</v>
      </c>
      <c r="B1058" s="10" t="s">
        <v>93</v>
      </c>
      <c r="C1058" s="10" t="s">
        <v>92</v>
      </c>
      <c r="D1058" s="10" t="s">
        <v>160</v>
      </c>
      <c r="E1058" s="10" t="s">
        <v>47</v>
      </c>
      <c r="F1058" s="10"/>
      <c r="G1058" s="10" t="s">
        <v>162</v>
      </c>
      <c r="H1058" s="30" t="n">
        <v>42873</v>
      </c>
      <c r="I1058" s="8" t="n">
        <f aca="false">INDEX(Parâmetros!$C$13:$C$19,MATCH(E1058,Parâmetros!$A$13:$A$19,0))</f>
        <v>5482</v>
      </c>
      <c r="J1058" s="26" t="n">
        <f aca="false">IF(H1058="","",Parâmetros!$B$5-H1058)</f>
        <v>227</v>
      </c>
      <c r="K1058" s="10" t="n">
        <f aca="false">INDEX(Parâmetros!$D$13:$D$19,MATCH(E1058,Parâmetros!$A$13:$A$19,0))</f>
        <v>45</v>
      </c>
      <c r="L1058" s="10" t="n">
        <f aca="false">IF(G1058="Prospecting",Parâmetros!$B$9,IF(J1058&gt;Parâmetros!$B$6,0,INDEX(Parâmetros!$C$24:$C$26,MATCH(J1058,Parâmetros!$A$24:$A$26,1))))</f>
        <v>0</v>
      </c>
      <c r="M1058" s="31" t="n">
        <f aca="false">IF(G1058="Prospecting",1,INDEX(Parâmetros!$C$32:$C$35,MATCH(J1058,Parâmetros!$A$32:$A$35,1)))</f>
        <v>0.4</v>
      </c>
      <c r="N1058" s="2" t="n">
        <f aca="false">ROUND((K1058+L1058)*M1058,0)</f>
        <v>18</v>
      </c>
      <c r="O1058" s="10" t="str">
        <f aca="false">IF(AND(G1058="Engaging",J1058&gt;Parâmetros!$B$6),"Sim","Não")</f>
        <v>Sim</v>
      </c>
      <c r="P1058" s="32" t="str">
        <f aca="false">IF(O1058="Sim","R",IF(N1058&gt;=Parâmetros!$B$39,"A",IF(N1058&gt;=Parâmetros!$B$40,"B",IF(N1058&gt;=Parâmetros!$B$41,"C","D"))))</f>
        <v>R</v>
      </c>
      <c r="Q1058" s="10" t="str">
        <f aca="false">IF(F1058="","Completar cadastro","")</f>
        <v>Completar cadastro</v>
      </c>
      <c r="R1058" s="10" t="str">
        <f aca="false">INDEX(Parâmetros!$D$39:$D$43,MATCH(P1058,Parâmetros!$A$39:$A$43,0))</f>
        <v>Reciclar: requalificar, reengajar ou encerrar</v>
      </c>
    </row>
    <row r="1059" customFormat="false" ht="15" hidden="false" customHeight="false" outlineLevel="0" collapsed="false">
      <c r="A1059" s="10" t="s">
        <v>1303</v>
      </c>
      <c r="B1059" s="10" t="s">
        <v>84</v>
      </c>
      <c r="C1059" s="10" t="s">
        <v>85</v>
      </c>
      <c r="D1059" s="10" t="s">
        <v>165</v>
      </c>
      <c r="E1059" s="10" t="s">
        <v>47</v>
      </c>
      <c r="F1059" s="10"/>
      <c r="G1059" s="10" t="s">
        <v>162</v>
      </c>
      <c r="H1059" s="30" t="n">
        <v>42875</v>
      </c>
      <c r="I1059" s="8" t="n">
        <f aca="false">INDEX(Parâmetros!$C$13:$C$19,MATCH(E1059,Parâmetros!$A$13:$A$19,0))</f>
        <v>5482</v>
      </c>
      <c r="J1059" s="26" t="n">
        <f aca="false">IF(H1059="","",Parâmetros!$B$5-H1059)</f>
        <v>225</v>
      </c>
      <c r="K1059" s="10" t="n">
        <f aca="false">INDEX(Parâmetros!$D$13:$D$19,MATCH(E1059,Parâmetros!$A$13:$A$19,0))</f>
        <v>45</v>
      </c>
      <c r="L1059" s="10" t="n">
        <f aca="false">IF(G1059="Prospecting",Parâmetros!$B$9,IF(J1059&gt;Parâmetros!$B$6,0,INDEX(Parâmetros!$C$24:$C$26,MATCH(J1059,Parâmetros!$A$24:$A$26,1))))</f>
        <v>0</v>
      </c>
      <c r="M1059" s="31" t="n">
        <f aca="false">IF(G1059="Prospecting",1,INDEX(Parâmetros!$C$32:$C$35,MATCH(J1059,Parâmetros!$A$32:$A$35,1)))</f>
        <v>0.4</v>
      </c>
      <c r="N1059" s="2" t="n">
        <f aca="false">ROUND((K1059+L1059)*M1059,0)</f>
        <v>18</v>
      </c>
      <c r="O1059" s="10" t="str">
        <f aca="false">IF(AND(G1059="Engaging",J1059&gt;Parâmetros!$B$6),"Sim","Não")</f>
        <v>Sim</v>
      </c>
      <c r="P1059" s="32" t="str">
        <f aca="false">IF(O1059="Sim","R",IF(N1059&gt;=Parâmetros!$B$39,"A",IF(N1059&gt;=Parâmetros!$B$40,"B",IF(N1059&gt;=Parâmetros!$B$41,"C","D"))))</f>
        <v>R</v>
      </c>
      <c r="Q1059" s="10" t="str">
        <f aca="false">IF(F1059="","Completar cadastro","")</f>
        <v>Completar cadastro</v>
      </c>
      <c r="R1059" s="10" t="str">
        <f aca="false">INDEX(Parâmetros!$D$39:$D$43,MATCH(P1059,Parâmetros!$A$39:$A$43,0))</f>
        <v>Reciclar: requalificar, reengajar ou encerrar</v>
      </c>
    </row>
    <row r="1060" customFormat="false" ht="15" hidden="false" customHeight="false" outlineLevel="0" collapsed="false">
      <c r="A1060" s="10" t="s">
        <v>1304</v>
      </c>
      <c r="B1060" s="10" t="s">
        <v>95</v>
      </c>
      <c r="C1060" s="10" t="s">
        <v>92</v>
      </c>
      <c r="D1060" s="10" t="s">
        <v>160</v>
      </c>
      <c r="E1060" s="10" t="s">
        <v>47</v>
      </c>
      <c r="F1060" s="10"/>
      <c r="G1060" s="10" t="s">
        <v>162</v>
      </c>
      <c r="H1060" s="30" t="n">
        <v>42876</v>
      </c>
      <c r="I1060" s="8" t="n">
        <f aca="false">INDEX(Parâmetros!$C$13:$C$19,MATCH(E1060,Parâmetros!$A$13:$A$19,0))</f>
        <v>5482</v>
      </c>
      <c r="J1060" s="26" t="n">
        <f aca="false">IF(H1060="","",Parâmetros!$B$5-H1060)</f>
        <v>224</v>
      </c>
      <c r="K1060" s="10" t="n">
        <f aca="false">INDEX(Parâmetros!$D$13:$D$19,MATCH(E1060,Parâmetros!$A$13:$A$19,0))</f>
        <v>45</v>
      </c>
      <c r="L1060" s="10" t="n">
        <f aca="false">IF(G1060="Prospecting",Parâmetros!$B$9,IF(J1060&gt;Parâmetros!$B$6,0,INDEX(Parâmetros!$C$24:$C$26,MATCH(J1060,Parâmetros!$A$24:$A$26,1))))</f>
        <v>0</v>
      </c>
      <c r="M1060" s="31" t="n">
        <f aca="false">IF(G1060="Prospecting",1,INDEX(Parâmetros!$C$32:$C$35,MATCH(J1060,Parâmetros!$A$32:$A$35,1)))</f>
        <v>0.4</v>
      </c>
      <c r="N1060" s="2" t="n">
        <f aca="false">ROUND((K1060+L1060)*M1060,0)</f>
        <v>18</v>
      </c>
      <c r="O1060" s="10" t="str">
        <f aca="false">IF(AND(G1060="Engaging",J1060&gt;Parâmetros!$B$6),"Sim","Não")</f>
        <v>Sim</v>
      </c>
      <c r="P1060" s="32" t="str">
        <f aca="false">IF(O1060="Sim","R",IF(N1060&gt;=Parâmetros!$B$39,"A",IF(N1060&gt;=Parâmetros!$B$40,"B",IF(N1060&gt;=Parâmetros!$B$41,"C","D"))))</f>
        <v>R</v>
      </c>
      <c r="Q1060" s="10" t="str">
        <f aca="false">IF(F1060="","Completar cadastro","")</f>
        <v>Completar cadastro</v>
      </c>
      <c r="R1060" s="10" t="str">
        <f aca="false">INDEX(Parâmetros!$D$39:$D$43,MATCH(P1060,Parâmetros!$A$39:$A$43,0))</f>
        <v>Reciclar: requalificar, reengajar ou encerrar</v>
      </c>
    </row>
    <row r="1061" customFormat="false" ht="15" hidden="false" customHeight="false" outlineLevel="0" collapsed="false">
      <c r="A1061" s="10" t="s">
        <v>1305</v>
      </c>
      <c r="B1061" s="10" t="s">
        <v>68</v>
      </c>
      <c r="C1061" s="10" t="s">
        <v>65</v>
      </c>
      <c r="D1061" s="10" t="s">
        <v>160</v>
      </c>
      <c r="E1061" s="10" t="s">
        <v>47</v>
      </c>
      <c r="F1061" s="10"/>
      <c r="G1061" s="10" t="s">
        <v>162</v>
      </c>
      <c r="H1061" s="30" t="n">
        <v>42877</v>
      </c>
      <c r="I1061" s="8" t="n">
        <f aca="false">INDEX(Parâmetros!$C$13:$C$19,MATCH(E1061,Parâmetros!$A$13:$A$19,0))</f>
        <v>5482</v>
      </c>
      <c r="J1061" s="26" t="n">
        <f aca="false">IF(H1061="","",Parâmetros!$B$5-H1061)</f>
        <v>223</v>
      </c>
      <c r="K1061" s="10" t="n">
        <f aca="false">INDEX(Parâmetros!$D$13:$D$19,MATCH(E1061,Parâmetros!$A$13:$A$19,0))</f>
        <v>45</v>
      </c>
      <c r="L1061" s="10" t="n">
        <f aca="false">IF(G1061="Prospecting",Parâmetros!$B$9,IF(J1061&gt;Parâmetros!$B$6,0,INDEX(Parâmetros!$C$24:$C$26,MATCH(J1061,Parâmetros!$A$24:$A$26,1))))</f>
        <v>0</v>
      </c>
      <c r="M1061" s="31" t="n">
        <f aca="false">IF(G1061="Prospecting",1,INDEX(Parâmetros!$C$32:$C$35,MATCH(J1061,Parâmetros!$A$32:$A$35,1)))</f>
        <v>0.4</v>
      </c>
      <c r="N1061" s="2" t="n">
        <f aca="false">ROUND((K1061+L1061)*M1061,0)</f>
        <v>18</v>
      </c>
      <c r="O1061" s="10" t="str">
        <f aca="false">IF(AND(G1061="Engaging",J1061&gt;Parâmetros!$B$6),"Sim","Não")</f>
        <v>Sim</v>
      </c>
      <c r="P1061" s="32" t="str">
        <f aca="false">IF(O1061="Sim","R",IF(N1061&gt;=Parâmetros!$B$39,"A",IF(N1061&gt;=Parâmetros!$B$40,"B",IF(N1061&gt;=Parâmetros!$B$41,"C","D"))))</f>
        <v>R</v>
      </c>
      <c r="Q1061" s="10" t="str">
        <f aca="false">IF(F1061="","Completar cadastro","")</f>
        <v>Completar cadastro</v>
      </c>
      <c r="R1061" s="10" t="str">
        <f aca="false">INDEX(Parâmetros!$D$39:$D$43,MATCH(P1061,Parâmetros!$A$39:$A$43,0))</f>
        <v>Reciclar: requalificar, reengajar ou encerrar</v>
      </c>
    </row>
    <row r="1062" customFormat="false" ht="15" hidden="false" customHeight="false" outlineLevel="0" collapsed="false">
      <c r="A1062" s="10" t="s">
        <v>1306</v>
      </c>
      <c r="B1062" s="10" t="s">
        <v>84</v>
      </c>
      <c r="C1062" s="10" t="s">
        <v>85</v>
      </c>
      <c r="D1062" s="10" t="s">
        <v>165</v>
      </c>
      <c r="E1062" s="10" t="s">
        <v>47</v>
      </c>
      <c r="F1062" s="10"/>
      <c r="G1062" s="10" t="s">
        <v>162</v>
      </c>
      <c r="H1062" s="30" t="n">
        <v>42878</v>
      </c>
      <c r="I1062" s="8" t="n">
        <f aca="false">INDEX(Parâmetros!$C$13:$C$19,MATCH(E1062,Parâmetros!$A$13:$A$19,0))</f>
        <v>5482</v>
      </c>
      <c r="J1062" s="26" t="n">
        <f aca="false">IF(H1062="","",Parâmetros!$B$5-H1062)</f>
        <v>222</v>
      </c>
      <c r="K1062" s="10" t="n">
        <f aca="false">INDEX(Parâmetros!$D$13:$D$19,MATCH(E1062,Parâmetros!$A$13:$A$19,0))</f>
        <v>45</v>
      </c>
      <c r="L1062" s="10" t="n">
        <f aca="false">IF(G1062="Prospecting",Parâmetros!$B$9,IF(J1062&gt;Parâmetros!$B$6,0,INDEX(Parâmetros!$C$24:$C$26,MATCH(J1062,Parâmetros!$A$24:$A$26,1))))</f>
        <v>0</v>
      </c>
      <c r="M1062" s="31" t="n">
        <f aca="false">IF(G1062="Prospecting",1,INDEX(Parâmetros!$C$32:$C$35,MATCH(J1062,Parâmetros!$A$32:$A$35,1)))</f>
        <v>0.4</v>
      </c>
      <c r="N1062" s="2" t="n">
        <f aca="false">ROUND((K1062+L1062)*M1062,0)</f>
        <v>18</v>
      </c>
      <c r="O1062" s="10" t="str">
        <f aca="false">IF(AND(G1062="Engaging",J1062&gt;Parâmetros!$B$6),"Sim","Não")</f>
        <v>Sim</v>
      </c>
      <c r="P1062" s="32" t="str">
        <f aca="false">IF(O1062="Sim","R",IF(N1062&gt;=Parâmetros!$B$39,"A",IF(N1062&gt;=Parâmetros!$B$40,"B",IF(N1062&gt;=Parâmetros!$B$41,"C","D"))))</f>
        <v>R</v>
      </c>
      <c r="Q1062" s="10" t="str">
        <f aca="false">IF(F1062="","Completar cadastro","")</f>
        <v>Completar cadastro</v>
      </c>
      <c r="R1062" s="10" t="str">
        <f aca="false">INDEX(Parâmetros!$D$39:$D$43,MATCH(P1062,Parâmetros!$A$39:$A$43,0))</f>
        <v>Reciclar: requalificar, reengajar ou encerrar</v>
      </c>
    </row>
    <row r="1063" customFormat="false" ht="15" hidden="false" customHeight="false" outlineLevel="0" collapsed="false">
      <c r="A1063" s="10" t="s">
        <v>1307</v>
      </c>
      <c r="B1063" s="10" t="s">
        <v>93</v>
      </c>
      <c r="C1063" s="10" t="s">
        <v>92</v>
      </c>
      <c r="D1063" s="10" t="s">
        <v>160</v>
      </c>
      <c r="E1063" s="10" t="s">
        <v>47</v>
      </c>
      <c r="F1063" s="10"/>
      <c r="G1063" s="10" t="s">
        <v>162</v>
      </c>
      <c r="H1063" s="30" t="n">
        <v>42879</v>
      </c>
      <c r="I1063" s="8" t="n">
        <f aca="false">INDEX(Parâmetros!$C$13:$C$19,MATCH(E1063,Parâmetros!$A$13:$A$19,0))</f>
        <v>5482</v>
      </c>
      <c r="J1063" s="26" t="n">
        <f aca="false">IF(H1063="","",Parâmetros!$B$5-H1063)</f>
        <v>221</v>
      </c>
      <c r="K1063" s="10" t="n">
        <f aca="false">INDEX(Parâmetros!$D$13:$D$19,MATCH(E1063,Parâmetros!$A$13:$A$19,0))</f>
        <v>45</v>
      </c>
      <c r="L1063" s="10" t="n">
        <f aca="false">IF(G1063="Prospecting",Parâmetros!$B$9,IF(J1063&gt;Parâmetros!$B$6,0,INDEX(Parâmetros!$C$24:$C$26,MATCH(J1063,Parâmetros!$A$24:$A$26,1))))</f>
        <v>0</v>
      </c>
      <c r="M1063" s="31" t="n">
        <f aca="false">IF(G1063="Prospecting",1,INDEX(Parâmetros!$C$32:$C$35,MATCH(J1063,Parâmetros!$A$32:$A$35,1)))</f>
        <v>0.4</v>
      </c>
      <c r="N1063" s="2" t="n">
        <f aca="false">ROUND((K1063+L1063)*M1063,0)</f>
        <v>18</v>
      </c>
      <c r="O1063" s="10" t="str">
        <f aca="false">IF(AND(G1063="Engaging",J1063&gt;Parâmetros!$B$6),"Sim","Não")</f>
        <v>Sim</v>
      </c>
      <c r="P1063" s="32" t="str">
        <f aca="false">IF(O1063="Sim","R",IF(N1063&gt;=Parâmetros!$B$39,"A",IF(N1063&gt;=Parâmetros!$B$40,"B",IF(N1063&gt;=Parâmetros!$B$41,"C","D"))))</f>
        <v>R</v>
      </c>
      <c r="Q1063" s="10" t="str">
        <f aca="false">IF(F1063="","Completar cadastro","")</f>
        <v>Completar cadastro</v>
      </c>
      <c r="R1063" s="10" t="str">
        <f aca="false">INDEX(Parâmetros!$D$39:$D$43,MATCH(P1063,Parâmetros!$A$39:$A$43,0))</f>
        <v>Reciclar: requalificar, reengajar ou encerrar</v>
      </c>
    </row>
    <row r="1064" customFormat="false" ht="15" hidden="false" customHeight="false" outlineLevel="0" collapsed="false">
      <c r="A1064" s="10" t="s">
        <v>1308</v>
      </c>
      <c r="B1064" s="10" t="s">
        <v>57</v>
      </c>
      <c r="C1064" s="10" t="s">
        <v>58</v>
      </c>
      <c r="D1064" s="10" t="s">
        <v>165</v>
      </c>
      <c r="E1064" s="10" t="s">
        <v>47</v>
      </c>
      <c r="F1064" s="10" t="s">
        <v>291</v>
      </c>
      <c r="G1064" s="10" t="s">
        <v>162</v>
      </c>
      <c r="H1064" s="30" t="n">
        <v>42880</v>
      </c>
      <c r="I1064" s="8" t="n">
        <f aca="false">INDEX(Parâmetros!$C$13:$C$19,MATCH(E1064,Parâmetros!$A$13:$A$19,0))</f>
        <v>5482</v>
      </c>
      <c r="J1064" s="26" t="n">
        <f aca="false">IF(H1064="","",Parâmetros!$B$5-H1064)</f>
        <v>220</v>
      </c>
      <c r="K1064" s="10" t="n">
        <f aca="false">INDEX(Parâmetros!$D$13:$D$19,MATCH(E1064,Parâmetros!$A$13:$A$19,0))</f>
        <v>45</v>
      </c>
      <c r="L1064" s="10" t="n">
        <f aca="false">IF(G1064="Prospecting",Parâmetros!$B$9,IF(J1064&gt;Parâmetros!$B$6,0,INDEX(Parâmetros!$C$24:$C$26,MATCH(J1064,Parâmetros!$A$24:$A$26,1))))</f>
        <v>0</v>
      </c>
      <c r="M1064" s="31" t="n">
        <f aca="false">IF(G1064="Prospecting",1,INDEX(Parâmetros!$C$32:$C$35,MATCH(J1064,Parâmetros!$A$32:$A$35,1)))</f>
        <v>0.4</v>
      </c>
      <c r="N1064" s="2" t="n">
        <f aca="false">ROUND((K1064+L1064)*M1064,0)</f>
        <v>18</v>
      </c>
      <c r="O1064" s="10" t="str">
        <f aca="false">IF(AND(G1064="Engaging",J1064&gt;Parâmetros!$B$6),"Sim","Não")</f>
        <v>Sim</v>
      </c>
      <c r="P1064" s="32" t="str">
        <f aca="false">IF(O1064="Sim","R",IF(N1064&gt;=Parâmetros!$B$39,"A",IF(N1064&gt;=Parâmetros!$B$40,"B",IF(N1064&gt;=Parâmetros!$B$41,"C","D"))))</f>
        <v>R</v>
      </c>
      <c r="Q1064" s="10" t="str">
        <f aca="false">IF(F1064="","Completar cadastro","")</f>
        <v/>
      </c>
      <c r="R1064" s="10" t="str">
        <f aca="false">INDEX(Parâmetros!$D$39:$D$43,MATCH(P1064,Parâmetros!$A$39:$A$43,0))</f>
        <v>Reciclar: requalificar, reengajar ou encerrar</v>
      </c>
    </row>
    <row r="1065" customFormat="false" ht="15" hidden="false" customHeight="false" outlineLevel="0" collapsed="false">
      <c r="A1065" s="10" t="s">
        <v>1309</v>
      </c>
      <c r="B1065" s="10" t="s">
        <v>70</v>
      </c>
      <c r="C1065" s="10" t="s">
        <v>65</v>
      </c>
      <c r="D1065" s="10" t="s">
        <v>160</v>
      </c>
      <c r="E1065" s="10" t="s">
        <v>47</v>
      </c>
      <c r="F1065" s="10" t="s">
        <v>606</v>
      </c>
      <c r="G1065" s="10" t="s">
        <v>162</v>
      </c>
      <c r="H1065" s="30" t="n">
        <v>42880</v>
      </c>
      <c r="I1065" s="8" t="n">
        <f aca="false">INDEX(Parâmetros!$C$13:$C$19,MATCH(E1065,Parâmetros!$A$13:$A$19,0))</f>
        <v>5482</v>
      </c>
      <c r="J1065" s="26" t="n">
        <f aca="false">IF(H1065="","",Parâmetros!$B$5-H1065)</f>
        <v>220</v>
      </c>
      <c r="K1065" s="10" t="n">
        <f aca="false">INDEX(Parâmetros!$D$13:$D$19,MATCH(E1065,Parâmetros!$A$13:$A$19,0))</f>
        <v>45</v>
      </c>
      <c r="L1065" s="10" t="n">
        <f aca="false">IF(G1065="Prospecting",Parâmetros!$B$9,IF(J1065&gt;Parâmetros!$B$6,0,INDEX(Parâmetros!$C$24:$C$26,MATCH(J1065,Parâmetros!$A$24:$A$26,1))))</f>
        <v>0</v>
      </c>
      <c r="M1065" s="31" t="n">
        <f aca="false">IF(G1065="Prospecting",1,INDEX(Parâmetros!$C$32:$C$35,MATCH(J1065,Parâmetros!$A$32:$A$35,1)))</f>
        <v>0.4</v>
      </c>
      <c r="N1065" s="2" t="n">
        <f aca="false">ROUND((K1065+L1065)*M1065,0)</f>
        <v>18</v>
      </c>
      <c r="O1065" s="10" t="str">
        <f aca="false">IF(AND(G1065="Engaging",J1065&gt;Parâmetros!$B$6),"Sim","Não")</f>
        <v>Sim</v>
      </c>
      <c r="P1065" s="32" t="str">
        <f aca="false">IF(O1065="Sim","R",IF(N1065&gt;=Parâmetros!$B$39,"A",IF(N1065&gt;=Parâmetros!$B$40,"B",IF(N1065&gt;=Parâmetros!$B$41,"C","D"))))</f>
        <v>R</v>
      </c>
      <c r="Q1065" s="10" t="str">
        <f aca="false">IF(F1065="","Completar cadastro","")</f>
        <v/>
      </c>
      <c r="R1065" s="10" t="str">
        <f aca="false">INDEX(Parâmetros!$D$39:$D$43,MATCH(P1065,Parâmetros!$A$39:$A$43,0))</f>
        <v>Reciclar: requalificar, reengajar ou encerrar</v>
      </c>
    </row>
    <row r="1066" customFormat="false" ht="15" hidden="false" customHeight="false" outlineLevel="0" collapsed="false">
      <c r="A1066" s="10" t="s">
        <v>1310</v>
      </c>
      <c r="B1066" s="10" t="s">
        <v>84</v>
      </c>
      <c r="C1066" s="10" t="s">
        <v>85</v>
      </c>
      <c r="D1066" s="10" t="s">
        <v>165</v>
      </c>
      <c r="E1066" s="10" t="s">
        <v>47</v>
      </c>
      <c r="F1066" s="10"/>
      <c r="G1066" s="10" t="s">
        <v>162</v>
      </c>
      <c r="H1066" s="30" t="n">
        <v>42883</v>
      </c>
      <c r="I1066" s="8" t="n">
        <f aca="false">INDEX(Parâmetros!$C$13:$C$19,MATCH(E1066,Parâmetros!$A$13:$A$19,0))</f>
        <v>5482</v>
      </c>
      <c r="J1066" s="26" t="n">
        <f aca="false">IF(H1066="","",Parâmetros!$B$5-H1066)</f>
        <v>217</v>
      </c>
      <c r="K1066" s="10" t="n">
        <f aca="false">INDEX(Parâmetros!$D$13:$D$19,MATCH(E1066,Parâmetros!$A$13:$A$19,0))</f>
        <v>45</v>
      </c>
      <c r="L1066" s="10" t="n">
        <f aca="false">IF(G1066="Prospecting",Parâmetros!$B$9,IF(J1066&gt;Parâmetros!$B$6,0,INDEX(Parâmetros!$C$24:$C$26,MATCH(J1066,Parâmetros!$A$24:$A$26,1))))</f>
        <v>0</v>
      </c>
      <c r="M1066" s="31" t="n">
        <f aca="false">IF(G1066="Prospecting",1,INDEX(Parâmetros!$C$32:$C$35,MATCH(J1066,Parâmetros!$A$32:$A$35,1)))</f>
        <v>0.4</v>
      </c>
      <c r="N1066" s="2" t="n">
        <f aca="false">ROUND((K1066+L1066)*M1066,0)</f>
        <v>18</v>
      </c>
      <c r="O1066" s="10" t="str">
        <f aca="false">IF(AND(G1066="Engaging",J1066&gt;Parâmetros!$B$6),"Sim","Não")</f>
        <v>Sim</v>
      </c>
      <c r="P1066" s="32" t="str">
        <f aca="false">IF(O1066="Sim","R",IF(N1066&gt;=Parâmetros!$B$39,"A",IF(N1066&gt;=Parâmetros!$B$40,"B",IF(N1066&gt;=Parâmetros!$B$41,"C","D"))))</f>
        <v>R</v>
      </c>
      <c r="Q1066" s="10" t="str">
        <f aca="false">IF(F1066="","Completar cadastro","")</f>
        <v>Completar cadastro</v>
      </c>
      <c r="R1066" s="10" t="str">
        <f aca="false">INDEX(Parâmetros!$D$39:$D$43,MATCH(P1066,Parâmetros!$A$39:$A$43,0))</f>
        <v>Reciclar: requalificar, reengajar ou encerrar</v>
      </c>
    </row>
    <row r="1067" customFormat="false" ht="15" hidden="false" customHeight="false" outlineLevel="0" collapsed="false">
      <c r="A1067" s="10" t="s">
        <v>1311</v>
      </c>
      <c r="B1067" s="10" t="s">
        <v>70</v>
      </c>
      <c r="C1067" s="10" t="s">
        <v>65</v>
      </c>
      <c r="D1067" s="10" t="s">
        <v>160</v>
      </c>
      <c r="E1067" s="10" t="s">
        <v>47</v>
      </c>
      <c r="F1067" s="10"/>
      <c r="G1067" s="10" t="s">
        <v>162</v>
      </c>
      <c r="H1067" s="30" t="n">
        <v>42893</v>
      </c>
      <c r="I1067" s="8" t="n">
        <f aca="false">INDEX(Parâmetros!$C$13:$C$19,MATCH(E1067,Parâmetros!$A$13:$A$19,0))</f>
        <v>5482</v>
      </c>
      <c r="J1067" s="26" t="n">
        <f aca="false">IF(H1067="","",Parâmetros!$B$5-H1067)</f>
        <v>207</v>
      </c>
      <c r="K1067" s="10" t="n">
        <f aca="false">INDEX(Parâmetros!$D$13:$D$19,MATCH(E1067,Parâmetros!$A$13:$A$19,0))</f>
        <v>45</v>
      </c>
      <c r="L1067" s="10" t="n">
        <f aca="false">IF(G1067="Prospecting",Parâmetros!$B$9,IF(J1067&gt;Parâmetros!$B$6,0,INDEX(Parâmetros!$C$24:$C$26,MATCH(J1067,Parâmetros!$A$24:$A$26,1))))</f>
        <v>0</v>
      </c>
      <c r="M1067" s="31" t="n">
        <f aca="false">IF(G1067="Prospecting",1,INDEX(Parâmetros!$C$32:$C$35,MATCH(J1067,Parâmetros!$A$32:$A$35,1)))</f>
        <v>0.4</v>
      </c>
      <c r="N1067" s="2" t="n">
        <f aca="false">ROUND((K1067+L1067)*M1067,0)</f>
        <v>18</v>
      </c>
      <c r="O1067" s="10" t="str">
        <f aca="false">IF(AND(G1067="Engaging",J1067&gt;Parâmetros!$B$6),"Sim","Não")</f>
        <v>Sim</v>
      </c>
      <c r="P1067" s="32" t="str">
        <f aca="false">IF(O1067="Sim","R",IF(N1067&gt;=Parâmetros!$B$39,"A",IF(N1067&gt;=Parâmetros!$B$40,"B",IF(N1067&gt;=Parâmetros!$B$41,"C","D"))))</f>
        <v>R</v>
      </c>
      <c r="Q1067" s="10" t="str">
        <f aca="false">IF(F1067="","Completar cadastro","")</f>
        <v>Completar cadastro</v>
      </c>
      <c r="R1067" s="10" t="str">
        <f aca="false">INDEX(Parâmetros!$D$39:$D$43,MATCH(P1067,Parâmetros!$A$39:$A$43,0))</f>
        <v>Reciclar: requalificar, reengajar ou encerrar</v>
      </c>
    </row>
    <row r="1068" customFormat="false" ht="15" hidden="false" customHeight="false" outlineLevel="0" collapsed="false">
      <c r="A1068" s="10" t="s">
        <v>1312</v>
      </c>
      <c r="B1068" s="10" t="s">
        <v>93</v>
      </c>
      <c r="C1068" s="10" t="s">
        <v>92</v>
      </c>
      <c r="D1068" s="10" t="s">
        <v>160</v>
      </c>
      <c r="E1068" s="10" t="s">
        <v>47</v>
      </c>
      <c r="F1068" s="10" t="s">
        <v>348</v>
      </c>
      <c r="G1068" s="10" t="s">
        <v>162</v>
      </c>
      <c r="H1068" s="30" t="n">
        <v>42894</v>
      </c>
      <c r="I1068" s="8" t="n">
        <f aca="false">INDEX(Parâmetros!$C$13:$C$19,MATCH(E1068,Parâmetros!$A$13:$A$19,0))</f>
        <v>5482</v>
      </c>
      <c r="J1068" s="26" t="n">
        <f aca="false">IF(H1068="","",Parâmetros!$B$5-H1068)</f>
        <v>206</v>
      </c>
      <c r="K1068" s="10" t="n">
        <f aca="false">INDEX(Parâmetros!$D$13:$D$19,MATCH(E1068,Parâmetros!$A$13:$A$19,0))</f>
        <v>45</v>
      </c>
      <c r="L1068" s="10" t="n">
        <f aca="false">IF(G1068="Prospecting",Parâmetros!$B$9,IF(J1068&gt;Parâmetros!$B$6,0,INDEX(Parâmetros!$C$24:$C$26,MATCH(J1068,Parâmetros!$A$24:$A$26,1))))</f>
        <v>0</v>
      </c>
      <c r="M1068" s="31" t="n">
        <f aca="false">IF(G1068="Prospecting",1,INDEX(Parâmetros!$C$32:$C$35,MATCH(J1068,Parâmetros!$A$32:$A$35,1)))</f>
        <v>0.4</v>
      </c>
      <c r="N1068" s="2" t="n">
        <f aca="false">ROUND((K1068+L1068)*M1068,0)</f>
        <v>18</v>
      </c>
      <c r="O1068" s="10" t="str">
        <f aca="false">IF(AND(G1068="Engaging",J1068&gt;Parâmetros!$B$6),"Sim","Não")</f>
        <v>Sim</v>
      </c>
      <c r="P1068" s="32" t="str">
        <f aca="false">IF(O1068="Sim","R",IF(N1068&gt;=Parâmetros!$B$39,"A",IF(N1068&gt;=Parâmetros!$B$40,"B",IF(N1068&gt;=Parâmetros!$B$41,"C","D"))))</f>
        <v>R</v>
      </c>
      <c r="Q1068" s="10" t="str">
        <f aca="false">IF(F1068="","Completar cadastro","")</f>
        <v/>
      </c>
      <c r="R1068" s="10" t="str">
        <f aca="false">INDEX(Parâmetros!$D$39:$D$43,MATCH(P1068,Parâmetros!$A$39:$A$43,0))</f>
        <v>Reciclar: requalificar, reengajar ou encerrar</v>
      </c>
    </row>
    <row r="1069" customFormat="false" ht="15" hidden="false" customHeight="false" outlineLevel="0" collapsed="false">
      <c r="A1069" s="10" t="s">
        <v>1313</v>
      </c>
      <c r="B1069" s="10" t="s">
        <v>95</v>
      </c>
      <c r="C1069" s="10" t="s">
        <v>92</v>
      </c>
      <c r="D1069" s="10" t="s">
        <v>160</v>
      </c>
      <c r="E1069" s="10" t="s">
        <v>47</v>
      </c>
      <c r="F1069" s="10"/>
      <c r="G1069" s="10" t="s">
        <v>162</v>
      </c>
      <c r="H1069" s="30" t="n">
        <v>42899</v>
      </c>
      <c r="I1069" s="8" t="n">
        <f aca="false">INDEX(Parâmetros!$C$13:$C$19,MATCH(E1069,Parâmetros!$A$13:$A$19,0))</f>
        <v>5482</v>
      </c>
      <c r="J1069" s="26" t="n">
        <f aca="false">IF(H1069="","",Parâmetros!$B$5-H1069)</f>
        <v>201</v>
      </c>
      <c r="K1069" s="10" t="n">
        <f aca="false">INDEX(Parâmetros!$D$13:$D$19,MATCH(E1069,Parâmetros!$A$13:$A$19,0))</f>
        <v>45</v>
      </c>
      <c r="L1069" s="10" t="n">
        <f aca="false">IF(G1069="Prospecting",Parâmetros!$B$9,IF(J1069&gt;Parâmetros!$B$6,0,INDEX(Parâmetros!$C$24:$C$26,MATCH(J1069,Parâmetros!$A$24:$A$26,1))))</f>
        <v>0</v>
      </c>
      <c r="M1069" s="31" t="n">
        <f aca="false">IF(G1069="Prospecting",1,INDEX(Parâmetros!$C$32:$C$35,MATCH(J1069,Parâmetros!$A$32:$A$35,1)))</f>
        <v>0.4</v>
      </c>
      <c r="N1069" s="2" t="n">
        <f aca="false">ROUND((K1069+L1069)*M1069,0)</f>
        <v>18</v>
      </c>
      <c r="O1069" s="10" t="str">
        <f aca="false">IF(AND(G1069="Engaging",J1069&gt;Parâmetros!$B$6),"Sim","Não")</f>
        <v>Sim</v>
      </c>
      <c r="P1069" s="32" t="str">
        <f aca="false">IF(O1069="Sim","R",IF(N1069&gt;=Parâmetros!$B$39,"A",IF(N1069&gt;=Parâmetros!$B$40,"B",IF(N1069&gt;=Parâmetros!$B$41,"C","D"))))</f>
        <v>R</v>
      </c>
      <c r="Q1069" s="10" t="str">
        <f aca="false">IF(F1069="","Completar cadastro","")</f>
        <v>Completar cadastro</v>
      </c>
      <c r="R1069" s="10" t="str">
        <f aca="false">INDEX(Parâmetros!$D$39:$D$43,MATCH(P1069,Parâmetros!$A$39:$A$43,0))</f>
        <v>Reciclar: requalificar, reengajar ou encerrar</v>
      </c>
    </row>
    <row r="1070" customFormat="false" ht="15" hidden="false" customHeight="false" outlineLevel="0" collapsed="false">
      <c r="A1070" s="10" t="s">
        <v>1314</v>
      </c>
      <c r="B1070" s="10" t="s">
        <v>87</v>
      </c>
      <c r="C1070" s="10" t="s">
        <v>85</v>
      </c>
      <c r="D1070" s="10" t="s">
        <v>165</v>
      </c>
      <c r="E1070" s="10" t="s">
        <v>47</v>
      </c>
      <c r="F1070" s="10"/>
      <c r="G1070" s="10" t="s">
        <v>162</v>
      </c>
      <c r="H1070" s="30" t="n">
        <v>42904</v>
      </c>
      <c r="I1070" s="8" t="n">
        <f aca="false">INDEX(Parâmetros!$C$13:$C$19,MATCH(E1070,Parâmetros!$A$13:$A$19,0))</f>
        <v>5482</v>
      </c>
      <c r="J1070" s="26" t="n">
        <f aca="false">IF(H1070="","",Parâmetros!$B$5-H1070)</f>
        <v>196</v>
      </c>
      <c r="K1070" s="10" t="n">
        <f aca="false">INDEX(Parâmetros!$D$13:$D$19,MATCH(E1070,Parâmetros!$A$13:$A$19,0))</f>
        <v>45</v>
      </c>
      <c r="L1070" s="10" t="n">
        <f aca="false">IF(G1070="Prospecting",Parâmetros!$B$9,IF(J1070&gt;Parâmetros!$B$6,0,INDEX(Parâmetros!$C$24:$C$26,MATCH(J1070,Parâmetros!$A$24:$A$26,1))))</f>
        <v>0</v>
      </c>
      <c r="M1070" s="31" t="n">
        <f aca="false">IF(G1070="Prospecting",1,INDEX(Parâmetros!$C$32:$C$35,MATCH(J1070,Parâmetros!$A$32:$A$35,1)))</f>
        <v>0.4</v>
      </c>
      <c r="N1070" s="2" t="n">
        <f aca="false">ROUND((K1070+L1070)*M1070,0)</f>
        <v>18</v>
      </c>
      <c r="O1070" s="10" t="str">
        <f aca="false">IF(AND(G1070="Engaging",J1070&gt;Parâmetros!$B$6),"Sim","Não")</f>
        <v>Sim</v>
      </c>
      <c r="P1070" s="32" t="str">
        <f aca="false">IF(O1070="Sim","R",IF(N1070&gt;=Parâmetros!$B$39,"A",IF(N1070&gt;=Parâmetros!$B$40,"B",IF(N1070&gt;=Parâmetros!$B$41,"C","D"))))</f>
        <v>R</v>
      </c>
      <c r="Q1070" s="10" t="str">
        <f aca="false">IF(F1070="","Completar cadastro","")</f>
        <v>Completar cadastro</v>
      </c>
      <c r="R1070" s="10" t="str">
        <f aca="false">INDEX(Parâmetros!$D$39:$D$43,MATCH(P1070,Parâmetros!$A$39:$A$43,0))</f>
        <v>Reciclar: requalificar, reengajar ou encerrar</v>
      </c>
    </row>
    <row r="1071" customFormat="false" ht="15" hidden="false" customHeight="false" outlineLevel="0" collapsed="false">
      <c r="A1071" s="10" t="s">
        <v>1315</v>
      </c>
      <c r="B1071" s="10" t="s">
        <v>86</v>
      </c>
      <c r="C1071" s="10" t="s">
        <v>85</v>
      </c>
      <c r="D1071" s="10" t="s">
        <v>165</v>
      </c>
      <c r="E1071" s="10" t="s">
        <v>47</v>
      </c>
      <c r="F1071" s="10" t="s">
        <v>210</v>
      </c>
      <c r="G1071" s="10" t="s">
        <v>162</v>
      </c>
      <c r="H1071" s="30" t="n">
        <v>42906</v>
      </c>
      <c r="I1071" s="8" t="n">
        <f aca="false">INDEX(Parâmetros!$C$13:$C$19,MATCH(E1071,Parâmetros!$A$13:$A$19,0))</f>
        <v>5482</v>
      </c>
      <c r="J1071" s="26" t="n">
        <f aca="false">IF(H1071="","",Parâmetros!$B$5-H1071)</f>
        <v>194</v>
      </c>
      <c r="K1071" s="10" t="n">
        <f aca="false">INDEX(Parâmetros!$D$13:$D$19,MATCH(E1071,Parâmetros!$A$13:$A$19,0))</f>
        <v>45</v>
      </c>
      <c r="L1071" s="10" t="n">
        <f aca="false">IF(G1071="Prospecting",Parâmetros!$B$9,IF(J1071&gt;Parâmetros!$B$6,0,INDEX(Parâmetros!$C$24:$C$26,MATCH(J1071,Parâmetros!$A$24:$A$26,1))))</f>
        <v>0</v>
      </c>
      <c r="M1071" s="31" t="n">
        <f aca="false">IF(G1071="Prospecting",1,INDEX(Parâmetros!$C$32:$C$35,MATCH(J1071,Parâmetros!$A$32:$A$35,1)))</f>
        <v>0.4</v>
      </c>
      <c r="N1071" s="2" t="n">
        <f aca="false">ROUND((K1071+L1071)*M1071,0)</f>
        <v>18</v>
      </c>
      <c r="O1071" s="10" t="str">
        <f aca="false">IF(AND(G1071="Engaging",J1071&gt;Parâmetros!$B$6),"Sim","Não")</f>
        <v>Sim</v>
      </c>
      <c r="P1071" s="32" t="str">
        <f aca="false">IF(O1071="Sim","R",IF(N1071&gt;=Parâmetros!$B$39,"A",IF(N1071&gt;=Parâmetros!$B$40,"B",IF(N1071&gt;=Parâmetros!$B$41,"C","D"))))</f>
        <v>R</v>
      </c>
      <c r="Q1071" s="10" t="str">
        <f aca="false">IF(F1071="","Completar cadastro","")</f>
        <v/>
      </c>
      <c r="R1071" s="10" t="str">
        <f aca="false">INDEX(Parâmetros!$D$39:$D$43,MATCH(P1071,Parâmetros!$A$39:$A$43,0))</f>
        <v>Reciclar: requalificar, reengajar ou encerrar</v>
      </c>
    </row>
    <row r="1072" customFormat="false" ht="15" hidden="false" customHeight="false" outlineLevel="0" collapsed="false">
      <c r="A1072" s="10" t="s">
        <v>1316</v>
      </c>
      <c r="B1072" s="10" t="s">
        <v>84</v>
      </c>
      <c r="C1072" s="10" t="s">
        <v>85</v>
      </c>
      <c r="D1072" s="10" t="s">
        <v>165</v>
      </c>
      <c r="E1072" s="10" t="s">
        <v>47</v>
      </c>
      <c r="F1072" s="10"/>
      <c r="G1072" s="10" t="s">
        <v>162</v>
      </c>
      <c r="H1072" s="30" t="n">
        <v>42910</v>
      </c>
      <c r="I1072" s="8" t="n">
        <f aca="false">INDEX(Parâmetros!$C$13:$C$19,MATCH(E1072,Parâmetros!$A$13:$A$19,0))</f>
        <v>5482</v>
      </c>
      <c r="J1072" s="26" t="n">
        <f aca="false">IF(H1072="","",Parâmetros!$B$5-H1072)</f>
        <v>190</v>
      </c>
      <c r="K1072" s="10" t="n">
        <f aca="false">INDEX(Parâmetros!$D$13:$D$19,MATCH(E1072,Parâmetros!$A$13:$A$19,0))</f>
        <v>45</v>
      </c>
      <c r="L1072" s="10" t="n">
        <f aca="false">IF(G1072="Prospecting",Parâmetros!$B$9,IF(J1072&gt;Parâmetros!$B$6,0,INDEX(Parâmetros!$C$24:$C$26,MATCH(J1072,Parâmetros!$A$24:$A$26,1))))</f>
        <v>0</v>
      </c>
      <c r="M1072" s="31" t="n">
        <f aca="false">IF(G1072="Prospecting",1,INDEX(Parâmetros!$C$32:$C$35,MATCH(J1072,Parâmetros!$A$32:$A$35,1)))</f>
        <v>0.4</v>
      </c>
      <c r="N1072" s="2" t="n">
        <f aca="false">ROUND((K1072+L1072)*M1072,0)</f>
        <v>18</v>
      </c>
      <c r="O1072" s="10" t="str">
        <f aca="false">IF(AND(G1072="Engaging",J1072&gt;Parâmetros!$B$6),"Sim","Não")</f>
        <v>Sim</v>
      </c>
      <c r="P1072" s="32" t="str">
        <f aca="false">IF(O1072="Sim","R",IF(N1072&gt;=Parâmetros!$B$39,"A",IF(N1072&gt;=Parâmetros!$B$40,"B",IF(N1072&gt;=Parâmetros!$B$41,"C","D"))))</f>
        <v>R</v>
      </c>
      <c r="Q1072" s="10" t="str">
        <f aca="false">IF(F1072="","Completar cadastro","")</f>
        <v>Completar cadastro</v>
      </c>
      <c r="R1072" s="10" t="str">
        <f aca="false">INDEX(Parâmetros!$D$39:$D$43,MATCH(P1072,Parâmetros!$A$39:$A$43,0))</f>
        <v>Reciclar: requalificar, reengajar ou encerrar</v>
      </c>
    </row>
    <row r="1073" customFormat="false" ht="15" hidden="false" customHeight="false" outlineLevel="0" collapsed="false">
      <c r="A1073" s="10" t="s">
        <v>1317</v>
      </c>
      <c r="B1073" s="10" t="s">
        <v>70</v>
      </c>
      <c r="C1073" s="10" t="s">
        <v>65</v>
      </c>
      <c r="D1073" s="10" t="s">
        <v>160</v>
      </c>
      <c r="E1073" s="10" t="s">
        <v>47</v>
      </c>
      <c r="F1073" s="10"/>
      <c r="G1073" s="10" t="s">
        <v>162</v>
      </c>
      <c r="H1073" s="30" t="n">
        <v>42911</v>
      </c>
      <c r="I1073" s="8" t="n">
        <f aca="false">INDEX(Parâmetros!$C$13:$C$19,MATCH(E1073,Parâmetros!$A$13:$A$19,0))</f>
        <v>5482</v>
      </c>
      <c r="J1073" s="26" t="n">
        <f aca="false">IF(H1073="","",Parâmetros!$B$5-H1073)</f>
        <v>189</v>
      </c>
      <c r="K1073" s="10" t="n">
        <f aca="false">INDEX(Parâmetros!$D$13:$D$19,MATCH(E1073,Parâmetros!$A$13:$A$19,0))</f>
        <v>45</v>
      </c>
      <c r="L1073" s="10" t="n">
        <f aca="false">IF(G1073="Prospecting",Parâmetros!$B$9,IF(J1073&gt;Parâmetros!$B$6,0,INDEX(Parâmetros!$C$24:$C$26,MATCH(J1073,Parâmetros!$A$24:$A$26,1))))</f>
        <v>0</v>
      </c>
      <c r="M1073" s="31" t="n">
        <f aca="false">IF(G1073="Prospecting",1,INDEX(Parâmetros!$C$32:$C$35,MATCH(J1073,Parâmetros!$A$32:$A$35,1)))</f>
        <v>0.4</v>
      </c>
      <c r="N1073" s="2" t="n">
        <f aca="false">ROUND((K1073+L1073)*M1073,0)</f>
        <v>18</v>
      </c>
      <c r="O1073" s="10" t="str">
        <f aca="false">IF(AND(G1073="Engaging",J1073&gt;Parâmetros!$B$6),"Sim","Não")</f>
        <v>Sim</v>
      </c>
      <c r="P1073" s="32" t="str">
        <f aca="false">IF(O1073="Sim","R",IF(N1073&gt;=Parâmetros!$B$39,"A",IF(N1073&gt;=Parâmetros!$B$40,"B",IF(N1073&gt;=Parâmetros!$B$41,"C","D"))))</f>
        <v>R</v>
      </c>
      <c r="Q1073" s="10" t="str">
        <f aca="false">IF(F1073="","Completar cadastro","")</f>
        <v>Completar cadastro</v>
      </c>
      <c r="R1073" s="10" t="str">
        <f aca="false">INDEX(Parâmetros!$D$39:$D$43,MATCH(P1073,Parâmetros!$A$39:$A$43,0))</f>
        <v>Reciclar: requalificar, reengajar ou encerrar</v>
      </c>
    </row>
    <row r="1074" customFormat="false" ht="15" hidden="false" customHeight="false" outlineLevel="0" collapsed="false">
      <c r="A1074" s="10" t="s">
        <v>1318</v>
      </c>
      <c r="B1074" s="10" t="s">
        <v>57</v>
      </c>
      <c r="C1074" s="10" t="s">
        <v>58</v>
      </c>
      <c r="D1074" s="10" t="s">
        <v>165</v>
      </c>
      <c r="E1074" s="10" t="s">
        <v>47</v>
      </c>
      <c r="F1074" s="10"/>
      <c r="G1074" s="10" t="s">
        <v>162</v>
      </c>
      <c r="H1074" s="30" t="n">
        <v>42917</v>
      </c>
      <c r="I1074" s="8" t="n">
        <f aca="false">INDEX(Parâmetros!$C$13:$C$19,MATCH(E1074,Parâmetros!$A$13:$A$19,0))</f>
        <v>5482</v>
      </c>
      <c r="J1074" s="26" t="n">
        <f aca="false">IF(H1074="","",Parâmetros!$B$5-H1074)</f>
        <v>183</v>
      </c>
      <c r="K1074" s="10" t="n">
        <f aca="false">INDEX(Parâmetros!$D$13:$D$19,MATCH(E1074,Parâmetros!$A$13:$A$19,0))</f>
        <v>45</v>
      </c>
      <c r="L1074" s="10" t="n">
        <f aca="false">IF(G1074="Prospecting",Parâmetros!$B$9,IF(J1074&gt;Parâmetros!$B$6,0,INDEX(Parâmetros!$C$24:$C$26,MATCH(J1074,Parâmetros!$A$24:$A$26,1))))</f>
        <v>0</v>
      </c>
      <c r="M1074" s="31" t="n">
        <f aca="false">IF(G1074="Prospecting",1,INDEX(Parâmetros!$C$32:$C$35,MATCH(J1074,Parâmetros!$A$32:$A$35,1)))</f>
        <v>0.4</v>
      </c>
      <c r="N1074" s="2" t="n">
        <f aca="false">ROUND((K1074+L1074)*M1074,0)</f>
        <v>18</v>
      </c>
      <c r="O1074" s="10" t="str">
        <f aca="false">IF(AND(G1074="Engaging",J1074&gt;Parâmetros!$B$6),"Sim","Não")</f>
        <v>Sim</v>
      </c>
      <c r="P1074" s="32" t="str">
        <f aca="false">IF(O1074="Sim","R",IF(N1074&gt;=Parâmetros!$B$39,"A",IF(N1074&gt;=Parâmetros!$B$40,"B",IF(N1074&gt;=Parâmetros!$B$41,"C","D"))))</f>
        <v>R</v>
      </c>
      <c r="Q1074" s="10" t="str">
        <f aca="false">IF(F1074="","Completar cadastro","")</f>
        <v>Completar cadastro</v>
      </c>
      <c r="R1074" s="10" t="str">
        <f aca="false">INDEX(Parâmetros!$D$39:$D$43,MATCH(P1074,Parâmetros!$A$39:$A$43,0))</f>
        <v>Reciclar: requalificar, reengajar ou encerrar</v>
      </c>
    </row>
    <row r="1075" customFormat="false" ht="15" hidden="false" customHeight="false" outlineLevel="0" collapsed="false">
      <c r="A1075" s="10" t="s">
        <v>1319</v>
      </c>
      <c r="B1075" s="10" t="s">
        <v>84</v>
      </c>
      <c r="C1075" s="10" t="s">
        <v>85</v>
      </c>
      <c r="D1075" s="10" t="s">
        <v>165</v>
      </c>
      <c r="E1075" s="10" t="s">
        <v>48</v>
      </c>
      <c r="F1075" s="10"/>
      <c r="G1075" s="10" t="s">
        <v>162</v>
      </c>
      <c r="H1075" s="30" t="n">
        <v>42832</v>
      </c>
      <c r="I1075" s="8" t="n">
        <f aca="false">INDEX(Parâmetros!$C$13:$C$19,MATCH(E1075,Parâmetros!$A$13:$A$19,0))</f>
        <v>4821</v>
      </c>
      <c r="J1075" s="26" t="n">
        <f aca="false">IF(H1075="","",Parâmetros!$B$5-H1075)</f>
        <v>268</v>
      </c>
      <c r="K1075" s="10" t="n">
        <f aca="false">INDEX(Parâmetros!$D$13:$D$19,MATCH(E1075,Parâmetros!$A$13:$A$19,0))</f>
        <v>43</v>
      </c>
      <c r="L1075" s="10" t="n">
        <f aca="false">IF(G1075="Prospecting",Parâmetros!$B$9,IF(J1075&gt;Parâmetros!$B$6,0,INDEX(Parâmetros!$C$24:$C$26,MATCH(J1075,Parâmetros!$A$24:$A$26,1))))</f>
        <v>0</v>
      </c>
      <c r="M1075" s="31" t="n">
        <f aca="false">IF(G1075="Prospecting",1,INDEX(Parâmetros!$C$32:$C$35,MATCH(J1075,Parâmetros!$A$32:$A$35,1)))</f>
        <v>0.4</v>
      </c>
      <c r="N1075" s="2" t="n">
        <f aca="false">ROUND((K1075+L1075)*M1075,0)</f>
        <v>17</v>
      </c>
      <c r="O1075" s="10" t="str">
        <f aca="false">IF(AND(G1075="Engaging",J1075&gt;Parâmetros!$B$6),"Sim","Não")</f>
        <v>Sim</v>
      </c>
      <c r="P1075" s="32" t="str">
        <f aca="false">IF(O1075="Sim","R",IF(N1075&gt;=Parâmetros!$B$39,"A",IF(N1075&gt;=Parâmetros!$B$40,"B",IF(N1075&gt;=Parâmetros!$B$41,"C","D"))))</f>
        <v>R</v>
      </c>
      <c r="Q1075" s="10" t="str">
        <f aca="false">IF(F1075="","Completar cadastro","")</f>
        <v>Completar cadastro</v>
      </c>
      <c r="R1075" s="10" t="str">
        <f aca="false">INDEX(Parâmetros!$D$39:$D$43,MATCH(P1075,Parâmetros!$A$39:$A$43,0))</f>
        <v>Reciclar: requalificar, reengajar ou encerrar</v>
      </c>
    </row>
    <row r="1076" customFormat="false" ht="15" hidden="false" customHeight="false" outlineLevel="0" collapsed="false">
      <c r="A1076" s="10" t="s">
        <v>1320</v>
      </c>
      <c r="B1076" s="10" t="s">
        <v>86</v>
      </c>
      <c r="C1076" s="10" t="s">
        <v>85</v>
      </c>
      <c r="D1076" s="10" t="s">
        <v>165</v>
      </c>
      <c r="E1076" s="10" t="s">
        <v>48</v>
      </c>
      <c r="F1076" s="10"/>
      <c r="G1076" s="10" t="s">
        <v>162</v>
      </c>
      <c r="H1076" s="30" t="n">
        <v>42833</v>
      </c>
      <c r="I1076" s="8" t="n">
        <f aca="false">INDEX(Parâmetros!$C$13:$C$19,MATCH(E1076,Parâmetros!$A$13:$A$19,0))</f>
        <v>4821</v>
      </c>
      <c r="J1076" s="26" t="n">
        <f aca="false">IF(H1076="","",Parâmetros!$B$5-H1076)</f>
        <v>267</v>
      </c>
      <c r="K1076" s="10" t="n">
        <f aca="false">INDEX(Parâmetros!$D$13:$D$19,MATCH(E1076,Parâmetros!$A$13:$A$19,0))</f>
        <v>43</v>
      </c>
      <c r="L1076" s="10" t="n">
        <f aca="false">IF(G1076="Prospecting",Parâmetros!$B$9,IF(J1076&gt;Parâmetros!$B$6,0,INDEX(Parâmetros!$C$24:$C$26,MATCH(J1076,Parâmetros!$A$24:$A$26,1))))</f>
        <v>0</v>
      </c>
      <c r="M1076" s="31" t="n">
        <f aca="false">IF(G1076="Prospecting",1,INDEX(Parâmetros!$C$32:$C$35,MATCH(J1076,Parâmetros!$A$32:$A$35,1)))</f>
        <v>0.4</v>
      </c>
      <c r="N1076" s="2" t="n">
        <f aca="false">ROUND((K1076+L1076)*M1076,0)</f>
        <v>17</v>
      </c>
      <c r="O1076" s="10" t="str">
        <f aca="false">IF(AND(G1076="Engaging",J1076&gt;Parâmetros!$B$6),"Sim","Não")</f>
        <v>Sim</v>
      </c>
      <c r="P1076" s="32" t="str">
        <f aca="false">IF(O1076="Sim","R",IF(N1076&gt;=Parâmetros!$B$39,"A",IF(N1076&gt;=Parâmetros!$B$40,"B",IF(N1076&gt;=Parâmetros!$B$41,"C","D"))))</f>
        <v>R</v>
      </c>
      <c r="Q1076" s="10" t="str">
        <f aca="false">IF(F1076="","Completar cadastro","")</f>
        <v>Completar cadastro</v>
      </c>
      <c r="R1076" s="10" t="str">
        <f aca="false">INDEX(Parâmetros!$D$39:$D$43,MATCH(P1076,Parâmetros!$A$39:$A$43,0))</f>
        <v>Reciclar: requalificar, reengajar ou encerrar</v>
      </c>
    </row>
    <row r="1077" customFormat="false" ht="15" hidden="false" customHeight="false" outlineLevel="0" collapsed="false">
      <c r="A1077" s="10" t="s">
        <v>1321</v>
      </c>
      <c r="B1077" s="10" t="s">
        <v>70</v>
      </c>
      <c r="C1077" s="10" t="s">
        <v>65</v>
      </c>
      <c r="D1077" s="10" t="s">
        <v>160</v>
      </c>
      <c r="E1077" s="10" t="s">
        <v>48</v>
      </c>
      <c r="F1077" s="10"/>
      <c r="G1077" s="10" t="s">
        <v>162</v>
      </c>
      <c r="H1077" s="30" t="n">
        <v>42833</v>
      </c>
      <c r="I1077" s="8" t="n">
        <f aca="false">INDEX(Parâmetros!$C$13:$C$19,MATCH(E1077,Parâmetros!$A$13:$A$19,0))</f>
        <v>4821</v>
      </c>
      <c r="J1077" s="26" t="n">
        <f aca="false">IF(H1077="","",Parâmetros!$B$5-H1077)</f>
        <v>267</v>
      </c>
      <c r="K1077" s="10" t="n">
        <f aca="false">INDEX(Parâmetros!$D$13:$D$19,MATCH(E1077,Parâmetros!$A$13:$A$19,0))</f>
        <v>43</v>
      </c>
      <c r="L1077" s="10" t="n">
        <f aca="false">IF(G1077="Prospecting",Parâmetros!$B$9,IF(J1077&gt;Parâmetros!$B$6,0,INDEX(Parâmetros!$C$24:$C$26,MATCH(J1077,Parâmetros!$A$24:$A$26,1))))</f>
        <v>0</v>
      </c>
      <c r="M1077" s="31" t="n">
        <f aca="false">IF(G1077="Prospecting",1,INDEX(Parâmetros!$C$32:$C$35,MATCH(J1077,Parâmetros!$A$32:$A$35,1)))</f>
        <v>0.4</v>
      </c>
      <c r="N1077" s="2" t="n">
        <f aca="false">ROUND((K1077+L1077)*M1077,0)</f>
        <v>17</v>
      </c>
      <c r="O1077" s="10" t="str">
        <f aca="false">IF(AND(G1077="Engaging",J1077&gt;Parâmetros!$B$6),"Sim","Não")</f>
        <v>Sim</v>
      </c>
      <c r="P1077" s="32" t="str">
        <f aca="false">IF(O1077="Sim","R",IF(N1077&gt;=Parâmetros!$B$39,"A",IF(N1077&gt;=Parâmetros!$B$40,"B",IF(N1077&gt;=Parâmetros!$B$41,"C","D"))))</f>
        <v>R</v>
      </c>
      <c r="Q1077" s="10" t="str">
        <f aca="false">IF(F1077="","Completar cadastro","")</f>
        <v>Completar cadastro</v>
      </c>
      <c r="R1077" s="10" t="str">
        <f aca="false">INDEX(Parâmetros!$D$39:$D$43,MATCH(P1077,Parâmetros!$A$39:$A$43,0))</f>
        <v>Reciclar: requalificar, reengajar ou encerrar</v>
      </c>
    </row>
    <row r="1078" customFormat="false" ht="15" hidden="false" customHeight="false" outlineLevel="0" collapsed="false">
      <c r="A1078" s="10" t="s">
        <v>1322</v>
      </c>
      <c r="B1078" s="10" t="s">
        <v>95</v>
      </c>
      <c r="C1078" s="10" t="s">
        <v>92</v>
      </c>
      <c r="D1078" s="10" t="s">
        <v>160</v>
      </c>
      <c r="E1078" s="10" t="s">
        <v>48</v>
      </c>
      <c r="F1078" s="10"/>
      <c r="G1078" s="10" t="s">
        <v>162</v>
      </c>
      <c r="H1078" s="30" t="n">
        <v>42837</v>
      </c>
      <c r="I1078" s="8" t="n">
        <f aca="false">INDEX(Parâmetros!$C$13:$C$19,MATCH(E1078,Parâmetros!$A$13:$A$19,0))</f>
        <v>4821</v>
      </c>
      <c r="J1078" s="26" t="n">
        <f aca="false">IF(H1078="","",Parâmetros!$B$5-H1078)</f>
        <v>263</v>
      </c>
      <c r="K1078" s="10" t="n">
        <f aca="false">INDEX(Parâmetros!$D$13:$D$19,MATCH(E1078,Parâmetros!$A$13:$A$19,0))</f>
        <v>43</v>
      </c>
      <c r="L1078" s="10" t="n">
        <f aca="false">IF(G1078="Prospecting",Parâmetros!$B$9,IF(J1078&gt;Parâmetros!$B$6,0,INDEX(Parâmetros!$C$24:$C$26,MATCH(J1078,Parâmetros!$A$24:$A$26,1))))</f>
        <v>0</v>
      </c>
      <c r="M1078" s="31" t="n">
        <f aca="false">IF(G1078="Prospecting",1,INDEX(Parâmetros!$C$32:$C$35,MATCH(J1078,Parâmetros!$A$32:$A$35,1)))</f>
        <v>0.4</v>
      </c>
      <c r="N1078" s="2" t="n">
        <f aca="false">ROUND((K1078+L1078)*M1078,0)</f>
        <v>17</v>
      </c>
      <c r="O1078" s="10" t="str">
        <f aca="false">IF(AND(G1078="Engaging",J1078&gt;Parâmetros!$B$6),"Sim","Não")</f>
        <v>Sim</v>
      </c>
      <c r="P1078" s="32" t="str">
        <f aca="false">IF(O1078="Sim","R",IF(N1078&gt;=Parâmetros!$B$39,"A",IF(N1078&gt;=Parâmetros!$B$40,"B",IF(N1078&gt;=Parâmetros!$B$41,"C","D"))))</f>
        <v>R</v>
      </c>
      <c r="Q1078" s="10" t="str">
        <f aca="false">IF(F1078="","Completar cadastro","")</f>
        <v>Completar cadastro</v>
      </c>
      <c r="R1078" s="10" t="str">
        <f aca="false">INDEX(Parâmetros!$D$39:$D$43,MATCH(P1078,Parâmetros!$A$39:$A$43,0))</f>
        <v>Reciclar: requalificar, reengajar ou encerrar</v>
      </c>
    </row>
    <row r="1079" customFormat="false" ht="15" hidden="false" customHeight="false" outlineLevel="0" collapsed="false">
      <c r="A1079" s="10" t="s">
        <v>1323</v>
      </c>
      <c r="B1079" s="10" t="s">
        <v>94</v>
      </c>
      <c r="C1079" s="10" t="s">
        <v>92</v>
      </c>
      <c r="D1079" s="10" t="s">
        <v>160</v>
      </c>
      <c r="E1079" s="10" t="s">
        <v>48</v>
      </c>
      <c r="F1079" s="10"/>
      <c r="G1079" s="10" t="s">
        <v>162</v>
      </c>
      <c r="H1079" s="30" t="n">
        <v>42838</v>
      </c>
      <c r="I1079" s="8" t="n">
        <f aca="false">INDEX(Parâmetros!$C$13:$C$19,MATCH(E1079,Parâmetros!$A$13:$A$19,0))</f>
        <v>4821</v>
      </c>
      <c r="J1079" s="26" t="n">
        <f aca="false">IF(H1079="","",Parâmetros!$B$5-H1079)</f>
        <v>262</v>
      </c>
      <c r="K1079" s="10" t="n">
        <f aca="false">INDEX(Parâmetros!$D$13:$D$19,MATCH(E1079,Parâmetros!$A$13:$A$19,0))</f>
        <v>43</v>
      </c>
      <c r="L1079" s="10" t="n">
        <f aca="false">IF(G1079="Prospecting",Parâmetros!$B$9,IF(J1079&gt;Parâmetros!$B$6,0,INDEX(Parâmetros!$C$24:$C$26,MATCH(J1079,Parâmetros!$A$24:$A$26,1))))</f>
        <v>0</v>
      </c>
      <c r="M1079" s="31" t="n">
        <f aca="false">IF(G1079="Prospecting",1,INDEX(Parâmetros!$C$32:$C$35,MATCH(J1079,Parâmetros!$A$32:$A$35,1)))</f>
        <v>0.4</v>
      </c>
      <c r="N1079" s="2" t="n">
        <f aca="false">ROUND((K1079+L1079)*M1079,0)</f>
        <v>17</v>
      </c>
      <c r="O1079" s="10" t="str">
        <f aca="false">IF(AND(G1079="Engaging",J1079&gt;Parâmetros!$B$6),"Sim","Não")</f>
        <v>Sim</v>
      </c>
      <c r="P1079" s="32" t="str">
        <f aca="false">IF(O1079="Sim","R",IF(N1079&gt;=Parâmetros!$B$39,"A",IF(N1079&gt;=Parâmetros!$B$40,"B",IF(N1079&gt;=Parâmetros!$B$41,"C","D"))))</f>
        <v>R</v>
      </c>
      <c r="Q1079" s="10" t="str">
        <f aca="false">IF(F1079="","Completar cadastro","")</f>
        <v>Completar cadastro</v>
      </c>
      <c r="R1079" s="10" t="str">
        <f aca="false">INDEX(Parâmetros!$D$39:$D$43,MATCH(P1079,Parâmetros!$A$39:$A$43,0))</f>
        <v>Reciclar: requalificar, reengajar ou encerrar</v>
      </c>
    </row>
    <row r="1080" customFormat="false" ht="15" hidden="false" customHeight="false" outlineLevel="0" collapsed="false">
      <c r="A1080" s="10" t="s">
        <v>1324</v>
      </c>
      <c r="B1080" s="10" t="s">
        <v>94</v>
      </c>
      <c r="C1080" s="10" t="s">
        <v>92</v>
      </c>
      <c r="D1080" s="10" t="s">
        <v>160</v>
      </c>
      <c r="E1080" s="10" t="s">
        <v>48</v>
      </c>
      <c r="F1080" s="10"/>
      <c r="G1080" s="10" t="s">
        <v>162</v>
      </c>
      <c r="H1080" s="30" t="n">
        <v>42839</v>
      </c>
      <c r="I1080" s="8" t="n">
        <f aca="false">INDEX(Parâmetros!$C$13:$C$19,MATCH(E1080,Parâmetros!$A$13:$A$19,0))</f>
        <v>4821</v>
      </c>
      <c r="J1080" s="26" t="n">
        <f aca="false">IF(H1080="","",Parâmetros!$B$5-H1080)</f>
        <v>261</v>
      </c>
      <c r="K1080" s="10" t="n">
        <f aca="false">INDEX(Parâmetros!$D$13:$D$19,MATCH(E1080,Parâmetros!$A$13:$A$19,0))</f>
        <v>43</v>
      </c>
      <c r="L1080" s="10" t="n">
        <f aca="false">IF(G1080="Prospecting",Parâmetros!$B$9,IF(J1080&gt;Parâmetros!$B$6,0,INDEX(Parâmetros!$C$24:$C$26,MATCH(J1080,Parâmetros!$A$24:$A$26,1))))</f>
        <v>0</v>
      </c>
      <c r="M1080" s="31" t="n">
        <f aca="false">IF(G1080="Prospecting",1,INDEX(Parâmetros!$C$32:$C$35,MATCH(J1080,Parâmetros!$A$32:$A$35,1)))</f>
        <v>0.4</v>
      </c>
      <c r="N1080" s="2" t="n">
        <f aca="false">ROUND((K1080+L1080)*M1080,0)</f>
        <v>17</v>
      </c>
      <c r="O1080" s="10" t="str">
        <f aca="false">IF(AND(G1080="Engaging",J1080&gt;Parâmetros!$B$6),"Sim","Não")</f>
        <v>Sim</v>
      </c>
      <c r="P1080" s="32" t="str">
        <f aca="false">IF(O1080="Sim","R",IF(N1080&gt;=Parâmetros!$B$39,"A",IF(N1080&gt;=Parâmetros!$B$40,"B",IF(N1080&gt;=Parâmetros!$B$41,"C","D"))))</f>
        <v>R</v>
      </c>
      <c r="Q1080" s="10" t="str">
        <f aca="false">IF(F1080="","Completar cadastro","")</f>
        <v>Completar cadastro</v>
      </c>
      <c r="R1080" s="10" t="str">
        <f aca="false">INDEX(Parâmetros!$D$39:$D$43,MATCH(P1080,Parâmetros!$A$39:$A$43,0))</f>
        <v>Reciclar: requalificar, reengajar ou encerrar</v>
      </c>
    </row>
    <row r="1081" customFormat="false" ht="15" hidden="false" customHeight="false" outlineLevel="0" collapsed="false">
      <c r="A1081" s="10" t="s">
        <v>1325</v>
      </c>
      <c r="B1081" s="10" t="s">
        <v>95</v>
      </c>
      <c r="C1081" s="10" t="s">
        <v>92</v>
      </c>
      <c r="D1081" s="10" t="s">
        <v>160</v>
      </c>
      <c r="E1081" s="10" t="s">
        <v>48</v>
      </c>
      <c r="F1081" s="10"/>
      <c r="G1081" s="10" t="s">
        <v>162</v>
      </c>
      <c r="H1081" s="30" t="n">
        <v>42841</v>
      </c>
      <c r="I1081" s="8" t="n">
        <f aca="false">INDEX(Parâmetros!$C$13:$C$19,MATCH(E1081,Parâmetros!$A$13:$A$19,0))</f>
        <v>4821</v>
      </c>
      <c r="J1081" s="26" t="n">
        <f aca="false">IF(H1081="","",Parâmetros!$B$5-H1081)</f>
        <v>259</v>
      </c>
      <c r="K1081" s="10" t="n">
        <f aca="false">INDEX(Parâmetros!$D$13:$D$19,MATCH(E1081,Parâmetros!$A$13:$A$19,0))</f>
        <v>43</v>
      </c>
      <c r="L1081" s="10" t="n">
        <f aca="false">IF(G1081="Prospecting",Parâmetros!$B$9,IF(J1081&gt;Parâmetros!$B$6,0,INDEX(Parâmetros!$C$24:$C$26,MATCH(J1081,Parâmetros!$A$24:$A$26,1))))</f>
        <v>0</v>
      </c>
      <c r="M1081" s="31" t="n">
        <f aca="false">IF(G1081="Prospecting",1,INDEX(Parâmetros!$C$32:$C$35,MATCH(J1081,Parâmetros!$A$32:$A$35,1)))</f>
        <v>0.4</v>
      </c>
      <c r="N1081" s="2" t="n">
        <f aca="false">ROUND((K1081+L1081)*M1081,0)</f>
        <v>17</v>
      </c>
      <c r="O1081" s="10" t="str">
        <f aca="false">IF(AND(G1081="Engaging",J1081&gt;Parâmetros!$B$6),"Sim","Não")</f>
        <v>Sim</v>
      </c>
      <c r="P1081" s="32" t="str">
        <f aca="false">IF(O1081="Sim","R",IF(N1081&gt;=Parâmetros!$B$39,"A",IF(N1081&gt;=Parâmetros!$B$40,"B",IF(N1081&gt;=Parâmetros!$B$41,"C","D"))))</f>
        <v>R</v>
      </c>
      <c r="Q1081" s="10" t="str">
        <f aca="false">IF(F1081="","Completar cadastro","")</f>
        <v>Completar cadastro</v>
      </c>
      <c r="R1081" s="10" t="str">
        <f aca="false">INDEX(Parâmetros!$D$39:$D$43,MATCH(P1081,Parâmetros!$A$39:$A$43,0))</f>
        <v>Reciclar: requalificar, reengajar ou encerrar</v>
      </c>
    </row>
    <row r="1082" customFormat="false" ht="15" hidden="false" customHeight="false" outlineLevel="0" collapsed="false">
      <c r="A1082" s="10" t="s">
        <v>1326</v>
      </c>
      <c r="B1082" s="10" t="s">
        <v>70</v>
      </c>
      <c r="C1082" s="10" t="s">
        <v>65</v>
      </c>
      <c r="D1082" s="10" t="s">
        <v>160</v>
      </c>
      <c r="E1082" s="10" t="s">
        <v>48</v>
      </c>
      <c r="F1082" s="10"/>
      <c r="G1082" s="10" t="s">
        <v>162</v>
      </c>
      <c r="H1082" s="30" t="n">
        <v>42841</v>
      </c>
      <c r="I1082" s="8" t="n">
        <f aca="false">INDEX(Parâmetros!$C$13:$C$19,MATCH(E1082,Parâmetros!$A$13:$A$19,0))</f>
        <v>4821</v>
      </c>
      <c r="J1082" s="26" t="n">
        <f aca="false">IF(H1082="","",Parâmetros!$B$5-H1082)</f>
        <v>259</v>
      </c>
      <c r="K1082" s="10" t="n">
        <f aca="false">INDEX(Parâmetros!$D$13:$D$19,MATCH(E1082,Parâmetros!$A$13:$A$19,0))</f>
        <v>43</v>
      </c>
      <c r="L1082" s="10" t="n">
        <f aca="false">IF(G1082="Prospecting",Parâmetros!$B$9,IF(J1082&gt;Parâmetros!$B$6,0,INDEX(Parâmetros!$C$24:$C$26,MATCH(J1082,Parâmetros!$A$24:$A$26,1))))</f>
        <v>0</v>
      </c>
      <c r="M1082" s="31" t="n">
        <f aca="false">IF(G1082="Prospecting",1,INDEX(Parâmetros!$C$32:$C$35,MATCH(J1082,Parâmetros!$A$32:$A$35,1)))</f>
        <v>0.4</v>
      </c>
      <c r="N1082" s="2" t="n">
        <f aca="false">ROUND((K1082+L1082)*M1082,0)</f>
        <v>17</v>
      </c>
      <c r="O1082" s="10" t="str">
        <f aca="false">IF(AND(G1082="Engaging",J1082&gt;Parâmetros!$B$6),"Sim","Não")</f>
        <v>Sim</v>
      </c>
      <c r="P1082" s="32" t="str">
        <f aca="false">IF(O1082="Sim","R",IF(N1082&gt;=Parâmetros!$B$39,"A",IF(N1082&gt;=Parâmetros!$B$40,"B",IF(N1082&gt;=Parâmetros!$B$41,"C","D"))))</f>
        <v>R</v>
      </c>
      <c r="Q1082" s="10" t="str">
        <f aca="false">IF(F1082="","Completar cadastro","")</f>
        <v>Completar cadastro</v>
      </c>
      <c r="R1082" s="10" t="str">
        <f aca="false">INDEX(Parâmetros!$D$39:$D$43,MATCH(P1082,Parâmetros!$A$39:$A$43,0))</f>
        <v>Reciclar: requalificar, reengajar ou encerrar</v>
      </c>
    </row>
    <row r="1083" customFormat="false" ht="15" hidden="false" customHeight="false" outlineLevel="0" collapsed="false">
      <c r="A1083" s="10" t="s">
        <v>1327</v>
      </c>
      <c r="B1083" s="10" t="s">
        <v>95</v>
      </c>
      <c r="C1083" s="10" t="s">
        <v>92</v>
      </c>
      <c r="D1083" s="10" t="s">
        <v>160</v>
      </c>
      <c r="E1083" s="10" t="s">
        <v>48</v>
      </c>
      <c r="F1083" s="10"/>
      <c r="G1083" s="10" t="s">
        <v>162</v>
      </c>
      <c r="H1083" s="30" t="n">
        <v>42842</v>
      </c>
      <c r="I1083" s="8" t="n">
        <f aca="false">INDEX(Parâmetros!$C$13:$C$19,MATCH(E1083,Parâmetros!$A$13:$A$19,0))</f>
        <v>4821</v>
      </c>
      <c r="J1083" s="26" t="n">
        <f aca="false">IF(H1083="","",Parâmetros!$B$5-H1083)</f>
        <v>258</v>
      </c>
      <c r="K1083" s="10" t="n">
        <f aca="false">INDEX(Parâmetros!$D$13:$D$19,MATCH(E1083,Parâmetros!$A$13:$A$19,0))</f>
        <v>43</v>
      </c>
      <c r="L1083" s="10" t="n">
        <f aca="false">IF(G1083="Prospecting",Parâmetros!$B$9,IF(J1083&gt;Parâmetros!$B$6,0,INDEX(Parâmetros!$C$24:$C$26,MATCH(J1083,Parâmetros!$A$24:$A$26,1))))</f>
        <v>0</v>
      </c>
      <c r="M1083" s="31" t="n">
        <f aca="false">IF(G1083="Prospecting",1,INDEX(Parâmetros!$C$32:$C$35,MATCH(J1083,Parâmetros!$A$32:$A$35,1)))</f>
        <v>0.4</v>
      </c>
      <c r="N1083" s="2" t="n">
        <f aca="false">ROUND((K1083+L1083)*M1083,0)</f>
        <v>17</v>
      </c>
      <c r="O1083" s="10" t="str">
        <f aca="false">IF(AND(G1083="Engaging",J1083&gt;Parâmetros!$B$6),"Sim","Não")</f>
        <v>Sim</v>
      </c>
      <c r="P1083" s="32" t="str">
        <f aca="false">IF(O1083="Sim","R",IF(N1083&gt;=Parâmetros!$B$39,"A",IF(N1083&gt;=Parâmetros!$B$40,"B",IF(N1083&gt;=Parâmetros!$B$41,"C","D"))))</f>
        <v>R</v>
      </c>
      <c r="Q1083" s="10" t="str">
        <f aca="false">IF(F1083="","Completar cadastro","")</f>
        <v>Completar cadastro</v>
      </c>
      <c r="R1083" s="10" t="str">
        <f aca="false">INDEX(Parâmetros!$D$39:$D$43,MATCH(P1083,Parâmetros!$A$39:$A$43,0))</f>
        <v>Reciclar: requalificar, reengajar ou encerrar</v>
      </c>
    </row>
    <row r="1084" customFormat="false" ht="15" hidden="false" customHeight="false" outlineLevel="0" collapsed="false">
      <c r="A1084" s="10" t="s">
        <v>1328</v>
      </c>
      <c r="B1084" s="10" t="s">
        <v>69</v>
      </c>
      <c r="C1084" s="10" t="s">
        <v>65</v>
      </c>
      <c r="D1084" s="10" t="s">
        <v>160</v>
      </c>
      <c r="E1084" s="10" t="s">
        <v>48</v>
      </c>
      <c r="F1084" s="10"/>
      <c r="G1084" s="10" t="s">
        <v>162</v>
      </c>
      <c r="H1084" s="30" t="n">
        <v>42842</v>
      </c>
      <c r="I1084" s="8" t="n">
        <f aca="false">INDEX(Parâmetros!$C$13:$C$19,MATCH(E1084,Parâmetros!$A$13:$A$19,0))</f>
        <v>4821</v>
      </c>
      <c r="J1084" s="26" t="n">
        <f aca="false">IF(H1084="","",Parâmetros!$B$5-H1084)</f>
        <v>258</v>
      </c>
      <c r="K1084" s="10" t="n">
        <f aca="false">INDEX(Parâmetros!$D$13:$D$19,MATCH(E1084,Parâmetros!$A$13:$A$19,0))</f>
        <v>43</v>
      </c>
      <c r="L1084" s="10" t="n">
        <f aca="false">IF(G1084="Prospecting",Parâmetros!$B$9,IF(J1084&gt;Parâmetros!$B$6,0,INDEX(Parâmetros!$C$24:$C$26,MATCH(J1084,Parâmetros!$A$24:$A$26,1))))</f>
        <v>0</v>
      </c>
      <c r="M1084" s="31" t="n">
        <f aca="false">IF(G1084="Prospecting",1,INDEX(Parâmetros!$C$32:$C$35,MATCH(J1084,Parâmetros!$A$32:$A$35,1)))</f>
        <v>0.4</v>
      </c>
      <c r="N1084" s="2" t="n">
        <f aca="false">ROUND((K1084+L1084)*M1084,0)</f>
        <v>17</v>
      </c>
      <c r="O1084" s="10" t="str">
        <f aca="false">IF(AND(G1084="Engaging",J1084&gt;Parâmetros!$B$6),"Sim","Não")</f>
        <v>Sim</v>
      </c>
      <c r="P1084" s="32" t="str">
        <f aca="false">IF(O1084="Sim","R",IF(N1084&gt;=Parâmetros!$B$39,"A",IF(N1084&gt;=Parâmetros!$B$40,"B",IF(N1084&gt;=Parâmetros!$B$41,"C","D"))))</f>
        <v>R</v>
      </c>
      <c r="Q1084" s="10" t="str">
        <f aca="false">IF(F1084="","Completar cadastro","")</f>
        <v>Completar cadastro</v>
      </c>
      <c r="R1084" s="10" t="str">
        <f aca="false">INDEX(Parâmetros!$D$39:$D$43,MATCH(P1084,Parâmetros!$A$39:$A$43,0))</f>
        <v>Reciclar: requalificar, reengajar ou encerrar</v>
      </c>
    </row>
    <row r="1085" customFormat="false" ht="15" hidden="false" customHeight="false" outlineLevel="0" collapsed="false">
      <c r="A1085" s="10" t="s">
        <v>1329</v>
      </c>
      <c r="B1085" s="10" t="s">
        <v>61</v>
      </c>
      <c r="C1085" s="10" t="s">
        <v>58</v>
      </c>
      <c r="D1085" s="10" t="s">
        <v>165</v>
      </c>
      <c r="E1085" s="10" t="s">
        <v>48</v>
      </c>
      <c r="F1085" s="10" t="s">
        <v>161</v>
      </c>
      <c r="G1085" s="10" t="s">
        <v>162</v>
      </c>
      <c r="H1085" s="30" t="n">
        <v>42844</v>
      </c>
      <c r="I1085" s="8" t="n">
        <f aca="false">INDEX(Parâmetros!$C$13:$C$19,MATCH(E1085,Parâmetros!$A$13:$A$19,0))</f>
        <v>4821</v>
      </c>
      <c r="J1085" s="26" t="n">
        <f aca="false">IF(H1085="","",Parâmetros!$B$5-H1085)</f>
        <v>256</v>
      </c>
      <c r="K1085" s="10" t="n">
        <f aca="false">INDEX(Parâmetros!$D$13:$D$19,MATCH(E1085,Parâmetros!$A$13:$A$19,0))</f>
        <v>43</v>
      </c>
      <c r="L1085" s="10" t="n">
        <f aca="false">IF(G1085="Prospecting",Parâmetros!$B$9,IF(J1085&gt;Parâmetros!$B$6,0,INDEX(Parâmetros!$C$24:$C$26,MATCH(J1085,Parâmetros!$A$24:$A$26,1))))</f>
        <v>0</v>
      </c>
      <c r="M1085" s="31" t="n">
        <f aca="false">IF(G1085="Prospecting",1,INDEX(Parâmetros!$C$32:$C$35,MATCH(J1085,Parâmetros!$A$32:$A$35,1)))</f>
        <v>0.4</v>
      </c>
      <c r="N1085" s="2" t="n">
        <f aca="false">ROUND((K1085+L1085)*M1085,0)</f>
        <v>17</v>
      </c>
      <c r="O1085" s="10" t="str">
        <f aca="false">IF(AND(G1085="Engaging",J1085&gt;Parâmetros!$B$6),"Sim","Não")</f>
        <v>Sim</v>
      </c>
      <c r="P1085" s="32" t="str">
        <f aca="false">IF(O1085="Sim","R",IF(N1085&gt;=Parâmetros!$B$39,"A",IF(N1085&gt;=Parâmetros!$B$40,"B",IF(N1085&gt;=Parâmetros!$B$41,"C","D"))))</f>
        <v>R</v>
      </c>
      <c r="Q1085" s="10" t="str">
        <f aca="false">IF(F1085="","Completar cadastro","")</f>
        <v/>
      </c>
      <c r="R1085" s="10" t="str">
        <f aca="false">INDEX(Parâmetros!$D$39:$D$43,MATCH(P1085,Parâmetros!$A$39:$A$43,0))</f>
        <v>Reciclar: requalificar, reengajar ou encerrar</v>
      </c>
    </row>
    <row r="1086" customFormat="false" ht="15" hidden="false" customHeight="false" outlineLevel="0" collapsed="false">
      <c r="A1086" s="10" t="s">
        <v>1330</v>
      </c>
      <c r="B1086" s="10" t="s">
        <v>70</v>
      </c>
      <c r="C1086" s="10" t="s">
        <v>65</v>
      </c>
      <c r="D1086" s="10" t="s">
        <v>160</v>
      </c>
      <c r="E1086" s="10" t="s">
        <v>48</v>
      </c>
      <c r="F1086" s="10"/>
      <c r="G1086" s="10" t="s">
        <v>162</v>
      </c>
      <c r="H1086" s="30" t="n">
        <v>42846</v>
      </c>
      <c r="I1086" s="8" t="n">
        <f aca="false">INDEX(Parâmetros!$C$13:$C$19,MATCH(E1086,Parâmetros!$A$13:$A$19,0))</f>
        <v>4821</v>
      </c>
      <c r="J1086" s="26" t="n">
        <f aca="false">IF(H1086="","",Parâmetros!$B$5-H1086)</f>
        <v>254</v>
      </c>
      <c r="K1086" s="10" t="n">
        <f aca="false">INDEX(Parâmetros!$D$13:$D$19,MATCH(E1086,Parâmetros!$A$13:$A$19,0))</f>
        <v>43</v>
      </c>
      <c r="L1086" s="10" t="n">
        <f aca="false">IF(G1086="Prospecting",Parâmetros!$B$9,IF(J1086&gt;Parâmetros!$B$6,0,INDEX(Parâmetros!$C$24:$C$26,MATCH(J1086,Parâmetros!$A$24:$A$26,1))))</f>
        <v>0</v>
      </c>
      <c r="M1086" s="31" t="n">
        <f aca="false">IF(G1086="Prospecting",1,INDEX(Parâmetros!$C$32:$C$35,MATCH(J1086,Parâmetros!$A$32:$A$35,1)))</f>
        <v>0.4</v>
      </c>
      <c r="N1086" s="2" t="n">
        <f aca="false">ROUND((K1086+L1086)*M1086,0)</f>
        <v>17</v>
      </c>
      <c r="O1086" s="10" t="str">
        <f aca="false">IF(AND(G1086="Engaging",J1086&gt;Parâmetros!$B$6),"Sim","Não")</f>
        <v>Sim</v>
      </c>
      <c r="P1086" s="32" t="str">
        <f aca="false">IF(O1086="Sim","R",IF(N1086&gt;=Parâmetros!$B$39,"A",IF(N1086&gt;=Parâmetros!$B$40,"B",IF(N1086&gt;=Parâmetros!$B$41,"C","D"))))</f>
        <v>R</v>
      </c>
      <c r="Q1086" s="10" t="str">
        <f aca="false">IF(F1086="","Completar cadastro","")</f>
        <v>Completar cadastro</v>
      </c>
      <c r="R1086" s="10" t="str">
        <f aca="false">INDEX(Parâmetros!$D$39:$D$43,MATCH(P1086,Parâmetros!$A$39:$A$43,0))</f>
        <v>Reciclar: requalificar, reengajar ou encerrar</v>
      </c>
    </row>
    <row r="1087" customFormat="false" ht="15" hidden="false" customHeight="false" outlineLevel="0" collapsed="false">
      <c r="A1087" s="10" t="s">
        <v>1331</v>
      </c>
      <c r="B1087" s="10" t="s">
        <v>86</v>
      </c>
      <c r="C1087" s="10" t="s">
        <v>85</v>
      </c>
      <c r="D1087" s="10" t="s">
        <v>165</v>
      </c>
      <c r="E1087" s="10" t="s">
        <v>48</v>
      </c>
      <c r="F1087" s="10"/>
      <c r="G1087" s="10" t="s">
        <v>162</v>
      </c>
      <c r="H1087" s="30" t="n">
        <v>42850</v>
      </c>
      <c r="I1087" s="8" t="n">
        <f aca="false">INDEX(Parâmetros!$C$13:$C$19,MATCH(E1087,Parâmetros!$A$13:$A$19,0))</f>
        <v>4821</v>
      </c>
      <c r="J1087" s="26" t="n">
        <f aca="false">IF(H1087="","",Parâmetros!$B$5-H1087)</f>
        <v>250</v>
      </c>
      <c r="K1087" s="10" t="n">
        <f aca="false">INDEX(Parâmetros!$D$13:$D$19,MATCH(E1087,Parâmetros!$A$13:$A$19,0))</f>
        <v>43</v>
      </c>
      <c r="L1087" s="10" t="n">
        <f aca="false">IF(G1087="Prospecting",Parâmetros!$B$9,IF(J1087&gt;Parâmetros!$B$6,0,INDEX(Parâmetros!$C$24:$C$26,MATCH(J1087,Parâmetros!$A$24:$A$26,1))))</f>
        <v>0</v>
      </c>
      <c r="M1087" s="31" t="n">
        <f aca="false">IF(G1087="Prospecting",1,INDEX(Parâmetros!$C$32:$C$35,MATCH(J1087,Parâmetros!$A$32:$A$35,1)))</f>
        <v>0.4</v>
      </c>
      <c r="N1087" s="2" t="n">
        <f aca="false">ROUND((K1087+L1087)*M1087,0)</f>
        <v>17</v>
      </c>
      <c r="O1087" s="10" t="str">
        <f aca="false">IF(AND(G1087="Engaging",J1087&gt;Parâmetros!$B$6),"Sim","Não")</f>
        <v>Sim</v>
      </c>
      <c r="P1087" s="32" t="str">
        <f aca="false">IF(O1087="Sim","R",IF(N1087&gt;=Parâmetros!$B$39,"A",IF(N1087&gt;=Parâmetros!$B$40,"B",IF(N1087&gt;=Parâmetros!$B$41,"C","D"))))</f>
        <v>R</v>
      </c>
      <c r="Q1087" s="10" t="str">
        <f aca="false">IF(F1087="","Completar cadastro","")</f>
        <v>Completar cadastro</v>
      </c>
      <c r="R1087" s="10" t="str">
        <f aca="false">INDEX(Parâmetros!$D$39:$D$43,MATCH(P1087,Parâmetros!$A$39:$A$43,0))</f>
        <v>Reciclar: requalificar, reengajar ou encerrar</v>
      </c>
    </row>
    <row r="1088" customFormat="false" ht="15" hidden="false" customHeight="false" outlineLevel="0" collapsed="false">
      <c r="A1088" s="10" t="s">
        <v>1332</v>
      </c>
      <c r="B1088" s="10" t="s">
        <v>96</v>
      </c>
      <c r="C1088" s="10" t="s">
        <v>92</v>
      </c>
      <c r="D1088" s="10" t="s">
        <v>160</v>
      </c>
      <c r="E1088" s="10" t="s">
        <v>48</v>
      </c>
      <c r="F1088" s="10"/>
      <c r="G1088" s="10" t="s">
        <v>162</v>
      </c>
      <c r="H1088" s="30" t="n">
        <v>42850</v>
      </c>
      <c r="I1088" s="8" t="n">
        <f aca="false">INDEX(Parâmetros!$C$13:$C$19,MATCH(E1088,Parâmetros!$A$13:$A$19,0))</f>
        <v>4821</v>
      </c>
      <c r="J1088" s="26" t="n">
        <f aca="false">IF(H1088="","",Parâmetros!$B$5-H1088)</f>
        <v>250</v>
      </c>
      <c r="K1088" s="10" t="n">
        <f aca="false">INDEX(Parâmetros!$D$13:$D$19,MATCH(E1088,Parâmetros!$A$13:$A$19,0))</f>
        <v>43</v>
      </c>
      <c r="L1088" s="10" t="n">
        <f aca="false">IF(G1088="Prospecting",Parâmetros!$B$9,IF(J1088&gt;Parâmetros!$B$6,0,INDEX(Parâmetros!$C$24:$C$26,MATCH(J1088,Parâmetros!$A$24:$A$26,1))))</f>
        <v>0</v>
      </c>
      <c r="M1088" s="31" t="n">
        <f aca="false">IF(G1088="Prospecting",1,INDEX(Parâmetros!$C$32:$C$35,MATCH(J1088,Parâmetros!$A$32:$A$35,1)))</f>
        <v>0.4</v>
      </c>
      <c r="N1088" s="2" t="n">
        <f aca="false">ROUND((K1088+L1088)*M1088,0)</f>
        <v>17</v>
      </c>
      <c r="O1088" s="10" t="str">
        <f aca="false">IF(AND(G1088="Engaging",J1088&gt;Parâmetros!$B$6),"Sim","Não")</f>
        <v>Sim</v>
      </c>
      <c r="P1088" s="32" t="str">
        <f aca="false">IF(O1088="Sim","R",IF(N1088&gt;=Parâmetros!$B$39,"A",IF(N1088&gt;=Parâmetros!$B$40,"B",IF(N1088&gt;=Parâmetros!$B$41,"C","D"))))</f>
        <v>R</v>
      </c>
      <c r="Q1088" s="10" t="str">
        <f aca="false">IF(F1088="","Completar cadastro","")</f>
        <v>Completar cadastro</v>
      </c>
      <c r="R1088" s="10" t="str">
        <f aca="false">INDEX(Parâmetros!$D$39:$D$43,MATCH(P1088,Parâmetros!$A$39:$A$43,0))</f>
        <v>Reciclar: requalificar, reengajar ou encerrar</v>
      </c>
    </row>
    <row r="1089" customFormat="false" ht="15" hidden="false" customHeight="false" outlineLevel="0" collapsed="false">
      <c r="A1089" s="10" t="s">
        <v>1333</v>
      </c>
      <c r="B1089" s="10" t="s">
        <v>96</v>
      </c>
      <c r="C1089" s="10" t="s">
        <v>92</v>
      </c>
      <c r="D1089" s="10" t="s">
        <v>160</v>
      </c>
      <c r="E1089" s="10" t="s">
        <v>48</v>
      </c>
      <c r="F1089" s="10" t="s">
        <v>1334</v>
      </c>
      <c r="G1089" s="10" t="s">
        <v>162</v>
      </c>
      <c r="H1089" s="30" t="n">
        <v>42854</v>
      </c>
      <c r="I1089" s="8" t="n">
        <f aca="false">INDEX(Parâmetros!$C$13:$C$19,MATCH(E1089,Parâmetros!$A$13:$A$19,0))</f>
        <v>4821</v>
      </c>
      <c r="J1089" s="26" t="n">
        <f aca="false">IF(H1089="","",Parâmetros!$B$5-H1089)</f>
        <v>246</v>
      </c>
      <c r="K1089" s="10" t="n">
        <f aca="false">INDEX(Parâmetros!$D$13:$D$19,MATCH(E1089,Parâmetros!$A$13:$A$19,0))</f>
        <v>43</v>
      </c>
      <c r="L1089" s="10" t="n">
        <f aca="false">IF(G1089="Prospecting",Parâmetros!$B$9,IF(J1089&gt;Parâmetros!$B$6,0,INDEX(Parâmetros!$C$24:$C$26,MATCH(J1089,Parâmetros!$A$24:$A$26,1))))</f>
        <v>0</v>
      </c>
      <c r="M1089" s="31" t="n">
        <f aca="false">IF(G1089="Prospecting",1,INDEX(Parâmetros!$C$32:$C$35,MATCH(J1089,Parâmetros!$A$32:$A$35,1)))</f>
        <v>0.4</v>
      </c>
      <c r="N1089" s="2" t="n">
        <f aca="false">ROUND((K1089+L1089)*M1089,0)</f>
        <v>17</v>
      </c>
      <c r="O1089" s="10" t="str">
        <f aca="false">IF(AND(G1089="Engaging",J1089&gt;Parâmetros!$B$6),"Sim","Não")</f>
        <v>Sim</v>
      </c>
      <c r="P1089" s="32" t="str">
        <f aca="false">IF(O1089="Sim","R",IF(N1089&gt;=Parâmetros!$B$39,"A",IF(N1089&gt;=Parâmetros!$B$40,"B",IF(N1089&gt;=Parâmetros!$B$41,"C","D"))))</f>
        <v>R</v>
      </c>
      <c r="Q1089" s="10" t="str">
        <f aca="false">IF(F1089="","Completar cadastro","")</f>
        <v/>
      </c>
      <c r="R1089" s="10" t="str">
        <f aca="false">INDEX(Parâmetros!$D$39:$D$43,MATCH(P1089,Parâmetros!$A$39:$A$43,0))</f>
        <v>Reciclar: requalificar, reengajar ou encerrar</v>
      </c>
    </row>
    <row r="1090" customFormat="false" ht="15" hidden="false" customHeight="false" outlineLevel="0" collapsed="false">
      <c r="A1090" s="10" t="s">
        <v>1335</v>
      </c>
      <c r="B1090" s="10" t="s">
        <v>95</v>
      </c>
      <c r="C1090" s="10" t="s">
        <v>92</v>
      </c>
      <c r="D1090" s="10" t="s">
        <v>160</v>
      </c>
      <c r="E1090" s="10" t="s">
        <v>48</v>
      </c>
      <c r="F1090" s="10"/>
      <c r="G1090" s="10" t="s">
        <v>162</v>
      </c>
      <c r="H1090" s="30" t="n">
        <v>42856</v>
      </c>
      <c r="I1090" s="8" t="n">
        <f aca="false">INDEX(Parâmetros!$C$13:$C$19,MATCH(E1090,Parâmetros!$A$13:$A$19,0))</f>
        <v>4821</v>
      </c>
      <c r="J1090" s="26" t="n">
        <f aca="false">IF(H1090="","",Parâmetros!$B$5-H1090)</f>
        <v>244</v>
      </c>
      <c r="K1090" s="10" t="n">
        <f aca="false">INDEX(Parâmetros!$D$13:$D$19,MATCH(E1090,Parâmetros!$A$13:$A$19,0))</f>
        <v>43</v>
      </c>
      <c r="L1090" s="10" t="n">
        <f aca="false">IF(G1090="Prospecting",Parâmetros!$B$9,IF(J1090&gt;Parâmetros!$B$6,0,INDEX(Parâmetros!$C$24:$C$26,MATCH(J1090,Parâmetros!$A$24:$A$26,1))))</f>
        <v>0</v>
      </c>
      <c r="M1090" s="31" t="n">
        <f aca="false">IF(G1090="Prospecting",1,INDEX(Parâmetros!$C$32:$C$35,MATCH(J1090,Parâmetros!$A$32:$A$35,1)))</f>
        <v>0.4</v>
      </c>
      <c r="N1090" s="2" t="n">
        <f aca="false">ROUND((K1090+L1090)*M1090,0)</f>
        <v>17</v>
      </c>
      <c r="O1090" s="10" t="str">
        <f aca="false">IF(AND(G1090="Engaging",J1090&gt;Parâmetros!$B$6),"Sim","Não")</f>
        <v>Sim</v>
      </c>
      <c r="P1090" s="32" t="str">
        <f aca="false">IF(O1090="Sim","R",IF(N1090&gt;=Parâmetros!$B$39,"A",IF(N1090&gt;=Parâmetros!$B$40,"B",IF(N1090&gt;=Parâmetros!$B$41,"C","D"))))</f>
        <v>R</v>
      </c>
      <c r="Q1090" s="10" t="str">
        <f aca="false">IF(F1090="","Completar cadastro","")</f>
        <v>Completar cadastro</v>
      </c>
      <c r="R1090" s="10" t="str">
        <f aca="false">INDEX(Parâmetros!$D$39:$D$43,MATCH(P1090,Parâmetros!$A$39:$A$43,0))</f>
        <v>Reciclar: requalificar, reengajar ou encerrar</v>
      </c>
    </row>
    <row r="1091" customFormat="false" ht="15" hidden="false" customHeight="false" outlineLevel="0" collapsed="false">
      <c r="A1091" s="10" t="s">
        <v>1336</v>
      </c>
      <c r="B1091" s="10" t="s">
        <v>86</v>
      </c>
      <c r="C1091" s="10" t="s">
        <v>85</v>
      </c>
      <c r="D1091" s="10" t="s">
        <v>165</v>
      </c>
      <c r="E1091" s="10" t="s">
        <v>48</v>
      </c>
      <c r="F1091" s="10" t="s">
        <v>291</v>
      </c>
      <c r="G1091" s="10" t="s">
        <v>162</v>
      </c>
      <c r="H1091" s="30" t="n">
        <v>42858</v>
      </c>
      <c r="I1091" s="8" t="n">
        <f aca="false">INDEX(Parâmetros!$C$13:$C$19,MATCH(E1091,Parâmetros!$A$13:$A$19,0))</f>
        <v>4821</v>
      </c>
      <c r="J1091" s="26" t="n">
        <f aca="false">IF(H1091="","",Parâmetros!$B$5-H1091)</f>
        <v>242</v>
      </c>
      <c r="K1091" s="10" t="n">
        <f aca="false">INDEX(Parâmetros!$D$13:$D$19,MATCH(E1091,Parâmetros!$A$13:$A$19,0))</f>
        <v>43</v>
      </c>
      <c r="L1091" s="10" t="n">
        <f aca="false">IF(G1091="Prospecting",Parâmetros!$B$9,IF(J1091&gt;Parâmetros!$B$6,0,INDEX(Parâmetros!$C$24:$C$26,MATCH(J1091,Parâmetros!$A$24:$A$26,1))))</f>
        <v>0</v>
      </c>
      <c r="M1091" s="31" t="n">
        <f aca="false">IF(G1091="Prospecting",1,INDEX(Parâmetros!$C$32:$C$35,MATCH(J1091,Parâmetros!$A$32:$A$35,1)))</f>
        <v>0.4</v>
      </c>
      <c r="N1091" s="2" t="n">
        <f aca="false">ROUND((K1091+L1091)*M1091,0)</f>
        <v>17</v>
      </c>
      <c r="O1091" s="10" t="str">
        <f aca="false">IF(AND(G1091="Engaging",J1091&gt;Parâmetros!$B$6),"Sim","Não")</f>
        <v>Sim</v>
      </c>
      <c r="P1091" s="32" t="str">
        <f aca="false">IF(O1091="Sim","R",IF(N1091&gt;=Parâmetros!$B$39,"A",IF(N1091&gt;=Parâmetros!$B$40,"B",IF(N1091&gt;=Parâmetros!$B$41,"C","D"))))</f>
        <v>R</v>
      </c>
      <c r="Q1091" s="10" t="str">
        <f aca="false">IF(F1091="","Completar cadastro","")</f>
        <v/>
      </c>
      <c r="R1091" s="10" t="str">
        <f aca="false">INDEX(Parâmetros!$D$39:$D$43,MATCH(P1091,Parâmetros!$A$39:$A$43,0))</f>
        <v>Reciclar: requalificar, reengajar ou encerrar</v>
      </c>
    </row>
    <row r="1092" customFormat="false" ht="15" hidden="false" customHeight="false" outlineLevel="0" collapsed="false">
      <c r="A1092" s="10" t="s">
        <v>1337</v>
      </c>
      <c r="B1092" s="10" t="s">
        <v>70</v>
      </c>
      <c r="C1092" s="10" t="s">
        <v>65</v>
      </c>
      <c r="D1092" s="10" t="s">
        <v>160</v>
      </c>
      <c r="E1092" s="10" t="s">
        <v>48</v>
      </c>
      <c r="F1092" s="10"/>
      <c r="G1092" s="10" t="s">
        <v>162</v>
      </c>
      <c r="H1092" s="30" t="n">
        <v>42861</v>
      </c>
      <c r="I1092" s="8" t="n">
        <f aca="false">INDEX(Parâmetros!$C$13:$C$19,MATCH(E1092,Parâmetros!$A$13:$A$19,0))</f>
        <v>4821</v>
      </c>
      <c r="J1092" s="26" t="n">
        <f aca="false">IF(H1092="","",Parâmetros!$B$5-H1092)</f>
        <v>239</v>
      </c>
      <c r="K1092" s="10" t="n">
        <f aca="false">INDEX(Parâmetros!$D$13:$D$19,MATCH(E1092,Parâmetros!$A$13:$A$19,0))</f>
        <v>43</v>
      </c>
      <c r="L1092" s="10" t="n">
        <f aca="false">IF(G1092="Prospecting",Parâmetros!$B$9,IF(J1092&gt;Parâmetros!$B$6,0,INDEX(Parâmetros!$C$24:$C$26,MATCH(J1092,Parâmetros!$A$24:$A$26,1))))</f>
        <v>0</v>
      </c>
      <c r="M1092" s="31" t="n">
        <f aca="false">IF(G1092="Prospecting",1,INDEX(Parâmetros!$C$32:$C$35,MATCH(J1092,Parâmetros!$A$32:$A$35,1)))</f>
        <v>0.4</v>
      </c>
      <c r="N1092" s="2" t="n">
        <f aca="false">ROUND((K1092+L1092)*M1092,0)</f>
        <v>17</v>
      </c>
      <c r="O1092" s="10" t="str">
        <f aca="false">IF(AND(G1092="Engaging",J1092&gt;Parâmetros!$B$6),"Sim","Não")</f>
        <v>Sim</v>
      </c>
      <c r="P1092" s="32" t="str">
        <f aca="false">IF(O1092="Sim","R",IF(N1092&gt;=Parâmetros!$B$39,"A",IF(N1092&gt;=Parâmetros!$B$40,"B",IF(N1092&gt;=Parâmetros!$B$41,"C","D"))))</f>
        <v>R</v>
      </c>
      <c r="Q1092" s="10" t="str">
        <f aca="false">IF(F1092="","Completar cadastro","")</f>
        <v>Completar cadastro</v>
      </c>
      <c r="R1092" s="10" t="str">
        <f aca="false">INDEX(Parâmetros!$D$39:$D$43,MATCH(P1092,Parâmetros!$A$39:$A$43,0))</f>
        <v>Reciclar: requalificar, reengajar ou encerrar</v>
      </c>
    </row>
    <row r="1093" customFormat="false" ht="15" hidden="false" customHeight="false" outlineLevel="0" collapsed="false">
      <c r="A1093" s="10" t="s">
        <v>1338</v>
      </c>
      <c r="B1093" s="10" t="s">
        <v>57</v>
      </c>
      <c r="C1093" s="10" t="s">
        <v>58</v>
      </c>
      <c r="D1093" s="10" t="s">
        <v>165</v>
      </c>
      <c r="E1093" s="10" t="s">
        <v>48</v>
      </c>
      <c r="F1093" s="10"/>
      <c r="G1093" s="10" t="s">
        <v>162</v>
      </c>
      <c r="H1093" s="30" t="n">
        <v>42862</v>
      </c>
      <c r="I1093" s="8" t="n">
        <f aca="false">INDEX(Parâmetros!$C$13:$C$19,MATCH(E1093,Parâmetros!$A$13:$A$19,0))</f>
        <v>4821</v>
      </c>
      <c r="J1093" s="26" t="n">
        <f aca="false">IF(H1093="","",Parâmetros!$B$5-H1093)</f>
        <v>238</v>
      </c>
      <c r="K1093" s="10" t="n">
        <f aca="false">INDEX(Parâmetros!$D$13:$D$19,MATCH(E1093,Parâmetros!$A$13:$A$19,0))</f>
        <v>43</v>
      </c>
      <c r="L1093" s="10" t="n">
        <f aca="false">IF(G1093="Prospecting",Parâmetros!$B$9,IF(J1093&gt;Parâmetros!$B$6,0,INDEX(Parâmetros!$C$24:$C$26,MATCH(J1093,Parâmetros!$A$24:$A$26,1))))</f>
        <v>0</v>
      </c>
      <c r="M1093" s="31" t="n">
        <f aca="false">IF(G1093="Prospecting",1,INDEX(Parâmetros!$C$32:$C$35,MATCH(J1093,Parâmetros!$A$32:$A$35,1)))</f>
        <v>0.4</v>
      </c>
      <c r="N1093" s="2" t="n">
        <f aca="false">ROUND((K1093+L1093)*M1093,0)</f>
        <v>17</v>
      </c>
      <c r="O1093" s="10" t="str">
        <f aca="false">IF(AND(G1093="Engaging",J1093&gt;Parâmetros!$B$6),"Sim","Não")</f>
        <v>Sim</v>
      </c>
      <c r="P1093" s="32" t="str">
        <f aca="false">IF(O1093="Sim","R",IF(N1093&gt;=Parâmetros!$B$39,"A",IF(N1093&gt;=Parâmetros!$B$40,"B",IF(N1093&gt;=Parâmetros!$B$41,"C","D"))))</f>
        <v>R</v>
      </c>
      <c r="Q1093" s="10" t="str">
        <f aca="false">IF(F1093="","Completar cadastro","")</f>
        <v>Completar cadastro</v>
      </c>
      <c r="R1093" s="10" t="str">
        <f aca="false">INDEX(Parâmetros!$D$39:$D$43,MATCH(P1093,Parâmetros!$A$39:$A$43,0))</f>
        <v>Reciclar: requalificar, reengajar ou encerrar</v>
      </c>
    </row>
    <row r="1094" customFormat="false" ht="15" hidden="false" customHeight="false" outlineLevel="0" collapsed="false">
      <c r="A1094" s="10" t="s">
        <v>1339</v>
      </c>
      <c r="B1094" s="10" t="s">
        <v>97</v>
      </c>
      <c r="C1094" s="10" t="s">
        <v>92</v>
      </c>
      <c r="D1094" s="10" t="s">
        <v>160</v>
      </c>
      <c r="E1094" s="10" t="s">
        <v>48</v>
      </c>
      <c r="F1094" s="10" t="s">
        <v>424</v>
      </c>
      <c r="G1094" s="10" t="s">
        <v>162</v>
      </c>
      <c r="H1094" s="30" t="n">
        <v>42863</v>
      </c>
      <c r="I1094" s="8" t="n">
        <f aca="false">INDEX(Parâmetros!$C$13:$C$19,MATCH(E1094,Parâmetros!$A$13:$A$19,0))</f>
        <v>4821</v>
      </c>
      <c r="J1094" s="26" t="n">
        <f aca="false">IF(H1094="","",Parâmetros!$B$5-H1094)</f>
        <v>237</v>
      </c>
      <c r="K1094" s="10" t="n">
        <f aca="false">INDEX(Parâmetros!$D$13:$D$19,MATCH(E1094,Parâmetros!$A$13:$A$19,0))</f>
        <v>43</v>
      </c>
      <c r="L1094" s="10" t="n">
        <f aca="false">IF(G1094="Prospecting",Parâmetros!$B$9,IF(J1094&gt;Parâmetros!$B$6,0,INDEX(Parâmetros!$C$24:$C$26,MATCH(J1094,Parâmetros!$A$24:$A$26,1))))</f>
        <v>0</v>
      </c>
      <c r="M1094" s="31" t="n">
        <f aca="false">IF(G1094="Prospecting",1,INDEX(Parâmetros!$C$32:$C$35,MATCH(J1094,Parâmetros!$A$32:$A$35,1)))</f>
        <v>0.4</v>
      </c>
      <c r="N1094" s="2" t="n">
        <f aca="false">ROUND((K1094+L1094)*M1094,0)</f>
        <v>17</v>
      </c>
      <c r="O1094" s="10" t="str">
        <f aca="false">IF(AND(G1094="Engaging",J1094&gt;Parâmetros!$B$6),"Sim","Não")</f>
        <v>Sim</v>
      </c>
      <c r="P1094" s="32" t="str">
        <f aca="false">IF(O1094="Sim","R",IF(N1094&gt;=Parâmetros!$B$39,"A",IF(N1094&gt;=Parâmetros!$B$40,"B",IF(N1094&gt;=Parâmetros!$B$41,"C","D"))))</f>
        <v>R</v>
      </c>
      <c r="Q1094" s="10" t="str">
        <f aca="false">IF(F1094="","Completar cadastro","")</f>
        <v/>
      </c>
      <c r="R1094" s="10" t="str">
        <f aca="false">INDEX(Parâmetros!$D$39:$D$43,MATCH(P1094,Parâmetros!$A$39:$A$43,0))</f>
        <v>Reciclar: requalificar, reengajar ou encerrar</v>
      </c>
    </row>
    <row r="1095" customFormat="false" ht="15" hidden="false" customHeight="false" outlineLevel="0" collapsed="false">
      <c r="A1095" s="10" t="s">
        <v>1340</v>
      </c>
      <c r="B1095" s="10" t="s">
        <v>61</v>
      </c>
      <c r="C1095" s="10" t="s">
        <v>58</v>
      </c>
      <c r="D1095" s="10" t="s">
        <v>165</v>
      </c>
      <c r="E1095" s="10" t="s">
        <v>48</v>
      </c>
      <c r="F1095" s="10"/>
      <c r="G1095" s="10" t="s">
        <v>162</v>
      </c>
      <c r="H1095" s="30" t="n">
        <v>42864</v>
      </c>
      <c r="I1095" s="8" t="n">
        <f aca="false">INDEX(Parâmetros!$C$13:$C$19,MATCH(E1095,Parâmetros!$A$13:$A$19,0))</f>
        <v>4821</v>
      </c>
      <c r="J1095" s="26" t="n">
        <f aca="false">IF(H1095="","",Parâmetros!$B$5-H1095)</f>
        <v>236</v>
      </c>
      <c r="K1095" s="10" t="n">
        <f aca="false">INDEX(Parâmetros!$D$13:$D$19,MATCH(E1095,Parâmetros!$A$13:$A$19,0))</f>
        <v>43</v>
      </c>
      <c r="L1095" s="10" t="n">
        <f aca="false">IF(G1095="Prospecting",Parâmetros!$B$9,IF(J1095&gt;Parâmetros!$B$6,0,INDEX(Parâmetros!$C$24:$C$26,MATCH(J1095,Parâmetros!$A$24:$A$26,1))))</f>
        <v>0</v>
      </c>
      <c r="M1095" s="31" t="n">
        <f aca="false">IF(G1095="Prospecting",1,INDEX(Parâmetros!$C$32:$C$35,MATCH(J1095,Parâmetros!$A$32:$A$35,1)))</f>
        <v>0.4</v>
      </c>
      <c r="N1095" s="2" t="n">
        <f aca="false">ROUND((K1095+L1095)*M1095,0)</f>
        <v>17</v>
      </c>
      <c r="O1095" s="10" t="str">
        <f aca="false">IF(AND(G1095="Engaging",J1095&gt;Parâmetros!$B$6),"Sim","Não")</f>
        <v>Sim</v>
      </c>
      <c r="P1095" s="32" t="str">
        <f aca="false">IF(O1095="Sim","R",IF(N1095&gt;=Parâmetros!$B$39,"A",IF(N1095&gt;=Parâmetros!$B$40,"B",IF(N1095&gt;=Parâmetros!$B$41,"C","D"))))</f>
        <v>R</v>
      </c>
      <c r="Q1095" s="10" t="str">
        <f aca="false">IF(F1095="","Completar cadastro","")</f>
        <v>Completar cadastro</v>
      </c>
      <c r="R1095" s="10" t="str">
        <f aca="false">INDEX(Parâmetros!$D$39:$D$43,MATCH(P1095,Parâmetros!$A$39:$A$43,0))</f>
        <v>Reciclar: requalificar, reengajar ou encerrar</v>
      </c>
    </row>
    <row r="1096" customFormat="false" ht="15" hidden="false" customHeight="false" outlineLevel="0" collapsed="false">
      <c r="A1096" s="10" t="s">
        <v>1341</v>
      </c>
      <c r="B1096" s="10" t="s">
        <v>63</v>
      </c>
      <c r="C1096" s="10" t="s">
        <v>58</v>
      </c>
      <c r="D1096" s="10" t="s">
        <v>165</v>
      </c>
      <c r="E1096" s="10" t="s">
        <v>48</v>
      </c>
      <c r="F1096" s="10"/>
      <c r="G1096" s="10" t="s">
        <v>162</v>
      </c>
      <c r="H1096" s="30" t="n">
        <v>42869</v>
      </c>
      <c r="I1096" s="8" t="n">
        <f aca="false">INDEX(Parâmetros!$C$13:$C$19,MATCH(E1096,Parâmetros!$A$13:$A$19,0))</f>
        <v>4821</v>
      </c>
      <c r="J1096" s="26" t="n">
        <f aca="false">IF(H1096="","",Parâmetros!$B$5-H1096)</f>
        <v>231</v>
      </c>
      <c r="K1096" s="10" t="n">
        <f aca="false">INDEX(Parâmetros!$D$13:$D$19,MATCH(E1096,Parâmetros!$A$13:$A$19,0))</f>
        <v>43</v>
      </c>
      <c r="L1096" s="10" t="n">
        <f aca="false">IF(G1096="Prospecting",Parâmetros!$B$9,IF(J1096&gt;Parâmetros!$B$6,0,INDEX(Parâmetros!$C$24:$C$26,MATCH(J1096,Parâmetros!$A$24:$A$26,1))))</f>
        <v>0</v>
      </c>
      <c r="M1096" s="31" t="n">
        <f aca="false">IF(G1096="Prospecting",1,INDEX(Parâmetros!$C$32:$C$35,MATCH(J1096,Parâmetros!$A$32:$A$35,1)))</f>
        <v>0.4</v>
      </c>
      <c r="N1096" s="2" t="n">
        <f aca="false">ROUND((K1096+L1096)*M1096,0)</f>
        <v>17</v>
      </c>
      <c r="O1096" s="10" t="str">
        <f aca="false">IF(AND(G1096="Engaging",J1096&gt;Parâmetros!$B$6),"Sim","Não")</f>
        <v>Sim</v>
      </c>
      <c r="P1096" s="32" t="str">
        <f aca="false">IF(O1096="Sim","R",IF(N1096&gt;=Parâmetros!$B$39,"A",IF(N1096&gt;=Parâmetros!$B$40,"B",IF(N1096&gt;=Parâmetros!$B$41,"C","D"))))</f>
        <v>R</v>
      </c>
      <c r="Q1096" s="10" t="str">
        <f aca="false">IF(F1096="","Completar cadastro","")</f>
        <v>Completar cadastro</v>
      </c>
      <c r="R1096" s="10" t="str">
        <f aca="false">INDEX(Parâmetros!$D$39:$D$43,MATCH(P1096,Parâmetros!$A$39:$A$43,0))</f>
        <v>Reciclar: requalificar, reengajar ou encerrar</v>
      </c>
    </row>
    <row r="1097" customFormat="false" ht="15" hidden="false" customHeight="false" outlineLevel="0" collapsed="false">
      <c r="A1097" s="10" t="s">
        <v>1342</v>
      </c>
      <c r="B1097" s="10" t="s">
        <v>68</v>
      </c>
      <c r="C1097" s="10" t="s">
        <v>65</v>
      </c>
      <c r="D1097" s="10" t="s">
        <v>160</v>
      </c>
      <c r="E1097" s="10" t="s">
        <v>48</v>
      </c>
      <c r="F1097" s="10" t="s">
        <v>168</v>
      </c>
      <c r="G1097" s="10" t="s">
        <v>162</v>
      </c>
      <c r="H1097" s="30" t="n">
        <v>42872</v>
      </c>
      <c r="I1097" s="8" t="n">
        <f aca="false">INDEX(Parâmetros!$C$13:$C$19,MATCH(E1097,Parâmetros!$A$13:$A$19,0))</f>
        <v>4821</v>
      </c>
      <c r="J1097" s="26" t="n">
        <f aca="false">IF(H1097="","",Parâmetros!$B$5-H1097)</f>
        <v>228</v>
      </c>
      <c r="K1097" s="10" t="n">
        <f aca="false">INDEX(Parâmetros!$D$13:$D$19,MATCH(E1097,Parâmetros!$A$13:$A$19,0))</f>
        <v>43</v>
      </c>
      <c r="L1097" s="10" t="n">
        <f aca="false">IF(G1097="Prospecting",Parâmetros!$B$9,IF(J1097&gt;Parâmetros!$B$6,0,INDEX(Parâmetros!$C$24:$C$26,MATCH(J1097,Parâmetros!$A$24:$A$26,1))))</f>
        <v>0</v>
      </c>
      <c r="M1097" s="31" t="n">
        <f aca="false">IF(G1097="Prospecting",1,INDEX(Parâmetros!$C$32:$C$35,MATCH(J1097,Parâmetros!$A$32:$A$35,1)))</f>
        <v>0.4</v>
      </c>
      <c r="N1097" s="2" t="n">
        <f aca="false">ROUND((K1097+L1097)*M1097,0)</f>
        <v>17</v>
      </c>
      <c r="O1097" s="10" t="str">
        <f aca="false">IF(AND(G1097="Engaging",J1097&gt;Parâmetros!$B$6),"Sim","Não")</f>
        <v>Sim</v>
      </c>
      <c r="P1097" s="32" t="str">
        <f aca="false">IF(O1097="Sim","R",IF(N1097&gt;=Parâmetros!$B$39,"A",IF(N1097&gt;=Parâmetros!$B$40,"B",IF(N1097&gt;=Parâmetros!$B$41,"C","D"))))</f>
        <v>R</v>
      </c>
      <c r="Q1097" s="10" t="str">
        <f aca="false">IF(F1097="","Completar cadastro","")</f>
        <v/>
      </c>
      <c r="R1097" s="10" t="str">
        <f aca="false">INDEX(Parâmetros!$D$39:$D$43,MATCH(P1097,Parâmetros!$A$39:$A$43,0))</f>
        <v>Reciclar: requalificar, reengajar ou encerrar</v>
      </c>
    </row>
    <row r="1098" customFormat="false" ht="15" hidden="false" customHeight="false" outlineLevel="0" collapsed="false">
      <c r="A1098" s="10" t="s">
        <v>1343</v>
      </c>
      <c r="B1098" s="10" t="s">
        <v>57</v>
      </c>
      <c r="C1098" s="10" t="s">
        <v>58</v>
      </c>
      <c r="D1098" s="10" t="s">
        <v>165</v>
      </c>
      <c r="E1098" s="10" t="s">
        <v>48</v>
      </c>
      <c r="F1098" s="10"/>
      <c r="G1098" s="10" t="s">
        <v>162</v>
      </c>
      <c r="H1098" s="30" t="n">
        <v>42875</v>
      </c>
      <c r="I1098" s="8" t="n">
        <f aca="false">INDEX(Parâmetros!$C$13:$C$19,MATCH(E1098,Parâmetros!$A$13:$A$19,0))</f>
        <v>4821</v>
      </c>
      <c r="J1098" s="26" t="n">
        <f aca="false">IF(H1098="","",Parâmetros!$B$5-H1098)</f>
        <v>225</v>
      </c>
      <c r="K1098" s="10" t="n">
        <f aca="false">INDEX(Parâmetros!$D$13:$D$19,MATCH(E1098,Parâmetros!$A$13:$A$19,0))</f>
        <v>43</v>
      </c>
      <c r="L1098" s="10" t="n">
        <f aca="false">IF(G1098="Prospecting",Parâmetros!$B$9,IF(J1098&gt;Parâmetros!$B$6,0,INDEX(Parâmetros!$C$24:$C$26,MATCH(J1098,Parâmetros!$A$24:$A$26,1))))</f>
        <v>0</v>
      </c>
      <c r="M1098" s="31" t="n">
        <f aca="false">IF(G1098="Prospecting",1,INDEX(Parâmetros!$C$32:$C$35,MATCH(J1098,Parâmetros!$A$32:$A$35,1)))</f>
        <v>0.4</v>
      </c>
      <c r="N1098" s="2" t="n">
        <f aca="false">ROUND((K1098+L1098)*M1098,0)</f>
        <v>17</v>
      </c>
      <c r="O1098" s="10" t="str">
        <f aca="false">IF(AND(G1098="Engaging",J1098&gt;Parâmetros!$B$6),"Sim","Não")</f>
        <v>Sim</v>
      </c>
      <c r="P1098" s="32" t="str">
        <f aca="false">IF(O1098="Sim","R",IF(N1098&gt;=Parâmetros!$B$39,"A",IF(N1098&gt;=Parâmetros!$B$40,"B",IF(N1098&gt;=Parâmetros!$B$41,"C","D"))))</f>
        <v>R</v>
      </c>
      <c r="Q1098" s="10" t="str">
        <f aca="false">IF(F1098="","Completar cadastro","")</f>
        <v>Completar cadastro</v>
      </c>
      <c r="R1098" s="10" t="str">
        <f aca="false">INDEX(Parâmetros!$D$39:$D$43,MATCH(P1098,Parâmetros!$A$39:$A$43,0))</f>
        <v>Reciclar: requalificar, reengajar ou encerrar</v>
      </c>
    </row>
    <row r="1099" customFormat="false" ht="15" hidden="false" customHeight="false" outlineLevel="0" collapsed="false">
      <c r="A1099" s="10" t="s">
        <v>1344</v>
      </c>
      <c r="B1099" s="10" t="s">
        <v>61</v>
      </c>
      <c r="C1099" s="10" t="s">
        <v>58</v>
      </c>
      <c r="D1099" s="10" t="s">
        <v>165</v>
      </c>
      <c r="E1099" s="10" t="s">
        <v>48</v>
      </c>
      <c r="F1099" s="10"/>
      <c r="G1099" s="10" t="s">
        <v>162</v>
      </c>
      <c r="H1099" s="30" t="n">
        <v>42877</v>
      </c>
      <c r="I1099" s="8" t="n">
        <f aca="false">INDEX(Parâmetros!$C$13:$C$19,MATCH(E1099,Parâmetros!$A$13:$A$19,0))</f>
        <v>4821</v>
      </c>
      <c r="J1099" s="26" t="n">
        <f aca="false">IF(H1099="","",Parâmetros!$B$5-H1099)</f>
        <v>223</v>
      </c>
      <c r="K1099" s="10" t="n">
        <f aca="false">INDEX(Parâmetros!$D$13:$D$19,MATCH(E1099,Parâmetros!$A$13:$A$19,0))</f>
        <v>43</v>
      </c>
      <c r="L1099" s="10" t="n">
        <f aca="false">IF(G1099="Prospecting",Parâmetros!$B$9,IF(J1099&gt;Parâmetros!$B$6,0,INDEX(Parâmetros!$C$24:$C$26,MATCH(J1099,Parâmetros!$A$24:$A$26,1))))</f>
        <v>0</v>
      </c>
      <c r="M1099" s="31" t="n">
        <f aca="false">IF(G1099="Prospecting",1,INDEX(Parâmetros!$C$32:$C$35,MATCH(J1099,Parâmetros!$A$32:$A$35,1)))</f>
        <v>0.4</v>
      </c>
      <c r="N1099" s="2" t="n">
        <f aca="false">ROUND((K1099+L1099)*M1099,0)</f>
        <v>17</v>
      </c>
      <c r="O1099" s="10" t="str">
        <f aca="false">IF(AND(G1099="Engaging",J1099&gt;Parâmetros!$B$6),"Sim","Não")</f>
        <v>Sim</v>
      </c>
      <c r="P1099" s="32" t="str">
        <f aca="false">IF(O1099="Sim","R",IF(N1099&gt;=Parâmetros!$B$39,"A",IF(N1099&gt;=Parâmetros!$B$40,"B",IF(N1099&gt;=Parâmetros!$B$41,"C","D"))))</f>
        <v>R</v>
      </c>
      <c r="Q1099" s="10" t="str">
        <f aca="false">IF(F1099="","Completar cadastro","")</f>
        <v>Completar cadastro</v>
      </c>
      <c r="R1099" s="10" t="str">
        <f aca="false">INDEX(Parâmetros!$D$39:$D$43,MATCH(P1099,Parâmetros!$A$39:$A$43,0))</f>
        <v>Reciclar: requalificar, reengajar ou encerrar</v>
      </c>
    </row>
    <row r="1100" customFormat="false" ht="15" hidden="false" customHeight="false" outlineLevel="0" collapsed="false">
      <c r="A1100" s="10" t="s">
        <v>1345</v>
      </c>
      <c r="B1100" s="10" t="s">
        <v>66</v>
      </c>
      <c r="C1100" s="10" t="s">
        <v>65</v>
      </c>
      <c r="D1100" s="10" t="s">
        <v>160</v>
      </c>
      <c r="E1100" s="10" t="s">
        <v>48</v>
      </c>
      <c r="F1100" s="10"/>
      <c r="G1100" s="10" t="s">
        <v>162</v>
      </c>
      <c r="H1100" s="30" t="n">
        <v>42879</v>
      </c>
      <c r="I1100" s="8" t="n">
        <f aca="false">INDEX(Parâmetros!$C$13:$C$19,MATCH(E1100,Parâmetros!$A$13:$A$19,0))</f>
        <v>4821</v>
      </c>
      <c r="J1100" s="26" t="n">
        <f aca="false">IF(H1100="","",Parâmetros!$B$5-H1100)</f>
        <v>221</v>
      </c>
      <c r="K1100" s="10" t="n">
        <f aca="false">INDEX(Parâmetros!$D$13:$D$19,MATCH(E1100,Parâmetros!$A$13:$A$19,0))</f>
        <v>43</v>
      </c>
      <c r="L1100" s="10" t="n">
        <f aca="false">IF(G1100="Prospecting",Parâmetros!$B$9,IF(J1100&gt;Parâmetros!$B$6,0,INDEX(Parâmetros!$C$24:$C$26,MATCH(J1100,Parâmetros!$A$24:$A$26,1))))</f>
        <v>0</v>
      </c>
      <c r="M1100" s="31" t="n">
        <f aca="false">IF(G1100="Prospecting",1,INDEX(Parâmetros!$C$32:$C$35,MATCH(J1100,Parâmetros!$A$32:$A$35,1)))</f>
        <v>0.4</v>
      </c>
      <c r="N1100" s="2" t="n">
        <f aca="false">ROUND((K1100+L1100)*M1100,0)</f>
        <v>17</v>
      </c>
      <c r="O1100" s="10" t="str">
        <f aca="false">IF(AND(G1100="Engaging",J1100&gt;Parâmetros!$B$6),"Sim","Não")</f>
        <v>Sim</v>
      </c>
      <c r="P1100" s="32" t="str">
        <f aca="false">IF(O1100="Sim","R",IF(N1100&gt;=Parâmetros!$B$39,"A",IF(N1100&gt;=Parâmetros!$B$40,"B",IF(N1100&gt;=Parâmetros!$B$41,"C","D"))))</f>
        <v>R</v>
      </c>
      <c r="Q1100" s="10" t="str">
        <f aca="false">IF(F1100="","Completar cadastro","")</f>
        <v>Completar cadastro</v>
      </c>
      <c r="R1100" s="10" t="str">
        <f aca="false">INDEX(Parâmetros!$D$39:$D$43,MATCH(P1100,Parâmetros!$A$39:$A$43,0))</f>
        <v>Reciclar: requalificar, reengajar ou encerrar</v>
      </c>
    </row>
    <row r="1101" customFormat="false" ht="15" hidden="false" customHeight="false" outlineLevel="0" collapsed="false">
      <c r="A1101" s="10" t="s">
        <v>1346</v>
      </c>
      <c r="B1101" s="10" t="s">
        <v>95</v>
      </c>
      <c r="C1101" s="10" t="s">
        <v>92</v>
      </c>
      <c r="D1101" s="10" t="s">
        <v>160</v>
      </c>
      <c r="E1101" s="10" t="s">
        <v>48</v>
      </c>
      <c r="F1101" s="10"/>
      <c r="G1101" s="10" t="s">
        <v>162</v>
      </c>
      <c r="H1101" s="30" t="n">
        <v>42880</v>
      </c>
      <c r="I1101" s="8" t="n">
        <f aca="false">INDEX(Parâmetros!$C$13:$C$19,MATCH(E1101,Parâmetros!$A$13:$A$19,0))</f>
        <v>4821</v>
      </c>
      <c r="J1101" s="26" t="n">
        <f aca="false">IF(H1101="","",Parâmetros!$B$5-H1101)</f>
        <v>220</v>
      </c>
      <c r="K1101" s="10" t="n">
        <f aca="false">INDEX(Parâmetros!$D$13:$D$19,MATCH(E1101,Parâmetros!$A$13:$A$19,0))</f>
        <v>43</v>
      </c>
      <c r="L1101" s="10" t="n">
        <f aca="false">IF(G1101="Prospecting",Parâmetros!$B$9,IF(J1101&gt;Parâmetros!$B$6,0,INDEX(Parâmetros!$C$24:$C$26,MATCH(J1101,Parâmetros!$A$24:$A$26,1))))</f>
        <v>0</v>
      </c>
      <c r="M1101" s="31" t="n">
        <f aca="false">IF(G1101="Prospecting",1,INDEX(Parâmetros!$C$32:$C$35,MATCH(J1101,Parâmetros!$A$32:$A$35,1)))</f>
        <v>0.4</v>
      </c>
      <c r="N1101" s="2" t="n">
        <f aca="false">ROUND((K1101+L1101)*M1101,0)</f>
        <v>17</v>
      </c>
      <c r="O1101" s="10" t="str">
        <f aca="false">IF(AND(G1101="Engaging",J1101&gt;Parâmetros!$B$6),"Sim","Não")</f>
        <v>Sim</v>
      </c>
      <c r="P1101" s="32" t="str">
        <f aca="false">IF(O1101="Sim","R",IF(N1101&gt;=Parâmetros!$B$39,"A",IF(N1101&gt;=Parâmetros!$B$40,"B",IF(N1101&gt;=Parâmetros!$B$41,"C","D"))))</f>
        <v>R</v>
      </c>
      <c r="Q1101" s="10" t="str">
        <f aca="false">IF(F1101="","Completar cadastro","")</f>
        <v>Completar cadastro</v>
      </c>
      <c r="R1101" s="10" t="str">
        <f aca="false">INDEX(Parâmetros!$D$39:$D$43,MATCH(P1101,Parâmetros!$A$39:$A$43,0))</f>
        <v>Reciclar: requalificar, reengajar ou encerrar</v>
      </c>
    </row>
    <row r="1102" customFormat="false" ht="15" hidden="false" customHeight="false" outlineLevel="0" collapsed="false">
      <c r="A1102" s="10" t="s">
        <v>1347</v>
      </c>
      <c r="B1102" s="10" t="s">
        <v>94</v>
      </c>
      <c r="C1102" s="10" t="s">
        <v>92</v>
      </c>
      <c r="D1102" s="10" t="s">
        <v>160</v>
      </c>
      <c r="E1102" s="10" t="s">
        <v>48</v>
      </c>
      <c r="F1102" s="10" t="s">
        <v>353</v>
      </c>
      <c r="G1102" s="10" t="s">
        <v>162</v>
      </c>
      <c r="H1102" s="30" t="n">
        <v>42881</v>
      </c>
      <c r="I1102" s="8" t="n">
        <f aca="false">INDEX(Parâmetros!$C$13:$C$19,MATCH(E1102,Parâmetros!$A$13:$A$19,0))</f>
        <v>4821</v>
      </c>
      <c r="J1102" s="26" t="n">
        <f aca="false">IF(H1102="","",Parâmetros!$B$5-H1102)</f>
        <v>219</v>
      </c>
      <c r="K1102" s="10" t="n">
        <f aca="false">INDEX(Parâmetros!$D$13:$D$19,MATCH(E1102,Parâmetros!$A$13:$A$19,0))</f>
        <v>43</v>
      </c>
      <c r="L1102" s="10" t="n">
        <f aca="false">IF(G1102="Prospecting",Parâmetros!$B$9,IF(J1102&gt;Parâmetros!$B$6,0,INDEX(Parâmetros!$C$24:$C$26,MATCH(J1102,Parâmetros!$A$24:$A$26,1))))</f>
        <v>0</v>
      </c>
      <c r="M1102" s="31" t="n">
        <f aca="false">IF(G1102="Prospecting",1,INDEX(Parâmetros!$C$32:$C$35,MATCH(J1102,Parâmetros!$A$32:$A$35,1)))</f>
        <v>0.4</v>
      </c>
      <c r="N1102" s="2" t="n">
        <f aca="false">ROUND((K1102+L1102)*M1102,0)</f>
        <v>17</v>
      </c>
      <c r="O1102" s="10" t="str">
        <f aca="false">IF(AND(G1102="Engaging",J1102&gt;Parâmetros!$B$6),"Sim","Não")</f>
        <v>Sim</v>
      </c>
      <c r="P1102" s="32" t="str">
        <f aca="false">IF(O1102="Sim","R",IF(N1102&gt;=Parâmetros!$B$39,"A",IF(N1102&gt;=Parâmetros!$B$40,"B",IF(N1102&gt;=Parâmetros!$B$41,"C","D"))))</f>
        <v>R</v>
      </c>
      <c r="Q1102" s="10" t="str">
        <f aca="false">IF(F1102="","Completar cadastro","")</f>
        <v/>
      </c>
      <c r="R1102" s="10" t="str">
        <f aca="false">INDEX(Parâmetros!$D$39:$D$43,MATCH(P1102,Parâmetros!$A$39:$A$43,0))</f>
        <v>Reciclar: requalificar, reengajar ou encerrar</v>
      </c>
    </row>
    <row r="1103" customFormat="false" ht="15" hidden="false" customHeight="false" outlineLevel="0" collapsed="false">
      <c r="A1103" s="10" t="s">
        <v>1348</v>
      </c>
      <c r="B1103" s="10" t="s">
        <v>87</v>
      </c>
      <c r="C1103" s="10" t="s">
        <v>85</v>
      </c>
      <c r="D1103" s="10" t="s">
        <v>165</v>
      </c>
      <c r="E1103" s="10" t="s">
        <v>48</v>
      </c>
      <c r="F1103" s="10" t="s">
        <v>512</v>
      </c>
      <c r="G1103" s="10" t="s">
        <v>162</v>
      </c>
      <c r="H1103" s="30" t="n">
        <v>42882</v>
      </c>
      <c r="I1103" s="8" t="n">
        <f aca="false">INDEX(Parâmetros!$C$13:$C$19,MATCH(E1103,Parâmetros!$A$13:$A$19,0))</f>
        <v>4821</v>
      </c>
      <c r="J1103" s="26" t="n">
        <f aca="false">IF(H1103="","",Parâmetros!$B$5-H1103)</f>
        <v>218</v>
      </c>
      <c r="K1103" s="10" t="n">
        <f aca="false">INDEX(Parâmetros!$D$13:$D$19,MATCH(E1103,Parâmetros!$A$13:$A$19,0))</f>
        <v>43</v>
      </c>
      <c r="L1103" s="10" t="n">
        <f aca="false">IF(G1103="Prospecting",Parâmetros!$B$9,IF(J1103&gt;Parâmetros!$B$6,0,INDEX(Parâmetros!$C$24:$C$26,MATCH(J1103,Parâmetros!$A$24:$A$26,1))))</f>
        <v>0</v>
      </c>
      <c r="M1103" s="31" t="n">
        <f aca="false">IF(G1103="Prospecting",1,INDEX(Parâmetros!$C$32:$C$35,MATCH(J1103,Parâmetros!$A$32:$A$35,1)))</f>
        <v>0.4</v>
      </c>
      <c r="N1103" s="2" t="n">
        <f aca="false">ROUND((K1103+L1103)*M1103,0)</f>
        <v>17</v>
      </c>
      <c r="O1103" s="10" t="str">
        <f aca="false">IF(AND(G1103="Engaging",J1103&gt;Parâmetros!$B$6),"Sim","Não")</f>
        <v>Sim</v>
      </c>
      <c r="P1103" s="32" t="str">
        <f aca="false">IF(O1103="Sim","R",IF(N1103&gt;=Parâmetros!$B$39,"A",IF(N1103&gt;=Parâmetros!$B$40,"B",IF(N1103&gt;=Parâmetros!$B$41,"C","D"))))</f>
        <v>R</v>
      </c>
      <c r="Q1103" s="10" t="str">
        <f aca="false">IF(F1103="","Completar cadastro","")</f>
        <v/>
      </c>
      <c r="R1103" s="10" t="str">
        <f aca="false">INDEX(Parâmetros!$D$39:$D$43,MATCH(P1103,Parâmetros!$A$39:$A$43,0))</f>
        <v>Reciclar: requalificar, reengajar ou encerrar</v>
      </c>
    </row>
    <row r="1104" customFormat="false" ht="15" hidden="false" customHeight="false" outlineLevel="0" collapsed="false">
      <c r="A1104" s="10" t="s">
        <v>1349</v>
      </c>
      <c r="B1104" s="10" t="s">
        <v>87</v>
      </c>
      <c r="C1104" s="10" t="s">
        <v>85</v>
      </c>
      <c r="D1104" s="10" t="s">
        <v>165</v>
      </c>
      <c r="E1104" s="10" t="s">
        <v>48</v>
      </c>
      <c r="F1104" s="10"/>
      <c r="G1104" s="10" t="s">
        <v>162</v>
      </c>
      <c r="H1104" s="30" t="n">
        <v>42882</v>
      </c>
      <c r="I1104" s="8" t="n">
        <f aca="false">INDEX(Parâmetros!$C$13:$C$19,MATCH(E1104,Parâmetros!$A$13:$A$19,0))</f>
        <v>4821</v>
      </c>
      <c r="J1104" s="26" t="n">
        <f aca="false">IF(H1104="","",Parâmetros!$B$5-H1104)</f>
        <v>218</v>
      </c>
      <c r="K1104" s="10" t="n">
        <f aca="false">INDEX(Parâmetros!$D$13:$D$19,MATCH(E1104,Parâmetros!$A$13:$A$19,0))</f>
        <v>43</v>
      </c>
      <c r="L1104" s="10" t="n">
        <f aca="false">IF(G1104="Prospecting",Parâmetros!$B$9,IF(J1104&gt;Parâmetros!$B$6,0,INDEX(Parâmetros!$C$24:$C$26,MATCH(J1104,Parâmetros!$A$24:$A$26,1))))</f>
        <v>0</v>
      </c>
      <c r="M1104" s="31" t="n">
        <f aca="false">IF(G1104="Prospecting",1,INDEX(Parâmetros!$C$32:$C$35,MATCH(J1104,Parâmetros!$A$32:$A$35,1)))</f>
        <v>0.4</v>
      </c>
      <c r="N1104" s="2" t="n">
        <f aca="false">ROUND((K1104+L1104)*M1104,0)</f>
        <v>17</v>
      </c>
      <c r="O1104" s="10" t="str">
        <f aca="false">IF(AND(G1104="Engaging",J1104&gt;Parâmetros!$B$6),"Sim","Não")</f>
        <v>Sim</v>
      </c>
      <c r="P1104" s="32" t="str">
        <f aca="false">IF(O1104="Sim","R",IF(N1104&gt;=Parâmetros!$B$39,"A",IF(N1104&gt;=Parâmetros!$B$40,"B",IF(N1104&gt;=Parâmetros!$B$41,"C","D"))))</f>
        <v>R</v>
      </c>
      <c r="Q1104" s="10" t="str">
        <f aca="false">IF(F1104="","Completar cadastro","")</f>
        <v>Completar cadastro</v>
      </c>
      <c r="R1104" s="10" t="str">
        <f aca="false">INDEX(Parâmetros!$D$39:$D$43,MATCH(P1104,Parâmetros!$A$39:$A$43,0))</f>
        <v>Reciclar: requalificar, reengajar ou encerrar</v>
      </c>
    </row>
    <row r="1105" customFormat="false" ht="15" hidden="false" customHeight="false" outlineLevel="0" collapsed="false">
      <c r="A1105" s="10" t="s">
        <v>1350</v>
      </c>
      <c r="B1105" s="10" t="s">
        <v>97</v>
      </c>
      <c r="C1105" s="10" t="s">
        <v>92</v>
      </c>
      <c r="D1105" s="10" t="s">
        <v>160</v>
      </c>
      <c r="E1105" s="10" t="s">
        <v>48</v>
      </c>
      <c r="F1105" s="10"/>
      <c r="G1105" s="10" t="s">
        <v>162</v>
      </c>
      <c r="H1105" s="30" t="n">
        <v>42883</v>
      </c>
      <c r="I1105" s="8" t="n">
        <f aca="false">INDEX(Parâmetros!$C$13:$C$19,MATCH(E1105,Parâmetros!$A$13:$A$19,0))</f>
        <v>4821</v>
      </c>
      <c r="J1105" s="26" t="n">
        <f aca="false">IF(H1105="","",Parâmetros!$B$5-H1105)</f>
        <v>217</v>
      </c>
      <c r="K1105" s="10" t="n">
        <f aca="false">INDEX(Parâmetros!$D$13:$D$19,MATCH(E1105,Parâmetros!$A$13:$A$19,0))</f>
        <v>43</v>
      </c>
      <c r="L1105" s="10" t="n">
        <f aca="false">IF(G1105="Prospecting",Parâmetros!$B$9,IF(J1105&gt;Parâmetros!$B$6,0,INDEX(Parâmetros!$C$24:$C$26,MATCH(J1105,Parâmetros!$A$24:$A$26,1))))</f>
        <v>0</v>
      </c>
      <c r="M1105" s="31" t="n">
        <f aca="false">IF(G1105="Prospecting",1,INDEX(Parâmetros!$C$32:$C$35,MATCH(J1105,Parâmetros!$A$32:$A$35,1)))</f>
        <v>0.4</v>
      </c>
      <c r="N1105" s="2" t="n">
        <f aca="false">ROUND((K1105+L1105)*M1105,0)</f>
        <v>17</v>
      </c>
      <c r="O1105" s="10" t="str">
        <f aca="false">IF(AND(G1105="Engaging",J1105&gt;Parâmetros!$B$6),"Sim","Não")</f>
        <v>Sim</v>
      </c>
      <c r="P1105" s="32" t="str">
        <f aca="false">IF(O1105="Sim","R",IF(N1105&gt;=Parâmetros!$B$39,"A",IF(N1105&gt;=Parâmetros!$B$40,"B",IF(N1105&gt;=Parâmetros!$B$41,"C","D"))))</f>
        <v>R</v>
      </c>
      <c r="Q1105" s="10" t="str">
        <f aca="false">IF(F1105="","Completar cadastro","")</f>
        <v>Completar cadastro</v>
      </c>
      <c r="R1105" s="10" t="str">
        <f aca="false">INDEX(Parâmetros!$D$39:$D$43,MATCH(P1105,Parâmetros!$A$39:$A$43,0))</f>
        <v>Reciclar: requalificar, reengajar ou encerrar</v>
      </c>
    </row>
    <row r="1106" customFormat="false" ht="15" hidden="false" customHeight="false" outlineLevel="0" collapsed="false">
      <c r="A1106" s="10" t="s">
        <v>1351</v>
      </c>
      <c r="B1106" s="10" t="s">
        <v>57</v>
      </c>
      <c r="C1106" s="10" t="s">
        <v>58</v>
      </c>
      <c r="D1106" s="10" t="s">
        <v>165</v>
      </c>
      <c r="E1106" s="10" t="s">
        <v>48</v>
      </c>
      <c r="F1106" s="10" t="s">
        <v>441</v>
      </c>
      <c r="G1106" s="10" t="s">
        <v>162</v>
      </c>
      <c r="H1106" s="30" t="n">
        <v>42884</v>
      </c>
      <c r="I1106" s="8" t="n">
        <f aca="false">INDEX(Parâmetros!$C$13:$C$19,MATCH(E1106,Parâmetros!$A$13:$A$19,0))</f>
        <v>4821</v>
      </c>
      <c r="J1106" s="26" t="n">
        <f aca="false">IF(H1106="","",Parâmetros!$B$5-H1106)</f>
        <v>216</v>
      </c>
      <c r="K1106" s="10" t="n">
        <f aca="false">INDEX(Parâmetros!$D$13:$D$19,MATCH(E1106,Parâmetros!$A$13:$A$19,0))</f>
        <v>43</v>
      </c>
      <c r="L1106" s="10" t="n">
        <f aca="false">IF(G1106="Prospecting",Parâmetros!$B$9,IF(J1106&gt;Parâmetros!$B$6,0,INDEX(Parâmetros!$C$24:$C$26,MATCH(J1106,Parâmetros!$A$24:$A$26,1))))</f>
        <v>0</v>
      </c>
      <c r="M1106" s="31" t="n">
        <f aca="false">IF(G1106="Prospecting",1,INDEX(Parâmetros!$C$32:$C$35,MATCH(J1106,Parâmetros!$A$32:$A$35,1)))</f>
        <v>0.4</v>
      </c>
      <c r="N1106" s="2" t="n">
        <f aca="false">ROUND((K1106+L1106)*M1106,0)</f>
        <v>17</v>
      </c>
      <c r="O1106" s="10" t="str">
        <f aca="false">IF(AND(G1106="Engaging",J1106&gt;Parâmetros!$B$6),"Sim","Não")</f>
        <v>Sim</v>
      </c>
      <c r="P1106" s="32" t="str">
        <f aca="false">IF(O1106="Sim","R",IF(N1106&gt;=Parâmetros!$B$39,"A",IF(N1106&gt;=Parâmetros!$B$40,"B",IF(N1106&gt;=Parâmetros!$B$41,"C","D"))))</f>
        <v>R</v>
      </c>
      <c r="Q1106" s="10" t="str">
        <f aca="false">IF(F1106="","Completar cadastro","")</f>
        <v/>
      </c>
      <c r="R1106" s="10" t="str">
        <f aca="false">INDEX(Parâmetros!$D$39:$D$43,MATCH(P1106,Parâmetros!$A$39:$A$43,0))</f>
        <v>Reciclar: requalificar, reengajar ou encerrar</v>
      </c>
    </row>
    <row r="1107" customFormat="false" ht="15" hidden="false" customHeight="false" outlineLevel="0" collapsed="false">
      <c r="A1107" s="10" t="s">
        <v>1352</v>
      </c>
      <c r="B1107" s="10" t="s">
        <v>95</v>
      </c>
      <c r="C1107" s="10" t="s">
        <v>92</v>
      </c>
      <c r="D1107" s="10" t="s">
        <v>160</v>
      </c>
      <c r="E1107" s="10" t="s">
        <v>48</v>
      </c>
      <c r="F1107" s="10"/>
      <c r="G1107" s="10" t="s">
        <v>162</v>
      </c>
      <c r="H1107" s="30" t="n">
        <v>42884</v>
      </c>
      <c r="I1107" s="8" t="n">
        <f aca="false">INDEX(Parâmetros!$C$13:$C$19,MATCH(E1107,Parâmetros!$A$13:$A$19,0))</f>
        <v>4821</v>
      </c>
      <c r="J1107" s="26" t="n">
        <f aca="false">IF(H1107="","",Parâmetros!$B$5-H1107)</f>
        <v>216</v>
      </c>
      <c r="K1107" s="10" t="n">
        <f aca="false">INDEX(Parâmetros!$D$13:$D$19,MATCH(E1107,Parâmetros!$A$13:$A$19,0))</f>
        <v>43</v>
      </c>
      <c r="L1107" s="10" t="n">
        <f aca="false">IF(G1107="Prospecting",Parâmetros!$B$9,IF(J1107&gt;Parâmetros!$B$6,0,INDEX(Parâmetros!$C$24:$C$26,MATCH(J1107,Parâmetros!$A$24:$A$26,1))))</f>
        <v>0</v>
      </c>
      <c r="M1107" s="31" t="n">
        <f aca="false">IF(G1107="Prospecting",1,INDEX(Parâmetros!$C$32:$C$35,MATCH(J1107,Parâmetros!$A$32:$A$35,1)))</f>
        <v>0.4</v>
      </c>
      <c r="N1107" s="2" t="n">
        <f aca="false">ROUND((K1107+L1107)*M1107,0)</f>
        <v>17</v>
      </c>
      <c r="O1107" s="10" t="str">
        <f aca="false">IF(AND(G1107="Engaging",J1107&gt;Parâmetros!$B$6),"Sim","Não")</f>
        <v>Sim</v>
      </c>
      <c r="P1107" s="32" t="str">
        <f aca="false">IF(O1107="Sim","R",IF(N1107&gt;=Parâmetros!$B$39,"A",IF(N1107&gt;=Parâmetros!$B$40,"B",IF(N1107&gt;=Parâmetros!$B$41,"C","D"))))</f>
        <v>R</v>
      </c>
      <c r="Q1107" s="10" t="str">
        <f aca="false">IF(F1107="","Completar cadastro","")</f>
        <v>Completar cadastro</v>
      </c>
      <c r="R1107" s="10" t="str">
        <f aca="false">INDEX(Parâmetros!$D$39:$D$43,MATCH(P1107,Parâmetros!$A$39:$A$43,0))</f>
        <v>Reciclar: requalificar, reengajar ou encerrar</v>
      </c>
    </row>
    <row r="1108" customFormat="false" ht="15" hidden="false" customHeight="false" outlineLevel="0" collapsed="false">
      <c r="A1108" s="10" t="s">
        <v>1353</v>
      </c>
      <c r="B1108" s="10" t="s">
        <v>97</v>
      </c>
      <c r="C1108" s="10" t="s">
        <v>92</v>
      </c>
      <c r="D1108" s="10" t="s">
        <v>160</v>
      </c>
      <c r="E1108" s="10" t="s">
        <v>48</v>
      </c>
      <c r="F1108" s="10"/>
      <c r="G1108" s="10" t="s">
        <v>162</v>
      </c>
      <c r="H1108" s="30" t="n">
        <v>42884</v>
      </c>
      <c r="I1108" s="8" t="n">
        <f aca="false">INDEX(Parâmetros!$C$13:$C$19,MATCH(E1108,Parâmetros!$A$13:$A$19,0))</f>
        <v>4821</v>
      </c>
      <c r="J1108" s="26" t="n">
        <f aca="false">IF(H1108="","",Parâmetros!$B$5-H1108)</f>
        <v>216</v>
      </c>
      <c r="K1108" s="10" t="n">
        <f aca="false">INDEX(Parâmetros!$D$13:$D$19,MATCH(E1108,Parâmetros!$A$13:$A$19,0))</f>
        <v>43</v>
      </c>
      <c r="L1108" s="10" t="n">
        <f aca="false">IF(G1108="Prospecting",Parâmetros!$B$9,IF(J1108&gt;Parâmetros!$B$6,0,INDEX(Parâmetros!$C$24:$C$26,MATCH(J1108,Parâmetros!$A$24:$A$26,1))))</f>
        <v>0</v>
      </c>
      <c r="M1108" s="31" t="n">
        <f aca="false">IF(G1108="Prospecting",1,INDEX(Parâmetros!$C$32:$C$35,MATCH(J1108,Parâmetros!$A$32:$A$35,1)))</f>
        <v>0.4</v>
      </c>
      <c r="N1108" s="2" t="n">
        <f aca="false">ROUND((K1108+L1108)*M1108,0)</f>
        <v>17</v>
      </c>
      <c r="O1108" s="10" t="str">
        <f aca="false">IF(AND(G1108="Engaging",J1108&gt;Parâmetros!$B$6),"Sim","Não")</f>
        <v>Sim</v>
      </c>
      <c r="P1108" s="32" t="str">
        <f aca="false">IF(O1108="Sim","R",IF(N1108&gt;=Parâmetros!$B$39,"A",IF(N1108&gt;=Parâmetros!$B$40,"B",IF(N1108&gt;=Parâmetros!$B$41,"C","D"))))</f>
        <v>R</v>
      </c>
      <c r="Q1108" s="10" t="str">
        <f aca="false">IF(F1108="","Completar cadastro","")</f>
        <v>Completar cadastro</v>
      </c>
      <c r="R1108" s="10" t="str">
        <f aca="false">INDEX(Parâmetros!$D$39:$D$43,MATCH(P1108,Parâmetros!$A$39:$A$43,0))</f>
        <v>Reciclar: requalificar, reengajar ou encerrar</v>
      </c>
    </row>
    <row r="1109" customFormat="false" ht="15" hidden="false" customHeight="false" outlineLevel="0" collapsed="false">
      <c r="A1109" s="10" t="s">
        <v>1354</v>
      </c>
      <c r="B1109" s="10" t="s">
        <v>87</v>
      </c>
      <c r="C1109" s="10" t="s">
        <v>85</v>
      </c>
      <c r="D1109" s="10" t="s">
        <v>165</v>
      </c>
      <c r="E1109" s="10" t="s">
        <v>48</v>
      </c>
      <c r="F1109" s="10"/>
      <c r="G1109" s="10" t="s">
        <v>162</v>
      </c>
      <c r="H1109" s="30" t="n">
        <v>42887</v>
      </c>
      <c r="I1109" s="8" t="n">
        <f aca="false">INDEX(Parâmetros!$C$13:$C$19,MATCH(E1109,Parâmetros!$A$13:$A$19,0))</f>
        <v>4821</v>
      </c>
      <c r="J1109" s="26" t="n">
        <f aca="false">IF(H1109="","",Parâmetros!$B$5-H1109)</f>
        <v>213</v>
      </c>
      <c r="K1109" s="10" t="n">
        <f aca="false">INDEX(Parâmetros!$D$13:$D$19,MATCH(E1109,Parâmetros!$A$13:$A$19,0))</f>
        <v>43</v>
      </c>
      <c r="L1109" s="10" t="n">
        <f aca="false">IF(G1109="Prospecting",Parâmetros!$B$9,IF(J1109&gt;Parâmetros!$B$6,0,INDEX(Parâmetros!$C$24:$C$26,MATCH(J1109,Parâmetros!$A$24:$A$26,1))))</f>
        <v>0</v>
      </c>
      <c r="M1109" s="31" t="n">
        <f aca="false">IF(G1109="Prospecting",1,INDEX(Parâmetros!$C$32:$C$35,MATCH(J1109,Parâmetros!$A$32:$A$35,1)))</f>
        <v>0.4</v>
      </c>
      <c r="N1109" s="2" t="n">
        <f aca="false">ROUND((K1109+L1109)*M1109,0)</f>
        <v>17</v>
      </c>
      <c r="O1109" s="10" t="str">
        <f aca="false">IF(AND(G1109="Engaging",J1109&gt;Parâmetros!$B$6),"Sim","Não")</f>
        <v>Sim</v>
      </c>
      <c r="P1109" s="32" t="str">
        <f aca="false">IF(O1109="Sim","R",IF(N1109&gt;=Parâmetros!$B$39,"A",IF(N1109&gt;=Parâmetros!$B$40,"B",IF(N1109&gt;=Parâmetros!$B$41,"C","D"))))</f>
        <v>R</v>
      </c>
      <c r="Q1109" s="10" t="str">
        <f aca="false">IF(F1109="","Completar cadastro","")</f>
        <v>Completar cadastro</v>
      </c>
      <c r="R1109" s="10" t="str">
        <f aca="false">INDEX(Parâmetros!$D$39:$D$43,MATCH(P1109,Parâmetros!$A$39:$A$43,0))</f>
        <v>Reciclar: requalificar, reengajar ou encerrar</v>
      </c>
    </row>
    <row r="1110" customFormat="false" ht="15" hidden="false" customHeight="false" outlineLevel="0" collapsed="false">
      <c r="A1110" s="10" t="s">
        <v>1355</v>
      </c>
      <c r="B1110" s="10" t="s">
        <v>62</v>
      </c>
      <c r="C1110" s="10" t="s">
        <v>58</v>
      </c>
      <c r="D1110" s="10" t="s">
        <v>165</v>
      </c>
      <c r="E1110" s="10" t="s">
        <v>48</v>
      </c>
      <c r="F1110" s="10" t="s">
        <v>441</v>
      </c>
      <c r="G1110" s="10" t="s">
        <v>162</v>
      </c>
      <c r="H1110" s="30" t="n">
        <v>42888</v>
      </c>
      <c r="I1110" s="8" t="n">
        <f aca="false">INDEX(Parâmetros!$C$13:$C$19,MATCH(E1110,Parâmetros!$A$13:$A$19,0))</f>
        <v>4821</v>
      </c>
      <c r="J1110" s="26" t="n">
        <f aca="false">IF(H1110="","",Parâmetros!$B$5-H1110)</f>
        <v>212</v>
      </c>
      <c r="K1110" s="10" t="n">
        <f aca="false">INDEX(Parâmetros!$D$13:$D$19,MATCH(E1110,Parâmetros!$A$13:$A$19,0))</f>
        <v>43</v>
      </c>
      <c r="L1110" s="10" t="n">
        <f aca="false">IF(G1110="Prospecting",Parâmetros!$B$9,IF(J1110&gt;Parâmetros!$B$6,0,INDEX(Parâmetros!$C$24:$C$26,MATCH(J1110,Parâmetros!$A$24:$A$26,1))))</f>
        <v>0</v>
      </c>
      <c r="M1110" s="31" t="n">
        <f aca="false">IF(G1110="Prospecting",1,INDEX(Parâmetros!$C$32:$C$35,MATCH(J1110,Parâmetros!$A$32:$A$35,1)))</f>
        <v>0.4</v>
      </c>
      <c r="N1110" s="2" t="n">
        <f aca="false">ROUND((K1110+L1110)*M1110,0)</f>
        <v>17</v>
      </c>
      <c r="O1110" s="10" t="str">
        <f aca="false">IF(AND(G1110="Engaging",J1110&gt;Parâmetros!$B$6),"Sim","Não")</f>
        <v>Sim</v>
      </c>
      <c r="P1110" s="32" t="str">
        <f aca="false">IF(O1110="Sim","R",IF(N1110&gt;=Parâmetros!$B$39,"A",IF(N1110&gt;=Parâmetros!$B$40,"B",IF(N1110&gt;=Parâmetros!$B$41,"C","D"))))</f>
        <v>R</v>
      </c>
      <c r="Q1110" s="10" t="str">
        <f aca="false">IF(F1110="","Completar cadastro","")</f>
        <v/>
      </c>
      <c r="R1110" s="10" t="str">
        <f aca="false">INDEX(Parâmetros!$D$39:$D$43,MATCH(P1110,Parâmetros!$A$39:$A$43,0))</f>
        <v>Reciclar: requalificar, reengajar ou encerrar</v>
      </c>
    </row>
    <row r="1111" customFormat="false" ht="15" hidden="false" customHeight="false" outlineLevel="0" collapsed="false">
      <c r="A1111" s="10" t="s">
        <v>1356</v>
      </c>
      <c r="B1111" s="10" t="s">
        <v>94</v>
      </c>
      <c r="C1111" s="10" t="s">
        <v>92</v>
      </c>
      <c r="D1111" s="10" t="s">
        <v>160</v>
      </c>
      <c r="E1111" s="10" t="s">
        <v>48</v>
      </c>
      <c r="F1111" s="10" t="s">
        <v>514</v>
      </c>
      <c r="G1111" s="10" t="s">
        <v>162</v>
      </c>
      <c r="H1111" s="30" t="n">
        <v>42889</v>
      </c>
      <c r="I1111" s="8" t="n">
        <f aca="false">INDEX(Parâmetros!$C$13:$C$19,MATCH(E1111,Parâmetros!$A$13:$A$19,0))</f>
        <v>4821</v>
      </c>
      <c r="J1111" s="26" t="n">
        <f aca="false">IF(H1111="","",Parâmetros!$B$5-H1111)</f>
        <v>211</v>
      </c>
      <c r="K1111" s="10" t="n">
        <f aca="false">INDEX(Parâmetros!$D$13:$D$19,MATCH(E1111,Parâmetros!$A$13:$A$19,0))</f>
        <v>43</v>
      </c>
      <c r="L1111" s="10" t="n">
        <f aca="false">IF(G1111="Prospecting",Parâmetros!$B$9,IF(J1111&gt;Parâmetros!$B$6,0,INDEX(Parâmetros!$C$24:$C$26,MATCH(J1111,Parâmetros!$A$24:$A$26,1))))</f>
        <v>0</v>
      </c>
      <c r="M1111" s="31" t="n">
        <f aca="false">IF(G1111="Prospecting",1,INDEX(Parâmetros!$C$32:$C$35,MATCH(J1111,Parâmetros!$A$32:$A$35,1)))</f>
        <v>0.4</v>
      </c>
      <c r="N1111" s="2" t="n">
        <f aca="false">ROUND((K1111+L1111)*M1111,0)</f>
        <v>17</v>
      </c>
      <c r="O1111" s="10" t="str">
        <f aca="false">IF(AND(G1111="Engaging",J1111&gt;Parâmetros!$B$6),"Sim","Não")</f>
        <v>Sim</v>
      </c>
      <c r="P1111" s="32" t="str">
        <f aca="false">IF(O1111="Sim","R",IF(N1111&gt;=Parâmetros!$B$39,"A",IF(N1111&gt;=Parâmetros!$B$40,"B",IF(N1111&gt;=Parâmetros!$B$41,"C","D"))))</f>
        <v>R</v>
      </c>
      <c r="Q1111" s="10" t="str">
        <f aca="false">IF(F1111="","Completar cadastro","")</f>
        <v/>
      </c>
      <c r="R1111" s="10" t="str">
        <f aca="false">INDEX(Parâmetros!$D$39:$D$43,MATCH(P1111,Parâmetros!$A$39:$A$43,0))</f>
        <v>Reciclar: requalificar, reengajar ou encerrar</v>
      </c>
    </row>
    <row r="1112" customFormat="false" ht="15" hidden="false" customHeight="false" outlineLevel="0" collapsed="false">
      <c r="A1112" s="10" t="s">
        <v>1357</v>
      </c>
      <c r="B1112" s="10" t="s">
        <v>95</v>
      </c>
      <c r="C1112" s="10" t="s">
        <v>92</v>
      </c>
      <c r="D1112" s="10" t="s">
        <v>160</v>
      </c>
      <c r="E1112" s="10" t="s">
        <v>48</v>
      </c>
      <c r="F1112" s="10"/>
      <c r="G1112" s="10" t="s">
        <v>162</v>
      </c>
      <c r="H1112" s="30" t="n">
        <v>42890</v>
      </c>
      <c r="I1112" s="8" t="n">
        <f aca="false">INDEX(Parâmetros!$C$13:$C$19,MATCH(E1112,Parâmetros!$A$13:$A$19,0))</f>
        <v>4821</v>
      </c>
      <c r="J1112" s="26" t="n">
        <f aca="false">IF(H1112="","",Parâmetros!$B$5-H1112)</f>
        <v>210</v>
      </c>
      <c r="K1112" s="10" t="n">
        <f aca="false">INDEX(Parâmetros!$D$13:$D$19,MATCH(E1112,Parâmetros!$A$13:$A$19,0))</f>
        <v>43</v>
      </c>
      <c r="L1112" s="10" t="n">
        <f aca="false">IF(G1112="Prospecting",Parâmetros!$B$9,IF(J1112&gt;Parâmetros!$B$6,0,INDEX(Parâmetros!$C$24:$C$26,MATCH(J1112,Parâmetros!$A$24:$A$26,1))))</f>
        <v>0</v>
      </c>
      <c r="M1112" s="31" t="n">
        <f aca="false">IF(G1112="Prospecting",1,INDEX(Parâmetros!$C$32:$C$35,MATCH(J1112,Parâmetros!$A$32:$A$35,1)))</f>
        <v>0.4</v>
      </c>
      <c r="N1112" s="2" t="n">
        <f aca="false">ROUND((K1112+L1112)*M1112,0)</f>
        <v>17</v>
      </c>
      <c r="O1112" s="10" t="str">
        <f aca="false">IF(AND(G1112="Engaging",J1112&gt;Parâmetros!$B$6),"Sim","Não")</f>
        <v>Sim</v>
      </c>
      <c r="P1112" s="32" t="str">
        <f aca="false">IF(O1112="Sim","R",IF(N1112&gt;=Parâmetros!$B$39,"A",IF(N1112&gt;=Parâmetros!$B$40,"B",IF(N1112&gt;=Parâmetros!$B$41,"C","D"))))</f>
        <v>R</v>
      </c>
      <c r="Q1112" s="10" t="str">
        <f aca="false">IF(F1112="","Completar cadastro","")</f>
        <v>Completar cadastro</v>
      </c>
      <c r="R1112" s="10" t="str">
        <f aca="false">INDEX(Parâmetros!$D$39:$D$43,MATCH(P1112,Parâmetros!$A$39:$A$43,0))</f>
        <v>Reciclar: requalificar, reengajar ou encerrar</v>
      </c>
    </row>
    <row r="1113" customFormat="false" ht="15" hidden="false" customHeight="false" outlineLevel="0" collapsed="false">
      <c r="A1113" s="10" t="s">
        <v>1358</v>
      </c>
      <c r="B1113" s="10" t="s">
        <v>97</v>
      </c>
      <c r="C1113" s="10" t="s">
        <v>92</v>
      </c>
      <c r="D1113" s="10" t="s">
        <v>160</v>
      </c>
      <c r="E1113" s="10" t="s">
        <v>48</v>
      </c>
      <c r="F1113" s="10"/>
      <c r="G1113" s="10" t="s">
        <v>162</v>
      </c>
      <c r="H1113" s="30" t="n">
        <v>42893</v>
      </c>
      <c r="I1113" s="8" t="n">
        <f aca="false">INDEX(Parâmetros!$C$13:$C$19,MATCH(E1113,Parâmetros!$A$13:$A$19,0))</f>
        <v>4821</v>
      </c>
      <c r="J1113" s="26" t="n">
        <f aca="false">IF(H1113="","",Parâmetros!$B$5-H1113)</f>
        <v>207</v>
      </c>
      <c r="K1113" s="10" t="n">
        <f aca="false">INDEX(Parâmetros!$D$13:$D$19,MATCH(E1113,Parâmetros!$A$13:$A$19,0))</f>
        <v>43</v>
      </c>
      <c r="L1113" s="10" t="n">
        <f aca="false">IF(G1113="Prospecting",Parâmetros!$B$9,IF(J1113&gt;Parâmetros!$B$6,0,INDEX(Parâmetros!$C$24:$C$26,MATCH(J1113,Parâmetros!$A$24:$A$26,1))))</f>
        <v>0</v>
      </c>
      <c r="M1113" s="31" t="n">
        <f aca="false">IF(G1113="Prospecting",1,INDEX(Parâmetros!$C$32:$C$35,MATCH(J1113,Parâmetros!$A$32:$A$35,1)))</f>
        <v>0.4</v>
      </c>
      <c r="N1113" s="2" t="n">
        <f aca="false">ROUND((K1113+L1113)*M1113,0)</f>
        <v>17</v>
      </c>
      <c r="O1113" s="10" t="str">
        <f aca="false">IF(AND(G1113="Engaging",J1113&gt;Parâmetros!$B$6),"Sim","Não")</f>
        <v>Sim</v>
      </c>
      <c r="P1113" s="32" t="str">
        <f aca="false">IF(O1113="Sim","R",IF(N1113&gt;=Parâmetros!$B$39,"A",IF(N1113&gt;=Parâmetros!$B$40,"B",IF(N1113&gt;=Parâmetros!$B$41,"C","D"))))</f>
        <v>R</v>
      </c>
      <c r="Q1113" s="10" t="str">
        <f aca="false">IF(F1113="","Completar cadastro","")</f>
        <v>Completar cadastro</v>
      </c>
      <c r="R1113" s="10" t="str">
        <f aca="false">INDEX(Parâmetros!$D$39:$D$43,MATCH(P1113,Parâmetros!$A$39:$A$43,0))</f>
        <v>Reciclar: requalificar, reengajar ou encerrar</v>
      </c>
    </row>
    <row r="1114" customFormat="false" ht="15" hidden="false" customHeight="false" outlineLevel="0" collapsed="false">
      <c r="A1114" s="10" t="s">
        <v>1359</v>
      </c>
      <c r="B1114" s="10" t="s">
        <v>69</v>
      </c>
      <c r="C1114" s="10" t="s">
        <v>65</v>
      </c>
      <c r="D1114" s="10" t="s">
        <v>160</v>
      </c>
      <c r="E1114" s="10" t="s">
        <v>48</v>
      </c>
      <c r="F1114" s="10" t="s">
        <v>455</v>
      </c>
      <c r="G1114" s="10" t="s">
        <v>162</v>
      </c>
      <c r="H1114" s="30" t="n">
        <v>42896</v>
      </c>
      <c r="I1114" s="8" t="n">
        <f aca="false">INDEX(Parâmetros!$C$13:$C$19,MATCH(E1114,Parâmetros!$A$13:$A$19,0))</f>
        <v>4821</v>
      </c>
      <c r="J1114" s="26" t="n">
        <f aca="false">IF(H1114="","",Parâmetros!$B$5-H1114)</f>
        <v>204</v>
      </c>
      <c r="K1114" s="10" t="n">
        <f aca="false">INDEX(Parâmetros!$D$13:$D$19,MATCH(E1114,Parâmetros!$A$13:$A$19,0))</f>
        <v>43</v>
      </c>
      <c r="L1114" s="10" t="n">
        <f aca="false">IF(G1114="Prospecting",Parâmetros!$B$9,IF(J1114&gt;Parâmetros!$B$6,0,INDEX(Parâmetros!$C$24:$C$26,MATCH(J1114,Parâmetros!$A$24:$A$26,1))))</f>
        <v>0</v>
      </c>
      <c r="M1114" s="31" t="n">
        <f aca="false">IF(G1114="Prospecting",1,INDEX(Parâmetros!$C$32:$C$35,MATCH(J1114,Parâmetros!$A$32:$A$35,1)))</f>
        <v>0.4</v>
      </c>
      <c r="N1114" s="2" t="n">
        <f aca="false">ROUND((K1114+L1114)*M1114,0)</f>
        <v>17</v>
      </c>
      <c r="O1114" s="10" t="str">
        <f aca="false">IF(AND(G1114="Engaging",J1114&gt;Parâmetros!$B$6),"Sim","Não")</f>
        <v>Sim</v>
      </c>
      <c r="P1114" s="32" t="str">
        <f aca="false">IF(O1114="Sim","R",IF(N1114&gt;=Parâmetros!$B$39,"A",IF(N1114&gt;=Parâmetros!$B$40,"B",IF(N1114&gt;=Parâmetros!$B$41,"C","D"))))</f>
        <v>R</v>
      </c>
      <c r="Q1114" s="10" t="str">
        <f aca="false">IF(F1114="","Completar cadastro","")</f>
        <v/>
      </c>
      <c r="R1114" s="10" t="str">
        <f aca="false">INDEX(Parâmetros!$D$39:$D$43,MATCH(P1114,Parâmetros!$A$39:$A$43,0))</f>
        <v>Reciclar: requalificar, reengajar ou encerrar</v>
      </c>
    </row>
    <row r="1115" customFormat="false" ht="15" hidden="false" customHeight="false" outlineLevel="0" collapsed="false">
      <c r="A1115" s="10" t="s">
        <v>1360</v>
      </c>
      <c r="B1115" s="10" t="s">
        <v>57</v>
      </c>
      <c r="C1115" s="10" t="s">
        <v>58</v>
      </c>
      <c r="D1115" s="10" t="s">
        <v>165</v>
      </c>
      <c r="E1115" s="10" t="s">
        <v>48</v>
      </c>
      <c r="F1115" s="10" t="s">
        <v>161</v>
      </c>
      <c r="G1115" s="10" t="s">
        <v>162</v>
      </c>
      <c r="H1115" s="30" t="n">
        <v>42898</v>
      </c>
      <c r="I1115" s="8" t="n">
        <f aca="false">INDEX(Parâmetros!$C$13:$C$19,MATCH(E1115,Parâmetros!$A$13:$A$19,0))</f>
        <v>4821</v>
      </c>
      <c r="J1115" s="26" t="n">
        <f aca="false">IF(H1115="","",Parâmetros!$B$5-H1115)</f>
        <v>202</v>
      </c>
      <c r="K1115" s="10" t="n">
        <f aca="false">INDEX(Parâmetros!$D$13:$D$19,MATCH(E1115,Parâmetros!$A$13:$A$19,0))</f>
        <v>43</v>
      </c>
      <c r="L1115" s="10" t="n">
        <f aca="false">IF(G1115="Prospecting",Parâmetros!$B$9,IF(J1115&gt;Parâmetros!$B$6,0,INDEX(Parâmetros!$C$24:$C$26,MATCH(J1115,Parâmetros!$A$24:$A$26,1))))</f>
        <v>0</v>
      </c>
      <c r="M1115" s="31" t="n">
        <f aca="false">IF(G1115="Prospecting",1,INDEX(Parâmetros!$C$32:$C$35,MATCH(J1115,Parâmetros!$A$32:$A$35,1)))</f>
        <v>0.4</v>
      </c>
      <c r="N1115" s="2" t="n">
        <f aca="false">ROUND((K1115+L1115)*M1115,0)</f>
        <v>17</v>
      </c>
      <c r="O1115" s="10" t="str">
        <f aca="false">IF(AND(G1115="Engaging",J1115&gt;Parâmetros!$B$6),"Sim","Não")</f>
        <v>Sim</v>
      </c>
      <c r="P1115" s="32" t="str">
        <f aca="false">IF(O1115="Sim","R",IF(N1115&gt;=Parâmetros!$B$39,"A",IF(N1115&gt;=Parâmetros!$B$40,"B",IF(N1115&gt;=Parâmetros!$B$41,"C","D"))))</f>
        <v>R</v>
      </c>
      <c r="Q1115" s="10" t="str">
        <f aca="false">IF(F1115="","Completar cadastro","")</f>
        <v/>
      </c>
      <c r="R1115" s="10" t="str">
        <f aca="false">INDEX(Parâmetros!$D$39:$D$43,MATCH(P1115,Parâmetros!$A$39:$A$43,0))</f>
        <v>Reciclar: requalificar, reengajar ou encerrar</v>
      </c>
    </row>
    <row r="1116" customFormat="false" ht="15" hidden="false" customHeight="false" outlineLevel="0" collapsed="false">
      <c r="A1116" s="10" t="s">
        <v>1361</v>
      </c>
      <c r="B1116" s="10" t="s">
        <v>69</v>
      </c>
      <c r="C1116" s="10" t="s">
        <v>65</v>
      </c>
      <c r="D1116" s="10" t="s">
        <v>160</v>
      </c>
      <c r="E1116" s="10" t="s">
        <v>48</v>
      </c>
      <c r="F1116" s="10" t="s">
        <v>660</v>
      </c>
      <c r="G1116" s="10" t="s">
        <v>162</v>
      </c>
      <c r="H1116" s="30" t="n">
        <v>42898</v>
      </c>
      <c r="I1116" s="8" t="n">
        <f aca="false">INDEX(Parâmetros!$C$13:$C$19,MATCH(E1116,Parâmetros!$A$13:$A$19,0))</f>
        <v>4821</v>
      </c>
      <c r="J1116" s="26" t="n">
        <f aca="false">IF(H1116="","",Parâmetros!$B$5-H1116)</f>
        <v>202</v>
      </c>
      <c r="K1116" s="10" t="n">
        <f aca="false">INDEX(Parâmetros!$D$13:$D$19,MATCH(E1116,Parâmetros!$A$13:$A$19,0))</f>
        <v>43</v>
      </c>
      <c r="L1116" s="10" t="n">
        <f aca="false">IF(G1116="Prospecting",Parâmetros!$B$9,IF(J1116&gt;Parâmetros!$B$6,0,INDEX(Parâmetros!$C$24:$C$26,MATCH(J1116,Parâmetros!$A$24:$A$26,1))))</f>
        <v>0</v>
      </c>
      <c r="M1116" s="31" t="n">
        <f aca="false">IF(G1116="Prospecting",1,INDEX(Parâmetros!$C$32:$C$35,MATCH(J1116,Parâmetros!$A$32:$A$35,1)))</f>
        <v>0.4</v>
      </c>
      <c r="N1116" s="2" t="n">
        <f aca="false">ROUND((K1116+L1116)*M1116,0)</f>
        <v>17</v>
      </c>
      <c r="O1116" s="10" t="str">
        <f aca="false">IF(AND(G1116="Engaging",J1116&gt;Parâmetros!$B$6),"Sim","Não")</f>
        <v>Sim</v>
      </c>
      <c r="P1116" s="32" t="str">
        <f aca="false">IF(O1116="Sim","R",IF(N1116&gt;=Parâmetros!$B$39,"A",IF(N1116&gt;=Parâmetros!$B$40,"B",IF(N1116&gt;=Parâmetros!$B$41,"C","D"))))</f>
        <v>R</v>
      </c>
      <c r="Q1116" s="10" t="str">
        <f aca="false">IF(F1116="","Completar cadastro","")</f>
        <v/>
      </c>
      <c r="R1116" s="10" t="str">
        <f aca="false">INDEX(Parâmetros!$D$39:$D$43,MATCH(P1116,Parâmetros!$A$39:$A$43,0))</f>
        <v>Reciclar: requalificar, reengajar ou encerrar</v>
      </c>
    </row>
    <row r="1117" customFormat="false" ht="15" hidden="false" customHeight="false" outlineLevel="0" collapsed="false">
      <c r="A1117" s="10" t="s">
        <v>1362</v>
      </c>
      <c r="B1117" s="10" t="s">
        <v>68</v>
      </c>
      <c r="C1117" s="10" t="s">
        <v>65</v>
      </c>
      <c r="D1117" s="10" t="s">
        <v>160</v>
      </c>
      <c r="E1117" s="10" t="s">
        <v>48</v>
      </c>
      <c r="F1117" s="10" t="s">
        <v>353</v>
      </c>
      <c r="G1117" s="10" t="s">
        <v>162</v>
      </c>
      <c r="H1117" s="30" t="n">
        <v>42900</v>
      </c>
      <c r="I1117" s="8" t="n">
        <f aca="false">INDEX(Parâmetros!$C$13:$C$19,MATCH(E1117,Parâmetros!$A$13:$A$19,0))</f>
        <v>4821</v>
      </c>
      <c r="J1117" s="26" t="n">
        <f aca="false">IF(H1117="","",Parâmetros!$B$5-H1117)</f>
        <v>200</v>
      </c>
      <c r="K1117" s="10" t="n">
        <f aca="false">INDEX(Parâmetros!$D$13:$D$19,MATCH(E1117,Parâmetros!$A$13:$A$19,0))</f>
        <v>43</v>
      </c>
      <c r="L1117" s="10" t="n">
        <f aca="false">IF(G1117="Prospecting",Parâmetros!$B$9,IF(J1117&gt;Parâmetros!$B$6,0,INDEX(Parâmetros!$C$24:$C$26,MATCH(J1117,Parâmetros!$A$24:$A$26,1))))</f>
        <v>0</v>
      </c>
      <c r="M1117" s="31" t="n">
        <f aca="false">IF(G1117="Prospecting",1,INDEX(Parâmetros!$C$32:$C$35,MATCH(J1117,Parâmetros!$A$32:$A$35,1)))</f>
        <v>0.4</v>
      </c>
      <c r="N1117" s="2" t="n">
        <f aca="false">ROUND((K1117+L1117)*M1117,0)</f>
        <v>17</v>
      </c>
      <c r="O1117" s="10" t="str">
        <f aca="false">IF(AND(G1117="Engaging",J1117&gt;Parâmetros!$B$6),"Sim","Não")</f>
        <v>Sim</v>
      </c>
      <c r="P1117" s="32" t="str">
        <f aca="false">IF(O1117="Sim","R",IF(N1117&gt;=Parâmetros!$B$39,"A",IF(N1117&gt;=Parâmetros!$B$40,"B",IF(N1117&gt;=Parâmetros!$B$41,"C","D"))))</f>
        <v>R</v>
      </c>
      <c r="Q1117" s="10" t="str">
        <f aca="false">IF(F1117="","Completar cadastro","")</f>
        <v/>
      </c>
      <c r="R1117" s="10" t="str">
        <f aca="false">INDEX(Parâmetros!$D$39:$D$43,MATCH(P1117,Parâmetros!$A$39:$A$43,0))</f>
        <v>Reciclar: requalificar, reengajar ou encerrar</v>
      </c>
    </row>
    <row r="1118" customFormat="false" ht="15" hidden="false" customHeight="false" outlineLevel="0" collapsed="false">
      <c r="A1118" s="10" t="s">
        <v>1363</v>
      </c>
      <c r="B1118" s="10" t="s">
        <v>61</v>
      </c>
      <c r="C1118" s="10" t="s">
        <v>58</v>
      </c>
      <c r="D1118" s="10" t="s">
        <v>165</v>
      </c>
      <c r="E1118" s="10" t="s">
        <v>48</v>
      </c>
      <c r="F1118" s="10" t="s">
        <v>350</v>
      </c>
      <c r="G1118" s="10" t="s">
        <v>162</v>
      </c>
      <c r="H1118" s="30" t="n">
        <v>42902</v>
      </c>
      <c r="I1118" s="8" t="n">
        <f aca="false">INDEX(Parâmetros!$C$13:$C$19,MATCH(E1118,Parâmetros!$A$13:$A$19,0))</f>
        <v>4821</v>
      </c>
      <c r="J1118" s="26" t="n">
        <f aca="false">IF(H1118="","",Parâmetros!$B$5-H1118)</f>
        <v>198</v>
      </c>
      <c r="K1118" s="10" t="n">
        <f aca="false">INDEX(Parâmetros!$D$13:$D$19,MATCH(E1118,Parâmetros!$A$13:$A$19,0))</f>
        <v>43</v>
      </c>
      <c r="L1118" s="10" t="n">
        <f aca="false">IF(G1118="Prospecting",Parâmetros!$B$9,IF(J1118&gt;Parâmetros!$B$6,0,INDEX(Parâmetros!$C$24:$C$26,MATCH(J1118,Parâmetros!$A$24:$A$26,1))))</f>
        <v>0</v>
      </c>
      <c r="M1118" s="31" t="n">
        <f aca="false">IF(G1118="Prospecting",1,INDEX(Parâmetros!$C$32:$C$35,MATCH(J1118,Parâmetros!$A$32:$A$35,1)))</f>
        <v>0.4</v>
      </c>
      <c r="N1118" s="2" t="n">
        <f aca="false">ROUND((K1118+L1118)*M1118,0)</f>
        <v>17</v>
      </c>
      <c r="O1118" s="10" t="str">
        <f aca="false">IF(AND(G1118="Engaging",J1118&gt;Parâmetros!$B$6),"Sim","Não")</f>
        <v>Sim</v>
      </c>
      <c r="P1118" s="32" t="str">
        <f aca="false">IF(O1118="Sim","R",IF(N1118&gt;=Parâmetros!$B$39,"A",IF(N1118&gt;=Parâmetros!$B$40,"B",IF(N1118&gt;=Parâmetros!$B$41,"C","D"))))</f>
        <v>R</v>
      </c>
      <c r="Q1118" s="10" t="str">
        <f aca="false">IF(F1118="","Completar cadastro","")</f>
        <v/>
      </c>
      <c r="R1118" s="10" t="str">
        <f aca="false">INDEX(Parâmetros!$D$39:$D$43,MATCH(P1118,Parâmetros!$A$39:$A$43,0))</f>
        <v>Reciclar: requalificar, reengajar ou encerrar</v>
      </c>
    </row>
    <row r="1119" customFormat="false" ht="15" hidden="false" customHeight="false" outlineLevel="0" collapsed="false">
      <c r="A1119" s="10" t="s">
        <v>1364</v>
      </c>
      <c r="B1119" s="10" t="s">
        <v>94</v>
      </c>
      <c r="C1119" s="10" t="s">
        <v>92</v>
      </c>
      <c r="D1119" s="10" t="s">
        <v>160</v>
      </c>
      <c r="E1119" s="10" t="s">
        <v>48</v>
      </c>
      <c r="F1119" s="10"/>
      <c r="G1119" s="10" t="s">
        <v>162</v>
      </c>
      <c r="H1119" s="30" t="n">
        <v>42903</v>
      </c>
      <c r="I1119" s="8" t="n">
        <f aca="false">INDEX(Parâmetros!$C$13:$C$19,MATCH(E1119,Parâmetros!$A$13:$A$19,0))</f>
        <v>4821</v>
      </c>
      <c r="J1119" s="26" t="n">
        <f aca="false">IF(H1119="","",Parâmetros!$B$5-H1119)</f>
        <v>197</v>
      </c>
      <c r="K1119" s="10" t="n">
        <f aca="false">INDEX(Parâmetros!$D$13:$D$19,MATCH(E1119,Parâmetros!$A$13:$A$19,0))</f>
        <v>43</v>
      </c>
      <c r="L1119" s="10" t="n">
        <f aca="false">IF(G1119="Prospecting",Parâmetros!$B$9,IF(J1119&gt;Parâmetros!$B$6,0,INDEX(Parâmetros!$C$24:$C$26,MATCH(J1119,Parâmetros!$A$24:$A$26,1))))</f>
        <v>0</v>
      </c>
      <c r="M1119" s="31" t="n">
        <f aca="false">IF(G1119="Prospecting",1,INDEX(Parâmetros!$C$32:$C$35,MATCH(J1119,Parâmetros!$A$32:$A$35,1)))</f>
        <v>0.4</v>
      </c>
      <c r="N1119" s="2" t="n">
        <f aca="false">ROUND((K1119+L1119)*M1119,0)</f>
        <v>17</v>
      </c>
      <c r="O1119" s="10" t="str">
        <f aca="false">IF(AND(G1119="Engaging",J1119&gt;Parâmetros!$B$6),"Sim","Não")</f>
        <v>Sim</v>
      </c>
      <c r="P1119" s="32" t="str">
        <f aca="false">IF(O1119="Sim","R",IF(N1119&gt;=Parâmetros!$B$39,"A",IF(N1119&gt;=Parâmetros!$B$40,"B",IF(N1119&gt;=Parâmetros!$B$41,"C","D"))))</f>
        <v>R</v>
      </c>
      <c r="Q1119" s="10" t="str">
        <f aca="false">IF(F1119="","Completar cadastro","")</f>
        <v>Completar cadastro</v>
      </c>
      <c r="R1119" s="10" t="str">
        <f aca="false">INDEX(Parâmetros!$D$39:$D$43,MATCH(P1119,Parâmetros!$A$39:$A$43,0))</f>
        <v>Reciclar: requalificar, reengajar ou encerrar</v>
      </c>
    </row>
    <row r="1120" customFormat="false" ht="15" hidden="false" customHeight="false" outlineLevel="0" collapsed="false">
      <c r="A1120" s="10" t="s">
        <v>1365</v>
      </c>
      <c r="B1120" s="10" t="s">
        <v>95</v>
      </c>
      <c r="C1120" s="10" t="s">
        <v>92</v>
      </c>
      <c r="D1120" s="10" t="s">
        <v>160</v>
      </c>
      <c r="E1120" s="10" t="s">
        <v>48</v>
      </c>
      <c r="F1120" s="10" t="s">
        <v>227</v>
      </c>
      <c r="G1120" s="10" t="s">
        <v>162</v>
      </c>
      <c r="H1120" s="30" t="n">
        <v>42903</v>
      </c>
      <c r="I1120" s="8" t="n">
        <f aca="false">INDEX(Parâmetros!$C$13:$C$19,MATCH(E1120,Parâmetros!$A$13:$A$19,0))</f>
        <v>4821</v>
      </c>
      <c r="J1120" s="26" t="n">
        <f aca="false">IF(H1120="","",Parâmetros!$B$5-H1120)</f>
        <v>197</v>
      </c>
      <c r="K1120" s="10" t="n">
        <f aca="false">INDEX(Parâmetros!$D$13:$D$19,MATCH(E1120,Parâmetros!$A$13:$A$19,0))</f>
        <v>43</v>
      </c>
      <c r="L1120" s="10" t="n">
        <f aca="false">IF(G1120="Prospecting",Parâmetros!$B$9,IF(J1120&gt;Parâmetros!$B$6,0,INDEX(Parâmetros!$C$24:$C$26,MATCH(J1120,Parâmetros!$A$24:$A$26,1))))</f>
        <v>0</v>
      </c>
      <c r="M1120" s="31" t="n">
        <f aca="false">IF(G1120="Prospecting",1,INDEX(Parâmetros!$C$32:$C$35,MATCH(J1120,Parâmetros!$A$32:$A$35,1)))</f>
        <v>0.4</v>
      </c>
      <c r="N1120" s="2" t="n">
        <f aca="false">ROUND((K1120+L1120)*M1120,0)</f>
        <v>17</v>
      </c>
      <c r="O1120" s="10" t="str">
        <f aca="false">IF(AND(G1120="Engaging",J1120&gt;Parâmetros!$B$6),"Sim","Não")</f>
        <v>Sim</v>
      </c>
      <c r="P1120" s="32" t="str">
        <f aca="false">IF(O1120="Sim","R",IF(N1120&gt;=Parâmetros!$B$39,"A",IF(N1120&gt;=Parâmetros!$B$40,"B",IF(N1120&gt;=Parâmetros!$B$41,"C","D"))))</f>
        <v>R</v>
      </c>
      <c r="Q1120" s="10" t="str">
        <f aca="false">IF(F1120="","Completar cadastro","")</f>
        <v/>
      </c>
      <c r="R1120" s="10" t="str">
        <f aca="false">INDEX(Parâmetros!$D$39:$D$43,MATCH(P1120,Parâmetros!$A$39:$A$43,0))</f>
        <v>Reciclar: requalificar, reengajar ou encerrar</v>
      </c>
    </row>
    <row r="1121" customFormat="false" ht="15" hidden="false" customHeight="false" outlineLevel="0" collapsed="false">
      <c r="A1121" s="10" t="s">
        <v>1366</v>
      </c>
      <c r="B1121" s="10" t="s">
        <v>96</v>
      </c>
      <c r="C1121" s="10" t="s">
        <v>92</v>
      </c>
      <c r="D1121" s="10" t="s">
        <v>160</v>
      </c>
      <c r="E1121" s="10" t="s">
        <v>48</v>
      </c>
      <c r="F1121" s="10"/>
      <c r="G1121" s="10" t="s">
        <v>162</v>
      </c>
      <c r="H1121" s="30" t="n">
        <v>42905</v>
      </c>
      <c r="I1121" s="8" t="n">
        <f aca="false">INDEX(Parâmetros!$C$13:$C$19,MATCH(E1121,Parâmetros!$A$13:$A$19,0))</f>
        <v>4821</v>
      </c>
      <c r="J1121" s="26" t="n">
        <f aca="false">IF(H1121="","",Parâmetros!$B$5-H1121)</f>
        <v>195</v>
      </c>
      <c r="K1121" s="10" t="n">
        <f aca="false">INDEX(Parâmetros!$D$13:$D$19,MATCH(E1121,Parâmetros!$A$13:$A$19,0))</f>
        <v>43</v>
      </c>
      <c r="L1121" s="10" t="n">
        <f aca="false">IF(G1121="Prospecting",Parâmetros!$B$9,IF(J1121&gt;Parâmetros!$B$6,0,INDEX(Parâmetros!$C$24:$C$26,MATCH(J1121,Parâmetros!$A$24:$A$26,1))))</f>
        <v>0</v>
      </c>
      <c r="M1121" s="31" t="n">
        <f aca="false">IF(G1121="Prospecting",1,INDEX(Parâmetros!$C$32:$C$35,MATCH(J1121,Parâmetros!$A$32:$A$35,1)))</f>
        <v>0.4</v>
      </c>
      <c r="N1121" s="2" t="n">
        <f aca="false">ROUND((K1121+L1121)*M1121,0)</f>
        <v>17</v>
      </c>
      <c r="O1121" s="10" t="str">
        <f aca="false">IF(AND(G1121="Engaging",J1121&gt;Parâmetros!$B$6),"Sim","Não")</f>
        <v>Sim</v>
      </c>
      <c r="P1121" s="32" t="str">
        <f aca="false">IF(O1121="Sim","R",IF(N1121&gt;=Parâmetros!$B$39,"A",IF(N1121&gt;=Parâmetros!$B$40,"B",IF(N1121&gt;=Parâmetros!$B$41,"C","D"))))</f>
        <v>R</v>
      </c>
      <c r="Q1121" s="10" t="str">
        <f aca="false">IF(F1121="","Completar cadastro","")</f>
        <v>Completar cadastro</v>
      </c>
      <c r="R1121" s="10" t="str">
        <f aca="false">INDEX(Parâmetros!$D$39:$D$43,MATCH(P1121,Parâmetros!$A$39:$A$43,0))</f>
        <v>Reciclar: requalificar, reengajar ou encerrar</v>
      </c>
    </row>
    <row r="1122" customFormat="false" ht="15" hidden="false" customHeight="false" outlineLevel="0" collapsed="false">
      <c r="A1122" s="10" t="s">
        <v>1367</v>
      </c>
      <c r="B1122" s="10" t="s">
        <v>61</v>
      </c>
      <c r="C1122" s="10" t="s">
        <v>58</v>
      </c>
      <c r="D1122" s="10" t="s">
        <v>165</v>
      </c>
      <c r="E1122" s="10" t="s">
        <v>48</v>
      </c>
      <c r="F1122" s="10"/>
      <c r="G1122" s="10" t="s">
        <v>162</v>
      </c>
      <c r="H1122" s="30" t="n">
        <v>42906</v>
      </c>
      <c r="I1122" s="8" t="n">
        <f aca="false">INDEX(Parâmetros!$C$13:$C$19,MATCH(E1122,Parâmetros!$A$13:$A$19,0))</f>
        <v>4821</v>
      </c>
      <c r="J1122" s="26" t="n">
        <f aca="false">IF(H1122="","",Parâmetros!$B$5-H1122)</f>
        <v>194</v>
      </c>
      <c r="K1122" s="10" t="n">
        <f aca="false">INDEX(Parâmetros!$D$13:$D$19,MATCH(E1122,Parâmetros!$A$13:$A$19,0))</f>
        <v>43</v>
      </c>
      <c r="L1122" s="10" t="n">
        <f aca="false">IF(G1122="Prospecting",Parâmetros!$B$9,IF(J1122&gt;Parâmetros!$B$6,0,INDEX(Parâmetros!$C$24:$C$26,MATCH(J1122,Parâmetros!$A$24:$A$26,1))))</f>
        <v>0</v>
      </c>
      <c r="M1122" s="31" t="n">
        <f aca="false">IF(G1122="Prospecting",1,INDEX(Parâmetros!$C$32:$C$35,MATCH(J1122,Parâmetros!$A$32:$A$35,1)))</f>
        <v>0.4</v>
      </c>
      <c r="N1122" s="2" t="n">
        <f aca="false">ROUND((K1122+L1122)*M1122,0)</f>
        <v>17</v>
      </c>
      <c r="O1122" s="10" t="str">
        <f aca="false">IF(AND(G1122="Engaging",J1122&gt;Parâmetros!$B$6),"Sim","Não")</f>
        <v>Sim</v>
      </c>
      <c r="P1122" s="32" t="str">
        <f aca="false">IF(O1122="Sim","R",IF(N1122&gt;=Parâmetros!$B$39,"A",IF(N1122&gt;=Parâmetros!$B$40,"B",IF(N1122&gt;=Parâmetros!$B$41,"C","D"))))</f>
        <v>R</v>
      </c>
      <c r="Q1122" s="10" t="str">
        <f aca="false">IF(F1122="","Completar cadastro","")</f>
        <v>Completar cadastro</v>
      </c>
      <c r="R1122" s="10" t="str">
        <f aca="false">INDEX(Parâmetros!$D$39:$D$43,MATCH(P1122,Parâmetros!$A$39:$A$43,0))</f>
        <v>Reciclar: requalificar, reengajar ou encerrar</v>
      </c>
    </row>
    <row r="1123" customFormat="false" ht="15" hidden="false" customHeight="false" outlineLevel="0" collapsed="false">
      <c r="A1123" s="10" t="s">
        <v>1368</v>
      </c>
      <c r="B1123" s="10" t="s">
        <v>87</v>
      </c>
      <c r="C1123" s="10" t="s">
        <v>85</v>
      </c>
      <c r="D1123" s="10" t="s">
        <v>165</v>
      </c>
      <c r="E1123" s="10" t="s">
        <v>48</v>
      </c>
      <c r="F1123" s="10"/>
      <c r="G1123" s="10" t="s">
        <v>162</v>
      </c>
      <c r="H1123" s="30" t="n">
        <v>42907</v>
      </c>
      <c r="I1123" s="8" t="n">
        <f aca="false">INDEX(Parâmetros!$C$13:$C$19,MATCH(E1123,Parâmetros!$A$13:$A$19,0))</f>
        <v>4821</v>
      </c>
      <c r="J1123" s="26" t="n">
        <f aca="false">IF(H1123="","",Parâmetros!$B$5-H1123)</f>
        <v>193</v>
      </c>
      <c r="K1123" s="10" t="n">
        <f aca="false">INDEX(Parâmetros!$D$13:$D$19,MATCH(E1123,Parâmetros!$A$13:$A$19,0))</f>
        <v>43</v>
      </c>
      <c r="L1123" s="10" t="n">
        <f aca="false">IF(G1123="Prospecting",Parâmetros!$B$9,IF(J1123&gt;Parâmetros!$B$6,0,INDEX(Parâmetros!$C$24:$C$26,MATCH(J1123,Parâmetros!$A$24:$A$26,1))))</f>
        <v>0</v>
      </c>
      <c r="M1123" s="31" t="n">
        <f aca="false">IF(G1123="Prospecting",1,INDEX(Parâmetros!$C$32:$C$35,MATCH(J1123,Parâmetros!$A$32:$A$35,1)))</f>
        <v>0.4</v>
      </c>
      <c r="N1123" s="2" t="n">
        <f aca="false">ROUND((K1123+L1123)*M1123,0)</f>
        <v>17</v>
      </c>
      <c r="O1123" s="10" t="str">
        <f aca="false">IF(AND(G1123="Engaging",J1123&gt;Parâmetros!$B$6),"Sim","Não")</f>
        <v>Sim</v>
      </c>
      <c r="P1123" s="32" t="str">
        <f aca="false">IF(O1123="Sim","R",IF(N1123&gt;=Parâmetros!$B$39,"A",IF(N1123&gt;=Parâmetros!$B$40,"B",IF(N1123&gt;=Parâmetros!$B$41,"C","D"))))</f>
        <v>R</v>
      </c>
      <c r="Q1123" s="10" t="str">
        <f aca="false">IF(F1123="","Completar cadastro","")</f>
        <v>Completar cadastro</v>
      </c>
      <c r="R1123" s="10" t="str">
        <f aca="false">INDEX(Parâmetros!$D$39:$D$43,MATCH(P1123,Parâmetros!$A$39:$A$43,0))</f>
        <v>Reciclar: requalificar, reengajar ou encerrar</v>
      </c>
    </row>
    <row r="1124" customFormat="false" ht="15" hidden="false" customHeight="false" outlineLevel="0" collapsed="false">
      <c r="A1124" s="10" t="s">
        <v>1369</v>
      </c>
      <c r="B1124" s="10" t="s">
        <v>95</v>
      </c>
      <c r="C1124" s="10" t="s">
        <v>92</v>
      </c>
      <c r="D1124" s="10" t="s">
        <v>160</v>
      </c>
      <c r="E1124" s="10" t="s">
        <v>48</v>
      </c>
      <c r="F1124" s="10"/>
      <c r="G1124" s="10" t="s">
        <v>162</v>
      </c>
      <c r="H1124" s="30" t="n">
        <v>42907</v>
      </c>
      <c r="I1124" s="8" t="n">
        <f aca="false">INDEX(Parâmetros!$C$13:$C$19,MATCH(E1124,Parâmetros!$A$13:$A$19,0))</f>
        <v>4821</v>
      </c>
      <c r="J1124" s="26" t="n">
        <f aca="false">IF(H1124="","",Parâmetros!$B$5-H1124)</f>
        <v>193</v>
      </c>
      <c r="K1124" s="10" t="n">
        <f aca="false">INDEX(Parâmetros!$D$13:$D$19,MATCH(E1124,Parâmetros!$A$13:$A$19,0))</f>
        <v>43</v>
      </c>
      <c r="L1124" s="10" t="n">
        <f aca="false">IF(G1124="Prospecting",Parâmetros!$B$9,IF(J1124&gt;Parâmetros!$B$6,0,INDEX(Parâmetros!$C$24:$C$26,MATCH(J1124,Parâmetros!$A$24:$A$26,1))))</f>
        <v>0</v>
      </c>
      <c r="M1124" s="31" t="n">
        <f aca="false">IF(G1124="Prospecting",1,INDEX(Parâmetros!$C$32:$C$35,MATCH(J1124,Parâmetros!$A$32:$A$35,1)))</f>
        <v>0.4</v>
      </c>
      <c r="N1124" s="2" t="n">
        <f aca="false">ROUND((K1124+L1124)*M1124,0)</f>
        <v>17</v>
      </c>
      <c r="O1124" s="10" t="str">
        <f aca="false">IF(AND(G1124="Engaging",J1124&gt;Parâmetros!$B$6),"Sim","Não")</f>
        <v>Sim</v>
      </c>
      <c r="P1124" s="32" t="str">
        <f aca="false">IF(O1124="Sim","R",IF(N1124&gt;=Parâmetros!$B$39,"A",IF(N1124&gt;=Parâmetros!$B$40,"B",IF(N1124&gt;=Parâmetros!$B$41,"C","D"))))</f>
        <v>R</v>
      </c>
      <c r="Q1124" s="10" t="str">
        <f aca="false">IF(F1124="","Completar cadastro","")</f>
        <v>Completar cadastro</v>
      </c>
      <c r="R1124" s="10" t="str">
        <f aca="false">INDEX(Parâmetros!$D$39:$D$43,MATCH(P1124,Parâmetros!$A$39:$A$43,0))</f>
        <v>Reciclar: requalificar, reengajar ou encerrar</v>
      </c>
    </row>
    <row r="1125" customFormat="false" ht="15" hidden="false" customHeight="false" outlineLevel="0" collapsed="false">
      <c r="A1125" s="10" t="s">
        <v>1370</v>
      </c>
      <c r="B1125" s="10" t="s">
        <v>97</v>
      </c>
      <c r="C1125" s="10" t="s">
        <v>92</v>
      </c>
      <c r="D1125" s="10" t="s">
        <v>160</v>
      </c>
      <c r="E1125" s="10" t="s">
        <v>48</v>
      </c>
      <c r="F1125" s="10" t="s">
        <v>233</v>
      </c>
      <c r="G1125" s="10" t="s">
        <v>162</v>
      </c>
      <c r="H1125" s="30" t="n">
        <v>42909</v>
      </c>
      <c r="I1125" s="8" t="n">
        <f aca="false">INDEX(Parâmetros!$C$13:$C$19,MATCH(E1125,Parâmetros!$A$13:$A$19,0))</f>
        <v>4821</v>
      </c>
      <c r="J1125" s="26" t="n">
        <f aca="false">IF(H1125="","",Parâmetros!$B$5-H1125)</f>
        <v>191</v>
      </c>
      <c r="K1125" s="10" t="n">
        <f aca="false">INDEX(Parâmetros!$D$13:$D$19,MATCH(E1125,Parâmetros!$A$13:$A$19,0))</f>
        <v>43</v>
      </c>
      <c r="L1125" s="10" t="n">
        <f aca="false">IF(G1125="Prospecting",Parâmetros!$B$9,IF(J1125&gt;Parâmetros!$B$6,0,INDEX(Parâmetros!$C$24:$C$26,MATCH(J1125,Parâmetros!$A$24:$A$26,1))))</f>
        <v>0</v>
      </c>
      <c r="M1125" s="31" t="n">
        <f aca="false">IF(G1125="Prospecting",1,INDEX(Parâmetros!$C$32:$C$35,MATCH(J1125,Parâmetros!$A$32:$A$35,1)))</f>
        <v>0.4</v>
      </c>
      <c r="N1125" s="2" t="n">
        <f aca="false">ROUND((K1125+L1125)*M1125,0)</f>
        <v>17</v>
      </c>
      <c r="O1125" s="10" t="str">
        <f aca="false">IF(AND(G1125="Engaging",J1125&gt;Parâmetros!$B$6),"Sim","Não")</f>
        <v>Sim</v>
      </c>
      <c r="P1125" s="32" t="str">
        <f aca="false">IF(O1125="Sim","R",IF(N1125&gt;=Parâmetros!$B$39,"A",IF(N1125&gt;=Parâmetros!$B$40,"B",IF(N1125&gt;=Parâmetros!$B$41,"C","D"))))</f>
        <v>R</v>
      </c>
      <c r="Q1125" s="10" t="str">
        <f aca="false">IF(F1125="","Completar cadastro","")</f>
        <v/>
      </c>
      <c r="R1125" s="10" t="str">
        <f aca="false">INDEX(Parâmetros!$D$39:$D$43,MATCH(P1125,Parâmetros!$A$39:$A$43,0))</f>
        <v>Reciclar: requalificar, reengajar ou encerrar</v>
      </c>
    </row>
    <row r="1126" customFormat="false" ht="15" hidden="false" customHeight="false" outlineLevel="0" collapsed="false">
      <c r="A1126" s="10" t="s">
        <v>1371</v>
      </c>
      <c r="B1126" s="10" t="s">
        <v>57</v>
      </c>
      <c r="C1126" s="10" t="s">
        <v>58</v>
      </c>
      <c r="D1126" s="10" t="s">
        <v>165</v>
      </c>
      <c r="E1126" s="10" t="s">
        <v>48</v>
      </c>
      <c r="F1126" s="10"/>
      <c r="G1126" s="10" t="s">
        <v>162</v>
      </c>
      <c r="H1126" s="30" t="n">
        <v>42910</v>
      </c>
      <c r="I1126" s="8" t="n">
        <f aca="false">INDEX(Parâmetros!$C$13:$C$19,MATCH(E1126,Parâmetros!$A$13:$A$19,0))</f>
        <v>4821</v>
      </c>
      <c r="J1126" s="26" t="n">
        <f aca="false">IF(H1126="","",Parâmetros!$B$5-H1126)</f>
        <v>190</v>
      </c>
      <c r="K1126" s="10" t="n">
        <f aca="false">INDEX(Parâmetros!$D$13:$D$19,MATCH(E1126,Parâmetros!$A$13:$A$19,0))</f>
        <v>43</v>
      </c>
      <c r="L1126" s="10" t="n">
        <f aca="false">IF(G1126="Prospecting",Parâmetros!$B$9,IF(J1126&gt;Parâmetros!$B$6,0,INDEX(Parâmetros!$C$24:$C$26,MATCH(J1126,Parâmetros!$A$24:$A$26,1))))</f>
        <v>0</v>
      </c>
      <c r="M1126" s="31" t="n">
        <f aca="false">IF(G1126="Prospecting",1,INDEX(Parâmetros!$C$32:$C$35,MATCH(J1126,Parâmetros!$A$32:$A$35,1)))</f>
        <v>0.4</v>
      </c>
      <c r="N1126" s="2" t="n">
        <f aca="false">ROUND((K1126+L1126)*M1126,0)</f>
        <v>17</v>
      </c>
      <c r="O1126" s="10" t="str">
        <f aca="false">IF(AND(G1126="Engaging",J1126&gt;Parâmetros!$B$6),"Sim","Não")</f>
        <v>Sim</v>
      </c>
      <c r="P1126" s="32" t="str">
        <f aca="false">IF(O1126="Sim","R",IF(N1126&gt;=Parâmetros!$B$39,"A",IF(N1126&gt;=Parâmetros!$B$40,"B",IF(N1126&gt;=Parâmetros!$B$41,"C","D"))))</f>
        <v>R</v>
      </c>
      <c r="Q1126" s="10" t="str">
        <f aca="false">IF(F1126="","Completar cadastro","")</f>
        <v>Completar cadastro</v>
      </c>
      <c r="R1126" s="10" t="str">
        <f aca="false">INDEX(Parâmetros!$D$39:$D$43,MATCH(P1126,Parâmetros!$A$39:$A$43,0))</f>
        <v>Reciclar: requalificar, reengajar ou encerrar</v>
      </c>
    </row>
    <row r="1127" customFormat="false" ht="15" hidden="false" customHeight="false" outlineLevel="0" collapsed="false">
      <c r="A1127" s="10" t="s">
        <v>1372</v>
      </c>
      <c r="B1127" s="10" t="s">
        <v>95</v>
      </c>
      <c r="C1127" s="10" t="s">
        <v>92</v>
      </c>
      <c r="D1127" s="10" t="s">
        <v>160</v>
      </c>
      <c r="E1127" s="10" t="s">
        <v>48</v>
      </c>
      <c r="F1127" s="10" t="s">
        <v>161</v>
      </c>
      <c r="G1127" s="10" t="s">
        <v>162</v>
      </c>
      <c r="H1127" s="30" t="n">
        <v>42910</v>
      </c>
      <c r="I1127" s="8" t="n">
        <f aca="false">INDEX(Parâmetros!$C$13:$C$19,MATCH(E1127,Parâmetros!$A$13:$A$19,0))</f>
        <v>4821</v>
      </c>
      <c r="J1127" s="26" t="n">
        <f aca="false">IF(H1127="","",Parâmetros!$B$5-H1127)</f>
        <v>190</v>
      </c>
      <c r="K1127" s="10" t="n">
        <f aca="false">INDEX(Parâmetros!$D$13:$D$19,MATCH(E1127,Parâmetros!$A$13:$A$19,0))</f>
        <v>43</v>
      </c>
      <c r="L1127" s="10" t="n">
        <f aca="false">IF(G1127="Prospecting",Parâmetros!$B$9,IF(J1127&gt;Parâmetros!$B$6,0,INDEX(Parâmetros!$C$24:$C$26,MATCH(J1127,Parâmetros!$A$24:$A$26,1))))</f>
        <v>0</v>
      </c>
      <c r="M1127" s="31" t="n">
        <f aca="false">IF(G1127="Prospecting",1,INDEX(Parâmetros!$C$32:$C$35,MATCH(J1127,Parâmetros!$A$32:$A$35,1)))</f>
        <v>0.4</v>
      </c>
      <c r="N1127" s="2" t="n">
        <f aca="false">ROUND((K1127+L1127)*M1127,0)</f>
        <v>17</v>
      </c>
      <c r="O1127" s="10" t="str">
        <f aca="false">IF(AND(G1127="Engaging",J1127&gt;Parâmetros!$B$6),"Sim","Não")</f>
        <v>Sim</v>
      </c>
      <c r="P1127" s="32" t="str">
        <f aca="false">IF(O1127="Sim","R",IF(N1127&gt;=Parâmetros!$B$39,"A",IF(N1127&gt;=Parâmetros!$B$40,"B",IF(N1127&gt;=Parâmetros!$B$41,"C","D"))))</f>
        <v>R</v>
      </c>
      <c r="Q1127" s="10" t="str">
        <f aca="false">IF(F1127="","Completar cadastro","")</f>
        <v/>
      </c>
      <c r="R1127" s="10" t="str">
        <f aca="false">INDEX(Parâmetros!$D$39:$D$43,MATCH(P1127,Parâmetros!$A$39:$A$43,0))</f>
        <v>Reciclar: requalificar, reengajar ou encerrar</v>
      </c>
    </row>
    <row r="1128" customFormat="false" ht="15" hidden="false" customHeight="false" outlineLevel="0" collapsed="false">
      <c r="A1128" s="10" t="s">
        <v>1373</v>
      </c>
      <c r="B1128" s="10" t="s">
        <v>87</v>
      </c>
      <c r="C1128" s="10" t="s">
        <v>85</v>
      </c>
      <c r="D1128" s="10" t="s">
        <v>165</v>
      </c>
      <c r="E1128" s="10" t="s">
        <v>48</v>
      </c>
      <c r="F1128" s="10"/>
      <c r="G1128" s="10" t="s">
        <v>162</v>
      </c>
      <c r="H1128" s="30" t="n">
        <v>42911</v>
      </c>
      <c r="I1128" s="8" t="n">
        <f aca="false">INDEX(Parâmetros!$C$13:$C$19,MATCH(E1128,Parâmetros!$A$13:$A$19,0))</f>
        <v>4821</v>
      </c>
      <c r="J1128" s="26" t="n">
        <f aca="false">IF(H1128="","",Parâmetros!$B$5-H1128)</f>
        <v>189</v>
      </c>
      <c r="K1128" s="10" t="n">
        <f aca="false">INDEX(Parâmetros!$D$13:$D$19,MATCH(E1128,Parâmetros!$A$13:$A$19,0))</f>
        <v>43</v>
      </c>
      <c r="L1128" s="10" t="n">
        <f aca="false">IF(G1128="Prospecting",Parâmetros!$B$9,IF(J1128&gt;Parâmetros!$B$6,0,INDEX(Parâmetros!$C$24:$C$26,MATCH(J1128,Parâmetros!$A$24:$A$26,1))))</f>
        <v>0</v>
      </c>
      <c r="M1128" s="31" t="n">
        <f aca="false">IF(G1128="Prospecting",1,INDEX(Parâmetros!$C$32:$C$35,MATCH(J1128,Parâmetros!$A$32:$A$35,1)))</f>
        <v>0.4</v>
      </c>
      <c r="N1128" s="2" t="n">
        <f aca="false">ROUND((K1128+L1128)*M1128,0)</f>
        <v>17</v>
      </c>
      <c r="O1128" s="10" t="str">
        <f aca="false">IF(AND(G1128="Engaging",J1128&gt;Parâmetros!$B$6),"Sim","Não")</f>
        <v>Sim</v>
      </c>
      <c r="P1128" s="32" t="str">
        <f aca="false">IF(O1128="Sim","R",IF(N1128&gt;=Parâmetros!$B$39,"A",IF(N1128&gt;=Parâmetros!$B$40,"B",IF(N1128&gt;=Parâmetros!$B$41,"C","D"))))</f>
        <v>R</v>
      </c>
      <c r="Q1128" s="10" t="str">
        <f aca="false">IF(F1128="","Completar cadastro","")</f>
        <v>Completar cadastro</v>
      </c>
      <c r="R1128" s="10" t="str">
        <f aca="false">INDEX(Parâmetros!$D$39:$D$43,MATCH(P1128,Parâmetros!$A$39:$A$43,0))</f>
        <v>Reciclar: requalificar, reengajar ou encerrar</v>
      </c>
    </row>
    <row r="1129" customFormat="false" ht="15" hidden="false" customHeight="false" outlineLevel="0" collapsed="false">
      <c r="A1129" s="10" t="s">
        <v>1374</v>
      </c>
      <c r="B1129" s="10" t="s">
        <v>70</v>
      </c>
      <c r="C1129" s="10" t="s">
        <v>65</v>
      </c>
      <c r="D1129" s="10" t="s">
        <v>160</v>
      </c>
      <c r="E1129" s="10" t="s">
        <v>48</v>
      </c>
      <c r="F1129" s="10"/>
      <c r="G1129" s="10" t="s">
        <v>162</v>
      </c>
      <c r="H1129" s="30" t="n">
        <v>42911</v>
      </c>
      <c r="I1129" s="8" t="n">
        <f aca="false">INDEX(Parâmetros!$C$13:$C$19,MATCH(E1129,Parâmetros!$A$13:$A$19,0))</f>
        <v>4821</v>
      </c>
      <c r="J1129" s="26" t="n">
        <f aca="false">IF(H1129="","",Parâmetros!$B$5-H1129)</f>
        <v>189</v>
      </c>
      <c r="K1129" s="10" t="n">
        <f aca="false">INDEX(Parâmetros!$D$13:$D$19,MATCH(E1129,Parâmetros!$A$13:$A$19,0))</f>
        <v>43</v>
      </c>
      <c r="L1129" s="10" t="n">
        <f aca="false">IF(G1129="Prospecting",Parâmetros!$B$9,IF(J1129&gt;Parâmetros!$B$6,0,INDEX(Parâmetros!$C$24:$C$26,MATCH(J1129,Parâmetros!$A$24:$A$26,1))))</f>
        <v>0</v>
      </c>
      <c r="M1129" s="31" t="n">
        <f aca="false">IF(G1129="Prospecting",1,INDEX(Parâmetros!$C$32:$C$35,MATCH(J1129,Parâmetros!$A$32:$A$35,1)))</f>
        <v>0.4</v>
      </c>
      <c r="N1129" s="2" t="n">
        <f aca="false">ROUND((K1129+L1129)*M1129,0)</f>
        <v>17</v>
      </c>
      <c r="O1129" s="10" t="str">
        <f aca="false">IF(AND(G1129="Engaging",J1129&gt;Parâmetros!$B$6),"Sim","Não")</f>
        <v>Sim</v>
      </c>
      <c r="P1129" s="32" t="str">
        <f aca="false">IF(O1129="Sim","R",IF(N1129&gt;=Parâmetros!$B$39,"A",IF(N1129&gt;=Parâmetros!$B$40,"B",IF(N1129&gt;=Parâmetros!$B$41,"C","D"))))</f>
        <v>R</v>
      </c>
      <c r="Q1129" s="10" t="str">
        <f aca="false">IF(F1129="","Completar cadastro","")</f>
        <v>Completar cadastro</v>
      </c>
      <c r="R1129" s="10" t="str">
        <f aca="false">INDEX(Parâmetros!$D$39:$D$43,MATCH(P1129,Parâmetros!$A$39:$A$43,0))</f>
        <v>Reciclar: requalificar, reengajar ou encerrar</v>
      </c>
    </row>
    <row r="1130" customFormat="false" ht="15" hidden="false" customHeight="false" outlineLevel="0" collapsed="false">
      <c r="A1130" s="10" t="s">
        <v>1375</v>
      </c>
      <c r="B1130" s="10" t="s">
        <v>97</v>
      </c>
      <c r="C1130" s="10" t="s">
        <v>92</v>
      </c>
      <c r="D1130" s="10" t="s">
        <v>160</v>
      </c>
      <c r="E1130" s="10" t="s">
        <v>48</v>
      </c>
      <c r="F1130" s="10" t="s">
        <v>453</v>
      </c>
      <c r="G1130" s="10" t="s">
        <v>162</v>
      </c>
      <c r="H1130" s="30" t="n">
        <v>42912</v>
      </c>
      <c r="I1130" s="8" t="n">
        <f aca="false">INDEX(Parâmetros!$C$13:$C$19,MATCH(E1130,Parâmetros!$A$13:$A$19,0))</f>
        <v>4821</v>
      </c>
      <c r="J1130" s="26" t="n">
        <f aca="false">IF(H1130="","",Parâmetros!$B$5-H1130)</f>
        <v>188</v>
      </c>
      <c r="K1130" s="10" t="n">
        <f aca="false">INDEX(Parâmetros!$D$13:$D$19,MATCH(E1130,Parâmetros!$A$13:$A$19,0))</f>
        <v>43</v>
      </c>
      <c r="L1130" s="10" t="n">
        <f aca="false">IF(G1130="Prospecting",Parâmetros!$B$9,IF(J1130&gt;Parâmetros!$B$6,0,INDEX(Parâmetros!$C$24:$C$26,MATCH(J1130,Parâmetros!$A$24:$A$26,1))))</f>
        <v>0</v>
      </c>
      <c r="M1130" s="31" t="n">
        <f aca="false">IF(G1130="Prospecting",1,INDEX(Parâmetros!$C$32:$C$35,MATCH(J1130,Parâmetros!$A$32:$A$35,1)))</f>
        <v>0.4</v>
      </c>
      <c r="N1130" s="2" t="n">
        <f aca="false">ROUND((K1130+L1130)*M1130,0)</f>
        <v>17</v>
      </c>
      <c r="O1130" s="10" t="str">
        <f aca="false">IF(AND(G1130="Engaging",J1130&gt;Parâmetros!$B$6),"Sim","Não")</f>
        <v>Sim</v>
      </c>
      <c r="P1130" s="32" t="str">
        <f aca="false">IF(O1130="Sim","R",IF(N1130&gt;=Parâmetros!$B$39,"A",IF(N1130&gt;=Parâmetros!$B$40,"B",IF(N1130&gt;=Parâmetros!$B$41,"C","D"))))</f>
        <v>R</v>
      </c>
      <c r="Q1130" s="10" t="str">
        <f aca="false">IF(F1130="","Completar cadastro","")</f>
        <v/>
      </c>
      <c r="R1130" s="10" t="str">
        <f aca="false">INDEX(Parâmetros!$D$39:$D$43,MATCH(P1130,Parâmetros!$A$39:$A$43,0))</f>
        <v>Reciclar: requalificar, reengajar ou encerrar</v>
      </c>
    </row>
    <row r="1131" customFormat="false" ht="15" hidden="false" customHeight="false" outlineLevel="0" collapsed="false">
      <c r="A1131" s="10" t="s">
        <v>1376</v>
      </c>
      <c r="B1131" s="10" t="s">
        <v>87</v>
      </c>
      <c r="C1131" s="10" t="s">
        <v>85</v>
      </c>
      <c r="D1131" s="10" t="s">
        <v>165</v>
      </c>
      <c r="E1131" s="10" t="s">
        <v>48</v>
      </c>
      <c r="F1131" s="10"/>
      <c r="G1131" s="10" t="s">
        <v>162</v>
      </c>
      <c r="H1131" s="30" t="n">
        <v>42913</v>
      </c>
      <c r="I1131" s="8" t="n">
        <f aca="false">INDEX(Parâmetros!$C$13:$C$19,MATCH(E1131,Parâmetros!$A$13:$A$19,0))</f>
        <v>4821</v>
      </c>
      <c r="J1131" s="26" t="n">
        <f aca="false">IF(H1131="","",Parâmetros!$B$5-H1131)</f>
        <v>187</v>
      </c>
      <c r="K1131" s="10" t="n">
        <f aca="false">INDEX(Parâmetros!$D$13:$D$19,MATCH(E1131,Parâmetros!$A$13:$A$19,0))</f>
        <v>43</v>
      </c>
      <c r="L1131" s="10" t="n">
        <f aca="false">IF(G1131="Prospecting",Parâmetros!$B$9,IF(J1131&gt;Parâmetros!$B$6,0,INDEX(Parâmetros!$C$24:$C$26,MATCH(J1131,Parâmetros!$A$24:$A$26,1))))</f>
        <v>0</v>
      </c>
      <c r="M1131" s="31" t="n">
        <f aca="false">IF(G1131="Prospecting",1,INDEX(Parâmetros!$C$32:$C$35,MATCH(J1131,Parâmetros!$A$32:$A$35,1)))</f>
        <v>0.4</v>
      </c>
      <c r="N1131" s="2" t="n">
        <f aca="false">ROUND((K1131+L1131)*M1131,0)</f>
        <v>17</v>
      </c>
      <c r="O1131" s="10" t="str">
        <f aca="false">IF(AND(G1131="Engaging",J1131&gt;Parâmetros!$B$6),"Sim","Não")</f>
        <v>Sim</v>
      </c>
      <c r="P1131" s="32" t="str">
        <f aca="false">IF(O1131="Sim","R",IF(N1131&gt;=Parâmetros!$B$39,"A",IF(N1131&gt;=Parâmetros!$B$40,"B",IF(N1131&gt;=Parâmetros!$B$41,"C","D"))))</f>
        <v>R</v>
      </c>
      <c r="Q1131" s="10" t="str">
        <f aca="false">IF(F1131="","Completar cadastro","")</f>
        <v>Completar cadastro</v>
      </c>
      <c r="R1131" s="10" t="str">
        <f aca="false">INDEX(Parâmetros!$D$39:$D$43,MATCH(P1131,Parâmetros!$A$39:$A$43,0))</f>
        <v>Reciclar: requalificar, reengajar ou encerrar</v>
      </c>
    </row>
    <row r="1132" customFormat="false" ht="15" hidden="false" customHeight="false" outlineLevel="0" collapsed="false">
      <c r="A1132" s="10" t="s">
        <v>1377</v>
      </c>
      <c r="B1132" s="10" t="s">
        <v>62</v>
      </c>
      <c r="C1132" s="10" t="s">
        <v>58</v>
      </c>
      <c r="D1132" s="10" t="s">
        <v>165</v>
      </c>
      <c r="E1132" s="10" t="s">
        <v>48</v>
      </c>
      <c r="F1132" s="10"/>
      <c r="G1132" s="10" t="s">
        <v>162</v>
      </c>
      <c r="H1132" s="30" t="n">
        <v>42913</v>
      </c>
      <c r="I1132" s="8" t="n">
        <f aca="false">INDEX(Parâmetros!$C$13:$C$19,MATCH(E1132,Parâmetros!$A$13:$A$19,0))</f>
        <v>4821</v>
      </c>
      <c r="J1132" s="26" t="n">
        <f aca="false">IF(H1132="","",Parâmetros!$B$5-H1132)</f>
        <v>187</v>
      </c>
      <c r="K1132" s="10" t="n">
        <f aca="false">INDEX(Parâmetros!$D$13:$D$19,MATCH(E1132,Parâmetros!$A$13:$A$19,0))</f>
        <v>43</v>
      </c>
      <c r="L1132" s="10" t="n">
        <f aca="false">IF(G1132="Prospecting",Parâmetros!$B$9,IF(J1132&gt;Parâmetros!$B$6,0,INDEX(Parâmetros!$C$24:$C$26,MATCH(J1132,Parâmetros!$A$24:$A$26,1))))</f>
        <v>0</v>
      </c>
      <c r="M1132" s="31" t="n">
        <f aca="false">IF(G1132="Prospecting",1,INDEX(Parâmetros!$C$32:$C$35,MATCH(J1132,Parâmetros!$A$32:$A$35,1)))</f>
        <v>0.4</v>
      </c>
      <c r="N1132" s="2" t="n">
        <f aca="false">ROUND((K1132+L1132)*M1132,0)</f>
        <v>17</v>
      </c>
      <c r="O1132" s="10" t="str">
        <f aca="false">IF(AND(G1132="Engaging",J1132&gt;Parâmetros!$B$6),"Sim","Não")</f>
        <v>Sim</v>
      </c>
      <c r="P1132" s="32" t="str">
        <f aca="false">IF(O1132="Sim","R",IF(N1132&gt;=Parâmetros!$B$39,"A",IF(N1132&gt;=Parâmetros!$B$40,"B",IF(N1132&gt;=Parâmetros!$B$41,"C","D"))))</f>
        <v>R</v>
      </c>
      <c r="Q1132" s="10" t="str">
        <f aca="false">IF(F1132="","Completar cadastro","")</f>
        <v>Completar cadastro</v>
      </c>
      <c r="R1132" s="10" t="str">
        <f aca="false">INDEX(Parâmetros!$D$39:$D$43,MATCH(P1132,Parâmetros!$A$39:$A$43,0))</f>
        <v>Reciclar: requalificar, reengajar ou encerrar</v>
      </c>
    </row>
    <row r="1133" customFormat="false" ht="15" hidden="false" customHeight="false" outlineLevel="0" collapsed="false">
      <c r="A1133" s="10" t="s">
        <v>1378</v>
      </c>
      <c r="B1133" s="10" t="s">
        <v>68</v>
      </c>
      <c r="C1133" s="10" t="s">
        <v>65</v>
      </c>
      <c r="D1133" s="10" t="s">
        <v>160</v>
      </c>
      <c r="E1133" s="10" t="s">
        <v>48</v>
      </c>
      <c r="F1133" s="10"/>
      <c r="G1133" s="10" t="s">
        <v>162</v>
      </c>
      <c r="H1133" s="30" t="n">
        <v>42915</v>
      </c>
      <c r="I1133" s="8" t="n">
        <f aca="false">INDEX(Parâmetros!$C$13:$C$19,MATCH(E1133,Parâmetros!$A$13:$A$19,0))</f>
        <v>4821</v>
      </c>
      <c r="J1133" s="26" t="n">
        <f aca="false">IF(H1133="","",Parâmetros!$B$5-H1133)</f>
        <v>185</v>
      </c>
      <c r="K1133" s="10" t="n">
        <f aca="false">INDEX(Parâmetros!$D$13:$D$19,MATCH(E1133,Parâmetros!$A$13:$A$19,0))</f>
        <v>43</v>
      </c>
      <c r="L1133" s="10" t="n">
        <f aca="false">IF(G1133="Prospecting",Parâmetros!$B$9,IF(J1133&gt;Parâmetros!$B$6,0,INDEX(Parâmetros!$C$24:$C$26,MATCH(J1133,Parâmetros!$A$24:$A$26,1))))</f>
        <v>0</v>
      </c>
      <c r="M1133" s="31" t="n">
        <f aca="false">IF(G1133="Prospecting",1,INDEX(Parâmetros!$C$32:$C$35,MATCH(J1133,Parâmetros!$A$32:$A$35,1)))</f>
        <v>0.4</v>
      </c>
      <c r="N1133" s="2" t="n">
        <f aca="false">ROUND((K1133+L1133)*M1133,0)</f>
        <v>17</v>
      </c>
      <c r="O1133" s="10" t="str">
        <f aca="false">IF(AND(G1133="Engaging",J1133&gt;Parâmetros!$B$6),"Sim","Não")</f>
        <v>Sim</v>
      </c>
      <c r="P1133" s="32" t="str">
        <f aca="false">IF(O1133="Sim","R",IF(N1133&gt;=Parâmetros!$B$39,"A",IF(N1133&gt;=Parâmetros!$B$40,"B",IF(N1133&gt;=Parâmetros!$B$41,"C","D"))))</f>
        <v>R</v>
      </c>
      <c r="Q1133" s="10" t="str">
        <f aca="false">IF(F1133="","Completar cadastro","")</f>
        <v>Completar cadastro</v>
      </c>
      <c r="R1133" s="10" t="str">
        <f aca="false">INDEX(Parâmetros!$D$39:$D$43,MATCH(P1133,Parâmetros!$A$39:$A$43,0))</f>
        <v>Reciclar: requalificar, reengajar ou encerrar</v>
      </c>
    </row>
    <row r="1134" customFormat="false" ht="15" hidden="false" customHeight="false" outlineLevel="0" collapsed="false">
      <c r="A1134" s="10" t="s">
        <v>1379</v>
      </c>
      <c r="B1134" s="10" t="s">
        <v>95</v>
      </c>
      <c r="C1134" s="10" t="s">
        <v>92</v>
      </c>
      <c r="D1134" s="10" t="s">
        <v>160</v>
      </c>
      <c r="E1134" s="10" t="s">
        <v>48</v>
      </c>
      <c r="F1134" s="10" t="s">
        <v>344</v>
      </c>
      <c r="G1134" s="10" t="s">
        <v>162</v>
      </c>
      <c r="H1134" s="30" t="n">
        <v>42917</v>
      </c>
      <c r="I1134" s="8" t="n">
        <f aca="false">INDEX(Parâmetros!$C$13:$C$19,MATCH(E1134,Parâmetros!$A$13:$A$19,0))</f>
        <v>4821</v>
      </c>
      <c r="J1134" s="26" t="n">
        <f aca="false">IF(H1134="","",Parâmetros!$B$5-H1134)</f>
        <v>183</v>
      </c>
      <c r="K1134" s="10" t="n">
        <f aca="false">INDEX(Parâmetros!$D$13:$D$19,MATCH(E1134,Parâmetros!$A$13:$A$19,0))</f>
        <v>43</v>
      </c>
      <c r="L1134" s="10" t="n">
        <f aca="false">IF(G1134="Prospecting",Parâmetros!$B$9,IF(J1134&gt;Parâmetros!$B$6,0,INDEX(Parâmetros!$C$24:$C$26,MATCH(J1134,Parâmetros!$A$24:$A$26,1))))</f>
        <v>0</v>
      </c>
      <c r="M1134" s="31" t="n">
        <f aca="false">IF(G1134="Prospecting",1,INDEX(Parâmetros!$C$32:$C$35,MATCH(J1134,Parâmetros!$A$32:$A$35,1)))</f>
        <v>0.4</v>
      </c>
      <c r="N1134" s="2" t="n">
        <f aca="false">ROUND((K1134+L1134)*M1134,0)</f>
        <v>17</v>
      </c>
      <c r="O1134" s="10" t="str">
        <f aca="false">IF(AND(G1134="Engaging",J1134&gt;Parâmetros!$B$6),"Sim","Não")</f>
        <v>Sim</v>
      </c>
      <c r="P1134" s="32" t="str">
        <f aca="false">IF(O1134="Sim","R",IF(N1134&gt;=Parâmetros!$B$39,"A",IF(N1134&gt;=Parâmetros!$B$40,"B",IF(N1134&gt;=Parâmetros!$B$41,"C","D"))))</f>
        <v>R</v>
      </c>
      <c r="Q1134" s="10" t="str">
        <f aca="false">IF(F1134="","Completar cadastro","")</f>
        <v/>
      </c>
      <c r="R1134" s="10" t="str">
        <f aca="false">INDEX(Parâmetros!$D$39:$D$43,MATCH(P1134,Parâmetros!$A$39:$A$43,0))</f>
        <v>Reciclar: requalificar, reengajar ou encerrar</v>
      </c>
    </row>
    <row r="1135" customFormat="false" ht="15" hidden="false" customHeight="false" outlineLevel="0" collapsed="false">
      <c r="A1135" s="10" t="s">
        <v>1380</v>
      </c>
      <c r="B1135" s="10" t="s">
        <v>84</v>
      </c>
      <c r="C1135" s="10" t="s">
        <v>85</v>
      </c>
      <c r="D1135" s="10" t="s">
        <v>165</v>
      </c>
      <c r="E1135" s="10" t="s">
        <v>48</v>
      </c>
      <c r="F1135" s="10"/>
      <c r="G1135" s="10" t="s">
        <v>162</v>
      </c>
      <c r="H1135" s="30" t="n">
        <v>42918</v>
      </c>
      <c r="I1135" s="8" t="n">
        <f aca="false">INDEX(Parâmetros!$C$13:$C$19,MATCH(E1135,Parâmetros!$A$13:$A$19,0))</f>
        <v>4821</v>
      </c>
      <c r="J1135" s="26" t="n">
        <f aca="false">IF(H1135="","",Parâmetros!$B$5-H1135)</f>
        <v>182</v>
      </c>
      <c r="K1135" s="10" t="n">
        <f aca="false">INDEX(Parâmetros!$D$13:$D$19,MATCH(E1135,Parâmetros!$A$13:$A$19,0))</f>
        <v>43</v>
      </c>
      <c r="L1135" s="10" t="n">
        <f aca="false">IF(G1135="Prospecting",Parâmetros!$B$9,IF(J1135&gt;Parâmetros!$B$6,0,INDEX(Parâmetros!$C$24:$C$26,MATCH(J1135,Parâmetros!$A$24:$A$26,1))))</f>
        <v>0</v>
      </c>
      <c r="M1135" s="31" t="n">
        <f aca="false">IF(G1135="Prospecting",1,INDEX(Parâmetros!$C$32:$C$35,MATCH(J1135,Parâmetros!$A$32:$A$35,1)))</f>
        <v>0.4</v>
      </c>
      <c r="N1135" s="2" t="n">
        <f aca="false">ROUND((K1135+L1135)*M1135,0)</f>
        <v>17</v>
      </c>
      <c r="O1135" s="10" t="str">
        <f aca="false">IF(AND(G1135="Engaging",J1135&gt;Parâmetros!$B$6),"Sim","Não")</f>
        <v>Sim</v>
      </c>
      <c r="P1135" s="32" t="str">
        <f aca="false">IF(O1135="Sim","R",IF(N1135&gt;=Parâmetros!$B$39,"A",IF(N1135&gt;=Parâmetros!$B$40,"B",IF(N1135&gt;=Parâmetros!$B$41,"C","D"))))</f>
        <v>R</v>
      </c>
      <c r="Q1135" s="10" t="str">
        <f aca="false">IF(F1135="","Completar cadastro","")</f>
        <v>Completar cadastro</v>
      </c>
      <c r="R1135" s="10" t="str">
        <f aca="false">INDEX(Parâmetros!$D$39:$D$43,MATCH(P1135,Parâmetros!$A$39:$A$43,0))</f>
        <v>Reciclar: requalificar, reengajar ou encerrar</v>
      </c>
    </row>
    <row r="1136" customFormat="false" ht="15" hidden="false" customHeight="false" outlineLevel="0" collapsed="false">
      <c r="A1136" s="10" t="s">
        <v>1381</v>
      </c>
      <c r="B1136" s="10" t="s">
        <v>57</v>
      </c>
      <c r="C1136" s="10" t="s">
        <v>58</v>
      </c>
      <c r="D1136" s="10" t="s">
        <v>165</v>
      </c>
      <c r="E1136" s="10" t="s">
        <v>48</v>
      </c>
      <c r="F1136" s="10"/>
      <c r="G1136" s="10" t="s">
        <v>162</v>
      </c>
      <c r="H1136" s="30" t="n">
        <v>42918</v>
      </c>
      <c r="I1136" s="8" t="n">
        <f aca="false">INDEX(Parâmetros!$C$13:$C$19,MATCH(E1136,Parâmetros!$A$13:$A$19,0))</f>
        <v>4821</v>
      </c>
      <c r="J1136" s="26" t="n">
        <f aca="false">IF(H1136="","",Parâmetros!$B$5-H1136)</f>
        <v>182</v>
      </c>
      <c r="K1136" s="10" t="n">
        <f aca="false">INDEX(Parâmetros!$D$13:$D$19,MATCH(E1136,Parâmetros!$A$13:$A$19,0))</f>
        <v>43</v>
      </c>
      <c r="L1136" s="10" t="n">
        <f aca="false">IF(G1136="Prospecting",Parâmetros!$B$9,IF(J1136&gt;Parâmetros!$B$6,0,INDEX(Parâmetros!$C$24:$C$26,MATCH(J1136,Parâmetros!$A$24:$A$26,1))))</f>
        <v>0</v>
      </c>
      <c r="M1136" s="31" t="n">
        <f aca="false">IF(G1136="Prospecting",1,INDEX(Parâmetros!$C$32:$C$35,MATCH(J1136,Parâmetros!$A$32:$A$35,1)))</f>
        <v>0.4</v>
      </c>
      <c r="N1136" s="2" t="n">
        <f aca="false">ROUND((K1136+L1136)*M1136,0)</f>
        <v>17</v>
      </c>
      <c r="O1136" s="10" t="str">
        <f aca="false">IF(AND(G1136="Engaging",J1136&gt;Parâmetros!$B$6),"Sim","Não")</f>
        <v>Sim</v>
      </c>
      <c r="P1136" s="32" t="str">
        <f aca="false">IF(O1136="Sim","R",IF(N1136&gt;=Parâmetros!$B$39,"A",IF(N1136&gt;=Parâmetros!$B$40,"B",IF(N1136&gt;=Parâmetros!$B$41,"C","D"))))</f>
        <v>R</v>
      </c>
      <c r="Q1136" s="10" t="str">
        <f aca="false">IF(F1136="","Completar cadastro","")</f>
        <v>Completar cadastro</v>
      </c>
      <c r="R1136" s="10" t="str">
        <f aca="false">INDEX(Parâmetros!$D$39:$D$43,MATCH(P1136,Parâmetros!$A$39:$A$43,0))</f>
        <v>Reciclar: requalificar, reengajar ou encerrar</v>
      </c>
    </row>
    <row r="1137" customFormat="false" ht="15" hidden="false" customHeight="false" outlineLevel="0" collapsed="false">
      <c r="A1137" s="10" t="s">
        <v>1382</v>
      </c>
      <c r="B1137" s="10" t="s">
        <v>94</v>
      </c>
      <c r="C1137" s="10" t="s">
        <v>92</v>
      </c>
      <c r="D1137" s="10" t="s">
        <v>160</v>
      </c>
      <c r="E1137" s="10" t="s">
        <v>48</v>
      </c>
      <c r="F1137" s="10"/>
      <c r="G1137" s="10" t="s">
        <v>162</v>
      </c>
      <c r="H1137" s="30" t="n">
        <v>42918</v>
      </c>
      <c r="I1137" s="8" t="n">
        <f aca="false">INDEX(Parâmetros!$C$13:$C$19,MATCH(E1137,Parâmetros!$A$13:$A$19,0))</f>
        <v>4821</v>
      </c>
      <c r="J1137" s="26" t="n">
        <f aca="false">IF(H1137="","",Parâmetros!$B$5-H1137)</f>
        <v>182</v>
      </c>
      <c r="K1137" s="10" t="n">
        <f aca="false">INDEX(Parâmetros!$D$13:$D$19,MATCH(E1137,Parâmetros!$A$13:$A$19,0))</f>
        <v>43</v>
      </c>
      <c r="L1137" s="10" t="n">
        <f aca="false">IF(G1137="Prospecting",Parâmetros!$B$9,IF(J1137&gt;Parâmetros!$B$6,0,INDEX(Parâmetros!$C$24:$C$26,MATCH(J1137,Parâmetros!$A$24:$A$26,1))))</f>
        <v>0</v>
      </c>
      <c r="M1137" s="31" t="n">
        <f aca="false">IF(G1137="Prospecting",1,INDEX(Parâmetros!$C$32:$C$35,MATCH(J1137,Parâmetros!$A$32:$A$35,1)))</f>
        <v>0.4</v>
      </c>
      <c r="N1137" s="2" t="n">
        <f aca="false">ROUND((K1137+L1137)*M1137,0)</f>
        <v>17</v>
      </c>
      <c r="O1137" s="10" t="str">
        <f aca="false">IF(AND(G1137="Engaging",J1137&gt;Parâmetros!$B$6),"Sim","Não")</f>
        <v>Sim</v>
      </c>
      <c r="P1137" s="32" t="str">
        <f aca="false">IF(O1137="Sim","R",IF(N1137&gt;=Parâmetros!$B$39,"A",IF(N1137&gt;=Parâmetros!$B$40,"B",IF(N1137&gt;=Parâmetros!$B$41,"C","D"))))</f>
        <v>R</v>
      </c>
      <c r="Q1137" s="10" t="str">
        <f aca="false">IF(F1137="","Completar cadastro","")</f>
        <v>Completar cadastro</v>
      </c>
      <c r="R1137" s="10" t="str">
        <f aca="false">INDEX(Parâmetros!$D$39:$D$43,MATCH(P1137,Parâmetros!$A$39:$A$43,0))</f>
        <v>Reciclar: requalificar, reengajar ou encerrar</v>
      </c>
    </row>
    <row r="1138" customFormat="false" ht="15" hidden="false" customHeight="false" outlineLevel="0" collapsed="false">
      <c r="A1138" s="10" t="s">
        <v>1383</v>
      </c>
      <c r="B1138" s="10" t="s">
        <v>57</v>
      </c>
      <c r="C1138" s="10" t="s">
        <v>58</v>
      </c>
      <c r="D1138" s="10" t="s">
        <v>165</v>
      </c>
      <c r="E1138" s="10" t="s">
        <v>50</v>
      </c>
      <c r="F1138" s="10"/>
      <c r="G1138" s="10" t="s">
        <v>162</v>
      </c>
      <c r="H1138" s="30" t="n">
        <v>42922</v>
      </c>
      <c r="I1138" s="8" t="n">
        <f aca="false">INDEX(Parâmetros!$C$13:$C$19,MATCH(E1138,Parâmetros!$A$13:$A$19,0))</f>
        <v>1096</v>
      </c>
      <c r="J1138" s="26" t="n">
        <f aca="false">IF(H1138="","",Parâmetros!$B$5-H1138)</f>
        <v>178</v>
      </c>
      <c r="K1138" s="10" t="n">
        <f aca="false">INDEX(Parâmetros!$D$13:$D$19,MATCH(E1138,Parâmetros!$A$13:$A$19,0))</f>
        <v>29</v>
      </c>
      <c r="L1138" s="10" t="n">
        <f aca="false">IF(G1138="Prospecting",Parâmetros!$B$9,IF(J1138&gt;Parâmetros!$B$6,0,INDEX(Parâmetros!$C$24:$C$26,MATCH(J1138,Parâmetros!$A$24:$A$26,1))))</f>
        <v>0</v>
      </c>
      <c r="M1138" s="31" t="n">
        <f aca="false">IF(G1138="Prospecting",1,INDEX(Parâmetros!$C$32:$C$35,MATCH(J1138,Parâmetros!$A$32:$A$35,1)))</f>
        <v>0.6</v>
      </c>
      <c r="N1138" s="2" t="n">
        <f aca="false">ROUND((K1138+L1138)*M1138,0)</f>
        <v>17</v>
      </c>
      <c r="O1138" s="10" t="str">
        <f aca="false">IF(AND(G1138="Engaging",J1138&gt;Parâmetros!$B$6),"Sim","Não")</f>
        <v>Sim</v>
      </c>
      <c r="P1138" s="32" t="str">
        <f aca="false">IF(O1138="Sim","R",IF(N1138&gt;=Parâmetros!$B$39,"A",IF(N1138&gt;=Parâmetros!$B$40,"B",IF(N1138&gt;=Parâmetros!$B$41,"C","D"))))</f>
        <v>R</v>
      </c>
      <c r="Q1138" s="10" t="str">
        <f aca="false">IF(F1138="","Completar cadastro","")</f>
        <v>Completar cadastro</v>
      </c>
      <c r="R1138" s="10" t="str">
        <f aca="false">INDEX(Parâmetros!$D$39:$D$43,MATCH(P1138,Parâmetros!$A$39:$A$43,0))</f>
        <v>Reciclar: requalificar, reengajar ou encerrar</v>
      </c>
    </row>
    <row r="1139" customFormat="false" ht="15" hidden="false" customHeight="false" outlineLevel="0" collapsed="false">
      <c r="A1139" s="10" t="s">
        <v>1384</v>
      </c>
      <c r="B1139" s="10" t="s">
        <v>86</v>
      </c>
      <c r="C1139" s="10" t="s">
        <v>85</v>
      </c>
      <c r="D1139" s="10" t="s">
        <v>165</v>
      </c>
      <c r="E1139" s="10" t="s">
        <v>50</v>
      </c>
      <c r="F1139" s="10" t="s">
        <v>1118</v>
      </c>
      <c r="G1139" s="10" t="s">
        <v>162</v>
      </c>
      <c r="H1139" s="30" t="n">
        <v>42923</v>
      </c>
      <c r="I1139" s="8" t="n">
        <f aca="false">INDEX(Parâmetros!$C$13:$C$19,MATCH(E1139,Parâmetros!$A$13:$A$19,0))</f>
        <v>1096</v>
      </c>
      <c r="J1139" s="26" t="n">
        <f aca="false">IF(H1139="","",Parâmetros!$B$5-H1139)</f>
        <v>177</v>
      </c>
      <c r="K1139" s="10" t="n">
        <f aca="false">INDEX(Parâmetros!$D$13:$D$19,MATCH(E1139,Parâmetros!$A$13:$A$19,0))</f>
        <v>29</v>
      </c>
      <c r="L1139" s="10" t="n">
        <f aca="false">IF(G1139="Prospecting",Parâmetros!$B$9,IF(J1139&gt;Parâmetros!$B$6,0,INDEX(Parâmetros!$C$24:$C$26,MATCH(J1139,Parâmetros!$A$24:$A$26,1))))</f>
        <v>0</v>
      </c>
      <c r="M1139" s="31" t="n">
        <f aca="false">IF(G1139="Prospecting",1,INDEX(Parâmetros!$C$32:$C$35,MATCH(J1139,Parâmetros!$A$32:$A$35,1)))</f>
        <v>0.6</v>
      </c>
      <c r="N1139" s="2" t="n">
        <f aca="false">ROUND((K1139+L1139)*M1139,0)</f>
        <v>17</v>
      </c>
      <c r="O1139" s="10" t="str">
        <f aca="false">IF(AND(G1139="Engaging",J1139&gt;Parâmetros!$B$6),"Sim","Não")</f>
        <v>Sim</v>
      </c>
      <c r="P1139" s="32" t="str">
        <f aca="false">IF(O1139="Sim","R",IF(N1139&gt;=Parâmetros!$B$39,"A",IF(N1139&gt;=Parâmetros!$B$40,"B",IF(N1139&gt;=Parâmetros!$B$41,"C","D"))))</f>
        <v>R</v>
      </c>
      <c r="Q1139" s="10" t="str">
        <f aca="false">IF(F1139="","Completar cadastro","")</f>
        <v/>
      </c>
      <c r="R1139" s="10" t="str">
        <f aca="false">INDEX(Parâmetros!$D$39:$D$43,MATCH(P1139,Parâmetros!$A$39:$A$43,0))</f>
        <v>Reciclar: requalificar, reengajar ou encerrar</v>
      </c>
    </row>
    <row r="1140" customFormat="false" ht="15" hidden="false" customHeight="false" outlineLevel="0" collapsed="false">
      <c r="A1140" s="10" t="s">
        <v>1385</v>
      </c>
      <c r="B1140" s="10" t="s">
        <v>62</v>
      </c>
      <c r="C1140" s="10" t="s">
        <v>58</v>
      </c>
      <c r="D1140" s="10" t="s">
        <v>165</v>
      </c>
      <c r="E1140" s="10" t="s">
        <v>50</v>
      </c>
      <c r="F1140" s="10"/>
      <c r="G1140" s="10" t="s">
        <v>162</v>
      </c>
      <c r="H1140" s="30" t="n">
        <v>42924</v>
      </c>
      <c r="I1140" s="8" t="n">
        <f aca="false">INDEX(Parâmetros!$C$13:$C$19,MATCH(E1140,Parâmetros!$A$13:$A$19,0))</f>
        <v>1096</v>
      </c>
      <c r="J1140" s="26" t="n">
        <f aca="false">IF(H1140="","",Parâmetros!$B$5-H1140)</f>
        <v>176</v>
      </c>
      <c r="K1140" s="10" t="n">
        <f aca="false">INDEX(Parâmetros!$D$13:$D$19,MATCH(E1140,Parâmetros!$A$13:$A$19,0))</f>
        <v>29</v>
      </c>
      <c r="L1140" s="10" t="n">
        <f aca="false">IF(G1140="Prospecting",Parâmetros!$B$9,IF(J1140&gt;Parâmetros!$B$6,0,INDEX(Parâmetros!$C$24:$C$26,MATCH(J1140,Parâmetros!$A$24:$A$26,1))))</f>
        <v>0</v>
      </c>
      <c r="M1140" s="31" t="n">
        <f aca="false">IF(G1140="Prospecting",1,INDEX(Parâmetros!$C$32:$C$35,MATCH(J1140,Parâmetros!$A$32:$A$35,1)))</f>
        <v>0.6</v>
      </c>
      <c r="N1140" s="2" t="n">
        <f aca="false">ROUND((K1140+L1140)*M1140,0)</f>
        <v>17</v>
      </c>
      <c r="O1140" s="10" t="str">
        <f aca="false">IF(AND(G1140="Engaging",J1140&gt;Parâmetros!$B$6),"Sim","Não")</f>
        <v>Sim</v>
      </c>
      <c r="P1140" s="32" t="str">
        <f aca="false">IF(O1140="Sim","R",IF(N1140&gt;=Parâmetros!$B$39,"A",IF(N1140&gt;=Parâmetros!$B$40,"B",IF(N1140&gt;=Parâmetros!$B$41,"C","D"))))</f>
        <v>R</v>
      </c>
      <c r="Q1140" s="10" t="str">
        <f aca="false">IF(F1140="","Completar cadastro","")</f>
        <v>Completar cadastro</v>
      </c>
      <c r="R1140" s="10" t="str">
        <f aca="false">INDEX(Parâmetros!$D$39:$D$43,MATCH(P1140,Parâmetros!$A$39:$A$43,0))</f>
        <v>Reciclar: requalificar, reengajar ou encerrar</v>
      </c>
    </row>
    <row r="1141" customFormat="false" ht="15" hidden="false" customHeight="false" outlineLevel="0" collapsed="false">
      <c r="A1141" s="10" t="s">
        <v>1386</v>
      </c>
      <c r="B1141" s="10" t="s">
        <v>66</v>
      </c>
      <c r="C1141" s="10" t="s">
        <v>65</v>
      </c>
      <c r="D1141" s="10" t="s">
        <v>160</v>
      </c>
      <c r="E1141" s="10" t="s">
        <v>50</v>
      </c>
      <c r="F1141" s="10"/>
      <c r="G1141" s="10" t="s">
        <v>162</v>
      </c>
      <c r="H1141" s="30" t="n">
        <v>42925</v>
      </c>
      <c r="I1141" s="8" t="n">
        <f aca="false">INDEX(Parâmetros!$C$13:$C$19,MATCH(E1141,Parâmetros!$A$13:$A$19,0))</f>
        <v>1096</v>
      </c>
      <c r="J1141" s="26" t="n">
        <f aca="false">IF(H1141="","",Parâmetros!$B$5-H1141)</f>
        <v>175</v>
      </c>
      <c r="K1141" s="10" t="n">
        <f aca="false">INDEX(Parâmetros!$D$13:$D$19,MATCH(E1141,Parâmetros!$A$13:$A$19,0))</f>
        <v>29</v>
      </c>
      <c r="L1141" s="10" t="n">
        <f aca="false">IF(G1141="Prospecting",Parâmetros!$B$9,IF(J1141&gt;Parâmetros!$B$6,0,INDEX(Parâmetros!$C$24:$C$26,MATCH(J1141,Parâmetros!$A$24:$A$26,1))))</f>
        <v>0</v>
      </c>
      <c r="M1141" s="31" t="n">
        <f aca="false">IF(G1141="Prospecting",1,INDEX(Parâmetros!$C$32:$C$35,MATCH(J1141,Parâmetros!$A$32:$A$35,1)))</f>
        <v>0.6</v>
      </c>
      <c r="N1141" s="2" t="n">
        <f aca="false">ROUND((K1141+L1141)*M1141,0)</f>
        <v>17</v>
      </c>
      <c r="O1141" s="10" t="str">
        <f aca="false">IF(AND(G1141="Engaging",J1141&gt;Parâmetros!$B$6),"Sim","Não")</f>
        <v>Sim</v>
      </c>
      <c r="P1141" s="32" t="str">
        <f aca="false">IF(O1141="Sim","R",IF(N1141&gt;=Parâmetros!$B$39,"A",IF(N1141&gt;=Parâmetros!$B$40,"B",IF(N1141&gt;=Parâmetros!$B$41,"C","D"))))</f>
        <v>R</v>
      </c>
      <c r="Q1141" s="10" t="str">
        <f aca="false">IF(F1141="","Completar cadastro","")</f>
        <v>Completar cadastro</v>
      </c>
      <c r="R1141" s="10" t="str">
        <f aca="false">INDEX(Parâmetros!$D$39:$D$43,MATCH(P1141,Parâmetros!$A$39:$A$43,0))</f>
        <v>Reciclar: requalificar, reengajar ou encerrar</v>
      </c>
    </row>
    <row r="1142" customFormat="false" ht="15" hidden="false" customHeight="false" outlineLevel="0" collapsed="false">
      <c r="A1142" s="10" t="s">
        <v>1387</v>
      </c>
      <c r="B1142" s="10" t="s">
        <v>96</v>
      </c>
      <c r="C1142" s="10" t="s">
        <v>92</v>
      </c>
      <c r="D1142" s="10" t="s">
        <v>160</v>
      </c>
      <c r="E1142" s="10" t="s">
        <v>50</v>
      </c>
      <c r="F1142" s="10"/>
      <c r="G1142" s="10" t="s">
        <v>162</v>
      </c>
      <c r="H1142" s="30" t="n">
        <v>42931</v>
      </c>
      <c r="I1142" s="8" t="n">
        <f aca="false">INDEX(Parâmetros!$C$13:$C$19,MATCH(E1142,Parâmetros!$A$13:$A$19,0))</f>
        <v>1096</v>
      </c>
      <c r="J1142" s="26" t="n">
        <f aca="false">IF(H1142="","",Parâmetros!$B$5-H1142)</f>
        <v>169</v>
      </c>
      <c r="K1142" s="10" t="n">
        <f aca="false">INDEX(Parâmetros!$D$13:$D$19,MATCH(E1142,Parâmetros!$A$13:$A$19,0))</f>
        <v>29</v>
      </c>
      <c r="L1142" s="10" t="n">
        <f aca="false">IF(G1142="Prospecting",Parâmetros!$B$9,IF(J1142&gt;Parâmetros!$B$6,0,INDEX(Parâmetros!$C$24:$C$26,MATCH(J1142,Parâmetros!$A$24:$A$26,1))))</f>
        <v>0</v>
      </c>
      <c r="M1142" s="31" t="n">
        <f aca="false">IF(G1142="Prospecting",1,INDEX(Parâmetros!$C$32:$C$35,MATCH(J1142,Parâmetros!$A$32:$A$35,1)))</f>
        <v>0.6</v>
      </c>
      <c r="N1142" s="2" t="n">
        <f aca="false">ROUND((K1142+L1142)*M1142,0)</f>
        <v>17</v>
      </c>
      <c r="O1142" s="10" t="str">
        <f aca="false">IF(AND(G1142="Engaging",J1142&gt;Parâmetros!$B$6),"Sim","Não")</f>
        <v>Sim</v>
      </c>
      <c r="P1142" s="32" t="str">
        <f aca="false">IF(O1142="Sim","R",IF(N1142&gt;=Parâmetros!$B$39,"A",IF(N1142&gt;=Parâmetros!$B$40,"B",IF(N1142&gt;=Parâmetros!$B$41,"C","D"))))</f>
        <v>R</v>
      </c>
      <c r="Q1142" s="10" t="str">
        <f aca="false">IF(F1142="","Completar cadastro","")</f>
        <v>Completar cadastro</v>
      </c>
      <c r="R1142" s="10" t="str">
        <f aca="false">INDEX(Parâmetros!$D$39:$D$43,MATCH(P1142,Parâmetros!$A$39:$A$43,0))</f>
        <v>Reciclar: requalificar, reengajar ou encerrar</v>
      </c>
    </row>
    <row r="1143" customFormat="false" ht="15" hidden="false" customHeight="false" outlineLevel="0" collapsed="false">
      <c r="A1143" s="10" t="s">
        <v>1388</v>
      </c>
      <c r="B1143" s="10" t="s">
        <v>57</v>
      </c>
      <c r="C1143" s="10" t="s">
        <v>58</v>
      </c>
      <c r="D1143" s="10" t="s">
        <v>165</v>
      </c>
      <c r="E1143" s="10" t="s">
        <v>50</v>
      </c>
      <c r="F1143" s="10"/>
      <c r="G1143" s="10" t="s">
        <v>162</v>
      </c>
      <c r="H1143" s="30" t="n">
        <v>42934</v>
      </c>
      <c r="I1143" s="8" t="n">
        <f aca="false">INDEX(Parâmetros!$C$13:$C$19,MATCH(E1143,Parâmetros!$A$13:$A$19,0))</f>
        <v>1096</v>
      </c>
      <c r="J1143" s="26" t="n">
        <f aca="false">IF(H1143="","",Parâmetros!$B$5-H1143)</f>
        <v>166</v>
      </c>
      <c r="K1143" s="10" t="n">
        <f aca="false">INDEX(Parâmetros!$D$13:$D$19,MATCH(E1143,Parâmetros!$A$13:$A$19,0))</f>
        <v>29</v>
      </c>
      <c r="L1143" s="10" t="n">
        <f aca="false">IF(G1143="Prospecting",Parâmetros!$B$9,IF(J1143&gt;Parâmetros!$B$6,0,INDEX(Parâmetros!$C$24:$C$26,MATCH(J1143,Parâmetros!$A$24:$A$26,1))))</f>
        <v>0</v>
      </c>
      <c r="M1143" s="31" t="n">
        <f aca="false">IF(G1143="Prospecting",1,INDEX(Parâmetros!$C$32:$C$35,MATCH(J1143,Parâmetros!$A$32:$A$35,1)))</f>
        <v>0.6</v>
      </c>
      <c r="N1143" s="2" t="n">
        <f aca="false">ROUND((K1143+L1143)*M1143,0)</f>
        <v>17</v>
      </c>
      <c r="O1143" s="10" t="str">
        <f aca="false">IF(AND(G1143="Engaging",J1143&gt;Parâmetros!$B$6),"Sim","Não")</f>
        <v>Sim</v>
      </c>
      <c r="P1143" s="32" t="str">
        <f aca="false">IF(O1143="Sim","R",IF(N1143&gt;=Parâmetros!$B$39,"A",IF(N1143&gt;=Parâmetros!$B$40,"B",IF(N1143&gt;=Parâmetros!$B$41,"C","D"))))</f>
        <v>R</v>
      </c>
      <c r="Q1143" s="10" t="str">
        <f aca="false">IF(F1143="","Completar cadastro","")</f>
        <v>Completar cadastro</v>
      </c>
      <c r="R1143" s="10" t="str">
        <f aca="false">INDEX(Parâmetros!$D$39:$D$43,MATCH(P1143,Parâmetros!$A$39:$A$43,0))</f>
        <v>Reciclar: requalificar, reengajar ou encerrar</v>
      </c>
    </row>
    <row r="1144" customFormat="false" ht="15" hidden="false" customHeight="false" outlineLevel="0" collapsed="false">
      <c r="A1144" s="10" t="s">
        <v>1389</v>
      </c>
      <c r="B1144" s="10" t="s">
        <v>96</v>
      </c>
      <c r="C1144" s="10" t="s">
        <v>92</v>
      </c>
      <c r="D1144" s="10" t="s">
        <v>160</v>
      </c>
      <c r="E1144" s="10" t="s">
        <v>50</v>
      </c>
      <c r="F1144" s="10"/>
      <c r="G1144" s="10" t="s">
        <v>162</v>
      </c>
      <c r="H1144" s="30" t="n">
        <v>42934</v>
      </c>
      <c r="I1144" s="8" t="n">
        <f aca="false">INDEX(Parâmetros!$C$13:$C$19,MATCH(E1144,Parâmetros!$A$13:$A$19,0))</f>
        <v>1096</v>
      </c>
      <c r="J1144" s="26" t="n">
        <f aca="false">IF(H1144="","",Parâmetros!$B$5-H1144)</f>
        <v>166</v>
      </c>
      <c r="K1144" s="10" t="n">
        <f aca="false">INDEX(Parâmetros!$D$13:$D$19,MATCH(E1144,Parâmetros!$A$13:$A$19,0))</f>
        <v>29</v>
      </c>
      <c r="L1144" s="10" t="n">
        <f aca="false">IF(G1144="Prospecting",Parâmetros!$B$9,IF(J1144&gt;Parâmetros!$B$6,0,INDEX(Parâmetros!$C$24:$C$26,MATCH(J1144,Parâmetros!$A$24:$A$26,1))))</f>
        <v>0</v>
      </c>
      <c r="M1144" s="31" t="n">
        <f aca="false">IF(G1144="Prospecting",1,INDEX(Parâmetros!$C$32:$C$35,MATCH(J1144,Parâmetros!$A$32:$A$35,1)))</f>
        <v>0.6</v>
      </c>
      <c r="N1144" s="2" t="n">
        <f aca="false">ROUND((K1144+L1144)*M1144,0)</f>
        <v>17</v>
      </c>
      <c r="O1144" s="10" t="str">
        <f aca="false">IF(AND(G1144="Engaging",J1144&gt;Parâmetros!$B$6),"Sim","Não")</f>
        <v>Sim</v>
      </c>
      <c r="P1144" s="32" t="str">
        <f aca="false">IF(O1144="Sim","R",IF(N1144&gt;=Parâmetros!$B$39,"A",IF(N1144&gt;=Parâmetros!$B$40,"B",IF(N1144&gt;=Parâmetros!$B$41,"C","D"))))</f>
        <v>R</v>
      </c>
      <c r="Q1144" s="10" t="str">
        <f aca="false">IF(F1144="","Completar cadastro","")</f>
        <v>Completar cadastro</v>
      </c>
      <c r="R1144" s="10" t="str">
        <f aca="false">INDEX(Parâmetros!$D$39:$D$43,MATCH(P1144,Parâmetros!$A$39:$A$43,0))</f>
        <v>Reciclar: requalificar, reengajar ou encerrar</v>
      </c>
    </row>
    <row r="1145" customFormat="false" ht="15" hidden="false" customHeight="false" outlineLevel="0" collapsed="false">
      <c r="A1145" s="10" t="s">
        <v>1390</v>
      </c>
      <c r="B1145" s="10" t="s">
        <v>74</v>
      </c>
      <c r="C1145" s="10" t="s">
        <v>72</v>
      </c>
      <c r="D1145" s="10" t="s">
        <v>196</v>
      </c>
      <c r="E1145" s="10" t="s">
        <v>50</v>
      </c>
      <c r="F1145" s="10" t="s">
        <v>179</v>
      </c>
      <c r="G1145" s="10" t="s">
        <v>162</v>
      </c>
      <c r="H1145" s="30" t="n">
        <v>42935</v>
      </c>
      <c r="I1145" s="8" t="n">
        <f aca="false">INDEX(Parâmetros!$C$13:$C$19,MATCH(E1145,Parâmetros!$A$13:$A$19,0))</f>
        <v>1096</v>
      </c>
      <c r="J1145" s="26" t="n">
        <f aca="false">IF(H1145="","",Parâmetros!$B$5-H1145)</f>
        <v>165</v>
      </c>
      <c r="K1145" s="10" t="n">
        <f aca="false">INDEX(Parâmetros!$D$13:$D$19,MATCH(E1145,Parâmetros!$A$13:$A$19,0))</f>
        <v>29</v>
      </c>
      <c r="L1145" s="10" t="n">
        <f aca="false">IF(G1145="Prospecting",Parâmetros!$B$9,IF(J1145&gt;Parâmetros!$B$6,0,INDEX(Parâmetros!$C$24:$C$26,MATCH(J1145,Parâmetros!$A$24:$A$26,1))))</f>
        <v>0</v>
      </c>
      <c r="M1145" s="31" t="n">
        <f aca="false">IF(G1145="Prospecting",1,INDEX(Parâmetros!$C$32:$C$35,MATCH(J1145,Parâmetros!$A$32:$A$35,1)))</f>
        <v>0.6</v>
      </c>
      <c r="N1145" s="2" t="n">
        <f aca="false">ROUND((K1145+L1145)*M1145,0)</f>
        <v>17</v>
      </c>
      <c r="O1145" s="10" t="str">
        <f aca="false">IF(AND(G1145="Engaging",J1145&gt;Parâmetros!$B$6),"Sim","Não")</f>
        <v>Sim</v>
      </c>
      <c r="P1145" s="32" t="str">
        <f aca="false">IF(O1145="Sim","R",IF(N1145&gt;=Parâmetros!$B$39,"A",IF(N1145&gt;=Parâmetros!$B$40,"B",IF(N1145&gt;=Parâmetros!$B$41,"C","D"))))</f>
        <v>R</v>
      </c>
      <c r="Q1145" s="10" t="str">
        <f aca="false">IF(F1145="","Completar cadastro","")</f>
        <v/>
      </c>
      <c r="R1145" s="10" t="str">
        <f aca="false">INDEX(Parâmetros!$D$39:$D$43,MATCH(P1145,Parâmetros!$A$39:$A$43,0))</f>
        <v>Reciclar: requalificar, reengajar ou encerrar</v>
      </c>
    </row>
    <row r="1146" customFormat="false" ht="15" hidden="false" customHeight="false" outlineLevel="0" collapsed="false">
      <c r="A1146" s="10" t="s">
        <v>1391</v>
      </c>
      <c r="B1146" s="10" t="s">
        <v>71</v>
      </c>
      <c r="C1146" s="10" t="s">
        <v>72</v>
      </c>
      <c r="D1146" s="10" t="s">
        <v>196</v>
      </c>
      <c r="E1146" s="10" t="s">
        <v>50</v>
      </c>
      <c r="F1146" s="10"/>
      <c r="G1146" s="10" t="s">
        <v>162</v>
      </c>
      <c r="H1146" s="30" t="n">
        <v>42936</v>
      </c>
      <c r="I1146" s="8" t="n">
        <f aca="false">INDEX(Parâmetros!$C$13:$C$19,MATCH(E1146,Parâmetros!$A$13:$A$19,0))</f>
        <v>1096</v>
      </c>
      <c r="J1146" s="26" t="n">
        <f aca="false">IF(H1146="","",Parâmetros!$B$5-H1146)</f>
        <v>164</v>
      </c>
      <c r="K1146" s="10" t="n">
        <f aca="false">INDEX(Parâmetros!$D$13:$D$19,MATCH(E1146,Parâmetros!$A$13:$A$19,0))</f>
        <v>29</v>
      </c>
      <c r="L1146" s="10" t="n">
        <f aca="false">IF(G1146="Prospecting",Parâmetros!$B$9,IF(J1146&gt;Parâmetros!$B$6,0,INDEX(Parâmetros!$C$24:$C$26,MATCH(J1146,Parâmetros!$A$24:$A$26,1))))</f>
        <v>0</v>
      </c>
      <c r="M1146" s="31" t="n">
        <f aca="false">IF(G1146="Prospecting",1,INDEX(Parâmetros!$C$32:$C$35,MATCH(J1146,Parâmetros!$A$32:$A$35,1)))</f>
        <v>0.6</v>
      </c>
      <c r="N1146" s="2" t="n">
        <f aca="false">ROUND((K1146+L1146)*M1146,0)</f>
        <v>17</v>
      </c>
      <c r="O1146" s="10" t="str">
        <f aca="false">IF(AND(G1146="Engaging",J1146&gt;Parâmetros!$B$6),"Sim","Não")</f>
        <v>Sim</v>
      </c>
      <c r="P1146" s="32" t="str">
        <f aca="false">IF(O1146="Sim","R",IF(N1146&gt;=Parâmetros!$B$39,"A",IF(N1146&gt;=Parâmetros!$B$40,"B",IF(N1146&gt;=Parâmetros!$B$41,"C","D"))))</f>
        <v>R</v>
      </c>
      <c r="Q1146" s="10" t="str">
        <f aca="false">IF(F1146="","Completar cadastro","")</f>
        <v>Completar cadastro</v>
      </c>
      <c r="R1146" s="10" t="str">
        <f aca="false">INDEX(Parâmetros!$D$39:$D$43,MATCH(P1146,Parâmetros!$A$39:$A$43,0))</f>
        <v>Reciclar: requalificar, reengajar ou encerrar</v>
      </c>
    </row>
    <row r="1147" customFormat="false" ht="15" hidden="false" customHeight="false" outlineLevel="0" collapsed="false">
      <c r="A1147" s="10" t="s">
        <v>1392</v>
      </c>
      <c r="B1147" s="10" t="s">
        <v>87</v>
      </c>
      <c r="C1147" s="10" t="s">
        <v>85</v>
      </c>
      <c r="D1147" s="10" t="s">
        <v>165</v>
      </c>
      <c r="E1147" s="10" t="s">
        <v>50</v>
      </c>
      <c r="F1147" s="10"/>
      <c r="G1147" s="10" t="s">
        <v>162</v>
      </c>
      <c r="H1147" s="30" t="n">
        <v>42936</v>
      </c>
      <c r="I1147" s="8" t="n">
        <f aca="false">INDEX(Parâmetros!$C$13:$C$19,MATCH(E1147,Parâmetros!$A$13:$A$19,0))</f>
        <v>1096</v>
      </c>
      <c r="J1147" s="26" t="n">
        <f aca="false">IF(H1147="","",Parâmetros!$B$5-H1147)</f>
        <v>164</v>
      </c>
      <c r="K1147" s="10" t="n">
        <f aca="false">INDEX(Parâmetros!$D$13:$D$19,MATCH(E1147,Parâmetros!$A$13:$A$19,0))</f>
        <v>29</v>
      </c>
      <c r="L1147" s="10" t="n">
        <f aca="false">IF(G1147="Prospecting",Parâmetros!$B$9,IF(J1147&gt;Parâmetros!$B$6,0,INDEX(Parâmetros!$C$24:$C$26,MATCH(J1147,Parâmetros!$A$24:$A$26,1))))</f>
        <v>0</v>
      </c>
      <c r="M1147" s="31" t="n">
        <f aca="false">IF(G1147="Prospecting",1,INDEX(Parâmetros!$C$32:$C$35,MATCH(J1147,Parâmetros!$A$32:$A$35,1)))</f>
        <v>0.6</v>
      </c>
      <c r="N1147" s="2" t="n">
        <f aca="false">ROUND((K1147+L1147)*M1147,0)</f>
        <v>17</v>
      </c>
      <c r="O1147" s="10" t="str">
        <f aca="false">IF(AND(G1147="Engaging",J1147&gt;Parâmetros!$B$6),"Sim","Não")</f>
        <v>Sim</v>
      </c>
      <c r="P1147" s="32" t="str">
        <f aca="false">IF(O1147="Sim","R",IF(N1147&gt;=Parâmetros!$B$39,"A",IF(N1147&gt;=Parâmetros!$B$40,"B",IF(N1147&gt;=Parâmetros!$B$41,"C","D"))))</f>
        <v>R</v>
      </c>
      <c r="Q1147" s="10" t="str">
        <f aca="false">IF(F1147="","Completar cadastro","")</f>
        <v>Completar cadastro</v>
      </c>
      <c r="R1147" s="10" t="str">
        <f aca="false">INDEX(Parâmetros!$D$39:$D$43,MATCH(P1147,Parâmetros!$A$39:$A$43,0))</f>
        <v>Reciclar: requalificar, reengajar ou encerrar</v>
      </c>
    </row>
    <row r="1148" customFormat="false" ht="15" hidden="false" customHeight="false" outlineLevel="0" collapsed="false">
      <c r="A1148" s="10" t="s">
        <v>1393</v>
      </c>
      <c r="B1148" s="10" t="s">
        <v>77</v>
      </c>
      <c r="C1148" s="10" t="s">
        <v>78</v>
      </c>
      <c r="D1148" s="10" t="s">
        <v>196</v>
      </c>
      <c r="E1148" s="10" t="s">
        <v>50</v>
      </c>
      <c r="F1148" s="10"/>
      <c r="G1148" s="10" t="s">
        <v>162</v>
      </c>
      <c r="H1148" s="30" t="n">
        <v>42936</v>
      </c>
      <c r="I1148" s="8" t="n">
        <f aca="false">INDEX(Parâmetros!$C$13:$C$19,MATCH(E1148,Parâmetros!$A$13:$A$19,0))</f>
        <v>1096</v>
      </c>
      <c r="J1148" s="26" t="n">
        <f aca="false">IF(H1148="","",Parâmetros!$B$5-H1148)</f>
        <v>164</v>
      </c>
      <c r="K1148" s="10" t="n">
        <f aca="false">INDEX(Parâmetros!$D$13:$D$19,MATCH(E1148,Parâmetros!$A$13:$A$19,0))</f>
        <v>29</v>
      </c>
      <c r="L1148" s="10" t="n">
        <f aca="false">IF(G1148="Prospecting",Parâmetros!$B$9,IF(J1148&gt;Parâmetros!$B$6,0,INDEX(Parâmetros!$C$24:$C$26,MATCH(J1148,Parâmetros!$A$24:$A$26,1))))</f>
        <v>0</v>
      </c>
      <c r="M1148" s="31" t="n">
        <f aca="false">IF(G1148="Prospecting",1,INDEX(Parâmetros!$C$32:$C$35,MATCH(J1148,Parâmetros!$A$32:$A$35,1)))</f>
        <v>0.6</v>
      </c>
      <c r="N1148" s="2" t="n">
        <f aca="false">ROUND((K1148+L1148)*M1148,0)</f>
        <v>17</v>
      </c>
      <c r="O1148" s="10" t="str">
        <f aca="false">IF(AND(G1148="Engaging",J1148&gt;Parâmetros!$B$6),"Sim","Não")</f>
        <v>Sim</v>
      </c>
      <c r="P1148" s="32" t="str">
        <f aca="false">IF(O1148="Sim","R",IF(N1148&gt;=Parâmetros!$B$39,"A",IF(N1148&gt;=Parâmetros!$B$40,"B",IF(N1148&gt;=Parâmetros!$B$41,"C","D"))))</f>
        <v>R</v>
      </c>
      <c r="Q1148" s="10" t="str">
        <f aca="false">IF(F1148="","Completar cadastro","")</f>
        <v>Completar cadastro</v>
      </c>
      <c r="R1148" s="10" t="str">
        <f aca="false">INDEX(Parâmetros!$D$39:$D$43,MATCH(P1148,Parâmetros!$A$39:$A$43,0))</f>
        <v>Reciclar: requalificar, reengajar ou encerrar</v>
      </c>
    </row>
    <row r="1149" customFormat="false" ht="15" hidden="false" customHeight="false" outlineLevel="0" collapsed="false">
      <c r="A1149" s="10" t="s">
        <v>1394</v>
      </c>
      <c r="B1149" s="10" t="s">
        <v>77</v>
      </c>
      <c r="C1149" s="10" t="s">
        <v>78</v>
      </c>
      <c r="D1149" s="10" t="s">
        <v>196</v>
      </c>
      <c r="E1149" s="10" t="s">
        <v>50</v>
      </c>
      <c r="F1149" s="10"/>
      <c r="G1149" s="10" t="s">
        <v>162</v>
      </c>
      <c r="H1149" s="30" t="n">
        <v>42936</v>
      </c>
      <c r="I1149" s="8" t="n">
        <f aca="false">INDEX(Parâmetros!$C$13:$C$19,MATCH(E1149,Parâmetros!$A$13:$A$19,0))</f>
        <v>1096</v>
      </c>
      <c r="J1149" s="26" t="n">
        <f aca="false">IF(H1149="","",Parâmetros!$B$5-H1149)</f>
        <v>164</v>
      </c>
      <c r="K1149" s="10" t="n">
        <f aca="false">INDEX(Parâmetros!$D$13:$D$19,MATCH(E1149,Parâmetros!$A$13:$A$19,0))</f>
        <v>29</v>
      </c>
      <c r="L1149" s="10" t="n">
        <f aca="false">IF(G1149="Prospecting",Parâmetros!$B$9,IF(J1149&gt;Parâmetros!$B$6,0,INDEX(Parâmetros!$C$24:$C$26,MATCH(J1149,Parâmetros!$A$24:$A$26,1))))</f>
        <v>0</v>
      </c>
      <c r="M1149" s="31" t="n">
        <f aca="false">IF(G1149="Prospecting",1,INDEX(Parâmetros!$C$32:$C$35,MATCH(J1149,Parâmetros!$A$32:$A$35,1)))</f>
        <v>0.6</v>
      </c>
      <c r="N1149" s="2" t="n">
        <f aca="false">ROUND((K1149+L1149)*M1149,0)</f>
        <v>17</v>
      </c>
      <c r="O1149" s="10" t="str">
        <f aca="false">IF(AND(G1149="Engaging",J1149&gt;Parâmetros!$B$6),"Sim","Não")</f>
        <v>Sim</v>
      </c>
      <c r="P1149" s="32" t="str">
        <f aca="false">IF(O1149="Sim","R",IF(N1149&gt;=Parâmetros!$B$39,"A",IF(N1149&gt;=Parâmetros!$B$40,"B",IF(N1149&gt;=Parâmetros!$B$41,"C","D"))))</f>
        <v>R</v>
      </c>
      <c r="Q1149" s="10" t="str">
        <f aca="false">IF(F1149="","Completar cadastro","")</f>
        <v>Completar cadastro</v>
      </c>
      <c r="R1149" s="10" t="str">
        <f aca="false">INDEX(Parâmetros!$D$39:$D$43,MATCH(P1149,Parâmetros!$A$39:$A$43,0))</f>
        <v>Reciclar: requalificar, reengajar ou encerrar</v>
      </c>
    </row>
    <row r="1150" customFormat="false" ht="15" hidden="false" customHeight="false" outlineLevel="0" collapsed="false">
      <c r="A1150" s="10" t="s">
        <v>1395</v>
      </c>
      <c r="B1150" s="10" t="s">
        <v>67</v>
      </c>
      <c r="C1150" s="10" t="s">
        <v>65</v>
      </c>
      <c r="D1150" s="10" t="s">
        <v>160</v>
      </c>
      <c r="E1150" s="10" t="s">
        <v>50</v>
      </c>
      <c r="F1150" s="10" t="s">
        <v>179</v>
      </c>
      <c r="G1150" s="10" t="s">
        <v>162</v>
      </c>
      <c r="H1150" s="30" t="n">
        <v>42936</v>
      </c>
      <c r="I1150" s="8" t="n">
        <f aca="false">INDEX(Parâmetros!$C$13:$C$19,MATCH(E1150,Parâmetros!$A$13:$A$19,0))</f>
        <v>1096</v>
      </c>
      <c r="J1150" s="26" t="n">
        <f aca="false">IF(H1150="","",Parâmetros!$B$5-H1150)</f>
        <v>164</v>
      </c>
      <c r="K1150" s="10" t="n">
        <f aca="false">INDEX(Parâmetros!$D$13:$D$19,MATCH(E1150,Parâmetros!$A$13:$A$19,0))</f>
        <v>29</v>
      </c>
      <c r="L1150" s="10" t="n">
        <f aca="false">IF(G1150="Prospecting",Parâmetros!$B$9,IF(J1150&gt;Parâmetros!$B$6,0,INDEX(Parâmetros!$C$24:$C$26,MATCH(J1150,Parâmetros!$A$24:$A$26,1))))</f>
        <v>0</v>
      </c>
      <c r="M1150" s="31" t="n">
        <f aca="false">IF(G1150="Prospecting",1,INDEX(Parâmetros!$C$32:$C$35,MATCH(J1150,Parâmetros!$A$32:$A$35,1)))</f>
        <v>0.6</v>
      </c>
      <c r="N1150" s="2" t="n">
        <f aca="false">ROUND((K1150+L1150)*M1150,0)</f>
        <v>17</v>
      </c>
      <c r="O1150" s="10" t="str">
        <f aca="false">IF(AND(G1150="Engaging",J1150&gt;Parâmetros!$B$6),"Sim","Não")</f>
        <v>Sim</v>
      </c>
      <c r="P1150" s="32" t="str">
        <f aca="false">IF(O1150="Sim","R",IF(N1150&gt;=Parâmetros!$B$39,"A",IF(N1150&gt;=Parâmetros!$B$40,"B",IF(N1150&gt;=Parâmetros!$B$41,"C","D"))))</f>
        <v>R</v>
      </c>
      <c r="Q1150" s="10" t="str">
        <f aca="false">IF(F1150="","Completar cadastro","")</f>
        <v/>
      </c>
      <c r="R1150" s="10" t="str">
        <f aca="false">INDEX(Parâmetros!$D$39:$D$43,MATCH(P1150,Parâmetros!$A$39:$A$43,0))</f>
        <v>Reciclar: requalificar, reengajar ou encerrar</v>
      </c>
    </row>
    <row r="1151" customFormat="false" ht="15" hidden="false" customHeight="false" outlineLevel="0" collapsed="false">
      <c r="A1151" s="10" t="s">
        <v>1396</v>
      </c>
      <c r="B1151" s="10" t="s">
        <v>80</v>
      </c>
      <c r="C1151" s="10" t="s">
        <v>78</v>
      </c>
      <c r="D1151" s="10" t="s">
        <v>196</v>
      </c>
      <c r="E1151" s="10" t="s">
        <v>50</v>
      </c>
      <c r="F1151" s="10" t="s">
        <v>1397</v>
      </c>
      <c r="G1151" s="10" t="s">
        <v>162</v>
      </c>
      <c r="H1151" s="30" t="n">
        <v>42936</v>
      </c>
      <c r="I1151" s="8" t="n">
        <f aca="false">INDEX(Parâmetros!$C$13:$C$19,MATCH(E1151,Parâmetros!$A$13:$A$19,0))</f>
        <v>1096</v>
      </c>
      <c r="J1151" s="26" t="n">
        <f aca="false">IF(H1151="","",Parâmetros!$B$5-H1151)</f>
        <v>164</v>
      </c>
      <c r="K1151" s="10" t="n">
        <f aca="false">INDEX(Parâmetros!$D$13:$D$19,MATCH(E1151,Parâmetros!$A$13:$A$19,0))</f>
        <v>29</v>
      </c>
      <c r="L1151" s="10" t="n">
        <f aca="false">IF(G1151="Prospecting",Parâmetros!$B$9,IF(J1151&gt;Parâmetros!$B$6,0,INDEX(Parâmetros!$C$24:$C$26,MATCH(J1151,Parâmetros!$A$24:$A$26,1))))</f>
        <v>0</v>
      </c>
      <c r="M1151" s="31" t="n">
        <f aca="false">IF(G1151="Prospecting",1,INDEX(Parâmetros!$C$32:$C$35,MATCH(J1151,Parâmetros!$A$32:$A$35,1)))</f>
        <v>0.6</v>
      </c>
      <c r="N1151" s="2" t="n">
        <f aca="false">ROUND((K1151+L1151)*M1151,0)</f>
        <v>17</v>
      </c>
      <c r="O1151" s="10" t="str">
        <f aca="false">IF(AND(G1151="Engaging",J1151&gt;Parâmetros!$B$6),"Sim","Não")</f>
        <v>Sim</v>
      </c>
      <c r="P1151" s="32" t="str">
        <f aca="false">IF(O1151="Sim","R",IF(N1151&gt;=Parâmetros!$B$39,"A",IF(N1151&gt;=Parâmetros!$B$40,"B",IF(N1151&gt;=Parâmetros!$B$41,"C","D"))))</f>
        <v>R</v>
      </c>
      <c r="Q1151" s="10" t="str">
        <f aca="false">IF(F1151="","Completar cadastro","")</f>
        <v/>
      </c>
      <c r="R1151" s="10" t="str">
        <f aca="false">INDEX(Parâmetros!$D$39:$D$43,MATCH(P1151,Parâmetros!$A$39:$A$43,0))</f>
        <v>Reciclar: requalificar, reengajar ou encerrar</v>
      </c>
    </row>
    <row r="1152" customFormat="false" ht="15" hidden="false" customHeight="false" outlineLevel="0" collapsed="false">
      <c r="A1152" s="10" t="s">
        <v>1398</v>
      </c>
      <c r="B1152" s="10" t="s">
        <v>80</v>
      </c>
      <c r="C1152" s="10" t="s">
        <v>78</v>
      </c>
      <c r="D1152" s="10" t="s">
        <v>196</v>
      </c>
      <c r="E1152" s="10" t="s">
        <v>50</v>
      </c>
      <c r="F1152" s="10"/>
      <c r="G1152" s="10" t="s">
        <v>162</v>
      </c>
      <c r="H1152" s="30" t="n">
        <v>42936</v>
      </c>
      <c r="I1152" s="8" t="n">
        <f aca="false">INDEX(Parâmetros!$C$13:$C$19,MATCH(E1152,Parâmetros!$A$13:$A$19,0))</f>
        <v>1096</v>
      </c>
      <c r="J1152" s="26" t="n">
        <f aca="false">IF(H1152="","",Parâmetros!$B$5-H1152)</f>
        <v>164</v>
      </c>
      <c r="K1152" s="10" t="n">
        <f aca="false">INDEX(Parâmetros!$D$13:$D$19,MATCH(E1152,Parâmetros!$A$13:$A$19,0))</f>
        <v>29</v>
      </c>
      <c r="L1152" s="10" t="n">
        <f aca="false">IF(G1152="Prospecting",Parâmetros!$B$9,IF(J1152&gt;Parâmetros!$B$6,0,INDEX(Parâmetros!$C$24:$C$26,MATCH(J1152,Parâmetros!$A$24:$A$26,1))))</f>
        <v>0</v>
      </c>
      <c r="M1152" s="31" t="n">
        <f aca="false">IF(G1152="Prospecting",1,INDEX(Parâmetros!$C$32:$C$35,MATCH(J1152,Parâmetros!$A$32:$A$35,1)))</f>
        <v>0.6</v>
      </c>
      <c r="N1152" s="2" t="n">
        <f aca="false">ROUND((K1152+L1152)*M1152,0)</f>
        <v>17</v>
      </c>
      <c r="O1152" s="10" t="str">
        <f aca="false">IF(AND(G1152="Engaging",J1152&gt;Parâmetros!$B$6),"Sim","Não")</f>
        <v>Sim</v>
      </c>
      <c r="P1152" s="32" t="str">
        <f aca="false">IF(O1152="Sim","R",IF(N1152&gt;=Parâmetros!$B$39,"A",IF(N1152&gt;=Parâmetros!$B$40,"B",IF(N1152&gt;=Parâmetros!$B$41,"C","D"))))</f>
        <v>R</v>
      </c>
      <c r="Q1152" s="10" t="str">
        <f aca="false">IF(F1152="","Completar cadastro","")</f>
        <v>Completar cadastro</v>
      </c>
      <c r="R1152" s="10" t="str">
        <f aca="false">INDEX(Parâmetros!$D$39:$D$43,MATCH(P1152,Parâmetros!$A$39:$A$43,0))</f>
        <v>Reciclar: requalificar, reengajar ou encerrar</v>
      </c>
    </row>
    <row r="1153" customFormat="false" ht="15" hidden="false" customHeight="false" outlineLevel="0" collapsed="false">
      <c r="A1153" s="10" t="s">
        <v>1399</v>
      </c>
      <c r="B1153" s="10" t="s">
        <v>83</v>
      </c>
      <c r="C1153" s="10" t="s">
        <v>78</v>
      </c>
      <c r="D1153" s="10" t="s">
        <v>196</v>
      </c>
      <c r="E1153" s="10" t="s">
        <v>50</v>
      </c>
      <c r="F1153" s="10"/>
      <c r="G1153" s="10" t="s">
        <v>162</v>
      </c>
      <c r="H1153" s="30" t="n">
        <v>42936</v>
      </c>
      <c r="I1153" s="8" t="n">
        <f aca="false">INDEX(Parâmetros!$C$13:$C$19,MATCH(E1153,Parâmetros!$A$13:$A$19,0))</f>
        <v>1096</v>
      </c>
      <c r="J1153" s="26" t="n">
        <f aca="false">IF(H1153="","",Parâmetros!$B$5-H1153)</f>
        <v>164</v>
      </c>
      <c r="K1153" s="10" t="n">
        <f aca="false">INDEX(Parâmetros!$D$13:$D$19,MATCH(E1153,Parâmetros!$A$13:$A$19,0))</f>
        <v>29</v>
      </c>
      <c r="L1153" s="10" t="n">
        <f aca="false">IF(G1153="Prospecting",Parâmetros!$B$9,IF(J1153&gt;Parâmetros!$B$6,0,INDEX(Parâmetros!$C$24:$C$26,MATCH(J1153,Parâmetros!$A$24:$A$26,1))))</f>
        <v>0</v>
      </c>
      <c r="M1153" s="31" t="n">
        <f aca="false">IF(G1153="Prospecting",1,INDEX(Parâmetros!$C$32:$C$35,MATCH(J1153,Parâmetros!$A$32:$A$35,1)))</f>
        <v>0.6</v>
      </c>
      <c r="N1153" s="2" t="n">
        <f aca="false">ROUND((K1153+L1153)*M1153,0)</f>
        <v>17</v>
      </c>
      <c r="O1153" s="10" t="str">
        <f aca="false">IF(AND(G1153="Engaging",J1153&gt;Parâmetros!$B$6),"Sim","Não")</f>
        <v>Sim</v>
      </c>
      <c r="P1153" s="32" t="str">
        <f aca="false">IF(O1153="Sim","R",IF(N1153&gt;=Parâmetros!$B$39,"A",IF(N1153&gt;=Parâmetros!$B$40,"B",IF(N1153&gt;=Parâmetros!$B$41,"C","D"))))</f>
        <v>R</v>
      </c>
      <c r="Q1153" s="10" t="str">
        <f aca="false">IF(F1153="","Completar cadastro","")</f>
        <v>Completar cadastro</v>
      </c>
      <c r="R1153" s="10" t="str">
        <f aca="false">INDEX(Parâmetros!$D$39:$D$43,MATCH(P1153,Parâmetros!$A$39:$A$43,0))</f>
        <v>Reciclar: requalificar, reengajar ou encerrar</v>
      </c>
    </row>
    <row r="1154" customFormat="false" ht="15" hidden="false" customHeight="false" outlineLevel="0" collapsed="false">
      <c r="A1154" s="10" t="s">
        <v>1400</v>
      </c>
      <c r="B1154" s="10" t="s">
        <v>63</v>
      </c>
      <c r="C1154" s="10" t="s">
        <v>58</v>
      </c>
      <c r="D1154" s="10" t="s">
        <v>165</v>
      </c>
      <c r="E1154" s="10" t="s">
        <v>50</v>
      </c>
      <c r="F1154" s="10" t="s">
        <v>453</v>
      </c>
      <c r="G1154" s="10" t="s">
        <v>162</v>
      </c>
      <c r="H1154" s="30" t="n">
        <v>42936</v>
      </c>
      <c r="I1154" s="8" t="n">
        <f aca="false">INDEX(Parâmetros!$C$13:$C$19,MATCH(E1154,Parâmetros!$A$13:$A$19,0))</f>
        <v>1096</v>
      </c>
      <c r="J1154" s="26" t="n">
        <f aca="false">IF(H1154="","",Parâmetros!$B$5-H1154)</f>
        <v>164</v>
      </c>
      <c r="K1154" s="10" t="n">
        <f aca="false">INDEX(Parâmetros!$D$13:$D$19,MATCH(E1154,Parâmetros!$A$13:$A$19,0))</f>
        <v>29</v>
      </c>
      <c r="L1154" s="10" t="n">
        <f aca="false">IF(G1154="Prospecting",Parâmetros!$B$9,IF(J1154&gt;Parâmetros!$B$6,0,INDEX(Parâmetros!$C$24:$C$26,MATCH(J1154,Parâmetros!$A$24:$A$26,1))))</f>
        <v>0</v>
      </c>
      <c r="M1154" s="31" t="n">
        <f aca="false">IF(G1154="Prospecting",1,INDEX(Parâmetros!$C$32:$C$35,MATCH(J1154,Parâmetros!$A$32:$A$35,1)))</f>
        <v>0.6</v>
      </c>
      <c r="N1154" s="2" t="n">
        <f aca="false">ROUND((K1154+L1154)*M1154,0)</f>
        <v>17</v>
      </c>
      <c r="O1154" s="10" t="str">
        <f aca="false">IF(AND(G1154="Engaging",J1154&gt;Parâmetros!$B$6),"Sim","Não")</f>
        <v>Sim</v>
      </c>
      <c r="P1154" s="32" t="str">
        <f aca="false">IF(O1154="Sim","R",IF(N1154&gt;=Parâmetros!$B$39,"A",IF(N1154&gt;=Parâmetros!$B$40,"B",IF(N1154&gt;=Parâmetros!$B$41,"C","D"))))</f>
        <v>R</v>
      </c>
      <c r="Q1154" s="10" t="str">
        <f aca="false">IF(F1154="","Completar cadastro","")</f>
        <v/>
      </c>
      <c r="R1154" s="10" t="str">
        <f aca="false">INDEX(Parâmetros!$D$39:$D$43,MATCH(P1154,Parâmetros!$A$39:$A$43,0))</f>
        <v>Reciclar: requalificar, reengajar ou encerrar</v>
      </c>
    </row>
    <row r="1155" customFormat="false" ht="15" hidden="false" customHeight="false" outlineLevel="0" collapsed="false">
      <c r="A1155" s="10" t="s">
        <v>1401</v>
      </c>
      <c r="B1155" s="10" t="s">
        <v>71</v>
      </c>
      <c r="C1155" s="10" t="s">
        <v>72</v>
      </c>
      <c r="D1155" s="10" t="s">
        <v>196</v>
      </c>
      <c r="E1155" s="10" t="s">
        <v>50</v>
      </c>
      <c r="F1155" s="10"/>
      <c r="G1155" s="10" t="s">
        <v>162</v>
      </c>
      <c r="H1155" s="30" t="n">
        <v>42937</v>
      </c>
      <c r="I1155" s="8" t="n">
        <f aca="false">INDEX(Parâmetros!$C$13:$C$19,MATCH(E1155,Parâmetros!$A$13:$A$19,0))</f>
        <v>1096</v>
      </c>
      <c r="J1155" s="26" t="n">
        <f aca="false">IF(H1155="","",Parâmetros!$B$5-H1155)</f>
        <v>163</v>
      </c>
      <c r="K1155" s="10" t="n">
        <f aca="false">INDEX(Parâmetros!$D$13:$D$19,MATCH(E1155,Parâmetros!$A$13:$A$19,0))</f>
        <v>29</v>
      </c>
      <c r="L1155" s="10" t="n">
        <f aca="false">IF(G1155="Prospecting",Parâmetros!$B$9,IF(J1155&gt;Parâmetros!$B$6,0,INDEX(Parâmetros!$C$24:$C$26,MATCH(J1155,Parâmetros!$A$24:$A$26,1))))</f>
        <v>0</v>
      </c>
      <c r="M1155" s="31" t="n">
        <f aca="false">IF(G1155="Prospecting",1,INDEX(Parâmetros!$C$32:$C$35,MATCH(J1155,Parâmetros!$A$32:$A$35,1)))</f>
        <v>0.6</v>
      </c>
      <c r="N1155" s="2" t="n">
        <f aca="false">ROUND((K1155+L1155)*M1155,0)</f>
        <v>17</v>
      </c>
      <c r="O1155" s="10" t="str">
        <f aca="false">IF(AND(G1155="Engaging",J1155&gt;Parâmetros!$B$6),"Sim","Não")</f>
        <v>Sim</v>
      </c>
      <c r="P1155" s="32" t="str">
        <f aca="false">IF(O1155="Sim","R",IF(N1155&gt;=Parâmetros!$B$39,"A",IF(N1155&gt;=Parâmetros!$B$40,"B",IF(N1155&gt;=Parâmetros!$B$41,"C","D"))))</f>
        <v>R</v>
      </c>
      <c r="Q1155" s="10" t="str">
        <f aca="false">IF(F1155="","Completar cadastro","")</f>
        <v>Completar cadastro</v>
      </c>
      <c r="R1155" s="10" t="str">
        <f aca="false">INDEX(Parâmetros!$D$39:$D$43,MATCH(P1155,Parâmetros!$A$39:$A$43,0))</f>
        <v>Reciclar: requalificar, reengajar ou encerrar</v>
      </c>
    </row>
    <row r="1156" customFormat="false" ht="15" hidden="false" customHeight="false" outlineLevel="0" collapsed="false">
      <c r="A1156" s="10" t="s">
        <v>1402</v>
      </c>
      <c r="B1156" s="10" t="s">
        <v>73</v>
      </c>
      <c r="C1156" s="10" t="s">
        <v>72</v>
      </c>
      <c r="D1156" s="10" t="s">
        <v>196</v>
      </c>
      <c r="E1156" s="10" t="s">
        <v>50</v>
      </c>
      <c r="F1156" s="10"/>
      <c r="G1156" s="10" t="s">
        <v>162</v>
      </c>
      <c r="H1156" s="30" t="n">
        <v>42937</v>
      </c>
      <c r="I1156" s="8" t="n">
        <f aca="false">INDEX(Parâmetros!$C$13:$C$19,MATCH(E1156,Parâmetros!$A$13:$A$19,0))</f>
        <v>1096</v>
      </c>
      <c r="J1156" s="26" t="n">
        <f aca="false">IF(H1156="","",Parâmetros!$B$5-H1156)</f>
        <v>163</v>
      </c>
      <c r="K1156" s="10" t="n">
        <f aca="false">INDEX(Parâmetros!$D$13:$D$19,MATCH(E1156,Parâmetros!$A$13:$A$19,0))</f>
        <v>29</v>
      </c>
      <c r="L1156" s="10" t="n">
        <f aca="false">IF(G1156="Prospecting",Parâmetros!$B$9,IF(J1156&gt;Parâmetros!$B$6,0,INDEX(Parâmetros!$C$24:$C$26,MATCH(J1156,Parâmetros!$A$24:$A$26,1))))</f>
        <v>0</v>
      </c>
      <c r="M1156" s="31" t="n">
        <f aca="false">IF(G1156="Prospecting",1,INDEX(Parâmetros!$C$32:$C$35,MATCH(J1156,Parâmetros!$A$32:$A$35,1)))</f>
        <v>0.6</v>
      </c>
      <c r="N1156" s="2" t="n">
        <f aca="false">ROUND((K1156+L1156)*M1156,0)</f>
        <v>17</v>
      </c>
      <c r="O1156" s="10" t="str">
        <f aca="false">IF(AND(G1156="Engaging",J1156&gt;Parâmetros!$B$6),"Sim","Não")</f>
        <v>Sim</v>
      </c>
      <c r="P1156" s="32" t="str">
        <f aca="false">IF(O1156="Sim","R",IF(N1156&gt;=Parâmetros!$B$39,"A",IF(N1156&gt;=Parâmetros!$B$40,"B",IF(N1156&gt;=Parâmetros!$B$41,"C","D"))))</f>
        <v>R</v>
      </c>
      <c r="Q1156" s="10" t="str">
        <f aca="false">IF(F1156="","Completar cadastro","")</f>
        <v>Completar cadastro</v>
      </c>
      <c r="R1156" s="10" t="str">
        <f aca="false">INDEX(Parâmetros!$D$39:$D$43,MATCH(P1156,Parâmetros!$A$39:$A$43,0))</f>
        <v>Reciclar: requalificar, reengajar ou encerrar</v>
      </c>
    </row>
    <row r="1157" customFormat="false" ht="15" hidden="false" customHeight="false" outlineLevel="0" collapsed="false">
      <c r="A1157" s="10" t="s">
        <v>1403</v>
      </c>
      <c r="B1157" s="10" t="s">
        <v>73</v>
      </c>
      <c r="C1157" s="10" t="s">
        <v>72</v>
      </c>
      <c r="D1157" s="10" t="s">
        <v>196</v>
      </c>
      <c r="E1157" s="10" t="s">
        <v>50</v>
      </c>
      <c r="F1157" s="10"/>
      <c r="G1157" s="10" t="s">
        <v>162</v>
      </c>
      <c r="H1157" s="30" t="n">
        <v>42937</v>
      </c>
      <c r="I1157" s="8" t="n">
        <f aca="false">INDEX(Parâmetros!$C$13:$C$19,MATCH(E1157,Parâmetros!$A$13:$A$19,0))</f>
        <v>1096</v>
      </c>
      <c r="J1157" s="26" t="n">
        <f aca="false">IF(H1157="","",Parâmetros!$B$5-H1157)</f>
        <v>163</v>
      </c>
      <c r="K1157" s="10" t="n">
        <f aca="false">INDEX(Parâmetros!$D$13:$D$19,MATCH(E1157,Parâmetros!$A$13:$A$19,0))</f>
        <v>29</v>
      </c>
      <c r="L1157" s="10" t="n">
        <f aca="false">IF(G1157="Prospecting",Parâmetros!$B$9,IF(J1157&gt;Parâmetros!$B$6,0,INDEX(Parâmetros!$C$24:$C$26,MATCH(J1157,Parâmetros!$A$24:$A$26,1))))</f>
        <v>0</v>
      </c>
      <c r="M1157" s="31" t="n">
        <f aca="false">IF(G1157="Prospecting",1,INDEX(Parâmetros!$C$32:$C$35,MATCH(J1157,Parâmetros!$A$32:$A$35,1)))</f>
        <v>0.6</v>
      </c>
      <c r="N1157" s="2" t="n">
        <f aca="false">ROUND((K1157+L1157)*M1157,0)</f>
        <v>17</v>
      </c>
      <c r="O1157" s="10" t="str">
        <f aca="false">IF(AND(G1157="Engaging",J1157&gt;Parâmetros!$B$6),"Sim","Não")</f>
        <v>Sim</v>
      </c>
      <c r="P1157" s="32" t="str">
        <f aca="false">IF(O1157="Sim","R",IF(N1157&gt;=Parâmetros!$B$39,"A",IF(N1157&gt;=Parâmetros!$B$40,"B",IF(N1157&gt;=Parâmetros!$B$41,"C","D"))))</f>
        <v>R</v>
      </c>
      <c r="Q1157" s="10" t="str">
        <f aca="false">IF(F1157="","Completar cadastro","")</f>
        <v>Completar cadastro</v>
      </c>
      <c r="R1157" s="10" t="str">
        <f aca="false">INDEX(Parâmetros!$D$39:$D$43,MATCH(P1157,Parâmetros!$A$39:$A$43,0))</f>
        <v>Reciclar: requalificar, reengajar ou encerrar</v>
      </c>
    </row>
    <row r="1158" customFormat="false" ht="15" hidden="false" customHeight="false" outlineLevel="0" collapsed="false">
      <c r="A1158" s="10" t="s">
        <v>1404</v>
      </c>
      <c r="B1158" s="10" t="s">
        <v>80</v>
      </c>
      <c r="C1158" s="10" t="s">
        <v>78</v>
      </c>
      <c r="D1158" s="10" t="s">
        <v>196</v>
      </c>
      <c r="E1158" s="10" t="s">
        <v>50</v>
      </c>
      <c r="F1158" s="10"/>
      <c r="G1158" s="10" t="s">
        <v>162</v>
      </c>
      <c r="H1158" s="30" t="n">
        <v>42937</v>
      </c>
      <c r="I1158" s="8" t="n">
        <f aca="false">INDEX(Parâmetros!$C$13:$C$19,MATCH(E1158,Parâmetros!$A$13:$A$19,0))</f>
        <v>1096</v>
      </c>
      <c r="J1158" s="26" t="n">
        <f aca="false">IF(H1158="","",Parâmetros!$B$5-H1158)</f>
        <v>163</v>
      </c>
      <c r="K1158" s="10" t="n">
        <f aca="false">INDEX(Parâmetros!$D$13:$D$19,MATCH(E1158,Parâmetros!$A$13:$A$19,0))</f>
        <v>29</v>
      </c>
      <c r="L1158" s="10" t="n">
        <f aca="false">IF(G1158="Prospecting",Parâmetros!$B$9,IF(J1158&gt;Parâmetros!$B$6,0,INDEX(Parâmetros!$C$24:$C$26,MATCH(J1158,Parâmetros!$A$24:$A$26,1))))</f>
        <v>0</v>
      </c>
      <c r="M1158" s="31" t="n">
        <f aca="false">IF(G1158="Prospecting",1,INDEX(Parâmetros!$C$32:$C$35,MATCH(J1158,Parâmetros!$A$32:$A$35,1)))</f>
        <v>0.6</v>
      </c>
      <c r="N1158" s="2" t="n">
        <f aca="false">ROUND((K1158+L1158)*M1158,0)</f>
        <v>17</v>
      </c>
      <c r="O1158" s="10" t="str">
        <f aca="false">IF(AND(G1158="Engaging",J1158&gt;Parâmetros!$B$6),"Sim","Não")</f>
        <v>Sim</v>
      </c>
      <c r="P1158" s="32" t="str">
        <f aca="false">IF(O1158="Sim","R",IF(N1158&gt;=Parâmetros!$B$39,"A",IF(N1158&gt;=Parâmetros!$B$40,"B",IF(N1158&gt;=Parâmetros!$B$41,"C","D"))))</f>
        <v>R</v>
      </c>
      <c r="Q1158" s="10" t="str">
        <f aca="false">IF(F1158="","Completar cadastro","")</f>
        <v>Completar cadastro</v>
      </c>
      <c r="R1158" s="10" t="str">
        <f aca="false">INDEX(Parâmetros!$D$39:$D$43,MATCH(P1158,Parâmetros!$A$39:$A$43,0))</f>
        <v>Reciclar: requalificar, reengajar ou encerrar</v>
      </c>
    </row>
    <row r="1159" customFormat="false" ht="15" hidden="false" customHeight="false" outlineLevel="0" collapsed="false">
      <c r="A1159" s="10" t="s">
        <v>1405</v>
      </c>
      <c r="B1159" s="10" t="s">
        <v>80</v>
      </c>
      <c r="C1159" s="10" t="s">
        <v>78</v>
      </c>
      <c r="D1159" s="10" t="s">
        <v>196</v>
      </c>
      <c r="E1159" s="10" t="s">
        <v>50</v>
      </c>
      <c r="F1159" s="10"/>
      <c r="G1159" s="10" t="s">
        <v>162</v>
      </c>
      <c r="H1159" s="30" t="n">
        <v>42937</v>
      </c>
      <c r="I1159" s="8" t="n">
        <f aca="false">INDEX(Parâmetros!$C$13:$C$19,MATCH(E1159,Parâmetros!$A$13:$A$19,0))</f>
        <v>1096</v>
      </c>
      <c r="J1159" s="26" t="n">
        <f aca="false">IF(H1159="","",Parâmetros!$B$5-H1159)</f>
        <v>163</v>
      </c>
      <c r="K1159" s="10" t="n">
        <f aca="false">INDEX(Parâmetros!$D$13:$D$19,MATCH(E1159,Parâmetros!$A$13:$A$19,0))</f>
        <v>29</v>
      </c>
      <c r="L1159" s="10" t="n">
        <f aca="false">IF(G1159="Prospecting",Parâmetros!$B$9,IF(J1159&gt;Parâmetros!$B$6,0,INDEX(Parâmetros!$C$24:$C$26,MATCH(J1159,Parâmetros!$A$24:$A$26,1))))</f>
        <v>0</v>
      </c>
      <c r="M1159" s="31" t="n">
        <f aca="false">IF(G1159="Prospecting",1,INDEX(Parâmetros!$C$32:$C$35,MATCH(J1159,Parâmetros!$A$32:$A$35,1)))</f>
        <v>0.6</v>
      </c>
      <c r="N1159" s="2" t="n">
        <f aca="false">ROUND((K1159+L1159)*M1159,0)</f>
        <v>17</v>
      </c>
      <c r="O1159" s="10" t="str">
        <f aca="false">IF(AND(G1159="Engaging",J1159&gt;Parâmetros!$B$6),"Sim","Não")</f>
        <v>Sim</v>
      </c>
      <c r="P1159" s="32" t="str">
        <f aca="false">IF(O1159="Sim","R",IF(N1159&gt;=Parâmetros!$B$39,"A",IF(N1159&gt;=Parâmetros!$B$40,"B",IF(N1159&gt;=Parâmetros!$B$41,"C","D"))))</f>
        <v>R</v>
      </c>
      <c r="Q1159" s="10" t="str">
        <f aca="false">IF(F1159="","Completar cadastro","")</f>
        <v>Completar cadastro</v>
      </c>
      <c r="R1159" s="10" t="str">
        <f aca="false">INDEX(Parâmetros!$D$39:$D$43,MATCH(P1159,Parâmetros!$A$39:$A$43,0))</f>
        <v>Reciclar: requalificar, reengajar ou encerrar</v>
      </c>
    </row>
    <row r="1160" customFormat="false" ht="15" hidden="false" customHeight="false" outlineLevel="0" collapsed="false">
      <c r="A1160" s="10" t="s">
        <v>1406</v>
      </c>
      <c r="B1160" s="10" t="s">
        <v>81</v>
      </c>
      <c r="C1160" s="10" t="s">
        <v>78</v>
      </c>
      <c r="D1160" s="10" t="s">
        <v>196</v>
      </c>
      <c r="E1160" s="10" t="s">
        <v>50</v>
      </c>
      <c r="F1160" s="10" t="s">
        <v>193</v>
      </c>
      <c r="G1160" s="10" t="s">
        <v>162</v>
      </c>
      <c r="H1160" s="30" t="n">
        <v>42937</v>
      </c>
      <c r="I1160" s="8" t="n">
        <f aca="false">INDEX(Parâmetros!$C$13:$C$19,MATCH(E1160,Parâmetros!$A$13:$A$19,0))</f>
        <v>1096</v>
      </c>
      <c r="J1160" s="26" t="n">
        <f aca="false">IF(H1160="","",Parâmetros!$B$5-H1160)</f>
        <v>163</v>
      </c>
      <c r="K1160" s="10" t="n">
        <f aca="false">INDEX(Parâmetros!$D$13:$D$19,MATCH(E1160,Parâmetros!$A$13:$A$19,0))</f>
        <v>29</v>
      </c>
      <c r="L1160" s="10" t="n">
        <f aca="false">IF(G1160="Prospecting",Parâmetros!$B$9,IF(J1160&gt;Parâmetros!$B$6,0,INDEX(Parâmetros!$C$24:$C$26,MATCH(J1160,Parâmetros!$A$24:$A$26,1))))</f>
        <v>0</v>
      </c>
      <c r="M1160" s="31" t="n">
        <f aca="false">IF(G1160="Prospecting",1,INDEX(Parâmetros!$C$32:$C$35,MATCH(J1160,Parâmetros!$A$32:$A$35,1)))</f>
        <v>0.6</v>
      </c>
      <c r="N1160" s="2" t="n">
        <f aca="false">ROUND((K1160+L1160)*M1160,0)</f>
        <v>17</v>
      </c>
      <c r="O1160" s="10" t="str">
        <f aca="false">IF(AND(G1160="Engaging",J1160&gt;Parâmetros!$B$6),"Sim","Não")</f>
        <v>Sim</v>
      </c>
      <c r="P1160" s="32" t="str">
        <f aca="false">IF(O1160="Sim","R",IF(N1160&gt;=Parâmetros!$B$39,"A",IF(N1160&gt;=Parâmetros!$B$40,"B",IF(N1160&gt;=Parâmetros!$B$41,"C","D"))))</f>
        <v>R</v>
      </c>
      <c r="Q1160" s="10" t="str">
        <f aca="false">IF(F1160="","Completar cadastro","")</f>
        <v/>
      </c>
      <c r="R1160" s="10" t="str">
        <f aca="false">INDEX(Parâmetros!$D$39:$D$43,MATCH(P1160,Parâmetros!$A$39:$A$43,0))</f>
        <v>Reciclar: requalificar, reengajar ou encerrar</v>
      </c>
    </row>
    <row r="1161" customFormat="false" ht="15" hidden="false" customHeight="false" outlineLevel="0" collapsed="false">
      <c r="A1161" s="10" t="s">
        <v>1407</v>
      </c>
      <c r="B1161" s="10" t="s">
        <v>96</v>
      </c>
      <c r="C1161" s="10" t="s">
        <v>92</v>
      </c>
      <c r="D1161" s="10" t="s">
        <v>160</v>
      </c>
      <c r="E1161" s="10" t="s">
        <v>50</v>
      </c>
      <c r="F1161" s="10"/>
      <c r="G1161" s="10" t="s">
        <v>162</v>
      </c>
      <c r="H1161" s="30" t="n">
        <v>42937</v>
      </c>
      <c r="I1161" s="8" t="n">
        <f aca="false">INDEX(Parâmetros!$C$13:$C$19,MATCH(E1161,Parâmetros!$A$13:$A$19,0))</f>
        <v>1096</v>
      </c>
      <c r="J1161" s="26" t="n">
        <f aca="false">IF(H1161="","",Parâmetros!$B$5-H1161)</f>
        <v>163</v>
      </c>
      <c r="K1161" s="10" t="n">
        <f aca="false">INDEX(Parâmetros!$D$13:$D$19,MATCH(E1161,Parâmetros!$A$13:$A$19,0))</f>
        <v>29</v>
      </c>
      <c r="L1161" s="10" t="n">
        <f aca="false">IF(G1161="Prospecting",Parâmetros!$B$9,IF(J1161&gt;Parâmetros!$B$6,0,INDEX(Parâmetros!$C$24:$C$26,MATCH(J1161,Parâmetros!$A$24:$A$26,1))))</f>
        <v>0</v>
      </c>
      <c r="M1161" s="31" t="n">
        <f aca="false">IF(G1161="Prospecting",1,INDEX(Parâmetros!$C$32:$C$35,MATCH(J1161,Parâmetros!$A$32:$A$35,1)))</f>
        <v>0.6</v>
      </c>
      <c r="N1161" s="2" t="n">
        <f aca="false">ROUND((K1161+L1161)*M1161,0)</f>
        <v>17</v>
      </c>
      <c r="O1161" s="10" t="str">
        <f aca="false">IF(AND(G1161="Engaging",J1161&gt;Parâmetros!$B$6),"Sim","Não")</f>
        <v>Sim</v>
      </c>
      <c r="P1161" s="32" t="str">
        <f aca="false">IF(O1161="Sim","R",IF(N1161&gt;=Parâmetros!$B$39,"A",IF(N1161&gt;=Parâmetros!$B$40,"B",IF(N1161&gt;=Parâmetros!$B$41,"C","D"))))</f>
        <v>R</v>
      </c>
      <c r="Q1161" s="10" t="str">
        <f aca="false">IF(F1161="","Completar cadastro","")</f>
        <v>Completar cadastro</v>
      </c>
      <c r="R1161" s="10" t="str">
        <f aca="false">INDEX(Parâmetros!$D$39:$D$43,MATCH(P1161,Parâmetros!$A$39:$A$43,0))</f>
        <v>Reciclar: requalificar, reengajar ou encerrar</v>
      </c>
    </row>
    <row r="1162" customFormat="false" ht="15" hidden="false" customHeight="false" outlineLevel="0" collapsed="false">
      <c r="A1162" s="10" t="s">
        <v>1408</v>
      </c>
      <c r="B1162" s="10" t="s">
        <v>62</v>
      </c>
      <c r="C1162" s="10" t="s">
        <v>58</v>
      </c>
      <c r="D1162" s="10" t="s">
        <v>165</v>
      </c>
      <c r="E1162" s="10" t="s">
        <v>50</v>
      </c>
      <c r="F1162" s="10" t="s">
        <v>348</v>
      </c>
      <c r="G1162" s="10" t="s">
        <v>162</v>
      </c>
      <c r="H1162" s="30" t="n">
        <v>42937</v>
      </c>
      <c r="I1162" s="8" t="n">
        <f aca="false">INDEX(Parâmetros!$C$13:$C$19,MATCH(E1162,Parâmetros!$A$13:$A$19,0))</f>
        <v>1096</v>
      </c>
      <c r="J1162" s="26" t="n">
        <f aca="false">IF(H1162="","",Parâmetros!$B$5-H1162)</f>
        <v>163</v>
      </c>
      <c r="K1162" s="10" t="n">
        <f aca="false">INDEX(Parâmetros!$D$13:$D$19,MATCH(E1162,Parâmetros!$A$13:$A$19,0))</f>
        <v>29</v>
      </c>
      <c r="L1162" s="10" t="n">
        <f aca="false">IF(G1162="Prospecting",Parâmetros!$B$9,IF(J1162&gt;Parâmetros!$B$6,0,INDEX(Parâmetros!$C$24:$C$26,MATCH(J1162,Parâmetros!$A$24:$A$26,1))))</f>
        <v>0</v>
      </c>
      <c r="M1162" s="31" t="n">
        <f aca="false">IF(G1162="Prospecting",1,INDEX(Parâmetros!$C$32:$C$35,MATCH(J1162,Parâmetros!$A$32:$A$35,1)))</f>
        <v>0.6</v>
      </c>
      <c r="N1162" s="2" t="n">
        <f aca="false">ROUND((K1162+L1162)*M1162,0)</f>
        <v>17</v>
      </c>
      <c r="O1162" s="10" t="str">
        <f aca="false">IF(AND(G1162="Engaging",J1162&gt;Parâmetros!$B$6),"Sim","Não")</f>
        <v>Sim</v>
      </c>
      <c r="P1162" s="32" t="str">
        <f aca="false">IF(O1162="Sim","R",IF(N1162&gt;=Parâmetros!$B$39,"A",IF(N1162&gt;=Parâmetros!$B$40,"B",IF(N1162&gt;=Parâmetros!$B$41,"C","D"))))</f>
        <v>R</v>
      </c>
      <c r="Q1162" s="10" t="str">
        <f aca="false">IF(F1162="","Completar cadastro","")</f>
        <v/>
      </c>
      <c r="R1162" s="10" t="str">
        <f aca="false">INDEX(Parâmetros!$D$39:$D$43,MATCH(P1162,Parâmetros!$A$39:$A$43,0))</f>
        <v>Reciclar: requalificar, reengajar ou encerrar</v>
      </c>
    </row>
    <row r="1163" customFormat="false" ht="15" hidden="false" customHeight="false" outlineLevel="0" collapsed="false">
      <c r="A1163" s="10" t="s">
        <v>1409</v>
      </c>
      <c r="B1163" s="10" t="s">
        <v>73</v>
      </c>
      <c r="C1163" s="10" t="s">
        <v>72</v>
      </c>
      <c r="D1163" s="10" t="s">
        <v>196</v>
      </c>
      <c r="E1163" s="10" t="s">
        <v>50</v>
      </c>
      <c r="F1163" s="10"/>
      <c r="G1163" s="10" t="s">
        <v>162</v>
      </c>
      <c r="H1163" s="30" t="n">
        <v>42938</v>
      </c>
      <c r="I1163" s="8" t="n">
        <f aca="false">INDEX(Parâmetros!$C$13:$C$19,MATCH(E1163,Parâmetros!$A$13:$A$19,0))</f>
        <v>1096</v>
      </c>
      <c r="J1163" s="26" t="n">
        <f aca="false">IF(H1163="","",Parâmetros!$B$5-H1163)</f>
        <v>162</v>
      </c>
      <c r="K1163" s="10" t="n">
        <f aca="false">INDEX(Parâmetros!$D$13:$D$19,MATCH(E1163,Parâmetros!$A$13:$A$19,0))</f>
        <v>29</v>
      </c>
      <c r="L1163" s="10" t="n">
        <f aca="false">IF(G1163="Prospecting",Parâmetros!$B$9,IF(J1163&gt;Parâmetros!$B$6,0,INDEX(Parâmetros!$C$24:$C$26,MATCH(J1163,Parâmetros!$A$24:$A$26,1))))</f>
        <v>0</v>
      </c>
      <c r="M1163" s="31" t="n">
        <f aca="false">IF(G1163="Prospecting",1,INDEX(Parâmetros!$C$32:$C$35,MATCH(J1163,Parâmetros!$A$32:$A$35,1)))</f>
        <v>0.6</v>
      </c>
      <c r="N1163" s="2" t="n">
        <f aca="false">ROUND((K1163+L1163)*M1163,0)</f>
        <v>17</v>
      </c>
      <c r="O1163" s="10" t="str">
        <f aca="false">IF(AND(G1163="Engaging",J1163&gt;Parâmetros!$B$6),"Sim","Não")</f>
        <v>Sim</v>
      </c>
      <c r="P1163" s="32" t="str">
        <f aca="false">IF(O1163="Sim","R",IF(N1163&gt;=Parâmetros!$B$39,"A",IF(N1163&gt;=Parâmetros!$B$40,"B",IF(N1163&gt;=Parâmetros!$B$41,"C","D"))))</f>
        <v>R</v>
      </c>
      <c r="Q1163" s="10" t="str">
        <f aca="false">IF(F1163="","Completar cadastro","")</f>
        <v>Completar cadastro</v>
      </c>
      <c r="R1163" s="10" t="str">
        <f aca="false">INDEX(Parâmetros!$D$39:$D$43,MATCH(P1163,Parâmetros!$A$39:$A$43,0))</f>
        <v>Reciclar: requalificar, reengajar ou encerrar</v>
      </c>
    </row>
    <row r="1164" customFormat="false" ht="15" hidden="false" customHeight="false" outlineLevel="0" collapsed="false">
      <c r="A1164" s="10" t="s">
        <v>1410</v>
      </c>
      <c r="B1164" s="10" t="s">
        <v>77</v>
      </c>
      <c r="C1164" s="10" t="s">
        <v>78</v>
      </c>
      <c r="D1164" s="10" t="s">
        <v>196</v>
      </c>
      <c r="E1164" s="10" t="s">
        <v>50</v>
      </c>
      <c r="F1164" s="10"/>
      <c r="G1164" s="10" t="s">
        <v>162</v>
      </c>
      <c r="H1164" s="30" t="n">
        <v>42938</v>
      </c>
      <c r="I1164" s="8" t="n">
        <f aca="false">INDEX(Parâmetros!$C$13:$C$19,MATCH(E1164,Parâmetros!$A$13:$A$19,0))</f>
        <v>1096</v>
      </c>
      <c r="J1164" s="26" t="n">
        <f aca="false">IF(H1164="","",Parâmetros!$B$5-H1164)</f>
        <v>162</v>
      </c>
      <c r="K1164" s="10" t="n">
        <f aca="false">INDEX(Parâmetros!$D$13:$D$19,MATCH(E1164,Parâmetros!$A$13:$A$19,0))</f>
        <v>29</v>
      </c>
      <c r="L1164" s="10" t="n">
        <f aca="false">IF(G1164="Prospecting",Parâmetros!$B$9,IF(J1164&gt;Parâmetros!$B$6,0,INDEX(Parâmetros!$C$24:$C$26,MATCH(J1164,Parâmetros!$A$24:$A$26,1))))</f>
        <v>0</v>
      </c>
      <c r="M1164" s="31" t="n">
        <f aca="false">IF(G1164="Prospecting",1,INDEX(Parâmetros!$C$32:$C$35,MATCH(J1164,Parâmetros!$A$32:$A$35,1)))</f>
        <v>0.6</v>
      </c>
      <c r="N1164" s="2" t="n">
        <f aca="false">ROUND((K1164+L1164)*M1164,0)</f>
        <v>17</v>
      </c>
      <c r="O1164" s="10" t="str">
        <f aca="false">IF(AND(G1164="Engaging",J1164&gt;Parâmetros!$B$6),"Sim","Não")</f>
        <v>Sim</v>
      </c>
      <c r="P1164" s="32" t="str">
        <f aca="false">IF(O1164="Sim","R",IF(N1164&gt;=Parâmetros!$B$39,"A",IF(N1164&gt;=Parâmetros!$B$40,"B",IF(N1164&gt;=Parâmetros!$B$41,"C","D"))))</f>
        <v>R</v>
      </c>
      <c r="Q1164" s="10" t="str">
        <f aca="false">IF(F1164="","Completar cadastro","")</f>
        <v>Completar cadastro</v>
      </c>
      <c r="R1164" s="10" t="str">
        <f aca="false">INDEX(Parâmetros!$D$39:$D$43,MATCH(P1164,Parâmetros!$A$39:$A$43,0))</f>
        <v>Reciclar: requalificar, reengajar ou encerrar</v>
      </c>
    </row>
    <row r="1165" customFormat="false" ht="15" hidden="false" customHeight="false" outlineLevel="0" collapsed="false">
      <c r="A1165" s="10" t="s">
        <v>1411</v>
      </c>
      <c r="B1165" s="10" t="s">
        <v>79</v>
      </c>
      <c r="C1165" s="10" t="s">
        <v>78</v>
      </c>
      <c r="D1165" s="10" t="s">
        <v>196</v>
      </c>
      <c r="E1165" s="10" t="s">
        <v>50</v>
      </c>
      <c r="F1165" s="10" t="s">
        <v>660</v>
      </c>
      <c r="G1165" s="10" t="s">
        <v>162</v>
      </c>
      <c r="H1165" s="30" t="n">
        <v>42938</v>
      </c>
      <c r="I1165" s="8" t="n">
        <f aca="false">INDEX(Parâmetros!$C$13:$C$19,MATCH(E1165,Parâmetros!$A$13:$A$19,0))</f>
        <v>1096</v>
      </c>
      <c r="J1165" s="26" t="n">
        <f aca="false">IF(H1165="","",Parâmetros!$B$5-H1165)</f>
        <v>162</v>
      </c>
      <c r="K1165" s="10" t="n">
        <f aca="false">INDEX(Parâmetros!$D$13:$D$19,MATCH(E1165,Parâmetros!$A$13:$A$19,0))</f>
        <v>29</v>
      </c>
      <c r="L1165" s="10" t="n">
        <f aca="false">IF(G1165="Prospecting",Parâmetros!$B$9,IF(J1165&gt;Parâmetros!$B$6,0,INDEX(Parâmetros!$C$24:$C$26,MATCH(J1165,Parâmetros!$A$24:$A$26,1))))</f>
        <v>0</v>
      </c>
      <c r="M1165" s="31" t="n">
        <f aca="false">IF(G1165="Prospecting",1,INDEX(Parâmetros!$C$32:$C$35,MATCH(J1165,Parâmetros!$A$32:$A$35,1)))</f>
        <v>0.6</v>
      </c>
      <c r="N1165" s="2" t="n">
        <f aca="false">ROUND((K1165+L1165)*M1165,0)</f>
        <v>17</v>
      </c>
      <c r="O1165" s="10" t="str">
        <f aca="false">IF(AND(G1165="Engaging",J1165&gt;Parâmetros!$B$6),"Sim","Não")</f>
        <v>Sim</v>
      </c>
      <c r="P1165" s="32" t="str">
        <f aca="false">IF(O1165="Sim","R",IF(N1165&gt;=Parâmetros!$B$39,"A",IF(N1165&gt;=Parâmetros!$B$40,"B",IF(N1165&gt;=Parâmetros!$B$41,"C","D"))))</f>
        <v>R</v>
      </c>
      <c r="Q1165" s="10" t="str">
        <f aca="false">IF(F1165="","Completar cadastro","")</f>
        <v/>
      </c>
      <c r="R1165" s="10" t="str">
        <f aca="false">INDEX(Parâmetros!$D$39:$D$43,MATCH(P1165,Parâmetros!$A$39:$A$43,0))</f>
        <v>Reciclar: requalificar, reengajar ou encerrar</v>
      </c>
    </row>
    <row r="1166" customFormat="false" ht="15" hidden="false" customHeight="false" outlineLevel="0" collapsed="false">
      <c r="A1166" s="10" t="s">
        <v>1412</v>
      </c>
      <c r="B1166" s="10" t="s">
        <v>80</v>
      </c>
      <c r="C1166" s="10" t="s">
        <v>78</v>
      </c>
      <c r="D1166" s="10" t="s">
        <v>196</v>
      </c>
      <c r="E1166" s="10" t="s">
        <v>50</v>
      </c>
      <c r="F1166" s="10"/>
      <c r="G1166" s="10" t="s">
        <v>162</v>
      </c>
      <c r="H1166" s="30" t="n">
        <v>42938</v>
      </c>
      <c r="I1166" s="8" t="n">
        <f aca="false">INDEX(Parâmetros!$C$13:$C$19,MATCH(E1166,Parâmetros!$A$13:$A$19,0))</f>
        <v>1096</v>
      </c>
      <c r="J1166" s="26" t="n">
        <f aca="false">IF(H1166="","",Parâmetros!$B$5-H1166)</f>
        <v>162</v>
      </c>
      <c r="K1166" s="10" t="n">
        <f aca="false">INDEX(Parâmetros!$D$13:$D$19,MATCH(E1166,Parâmetros!$A$13:$A$19,0))</f>
        <v>29</v>
      </c>
      <c r="L1166" s="10" t="n">
        <f aca="false">IF(G1166="Prospecting",Parâmetros!$B$9,IF(J1166&gt;Parâmetros!$B$6,0,INDEX(Parâmetros!$C$24:$C$26,MATCH(J1166,Parâmetros!$A$24:$A$26,1))))</f>
        <v>0</v>
      </c>
      <c r="M1166" s="31" t="n">
        <f aca="false">IF(G1166="Prospecting",1,INDEX(Parâmetros!$C$32:$C$35,MATCH(J1166,Parâmetros!$A$32:$A$35,1)))</f>
        <v>0.6</v>
      </c>
      <c r="N1166" s="2" t="n">
        <f aca="false">ROUND((K1166+L1166)*M1166,0)</f>
        <v>17</v>
      </c>
      <c r="O1166" s="10" t="str">
        <f aca="false">IF(AND(G1166="Engaging",J1166&gt;Parâmetros!$B$6),"Sim","Não")</f>
        <v>Sim</v>
      </c>
      <c r="P1166" s="32" t="str">
        <f aca="false">IF(O1166="Sim","R",IF(N1166&gt;=Parâmetros!$B$39,"A",IF(N1166&gt;=Parâmetros!$B$40,"B",IF(N1166&gt;=Parâmetros!$B$41,"C","D"))))</f>
        <v>R</v>
      </c>
      <c r="Q1166" s="10" t="str">
        <f aca="false">IF(F1166="","Completar cadastro","")</f>
        <v>Completar cadastro</v>
      </c>
      <c r="R1166" s="10" t="str">
        <f aca="false">INDEX(Parâmetros!$D$39:$D$43,MATCH(P1166,Parâmetros!$A$39:$A$43,0))</f>
        <v>Reciclar: requalificar, reengajar ou encerrar</v>
      </c>
    </row>
    <row r="1167" customFormat="false" ht="15" hidden="false" customHeight="false" outlineLevel="0" collapsed="false">
      <c r="A1167" s="10" t="s">
        <v>1413</v>
      </c>
      <c r="B1167" s="10" t="s">
        <v>74</v>
      </c>
      <c r="C1167" s="10" t="s">
        <v>72</v>
      </c>
      <c r="D1167" s="10" t="s">
        <v>196</v>
      </c>
      <c r="E1167" s="10" t="s">
        <v>50</v>
      </c>
      <c r="F1167" s="10"/>
      <c r="G1167" s="10" t="s">
        <v>162</v>
      </c>
      <c r="H1167" s="30" t="n">
        <v>42938</v>
      </c>
      <c r="I1167" s="8" t="n">
        <f aca="false">INDEX(Parâmetros!$C$13:$C$19,MATCH(E1167,Parâmetros!$A$13:$A$19,0))</f>
        <v>1096</v>
      </c>
      <c r="J1167" s="26" t="n">
        <f aca="false">IF(H1167="","",Parâmetros!$B$5-H1167)</f>
        <v>162</v>
      </c>
      <c r="K1167" s="10" t="n">
        <f aca="false">INDEX(Parâmetros!$D$13:$D$19,MATCH(E1167,Parâmetros!$A$13:$A$19,0))</f>
        <v>29</v>
      </c>
      <c r="L1167" s="10" t="n">
        <f aca="false">IF(G1167="Prospecting",Parâmetros!$B$9,IF(J1167&gt;Parâmetros!$B$6,0,INDEX(Parâmetros!$C$24:$C$26,MATCH(J1167,Parâmetros!$A$24:$A$26,1))))</f>
        <v>0</v>
      </c>
      <c r="M1167" s="31" t="n">
        <f aca="false">IF(G1167="Prospecting",1,INDEX(Parâmetros!$C$32:$C$35,MATCH(J1167,Parâmetros!$A$32:$A$35,1)))</f>
        <v>0.6</v>
      </c>
      <c r="N1167" s="2" t="n">
        <f aca="false">ROUND((K1167+L1167)*M1167,0)</f>
        <v>17</v>
      </c>
      <c r="O1167" s="10" t="str">
        <f aca="false">IF(AND(G1167="Engaging",J1167&gt;Parâmetros!$B$6),"Sim","Não")</f>
        <v>Sim</v>
      </c>
      <c r="P1167" s="32" t="str">
        <f aca="false">IF(O1167="Sim","R",IF(N1167&gt;=Parâmetros!$B$39,"A",IF(N1167&gt;=Parâmetros!$B$40,"B",IF(N1167&gt;=Parâmetros!$B$41,"C","D"))))</f>
        <v>R</v>
      </c>
      <c r="Q1167" s="10" t="str">
        <f aca="false">IF(F1167="","Completar cadastro","")</f>
        <v>Completar cadastro</v>
      </c>
      <c r="R1167" s="10" t="str">
        <f aca="false">INDEX(Parâmetros!$D$39:$D$43,MATCH(P1167,Parâmetros!$A$39:$A$43,0))</f>
        <v>Reciclar: requalificar, reengajar ou encerrar</v>
      </c>
    </row>
    <row r="1168" customFormat="false" ht="15" hidden="false" customHeight="false" outlineLevel="0" collapsed="false">
      <c r="A1168" s="10" t="s">
        <v>1414</v>
      </c>
      <c r="B1168" s="10" t="s">
        <v>97</v>
      </c>
      <c r="C1168" s="10" t="s">
        <v>92</v>
      </c>
      <c r="D1168" s="10" t="s">
        <v>160</v>
      </c>
      <c r="E1168" s="10" t="s">
        <v>50</v>
      </c>
      <c r="F1168" s="10" t="s">
        <v>869</v>
      </c>
      <c r="G1168" s="10" t="s">
        <v>162</v>
      </c>
      <c r="H1168" s="30" t="n">
        <v>42938</v>
      </c>
      <c r="I1168" s="8" t="n">
        <f aca="false">INDEX(Parâmetros!$C$13:$C$19,MATCH(E1168,Parâmetros!$A$13:$A$19,0))</f>
        <v>1096</v>
      </c>
      <c r="J1168" s="26" t="n">
        <f aca="false">IF(H1168="","",Parâmetros!$B$5-H1168)</f>
        <v>162</v>
      </c>
      <c r="K1168" s="10" t="n">
        <f aca="false">INDEX(Parâmetros!$D$13:$D$19,MATCH(E1168,Parâmetros!$A$13:$A$19,0))</f>
        <v>29</v>
      </c>
      <c r="L1168" s="10" t="n">
        <f aca="false">IF(G1168="Prospecting",Parâmetros!$B$9,IF(J1168&gt;Parâmetros!$B$6,0,INDEX(Parâmetros!$C$24:$C$26,MATCH(J1168,Parâmetros!$A$24:$A$26,1))))</f>
        <v>0</v>
      </c>
      <c r="M1168" s="31" t="n">
        <f aca="false">IF(G1168="Prospecting",1,INDEX(Parâmetros!$C$32:$C$35,MATCH(J1168,Parâmetros!$A$32:$A$35,1)))</f>
        <v>0.6</v>
      </c>
      <c r="N1168" s="2" t="n">
        <f aca="false">ROUND((K1168+L1168)*M1168,0)</f>
        <v>17</v>
      </c>
      <c r="O1168" s="10" t="str">
        <f aca="false">IF(AND(G1168="Engaging",J1168&gt;Parâmetros!$B$6),"Sim","Não")</f>
        <v>Sim</v>
      </c>
      <c r="P1168" s="32" t="str">
        <f aca="false">IF(O1168="Sim","R",IF(N1168&gt;=Parâmetros!$B$39,"A",IF(N1168&gt;=Parâmetros!$B$40,"B",IF(N1168&gt;=Parâmetros!$B$41,"C","D"))))</f>
        <v>R</v>
      </c>
      <c r="Q1168" s="10" t="str">
        <f aca="false">IF(F1168="","Completar cadastro","")</f>
        <v/>
      </c>
      <c r="R1168" s="10" t="str">
        <f aca="false">INDEX(Parâmetros!$D$39:$D$43,MATCH(P1168,Parâmetros!$A$39:$A$43,0))</f>
        <v>Reciclar: requalificar, reengajar ou encerrar</v>
      </c>
    </row>
    <row r="1169" customFormat="false" ht="15" hidden="false" customHeight="false" outlineLevel="0" collapsed="false">
      <c r="A1169" s="10" t="s">
        <v>1415</v>
      </c>
      <c r="B1169" s="10" t="s">
        <v>77</v>
      </c>
      <c r="C1169" s="10" t="s">
        <v>78</v>
      </c>
      <c r="D1169" s="10" t="s">
        <v>196</v>
      </c>
      <c r="E1169" s="10" t="s">
        <v>50</v>
      </c>
      <c r="F1169" s="10"/>
      <c r="G1169" s="10" t="s">
        <v>162</v>
      </c>
      <c r="H1169" s="30" t="n">
        <v>42939</v>
      </c>
      <c r="I1169" s="8" t="n">
        <f aca="false">INDEX(Parâmetros!$C$13:$C$19,MATCH(E1169,Parâmetros!$A$13:$A$19,0))</f>
        <v>1096</v>
      </c>
      <c r="J1169" s="26" t="n">
        <f aca="false">IF(H1169="","",Parâmetros!$B$5-H1169)</f>
        <v>161</v>
      </c>
      <c r="K1169" s="10" t="n">
        <f aca="false">INDEX(Parâmetros!$D$13:$D$19,MATCH(E1169,Parâmetros!$A$13:$A$19,0))</f>
        <v>29</v>
      </c>
      <c r="L1169" s="10" t="n">
        <f aca="false">IF(G1169="Prospecting",Parâmetros!$B$9,IF(J1169&gt;Parâmetros!$B$6,0,INDEX(Parâmetros!$C$24:$C$26,MATCH(J1169,Parâmetros!$A$24:$A$26,1))))</f>
        <v>0</v>
      </c>
      <c r="M1169" s="31" t="n">
        <f aca="false">IF(G1169="Prospecting",1,INDEX(Parâmetros!$C$32:$C$35,MATCH(J1169,Parâmetros!$A$32:$A$35,1)))</f>
        <v>0.6</v>
      </c>
      <c r="N1169" s="2" t="n">
        <f aca="false">ROUND((K1169+L1169)*M1169,0)</f>
        <v>17</v>
      </c>
      <c r="O1169" s="10" t="str">
        <f aca="false">IF(AND(G1169="Engaging",J1169&gt;Parâmetros!$B$6),"Sim","Não")</f>
        <v>Sim</v>
      </c>
      <c r="P1169" s="32" t="str">
        <f aca="false">IF(O1169="Sim","R",IF(N1169&gt;=Parâmetros!$B$39,"A",IF(N1169&gt;=Parâmetros!$B$40,"B",IF(N1169&gt;=Parâmetros!$B$41,"C","D"))))</f>
        <v>R</v>
      </c>
      <c r="Q1169" s="10" t="str">
        <f aca="false">IF(F1169="","Completar cadastro","")</f>
        <v>Completar cadastro</v>
      </c>
      <c r="R1169" s="10" t="str">
        <f aca="false">INDEX(Parâmetros!$D$39:$D$43,MATCH(P1169,Parâmetros!$A$39:$A$43,0))</f>
        <v>Reciclar: requalificar, reengajar ou encerrar</v>
      </c>
    </row>
    <row r="1170" customFormat="false" ht="15" hidden="false" customHeight="false" outlineLevel="0" collapsed="false">
      <c r="A1170" s="10" t="s">
        <v>1416</v>
      </c>
      <c r="B1170" s="10" t="s">
        <v>77</v>
      </c>
      <c r="C1170" s="10" t="s">
        <v>78</v>
      </c>
      <c r="D1170" s="10" t="s">
        <v>196</v>
      </c>
      <c r="E1170" s="10" t="s">
        <v>50</v>
      </c>
      <c r="F1170" s="10"/>
      <c r="G1170" s="10" t="s">
        <v>162</v>
      </c>
      <c r="H1170" s="30" t="n">
        <v>42939</v>
      </c>
      <c r="I1170" s="8" t="n">
        <f aca="false">INDEX(Parâmetros!$C$13:$C$19,MATCH(E1170,Parâmetros!$A$13:$A$19,0))</f>
        <v>1096</v>
      </c>
      <c r="J1170" s="26" t="n">
        <f aca="false">IF(H1170="","",Parâmetros!$B$5-H1170)</f>
        <v>161</v>
      </c>
      <c r="K1170" s="10" t="n">
        <f aca="false">INDEX(Parâmetros!$D$13:$D$19,MATCH(E1170,Parâmetros!$A$13:$A$19,0))</f>
        <v>29</v>
      </c>
      <c r="L1170" s="10" t="n">
        <f aca="false">IF(G1170="Prospecting",Parâmetros!$B$9,IF(J1170&gt;Parâmetros!$B$6,0,INDEX(Parâmetros!$C$24:$C$26,MATCH(J1170,Parâmetros!$A$24:$A$26,1))))</f>
        <v>0</v>
      </c>
      <c r="M1170" s="31" t="n">
        <f aca="false">IF(G1170="Prospecting",1,INDEX(Parâmetros!$C$32:$C$35,MATCH(J1170,Parâmetros!$A$32:$A$35,1)))</f>
        <v>0.6</v>
      </c>
      <c r="N1170" s="2" t="n">
        <f aca="false">ROUND((K1170+L1170)*M1170,0)</f>
        <v>17</v>
      </c>
      <c r="O1170" s="10" t="str">
        <f aca="false">IF(AND(G1170="Engaging",J1170&gt;Parâmetros!$B$6),"Sim","Não")</f>
        <v>Sim</v>
      </c>
      <c r="P1170" s="32" t="str">
        <f aca="false">IF(O1170="Sim","R",IF(N1170&gt;=Parâmetros!$B$39,"A",IF(N1170&gt;=Parâmetros!$B$40,"B",IF(N1170&gt;=Parâmetros!$B$41,"C","D"))))</f>
        <v>R</v>
      </c>
      <c r="Q1170" s="10" t="str">
        <f aca="false">IF(F1170="","Completar cadastro","")</f>
        <v>Completar cadastro</v>
      </c>
      <c r="R1170" s="10" t="str">
        <f aca="false">INDEX(Parâmetros!$D$39:$D$43,MATCH(P1170,Parâmetros!$A$39:$A$43,0))</f>
        <v>Reciclar: requalificar, reengajar ou encerrar</v>
      </c>
    </row>
    <row r="1171" customFormat="false" ht="15" hidden="false" customHeight="false" outlineLevel="0" collapsed="false">
      <c r="A1171" s="10" t="s">
        <v>1417</v>
      </c>
      <c r="B1171" s="10" t="s">
        <v>83</v>
      </c>
      <c r="C1171" s="10" t="s">
        <v>78</v>
      </c>
      <c r="D1171" s="10" t="s">
        <v>196</v>
      </c>
      <c r="E1171" s="10" t="s">
        <v>50</v>
      </c>
      <c r="F1171" s="10" t="s">
        <v>350</v>
      </c>
      <c r="G1171" s="10" t="s">
        <v>162</v>
      </c>
      <c r="H1171" s="30" t="n">
        <v>42939</v>
      </c>
      <c r="I1171" s="8" t="n">
        <f aca="false">INDEX(Parâmetros!$C$13:$C$19,MATCH(E1171,Parâmetros!$A$13:$A$19,0))</f>
        <v>1096</v>
      </c>
      <c r="J1171" s="26" t="n">
        <f aca="false">IF(H1171="","",Parâmetros!$B$5-H1171)</f>
        <v>161</v>
      </c>
      <c r="K1171" s="10" t="n">
        <f aca="false">INDEX(Parâmetros!$D$13:$D$19,MATCH(E1171,Parâmetros!$A$13:$A$19,0))</f>
        <v>29</v>
      </c>
      <c r="L1171" s="10" t="n">
        <f aca="false">IF(G1171="Prospecting",Parâmetros!$B$9,IF(J1171&gt;Parâmetros!$B$6,0,INDEX(Parâmetros!$C$24:$C$26,MATCH(J1171,Parâmetros!$A$24:$A$26,1))))</f>
        <v>0</v>
      </c>
      <c r="M1171" s="31" t="n">
        <f aca="false">IF(G1171="Prospecting",1,INDEX(Parâmetros!$C$32:$C$35,MATCH(J1171,Parâmetros!$A$32:$A$35,1)))</f>
        <v>0.6</v>
      </c>
      <c r="N1171" s="2" t="n">
        <f aca="false">ROUND((K1171+L1171)*M1171,0)</f>
        <v>17</v>
      </c>
      <c r="O1171" s="10" t="str">
        <f aca="false">IF(AND(G1171="Engaging",J1171&gt;Parâmetros!$B$6),"Sim","Não")</f>
        <v>Sim</v>
      </c>
      <c r="P1171" s="32" t="str">
        <f aca="false">IF(O1171="Sim","R",IF(N1171&gt;=Parâmetros!$B$39,"A",IF(N1171&gt;=Parâmetros!$B$40,"B",IF(N1171&gt;=Parâmetros!$B$41,"C","D"))))</f>
        <v>R</v>
      </c>
      <c r="Q1171" s="10" t="str">
        <f aca="false">IF(F1171="","Completar cadastro","")</f>
        <v/>
      </c>
      <c r="R1171" s="10" t="str">
        <f aca="false">INDEX(Parâmetros!$D$39:$D$43,MATCH(P1171,Parâmetros!$A$39:$A$43,0))</f>
        <v>Reciclar: requalificar, reengajar ou encerrar</v>
      </c>
    </row>
    <row r="1172" customFormat="false" ht="15" hidden="false" customHeight="false" outlineLevel="0" collapsed="false">
      <c r="A1172" s="10" t="s">
        <v>1418</v>
      </c>
      <c r="B1172" s="10" t="s">
        <v>76</v>
      </c>
      <c r="C1172" s="10" t="s">
        <v>72</v>
      </c>
      <c r="D1172" s="10" t="s">
        <v>196</v>
      </c>
      <c r="E1172" s="10" t="s">
        <v>50</v>
      </c>
      <c r="F1172" s="10" t="s">
        <v>637</v>
      </c>
      <c r="G1172" s="10" t="s">
        <v>162</v>
      </c>
      <c r="H1172" s="30" t="n">
        <v>42939</v>
      </c>
      <c r="I1172" s="8" t="n">
        <f aca="false">INDEX(Parâmetros!$C$13:$C$19,MATCH(E1172,Parâmetros!$A$13:$A$19,0))</f>
        <v>1096</v>
      </c>
      <c r="J1172" s="26" t="n">
        <f aca="false">IF(H1172="","",Parâmetros!$B$5-H1172)</f>
        <v>161</v>
      </c>
      <c r="K1172" s="10" t="n">
        <f aca="false">INDEX(Parâmetros!$D$13:$D$19,MATCH(E1172,Parâmetros!$A$13:$A$19,0))</f>
        <v>29</v>
      </c>
      <c r="L1172" s="10" t="n">
        <f aca="false">IF(G1172="Prospecting",Parâmetros!$B$9,IF(J1172&gt;Parâmetros!$B$6,0,INDEX(Parâmetros!$C$24:$C$26,MATCH(J1172,Parâmetros!$A$24:$A$26,1))))</f>
        <v>0</v>
      </c>
      <c r="M1172" s="31" t="n">
        <f aca="false">IF(G1172="Prospecting",1,INDEX(Parâmetros!$C$32:$C$35,MATCH(J1172,Parâmetros!$A$32:$A$35,1)))</f>
        <v>0.6</v>
      </c>
      <c r="N1172" s="2" t="n">
        <f aca="false">ROUND((K1172+L1172)*M1172,0)</f>
        <v>17</v>
      </c>
      <c r="O1172" s="10" t="str">
        <f aca="false">IF(AND(G1172="Engaging",J1172&gt;Parâmetros!$B$6),"Sim","Não")</f>
        <v>Sim</v>
      </c>
      <c r="P1172" s="32" t="str">
        <f aca="false">IF(O1172="Sim","R",IF(N1172&gt;=Parâmetros!$B$39,"A",IF(N1172&gt;=Parâmetros!$B$40,"B",IF(N1172&gt;=Parâmetros!$B$41,"C","D"))))</f>
        <v>R</v>
      </c>
      <c r="Q1172" s="10" t="str">
        <f aca="false">IF(F1172="","Completar cadastro","")</f>
        <v/>
      </c>
      <c r="R1172" s="10" t="str">
        <f aca="false">INDEX(Parâmetros!$D$39:$D$43,MATCH(P1172,Parâmetros!$A$39:$A$43,0))</f>
        <v>Reciclar: requalificar, reengajar ou encerrar</v>
      </c>
    </row>
    <row r="1173" customFormat="false" ht="15" hidden="false" customHeight="false" outlineLevel="0" collapsed="false">
      <c r="A1173" s="10" t="s">
        <v>1419</v>
      </c>
      <c r="B1173" s="10" t="s">
        <v>81</v>
      </c>
      <c r="C1173" s="10" t="s">
        <v>78</v>
      </c>
      <c r="D1173" s="10" t="s">
        <v>196</v>
      </c>
      <c r="E1173" s="10" t="s">
        <v>50</v>
      </c>
      <c r="F1173" s="10"/>
      <c r="G1173" s="10" t="s">
        <v>162</v>
      </c>
      <c r="H1173" s="30" t="n">
        <v>42940</v>
      </c>
      <c r="I1173" s="8" t="n">
        <f aca="false">INDEX(Parâmetros!$C$13:$C$19,MATCH(E1173,Parâmetros!$A$13:$A$19,0))</f>
        <v>1096</v>
      </c>
      <c r="J1173" s="26" t="n">
        <f aca="false">IF(H1173="","",Parâmetros!$B$5-H1173)</f>
        <v>160</v>
      </c>
      <c r="K1173" s="10" t="n">
        <f aca="false">INDEX(Parâmetros!$D$13:$D$19,MATCH(E1173,Parâmetros!$A$13:$A$19,0))</f>
        <v>29</v>
      </c>
      <c r="L1173" s="10" t="n">
        <f aca="false">IF(G1173="Prospecting",Parâmetros!$B$9,IF(J1173&gt;Parâmetros!$B$6,0,INDEX(Parâmetros!$C$24:$C$26,MATCH(J1173,Parâmetros!$A$24:$A$26,1))))</f>
        <v>0</v>
      </c>
      <c r="M1173" s="31" t="n">
        <f aca="false">IF(G1173="Prospecting",1,INDEX(Parâmetros!$C$32:$C$35,MATCH(J1173,Parâmetros!$A$32:$A$35,1)))</f>
        <v>0.6</v>
      </c>
      <c r="N1173" s="2" t="n">
        <f aca="false">ROUND((K1173+L1173)*M1173,0)</f>
        <v>17</v>
      </c>
      <c r="O1173" s="10" t="str">
        <f aca="false">IF(AND(G1173="Engaging",J1173&gt;Parâmetros!$B$6),"Sim","Não")</f>
        <v>Sim</v>
      </c>
      <c r="P1173" s="32" t="str">
        <f aca="false">IF(O1173="Sim","R",IF(N1173&gt;=Parâmetros!$B$39,"A",IF(N1173&gt;=Parâmetros!$B$40,"B",IF(N1173&gt;=Parâmetros!$B$41,"C","D"))))</f>
        <v>R</v>
      </c>
      <c r="Q1173" s="10" t="str">
        <f aca="false">IF(F1173="","Completar cadastro","")</f>
        <v>Completar cadastro</v>
      </c>
      <c r="R1173" s="10" t="str">
        <f aca="false">INDEX(Parâmetros!$D$39:$D$43,MATCH(P1173,Parâmetros!$A$39:$A$43,0))</f>
        <v>Reciclar: requalificar, reengajar ou encerrar</v>
      </c>
    </row>
    <row r="1174" customFormat="false" ht="15" hidden="false" customHeight="false" outlineLevel="0" collapsed="false">
      <c r="A1174" s="10" t="s">
        <v>1420</v>
      </c>
      <c r="B1174" s="10" t="s">
        <v>76</v>
      </c>
      <c r="C1174" s="10" t="s">
        <v>72</v>
      </c>
      <c r="D1174" s="10" t="s">
        <v>196</v>
      </c>
      <c r="E1174" s="10" t="s">
        <v>50</v>
      </c>
      <c r="F1174" s="10"/>
      <c r="G1174" s="10" t="s">
        <v>162</v>
      </c>
      <c r="H1174" s="30" t="n">
        <v>42940</v>
      </c>
      <c r="I1174" s="8" t="n">
        <f aca="false">INDEX(Parâmetros!$C$13:$C$19,MATCH(E1174,Parâmetros!$A$13:$A$19,0))</f>
        <v>1096</v>
      </c>
      <c r="J1174" s="26" t="n">
        <f aca="false">IF(H1174="","",Parâmetros!$B$5-H1174)</f>
        <v>160</v>
      </c>
      <c r="K1174" s="10" t="n">
        <f aca="false">INDEX(Parâmetros!$D$13:$D$19,MATCH(E1174,Parâmetros!$A$13:$A$19,0))</f>
        <v>29</v>
      </c>
      <c r="L1174" s="10" t="n">
        <f aca="false">IF(G1174="Prospecting",Parâmetros!$B$9,IF(J1174&gt;Parâmetros!$B$6,0,INDEX(Parâmetros!$C$24:$C$26,MATCH(J1174,Parâmetros!$A$24:$A$26,1))))</f>
        <v>0</v>
      </c>
      <c r="M1174" s="31" t="n">
        <f aca="false">IF(G1174="Prospecting",1,INDEX(Parâmetros!$C$32:$C$35,MATCH(J1174,Parâmetros!$A$32:$A$35,1)))</f>
        <v>0.6</v>
      </c>
      <c r="N1174" s="2" t="n">
        <f aca="false">ROUND((K1174+L1174)*M1174,0)</f>
        <v>17</v>
      </c>
      <c r="O1174" s="10" t="str">
        <f aca="false">IF(AND(G1174="Engaging",J1174&gt;Parâmetros!$B$6),"Sim","Não")</f>
        <v>Sim</v>
      </c>
      <c r="P1174" s="32" t="str">
        <f aca="false">IF(O1174="Sim","R",IF(N1174&gt;=Parâmetros!$B$39,"A",IF(N1174&gt;=Parâmetros!$B$40,"B",IF(N1174&gt;=Parâmetros!$B$41,"C","D"))))</f>
        <v>R</v>
      </c>
      <c r="Q1174" s="10" t="str">
        <f aca="false">IF(F1174="","Completar cadastro","")</f>
        <v>Completar cadastro</v>
      </c>
      <c r="R1174" s="10" t="str">
        <f aca="false">INDEX(Parâmetros!$D$39:$D$43,MATCH(P1174,Parâmetros!$A$39:$A$43,0))</f>
        <v>Reciclar: requalificar, reengajar ou encerrar</v>
      </c>
    </row>
    <row r="1175" customFormat="false" ht="15" hidden="false" customHeight="false" outlineLevel="0" collapsed="false">
      <c r="A1175" s="10" t="s">
        <v>1421</v>
      </c>
      <c r="B1175" s="10" t="s">
        <v>83</v>
      </c>
      <c r="C1175" s="10" t="s">
        <v>78</v>
      </c>
      <c r="D1175" s="10" t="s">
        <v>196</v>
      </c>
      <c r="E1175" s="10" t="s">
        <v>50</v>
      </c>
      <c r="F1175" s="10" t="s">
        <v>286</v>
      </c>
      <c r="G1175" s="10" t="s">
        <v>162</v>
      </c>
      <c r="H1175" s="30" t="n">
        <v>42941</v>
      </c>
      <c r="I1175" s="8" t="n">
        <f aca="false">INDEX(Parâmetros!$C$13:$C$19,MATCH(E1175,Parâmetros!$A$13:$A$19,0))</f>
        <v>1096</v>
      </c>
      <c r="J1175" s="26" t="n">
        <f aca="false">IF(H1175="","",Parâmetros!$B$5-H1175)</f>
        <v>159</v>
      </c>
      <c r="K1175" s="10" t="n">
        <f aca="false">INDEX(Parâmetros!$D$13:$D$19,MATCH(E1175,Parâmetros!$A$13:$A$19,0))</f>
        <v>29</v>
      </c>
      <c r="L1175" s="10" t="n">
        <f aca="false">IF(G1175="Prospecting",Parâmetros!$B$9,IF(J1175&gt;Parâmetros!$B$6,0,INDEX(Parâmetros!$C$24:$C$26,MATCH(J1175,Parâmetros!$A$24:$A$26,1))))</f>
        <v>0</v>
      </c>
      <c r="M1175" s="31" t="n">
        <f aca="false">IF(G1175="Prospecting",1,INDEX(Parâmetros!$C$32:$C$35,MATCH(J1175,Parâmetros!$A$32:$A$35,1)))</f>
        <v>0.6</v>
      </c>
      <c r="N1175" s="2" t="n">
        <f aca="false">ROUND((K1175+L1175)*M1175,0)</f>
        <v>17</v>
      </c>
      <c r="O1175" s="10" t="str">
        <f aca="false">IF(AND(G1175="Engaging",J1175&gt;Parâmetros!$B$6),"Sim","Não")</f>
        <v>Sim</v>
      </c>
      <c r="P1175" s="32" t="str">
        <f aca="false">IF(O1175="Sim","R",IF(N1175&gt;=Parâmetros!$B$39,"A",IF(N1175&gt;=Parâmetros!$B$40,"B",IF(N1175&gt;=Parâmetros!$B$41,"C","D"))))</f>
        <v>R</v>
      </c>
      <c r="Q1175" s="10" t="str">
        <f aca="false">IF(F1175="","Completar cadastro","")</f>
        <v/>
      </c>
      <c r="R1175" s="10" t="str">
        <f aca="false">INDEX(Parâmetros!$D$39:$D$43,MATCH(P1175,Parâmetros!$A$39:$A$43,0))</f>
        <v>Reciclar: requalificar, reengajar ou encerrar</v>
      </c>
    </row>
    <row r="1176" customFormat="false" ht="15" hidden="false" customHeight="false" outlineLevel="0" collapsed="false">
      <c r="A1176" s="10" t="s">
        <v>1422</v>
      </c>
      <c r="B1176" s="10" t="s">
        <v>83</v>
      </c>
      <c r="C1176" s="10" t="s">
        <v>78</v>
      </c>
      <c r="D1176" s="10" t="s">
        <v>196</v>
      </c>
      <c r="E1176" s="10" t="s">
        <v>50</v>
      </c>
      <c r="F1176" s="10"/>
      <c r="G1176" s="10" t="s">
        <v>162</v>
      </c>
      <c r="H1176" s="30" t="n">
        <v>42941</v>
      </c>
      <c r="I1176" s="8" t="n">
        <f aca="false">INDEX(Parâmetros!$C$13:$C$19,MATCH(E1176,Parâmetros!$A$13:$A$19,0))</f>
        <v>1096</v>
      </c>
      <c r="J1176" s="26" t="n">
        <f aca="false">IF(H1176="","",Parâmetros!$B$5-H1176)</f>
        <v>159</v>
      </c>
      <c r="K1176" s="10" t="n">
        <f aca="false">INDEX(Parâmetros!$D$13:$D$19,MATCH(E1176,Parâmetros!$A$13:$A$19,0))</f>
        <v>29</v>
      </c>
      <c r="L1176" s="10" t="n">
        <f aca="false">IF(G1176="Prospecting",Parâmetros!$B$9,IF(J1176&gt;Parâmetros!$B$6,0,INDEX(Parâmetros!$C$24:$C$26,MATCH(J1176,Parâmetros!$A$24:$A$26,1))))</f>
        <v>0</v>
      </c>
      <c r="M1176" s="31" t="n">
        <f aca="false">IF(G1176="Prospecting",1,INDEX(Parâmetros!$C$32:$C$35,MATCH(J1176,Parâmetros!$A$32:$A$35,1)))</f>
        <v>0.6</v>
      </c>
      <c r="N1176" s="2" t="n">
        <f aca="false">ROUND((K1176+L1176)*M1176,0)</f>
        <v>17</v>
      </c>
      <c r="O1176" s="10" t="str">
        <f aca="false">IF(AND(G1176="Engaging",J1176&gt;Parâmetros!$B$6),"Sim","Não")</f>
        <v>Sim</v>
      </c>
      <c r="P1176" s="32" t="str">
        <f aca="false">IF(O1176="Sim","R",IF(N1176&gt;=Parâmetros!$B$39,"A",IF(N1176&gt;=Parâmetros!$B$40,"B",IF(N1176&gt;=Parâmetros!$B$41,"C","D"))))</f>
        <v>R</v>
      </c>
      <c r="Q1176" s="10" t="str">
        <f aca="false">IF(F1176="","Completar cadastro","")</f>
        <v>Completar cadastro</v>
      </c>
      <c r="R1176" s="10" t="str">
        <f aca="false">INDEX(Parâmetros!$D$39:$D$43,MATCH(P1176,Parâmetros!$A$39:$A$43,0))</f>
        <v>Reciclar: requalificar, reengajar ou encerrar</v>
      </c>
    </row>
    <row r="1177" customFormat="false" ht="15" hidden="false" customHeight="false" outlineLevel="0" collapsed="false">
      <c r="A1177" s="10" t="s">
        <v>1423</v>
      </c>
      <c r="B1177" s="10" t="s">
        <v>86</v>
      </c>
      <c r="C1177" s="10" t="s">
        <v>85</v>
      </c>
      <c r="D1177" s="10" t="s">
        <v>165</v>
      </c>
      <c r="E1177" s="10" t="s">
        <v>50</v>
      </c>
      <c r="F1177" s="10" t="s">
        <v>274</v>
      </c>
      <c r="G1177" s="10" t="s">
        <v>162</v>
      </c>
      <c r="H1177" s="30" t="n">
        <v>42942</v>
      </c>
      <c r="I1177" s="8" t="n">
        <f aca="false">INDEX(Parâmetros!$C$13:$C$19,MATCH(E1177,Parâmetros!$A$13:$A$19,0))</f>
        <v>1096</v>
      </c>
      <c r="J1177" s="26" t="n">
        <f aca="false">IF(H1177="","",Parâmetros!$B$5-H1177)</f>
        <v>158</v>
      </c>
      <c r="K1177" s="10" t="n">
        <f aca="false">INDEX(Parâmetros!$D$13:$D$19,MATCH(E1177,Parâmetros!$A$13:$A$19,0))</f>
        <v>29</v>
      </c>
      <c r="L1177" s="10" t="n">
        <f aca="false">IF(G1177="Prospecting",Parâmetros!$B$9,IF(J1177&gt;Parâmetros!$B$6,0,INDEX(Parâmetros!$C$24:$C$26,MATCH(J1177,Parâmetros!$A$24:$A$26,1))))</f>
        <v>0</v>
      </c>
      <c r="M1177" s="31" t="n">
        <f aca="false">IF(G1177="Prospecting",1,INDEX(Parâmetros!$C$32:$C$35,MATCH(J1177,Parâmetros!$A$32:$A$35,1)))</f>
        <v>0.6</v>
      </c>
      <c r="N1177" s="2" t="n">
        <f aca="false">ROUND((K1177+L1177)*M1177,0)</f>
        <v>17</v>
      </c>
      <c r="O1177" s="10" t="str">
        <f aca="false">IF(AND(G1177="Engaging",J1177&gt;Parâmetros!$B$6),"Sim","Não")</f>
        <v>Sim</v>
      </c>
      <c r="P1177" s="32" t="str">
        <f aca="false">IF(O1177="Sim","R",IF(N1177&gt;=Parâmetros!$B$39,"A",IF(N1177&gt;=Parâmetros!$B$40,"B",IF(N1177&gt;=Parâmetros!$B$41,"C","D"))))</f>
        <v>R</v>
      </c>
      <c r="Q1177" s="10" t="str">
        <f aca="false">IF(F1177="","Completar cadastro","")</f>
        <v/>
      </c>
      <c r="R1177" s="10" t="str">
        <f aca="false">INDEX(Parâmetros!$D$39:$D$43,MATCH(P1177,Parâmetros!$A$39:$A$43,0))</f>
        <v>Reciclar: requalificar, reengajar ou encerrar</v>
      </c>
    </row>
    <row r="1178" customFormat="false" ht="15" hidden="false" customHeight="false" outlineLevel="0" collapsed="false">
      <c r="A1178" s="10" t="s">
        <v>1424</v>
      </c>
      <c r="B1178" s="10" t="s">
        <v>77</v>
      </c>
      <c r="C1178" s="10" t="s">
        <v>78</v>
      </c>
      <c r="D1178" s="10" t="s">
        <v>196</v>
      </c>
      <c r="E1178" s="10" t="s">
        <v>50</v>
      </c>
      <c r="F1178" s="10" t="s">
        <v>637</v>
      </c>
      <c r="G1178" s="10" t="s">
        <v>162</v>
      </c>
      <c r="H1178" s="30" t="n">
        <v>42942</v>
      </c>
      <c r="I1178" s="8" t="n">
        <f aca="false">INDEX(Parâmetros!$C$13:$C$19,MATCH(E1178,Parâmetros!$A$13:$A$19,0))</f>
        <v>1096</v>
      </c>
      <c r="J1178" s="26" t="n">
        <f aca="false">IF(H1178="","",Parâmetros!$B$5-H1178)</f>
        <v>158</v>
      </c>
      <c r="K1178" s="10" t="n">
        <f aca="false">INDEX(Parâmetros!$D$13:$D$19,MATCH(E1178,Parâmetros!$A$13:$A$19,0))</f>
        <v>29</v>
      </c>
      <c r="L1178" s="10" t="n">
        <f aca="false">IF(G1178="Prospecting",Parâmetros!$B$9,IF(J1178&gt;Parâmetros!$B$6,0,INDEX(Parâmetros!$C$24:$C$26,MATCH(J1178,Parâmetros!$A$24:$A$26,1))))</f>
        <v>0</v>
      </c>
      <c r="M1178" s="31" t="n">
        <f aca="false">IF(G1178="Prospecting",1,INDEX(Parâmetros!$C$32:$C$35,MATCH(J1178,Parâmetros!$A$32:$A$35,1)))</f>
        <v>0.6</v>
      </c>
      <c r="N1178" s="2" t="n">
        <f aca="false">ROUND((K1178+L1178)*M1178,0)</f>
        <v>17</v>
      </c>
      <c r="O1178" s="10" t="str">
        <f aca="false">IF(AND(G1178="Engaging",J1178&gt;Parâmetros!$B$6),"Sim","Não")</f>
        <v>Sim</v>
      </c>
      <c r="P1178" s="32" t="str">
        <f aca="false">IF(O1178="Sim","R",IF(N1178&gt;=Parâmetros!$B$39,"A",IF(N1178&gt;=Parâmetros!$B$40,"B",IF(N1178&gt;=Parâmetros!$B$41,"C","D"))))</f>
        <v>R</v>
      </c>
      <c r="Q1178" s="10" t="str">
        <f aca="false">IF(F1178="","Completar cadastro","")</f>
        <v/>
      </c>
      <c r="R1178" s="10" t="str">
        <f aca="false">INDEX(Parâmetros!$D$39:$D$43,MATCH(P1178,Parâmetros!$A$39:$A$43,0))</f>
        <v>Reciclar: requalificar, reengajar ou encerrar</v>
      </c>
    </row>
    <row r="1179" customFormat="false" ht="15" hidden="false" customHeight="false" outlineLevel="0" collapsed="false">
      <c r="A1179" s="10" t="s">
        <v>1425</v>
      </c>
      <c r="B1179" s="10" t="s">
        <v>83</v>
      </c>
      <c r="C1179" s="10" t="s">
        <v>78</v>
      </c>
      <c r="D1179" s="10" t="s">
        <v>196</v>
      </c>
      <c r="E1179" s="10" t="s">
        <v>50</v>
      </c>
      <c r="F1179" s="10" t="s">
        <v>1118</v>
      </c>
      <c r="G1179" s="10" t="s">
        <v>162</v>
      </c>
      <c r="H1179" s="30" t="n">
        <v>42942</v>
      </c>
      <c r="I1179" s="8" t="n">
        <f aca="false">INDEX(Parâmetros!$C$13:$C$19,MATCH(E1179,Parâmetros!$A$13:$A$19,0))</f>
        <v>1096</v>
      </c>
      <c r="J1179" s="26" t="n">
        <f aca="false">IF(H1179="","",Parâmetros!$B$5-H1179)</f>
        <v>158</v>
      </c>
      <c r="K1179" s="10" t="n">
        <f aca="false">INDEX(Parâmetros!$D$13:$D$19,MATCH(E1179,Parâmetros!$A$13:$A$19,0))</f>
        <v>29</v>
      </c>
      <c r="L1179" s="10" t="n">
        <f aca="false">IF(G1179="Prospecting",Parâmetros!$B$9,IF(J1179&gt;Parâmetros!$B$6,0,INDEX(Parâmetros!$C$24:$C$26,MATCH(J1179,Parâmetros!$A$24:$A$26,1))))</f>
        <v>0</v>
      </c>
      <c r="M1179" s="31" t="n">
        <f aca="false">IF(G1179="Prospecting",1,INDEX(Parâmetros!$C$32:$C$35,MATCH(J1179,Parâmetros!$A$32:$A$35,1)))</f>
        <v>0.6</v>
      </c>
      <c r="N1179" s="2" t="n">
        <f aca="false">ROUND((K1179+L1179)*M1179,0)</f>
        <v>17</v>
      </c>
      <c r="O1179" s="10" t="str">
        <f aca="false">IF(AND(G1179="Engaging",J1179&gt;Parâmetros!$B$6),"Sim","Não")</f>
        <v>Sim</v>
      </c>
      <c r="P1179" s="32" t="str">
        <f aca="false">IF(O1179="Sim","R",IF(N1179&gt;=Parâmetros!$B$39,"A",IF(N1179&gt;=Parâmetros!$B$40,"B",IF(N1179&gt;=Parâmetros!$B$41,"C","D"))))</f>
        <v>R</v>
      </c>
      <c r="Q1179" s="10" t="str">
        <f aca="false">IF(F1179="","Completar cadastro","")</f>
        <v/>
      </c>
      <c r="R1179" s="10" t="str">
        <f aca="false">INDEX(Parâmetros!$D$39:$D$43,MATCH(P1179,Parâmetros!$A$39:$A$43,0))</f>
        <v>Reciclar: requalificar, reengajar ou encerrar</v>
      </c>
    </row>
    <row r="1180" customFormat="false" ht="15" hidden="false" customHeight="false" outlineLevel="0" collapsed="false">
      <c r="A1180" s="10" t="s">
        <v>1426</v>
      </c>
      <c r="B1180" s="10" t="s">
        <v>73</v>
      </c>
      <c r="C1180" s="10" t="s">
        <v>72</v>
      </c>
      <c r="D1180" s="10" t="s">
        <v>196</v>
      </c>
      <c r="E1180" s="10" t="s">
        <v>50</v>
      </c>
      <c r="F1180" s="10"/>
      <c r="G1180" s="10" t="s">
        <v>162</v>
      </c>
      <c r="H1180" s="30" t="n">
        <v>42943</v>
      </c>
      <c r="I1180" s="8" t="n">
        <f aca="false">INDEX(Parâmetros!$C$13:$C$19,MATCH(E1180,Parâmetros!$A$13:$A$19,0))</f>
        <v>1096</v>
      </c>
      <c r="J1180" s="26" t="n">
        <f aca="false">IF(H1180="","",Parâmetros!$B$5-H1180)</f>
        <v>157</v>
      </c>
      <c r="K1180" s="10" t="n">
        <f aca="false">INDEX(Parâmetros!$D$13:$D$19,MATCH(E1180,Parâmetros!$A$13:$A$19,0))</f>
        <v>29</v>
      </c>
      <c r="L1180" s="10" t="n">
        <f aca="false">IF(G1180="Prospecting",Parâmetros!$B$9,IF(J1180&gt;Parâmetros!$B$6,0,INDEX(Parâmetros!$C$24:$C$26,MATCH(J1180,Parâmetros!$A$24:$A$26,1))))</f>
        <v>0</v>
      </c>
      <c r="M1180" s="31" t="n">
        <f aca="false">IF(G1180="Prospecting",1,INDEX(Parâmetros!$C$32:$C$35,MATCH(J1180,Parâmetros!$A$32:$A$35,1)))</f>
        <v>0.6</v>
      </c>
      <c r="N1180" s="2" t="n">
        <f aca="false">ROUND((K1180+L1180)*M1180,0)</f>
        <v>17</v>
      </c>
      <c r="O1180" s="10" t="str">
        <f aca="false">IF(AND(G1180="Engaging",J1180&gt;Parâmetros!$B$6),"Sim","Não")</f>
        <v>Sim</v>
      </c>
      <c r="P1180" s="32" t="str">
        <f aca="false">IF(O1180="Sim","R",IF(N1180&gt;=Parâmetros!$B$39,"A",IF(N1180&gt;=Parâmetros!$B$40,"B",IF(N1180&gt;=Parâmetros!$B$41,"C","D"))))</f>
        <v>R</v>
      </c>
      <c r="Q1180" s="10" t="str">
        <f aca="false">IF(F1180="","Completar cadastro","")</f>
        <v>Completar cadastro</v>
      </c>
      <c r="R1180" s="10" t="str">
        <f aca="false">INDEX(Parâmetros!$D$39:$D$43,MATCH(P1180,Parâmetros!$A$39:$A$43,0))</f>
        <v>Reciclar: requalificar, reengajar ou encerrar</v>
      </c>
    </row>
    <row r="1181" customFormat="false" ht="15" hidden="false" customHeight="false" outlineLevel="0" collapsed="false">
      <c r="A1181" s="10" t="s">
        <v>1427</v>
      </c>
      <c r="B1181" s="10" t="s">
        <v>77</v>
      </c>
      <c r="C1181" s="10" t="s">
        <v>78</v>
      </c>
      <c r="D1181" s="10" t="s">
        <v>196</v>
      </c>
      <c r="E1181" s="10" t="s">
        <v>50</v>
      </c>
      <c r="F1181" s="10"/>
      <c r="G1181" s="10" t="s">
        <v>162</v>
      </c>
      <c r="H1181" s="30" t="n">
        <v>42943</v>
      </c>
      <c r="I1181" s="8" t="n">
        <f aca="false">INDEX(Parâmetros!$C$13:$C$19,MATCH(E1181,Parâmetros!$A$13:$A$19,0))</f>
        <v>1096</v>
      </c>
      <c r="J1181" s="26" t="n">
        <f aca="false">IF(H1181="","",Parâmetros!$B$5-H1181)</f>
        <v>157</v>
      </c>
      <c r="K1181" s="10" t="n">
        <f aca="false">INDEX(Parâmetros!$D$13:$D$19,MATCH(E1181,Parâmetros!$A$13:$A$19,0))</f>
        <v>29</v>
      </c>
      <c r="L1181" s="10" t="n">
        <f aca="false">IF(G1181="Prospecting",Parâmetros!$B$9,IF(J1181&gt;Parâmetros!$B$6,0,INDEX(Parâmetros!$C$24:$C$26,MATCH(J1181,Parâmetros!$A$24:$A$26,1))))</f>
        <v>0</v>
      </c>
      <c r="M1181" s="31" t="n">
        <f aca="false">IF(G1181="Prospecting",1,INDEX(Parâmetros!$C$32:$C$35,MATCH(J1181,Parâmetros!$A$32:$A$35,1)))</f>
        <v>0.6</v>
      </c>
      <c r="N1181" s="2" t="n">
        <f aca="false">ROUND((K1181+L1181)*M1181,0)</f>
        <v>17</v>
      </c>
      <c r="O1181" s="10" t="str">
        <f aca="false">IF(AND(G1181="Engaging",J1181&gt;Parâmetros!$B$6),"Sim","Não")</f>
        <v>Sim</v>
      </c>
      <c r="P1181" s="32" t="str">
        <f aca="false">IF(O1181="Sim","R",IF(N1181&gt;=Parâmetros!$B$39,"A",IF(N1181&gt;=Parâmetros!$B$40,"B",IF(N1181&gt;=Parâmetros!$B$41,"C","D"))))</f>
        <v>R</v>
      </c>
      <c r="Q1181" s="10" t="str">
        <f aca="false">IF(F1181="","Completar cadastro","")</f>
        <v>Completar cadastro</v>
      </c>
      <c r="R1181" s="10" t="str">
        <f aca="false">INDEX(Parâmetros!$D$39:$D$43,MATCH(P1181,Parâmetros!$A$39:$A$43,0))</f>
        <v>Reciclar: requalificar, reengajar ou encerrar</v>
      </c>
    </row>
    <row r="1182" customFormat="false" ht="15" hidden="false" customHeight="false" outlineLevel="0" collapsed="false">
      <c r="A1182" s="10" t="s">
        <v>1428</v>
      </c>
      <c r="B1182" s="10" t="s">
        <v>67</v>
      </c>
      <c r="C1182" s="10" t="s">
        <v>65</v>
      </c>
      <c r="D1182" s="10" t="s">
        <v>160</v>
      </c>
      <c r="E1182" s="10" t="s">
        <v>50</v>
      </c>
      <c r="F1182" s="10"/>
      <c r="G1182" s="10" t="s">
        <v>162</v>
      </c>
      <c r="H1182" s="30" t="n">
        <v>42943</v>
      </c>
      <c r="I1182" s="8" t="n">
        <f aca="false">INDEX(Parâmetros!$C$13:$C$19,MATCH(E1182,Parâmetros!$A$13:$A$19,0))</f>
        <v>1096</v>
      </c>
      <c r="J1182" s="26" t="n">
        <f aca="false">IF(H1182="","",Parâmetros!$B$5-H1182)</f>
        <v>157</v>
      </c>
      <c r="K1182" s="10" t="n">
        <f aca="false">INDEX(Parâmetros!$D$13:$D$19,MATCH(E1182,Parâmetros!$A$13:$A$19,0))</f>
        <v>29</v>
      </c>
      <c r="L1182" s="10" t="n">
        <f aca="false">IF(G1182="Prospecting",Parâmetros!$B$9,IF(J1182&gt;Parâmetros!$B$6,0,INDEX(Parâmetros!$C$24:$C$26,MATCH(J1182,Parâmetros!$A$24:$A$26,1))))</f>
        <v>0</v>
      </c>
      <c r="M1182" s="31" t="n">
        <f aca="false">IF(G1182="Prospecting",1,INDEX(Parâmetros!$C$32:$C$35,MATCH(J1182,Parâmetros!$A$32:$A$35,1)))</f>
        <v>0.6</v>
      </c>
      <c r="N1182" s="2" t="n">
        <f aca="false">ROUND((K1182+L1182)*M1182,0)</f>
        <v>17</v>
      </c>
      <c r="O1182" s="10" t="str">
        <f aca="false">IF(AND(G1182="Engaging",J1182&gt;Parâmetros!$B$6),"Sim","Não")</f>
        <v>Sim</v>
      </c>
      <c r="P1182" s="32" t="str">
        <f aca="false">IF(O1182="Sim","R",IF(N1182&gt;=Parâmetros!$B$39,"A",IF(N1182&gt;=Parâmetros!$B$40,"B",IF(N1182&gt;=Parâmetros!$B$41,"C","D"))))</f>
        <v>R</v>
      </c>
      <c r="Q1182" s="10" t="str">
        <f aca="false">IF(F1182="","Completar cadastro","")</f>
        <v>Completar cadastro</v>
      </c>
      <c r="R1182" s="10" t="str">
        <f aca="false">INDEX(Parâmetros!$D$39:$D$43,MATCH(P1182,Parâmetros!$A$39:$A$43,0))</f>
        <v>Reciclar: requalificar, reengajar ou encerrar</v>
      </c>
    </row>
    <row r="1183" customFormat="false" ht="15" hidden="false" customHeight="false" outlineLevel="0" collapsed="false">
      <c r="A1183" s="10" t="s">
        <v>1429</v>
      </c>
      <c r="B1183" s="10" t="s">
        <v>80</v>
      </c>
      <c r="C1183" s="10" t="s">
        <v>78</v>
      </c>
      <c r="D1183" s="10" t="s">
        <v>196</v>
      </c>
      <c r="E1183" s="10" t="s">
        <v>50</v>
      </c>
      <c r="F1183" s="10" t="s">
        <v>606</v>
      </c>
      <c r="G1183" s="10" t="s">
        <v>162</v>
      </c>
      <c r="H1183" s="30" t="n">
        <v>42943</v>
      </c>
      <c r="I1183" s="8" t="n">
        <f aca="false">INDEX(Parâmetros!$C$13:$C$19,MATCH(E1183,Parâmetros!$A$13:$A$19,0))</f>
        <v>1096</v>
      </c>
      <c r="J1183" s="26" t="n">
        <f aca="false">IF(H1183="","",Parâmetros!$B$5-H1183)</f>
        <v>157</v>
      </c>
      <c r="K1183" s="10" t="n">
        <f aca="false">INDEX(Parâmetros!$D$13:$D$19,MATCH(E1183,Parâmetros!$A$13:$A$19,0))</f>
        <v>29</v>
      </c>
      <c r="L1183" s="10" t="n">
        <f aca="false">IF(G1183="Prospecting",Parâmetros!$B$9,IF(J1183&gt;Parâmetros!$B$6,0,INDEX(Parâmetros!$C$24:$C$26,MATCH(J1183,Parâmetros!$A$24:$A$26,1))))</f>
        <v>0</v>
      </c>
      <c r="M1183" s="31" t="n">
        <f aca="false">IF(G1183="Prospecting",1,INDEX(Parâmetros!$C$32:$C$35,MATCH(J1183,Parâmetros!$A$32:$A$35,1)))</f>
        <v>0.6</v>
      </c>
      <c r="N1183" s="2" t="n">
        <f aca="false">ROUND((K1183+L1183)*M1183,0)</f>
        <v>17</v>
      </c>
      <c r="O1183" s="10" t="str">
        <f aca="false">IF(AND(G1183="Engaging",J1183&gt;Parâmetros!$B$6),"Sim","Não")</f>
        <v>Sim</v>
      </c>
      <c r="P1183" s="32" t="str">
        <f aca="false">IF(O1183="Sim","R",IF(N1183&gt;=Parâmetros!$B$39,"A",IF(N1183&gt;=Parâmetros!$B$40,"B",IF(N1183&gt;=Parâmetros!$B$41,"C","D"))))</f>
        <v>R</v>
      </c>
      <c r="Q1183" s="10" t="str">
        <f aca="false">IF(F1183="","Completar cadastro","")</f>
        <v/>
      </c>
      <c r="R1183" s="10" t="str">
        <f aca="false">INDEX(Parâmetros!$D$39:$D$43,MATCH(P1183,Parâmetros!$A$39:$A$43,0))</f>
        <v>Reciclar: requalificar, reengajar ou encerrar</v>
      </c>
    </row>
    <row r="1184" customFormat="false" ht="15" hidden="false" customHeight="false" outlineLevel="0" collapsed="false">
      <c r="A1184" s="10" t="s">
        <v>1430</v>
      </c>
      <c r="B1184" s="10" t="s">
        <v>80</v>
      </c>
      <c r="C1184" s="10" t="s">
        <v>78</v>
      </c>
      <c r="D1184" s="10" t="s">
        <v>196</v>
      </c>
      <c r="E1184" s="10" t="s">
        <v>50</v>
      </c>
      <c r="F1184" s="10"/>
      <c r="G1184" s="10" t="s">
        <v>162</v>
      </c>
      <c r="H1184" s="30" t="n">
        <v>42943</v>
      </c>
      <c r="I1184" s="8" t="n">
        <f aca="false">INDEX(Parâmetros!$C$13:$C$19,MATCH(E1184,Parâmetros!$A$13:$A$19,0))</f>
        <v>1096</v>
      </c>
      <c r="J1184" s="26" t="n">
        <f aca="false">IF(H1184="","",Parâmetros!$B$5-H1184)</f>
        <v>157</v>
      </c>
      <c r="K1184" s="10" t="n">
        <f aca="false">INDEX(Parâmetros!$D$13:$D$19,MATCH(E1184,Parâmetros!$A$13:$A$19,0))</f>
        <v>29</v>
      </c>
      <c r="L1184" s="10" t="n">
        <f aca="false">IF(G1184="Prospecting",Parâmetros!$B$9,IF(J1184&gt;Parâmetros!$B$6,0,INDEX(Parâmetros!$C$24:$C$26,MATCH(J1184,Parâmetros!$A$24:$A$26,1))))</f>
        <v>0</v>
      </c>
      <c r="M1184" s="31" t="n">
        <f aca="false">IF(G1184="Prospecting",1,INDEX(Parâmetros!$C$32:$C$35,MATCH(J1184,Parâmetros!$A$32:$A$35,1)))</f>
        <v>0.6</v>
      </c>
      <c r="N1184" s="2" t="n">
        <f aca="false">ROUND((K1184+L1184)*M1184,0)</f>
        <v>17</v>
      </c>
      <c r="O1184" s="10" t="str">
        <f aca="false">IF(AND(G1184="Engaging",J1184&gt;Parâmetros!$B$6),"Sim","Não")</f>
        <v>Sim</v>
      </c>
      <c r="P1184" s="32" t="str">
        <f aca="false">IF(O1184="Sim","R",IF(N1184&gt;=Parâmetros!$B$39,"A",IF(N1184&gt;=Parâmetros!$B$40,"B",IF(N1184&gt;=Parâmetros!$B$41,"C","D"))))</f>
        <v>R</v>
      </c>
      <c r="Q1184" s="10" t="str">
        <f aca="false">IF(F1184="","Completar cadastro","")</f>
        <v>Completar cadastro</v>
      </c>
      <c r="R1184" s="10" t="str">
        <f aca="false">INDEX(Parâmetros!$D$39:$D$43,MATCH(P1184,Parâmetros!$A$39:$A$43,0))</f>
        <v>Reciclar: requalificar, reengajar ou encerrar</v>
      </c>
    </row>
    <row r="1185" customFormat="false" ht="15" hidden="false" customHeight="false" outlineLevel="0" collapsed="false">
      <c r="A1185" s="10" t="s">
        <v>1431</v>
      </c>
      <c r="B1185" s="10" t="s">
        <v>81</v>
      </c>
      <c r="C1185" s="10" t="s">
        <v>78</v>
      </c>
      <c r="D1185" s="10" t="s">
        <v>196</v>
      </c>
      <c r="E1185" s="10" t="s">
        <v>50</v>
      </c>
      <c r="F1185" s="10" t="s">
        <v>606</v>
      </c>
      <c r="G1185" s="10" t="s">
        <v>162</v>
      </c>
      <c r="H1185" s="30" t="n">
        <v>42943</v>
      </c>
      <c r="I1185" s="8" t="n">
        <f aca="false">INDEX(Parâmetros!$C$13:$C$19,MATCH(E1185,Parâmetros!$A$13:$A$19,0))</f>
        <v>1096</v>
      </c>
      <c r="J1185" s="26" t="n">
        <f aca="false">IF(H1185="","",Parâmetros!$B$5-H1185)</f>
        <v>157</v>
      </c>
      <c r="K1185" s="10" t="n">
        <f aca="false">INDEX(Parâmetros!$D$13:$D$19,MATCH(E1185,Parâmetros!$A$13:$A$19,0))</f>
        <v>29</v>
      </c>
      <c r="L1185" s="10" t="n">
        <f aca="false">IF(G1185="Prospecting",Parâmetros!$B$9,IF(J1185&gt;Parâmetros!$B$6,0,INDEX(Parâmetros!$C$24:$C$26,MATCH(J1185,Parâmetros!$A$24:$A$26,1))))</f>
        <v>0</v>
      </c>
      <c r="M1185" s="31" t="n">
        <f aca="false">IF(G1185="Prospecting",1,INDEX(Parâmetros!$C$32:$C$35,MATCH(J1185,Parâmetros!$A$32:$A$35,1)))</f>
        <v>0.6</v>
      </c>
      <c r="N1185" s="2" t="n">
        <f aca="false">ROUND((K1185+L1185)*M1185,0)</f>
        <v>17</v>
      </c>
      <c r="O1185" s="10" t="str">
        <f aca="false">IF(AND(G1185="Engaging",J1185&gt;Parâmetros!$B$6),"Sim","Não")</f>
        <v>Sim</v>
      </c>
      <c r="P1185" s="32" t="str">
        <f aca="false">IF(O1185="Sim","R",IF(N1185&gt;=Parâmetros!$B$39,"A",IF(N1185&gt;=Parâmetros!$B$40,"B",IF(N1185&gt;=Parâmetros!$B$41,"C","D"))))</f>
        <v>R</v>
      </c>
      <c r="Q1185" s="10" t="str">
        <f aca="false">IF(F1185="","Completar cadastro","")</f>
        <v/>
      </c>
      <c r="R1185" s="10" t="str">
        <f aca="false">INDEX(Parâmetros!$D$39:$D$43,MATCH(P1185,Parâmetros!$A$39:$A$43,0))</f>
        <v>Reciclar: requalificar, reengajar ou encerrar</v>
      </c>
    </row>
    <row r="1186" customFormat="false" ht="15" hidden="false" customHeight="false" outlineLevel="0" collapsed="false">
      <c r="A1186" s="10" t="s">
        <v>1432</v>
      </c>
      <c r="B1186" s="10" t="s">
        <v>81</v>
      </c>
      <c r="C1186" s="10" t="s">
        <v>78</v>
      </c>
      <c r="D1186" s="10" t="s">
        <v>196</v>
      </c>
      <c r="E1186" s="10" t="s">
        <v>50</v>
      </c>
      <c r="F1186" s="10" t="s">
        <v>326</v>
      </c>
      <c r="G1186" s="10" t="s">
        <v>162</v>
      </c>
      <c r="H1186" s="30" t="n">
        <v>42943</v>
      </c>
      <c r="I1186" s="8" t="n">
        <f aca="false">INDEX(Parâmetros!$C$13:$C$19,MATCH(E1186,Parâmetros!$A$13:$A$19,0))</f>
        <v>1096</v>
      </c>
      <c r="J1186" s="26" t="n">
        <f aca="false">IF(H1186="","",Parâmetros!$B$5-H1186)</f>
        <v>157</v>
      </c>
      <c r="K1186" s="10" t="n">
        <f aca="false">INDEX(Parâmetros!$D$13:$D$19,MATCH(E1186,Parâmetros!$A$13:$A$19,0))</f>
        <v>29</v>
      </c>
      <c r="L1186" s="10" t="n">
        <f aca="false">IF(G1186="Prospecting",Parâmetros!$B$9,IF(J1186&gt;Parâmetros!$B$6,0,INDEX(Parâmetros!$C$24:$C$26,MATCH(J1186,Parâmetros!$A$24:$A$26,1))))</f>
        <v>0</v>
      </c>
      <c r="M1186" s="31" t="n">
        <f aca="false">IF(G1186="Prospecting",1,INDEX(Parâmetros!$C$32:$C$35,MATCH(J1186,Parâmetros!$A$32:$A$35,1)))</f>
        <v>0.6</v>
      </c>
      <c r="N1186" s="2" t="n">
        <f aca="false">ROUND((K1186+L1186)*M1186,0)</f>
        <v>17</v>
      </c>
      <c r="O1186" s="10" t="str">
        <f aca="false">IF(AND(G1186="Engaging",J1186&gt;Parâmetros!$B$6),"Sim","Não")</f>
        <v>Sim</v>
      </c>
      <c r="P1186" s="32" t="str">
        <f aca="false">IF(O1186="Sim","R",IF(N1186&gt;=Parâmetros!$B$39,"A",IF(N1186&gt;=Parâmetros!$B$40,"B",IF(N1186&gt;=Parâmetros!$B$41,"C","D"))))</f>
        <v>R</v>
      </c>
      <c r="Q1186" s="10" t="str">
        <f aca="false">IF(F1186="","Completar cadastro","")</f>
        <v/>
      </c>
      <c r="R1186" s="10" t="str">
        <f aca="false">INDEX(Parâmetros!$D$39:$D$43,MATCH(P1186,Parâmetros!$A$39:$A$43,0))</f>
        <v>Reciclar: requalificar, reengajar ou encerrar</v>
      </c>
    </row>
    <row r="1187" customFormat="false" ht="15" hidden="false" customHeight="false" outlineLevel="0" collapsed="false">
      <c r="A1187" s="10" t="s">
        <v>1433</v>
      </c>
      <c r="B1187" s="10" t="s">
        <v>87</v>
      </c>
      <c r="C1187" s="10" t="s">
        <v>85</v>
      </c>
      <c r="D1187" s="10" t="s">
        <v>165</v>
      </c>
      <c r="E1187" s="10" t="s">
        <v>50</v>
      </c>
      <c r="F1187" s="10"/>
      <c r="G1187" s="10" t="s">
        <v>162</v>
      </c>
      <c r="H1187" s="30" t="n">
        <v>42944</v>
      </c>
      <c r="I1187" s="8" t="n">
        <f aca="false">INDEX(Parâmetros!$C$13:$C$19,MATCH(E1187,Parâmetros!$A$13:$A$19,0))</f>
        <v>1096</v>
      </c>
      <c r="J1187" s="26" t="n">
        <f aca="false">IF(H1187="","",Parâmetros!$B$5-H1187)</f>
        <v>156</v>
      </c>
      <c r="K1187" s="10" t="n">
        <f aca="false">INDEX(Parâmetros!$D$13:$D$19,MATCH(E1187,Parâmetros!$A$13:$A$19,0))</f>
        <v>29</v>
      </c>
      <c r="L1187" s="10" t="n">
        <f aca="false">IF(G1187="Prospecting",Parâmetros!$B$9,IF(J1187&gt;Parâmetros!$B$6,0,INDEX(Parâmetros!$C$24:$C$26,MATCH(J1187,Parâmetros!$A$24:$A$26,1))))</f>
        <v>0</v>
      </c>
      <c r="M1187" s="31" t="n">
        <f aca="false">IF(G1187="Prospecting",1,INDEX(Parâmetros!$C$32:$C$35,MATCH(J1187,Parâmetros!$A$32:$A$35,1)))</f>
        <v>0.6</v>
      </c>
      <c r="N1187" s="2" t="n">
        <f aca="false">ROUND((K1187+L1187)*M1187,0)</f>
        <v>17</v>
      </c>
      <c r="O1187" s="10" t="str">
        <f aca="false">IF(AND(G1187="Engaging",J1187&gt;Parâmetros!$B$6),"Sim","Não")</f>
        <v>Sim</v>
      </c>
      <c r="P1187" s="32" t="str">
        <f aca="false">IF(O1187="Sim","R",IF(N1187&gt;=Parâmetros!$B$39,"A",IF(N1187&gt;=Parâmetros!$B$40,"B",IF(N1187&gt;=Parâmetros!$B$41,"C","D"))))</f>
        <v>R</v>
      </c>
      <c r="Q1187" s="10" t="str">
        <f aca="false">IF(F1187="","Completar cadastro","")</f>
        <v>Completar cadastro</v>
      </c>
      <c r="R1187" s="10" t="str">
        <f aca="false">INDEX(Parâmetros!$D$39:$D$43,MATCH(P1187,Parâmetros!$A$39:$A$43,0))</f>
        <v>Reciclar: requalificar, reengajar ou encerrar</v>
      </c>
    </row>
    <row r="1188" customFormat="false" ht="15" hidden="false" customHeight="false" outlineLevel="0" collapsed="false">
      <c r="A1188" s="10" t="s">
        <v>1434</v>
      </c>
      <c r="B1188" s="10" t="s">
        <v>77</v>
      </c>
      <c r="C1188" s="10" t="s">
        <v>78</v>
      </c>
      <c r="D1188" s="10" t="s">
        <v>196</v>
      </c>
      <c r="E1188" s="10" t="s">
        <v>50</v>
      </c>
      <c r="F1188" s="10" t="s">
        <v>869</v>
      </c>
      <c r="G1188" s="10" t="s">
        <v>162</v>
      </c>
      <c r="H1188" s="30" t="n">
        <v>42944</v>
      </c>
      <c r="I1188" s="8" t="n">
        <f aca="false">INDEX(Parâmetros!$C$13:$C$19,MATCH(E1188,Parâmetros!$A$13:$A$19,0))</f>
        <v>1096</v>
      </c>
      <c r="J1188" s="26" t="n">
        <f aca="false">IF(H1188="","",Parâmetros!$B$5-H1188)</f>
        <v>156</v>
      </c>
      <c r="K1188" s="10" t="n">
        <f aca="false">INDEX(Parâmetros!$D$13:$D$19,MATCH(E1188,Parâmetros!$A$13:$A$19,0))</f>
        <v>29</v>
      </c>
      <c r="L1188" s="10" t="n">
        <f aca="false">IF(G1188="Prospecting",Parâmetros!$B$9,IF(J1188&gt;Parâmetros!$B$6,0,INDEX(Parâmetros!$C$24:$C$26,MATCH(J1188,Parâmetros!$A$24:$A$26,1))))</f>
        <v>0</v>
      </c>
      <c r="M1188" s="31" t="n">
        <f aca="false">IF(G1188="Prospecting",1,INDEX(Parâmetros!$C$32:$C$35,MATCH(J1188,Parâmetros!$A$32:$A$35,1)))</f>
        <v>0.6</v>
      </c>
      <c r="N1188" s="2" t="n">
        <f aca="false">ROUND((K1188+L1188)*M1188,0)</f>
        <v>17</v>
      </c>
      <c r="O1188" s="10" t="str">
        <f aca="false">IF(AND(G1188="Engaging",J1188&gt;Parâmetros!$B$6),"Sim","Não")</f>
        <v>Sim</v>
      </c>
      <c r="P1188" s="32" t="str">
        <f aca="false">IF(O1188="Sim","R",IF(N1188&gt;=Parâmetros!$B$39,"A",IF(N1188&gt;=Parâmetros!$B$40,"B",IF(N1188&gt;=Parâmetros!$B$41,"C","D"))))</f>
        <v>R</v>
      </c>
      <c r="Q1188" s="10" t="str">
        <f aca="false">IF(F1188="","Completar cadastro","")</f>
        <v/>
      </c>
      <c r="R1188" s="10" t="str">
        <f aca="false">INDEX(Parâmetros!$D$39:$D$43,MATCH(P1188,Parâmetros!$A$39:$A$43,0))</f>
        <v>Reciclar: requalificar, reengajar ou encerrar</v>
      </c>
    </row>
    <row r="1189" customFormat="false" ht="15" hidden="false" customHeight="false" outlineLevel="0" collapsed="false">
      <c r="A1189" s="10" t="s">
        <v>1435</v>
      </c>
      <c r="B1189" s="10" t="s">
        <v>81</v>
      </c>
      <c r="C1189" s="10" t="s">
        <v>78</v>
      </c>
      <c r="D1189" s="10" t="s">
        <v>196</v>
      </c>
      <c r="E1189" s="10" t="s">
        <v>50</v>
      </c>
      <c r="F1189" s="10"/>
      <c r="G1189" s="10" t="s">
        <v>162</v>
      </c>
      <c r="H1189" s="30" t="n">
        <v>42944</v>
      </c>
      <c r="I1189" s="8" t="n">
        <f aca="false">INDEX(Parâmetros!$C$13:$C$19,MATCH(E1189,Parâmetros!$A$13:$A$19,0))</f>
        <v>1096</v>
      </c>
      <c r="J1189" s="26" t="n">
        <f aca="false">IF(H1189="","",Parâmetros!$B$5-H1189)</f>
        <v>156</v>
      </c>
      <c r="K1189" s="10" t="n">
        <f aca="false">INDEX(Parâmetros!$D$13:$D$19,MATCH(E1189,Parâmetros!$A$13:$A$19,0))</f>
        <v>29</v>
      </c>
      <c r="L1189" s="10" t="n">
        <f aca="false">IF(G1189="Prospecting",Parâmetros!$B$9,IF(J1189&gt;Parâmetros!$B$6,0,INDEX(Parâmetros!$C$24:$C$26,MATCH(J1189,Parâmetros!$A$24:$A$26,1))))</f>
        <v>0</v>
      </c>
      <c r="M1189" s="31" t="n">
        <f aca="false">IF(G1189="Prospecting",1,INDEX(Parâmetros!$C$32:$C$35,MATCH(J1189,Parâmetros!$A$32:$A$35,1)))</f>
        <v>0.6</v>
      </c>
      <c r="N1189" s="2" t="n">
        <f aca="false">ROUND((K1189+L1189)*M1189,0)</f>
        <v>17</v>
      </c>
      <c r="O1189" s="10" t="str">
        <f aca="false">IF(AND(G1189="Engaging",J1189&gt;Parâmetros!$B$6),"Sim","Não")</f>
        <v>Sim</v>
      </c>
      <c r="P1189" s="32" t="str">
        <f aca="false">IF(O1189="Sim","R",IF(N1189&gt;=Parâmetros!$B$39,"A",IF(N1189&gt;=Parâmetros!$B$40,"B",IF(N1189&gt;=Parâmetros!$B$41,"C","D"))))</f>
        <v>R</v>
      </c>
      <c r="Q1189" s="10" t="str">
        <f aca="false">IF(F1189="","Completar cadastro","")</f>
        <v>Completar cadastro</v>
      </c>
      <c r="R1189" s="10" t="str">
        <f aca="false">INDEX(Parâmetros!$D$39:$D$43,MATCH(P1189,Parâmetros!$A$39:$A$43,0))</f>
        <v>Reciclar: requalificar, reengajar ou encerrar</v>
      </c>
    </row>
    <row r="1190" customFormat="false" ht="15" hidden="false" customHeight="false" outlineLevel="0" collapsed="false">
      <c r="A1190" s="10" t="s">
        <v>1436</v>
      </c>
      <c r="B1190" s="10" t="s">
        <v>77</v>
      </c>
      <c r="C1190" s="10" t="s">
        <v>78</v>
      </c>
      <c r="D1190" s="10" t="s">
        <v>196</v>
      </c>
      <c r="E1190" s="10" t="s">
        <v>50</v>
      </c>
      <c r="F1190" s="10"/>
      <c r="G1190" s="10" t="s">
        <v>162</v>
      </c>
      <c r="H1190" s="30" t="n">
        <v>42945</v>
      </c>
      <c r="I1190" s="8" t="n">
        <f aca="false">INDEX(Parâmetros!$C$13:$C$19,MATCH(E1190,Parâmetros!$A$13:$A$19,0))</f>
        <v>1096</v>
      </c>
      <c r="J1190" s="26" t="n">
        <f aca="false">IF(H1190="","",Parâmetros!$B$5-H1190)</f>
        <v>155</v>
      </c>
      <c r="K1190" s="10" t="n">
        <f aca="false">INDEX(Parâmetros!$D$13:$D$19,MATCH(E1190,Parâmetros!$A$13:$A$19,0))</f>
        <v>29</v>
      </c>
      <c r="L1190" s="10" t="n">
        <f aca="false">IF(G1190="Prospecting",Parâmetros!$B$9,IF(J1190&gt;Parâmetros!$B$6,0,INDEX(Parâmetros!$C$24:$C$26,MATCH(J1190,Parâmetros!$A$24:$A$26,1))))</f>
        <v>0</v>
      </c>
      <c r="M1190" s="31" t="n">
        <f aca="false">IF(G1190="Prospecting",1,INDEX(Parâmetros!$C$32:$C$35,MATCH(J1190,Parâmetros!$A$32:$A$35,1)))</f>
        <v>0.6</v>
      </c>
      <c r="N1190" s="2" t="n">
        <f aca="false">ROUND((K1190+L1190)*M1190,0)</f>
        <v>17</v>
      </c>
      <c r="O1190" s="10" t="str">
        <f aca="false">IF(AND(G1190="Engaging",J1190&gt;Parâmetros!$B$6),"Sim","Não")</f>
        <v>Sim</v>
      </c>
      <c r="P1190" s="32" t="str">
        <f aca="false">IF(O1190="Sim","R",IF(N1190&gt;=Parâmetros!$B$39,"A",IF(N1190&gt;=Parâmetros!$B$40,"B",IF(N1190&gt;=Parâmetros!$B$41,"C","D"))))</f>
        <v>R</v>
      </c>
      <c r="Q1190" s="10" t="str">
        <f aca="false">IF(F1190="","Completar cadastro","")</f>
        <v>Completar cadastro</v>
      </c>
      <c r="R1190" s="10" t="str">
        <f aca="false">INDEX(Parâmetros!$D$39:$D$43,MATCH(P1190,Parâmetros!$A$39:$A$43,0))</f>
        <v>Reciclar: requalificar, reengajar ou encerrar</v>
      </c>
    </row>
    <row r="1191" customFormat="false" ht="15" hidden="false" customHeight="false" outlineLevel="0" collapsed="false">
      <c r="A1191" s="10" t="s">
        <v>1437</v>
      </c>
      <c r="B1191" s="10" t="s">
        <v>80</v>
      </c>
      <c r="C1191" s="10" t="s">
        <v>78</v>
      </c>
      <c r="D1191" s="10" t="s">
        <v>196</v>
      </c>
      <c r="E1191" s="10" t="s">
        <v>50</v>
      </c>
      <c r="F1191" s="10"/>
      <c r="G1191" s="10" t="s">
        <v>162</v>
      </c>
      <c r="H1191" s="30" t="n">
        <v>42945</v>
      </c>
      <c r="I1191" s="8" t="n">
        <f aca="false">INDEX(Parâmetros!$C$13:$C$19,MATCH(E1191,Parâmetros!$A$13:$A$19,0))</f>
        <v>1096</v>
      </c>
      <c r="J1191" s="26" t="n">
        <f aca="false">IF(H1191="","",Parâmetros!$B$5-H1191)</f>
        <v>155</v>
      </c>
      <c r="K1191" s="10" t="n">
        <f aca="false">INDEX(Parâmetros!$D$13:$D$19,MATCH(E1191,Parâmetros!$A$13:$A$19,0))</f>
        <v>29</v>
      </c>
      <c r="L1191" s="10" t="n">
        <f aca="false">IF(G1191="Prospecting",Parâmetros!$B$9,IF(J1191&gt;Parâmetros!$B$6,0,INDEX(Parâmetros!$C$24:$C$26,MATCH(J1191,Parâmetros!$A$24:$A$26,1))))</f>
        <v>0</v>
      </c>
      <c r="M1191" s="31" t="n">
        <f aca="false">IF(G1191="Prospecting",1,INDEX(Parâmetros!$C$32:$C$35,MATCH(J1191,Parâmetros!$A$32:$A$35,1)))</f>
        <v>0.6</v>
      </c>
      <c r="N1191" s="2" t="n">
        <f aca="false">ROUND((K1191+L1191)*M1191,0)</f>
        <v>17</v>
      </c>
      <c r="O1191" s="10" t="str">
        <f aca="false">IF(AND(G1191="Engaging",J1191&gt;Parâmetros!$B$6),"Sim","Não")</f>
        <v>Sim</v>
      </c>
      <c r="P1191" s="32" t="str">
        <f aca="false">IF(O1191="Sim","R",IF(N1191&gt;=Parâmetros!$B$39,"A",IF(N1191&gt;=Parâmetros!$B$40,"B",IF(N1191&gt;=Parâmetros!$B$41,"C","D"))))</f>
        <v>R</v>
      </c>
      <c r="Q1191" s="10" t="str">
        <f aca="false">IF(F1191="","Completar cadastro","")</f>
        <v>Completar cadastro</v>
      </c>
      <c r="R1191" s="10" t="str">
        <f aca="false">INDEX(Parâmetros!$D$39:$D$43,MATCH(P1191,Parâmetros!$A$39:$A$43,0))</f>
        <v>Reciclar: requalificar, reengajar ou encerrar</v>
      </c>
    </row>
    <row r="1192" customFormat="false" ht="15" hidden="false" customHeight="false" outlineLevel="0" collapsed="false">
      <c r="A1192" s="10" t="s">
        <v>1438</v>
      </c>
      <c r="B1192" s="10" t="s">
        <v>94</v>
      </c>
      <c r="C1192" s="10" t="s">
        <v>92</v>
      </c>
      <c r="D1192" s="10" t="s">
        <v>160</v>
      </c>
      <c r="E1192" s="10" t="s">
        <v>50</v>
      </c>
      <c r="F1192" s="10" t="s">
        <v>274</v>
      </c>
      <c r="G1192" s="10" t="s">
        <v>162</v>
      </c>
      <c r="H1192" s="30" t="n">
        <v>42945</v>
      </c>
      <c r="I1192" s="8" t="n">
        <f aca="false">INDEX(Parâmetros!$C$13:$C$19,MATCH(E1192,Parâmetros!$A$13:$A$19,0))</f>
        <v>1096</v>
      </c>
      <c r="J1192" s="26" t="n">
        <f aca="false">IF(H1192="","",Parâmetros!$B$5-H1192)</f>
        <v>155</v>
      </c>
      <c r="K1192" s="10" t="n">
        <f aca="false">INDEX(Parâmetros!$D$13:$D$19,MATCH(E1192,Parâmetros!$A$13:$A$19,0))</f>
        <v>29</v>
      </c>
      <c r="L1192" s="10" t="n">
        <f aca="false">IF(G1192="Prospecting",Parâmetros!$B$9,IF(J1192&gt;Parâmetros!$B$6,0,INDEX(Parâmetros!$C$24:$C$26,MATCH(J1192,Parâmetros!$A$24:$A$26,1))))</f>
        <v>0</v>
      </c>
      <c r="M1192" s="31" t="n">
        <f aca="false">IF(G1192="Prospecting",1,INDEX(Parâmetros!$C$32:$C$35,MATCH(J1192,Parâmetros!$A$32:$A$35,1)))</f>
        <v>0.6</v>
      </c>
      <c r="N1192" s="2" t="n">
        <f aca="false">ROUND((K1192+L1192)*M1192,0)</f>
        <v>17</v>
      </c>
      <c r="O1192" s="10" t="str">
        <f aca="false">IF(AND(G1192="Engaging",J1192&gt;Parâmetros!$B$6),"Sim","Não")</f>
        <v>Sim</v>
      </c>
      <c r="P1192" s="32" t="str">
        <f aca="false">IF(O1192="Sim","R",IF(N1192&gt;=Parâmetros!$B$39,"A",IF(N1192&gt;=Parâmetros!$B$40,"B",IF(N1192&gt;=Parâmetros!$B$41,"C","D"))))</f>
        <v>R</v>
      </c>
      <c r="Q1192" s="10" t="str">
        <f aca="false">IF(F1192="","Completar cadastro","")</f>
        <v/>
      </c>
      <c r="R1192" s="10" t="str">
        <f aca="false">INDEX(Parâmetros!$D$39:$D$43,MATCH(P1192,Parâmetros!$A$39:$A$43,0))</f>
        <v>Reciclar: requalificar, reengajar ou encerrar</v>
      </c>
    </row>
    <row r="1193" customFormat="false" ht="15" hidden="false" customHeight="false" outlineLevel="0" collapsed="false">
      <c r="A1193" s="10" t="s">
        <v>1439</v>
      </c>
      <c r="B1193" s="10" t="s">
        <v>86</v>
      </c>
      <c r="C1193" s="10" t="s">
        <v>85</v>
      </c>
      <c r="D1193" s="10" t="s">
        <v>165</v>
      </c>
      <c r="E1193" s="10" t="s">
        <v>50</v>
      </c>
      <c r="F1193" s="10"/>
      <c r="G1193" s="10" t="s">
        <v>162</v>
      </c>
      <c r="H1193" s="30" t="n">
        <v>42946</v>
      </c>
      <c r="I1193" s="8" t="n">
        <f aca="false">INDEX(Parâmetros!$C$13:$C$19,MATCH(E1193,Parâmetros!$A$13:$A$19,0))</f>
        <v>1096</v>
      </c>
      <c r="J1193" s="26" t="n">
        <f aca="false">IF(H1193="","",Parâmetros!$B$5-H1193)</f>
        <v>154</v>
      </c>
      <c r="K1193" s="10" t="n">
        <f aca="false">INDEX(Parâmetros!$D$13:$D$19,MATCH(E1193,Parâmetros!$A$13:$A$19,0))</f>
        <v>29</v>
      </c>
      <c r="L1193" s="10" t="n">
        <f aca="false">IF(G1193="Prospecting",Parâmetros!$B$9,IF(J1193&gt;Parâmetros!$B$6,0,INDEX(Parâmetros!$C$24:$C$26,MATCH(J1193,Parâmetros!$A$24:$A$26,1))))</f>
        <v>0</v>
      </c>
      <c r="M1193" s="31" t="n">
        <f aca="false">IF(G1193="Prospecting",1,INDEX(Parâmetros!$C$32:$C$35,MATCH(J1193,Parâmetros!$A$32:$A$35,1)))</f>
        <v>0.6</v>
      </c>
      <c r="N1193" s="2" t="n">
        <f aca="false">ROUND((K1193+L1193)*M1193,0)</f>
        <v>17</v>
      </c>
      <c r="O1193" s="10" t="str">
        <f aca="false">IF(AND(G1193="Engaging",J1193&gt;Parâmetros!$B$6),"Sim","Não")</f>
        <v>Sim</v>
      </c>
      <c r="P1193" s="32" t="str">
        <f aca="false">IF(O1193="Sim","R",IF(N1193&gt;=Parâmetros!$B$39,"A",IF(N1193&gt;=Parâmetros!$B$40,"B",IF(N1193&gt;=Parâmetros!$B$41,"C","D"))))</f>
        <v>R</v>
      </c>
      <c r="Q1193" s="10" t="str">
        <f aca="false">IF(F1193="","Completar cadastro","")</f>
        <v>Completar cadastro</v>
      </c>
      <c r="R1193" s="10" t="str">
        <f aca="false">INDEX(Parâmetros!$D$39:$D$43,MATCH(P1193,Parâmetros!$A$39:$A$43,0))</f>
        <v>Reciclar: requalificar, reengajar ou encerrar</v>
      </c>
    </row>
    <row r="1194" customFormat="false" ht="15" hidden="false" customHeight="false" outlineLevel="0" collapsed="false">
      <c r="A1194" s="10" t="s">
        <v>1440</v>
      </c>
      <c r="B1194" s="10" t="s">
        <v>77</v>
      </c>
      <c r="C1194" s="10" t="s">
        <v>78</v>
      </c>
      <c r="D1194" s="10" t="s">
        <v>196</v>
      </c>
      <c r="E1194" s="10" t="s">
        <v>50</v>
      </c>
      <c r="F1194" s="10"/>
      <c r="G1194" s="10" t="s">
        <v>162</v>
      </c>
      <c r="H1194" s="30" t="n">
        <v>42946</v>
      </c>
      <c r="I1194" s="8" t="n">
        <f aca="false">INDEX(Parâmetros!$C$13:$C$19,MATCH(E1194,Parâmetros!$A$13:$A$19,0))</f>
        <v>1096</v>
      </c>
      <c r="J1194" s="26" t="n">
        <f aca="false">IF(H1194="","",Parâmetros!$B$5-H1194)</f>
        <v>154</v>
      </c>
      <c r="K1194" s="10" t="n">
        <f aca="false">INDEX(Parâmetros!$D$13:$D$19,MATCH(E1194,Parâmetros!$A$13:$A$19,0))</f>
        <v>29</v>
      </c>
      <c r="L1194" s="10" t="n">
        <f aca="false">IF(G1194="Prospecting",Parâmetros!$B$9,IF(J1194&gt;Parâmetros!$B$6,0,INDEX(Parâmetros!$C$24:$C$26,MATCH(J1194,Parâmetros!$A$24:$A$26,1))))</f>
        <v>0</v>
      </c>
      <c r="M1194" s="31" t="n">
        <f aca="false">IF(G1194="Prospecting",1,INDEX(Parâmetros!$C$32:$C$35,MATCH(J1194,Parâmetros!$A$32:$A$35,1)))</f>
        <v>0.6</v>
      </c>
      <c r="N1194" s="2" t="n">
        <f aca="false">ROUND((K1194+L1194)*M1194,0)</f>
        <v>17</v>
      </c>
      <c r="O1194" s="10" t="str">
        <f aca="false">IF(AND(G1194="Engaging",J1194&gt;Parâmetros!$B$6),"Sim","Não")</f>
        <v>Sim</v>
      </c>
      <c r="P1194" s="32" t="str">
        <f aca="false">IF(O1194="Sim","R",IF(N1194&gt;=Parâmetros!$B$39,"A",IF(N1194&gt;=Parâmetros!$B$40,"B",IF(N1194&gt;=Parâmetros!$B$41,"C","D"))))</f>
        <v>R</v>
      </c>
      <c r="Q1194" s="10" t="str">
        <f aca="false">IF(F1194="","Completar cadastro","")</f>
        <v>Completar cadastro</v>
      </c>
      <c r="R1194" s="10" t="str">
        <f aca="false">INDEX(Parâmetros!$D$39:$D$43,MATCH(P1194,Parâmetros!$A$39:$A$43,0))</f>
        <v>Reciclar: requalificar, reengajar ou encerrar</v>
      </c>
    </row>
    <row r="1195" customFormat="false" ht="15" hidden="false" customHeight="false" outlineLevel="0" collapsed="false">
      <c r="A1195" s="10" t="s">
        <v>1441</v>
      </c>
      <c r="B1195" s="10" t="s">
        <v>79</v>
      </c>
      <c r="C1195" s="10" t="s">
        <v>78</v>
      </c>
      <c r="D1195" s="10" t="s">
        <v>196</v>
      </c>
      <c r="E1195" s="10" t="s">
        <v>50</v>
      </c>
      <c r="F1195" s="10"/>
      <c r="G1195" s="10" t="s">
        <v>162</v>
      </c>
      <c r="H1195" s="30" t="n">
        <v>42946</v>
      </c>
      <c r="I1195" s="8" t="n">
        <f aca="false">INDEX(Parâmetros!$C$13:$C$19,MATCH(E1195,Parâmetros!$A$13:$A$19,0))</f>
        <v>1096</v>
      </c>
      <c r="J1195" s="26" t="n">
        <f aca="false">IF(H1195="","",Parâmetros!$B$5-H1195)</f>
        <v>154</v>
      </c>
      <c r="K1195" s="10" t="n">
        <f aca="false">INDEX(Parâmetros!$D$13:$D$19,MATCH(E1195,Parâmetros!$A$13:$A$19,0))</f>
        <v>29</v>
      </c>
      <c r="L1195" s="10" t="n">
        <f aca="false">IF(G1195="Prospecting",Parâmetros!$B$9,IF(J1195&gt;Parâmetros!$B$6,0,INDEX(Parâmetros!$C$24:$C$26,MATCH(J1195,Parâmetros!$A$24:$A$26,1))))</f>
        <v>0</v>
      </c>
      <c r="M1195" s="31" t="n">
        <f aca="false">IF(G1195="Prospecting",1,INDEX(Parâmetros!$C$32:$C$35,MATCH(J1195,Parâmetros!$A$32:$A$35,1)))</f>
        <v>0.6</v>
      </c>
      <c r="N1195" s="2" t="n">
        <f aca="false">ROUND((K1195+L1195)*M1195,0)</f>
        <v>17</v>
      </c>
      <c r="O1195" s="10" t="str">
        <f aca="false">IF(AND(G1195="Engaging",J1195&gt;Parâmetros!$B$6),"Sim","Não")</f>
        <v>Sim</v>
      </c>
      <c r="P1195" s="32" t="str">
        <f aca="false">IF(O1195="Sim","R",IF(N1195&gt;=Parâmetros!$B$39,"A",IF(N1195&gt;=Parâmetros!$B$40,"B",IF(N1195&gt;=Parâmetros!$B$41,"C","D"))))</f>
        <v>R</v>
      </c>
      <c r="Q1195" s="10" t="str">
        <f aca="false">IF(F1195="","Completar cadastro","")</f>
        <v>Completar cadastro</v>
      </c>
      <c r="R1195" s="10" t="str">
        <f aca="false">INDEX(Parâmetros!$D$39:$D$43,MATCH(P1195,Parâmetros!$A$39:$A$43,0))</f>
        <v>Reciclar: requalificar, reengajar ou encerrar</v>
      </c>
    </row>
    <row r="1196" customFormat="false" ht="15" hidden="false" customHeight="false" outlineLevel="0" collapsed="false">
      <c r="A1196" s="10" t="s">
        <v>1442</v>
      </c>
      <c r="B1196" s="10" t="s">
        <v>81</v>
      </c>
      <c r="C1196" s="10" t="s">
        <v>78</v>
      </c>
      <c r="D1196" s="10" t="s">
        <v>196</v>
      </c>
      <c r="E1196" s="10" t="s">
        <v>50</v>
      </c>
      <c r="F1196" s="10"/>
      <c r="G1196" s="10" t="s">
        <v>162</v>
      </c>
      <c r="H1196" s="30" t="n">
        <v>42946</v>
      </c>
      <c r="I1196" s="8" t="n">
        <f aca="false">INDEX(Parâmetros!$C$13:$C$19,MATCH(E1196,Parâmetros!$A$13:$A$19,0))</f>
        <v>1096</v>
      </c>
      <c r="J1196" s="26" t="n">
        <f aca="false">IF(H1196="","",Parâmetros!$B$5-H1196)</f>
        <v>154</v>
      </c>
      <c r="K1196" s="10" t="n">
        <f aca="false">INDEX(Parâmetros!$D$13:$D$19,MATCH(E1196,Parâmetros!$A$13:$A$19,0))</f>
        <v>29</v>
      </c>
      <c r="L1196" s="10" t="n">
        <f aca="false">IF(G1196="Prospecting",Parâmetros!$B$9,IF(J1196&gt;Parâmetros!$B$6,0,INDEX(Parâmetros!$C$24:$C$26,MATCH(J1196,Parâmetros!$A$24:$A$26,1))))</f>
        <v>0</v>
      </c>
      <c r="M1196" s="31" t="n">
        <f aca="false">IF(G1196="Prospecting",1,INDEX(Parâmetros!$C$32:$C$35,MATCH(J1196,Parâmetros!$A$32:$A$35,1)))</f>
        <v>0.6</v>
      </c>
      <c r="N1196" s="2" t="n">
        <f aca="false">ROUND((K1196+L1196)*M1196,0)</f>
        <v>17</v>
      </c>
      <c r="O1196" s="10" t="str">
        <f aca="false">IF(AND(G1196="Engaging",J1196&gt;Parâmetros!$B$6),"Sim","Não")</f>
        <v>Sim</v>
      </c>
      <c r="P1196" s="32" t="str">
        <f aca="false">IF(O1196="Sim","R",IF(N1196&gt;=Parâmetros!$B$39,"A",IF(N1196&gt;=Parâmetros!$B$40,"B",IF(N1196&gt;=Parâmetros!$B$41,"C","D"))))</f>
        <v>R</v>
      </c>
      <c r="Q1196" s="10" t="str">
        <f aca="false">IF(F1196="","Completar cadastro","")</f>
        <v>Completar cadastro</v>
      </c>
      <c r="R1196" s="10" t="str">
        <f aca="false">INDEX(Parâmetros!$D$39:$D$43,MATCH(P1196,Parâmetros!$A$39:$A$43,0))</f>
        <v>Reciclar: requalificar, reengajar ou encerrar</v>
      </c>
    </row>
    <row r="1197" customFormat="false" ht="15" hidden="false" customHeight="false" outlineLevel="0" collapsed="false">
      <c r="A1197" s="10" t="s">
        <v>1443</v>
      </c>
      <c r="B1197" s="10" t="s">
        <v>96</v>
      </c>
      <c r="C1197" s="10" t="s">
        <v>92</v>
      </c>
      <c r="D1197" s="10" t="s">
        <v>160</v>
      </c>
      <c r="E1197" s="10" t="s">
        <v>50</v>
      </c>
      <c r="F1197" s="10"/>
      <c r="G1197" s="10" t="s">
        <v>162</v>
      </c>
      <c r="H1197" s="30" t="n">
        <v>42946</v>
      </c>
      <c r="I1197" s="8" t="n">
        <f aca="false">INDEX(Parâmetros!$C$13:$C$19,MATCH(E1197,Parâmetros!$A$13:$A$19,0))</f>
        <v>1096</v>
      </c>
      <c r="J1197" s="26" t="n">
        <f aca="false">IF(H1197="","",Parâmetros!$B$5-H1197)</f>
        <v>154</v>
      </c>
      <c r="K1197" s="10" t="n">
        <f aca="false">INDEX(Parâmetros!$D$13:$D$19,MATCH(E1197,Parâmetros!$A$13:$A$19,0))</f>
        <v>29</v>
      </c>
      <c r="L1197" s="10" t="n">
        <f aca="false">IF(G1197="Prospecting",Parâmetros!$B$9,IF(J1197&gt;Parâmetros!$B$6,0,INDEX(Parâmetros!$C$24:$C$26,MATCH(J1197,Parâmetros!$A$24:$A$26,1))))</f>
        <v>0</v>
      </c>
      <c r="M1197" s="31" t="n">
        <f aca="false">IF(G1197="Prospecting",1,INDEX(Parâmetros!$C$32:$C$35,MATCH(J1197,Parâmetros!$A$32:$A$35,1)))</f>
        <v>0.6</v>
      </c>
      <c r="N1197" s="2" t="n">
        <f aca="false">ROUND((K1197+L1197)*M1197,0)</f>
        <v>17</v>
      </c>
      <c r="O1197" s="10" t="str">
        <f aca="false">IF(AND(G1197="Engaging",J1197&gt;Parâmetros!$B$6),"Sim","Não")</f>
        <v>Sim</v>
      </c>
      <c r="P1197" s="32" t="str">
        <f aca="false">IF(O1197="Sim","R",IF(N1197&gt;=Parâmetros!$B$39,"A",IF(N1197&gt;=Parâmetros!$B$40,"B",IF(N1197&gt;=Parâmetros!$B$41,"C","D"))))</f>
        <v>R</v>
      </c>
      <c r="Q1197" s="10" t="str">
        <f aca="false">IF(F1197="","Completar cadastro","")</f>
        <v>Completar cadastro</v>
      </c>
      <c r="R1197" s="10" t="str">
        <f aca="false">INDEX(Parâmetros!$D$39:$D$43,MATCH(P1197,Parâmetros!$A$39:$A$43,0))</f>
        <v>Reciclar: requalificar, reengajar ou encerrar</v>
      </c>
    </row>
    <row r="1198" customFormat="false" ht="15" hidden="false" customHeight="false" outlineLevel="0" collapsed="false">
      <c r="A1198" s="10" t="s">
        <v>1444</v>
      </c>
      <c r="B1198" s="10" t="s">
        <v>83</v>
      </c>
      <c r="C1198" s="10" t="s">
        <v>78</v>
      </c>
      <c r="D1198" s="10" t="s">
        <v>196</v>
      </c>
      <c r="E1198" s="10" t="s">
        <v>50</v>
      </c>
      <c r="F1198" s="10" t="s">
        <v>512</v>
      </c>
      <c r="G1198" s="10" t="s">
        <v>162</v>
      </c>
      <c r="H1198" s="30" t="n">
        <v>42946</v>
      </c>
      <c r="I1198" s="8" t="n">
        <f aca="false">INDEX(Parâmetros!$C$13:$C$19,MATCH(E1198,Parâmetros!$A$13:$A$19,0))</f>
        <v>1096</v>
      </c>
      <c r="J1198" s="26" t="n">
        <f aca="false">IF(H1198="","",Parâmetros!$B$5-H1198)</f>
        <v>154</v>
      </c>
      <c r="K1198" s="10" t="n">
        <f aca="false">INDEX(Parâmetros!$D$13:$D$19,MATCH(E1198,Parâmetros!$A$13:$A$19,0))</f>
        <v>29</v>
      </c>
      <c r="L1198" s="10" t="n">
        <f aca="false">IF(G1198="Prospecting",Parâmetros!$B$9,IF(J1198&gt;Parâmetros!$B$6,0,INDEX(Parâmetros!$C$24:$C$26,MATCH(J1198,Parâmetros!$A$24:$A$26,1))))</f>
        <v>0</v>
      </c>
      <c r="M1198" s="31" t="n">
        <f aca="false">IF(G1198="Prospecting",1,INDEX(Parâmetros!$C$32:$C$35,MATCH(J1198,Parâmetros!$A$32:$A$35,1)))</f>
        <v>0.6</v>
      </c>
      <c r="N1198" s="2" t="n">
        <f aca="false">ROUND((K1198+L1198)*M1198,0)</f>
        <v>17</v>
      </c>
      <c r="O1198" s="10" t="str">
        <f aca="false">IF(AND(G1198="Engaging",J1198&gt;Parâmetros!$B$6),"Sim","Não")</f>
        <v>Sim</v>
      </c>
      <c r="P1198" s="32" t="str">
        <f aca="false">IF(O1198="Sim","R",IF(N1198&gt;=Parâmetros!$B$39,"A",IF(N1198&gt;=Parâmetros!$B$40,"B",IF(N1198&gt;=Parâmetros!$B$41,"C","D"))))</f>
        <v>R</v>
      </c>
      <c r="Q1198" s="10" t="str">
        <f aca="false">IF(F1198="","Completar cadastro","")</f>
        <v/>
      </c>
      <c r="R1198" s="10" t="str">
        <f aca="false">INDEX(Parâmetros!$D$39:$D$43,MATCH(P1198,Parâmetros!$A$39:$A$43,0))</f>
        <v>Reciclar: requalificar, reengajar ou encerrar</v>
      </c>
    </row>
    <row r="1199" customFormat="false" ht="15" hidden="false" customHeight="false" outlineLevel="0" collapsed="false">
      <c r="A1199" s="10" t="s">
        <v>1445</v>
      </c>
      <c r="B1199" s="10" t="s">
        <v>74</v>
      </c>
      <c r="C1199" s="10" t="s">
        <v>72</v>
      </c>
      <c r="D1199" s="10" t="s">
        <v>196</v>
      </c>
      <c r="E1199" s="10" t="s">
        <v>50</v>
      </c>
      <c r="F1199" s="10"/>
      <c r="G1199" s="10" t="s">
        <v>162</v>
      </c>
      <c r="H1199" s="30" t="n">
        <v>42947</v>
      </c>
      <c r="I1199" s="8" t="n">
        <f aca="false">INDEX(Parâmetros!$C$13:$C$19,MATCH(E1199,Parâmetros!$A$13:$A$19,0))</f>
        <v>1096</v>
      </c>
      <c r="J1199" s="26" t="n">
        <f aca="false">IF(H1199="","",Parâmetros!$B$5-H1199)</f>
        <v>153</v>
      </c>
      <c r="K1199" s="10" t="n">
        <f aca="false">INDEX(Parâmetros!$D$13:$D$19,MATCH(E1199,Parâmetros!$A$13:$A$19,0))</f>
        <v>29</v>
      </c>
      <c r="L1199" s="10" t="n">
        <f aca="false">IF(G1199="Prospecting",Parâmetros!$B$9,IF(J1199&gt;Parâmetros!$B$6,0,INDEX(Parâmetros!$C$24:$C$26,MATCH(J1199,Parâmetros!$A$24:$A$26,1))))</f>
        <v>0</v>
      </c>
      <c r="M1199" s="31" t="n">
        <f aca="false">IF(G1199="Prospecting",1,INDEX(Parâmetros!$C$32:$C$35,MATCH(J1199,Parâmetros!$A$32:$A$35,1)))</f>
        <v>0.6</v>
      </c>
      <c r="N1199" s="2" t="n">
        <f aca="false">ROUND((K1199+L1199)*M1199,0)</f>
        <v>17</v>
      </c>
      <c r="O1199" s="10" t="str">
        <f aca="false">IF(AND(G1199="Engaging",J1199&gt;Parâmetros!$B$6),"Sim","Não")</f>
        <v>Sim</v>
      </c>
      <c r="P1199" s="32" t="str">
        <f aca="false">IF(O1199="Sim","R",IF(N1199&gt;=Parâmetros!$B$39,"A",IF(N1199&gt;=Parâmetros!$B$40,"B",IF(N1199&gt;=Parâmetros!$B$41,"C","D"))))</f>
        <v>R</v>
      </c>
      <c r="Q1199" s="10" t="str">
        <f aca="false">IF(F1199="","Completar cadastro","")</f>
        <v>Completar cadastro</v>
      </c>
      <c r="R1199" s="10" t="str">
        <f aca="false">INDEX(Parâmetros!$D$39:$D$43,MATCH(P1199,Parâmetros!$A$39:$A$43,0))</f>
        <v>Reciclar: requalificar, reengajar ou encerrar</v>
      </c>
    </row>
    <row r="1200" customFormat="false" ht="15" hidden="false" customHeight="false" outlineLevel="0" collapsed="false">
      <c r="A1200" s="10" t="s">
        <v>1446</v>
      </c>
      <c r="B1200" s="10" t="s">
        <v>81</v>
      </c>
      <c r="C1200" s="10" t="s">
        <v>78</v>
      </c>
      <c r="D1200" s="10" t="s">
        <v>196</v>
      </c>
      <c r="E1200" s="10" t="s">
        <v>50</v>
      </c>
      <c r="F1200" s="10"/>
      <c r="G1200" s="10" t="s">
        <v>162</v>
      </c>
      <c r="H1200" s="30" t="n">
        <v>42947</v>
      </c>
      <c r="I1200" s="8" t="n">
        <f aca="false">INDEX(Parâmetros!$C$13:$C$19,MATCH(E1200,Parâmetros!$A$13:$A$19,0))</f>
        <v>1096</v>
      </c>
      <c r="J1200" s="26" t="n">
        <f aca="false">IF(H1200="","",Parâmetros!$B$5-H1200)</f>
        <v>153</v>
      </c>
      <c r="K1200" s="10" t="n">
        <f aca="false">INDEX(Parâmetros!$D$13:$D$19,MATCH(E1200,Parâmetros!$A$13:$A$19,0))</f>
        <v>29</v>
      </c>
      <c r="L1200" s="10" t="n">
        <f aca="false">IF(G1200="Prospecting",Parâmetros!$B$9,IF(J1200&gt;Parâmetros!$B$6,0,INDEX(Parâmetros!$C$24:$C$26,MATCH(J1200,Parâmetros!$A$24:$A$26,1))))</f>
        <v>0</v>
      </c>
      <c r="M1200" s="31" t="n">
        <f aca="false">IF(G1200="Prospecting",1,INDEX(Parâmetros!$C$32:$C$35,MATCH(J1200,Parâmetros!$A$32:$A$35,1)))</f>
        <v>0.6</v>
      </c>
      <c r="N1200" s="2" t="n">
        <f aca="false">ROUND((K1200+L1200)*M1200,0)</f>
        <v>17</v>
      </c>
      <c r="O1200" s="10" t="str">
        <f aca="false">IF(AND(G1200="Engaging",J1200&gt;Parâmetros!$B$6),"Sim","Não")</f>
        <v>Sim</v>
      </c>
      <c r="P1200" s="32" t="str">
        <f aca="false">IF(O1200="Sim","R",IF(N1200&gt;=Parâmetros!$B$39,"A",IF(N1200&gt;=Parâmetros!$B$40,"B",IF(N1200&gt;=Parâmetros!$B$41,"C","D"))))</f>
        <v>R</v>
      </c>
      <c r="Q1200" s="10" t="str">
        <f aca="false">IF(F1200="","Completar cadastro","")</f>
        <v>Completar cadastro</v>
      </c>
      <c r="R1200" s="10" t="str">
        <f aca="false">INDEX(Parâmetros!$D$39:$D$43,MATCH(P1200,Parâmetros!$A$39:$A$43,0))</f>
        <v>Reciclar: requalificar, reengajar ou encerrar</v>
      </c>
    </row>
    <row r="1201" customFormat="false" ht="15" hidden="false" customHeight="false" outlineLevel="0" collapsed="false">
      <c r="A1201" s="10" t="s">
        <v>1447</v>
      </c>
      <c r="B1201" s="10" t="s">
        <v>75</v>
      </c>
      <c r="C1201" s="10" t="s">
        <v>72</v>
      </c>
      <c r="D1201" s="10" t="s">
        <v>196</v>
      </c>
      <c r="E1201" s="10" t="s">
        <v>50</v>
      </c>
      <c r="F1201" s="10"/>
      <c r="G1201" s="10" t="s">
        <v>162</v>
      </c>
      <c r="H1201" s="30" t="n">
        <v>42947</v>
      </c>
      <c r="I1201" s="8" t="n">
        <f aca="false">INDEX(Parâmetros!$C$13:$C$19,MATCH(E1201,Parâmetros!$A$13:$A$19,0))</f>
        <v>1096</v>
      </c>
      <c r="J1201" s="26" t="n">
        <f aca="false">IF(H1201="","",Parâmetros!$B$5-H1201)</f>
        <v>153</v>
      </c>
      <c r="K1201" s="10" t="n">
        <f aca="false">INDEX(Parâmetros!$D$13:$D$19,MATCH(E1201,Parâmetros!$A$13:$A$19,0))</f>
        <v>29</v>
      </c>
      <c r="L1201" s="10" t="n">
        <f aca="false">IF(G1201="Prospecting",Parâmetros!$B$9,IF(J1201&gt;Parâmetros!$B$6,0,INDEX(Parâmetros!$C$24:$C$26,MATCH(J1201,Parâmetros!$A$24:$A$26,1))))</f>
        <v>0</v>
      </c>
      <c r="M1201" s="31" t="n">
        <f aca="false">IF(G1201="Prospecting",1,INDEX(Parâmetros!$C$32:$C$35,MATCH(J1201,Parâmetros!$A$32:$A$35,1)))</f>
        <v>0.6</v>
      </c>
      <c r="N1201" s="2" t="n">
        <f aca="false">ROUND((K1201+L1201)*M1201,0)</f>
        <v>17</v>
      </c>
      <c r="O1201" s="10" t="str">
        <f aca="false">IF(AND(G1201="Engaging",J1201&gt;Parâmetros!$B$6),"Sim","Não")</f>
        <v>Sim</v>
      </c>
      <c r="P1201" s="32" t="str">
        <f aca="false">IF(O1201="Sim","R",IF(N1201&gt;=Parâmetros!$B$39,"A",IF(N1201&gt;=Parâmetros!$B$40,"B",IF(N1201&gt;=Parâmetros!$B$41,"C","D"))))</f>
        <v>R</v>
      </c>
      <c r="Q1201" s="10" t="str">
        <f aca="false">IF(F1201="","Completar cadastro","")</f>
        <v>Completar cadastro</v>
      </c>
      <c r="R1201" s="10" t="str">
        <f aca="false">INDEX(Parâmetros!$D$39:$D$43,MATCH(P1201,Parâmetros!$A$39:$A$43,0))</f>
        <v>Reciclar: requalificar, reengajar ou encerrar</v>
      </c>
    </row>
    <row r="1202" customFormat="false" ht="15" hidden="false" customHeight="false" outlineLevel="0" collapsed="false">
      <c r="A1202" s="10" t="s">
        <v>1448</v>
      </c>
      <c r="B1202" s="10" t="s">
        <v>83</v>
      </c>
      <c r="C1202" s="10" t="s">
        <v>78</v>
      </c>
      <c r="D1202" s="10" t="s">
        <v>196</v>
      </c>
      <c r="E1202" s="10" t="s">
        <v>50</v>
      </c>
      <c r="F1202" s="10"/>
      <c r="G1202" s="10" t="s">
        <v>162</v>
      </c>
      <c r="H1202" s="30" t="n">
        <v>42947</v>
      </c>
      <c r="I1202" s="8" t="n">
        <f aca="false">INDEX(Parâmetros!$C$13:$C$19,MATCH(E1202,Parâmetros!$A$13:$A$19,0))</f>
        <v>1096</v>
      </c>
      <c r="J1202" s="26" t="n">
        <f aca="false">IF(H1202="","",Parâmetros!$B$5-H1202)</f>
        <v>153</v>
      </c>
      <c r="K1202" s="10" t="n">
        <f aca="false">INDEX(Parâmetros!$D$13:$D$19,MATCH(E1202,Parâmetros!$A$13:$A$19,0))</f>
        <v>29</v>
      </c>
      <c r="L1202" s="10" t="n">
        <f aca="false">IF(G1202="Prospecting",Parâmetros!$B$9,IF(J1202&gt;Parâmetros!$B$6,0,INDEX(Parâmetros!$C$24:$C$26,MATCH(J1202,Parâmetros!$A$24:$A$26,1))))</f>
        <v>0</v>
      </c>
      <c r="M1202" s="31" t="n">
        <f aca="false">IF(G1202="Prospecting",1,INDEX(Parâmetros!$C$32:$C$35,MATCH(J1202,Parâmetros!$A$32:$A$35,1)))</f>
        <v>0.6</v>
      </c>
      <c r="N1202" s="2" t="n">
        <f aca="false">ROUND((K1202+L1202)*M1202,0)</f>
        <v>17</v>
      </c>
      <c r="O1202" s="10" t="str">
        <f aca="false">IF(AND(G1202="Engaging",J1202&gt;Parâmetros!$B$6),"Sim","Não")</f>
        <v>Sim</v>
      </c>
      <c r="P1202" s="32" t="str">
        <f aca="false">IF(O1202="Sim","R",IF(N1202&gt;=Parâmetros!$B$39,"A",IF(N1202&gt;=Parâmetros!$B$40,"B",IF(N1202&gt;=Parâmetros!$B$41,"C","D"))))</f>
        <v>R</v>
      </c>
      <c r="Q1202" s="10" t="str">
        <f aca="false">IF(F1202="","Completar cadastro","")</f>
        <v>Completar cadastro</v>
      </c>
      <c r="R1202" s="10" t="str">
        <f aca="false">INDEX(Parâmetros!$D$39:$D$43,MATCH(P1202,Parâmetros!$A$39:$A$43,0))</f>
        <v>Reciclar: requalificar, reengajar ou encerrar</v>
      </c>
    </row>
    <row r="1203" customFormat="false" ht="15" hidden="false" customHeight="false" outlineLevel="0" collapsed="false">
      <c r="A1203" s="10" t="s">
        <v>1449</v>
      </c>
      <c r="B1203" s="10" t="s">
        <v>71</v>
      </c>
      <c r="C1203" s="10" t="s">
        <v>72</v>
      </c>
      <c r="D1203" s="10" t="s">
        <v>196</v>
      </c>
      <c r="E1203" s="10" t="s">
        <v>50</v>
      </c>
      <c r="F1203" s="10"/>
      <c r="G1203" s="10" t="s">
        <v>162</v>
      </c>
      <c r="H1203" s="30" t="n">
        <v>42948</v>
      </c>
      <c r="I1203" s="8" t="n">
        <f aca="false">INDEX(Parâmetros!$C$13:$C$19,MATCH(E1203,Parâmetros!$A$13:$A$19,0))</f>
        <v>1096</v>
      </c>
      <c r="J1203" s="26" t="n">
        <f aca="false">IF(H1203="","",Parâmetros!$B$5-H1203)</f>
        <v>152</v>
      </c>
      <c r="K1203" s="10" t="n">
        <f aca="false">INDEX(Parâmetros!$D$13:$D$19,MATCH(E1203,Parâmetros!$A$13:$A$19,0))</f>
        <v>29</v>
      </c>
      <c r="L1203" s="10" t="n">
        <f aca="false">IF(G1203="Prospecting",Parâmetros!$B$9,IF(J1203&gt;Parâmetros!$B$6,0,INDEX(Parâmetros!$C$24:$C$26,MATCH(J1203,Parâmetros!$A$24:$A$26,1))))</f>
        <v>0</v>
      </c>
      <c r="M1203" s="31" t="n">
        <f aca="false">IF(G1203="Prospecting",1,INDEX(Parâmetros!$C$32:$C$35,MATCH(J1203,Parâmetros!$A$32:$A$35,1)))</f>
        <v>0.6</v>
      </c>
      <c r="N1203" s="2" t="n">
        <f aca="false">ROUND((K1203+L1203)*M1203,0)</f>
        <v>17</v>
      </c>
      <c r="O1203" s="10" t="str">
        <f aca="false">IF(AND(G1203="Engaging",J1203&gt;Parâmetros!$B$6),"Sim","Não")</f>
        <v>Sim</v>
      </c>
      <c r="P1203" s="32" t="str">
        <f aca="false">IF(O1203="Sim","R",IF(N1203&gt;=Parâmetros!$B$39,"A",IF(N1203&gt;=Parâmetros!$B$40,"B",IF(N1203&gt;=Parâmetros!$B$41,"C","D"))))</f>
        <v>R</v>
      </c>
      <c r="Q1203" s="10" t="str">
        <f aca="false">IF(F1203="","Completar cadastro","")</f>
        <v>Completar cadastro</v>
      </c>
      <c r="R1203" s="10" t="str">
        <f aca="false">INDEX(Parâmetros!$D$39:$D$43,MATCH(P1203,Parâmetros!$A$39:$A$43,0))</f>
        <v>Reciclar: requalificar, reengajar ou encerrar</v>
      </c>
    </row>
    <row r="1204" customFormat="false" ht="15" hidden="false" customHeight="false" outlineLevel="0" collapsed="false">
      <c r="A1204" s="10" t="s">
        <v>1450</v>
      </c>
      <c r="B1204" s="10" t="s">
        <v>71</v>
      </c>
      <c r="C1204" s="10" t="s">
        <v>72</v>
      </c>
      <c r="D1204" s="10" t="s">
        <v>196</v>
      </c>
      <c r="E1204" s="10" t="s">
        <v>50</v>
      </c>
      <c r="F1204" s="10"/>
      <c r="G1204" s="10" t="s">
        <v>162</v>
      </c>
      <c r="H1204" s="30" t="n">
        <v>42948</v>
      </c>
      <c r="I1204" s="8" t="n">
        <f aca="false">INDEX(Parâmetros!$C$13:$C$19,MATCH(E1204,Parâmetros!$A$13:$A$19,0))</f>
        <v>1096</v>
      </c>
      <c r="J1204" s="26" t="n">
        <f aca="false">IF(H1204="","",Parâmetros!$B$5-H1204)</f>
        <v>152</v>
      </c>
      <c r="K1204" s="10" t="n">
        <f aca="false">INDEX(Parâmetros!$D$13:$D$19,MATCH(E1204,Parâmetros!$A$13:$A$19,0))</f>
        <v>29</v>
      </c>
      <c r="L1204" s="10" t="n">
        <f aca="false">IF(G1204="Prospecting",Parâmetros!$B$9,IF(J1204&gt;Parâmetros!$B$6,0,INDEX(Parâmetros!$C$24:$C$26,MATCH(J1204,Parâmetros!$A$24:$A$26,1))))</f>
        <v>0</v>
      </c>
      <c r="M1204" s="31" t="n">
        <f aca="false">IF(G1204="Prospecting",1,INDEX(Parâmetros!$C$32:$C$35,MATCH(J1204,Parâmetros!$A$32:$A$35,1)))</f>
        <v>0.6</v>
      </c>
      <c r="N1204" s="2" t="n">
        <f aca="false">ROUND((K1204+L1204)*M1204,0)</f>
        <v>17</v>
      </c>
      <c r="O1204" s="10" t="str">
        <f aca="false">IF(AND(G1204="Engaging",J1204&gt;Parâmetros!$B$6),"Sim","Não")</f>
        <v>Sim</v>
      </c>
      <c r="P1204" s="32" t="str">
        <f aca="false">IF(O1204="Sim","R",IF(N1204&gt;=Parâmetros!$B$39,"A",IF(N1204&gt;=Parâmetros!$B$40,"B",IF(N1204&gt;=Parâmetros!$B$41,"C","D"))))</f>
        <v>R</v>
      </c>
      <c r="Q1204" s="10" t="str">
        <f aca="false">IF(F1204="","Completar cadastro","")</f>
        <v>Completar cadastro</v>
      </c>
      <c r="R1204" s="10" t="str">
        <f aca="false">INDEX(Parâmetros!$D$39:$D$43,MATCH(P1204,Parâmetros!$A$39:$A$43,0))</f>
        <v>Reciclar: requalificar, reengajar ou encerrar</v>
      </c>
    </row>
    <row r="1205" customFormat="false" ht="15" hidden="false" customHeight="false" outlineLevel="0" collapsed="false">
      <c r="A1205" s="10" t="s">
        <v>1451</v>
      </c>
      <c r="B1205" s="10" t="s">
        <v>79</v>
      </c>
      <c r="C1205" s="10" t="s">
        <v>78</v>
      </c>
      <c r="D1205" s="10" t="s">
        <v>196</v>
      </c>
      <c r="E1205" s="10" t="s">
        <v>50</v>
      </c>
      <c r="F1205" s="10"/>
      <c r="G1205" s="10" t="s">
        <v>162</v>
      </c>
      <c r="H1205" s="30" t="n">
        <v>42948</v>
      </c>
      <c r="I1205" s="8" t="n">
        <f aca="false">INDEX(Parâmetros!$C$13:$C$19,MATCH(E1205,Parâmetros!$A$13:$A$19,0))</f>
        <v>1096</v>
      </c>
      <c r="J1205" s="26" t="n">
        <f aca="false">IF(H1205="","",Parâmetros!$B$5-H1205)</f>
        <v>152</v>
      </c>
      <c r="K1205" s="10" t="n">
        <f aca="false">INDEX(Parâmetros!$D$13:$D$19,MATCH(E1205,Parâmetros!$A$13:$A$19,0))</f>
        <v>29</v>
      </c>
      <c r="L1205" s="10" t="n">
        <f aca="false">IF(G1205="Prospecting",Parâmetros!$B$9,IF(J1205&gt;Parâmetros!$B$6,0,INDEX(Parâmetros!$C$24:$C$26,MATCH(J1205,Parâmetros!$A$24:$A$26,1))))</f>
        <v>0</v>
      </c>
      <c r="M1205" s="31" t="n">
        <f aca="false">IF(G1205="Prospecting",1,INDEX(Parâmetros!$C$32:$C$35,MATCH(J1205,Parâmetros!$A$32:$A$35,1)))</f>
        <v>0.6</v>
      </c>
      <c r="N1205" s="2" t="n">
        <f aca="false">ROUND((K1205+L1205)*M1205,0)</f>
        <v>17</v>
      </c>
      <c r="O1205" s="10" t="str">
        <f aca="false">IF(AND(G1205="Engaging",J1205&gt;Parâmetros!$B$6),"Sim","Não")</f>
        <v>Sim</v>
      </c>
      <c r="P1205" s="32" t="str">
        <f aca="false">IF(O1205="Sim","R",IF(N1205&gt;=Parâmetros!$B$39,"A",IF(N1205&gt;=Parâmetros!$B$40,"B",IF(N1205&gt;=Parâmetros!$B$41,"C","D"))))</f>
        <v>R</v>
      </c>
      <c r="Q1205" s="10" t="str">
        <f aca="false">IF(F1205="","Completar cadastro","")</f>
        <v>Completar cadastro</v>
      </c>
      <c r="R1205" s="10" t="str">
        <f aca="false">INDEX(Parâmetros!$D$39:$D$43,MATCH(P1205,Parâmetros!$A$39:$A$43,0))</f>
        <v>Reciclar: requalificar, reengajar ou encerrar</v>
      </c>
    </row>
    <row r="1206" customFormat="false" ht="15" hidden="false" customHeight="false" outlineLevel="0" collapsed="false">
      <c r="A1206" s="10" t="s">
        <v>1452</v>
      </c>
      <c r="B1206" s="10" t="s">
        <v>67</v>
      </c>
      <c r="C1206" s="10" t="s">
        <v>65</v>
      </c>
      <c r="D1206" s="10" t="s">
        <v>160</v>
      </c>
      <c r="E1206" s="10" t="s">
        <v>50</v>
      </c>
      <c r="F1206" s="10"/>
      <c r="G1206" s="10" t="s">
        <v>162</v>
      </c>
      <c r="H1206" s="30" t="n">
        <v>42948</v>
      </c>
      <c r="I1206" s="8" t="n">
        <f aca="false">INDEX(Parâmetros!$C$13:$C$19,MATCH(E1206,Parâmetros!$A$13:$A$19,0))</f>
        <v>1096</v>
      </c>
      <c r="J1206" s="26" t="n">
        <f aca="false">IF(H1206="","",Parâmetros!$B$5-H1206)</f>
        <v>152</v>
      </c>
      <c r="K1206" s="10" t="n">
        <f aca="false">INDEX(Parâmetros!$D$13:$D$19,MATCH(E1206,Parâmetros!$A$13:$A$19,0))</f>
        <v>29</v>
      </c>
      <c r="L1206" s="10" t="n">
        <f aca="false">IF(G1206="Prospecting",Parâmetros!$B$9,IF(J1206&gt;Parâmetros!$B$6,0,INDEX(Parâmetros!$C$24:$C$26,MATCH(J1206,Parâmetros!$A$24:$A$26,1))))</f>
        <v>0</v>
      </c>
      <c r="M1206" s="31" t="n">
        <f aca="false">IF(G1206="Prospecting",1,INDEX(Parâmetros!$C$32:$C$35,MATCH(J1206,Parâmetros!$A$32:$A$35,1)))</f>
        <v>0.6</v>
      </c>
      <c r="N1206" s="2" t="n">
        <f aca="false">ROUND((K1206+L1206)*M1206,0)</f>
        <v>17</v>
      </c>
      <c r="O1206" s="10" t="str">
        <f aca="false">IF(AND(G1206="Engaging",J1206&gt;Parâmetros!$B$6),"Sim","Não")</f>
        <v>Sim</v>
      </c>
      <c r="P1206" s="32" t="str">
        <f aca="false">IF(O1206="Sim","R",IF(N1206&gt;=Parâmetros!$B$39,"A",IF(N1206&gt;=Parâmetros!$B$40,"B",IF(N1206&gt;=Parâmetros!$B$41,"C","D"))))</f>
        <v>R</v>
      </c>
      <c r="Q1206" s="10" t="str">
        <f aca="false">IF(F1206="","Completar cadastro","")</f>
        <v>Completar cadastro</v>
      </c>
      <c r="R1206" s="10" t="str">
        <f aca="false">INDEX(Parâmetros!$D$39:$D$43,MATCH(P1206,Parâmetros!$A$39:$A$43,0))</f>
        <v>Reciclar: requalificar, reengajar ou encerrar</v>
      </c>
    </row>
    <row r="1207" customFormat="false" ht="15" hidden="false" customHeight="false" outlineLevel="0" collapsed="false">
      <c r="A1207" s="10" t="s">
        <v>1453</v>
      </c>
      <c r="B1207" s="10" t="s">
        <v>83</v>
      </c>
      <c r="C1207" s="10" t="s">
        <v>78</v>
      </c>
      <c r="D1207" s="10" t="s">
        <v>196</v>
      </c>
      <c r="E1207" s="10" t="s">
        <v>50</v>
      </c>
      <c r="F1207" s="10" t="s">
        <v>267</v>
      </c>
      <c r="G1207" s="10" t="s">
        <v>162</v>
      </c>
      <c r="H1207" s="30" t="n">
        <v>42948</v>
      </c>
      <c r="I1207" s="8" t="n">
        <f aca="false">INDEX(Parâmetros!$C$13:$C$19,MATCH(E1207,Parâmetros!$A$13:$A$19,0))</f>
        <v>1096</v>
      </c>
      <c r="J1207" s="26" t="n">
        <f aca="false">IF(H1207="","",Parâmetros!$B$5-H1207)</f>
        <v>152</v>
      </c>
      <c r="K1207" s="10" t="n">
        <f aca="false">INDEX(Parâmetros!$D$13:$D$19,MATCH(E1207,Parâmetros!$A$13:$A$19,0))</f>
        <v>29</v>
      </c>
      <c r="L1207" s="10" t="n">
        <f aca="false">IF(G1207="Prospecting",Parâmetros!$B$9,IF(J1207&gt;Parâmetros!$B$6,0,INDEX(Parâmetros!$C$24:$C$26,MATCH(J1207,Parâmetros!$A$24:$A$26,1))))</f>
        <v>0</v>
      </c>
      <c r="M1207" s="31" t="n">
        <f aca="false">IF(G1207="Prospecting",1,INDEX(Parâmetros!$C$32:$C$35,MATCH(J1207,Parâmetros!$A$32:$A$35,1)))</f>
        <v>0.6</v>
      </c>
      <c r="N1207" s="2" t="n">
        <f aca="false">ROUND((K1207+L1207)*M1207,0)</f>
        <v>17</v>
      </c>
      <c r="O1207" s="10" t="str">
        <f aca="false">IF(AND(G1207="Engaging",J1207&gt;Parâmetros!$B$6),"Sim","Não")</f>
        <v>Sim</v>
      </c>
      <c r="P1207" s="32" t="str">
        <f aca="false">IF(O1207="Sim","R",IF(N1207&gt;=Parâmetros!$B$39,"A",IF(N1207&gt;=Parâmetros!$B$40,"B",IF(N1207&gt;=Parâmetros!$B$41,"C","D"))))</f>
        <v>R</v>
      </c>
      <c r="Q1207" s="10" t="str">
        <f aca="false">IF(F1207="","Completar cadastro","")</f>
        <v/>
      </c>
      <c r="R1207" s="10" t="str">
        <f aca="false">INDEX(Parâmetros!$D$39:$D$43,MATCH(P1207,Parâmetros!$A$39:$A$43,0))</f>
        <v>Reciclar: requalificar, reengajar ou encerrar</v>
      </c>
    </row>
    <row r="1208" customFormat="false" ht="15" hidden="false" customHeight="false" outlineLevel="0" collapsed="false">
      <c r="A1208" s="10" t="s">
        <v>1454</v>
      </c>
      <c r="B1208" s="10" t="s">
        <v>83</v>
      </c>
      <c r="C1208" s="10" t="s">
        <v>78</v>
      </c>
      <c r="D1208" s="10" t="s">
        <v>196</v>
      </c>
      <c r="E1208" s="10" t="s">
        <v>50</v>
      </c>
      <c r="F1208" s="10" t="s">
        <v>279</v>
      </c>
      <c r="G1208" s="10" t="s">
        <v>162</v>
      </c>
      <c r="H1208" s="30" t="n">
        <v>42950</v>
      </c>
      <c r="I1208" s="8" t="n">
        <f aca="false">INDEX(Parâmetros!$C$13:$C$19,MATCH(E1208,Parâmetros!$A$13:$A$19,0))</f>
        <v>1096</v>
      </c>
      <c r="J1208" s="26" t="n">
        <f aca="false">IF(H1208="","",Parâmetros!$B$5-H1208)</f>
        <v>150</v>
      </c>
      <c r="K1208" s="10" t="n">
        <f aca="false">INDEX(Parâmetros!$D$13:$D$19,MATCH(E1208,Parâmetros!$A$13:$A$19,0))</f>
        <v>29</v>
      </c>
      <c r="L1208" s="10" t="n">
        <f aca="false">IF(G1208="Prospecting",Parâmetros!$B$9,IF(J1208&gt;Parâmetros!$B$6,0,INDEX(Parâmetros!$C$24:$C$26,MATCH(J1208,Parâmetros!$A$24:$A$26,1))))</f>
        <v>0</v>
      </c>
      <c r="M1208" s="31" t="n">
        <f aca="false">IF(G1208="Prospecting",1,INDEX(Parâmetros!$C$32:$C$35,MATCH(J1208,Parâmetros!$A$32:$A$35,1)))</f>
        <v>0.6</v>
      </c>
      <c r="N1208" s="2" t="n">
        <f aca="false">ROUND((K1208+L1208)*M1208,0)</f>
        <v>17</v>
      </c>
      <c r="O1208" s="10" t="str">
        <f aca="false">IF(AND(G1208="Engaging",J1208&gt;Parâmetros!$B$6),"Sim","Não")</f>
        <v>Sim</v>
      </c>
      <c r="P1208" s="32" t="str">
        <f aca="false">IF(O1208="Sim","R",IF(N1208&gt;=Parâmetros!$B$39,"A",IF(N1208&gt;=Parâmetros!$B$40,"B",IF(N1208&gt;=Parâmetros!$B$41,"C","D"))))</f>
        <v>R</v>
      </c>
      <c r="Q1208" s="10" t="str">
        <f aca="false">IF(F1208="","Completar cadastro","")</f>
        <v/>
      </c>
      <c r="R1208" s="10" t="str">
        <f aca="false">INDEX(Parâmetros!$D$39:$D$43,MATCH(P1208,Parâmetros!$A$39:$A$43,0))</f>
        <v>Reciclar: requalificar, reengajar ou encerrar</v>
      </c>
    </row>
    <row r="1209" customFormat="false" ht="15" hidden="false" customHeight="false" outlineLevel="0" collapsed="false">
      <c r="A1209" s="10" t="s">
        <v>1455</v>
      </c>
      <c r="B1209" s="10" t="s">
        <v>87</v>
      </c>
      <c r="C1209" s="10" t="s">
        <v>85</v>
      </c>
      <c r="D1209" s="10" t="s">
        <v>165</v>
      </c>
      <c r="E1209" s="10" t="s">
        <v>50</v>
      </c>
      <c r="F1209" s="10"/>
      <c r="G1209" s="10" t="s">
        <v>162</v>
      </c>
      <c r="H1209" s="30" t="n">
        <v>42951</v>
      </c>
      <c r="I1209" s="8" t="n">
        <f aca="false">INDEX(Parâmetros!$C$13:$C$19,MATCH(E1209,Parâmetros!$A$13:$A$19,0))</f>
        <v>1096</v>
      </c>
      <c r="J1209" s="26" t="n">
        <f aca="false">IF(H1209="","",Parâmetros!$B$5-H1209)</f>
        <v>149</v>
      </c>
      <c r="K1209" s="10" t="n">
        <f aca="false">INDEX(Parâmetros!$D$13:$D$19,MATCH(E1209,Parâmetros!$A$13:$A$19,0))</f>
        <v>29</v>
      </c>
      <c r="L1209" s="10" t="n">
        <f aca="false">IF(G1209="Prospecting",Parâmetros!$B$9,IF(J1209&gt;Parâmetros!$B$6,0,INDEX(Parâmetros!$C$24:$C$26,MATCH(J1209,Parâmetros!$A$24:$A$26,1))))</f>
        <v>0</v>
      </c>
      <c r="M1209" s="31" t="n">
        <f aca="false">IF(G1209="Prospecting",1,INDEX(Parâmetros!$C$32:$C$35,MATCH(J1209,Parâmetros!$A$32:$A$35,1)))</f>
        <v>0.6</v>
      </c>
      <c r="N1209" s="2" t="n">
        <f aca="false">ROUND((K1209+L1209)*M1209,0)</f>
        <v>17</v>
      </c>
      <c r="O1209" s="10" t="str">
        <f aca="false">IF(AND(G1209="Engaging",J1209&gt;Parâmetros!$B$6),"Sim","Não")</f>
        <v>Sim</v>
      </c>
      <c r="P1209" s="32" t="str">
        <f aca="false">IF(O1209="Sim","R",IF(N1209&gt;=Parâmetros!$B$39,"A",IF(N1209&gt;=Parâmetros!$B$40,"B",IF(N1209&gt;=Parâmetros!$B$41,"C","D"))))</f>
        <v>R</v>
      </c>
      <c r="Q1209" s="10" t="str">
        <f aca="false">IF(F1209="","Completar cadastro","")</f>
        <v>Completar cadastro</v>
      </c>
      <c r="R1209" s="10" t="str">
        <f aca="false">INDEX(Parâmetros!$D$39:$D$43,MATCH(P1209,Parâmetros!$A$39:$A$43,0))</f>
        <v>Reciclar: requalificar, reengajar ou encerrar</v>
      </c>
    </row>
    <row r="1210" customFormat="false" ht="15" hidden="false" customHeight="false" outlineLevel="0" collapsed="false">
      <c r="A1210" s="10" t="s">
        <v>1456</v>
      </c>
      <c r="B1210" s="10" t="s">
        <v>80</v>
      </c>
      <c r="C1210" s="10" t="s">
        <v>78</v>
      </c>
      <c r="D1210" s="10" t="s">
        <v>196</v>
      </c>
      <c r="E1210" s="10" t="s">
        <v>50</v>
      </c>
      <c r="F1210" s="10"/>
      <c r="G1210" s="10" t="s">
        <v>162</v>
      </c>
      <c r="H1210" s="30" t="n">
        <v>42951</v>
      </c>
      <c r="I1210" s="8" t="n">
        <f aca="false">INDEX(Parâmetros!$C$13:$C$19,MATCH(E1210,Parâmetros!$A$13:$A$19,0))</f>
        <v>1096</v>
      </c>
      <c r="J1210" s="26" t="n">
        <f aca="false">IF(H1210="","",Parâmetros!$B$5-H1210)</f>
        <v>149</v>
      </c>
      <c r="K1210" s="10" t="n">
        <f aca="false">INDEX(Parâmetros!$D$13:$D$19,MATCH(E1210,Parâmetros!$A$13:$A$19,0))</f>
        <v>29</v>
      </c>
      <c r="L1210" s="10" t="n">
        <f aca="false">IF(G1210="Prospecting",Parâmetros!$B$9,IF(J1210&gt;Parâmetros!$B$6,0,INDEX(Parâmetros!$C$24:$C$26,MATCH(J1210,Parâmetros!$A$24:$A$26,1))))</f>
        <v>0</v>
      </c>
      <c r="M1210" s="31" t="n">
        <f aca="false">IF(G1210="Prospecting",1,INDEX(Parâmetros!$C$32:$C$35,MATCH(J1210,Parâmetros!$A$32:$A$35,1)))</f>
        <v>0.6</v>
      </c>
      <c r="N1210" s="2" t="n">
        <f aca="false">ROUND((K1210+L1210)*M1210,0)</f>
        <v>17</v>
      </c>
      <c r="O1210" s="10" t="str">
        <f aca="false">IF(AND(G1210="Engaging",J1210&gt;Parâmetros!$B$6),"Sim","Não")</f>
        <v>Sim</v>
      </c>
      <c r="P1210" s="32" t="str">
        <f aca="false">IF(O1210="Sim","R",IF(N1210&gt;=Parâmetros!$B$39,"A",IF(N1210&gt;=Parâmetros!$B$40,"B",IF(N1210&gt;=Parâmetros!$B$41,"C","D"))))</f>
        <v>R</v>
      </c>
      <c r="Q1210" s="10" t="str">
        <f aca="false">IF(F1210="","Completar cadastro","")</f>
        <v>Completar cadastro</v>
      </c>
      <c r="R1210" s="10" t="str">
        <f aca="false">INDEX(Parâmetros!$D$39:$D$43,MATCH(P1210,Parâmetros!$A$39:$A$43,0))</f>
        <v>Reciclar: requalificar, reengajar ou encerrar</v>
      </c>
    </row>
    <row r="1211" customFormat="false" ht="15" hidden="false" customHeight="false" outlineLevel="0" collapsed="false">
      <c r="A1211" s="10" t="s">
        <v>1457</v>
      </c>
      <c r="B1211" s="10" t="s">
        <v>83</v>
      </c>
      <c r="C1211" s="10" t="s">
        <v>78</v>
      </c>
      <c r="D1211" s="10" t="s">
        <v>196</v>
      </c>
      <c r="E1211" s="10" t="s">
        <v>50</v>
      </c>
      <c r="F1211" s="10" t="s">
        <v>161</v>
      </c>
      <c r="G1211" s="10" t="s">
        <v>162</v>
      </c>
      <c r="H1211" s="30" t="n">
        <v>42951</v>
      </c>
      <c r="I1211" s="8" t="n">
        <f aca="false">INDEX(Parâmetros!$C$13:$C$19,MATCH(E1211,Parâmetros!$A$13:$A$19,0))</f>
        <v>1096</v>
      </c>
      <c r="J1211" s="26" t="n">
        <f aca="false">IF(H1211="","",Parâmetros!$B$5-H1211)</f>
        <v>149</v>
      </c>
      <c r="K1211" s="10" t="n">
        <f aca="false">INDEX(Parâmetros!$D$13:$D$19,MATCH(E1211,Parâmetros!$A$13:$A$19,0))</f>
        <v>29</v>
      </c>
      <c r="L1211" s="10" t="n">
        <f aca="false">IF(G1211="Prospecting",Parâmetros!$B$9,IF(J1211&gt;Parâmetros!$B$6,0,INDEX(Parâmetros!$C$24:$C$26,MATCH(J1211,Parâmetros!$A$24:$A$26,1))))</f>
        <v>0</v>
      </c>
      <c r="M1211" s="31" t="n">
        <f aca="false">IF(G1211="Prospecting",1,INDEX(Parâmetros!$C$32:$C$35,MATCH(J1211,Parâmetros!$A$32:$A$35,1)))</f>
        <v>0.6</v>
      </c>
      <c r="N1211" s="2" t="n">
        <f aca="false">ROUND((K1211+L1211)*M1211,0)</f>
        <v>17</v>
      </c>
      <c r="O1211" s="10" t="str">
        <f aca="false">IF(AND(G1211="Engaging",J1211&gt;Parâmetros!$B$6),"Sim","Não")</f>
        <v>Sim</v>
      </c>
      <c r="P1211" s="32" t="str">
        <f aca="false">IF(O1211="Sim","R",IF(N1211&gt;=Parâmetros!$B$39,"A",IF(N1211&gt;=Parâmetros!$B$40,"B",IF(N1211&gt;=Parâmetros!$B$41,"C","D"))))</f>
        <v>R</v>
      </c>
      <c r="Q1211" s="10" t="str">
        <f aca="false">IF(F1211="","Completar cadastro","")</f>
        <v/>
      </c>
      <c r="R1211" s="10" t="str">
        <f aca="false">INDEX(Parâmetros!$D$39:$D$43,MATCH(P1211,Parâmetros!$A$39:$A$43,0))</f>
        <v>Reciclar: requalificar, reengajar ou encerrar</v>
      </c>
    </row>
    <row r="1212" customFormat="false" ht="15" hidden="false" customHeight="false" outlineLevel="0" collapsed="false">
      <c r="A1212" s="10" t="s">
        <v>1458</v>
      </c>
      <c r="B1212" s="10" t="s">
        <v>75</v>
      </c>
      <c r="C1212" s="10" t="s">
        <v>72</v>
      </c>
      <c r="D1212" s="10" t="s">
        <v>196</v>
      </c>
      <c r="E1212" s="10" t="s">
        <v>50</v>
      </c>
      <c r="F1212" s="10" t="s">
        <v>193</v>
      </c>
      <c r="G1212" s="10" t="s">
        <v>162</v>
      </c>
      <c r="H1212" s="30" t="n">
        <v>42952</v>
      </c>
      <c r="I1212" s="8" t="n">
        <f aca="false">INDEX(Parâmetros!$C$13:$C$19,MATCH(E1212,Parâmetros!$A$13:$A$19,0))</f>
        <v>1096</v>
      </c>
      <c r="J1212" s="26" t="n">
        <f aca="false">IF(H1212="","",Parâmetros!$B$5-H1212)</f>
        <v>148</v>
      </c>
      <c r="K1212" s="10" t="n">
        <f aca="false">INDEX(Parâmetros!$D$13:$D$19,MATCH(E1212,Parâmetros!$A$13:$A$19,0))</f>
        <v>29</v>
      </c>
      <c r="L1212" s="10" t="n">
        <f aca="false">IF(G1212="Prospecting",Parâmetros!$B$9,IF(J1212&gt;Parâmetros!$B$6,0,INDEX(Parâmetros!$C$24:$C$26,MATCH(J1212,Parâmetros!$A$24:$A$26,1))))</f>
        <v>0</v>
      </c>
      <c r="M1212" s="31" t="n">
        <f aca="false">IF(G1212="Prospecting",1,INDEX(Parâmetros!$C$32:$C$35,MATCH(J1212,Parâmetros!$A$32:$A$35,1)))</f>
        <v>0.6</v>
      </c>
      <c r="N1212" s="2" t="n">
        <f aca="false">ROUND((K1212+L1212)*M1212,0)</f>
        <v>17</v>
      </c>
      <c r="O1212" s="10" t="str">
        <f aca="false">IF(AND(G1212="Engaging",J1212&gt;Parâmetros!$B$6),"Sim","Não")</f>
        <v>Sim</v>
      </c>
      <c r="P1212" s="32" t="str">
        <f aca="false">IF(O1212="Sim","R",IF(N1212&gt;=Parâmetros!$B$39,"A",IF(N1212&gt;=Parâmetros!$B$40,"B",IF(N1212&gt;=Parâmetros!$B$41,"C","D"))))</f>
        <v>R</v>
      </c>
      <c r="Q1212" s="10" t="str">
        <f aca="false">IF(F1212="","Completar cadastro","")</f>
        <v/>
      </c>
      <c r="R1212" s="10" t="str">
        <f aca="false">INDEX(Parâmetros!$D$39:$D$43,MATCH(P1212,Parâmetros!$A$39:$A$43,0))</f>
        <v>Reciclar: requalificar, reengajar ou encerrar</v>
      </c>
    </row>
    <row r="1213" customFormat="false" ht="15" hidden="false" customHeight="false" outlineLevel="0" collapsed="false">
      <c r="A1213" s="10" t="s">
        <v>1459</v>
      </c>
      <c r="B1213" s="10" t="s">
        <v>71</v>
      </c>
      <c r="C1213" s="10" t="s">
        <v>72</v>
      </c>
      <c r="D1213" s="10" t="s">
        <v>196</v>
      </c>
      <c r="E1213" s="10" t="s">
        <v>50</v>
      </c>
      <c r="F1213" s="10" t="s">
        <v>233</v>
      </c>
      <c r="G1213" s="10" t="s">
        <v>162</v>
      </c>
      <c r="H1213" s="30" t="n">
        <v>42954</v>
      </c>
      <c r="I1213" s="8" t="n">
        <f aca="false">INDEX(Parâmetros!$C$13:$C$19,MATCH(E1213,Parâmetros!$A$13:$A$19,0))</f>
        <v>1096</v>
      </c>
      <c r="J1213" s="26" t="n">
        <f aca="false">IF(H1213="","",Parâmetros!$B$5-H1213)</f>
        <v>146</v>
      </c>
      <c r="K1213" s="10" t="n">
        <f aca="false">INDEX(Parâmetros!$D$13:$D$19,MATCH(E1213,Parâmetros!$A$13:$A$19,0))</f>
        <v>29</v>
      </c>
      <c r="L1213" s="10" t="n">
        <f aca="false">IF(G1213="Prospecting",Parâmetros!$B$9,IF(J1213&gt;Parâmetros!$B$6,0,INDEX(Parâmetros!$C$24:$C$26,MATCH(J1213,Parâmetros!$A$24:$A$26,1))))</f>
        <v>0</v>
      </c>
      <c r="M1213" s="31" t="n">
        <f aca="false">IF(G1213="Prospecting",1,INDEX(Parâmetros!$C$32:$C$35,MATCH(J1213,Parâmetros!$A$32:$A$35,1)))</f>
        <v>0.6</v>
      </c>
      <c r="N1213" s="2" t="n">
        <f aca="false">ROUND((K1213+L1213)*M1213,0)</f>
        <v>17</v>
      </c>
      <c r="O1213" s="10" t="str">
        <f aca="false">IF(AND(G1213="Engaging",J1213&gt;Parâmetros!$B$6),"Sim","Não")</f>
        <v>Sim</v>
      </c>
      <c r="P1213" s="32" t="str">
        <f aca="false">IF(O1213="Sim","R",IF(N1213&gt;=Parâmetros!$B$39,"A",IF(N1213&gt;=Parâmetros!$B$40,"B",IF(N1213&gt;=Parâmetros!$B$41,"C","D"))))</f>
        <v>R</v>
      </c>
      <c r="Q1213" s="10" t="str">
        <f aca="false">IF(F1213="","Completar cadastro","")</f>
        <v/>
      </c>
      <c r="R1213" s="10" t="str">
        <f aca="false">INDEX(Parâmetros!$D$39:$D$43,MATCH(P1213,Parâmetros!$A$39:$A$43,0))</f>
        <v>Reciclar: requalificar, reengajar ou encerrar</v>
      </c>
    </row>
    <row r="1214" customFormat="false" ht="15" hidden="false" customHeight="false" outlineLevel="0" collapsed="false">
      <c r="A1214" s="10" t="s">
        <v>1460</v>
      </c>
      <c r="B1214" s="10" t="s">
        <v>68</v>
      </c>
      <c r="C1214" s="10" t="s">
        <v>65</v>
      </c>
      <c r="D1214" s="10" t="s">
        <v>160</v>
      </c>
      <c r="E1214" s="10" t="s">
        <v>50</v>
      </c>
      <c r="F1214" s="10"/>
      <c r="G1214" s="10" t="s">
        <v>162</v>
      </c>
      <c r="H1214" s="30" t="n">
        <v>42954</v>
      </c>
      <c r="I1214" s="8" t="n">
        <f aca="false">INDEX(Parâmetros!$C$13:$C$19,MATCH(E1214,Parâmetros!$A$13:$A$19,0))</f>
        <v>1096</v>
      </c>
      <c r="J1214" s="26" t="n">
        <f aca="false">IF(H1214="","",Parâmetros!$B$5-H1214)</f>
        <v>146</v>
      </c>
      <c r="K1214" s="10" t="n">
        <f aca="false">INDEX(Parâmetros!$D$13:$D$19,MATCH(E1214,Parâmetros!$A$13:$A$19,0))</f>
        <v>29</v>
      </c>
      <c r="L1214" s="10" t="n">
        <f aca="false">IF(G1214="Prospecting",Parâmetros!$B$9,IF(J1214&gt;Parâmetros!$B$6,0,INDEX(Parâmetros!$C$24:$C$26,MATCH(J1214,Parâmetros!$A$24:$A$26,1))))</f>
        <v>0</v>
      </c>
      <c r="M1214" s="31" t="n">
        <f aca="false">IF(G1214="Prospecting",1,INDEX(Parâmetros!$C$32:$C$35,MATCH(J1214,Parâmetros!$A$32:$A$35,1)))</f>
        <v>0.6</v>
      </c>
      <c r="N1214" s="2" t="n">
        <f aca="false">ROUND((K1214+L1214)*M1214,0)</f>
        <v>17</v>
      </c>
      <c r="O1214" s="10" t="str">
        <f aca="false">IF(AND(G1214="Engaging",J1214&gt;Parâmetros!$B$6),"Sim","Não")</f>
        <v>Sim</v>
      </c>
      <c r="P1214" s="32" t="str">
        <f aca="false">IF(O1214="Sim","R",IF(N1214&gt;=Parâmetros!$B$39,"A",IF(N1214&gt;=Parâmetros!$B$40,"B",IF(N1214&gt;=Parâmetros!$B$41,"C","D"))))</f>
        <v>R</v>
      </c>
      <c r="Q1214" s="10" t="str">
        <f aca="false">IF(F1214="","Completar cadastro","")</f>
        <v>Completar cadastro</v>
      </c>
      <c r="R1214" s="10" t="str">
        <f aca="false">INDEX(Parâmetros!$D$39:$D$43,MATCH(P1214,Parâmetros!$A$39:$A$43,0))</f>
        <v>Reciclar: requalificar, reengajar ou encerrar</v>
      </c>
    </row>
    <row r="1215" customFormat="false" ht="15" hidden="false" customHeight="false" outlineLevel="0" collapsed="false">
      <c r="A1215" s="10" t="s">
        <v>1461</v>
      </c>
      <c r="B1215" s="10" t="s">
        <v>83</v>
      </c>
      <c r="C1215" s="10" t="s">
        <v>78</v>
      </c>
      <c r="D1215" s="10" t="s">
        <v>196</v>
      </c>
      <c r="E1215" s="10" t="s">
        <v>50</v>
      </c>
      <c r="F1215" s="10" t="s">
        <v>947</v>
      </c>
      <c r="G1215" s="10" t="s">
        <v>162</v>
      </c>
      <c r="H1215" s="30" t="n">
        <v>42954</v>
      </c>
      <c r="I1215" s="8" t="n">
        <f aca="false">INDEX(Parâmetros!$C$13:$C$19,MATCH(E1215,Parâmetros!$A$13:$A$19,0))</f>
        <v>1096</v>
      </c>
      <c r="J1215" s="26" t="n">
        <f aca="false">IF(H1215="","",Parâmetros!$B$5-H1215)</f>
        <v>146</v>
      </c>
      <c r="K1215" s="10" t="n">
        <f aca="false">INDEX(Parâmetros!$D$13:$D$19,MATCH(E1215,Parâmetros!$A$13:$A$19,0))</f>
        <v>29</v>
      </c>
      <c r="L1215" s="10" t="n">
        <f aca="false">IF(G1215="Prospecting",Parâmetros!$B$9,IF(J1215&gt;Parâmetros!$B$6,0,INDEX(Parâmetros!$C$24:$C$26,MATCH(J1215,Parâmetros!$A$24:$A$26,1))))</f>
        <v>0</v>
      </c>
      <c r="M1215" s="31" t="n">
        <f aca="false">IF(G1215="Prospecting",1,INDEX(Parâmetros!$C$32:$C$35,MATCH(J1215,Parâmetros!$A$32:$A$35,1)))</f>
        <v>0.6</v>
      </c>
      <c r="N1215" s="2" t="n">
        <f aca="false">ROUND((K1215+L1215)*M1215,0)</f>
        <v>17</v>
      </c>
      <c r="O1215" s="10" t="str">
        <f aca="false">IF(AND(G1215="Engaging",J1215&gt;Parâmetros!$B$6),"Sim","Não")</f>
        <v>Sim</v>
      </c>
      <c r="P1215" s="32" t="str">
        <f aca="false">IF(O1215="Sim","R",IF(N1215&gt;=Parâmetros!$B$39,"A",IF(N1215&gt;=Parâmetros!$B$40,"B",IF(N1215&gt;=Parâmetros!$B$41,"C","D"))))</f>
        <v>R</v>
      </c>
      <c r="Q1215" s="10" t="str">
        <f aca="false">IF(F1215="","Completar cadastro","")</f>
        <v/>
      </c>
      <c r="R1215" s="10" t="str">
        <f aca="false">INDEX(Parâmetros!$D$39:$D$43,MATCH(P1215,Parâmetros!$A$39:$A$43,0))</f>
        <v>Reciclar: requalificar, reengajar ou encerrar</v>
      </c>
    </row>
    <row r="1216" customFormat="false" ht="15" hidden="false" customHeight="false" outlineLevel="0" collapsed="false">
      <c r="A1216" s="10" t="s">
        <v>1462</v>
      </c>
      <c r="B1216" s="10" t="s">
        <v>77</v>
      </c>
      <c r="C1216" s="10" t="s">
        <v>78</v>
      </c>
      <c r="D1216" s="10" t="s">
        <v>196</v>
      </c>
      <c r="E1216" s="10" t="s">
        <v>50</v>
      </c>
      <c r="F1216" s="10" t="s">
        <v>172</v>
      </c>
      <c r="G1216" s="10" t="s">
        <v>162</v>
      </c>
      <c r="H1216" s="30" t="n">
        <v>42956</v>
      </c>
      <c r="I1216" s="8" t="n">
        <f aca="false">INDEX(Parâmetros!$C$13:$C$19,MATCH(E1216,Parâmetros!$A$13:$A$19,0))</f>
        <v>1096</v>
      </c>
      <c r="J1216" s="26" t="n">
        <f aca="false">IF(H1216="","",Parâmetros!$B$5-H1216)</f>
        <v>144</v>
      </c>
      <c r="K1216" s="10" t="n">
        <f aca="false">INDEX(Parâmetros!$D$13:$D$19,MATCH(E1216,Parâmetros!$A$13:$A$19,0))</f>
        <v>29</v>
      </c>
      <c r="L1216" s="10" t="n">
        <f aca="false">IF(G1216="Prospecting",Parâmetros!$B$9,IF(J1216&gt;Parâmetros!$B$6,0,INDEX(Parâmetros!$C$24:$C$26,MATCH(J1216,Parâmetros!$A$24:$A$26,1))))</f>
        <v>0</v>
      </c>
      <c r="M1216" s="31" t="n">
        <f aca="false">IF(G1216="Prospecting",1,INDEX(Parâmetros!$C$32:$C$35,MATCH(J1216,Parâmetros!$A$32:$A$35,1)))</f>
        <v>0.6</v>
      </c>
      <c r="N1216" s="2" t="n">
        <f aca="false">ROUND((K1216+L1216)*M1216,0)</f>
        <v>17</v>
      </c>
      <c r="O1216" s="10" t="str">
        <f aca="false">IF(AND(G1216="Engaging",J1216&gt;Parâmetros!$B$6),"Sim","Não")</f>
        <v>Sim</v>
      </c>
      <c r="P1216" s="32" t="str">
        <f aca="false">IF(O1216="Sim","R",IF(N1216&gt;=Parâmetros!$B$39,"A",IF(N1216&gt;=Parâmetros!$B$40,"B",IF(N1216&gt;=Parâmetros!$B$41,"C","D"))))</f>
        <v>R</v>
      </c>
      <c r="Q1216" s="10" t="str">
        <f aca="false">IF(F1216="","Completar cadastro","")</f>
        <v/>
      </c>
      <c r="R1216" s="10" t="str">
        <f aca="false">INDEX(Parâmetros!$D$39:$D$43,MATCH(P1216,Parâmetros!$A$39:$A$43,0))</f>
        <v>Reciclar: requalificar, reengajar ou encerrar</v>
      </c>
    </row>
    <row r="1217" customFormat="false" ht="15" hidden="false" customHeight="false" outlineLevel="0" collapsed="false">
      <c r="A1217" s="10" t="s">
        <v>1463</v>
      </c>
      <c r="B1217" s="10" t="s">
        <v>67</v>
      </c>
      <c r="C1217" s="10" t="s">
        <v>65</v>
      </c>
      <c r="D1217" s="10" t="s">
        <v>160</v>
      </c>
      <c r="E1217" s="10" t="s">
        <v>50</v>
      </c>
      <c r="F1217" s="10"/>
      <c r="G1217" s="10" t="s">
        <v>162</v>
      </c>
      <c r="H1217" s="30" t="n">
        <v>42957</v>
      </c>
      <c r="I1217" s="8" t="n">
        <f aca="false">INDEX(Parâmetros!$C$13:$C$19,MATCH(E1217,Parâmetros!$A$13:$A$19,0))</f>
        <v>1096</v>
      </c>
      <c r="J1217" s="26" t="n">
        <f aca="false">IF(H1217="","",Parâmetros!$B$5-H1217)</f>
        <v>143</v>
      </c>
      <c r="K1217" s="10" t="n">
        <f aca="false">INDEX(Parâmetros!$D$13:$D$19,MATCH(E1217,Parâmetros!$A$13:$A$19,0))</f>
        <v>29</v>
      </c>
      <c r="L1217" s="10" t="n">
        <f aca="false">IF(G1217="Prospecting",Parâmetros!$B$9,IF(J1217&gt;Parâmetros!$B$6,0,INDEX(Parâmetros!$C$24:$C$26,MATCH(J1217,Parâmetros!$A$24:$A$26,1))))</f>
        <v>0</v>
      </c>
      <c r="M1217" s="31" t="n">
        <f aca="false">IF(G1217="Prospecting",1,INDEX(Parâmetros!$C$32:$C$35,MATCH(J1217,Parâmetros!$A$32:$A$35,1)))</f>
        <v>0.6</v>
      </c>
      <c r="N1217" s="2" t="n">
        <f aca="false">ROUND((K1217+L1217)*M1217,0)</f>
        <v>17</v>
      </c>
      <c r="O1217" s="10" t="str">
        <f aca="false">IF(AND(G1217="Engaging",J1217&gt;Parâmetros!$B$6),"Sim","Não")</f>
        <v>Sim</v>
      </c>
      <c r="P1217" s="32" t="str">
        <f aca="false">IF(O1217="Sim","R",IF(N1217&gt;=Parâmetros!$B$39,"A",IF(N1217&gt;=Parâmetros!$B$40,"B",IF(N1217&gt;=Parâmetros!$B$41,"C","D"))))</f>
        <v>R</v>
      </c>
      <c r="Q1217" s="10" t="str">
        <f aca="false">IF(F1217="","Completar cadastro","")</f>
        <v>Completar cadastro</v>
      </c>
      <c r="R1217" s="10" t="str">
        <f aca="false">INDEX(Parâmetros!$D$39:$D$43,MATCH(P1217,Parâmetros!$A$39:$A$43,0))</f>
        <v>Reciclar: requalificar, reengajar ou encerrar</v>
      </c>
    </row>
    <row r="1218" customFormat="false" ht="15" hidden="false" customHeight="false" outlineLevel="0" collapsed="false">
      <c r="A1218" s="10" t="s">
        <v>1464</v>
      </c>
      <c r="B1218" s="10" t="s">
        <v>74</v>
      </c>
      <c r="C1218" s="10" t="s">
        <v>72</v>
      </c>
      <c r="D1218" s="10" t="s">
        <v>196</v>
      </c>
      <c r="E1218" s="10" t="s">
        <v>50</v>
      </c>
      <c r="F1218" s="10"/>
      <c r="G1218" s="10" t="s">
        <v>162</v>
      </c>
      <c r="H1218" s="30" t="n">
        <v>42957</v>
      </c>
      <c r="I1218" s="8" t="n">
        <f aca="false">INDEX(Parâmetros!$C$13:$C$19,MATCH(E1218,Parâmetros!$A$13:$A$19,0))</f>
        <v>1096</v>
      </c>
      <c r="J1218" s="26" t="n">
        <f aca="false">IF(H1218="","",Parâmetros!$B$5-H1218)</f>
        <v>143</v>
      </c>
      <c r="K1218" s="10" t="n">
        <f aca="false">INDEX(Parâmetros!$D$13:$D$19,MATCH(E1218,Parâmetros!$A$13:$A$19,0))</f>
        <v>29</v>
      </c>
      <c r="L1218" s="10" t="n">
        <f aca="false">IF(G1218="Prospecting",Parâmetros!$B$9,IF(J1218&gt;Parâmetros!$B$6,0,INDEX(Parâmetros!$C$24:$C$26,MATCH(J1218,Parâmetros!$A$24:$A$26,1))))</f>
        <v>0</v>
      </c>
      <c r="M1218" s="31" t="n">
        <f aca="false">IF(G1218="Prospecting",1,INDEX(Parâmetros!$C$32:$C$35,MATCH(J1218,Parâmetros!$A$32:$A$35,1)))</f>
        <v>0.6</v>
      </c>
      <c r="N1218" s="2" t="n">
        <f aca="false">ROUND((K1218+L1218)*M1218,0)</f>
        <v>17</v>
      </c>
      <c r="O1218" s="10" t="str">
        <f aca="false">IF(AND(G1218="Engaging",J1218&gt;Parâmetros!$B$6),"Sim","Não")</f>
        <v>Sim</v>
      </c>
      <c r="P1218" s="32" t="str">
        <f aca="false">IF(O1218="Sim","R",IF(N1218&gt;=Parâmetros!$B$39,"A",IF(N1218&gt;=Parâmetros!$B$40,"B",IF(N1218&gt;=Parâmetros!$B$41,"C","D"))))</f>
        <v>R</v>
      </c>
      <c r="Q1218" s="10" t="str">
        <f aca="false">IF(F1218="","Completar cadastro","")</f>
        <v>Completar cadastro</v>
      </c>
      <c r="R1218" s="10" t="str">
        <f aca="false">INDEX(Parâmetros!$D$39:$D$43,MATCH(P1218,Parâmetros!$A$39:$A$43,0))</f>
        <v>Reciclar: requalificar, reengajar ou encerrar</v>
      </c>
    </row>
    <row r="1219" customFormat="false" ht="15" hidden="false" customHeight="false" outlineLevel="0" collapsed="false">
      <c r="A1219" s="10" t="s">
        <v>1465</v>
      </c>
      <c r="B1219" s="10" t="s">
        <v>83</v>
      </c>
      <c r="C1219" s="10" t="s">
        <v>78</v>
      </c>
      <c r="D1219" s="10" t="s">
        <v>196</v>
      </c>
      <c r="E1219" s="10" t="s">
        <v>50</v>
      </c>
      <c r="F1219" s="10"/>
      <c r="G1219" s="10" t="s">
        <v>162</v>
      </c>
      <c r="H1219" s="30" t="n">
        <v>42957</v>
      </c>
      <c r="I1219" s="8" t="n">
        <f aca="false">INDEX(Parâmetros!$C$13:$C$19,MATCH(E1219,Parâmetros!$A$13:$A$19,0))</f>
        <v>1096</v>
      </c>
      <c r="J1219" s="26" t="n">
        <f aca="false">IF(H1219="","",Parâmetros!$B$5-H1219)</f>
        <v>143</v>
      </c>
      <c r="K1219" s="10" t="n">
        <f aca="false">INDEX(Parâmetros!$D$13:$D$19,MATCH(E1219,Parâmetros!$A$13:$A$19,0))</f>
        <v>29</v>
      </c>
      <c r="L1219" s="10" t="n">
        <f aca="false">IF(G1219="Prospecting",Parâmetros!$B$9,IF(J1219&gt;Parâmetros!$B$6,0,INDEX(Parâmetros!$C$24:$C$26,MATCH(J1219,Parâmetros!$A$24:$A$26,1))))</f>
        <v>0</v>
      </c>
      <c r="M1219" s="31" t="n">
        <f aca="false">IF(G1219="Prospecting",1,INDEX(Parâmetros!$C$32:$C$35,MATCH(J1219,Parâmetros!$A$32:$A$35,1)))</f>
        <v>0.6</v>
      </c>
      <c r="N1219" s="2" t="n">
        <f aca="false">ROUND((K1219+L1219)*M1219,0)</f>
        <v>17</v>
      </c>
      <c r="O1219" s="10" t="str">
        <f aca="false">IF(AND(G1219="Engaging",J1219&gt;Parâmetros!$B$6),"Sim","Não")</f>
        <v>Sim</v>
      </c>
      <c r="P1219" s="32" t="str">
        <f aca="false">IF(O1219="Sim","R",IF(N1219&gt;=Parâmetros!$B$39,"A",IF(N1219&gt;=Parâmetros!$B$40,"B",IF(N1219&gt;=Parâmetros!$B$41,"C","D"))))</f>
        <v>R</v>
      </c>
      <c r="Q1219" s="10" t="str">
        <f aca="false">IF(F1219="","Completar cadastro","")</f>
        <v>Completar cadastro</v>
      </c>
      <c r="R1219" s="10" t="str">
        <f aca="false">INDEX(Parâmetros!$D$39:$D$43,MATCH(P1219,Parâmetros!$A$39:$A$43,0))</f>
        <v>Reciclar: requalificar, reengajar ou encerrar</v>
      </c>
    </row>
    <row r="1220" customFormat="false" ht="15" hidden="false" customHeight="false" outlineLevel="0" collapsed="false">
      <c r="A1220" s="10" t="s">
        <v>1466</v>
      </c>
      <c r="B1220" s="10" t="s">
        <v>96</v>
      </c>
      <c r="C1220" s="10" t="s">
        <v>92</v>
      </c>
      <c r="D1220" s="10" t="s">
        <v>160</v>
      </c>
      <c r="E1220" s="10" t="s">
        <v>50</v>
      </c>
      <c r="F1220" s="10"/>
      <c r="G1220" s="10" t="s">
        <v>162</v>
      </c>
      <c r="H1220" s="30" t="n">
        <v>42959</v>
      </c>
      <c r="I1220" s="8" t="n">
        <f aca="false">INDEX(Parâmetros!$C$13:$C$19,MATCH(E1220,Parâmetros!$A$13:$A$19,0))</f>
        <v>1096</v>
      </c>
      <c r="J1220" s="26" t="n">
        <f aca="false">IF(H1220="","",Parâmetros!$B$5-H1220)</f>
        <v>141</v>
      </c>
      <c r="K1220" s="10" t="n">
        <f aca="false">INDEX(Parâmetros!$D$13:$D$19,MATCH(E1220,Parâmetros!$A$13:$A$19,0))</f>
        <v>29</v>
      </c>
      <c r="L1220" s="10" t="n">
        <f aca="false">IF(G1220="Prospecting",Parâmetros!$B$9,IF(J1220&gt;Parâmetros!$B$6,0,INDEX(Parâmetros!$C$24:$C$26,MATCH(J1220,Parâmetros!$A$24:$A$26,1))))</f>
        <v>0</v>
      </c>
      <c r="M1220" s="31" t="n">
        <f aca="false">IF(G1220="Prospecting",1,INDEX(Parâmetros!$C$32:$C$35,MATCH(J1220,Parâmetros!$A$32:$A$35,1)))</f>
        <v>0.6</v>
      </c>
      <c r="N1220" s="2" t="n">
        <f aca="false">ROUND((K1220+L1220)*M1220,0)</f>
        <v>17</v>
      </c>
      <c r="O1220" s="10" t="str">
        <f aca="false">IF(AND(G1220="Engaging",J1220&gt;Parâmetros!$B$6),"Sim","Não")</f>
        <v>Sim</v>
      </c>
      <c r="P1220" s="32" t="str">
        <f aca="false">IF(O1220="Sim","R",IF(N1220&gt;=Parâmetros!$B$39,"A",IF(N1220&gt;=Parâmetros!$B$40,"B",IF(N1220&gt;=Parâmetros!$B$41,"C","D"))))</f>
        <v>R</v>
      </c>
      <c r="Q1220" s="10" t="str">
        <f aca="false">IF(F1220="","Completar cadastro","")</f>
        <v>Completar cadastro</v>
      </c>
      <c r="R1220" s="10" t="str">
        <f aca="false">INDEX(Parâmetros!$D$39:$D$43,MATCH(P1220,Parâmetros!$A$39:$A$43,0))</f>
        <v>Reciclar: requalificar, reengajar ou encerrar</v>
      </c>
    </row>
    <row r="1221" customFormat="false" ht="15" hidden="false" customHeight="false" outlineLevel="0" collapsed="false">
      <c r="A1221" s="10" t="s">
        <v>1467</v>
      </c>
      <c r="B1221" s="10" t="s">
        <v>77</v>
      </c>
      <c r="C1221" s="10" t="s">
        <v>78</v>
      </c>
      <c r="D1221" s="10" t="s">
        <v>196</v>
      </c>
      <c r="E1221" s="10" t="s">
        <v>50</v>
      </c>
      <c r="F1221" s="10"/>
      <c r="G1221" s="10" t="s">
        <v>162</v>
      </c>
      <c r="H1221" s="30" t="n">
        <v>42960</v>
      </c>
      <c r="I1221" s="8" t="n">
        <f aca="false">INDEX(Parâmetros!$C$13:$C$19,MATCH(E1221,Parâmetros!$A$13:$A$19,0))</f>
        <v>1096</v>
      </c>
      <c r="J1221" s="26" t="n">
        <f aca="false">IF(H1221="","",Parâmetros!$B$5-H1221)</f>
        <v>140</v>
      </c>
      <c r="K1221" s="10" t="n">
        <f aca="false">INDEX(Parâmetros!$D$13:$D$19,MATCH(E1221,Parâmetros!$A$13:$A$19,0))</f>
        <v>29</v>
      </c>
      <c r="L1221" s="10" t="n">
        <f aca="false">IF(G1221="Prospecting",Parâmetros!$B$9,IF(J1221&gt;Parâmetros!$B$6,0,INDEX(Parâmetros!$C$24:$C$26,MATCH(J1221,Parâmetros!$A$24:$A$26,1))))</f>
        <v>0</v>
      </c>
      <c r="M1221" s="31" t="n">
        <f aca="false">IF(G1221="Prospecting",1,INDEX(Parâmetros!$C$32:$C$35,MATCH(J1221,Parâmetros!$A$32:$A$35,1)))</f>
        <v>0.6</v>
      </c>
      <c r="N1221" s="2" t="n">
        <f aca="false">ROUND((K1221+L1221)*M1221,0)</f>
        <v>17</v>
      </c>
      <c r="O1221" s="10" t="str">
        <f aca="false">IF(AND(G1221="Engaging",J1221&gt;Parâmetros!$B$6),"Sim","Não")</f>
        <v>Sim</v>
      </c>
      <c r="P1221" s="32" t="str">
        <f aca="false">IF(O1221="Sim","R",IF(N1221&gt;=Parâmetros!$B$39,"A",IF(N1221&gt;=Parâmetros!$B$40,"B",IF(N1221&gt;=Parâmetros!$B$41,"C","D"))))</f>
        <v>R</v>
      </c>
      <c r="Q1221" s="10" t="str">
        <f aca="false">IF(F1221="","Completar cadastro","")</f>
        <v>Completar cadastro</v>
      </c>
      <c r="R1221" s="10" t="str">
        <f aca="false">INDEX(Parâmetros!$D$39:$D$43,MATCH(P1221,Parâmetros!$A$39:$A$43,0))</f>
        <v>Reciclar: requalificar, reengajar ou encerrar</v>
      </c>
    </row>
    <row r="1222" customFormat="false" ht="15" hidden="false" customHeight="false" outlineLevel="0" collapsed="false">
      <c r="A1222" s="10" t="s">
        <v>1468</v>
      </c>
      <c r="B1222" s="10" t="s">
        <v>67</v>
      </c>
      <c r="C1222" s="10" t="s">
        <v>65</v>
      </c>
      <c r="D1222" s="10" t="s">
        <v>160</v>
      </c>
      <c r="E1222" s="10" t="s">
        <v>50</v>
      </c>
      <c r="F1222" s="10"/>
      <c r="G1222" s="10" t="s">
        <v>162</v>
      </c>
      <c r="H1222" s="30" t="n">
        <v>42960</v>
      </c>
      <c r="I1222" s="8" t="n">
        <f aca="false">INDEX(Parâmetros!$C$13:$C$19,MATCH(E1222,Parâmetros!$A$13:$A$19,0))</f>
        <v>1096</v>
      </c>
      <c r="J1222" s="26" t="n">
        <f aca="false">IF(H1222="","",Parâmetros!$B$5-H1222)</f>
        <v>140</v>
      </c>
      <c r="K1222" s="10" t="n">
        <f aca="false">INDEX(Parâmetros!$D$13:$D$19,MATCH(E1222,Parâmetros!$A$13:$A$19,0))</f>
        <v>29</v>
      </c>
      <c r="L1222" s="10" t="n">
        <f aca="false">IF(G1222="Prospecting",Parâmetros!$B$9,IF(J1222&gt;Parâmetros!$B$6,0,INDEX(Parâmetros!$C$24:$C$26,MATCH(J1222,Parâmetros!$A$24:$A$26,1))))</f>
        <v>0</v>
      </c>
      <c r="M1222" s="31" t="n">
        <f aca="false">IF(G1222="Prospecting",1,INDEX(Parâmetros!$C$32:$C$35,MATCH(J1222,Parâmetros!$A$32:$A$35,1)))</f>
        <v>0.6</v>
      </c>
      <c r="N1222" s="2" t="n">
        <f aca="false">ROUND((K1222+L1222)*M1222,0)</f>
        <v>17</v>
      </c>
      <c r="O1222" s="10" t="str">
        <f aca="false">IF(AND(G1222="Engaging",J1222&gt;Parâmetros!$B$6),"Sim","Não")</f>
        <v>Sim</v>
      </c>
      <c r="P1222" s="32" t="str">
        <f aca="false">IF(O1222="Sim","R",IF(N1222&gt;=Parâmetros!$B$39,"A",IF(N1222&gt;=Parâmetros!$B$40,"B",IF(N1222&gt;=Parâmetros!$B$41,"C","D"))))</f>
        <v>R</v>
      </c>
      <c r="Q1222" s="10" t="str">
        <f aca="false">IF(F1222="","Completar cadastro","")</f>
        <v>Completar cadastro</v>
      </c>
      <c r="R1222" s="10" t="str">
        <f aca="false">INDEX(Parâmetros!$D$39:$D$43,MATCH(P1222,Parâmetros!$A$39:$A$43,0))</f>
        <v>Reciclar: requalificar, reengajar ou encerrar</v>
      </c>
    </row>
    <row r="1223" customFormat="false" ht="15" hidden="false" customHeight="false" outlineLevel="0" collapsed="false">
      <c r="A1223" s="10" t="s">
        <v>1469</v>
      </c>
      <c r="B1223" s="10" t="s">
        <v>81</v>
      </c>
      <c r="C1223" s="10" t="s">
        <v>78</v>
      </c>
      <c r="D1223" s="10" t="s">
        <v>196</v>
      </c>
      <c r="E1223" s="10" t="s">
        <v>50</v>
      </c>
      <c r="F1223" s="10"/>
      <c r="G1223" s="10" t="s">
        <v>162</v>
      </c>
      <c r="H1223" s="30" t="n">
        <v>42960</v>
      </c>
      <c r="I1223" s="8" t="n">
        <f aca="false">INDEX(Parâmetros!$C$13:$C$19,MATCH(E1223,Parâmetros!$A$13:$A$19,0))</f>
        <v>1096</v>
      </c>
      <c r="J1223" s="26" t="n">
        <f aca="false">IF(H1223="","",Parâmetros!$B$5-H1223)</f>
        <v>140</v>
      </c>
      <c r="K1223" s="10" t="n">
        <f aca="false">INDEX(Parâmetros!$D$13:$D$19,MATCH(E1223,Parâmetros!$A$13:$A$19,0))</f>
        <v>29</v>
      </c>
      <c r="L1223" s="10" t="n">
        <f aca="false">IF(G1223="Prospecting",Parâmetros!$B$9,IF(J1223&gt;Parâmetros!$B$6,0,INDEX(Parâmetros!$C$24:$C$26,MATCH(J1223,Parâmetros!$A$24:$A$26,1))))</f>
        <v>0</v>
      </c>
      <c r="M1223" s="31" t="n">
        <f aca="false">IF(G1223="Prospecting",1,INDEX(Parâmetros!$C$32:$C$35,MATCH(J1223,Parâmetros!$A$32:$A$35,1)))</f>
        <v>0.6</v>
      </c>
      <c r="N1223" s="2" t="n">
        <f aca="false">ROUND((K1223+L1223)*M1223,0)</f>
        <v>17</v>
      </c>
      <c r="O1223" s="10" t="str">
        <f aca="false">IF(AND(G1223="Engaging",J1223&gt;Parâmetros!$B$6),"Sim","Não")</f>
        <v>Sim</v>
      </c>
      <c r="P1223" s="32" t="str">
        <f aca="false">IF(O1223="Sim","R",IF(N1223&gt;=Parâmetros!$B$39,"A",IF(N1223&gt;=Parâmetros!$B$40,"B",IF(N1223&gt;=Parâmetros!$B$41,"C","D"))))</f>
        <v>R</v>
      </c>
      <c r="Q1223" s="10" t="str">
        <f aca="false">IF(F1223="","Completar cadastro","")</f>
        <v>Completar cadastro</v>
      </c>
      <c r="R1223" s="10" t="str">
        <f aca="false">INDEX(Parâmetros!$D$39:$D$43,MATCH(P1223,Parâmetros!$A$39:$A$43,0))</f>
        <v>Reciclar: requalificar, reengajar ou encerrar</v>
      </c>
    </row>
    <row r="1224" customFormat="false" ht="15" hidden="false" customHeight="false" outlineLevel="0" collapsed="false">
      <c r="A1224" s="10" t="s">
        <v>1470</v>
      </c>
      <c r="B1224" s="10" t="s">
        <v>71</v>
      </c>
      <c r="C1224" s="10" t="s">
        <v>72</v>
      </c>
      <c r="D1224" s="10" t="s">
        <v>196</v>
      </c>
      <c r="E1224" s="10" t="s">
        <v>50</v>
      </c>
      <c r="F1224" s="10"/>
      <c r="G1224" s="10" t="s">
        <v>162</v>
      </c>
      <c r="H1224" s="30" t="n">
        <v>42961</v>
      </c>
      <c r="I1224" s="8" t="n">
        <f aca="false">INDEX(Parâmetros!$C$13:$C$19,MATCH(E1224,Parâmetros!$A$13:$A$19,0))</f>
        <v>1096</v>
      </c>
      <c r="J1224" s="26" t="n">
        <f aca="false">IF(H1224="","",Parâmetros!$B$5-H1224)</f>
        <v>139</v>
      </c>
      <c r="K1224" s="10" t="n">
        <f aca="false">INDEX(Parâmetros!$D$13:$D$19,MATCH(E1224,Parâmetros!$A$13:$A$19,0))</f>
        <v>29</v>
      </c>
      <c r="L1224" s="10" t="n">
        <f aca="false">IF(G1224="Prospecting",Parâmetros!$B$9,IF(J1224&gt;Parâmetros!$B$6,0,INDEX(Parâmetros!$C$24:$C$26,MATCH(J1224,Parâmetros!$A$24:$A$26,1))))</f>
        <v>0</v>
      </c>
      <c r="M1224" s="31" t="n">
        <f aca="false">IF(G1224="Prospecting",1,INDEX(Parâmetros!$C$32:$C$35,MATCH(J1224,Parâmetros!$A$32:$A$35,1)))</f>
        <v>0.6</v>
      </c>
      <c r="N1224" s="2" t="n">
        <f aca="false">ROUND((K1224+L1224)*M1224,0)</f>
        <v>17</v>
      </c>
      <c r="O1224" s="10" t="str">
        <f aca="false">IF(AND(G1224="Engaging",J1224&gt;Parâmetros!$B$6),"Sim","Não")</f>
        <v>Sim</v>
      </c>
      <c r="P1224" s="32" t="str">
        <f aca="false">IF(O1224="Sim","R",IF(N1224&gt;=Parâmetros!$B$39,"A",IF(N1224&gt;=Parâmetros!$B$40,"B",IF(N1224&gt;=Parâmetros!$B$41,"C","D"))))</f>
        <v>R</v>
      </c>
      <c r="Q1224" s="10" t="str">
        <f aca="false">IF(F1224="","Completar cadastro","")</f>
        <v>Completar cadastro</v>
      </c>
      <c r="R1224" s="10" t="str">
        <f aca="false">INDEX(Parâmetros!$D$39:$D$43,MATCH(P1224,Parâmetros!$A$39:$A$43,0))</f>
        <v>Reciclar: requalificar, reengajar ou encerrar</v>
      </c>
    </row>
    <row r="1225" customFormat="false" ht="15" hidden="false" customHeight="false" outlineLevel="0" collapsed="false">
      <c r="A1225" s="10" t="s">
        <v>1471</v>
      </c>
      <c r="B1225" s="10" t="s">
        <v>80</v>
      </c>
      <c r="C1225" s="10" t="s">
        <v>78</v>
      </c>
      <c r="D1225" s="10" t="s">
        <v>196</v>
      </c>
      <c r="E1225" s="10" t="s">
        <v>50</v>
      </c>
      <c r="F1225" s="10"/>
      <c r="G1225" s="10" t="s">
        <v>162</v>
      </c>
      <c r="H1225" s="30" t="n">
        <v>42961</v>
      </c>
      <c r="I1225" s="8" t="n">
        <f aca="false">INDEX(Parâmetros!$C$13:$C$19,MATCH(E1225,Parâmetros!$A$13:$A$19,0))</f>
        <v>1096</v>
      </c>
      <c r="J1225" s="26" t="n">
        <f aca="false">IF(H1225="","",Parâmetros!$B$5-H1225)</f>
        <v>139</v>
      </c>
      <c r="K1225" s="10" t="n">
        <f aca="false">INDEX(Parâmetros!$D$13:$D$19,MATCH(E1225,Parâmetros!$A$13:$A$19,0))</f>
        <v>29</v>
      </c>
      <c r="L1225" s="10" t="n">
        <f aca="false">IF(G1225="Prospecting",Parâmetros!$B$9,IF(J1225&gt;Parâmetros!$B$6,0,INDEX(Parâmetros!$C$24:$C$26,MATCH(J1225,Parâmetros!$A$24:$A$26,1))))</f>
        <v>0</v>
      </c>
      <c r="M1225" s="31" t="n">
        <f aca="false">IF(G1225="Prospecting",1,INDEX(Parâmetros!$C$32:$C$35,MATCH(J1225,Parâmetros!$A$32:$A$35,1)))</f>
        <v>0.6</v>
      </c>
      <c r="N1225" s="2" t="n">
        <f aca="false">ROUND((K1225+L1225)*M1225,0)</f>
        <v>17</v>
      </c>
      <c r="O1225" s="10" t="str">
        <f aca="false">IF(AND(G1225="Engaging",J1225&gt;Parâmetros!$B$6),"Sim","Não")</f>
        <v>Sim</v>
      </c>
      <c r="P1225" s="32" t="str">
        <f aca="false">IF(O1225="Sim","R",IF(N1225&gt;=Parâmetros!$B$39,"A",IF(N1225&gt;=Parâmetros!$B$40,"B",IF(N1225&gt;=Parâmetros!$B$41,"C","D"))))</f>
        <v>R</v>
      </c>
      <c r="Q1225" s="10" t="str">
        <f aca="false">IF(F1225="","Completar cadastro","")</f>
        <v>Completar cadastro</v>
      </c>
      <c r="R1225" s="10" t="str">
        <f aca="false">INDEX(Parâmetros!$D$39:$D$43,MATCH(P1225,Parâmetros!$A$39:$A$43,0))</f>
        <v>Reciclar: requalificar, reengajar ou encerrar</v>
      </c>
    </row>
    <row r="1226" customFormat="false" ht="15" hidden="false" customHeight="false" outlineLevel="0" collapsed="false">
      <c r="A1226" s="10" t="s">
        <v>1472</v>
      </c>
      <c r="B1226" s="10" t="s">
        <v>87</v>
      </c>
      <c r="C1226" s="10" t="s">
        <v>85</v>
      </c>
      <c r="D1226" s="10" t="s">
        <v>165</v>
      </c>
      <c r="E1226" s="10" t="s">
        <v>49</v>
      </c>
      <c r="F1226" s="10"/>
      <c r="G1226" s="10" t="s">
        <v>162</v>
      </c>
      <c r="H1226" s="30" t="n">
        <v>42831</v>
      </c>
      <c r="I1226" s="8" t="n">
        <f aca="false">INDEX(Parâmetros!$C$13:$C$19,MATCH(E1226,Parâmetros!$A$13:$A$19,0))</f>
        <v>3393</v>
      </c>
      <c r="J1226" s="26" t="n">
        <f aca="false">IF(H1226="","",Parâmetros!$B$5-H1226)</f>
        <v>269</v>
      </c>
      <c r="K1226" s="10" t="n">
        <f aca="false">INDEX(Parâmetros!$D$13:$D$19,MATCH(E1226,Parâmetros!$A$13:$A$19,0))</f>
        <v>40</v>
      </c>
      <c r="L1226" s="10" t="n">
        <f aca="false">IF(G1226="Prospecting",Parâmetros!$B$9,IF(J1226&gt;Parâmetros!$B$6,0,INDEX(Parâmetros!$C$24:$C$26,MATCH(J1226,Parâmetros!$A$24:$A$26,1))))</f>
        <v>0</v>
      </c>
      <c r="M1226" s="31" t="n">
        <f aca="false">IF(G1226="Prospecting",1,INDEX(Parâmetros!$C$32:$C$35,MATCH(J1226,Parâmetros!$A$32:$A$35,1)))</f>
        <v>0.4</v>
      </c>
      <c r="N1226" s="2" t="n">
        <f aca="false">ROUND((K1226+L1226)*M1226,0)</f>
        <v>16</v>
      </c>
      <c r="O1226" s="10" t="str">
        <f aca="false">IF(AND(G1226="Engaging",J1226&gt;Parâmetros!$B$6),"Sim","Não")</f>
        <v>Sim</v>
      </c>
      <c r="P1226" s="32" t="str">
        <f aca="false">IF(O1226="Sim","R",IF(N1226&gt;=Parâmetros!$B$39,"A",IF(N1226&gt;=Parâmetros!$B$40,"B",IF(N1226&gt;=Parâmetros!$B$41,"C","D"))))</f>
        <v>R</v>
      </c>
      <c r="Q1226" s="10" t="str">
        <f aca="false">IF(F1226="","Completar cadastro","")</f>
        <v>Completar cadastro</v>
      </c>
      <c r="R1226" s="10" t="str">
        <f aca="false">INDEX(Parâmetros!$D$39:$D$43,MATCH(P1226,Parâmetros!$A$39:$A$43,0))</f>
        <v>Reciclar: requalificar, reengajar ou encerrar</v>
      </c>
    </row>
    <row r="1227" customFormat="false" ht="15" hidden="false" customHeight="false" outlineLevel="0" collapsed="false">
      <c r="A1227" s="10" t="s">
        <v>1473</v>
      </c>
      <c r="B1227" s="10" t="s">
        <v>67</v>
      </c>
      <c r="C1227" s="10" t="s">
        <v>65</v>
      </c>
      <c r="D1227" s="10" t="s">
        <v>160</v>
      </c>
      <c r="E1227" s="10" t="s">
        <v>49</v>
      </c>
      <c r="F1227" s="10"/>
      <c r="G1227" s="10" t="s">
        <v>162</v>
      </c>
      <c r="H1227" s="30" t="n">
        <v>42831</v>
      </c>
      <c r="I1227" s="8" t="n">
        <f aca="false">INDEX(Parâmetros!$C$13:$C$19,MATCH(E1227,Parâmetros!$A$13:$A$19,0))</f>
        <v>3393</v>
      </c>
      <c r="J1227" s="26" t="n">
        <f aca="false">IF(H1227="","",Parâmetros!$B$5-H1227)</f>
        <v>269</v>
      </c>
      <c r="K1227" s="10" t="n">
        <f aca="false">INDEX(Parâmetros!$D$13:$D$19,MATCH(E1227,Parâmetros!$A$13:$A$19,0))</f>
        <v>40</v>
      </c>
      <c r="L1227" s="10" t="n">
        <f aca="false">IF(G1227="Prospecting",Parâmetros!$B$9,IF(J1227&gt;Parâmetros!$B$6,0,INDEX(Parâmetros!$C$24:$C$26,MATCH(J1227,Parâmetros!$A$24:$A$26,1))))</f>
        <v>0</v>
      </c>
      <c r="M1227" s="31" t="n">
        <f aca="false">IF(G1227="Prospecting",1,INDEX(Parâmetros!$C$32:$C$35,MATCH(J1227,Parâmetros!$A$32:$A$35,1)))</f>
        <v>0.4</v>
      </c>
      <c r="N1227" s="2" t="n">
        <f aca="false">ROUND((K1227+L1227)*M1227,0)</f>
        <v>16</v>
      </c>
      <c r="O1227" s="10" t="str">
        <f aca="false">IF(AND(G1227="Engaging",J1227&gt;Parâmetros!$B$6),"Sim","Não")</f>
        <v>Sim</v>
      </c>
      <c r="P1227" s="32" t="str">
        <f aca="false">IF(O1227="Sim","R",IF(N1227&gt;=Parâmetros!$B$39,"A",IF(N1227&gt;=Parâmetros!$B$40,"B",IF(N1227&gt;=Parâmetros!$B$41,"C","D"))))</f>
        <v>R</v>
      </c>
      <c r="Q1227" s="10" t="str">
        <f aca="false">IF(F1227="","Completar cadastro","")</f>
        <v>Completar cadastro</v>
      </c>
      <c r="R1227" s="10" t="str">
        <f aca="false">INDEX(Parâmetros!$D$39:$D$43,MATCH(P1227,Parâmetros!$A$39:$A$43,0))</f>
        <v>Reciclar: requalificar, reengajar ou encerrar</v>
      </c>
    </row>
    <row r="1228" customFormat="false" ht="15" hidden="false" customHeight="false" outlineLevel="0" collapsed="false">
      <c r="A1228" s="10" t="s">
        <v>1474</v>
      </c>
      <c r="B1228" s="10" t="s">
        <v>57</v>
      </c>
      <c r="C1228" s="10" t="s">
        <v>58</v>
      </c>
      <c r="D1228" s="10" t="s">
        <v>165</v>
      </c>
      <c r="E1228" s="10" t="s">
        <v>49</v>
      </c>
      <c r="F1228" s="10"/>
      <c r="G1228" s="10" t="s">
        <v>162</v>
      </c>
      <c r="H1228" s="30" t="n">
        <v>42832</v>
      </c>
      <c r="I1228" s="8" t="n">
        <f aca="false">INDEX(Parâmetros!$C$13:$C$19,MATCH(E1228,Parâmetros!$A$13:$A$19,0))</f>
        <v>3393</v>
      </c>
      <c r="J1228" s="26" t="n">
        <f aca="false">IF(H1228="","",Parâmetros!$B$5-H1228)</f>
        <v>268</v>
      </c>
      <c r="K1228" s="10" t="n">
        <f aca="false">INDEX(Parâmetros!$D$13:$D$19,MATCH(E1228,Parâmetros!$A$13:$A$19,0))</f>
        <v>40</v>
      </c>
      <c r="L1228" s="10" t="n">
        <f aca="false">IF(G1228="Prospecting",Parâmetros!$B$9,IF(J1228&gt;Parâmetros!$B$6,0,INDEX(Parâmetros!$C$24:$C$26,MATCH(J1228,Parâmetros!$A$24:$A$26,1))))</f>
        <v>0</v>
      </c>
      <c r="M1228" s="31" t="n">
        <f aca="false">IF(G1228="Prospecting",1,INDEX(Parâmetros!$C$32:$C$35,MATCH(J1228,Parâmetros!$A$32:$A$35,1)))</f>
        <v>0.4</v>
      </c>
      <c r="N1228" s="2" t="n">
        <f aca="false">ROUND((K1228+L1228)*M1228,0)</f>
        <v>16</v>
      </c>
      <c r="O1228" s="10" t="str">
        <f aca="false">IF(AND(G1228="Engaging",J1228&gt;Parâmetros!$B$6),"Sim","Não")</f>
        <v>Sim</v>
      </c>
      <c r="P1228" s="32" t="str">
        <f aca="false">IF(O1228="Sim","R",IF(N1228&gt;=Parâmetros!$B$39,"A",IF(N1228&gt;=Parâmetros!$B$40,"B",IF(N1228&gt;=Parâmetros!$B$41,"C","D"))))</f>
        <v>R</v>
      </c>
      <c r="Q1228" s="10" t="str">
        <f aca="false">IF(F1228="","Completar cadastro","")</f>
        <v>Completar cadastro</v>
      </c>
      <c r="R1228" s="10" t="str">
        <f aca="false">INDEX(Parâmetros!$D$39:$D$43,MATCH(P1228,Parâmetros!$A$39:$A$43,0))</f>
        <v>Reciclar: requalificar, reengajar ou encerrar</v>
      </c>
    </row>
    <row r="1229" customFormat="false" ht="15" hidden="false" customHeight="false" outlineLevel="0" collapsed="false">
      <c r="A1229" s="10" t="s">
        <v>1475</v>
      </c>
      <c r="B1229" s="10" t="s">
        <v>95</v>
      </c>
      <c r="C1229" s="10" t="s">
        <v>92</v>
      </c>
      <c r="D1229" s="10" t="s">
        <v>160</v>
      </c>
      <c r="E1229" s="10" t="s">
        <v>49</v>
      </c>
      <c r="F1229" s="10"/>
      <c r="G1229" s="10" t="s">
        <v>162</v>
      </c>
      <c r="H1229" s="30" t="n">
        <v>42832</v>
      </c>
      <c r="I1229" s="8" t="n">
        <f aca="false">INDEX(Parâmetros!$C$13:$C$19,MATCH(E1229,Parâmetros!$A$13:$A$19,0))</f>
        <v>3393</v>
      </c>
      <c r="J1229" s="26" t="n">
        <f aca="false">IF(H1229="","",Parâmetros!$B$5-H1229)</f>
        <v>268</v>
      </c>
      <c r="K1229" s="10" t="n">
        <f aca="false">INDEX(Parâmetros!$D$13:$D$19,MATCH(E1229,Parâmetros!$A$13:$A$19,0))</f>
        <v>40</v>
      </c>
      <c r="L1229" s="10" t="n">
        <f aca="false">IF(G1229="Prospecting",Parâmetros!$B$9,IF(J1229&gt;Parâmetros!$B$6,0,INDEX(Parâmetros!$C$24:$C$26,MATCH(J1229,Parâmetros!$A$24:$A$26,1))))</f>
        <v>0</v>
      </c>
      <c r="M1229" s="31" t="n">
        <f aca="false">IF(G1229="Prospecting",1,INDEX(Parâmetros!$C$32:$C$35,MATCH(J1229,Parâmetros!$A$32:$A$35,1)))</f>
        <v>0.4</v>
      </c>
      <c r="N1229" s="2" t="n">
        <f aca="false">ROUND((K1229+L1229)*M1229,0)</f>
        <v>16</v>
      </c>
      <c r="O1229" s="10" t="str">
        <f aca="false">IF(AND(G1229="Engaging",J1229&gt;Parâmetros!$B$6),"Sim","Não")</f>
        <v>Sim</v>
      </c>
      <c r="P1229" s="32" t="str">
        <f aca="false">IF(O1229="Sim","R",IF(N1229&gt;=Parâmetros!$B$39,"A",IF(N1229&gt;=Parâmetros!$B$40,"B",IF(N1229&gt;=Parâmetros!$B$41,"C","D"))))</f>
        <v>R</v>
      </c>
      <c r="Q1229" s="10" t="str">
        <f aca="false">IF(F1229="","Completar cadastro","")</f>
        <v>Completar cadastro</v>
      </c>
      <c r="R1229" s="10" t="str">
        <f aca="false">INDEX(Parâmetros!$D$39:$D$43,MATCH(P1229,Parâmetros!$A$39:$A$43,0))</f>
        <v>Reciclar: requalificar, reengajar ou encerrar</v>
      </c>
    </row>
    <row r="1230" customFormat="false" ht="15" hidden="false" customHeight="false" outlineLevel="0" collapsed="false">
      <c r="A1230" s="10" t="s">
        <v>1476</v>
      </c>
      <c r="B1230" s="10" t="s">
        <v>68</v>
      </c>
      <c r="C1230" s="10" t="s">
        <v>65</v>
      </c>
      <c r="D1230" s="10" t="s">
        <v>160</v>
      </c>
      <c r="E1230" s="10" t="s">
        <v>49</v>
      </c>
      <c r="F1230" s="10"/>
      <c r="G1230" s="10" t="s">
        <v>162</v>
      </c>
      <c r="H1230" s="30" t="n">
        <v>42833</v>
      </c>
      <c r="I1230" s="8" t="n">
        <f aca="false">INDEX(Parâmetros!$C$13:$C$19,MATCH(E1230,Parâmetros!$A$13:$A$19,0))</f>
        <v>3393</v>
      </c>
      <c r="J1230" s="26" t="n">
        <f aca="false">IF(H1230="","",Parâmetros!$B$5-H1230)</f>
        <v>267</v>
      </c>
      <c r="K1230" s="10" t="n">
        <f aca="false">INDEX(Parâmetros!$D$13:$D$19,MATCH(E1230,Parâmetros!$A$13:$A$19,0))</f>
        <v>40</v>
      </c>
      <c r="L1230" s="10" t="n">
        <f aca="false">IF(G1230="Prospecting",Parâmetros!$B$9,IF(J1230&gt;Parâmetros!$B$6,0,INDEX(Parâmetros!$C$24:$C$26,MATCH(J1230,Parâmetros!$A$24:$A$26,1))))</f>
        <v>0</v>
      </c>
      <c r="M1230" s="31" t="n">
        <f aca="false">IF(G1230="Prospecting",1,INDEX(Parâmetros!$C$32:$C$35,MATCH(J1230,Parâmetros!$A$32:$A$35,1)))</f>
        <v>0.4</v>
      </c>
      <c r="N1230" s="2" t="n">
        <f aca="false">ROUND((K1230+L1230)*M1230,0)</f>
        <v>16</v>
      </c>
      <c r="O1230" s="10" t="str">
        <f aca="false">IF(AND(G1230="Engaging",J1230&gt;Parâmetros!$B$6),"Sim","Não")</f>
        <v>Sim</v>
      </c>
      <c r="P1230" s="32" t="str">
        <f aca="false">IF(O1230="Sim","R",IF(N1230&gt;=Parâmetros!$B$39,"A",IF(N1230&gt;=Parâmetros!$B$40,"B",IF(N1230&gt;=Parâmetros!$B$41,"C","D"))))</f>
        <v>R</v>
      </c>
      <c r="Q1230" s="10" t="str">
        <f aca="false">IF(F1230="","Completar cadastro","")</f>
        <v>Completar cadastro</v>
      </c>
      <c r="R1230" s="10" t="str">
        <f aca="false">INDEX(Parâmetros!$D$39:$D$43,MATCH(P1230,Parâmetros!$A$39:$A$43,0))</f>
        <v>Reciclar: requalificar, reengajar ou encerrar</v>
      </c>
    </row>
    <row r="1231" customFormat="false" ht="15" hidden="false" customHeight="false" outlineLevel="0" collapsed="false">
      <c r="A1231" s="10" t="s">
        <v>1477</v>
      </c>
      <c r="B1231" s="10" t="s">
        <v>57</v>
      </c>
      <c r="C1231" s="10" t="s">
        <v>58</v>
      </c>
      <c r="D1231" s="10" t="s">
        <v>165</v>
      </c>
      <c r="E1231" s="10" t="s">
        <v>49</v>
      </c>
      <c r="F1231" s="10"/>
      <c r="G1231" s="10" t="s">
        <v>162</v>
      </c>
      <c r="H1231" s="30" t="n">
        <v>42834</v>
      </c>
      <c r="I1231" s="8" t="n">
        <f aca="false">INDEX(Parâmetros!$C$13:$C$19,MATCH(E1231,Parâmetros!$A$13:$A$19,0))</f>
        <v>3393</v>
      </c>
      <c r="J1231" s="26" t="n">
        <f aca="false">IF(H1231="","",Parâmetros!$B$5-H1231)</f>
        <v>266</v>
      </c>
      <c r="K1231" s="10" t="n">
        <f aca="false">INDEX(Parâmetros!$D$13:$D$19,MATCH(E1231,Parâmetros!$A$13:$A$19,0))</f>
        <v>40</v>
      </c>
      <c r="L1231" s="10" t="n">
        <f aca="false">IF(G1231="Prospecting",Parâmetros!$B$9,IF(J1231&gt;Parâmetros!$B$6,0,INDEX(Parâmetros!$C$24:$C$26,MATCH(J1231,Parâmetros!$A$24:$A$26,1))))</f>
        <v>0</v>
      </c>
      <c r="M1231" s="31" t="n">
        <f aca="false">IF(G1231="Prospecting",1,INDEX(Parâmetros!$C$32:$C$35,MATCH(J1231,Parâmetros!$A$32:$A$35,1)))</f>
        <v>0.4</v>
      </c>
      <c r="N1231" s="2" t="n">
        <f aca="false">ROUND((K1231+L1231)*M1231,0)</f>
        <v>16</v>
      </c>
      <c r="O1231" s="10" t="str">
        <f aca="false">IF(AND(G1231="Engaging",J1231&gt;Parâmetros!$B$6),"Sim","Não")</f>
        <v>Sim</v>
      </c>
      <c r="P1231" s="32" t="str">
        <f aca="false">IF(O1231="Sim","R",IF(N1231&gt;=Parâmetros!$B$39,"A",IF(N1231&gt;=Parâmetros!$B$40,"B",IF(N1231&gt;=Parâmetros!$B$41,"C","D"))))</f>
        <v>R</v>
      </c>
      <c r="Q1231" s="10" t="str">
        <f aca="false">IF(F1231="","Completar cadastro","")</f>
        <v>Completar cadastro</v>
      </c>
      <c r="R1231" s="10" t="str">
        <f aca="false">INDEX(Parâmetros!$D$39:$D$43,MATCH(P1231,Parâmetros!$A$39:$A$43,0))</f>
        <v>Reciclar: requalificar, reengajar ou encerrar</v>
      </c>
    </row>
    <row r="1232" customFormat="false" ht="15" hidden="false" customHeight="false" outlineLevel="0" collapsed="false">
      <c r="A1232" s="10" t="s">
        <v>1478</v>
      </c>
      <c r="B1232" s="10" t="s">
        <v>67</v>
      </c>
      <c r="C1232" s="10" t="s">
        <v>65</v>
      </c>
      <c r="D1232" s="10" t="s">
        <v>160</v>
      </c>
      <c r="E1232" s="10" t="s">
        <v>49</v>
      </c>
      <c r="F1232" s="10"/>
      <c r="G1232" s="10" t="s">
        <v>162</v>
      </c>
      <c r="H1232" s="30" t="n">
        <v>42835</v>
      </c>
      <c r="I1232" s="8" t="n">
        <f aca="false">INDEX(Parâmetros!$C$13:$C$19,MATCH(E1232,Parâmetros!$A$13:$A$19,0))</f>
        <v>3393</v>
      </c>
      <c r="J1232" s="26" t="n">
        <f aca="false">IF(H1232="","",Parâmetros!$B$5-H1232)</f>
        <v>265</v>
      </c>
      <c r="K1232" s="10" t="n">
        <f aca="false">INDEX(Parâmetros!$D$13:$D$19,MATCH(E1232,Parâmetros!$A$13:$A$19,0))</f>
        <v>40</v>
      </c>
      <c r="L1232" s="10" t="n">
        <f aca="false">IF(G1232="Prospecting",Parâmetros!$B$9,IF(J1232&gt;Parâmetros!$B$6,0,INDEX(Parâmetros!$C$24:$C$26,MATCH(J1232,Parâmetros!$A$24:$A$26,1))))</f>
        <v>0</v>
      </c>
      <c r="M1232" s="31" t="n">
        <f aca="false">IF(G1232="Prospecting",1,INDEX(Parâmetros!$C$32:$C$35,MATCH(J1232,Parâmetros!$A$32:$A$35,1)))</f>
        <v>0.4</v>
      </c>
      <c r="N1232" s="2" t="n">
        <f aca="false">ROUND((K1232+L1232)*M1232,0)</f>
        <v>16</v>
      </c>
      <c r="O1232" s="10" t="str">
        <f aca="false">IF(AND(G1232="Engaging",J1232&gt;Parâmetros!$B$6),"Sim","Não")</f>
        <v>Sim</v>
      </c>
      <c r="P1232" s="32" t="str">
        <f aca="false">IF(O1232="Sim","R",IF(N1232&gt;=Parâmetros!$B$39,"A",IF(N1232&gt;=Parâmetros!$B$40,"B",IF(N1232&gt;=Parâmetros!$B$41,"C","D"))))</f>
        <v>R</v>
      </c>
      <c r="Q1232" s="10" t="str">
        <f aca="false">IF(F1232="","Completar cadastro","")</f>
        <v>Completar cadastro</v>
      </c>
      <c r="R1232" s="10" t="str">
        <f aca="false">INDEX(Parâmetros!$D$39:$D$43,MATCH(P1232,Parâmetros!$A$39:$A$43,0))</f>
        <v>Reciclar: requalificar, reengajar ou encerrar</v>
      </c>
    </row>
    <row r="1233" customFormat="false" ht="15" hidden="false" customHeight="false" outlineLevel="0" collapsed="false">
      <c r="A1233" s="10" t="s">
        <v>1479</v>
      </c>
      <c r="B1233" s="10" t="s">
        <v>68</v>
      </c>
      <c r="C1233" s="10" t="s">
        <v>65</v>
      </c>
      <c r="D1233" s="10" t="s">
        <v>160</v>
      </c>
      <c r="E1233" s="10" t="s">
        <v>49</v>
      </c>
      <c r="F1233" s="10" t="s">
        <v>660</v>
      </c>
      <c r="G1233" s="10" t="s">
        <v>162</v>
      </c>
      <c r="H1233" s="30" t="n">
        <v>42835</v>
      </c>
      <c r="I1233" s="8" t="n">
        <f aca="false">INDEX(Parâmetros!$C$13:$C$19,MATCH(E1233,Parâmetros!$A$13:$A$19,0))</f>
        <v>3393</v>
      </c>
      <c r="J1233" s="26" t="n">
        <f aca="false">IF(H1233="","",Parâmetros!$B$5-H1233)</f>
        <v>265</v>
      </c>
      <c r="K1233" s="10" t="n">
        <f aca="false">INDEX(Parâmetros!$D$13:$D$19,MATCH(E1233,Parâmetros!$A$13:$A$19,0))</f>
        <v>40</v>
      </c>
      <c r="L1233" s="10" t="n">
        <f aca="false">IF(G1233="Prospecting",Parâmetros!$B$9,IF(J1233&gt;Parâmetros!$B$6,0,INDEX(Parâmetros!$C$24:$C$26,MATCH(J1233,Parâmetros!$A$24:$A$26,1))))</f>
        <v>0</v>
      </c>
      <c r="M1233" s="31" t="n">
        <f aca="false">IF(G1233="Prospecting",1,INDEX(Parâmetros!$C$32:$C$35,MATCH(J1233,Parâmetros!$A$32:$A$35,1)))</f>
        <v>0.4</v>
      </c>
      <c r="N1233" s="2" t="n">
        <f aca="false">ROUND((K1233+L1233)*M1233,0)</f>
        <v>16</v>
      </c>
      <c r="O1233" s="10" t="str">
        <f aca="false">IF(AND(G1233="Engaging",J1233&gt;Parâmetros!$B$6),"Sim","Não")</f>
        <v>Sim</v>
      </c>
      <c r="P1233" s="32" t="str">
        <f aca="false">IF(O1233="Sim","R",IF(N1233&gt;=Parâmetros!$B$39,"A",IF(N1233&gt;=Parâmetros!$B$40,"B",IF(N1233&gt;=Parâmetros!$B$41,"C","D"))))</f>
        <v>R</v>
      </c>
      <c r="Q1233" s="10" t="str">
        <f aca="false">IF(F1233="","Completar cadastro","")</f>
        <v/>
      </c>
      <c r="R1233" s="10" t="str">
        <f aca="false">INDEX(Parâmetros!$D$39:$D$43,MATCH(P1233,Parâmetros!$A$39:$A$43,0))</f>
        <v>Reciclar: requalificar, reengajar ou encerrar</v>
      </c>
    </row>
    <row r="1234" customFormat="false" ht="15" hidden="false" customHeight="false" outlineLevel="0" collapsed="false">
      <c r="A1234" s="10" t="s">
        <v>1480</v>
      </c>
      <c r="B1234" s="10" t="s">
        <v>97</v>
      </c>
      <c r="C1234" s="10" t="s">
        <v>92</v>
      </c>
      <c r="D1234" s="10" t="s">
        <v>160</v>
      </c>
      <c r="E1234" s="10" t="s">
        <v>49</v>
      </c>
      <c r="F1234" s="10"/>
      <c r="G1234" s="10" t="s">
        <v>162</v>
      </c>
      <c r="H1234" s="30" t="n">
        <v>42835</v>
      </c>
      <c r="I1234" s="8" t="n">
        <f aca="false">INDEX(Parâmetros!$C$13:$C$19,MATCH(E1234,Parâmetros!$A$13:$A$19,0))</f>
        <v>3393</v>
      </c>
      <c r="J1234" s="26" t="n">
        <f aca="false">IF(H1234="","",Parâmetros!$B$5-H1234)</f>
        <v>265</v>
      </c>
      <c r="K1234" s="10" t="n">
        <f aca="false">INDEX(Parâmetros!$D$13:$D$19,MATCH(E1234,Parâmetros!$A$13:$A$19,0))</f>
        <v>40</v>
      </c>
      <c r="L1234" s="10" t="n">
        <f aca="false">IF(G1234="Prospecting",Parâmetros!$B$9,IF(J1234&gt;Parâmetros!$B$6,0,INDEX(Parâmetros!$C$24:$C$26,MATCH(J1234,Parâmetros!$A$24:$A$26,1))))</f>
        <v>0</v>
      </c>
      <c r="M1234" s="31" t="n">
        <f aca="false">IF(G1234="Prospecting",1,INDEX(Parâmetros!$C$32:$C$35,MATCH(J1234,Parâmetros!$A$32:$A$35,1)))</f>
        <v>0.4</v>
      </c>
      <c r="N1234" s="2" t="n">
        <f aca="false">ROUND((K1234+L1234)*M1234,0)</f>
        <v>16</v>
      </c>
      <c r="O1234" s="10" t="str">
        <f aca="false">IF(AND(G1234="Engaging",J1234&gt;Parâmetros!$B$6),"Sim","Não")</f>
        <v>Sim</v>
      </c>
      <c r="P1234" s="32" t="str">
        <f aca="false">IF(O1234="Sim","R",IF(N1234&gt;=Parâmetros!$B$39,"A",IF(N1234&gt;=Parâmetros!$B$40,"B",IF(N1234&gt;=Parâmetros!$B$41,"C","D"))))</f>
        <v>R</v>
      </c>
      <c r="Q1234" s="10" t="str">
        <f aca="false">IF(F1234="","Completar cadastro","")</f>
        <v>Completar cadastro</v>
      </c>
      <c r="R1234" s="10" t="str">
        <f aca="false">INDEX(Parâmetros!$D$39:$D$43,MATCH(P1234,Parâmetros!$A$39:$A$43,0))</f>
        <v>Reciclar: requalificar, reengajar ou encerrar</v>
      </c>
    </row>
    <row r="1235" customFormat="false" ht="15" hidden="false" customHeight="false" outlineLevel="0" collapsed="false">
      <c r="A1235" s="10" t="s">
        <v>1481</v>
      </c>
      <c r="B1235" s="10" t="s">
        <v>70</v>
      </c>
      <c r="C1235" s="10" t="s">
        <v>65</v>
      </c>
      <c r="D1235" s="10" t="s">
        <v>160</v>
      </c>
      <c r="E1235" s="10" t="s">
        <v>49</v>
      </c>
      <c r="F1235" s="10" t="s">
        <v>170</v>
      </c>
      <c r="G1235" s="10" t="s">
        <v>162</v>
      </c>
      <c r="H1235" s="30" t="n">
        <v>42837</v>
      </c>
      <c r="I1235" s="8" t="n">
        <f aca="false">INDEX(Parâmetros!$C$13:$C$19,MATCH(E1235,Parâmetros!$A$13:$A$19,0))</f>
        <v>3393</v>
      </c>
      <c r="J1235" s="26" t="n">
        <f aca="false">IF(H1235="","",Parâmetros!$B$5-H1235)</f>
        <v>263</v>
      </c>
      <c r="K1235" s="10" t="n">
        <f aca="false">INDEX(Parâmetros!$D$13:$D$19,MATCH(E1235,Parâmetros!$A$13:$A$19,0))</f>
        <v>40</v>
      </c>
      <c r="L1235" s="10" t="n">
        <f aca="false">IF(G1235="Prospecting",Parâmetros!$B$9,IF(J1235&gt;Parâmetros!$B$6,0,INDEX(Parâmetros!$C$24:$C$26,MATCH(J1235,Parâmetros!$A$24:$A$26,1))))</f>
        <v>0</v>
      </c>
      <c r="M1235" s="31" t="n">
        <f aca="false">IF(G1235="Prospecting",1,INDEX(Parâmetros!$C$32:$C$35,MATCH(J1235,Parâmetros!$A$32:$A$35,1)))</f>
        <v>0.4</v>
      </c>
      <c r="N1235" s="2" t="n">
        <f aca="false">ROUND((K1235+L1235)*M1235,0)</f>
        <v>16</v>
      </c>
      <c r="O1235" s="10" t="str">
        <f aca="false">IF(AND(G1235="Engaging",J1235&gt;Parâmetros!$B$6),"Sim","Não")</f>
        <v>Sim</v>
      </c>
      <c r="P1235" s="32" t="str">
        <f aca="false">IF(O1235="Sim","R",IF(N1235&gt;=Parâmetros!$B$39,"A",IF(N1235&gt;=Parâmetros!$B$40,"B",IF(N1235&gt;=Parâmetros!$B$41,"C","D"))))</f>
        <v>R</v>
      </c>
      <c r="Q1235" s="10" t="str">
        <f aca="false">IF(F1235="","Completar cadastro","")</f>
        <v/>
      </c>
      <c r="R1235" s="10" t="str">
        <f aca="false">INDEX(Parâmetros!$D$39:$D$43,MATCH(P1235,Parâmetros!$A$39:$A$43,0))</f>
        <v>Reciclar: requalificar, reengajar ou encerrar</v>
      </c>
    </row>
    <row r="1236" customFormat="false" ht="15" hidden="false" customHeight="false" outlineLevel="0" collapsed="false">
      <c r="A1236" s="10" t="s">
        <v>1482</v>
      </c>
      <c r="B1236" s="10" t="s">
        <v>97</v>
      </c>
      <c r="C1236" s="10" t="s">
        <v>92</v>
      </c>
      <c r="D1236" s="10" t="s">
        <v>160</v>
      </c>
      <c r="E1236" s="10" t="s">
        <v>49</v>
      </c>
      <c r="F1236" s="10"/>
      <c r="G1236" s="10" t="s">
        <v>162</v>
      </c>
      <c r="H1236" s="30" t="n">
        <v>42838</v>
      </c>
      <c r="I1236" s="8" t="n">
        <f aca="false">INDEX(Parâmetros!$C$13:$C$19,MATCH(E1236,Parâmetros!$A$13:$A$19,0))</f>
        <v>3393</v>
      </c>
      <c r="J1236" s="26" t="n">
        <f aca="false">IF(H1236="","",Parâmetros!$B$5-H1236)</f>
        <v>262</v>
      </c>
      <c r="K1236" s="10" t="n">
        <f aca="false">INDEX(Parâmetros!$D$13:$D$19,MATCH(E1236,Parâmetros!$A$13:$A$19,0))</f>
        <v>40</v>
      </c>
      <c r="L1236" s="10" t="n">
        <f aca="false">IF(G1236="Prospecting",Parâmetros!$B$9,IF(J1236&gt;Parâmetros!$B$6,0,INDEX(Parâmetros!$C$24:$C$26,MATCH(J1236,Parâmetros!$A$24:$A$26,1))))</f>
        <v>0</v>
      </c>
      <c r="M1236" s="31" t="n">
        <f aca="false">IF(G1236="Prospecting",1,INDEX(Parâmetros!$C$32:$C$35,MATCH(J1236,Parâmetros!$A$32:$A$35,1)))</f>
        <v>0.4</v>
      </c>
      <c r="N1236" s="2" t="n">
        <f aca="false">ROUND((K1236+L1236)*M1236,0)</f>
        <v>16</v>
      </c>
      <c r="O1236" s="10" t="str">
        <f aca="false">IF(AND(G1236="Engaging",J1236&gt;Parâmetros!$B$6),"Sim","Não")</f>
        <v>Sim</v>
      </c>
      <c r="P1236" s="32" t="str">
        <f aca="false">IF(O1236="Sim","R",IF(N1236&gt;=Parâmetros!$B$39,"A",IF(N1236&gt;=Parâmetros!$B$40,"B",IF(N1236&gt;=Parâmetros!$B$41,"C","D"))))</f>
        <v>R</v>
      </c>
      <c r="Q1236" s="10" t="str">
        <f aca="false">IF(F1236="","Completar cadastro","")</f>
        <v>Completar cadastro</v>
      </c>
      <c r="R1236" s="10" t="str">
        <f aca="false">INDEX(Parâmetros!$D$39:$D$43,MATCH(P1236,Parâmetros!$A$39:$A$43,0))</f>
        <v>Reciclar: requalificar, reengajar ou encerrar</v>
      </c>
    </row>
    <row r="1237" customFormat="false" ht="15" hidden="false" customHeight="false" outlineLevel="0" collapsed="false">
      <c r="A1237" s="10" t="s">
        <v>1483</v>
      </c>
      <c r="B1237" s="10" t="s">
        <v>93</v>
      </c>
      <c r="C1237" s="10" t="s">
        <v>92</v>
      </c>
      <c r="D1237" s="10" t="s">
        <v>160</v>
      </c>
      <c r="E1237" s="10" t="s">
        <v>49</v>
      </c>
      <c r="F1237" s="10"/>
      <c r="G1237" s="10" t="s">
        <v>162</v>
      </c>
      <c r="H1237" s="30" t="n">
        <v>42843</v>
      </c>
      <c r="I1237" s="8" t="n">
        <f aca="false">INDEX(Parâmetros!$C$13:$C$19,MATCH(E1237,Parâmetros!$A$13:$A$19,0))</f>
        <v>3393</v>
      </c>
      <c r="J1237" s="26" t="n">
        <f aca="false">IF(H1237="","",Parâmetros!$B$5-H1237)</f>
        <v>257</v>
      </c>
      <c r="K1237" s="10" t="n">
        <f aca="false">INDEX(Parâmetros!$D$13:$D$19,MATCH(E1237,Parâmetros!$A$13:$A$19,0))</f>
        <v>40</v>
      </c>
      <c r="L1237" s="10" t="n">
        <f aca="false">IF(G1237="Prospecting",Parâmetros!$B$9,IF(J1237&gt;Parâmetros!$B$6,0,INDEX(Parâmetros!$C$24:$C$26,MATCH(J1237,Parâmetros!$A$24:$A$26,1))))</f>
        <v>0</v>
      </c>
      <c r="M1237" s="31" t="n">
        <f aca="false">IF(G1237="Prospecting",1,INDEX(Parâmetros!$C$32:$C$35,MATCH(J1237,Parâmetros!$A$32:$A$35,1)))</f>
        <v>0.4</v>
      </c>
      <c r="N1237" s="2" t="n">
        <f aca="false">ROUND((K1237+L1237)*M1237,0)</f>
        <v>16</v>
      </c>
      <c r="O1237" s="10" t="str">
        <f aca="false">IF(AND(G1237="Engaging",J1237&gt;Parâmetros!$B$6),"Sim","Não")</f>
        <v>Sim</v>
      </c>
      <c r="P1237" s="32" t="str">
        <f aca="false">IF(O1237="Sim","R",IF(N1237&gt;=Parâmetros!$B$39,"A",IF(N1237&gt;=Parâmetros!$B$40,"B",IF(N1237&gt;=Parâmetros!$B$41,"C","D"))))</f>
        <v>R</v>
      </c>
      <c r="Q1237" s="10" t="str">
        <f aca="false">IF(F1237="","Completar cadastro","")</f>
        <v>Completar cadastro</v>
      </c>
      <c r="R1237" s="10" t="str">
        <f aca="false">INDEX(Parâmetros!$D$39:$D$43,MATCH(P1237,Parâmetros!$A$39:$A$43,0))</f>
        <v>Reciclar: requalificar, reengajar ou encerrar</v>
      </c>
    </row>
    <row r="1238" customFormat="false" ht="15" hidden="false" customHeight="false" outlineLevel="0" collapsed="false">
      <c r="A1238" s="10" t="s">
        <v>1484</v>
      </c>
      <c r="B1238" s="10" t="s">
        <v>70</v>
      </c>
      <c r="C1238" s="10" t="s">
        <v>65</v>
      </c>
      <c r="D1238" s="10" t="s">
        <v>160</v>
      </c>
      <c r="E1238" s="10" t="s">
        <v>49</v>
      </c>
      <c r="F1238" s="10"/>
      <c r="G1238" s="10" t="s">
        <v>162</v>
      </c>
      <c r="H1238" s="30" t="n">
        <v>42843</v>
      </c>
      <c r="I1238" s="8" t="n">
        <f aca="false">INDEX(Parâmetros!$C$13:$C$19,MATCH(E1238,Parâmetros!$A$13:$A$19,0))</f>
        <v>3393</v>
      </c>
      <c r="J1238" s="26" t="n">
        <f aca="false">IF(H1238="","",Parâmetros!$B$5-H1238)</f>
        <v>257</v>
      </c>
      <c r="K1238" s="10" t="n">
        <f aca="false">INDEX(Parâmetros!$D$13:$D$19,MATCH(E1238,Parâmetros!$A$13:$A$19,0))</f>
        <v>40</v>
      </c>
      <c r="L1238" s="10" t="n">
        <f aca="false">IF(G1238="Prospecting",Parâmetros!$B$9,IF(J1238&gt;Parâmetros!$B$6,0,INDEX(Parâmetros!$C$24:$C$26,MATCH(J1238,Parâmetros!$A$24:$A$26,1))))</f>
        <v>0</v>
      </c>
      <c r="M1238" s="31" t="n">
        <f aca="false">IF(G1238="Prospecting",1,INDEX(Parâmetros!$C$32:$C$35,MATCH(J1238,Parâmetros!$A$32:$A$35,1)))</f>
        <v>0.4</v>
      </c>
      <c r="N1238" s="2" t="n">
        <f aca="false">ROUND((K1238+L1238)*M1238,0)</f>
        <v>16</v>
      </c>
      <c r="O1238" s="10" t="str">
        <f aca="false">IF(AND(G1238="Engaging",J1238&gt;Parâmetros!$B$6),"Sim","Não")</f>
        <v>Sim</v>
      </c>
      <c r="P1238" s="32" t="str">
        <f aca="false">IF(O1238="Sim","R",IF(N1238&gt;=Parâmetros!$B$39,"A",IF(N1238&gt;=Parâmetros!$B$40,"B",IF(N1238&gt;=Parâmetros!$B$41,"C","D"))))</f>
        <v>R</v>
      </c>
      <c r="Q1238" s="10" t="str">
        <f aca="false">IF(F1238="","Completar cadastro","")</f>
        <v>Completar cadastro</v>
      </c>
      <c r="R1238" s="10" t="str">
        <f aca="false">INDEX(Parâmetros!$D$39:$D$43,MATCH(P1238,Parâmetros!$A$39:$A$43,0))</f>
        <v>Reciclar: requalificar, reengajar ou encerrar</v>
      </c>
    </row>
    <row r="1239" customFormat="false" ht="15" hidden="false" customHeight="false" outlineLevel="0" collapsed="false">
      <c r="A1239" s="10" t="s">
        <v>1485</v>
      </c>
      <c r="B1239" s="10" t="s">
        <v>67</v>
      </c>
      <c r="C1239" s="10" t="s">
        <v>65</v>
      </c>
      <c r="D1239" s="10" t="s">
        <v>160</v>
      </c>
      <c r="E1239" s="10" t="s">
        <v>49</v>
      </c>
      <c r="F1239" s="10"/>
      <c r="G1239" s="10" t="s">
        <v>162</v>
      </c>
      <c r="H1239" s="30" t="n">
        <v>42844</v>
      </c>
      <c r="I1239" s="8" t="n">
        <f aca="false">INDEX(Parâmetros!$C$13:$C$19,MATCH(E1239,Parâmetros!$A$13:$A$19,0))</f>
        <v>3393</v>
      </c>
      <c r="J1239" s="26" t="n">
        <f aca="false">IF(H1239="","",Parâmetros!$B$5-H1239)</f>
        <v>256</v>
      </c>
      <c r="K1239" s="10" t="n">
        <f aca="false">INDEX(Parâmetros!$D$13:$D$19,MATCH(E1239,Parâmetros!$A$13:$A$19,0))</f>
        <v>40</v>
      </c>
      <c r="L1239" s="10" t="n">
        <f aca="false">IF(G1239="Prospecting",Parâmetros!$B$9,IF(J1239&gt;Parâmetros!$B$6,0,INDEX(Parâmetros!$C$24:$C$26,MATCH(J1239,Parâmetros!$A$24:$A$26,1))))</f>
        <v>0</v>
      </c>
      <c r="M1239" s="31" t="n">
        <f aca="false">IF(G1239="Prospecting",1,INDEX(Parâmetros!$C$32:$C$35,MATCH(J1239,Parâmetros!$A$32:$A$35,1)))</f>
        <v>0.4</v>
      </c>
      <c r="N1239" s="2" t="n">
        <f aca="false">ROUND((K1239+L1239)*M1239,0)</f>
        <v>16</v>
      </c>
      <c r="O1239" s="10" t="str">
        <f aca="false">IF(AND(G1239="Engaging",J1239&gt;Parâmetros!$B$6),"Sim","Não")</f>
        <v>Sim</v>
      </c>
      <c r="P1239" s="32" t="str">
        <f aca="false">IF(O1239="Sim","R",IF(N1239&gt;=Parâmetros!$B$39,"A",IF(N1239&gt;=Parâmetros!$B$40,"B",IF(N1239&gt;=Parâmetros!$B$41,"C","D"))))</f>
        <v>R</v>
      </c>
      <c r="Q1239" s="10" t="str">
        <f aca="false">IF(F1239="","Completar cadastro","")</f>
        <v>Completar cadastro</v>
      </c>
      <c r="R1239" s="10" t="str">
        <f aca="false">INDEX(Parâmetros!$D$39:$D$43,MATCH(P1239,Parâmetros!$A$39:$A$43,0))</f>
        <v>Reciclar: requalificar, reengajar ou encerrar</v>
      </c>
    </row>
    <row r="1240" customFormat="false" ht="15" hidden="false" customHeight="false" outlineLevel="0" collapsed="false">
      <c r="A1240" s="10" t="s">
        <v>1486</v>
      </c>
      <c r="B1240" s="10" t="s">
        <v>61</v>
      </c>
      <c r="C1240" s="10" t="s">
        <v>58</v>
      </c>
      <c r="D1240" s="10" t="s">
        <v>165</v>
      </c>
      <c r="E1240" s="10" t="s">
        <v>49</v>
      </c>
      <c r="F1240" s="10" t="s">
        <v>947</v>
      </c>
      <c r="G1240" s="10" t="s">
        <v>162</v>
      </c>
      <c r="H1240" s="30" t="n">
        <v>42846</v>
      </c>
      <c r="I1240" s="8" t="n">
        <f aca="false">INDEX(Parâmetros!$C$13:$C$19,MATCH(E1240,Parâmetros!$A$13:$A$19,0))</f>
        <v>3393</v>
      </c>
      <c r="J1240" s="26" t="n">
        <f aca="false">IF(H1240="","",Parâmetros!$B$5-H1240)</f>
        <v>254</v>
      </c>
      <c r="K1240" s="10" t="n">
        <f aca="false">INDEX(Parâmetros!$D$13:$D$19,MATCH(E1240,Parâmetros!$A$13:$A$19,0))</f>
        <v>40</v>
      </c>
      <c r="L1240" s="10" t="n">
        <f aca="false">IF(G1240="Prospecting",Parâmetros!$B$9,IF(J1240&gt;Parâmetros!$B$6,0,INDEX(Parâmetros!$C$24:$C$26,MATCH(J1240,Parâmetros!$A$24:$A$26,1))))</f>
        <v>0</v>
      </c>
      <c r="M1240" s="31" t="n">
        <f aca="false">IF(G1240="Prospecting",1,INDEX(Parâmetros!$C$32:$C$35,MATCH(J1240,Parâmetros!$A$32:$A$35,1)))</f>
        <v>0.4</v>
      </c>
      <c r="N1240" s="2" t="n">
        <f aca="false">ROUND((K1240+L1240)*M1240,0)</f>
        <v>16</v>
      </c>
      <c r="O1240" s="10" t="str">
        <f aca="false">IF(AND(G1240="Engaging",J1240&gt;Parâmetros!$B$6),"Sim","Não")</f>
        <v>Sim</v>
      </c>
      <c r="P1240" s="32" t="str">
        <f aca="false">IF(O1240="Sim","R",IF(N1240&gt;=Parâmetros!$B$39,"A",IF(N1240&gt;=Parâmetros!$B$40,"B",IF(N1240&gt;=Parâmetros!$B$41,"C","D"))))</f>
        <v>R</v>
      </c>
      <c r="Q1240" s="10" t="str">
        <f aca="false">IF(F1240="","Completar cadastro","")</f>
        <v/>
      </c>
      <c r="R1240" s="10" t="str">
        <f aca="false">INDEX(Parâmetros!$D$39:$D$43,MATCH(P1240,Parâmetros!$A$39:$A$43,0))</f>
        <v>Reciclar: requalificar, reengajar ou encerrar</v>
      </c>
    </row>
    <row r="1241" customFormat="false" ht="15" hidden="false" customHeight="false" outlineLevel="0" collapsed="false">
      <c r="A1241" s="10" t="s">
        <v>1487</v>
      </c>
      <c r="B1241" s="10" t="s">
        <v>68</v>
      </c>
      <c r="C1241" s="10" t="s">
        <v>65</v>
      </c>
      <c r="D1241" s="10" t="s">
        <v>160</v>
      </c>
      <c r="E1241" s="10" t="s">
        <v>49</v>
      </c>
      <c r="F1241" s="10"/>
      <c r="G1241" s="10" t="s">
        <v>162</v>
      </c>
      <c r="H1241" s="30" t="n">
        <v>42848</v>
      </c>
      <c r="I1241" s="8" t="n">
        <f aca="false">INDEX(Parâmetros!$C$13:$C$19,MATCH(E1241,Parâmetros!$A$13:$A$19,0))</f>
        <v>3393</v>
      </c>
      <c r="J1241" s="26" t="n">
        <f aca="false">IF(H1241="","",Parâmetros!$B$5-H1241)</f>
        <v>252</v>
      </c>
      <c r="K1241" s="10" t="n">
        <f aca="false">INDEX(Parâmetros!$D$13:$D$19,MATCH(E1241,Parâmetros!$A$13:$A$19,0))</f>
        <v>40</v>
      </c>
      <c r="L1241" s="10" t="n">
        <f aca="false">IF(G1241="Prospecting",Parâmetros!$B$9,IF(J1241&gt;Parâmetros!$B$6,0,INDEX(Parâmetros!$C$24:$C$26,MATCH(J1241,Parâmetros!$A$24:$A$26,1))))</f>
        <v>0</v>
      </c>
      <c r="M1241" s="31" t="n">
        <f aca="false">IF(G1241="Prospecting",1,INDEX(Parâmetros!$C$32:$C$35,MATCH(J1241,Parâmetros!$A$32:$A$35,1)))</f>
        <v>0.4</v>
      </c>
      <c r="N1241" s="2" t="n">
        <f aca="false">ROUND((K1241+L1241)*M1241,0)</f>
        <v>16</v>
      </c>
      <c r="O1241" s="10" t="str">
        <f aca="false">IF(AND(G1241="Engaging",J1241&gt;Parâmetros!$B$6),"Sim","Não")</f>
        <v>Sim</v>
      </c>
      <c r="P1241" s="32" t="str">
        <f aca="false">IF(O1241="Sim","R",IF(N1241&gt;=Parâmetros!$B$39,"A",IF(N1241&gt;=Parâmetros!$B$40,"B",IF(N1241&gt;=Parâmetros!$B$41,"C","D"))))</f>
        <v>R</v>
      </c>
      <c r="Q1241" s="10" t="str">
        <f aca="false">IF(F1241="","Completar cadastro","")</f>
        <v>Completar cadastro</v>
      </c>
      <c r="R1241" s="10" t="str">
        <f aca="false">INDEX(Parâmetros!$D$39:$D$43,MATCH(P1241,Parâmetros!$A$39:$A$43,0))</f>
        <v>Reciclar: requalificar, reengajar ou encerrar</v>
      </c>
    </row>
    <row r="1242" customFormat="false" ht="15" hidden="false" customHeight="false" outlineLevel="0" collapsed="false">
      <c r="A1242" s="10" t="s">
        <v>1488</v>
      </c>
      <c r="B1242" s="10" t="s">
        <v>57</v>
      </c>
      <c r="C1242" s="10" t="s">
        <v>58</v>
      </c>
      <c r="D1242" s="10" t="s">
        <v>165</v>
      </c>
      <c r="E1242" s="10" t="s">
        <v>49</v>
      </c>
      <c r="F1242" s="10"/>
      <c r="G1242" s="10" t="s">
        <v>162</v>
      </c>
      <c r="H1242" s="30" t="n">
        <v>42849</v>
      </c>
      <c r="I1242" s="8" t="n">
        <f aca="false">INDEX(Parâmetros!$C$13:$C$19,MATCH(E1242,Parâmetros!$A$13:$A$19,0))</f>
        <v>3393</v>
      </c>
      <c r="J1242" s="26" t="n">
        <f aca="false">IF(H1242="","",Parâmetros!$B$5-H1242)</f>
        <v>251</v>
      </c>
      <c r="K1242" s="10" t="n">
        <f aca="false">INDEX(Parâmetros!$D$13:$D$19,MATCH(E1242,Parâmetros!$A$13:$A$19,0))</f>
        <v>40</v>
      </c>
      <c r="L1242" s="10" t="n">
        <f aca="false">IF(G1242="Prospecting",Parâmetros!$B$9,IF(J1242&gt;Parâmetros!$B$6,0,INDEX(Parâmetros!$C$24:$C$26,MATCH(J1242,Parâmetros!$A$24:$A$26,1))))</f>
        <v>0</v>
      </c>
      <c r="M1242" s="31" t="n">
        <f aca="false">IF(G1242="Prospecting",1,INDEX(Parâmetros!$C$32:$C$35,MATCH(J1242,Parâmetros!$A$32:$A$35,1)))</f>
        <v>0.4</v>
      </c>
      <c r="N1242" s="2" t="n">
        <f aca="false">ROUND((K1242+L1242)*M1242,0)</f>
        <v>16</v>
      </c>
      <c r="O1242" s="10" t="str">
        <f aca="false">IF(AND(G1242="Engaging",J1242&gt;Parâmetros!$B$6),"Sim","Não")</f>
        <v>Sim</v>
      </c>
      <c r="P1242" s="32" t="str">
        <f aca="false">IF(O1242="Sim","R",IF(N1242&gt;=Parâmetros!$B$39,"A",IF(N1242&gt;=Parâmetros!$B$40,"B",IF(N1242&gt;=Parâmetros!$B$41,"C","D"))))</f>
        <v>R</v>
      </c>
      <c r="Q1242" s="10" t="str">
        <f aca="false">IF(F1242="","Completar cadastro","")</f>
        <v>Completar cadastro</v>
      </c>
      <c r="R1242" s="10" t="str">
        <f aca="false">INDEX(Parâmetros!$D$39:$D$43,MATCH(P1242,Parâmetros!$A$39:$A$43,0))</f>
        <v>Reciclar: requalificar, reengajar ou encerrar</v>
      </c>
    </row>
    <row r="1243" customFormat="false" ht="15" hidden="false" customHeight="false" outlineLevel="0" collapsed="false">
      <c r="A1243" s="10" t="s">
        <v>1489</v>
      </c>
      <c r="B1243" s="10" t="s">
        <v>67</v>
      </c>
      <c r="C1243" s="10" t="s">
        <v>65</v>
      </c>
      <c r="D1243" s="10" t="s">
        <v>160</v>
      </c>
      <c r="E1243" s="10" t="s">
        <v>49</v>
      </c>
      <c r="F1243" s="10"/>
      <c r="G1243" s="10" t="s">
        <v>162</v>
      </c>
      <c r="H1243" s="30" t="n">
        <v>42849</v>
      </c>
      <c r="I1243" s="8" t="n">
        <f aca="false">INDEX(Parâmetros!$C$13:$C$19,MATCH(E1243,Parâmetros!$A$13:$A$19,0))</f>
        <v>3393</v>
      </c>
      <c r="J1243" s="26" t="n">
        <f aca="false">IF(H1243="","",Parâmetros!$B$5-H1243)</f>
        <v>251</v>
      </c>
      <c r="K1243" s="10" t="n">
        <f aca="false">INDEX(Parâmetros!$D$13:$D$19,MATCH(E1243,Parâmetros!$A$13:$A$19,0))</f>
        <v>40</v>
      </c>
      <c r="L1243" s="10" t="n">
        <f aca="false">IF(G1243="Prospecting",Parâmetros!$B$9,IF(J1243&gt;Parâmetros!$B$6,0,INDEX(Parâmetros!$C$24:$C$26,MATCH(J1243,Parâmetros!$A$24:$A$26,1))))</f>
        <v>0</v>
      </c>
      <c r="M1243" s="31" t="n">
        <f aca="false">IF(G1243="Prospecting",1,INDEX(Parâmetros!$C$32:$C$35,MATCH(J1243,Parâmetros!$A$32:$A$35,1)))</f>
        <v>0.4</v>
      </c>
      <c r="N1243" s="2" t="n">
        <f aca="false">ROUND((K1243+L1243)*M1243,0)</f>
        <v>16</v>
      </c>
      <c r="O1243" s="10" t="str">
        <f aca="false">IF(AND(G1243="Engaging",J1243&gt;Parâmetros!$B$6),"Sim","Não")</f>
        <v>Sim</v>
      </c>
      <c r="P1243" s="32" t="str">
        <f aca="false">IF(O1243="Sim","R",IF(N1243&gt;=Parâmetros!$B$39,"A",IF(N1243&gt;=Parâmetros!$B$40,"B",IF(N1243&gt;=Parâmetros!$B$41,"C","D"))))</f>
        <v>R</v>
      </c>
      <c r="Q1243" s="10" t="str">
        <f aca="false">IF(F1243="","Completar cadastro","")</f>
        <v>Completar cadastro</v>
      </c>
      <c r="R1243" s="10" t="str">
        <f aca="false">INDEX(Parâmetros!$D$39:$D$43,MATCH(P1243,Parâmetros!$A$39:$A$43,0))</f>
        <v>Reciclar: requalificar, reengajar ou encerrar</v>
      </c>
    </row>
    <row r="1244" customFormat="false" ht="15" hidden="false" customHeight="false" outlineLevel="0" collapsed="false">
      <c r="A1244" s="10" t="s">
        <v>1490</v>
      </c>
      <c r="B1244" s="10" t="s">
        <v>87</v>
      </c>
      <c r="C1244" s="10" t="s">
        <v>85</v>
      </c>
      <c r="D1244" s="10" t="s">
        <v>165</v>
      </c>
      <c r="E1244" s="10" t="s">
        <v>49</v>
      </c>
      <c r="F1244" s="10"/>
      <c r="G1244" s="10" t="s">
        <v>162</v>
      </c>
      <c r="H1244" s="30" t="n">
        <v>42851</v>
      </c>
      <c r="I1244" s="8" t="n">
        <f aca="false">INDEX(Parâmetros!$C$13:$C$19,MATCH(E1244,Parâmetros!$A$13:$A$19,0))</f>
        <v>3393</v>
      </c>
      <c r="J1244" s="26" t="n">
        <f aca="false">IF(H1244="","",Parâmetros!$B$5-H1244)</f>
        <v>249</v>
      </c>
      <c r="K1244" s="10" t="n">
        <f aca="false">INDEX(Parâmetros!$D$13:$D$19,MATCH(E1244,Parâmetros!$A$13:$A$19,0))</f>
        <v>40</v>
      </c>
      <c r="L1244" s="10" t="n">
        <f aca="false">IF(G1244="Prospecting",Parâmetros!$B$9,IF(J1244&gt;Parâmetros!$B$6,0,INDEX(Parâmetros!$C$24:$C$26,MATCH(J1244,Parâmetros!$A$24:$A$26,1))))</f>
        <v>0</v>
      </c>
      <c r="M1244" s="31" t="n">
        <f aca="false">IF(G1244="Prospecting",1,INDEX(Parâmetros!$C$32:$C$35,MATCH(J1244,Parâmetros!$A$32:$A$35,1)))</f>
        <v>0.4</v>
      </c>
      <c r="N1244" s="2" t="n">
        <f aca="false">ROUND((K1244+L1244)*M1244,0)</f>
        <v>16</v>
      </c>
      <c r="O1244" s="10" t="str">
        <f aca="false">IF(AND(G1244="Engaging",J1244&gt;Parâmetros!$B$6),"Sim","Não")</f>
        <v>Sim</v>
      </c>
      <c r="P1244" s="32" t="str">
        <f aca="false">IF(O1244="Sim","R",IF(N1244&gt;=Parâmetros!$B$39,"A",IF(N1244&gt;=Parâmetros!$B$40,"B",IF(N1244&gt;=Parâmetros!$B$41,"C","D"))))</f>
        <v>R</v>
      </c>
      <c r="Q1244" s="10" t="str">
        <f aca="false">IF(F1244="","Completar cadastro","")</f>
        <v>Completar cadastro</v>
      </c>
      <c r="R1244" s="10" t="str">
        <f aca="false">INDEX(Parâmetros!$D$39:$D$43,MATCH(P1244,Parâmetros!$A$39:$A$43,0))</f>
        <v>Reciclar: requalificar, reengajar ou encerrar</v>
      </c>
    </row>
    <row r="1245" customFormat="false" ht="15" hidden="false" customHeight="false" outlineLevel="0" collapsed="false">
      <c r="A1245" s="10" t="s">
        <v>1491</v>
      </c>
      <c r="B1245" s="10" t="s">
        <v>95</v>
      </c>
      <c r="C1245" s="10" t="s">
        <v>92</v>
      </c>
      <c r="D1245" s="10" t="s">
        <v>160</v>
      </c>
      <c r="E1245" s="10" t="s">
        <v>49</v>
      </c>
      <c r="F1245" s="10" t="s">
        <v>259</v>
      </c>
      <c r="G1245" s="10" t="s">
        <v>162</v>
      </c>
      <c r="H1245" s="30" t="n">
        <v>42854</v>
      </c>
      <c r="I1245" s="8" t="n">
        <f aca="false">INDEX(Parâmetros!$C$13:$C$19,MATCH(E1245,Parâmetros!$A$13:$A$19,0))</f>
        <v>3393</v>
      </c>
      <c r="J1245" s="26" t="n">
        <f aca="false">IF(H1245="","",Parâmetros!$B$5-H1245)</f>
        <v>246</v>
      </c>
      <c r="K1245" s="10" t="n">
        <f aca="false">INDEX(Parâmetros!$D$13:$D$19,MATCH(E1245,Parâmetros!$A$13:$A$19,0))</f>
        <v>40</v>
      </c>
      <c r="L1245" s="10" t="n">
        <f aca="false">IF(G1245="Prospecting",Parâmetros!$B$9,IF(J1245&gt;Parâmetros!$B$6,0,INDEX(Parâmetros!$C$24:$C$26,MATCH(J1245,Parâmetros!$A$24:$A$26,1))))</f>
        <v>0</v>
      </c>
      <c r="M1245" s="31" t="n">
        <f aca="false">IF(G1245="Prospecting",1,INDEX(Parâmetros!$C$32:$C$35,MATCH(J1245,Parâmetros!$A$32:$A$35,1)))</f>
        <v>0.4</v>
      </c>
      <c r="N1245" s="2" t="n">
        <f aca="false">ROUND((K1245+L1245)*M1245,0)</f>
        <v>16</v>
      </c>
      <c r="O1245" s="10" t="str">
        <f aca="false">IF(AND(G1245="Engaging",J1245&gt;Parâmetros!$B$6),"Sim","Não")</f>
        <v>Sim</v>
      </c>
      <c r="P1245" s="32" t="str">
        <f aca="false">IF(O1245="Sim","R",IF(N1245&gt;=Parâmetros!$B$39,"A",IF(N1245&gt;=Parâmetros!$B$40,"B",IF(N1245&gt;=Parâmetros!$B$41,"C","D"))))</f>
        <v>R</v>
      </c>
      <c r="Q1245" s="10" t="str">
        <f aca="false">IF(F1245="","Completar cadastro","")</f>
        <v/>
      </c>
      <c r="R1245" s="10" t="str">
        <f aca="false">INDEX(Parâmetros!$D$39:$D$43,MATCH(P1245,Parâmetros!$A$39:$A$43,0))</f>
        <v>Reciclar: requalificar, reengajar ou encerrar</v>
      </c>
    </row>
    <row r="1246" customFormat="false" ht="15" hidden="false" customHeight="false" outlineLevel="0" collapsed="false">
      <c r="A1246" s="10" t="s">
        <v>1492</v>
      </c>
      <c r="B1246" s="10" t="s">
        <v>68</v>
      </c>
      <c r="C1246" s="10" t="s">
        <v>65</v>
      </c>
      <c r="D1246" s="10" t="s">
        <v>160</v>
      </c>
      <c r="E1246" s="10" t="s">
        <v>49</v>
      </c>
      <c r="F1246" s="10" t="s">
        <v>1251</v>
      </c>
      <c r="G1246" s="10" t="s">
        <v>162</v>
      </c>
      <c r="H1246" s="30" t="n">
        <v>42856</v>
      </c>
      <c r="I1246" s="8" t="n">
        <f aca="false">INDEX(Parâmetros!$C$13:$C$19,MATCH(E1246,Parâmetros!$A$13:$A$19,0))</f>
        <v>3393</v>
      </c>
      <c r="J1246" s="26" t="n">
        <f aca="false">IF(H1246="","",Parâmetros!$B$5-H1246)</f>
        <v>244</v>
      </c>
      <c r="K1246" s="10" t="n">
        <f aca="false">INDEX(Parâmetros!$D$13:$D$19,MATCH(E1246,Parâmetros!$A$13:$A$19,0))</f>
        <v>40</v>
      </c>
      <c r="L1246" s="10" t="n">
        <f aca="false">IF(G1246="Prospecting",Parâmetros!$B$9,IF(J1246&gt;Parâmetros!$B$6,0,INDEX(Parâmetros!$C$24:$C$26,MATCH(J1246,Parâmetros!$A$24:$A$26,1))))</f>
        <v>0</v>
      </c>
      <c r="M1246" s="31" t="n">
        <f aca="false">IF(G1246="Prospecting",1,INDEX(Parâmetros!$C$32:$C$35,MATCH(J1246,Parâmetros!$A$32:$A$35,1)))</f>
        <v>0.4</v>
      </c>
      <c r="N1246" s="2" t="n">
        <f aca="false">ROUND((K1246+L1246)*M1246,0)</f>
        <v>16</v>
      </c>
      <c r="O1246" s="10" t="str">
        <f aca="false">IF(AND(G1246="Engaging",J1246&gt;Parâmetros!$B$6),"Sim","Não")</f>
        <v>Sim</v>
      </c>
      <c r="P1246" s="32" t="str">
        <f aca="false">IF(O1246="Sim","R",IF(N1246&gt;=Parâmetros!$B$39,"A",IF(N1246&gt;=Parâmetros!$B$40,"B",IF(N1246&gt;=Parâmetros!$B$41,"C","D"))))</f>
        <v>R</v>
      </c>
      <c r="Q1246" s="10" t="str">
        <f aca="false">IF(F1246="","Completar cadastro","")</f>
        <v/>
      </c>
      <c r="R1246" s="10" t="str">
        <f aca="false">INDEX(Parâmetros!$D$39:$D$43,MATCH(P1246,Parâmetros!$A$39:$A$43,0))</f>
        <v>Reciclar: requalificar, reengajar ou encerrar</v>
      </c>
    </row>
    <row r="1247" customFormat="false" ht="15" hidden="false" customHeight="false" outlineLevel="0" collapsed="false">
      <c r="A1247" s="10" t="s">
        <v>1493</v>
      </c>
      <c r="B1247" s="10" t="s">
        <v>97</v>
      </c>
      <c r="C1247" s="10" t="s">
        <v>92</v>
      </c>
      <c r="D1247" s="10" t="s">
        <v>160</v>
      </c>
      <c r="E1247" s="10" t="s">
        <v>49</v>
      </c>
      <c r="F1247" s="10" t="s">
        <v>1118</v>
      </c>
      <c r="G1247" s="10" t="s">
        <v>162</v>
      </c>
      <c r="H1247" s="30" t="n">
        <v>42856</v>
      </c>
      <c r="I1247" s="8" t="n">
        <f aca="false">INDEX(Parâmetros!$C$13:$C$19,MATCH(E1247,Parâmetros!$A$13:$A$19,0))</f>
        <v>3393</v>
      </c>
      <c r="J1247" s="26" t="n">
        <f aca="false">IF(H1247="","",Parâmetros!$B$5-H1247)</f>
        <v>244</v>
      </c>
      <c r="K1247" s="10" t="n">
        <f aca="false">INDEX(Parâmetros!$D$13:$D$19,MATCH(E1247,Parâmetros!$A$13:$A$19,0))</f>
        <v>40</v>
      </c>
      <c r="L1247" s="10" t="n">
        <f aca="false">IF(G1247="Prospecting",Parâmetros!$B$9,IF(J1247&gt;Parâmetros!$B$6,0,INDEX(Parâmetros!$C$24:$C$26,MATCH(J1247,Parâmetros!$A$24:$A$26,1))))</f>
        <v>0</v>
      </c>
      <c r="M1247" s="31" t="n">
        <f aca="false">IF(G1247="Prospecting",1,INDEX(Parâmetros!$C$32:$C$35,MATCH(J1247,Parâmetros!$A$32:$A$35,1)))</f>
        <v>0.4</v>
      </c>
      <c r="N1247" s="2" t="n">
        <f aca="false">ROUND((K1247+L1247)*M1247,0)</f>
        <v>16</v>
      </c>
      <c r="O1247" s="10" t="str">
        <f aca="false">IF(AND(G1247="Engaging",J1247&gt;Parâmetros!$B$6),"Sim","Não")</f>
        <v>Sim</v>
      </c>
      <c r="P1247" s="32" t="str">
        <f aca="false">IF(O1247="Sim","R",IF(N1247&gt;=Parâmetros!$B$39,"A",IF(N1247&gt;=Parâmetros!$B$40,"B",IF(N1247&gt;=Parâmetros!$B$41,"C","D"))))</f>
        <v>R</v>
      </c>
      <c r="Q1247" s="10" t="str">
        <f aca="false">IF(F1247="","Completar cadastro","")</f>
        <v/>
      </c>
      <c r="R1247" s="10" t="str">
        <f aca="false">INDEX(Parâmetros!$D$39:$D$43,MATCH(P1247,Parâmetros!$A$39:$A$43,0))</f>
        <v>Reciclar: requalificar, reengajar ou encerrar</v>
      </c>
    </row>
    <row r="1248" customFormat="false" ht="15" hidden="false" customHeight="false" outlineLevel="0" collapsed="false">
      <c r="A1248" s="10" t="s">
        <v>1494</v>
      </c>
      <c r="B1248" s="10" t="s">
        <v>63</v>
      </c>
      <c r="C1248" s="10" t="s">
        <v>58</v>
      </c>
      <c r="D1248" s="10" t="s">
        <v>165</v>
      </c>
      <c r="E1248" s="10" t="s">
        <v>49</v>
      </c>
      <c r="F1248" s="10"/>
      <c r="G1248" s="10" t="s">
        <v>162</v>
      </c>
      <c r="H1248" s="30" t="n">
        <v>42859</v>
      </c>
      <c r="I1248" s="8" t="n">
        <f aca="false">INDEX(Parâmetros!$C$13:$C$19,MATCH(E1248,Parâmetros!$A$13:$A$19,0))</f>
        <v>3393</v>
      </c>
      <c r="J1248" s="26" t="n">
        <f aca="false">IF(H1248="","",Parâmetros!$B$5-H1248)</f>
        <v>241</v>
      </c>
      <c r="K1248" s="10" t="n">
        <f aca="false">INDEX(Parâmetros!$D$13:$D$19,MATCH(E1248,Parâmetros!$A$13:$A$19,0))</f>
        <v>40</v>
      </c>
      <c r="L1248" s="10" t="n">
        <f aca="false">IF(G1248="Prospecting",Parâmetros!$B$9,IF(J1248&gt;Parâmetros!$B$6,0,INDEX(Parâmetros!$C$24:$C$26,MATCH(J1248,Parâmetros!$A$24:$A$26,1))))</f>
        <v>0</v>
      </c>
      <c r="M1248" s="31" t="n">
        <f aca="false">IF(G1248="Prospecting",1,INDEX(Parâmetros!$C$32:$C$35,MATCH(J1248,Parâmetros!$A$32:$A$35,1)))</f>
        <v>0.4</v>
      </c>
      <c r="N1248" s="2" t="n">
        <f aca="false">ROUND((K1248+L1248)*M1248,0)</f>
        <v>16</v>
      </c>
      <c r="O1248" s="10" t="str">
        <f aca="false">IF(AND(G1248="Engaging",J1248&gt;Parâmetros!$B$6),"Sim","Não")</f>
        <v>Sim</v>
      </c>
      <c r="P1248" s="32" t="str">
        <f aca="false">IF(O1248="Sim","R",IF(N1248&gt;=Parâmetros!$B$39,"A",IF(N1248&gt;=Parâmetros!$B$40,"B",IF(N1248&gt;=Parâmetros!$B$41,"C","D"))))</f>
        <v>R</v>
      </c>
      <c r="Q1248" s="10" t="str">
        <f aca="false">IF(F1248="","Completar cadastro","")</f>
        <v>Completar cadastro</v>
      </c>
      <c r="R1248" s="10" t="str">
        <f aca="false">INDEX(Parâmetros!$D$39:$D$43,MATCH(P1248,Parâmetros!$A$39:$A$43,0))</f>
        <v>Reciclar: requalificar, reengajar ou encerrar</v>
      </c>
    </row>
    <row r="1249" customFormat="false" ht="15" hidden="false" customHeight="false" outlineLevel="0" collapsed="false">
      <c r="A1249" s="10" t="s">
        <v>1495</v>
      </c>
      <c r="B1249" s="10" t="s">
        <v>69</v>
      </c>
      <c r="C1249" s="10" t="s">
        <v>65</v>
      </c>
      <c r="D1249" s="10" t="s">
        <v>160</v>
      </c>
      <c r="E1249" s="10" t="s">
        <v>49</v>
      </c>
      <c r="F1249" s="10"/>
      <c r="G1249" s="10" t="s">
        <v>162</v>
      </c>
      <c r="H1249" s="30" t="n">
        <v>42862</v>
      </c>
      <c r="I1249" s="8" t="n">
        <f aca="false">INDEX(Parâmetros!$C$13:$C$19,MATCH(E1249,Parâmetros!$A$13:$A$19,0))</f>
        <v>3393</v>
      </c>
      <c r="J1249" s="26" t="n">
        <f aca="false">IF(H1249="","",Parâmetros!$B$5-H1249)</f>
        <v>238</v>
      </c>
      <c r="K1249" s="10" t="n">
        <f aca="false">INDEX(Parâmetros!$D$13:$D$19,MATCH(E1249,Parâmetros!$A$13:$A$19,0))</f>
        <v>40</v>
      </c>
      <c r="L1249" s="10" t="n">
        <f aca="false">IF(G1249="Prospecting",Parâmetros!$B$9,IF(J1249&gt;Parâmetros!$B$6,0,INDEX(Parâmetros!$C$24:$C$26,MATCH(J1249,Parâmetros!$A$24:$A$26,1))))</f>
        <v>0</v>
      </c>
      <c r="M1249" s="31" t="n">
        <f aca="false">IF(G1249="Prospecting",1,INDEX(Parâmetros!$C$32:$C$35,MATCH(J1249,Parâmetros!$A$32:$A$35,1)))</f>
        <v>0.4</v>
      </c>
      <c r="N1249" s="2" t="n">
        <f aca="false">ROUND((K1249+L1249)*M1249,0)</f>
        <v>16</v>
      </c>
      <c r="O1249" s="10" t="str">
        <f aca="false">IF(AND(G1249="Engaging",J1249&gt;Parâmetros!$B$6),"Sim","Não")</f>
        <v>Sim</v>
      </c>
      <c r="P1249" s="32" t="str">
        <f aca="false">IF(O1249="Sim","R",IF(N1249&gt;=Parâmetros!$B$39,"A",IF(N1249&gt;=Parâmetros!$B$40,"B",IF(N1249&gt;=Parâmetros!$B$41,"C","D"))))</f>
        <v>R</v>
      </c>
      <c r="Q1249" s="10" t="str">
        <f aca="false">IF(F1249="","Completar cadastro","")</f>
        <v>Completar cadastro</v>
      </c>
      <c r="R1249" s="10" t="str">
        <f aca="false">INDEX(Parâmetros!$D$39:$D$43,MATCH(P1249,Parâmetros!$A$39:$A$43,0))</f>
        <v>Reciclar: requalificar, reengajar ou encerrar</v>
      </c>
    </row>
    <row r="1250" customFormat="false" ht="15" hidden="false" customHeight="false" outlineLevel="0" collapsed="false">
      <c r="A1250" s="10" t="s">
        <v>1496</v>
      </c>
      <c r="B1250" s="10" t="s">
        <v>62</v>
      </c>
      <c r="C1250" s="10" t="s">
        <v>58</v>
      </c>
      <c r="D1250" s="10" t="s">
        <v>165</v>
      </c>
      <c r="E1250" s="10" t="s">
        <v>49</v>
      </c>
      <c r="F1250" s="10"/>
      <c r="G1250" s="10" t="s">
        <v>162</v>
      </c>
      <c r="H1250" s="30" t="n">
        <v>42862</v>
      </c>
      <c r="I1250" s="8" t="n">
        <f aca="false">INDEX(Parâmetros!$C$13:$C$19,MATCH(E1250,Parâmetros!$A$13:$A$19,0))</f>
        <v>3393</v>
      </c>
      <c r="J1250" s="26" t="n">
        <f aca="false">IF(H1250="","",Parâmetros!$B$5-H1250)</f>
        <v>238</v>
      </c>
      <c r="K1250" s="10" t="n">
        <f aca="false">INDEX(Parâmetros!$D$13:$D$19,MATCH(E1250,Parâmetros!$A$13:$A$19,0))</f>
        <v>40</v>
      </c>
      <c r="L1250" s="10" t="n">
        <f aca="false">IF(G1250="Prospecting",Parâmetros!$B$9,IF(J1250&gt;Parâmetros!$B$6,0,INDEX(Parâmetros!$C$24:$C$26,MATCH(J1250,Parâmetros!$A$24:$A$26,1))))</f>
        <v>0</v>
      </c>
      <c r="M1250" s="31" t="n">
        <f aca="false">IF(G1250="Prospecting",1,INDEX(Parâmetros!$C$32:$C$35,MATCH(J1250,Parâmetros!$A$32:$A$35,1)))</f>
        <v>0.4</v>
      </c>
      <c r="N1250" s="2" t="n">
        <f aca="false">ROUND((K1250+L1250)*M1250,0)</f>
        <v>16</v>
      </c>
      <c r="O1250" s="10" t="str">
        <f aca="false">IF(AND(G1250="Engaging",J1250&gt;Parâmetros!$B$6),"Sim","Não")</f>
        <v>Sim</v>
      </c>
      <c r="P1250" s="32" t="str">
        <f aca="false">IF(O1250="Sim","R",IF(N1250&gt;=Parâmetros!$B$39,"A",IF(N1250&gt;=Parâmetros!$B$40,"B",IF(N1250&gt;=Parâmetros!$B$41,"C","D"))))</f>
        <v>R</v>
      </c>
      <c r="Q1250" s="10" t="str">
        <f aca="false">IF(F1250="","Completar cadastro","")</f>
        <v>Completar cadastro</v>
      </c>
      <c r="R1250" s="10" t="str">
        <f aca="false">INDEX(Parâmetros!$D$39:$D$43,MATCH(P1250,Parâmetros!$A$39:$A$43,0))</f>
        <v>Reciclar: requalificar, reengajar ou encerrar</v>
      </c>
    </row>
    <row r="1251" customFormat="false" ht="15" hidden="false" customHeight="false" outlineLevel="0" collapsed="false">
      <c r="A1251" s="10" t="s">
        <v>1497</v>
      </c>
      <c r="B1251" s="10" t="s">
        <v>84</v>
      </c>
      <c r="C1251" s="10" t="s">
        <v>85</v>
      </c>
      <c r="D1251" s="10" t="s">
        <v>165</v>
      </c>
      <c r="E1251" s="10" t="s">
        <v>49</v>
      </c>
      <c r="F1251" s="10"/>
      <c r="G1251" s="10" t="s">
        <v>162</v>
      </c>
      <c r="H1251" s="30" t="n">
        <v>42864</v>
      </c>
      <c r="I1251" s="8" t="n">
        <f aca="false">INDEX(Parâmetros!$C$13:$C$19,MATCH(E1251,Parâmetros!$A$13:$A$19,0))</f>
        <v>3393</v>
      </c>
      <c r="J1251" s="26" t="n">
        <f aca="false">IF(H1251="","",Parâmetros!$B$5-H1251)</f>
        <v>236</v>
      </c>
      <c r="K1251" s="10" t="n">
        <f aca="false">INDEX(Parâmetros!$D$13:$D$19,MATCH(E1251,Parâmetros!$A$13:$A$19,0))</f>
        <v>40</v>
      </c>
      <c r="L1251" s="10" t="n">
        <f aca="false">IF(G1251="Prospecting",Parâmetros!$B$9,IF(J1251&gt;Parâmetros!$B$6,0,INDEX(Parâmetros!$C$24:$C$26,MATCH(J1251,Parâmetros!$A$24:$A$26,1))))</f>
        <v>0</v>
      </c>
      <c r="M1251" s="31" t="n">
        <f aca="false">IF(G1251="Prospecting",1,INDEX(Parâmetros!$C$32:$C$35,MATCH(J1251,Parâmetros!$A$32:$A$35,1)))</f>
        <v>0.4</v>
      </c>
      <c r="N1251" s="2" t="n">
        <f aca="false">ROUND((K1251+L1251)*M1251,0)</f>
        <v>16</v>
      </c>
      <c r="O1251" s="10" t="str">
        <f aca="false">IF(AND(G1251="Engaging",J1251&gt;Parâmetros!$B$6),"Sim","Não")</f>
        <v>Sim</v>
      </c>
      <c r="P1251" s="32" t="str">
        <f aca="false">IF(O1251="Sim","R",IF(N1251&gt;=Parâmetros!$B$39,"A",IF(N1251&gt;=Parâmetros!$B$40,"B",IF(N1251&gt;=Parâmetros!$B$41,"C","D"))))</f>
        <v>R</v>
      </c>
      <c r="Q1251" s="10" t="str">
        <f aca="false">IF(F1251="","Completar cadastro","")</f>
        <v>Completar cadastro</v>
      </c>
      <c r="R1251" s="10" t="str">
        <f aca="false">INDEX(Parâmetros!$D$39:$D$43,MATCH(P1251,Parâmetros!$A$39:$A$43,0))</f>
        <v>Reciclar: requalificar, reengajar ou encerrar</v>
      </c>
    </row>
    <row r="1252" customFormat="false" ht="15" hidden="false" customHeight="false" outlineLevel="0" collapsed="false">
      <c r="A1252" s="10" t="s">
        <v>1498</v>
      </c>
      <c r="B1252" s="10" t="s">
        <v>57</v>
      </c>
      <c r="C1252" s="10" t="s">
        <v>58</v>
      </c>
      <c r="D1252" s="10" t="s">
        <v>165</v>
      </c>
      <c r="E1252" s="10" t="s">
        <v>49</v>
      </c>
      <c r="F1252" s="10"/>
      <c r="G1252" s="10" t="s">
        <v>162</v>
      </c>
      <c r="H1252" s="30" t="n">
        <v>42868</v>
      </c>
      <c r="I1252" s="8" t="n">
        <f aca="false">INDEX(Parâmetros!$C$13:$C$19,MATCH(E1252,Parâmetros!$A$13:$A$19,0))</f>
        <v>3393</v>
      </c>
      <c r="J1252" s="26" t="n">
        <f aca="false">IF(H1252="","",Parâmetros!$B$5-H1252)</f>
        <v>232</v>
      </c>
      <c r="K1252" s="10" t="n">
        <f aca="false">INDEX(Parâmetros!$D$13:$D$19,MATCH(E1252,Parâmetros!$A$13:$A$19,0))</f>
        <v>40</v>
      </c>
      <c r="L1252" s="10" t="n">
        <f aca="false">IF(G1252="Prospecting",Parâmetros!$B$9,IF(J1252&gt;Parâmetros!$B$6,0,INDEX(Parâmetros!$C$24:$C$26,MATCH(J1252,Parâmetros!$A$24:$A$26,1))))</f>
        <v>0</v>
      </c>
      <c r="M1252" s="31" t="n">
        <f aca="false">IF(G1252="Prospecting",1,INDEX(Parâmetros!$C$32:$C$35,MATCH(J1252,Parâmetros!$A$32:$A$35,1)))</f>
        <v>0.4</v>
      </c>
      <c r="N1252" s="2" t="n">
        <f aca="false">ROUND((K1252+L1252)*M1252,0)</f>
        <v>16</v>
      </c>
      <c r="O1252" s="10" t="str">
        <f aca="false">IF(AND(G1252="Engaging",J1252&gt;Parâmetros!$B$6),"Sim","Não")</f>
        <v>Sim</v>
      </c>
      <c r="P1252" s="32" t="str">
        <f aca="false">IF(O1252="Sim","R",IF(N1252&gt;=Parâmetros!$B$39,"A",IF(N1252&gt;=Parâmetros!$B$40,"B",IF(N1252&gt;=Parâmetros!$B$41,"C","D"))))</f>
        <v>R</v>
      </c>
      <c r="Q1252" s="10" t="str">
        <f aca="false">IF(F1252="","Completar cadastro","")</f>
        <v>Completar cadastro</v>
      </c>
      <c r="R1252" s="10" t="str">
        <f aca="false">INDEX(Parâmetros!$D$39:$D$43,MATCH(P1252,Parâmetros!$A$39:$A$43,0))</f>
        <v>Reciclar: requalificar, reengajar ou encerrar</v>
      </c>
    </row>
    <row r="1253" customFormat="false" ht="15" hidden="false" customHeight="false" outlineLevel="0" collapsed="false">
      <c r="A1253" s="10" t="s">
        <v>1499</v>
      </c>
      <c r="B1253" s="10" t="s">
        <v>67</v>
      </c>
      <c r="C1253" s="10" t="s">
        <v>65</v>
      </c>
      <c r="D1253" s="10" t="s">
        <v>160</v>
      </c>
      <c r="E1253" s="10" t="s">
        <v>49</v>
      </c>
      <c r="F1253" s="10" t="s">
        <v>514</v>
      </c>
      <c r="G1253" s="10" t="s">
        <v>162</v>
      </c>
      <c r="H1253" s="30" t="n">
        <v>42868</v>
      </c>
      <c r="I1253" s="8" t="n">
        <f aca="false">INDEX(Parâmetros!$C$13:$C$19,MATCH(E1253,Parâmetros!$A$13:$A$19,0))</f>
        <v>3393</v>
      </c>
      <c r="J1253" s="26" t="n">
        <f aca="false">IF(H1253="","",Parâmetros!$B$5-H1253)</f>
        <v>232</v>
      </c>
      <c r="K1253" s="10" t="n">
        <f aca="false">INDEX(Parâmetros!$D$13:$D$19,MATCH(E1253,Parâmetros!$A$13:$A$19,0))</f>
        <v>40</v>
      </c>
      <c r="L1253" s="10" t="n">
        <f aca="false">IF(G1253="Prospecting",Parâmetros!$B$9,IF(J1253&gt;Parâmetros!$B$6,0,INDEX(Parâmetros!$C$24:$C$26,MATCH(J1253,Parâmetros!$A$24:$A$26,1))))</f>
        <v>0</v>
      </c>
      <c r="M1253" s="31" t="n">
        <f aca="false">IF(G1253="Prospecting",1,INDEX(Parâmetros!$C$32:$C$35,MATCH(J1253,Parâmetros!$A$32:$A$35,1)))</f>
        <v>0.4</v>
      </c>
      <c r="N1253" s="2" t="n">
        <f aca="false">ROUND((K1253+L1253)*M1253,0)</f>
        <v>16</v>
      </c>
      <c r="O1253" s="10" t="str">
        <f aca="false">IF(AND(G1253="Engaging",J1253&gt;Parâmetros!$B$6),"Sim","Não")</f>
        <v>Sim</v>
      </c>
      <c r="P1253" s="32" t="str">
        <f aca="false">IF(O1253="Sim","R",IF(N1253&gt;=Parâmetros!$B$39,"A",IF(N1253&gt;=Parâmetros!$B$40,"B",IF(N1253&gt;=Parâmetros!$B$41,"C","D"))))</f>
        <v>R</v>
      </c>
      <c r="Q1253" s="10" t="str">
        <f aca="false">IF(F1253="","Completar cadastro","")</f>
        <v/>
      </c>
      <c r="R1253" s="10" t="str">
        <f aca="false">INDEX(Parâmetros!$D$39:$D$43,MATCH(P1253,Parâmetros!$A$39:$A$43,0))</f>
        <v>Reciclar: requalificar, reengajar ou encerrar</v>
      </c>
    </row>
    <row r="1254" customFormat="false" ht="15" hidden="false" customHeight="false" outlineLevel="0" collapsed="false">
      <c r="A1254" s="10" t="s">
        <v>1500</v>
      </c>
      <c r="B1254" s="10" t="s">
        <v>84</v>
      </c>
      <c r="C1254" s="10" t="s">
        <v>85</v>
      </c>
      <c r="D1254" s="10" t="s">
        <v>165</v>
      </c>
      <c r="E1254" s="10" t="s">
        <v>49</v>
      </c>
      <c r="F1254" s="10" t="s">
        <v>259</v>
      </c>
      <c r="G1254" s="10" t="s">
        <v>162</v>
      </c>
      <c r="H1254" s="30" t="n">
        <v>42869</v>
      </c>
      <c r="I1254" s="8" t="n">
        <f aca="false">INDEX(Parâmetros!$C$13:$C$19,MATCH(E1254,Parâmetros!$A$13:$A$19,0))</f>
        <v>3393</v>
      </c>
      <c r="J1254" s="26" t="n">
        <f aca="false">IF(H1254="","",Parâmetros!$B$5-H1254)</f>
        <v>231</v>
      </c>
      <c r="K1254" s="10" t="n">
        <f aca="false">INDEX(Parâmetros!$D$13:$D$19,MATCH(E1254,Parâmetros!$A$13:$A$19,0))</f>
        <v>40</v>
      </c>
      <c r="L1254" s="10" t="n">
        <f aca="false">IF(G1254="Prospecting",Parâmetros!$B$9,IF(J1254&gt;Parâmetros!$B$6,0,INDEX(Parâmetros!$C$24:$C$26,MATCH(J1254,Parâmetros!$A$24:$A$26,1))))</f>
        <v>0</v>
      </c>
      <c r="M1254" s="31" t="n">
        <f aca="false">IF(G1254="Prospecting",1,INDEX(Parâmetros!$C$32:$C$35,MATCH(J1254,Parâmetros!$A$32:$A$35,1)))</f>
        <v>0.4</v>
      </c>
      <c r="N1254" s="2" t="n">
        <f aca="false">ROUND((K1254+L1254)*M1254,0)</f>
        <v>16</v>
      </c>
      <c r="O1254" s="10" t="str">
        <f aca="false">IF(AND(G1254="Engaging",J1254&gt;Parâmetros!$B$6),"Sim","Não")</f>
        <v>Sim</v>
      </c>
      <c r="P1254" s="32" t="str">
        <f aca="false">IF(O1254="Sim","R",IF(N1254&gt;=Parâmetros!$B$39,"A",IF(N1254&gt;=Parâmetros!$B$40,"B",IF(N1254&gt;=Parâmetros!$B$41,"C","D"))))</f>
        <v>R</v>
      </c>
      <c r="Q1254" s="10" t="str">
        <f aca="false">IF(F1254="","Completar cadastro","")</f>
        <v/>
      </c>
      <c r="R1254" s="10" t="str">
        <f aca="false">INDEX(Parâmetros!$D$39:$D$43,MATCH(P1254,Parâmetros!$A$39:$A$43,0))</f>
        <v>Reciclar: requalificar, reengajar ou encerrar</v>
      </c>
    </row>
    <row r="1255" customFormat="false" ht="15" hidden="false" customHeight="false" outlineLevel="0" collapsed="false">
      <c r="A1255" s="10" t="s">
        <v>1501</v>
      </c>
      <c r="B1255" s="10" t="s">
        <v>86</v>
      </c>
      <c r="C1255" s="10" t="s">
        <v>85</v>
      </c>
      <c r="D1255" s="10" t="s">
        <v>165</v>
      </c>
      <c r="E1255" s="10" t="s">
        <v>49</v>
      </c>
      <c r="F1255" s="10" t="s">
        <v>210</v>
      </c>
      <c r="G1255" s="10" t="s">
        <v>162</v>
      </c>
      <c r="H1255" s="30" t="n">
        <v>42870</v>
      </c>
      <c r="I1255" s="8" t="n">
        <f aca="false">INDEX(Parâmetros!$C$13:$C$19,MATCH(E1255,Parâmetros!$A$13:$A$19,0))</f>
        <v>3393</v>
      </c>
      <c r="J1255" s="26" t="n">
        <f aca="false">IF(H1255="","",Parâmetros!$B$5-H1255)</f>
        <v>230</v>
      </c>
      <c r="K1255" s="10" t="n">
        <f aca="false">INDEX(Parâmetros!$D$13:$D$19,MATCH(E1255,Parâmetros!$A$13:$A$19,0))</f>
        <v>40</v>
      </c>
      <c r="L1255" s="10" t="n">
        <f aca="false">IF(G1255="Prospecting",Parâmetros!$B$9,IF(J1255&gt;Parâmetros!$B$6,0,INDEX(Parâmetros!$C$24:$C$26,MATCH(J1255,Parâmetros!$A$24:$A$26,1))))</f>
        <v>0</v>
      </c>
      <c r="M1255" s="31" t="n">
        <f aca="false">IF(G1255="Prospecting",1,INDEX(Parâmetros!$C$32:$C$35,MATCH(J1255,Parâmetros!$A$32:$A$35,1)))</f>
        <v>0.4</v>
      </c>
      <c r="N1255" s="2" t="n">
        <f aca="false">ROUND((K1255+L1255)*M1255,0)</f>
        <v>16</v>
      </c>
      <c r="O1255" s="10" t="str">
        <f aca="false">IF(AND(G1255="Engaging",J1255&gt;Parâmetros!$B$6),"Sim","Não")</f>
        <v>Sim</v>
      </c>
      <c r="P1255" s="32" t="str">
        <f aca="false">IF(O1255="Sim","R",IF(N1255&gt;=Parâmetros!$B$39,"A",IF(N1255&gt;=Parâmetros!$B$40,"B",IF(N1255&gt;=Parâmetros!$B$41,"C","D"))))</f>
        <v>R</v>
      </c>
      <c r="Q1255" s="10" t="str">
        <f aca="false">IF(F1255="","Completar cadastro","")</f>
        <v/>
      </c>
      <c r="R1255" s="10" t="str">
        <f aca="false">INDEX(Parâmetros!$D$39:$D$43,MATCH(P1255,Parâmetros!$A$39:$A$43,0))</f>
        <v>Reciclar: requalificar, reengajar ou encerrar</v>
      </c>
    </row>
    <row r="1256" customFormat="false" ht="15" hidden="false" customHeight="false" outlineLevel="0" collapsed="false">
      <c r="A1256" s="10" t="s">
        <v>1502</v>
      </c>
      <c r="B1256" s="10" t="s">
        <v>69</v>
      </c>
      <c r="C1256" s="10" t="s">
        <v>65</v>
      </c>
      <c r="D1256" s="10" t="s">
        <v>160</v>
      </c>
      <c r="E1256" s="10" t="s">
        <v>49</v>
      </c>
      <c r="F1256" s="10"/>
      <c r="G1256" s="10" t="s">
        <v>162</v>
      </c>
      <c r="H1256" s="30" t="n">
        <v>42870</v>
      </c>
      <c r="I1256" s="8" t="n">
        <f aca="false">INDEX(Parâmetros!$C$13:$C$19,MATCH(E1256,Parâmetros!$A$13:$A$19,0))</f>
        <v>3393</v>
      </c>
      <c r="J1256" s="26" t="n">
        <f aca="false">IF(H1256="","",Parâmetros!$B$5-H1256)</f>
        <v>230</v>
      </c>
      <c r="K1256" s="10" t="n">
        <f aca="false">INDEX(Parâmetros!$D$13:$D$19,MATCH(E1256,Parâmetros!$A$13:$A$19,0))</f>
        <v>40</v>
      </c>
      <c r="L1256" s="10" t="n">
        <f aca="false">IF(G1256="Prospecting",Parâmetros!$B$9,IF(J1256&gt;Parâmetros!$B$6,0,INDEX(Parâmetros!$C$24:$C$26,MATCH(J1256,Parâmetros!$A$24:$A$26,1))))</f>
        <v>0</v>
      </c>
      <c r="M1256" s="31" t="n">
        <f aca="false">IF(G1256="Prospecting",1,INDEX(Parâmetros!$C$32:$C$35,MATCH(J1256,Parâmetros!$A$32:$A$35,1)))</f>
        <v>0.4</v>
      </c>
      <c r="N1256" s="2" t="n">
        <f aca="false">ROUND((K1256+L1256)*M1256,0)</f>
        <v>16</v>
      </c>
      <c r="O1256" s="10" t="str">
        <f aca="false">IF(AND(G1256="Engaging",J1256&gt;Parâmetros!$B$6),"Sim","Não")</f>
        <v>Sim</v>
      </c>
      <c r="P1256" s="32" t="str">
        <f aca="false">IF(O1256="Sim","R",IF(N1256&gt;=Parâmetros!$B$39,"A",IF(N1256&gt;=Parâmetros!$B$40,"B",IF(N1256&gt;=Parâmetros!$B$41,"C","D"))))</f>
        <v>R</v>
      </c>
      <c r="Q1256" s="10" t="str">
        <f aca="false">IF(F1256="","Completar cadastro","")</f>
        <v>Completar cadastro</v>
      </c>
      <c r="R1256" s="10" t="str">
        <f aca="false">INDEX(Parâmetros!$D$39:$D$43,MATCH(P1256,Parâmetros!$A$39:$A$43,0))</f>
        <v>Reciclar: requalificar, reengajar ou encerrar</v>
      </c>
    </row>
    <row r="1257" customFormat="false" ht="15" hidden="false" customHeight="false" outlineLevel="0" collapsed="false">
      <c r="A1257" s="10" t="s">
        <v>1503</v>
      </c>
      <c r="B1257" s="10" t="s">
        <v>57</v>
      </c>
      <c r="C1257" s="10" t="s">
        <v>58</v>
      </c>
      <c r="D1257" s="10" t="s">
        <v>165</v>
      </c>
      <c r="E1257" s="10" t="s">
        <v>49</v>
      </c>
      <c r="F1257" s="10"/>
      <c r="G1257" s="10" t="s">
        <v>162</v>
      </c>
      <c r="H1257" s="30" t="n">
        <v>42871</v>
      </c>
      <c r="I1257" s="8" t="n">
        <f aca="false">INDEX(Parâmetros!$C$13:$C$19,MATCH(E1257,Parâmetros!$A$13:$A$19,0))</f>
        <v>3393</v>
      </c>
      <c r="J1257" s="26" t="n">
        <f aca="false">IF(H1257="","",Parâmetros!$B$5-H1257)</f>
        <v>229</v>
      </c>
      <c r="K1257" s="10" t="n">
        <f aca="false">INDEX(Parâmetros!$D$13:$D$19,MATCH(E1257,Parâmetros!$A$13:$A$19,0))</f>
        <v>40</v>
      </c>
      <c r="L1257" s="10" t="n">
        <f aca="false">IF(G1257="Prospecting",Parâmetros!$B$9,IF(J1257&gt;Parâmetros!$B$6,0,INDEX(Parâmetros!$C$24:$C$26,MATCH(J1257,Parâmetros!$A$24:$A$26,1))))</f>
        <v>0</v>
      </c>
      <c r="M1257" s="31" t="n">
        <f aca="false">IF(G1257="Prospecting",1,INDEX(Parâmetros!$C$32:$C$35,MATCH(J1257,Parâmetros!$A$32:$A$35,1)))</f>
        <v>0.4</v>
      </c>
      <c r="N1257" s="2" t="n">
        <f aca="false">ROUND((K1257+L1257)*M1257,0)</f>
        <v>16</v>
      </c>
      <c r="O1257" s="10" t="str">
        <f aca="false">IF(AND(G1257="Engaging",J1257&gt;Parâmetros!$B$6),"Sim","Não")</f>
        <v>Sim</v>
      </c>
      <c r="P1257" s="32" t="str">
        <f aca="false">IF(O1257="Sim","R",IF(N1257&gt;=Parâmetros!$B$39,"A",IF(N1257&gt;=Parâmetros!$B$40,"B",IF(N1257&gt;=Parâmetros!$B$41,"C","D"))))</f>
        <v>R</v>
      </c>
      <c r="Q1257" s="10" t="str">
        <f aca="false">IF(F1257="","Completar cadastro","")</f>
        <v>Completar cadastro</v>
      </c>
      <c r="R1257" s="10" t="str">
        <f aca="false">INDEX(Parâmetros!$D$39:$D$43,MATCH(P1257,Parâmetros!$A$39:$A$43,0))</f>
        <v>Reciclar: requalificar, reengajar ou encerrar</v>
      </c>
    </row>
    <row r="1258" customFormat="false" ht="15" hidden="false" customHeight="false" outlineLevel="0" collapsed="false">
      <c r="A1258" s="10" t="s">
        <v>1504</v>
      </c>
      <c r="B1258" s="10" t="s">
        <v>95</v>
      </c>
      <c r="C1258" s="10" t="s">
        <v>92</v>
      </c>
      <c r="D1258" s="10" t="s">
        <v>160</v>
      </c>
      <c r="E1258" s="10" t="s">
        <v>49</v>
      </c>
      <c r="F1258" s="10" t="s">
        <v>419</v>
      </c>
      <c r="G1258" s="10" t="s">
        <v>162</v>
      </c>
      <c r="H1258" s="30" t="n">
        <v>42872</v>
      </c>
      <c r="I1258" s="8" t="n">
        <f aca="false">INDEX(Parâmetros!$C$13:$C$19,MATCH(E1258,Parâmetros!$A$13:$A$19,0))</f>
        <v>3393</v>
      </c>
      <c r="J1258" s="26" t="n">
        <f aca="false">IF(H1258="","",Parâmetros!$B$5-H1258)</f>
        <v>228</v>
      </c>
      <c r="K1258" s="10" t="n">
        <f aca="false">INDEX(Parâmetros!$D$13:$D$19,MATCH(E1258,Parâmetros!$A$13:$A$19,0))</f>
        <v>40</v>
      </c>
      <c r="L1258" s="10" t="n">
        <f aca="false">IF(G1258="Prospecting",Parâmetros!$B$9,IF(J1258&gt;Parâmetros!$B$6,0,INDEX(Parâmetros!$C$24:$C$26,MATCH(J1258,Parâmetros!$A$24:$A$26,1))))</f>
        <v>0</v>
      </c>
      <c r="M1258" s="31" t="n">
        <f aca="false">IF(G1258="Prospecting",1,INDEX(Parâmetros!$C$32:$C$35,MATCH(J1258,Parâmetros!$A$32:$A$35,1)))</f>
        <v>0.4</v>
      </c>
      <c r="N1258" s="2" t="n">
        <f aca="false">ROUND((K1258+L1258)*M1258,0)</f>
        <v>16</v>
      </c>
      <c r="O1258" s="10" t="str">
        <f aca="false">IF(AND(G1258="Engaging",J1258&gt;Parâmetros!$B$6),"Sim","Não")</f>
        <v>Sim</v>
      </c>
      <c r="P1258" s="32" t="str">
        <f aca="false">IF(O1258="Sim","R",IF(N1258&gt;=Parâmetros!$B$39,"A",IF(N1258&gt;=Parâmetros!$B$40,"B",IF(N1258&gt;=Parâmetros!$B$41,"C","D"))))</f>
        <v>R</v>
      </c>
      <c r="Q1258" s="10" t="str">
        <f aca="false">IF(F1258="","Completar cadastro","")</f>
        <v/>
      </c>
      <c r="R1258" s="10" t="str">
        <f aca="false">INDEX(Parâmetros!$D$39:$D$43,MATCH(P1258,Parâmetros!$A$39:$A$43,0))</f>
        <v>Reciclar: requalificar, reengajar ou encerrar</v>
      </c>
    </row>
    <row r="1259" customFormat="false" ht="15" hidden="false" customHeight="false" outlineLevel="0" collapsed="false">
      <c r="A1259" s="10" t="s">
        <v>1505</v>
      </c>
      <c r="B1259" s="10" t="s">
        <v>67</v>
      </c>
      <c r="C1259" s="10" t="s">
        <v>65</v>
      </c>
      <c r="D1259" s="10" t="s">
        <v>160</v>
      </c>
      <c r="E1259" s="10" t="s">
        <v>49</v>
      </c>
      <c r="F1259" s="10"/>
      <c r="G1259" s="10" t="s">
        <v>162</v>
      </c>
      <c r="H1259" s="30" t="n">
        <v>42873</v>
      </c>
      <c r="I1259" s="8" t="n">
        <f aca="false">INDEX(Parâmetros!$C$13:$C$19,MATCH(E1259,Parâmetros!$A$13:$A$19,0))</f>
        <v>3393</v>
      </c>
      <c r="J1259" s="26" t="n">
        <f aca="false">IF(H1259="","",Parâmetros!$B$5-H1259)</f>
        <v>227</v>
      </c>
      <c r="K1259" s="10" t="n">
        <f aca="false">INDEX(Parâmetros!$D$13:$D$19,MATCH(E1259,Parâmetros!$A$13:$A$19,0))</f>
        <v>40</v>
      </c>
      <c r="L1259" s="10" t="n">
        <f aca="false">IF(G1259="Prospecting",Parâmetros!$B$9,IF(J1259&gt;Parâmetros!$B$6,0,INDEX(Parâmetros!$C$24:$C$26,MATCH(J1259,Parâmetros!$A$24:$A$26,1))))</f>
        <v>0</v>
      </c>
      <c r="M1259" s="31" t="n">
        <f aca="false">IF(G1259="Prospecting",1,INDEX(Parâmetros!$C$32:$C$35,MATCH(J1259,Parâmetros!$A$32:$A$35,1)))</f>
        <v>0.4</v>
      </c>
      <c r="N1259" s="2" t="n">
        <f aca="false">ROUND((K1259+L1259)*M1259,0)</f>
        <v>16</v>
      </c>
      <c r="O1259" s="10" t="str">
        <f aca="false">IF(AND(G1259="Engaging",J1259&gt;Parâmetros!$B$6),"Sim","Não")</f>
        <v>Sim</v>
      </c>
      <c r="P1259" s="32" t="str">
        <f aca="false">IF(O1259="Sim","R",IF(N1259&gt;=Parâmetros!$B$39,"A",IF(N1259&gt;=Parâmetros!$B$40,"B",IF(N1259&gt;=Parâmetros!$B$41,"C","D"))))</f>
        <v>R</v>
      </c>
      <c r="Q1259" s="10" t="str">
        <f aca="false">IF(F1259="","Completar cadastro","")</f>
        <v>Completar cadastro</v>
      </c>
      <c r="R1259" s="10" t="str">
        <f aca="false">INDEX(Parâmetros!$D$39:$D$43,MATCH(P1259,Parâmetros!$A$39:$A$43,0))</f>
        <v>Reciclar: requalificar, reengajar ou encerrar</v>
      </c>
    </row>
    <row r="1260" customFormat="false" ht="15" hidden="false" customHeight="false" outlineLevel="0" collapsed="false">
      <c r="A1260" s="10" t="s">
        <v>1506</v>
      </c>
      <c r="B1260" s="10" t="s">
        <v>62</v>
      </c>
      <c r="C1260" s="10" t="s">
        <v>58</v>
      </c>
      <c r="D1260" s="10" t="s">
        <v>165</v>
      </c>
      <c r="E1260" s="10" t="s">
        <v>49</v>
      </c>
      <c r="F1260" s="10"/>
      <c r="G1260" s="10" t="s">
        <v>162</v>
      </c>
      <c r="H1260" s="30" t="n">
        <v>42874</v>
      </c>
      <c r="I1260" s="8" t="n">
        <f aca="false">INDEX(Parâmetros!$C$13:$C$19,MATCH(E1260,Parâmetros!$A$13:$A$19,0))</f>
        <v>3393</v>
      </c>
      <c r="J1260" s="26" t="n">
        <f aca="false">IF(H1260="","",Parâmetros!$B$5-H1260)</f>
        <v>226</v>
      </c>
      <c r="K1260" s="10" t="n">
        <f aca="false">INDEX(Parâmetros!$D$13:$D$19,MATCH(E1260,Parâmetros!$A$13:$A$19,0))</f>
        <v>40</v>
      </c>
      <c r="L1260" s="10" t="n">
        <f aca="false">IF(G1260="Prospecting",Parâmetros!$B$9,IF(J1260&gt;Parâmetros!$B$6,0,INDEX(Parâmetros!$C$24:$C$26,MATCH(J1260,Parâmetros!$A$24:$A$26,1))))</f>
        <v>0</v>
      </c>
      <c r="M1260" s="31" t="n">
        <f aca="false">IF(G1260="Prospecting",1,INDEX(Parâmetros!$C$32:$C$35,MATCH(J1260,Parâmetros!$A$32:$A$35,1)))</f>
        <v>0.4</v>
      </c>
      <c r="N1260" s="2" t="n">
        <f aca="false">ROUND((K1260+L1260)*M1260,0)</f>
        <v>16</v>
      </c>
      <c r="O1260" s="10" t="str">
        <f aca="false">IF(AND(G1260="Engaging",J1260&gt;Parâmetros!$B$6),"Sim","Não")</f>
        <v>Sim</v>
      </c>
      <c r="P1260" s="32" t="str">
        <f aca="false">IF(O1260="Sim","R",IF(N1260&gt;=Parâmetros!$B$39,"A",IF(N1260&gt;=Parâmetros!$B$40,"B",IF(N1260&gt;=Parâmetros!$B$41,"C","D"))))</f>
        <v>R</v>
      </c>
      <c r="Q1260" s="10" t="str">
        <f aca="false">IF(F1260="","Completar cadastro","")</f>
        <v>Completar cadastro</v>
      </c>
      <c r="R1260" s="10" t="str">
        <f aca="false">INDEX(Parâmetros!$D$39:$D$43,MATCH(P1260,Parâmetros!$A$39:$A$43,0))</f>
        <v>Reciclar: requalificar, reengajar ou encerrar</v>
      </c>
    </row>
    <row r="1261" customFormat="false" ht="15" hidden="false" customHeight="false" outlineLevel="0" collapsed="false">
      <c r="A1261" s="10" t="s">
        <v>1507</v>
      </c>
      <c r="B1261" s="10" t="s">
        <v>87</v>
      </c>
      <c r="C1261" s="10" t="s">
        <v>85</v>
      </c>
      <c r="D1261" s="10" t="s">
        <v>165</v>
      </c>
      <c r="E1261" s="10" t="s">
        <v>49</v>
      </c>
      <c r="F1261" s="10"/>
      <c r="G1261" s="10" t="s">
        <v>162</v>
      </c>
      <c r="H1261" s="30" t="n">
        <v>42877</v>
      </c>
      <c r="I1261" s="8" t="n">
        <f aca="false">INDEX(Parâmetros!$C$13:$C$19,MATCH(E1261,Parâmetros!$A$13:$A$19,0))</f>
        <v>3393</v>
      </c>
      <c r="J1261" s="26" t="n">
        <f aca="false">IF(H1261="","",Parâmetros!$B$5-H1261)</f>
        <v>223</v>
      </c>
      <c r="K1261" s="10" t="n">
        <f aca="false">INDEX(Parâmetros!$D$13:$D$19,MATCH(E1261,Parâmetros!$A$13:$A$19,0))</f>
        <v>40</v>
      </c>
      <c r="L1261" s="10" t="n">
        <f aca="false">IF(G1261="Prospecting",Parâmetros!$B$9,IF(J1261&gt;Parâmetros!$B$6,0,INDEX(Parâmetros!$C$24:$C$26,MATCH(J1261,Parâmetros!$A$24:$A$26,1))))</f>
        <v>0</v>
      </c>
      <c r="M1261" s="31" t="n">
        <f aca="false">IF(G1261="Prospecting",1,INDEX(Parâmetros!$C$32:$C$35,MATCH(J1261,Parâmetros!$A$32:$A$35,1)))</f>
        <v>0.4</v>
      </c>
      <c r="N1261" s="2" t="n">
        <f aca="false">ROUND((K1261+L1261)*M1261,0)</f>
        <v>16</v>
      </c>
      <c r="O1261" s="10" t="str">
        <f aca="false">IF(AND(G1261="Engaging",J1261&gt;Parâmetros!$B$6),"Sim","Não")</f>
        <v>Sim</v>
      </c>
      <c r="P1261" s="32" t="str">
        <f aca="false">IF(O1261="Sim","R",IF(N1261&gt;=Parâmetros!$B$39,"A",IF(N1261&gt;=Parâmetros!$B$40,"B",IF(N1261&gt;=Parâmetros!$B$41,"C","D"))))</f>
        <v>R</v>
      </c>
      <c r="Q1261" s="10" t="str">
        <f aca="false">IF(F1261="","Completar cadastro","")</f>
        <v>Completar cadastro</v>
      </c>
      <c r="R1261" s="10" t="str">
        <f aca="false">INDEX(Parâmetros!$D$39:$D$43,MATCH(P1261,Parâmetros!$A$39:$A$43,0))</f>
        <v>Reciclar: requalificar, reengajar ou encerrar</v>
      </c>
    </row>
    <row r="1262" customFormat="false" ht="15" hidden="false" customHeight="false" outlineLevel="0" collapsed="false">
      <c r="A1262" s="10" t="s">
        <v>1508</v>
      </c>
      <c r="B1262" s="10" t="s">
        <v>67</v>
      </c>
      <c r="C1262" s="10" t="s">
        <v>65</v>
      </c>
      <c r="D1262" s="10" t="s">
        <v>160</v>
      </c>
      <c r="E1262" s="10" t="s">
        <v>49</v>
      </c>
      <c r="F1262" s="10"/>
      <c r="G1262" s="10" t="s">
        <v>162</v>
      </c>
      <c r="H1262" s="30" t="n">
        <v>42877</v>
      </c>
      <c r="I1262" s="8" t="n">
        <f aca="false">INDEX(Parâmetros!$C$13:$C$19,MATCH(E1262,Parâmetros!$A$13:$A$19,0))</f>
        <v>3393</v>
      </c>
      <c r="J1262" s="26" t="n">
        <f aca="false">IF(H1262="","",Parâmetros!$B$5-H1262)</f>
        <v>223</v>
      </c>
      <c r="K1262" s="10" t="n">
        <f aca="false">INDEX(Parâmetros!$D$13:$D$19,MATCH(E1262,Parâmetros!$A$13:$A$19,0))</f>
        <v>40</v>
      </c>
      <c r="L1262" s="10" t="n">
        <f aca="false">IF(G1262="Prospecting",Parâmetros!$B$9,IF(J1262&gt;Parâmetros!$B$6,0,INDEX(Parâmetros!$C$24:$C$26,MATCH(J1262,Parâmetros!$A$24:$A$26,1))))</f>
        <v>0</v>
      </c>
      <c r="M1262" s="31" t="n">
        <f aca="false">IF(G1262="Prospecting",1,INDEX(Parâmetros!$C$32:$C$35,MATCH(J1262,Parâmetros!$A$32:$A$35,1)))</f>
        <v>0.4</v>
      </c>
      <c r="N1262" s="2" t="n">
        <f aca="false">ROUND((K1262+L1262)*M1262,0)</f>
        <v>16</v>
      </c>
      <c r="O1262" s="10" t="str">
        <f aca="false">IF(AND(G1262="Engaging",J1262&gt;Parâmetros!$B$6),"Sim","Não")</f>
        <v>Sim</v>
      </c>
      <c r="P1262" s="32" t="str">
        <f aca="false">IF(O1262="Sim","R",IF(N1262&gt;=Parâmetros!$B$39,"A",IF(N1262&gt;=Parâmetros!$B$40,"B",IF(N1262&gt;=Parâmetros!$B$41,"C","D"))))</f>
        <v>R</v>
      </c>
      <c r="Q1262" s="10" t="str">
        <f aca="false">IF(F1262="","Completar cadastro","")</f>
        <v>Completar cadastro</v>
      </c>
      <c r="R1262" s="10" t="str">
        <f aca="false">INDEX(Parâmetros!$D$39:$D$43,MATCH(P1262,Parâmetros!$A$39:$A$43,0))</f>
        <v>Reciclar: requalificar, reengajar ou encerrar</v>
      </c>
    </row>
    <row r="1263" customFormat="false" ht="15" hidden="false" customHeight="false" outlineLevel="0" collapsed="false">
      <c r="A1263" s="10" t="s">
        <v>1509</v>
      </c>
      <c r="B1263" s="10" t="s">
        <v>68</v>
      </c>
      <c r="C1263" s="10" t="s">
        <v>65</v>
      </c>
      <c r="D1263" s="10" t="s">
        <v>160</v>
      </c>
      <c r="E1263" s="10" t="s">
        <v>49</v>
      </c>
      <c r="F1263" s="10" t="s">
        <v>326</v>
      </c>
      <c r="G1263" s="10" t="s">
        <v>162</v>
      </c>
      <c r="H1263" s="30" t="n">
        <v>42879</v>
      </c>
      <c r="I1263" s="8" t="n">
        <f aca="false">INDEX(Parâmetros!$C$13:$C$19,MATCH(E1263,Parâmetros!$A$13:$A$19,0))</f>
        <v>3393</v>
      </c>
      <c r="J1263" s="26" t="n">
        <f aca="false">IF(H1263="","",Parâmetros!$B$5-H1263)</f>
        <v>221</v>
      </c>
      <c r="K1263" s="10" t="n">
        <f aca="false">INDEX(Parâmetros!$D$13:$D$19,MATCH(E1263,Parâmetros!$A$13:$A$19,0))</f>
        <v>40</v>
      </c>
      <c r="L1263" s="10" t="n">
        <f aca="false">IF(G1263="Prospecting",Parâmetros!$B$9,IF(J1263&gt;Parâmetros!$B$6,0,INDEX(Parâmetros!$C$24:$C$26,MATCH(J1263,Parâmetros!$A$24:$A$26,1))))</f>
        <v>0</v>
      </c>
      <c r="M1263" s="31" t="n">
        <f aca="false">IF(G1263="Prospecting",1,INDEX(Parâmetros!$C$32:$C$35,MATCH(J1263,Parâmetros!$A$32:$A$35,1)))</f>
        <v>0.4</v>
      </c>
      <c r="N1263" s="2" t="n">
        <f aca="false">ROUND((K1263+L1263)*M1263,0)</f>
        <v>16</v>
      </c>
      <c r="O1263" s="10" t="str">
        <f aca="false">IF(AND(G1263="Engaging",J1263&gt;Parâmetros!$B$6),"Sim","Não")</f>
        <v>Sim</v>
      </c>
      <c r="P1263" s="32" t="str">
        <f aca="false">IF(O1263="Sim","R",IF(N1263&gt;=Parâmetros!$B$39,"A",IF(N1263&gt;=Parâmetros!$B$40,"B",IF(N1263&gt;=Parâmetros!$B$41,"C","D"))))</f>
        <v>R</v>
      </c>
      <c r="Q1263" s="10" t="str">
        <f aca="false">IF(F1263="","Completar cadastro","")</f>
        <v/>
      </c>
      <c r="R1263" s="10" t="str">
        <f aca="false">INDEX(Parâmetros!$D$39:$D$43,MATCH(P1263,Parâmetros!$A$39:$A$43,0))</f>
        <v>Reciclar: requalificar, reengajar ou encerrar</v>
      </c>
    </row>
    <row r="1264" customFormat="false" ht="15" hidden="false" customHeight="false" outlineLevel="0" collapsed="false">
      <c r="A1264" s="10" t="s">
        <v>1510</v>
      </c>
      <c r="B1264" s="10" t="s">
        <v>67</v>
      </c>
      <c r="C1264" s="10" t="s">
        <v>65</v>
      </c>
      <c r="D1264" s="10" t="s">
        <v>160</v>
      </c>
      <c r="E1264" s="10" t="s">
        <v>49</v>
      </c>
      <c r="F1264" s="10"/>
      <c r="G1264" s="10" t="s">
        <v>162</v>
      </c>
      <c r="H1264" s="30" t="n">
        <v>42880</v>
      </c>
      <c r="I1264" s="8" t="n">
        <f aca="false">INDEX(Parâmetros!$C$13:$C$19,MATCH(E1264,Parâmetros!$A$13:$A$19,0))</f>
        <v>3393</v>
      </c>
      <c r="J1264" s="26" t="n">
        <f aca="false">IF(H1264="","",Parâmetros!$B$5-H1264)</f>
        <v>220</v>
      </c>
      <c r="K1264" s="10" t="n">
        <f aca="false">INDEX(Parâmetros!$D$13:$D$19,MATCH(E1264,Parâmetros!$A$13:$A$19,0))</f>
        <v>40</v>
      </c>
      <c r="L1264" s="10" t="n">
        <f aca="false">IF(G1264="Prospecting",Parâmetros!$B$9,IF(J1264&gt;Parâmetros!$B$6,0,INDEX(Parâmetros!$C$24:$C$26,MATCH(J1264,Parâmetros!$A$24:$A$26,1))))</f>
        <v>0</v>
      </c>
      <c r="M1264" s="31" t="n">
        <f aca="false">IF(G1264="Prospecting",1,INDEX(Parâmetros!$C$32:$C$35,MATCH(J1264,Parâmetros!$A$32:$A$35,1)))</f>
        <v>0.4</v>
      </c>
      <c r="N1264" s="2" t="n">
        <f aca="false">ROUND((K1264+L1264)*M1264,0)</f>
        <v>16</v>
      </c>
      <c r="O1264" s="10" t="str">
        <f aca="false">IF(AND(G1264="Engaging",J1264&gt;Parâmetros!$B$6),"Sim","Não")</f>
        <v>Sim</v>
      </c>
      <c r="P1264" s="32" t="str">
        <f aca="false">IF(O1264="Sim","R",IF(N1264&gt;=Parâmetros!$B$39,"A",IF(N1264&gt;=Parâmetros!$B$40,"B",IF(N1264&gt;=Parâmetros!$B$41,"C","D"))))</f>
        <v>R</v>
      </c>
      <c r="Q1264" s="10" t="str">
        <f aca="false">IF(F1264="","Completar cadastro","")</f>
        <v>Completar cadastro</v>
      </c>
      <c r="R1264" s="10" t="str">
        <f aca="false">INDEX(Parâmetros!$D$39:$D$43,MATCH(P1264,Parâmetros!$A$39:$A$43,0))</f>
        <v>Reciclar: requalificar, reengajar ou encerrar</v>
      </c>
    </row>
    <row r="1265" customFormat="false" ht="15" hidden="false" customHeight="false" outlineLevel="0" collapsed="false">
      <c r="A1265" s="10" t="s">
        <v>1511</v>
      </c>
      <c r="B1265" s="10" t="s">
        <v>84</v>
      </c>
      <c r="C1265" s="10" t="s">
        <v>85</v>
      </c>
      <c r="D1265" s="10" t="s">
        <v>165</v>
      </c>
      <c r="E1265" s="10" t="s">
        <v>49</v>
      </c>
      <c r="F1265" s="10"/>
      <c r="G1265" s="10" t="s">
        <v>162</v>
      </c>
      <c r="H1265" s="30" t="n">
        <v>42881</v>
      </c>
      <c r="I1265" s="8" t="n">
        <f aca="false">INDEX(Parâmetros!$C$13:$C$19,MATCH(E1265,Parâmetros!$A$13:$A$19,0))</f>
        <v>3393</v>
      </c>
      <c r="J1265" s="26" t="n">
        <f aca="false">IF(H1265="","",Parâmetros!$B$5-H1265)</f>
        <v>219</v>
      </c>
      <c r="K1265" s="10" t="n">
        <f aca="false">INDEX(Parâmetros!$D$13:$D$19,MATCH(E1265,Parâmetros!$A$13:$A$19,0))</f>
        <v>40</v>
      </c>
      <c r="L1265" s="10" t="n">
        <f aca="false">IF(G1265="Prospecting",Parâmetros!$B$9,IF(J1265&gt;Parâmetros!$B$6,0,INDEX(Parâmetros!$C$24:$C$26,MATCH(J1265,Parâmetros!$A$24:$A$26,1))))</f>
        <v>0</v>
      </c>
      <c r="M1265" s="31" t="n">
        <f aca="false">IF(G1265="Prospecting",1,INDEX(Parâmetros!$C$32:$C$35,MATCH(J1265,Parâmetros!$A$32:$A$35,1)))</f>
        <v>0.4</v>
      </c>
      <c r="N1265" s="2" t="n">
        <f aca="false">ROUND((K1265+L1265)*M1265,0)</f>
        <v>16</v>
      </c>
      <c r="O1265" s="10" t="str">
        <f aca="false">IF(AND(G1265="Engaging",J1265&gt;Parâmetros!$B$6),"Sim","Não")</f>
        <v>Sim</v>
      </c>
      <c r="P1265" s="32" t="str">
        <f aca="false">IF(O1265="Sim","R",IF(N1265&gt;=Parâmetros!$B$39,"A",IF(N1265&gt;=Parâmetros!$B$40,"B",IF(N1265&gt;=Parâmetros!$B$41,"C","D"))))</f>
        <v>R</v>
      </c>
      <c r="Q1265" s="10" t="str">
        <f aca="false">IF(F1265="","Completar cadastro","")</f>
        <v>Completar cadastro</v>
      </c>
      <c r="R1265" s="10" t="str">
        <f aca="false">INDEX(Parâmetros!$D$39:$D$43,MATCH(P1265,Parâmetros!$A$39:$A$43,0))</f>
        <v>Reciclar: requalificar, reengajar ou encerrar</v>
      </c>
    </row>
    <row r="1266" customFormat="false" ht="15" hidden="false" customHeight="false" outlineLevel="0" collapsed="false">
      <c r="A1266" s="10" t="s">
        <v>1512</v>
      </c>
      <c r="B1266" s="10" t="s">
        <v>67</v>
      </c>
      <c r="C1266" s="10" t="s">
        <v>65</v>
      </c>
      <c r="D1266" s="10" t="s">
        <v>160</v>
      </c>
      <c r="E1266" s="10" t="s">
        <v>49</v>
      </c>
      <c r="F1266" s="10"/>
      <c r="G1266" s="10" t="s">
        <v>162</v>
      </c>
      <c r="H1266" s="30" t="n">
        <v>42881</v>
      </c>
      <c r="I1266" s="8" t="n">
        <f aca="false">INDEX(Parâmetros!$C$13:$C$19,MATCH(E1266,Parâmetros!$A$13:$A$19,0))</f>
        <v>3393</v>
      </c>
      <c r="J1266" s="26" t="n">
        <f aca="false">IF(H1266="","",Parâmetros!$B$5-H1266)</f>
        <v>219</v>
      </c>
      <c r="K1266" s="10" t="n">
        <f aca="false">INDEX(Parâmetros!$D$13:$D$19,MATCH(E1266,Parâmetros!$A$13:$A$19,0))</f>
        <v>40</v>
      </c>
      <c r="L1266" s="10" t="n">
        <f aca="false">IF(G1266="Prospecting",Parâmetros!$B$9,IF(J1266&gt;Parâmetros!$B$6,0,INDEX(Parâmetros!$C$24:$C$26,MATCH(J1266,Parâmetros!$A$24:$A$26,1))))</f>
        <v>0</v>
      </c>
      <c r="M1266" s="31" t="n">
        <f aca="false">IF(G1266="Prospecting",1,INDEX(Parâmetros!$C$32:$C$35,MATCH(J1266,Parâmetros!$A$32:$A$35,1)))</f>
        <v>0.4</v>
      </c>
      <c r="N1266" s="2" t="n">
        <f aca="false">ROUND((K1266+L1266)*M1266,0)</f>
        <v>16</v>
      </c>
      <c r="O1266" s="10" t="str">
        <f aca="false">IF(AND(G1266="Engaging",J1266&gt;Parâmetros!$B$6),"Sim","Não")</f>
        <v>Sim</v>
      </c>
      <c r="P1266" s="32" t="str">
        <f aca="false">IF(O1266="Sim","R",IF(N1266&gt;=Parâmetros!$B$39,"A",IF(N1266&gt;=Parâmetros!$B$40,"B",IF(N1266&gt;=Parâmetros!$B$41,"C","D"))))</f>
        <v>R</v>
      </c>
      <c r="Q1266" s="10" t="str">
        <f aca="false">IF(F1266="","Completar cadastro","")</f>
        <v>Completar cadastro</v>
      </c>
      <c r="R1266" s="10" t="str">
        <f aca="false">INDEX(Parâmetros!$D$39:$D$43,MATCH(P1266,Parâmetros!$A$39:$A$43,0))</f>
        <v>Reciclar: requalificar, reengajar ou encerrar</v>
      </c>
    </row>
    <row r="1267" customFormat="false" ht="15" hidden="false" customHeight="false" outlineLevel="0" collapsed="false">
      <c r="A1267" s="10" t="s">
        <v>1513</v>
      </c>
      <c r="B1267" s="10" t="s">
        <v>67</v>
      </c>
      <c r="C1267" s="10" t="s">
        <v>65</v>
      </c>
      <c r="D1267" s="10" t="s">
        <v>160</v>
      </c>
      <c r="E1267" s="10" t="s">
        <v>49</v>
      </c>
      <c r="F1267" s="10"/>
      <c r="G1267" s="10" t="s">
        <v>162</v>
      </c>
      <c r="H1267" s="30" t="n">
        <v>42881</v>
      </c>
      <c r="I1267" s="8" t="n">
        <f aca="false">INDEX(Parâmetros!$C$13:$C$19,MATCH(E1267,Parâmetros!$A$13:$A$19,0))</f>
        <v>3393</v>
      </c>
      <c r="J1267" s="26" t="n">
        <f aca="false">IF(H1267="","",Parâmetros!$B$5-H1267)</f>
        <v>219</v>
      </c>
      <c r="K1267" s="10" t="n">
        <f aca="false">INDEX(Parâmetros!$D$13:$D$19,MATCH(E1267,Parâmetros!$A$13:$A$19,0))</f>
        <v>40</v>
      </c>
      <c r="L1267" s="10" t="n">
        <f aca="false">IF(G1267="Prospecting",Parâmetros!$B$9,IF(J1267&gt;Parâmetros!$B$6,0,INDEX(Parâmetros!$C$24:$C$26,MATCH(J1267,Parâmetros!$A$24:$A$26,1))))</f>
        <v>0</v>
      </c>
      <c r="M1267" s="31" t="n">
        <f aca="false">IF(G1267="Prospecting",1,INDEX(Parâmetros!$C$32:$C$35,MATCH(J1267,Parâmetros!$A$32:$A$35,1)))</f>
        <v>0.4</v>
      </c>
      <c r="N1267" s="2" t="n">
        <f aca="false">ROUND((K1267+L1267)*M1267,0)</f>
        <v>16</v>
      </c>
      <c r="O1267" s="10" t="str">
        <f aca="false">IF(AND(G1267="Engaging",J1267&gt;Parâmetros!$B$6),"Sim","Não")</f>
        <v>Sim</v>
      </c>
      <c r="P1267" s="32" t="str">
        <f aca="false">IF(O1267="Sim","R",IF(N1267&gt;=Parâmetros!$B$39,"A",IF(N1267&gt;=Parâmetros!$B$40,"B",IF(N1267&gt;=Parâmetros!$B$41,"C","D"))))</f>
        <v>R</v>
      </c>
      <c r="Q1267" s="10" t="str">
        <f aca="false">IF(F1267="","Completar cadastro","")</f>
        <v>Completar cadastro</v>
      </c>
      <c r="R1267" s="10" t="str">
        <f aca="false">INDEX(Parâmetros!$D$39:$D$43,MATCH(P1267,Parâmetros!$A$39:$A$43,0))</f>
        <v>Reciclar: requalificar, reengajar ou encerrar</v>
      </c>
    </row>
    <row r="1268" customFormat="false" ht="15" hidden="false" customHeight="false" outlineLevel="0" collapsed="false">
      <c r="A1268" s="10" t="s">
        <v>1514</v>
      </c>
      <c r="B1268" s="10" t="s">
        <v>63</v>
      </c>
      <c r="C1268" s="10" t="s">
        <v>58</v>
      </c>
      <c r="D1268" s="10" t="s">
        <v>165</v>
      </c>
      <c r="E1268" s="10" t="s">
        <v>49</v>
      </c>
      <c r="F1268" s="10"/>
      <c r="G1268" s="10" t="s">
        <v>162</v>
      </c>
      <c r="H1268" s="30" t="n">
        <v>42885</v>
      </c>
      <c r="I1268" s="8" t="n">
        <f aca="false">INDEX(Parâmetros!$C$13:$C$19,MATCH(E1268,Parâmetros!$A$13:$A$19,0))</f>
        <v>3393</v>
      </c>
      <c r="J1268" s="26" t="n">
        <f aca="false">IF(H1268="","",Parâmetros!$B$5-H1268)</f>
        <v>215</v>
      </c>
      <c r="K1268" s="10" t="n">
        <f aca="false">INDEX(Parâmetros!$D$13:$D$19,MATCH(E1268,Parâmetros!$A$13:$A$19,0))</f>
        <v>40</v>
      </c>
      <c r="L1268" s="10" t="n">
        <f aca="false">IF(G1268="Prospecting",Parâmetros!$B$9,IF(J1268&gt;Parâmetros!$B$6,0,INDEX(Parâmetros!$C$24:$C$26,MATCH(J1268,Parâmetros!$A$24:$A$26,1))))</f>
        <v>0</v>
      </c>
      <c r="M1268" s="31" t="n">
        <f aca="false">IF(G1268="Prospecting",1,INDEX(Parâmetros!$C$32:$C$35,MATCH(J1268,Parâmetros!$A$32:$A$35,1)))</f>
        <v>0.4</v>
      </c>
      <c r="N1268" s="2" t="n">
        <f aca="false">ROUND((K1268+L1268)*M1268,0)</f>
        <v>16</v>
      </c>
      <c r="O1268" s="10" t="str">
        <f aca="false">IF(AND(G1268="Engaging",J1268&gt;Parâmetros!$B$6),"Sim","Não")</f>
        <v>Sim</v>
      </c>
      <c r="P1268" s="32" t="str">
        <f aca="false">IF(O1268="Sim","R",IF(N1268&gt;=Parâmetros!$B$39,"A",IF(N1268&gt;=Parâmetros!$B$40,"B",IF(N1268&gt;=Parâmetros!$B$41,"C","D"))))</f>
        <v>R</v>
      </c>
      <c r="Q1268" s="10" t="str">
        <f aca="false">IF(F1268="","Completar cadastro","")</f>
        <v>Completar cadastro</v>
      </c>
      <c r="R1268" s="10" t="str">
        <f aca="false">INDEX(Parâmetros!$D$39:$D$43,MATCH(P1268,Parâmetros!$A$39:$A$43,0))</f>
        <v>Reciclar: requalificar, reengajar ou encerrar</v>
      </c>
    </row>
    <row r="1269" customFormat="false" ht="15" hidden="false" customHeight="false" outlineLevel="0" collapsed="false">
      <c r="A1269" s="10" t="s">
        <v>1515</v>
      </c>
      <c r="B1269" s="10" t="s">
        <v>86</v>
      </c>
      <c r="C1269" s="10" t="s">
        <v>85</v>
      </c>
      <c r="D1269" s="10" t="s">
        <v>165</v>
      </c>
      <c r="E1269" s="10" t="s">
        <v>49</v>
      </c>
      <c r="F1269" s="10"/>
      <c r="G1269" s="10" t="s">
        <v>162</v>
      </c>
      <c r="H1269" s="30" t="n">
        <v>42888</v>
      </c>
      <c r="I1269" s="8" t="n">
        <f aca="false">INDEX(Parâmetros!$C$13:$C$19,MATCH(E1269,Parâmetros!$A$13:$A$19,0))</f>
        <v>3393</v>
      </c>
      <c r="J1269" s="26" t="n">
        <f aca="false">IF(H1269="","",Parâmetros!$B$5-H1269)</f>
        <v>212</v>
      </c>
      <c r="K1269" s="10" t="n">
        <f aca="false">INDEX(Parâmetros!$D$13:$D$19,MATCH(E1269,Parâmetros!$A$13:$A$19,0))</f>
        <v>40</v>
      </c>
      <c r="L1269" s="10" t="n">
        <f aca="false">IF(G1269="Prospecting",Parâmetros!$B$9,IF(J1269&gt;Parâmetros!$B$6,0,INDEX(Parâmetros!$C$24:$C$26,MATCH(J1269,Parâmetros!$A$24:$A$26,1))))</f>
        <v>0</v>
      </c>
      <c r="M1269" s="31" t="n">
        <f aca="false">IF(G1269="Prospecting",1,INDEX(Parâmetros!$C$32:$C$35,MATCH(J1269,Parâmetros!$A$32:$A$35,1)))</f>
        <v>0.4</v>
      </c>
      <c r="N1269" s="2" t="n">
        <f aca="false">ROUND((K1269+L1269)*M1269,0)</f>
        <v>16</v>
      </c>
      <c r="O1269" s="10" t="str">
        <f aca="false">IF(AND(G1269="Engaging",J1269&gt;Parâmetros!$B$6),"Sim","Não")</f>
        <v>Sim</v>
      </c>
      <c r="P1269" s="32" t="str">
        <f aca="false">IF(O1269="Sim","R",IF(N1269&gt;=Parâmetros!$B$39,"A",IF(N1269&gt;=Parâmetros!$B$40,"B",IF(N1269&gt;=Parâmetros!$B$41,"C","D"))))</f>
        <v>R</v>
      </c>
      <c r="Q1269" s="10" t="str">
        <f aca="false">IF(F1269="","Completar cadastro","")</f>
        <v>Completar cadastro</v>
      </c>
      <c r="R1269" s="10" t="str">
        <f aca="false">INDEX(Parâmetros!$D$39:$D$43,MATCH(P1269,Parâmetros!$A$39:$A$43,0))</f>
        <v>Reciclar: requalificar, reengajar ou encerrar</v>
      </c>
    </row>
    <row r="1270" customFormat="false" ht="15" hidden="false" customHeight="false" outlineLevel="0" collapsed="false">
      <c r="A1270" s="10" t="s">
        <v>1516</v>
      </c>
      <c r="B1270" s="10" t="s">
        <v>93</v>
      </c>
      <c r="C1270" s="10" t="s">
        <v>92</v>
      </c>
      <c r="D1270" s="10" t="s">
        <v>160</v>
      </c>
      <c r="E1270" s="10" t="s">
        <v>49</v>
      </c>
      <c r="F1270" s="10"/>
      <c r="G1270" s="10" t="s">
        <v>162</v>
      </c>
      <c r="H1270" s="30" t="n">
        <v>42888</v>
      </c>
      <c r="I1270" s="8" t="n">
        <f aca="false">INDEX(Parâmetros!$C$13:$C$19,MATCH(E1270,Parâmetros!$A$13:$A$19,0))</f>
        <v>3393</v>
      </c>
      <c r="J1270" s="26" t="n">
        <f aca="false">IF(H1270="","",Parâmetros!$B$5-H1270)</f>
        <v>212</v>
      </c>
      <c r="K1270" s="10" t="n">
        <f aca="false">INDEX(Parâmetros!$D$13:$D$19,MATCH(E1270,Parâmetros!$A$13:$A$19,0))</f>
        <v>40</v>
      </c>
      <c r="L1270" s="10" t="n">
        <f aca="false">IF(G1270="Prospecting",Parâmetros!$B$9,IF(J1270&gt;Parâmetros!$B$6,0,INDEX(Parâmetros!$C$24:$C$26,MATCH(J1270,Parâmetros!$A$24:$A$26,1))))</f>
        <v>0</v>
      </c>
      <c r="M1270" s="31" t="n">
        <f aca="false">IF(G1270="Prospecting",1,INDEX(Parâmetros!$C$32:$C$35,MATCH(J1270,Parâmetros!$A$32:$A$35,1)))</f>
        <v>0.4</v>
      </c>
      <c r="N1270" s="2" t="n">
        <f aca="false">ROUND((K1270+L1270)*M1270,0)</f>
        <v>16</v>
      </c>
      <c r="O1270" s="10" t="str">
        <f aca="false">IF(AND(G1270="Engaging",J1270&gt;Parâmetros!$B$6),"Sim","Não")</f>
        <v>Sim</v>
      </c>
      <c r="P1270" s="32" t="str">
        <f aca="false">IF(O1270="Sim","R",IF(N1270&gt;=Parâmetros!$B$39,"A",IF(N1270&gt;=Parâmetros!$B$40,"B",IF(N1270&gt;=Parâmetros!$B$41,"C","D"))))</f>
        <v>R</v>
      </c>
      <c r="Q1270" s="10" t="str">
        <f aca="false">IF(F1270="","Completar cadastro","")</f>
        <v>Completar cadastro</v>
      </c>
      <c r="R1270" s="10" t="str">
        <f aca="false">INDEX(Parâmetros!$D$39:$D$43,MATCH(P1270,Parâmetros!$A$39:$A$43,0))</f>
        <v>Reciclar: requalificar, reengajar ou encerrar</v>
      </c>
    </row>
    <row r="1271" customFormat="false" ht="15" hidden="false" customHeight="false" outlineLevel="0" collapsed="false">
      <c r="A1271" s="10" t="s">
        <v>1517</v>
      </c>
      <c r="B1271" s="10" t="s">
        <v>62</v>
      </c>
      <c r="C1271" s="10" t="s">
        <v>58</v>
      </c>
      <c r="D1271" s="10" t="s">
        <v>165</v>
      </c>
      <c r="E1271" s="10" t="s">
        <v>49</v>
      </c>
      <c r="F1271" s="10"/>
      <c r="G1271" s="10" t="s">
        <v>162</v>
      </c>
      <c r="H1271" s="30" t="n">
        <v>42892</v>
      </c>
      <c r="I1271" s="8" t="n">
        <f aca="false">INDEX(Parâmetros!$C$13:$C$19,MATCH(E1271,Parâmetros!$A$13:$A$19,0))</f>
        <v>3393</v>
      </c>
      <c r="J1271" s="26" t="n">
        <f aca="false">IF(H1271="","",Parâmetros!$B$5-H1271)</f>
        <v>208</v>
      </c>
      <c r="K1271" s="10" t="n">
        <f aca="false">INDEX(Parâmetros!$D$13:$D$19,MATCH(E1271,Parâmetros!$A$13:$A$19,0))</f>
        <v>40</v>
      </c>
      <c r="L1271" s="10" t="n">
        <f aca="false">IF(G1271="Prospecting",Parâmetros!$B$9,IF(J1271&gt;Parâmetros!$B$6,0,INDEX(Parâmetros!$C$24:$C$26,MATCH(J1271,Parâmetros!$A$24:$A$26,1))))</f>
        <v>0</v>
      </c>
      <c r="M1271" s="31" t="n">
        <f aca="false">IF(G1271="Prospecting",1,INDEX(Parâmetros!$C$32:$C$35,MATCH(J1271,Parâmetros!$A$32:$A$35,1)))</f>
        <v>0.4</v>
      </c>
      <c r="N1271" s="2" t="n">
        <f aca="false">ROUND((K1271+L1271)*M1271,0)</f>
        <v>16</v>
      </c>
      <c r="O1271" s="10" t="str">
        <f aca="false">IF(AND(G1271="Engaging",J1271&gt;Parâmetros!$B$6),"Sim","Não")</f>
        <v>Sim</v>
      </c>
      <c r="P1271" s="32" t="str">
        <f aca="false">IF(O1271="Sim","R",IF(N1271&gt;=Parâmetros!$B$39,"A",IF(N1271&gt;=Parâmetros!$B$40,"B",IF(N1271&gt;=Parâmetros!$B$41,"C","D"))))</f>
        <v>R</v>
      </c>
      <c r="Q1271" s="10" t="str">
        <f aca="false">IF(F1271="","Completar cadastro","")</f>
        <v>Completar cadastro</v>
      </c>
      <c r="R1271" s="10" t="str">
        <f aca="false">INDEX(Parâmetros!$D$39:$D$43,MATCH(P1271,Parâmetros!$A$39:$A$43,0))</f>
        <v>Reciclar: requalificar, reengajar ou encerrar</v>
      </c>
    </row>
    <row r="1272" customFormat="false" ht="15" hidden="false" customHeight="false" outlineLevel="0" collapsed="false">
      <c r="A1272" s="10" t="s">
        <v>1518</v>
      </c>
      <c r="B1272" s="10" t="s">
        <v>66</v>
      </c>
      <c r="C1272" s="10" t="s">
        <v>65</v>
      </c>
      <c r="D1272" s="10" t="s">
        <v>160</v>
      </c>
      <c r="E1272" s="10" t="s">
        <v>49</v>
      </c>
      <c r="F1272" s="10" t="s">
        <v>441</v>
      </c>
      <c r="G1272" s="10" t="s">
        <v>162</v>
      </c>
      <c r="H1272" s="30" t="n">
        <v>42893</v>
      </c>
      <c r="I1272" s="8" t="n">
        <f aca="false">INDEX(Parâmetros!$C$13:$C$19,MATCH(E1272,Parâmetros!$A$13:$A$19,0))</f>
        <v>3393</v>
      </c>
      <c r="J1272" s="26" t="n">
        <f aca="false">IF(H1272="","",Parâmetros!$B$5-H1272)</f>
        <v>207</v>
      </c>
      <c r="K1272" s="10" t="n">
        <f aca="false">INDEX(Parâmetros!$D$13:$D$19,MATCH(E1272,Parâmetros!$A$13:$A$19,0))</f>
        <v>40</v>
      </c>
      <c r="L1272" s="10" t="n">
        <f aca="false">IF(G1272="Prospecting",Parâmetros!$B$9,IF(J1272&gt;Parâmetros!$B$6,0,INDEX(Parâmetros!$C$24:$C$26,MATCH(J1272,Parâmetros!$A$24:$A$26,1))))</f>
        <v>0</v>
      </c>
      <c r="M1272" s="31" t="n">
        <f aca="false">IF(G1272="Prospecting",1,INDEX(Parâmetros!$C$32:$C$35,MATCH(J1272,Parâmetros!$A$32:$A$35,1)))</f>
        <v>0.4</v>
      </c>
      <c r="N1272" s="2" t="n">
        <f aca="false">ROUND((K1272+L1272)*M1272,0)</f>
        <v>16</v>
      </c>
      <c r="O1272" s="10" t="str">
        <f aca="false">IF(AND(G1272="Engaging",J1272&gt;Parâmetros!$B$6),"Sim","Não")</f>
        <v>Sim</v>
      </c>
      <c r="P1272" s="32" t="str">
        <f aca="false">IF(O1272="Sim","R",IF(N1272&gt;=Parâmetros!$B$39,"A",IF(N1272&gt;=Parâmetros!$B$40,"B",IF(N1272&gt;=Parâmetros!$B$41,"C","D"))))</f>
        <v>R</v>
      </c>
      <c r="Q1272" s="10" t="str">
        <f aca="false">IF(F1272="","Completar cadastro","")</f>
        <v/>
      </c>
      <c r="R1272" s="10" t="str">
        <f aca="false">INDEX(Parâmetros!$D$39:$D$43,MATCH(P1272,Parâmetros!$A$39:$A$43,0))</f>
        <v>Reciclar: requalificar, reengajar ou encerrar</v>
      </c>
    </row>
    <row r="1273" customFormat="false" ht="15" hidden="false" customHeight="false" outlineLevel="0" collapsed="false">
      <c r="A1273" s="10" t="s">
        <v>1519</v>
      </c>
      <c r="B1273" s="10" t="s">
        <v>57</v>
      </c>
      <c r="C1273" s="10" t="s">
        <v>58</v>
      </c>
      <c r="D1273" s="10" t="s">
        <v>165</v>
      </c>
      <c r="E1273" s="10" t="s">
        <v>49</v>
      </c>
      <c r="F1273" s="10" t="s">
        <v>1334</v>
      </c>
      <c r="G1273" s="10" t="s">
        <v>162</v>
      </c>
      <c r="H1273" s="30" t="n">
        <v>42895</v>
      </c>
      <c r="I1273" s="8" t="n">
        <f aca="false">INDEX(Parâmetros!$C$13:$C$19,MATCH(E1273,Parâmetros!$A$13:$A$19,0))</f>
        <v>3393</v>
      </c>
      <c r="J1273" s="26" t="n">
        <f aca="false">IF(H1273="","",Parâmetros!$B$5-H1273)</f>
        <v>205</v>
      </c>
      <c r="K1273" s="10" t="n">
        <f aca="false">INDEX(Parâmetros!$D$13:$D$19,MATCH(E1273,Parâmetros!$A$13:$A$19,0))</f>
        <v>40</v>
      </c>
      <c r="L1273" s="10" t="n">
        <f aca="false">IF(G1273="Prospecting",Parâmetros!$B$9,IF(J1273&gt;Parâmetros!$B$6,0,INDEX(Parâmetros!$C$24:$C$26,MATCH(J1273,Parâmetros!$A$24:$A$26,1))))</f>
        <v>0</v>
      </c>
      <c r="M1273" s="31" t="n">
        <f aca="false">IF(G1273="Prospecting",1,INDEX(Parâmetros!$C$32:$C$35,MATCH(J1273,Parâmetros!$A$32:$A$35,1)))</f>
        <v>0.4</v>
      </c>
      <c r="N1273" s="2" t="n">
        <f aca="false">ROUND((K1273+L1273)*M1273,0)</f>
        <v>16</v>
      </c>
      <c r="O1273" s="10" t="str">
        <f aca="false">IF(AND(G1273="Engaging",J1273&gt;Parâmetros!$B$6),"Sim","Não")</f>
        <v>Sim</v>
      </c>
      <c r="P1273" s="32" t="str">
        <f aca="false">IF(O1273="Sim","R",IF(N1273&gt;=Parâmetros!$B$39,"A",IF(N1273&gt;=Parâmetros!$B$40,"B",IF(N1273&gt;=Parâmetros!$B$41,"C","D"))))</f>
        <v>R</v>
      </c>
      <c r="Q1273" s="10" t="str">
        <f aca="false">IF(F1273="","Completar cadastro","")</f>
        <v/>
      </c>
      <c r="R1273" s="10" t="str">
        <f aca="false">INDEX(Parâmetros!$D$39:$D$43,MATCH(P1273,Parâmetros!$A$39:$A$43,0))</f>
        <v>Reciclar: requalificar, reengajar ou encerrar</v>
      </c>
    </row>
    <row r="1274" customFormat="false" ht="15" hidden="false" customHeight="false" outlineLevel="0" collapsed="false">
      <c r="A1274" s="10" t="s">
        <v>1520</v>
      </c>
      <c r="B1274" s="10" t="s">
        <v>68</v>
      </c>
      <c r="C1274" s="10" t="s">
        <v>65</v>
      </c>
      <c r="D1274" s="10" t="s">
        <v>160</v>
      </c>
      <c r="E1274" s="10" t="s">
        <v>49</v>
      </c>
      <c r="F1274" s="10" t="s">
        <v>344</v>
      </c>
      <c r="G1274" s="10" t="s">
        <v>162</v>
      </c>
      <c r="H1274" s="30" t="n">
        <v>42897</v>
      </c>
      <c r="I1274" s="8" t="n">
        <f aca="false">INDEX(Parâmetros!$C$13:$C$19,MATCH(E1274,Parâmetros!$A$13:$A$19,0))</f>
        <v>3393</v>
      </c>
      <c r="J1274" s="26" t="n">
        <f aca="false">IF(H1274="","",Parâmetros!$B$5-H1274)</f>
        <v>203</v>
      </c>
      <c r="K1274" s="10" t="n">
        <f aca="false">INDEX(Parâmetros!$D$13:$D$19,MATCH(E1274,Parâmetros!$A$13:$A$19,0))</f>
        <v>40</v>
      </c>
      <c r="L1274" s="10" t="n">
        <f aca="false">IF(G1274="Prospecting",Parâmetros!$B$9,IF(J1274&gt;Parâmetros!$B$6,0,INDEX(Parâmetros!$C$24:$C$26,MATCH(J1274,Parâmetros!$A$24:$A$26,1))))</f>
        <v>0</v>
      </c>
      <c r="M1274" s="31" t="n">
        <f aca="false">IF(G1274="Prospecting",1,INDEX(Parâmetros!$C$32:$C$35,MATCH(J1274,Parâmetros!$A$32:$A$35,1)))</f>
        <v>0.4</v>
      </c>
      <c r="N1274" s="2" t="n">
        <f aca="false">ROUND((K1274+L1274)*M1274,0)</f>
        <v>16</v>
      </c>
      <c r="O1274" s="10" t="str">
        <f aca="false">IF(AND(G1274="Engaging",J1274&gt;Parâmetros!$B$6),"Sim","Não")</f>
        <v>Sim</v>
      </c>
      <c r="P1274" s="32" t="str">
        <f aca="false">IF(O1274="Sim","R",IF(N1274&gt;=Parâmetros!$B$39,"A",IF(N1274&gt;=Parâmetros!$B$40,"B",IF(N1274&gt;=Parâmetros!$B$41,"C","D"))))</f>
        <v>R</v>
      </c>
      <c r="Q1274" s="10" t="str">
        <f aca="false">IF(F1274="","Completar cadastro","")</f>
        <v/>
      </c>
      <c r="R1274" s="10" t="str">
        <f aca="false">INDEX(Parâmetros!$D$39:$D$43,MATCH(P1274,Parâmetros!$A$39:$A$43,0))</f>
        <v>Reciclar: requalificar, reengajar ou encerrar</v>
      </c>
    </row>
    <row r="1275" customFormat="false" ht="15" hidden="false" customHeight="false" outlineLevel="0" collapsed="false">
      <c r="A1275" s="10" t="s">
        <v>1521</v>
      </c>
      <c r="B1275" s="10" t="s">
        <v>97</v>
      </c>
      <c r="C1275" s="10" t="s">
        <v>92</v>
      </c>
      <c r="D1275" s="10" t="s">
        <v>160</v>
      </c>
      <c r="E1275" s="10" t="s">
        <v>49</v>
      </c>
      <c r="F1275" s="10"/>
      <c r="G1275" s="10" t="s">
        <v>162</v>
      </c>
      <c r="H1275" s="30" t="n">
        <v>42899</v>
      </c>
      <c r="I1275" s="8" t="n">
        <f aca="false">INDEX(Parâmetros!$C$13:$C$19,MATCH(E1275,Parâmetros!$A$13:$A$19,0))</f>
        <v>3393</v>
      </c>
      <c r="J1275" s="26" t="n">
        <f aca="false">IF(H1275="","",Parâmetros!$B$5-H1275)</f>
        <v>201</v>
      </c>
      <c r="K1275" s="10" t="n">
        <f aca="false">INDEX(Parâmetros!$D$13:$D$19,MATCH(E1275,Parâmetros!$A$13:$A$19,0))</f>
        <v>40</v>
      </c>
      <c r="L1275" s="10" t="n">
        <f aca="false">IF(G1275="Prospecting",Parâmetros!$B$9,IF(J1275&gt;Parâmetros!$B$6,0,INDEX(Parâmetros!$C$24:$C$26,MATCH(J1275,Parâmetros!$A$24:$A$26,1))))</f>
        <v>0</v>
      </c>
      <c r="M1275" s="31" t="n">
        <f aca="false">IF(G1275="Prospecting",1,INDEX(Parâmetros!$C$32:$C$35,MATCH(J1275,Parâmetros!$A$32:$A$35,1)))</f>
        <v>0.4</v>
      </c>
      <c r="N1275" s="2" t="n">
        <f aca="false">ROUND((K1275+L1275)*M1275,0)</f>
        <v>16</v>
      </c>
      <c r="O1275" s="10" t="str">
        <f aca="false">IF(AND(G1275="Engaging",J1275&gt;Parâmetros!$B$6),"Sim","Não")</f>
        <v>Sim</v>
      </c>
      <c r="P1275" s="32" t="str">
        <f aca="false">IF(O1275="Sim","R",IF(N1275&gt;=Parâmetros!$B$39,"A",IF(N1275&gt;=Parâmetros!$B$40,"B",IF(N1275&gt;=Parâmetros!$B$41,"C","D"))))</f>
        <v>R</v>
      </c>
      <c r="Q1275" s="10" t="str">
        <f aca="false">IF(F1275="","Completar cadastro","")</f>
        <v>Completar cadastro</v>
      </c>
      <c r="R1275" s="10" t="str">
        <f aca="false">INDEX(Parâmetros!$D$39:$D$43,MATCH(P1275,Parâmetros!$A$39:$A$43,0))</f>
        <v>Reciclar: requalificar, reengajar ou encerrar</v>
      </c>
    </row>
    <row r="1276" customFormat="false" ht="15" hidden="false" customHeight="false" outlineLevel="0" collapsed="false">
      <c r="A1276" s="10" t="s">
        <v>1522</v>
      </c>
      <c r="B1276" s="10" t="s">
        <v>97</v>
      </c>
      <c r="C1276" s="10" t="s">
        <v>92</v>
      </c>
      <c r="D1276" s="10" t="s">
        <v>160</v>
      </c>
      <c r="E1276" s="10" t="s">
        <v>49</v>
      </c>
      <c r="F1276" s="10"/>
      <c r="G1276" s="10" t="s">
        <v>162</v>
      </c>
      <c r="H1276" s="30" t="n">
        <v>42901</v>
      </c>
      <c r="I1276" s="8" t="n">
        <f aca="false">INDEX(Parâmetros!$C$13:$C$19,MATCH(E1276,Parâmetros!$A$13:$A$19,0))</f>
        <v>3393</v>
      </c>
      <c r="J1276" s="26" t="n">
        <f aca="false">IF(H1276="","",Parâmetros!$B$5-H1276)</f>
        <v>199</v>
      </c>
      <c r="K1276" s="10" t="n">
        <f aca="false">INDEX(Parâmetros!$D$13:$D$19,MATCH(E1276,Parâmetros!$A$13:$A$19,0))</f>
        <v>40</v>
      </c>
      <c r="L1276" s="10" t="n">
        <f aca="false">IF(G1276="Prospecting",Parâmetros!$B$9,IF(J1276&gt;Parâmetros!$B$6,0,INDEX(Parâmetros!$C$24:$C$26,MATCH(J1276,Parâmetros!$A$24:$A$26,1))))</f>
        <v>0</v>
      </c>
      <c r="M1276" s="31" t="n">
        <f aca="false">IF(G1276="Prospecting",1,INDEX(Parâmetros!$C$32:$C$35,MATCH(J1276,Parâmetros!$A$32:$A$35,1)))</f>
        <v>0.4</v>
      </c>
      <c r="N1276" s="2" t="n">
        <f aca="false">ROUND((K1276+L1276)*M1276,0)</f>
        <v>16</v>
      </c>
      <c r="O1276" s="10" t="str">
        <f aca="false">IF(AND(G1276="Engaging",J1276&gt;Parâmetros!$B$6),"Sim","Não")</f>
        <v>Sim</v>
      </c>
      <c r="P1276" s="32" t="str">
        <f aca="false">IF(O1276="Sim","R",IF(N1276&gt;=Parâmetros!$B$39,"A",IF(N1276&gt;=Parâmetros!$B$40,"B",IF(N1276&gt;=Parâmetros!$B$41,"C","D"))))</f>
        <v>R</v>
      </c>
      <c r="Q1276" s="10" t="str">
        <f aca="false">IF(F1276="","Completar cadastro","")</f>
        <v>Completar cadastro</v>
      </c>
      <c r="R1276" s="10" t="str">
        <f aca="false">INDEX(Parâmetros!$D$39:$D$43,MATCH(P1276,Parâmetros!$A$39:$A$43,0))</f>
        <v>Reciclar: requalificar, reengajar ou encerrar</v>
      </c>
    </row>
    <row r="1277" customFormat="false" ht="15" hidden="false" customHeight="false" outlineLevel="0" collapsed="false">
      <c r="A1277" s="10" t="s">
        <v>1523</v>
      </c>
      <c r="B1277" s="10" t="s">
        <v>93</v>
      </c>
      <c r="C1277" s="10" t="s">
        <v>92</v>
      </c>
      <c r="D1277" s="10" t="s">
        <v>160</v>
      </c>
      <c r="E1277" s="10" t="s">
        <v>49</v>
      </c>
      <c r="F1277" s="10"/>
      <c r="G1277" s="10" t="s">
        <v>162</v>
      </c>
      <c r="H1277" s="30" t="n">
        <v>42903</v>
      </c>
      <c r="I1277" s="8" t="n">
        <f aca="false">INDEX(Parâmetros!$C$13:$C$19,MATCH(E1277,Parâmetros!$A$13:$A$19,0))</f>
        <v>3393</v>
      </c>
      <c r="J1277" s="26" t="n">
        <f aca="false">IF(H1277="","",Parâmetros!$B$5-H1277)</f>
        <v>197</v>
      </c>
      <c r="K1277" s="10" t="n">
        <f aca="false">INDEX(Parâmetros!$D$13:$D$19,MATCH(E1277,Parâmetros!$A$13:$A$19,0))</f>
        <v>40</v>
      </c>
      <c r="L1277" s="10" t="n">
        <f aca="false">IF(G1277="Prospecting",Parâmetros!$B$9,IF(J1277&gt;Parâmetros!$B$6,0,INDEX(Parâmetros!$C$24:$C$26,MATCH(J1277,Parâmetros!$A$24:$A$26,1))))</f>
        <v>0</v>
      </c>
      <c r="M1277" s="31" t="n">
        <f aca="false">IF(G1277="Prospecting",1,INDEX(Parâmetros!$C$32:$C$35,MATCH(J1277,Parâmetros!$A$32:$A$35,1)))</f>
        <v>0.4</v>
      </c>
      <c r="N1277" s="2" t="n">
        <f aca="false">ROUND((K1277+L1277)*M1277,0)</f>
        <v>16</v>
      </c>
      <c r="O1277" s="10" t="str">
        <f aca="false">IF(AND(G1277="Engaging",J1277&gt;Parâmetros!$B$6),"Sim","Não")</f>
        <v>Sim</v>
      </c>
      <c r="P1277" s="32" t="str">
        <f aca="false">IF(O1277="Sim","R",IF(N1277&gt;=Parâmetros!$B$39,"A",IF(N1277&gt;=Parâmetros!$B$40,"B",IF(N1277&gt;=Parâmetros!$B$41,"C","D"))))</f>
        <v>R</v>
      </c>
      <c r="Q1277" s="10" t="str">
        <f aca="false">IF(F1277="","Completar cadastro","")</f>
        <v>Completar cadastro</v>
      </c>
      <c r="R1277" s="10" t="str">
        <f aca="false">INDEX(Parâmetros!$D$39:$D$43,MATCH(P1277,Parâmetros!$A$39:$A$43,0))</f>
        <v>Reciclar: requalificar, reengajar ou encerrar</v>
      </c>
    </row>
    <row r="1278" customFormat="false" ht="15" hidden="false" customHeight="false" outlineLevel="0" collapsed="false">
      <c r="A1278" s="10" t="s">
        <v>1524</v>
      </c>
      <c r="B1278" s="10" t="s">
        <v>87</v>
      </c>
      <c r="C1278" s="10" t="s">
        <v>85</v>
      </c>
      <c r="D1278" s="10" t="s">
        <v>165</v>
      </c>
      <c r="E1278" s="10" t="s">
        <v>49</v>
      </c>
      <c r="F1278" s="10" t="s">
        <v>711</v>
      </c>
      <c r="G1278" s="10" t="s">
        <v>162</v>
      </c>
      <c r="H1278" s="30" t="n">
        <v>42904</v>
      </c>
      <c r="I1278" s="8" t="n">
        <f aca="false">INDEX(Parâmetros!$C$13:$C$19,MATCH(E1278,Parâmetros!$A$13:$A$19,0))</f>
        <v>3393</v>
      </c>
      <c r="J1278" s="26" t="n">
        <f aca="false">IF(H1278="","",Parâmetros!$B$5-H1278)</f>
        <v>196</v>
      </c>
      <c r="K1278" s="10" t="n">
        <f aca="false">INDEX(Parâmetros!$D$13:$D$19,MATCH(E1278,Parâmetros!$A$13:$A$19,0))</f>
        <v>40</v>
      </c>
      <c r="L1278" s="10" t="n">
        <f aca="false">IF(G1278="Prospecting",Parâmetros!$B$9,IF(J1278&gt;Parâmetros!$B$6,0,INDEX(Parâmetros!$C$24:$C$26,MATCH(J1278,Parâmetros!$A$24:$A$26,1))))</f>
        <v>0</v>
      </c>
      <c r="M1278" s="31" t="n">
        <f aca="false">IF(G1278="Prospecting",1,INDEX(Parâmetros!$C$32:$C$35,MATCH(J1278,Parâmetros!$A$32:$A$35,1)))</f>
        <v>0.4</v>
      </c>
      <c r="N1278" s="2" t="n">
        <f aca="false">ROUND((K1278+L1278)*M1278,0)</f>
        <v>16</v>
      </c>
      <c r="O1278" s="10" t="str">
        <f aca="false">IF(AND(G1278="Engaging",J1278&gt;Parâmetros!$B$6),"Sim","Não")</f>
        <v>Sim</v>
      </c>
      <c r="P1278" s="32" t="str">
        <f aca="false">IF(O1278="Sim","R",IF(N1278&gt;=Parâmetros!$B$39,"A",IF(N1278&gt;=Parâmetros!$B$40,"B",IF(N1278&gt;=Parâmetros!$B$41,"C","D"))))</f>
        <v>R</v>
      </c>
      <c r="Q1278" s="10" t="str">
        <f aca="false">IF(F1278="","Completar cadastro","")</f>
        <v/>
      </c>
      <c r="R1278" s="10" t="str">
        <f aca="false">INDEX(Parâmetros!$D$39:$D$43,MATCH(P1278,Parâmetros!$A$39:$A$43,0))</f>
        <v>Reciclar: requalificar, reengajar ou encerrar</v>
      </c>
    </row>
    <row r="1279" customFormat="false" ht="15" hidden="false" customHeight="false" outlineLevel="0" collapsed="false">
      <c r="A1279" s="10" t="s">
        <v>1525</v>
      </c>
      <c r="B1279" s="10" t="s">
        <v>93</v>
      </c>
      <c r="C1279" s="10" t="s">
        <v>92</v>
      </c>
      <c r="D1279" s="10" t="s">
        <v>160</v>
      </c>
      <c r="E1279" s="10" t="s">
        <v>49</v>
      </c>
      <c r="F1279" s="10" t="s">
        <v>1397</v>
      </c>
      <c r="G1279" s="10" t="s">
        <v>162</v>
      </c>
      <c r="H1279" s="30" t="n">
        <v>42904</v>
      </c>
      <c r="I1279" s="8" t="n">
        <f aca="false">INDEX(Parâmetros!$C$13:$C$19,MATCH(E1279,Parâmetros!$A$13:$A$19,0))</f>
        <v>3393</v>
      </c>
      <c r="J1279" s="26" t="n">
        <f aca="false">IF(H1279="","",Parâmetros!$B$5-H1279)</f>
        <v>196</v>
      </c>
      <c r="K1279" s="10" t="n">
        <f aca="false">INDEX(Parâmetros!$D$13:$D$19,MATCH(E1279,Parâmetros!$A$13:$A$19,0))</f>
        <v>40</v>
      </c>
      <c r="L1279" s="10" t="n">
        <f aca="false">IF(G1279="Prospecting",Parâmetros!$B$9,IF(J1279&gt;Parâmetros!$B$6,0,INDEX(Parâmetros!$C$24:$C$26,MATCH(J1279,Parâmetros!$A$24:$A$26,1))))</f>
        <v>0</v>
      </c>
      <c r="M1279" s="31" t="n">
        <f aca="false">IF(G1279="Prospecting",1,INDEX(Parâmetros!$C$32:$C$35,MATCH(J1279,Parâmetros!$A$32:$A$35,1)))</f>
        <v>0.4</v>
      </c>
      <c r="N1279" s="2" t="n">
        <f aca="false">ROUND((K1279+L1279)*M1279,0)</f>
        <v>16</v>
      </c>
      <c r="O1279" s="10" t="str">
        <f aca="false">IF(AND(G1279="Engaging",J1279&gt;Parâmetros!$B$6),"Sim","Não")</f>
        <v>Sim</v>
      </c>
      <c r="P1279" s="32" t="str">
        <f aca="false">IF(O1279="Sim","R",IF(N1279&gt;=Parâmetros!$B$39,"A",IF(N1279&gt;=Parâmetros!$B$40,"B",IF(N1279&gt;=Parâmetros!$B$41,"C","D"))))</f>
        <v>R</v>
      </c>
      <c r="Q1279" s="10" t="str">
        <f aca="false">IF(F1279="","Completar cadastro","")</f>
        <v/>
      </c>
      <c r="R1279" s="10" t="str">
        <f aca="false">INDEX(Parâmetros!$D$39:$D$43,MATCH(P1279,Parâmetros!$A$39:$A$43,0))</f>
        <v>Reciclar: requalificar, reengajar ou encerrar</v>
      </c>
    </row>
    <row r="1280" customFormat="false" ht="15" hidden="false" customHeight="false" outlineLevel="0" collapsed="false">
      <c r="A1280" s="10" t="s">
        <v>1526</v>
      </c>
      <c r="B1280" s="10" t="s">
        <v>94</v>
      </c>
      <c r="C1280" s="10" t="s">
        <v>92</v>
      </c>
      <c r="D1280" s="10" t="s">
        <v>160</v>
      </c>
      <c r="E1280" s="10" t="s">
        <v>49</v>
      </c>
      <c r="F1280" s="10"/>
      <c r="G1280" s="10" t="s">
        <v>162</v>
      </c>
      <c r="H1280" s="30" t="n">
        <v>42906</v>
      </c>
      <c r="I1280" s="8" t="n">
        <f aca="false">INDEX(Parâmetros!$C$13:$C$19,MATCH(E1280,Parâmetros!$A$13:$A$19,0))</f>
        <v>3393</v>
      </c>
      <c r="J1280" s="26" t="n">
        <f aca="false">IF(H1280="","",Parâmetros!$B$5-H1280)</f>
        <v>194</v>
      </c>
      <c r="K1280" s="10" t="n">
        <f aca="false">INDEX(Parâmetros!$D$13:$D$19,MATCH(E1280,Parâmetros!$A$13:$A$19,0))</f>
        <v>40</v>
      </c>
      <c r="L1280" s="10" t="n">
        <f aca="false">IF(G1280="Prospecting",Parâmetros!$B$9,IF(J1280&gt;Parâmetros!$B$6,0,INDEX(Parâmetros!$C$24:$C$26,MATCH(J1280,Parâmetros!$A$24:$A$26,1))))</f>
        <v>0</v>
      </c>
      <c r="M1280" s="31" t="n">
        <f aca="false">IF(G1280="Prospecting",1,INDEX(Parâmetros!$C$32:$C$35,MATCH(J1280,Parâmetros!$A$32:$A$35,1)))</f>
        <v>0.4</v>
      </c>
      <c r="N1280" s="2" t="n">
        <f aca="false">ROUND((K1280+L1280)*M1280,0)</f>
        <v>16</v>
      </c>
      <c r="O1280" s="10" t="str">
        <f aca="false">IF(AND(G1280="Engaging",J1280&gt;Parâmetros!$B$6),"Sim","Não")</f>
        <v>Sim</v>
      </c>
      <c r="P1280" s="32" t="str">
        <f aca="false">IF(O1280="Sim","R",IF(N1280&gt;=Parâmetros!$B$39,"A",IF(N1280&gt;=Parâmetros!$B$40,"B",IF(N1280&gt;=Parâmetros!$B$41,"C","D"))))</f>
        <v>R</v>
      </c>
      <c r="Q1280" s="10" t="str">
        <f aca="false">IF(F1280="","Completar cadastro","")</f>
        <v>Completar cadastro</v>
      </c>
      <c r="R1280" s="10" t="str">
        <f aca="false">INDEX(Parâmetros!$D$39:$D$43,MATCH(P1280,Parâmetros!$A$39:$A$43,0))</f>
        <v>Reciclar: requalificar, reengajar ou encerrar</v>
      </c>
    </row>
    <row r="1281" customFormat="false" ht="15" hidden="false" customHeight="false" outlineLevel="0" collapsed="false">
      <c r="A1281" s="10" t="s">
        <v>1527</v>
      </c>
      <c r="B1281" s="10" t="s">
        <v>63</v>
      </c>
      <c r="C1281" s="10" t="s">
        <v>58</v>
      </c>
      <c r="D1281" s="10" t="s">
        <v>165</v>
      </c>
      <c r="E1281" s="10" t="s">
        <v>49</v>
      </c>
      <c r="F1281" s="10"/>
      <c r="G1281" s="10" t="s">
        <v>162</v>
      </c>
      <c r="H1281" s="30" t="n">
        <v>42906</v>
      </c>
      <c r="I1281" s="8" t="n">
        <f aca="false">INDEX(Parâmetros!$C$13:$C$19,MATCH(E1281,Parâmetros!$A$13:$A$19,0))</f>
        <v>3393</v>
      </c>
      <c r="J1281" s="26" t="n">
        <f aca="false">IF(H1281="","",Parâmetros!$B$5-H1281)</f>
        <v>194</v>
      </c>
      <c r="K1281" s="10" t="n">
        <f aca="false">INDEX(Parâmetros!$D$13:$D$19,MATCH(E1281,Parâmetros!$A$13:$A$19,0))</f>
        <v>40</v>
      </c>
      <c r="L1281" s="10" t="n">
        <f aca="false">IF(G1281="Prospecting",Parâmetros!$B$9,IF(J1281&gt;Parâmetros!$B$6,0,INDEX(Parâmetros!$C$24:$C$26,MATCH(J1281,Parâmetros!$A$24:$A$26,1))))</f>
        <v>0</v>
      </c>
      <c r="M1281" s="31" t="n">
        <f aca="false">IF(G1281="Prospecting",1,INDEX(Parâmetros!$C$32:$C$35,MATCH(J1281,Parâmetros!$A$32:$A$35,1)))</f>
        <v>0.4</v>
      </c>
      <c r="N1281" s="2" t="n">
        <f aca="false">ROUND((K1281+L1281)*M1281,0)</f>
        <v>16</v>
      </c>
      <c r="O1281" s="10" t="str">
        <f aca="false">IF(AND(G1281="Engaging",J1281&gt;Parâmetros!$B$6),"Sim","Não")</f>
        <v>Sim</v>
      </c>
      <c r="P1281" s="32" t="str">
        <f aca="false">IF(O1281="Sim","R",IF(N1281&gt;=Parâmetros!$B$39,"A",IF(N1281&gt;=Parâmetros!$B$40,"B",IF(N1281&gt;=Parâmetros!$B$41,"C","D"))))</f>
        <v>R</v>
      </c>
      <c r="Q1281" s="10" t="str">
        <f aca="false">IF(F1281="","Completar cadastro","")</f>
        <v>Completar cadastro</v>
      </c>
      <c r="R1281" s="10" t="str">
        <f aca="false">INDEX(Parâmetros!$D$39:$D$43,MATCH(P1281,Parâmetros!$A$39:$A$43,0))</f>
        <v>Reciclar: requalificar, reengajar ou encerrar</v>
      </c>
    </row>
    <row r="1282" customFormat="false" ht="15" hidden="false" customHeight="false" outlineLevel="0" collapsed="false">
      <c r="A1282" s="10" t="s">
        <v>1528</v>
      </c>
      <c r="B1282" s="10" t="s">
        <v>97</v>
      </c>
      <c r="C1282" s="10" t="s">
        <v>92</v>
      </c>
      <c r="D1282" s="10" t="s">
        <v>160</v>
      </c>
      <c r="E1282" s="10" t="s">
        <v>49</v>
      </c>
      <c r="F1282" s="10"/>
      <c r="G1282" s="10" t="s">
        <v>162</v>
      </c>
      <c r="H1282" s="30" t="n">
        <v>42906</v>
      </c>
      <c r="I1282" s="8" t="n">
        <f aca="false">INDEX(Parâmetros!$C$13:$C$19,MATCH(E1282,Parâmetros!$A$13:$A$19,0))</f>
        <v>3393</v>
      </c>
      <c r="J1282" s="26" t="n">
        <f aca="false">IF(H1282="","",Parâmetros!$B$5-H1282)</f>
        <v>194</v>
      </c>
      <c r="K1282" s="10" t="n">
        <f aca="false">INDEX(Parâmetros!$D$13:$D$19,MATCH(E1282,Parâmetros!$A$13:$A$19,0))</f>
        <v>40</v>
      </c>
      <c r="L1282" s="10" t="n">
        <f aca="false">IF(G1282="Prospecting",Parâmetros!$B$9,IF(J1282&gt;Parâmetros!$B$6,0,INDEX(Parâmetros!$C$24:$C$26,MATCH(J1282,Parâmetros!$A$24:$A$26,1))))</f>
        <v>0</v>
      </c>
      <c r="M1282" s="31" t="n">
        <f aca="false">IF(G1282="Prospecting",1,INDEX(Parâmetros!$C$32:$C$35,MATCH(J1282,Parâmetros!$A$32:$A$35,1)))</f>
        <v>0.4</v>
      </c>
      <c r="N1282" s="2" t="n">
        <f aca="false">ROUND((K1282+L1282)*M1282,0)</f>
        <v>16</v>
      </c>
      <c r="O1282" s="10" t="str">
        <f aca="false">IF(AND(G1282="Engaging",J1282&gt;Parâmetros!$B$6),"Sim","Não")</f>
        <v>Sim</v>
      </c>
      <c r="P1282" s="32" t="str">
        <f aca="false">IF(O1282="Sim","R",IF(N1282&gt;=Parâmetros!$B$39,"A",IF(N1282&gt;=Parâmetros!$B$40,"B",IF(N1282&gt;=Parâmetros!$B$41,"C","D"))))</f>
        <v>R</v>
      </c>
      <c r="Q1282" s="10" t="str">
        <f aca="false">IF(F1282="","Completar cadastro","")</f>
        <v>Completar cadastro</v>
      </c>
      <c r="R1282" s="10" t="str">
        <f aca="false">INDEX(Parâmetros!$D$39:$D$43,MATCH(P1282,Parâmetros!$A$39:$A$43,0))</f>
        <v>Reciclar: requalificar, reengajar ou encerrar</v>
      </c>
    </row>
    <row r="1283" customFormat="false" ht="15" hidden="false" customHeight="false" outlineLevel="0" collapsed="false">
      <c r="A1283" s="10" t="s">
        <v>1529</v>
      </c>
      <c r="B1283" s="10" t="s">
        <v>86</v>
      </c>
      <c r="C1283" s="10" t="s">
        <v>85</v>
      </c>
      <c r="D1283" s="10" t="s">
        <v>165</v>
      </c>
      <c r="E1283" s="10" t="s">
        <v>49</v>
      </c>
      <c r="F1283" s="10"/>
      <c r="G1283" s="10" t="s">
        <v>162</v>
      </c>
      <c r="H1283" s="30" t="n">
        <v>42909</v>
      </c>
      <c r="I1283" s="8" t="n">
        <f aca="false">INDEX(Parâmetros!$C$13:$C$19,MATCH(E1283,Parâmetros!$A$13:$A$19,0))</f>
        <v>3393</v>
      </c>
      <c r="J1283" s="26" t="n">
        <f aca="false">IF(H1283="","",Parâmetros!$B$5-H1283)</f>
        <v>191</v>
      </c>
      <c r="K1283" s="10" t="n">
        <f aca="false">INDEX(Parâmetros!$D$13:$D$19,MATCH(E1283,Parâmetros!$A$13:$A$19,0))</f>
        <v>40</v>
      </c>
      <c r="L1283" s="10" t="n">
        <f aca="false">IF(G1283="Prospecting",Parâmetros!$B$9,IF(J1283&gt;Parâmetros!$B$6,0,INDEX(Parâmetros!$C$24:$C$26,MATCH(J1283,Parâmetros!$A$24:$A$26,1))))</f>
        <v>0</v>
      </c>
      <c r="M1283" s="31" t="n">
        <f aca="false">IF(G1283="Prospecting",1,INDEX(Parâmetros!$C$32:$C$35,MATCH(J1283,Parâmetros!$A$32:$A$35,1)))</f>
        <v>0.4</v>
      </c>
      <c r="N1283" s="2" t="n">
        <f aca="false">ROUND((K1283+L1283)*M1283,0)</f>
        <v>16</v>
      </c>
      <c r="O1283" s="10" t="str">
        <f aca="false">IF(AND(G1283="Engaging",J1283&gt;Parâmetros!$B$6),"Sim","Não")</f>
        <v>Sim</v>
      </c>
      <c r="P1283" s="32" t="str">
        <f aca="false">IF(O1283="Sim","R",IF(N1283&gt;=Parâmetros!$B$39,"A",IF(N1283&gt;=Parâmetros!$B$40,"B",IF(N1283&gt;=Parâmetros!$B$41,"C","D"))))</f>
        <v>R</v>
      </c>
      <c r="Q1283" s="10" t="str">
        <f aca="false">IF(F1283="","Completar cadastro","")</f>
        <v>Completar cadastro</v>
      </c>
      <c r="R1283" s="10" t="str">
        <f aca="false">INDEX(Parâmetros!$D$39:$D$43,MATCH(P1283,Parâmetros!$A$39:$A$43,0))</f>
        <v>Reciclar: requalificar, reengajar ou encerrar</v>
      </c>
    </row>
    <row r="1284" customFormat="false" ht="15" hidden="false" customHeight="false" outlineLevel="0" collapsed="false">
      <c r="A1284" s="10" t="s">
        <v>1530</v>
      </c>
      <c r="B1284" s="10" t="s">
        <v>87</v>
      </c>
      <c r="C1284" s="10" t="s">
        <v>85</v>
      </c>
      <c r="D1284" s="10" t="s">
        <v>165</v>
      </c>
      <c r="E1284" s="10" t="s">
        <v>49</v>
      </c>
      <c r="F1284" s="10"/>
      <c r="G1284" s="10" t="s">
        <v>162</v>
      </c>
      <c r="H1284" s="30" t="n">
        <v>42912</v>
      </c>
      <c r="I1284" s="8" t="n">
        <f aca="false">INDEX(Parâmetros!$C$13:$C$19,MATCH(E1284,Parâmetros!$A$13:$A$19,0))</f>
        <v>3393</v>
      </c>
      <c r="J1284" s="26" t="n">
        <f aca="false">IF(H1284="","",Parâmetros!$B$5-H1284)</f>
        <v>188</v>
      </c>
      <c r="K1284" s="10" t="n">
        <f aca="false">INDEX(Parâmetros!$D$13:$D$19,MATCH(E1284,Parâmetros!$A$13:$A$19,0))</f>
        <v>40</v>
      </c>
      <c r="L1284" s="10" t="n">
        <f aca="false">IF(G1284="Prospecting",Parâmetros!$B$9,IF(J1284&gt;Parâmetros!$B$6,0,INDEX(Parâmetros!$C$24:$C$26,MATCH(J1284,Parâmetros!$A$24:$A$26,1))))</f>
        <v>0</v>
      </c>
      <c r="M1284" s="31" t="n">
        <f aca="false">IF(G1284="Prospecting",1,INDEX(Parâmetros!$C$32:$C$35,MATCH(J1284,Parâmetros!$A$32:$A$35,1)))</f>
        <v>0.4</v>
      </c>
      <c r="N1284" s="2" t="n">
        <f aca="false">ROUND((K1284+L1284)*M1284,0)</f>
        <v>16</v>
      </c>
      <c r="O1284" s="10" t="str">
        <f aca="false">IF(AND(G1284="Engaging",J1284&gt;Parâmetros!$B$6),"Sim","Não")</f>
        <v>Sim</v>
      </c>
      <c r="P1284" s="32" t="str">
        <f aca="false">IF(O1284="Sim","R",IF(N1284&gt;=Parâmetros!$B$39,"A",IF(N1284&gt;=Parâmetros!$B$40,"B",IF(N1284&gt;=Parâmetros!$B$41,"C","D"))))</f>
        <v>R</v>
      </c>
      <c r="Q1284" s="10" t="str">
        <f aca="false">IF(F1284="","Completar cadastro","")</f>
        <v>Completar cadastro</v>
      </c>
      <c r="R1284" s="10" t="str">
        <f aca="false">INDEX(Parâmetros!$D$39:$D$43,MATCH(P1284,Parâmetros!$A$39:$A$43,0))</f>
        <v>Reciclar: requalificar, reengajar ou encerrar</v>
      </c>
    </row>
    <row r="1285" customFormat="false" ht="15" hidden="false" customHeight="false" outlineLevel="0" collapsed="false">
      <c r="A1285" s="10" t="s">
        <v>1531</v>
      </c>
      <c r="B1285" s="10" t="s">
        <v>61</v>
      </c>
      <c r="C1285" s="10" t="s">
        <v>58</v>
      </c>
      <c r="D1285" s="10" t="s">
        <v>165</v>
      </c>
      <c r="E1285" s="10" t="s">
        <v>49</v>
      </c>
      <c r="F1285" s="10"/>
      <c r="G1285" s="10" t="s">
        <v>162</v>
      </c>
      <c r="H1285" s="30" t="n">
        <v>42914</v>
      </c>
      <c r="I1285" s="8" t="n">
        <f aca="false">INDEX(Parâmetros!$C$13:$C$19,MATCH(E1285,Parâmetros!$A$13:$A$19,0))</f>
        <v>3393</v>
      </c>
      <c r="J1285" s="26" t="n">
        <f aca="false">IF(H1285="","",Parâmetros!$B$5-H1285)</f>
        <v>186</v>
      </c>
      <c r="K1285" s="10" t="n">
        <f aca="false">INDEX(Parâmetros!$D$13:$D$19,MATCH(E1285,Parâmetros!$A$13:$A$19,0))</f>
        <v>40</v>
      </c>
      <c r="L1285" s="10" t="n">
        <f aca="false">IF(G1285="Prospecting",Parâmetros!$B$9,IF(J1285&gt;Parâmetros!$B$6,0,INDEX(Parâmetros!$C$24:$C$26,MATCH(J1285,Parâmetros!$A$24:$A$26,1))))</f>
        <v>0</v>
      </c>
      <c r="M1285" s="31" t="n">
        <f aca="false">IF(G1285="Prospecting",1,INDEX(Parâmetros!$C$32:$C$35,MATCH(J1285,Parâmetros!$A$32:$A$35,1)))</f>
        <v>0.4</v>
      </c>
      <c r="N1285" s="2" t="n">
        <f aca="false">ROUND((K1285+L1285)*M1285,0)</f>
        <v>16</v>
      </c>
      <c r="O1285" s="10" t="str">
        <f aca="false">IF(AND(G1285="Engaging",J1285&gt;Parâmetros!$B$6),"Sim","Não")</f>
        <v>Sim</v>
      </c>
      <c r="P1285" s="32" t="str">
        <f aca="false">IF(O1285="Sim","R",IF(N1285&gt;=Parâmetros!$B$39,"A",IF(N1285&gt;=Parâmetros!$B$40,"B",IF(N1285&gt;=Parâmetros!$B$41,"C","D"))))</f>
        <v>R</v>
      </c>
      <c r="Q1285" s="10" t="str">
        <f aca="false">IF(F1285="","Completar cadastro","")</f>
        <v>Completar cadastro</v>
      </c>
      <c r="R1285" s="10" t="str">
        <f aca="false">INDEX(Parâmetros!$D$39:$D$43,MATCH(P1285,Parâmetros!$A$39:$A$43,0))</f>
        <v>Reciclar: requalificar, reengajar ou encerrar</v>
      </c>
    </row>
    <row r="1286" customFormat="false" ht="15" hidden="false" customHeight="false" outlineLevel="0" collapsed="false">
      <c r="A1286" s="10" t="s">
        <v>1532</v>
      </c>
      <c r="B1286" s="10" t="s">
        <v>62</v>
      </c>
      <c r="C1286" s="10" t="s">
        <v>58</v>
      </c>
      <c r="D1286" s="10" t="s">
        <v>165</v>
      </c>
      <c r="E1286" s="10" t="s">
        <v>49</v>
      </c>
      <c r="F1286" s="10" t="s">
        <v>384</v>
      </c>
      <c r="G1286" s="10" t="s">
        <v>162</v>
      </c>
      <c r="H1286" s="30" t="n">
        <v>42914</v>
      </c>
      <c r="I1286" s="8" t="n">
        <f aca="false">INDEX(Parâmetros!$C$13:$C$19,MATCH(E1286,Parâmetros!$A$13:$A$19,0))</f>
        <v>3393</v>
      </c>
      <c r="J1286" s="26" t="n">
        <f aca="false">IF(H1286="","",Parâmetros!$B$5-H1286)</f>
        <v>186</v>
      </c>
      <c r="K1286" s="10" t="n">
        <f aca="false">INDEX(Parâmetros!$D$13:$D$19,MATCH(E1286,Parâmetros!$A$13:$A$19,0))</f>
        <v>40</v>
      </c>
      <c r="L1286" s="10" t="n">
        <f aca="false">IF(G1286="Prospecting",Parâmetros!$B$9,IF(J1286&gt;Parâmetros!$B$6,0,INDEX(Parâmetros!$C$24:$C$26,MATCH(J1286,Parâmetros!$A$24:$A$26,1))))</f>
        <v>0</v>
      </c>
      <c r="M1286" s="31" t="n">
        <f aca="false">IF(G1286="Prospecting",1,INDEX(Parâmetros!$C$32:$C$35,MATCH(J1286,Parâmetros!$A$32:$A$35,1)))</f>
        <v>0.4</v>
      </c>
      <c r="N1286" s="2" t="n">
        <f aca="false">ROUND((K1286+L1286)*M1286,0)</f>
        <v>16</v>
      </c>
      <c r="O1286" s="10" t="str">
        <f aca="false">IF(AND(G1286="Engaging",J1286&gt;Parâmetros!$B$6),"Sim","Não")</f>
        <v>Sim</v>
      </c>
      <c r="P1286" s="32" t="str">
        <f aca="false">IF(O1286="Sim","R",IF(N1286&gt;=Parâmetros!$B$39,"A",IF(N1286&gt;=Parâmetros!$B$40,"B",IF(N1286&gt;=Parâmetros!$B$41,"C","D"))))</f>
        <v>R</v>
      </c>
      <c r="Q1286" s="10" t="str">
        <f aca="false">IF(F1286="","Completar cadastro","")</f>
        <v/>
      </c>
      <c r="R1286" s="10" t="str">
        <f aca="false">INDEX(Parâmetros!$D$39:$D$43,MATCH(P1286,Parâmetros!$A$39:$A$43,0))</f>
        <v>Reciclar: requalificar, reengajar ou encerrar</v>
      </c>
    </row>
    <row r="1287" customFormat="false" ht="15" hidden="false" customHeight="false" outlineLevel="0" collapsed="false">
      <c r="A1287" s="10" t="s">
        <v>1533</v>
      </c>
      <c r="B1287" s="10" t="s">
        <v>70</v>
      </c>
      <c r="C1287" s="10" t="s">
        <v>65</v>
      </c>
      <c r="D1287" s="10" t="s">
        <v>160</v>
      </c>
      <c r="E1287" s="10" t="s">
        <v>49</v>
      </c>
      <c r="F1287" s="10"/>
      <c r="G1287" s="10" t="s">
        <v>162</v>
      </c>
      <c r="H1287" s="30" t="n">
        <v>42915</v>
      </c>
      <c r="I1287" s="8" t="n">
        <f aca="false">INDEX(Parâmetros!$C$13:$C$19,MATCH(E1287,Parâmetros!$A$13:$A$19,0))</f>
        <v>3393</v>
      </c>
      <c r="J1287" s="26" t="n">
        <f aca="false">IF(H1287="","",Parâmetros!$B$5-H1287)</f>
        <v>185</v>
      </c>
      <c r="K1287" s="10" t="n">
        <f aca="false">INDEX(Parâmetros!$D$13:$D$19,MATCH(E1287,Parâmetros!$A$13:$A$19,0))</f>
        <v>40</v>
      </c>
      <c r="L1287" s="10" t="n">
        <f aca="false">IF(G1287="Prospecting",Parâmetros!$B$9,IF(J1287&gt;Parâmetros!$B$6,0,INDEX(Parâmetros!$C$24:$C$26,MATCH(J1287,Parâmetros!$A$24:$A$26,1))))</f>
        <v>0</v>
      </c>
      <c r="M1287" s="31" t="n">
        <f aca="false">IF(G1287="Prospecting",1,INDEX(Parâmetros!$C$32:$C$35,MATCH(J1287,Parâmetros!$A$32:$A$35,1)))</f>
        <v>0.4</v>
      </c>
      <c r="N1287" s="2" t="n">
        <f aca="false">ROUND((K1287+L1287)*M1287,0)</f>
        <v>16</v>
      </c>
      <c r="O1287" s="10" t="str">
        <f aca="false">IF(AND(G1287="Engaging",J1287&gt;Parâmetros!$B$6),"Sim","Não")</f>
        <v>Sim</v>
      </c>
      <c r="P1287" s="32" t="str">
        <f aca="false">IF(O1287="Sim","R",IF(N1287&gt;=Parâmetros!$B$39,"A",IF(N1287&gt;=Parâmetros!$B$40,"B",IF(N1287&gt;=Parâmetros!$B$41,"C","D"))))</f>
        <v>R</v>
      </c>
      <c r="Q1287" s="10" t="str">
        <f aca="false">IF(F1287="","Completar cadastro","")</f>
        <v>Completar cadastro</v>
      </c>
      <c r="R1287" s="10" t="str">
        <f aca="false">INDEX(Parâmetros!$D$39:$D$43,MATCH(P1287,Parâmetros!$A$39:$A$43,0))</f>
        <v>Reciclar: requalificar, reengajar ou encerrar</v>
      </c>
    </row>
    <row r="1288" customFormat="false" ht="15" hidden="false" customHeight="false" outlineLevel="0" collapsed="false">
      <c r="A1288" s="10" t="s">
        <v>1534</v>
      </c>
      <c r="B1288" s="10" t="s">
        <v>57</v>
      </c>
      <c r="C1288" s="10" t="s">
        <v>58</v>
      </c>
      <c r="D1288" s="10" t="s">
        <v>165</v>
      </c>
      <c r="E1288" s="10" t="s">
        <v>49</v>
      </c>
      <c r="F1288" s="10"/>
      <c r="G1288" s="10" t="s">
        <v>162</v>
      </c>
      <c r="H1288" s="30" t="n">
        <v>42917</v>
      </c>
      <c r="I1288" s="8" t="n">
        <f aca="false">INDEX(Parâmetros!$C$13:$C$19,MATCH(E1288,Parâmetros!$A$13:$A$19,0))</f>
        <v>3393</v>
      </c>
      <c r="J1288" s="26" t="n">
        <f aca="false">IF(H1288="","",Parâmetros!$B$5-H1288)</f>
        <v>183</v>
      </c>
      <c r="K1288" s="10" t="n">
        <f aca="false">INDEX(Parâmetros!$D$13:$D$19,MATCH(E1288,Parâmetros!$A$13:$A$19,0))</f>
        <v>40</v>
      </c>
      <c r="L1288" s="10" t="n">
        <f aca="false">IF(G1288="Prospecting",Parâmetros!$B$9,IF(J1288&gt;Parâmetros!$B$6,0,INDEX(Parâmetros!$C$24:$C$26,MATCH(J1288,Parâmetros!$A$24:$A$26,1))))</f>
        <v>0</v>
      </c>
      <c r="M1288" s="31" t="n">
        <f aca="false">IF(G1288="Prospecting",1,INDEX(Parâmetros!$C$32:$C$35,MATCH(J1288,Parâmetros!$A$32:$A$35,1)))</f>
        <v>0.4</v>
      </c>
      <c r="N1288" s="2" t="n">
        <f aca="false">ROUND((K1288+L1288)*M1288,0)</f>
        <v>16</v>
      </c>
      <c r="O1288" s="10" t="str">
        <f aca="false">IF(AND(G1288="Engaging",J1288&gt;Parâmetros!$B$6),"Sim","Não")</f>
        <v>Sim</v>
      </c>
      <c r="P1288" s="32" t="str">
        <f aca="false">IF(O1288="Sim","R",IF(N1288&gt;=Parâmetros!$B$39,"A",IF(N1288&gt;=Parâmetros!$B$40,"B",IF(N1288&gt;=Parâmetros!$B$41,"C","D"))))</f>
        <v>R</v>
      </c>
      <c r="Q1288" s="10" t="str">
        <f aca="false">IF(F1288="","Completar cadastro","")</f>
        <v>Completar cadastro</v>
      </c>
      <c r="R1288" s="10" t="str">
        <f aca="false">INDEX(Parâmetros!$D$39:$D$43,MATCH(P1288,Parâmetros!$A$39:$A$43,0))</f>
        <v>Reciclar: requalificar, reengajar ou encerrar</v>
      </c>
    </row>
    <row r="1289" customFormat="false" ht="15" hidden="false" customHeight="false" outlineLevel="0" collapsed="false">
      <c r="A1289" s="10" t="s">
        <v>1535</v>
      </c>
      <c r="B1289" s="10" t="s">
        <v>61</v>
      </c>
      <c r="C1289" s="10" t="s">
        <v>58</v>
      </c>
      <c r="D1289" s="10" t="s">
        <v>165</v>
      </c>
      <c r="E1289" s="10" t="s">
        <v>49</v>
      </c>
      <c r="F1289" s="10"/>
      <c r="G1289" s="10" t="s">
        <v>162</v>
      </c>
      <c r="H1289" s="30" t="n">
        <v>42917</v>
      </c>
      <c r="I1289" s="8" t="n">
        <f aca="false">INDEX(Parâmetros!$C$13:$C$19,MATCH(E1289,Parâmetros!$A$13:$A$19,0))</f>
        <v>3393</v>
      </c>
      <c r="J1289" s="26" t="n">
        <f aca="false">IF(H1289="","",Parâmetros!$B$5-H1289)</f>
        <v>183</v>
      </c>
      <c r="K1289" s="10" t="n">
        <f aca="false">INDEX(Parâmetros!$D$13:$D$19,MATCH(E1289,Parâmetros!$A$13:$A$19,0))</f>
        <v>40</v>
      </c>
      <c r="L1289" s="10" t="n">
        <f aca="false">IF(G1289="Prospecting",Parâmetros!$B$9,IF(J1289&gt;Parâmetros!$B$6,0,INDEX(Parâmetros!$C$24:$C$26,MATCH(J1289,Parâmetros!$A$24:$A$26,1))))</f>
        <v>0</v>
      </c>
      <c r="M1289" s="31" t="n">
        <f aca="false">IF(G1289="Prospecting",1,INDEX(Parâmetros!$C$32:$C$35,MATCH(J1289,Parâmetros!$A$32:$A$35,1)))</f>
        <v>0.4</v>
      </c>
      <c r="N1289" s="2" t="n">
        <f aca="false">ROUND((K1289+L1289)*M1289,0)</f>
        <v>16</v>
      </c>
      <c r="O1289" s="10" t="str">
        <f aca="false">IF(AND(G1289="Engaging",J1289&gt;Parâmetros!$B$6),"Sim","Não")</f>
        <v>Sim</v>
      </c>
      <c r="P1289" s="32" t="str">
        <f aca="false">IF(O1289="Sim","R",IF(N1289&gt;=Parâmetros!$B$39,"A",IF(N1289&gt;=Parâmetros!$B$40,"B",IF(N1289&gt;=Parâmetros!$B$41,"C","D"))))</f>
        <v>R</v>
      </c>
      <c r="Q1289" s="10" t="str">
        <f aca="false">IF(F1289="","Completar cadastro","")</f>
        <v>Completar cadastro</v>
      </c>
      <c r="R1289" s="10" t="str">
        <f aca="false">INDEX(Parâmetros!$D$39:$D$43,MATCH(P1289,Parâmetros!$A$39:$A$43,0))</f>
        <v>Reciclar: requalificar, reengajar ou encerrar</v>
      </c>
    </row>
    <row r="1290" customFormat="false" ht="15" hidden="false" customHeight="false" outlineLevel="0" collapsed="false">
      <c r="A1290" s="10" t="s">
        <v>1536</v>
      </c>
      <c r="B1290" s="10" t="s">
        <v>66</v>
      </c>
      <c r="C1290" s="10" t="s">
        <v>65</v>
      </c>
      <c r="D1290" s="10" t="s">
        <v>160</v>
      </c>
      <c r="E1290" s="10" t="s">
        <v>46</v>
      </c>
      <c r="F1290" s="10" t="s">
        <v>414</v>
      </c>
      <c r="G1290" s="10" t="s">
        <v>162</v>
      </c>
      <c r="H1290" s="30" t="n">
        <v>42723</v>
      </c>
      <c r="I1290" s="8" t="n">
        <f aca="false">INDEX(Parâmetros!$C$13:$C$19,MATCH(E1290,Parâmetros!$A$13:$A$19,0))</f>
        <v>26768</v>
      </c>
      <c r="J1290" s="26" t="n">
        <f aca="false">IF(H1290="","",Parâmetros!$B$5-H1290)</f>
        <v>377</v>
      </c>
      <c r="K1290" s="10" t="n">
        <f aca="false">INDEX(Parâmetros!$D$13:$D$19,MATCH(E1290,Parâmetros!$A$13:$A$19,0))</f>
        <v>60</v>
      </c>
      <c r="L1290" s="10" t="n">
        <f aca="false">IF(G1290="Prospecting",Parâmetros!$B$9,IF(J1290&gt;Parâmetros!$B$6,0,INDEX(Parâmetros!$C$24:$C$26,MATCH(J1290,Parâmetros!$A$24:$A$26,1))))</f>
        <v>0</v>
      </c>
      <c r="M1290" s="31" t="n">
        <f aca="false">IF(G1290="Prospecting",1,INDEX(Parâmetros!$C$32:$C$35,MATCH(J1290,Parâmetros!$A$32:$A$35,1)))</f>
        <v>0.25</v>
      </c>
      <c r="N1290" s="2" t="n">
        <f aca="false">ROUND((K1290+L1290)*M1290,0)</f>
        <v>15</v>
      </c>
      <c r="O1290" s="10" t="str">
        <f aca="false">IF(AND(G1290="Engaging",J1290&gt;Parâmetros!$B$6),"Sim","Não")</f>
        <v>Sim</v>
      </c>
      <c r="P1290" s="32" t="str">
        <f aca="false">IF(O1290="Sim","R",IF(N1290&gt;=Parâmetros!$B$39,"A",IF(N1290&gt;=Parâmetros!$B$40,"B",IF(N1290&gt;=Parâmetros!$B$41,"C","D"))))</f>
        <v>R</v>
      </c>
      <c r="Q1290" s="10" t="str">
        <f aca="false">IF(F1290="","Completar cadastro","")</f>
        <v/>
      </c>
      <c r="R1290" s="10" t="str">
        <f aca="false">INDEX(Parâmetros!$D$39:$D$43,MATCH(P1290,Parâmetros!$A$39:$A$43,0))</f>
        <v>Reciclar: requalificar, reengajar ou encerrar</v>
      </c>
    </row>
    <row r="1291" customFormat="false" ht="15" hidden="false" customHeight="false" outlineLevel="0" collapsed="false">
      <c r="A1291" s="10" t="s">
        <v>1537</v>
      </c>
      <c r="B1291" s="10" t="s">
        <v>66</v>
      </c>
      <c r="C1291" s="10" t="s">
        <v>65</v>
      </c>
      <c r="D1291" s="10" t="s">
        <v>160</v>
      </c>
      <c r="E1291" s="10" t="s">
        <v>46</v>
      </c>
      <c r="F1291" s="10"/>
      <c r="G1291" s="10" t="s">
        <v>162</v>
      </c>
      <c r="H1291" s="30" t="n">
        <v>42765</v>
      </c>
      <c r="I1291" s="8" t="n">
        <f aca="false">INDEX(Parâmetros!$C$13:$C$19,MATCH(E1291,Parâmetros!$A$13:$A$19,0))</f>
        <v>26768</v>
      </c>
      <c r="J1291" s="26" t="n">
        <f aca="false">IF(H1291="","",Parâmetros!$B$5-H1291)</f>
        <v>335</v>
      </c>
      <c r="K1291" s="10" t="n">
        <f aca="false">INDEX(Parâmetros!$D$13:$D$19,MATCH(E1291,Parâmetros!$A$13:$A$19,0))</f>
        <v>60</v>
      </c>
      <c r="L1291" s="10" t="n">
        <f aca="false">IF(G1291="Prospecting",Parâmetros!$B$9,IF(J1291&gt;Parâmetros!$B$6,0,INDEX(Parâmetros!$C$24:$C$26,MATCH(J1291,Parâmetros!$A$24:$A$26,1))))</f>
        <v>0</v>
      </c>
      <c r="M1291" s="31" t="n">
        <f aca="false">IF(G1291="Prospecting",1,INDEX(Parâmetros!$C$32:$C$35,MATCH(J1291,Parâmetros!$A$32:$A$35,1)))</f>
        <v>0.25</v>
      </c>
      <c r="N1291" s="2" t="n">
        <f aca="false">ROUND((K1291+L1291)*M1291,0)</f>
        <v>15</v>
      </c>
      <c r="O1291" s="10" t="str">
        <f aca="false">IF(AND(G1291="Engaging",J1291&gt;Parâmetros!$B$6),"Sim","Não")</f>
        <v>Sim</v>
      </c>
      <c r="P1291" s="32" t="str">
        <f aca="false">IF(O1291="Sim","R",IF(N1291&gt;=Parâmetros!$B$39,"A",IF(N1291&gt;=Parâmetros!$B$40,"B",IF(N1291&gt;=Parâmetros!$B$41,"C","D"))))</f>
        <v>R</v>
      </c>
      <c r="Q1291" s="10" t="str">
        <f aca="false">IF(F1291="","Completar cadastro","")</f>
        <v>Completar cadastro</v>
      </c>
      <c r="R1291" s="10" t="str">
        <f aca="false">INDEX(Parâmetros!$D$39:$D$43,MATCH(P1291,Parâmetros!$A$39:$A$43,0))</f>
        <v>Reciclar: requalificar, reengajar ou encerrar</v>
      </c>
    </row>
    <row r="1292" customFormat="false" ht="15" hidden="false" customHeight="false" outlineLevel="0" collapsed="false">
      <c r="A1292" s="10" t="s">
        <v>1538</v>
      </c>
      <c r="B1292" s="10" t="s">
        <v>66</v>
      </c>
      <c r="C1292" s="10" t="s">
        <v>65</v>
      </c>
      <c r="D1292" s="10" t="s">
        <v>160</v>
      </c>
      <c r="E1292" s="10" t="s">
        <v>46</v>
      </c>
      <c r="F1292" s="10"/>
      <c r="G1292" s="10" t="s">
        <v>162</v>
      </c>
      <c r="H1292" s="30" t="n">
        <v>42773</v>
      </c>
      <c r="I1292" s="8" t="n">
        <f aca="false">INDEX(Parâmetros!$C$13:$C$19,MATCH(E1292,Parâmetros!$A$13:$A$19,0))</f>
        <v>26768</v>
      </c>
      <c r="J1292" s="26" t="n">
        <f aca="false">IF(H1292="","",Parâmetros!$B$5-H1292)</f>
        <v>327</v>
      </c>
      <c r="K1292" s="10" t="n">
        <f aca="false">INDEX(Parâmetros!$D$13:$D$19,MATCH(E1292,Parâmetros!$A$13:$A$19,0))</f>
        <v>60</v>
      </c>
      <c r="L1292" s="10" t="n">
        <f aca="false">IF(G1292="Prospecting",Parâmetros!$B$9,IF(J1292&gt;Parâmetros!$B$6,0,INDEX(Parâmetros!$C$24:$C$26,MATCH(J1292,Parâmetros!$A$24:$A$26,1))))</f>
        <v>0</v>
      </c>
      <c r="M1292" s="31" t="n">
        <f aca="false">IF(G1292="Prospecting",1,INDEX(Parâmetros!$C$32:$C$35,MATCH(J1292,Parâmetros!$A$32:$A$35,1)))</f>
        <v>0.25</v>
      </c>
      <c r="N1292" s="2" t="n">
        <f aca="false">ROUND((K1292+L1292)*M1292,0)</f>
        <v>15</v>
      </c>
      <c r="O1292" s="10" t="str">
        <f aca="false">IF(AND(G1292="Engaging",J1292&gt;Parâmetros!$B$6),"Sim","Não")</f>
        <v>Sim</v>
      </c>
      <c r="P1292" s="32" t="str">
        <f aca="false">IF(O1292="Sim","R",IF(N1292&gt;=Parâmetros!$B$39,"A",IF(N1292&gt;=Parâmetros!$B$40,"B",IF(N1292&gt;=Parâmetros!$B$41,"C","D"))))</f>
        <v>R</v>
      </c>
      <c r="Q1292" s="10" t="str">
        <f aca="false">IF(F1292="","Completar cadastro","")</f>
        <v>Completar cadastro</v>
      </c>
      <c r="R1292" s="10" t="str">
        <f aca="false">INDEX(Parâmetros!$D$39:$D$43,MATCH(P1292,Parâmetros!$A$39:$A$43,0))</f>
        <v>Reciclar: requalificar, reengajar ou encerrar</v>
      </c>
    </row>
    <row r="1293" customFormat="false" ht="15" hidden="false" customHeight="false" outlineLevel="0" collapsed="false">
      <c r="A1293" s="10" t="s">
        <v>1539</v>
      </c>
      <c r="B1293" s="10" t="s">
        <v>68</v>
      </c>
      <c r="C1293" s="10" t="s">
        <v>65</v>
      </c>
      <c r="D1293" s="10" t="s">
        <v>160</v>
      </c>
      <c r="E1293" s="10" t="s">
        <v>46</v>
      </c>
      <c r="F1293" s="10" t="s">
        <v>455</v>
      </c>
      <c r="G1293" s="10" t="s">
        <v>162</v>
      </c>
      <c r="H1293" s="30" t="n">
        <v>42780</v>
      </c>
      <c r="I1293" s="8" t="n">
        <f aca="false">INDEX(Parâmetros!$C$13:$C$19,MATCH(E1293,Parâmetros!$A$13:$A$19,0))</f>
        <v>26768</v>
      </c>
      <c r="J1293" s="26" t="n">
        <f aca="false">IF(H1293="","",Parâmetros!$B$5-H1293)</f>
        <v>320</v>
      </c>
      <c r="K1293" s="10" t="n">
        <f aca="false">INDEX(Parâmetros!$D$13:$D$19,MATCH(E1293,Parâmetros!$A$13:$A$19,0))</f>
        <v>60</v>
      </c>
      <c r="L1293" s="10" t="n">
        <f aca="false">IF(G1293="Prospecting",Parâmetros!$B$9,IF(J1293&gt;Parâmetros!$B$6,0,INDEX(Parâmetros!$C$24:$C$26,MATCH(J1293,Parâmetros!$A$24:$A$26,1))))</f>
        <v>0</v>
      </c>
      <c r="M1293" s="31" t="n">
        <f aca="false">IF(G1293="Prospecting",1,INDEX(Parâmetros!$C$32:$C$35,MATCH(J1293,Parâmetros!$A$32:$A$35,1)))</f>
        <v>0.25</v>
      </c>
      <c r="N1293" s="2" t="n">
        <f aca="false">ROUND((K1293+L1293)*M1293,0)</f>
        <v>15</v>
      </c>
      <c r="O1293" s="10" t="str">
        <f aca="false">IF(AND(G1293="Engaging",J1293&gt;Parâmetros!$B$6),"Sim","Não")</f>
        <v>Sim</v>
      </c>
      <c r="P1293" s="32" t="str">
        <f aca="false">IF(O1293="Sim","R",IF(N1293&gt;=Parâmetros!$B$39,"A",IF(N1293&gt;=Parâmetros!$B$40,"B",IF(N1293&gt;=Parâmetros!$B$41,"C","D"))))</f>
        <v>R</v>
      </c>
      <c r="Q1293" s="10" t="str">
        <f aca="false">IF(F1293="","Completar cadastro","")</f>
        <v/>
      </c>
      <c r="R1293" s="10" t="str">
        <f aca="false">INDEX(Parâmetros!$D$39:$D$43,MATCH(P1293,Parâmetros!$A$39:$A$43,0))</f>
        <v>Reciclar: requalificar, reengajar ou encerrar</v>
      </c>
    </row>
    <row r="1294" customFormat="false" ht="15" hidden="false" customHeight="false" outlineLevel="0" collapsed="false">
      <c r="A1294" s="10" t="s">
        <v>1540</v>
      </c>
      <c r="B1294" s="10" t="s">
        <v>86</v>
      </c>
      <c r="C1294" s="10" t="s">
        <v>85</v>
      </c>
      <c r="D1294" s="10" t="s">
        <v>165</v>
      </c>
      <c r="E1294" s="10" t="s">
        <v>51</v>
      </c>
      <c r="F1294" s="10"/>
      <c r="G1294" s="10" t="s">
        <v>162</v>
      </c>
      <c r="H1294" s="30" t="n">
        <v>42921</v>
      </c>
      <c r="I1294" s="8" t="n">
        <f aca="false">INDEX(Parâmetros!$C$13:$C$19,MATCH(E1294,Parâmetros!$A$13:$A$19,0))</f>
        <v>550</v>
      </c>
      <c r="J1294" s="26" t="n">
        <f aca="false">IF(H1294="","",Parâmetros!$B$5-H1294)</f>
        <v>179</v>
      </c>
      <c r="K1294" s="10" t="n">
        <f aca="false">INDEX(Parâmetros!$D$13:$D$19,MATCH(E1294,Parâmetros!$A$13:$A$19,0))</f>
        <v>22</v>
      </c>
      <c r="L1294" s="10" t="n">
        <f aca="false">IF(G1294="Prospecting",Parâmetros!$B$9,IF(J1294&gt;Parâmetros!$B$6,0,INDEX(Parâmetros!$C$24:$C$26,MATCH(J1294,Parâmetros!$A$24:$A$26,1))))</f>
        <v>0</v>
      </c>
      <c r="M1294" s="31" t="n">
        <f aca="false">IF(G1294="Prospecting",1,INDEX(Parâmetros!$C$32:$C$35,MATCH(J1294,Parâmetros!$A$32:$A$35,1)))</f>
        <v>0.6</v>
      </c>
      <c r="N1294" s="2" t="n">
        <f aca="false">ROUND((K1294+L1294)*M1294,0)</f>
        <v>13</v>
      </c>
      <c r="O1294" s="10" t="str">
        <f aca="false">IF(AND(G1294="Engaging",J1294&gt;Parâmetros!$B$6),"Sim","Não")</f>
        <v>Sim</v>
      </c>
      <c r="P1294" s="32" t="str">
        <f aca="false">IF(O1294="Sim","R",IF(N1294&gt;=Parâmetros!$B$39,"A",IF(N1294&gt;=Parâmetros!$B$40,"B",IF(N1294&gt;=Parâmetros!$B$41,"C","D"))))</f>
        <v>R</v>
      </c>
      <c r="Q1294" s="10" t="str">
        <f aca="false">IF(F1294="","Completar cadastro","")</f>
        <v>Completar cadastro</v>
      </c>
      <c r="R1294" s="10" t="str">
        <f aca="false">INDEX(Parâmetros!$D$39:$D$43,MATCH(P1294,Parâmetros!$A$39:$A$43,0))</f>
        <v>Reciclar: requalificar, reengajar ou encerrar</v>
      </c>
    </row>
    <row r="1295" customFormat="false" ht="15" hidden="false" customHeight="false" outlineLevel="0" collapsed="false">
      <c r="A1295" s="10" t="s">
        <v>1541</v>
      </c>
      <c r="B1295" s="10" t="s">
        <v>94</v>
      </c>
      <c r="C1295" s="10" t="s">
        <v>92</v>
      </c>
      <c r="D1295" s="10" t="s">
        <v>160</v>
      </c>
      <c r="E1295" s="10" t="s">
        <v>51</v>
      </c>
      <c r="F1295" s="10"/>
      <c r="G1295" s="10" t="s">
        <v>162</v>
      </c>
      <c r="H1295" s="30" t="n">
        <v>42921</v>
      </c>
      <c r="I1295" s="8" t="n">
        <f aca="false">INDEX(Parâmetros!$C$13:$C$19,MATCH(E1295,Parâmetros!$A$13:$A$19,0))</f>
        <v>550</v>
      </c>
      <c r="J1295" s="26" t="n">
        <f aca="false">IF(H1295="","",Parâmetros!$B$5-H1295)</f>
        <v>179</v>
      </c>
      <c r="K1295" s="10" t="n">
        <f aca="false">INDEX(Parâmetros!$D$13:$D$19,MATCH(E1295,Parâmetros!$A$13:$A$19,0))</f>
        <v>22</v>
      </c>
      <c r="L1295" s="10" t="n">
        <f aca="false">IF(G1295="Prospecting",Parâmetros!$B$9,IF(J1295&gt;Parâmetros!$B$6,0,INDEX(Parâmetros!$C$24:$C$26,MATCH(J1295,Parâmetros!$A$24:$A$26,1))))</f>
        <v>0</v>
      </c>
      <c r="M1295" s="31" t="n">
        <f aca="false">IF(G1295="Prospecting",1,INDEX(Parâmetros!$C$32:$C$35,MATCH(J1295,Parâmetros!$A$32:$A$35,1)))</f>
        <v>0.6</v>
      </c>
      <c r="N1295" s="2" t="n">
        <f aca="false">ROUND((K1295+L1295)*M1295,0)</f>
        <v>13</v>
      </c>
      <c r="O1295" s="10" t="str">
        <f aca="false">IF(AND(G1295="Engaging",J1295&gt;Parâmetros!$B$6),"Sim","Não")</f>
        <v>Sim</v>
      </c>
      <c r="P1295" s="32" t="str">
        <f aca="false">IF(O1295="Sim","R",IF(N1295&gt;=Parâmetros!$B$39,"A",IF(N1295&gt;=Parâmetros!$B$40,"B",IF(N1295&gt;=Parâmetros!$B$41,"C","D"))))</f>
        <v>R</v>
      </c>
      <c r="Q1295" s="10" t="str">
        <f aca="false">IF(F1295="","Completar cadastro","")</f>
        <v>Completar cadastro</v>
      </c>
      <c r="R1295" s="10" t="str">
        <f aca="false">INDEX(Parâmetros!$D$39:$D$43,MATCH(P1295,Parâmetros!$A$39:$A$43,0))</f>
        <v>Reciclar: requalificar, reengajar ou encerrar</v>
      </c>
    </row>
    <row r="1296" customFormat="false" ht="15" hidden="false" customHeight="false" outlineLevel="0" collapsed="false">
      <c r="A1296" s="10" t="s">
        <v>1542</v>
      </c>
      <c r="B1296" s="10" t="s">
        <v>84</v>
      </c>
      <c r="C1296" s="10" t="s">
        <v>85</v>
      </c>
      <c r="D1296" s="10" t="s">
        <v>165</v>
      </c>
      <c r="E1296" s="10" t="s">
        <v>51</v>
      </c>
      <c r="F1296" s="10" t="s">
        <v>369</v>
      </c>
      <c r="G1296" s="10" t="s">
        <v>162</v>
      </c>
      <c r="H1296" s="30" t="n">
        <v>42924</v>
      </c>
      <c r="I1296" s="8" t="n">
        <f aca="false">INDEX(Parâmetros!$C$13:$C$19,MATCH(E1296,Parâmetros!$A$13:$A$19,0))</f>
        <v>550</v>
      </c>
      <c r="J1296" s="26" t="n">
        <f aca="false">IF(H1296="","",Parâmetros!$B$5-H1296)</f>
        <v>176</v>
      </c>
      <c r="K1296" s="10" t="n">
        <f aca="false">INDEX(Parâmetros!$D$13:$D$19,MATCH(E1296,Parâmetros!$A$13:$A$19,0))</f>
        <v>22</v>
      </c>
      <c r="L1296" s="10" t="n">
        <f aca="false">IF(G1296="Prospecting",Parâmetros!$B$9,IF(J1296&gt;Parâmetros!$B$6,0,INDEX(Parâmetros!$C$24:$C$26,MATCH(J1296,Parâmetros!$A$24:$A$26,1))))</f>
        <v>0</v>
      </c>
      <c r="M1296" s="31" t="n">
        <f aca="false">IF(G1296="Prospecting",1,INDEX(Parâmetros!$C$32:$C$35,MATCH(J1296,Parâmetros!$A$32:$A$35,1)))</f>
        <v>0.6</v>
      </c>
      <c r="N1296" s="2" t="n">
        <f aca="false">ROUND((K1296+L1296)*M1296,0)</f>
        <v>13</v>
      </c>
      <c r="O1296" s="10" t="str">
        <f aca="false">IF(AND(G1296="Engaging",J1296&gt;Parâmetros!$B$6),"Sim","Não")</f>
        <v>Sim</v>
      </c>
      <c r="P1296" s="32" t="str">
        <f aca="false">IF(O1296="Sim","R",IF(N1296&gt;=Parâmetros!$B$39,"A",IF(N1296&gt;=Parâmetros!$B$40,"B",IF(N1296&gt;=Parâmetros!$B$41,"C","D"))))</f>
        <v>R</v>
      </c>
      <c r="Q1296" s="10" t="str">
        <f aca="false">IF(F1296="","Completar cadastro","")</f>
        <v/>
      </c>
      <c r="R1296" s="10" t="str">
        <f aca="false">INDEX(Parâmetros!$D$39:$D$43,MATCH(P1296,Parâmetros!$A$39:$A$43,0))</f>
        <v>Reciclar: requalificar, reengajar ou encerrar</v>
      </c>
    </row>
    <row r="1297" customFormat="false" ht="15" hidden="false" customHeight="false" outlineLevel="0" collapsed="false">
      <c r="A1297" s="10" t="s">
        <v>1543</v>
      </c>
      <c r="B1297" s="10" t="s">
        <v>57</v>
      </c>
      <c r="C1297" s="10" t="s">
        <v>58</v>
      </c>
      <c r="D1297" s="10" t="s">
        <v>165</v>
      </c>
      <c r="E1297" s="10" t="s">
        <v>51</v>
      </c>
      <c r="F1297" s="10" t="s">
        <v>405</v>
      </c>
      <c r="G1297" s="10" t="s">
        <v>162</v>
      </c>
      <c r="H1297" s="30" t="n">
        <v>42924</v>
      </c>
      <c r="I1297" s="8" t="n">
        <f aca="false">INDEX(Parâmetros!$C$13:$C$19,MATCH(E1297,Parâmetros!$A$13:$A$19,0))</f>
        <v>550</v>
      </c>
      <c r="J1297" s="26" t="n">
        <f aca="false">IF(H1297="","",Parâmetros!$B$5-H1297)</f>
        <v>176</v>
      </c>
      <c r="K1297" s="10" t="n">
        <f aca="false">INDEX(Parâmetros!$D$13:$D$19,MATCH(E1297,Parâmetros!$A$13:$A$19,0))</f>
        <v>22</v>
      </c>
      <c r="L1297" s="10" t="n">
        <f aca="false">IF(G1297="Prospecting",Parâmetros!$B$9,IF(J1297&gt;Parâmetros!$B$6,0,INDEX(Parâmetros!$C$24:$C$26,MATCH(J1297,Parâmetros!$A$24:$A$26,1))))</f>
        <v>0</v>
      </c>
      <c r="M1297" s="31" t="n">
        <f aca="false">IF(G1297="Prospecting",1,INDEX(Parâmetros!$C$32:$C$35,MATCH(J1297,Parâmetros!$A$32:$A$35,1)))</f>
        <v>0.6</v>
      </c>
      <c r="N1297" s="2" t="n">
        <f aca="false">ROUND((K1297+L1297)*M1297,0)</f>
        <v>13</v>
      </c>
      <c r="O1297" s="10" t="str">
        <f aca="false">IF(AND(G1297="Engaging",J1297&gt;Parâmetros!$B$6),"Sim","Não")</f>
        <v>Sim</v>
      </c>
      <c r="P1297" s="32" t="str">
        <f aca="false">IF(O1297="Sim","R",IF(N1297&gt;=Parâmetros!$B$39,"A",IF(N1297&gt;=Parâmetros!$B$40,"B",IF(N1297&gt;=Parâmetros!$B$41,"C","D"))))</f>
        <v>R</v>
      </c>
      <c r="Q1297" s="10" t="str">
        <f aca="false">IF(F1297="","Completar cadastro","")</f>
        <v/>
      </c>
      <c r="R1297" s="10" t="str">
        <f aca="false">INDEX(Parâmetros!$D$39:$D$43,MATCH(P1297,Parâmetros!$A$39:$A$43,0))</f>
        <v>Reciclar: requalificar, reengajar ou encerrar</v>
      </c>
    </row>
    <row r="1298" customFormat="false" ht="15" hidden="false" customHeight="false" outlineLevel="0" collapsed="false">
      <c r="A1298" s="10" t="s">
        <v>1544</v>
      </c>
      <c r="B1298" s="10" t="s">
        <v>93</v>
      </c>
      <c r="C1298" s="10" t="s">
        <v>92</v>
      </c>
      <c r="D1298" s="10" t="s">
        <v>160</v>
      </c>
      <c r="E1298" s="10" t="s">
        <v>51</v>
      </c>
      <c r="F1298" s="10"/>
      <c r="G1298" s="10" t="s">
        <v>162</v>
      </c>
      <c r="H1298" s="30" t="n">
        <v>42924</v>
      </c>
      <c r="I1298" s="8" t="n">
        <f aca="false">INDEX(Parâmetros!$C$13:$C$19,MATCH(E1298,Parâmetros!$A$13:$A$19,0))</f>
        <v>550</v>
      </c>
      <c r="J1298" s="26" t="n">
        <f aca="false">IF(H1298="","",Parâmetros!$B$5-H1298)</f>
        <v>176</v>
      </c>
      <c r="K1298" s="10" t="n">
        <f aca="false">INDEX(Parâmetros!$D$13:$D$19,MATCH(E1298,Parâmetros!$A$13:$A$19,0))</f>
        <v>22</v>
      </c>
      <c r="L1298" s="10" t="n">
        <f aca="false">IF(G1298="Prospecting",Parâmetros!$B$9,IF(J1298&gt;Parâmetros!$B$6,0,INDEX(Parâmetros!$C$24:$C$26,MATCH(J1298,Parâmetros!$A$24:$A$26,1))))</f>
        <v>0</v>
      </c>
      <c r="M1298" s="31" t="n">
        <f aca="false">IF(G1298="Prospecting",1,INDEX(Parâmetros!$C$32:$C$35,MATCH(J1298,Parâmetros!$A$32:$A$35,1)))</f>
        <v>0.6</v>
      </c>
      <c r="N1298" s="2" t="n">
        <f aca="false">ROUND((K1298+L1298)*M1298,0)</f>
        <v>13</v>
      </c>
      <c r="O1298" s="10" t="str">
        <f aca="false">IF(AND(G1298="Engaging",J1298&gt;Parâmetros!$B$6),"Sim","Não")</f>
        <v>Sim</v>
      </c>
      <c r="P1298" s="32" t="str">
        <f aca="false">IF(O1298="Sim","R",IF(N1298&gt;=Parâmetros!$B$39,"A",IF(N1298&gt;=Parâmetros!$B$40,"B",IF(N1298&gt;=Parâmetros!$B$41,"C","D"))))</f>
        <v>R</v>
      </c>
      <c r="Q1298" s="10" t="str">
        <f aca="false">IF(F1298="","Completar cadastro","")</f>
        <v>Completar cadastro</v>
      </c>
      <c r="R1298" s="10" t="str">
        <f aca="false">INDEX(Parâmetros!$D$39:$D$43,MATCH(P1298,Parâmetros!$A$39:$A$43,0))</f>
        <v>Reciclar: requalificar, reengajar ou encerrar</v>
      </c>
    </row>
    <row r="1299" customFormat="false" ht="15" hidden="false" customHeight="false" outlineLevel="0" collapsed="false">
      <c r="A1299" s="10" t="s">
        <v>1545</v>
      </c>
      <c r="B1299" s="10" t="s">
        <v>62</v>
      </c>
      <c r="C1299" s="10" t="s">
        <v>58</v>
      </c>
      <c r="D1299" s="10" t="s">
        <v>165</v>
      </c>
      <c r="E1299" s="10" t="s">
        <v>51</v>
      </c>
      <c r="F1299" s="10"/>
      <c r="G1299" s="10" t="s">
        <v>162</v>
      </c>
      <c r="H1299" s="30" t="n">
        <v>42926</v>
      </c>
      <c r="I1299" s="8" t="n">
        <f aca="false">INDEX(Parâmetros!$C$13:$C$19,MATCH(E1299,Parâmetros!$A$13:$A$19,0))</f>
        <v>550</v>
      </c>
      <c r="J1299" s="26" t="n">
        <f aca="false">IF(H1299="","",Parâmetros!$B$5-H1299)</f>
        <v>174</v>
      </c>
      <c r="K1299" s="10" t="n">
        <f aca="false">INDEX(Parâmetros!$D$13:$D$19,MATCH(E1299,Parâmetros!$A$13:$A$19,0))</f>
        <v>22</v>
      </c>
      <c r="L1299" s="10" t="n">
        <f aca="false">IF(G1299="Prospecting",Parâmetros!$B$9,IF(J1299&gt;Parâmetros!$B$6,0,INDEX(Parâmetros!$C$24:$C$26,MATCH(J1299,Parâmetros!$A$24:$A$26,1))))</f>
        <v>0</v>
      </c>
      <c r="M1299" s="31" t="n">
        <f aca="false">IF(G1299="Prospecting",1,INDEX(Parâmetros!$C$32:$C$35,MATCH(J1299,Parâmetros!$A$32:$A$35,1)))</f>
        <v>0.6</v>
      </c>
      <c r="N1299" s="2" t="n">
        <f aca="false">ROUND((K1299+L1299)*M1299,0)</f>
        <v>13</v>
      </c>
      <c r="O1299" s="10" t="str">
        <f aca="false">IF(AND(G1299="Engaging",J1299&gt;Parâmetros!$B$6),"Sim","Não")</f>
        <v>Sim</v>
      </c>
      <c r="P1299" s="32" t="str">
        <f aca="false">IF(O1299="Sim","R",IF(N1299&gt;=Parâmetros!$B$39,"A",IF(N1299&gt;=Parâmetros!$B$40,"B",IF(N1299&gt;=Parâmetros!$B$41,"C","D"))))</f>
        <v>R</v>
      </c>
      <c r="Q1299" s="10" t="str">
        <f aca="false">IF(F1299="","Completar cadastro","")</f>
        <v>Completar cadastro</v>
      </c>
      <c r="R1299" s="10" t="str">
        <f aca="false">INDEX(Parâmetros!$D$39:$D$43,MATCH(P1299,Parâmetros!$A$39:$A$43,0))</f>
        <v>Reciclar: requalificar, reengajar ou encerrar</v>
      </c>
    </row>
    <row r="1300" customFormat="false" ht="15" hidden="false" customHeight="false" outlineLevel="0" collapsed="false">
      <c r="A1300" s="10" t="s">
        <v>1546</v>
      </c>
      <c r="B1300" s="10" t="s">
        <v>87</v>
      </c>
      <c r="C1300" s="10" t="s">
        <v>85</v>
      </c>
      <c r="D1300" s="10" t="s">
        <v>165</v>
      </c>
      <c r="E1300" s="10" t="s">
        <v>51</v>
      </c>
      <c r="F1300" s="10" t="s">
        <v>512</v>
      </c>
      <c r="G1300" s="10" t="s">
        <v>162</v>
      </c>
      <c r="H1300" s="30" t="n">
        <v>42928</v>
      </c>
      <c r="I1300" s="8" t="n">
        <f aca="false">INDEX(Parâmetros!$C$13:$C$19,MATCH(E1300,Parâmetros!$A$13:$A$19,0))</f>
        <v>550</v>
      </c>
      <c r="J1300" s="26" t="n">
        <f aca="false">IF(H1300="","",Parâmetros!$B$5-H1300)</f>
        <v>172</v>
      </c>
      <c r="K1300" s="10" t="n">
        <f aca="false">INDEX(Parâmetros!$D$13:$D$19,MATCH(E1300,Parâmetros!$A$13:$A$19,0))</f>
        <v>22</v>
      </c>
      <c r="L1300" s="10" t="n">
        <f aca="false">IF(G1300="Prospecting",Parâmetros!$B$9,IF(J1300&gt;Parâmetros!$B$6,0,INDEX(Parâmetros!$C$24:$C$26,MATCH(J1300,Parâmetros!$A$24:$A$26,1))))</f>
        <v>0</v>
      </c>
      <c r="M1300" s="31" t="n">
        <f aca="false">IF(G1300="Prospecting",1,INDEX(Parâmetros!$C$32:$C$35,MATCH(J1300,Parâmetros!$A$32:$A$35,1)))</f>
        <v>0.6</v>
      </c>
      <c r="N1300" s="2" t="n">
        <f aca="false">ROUND((K1300+L1300)*M1300,0)</f>
        <v>13</v>
      </c>
      <c r="O1300" s="10" t="str">
        <f aca="false">IF(AND(G1300="Engaging",J1300&gt;Parâmetros!$B$6),"Sim","Não")</f>
        <v>Sim</v>
      </c>
      <c r="P1300" s="32" t="str">
        <f aca="false">IF(O1300="Sim","R",IF(N1300&gt;=Parâmetros!$B$39,"A",IF(N1300&gt;=Parâmetros!$B$40,"B",IF(N1300&gt;=Parâmetros!$B$41,"C","D"))))</f>
        <v>R</v>
      </c>
      <c r="Q1300" s="10" t="str">
        <f aca="false">IF(F1300="","Completar cadastro","")</f>
        <v/>
      </c>
      <c r="R1300" s="10" t="str">
        <f aca="false">INDEX(Parâmetros!$D$39:$D$43,MATCH(P1300,Parâmetros!$A$39:$A$43,0))</f>
        <v>Reciclar: requalificar, reengajar ou encerrar</v>
      </c>
    </row>
    <row r="1301" customFormat="false" ht="15" hidden="false" customHeight="false" outlineLevel="0" collapsed="false">
      <c r="A1301" s="10" t="s">
        <v>1547</v>
      </c>
      <c r="B1301" s="10" t="s">
        <v>97</v>
      </c>
      <c r="C1301" s="10" t="s">
        <v>92</v>
      </c>
      <c r="D1301" s="10" t="s">
        <v>160</v>
      </c>
      <c r="E1301" s="10" t="s">
        <v>51</v>
      </c>
      <c r="F1301" s="10"/>
      <c r="G1301" s="10" t="s">
        <v>162</v>
      </c>
      <c r="H1301" s="30" t="n">
        <v>42928</v>
      </c>
      <c r="I1301" s="8" t="n">
        <f aca="false">INDEX(Parâmetros!$C$13:$C$19,MATCH(E1301,Parâmetros!$A$13:$A$19,0))</f>
        <v>550</v>
      </c>
      <c r="J1301" s="26" t="n">
        <f aca="false">IF(H1301="","",Parâmetros!$B$5-H1301)</f>
        <v>172</v>
      </c>
      <c r="K1301" s="10" t="n">
        <f aca="false">INDEX(Parâmetros!$D$13:$D$19,MATCH(E1301,Parâmetros!$A$13:$A$19,0))</f>
        <v>22</v>
      </c>
      <c r="L1301" s="10" t="n">
        <f aca="false">IF(G1301="Prospecting",Parâmetros!$B$9,IF(J1301&gt;Parâmetros!$B$6,0,INDEX(Parâmetros!$C$24:$C$26,MATCH(J1301,Parâmetros!$A$24:$A$26,1))))</f>
        <v>0</v>
      </c>
      <c r="M1301" s="31" t="n">
        <f aca="false">IF(G1301="Prospecting",1,INDEX(Parâmetros!$C$32:$C$35,MATCH(J1301,Parâmetros!$A$32:$A$35,1)))</f>
        <v>0.6</v>
      </c>
      <c r="N1301" s="2" t="n">
        <f aca="false">ROUND((K1301+L1301)*M1301,0)</f>
        <v>13</v>
      </c>
      <c r="O1301" s="10" t="str">
        <f aca="false">IF(AND(G1301="Engaging",J1301&gt;Parâmetros!$B$6),"Sim","Não")</f>
        <v>Sim</v>
      </c>
      <c r="P1301" s="32" t="str">
        <f aca="false">IF(O1301="Sim","R",IF(N1301&gt;=Parâmetros!$B$39,"A",IF(N1301&gt;=Parâmetros!$B$40,"B",IF(N1301&gt;=Parâmetros!$B$41,"C","D"))))</f>
        <v>R</v>
      </c>
      <c r="Q1301" s="10" t="str">
        <f aca="false">IF(F1301="","Completar cadastro","")</f>
        <v>Completar cadastro</v>
      </c>
      <c r="R1301" s="10" t="str">
        <f aca="false">INDEX(Parâmetros!$D$39:$D$43,MATCH(P1301,Parâmetros!$A$39:$A$43,0))</f>
        <v>Reciclar: requalificar, reengajar ou encerrar</v>
      </c>
    </row>
    <row r="1302" customFormat="false" ht="15" hidden="false" customHeight="false" outlineLevel="0" collapsed="false">
      <c r="A1302" s="10" t="s">
        <v>1548</v>
      </c>
      <c r="B1302" s="10" t="s">
        <v>94</v>
      </c>
      <c r="C1302" s="10" t="s">
        <v>92</v>
      </c>
      <c r="D1302" s="10" t="s">
        <v>160</v>
      </c>
      <c r="E1302" s="10" t="s">
        <v>51</v>
      </c>
      <c r="F1302" s="10"/>
      <c r="G1302" s="10" t="s">
        <v>162</v>
      </c>
      <c r="H1302" s="30" t="n">
        <v>42930</v>
      </c>
      <c r="I1302" s="8" t="n">
        <f aca="false">INDEX(Parâmetros!$C$13:$C$19,MATCH(E1302,Parâmetros!$A$13:$A$19,0))</f>
        <v>550</v>
      </c>
      <c r="J1302" s="26" t="n">
        <f aca="false">IF(H1302="","",Parâmetros!$B$5-H1302)</f>
        <v>170</v>
      </c>
      <c r="K1302" s="10" t="n">
        <f aca="false">INDEX(Parâmetros!$D$13:$D$19,MATCH(E1302,Parâmetros!$A$13:$A$19,0))</f>
        <v>22</v>
      </c>
      <c r="L1302" s="10" t="n">
        <f aca="false">IF(G1302="Prospecting",Parâmetros!$B$9,IF(J1302&gt;Parâmetros!$B$6,0,INDEX(Parâmetros!$C$24:$C$26,MATCH(J1302,Parâmetros!$A$24:$A$26,1))))</f>
        <v>0</v>
      </c>
      <c r="M1302" s="31" t="n">
        <f aca="false">IF(G1302="Prospecting",1,INDEX(Parâmetros!$C$32:$C$35,MATCH(J1302,Parâmetros!$A$32:$A$35,1)))</f>
        <v>0.6</v>
      </c>
      <c r="N1302" s="2" t="n">
        <f aca="false">ROUND((K1302+L1302)*M1302,0)</f>
        <v>13</v>
      </c>
      <c r="O1302" s="10" t="str">
        <f aca="false">IF(AND(G1302="Engaging",J1302&gt;Parâmetros!$B$6),"Sim","Não")</f>
        <v>Sim</v>
      </c>
      <c r="P1302" s="32" t="str">
        <f aca="false">IF(O1302="Sim","R",IF(N1302&gt;=Parâmetros!$B$39,"A",IF(N1302&gt;=Parâmetros!$B$40,"B",IF(N1302&gt;=Parâmetros!$B$41,"C","D"))))</f>
        <v>R</v>
      </c>
      <c r="Q1302" s="10" t="str">
        <f aca="false">IF(F1302="","Completar cadastro","")</f>
        <v>Completar cadastro</v>
      </c>
      <c r="R1302" s="10" t="str">
        <f aca="false">INDEX(Parâmetros!$D$39:$D$43,MATCH(P1302,Parâmetros!$A$39:$A$43,0))</f>
        <v>Reciclar: requalificar, reengajar ou encerrar</v>
      </c>
    </row>
    <row r="1303" customFormat="false" ht="15" hidden="false" customHeight="false" outlineLevel="0" collapsed="false">
      <c r="A1303" s="10" t="s">
        <v>1549</v>
      </c>
      <c r="B1303" s="10" t="s">
        <v>84</v>
      </c>
      <c r="C1303" s="10" t="s">
        <v>85</v>
      </c>
      <c r="D1303" s="10" t="s">
        <v>165</v>
      </c>
      <c r="E1303" s="10" t="s">
        <v>51</v>
      </c>
      <c r="F1303" s="10" t="s">
        <v>432</v>
      </c>
      <c r="G1303" s="10" t="s">
        <v>162</v>
      </c>
      <c r="H1303" s="30" t="n">
        <v>42932</v>
      </c>
      <c r="I1303" s="8" t="n">
        <f aca="false">INDEX(Parâmetros!$C$13:$C$19,MATCH(E1303,Parâmetros!$A$13:$A$19,0))</f>
        <v>550</v>
      </c>
      <c r="J1303" s="26" t="n">
        <f aca="false">IF(H1303="","",Parâmetros!$B$5-H1303)</f>
        <v>168</v>
      </c>
      <c r="K1303" s="10" t="n">
        <f aca="false">INDEX(Parâmetros!$D$13:$D$19,MATCH(E1303,Parâmetros!$A$13:$A$19,0))</f>
        <v>22</v>
      </c>
      <c r="L1303" s="10" t="n">
        <f aca="false">IF(G1303="Prospecting",Parâmetros!$B$9,IF(J1303&gt;Parâmetros!$B$6,0,INDEX(Parâmetros!$C$24:$C$26,MATCH(J1303,Parâmetros!$A$24:$A$26,1))))</f>
        <v>0</v>
      </c>
      <c r="M1303" s="31" t="n">
        <f aca="false">IF(G1303="Prospecting",1,INDEX(Parâmetros!$C$32:$C$35,MATCH(J1303,Parâmetros!$A$32:$A$35,1)))</f>
        <v>0.6</v>
      </c>
      <c r="N1303" s="2" t="n">
        <f aca="false">ROUND((K1303+L1303)*M1303,0)</f>
        <v>13</v>
      </c>
      <c r="O1303" s="10" t="str">
        <f aca="false">IF(AND(G1303="Engaging",J1303&gt;Parâmetros!$B$6),"Sim","Não")</f>
        <v>Sim</v>
      </c>
      <c r="P1303" s="32" t="str">
        <f aca="false">IF(O1303="Sim","R",IF(N1303&gt;=Parâmetros!$B$39,"A",IF(N1303&gt;=Parâmetros!$B$40,"B",IF(N1303&gt;=Parâmetros!$B$41,"C","D"))))</f>
        <v>R</v>
      </c>
      <c r="Q1303" s="10" t="str">
        <f aca="false">IF(F1303="","Completar cadastro","")</f>
        <v/>
      </c>
      <c r="R1303" s="10" t="str">
        <f aca="false">INDEX(Parâmetros!$D$39:$D$43,MATCH(P1303,Parâmetros!$A$39:$A$43,0))</f>
        <v>Reciclar: requalificar, reengajar ou encerrar</v>
      </c>
    </row>
    <row r="1304" customFormat="false" ht="15" hidden="false" customHeight="false" outlineLevel="0" collapsed="false">
      <c r="A1304" s="10" t="s">
        <v>1550</v>
      </c>
      <c r="B1304" s="10" t="s">
        <v>84</v>
      </c>
      <c r="C1304" s="10" t="s">
        <v>85</v>
      </c>
      <c r="D1304" s="10" t="s">
        <v>165</v>
      </c>
      <c r="E1304" s="10" t="s">
        <v>51</v>
      </c>
      <c r="F1304" s="10" t="s">
        <v>637</v>
      </c>
      <c r="G1304" s="10" t="s">
        <v>162</v>
      </c>
      <c r="H1304" s="30" t="n">
        <v>42933</v>
      </c>
      <c r="I1304" s="8" t="n">
        <f aca="false">INDEX(Parâmetros!$C$13:$C$19,MATCH(E1304,Parâmetros!$A$13:$A$19,0))</f>
        <v>550</v>
      </c>
      <c r="J1304" s="26" t="n">
        <f aca="false">IF(H1304="","",Parâmetros!$B$5-H1304)</f>
        <v>167</v>
      </c>
      <c r="K1304" s="10" t="n">
        <f aca="false">INDEX(Parâmetros!$D$13:$D$19,MATCH(E1304,Parâmetros!$A$13:$A$19,0))</f>
        <v>22</v>
      </c>
      <c r="L1304" s="10" t="n">
        <f aca="false">IF(G1304="Prospecting",Parâmetros!$B$9,IF(J1304&gt;Parâmetros!$B$6,0,INDEX(Parâmetros!$C$24:$C$26,MATCH(J1304,Parâmetros!$A$24:$A$26,1))))</f>
        <v>0</v>
      </c>
      <c r="M1304" s="31" t="n">
        <f aca="false">IF(G1304="Prospecting",1,INDEX(Parâmetros!$C$32:$C$35,MATCH(J1304,Parâmetros!$A$32:$A$35,1)))</f>
        <v>0.6</v>
      </c>
      <c r="N1304" s="2" t="n">
        <f aca="false">ROUND((K1304+L1304)*M1304,0)</f>
        <v>13</v>
      </c>
      <c r="O1304" s="10" t="str">
        <f aca="false">IF(AND(G1304="Engaging",J1304&gt;Parâmetros!$B$6),"Sim","Não")</f>
        <v>Sim</v>
      </c>
      <c r="P1304" s="32" t="str">
        <f aca="false">IF(O1304="Sim","R",IF(N1304&gt;=Parâmetros!$B$39,"A",IF(N1304&gt;=Parâmetros!$B$40,"B",IF(N1304&gt;=Parâmetros!$B$41,"C","D"))))</f>
        <v>R</v>
      </c>
      <c r="Q1304" s="10" t="str">
        <f aca="false">IF(F1304="","Completar cadastro","")</f>
        <v/>
      </c>
      <c r="R1304" s="10" t="str">
        <f aca="false">INDEX(Parâmetros!$D$39:$D$43,MATCH(P1304,Parâmetros!$A$39:$A$43,0))</f>
        <v>Reciclar: requalificar, reengajar ou encerrar</v>
      </c>
    </row>
    <row r="1305" customFormat="false" ht="15" hidden="false" customHeight="false" outlineLevel="0" collapsed="false">
      <c r="A1305" s="10" t="s">
        <v>1551</v>
      </c>
      <c r="B1305" s="10" t="s">
        <v>62</v>
      </c>
      <c r="C1305" s="10" t="s">
        <v>58</v>
      </c>
      <c r="D1305" s="10" t="s">
        <v>165</v>
      </c>
      <c r="E1305" s="10" t="s">
        <v>51</v>
      </c>
      <c r="F1305" s="10"/>
      <c r="G1305" s="10" t="s">
        <v>162</v>
      </c>
      <c r="H1305" s="30" t="n">
        <v>42934</v>
      </c>
      <c r="I1305" s="8" t="n">
        <f aca="false">INDEX(Parâmetros!$C$13:$C$19,MATCH(E1305,Parâmetros!$A$13:$A$19,0))</f>
        <v>550</v>
      </c>
      <c r="J1305" s="26" t="n">
        <f aca="false">IF(H1305="","",Parâmetros!$B$5-H1305)</f>
        <v>166</v>
      </c>
      <c r="K1305" s="10" t="n">
        <f aca="false">INDEX(Parâmetros!$D$13:$D$19,MATCH(E1305,Parâmetros!$A$13:$A$19,0))</f>
        <v>22</v>
      </c>
      <c r="L1305" s="10" t="n">
        <f aca="false">IF(G1305="Prospecting",Parâmetros!$B$9,IF(J1305&gt;Parâmetros!$B$6,0,INDEX(Parâmetros!$C$24:$C$26,MATCH(J1305,Parâmetros!$A$24:$A$26,1))))</f>
        <v>0</v>
      </c>
      <c r="M1305" s="31" t="n">
        <f aca="false">IF(G1305="Prospecting",1,INDEX(Parâmetros!$C$32:$C$35,MATCH(J1305,Parâmetros!$A$32:$A$35,1)))</f>
        <v>0.6</v>
      </c>
      <c r="N1305" s="2" t="n">
        <f aca="false">ROUND((K1305+L1305)*M1305,0)</f>
        <v>13</v>
      </c>
      <c r="O1305" s="10" t="str">
        <f aca="false">IF(AND(G1305="Engaging",J1305&gt;Parâmetros!$B$6),"Sim","Não")</f>
        <v>Sim</v>
      </c>
      <c r="P1305" s="32" t="str">
        <f aca="false">IF(O1305="Sim","R",IF(N1305&gt;=Parâmetros!$B$39,"A",IF(N1305&gt;=Parâmetros!$B$40,"B",IF(N1305&gt;=Parâmetros!$B$41,"C","D"))))</f>
        <v>R</v>
      </c>
      <c r="Q1305" s="10" t="str">
        <f aca="false">IF(F1305="","Completar cadastro","")</f>
        <v>Completar cadastro</v>
      </c>
      <c r="R1305" s="10" t="str">
        <f aca="false">INDEX(Parâmetros!$D$39:$D$43,MATCH(P1305,Parâmetros!$A$39:$A$43,0))</f>
        <v>Reciclar: requalificar, reengajar ou encerrar</v>
      </c>
    </row>
    <row r="1306" customFormat="false" ht="15" hidden="false" customHeight="false" outlineLevel="0" collapsed="false">
      <c r="A1306" s="10" t="s">
        <v>1552</v>
      </c>
      <c r="B1306" s="10" t="s">
        <v>71</v>
      </c>
      <c r="C1306" s="10" t="s">
        <v>72</v>
      </c>
      <c r="D1306" s="10" t="s">
        <v>196</v>
      </c>
      <c r="E1306" s="10" t="s">
        <v>51</v>
      </c>
      <c r="F1306" s="10"/>
      <c r="G1306" s="10" t="s">
        <v>162</v>
      </c>
      <c r="H1306" s="30" t="n">
        <v>42935</v>
      </c>
      <c r="I1306" s="8" t="n">
        <f aca="false">INDEX(Parâmetros!$C$13:$C$19,MATCH(E1306,Parâmetros!$A$13:$A$19,0))</f>
        <v>550</v>
      </c>
      <c r="J1306" s="26" t="n">
        <f aca="false">IF(H1306="","",Parâmetros!$B$5-H1306)</f>
        <v>165</v>
      </c>
      <c r="K1306" s="10" t="n">
        <f aca="false">INDEX(Parâmetros!$D$13:$D$19,MATCH(E1306,Parâmetros!$A$13:$A$19,0))</f>
        <v>22</v>
      </c>
      <c r="L1306" s="10" t="n">
        <f aca="false">IF(G1306="Prospecting",Parâmetros!$B$9,IF(J1306&gt;Parâmetros!$B$6,0,INDEX(Parâmetros!$C$24:$C$26,MATCH(J1306,Parâmetros!$A$24:$A$26,1))))</f>
        <v>0</v>
      </c>
      <c r="M1306" s="31" t="n">
        <f aca="false">IF(G1306="Prospecting",1,INDEX(Parâmetros!$C$32:$C$35,MATCH(J1306,Parâmetros!$A$32:$A$35,1)))</f>
        <v>0.6</v>
      </c>
      <c r="N1306" s="2" t="n">
        <f aca="false">ROUND((K1306+L1306)*M1306,0)</f>
        <v>13</v>
      </c>
      <c r="O1306" s="10" t="str">
        <f aca="false">IF(AND(G1306="Engaging",J1306&gt;Parâmetros!$B$6),"Sim","Não")</f>
        <v>Sim</v>
      </c>
      <c r="P1306" s="32" t="str">
        <f aca="false">IF(O1306="Sim","R",IF(N1306&gt;=Parâmetros!$B$39,"A",IF(N1306&gt;=Parâmetros!$B$40,"B",IF(N1306&gt;=Parâmetros!$B$41,"C","D"))))</f>
        <v>R</v>
      </c>
      <c r="Q1306" s="10" t="str">
        <f aca="false">IF(F1306="","Completar cadastro","")</f>
        <v>Completar cadastro</v>
      </c>
      <c r="R1306" s="10" t="str">
        <f aca="false">INDEX(Parâmetros!$D$39:$D$43,MATCH(P1306,Parâmetros!$A$39:$A$43,0))</f>
        <v>Reciclar: requalificar, reengajar ou encerrar</v>
      </c>
    </row>
    <row r="1307" customFormat="false" ht="15" hidden="false" customHeight="false" outlineLevel="0" collapsed="false">
      <c r="A1307" s="10" t="s">
        <v>1553</v>
      </c>
      <c r="B1307" s="10" t="s">
        <v>77</v>
      </c>
      <c r="C1307" s="10" t="s">
        <v>78</v>
      </c>
      <c r="D1307" s="10" t="s">
        <v>196</v>
      </c>
      <c r="E1307" s="10" t="s">
        <v>51</v>
      </c>
      <c r="F1307" s="10"/>
      <c r="G1307" s="10" t="s">
        <v>162</v>
      </c>
      <c r="H1307" s="30" t="n">
        <v>42935</v>
      </c>
      <c r="I1307" s="8" t="n">
        <f aca="false">INDEX(Parâmetros!$C$13:$C$19,MATCH(E1307,Parâmetros!$A$13:$A$19,0))</f>
        <v>550</v>
      </c>
      <c r="J1307" s="26" t="n">
        <f aca="false">IF(H1307="","",Parâmetros!$B$5-H1307)</f>
        <v>165</v>
      </c>
      <c r="K1307" s="10" t="n">
        <f aca="false">INDEX(Parâmetros!$D$13:$D$19,MATCH(E1307,Parâmetros!$A$13:$A$19,0))</f>
        <v>22</v>
      </c>
      <c r="L1307" s="10" t="n">
        <f aca="false">IF(G1307="Prospecting",Parâmetros!$B$9,IF(J1307&gt;Parâmetros!$B$6,0,INDEX(Parâmetros!$C$24:$C$26,MATCH(J1307,Parâmetros!$A$24:$A$26,1))))</f>
        <v>0</v>
      </c>
      <c r="M1307" s="31" t="n">
        <f aca="false">IF(G1307="Prospecting",1,INDEX(Parâmetros!$C$32:$C$35,MATCH(J1307,Parâmetros!$A$32:$A$35,1)))</f>
        <v>0.6</v>
      </c>
      <c r="N1307" s="2" t="n">
        <f aca="false">ROUND((K1307+L1307)*M1307,0)</f>
        <v>13</v>
      </c>
      <c r="O1307" s="10" t="str">
        <f aca="false">IF(AND(G1307="Engaging",J1307&gt;Parâmetros!$B$6),"Sim","Não")</f>
        <v>Sim</v>
      </c>
      <c r="P1307" s="32" t="str">
        <f aca="false">IF(O1307="Sim","R",IF(N1307&gt;=Parâmetros!$B$39,"A",IF(N1307&gt;=Parâmetros!$B$40,"B",IF(N1307&gt;=Parâmetros!$B$41,"C","D"))))</f>
        <v>R</v>
      </c>
      <c r="Q1307" s="10" t="str">
        <f aca="false">IF(F1307="","Completar cadastro","")</f>
        <v>Completar cadastro</v>
      </c>
      <c r="R1307" s="10" t="str">
        <f aca="false">INDEX(Parâmetros!$D$39:$D$43,MATCH(P1307,Parâmetros!$A$39:$A$43,0))</f>
        <v>Reciclar: requalificar, reengajar ou encerrar</v>
      </c>
    </row>
    <row r="1308" customFormat="false" ht="15" hidden="false" customHeight="false" outlineLevel="0" collapsed="false">
      <c r="A1308" s="10" t="s">
        <v>1554</v>
      </c>
      <c r="B1308" s="10" t="s">
        <v>75</v>
      </c>
      <c r="C1308" s="10" t="s">
        <v>72</v>
      </c>
      <c r="D1308" s="10" t="s">
        <v>196</v>
      </c>
      <c r="E1308" s="10" t="s">
        <v>51</v>
      </c>
      <c r="F1308" s="10"/>
      <c r="G1308" s="10" t="s">
        <v>162</v>
      </c>
      <c r="H1308" s="30" t="n">
        <v>42935</v>
      </c>
      <c r="I1308" s="8" t="n">
        <f aca="false">INDEX(Parâmetros!$C$13:$C$19,MATCH(E1308,Parâmetros!$A$13:$A$19,0))</f>
        <v>550</v>
      </c>
      <c r="J1308" s="26" t="n">
        <f aca="false">IF(H1308="","",Parâmetros!$B$5-H1308)</f>
        <v>165</v>
      </c>
      <c r="K1308" s="10" t="n">
        <f aca="false">INDEX(Parâmetros!$D$13:$D$19,MATCH(E1308,Parâmetros!$A$13:$A$19,0))</f>
        <v>22</v>
      </c>
      <c r="L1308" s="10" t="n">
        <f aca="false">IF(G1308="Prospecting",Parâmetros!$B$9,IF(J1308&gt;Parâmetros!$B$6,0,INDEX(Parâmetros!$C$24:$C$26,MATCH(J1308,Parâmetros!$A$24:$A$26,1))))</f>
        <v>0</v>
      </c>
      <c r="M1308" s="31" t="n">
        <f aca="false">IF(G1308="Prospecting",1,INDEX(Parâmetros!$C$32:$C$35,MATCH(J1308,Parâmetros!$A$32:$A$35,1)))</f>
        <v>0.6</v>
      </c>
      <c r="N1308" s="2" t="n">
        <f aca="false">ROUND((K1308+L1308)*M1308,0)</f>
        <v>13</v>
      </c>
      <c r="O1308" s="10" t="str">
        <f aca="false">IF(AND(G1308="Engaging",J1308&gt;Parâmetros!$B$6),"Sim","Não")</f>
        <v>Sim</v>
      </c>
      <c r="P1308" s="32" t="str">
        <f aca="false">IF(O1308="Sim","R",IF(N1308&gt;=Parâmetros!$B$39,"A",IF(N1308&gt;=Parâmetros!$B$40,"B",IF(N1308&gt;=Parâmetros!$B$41,"C","D"))))</f>
        <v>R</v>
      </c>
      <c r="Q1308" s="10" t="str">
        <f aca="false">IF(F1308="","Completar cadastro","")</f>
        <v>Completar cadastro</v>
      </c>
      <c r="R1308" s="10" t="str">
        <f aca="false">INDEX(Parâmetros!$D$39:$D$43,MATCH(P1308,Parâmetros!$A$39:$A$43,0))</f>
        <v>Reciclar: requalificar, reengajar ou encerrar</v>
      </c>
    </row>
    <row r="1309" customFormat="false" ht="15" hidden="false" customHeight="false" outlineLevel="0" collapsed="false">
      <c r="A1309" s="10" t="s">
        <v>1555</v>
      </c>
      <c r="B1309" s="10" t="s">
        <v>83</v>
      </c>
      <c r="C1309" s="10" t="s">
        <v>78</v>
      </c>
      <c r="D1309" s="10" t="s">
        <v>196</v>
      </c>
      <c r="E1309" s="10" t="s">
        <v>51</v>
      </c>
      <c r="F1309" s="10" t="s">
        <v>424</v>
      </c>
      <c r="G1309" s="10" t="s">
        <v>162</v>
      </c>
      <c r="H1309" s="30" t="n">
        <v>42935</v>
      </c>
      <c r="I1309" s="8" t="n">
        <f aca="false">INDEX(Parâmetros!$C$13:$C$19,MATCH(E1309,Parâmetros!$A$13:$A$19,0))</f>
        <v>550</v>
      </c>
      <c r="J1309" s="26" t="n">
        <f aca="false">IF(H1309="","",Parâmetros!$B$5-H1309)</f>
        <v>165</v>
      </c>
      <c r="K1309" s="10" t="n">
        <f aca="false">INDEX(Parâmetros!$D$13:$D$19,MATCH(E1309,Parâmetros!$A$13:$A$19,0))</f>
        <v>22</v>
      </c>
      <c r="L1309" s="10" t="n">
        <f aca="false">IF(G1309="Prospecting",Parâmetros!$B$9,IF(J1309&gt;Parâmetros!$B$6,0,INDEX(Parâmetros!$C$24:$C$26,MATCH(J1309,Parâmetros!$A$24:$A$26,1))))</f>
        <v>0</v>
      </c>
      <c r="M1309" s="31" t="n">
        <f aca="false">IF(G1309="Prospecting",1,INDEX(Parâmetros!$C$32:$C$35,MATCH(J1309,Parâmetros!$A$32:$A$35,1)))</f>
        <v>0.6</v>
      </c>
      <c r="N1309" s="2" t="n">
        <f aca="false">ROUND((K1309+L1309)*M1309,0)</f>
        <v>13</v>
      </c>
      <c r="O1309" s="10" t="str">
        <f aca="false">IF(AND(G1309="Engaging",J1309&gt;Parâmetros!$B$6),"Sim","Não")</f>
        <v>Sim</v>
      </c>
      <c r="P1309" s="32" t="str">
        <f aca="false">IF(O1309="Sim","R",IF(N1309&gt;=Parâmetros!$B$39,"A",IF(N1309&gt;=Parâmetros!$B$40,"B",IF(N1309&gt;=Parâmetros!$B$41,"C","D"))))</f>
        <v>R</v>
      </c>
      <c r="Q1309" s="10" t="str">
        <f aca="false">IF(F1309="","Completar cadastro","")</f>
        <v/>
      </c>
      <c r="R1309" s="10" t="str">
        <f aca="false">INDEX(Parâmetros!$D$39:$D$43,MATCH(P1309,Parâmetros!$A$39:$A$43,0))</f>
        <v>Reciclar: requalificar, reengajar ou encerrar</v>
      </c>
    </row>
    <row r="1310" customFormat="false" ht="15" hidden="false" customHeight="false" outlineLevel="0" collapsed="false">
      <c r="A1310" s="10" t="s">
        <v>1556</v>
      </c>
      <c r="B1310" s="10" t="s">
        <v>76</v>
      </c>
      <c r="C1310" s="10" t="s">
        <v>72</v>
      </c>
      <c r="D1310" s="10" t="s">
        <v>196</v>
      </c>
      <c r="E1310" s="10" t="s">
        <v>51</v>
      </c>
      <c r="F1310" s="10"/>
      <c r="G1310" s="10" t="s">
        <v>162</v>
      </c>
      <c r="H1310" s="30" t="n">
        <v>42935</v>
      </c>
      <c r="I1310" s="8" t="n">
        <f aca="false">INDEX(Parâmetros!$C$13:$C$19,MATCH(E1310,Parâmetros!$A$13:$A$19,0))</f>
        <v>550</v>
      </c>
      <c r="J1310" s="26" t="n">
        <f aca="false">IF(H1310="","",Parâmetros!$B$5-H1310)</f>
        <v>165</v>
      </c>
      <c r="K1310" s="10" t="n">
        <f aca="false">INDEX(Parâmetros!$D$13:$D$19,MATCH(E1310,Parâmetros!$A$13:$A$19,0))</f>
        <v>22</v>
      </c>
      <c r="L1310" s="10" t="n">
        <f aca="false">IF(G1310="Prospecting",Parâmetros!$B$9,IF(J1310&gt;Parâmetros!$B$6,0,INDEX(Parâmetros!$C$24:$C$26,MATCH(J1310,Parâmetros!$A$24:$A$26,1))))</f>
        <v>0</v>
      </c>
      <c r="M1310" s="31" t="n">
        <f aca="false">IF(G1310="Prospecting",1,INDEX(Parâmetros!$C$32:$C$35,MATCH(J1310,Parâmetros!$A$32:$A$35,1)))</f>
        <v>0.6</v>
      </c>
      <c r="N1310" s="2" t="n">
        <f aca="false">ROUND((K1310+L1310)*M1310,0)</f>
        <v>13</v>
      </c>
      <c r="O1310" s="10" t="str">
        <f aca="false">IF(AND(G1310="Engaging",J1310&gt;Parâmetros!$B$6),"Sim","Não")</f>
        <v>Sim</v>
      </c>
      <c r="P1310" s="32" t="str">
        <f aca="false">IF(O1310="Sim","R",IF(N1310&gt;=Parâmetros!$B$39,"A",IF(N1310&gt;=Parâmetros!$B$40,"B",IF(N1310&gt;=Parâmetros!$B$41,"C","D"))))</f>
        <v>R</v>
      </c>
      <c r="Q1310" s="10" t="str">
        <f aca="false">IF(F1310="","Completar cadastro","")</f>
        <v>Completar cadastro</v>
      </c>
      <c r="R1310" s="10" t="str">
        <f aca="false">INDEX(Parâmetros!$D$39:$D$43,MATCH(P1310,Parâmetros!$A$39:$A$43,0))</f>
        <v>Reciclar: requalificar, reengajar ou encerrar</v>
      </c>
    </row>
    <row r="1311" customFormat="false" ht="15" hidden="false" customHeight="false" outlineLevel="0" collapsed="false">
      <c r="A1311" s="10" t="s">
        <v>1557</v>
      </c>
      <c r="B1311" s="10" t="s">
        <v>80</v>
      </c>
      <c r="C1311" s="10" t="s">
        <v>78</v>
      </c>
      <c r="D1311" s="10" t="s">
        <v>196</v>
      </c>
      <c r="E1311" s="10" t="s">
        <v>51</v>
      </c>
      <c r="F1311" s="10" t="s">
        <v>348</v>
      </c>
      <c r="G1311" s="10" t="s">
        <v>162</v>
      </c>
      <c r="H1311" s="30" t="n">
        <v>42936</v>
      </c>
      <c r="I1311" s="8" t="n">
        <f aca="false">INDEX(Parâmetros!$C$13:$C$19,MATCH(E1311,Parâmetros!$A$13:$A$19,0))</f>
        <v>550</v>
      </c>
      <c r="J1311" s="26" t="n">
        <f aca="false">IF(H1311="","",Parâmetros!$B$5-H1311)</f>
        <v>164</v>
      </c>
      <c r="K1311" s="10" t="n">
        <f aca="false">INDEX(Parâmetros!$D$13:$D$19,MATCH(E1311,Parâmetros!$A$13:$A$19,0))</f>
        <v>22</v>
      </c>
      <c r="L1311" s="10" t="n">
        <f aca="false">IF(G1311="Prospecting",Parâmetros!$B$9,IF(J1311&gt;Parâmetros!$B$6,0,INDEX(Parâmetros!$C$24:$C$26,MATCH(J1311,Parâmetros!$A$24:$A$26,1))))</f>
        <v>0</v>
      </c>
      <c r="M1311" s="31" t="n">
        <f aca="false">IF(G1311="Prospecting",1,INDEX(Parâmetros!$C$32:$C$35,MATCH(J1311,Parâmetros!$A$32:$A$35,1)))</f>
        <v>0.6</v>
      </c>
      <c r="N1311" s="2" t="n">
        <f aca="false">ROUND((K1311+L1311)*M1311,0)</f>
        <v>13</v>
      </c>
      <c r="O1311" s="10" t="str">
        <f aca="false">IF(AND(G1311="Engaging",J1311&gt;Parâmetros!$B$6),"Sim","Não")</f>
        <v>Sim</v>
      </c>
      <c r="P1311" s="32" t="str">
        <f aca="false">IF(O1311="Sim","R",IF(N1311&gt;=Parâmetros!$B$39,"A",IF(N1311&gt;=Parâmetros!$B$40,"B",IF(N1311&gt;=Parâmetros!$B$41,"C","D"))))</f>
        <v>R</v>
      </c>
      <c r="Q1311" s="10" t="str">
        <f aca="false">IF(F1311="","Completar cadastro","")</f>
        <v/>
      </c>
      <c r="R1311" s="10" t="str">
        <f aca="false">INDEX(Parâmetros!$D$39:$D$43,MATCH(P1311,Parâmetros!$A$39:$A$43,0))</f>
        <v>Reciclar: requalificar, reengajar ou encerrar</v>
      </c>
    </row>
    <row r="1312" customFormat="false" ht="15" hidden="false" customHeight="false" outlineLevel="0" collapsed="false">
      <c r="A1312" s="10" t="s">
        <v>1558</v>
      </c>
      <c r="B1312" s="10" t="s">
        <v>80</v>
      </c>
      <c r="C1312" s="10" t="s">
        <v>78</v>
      </c>
      <c r="D1312" s="10" t="s">
        <v>196</v>
      </c>
      <c r="E1312" s="10" t="s">
        <v>51</v>
      </c>
      <c r="F1312" s="10"/>
      <c r="G1312" s="10" t="s">
        <v>162</v>
      </c>
      <c r="H1312" s="30" t="n">
        <v>42936</v>
      </c>
      <c r="I1312" s="8" t="n">
        <f aca="false">INDEX(Parâmetros!$C$13:$C$19,MATCH(E1312,Parâmetros!$A$13:$A$19,0))</f>
        <v>550</v>
      </c>
      <c r="J1312" s="26" t="n">
        <f aca="false">IF(H1312="","",Parâmetros!$B$5-H1312)</f>
        <v>164</v>
      </c>
      <c r="K1312" s="10" t="n">
        <f aca="false">INDEX(Parâmetros!$D$13:$D$19,MATCH(E1312,Parâmetros!$A$13:$A$19,0))</f>
        <v>22</v>
      </c>
      <c r="L1312" s="10" t="n">
        <f aca="false">IF(G1312="Prospecting",Parâmetros!$B$9,IF(J1312&gt;Parâmetros!$B$6,0,INDEX(Parâmetros!$C$24:$C$26,MATCH(J1312,Parâmetros!$A$24:$A$26,1))))</f>
        <v>0</v>
      </c>
      <c r="M1312" s="31" t="n">
        <f aca="false">IF(G1312="Prospecting",1,INDEX(Parâmetros!$C$32:$C$35,MATCH(J1312,Parâmetros!$A$32:$A$35,1)))</f>
        <v>0.6</v>
      </c>
      <c r="N1312" s="2" t="n">
        <f aca="false">ROUND((K1312+L1312)*M1312,0)</f>
        <v>13</v>
      </c>
      <c r="O1312" s="10" t="str">
        <f aca="false">IF(AND(G1312="Engaging",J1312&gt;Parâmetros!$B$6),"Sim","Não")</f>
        <v>Sim</v>
      </c>
      <c r="P1312" s="32" t="str">
        <f aca="false">IF(O1312="Sim","R",IF(N1312&gt;=Parâmetros!$B$39,"A",IF(N1312&gt;=Parâmetros!$B$40,"B",IF(N1312&gt;=Parâmetros!$B$41,"C","D"))))</f>
        <v>R</v>
      </c>
      <c r="Q1312" s="10" t="str">
        <f aca="false">IF(F1312="","Completar cadastro","")</f>
        <v>Completar cadastro</v>
      </c>
      <c r="R1312" s="10" t="str">
        <f aca="false">INDEX(Parâmetros!$D$39:$D$43,MATCH(P1312,Parâmetros!$A$39:$A$43,0))</f>
        <v>Reciclar: requalificar, reengajar ou encerrar</v>
      </c>
    </row>
    <row r="1313" customFormat="false" ht="15" hidden="false" customHeight="false" outlineLevel="0" collapsed="false">
      <c r="A1313" s="10" t="s">
        <v>1559</v>
      </c>
      <c r="B1313" s="10" t="s">
        <v>80</v>
      </c>
      <c r="C1313" s="10" t="s">
        <v>78</v>
      </c>
      <c r="D1313" s="10" t="s">
        <v>196</v>
      </c>
      <c r="E1313" s="10" t="s">
        <v>51</v>
      </c>
      <c r="F1313" s="10"/>
      <c r="G1313" s="10" t="s">
        <v>162</v>
      </c>
      <c r="H1313" s="30" t="n">
        <v>42936</v>
      </c>
      <c r="I1313" s="8" t="n">
        <f aca="false">INDEX(Parâmetros!$C$13:$C$19,MATCH(E1313,Parâmetros!$A$13:$A$19,0))</f>
        <v>550</v>
      </c>
      <c r="J1313" s="26" t="n">
        <f aca="false">IF(H1313="","",Parâmetros!$B$5-H1313)</f>
        <v>164</v>
      </c>
      <c r="K1313" s="10" t="n">
        <f aca="false">INDEX(Parâmetros!$D$13:$D$19,MATCH(E1313,Parâmetros!$A$13:$A$19,0))</f>
        <v>22</v>
      </c>
      <c r="L1313" s="10" t="n">
        <f aca="false">IF(G1313="Prospecting",Parâmetros!$B$9,IF(J1313&gt;Parâmetros!$B$6,0,INDEX(Parâmetros!$C$24:$C$26,MATCH(J1313,Parâmetros!$A$24:$A$26,1))))</f>
        <v>0</v>
      </c>
      <c r="M1313" s="31" t="n">
        <f aca="false">IF(G1313="Prospecting",1,INDEX(Parâmetros!$C$32:$C$35,MATCH(J1313,Parâmetros!$A$32:$A$35,1)))</f>
        <v>0.6</v>
      </c>
      <c r="N1313" s="2" t="n">
        <f aca="false">ROUND((K1313+L1313)*M1313,0)</f>
        <v>13</v>
      </c>
      <c r="O1313" s="10" t="str">
        <f aca="false">IF(AND(G1313="Engaging",J1313&gt;Parâmetros!$B$6),"Sim","Não")</f>
        <v>Sim</v>
      </c>
      <c r="P1313" s="32" t="str">
        <f aca="false">IF(O1313="Sim","R",IF(N1313&gt;=Parâmetros!$B$39,"A",IF(N1313&gt;=Parâmetros!$B$40,"B",IF(N1313&gt;=Parâmetros!$B$41,"C","D"))))</f>
        <v>R</v>
      </c>
      <c r="Q1313" s="10" t="str">
        <f aca="false">IF(F1313="","Completar cadastro","")</f>
        <v>Completar cadastro</v>
      </c>
      <c r="R1313" s="10" t="str">
        <f aca="false">INDEX(Parâmetros!$D$39:$D$43,MATCH(P1313,Parâmetros!$A$39:$A$43,0))</f>
        <v>Reciclar: requalificar, reengajar ou encerrar</v>
      </c>
    </row>
    <row r="1314" customFormat="false" ht="15" hidden="false" customHeight="false" outlineLevel="0" collapsed="false">
      <c r="A1314" s="10" t="s">
        <v>1560</v>
      </c>
      <c r="B1314" s="10" t="s">
        <v>80</v>
      </c>
      <c r="C1314" s="10" t="s">
        <v>78</v>
      </c>
      <c r="D1314" s="10" t="s">
        <v>196</v>
      </c>
      <c r="E1314" s="10" t="s">
        <v>51</v>
      </c>
      <c r="F1314" s="10"/>
      <c r="G1314" s="10" t="s">
        <v>162</v>
      </c>
      <c r="H1314" s="30" t="n">
        <v>42936</v>
      </c>
      <c r="I1314" s="8" t="n">
        <f aca="false">INDEX(Parâmetros!$C$13:$C$19,MATCH(E1314,Parâmetros!$A$13:$A$19,0))</f>
        <v>550</v>
      </c>
      <c r="J1314" s="26" t="n">
        <f aca="false">IF(H1314="","",Parâmetros!$B$5-H1314)</f>
        <v>164</v>
      </c>
      <c r="K1314" s="10" t="n">
        <f aca="false">INDEX(Parâmetros!$D$13:$D$19,MATCH(E1314,Parâmetros!$A$13:$A$19,0))</f>
        <v>22</v>
      </c>
      <c r="L1314" s="10" t="n">
        <f aca="false">IF(G1314="Prospecting",Parâmetros!$B$9,IF(J1314&gt;Parâmetros!$B$6,0,INDEX(Parâmetros!$C$24:$C$26,MATCH(J1314,Parâmetros!$A$24:$A$26,1))))</f>
        <v>0</v>
      </c>
      <c r="M1314" s="31" t="n">
        <f aca="false">IF(G1314="Prospecting",1,INDEX(Parâmetros!$C$32:$C$35,MATCH(J1314,Parâmetros!$A$32:$A$35,1)))</f>
        <v>0.6</v>
      </c>
      <c r="N1314" s="2" t="n">
        <f aca="false">ROUND((K1314+L1314)*M1314,0)</f>
        <v>13</v>
      </c>
      <c r="O1314" s="10" t="str">
        <f aca="false">IF(AND(G1314="Engaging",J1314&gt;Parâmetros!$B$6),"Sim","Não")</f>
        <v>Sim</v>
      </c>
      <c r="P1314" s="32" t="str">
        <f aca="false">IF(O1314="Sim","R",IF(N1314&gt;=Parâmetros!$B$39,"A",IF(N1314&gt;=Parâmetros!$B$40,"B",IF(N1314&gt;=Parâmetros!$B$41,"C","D"))))</f>
        <v>R</v>
      </c>
      <c r="Q1314" s="10" t="str">
        <f aca="false">IF(F1314="","Completar cadastro","")</f>
        <v>Completar cadastro</v>
      </c>
      <c r="R1314" s="10" t="str">
        <f aca="false">INDEX(Parâmetros!$D$39:$D$43,MATCH(P1314,Parâmetros!$A$39:$A$43,0))</f>
        <v>Reciclar: requalificar, reengajar ou encerrar</v>
      </c>
    </row>
    <row r="1315" customFormat="false" ht="15" hidden="false" customHeight="false" outlineLevel="0" collapsed="false">
      <c r="A1315" s="10" t="s">
        <v>1561</v>
      </c>
      <c r="B1315" s="10" t="s">
        <v>75</v>
      </c>
      <c r="C1315" s="10" t="s">
        <v>72</v>
      </c>
      <c r="D1315" s="10" t="s">
        <v>196</v>
      </c>
      <c r="E1315" s="10" t="s">
        <v>51</v>
      </c>
      <c r="F1315" s="10"/>
      <c r="G1315" s="10" t="s">
        <v>162</v>
      </c>
      <c r="H1315" s="30" t="n">
        <v>42936</v>
      </c>
      <c r="I1315" s="8" t="n">
        <f aca="false">INDEX(Parâmetros!$C$13:$C$19,MATCH(E1315,Parâmetros!$A$13:$A$19,0))</f>
        <v>550</v>
      </c>
      <c r="J1315" s="26" t="n">
        <f aca="false">IF(H1315="","",Parâmetros!$B$5-H1315)</f>
        <v>164</v>
      </c>
      <c r="K1315" s="10" t="n">
        <f aca="false">INDEX(Parâmetros!$D$13:$D$19,MATCH(E1315,Parâmetros!$A$13:$A$19,0))</f>
        <v>22</v>
      </c>
      <c r="L1315" s="10" t="n">
        <f aca="false">IF(G1315="Prospecting",Parâmetros!$B$9,IF(J1315&gt;Parâmetros!$B$6,0,INDEX(Parâmetros!$C$24:$C$26,MATCH(J1315,Parâmetros!$A$24:$A$26,1))))</f>
        <v>0</v>
      </c>
      <c r="M1315" s="31" t="n">
        <f aca="false">IF(G1315="Prospecting",1,INDEX(Parâmetros!$C$32:$C$35,MATCH(J1315,Parâmetros!$A$32:$A$35,1)))</f>
        <v>0.6</v>
      </c>
      <c r="N1315" s="2" t="n">
        <f aca="false">ROUND((K1315+L1315)*M1315,0)</f>
        <v>13</v>
      </c>
      <c r="O1315" s="10" t="str">
        <f aca="false">IF(AND(G1315="Engaging",J1315&gt;Parâmetros!$B$6),"Sim","Não")</f>
        <v>Sim</v>
      </c>
      <c r="P1315" s="32" t="str">
        <f aca="false">IF(O1315="Sim","R",IF(N1315&gt;=Parâmetros!$B$39,"A",IF(N1315&gt;=Parâmetros!$B$40,"B",IF(N1315&gt;=Parâmetros!$B$41,"C","D"))))</f>
        <v>R</v>
      </c>
      <c r="Q1315" s="10" t="str">
        <f aca="false">IF(F1315="","Completar cadastro","")</f>
        <v>Completar cadastro</v>
      </c>
      <c r="R1315" s="10" t="str">
        <f aca="false">INDEX(Parâmetros!$D$39:$D$43,MATCH(P1315,Parâmetros!$A$39:$A$43,0))</f>
        <v>Reciclar: requalificar, reengajar ou encerrar</v>
      </c>
    </row>
    <row r="1316" customFormat="false" ht="15" hidden="false" customHeight="false" outlineLevel="0" collapsed="false">
      <c r="A1316" s="10" t="s">
        <v>1562</v>
      </c>
      <c r="B1316" s="10" t="s">
        <v>79</v>
      </c>
      <c r="C1316" s="10" t="s">
        <v>78</v>
      </c>
      <c r="D1316" s="10" t="s">
        <v>196</v>
      </c>
      <c r="E1316" s="10" t="s">
        <v>51</v>
      </c>
      <c r="F1316" s="10"/>
      <c r="G1316" s="10" t="s">
        <v>162</v>
      </c>
      <c r="H1316" s="30" t="n">
        <v>42937</v>
      </c>
      <c r="I1316" s="8" t="n">
        <f aca="false">INDEX(Parâmetros!$C$13:$C$19,MATCH(E1316,Parâmetros!$A$13:$A$19,0))</f>
        <v>550</v>
      </c>
      <c r="J1316" s="26" t="n">
        <f aca="false">IF(H1316="","",Parâmetros!$B$5-H1316)</f>
        <v>163</v>
      </c>
      <c r="K1316" s="10" t="n">
        <f aca="false">INDEX(Parâmetros!$D$13:$D$19,MATCH(E1316,Parâmetros!$A$13:$A$19,0))</f>
        <v>22</v>
      </c>
      <c r="L1316" s="10" t="n">
        <f aca="false">IF(G1316="Prospecting",Parâmetros!$B$9,IF(J1316&gt;Parâmetros!$B$6,0,INDEX(Parâmetros!$C$24:$C$26,MATCH(J1316,Parâmetros!$A$24:$A$26,1))))</f>
        <v>0</v>
      </c>
      <c r="M1316" s="31" t="n">
        <f aca="false">IF(G1316="Prospecting",1,INDEX(Parâmetros!$C$32:$C$35,MATCH(J1316,Parâmetros!$A$32:$A$35,1)))</f>
        <v>0.6</v>
      </c>
      <c r="N1316" s="2" t="n">
        <f aca="false">ROUND((K1316+L1316)*M1316,0)</f>
        <v>13</v>
      </c>
      <c r="O1316" s="10" t="str">
        <f aca="false">IF(AND(G1316="Engaging",J1316&gt;Parâmetros!$B$6),"Sim","Não")</f>
        <v>Sim</v>
      </c>
      <c r="P1316" s="32" t="str">
        <f aca="false">IF(O1316="Sim","R",IF(N1316&gt;=Parâmetros!$B$39,"A",IF(N1316&gt;=Parâmetros!$B$40,"B",IF(N1316&gt;=Parâmetros!$B$41,"C","D"))))</f>
        <v>R</v>
      </c>
      <c r="Q1316" s="10" t="str">
        <f aca="false">IF(F1316="","Completar cadastro","")</f>
        <v>Completar cadastro</v>
      </c>
      <c r="R1316" s="10" t="str">
        <f aca="false">INDEX(Parâmetros!$D$39:$D$43,MATCH(P1316,Parâmetros!$A$39:$A$43,0))</f>
        <v>Reciclar: requalificar, reengajar ou encerrar</v>
      </c>
    </row>
    <row r="1317" customFormat="false" ht="15" hidden="false" customHeight="false" outlineLevel="0" collapsed="false">
      <c r="A1317" s="10" t="s">
        <v>1563</v>
      </c>
      <c r="B1317" s="10" t="s">
        <v>80</v>
      </c>
      <c r="C1317" s="10" t="s">
        <v>78</v>
      </c>
      <c r="D1317" s="10" t="s">
        <v>196</v>
      </c>
      <c r="E1317" s="10" t="s">
        <v>51</v>
      </c>
      <c r="F1317" s="10" t="s">
        <v>311</v>
      </c>
      <c r="G1317" s="10" t="s">
        <v>162</v>
      </c>
      <c r="H1317" s="30" t="n">
        <v>42937</v>
      </c>
      <c r="I1317" s="8" t="n">
        <f aca="false">INDEX(Parâmetros!$C$13:$C$19,MATCH(E1317,Parâmetros!$A$13:$A$19,0))</f>
        <v>550</v>
      </c>
      <c r="J1317" s="26" t="n">
        <f aca="false">IF(H1317="","",Parâmetros!$B$5-H1317)</f>
        <v>163</v>
      </c>
      <c r="K1317" s="10" t="n">
        <f aca="false">INDEX(Parâmetros!$D$13:$D$19,MATCH(E1317,Parâmetros!$A$13:$A$19,0))</f>
        <v>22</v>
      </c>
      <c r="L1317" s="10" t="n">
        <f aca="false">IF(G1317="Prospecting",Parâmetros!$B$9,IF(J1317&gt;Parâmetros!$B$6,0,INDEX(Parâmetros!$C$24:$C$26,MATCH(J1317,Parâmetros!$A$24:$A$26,1))))</f>
        <v>0</v>
      </c>
      <c r="M1317" s="31" t="n">
        <f aca="false">IF(G1317="Prospecting",1,INDEX(Parâmetros!$C$32:$C$35,MATCH(J1317,Parâmetros!$A$32:$A$35,1)))</f>
        <v>0.6</v>
      </c>
      <c r="N1317" s="2" t="n">
        <f aca="false">ROUND((K1317+L1317)*M1317,0)</f>
        <v>13</v>
      </c>
      <c r="O1317" s="10" t="str">
        <f aca="false">IF(AND(G1317="Engaging",J1317&gt;Parâmetros!$B$6),"Sim","Não")</f>
        <v>Sim</v>
      </c>
      <c r="P1317" s="32" t="str">
        <f aca="false">IF(O1317="Sim","R",IF(N1317&gt;=Parâmetros!$B$39,"A",IF(N1317&gt;=Parâmetros!$B$40,"B",IF(N1317&gt;=Parâmetros!$B$41,"C","D"))))</f>
        <v>R</v>
      </c>
      <c r="Q1317" s="10" t="str">
        <f aca="false">IF(F1317="","Completar cadastro","")</f>
        <v/>
      </c>
      <c r="R1317" s="10" t="str">
        <f aca="false">INDEX(Parâmetros!$D$39:$D$43,MATCH(P1317,Parâmetros!$A$39:$A$43,0))</f>
        <v>Reciclar: requalificar, reengajar ou encerrar</v>
      </c>
    </row>
    <row r="1318" customFormat="false" ht="15" hidden="false" customHeight="false" outlineLevel="0" collapsed="false">
      <c r="A1318" s="10" t="s">
        <v>1564</v>
      </c>
      <c r="B1318" s="10" t="s">
        <v>94</v>
      </c>
      <c r="C1318" s="10" t="s">
        <v>92</v>
      </c>
      <c r="D1318" s="10" t="s">
        <v>160</v>
      </c>
      <c r="E1318" s="10" t="s">
        <v>51</v>
      </c>
      <c r="F1318" s="10"/>
      <c r="G1318" s="10" t="s">
        <v>162</v>
      </c>
      <c r="H1318" s="30" t="n">
        <v>42937</v>
      </c>
      <c r="I1318" s="8" t="n">
        <f aca="false">INDEX(Parâmetros!$C$13:$C$19,MATCH(E1318,Parâmetros!$A$13:$A$19,0))</f>
        <v>550</v>
      </c>
      <c r="J1318" s="26" t="n">
        <f aca="false">IF(H1318="","",Parâmetros!$B$5-H1318)</f>
        <v>163</v>
      </c>
      <c r="K1318" s="10" t="n">
        <f aca="false">INDEX(Parâmetros!$D$13:$D$19,MATCH(E1318,Parâmetros!$A$13:$A$19,0))</f>
        <v>22</v>
      </c>
      <c r="L1318" s="10" t="n">
        <f aca="false">IF(G1318="Prospecting",Parâmetros!$B$9,IF(J1318&gt;Parâmetros!$B$6,0,INDEX(Parâmetros!$C$24:$C$26,MATCH(J1318,Parâmetros!$A$24:$A$26,1))))</f>
        <v>0</v>
      </c>
      <c r="M1318" s="31" t="n">
        <f aca="false">IF(G1318="Prospecting",1,INDEX(Parâmetros!$C$32:$C$35,MATCH(J1318,Parâmetros!$A$32:$A$35,1)))</f>
        <v>0.6</v>
      </c>
      <c r="N1318" s="2" t="n">
        <f aca="false">ROUND((K1318+L1318)*M1318,0)</f>
        <v>13</v>
      </c>
      <c r="O1318" s="10" t="str">
        <f aca="false">IF(AND(G1318="Engaging",J1318&gt;Parâmetros!$B$6),"Sim","Não")</f>
        <v>Sim</v>
      </c>
      <c r="P1318" s="32" t="str">
        <f aca="false">IF(O1318="Sim","R",IF(N1318&gt;=Parâmetros!$B$39,"A",IF(N1318&gt;=Parâmetros!$B$40,"B",IF(N1318&gt;=Parâmetros!$B$41,"C","D"))))</f>
        <v>R</v>
      </c>
      <c r="Q1318" s="10" t="str">
        <f aca="false">IF(F1318="","Completar cadastro","")</f>
        <v>Completar cadastro</v>
      </c>
      <c r="R1318" s="10" t="str">
        <f aca="false">INDEX(Parâmetros!$D$39:$D$43,MATCH(P1318,Parâmetros!$A$39:$A$43,0))</f>
        <v>Reciclar: requalificar, reengajar ou encerrar</v>
      </c>
    </row>
    <row r="1319" customFormat="false" ht="15" hidden="false" customHeight="false" outlineLevel="0" collapsed="false">
      <c r="A1319" s="10" t="s">
        <v>1565</v>
      </c>
      <c r="B1319" s="10" t="s">
        <v>97</v>
      </c>
      <c r="C1319" s="10" t="s">
        <v>92</v>
      </c>
      <c r="D1319" s="10" t="s">
        <v>160</v>
      </c>
      <c r="E1319" s="10" t="s">
        <v>51</v>
      </c>
      <c r="F1319" s="10"/>
      <c r="G1319" s="10" t="s">
        <v>162</v>
      </c>
      <c r="H1319" s="30" t="n">
        <v>42937</v>
      </c>
      <c r="I1319" s="8" t="n">
        <f aca="false">INDEX(Parâmetros!$C$13:$C$19,MATCH(E1319,Parâmetros!$A$13:$A$19,0))</f>
        <v>550</v>
      </c>
      <c r="J1319" s="26" t="n">
        <f aca="false">IF(H1319="","",Parâmetros!$B$5-H1319)</f>
        <v>163</v>
      </c>
      <c r="K1319" s="10" t="n">
        <f aca="false">INDEX(Parâmetros!$D$13:$D$19,MATCH(E1319,Parâmetros!$A$13:$A$19,0))</f>
        <v>22</v>
      </c>
      <c r="L1319" s="10" t="n">
        <f aca="false">IF(G1319="Prospecting",Parâmetros!$B$9,IF(J1319&gt;Parâmetros!$B$6,0,INDEX(Parâmetros!$C$24:$C$26,MATCH(J1319,Parâmetros!$A$24:$A$26,1))))</f>
        <v>0</v>
      </c>
      <c r="M1319" s="31" t="n">
        <f aca="false">IF(G1319="Prospecting",1,INDEX(Parâmetros!$C$32:$C$35,MATCH(J1319,Parâmetros!$A$32:$A$35,1)))</f>
        <v>0.6</v>
      </c>
      <c r="N1319" s="2" t="n">
        <f aca="false">ROUND((K1319+L1319)*M1319,0)</f>
        <v>13</v>
      </c>
      <c r="O1319" s="10" t="str">
        <f aca="false">IF(AND(G1319="Engaging",J1319&gt;Parâmetros!$B$6),"Sim","Não")</f>
        <v>Sim</v>
      </c>
      <c r="P1319" s="32" t="str">
        <f aca="false">IF(O1319="Sim","R",IF(N1319&gt;=Parâmetros!$B$39,"A",IF(N1319&gt;=Parâmetros!$B$40,"B",IF(N1319&gt;=Parâmetros!$B$41,"C","D"))))</f>
        <v>R</v>
      </c>
      <c r="Q1319" s="10" t="str">
        <f aca="false">IF(F1319="","Completar cadastro","")</f>
        <v>Completar cadastro</v>
      </c>
      <c r="R1319" s="10" t="str">
        <f aca="false">INDEX(Parâmetros!$D$39:$D$43,MATCH(P1319,Parâmetros!$A$39:$A$43,0))</f>
        <v>Reciclar: requalificar, reengajar ou encerrar</v>
      </c>
    </row>
    <row r="1320" customFormat="false" ht="15" hidden="false" customHeight="false" outlineLevel="0" collapsed="false">
      <c r="A1320" s="10" t="s">
        <v>1566</v>
      </c>
      <c r="B1320" s="10" t="s">
        <v>97</v>
      </c>
      <c r="C1320" s="10" t="s">
        <v>92</v>
      </c>
      <c r="D1320" s="10" t="s">
        <v>160</v>
      </c>
      <c r="E1320" s="10" t="s">
        <v>51</v>
      </c>
      <c r="F1320" s="10"/>
      <c r="G1320" s="10" t="s">
        <v>162</v>
      </c>
      <c r="H1320" s="30" t="n">
        <v>42937</v>
      </c>
      <c r="I1320" s="8" t="n">
        <f aca="false">INDEX(Parâmetros!$C$13:$C$19,MATCH(E1320,Parâmetros!$A$13:$A$19,0))</f>
        <v>550</v>
      </c>
      <c r="J1320" s="26" t="n">
        <f aca="false">IF(H1320="","",Parâmetros!$B$5-H1320)</f>
        <v>163</v>
      </c>
      <c r="K1320" s="10" t="n">
        <f aca="false">INDEX(Parâmetros!$D$13:$D$19,MATCH(E1320,Parâmetros!$A$13:$A$19,0))</f>
        <v>22</v>
      </c>
      <c r="L1320" s="10" t="n">
        <f aca="false">IF(G1320="Prospecting",Parâmetros!$B$9,IF(J1320&gt;Parâmetros!$B$6,0,INDEX(Parâmetros!$C$24:$C$26,MATCH(J1320,Parâmetros!$A$24:$A$26,1))))</f>
        <v>0</v>
      </c>
      <c r="M1320" s="31" t="n">
        <f aca="false">IF(G1320="Prospecting",1,INDEX(Parâmetros!$C$32:$C$35,MATCH(J1320,Parâmetros!$A$32:$A$35,1)))</f>
        <v>0.6</v>
      </c>
      <c r="N1320" s="2" t="n">
        <f aca="false">ROUND((K1320+L1320)*M1320,0)</f>
        <v>13</v>
      </c>
      <c r="O1320" s="10" t="str">
        <f aca="false">IF(AND(G1320="Engaging",J1320&gt;Parâmetros!$B$6),"Sim","Não")</f>
        <v>Sim</v>
      </c>
      <c r="P1320" s="32" t="str">
        <f aca="false">IF(O1320="Sim","R",IF(N1320&gt;=Parâmetros!$B$39,"A",IF(N1320&gt;=Parâmetros!$B$40,"B",IF(N1320&gt;=Parâmetros!$B$41,"C","D"))))</f>
        <v>R</v>
      </c>
      <c r="Q1320" s="10" t="str">
        <f aca="false">IF(F1320="","Completar cadastro","")</f>
        <v>Completar cadastro</v>
      </c>
      <c r="R1320" s="10" t="str">
        <f aca="false">INDEX(Parâmetros!$D$39:$D$43,MATCH(P1320,Parâmetros!$A$39:$A$43,0))</f>
        <v>Reciclar: requalificar, reengajar ou encerrar</v>
      </c>
    </row>
    <row r="1321" customFormat="false" ht="15" hidden="false" customHeight="false" outlineLevel="0" collapsed="false">
      <c r="A1321" s="10" t="s">
        <v>1567</v>
      </c>
      <c r="B1321" s="10" t="s">
        <v>97</v>
      </c>
      <c r="C1321" s="10" t="s">
        <v>92</v>
      </c>
      <c r="D1321" s="10" t="s">
        <v>160</v>
      </c>
      <c r="E1321" s="10" t="s">
        <v>51</v>
      </c>
      <c r="F1321" s="10"/>
      <c r="G1321" s="10" t="s">
        <v>162</v>
      </c>
      <c r="H1321" s="30" t="n">
        <v>42937</v>
      </c>
      <c r="I1321" s="8" t="n">
        <f aca="false">INDEX(Parâmetros!$C$13:$C$19,MATCH(E1321,Parâmetros!$A$13:$A$19,0))</f>
        <v>550</v>
      </c>
      <c r="J1321" s="26" t="n">
        <f aca="false">IF(H1321="","",Parâmetros!$B$5-H1321)</f>
        <v>163</v>
      </c>
      <c r="K1321" s="10" t="n">
        <f aca="false">INDEX(Parâmetros!$D$13:$D$19,MATCH(E1321,Parâmetros!$A$13:$A$19,0))</f>
        <v>22</v>
      </c>
      <c r="L1321" s="10" t="n">
        <f aca="false">IF(G1321="Prospecting",Parâmetros!$B$9,IF(J1321&gt;Parâmetros!$B$6,0,INDEX(Parâmetros!$C$24:$C$26,MATCH(J1321,Parâmetros!$A$24:$A$26,1))))</f>
        <v>0</v>
      </c>
      <c r="M1321" s="31" t="n">
        <f aca="false">IF(G1321="Prospecting",1,INDEX(Parâmetros!$C$32:$C$35,MATCH(J1321,Parâmetros!$A$32:$A$35,1)))</f>
        <v>0.6</v>
      </c>
      <c r="N1321" s="2" t="n">
        <f aca="false">ROUND((K1321+L1321)*M1321,0)</f>
        <v>13</v>
      </c>
      <c r="O1321" s="10" t="str">
        <f aca="false">IF(AND(G1321="Engaging",J1321&gt;Parâmetros!$B$6),"Sim","Não")</f>
        <v>Sim</v>
      </c>
      <c r="P1321" s="32" t="str">
        <f aca="false">IF(O1321="Sim","R",IF(N1321&gt;=Parâmetros!$B$39,"A",IF(N1321&gt;=Parâmetros!$B$40,"B",IF(N1321&gt;=Parâmetros!$B$41,"C","D"))))</f>
        <v>R</v>
      </c>
      <c r="Q1321" s="10" t="str">
        <f aca="false">IF(F1321="","Completar cadastro","")</f>
        <v>Completar cadastro</v>
      </c>
      <c r="R1321" s="10" t="str">
        <f aca="false">INDEX(Parâmetros!$D$39:$D$43,MATCH(P1321,Parâmetros!$A$39:$A$43,0))</f>
        <v>Reciclar: requalificar, reengajar ou encerrar</v>
      </c>
    </row>
    <row r="1322" customFormat="false" ht="15" hidden="false" customHeight="false" outlineLevel="0" collapsed="false">
      <c r="A1322" s="10" t="s">
        <v>1568</v>
      </c>
      <c r="B1322" s="10" t="s">
        <v>71</v>
      </c>
      <c r="C1322" s="10" t="s">
        <v>72</v>
      </c>
      <c r="D1322" s="10" t="s">
        <v>196</v>
      </c>
      <c r="E1322" s="10" t="s">
        <v>51</v>
      </c>
      <c r="F1322" s="10"/>
      <c r="G1322" s="10" t="s">
        <v>162</v>
      </c>
      <c r="H1322" s="30" t="n">
        <v>42938</v>
      </c>
      <c r="I1322" s="8" t="n">
        <f aca="false">INDEX(Parâmetros!$C$13:$C$19,MATCH(E1322,Parâmetros!$A$13:$A$19,0))</f>
        <v>550</v>
      </c>
      <c r="J1322" s="26" t="n">
        <f aca="false">IF(H1322="","",Parâmetros!$B$5-H1322)</f>
        <v>162</v>
      </c>
      <c r="K1322" s="10" t="n">
        <f aca="false">INDEX(Parâmetros!$D$13:$D$19,MATCH(E1322,Parâmetros!$A$13:$A$19,0))</f>
        <v>22</v>
      </c>
      <c r="L1322" s="10" t="n">
        <f aca="false">IF(G1322="Prospecting",Parâmetros!$B$9,IF(J1322&gt;Parâmetros!$B$6,0,INDEX(Parâmetros!$C$24:$C$26,MATCH(J1322,Parâmetros!$A$24:$A$26,1))))</f>
        <v>0</v>
      </c>
      <c r="M1322" s="31" t="n">
        <f aca="false">IF(G1322="Prospecting",1,INDEX(Parâmetros!$C$32:$C$35,MATCH(J1322,Parâmetros!$A$32:$A$35,1)))</f>
        <v>0.6</v>
      </c>
      <c r="N1322" s="2" t="n">
        <f aca="false">ROUND((K1322+L1322)*M1322,0)</f>
        <v>13</v>
      </c>
      <c r="O1322" s="10" t="str">
        <f aca="false">IF(AND(G1322="Engaging",J1322&gt;Parâmetros!$B$6),"Sim","Não")</f>
        <v>Sim</v>
      </c>
      <c r="P1322" s="32" t="str">
        <f aca="false">IF(O1322="Sim","R",IF(N1322&gt;=Parâmetros!$B$39,"A",IF(N1322&gt;=Parâmetros!$B$40,"B",IF(N1322&gt;=Parâmetros!$B$41,"C","D"))))</f>
        <v>R</v>
      </c>
      <c r="Q1322" s="10" t="str">
        <f aca="false">IF(F1322="","Completar cadastro","")</f>
        <v>Completar cadastro</v>
      </c>
      <c r="R1322" s="10" t="str">
        <f aca="false">INDEX(Parâmetros!$D$39:$D$43,MATCH(P1322,Parâmetros!$A$39:$A$43,0))</f>
        <v>Reciclar: requalificar, reengajar ou encerrar</v>
      </c>
    </row>
    <row r="1323" customFormat="false" ht="15" hidden="false" customHeight="false" outlineLevel="0" collapsed="false">
      <c r="A1323" s="10" t="s">
        <v>1569</v>
      </c>
      <c r="B1323" s="10" t="s">
        <v>73</v>
      </c>
      <c r="C1323" s="10" t="s">
        <v>72</v>
      </c>
      <c r="D1323" s="10" t="s">
        <v>196</v>
      </c>
      <c r="E1323" s="10" t="s">
        <v>51</v>
      </c>
      <c r="F1323" s="10"/>
      <c r="G1323" s="10" t="s">
        <v>162</v>
      </c>
      <c r="H1323" s="30" t="n">
        <v>42938</v>
      </c>
      <c r="I1323" s="8" t="n">
        <f aca="false">INDEX(Parâmetros!$C$13:$C$19,MATCH(E1323,Parâmetros!$A$13:$A$19,0))</f>
        <v>550</v>
      </c>
      <c r="J1323" s="26" t="n">
        <f aca="false">IF(H1323="","",Parâmetros!$B$5-H1323)</f>
        <v>162</v>
      </c>
      <c r="K1323" s="10" t="n">
        <f aca="false">INDEX(Parâmetros!$D$13:$D$19,MATCH(E1323,Parâmetros!$A$13:$A$19,0))</f>
        <v>22</v>
      </c>
      <c r="L1323" s="10" t="n">
        <f aca="false">IF(G1323="Prospecting",Parâmetros!$B$9,IF(J1323&gt;Parâmetros!$B$6,0,INDEX(Parâmetros!$C$24:$C$26,MATCH(J1323,Parâmetros!$A$24:$A$26,1))))</f>
        <v>0</v>
      </c>
      <c r="M1323" s="31" t="n">
        <f aca="false">IF(G1323="Prospecting",1,INDEX(Parâmetros!$C$32:$C$35,MATCH(J1323,Parâmetros!$A$32:$A$35,1)))</f>
        <v>0.6</v>
      </c>
      <c r="N1323" s="2" t="n">
        <f aca="false">ROUND((K1323+L1323)*M1323,0)</f>
        <v>13</v>
      </c>
      <c r="O1323" s="10" t="str">
        <f aca="false">IF(AND(G1323="Engaging",J1323&gt;Parâmetros!$B$6),"Sim","Não")</f>
        <v>Sim</v>
      </c>
      <c r="P1323" s="32" t="str">
        <f aca="false">IF(O1323="Sim","R",IF(N1323&gt;=Parâmetros!$B$39,"A",IF(N1323&gt;=Parâmetros!$B$40,"B",IF(N1323&gt;=Parâmetros!$B$41,"C","D"))))</f>
        <v>R</v>
      </c>
      <c r="Q1323" s="10" t="str">
        <f aca="false">IF(F1323="","Completar cadastro","")</f>
        <v>Completar cadastro</v>
      </c>
      <c r="R1323" s="10" t="str">
        <f aca="false">INDEX(Parâmetros!$D$39:$D$43,MATCH(P1323,Parâmetros!$A$39:$A$43,0))</f>
        <v>Reciclar: requalificar, reengajar ou encerrar</v>
      </c>
    </row>
    <row r="1324" customFormat="false" ht="15" hidden="false" customHeight="false" outlineLevel="0" collapsed="false">
      <c r="A1324" s="10" t="s">
        <v>1570</v>
      </c>
      <c r="B1324" s="10" t="s">
        <v>77</v>
      </c>
      <c r="C1324" s="10" t="s">
        <v>78</v>
      </c>
      <c r="D1324" s="10" t="s">
        <v>196</v>
      </c>
      <c r="E1324" s="10" t="s">
        <v>51</v>
      </c>
      <c r="F1324" s="10"/>
      <c r="G1324" s="10" t="s">
        <v>162</v>
      </c>
      <c r="H1324" s="30" t="n">
        <v>42938</v>
      </c>
      <c r="I1324" s="8" t="n">
        <f aca="false">INDEX(Parâmetros!$C$13:$C$19,MATCH(E1324,Parâmetros!$A$13:$A$19,0))</f>
        <v>550</v>
      </c>
      <c r="J1324" s="26" t="n">
        <f aca="false">IF(H1324="","",Parâmetros!$B$5-H1324)</f>
        <v>162</v>
      </c>
      <c r="K1324" s="10" t="n">
        <f aca="false">INDEX(Parâmetros!$D$13:$D$19,MATCH(E1324,Parâmetros!$A$13:$A$19,0))</f>
        <v>22</v>
      </c>
      <c r="L1324" s="10" t="n">
        <f aca="false">IF(G1324="Prospecting",Parâmetros!$B$9,IF(J1324&gt;Parâmetros!$B$6,0,INDEX(Parâmetros!$C$24:$C$26,MATCH(J1324,Parâmetros!$A$24:$A$26,1))))</f>
        <v>0</v>
      </c>
      <c r="M1324" s="31" t="n">
        <f aca="false">IF(G1324="Prospecting",1,INDEX(Parâmetros!$C$32:$C$35,MATCH(J1324,Parâmetros!$A$32:$A$35,1)))</f>
        <v>0.6</v>
      </c>
      <c r="N1324" s="2" t="n">
        <f aca="false">ROUND((K1324+L1324)*M1324,0)</f>
        <v>13</v>
      </c>
      <c r="O1324" s="10" t="str">
        <f aca="false">IF(AND(G1324="Engaging",J1324&gt;Parâmetros!$B$6),"Sim","Não")</f>
        <v>Sim</v>
      </c>
      <c r="P1324" s="32" t="str">
        <f aca="false">IF(O1324="Sim","R",IF(N1324&gt;=Parâmetros!$B$39,"A",IF(N1324&gt;=Parâmetros!$B$40,"B",IF(N1324&gt;=Parâmetros!$B$41,"C","D"))))</f>
        <v>R</v>
      </c>
      <c r="Q1324" s="10" t="str">
        <f aca="false">IF(F1324="","Completar cadastro","")</f>
        <v>Completar cadastro</v>
      </c>
      <c r="R1324" s="10" t="str">
        <f aca="false">INDEX(Parâmetros!$D$39:$D$43,MATCH(P1324,Parâmetros!$A$39:$A$43,0))</f>
        <v>Reciclar: requalificar, reengajar ou encerrar</v>
      </c>
    </row>
    <row r="1325" customFormat="false" ht="15" hidden="false" customHeight="false" outlineLevel="0" collapsed="false">
      <c r="A1325" s="10" t="s">
        <v>1571</v>
      </c>
      <c r="B1325" s="10" t="s">
        <v>79</v>
      </c>
      <c r="C1325" s="10" t="s">
        <v>78</v>
      </c>
      <c r="D1325" s="10" t="s">
        <v>196</v>
      </c>
      <c r="E1325" s="10" t="s">
        <v>51</v>
      </c>
      <c r="F1325" s="10"/>
      <c r="G1325" s="10" t="s">
        <v>162</v>
      </c>
      <c r="H1325" s="30" t="n">
        <v>42938</v>
      </c>
      <c r="I1325" s="8" t="n">
        <f aca="false">INDEX(Parâmetros!$C$13:$C$19,MATCH(E1325,Parâmetros!$A$13:$A$19,0))</f>
        <v>550</v>
      </c>
      <c r="J1325" s="26" t="n">
        <f aca="false">IF(H1325="","",Parâmetros!$B$5-H1325)</f>
        <v>162</v>
      </c>
      <c r="K1325" s="10" t="n">
        <f aca="false">INDEX(Parâmetros!$D$13:$D$19,MATCH(E1325,Parâmetros!$A$13:$A$19,0))</f>
        <v>22</v>
      </c>
      <c r="L1325" s="10" t="n">
        <f aca="false">IF(G1325="Prospecting",Parâmetros!$B$9,IF(J1325&gt;Parâmetros!$B$6,0,INDEX(Parâmetros!$C$24:$C$26,MATCH(J1325,Parâmetros!$A$24:$A$26,1))))</f>
        <v>0</v>
      </c>
      <c r="M1325" s="31" t="n">
        <f aca="false">IF(G1325="Prospecting",1,INDEX(Parâmetros!$C$32:$C$35,MATCH(J1325,Parâmetros!$A$32:$A$35,1)))</f>
        <v>0.6</v>
      </c>
      <c r="N1325" s="2" t="n">
        <f aca="false">ROUND((K1325+L1325)*M1325,0)</f>
        <v>13</v>
      </c>
      <c r="O1325" s="10" t="str">
        <f aca="false">IF(AND(G1325="Engaging",J1325&gt;Parâmetros!$B$6),"Sim","Não")</f>
        <v>Sim</v>
      </c>
      <c r="P1325" s="32" t="str">
        <f aca="false">IF(O1325="Sim","R",IF(N1325&gt;=Parâmetros!$B$39,"A",IF(N1325&gt;=Parâmetros!$B$40,"B",IF(N1325&gt;=Parâmetros!$B$41,"C","D"))))</f>
        <v>R</v>
      </c>
      <c r="Q1325" s="10" t="str">
        <f aca="false">IF(F1325="","Completar cadastro","")</f>
        <v>Completar cadastro</v>
      </c>
      <c r="R1325" s="10" t="str">
        <f aca="false">INDEX(Parâmetros!$D$39:$D$43,MATCH(P1325,Parâmetros!$A$39:$A$43,0))</f>
        <v>Reciclar: requalificar, reengajar ou encerrar</v>
      </c>
    </row>
    <row r="1326" customFormat="false" ht="15" hidden="false" customHeight="false" outlineLevel="0" collapsed="false">
      <c r="A1326" s="10" t="s">
        <v>1572</v>
      </c>
      <c r="B1326" s="10" t="s">
        <v>74</v>
      </c>
      <c r="C1326" s="10" t="s">
        <v>72</v>
      </c>
      <c r="D1326" s="10" t="s">
        <v>196</v>
      </c>
      <c r="E1326" s="10" t="s">
        <v>51</v>
      </c>
      <c r="F1326" s="10"/>
      <c r="G1326" s="10" t="s">
        <v>162</v>
      </c>
      <c r="H1326" s="30" t="n">
        <v>42938</v>
      </c>
      <c r="I1326" s="8" t="n">
        <f aca="false">INDEX(Parâmetros!$C$13:$C$19,MATCH(E1326,Parâmetros!$A$13:$A$19,0))</f>
        <v>550</v>
      </c>
      <c r="J1326" s="26" t="n">
        <f aca="false">IF(H1326="","",Parâmetros!$B$5-H1326)</f>
        <v>162</v>
      </c>
      <c r="K1326" s="10" t="n">
        <f aca="false">INDEX(Parâmetros!$D$13:$D$19,MATCH(E1326,Parâmetros!$A$13:$A$19,0))</f>
        <v>22</v>
      </c>
      <c r="L1326" s="10" t="n">
        <f aca="false">IF(G1326="Prospecting",Parâmetros!$B$9,IF(J1326&gt;Parâmetros!$B$6,0,INDEX(Parâmetros!$C$24:$C$26,MATCH(J1326,Parâmetros!$A$24:$A$26,1))))</f>
        <v>0</v>
      </c>
      <c r="M1326" s="31" t="n">
        <f aca="false">IF(G1326="Prospecting",1,INDEX(Parâmetros!$C$32:$C$35,MATCH(J1326,Parâmetros!$A$32:$A$35,1)))</f>
        <v>0.6</v>
      </c>
      <c r="N1326" s="2" t="n">
        <f aca="false">ROUND((K1326+L1326)*M1326,0)</f>
        <v>13</v>
      </c>
      <c r="O1326" s="10" t="str">
        <f aca="false">IF(AND(G1326="Engaging",J1326&gt;Parâmetros!$B$6),"Sim","Não")</f>
        <v>Sim</v>
      </c>
      <c r="P1326" s="32" t="str">
        <f aca="false">IF(O1326="Sim","R",IF(N1326&gt;=Parâmetros!$B$39,"A",IF(N1326&gt;=Parâmetros!$B$40,"B",IF(N1326&gt;=Parâmetros!$B$41,"C","D"))))</f>
        <v>R</v>
      </c>
      <c r="Q1326" s="10" t="str">
        <f aca="false">IF(F1326="","Completar cadastro","")</f>
        <v>Completar cadastro</v>
      </c>
      <c r="R1326" s="10" t="str">
        <f aca="false">INDEX(Parâmetros!$D$39:$D$43,MATCH(P1326,Parâmetros!$A$39:$A$43,0))</f>
        <v>Reciclar: requalificar, reengajar ou encerrar</v>
      </c>
    </row>
    <row r="1327" customFormat="false" ht="15" hidden="false" customHeight="false" outlineLevel="0" collapsed="false">
      <c r="A1327" s="10" t="s">
        <v>1573</v>
      </c>
      <c r="B1327" s="10" t="s">
        <v>77</v>
      </c>
      <c r="C1327" s="10" t="s">
        <v>78</v>
      </c>
      <c r="D1327" s="10" t="s">
        <v>196</v>
      </c>
      <c r="E1327" s="10" t="s">
        <v>51</v>
      </c>
      <c r="F1327" s="10"/>
      <c r="G1327" s="10" t="s">
        <v>162</v>
      </c>
      <c r="H1327" s="30" t="n">
        <v>42939</v>
      </c>
      <c r="I1327" s="8" t="n">
        <f aca="false">INDEX(Parâmetros!$C$13:$C$19,MATCH(E1327,Parâmetros!$A$13:$A$19,0))</f>
        <v>550</v>
      </c>
      <c r="J1327" s="26" t="n">
        <f aca="false">IF(H1327="","",Parâmetros!$B$5-H1327)</f>
        <v>161</v>
      </c>
      <c r="K1327" s="10" t="n">
        <f aca="false">INDEX(Parâmetros!$D$13:$D$19,MATCH(E1327,Parâmetros!$A$13:$A$19,0))</f>
        <v>22</v>
      </c>
      <c r="L1327" s="10" t="n">
        <f aca="false">IF(G1327="Prospecting",Parâmetros!$B$9,IF(J1327&gt;Parâmetros!$B$6,0,INDEX(Parâmetros!$C$24:$C$26,MATCH(J1327,Parâmetros!$A$24:$A$26,1))))</f>
        <v>0</v>
      </c>
      <c r="M1327" s="31" t="n">
        <f aca="false">IF(G1327="Prospecting",1,INDEX(Parâmetros!$C$32:$C$35,MATCH(J1327,Parâmetros!$A$32:$A$35,1)))</f>
        <v>0.6</v>
      </c>
      <c r="N1327" s="2" t="n">
        <f aca="false">ROUND((K1327+L1327)*M1327,0)</f>
        <v>13</v>
      </c>
      <c r="O1327" s="10" t="str">
        <f aca="false">IF(AND(G1327="Engaging",J1327&gt;Parâmetros!$B$6),"Sim","Não")</f>
        <v>Sim</v>
      </c>
      <c r="P1327" s="32" t="str">
        <f aca="false">IF(O1327="Sim","R",IF(N1327&gt;=Parâmetros!$B$39,"A",IF(N1327&gt;=Parâmetros!$B$40,"B",IF(N1327&gt;=Parâmetros!$B$41,"C","D"))))</f>
        <v>R</v>
      </c>
      <c r="Q1327" s="10" t="str">
        <f aca="false">IF(F1327="","Completar cadastro","")</f>
        <v>Completar cadastro</v>
      </c>
      <c r="R1327" s="10" t="str">
        <f aca="false">INDEX(Parâmetros!$D$39:$D$43,MATCH(P1327,Parâmetros!$A$39:$A$43,0))</f>
        <v>Reciclar: requalificar, reengajar ou encerrar</v>
      </c>
    </row>
    <row r="1328" customFormat="false" ht="15" hidden="false" customHeight="false" outlineLevel="0" collapsed="false">
      <c r="A1328" s="10" t="s">
        <v>1574</v>
      </c>
      <c r="B1328" s="10" t="s">
        <v>74</v>
      </c>
      <c r="C1328" s="10" t="s">
        <v>72</v>
      </c>
      <c r="D1328" s="10" t="s">
        <v>196</v>
      </c>
      <c r="E1328" s="10" t="s">
        <v>51</v>
      </c>
      <c r="F1328" s="10"/>
      <c r="G1328" s="10" t="s">
        <v>162</v>
      </c>
      <c r="H1328" s="30" t="n">
        <v>42939</v>
      </c>
      <c r="I1328" s="8" t="n">
        <f aca="false">INDEX(Parâmetros!$C$13:$C$19,MATCH(E1328,Parâmetros!$A$13:$A$19,0))</f>
        <v>550</v>
      </c>
      <c r="J1328" s="26" t="n">
        <f aca="false">IF(H1328="","",Parâmetros!$B$5-H1328)</f>
        <v>161</v>
      </c>
      <c r="K1328" s="10" t="n">
        <f aca="false">INDEX(Parâmetros!$D$13:$D$19,MATCH(E1328,Parâmetros!$A$13:$A$19,0))</f>
        <v>22</v>
      </c>
      <c r="L1328" s="10" t="n">
        <f aca="false">IF(G1328="Prospecting",Parâmetros!$B$9,IF(J1328&gt;Parâmetros!$B$6,0,INDEX(Parâmetros!$C$24:$C$26,MATCH(J1328,Parâmetros!$A$24:$A$26,1))))</f>
        <v>0</v>
      </c>
      <c r="M1328" s="31" t="n">
        <f aca="false">IF(G1328="Prospecting",1,INDEX(Parâmetros!$C$32:$C$35,MATCH(J1328,Parâmetros!$A$32:$A$35,1)))</f>
        <v>0.6</v>
      </c>
      <c r="N1328" s="2" t="n">
        <f aca="false">ROUND((K1328+L1328)*M1328,0)</f>
        <v>13</v>
      </c>
      <c r="O1328" s="10" t="str">
        <f aca="false">IF(AND(G1328="Engaging",J1328&gt;Parâmetros!$B$6),"Sim","Não")</f>
        <v>Sim</v>
      </c>
      <c r="P1328" s="32" t="str">
        <f aca="false">IF(O1328="Sim","R",IF(N1328&gt;=Parâmetros!$B$39,"A",IF(N1328&gt;=Parâmetros!$B$40,"B",IF(N1328&gt;=Parâmetros!$B$41,"C","D"))))</f>
        <v>R</v>
      </c>
      <c r="Q1328" s="10" t="str">
        <f aca="false">IF(F1328="","Completar cadastro","")</f>
        <v>Completar cadastro</v>
      </c>
      <c r="R1328" s="10" t="str">
        <f aca="false">INDEX(Parâmetros!$D$39:$D$43,MATCH(P1328,Parâmetros!$A$39:$A$43,0))</f>
        <v>Reciclar: requalificar, reengajar ou encerrar</v>
      </c>
    </row>
    <row r="1329" customFormat="false" ht="15" hidden="false" customHeight="false" outlineLevel="0" collapsed="false">
      <c r="A1329" s="10" t="s">
        <v>1575</v>
      </c>
      <c r="B1329" s="10" t="s">
        <v>74</v>
      </c>
      <c r="C1329" s="10" t="s">
        <v>72</v>
      </c>
      <c r="D1329" s="10" t="s">
        <v>196</v>
      </c>
      <c r="E1329" s="10" t="s">
        <v>51</v>
      </c>
      <c r="F1329" s="10"/>
      <c r="G1329" s="10" t="s">
        <v>162</v>
      </c>
      <c r="H1329" s="30" t="n">
        <v>42939</v>
      </c>
      <c r="I1329" s="8" t="n">
        <f aca="false">INDEX(Parâmetros!$C$13:$C$19,MATCH(E1329,Parâmetros!$A$13:$A$19,0))</f>
        <v>550</v>
      </c>
      <c r="J1329" s="26" t="n">
        <f aca="false">IF(H1329="","",Parâmetros!$B$5-H1329)</f>
        <v>161</v>
      </c>
      <c r="K1329" s="10" t="n">
        <f aca="false">INDEX(Parâmetros!$D$13:$D$19,MATCH(E1329,Parâmetros!$A$13:$A$19,0))</f>
        <v>22</v>
      </c>
      <c r="L1329" s="10" t="n">
        <f aca="false">IF(G1329="Prospecting",Parâmetros!$B$9,IF(J1329&gt;Parâmetros!$B$6,0,INDEX(Parâmetros!$C$24:$C$26,MATCH(J1329,Parâmetros!$A$24:$A$26,1))))</f>
        <v>0</v>
      </c>
      <c r="M1329" s="31" t="n">
        <f aca="false">IF(G1329="Prospecting",1,INDEX(Parâmetros!$C$32:$C$35,MATCH(J1329,Parâmetros!$A$32:$A$35,1)))</f>
        <v>0.6</v>
      </c>
      <c r="N1329" s="2" t="n">
        <f aca="false">ROUND((K1329+L1329)*M1329,0)</f>
        <v>13</v>
      </c>
      <c r="O1329" s="10" t="str">
        <f aca="false">IF(AND(G1329="Engaging",J1329&gt;Parâmetros!$B$6),"Sim","Não")</f>
        <v>Sim</v>
      </c>
      <c r="P1329" s="32" t="str">
        <f aca="false">IF(O1329="Sim","R",IF(N1329&gt;=Parâmetros!$B$39,"A",IF(N1329&gt;=Parâmetros!$B$40,"B",IF(N1329&gt;=Parâmetros!$B$41,"C","D"))))</f>
        <v>R</v>
      </c>
      <c r="Q1329" s="10" t="str">
        <f aca="false">IF(F1329="","Completar cadastro","")</f>
        <v>Completar cadastro</v>
      </c>
      <c r="R1329" s="10" t="str">
        <f aca="false">INDEX(Parâmetros!$D$39:$D$43,MATCH(P1329,Parâmetros!$A$39:$A$43,0))</f>
        <v>Reciclar: requalificar, reengajar ou encerrar</v>
      </c>
    </row>
    <row r="1330" customFormat="false" ht="15" hidden="false" customHeight="false" outlineLevel="0" collapsed="false">
      <c r="A1330" s="10" t="s">
        <v>1576</v>
      </c>
      <c r="B1330" s="10" t="s">
        <v>75</v>
      </c>
      <c r="C1330" s="10" t="s">
        <v>72</v>
      </c>
      <c r="D1330" s="10" t="s">
        <v>196</v>
      </c>
      <c r="E1330" s="10" t="s">
        <v>51</v>
      </c>
      <c r="F1330" s="10"/>
      <c r="G1330" s="10" t="s">
        <v>162</v>
      </c>
      <c r="H1330" s="30" t="n">
        <v>42939</v>
      </c>
      <c r="I1330" s="8" t="n">
        <f aca="false">INDEX(Parâmetros!$C$13:$C$19,MATCH(E1330,Parâmetros!$A$13:$A$19,0))</f>
        <v>550</v>
      </c>
      <c r="J1330" s="26" t="n">
        <f aca="false">IF(H1330="","",Parâmetros!$B$5-H1330)</f>
        <v>161</v>
      </c>
      <c r="K1330" s="10" t="n">
        <f aca="false">INDEX(Parâmetros!$D$13:$D$19,MATCH(E1330,Parâmetros!$A$13:$A$19,0))</f>
        <v>22</v>
      </c>
      <c r="L1330" s="10" t="n">
        <f aca="false">IF(G1330="Prospecting",Parâmetros!$B$9,IF(J1330&gt;Parâmetros!$B$6,0,INDEX(Parâmetros!$C$24:$C$26,MATCH(J1330,Parâmetros!$A$24:$A$26,1))))</f>
        <v>0</v>
      </c>
      <c r="M1330" s="31" t="n">
        <f aca="false">IF(G1330="Prospecting",1,INDEX(Parâmetros!$C$32:$C$35,MATCH(J1330,Parâmetros!$A$32:$A$35,1)))</f>
        <v>0.6</v>
      </c>
      <c r="N1330" s="2" t="n">
        <f aca="false">ROUND((K1330+L1330)*M1330,0)</f>
        <v>13</v>
      </c>
      <c r="O1330" s="10" t="str">
        <f aca="false">IF(AND(G1330="Engaging",J1330&gt;Parâmetros!$B$6),"Sim","Não")</f>
        <v>Sim</v>
      </c>
      <c r="P1330" s="32" t="str">
        <f aca="false">IF(O1330="Sim","R",IF(N1330&gt;=Parâmetros!$B$39,"A",IF(N1330&gt;=Parâmetros!$B$40,"B",IF(N1330&gt;=Parâmetros!$B$41,"C","D"))))</f>
        <v>R</v>
      </c>
      <c r="Q1330" s="10" t="str">
        <f aca="false">IF(F1330="","Completar cadastro","")</f>
        <v>Completar cadastro</v>
      </c>
      <c r="R1330" s="10" t="str">
        <f aca="false">INDEX(Parâmetros!$D$39:$D$43,MATCH(P1330,Parâmetros!$A$39:$A$43,0))</f>
        <v>Reciclar: requalificar, reengajar ou encerrar</v>
      </c>
    </row>
    <row r="1331" customFormat="false" ht="15" hidden="false" customHeight="false" outlineLevel="0" collapsed="false">
      <c r="A1331" s="10" t="s">
        <v>1577</v>
      </c>
      <c r="B1331" s="10" t="s">
        <v>97</v>
      </c>
      <c r="C1331" s="10" t="s">
        <v>92</v>
      </c>
      <c r="D1331" s="10" t="s">
        <v>160</v>
      </c>
      <c r="E1331" s="10" t="s">
        <v>51</v>
      </c>
      <c r="F1331" s="10"/>
      <c r="G1331" s="10" t="s">
        <v>162</v>
      </c>
      <c r="H1331" s="30" t="n">
        <v>42939</v>
      </c>
      <c r="I1331" s="8" t="n">
        <f aca="false">INDEX(Parâmetros!$C$13:$C$19,MATCH(E1331,Parâmetros!$A$13:$A$19,0))</f>
        <v>550</v>
      </c>
      <c r="J1331" s="26" t="n">
        <f aca="false">IF(H1331="","",Parâmetros!$B$5-H1331)</f>
        <v>161</v>
      </c>
      <c r="K1331" s="10" t="n">
        <f aca="false">INDEX(Parâmetros!$D$13:$D$19,MATCH(E1331,Parâmetros!$A$13:$A$19,0))</f>
        <v>22</v>
      </c>
      <c r="L1331" s="10" t="n">
        <f aca="false">IF(G1331="Prospecting",Parâmetros!$B$9,IF(J1331&gt;Parâmetros!$B$6,0,INDEX(Parâmetros!$C$24:$C$26,MATCH(J1331,Parâmetros!$A$24:$A$26,1))))</f>
        <v>0</v>
      </c>
      <c r="M1331" s="31" t="n">
        <f aca="false">IF(G1331="Prospecting",1,INDEX(Parâmetros!$C$32:$C$35,MATCH(J1331,Parâmetros!$A$32:$A$35,1)))</f>
        <v>0.6</v>
      </c>
      <c r="N1331" s="2" t="n">
        <f aca="false">ROUND((K1331+L1331)*M1331,0)</f>
        <v>13</v>
      </c>
      <c r="O1331" s="10" t="str">
        <f aca="false">IF(AND(G1331="Engaging",J1331&gt;Parâmetros!$B$6),"Sim","Não")</f>
        <v>Sim</v>
      </c>
      <c r="P1331" s="32" t="str">
        <f aca="false">IF(O1331="Sim","R",IF(N1331&gt;=Parâmetros!$B$39,"A",IF(N1331&gt;=Parâmetros!$B$40,"B",IF(N1331&gt;=Parâmetros!$B$41,"C","D"))))</f>
        <v>R</v>
      </c>
      <c r="Q1331" s="10" t="str">
        <f aca="false">IF(F1331="","Completar cadastro","")</f>
        <v>Completar cadastro</v>
      </c>
      <c r="R1331" s="10" t="str">
        <f aca="false">INDEX(Parâmetros!$D$39:$D$43,MATCH(P1331,Parâmetros!$A$39:$A$43,0))</f>
        <v>Reciclar: requalificar, reengajar ou encerrar</v>
      </c>
    </row>
    <row r="1332" customFormat="false" ht="15" hidden="false" customHeight="false" outlineLevel="0" collapsed="false">
      <c r="A1332" s="10" t="s">
        <v>1578</v>
      </c>
      <c r="B1332" s="10" t="s">
        <v>79</v>
      </c>
      <c r="C1332" s="10" t="s">
        <v>78</v>
      </c>
      <c r="D1332" s="10" t="s">
        <v>196</v>
      </c>
      <c r="E1332" s="10" t="s">
        <v>51</v>
      </c>
      <c r="F1332" s="10"/>
      <c r="G1332" s="10" t="s">
        <v>162</v>
      </c>
      <c r="H1332" s="30" t="n">
        <v>42940</v>
      </c>
      <c r="I1332" s="8" t="n">
        <f aca="false">INDEX(Parâmetros!$C$13:$C$19,MATCH(E1332,Parâmetros!$A$13:$A$19,0))</f>
        <v>550</v>
      </c>
      <c r="J1332" s="26" t="n">
        <f aca="false">IF(H1332="","",Parâmetros!$B$5-H1332)</f>
        <v>160</v>
      </c>
      <c r="K1332" s="10" t="n">
        <f aca="false">INDEX(Parâmetros!$D$13:$D$19,MATCH(E1332,Parâmetros!$A$13:$A$19,0))</f>
        <v>22</v>
      </c>
      <c r="L1332" s="10" t="n">
        <f aca="false">IF(G1332="Prospecting",Parâmetros!$B$9,IF(J1332&gt;Parâmetros!$B$6,0,INDEX(Parâmetros!$C$24:$C$26,MATCH(J1332,Parâmetros!$A$24:$A$26,1))))</f>
        <v>0</v>
      </c>
      <c r="M1332" s="31" t="n">
        <f aca="false">IF(G1332="Prospecting",1,INDEX(Parâmetros!$C$32:$C$35,MATCH(J1332,Parâmetros!$A$32:$A$35,1)))</f>
        <v>0.6</v>
      </c>
      <c r="N1332" s="2" t="n">
        <f aca="false">ROUND((K1332+L1332)*M1332,0)</f>
        <v>13</v>
      </c>
      <c r="O1332" s="10" t="str">
        <f aca="false">IF(AND(G1332="Engaging",J1332&gt;Parâmetros!$B$6),"Sim","Não")</f>
        <v>Sim</v>
      </c>
      <c r="P1332" s="32" t="str">
        <f aca="false">IF(O1332="Sim","R",IF(N1332&gt;=Parâmetros!$B$39,"A",IF(N1332&gt;=Parâmetros!$B$40,"B",IF(N1332&gt;=Parâmetros!$B$41,"C","D"))))</f>
        <v>R</v>
      </c>
      <c r="Q1332" s="10" t="str">
        <f aca="false">IF(F1332="","Completar cadastro","")</f>
        <v>Completar cadastro</v>
      </c>
      <c r="R1332" s="10" t="str">
        <f aca="false">INDEX(Parâmetros!$D$39:$D$43,MATCH(P1332,Parâmetros!$A$39:$A$43,0))</f>
        <v>Reciclar: requalificar, reengajar ou encerrar</v>
      </c>
    </row>
    <row r="1333" customFormat="false" ht="15" hidden="false" customHeight="false" outlineLevel="0" collapsed="false">
      <c r="A1333" s="10" t="s">
        <v>1579</v>
      </c>
      <c r="B1333" s="10" t="s">
        <v>80</v>
      </c>
      <c r="C1333" s="10" t="s">
        <v>78</v>
      </c>
      <c r="D1333" s="10" t="s">
        <v>196</v>
      </c>
      <c r="E1333" s="10" t="s">
        <v>51</v>
      </c>
      <c r="F1333" s="10"/>
      <c r="G1333" s="10" t="s">
        <v>162</v>
      </c>
      <c r="H1333" s="30" t="n">
        <v>42940</v>
      </c>
      <c r="I1333" s="8" t="n">
        <f aca="false">INDEX(Parâmetros!$C$13:$C$19,MATCH(E1333,Parâmetros!$A$13:$A$19,0))</f>
        <v>550</v>
      </c>
      <c r="J1333" s="26" t="n">
        <f aca="false">IF(H1333="","",Parâmetros!$B$5-H1333)</f>
        <v>160</v>
      </c>
      <c r="K1333" s="10" t="n">
        <f aca="false">INDEX(Parâmetros!$D$13:$D$19,MATCH(E1333,Parâmetros!$A$13:$A$19,0))</f>
        <v>22</v>
      </c>
      <c r="L1333" s="10" t="n">
        <f aca="false">IF(G1333="Prospecting",Parâmetros!$B$9,IF(J1333&gt;Parâmetros!$B$6,0,INDEX(Parâmetros!$C$24:$C$26,MATCH(J1333,Parâmetros!$A$24:$A$26,1))))</f>
        <v>0</v>
      </c>
      <c r="M1333" s="31" t="n">
        <f aca="false">IF(G1333="Prospecting",1,INDEX(Parâmetros!$C$32:$C$35,MATCH(J1333,Parâmetros!$A$32:$A$35,1)))</f>
        <v>0.6</v>
      </c>
      <c r="N1333" s="2" t="n">
        <f aca="false">ROUND((K1333+L1333)*M1333,0)</f>
        <v>13</v>
      </c>
      <c r="O1333" s="10" t="str">
        <f aca="false">IF(AND(G1333="Engaging",J1333&gt;Parâmetros!$B$6),"Sim","Não")</f>
        <v>Sim</v>
      </c>
      <c r="P1333" s="32" t="str">
        <f aca="false">IF(O1333="Sim","R",IF(N1333&gt;=Parâmetros!$B$39,"A",IF(N1333&gt;=Parâmetros!$B$40,"B",IF(N1333&gt;=Parâmetros!$B$41,"C","D"))))</f>
        <v>R</v>
      </c>
      <c r="Q1333" s="10" t="str">
        <f aca="false">IF(F1333="","Completar cadastro","")</f>
        <v>Completar cadastro</v>
      </c>
      <c r="R1333" s="10" t="str">
        <f aca="false">INDEX(Parâmetros!$D$39:$D$43,MATCH(P1333,Parâmetros!$A$39:$A$43,0))</f>
        <v>Reciclar: requalificar, reengajar ou encerrar</v>
      </c>
    </row>
    <row r="1334" customFormat="false" ht="15" hidden="false" customHeight="false" outlineLevel="0" collapsed="false">
      <c r="A1334" s="10" t="s">
        <v>1580</v>
      </c>
      <c r="B1334" s="10" t="s">
        <v>74</v>
      </c>
      <c r="C1334" s="10" t="s">
        <v>72</v>
      </c>
      <c r="D1334" s="10" t="s">
        <v>196</v>
      </c>
      <c r="E1334" s="10" t="s">
        <v>51</v>
      </c>
      <c r="F1334" s="10"/>
      <c r="G1334" s="10" t="s">
        <v>162</v>
      </c>
      <c r="H1334" s="30" t="n">
        <v>42940</v>
      </c>
      <c r="I1334" s="8" t="n">
        <f aca="false">INDEX(Parâmetros!$C$13:$C$19,MATCH(E1334,Parâmetros!$A$13:$A$19,0))</f>
        <v>550</v>
      </c>
      <c r="J1334" s="26" t="n">
        <f aca="false">IF(H1334="","",Parâmetros!$B$5-H1334)</f>
        <v>160</v>
      </c>
      <c r="K1334" s="10" t="n">
        <f aca="false">INDEX(Parâmetros!$D$13:$D$19,MATCH(E1334,Parâmetros!$A$13:$A$19,0))</f>
        <v>22</v>
      </c>
      <c r="L1334" s="10" t="n">
        <f aca="false">IF(G1334="Prospecting",Parâmetros!$B$9,IF(J1334&gt;Parâmetros!$B$6,0,INDEX(Parâmetros!$C$24:$C$26,MATCH(J1334,Parâmetros!$A$24:$A$26,1))))</f>
        <v>0</v>
      </c>
      <c r="M1334" s="31" t="n">
        <f aca="false">IF(G1334="Prospecting",1,INDEX(Parâmetros!$C$32:$C$35,MATCH(J1334,Parâmetros!$A$32:$A$35,1)))</f>
        <v>0.6</v>
      </c>
      <c r="N1334" s="2" t="n">
        <f aca="false">ROUND((K1334+L1334)*M1334,0)</f>
        <v>13</v>
      </c>
      <c r="O1334" s="10" t="str">
        <f aca="false">IF(AND(G1334="Engaging",J1334&gt;Parâmetros!$B$6),"Sim","Não")</f>
        <v>Sim</v>
      </c>
      <c r="P1334" s="32" t="str">
        <f aca="false">IF(O1334="Sim","R",IF(N1334&gt;=Parâmetros!$B$39,"A",IF(N1334&gt;=Parâmetros!$B$40,"B",IF(N1334&gt;=Parâmetros!$B$41,"C","D"))))</f>
        <v>R</v>
      </c>
      <c r="Q1334" s="10" t="str">
        <f aca="false">IF(F1334="","Completar cadastro","")</f>
        <v>Completar cadastro</v>
      </c>
      <c r="R1334" s="10" t="str">
        <f aca="false">INDEX(Parâmetros!$D$39:$D$43,MATCH(P1334,Parâmetros!$A$39:$A$43,0))</f>
        <v>Reciclar: requalificar, reengajar ou encerrar</v>
      </c>
    </row>
    <row r="1335" customFormat="false" ht="15" hidden="false" customHeight="false" outlineLevel="0" collapsed="false">
      <c r="A1335" s="10" t="s">
        <v>1581</v>
      </c>
      <c r="B1335" s="10" t="s">
        <v>81</v>
      </c>
      <c r="C1335" s="10" t="s">
        <v>78</v>
      </c>
      <c r="D1335" s="10" t="s">
        <v>196</v>
      </c>
      <c r="E1335" s="10" t="s">
        <v>51</v>
      </c>
      <c r="F1335" s="10"/>
      <c r="G1335" s="10" t="s">
        <v>162</v>
      </c>
      <c r="H1335" s="30" t="n">
        <v>42940</v>
      </c>
      <c r="I1335" s="8" t="n">
        <f aca="false">INDEX(Parâmetros!$C$13:$C$19,MATCH(E1335,Parâmetros!$A$13:$A$19,0))</f>
        <v>550</v>
      </c>
      <c r="J1335" s="26" t="n">
        <f aca="false">IF(H1335="","",Parâmetros!$B$5-H1335)</f>
        <v>160</v>
      </c>
      <c r="K1335" s="10" t="n">
        <f aca="false">INDEX(Parâmetros!$D$13:$D$19,MATCH(E1335,Parâmetros!$A$13:$A$19,0))</f>
        <v>22</v>
      </c>
      <c r="L1335" s="10" t="n">
        <f aca="false">IF(G1335="Prospecting",Parâmetros!$B$9,IF(J1335&gt;Parâmetros!$B$6,0,INDEX(Parâmetros!$C$24:$C$26,MATCH(J1335,Parâmetros!$A$24:$A$26,1))))</f>
        <v>0</v>
      </c>
      <c r="M1335" s="31" t="n">
        <f aca="false">IF(G1335="Prospecting",1,INDEX(Parâmetros!$C$32:$C$35,MATCH(J1335,Parâmetros!$A$32:$A$35,1)))</f>
        <v>0.6</v>
      </c>
      <c r="N1335" s="2" t="n">
        <f aca="false">ROUND((K1335+L1335)*M1335,0)</f>
        <v>13</v>
      </c>
      <c r="O1335" s="10" t="str">
        <f aca="false">IF(AND(G1335="Engaging",J1335&gt;Parâmetros!$B$6),"Sim","Não")</f>
        <v>Sim</v>
      </c>
      <c r="P1335" s="32" t="str">
        <f aca="false">IF(O1335="Sim","R",IF(N1335&gt;=Parâmetros!$B$39,"A",IF(N1335&gt;=Parâmetros!$B$40,"B",IF(N1335&gt;=Parâmetros!$B$41,"C","D"))))</f>
        <v>R</v>
      </c>
      <c r="Q1335" s="10" t="str">
        <f aca="false">IF(F1335="","Completar cadastro","")</f>
        <v>Completar cadastro</v>
      </c>
      <c r="R1335" s="10" t="str">
        <f aca="false">INDEX(Parâmetros!$D$39:$D$43,MATCH(P1335,Parâmetros!$A$39:$A$43,0))</f>
        <v>Reciclar: requalificar, reengajar ou encerrar</v>
      </c>
    </row>
    <row r="1336" customFormat="false" ht="15" hidden="false" customHeight="false" outlineLevel="0" collapsed="false">
      <c r="A1336" s="10" t="s">
        <v>1582</v>
      </c>
      <c r="B1336" s="10" t="s">
        <v>75</v>
      </c>
      <c r="C1336" s="10" t="s">
        <v>72</v>
      </c>
      <c r="D1336" s="10" t="s">
        <v>196</v>
      </c>
      <c r="E1336" s="10" t="s">
        <v>51</v>
      </c>
      <c r="F1336" s="10" t="s">
        <v>172</v>
      </c>
      <c r="G1336" s="10" t="s">
        <v>162</v>
      </c>
      <c r="H1336" s="30" t="n">
        <v>42940</v>
      </c>
      <c r="I1336" s="8" t="n">
        <f aca="false">INDEX(Parâmetros!$C$13:$C$19,MATCH(E1336,Parâmetros!$A$13:$A$19,0))</f>
        <v>550</v>
      </c>
      <c r="J1336" s="26" t="n">
        <f aca="false">IF(H1336="","",Parâmetros!$B$5-H1336)</f>
        <v>160</v>
      </c>
      <c r="K1336" s="10" t="n">
        <f aca="false">INDEX(Parâmetros!$D$13:$D$19,MATCH(E1336,Parâmetros!$A$13:$A$19,0))</f>
        <v>22</v>
      </c>
      <c r="L1336" s="10" t="n">
        <f aca="false">IF(G1336="Prospecting",Parâmetros!$B$9,IF(J1336&gt;Parâmetros!$B$6,0,INDEX(Parâmetros!$C$24:$C$26,MATCH(J1336,Parâmetros!$A$24:$A$26,1))))</f>
        <v>0</v>
      </c>
      <c r="M1336" s="31" t="n">
        <f aca="false">IF(G1336="Prospecting",1,INDEX(Parâmetros!$C$32:$C$35,MATCH(J1336,Parâmetros!$A$32:$A$35,1)))</f>
        <v>0.6</v>
      </c>
      <c r="N1336" s="2" t="n">
        <f aca="false">ROUND((K1336+L1336)*M1336,0)</f>
        <v>13</v>
      </c>
      <c r="O1336" s="10" t="str">
        <f aca="false">IF(AND(G1336="Engaging",J1336&gt;Parâmetros!$B$6),"Sim","Não")</f>
        <v>Sim</v>
      </c>
      <c r="P1336" s="32" t="str">
        <f aca="false">IF(O1336="Sim","R",IF(N1336&gt;=Parâmetros!$B$39,"A",IF(N1336&gt;=Parâmetros!$B$40,"B",IF(N1336&gt;=Parâmetros!$B$41,"C","D"))))</f>
        <v>R</v>
      </c>
      <c r="Q1336" s="10" t="str">
        <f aca="false">IF(F1336="","Completar cadastro","")</f>
        <v/>
      </c>
      <c r="R1336" s="10" t="str">
        <f aca="false">INDEX(Parâmetros!$D$39:$D$43,MATCH(P1336,Parâmetros!$A$39:$A$43,0))</f>
        <v>Reciclar: requalificar, reengajar ou encerrar</v>
      </c>
    </row>
    <row r="1337" customFormat="false" ht="15" hidden="false" customHeight="false" outlineLevel="0" collapsed="false">
      <c r="A1337" s="10" t="s">
        <v>1583</v>
      </c>
      <c r="B1337" s="10" t="s">
        <v>76</v>
      </c>
      <c r="C1337" s="10" t="s">
        <v>72</v>
      </c>
      <c r="D1337" s="10" t="s">
        <v>196</v>
      </c>
      <c r="E1337" s="10" t="s">
        <v>51</v>
      </c>
      <c r="F1337" s="10" t="s">
        <v>441</v>
      </c>
      <c r="G1337" s="10" t="s">
        <v>162</v>
      </c>
      <c r="H1337" s="30" t="n">
        <v>42940</v>
      </c>
      <c r="I1337" s="8" t="n">
        <f aca="false">INDEX(Parâmetros!$C$13:$C$19,MATCH(E1337,Parâmetros!$A$13:$A$19,0))</f>
        <v>550</v>
      </c>
      <c r="J1337" s="26" t="n">
        <f aca="false">IF(H1337="","",Parâmetros!$B$5-H1337)</f>
        <v>160</v>
      </c>
      <c r="K1337" s="10" t="n">
        <f aca="false">INDEX(Parâmetros!$D$13:$D$19,MATCH(E1337,Parâmetros!$A$13:$A$19,0))</f>
        <v>22</v>
      </c>
      <c r="L1337" s="10" t="n">
        <f aca="false">IF(G1337="Prospecting",Parâmetros!$B$9,IF(J1337&gt;Parâmetros!$B$6,0,INDEX(Parâmetros!$C$24:$C$26,MATCH(J1337,Parâmetros!$A$24:$A$26,1))))</f>
        <v>0</v>
      </c>
      <c r="M1337" s="31" t="n">
        <f aca="false">IF(G1337="Prospecting",1,INDEX(Parâmetros!$C$32:$C$35,MATCH(J1337,Parâmetros!$A$32:$A$35,1)))</f>
        <v>0.6</v>
      </c>
      <c r="N1337" s="2" t="n">
        <f aca="false">ROUND((K1337+L1337)*M1337,0)</f>
        <v>13</v>
      </c>
      <c r="O1337" s="10" t="str">
        <f aca="false">IF(AND(G1337="Engaging",J1337&gt;Parâmetros!$B$6),"Sim","Não")</f>
        <v>Sim</v>
      </c>
      <c r="P1337" s="32" t="str">
        <f aca="false">IF(O1337="Sim","R",IF(N1337&gt;=Parâmetros!$B$39,"A",IF(N1337&gt;=Parâmetros!$B$40,"B",IF(N1337&gt;=Parâmetros!$B$41,"C","D"))))</f>
        <v>R</v>
      </c>
      <c r="Q1337" s="10" t="str">
        <f aca="false">IF(F1337="","Completar cadastro","")</f>
        <v/>
      </c>
      <c r="R1337" s="10" t="str">
        <f aca="false">INDEX(Parâmetros!$D$39:$D$43,MATCH(P1337,Parâmetros!$A$39:$A$43,0))</f>
        <v>Reciclar: requalificar, reengajar ou encerrar</v>
      </c>
    </row>
    <row r="1338" customFormat="false" ht="15" hidden="false" customHeight="false" outlineLevel="0" collapsed="false">
      <c r="A1338" s="10" t="s">
        <v>1584</v>
      </c>
      <c r="B1338" s="10" t="s">
        <v>73</v>
      </c>
      <c r="C1338" s="10" t="s">
        <v>72</v>
      </c>
      <c r="D1338" s="10" t="s">
        <v>196</v>
      </c>
      <c r="E1338" s="10" t="s">
        <v>51</v>
      </c>
      <c r="F1338" s="10"/>
      <c r="G1338" s="10" t="s">
        <v>162</v>
      </c>
      <c r="H1338" s="30" t="n">
        <v>42941</v>
      </c>
      <c r="I1338" s="8" t="n">
        <f aca="false">INDEX(Parâmetros!$C$13:$C$19,MATCH(E1338,Parâmetros!$A$13:$A$19,0))</f>
        <v>550</v>
      </c>
      <c r="J1338" s="26" t="n">
        <f aca="false">IF(H1338="","",Parâmetros!$B$5-H1338)</f>
        <v>159</v>
      </c>
      <c r="K1338" s="10" t="n">
        <f aca="false">INDEX(Parâmetros!$D$13:$D$19,MATCH(E1338,Parâmetros!$A$13:$A$19,0))</f>
        <v>22</v>
      </c>
      <c r="L1338" s="10" t="n">
        <f aca="false">IF(G1338="Prospecting",Parâmetros!$B$9,IF(J1338&gt;Parâmetros!$B$6,0,INDEX(Parâmetros!$C$24:$C$26,MATCH(J1338,Parâmetros!$A$24:$A$26,1))))</f>
        <v>0</v>
      </c>
      <c r="M1338" s="31" t="n">
        <f aca="false">IF(G1338="Prospecting",1,INDEX(Parâmetros!$C$32:$C$35,MATCH(J1338,Parâmetros!$A$32:$A$35,1)))</f>
        <v>0.6</v>
      </c>
      <c r="N1338" s="2" t="n">
        <f aca="false">ROUND((K1338+L1338)*M1338,0)</f>
        <v>13</v>
      </c>
      <c r="O1338" s="10" t="str">
        <f aca="false">IF(AND(G1338="Engaging",J1338&gt;Parâmetros!$B$6),"Sim","Não")</f>
        <v>Sim</v>
      </c>
      <c r="P1338" s="32" t="str">
        <f aca="false">IF(O1338="Sim","R",IF(N1338&gt;=Parâmetros!$B$39,"A",IF(N1338&gt;=Parâmetros!$B$40,"B",IF(N1338&gt;=Parâmetros!$B$41,"C","D"))))</f>
        <v>R</v>
      </c>
      <c r="Q1338" s="10" t="str">
        <f aca="false">IF(F1338="","Completar cadastro","")</f>
        <v>Completar cadastro</v>
      </c>
      <c r="R1338" s="10" t="str">
        <f aca="false">INDEX(Parâmetros!$D$39:$D$43,MATCH(P1338,Parâmetros!$A$39:$A$43,0))</f>
        <v>Reciclar: requalificar, reengajar ou encerrar</v>
      </c>
    </row>
    <row r="1339" customFormat="false" ht="15" hidden="false" customHeight="false" outlineLevel="0" collapsed="false">
      <c r="A1339" s="10" t="s">
        <v>1585</v>
      </c>
      <c r="B1339" s="10" t="s">
        <v>77</v>
      </c>
      <c r="C1339" s="10" t="s">
        <v>78</v>
      </c>
      <c r="D1339" s="10" t="s">
        <v>196</v>
      </c>
      <c r="E1339" s="10" t="s">
        <v>51</v>
      </c>
      <c r="F1339" s="10"/>
      <c r="G1339" s="10" t="s">
        <v>162</v>
      </c>
      <c r="H1339" s="30" t="n">
        <v>42941</v>
      </c>
      <c r="I1339" s="8" t="n">
        <f aca="false">INDEX(Parâmetros!$C$13:$C$19,MATCH(E1339,Parâmetros!$A$13:$A$19,0))</f>
        <v>550</v>
      </c>
      <c r="J1339" s="26" t="n">
        <f aca="false">IF(H1339="","",Parâmetros!$B$5-H1339)</f>
        <v>159</v>
      </c>
      <c r="K1339" s="10" t="n">
        <f aca="false">INDEX(Parâmetros!$D$13:$D$19,MATCH(E1339,Parâmetros!$A$13:$A$19,0))</f>
        <v>22</v>
      </c>
      <c r="L1339" s="10" t="n">
        <f aca="false">IF(G1339="Prospecting",Parâmetros!$B$9,IF(J1339&gt;Parâmetros!$B$6,0,INDEX(Parâmetros!$C$24:$C$26,MATCH(J1339,Parâmetros!$A$24:$A$26,1))))</f>
        <v>0</v>
      </c>
      <c r="M1339" s="31" t="n">
        <f aca="false">IF(G1339="Prospecting",1,INDEX(Parâmetros!$C$32:$C$35,MATCH(J1339,Parâmetros!$A$32:$A$35,1)))</f>
        <v>0.6</v>
      </c>
      <c r="N1339" s="2" t="n">
        <f aca="false">ROUND((K1339+L1339)*M1339,0)</f>
        <v>13</v>
      </c>
      <c r="O1339" s="10" t="str">
        <f aca="false">IF(AND(G1339="Engaging",J1339&gt;Parâmetros!$B$6),"Sim","Não")</f>
        <v>Sim</v>
      </c>
      <c r="P1339" s="32" t="str">
        <f aca="false">IF(O1339="Sim","R",IF(N1339&gt;=Parâmetros!$B$39,"A",IF(N1339&gt;=Parâmetros!$B$40,"B",IF(N1339&gt;=Parâmetros!$B$41,"C","D"))))</f>
        <v>R</v>
      </c>
      <c r="Q1339" s="10" t="str">
        <f aca="false">IF(F1339="","Completar cadastro","")</f>
        <v>Completar cadastro</v>
      </c>
      <c r="R1339" s="10" t="str">
        <f aca="false">INDEX(Parâmetros!$D$39:$D$43,MATCH(P1339,Parâmetros!$A$39:$A$43,0))</f>
        <v>Reciclar: requalificar, reengajar ou encerrar</v>
      </c>
    </row>
    <row r="1340" customFormat="false" ht="15" hidden="false" customHeight="false" outlineLevel="0" collapsed="false">
      <c r="A1340" s="10" t="s">
        <v>1586</v>
      </c>
      <c r="B1340" s="10" t="s">
        <v>77</v>
      </c>
      <c r="C1340" s="10" t="s">
        <v>78</v>
      </c>
      <c r="D1340" s="10" t="s">
        <v>196</v>
      </c>
      <c r="E1340" s="10" t="s">
        <v>51</v>
      </c>
      <c r="F1340" s="10"/>
      <c r="G1340" s="10" t="s">
        <v>162</v>
      </c>
      <c r="H1340" s="30" t="n">
        <v>42941</v>
      </c>
      <c r="I1340" s="8" t="n">
        <f aca="false">INDEX(Parâmetros!$C$13:$C$19,MATCH(E1340,Parâmetros!$A$13:$A$19,0))</f>
        <v>550</v>
      </c>
      <c r="J1340" s="26" t="n">
        <f aca="false">IF(H1340="","",Parâmetros!$B$5-H1340)</f>
        <v>159</v>
      </c>
      <c r="K1340" s="10" t="n">
        <f aca="false">INDEX(Parâmetros!$D$13:$D$19,MATCH(E1340,Parâmetros!$A$13:$A$19,0))</f>
        <v>22</v>
      </c>
      <c r="L1340" s="10" t="n">
        <f aca="false">IF(G1340="Prospecting",Parâmetros!$B$9,IF(J1340&gt;Parâmetros!$B$6,0,INDEX(Parâmetros!$C$24:$C$26,MATCH(J1340,Parâmetros!$A$24:$A$26,1))))</f>
        <v>0</v>
      </c>
      <c r="M1340" s="31" t="n">
        <f aca="false">IF(G1340="Prospecting",1,INDEX(Parâmetros!$C$32:$C$35,MATCH(J1340,Parâmetros!$A$32:$A$35,1)))</f>
        <v>0.6</v>
      </c>
      <c r="N1340" s="2" t="n">
        <f aca="false">ROUND((K1340+L1340)*M1340,0)</f>
        <v>13</v>
      </c>
      <c r="O1340" s="10" t="str">
        <f aca="false">IF(AND(G1340="Engaging",J1340&gt;Parâmetros!$B$6),"Sim","Não")</f>
        <v>Sim</v>
      </c>
      <c r="P1340" s="32" t="str">
        <f aca="false">IF(O1340="Sim","R",IF(N1340&gt;=Parâmetros!$B$39,"A",IF(N1340&gt;=Parâmetros!$B$40,"B",IF(N1340&gt;=Parâmetros!$B$41,"C","D"))))</f>
        <v>R</v>
      </c>
      <c r="Q1340" s="10" t="str">
        <f aca="false">IF(F1340="","Completar cadastro","")</f>
        <v>Completar cadastro</v>
      </c>
      <c r="R1340" s="10" t="str">
        <f aca="false">INDEX(Parâmetros!$D$39:$D$43,MATCH(P1340,Parâmetros!$A$39:$A$43,0))</f>
        <v>Reciclar: requalificar, reengajar ou encerrar</v>
      </c>
    </row>
    <row r="1341" customFormat="false" ht="15" hidden="false" customHeight="false" outlineLevel="0" collapsed="false">
      <c r="A1341" s="10" t="s">
        <v>1587</v>
      </c>
      <c r="B1341" s="10" t="s">
        <v>79</v>
      </c>
      <c r="C1341" s="10" t="s">
        <v>78</v>
      </c>
      <c r="D1341" s="10" t="s">
        <v>196</v>
      </c>
      <c r="E1341" s="10" t="s">
        <v>51</v>
      </c>
      <c r="F1341" s="10"/>
      <c r="G1341" s="10" t="s">
        <v>162</v>
      </c>
      <c r="H1341" s="30" t="n">
        <v>42941</v>
      </c>
      <c r="I1341" s="8" t="n">
        <f aca="false">INDEX(Parâmetros!$C$13:$C$19,MATCH(E1341,Parâmetros!$A$13:$A$19,0))</f>
        <v>550</v>
      </c>
      <c r="J1341" s="26" t="n">
        <f aca="false">IF(H1341="","",Parâmetros!$B$5-H1341)</f>
        <v>159</v>
      </c>
      <c r="K1341" s="10" t="n">
        <f aca="false">INDEX(Parâmetros!$D$13:$D$19,MATCH(E1341,Parâmetros!$A$13:$A$19,0))</f>
        <v>22</v>
      </c>
      <c r="L1341" s="10" t="n">
        <f aca="false">IF(G1341="Prospecting",Parâmetros!$B$9,IF(J1341&gt;Parâmetros!$B$6,0,INDEX(Parâmetros!$C$24:$C$26,MATCH(J1341,Parâmetros!$A$24:$A$26,1))))</f>
        <v>0</v>
      </c>
      <c r="M1341" s="31" t="n">
        <f aca="false">IF(G1341="Prospecting",1,INDEX(Parâmetros!$C$32:$C$35,MATCH(J1341,Parâmetros!$A$32:$A$35,1)))</f>
        <v>0.6</v>
      </c>
      <c r="N1341" s="2" t="n">
        <f aca="false">ROUND((K1341+L1341)*M1341,0)</f>
        <v>13</v>
      </c>
      <c r="O1341" s="10" t="str">
        <f aca="false">IF(AND(G1341="Engaging",J1341&gt;Parâmetros!$B$6),"Sim","Não")</f>
        <v>Sim</v>
      </c>
      <c r="P1341" s="32" t="str">
        <f aca="false">IF(O1341="Sim","R",IF(N1341&gt;=Parâmetros!$B$39,"A",IF(N1341&gt;=Parâmetros!$B$40,"B",IF(N1341&gt;=Parâmetros!$B$41,"C","D"))))</f>
        <v>R</v>
      </c>
      <c r="Q1341" s="10" t="str">
        <f aca="false">IF(F1341="","Completar cadastro","")</f>
        <v>Completar cadastro</v>
      </c>
      <c r="R1341" s="10" t="str">
        <f aca="false">INDEX(Parâmetros!$D$39:$D$43,MATCH(P1341,Parâmetros!$A$39:$A$43,0))</f>
        <v>Reciclar: requalificar, reengajar ou encerrar</v>
      </c>
    </row>
    <row r="1342" customFormat="false" ht="15" hidden="false" customHeight="false" outlineLevel="0" collapsed="false">
      <c r="A1342" s="10" t="s">
        <v>1588</v>
      </c>
      <c r="B1342" s="10" t="s">
        <v>80</v>
      </c>
      <c r="C1342" s="10" t="s">
        <v>78</v>
      </c>
      <c r="D1342" s="10" t="s">
        <v>196</v>
      </c>
      <c r="E1342" s="10" t="s">
        <v>51</v>
      </c>
      <c r="F1342" s="10"/>
      <c r="G1342" s="10" t="s">
        <v>162</v>
      </c>
      <c r="H1342" s="30" t="n">
        <v>42941</v>
      </c>
      <c r="I1342" s="8" t="n">
        <f aca="false">INDEX(Parâmetros!$C$13:$C$19,MATCH(E1342,Parâmetros!$A$13:$A$19,0))</f>
        <v>550</v>
      </c>
      <c r="J1342" s="26" t="n">
        <f aca="false">IF(H1342="","",Parâmetros!$B$5-H1342)</f>
        <v>159</v>
      </c>
      <c r="K1342" s="10" t="n">
        <f aca="false">INDEX(Parâmetros!$D$13:$D$19,MATCH(E1342,Parâmetros!$A$13:$A$19,0))</f>
        <v>22</v>
      </c>
      <c r="L1342" s="10" t="n">
        <f aca="false">IF(G1342="Prospecting",Parâmetros!$B$9,IF(J1342&gt;Parâmetros!$B$6,0,INDEX(Parâmetros!$C$24:$C$26,MATCH(J1342,Parâmetros!$A$24:$A$26,1))))</f>
        <v>0</v>
      </c>
      <c r="M1342" s="31" t="n">
        <f aca="false">IF(G1342="Prospecting",1,INDEX(Parâmetros!$C$32:$C$35,MATCH(J1342,Parâmetros!$A$32:$A$35,1)))</f>
        <v>0.6</v>
      </c>
      <c r="N1342" s="2" t="n">
        <f aca="false">ROUND((K1342+L1342)*M1342,0)</f>
        <v>13</v>
      </c>
      <c r="O1342" s="10" t="str">
        <f aca="false">IF(AND(G1342="Engaging",J1342&gt;Parâmetros!$B$6),"Sim","Não")</f>
        <v>Sim</v>
      </c>
      <c r="P1342" s="32" t="str">
        <f aca="false">IF(O1342="Sim","R",IF(N1342&gt;=Parâmetros!$B$39,"A",IF(N1342&gt;=Parâmetros!$B$40,"B",IF(N1342&gt;=Parâmetros!$B$41,"C","D"))))</f>
        <v>R</v>
      </c>
      <c r="Q1342" s="10" t="str">
        <f aca="false">IF(F1342="","Completar cadastro","")</f>
        <v>Completar cadastro</v>
      </c>
      <c r="R1342" s="10" t="str">
        <f aca="false">INDEX(Parâmetros!$D$39:$D$43,MATCH(P1342,Parâmetros!$A$39:$A$43,0))</f>
        <v>Reciclar: requalificar, reengajar ou encerrar</v>
      </c>
    </row>
    <row r="1343" customFormat="false" ht="15" hidden="false" customHeight="false" outlineLevel="0" collapsed="false">
      <c r="A1343" s="10" t="s">
        <v>1589</v>
      </c>
      <c r="B1343" s="10" t="s">
        <v>81</v>
      </c>
      <c r="C1343" s="10" t="s">
        <v>78</v>
      </c>
      <c r="D1343" s="10" t="s">
        <v>196</v>
      </c>
      <c r="E1343" s="10" t="s">
        <v>51</v>
      </c>
      <c r="F1343" s="10" t="s">
        <v>218</v>
      </c>
      <c r="G1343" s="10" t="s">
        <v>162</v>
      </c>
      <c r="H1343" s="30" t="n">
        <v>42941</v>
      </c>
      <c r="I1343" s="8" t="n">
        <f aca="false">INDEX(Parâmetros!$C$13:$C$19,MATCH(E1343,Parâmetros!$A$13:$A$19,0))</f>
        <v>550</v>
      </c>
      <c r="J1343" s="26" t="n">
        <f aca="false">IF(H1343="","",Parâmetros!$B$5-H1343)</f>
        <v>159</v>
      </c>
      <c r="K1343" s="10" t="n">
        <f aca="false">INDEX(Parâmetros!$D$13:$D$19,MATCH(E1343,Parâmetros!$A$13:$A$19,0))</f>
        <v>22</v>
      </c>
      <c r="L1343" s="10" t="n">
        <f aca="false">IF(G1343="Prospecting",Parâmetros!$B$9,IF(J1343&gt;Parâmetros!$B$6,0,INDEX(Parâmetros!$C$24:$C$26,MATCH(J1343,Parâmetros!$A$24:$A$26,1))))</f>
        <v>0</v>
      </c>
      <c r="M1343" s="31" t="n">
        <f aca="false">IF(G1343="Prospecting",1,INDEX(Parâmetros!$C$32:$C$35,MATCH(J1343,Parâmetros!$A$32:$A$35,1)))</f>
        <v>0.6</v>
      </c>
      <c r="N1343" s="2" t="n">
        <f aca="false">ROUND((K1343+L1343)*M1343,0)</f>
        <v>13</v>
      </c>
      <c r="O1343" s="10" t="str">
        <f aca="false">IF(AND(G1343="Engaging",J1343&gt;Parâmetros!$B$6),"Sim","Não")</f>
        <v>Sim</v>
      </c>
      <c r="P1343" s="32" t="str">
        <f aca="false">IF(O1343="Sim","R",IF(N1343&gt;=Parâmetros!$B$39,"A",IF(N1343&gt;=Parâmetros!$B$40,"B",IF(N1343&gt;=Parâmetros!$B$41,"C","D"))))</f>
        <v>R</v>
      </c>
      <c r="Q1343" s="10" t="str">
        <f aca="false">IF(F1343="","Completar cadastro","")</f>
        <v/>
      </c>
      <c r="R1343" s="10" t="str">
        <f aca="false">INDEX(Parâmetros!$D$39:$D$43,MATCH(P1343,Parâmetros!$A$39:$A$43,0))</f>
        <v>Reciclar: requalificar, reengajar ou encerrar</v>
      </c>
    </row>
    <row r="1344" customFormat="false" ht="15" hidden="false" customHeight="false" outlineLevel="0" collapsed="false">
      <c r="A1344" s="10" t="s">
        <v>1590</v>
      </c>
      <c r="B1344" s="10" t="s">
        <v>75</v>
      </c>
      <c r="C1344" s="10" t="s">
        <v>72</v>
      </c>
      <c r="D1344" s="10" t="s">
        <v>196</v>
      </c>
      <c r="E1344" s="10" t="s">
        <v>51</v>
      </c>
      <c r="F1344" s="10"/>
      <c r="G1344" s="10" t="s">
        <v>162</v>
      </c>
      <c r="H1344" s="30" t="n">
        <v>42941</v>
      </c>
      <c r="I1344" s="8" t="n">
        <f aca="false">INDEX(Parâmetros!$C$13:$C$19,MATCH(E1344,Parâmetros!$A$13:$A$19,0))</f>
        <v>550</v>
      </c>
      <c r="J1344" s="26" t="n">
        <f aca="false">IF(H1344="","",Parâmetros!$B$5-H1344)</f>
        <v>159</v>
      </c>
      <c r="K1344" s="10" t="n">
        <f aca="false">INDEX(Parâmetros!$D$13:$D$19,MATCH(E1344,Parâmetros!$A$13:$A$19,0))</f>
        <v>22</v>
      </c>
      <c r="L1344" s="10" t="n">
        <f aca="false">IF(G1344="Prospecting",Parâmetros!$B$9,IF(J1344&gt;Parâmetros!$B$6,0,INDEX(Parâmetros!$C$24:$C$26,MATCH(J1344,Parâmetros!$A$24:$A$26,1))))</f>
        <v>0</v>
      </c>
      <c r="M1344" s="31" t="n">
        <f aca="false">IF(G1344="Prospecting",1,INDEX(Parâmetros!$C$32:$C$35,MATCH(J1344,Parâmetros!$A$32:$A$35,1)))</f>
        <v>0.6</v>
      </c>
      <c r="N1344" s="2" t="n">
        <f aca="false">ROUND((K1344+L1344)*M1344,0)</f>
        <v>13</v>
      </c>
      <c r="O1344" s="10" t="str">
        <f aca="false">IF(AND(G1344="Engaging",J1344&gt;Parâmetros!$B$6),"Sim","Não")</f>
        <v>Sim</v>
      </c>
      <c r="P1344" s="32" t="str">
        <f aca="false">IF(O1344="Sim","R",IF(N1344&gt;=Parâmetros!$B$39,"A",IF(N1344&gt;=Parâmetros!$B$40,"B",IF(N1344&gt;=Parâmetros!$B$41,"C","D"))))</f>
        <v>R</v>
      </c>
      <c r="Q1344" s="10" t="str">
        <f aca="false">IF(F1344="","Completar cadastro","")</f>
        <v>Completar cadastro</v>
      </c>
      <c r="R1344" s="10" t="str">
        <f aca="false">INDEX(Parâmetros!$D$39:$D$43,MATCH(P1344,Parâmetros!$A$39:$A$43,0))</f>
        <v>Reciclar: requalificar, reengajar ou encerrar</v>
      </c>
    </row>
    <row r="1345" customFormat="false" ht="15" hidden="false" customHeight="false" outlineLevel="0" collapsed="false">
      <c r="A1345" s="10" t="s">
        <v>1591</v>
      </c>
      <c r="B1345" s="10" t="s">
        <v>76</v>
      </c>
      <c r="C1345" s="10" t="s">
        <v>72</v>
      </c>
      <c r="D1345" s="10" t="s">
        <v>196</v>
      </c>
      <c r="E1345" s="10" t="s">
        <v>51</v>
      </c>
      <c r="F1345" s="10"/>
      <c r="G1345" s="10" t="s">
        <v>162</v>
      </c>
      <c r="H1345" s="30" t="n">
        <v>42941</v>
      </c>
      <c r="I1345" s="8" t="n">
        <f aca="false">INDEX(Parâmetros!$C$13:$C$19,MATCH(E1345,Parâmetros!$A$13:$A$19,0))</f>
        <v>550</v>
      </c>
      <c r="J1345" s="26" t="n">
        <f aca="false">IF(H1345="","",Parâmetros!$B$5-H1345)</f>
        <v>159</v>
      </c>
      <c r="K1345" s="10" t="n">
        <f aca="false">INDEX(Parâmetros!$D$13:$D$19,MATCH(E1345,Parâmetros!$A$13:$A$19,0))</f>
        <v>22</v>
      </c>
      <c r="L1345" s="10" t="n">
        <f aca="false">IF(G1345="Prospecting",Parâmetros!$B$9,IF(J1345&gt;Parâmetros!$B$6,0,INDEX(Parâmetros!$C$24:$C$26,MATCH(J1345,Parâmetros!$A$24:$A$26,1))))</f>
        <v>0</v>
      </c>
      <c r="M1345" s="31" t="n">
        <f aca="false">IF(G1345="Prospecting",1,INDEX(Parâmetros!$C$32:$C$35,MATCH(J1345,Parâmetros!$A$32:$A$35,1)))</f>
        <v>0.6</v>
      </c>
      <c r="N1345" s="2" t="n">
        <f aca="false">ROUND((K1345+L1345)*M1345,0)</f>
        <v>13</v>
      </c>
      <c r="O1345" s="10" t="str">
        <f aca="false">IF(AND(G1345="Engaging",J1345&gt;Parâmetros!$B$6),"Sim","Não")</f>
        <v>Sim</v>
      </c>
      <c r="P1345" s="32" t="str">
        <f aca="false">IF(O1345="Sim","R",IF(N1345&gt;=Parâmetros!$B$39,"A",IF(N1345&gt;=Parâmetros!$B$40,"B",IF(N1345&gt;=Parâmetros!$B$41,"C","D"))))</f>
        <v>R</v>
      </c>
      <c r="Q1345" s="10" t="str">
        <f aca="false">IF(F1345="","Completar cadastro","")</f>
        <v>Completar cadastro</v>
      </c>
      <c r="R1345" s="10" t="str">
        <f aca="false">INDEX(Parâmetros!$D$39:$D$43,MATCH(P1345,Parâmetros!$A$39:$A$43,0))</f>
        <v>Reciclar: requalificar, reengajar ou encerrar</v>
      </c>
    </row>
    <row r="1346" customFormat="false" ht="15" hidden="false" customHeight="false" outlineLevel="0" collapsed="false">
      <c r="A1346" s="10" t="s">
        <v>1592</v>
      </c>
      <c r="B1346" s="10" t="s">
        <v>80</v>
      </c>
      <c r="C1346" s="10" t="s">
        <v>78</v>
      </c>
      <c r="D1346" s="10" t="s">
        <v>196</v>
      </c>
      <c r="E1346" s="10" t="s">
        <v>51</v>
      </c>
      <c r="F1346" s="10"/>
      <c r="G1346" s="10" t="s">
        <v>162</v>
      </c>
      <c r="H1346" s="30" t="n">
        <v>42942</v>
      </c>
      <c r="I1346" s="8" t="n">
        <f aca="false">INDEX(Parâmetros!$C$13:$C$19,MATCH(E1346,Parâmetros!$A$13:$A$19,0))</f>
        <v>550</v>
      </c>
      <c r="J1346" s="26" t="n">
        <f aca="false">IF(H1346="","",Parâmetros!$B$5-H1346)</f>
        <v>158</v>
      </c>
      <c r="K1346" s="10" t="n">
        <f aca="false">INDEX(Parâmetros!$D$13:$D$19,MATCH(E1346,Parâmetros!$A$13:$A$19,0))</f>
        <v>22</v>
      </c>
      <c r="L1346" s="10" t="n">
        <f aca="false">IF(G1346="Prospecting",Parâmetros!$B$9,IF(J1346&gt;Parâmetros!$B$6,0,INDEX(Parâmetros!$C$24:$C$26,MATCH(J1346,Parâmetros!$A$24:$A$26,1))))</f>
        <v>0</v>
      </c>
      <c r="M1346" s="31" t="n">
        <f aca="false">IF(G1346="Prospecting",1,INDEX(Parâmetros!$C$32:$C$35,MATCH(J1346,Parâmetros!$A$32:$A$35,1)))</f>
        <v>0.6</v>
      </c>
      <c r="N1346" s="2" t="n">
        <f aca="false">ROUND((K1346+L1346)*M1346,0)</f>
        <v>13</v>
      </c>
      <c r="O1346" s="10" t="str">
        <f aca="false">IF(AND(G1346="Engaging",J1346&gt;Parâmetros!$B$6),"Sim","Não")</f>
        <v>Sim</v>
      </c>
      <c r="P1346" s="32" t="str">
        <f aca="false">IF(O1346="Sim","R",IF(N1346&gt;=Parâmetros!$B$39,"A",IF(N1346&gt;=Parâmetros!$B$40,"B",IF(N1346&gt;=Parâmetros!$B$41,"C","D"))))</f>
        <v>R</v>
      </c>
      <c r="Q1346" s="10" t="str">
        <f aca="false">IF(F1346="","Completar cadastro","")</f>
        <v>Completar cadastro</v>
      </c>
      <c r="R1346" s="10" t="str">
        <f aca="false">INDEX(Parâmetros!$D$39:$D$43,MATCH(P1346,Parâmetros!$A$39:$A$43,0))</f>
        <v>Reciclar: requalificar, reengajar ou encerrar</v>
      </c>
    </row>
    <row r="1347" customFormat="false" ht="15" hidden="false" customHeight="false" outlineLevel="0" collapsed="false">
      <c r="A1347" s="10" t="s">
        <v>1593</v>
      </c>
      <c r="B1347" s="10" t="s">
        <v>97</v>
      </c>
      <c r="C1347" s="10" t="s">
        <v>92</v>
      </c>
      <c r="D1347" s="10" t="s">
        <v>160</v>
      </c>
      <c r="E1347" s="10" t="s">
        <v>51</v>
      </c>
      <c r="F1347" s="10"/>
      <c r="G1347" s="10" t="s">
        <v>162</v>
      </c>
      <c r="H1347" s="30" t="n">
        <v>42942</v>
      </c>
      <c r="I1347" s="8" t="n">
        <f aca="false">INDEX(Parâmetros!$C$13:$C$19,MATCH(E1347,Parâmetros!$A$13:$A$19,0))</f>
        <v>550</v>
      </c>
      <c r="J1347" s="26" t="n">
        <f aca="false">IF(H1347="","",Parâmetros!$B$5-H1347)</f>
        <v>158</v>
      </c>
      <c r="K1347" s="10" t="n">
        <f aca="false">INDEX(Parâmetros!$D$13:$D$19,MATCH(E1347,Parâmetros!$A$13:$A$19,0))</f>
        <v>22</v>
      </c>
      <c r="L1347" s="10" t="n">
        <f aca="false">IF(G1347="Prospecting",Parâmetros!$B$9,IF(J1347&gt;Parâmetros!$B$6,0,INDEX(Parâmetros!$C$24:$C$26,MATCH(J1347,Parâmetros!$A$24:$A$26,1))))</f>
        <v>0</v>
      </c>
      <c r="M1347" s="31" t="n">
        <f aca="false">IF(G1347="Prospecting",1,INDEX(Parâmetros!$C$32:$C$35,MATCH(J1347,Parâmetros!$A$32:$A$35,1)))</f>
        <v>0.6</v>
      </c>
      <c r="N1347" s="2" t="n">
        <f aca="false">ROUND((K1347+L1347)*M1347,0)</f>
        <v>13</v>
      </c>
      <c r="O1347" s="10" t="str">
        <f aca="false">IF(AND(G1347="Engaging",J1347&gt;Parâmetros!$B$6),"Sim","Não")</f>
        <v>Sim</v>
      </c>
      <c r="P1347" s="32" t="str">
        <f aca="false">IF(O1347="Sim","R",IF(N1347&gt;=Parâmetros!$B$39,"A",IF(N1347&gt;=Parâmetros!$B$40,"B",IF(N1347&gt;=Parâmetros!$B$41,"C","D"))))</f>
        <v>R</v>
      </c>
      <c r="Q1347" s="10" t="str">
        <f aca="false">IF(F1347="","Completar cadastro","")</f>
        <v>Completar cadastro</v>
      </c>
      <c r="R1347" s="10" t="str">
        <f aca="false">INDEX(Parâmetros!$D$39:$D$43,MATCH(P1347,Parâmetros!$A$39:$A$43,0))</f>
        <v>Reciclar: requalificar, reengajar ou encerrar</v>
      </c>
    </row>
    <row r="1348" customFormat="false" ht="15" hidden="false" customHeight="false" outlineLevel="0" collapsed="false">
      <c r="A1348" s="10" t="s">
        <v>1594</v>
      </c>
      <c r="B1348" s="10" t="s">
        <v>80</v>
      </c>
      <c r="C1348" s="10" t="s">
        <v>78</v>
      </c>
      <c r="D1348" s="10" t="s">
        <v>196</v>
      </c>
      <c r="E1348" s="10" t="s">
        <v>51</v>
      </c>
      <c r="F1348" s="10"/>
      <c r="G1348" s="10" t="s">
        <v>162</v>
      </c>
      <c r="H1348" s="30" t="n">
        <v>42943</v>
      </c>
      <c r="I1348" s="8" t="n">
        <f aca="false">INDEX(Parâmetros!$C$13:$C$19,MATCH(E1348,Parâmetros!$A$13:$A$19,0))</f>
        <v>550</v>
      </c>
      <c r="J1348" s="26" t="n">
        <f aca="false">IF(H1348="","",Parâmetros!$B$5-H1348)</f>
        <v>157</v>
      </c>
      <c r="K1348" s="10" t="n">
        <f aca="false">INDEX(Parâmetros!$D$13:$D$19,MATCH(E1348,Parâmetros!$A$13:$A$19,0))</f>
        <v>22</v>
      </c>
      <c r="L1348" s="10" t="n">
        <f aca="false">IF(G1348="Prospecting",Parâmetros!$B$9,IF(J1348&gt;Parâmetros!$B$6,0,INDEX(Parâmetros!$C$24:$C$26,MATCH(J1348,Parâmetros!$A$24:$A$26,1))))</f>
        <v>0</v>
      </c>
      <c r="M1348" s="31" t="n">
        <f aca="false">IF(G1348="Prospecting",1,INDEX(Parâmetros!$C$32:$C$35,MATCH(J1348,Parâmetros!$A$32:$A$35,1)))</f>
        <v>0.6</v>
      </c>
      <c r="N1348" s="2" t="n">
        <f aca="false">ROUND((K1348+L1348)*M1348,0)</f>
        <v>13</v>
      </c>
      <c r="O1348" s="10" t="str">
        <f aca="false">IF(AND(G1348="Engaging",J1348&gt;Parâmetros!$B$6),"Sim","Não")</f>
        <v>Sim</v>
      </c>
      <c r="P1348" s="32" t="str">
        <f aca="false">IF(O1348="Sim","R",IF(N1348&gt;=Parâmetros!$B$39,"A",IF(N1348&gt;=Parâmetros!$B$40,"B",IF(N1348&gt;=Parâmetros!$B$41,"C","D"))))</f>
        <v>R</v>
      </c>
      <c r="Q1348" s="10" t="str">
        <f aca="false">IF(F1348="","Completar cadastro","")</f>
        <v>Completar cadastro</v>
      </c>
      <c r="R1348" s="10" t="str">
        <f aca="false">INDEX(Parâmetros!$D$39:$D$43,MATCH(P1348,Parâmetros!$A$39:$A$43,0))</f>
        <v>Reciclar: requalificar, reengajar ou encerrar</v>
      </c>
    </row>
    <row r="1349" customFormat="false" ht="15" hidden="false" customHeight="false" outlineLevel="0" collapsed="false">
      <c r="A1349" s="10" t="s">
        <v>1595</v>
      </c>
      <c r="B1349" s="10" t="s">
        <v>80</v>
      </c>
      <c r="C1349" s="10" t="s">
        <v>78</v>
      </c>
      <c r="D1349" s="10" t="s">
        <v>196</v>
      </c>
      <c r="E1349" s="10" t="s">
        <v>51</v>
      </c>
      <c r="F1349" s="10"/>
      <c r="G1349" s="10" t="s">
        <v>162</v>
      </c>
      <c r="H1349" s="30" t="n">
        <v>42943</v>
      </c>
      <c r="I1349" s="8" t="n">
        <f aca="false">INDEX(Parâmetros!$C$13:$C$19,MATCH(E1349,Parâmetros!$A$13:$A$19,0))</f>
        <v>550</v>
      </c>
      <c r="J1349" s="26" t="n">
        <f aca="false">IF(H1349="","",Parâmetros!$B$5-H1349)</f>
        <v>157</v>
      </c>
      <c r="K1349" s="10" t="n">
        <f aca="false">INDEX(Parâmetros!$D$13:$D$19,MATCH(E1349,Parâmetros!$A$13:$A$19,0))</f>
        <v>22</v>
      </c>
      <c r="L1349" s="10" t="n">
        <f aca="false">IF(G1349="Prospecting",Parâmetros!$B$9,IF(J1349&gt;Parâmetros!$B$6,0,INDEX(Parâmetros!$C$24:$C$26,MATCH(J1349,Parâmetros!$A$24:$A$26,1))))</f>
        <v>0</v>
      </c>
      <c r="M1349" s="31" t="n">
        <f aca="false">IF(G1349="Prospecting",1,INDEX(Parâmetros!$C$32:$C$35,MATCH(J1349,Parâmetros!$A$32:$A$35,1)))</f>
        <v>0.6</v>
      </c>
      <c r="N1349" s="2" t="n">
        <f aca="false">ROUND((K1349+L1349)*M1349,0)</f>
        <v>13</v>
      </c>
      <c r="O1349" s="10" t="str">
        <f aca="false">IF(AND(G1349="Engaging",J1349&gt;Parâmetros!$B$6),"Sim","Não")</f>
        <v>Sim</v>
      </c>
      <c r="P1349" s="32" t="str">
        <f aca="false">IF(O1349="Sim","R",IF(N1349&gt;=Parâmetros!$B$39,"A",IF(N1349&gt;=Parâmetros!$B$40,"B",IF(N1349&gt;=Parâmetros!$B$41,"C","D"))))</f>
        <v>R</v>
      </c>
      <c r="Q1349" s="10" t="str">
        <f aca="false">IF(F1349="","Completar cadastro","")</f>
        <v>Completar cadastro</v>
      </c>
      <c r="R1349" s="10" t="str">
        <f aca="false">INDEX(Parâmetros!$D$39:$D$43,MATCH(P1349,Parâmetros!$A$39:$A$43,0))</f>
        <v>Reciclar: requalificar, reengajar ou encerrar</v>
      </c>
    </row>
    <row r="1350" customFormat="false" ht="15" hidden="false" customHeight="false" outlineLevel="0" collapsed="false">
      <c r="A1350" s="10" t="s">
        <v>1596</v>
      </c>
      <c r="B1350" s="10" t="s">
        <v>81</v>
      </c>
      <c r="C1350" s="10" t="s">
        <v>78</v>
      </c>
      <c r="D1350" s="10" t="s">
        <v>196</v>
      </c>
      <c r="E1350" s="10" t="s">
        <v>51</v>
      </c>
      <c r="F1350" s="10"/>
      <c r="G1350" s="10" t="s">
        <v>162</v>
      </c>
      <c r="H1350" s="30" t="n">
        <v>42943</v>
      </c>
      <c r="I1350" s="8" t="n">
        <f aca="false">INDEX(Parâmetros!$C$13:$C$19,MATCH(E1350,Parâmetros!$A$13:$A$19,0))</f>
        <v>550</v>
      </c>
      <c r="J1350" s="26" t="n">
        <f aca="false">IF(H1350="","",Parâmetros!$B$5-H1350)</f>
        <v>157</v>
      </c>
      <c r="K1350" s="10" t="n">
        <f aca="false">INDEX(Parâmetros!$D$13:$D$19,MATCH(E1350,Parâmetros!$A$13:$A$19,0))</f>
        <v>22</v>
      </c>
      <c r="L1350" s="10" t="n">
        <f aca="false">IF(G1350="Prospecting",Parâmetros!$B$9,IF(J1350&gt;Parâmetros!$B$6,0,INDEX(Parâmetros!$C$24:$C$26,MATCH(J1350,Parâmetros!$A$24:$A$26,1))))</f>
        <v>0</v>
      </c>
      <c r="M1350" s="31" t="n">
        <f aca="false">IF(G1350="Prospecting",1,INDEX(Parâmetros!$C$32:$C$35,MATCH(J1350,Parâmetros!$A$32:$A$35,1)))</f>
        <v>0.6</v>
      </c>
      <c r="N1350" s="2" t="n">
        <f aca="false">ROUND((K1350+L1350)*M1350,0)</f>
        <v>13</v>
      </c>
      <c r="O1350" s="10" t="str">
        <f aca="false">IF(AND(G1350="Engaging",J1350&gt;Parâmetros!$B$6),"Sim","Não")</f>
        <v>Sim</v>
      </c>
      <c r="P1350" s="32" t="str">
        <f aca="false">IF(O1350="Sim","R",IF(N1350&gt;=Parâmetros!$B$39,"A",IF(N1350&gt;=Parâmetros!$B$40,"B",IF(N1350&gt;=Parâmetros!$B$41,"C","D"))))</f>
        <v>R</v>
      </c>
      <c r="Q1350" s="10" t="str">
        <f aca="false">IF(F1350="","Completar cadastro","")</f>
        <v>Completar cadastro</v>
      </c>
      <c r="R1350" s="10" t="str">
        <f aca="false">INDEX(Parâmetros!$D$39:$D$43,MATCH(P1350,Parâmetros!$A$39:$A$43,0))</f>
        <v>Reciclar: requalificar, reengajar ou encerrar</v>
      </c>
    </row>
    <row r="1351" customFormat="false" ht="15" hidden="false" customHeight="false" outlineLevel="0" collapsed="false">
      <c r="A1351" s="10" t="s">
        <v>1597</v>
      </c>
      <c r="B1351" s="10" t="s">
        <v>75</v>
      </c>
      <c r="C1351" s="10" t="s">
        <v>72</v>
      </c>
      <c r="D1351" s="10" t="s">
        <v>196</v>
      </c>
      <c r="E1351" s="10" t="s">
        <v>51</v>
      </c>
      <c r="F1351" s="10"/>
      <c r="G1351" s="10" t="s">
        <v>162</v>
      </c>
      <c r="H1351" s="30" t="n">
        <v>42943</v>
      </c>
      <c r="I1351" s="8" t="n">
        <f aca="false">INDEX(Parâmetros!$C$13:$C$19,MATCH(E1351,Parâmetros!$A$13:$A$19,0))</f>
        <v>550</v>
      </c>
      <c r="J1351" s="26" t="n">
        <f aca="false">IF(H1351="","",Parâmetros!$B$5-H1351)</f>
        <v>157</v>
      </c>
      <c r="K1351" s="10" t="n">
        <f aca="false">INDEX(Parâmetros!$D$13:$D$19,MATCH(E1351,Parâmetros!$A$13:$A$19,0))</f>
        <v>22</v>
      </c>
      <c r="L1351" s="10" t="n">
        <f aca="false">IF(G1351="Prospecting",Parâmetros!$B$9,IF(J1351&gt;Parâmetros!$B$6,0,INDEX(Parâmetros!$C$24:$C$26,MATCH(J1351,Parâmetros!$A$24:$A$26,1))))</f>
        <v>0</v>
      </c>
      <c r="M1351" s="31" t="n">
        <f aca="false">IF(G1351="Prospecting",1,INDEX(Parâmetros!$C$32:$C$35,MATCH(J1351,Parâmetros!$A$32:$A$35,1)))</f>
        <v>0.6</v>
      </c>
      <c r="N1351" s="2" t="n">
        <f aca="false">ROUND((K1351+L1351)*M1351,0)</f>
        <v>13</v>
      </c>
      <c r="O1351" s="10" t="str">
        <f aca="false">IF(AND(G1351="Engaging",J1351&gt;Parâmetros!$B$6),"Sim","Não")</f>
        <v>Sim</v>
      </c>
      <c r="P1351" s="32" t="str">
        <f aca="false">IF(O1351="Sim","R",IF(N1351&gt;=Parâmetros!$B$39,"A",IF(N1351&gt;=Parâmetros!$B$40,"B",IF(N1351&gt;=Parâmetros!$B$41,"C","D"))))</f>
        <v>R</v>
      </c>
      <c r="Q1351" s="10" t="str">
        <f aca="false">IF(F1351="","Completar cadastro","")</f>
        <v>Completar cadastro</v>
      </c>
      <c r="R1351" s="10" t="str">
        <f aca="false">INDEX(Parâmetros!$D$39:$D$43,MATCH(P1351,Parâmetros!$A$39:$A$43,0))</f>
        <v>Reciclar: requalificar, reengajar ou encerrar</v>
      </c>
    </row>
    <row r="1352" customFormat="false" ht="15" hidden="false" customHeight="false" outlineLevel="0" collapsed="false">
      <c r="A1352" s="10" t="s">
        <v>1598</v>
      </c>
      <c r="B1352" s="10" t="s">
        <v>83</v>
      </c>
      <c r="C1352" s="10" t="s">
        <v>78</v>
      </c>
      <c r="D1352" s="10" t="s">
        <v>196</v>
      </c>
      <c r="E1352" s="10" t="s">
        <v>51</v>
      </c>
      <c r="F1352" s="10"/>
      <c r="G1352" s="10" t="s">
        <v>162</v>
      </c>
      <c r="H1352" s="30" t="n">
        <v>42943</v>
      </c>
      <c r="I1352" s="8" t="n">
        <f aca="false">INDEX(Parâmetros!$C$13:$C$19,MATCH(E1352,Parâmetros!$A$13:$A$19,0))</f>
        <v>550</v>
      </c>
      <c r="J1352" s="26" t="n">
        <f aca="false">IF(H1352="","",Parâmetros!$B$5-H1352)</f>
        <v>157</v>
      </c>
      <c r="K1352" s="10" t="n">
        <f aca="false">INDEX(Parâmetros!$D$13:$D$19,MATCH(E1352,Parâmetros!$A$13:$A$19,0))</f>
        <v>22</v>
      </c>
      <c r="L1352" s="10" t="n">
        <f aca="false">IF(G1352="Prospecting",Parâmetros!$B$9,IF(J1352&gt;Parâmetros!$B$6,0,INDEX(Parâmetros!$C$24:$C$26,MATCH(J1352,Parâmetros!$A$24:$A$26,1))))</f>
        <v>0</v>
      </c>
      <c r="M1352" s="31" t="n">
        <f aca="false">IF(G1352="Prospecting",1,INDEX(Parâmetros!$C$32:$C$35,MATCH(J1352,Parâmetros!$A$32:$A$35,1)))</f>
        <v>0.6</v>
      </c>
      <c r="N1352" s="2" t="n">
        <f aca="false">ROUND((K1352+L1352)*M1352,0)</f>
        <v>13</v>
      </c>
      <c r="O1352" s="10" t="str">
        <f aca="false">IF(AND(G1352="Engaging",J1352&gt;Parâmetros!$B$6),"Sim","Não")</f>
        <v>Sim</v>
      </c>
      <c r="P1352" s="32" t="str">
        <f aca="false">IF(O1352="Sim","R",IF(N1352&gt;=Parâmetros!$B$39,"A",IF(N1352&gt;=Parâmetros!$B$40,"B",IF(N1352&gt;=Parâmetros!$B$41,"C","D"))))</f>
        <v>R</v>
      </c>
      <c r="Q1352" s="10" t="str">
        <f aca="false">IF(F1352="","Completar cadastro","")</f>
        <v>Completar cadastro</v>
      </c>
      <c r="R1352" s="10" t="str">
        <f aca="false">INDEX(Parâmetros!$D$39:$D$43,MATCH(P1352,Parâmetros!$A$39:$A$43,0))</f>
        <v>Reciclar: requalificar, reengajar ou encerrar</v>
      </c>
    </row>
    <row r="1353" customFormat="false" ht="15" hidden="false" customHeight="false" outlineLevel="0" collapsed="false">
      <c r="A1353" s="10" t="s">
        <v>1599</v>
      </c>
      <c r="B1353" s="10" t="s">
        <v>71</v>
      </c>
      <c r="C1353" s="10" t="s">
        <v>72</v>
      </c>
      <c r="D1353" s="10" t="s">
        <v>196</v>
      </c>
      <c r="E1353" s="10" t="s">
        <v>51</v>
      </c>
      <c r="F1353" s="10" t="s">
        <v>532</v>
      </c>
      <c r="G1353" s="10" t="s">
        <v>162</v>
      </c>
      <c r="H1353" s="30" t="n">
        <v>42944</v>
      </c>
      <c r="I1353" s="8" t="n">
        <f aca="false">INDEX(Parâmetros!$C$13:$C$19,MATCH(E1353,Parâmetros!$A$13:$A$19,0))</f>
        <v>550</v>
      </c>
      <c r="J1353" s="26" t="n">
        <f aca="false">IF(H1353="","",Parâmetros!$B$5-H1353)</f>
        <v>156</v>
      </c>
      <c r="K1353" s="10" t="n">
        <f aca="false">INDEX(Parâmetros!$D$13:$D$19,MATCH(E1353,Parâmetros!$A$13:$A$19,0))</f>
        <v>22</v>
      </c>
      <c r="L1353" s="10" t="n">
        <f aca="false">IF(G1353="Prospecting",Parâmetros!$B$9,IF(J1353&gt;Parâmetros!$B$6,0,INDEX(Parâmetros!$C$24:$C$26,MATCH(J1353,Parâmetros!$A$24:$A$26,1))))</f>
        <v>0</v>
      </c>
      <c r="M1353" s="31" t="n">
        <f aca="false">IF(G1353="Prospecting",1,INDEX(Parâmetros!$C$32:$C$35,MATCH(J1353,Parâmetros!$A$32:$A$35,1)))</f>
        <v>0.6</v>
      </c>
      <c r="N1353" s="2" t="n">
        <f aca="false">ROUND((K1353+L1353)*M1353,0)</f>
        <v>13</v>
      </c>
      <c r="O1353" s="10" t="str">
        <f aca="false">IF(AND(G1353="Engaging",J1353&gt;Parâmetros!$B$6),"Sim","Não")</f>
        <v>Sim</v>
      </c>
      <c r="P1353" s="32" t="str">
        <f aca="false">IF(O1353="Sim","R",IF(N1353&gt;=Parâmetros!$B$39,"A",IF(N1353&gt;=Parâmetros!$B$40,"B",IF(N1353&gt;=Parâmetros!$B$41,"C","D"))))</f>
        <v>R</v>
      </c>
      <c r="Q1353" s="10" t="str">
        <f aca="false">IF(F1353="","Completar cadastro","")</f>
        <v/>
      </c>
      <c r="R1353" s="10" t="str">
        <f aca="false">INDEX(Parâmetros!$D$39:$D$43,MATCH(P1353,Parâmetros!$A$39:$A$43,0))</f>
        <v>Reciclar: requalificar, reengajar ou encerrar</v>
      </c>
    </row>
    <row r="1354" customFormat="false" ht="15" hidden="false" customHeight="false" outlineLevel="0" collapsed="false">
      <c r="A1354" s="10" t="s">
        <v>1600</v>
      </c>
      <c r="B1354" s="10" t="s">
        <v>84</v>
      </c>
      <c r="C1354" s="10" t="s">
        <v>85</v>
      </c>
      <c r="D1354" s="10" t="s">
        <v>165</v>
      </c>
      <c r="E1354" s="10" t="s">
        <v>51</v>
      </c>
      <c r="F1354" s="10"/>
      <c r="G1354" s="10" t="s">
        <v>162</v>
      </c>
      <c r="H1354" s="30" t="n">
        <v>42944</v>
      </c>
      <c r="I1354" s="8" t="n">
        <f aca="false">INDEX(Parâmetros!$C$13:$C$19,MATCH(E1354,Parâmetros!$A$13:$A$19,0))</f>
        <v>550</v>
      </c>
      <c r="J1354" s="26" t="n">
        <f aca="false">IF(H1354="","",Parâmetros!$B$5-H1354)</f>
        <v>156</v>
      </c>
      <c r="K1354" s="10" t="n">
        <f aca="false">INDEX(Parâmetros!$D$13:$D$19,MATCH(E1354,Parâmetros!$A$13:$A$19,0))</f>
        <v>22</v>
      </c>
      <c r="L1354" s="10" t="n">
        <f aca="false">IF(G1354="Prospecting",Parâmetros!$B$9,IF(J1354&gt;Parâmetros!$B$6,0,INDEX(Parâmetros!$C$24:$C$26,MATCH(J1354,Parâmetros!$A$24:$A$26,1))))</f>
        <v>0</v>
      </c>
      <c r="M1354" s="31" t="n">
        <f aca="false">IF(G1354="Prospecting",1,INDEX(Parâmetros!$C$32:$C$35,MATCH(J1354,Parâmetros!$A$32:$A$35,1)))</f>
        <v>0.6</v>
      </c>
      <c r="N1354" s="2" t="n">
        <f aca="false">ROUND((K1354+L1354)*M1354,0)</f>
        <v>13</v>
      </c>
      <c r="O1354" s="10" t="str">
        <f aca="false">IF(AND(G1354="Engaging",J1354&gt;Parâmetros!$B$6),"Sim","Não")</f>
        <v>Sim</v>
      </c>
      <c r="P1354" s="32" t="str">
        <f aca="false">IF(O1354="Sim","R",IF(N1354&gt;=Parâmetros!$B$39,"A",IF(N1354&gt;=Parâmetros!$B$40,"B",IF(N1354&gt;=Parâmetros!$B$41,"C","D"))))</f>
        <v>R</v>
      </c>
      <c r="Q1354" s="10" t="str">
        <f aca="false">IF(F1354="","Completar cadastro","")</f>
        <v>Completar cadastro</v>
      </c>
      <c r="R1354" s="10" t="str">
        <f aca="false">INDEX(Parâmetros!$D$39:$D$43,MATCH(P1354,Parâmetros!$A$39:$A$43,0))</f>
        <v>Reciclar: requalificar, reengajar ou encerrar</v>
      </c>
    </row>
    <row r="1355" customFormat="false" ht="15" hidden="false" customHeight="false" outlineLevel="0" collapsed="false">
      <c r="A1355" s="10" t="s">
        <v>1601</v>
      </c>
      <c r="B1355" s="10" t="s">
        <v>80</v>
      </c>
      <c r="C1355" s="10" t="s">
        <v>78</v>
      </c>
      <c r="D1355" s="10" t="s">
        <v>196</v>
      </c>
      <c r="E1355" s="10" t="s">
        <v>51</v>
      </c>
      <c r="F1355" s="10"/>
      <c r="G1355" s="10" t="s">
        <v>162</v>
      </c>
      <c r="H1355" s="30" t="n">
        <v>42944</v>
      </c>
      <c r="I1355" s="8" t="n">
        <f aca="false">INDEX(Parâmetros!$C$13:$C$19,MATCH(E1355,Parâmetros!$A$13:$A$19,0))</f>
        <v>550</v>
      </c>
      <c r="J1355" s="26" t="n">
        <f aca="false">IF(H1355="","",Parâmetros!$B$5-H1355)</f>
        <v>156</v>
      </c>
      <c r="K1355" s="10" t="n">
        <f aca="false">INDEX(Parâmetros!$D$13:$D$19,MATCH(E1355,Parâmetros!$A$13:$A$19,0))</f>
        <v>22</v>
      </c>
      <c r="L1355" s="10" t="n">
        <f aca="false">IF(G1355="Prospecting",Parâmetros!$B$9,IF(J1355&gt;Parâmetros!$B$6,0,INDEX(Parâmetros!$C$24:$C$26,MATCH(J1355,Parâmetros!$A$24:$A$26,1))))</f>
        <v>0</v>
      </c>
      <c r="M1355" s="31" t="n">
        <f aca="false">IF(G1355="Prospecting",1,INDEX(Parâmetros!$C$32:$C$35,MATCH(J1355,Parâmetros!$A$32:$A$35,1)))</f>
        <v>0.6</v>
      </c>
      <c r="N1355" s="2" t="n">
        <f aca="false">ROUND((K1355+L1355)*M1355,0)</f>
        <v>13</v>
      </c>
      <c r="O1355" s="10" t="str">
        <f aca="false">IF(AND(G1355="Engaging",J1355&gt;Parâmetros!$B$6),"Sim","Não")</f>
        <v>Sim</v>
      </c>
      <c r="P1355" s="32" t="str">
        <f aca="false">IF(O1355="Sim","R",IF(N1355&gt;=Parâmetros!$B$39,"A",IF(N1355&gt;=Parâmetros!$B$40,"B",IF(N1355&gt;=Parâmetros!$B$41,"C","D"))))</f>
        <v>R</v>
      </c>
      <c r="Q1355" s="10" t="str">
        <f aca="false">IF(F1355="","Completar cadastro","")</f>
        <v>Completar cadastro</v>
      </c>
      <c r="R1355" s="10" t="str">
        <f aca="false">INDEX(Parâmetros!$D$39:$D$43,MATCH(P1355,Parâmetros!$A$39:$A$43,0))</f>
        <v>Reciclar: requalificar, reengajar ou encerrar</v>
      </c>
    </row>
    <row r="1356" customFormat="false" ht="15" hidden="false" customHeight="false" outlineLevel="0" collapsed="false">
      <c r="A1356" s="10" t="s">
        <v>1602</v>
      </c>
      <c r="B1356" s="10" t="s">
        <v>74</v>
      </c>
      <c r="C1356" s="10" t="s">
        <v>72</v>
      </c>
      <c r="D1356" s="10" t="s">
        <v>196</v>
      </c>
      <c r="E1356" s="10" t="s">
        <v>51</v>
      </c>
      <c r="F1356" s="10" t="s">
        <v>384</v>
      </c>
      <c r="G1356" s="10" t="s">
        <v>162</v>
      </c>
      <c r="H1356" s="30" t="n">
        <v>42944</v>
      </c>
      <c r="I1356" s="8" t="n">
        <f aca="false">INDEX(Parâmetros!$C$13:$C$19,MATCH(E1356,Parâmetros!$A$13:$A$19,0))</f>
        <v>550</v>
      </c>
      <c r="J1356" s="26" t="n">
        <f aca="false">IF(H1356="","",Parâmetros!$B$5-H1356)</f>
        <v>156</v>
      </c>
      <c r="K1356" s="10" t="n">
        <f aca="false">INDEX(Parâmetros!$D$13:$D$19,MATCH(E1356,Parâmetros!$A$13:$A$19,0))</f>
        <v>22</v>
      </c>
      <c r="L1356" s="10" t="n">
        <f aca="false">IF(G1356="Prospecting",Parâmetros!$B$9,IF(J1356&gt;Parâmetros!$B$6,0,INDEX(Parâmetros!$C$24:$C$26,MATCH(J1356,Parâmetros!$A$24:$A$26,1))))</f>
        <v>0</v>
      </c>
      <c r="M1356" s="31" t="n">
        <f aca="false">IF(G1356="Prospecting",1,INDEX(Parâmetros!$C$32:$C$35,MATCH(J1356,Parâmetros!$A$32:$A$35,1)))</f>
        <v>0.6</v>
      </c>
      <c r="N1356" s="2" t="n">
        <f aca="false">ROUND((K1356+L1356)*M1356,0)</f>
        <v>13</v>
      </c>
      <c r="O1356" s="10" t="str">
        <f aca="false">IF(AND(G1356="Engaging",J1356&gt;Parâmetros!$B$6),"Sim","Não")</f>
        <v>Sim</v>
      </c>
      <c r="P1356" s="32" t="str">
        <f aca="false">IF(O1356="Sim","R",IF(N1356&gt;=Parâmetros!$B$39,"A",IF(N1356&gt;=Parâmetros!$B$40,"B",IF(N1356&gt;=Parâmetros!$B$41,"C","D"))))</f>
        <v>R</v>
      </c>
      <c r="Q1356" s="10" t="str">
        <f aca="false">IF(F1356="","Completar cadastro","")</f>
        <v/>
      </c>
      <c r="R1356" s="10" t="str">
        <f aca="false">INDEX(Parâmetros!$D$39:$D$43,MATCH(P1356,Parâmetros!$A$39:$A$43,0))</f>
        <v>Reciclar: requalificar, reengajar ou encerrar</v>
      </c>
    </row>
    <row r="1357" customFormat="false" ht="15" hidden="false" customHeight="false" outlineLevel="0" collapsed="false">
      <c r="A1357" s="10" t="s">
        <v>1603</v>
      </c>
      <c r="B1357" s="10" t="s">
        <v>74</v>
      </c>
      <c r="C1357" s="10" t="s">
        <v>72</v>
      </c>
      <c r="D1357" s="10" t="s">
        <v>196</v>
      </c>
      <c r="E1357" s="10" t="s">
        <v>51</v>
      </c>
      <c r="F1357" s="10"/>
      <c r="G1357" s="10" t="s">
        <v>162</v>
      </c>
      <c r="H1357" s="30" t="n">
        <v>42944</v>
      </c>
      <c r="I1357" s="8" t="n">
        <f aca="false">INDEX(Parâmetros!$C$13:$C$19,MATCH(E1357,Parâmetros!$A$13:$A$19,0))</f>
        <v>550</v>
      </c>
      <c r="J1357" s="26" t="n">
        <f aca="false">IF(H1357="","",Parâmetros!$B$5-H1357)</f>
        <v>156</v>
      </c>
      <c r="K1357" s="10" t="n">
        <f aca="false">INDEX(Parâmetros!$D$13:$D$19,MATCH(E1357,Parâmetros!$A$13:$A$19,0))</f>
        <v>22</v>
      </c>
      <c r="L1357" s="10" t="n">
        <f aca="false">IF(G1357="Prospecting",Parâmetros!$B$9,IF(J1357&gt;Parâmetros!$B$6,0,INDEX(Parâmetros!$C$24:$C$26,MATCH(J1357,Parâmetros!$A$24:$A$26,1))))</f>
        <v>0</v>
      </c>
      <c r="M1357" s="31" t="n">
        <f aca="false">IF(G1357="Prospecting",1,INDEX(Parâmetros!$C$32:$C$35,MATCH(J1357,Parâmetros!$A$32:$A$35,1)))</f>
        <v>0.6</v>
      </c>
      <c r="N1357" s="2" t="n">
        <f aca="false">ROUND((K1357+L1357)*M1357,0)</f>
        <v>13</v>
      </c>
      <c r="O1357" s="10" t="str">
        <f aca="false">IF(AND(G1357="Engaging",J1357&gt;Parâmetros!$B$6),"Sim","Não")</f>
        <v>Sim</v>
      </c>
      <c r="P1357" s="32" t="str">
        <f aca="false">IF(O1357="Sim","R",IF(N1357&gt;=Parâmetros!$B$39,"A",IF(N1357&gt;=Parâmetros!$B$40,"B",IF(N1357&gt;=Parâmetros!$B$41,"C","D"))))</f>
        <v>R</v>
      </c>
      <c r="Q1357" s="10" t="str">
        <f aca="false">IF(F1357="","Completar cadastro","")</f>
        <v>Completar cadastro</v>
      </c>
      <c r="R1357" s="10" t="str">
        <f aca="false">INDEX(Parâmetros!$D$39:$D$43,MATCH(P1357,Parâmetros!$A$39:$A$43,0))</f>
        <v>Reciclar: requalificar, reengajar ou encerrar</v>
      </c>
    </row>
    <row r="1358" customFormat="false" ht="15" hidden="false" customHeight="false" outlineLevel="0" collapsed="false">
      <c r="A1358" s="10" t="s">
        <v>1604</v>
      </c>
      <c r="B1358" s="10" t="s">
        <v>74</v>
      </c>
      <c r="C1358" s="10" t="s">
        <v>72</v>
      </c>
      <c r="D1358" s="10" t="s">
        <v>196</v>
      </c>
      <c r="E1358" s="10" t="s">
        <v>51</v>
      </c>
      <c r="F1358" s="10"/>
      <c r="G1358" s="10" t="s">
        <v>162</v>
      </c>
      <c r="H1358" s="30" t="n">
        <v>42944</v>
      </c>
      <c r="I1358" s="8" t="n">
        <f aca="false">INDEX(Parâmetros!$C$13:$C$19,MATCH(E1358,Parâmetros!$A$13:$A$19,0))</f>
        <v>550</v>
      </c>
      <c r="J1358" s="26" t="n">
        <f aca="false">IF(H1358="","",Parâmetros!$B$5-H1358)</f>
        <v>156</v>
      </c>
      <c r="K1358" s="10" t="n">
        <f aca="false">INDEX(Parâmetros!$D$13:$D$19,MATCH(E1358,Parâmetros!$A$13:$A$19,0))</f>
        <v>22</v>
      </c>
      <c r="L1358" s="10" t="n">
        <f aca="false">IF(G1358="Prospecting",Parâmetros!$B$9,IF(J1358&gt;Parâmetros!$B$6,0,INDEX(Parâmetros!$C$24:$C$26,MATCH(J1358,Parâmetros!$A$24:$A$26,1))))</f>
        <v>0</v>
      </c>
      <c r="M1358" s="31" t="n">
        <f aca="false">IF(G1358="Prospecting",1,INDEX(Parâmetros!$C$32:$C$35,MATCH(J1358,Parâmetros!$A$32:$A$35,1)))</f>
        <v>0.6</v>
      </c>
      <c r="N1358" s="2" t="n">
        <f aca="false">ROUND((K1358+L1358)*M1358,0)</f>
        <v>13</v>
      </c>
      <c r="O1358" s="10" t="str">
        <f aca="false">IF(AND(G1358="Engaging",J1358&gt;Parâmetros!$B$6),"Sim","Não")</f>
        <v>Sim</v>
      </c>
      <c r="P1358" s="32" t="str">
        <f aca="false">IF(O1358="Sim","R",IF(N1358&gt;=Parâmetros!$B$39,"A",IF(N1358&gt;=Parâmetros!$B$40,"B",IF(N1358&gt;=Parâmetros!$B$41,"C","D"))))</f>
        <v>R</v>
      </c>
      <c r="Q1358" s="10" t="str">
        <f aca="false">IF(F1358="","Completar cadastro","")</f>
        <v>Completar cadastro</v>
      </c>
      <c r="R1358" s="10" t="str">
        <f aca="false">INDEX(Parâmetros!$D$39:$D$43,MATCH(P1358,Parâmetros!$A$39:$A$43,0))</f>
        <v>Reciclar: requalificar, reengajar ou encerrar</v>
      </c>
    </row>
    <row r="1359" customFormat="false" ht="15" hidden="false" customHeight="false" outlineLevel="0" collapsed="false">
      <c r="A1359" s="10" t="s">
        <v>1605</v>
      </c>
      <c r="B1359" s="10" t="s">
        <v>81</v>
      </c>
      <c r="C1359" s="10" t="s">
        <v>78</v>
      </c>
      <c r="D1359" s="10" t="s">
        <v>196</v>
      </c>
      <c r="E1359" s="10" t="s">
        <v>51</v>
      </c>
      <c r="F1359" s="10"/>
      <c r="G1359" s="10" t="s">
        <v>162</v>
      </c>
      <c r="H1359" s="30" t="n">
        <v>42944</v>
      </c>
      <c r="I1359" s="8" t="n">
        <f aca="false">INDEX(Parâmetros!$C$13:$C$19,MATCH(E1359,Parâmetros!$A$13:$A$19,0))</f>
        <v>550</v>
      </c>
      <c r="J1359" s="26" t="n">
        <f aca="false">IF(H1359="","",Parâmetros!$B$5-H1359)</f>
        <v>156</v>
      </c>
      <c r="K1359" s="10" t="n">
        <f aca="false">INDEX(Parâmetros!$D$13:$D$19,MATCH(E1359,Parâmetros!$A$13:$A$19,0))</f>
        <v>22</v>
      </c>
      <c r="L1359" s="10" t="n">
        <f aca="false">IF(G1359="Prospecting",Parâmetros!$B$9,IF(J1359&gt;Parâmetros!$B$6,0,INDEX(Parâmetros!$C$24:$C$26,MATCH(J1359,Parâmetros!$A$24:$A$26,1))))</f>
        <v>0</v>
      </c>
      <c r="M1359" s="31" t="n">
        <f aca="false">IF(G1359="Prospecting",1,INDEX(Parâmetros!$C$32:$C$35,MATCH(J1359,Parâmetros!$A$32:$A$35,1)))</f>
        <v>0.6</v>
      </c>
      <c r="N1359" s="2" t="n">
        <f aca="false">ROUND((K1359+L1359)*M1359,0)</f>
        <v>13</v>
      </c>
      <c r="O1359" s="10" t="str">
        <f aca="false">IF(AND(G1359="Engaging",J1359&gt;Parâmetros!$B$6),"Sim","Não")</f>
        <v>Sim</v>
      </c>
      <c r="P1359" s="32" t="str">
        <f aca="false">IF(O1359="Sim","R",IF(N1359&gt;=Parâmetros!$B$39,"A",IF(N1359&gt;=Parâmetros!$B$40,"B",IF(N1359&gt;=Parâmetros!$B$41,"C","D"))))</f>
        <v>R</v>
      </c>
      <c r="Q1359" s="10" t="str">
        <f aca="false">IF(F1359="","Completar cadastro","")</f>
        <v>Completar cadastro</v>
      </c>
      <c r="R1359" s="10" t="str">
        <f aca="false">INDEX(Parâmetros!$D$39:$D$43,MATCH(P1359,Parâmetros!$A$39:$A$43,0))</f>
        <v>Reciclar: requalificar, reengajar ou encerrar</v>
      </c>
    </row>
    <row r="1360" customFormat="false" ht="15" hidden="false" customHeight="false" outlineLevel="0" collapsed="false">
      <c r="A1360" s="10" t="s">
        <v>1606</v>
      </c>
      <c r="B1360" s="10" t="s">
        <v>69</v>
      </c>
      <c r="C1360" s="10" t="s">
        <v>65</v>
      </c>
      <c r="D1360" s="10" t="s">
        <v>160</v>
      </c>
      <c r="E1360" s="10" t="s">
        <v>51</v>
      </c>
      <c r="F1360" s="10"/>
      <c r="G1360" s="10" t="s">
        <v>162</v>
      </c>
      <c r="H1360" s="30" t="n">
        <v>42944</v>
      </c>
      <c r="I1360" s="8" t="n">
        <f aca="false">INDEX(Parâmetros!$C$13:$C$19,MATCH(E1360,Parâmetros!$A$13:$A$19,0))</f>
        <v>550</v>
      </c>
      <c r="J1360" s="26" t="n">
        <f aca="false">IF(H1360="","",Parâmetros!$B$5-H1360)</f>
        <v>156</v>
      </c>
      <c r="K1360" s="10" t="n">
        <f aca="false">INDEX(Parâmetros!$D$13:$D$19,MATCH(E1360,Parâmetros!$A$13:$A$19,0))</f>
        <v>22</v>
      </c>
      <c r="L1360" s="10" t="n">
        <f aca="false">IF(G1360="Prospecting",Parâmetros!$B$9,IF(J1360&gt;Parâmetros!$B$6,0,INDEX(Parâmetros!$C$24:$C$26,MATCH(J1360,Parâmetros!$A$24:$A$26,1))))</f>
        <v>0</v>
      </c>
      <c r="M1360" s="31" t="n">
        <f aca="false">IF(G1360="Prospecting",1,INDEX(Parâmetros!$C$32:$C$35,MATCH(J1360,Parâmetros!$A$32:$A$35,1)))</f>
        <v>0.6</v>
      </c>
      <c r="N1360" s="2" t="n">
        <f aca="false">ROUND((K1360+L1360)*M1360,0)</f>
        <v>13</v>
      </c>
      <c r="O1360" s="10" t="str">
        <f aca="false">IF(AND(G1360="Engaging",J1360&gt;Parâmetros!$B$6),"Sim","Não")</f>
        <v>Sim</v>
      </c>
      <c r="P1360" s="32" t="str">
        <f aca="false">IF(O1360="Sim","R",IF(N1360&gt;=Parâmetros!$B$39,"A",IF(N1360&gt;=Parâmetros!$B$40,"B",IF(N1360&gt;=Parâmetros!$B$41,"C","D"))))</f>
        <v>R</v>
      </c>
      <c r="Q1360" s="10" t="str">
        <f aca="false">IF(F1360="","Completar cadastro","")</f>
        <v>Completar cadastro</v>
      </c>
      <c r="R1360" s="10" t="str">
        <f aca="false">INDEX(Parâmetros!$D$39:$D$43,MATCH(P1360,Parâmetros!$A$39:$A$43,0))</f>
        <v>Reciclar: requalificar, reengajar ou encerrar</v>
      </c>
    </row>
    <row r="1361" customFormat="false" ht="15" hidden="false" customHeight="false" outlineLevel="0" collapsed="false">
      <c r="A1361" s="10" t="s">
        <v>1607</v>
      </c>
      <c r="B1361" s="10" t="s">
        <v>76</v>
      </c>
      <c r="C1361" s="10" t="s">
        <v>72</v>
      </c>
      <c r="D1361" s="10" t="s">
        <v>196</v>
      </c>
      <c r="E1361" s="10" t="s">
        <v>51</v>
      </c>
      <c r="F1361" s="10" t="s">
        <v>233</v>
      </c>
      <c r="G1361" s="10" t="s">
        <v>162</v>
      </c>
      <c r="H1361" s="30" t="n">
        <v>42944</v>
      </c>
      <c r="I1361" s="8" t="n">
        <f aca="false">INDEX(Parâmetros!$C$13:$C$19,MATCH(E1361,Parâmetros!$A$13:$A$19,0))</f>
        <v>550</v>
      </c>
      <c r="J1361" s="26" t="n">
        <f aca="false">IF(H1361="","",Parâmetros!$B$5-H1361)</f>
        <v>156</v>
      </c>
      <c r="K1361" s="10" t="n">
        <f aca="false">INDEX(Parâmetros!$D$13:$D$19,MATCH(E1361,Parâmetros!$A$13:$A$19,0))</f>
        <v>22</v>
      </c>
      <c r="L1361" s="10" t="n">
        <f aca="false">IF(G1361="Prospecting",Parâmetros!$B$9,IF(J1361&gt;Parâmetros!$B$6,0,INDEX(Parâmetros!$C$24:$C$26,MATCH(J1361,Parâmetros!$A$24:$A$26,1))))</f>
        <v>0</v>
      </c>
      <c r="M1361" s="31" t="n">
        <f aca="false">IF(G1361="Prospecting",1,INDEX(Parâmetros!$C$32:$C$35,MATCH(J1361,Parâmetros!$A$32:$A$35,1)))</f>
        <v>0.6</v>
      </c>
      <c r="N1361" s="2" t="n">
        <f aca="false">ROUND((K1361+L1361)*M1361,0)</f>
        <v>13</v>
      </c>
      <c r="O1361" s="10" t="str">
        <f aca="false">IF(AND(G1361="Engaging",J1361&gt;Parâmetros!$B$6),"Sim","Não")</f>
        <v>Sim</v>
      </c>
      <c r="P1361" s="32" t="str">
        <f aca="false">IF(O1361="Sim","R",IF(N1361&gt;=Parâmetros!$B$39,"A",IF(N1361&gt;=Parâmetros!$B$40,"B",IF(N1361&gt;=Parâmetros!$B$41,"C","D"))))</f>
        <v>R</v>
      </c>
      <c r="Q1361" s="10" t="str">
        <f aca="false">IF(F1361="","Completar cadastro","")</f>
        <v/>
      </c>
      <c r="R1361" s="10" t="str">
        <f aca="false">INDEX(Parâmetros!$D$39:$D$43,MATCH(P1361,Parâmetros!$A$39:$A$43,0))</f>
        <v>Reciclar: requalificar, reengajar ou encerrar</v>
      </c>
    </row>
    <row r="1362" customFormat="false" ht="15" hidden="false" customHeight="false" outlineLevel="0" collapsed="false">
      <c r="A1362" s="10" t="s">
        <v>1608</v>
      </c>
      <c r="B1362" s="10" t="s">
        <v>77</v>
      </c>
      <c r="C1362" s="10" t="s">
        <v>78</v>
      </c>
      <c r="D1362" s="10" t="s">
        <v>196</v>
      </c>
      <c r="E1362" s="10" t="s">
        <v>51</v>
      </c>
      <c r="F1362" s="10" t="s">
        <v>961</v>
      </c>
      <c r="G1362" s="10" t="s">
        <v>162</v>
      </c>
      <c r="H1362" s="30" t="n">
        <v>42945</v>
      </c>
      <c r="I1362" s="8" t="n">
        <f aca="false">INDEX(Parâmetros!$C$13:$C$19,MATCH(E1362,Parâmetros!$A$13:$A$19,0))</f>
        <v>550</v>
      </c>
      <c r="J1362" s="26" t="n">
        <f aca="false">IF(H1362="","",Parâmetros!$B$5-H1362)</f>
        <v>155</v>
      </c>
      <c r="K1362" s="10" t="n">
        <f aca="false">INDEX(Parâmetros!$D$13:$D$19,MATCH(E1362,Parâmetros!$A$13:$A$19,0))</f>
        <v>22</v>
      </c>
      <c r="L1362" s="10" t="n">
        <f aca="false">IF(G1362="Prospecting",Parâmetros!$B$9,IF(J1362&gt;Parâmetros!$B$6,0,INDEX(Parâmetros!$C$24:$C$26,MATCH(J1362,Parâmetros!$A$24:$A$26,1))))</f>
        <v>0</v>
      </c>
      <c r="M1362" s="31" t="n">
        <f aca="false">IF(G1362="Prospecting",1,INDEX(Parâmetros!$C$32:$C$35,MATCH(J1362,Parâmetros!$A$32:$A$35,1)))</f>
        <v>0.6</v>
      </c>
      <c r="N1362" s="2" t="n">
        <f aca="false">ROUND((K1362+L1362)*M1362,0)</f>
        <v>13</v>
      </c>
      <c r="O1362" s="10" t="str">
        <f aca="false">IF(AND(G1362="Engaging",J1362&gt;Parâmetros!$B$6),"Sim","Não")</f>
        <v>Sim</v>
      </c>
      <c r="P1362" s="32" t="str">
        <f aca="false">IF(O1362="Sim","R",IF(N1362&gt;=Parâmetros!$B$39,"A",IF(N1362&gt;=Parâmetros!$B$40,"B",IF(N1362&gt;=Parâmetros!$B$41,"C","D"))))</f>
        <v>R</v>
      </c>
      <c r="Q1362" s="10" t="str">
        <f aca="false">IF(F1362="","Completar cadastro","")</f>
        <v/>
      </c>
      <c r="R1362" s="10" t="str">
        <f aca="false">INDEX(Parâmetros!$D$39:$D$43,MATCH(P1362,Parâmetros!$A$39:$A$43,0))</f>
        <v>Reciclar: requalificar, reengajar ou encerrar</v>
      </c>
    </row>
    <row r="1363" customFormat="false" ht="15" hidden="false" customHeight="false" outlineLevel="0" collapsed="false">
      <c r="A1363" s="10" t="s">
        <v>1609</v>
      </c>
      <c r="B1363" s="10" t="s">
        <v>74</v>
      </c>
      <c r="C1363" s="10" t="s">
        <v>72</v>
      </c>
      <c r="D1363" s="10" t="s">
        <v>196</v>
      </c>
      <c r="E1363" s="10" t="s">
        <v>51</v>
      </c>
      <c r="F1363" s="10"/>
      <c r="G1363" s="10" t="s">
        <v>162</v>
      </c>
      <c r="H1363" s="30" t="n">
        <v>42945</v>
      </c>
      <c r="I1363" s="8" t="n">
        <f aca="false">INDEX(Parâmetros!$C$13:$C$19,MATCH(E1363,Parâmetros!$A$13:$A$19,0))</f>
        <v>550</v>
      </c>
      <c r="J1363" s="26" t="n">
        <f aca="false">IF(H1363="","",Parâmetros!$B$5-H1363)</f>
        <v>155</v>
      </c>
      <c r="K1363" s="10" t="n">
        <f aca="false">INDEX(Parâmetros!$D$13:$D$19,MATCH(E1363,Parâmetros!$A$13:$A$19,0))</f>
        <v>22</v>
      </c>
      <c r="L1363" s="10" t="n">
        <f aca="false">IF(G1363="Prospecting",Parâmetros!$B$9,IF(J1363&gt;Parâmetros!$B$6,0,INDEX(Parâmetros!$C$24:$C$26,MATCH(J1363,Parâmetros!$A$24:$A$26,1))))</f>
        <v>0</v>
      </c>
      <c r="M1363" s="31" t="n">
        <f aca="false">IF(G1363="Prospecting",1,INDEX(Parâmetros!$C$32:$C$35,MATCH(J1363,Parâmetros!$A$32:$A$35,1)))</f>
        <v>0.6</v>
      </c>
      <c r="N1363" s="2" t="n">
        <f aca="false">ROUND((K1363+L1363)*M1363,0)</f>
        <v>13</v>
      </c>
      <c r="O1363" s="10" t="str">
        <f aca="false">IF(AND(G1363="Engaging",J1363&gt;Parâmetros!$B$6),"Sim","Não")</f>
        <v>Sim</v>
      </c>
      <c r="P1363" s="32" t="str">
        <f aca="false">IF(O1363="Sim","R",IF(N1363&gt;=Parâmetros!$B$39,"A",IF(N1363&gt;=Parâmetros!$B$40,"B",IF(N1363&gt;=Parâmetros!$B$41,"C","D"))))</f>
        <v>R</v>
      </c>
      <c r="Q1363" s="10" t="str">
        <f aca="false">IF(F1363="","Completar cadastro","")</f>
        <v>Completar cadastro</v>
      </c>
      <c r="R1363" s="10" t="str">
        <f aca="false">INDEX(Parâmetros!$D$39:$D$43,MATCH(P1363,Parâmetros!$A$39:$A$43,0))</f>
        <v>Reciclar: requalificar, reengajar ou encerrar</v>
      </c>
    </row>
    <row r="1364" customFormat="false" ht="15" hidden="false" customHeight="false" outlineLevel="0" collapsed="false">
      <c r="A1364" s="10" t="s">
        <v>1610</v>
      </c>
      <c r="B1364" s="10" t="s">
        <v>81</v>
      </c>
      <c r="C1364" s="10" t="s">
        <v>78</v>
      </c>
      <c r="D1364" s="10" t="s">
        <v>196</v>
      </c>
      <c r="E1364" s="10" t="s">
        <v>51</v>
      </c>
      <c r="F1364" s="10"/>
      <c r="G1364" s="10" t="s">
        <v>162</v>
      </c>
      <c r="H1364" s="30" t="n">
        <v>42945</v>
      </c>
      <c r="I1364" s="8" t="n">
        <f aca="false">INDEX(Parâmetros!$C$13:$C$19,MATCH(E1364,Parâmetros!$A$13:$A$19,0))</f>
        <v>550</v>
      </c>
      <c r="J1364" s="26" t="n">
        <f aca="false">IF(H1364="","",Parâmetros!$B$5-H1364)</f>
        <v>155</v>
      </c>
      <c r="K1364" s="10" t="n">
        <f aca="false">INDEX(Parâmetros!$D$13:$D$19,MATCH(E1364,Parâmetros!$A$13:$A$19,0))</f>
        <v>22</v>
      </c>
      <c r="L1364" s="10" t="n">
        <f aca="false">IF(G1364="Prospecting",Parâmetros!$B$9,IF(J1364&gt;Parâmetros!$B$6,0,INDEX(Parâmetros!$C$24:$C$26,MATCH(J1364,Parâmetros!$A$24:$A$26,1))))</f>
        <v>0</v>
      </c>
      <c r="M1364" s="31" t="n">
        <f aca="false">IF(G1364="Prospecting",1,INDEX(Parâmetros!$C$32:$C$35,MATCH(J1364,Parâmetros!$A$32:$A$35,1)))</f>
        <v>0.6</v>
      </c>
      <c r="N1364" s="2" t="n">
        <f aca="false">ROUND((K1364+L1364)*M1364,0)</f>
        <v>13</v>
      </c>
      <c r="O1364" s="10" t="str">
        <f aca="false">IF(AND(G1364="Engaging",J1364&gt;Parâmetros!$B$6),"Sim","Não")</f>
        <v>Sim</v>
      </c>
      <c r="P1364" s="32" t="str">
        <f aca="false">IF(O1364="Sim","R",IF(N1364&gt;=Parâmetros!$B$39,"A",IF(N1364&gt;=Parâmetros!$B$40,"B",IF(N1364&gt;=Parâmetros!$B$41,"C","D"))))</f>
        <v>R</v>
      </c>
      <c r="Q1364" s="10" t="str">
        <f aca="false">IF(F1364="","Completar cadastro","")</f>
        <v>Completar cadastro</v>
      </c>
      <c r="R1364" s="10" t="str">
        <f aca="false">INDEX(Parâmetros!$D$39:$D$43,MATCH(P1364,Parâmetros!$A$39:$A$43,0))</f>
        <v>Reciclar: requalificar, reengajar ou encerrar</v>
      </c>
    </row>
    <row r="1365" customFormat="false" ht="15" hidden="false" customHeight="false" outlineLevel="0" collapsed="false">
      <c r="A1365" s="10" t="s">
        <v>1611</v>
      </c>
      <c r="B1365" s="10" t="s">
        <v>71</v>
      </c>
      <c r="C1365" s="10" t="s">
        <v>72</v>
      </c>
      <c r="D1365" s="10" t="s">
        <v>196</v>
      </c>
      <c r="E1365" s="10" t="s">
        <v>51</v>
      </c>
      <c r="F1365" s="10"/>
      <c r="G1365" s="10" t="s">
        <v>162</v>
      </c>
      <c r="H1365" s="30" t="n">
        <v>42946</v>
      </c>
      <c r="I1365" s="8" t="n">
        <f aca="false">INDEX(Parâmetros!$C$13:$C$19,MATCH(E1365,Parâmetros!$A$13:$A$19,0))</f>
        <v>550</v>
      </c>
      <c r="J1365" s="26" t="n">
        <f aca="false">IF(H1365="","",Parâmetros!$B$5-H1365)</f>
        <v>154</v>
      </c>
      <c r="K1365" s="10" t="n">
        <f aca="false">INDEX(Parâmetros!$D$13:$D$19,MATCH(E1365,Parâmetros!$A$13:$A$19,0))</f>
        <v>22</v>
      </c>
      <c r="L1365" s="10" t="n">
        <f aca="false">IF(G1365="Prospecting",Parâmetros!$B$9,IF(J1365&gt;Parâmetros!$B$6,0,INDEX(Parâmetros!$C$24:$C$26,MATCH(J1365,Parâmetros!$A$24:$A$26,1))))</f>
        <v>0</v>
      </c>
      <c r="M1365" s="31" t="n">
        <f aca="false">IF(G1365="Prospecting",1,INDEX(Parâmetros!$C$32:$C$35,MATCH(J1365,Parâmetros!$A$32:$A$35,1)))</f>
        <v>0.6</v>
      </c>
      <c r="N1365" s="2" t="n">
        <f aca="false">ROUND((K1365+L1365)*M1365,0)</f>
        <v>13</v>
      </c>
      <c r="O1365" s="10" t="str">
        <f aca="false">IF(AND(G1365="Engaging",J1365&gt;Parâmetros!$B$6),"Sim","Não")</f>
        <v>Sim</v>
      </c>
      <c r="P1365" s="32" t="str">
        <f aca="false">IF(O1365="Sim","R",IF(N1365&gt;=Parâmetros!$B$39,"A",IF(N1365&gt;=Parâmetros!$B$40,"B",IF(N1365&gt;=Parâmetros!$B$41,"C","D"))))</f>
        <v>R</v>
      </c>
      <c r="Q1365" s="10" t="str">
        <f aca="false">IF(F1365="","Completar cadastro","")</f>
        <v>Completar cadastro</v>
      </c>
      <c r="R1365" s="10" t="str">
        <f aca="false">INDEX(Parâmetros!$D$39:$D$43,MATCH(P1365,Parâmetros!$A$39:$A$43,0))</f>
        <v>Reciclar: requalificar, reengajar ou encerrar</v>
      </c>
    </row>
    <row r="1366" customFormat="false" ht="15" hidden="false" customHeight="false" outlineLevel="0" collapsed="false">
      <c r="A1366" s="10" t="s">
        <v>1612</v>
      </c>
      <c r="B1366" s="10" t="s">
        <v>71</v>
      </c>
      <c r="C1366" s="10" t="s">
        <v>72</v>
      </c>
      <c r="D1366" s="10" t="s">
        <v>196</v>
      </c>
      <c r="E1366" s="10" t="s">
        <v>51</v>
      </c>
      <c r="F1366" s="10"/>
      <c r="G1366" s="10" t="s">
        <v>162</v>
      </c>
      <c r="H1366" s="30" t="n">
        <v>42946</v>
      </c>
      <c r="I1366" s="8" t="n">
        <f aca="false">INDEX(Parâmetros!$C$13:$C$19,MATCH(E1366,Parâmetros!$A$13:$A$19,0))</f>
        <v>550</v>
      </c>
      <c r="J1366" s="26" t="n">
        <f aca="false">IF(H1366="","",Parâmetros!$B$5-H1366)</f>
        <v>154</v>
      </c>
      <c r="K1366" s="10" t="n">
        <f aca="false">INDEX(Parâmetros!$D$13:$D$19,MATCH(E1366,Parâmetros!$A$13:$A$19,0))</f>
        <v>22</v>
      </c>
      <c r="L1366" s="10" t="n">
        <f aca="false">IF(G1366="Prospecting",Parâmetros!$B$9,IF(J1366&gt;Parâmetros!$B$6,0,INDEX(Parâmetros!$C$24:$C$26,MATCH(J1366,Parâmetros!$A$24:$A$26,1))))</f>
        <v>0</v>
      </c>
      <c r="M1366" s="31" t="n">
        <f aca="false">IF(G1366="Prospecting",1,INDEX(Parâmetros!$C$32:$C$35,MATCH(J1366,Parâmetros!$A$32:$A$35,1)))</f>
        <v>0.6</v>
      </c>
      <c r="N1366" s="2" t="n">
        <f aca="false">ROUND((K1366+L1366)*M1366,0)</f>
        <v>13</v>
      </c>
      <c r="O1366" s="10" t="str">
        <f aca="false">IF(AND(G1366="Engaging",J1366&gt;Parâmetros!$B$6),"Sim","Não")</f>
        <v>Sim</v>
      </c>
      <c r="P1366" s="32" t="str">
        <f aca="false">IF(O1366="Sim","R",IF(N1366&gt;=Parâmetros!$B$39,"A",IF(N1366&gt;=Parâmetros!$B$40,"B",IF(N1366&gt;=Parâmetros!$B$41,"C","D"))))</f>
        <v>R</v>
      </c>
      <c r="Q1366" s="10" t="str">
        <f aca="false">IF(F1366="","Completar cadastro","")</f>
        <v>Completar cadastro</v>
      </c>
      <c r="R1366" s="10" t="str">
        <f aca="false">INDEX(Parâmetros!$D$39:$D$43,MATCH(P1366,Parâmetros!$A$39:$A$43,0))</f>
        <v>Reciclar: requalificar, reengajar ou encerrar</v>
      </c>
    </row>
    <row r="1367" customFormat="false" ht="15" hidden="false" customHeight="false" outlineLevel="0" collapsed="false">
      <c r="A1367" s="10" t="s">
        <v>1613</v>
      </c>
      <c r="B1367" s="10" t="s">
        <v>77</v>
      </c>
      <c r="C1367" s="10" t="s">
        <v>78</v>
      </c>
      <c r="D1367" s="10" t="s">
        <v>196</v>
      </c>
      <c r="E1367" s="10" t="s">
        <v>51</v>
      </c>
      <c r="F1367" s="10"/>
      <c r="G1367" s="10" t="s">
        <v>162</v>
      </c>
      <c r="H1367" s="30" t="n">
        <v>42946</v>
      </c>
      <c r="I1367" s="8" t="n">
        <f aca="false">INDEX(Parâmetros!$C$13:$C$19,MATCH(E1367,Parâmetros!$A$13:$A$19,0))</f>
        <v>550</v>
      </c>
      <c r="J1367" s="26" t="n">
        <f aca="false">IF(H1367="","",Parâmetros!$B$5-H1367)</f>
        <v>154</v>
      </c>
      <c r="K1367" s="10" t="n">
        <f aca="false">INDEX(Parâmetros!$D$13:$D$19,MATCH(E1367,Parâmetros!$A$13:$A$19,0))</f>
        <v>22</v>
      </c>
      <c r="L1367" s="10" t="n">
        <f aca="false">IF(G1367="Prospecting",Parâmetros!$B$9,IF(J1367&gt;Parâmetros!$B$6,0,INDEX(Parâmetros!$C$24:$C$26,MATCH(J1367,Parâmetros!$A$24:$A$26,1))))</f>
        <v>0</v>
      </c>
      <c r="M1367" s="31" t="n">
        <f aca="false">IF(G1367="Prospecting",1,INDEX(Parâmetros!$C$32:$C$35,MATCH(J1367,Parâmetros!$A$32:$A$35,1)))</f>
        <v>0.6</v>
      </c>
      <c r="N1367" s="2" t="n">
        <f aca="false">ROUND((K1367+L1367)*M1367,0)</f>
        <v>13</v>
      </c>
      <c r="O1367" s="10" t="str">
        <f aca="false">IF(AND(G1367="Engaging",J1367&gt;Parâmetros!$B$6),"Sim","Não")</f>
        <v>Sim</v>
      </c>
      <c r="P1367" s="32" t="str">
        <f aca="false">IF(O1367="Sim","R",IF(N1367&gt;=Parâmetros!$B$39,"A",IF(N1367&gt;=Parâmetros!$B$40,"B",IF(N1367&gt;=Parâmetros!$B$41,"C","D"))))</f>
        <v>R</v>
      </c>
      <c r="Q1367" s="10" t="str">
        <f aca="false">IF(F1367="","Completar cadastro","")</f>
        <v>Completar cadastro</v>
      </c>
      <c r="R1367" s="10" t="str">
        <f aca="false">INDEX(Parâmetros!$D$39:$D$43,MATCH(P1367,Parâmetros!$A$39:$A$43,0))</f>
        <v>Reciclar: requalificar, reengajar ou encerrar</v>
      </c>
    </row>
    <row r="1368" customFormat="false" ht="15" hidden="false" customHeight="false" outlineLevel="0" collapsed="false">
      <c r="A1368" s="10" t="s">
        <v>1614</v>
      </c>
      <c r="B1368" s="10" t="s">
        <v>95</v>
      </c>
      <c r="C1368" s="10" t="s">
        <v>92</v>
      </c>
      <c r="D1368" s="10" t="s">
        <v>160</v>
      </c>
      <c r="E1368" s="10" t="s">
        <v>51</v>
      </c>
      <c r="F1368" s="10"/>
      <c r="G1368" s="10" t="s">
        <v>162</v>
      </c>
      <c r="H1368" s="30" t="n">
        <v>42946</v>
      </c>
      <c r="I1368" s="8" t="n">
        <f aca="false">INDEX(Parâmetros!$C$13:$C$19,MATCH(E1368,Parâmetros!$A$13:$A$19,0))</f>
        <v>550</v>
      </c>
      <c r="J1368" s="26" t="n">
        <f aca="false">IF(H1368="","",Parâmetros!$B$5-H1368)</f>
        <v>154</v>
      </c>
      <c r="K1368" s="10" t="n">
        <f aca="false">INDEX(Parâmetros!$D$13:$D$19,MATCH(E1368,Parâmetros!$A$13:$A$19,0))</f>
        <v>22</v>
      </c>
      <c r="L1368" s="10" t="n">
        <f aca="false">IF(G1368="Prospecting",Parâmetros!$B$9,IF(J1368&gt;Parâmetros!$B$6,0,INDEX(Parâmetros!$C$24:$C$26,MATCH(J1368,Parâmetros!$A$24:$A$26,1))))</f>
        <v>0</v>
      </c>
      <c r="M1368" s="31" t="n">
        <f aca="false">IF(G1368="Prospecting",1,INDEX(Parâmetros!$C$32:$C$35,MATCH(J1368,Parâmetros!$A$32:$A$35,1)))</f>
        <v>0.6</v>
      </c>
      <c r="N1368" s="2" t="n">
        <f aca="false">ROUND((K1368+L1368)*M1368,0)</f>
        <v>13</v>
      </c>
      <c r="O1368" s="10" t="str">
        <f aca="false">IF(AND(G1368="Engaging",J1368&gt;Parâmetros!$B$6),"Sim","Não")</f>
        <v>Sim</v>
      </c>
      <c r="P1368" s="32" t="str">
        <f aca="false">IF(O1368="Sim","R",IF(N1368&gt;=Parâmetros!$B$39,"A",IF(N1368&gt;=Parâmetros!$B$40,"B",IF(N1368&gt;=Parâmetros!$B$41,"C","D"))))</f>
        <v>R</v>
      </c>
      <c r="Q1368" s="10" t="str">
        <f aca="false">IF(F1368="","Completar cadastro","")</f>
        <v>Completar cadastro</v>
      </c>
      <c r="R1368" s="10" t="str">
        <f aca="false">INDEX(Parâmetros!$D$39:$D$43,MATCH(P1368,Parâmetros!$A$39:$A$43,0))</f>
        <v>Reciclar: requalificar, reengajar ou encerrar</v>
      </c>
    </row>
    <row r="1369" customFormat="false" ht="15" hidden="false" customHeight="false" outlineLevel="0" collapsed="false">
      <c r="A1369" s="10" t="s">
        <v>1615</v>
      </c>
      <c r="B1369" s="10" t="s">
        <v>74</v>
      </c>
      <c r="C1369" s="10" t="s">
        <v>72</v>
      </c>
      <c r="D1369" s="10" t="s">
        <v>196</v>
      </c>
      <c r="E1369" s="10" t="s">
        <v>51</v>
      </c>
      <c r="F1369" s="10"/>
      <c r="G1369" s="10" t="s">
        <v>162</v>
      </c>
      <c r="H1369" s="30" t="n">
        <v>42946</v>
      </c>
      <c r="I1369" s="8" t="n">
        <f aca="false">INDEX(Parâmetros!$C$13:$C$19,MATCH(E1369,Parâmetros!$A$13:$A$19,0))</f>
        <v>550</v>
      </c>
      <c r="J1369" s="26" t="n">
        <f aca="false">IF(H1369="","",Parâmetros!$B$5-H1369)</f>
        <v>154</v>
      </c>
      <c r="K1369" s="10" t="n">
        <f aca="false">INDEX(Parâmetros!$D$13:$D$19,MATCH(E1369,Parâmetros!$A$13:$A$19,0))</f>
        <v>22</v>
      </c>
      <c r="L1369" s="10" t="n">
        <f aca="false">IF(G1369="Prospecting",Parâmetros!$B$9,IF(J1369&gt;Parâmetros!$B$6,0,INDEX(Parâmetros!$C$24:$C$26,MATCH(J1369,Parâmetros!$A$24:$A$26,1))))</f>
        <v>0</v>
      </c>
      <c r="M1369" s="31" t="n">
        <f aca="false">IF(G1369="Prospecting",1,INDEX(Parâmetros!$C$32:$C$35,MATCH(J1369,Parâmetros!$A$32:$A$35,1)))</f>
        <v>0.6</v>
      </c>
      <c r="N1369" s="2" t="n">
        <f aca="false">ROUND((K1369+L1369)*M1369,0)</f>
        <v>13</v>
      </c>
      <c r="O1369" s="10" t="str">
        <f aca="false">IF(AND(G1369="Engaging",J1369&gt;Parâmetros!$B$6),"Sim","Não")</f>
        <v>Sim</v>
      </c>
      <c r="P1369" s="32" t="str">
        <f aca="false">IF(O1369="Sim","R",IF(N1369&gt;=Parâmetros!$B$39,"A",IF(N1369&gt;=Parâmetros!$B$40,"B",IF(N1369&gt;=Parâmetros!$B$41,"C","D"))))</f>
        <v>R</v>
      </c>
      <c r="Q1369" s="10" t="str">
        <f aca="false">IF(F1369="","Completar cadastro","")</f>
        <v>Completar cadastro</v>
      </c>
      <c r="R1369" s="10" t="str">
        <f aca="false">INDEX(Parâmetros!$D$39:$D$43,MATCH(P1369,Parâmetros!$A$39:$A$43,0))</f>
        <v>Reciclar: requalificar, reengajar ou encerrar</v>
      </c>
    </row>
    <row r="1370" customFormat="false" ht="15" hidden="false" customHeight="false" outlineLevel="0" collapsed="false">
      <c r="A1370" s="10" t="s">
        <v>1616</v>
      </c>
      <c r="B1370" s="10" t="s">
        <v>75</v>
      </c>
      <c r="C1370" s="10" t="s">
        <v>72</v>
      </c>
      <c r="D1370" s="10" t="s">
        <v>196</v>
      </c>
      <c r="E1370" s="10" t="s">
        <v>51</v>
      </c>
      <c r="F1370" s="10"/>
      <c r="G1370" s="10" t="s">
        <v>162</v>
      </c>
      <c r="H1370" s="30" t="n">
        <v>42946</v>
      </c>
      <c r="I1370" s="8" t="n">
        <f aca="false">INDEX(Parâmetros!$C$13:$C$19,MATCH(E1370,Parâmetros!$A$13:$A$19,0))</f>
        <v>550</v>
      </c>
      <c r="J1370" s="26" t="n">
        <f aca="false">IF(H1370="","",Parâmetros!$B$5-H1370)</f>
        <v>154</v>
      </c>
      <c r="K1370" s="10" t="n">
        <f aca="false">INDEX(Parâmetros!$D$13:$D$19,MATCH(E1370,Parâmetros!$A$13:$A$19,0))</f>
        <v>22</v>
      </c>
      <c r="L1370" s="10" t="n">
        <f aca="false">IF(G1370="Prospecting",Parâmetros!$B$9,IF(J1370&gt;Parâmetros!$B$6,0,INDEX(Parâmetros!$C$24:$C$26,MATCH(J1370,Parâmetros!$A$24:$A$26,1))))</f>
        <v>0</v>
      </c>
      <c r="M1370" s="31" t="n">
        <f aca="false">IF(G1370="Prospecting",1,INDEX(Parâmetros!$C$32:$C$35,MATCH(J1370,Parâmetros!$A$32:$A$35,1)))</f>
        <v>0.6</v>
      </c>
      <c r="N1370" s="2" t="n">
        <f aca="false">ROUND((K1370+L1370)*M1370,0)</f>
        <v>13</v>
      </c>
      <c r="O1370" s="10" t="str">
        <f aca="false">IF(AND(G1370="Engaging",J1370&gt;Parâmetros!$B$6),"Sim","Não")</f>
        <v>Sim</v>
      </c>
      <c r="P1370" s="32" t="str">
        <f aca="false">IF(O1370="Sim","R",IF(N1370&gt;=Parâmetros!$B$39,"A",IF(N1370&gt;=Parâmetros!$B$40,"B",IF(N1370&gt;=Parâmetros!$B$41,"C","D"))))</f>
        <v>R</v>
      </c>
      <c r="Q1370" s="10" t="str">
        <f aca="false">IF(F1370="","Completar cadastro","")</f>
        <v>Completar cadastro</v>
      </c>
      <c r="R1370" s="10" t="str">
        <f aca="false">INDEX(Parâmetros!$D$39:$D$43,MATCH(P1370,Parâmetros!$A$39:$A$43,0))</f>
        <v>Reciclar: requalificar, reengajar ou encerrar</v>
      </c>
    </row>
    <row r="1371" customFormat="false" ht="15" hidden="false" customHeight="false" outlineLevel="0" collapsed="false">
      <c r="A1371" s="10" t="s">
        <v>1617</v>
      </c>
      <c r="B1371" s="10" t="s">
        <v>83</v>
      </c>
      <c r="C1371" s="10" t="s">
        <v>78</v>
      </c>
      <c r="D1371" s="10" t="s">
        <v>196</v>
      </c>
      <c r="E1371" s="10" t="s">
        <v>51</v>
      </c>
      <c r="F1371" s="10" t="s">
        <v>359</v>
      </c>
      <c r="G1371" s="10" t="s">
        <v>162</v>
      </c>
      <c r="H1371" s="30" t="n">
        <v>42946</v>
      </c>
      <c r="I1371" s="8" t="n">
        <f aca="false">INDEX(Parâmetros!$C$13:$C$19,MATCH(E1371,Parâmetros!$A$13:$A$19,0))</f>
        <v>550</v>
      </c>
      <c r="J1371" s="26" t="n">
        <f aca="false">IF(H1371="","",Parâmetros!$B$5-H1371)</f>
        <v>154</v>
      </c>
      <c r="K1371" s="10" t="n">
        <f aca="false">INDEX(Parâmetros!$D$13:$D$19,MATCH(E1371,Parâmetros!$A$13:$A$19,0))</f>
        <v>22</v>
      </c>
      <c r="L1371" s="10" t="n">
        <f aca="false">IF(G1371="Prospecting",Parâmetros!$B$9,IF(J1371&gt;Parâmetros!$B$6,0,INDEX(Parâmetros!$C$24:$C$26,MATCH(J1371,Parâmetros!$A$24:$A$26,1))))</f>
        <v>0</v>
      </c>
      <c r="M1371" s="31" t="n">
        <f aca="false">IF(G1371="Prospecting",1,INDEX(Parâmetros!$C$32:$C$35,MATCH(J1371,Parâmetros!$A$32:$A$35,1)))</f>
        <v>0.6</v>
      </c>
      <c r="N1371" s="2" t="n">
        <f aca="false">ROUND((K1371+L1371)*M1371,0)</f>
        <v>13</v>
      </c>
      <c r="O1371" s="10" t="str">
        <f aca="false">IF(AND(G1371="Engaging",J1371&gt;Parâmetros!$B$6),"Sim","Não")</f>
        <v>Sim</v>
      </c>
      <c r="P1371" s="32" t="str">
        <f aca="false">IF(O1371="Sim","R",IF(N1371&gt;=Parâmetros!$B$39,"A",IF(N1371&gt;=Parâmetros!$B$40,"B",IF(N1371&gt;=Parâmetros!$B$41,"C","D"))))</f>
        <v>R</v>
      </c>
      <c r="Q1371" s="10" t="str">
        <f aca="false">IF(F1371="","Completar cadastro","")</f>
        <v/>
      </c>
      <c r="R1371" s="10" t="str">
        <f aca="false">INDEX(Parâmetros!$D$39:$D$43,MATCH(P1371,Parâmetros!$A$39:$A$43,0))</f>
        <v>Reciclar: requalificar, reengajar ou encerrar</v>
      </c>
    </row>
    <row r="1372" customFormat="false" ht="15" hidden="false" customHeight="false" outlineLevel="0" collapsed="false">
      <c r="A1372" s="10" t="s">
        <v>1618</v>
      </c>
      <c r="B1372" s="10" t="s">
        <v>83</v>
      </c>
      <c r="C1372" s="10" t="s">
        <v>78</v>
      </c>
      <c r="D1372" s="10" t="s">
        <v>196</v>
      </c>
      <c r="E1372" s="10" t="s">
        <v>51</v>
      </c>
      <c r="F1372" s="10"/>
      <c r="G1372" s="10" t="s">
        <v>162</v>
      </c>
      <c r="H1372" s="30" t="n">
        <v>42946</v>
      </c>
      <c r="I1372" s="8" t="n">
        <f aca="false">INDEX(Parâmetros!$C$13:$C$19,MATCH(E1372,Parâmetros!$A$13:$A$19,0))</f>
        <v>550</v>
      </c>
      <c r="J1372" s="26" t="n">
        <f aca="false">IF(H1372="","",Parâmetros!$B$5-H1372)</f>
        <v>154</v>
      </c>
      <c r="K1372" s="10" t="n">
        <f aca="false">INDEX(Parâmetros!$D$13:$D$19,MATCH(E1372,Parâmetros!$A$13:$A$19,0))</f>
        <v>22</v>
      </c>
      <c r="L1372" s="10" t="n">
        <f aca="false">IF(G1372="Prospecting",Parâmetros!$B$9,IF(J1372&gt;Parâmetros!$B$6,0,INDEX(Parâmetros!$C$24:$C$26,MATCH(J1372,Parâmetros!$A$24:$A$26,1))))</f>
        <v>0</v>
      </c>
      <c r="M1372" s="31" t="n">
        <f aca="false">IF(G1372="Prospecting",1,INDEX(Parâmetros!$C$32:$C$35,MATCH(J1372,Parâmetros!$A$32:$A$35,1)))</f>
        <v>0.6</v>
      </c>
      <c r="N1372" s="2" t="n">
        <f aca="false">ROUND((K1372+L1372)*M1372,0)</f>
        <v>13</v>
      </c>
      <c r="O1372" s="10" t="str">
        <f aca="false">IF(AND(G1372="Engaging",J1372&gt;Parâmetros!$B$6),"Sim","Não")</f>
        <v>Sim</v>
      </c>
      <c r="P1372" s="32" t="str">
        <f aca="false">IF(O1372="Sim","R",IF(N1372&gt;=Parâmetros!$B$39,"A",IF(N1372&gt;=Parâmetros!$B$40,"B",IF(N1372&gt;=Parâmetros!$B$41,"C","D"))))</f>
        <v>R</v>
      </c>
      <c r="Q1372" s="10" t="str">
        <f aca="false">IF(F1372="","Completar cadastro","")</f>
        <v>Completar cadastro</v>
      </c>
      <c r="R1372" s="10" t="str">
        <f aca="false">INDEX(Parâmetros!$D$39:$D$43,MATCH(P1372,Parâmetros!$A$39:$A$43,0))</f>
        <v>Reciclar: requalificar, reengajar ou encerrar</v>
      </c>
    </row>
    <row r="1373" customFormat="false" ht="15" hidden="false" customHeight="false" outlineLevel="0" collapsed="false">
      <c r="A1373" s="10" t="s">
        <v>1619</v>
      </c>
      <c r="B1373" s="10" t="s">
        <v>79</v>
      </c>
      <c r="C1373" s="10" t="s">
        <v>78</v>
      </c>
      <c r="D1373" s="10" t="s">
        <v>196</v>
      </c>
      <c r="E1373" s="10" t="s">
        <v>51</v>
      </c>
      <c r="F1373" s="10" t="s">
        <v>427</v>
      </c>
      <c r="G1373" s="10" t="s">
        <v>162</v>
      </c>
      <c r="H1373" s="30" t="n">
        <v>42947</v>
      </c>
      <c r="I1373" s="8" t="n">
        <f aca="false">INDEX(Parâmetros!$C$13:$C$19,MATCH(E1373,Parâmetros!$A$13:$A$19,0))</f>
        <v>550</v>
      </c>
      <c r="J1373" s="26" t="n">
        <f aca="false">IF(H1373="","",Parâmetros!$B$5-H1373)</f>
        <v>153</v>
      </c>
      <c r="K1373" s="10" t="n">
        <f aca="false">INDEX(Parâmetros!$D$13:$D$19,MATCH(E1373,Parâmetros!$A$13:$A$19,0))</f>
        <v>22</v>
      </c>
      <c r="L1373" s="10" t="n">
        <f aca="false">IF(G1373="Prospecting",Parâmetros!$B$9,IF(J1373&gt;Parâmetros!$B$6,0,INDEX(Parâmetros!$C$24:$C$26,MATCH(J1373,Parâmetros!$A$24:$A$26,1))))</f>
        <v>0</v>
      </c>
      <c r="M1373" s="31" t="n">
        <f aca="false">IF(G1373="Prospecting",1,INDEX(Parâmetros!$C$32:$C$35,MATCH(J1373,Parâmetros!$A$32:$A$35,1)))</f>
        <v>0.6</v>
      </c>
      <c r="N1373" s="2" t="n">
        <f aca="false">ROUND((K1373+L1373)*M1373,0)</f>
        <v>13</v>
      </c>
      <c r="O1373" s="10" t="str">
        <f aca="false">IF(AND(G1373="Engaging",J1373&gt;Parâmetros!$B$6),"Sim","Não")</f>
        <v>Sim</v>
      </c>
      <c r="P1373" s="32" t="str">
        <f aca="false">IF(O1373="Sim","R",IF(N1373&gt;=Parâmetros!$B$39,"A",IF(N1373&gt;=Parâmetros!$B$40,"B",IF(N1373&gt;=Parâmetros!$B$41,"C","D"))))</f>
        <v>R</v>
      </c>
      <c r="Q1373" s="10" t="str">
        <f aca="false">IF(F1373="","Completar cadastro","")</f>
        <v/>
      </c>
      <c r="R1373" s="10" t="str">
        <f aca="false">INDEX(Parâmetros!$D$39:$D$43,MATCH(P1373,Parâmetros!$A$39:$A$43,0))</f>
        <v>Reciclar: requalificar, reengajar ou encerrar</v>
      </c>
    </row>
    <row r="1374" customFormat="false" ht="15" hidden="false" customHeight="false" outlineLevel="0" collapsed="false">
      <c r="A1374" s="10" t="s">
        <v>1620</v>
      </c>
      <c r="B1374" s="10" t="s">
        <v>80</v>
      </c>
      <c r="C1374" s="10" t="s">
        <v>78</v>
      </c>
      <c r="D1374" s="10" t="s">
        <v>196</v>
      </c>
      <c r="E1374" s="10" t="s">
        <v>51</v>
      </c>
      <c r="F1374" s="10"/>
      <c r="G1374" s="10" t="s">
        <v>162</v>
      </c>
      <c r="H1374" s="30" t="n">
        <v>42947</v>
      </c>
      <c r="I1374" s="8" t="n">
        <f aca="false">INDEX(Parâmetros!$C$13:$C$19,MATCH(E1374,Parâmetros!$A$13:$A$19,0))</f>
        <v>550</v>
      </c>
      <c r="J1374" s="26" t="n">
        <f aca="false">IF(H1374="","",Parâmetros!$B$5-H1374)</f>
        <v>153</v>
      </c>
      <c r="K1374" s="10" t="n">
        <f aca="false">INDEX(Parâmetros!$D$13:$D$19,MATCH(E1374,Parâmetros!$A$13:$A$19,0))</f>
        <v>22</v>
      </c>
      <c r="L1374" s="10" t="n">
        <f aca="false">IF(G1374="Prospecting",Parâmetros!$B$9,IF(J1374&gt;Parâmetros!$B$6,0,INDEX(Parâmetros!$C$24:$C$26,MATCH(J1374,Parâmetros!$A$24:$A$26,1))))</f>
        <v>0</v>
      </c>
      <c r="M1374" s="31" t="n">
        <f aca="false">IF(G1374="Prospecting",1,INDEX(Parâmetros!$C$32:$C$35,MATCH(J1374,Parâmetros!$A$32:$A$35,1)))</f>
        <v>0.6</v>
      </c>
      <c r="N1374" s="2" t="n">
        <f aca="false">ROUND((K1374+L1374)*M1374,0)</f>
        <v>13</v>
      </c>
      <c r="O1374" s="10" t="str">
        <f aca="false">IF(AND(G1374="Engaging",J1374&gt;Parâmetros!$B$6),"Sim","Não")</f>
        <v>Sim</v>
      </c>
      <c r="P1374" s="32" t="str">
        <f aca="false">IF(O1374="Sim","R",IF(N1374&gt;=Parâmetros!$B$39,"A",IF(N1374&gt;=Parâmetros!$B$40,"B",IF(N1374&gt;=Parâmetros!$B$41,"C","D"))))</f>
        <v>R</v>
      </c>
      <c r="Q1374" s="10" t="str">
        <f aca="false">IF(F1374="","Completar cadastro","")</f>
        <v>Completar cadastro</v>
      </c>
      <c r="R1374" s="10" t="str">
        <f aca="false">INDEX(Parâmetros!$D$39:$D$43,MATCH(P1374,Parâmetros!$A$39:$A$43,0))</f>
        <v>Reciclar: requalificar, reengajar ou encerrar</v>
      </c>
    </row>
    <row r="1375" customFormat="false" ht="15" hidden="false" customHeight="false" outlineLevel="0" collapsed="false">
      <c r="A1375" s="10" t="s">
        <v>1621</v>
      </c>
      <c r="B1375" s="10" t="s">
        <v>74</v>
      </c>
      <c r="C1375" s="10" t="s">
        <v>72</v>
      </c>
      <c r="D1375" s="10" t="s">
        <v>196</v>
      </c>
      <c r="E1375" s="10" t="s">
        <v>51</v>
      </c>
      <c r="F1375" s="10"/>
      <c r="G1375" s="10" t="s">
        <v>162</v>
      </c>
      <c r="H1375" s="30" t="n">
        <v>42947</v>
      </c>
      <c r="I1375" s="8" t="n">
        <f aca="false">INDEX(Parâmetros!$C$13:$C$19,MATCH(E1375,Parâmetros!$A$13:$A$19,0))</f>
        <v>550</v>
      </c>
      <c r="J1375" s="26" t="n">
        <f aca="false">IF(H1375="","",Parâmetros!$B$5-H1375)</f>
        <v>153</v>
      </c>
      <c r="K1375" s="10" t="n">
        <f aca="false">INDEX(Parâmetros!$D$13:$D$19,MATCH(E1375,Parâmetros!$A$13:$A$19,0))</f>
        <v>22</v>
      </c>
      <c r="L1375" s="10" t="n">
        <f aca="false">IF(G1375="Prospecting",Parâmetros!$B$9,IF(J1375&gt;Parâmetros!$B$6,0,INDEX(Parâmetros!$C$24:$C$26,MATCH(J1375,Parâmetros!$A$24:$A$26,1))))</f>
        <v>0</v>
      </c>
      <c r="M1375" s="31" t="n">
        <f aca="false">IF(G1375="Prospecting",1,INDEX(Parâmetros!$C$32:$C$35,MATCH(J1375,Parâmetros!$A$32:$A$35,1)))</f>
        <v>0.6</v>
      </c>
      <c r="N1375" s="2" t="n">
        <f aca="false">ROUND((K1375+L1375)*M1375,0)</f>
        <v>13</v>
      </c>
      <c r="O1375" s="10" t="str">
        <f aca="false">IF(AND(G1375="Engaging",J1375&gt;Parâmetros!$B$6),"Sim","Não")</f>
        <v>Sim</v>
      </c>
      <c r="P1375" s="32" t="str">
        <f aca="false">IF(O1375="Sim","R",IF(N1375&gt;=Parâmetros!$B$39,"A",IF(N1375&gt;=Parâmetros!$B$40,"B",IF(N1375&gt;=Parâmetros!$B$41,"C","D"))))</f>
        <v>R</v>
      </c>
      <c r="Q1375" s="10" t="str">
        <f aca="false">IF(F1375="","Completar cadastro","")</f>
        <v>Completar cadastro</v>
      </c>
      <c r="R1375" s="10" t="str">
        <f aca="false">INDEX(Parâmetros!$D$39:$D$43,MATCH(P1375,Parâmetros!$A$39:$A$43,0))</f>
        <v>Reciclar: requalificar, reengajar ou encerrar</v>
      </c>
    </row>
    <row r="1376" customFormat="false" ht="15" hidden="false" customHeight="false" outlineLevel="0" collapsed="false">
      <c r="A1376" s="10" t="s">
        <v>1622</v>
      </c>
      <c r="B1376" s="10" t="s">
        <v>83</v>
      </c>
      <c r="C1376" s="10" t="s">
        <v>78</v>
      </c>
      <c r="D1376" s="10" t="s">
        <v>196</v>
      </c>
      <c r="E1376" s="10" t="s">
        <v>51</v>
      </c>
      <c r="F1376" s="10" t="s">
        <v>233</v>
      </c>
      <c r="G1376" s="10" t="s">
        <v>162</v>
      </c>
      <c r="H1376" s="30" t="n">
        <v>42947</v>
      </c>
      <c r="I1376" s="8" t="n">
        <f aca="false">INDEX(Parâmetros!$C$13:$C$19,MATCH(E1376,Parâmetros!$A$13:$A$19,0))</f>
        <v>550</v>
      </c>
      <c r="J1376" s="26" t="n">
        <f aca="false">IF(H1376="","",Parâmetros!$B$5-H1376)</f>
        <v>153</v>
      </c>
      <c r="K1376" s="10" t="n">
        <f aca="false">INDEX(Parâmetros!$D$13:$D$19,MATCH(E1376,Parâmetros!$A$13:$A$19,0))</f>
        <v>22</v>
      </c>
      <c r="L1376" s="10" t="n">
        <f aca="false">IF(G1376="Prospecting",Parâmetros!$B$9,IF(J1376&gt;Parâmetros!$B$6,0,INDEX(Parâmetros!$C$24:$C$26,MATCH(J1376,Parâmetros!$A$24:$A$26,1))))</f>
        <v>0</v>
      </c>
      <c r="M1376" s="31" t="n">
        <f aca="false">IF(G1376="Prospecting",1,INDEX(Parâmetros!$C$32:$C$35,MATCH(J1376,Parâmetros!$A$32:$A$35,1)))</f>
        <v>0.6</v>
      </c>
      <c r="N1376" s="2" t="n">
        <f aca="false">ROUND((K1376+L1376)*M1376,0)</f>
        <v>13</v>
      </c>
      <c r="O1376" s="10" t="str">
        <f aca="false">IF(AND(G1376="Engaging",J1376&gt;Parâmetros!$B$6),"Sim","Não")</f>
        <v>Sim</v>
      </c>
      <c r="P1376" s="32" t="str">
        <f aca="false">IF(O1376="Sim","R",IF(N1376&gt;=Parâmetros!$B$39,"A",IF(N1376&gt;=Parâmetros!$B$40,"B",IF(N1376&gt;=Parâmetros!$B$41,"C","D"))))</f>
        <v>R</v>
      </c>
      <c r="Q1376" s="10" t="str">
        <f aca="false">IF(F1376="","Completar cadastro","")</f>
        <v/>
      </c>
      <c r="R1376" s="10" t="str">
        <f aca="false">INDEX(Parâmetros!$D$39:$D$43,MATCH(P1376,Parâmetros!$A$39:$A$43,0))</f>
        <v>Reciclar: requalificar, reengajar ou encerrar</v>
      </c>
    </row>
    <row r="1377" customFormat="false" ht="15" hidden="false" customHeight="false" outlineLevel="0" collapsed="false">
      <c r="A1377" s="10" t="s">
        <v>1623</v>
      </c>
      <c r="B1377" s="10" t="s">
        <v>79</v>
      </c>
      <c r="C1377" s="10" t="s">
        <v>78</v>
      </c>
      <c r="D1377" s="10" t="s">
        <v>196</v>
      </c>
      <c r="E1377" s="10" t="s">
        <v>51</v>
      </c>
      <c r="F1377" s="10"/>
      <c r="G1377" s="10" t="s">
        <v>162</v>
      </c>
      <c r="H1377" s="30" t="n">
        <v>42948</v>
      </c>
      <c r="I1377" s="8" t="n">
        <f aca="false">INDEX(Parâmetros!$C$13:$C$19,MATCH(E1377,Parâmetros!$A$13:$A$19,0))</f>
        <v>550</v>
      </c>
      <c r="J1377" s="26" t="n">
        <f aca="false">IF(H1377="","",Parâmetros!$B$5-H1377)</f>
        <v>152</v>
      </c>
      <c r="K1377" s="10" t="n">
        <f aca="false">INDEX(Parâmetros!$D$13:$D$19,MATCH(E1377,Parâmetros!$A$13:$A$19,0))</f>
        <v>22</v>
      </c>
      <c r="L1377" s="10" t="n">
        <f aca="false">IF(G1377="Prospecting",Parâmetros!$B$9,IF(J1377&gt;Parâmetros!$B$6,0,INDEX(Parâmetros!$C$24:$C$26,MATCH(J1377,Parâmetros!$A$24:$A$26,1))))</f>
        <v>0</v>
      </c>
      <c r="M1377" s="31" t="n">
        <f aca="false">IF(G1377="Prospecting",1,INDEX(Parâmetros!$C$32:$C$35,MATCH(J1377,Parâmetros!$A$32:$A$35,1)))</f>
        <v>0.6</v>
      </c>
      <c r="N1377" s="2" t="n">
        <f aca="false">ROUND((K1377+L1377)*M1377,0)</f>
        <v>13</v>
      </c>
      <c r="O1377" s="10" t="str">
        <f aca="false">IF(AND(G1377="Engaging",J1377&gt;Parâmetros!$B$6),"Sim","Não")</f>
        <v>Sim</v>
      </c>
      <c r="P1377" s="32" t="str">
        <f aca="false">IF(O1377="Sim","R",IF(N1377&gt;=Parâmetros!$B$39,"A",IF(N1377&gt;=Parâmetros!$B$40,"B",IF(N1377&gt;=Parâmetros!$B$41,"C","D"))))</f>
        <v>R</v>
      </c>
      <c r="Q1377" s="10" t="str">
        <f aca="false">IF(F1377="","Completar cadastro","")</f>
        <v>Completar cadastro</v>
      </c>
      <c r="R1377" s="10" t="str">
        <f aca="false">INDEX(Parâmetros!$D$39:$D$43,MATCH(P1377,Parâmetros!$A$39:$A$43,0))</f>
        <v>Reciclar: requalificar, reengajar ou encerrar</v>
      </c>
    </row>
    <row r="1378" customFormat="false" ht="15" hidden="false" customHeight="false" outlineLevel="0" collapsed="false">
      <c r="A1378" s="10" t="s">
        <v>1624</v>
      </c>
      <c r="B1378" s="10" t="s">
        <v>74</v>
      </c>
      <c r="C1378" s="10" t="s">
        <v>72</v>
      </c>
      <c r="D1378" s="10" t="s">
        <v>196</v>
      </c>
      <c r="E1378" s="10" t="s">
        <v>51</v>
      </c>
      <c r="F1378" s="10"/>
      <c r="G1378" s="10" t="s">
        <v>162</v>
      </c>
      <c r="H1378" s="30" t="n">
        <v>42948</v>
      </c>
      <c r="I1378" s="8" t="n">
        <f aca="false">INDEX(Parâmetros!$C$13:$C$19,MATCH(E1378,Parâmetros!$A$13:$A$19,0))</f>
        <v>550</v>
      </c>
      <c r="J1378" s="26" t="n">
        <f aca="false">IF(H1378="","",Parâmetros!$B$5-H1378)</f>
        <v>152</v>
      </c>
      <c r="K1378" s="10" t="n">
        <f aca="false">INDEX(Parâmetros!$D$13:$D$19,MATCH(E1378,Parâmetros!$A$13:$A$19,0))</f>
        <v>22</v>
      </c>
      <c r="L1378" s="10" t="n">
        <f aca="false">IF(G1378="Prospecting",Parâmetros!$B$9,IF(J1378&gt;Parâmetros!$B$6,0,INDEX(Parâmetros!$C$24:$C$26,MATCH(J1378,Parâmetros!$A$24:$A$26,1))))</f>
        <v>0</v>
      </c>
      <c r="M1378" s="31" t="n">
        <f aca="false">IF(G1378="Prospecting",1,INDEX(Parâmetros!$C$32:$C$35,MATCH(J1378,Parâmetros!$A$32:$A$35,1)))</f>
        <v>0.6</v>
      </c>
      <c r="N1378" s="2" t="n">
        <f aca="false">ROUND((K1378+L1378)*M1378,0)</f>
        <v>13</v>
      </c>
      <c r="O1378" s="10" t="str">
        <f aca="false">IF(AND(G1378="Engaging",J1378&gt;Parâmetros!$B$6),"Sim","Não")</f>
        <v>Sim</v>
      </c>
      <c r="P1378" s="32" t="str">
        <f aca="false">IF(O1378="Sim","R",IF(N1378&gt;=Parâmetros!$B$39,"A",IF(N1378&gt;=Parâmetros!$B$40,"B",IF(N1378&gt;=Parâmetros!$B$41,"C","D"))))</f>
        <v>R</v>
      </c>
      <c r="Q1378" s="10" t="str">
        <f aca="false">IF(F1378="","Completar cadastro","")</f>
        <v>Completar cadastro</v>
      </c>
      <c r="R1378" s="10" t="str">
        <f aca="false">INDEX(Parâmetros!$D$39:$D$43,MATCH(P1378,Parâmetros!$A$39:$A$43,0))</f>
        <v>Reciclar: requalificar, reengajar ou encerrar</v>
      </c>
    </row>
    <row r="1379" customFormat="false" ht="15" hidden="false" customHeight="false" outlineLevel="0" collapsed="false">
      <c r="A1379" s="10" t="s">
        <v>1625</v>
      </c>
      <c r="B1379" s="10" t="s">
        <v>80</v>
      </c>
      <c r="C1379" s="10" t="s">
        <v>78</v>
      </c>
      <c r="D1379" s="10" t="s">
        <v>196</v>
      </c>
      <c r="E1379" s="10" t="s">
        <v>51</v>
      </c>
      <c r="F1379" s="10"/>
      <c r="G1379" s="10" t="s">
        <v>162</v>
      </c>
      <c r="H1379" s="30" t="n">
        <v>42949</v>
      </c>
      <c r="I1379" s="8" t="n">
        <f aca="false">INDEX(Parâmetros!$C$13:$C$19,MATCH(E1379,Parâmetros!$A$13:$A$19,0))</f>
        <v>550</v>
      </c>
      <c r="J1379" s="26" t="n">
        <f aca="false">IF(H1379="","",Parâmetros!$B$5-H1379)</f>
        <v>151</v>
      </c>
      <c r="K1379" s="10" t="n">
        <f aca="false">INDEX(Parâmetros!$D$13:$D$19,MATCH(E1379,Parâmetros!$A$13:$A$19,0))</f>
        <v>22</v>
      </c>
      <c r="L1379" s="10" t="n">
        <f aca="false">IF(G1379="Prospecting",Parâmetros!$B$9,IF(J1379&gt;Parâmetros!$B$6,0,INDEX(Parâmetros!$C$24:$C$26,MATCH(J1379,Parâmetros!$A$24:$A$26,1))))</f>
        <v>0</v>
      </c>
      <c r="M1379" s="31" t="n">
        <f aca="false">IF(G1379="Prospecting",1,INDEX(Parâmetros!$C$32:$C$35,MATCH(J1379,Parâmetros!$A$32:$A$35,1)))</f>
        <v>0.6</v>
      </c>
      <c r="N1379" s="2" t="n">
        <f aca="false">ROUND((K1379+L1379)*M1379,0)</f>
        <v>13</v>
      </c>
      <c r="O1379" s="10" t="str">
        <f aca="false">IF(AND(G1379="Engaging",J1379&gt;Parâmetros!$B$6),"Sim","Não")</f>
        <v>Sim</v>
      </c>
      <c r="P1379" s="32" t="str">
        <f aca="false">IF(O1379="Sim","R",IF(N1379&gt;=Parâmetros!$B$39,"A",IF(N1379&gt;=Parâmetros!$B$40,"B",IF(N1379&gt;=Parâmetros!$B$41,"C","D"))))</f>
        <v>R</v>
      </c>
      <c r="Q1379" s="10" t="str">
        <f aca="false">IF(F1379="","Completar cadastro","")</f>
        <v>Completar cadastro</v>
      </c>
      <c r="R1379" s="10" t="str">
        <f aca="false">INDEX(Parâmetros!$D$39:$D$43,MATCH(P1379,Parâmetros!$A$39:$A$43,0))</f>
        <v>Reciclar: requalificar, reengajar ou encerrar</v>
      </c>
    </row>
    <row r="1380" customFormat="false" ht="15" hidden="false" customHeight="false" outlineLevel="0" collapsed="false">
      <c r="A1380" s="10" t="s">
        <v>1626</v>
      </c>
      <c r="B1380" s="10" t="s">
        <v>80</v>
      </c>
      <c r="C1380" s="10" t="s">
        <v>78</v>
      </c>
      <c r="D1380" s="10" t="s">
        <v>196</v>
      </c>
      <c r="E1380" s="10" t="s">
        <v>51</v>
      </c>
      <c r="F1380" s="10"/>
      <c r="G1380" s="10" t="s">
        <v>162</v>
      </c>
      <c r="H1380" s="30" t="n">
        <v>42950</v>
      </c>
      <c r="I1380" s="8" t="n">
        <f aca="false">INDEX(Parâmetros!$C$13:$C$19,MATCH(E1380,Parâmetros!$A$13:$A$19,0))</f>
        <v>550</v>
      </c>
      <c r="J1380" s="26" t="n">
        <f aca="false">IF(H1380="","",Parâmetros!$B$5-H1380)</f>
        <v>150</v>
      </c>
      <c r="K1380" s="10" t="n">
        <f aca="false">INDEX(Parâmetros!$D$13:$D$19,MATCH(E1380,Parâmetros!$A$13:$A$19,0))</f>
        <v>22</v>
      </c>
      <c r="L1380" s="10" t="n">
        <f aca="false">IF(G1380="Prospecting",Parâmetros!$B$9,IF(J1380&gt;Parâmetros!$B$6,0,INDEX(Parâmetros!$C$24:$C$26,MATCH(J1380,Parâmetros!$A$24:$A$26,1))))</f>
        <v>0</v>
      </c>
      <c r="M1380" s="31" t="n">
        <f aca="false">IF(G1380="Prospecting",1,INDEX(Parâmetros!$C$32:$C$35,MATCH(J1380,Parâmetros!$A$32:$A$35,1)))</f>
        <v>0.6</v>
      </c>
      <c r="N1380" s="2" t="n">
        <f aca="false">ROUND((K1380+L1380)*M1380,0)</f>
        <v>13</v>
      </c>
      <c r="O1380" s="10" t="str">
        <f aca="false">IF(AND(G1380="Engaging",J1380&gt;Parâmetros!$B$6),"Sim","Não")</f>
        <v>Sim</v>
      </c>
      <c r="P1380" s="32" t="str">
        <f aca="false">IF(O1380="Sim","R",IF(N1380&gt;=Parâmetros!$B$39,"A",IF(N1380&gt;=Parâmetros!$B$40,"B",IF(N1380&gt;=Parâmetros!$B$41,"C","D"))))</f>
        <v>R</v>
      </c>
      <c r="Q1380" s="10" t="str">
        <f aca="false">IF(F1380="","Completar cadastro","")</f>
        <v>Completar cadastro</v>
      </c>
      <c r="R1380" s="10" t="str">
        <f aca="false">INDEX(Parâmetros!$D$39:$D$43,MATCH(P1380,Parâmetros!$A$39:$A$43,0))</f>
        <v>Reciclar: requalificar, reengajar ou encerrar</v>
      </c>
    </row>
    <row r="1381" customFormat="false" ht="15" hidden="false" customHeight="false" outlineLevel="0" collapsed="false">
      <c r="A1381" s="10" t="s">
        <v>1627</v>
      </c>
      <c r="B1381" s="10" t="s">
        <v>95</v>
      </c>
      <c r="C1381" s="10" t="s">
        <v>92</v>
      </c>
      <c r="D1381" s="10" t="s">
        <v>160</v>
      </c>
      <c r="E1381" s="10" t="s">
        <v>51</v>
      </c>
      <c r="F1381" s="10"/>
      <c r="G1381" s="10" t="s">
        <v>162</v>
      </c>
      <c r="H1381" s="30" t="n">
        <v>42950</v>
      </c>
      <c r="I1381" s="8" t="n">
        <f aca="false">INDEX(Parâmetros!$C$13:$C$19,MATCH(E1381,Parâmetros!$A$13:$A$19,0))</f>
        <v>550</v>
      </c>
      <c r="J1381" s="26" t="n">
        <f aca="false">IF(H1381="","",Parâmetros!$B$5-H1381)</f>
        <v>150</v>
      </c>
      <c r="K1381" s="10" t="n">
        <f aca="false">INDEX(Parâmetros!$D$13:$D$19,MATCH(E1381,Parâmetros!$A$13:$A$19,0))</f>
        <v>22</v>
      </c>
      <c r="L1381" s="10" t="n">
        <f aca="false">IF(G1381="Prospecting",Parâmetros!$B$9,IF(J1381&gt;Parâmetros!$B$6,0,INDEX(Parâmetros!$C$24:$C$26,MATCH(J1381,Parâmetros!$A$24:$A$26,1))))</f>
        <v>0</v>
      </c>
      <c r="M1381" s="31" t="n">
        <f aca="false">IF(G1381="Prospecting",1,INDEX(Parâmetros!$C$32:$C$35,MATCH(J1381,Parâmetros!$A$32:$A$35,1)))</f>
        <v>0.6</v>
      </c>
      <c r="N1381" s="2" t="n">
        <f aca="false">ROUND((K1381+L1381)*M1381,0)</f>
        <v>13</v>
      </c>
      <c r="O1381" s="10" t="str">
        <f aca="false">IF(AND(G1381="Engaging",J1381&gt;Parâmetros!$B$6),"Sim","Não")</f>
        <v>Sim</v>
      </c>
      <c r="P1381" s="32" t="str">
        <f aca="false">IF(O1381="Sim","R",IF(N1381&gt;=Parâmetros!$B$39,"A",IF(N1381&gt;=Parâmetros!$B$40,"B",IF(N1381&gt;=Parâmetros!$B$41,"C","D"))))</f>
        <v>R</v>
      </c>
      <c r="Q1381" s="10" t="str">
        <f aca="false">IF(F1381="","Completar cadastro","")</f>
        <v>Completar cadastro</v>
      </c>
      <c r="R1381" s="10" t="str">
        <f aca="false">INDEX(Parâmetros!$D$39:$D$43,MATCH(P1381,Parâmetros!$A$39:$A$43,0))</f>
        <v>Reciclar: requalificar, reengajar ou encerrar</v>
      </c>
    </row>
    <row r="1382" customFormat="false" ht="15" hidden="false" customHeight="false" outlineLevel="0" collapsed="false">
      <c r="A1382" s="10" t="s">
        <v>1628</v>
      </c>
      <c r="B1382" s="10" t="s">
        <v>76</v>
      </c>
      <c r="C1382" s="10" t="s">
        <v>72</v>
      </c>
      <c r="D1382" s="10" t="s">
        <v>196</v>
      </c>
      <c r="E1382" s="10" t="s">
        <v>51</v>
      </c>
      <c r="F1382" s="10"/>
      <c r="G1382" s="10" t="s">
        <v>162</v>
      </c>
      <c r="H1382" s="30" t="n">
        <v>42950</v>
      </c>
      <c r="I1382" s="8" t="n">
        <f aca="false">INDEX(Parâmetros!$C$13:$C$19,MATCH(E1382,Parâmetros!$A$13:$A$19,0))</f>
        <v>550</v>
      </c>
      <c r="J1382" s="26" t="n">
        <f aca="false">IF(H1382="","",Parâmetros!$B$5-H1382)</f>
        <v>150</v>
      </c>
      <c r="K1382" s="10" t="n">
        <f aca="false">INDEX(Parâmetros!$D$13:$D$19,MATCH(E1382,Parâmetros!$A$13:$A$19,0))</f>
        <v>22</v>
      </c>
      <c r="L1382" s="10" t="n">
        <f aca="false">IF(G1382="Prospecting",Parâmetros!$B$9,IF(J1382&gt;Parâmetros!$B$6,0,INDEX(Parâmetros!$C$24:$C$26,MATCH(J1382,Parâmetros!$A$24:$A$26,1))))</f>
        <v>0</v>
      </c>
      <c r="M1382" s="31" t="n">
        <f aca="false">IF(G1382="Prospecting",1,INDEX(Parâmetros!$C$32:$C$35,MATCH(J1382,Parâmetros!$A$32:$A$35,1)))</f>
        <v>0.6</v>
      </c>
      <c r="N1382" s="2" t="n">
        <f aca="false">ROUND((K1382+L1382)*M1382,0)</f>
        <v>13</v>
      </c>
      <c r="O1382" s="10" t="str">
        <f aca="false">IF(AND(G1382="Engaging",J1382&gt;Parâmetros!$B$6),"Sim","Não")</f>
        <v>Sim</v>
      </c>
      <c r="P1382" s="32" t="str">
        <f aca="false">IF(O1382="Sim","R",IF(N1382&gt;=Parâmetros!$B$39,"A",IF(N1382&gt;=Parâmetros!$B$40,"B",IF(N1382&gt;=Parâmetros!$B$41,"C","D"))))</f>
        <v>R</v>
      </c>
      <c r="Q1382" s="10" t="str">
        <f aca="false">IF(F1382="","Completar cadastro","")</f>
        <v>Completar cadastro</v>
      </c>
      <c r="R1382" s="10" t="str">
        <f aca="false">INDEX(Parâmetros!$D$39:$D$43,MATCH(P1382,Parâmetros!$A$39:$A$43,0))</f>
        <v>Reciclar: requalificar, reengajar ou encerrar</v>
      </c>
    </row>
    <row r="1383" customFormat="false" ht="15" hidden="false" customHeight="false" outlineLevel="0" collapsed="false">
      <c r="A1383" s="10" t="s">
        <v>1629</v>
      </c>
      <c r="B1383" s="10" t="s">
        <v>74</v>
      </c>
      <c r="C1383" s="10" t="s">
        <v>72</v>
      </c>
      <c r="D1383" s="10" t="s">
        <v>196</v>
      </c>
      <c r="E1383" s="10" t="s">
        <v>51</v>
      </c>
      <c r="F1383" s="10"/>
      <c r="G1383" s="10" t="s">
        <v>162</v>
      </c>
      <c r="H1383" s="30" t="n">
        <v>42951</v>
      </c>
      <c r="I1383" s="8" t="n">
        <f aca="false">INDEX(Parâmetros!$C$13:$C$19,MATCH(E1383,Parâmetros!$A$13:$A$19,0))</f>
        <v>550</v>
      </c>
      <c r="J1383" s="26" t="n">
        <f aca="false">IF(H1383="","",Parâmetros!$B$5-H1383)</f>
        <v>149</v>
      </c>
      <c r="K1383" s="10" t="n">
        <f aca="false">INDEX(Parâmetros!$D$13:$D$19,MATCH(E1383,Parâmetros!$A$13:$A$19,0))</f>
        <v>22</v>
      </c>
      <c r="L1383" s="10" t="n">
        <f aca="false">IF(G1383="Prospecting",Parâmetros!$B$9,IF(J1383&gt;Parâmetros!$B$6,0,INDEX(Parâmetros!$C$24:$C$26,MATCH(J1383,Parâmetros!$A$24:$A$26,1))))</f>
        <v>0</v>
      </c>
      <c r="M1383" s="31" t="n">
        <f aca="false">IF(G1383="Prospecting",1,INDEX(Parâmetros!$C$32:$C$35,MATCH(J1383,Parâmetros!$A$32:$A$35,1)))</f>
        <v>0.6</v>
      </c>
      <c r="N1383" s="2" t="n">
        <f aca="false">ROUND((K1383+L1383)*M1383,0)</f>
        <v>13</v>
      </c>
      <c r="O1383" s="10" t="str">
        <f aca="false">IF(AND(G1383="Engaging",J1383&gt;Parâmetros!$B$6),"Sim","Não")</f>
        <v>Sim</v>
      </c>
      <c r="P1383" s="32" t="str">
        <f aca="false">IF(O1383="Sim","R",IF(N1383&gt;=Parâmetros!$B$39,"A",IF(N1383&gt;=Parâmetros!$B$40,"B",IF(N1383&gt;=Parâmetros!$B$41,"C","D"))))</f>
        <v>R</v>
      </c>
      <c r="Q1383" s="10" t="str">
        <f aca="false">IF(F1383="","Completar cadastro","")</f>
        <v>Completar cadastro</v>
      </c>
      <c r="R1383" s="10" t="str">
        <f aca="false">INDEX(Parâmetros!$D$39:$D$43,MATCH(P1383,Parâmetros!$A$39:$A$43,0))</f>
        <v>Reciclar: requalificar, reengajar ou encerrar</v>
      </c>
    </row>
    <row r="1384" customFormat="false" ht="15" hidden="false" customHeight="false" outlineLevel="0" collapsed="false">
      <c r="A1384" s="10" t="s">
        <v>1630</v>
      </c>
      <c r="B1384" s="10" t="s">
        <v>75</v>
      </c>
      <c r="C1384" s="10" t="s">
        <v>72</v>
      </c>
      <c r="D1384" s="10" t="s">
        <v>196</v>
      </c>
      <c r="E1384" s="10" t="s">
        <v>51</v>
      </c>
      <c r="F1384" s="10" t="s">
        <v>210</v>
      </c>
      <c r="G1384" s="10" t="s">
        <v>162</v>
      </c>
      <c r="H1384" s="30" t="n">
        <v>42951</v>
      </c>
      <c r="I1384" s="8" t="n">
        <f aca="false">INDEX(Parâmetros!$C$13:$C$19,MATCH(E1384,Parâmetros!$A$13:$A$19,0))</f>
        <v>550</v>
      </c>
      <c r="J1384" s="26" t="n">
        <f aca="false">IF(H1384="","",Parâmetros!$B$5-H1384)</f>
        <v>149</v>
      </c>
      <c r="K1384" s="10" t="n">
        <f aca="false">INDEX(Parâmetros!$D$13:$D$19,MATCH(E1384,Parâmetros!$A$13:$A$19,0))</f>
        <v>22</v>
      </c>
      <c r="L1384" s="10" t="n">
        <f aca="false">IF(G1384="Prospecting",Parâmetros!$B$9,IF(J1384&gt;Parâmetros!$B$6,0,INDEX(Parâmetros!$C$24:$C$26,MATCH(J1384,Parâmetros!$A$24:$A$26,1))))</f>
        <v>0</v>
      </c>
      <c r="M1384" s="31" t="n">
        <f aca="false">IF(G1384="Prospecting",1,INDEX(Parâmetros!$C$32:$C$35,MATCH(J1384,Parâmetros!$A$32:$A$35,1)))</f>
        <v>0.6</v>
      </c>
      <c r="N1384" s="2" t="n">
        <f aca="false">ROUND((K1384+L1384)*M1384,0)</f>
        <v>13</v>
      </c>
      <c r="O1384" s="10" t="str">
        <f aca="false">IF(AND(G1384="Engaging",J1384&gt;Parâmetros!$B$6),"Sim","Não")</f>
        <v>Sim</v>
      </c>
      <c r="P1384" s="32" t="str">
        <f aca="false">IF(O1384="Sim","R",IF(N1384&gt;=Parâmetros!$B$39,"A",IF(N1384&gt;=Parâmetros!$B$40,"B",IF(N1384&gt;=Parâmetros!$B$41,"C","D"))))</f>
        <v>R</v>
      </c>
      <c r="Q1384" s="10" t="str">
        <f aca="false">IF(F1384="","Completar cadastro","")</f>
        <v/>
      </c>
      <c r="R1384" s="10" t="str">
        <f aca="false">INDEX(Parâmetros!$D$39:$D$43,MATCH(P1384,Parâmetros!$A$39:$A$43,0))</f>
        <v>Reciclar: requalificar, reengajar ou encerrar</v>
      </c>
    </row>
    <row r="1385" customFormat="false" ht="15" hidden="false" customHeight="false" outlineLevel="0" collapsed="false">
      <c r="A1385" s="10" t="s">
        <v>1631</v>
      </c>
      <c r="B1385" s="10" t="s">
        <v>71</v>
      </c>
      <c r="C1385" s="10" t="s">
        <v>72</v>
      </c>
      <c r="D1385" s="10" t="s">
        <v>196</v>
      </c>
      <c r="E1385" s="10" t="s">
        <v>51</v>
      </c>
      <c r="F1385" s="10"/>
      <c r="G1385" s="10" t="s">
        <v>162</v>
      </c>
      <c r="H1385" s="30" t="n">
        <v>42952</v>
      </c>
      <c r="I1385" s="8" t="n">
        <f aca="false">INDEX(Parâmetros!$C$13:$C$19,MATCH(E1385,Parâmetros!$A$13:$A$19,0))</f>
        <v>550</v>
      </c>
      <c r="J1385" s="26" t="n">
        <f aca="false">IF(H1385="","",Parâmetros!$B$5-H1385)</f>
        <v>148</v>
      </c>
      <c r="K1385" s="10" t="n">
        <f aca="false">INDEX(Parâmetros!$D$13:$D$19,MATCH(E1385,Parâmetros!$A$13:$A$19,0))</f>
        <v>22</v>
      </c>
      <c r="L1385" s="10" t="n">
        <f aca="false">IF(G1385="Prospecting",Parâmetros!$B$9,IF(J1385&gt;Parâmetros!$B$6,0,INDEX(Parâmetros!$C$24:$C$26,MATCH(J1385,Parâmetros!$A$24:$A$26,1))))</f>
        <v>0</v>
      </c>
      <c r="M1385" s="31" t="n">
        <f aca="false">IF(G1385="Prospecting",1,INDEX(Parâmetros!$C$32:$C$35,MATCH(J1385,Parâmetros!$A$32:$A$35,1)))</f>
        <v>0.6</v>
      </c>
      <c r="N1385" s="2" t="n">
        <f aca="false">ROUND((K1385+L1385)*M1385,0)</f>
        <v>13</v>
      </c>
      <c r="O1385" s="10" t="str">
        <f aca="false">IF(AND(G1385="Engaging",J1385&gt;Parâmetros!$B$6),"Sim","Não")</f>
        <v>Sim</v>
      </c>
      <c r="P1385" s="32" t="str">
        <f aca="false">IF(O1385="Sim","R",IF(N1385&gt;=Parâmetros!$B$39,"A",IF(N1385&gt;=Parâmetros!$B$40,"B",IF(N1385&gt;=Parâmetros!$B$41,"C","D"))))</f>
        <v>R</v>
      </c>
      <c r="Q1385" s="10" t="str">
        <f aca="false">IF(F1385="","Completar cadastro","")</f>
        <v>Completar cadastro</v>
      </c>
      <c r="R1385" s="10" t="str">
        <f aca="false">INDEX(Parâmetros!$D$39:$D$43,MATCH(P1385,Parâmetros!$A$39:$A$43,0))</f>
        <v>Reciclar: requalificar, reengajar ou encerrar</v>
      </c>
    </row>
    <row r="1386" customFormat="false" ht="15" hidden="false" customHeight="false" outlineLevel="0" collapsed="false">
      <c r="A1386" s="10" t="s">
        <v>1632</v>
      </c>
      <c r="B1386" s="10" t="s">
        <v>75</v>
      </c>
      <c r="C1386" s="10" t="s">
        <v>72</v>
      </c>
      <c r="D1386" s="10" t="s">
        <v>196</v>
      </c>
      <c r="E1386" s="10" t="s">
        <v>51</v>
      </c>
      <c r="F1386" s="10" t="s">
        <v>293</v>
      </c>
      <c r="G1386" s="10" t="s">
        <v>162</v>
      </c>
      <c r="H1386" s="30" t="n">
        <v>42952</v>
      </c>
      <c r="I1386" s="8" t="n">
        <f aca="false">INDEX(Parâmetros!$C$13:$C$19,MATCH(E1386,Parâmetros!$A$13:$A$19,0))</f>
        <v>550</v>
      </c>
      <c r="J1386" s="26" t="n">
        <f aca="false">IF(H1386="","",Parâmetros!$B$5-H1386)</f>
        <v>148</v>
      </c>
      <c r="K1386" s="10" t="n">
        <f aca="false">INDEX(Parâmetros!$D$13:$D$19,MATCH(E1386,Parâmetros!$A$13:$A$19,0))</f>
        <v>22</v>
      </c>
      <c r="L1386" s="10" t="n">
        <f aca="false">IF(G1386="Prospecting",Parâmetros!$B$9,IF(J1386&gt;Parâmetros!$B$6,0,INDEX(Parâmetros!$C$24:$C$26,MATCH(J1386,Parâmetros!$A$24:$A$26,1))))</f>
        <v>0</v>
      </c>
      <c r="M1386" s="31" t="n">
        <f aca="false">IF(G1386="Prospecting",1,INDEX(Parâmetros!$C$32:$C$35,MATCH(J1386,Parâmetros!$A$32:$A$35,1)))</f>
        <v>0.6</v>
      </c>
      <c r="N1386" s="2" t="n">
        <f aca="false">ROUND((K1386+L1386)*M1386,0)</f>
        <v>13</v>
      </c>
      <c r="O1386" s="10" t="str">
        <f aca="false">IF(AND(G1386="Engaging",J1386&gt;Parâmetros!$B$6),"Sim","Não")</f>
        <v>Sim</v>
      </c>
      <c r="P1386" s="32" t="str">
        <f aca="false">IF(O1386="Sim","R",IF(N1386&gt;=Parâmetros!$B$39,"A",IF(N1386&gt;=Parâmetros!$B$40,"B",IF(N1386&gt;=Parâmetros!$B$41,"C","D"))))</f>
        <v>R</v>
      </c>
      <c r="Q1386" s="10" t="str">
        <f aca="false">IF(F1386="","Completar cadastro","")</f>
        <v/>
      </c>
      <c r="R1386" s="10" t="str">
        <f aca="false">INDEX(Parâmetros!$D$39:$D$43,MATCH(P1386,Parâmetros!$A$39:$A$43,0))</f>
        <v>Reciclar: requalificar, reengajar ou encerrar</v>
      </c>
    </row>
    <row r="1387" customFormat="false" ht="15" hidden="false" customHeight="false" outlineLevel="0" collapsed="false">
      <c r="A1387" s="10" t="s">
        <v>1633</v>
      </c>
      <c r="B1387" s="10" t="s">
        <v>94</v>
      </c>
      <c r="C1387" s="10" t="s">
        <v>92</v>
      </c>
      <c r="D1387" s="10" t="s">
        <v>160</v>
      </c>
      <c r="E1387" s="10" t="s">
        <v>51</v>
      </c>
      <c r="F1387" s="10"/>
      <c r="G1387" s="10" t="s">
        <v>162</v>
      </c>
      <c r="H1387" s="30" t="n">
        <v>42953</v>
      </c>
      <c r="I1387" s="8" t="n">
        <f aca="false">INDEX(Parâmetros!$C$13:$C$19,MATCH(E1387,Parâmetros!$A$13:$A$19,0))</f>
        <v>550</v>
      </c>
      <c r="J1387" s="26" t="n">
        <f aca="false">IF(H1387="","",Parâmetros!$B$5-H1387)</f>
        <v>147</v>
      </c>
      <c r="K1387" s="10" t="n">
        <f aca="false">INDEX(Parâmetros!$D$13:$D$19,MATCH(E1387,Parâmetros!$A$13:$A$19,0))</f>
        <v>22</v>
      </c>
      <c r="L1387" s="10" t="n">
        <f aca="false">IF(G1387="Prospecting",Parâmetros!$B$9,IF(J1387&gt;Parâmetros!$B$6,0,INDEX(Parâmetros!$C$24:$C$26,MATCH(J1387,Parâmetros!$A$24:$A$26,1))))</f>
        <v>0</v>
      </c>
      <c r="M1387" s="31" t="n">
        <f aca="false">IF(G1387="Prospecting",1,INDEX(Parâmetros!$C$32:$C$35,MATCH(J1387,Parâmetros!$A$32:$A$35,1)))</f>
        <v>0.6</v>
      </c>
      <c r="N1387" s="2" t="n">
        <f aca="false">ROUND((K1387+L1387)*M1387,0)</f>
        <v>13</v>
      </c>
      <c r="O1387" s="10" t="str">
        <f aca="false">IF(AND(G1387="Engaging",J1387&gt;Parâmetros!$B$6),"Sim","Não")</f>
        <v>Sim</v>
      </c>
      <c r="P1387" s="32" t="str">
        <f aca="false">IF(O1387="Sim","R",IF(N1387&gt;=Parâmetros!$B$39,"A",IF(N1387&gt;=Parâmetros!$B$40,"B",IF(N1387&gt;=Parâmetros!$B$41,"C","D"))))</f>
        <v>R</v>
      </c>
      <c r="Q1387" s="10" t="str">
        <f aca="false">IF(F1387="","Completar cadastro","")</f>
        <v>Completar cadastro</v>
      </c>
      <c r="R1387" s="10" t="str">
        <f aca="false">INDEX(Parâmetros!$D$39:$D$43,MATCH(P1387,Parâmetros!$A$39:$A$43,0))</f>
        <v>Reciclar: requalificar, reengajar ou encerrar</v>
      </c>
    </row>
    <row r="1388" customFormat="false" ht="15" hidden="false" customHeight="false" outlineLevel="0" collapsed="false">
      <c r="A1388" s="10" t="s">
        <v>1634</v>
      </c>
      <c r="B1388" s="10" t="s">
        <v>84</v>
      </c>
      <c r="C1388" s="10" t="s">
        <v>85</v>
      </c>
      <c r="D1388" s="10" t="s">
        <v>165</v>
      </c>
      <c r="E1388" s="10" t="s">
        <v>51</v>
      </c>
      <c r="F1388" s="10" t="s">
        <v>660</v>
      </c>
      <c r="G1388" s="10" t="s">
        <v>162</v>
      </c>
      <c r="H1388" s="30" t="n">
        <v>42954</v>
      </c>
      <c r="I1388" s="8" t="n">
        <f aca="false">INDEX(Parâmetros!$C$13:$C$19,MATCH(E1388,Parâmetros!$A$13:$A$19,0))</f>
        <v>550</v>
      </c>
      <c r="J1388" s="26" t="n">
        <f aca="false">IF(H1388="","",Parâmetros!$B$5-H1388)</f>
        <v>146</v>
      </c>
      <c r="K1388" s="10" t="n">
        <f aca="false">INDEX(Parâmetros!$D$13:$D$19,MATCH(E1388,Parâmetros!$A$13:$A$19,0))</f>
        <v>22</v>
      </c>
      <c r="L1388" s="10" t="n">
        <f aca="false">IF(G1388="Prospecting",Parâmetros!$B$9,IF(J1388&gt;Parâmetros!$B$6,0,INDEX(Parâmetros!$C$24:$C$26,MATCH(J1388,Parâmetros!$A$24:$A$26,1))))</f>
        <v>0</v>
      </c>
      <c r="M1388" s="31" t="n">
        <f aca="false">IF(G1388="Prospecting",1,INDEX(Parâmetros!$C$32:$C$35,MATCH(J1388,Parâmetros!$A$32:$A$35,1)))</f>
        <v>0.6</v>
      </c>
      <c r="N1388" s="2" t="n">
        <f aca="false">ROUND((K1388+L1388)*M1388,0)</f>
        <v>13</v>
      </c>
      <c r="O1388" s="10" t="str">
        <f aca="false">IF(AND(G1388="Engaging",J1388&gt;Parâmetros!$B$6),"Sim","Não")</f>
        <v>Sim</v>
      </c>
      <c r="P1388" s="32" t="str">
        <f aca="false">IF(O1388="Sim","R",IF(N1388&gt;=Parâmetros!$B$39,"A",IF(N1388&gt;=Parâmetros!$B$40,"B",IF(N1388&gt;=Parâmetros!$B$41,"C","D"))))</f>
        <v>R</v>
      </c>
      <c r="Q1388" s="10" t="str">
        <f aca="false">IF(F1388="","Completar cadastro","")</f>
        <v/>
      </c>
      <c r="R1388" s="10" t="str">
        <f aca="false">INDEX(Parâmetros!$D$39:$D$43,MATCH(P1388,Parâmetros!$A$39:$A$43,0))</f>
        <v>Reciclar: requalificar, reengajar ou encerrar</v>
      </c>
    </row>
    <row r="1389" customFormat="false" ht="15" hidden="false" customHeight="false" outlineLevel="0" collapsed="false">
      <c r="A1389" s="10" t="s">
        <v>1635</v>
      </c>
      <c r="B1389" s="10" t="s">
        <v>70</v>
      </c>
      <c r="C1389" s="10" t="s">
        <v>65</v>
      </c>
      <c r="D1389" s="10" t="s">
        <v>160</v>
      </c>
      <c r="E1389" s="10" t="s">
        <v>51</v>
      </c>
      <c r="F1389" s="10"/>
      <c r="G1389" s="10" t="s">
        <v>162</v>
      </c>
      <c r="H1389" s="30" t="n">
        <v>42954</v>
      </c>
      <c r="I1389" s="8" t="n">
        <f aca="false">INDEX(Parâmetros!$C$13:$C$19,MATCH(E1389,Parâmetros!$A$13:$A$19,0))</f>
        <v>550</v>
      </c>
      <c r="J1389" s="26" t="n">
        <f aca="false">IF(H1389="","",Parâmetros!$B$5-H1389)</f>
        <v>146</v>
      </c>
      <c r="K1389" s="10" t="n">
        <f aca="false">INDEX(Parâmetros!$D$13:$D$19,MATCH(E1389,Parâmetros!$A$13:$A$19,0))</f>
        <v>22</v>
      </c>
      <c r="L1389" s="10" t="n">
        <f aca="false">IF(G1389="Prospecting",Parâmetros!$B$9,IF(J1389&gt;Parâmetros!$B$6,0,INDEX(Parâmetros!$C$24:$C$26,MATCH(J1389,Parâmetros!$A$24:$A$26,1))))</f>
        <v>0</v>
      </c>
      <c r="M1389" s="31" t="n">
        <f aca="false">IF(G1389="Prospecting",1,INDEX(Parâmetros!$C$32:$C$35,MATCH(J1389,Parâmetros!$A$32:$A$35,1)))</f>
        <v>0.6</v>
      </c>
      <c r="N1389" s="2" t="n">
        <f aca="false">ROUND((K1389+L1389)*M1389,0)</f>
        <v>13</v>
      </c>
      <c r="O1389" s="10" t="str">
        <f aca="false">IF(AND(G1389="Engaging",J1389&gt;Parâmetros!$B$6),"Sim","Não")</f>
        <v>Sim</v>
      </c>
      <c r="P1389" s="32" t="str">
        <f aca="false">IF(O1389="Sim","R",IF(N1389&gt;=Parâmetros!$B$39,"A",IF(N1389&gt;=Parâmetros!$B$40,"B",IF(N1389&gt;=Parâmetros!$B$41,"C","D"))))</f>
        <v>R</v>
      </c>
      <c r="Q1389" s="10" t="str">
        <f aca="false">IF(F1389="","Completar cadastro","")</f>
        <v>Completar cadastro</v>
      </c>
      <c r="R1389" s="10" t="str">
        <f aca="false">INDEX(Parâmetros!$D$39:$D$43,MATCH(P1389,Parâmetros!$A$39:$A$43,0))</f>
        <v>Reciclar: requalificar, reengajar ou encerrar</v>
      </c>
    </row>
    <row r="1390" customFormat="false" ht="15" hidden="false" customHeight="false" outlineLevel="0" collapsed="false">
      <c r="A1390" s="10" t="s">
        <v>1636</v>
      </c>
      <c r="B1390" s="10" t="s">
        <v>94</v>
      </c>
      <c r="C1390" s="10" t="s">
        <v>92</v>
      </c>
      <c r="D1390" s="10" t="s">
        <v>160</v>
      </c>
      <c r="E1390" s="10" t="s">
        <v>51</v>
      </c>
      <c r="F1390" s="10" t="s">
        <v>410</v>
      </c>
      <c r="G1390" s="10" t="s">
        <v>162</v>
      </c>
      <c r="H1390" s="30" t="n">
        <v>42955</v>
      </c>
      <c r="I1390" s="8" t="n">
        <f aca="false">INDEX(Parâmetros!$C$13:$C$19,MATCH(E1390,Parâmetros!$A$13:$A$19,0))</f>
        <v>550</v>
      </c>
      <c r="J1390" s="26" t="n">
        <f aca="false">IF(H1390="","",Parâmetros!$B$5-H1390)</f>
        <v>145</v>
      </c>
      <c r="K1390" s="10" t="n">
        <f aca="false">INDEX(Parâmetros!$D$13:$D$19,MATCH(E1390,Parâmetros!$A$13:$A$19,0))</f>
        <v>22</v>
      </c>
      <c r="L1390" s="10" t="n">
        <f aca="false">IF(G1390="Prospecting",Parâmetros!$B$9,IF(J1390&gt;Parâmetros!$B$6,0,INDEX(Parâmetros!$C$24:$C$26,MATCH(J1390,Parâmetros!$A$24:$A$26,1))))</f>
        <v>0</v>
      </c>
      <c r="M1390" s="31" t="n">
        <f aca="false">IF(G1390="Prospecting",1,INDEX(Parâmetros!$C$32:$C$35,MATCH(J1390,Parâmetros!$A$32:$A$35,1)))</f>
        <v>0.6</v>
      </c>
      <c r="N1390" s="2" t="n">
        <f aca="false">ROUND((K1390+L1390)*M1390,0)</f>
        <v>13</v>
      </c>
      <c r="O1390" s="10" t="str">
        <f aca="false">IF(AND(G1390="Engaging",J1390&gt;Parâmetros!$B$6),"Sim","Não")</f>
        <v>Sim</v>
      </c>
      <c r="P1390" s="32" t="str">
        <f aca="false">IF(O1390="Sim","R",IF(N1390&gt;=Parâmetros!$B$39,"A",IF(N1390&gt;=Parâmetros!$B$40,"B",IF(N1390&gt;=Parâmetros!$B$41,"C","D"))))</f>
        <v>R</v>
      </c>
      <c r="Q1390" s="10" t="str">
        <f aca="false">IF(F1390="","Completar cadastro","")</f>
        <v/>
      </c>
      <c r="R1390" s="10" t="str">
        <f aca="false">INDEX(Parâmetros!$D$39:$D$43,MATCH(P1390,Parâmetros!$A$39:$A$43,0))</f>
        <v>Reciclar: requalificar, reengajar ou encerrar</v>
      </c>
    </row>
    <row r="1391" customFormat="false" ht="15" hidden="false" customHeight="false" outlineLevel="0" collapsed="false">
      <c r="A1391" s="10" t="s">
        <v>1637</v>
      </c>
      <c r="B1391" s="10" t="s">
        <v>74</v>
      </c>
      <c r="C1391" s="10" t="s">
        <v>72</v>
      </c>
      <c r="D1391" s="10" t="s">
        <v>196</v>
      </c>
      <c r="E1391" s="10" t="s">
        <v>51</v>
      </c>
      <c r="F1391" s="10"/>
      <c r="G1391" s="10" t="s">
        <v>162</v>
      </c>
      <c r="H1391" s="30" t="n">
        <v>42955</v>
      </c>
      <c r="I1391" s="8" t="n">
        <f aca="false">INDEX(Parâmetros!$C$13:$C$19,MATCH(E1391,Parâmetros!$A$13:$A$19,0))</f>
        <v>550</v>
      </c>
      <c r="J1391" s="26" t="n">
        <f aca="false">IF(H1391="","",Parâmetros!$B$5-H1391)</f>
        <v>145</v>
      </c>
      <c r="K1391" s="10" t="n">
        <f aca="false">INDEX(Parâmetros!$D$13:$D$19,MATCH(E1391,Parâmetros!$A$13:$A$19,0))</f>
        <v>22</v>
      </c>
      <c r="L1391" s="10" t="n">
        <f aca="false">IF(G1391="Prospecting",Parâmetros!$B$9,IF(J1391&gt;Parâmetros!$B$6,0,INDEX(Parâmetros!$C$24:$C$26,MATCH(J1391,Parâmetros!$A$24:$A$26,1))))</f>
        <v>0</v>
      </c>
      <c r="M1391" s="31" t="n">
        <f aca="false">IF(G1391="Prospecting",1,INDEX(Parâmetros!$C$32:$C$35,MATCH(J1391,Parâmetros!$A$32:$A$35,1)))</f>
        <v>0.6</v>
      </c>
      <c r="N1391" s="2" t="n">
        <f aca="false">ROUND((K1391+L1391)*M1391,0)</f>
        <v>13</v>
      </c>
      <c r="O1391" s="10" t="str">
        <f aca="false">IF(AND(G1391="Engaging",J1391&gt;Parâmetros!$B$6),"Sim","Não")</f>
        <v>Sim</v>
      </c>
      <c r="P1391" s="32" t="str">
        <f aca="false">IF(O1391="Sim","R",IF(N1391&gt;=Parâmetros!$B$39,"A",IF(N1391&gt;=Parâmetros!$B$40,"B",IF(N1391&gt;=Parâmetros!$B$41,"C","D"))))</f>
        <v>R</v>
      </c>
      <c r="Q1391" s="10" t="str">
        <f aca="false">IF(F1391="","Completar cadastro","")</f>
        <v>Completar cadastro</v>
      </c>
      <c r="R1391" s="10" t="str">
        <f aca="false">INDEX(Parâmetros!$D$39:$D$43,MATCH(P1391,Parâmetros!$A$39:$A$43,0))</f>
        <v>Reciclar: requalificar, reengajar ou encerrar</v>
      </c>
    </row>
    <row r="1392" customFormat="false" ht="15" hidden="false" customHeight="false" outlineLevel="0" collapsed="false">
      <c r="A1392" s="10" t="s">
        <v>1638</v>
      </c>
      <c r="B1392" s="10" t="s">
        <v>86</v>
      </c>
      <c r="C1392" s="10" t="s">
        <v>85</v>
      </c>
      <c r="D1392" s="10" t="s">
        <v>165</v>
      </c>
      <c r="E1392" s="10" t="s">
        <v>51</v>
      </c>
      <c r="F1392" s="10"/>
      <c r="G1392" s="10" t="s">
        <v>162</v>
      </c>
      <c r="H1392" s="30" t="n">
        <v>42956</v>
      </c>
      <c r="I1392" s="8" t="n">
        <f aca="false">INDEX(Parâmetros!$C$13:$C$19,MATCH(E1392,Parâmetros!$A$13:$A$19,0))</f>
        <v>550</v>
      </c>
      <c r="J1392" s="26" t="n">
        <f aca="false">IF(H1392="","",Parâmetros!$B$5-H1392)</f>
        <v>144</v>
      </c>
      <c r="K1392" s="10" t="n">
        <f aca="false">INDEX(Parâmetros!$D$13:$D$19,MATCH(E1392,Parâmetros!$A$13:$A$19,0))</f>
        <v>22</v>
      </c>
      <c r="L1392" s="10" t="n">
        <f aca="false">IF(G1392="Prospecting",Parâmetros!$B$9,IF(J1392&gt;Parâmetros!$B$6,0,INDEX(Parâmetros!$C$24:$C$26,MATCH(J1392,Parâmetros!$A$24:$A$26,1))))</f>
        <v>0</v>
      </c>
      <c r="M1392" s="31" t="n">
        <f aca="false">IF(G1392="Prospecting",1,INDEX(Parâmetros!$C$32:$C$35,MATCH(J1392,Parâmetros!$A$32:$A$35,1)))</f>
        <v>0.6</v>
      </c>
      <c r="N1392" s="2" t="n">
        <f aca="false">ROUND((K1392+L1392)*M1392,0)</f>
        <v>13</v>
      </c>
      <c r="O1392" s="10" t="str">
        <f aca="false">IF(AND(G1392="Engaging",J1392&gt;Parâmetros!$B$6),"Sim","Não")</f>
        <v>Sim</v>
      </c>
      <c r="P1392" s="32" t="str">
        <f aca="false">IF(O1392="Sim","R",IF(N1392&gt;=Parâmetros!$B$39,"A",IF(N1392&gt;=Parâmetros!$B$40,"B",IF(N1392&gt;=Parâmetros!$B$41,"C","D"))))</f>
        <v>R</v>
      </c>
      <c r="Q1392" s="10" t="str">
        <f aca="false">IF(F1392="","Completar cadastro","")</f>
        <v>Completar cadastro</v>
      </c>
      <c r="R1392" s="10" t="str">
        <f aca="false">INDEX(Parâmetros!$D$39:$D$43,MATCH(P1392,Parâmetros!$A$39:$A$43,0))</f>
        <v>Reciclar: requalificar, reengajar ou encerrar</v>
      </c>
    </row>
    <row r="1393" customFormat="false" ht="15" hidden="false" customHeight="false" outlineLevel="0" collapsed="false">
      <c r="A1393" s="10" t="s">
        <v>1639</v>
      </c>
      <c r="B1393" s="10" t="s">
        <v>80</v>
      </c>
      <c r="C1393" s="10" t="s">
        <v>78</v>
      </c>
      <c r="D1393" s="10" t="s">
        <v>196</v>
      </c>
      <c r="E1393" s="10" t="s">
        <v>51</v>
      </c>
      <c r="F1393" s="10"/>
      <c r="G1393" s="10" t="s">
        <v>162</v>
      </c>
      <c r="H1393" s="30" t="n">
        <v>42956</v>
      </c>
      <c r="I1393" s="8" t="n">
        <f aca="false">INDEX(Parâmetros!$C$13:$C$19,MATCH(E1393,Parâmetros!$A$13:$A$19,0))</f>
        <v>550</v>
      </c>
      <c r="J1393" s="26" t="n">
        <f aca="false">IF(H1393="","",Parâmetros!$B$5-H1393)</f>
        <v>144</v>
      </c>
      <c r="K1393" s="10" t="n">
        <f aca="false">INDEX(Parâmetros!$D$13:$D$19,MATCH(E1393,Parâmetros!$A$13:$A$19,0))</f>
        <v>22</v>
      </c>
      <c r="L1393" s="10" t="n">
        <f aca="false">IF(G1393="Prospecting",Parâmetros!$B$9,IF(J1393&gt;Parâmetros!$B$6,0,INDEX(Parâmetros!$C$24:$C$26,MATCH(J1393,Parâmetros!$A$24:$A$26,1))))</f>
        <v>0</v>
      </c>
      <c r="M1393" s="31" t="n">
        <f aca="false">IF(G1393="Prospecting",1,INDEX(Parâmetros!$C$32:$C$35,MATCH(J1393,Parâmetros!$A$32:$A$35,1)))</f>
        <v>0.6</v>
      </c>
      <c r="N1393" s="2" t="n">
        <f aca="false">ROUND((K1393+L1393)*M1393,0)</f>
        <v>13</v>
      </c>
      <c r="O1393" s="10" t="str">
        <f aca="false">IF(AND(G1393="Engaging",J1393&gt;Parâmetros!$B$6),"Sim","Não")</f>
        <v>Sim</v>
      </c>
      <c r="P1393" s="32" t="str">
        <f aca="false">IF(O1393="Sim","R",IF(N1393&gt;=Parâmetros!$B$39,"A",IF(N1393&gt;=Parâmetros!$B$40,"B",IF(N1393&gt;=Parâmetros!$B$41,"C","D"))))</f>
        <v>R</v>
      </c>
      <c r="Q1393" s="10" t="str">
        <f aca="false">IF(F1393="","Completar cadastro","")</f>
        <v>Completar cadastro</v>
      </c>
      <c r="R1393" s="10" t="str">
        <f aca="false">INDEX(Parâmetros!$D$39:$D$43,MATCH(P1393,Parâmetros!$A$39:$A$43,0))</f>
        <v>Reciclar: requalificar, reengajar ou encerrar</v>
      </c>
    </row>
    <row r="1394" customFormat="false" ht="15" hidden="false" customHeight="false" outlineLevel="0" collapsed="false">
      <c r="A1394" s="10" t="s">
        <v>1640</v>
      </c>
      <c r="B1394" s="10" t="s">
        <v>74</v>
      </c>
      <c r="C1394" s="10" t="s">
        <v>72</v>
      </c>
      <c r="D1394" s="10" t="s">
        <v>196</v>
      </c>
      <c r="E1394" s="10" t="s">
        <v>51</v>
      </c>
      <c r="F1394" s="10" t="s">
        <v>277</v>
      </c>
      <c r="G1394" s="10" t="s">
        <v>162</v>
      </c>
      <c r="H1394" s="30" t="n">
        <v>42956</v>
      </c>
      <c r="I1394" s="8" t="n">
        <f aca="false">INDEX(Parâmetros!$C$13:$C$19,MATCH(E1394,Parâmetros!$A$13:$A$19,0))</f>
        <v>550</v>
      </c>
      <c r="J1394" s="26" t="n">
        <f aca="false">IF(H1394="","",Parâmetros!$B$5-H1394)</f>
        <v>144</v>
      </c>
      <c r="K1394" s="10" t="n">
        <f aca="false">INDEX(Parâmetros!$D$13:$D$19,MATCH(E1394,Parâmetros!$A$13:$A$19,0))</f>
        <v>22</v>
      </c>
      <c r="L1394" s="10" t="n">
        <f aca="false">IF(G1394="Prospecting",Parâmetros!$B$9,IF(J1394&gt;Parâmetros!$B$6,0,INDEX(Parâmetros!$C$24:$C$26,MATCH(J1394,Parâmetros!$A$24:$A$26,1))))</f>
        <v>0</v>
      </c>
      <c r="M1394" s="31" t="n">
        <f aca="false">IF(G1394="Prospecting",1,INDEX(Parâmetros!$C$32:$C$35,MATCH(J1394,Parâmetros!$A$32:$A$35,1)))</f>
        <v>0.6</v>
      </c>
      <c r="N1394" s="2" t="n">
        <f aca="false">ROUND((K1394+L1394)*M1394,0)</f>
        <v>13</v>
      </c>
      <c r="O1394" s="10" t="str">
        <f aca="false">IF(AND(G1394="Engaging",J1394&gt;Parâmetros!$B$6),"Sim","Não")</f>
        <v>Sim</v>
      </c>
      <c r="P1394" s="32" t="str">
        <f aca="false">IF(O1394="Sim","R",IF(N1394&gt;=Parâmetros!$B$39,"A",IF(N1394&gt;=Parâmetros!$B$40,"B",IF(N1394&gt;=Parâmetros!$B$41,"C","D"))))</f>
        <v>R</v>
      </c>
      <c r="Q1394" s="10" t="str">
        <f aca="false">IF(F1394="","Completar cadastro","")</f>
        <v/>
      </c>
      <c r="R1394" s="10" t="str">
        <f aca="false">INDEX(Parâmetros!$D$39:$D$43,MATCH(P1394,Parâmetros!$A$39:$A$43,0))</f>
        <v>Reciclar: requalificar, reengajar ou encerrar</v>
      </c>
    </row>
    <row r="1395" customFormat="false" ht="15" hidden="false" customHeight="false" outlineLevel="0" collapsed="false">
      <c r="A1395" s="10" t="s">
        <v>1641</v>
      </c>
      <c r="B1395" s="10" t="s">
        <v>70</v>
      </c>
      <c r="C1395" s="10" t="s">
        <v>65</v>
      </c>
      <c r="D1395" s="10" t="s">
        <v>160</v>
      </c>
      <c r="E1395" s="10" t="s">
        <v>51</v>
      </c>
      <c r="F1395" s="10"/>
      <c r="G1395" s="10" t="s">
        <v>162</v>
      </c>
      <c r="H1395" s="30" t="n">
        <v>42956</v>
      </c>
      <c r="I1395" s="8" t="n">
        <f aca="false">INDEX(Parâmetros!$C$13:$C$19,MATCH(E1395,Parâmetros!$A$13:$A$19,0))</f>
        <v>550</v>
      </c>
      <c r="J1395" s="26" t="n">
        <f aca="false">IF(H1395="","",Parâmetros!$B$5-H1395)</f>
        <v>144</v>
      </c>
      <c r="K1395" s="10" t="n">
        <f aca="false">INDEX(Parâmetros!$D$13:$D$19,MATCH(E1395,Parâmetros!$A$13:$A$19,0))</f>
        <v>22</v>
      </c>
      <c r="L1395" s="10" t="n">
        <f aca="false">IF(G1395="Prospecting",Parâmetros!$B$9,IF(J1395&gt;Parâmetros!$B$6,0,INDEX(Parâmetros!$C$24:$C$26,MATCH(J1395,Parâmetros!$A$24:$A$26,1))))</f>
        <v>0</v>
      </c>
      <c r="M1395" s="31" t="n">
        <f aca="false">IF(G1395="Prospecting",1,INDEX(Parâmetros!$C$32:$C$35,MATCH(J1395,Parâmetros!$A$32:$A$35,1)))</f>
        <v>0.6</v>
      </c>
      <c r="N1395" s="2" t="n">
        <f aca="false">ROUND((K1395+L1395)*M1395,0)</f>
        <v>13</v>
      </c>
      <c r="O1395" s="10" t="str">
        <f aca="false">IF(AND(G1395="Engaging",J1395&gt;Parâmetros!$B$6),"Sim","Não")</f>
        <v>Sim</v>
      </c>
      <c r="P1395" s="32" t="str">
        <f aca="false">IF(O1395="Sim","R",IF(N1395&gt;=Parâmetros!$B$39,"A",IF(N1395&gt;=Parâmetros!$B$40,"B",IF(N1395&gt;=Parâmetros!$B$41,"C","D"))))</f>
        <v>R</v>
      </c>
      <c r="Q1395" s="10" t="str">
        <f aca="false">IF(F1395="","Completar cadastro","")</f>
        <v>Completar cadastro</v>
      </c>
      <c r="R1395" s="10" t="str">
        <f aca="false">INDEX(Parâmetros!$D$39:$D$43,MATCH(P1395,Parâmetros!$A$39:$A$43,0))</f>
        <v>Reciclar: requalificar, reengajar ou encerrar</v>
      </c>
    </row>
    <row r="1396" customFormat="false" ht="15" hidden="false" customHeight="false" outlineLevel="0" collapsed="false">
      <c r="A1396" s="10" t="s">
        <v>1642</v>
      </c>
      <c r="B1396" s="10" t="s">
        <v>80</v>
      </c>
      <c r="C1396" s="10" t="s">
        <v>78</v>
      </c>
      <c r="D1396" s="10" t="s">
        <v>196</v>
      </c>
      <c r="E1396" s="10" t="s">
        <v>51</v>
      </c>
      <c r="F1396" s="10" t="s">
        <v>175</v>
      </c>
      <c r="G1396" s="10" t="s">
        <v>162</v>
      </c>
      <c r="H1396" s="30" t="n">
        <v>42957</v>
      </c>
      <c r="I1396" s="8" t="n">
        <f aca="false">INDEX(Parâmetros!$C$13:$C$19,MATCH(E1396,Parâmetros!$A$13:$A$19,0))</f>
        <v>550</v>
      </c>
      <c r="J1396" s="26" t="n">
        <f aca="false">IF(H1396="","",Parâmetros!$B$5-H1396)</f>
        <v>143</v>
      </c>
      <c r="K1396" s="10" t="n">
        <f aca="false">INDEX(Parâmetros!$D$13:$D$19,MATCH(E1396,Parâmetros!$A$13:$A$19,0))</f>
        <v>22</v>
      </c>
      <c r="L1396" s="10" t="n">
        <f aca="false">IF(G1396="Prospecting",Parâmetros!$B$9,IF(J1396&gt;Parâmetros!$B$6,0,INDEX(Parâmetros!$C$24:$C$26,MATCH(J1396,Parâmetros!$A$24:$A$26,1))))</f>
        <v>0</v>
      </c>
      <c r="M1396" s="31" t="n">
        <f aca="false">IF(G1396="Prospecting",1,INDEX(Parâmetros!$C$32:$C$35,MATCH(J1396,Parâmetros!$A$32:$A$35,1)))</f>
        <v>0.6</v>
      </c>
      <c r="N1396" s="2" t="n">
        <f aca="false">ROUND((K1396+L1396)*M1396,0)</f>
        <v>13</v>
      </c>
      <c r="O1396" s="10" t="str">
        <f aca="false">IF(AND(G1396="Engaging",J1396&gt;Parâmetros!$B$6),"Sim","Não")</f>
        <v>Sim</v>
      </c>
      <c r="P1396" s="32" t="str">
        <f aca="false">IF(O1396="Sim","R",IF(N1396&gt;=Parâmetros!$B$39,"A",IF(N1396&gt;=Parâmetros!$B$40,"B",IF(N1396&gt;=Parâmetros!$B$41,"C","D"))))</f>
        <v>R</v>
      </c>
      <c r="Q1396" s="10" t="str">
        <f aca="false">IF(F1396="","Completar cadastro","")</f>
        <v/>
      </c>
      <c r="R1396" s="10" t="str">
        <f aca="false">INDEX(Parâmetros!$D$39:$D$43,MATCH(P1396,Parâmetros!$A$39:$A$43,0))</f>
        <v>Reciclar: requalificar, reengajar ou encerrar</v>
      </c>
    </row>
    <row r="1397" customFormat="false" ht="15" hidden="false" customHeight="false" outlineLevel="0" collapsed="false">
      <c r="A1397" s="10" t="s">
        <v>1643</v>
      </c>
      <c r="B1397" s="10" t="s">
        <v>68</v>
      </c>
      <c r="C1397" s="10" t="s">
        <v>65</v>
      </c>
      <c r="D1397" s="10" t="s">
        <v>160</v>
      </c>
      <c r="E1397" s="10" t="s">
        <v>51</v>
      </c>
      <c r="F1397" s="10"/>
      <c r="G1397" s="10" t="s">
        <v>162</v>
      </c>
      <c r="H1397" s="30" t="n">
        <v>42957</v>
      </c>
      <c r="I1397" s="8" t="n">
        <f aca="false">INDEX(Parâmetros!$C$13:$C$19,MATCH(E1397,Parâmetros!$A$13:$A$19,0))</f>
        <v>550</v>
      </c>
      <c r="J1397" s="26" t="n">
        <f aca="false">IF(H1397="","",Parâmetros!$B$5-H1397)</f>
        <v>143</v>
      </c>
      <c r="K1397" s="10" t="n">
        <f aca="false">INDEX(Parâmetros!$D$13:$D$19,MATCH(E1397,Parâmetros!$A$13:$A$19,0))</f>
        <v>22</v>
      </c>
      <c r="L1397" s="10" t="n">
        <f aca="false">IF(G1397="Prospecting",Parâmetros!$B$9,IF(J1397&gt;Parâmetros!$B$6,0,INDEX(Parâmetros!$C$24:$C$26,MATCH(J1397,Parâmetros!$A$24:$A$26,1))))</f>
        <v>0</v>
      </c>
      <c r="M1397" s="31" t="n">
        <f aca="false">IF(G1397="Prospecting",1,INDEX(Parâmetros!$C$32:$C$35,MATCH(J1397,Parâmetros!$A$32:$A$35,1)))</f>
        <v>0.6</v>
      </c>
      <c r="N1397" s="2" t="n">
        <f aca="false">ROUND((K1397+L1397)*M1397,0)</f>
        <v>13</v>
      </c>
      <c r="O1397" s="10" t="str">
        <f aca="false">IF(AND(G1397="Engaging",J1397&gt;Parâmetros!$B$6),"Sim","Não")</f>
        <v>Sim</v>
      </c>
      <c r="P1397" s="32" t="str">
        <f aca="false">IF(O1397="Sim","R",IF(N1397&gt;=Parâmetros!$B$39,"A",IF(N1397&gt;=Parâmetros!$B$40,"B",IF(N1397&gt;=Parâmetros!$B$41,"C","D"))))</f>
        <v>R</v>
      </c>
      <c r="Q1397" s="10" t="str">
        <f aca="false">IF(F1397="","Completar cadastro","")</f>
        <v>Completar cadastro</v>
      </c>
      <c r="R1397" s="10" t="str">
        <f aca="false">INDEX(Parâmetros!$D$39:$D$43,MATCH(P1397,Parâmetros!$A$39:$A$43,0))</f>
        <v>Reciclar: requalificar, reengajar ou encerrar</v>
      </c>
    </row>
    <row r="1398" customFormat="false" ht="15" hidden="false" customHeight="false" outlineLevel="0" collapsed="false">
      <c r="A1398" s="10" t="s">
        <v>1644</v>
      </c>
      <c r="B1398" s="10" t="s">
        <v>66</v>
      </c>
      <c r="C1398" s="10" t="s">
        <v>65</v>
      </c>
      <c r="D1398" s="10" t="s">
        <v>160</v>
      </c>
      <c r="E1398" s="10" t="s">
        <v>51</v>
      </c>
      <c r="F1398" s="10"/>
      <c r="G1398" s="10" t="s">
        <v>162</v>
      </c>
      <c r="H1398" s="30" t="n">
        <v>42958</v>
      </c>
      <c r="I1398" s="8" t="n">
        <f aca="false">INDEX(Parâmetros!$C$13:$C$19,MATCH(E1398,Parâmetros!$A$13:$A$19,0))</f>
        <v>550</v>
      </c>
      <c r="J1398" s="26" t="n">
        <f aca="false">IF(H1398="","",Parâmetros!$B$5-H1398)</f>
        <v>142</v>
      </c>
      <c r="K1398" s="10" t="n">
        <f aca="false">INDEX(Parâmetros!$D$13:$D$19,MATCH(E1398,Parâmetros!$A$13:$A$19,0))</f>
        <v>22</v>
      </c>
      <c r="L1398" s="10" t="n">
        <f aca="false">IF(G1398="Prospecting",Parâmetros!$B$9,IF(J1398&gt;Parâmetros!$B$6,0,INDEX(Parâmetros!$C$24:$C$26,MATCH(J1398,Parâmetros!$A$24:$A$26,1))))</f>
        <v>0</v>
      </c>
      <c r="M1398" s="31" t="n">
        <f aca="false">IF(G1398="Prospecting",1,INDEX(Parâmetros!$C$32:$C$35,MATCH(J1398,Parâmetros!$A$32:$A$35,1)))</f>
        <v>0.6</v>
      </c>
      <c r="N1398" s="2" t="n">
        <f aca="false">ROUND((K1398+L1398)*M1398,0)</f>
        <v>13</v>
      </c>
      <c r="O1398" s="10" t="str">
        <f aca="false">IF(AND(G1398="Engaging",J1398&gt;Parâmetros!$B$6),"Sim","Não")</f>
        <v>Sim</v>
      </c>
      <c r="P1398" s="32" t="str">
        <f aca="false">IF(O1398="Sim","R",IF(N1398&gt;=Parâmetros!$B$39,"A",IF(N1398&gt;=Parâmetros!$B$40,"B",IF(N1398&gt;=Parâmetros!$B$41,"C","D"))))</f>
        <v>R</v>
      </c>
      <c r="Q1398" s="10" t="str">
        <f aca="false">IF(F1398="","Completar cadastro","")</f>
        <v>Completar cadastro</v>
      </c>
      <c r="R1398" s="10" t="str">
        <f aca="false">INDEX(Parâmetros!$D$39:$D$43,MATCH(P1398,Parâmetros!$A$39:$A$43,0))</f>
        <v>Reciclar: requalificar, reengajar ou encerrar</v>
      </c>
    </row>
    <row r="1399" customFormat="false" ht="15" hidden="false" customHeight="false" outlineLevel="0" collapsed="false">
      <c r="A1399" s="10" t="s">
        <v>1645</v>
      </c>
      <c r="B1399" s="10" t="s">
        <v>96</v>
      </c>
      <c r="C1399" s="10" t="s">
        <v>92</v>
      </c>
      <c r="D1399" s="10" t="s">
        <v>160</v>
      </c>
      <c r="E1399" s="10" t="s">
        <v>51</v>
      </c>
      <c r="F1399" s="10"/>
      <c r="G1399" s="10" t="s">
        <v>162</v>
      </c>
      <c r="H1399" s="30" t="n">
        <v>42958</v>
      </c>
      <c r="I1399" s="8" t="n">
        <f aca="false">INDEX(Parâmetros!$C$13:$C$19,MATCH(E1399,Parâmetros!$A$13:$A$19,0))</f>
        <v>550</v>
      </c>
      <c r="J1399" s="26" t="n">
        <f aca="false">IF(H1399="","",Parâmetros!$B$5-H1399)</f>
        <v>142</v>
      </c>
      <c r="K1399" s="10" t="n">
        <f aca="false">INDEX(Parâmetros!$D$13:$D$19,MATCH(E1399,Parâmetros!$A$13:$A$19,0))</f>
        <v>22</v>
      </c>
      <c r="L1399" s="10" t="n">
        <f aca="false">IF(G1399="Prospecting",Parâmetros!$B$9,IF(J1399&gt;Parâmetros!$B$6,0,INDEX(Parâmetros!$C$24:$C$26,MATCH(J1399,Parâmetros!$A$24:$A$26,1))))</f>
        <v>0</v>
      </c>
      <c r="M1399" s="31" t="n">
        <f aca="false">IF(G1399="Prospecting",1,INDEX(Parâmetros!$C$32:$C$35,MATCH(J1399,Parâmetros!$A$32:$A$35,1)))</f>
        <v>0.6</v>
      </c>
      <c r="N1399" s="2" t="n">
        <f aca="false">ROUND((K1399+L1399)*M1399,0)</f>
        <v>13</v>
      </c>
      <c r="O1399" s="10" t="str">
        <f aca="false">IF(AND(G1399="Engaging",J1399&gt;Parâmetros!$B$6),"Sim","Não")</f>
        <v>Sim</v>
      </c>
      <c r="P1399" s="32" t="str">
        <f aca="false">IF(O1399="Sim","R",IF(N1399&gt;=Parâmetros!$B$39,"A",IF(N1399&gt;=Parâmetros!$B$40,"B",IF(N1399&gt;=Parâmetros!$B$41,"C","D"))))</f>
        <v>R</v>
      </c>
      <c r="Q1399" s="10" t="str">
        <f aca="false">IF(F1399="","Completar cadastro","")</f>
        <v>Completar cadastro</v>
      </c>
      <c r="R1399" s="10" t="str">
        <f aca="false">INDEX(Parâmetros!$D$39:$D$43,MATCH(P1399,Parâmetros!$A$39:$A$43,0))</f>
        <v>Reciclar: requalificar, reengajar ou encerrar</v>
      </c>
    </row>
    <row r="1400" customFormat="false" ht="15" hidden="false" customHeight="false" outlineLevel="0" collapsed="false">
      <c r="A1400" s="10" t="s">
        <v>1646</v>
      </c>
      <c r="B1400" s="10" t="s">
        <v>93</v>
      </c>
      <c r="C1400" s="10" t="s">
        <v>92</v>
      </c>
      <c r="D1400" s="10" t="s">
        <v>160</v>
      </c>
      <c r="E1400" s="10" t="s">
        <v>51</v>
      </c>
      <c r="F1400" s="10"/>
      <c r="G1400" s="10" t="s">
        <v>162</v>
      </c>
      <c r="H1400" s="30" t="n">
        <v>42959</v>
      </c>
      <c r="I1400" s="8" t="n">
        <f aca="false">INDEX(Parâmetros!$C$13:$C$19,MATCH(E1400,Parâmetros!$A$13:$A$19,0))</f>
        <v>550</v>
      </c>
      <c r="J1400" s="26" t="n">
        <f aca="false">IF(H1400="","",Parâmetros!$B$5-H1400)</f>
        <v>141</v>
      </c>
      <c r="K1400" s="10" t="n">
        <f aca="false">INDEX(Parâmetros!$D$13:$D$19,MATCH(E1400,Parâmetros!$A$13:$A$19,0))</f>
        <v>22</v>
      </c>
      <c r="L1400" s="10" t="n">
        <f aca="false">IF(G1400="Prospecting",Parâmetros!$B$9,IF(J1400&gt;Parâmetros!$B$6,0,INDEX(Parâmetros!$C$24:$C$26,MATCH(J1400,Parâmetros!$A$24:$A$26,1))))</f>
        <v>0</v>
      </c>
      <c r="M1400" s="31" t="n">
        <f aca="false">IF(G1400="Prospecting",1,INDEX(Parâmetros!$C$32:$C$35,MATCH(J1400,Parâmetros!$A$32:$A$35,1)))</f>
        <v>0.6</v>
      </c>
      <c r="N1400" s="2" t="n">
        <f aca="false">ROUND((K1400+L1400)*M1400,0)</f>
        <v>13</v>
      </c>
      <c r="O1400" s="10" t="str">
        <f aca="false">IF(AND(G1400="Engaging",J1400&gt;Parâmetros!$B$6),"Sim","Não")</f>
        <v>Sim</v>
      </c>
      <c r="P1400" s="32" t="str">
        <f aca="false">IF(O1400="Sim","R",IF(N1400&gt;=Parâmetros!$B$39,"A",IF(N1400&gt;=Parâmetros!$B$40,"B",IF(N1400&gt;=Parâmetros!$B$41,"C","D"))))</f>
        <v>R</v>
      </c>
      <c r="Q1400" s="10" t="str">
        <f aca="false">IF(F1400="","Completar cadastro","")</f>
        <v>Completar cadastro</v>
      </c>
      <c r="R1400" s="10" t="str">
        <f aca="false">INDEX(Parâmetros!$D$39:$D$43,MATCH(P1400,Parâmetros!$A$39:$A$43,0))</f>
        <v>Reciclar: requalificar, reengajar ou encerrar</v>
      </c>
    </row>
    <row r="1401" customFormat="false" ht="15" hidden="false" customHeight="false" outlineLevel="0" collapsed="false">
      <c r="A1401" s="10" t="s">
        <v>1647</v>
      </c>
      <c r="B1401" s="10" t="s">
        <v>81</v>
      </c>
      <c r="C1401" s="10" t="s">
        <v>78</v>
      </c>
      <c r="D1401" s="10" t="s">
        <v>196</v>
      </c>
      <c r="E1401" s="10" t="s">
        <v>51</v>
      </c>
      <c r="F1401" s="10" t="s">
        <v>274</v>
      </c>
      <c r="G1401" s="10" t="s">
        <v>162</v>
      </c>
      <c r="H1401" s="30" t="n">
        <v>42959</v>
      </c>
      <c r="I1401" s="8" t="n">
        <f aca="false">INDEX(Parâmetros!$C$13:$C$19,MATCH(E1401,Parâmetros!$A$13:$A$19,0))</f>
        <v>550</v>
      </c>
      <c r="J1401" s="26" t="n">
        <f aca="false">IF(H1401="","",Parâmetros!$B$5-H1401)</f>
        <v>141</v>
      </c>
      <c r="K1401" s="10" t="n">
        <f aca="false">INDEX(Parâmetros!$D$13:$D$19,MATCH(E1401,Parâmetros!$A$13:$A$19,0))</f>
        <v>22</v>
      </c>
      <c r="L1401" s="10" t="n">
        <f aca="false">IF(G1401="Prospecting",Parâmetros!$B$9,IF(J1401&gt;Parâmetros!$B$6,0,INDEX(Parâmetros!$C$24:$C$26,MATCH(J1401,Parâmetros!$A$24:$A$26,1))))</f>
        <v>0</v>
      </c>
      <c r="M1401" s="31" t="n">
        <f aca="false">IF(G1401="Prospecting",1,INDEX(Parâmetros!$C$32:$C$35,MATCH(J1401,Parâmetros!$A$32:$A$35,1)))</f>
        <v>0.6</v>
      </c>
      <c r="N1401" s="2" t="n">
        <f aca="false">ROUND((K1401+L1401)*M1401,0)</f>
        <v>13</v>
      </c>
      <c r="O1401" s="10" t="str">
        <f aca="false">IF(AND(G1401="Engaging",J1401&gt;Parâmetros!$B$6),"Sim","Não")</f>
        <v>Sim</v>
      </c>
      <c r="P1401" s="32" t="str">
        <f aca="false">IF(O1401="Sim","R",IF(N1401&gt;=Parâmetros!$B$39,"A",IF(N1401&gt;=Parâmetros!$B$40,"B",IF(N1401&gt;=Parâmetros!$B$41,"C","D"))))</f>
        <v>R</v>
      </c>
      <c r="Q1401" s="10" t="str">
        <f aca="false">IF(F1401="","Completar cadastro","")</f>
        <v/>
      </c>
      <c r="R1401" s="10" t="str">
        <f aca="false">INDEX(Parâmetros!$D$39:$D$43,MATCH(P1401,Parâmetros!$A$39:$A$43,0))</f>
        <v>Reciclar: requalificar, reengajar ou encerrar</v>
      </c>
    </row>
    <row r="1402" customFormat="false" ht="15" hidden="false" customHeight="false" outlineLevel="0" collapsed="false">
      <c r="A1402" s="10" t="s">
        <v>1648</v>
      </c>
      <c r="B1402" s="10" t="s">
        <v>70</v>
      </c>
      <c r="C1402" s="10" t="s">
        <v>65</v>
      </c>
      <c r="D1402" s="10" t="s">
        <v>160</v>
      </c>
      <c r="E1402" s="10" t="s">
        <v>51</v>
      </c>
      <c r="F1402" s="10"/>
      <c r="G1402" s="10" t="s">
        <v>162</v>
      </c>
      <c r="H1402" s="30" t="n">
        <v>42959</v>
      </c>
      <c r="I1402" s="8" t="n">
        <f aca="false">INDEX(Parâmetros!$C$13:$C$19,MATCH(E1402,Parâmetros!$A$13:$A$19,0))</f>
        <v>550</v>
      </c>
      <c r="J1402" s="26" t="n">
        <f aca="false">IF(H1402="","",Parâmetros!$B$5-H1402)</f>
        <v>141</v>
      </c>
      <c r="K1402" s="10" t="n">
        <f aca="false">INDEX(Parâmetros!$D$13:$D$19,MATCH(E1402,Parâmetros!$A$13:$A$19,0))</f>
        <v>22</v>
      </c>
      <c r="L1402" s="10" t="n">
        <f aca="false">IF(G1402="Prospecting",Parâmetros!$B$9,IF(J1402&gt;Parâmetros!$B$6,0,INDEX(Parâmetros!$C$24:$C$26,MATCH(J1402,Parâmetros!$A$24:$A$26,1))))</f>
        <v>0</v>
      </c>
      <c r="M1402" s="31" t="n">
        <f aca="false">IF(G1402="Prospecting",1,INDEX(Parâmetros!$C$32:$C$35,MATCH(J1402,Parâmetros!$A$32:$A$35,1)))</f>
        <v>0.6</v>
      </c>
      <c r="N1402" s="2" t="n">
        <f aca="false">ROUND((K1402+L1402)*M1402,0)</f>
        <v>13</v>
      </c>
      <c r="O1402" s="10" t="str">
        <f aca="false">IF(AND(G1402="Engaging",J1402&gt;Parâmetros!$B$6),"Sim","Não")</f>
        <v>Sim</v>
      </c>
      <c r="P1402" s="32" t="str">
        <f aca="false">IF(O1402="Sim","R",IF(N1402&gt;=Parâmetros!$B$39,"A",IF(N1402&gt;=Parâmetros!$B$40,"B",IF(N1402&gt;=Parâmetros!$B$41,"C","D"))))</f>
        <v>R</v>
      </c>
      <c r="Q1402" s="10" t="str">
        <f aca="false">IF(F1402="","Completar cadastro","")</f>
        <v>Completar cadastro</v>
      </c>
      <c r="R1402" s="10" t="str">
        <f aca="false">INDEX(Parâmetros!$D$39:$D$43,MATCH(P1402,Parâmetros!$A$39:$A$43,0))</f>
        <v>Reciclar: requalificar, reengajar ou encerrar</v>
      </c>
    </row>
    <row r="1403" customFormat="false" ht="15" hidden="false" customHeight="false" outlineLevel="0" collapsed="false">
      <c r="A1403" s="10" t="s">
        <v>1649</v>
      </c>
      <c r="B1403" s="10" t="s">
        <v>70</v>
      </c>
      <c r="C1403" s="10" t="s">
        <v>65</v>
      </c>
      <c r="D1403" s="10" t="s">
        <v>160</v>
      </c>
      <c r="E1403" s="10" t="s">
        <v>51</v>
      </c>
      <c r="F1403" s="10"/>
      <c r="G1403" s="10" t="s">
        <v>162</v>
      </c>
      <c r="H1403" s="30" t="n">
        <v>42959</v>
      </c>
      <c r="I1403" s="8" t="n">
        <f aca="false">INDEX(Parâmetros!$C$13:$C$19,MATCH(E1403,Parâmetros!$A$13:$A$19,0))</f>
        <v>550</v>
      </c>
      <c r="J1403" s="26" t="n">
        <f aca="false">IF(H1403="","",Parâmetros!$B$5-H1403)</f>
        <v>141</v>
      </c>
      <c r="K1403" s="10" t="n">
        <f aca="false">INDEX(Parâmetros!$D$13:$D$19,MATCH(E1403,Parâmetros!$A$13:$A$19,0))</f>
        <v>22</v>
      </c>
      <c r="L1403" s="10" t="n">
        <f aca="false">IF(G1403="Prospecting",Parâmetros!$B$9,IF(J1403&gt;Parâmetros!$B$6,0,INDEX(Parâmetros!$C$24:$C$26,MATCH(J1403,Parâmetros!$A$24:$A$26,1))))</f>
        <v>0</v>
      </c>
      <c r="M1403" s="31" t="n">
        <f aca="false">IF(G1403="Prospecting",1,INDEX(Parâmetros!$C$32:$C$35,MATCH(J1403,Parâmetros!$A$32:$A$35,1)))</f>
        <v>0.6</v>
      </c>
      <c r="N1403" s="2" t="n">
        <f aca="false">ROUND((K1403+L1403)*M1403,0)</f>
        <v>13</v>
      </c>
      <c r="O1403" s="10" t="str">
        <f aca="false">IF(AND(G1403="Engaging",J1403&gt;Parâmetros!$B$6),"Sim","Não")</f>
        <v>Sim</v>
      </c>
      <c r="P1403" s="32" t="str">
        <f aca="false">IF(O1403="Sim","R",IF(N1403&gt;=Parâmetros!$B$39,"A",IF(N1403&gt;=Parâmetros!$B$40,"B",IF(N1403&gt;=Parâmetros!$B$41,"C","D"))))</f>
        <v>R</v>
      </c>
      <c r="Q1403" s="10" t="str">
        <f aca="false">IF(F1403="","Completar cadastro","")</f>
        <v>Completar cadastro</v>
      </c>
      <c r="R1403" s="10" t="str">
        <f aca="false">INDEX(Parâmetros!$D$39:$D$43,MATCH(P1403,Parâmetros!$A$39:$A$43,0))</f>
        <v>Reciclar: requalificar, reengajar ou encerrar</v>
      </c>
    </row>
    <row r="1404" customFormat="false" ht="15" hidden="false" customHeight="false" outlineLevel="0" collapsed="false">
      <c r="A1404" s="10" t="s">
        <v>1650</v>
      </c>
      <c r="B1404" s="10" t="s">
        <v>62</v>
      </c>
      <c r="C1404" s="10" t="s">
        <v>58</v>
      </c>
      <c r="D1404" s="10" t="s">
        <v>165</v>
      </c>
      <c r="E1404" s="10" t="s">
        <v>51</v>
      </c>
      <c r="F1404" s="10"/>
      <c r="G1404" s="10" t="s">
        <v>162</v>
      </c>
      <c r="H1404" s="30" t="n">
        <v>42959</v>
      </c>
      <c r="I1404" s="8" t="n">
        <f aca="false">INDEX(Parâmetros!$C$13:$C$19,MATCH(E1404,Parâmetros!$A$13:$A$19,0))</f>
        <v>550</v>
      </c>
      <c r="J1404" s="26" t="n">
        <f aca="false">IF(H1404="","",Parâmetros!$B$5-H1404)</f>
        <v>141</v>
      </c>
      <c r="K1404" s="10" t="n">
        <f aca="false">INDEX(Parâmetros!$D$13:$D$19,MATCH(E1404,Parâmetros!$A$13:$A$19,0))</f>
        <v>22</v>
      </c>
      <c r="L1404" s="10" t="n">
        <f aca="false">IF(G1404="Prospecting",Parâmetros!$B$9,IF(J1404&gt;Parâmetros!$B$6,0,INDEX(Parâmetros!$C$24:$C$26,MATCH(J1404,Parâmetros!$A$24:$A$26,1))))</f>
        <v>0</v>
      </c>
      <c r="M1404" s="31" t="n">
        <f aca="false">IF(G1404="Prospecting",1,INDEX(Parâmetros!$C$32:$C$35,MATCH(J1404,Parâmetros!$A$32:$A$35,1)))</f>
        <v>0.6</v>
      </c>
      <c r="N1404" s="2" t="n">
        <f aca="false">ROUND((K1404+L1404)*M1404,0)</f>
        <v>13</v>
      </c>
      <c r="O1404" s="10" t="str">
        <f aca="false">IF(AND(G1404="Engaging",J1404&gt;Parâmetros!$B$6),"Sim","Não")</f>
        <v>Sim</v>
      </c>
      <c r="P1404" s="32" t="str">
        <f aca="false">IF(O1404="Sim","R",IF(N1404&gt;=Parâmetros!$B$39,"A",IF(N1404&gt;=Parâmetros!$B$40,"B",IF(N1404&gt;=Parâmetros!$B$41,"C","D"))))</f>
        <v>R</v>
      </c>
      <c r="Q1404" s="10" t="str">
        <f aca="false">IF(F1404="","Completar cadastro","")</f>
        <v>Completar cadastro</v>
      </c>
      <c r="R1404" s="10" t="str">
        <f aca="false">INDEX(Parâmetros!$D$39:$D$43,MATCH(P1404,Parâmetros!$A$39:$A$43,0))</f>
        <v>Reciclar: requalificar, reengajar ou encerrar</v>
      </c>
    </row>
    <row r="1405" customFormat="false" ht="15" hidden="false" customHeight="false" outlineLevel="0" collapsed="false">
      <c r="A1405" s="10" t="s">
        <v>1651</v>
      </c>
      <c r="B1405" s="10" t="s">
        <v>79</v>
      </c>
      <c r="C1405" s="10" t="s">
        <v>78</v>
      </c>
      <c r="D1405" s="10" t="s">
        <v>196</v>
      </c>
      <c r="E1405" s="10" t="s">
        <v>51</v>
      </c>
      <c r="F1405" s="10"/>
      <c r="G1405" s="10" t="s">
        <v>162</v>
      </c>
      <c r="H1405" s="30" t="n">
        <v>42960</v>
      </c>
      <c r="I1405" s="8" t="n">
        <f aca="false">INDEX(Parâmetros!$C$13:$C$19,MATCH(E1405,Parâmetros!$A$13:$A$19,0))</f>
        <v>550</v>
      </c>
      <c r="J1405" s="26" t="n">
        <f aca="false">IF(H1405="","",Parâmetros!$B$5-H1405)</f>
        <v>140</v>
      </c>
      <c r="K1405" s="10" t="n">
        <f aca="false">INDEX(Parâmetros!$D$13:$D$19,MATCH(E1405,Parâmetros!$A$13:$A$19,0))</f>
        <v>22</v>
      </c>
      <c r="L1405" s="10" t="n">
        <f aca="false">IF(G1405="Prospecting",Parâmetros!$B$9,IF(J1405&gt;Parâmetros!$B$6,0,INDEX(Parâmetros!$C$24:$C$26,MATCH(J1405,Parâmetros!$A$24:$A$26,1))))</f>
        <v>0</v>
      </c>
      <c r="M1405" s="31" t="n">
        <f aca="false">IF(G1405="Prospecting",1,INDEX(Parâmetros!$C$32:$C$35,MATCH(J1405,Parâmetros!$A$32:$A$35,1)))</f>
        <v>0.6</v>
      </c>
      <c r="N1405" s="2" t="n">
        <f aca="false">ROUND((K1405+L1405)*M1405,0)</f>
        <v>13</v>
      </c>
      <c r="O1405" s="10" t="str">
        <f aca="false">IF(AND(G1405="Engaging",J1405&gt;Parâmetros!$B$6),"Sim","Não")</f>
        <v>Sim</v>
      </c>
      <c r="P1405" s="32" t="str">
        <f aca="false">IF(O1405="Sim","R",IF(N1405&gt;=Parâmetros!$B$39,"A",IF(N1405&gt;=Parâmetros!$B$40,"B",IF(N1405&gt;=Parâmetros!$B$41,"C","D"))))</f>
        <v>R</v>
      </c>
      <c r="Q1405" s="10" t="str">
        <f aca="false">IF(F1405="","Completar cadastro","")</f>
        <v>Completar cadastro</v>
      </c>
      <c r="R1405" s="10" t="str">
        <f aca="false">INDEX(Parâmetros!$D$39:$D$43,MATCH(P1405,Parâmetros!$A$39:$A$43,0))</f>
        <v>Reciclar: requalificar, reengajar ou encerrar</v>
      </c>
    </row>
    <row r="1406" customFormat="false" ht="15" hidden="false" customHeight="false" outlineLevel="0" collapsed="false">
      <c r="A1406" s="10" t="s">
        <v>1652</v>
      </c>
      <c r="B1406" s="10" t="s">
        <v>74</v>
      </c>
      <c r="C1406" s="10" t="s">
        <v>72</v>
      </c>
      <c r="D1406" s="10" t="s">
        <v>196</v>
      </c>
      <c r="E1406" s="10" t="s">
        <v>51</v>
      </c>
      <c r="F1406" s="10"/>
      <c r="G1406" s="10" t="s">
        <v>162</v>
      </c>
      <c r="H1406" s="30" t="n">
        <v>42960</v>
      </c>
      <c r="I1406" s="8" t="n">
        <f aca="false">INDEX(Parâmetros!$C$13:$C$19,MATCH(E1406,Parâmetros!$A$13:$A$19,0))</f>
        <v>550</v>
      </c>
      <c r="J1406" s="26" t="n">
        <f aca="false">IF(H1406="","",Parâmetros!$B$5-H1406)</f>
        <v>140</v>
      </c>
      <c r="K1406" s="10" t="n">
        <f aca="false">INDEX(Parâmetros!$D$13:$D$19,MATCH(E1406,Parâmetros!$A$13:$A$19,0))</f>
        <v>22</v>
      </c>
      <c r="L1406" s="10" t="n">
        <f aca="false">IF(G1406="Prospecting",Parâmetros!$B$9,IF(J1406&gt;Parâmetros!$B$6,0,INDEX(Parâmetros!$C$24:$C$26,MATCH(J1406,Parâmetros!$A$24:$A$26,1))))</f>
        <v>0</v>
      </c>
      <c r="M1406" s="31" t="n">
        <f aca="false">IF(G1406="Prospecting",1,INDEX(Parâmetros!$C$32:$C$35,MATCH(J1406,Parâmetros!$A$32:$A$35,1)))</f>
        <v>0.6</v>
      </c>
      <c r="N1406" s="2" t="n">
        <f aca="false">ROUND((K1406+L1406)*M1406,0)</f>
        <v>13</v>
      </c>
      <c r="O1406" s="10" t="str">
        <f aca="false">IF(AND(G1406="Engaging",J1406&gt;Parâmetros!$B$6),"Sim","Não")</f>
        <v>Sim</v>
      </c>
      <c r="P1406" s="32" t="str">
        <f aca="false">IF(O1406="Sim","R",IF(N1406&gt;=Parâmetros!$B$39,"A",IF(N1406&gt;=Parâmetros!$B$40,"B",IF(N1406&gt;=Parâmetros!$B$41,"C","D"))))</f>
        <v>R</v>
      </c>
      <c r="Q1406" s="10" t="str">
        <f aca="false">IF(F1406="","Completar cadastro","")</f>
        <v>Completar cadastro</v>
      </c>
      <c r="R1406" s="10" t="str">
        <f aca="false">INDEX(Parâmetros!$D$39:$D$43,MATCH(P1406,Parâmetros!$A$39:$A$43,0))</f>
        <v>Reciclar: requalificar, reengajar ou encerrar</v>
      </c>
    </row>
    <row r="1407" customFormat="false" ht="15" hidden="false" customHeight="false" outlineLevel="0" collapsed="false">
      <c r="A1407" s="10" t="s">
        <v>1653</v>
      </c>
      <c r="B1407" s="10" t="s">
        <v>80</v>
      </c>
      <c r="C1407" s="10" t="s">
        <v>78</v>
      </c>
      <c r="D1407" s="10" t="s">
        <v>196</v>
      </c>
      <c r="E1407" s="10" t="s">
        <v>51</v>
      </c>
      <c r="F1407" s="10"/>
      <c r="G1407" s="10" t="s">
        <v>162</v>
      </c>
      <c r="H1407" s="30" t="n">
        <v>42961</v>
      </c>
      <c r="I1407" s="8" t="n">
        <f aca="false">INDEX(Parâmetros!$C$13:$C$19,MATCH(E1407,Parâmetros!$A$13:$A$19,0))</f>
        <v>550</v>
      </c>
      <c r="J1407" s="26" t="n">
        <f aca="false">IF(H1407="","",Parâmetros!$B$5-H1407)</f>
        <v>139</v>
      </c>
      <c r="K1407" s="10" t="n">
        <f aca="false">INDEX(Parâmetros!$D$13:$D$19,MATCH(E1407,Parâmetros!$A$13:$A$19,0))</f>
        <v>22</v>
      </c>
      <c r="L1407" s="10" t="n">
        <f aca="false">IF(G1407="Prospecting",Parâmetros!$B$9,IF(J1407&gt;Parâmetros!$B$6,0,INDEX(Parâmetros!$C$24:$C$26,MATCH(J1407,Parâmetros!$A$24:$A$26,1))))</f>
        <v>0</v>
      </c>
      <c r="M1407" s="31" t="n">
        <f aca="false">IF(G1407="Prospecting",1,INDEX(Parâmetros!$C$32:$C$35,MATCH(J1407,Parâmetros!$A$32:$A$35,1)))</f>
        <v>0.6</v>
      </c>
      <c r="N1407" s="2" t="n">
        <f aca="false">ROUND((K1407+L1407)*M1407,0)</f>
        <v>13</v>
      </c>
      <c r="O1407" s="10" t="str">
        <f aca="false">IF(AND(G1407="Engaging",J1407&gt;Parâmetros!$B$6),"Sim","Não")</f>
        <v>Sim</v>
      </c>
      <c r="P1407" s="32" t="str">
        <f aca="false">IF(O1407="Sim","R",IF(N1407&gt;=Parâmetros!$B$39,"A",IF(N1407&gt;=Parâmetros!$B$40,"B",IF(N1407&gt;=Parâmetros!$B$41,"C","D"))))</f>
        <v>R</v>
      </c>
      <c r="Q1407" s="10" t="str">
        <f aca="false">IF(F1407="","Completar cadastro","")</f>
        <v>Completar cadastro</v>
      </c>
      <c r="R1407" s="10" t="str">
        <f aca="false">INDEX(Parâmetros!$D$39:$D$43,MATCH(P1407,Parâmetros!$A$39:$A$43,0))</f>
        <v>Reciclar: requalificar, reengajar ou encerrar</v>
      </c>
    </row>
    <row r="1408" customFormat="false" ht="15" hidden="false" customHeight="false" outlineLevel="0" collapsed="false">
      <c r="A1408" s="10" t="s">
        <v>1654</v>
      </c>
      <c r="B1408" s="10" t="s">
        <v>94</v>
      </c>
      <c r="C1408" s="10" t="s">
        <v>92</v>
      </c>
      <c r="D1408" s="10" t="s">
        <v>160</v>
      </c>
      <c r="E1408" s="10" t="s">
        <v>50</v>
      </c>
      <c r="F1408" s="10"/>
      <c r="G1408" s="10" t="s">
        <v>162</v>
      </c>
      <c r="H1408" s="30" t="n">
        <v>42831</v>
      </c>
      <c r="I1408" s="8" t="n">
        <f aca="false">INDEX(Parâmetros!$C$13:$C$19,MATCH(E1408,Parâmetros!$A$13:$A$19,0))</f>
        <v>1096</v>
      </c>
      <c r="J1408" s="26" t="n">
        <f aca="false">IF(H1408="","",Parâmetros!$B$5-H1408)</f>
        <v>269</v>
      </c>
      <c r="K1408" s="10" t="n">
        <f aca="false">INDEX(Parâmetros!$D$13:$D$19,MATCH(E1408,Parâmetros!$A$13:$A$19,0))</f>
        <v>29</v>
      </c>
      <c r="L1408" s="10" t="n">
        <f aca="false">IF(G1408="Prospecting",Parâmetros!$B$9,IF(J1408&gt;Parâmetros!$B$6,0,INDEX(Parâmetros!$C$24:$C$26,MATCH(J1408,Parâmetros!$A$24:$A$26,1))))</f>
        <v>0</v>
      </c>
      <c r="M1408" s="31" t="n">
        <f aca="false">IF(G1408="Prospecting",1,INDEX(Parâmetros!$C$32:$C$35,MATCH(J1408,Parâmetros!$A$32:$A$35,1)))</f>
        <v>0.4</v>
      </c>
      <c r="N1408" s="2" t="n">
        <f aca="false">ROUND((K1408+L1408)*M1408,0)</f>
        <v>12</v>
      </c>
      <c r="O1408" s="10" t="str">
        <f aca="false">IF(AND(G1408="Engaging",J1408&gt;Parâmetros!$B$6),"Sim","Não")</f>
        <v>Sim</v>
      </c>
      <c r="P1408" s="32" t="str">
        <f aca="false">IF(O1408="Sim","R",IF(N1408&gt;=Parâmetros!$B$39,"A",IF(N1408&gt;=Parâmetros!$B$40,"B",IF(N1408&gt;=Parâmetros!$B$41,"C","D"))))</f>
        <v>R</v>
      </c>
      <c r="Q1408" s="10" t="str">
        <f aca="false">IF(F1408="","Completar cadastro","")</f>
        <v>Completar cadastro</v>
      </c>
      <c r="R1408" s="10" t="str">
        <f aca="false">INDEX(Parâmetros!$D$39:$D$43,MATCH(P1408,Parâmetros!$A$39:$A$43,0))</f>
        <v>Reciclar: requalificar, reengajar ou encerrar</v>
      </c>
    </row>
    <row r="1409" customFormat="false" ht="15" hidden="false" customHeight="false" outlineLevel="0" collapsed="false">
      <c r="A1409" s="10" t="s">
        <v>1655</v>
      </c>
      <c r="B1409" s="10" t="s">
        <v>97</v>
      </c>
      <c r="C1409" s="10" t="s">
        <v>92</v>
      </c>
      <c r="D1409" s="10" t="s">
        <v>160</v>
      </c>
      <c r="E1409" s="10" t="s">
        <v>50</v>
      </c>
      <c r="F1409" s="10" t="s">
        <v>293</v>
      </c>
      <c r="G1409" s="10" t="s">
        <v>162</v>
      </c>
      <c r="H1409" s="30" t="n">
        <v>42834</v>
      </c>
      <c r="I1409" s="8" t="n">
        <f aca="false">INDEX(Parâmetros!$C$13:$C$19,MATCH(E1409,Parâmetros!$A$13:$A$19,0))</f>
        <v>1096</v>
      </c>
      <c r="J1409" s="26" t="n">
        <f aca="false">IF(H1409="","",Parâmetros!$B$5-H1409)</f>
        <v>266</v>
      </c>
      <c r="K1409" s="10" t="n">
        <f aca="false">INDEX(Parâmetros!$D$13:$D$19,MATCH(E1409,Parâmetros!$A$13:$A$19,0))</f>
        <v>29</v>
      </c>
      <c r="L1409" s="10" t="n">
        <f aca="false">IF(G1409="Prospecting",Parâmetros!$B$9,IF(J1409&gt;Parâmetros!$B$6,0,INDEX(Parâmetros!$C$24:$C$26,MATCH(J1409,Parâmetros!$A$24:$A$26,1))))</f>
        <v>0</v>
      </c>
      <c r="M1409" s="31" t="n">
        <f aca="false">IF(G1409="Prospecting",1,INDEX(Parâmetros!$C$32:$C$35,MATCH(J1409,Parâmetros!$A$32:$A$35,1)))</f>
        <v>0.4</v>
      </c>
      <c r="N1409" s="2" t="n">
        <f aca="false">ROUND((K1409+L1409)*M1409,0)</f>
        <v>12</v>
      </c>
      <c r="O1409" s="10" t="str">
        <f aca="false">IF(AND(G1409="Engaging",J1409&gt;Parâmetros!$B$6),"Sim","Não")</f>
        <v>Sim</v>
      </c>
      <c r="P1409" s="32" t="str">
        <f aca="false">IF(O1409="Sim","R",IF(N1409&gt;=Parâmetros!$B$39,"A",IF(N1409&gt;=Parâmetros!$B$40,"B",IF(N1409&gt;=Parâmetros!$B$41,"C","D"))))</f>
        <v>R</v>
      </c>
      <c r="Q1409" s="10" t="str">
        <f aca="false">IF(F1409="","Completar cadastro","")</f>
        <v/>
      </c>
      <c r="R1409" s="10" t="str">
        <f aca="false">INDEX(Parâmetros!$D$39:$D$43,MATCH(P1409,Parâmetros!$A$39:$A$43,0))</f>
        <v>Reciclar: requalificar, reengajar ou encerrar</v>
      </c>
    </row>
    <row r="1410" customFormat="false" ht="15" hidden="false" customHeight="false" outlineLevel="0" collapsed="false">
      <c r="A1410" s="10" t="s">
        <v>1656</v>
      </c>
      <c r="B1410" s="10" t="s">
        <v>95</v>
      </c>
      <c r="C1410" s="10" t="s">
        <v>92</v>
      </c>
      <c r="D1410" s="10" t="s">
        <v>160</v>
      </c>
      <c r="E1410" s="10" t="s">
        <v>50</v>
      </c>
      <c r="F1410" s="10"/>
      <c r="G1410" s="10" t="s">
        <v>162</v>
      </c>
      <c r="H1410" s="30" t="n">
        <v>42836</v>
      </c>
      <c r="I1410" s="8" t="n">
        <f aca="false">INDEX(Parâmetros!$C$13:$C$19,MATCH(E1410,Parâmetros!$A$13:$A$19,0))</f>
        <v>1096</v>
      </c>
      <c r="J1410" s="26" t="n">
        <f aca="false">IF(H1410="","",Parâmetros!$B$5-H1410)</f>
        <v>264</v>
      </c>
      <c r="K1410" s="10" t="n">
        <f aca="false">INDEX(Parâmetros!$D$13:$D$19,MATCH(E1410,Parâmetros!$A$13:$A$19,0))</f>
        <v>29</v>
      </c>
      <c r="L1410" s="10" t="n">
        <f aca="false">IF(G1410="Prospecting",Parâmetros!$B$9,IF(J1410&gt;Parâmetros!$B$6,0,INDEX(Parâmetros!$C$24:$C$26,MATCH(J1410,Parâmetros!$A$24:$A$26,1))))</f>
        <v>0</v>
      </c>
      <c r="M1410" s="31" t="n">
        <f aca="false">IF(G1410="Prospecting",1,INDEX(Parâmetros!$C$32:$C$35,MATCH(J1410,Parâmetros!$A$32:$A$35,1)))</f>
        <v>0.4</v>
      </c>
      <c r="N1410" s="2" t="n">
        <f aca="false">ROUND((K1410+L1410)*M1410,0)</f>
        <v>12</v>
      </c>
      <c r="O1410" s="10" t="str">
        <f aca="false">IF(AND(G1410="Engaging",J1410&gt;Parâmetros!$B$6),"Sim","Não")</f>
        <v>Sim</v>
      </c>
      <c r="P1410" s="32" t="str">
        <f aca="false">IF(O1410="Sim","R",IF(N1410&gt;=Parâmetros!$B$39,"A",IF(N1410&gt;=Parâmetros!$B$40,"B",IF(N1410&gt;=Parâmetros!$B$41,"C","D"))))</f>
        <v>R</v>
      </c>
      <c r="Q1410" s="10" t="str">
        <f aca="false">IF(F1410="","Completar cadastro","")</f>
        <v>Completar cadastro</v>
      </c>
      <c r="R1410" s="10" t="str">
        <f aca="false">INDEX(Parâmetros!$D$39:$D$43,MATCH(P1410,Parâmetros!$A$39:$A$43,0))</f>
        <v>Reciclar: requalificar, reengajar ou encerrar</v>
      </c>
    </row>
    <row r="1411" customFormat="false" ht="15" hidden="false" customHeight="false" outlineLevel="0" collapsed="false">
      <c r="A1411" s="10" t="s">
        <v>1657</v>
      </c>
      <c r="B1411" s="10" t="s">
        <v>84</v>
      </c>
      <c r="C1411" s="10" t="s">
        <v>85</v>
      </c>
      <c r="D1411" s="10" t="s">
        <v>165</v>
      </c>
      <c r="E1411" s="10" t="s">
        <v>50</v>
      </c>
      <c r="F1411" s="10" t="s">
        <v>388</v>
      </c>
      <c r="G1411" s="10" t="s">
        <v>162</v>
      </c>
      <c r="H1411" s="30" t="n">
        <v>42837</v>
      </c>
      <c r="I1411" s="8" t="n">
        <f aca="false">INDEX(Parâmetros!$C$13:$C$19,MATCH(E1411,Parâmetros!$A$13:$A$19,0))</f>
        <v>1096</v>
      </c>
      <c r="J1411" s="26" t="n">
        <f aca="false">IF(H1411="","",Parâmetros!$B$5-H1411)</f>
        <v>263</v>
      </c>
      <c r="K1411" s="10" t="n">
        <f aca="false">INDEX(Parâmetros!$D$13:$D$19,MATCH(E1411,Parâmetros!$A$13:$A$19,0))</f>
        <v>29</v>
      </c>
      <c r="L1411" s="10" t="n">
        <f aca="false">IF(G1411="Prospecting",Parâmetros!$B$9,IF(J1411&gt;Parâmetros!$B$6,0,INDEX(Parâmetros!$C$24:$C$26,MATCH(J1411,Parâmetros!$A$24:$A$26,1))))</f>
        <v>0</v>
      </c>
      <c r="M1411" s="31" t="n">
        <f aca="false">IF(G1411="Prospecting",1,INDEX(Parâmetros!$C$32:$C$35,MATCH(J1411,Parâmetros!$A$32:$A$35,1)))</f>
        <v>0.4</v>
      </c>
      <c r="N1411" s="2" t="n">
        <f aca="false">ROUND((K1411+L1411)*M1411,0)</f>
        <v>12</v>
      </c>
      <c r="O1411" s="10" t="str">
        <f aca="false">IF(AND(G1411="Engaging",J1411&gt;Parâmetros!$B$6),"Sim","Não")</f>
        <v>Sim</v>
      </c>
      <c r="P1411" s="32" t="str">
        <f aca="false">IF(O1411="Sim","R",IF(N1411&gt;=Parâmetros!$B$39,"A",IF(N1411&gt;=Parâmetros!$B$40,"B",IF(N1411&gt;=Parâmetros!$B$41,"C","D"))))</f>
        <v>R</v>
      </c>
      <c r="Q1411" s="10" t="str">
        <f aca="false">IF(F1411="","Completar cadastro","")</f>
        <v/>
      </c>
      <c r="R1411" s="10" t="str">
        <f aca="false">INDEX(Parâmetros!$D$39:$D$43,MATCH(P1411,Parâmetros!$A$39:$A$43,0))</f>
        <v>Reciclar: requalificar, reengajar ou encerrar</v>
      </c>
    </row>
    <row r="1412" customFormat="false" ht="15" hidden="false" customHeight="false" outlineLevel="0" collapsed="false">
      <c r="A1412" s="10" t="s">
        <v>1658</v>
      </c>
      <c r="B1412" s="10" t="s">
        <v>94</v>
      </c>
      <c r="C1412" s="10" t="s">
        <v>92</v>
      </c>
      <c r="D1412" s="10" t="s">
        <v>160</v>
      </c>
      <c r="E1412" s="10" t="s">
        <v>50</v>
      </c>
      <c r="F1412" s="10"/>
      <c r="G1412" s="10" t="s">
        <v>162</v>
      </c>
      <c r="H1412" s="30" t="n">
        <v>42840</v>
      </c>
      <c r="I1412" s="8" t="n">
        <f aca="false">INDEX(Parâmetros!$C$13:$C$19,MATCH(E1412,Parâmetros!$A$13:$A$19,0))</f>
        <v>1096</v>
      </c>
      <c r="J1412" s="26" t="n">
        <f aca="false">IF(H1412="","",Parâmetros!$B$5-H1412)</f>
        <v>260</v>
      </c>
      <c r="K1412" s="10" t="n">
        <f aca="false">INDEX(Parâmetros!$D$13:$D$19,MATCH(E1412,Parâmetros!$A$13:$A$19,0))</f>
        <v>29</v>
      </c>
      <c r="L1412" s="10" t="n">
        <f aca="false">IF(G1412="Prospecting",Parâmetros!$B$9,IF(J1412&gt;Parâmetros!$B$6,0,INDEX(Parâmetros!$C$24:$C$26,MATCH(J1412,Parâmetros!$A$24:$A$26,1))))</f>
        <v>0</v>
      </c>
      <c r="M1412" s="31" t="n">
        <f aca="false">IF(G1412="Prospecting",1,INDEX(Parâmetros!$C$32:$C$35,MATCH(J1412,Parâmetros!$A$32:$A$35,1)))</f>
        <v>0.4</v>
      </c>
      <c r="N1412" s="2" t="n">
        <f aca="false">ROUND((K1412+L1412)*M1412,0)</f>
        <v>12</v>
      </c>
      <c r="O1412" s="10" t="str">
        <f aca="false">IF(AND(G1412="Engaging",J1412&gt;Parâmetros!$B$6),"Sim","Não")</f>
        <v>Sim</v>
      </c>
      <c r="P1412" s="32" t="str">
        <f aca="false">IF(O1412="Sim","R",IF(N1412&gt;=Parâmetros!$B$39,"A",IF(N1412&gt;=Parâmetros!$B$40,"B",IF(N1412&gt;=Parâmetros!$B$41,"C","D"))))</f>
        <v>R</v>
      </c>
      <c r="Q1412" s="10" t="str">
        <f aca="false">IF(F1412="","Completar cadastro","")</f>
        <v>Completar cadastro</v>
      </c>
      <c r="R1412" s="10" t="str">
        <f aca="false">INDEX(Parâmetros!$D$39:$D$43,MATCH(P1412,Parâmetros!$A$39:$A$43,0))</f>
        <v>Reciclar: requalificar, reengajar ou encerrar</v>
      </c>
    </row>
    <row r="1413" customFormat="false" ht="15" hidden="false" customHeight="false" outlineLevel="0" collapsed="false">
      <c r="A1413" s="10" t="s">
        <v>1659</v>
      </c>
      <c r="B1413" s="10" t="s">
        <v>96</v>
      </c>
      <c r="C1413" s="10" t="s">
        <v>92</v>
      </c>
      <c r="D1413" s="10" t="s">
        <v>160</v>
      </c>
      <c r="E1413" s="10" t="s">
        <v>50</v>
      </c>
      <c r="F1413" s="10"/>
      <c r="G1413" s="10" t="s">
        <v>162</v>
      </c>
      <c r="H1413" s="30" t="n">
        <v>42843</v>
      </c>
      <c r="I1413" s="8" t="n">
        <f aca="false">INDEX(Parâmetros!$C$13:$C$19,MATCH(E1413,Parâmetros!$A$13:$A$19,0))</f>
        <v>1096</v>
      </c>
      <c r="J1413" s="26" t="n">
        <f aca="false">IF(H1413="","",Parâmetros!$B$5-H1413)</f>
        <v>257</v>
      </c>
      <c r="K1413" s="10" t="n">
        <f aca="false">INDEX(Parâmetros!$D$13:$D$19,MATCH(E1413,Parâmetros!$A$13:$A$19,0))</f>
        <v>29</v>
      </c>
      <c r="L1413" s="10" t="n">
        <f aca="false">IF(G1413="Prospecting",Parâmetros!$B$9,IF(J1413&gt;Parâmetros!$B$6,0,INDEX(Parâmetros!$C$24:$C$26,MATCH(J1413,Parâmetros!$A$24:$A$26,1))))</f>
        <v>0</v>
      </c>
      <c r="M1413" s="31" t="n">
        <f aca="false">IF(G1413="Prospecting",1,INDEX(Parâmetros!$C$32:$C$35,MATCH(J1413,Parâmetros!$A$32:$A$35,1)))</f>
        <v>0.4</v>
      </c>
      <c r="N1413" s="2" t="n">
        <f aca="false">ROUND((K1413+L1413)*M1413,0)</f>
        <v>12</v>
      </c>
      <c r="O1413" s="10" t="str">
        <f aca="false">IF(AND(G1413="Engaging",J1413&gt;Parâmetros!$B$6),"Sim","Não")</f>
        <v>Sim</v>
      </c>
      <c r="P1413" s="32" t="str">
        <f aca="false">IF(O1413="Sim","R",IF(N1413&gt;=Parâmetros!$B$39,"A",IF(N1413&gt;=Parâmetros!$B$40,"B",IF(N1413&gt;=Parâmetros!$B$41,"C","D"))))</f>
        <v>R</v>
      </c>
      <c r="Q1413" s="10" t="str">
        <f aca="false">IF(F1413="","Completar cadastro","")</f>
        <v>Completar cadastro</v>
      </c>
      <c r="R1413" s="10" t="str">
        <f aca="false">INDEX(Parâmetros!$D$39:$D$43,MATCH(P1413,Parâmetros!$A$39:$A$43,0))</f>
        <v>Reciclar: requalificar, reengajar ou encerrar</v>
      </c>
    </row>
    <row r="1414" customFormat="false" ht="15" hidden="false" customHeight="false" outlineLevel="0" collapsed="false">
      <c r="A1414" s="10" t="s">
        <v>1660</v>
      </c>
      <c r="B1414" s="10" t="s">
        <v>86</v>
      </c>
      <c r="C1414" s="10" t="s">
        <v>85</v>
      </c>
      <c r="D1414" s="10" t="s">
        <v>165</v>
      </c>
      <c r="E1414" s="10" t="s">
        <v>50</v>
      </c>
      <c r="F1414" s="10"/>
      <c r="G1414" s="10" t="s">
        <v>162</v>
      </c>
      <c r="H1414" s="30" t="n">
        <v>42846</v>
      </c>
      <c r="I1414" s="8" t="n">
        <f aca="false">INDEX(Parâmetros!$C$13:$C$19,MATCH(E1414,Parâmetros!$A$13:$A$19,0))</f>
        <v>1096</v>
      </c>
      <c r="J1414" s="26" t="n">
        <f aca="false">IF(H1414="","",Parâmetros!$B$5-H1414)</f>
        <v>254</v>
      </c>
      <c r="K1414" s="10" t="n">
        <f aca="false">INDEX(Parâmetros!$D$13:$D$19,MATCH(E1414,Parâmetros!$A$13:$A$19,0))</f>
        <v>29</v>
      </c>
      <c r="L1414" s="10" t="n">
        <f aca="false">IF(G1414="Prospecting",Parâmetros!$B$9,IF(J1414&gt;Parâmetros!$B$6,0,INDEX(Parâmetros!$C$24:$C$26,MATCH(J1414,Parâmetros!$A$24:$A$26,1))))</f>
        <v>0</v>
      </c>
      <c r="M1414" s="31" t="n">
        <f aca="false">IF(G1414="Prospecting",1,INDEX(Parâmetros!$C$32:$C$35,MATCH(J1414,Parâmetros!$A$32:$A$35,1)))</f>
        <v>0.4</v>
      </c>
      <c r="N1414" s="2" t="n">
        <f aca="false">ROUND((K1414+L1414)*M1414,0)</f>
        <v>12</v>
      </c>
      <c r="O1414" s="10" t="str">
        <f aca="false">IF(AND(G1414="Engaging",J1414&gt;Parâmetros!$B$6),"Sim","Não")</f>
        <v>Sim</v>
      </c>
      <c r="P1414" s="32" t="str">
        <f aca="false">IF(O1414="Sim","R",IF(N1414&gt;=Parâmetros!$B$39,"A",IF(N1414&gt;=Parâmetros!$B$40,"B",IF(N1414&gt;=Parâmetros!$B$41,"C","D"))))</f>
        <v>R</v>
      </c>
      <c r="Q1414" s="10" t="str">
        <f aca="false">IF(F1414="","Completar cadastro","")</f>
        <v>Completar cadastro</v>
      </c>
      <c r="R1414" s="10" t="str">
        <f aca="false">INDEX(Parâmetros!$D$39:$D$43,MATCH(P1414,Parâmetros!$A$39:$A$43,0))</f>
        <v>Reciclar: requalificar, reengajar ou encerrar</v>
      </c>
    </row>
    <row r="1415" customFormat="false" ht="15" hidden="false" customHeight="false" outlineLevel="0" collapsed="false">
      <c r="A1415" s="10" t="s">
        <v>1661</v>
      </c>
      <c r="B1415" s="10" t="s">
        <v>94</v>
      </c>
      <c r="C1415" s="10" t="s">
        <v>92</v>
      </c>
      <c r="D1415" s="10" t="s">
        <v>160</v>
      </c>
      <c r="E1415" s="10" t="s">
        <v>50</v>
      </c>
      <c r="F1415" s="10"/>
      <c r="G1415" s="10" t="s">
        <v>162</v>
      </c>
      <c r="H1415" s="30" t="n">
        <v>42849</v>
      </c>
      <c r="I1415" s="8" t="n">
        <f aca="false">INDEX(Parâmetros!$C$13:$C$19,MATCH(E1415,Parâmetros!$A$13:$A$19,0))</f>
        <v>1096</v>
      </c>
      <c r="J1415" s="26" t="n">
        <f aca="false">IF(H1415="","",Parâmetros!$B$5-H1415)</f>
        <v>251</v>
      </c>
      <c r="K1415" s="10" t="n">
        <f aca="false">INDEX(Parâmetros!$D$13:$D$19,MATCH(E1415,Parâmetros!$A$13:$A$19,0))</f>
        <v>29</v>
      </c>
      <c r="L1415" s="10" t="n">
        <f aca="false">IF(G1415="Prospecting",Parâmetros!$B$9,IF(J1415&gt;Parâmetros!$B$6,0,INDEX(Parâmetros!$C$24:$C$26,MATCH(J1415,Parâmetros!$A$24:$A$26,1))))</f>
        <v>0</v>
      </c>
      <c r="M1415" s="31" t="n">
        <f aca="false">IF(G1415="Prospecting",1,INDEX(Parâmetros!$C$32:$C$35,MATCH(J1415,Parâmetros!$A$32:$A$35,1)))</f>
        <v>0.4</v>
      </c>
      <c r="N1415" s="2" t="n">
        <f aca="false">ROUND((K1415+L1415)*M1415,0)</f>
        <v>12</v>
      </c>
      <c r="O1415" s="10" t="str">
        <f aca="false">IF(AND(G1415="Engaging",J1415&gt;Parâmetros!$B$6),"Sim","Não")</f>
        <v>Sim</v>
      </c>
      <c r="P1415" s="32" t="str">
        <f aca="false">IF(O1415="Sim","R",IF(N1415&gt;=Parâmetros!$B$39,"A",IF(N1415&gt;=Parâmetros!$B$40,"B",IF(N1415&gt;=Parâmetros!$B$41,"C","D"))))</f>
        <v>R</v>
      </c>
      <c r="Q1415" s="10" t="str">
        <f aca="false">IF(F1415="","Completar cadastro","")</f>
        <v>Completar cadastro</v>
      </c>
      <c r="R1415" s="10" t="str">
        <f aca="false">INDEX(Parâmetros!$D$39:$D$43,MATCH(P1415,Parâmetros!$A$39:$A$43,0))</f>
        <v>Reciclar: requalificar, reengajar ou encerrar</v>
      </c>
    </row>
    <row r="1416" customFormat="false" ht="15" hidden="false" customHeight="false" outlineLevel="0" collapsed="false">
      <c r="A1416" s="10" t="s">
        <v>1662</v>
      </c>
      <c r="B1416" s="10" t="s">
        <v>84</v>
      </c>
      <c r="C1416" s="10" t="s">
        <v>85</v>
      </c>
      <c r="D1416" s="10" t="s">
        <v>165</v>
      </c>
      <c r="E1416" s="10" t="s">
        <v>50</v>
      </c>
      <c r="F1416" s="10"/>
      <c r="G1416" s="10" t="s">
        <v>162</v>
      </c>
      <c r="H1416" s="30" t="n">
        <v>42850</v>
      </c>
      <c r="I1416" s="8" t="n">
        <f aca="false">INDEX(Parâmetros!$C$13:$C$19,MATCH(E1416,Parâmetros!$A$13:$A$19,0))</f>
        <v>1096</v>
      </c>
      <c r="J1416" s="26" t="n">
        <f aca="false">IF(H1416="","",Parâmetros!$B$5-H1416)</f>
        <v>250</v>
      </c>
      <c r="K1416" s="10" t="n">
        <f aca="false">INDEX(Parâmetros!$D$13:$D$19,MATCH(E1416,Parâmetros!$A$13:$A$19,0))</f>
        <v>29</v>
      </c>
      <c r="L1416" s="10" t="n">
        <f aca="false">IF(G1416="Prospecting",Parâmetros!$B$9,IF(J1416&gt;Parâmetros!$B$6,0,INDEX(Parâmetros!$C$24:$C$26,MATCH(J1416,Parâmetros!$A$24:$A$26,1))))</f>
        <v>0</v>
      </c>
      <c r="M1416" s="31" t="n">
        <f aca="false">IF(G1416="Prospecting",1,INDEX(Parâmetros!$C$32:$C$35,MATCH(J1416,Parâmetros!$A$32:$A$35,1)))</f>
        <v>0.4</v>
      </c>
      <c r="N1416" s="2" t="n">
        <f aca="false">ROUND((K1416+L1416)*M1416,0)</f>
        <v>12</v>
      </c>
      <c r="O1416" s="10" t="str">
        <f aca="false">IF(AND(G1416="Engaging",J1416&gt;Parâmetros!$B$6),"Sim","Não")</f>
        <v>Sim</v>
      </c>
      <c r="P1416" s="32" t="str">
        <f aca="false">IF(O1416="Sim","R",IF(N1416&gt;=Parâmetros!$B$39,"A",IF(N1416&gt;=Parâmetros!$B$40,"B",IF(N1416&gt;=Parâmetros!$B$41,"C","D"))))</f>
        <v>R</v>
      </c>
      <c r="Q1416" s="10" t="str">
        <f aca="false">IF(F1416="","Completar cadastro","")</f>
        <v>Completar cadastro</v>
      </c>
      <c r="R1416" s="10" t="str">
        <f aca="false">INDEX(Parâmetros!$D$39:$D$43,MATCH(P1416,Parâmetros!$A$39:$A$43,0))</f>
        <v>Reciclar: requalificar, reengajar ou encerrar</v>
      </c>
    </row>
    <row r="1417" customFormat="false" ht="15" hidden="false" customHeight="false" outlineLevel="0" collapsed="false">
      <c r="A1417" s="10" t="s">
        <v>1663</v>
      </c>
      <c r="B1417" s="10" t="s">
        <v>67</v>
      </c>
      <c r="C1417" s="10" t="s">
        <v>65</v>
      </c>
      <c r="D1417" s="10" t="s">
        <v>160</v>
      </c>
      <c r="E1417" s="10" t="s">
        <v>50</v>
      </c>
      <c r="F1417" s="10"/>
      <c r="G1417" s="10" t="s">
        <v>162</v>
      </c>
      <c r="H1417" s="30" t="n">
        <v>42850</v>
      </c>
      <c r="I1417" s="8" t="n">
        <f aca="false">INDEX(Parâmetros!$C$13:$C$19,MATCH(E1417,Parâmetros!$A$13:$A$19,0))</f>
        <v>1096</v>
      </c>
      <c r="J1417" s="26" t="n">
        <f aca="false">IF(H1417="","",Parâmetros!$B$5-H1417)</f>
        <v>250</v>
      </c>
      <c r="K1417" s="10" t="n">
        <f aca="false">INDEX(Parâmetros!$D$13:$D$19,MATCH(E1417,Parâmetros!$A$13:$A$19,0))</f>
        <v>29</v>
      </c>
      <c r="L1417" s="10" t="n">
        <f aca="false">IF(G1417="Prospecting",Parâmetros!$B$9,IF(J1417&gt;Parâmetros!$B$6,0,INDEX(Parâmetros!$C$24:$C$26,MATCH(J1417,Parâmetros!$A$24:$A$26,1))))</f>
        <v>0</v>
      </c>
      <c r="M1417" s="31" t="n">
        <f aca="false">IF(G1417="Prospecting",1,INDEX(Parâmetros!$C$32:$C$35,MATCH(J1417,Parâmetros!$A$32:$A$35,1)))</f>
        <v>0.4</v>
      </c>
      <c r="N1417" s="2" t="n">
        <f aca="false">ROUND((K1417+L1417)*M1417,0)</f>
        <v>12</v>
      </c>
      <c r="O1417" s="10" t="str">
        <f aca="false">IF(AND(G1417="Engaging",J1417&gt;Parâmetros!$B$6),"Sim","Não")</f>
        <v>Sim</v>
      </c>
      <c r="P1417" s="32" t="str">
        <f aca="false">IF(O1417="Sim","R",IF(N1417&gt;=Parâmetros!$B$39,"A",IF(N1417&gt;=Parâmetros!$B$40,"B",IF(N1417&gt;=Parâmetros!$B$41,"C","D"))))</f>
        <v>R</v>
      </c>
      <c r="Q1417" s="10" t="str">
        <f aca="false">IF(F1417="","Completar cadastro","")</f>
        <v>Completar cadastro</v>
      </c>
      <c r="R1417" s="10" t="str">
        <f aca="false">INDEX(Parâmetros!$D$39:$D$43,MATCH(P1417,Parâmetros!$A$39:$A$43,0))</f>
        <v>Reciclar: requalificar, reengajar ou encerrar</v>
      </c>
    </row>
    <row r="1418" customFormat="false" ht="15" hidden="false" customHeight="false" outlineLevel="0" collapsed="false">
      <c r="A1418" s="10" t="s">
        <v>1664</v>
      </c>
      <c r="B1418" s="10" t="s">
        <v>62</v>
      </c>
      <c r="C1418" s="10" t="s">
        <v>58</v>
      </c>
      <c r="D1418" s="10" t="s">
        <v>165</v>
      </c>
      <c r="E1418" s="10" t="s">
        <v>50</v>
      </c>
      <c r="F1418" s="10"/>
      <c r="G1418" s="10" t="s">
        <v>162</v>
      </c>
      <c r="H1418" s="30" t="n">
        <v>42850</v>
      </c>
      <c r="I1418" s="8" t="n">
        <f aca="false">INDEX(Parâmetros!$C$13:$C$19,MATCH(E1418,Parâmetros!$A$13:$A$19,0))</f>
        <v>1096</v>
      </c>
      <c r="J1418" s="26" t="n">
        <f aca="false">IF(H1418="","",Parâmetros!$B$5-H1418)</f>
        <v>250</v>
      </c>
      <c r="K1418" s="10" t="n">
        <f aca="false">INDEX(Parâmetros!$D$13:$D$19,MATCH(E1418,Parâmetros!$A$13:$A$19,0))</f>
        <v>29</v>
      </c>
      <c r="L1418" s="10" t="n">
        <f aca="false">IF(G1418="Prospecting",Parâmetros!$B$9,IF(J1418&gt;Parâmetros!$B$6,0,INDEX(Parâmetros!$C$24:$C$26,MATCH(J1418,Parâmetros!$A$24:$A$26,1))))</f>
        <v>0</v>
      </c>
      <c r="M1418" s="31" t="n">
        <f aca="false">IF(G1418="Prospecting",1,INDEX(Parâmetros!$C$32:$C$35,MATCH(J1418,Parâmetros!$A$32:$A$35,1)))</f>
        <v>0.4</v>
      </c>
      <c r="N1418" s="2" t="n">
        <f aca="false">ROUND((K1418+L1418)*M1418,0)</f>
        <v>12</v>
      </c>
      <c r="O1418" s="10" t="str">
        <f aca="false">IF(AND(G1418="Engaging",J1418&gt;Parâmetros!$B$6),"Sim","Não")</f>
        <v>Sim</v>
      </c>
      <c r="P1418" s="32" t="str">
        <f aca="false">IF(O1418="Sim","R",IF(N1418&gt;=Parâmetros!$B$39,"A",IF(N1418&gt;=Parâmetros!$B$40,"B",IF(N1418&gt;=Parâmetros!$B$41,"C","D"))))</f>
        <v>R</v>
      </c>
      <c r="Q1418" s="10" t="str">
        <f aca="false">IF(F1418="","Completar cadastro","")</f>
        <v>Completar cadastro</v>
      </c>
      <c r="R1418" s="10" t="str">
        <f aca="false">INDEX(Parâmetros!$D$39:$D$43,MATCH(P1418,Parâmetros!$A$39:$A$43,0))</f>
        <v>Reciclar: requalificar, reengajar ou encerrar</v>
      </c>
    </row>
    <row r="1419" customFormat="false" ht="15" hidden="false" customHeight="false" outlineLevel="0" collapsed="false">
      <c r="A1419" s="10" t="s">
        <v>1665</v>
      </c>
      <c r="B1419" s="10" t="s">
        <v>62</v>
      </c>
      <c r="C1419" s="10" t="s">
        <v>58</v>
      </c>
      <c r="D1419" s="10" t="s">
        <v>165</v>
      </c>
      <c r="E1419" s="10" t="s">
        <v>50</v>
      </c>
      <c r="F1419" s="10"/>
      <c r="G1419" s="10" t="s">
        <v>162</v>
      </c>
      <c r="H1419" s="30" t="n">
        <v>42854</v>
      </c>
      <c r="I1419" s="8" t="n">
        <f aca="false">INDEX(Parâmetros!$C$13:$C$19,MATCH(E1419,Parâmetros!$A$13:$A$19,0))</f>
        <v>1096</v>
      </c>
      <c r="J1419" s="26" t="n">
        <f aca="false">IF(H1419="","",Parâmetros!$B$5-H1419)</f>
        <v>246</v>
      </c>
      <c r="K1419" s="10" t="n">
        <f aca="false">INDEX(Parâmetros!$D$13:$D$19,MATCH(E1419,Parâmetros!$A$13:$A$19,0))</f>
        <v>29</v>
      </c>
      <c r="L1419" s="10" t="n">
        <f aca="false">IF(G1419="Prospecting",Parâmetros!$B$9,IF(J1419&gt;Parâmetros!$B$6,0,INDEX(Parâmetros!$C$24:$C$26,MATCH(J1419,Parâmetros!$A$24:$A$26,1))))</f>
        <v>0</v>
      </c>
      <c r="M1419" s="31" t="n">
        <f aca="false">IF(G1419="Prospecting",1,INDEX(Parâmetros!$C$32:$C$35,MATCH(J1419,Parâmetros!$A$32:$A$35,1)))</f>
        <v>0.4</v>
      </c>
      <c r="N1419" s="2" t="n">
        <f aca="false">ROUND((K1419+L1419)*M1419,0)</f>
        <v>12</v>
      </c>
      <c r="O1419" s="10" t="str">
        <f aca="false">IF(AND(G1419="Engaging",J1419&gt;Parâmetros!$B$6),"Sim","Não")</f>
        <v>Sim</v>
      </c>
      <c r="P1419" s="32" t="str">
        <f aca="false">IF(O1419="Sim","R",IF(N1419&gt;=Parâmetros!$B$39,"A",IF(N1419&gt;=Parâmetros!$B$40,"B",IF(N1419&gt;=Parâmetros!$B$41,"C","D"))))</f>
        <v>R</v>
      </c>
      <c r="Q1419" s="10" t="str">
        <f aca="false">IF(F1419="","Completar cadastro","")</f>
        <v>Completar cadastro</v>
      </c>
      <c r="R1419" s="10" t="str">
        <f aca="false">INDEX(Parâmetros!$D$39:$D$43,MATCH(P1419,Parâmetros!$A$39:$A$43,0))</f>
        <v>Reciclar: requalificar, reengajar ou encerrar</v>
      </c>
    </row>
    <row r="1420" customFormat="false" ht="15" hidden="false" customHeight="false" outlineLevel="0" collapsed="false">
      <c r="A1420" s="10" t="s">
        <v>1666</v>
      </c>
      <c r="B1420" s="10" t="s">
        <v>84</v>
      </c>
      <c r="C1420" s="10" t="s">
        <v>85</v>
      </c>
      <c r="D1420" s="10" t="s">
        <v>165</v>
      </c>
      <c r="E1420" s="10" t="s">
        <v>50</v>
      </c>
      <c r="F1420" s="10"/>
      <c r="G1420" s="10" t="s">
        <v>162</v>
      </c>
      <c r="H1420" s="30" t="n">
        <v>42857</v>
      </c>
      <c r="I1420" s="8" t="n">
        <f aca="false">INDEX(Parâmetros!$C$13:$C$19,MATCH(E1420,Parâmetros!$A$13:$A$19,0))</f>
        <v>1096</v>
      </c>
      <c r="J1420" s="26" t="n">
        <f aca="false">IF(H1420="","",Parâmetros!$B$5-H1420)</f>
        <v>243</v>
      </c>
      <c r="K1420" s="10" t="n">
        <f aca="false">INDEX(Parâmetros!$D$13:$D$19,MATCH(E1420,Parâmetros!$A$13:$A$19,0))</f>
        <v>29</v>
      </c>
      <c r="L1420" s="10" t="n">
        <f aca="false">IF(G1420="Prospecting",Parâmetros!$B$9,IF(J1420&gt;Parâmetros!$B$6,0,INDEX(Parâmetros!$C$24:$C$26,MATCH(J1420,Parâmetros!$A$24:$A$26,1))))</f>
        <v>0</v>
      </c>
      <c r="M1420" s="31" t="n">
        <f aca="false">IF(G1420="Prospecting",1,INDEX(Parâmetros!$C$32:$C$35,MATCH(J1420,Parâmetros!$A$32:$A$35,1)))</f>
        <v>0.4</v>
      </c>
      <c r="N1420" s="2" t="n">
        <f aca="false">ROUND((K1420+L1420)*M1420,0)</f>
        <v>12</v>
      </c>
      <c r="O1420" s="10" t="str">
        <f aca="false">IF(AND(G1420="Engaging",J1420&gt;Parâmetros!$B$6),"Sim","Não")</f>
        <v>Sim</v>
      </c>
      <c r="P1420" s="32" t="str">
        <f aca="false">IF(O1420="Sim","R",IF(N1420&gt;=Parâmetros!$B$39,"A",IF(N1420&gt;=Parâmetros!$B$40,"B",IF(N1420&gt;=Parâmetros!$B$41,"C","D"))))</f>
        <v>R</v>
      </c>
      <c r="Q1420" s="10" t="str">
        <f aca="false">IF(F1420="","Completar cadastro","")</f>
        <v>Completar cadastro</v>
      </c>
      <c r="R1420" s="10" t="str">
        <f aca="false">INDEX(Parâmetros!$D$39:$D$43,MATCH(P1420,Parâmetros!$A$39:$A$43,0))</f>
        <v>Reciclar: requalificar, reengajar ou encerrar</v>
      </c>
    </row>
    <row r="1421" customFormat="false" ht="15" hidden="false" customHeight="false" outlineLevel="0" collapsed="false">
      <c r="A1421" s="10" t="s">
        <v>1667</v>
      </c>
      <c r="B1421" s="10" t="s">
        <v>84</v>
      </c>
      <c r="C1421" s="10" t="s">
        <v>85</v>
      </c>
      <c r="D1421" s="10" t="s">
        <v>165</v>
      </c>
      <c r="E1421" s="10" t="s">
        <v>50</v>
      </c>
      <c r="F1421" s="10"/>
      <c r="G1421" s="10" t="s">
        <v>162</v>
      </c>
      <c r="H1421" s="30" t="n">
        <v>42857</v>
      </c>
      <c r="I1421" s="8" t="n">
        <f aca="false">INDEX(Parâmetros!$C$13:$C$19,MATCH(E1421,Parâmetros!$A$13:$A$19,0))</f>
        <v>1096</v>
      </c>
      <c r="J1421" s="26" t="n">
        <f aca="false">IF(H1421="","",Parâmetros!$B$5-H1421)</f>
        <v>243</v>
      </c>
      <c r="K1421" s="10" t="n">
        <f aca="false">INDEX(Parâmetros!$D$13:$D$19,MATCH(E1421,Parâmetros!$A$13:$A$19,0))</f>
        <v>29</v>
      </c>
      <c r="L1421" s="10" t="n">
        <f aca="false">IF(G1421="Prospecting",Parâmetros!$B$9,IF(J1421&gt;Parâmetros!$B$6,0,INDEX(Parâmetros!$C$24:$C$26,MATCH(J1421,Parâmetros!$A$24:$A$26,1))))</f>
        <v>0</v>
      </c>
      <c r="M1421" s="31" t="n">
        <f aca="false">IF(G1421="Prospecting",1,INDEX(Parâmetros!$C$32:$C$35,MATCH(J1421,Parâmetros!$A$32:$A$35,1)))</f>
        <v>0.4</v>
      </c>
      <c r="N1421" s="2" t="n">
        <f aca="false">ROUND((K1421+L1421)*M1421,0)</f>
        <v>12</v>
      </c>
      <c r="O1421" s="10" t="str">
        <f aca="false">IF(AND(G1421="Engaging",J1421&gt;Parâmetros!$B$6),"Sim","Não")</f>
        <v>Sim</v>
      </c>
      <c r="P1421" s="32" t="str">
        <f aca="false">IF(O1421="Sim","R",IF(N1421&gt;=Parâmetros!$B$39,"A",IF(N1421&gt;=Parâmetros!$B$40,"B",IF(N1421&gt;=Parâmetros!$B$41,"C","D"))))</f>
        <v>R</v>
      </c>
      <c r="Q1421" s="10" t="str">
        <f aca="false">IF(F1421="","Completar cadastro","")</f>
        <v>Completar cadastro</v>
      </c>
      <c r="R1421" s="10" t="str">
        <f aca="false">INDEX(Parâmetros!$D$39:$D$43,MATCH(P1421,Parâmetros!$A$39:$A$43,0))</f>
        <v>Reciclar: requalificar, reengajar ou encerrar</v>
      </c>
    </row>
    <row r="1422" customFormat="false" ht="15" hidden="false" customHeight="false" outlineLevel="0" collapsed="false">
      <c r="A1422" s="10" t="s">
        <v>1668</v>
      </c>
      <c r="B1422" s="10" t="s">
        <v>86</v>
      </c>
      <c r="C1422" s="10" t="s">
        <v>85</v>
      </c>
      <c r="D1422" s="10" t="s">
        <v>165</v>
      </c>
      <c r="E1422" s="10" t="s">
        <v>50</v>
      </c>
      <c r="F1422" s="10" t="s">
        <v>419</v>
      </c>
      <c r="G1422" s="10" t="s">
        <v>162</v>
      </c>
      <c r="H1422" s="30" t="n">
        <v>42860</v>
      </c>
      <c r="I1422" s="8" t="n">
        <f aca="false">INDEX(Parâmetros!$C$13:$C$19,MATCH(E1422,Parâmetros!$A$13:$A$19,0))</f>
        <v>1096</v>
      </c>
      <c r="J1422" s="26" t="n">
        <f aca="false">IF(H1422="","",Parâmetros!$B$5-H1422)</f>
        <v>240</v>
      </c>
      <c r="K1422" s="10" t="n">
        <f aca="false">INDEX(Parâmetros!$D$13:$D$19,MATCH(E1422,Parâmetros!$A$13:$A$19,0))</f>
        <v>29</v>
      </c>
      <c r="L1422" s="10" t="n">
        <f aca="false">IF(G1422="Prospecting",Parâmetros!$B$9,IF(J1422&gt;Parâmetros!$B$6,0,INDEX(Parâmetros!$C$24:$C$26,MATCH(J1422,Parâmetros!$A$24:$A$26,1))))</f>
        <v>0</v>
      </c>
      <c r="M1422" s="31" t="n">
        <f aca="false">IF(G1422="Prospecting",1,INDEX(Parâmetros!$C$32:$C$35,MATCH(J1422,Parâmetros!$A$32:$A$35,1)))</f>
        <v>0.4</v>
      </c>
      <c r="N1422" s="2" t="n">
        <f aca="false">ROUND((K1422+L1422)*M1422,0)</f>
        <v>12</v>
      </c>
      <c r="O1422" s="10" t="str">
        <f aca="false">IF(AND(G1422="Engaging",J1422&gt;Parâmetros!$B$6),"Sim","Não")</f>
        <v>Sim</v>
      </c>
      <c r="P1422" s="32" t="str">
        <f aca="false">IF(O1422="Sim","R",IF(N1422&gt;=Parâmetros!$B$39,"A",IF(N1422&gt;=Parâmetros!$B$40,"B",IF(N1422&gt;=Parâmetros!$B$41,"C","D"))))</f>
        <v>R</v>
      </c>
      <c r="Q1422" s="10" t="str">
        <f aca="false">IF(F1422="","Completar cadastro","")</f>
        <v/>
      </c>
      <c r="R1422" s="10" t="str">
        <f aca="false">INDEX(Parâmetros!$D$39:$D$43,MATCH(P1422,Parâmetros!$A$39:$A$43,0))</f>
        <v>Reciclar: requalificar, reengajar ou encerrar</v>
      </c>
    </row>
    <row r="1423" customFormat="false" ht="15" hidden="false" customHeight="false" outlineLevel="0" collapsed="false">
      <c r="A1423" s="10" t="s">
        <v>1669</v>
      </c>
      <c r="B1423" s="10" t="s">
        <v>95</v>
      </c>
      <c r="C1423" s="10" t="s">
        <v>92</v>
      </c>
      <c r="D1423" s="10" t="s">
        <v>160</v>
      </c>
      <c r="E1423" s="10" t="s">
        <v>50</v>
      </c>
      <c r="F1423" s="10" t="s">
        <v>455</v>
      </c>
      <c r="G1423" s="10" t="s">
        <v>162</v>
      </c>
      <c r="H1423" s="30" t="n">
        <v>42860</v>
      </c>
      <c r="I1423" s="8" t="n">
        <f aca="false">INDEX(Parâmetros!$C$13:$C$19,MATCH(E1423,Parâmetros!$A$13:$A$19,0))</f>
        <v>1096</v>
      </c>
      <c r="J1423" s="26" t="n">
        <f aca="false">IF(H1423="","",Parâmetros!$B$5-H1423)</f>
        <v>240</v>
      </c>
      <c r="K1423" s="10" t="n">
        <f aca="false">INDEX(Parâmetros!$D$13:$D$19,MATCH(E1423,Parâmetros!$A$13:$A$19,0))</f>
        <v>29</v>
      </c>
      <c r="L1423" s="10" t="n">
        <f aca="false">IF(G1423="Prospecting",Parâmetros!$B$9,IF(J1423&gt;Parâmetros!$B$6,0,INDEX(Parâmetros!$C$24:$C$26,MATCH(J1423,Parâmetros!$A$24:$A$26,1))))</f>
        <v>0</v>
      </c>
      <c r="M1423" s="31" t="n">
        <f aca="false">IF(G1423="Prospecting",1,INDEX(Parâmetros!$C$32:$C$35,MATCH(J1423,Parâmetros!$A$32:$A$35,1)))</f>
        <v>0.4</v>
      </c>
      <c r="N1423" s="2" t="n">
        <f aca="false">ROUND((K1423+L1423)*M1423,0)</f>
        <v>12</v>
      </c>
      <c r="O1423" s="10" t="str">
        <f aca="false">IF(AND(G1423="Engaging",J1423&gt;Parâmetros!$B$6),"Sim","Não")</f>
        <v>Sim</v>
      </c>
      <c r="P1423" s="32" t="str">
        <f aca="false">IF(O1423="Sim","R",IF(N1423&gt;=Parâmetros!$B$39,"A",IF(N1423&gt;=Parâmetros!$B$40,"B",IF(N1423&gt;=Parâmetros!$B$41,"C","D"))))</f>
        <v>R</v>
      </c>
      <c r="Q1423" s="10" t="str">
        <f aca="false">IF(F1423="","Completar cadastro","")</f>
        <v/>
      </c>
      <c r="R1423" s="10" t="str">
        <f aca="false">INDEX(Parâmetros!$D$39:$D$43,MATCH(P1423,Parâmetros!$A$39:$A$43,0))</f>
        <v>Reciclar: requalificar, reengajar ou encerrar</v>
      </c>
    </row>
    <row r="1424" customFormat="false" ht="15" hidden="false" customHeight="false" outlineLevel="0" collapsed="false">
      <c r="A1424" s="10" t="s">
        <v>1670</v>
      </c>
      <c r="B1424" s="10" t="s">
        <v>68</v>
      </c>
      <c r="C1424" s="10" t="s">
        <v>65</v>
      </c>
      <c r="D1424" s="10" t="s">
        <v>160</v>
      </c>
      <c r="E1424" s="10" t="s">
        <v>50</v>
      </c>
      <c r="F1424" s="10"/>
      <c r="G1424" s="10" t="s">
        <v>162</v>
      </c>
      <c r="H1424" s="30" t="n">
        <v>42861</v>
      </c>
      <c r="I1424" s="8" t="n">
        <f aca="false">INDEX(Parâmetros!$C$13:$C$19,MATCH(E1424,Parâmetros!$A$13:$A$19,0))</f>
        <v>1096</v>
      </c>
      <c r="J1424" s="26" t="n">
        <f aca="false">IF(H1424="","",Parâmetros!$B$5-H1424)</f>
        <v>239</v>
      </c>
      <c r="K1424" s="10" t="n">
        <f aca="false">INDEX(Parâmetros!$D$13:$D$19,MATCH(E1424,Parâmetros!$A$13:$A$19,0))</f>
        <v>29</v>
      </c>
      <c r="L1424" s="10" t="n">
        <f aca="false">IF(G1424="Prospecting",Parâmetros!$B$9,IF(J1424&gt;Parâmetros!$B$6,0,INDEX(Parâmetros!$C$24:$C$26,MATCH(J1424,Parâmetros!$A$24:$A$26,1))))</f>
        <v>0</v>
      </c>
      <c r="M1424" s="31" t="n">
        <f aca="false">IF(G1424="Prospecting",1,INDEX(Parâmetros!$C$32:$C$35,MATCH(J1424,Parâmetros!$A$32:$A$35,1)))</f>
        <v>0.4</v>
      </c>
      <c r="N1424" s="2" t="n">
        <f aca="false">ROUND((K1424+L1424)*M1424,0)</f>
        <v>12</v>
      </c>
      <c r="O1424" s="10" t="str">
        <f aca="false">IF(AND(G1424="Engaging",J1424&gt;Parâmetros!$B$6),"Sim","Não")</f>
        <v>Sim</v>
      </c>
      <c r="P1424" s="32" t="str">
        <f aca="false">IF(O1424="Sim","R",IF(N1424&gt;=Parâmetros!$B$39,"A",IF(N1424&gt;=Parâmetros!$B$40,"B",IF(N1424&gt;=Parâmetros!$B$41,"C","D"))))</f>
        <v>R</v>
      </c>
      <c r="Q1424" s="10" t="str">
        <f aca="false">IF(F1424="","Completar cadastro","")</f>
        <v>Completar cadastro</v>
      </c>
      <c r="R1424" s="10" t="str">
        <f aca="false">INDEX(Parâmetros!$D$39:$D$43,MATCH(P1424,Parâmetros!$A$39:$A$43,0))</f>
        <v>Reciclar: requalificar, reengajar ou encerrar</v>
      </c>
    </row>
    <row r="1425" customFormat="false" ht="15" hidden="false" customHeight="false" outlineLevel="0" collapsed="false">
      <c r="A1425" s="10" t="s">
        <v>1671</v>
      </c>
      <c r="B1425" s="10" t="s">
        <v>57</v>
      </c>
      <c r="C1425" s="10" t="s">
        <v>58</v>
      </c>
      <c r="D1425" s="10" t="s">
        <v>165</v>
      </c>
      <c r="E1425" s="10" t="s">
        <v>50</v>
      </c>
      <c r="F1425" s="10" t="s">
        <v>453</v>
      </c>
      <c r="G1425" s="10" t="s">
        <v>162</v>
      </c>
      <c r="H1425" s="30" t="n">
        <v>42862</v>
      </c>
      <c r="I1425" s="8" t="n">
        <f aca="false">INDEX(Parâmetros!$C$13:$C$19,MATCH(E1425,Parâmetros!$A$13:$A$19,0))</f>
        <v>1096</v>
      </c>
      <c r="J1425" s="26" t="n">
        <f aca="false">IF(H1425="","",Parâmetros!$B$5-H1425)</f>
        <v>238</v>
      </c>
      <c r="K1425" s="10" t="n">
        <f aca="false">INDEX(Parâmetros!$D$13:$D$19,MATCH(E1425,Parâmetros!$A$13:$A$19,0))</f>
        <v>29</v>
      </c>
      <c r="L1425" s="10" t="n">
        <f aca="false">IF(G1425="Prospecting",Parâmetros!$B$9,IF(J1425&gt;Parâmetros!$B$6,0,INDEX(Parâmetros!$C$24:$C$26,MATCH(J1425,Parâmetros!$A$24:$A$26,1))))</f>
        <v>0</v>
      </c>
      <c r="M1425" s="31" t="n">
        <f aca="false">IF(G1425="Prospecting",1,INDEX(Parâmetros!$C$32:$C$35,MATCH(J1425,Parâmetros!$A$32:$A$35,1)))</f>
        <v>0.4</v>
      </c>
      <c r="N1425" s="2" t="n">
        <f aca="false">ROUND((K1425+L1425)*M1425,0)</f>
        <v>12</v>
      </c>
      <c r="O1425" s="10" t="str">
        <f aca="false">IF(AND(G1425="Engaging",J1425&gt;Parâmetros!$B$6),"Sim","Não")</f>
        <v>Sim</v>
      </c>
      <c r="P1425" s="32" t="str">
        <f aca="false">IF(O1425="Sim","R",IF(N1425&gt;=Parâmetros!$B$39,"A",IF(N1425&gt;=Parâmetros!$B$40,"B",IF(N1425&gt;=Parâmetros!$B$41,"C","D"))))</f>
        <v>R</v>
      </c>
      <c r="Q1425" s="10" t="str">
        <f aca="false">IF(F1425="","Completar cadastro","")</f>
        <v/>
      </c>
      <c r="R1425" s="10" t="str">
        <f aca="false">INDEX(Parâmetros!$D$39:$D$43,MATCH(P1425,Parâmetros!$A$39:$A$43,0))</f>
        <v>Reciclar: requalificar, reengajar ou encerrar</v>
      </c>
    </row>
    <row r="1426" customFormat="false" ht="15" hidden="false" customHeight="false" outlineLevel="0" collapsed="false">
      <c r="A1426" s="10" t="s">
        <v>1672</v>
      </c>
      <c r="B1426" s="10" t="s">
        <v>96</v>
      </c>
      <c r="C1426" s="10" t="s">
        <v>92</v>
      </c>
      <c r="D1426" s="10" t="s">
        <v>160</v>
      </c>
      <c r="E1426" s="10" t="s">
        <v>50</v>
      </c>
      <c r="F1426" s="10"/>
      <c r="G1426" s="10" t="s">
        <v>162</v>
      </c>
      <c r="H1426" s="30" t="n">
        <v>42863</v>
      </c>
      <c r="I1426" s="8" t="n">
        <f aca="false">INDEX(Parâmetros!$C$13:$C$19,MATCH(E1426,Parâmetros!$A$13:$A$19,0))</f>
        <v>1096</v>
      </c>
      <c r="J1426" s="26" t="n">
        <f aca="false">IF(H1426="","",Parâmetros!$B$5-H1426)</f>
        <v>237</v>
      </c>
      <c r="K1426" s="10" t="n">
        <f aca="false">INDEX(Parâmetros!$D$13:$D$19,MATCH(E1426,Parâmetros!$A$13:$A$19,0))</f>
        <v>29</v>
      </c>
      <c r="L1426" s="10" t="n">
        <f aca="false">IF(G1426="Prospecting",Parâmetros!$B$9,IF(J1426&gt;Parâmetros!$B$6,0,INDEX(Parâmetros!$C$24:$C$26,MATCH(J1426,Parâmetros!$A$24:$A$26,1))))</f>
        <v>0</v>
      </c>
      <c r="M1426" s="31" t="n">
        <f aca="false">IF(G1426="Prospecting",1,INDEX(Parâmetros!$C$32:$C$35,MATCH(J1426,Parâmetros!$A$32:$A$35,1)))</f>
        <v>0.4</v>
      </c>
      <c r="N1426" s="2" t="n">
        <f aca="false">ROUND((K1426+L1426)*M1426,0)</f>
        <v>12</v>
      </c>
      <c r="O1426" s="10" t="str">
        <f aca="false">IF(AND(G1426="Engaging",J1426&gt;Parâmetros!$B$6),"Sim","Não")</f>
        <v>Sim</v>
      </c>
      <c r="P1426" s="32" t="str">
        <f aca="false">IF(O1426="Sim","R",IF(N1426&gt;=Parâmetros!$B$39,"A",IF(N1426&gt;=Parâmetros!$B$40,"B",IF(N1426&gt;=Parâmetros!$B$41,"C","D"))))</f>
        <v>R</v>
      </c>
      <c r="Q1426" s="10" t="str">
        <f aca="false">IF(F1426="","Completar cadastro","")</f>
        <v>Completar cadastro</v>
      </c>
      <c r="R1426" s="10" t="str">
        <f aca="false">INDEX(Parâmetros!$D$39:$D$43,MATCH(P1426,Parâmetros!$A$39:$A$43,0))</f>
        <v>Reciclar: requalificar, reengajar ou encerrar</v>
      </c>
    </row>
    <row r="1427" customFormat="false" ht="15" hidden="false" customHeight="false" outlineLevel="0" collapsed="false">
      <c r="A1427" s="10" t="s">
        <v>1673</v>
      </c>
      <c r="B1427" s="10" t="s">
        <v>84</v>
      </c>
      <c r="C1427" s="10" t="s">
        <v>85</v>
      </c>
      <c r="D1427" s="10" t="s">
        <v>165</v>
      </c>
      <c r="E1427" s="10" t="s">
        <v>50</v>
      </c>
      <c r="F1427" s="10"/>
      <c r="G1427" s="10" t="s">
        <v>162</v>
      </c>
      <c r="H1427" s="30" t="n">
        <v>42864</v>
      </c>
      <c r="I1427" s="8" t="n">
        <f aca="false">INDEX(Parâmetros!$C$13:$C$19,MATCH(E1427,Parâmetros!$A$13:$A$19,0))</f>
        <v>1096</v>
      </c>
      <c r="J1427" s="26" t="n">
        <f aca="false">IF(H1427="","",Parâmetros!$B$5-H1427)</f>
        <v>236</v>
      </c>
      <c r="K1427" s="10" t="n">
        <f aca="false">INDEX(Parâmetros!$D$13:$D$19,MATCH(E1427,Parâmetros!$A$13:$A$19,0))</f>
        <v>29</v>
      </c>
      <c r="L1427" s="10" t="n">
        <f aca="false">IF(G1427="Prospecting",Parâmetros!$B$9,IF(J1427&gt;Parâmetros!$B$6,0,INDEX(Parâmetros!$C$24:$C$26,MATCH(J1427,Parâmetros!$A$24:$A$26,1))))</f>
        <v>0</v>
      </c>
      <c r="M1427" s="31" t="n">
        <f aca="false">IF(G1427="Prospecting",1,INDEX(Parâmetros!$C$32:$C$35,MATCH(J1427,Parâmetros!$A$32:$A$35,1)))</f>
        <v>0.4</v>
      </c>
      <c r="N1427" s="2" t="n">
        <f aca="false">ROUND((K1427+L1427)*M1427,0)</f>
        <v>12</v>
      </c>
      <c r="O1427" s="10" t="str">
        <f aca="false">IF(AND(G1427="Engaging",J1427&gt;Parâmetros!$B$6),"Sim","Não")</f>
        <v>Sim</v>
      </c>
      <c r="P1427" s="32" t="str">
        <f aca="false">IF(O1427="Sim","R",IF(N1427&gt;=Parâmetros!$B$39,"A",IF(N1427&gt;=Parâmetros!$B$40,"B",IF(N1427&gt;=Parâmetros!$B$41,"C","D"))))</f>
        <v>R</v>
      </c>
      <c r="Q1427" s="10" t="str">
        <f aca="false">IF(F1427="","Completar cadastro","")</f>
        <v>Completar cadastro</v>
      </c>
      <c r="R1427" s="10" t="str">
        <f aca="false">INDEX(Parâmetros!$D$39:$D$43,MATCH(P1427,Parâmetros!$A$39:$A$43,0))</f>
        <v>Reciclar: requalificar, reengajar ou encerrar</v>
      </c>
    </row>
    <row r="1428" customFormat="false" ht="15" hidden="false" customHeight="false" outlineLevel="0" collapsed="false">
      <c r="A1428" s="10" t="s">
        <v>1674</v>
      </c>
      <c r="B1428" s="10" t="s">
        <v>96</v>
      </c>
      <c r="C1428" s="10" t="s">
        <v>92</v>
      </c>
      <c r="D1428" s="10" t="s">
        <v>160</v>
      </c>
      <c r="E1428" s="10" t="s">
        <v>50</v>
      </c>
      <c r="F1428" s="10" t="s">
        <v>359</v>
      </c>
      <c r="G1428" s="10" t="s">
        <v>162</v>
      </c>
      <c r="H1428" s="30" t="n">
        <v>42864</v>
      </c>
      <c r="I1428" s="8" t="n">
        <f aca="false">INDEX(Parâmetros!$C$13:$C$19,MATCH(E1428,Parâmetros!$A$13:$A$19,0))</f>
        <v>1096</v>
      </c>
      <c r="J1428" s="26" t="n">
        <f aca="false">IF(H1428="","",Parâmetros!$B$5-H1428)</f>
        <v>236</v>
      </c>
      <c r="K1428" s="10" t="n">
        <f aca="false">INDEX(Parâmetros!$D$13:$D$19,MATCH(E1428,Parâmetros!$A$13:$A$19,0))</f>
        <v>29</v>
      </c>
      <c r="L1428" s="10" t="n">
        <f aca="false">IF(G1428="Prospecting",Parâmetros!$B$9,IF(J1428&gt;Parâmetros!$B$6,0,INDEX(Parâmetros!$C$24:$C$26,MATCH(J1428,Parâmetros!$A$24:$A$26,1))))</f>
        <v>0</v>
      </c>
      <c r="M1428" s="31" t="n">
        <f aca="false">IF(G1428="Prospecting",1,INDEX(Parâmetros!$C$32:$C$35,MATCH(J1428,Parâmetros!$A$32:$A$35,1)))</f>
        <v>0.4</v>
      </c>
      <c r="N1428" s="2" t="n">
        <f aca="false">ROUND((K1428+L1428)*M1428,0)</f>
        <v>12</v>
      </c>
      <c r="O1428" s="10" t="str">
        <f aca="false">IF(AND(G1428="Engaging",J1428&gt;Parâmetros!$B$6),"Sim","Não")</f>
        <v>Sim</v>
      </c>
      <c r="P1428" s="32" t="str">
        <f aca="false">IF(O1428="Sim","R",IF(N1428&gt;=Parâmetros!$B$39,"A",IF(N1428&gt;=Parâmetros!$B$40,"B",IF(N1428&gt;=Parâmetros!$B$41,"C","D"))))</f>
        <v>R</v>
      </c>
      <c r="Q1428" s="10" t="str">
        <f aca="false">IF(F1428="","Completar cadastro","")</f>
        <v/>
      </c>
      <c r="R1428" s="10" t="str">
        <f aca="false">INDEX(Parâmetros!$D$39:$D$43,MATCH(P1428,Parâmetros!$A$39:$A$43,0))</f>
        <v>Reciclar: requalificar, reengajar ou encerrar</v>
      </c>
    </row>
    <row r="1429" customFormat="false" ht="15" hidden="false" customHeight="false" outlineLevel="0" collapsed="false">
      <c r="A1429" s="10" t="s">
        <v>1675</v>
      </c>
      <c r="B1429" s="10" t="s">
        <v>86</v>
      </c>
      <c r="C1429" s="10" t="s">
        <v>85</v>
      </c>
      <c r="D1429" s="10" t="s">
        <v>165</v>
      </c>
      <c r="E1429" s="10" t="s">
        <v>50</v>
      </c>
      <c r="F1429" s="10"/>
      <c r="G1429" s="10" t="s">
        <v>162</v>
      </c>
      <c r="H1429" s="30" t="n">
        <v>42869</v>
      </c>
      <c r="I1429" s="8" t="n">
        <f aca="false">INDEX(Parâmetros!$C$13:$C$19,MATCH(E1429,Parâmetros!$A$13:$A$19,0))</f>
        <v>1096</v>
      </c>
      <c r="J1429" s="26" t="n">
        <f aca="false">IF(H1429="","",Parâmetros!$B$5-H1429)</f>
        <v>231</v>
      </c>
      <c r="K1429" s="10" t="n">
        <f aca="false">INDEX(Parâmetros!$D$13:$D$19,MATCH(E1429,Parâmetros!$A$13:$A$19,0))</f>
        <v>29</v>
      </c>
      <c r="L1429" s="10" t="n">
        <f aca="false">IF(G1429="Prospecting",Parâmetros!$B$9,IF(J1429&gt;Parâmetros!$B$6,0,INDEX(Parâmetros!$C$24:$C$26,MATCH(J1429,Parâmetros!$A$24:$A$26,1))))</f>
        <v>0</v>
      </c>
      <c r="M1429" s="31" t="n">
        <f aca="false">IF(G1429="Prospecting",1,INDEX(Parâmetros!$C$32:$C$35,MATCH(J1429,Parâmetros!$A$32:$A$35,1)))</f>
        <v>0.4</v>
      </c>
      <c r="N1429" s="2" t="n">
        <f aca="false">ROUND((K1429+L1429)*M1429,0)</f>
        <v>12</v>
      </c>
      <c r="O1429" s="10" t="str">
        <f aca="false">IF(AND(G1429="Engaging",J1429&gt;Parâmetros!$B$6),"Sim","Não")</f>
        <v>Sim</v>
      </c>
      <c r="P1429" s="32" t="str">
        <f aca="false">IF(O1429="Sim","R",IF(N1429&gt;=Parâmetros!$B$39,"A",IF(N1429&gt;=Parâmetros!$B$40,"B",IF(N1429&gt;=Parâmetros!$B$41,"C","D"))))</f>
        <v>R</v>
      </c>
      <c r="Q1429" s="10" t="str">
        <f aca="false">IF(F1429="","Completar cadastro","")</f>
        <v>Completar cadastro</v>
      </c>
      <c r="R1429" s="10" t="str">
        <f aca="false">INDEX(Parâmetros!$D$39:$D$43,MATCH(P1429,Parâmetros!$A$39:$A$43,0))</f>
        <v>Reciclar: requalificar, reengajar ou encerrar</v>
      </c>
    </row>
    <row r="1430" customFormat="false" ht="15" hidden="false" customHeight="false" outlineLevel="0" collapsed="false">
      <c r="A1430" s="10" t="s">
        <v>1676</v>
      </c>
      <c r="B1430" s="10" t="s">
        <v>96</v>
      </c>
      <c r="C1430" s="10" t="s">
        <v>92</v>
      </c>
      <c r="D1430" s="10" t="s">
        <v>160</v>
      </c>
      <c r="E1430" s="10" t="s">
        <v>50</v>
      </c>
      <c r="F1430" s="10" t="s">
        <v>215</v>
      </c>
      <c r="G1430" s="10" t="s">
        <v>162</v>
      </c>
      <c r="H1430" s="30" t="n">
        <v>42869</v>
      </c>
      <c r="I1430" s="8" t="n">
        <f aca="false">INDEX(Parâmetros!$C$13:$C$19,MATCH(E1430,Parâmetros!$A$13:$A$19,0))</f>
        <v>1096</v>
      </c>
      <c r="J1430" s="26" t="n">
        <f aca="false">IF(H1430="","",Parâmetros!$B$5-H1430)</f>
        <v>231</v>
      </c>
      <c r="K1430" s="10" t="n">
        <f aca="false">INDEX(Parâmetros!$D$13:$D$19,MATCH(E1430,Parâmetros!$A$13:$A$19,0))</f>
        <v>29</v>
      </c>
      <c r="L1430" s="10" t="n">
        <f aca="false">IF(G1430="Prospecting",Parâmetros!$B$9,IF(J1430&gt;Parâmetros!$B$6,0,INDEX(Parâmetros!$C$24:$C$26,MATCH(J1430,Parâmetros!$A$24:$A$26,1))))</f>
        <v>0</v>
      </c>
      <c r="M1430" s="31" t="n">
        <f aca="false">IF(G1430="Prospecting",1,INDEX(Parâmetros!$C$32:$C$35,MATCH(J1430,Parâmetros!$A$32:$A$35,1)))</f>
        <v>0.4</v>
      </c>
      <c r="N1430" s="2" t="n">
        <f aca="false">ROUND((K1430+L1430)*M1430,0)</f>
        <v>12</v>
      </c>
      <c r="O1430" s="10" t="str">
        <f aca="false">IF(AND(G1430="Engaging",J1430&gt;Parâmetros!$B$6),"Sim","Não")</f>
        <v>Sim</v>
      </c>
      <c r="P1430" s="32" t="str">
        <f aca="false">IF(O1430="Sim","R",IF(N1430&gt;=Parâmetros!$B$39,"A",IF(N1430&gt;=Parâmetros!$B$40,"B",IF(N1430&gt;=Parâmetros!$B$41,"C","D"))))</f>
        <v>R</v>
      </c>
      <c r="Q1430" s="10" t="str">
        <f aca="false">IF(F1430="","Completar cadastro","")</f>
        <v/>
      </c>
      <c r="R1430" s="10" t="str">
        <f aca="false">INDEX(Parâmetros!$D$39:$D$43,MATCH(P1430,Parâmetros!$A$39:$A$43,0))</f>
        <v>Reciclar: requalificar, reengajar ou encerrar</v>
      </c>
    </row>
    <row r="1431" customFormat="false" ht="15" hidden="false" customHeight="false" outlineLevel="0" collapsed="false">
      <c r="A1431" s="10" t="s">
        <v>1677</v>
      </c>
      <c r="B1431" s="10" t="s">
        <v>69</v>
      </c>
      <c r="C1431" s="10" t="s">
        <v>65</v>
      </c>
      <c r="D1431" s="10" t="s">
        <v>160</v>
      </c>
      <c r="E1431" s="10" t="s">
        <v>50</v>
      </c>
      <c r="F1431" s="10"/>
      <c r="G1431" s="10" t="s">
        <v>162</v>
      </c>
      <c r="H1431" s="30" t="n">
        <v>42871</v>
      </c>
      <c r="I1431" s="8" t="n">
        <f aca="false">INDEX(Parâmetros!$C$13:$C$19,MATCH(E1431,Parâmetros!$A$13:$A$19,0))</f>
        <v>1096</v>
      </c>
      <c r="J1431" s="26" t="n">
        <f aca="false">IF(H1431="","",Parâmetros!$B$5-H1431)</f>
        <v>229</v>
      </c>
      <c r="K1431" s="10" t="n">
        <f aca="false">INDEX(Parâmetros!$D$13:$D$19,MATCH(E1431,Parâmetros!$A$13:$A$19,0))</f>
        <v>29</v>
      </c>
      <c r="L1431" s="10" t="n">
        <f aca="false">IF(G1431="Prospecting",Parâmetros!$B$9,IF(J1431&gt;Parâmetros!$B$6,0,INDEX(Parâmetros!$C$24:$C$26,MATCH(J1431,Parâmetros!$A$24:$A$26,1))))</f>
        <v>0</v>
      </c>
      <c r="M1431" s="31" t="n">
        <f aca="false">IF(G1431="Prospecting",1,INDEX(Parâmetros!$C$32:$C$35,MATCH(J1431,Parâmetros!$A$32:$A$35,1)))</f>
        <v>0.4</v>
      </c>
      <c r="N1431" s="2" t="n">
        <f aca="false">ROUND((K1431+L1431)*M1431,0)</f>
        <v>12</v>
      </c>
      <c r="O1431" s="10" t="str">
        <f aca="false">IF(AND(G1431="Engaging",J1431&gt;Parâmetros!$B$6),"Sim","Não")</f>
        <v>Sim</v>
      </c>
      <c r="P1431" s="32" t="str">
        <f aca="false">IF(O1431="Sim","R",IF(N1431&gt;=Parâmetros!$B$39,"A",IF(N1431&gt;=Parâmetros!$B$40,"B",IF(N1431&gt;=Parâmetros!$B$41,"C","D"))))</f>
        <v>R</v>
      </c>
      <c r="Q1431" s="10" t="str">
        <f aca="false">IF(F1431="","Completar cadastro","")</f>
        <v>Completar cadastro</v>
      </c>
      <c r="R1431" s="10" t="str">
        <f aca="false">INDEX(Parâmetros!$D$39:$D$43,MATCH(P1431,Parâmetros!$A$39:$A$43,0))</f>
        <v>Reciclar: requalificar, reengajar ou encerrar</v>
      </c>
    </row>
    <row r="1432" customFormat="false" ht="15" hidden="false" customHeight="false" outlineLevel="0" collapsed="false">
      <c r="A1432" s="10" t="s">
        <v>1678</v>
      </c>
      <c r="B1432" s="10" t="s">
        <v>86</v>
      </c>
      <c r="C1432" s="10" t="s">
        <v>85</v>
      </c>
      <c r="D1432" s="10" t="s">
        <v>165</v>
      </c>
      <c r="E1432" s="10" t="s">
        <v>50</v>
      </c>
      <c r="F1432" s="10"/>
      <c r="G1432" s="10" t="s">
        <v>162</v>
      </c>
      <c r="H1432" s="30" t="n">
        <v>42872</v>
      </c>
      <c r="I1432" s="8" t="n">
        <f aca="false">INDEX(Parâmetros!$C$13:$C$19,MATCH(E1432,Parâmetros!$A$13:$A$19,0))</f>
        <v>1096</v>
      </c>
      <c r="J1432" s="26" t="n">
        <f aca="false">IF(H1432="","",Parâmetros!$B$5-H1432)</f>
        <v>228</v>
      </c>
      <c r="K1432" s="10" t="n">
        <f aca="false">INDEX(Parâmetros!$D$13:$D$19,MATCH(E1432,Parâmetros!$A$13:$A$19,0))</f>
        <v>29</v>
      </c>
      <c r="L1432" s="10" t="n">
        <f aca="false">IF(G1432="Prospecting",Parâmetros!$B$9,IF(J1432&gt;Parâmetros!$B$6,0,INDEX(Parâmetros!$C$24:$C$26,MATCH(J1432,Parâmetros!$A$24:$A$26,1))))</f>
        <v>0</v>
      </c>
      <c r="M1432" s="31" t="n">
        <f aca="false">IF(G1432="Prospecting",1,INDEX(Parâmetros!$C$32:$C$35,MATCH(J1432,Parâmetros!$A$32:$A$35,1)))</f>
        <v>0.4</v>
      </c>
      <c r="N1432" s="2" t="n">
        <f aca="false">ROUND((K1432+L1432)*M1432,0)</f>
        <v>12</v>
      </c>
      <c r="O1432" s="10" t="str">
        <f aca="false">IF(AND(G1432="Engaging",J1432&gt;Parâmetros!$B$6),"Sim","Não")</f>
        <v>Sim</v>
      </c>
      <c r="P1432" s="32" t="str">
        <f aca="false">IF(O1432="Sim","R",IF(N1432&gt;=Parâmetros!$B$39,"A",IF(N1432&gt;=Parâmetros!$B$40,"B",IF(N1432&gt;=Parâmetros!$B$41,"C","D"))))</f>
        <v>R</v>
      </c>
      <c r="Q1432" s="10" t="str">
        <f aca="false">IF(F1432="","Completar cadastro","")</f>
        <v>Completar cadastro</v>
      </c>
      <c r="R1432" s="10" t="str">
        <f aca="false">INDEX(Parâmetros!$D$39:$D$43,MATCH(P1432,Parâmetros!$A$39:$A$43,0))</f>
        <v>Reciclar: requalificar, reengajar ou encerrar</v>
      </c>
    </row>
    <row r="1433" customFormat="false" ht="15" hidden="false" customHeight="false" outlineLevel="0" collapsed="false">
      <c r="A1433" s="10" t="s">
        <v>1679</v>
      </c>
      <c r="B1433" s="10" t="s">
        <v>95</v>
      </c>
      <c r="C1433" s="10" t="s">
        <v>92</v>
      </c>
      <c r="D1433" s="10" t="s">
        <v>160</v>
      </c>
      <c r="E1433" s="10" t="s">
        <v>50</v>
      </c>
      <c r="F1433" s="10" t="s">
        <v>711</v>
      </c>
      <c r="G1433" s="10" t="s">
        <v>162</v>
      </c>
      <c r="H1433" s="30" t="n">
        <v>42873</v>
      </c>
      <c r="I1433" s="8" t="n">
        <f aca="false">INDEX(Parâmetros!$C$13:$C$19,MATCH(E1433,Parâmetros!$A$13:$A$19,0))</f>
        <v>1096</v>
      </c>
      <c r="J1433" s="26" t="n">
        <f aca="false">IF(H1433="","",Parâmetros!$B$5-H1433)</f>
        <v>227</v>
      </c>
      <c r="K1433" s="10" t="n">
        <f aca="false">INDEX(Parâmetros!$D$13:$D$19,MATCH(E1433,Parâmetros!$A$13:$A$19,0))</f>
        <v>29</v>
      </c>
      <c r="L1433" s="10" t="n">
        <f aca="false">IF(G1433="Prospecting",Parâmetros!$B$9,IF(J1433&gt;Parâmetros!$B$6,0,INDEX(Parâmetros!$C$24:$C$26,MATCH(J1433,Parâmetros!$A$24:$A$26,1))))</f>
        <v>0</v>
      </c>
      <c r="M1433" s="31" t="n">
        <f aca="false">IF(G1433="Prospecting",1,INDEX(Parâmetros!$C$32:$C$35,MATCH(J1433,Parâmetros!$A$32:$A$35,1)))</f>
        <v>0.4</v>
      </c>
      <c r="N1433" s="2" t="n">
        <f aca="false">ROUND((K1433+L1433)*M1433,0)</f>
        <v>12</v>
      </c>
      <c r="O1433" s="10" t="str">
        <f aca="false">IF(AND(G1433="Engaging",J1433&gt;Parâmetros!$B$6),"Sim","Não")</f>
        <v>Sim</v>
      </c>
      <c r="P1433" s="32" t="str">
        <f aca="false">IF(O1433="Sim","R",IF(N1433&gt;=Parâmetros!$B$39,"A",IF(N1433&gt;=Parâmetros!$B$40,"B",IF(N1433&gt;=Parâmetros!$B$41,"C","D"))))</f>
        <v>R</v>
      </c>
      <c r="Q1433" s="10" t="str">
        <f aca="false">IF(F1433="","Completar cadastro","")</f>
        <v/>
      </c>
      <c r="R1433" s="10" t="str">
        <f aca="false">INDEX(Parâmetros!$D$39:$D$43,MATCH(P1433,Parâmetros!$A$39:$A$43,0))</f>
        <v>Reciclar: requalificar, reengajar ou encerrar</v>
      </c>
    </row>
    <row r="1434" customFormat="false" ht="15" hidden="false" customHeight="false" outlineLevel="0" collapsed="false">
      <c r="A1434" s="10" t="s">
        <v>1680</v>
      </c>
      <c r="B1434" s="10" t="s">
        <v>95</v>
      </c>
      <c r="C1434" s="10" t="s">
        <v>92</v>
      </c>
      <c r="D1434" s="10" t="s">
        <v>160</v>
      </c>
      <c r="E1434" s="10" t="s">
        <v>50</v>
      </c>
      <c r="F1434" s="10"/>
      <c r="G1434" s="10" t="s">
        <v>162</v>
      </c>
      <c r="H1434" s="30" t="n">
        <v>42874</v>
      </c>
      <c r="I1434" s="8" t="n">
        <f aca="false">INDEX(Parâmetros!$C$13:$C$19,MATCH(E1434,Parâmetros!$A$13:$A$19,0))</f>
        <v>1096</v>
      </c>
      <c r="J1434" s="26" t="n">
        <f aca="false">IF(H1434="","",Parâmetros!$B$5-H1434)</f>
        <v>226</v>
      </c>
      <c r="K1434" s="10" t="n">
        <f aca="false">INDEX(Parâmetros!$D$13:$D$19,MATCH(E1434,Parâmetros!$A$13:$A$19,0))</f>
        <v>29</v>
      </c>
      <c r="L1434" s="10" t="n">
        <f aca="false">IF(G1434="Prospecting",Parâmetros!$B$9,IF(J1434&gt;Parâmetros!$B$6,0,INDEX(Parâmetros!$C$24:$C$26,MATCH(J1434,Parâmetros!$A$24:$A$26,1))))</f>
        <v>0</v>
      </c>
      <c r="M1434" s="31" t="n">
        <f aca="false">IF(G1434="Prospecting",1,INDEX(Parâmetros!$C$32:$C$35,MATCH(J1434,Parâmetros!$A$32:$A$35,1)))</f>
        <v>0.4</v>
      </c>
      <c r="N1434" s="2" t="n">
        <f aca="false">ROUND((K1434+L1434)*M1434,0)</f>
        <v>12</v>
      </c>
      <c r="O1434" s="10" t="str">
        <f aca="false">IF(AND(G1434="Engaging",J1434&gt;Parâmetros!$B$6),"Sim","Não")</f>
        <v>Sim</v>
      </c>
      <c r="P1434" s="32" t="str">
        <f aca="false">IF(O1434="Sim","R",IF(N1434&gt;=Parâmetros!$B$39,"A",IF(N1434&gt;=Parâmetros!$B$40,"B",IF(N1434&gt;=Parâmetros!$B$41,"C","D"))))</f>
        <v>R</v>
      </c>
      <c r="Q1434" s="10" t="str">
        <f aca="false">IF(F1434="","Completar cadastro","")</f>
        <v>Completar cadastro</v>
      </c>
      <c r="R1434" s="10" t="str">
        <f aca="false">INDEX(Parâmetros!$D$39:$D$43,MATCH(P1434,Parâmetros!$A$39:$A$43,0))</f>
        <v>Reciclar: requalificar, reengajar ou encerrar</v>
      </c>
    </row>
    <row r="1435" customFormat="false" ht="15" hidden="false" customHeight="false" outlineLevel="0" collapsed="false">
      <c r="A1435" s="10" t="s">
        <v>1681</v>
      </c>
      <c r="B1435" s="10" t="s">
        <v>57</v>
      </c>
      <c r="C1435" s="10" t="s">
        <v>58</v>
      </c>
      <c r="D1435" s="10" t="s">
        <v>165</v>
      </c>
      <c r="E1435" s="10" t="s">
        <v>50</v>
      </c>
      <c r="F1435" s="10" t="s">
        <v>711</v>
      </c>
      <c r="G1435" s="10" t="s">
        <v>162</v>
      </c>
      <c r="H1435" s="30" t="n">
        <v>42877</v>
      </c>
      <c r="I1435" s="8" t="n">
        <f aca="false">INDEX(Parâmetros!$C$13:$C$19,MATCH(E1435,Parâmetros!$A$13:$A$19,0))</f>
        <v>1096</v>
      </c>
      <c r="J1435" s="26" t="n">
        <f aca="false">IF(H1435="","",Parâmetros!$B$5-H1435)</f>
        <v>223</v>
      </c>
      <c r="K1435" s="10" t="n">
        <f aca="false">INDEX(Parâmetros!$D$13:$D$19,MATCH(E1435,Parâmetros!$A$13:$A$19,0))</f>
        <v>29</v>
      </c>
      <c r="L1435" s="10" t="n">
        <f aca="false">IF(G1435="Prospecting",Parâmetros!$B$9,IF(J1435&gt;Parâmetros!$B$6,0,INDEX(Parâmetros!$C$24:$C$26,MATCH(J1435,Parâmetros!$A$24:$A$26,1))))</f>
        <v>0</v>
      </c>
      <c r="M1435" s="31" t="n">
        <f aca="false">IF(G1435="Prospecting",1,INDEX(Parâmetros!$C$32:$C$35,MATCH(J1435,Parâmetros!$A$32:$A$35,1)))</f>
        <v>0.4</v>
      </c>
      <c r="N1435" s="2" t="n">
        <f aca="false">ROUND((K1435+L1435)*M1435,0)</f>
        <v>12</v>
      </c>
      <c r="O1435" s="10" t="str">
        <f aca="false">IF(AND(G1435="Engaging",J1435&gt;Parâmetros!$B$6),"Sim","Não")</f>
        <v>Sim</v>
      </c>
      <c r="P1435" s="32" t="str">
        <f aca="false">IF(O1435="Sim","R",IF(N1435&gt;=Parâmetros!$B$39,"A",IF(N1435&gt;=Parâmetros!$B$40,"B",IF(N1435&gt;=Parâmetros!$B$41,"C","D"))))</f>
        <v>R</v>
      </c>
      <c r="Q1435" s="10" t="str">
        <f aca="false">IF(F1435="","Completar cadastro","")</f>
        <v/>
      </c>
      <c r="R1435" s="10" t="str">
        <f aca="false">INDEX(Parâmetros!$D$39:$D$43,MATCH(P1435,Parâmetros!$A$39:$A$43,0))</f>
        <v>Reciclar: requalificar, reengajar ou encerrar</v>
      </c>
    </row>
    <row r="1436" customFormat="false" ht="15" hidden="false" customHeight="false" outlineLevel="0" collapsed="false">
      <c r="A1436" s="10" t="s">
        <v>1682</v>
      </c>
      <c r="B1436" s="10" t="s">
        <v>96</v>
      </c>
      <c r="C1436" s="10" t="s">
        <v>92</v>
      </c>
      <c r="D1436" s="10" t="s">
        <v>160</v>
      </c>
      <c r="E1436" s="10" t="s">
        <v>50</v>
      </c>
      <c r="F1436" s="10"/>
      <c r="G1436" s="10" t="s">
        <v>162</v>
      </c>
      <c r="H1436" s="30" t="n">
        <v>42877</v>
      </c>
      <c r="I1436" s="8" t="n">
        <f aca="false">INDEX(Parâmetros!$C$13:$C$19,MATCH(E1436,Parâmetros!$A$13:$A$19,0))</f>
        <v>1096</v>
      </c>
      <c r="J1436" s="26" t="n">
        <f aca="false">IF(H1436="","",Parâmetros!$B$5-H1436)</f>
        <v>223</v>
      </c>
      <c r="K1436" s="10" t="n">
        <f aca="false">INDEX(Parâmetros!$D$13:$D$19,MATCH(E1436,Parâmetros!$A$13:$A$19,0))</f>
        <v>29</v>
      </c>
      <c r="L1436" s="10" t="n">
        <f aca="false">IF(G1436="Prospecting",Parâmetros!$B$9,IF(J1436&gt;Parâmetros!$B$6,0,INDEX(Parâmetros!$C$24:$C$26,MATCH(J1436,Parâmetros!$A$24:$A$26,1))))</f>
        <v>0</v>
      </c>
      <c r="M1436" s="31" t="n">
        <f aca="false">IF(G1436="Prospecting",1,INDEX(Parâmetros!$C$32:$C$35,MATCH(J1436,Parâmetros!$A$32:$A$35,1)))</f>
        <v>0.4</v>
      </c>
      <c r="N1436" s="2" t="n">
        <f aca="false">ROUND((K1436+L1436)*M1436,0)</f>
        <v>12</v>
      </c>
      <c r="O1436" s="10" t="str">
        <f aca="false">IF(AND(G1436="Engaging",J1436&gt;Parâmetros!$B$6),"Sim","Não")</f>
        <v>Sim</v>
      </c>
      <c r="P1436" s="32" t="str">
        <f aca="false">IF(O1436="Sim","R",IF(N1436&gt;=Parâmetros!$B$39,"A",IF(N1436&gt;=Parâmetros!$B$40,"B",IF(N1436&gt;=Parâmetros!$B$41,"C","D"))))</f>
        <v>R</v>
      </c>
      <c r="Q1436" s="10" t="str">
        <f aca="false">IF(F1436="","Completar cadastro","")</f>
        <v>Completar cadastro</v>
      </c>
      <c r="R1436" s="10" t="str">
        <f aca="false">INDEX(Parâmetros!$D$39:$D$43,MATCH(P1436,Parâmetros!$A$39:$A$43,0))</f>
        <v>Reciclar: requalificar, reengajar ou encerrar</v>
      </c>
    </row>
    <row r="1437" customFormat="false" ht="15" hidden="false" customHeight="false" outlineLevel="0" collapsed="false">
      <c r="A1437" s="10" t="s">
        <v>1683</v>
      </c>
      <c r="B1437" s="10" t="s">
        <v>84</v>
      </c>
      <c r="C1437" s="10" t="s">
        <v>85</v>
      </c>
      <c r="D1437" s="10" t="s">
        <v>165</v>
      </c>
      <c r="E1437" s="10" t="s">
        <v>50</v>
      </c>
      <c r="F1437" s="10"/>
      <c r="G1437" s="10" t="s">
        <v>162</v>
      </c>
      <c r="H1437" s="30" t="n">
        <v>42878</v>
      </c>
      <c r="I1437" s="8" t="n">
        <f aca="false">INDEX(Parâmetros!$C$13:$C$19,MATCH(E1437,Parâmetros!$A$13:$A$19,0))</f>
        <v>1096</v>
      </c>
      <c r="J1437" s="26" t="n">
        <f aca="false">IF(H1437="","",Parâmetros!$B$5-H1437)</f>
        <v>222</v>
      </c>
      <c r="K1437" s="10" t="n">
        <f aca="false">INDEX(Parâmetros!$D$13:$D$19,MATCH(E1437,Parâmetros!$A$13:$A$19,0))</f>
        <v>29</v>
      </c>
      <c r="L1437" s="10" t="n">
        <f aca="false">IF(G1437="Prospecting",Parâmetros!$B$9,IF(J1437&gt;Parâmetros!$B$6,0,INDEX(Parâmetros!$C$24:$C$26,MATCH(J1437,Parâmetros!$A$24:$A$26,1))))</f>
        <v>0</v>
      </c>
      <c r="M1437" s="31" t="n">
        <f aca="false">IF(G1437="Prospecting",1,INDEX(Parâmetros!$C$32:$C$35,MATCH(J1437,Parâmetros!$A$32:$A$35,1)))</f>
        <v>0.4</v>
      </c>
      <c r="N1437" s="2" t="n">
        <f aca="false">ROUND((K1437+L1437)*M1437,0)</f>
        <v>12</v>
      </c>
      <c r="O1437" s="10" t="str">
        <f aca="false">IF(AND(G1437="Engaging",J1437&gt;Parâmetros!$B$6),"Sim","Não")</f>
        <v>Sim</v>
      </c>
      <c r="P1437" s="32" t="str">
        <f aca="false">IF(O1437="Sim","R",IF(N1437&gt;=Parâmetros!$B$39,"A",IF(N1437&gt;=Parâmetros!$B$40,"B",IF(N1437&gt;=Parâmetros!$B$41,"C","D"))))</f>
        <v>R</v>
      </c>
      <c r="Q1437" s="10" t="str">
        <f aca="false">IF(F1437="","Completar cadastro","")</f>
        <v>Completar cadastro</v>
      </c>
      <c r="R1437" s="10" t="str">
        <f aca="false">INDEX(Parâmetros!$D$39:$D$43,MATCH(P1437,Parâmetros!$A$39:$A$43,0))</f>
        <v>Reciclar: requalificar, reengajar ou encerrar</v>
      </c>
    </row>
    <row r="1438" customFormat="false" ht="15" hidden="false" customHeight="false" outlineLevel="0" collapsed="false">
      <c r="A1438" s="10" t="s">
        <v>1684</v>
      </c>
      <c r="B1438" s="10" t="s">
        <v>93</v>
      </c>
      <c r="C1438" s="10" t="s">
        <v>92</v>
      </c>
      <c r="D1438" s="10" t="s">
        <v>160</v>
      </c>
      <c r="E1438" s="10" t="s">
        <v>50</v>
      </c>
      <c r="F1438" s="10" t="s">
        <v>210</v>
      </c>
      <c r="G1438" s="10" t="s">
        <v>162</v>
      </c>
      <c r="H1438" s="30" t="n">
        <v>42878</v>
      </c>
      <c r="I1438" s="8" t="n">
        <f aca="false">INDEX(Parâmetros!$C$13:$C$19,MATCH(E1438,Parâmetros!$A$13:$A$19,0))</f>
        <v>1096</v>
      </c>
      <c r="J1438" s="26" t="n">
        <f aca="false">IF(H1438="","",Parâmetros!$B$5-H1438)</f>
        <v>222</v>
      </c>
      <c r="K1438" s="10" t="n">
        <f aca="false">INDEX(Parâmetros!$D$13:$D$19,MATCH(E1438,Parâmetros!$A$13:$A$19,0))</f>
        <v>29</v>
      </c>
      <c r="L1438" s="10" t="n">
        <f aca="false">IF(G1438="Prospecting",Parâmetros!$B$9,IF(J1438&gt;Parâmetros!$B$6,0,INDEX(Parâmetros!$C$24:$C$26,MATCH(J1438,Parâmetros!$A$24:$A$26,1))))</f>
        <v>0</v>
      </c>
      <c r="M1438" s="31" t="n">
        <f aca="false">IF(G1438="Prospecting",1,INDEX(Parâmetros!$C$32:$C$35,MATCH(J1438,Parâmetros!$A$32:$A$35,1)))</f>
        <v>0.4</v>
      </c>
      <c r="N1438" s="2" t="n">
        <f aca="false">ROUND((K1438+L1438)*M1438,0)</f>
        <v>12</v>
      </c>
      <c r="O1438" s="10" t="str">
        <f aca="false">IF(AND(G1438="Engaging",J1438&gt;Parâmetros!$B$6),"Sim","Não")</f>
        <v>Sim</v>
      </c>
      <c r="P1438" s="32" t="str">
        <f aca="false">IF(O1438="Sim","R",IF(N1438&gt;=Parâmetros!$B$39,"A",IF(N1438&gt;=Parâmetros!$B$40,"B",IF(N1438&gt;=Parâmetros!$B$41,"C","D"))))</f>
        <v>R</v>
      </c>
      <c r="Q1438" s="10" t="str">
        <f aca="false">IF(F1438="","Completar cadastro","")</f>
        <v/>
      </c>
      <c r="R1438" s="10" t="str">
        <f aca="false">INDEX(Parâmetros!$D$39:$D$43,MATCH(P1438,Parâmetros!$A$39:$A$43,0))</f>
        <v>Reciclar: requalificar, reengajar ou encerrar</v>
      </c>
    </row>
    <row r="1439" customFormat="false" ht="15" hidden="false" customHeight="false" outlineLevel="0" collapsed="false">
      <c r="A1439" s="10" t="s">
        <v>1685</v>
      </c>
      <c r="B1439" s="10" t="s">
        <v>93</v>
      </c>
      <c r="C1439" s="10" t="s">
        <v>92</v>
      </c>
      <c r="D1439" s="10" t="s">
        <v>160</v>
      </c>
      <c r="E1439" s="10" t="s">
        <v>50</v>
      </c>
      <c r="F1439" s="10" t="s">
        <v>303</v>
      </c>
      <c r="G1439" s="10" t="s">
        <v>162</v>
      </c>
      <c r="H1439" s="30" t="n">
        <v>42881</v>
      </c>
      <c r="I1439" s="8" t="n">
        <f aca="false">INDEX(Parâmetros!$C$13:$C$19,MATCH(E1439,Parâmetros!$A$13:$A$19,0))</f>
        <v>1096</v>
      </c>
      <c r="J1439" s="26" t="n">
        <f aca="false">IF(H1439="","",Parâmetros!$B$5-H1439)</f>
        <v>219</v>
      </c>
      <c r="K1439" s="10" t="n">
        <f aca="false">INDEX(Parâmetros!$D$13:$D$19,MATCH(E1439,Parâmetros!$A$13:$A$19,0))</f>
        <v>29</v>
      </c>
      <c r="L1439" s="10" t="n">
        <f aca="false">IF(G1439="Prospecting",Parâmetros!$B$9,IF(J1439&gt;Parâmetros!$B$6,0,INDEX(Parâmetros!$C$24:$C$26,MATCH(J1439,Parâmetros!$A$24:$A$26,1))))</f>
        <v>0</v>
      </c>
      <c r="M1439" s="31" t="n">
        <f aca="false">IF(G1439="Prospecting",1,INDEX(Parâmetros!$C$32:$C$35,MATCH(J1439,Parâmetros!$A$32:$A$35,1)))</f>
        <v>0.4</v>
      </c>
      <c r="N1439" s="2" t="n">
        <f aca="false">ROUND((K1439+L1439)*M1439,0)</f>
        <v>12</v>
      </c>
      <c r="O1439" s="10" t="str">
        <f aca="false">IF(AND(G1439="Engaging",J1439&gt;Parâmetros!$B$6),"Sim","Não")</f>
        <v>Sim</v>
      </c>
      <c r="P1439" s="32" t="str">
        <f aca="false">IF(O1439="Sim","R",IF(N1439&gt;=Parâmetros!$B$39,"A",IF(N1439&gt;=Parâmetros!$B$40,"B",IF(N1439&gt;=Parâmetros!$B$41,"C","D"))))</f>
        <v>R</v>
      </c>
      <c r="Q1439" s="10" t="str">
        <f aca="false">IF(F1439="","Completar cadastro","")</f>
        <v/>
      </c>
      <c r="R1439" s="10" t="str">
        <f aca="false">INDEX(Parâmetros!$D$39:$D$43,MATCH(P1439,Parâmetros!$A$39:$A$43,0))</f>
        <v>Reciclar: requalificar, reengajar ou encerrar</v>
      </c>
    </row>
    <row r="1440" customFormat="false" ht="15" hidden="false" customHeight="false" outlineLevel="0" collapsed="false">
      <c r="A1440" s="10" t="s">
        <v>1686</v>
      </c>
      <c r="B1440" s="10" t="s">
        <v>95</v>
      </c>
      <c r="C1440" s="10" t="s">
        <v>92</v>
      </c>
      <c r="D1440" s="10" t="s">
        <v>160</v>
      </c>
      <c r="E1440" s="10" t="s">
        <v>50</v>
      </c>
      <c r="F1440" s="10" t="s">
        <v>332</v>
      </c>
      <c r="G1440" s="10" t="s">
        <v>162</v>
      </c>
      <c r="H1440" s="30" t="n">
        <v>42883</v>
      </c>
      <c r="I1440" s="8" t="n">
        <f aca="false">INDEX(Parâmetros!$C$13:$C$19,MATCH(E1440,Parâmetros!$A$13:$A$19,0))</f>
        <v>1096</v>
      </c>
      <c r="J1440" s="26" t="n">
        <f aca="false">IF(H1440="","",Parâmetros!$B$5-H1440)</f>
        <v>217</v>
      </c>
      <c r="K1440" s="10" t="n">
        <f aca="false">INDEX(Parâmetros!$D$13:$D$19,MATCH(E1440,Parâmetros!$A$13:$A$19,0))</f>
        <v>29</v>
      </c>
      <c r="L1440" s="10" t="n">
        <f aca="false">IF(G1440="Prospecting",Parâmetros!$B$9,IF(J1440&gt;Parâmetros!$B$6,0,INDEX(Parâmetros!$C$24:$C$26,MATCH(J1440,Parâmetros!$A$24:$A$26,1))))</f>
        <v>0</v>
      </c>
      <c r="M1440" s="31" t="n">
        <f aca="false">IF(G1440="Prospecting",1,INDEX(Parâmetros!$C$32:$C$35,MATCH(J1440,Parâmetros!$A$32:$A$35,1)))</f>
        <v>0.4</v>
      </c>
      <c r="N1440" s="2" t="n">
        <f aca="false">ROUND((K1440+L1440)*M1440,0)</f>
        <v>12</v>
      </c>
      <c r="O1440" s="10" t="str">
        <f aca="false">IF(AND(G1440="Engaging",J1440&gt;Parâmetros!$B$6),"Sim","Não")</f>
        <v>Sim</v>
      </c>
      <c r="P1440" s="32" t="str">
        <f aca="false">IF(O1440="Sim","R",IF(N1440&gt;=Parâmetros!$B$39,"A",IF(N1440&gt;=Parâmetros!$B$40,"B",IF(N1440&gt;=Parâmetros!$B$41,"C","D"))))</f>
        <v>R</v>
      </c>
      <c r="Q1440" s="10" t="str">
        <f aca="false">IF(F1440="","Completar cadastro","")</f>
        <v/>
      </c>
      <c r="R1440" s="10" t="str">
        <f aca="false">INDEX(Parâmetros!$D$39:$D$43,MATCH(P1440,Parâmetros!$A$39:$A$43,0))</f>
        <v>Reciclar: requalificar, reengajar ou encerrar</v>
      </c>
    </row>
    <row r="1441" customFormat="false" ht="15" hidden="false" customHeight="false" outlineLevel="0" collapsed="false">
      <c r="A1441" s="10" t="s">
        <v>1687</v>
      </c>
      <c r="B1441" s="10" t="s">
        <v>94</v>
      </c>
      <c r="C1441" s="10" t="s">
        <v>92</v>
      </c>
      <c r="D1441" s="10" t="s">
        <v>160</v>
      </c>
      <c r="E1441" s="10" t="s">
        <v>50</v>
      </c>
      <c r="F1441" s="10" t="s">
        <v>512</v>
      </c>
      <c r="G1441" s="10" t="s">
        <v>162</v>
      </c>
      <c r="H1441" s="30" t="n">
        <v>42884</v>
      </c>
      <c r="I1441" s="8" t="n">
        <f aca="false">INDEX(Parâmetros!$C$13:$C$19,MATCH(E1441,Parâmetros!$A$13:$A$19,0))</f>
        <v>1096</v>
      </c>
      <c r="J1441" s="26" t="n">
        <f aca="false">IF(H1441="","",Parâmetros!$B$5-H1441)</f>
        <v>216</v>
      </c>
      <c r="K1441" s="10" t="n">
        <f aca="false">INDEX(Parâmetros!$D$13:$D$19,MATCH(E1441,Parâmetros!$A$13:$A$19,0))</f>
        <v>29</v>
      </c>
      <c r="L1441" s="10" t="n">
        <f aca="false">IF(G1441="Prospecting",Parâmetros!$B$9,IF(J1441&gt;Parâmetros!$B$6,0,INDEX(Parâmetros!$C$24:$C$26,MATCH(J1441,Parâmetros!$A$24:$A$26,1))))</f>
        <v>0</v>
      </c>
      <c r="M1441" s="31" t="n">
        <f aca="false">IF(G1441="Prospecting",1,INDEX(Parâmetros!$C$32:$C$35,MATCH(J1441,Parâmetros!$A$32:$A$35,1)))</f>
        <v>0.4</v>
      </c>
      <c r="N1441" s="2" t="n">
        <f aca="false">ROUND((K1441+L1441)*M1441,0)</f>
        <v>12</v>
      </c>
      <c r="O1441" s="10" t="str">
        <f aca="false">IF(AND(G1441="Engaging",J1441&gt;Parâmetros!$B$6),"Sim","Não")</f>
        <v>Sim</v>
      </c>
      <c r="P1441" s="32" t="str">
        <f aca="false">IF(O1441="Sim","R",IF(N1441&gt;=Parâmetros!$B$39,"A",IF(N1441&gt;=Parâmetros!$B$40,"B",IF(N1441&gt;=Parâmetros!$B$41,"C","D"))))</f>
        <v>R</v>
      </c>
      <c r="Q1441" s="10" t="str">
        <f aca="false">IF(F1441="","Completar cadastro","")</f>
        <v/>
      </c>
      <c r="R1441" s="10" t="str">
        <f aca="false">INDEX(Parâmetros!$D$39:$D$43,MATCH(P1441,Parâmetros!$A$39:$A$43,0))</f>
        <v>Reciclar: requalificar, reengajar ou encerrar</v>
      </c>
    </row>
    <row r="1442" customFormat="false" ht="15" hidden="false" customHeight="false" outlineLevel="0" collapsed="false">
      <c r="A1442" s="10" t="s">
        <v>1688</v>
      </c>
      <c r="B1442" s="10" t="s">
        <v>67</v>
      </c>
      <c r="C1442" s="10" t="s">
        <v>65</v>
      </c>
      <c r="D1442" s="10" t="s">
        <v>160</v>
      </c>
      <c r="E1442" s="10" t="s">
        <v>50</v>
      </c>
      <c r="F1442" s="10" t="s">
        <v>384</v>
      </c>
      <c r="G1442" s="10" t="s">
        <v>162</v>
      </c>
      <c r="H1442" s="30" t="n">
        <v>42886</v>
      </c>
      <c r="I1442" s="8" t="n">
        <f aca="false">INDEX(Parâmetros!$C$13:$C$19,MATCH(E1442,Parâmetros!$A$13:$A$19,0))</f>
        <v>1096</v>
      </c>
      <c r="J1442" s="26" t="n">
        <f aca="false">IF(H1442="","",Parâmetros!$B$5-H1442)</f>
        <v>214</v>
      </c>
      <c r="K1442" s="10" t="n">
        <f aca="false">INDEX(Parâmetros!$D$13:$D$19,MATCH(E1442,Parâmetros!$A$13:$A$19,0))</f>
        <v>29</v>
      </c>
      <c r="L1442" s="10" t="n">
        <f aca="false">IF(G1442="Prospecting",Parâmetros!$B$9,IF(J1442&gt;Parâmetros!$B$6,0,INDEX(Parâmetros!$C$24:$C$26,MATCH(J1442,Parâmetros!$A$24:$A$26,1))))</f>
        <v>0</v>
      </c>
      <c r="M1442" s="31" t="n">
        <f aca="false">IF(G1442="Prospecting",1,INDEX(Parâmetros!$C$32:$C$35,MATCH(J1442,Parâmetros!$A$32:$A$35,1)))</f>
        <v>0.4</v>
      </c>
      <c r="N1442" s="2" t="n">
        <f aca="false">ROUND((K1442+L1442)*M1442,0)</f>
        <v>12</v>
      </c>
      <c r="O1442" s="10" t="str">
        <f aca="false">IF(AND(G1442="Engaging",J1442&gt;Parâmetros!$B$6),"Sim","Não")</f>
        <v>Sim</v>
      </c>
      <c r="P1442" s="32" t="str">
        <f aca="false">IF(O1442="Sim","R",IF(N1442&gt;=Parâmetros!$B$39,"A",IF(N1442&gt;=Parâmetros!$B$40,"B",IF(N1442&gt;=Parâmetros!$B$41,"C","D"))))</f>
        <v>R</v>
      </c>
      <c r="Q1442" s="10" t="str">
        <f aca="false">IF(F1442="","Completar cadastro","")</f>
        <v/>
      </c>
      <c r="R1442" s="10" t="str">
        <f aca="false">INDEX(Parâmetros!$D$39:$D$43,MATCH(P1442,Parâmetros!$A$39:$A$43,0))</f>
        <v>Reciclar: requalificar, reengajar ou encerrar</v>
      </c>
    </row>
    <row r="1443" customFormat="false" ht="15" hidden="false" customHeight="false" outlineLevel="0" collapsed="false">
      <c r="A1443" s="10" t="s">
        <v>1689</v>
      </c>
      <c r="B1443" s="10" t="s">
        <v>94</v>
      </c>
      <c r="C1443" s="10" t="s">
        <v>92</v>
      </c>
      <c r="D1443" s="10" t="s">
        <v>160</v>
      </c>
      <c r="E1443" s="10" t="s">
        <v>50</v>
      </c>
      <c r="F1443" s="10"/>
      <c r="G1443" s="10" t="s">
        <v>162</v>
      </c>
      <c r="H1443" s="30" t="n">
        <v>42890</v>
      </c>
      <c r="I1443" s="8" t="n">
        <f aca="false">INDEX(Parâmetros!$C$13:$C$19,MATCH(E1443,Parâmetros!$A$13:$A$19,0))</f>
        <v>1096</v>
      </c>
      <c r="J1443" s="26" t="n">
        <f aca="false">IF(H1443="","",Parâmetros!$B$5-H1443)</f>
        <v>210</v>
      </c>
      <c r="K1443" s="10" t="n">
        <f aca="false">INDEX(Parâmetros!$D$13:$D$19,MATCH(E1443,Parâmetros!$A$13:$A$19,0))</f>
        <v>29</v>
      </c>
      <c r="L1443" s="10" t="n">
        <f aca="false">IF(G1443="Prospecting",Parâmetros!$B$9,IF(J1443&gt;Parâmetros!$B$6,0,INDEX(Parâmetros!$C$24:$C$26,MATCH(J1443,Parâmetros!$A$24:$A$26,1))))</f>
        <v>0</v>
      </c>
      <c r="M1443" s="31" t="n">
        <f aca="false">IF(G1443="Prospecting",1,INDEX(Parâmetros!$C$32:$C$35,MATCH(J1443,Parâmetros!$A$32:$A$35,1)))</f>
        <v>0.4</v>
      </c>
      <c r="N1443" s="2" t="n">
        <f aca="false">ROUND((K1443+L1443)*M1443,0)</f>
        <v>12</v>
      </c>
      <c r="O1443" s="10" t="str">
        <f aca="false">IF(AND(G1443="Engaging",J1443&gt;Parâmetros!$B$6),"Sim","Não")</f>
        <v>Sim</v>
      </c>
      <c r="P1443" s="32" t="str">
        <f aca="false">IF(O1443="Sim","R",IF(N1443&gt;=Parâmetros!$B$39,"A",IF(N1443&gt;=Parâmetros!$B$40,"B",IF(N1443&gt;=Parâmetros!$B$41,"C","D"))))</f>
        <v>R</v>
      </c>
      <c r="Q1443" s="10" t="str">
        <f aca="false">IF(F1443="","Completar cadastro","")</f>
        <v>Completar cadastro</v>
      </c>
      <c r="R1443" s="10" t="str">
        <f aca="false">INDEX(Parâmetros!$D$39:$D$43,MATCH(P1443,Parâmetros!$A$39:$A$43,0))</f>
        <v>Reciclar: requalificar, reengajar ou encerrar</v>
      </c>
    </row>
    <row r="1444" customFormat="false" ht="15" hidden="false" customHeight="false" outlineLevel="0" collapsed="false">
      <c r="A1444" s="10" t="s">
        <v>1690</v>
      </c>
      <c r="B1444" s="10" t="s">
        <v>97</v>
      </c>
      <c r="C1444" s="10" t="s">
        <v>92</v>
      </c>
      <c r="D1444" s="10" t="s">
        <v>160</v>
      </c>
      <c r="E1444" s="10" t="s">
        <v>50</v>
      </c>
      <c r="F1444" s="10" t="s">
        <v>353</v>
      </c>
      <c r="G1444" s="10" t="s">
        <v>162</v>
      </c>
      <c r="H1444" s="30" t="n">
        <v>42893</v>
      </c>
      <c r="I1444" s="8" t="n">
        <f aca="false">INDEX(Parâmetros!$C$13:$C$19,MATCH(E1444,Parâmetros!$A$13:$A$19,0))</f>
        <v>1096</v>
      </c>
      <c r="J1444" s="26" t="n">
        <f aca="false">IF(H1444="","",Parâmetros!$B$5-H1444)</f>
        <v>207</v>
      </c>
      <c r="K1444" s="10" t="n">
        <f aca="false">INDEX(Parâmetros!$D$13:$D$19,MATCH(E1444,Parâmetros!$A$13:$A$19,0))</f>
        <v>29</v>
      </c>
      <c r="L1444" s="10" t="n">
        <f aca="false">IF(G1444="Prospecting",Parâmetros!$B$9,IF(J1444&gt;Parâmetros!$B$6,0,INDEX(Parâmetros!$C$24:$C$26,MATCH(J1444,Parâmetros!$A$24:$A$26,1))))</f>
        <v>0</v>
      </c>
      <c r="M1444" s="31" t="n">
        <f aca="false">IF(G1444="Prospecting",1,INDEX(Parâmetros!$C$32:$C$35,MATCH(J1444,Parâmetros!$A$32:$A$35,1)))</f>
        <v>0.4</v>
      </c>
      <c r="N1444" s="2" t="n">
        <f aca="false">ROUND((K1444+L1444)*M1444,0)</f>
        <v>12</v>
      </c>
      <c r="O1444" s="10" t="str">
        <f aca="false">IF(AND(G1444="Engaging",J1444&gt;Parâmetros!$B$6),"Sim","Não")</f>
        <v>Sim</v>
      </c>
      <c r="P1444" s="32" t="str">
        <f aca="false">IF(O1444="Sim","R",IF(N1444&gt;=Parâmetros!$B$39,"A",IF(N1444&gt;=Parâmetros!$B$40,"B",IF(N1444&gt;=Parâmetros!$B$41,"C","D"))))</f>
        <v>R</v>
      </c>
      <c r="Q1444" s="10" t="str">
        <f aca="false">IF(F1444="","Completar cadastro","")</f>
        <v/>
      </c>
      <c r="R1444" s="10" t="str">
        <f aca="false">INDEX(Parâmetros!$D$39:$D$43,MATCH(P1444,Parâmetros!$A$39:$A$43,0))</f>
        <v>Reciclar: requalificar, reengajar ou encerrar</v>
      </c>
    </row>
    <row r="1445" customFormat="false" ht="15" hidden="false" customHeight="false" outlineLevel="0" collapsed="false">
      <c r="A1445" s="10" t="s">
        <v>1691</v>
      </c>
      <c r="B1445" s="10" t="s">
        <v>87</v>
      </c>
      <c r="C1445" s="10" t="s">
        <v>85</v>
      </c>
      <c r="D1445" s="10" t="s">
        <v>165</v>
      </c>
      <c r="E1445" s="10" t="s">
        <v>50</v>
      </c>
      <c r="F1445" s="10" t="s">
        <v>218</v>
      </c>
      <c r="G1445" s="10" t="s">
        <v>162</v>
      </c>
      <c r="H1445" s="30" t="n">
        <v>42895</v>
      </c>
      <c r="I1445" s="8" t="n">
        <f aca="false">INDEX(Parâmetros!$C$13:$C$19,MATCH(E1445,Parâmetros!$A$13:$A$19,0))</f>
        <v>1096</v>
      </c>
      <c r="J1445" s="26" t="n">
        <f aca="false">IF(H1445="","",Parâmetros!$B$5-H1445)</f>
        <v>205</v>
      </c>
      <c r="K1445" s="10" t="n">
        <f aca="false">INDEX(Parâmetros!$D$13:$D$19,MATCH(E1445,Parâmetros!$A$13:$A$19,0))</f>
        <v>29</v>
      </c>
      <c r="L1445" s="10" t="n">
        <f aca="false">IF(G1445="Prospecting",Parâmetros!$B$9,IF(J1445&gt;Parâmetros!$B$6,0,INDEX(Parâmetros!$C$24:$C$26,MATCH(J1445,Parâmetros!$A$24:$A$26,1))))</f>
        <v>0</v>
      </c>
      <c r="M1445" s="31" t="n">
        <f aca="false">IF(G1445="Prospecting",1,INDEX(Parâmetros!$C$32:$C$35,MATCH(J1445,Parâmetros!$A$32:$A$35,1)))</f>
        <v>0.4</v>
      </c>
      <c r="N1445" s="2" t="n">
        <f aca="false">ROUND((K1445+L1445)*M1445,0)</f>
        <v>12</v>
      </c>
      <c r="O1445" s="10" t="str">
        <f aca="false">IF(AND(G1445="Engaging",J1445&gt;Parâmetros!$B$6),"Sim","Não")</f>
        <v>Sim</v>
      </c>
      <c r="P1445" s="32" t="str">
        <f aca="false">IF(O1445="Sim","R",IF(N1445&gt;=Parâmetros!$B$39,"A",IF(N1445&gt;=Parâmetros!$B$40,"B",IF(N1445&gt;=Parâmetros!$B$41,"C","D"))))</f>
        <v>R</v>
      </c>
      <c r="Q1445" s="10" t="str">
        <f aca="false">IF(F1445="","Completar cadastro","")</f>
        <v/>
      </c>
      <c r="R1445" s="10" t="str">
        <f aca="false">INDEX(Parâmetros!$D$39:$D$43,MATCH(P1445,Parâmetros!$A$39:$A$43,0))</f>
        <v>Reciclar: requalificar, reengajar ou encerrar</v>
      </c>
    </row>
    <row r="1446" customFormat="false" ht="15" hidden="false" customHeight="false" outlineLevel="0" collapsed="false">
      <c r="A1446" s="10" t="s">
        <v>1692</v>
      </c>
      <c r="B1446" s="10" t="s">
        <v>94</v>
      </c>
      <c r="C1446" s="10" t="s">
        <v>92</v>
      </c>
      <c r="D1446" s="10" t="s">
        <v>160</v>
      </c>
      <c r="E1446" s="10" t="s">
        <v>50</v>
      </c>
      <c r="F1446" s="10" t="s">
        <v>384</v>
      </c>
      <c r="G1446" s="10" t="s">
        <v>162</v>
      </c>
      <c r="H1446" s="30" t="n">
        <v>42895</v>
      </c>
      <c r="I1446" s="8" t="n">
        <f aca="false">INDEX(Parâmetros!$C$13:$C$19,MATCH(E1446,Parâmetros!$A$13:$A$19,0))</f>
        <v>1096</v>
      </c>
      <c r="J1446" s="26" t="n">
        <f aca="false">IF(H1446="","",Parâmetros!$B$5-H1446)</f>
        <v>205</v>
      </c>
      <c r="K1446" s="10" t="n">
        <f aca="false">INDEX(Parâmetros!$D$13:$D$19,MATCH(E1446,Parâmetros!$A$13:$A$19,0))</f>
        <v>29</v>
      </c>
      <c r="L1446" s="10" t="n">
        <f aca="false">IF(G1446="Prospecting",Parâmetros!$B$9,IF(J1446&gt;Parâmetros!$B$6,0,INDEX(Parâmetros!$C$24:$C$26,MATCH(J1446,Parâmetros!$A$24:$A$26,1))))</f>
        <v>0</v>
      </c>
      <c r="M1446" s="31" t="n">
        <f aca="false">IF(G1446="Prospecting",1,INDEX(Parâmetros!$C$32:$C$35,MATCH(J1446,Parâmetros!$A$32:$A$35,1)))</f>
        <v>0.4</v>
      </c>
      <c r="N1446" s="2" t="n">
        <f aca="false">ROUND((K1446+L1446)*M1446,0)</f>
        <v>12</v>
      </c>
      <c r="O1446" s="10" t="str">
        <f aca="false">IF(AND(G1446="Engaging",J1446&gt;Parâmetros!$B$6),"Sim","Não")</f>
        <v>Sim</v>
      </c>
      <c r="P1446" s="32" t="str">
        <f aca="false">IF(O1446="Sim","R",IF(N1446&gt;=Parâmetros!$B$39,"A",IF(N1446&gt;=Parâmetros!$B$40,"B",IF(N1446&gt;=Parâmetros!$B$41,"C","D"))))</f>
        <v>R</v>
      </c>
      <c r="Q1446" s="10" t="str">
        <f aca="false">IF(F1446="","Completar cadastro","")</f>
        <v/>
      </c>
      <c r="R1446" s="10" t="str">
        <f aca="false">INDEX(Parâmetros!$D$39:$D$43,MATCH(P1446,Parâmetros!$A$39:$A$43,0))</f>
        <v>Reciclar: requalificar, reengajar ou encerrar</v>
      </c>
    </row>
    <row r="1447" customFormat="false" ht="15" hidden="false" customHeight="false" outlineLevel="0" collapsed="false">
      <c r="A1447" s="10" t="s">
        <v>1693</v>
      </c>
      <c r="B1447" s="10" t="s">
        <v>61</v>
      </c>
      <c r="C1447" s="10" t="s">
        <v>58</v>
      </c>
      <c r="D1447" s="10" t="s">
        <v>165</v>
      </c>
      <c r="E1447" s="10" t="s">
        <v>50</v>
      </c>
      <c r="F1447" s="10" t="s">
        <v>303</v>
      </c>
      <c r="G1447" s="10" t="s">
        <v>162</v>
      </c>
      <c r="H1447" s="30" t="n">
        <v>42897</v>
      </c>
      <c r="I1447" s="8" t="n">
        <f aca="false">INDEX(Parâmetros!$C$13:$C$19,MATCH(E1447,Parâmetros!$A$13:$A$19,0))</f>
        <v>1096</v>
      </c>
      <c r="J1447" s="26" t="n">
        <f aca="false">IF(H1447="","",Parâmetros!$B$5-H1447)</f>
        <v>203</v>
      </c>
      <c r="K1447" s="10" t="n">
        <f aca="false">INDEX(Parâmetros!$D$13:$D$19,MATCH(E1447,Parâmetros!$A$13:$A$19,0))</f>
        <v>29</v>
      </c>
      <c r="L1447" s="10" t="n">
        <f aca="false">IF(G1447="Prospecting",Parâmetros!$B$9,IF(J1447&gt;Parâmetros!$B$6,0,INDEX(Parâmetros!$C$24:$C$26,MATCH(J1447,Parâmetros!$A$24:$A$26,1))))</f>
        <v>0</v>
      </c>
      <c r="M1447" s="31" t="n">
        <f aca="false">IF(G1447="Prospecting",1,INDEX(Parâmetros!$C$32:$C$35,MATCH(J1447,Parâmetros!$A$32:$A$35,1)))</f>
        <v>0.4</v>
      </c>
      <c r="N1447" s="2" t="n">
        <f aca="false">ROUND((K1447+L1447)*M1447,0)</f>
        <v>12</v>
      </c>
      <c r="O1447" s="10" t="str">
        <f aca="false">IF(AND(G1447="Engaging",J1447&gt;Parâmetros!$B$6),"Sim","Não")</f>
        <v>Sim</v>
      </c>
      <c r="P1447" s="32" t="str">
        <f aca="false">IF(O1447="Sim","R",IF(N1447&gt;=Parâmetros!$B$39,"A",IF(N1447&gt;=Parâmetros!$B$40,"B",IF(N1447&gt;=Parâmetros!$B$41,"C","D"))))</f>
        <v>R</v>
      </c>
      <c r="Q1447" s="10" t="str">
        <f aca="false">IF(F1447="","Completar cadastro","")</f>
        <v/>
      </c>
      <c r="R1447" s="10" t="str">
        <f aca="false">INDEX(Parâmetros!$D$39:$D$43,MATCH(P1447,Parâmetros!$A$39:$A$43,0))</f>
        <v>Reciclar: requalificar, reengajar ou encerrar</v>
      </c>
    </row>
    <row r="1448" customFormat="false" ht="15" hidden="false" customHeight="false" outlineLevel="0" collapsed="false">
      <c r="A1448" s="10" t="s">
        <v>1694</v>
      </c>
      <c r="B1448" s="10" t="s">
        <v>61</v>
      </c>
      <c r="C1448" s="10" t="s">
        <v>58</v>
      </c>
      <c r="D1448" s="10" t="s">
        <v>165</v>
      </c>
      <c r="E1448" s="10" t="s">
        <v>50</v>
      </c>
      <c r="F1448" s="10"/>
      <c r="G1448" s="10" t="s">
        <v>162</v>
      </c>
      <c r="H1448" s="30" t="n">
        <v>42898</v>
      </c>
      <c r="I1448" s="8" t="n">
        <f aca="false">INDEX(Parâmetros!$C$13:$C$19,MATCH(E1448,Parâmetros!$A$13:$A$19,0))</f>
        <v>1096</v>
      </c>
      <c r="J1448" s="26" t="n">
        <f aca="false">IF(H1448="","",Parâmetros!$B$5-H1448)</f>
        <v>202</v>
      </c>
      <c r="K1448" s="10" t="n">
        <f aca="false">INDEX(Parâmetros!$D$13:$D$19,MATCH(E1448,Parâmetros!$A$13:$A$19,0))</f>
        <v>29</v>
      </c>
      <c r="L1448" s="10" t="n">
        <f aca="false">IF(G1448="Prospecting",Parâmetros!$B$9,IF(J1448&gt;Parâmetros!$B$6,0,INDEX(Parâmetros!$C$24:$C$26,MATCH(J1448,Parâmetros!$A$24:$A$26,1))))</f>
        <v>0</v>
      </c>
      <c r="M1448" s="31" t="n">
        <f aca="false">IF(G1448="Prospecting",1,INDEX(Parâmetros!$C$32:$C$35,MATCH(J1448,Parâmetros!$A$32:$A$35,1)))</f>
        <v>0.4</v>
      </c>
      <c r="N1448" s="2" t="n">
        <f aca="false">ROUND((K1448+L1448)*M1448,0)</f>
        <v>12</v>
      </c>
      <c r="O1448" s="10" t="str">
        <f aca="false">IF(AND(G1448="Engaging",J1448&gt;Parâmetros!$B$6),"Sim","Não")</f>
        <v>Sim</v>
      </c>
      <c r="P1448" s="32" t="str">
        <f aca="false">IF(O1448="Sim","R",IF(N1448&gt;=Parâmetros!$B$39,"A",IF(N1448&gt;=Parâmetros!$B$40,"B",IF(N1448&gt;=Parâmetros!$B$41,"C","D"))))</f>
        <v>R</v>
      </c>
      <c r="Q1448" s="10" t="str">
        <f aca="false">IF(F1448="","Completar cadastro","")</f>
        <v>Completar cadastro</v>
      </c>
      <c r="R1448" s="10" t="str">
        <f aca="false">INDEX(Parâmetros!$D$39:$D$43,MATCH(P1448,Parâmetros!$A$39:$A$43,0))</f>
        <v>Reciclar: requalificar, reengajar ou encerrar</v>
      </c>
    </row>
    <row r="1449" customFormat="false" ht="15" hidden="false" customHeight="false" outlineLevel="0" collapsed="false">
      <c r="A1449" s="10" t="s">
        <v>1695</v>
      </c>
      <c r="B1449" s="10" t="s">
        <v>62</v>
      </c>
      <c r="C1449" s="10" t="s">
        <v>58</v>
      </c>
      <c r="D1449" s="10" t="s">
        <v>165</v>
      </c>
      <c r="E1449" s="10" t="s">
        <v>50</v>
      </c>
      <c r="F1449" s="10" t="s">
        <v>697</v>
      </c>
      <c r="G1449" s="10" t="s">
        <v>162</v>
      </c>
      <c r="H1449" s="30" t="n">
        <v>42898</v>
      </c>
      <c r="I1449" s="8" t="n">
        <f aca="false">INDEX(Parâmetros!$C$13:$C$19,MATCH(E1449,Parâmetros!$A$13:$A$19,0))</f>
        <v>1096</v>
      </c>
      <c r="J1449" s="26" t="n">
        <f aca="false">IF(H1449="","",Parâmetros!$B$5-H1449)</f>
        <v>202</v>
      </c>
      <c r="K1449" s="10" t="n">
        <f aca="false">INDEX(Parâmetros!$D$13:$D$19,MATCH(E1449,Parâmetros!$A$13:$A$19,0))</f>
        <v>29</v>
      </c>
      <c r="L1449" s="10" t="n">
        <f aca="false">IF(G1449="Prospecting",Parâmetros!$B$9,IF(J1449&gt;Parâmetros!$B$6,0,INDEX(Parâmetros!$C$24:$C$26,MATCH(J1449,Parâmetros!$A$24:$A$26,1))))</f>
        <v>0</v>
      </c>
      <c r="M1449" s="31" t="n">
        <f aca="false">IF(G1449="Prospecting",1,INDEX(Parâmetros!$C$32:$C$35,MATCH(J1449,Parâmetros!$A$32:$A$35,1)))</f>
        <v>0.4</v>
      </c>
      <c r="N1449" s="2" t="n">
        <f aca="false">ROUND((K1449+L1449)*M1449,0)</f>
        <v>12</v>
      </c>
      <c r="O1449" s="10" t="str">
        <f aca="false">IF(AND(G1449="Engaging",J1449&gt;Parâmetros!$B$6),"Sim","Não")</f>
        <v>Sim</v>
      </c>
      <c r="P1449" s="32" t="str">
        <f aca="false">IF(O1449="Sim","R",IF(N1449&gt;=Parâmetros!$B$39,"A",IF(N1449&gt;=Parâmetros!$B$40,"B",IF(N1449&gt;=Parâmetros!$B$41,"C","D"))))</f>
        <v>R</v>
      </c>
      <c r="Q1449" s="10" t="str">
        <f aca="false">IF(F1449="","Completar cadastro","")</f>
        <v/>
      </c>
      <c r="R1449" s="10" t="str">
        <f aca="false">INDEX(Parâmetros!$D$39:$D$43,MATCH(P1449,Parâmetros!$A$39:$A$43,0))</f>
        <v>Reciclar: requalificar, reengajar ou encerrar</v>
      </c>
    </row>
    <row r="1450" customFormat="false" ht="15" hidden="false" customHeight="false" outlineLevel="0" collapsed="false">
      <c r="A1450" s="10" t="s">
        <v>1696</v>
      </c>
      <c r="B1450" s="10" t="s">
        <v>96</v>
      </c>
      <c r="C1450" s="10" t="s">
        <v>92</v>
      </c>
      <c r="D1450" s="10" t="s">
        <v>160</v>
      </c>
      <c r="E1450" s="10" t="s">
        <v>50</v>
      </c>
      <c r="F1450" s="10" t="s">
        <v>303</v>
      </c>
      <c r="G1450" s="10" t="s">
        <v>162</v>
      </c>
      <c r="H1450" s="30" t="n">
        <v>42899</v>
      </c>
      <c r="I1450" s="8" t="n">
        <f aca="false">INDEX(Parâmetros!$C$13:$C$19,MATCH(E1450,Parâmetros!$A$13:$A$19,0))</f>
        <v>1096</v>
      </c>
      <c r="J1450" s="26" t="n">
        <f aca="false">IF(H1450="","",Parâmetros!$B$5-H1450)</f>
        <v>201</v>
      </c>
      <c r="K1450" s="10" t="n">
        <f aca="false">INDEX(Parâmetros!$D$13:$D$19,MATCH(E1450,Parâmetros!$A$13:$A$19,0))</f>
        <v>29</v>
      </c>
      <c r="L1450" s="10" t="n">
        <f aca="false">IF(G1450="Prospecting",Parâmetros!$B$9,IF(J1450&gt;Parâmetros!$B$6,0,INDEX(Parâmetros!$C$24:$C$26,MATCH(J1450,Parâmetros!$A$24:$A$26,1))))</f>
        <v>0</v>
      </c>
      <c r="M1450" s="31" t="n">
        <f aca="false">IF(G1450="Prospecting",1,INDEX(Parâmetros!$C$32:$C$35,MATCH(J1450,Parâmetros!$A$32:$A$35,1)))</f>
        <v>0.4</v>
      </c>
      <c r="N1450" s="2" t="n">
        <f aca="false">ROUND((K1450+L1450)*M1450,0)</f>
        <v>12</v>
      </c>
      <c r="O1450" s="10" t="str">
        <f aca="false">IF(AND(G1450="Engaging",J1450&gt;Parâmetros!$B$6),"Sim","Não")</f>
        <v>Sim</v>
      </c>
      <c r="P1450" s="32" t="str">
        <f aca="false">IF(O1450="Sim","R",IF(N1450&gt;=Parâmetros!$B$39,"A",IF(N1450&gt;=Parâmetros!$B$40,"B",IF(N1450&gt;=Parâmetros!$B$41,"C","D"))))</f>
        <v>R</v>
      </c>
      <c r="Q1450" s="10" t="str">
        <f aca="false">IF(F1450="","Completar cadastro","")</f>
        <v/>
      </c>
      <c r="R1450" s="10" t="str">
        <f aca="false">INDEX(Parâmetros!$D$39:$D$43,MATCH(P1450,Parâmetros!$A$39:$A$43,0))</f>
        <v>Reciclar: requalificar, reengajar ou encerrar</v>
      </c>
    </row>
    <row r="1451" customFormat="false" ht="15" hidden="false" customHeight="false" outlineLevel="0" collapsed="false">
      <c r="A1451" s="10" t="s">
        <v>1697</v>
      </c>
      <c r="B1451" s="10" t="s">
        <v>57</v>
      </c>
      <c r="C1451" s="10" t="s">
        <v>58</v>
      </c>
      <c r="D1451" s="10" t="s">
        <v>165</v>
      </c>
      <c r="E1451" s="10" t="s">
        <v>50</v>
      </c>
      <c r="F1451" s="10"/>
      <c r="G1451" s="10" t="s">
        <v>162</v>
      </c>
      <c r="H1451" s="30" t="n">
        <v>42900</v>
      </c>
      <c r="I1451" s="8" t="n">
        <f aca="false">INDEX(Parâmetros!$C$13:$C$19,MATCH(E1451,Parâmetros!$A$13:$A$19,0))</f>
        <v>1096</v>
      </c>
      <c r="J1451" s="26" t="n">
        <f aca="false">IF(H1451="","",Parâmetros!$B$5-H1451)</f>
        <v>200</v>
      </c>
      <c r="K1451" s="10" t="n">
        <f aca="false">INDEX(Parâmetros!$D$13:$D$19,MATCH(E1451,Parâmetros!$A$13:$A$19,0))</f>
        <v>29</v>
      </c>
      <c r="L1451" s="10" t="n">
        <f aca="false">IF(G1451="Prospecting",Parâmetros!$B$9,IF(J1451&gt;Parâmetros!$B$6,0,INDEX(Parâmetros!$C$24:$C$26,MATCH(J1451,Parâmetros!$A$24:$A$26,1))))</f>
        <v>0</v>
      </c>
      <c r="M1451" s="31" t="n">
        <f aca="false">IF(G1451="Prospecting",1,INDEX(Parâmetros!$C$32:$C$35,MATCH(J1451,Parâmetros!$A$32:$A$35,1)))</f>
        <v>0.4</v>
      </c>
      <c r="N1451" s="2" t="n">
        <f aca="false">ROUND((K1451+L1451)*M1451,0)</f>
        <v>12</v>
      </c>
      <c r="O1451" s="10" t="str">
        <f aca="false">IF(AND(G1451="Engaging",J1451&gt;Parâmetros!$B$6),"Sim","Não")</f>
        <v>Sim</v>
      </c>
      <c r="P1451" s="32" t="str">
        <f aca="false">IF(O1451="Sim","R",IF(N1451&gt;=Parâmetros!$B$39,"A",IF(N1451&gt;=Parâmetros!$B$40,"B",IF(N1451&gt;=Parâmetros!$B$41,"C","D"))))</f>
        <v>R</v>
      </c>
      <c r="Q1451" s="10" t="str">
        <f aca="false">IF(F1451="","Completar cadastro","")</f>
        <v>Completar cadastro</v>
      </c>
      <c r="R1451" s="10" t="str">
        <f aca="false">INDEX(Parâmetros!$D$39:$D$43,MATCH(P1451,Parâmetros!$A$39:$A$43,0))</f>
        <v>Reciclar: requalificar, reengajar ou encerrar</v>
      </c>
    </row>
    <row r="1452" customFormat="false" ht="15" hidden="false" customHeight="false" outlineLevel="0" collapsed="false">
      <c r="A1452" s="10" t="s">
        <v>1698</v>
      </c>
      <c r="B1452" s="10" t="s">
        <v>68</v>
      </c>
      <c r="C1452" s="10" t="s">
        <v>65</v>
      </c>
      <c r="D1452" s="10" t="s">
        <v>160</v>
      </c>
      <c r="E1452" s="10" t="s">
        <v>50</v>
      </c>
      <c r="F1452" s="10" t="s">
        <v>259</v>
      </c>
      <c r="G1452" s="10" t="s">
        <v>162</v>
      </c>
      <c r="H1452" s="30" t="n">
        <v>42902</v>
      </c>
      <c r="I1452" s="8" t="n">
        <f aca="false">INDEX(Parâmetros!$C$13:$C$19,MATCH(E1452,Parâmetros!$A$13:$A$19,0))</f>
        <v>1096</v>
      </c>
      <c r="J1452" s="26" t="n">
        <f aca="false">IF(H1452="","",Parâmetros!$B$5-H1452)</f>
        <v>198</v>
      </c>
      <c r="K1452" s="10" t="n">
        <f aca="false">INDEX(Parâmetros!$D$13:$D$19,MATCH(E1452,Parâmetros!$A$13:$A$19,0))</f>
        <v>29</v>
      </c>
      <c r="L1452" s="10" t="n">
        <f aca="false">IF(G1452="Prospecting",Parâmetros!$B$9,IF(J1452&gt;Parâmetros!$B$6,0,INDEX(Parâmetros!$C$24:$C$26,MATCH(J1452,Parâmetros!$A$24:$A$26,1))))</f>
        <v>0</v>
      </c>
      <c r="M1452" s="31" t="n">
        <f aca="false">IF(G1452="Prospecting",1,INDEX(Parâmetros!$C$32:$C$35,MATCH(J1452,Parâmetros!$A$32:$A$35,1)))</f>
        <v>0.4</v>
      </c>
      <c r="N1452" s="2" t="n">
        <f aca="false">ROUND((K1452+L1452)*M1452,0)</f>
        <v>12</v>
      </c>
      <c r="O1452" s="10" t="str">
        <f aca="false">IF(AND(G1452="Engaging",J1452&gt;Parâmetros!$B$6),"Sim","Não")</f>
        <v>Sim</v>
      </c>
      <c r="P1452" s="32" t="str">
        <f aca="false">IF(O1452="Sim","R",IF(N1452&gt;=Parâmetros!$B$39,"A",IF(N1452&gt;=Parâmetros!$B$40,"B",IF(N1452&gt;=Parâmetros!$B$41,"C","D"))))</f>
        <v>R</v>
      </c>
      <c r="Q1452" s="10" t="str">
        <f aca="false">IF(F1452="","Completar cadastro","")</f>
        <v/>
      </c>
      <c r="R1452" s="10" t="str">
        <f aca="false">INDEX(Parâmetros!$D$39:$D$43,MATCH(P1452,Parâmetros!$A$39:$A$43,0))</f>
        <v>Reciclar: requalificar, reengajar ou encerrar</v>
      </c>
    </row>
    <row r="1453" customFormat="false" ht="15" hidden="false" customHeight="false" outlineLevel="0" collapsed="false">
      <c r="A1453" s="10" t="s">
        <v>1699</v>
      </c>
      <c r="B1453" s="10" t="s">
        <v>86</v>
      </c>
      <c r="C1453" s="10" t="s">
        <v>85</v>
      </c>
      <c r="D1453" s="10" t="s">
        <v>165</v>
      </c>
      <c r="E1453" s="10" t="s">
        <v>50</v>
      </c>
      <c r="F1453" s="10" t="s">
        <v>321</v>
      </c>
      <c r="G1453" s="10" t="s">
        <v>162</v>
      </c>
      <c r="H1453" s="30" t="n">
        <v>42904</v>
      </c>
      <c r="I1453" s="8" t="n">
        <f aca="false">INDEX(Parâmetros!$C$13:$C$19,MATCH(E1453,Parâmetros!$A$13:$A$19,0))</f>
        <v>1096</v>
      </c>
      <c r="J1453" s="26" t="n">
        <f aca="false">IF(H1453="","",Parâmetros!$B$5-H1453)</f>
        <v>196</v>
      </c>
      <c r="K1453" s="10" t="n">
        <f aca="false">INDEX(Parâmetros!$D$13:$D$19,MATCH(E1453,Parâmetros!$A$13:$A$19,0))</f>
        <v>29</v>
      </c>
      <c r="L1453" s="10" t="n">
        <f aca="false">IF(G1453="Prospecting",Parâmetros!$B$9,IF(J1453&gt;Parâmetros!$B$6,0,INDEX(Parâmetros!$C$24:$C$26,MATCH(J1453,Parâmetros!$A$24:$A$26,1))))</f>
        <v>0</v>
      </c>
      <c r="M1453" s="31" t="n">
        <f aca="false">IF(G1453="Prospecting",1,INDEX(Parâmetros!$C$32:$C$35,MATCH(J1453,Parâmetros!$A$32:$A$35,1)))</f>
        <v>0.4</v>
      </c>
      <c r="N1453" s="2" t="n">
        <f aca="false">ROUND((K1453+L1453)*M1453,0)</f>
        <v>12</v>
      </c>
      <c r="O1453" s="10" t="str">
        <f aca="false">IF(AND(G1453="Engaging",J1453&gt;Parâmetros!$B$6),"Sim","Não")</f>
        <v>Sim</v>
      </c>
      <c r="P1453" s="32" t="str">
        <f aca="false">IF(O1453="Sim","R",IF(N1453&gt;=Parâmetros!$B$39,"A",IF(N1453&gt;=Parâmetros!$B$40,"B",IF(N1453&gt;=Parâmetros!$B$41,"C","D"))))</f>
        <v>R</v>
      </c>
      <c r="Q1453" s="10" t="str">
        <f aca="false">IF(F1453="","Completar cadastro","")</f>
        <v/>
      </c>
      <c r="R1453" s="10" t="str">
        <f aca="false">INDEX(Parâmetros!$D$39:$D$43,MATCH(P1453,Parâmetros!$A$39:$A$43,0))</f>
        <v>Reciclar: requalificar, reengajar ou encerrar</v>
      </c>
    </row>
    <row r="1454" customFormat="false" ht="15" hidden="false" customHeight="false" outlineLevel="0" collapsed="false">
      <c r="A1454" s="10" t="s">
        <v>1700</v>
      </c>
      <c r="B1454" s="10" t="s">
        <v>57</v>
      </c>
      <c r="C1454" s="10" t="s">
        <v>58</v>
      </c>
      <c r="D1454" s="10" t="s">
        <v>165</v>
      </c>
      <c r="E1454" s="10" t="s">
        <v>50</v>
      </c>
      <c r="F1454" s="10"/>
      <c r="G1454" s="10" t="s">
        <v>162</v>
      </c>
      <c r="H1454" s="30" t="n">
        <v>42905</v>
      </c>
      <c r="I1454" s="8" t="n">
        <f aca="false">INDEX(Parâmetros!$C$13:$C$19,MATCH(E1454,Parâmetros!$A$13:$A$19,0))</f>
        <v>1096</v>
      </c>
      <c r="J1454" s="26" t="n">
        <f aca="false">IF(H1454="","",Parâmetros!$B$5-H1454)</f>
        <v>195</v>
      </c>
      <c r="K1454" s="10" t="n">
        <f aca="false">INDEX(Parâmetros!$D$13:$D$19,MATCH(E1454,Parâmetros!$A$13:$A$19,0))</f>
        <v>29</v>
      </c>
      <c r="L1454" s="10" t="n">
        <f aca="false">IF(G1454="Prospecting",Parâmetros!$B$9,IF(J1454&gt;Parâmetros!$B$6,0,INDEX(Parâmetros!$C$24:$C$26,MATCH(J1454,Parâmetros!$A$24:$A$26,1))))</f>
        <v>0</v>
      </c>
      <c r="M1454" s="31" t="n">
        <f aca="false">IF(G1454="Prospecting",1,INDEX(Parâmetros!$C$32:$C$35,MATCH(J1454,Parâmetros!$A$32:$A$35,1)))</f>
        <v>0.4</v>
      </c>
      <c r="N1454" s="2" t="n">
        <f aca="false">ROUND((K1454+L1454)*M1454,0)</f>
        <v>12</v>
      </c>
      <c r="O1454" s="10" t="str">
        <f aca="false">IF(AND(G1454="Engaging",J1454&gt;Parâmetros!$B$6),"Sim","Não")</f>
        <v>Sim</v>
      </c>
      <c r="P1454" s="32" t="str">
        <f aca="false">IF(O1454="Sim","R",IF(N1454&gt;=Parâmetros!$B$39,"A",IF(N1454&gt;=Parâmetros!$B$40,"B",IF(N1454&gt;=Parâmetros!$B$41,"C","D"))))</f>
        <v>R</v>
      </c>
      <c r="Q1454" s="10" t="str">
        <f aca="false">IF(F1454="","Completar cadastro","")</f>
        <v>Completar cadastro</v>
      </c>
      <c r="R1454" s="10" t="str">
        <f aca="false">INDEX(Parâmetros!$D$39:$D$43,MATCH(P1454,Parâmetros!$A$39:$A$43,0))</f>
        <v>Reciclar: requalificar, reengajar ou encerrar</v>
      </c>
    </row>
    <row r="1455" customFormat="false" ht="15" hidden="false" customHeight="false" outlineLevel="0" collapsed="false">
      <c r="A1455" s="10" t="s">
        <v>1701</v>
      </c>
      <c r="B1455" s="10" t="s">
        <v>95</v>
      </c>
      <c r="C1455" s="10" t="s">
        <v>92</v>
      </c>
      <c r="D1455" s="10" t="s">
        <v>160</v>
      </c>
      <c r="E1455" s="10" t="s">
        <v>50</v>
      </c>
      <c r="F1455" s="10"/>
      <c r="G1455" s="10" t="s">
        <v>162</v>
      </c>
      <c r="H1455" s="30" t="n">
        <v>42905</v>
      </c>
      <c r="I1455" s="8" t="n">
        <f aca="false">INDEX(Parâmetros!$C$13:$C$19,MATCH(E1455,Parâmetros!$A$13:$A$19,0))</f>
        <v>1096</v>
      </c>
      <c r="J1455" s="26" t="n">
        <f aca="false">IF(H1455="","",Parâmetros!$B$5-H1455)</f>
        <v>195</v>
      </c>
      <c r="K1455" s="10" t="n">
        <f aca="false">INDEX(Parâmetros!$D$13:$D$19,MATCH(E1455,Parâmetros!$A$13:$A$19,0))</f>
        <v>29</v>
      </c>
      <c r="L1455" s="10" t="n">
        <f aca="false">IF(G1455="Prospecting",Parâmetros!$B$9,IF(J1455&gt;Parâmetros!$B$6,0,INDEX(Parâmetros!$C$24:$C$26,MATCH(J1455,Parâmetros!$A$24:$A$26,1))))</f>
        <v>0</v>
      </c>
      <c r="M1455" s="31" t="n">
        <f aca="false">IF(G1455="Prospecting",1,INDEX(Parâmetros!$C$32:$C$35,MATCH(J1455,Parâmetros!$A$32:$A$35,1)))</f>
        <v>0.4</v>
      </c>
      <c r="N1455" s="2" t="n">
        <f aca="false">ROUND((K1455+L1455)*M1455,0)</f>
        <v>12</v>
      </c>
      <c r="O1455" s="10" t="str">
        <f aca="false">IF(AND(G1455="Engaging",J1455&gt;Parâmetros!$B$6),"Sim","Não")</f>
        <v>Sim</v>
      </c>
      <c r="P1455" s="32" t="str">
        <f aca="false">IF(O1455="Sim","R",IF(N1455&gt;=Parâmetros!$B$39,"A",IF(N1455&gt;=Parâmetros!$B$40,"B",IF(N1455&gt;=Parâmetros!$B$41,"C","D"))))</f>
        <v>R</v>
      </c>
      <c r="Q1455" s="10" t="str">
        <f aca="false">IF(F1455="","Completar cadastro","")</f>
        <v>Completar cadastro</v>
      </c>
      <c r="R1455" s="10" t="str">
        <f aca="false">INDEX(Parâmetros!$D$39:$D$43,MATCH(P1455,Parâmetros!$A$39:$A$43,0))</f>
        <v>Reciclar: requalificar, reengajar ou encerrar</v>
      </c>
    </row>
    <row r="1456" customFormat="false" ht="15" hidden="false" customHeight="false" outlineLevel="0" collapsed="false">
      <c r="A1456" s="10" t="s">
        <v>1702</v>
      </c>
      <c r="B1456" s="10" t="s">
        <v>97</v>
      </c>
      <c r="C1456" s="10" t="s">
        <v>92</v>
      </c>
      <c r="D1456" s="10" t="s">
        <v>160</v>
      </c>
      <c r="E1456" s="10" t="s">
        <v>50</v>
      </c>
      <c r="F1456" s="10"/>
      <c r="G1456" s="10" t="s">
        <v>162</v>
      </c>
      <c r="H1456" s="30" t="n">
        <v>42908</v>
      </c>
      <c r="I1456" s="8" t="n">
        <f aca="false">INDEX(Parâmetros!$C$13:$C$19,MATCH(E1456,Parâmetros!$A$13:$A$19,0))</f>
        <v>1096</v>
      </c>
      <c r="J1456" s="26" t="n">
        <f aca="false">IF(H1456="","",Parâmetros!$B$5-H1456)</f>
        <v>192</v>
      </c>
      <c r="K1456" s="10" t="n">
        <f aca="false">INDEX(Parâmetros!$D$13:$D$19,MATCH(E1456,Parâmetros!$A$13:$A$19,0))</f>
        <v>29</v>
      </c>
      <c r="L1456" s="10" t="n">
        <f aca="false">IF(G1456="Prospecting",Parâmetros!$B$9,IF(J1456&gt;Parâmetros!$B$6,0,INDEX(Parâmetros!$C$24:$C$26,MATCH(J1456,Parâmetros!$A$24:$A$26,1))))</f>
        <v>0</v>
      </c>
      <c r="M1456" s="31" t="n">
        <f aca="false">IF(G1456="Prospecting",1,INDEX(Parâmetros!$C$32:$C$35,MATCH(J1456,Parâmetros!$A$32:$A$35,1)))</f>
        <v>0.4</v>
      </c>
      <c r="N1456" s="2" t="n">
        <f aca="false">ROUND((K1456+L1456)*M1456,0)</f>
        <v>12</v>
      </c>
      <c r="O1456" s="10" t="str">
        <f aca="false">IF(AND(G1456="Engaging",J1456&gt;Parâmetros!$B$6),"Sim","Não")</f>
        <v>Sim</v>
      </c>
      <c r="P1456" s="32" t="str">
        <f aca="false">IF(O1456="Sim","R",IF(N1456&gt;=Parâmetros!$B$39,"A",IF(N1456&gt;=Parâmetros!$B$40,"B",IF(N1456&gt;=Parâmetros!$B$41,"C","D"))))</f>
        <v>R</v>
      </c>
      <c r="Q1456" s="10" t="str">
        <f aca="false">IF(F1456="","Completar cadastro","")</f>
        <v>Completar cadastro</v>
      </c>
      <c r="R1456" s="10" t="str">
        <f aca="false">INDEX(Parâmetros!$D$39:$D$43,MATCH(P1456,Parâmetros!$A$39:$A$43,0))</f>
        <v>Reciclar: requalificar, reengajar ou encerrar</v>
      </c>
    </row>
    <row r="1457" customFormat="false" ht="15" hidden="false" customHeight="false" outlineLevel="0" collapsed="false">
      <c r="A1457" s="10" t="s">
        <v>1703</v>
      </c>
      <c r="B1457" s="10" t="s">
        <v>95</v>
      </c>
      <c r="C1457" s="10" t="s">
        <v>92</v>
      </c>
      <c r="D1457" s="10" t="s">
        <v>160</v>
      </c>
      <c r="E1457" s="10" t="s">
        <v>50</v>
      </c>
      <c r="F1457" s="10"/>
      <c r="G1457" s="10" t="s">
        <v>162</v>
      </c>
      <c r="H1457" s="30" t="n">
        <v>42912</v>
      </c>
      <c r="I1457" s="8" t="n">
        <f aca="false">INDEX(Parâmetros!$C$13:$C$19,MATCH(E1457,Parâmetros!$A$13:$A$19,0))</f>
        <v>1096</v>
      </c>
      <c r="J1457" s="26" t="n">
        <f aca="false">IF(H1457="","",Parâmetros!$B$5-H1457)</f>
        <v>188</v>
      </c>
      <c r="K1457" s="10" t="n">
        <f aca="false">INDEX(Parâmetros!$D$13:$D$19,MATCH(E1457,Parâmetros!$A$13:$A$19,0))</f>
        <v>29</v>
      </c>
      <c r="L1457" s="10" t="n">
        <f aca="false">IF(G1457="Prospecting",Parâmetros!$B$9,IF(J1457&gt;Parâmetros!$B$6,0,INDEX(Parâmetros!$C$24:$C$26,MATCH(J1457,Parâmetros!$A$24:$A$26,1))))</f>
        <v>0</v>
      </c>
      <c r="M1457" s="31" t="n">
        <f aca="false">IF(G1457="Prospecting",1,INDEX(Parâmetros!$C$32:$C$35,MATCH(J1457,Parâmetros!$A$32:$A$35,1)))</f>
        <v>0.4</v>
      </c>
      <c r="N1457" s="2" t="n">
        <f aca="false">ROUND((K1457+L1457)*M1457,0)</f>
        <v>12</v>
      </c>
      <c r="O1457" s="10" t="str">
        <f aca="false">IF(AND(G1457="Engaging",J1457&gt;Parâmetros!$B$6),"Sim","Não")</f>
        <v>Sim</v>
      </c>
      <c r="P1457" s="32" t="str">
        <f aca="false">IF(O1457="Sim","R",IF(N1457&gt;=Parâmetros!$B$39,"A",IF(N1457&gt;=Parâmetros!$B$40,"B",IF(N1457&gt;=Parâmetros!$B$41,"C","D"))))</f>
        <v>R</v>
      </c>
      <c r="Q1457" s="10" t="str">
        <f aca="false">IF(F1457="","Completar cadastro","")</f>
        <v>Completar cadastro</v>
      </c>
      <c r="R1457" s="10" t="str">
        <f aca="false">INDEX(Parâmetros!$D$39:$D$43,MATCH(P1457,Parâmetros!$A$39:$A$43,0))</f>
        <v>Reciclar: requalificar, reengajar ou encerrar</v>
      </c>
    </row>
    <row r="1458" customFormat="false" ht="15" hidden="false" customHeight="false" outlineLevel="0" collapsed="false">
      <c r="A1458" s="10" t="s">
        <v>1704</v>
      </c>
      <c r="B1458" s="10" t="s">
        <v>57</v>
      </c>
      <c r="C1458" s="10" t="s">
        <v>58</v>
      </c>
      <c r="D1458" s="10" t="s">
        <v>165</v>
      </c>
      <c r="E1458" s="10" t="s">
        <v>50</v>
      </c>
      <c r="F1458" s="10"/>
      <c r="G1458" s="10" t="s">
        <v>162</v>
      </c>
      <c r="H1458" s="30" t="n">
        <v>42915</v>
      </c>
      <c r="I1458" s="8" t="n">
        <f aca="false">INDEX(Parâmetros!$C$13:$C$19,MATCH(E1458,Parâmetros!$A$13:$A$19,0))</f>
        <v>1096</v>
      </c>
      <c r="J1458" s="26" t="n">
        <f aca="false">IF(H1458="","",Parâmetros!$B$5-H1458)</f>
        <v>185</v>
      </c>
      <c r="K1458" s="10" t="n">
        <f aca="false">INDEX(Parâmetros!$D$13:$D$19,MATCH(E1458,Parâmetros!$A$13:$A$19,0))</f>
        <v>29</v>
      </c>
      <c r="L1458" s="10" t="n">
        <f aca="false">IF(G1458="Prospecting",Parâmetros!$B$9,IF(J1458&gt;Parâmetros!$B$6,0,INDEX(Parâmetros!$C$24:$C$26,MATCH(J1458,Parâmetros!$A$24:$A$26,1))))</f>
        <v>0</v>
      </c>
      <c r="M1458" s="31" t="n">
        <f aca="false">IF(G1458="Prospecting",1,INDEX(Parâmetros!$C$32:$C$35,MATCH(J1458,Parâmetros!$A$32:$A$35,1)))</f>
        <v>0.4</v>
      </c>
      <c r="N1458" s="2" t="n">
        <f aca="false">ROUND((K1458+L1458)*M1458,0)</f>
        <v>12</v>
      </c>
      <c r="O1458" s="10" t="str">
        <f aca="false">IF(AND(G1458="Engaging",J1458&gt;Parâmetros!$B$6),"Sim","Não")</f>
        <v>Sim</v>
      </c>
      <c r="P1458" s="32" t="str">
        <f aca="false">IF(O1458="Sim","R",IF(N1458&gt;=Parâmetros!$B$39,"A",IF(N1458&gt;=Parâmetros!$B$40,"B",IF(N1458&gt;=Parâmetros!$B$41,"C","D"))))</f>
        <v>R</v>
      </c>
      <c r="Q1458" s="10" t="str">
        <f aca="false">IF(F1458="","Completar cadastro","")</f>
        <v>Completar cadastro</v>
      </c>
      <c r="R1458" s="10" t="str">
        <f aca="false">INDEX(Parâmetros!$D$39:$D$43,MATCH(P1458,Parâmetros!$A$39:$A$43,0))</f>
        <v>Reciclar: requalificar, reengajar ou encerrar</v>
      </c>
    </row>
    <row r="1459" customFormat="false" ht="15" hidden="false" customHeight="false" outlineLevel="0" collapsed="false">
      <c r="A1459" s="10" t="s">
        <v>1705</v>
      </c>
      <c r="B1459" s="10" t="s">
        <v>84</v>
      </c>
      <c r="C1459" s="10" t="s">
        <v>85</v>
      </c>
      <c r="D1459" s="10" t="s">
        <v>165</v>
      </c>
      <c r="E1459" s="10" t="s">
        <v>50</v>
      </c>
      <c r="F1459" s="10"/>
      <c r="G1459" s="10" t="s">
        <v>162</v>
      </c>
      <c r="H1459" s="30" t="n">
        <v>42916</v>
      </c>
      <c r="I1459" s="8" t="n">
        <f aca="false">INDEX(Parâmetros!$C$13:$C$19,MATCH(E1459,Parâmetros!$A$13:$A$19,0))</f>
        <v>1096</v>
      </c>
      <c r="J1459" s="26" t="n">
        <f aca="false">IF(H1459="","",Parâmetros!$B$5-H1459)</f>
        <v>184</v>
      </c>
      <c r="K1459" s="10" t="n">
        <f aca="false">INDEX(Parâmetros!$D$13:$D$19,MATCH(E1459,Parâmetros!$A$13:$A$19,0))</f>
        <v>29</v>
      </c>
      <c r="L1459" s="10" t="n">
        <f aca="false">IF(G1459="Prospecting",Parâmetros!$B$9,IF(J1459&gt;Parâmetros!$B$6,0,INDEX(Parâmetros!$C$24:$C$26,MATCH(J1459,Parâmetros!$A$24:$A$26,1))))</f>
        <v>0</v>
      </c>
      <c r="M1459" s="31" t="n">
        <f aca="false">IF(G1459="Prospecting",1,INDEX(Parâmetros!$C$32:$C$35,MATCH(J1459,Parâmetros!$A$32:$A$35,1)))</f>
        <v>0.4</v>
      </c>
      <c r="N1459" s="2" t="n">
        <f aca="false">ROUND((K1459+L1459)*M1459,0)</f>
        <v>12</v>
      </c>
      <c r="O1459" s="10" t="str">
        <f aca="false">IF(AND(G1459="Engaging",J1459&gt;Parâmetros!$B$6),"Sim","Não")</f>
        <v>Sim</v>
      </c>
      <c r="P1459" s="32" t="str">
        <f aca="false">IF(O1459="Sim","R",IF(N1459&gt;=Parâmetros!$B$39,"A",IF(N1459&gt;=Parâmetros!$B$40,"B",IF(N1459&gt;=Parâmetros!$B$41,"C","D"))))</f>
        <v>R</v>
      </c>
      <c r="Q1459" s="10" t="str">
        <f aca="false">IF(F1459="","Completar cadastro","")</f>
        <v>Completar cadastro</v>
      </c>
      <c r="R1459" s="10" t="str">
        <f aca="false">INDEX(Parâmetros!$D$39:$D$43,MATCH(P1459,Parâmetros!$A$39:$A$43,0))</f>
        <v>Reciclar: requalificar, reengajar ou encerrar</v>
      </c>
    </row>
    <row r="1460" customFormat="false" ht="15" hidden="false" customHeight="false" outlineLevel="0" collapsed="false">
      <c r="A1460" s="10" t="s">
        <v>1706</v>
      </c>
      <c r="B1460" s="10" t="s">
        <v>93</v>
      </c>
      <c r="C1460" s="10" t="s">
        <v>92</v>
      </c>
      <c r="D1460" s="10" t="s">
        <v>160</v>
      </c>
      <c r="E1460" s="10" t="s">
        <v>50</v>
      </c>
      <c r="F1460" s="10"/>
      <c r="G1460" s="10" t="s">
        <v>162</v>
      </c>
      <c r="H1460" s="30" t="n">
        <v>42916</v>
      </c>
      <c r="I1460" s="8" t="n">
        <f aca="false">INDEX(Parâmetros!$C$13:$C$19,MATCH(E1460,Parâmetros!$A$13:$A$19,0))</f>
        <v>1096</v>
      </c>
      <c r="J1460" s="26" t="n">
        <f aca="false">IF(H1460="","",Parâmetros!$B$5-H1460)</f>
        <v>184</v>
      </c>
      <c r="K1460" s="10" t="n">
        <f aca="false">INDEX(Parâmetros!$D$13:$D$19,MATCH(E1460,Parâmetros!$A$13:$A$19,0))</f>
        <v>29</v>
      </c>
      <c r="L1460" s="10" t="n">
        <f aca="false">IF(G1460="Prospecting",Parâmetros!$B$9,IF(J1460&gt;Parâmetros!$B$6,0,INDEX(Parâmetros!$C$24:$C$26,MATCH(J1460,Parâmetros!$A$24:$A$26,1))))</f>
        <v>0</v>
      </c>
      <c r="M1460" s="31" t="n">
        <f aca="false">IF(G1460="Prospecting",1,INDEX(Parâmetros!$C$32:$C$35,MATCH(J1460,Parâmetros!$A$32:$A$35,1)))</f>
        <v>0.4</v>
      </c>
      <c r="N1460" s="2" t="n">
        <f aca="false">ROUND((K1460+L1460)*M1460,0)</f>
        <v>12</v>
      </c>
      <c r="O1460" s="10" t="str">
        <f aca="false">IF(AND(G1460="Engaging",J1460&gt;Parâmetros!$B$6),"Sim","Não")</f>
        <v>Sim</v>
      </c>
      <c r="P1460" s="32" t="str">
        <f aca="false">IF(O1460="Sim","R",IF(N1460&gt;=Parâmetros!$B$39,"A",IF(N1460&gt;=Parâmetros!$B$40,"B",IF(N1460&gt;=Parâmetros!$B$41,"C","D"))))</f>
        <v>R</v>
      </c>
      <c r="Q1460" s="10" t="str">
        <f aca="false">IF(F1460="","Completar cadastro","")</f>
        <v>Completar cadastro</v>
      </c>
      <c r="R1460" s="10" t="str">
        <f aca="false">INDEX(Parâmetros!$D$39:$D$43,MATCH(P1460,Parâmetros!$A$39:$A$43,0))</f>
        <v>Reciclar: requalificar, reengajar ou encerrar</v>
      </c>
    </row>
    <row r="1461" customFormat="false" ht="15" hidden="false" customHeight="false" outlineLevel="0" collapsed="false">
      <c r="A1461" s="10" t="s">
        <v>1707</v>
      </c>
      <c r="B1461" s="10" t="s">
        <v>84</v>
      </c>
      <c r="C1461" s="10" t="s">
        <v>85</v>
      </c>
      <c r="D1461" s="10" t="s">
        <v>165</v>
      </c>
      <c r="E1461" s="10" t="s">
        <v>50</v>
      </c>
      <c r="F1461" s="10" t="s">
        <v>597</v>
      </c>
      <c r="G1461" s="10" t="s">
        <v>162</v>
      </c>
      <c r="H1461" s="30" t="n">
        <v>42917</v>
      </c>
      <c r="I1461" s="8" t="n">
        <f aca="false">INDEX(Parâmetros!$C$13:$C$19,MATCH(E1461,Parâmetros!$A$13:$A$19,0))</f>
        <v>1096</v>
      </c>
      <c r="J1461" s="26" t="n">
        <f aca="false">IF(H1461="","",Parâmetros!$B$5-H1461)</f>
        <v>183</v>
      </c>
      <c r="K1461" s="10" t="n">
        <f aca="false">INDEX(Parâmetros!$D$13:$D$19,MATCH(E1461,Parâmetros!$A$13:$A$19,0))</f>
        <v>29</v>
      </c>
      <c r="L1461" s="10" t="n">
        <f aca="false">IF(G1461="Prospecting",Parâmetros!$B$9,IF(J1461&gt;Parâmetros!$B$6,0,INDEX(Parâmetros!$C$24:$C$26,MATCH(J1461,Parâmetros!$A$24:$A$26,1))))</f>
        <v>0</v>
      </c>
      <c r="M1461" s="31" t="n">
        <f aca="false">IF(G1461="Prospecting",1,INDEX(Parâmetros!$C$32:$C$35,MATCH(J1461,Parâmetros!$A$32:$A$35,1)))</f>
        <v>0.4</v>
      </c>
      <c r="N1461" s="2" t="n">
        <f aca="false">ROUND((K1461+L1461)*M1461,0)</f>
        <v>12</v>
      </c>
      <c r="O1461" s="10" t="str">
        <f aca="false">IF(AND(G1461="Engaging",J1461&gt;Parâmetros!$B$6),"Sim","Não")</f>
        <v>Sim</v>
      </c>
      <c r="P1461" s="32" t="str">
        <f aca="false">IF(O1461="Sim","R",IF(N1461&gt;=Parâmetros!$B$39,"A",IF(N1461&gt;=Parâmetros!$B$40,"B",IF(N1461&gt;=Parâmetros!$B$41,"C","D"))))</f>
        <v>R</v>
      </c>
      <c r="Q1461" s="10" t="str">
        <f aca="false">IF(F1461="","Completar cadastro","")</f>
        <v/>
      </c>
      <c r="R1461" s="10" t="str">
        <f aca="false">INDEX(Parâmetros!$D$39:$D$43,MATCH(P1461,Parâmetros!$A$39:$A$43,0))</f>
        <v>Reciclar: requalificar, reengajar ou encerrar</v>
      </c>
    </row>
    <row r="1462" customFormat="false" ht="15" hidden="false" customHeight="false" outlineLevel="0" collapsed="false">
      <c r="A1462" s="10" t="s">
        <v>1708</v>
      </c>
      <c r="B1462" s="10" t="s">
        <v>67</v>
      </c>
      <c r="C1462" s="10" t="s">
        <v>65</v>
      </c>
      <c r="D1462" s="10" t="s">
        <v>160</v>
      </c>
      <c r="E1462" s="10" t="s">
        <v>50</v>
      </c>
      <c r="F1462" s="10"/>
      <c r="G1462" s="10" t="s">
        <v>162</v>
      </c>
      <c r="H1462" s="30" t="n">
        <v>42917</v>
      </c>
      <c r="I1462" s="8" t="n">
        <f aca="false">INDEX(Parâmetros!$C$13:$C$19,MATCH(E1462,Parâmetros!$A$13:$A$19,0))</f>
        <v>1096</v>
      </c>
      <c r="J1462" s="26" t="n">
        <f aca="false">IF(H1462="","",Parâmetros!$B$5-H1462)</f>
        <v>183</v>
      </c>
      <c r="K1462" s="10" t="n">
        <f aca="false">INDEX(Parâmetros!$D$13:$D$19,MATCH(E1462,Parâmetros!$A$13:$A$19,0))</f>
        <v>29</v>
      </c>
      <c r="L1462" s="10" t="n">
        <f aca="false">IF(G1462="Prospecting",Parâmetros!$B$9,IF(J1462&gt;Parâmetros!$B$6,0,INDEX(Parâmetros!$C$24:$C$26,MATCH(J1462,Parâmetros!$A$24:$A$26,1))))</f>
        <v>0</v>
      </c>
      <c r="M1462" s="31" t="n">
        <f aca="false">IF(G1462="Prospecting",1,INDEX(Parâmetros!$C$32:$C$35,MATCH(J1462,Parâmetros!$A$32:$A$35,1)))</f>
        <v>0.4</v>
      </c>
      <c r="N1462" s="2" t="n">
        <f aca="false">ROUND((K1462+L1462)*M1462,0)</f>
        <v>12</v>
      </c>
      <c r="O1462" s="10" t="str">
        <f aca="false">IF(AND(G1462="Engaging",J1462&gt;Parâmetros!$B$6),"Sim","Não")</f>
        <v>Sim</v>
      </c>
      <c r="P1462" s="32" t="str">
        <f aca="false">IF(O1462="Sim","R",IF(N1462&gt;=Parâmetros!$B$39,"A",IF(N1462&gt;=Parâmetros!$B$40,"B",IF(N1462&gt;=Parâmetros!$B$41,"C","D"))))</f>
        <v>R</v>
      </c>
      <c r="Q1462" s="10" t="str">
        <f aca="false">IF(F1462="","Completar cadastro","")</f>
        <v>Completar cadastro</v>
      </c>
      <c r="R1462" s="10" t="str">
        <f aca="false">INDEX(Parâmetros!$D$39:$D$43,MATCH(P1462,Parâmetros!$A$39:$A$43,0))</f>
        <v>Reciclar: requalificar, reengajar ou encerrar</v>
      </c>
    </row>
    <row r="1463" customFormat="false" ht="15" hidden="false" customHeight="false" outlineLevel="0" collapsed="false">
      <c r="A1463" s="10" t="s">
        <v>1709</v>
      </c>
      <c r="B1463" s="10" t="s">
        <v>87</v>
      </c>
      <c r="C1463" s="10" t="s">
        <v>85</v>
      </c>
      <c r="D1463" s="10" t="s">
        <v>165</v>
      </c>
      <c r="E1463" s="10" t="s">
        <v>50</v>
      </c>
      <c r="F1463" s="10" t="s">
        <v>210</v>
      </c>
      <c r="G1463" s="10" t="s">
        <v>162</v>
      </c>
      <c r="H1463" s="30" t="n">
        <v>42918</v>
      </c>
      <c r="I1463" s="8" t="n">
        <f aca="false">INDEX(Parâmetros!$C$13:$C$19,MATCH(E1463,Parâmetros!$A$13:$A$19,0))</f>
        <v>1096</v>
      </c>
      <c r="J1463" s="26" t="n">
        <f aca="false">IF(H1463="","",Parâmetros!$B$5-H1463)</f>
        <v>182</v>
      </c>
      <c r="K1463" s="10" t="n">
        <f aca="false">INDEX(Parâmetros!$D$13:$D$19,MATCH(E1463,Parâmetros!$A$13:$A$19,0))</f>
        <v>29</v>
      </c>
      <c r="L1463" s="10" t="n">
        <f aca="false">IF(G1463="Prospecting",Parâmetros!$B$9,IF(J1463&gt;Parâmetros!$B$6,0,INDEX(Parâmetros!$C$24:$C$26,MATCH(J1463,Parâmetros!$A$24:$A$26,1))))</f>
        <v>0</v>
      </c>
      <c r="M1463" s="31" t="n">
        <f aca="false">IF(G1463="Prospecting",1,INDEX(Parâmetros!$C$32:$C$35,MATCH(J1463,Parâmetros!$A$32:$A$35,1)))</f>
        <v>0.4</v>
      </c>
      <c r="N1463" s="2" t="n">
        <f aca="false">ROUND((K1463+L1463)*M1463,0)</f>
        <v>12</v>
      </c>
      <c r="O1463" s="10" t="str">
        <f aca="false">IF(AND(G1463="Engaging",J1463&gt;Parâmetros!$B$6),"Sim","Não")</f>
        <v>Sim</v>
      </c>
      <c r="P1463" s="32" t="str">
        <f aca="false">IF(O1463="Sim","R",IF(N1463&gt;=Parâmetros!$B$39,"A",IF(N1463&gt;=Parâmetros!$B$40,"B",IF(N1463&gt;=Parâmetros!$B$41,"C","D"))))</f>
        <v>R</v>
      </c>
      <c r="Q1463" s="10" t="str">
        <f aca="false">IF(F1463="","Completar cadastro","")</f>
        <v/>
      </c>
      <c r="R1463" s="10" t="str">
        <f aca="false">INDEX(Parâmetros!$D$39:$D$43,MATCH(P1463,Parâmetros!$A$39:$A$43,0))</f>
        <v>Reciclar: requalificar, reengajar ou encerrar</v>
      </c>
    </row>
    <row r="1464" customFormat="false" ht="15" hidden="false" customHeight="false" outlineLevel="0" collapsed="false">
      <c r="A1464" s="10" t="s">
        <v>1710</v>
      </c>
      <c r="B1464" s="10" t="s">
        <v>95</v>
      </c>
      <c r="C1464" s="10" t="s">
        <v>92</v>
      </c>
      <c r="D1464" s="10" t="s">
        <v>160</v>
      </c>
      <c r="E1464" s="10" t="s">
        <v>50</v>
      </c>
      <c r="F1464" s="10" t="s">
        <v>161</v>
      </c>
      <c r="G1464" s="10" t="s">
        <v>162</v>
      </c>
      <c r="H1464" s="30" t="n">
        <v>42918</v>
      </c>
      <c r="I1464" s="8" t="n">
        <f aca="false">INDEX(Parâmetros!$C$13:$C$19,MATCH(E1464,Parâmetros!$A$13:$A$19,0))</f>
        <v>1096</v>
      </c>
      <c r="J1464" s="26" t="n">
        <f aca="false">IF(H1464="","",Parâmetros!$B$5-H1464)</f>
        <v>182</v>
      </c>
      <c r="K1464" s="10" t="n">
        <f aca="false">INDEX(Parâmetros!$D$13:$D$19,MATCH(E1464,Parâmetros!$A$13:$A$19,0))</f>
        <v>29</v>
      </c>
      <c r="L1464" s="10" t="n">
        <f aca="false">IF(G1464="Prospecting",Parâmetros!$B$9,IF(J1464&gt;Parâmetros!$B$6,0,INDEX(Parâmetros!$C$24:$C$26,MATCH(J1464,Parâmetros!$A$24:$A$26,1))))</f>
        <v>0</v>
      </c>
      <c r="M1464" s="31" t="n">
        <f aca="false">IF(G1464="Prospecting",1,INDEX(Parâmetros!$C$32:$C$35,MATCH(J1464,Parâmetros!$A$32:$A$35,1)))</f>
        <v>0.4</v>
      </c>
      <c r="N1464" s="2" t="n">
        <f aca="false">ROUND((K1464+L1464)*M1464,0)</f>
        <v>12</v>
      </c>
      <c r="O1464" s="10" t="str">
        <f aca="false">IF(AND(G1464="Engaging",J1464&gt;Parâmetros!$B$6),"Sim","Não")</f>
        <v>Sim</v>
      </c>
      <c r="P1464" s="32" t="str">
        <f aca="false">IF(O1464="Sim","R",IF(N1464&gt;=Parâmetros!$B$39,"A",IF(N1464&gt;=Parâmetros!$B$40,"B",IF(N1464&gt;=Parâmetros!$B$41,"C","D"))))</f>
        <v>R</v>
      </c>
      <c r="Q1464" s="10" t="str">
        <f aca="false">IF(F1464="","Completar cadastro","")</f>
        <v/>
      </c>
      <c r="R1464" s="10" t="str">
        <f aca="false">INDEX(Parâmetros!$D$39:$D$43,MATCH(P1464,Parâmetros!$A$39:$A$43,0))</f>
        <v>Reciclar: requalificar, reengajar ou encerrar</v>
      </c>
    </row>
    <row r="1465" customFormat="false" ht="15" hidden="false" customHeight="false" outlineLevel="0" collapsed="false">
      <c r="A1465" s="10" t="s">
        <v>1711</v>
      </c>
      <c r="B1465" s="10" t="s">
        <v>86</v>
      </c>
      <c r="C1465" s="10" t="s">
        <v>85</v>
      </c>
      <c r="D1465" s="10" t="s">
        <v>165</v>
      </c>
      <c r="E1465" s="10" t="s">
        <v>48</v>
      </c>
      <c r="F1465" s="10"/>
      <c r="G1465" s="10" t="s">
        <v>162</v>
      </c>
      <c r="H1465" s="30" t="n">
        <v>42690</v>
      </c>
      <c r="I1465" s="8" t="n">
        <f aca="false">INDEX(Parâmetros!$C$13:$C$19,MATCH(E1465,Parâmetros!$A$13:$A$19,0))</f>
        <v>4821</v>
      </c>
      <c r="J1465" s="26" t="n">
        <f aca="false">IF(H1465="","",Parâmetros!$B$5-H1465)</f>
        <v>410</v>
      </c>
      <c r="K1465" s="10" t="n">
        <f aca="false">INDEX(Parâmetros!$D$13:$D$19,MATCH(E1465,Parâmetros!$A$13:$A$19,0))</f>
        <v>43</v>
      </c>
      <c r="L1465" s="10" t="n">
        <f aca="false">IF(G1465="Prospecting",Parâmetros!$B$9,IF(J1465&gt;Parâmetros!$B$6,0,INDEX(Parâmetros!$C$24:$C$26,MATCH(J1465,Parâmetros!$A$24:$A$26,1))))</f>
        <v>0</v>
      </c>
      <c r="M1465" s="31" t="n">
        <f aca="false">IF(G1465="Prospecting",1,INDEX(Parâmetros!$C$32:$C$35,MATCH(J1465,Parâmetros!$A$32:$A$35,1)))</f>
        <v>0.25</v>
      </c>
      <c r="N1465" s="2" t="n">
        <f aca="false">ROUND((K1465+L1465)*M1465,0)</f>
        <v>11</v>
      </c>
      <c r="O1465" s="10" t="str">
        <f aca="false">IF(AND(G1465="Engaging",J1465&gt;Parâmetros!$B$6),"Sim","Não")</f>
        <v>Sim</v>
      </c>
      <c r="P1465" s="32" t="str">
        <f aca="false">IF(O1465="Sim","R",IF(N1465&gt;=Parâmetros!$B$39,"A",IF(N1465&gt;=Parâmetros!$B$40,"B",IF(N1465&gt;=Parâmetros!$B$41,"C","D"))))</f>
        <v>R</v>
      </c>
      <c r="Q1465" s="10" t="str">
        <f aca="false">IF(F1465="","Completar cadastro","")</f>
        <v>Completar cadastro</v>
      </c>
      <c r="R1465" s="10" t="str">
        <f aca="false">INDEX(Parâmetros!$D$39:$D$43,MATCH(P1465,Parâmetros!$A$39:$A$43,0))</f>
        <v>Reciclar: requalificar, reengajar ou encerrar</v>
      </c>
    </row>
    <row r="1466" customFormat="false" ht="15" hidden="false" customHeight="false" outlineLevel="0" collapsed="false">
      <c r="A1466" s="10" t="s">
        <v>1712</v>
      </c>
      <c r="B1466" s="10" t="s">
        <v>87</v>
      </c>
      <c r="C1466" s="10" t="s">
        <v>85</v>
      </c>
      <c r="D1466" s="10" t="s">
        <v>165</v>
      </c>
      <c r="E1466" s="10" t="s">
        <v>47</v>
      </c>
      <c r="F1466" s="10"/>
      <c r="G1466" s="10" t="s">
        <v>162</v>
      </c>
      <c r="H1466" s="30" t="n">
        <v>42709</v>
      </c>
      <c r="I1466" s="8" t="n">
        <f aca="false">INDEX(Parâmetros!$C$13:$C$19,MATCH(E1466,Parâmetros!$A$13:$A$19,0))</f>
        <v>5482</v>
      </c>
      <c r="J1466" s="26" t="n">
        <f aca="false">IF(H1466="","",Parâmetros!$B$5-H1466)</f>
        <v>391</v>
      </c>
      <c r="K1466" s="10" t="n">
        <f aca="false">INDEX(Parâmetros!$D$13:$D$19,MATCH(E1466,Parâmetros!$A$13:$A$19,0))</f>
        <v>45</v>
      </c>
      <c r="L1466" s="10" t="n">
        <f aca="false">IF(G1466="Prospecting",Parâmetros!$B$9,IF(J1466&gt;Parâmetros!$B$6,0,INDEX(Parâmetros!$C$24:$C$26,MATCH(J1466,Parâmetros!$A$24:$A$26,1))))</f>
        <v>0</v>
      </c>
      <c r="M1466" s="31" t="n">
        <f aca="false">IF(G1466="Prospecting",1,INDEX(Parâmetros!$C$32:$C$35,MATCH(J1466,Parâmetros!$A$32:$A$35,1)))</f>
        <v>0.25</v>
      </c>
      <c r="N1466" s="2" t="n">
        <f aca="false">ROUND((K1466+L1466)*M1466,0)</f>
        <v>11</v>
      </c>
      <c r="O1466" s="10" t="str">
        <f aca="false">IF(AND(G1466="Engaging",J1466&gt;Parâmetros!$B$6),"Sim","Não")</f>
        <v>Sim</v>
      </c>
      <c r="P1466" s="32" t="str">
        <f aca="false">IF(O1466="Sim","R",IF(N1466&gt;=Parâmetros!$B$39,"A",IF(N1466&gt;=Parâmetros!$B$40,"B",IF(N1466&gt;=Parâmetros!$B$41,"C","D"))))</f>
        <v>R</v>
      </c>
      <c r="Q1466" s="10" t="str">
        <f aca="false">IF(F1466="","Completar cadastro","")</f>
        <v>Completar cadastro</v>
      </c>
      <c r="R1466" s="10" t="str">
        <f aca="false">INDEX(Parâmetros!$D$39:$D$43,MATCH(P1466,Parâmetros!$A$39:$A$43,0))</f>
        <v>Reciclar: requalificar, reengajar ou encerrar</v>
      </c>
    </row>
    <row r="1467" customFormat="false" ht="15" hidden="false" customHeight="false" outlineLevel="0" collapsed="false">
      <c r="A1467" s="10" t="s">
        <v>1713</v>
      </c>
      <c r="B1467" s="10" t="s">
        <v>87</v>
      </c>
      <c r="C1467" s="10" t="s">
        <v>85</v>
      </c>
      <c r="D1467" s="10" t="s">
        <v>165</v>
      </c>
      <c r="E1467" s="10" t="s">
        <v>48</v>
      </c>
      <c r="F1467" s="10" t="s">
        <v>311</v>
      </c>
      <c r="G1467" s="10" t="s">
        <v>162</v>
      </c>
      <c r="H1467" s="30" t="n">
        <v>42712</v>
      </c>
      <c r="I1467" s="8" t="n">
        <f aca="false">INDEX(Parâmetros!$C$13:$C$19,MATCH(E1467,Parâmetros!$A$13:$A$19,0))</f>
        <v>4821</v>
      </c>
      <c r="J1467" s="26" t="n">
        <f aca="false">IF(H1467="","",Parâmetros!$B$5-H1467)</f>
        <v>388</v>
      </c>
      <c r="K1467" s="10" t="n">
        <f aca="false">INDEX(Parâmetros!$D$13:$D$19,MATCH(E1467,Parâmetros!$A$13:$A$19,0))</f>
        <v>43</v>
      </c>
      <c r="L1467" s="10" t="n">
        <f aca="false">IF(G1467="Prospecting",Parâmetros!$B$9,IF(J1467&gt;Parâmetros!$B$6,0,INDEX(Parâmetros!$C$24:$C$26,MATCH(J1467,Parâmetros!$A$24:$A$26,1))))</f>
        <v>0</v>
      </c>
      <c r="M1467" s="31" t="n">
        <f aca="false">IF(G1467="Prospecting",1,INDEX(Parâmetros!$C$32:$C$35,MATCH(J1467,Parâmetros!$A$32:$A$35,1)))</f>
        <v>0.25</v>
      </c>
      <c r="N1467" s="2" t="n">
        <f aca="false">ROUND((K1467+L1467)*M1467,0)</f>
        <v>11</v>
      </c>
      <c r="O1467" s="10" t="str">
        <f aca="false">IF(AND(G1467="Engaging",J1467&gt;Parâmetros!$B$6),"Sim","Não")</f>
        <v>Sim</v>
      </c>
      <c r="P1467" s="32" t="str">
        <f aca="false">IF(O1467="Sim","R",IF(N1467&gt;=Parâmetros!$B$39,"A",IF(N1467&gt;=Parâmetros!$B$40,"B",IF(N1467&gt;=Parâmetros!$B$41,"C","D"))))</f>
        <v>R</v>
      </c>
      <c r="Q1467" s="10" t="str">
        <f aca="false">IF(F1467="","Completar cadastro","")</f>
        <v/>
      </c>
      <c r="R1467" s="10" t="str">
        <f aca="false">INDEX(Parâmetros!$D$39:$D$43,MATCH(P1467,Parâmetros!$A$39:$A$43,0))</f>
        <v>Reciclar: requalificar, reengajar ou encerrar</v>
      </c>
    </row>
    <row r="1468" customFormat="false" ht="15" hidden="false" customHeight="false" outlineLevel="0" collapsed="false">
      <c r="A1468" s="10" t="s">
        <v>1714</v>
      </c>
      <c r="B1468" s="10" t="s">
        <v>95</v>
      </c>
      <c r="C1468" s="10" t="s">
        <v>92</v>
      </c>
      <c r="D1468" s="10" t="s">
        <v>160</v>
      </c>
      <c r="E1468" s="10" t="s">
        <v>47</v>
      </c>
      <c r="F1468" s="10"/>
      <c r="G1468" s="10" t="s">
        <v>162</v>
      </c>
      <c r="H1468" s="30" t="n">
        <v>42712</v>
      </c>
      <c r="I1468" s="8" t="n">
        <f aca="false">INDEX(Parâmetros!$C$13:$C$19,MATCH(E1468,Parâmetros!$A$13:$A$19,0))</f>
        <v>5482</v>
      </c>
      <c r="J1468" s="26" t="n">
        <f aca="false">IF(H1468="","",Parâmetros!$B$5-H1468)</f>
        <v>388</v>
      </c>
      <c r="K1468" s="10" t="n">
        <f aca="false">INDEX(Parâmetros!$D$13:$D$19,MATCH(E1468,Parâmetros!$A$13:$A$19,0))</f>
        <v>45</v>
      </c>
      <c r="L1468" s="10" t="n">
        <f aca="false">IF(G1468="Prospecting",Parâmetros!$B$9,IF(J1468&gt;Parâmetros!$B$6,0,INDEX(Parâmetros!$C$24:$C$26,MATCH(J1468,Parâmetros!$A$24:$A$26,1))))</f>
        <v>0</v>
      </c>
      <c r="M1468" s="31" t="n">
        <f aca="false">IF(G1468="Prospecting",1,INDEX(Parâmetros!$C$32:$C$35,MATCH(J1468,Parâmetros!$A$32:$A$35,1)))</f>
        <v>0.25</v>
      </c>
      <c r="N1468" s="2" t="n">
        <f aca="false">ROUND((K1468+L1468)*M1468,0)</f>
        <v>11</v>
      </c>
      <c r="O1468" s="10" t="str">
        <f aca="false">IF(AND(G1468="Engaging",J1468&gt;Parâmetros!$B$6),"Sim","Não")</f>
        <v>Sim</v>
      </c>
      <c r="P1468" s="32" t="str">
        <f aca="false">IF(O1468="Sim","R",IF(N1468&gt;=Parâmetros!$B$39,"A",IF(N1468&gt;=Parâmetros!$B$40,"B",IF(N1468&gt;=Parâmetros!$B$41,"C","D"))))</f>
        <v>R</v>
      </c>
      <c r="Q1468" s="10" t="str">
        <f aca="false">IF(F1468="","Completar cadastro","")</f>
        <v>Completar cadastro</v>
      </c>
      <c r="R1468" s="10" t="str">
        <f aca="false">INDEX(Parâmetros!$D$39:$D$43,MATCH(P1468,Parâmetros!$A$39:$A$43,0))</f>
        <v>Reciclar: requalificar, reengajar ou encerrar</v>
      </c>
    </row>
    <row r="1469" customFormat="false" ht="15" hidden="false" customHeight="false" outlineLevel="0" collapsed="false">
      <c r="A1469" s="10" t="s">
        <v>1715</v>
      </c>
      <c r="B1469" s="10" t="s">
        <v>86</v>
      </c>
      <c r="C1469" s="10" t="s">
        <v>85</v>
      </c>
      <c r="D1469" s="10" t="s">
        <v>165</v>
      </c>
      <c r="E1469" s="10" t="s">
        <v>48</v>
      </c>
      <c r="F1469" s="10" t="s">
        <v>453</v>
      </c>
      <c r="G1469" s="10" t="s">
        <v>162</v>
      </c>
      <c r="H1469" s="30" t="n">
        <v>42714</v>
      </c>
      <c r="I1469" s="8" t="n">
        <f aca="false">INDEX(Parâmetros!$C$13:$C$19,MATCH(E1469,Parâmetros!$A$13:$A$19,0))</f>
        <v>4821</v>
      </c>
      <c r="J1469" s="26" t="n">
        <f aca="false">IF(H1469="","",Parâmetros!$B$5-H1469)</f>
        <v>386</v>
      </c>
      <c r="K1469" s="10" t="n">
        <f aca="false">INDEX(Parâmetros!$D$13:$D$19,MATCH(E1469,Parâmetros!$A$13:$A$19,0))</f>
        <v>43</v>
      </c>
      <c r="L1469" s="10" t="n">
        <f aca="false">IF(G1469="Prospecting",Parâmetros!$B$9,IF(J1469&gt;Parâmetros!$B$6,0,INDEX(Parâmetros!$C$24:$C$26,MATCH(J1469,Parâmetros!$A$24:$A$26,1))))</f>
        <v>0</v>
      </c>
      <c r="M1469" s="31" t="n">
        <f aca="false">IF(G1469="Prospecting",1,INDEX(Parâmetros!$C$32:$C$35,MATCH(J1469,Parâmetros!$A$32:$A$35,1)))</f>
        <v>0.25</v>
      </c>
      <c r="N1469" s="2" t="n">
        <f aca="false">ROUND((K1469+L1469)*M1469,0)</f>
        <v>11</v>
      </c>
      <c r="O1469" s="10" t="str">
        <f aca="false">IF(AND(G1469="Engaging",J1469&gt;Parâmetros!$B$6),"Sim","Não")</f>
        <v>Sim</v>
      </c>
      <c r="P1469" s="32" t="str">
        <f aca="false">IF(O1469="Sim","R",IF(N1469&gt;=Parâmetros!$B$39,"A",IF(N1469&gt;=Parâmetros!$B$40,"B",IF(N1469&gt;=Parâmetros!$B$41,"C","D"))))</f>
        <v>R</v>
      </c>
      <c r="Q1469" s="10" t="str">
        <f aca="false">IF(F1469="","Completar cadastro","")</f>
        <v/>
      </c>
      <c r="R1469" s="10" t="str">
        <f aca="false">INDEX(Parâmetros!$D$39:$D$43,MATCH(P1469,Parâmetros!$A$39:$A$43,0))</f>
        <v>Reciclar: requalificar, reengajar ou encerrar</v>
      </c>
    </row>
    <row r="1470" customFormat="false" ht="15" hidden="false" customHeight="false" outlineLevel="0" collapsed="false">
      <c r="A1470" s="10" t="s">
        <v>1716</v>
      </c>
      <c r="B1470" s="10" t="s">
        <v>94</v>
      </c>
      <c r="C1470" s="10" t="s">
        <v>92</v>
      </c>
      <c r="D1470" s="10" t="s">
        <v>160</v>
      </c>
      <c r="E1470" s="10" t="s">
        <v>48</v>
      </c>
      <c r="F1470" s="10"/>
      <c r="G1470" s="10" t="s">
        <v>162</v>
      </c>
      <c r="H1470" s="30" t="n">
        <v>42717</v>
      </c>
      <c r="I1470" s="8" t="n">
        <f aca="false">INDEX(Parâmetros!$C$13:$C$19,MATCH(E1470,Parâmetros!$A$13:$A$19,0))</f>
        <v>4821</v>
      </c>
      <c r="J1470" s="26" t="n">
        <f aca="false">IF(H1470="","",Parâmetros!$B$5-H1470)</f>
        <v>383</v>
      </c>
      <c r="K1470" s="10" t="n">
        <f aca="false">INDEX(Parâmetros!$D$13:$D$19,MATCH(E1470,Parâmetros!$A$13:$A$19,0))</f>
        <v>43</v>
      </c>
      <c r="L1470" s="10" t="n">
        <f aca="false">IF(G1470="Prospecting",Parâmetros!$B$9,IF(J1470&gt;Parâmetros!$B$6,0,INDEX(Parâmetros!$C$24:$C$26,MATCH(J1470,Parâmetros!$A$24:$A$26,1))))</f>
        <v>0</v>
      </c>
      <c r="M1470" s="31" t="n">
        <f aca="false">IF(G1470="Prospecting",1,INDEX(Parâmetros!$C$32:$C$35,MATCH(J1470,Parâmetros!$A$32:$A$35,1)))</f>
        <v>0.25</v>
      </c>
      <c r="N1470" s="2" t="n">
        <f aca="false">ROUND((K1470+L1470)*M1470,0)</f>
        <v>11</v>
      </c>
      <c r="O1470" s="10" t="str">
        <f aca="false">IF(AND(G1470="Engaging",J1470&gt;Parâmetros!$B$6),"Sim","Não")</f>
        <v>Sim</v>
      </c>
      <c r="P1470" s="32" t="str">
        <f aca="false">IF(O1470="Sim","R",IF(N1470&gt;=Parâmetros!$B$39,"A",IF(N1470&gt;=Parâmetros!$B$40,"B",IF(N1470&gt;=Parâmetros!$B$41,"C","D"))))</f>
        <v>R</v>
      </c>
      <c r="Q1470" s="10" t="str">
        <f aca="false">IF(F1470="","Completar cadastro","")</f>
        <v>Completar cadastro</v>
      </c>
      <c r="R1470" s="10" t="str">
        <f aca="false">INDEX(Parâmetros!$D$39:$D$43,MATCH(P1470,Parâmetros!$A$39:$A$43,0))</f>
        <v>Reciclar: requalificar, reengajar ou encerrar</v>
      </c>
    </row>
    <row r="1471" customFormat="false" ht="15" hidden="false" customHeight="false" outlineLevel="0" collapsed="false">
      <c r="A1471" s="10" t="s">
        <v>1717</v>
      </c>
      <c r="B1471" s="10" t="s">
        <v>84</v>
      </c>
      <c r="C1471" s="10" t="s">
        <v>85</v>
      </c>
      <c r="D1471" s="10" t="s">
        <v>165</v>
      </c>
      <c r="E1471" s="10" t="s">
        <v>47</v>
      </c>
      <c r="F1471" s="10" t="s">
        <v>388</v>
      </c>
      <c r="G1471" s="10" t="s">
        <v>162</v>
      </c>
      <c r="H1471" s="30" t="n">
        <v>42720</v>
      </c>
      <c r="I1471" s="8" t="n">
        <f aca="false">INDEX(Parâmetros!$C$13:$C$19,MATCH(E1471,Parâmetros!$A$13:$A$19,0))</f>
        <v>5482</v>
      </c>
      <c r="J1471" s="26" t="n">
        <f aca="false">IF(H1471="","",Parâmetros!$B$5-H1471)</f>
        <v>380</v>
      </c>
      <c r="K1471" s="10" t="n">
        <f aca="false">INDEX(Parâmetros!$D$13:$D$19,MATCH(E1471,Parâmetros!$A$13:$A$19,0))</f>
        <v>45</v>
      </c>
      <c r="L1471" s="10" t="n">
        <f aca="false">IF(G1471="Prospecting",Parâmetros!$B$9,IF(J1471&gt;Parâmetros!$B$6,0,INDEX(Parâmetros!$C$24:$C$26,MATCH(J1471,Parâmetros!$A$24:$A$26,1))))</f>
        <v>0</v>
      </c>
      <c r="M1471" s="31" t="n">
        <f aca="false">IF(G1471="Prospecting",1,INDEX(Parâmetros!$C$32:$C$35,MATCH(J1471,Parâmetros!$A$32:$A$35,1)))</f>
        <v>0.25</v>
      </c>
      <c r="N1471" s="2" t="n">
        <f aca="false">ROUND((K1471+L1471)*M1471,0)</f>
        <v>11</v>
      </c>
      <c r="O1471" s="10" t="str">
        <f aca="false">IF(AND(G1471="Engaging",J1471&gt;Parâmetros!$B$6),"Sim","Não")</f>
        <v>Sim</v>
      </c>
      <c r="P1471" s="32" t="str">
        <f aca="false">IF(O1471="Sim","R",IF(N1471&gt;=Parâmetros!$B$39,"A",IF(N1471&gt;=Parâmetros!$B$40,"B",IF(N1471&gt;=Parâmetros!$B$41,"C","D"))))</f>
        <v>R</v>
      </c>
      <c r="Q1471" s="10" t="str">
        <f aca="false">IF(F1471="","Completar cadastro","")</f>
        <v/>
      </c>
      <c r="R1471" s="10" t="str">
        <f aca="false">INDEX(Parâmetros!$D$39:$D$43,MATCH(P1471,Parâmetros!$A$39:$A$43,0))</f>
        <v>Reciclar: requalificar, reengajar ou encerrar</v>
      </c>
    </row>
    <row r="1472" customFormat="false" ht="15" hidden="false" customHeight="false" outlineLevel="0" collapsed="false">
      <c r="A1472" s="10" t="s">
        <v>1718</v>
      </c>
      <c r="B1472" s="10" t="s">
        <v>57</v>
      </c>
      <c r="C1472" s="10" t="s">
        <v>58</v>
      </c>
      <c r="D1472" s="10" t="s">
        <v>165</v>
      </c>
      <c r="E1472" s="10" t="s">
        <v>47</v>
      </c>
      <c r="F1472" s="10"/>
      <c r="G1472" s="10" t="s">
        <v>162</v>
      </c>
      <c r="H1472" s="30" t="n">
        <v>42721</v>
      </c>
      <c r="I1472" s="8" t="n">
        <f aca="false">INDEX(Parâmetros!$C$13:$C$19,MATCH(E1472,Parâmetros!$A$13:$A$19,0))</f>
        <v>5482</v>
      </c>
      <c r="J1472" s="26" t="n">
        <f aca="false">IF(H1472="","",Parâmetros!$B$5-H1472)</f>
        <v>379</v>
      </c>
      <c r="K1472" s="10" t="n">
        <f aca="false">INDEX(Parâmetros!$D$13:$D$19,MATCH(E1472,Parâmetros!$A$13:$A$19,0))</f>
        <v>45</v>
      </c>
      <c r="L1472" s="10" t="n">
        <f aca="false">IF(G1472="Prospecting",Parâmetros!$B$9,IF(J1472&gt;Parâmetros!$B$6,0,INDEX(Parâmetros!$C$24:$C$26,MATCH(J1472,Parâmetros!$A$24:$A$26,1))))</f>
        <v>0</v>
      </c>
      <c r="M1472" s="31" t="n">
        <f aca="false">IF(G1472="Prospecting",1,INDEX(Parâmetros!$C$32:$C$35,MATCH(J1472,Parâmetros!$A$32:$A$35,1)))</f>
        <v>0.25</v>
      </c>
      <c r="N1472" s="2" t="n">
        <f aca="false">ROUND((K1472+L1472)*M1472,0)</f>
        <v>11</v>
      </c>
      <c r="O1472" s="10" t="str">
        <f aca="false">IF(AND(G1472="Engaging",J1472&gt;Parâmetros!$B$6),"Sim","Não")</f>
        <v>Sim</v>
      </c>
      <c r="P1472" s="32" t="str">
        <f aca="false">IF(O1472="Sim","R",IF(N1472&gt;=Parâmetros!$B$39,"A",IF(N1472&gt;=Parâmetros!$B$40,"B",IF(N1472&gt;=Parâmetros!$B$41,"C","D"))))</f>
        <v>R</v>
      </c>
      <c r="Q1472" s="10" t="str">
        <f aca="false">IF(F1472="","Completar cadastro","")</f>
        <v>Completar cadastro</v>
      </c>
      <c r="R1472" s="10" t="str">
        <f aca="false">INDEX(Parâmetros!$D$39:$D$43,MATCH(P1472,Parâmetros!$A$39:$A$43,0))</f>
        <v>Reciclar: requalificar, reengajar ou encerrar</v>
      </c>
    </row>
    <row r="1473" customFormat="false" ht="15" hidden="false" customHeight="false" outlineLevel="0" collapsed="false">
      <c r="A1473" s="10" t="s">
        <v>1719</v>
      </c>
      <c r="B1473" s="10" t="s">
        <v>66</v>
      </c>
      <c r="C1473" s="10" t="s">
        <v>65</v>
      </c>
      <c r="D1473" s="10" t="s">
        <v>160</v>
      </c>
      <c r="E1473" s="10" t="s">
        <v>48</v>
      </c>
      <c r="F1473" s="10" t="s">
        <v>506</v>
      </c>
      <c r="G1473" s="10" t="s">
        <v>162</v>
      </c>
      <c r="H1473" s="30" t="n">
        <v>42725</v>
      </c>
      <c r="I1473" s="8" t="n">
        <f aca="false">INDEX(Parâmetros!$C$13:$C$19,MATCH(E1473,Parâmetros!$A$13:$A$19,0))</f>
        <v>4821</v>
      </c>
      <c r="J1473" s="26" t="n">
        <f aca="false">IF(H1473="","",Parâmetros!$B$5-H1473)</f>
        <v>375</v>
      </c>
      <c r="K1473" s="10" t="n">
        <f aca="false">INDEX(Parâmetros!$D$13:$D$19,MATCH(E1473,Parâmetros!$A$13:$A$19,0))</f>
        <v>43</v>
      </c>
      <c r="L1473" s="10" t="n">
        <f aca="false">IF(G1473="Prospecting",Parâmetros!$B$9,IF(J1473&gt;Parâmetros!$B$6,0,INDEX(Parâmetros!$C$24:$C$26,MATCH(J1473,Parâmetros!$A$24:$A$26,1))))</f>
        <v>0</v>
      </c>
      <c r="M1473" s="31" t="n">
        <f aca="false">IF(G1473="Prospecting",1,INDEX(Parâmetros!$C$32:$C$35,MATCH(J1473,Parâmetros!$A$32:$A$35,1)))</f>
        <v>0.25</v>
      </c>
      <c r="N1473" s="2" t="n">
        <f aca="false">ROUND((K1473+L1473)*M1473,0)</f>
        <v>11</v>
      </c>
      <c r="O1473" s="10" t="str">
        <f aca="false">IF(AND(G1473="Engaging",J1473&gt;Parâmetros!$B$6),"Sim","Não")</f>
        <v>Sim</v>
      </c>
      <c r="P1473" s="32" t="str">
        <f aca="false">IF(O1473="Sim","R",IF(N1473&gt;=Parâmetros!$B$39,"A",IF(N1473&gt;=Parâmetros!$B$40,"B",IF(N1473&gt;=Parâmetros!$B$41,"C","D"))))</f>
        <v>R</v>
      </c>
      <c r="Q1473" s="10" t="str">
        <f aca="false">IF(F1473="","Completar cadastro","")</f>
        <v/>
      </c>
      <c r="R1473" s="10" t="str">
        <f aca="false">INDEX(Parâmetros!$D$39:$D$43,MATCH(P1473,Parâmetros!$A$39:$A$43,0))</f>
        <v>Reciclar: requalificar, reengajar ou encerrar</v>
      </c>
    </row>
    <row r="1474" customFormat="false" ht="15" hidden="false" customHeight="false" outlineLevel="0" collapsed="false">
      <c r="A1474" s="10" t="s">
        <v>1720</v>
      </c>
      <c r="B1474" s="10" t="s">
        <v>97</v>
      </c>
      <c r="C1474" s="10" t="s">
        <v>92</v>
      </c>
      <c r="D1474" s="10" t="s">
        <v>160</v>
      </c>
      <c r="E1474" s="10" t="s">
        <v>48</v>
      </c>
      <c r="F1474" s="10" t="s">
        <v>215</v>
      </c>
      <c r="G1474" s="10" t="s">
        <v>162</v>
      </c>
      <c r="H1474" s="30" t="n">
        <v>42726</v>
      </c>
      <c r="I1474" s="8" t="n">
        <f aca="false">INDEX(Parâmetros!$C$13:$C$19,MATCH(E1474,Parâmetros!$A$13:$A$19,0))</f>
        <v>4821</v>
      </c>
      <c r="J1474" s="26" t="n">
        <f aca="false">IF(H1474="","",Parâmetros!$B$5-H1474)</f>
        <v>374</v>
      </c>
      <c r="K1474" s="10" t="n">
        <f aca="false">INDEX(Parâmetros!$D$13:$D$19,MATCH(E1474,Parâmetros!$A$13:$A$19,0))</f>
        <v>43</v>
      </c>
      <c r="L1474" s="10" t="n">
        <f aca="false">IF(G1474="Prospecting",Parâmetros!$B$9,IF(J1474&gt;Parâmetros!$B$6,0,INDEX(Parâmetros!$C$24:$C$26,MATCH(J1474,Parâmetros!$A$24:$A$26,1))))</f>
        <v>0</v>
      </c>
      <c r="M1474" s="31" t="n">
        <f aca="false">IF(G1474="Prospecting",1,INDEX(Parâmetros!$C$32:$C$35,MATCH(J1474,Parâmetros!$A$32:$A$35,1)))</f>
        <v>0.25</v>
      </c>
      <c r="N1474" s="2" t="n">
        <f aca="false">ROUND((K1474+L1474)*M1474,0)</f>
        <v>11</v>
      </c>
      <c r="O1474" s="10" t="str">
        <f aca="false">IF(AND(G1474="Engaging",J1474&gt;Parâmetros!$B$6),"Sim","Não")</f>
        <v>Sim</v>
      </c>
      <c r="P1474" s="32" t="str">
        <f aca="false">IF(O1474="Sim","R",IF(N1474&gt;=Parâmetros!$B$39,"A",IF(N1474&gt;=Parâmetros!$B$40,"B",IF(N1474&gt;=Parâmetros!$B$41,"C","D"))))</f>
        <v>R</v>
      </c>
      <c r="Q1474" s="10" t="str">
        <f aca="false">IF(F1474="","Completar cadastro","")</f>
        <v/>
      </c>
      <c r="R1474" s="10" t="str">
        <f aca="false">INDEX(Parâmetros!$D$39:$D$43,MATCH(P1474,Parâmetros!$A$39:$A$43,0))</f>
        <v>Reciclar: requalificar, reengajar ou encerrar</v>
      </c>
    </row>
    <row r="1475" customFormat="false" ht="15" hidden="false" customHeight="false" outlineLevel="0" collapsed="false">
      <c r="A1475" s="10" t="s">
        <v>1721</v>
      </c>
      <c r="B1475" s="10" t="s">
        <v>95</v>
      </c>
      <c r="C1475" s="10" t="s">
        <v>92</v>
      </c>
      <c r="D1475" s="10" t="s">
        <v>160</v>
      </c>
      <c r="E1475" s="10" t="s">
        <v>48</v>
      </c>
      <c r="F1475" s="10"/>
      <c r="G1475" s="10" t="s">
        <v>162</v>
      </c>
      <c r="H1475" s="30" t="n">
        <v>42730</v>
      </c>
      <c r="I1475" s="8" t="n">
        <f aca="false">INDEX(Parâmetros!$C$13:$C$19,MATCH(E1475,Parâmetros!$A$13:$A$19,0))</f>
        <v>4821</v>
      </c>
      <c r="J1475" s="26" t="n">
        <f aca="false">IF(H1475="","",Parâmetros!$B$5-H1475)</f>
        <v>370</v>
      </c>
      <c r="K1475" s="10" t="n">
        <f aca="false">INDEX(Parâmetros!$D$13:$D$19,MATCH(E1475,Parâmetros!$A$13:$A$19,0))</f>
        <v>43</v>
      </c>
      <c r="L1475" s="10" t="n">
        <f aca="false">IF(G1475="Prospecting",Parâmetros!$B$9,IF(J1475&gt;Parâmetros!$B$6,0,INDEX(Parâmetros!$C$24:$C$26,MATCH(J1475,Parâmetros!$A$24:$A$26,1))))</f>
        <v>0</v>
      </c>
      <c r="M1475" s="31" t="n">
        <f aca="false">IF(G1475="Prospecting",1,INDEX(Parâmetros!$C$32:$C$35,MATCH(J1475,Parâmetros!$A$32:$A$35,1)))</f>
        <v>0.25</v>
      </c>
      <c r="N1475" s="2" t="n">
        <f aca="false">ROUND((K1475+L1475)*M1475,0)</f>
        <v>11</v>
      </c>
      <c r="O1475" s="10" t="str">
        <f aca="false">IF(AND(G1475="Engaging",J1475&gt;Parâmetros!$B$6),"Sim","Não")</f>
        <v>Sim</v>
      </c>
      <c r="P1475" s="32" t="str">
        <f aca="false">IF(O1475="Sim","R",IF(N1475&gt;=Parâmetros!$B$39,"A",IF(N1475&gt;=Parâmetros!$B$40,"B",IF(N1475&gt;=Parâmetros!$B$41,"C","D"))))</f>
        <v>R</v>
      </c>
      <c r="Q1475" s="10" t="str">
        <f aca="false">IF(F1475="","Completar cadastro","")</f>
        <v>Completar cadastro</v>
      </c>
      <c r="R1475" s="10" t="str">
        <f aca="false">INDEX(Parâmetros!$D$39:$D$43,MATCH(P1475,Parâmetros!$A$39:$A$43,0))</f>
        <v>Reciclar: requalificar, reengajar ou encerrar</v>
      </c>
    </row>
    <row r="1476" customFormat="false" ht="15" hidden="false" customHeight="false" outlineLevel="0" collapsed="false">
      <c r="A1476" s="10" t="s">
        <v>1722</v>
      </c>
      <c r="B1476" s="10" t="s">
        <v>57</v>
      </c>
      <c r="C1476" s="10" t="s">
        <v>58</v>
      </c>
      <c r="D1476" s="10" t="s">
        <v>165</v>
      </c>
      <c r="E1476" s="10" t="s">
        <v>48</v>
      </c>
      <c r="F1476" s="10"/>
      <c r="G1476" s="10" t="s">
        <v>162</v>
      </c>
      <c r="H1476" s="30" t="n">
        <v>42732</v>
      </c>
      <c r="I1476" s="8" t="n">
        <f aca="false">INDEX(Parâmetros!$C$13:$C$19,MATCH(E1476,Parâmetros!$A$13:$A$19,0))</f>
        <v>4821</v>
      </c>
      <c r="J1476" s="26" t="n">
        <f aca="false">IF(H1476="","",Parâmetros!$B$5-H1476)</f>
        <v>368</v>
      </c>
      <c r="K1476" s="10" t="n">
        <f aca="false">INDEX(Parâmetros!$D$13:$D$19,MATCH(E1476,Parâmetros!$A$13:$A$19,0))</f>
        <v>43</v>
      </c>
      <c r="L1476" s="10" t="n">
        <f aca="false">IF(G1476="Prospecting",Parâmetros!$B$9,IF(J1476&gt;Parâmetros!$B$6,0,INDEX(Parâmetros!$C$24:$C$26,MATCH(J1476,Parâmetros!$A$24:$A$26,1))))</f>
        <v>0</v>
      </c>
      <c r="M1476" s="31" t="n">
        <f aca="false">IF(G1476="Prospecting",1,INDEX(Parâmetros!$C$32:$C$35,MATCH(J1476,Parâmetros!$A$32:$A$35,1)))</f>
        <v>0.25</v>
      </c>
      <c r="N1476" s="2" t="n">
        <f aca="false">ROUND((K1476+L1476)*M1476,0)</f>
        <v>11</v>
      </c>
      <c r="O1476" s="10" t="str">
        <f aca="false">IF(AND(G1476="Engaging",J1476&gt;Parâmetros!$B$6),"Sim","Não")</f>
        <v>Sim</v>
      </c>
      <c r="P1476" s="32" t="str">
        <f aca="false">IF(O1476="Sim","R",IF(N1476&gt;=Parâmetros!$B$39,"A",IF(N1476&gt;=Parâmetros!$B$40,"B",IF(N1476&gt;=Parâmetros!$B$41,"C","D"))))</f>
        <v>R</v>
      </c>
      <c r="Q1476" s="10" t="str">
        <f aca="false">IF(F1476="","Completar cadastro","")</f>
        <v>Completar cadastro</v>
      </c>
      <c r="R1476" s="10" t="str">
        <f aca="false">INDEX(Parâmetros!$D$39:$D$43,MATCH(P1476,Parâmetros!$A$39:$A$43,0))</f>
        <v>Reciclar: requalificar, reengajar ou encerrar</v>
      </c>
    </row>
    <row r="1477" customFormat="false" ht="15" hidden="false" customHeight="false" outlineLevel="0" collapsed="false">
      <c r="A1477" s="10" t="s">
        <v>1723</v>
      </c>
      <c r="B1477" s="10" t="s">
        <v>86</v>
      </c>
      <c r="C1477" s="10" t="s">
        <v>85</v>
      </c>
      <c r="D1477" s="10" t="s">
        <v>165</v>
      </c>
      <c r="E1477" s="10" t="s">
        <v>47</v>
      </c>
      <c r="F1477" s="10"/>
      <c r="G1477" s="10" t="s">
        <v>162</v>
      </c>
      <c r="H1477" s="30" t="n">
        <v>42733</v>
      </c>
      <c r="I1477" s="8" t="n">
        <f aca="false">INDEX(Parâmetros!$C$13:$C$19,MATCH(E1477,Parâmetros!$A$13:$A$19,0))</f>
        <v>5482</v>
      </c>
      <c r="J1477" s="26" t="n">
        <f aca="false">IF(H1477="","",Parâmetros!$B$5-H1477)</f>
        <v>367</v>
      </c>
      <c r="K1477" s="10" t="n">
        <f aca="false">INDEX(Parâmetros!$D$13:$D$19,MATCH(E1477,Parâmetros!$A$13:$A$19,0))</f>
        <v>45</v>
      </c>
      <c r="L1477" s="10" t="n">
        <f aca="false">IF(G1477="Prospecting",Parâmetros!$B$9,IF(J1477&gt;Parâmetros!$B$6,0,INDEX(Parâmetros!$C$24:$C$26,MATCH(J1477,Parâmetros!$A$24:$A$26,1))))</f>
        <v>0</v>
      </c>
      <c r="M1477" s="31" t="n">
        <f aca="false">IF(G1477="Prospecting",1,INDEX(Parâmetros!$C$32:$C$35,MATCH(J1477,Parâmetros!$A$32:$A$35,1)))</f>
        <v>0.25</v>
      </c>
      <c r="N1477" s="2" t="n">
        <f aca="false">ROUND((K1477+L1477)*M1477,0)</f>
        <v>11</v>
      </c>
      <c r="O1477" s="10" t="str">
        <f aca="false">IF(AND(G1477="Engaging",J1477&gt;Parâmetros!$B$6),"Sim","Não")</f>
        <v>Sim</v>
      </c>
      <c r="P1477" s="32" t="str">
        <f aca="false">IF(O1477="Sim","R",IF(N1477&gt;=Parâmetros!$B$39,"A",IF(N1477&gt;=Parâmetros!$B$40,"B",IF(N1477&gt;=Parâmetros!$B$41,"C","D"))))</f>
        <v>R</v>
      </c>
      <c r="Q1477" s="10" t="str">
        <f aca="false">IF(F1477="","Completar cadastro","")</f>
        <v>Completar cadastro</v>
      </c>
      <c r="R1477" s="10" t="str">
        <f aca="false">INDEX(Parâmetros!$D$39:$D$43,MATCH(P1477,Parâmetros!$A$39:$A$43,0))</f>
        <v>Reciclar: requalificar, reengajar ou encerrar</v>
      </c>
    </row>
    <row r="1478" customFormat="false" ht="15" hidden="false" customHeight="false" outlineLevel="0" collapsed="false">
      <c r="A1478" s="10" t="s">
        <v>1724</v>
      </c>
      <c r="B1478" s="10" t="s">
        <v>94</v>
      </c>
      <c r="C1478" s="10" t="s">
        <v>92</v>
      </c>
      <c r="D1478" s="10" t="s">
        <v>160</v>
      </c>
      <c r="E1478" s="10" t="s">
        <v>48</v>
      </c>
      <c r="F1478" s="10"/>
      <c r="G1478" s="10" t="s">
        <v>162</v>
      </c>
      <c r="H1478" s="30" t="n">
        <v>42733</v>
      </c>
      <c r="I1478" s="8" t="n">
        <f aca="false">INDEX(Parâmetros!$C$13:$C$19,MATCH(E1478,Parâmetros!$A$13:$A$19,0))</f>
        <v>4821</v>
      </c>
      <c r="J1478" s="26" t="n">
        <f aca="false">IF(H1478="","",Parâmetros!$B$5-H1478)</f>
        <v>367</v>
      </c>
      <c r="K1478" s="10" t="n">
        <f aca="false">INDEX(Parâmetros!$D$13:$D$19,MATCH(E1478,Parâmetros!$A$13:$A$19,0))</f>
        <v>43</v>
      </c>
      <c r="L1478" s="10" t="n">
        <f aca="false">IF(G1478="Prospecting",Parâmetros!$B$9,IF(J1478&gt;Parâmetros!$B$6,0,INDEX(Parâmetros!$C$24:$C$26,MATCH(J1478,Parâmetros!$A$24:$A$26,1))))</f>
        <v>0</v>
      </c>
      <c r="M1478" s="31" t="n">
        <f aca="false">IF(G1478="Prospecting",1,INDEX(Parâmetros!$C$32:$C$35,MATCH(J1478,Parâmetros!$A$32:$A$35,1)))</f>
        <v>0.25</v>
      </c>
      <c r="N1478" s="2" t="n">
        <f aca="false">ROUND((K1478+L1478)*M1478,0)</f>
        <v>11</v>
      </c>
      <c r="O1478" s="10" t="str">
        <f aca="false">IF(AND(G1478="Engaging",J1478&gt;Parâmetros!$B$6),"Sim","Não")</f>
        <v>Sim</v>
      </c>
      <c r="P1478" s="32" t="str">
        <f aca="false">IF(O1478="Sim","R",IF(N1478&gt;=Parâmetros!$B$39,"A",IF(N1478&gt;=Parâmetros!$B$40,"B",IF(N1478&gt;=Parâmetros!$B$41,"C","D"))))</f>
        <v>R</v>
      </c>
      <c r="Q1478" s="10" t="str">
        <f aca="false">IF(F1478="","Completar cadastro","")</f>
        <v>Completar cadastro</v>
      </c>
      <c r="R1478" s="10" t="str">
        <f aca="false">INDEX(Parâmetros!$D$39:$D$43,MATCH(P1478,Parâmetros!$A$39:$A$43,0))</f>
        <v>Reciclar: requalificar, reengajar ou encerrar</v>
      </c>
    </row>
    <row r="1479" customFormat="false" ht="15" hidden="false" customHeight="false" outlineLevel="0" collapsed="false">
      <c r="A1479" s="10" t="s">
        <v>1725</v>
      </c>
      <c r="B1479" s="10" t="s">
        <v>87</v>
      </c>
      <c r="C1479" s="10" t="s">
        <v>85</v>
      </c>
      <c r="D1479" s="10" t="s">
        <v>165</v>
      </c>
      <c r="E1479" s="10" t="s">
        <v>47</v>
      </c>
      <c r="F1479" s="10"/>
      <c r="G1479" s="10" t="s">
        <v>162</v>
      </c>
      <c r="H1479" s="30" t="n">
        <v>42739</v>
      </c>
      <c r="I1479" s="8" t="n">
        <f aca="false">INDEX(Parâmetros!$C$13:$C$19,MATCH(E1479,Parâmetros!$A$13:$A$19,0))</f>
        <v>5482</v>
      </c>
      <c r="J1479" s="26" t="n">
        <f aca="false">IF(H1479="","",Parâmetros!$B$5-H1479)</f>
        <v>361</v>
      </c>
      <c r="K1479" s="10" t="n">
        <f aca="false">INDEX(Parâmetros!$D$13:$D$19,MATCH(E1479,Parâmetros!$A$13:$A$19,0))</f>
        <v>45</v>
      </c>
      <c r="L1479" s="10" t="n">
        <f aca="false">IF(G1479="Prospecting",Parâmetros!$B$9,IF(J1479&gt;Parâmetros!$B$6,0,INDEX(Parâmetros!$C$24:$C$26,MATCH(J1479,Parâmetros!$A$24:$A$26,1))))</f>
        <v>0</v>
      </c>
      <c r="M1479" s="31" t="n">
        <f aca="false">IF(G1479="Prospecting",1,INDEX(Parâmetros!$C$32:$C$35,MATCH(J1479,Parâmetros!$A$32:$A$35,1)))</f>
        <v>0.25</v>
      </c>
      <c r="N1479" s="2" t="n">
        <f aca="false">ROUND((K1479+L1479)*M1479,0)</f>
        <v>11</v>
      </c>
      <c r="O1479" s="10" t="str">
        <f aca="false">IF(AND(G1479="Engaging",J1479&gt;Parâmetros!$B$6),"Sim","Não")</f>
        <v>Sim</v>
      </c>
      <c r="P1479" s="32" t="str">
        <f aca="false">IF(O1479="Sim","R",IF(N1479&gt;=Parâmetros!$B$39,"A",IF(N1479&gt;=Parâmetros!$B$40,"B",IF(N1479&gt;=Parâmetros!$B$41,"C","D"))))</f>
        <v>R</v>
      </c>
      <c r="Q1479" s="10" t="str">
        <f aca="false">IF(F1479="","Completar cadastro","")</f>
        <v>Completar cadastro</v>
      </c>
      <c r="R1479" s="10" t="str">
        <f aca="false">INDEX(Parâmetros!$D$39:$D$43,MATCH(P1479,Parâmetros!$A$39:$A$43,0))</f>
        <v>Reciclar: requalificar, reengajar ou encerrar</v>
      </c>
    </row>
    <row r="1480" customFormat="false" ht="15" hidden="false" customHeight="false" outlineLevel="0" collapsed="false">
      <c r="A1480" s="10" t="s">
        <v>1726</v>
      </c>
      <c r="B1480" s="10" t="s">
        <v>87</v>
      </c>
      <c r="C1480" s="10" t="s">
        <v>85</v>
      </c>
      <c r="D1480" s="10" t="s">
        <v>165</v>
      </c>
      <c r="E1480" s="10" t="s">
        <v>47</v>
      </c>
      <c r="F1480" s="10"/>
      <c r="G1480" s="10" t="s">
        <v>162</v>
      </c>
      <c r="H1480" s="30" t="n">
        <v>42740</v>
      </c>
      <c r="I1480" s="8" t="n">
        <f aca="false">INDEX(Parâmetros!$C$13:$C$19,MATCH(E1480,Parâmetros!$A$13:$A$19,0))</f>
        <v>5482</v>
      </c>
      <c r="J1480" s="26" t="n">
        <f aca="false">IF(H1480="","",Parâmetros!$B$5-H1480)</f>
        <v>360</v>
      </c>
      <c r="K1480" s="10" t="n">
        <f aca="false">INDEX(Parâmetros!$D$13:$D$19,MATCH(E1480,Parâmetros!$A$13:$A$19,0))</f>
        <v>45</v>
      </c>
      <c r="L1480" s="10" t="n">
        <f aca="false">IF(G1480="Prospecting",Parâmetros!$B$9,IF(J1480&gt;Parâmetros!$B$6,0,INDEX(Parâmetros!$C$24:$C$26,MATCH(J1480,Parâmetros!$A$24:$A$26,1))))</f>
        <v>0</v>
      </c>
      <c r="M1480" s="31" t="n">
        <f aca="false">IF(G1480="Prospecting",1,INDEX(Parâmetros!$C$32:$C$35,MATCH(J1480,Parâmetros!$A$32:$A$35,1)))</f>
        <v>0.25</v>
      </c>
      <c r="N1480" s="2" t="n">
        <f aca="false">ROUND((K1480+L1480)*M1480,0)</f>
        <v>11</v>
      </c>
      <c r="O1480" s="10" t="str">
        <f aca="false">IF(AND(G1480="Engaging",J1480&gt;Parâmetros!$B$6),"Sim","Não")</f>
        <v>Sim</v>
      </c>
      <c r="P1480" s="32" t="str">
        <f aca="false">IF(O1480="Sim","R",IF(N1480&gt;=Parâmetros!$B$39,"A",IF(N1480&gt;=Parâmetros!$B$40,"B",IF(N1480&gt;=Parâmetros!$B$41,"C","D"))))</f>
        <v>R</v>
      </c>
      <c r="Q1480" s="10" t="str">
        <f aca="false">IF(F1480="","Completar cadastro","")</f>
        <v>Completar cadastro</v>
      </c>
      <c r="R1480" s="10" t="str">
        <f aca="false">INDEX(Parâmetros!$D$39:$D$43,MATCH(P1480,Parâmetros!$A$39:$A$43,0))</f>
        <v>Reciclar: requalificar, reengajar ou encerrar</v>
      </c>
    </row>
    <row r="1481" customFormat="false" ht="15" hidden="false" customHeight="false" outlineLevel="0" collapsed="false">
      <c r="A1481" s="10" t="s">
        <v>1727</v>
      </c>
      <c r="B1481" s="10" t="s">
        <v>84</v>
      </c>
      <c r="C1481" s="10" t="s">
        <v>85</v>
      </c>
      <c r="D1481" s="10" t="s">
        <v>165</v>
      </c>
      <c r="E1481" s="10" t="s">
        <v>47</v>
      </c>
      <c r="F1481" s="10"/>
      <c r="G1481" s="10" t="s">
        <v>162</v>
      </c>
      <c r="H1481" s="30" t="n">
        <v>42741</v>
      </c>
      <c r="I1481" s="8" t="n">
        <f aca="false">INDEX(Parâmetros!$C$13:$C$19,MATCH(E1481,Parâmetros!$A$13:$A$19,0))</f>
        <v>5482</v>
      </c>
      <c r="J1481" s="26" t="n">
        <f aca="false">IF(H1481="","",Parâmetros!$B$5-H1481)</f>
        <v>359</v>
      </c>
      <c r="K1481" s="10" t="n">
        <f aca="false">INDEX(Parâmetros!$D$13:$D$19,MATCH(E1481,Parâmetros!$A$13:$A$19,0))</f>
        <v>45</v>
      </c>
      <c r="L1481" s="10" t="n">
        <f aca="false">IF(G1481="Prospecting",Parâmetros!$B$9,IF(J1481&gt;Parâmetros!$B$6,0,INDEX(Parâmetros!$C$24:$C$26,MATCH(J1481,Parâmetros!$A$24:$A$26,1))))</f>
        <v>0</v>
      </c>
      <c r="M1481" s="31" t="n">
        <f aca="false">IF(G1481="Prospecting",1,INDEX(Parâmetros!$C$32:$C$35,MATCH(J1481,Parâmetros!$A$32:$A$35,1)))</f>
        <v>0.25</v>
      </c>
      <c r="N1481" s="2" t="n">
        <f aca="false">ROUND((K1481+L1481)*M1481,0)</f>
        <v>11</v>
      </c>
      <c r="O1481" s="10" t="str">
        <f aca="false">IF(AND(G1481="Engaging",J1481&gt;Parâmetros!$B$6),"Sim","Não")</f>
        <v>Sim</v>
      </c>
      <c r="P1481" s="32" t="str">
        <f aca="false">IF(O1481="Sim","R",IF(N1481&gt;=Parâmetros!$B$39,"A",IF(N1481&gt;=Parâmetros!$B$40,"B",IF(N1481&gt;=Parâmetros!$B$41,"C","D"))))</f>
        <v>R</v>
      </c>
      <c r="Q1481" s="10" t="str">
        <f aca="false">IF(F1481="","Completar cadastro","")</f>
        <v>Completar cadastro</v>
      </c>
      <c r="R1481" s="10" t="str">
        <f aca="false">INDEX(Parâmetros!$D$39:$D$43,MATCH(P1481,Parâmetros!$A$39:$A$43,0))</f>
        <v>Reciclar: requalificar, reengajar ou encerrar</v>
      </c>
    </row>
    <row r="1482" customFormat="false" ht="15" hidden="false" customHeight="false" outlineLevel="0" collapsed="false">
      <c r="A1482" s="10" t="s">
        <v>1728</v>
      </c>
      <c r="B1482" s="10" t="s">
        <v>70</v>
      </c>
      <c r="C1482" s="10" t="s">
        <v>65</v>
      </c>
      <c r="D1482" s="10" t="s">
        <v>160</v>
      </c>
      <c r="E1482" s="10" t="s">
        <v>47</v>
      </c>
      <c r="F1482" s="10"/>
      <c r="G1482" s="10" t="s">
        <v>162</v>
      </c>
      <c r="H1482" s="30" t="n">
        <v>42744</v>
      </c>
      <c r="I1482" s="8" t="n">
        <f aca="false">INDEX(Parâmetros!$C$13:$C$19,MATCH(E1482,Parâmetros!$A$13:$A$19,0))</f>
        <v>5482</v>
      </c>
      <c r="J1482" s="26" t="n">
        <f aca="false">IF(H1482="","",Parâmetros!$B$5-H1482)</f>
        <v>356</v>
      </c>
      <c r="K1482" s="10" t="n">
        <f aca="false">INDEX(Parâmetros!$D$13:$D$19,MATCH(E1482,Parâmetros!$A$13:$A$19,0))</f>
        <v>45</v>
      </c>
      <c r="L1482" s="10" t="n">
        <f aca="false">IF(G1482="Prospecting",Parâmetros!$B$9,IF(J1482&gt;Parâmetros!$B$6,0,INDEX(Parâmetros!$C$24:$C$26,MATCH(J1482,Parâmetros!$A$24:$A$26,1))))</f>
        <v>0</v>
      </c>
      <c r="M1482" s="31" t="n">
        <f aca="false">IF(G1482="Prospecting",1,INDEX(Parâmetros!$C$32:$C$35,MATCH(J1482,Parâmetros!$A$32:$A$35,1)))</f>
        <v>0.25</v>
      </c>
      <c r="N1482" s="2" t="n">
        <f aca="false">ROUND((K1482+L1482)*M1482,0)</f>
        <v>11</v>
      </c>
      <c r="O1482" s="10" t="str">
        <f aca="false">IF(AND(G1482="Engaging",J1482&gt;Parâmetros!$B$6),"Sim","Não")</f>
        <v>Sim</v>
      </c>
      <c r="P1482" s="32" t="str">
        <f aca="false">IF(O1482="Sim","R",IF(N1482&gt;=Parâmetros!$B$39,"A",IF(N1482&gt;=Parâmetros!$B$40,"B",IF(N1482&gt;=Parâmetros!$B$41,"C","D"))))</f>
        <v>R</v>
      </c>
      <c r="Q1482" s="10" t="str">
        <f aca="false">IF(F1482="","Completar cadastro","")</f>
        <v>Completar cadastro</v>
      </c>
      <c r="R1482" s="10" t="str">
        <f aca="false">INDEX(Parâmetros!$D$39:$D$43,MATCH(P1482,Parâmetros!$A$39:$A$43,0))</f>
        <v>Reciclar: requalificar, reengajar ou encerrar</v>
      </c>
    </row>
    <row r="1483" customFormat="false" ht="15" hidden="false" customHeight="false" outlineLevel="0" collapsed="false">
      <c r="A1483" s="10" t="s">
        <v>1729</v>
      </c>
      <c r="B1483" s="10" t="s">
        <v>67</v>
      </c>
      <c r="C1483" s="10" t="s">
        <v>65</v>
      </c>
      <c r="D1483" s="10" t="s">
        <v>160</v>
      </c>
      <c r="E1483" s="10" t="s">
        <v>47</v>
      </c>
      <c r="F1483" s="10"/>
      <c r="G1483" s="10" t="s">
        <v>162</v>
      </c>
      <c r="H1483" s="30" t="n">
        <v>42745</v>
      </c>
      <c r="I1483" s="8" t="n">
        <f aca="false">INDEX(Parâmetros!$C$13:$C$19,MATCH(E1483,Parâmetros!$A$13:$A$19,0))</f>
        <v>5482</v>
      </c>
      <c r="J1483" s="26" t="n">
        <f aca="false">IF(H1483="","",Parâmetros!$B$5-H1483)</f>
        <v>355</v>
      </c>
      <c r="K1483" s="10" t="n">
        <f aca="false">INDEX(Parâmetros!$D$13:$D$19,MATCH(E1483,Parâmetros!$A$13:$A$19,0))</f>
        <v>45</v>
      </c>
      <c r="L1483" s="10" t="n">
        <f aca="false">IF(G1483="Prospecting",Parâmetros!$B$9,IF(J1483&gt;Parâmetros!$B$6,0,INDEX(Parâmetros!$C$24:$C$26,MATCH(J1483,Parâmetros!$A$24:$A$26,1))))</f>
        <v>0</v>
      </c>
      <c r="M1483" s="31" t="n">
        <f aca="false">IF(G1483="Prospecting",1,INDEX(Parâmetros!$C$32:$C$35,MATCH(J1483,Parâmetros!$A$32:$A$35,1)))</f>
        <v>0.25</v>
      </c>
      <c r="N1483" s="2" t="n">
        <f aca="false">ROUND((K1483+L1483)*M1483,0)</f>
        <v>11</v>
      </c>
      <c r="O1483" s="10" t="str">
        <f aca="false">IF(AND(G1483="Engaging",J1483&gt;Parâmetros!$B$6),"Sim","Não")</f>
        <v>Sim</v>
      </c>
      <c r="P1483" s="32" t="str">
        <f aca="false">IF(O1483="Sim","R",IF(N1483&gt;=Parâmetros!$B$39,"A",IF(N1483&gt;=Parâmetros!$B$40,"B",IF(N1483&gt;=Parâmetros!$B$41,"C","D"))))</f>
        <v>R</v>
      </c>
      <c r="Q1483" s="10" t="str">
        <f aca="false">IF(F1483="","Completar cadastro","")</f>
        <v>Completar cadastro</v>
      </c>
      <c r="R1483" s="10" t="str">
        <f aca="false">INDEX(Parâmetros!$D$39:$D$43,MATCH(P1483,Parâmetros!$A$39:$A$43,0))</f>
        <v>Reciclar: requalificar, reengajar ou encerrar</v>
      </c>
    </row>
    <row r="1484" customFormat="false" ht="15" hidden="false" customHeight="false" outlineLevel="0" collapsed="false">
      <c r="A1484" s="10" t="s">
        <v>1730</v>
      </c>
      <c r="B1484" s="10" t="s">
        <v>70</v>
      </c>
      <c r="C1484" s="10" t="s">
        <v>65</v>
      </c>
      <c r="D1484" s="10" t="s">
        <v>160</v>
      </c>
      <c r="E1484" s="10" t="s">
        <v>48</v>
      </c>
      <c r="F1484" s="10"/>
      <c r="G1484" s="10" t="s">
        <v>162</v>
      </c>
      <c r="H1484" s="30" t="n">
        <v>42745</v>
      </c>
      <c r="I1484" s="8" t="n">
        <f aca="false">INDEX(Parâmetros!$C$13:$C$19,MATCH(E1484,Parâmetros!$A$13:$A$19,0))</f>
        <v>4821</v>
      </c>
      <c r="J1484" s="26" t="n">
        <f aca="false">IF(H1484="","",Parâmetros!$B$5-H1484)</f>
        <v>355</v>
      </c>
      <c r="K1484" s="10" t="n">
        <f aca="false">INDEX(Parâmetros!$D$13:$D$19,MATCH(E1484,Parâmetros!$A$13:$A$19,0))</f>
        <v>43</v>
      </c>
      <c r="L1484" s="10" t="n">
        <f aca="false">IF(G1484="Prospecting",Parâmetros!$B$9,IF(J1484&gt;Parâmetros!$B$6,0,INDEX(Parâmetros!$C$24:$C$26,MATCH(J1484,Parâmetros!$A$24:$A$26,1))))</f>
        <v>0</v>
      </c>
      <c r="M1484" s="31" t="n">
        <f aca="false">IF(G1484="Prospecting",1,INDEX(Parâmetros!$C$32:$C$35,MATCH(J1484,Parâmetros!$A$32:$A$35,1)))</f>
        <v>0.25</v>
      </c>
      <c r="N1484" s="2" t="n">
        <f aca="false">ROUND((K1484+L1484)*M1484,0)</f>
        <v>11</v>
      </c>
      <c r="O1484" s="10" t="str">
        <f aca="false">IF(AND(G1484="Engaging",J1484&gt;Parâmetros!$B$6),"Sim","Não")</f>
        <v>Sim</v>
      </c>
      <c r="P1484" s="32" t="str">
        <f aca="false">IF(O1484="Sim","R",IF(N1484&gt;=Parâmetros!$B$39,"A",IF(N1484&gt;=Parâmetros!$B$40,"B",IF(N1484&gt;=Parâmetros!$B$41,"C","D"))))</f>
        <v>R</v>
      </c>
      <c r="Q1484" s="10" t="str">
        <f aca="false">IF(F1484="","Completar cadastro","")</f>
        <v>Completar cadastro</v>
      </c>
      <c r="R1484" s="10" t="str">
        <f aca="false">INDEX(Parâmetros!$D$39:$D$43,MATCH(P1484,Parâmetros!$A$39:$A$43,0))</f>
        <v>Reciclar: requalificar, reengajar ou encerrar</v>
      </c>
    </row>
    <row r="1485" customFormat="false" ht="15" hidden="false" customHeight="false" outlineLevel="0" collapsed="false">
      <c r="A1485" s="10" t="s">
        <v>1731</v>
      </c>
      <c r="B1485" s="10" t="s">
        <v>62</v>
      </c>
      <c r="C1485" s="10" t="s">
        <v>58</v>
      </c>
      <c r="D1485" s="10" t="s">
        <v>165</v>
      </c>
      <c r="E1485" s="10" t="s">
        <v>47</v>
      </c>
      <c r="F1485" s="10"/>
      <c r="G1485" s="10" t="s">
        <v>162</v>
      </c>
      <c r="H1485" s="30" t="n">
        <v>42745</v>
      </c>
      <c r="I1485" s="8" t="n">
        <f aca="false">INDEX(Parâmetros!$C$13:$C$19,MATCH(E1485,Parâmetros!$A$13:$A$19,0))</f>
        <v>5482</v>
      </c>
      <c r="J1485" s="26" t="n">
        <f aca="false">IF(H1485="","",Parâmetros!$B$5-H1485)</f>
        <v>355</v>
      </c>
      <c r="K1485" s="10" t="n">
        <f aca="false">INDEX(Parâmetros!$D$13:$D$19,MATCH(E1485,Parâmetros!$A$13:$A$19,0))</f>
        <v>45</v>
      </c>
      <c r="L1485" s="10" t="n">
        <f aca="false">IF(G1485="Prospecting",Parâmetros!$B$9,IF(J1485&gt;Parâmetros!$B$6,0,INDEX(Parâmetros!$C$24:$C$26,MATCH(J1485,Parâmetros!$A$24:$A$26,1))))</f>
        <v>0</v>
      </c>
      <c r="M1485" s="31" t="n">
        <f aca="false">IF(G1485="Prospecting",1,INDEX(Parâmetros!$C$32:$C$35,MATCH(J1485,Parâmetros!$A$32:$A$35,1)))</f>
        <v>0.25</v>
      </c>
      <c r="N1485" s="2" t="n">
        <f aca="false">ROUND((K1485+L1485)*M1485,0)</f>
        <v>11</v>
      </c>
      <c r="O1485" s="10" t="str">
        <f aca="false">IF(AND(G1485="Engaging",J1485&gt;Parâmetros!$B$6),"Sim","Não")</f>
        <v>Sim</v>
      </c>
      <c r="P1485" s="32" t="str">
        <f aca="false">IF(O1485="Sim","R",IF(N1485&gt;=Parâmetros!$B$39,"A",IF(N1485&gt;=Parâmetros!$B$40,"B",IF(N1485&gt;=Parâmetros!$B$41,"C","D"))))</f>
        <v>R</v>
      </c>
      <c r="Q1485" s="10" t="str">
        <f aca="false">IF(F1485="","Completar cadastro","")</f>
        <v>Completar cadastro</v>
      </c>
      <c r="R1485" s="10" t="str">
        <f aca="false">INDEX(Parâmetros!$D$39:$D$43,MATCH(P1485,Parâmetros!$A$39:$A$43,0))</f>
        <v>Reciclar: requalificar, reengajar ou encerrar</v>
      </c>
    </row>
    <row r="1486" customFormat="false" ht="15" hidden="false" customHeight="false" outlineLevel="0" collapsed="false">
      <c r="A1486" s="10" t="s">
        <v>1732</v>
      </c>
      <c r="B1486" s="10" t="s">
        <v>57</v>
      </c>
      <c r="C1486" s="10" t="s">
        <v>58</v>
      </c>
      <c r="D1486" s="10" t="s">
        <v>165</v>
      </c>
      <c r="E1486" s="10" t="s">
        <v>48</v>
      </c>
      <c r="F1486" s="10" t="s">
        <v>384</v>
      </c>
      <c r="G1486" s="10" t="s">
        <v>162</v>
      </c>
      <c r="H1486" s="30" t="n">
        <v>42746</v>
      </c>
      <c r="I1486" s="8" t="n">
        <f aca="false">INDEX(Parâmetros!$C$13:$C$19,MATCH(E1486,Parâmetros!$A$13:$A$19,0))</f>
        <v>4821</v>
      </c>
      <c r="J1486" s="26" t="n">
        <f aca="false">IF(H1486="","",Parâmetros!$B$5-H1486)</f>
        <v>354</v>
      </c>
      <c r="K1486" s="10" t="n">
        <f aca="false">INDEX(Parâmetros!$D$13:$D$19,MATCH(E1486,Parâmetros!$A$13:$A$19,0))</f>
        <v>43</v>
      </c>
      <c r="L1486" s="10" t="n">
        <f aca="false">IF(G1486="Prospecting",Parâmetros!$B$9,IF(J1486&gt;Parâmetros!$B$6,0,INDEX(Parâmetros!$C$24:$C$26,MATCH(J1486,Parâmetros!$A$24:$A$26,1))))</f>
        <v>0</v>
      </c>
      <c r="M1486" s="31" t="n">
        <f aca="false">IF(G1486="Prospecting",1,INDEX(Parâmetros!$C$32:$C$35,MATCH(J1486,Parâmetros!$A$32:$A$35,1)))</f>
        <v>0.25</v>
      </c>
      <c r="N1486" s="2" t="n">
        <f aca="false">ROUND((K1486+L1486)*M1486,0)</f>
        <v>11</v>
      </c>
      <c r="O1486" s="10" t="str">
        <f aca="false">IF(AND(G1486="Engaging",J1486&gt;Parâmetros!$B$6),"Sim","Não")</f>
        <v>Sim</v>
      </c>
      <c r="P1486" s="32" t="str">
        <f aca="false">IF(O1486="Sim","R",IF(N1486&gt;=Parâmetros!$B$39,"A",IF(N1486&gt;=Parâmetros!$B$40,"B",IF(N1486&gt;=Parâmetros!$B$41,"C","D"))))</f>
        <v>R</v>
      </c>
      <c r="Q1486" s="10" t="str">
        <f aca="false">IF(F1486="","Completar cadastro","")</f>
        <v/>
      </c>
      <c r="R1486" s="10" t="str">
        <f aca="false">INDEX(Parâmetros!$D$39:$D$43,MATCH(P1486,Parâmetros!$A$39:$A$43,0))</f>
        <v>Reciclar: requalificar, reengajar ou encerrar</v>
      </c>
    </row>
    <row r="1487" customFormat="false" ht="15" hidden="false" customHeight="false" outlineLevel="0" collapsed="false">
      <c r="A1487" s="10" t="s">
        <v>1733</v>
      </c>
      <c r="B1487" s="10" t="s">
        <v>57</v>
      </c>
      <c r="C1487" s="10" t="s">
        <v>58</v>
      </c>
      <c r="D1487" s="10" t="s">
        <v>165</v>
      </c>
      <c r="E1487" s="10" t="s">
        <v>48</v>
      </c>
      <c r="F1487" s="10"/>
      <c r="G1487" s="10" t="s">
        <v>162</v>
      </c>
      <c r="H1487" s="30" t="n">
        <v>42746</v>
      </c>
      <c r="I1487" s="8" t="n">
        <f aca="false">INDEX(Parâmetros!$C$13:$C$19,MATCH(E1487,Parâmetros!$A$13:$A$19,0))</f>
        <v>4821</v>
      </c>
      <c r="J1487" s="26" t="n">
        <f aca="false">IF(H1487="","",Parâmetros!$B$5-H1487)</f>
        <v>354</v>
      </c>
      <c r="K1487" s="10" t="n">
        <f aca="false">INDEX(Parâmetros!$D$13:$D$19,MATCH(E1487,Parâmetros!$A$13:$A$19,0))</f>
        <v>43</v>
      </c>
      <c r="L1487" s="10" t="n">
        <f aca="false">IF(G1487="Prospecting",Parâmetros!$B$9,IF(J1487&gt;Parâmetros!$B$6,0,INDEX(Parâmetros!$C$24:$C$26,MATCH(J1487,Parâmetros!$A$24:$A$26,1))))</f>
        <v>0</v>
      </c>
      <c r="M1487" s="31" t="n">
        <f aca="false">IF(G1487="Prospecting",1,INDEX(Parâmetros!$C$32:$C$35,MATCH(J1487,Parâmetros!$A$32:$A$35,1)))</f>
        <v>0.25</v>
      </c>
      <c r="N1487" s="2" t="n">
        <f aca="false">ROUND((K1487+L1487)*M1487,0)</f>
        <v>11</v>
      </c>
      <c r="O1487" s="10" t="str">
        <f aca="false">IF(AND(G1487="Engaging",J1487&gt;Parâmetros!$B$6),"Sim","Não")</f>
        <v>Sim</v>
      </c>
      <c r="P1487" s="32" t="str">
        <f aca="false">IF(O1487="Sim","R",IF(N1487&gt;=Parâmetros!$B$39,"A",IF(N1487&gt;=Parâmetros!$B$40,"B",IF(N1487&gt;=Parâmetros!$B$41,"C","D"))))</f>
        <v>R</v>
      </c>
      <c r="Q1487" s="10" t="str">
        <f aca="false">IF(F1487="","Completar cadastro","")</f>
        <v>Completar cadastro</v>
      </c>
      <c r="R1487" s="10" t="str">
        <f aca="false">INDEX(Parâmetros!$D$39:$D$43,MATCH(P1487,Parâmetros!$A$39:$A$43,0))</f>
        <v>Reciclar: requalificar, reengajar ou encerrar</v>
      </c>
    </row>
    <row r="1488" customFormat="false" ht="15" hidden="false" customHeight="false" outlineLevel="0" collapsed="false">
      <c r="A1488" s="10" t="s">
        <v>1734</v>
      </c>
      <c r="B1488" s="10" t="s">
        <v>93</v>
      </c>
      <c r="C1488" s="10" t="s">
        <v>92</v>
      </c>
      <c r="D1488" s="10" t="s">
        <v>160</v>
      </c>
      <c r="E1488" s="10" t="s">
        <v>48</v>
      </c>
      <c r="F1488" s="10" t="s">
        <v>247</v>
      </c>
      <c r="G1488" s="10" t="s">
        <v>162</v>
      </c>
      <c r="H1488" s="30" t="n">
        <v>42748</v>
      </c>
      <c r="I1488" s="8" t="n">
        <f aca="false">INDEX(Parâmetros!$C$13:$C$19,MATCH(E1488,Parâmetros!$A$13:$A$19,0))</f>
        <v>4821</v>
      </c>
      <c r="J1488" s="26" t="n">
        <f aca="false">IF(H1488="","",Parâmetros!$B$5-H1488)</f>
        <v>352</v>
      </c>
      <c r="K1488" s="10" t="n">
        <f aca="false">INDEX(Parâmetros!$D$13:$D$19,MATCH(E1488,Parâmetros!$A$13:$A$19,0))</f>
        <v>43</v>
      </c>
      <c r="L1488" s="10" t="n">
        <f aca="false">IF(G1488="Prospecting",Parâmetros!$B$9,IF(J1488&gt;Parâmetros!$B$6,0,INDEX(Parâmetros!$C$24:$C$26,MATCH(J1488,Parâmetros!$A$24:$A$26,1))))</f>
        <v>0</v>
      </c>
      <c r="M1488" s="31" t="n">
        <f aca="false">IF(G1488="Prospecting",1,INDEX(Parâmetros!$C$32:$C$35,MATCH(J1488,Parâmetros!$A$32:$A$35,1)))</f>
        <v>0.25</v>
      </c>
      <c r="N1488" s="2" t="n">
        <f aca="false">ROUND((K1488+L1488)*M1488,0)</f>
        <v>11</v>
      </c>
      <c r="O1488" s="10" t="str">
        <f aca="false">IF(AND(G1488="Engaging",J1488&gt;Parâmetros!$B$6),"Sim","Não")</f>
        <v>Sim</v>
      </c>
      <c r="P1488" s="32" t="str">
        <f aca="false">IF(O1488="Sim","R",IF(N1488&gt;=Parâmetros!$B$39,"A",IF(N1488&gt;=Parâmetros!$B$40,"B",IF(N1488&gt;=Parâmetros!$B$41,"C","D"))))</f>
        <v>R</v>
      </c>
      <c r="Q1488" s="10" t="str">
        <f aca="false">IF(F1488="","Completar cadastro","")</f>
        <v/>
      </c>
      <c r="R1488" s="10" t="str">
        <f aca="false">INDEX(Parâmetros!$D$39:$D$43,MATCH(P1488,Parâmetros!$A$39:$A$43,0))</f>
        <v>Reciclar: requalificar, reengajar ou encerrar</v>
      </c>
    </row>
    <row r="1489" customFormat="false" ht="15" hidden="false" customHeight="false" outlineLevel="0" collapsed="false">
      <c r="A1489" s="10" t="s">
        <v>1735</v>
      </c>
      <c r="B1489" s="10" t="s">
        <v>57</v>
      </c>
      <c r="C1489" s="10" t="s">
        <v>58</v>
      </c>
      <c r="D1489" s="10" t="s">
        <v>165</v>
      </c>
      <c r="E1489" s="10" t="s">
        <v>47</v>
      </c>
      <c r="F1489" s="10" t="s">
        <v>303</v>
      </c>
      <c r="G1489" s="10" t="s">
        <v>162</v>
      </c>
      <c r="H1489" s="30" t="n">
        <v>42750</v>
      </c>
      <c r="I1489" s="8" t="n">
        <f aca="false">INDEX(Parâmetros!$C$13:$C$19,MATCH(E1489,Parâmetros!$A$13:$A$19,0))</f>
        <v>5482</v>
      </c>
      <c r="J1489" s="26" t="n">
        <f aca="false">IF(H1489="","",Parâmetros!$B$5-H1489)</f>
        <v>350</v>
      </c>
      <c r="K1489" s="10" t="n">
        <f aca="false">INDEX(Parâmetros!$D$13:$D$19,MATCH(E1489,Parâmetros!$A$13:$A$19,0))</f>
        <v>45</v>
      </c>
      <c r="L1489" s="10" t="n">
        <f aca="false">IF(G1489="Prospecting",Parâmetros!$B$9,IF(J1489&gt;Parâmetros!$B$6,0,INDEX(Parâmetros!$C$24:$C$26,MATCH(J1489,Parâmetros!$A$24:$A$26,1))))</f>
        <v>0</v>
      </c>
      <c r="M1489" s="31" t="n">
        <f aca="false">IF(G1489="Prospecting",1,INDEX(Parâmetros!$C$32:$C$35,MATCH(J1489,Parâmetros!$A$32:$A$35,1)))</f>
        <v>0.25</v>
      </c>
      <c r="N1489" s="2" t="n">
        <f aca="false">ROUND((K1489+L1489)*M1489,0)</f>
        <v>11</v>
      </c>
      <c r="O1489" s="10" t="str">
        <f aca="false">IF(AND(G1489="Engaging",J1489&gt;Parâmetros!$B$6),"Sim","Não")</f>
        <v>Sim</v>
      </c>
      <c r="P1489" s="32" t="str">
        <f aca="false">IF(O1489="Sim","R",IF(N1489&gt;=Parâmetros!$B$39,"A",IF(N1489&gt;=Parâmetros!$B$40,"B",IF(N1489&gt;=Parâmetros!$B$41,"C","D"))))</f>
        <v>R</v>
      </c>
      <c r="Q1489" s="10" t="str">
        <f aca="false">IF(F1489="","Completar cadastro","")</f>
        <v/>
      </c>
      <c r="R1489" s="10" t="str">
        <f aca="false">INDEX(Parâmetros!$D$39:$D$43,MATCH(P1489,Parâmetros!$A$39:$A$43,0))</f>
        <v>Reciclar: requalificar, reengajar ou encerrar</v>
      </c>
    </row>
    <row r="1490" customFormat="false" ht="15" hidden="false" customHeight="false" outlineLevel="0" collapsed="false">
      <c r="A1490" s="10" t="s">
        <v>1736</v>
      </c>
      <c r="B1490" s="10" t="s">
        <v>57</v>
      </c>
      <c r="C1490" s="10" t="s">
        <v>58</v>
      </c>
      <c r="D1490" s="10" t="s">
        <v>165</v>
      </c>
      <c r="E1490" s="10" t="s">
        <v>48</v>
      </c>
      <c r="F1490" s="10" t="s">
        <v>291</v>
      </c>
      <c r="G1490" s="10" t="s">
        <v>162</v>
      </c>
      <c r="H1490" s="30" t="n">
        <v>42750</v>
      </c>
      <c r="I1490" s="8" t="n">
        <f aca="false">INDEX(Parâmetros!$C$13:$C$19,MATCH(E1490,Parâmetros!$A$13:$A$19,0))</f>
        <v>4821</v>
      </c>
      <c r="J1490" s="26" t="n">
        <f aca="false">IF(H1490="","",Parâmetros!$B$5-H1490)</f>
        <v>350</v>
      </c>
      <c r="K1490" s="10" t="n">
        <f aca="false">INDEX(Parâmetros!$D$13:$D$19,MATCH(E1490,Parâmetros!$A$13:$A$19,0))</f>
        <v>43</v>
      </c>
      <c r="L1490" s="10" t="n">
        <f aca="false">IF(G1490="Prospecting",Parâmetros!$B$9,IF(J1490&gt;Parâmetros!$B$6,0,INDEX(Parâmetros!$C$24:$C$26,MATCH(J1490,Parâmetros!$A$24:$A$26,1))))</f>
        <v>0</v>
      </c>
      <c r="M1490" s="31" t="n">
        <f aca="false">IF(G1490="Prospecting",1,INDEX(Parâmetros!$C$32:$C$35,MATCH(J1490,Parâmetros!$A$32:$A$35,1)))</f>
        <v>0.25</v>
      </c>
      <c r="N1490" s="2" t="n">
        <f aca="false">ROUND((K1490+L1490)*M1490,0)</f>
        <v>11</v>
      </c>
      <c r="O1490" s="10" t="str">
        <f aca="false">IF(AND(G1490="Engaging",J1490&gt;Parâmetros!$B$6),"Sim","Não")</f>
        <v>Sim</v>
      </c>
      <c r="P1490" s="32" t="str">
        <f aca="false">IF(O1490="Sim","R",IF(N1490&gt;=Parâmetros!$B$39,"A",IF(N1490&gt;=Parâmetros!$B$40,"B",IF(N1490&gt;=Parâmetros!$B$41,"C","D"))))</f>
        <v>R</v>
      </c>
      <c r="Q1490" s="10" t="str">
        <f aca="false">IF(F1490="","Completar cadastro","")</f>
        <v/>
      </c>
      <c r="R1490" s="10" t="str">
        <f aca="false">INDEX(Parâmetros!$D$39:$D$43,MATCH(P1490,Parâmetros!$A$39:$A$43,0))</f>
        <v>Reciclar: requalificar, reengajar ou encerrar</v>
      </c>
    </row>
    <row r="1491" customFormat="false" ht="15" hidden="false" customHeight="false" outlineLevel="0" collapsed="false">
      <c r="A1491" s="10" t="s">
        <v>1737</v>
      </c>
      <c r="B1491" s="10" t="s">
        <v>94</v>
      </c>
      <c r="C1491" s="10" t="s">
        <v>92</v>
      </c>
      <c r="D1491" s="10" t="s">
        <v>160</v>
      </c>
      <c r="E1491" s="10" t="s">
        <v>47</v>
      </c>
      <c r="F1491" s="10" t="s">
        <v>405</v>
      </c>
      <c r="G1491" s="10" t="s">
        <v>162</v>
      </c>
      <c r="H1491" s="30" t="n">
        <v>42751</v>
      </c>
      <c r="I1491" s="8" t="n">
        <f aca="false">INDEX(Parâmetros!$C$13:$C$19,MATCH(E1491,Parâmetros!$A$13:$A$19,0))</f>
        <v>5482</v>
      </c>
      <c r="J1491" s="26" t="n">
        <f aca="false">IF(H1491="","",Parâmetros!$B$5-H1491)</f>
        <v>349</v>
      </c>
      <c r="K1491" s="10" t="n">
        <f aca="false">INDEX(Parâmetros!$D$13:$D$19,MATCH(E1491,Parâmetros!$A$13:$A$19,0))</f>
        <v>45</v>
      </c>
      <c r="L1491" s="10" t="n">
        <f aca="false">IF(G1491="Prospecting",Parâmetros!$B$9,IF(J1491&gt;Parâmetros!$B$6,0,INDEX(Parâmetros!$C$24:$C$26,MATCH(J1491,Parâmetros!$A$24:$A$26,1))))</f>
        <v>0</v>
      </c>
      <c r="M1491" s="31" t="n">
        <f aca="false">IF(G1491="Prospecting",1,INDEX(Parâmetros!$C$32:$C$35,MATCH(J1491,Parâmetros!$A$32:$A$35,1)))</f>
        <v>0.25</v>
      </c>
      <c r="N1491" s="2" t="n">
        <f aca="false">ROUND((K1491+L1491)*M1491,0)</f>
        <v>11</v>
      </c>
      <c r="O1491" s="10" t="str">
        <f aca="false">IF(AND(G1491="Engaging",J1491&gt;Parâmetros!$B$6),"Sim","Não")</f>
        <v>Sim</v>
      </c>
      <c r="P1491" s="32" t="str">
        <f aca="false">IF(O1491="Sim","R",IF(N1491&gt;=Parâmetros!$B$39,"A",IF(N1491&gt;=Parâmetros!$B$40,"B",IF(N1491&gt;=Parâmetros!$B$41,"C","D"))))</f>
        <v>R</v>
      </c>
      <c r="Q1491" s="10" t="str">
        <f aca="false">IF(F1491="","Completar cadastro","")</f>
        <v/>
      </c>
      <c r="R1491" s="10" t="str">
        <f aca="false">INDEX(Parâmetros!$D$39:$D$43,MATCH(P1491,Parâmetros!$A$39:$A$43,0))</f>
        <v>Reciclar: requalificar, reengajar ou encerrar</v>
      </c>
    </row>
    <row r="1492" customFormat="false" ht="15" hidden="false" customHeight="false" outlineLevel="0" collapsed="false">
      <c r="A1492" s="10" t="s">
        <v>1738</v>
      </c>
      <c r="B1492" s="10" t="s">
        <v>87</v>
      </c>
      <c r="C1492" s="10" t="s">
        <v>85</v>
      </c>
      <c r="D1492" s="10" t="s">
        <v>165</v>
      </c>
      <c r="E1492" s="10" t="s">
        <v>47</v>
      </c>
      <c r="F1492" s="10"/>
      <c r="G1492" s="10" t="s">
        <v>162</v>
      </c>
      <c r="H1492" s="30" t="n">
        <v>42753</v>
      </c>
      <c r="I1492" s="8" t="n">
        <f aca="false">INDEX(Parâmetros!$C$13:$C$19,MATCH(E1492,Parâmetros!$A$13:$A$19,0))</f>
        <v>5482</v>
      </c>
      <c r="J1492" s="26" t="n">
        <f aca="false">IF(H1492="","",Parâmetros!$B$5-H1492)</f>
        <v>347</v>
      </c>
      <c r="K1492" s="10" t="n">
        <f aca="false">INDEX(Parâmetros!$D$13:$D$19,MATCH(E1492,Parâmetros!$A$13:$A$19,0))</f>
        <v>45</v>
      </c>
      <c r="L1492" s="10" t="n">
        <f aca="false">IF(G1492="Prospecting",Parâmetros!$B$9,IF(J1492&gt;Parâmetros!$B$6,0,INDEX(Parâmetros!$C$24:$C$26,MATCH(J1492,Parâmetros!$A$24:$A$26,1))))</f>
        <v>0</v>
      </c>
      <c r="M1492" s="31" t="n">
        <f aca="false">IF(G1492="Prospecting",1,INDEX(Parâmetros!$C$32:$C$35,MATCH(J1492,Parâmetros!$A$32:$A$35,1)))</f>
        <v>0.25</v>
      </c>
      <c r="N1492" s="2" t="n">
        <f aca="false">ROUND((K1492+L1492)*M1492,0)</f>
        <v>11</v>
      </c>
      <c r="O1492" s="10" t="str">
        <f aca="false">IF(AND(G1492="Engaging",J1492&gt;Parâmetros!$B$6),"Sim","Não")</f>
        <v>Sim</v>
      </c>
      <c r="P1492" s="32" t="str">
        <f aca="false">IF(O1492="Sim","R",IF(N1492&gt;=Parâmetros!$B$39,"A",IF(N1492&gt;=Parâmetros!$B$40,"B",IF(N1492&gt;=Parâmetros!$B$41,"C","D"))))</f>
        <v>R</v>
      </c>
      <c r="Q1492" s="10" t="str">
        <f aca="false">IF(F1492="","Completar cadastro","")</f>
        <v>Completar cadastro</v>
      </c>
      <c r="R1492" s="10" t="str">
        <f aca="false">INDEX(Parâmetros!$D$39:$D$43,MATCH(P1492,Parâmetros!$A$39:$A$43,0))</f>
        <v>Reciclar: requalificar, reengajar ou encerrar</v>
      </c>
    </row>
    <row r="1493" customFormat="false" ht="15" hidden="false" customHeight="false" outlineLevel="0" collapsed="false">
      <c r="A1493" s="10" t="s">
        <v>1739</v>
      </c>
      <c r="B1493" s="10" t="s">
        <v>95</v>
      </c>
      <c r="C1493" s="10" t="s">
        <v>92</v>
      </c>
      <c r="D1493" s="10" t="s">
        <v>160</v>
      </c>
      <c r="E1493" s="10" t="s">
        <v>48</v>
      </c>
      <c r="F1493" s="10"/>
      <c r="G1493" s="10" t="s">
        <v>162</v>
      </c>
      <c r="H1493" s="30" t="n">
        <v>42753</v>
      </c>
      <c r="I1493" s="8" t="n">
        <f aca="false">INDEX(Parâmetros!$C$13:$C$19,MATCH(E1493,Parâmetros!$A$13:$A$19,0))</f>
        <v>4821</v>
      </c>
      <c r="J1493" s="26" t="n">
        <f aca="false">IF(H1493="","",Parâmetros!$B$5-H1493)</f>
        <v>347</v>
      </c>
      <c r="K1493" s="10" t="n">
        <f aca="false">INDEX(Parâmetros!$D$13:$D$19,MATCH(E1493,Parâmetros!$A$13:$A$19,0))</f>
        <v>43</v>
      </c>
      <c r="L1493" s="10" t="n">
        <f aca="false">IF(G1493="Prospecting",Parâmetros!$B$9,IF(J1493&gt;Parâmetros!$B$6,0,INDEX(Parâmetros!$C$24:$C$26,MATCH(J1493,Parâmetros!$A$24:$A$26,1))))</f>
        <v>0</v>
      </c>
      <c r="M1493" s="31" t="n">
        <f aca="false">IF(G1493="Prospecting",1,INDEX(Parâmetros!$C$32:$C$35,MATCH(J1493,Parâmetros!$A$32:$A$35,1)))</f>
        <v>0.25</v>
      </c>
      <c r="N1493" s="2" t="n">
        <f aca="false">ROUND((K1493+L1493)*M1493,0)</f>
        <v>11</v>
      </c>
      <c r="O1493" s="10" t="str">
        <f aca="false">IF(AND(G1493="Engaging",J1493&gt;Parâmetros!$B$6),"Sim","Não")</f>
        <v>Sim</v>
      </c>
      <c r="P1493" s="32" t="str">
        <f aca="false">IF(O1493="Sim","R",IF(N1493&gt;=Parâmetros!$B$39,"A",IF(N1493&gt;=Parâmetros!$B$40,"B",IF(N1493&gt;=Parâmetros!$B$41,"C","D"))))</f>
        <v>R</v>
      </c>
      <c r="Q1493" s="10" t="str">
        <f aca="false">IF(F1493="","Completar cadastro","")</f>
        <v>Completar cadastro</v>
      </c>
      <c r="R1493" s="10" t="str">
        <f aca="false">INDEX(Parâmetros!$D$39:$D$43,MATCH(P1493,Parâmetros!$A$39:$A$43,0))</f>
        <v>Reciclar: requalificar, reengajar ou encerrar</v>
      </c>
    </row>
    <row r="1494" customFormat="false" ht="15" hidden="false" customHeight="false" outlineLevel="0" collapsed="false">
      <c r="A1494" s="10" t="s">
        <v>1740</v>
      </c>
      <c r="B1494" s="10" t="s">
        <v>57</v>
      </c>
      <c r="C1494" s="10" t="s">
        <v>58</v>
      </c>
      <c r="D1494" s="10" t="s">
        <v>165</v>
      </c>
      <c r="E1494" s="10" t="s">
        <v>48</v>
      </c>
      <c r="F1494" s="10" t="s">
        <v>762</v>
      </c>
      <c r="G1494" s="10" t="s">
        <v>162</v>
      </c>
      <c r="H1494" s="30" t="n">
        <v>42756</v>
      </c>
      <c r="I1494" s="8" t="n">
        <f aca="false">INDEX(Parâmetros!$C$13:$C$19,MATCH(E1494,Parâmetros!$A$13:$A$19,0))</f>
        <v>4821</v>
      </c>
      <c r="J1494" s="26" t="n">
        <f aca="false">IF(H1494="","",Parâmetros!$B$5-H1494)</f>
        <v>344</v>
      </c>
      <c r="K1494" s="10" t="n">
        <f aca="false">INDEX(Parâmetros!$D$13:$D$19,MATCH(E1494,Parâmetros!$A$13:$A$19,0))</f>
        <v>43</v>
      </c>
      <c r="L1494" s="10" t="n">
        <f aca="false">IF(G1494="Prospecting",Parâmetros!$B$9,IF(J1494&gt;Parâmetros!$B$6,0,INDEX(Parâmetros!$C$24:$C$26,MATCH(J1494,Parâmetros!$A$24:$A$26,1))))</f>
        <v>0</v>
      </c>
      <c r="M1494" s="31" t="n">
        <f aca="false">IF(G1494="Prospecting",1,INDEX(Parâmetros!$C$32:$C$35,MATCH(J1494,Parâmetros!$A$32:$A$35,1)))</f>
        <v>0.25</v>
      </c>
      <c r="N1494" s="2" t="n">
        <f aca="false">ROUND((K1494+L1494)*M1494,0)</f>
        <v>11</v>
      </c>
      <c r="O1494" s="10" t="str">
        <f aca="false">IF(AND(G1494="Engaging",J1494&gt;Parâmetros!$B$6),"Sim","Não")</f>
        <v>Sim</v>
      </c>
      <c r="P1494" s="32" t="str">
        <f aca="false">IF(O1494="Sim","R",IF(N1494&gt;=Parâmetros!$B$39,"A",IF(N1494&gt;=Parâmetros!$B$40,"B",IF(N1494&gt;=Parâmetros!$B$41,"C","D"))))</f>
        <v>R</v>
      </c>
      <c r="Q1494" s="10" t="str">
        <f aca="false">IF(F1494="","Completar cadastro","")</f>
        <v/>
      </c>
      <c r="R1494" s="10" t="str">
        <f aca="false">INDEX(Parâmetros!$D$39:$D$43,MATCH(P1494,Parâmetros!$A$39:$A$43,0))</f>
        <v>Reciclar: requalificar, reengajar ou encerrar</v>
      </c>
    </row>
    <row r="1495" customFormat="false" ht="15" hidden="false" customHeight="false" outlineLevel="0" collapsed="false">
      <c r="A1495" s="10" t="s">
        <v>1741</v>
      </c>
      <c r="B1495" s="10" t="s">
        <v>93</v>
      </c>
      <c r="C1495" s="10" t="s">
        <v>92</v>
      </c>
      <c r="D1495" s="10" t="s">
        <v>160</v>
      </c>
      <c r="E1495" s="10" t="s">
        <v>48</v>
      </c>
      <c r="F1495" s="10" t="s">
        <v>506</v>
      </c>
      <c r="G1495" s="10" t="s">
        <v>162</v>
      </c>
      <c r="H1495" s="30" t="n">
        <v>42763</v>
      </c>
      <c r="I1495" s="8" t="n">
        <f aca="false">INDEX(Parâmetros!$C$13:$C$19,MATCH(E1495,Parâmetros!$A$13:$A$19,0))</f>
        <v>4821</v>
      </c>
      <c r="J1495" s="26" t="n">
        <f aca="false">IF(H1495="","",Parâmetros!$B$5-H1495)</f>
        <v>337</v>
      </c>
      <c r="K1495" s="10" t="n">
        <f aca="false">INDEX(Parâmetros!$D$13:$D$19,MATCH(E1495,Parâmetros!$A$13:$A$19,0))</f>
        <v>43</v>
      </c>
      <c r="L1495" s="10" t="n">
        <f aca="false">IF(G1495="Prospecting",Parâmetros!$B$9,IF(J1495&gt;Parâmetros!$B$6,0,INDEX(Parâmetros!$C$24:$C$26,MATCH(J1495,Parâmetros!$A$24:$A$26,1))))</f>
        <v>0</v>
      </c>
      <c r="M1495" s="31" t="n">
        <f aca="false">IF(G1495="Prospecting",1,INDEX(Parâmetros!$C$32:$C$35,MATCH(J1495,Parâmetros!$A$32:$A$35,1)))</f>
        <v>0.25</v>
      </c>
      <c r="N1495" s="2" t="n">
        <f aca="false">ROUND((K1495+L1495)*M1495,0)</f>
        <v>11</v>
      </c>
      <c r="O1495" s="10" t="str">
        <f aca="false">IF(AND(G1495="Engaging",J1495&gt;Parâmetros!$B$6),"Sim","Não")</f>
        <v>Sim</v>
      </c>
      <c r="P1495" s="32" t="str">
        <f aca="false">IF(O1495="Sim","R",IF(N1495&gt;=Parâmetros!$B$39,"A",IF(N1495&gt;=Parâmetros!$B$40,"B",IF(N1495&gt;=Parâmetros!$B$41,"C","D"))))</f>
        <v>R</v>
      </c>
      <c r="Q1495" s="10" t="str">
        <f aca="false">IF(F1495="","Completar cadastro","")</f>
        <v/>
      </c>
      <c r="R1495" s="10" t="str">
        <f aca="false">INDEX(Parâmetros!$D$39:$D$43,MATCH(P1495,Parâmetros!$A$39:$A$43,0))</f>
        <v>Reciclar: requalificar, reengajar ou encerrar</v>
      </c>
    </row>
    <row r="1496" customFormat="false" ht="15" hidden="false" customHeight="false" outlineLevel="0" collapsed="false">
      <c r="A1496" s="10" t="s">
        <v>1742</v>
      </c>
      <c r="B1496" s="10" t="s">
        <v>96</v>
      </c>
      <c r="C1496" s="10" t="s">
        <v>92</v>
      </c>
      <c r="D1496" s="10" t="s">
        <v>160</v>
      </c>
      <c r="E1496" s="10" t="s">
        <v>48</v>
      </c>
      <c r="F1496" s="10"/>
      <c r="G1496" s="10" t="s">
        <v>162</v>
      </c>
      <c r="H1496" s="30" t="n">
        <v>42763</v>
      </c>
      <c r="I1496" s="8" t="n">
        <f aca="false">INDEX(Parâmetros!$C$13:$C$19,MATCH(E1496,Parâmetros!$A$13:$A$19,0))</f>
        <v>4821</v>
      </c>
      <c r="J1496" s="26" t="n">
        <f aca="false">IF(H1496="","",Parâmetros!$B$5-H1496)</f>
        <v>337</v>
      </c>
      <c r="K1496" s="10" t="n">
        <f aca="false">INDEX(Parâmetros!$D$13:$D$19,MATCH(E1496,Parâmetros!$A$13:$A$19,0))</f>
        <v>43</v>
      </c>
      <c r="L1496" s="10" t="n">
        <f aca="false">IF(G1496="Prospecting",Parâmetros!$B$9,IF(J1496&gt;Parâmetros!$B$6,0,INDEX(Parâmetros!$C$24:$C$26,MATCH(J1496,Parâmetros!$A$24:$A$26,1))))</f>
        <v>0</v>
      </c>
      <c r="M1496" s="31" t="n">
        <f aca="false">IF(G1496="Prospecting",1,INDEX(Parâmetros!$C$32:$C$35,MATCH(J1496,Parâmetros!$A$32:$A$35,1)))</f>
        <v>0.25</v>
      </c>
      <c r="N1496" s="2" t="n">
        <f aca="false">ROUND((K1496+L1496)*M1496,0)</f>
        <v>11</v>
      </c>
      <c r="O1496" s="10" t="str">
        <f aca="false">IF(AND(G1496="Engaging",J1496&gt;Parâmetros!$B$6),"Sim","Não")</f>
        <v>Sim</v>
      </c>
      <c r="P1496" s="32" t="str">
        <f aca="false">IF(O1496="Sim","R",IF(N1496&gt;=Parâmetros!$B$39,"A",IF(N1496&gt;=Parâmetros!$B$40,"B",IF(N1496&gt;=Parâmetros!$B$41,"C","D"))))</f>
        <v>R</v>
      </c>
      <c r="Q1496" s="10" t="str">
        <f aca="false">IF(F1496="","Completar cadastro","")</f>
        <v>Completar cadastro</v>
      </c>
      <c r="R1496" s="10" t="str">
        <f aca="false">INDEX(Parâmetros!$D$39:$D$43,MATCH(P1496,Parâmetros!$A$39:$A$43,0))</f>
        <v>Reciclar: requalificar, reengajar ou encerrar</v>
      </c>
    </row>
    <row r="1497" customFormat="false" ht="15" hidden="false" customHeight="false" outlineLevel="0" collapsed="false">
      <c r="A1497" s="10" t="s">
        <v>1743</v>
      </c>
      <c r="B1497" s="10" t="s">
        <v>97</v>
      </c>
      <c r="C1497" s="10" t="s">
        <v>92</v>
      </c>
      <c r="D1497" s="10" t="s">
        <v>160</v>
      </c>
      <c r="E1497" s="10" t="s">
        <v>48</v>
      </c>
      <c r="F1497" s="10"/>
      <c r="G1497" s="10" t="s">
        <v>162</v>
      </c>
      <c r="H1497" s="30" t="n">
        <v>42764</v>
      </c>
      <c r="I1497" s="8" t="n">
        <f aca="false">INDEX(Parâmetros!$C$13:$C$19,MATCH(E1497,Parâmetros!$A$13:$A$19,0))</f>
        <v>4821</v>
      </c>
      <c r="J1497" s="26" t="n">
        <f aca="false">IF(H1497="","",Parâmetros!$B$5-H1497)</f>
        <v>336</v>
      </c>
      <c r="K1497" s="10" t="n">
        <f aca="false">INDEX(Parâmetros!$D$13:$D$19,MATCH(E1497,Parâmetros!$A$13:$A$19,0))</f>
        <v>43</v>
      </c>
      <c r="L1497" s="10" t="n">
        <f aca="false">IF(G1497="Prospecting",Parâmetros!$B$9,IF(J1497&gt;Parâmetros!$B$6,0,INDEX(Parâmetros!$C$24:$C$26,MATCH(J1497,Parâmetros!$A$24:$A$26,1))))</f>
        <v>0</v>
      </c>
      <c r="M1497" s="31" t="n">
        <f aca="false">IF(G1497="Prospecting",1,INDEX(Parâmetros!$C$32:$C$35,MATCH(J1497,Parâmetros!$A$32:$A$35,1)))</f>
        <v>0.25</v>
      </c>
      <c r="N1497" s="2" t="n">
        <f aca="false">ROUND((K1497+L1497)*M1497,0)</f>
        <v>11</v>
      </c>
      <c r="O1497" s="10" t="str">
        <f aca="false">IF(AND(G1497="Engaging",J1497&gt;Parâmetros!$B$6),"Sim","Não")</f>
        <v>Sim</v>
      </c>
      <c r="P1497" s="32" t="str">
        <f aca="false">IF(O1497="Sim","R",IF(N1497&gt;=Parâmetros!$B$39,"A",IF(N1497&gt;=Parâmetros!$B$40,"B",IF(N1497&gt;=Parâmetros!$B$41,"C","D"))))</f>
        <v>R</v>
      </c>
      <c r="Q1497" s="10" t="str">
        <f aca="false">IF(F1497="","Completar cadastro","")</f>
        <v>Completar cadastro</v>
      </c>
      <c r="R1497" s="10" t="str">
        <f aca="false">INDEX(Parâmetros!$D$39:$D$43,MATCH(P1497,Parâmetros!$A$39:$A$43,0))</f>
        <v>Reciclar: requalificar, reengajar ou encerrar</v>
      </c>
    </row>
    <row r="1498" customFormat="false" ht="15" hidden="false" customHeight="false" outlineLevel="0" collapsed="false">
      <c r="A1498" s="10" t="s">
        <v>1744</v>
      </c>
      <c r="B1498" s="10" t="s">
        <v>95</v>
      </c>
      <c r="C1498" s="10" t="s">
        <v>92</v>
      </c>
      <c r="D1498" s="10" t="s">
        <v>160</v>
      </c>
      <c r="E1498" s="10" t="s">
        <v>47</v>
      </c>
      <c r="F1498" s="10"/>
      <c r="G1498" s="10" t="s">
        <v>162</v>
      </c>
      <c r="H1498" s="30" t="n">
        <v>42770</v>
      </c>
      <c r="I1498" s="8" t="n">
        <f aca="false">INDEX(Parâmetros!$C$13:$C$19,MATCH(E1498,Parâmetros!$A$13:$A$19,0))</f>
        <v>5482</v>
      </c>
      <c r="J1498" s="26" t="n">
        <f aca="false">IF(H1498="","",Parâmetros!$B$5-H1498)</f>
        <v>330</v>
      </c>
      <c r="K1498" s="10" t="n">
        <f aca="false">INDEX(Parâmetros!$D$13:$D$19,MATCH(E1498,Parâmetros!$A$13:$A$19,0))</f>
        <v>45</v>
      </c>
      <c r="L1498" s="10" t="n">
        <f aca="false">IF(G1498="Prospecting",Parâmetros!$B$9,IF(J1498&gt;Parâmetros!$B$6,0,INDEX(Parâmetros!$C$24:$C$26,MATCH(J1498,Parâmetros!$A$24:$A$26,1))))</f>
        <v>0</v>
      </c>
      <c r="M1498" s="31" t="n">
        <f aca="false">IF(G1498="Prospecting",1,INDEX(Parâmetros!$C$32:$C$35,MATCH(J1498,Parâmetros!$A$32:$A$35,1)))</f>
        <v>0.25</v>
      </c>
      <c r="N1498" s="2" t="n">
        <f aca="false">ROUND((K1498+L1498)*M1498,0)</f>
        <v>11</v>
      </c>
      <c r="O1498" s="10" t="str">
        <f aca="false">IF(AND(G1498="Engaging",J1498&gt;Parâmetros!$B$6),"Sim","Não")</f>
        <v>Sim</v>
      </c>
      <c r="P1498" s="32" t="str">
        <f aca="false">IF(O1498="Sim","R",IF(N1498&gt;=Parâmetros!$B$39,"A",IF(N1498&gt;=Parâmetros!$B$40,"B",IF(N1498&gt;=Parâmetros!$B$41,"C","D"))))</f>
        <v>R</v>
      </c>
      <c r="Q1498" s="10" t="str">
        <f aca="false">IF(F1498="","Completar cadastro","")</f>
        <v>Completar cadastro</v>
      </c>
      <c r="R1498" s="10" t="str">
        <f aca="false">INDEX(Parâmetros!$D$39:$D$43,MATCH(P1498,Parâmetros!$A$39:$A$43,0))</f>
        <v>Reciclar: requalificar, reengajar ou encerrar</v>
      </c>
    </row>
    <row r="1499" customFormat="false" ht="15" hidden="false" customHeight="false" outlineLevel="0" collapsed="false">
      <c r="A1499" s="10" t="s">
        <v>1745</v>
      </c>
      <c r="B1499" s="10" t="s">
        <v>94</v>
      </c>
      <c r="C1499" s="10" t="s">
        <v>92</v>
      </c>
      <c r="D1499" s="10" t="s">
        <v>160</v>
      </c>
      <c r="E1499" s="10" t="s">
        <v>48</v>
      </c>
      <c r="F1499" s="10" t="s">
        <v>303</v>
      </c>
      <c r="G1499" s="10" t="s">
        <v>162</v>
      </c>
      <c r="H1499" s="30" t="n">
        <v>42772</v>
      </c>
      <c r="I1499" s="8" t="n">
        <f aca="false">INDEX(Parâmetros!$C$13:$C$19,MATCH(E1499,Parâmetros!$A$13:$A$19,0))</f>
        <v>4821</v>
      </c>
      <c r="J1499" s="26" t="n">
        <f aca="false">IF(H1499="","",Parâmetros!$B$5-H1499)</f>
        <v>328</v>
      </c>
      <c r="K1499" s="10" t="n">
        <f aca="false">INDEX(Parâmetros!$D$13:$D$19,MATCH(E1499,Parâmetros!$A$13:$A$19,0))</f>
        <v>43</v>
      </c>
      <c r="L1499" s="10" t="n">
        <f aca="false">IF(G1499="Prospecting",Parâmetros!$B$9,IF(J1499&gt;Parâmetros!$B$6,0,INDEX(Parâmetros!$C$24:$C$26,MATCH(J1499,Parâmetros!$A$24:$A$26,1))))</f>
        <v>0</v>
      </c>
      <c r="M1499" s="31" t="n">
        <f aca="false">IF(G1499="Prospecting",1,INDEX(Parâmetros!$C$32:$C$35,MATCH(J1499,Parâmetros!$A$32:$A$35,1)))</f>
        <v>0.25</v>
      </c>
      <c r="N1499" s="2" t="n">
        <f aca="false">ROUND((K1499+L1499)*M1499,0)</f>
        <v>11</v>
      </c>
      <c r="O1499" s="10" t="str">
        <f aca="false">IF(AND(G1499="Engaging",J1499&gt;Parâmetros!$B$6),"Sim","Não")</f>
        <v>Sim</v>
      </c>
      <c r="P1499" s="32" t="str">
        <f aca="false">IF(O1499="Sim","R",IF(N1499&gt;=Parâmetros!$B$39,"A",IF(N1499&gt;=Parâmetros!$B$40,"B",IF(N1499&gt;=Parâmetros!$B$41,"C","D"))))</f>
        <v>R</v>
      </c>
      <c r="Q1499" s="10" t="str">
        <f aca="false">IF(F1499="","Completar cadastro","")</f>
        <v/>
      </c>
      <c r="R1499" s="10" t="str">
        <f aca="false">INDEX(Parâmetros!$D$39:$D$43,MATCH(P1499,Parâmetros!$A$39:$A$43,0))</f>
        <v>Reciclar: requalificar, reengajar ou encerrar</v>
      </c>
    </row>
    <row r="1500" customFormat="false" ht="15" hidden="false" customHeight="false" outlineLevel="0" collapsed="false">
      <c r="A1500" s="10" t="s">
        <v>1746</v>
      </c>
      <c r="B1500" s="10" t="s">
        <v>86</v>
      </c>
      <c r="C1500" s="10" t="s">
        <v>85</v>
      </c>
      <c r="D1500" s="10" t="s">
        <v>165</v>
      </c>
      <c r="E1500" s="10" t="s">
        <v>48</v>
      </c>
      <c r="F1500" s="10"/>
      <c r="G1500" s="10" t="s">
        <v>162</v>
      </c>
      <c r="H1500" s="30" t="n">
        <v>42773</v>
      </c>
      <c r="I1500" s="8" t="n">
        <f aca="false">INDEX(Parâmetros!$C$13:$C$19,MATCH(E1500,Parâmetros!$A$13:$A$19,0))</f>
        <v>4821</v>
      </c>
      <c r="J1500" s="26" t="n">
        <f aca="false">IF(H1500="","",Parâmetros!$B$5-H1500)</f>
        <v>327</v>
      </c>
      <c r="K1500" s="10" t="n">
        <f aca="false">INDEX(Parâmetros!$D$13:$D$19,MATCH(E1500,Parâmetros!$A$13:$A$19,0))</f>
        <v>43</v>
      </c>
      <c r="L1500" s="10" t="n">
        <f aca="false">IF(G1500="Prospecting",Parâmetros!$B$9,IF(J1500&gt;Parâmetros!$B$6,0,INDEX(Parâmetros!$C$24:$C$26,MATCH(J1500,Parâmetros!$A$24:$A$26,1))))</f>
        <v>0</v>
      </c>
      <c r="M1500" s="31" t="n">
        <f aca="false">IF(G1500="Prospecting",1,INDEX(Parâmetros!$C$32:$C$35,MATCH(J1500,Parâmetros!$A$32:$A$35,1)))</f>
        <v>0.25</v>
      </c>
      <c r="N1500" s="2" t="n">
        <f aca="false">ROUND((K1500+L1500)*M1500,0)</f>
        <v>11</v>
      </c>
      <c r="O1500" s="10" t="str">
        <f aca="false">IF(AND(G1500="Engaging",J1500&gt;Parâmetros!$B$6),"Sim","Não")</f>
        <v>Sim</v>
      </c>
      <c r="P1500" s="32" t="str">
        <f aca="false">IF(O1500="Sim","R",IF(N1500&gt;=Parâmetros!$B$39,"A",IF(N1500&gt;=Parâmetros!$B$40,"B",IF(N1500&gt;=Parâmetros!$B$41,"C","D"))))</f>
        <v>R</v>
      </c>
      <c r="Q1500" s="10" t="str">
        <f aca="false">IF(F1500="","Completar cadastro","")</f>
        <v>Completar cadastro</v>
      </c>
      <c r="R1500" s="10" t="str">
        <f aca="false">INDEX(Parâmetros!$D$39:$D$43,MATCH(P1500,Parâmetros!$A$39:$A$43,0))</f>
        <v>Reciclar: requalificar, reengajar ou encerrar</v>
      </c>
    </row>
    <row r="1501" customFormat="false" ht="15" hidden="false" customHeight="false" outlineLevel="0" collapsed="false">
      <c r="A1501" s="10" t="s">
        <v>1747</v>
      </c>
      <c r="B1501" s="10" t="s">
        <v>87</v>
      </c>
      <c r="C1501" s="10" t="s">
        <v>85</v>
      </c>
      <c r="D1501" s="10" t="s">
        <v>165</v>
      </c>
      <c r="E1501" s="10" t="s">
        <v>48</v>
      </c>
      <c r="F1501" s="10"/>
      <c r="G1501" s="10" t="s">
        <v>162</v>
      </c>
      <c r="H1501" s="30" t="n">
        <v>42773</v>
      </c>
      <c r="I1501" s="8" t="n">
        <f aca="false">INDEX(Parâmetros!$C$13:$C$19,MATCH(E1501,Parâmetros!$A$13:$A$19,0))</f>
        <v>4821</v>
      </c>
      <c r="J1501" s="26" t="n">
        <f aca="false">IF(H1501="","",Parâmetros!$B$5-H1501)</f>
        <v>327</v>
      </c>
      <c r="K1501" s="10" t="n">
        <f aca="false">INDEX(Parâmetros!$D$13:$D$19,MATCH(E1501,Parâmetros!$A$13:$A$19,0))</f>
        <v>43</v>
      </c>
      <c r="L1501" s="10" t="n">
        <f aca="false">IF(G1501="Prospecting",Parâmetros!$B$9,IF(J1501&gt;Parâmetros!$B$6,0,INDEX(Parâmetros!$C$24:$C$26,MATCH(J1501,Parâmetros!$A$24:$A$26,1))))</f>
        <v>0</v>
      </c>
      <c r="M1501" s="31" t="n">
        <f aca="false">IF(G1501="Prospecting",1,INDEX(Parâmetros!$C$32:$C$35,MATCH(J1501,Parâmetros!$A$32:$A$35,1)))</f>
        <v>0.25</v>
      </c>
      <c r="N1501" s="2" t="n">
        <f aca="false">ROUND((K1501+L1501)*M1501,0)</f>
        <v>11</v>
      </c>
      <c r="O1501" s="10" t="str">
        <f aca="false">IF(AND(G1501="Engaging",J1501&gt;Parâmetros!$B$6),"Sim","Não")</f>
        <v>Sim</v>
      </c>
      <c r="P1501" s="32" t="str">
        <f aca="false">IF(O1501="Sim","R",IF(N1501&gt;=Parâmetros!$B$39,"A",IF(N1501&gt;=Parâmetros!$B$40,"B",IF(N1501&gt;=Parâmetros!$B$41,"C","D"))))</f>
        <v>R</v>
      </c>
      <c r="Q1501" s="10" t="str">
        <f aca="false">IF(F1501="","Completar cadastro","")</f>
        <v>Completar cadastro</v>
      </c>
      <c r="R1501" s="10" t="str">
        <f aca="false">INDEX(Parâmetros!$D$39:$D$43,MATCH(P1501,Parâmetros!$A$39:$A$43,0))</f>
        <v>Reciclar: requalificar, reengajar ou encerrar</v>
      </c>
    </row>
    <row r="1502" customFormat="false" ht="15" hidden="false" customHeight="false" outlineLevel="0" collapsed="false">
      <c r="A1502" s="10" t="s">
        <v>1748</v>
      </c>
      <c r="B1502" s="10" t="s">
        <v>94</v>
      </c>
      <c r="C1502" s="10" t="s">
        <v>92</v>
      </c>
      <c r="D1502" s="10" t="s">
        <v>160</v>
      </c>
      <c r="E1502" s="10" t="s">
        <v>48</v>
      </c>
      <c r="F1502" s="10" t="s">
        <v>1118</v>
      </c>
      <c r="G1502" s="10" t="s">
        <v>162</v>
      </c>
      <c r="H1502" s="30" t="n">
        <v>42773</v>
      </c>
      <c r="I1502" s="8" t="n">
        <f aca="false">INDEX(Parâmetros!$C$13:$C$19,MATCH(E1502,Parâmetros!$A$13:$A$19,0))</f>
        <v>4821</v>
      </c>
      <c r="J1502" s="26" t="n">
        <f aca="false">IF(H1502="","",Parâmetros!$B$5-H1502)</f>
        <v>327</v>
      </c>
      <c r="K1502" s="10" t="n">
        <f aca="false">INDEX(Parâmetros!$D$13:$D$19,MATCH(E1502,Parâmetros!$A$13:$A$19,0))</f>
        <v>43</v>
      </c>
      <c r="L1502" s="10" t="n">
        <f aca="false">IF(G1502="Prospecting",Parâmetros!$B$9,IF(J1502&gt;Parâmetros!$B$6,0,INDEX(Parâmetros!$C$24:$C$26,MATCH(J1502,Parâmetros!$A$24:$A$26,1))))</f>
        <v>0</v>
      </c>
      <c r="M1502" s="31" t="n">
        <f aca="false">IF(G1502="Prospecting",1,INDEX(Parâmetros!$C$32:$C$35,MATCH(J1502,Parâmetros!$A$32:$A$35,1)))</f>
        <v>0.25</v>
      </c>
      <c r="N1502" s="2" t="n">
        <f aca="false">ROUND((K1502+L1502)*M1502,0)</f>
        <v>11</v>
      </c>
      <c r="O1502" s="10" t="str">
        <f aca="false">IF(AND(G1502="Engaging",J1502&gt;Parâmetros!$B$6),"Sim","Não")</f>
        <v>Sim</v>
      </c>
      <c r="P1502" s="32" t="str">
        <f aca="false">IF(O1502="Sim","R",IF(N1502&gt;=Parâmetros!$B$39,"A",IF(N1502&gt;=Parâmetros!$B$40,"B",IF(N1502&gt;=Parâmetros!$B$41,"C","D"))))</f>
        <v>R</v>
      </c>
      <c r="Q1502" s="10" t="str">
        <f aca="false">IF(F1502="","Completar cadastro","")</f>
        <v/>
      </c>
      <c r="R1502" s="10" t="str">
        <f aca="false">INDEX(Parâmetros!$D$39:$D$43,MATCH(P1502,Parâmetros!$A$39:$A$43,0))</f>
        <v>Reciclar: requalificar, reengajar ou encerrar</v>
      </c>
    </row>
    <row r="1503" customFormat="false" ht="15" hidden="false" customHeight="false" outlineLevel="0" collapsed="false">
      <c r="A1503" s="10" t="s">
        <v>1749</v>
      </c>
      <c r="B1503" s="10" t="s">
        <v>86</v>
      </c>
      <c r="C1503" s="10" t="s">
        <v>85</v>
      </c>
      <c r="D1503" s="10" t="s">
        <v>165</v>
      </c>
      <c r="E1503" s="10" t="s">
        <v>47</v>
      </c>
      <c r="F1503" s="10"/>
      <c r="G1503" s="10" t="s">
        <v>162</v>
      </c>
      <c r="H1503" s="30" t="n">
        <v>42774</v>
      </c>
      <c r="I1503" s="8" t="n">
        <f aca="false">INDEX(Parâmetros!$C$13:$C$19,MATCH(E1503,Parâmetros!$A$13:$A$19,0))</f>
        <v>5482</v>
      </c>
      <c r="J1503" s="26" t="n">
        <f aca="false">IF(H1503="","",Parâmetros!$B$5-H1503)</f>
        <v>326</v>
      </c>
      <c r="K1503" s="10" t="n">
        <f aca="false">INDEX(Parâmetros!$D$13:$D$19,MATCH(E1503,Parâmetros!$A$13:$A$19,0))</f>
        <v>45</v>
      </c>
      <c r="L1503" s="10" t="n">
        <f aca="false">IF(G1503="Prospecting",Parâmetros!$B$9,IF(J1503&gt;Parâmetros!$B$6,0,INDEX(Parâmetros!$C$24:$C$26,MATCH(J1503,Parâmetros!$A$24:$A$26,1))))</f>
        <v>0</v>
      </c>
      <c r="M1503" s="31" t="n">
        <f aca="false">IF(G1503="Prospecting",1,INDEX(Parâmetros!$C$32:$C$35,MATCH(J1503,Parâmetros!$A$32:$A$35,1)))</f>
        <v>0.25</v>
      </c>
      <c r="N1503" s="2" t="n">
        <f aca="false">ROUND((K1503+L1503)*M1503,0)</f>
        <v>11</v>
      </c>
      <c r="O1503" s="10" t="str">
        <f aca="false">IF(AND(G1503="Engaging",J1503&gt;Parâmetros!$B$6),"Sim","Não")</f>
        <v>Sim</v>
      </c>
      <c r="P1503" s="32" t="str">
        <f aca="false">IF(O1503="Sim","R",IF(N1503&gt;=Parâmetros!$B$39,"A",IF(N1503&gt;=Parâmetros!$B$40,"B",IF(N1503&gt;=Parâmetros!$B$41,"C","D"))))</f>
        <v>R</v>
      </c>
      <c r="Q1503" s="10" t="str">
        <f aca="false">IF(F1503="","Completar cadastro","")</f>
        <v>Completar cadastro</v>
      </c>
      <c r="R1503" s="10" t="str">
        <f aca="false">INDEX(Parâmetros!$D$39:$D$43,MATCH(P1503,Parâmetros!$A$39:$A$43,0))</f>
        <v>Reciclar: requalificar, reengajar ou encerrar</v>
      </c>
    </row>
    <row r="1504" customFormat="false" ht="15" hidden="false" customHeight="false" outlineLevel="0" collapsed="false">
      <c r="A1504" s="10" t="s">
        <v>1750</v>
      </c>
      <c r="B1504" s="10" t="s">
        <v>95</v>
      </c>
      <c r="C1504" s="10" t="s">
        <v>92</v>
      </c>
      <c r="D1504" s="10" t="s">
        <v>160</v>
      </c>
      <c r="E1504" s="10" t="s">
        <v>48</v>
      </c>
      <c r="F1504" s="10"/>
      <c r="G1504" s="10" t="s">
        <v>162</v>
      </c>
      <c r="H1504" s="30" t="n">
        <v>42774</v>
      </c>
      <c r="I1504" s="8" t="n">
        <f aca="false">INDEX(Parâmetros!$C$13:$C$19,MATCH(E1504,Parâmetros!$A$13:$A$19,0))</f>
        <v>4821</v>
      </c>
      <c r="J1504" s="26" t="n">
        <f aca="false">IF(H1504="","",Parâmetros!$B$5-H1504)</f>
        <v>326</v>
      </c>
      <c r="K1504" s="10" t="n">
        <f aca="false">INDEX(Parâmetros!$D$13:$D$19,MATCH(E1504,Parâmetros!$A$13:$A$19,0))</f>
        <v>43</v>
      </c>
      <c r="L1504" s="10" t="n">
        <f aca="false">IF(G1504="Prospecting",Parâmetros!$B$9,IF(J1504&gt;Parâmetros!$B$6,0,INDEX(Parâmetros!$C$24:$C$26,MATCH(J1504,Parâmetros!$A$24:$A$26,1))))</f>
        <v>0</v>
      </c>
      <c r="M1504" s="31" t="n">
        <f aca="false">IF(G1504="Prospecting",1,INDEX(Parâmetros!$C$32:$C$35,MATCH(J1504,Parâmetros!$A$32:$A$35,1)))</f>
        <v>0.25</v>
      </c>
      <c r="N1504" s="2" t="n">
        <f aca="false">ROUND((K1504+L1504)*M1504,0)</f>
        <v>11</v>
      </c>
      <c r="O1504" s="10" t="str">
        <f aca="false">IF(AND(G1504="Engaging",J1504&gt;Parâmetros!$B$6),"Sim","Não")</f>
        <v>Sim</v>
      </c>
      <c r="P1504" s="32" t="str">
        <f aca="false">IF(O1504="Sim","R",IF(N1504&gt;=Parâmetros!$B$39,"A",IF(N1504&gt;=Parâmetros!$B$40,"B",IF(N1504&gt;=Parâmetros!$B$41,"C","D"))))</f>
        <v>R</v>
      </c>
      <c r="Q1504" s="10" t="str">
        <f aca="false">IF(F1504="","Completar cadastro","")</f>
        <v>Completar cadastro</v>
      </c>
      <c r="R1504" s="10" t="str">
        <f aca="false">INDEX(Parâmetros!$D$39:$D$43,MATCH(P1504,Parâmetros!$A$39:$A$43,0))</f>
        <v>Reciclar: requalificar, reengajar ou encerrar</v>
      </c>
    </row>
    <row r="1505" customFormat="false" ht="15" hidden="false" customHeight="false" outlineLevel="0" collapsed="false">
      <c r="A1505" s="10" t="s">
        <v>1751</v>
      </c>
      <c r="B1505" s="10" t="s">
        <v>93</v>
      </c>
      <c r="C1505" s="10" t="s">
        <v>92</v>
      </c>
      <c r="D1505" s="10" t="s">
        <v>160</v>
      </c>
      <c r="E1505" s="10" t="s">
        <v>47</v>
      </c>
      <c r="F1505" s="10"/>
      <c r="G1505" s="10" t="s">
        <v>162</v>
      </c>
      <c r="H1505" s="30" t="n">
        <v>42777</v>
      </c>
      <c r="I1505" s="8" t="n">
        <f aca="false">INDEX(Parâmetros!$C$13:$C$19,MATCH(E1505,Parâmetros!$A$13:$A$19,0))</f>
        <v>5482</v>
      </c>
      <c r="J1505" s="26" t="n">
        <f aca="false">IF(H1505="","",Parâmetros!$B$5-H1505)</f>
        <v>323</v>
      </c>
      <c r="K1505" s="10" t="n">
        <f aca="false">INDEX(Parâmetros!$D$13:$D$19,MATCH(E1505,Parâmetros!$A$13:$A$19,0))</f>
        <v>45</v>
      </c>
      <c r="L1505" s="10" t="n">
        <f aca="false">IF(G1505="Prospecting",Parâmetros!$B$9,IF(J1505&gt;Parâmetros!$B$6,0,INDEX(Parâmetros!$C$24:$C$26,MATCH(J1505,Parâmetros!$A$24:$A$26,1))))</f>
        <v>0</v>
      </c>
      <c r="M1505" s="31" t="n">
        <f aca="false">IF(G1505="Prospecting",1,INDEX(Parâmetros!$C$32:$C$35,MATCH(J1505,Parâmetros!$A$32:$A$35,1)))</f>
        <v>0.25</v>
      </c>
      <c r="N1505" s="2" t="n">
        <f aca="false">ROUND((K1505+L1505)*M1505,0)</f>
        <v>11</v>
      </c>
      <c r="O1505" s="10" t="str">
        <f aca="false">IF(AND(G1505="Engaging",J1505&gt;Parâmetros!$B$6),"Sim","Não")</f>
        <v>Sim</v>
      </c>
      <c r="P1505" s="32" t="str">
        <f aca="false">IF(O1505="Sim","R",IF(N1505&gt;=Parâmetros!$B$39,"A",IF(N1505&gt;=Parâmetros!$B$40,"B",IF(N1505&gt;=Parâmetros!$B$41,"C","D"))))</f>
        <v>R</v>
      </c>
      <c r="Q1505" s="10" t="str">
        <f aca="false">IF(F1505="","Completar cadastro","")</f>
        <v>Completar cadastro</v>
      </c>
      <c r="R1505" s="10" t="str">
        <f aca="false">INDEX(Parâmetros!$D$39:$D$43,MATCH(P1505,Parâmetros!$A$39:$A$43,0))</f>
        <v>Reciclar: requalificar, reengajar ou encerrar</v>
      </c>
    </row>
    <row r="1506" customFormat="false" ht="15" hidden="false" customHeight="false" outlineLevel="0" collapsed="false">
      <c r="A1506" s="10" t="s">
        <v>1752</v>
      </c>
      <c r="B1506" s="10" t="s">
        <v>70</v>
      </c>
      <c r="C1506" s="10" t="s">
        <v>65</v>
      </c>
      <c r="D1506" s="10" t="s">
        <v>160</v>
      </c>
      <c r="E1506" s="10" t="s">
        <v>48</v>
      </c>
      <c r="F1506" s="10" t="s">
        <v>514</v>
      </c>
      <c r="G1506" s="10" t="s">
        <v>162</v>
      </c>
      <c r="H1506" s="30" t="n">
        <v>42779</v>
      </c>
      <c r="I1506" s="8" t="n">
        <f aca="false">INDEX(Parâmetros!$C$13:$C$19,MATCH(E1506,Parâmetros!$A$13:$A$19,0))</f>
        <v>4821</v>
      </c>
      <c r="J1506" s="26" t="n">
        <f aca="false">IF(H1506="","",Parâmetros!$B$5-H1506)</f>
        <v>321</v>
      </c>
      <c r="K1506" s="10" t="n">
        <f aca="false">INDEX(Parâmetros!$D$13:$D$19,MATCH(E1506,Parâmetros!$A$13:$A$19,0))</f>
        <v>43</v>
      </c>
      <c r="L1506" s="10" t="n">
        <f aca="false">IF(G1506="Prospecting",Parâmetros!$B$9,IF(J1506&gt;Parâmetros!$B$6,0,INDEX(Parâmetros!$C$24:$C$26,MATCH(J1506,Parâmetros!$A$24:$A$26,1))))</f>
        <v>0</v>
      </c>
      <c r="M1506" s="31" t="n">
        <f aca="false">IF(G1506="Prospecting",1,INDEX(Parâmetros!$C$32:$C$35,MATCH(J1506,Parâmetros!$A$32:$A$35,1)))</f>
        <v>0.25</v>
      </c>
      <c r="N1506" s="2" t="n">
        <f aca="false">ROUND((K1506+L1506)*M1506,0)</f>
        <v>11</v>
      </c>
      <c r="O1506" s="10" t="str">
        <f aca="false">IF(AND(G1506="Engaging",J1506&gt;Parâmetros!$B$6),"Sim","Não")</f>
        <v>Sim</v>
      </c>
      <c r="P1506" s="32" t="str">
        <f aca="false">IF(O1506="Sim","R",IF(N1506&gt;=Parâmetros!$B$39,"A",IF(N1506&gt;=Parâmetros!$B$40,"B",IF(N1506&gt;=Parâmetros!$B$41,"C","D"))))</f>
        <v>R</v>
      </c>
      <c r="Q1506" s="10" t="str">
        <f aca="false">IF(F1506="","Completar cadastro","")</f>
        <v/>
      </c>
      <c r="R1506" s="10" t="str">
        <f aca="false">INDEX(Parâmetros!$D$39:$D$43,MATCH(P1506,Parâmetros!$A$39:$A$43,0))</f>
        <v>Reciclar: requalificar, reengajar ou encerrar</v>
      </c>
    </row>
    <row r="1507" customFormat="false" ht="15" hidden="false" customHeight="false" outlineLevel="0" collapsed="false">
      <c r="A1507" s="10" t="s">
        <v>1753</v>
      </c>
      <c r="B1507" s="10" t="s">
        <v>57</v>
      </c>
      <c r="C1507" s="10" t="s">
        <v>58</v>
      </c>
      <c r="D1507" s="10" t="s">
        <v>165</v>
      </c>
      <c r="E1507" s="10" t="s">
        <v>47</v>
      </c>
      <c r="F1507" s="10"/>
      <c r="G1507" s="10" t="s">
        <v>162</v>
      </c>
      <c r="H1507" s="30" t="n">
        <v>42781</v>
      </c>
      <c r="I1507" s="8" t="n">
        <f aca="false">INDEX(Parâmetros!$C$13:$C$19,MATCH(E1507,Parâmetros!$A$13:$A$19,0))</f>
        <v>5482</v>
      </c>
      <c r="J1507" s="26" t="n">
        <f aca="false">IF(H1507="","",Parâmetros!$B$5-H1507)</f>
        <v>319</v>
      </c>
      <c r="K1507" s="10" t="n">
        <f aca="false">INDEX(Parâmetros!$D$13:$D$19,MATCH(E1507,Parâmetros!$A$13:$A$19,0))</f>
        <v>45</v>
      </c>
      <c r="L1507" s="10" t="n">
        <f aca="false">IF(G1507="Prospecting",Parâmetros!$B$9,IF(J1507&gt;Parâmetros!$B$6,0,INDEX(Parâmetros!$C$24:$C$26,MATCH(J1507,Parâmetros!$A$24:$A$26,1))))</f>
        <v>0</v>
      </c>
      <c r="M1507" s="31" t="n">
        <f aca="false">IF(G1507="Prospecting",1,INDEX(Parâmetros!$C$32:$C$35,MATCH(J1507,Parâmetros!$A$32:$A$35,1)))</f>
        <v>0.25</v>
      </c>
      <c r="N1507" s="2" t="n">
        <f aca="false">ROUND((K1507+L1507)*M1507,0)</f>
        <v>11</v>
      </c>
      <c r="O1507" s="10" t="str">
        <f aca="false">IF(AND(G1507="Engaging",J1507&gt;Parâmetros!$B$6),"Sim","Não")</f>
        <v>Sim</v>
      </c>
      <c r="P1507" s="32" t="str">
        <f aca="false">IF(O1507="Sim","R",IF(N1507&gt;=Parâmetros!$B$39,"A",IF(N1507&gt;=Parâmetros!$B$40,"B",IF(N1507&gt;=Parâmetros!$B$41,"C","D"))))</f>
        <v>R</v>
      </c>
      <c r="Q1507" s="10" t="str">
        <f aca="false">IF(F1507="","Completar cadastro","")</f>
        <v>Completar cadastro</v>
      </c>
      <c r="R1507" s="10" t="str">
        <f aca="false">INDEX(Parâmetros!$D$39:$D$43,MATCH(P1507,Parâmetros!$A$39:$A$43,0))</f>
        <v>Reciclar: requalificar, reengajar ou encerrar</v>
      </c>
    </row>
    <row r="1508" customFormat="false" ht="15" hidden="false" customHeight="false" outlineLevel="0" collapsed="false">
      <c r="A1508" s="10" t="s">
        <v>1754</v>
      </c>
      <c r="B1508" s="10" t="s">
        <v>94</v>
      </c>
      <c r="C1508" s="10" t="s">
        <v>92</v>
      </c>
      <c r="D1508" s="10" t="s">
        <v>160</v>
      </c>
      <c r="E1508" s="10" t="s">
        <v>47</v>
      </c>
      <c r="F1508" s="10"/>
      <c r="G1508" s="10" t="s">
        <v>162</v>
      </c>
      <c r="H1508" s="30" t="n">
        <v>42781</v>
      </c>
      <c r="I1508" s="8" t="n">
        <f aca="false">INDEX(Parâmetros!$C$13:$C$19,MATCH(E1508,Parâmetros!$A$13:$A$19,0))</f>
        <v>5482</v>
      </c>
      <c r="J1508" s="26" t="n">
        <f aca="false">IF(H1508="","",Parâmetros!$B$5-H1508)</f>
        <v>319</v>
      </c>
      <c r="K1508" s="10" t="n">
        <f aca="false">INDEX(Parâmetros!$D$13:$D$19,MATCH(E1508,Parâmetros!$A$13:$A$19,0))</f>
        <v>45</v>
      </c>
      <c r="L1508" s="10" t="n">
        <f aca="false">IF(G1508="Prospecting",Parâmetros!$B$9,IF(J1508&gt;Parâmetros!$B$6,0,INDEX(Parâmetros!$C$24:$C$26,MATCH(J1508,Parâmetros!$A$24:$A$26,1))))</f>
        <v>0</v>
      </c>
      <c r="M1508" s="31" t="n">
        <f aca="false">IF(G1508="Prospecting",1,INDEX(Parâmetros!$C$32:$C$35,MATCH(J1508,Parâmetros!$A$32:$A$35,1)))</f>
        <v>0.25</v>
      </c>
      <c r="N1508" s="2" t="n">
        <f aca="false">ROUND((K1508+L1508)*M1508,0)</f>
        <v>11</v>
      </c>
      <c r="O1508" s="10" t="str">
        <f aca="false">IF(AND(G1508="Engaging",J1508&gt;Parâmetros!$B$6),"Sim","Não")</f>
        <v>Sim</v>
      </c>
      <c r="P1508" s="32" t="str">
        <f aca="false">IF(O1508="Sim","R",IF(N1508&gt;=Parâmetros!$B$39,"A",IF(N1508&gt;=Parâmetros!$B$40,"B",IF(N1508&gt;=Parâmetros!$B$41,"C","D"))))</f>
        <v>R</v>
      </c>
      <c r="Q1508" s="10" t="str">
        <f aca="false">IF(F1508="","Completar cadastro","")</f>
        <v>Completar cadastro</v>
      </c>
      <c r="R1508" s="10" t="str">
        <f aca="false">INDEX(Parâmetros!$D$39:$D$43,MATCH(P1508,Parâmetros!$A$39:$A$43,0))</f>
        <v>Reciclar: requalificar, reengajar ou encerrar</v>
      </c>
    </row>
    <row r="1509" customFormat="false" ht="15" hidden="false" customHeight="false" outlineLevel="0" collapsed="false">
      <c r="A1509" s="10" t="s">
        <v>1755</v>
      </c>
      <c r="B1509" s="10" t="s">
        <v>95</v>
      </c>
      <c r="C1509" s="10" t="s">
        <v>92</v>
      </c>
      <c r="D1509" s="10" t="s">
        <v>160</v>
      </c>
      <c r="E1509" s="10" t="s">
        <v>48</v>
      </c>
      <c r="F1509" s="10"/>
      <c r="G1509" s="10" t="s">
        <v>162</v>
      </c>
      <c r="H1509" s="30" t="n">
        <v>42782</v>
      </c>
      <c r="I1509" s="8" t="n">
        <f aca="false">INDEX(Parâmetros!$C$13:$C$19,MATCH(E1509,Parâmetros!$A$13:$A$19,0))</f>
        <v>4821</v>
      </c>
      <c r="J1509" s="26" t="n">
        <f aca="false">IF(H1509="","",Parâmetros!$B$5-H1509)</f>
        <v>318</v>
      </c>
      <c r="K1509" s="10" t="n">
        <f aca="false">INDEX(Parâmetros!$D$13:$D$19,MATCH(E1509,Parâmetros!$A$13:$A$19,0))</f>
        <v>43</v>
      </c>
      <c r="L1509" s="10" t="n">
        <f aca="false">IF(G1509="Prospecting",Parâmetros!$B$9,IF(J1509&gt;Parâmetros!$B$6,0,INDEX(Parâmetros!$C$24:$C$26,MATCH(J1509,Parâmetros!$A$24:$A$26,1))))</f>
        <v>0</v>
      </c>
      <c r="M1509" s="31" t="n">
        <f aca="false">IF(G1509="Prospecting",1,INDEX(Parâmetros!$C$32:$C$35,MATCH(J1509,Parâmetros!$A$32:$A$35,1)))</f>
        <v>0.25</v>
      </c>
      <c r="N1509" s="2" t="n">
        <f aca="false">ROUND((K1509+L1509)*M1509,0)</f>
        <v>11</v>
      </c>
      <c r="O1509" s="10" t="str">
        <f aca="false">IF(AND(G1509="Engaging",J1509&gt;Parâmetros!$B$6),"Sim","Não")</f>
        <v>Sim</v>
      </c>
      <c r="P1509" s="32" t="str">
        <f aca="false">IF(O1509="Sim","R",IF(N1509&gt;=Parâmetros!$B$39,"A",IF(N1509&gt;=Parâmetros!$B$40,"B",IF(N1509&gt;=Parâmetros!$B$41,"C","D"))))</f>
        <v>R</v>
      </c>
      <c r="Q1509" s="10" t="str">
        <f aca="false">IF(F1509="","Completar cadastro","")</f>
        <v>Completar cadastro</v>
      </c>
      <c r="R1509" s="10" t="str">
        <f aca="false">INDEX(Parâmetros!$D$39:$D$43,MATCH(P1509,Parâmetros!$A$39:$A$43,0))</f>
        <v>Reciclar: requalificar, reengajar ou encerrar</v>
      </c>
    </row>
    <row r="1510" customFormat="false" ht="15" hidden="false" customHeight="false" outlineLevel="0" collapsed="false">
      <c r="A1510" s="10" t="s">
        <v>1756</v>
      </c>
      <c r="B1510" s="10" t="s">
        <v>70</v>
      </c>
      <c r="C1510" s="10" t="s">
        <v>65</v>
      </c>
      <c r="D1510" s="10" t="s">
        <v>160</v>
      </c>
      <c r="E1510" s="10" t="s">
        <v>48</v>
      </c>
      <c r="F1510" s="10"/>
      <c r="G1510" s="10" t="s">
        <v>162</v>
      </c>
      <c r="H1510" s="30" t="n">
        <v>42786</v>
      </c>
      <c r="I1510" s="8" t="n">
        <f aca="false">INDEX(Parâmetros!$C$13:$C$19,MATCH(E1510,Parâmetros!$A$13:$A$19,0))</f>
        <v>4821</v>
      </c>
      <c r="J1510" s="26" t="n">
        <f aca="false">IF(H1510="","",Parâmetros!$B$5-H1510)</f>
        <v>314</v>
      </c>
      <c r="K1510" s="10" t="n">
        <f aca="false">INDEX(Parâmetros!$D$13:$D$19,MATCH(E1510,Parâmetros!$A$13:$A$19,0))</f>
        <v>43</v>
      </c>
      <c r="L1510" s="10" t="n">
        <f aca="false">IF(G1510="Prospecting",Parâmetros!$B$9,IF(J1510&gt;Parâmetros!$B$6,0,INDEX(Parâmetros!$C$24:$C$26,MATCH(J1510,Parâmetros!$A$24:$A$26,1))))</f>
        <v>0</v>
      </c>
      <c r="M1510" s="31" t="n">
        <f aca="false">IF(G1510="Prospecting",1,INDEX(Parâmetros!$C$32:$C$35,MATCH(J1510,Parâmetros!$A$32:$A$35,1)))</f>
        <v>0.25</v>
      </c>
      <c r="N1510" s="2" t="n">
        <f aca="false">ROUND((K1510+L1510)*M1510,0)</f>
        <v>11</v>
      </c>
      <c r="O1510" s="10" t="str">
        <f aca="false">IF(AND(G1510="Engaging",J1510&gt;Parâmetros!$B$6),"Sim","Não")</f>
        <v>Sim</v>
      </c>
      <c r="P1510" s="32" t="str">
        <f aca="false">IF(O1510="Sim","R",IF(N1510&gt;=Parâmetros!$B$39,"A",IF(N1510&gt;=Parâmetros!$B$40,"B",IF(N1510&gt;=Parâmetros!$B$41,"C","D"))))</f>
        <v>R</v>
      </c>
      <c r="Q1510" s="10" t="str">
        <f aca="false">IF(F1510="","Completar cadastro","")</f>
        <v>Completar cadastro</v>
      </c>
      <c r="R1510" s="10" t="str">
        <f aca="false">INDEX(Parâmetros!$D$39:$D$43,MATCH(P1510,Parâmetros!$A$39:$A$43,0))</f>
        <v>Reciclar: requalificar, reengajar ou encerrar</v>
      </c>
    </row>
    <row r="1511" customFormat="false" ht="15" hidden="false" customHeight="false" outlineLevel="0" collapsed="false">
      <c r="A1511" s="10" t="s">
        <v>1757</v>
      </c>
      <c r="B1511" s="10" t="s">
        <v>84</v>
      </c>
      <c r="C1511" s="10" t="s">
        <v>85</v>
      </c>
      <c r="D1511" s="10" t="s">
        <v>165</v>
      </c>
      <c r="E1511" s="10" t="s">
        <v>48</v>
      </c>
      <c r="F1511" s="10"/>
      <c r="G1511" s="10" t="s">
        <v>162</v>
      </c>
      <c r="H1511" s="30" t="n">
        <v>42787</v>
      </c>
      <c r="I1511" s="8" t="n">
        <f aca="false">INDEX(Parâmetros!$C$13:$C$19,MATCH(E1511,Parâmetros!$A$13:$A$19,0))</f>
        <v>4821</v>
      </c>
      <c r="J1511" s="26" t="n">
        <f aca="false">IF(H1511="","",Parâmetros!$B$5-H1511)</f>
        <v>313</v>
      </c>
      <c r="K1511" s="10" t="n">
        <f aca="false">INDEX(Parâmetros!$D$13:$D$19,MATCH(E1511,Parâmetros!$A$13:$A$19,0))</f>
        <v>43</v>
      </c>
      <c r="L1511" s="10" t="n">
        <f aca="false">IF(G1511="Prospecting",Parâmetros!$B$9,IF(J1511&gt;Parâmetros!$B$6,0,INDEX(Parâmetros!$C$24:$C$26,MATCH(J1511,Parâmetros!$A$24:$A$26,1))))</f>
        <v>0</v>
      </c>
      <c r="M1511" s="31" t="n">
        <f aca="false">IF(G1511="Prospecting",1,INDEX(Parâmetros!$C$32:$C$35,MATCH(J1511,Parâmetros!$A$32:$A$35,1)))</f>
        <v>0.25</v>
      </c>
      <c r="N1511" s="2" t="n">
        <f aca="false">ROUND((K1511+L1511)*M1511,0)</f>
        <v>11</v>
      </c>
      <c r="O1511" s="10" t="str">
        <f aca="false">IF(AND(G1511="Engaging",J1511&gt;Parâmetros!$B$6),"Sim","Não")</f>
        <v>Sim</v>
      </c>
      <c r="P1511" s="32" t="str">
        <f aca="false">IF(O1511="Sim","R",IF(N1511&gt;=Parâmetros!$B$39,"A",IF(N1511&gt;=Parâmetros!$B$40,"B",IF(N1511&gt;=Parâmetros!$B$41,"C","D"))))</f>
        <v>R</v>
      </c>
      <c r="Q1511" s="10" t="str">
        <f aca="false">IF(F1511="","Completar cadastro","")</f>
        <v>Completar cadastro</v>
      </c>
      <c r="R1511" s="10" t="str">
        <f aca="false">INDEX(Parâmetros!$D$39:$D$43,MATCH(P1511,Parâmetros!$A$39:$A$43,0))</f>
        <v>Reciclar: requalificar, reengajar ou encerrar</v>
      </c>
    </row>
    <row r="1512" customFormat="false" ht="15" hidden="false" customHeight="false" outlineLevel="0" collapsed="false">
      <c r="A1512" s="10" t="s">
        <v>1758</v>
      </c>
      <c r="B1512" s="10" t="s">
        <v>96</v>
      </c>
      <c r="C1512" s="10" t="s">
        <v>92</v>
      </c>
      <c r="D1512" s="10" t="s">
        <v>160</v>
      </c>
      <c r="E1512" s="10" t="s">
        <v>47</v>
      </c>
      <c r="F1512" s="10"/>
      <c r="G1512" s="10" t="s">
        <v>162</v>
      </c>
      <c r="H1512" s="30" t="n">
        <v>42787</v>
      </c>
      <c r="I1512" s="8" t="n">
        <f aca="false">INDEX(Parâmetros!$C$13:$C$19,MATCH(E1512,Parâmetros!$A$13:$A$19,0))</f>
        <v>5482</v>
      </c>
      <c r="J1512" s="26" t="n">
        <f aca="false">IF(H1512="","",Parâmetros!$B$5-H1512)</f>
        <v>313</v>
      </c>
      <c r="K1512" s="10" t="n">
        <f aca="false">INDEX(Parâmetros!$D$13:$D$19,MATCH(E1512,Parâmetros!$A$13:$A$19,0))</f>
        <v>45</v>
      </c>
      <c r="L1512" s="10" t="n">
        <f aca="false">IF(G1512="Prospecting",Parâmetros!$B$9,IF(J1512&gt;Parâmetros!$B$6,0,INDEX(Parâmetros!$C$24:$C$26,MATCH(J1512,Parâmetros!$A$24:$A$26,1))))</f>
        <v>0</v>
      </c>
      <c r="M1512" s="31" t="n">
        <f aca="false">IF(G1512="Prospecting",1,INDEX(Parâmetros!$C$32:$C$35,MATCH(J1512,Parâmetros!$A$32:$A$35,1)))</f>
        <v>0.25</v>
      </c>
      <c r="N1512" s="2" t="n">
        <f aca="false">ROUND((K1512+L1512)*M1512,0)</f>
        <v>11</v>
      </c>
      <c r="O1512" s="10" t="str">
        <f aca="false">IF(AND(G1512="Engaging",J1512&gt;Parâmetros!$B$6),"Sim","Não")</f>
        <v>Sim</v>
      </c>
      <c r="P1512" s="32" t="str">
        <f aca="false">IF(O1512="Sim","R",IF(N1512&gt;=Parâmetros!$B$39,"A",IF(N1512&gt;=Parâmetros!$B$40,"B",IF(N1512&gt;=Parâmetros!$B$41,"C","D"))))</f>
        <v>R</v>
      </c>
      <c r="Q1512" s="10" t="str">
        <f aca="false">IF(F1512="","Completar cadastro","")</f>
        <v>Completar cadastro</v>
      </c>
      <c r="R1512" s="10" t="str">
        <f aca="false">INDEX(Parâmetros!$D$39:$D$43,MATCH(P1512,Parâmetros!$A$39:$A$43,0))</f>
        <v>Reciclar: requalificar, reengajar ou encerrar</v>
      </c>
    </row>
    <row r="1513" customFormat="false" ht="15" hidden="false" customHeight="false" outlineLevel="0" collapsed="false">
      <c r="A1513" s="10" t="s">
        <v>1759</v>
      </c>
      <c r="B1513" s="10" t="s">
        <v>62</v>
      </c>
      <c r="C1513" s="10" t="s">
        <v>58</v>
      </c>
      <c r="D1513" s="10" t="s">
        <v>165</v>
      </c>
      <c r="E1513" s="10" t="s">
        <v>48</v>
      </c>
      <c r="F1513" s="10" t="s">
        <v>172</v>
      </c>
      <c r="G1513" s="10" t="s">
        <v>162</v>
      </c>
      <c r="H1513" s="30" t="n">
        <v>42787</v>
      </c>
      <c r="I1513" s="8" t="n">
        <f aca="false">INDEX(Parâmetros!$C$13:$C$19,MATCH(E1513,Parâmetros!$A$13:$A$19,0))</f>
        <v>4821</v>
      </c>
      <c r="J1513" s="26" t="n">
        <f aca="false">IF(H1513="","",Parâmetros!$B$5-H1513)</f>
        <v>313</v>
      </c>
      <c r="K1513" s="10" t="n">
        <f aca="false">INDEX(Parâmetros!$D$13:$D$19,MATCH(E1513,Parâmetros!$A$13:$A$19,0))</f>
        <v>43</v>
      </c>
      <c r="L1513" s="10" t="n">
        <f aca="false">IF(G1513="Prospecting",Parâmetros!$B$9,IF(J1513&gt;Parâmetros!$B$6,0,INDEX(Parâmetros!$C$24:$C$26,MATCH(J1513,Parâmetros!$A$24:$A$26,1))))</f>
        <v>0</v>
      </c>
      <c r="M1513" s="31" t="n">
        <f aca="false">IF(G1513="Prospecting",1,INDEX(Parâmetros!$C$32:$C$35,MATCH(J1513,Parâmetros!$A$32:$A$35,1)))</f>
        <v>0.25</v>
      </c>
      <c r="N1513" s="2" t="n">
        <f aca="false">ROUND((K1513+L1513)*M1513,0)</f>
        <v>11</v>
      </c>
      <c r="O1513" s="10" t="str">
        <f aca="false">IF(AND(G1513="Engaging",J1513&gt;Parâmetros!$B$6),"Sim","Não")</f>
        <v>Sim</v>
      </c>
      <c r="P1513" s="32" t="str">
        <f aca="false">IF(O1513="Sim","R",IF(N1513&gt;=Parâmetros!$B$39,"A",IF(N1513&gt;=Parâmetros!$B$40,"B",IF(N1513&gt;=Parâmetros!$B$41,"C","D"))))</f>
        <v>R</v>
      </c>
      <c r="Q1513" s="10" t="str">
        <f aca="false">IF(F1513="","Completar cadastro","")</f>
        <v/>
      </c>
      <c r="R1513" s="10" t="str">
        <f aca="false">INDEX(Parâmetros!$D$39:$D$43,MATCH(P1513,Parâmetros!$A$39:$A$43,0))</f>
        <v>Reciclar: requalificar, reengajar ou encerrar</v>
      </c>
    </row>
    <row r="1514" customFormat="false" ht="15" hidden="false" customHeight="false" outlineLevel="0" collapsed="false">
      <c r="A1514" s="10" t="s">
        <v>1760</v>
      </c>
      <c r="B1514" s="10" t="s">
        <v>96</v>
      </c>
      <c r="C1514" s="10" t="s">
        <v>92</v>
      </c>
      <c r="D1514" s="10" t="s">
        <v>160</v>
      </c>
      <c r="E1514" s="10" t="s">
        <v>48</v>
      </c>
      <c r="F1514" s="10"/>
      <c r="G1514" s="10" t="s">
        <v>162</v>
      </c>
      <c r="H1514" s="30" t="n">
        <v>42789</v>
      </c>
      <c r="I1514" s="8" t="n">
        <f aca="false">INDEX(Parâmetros!$C$13:$C$19,MATCH(E1514,Parâmetros!$A$13:$A$19,0))</f>
        <v>4821</v>
      </c>
      <c r="J1514" s="26" t="n">
        <f aca="false">IF(H1514="","",Parâmetros!$B$5-H1514)</f>
        <v>311</v>
      </c>
      <c r="K1514" s="10" t="n">
        <f aca="false">INDEX(Parâmetros!$D$13:$D$19,MATCH(E1514,Parâmetros!$A$13:$A$19,0))</f>
        <v>43</v>
      </c>
      <c r="L1514" s="10" t="n">
        <f aca="false">IF(G1514="Prospecting",Parâmetros!$B$9,IF(J1514&gt;Parâmetros!$B$6,0,INDEX(Parâmetros!$C$24:$C$26,MATCH(J1514,Parâmetros!$A$24:$A$26,1))))</f>
        <v>0</v>
      </c>
      <c r="M1514" s="31" t="n">
        <f aca="false">IF(G1514="Prospecting",1,INDEX(Parâmetros!$C$32:$C$35,MATCH(J1514,Parâmetros!$A$32:$A$35,1)))</f>
        <v>0.25</v>
      </c>
      <c r="N1514" s="2" t="n">
        <f aca="false">ROUND((K1514+L1514)*M1514,0)</f>
        <v>11</v>
      </c>
      <c r="O1514" s="10" t="str">
        <f aca="false">IF(AND(G1514="Engaging",J1514&gt;Parâmetros!$B$6),"Sim","Não")</f>
        <v>Sim</v>
      </c>
      <c r="P1514" s="32" t="str">
        <f aca="false">IF(O1514="Sim","R",IF(N1514&gt;=Parâmetros!$B$39,"A",IF(N1514&gt;=Parâmetros!$B$40,"B",IF(N1514&gt;=Parâmetros!$B$41,"C","D"))))</f>
        <v>R</v>
      </c>
      <c r="Q1514" s="10" t="str">
        <f aca="false">IF(F1514="","Completar cadastro","")</f>
        <v>Completar cadastro</v>
      </c>
      <c r="R1514" s="10" t="str">
        <f aca="false">INDEX(Parâmetros!$D$39:$D$43,MATCH(P1514,Parâmetros!$A$39:$A$43,0))</f>
        <v>Reciclar: requalificar, reengajar ou encerrar</v>
      </c>
    </row>
    <row r="1515" customFormat="false" ht="15" hidden="false" customHeight="false" outlineLevel="0" collapsed="false">
      <c r="A1515" s="10" t="s">
        <v>1761</v>
      </c>
      <c r="B1515" s="10" t="s">
        <v>94</v>
      </c>
      <c r="C1515" s="10" t="s">
        <v>92</v>
      </c>
      <c r="D1515" s="10" t="s">
        <v>160</v>
      </c>
      <c r="E1515" s="10" t="s">
        <v>48</v>
      </c>
      <c r="F1515" s="10"/>
      <c r="G1515" s="10" t="s">
        <v>162</v>
      </c>
      <c r="H1515" s="30" t="n">
        <v>42790</v>
      </c>
      <c r="I1515" s="8" t="n">
        <f aca="false">INDEX(Parâmetros!$C$13:$C$19,MATCH(E1515,Parâmetros!$A$13:$A$19,0))</f>
        <v>4821</v>
      </c>
      <c r="J1515" s="26" t="n">
        <f aca="false">IF(H1515="","",Parâmetros!$B$5-H1515)</f>
        <v>310</v>
      </c>
      <c r="K1515" s="10" t="n">
        <f aca="false">INDEX(Parâmetros!$D$13:$D$19,MATCH(E1515,Parâmetros!$A$13:$A$19,0))</f>
        <v>43</v>
      </c>
      <c r="L1515" s="10" t="n">
        <f aca="false">IF(G1515="Prospecting",Parâmetros!$B$9,IF(J1515&gt;Parâmetros!$B$6,0,INDEX(Parâmetros!$C$24:$C$26,MATCH(J1515,Parâmetros!$A$24:$A$26,1))))</f>
        <v>0</v>
      </c>
      <c r="M1515" s="31" t="n">
        <f aca="false">IF(G1515="Prospecting",1,INDEX(Parâmetros!$C$32:$C$35,MATCH(J1515,Parâmetros!$A$32:$A$35,1)))</f>
        <v>0.25</v>
      </c>
      <c r="N1515" s="2" t="n">
        <f aca="false">ROUND((K1515+L1515)*M1515,0)</f>
        <v>11</v>
      </c>
      <c r="O1515" s="10" t="str">
        <f aca="false">IF(AND(G1515="Engaging",J1515&gt;Parâmetros!$B$6),"Sim","Não")</f>
        <v>Sim</v>
      </c>
      <c r="P1515" s="32" t="str">
        <f aca="false">IF(O1515="Sim","R",IF(N1515&gt;=Parâmetros!$B$39,"A",IF(N1515&gt;=Parâmetros!$B$40,"B",IF(N1515&gt;=Parâmetros!$B$41,"C","D"))))</f>
        <v>R</v>
      </c>
      <c r="Q1515" s="10" t="str">
        <f aca="false">IF(F1515="","Completar cadastro","")</f>
        <v>Completar cadastro</v>
      </c>
      <c r="R1515" s="10" t="str">
        <f aca="false">INDEX(Parâmetros!$D$39:$D$43,MATCH(P1515,Parâmetros!$A$39:$A$43,0))</f>
        <v>Reciclar: requalificar, reengajar ou encerrar</v>
      </c>
    </row>
    <row r="1516" customFormat="false" ht="15" hidden="false" customHeight="false" outlineLevel="0" collapsed="false">
      <c r="A1516" s="10" t="s">
        <v>1762</v>
      </c>
      <c r="B1516" s="10" t="s">
        <v>68</v>
      </c>
      <c r="C1516" s="10" t="s">
        <v>65</v>
      </c>
      <c r="D1516" s="10" t="s">
        <v>160</v>
      </c>
      <c r="E1516" s="10" t="s">
        <v>48</v>
      </c>
      <c r="F1516" s="10"/>
      <c r="G1516" s="10" t="s">
        <v>162</v>
      </c>
      <c r="H1516" s="30" t="n">
        <v>42790</v>
      </c>
      <c r="I1516" s="8" t="n">
        <f aca="false">INDEX(Parâmetros!$C$13:$C$19,MATCH(E1516,Parâmetros!$A$13:$A$19,0))</f>
        <v>4821</v>
      </c>
      <c r="J1516" s="26" t="n">
        <f aca="false">IF(H1516="","",Parâmetros!$B$5-H1516)</f>
        <v>310</v>
      </c>
      <c r="K1516" s="10" t="n">
        <f aca="false">INDEX(Parâmetros!$D$13:$D$19,MATCH(E1516,Parâmetros!$A$13:$A$19,0))</f>
        <v>43</v>
      </c>
      <c r="L1516" s="10" t="n">
        <f aca="false">IF(G1516="Prospecting",Parâmetros!$B$9,IF(J1516&gt;Parâmetros!$B$6,0,INDEX(Parâmetros!$C$24:$C$26,MATCH(J1516,Parâmetros!$A$24:$A$26,1))))</f>
        <v>0</v>
      </c>
      <c r="M1516" s="31" t="n">
        <f aca="false">IF(G1516="Prospecting",1,INDEX(Parâmetros!$C$32:$C$35,MATCH(J1516,Parâmetros!$A$32:$A$35,1)))</f>
        <v>0.25</v>
      </c>
      <c r="N1516" s="2" t="n">
        <f aca="false">ROUND((K1516+L1516)*M1516,0)</f>
        <v>11</v>
      </c>
      <c r="O1516" s="10" t="str">
        <f aca="false">IF(AND(G1516="Engaging",J1516&gt;Parâmetros!$B$6),"Sim","Não")</f>
        <v>Sim</v>
      </c>
      <c r="P1516" s="32" t="str">
        <f aca="false">IF(O1516="Sim","R",IF(N1516&gt;=Parâmetros!$B$39,"A",IF(N1516&gt;=Parâmetros!$B$40,"B",IF(N1516&gt;=Parâmetros!$B$41,"C","D"))))</f>
        <v>R</v>
      </c>
      <c r="Q1516" s="10" t="str">
        <f aca="false">IF(F1516="","Completar cadastro","")</f>
        <v>Completar cadastro</v>
      </c>
      <c r="R1516" s="10" t="str">
        <f aca="false">INDEX(Parâmetros!$D$39:$D$43,MATCH(P1516,Parâmetros!$A$39:$A$43,0))</f>
        <v>Reciclar: requalificar, reengajar ou encerrar</v>
      </c>
    </row>
    <row r="1517" customFormat="false" ht="15" hidden="false" customHeight="false" outlineLevel="0" collapsed="false">
      <c r="A1517" s="10" t="s">
        <v>1763</v>
      </c>
      <c r="B1517" s="10" t="s">
        <v>84</v>
      </c>
      <c r="C1517" s="10" t="s">
        <v>85</v>
      </c>
      <c r="D1517" s="10" t="s">
        <v>165</v>
      </c>
      <c r="E1517" s="10" t="s">
        <v>47</v>
      </c>
      <c r="F1517" s="10"/>
      <c r="G1517" s="10" t="s">
        <v>162</v>
      </c>
      <c r="H1517" s="30" t="n">
        <v>42791</v>
      </c>
      <c r="I1517" s="8" t="n">
        <f aca="false">INDEX(Parâmetros!$C$13:$C$19,MATCH(E1517,Parâmetros!$A$13:$A$19,0))</f>
        <v>5482</v>
      </c>
      <c r="J1517" s="26" t="n">
        <f aca="false">IF(H1517="","",Parâmetros!$B$5-H1517)</f>
        <v>309</v>
      </c>
      <c r="K1517" s="10" t="n">
        <f aca="false">INDEX(Parâmetros!$D$13:$D$19,MATCH(E1517,Parâmetros!$A$13:$A$19,0))</f>
        <v>45</v>
      </c>
      <c r="L1517" s="10" t="n">
        <f aca="false">IF(G1517="Prospecting",Parâmetros!$B$9,IF(J1517&gt;Parâmetros!$B$6,0,INDEX(Parâmetros!$C$24:$C$26,MATCH(J1517,Parâmetros!$A$24:$A$26,1))))</f>
        <v>0</v>
      </c>
      <c r="M1517" s="31" t="n">
        <f aca="false">IF(G1517="Prospecting",1,INDEX(Parâmetros!$C$32:$C$35,MATCH(J1517,Parâmetros!$A$32:$A$35,1)))</f>
        <v>0.25</v>
      </c>
      <c r="N1517" s="2" t="n">
        <f aca="false">ROUND((K1517+L1517)*M1517,0)</f>
        <v>11</v>
      </c>
      <c r="O1517" s="10" t="str">
        <f aca="false">IF(AND(G1517="Engaging",J1517&gt;Parâmetros!$B$6),"Sim","Não")</f>
        <v>Sim</v>
      </c>
      <c r="P1517" s="32" t="str">
        <f aca="false">IF(O1517="Sim","R",IF(N1517&gt;=Parâmetros!$B$39,"A",IF(N1517&gt;=Parâmetros!$B$40,"B",IF(N1517&gt;=Parâmetros!$B$41,"C","D"))))</f>
        <v>R</v>
      </c>
      <c r="Q1517" s="10" t="str">
        <f aca="false">IF(F1517="","Completar cadastro","")</f>
        <v>Completar cadastro</v>
      </c>
      <c r="R1517" s="10" t="str">
        <f aca="false">INDEX(Parâmetros!$D$39:$D$43,MATCH(P1517,Parâmetros!$A$39:$A$43,0))</f>
        <v>Reciclar: requalificar, reengajar ou encerrar</v>
      </c>
    </row>
    <row r="1518" customFormat="false" ht="15" hidden="false" customHeight="false" outlineLevel="0" collapsed="false">
      <c r="A1518" s="10" t="s">
        <v>1764</v>
      </c>
      <c r="B1518" s="10" t="s">
        <v>93</v>
      </c>
      <c r="C1518" s="10" t="s">
        <v>92</v>
      </c>
      <c r="D1518" s="10" t="s">
        <v>160</v>
      </c>
      <c r="E1518" s="10" t="s">
        <v>47</v>
      </c>
      <c r="F1518" s="10"/>
      <c r="G1518" s="10" t="s">
        <v>162</v>
      </c>
      <c r="H1518" s="30" t="n">
        <v>42791</v>
      </c>
      <c r="I1518" s="8" t="n">
        <f aca="false">INDEX(Parâmetros!$C$13:$C$19,MATCH(E1518,Parâmetros!$A$13:$A$19,0))</f>
        <v>5482</v>
      </c>
      <c r="J1518" s="26" t="n">
        <f aca="false">IF(H1518="","",Parâmetros!$B$5-H1518)</f>
        <v>309</v>
      </c>
      <c r="K1518" s="10" t="n">
        <f aca="false">INDEX(Parâmetros!$D$13:$D$19,MATCH(E1518,Parâmetros!$A$13:$A$19,0))</f>
        <v>45</v>
      </c>
      <c r="L1518" s="10" t="n">
        <f aca="false">IF(G1518="Prospecting",Parâmetros!$B$9,IF(J1518&gt;Parâmetros!$B$6,0,INDEX(Parâmetros!$C$24:$C$26,MATCH(J1518,Parâmetros!$A$24:$A$26,1))))</f>
        <v>0</v>
      </c>
      <c r="M1518" s="31" t="n">
        <f aca="false">IF(G1518="Prospecting",1,INDEX(Parâmetros!$C$32:$C$35,MATCH(J1518,Parâmetros!$A$32:$A$35,1)))</f>
        <v>0.25</v>
      </c>
      <c r="N1518" s="2" t="n">
        <f aca="false">ROUND((K1518+L1518)*M1518,0)</f>
        <v>11</v>
      </c>
      <c r="O1518" s="10" t="str">
        <f aca="false">IF(AND(G1518="Engaging",J1518&gt;Parâmetros!$B$6),"Sim","Não")</f>
        <v>Sim</v>
      </c>
      <c r="P1518" s="32" t="str">
        <f aca="false">IF(O1518="Sim","R",IF(N1518&gt;=Parâmetros!$B$39,"A",IF(N1518&gt;=Parâmetros!$B$40,"B",IF(N1518&gt;=Parâmetros!$B$41,"C","D"))))</f>
        <v>R</v>
      </c>
      <c r="Q1518" s="10" t="str">
        <f aca="false">IF(F1518="","Completar cadastro","")</f>
        <v>Completar cadastro</v>
      </c>
      <c r="R1518" s="10" t="str">
        <f aca="false">INDEX(Parâmetros!$D$39:$D$43,MATCH(P1518,Parâmetros!$A$39:$A$43,0))</f>
        <v>Reciclar: requalificar, reengajar ou encerrar</v>
      </c>
    </row>
    <row r="1519" customFormat="false" ht="15" hidden="false" customHeight="false" outlineLevel="0" collapsed="false">
      <c r="A1519" s="10" t="s">
        <v>1765</v>
      </c>
      <c r="B1519" s="10" t="s">
        <v>63</v>
      </c>
      <c r="C1519" s="10" t="s">
        <v>58</v>
      </c>
      <c r="D1519" s="10" t="s">
        <v>165</v>
      </c>
      <c r="E1519" s="10" t="s">
        <v>47</v>
      </c>
      <c r="F1519" s="10"/>
      <c r="G1519" s="10" t="s">
        <v>162</v>
      </c>
      <c r="H1519" s="30" t="n">
        <v>42791</v>
      </c>
      <c r="I1519" s="8" t="n">
        <f aca="false">INDEX(Parâmetros!$C$13:$C$19,MATCH(E1519,Parâmetros!$A$13:$A$19,0))</f>
        <v>5482</v>
      </c>
      <c r="J1519" s="26" t="n">
        <f aca="false">IF(H1519="","",Parâmetros!$B$5-H1519)</f>
        <v>309</v>
      </c>
      <c r="K1519" s="10" t="n">
        <f aca="false">INDEX(Parâmetros!$D$13:$D$19,MATCH(E1519,Parâmetros!$A$13:$A$19,0))</f>
        <v>45</v>
      </c>
      <c r="L1519" s="10" t="n">
        <f aca="false">IF(G1519="Prospecting",Parâmetros!$B$9,IF(J1519&gt;Parâmetros!$B$6,0,INDEX(Parâmetros!$C$24:$C$26,MATCH(J1519,Parâmetros!$A$24:$A$26,1))))</f>
        <v>0</v>
      </c>
      <c r="M1519" s="31" t="n">
        <f aca="false">IF(G1519="Prospecting",1,INDEX(Parâmetros!$C$32:$C$35,MATCH(J1519,Parâmetros!$A$32:$A$35,1)))</f>
        <v>0.25</v>
      </c>
      <c r="N1519" s="2" t="n">
        <f aca="false">ROUND((K1519+L1519)*M1519,0)</f>
        <v>11</v>
      </c>
      <c r="O1519" s="10" t="str">
        <f aca="false">IF(AND(G1519="Engaging",J1519&gt;Parâmetros!$B$6),"Sim","Não")</f>
        <v>Sim</v>
      </c>
      <c r="P1519" s="32" t="str">
        <f aca="false">IF(O1519="Sim","R",IF(N1519&gt;=Parâmetros!$B$39,"A",IF(N1519&gt;=Parâmetros!$B$40,"B",IF(N1519&gt;=Parâmetros!$B$41,"C","D"))))</f>
        <v>R</v>
      </c>
      <c r="Q1519" s="10" t="str">
        <f aca="false">IF(F1519="","Completar cadastro","")</f>
        <v>Completar cadastro</v>
      </c>
      <c r="R1519" s="10" t="str">
        <f aca="false">INDEX(Parâmetros!$D$39:$D$43,MATCH(P1519,Parâmetros!$A$39:$A$43,0))</f>
        <v>Reciclar: requalificar, reengajar ou encerrar</v>
      </c>
    </row>
    <row r="1520" customFormat="false" ht="15" hidden="false" customHeight="false" outlineLevel="0" collapsed="false">
      <c r="A1520" s="10" t="s">
        <v>1766</v>
      </c>
      <c r="B1520" s="10" t="s">
        <v>95</v>
      </c>
      <c r="C1520" s="10" t="s">
        <v>92</v>
      </c>
      <c r="D1520" s="10" t="s">
        <v>160</v>
      </c>
      <c r="E1520" s="10" t="s">
        <v>47</v>
      </c>
      <c r="F1520" s="10" t="s">
        <v>506</v>
      </c>
      <c r="G1520" s="10" t="s">
        <v>162</v>
      </c>
      <c r="H1520" s="30" t="n">
        <v>42792</v>
      </c>
      <c r="I1520" s="8" t="n">
        <f aca="false">INDEX(Parâmetros!$C$13:$C$19,MATCH(E1520,Parâmetros!$A$13:$A$19,0))</f>
        <v>5482</v>
      </c>
      <c r="J1520" s="26" t="n">
        <f aca="false">IF(H1520="","",Parâmetros!$B$5-H1520)</f>
        <v>308</v>
      </c>
      <c r="K1520" s="10" t="n">
        <f aca="false">INDEX(Parâmetros!$D$13:$D$19,MATCH(E1520,Parâmetros!$A$13:$A$19,0))</f>
        <v>45</v>
      </c>
      <c r="L1520" s="10" t="n">
        <f aca="false">IF(G1520="Prospecting",Parâmetros!$B$9,IF(J1520&gt;Parâmetros!$B$6,0,INDEX(Parâmetros!$C$24:$C$26,MATCH(J1520,Parâmetros!$A$24:$A$26,1))))</f>
        <v>0</v>
      </c>
      <c r="M1520" s="31" t="n">
        <f aca="false">IF(G1520="Prospecting",1,INDEX(Parâmetros!$C$32:$C$35,MATCH(J1520,Parâmetros!$A$32:$A$35,1)))</f>
        <v>0.25</v>
      </c>
      <c r="N1520" s="2" t="n">
        <f aca="false">ROUND((K1520+L1520)*M1520,0)</f>
        <v>11</v>
      </c>
      <c r="O1520" s="10" t="str">
        <f aca="false">IF(AND(G1520="Engaging",J1520&gt;Parâmetros!$B$6),"Sim","Não")</f>
        <v>Sim</v>
      </c>
      <c r="P1520" s="32" t="str">
        <f aca="false">IF(O1520="Sim","R",IF(N1520&gt;=Parâmetros!$B$39,"A",IF(N1520&gt;=Parâmetros!$B$40,"B",IF(N1520&gt;=Parâmetros!$B$41,"C","D"))))</f>
        <v>R</v>
      </c>
      <c r="Q1520" s="10" t="str">
        <f aca="false">IF(F1520="","Completar cadastro","")</f>
        <v/>
      </c>
      <c r="R1520" s="10" t="str">
        <f aca="false">INDEX(Parâmetros!$D$39:$D$43,MATCH(P1520,Parâmetros!$A$39:$A$43,0))</f>
        <v>Reciclar: requalificar, reengajar ou encerrar</v>
      </c>
    </row>
    <row r="1521" customFormat="false" ht="15" hidden="false" customHeight="false" outlineLevel="0" collapsed="false">
      <c r="A1521" s="10" t="s">
        <v>1767</v>
      </c>
      <c r="B1521" s="10" t="s">
        <v>93</v>
      </c>
      <c r="C1521" s="10" t="s">
        <v>92</v>
      </c>
      <c r="D1521" s="10" t="s">
        <v>160</v>
      </c>
      <c r="E1521" s="10" t="s">
        <v>47</v>
      </c>
      <c r="F1521" s="10"/>
      <c r="G1521" s="10" t="s">
        <v>162</v>
      </c>
      <c r="H1521" s="30" t="n">
        <v>42794</v>
      </c>
      <c r="I1521" s="8" t="n">
        <f aca="false">INDEX(Parâmetros!$C$13:$C$19,MATCH(E1521,Parâmetros!$A$13:$A$19,0))</f>
        <v>5482</v>
      </c>
      <c r="J1521" s="26" t="n">
        <f aca="false">IF(H1521="","",Parâmetros!$B$5-H1521)</f>
        <v>306</v>
      </c>
      <c r="K1521" s="10" t="n">
        <f aca="false">INDEX(Parâmetros!$D$13:$D$19,MATCH(E1521,Parâmetros!$A$13:$A$19,0))</f>
        <v>45</v>
      </c>
      <c r="L1521" s="10" t="n">
        <f aca="false">IF(G1521="Prospecting",Parâmetros!$B$9,IF(J1521&gt;Parâmetros!$B$6,0,INDEX(Parâmetros!$C$24:$C$26,MATCH(J1521,Parâmetros!$A$24:$A$26,1))))</f>
        <v>0</v>
      </c>
      <c r="M1521" s="31" t="n">
        <f aca="false">IF(G1521="Prospecting",1,INDEX(Parâmetros!$C$32:$C$35,MATCH(J1521,Parâmetros!$A$32:$A$35,1)))</f>
        <v>0.25</v>
      </c>
      <c r="N1521" s="2" t="n">
        <f aca="false">ROUND((K1521+L1521)*M1521,0)</f>
        <v>11</v>
      </c>
      <c r="O1521" s="10" t="str">
        <f aca="false">IF(AND(G1521="Engaging",J1521&gt;Parâmetros!$B$6),"Sim","Não")</f>
        <v>Sim</v>
      </c>
      <c r="P1521" s="32" t="str">
        <f aca="false">IF(O1521="Sim","R",IF(N1521&gt;=Parâmetros!$B$39,"A",IF(N1521&gt;=Parâmetros!$B$40,"B",IF(N1521&gt;=Parâmetros!$B$41,"C","D"))))</f>
        <v>R</v>
      </c>
      <c r="Q1521" s="10" t="str">
        <f aca="false">IF(F1521="","Completar cadastro","")</f>
        <v>Completar cadastro</v>
      </c>
      <c r="R1521" s="10" t="str">
        <f aca="false">INDEX(Parâmetros!$D$39:$D$43,MATCH(P1521,Parâmetros!$A$39:$A$43,0))</f>
        <v>Reciclar: requalificar, reengajar ou encerrar</v>
      </c>
    </row>
    <row r="1522" customFormat="false" ht="15" hidden="false" customHeight="false" outlineLevel="0" collapsed="false">
      <c r="A1522" s="10" t="s">
        <v>1768</v>
      </c>
      <c r="B1522" s="10" t="s">
        <v>57</v>
      </c>
      <c r="C1522" s="10" t="s">
        <v>58</v>
      </c>
      <c r="D1522" s="10" t="s">
        <v>165</v>
      </c>
      <c r="E1522" s="10" t="s">
        <v>48</v>
      </c>
      <c r="F1522" s="10"/>
      <c r="G1522" s="10" t="s">
        <v>162</v>
      </c>
      <c r="H1522" s="30" t="n">
        <v>42795</v>
      </c>
      <c r="I1522" s="8" t="n">
        <f aca="false">INDEX(Parâmetros!$C$13:$C$19,MATCH(E1522,Parâmetros!$A$13:$A$19,0))</f>
        <v>4821</v>
      </c>
      <c r="J1522" s="26" t="n">
        <f aca="false">IF(H1522="","",Parâmetros!$B$5-H1522)</f>
        <v>305</v>
      </c>
      <c r="K1522" s="10" t="n">
        <f aca="false">INDEX(Parâmetros!$D$13:$D$19,MATCH(E1522,Parâmetros!$A$13:$A$19,0))</f>
        <v>43</v>
      </c>
      <c r="L1522" s="10" t="n">
        <f aca="false">IF(G1522="Prospecting",Parâmetros!$B$9,IF(J1522&gt;Parâmetros!$B$6,0,INDEX(Parâmetros!$C$24:$C$26,MATCH(J1522,Parâmetros!$A$24:$A$26,1))))</f>
        <v>0</v>
      </c>
      <c r="M1522" s="31" t="n">
        <f aca="false">IF(G1522="Prospecting",1,INDEX(Parâmetros!$C$32:$C$35,MATCH(J1522,Parâmetros!$A$32:$A$35,1)))</f>
        <v>0.25</v>
      </c>
      <c r="N1522" s="2" t="n">
        <f aca="false">ROUND((K1522+L1522)*M1522,0)</f>
        <v>11</v>
      </c>
      <c r="O1522" s="10" t="str">
        <f aca="false">IF(AND(G1522="Engaging",J1522&gt;Parâmetros!$B$6),"Sim","Não")</f>
        <v>Sim</v>
      </c>
      <c r="P1522" s="32" t="str">
        <f aca="false">IF(O1522="Sim","R",IF(N1522&gt;=Parâmetros!$B$39,"A",IF(N1522&gt;=Parâmetros!$B$40,"B",IF(N1522&gt;=Parâmetros!$B$41,"C","D"))))</f>
        <v>R</v>
      </c>
      <c r="Q1522" s="10" t="str">
        <f aca="false">IF(F1522="","Completar cadastro","")</f>
        <v>Completar cadastro</v>
      </c>
      <c r="R1522" s="10" t="str">
        <f aca="false">INDEX(Parâmetros!$D$39:$D$43,MATCH(P1522,Parâmetros!$A$39:$A$43,0))</f>
        <v>Reciclar: requalificar, reengajar ou encerrar</v>
      </c>
    </row>
    <row r="1523" customFormat="false" ht="15" hidden="false" customHeight="false" outlineLevel="0" collapsed="false">
      <c r="A1523" s="10" t="s">
        <v>1769</v>
      </c>
      <c r="B1523" s="10" t="s">
        <v>97</v>
      </c>
      <c r="C1523" s="10" t="s">
        <v>92</v>
      </c>
      <c r="D1523" s="10" t="s">
        <v>160</v>
      </c>
      <c r="E1523" s="10" t="s">
        <v>48</v>
      </c>
      <c r="F1523" s="10"/>
      <c r="G1523" s="10" t="s">
        <v>162</v>
      </c>
      <c r="H1523" s="30" t="n">
        <v>42795</v>
      </c>
      <c r="I1523" s="8" t="n">
        <f aca="false">INDEX(Parâmetros!$C$13:$C$19,MATCH(E1523,Parâmetros!$A$13:$A$19,0))</f>
        <v>4821</v>
      </c>
      <c r="J1523" s="26" t="n">
        <f aca="false">IF(H1523="","",Parâmetros!$B$5-H1523)</f>
        <v>305</v>
      </c>
      <c r="K1523" s="10" t="n">
        <f aca="false">INDEX(Parâmetros!$D$13:$D$19,MATCH(E1523,Parâmetros!$A$13:$A$19,0))</f>
        <v>43</v>
      </c>
      <c r="L1523" s="10" t="n">
        <f aca="false">IF(G1523="Prospecting",Parâmetros!$B$9,IF(J1523&gt;Parâmetros!$B$6,0,INDEX(Parâmetros!$C$24:$C$26,MATCH(J1523,Parâmetros!$A$24:$A$26,1))))</f>
        <v>0</v>
      </c>
      <c r="M1523" s="31" t="n">
        <f aca="false">IF(G1523="Prospecting",1,INDEX(Parâmetros!$C$32:$C$35,MATCH(J1523,Parâmetros!$A$32:$A$35,1)))</f>
        <v>0.25</v>
      </c>
      <c r="N1523" s="2" t="n">
        <f aca="false">ROUND((K1523+L1523)*M1523,0)</f>
        <v>11</v>
      </c>
      <c r="O1523" s="10" t="str">
        <f aca="false">IF(AND(G1523="Engaging",J1523&gt;Parâmetros!$B$6),"Sim","Não")</f>
        <v>Sim</v>
      </c>
      <c r="P1523" s="32" t="str">
        <f aca="false">IF(O1523="Sim","R",IF(N1523&gt;=Parâmetros!$B$39,"A",IF(N1523&gt;=Parâmetros!$B$40,"B",IF(N1523&gt;=Parâmetros!$B$41,"C","D"))))</f>
        <v>R</v>
      </c>
      <c r="Q1523" s="10" t="str">
        <f aca="false">IF(F1523="","Completar cadastro","")</f>
        <v>Completar cadastro</v>
      </c>
      <c r="R1523" s="10" t="str">
        <f aca="false">INDEX(Parâmetros!$D$39:$D$43,MATCH(P1523,Parâmetros!$A$39:$A$43,0))</f>
        <v>Reciclar: requalificar, reengajar ou encerrar</v>
      </c>
    </row>
    <row r="1524" customFormat="false" ht="15" hidden="false" customHeight="false" outlineLevel="0" collapsed="false">
      <c r="A1524" s="10" t="s">
        <v>1770</v>
      </c>
      <c r="B1524" s="10" t="s">
        <v>86</v>
      </c>
      <c r="C1524" s="10" t="s">
        <v>85</v>
      </c>
      <c r="D1524" s="10" t="s">
        <v>165</v>
      </c>
      <c r="E1524" s="10" t="s">
        <v>48</v>
      </c>
      <c r="F1524" s="10" t="s">
        <v>762</v>
      </c>
      <c r="G1524" s="10" t="s">
        <v>162</v>
      </c>
      <c r="H1524" s="30" t="n">
        <v>42797</v>
      </c>
      <c r="I1524" s="8" t="n">
        <f aca="false">INDEX(Parâmetros!$C$13:$C$19,MATCH(E1524,Parâmetros!$A$13:$A$19,0))</f>
        <v>4821</v>
      </c>
      <c r="J1524" s="26" t="n">
        <f aca="false">IF(H1524="","",Parâmetros!$B$5-H1524)</f>
        <v>303</v>
      </c>
      <c r="K1524" s="10" t="n">
        <f aca="false">INDEX(Parâmetros!$D$13:$D$19,MATCH(E1524,Parâmetros!$A$13:$A$19,0))</f>
        <v>43</v>
      </c>
      <c r="L1524" s="10" t="n">
        <f aca="false">IF(G1524="Prospecting",Parâmetros!$B$9,IF(J1524&gt;Parâmetros!$B$6,0,INDEX(Parâmetros!$C$24:$C$26,MATCH(J1524,Parâmetros!$A$24:$A$26,1))))</f>
        <v>0</v>
      </c>
      <c r="M1524" s="31" t="n">
        <f aca="false">IF(G1524="Prospecting",1,INDEX(Parâmetros!$C$32:$C$35,MATCH(J1524,Parâmetros!$A$32:$A$35,1)))</f>
        <v>0.25</v>
      </c>
      <c r="N1524" s="2" t="n">
        <f aca="false">ROUND((K1524+L1524)*M1524,0)</f>
        <v>11</v>
      </c>
      <c r="O1524" s="10" t="str">
        <f aca="false">IF(AND(G1524="Engaging",J1524&gt;Parâmetros!$B$6),"Sim","Não")</f>
        <v>Sim</v>
      </c>
      <c r="P1524" s="32" t="str">
        <f aca="false">IF(O1524="Sim","R",IF(N1524&gt;=Parâmetros!$B$39,"A",IF(N1524&gt;=Parâmetros!$B$40,"B",IF(N1524&gt;=Parâmetros!$B$41,"C","D"))))</f>
        <v>R</v>
      </c>
      <c r="Q1524" s="10" t="str">
        <f aca="false">IF(F1524="","Completar cadastro","")</f>
        <v/>
      </c>
      <c r="R1524" s="10" t="str">
        <f aca="false">INDEX(Parâmetros!$D$39:$D$43,MATCH(P1524,Parâmetros!$A$39:$A$43,0))</f>
        <v>Reciclar: requalificar, reengajar ou encerrar</v>
      </c>
    </row>
    <row r="1525" customFormat="false" ht="15" hidden="false" customHeight="false" outlineLevel="0" collapsed="false">
      <c r="A1525" s="10" t="s">
        <v>1771</v>
      </c>
      <c r="B1525" s="10" t="s">
        <v>95</v>
      </c>
      <c r="C1525" s="10" t="s">
        <v>92</v>
      </c>
      <c r="D1525" s="10" t="s">
        <v>160</v>
      </c>
      <c r="E1525" s="10" t="s">
        <v>48</v>
      </c>
      <c r="F1525" s="10"/>
      <c r="G1525" s="10" t="s">
        <v>162</v>
      </c>
      <c r="H1525" s="30" t="n">
        <v>42797</v>
      </c>
      <c r="I1525" s="8" t="n">
        <f aca="false">INDEX(Parâmetros!$C$13:$C$19,MATCH(E1525,Parâmetros!$A$13:$A$19,0))</f>
        <v>4821</v>
      </c>
      <c r="J1525" s="26" t="n">
        <f aca="false">IF(H1525="","",Parâmetros!$B$5-H1525)</f>
        <v>303</v>
      </c>
      <c r="K1525" s="10" t="n">
        <f aca="false">INDEX(Parâmetros!$D$13:$D$19,MATCH(E1525,Parâmetros!$A$13:$A$19,0))</f>
        <v>43</v>
      </c>
      <c r="L1525" s="10" t="n">
        <f aca="false">IF(G1525="Prospecting",Parâmetros!$B$9,IF(J1525&gt;Parâmetros!$B$6,0,INDEX(Parâmetros!$C$24:$C$26,MATCH(J1525,Parâmetros!$A$24:$A$26,1))))</f>
        <v>0</v>
      </c>
      <c r="M1525" s="31" t="n">
        <f aca="false">IF(G1525="Prospecting",1,INDEX(Parâmetros!$C$32:$C$35,MATCH(J1525,Parâmetros!$A$32:$A$35,1)))</f>
        <v>0.25</v>
      </c>
      <c r="N1525" s="2" t="n">
        <f aca="false">ROUND((K1525+L1525)*M1525,0)</f>
        <v>11</v>
      </c>
      <c r="O1525" s="10" t="str">
        <f aca="false">IF(AND(G1525="Engaging",J1525&gt;Parâmetros!$B$6),"Sim","Não")</f>
        <v>Sim</v>
      </c>
      <c r="P1525" s="32" t="str">
        <f aca="false">IF(O1525="Sim","R",IF(N1525&gt;=Parâmetros!$B$39,"A",IF(N1525&gt;=Parâmetros!$B$40,"B",IF(N1525&gt;=Parâmetros!$B$41,"C","D"))))</f>
        <v>R</v>
      </c>
      <c r="Q1525" s="10" t="str">
        <f aca="false">IF(F1525="","Completar cadastro","")</f>
        <v>Completar cadastro</v>
      </c>
      <c r="R1525" s="10" t="str">
        <f aca="false">INDEX(Parâmetros!$D$39:$D$43,MATCH(P1525,Parâmetros!$A$39:$A$43,0))</f>
        <v>Reciclar: requalificar, reengajar ou encerrar</v>
      </c>
    </row>
    <row r="1526" customFormat="false" ht="15" hidden="false" customHeight="false" outlineLevel="0" collapsed="false">
      <c r="A1526" s="10" t="s">
        <v>1772</v>
      </c>
      <c r="B1526" s="10" t="s">
        <v>63</v>
      </c>
      <c r="C1526" s="10" t="s">
        <v>58</v>
      </c>
      <c r="D1526" s="10" t="s">
        <v>165</v>
      </c>
      <c r="E1526" s="10" t="s">
        <v>47</v>
      </c>
      <c r="F1526" s="10"/>
      <c r="G1526" s="10" t="s">
        <v>162</v>
      </c>
      <c r="H1526" s="30" t="n">
        <v>42797</v>
      </c>
      <c r="I1526" s="8" t="n">
        <f aca="false">INDEX(Parâmetros!$C$13:$C$19,MATCH(E1526,Parâmetros!$A$13:$A$19,0))</f>
        <v>5482</v>
      </c>
      <c r="J1526" s="26" t="n">
        <f aca="false">IF(H1526="","",Parâmetros!$B$5-H1526)</f>
        <v>303</v>
      </c>
      <c r="K1526" s="10" t="n">
        <f aca="false">INDEX(Parâmetros!$D$13:$D$19,MATCH(E1526,Parâmetros!$A$13:$A$19,0))</f>
        <v>45</v>
      </c>
      <c r="L1526" s="10" t="n">
        <f aca="false">IF(G1526="Prospecting",Parâmetros!$B$9,IF(J1526&gt;Parâmetros!$B$6,0,INDEX(Parâmetros!$C$24:$C$26,MATCH(J1526,Parâmetros!$A$24:$A$26,1))))</f>
        <v>0</v>
      </c>
      <c r="M1526" s="31" t="n">
        <f aca="false">IF(G1526="Prospecting",1,INDEX(Parâmetros!$C$32:$C$35,MATCH(J1526,Parâmetros!$A$32:$A$35,1)))</f>
        <v>0.25</v>
      </c>
      <c r="N1526" s="2" t="n">
        <f aca="false">ROUND((K1526+L1526)*M1526,0)</f>
        <v>11</v>
      </c>
      <c r="O1526" s="10" t="str">
        <f aca="false">IF(AND(G1526="Engaging",J1526&gt;Parâmetros!$B$6),"Sim","Não")</f>
        <v>Sim</v>
      </c>
      <c r="P1526" s="32" t="str">
        <f aca="false">IF(O1526="Sim","R",IF(N1526&gt;=Parâmetros!$B$39,"A",IF(N1526&gt;=Parâmetros!$B$40,"B",IF(N1526&gt;=Parâmetros!$B$41,"C","D"))))</f>
        <v>R</v>
      </c>
      <c r="Q1526" s="10" t="str">
        <f aca="false">IF(F1526="","Completar cadastro","")</f>
        <v>Completar cadastro</v>
      </c>
      <c r="R1526" s="10" t="str">
        <f aca="false">INDEX(Parâmetros!$D$39:$D$43,MATCH(P1526,Parâmetros!$A$39:$A$43,0))</f>
        <v>Reciclar: requalificar, reengajar ou encerrar</v>
      </c>
    </row>
    <row r="1527" customFormat="false" ht="15" hidden="false" customHeight="false" outlineLevel="0" collapsed="false">
      <c r="A1527" s="10" t="s">
        <v>1773</v>
      </c>
      <c r="B1527" s="10" t="s">
        <v>97</v>
      </c>
      <c r="C1527" s="10" t="s">
        <v>92</v>
      </c>
      <c r="D1527" s="10" t="s">
        <v>160</v>
      </c>
      <c r="E1527" s="10" t="s">
        <v>48</v>
      </c>
      <c r="F1527" s="10" t="s">
        <v>405</v>
      </c>
      <c r="G1527" s="10" t="s">
        <v>162</v>
      </c>
      <c r="H1527" s="30" t="n">
        <v>42798</v>
      </c>
      <c r="I1527" s="8" t="n">
        <f aca="false">INDEX(Parâmetros!$C$13:$C$19,MATCH(E1527,Parâmetros!$A$13:$A$19,0))</f>
        <v>4821</v>
      </c>
      <c r="J1527" s="26" t="n">
        <f aca="false">IF(H1527="","",Parâmetros!$B$5-H1527)</f>
        <v>302</v>
      </c>
      <c r="K1527" s="10" t="n">
        <f aca="false">INDEX(Parâmetros!$D$13:$D$19,MATCH(E1527,Parâmetros!$A$13:$A$19,0))</f>
        <v>43</v>
      </c>
      <c r="L1527" s="10" t="n">
        <f aca="false">IF(G1527="Prospecting",Parâmetros!$B$9,IF(J1527&gt;Parâmetros!$B$6,0,INDEX(Parâmetros!$C$24:$C$26,MATCH(J1527,Parâmetros!$A$24:$A$26,1))))</f>
        <v>0</v>
      </c>
      <c r="M1527" s="31" t="n">
        <f aca="false">IF(G1527="Prospecting",1,INDEX(Parâmetros!$C$32:$C$35,MATCH(J1527,Parâmetros!$A$32:$A$35,1)))</f>
        <v>0.25</v>
      </c>
      <c r="N1527" s="2" t="n">
        <f aca="false">ROUND((K1527+L1527)*M1527,0)</f>
        <v>11</v>
      </c>
      <c r="O1527" s="10" t="str">
        <f aca="false">IF(AND(G1527="Engaging",J1527&gt;Parâmetros!$B$6),"Sim","Não")</f>
        <v>Sim</v>
      </c>
      <c r="P1527" s="32" t="str">
        <f aca="false">IF(O1527="Sim","R",IF(N1527&gt;=Parâmetros!$B$39,"A",IF(N1527&gt;=Parâmetros!$B$40,"B",IF(N1527&gt;=Parâmetros!$B$41,"C","D"))))</f>
        <v>R</v>
      </c>
      <c r="Q1527" s="10" t="str">
        <f aca="false">IF(F1527="","Completar cadastro","")</f>
        <v/>
      </c>
      <c r="R1527" s="10" t="str">
        <f aca="false">INDEX(Parâmetros!$D$39:$D$43,MATCH(P1527,Parâmetros!$A$39:$A$43,0))</f>
        <v>Reciclar: requalificar, reengajar ou encerrar</v>
      </c>
    </row>
    <row r="1528" customFormat="false" ht="15" hidden="false" customHeight="false" outlineLevel="0" collapsed="false">
      <c r="A1528" s="10" t="s">
        <v>1774</v>
      </c>
      <c r="B1528" s="10" t="s">
        <v>97</v>
      </c>
      <c r="C1528" s="10" t="s">
        <v>92</v>
      </c>
      <c r="D1528" s="10" t="s">
        <v>160</v>
      </c>
      <c r="E1528" s="10" t="s">
        <v>48</v>
      </c>
      <c r="F1528" s="10"/>
      <c r="G1528" s="10" t="s">
        <v>162</v>
      </c>
      <c r="H1528" s="30" t="n">
        <v>42798</v>
      </c>
      <c r="I1528" s="8" t="n">
        <f aca="false">INDEX(Parâmetros!$C$13:$C$19,MATCH(E1528,Parâmetros!$A$13:$A$19,0))</f>
        <v>4821</v>
      </c>
      <c r="J1528" s="26" t="n">
        <f aca="false">IF(H1528="","",Parâmetros!$B$5-H1528)</f>
        <v>302</v>
      </c>
      <c r="K1528" s="10" t="n">
        <f aca="false">INDEX(Parâmetros!$D$13:$D$19,MATCH(E1528,Parâmetros!$A$13:$A$19,0))</f>
        <v>43</v>
      </c>
      <c r="L1528" s="10" t="n">
        <f aca="false">IF(G1528="Prospecting",Parâmetros!$B$9,IF(J1528&gt;Parâmetros!$B$6,0,INDEX(Parâmetros!$C$24:$C$26,MATCH(J1528,Parâmetros!$A$24:$A$26,1))))</f>
        <v>0</v>
      </c>
      <c r="M1528" s="31" t="n">
        <f aca="false">IF(G1528="Prospecting",1,INDEX(Parâmetros!$C$32:$C$35,MATCH(J1528,Parâmetros!$A$32:$A$35,1)))</f>
        <v>0.25</v>
      </c>
      <c r="N1528" s="2" t="n">
        <f aca="false">ROUND((K1528+L1528)*M1528,0)</f>
        <v>11</v>
      </c>
      <c r="O1528" s="10" t="str">
        <f aca="false">IF(AND(G1528="Engaging",J1528&gt;Parâmetros!$B$6),"Sim","Não")</f>
        <v>Sim</v>
      </c>
      <c r="P1528" s="32" t="str">
        <f aca="false">IF(O1528="Sim","R",IF(N1528&gt;=Parâmetros!$B$39,"A",IF(N1528&gt;=Parâmetros!$B$40,"B",IF(N1528&gt;=Parâmetros!$B$41,"C","D"))))</f>
        <v>R</v>
      </c>
      <c r="Q1528" s="10" t="str">
        <f aca="false">IF(F1528="","Completar cadastro","")</f>
        <v>Completar cadastro</v>
      </c>
      <c r="R1528" s="10" t="str">
        <f aca="false">INDEX(Parâmetros!$D$39:$D$43,MATCH(P1528,Parâmetros!$A$39:$A$43,0))</f>
        <v>Reciclar: requalificar, reengajar ou encerrar</v>
      </c>
    </row>
    <row r="1529" customFormat="false" ht="15" hidden="false" customHeight="false" outlineLevel="0" collapsed="false">
      <c r="A1529" s="10" t="s">
        <v>1775</v>
      </c>
      <c r="B1529" s="10" t="s">
        <v>97</v>
      </c>
      <c r="C1529" s="10" t="s">
        <v>92</v>
      </c>
      <c r="D1529" s="10" t="s">
        <v>160</v>
      </c>
      <c r="E1529" s="10" t="s">
        <v>48</v>
      </c>
      <c r="F1529" s="10"/>
      <c r="G1529" s="10" t="s">
        <v>162</v>
      </c>
      <c r="H1529" s="30" t="n">
        <v>42801</v>
      </c>
      <c r="I1529" s="8" t="n">
        <f aca="false">INDEX(Parâmetros!$C$13:$C$19,MATCH(E1529,Parâmetros!$A$13:$A$19,0))</f>
        <v>4821</v>
      </c>
      <c r="J1529" s="26" t="n">
        <f aca="false">IF(H1529="","",Parâmetros!$B$5-H1529)</f>
        <v>299</v>
      </c>
      <c r="K1529" s="10" t="n">
        <f aca="false">INDEX(Parâmetros!$D$13:$D$19,MATCH(E1529,Parâmetros!$A$13:$A$19,0))</f>
        <v>43</v>
      </c>
      <c r="L1529" s="10" t="n">
        <f aca="false">IF(G1529="Prospecting",Parâmetros!$B$9,IF(J1529&gt;Parâmetros!$B$6,0,INDEX(Parâmetros!$C$24:$C$26,MATCH(J1529,Parâmetros!$A$24:$A$26,1))))</f>
        <v>0</v>
      </c>
      <c r="M1529" s="31" t="n">
        <f aca="false">IF(G1529="Prospecting",1,INDEX(Parâmetros!$C$32:$C$35,MATCH(J1529,Parâmetros!$A$32:$A$35,1)))</f>
        <v>0.25</v>
      </c>
      <c r="N1529" s="2" t="n">
        <f aca="false">ROUND((K1529+L1529)*M1529,0)</f>
        <v>11</v>
      </c>
      <c r="O1529" s="10" t="str">
        <f aca="false">IF(AND(G1529="Engaging",J1529&gt;Parâmetros!$B$6),"Sim","Não")</f>
        <v>Sim</v>
      </c>
      <c r="P1529" s="32" t="str">
        <f aca="false">IF(O1529="Sim","R",IF(N1529&gt;=Parâmetros!$B$39,"A",IF(N1529&gt;=Parâmetros!$B$40,"B",IF(N1529&gt;=Parâmetros!$B$41,"C","D"))))</f>
        <v>R</v>
      </c>
      <c r="Q1529" s="10" t="str">
        <f aca="false">IF(F1529="","Completar cadastro","")</f>
        <v>Completar cadastro</v>
      </c>
      <c r="R1529" s="10" t="str">
        <f aca="false">INDEX(Parâmetros!$D$39:$D$43,MATCH(P1529,Parâmetros!$A$39:$A$43,0))</f>
        <v>Reciclar: requalificar, reengajar ou encerrar</v>
      </c>
    </row>
    <row r="1530" customFormat="false" ht="15" hidden="false" customHeight="false" outlineLevel="0" collapsed="false">
      <c r="A1530" s="10" t="s">
        <v>1776</v>
      </c>
      <c r="B1530" s="10" t="s">
        <v>93</v>
      </c>
      <c r="C1530" s="10" t="s">
        <v>92</v>
      </c>
      <c r="D1530" s="10" t="s">
        <v>160</v>
      </c>
      <c r="E1530" s="10" t="s">
        <v>47</v>
      </c>
      <c r="F1530" s="10"/>
      <c r="G1530" s="10" t="s">
        <v>162</v>
      </c>
      <c r="H1530" s="30" t="n">
        <v>42804</v>
      </c>
      <c r="I1530" s="8" t="n">
        <f aca="false">INDEX(Parâmetros!$C$13:$C$19,MATCH(E1530,Parâmetros!$A$13:$A$19,0))</f>
        <v>5482</v>
      </c>
      <c r="J1530" s="26" t="n">
        <f aca="false">IF(H1530="","",Parâmetros!$B$5-H1530)</f>
        <v>296</v>
      </c>
      <c r="K1530" s="10" t="n">
        <f aca="false">INDEX(Parâmetros!$D$13:$D$19,MATCH(E1530,Parâmetros!$A$13:$A$19,0))</f>
        <v>45</v>
      </c>
      <c r="L1530" s="10" t="n">
        <f aca="false">IF(G1530="Prospecting",Parâmetros!$B$9,IF(J1530&gt;Parâmetros!$B$6,0,INDEX(Parâmetros!$C$24:$C$26,MATCH(J1530,Parâmetros!$A$24:$A$26,1))))</f>
        <v>0</v>
      </c>
      <c r="M1530" s="31" t="n">
        <f aca="false">IF(G1530="Prospecting",1,INDEX(Parâmetros!$C$32:$C$35,MATCH(J1530,Parâmetros!$A$32:$A$35,1)))</f>
        <v>0.25</v>
      </c>
      <c r="N1530" s="2" t="n">
        <f aca="false">ROUND((K1530+L1530)*M1530,0)</f>
        <v>11</v>
      </c>
      <c r="O1530" s="10" t="str">
        <f aca="false">IF(AND(G1530="Engaging",J1530&gt;Parâmetros!$B$6),"Sim","Não")</f>
        <v>Sim</v>
      </c>
      <c r="P1530" s="32" t="str">
        <f aca="false">IF(O1530="Sim","R",IF(N1530&gt;=Parâmetros!$B$39,"A",IF(N1530&gt;=Parâmetros!$B$40,"B",IF(N1530&gt;=Parâmetros!$B$41,"C","D"))))</f>
        <v>R</v>
      </c>
      <c r="Q1530" s="10" t="str">
        <f aca="false">IF(F1530="","Completar cadastro","")</f>
        <v>Completar cadastro</v>
      </c>
      <c r="R1530" s="10" t="str">
        <f aca="false">INDEX(Parâmetros!$D$39:$D$43,MATCH(P1530,Parâmetros!$A$39:$A$43,0))</f>
        <v>Reciclar: requalificar, reengajar ou encerrar</v>
      </c>
    </row>
    <row r="1531" customFormat="false" ht="15" hidden="false" customHeight="false" outlineLevel="0" collapsed="false">
      <c r="A1531" s="10" t="s">
        <v>1777</v>
      </c>
      <c r="B1531" s="10" t="s">
        <v>94</v>
      </c>
      <c r="C1531" s="10" t="s">
        <v>92</v>
      </c>
      <c r="D1531" s="10" t="s">
        <v>160</v>
      </c>
      <c r="E1531" s="10" t="s">
        <v>48</v>
      </c>
      <c r="F1531" s="10"/>
      <c r="G1531" s="10" t="s">
        <v>162</v>
      </c>
      <c r="H1531" s="30" t="n">
        <v>42806</v>
      </c>
      <c r="I1531" s="8" t="n">
        <f aca="false">INDEX(Parâmetros!$C$13:$C$19,MATCH(E1531,Parâmetros!$A$13:$A$19,0))</f>
        <v>4821</v>
      </c>
      <c r="J1531" s="26" t="n">
        <f aca="false">IF(H1531="","",Parâmetros!$B$5-H1531)</f>
        <v>294</v>
      </c>
      <c r="K1531" s="10" t="n">
        <f aca="false">INDEX(Parâmetros!$D$13:$D$19,MATCH(E1531,Parâmetros!$A$13:$A$19,0))</f>
        <v>43</v>
      </c>
      <c r="L1531" s="10" t="n">
        <f aca="false">IF(G1531="Prospecting",Parâmetros!$B$9,IF(J1531&gt;Parâmetros!$B$6,0,INDEX(Parâmetros!$C$24:$C$26,MATCH(J1531,Parâmetros!$A$24:$A$26,1))))</f>
        <v>0</v>
      </c>
      <c r="M1531" s="31" t="n">
        <f aca="false">IF(G1531="Prospecting",1,INDEX(Parâmetros!$C$32:$C$35,MATCH(J1531,Parâmetros!$A$32:$A$35,1)))</f>
        <v>0.25</v>
      </c>
      <c r="N1531" s="2" t="n">
        <f aca="false">ROUND((K1531+L1531)*M1531,0)</f>
        <v>11</v>
      </c>
      <c r="O1531" s="10" t="str">
        <f aca="false">IF(AND(G1531="Engaging",J1531&gt;Parâmetros!$B$6),"Sim","Não")</f>
        <v>Sim</v>
      </c>
      <c r="P1531" s="32" t="str">
        <f aca="false">IF(O1531="Sim","R",IF(N1531&gt;=Parâmetros!$B$39,"A",IF(N1531&gt;=Parâmetros!$B$40,"B",IF(N1531&gt;=Parâmetros!$B$41,"C","D"))))</f>
        <v>R</v>
      </c>
      <c r="Q1531" s="10" t="str">
        <f aca="false">IF(F1531="","Completar cadastro","")</f>
        <v>Completar cadastro</v>
      </c>
      <c r="R1531" s="10" t="str">
        <f aca="false">INDEX(Parâmetros!$D$39:$D$43,MATCH(P1531,Parâmetros!$A$39:$A$43,0))</f>
        <v>Reciclar: requalificar, reengajar ou encerrar</v>
      </c>
    </row>
    <row r="1532" customFormat="false" ht="15" hidden="false" customHeight="false" outlineLevel="0" collapsed="false">
      <c r="A1532" s="10" t="s">
        <v>1778</v>
      </c>
      <c r="B1532" s="10" t="s">
        <v>87</v>
      </c>
      <c r="C1532" s="10" t="s">
        <v>85</v>
      </c>
      <c r="D1532" s="10" t="s">
        <v>165</v>
      </c>
      <c r="E1532" s="10" t="s">
        <v>48</v>
      </c>
      <c r="F1532" s="10"/>
      <c r="G1532" s="10" t="s">
        <v>162</v>
      </c>
      <c r="H1532" s="30" t="n">
        <v>42808</v>
      </c>
      <c r="I1532" s="8" t="n">
        <f aca="false">INDEX(Parâmetros!$C$13:$C$19,MATCH(E1532,Parâmetros!$A$13:$A$19,0))</f>
        <v>4821</v>
      </c>
      <c r="J1532" s="26" t="n">
        <f aca="false">IF(H1532="","",Parâmetros!$B$5-H1532)</f>
        <v>292</v>
      </c>
      <c r="K1532" s="10" t="n">
        <f aca="false">INDEX(Parâmetros!$D$13:$D$19,MATCH(E1532,Parâmetros!$A$13:$A$19,0))</f>
        <v>43</v>
      </c>
      <c r="L1532" s="10" t="n">
        <f aca="false">IF(G1532="Prospecting",Parâmetros!$B$9,IF(J1532&gt;Parâmetros!$B$6,0,INDEX(Parâmetros!$C$24:$C$26,MATCH(J1532,Parâmetros!$A$24:$A$26,1))))</f>
        <v>0</v>
      </c>
      <c r="M1532" s="31" t="n">
        <f aca="false">IF(G1532="Prospecting",1,INDEX(Parâmetros!$C$32:$C$35,MATCH(J1532,Parâmetros!$A$32:$A$35,1)))</f>
        <v>0.25</v>
      </c>
      <c r="N1532" s="2" t="n">
        <f aca="false">ROUND((K1532+L1532)*M1532,0)</f>
        <v>11</v>
      </c>
      <c r="O1532" s="10" t="str">
        <f aca="false">IF(AND(G1532="Engaging",J1532&gt;Parâmetros!$B$6),"Sim","Não")</f>
        <v>Sim</v>
      </c>
      <c r="P1532" s="32" t="str">
        <f aca="false">IF(O1532="Sim","R",IF(N1532&gt;=Parâmetros!$B$39,"A",IF(N1532&gt;=Parâmetros!$B$40,"B",IF(N1532&gt;=Parâmetros!$B$41,"C","D"))))</f>
        <v>R</v>
      </c>
      <c r="Q1532" s="10" t="str">
        <f aca="false">IF(F1532="","Completar cadastro","")</f>
        <v>Completar cadastro</v>
      </c>
      <c r="R1532" s="10" t="str">
        <f aca="false">INDEX(Parâmetros!$D$39:$D$43,MATCH(P1532,Parâmetros!$A$39:$A$43,0))</f>
        <v>Reciclar: requalificar, reengajar ou encerrar</v>
      </c>
    </row>
    <row r="1533" customFormat="false" ht="15" hidden="false" customHeight="false" outlineLevel="0" collapsed="false">
      <c r="A1533" s="10" t="s">
        <v>1779</v>
      </c>
      <c r="B1533" s="10" t="s">
        <v>68</v>
      </c>
      <c r="C1533" s="10" t="s">
        <v>65</v>
      </c>
      <c r="D1533" s="10" t="s">
        <v>160</v>
      </c>
      <c r="E1533" s="10" t="s">
        <v>47</v>
      </c>
      <c r="F1533" s="10"/>
      <c r="G1533" s="10" t="s">
        <v>162</v>
      </c>
      <c r="H1533" s="30" t="n">
        <v>42808</v>
      </c>
      <c r="I1533" s="8" t="n">
        <f aca="false">INDEX(Parâmetros!$C$13:$C$19,MATCH(E1533,Parâmetros!$A$13:$A$19,0))</f>
        <v>5482</v>
      </c>
      <c r="J1533" s="26" t="n">
        <f aca="false">IF(H1533="","",Parâmetros!$B$5-H1533)</f>
        <v>292</v>
      </c>
      <c r="K1533" s="10" t="n">
        <f aca="false">INDEX(Parâmetros!$D$13:$D$19,MATCH(E1533,Parâmetros!$A$13:$A$19,0))</f>
        <v>45</v>
      </c>
      <c r="L1533" s="10" t="n">
        <f aca="false">IF(G1533="Prospecting",Parâmetros!$B$9,IF(J1533&gt;Parâmetros!$B$6,0,INDEX(Parâmetros!$C$24:$C$26,MATCH(J1533,Parâmetros!$A$24:$A$26,1))))</f>
        <v>0</v>
      </c>
      <c r="M1533" s="31" t="n">
        <f aca="false">IF(G1533="Prospecting",1,INDEX(Parâmetros!$C$32:$C$35,MATCH(J1533,Parâmetros!$A$32:$A$35,1)))</f>
        <v>0.25</v>
      </c>
      <c r="N1533" s="2" t="n">
        <f aca="false">ROUND((K1533+L1533)*M1533,0)</f>
        <v>11</v>
      </c>
      <c r="O1533" s="10" t="str">
        <f aca="false">IF(AND(G1533="Engaging",J1533&gt;Parâmetros!$B$6),"Sim","Não")</f>
        <v>Sim</v>
      </c>
      <c r="P1533" s="32" t="str">
        <f aca="false">IF(O1533="Sim","R",IF(N1533&gt;=Parâmetros!$B$39,"A",IF(N1533&gt;=Parâmetros!$B$40,"B",IF(N1533&gt;=Parâmetros!$B$41,"C","D"))))</f>
        <v>R</v>
      </c>
      <c r="Q1533" s="10" t="str">
        <f aca="false">IF(F1533="","Completar cadastro","")</f>
        <v>Completar cadastro</v>
      </c>
      <c r="R1533" s="10" t="str">
        <f aca="false">INDEX(Parâmetros!$D$39:$D$43,MATCH(P1533,Parâmetros!$A$39:$A$43,0))</f>
        <v>Reciclar: requalificar, reengajar ou encerrar</v>
      </c>
    </row>
    <row r="1534" customFormat="false" ht="15" hidden="false" customHeight="false" outlineLevel="0" collapsed="false">
      <c r="A1534" s="10" t="s">
        <v>1780</v>
      </c>
      <c r="B1534" s="10" t="s">
        <v>95</v>
      </c>
      <c r="C1534" s="10" t="s">
        <v>92</v>
      </c>
      <c r="D1534" s="10" t="s">
        <v>160</v>
      </c>
      <c r="E1534" s="10" t="s">
        <v>48</v>
      </c>
      <c r="F1534" s="10"/>
      <c r="G1534" s="10" t="s">
        <v>162</v>
      </c>
      <c r="H1534" s="30" t="n">
        <v>42809</v>
      </c>
      <c r="I1534" s="8" t="n">
        <f aca="false">INDEX(Parâmetros!$C$13:$C$19,MATCH(E1534,Parâmetros!$A$13:$A$19,0))</f>
        <v>4821</v>
      </c>
      <c r="J1534" s="26" t="n">
        <f aca="false">IF(H1534="","",Parâmetros!$B$5-H1534)</f>
        <v>291</v>
      </c>
      <c r="K1534" s="10" t="n">
        <f aca="false">INDEX(Parâmetros!$D$13:$D$19,MATCH(E1534,Parâmetros!$A$13:$A$19,0))</f>
        <v>43</v>
      </c>
      <c r="L1534" s="10" t="n">
        <f aca="false">IF(G1534="Prospecting",Parâmetros!$B$9,IF(J1534&gt;Parâmetros!$B$6,0,INDEX(Parâmetros!$C$24:$C$26,MATCH(J1534,Parâmetros!$A$24:$A$26,1))))</f>
        <v>0</v>
      </c>
      <c r="M1534" s="31" t="n">
        <f aca="false">IF(G1534="Prospecting",1,INDEX(Parâmetros!$C$32:$C$35,MATCH(J1534,Parâmetros!$A$32:$A$35,1)))</f>
        <v>0.25</v>
      </c>
      <c r="N1534" s="2" t="n">
        <f aca="false">ROUND((K1534+L1534)*M1534,0)</f>
        <v>11</v>
      </c>
      <c r="O1534" s="10" t="str">
        <f aca="false">IF(AND(G1534="Engaging",J1534&gt;Parâmetros!$B$6),"Sim","Não")</f>
        <v>Sim</v>
      </c>
      <c r="P1534" s="32" t="str">
        <f aca="false">IF(O1534="Sim","R",IF(N1534&gt;=Parâmetros!$B$39,"A",IF(N1534&gt;=Parâmetros!$B$40,"B",IF(N1534&gt;=Parâmetros!$B$41,"C","D"))))</f>
        <v>R</v>
      </c>
      <c r="Q1534" s="10" t="str">
        <f aca="false">IF(F1534="","Completar cadastro","")</f>
        <v>Completar cadastro</v>
      </c>
      <c r="R1534" s="10" t="str">
        <f aca="false">INDEX(Parâmetros!$D$39:$D$43,MATCH(P1534,Parâmetros!$A$39:$A$43,0))</f>
        <v>Reciclar: requalificar, reengajar ou encerrar</v>
      </c>
    </row>
    <row r="1535" customFormat="false" ht="15" hidden="false" customHeight="false" outlineLevel="0" collapsed="false">
      <c r="A1535" s="10" t="s">
        <v>1781</v>
      </c>
      <c r="B1535" s="10" t="s">
        <v>87</v>
      </c>
      <c r="C1535" s="10" t="s">
        <v>85</v>
      </c>
      <c r="D1535" s="10" t="s">
        <v>165</v>
      </c>
      <c r="E1535" s="10" t="s">
        <v>47</v>
      </c>
      <c r="F1535" s="10"/>
      <c r="G1535" s="10" t="s">
        <v>162</v>
      </c>
      <c r="H1535" s="30" t="n">
        <v>42810</v>
      </c>
      <c r="I1535" s="8" t="n">
        <f aca="false">INDEX(Parâmetros!$C$13:$C$19,MATCH(E1535,Parâmetros!$A$13:$A$19,0))</f>
        <v>5482</v>
      </c>
      <c r="J1535" s="26" t="n">
        <f aca="false">IF(H1535="","",Parâmetros!$B$5-H1535)</f>
        <v>290</v>
      </c>
      <c r="K1535" s="10" t="n">
        <f aca="false">INDEX(Parâmetros!$D$13:$D$19,MATCH(E1535,Parâmetros!$A$13:$A$19,0))</f>
        <v>45</v>
      </c>
      <c r="L1535" s="10" t="n">
        <f aca="false">IF(G1535="Prospecting",Parâmetros!$B$9,IF(J1535&gt;Parâmetros!$B$6,0,INDEX(Parâmetros!$C$24:$C$26,MATCH(J1535,Parâmetros!$A$24:$A$26,1))))</f>
        <v>0</v>
      </c>
      <c r="M1535" s="31" t="n">
        <f aca="false">IF(G1535="Prospecting",1,INDEX(Parâmetros!$C$32:$C$35,MATCH(J1535,Parâmetros!$A$32:$A$35,1)))</f>
        <v>0.25</v>
      </c>
      <c r="N1535" s="2" t="n">
        <f aca="false">ROUND((K1535+L1535)*M1535,0)</f>
        <v>11</v>
      </c>
      <c r="O1535" s="10" t="str">
        <f aca="false">IF(AND(G1535="Engaging",J1535&gt;Parâmetros!$B$6),"Sim","Não")</f>
        <v>Sim</v>
      </c>
      <c r="P1535" s="32" t="str">
        <f aca="false">IF(O1535="Sim","R",IF(N1535&gt;=Parâmetros!$B$39,"A",IF(N1535&gt;=Parâmetros!$B$40,"B",IF(N1535&gt;=Parâmetros!$B$41,"C","D"))))</f>
        <v>R</v>
      </c>
      <c r="Q1535" s="10" t="str">
        <f aca="false">IF(F1535="","Completar cadastro","")</f>
        <v>Completar cadastro</v>
      </c>
      <c r="R1535" s="10" t="str">
        <f aca="false">INDEX(Parâmetros!$D$39:$D$43,MATCH(P1535,Parâmetros!$A$39:$A$43,0))</f>
        <v>Reciclar: requalificar, reengajar ou encerrar</v>
      </c>
    </row>
    <row r="1536" customFormat="false" ht="15" hidden="false" customHeight="false" outlineLevel="0" collapsed="false">
      <c r="A1536" s="10" t="s">
        <v>1782</v>
      </c>
      <c r="B1536" s="10" t="s">
        <v>68</v>
      </c>
      <c r="C1536" s="10" t="s">
        <v>65</v>
      </c>
      <c r="D1536" s="10" t="s">
        <v>160</v>
      </c>
      <c r="E1536" s="10" t="s">
        <v>48</v>
      </c>
      <c r="F1536" s="10"/>
      <c r="G1536" s="10" t="s">
        <v>162</v>
      </c>
      <c r="H1536" s="30" t="n">
        <v>42810</v>
      </c>
      <c r="I1536" s="8" t="n">
        <f aca="false">INDEX(Parâmetros!$C$13:$C$19,MATCH(E1536,Parâmetros!$A$13:$A$19,0))</f>
        <v>4821</v>
      </c>
      <c r="J1536" s="26" t="n">
        <f aca="false">IF(H1536="","",Parâmetros!$B$5-H1536)</f>
        <v>290</v>
      </c>
      <c r="K1536" s="10" t="n">
        <f aca="false">INDEX(Parâmetros!$D$13:$D$19,MATCH(E1536,Parâmetros!$A$13:$A$19,0))</f>
        <v>43</v>
      </c>
      <c r="L1536" s="10" t="n">
        <f aca="false">IF(G1536="Prospecting",Parâmetros!$B$9,IF(J1536&gt;Parâmetros!$B$6,0,INDEX(Parâmetros!$C$24:$C$26,MATCH(J1536,Parâmetros!$A$24:$A$26,1))))</f>
        <v>0</v>
      </c>
      <c r="M1536" s="31" t="n">
        <f aca="false">IF(G1536="Prospecting",1,INDEX(Parâmetros!$C$32:$C$35,MATCH(J1536,Parâmetros!$A$32:$A$35,1)))</f>
        <v>0.25</v>
      </c>
      <c r="N1536" s="2" t="n">
        <f aca="false">ROUND((K1536+L1536)*M1536,0)</f>
        <v>11</v>
      </c>
      <c r="O1536" s="10" t="str">
        <f aca="false">IF(AND(G1536="Engaging",J1536&gt;Parâmetros!$B$6),"Sim","Não")</f>
        <v>Sim</v>
      </c>
      <c r="P1536" s="32" t="str">
        <f aca="false">IF(O1536="Sim","R",IF(N1536&gt;=Parâmetros!$B$39,"A",IF(N1536&gt;=Parâmetros!$B$40,"B",IF(N1536&gt;=Parâmetros!$B$41,"C","D"))))</f>
        <v>R</v>
      </c>
      <c r="Q1536" s="10" t="str">
        <f aca="false">IF(F1536="","Completar cadastro","")</f>
        <v>Completar cadastro</v>
      </c>
      <c r="R1536" s="10" t="str">
        <f aca="false">INDEX(Parâmetros!$D$39:$D$43,MATCH(P1536,Parâmetros!$A$39:$A$43,0))</f>
        <v>Reciclar: requalificar, reengajar ou encerrar</v>
      </c>
    </row>
    <row r="1537" customFormat="false" ht="15" hidden="false" customHeight="false" outlineLevel="0" collapsed="false">
      <c r="A1537" s="10" t="s">
        <v>1783</v>
      </c>
      <c r="B1537" s="10" t="s">
        <v>61</v>
      </c>
      <c r="C1537" s="10" t="s">
        <v>58</v>
      </c>
      <c r="D1537" s="10" t="s">
        <v>165</v>
      </c>
      <c r="E1537" s="10" t="s">
        <v>47</v>
      </c>
      <c r="F1537" s="10"/>
      <c r="G1537" s="10" t="s">
        <v>162</v>
      </c>
      <c r="H1537" s="30" t="n">
        <v>42810</v>
      </c>
      <c r="I1537" s="8" t="n">
        <f aca="false">INDEX(Parâmetros!$C$13:$C$19,MATCH(E1537,Parâmetros!$A$13:$A$19,0))</f>
        <v>5482</v>
      </c>
      <c r="J1537" s="26" t="n">
        <f aca="false">IF(H1537="","",Parâmetros!$B$5-H1537)</f>
        <v>290</v>
      </c>
      <c r="K1537" s="10" t="n">
        <f aca="false">INDEX(Parâmetros!$D$13:$D$19,MATCH(E1537,Parâmetros!$A$13:$A$19,0))</f>
        <v>45</v>
      </c>
      <c r="L1537" s="10" t="n">
        <f aca="false">IF(G1537="Prospecting",Parâmetros!$B$9,IF(J1537&gt;Parâmetros!$B$6,0,INDEX(Parâmetros!$C$24:$C$26,MATCH(J1537,Parâmetros!$A$24:$A$26,1))))</f>
        <v>0</v>
      </c>
      <c r="M1537" s="31" t="n">
        <f aca="false">IF(G1537="Prospecting",1,INDEX(Parâmetros!$C$32:$C$35,MATCH(J1537,Parâmetros!$A$32:$A$35,1)))</f>
        <v>0.25</v>
      </c>
      <c r="N1537" s="2" t="n">
        <f aca="false">ROUND((K1537+L1537)*M1537,0)</f>
        <v>11</v>
      </c>
      <c r="O1537" s="10" t="str">
        <f aca="false">IF(AND(G1537="Engaging",J1537&gt;Parâmetros!$B$6),"Sim","Não")</f>
        <v>Sim</v>
      </c>
      <c r="P1537" s="32" t="str">
        <f aca="false">IF(O1537="Sim","R",IF(N1537&gt;=Parâmetros!$B$39,"A",IF(N1537&gt;=Parâmetros!$B$40,"B",IF(N1537&gt;=Parâmetros!$B$41,"C","D"))))</f>
        <v>R</v>
      </c>
      <c r="Q1537" s="10" t="str">
        <f aca="false">IF(F1537="","Completar cadastro","")</f>
        <v>Completar cadastro</v>
      </c>
      <c r="R1537" s="10" t="str">
        <f aca="false">INDEX(Parâmetros!$D$39:$D$43,MATCH(P1537,Parâmetros!$A$39:$A$43,0))</f>
        <v>Reciclar: requalificar, reengajar ou encerrar</v>
      </c>
    </row>
    <row r="1538" customFormat="false" ht="15" hidden="false" customHeight="false" outlineLevel="0" collapsed="false">
      <c r="A1538" s="10" t="s">
        <v>1784</v>
      </c>
      <c r="B1538" s="10" t="s">
        <v>95</v>
      </c>
      <c r="C1538" s="10" t="s">
        <v>92</v>
      </c>
      <c r="D1538" s="10" t="s">
        <v>160</v>
      </c>
      <c r="E1538" s="10" t="s">
        <v>47</v>
      </c>
      <c r="F1538" s="10"/>
      <c r="G1538" s="10" t="s">
        <v>162</v>
      </c>
      <c r="H1538" s="30" t="n">
        <v>42811</v>
      </c>
      <c r="I1538" s="8" t="n">
        <f aca="false">INDEX(Parâmetros!$C$13:$C$19,MATCH(E1538,Parâmetros!$A$13:$A$19,0))</f>
        <v>5482</v>
      </c>
      <c r="J1538" s="26" t="n">
        <f aca="false">IF(H1538="","",Parâmetros!$B$5-H1538)</f>
        <v>289</v>
      </c>
      <c r="K1538" s="10" t="n">
        <f aca="false">INDEX(Parâmetros!$D$13:$D$19,MATCH(E1538,Parâmetros!$A$13:$A$19,0))</f>
        <v>45</v>
      </c>
      <c r="L1538" s="10" t="n">
        <f aca="false">IF(G1538="Prospecting",Parâmetros!$B$9,IF(J1538&gt;Parâmetros!$B$6,0,INDEX(Parâmetros!$C$24:$C$26,MATCH(J1538,Parâmetros!$A$24:$A$26,1))))</f>
        <v>0</v>
      </c>
      <c r="M1538" s="31" t="n">
        <f aca="false">IF(G1538="Prospecting",1,INDEX(Parâmetros!$C$32:$C$35,MATCH(J1538,Parâmetros!$A$32:$A$35,1)))</f>
        <v>0.25</v>
      </c>
      <c r="N1538" s="2" t="n">
        <f aca="false">ROUND((K1538+L1538)*M1538,0)</f>
        <v>11</v>
      </c>
      <c r="O1538" s="10" t="str">
        <f aca="false">IF(AND(G1538="Engaging",J1538&gt;Parâmetros!$B$6),"Sim","Não")</f>
        <v>Sim</v>
      </c>
      <c r="P1538" s="32" t="str">
        <f aca="false">IF(O1538="Sim","R",IF(N1538&gt;=Parâmetros!$B$39,"A",IF(N1538&gt;=Parâmetros!$B$40,"B",IF(N1538&gt;=Parâmetros!$B$41,"C","D"))))</f>
        <v>R</v>
      </c>
      <c r="Q1538" s="10" t="str">
        <f aca="false">IF(F1538="","Completar cadastro","")</f>
        <v>Completar cadastro</v>
      </c>
      <c r="R1538" s="10" t="str">
        <f aca="false">INDEX(Parâmetros!$D$39:$D$43,MATCH(P1538,Parâmetros!$A$39:$A$43,0))</f>
        <v>Reciclar: requalificar, reengajar ou encerrar</v>
      </c>
    </row>
    <row r="1539" customFormat="false" ht="15" hidden="false" customHeight="false" outlineLevel="0" collapsed="false">
      <c r="A1539" s="10" t="s">
        <v>1785</v>
      </c>
      <c r="B1539" s="10" t="s">
        <v>69</v>
      </c>
      <c r="C1539" s="10" t="s">
        <v>65</v>
      </c>
      <c r="D1539" s="10" t="s">
        <v>160</v>
      </c>
      <c r="E1539" s="10" t="s">
        <v>47</v>
      </c>
      <c r="F1539" s="10" t="s">
        <v>369</v>
      </c>
      <c r="G1539" s="10" t="s">
        <v>162</v>
      </c>
      <c r="H1539" s="30" t="n">
        <v>42811</v>
      </c>
      <c r="I1539" s="8" t="n">
        <f aca="false">INDEX(Parâmetros!$C$13:$C$19,MATCH(E1539,Parâmetros!$A$13:$A$19,0))</f>
        <v>5482</v>
      </c>
      <c r="J1539" s="26" t="n">
        <f aca="false">IF(H1539="","",Parâmetros!$B$5-H1539)</f>
        <v>289</v>
      </c>
      <c r="K1539" s="10" t="n">
        <f aca="false">INDEX(Parâmetros!$D$13:$D$19,MATCH(E1539,Parâmetros!$A$13:$A$19,0))</f>
        <v>45</v>
      </c>
      <c r="L1539" s="10" t="n">
        <f aca="false">IF(G1539="Prospecting",Parâmetros!$B$9,IF(J1539&gt;Parâmetros!$B$6,0,INDEX(Parâmetros!$C$24:$C$26,MATCH(J1539,Parâmetros!$A$24:$A$26,1))))</f>
        <v>0</v>
      </c>
      <c r="M1539" s="31" t="n">
        <f aca="false">IF(G1539="Prospecting",1,INDEX(Parâmetros!$C$32:$C$35,MATCH(J1539,Parâmetros!$A$32:$A$35,1)))</f>
        <v>0.25</v>
      </c>
      <c r="N1539" s="2" t="n">
        <f aca="false">ROUND((K1539+L1539)*M1539,0)</f>
        <v>11</v>
      </c>
      <c r="O1539" s="10" t="str">
        <f aca="false">IF(AND(G1539="Engaging",J1539&gt;Parâmetros!$B$6),"Sim","Não")</f>
        <v>Sim</v>
      </c>
      <c r="P1539" s="32" t="str">
        <f aca="false">IF(O1539="Sim","R",IF(N1539&gt;=Parâmetros!$B$39,"A",IF(N1539&gt;=Parâmetros!$B$40,"B",IF(N1539&gt;=Parâmetros!$B$41,"C","D"))))</f>
        <v>R</v>
      </c>
      <c r="Q1539" s="10" t="str">
        <f aca="false">IF(F1539="","Completar cadastro","")</f>
        <v/>
      </c>
      <c r="R1539" s="10" t="str">
        <f aca="false">INDEX(Parâmetros!$D$39:$D$43,MATCH(P1539,Parâmetros!$A$39:$A$43,0))</f>
        <v>Reciclar: requalificar, reengajar ou encerrar</v>
      </c>
    </row>
    <row r="1540" customFormat="false" ht="15" hidden="false" customHeight="false" outlineLevel="0" collapsed="false">
      <c r="A1540" s="10" t="s">
        <v>1786</v>
      </c>
      <c r="B1540" s="10" t="s">
        <v>70</v>
      </c>
      <c r="C1540" s="10" t="s">
        <v>65</v>
      </c>
      <c r="D1540" s="10" t="s">
        <v>160</v>
      </c>
      <c r="E1540" s="10" t="s">
        <v>47</v>
      </c>
      <c r="F1540" s="10"/>
      <c r="G1540" s="10" t="s">
        <v>162</v>
      </c>
      <c r="H1540" s="30" t="n">
        <v>42811</v>
      </c>
      <c r="I1540" s="8" t="n">
        <f aca="false">INDEX(Parâmetros!$C$13:$C$19,MATCH(E1540,Parâmetros!$A$13:$A$19,0))</f>
        <v>5482</v>
      </c>
      <c r="J1540" s="26" t="n">
        <f aca="false">IF(H1540="","",Parâmetros!$B$5-H1540)</f>
        <v>289</v>
      </c>
      <c r="K1540" s="10" t="n">
        <f aca="false">INDEX(Parâmetros!$D$13:$D$19,MATCH(E1540,Parâmetros!$A$13:$A$19,0))</f>
        <v>45</v>
      </c>
      <c r="L1540" s="10" t="n">
        <f aca="false">IF(G1540="Prospecting",Parâmetros!$B$9,IF(J1540&gt;Parâmetros!$B$6,0,INDEX(Parâmetros!$C$24:$C$26,MATCH(J1540,Parâmetros!$A$24:$A$26,1))))</f>
        <v>0</v>
      </c>
      <c r="M1540" s="31" t="n">
        <f aca="false">IF(G1540="Prospecting",1,INDEX(Parâmetros!$C$32:$C$35,MATCH(J1540,Parâmetros!$A$32:$A$35,1)))</f>
        <v>0.25</v>
      </c>
      <c r="N1540" s="2" t="n">
        <f aca="false">ROUND((K1540+L1540)*M1540,0)</f>
        <v>11</v>
      </c>
      <c r="O1540" s="10" t="str">
        <f aca="false">IF(AND(G1540="Engaging",J1540&gt;Parâmetros!$B$6),"Sim","Não")</f>
        <v>Sim</v>
      </c>
      <c r="P1540" s="32" t="str">
        <f aca="false">IF(O1540="Sim","R",IF(N1540&gt;=Parâmetros!$B$39,"A",IF(N1540&gt;=Parâmetros!$B$40,"B",IF(N1540&gt;=Parâmetros!$B$41,"C","D"))))</f>
        <v>R</v>
      </c>
      <c r="Q1540" s="10" t="str">
        <f aca="false">IF(F1540="","Completar cadastro","")</f>
        <v>Completar cadastro</v>
      </c>
      <c r="R1540" s="10" t="str">
        <f aca="false">INDEX(Parâmetros!$D$39:$D$43,MATCH(P1540,Parâmetros!$A$39:$A$43,0))</f>
        <v>Reciclar: requalificar, reengajar ou encerrar</v>
      </c>
    </row>
    <row r="1541" customFormat="false" ht="15" hidden="false" customHeight="false" outlineLevel="0" collapsed="false">
      <c r="A1541" s="10" t="s">
        <v>1787</v>
      </c>
      <c r="B1541" s="10" t="s">
        <v>97</v>
      </c>
      <c r="C1541" s="10" t="s">
        <v>92</v>
      </c>
      <c r="D1541" s="10" t="s">
        <v>160</v>
      </c>
      <c r="E1541" s="10" t="s">
        <v>48</v>
      </c>
      <c r="F1541" s="10"/>
      <c r="G1541" s="10" t="s">
        <v>162</v>
      </c>
      <c r="H1541" s="30" t="n">
        <v>42813</v>
      </c>
      <c r="I1541" s="8" t="n">
        <f aca="false">INDEX(Parâmetros!$C$13:$C$19,MATCH(E1541,Parâmetros!$A$13:$A$19,0))</f>
        <v>4821</v>
      </c>
      <c r="J1541" s="26" t="n">
        <f aca="false">IF(H1541="","",Parâmetros!$B$5-H1541)</f>
        <v>287</v>
      </c>
      <c r="K1541" s="10" t="n">
        <f aca="false">INDEX(Parâmetros!$D$13:$D$19,MATCH(E1541,Parâmetros!$A$13:$A$19,0))</f>
        <v>43</v>
      </c>
      <c r="L1541" s="10" t="n">
        <f aca="false">IF(G1541="Prospecting",Parâmetros!$B$9,IF(J1541&gt;Parâmetros!$B$6,0,INDEX(Parâmetros!$C$24:$C$26,MATCH(J1541,Parâmetros!$A$24:$A$26,1))))</f>
        <v>0</v>
      </c>
      <c r="M1541" s="31" t="n">
        <f aca="false">IF(G1541="Prospecting",1,INDEX(Parâmetros!$C$32:$C$35,MATCH(J1541,Parâmetros!$A$32:$A$35,1)))</f>
        <v>0.25</v>
      </c>
      <c r="N1541" s="2" t="n">
        <f aca="false">ROUND((K1541+L1541)*M1541,0)</f>
        <v>11</v>
      </c>
      <c r="O1541" s="10" t="str">
        <f aca="false">IF(AND(G1541="Engaging",J1541&gt;Parâmetros!$B$6),"Sim","Não")</f>
        <v>Sim</v>
      </c>
      <c r="P1541" s="32" t="str">
        <f aca="false">IF(O1541="Sim","R",IF(N1541&gt;=Parâmetros!$B$39,"A",IF(N1541&gt;=Parâmetros!$B$40,"B",IF(N1541&gt;=Parâmetros!$B$41,"C","D"))))</f>
        <v>R</v>
      </c>
      <c r="Q1541" s="10" t="str">
        <f aca="false">IF(F1541="","Completar cadastro","")</f>
        <v>Completar cadastro</v>
      </c>
      <c r="R1541" s="10" t="str">
        <f aca="false">INDEX(Parâmetros!$D$39:$D$43,MATCH(P1541,Parâmetros!$A$39:$A$43,0))</f>
        <v>Reciclar: requalificar, reengajar ou encerrar</v>
      </c>
    </row>
    <row r="1542" customFormat="false" ht="15" hidden="false" customHeight="false" outlineLevel="0" collapsed="false">
      <c r="A1542" s="10" t="s">
        <v>1788</v>
      </c>
      <c r="B1542" s="10" t="s">
        <v>86</v>
      </c>
      <c r="C1542" s="10" t="s">
        <v>85</v>
      </c>
      <c r="D1542" s="10" t="s">
        <v>165</v>
      </c>
      <c r="E1542" s="10" t="s">
        <v>48</v>
      </c>
      <c r="F1542" s="10"/>
      <c r="G1542" s="10" t="s">
        <v>162</v>
      </c>
      <c r="H1542" s="30" t="n">
        <v>42816</v>
      </c>
      <c r="I1542" s="8" t="n">
        <f aca="false">INDEX(Parâmetros!$C$13:$C$19,MATCH(E1542,Parâmetros!$A$13:$A$19,0))</f>
        <v>4821</v>
      </c>
      <c r="J1542" s="26" t="n">
        <f aca="false">IF(H1542="","",Parâmetros!$B$5-H1542)</f>
        <v>284</v>
      </c>
      <c r="K1542" s="10" t="n">
        <f aca="false">INDEX(Parâmetros!$D$13:$D$19,MATCH(E1542,Parâmetros!$A$13:$A$19,0))</f>
        <v>43</v>
      </c>
      <c r="L1542" s="10" t="n">
        <f aca="false">IF(G1542="Prospecting",Parâmetros!$B$9,IF(J1542&gt;Parâmetros!$B$6,0,INDEX(Parâmetros!$C$24:$C$26,MATCH(J1542,Parâmetros!$A$24:$A$26,1))))</f>
        <v>0</v>
      </c>
      <c r="M1542" s="31" t="n">
        <f aca="false">IF(G1542="Prospecting",1,INDEX(Parâmetros!$C$32:$C$35,MATCH(J1542,Parâmetros!$A$32:$A$35,1)))</f>
        <v>0.25</v>
      </c>
      <c r="N1542" s="2" t="n">
        <f aca="false">ROUND((K1542+L1542)*M1542,0)</f>
        <v>11</v>
      </c>
      <c r="O1542" s="10" t="str">
        <f aca="false">IF(AND(G1542="Engaging",J1542&gt;Parâmetros!$B$6),"Sim","Não")</f>
        <v>Sim</v>
      </c>
      <c r="P1542" s="32" t="str">
        <f aca="false">IF(O1542="Sim","R",IF(N1542&gt;=Parâmetros!$B$39,"A",IF(N1542&gt;=Parâmetros!$B$40,"B",IF(N1542&gt;=Parâmetros!$B$41,"C","D"))))</f>
        <v>R</v>
      </c>
      <c r="Q1542" s="10" t="str">
        <f aca="false">IF(F1542="","Completar cadastro","")</f>
        <v>Completar cadastro</v>
      </c>
      <c r="R1542" s="10" t="str">
        <f aca="false">INDEX(Parâmetros!$D$39:$D$43,MATCH(P1542,Parâmetros!$A$39:$A$43,0))</f>
        <v>Reciclar: requalificar, reengajar ou encerrar</v>
      </c>
    </row>
    <row r="1543" customFormat="false" ht="15" hidden="false" customHeight="false" outlineLevel="0" collapsed="false">
      <c r="A1543" s="10" t="s">
        <v>1789</v>
      </c>
      <c r="B1543" s="10" t="s">
        <v>62</v>
      </c>
      <c r="C1543" s="10" t="s">
        <v>58</v>
      </c>
      <c r="D1543" s="10" t="s">
        <v>165</v>
      </c>
      <c r="E1543" s="10" t="s">
        <v>48</v>
      </c>
      <c r="F1543" s="10"/>
      <c r="G1543" s="10" t="s">
        <v>162</v>
      </c>
      <c r="H1543" s="30" t="n">
        <v>42816</v>
      </c>
      <c r="I1543" s="8" t="n">
        <f aca="false">INDEX(Parâmetros!$C$13:$C$19,MATCH(E1543,Parâmetros!$A$13:$A$19,0))</f>
        <v>4821</v>
      </c>
      <c r="J1543" s="26" t="n">
        <f aca="false">IF(H1543="","",Parâmetros!$B$5-H1543)</f>
        <v>284</v>
      </c>
      <c r="K1543" s="10" t="n">
        <f aca="false">INDEX(Parâmetros!$D$13:$D$19,MATCH(E1543,Parâmetros!$A$13:$A$19,0))</f>
        <v>43</v>
      </c>
      <c r="L1543" s="10" t="n">
        <f aca="false">IF(G1543="Prospecting",Parâmetros!$B$9,IF(J1543&gt;Parâmetros!$B$6,0,INDEX(Parâmetros!$C$24:$C$26,MATCH(J1543,Parâmetros!$A$24:$A$26,1))))</f>
        <v>0</v>
      </c>
      <c r="M1543" s="31" t="n">
        <f aca="false">IF(G1543="Prospecting",1,INDEX(Parâmetros!$C$32:$C$35,MATCH(J1543,Parâmetros!$A$32:$A$35,1)))</f>
        <v>0.25</v>
      </c>
      <c r="N1543" s="2" t="n">
        <f aca="false">ROUND((K1543+L1543)*M1543,0)</f>
        <v>11</v>
      </c>
      <c r="O1543" s="10" t="str">
        <f aca="false">IF(AND(G1543="Engaging",J1543&gt;Parâmetros!$B$6),"Sim","Não")</f>
        <v>Sim</v>
      </c>
      <c r="P1543" s="32" t="str">
        <f aca="false">IF(O1543="Sim","R",IF(N1543&gt;=Parâmetros!$B$39,"A",IF(N1543&gt;=Parâmetros!$B$40,"B",IF(N1543&gt;=Parâmetros!$B$41,"C","D"))))</f>
        <v>R</v>
      </c>
      <c r="Q1543" s="10" t="str">
        <f aca="false">IF(F1543="","Completar cadastro","")</f>
        <v>Completar cadastro</v>
      </c>
      <c r="R1543" s="10" t="str">
        <f aca="false">INDEX(Parâmetros!$D$39:$D$43,MATCH(P1543,Parâmetros!$A$39:$A$43,0))</f>
        <v>Reciclar: requalificar, reengajar ou encerrar</v>
      </c>
    </row>
    <row r="1544" customFormat="false" ht="15" hidden="false" customHeight="false" outlineLevel="0" collapsed="false">
      <c r="A1544" s="10" t="s">
        <v>1790</v>
      </c>
      <c r="B1544" s="10" t="s">
        <v>95</v>
      </c>
      <c r="C1544" s="10" t="s">
        <v>92</v>
      </c>
      <c r="D1544" s="10" t="s">
        <v>160</v>
      </c>
      <c r="E1544" s="10" t="s">
        <v>48</v>
      </c>
      <c r="F1544" s="10"/>
      <c r="G1544" s="10" t="s">
        <v>162</v>
      </c>
      <c r="H1544" s="30" t="n">
        <v>42817</v>
      </c>
      <c r="I1544" s="8" t="n">
        <f aca="false">INDEX(Parâmetros!$C$13:$C$19,MATCH(E1544,Parâmetros!$A$13:$A$19,0))</f>
        <v>4821</v>
      </c>
      <c r="J1544" s="26" t="n">
        <f aca="false">IF(H1544="","",Parâmetros!$B$5-H1544)</f>
        <v>283</v>
      </c>
      <c r="K1544" s="10" t="n">
        <f aca="false">INDEX(Parâmetros!$D$13:$D$19,MATCH(E1544,Parâmetros!$A$13:$A$19,0))</f>
        <v>43</v>
      </c>
      <c r="L1544" s="10" t="n">
        <f aca="false">IF(G1544="Prospecting",Parâmetros!$B$9,IF(J1544&gt;Parâmetros!$B$6,0,INDEX(Parâmetros!$C$24:$C$26,MATCH(J1544,Parâmetros!$A$24:$A$26,1))))</f>
        <v>0</v>
      </c>
      <c r="M1544" s="31" t="n">
        <f aca="false">IF(G1544="Prospecting",1,INDEX(Parâmetros!$C$32:$C$35,MATCH(J1544,Parâmetros!$A$32:$A$35,1)))</f>
        <v>0.25</v>
      </c>
      <c r="N1544" s="2" t="n">
        <f aca="false">ROUND((K1544+L1544)*M1544,0)</f>
        <v>11</v>
      </c>
      <c r="O1544" s="10" t="str">
        <f aca="false">IF(AND(G1544="Engaging",J1544&gt;Parâmetros!$B$6),"Sim","Não")</f>
        <v>Sim</v>
      </c>
      <c r="P1544" s="32" t="str">
        <f aca="false">IF(O1544="Sim","R",IF(N1544&gt;=Parâmetros!$B$39,"A",IF(N1544&gt;=Parâmetros!$B$40,"B",IF(N1544&gt;=Parâmetros!$B$41,"C","D"))))</f>
        <v>R</v>
      </c>
      <c r="Q1544" s="10" t="str">
        <f aca="false">IF(F1544="","Completar cadastro","")</f>
        <v>Completar cadastro</v>
      </c>
      <c r="R1544" s="10" t="str">
        <f aca="false">INDEX(Parâmetros!$D$39:$D$43,MATCH(P1544,Parâmetros!$A$39:$A$43,0))</f>
        <v>Reciclar: requalificar, reengajar ou encerrar</v>
      </c>
    </row>
    <row r="1545" customFormat="false" ht="15" hidden="false" customHeight="false" outlineLevel="0" collapsed="false">
      <c r="A1545" s="10" t="s">
        <v>1791</v>
      </c>
      <c r="B1545" s="10" t="s">
        <v>86</v>
      </c>
      <c r="C1545" s="10" t="s">
        <v>85</v>
      </c>
      <c r="D1545" s="10" t="s">
        <v>165</v>
      </c>
      <c r="E1545" s="10" t="s">
        <v>47</v>
      </c>
      <c r="F1545" s="10"/>
      <c r="G1545" s="10" t="s">
        <v>162</v>
      </c>
      <c r="H1545" s="30" t="n">
        <v>42818</v>
      </c>
      <c r="I1545" s="8" t="n">
        <f aca="false">INDEX(Parâmetros!$C$13:$C$19,MATCH(E1545,Parâmetros!$A$13:$A$19,0))</f>
        <v>5482</v>
      </c>
      <c r="J1545" s="26" t="n">
        <f aca="false">IF(H1545="","",Parâmetros!$B$5-H1545)</f>
        <v>282</v>
      </c>
      <c r="K1545" s="10" t="n">
        <f aca="false">INDEX(Parâmetros!$D$13:$D$19,MATCH(E1545,Parâmetros!$A$13:$A$19,0))</f>
        <v>45</v>
      </c>
      <c r="L1545" s="10" t="n">
        <f aca="false">IF(G1545="Prospecting",Parâmetros!$B$9,IF(J1545&gt;Parâmetros!$B$6,0,INDEX(Parâmetros!$C$24:$C$26,MATCH(J1545,Parâmetros!$A$24:$A$26,1))))</f>
        <v>0</v>
      </c>
      <c r="M1545" s="31" t="n">
        <f aca="false">IF(G1545="Prospecting",1,INDEX(Parâmetros!$C$32:$C$35,MATCH(J1545,Parâmetros!$A$32:$A$35,1)))</f>
        <v>0.25</v>
      </c>
      <c r="N1545" s="2" t="n">
        <f aca="false">ROUND((K1545+L1545)*M1545,0)</f>
        <v>11</v>
      </c>
      <c r="O1545" s="10" t="str">
        <f aca="false">IF(AND(G1545="Engaging",J1545&gt;Parâmetros!$B$6),"Sim","Não")</f>
        <v>Sim</v>
      </c>
      <c r="P1545" s="32" t="str">
        <f aca="false">IF(O1545="Sim","R",IF(N1545&gt;=Parâmetros!$B$39,"A",IF(N1545&gt;=Parâmetros!$B$40,"B",IF(N1545&gt;=Parâmetros!$B$41,"C","D"))))</f>
        <v>R</v>
      </c>
      <c r="Q1545" s="10" t="str">
        <f aca="false">IF(F1545="","Completar cadastro","")</f>
        <v>Completar cadastro</v>
      </c>
      <c r="R1545" s="10" t="str">
        <f aca="false">INDEX(Parâmetros!$D$39:$D$43,MATCH(P1545,Parâmetros!$A$39:$A$43,0))</f>
        <v>Reciclar: requalificar, reengajar ou encerrar</v>
      </c>
    </row>
    <row r="1546" customFormat="false" ht="15" hidden="false" customHeight="false" outlineLevel="0" collapsed="false">
      <c r="A1546" s="10" t="s">
        <v>1792</v>
      </c>
      <c r="B1546" s="10" t="s">
        <v>95</v>
      </c>
      <c r="C1546" s="10" t="s">
        <v>92</v>
      </c>
      <c r="D1546" s="10" t="s">
        <v>160</v>
      </c>
      <c r="E1546" s="10" t="s">
        <v>47</v>
      </c>
      <c r="F1546" s="10"/>
      <c r="G1546" s="10" t="s">
        <v>162</v>
      </c>
      <c r="H1546" s="30" t="n">
        <v>42818</v>
      </c>
      <c r="I1546" s="8" t="n">
        <f aca="false">INDEX(Parâmetros!$C$13:$C$19,MATCH(E1546,Parâmetros!$A$13:$A$19,0))</f>
        <v>5482</v>
      </c>
      <c r="J1546" s="26" t="n">
        <f aca="false">IF(H1546="","",Parâmetros!$B$5-H1546)</f>
        <v>282</v>
      </c>
      <c r="K1546" s="10" t="n">
        <f aca="false">INDEX(Parâmetros!$D$13:$D$19,MATCH(E1546,Parâmetros!$A$13:$A$19,0))</f>
        <v>45</v>
      </c>
      <c r="L1546" s="10" t="n">
        <f aca="false">IF(G1546="Prospecting",Parâmetros!$B$9,IF(J1546&gt;Parâmetros!$B$6,0,INDEX(Parâmetros!$C$24:$C$26,MATCH(J1546,Parâmetros!$A$24:$A$26,1))))</f>
        <v>0</v>
      </c>
      <c r="M1546" s="31" t="n">
        <f aca="false">IF(G1546="Prospecting",1,INDEX(Parâmetros!$C$32:$C$35,MATCH(J1546,Parâmetros!$A$32:$A$35,1)))</f>
        <v>0.25</v>
      </c>
      <c r="N1546" s="2" t="n">
        <f aca="false">ROUND((K1546+L1546)*M1546,0)</f>
        <v>11</v>
      </c>
      <c r="O1546" s="10" t="str">
        <f aca="false">IF(AND(G1546="Engaging",J1546&gt;Parâmetros!$B$6),"Sim","Não")</f>
        <v>Sim</v>
      </c>
      <c r="P1546" s="32" t="str">
        <f aca="false">IF(O1546="Sim","R",IF(N1546&gt;=Parâmetros!$B$39,"A",IF(N1546&gt;=Parâmetros!$B$40,"B",IF(N1546&gt;=Parâmetros!$B$41,"C","D"))))</f>
        <v>R</v>
      </c>
      <c r="Q1546" s="10" t="str">
        <f aca="false">IF(F1546="","Completar cadastro","")</f>
        <v>Completar cadastro</v>
      </c>
      <c r="R1546" s="10" t="str">
        <f aca="false">INDEX(Parâmetros!$D$39:$D$43,MATCH(P1546,Parâmetros!$A$39:$A$43,0))</f>
        <v>Reciclar: requalificar, reengajar ou encerrar</v>
      </c>
    </row>
    <row r="1547" customFormat="false" ht="15" hidden="false" customHeight="false" outlineLevel="0" collapsed="false">
      <c r="A1547" s="10" t="s">
        <v>1793</v>
      </c>
      <c r="B1547" s="10" t="s">
        <v>97</v>
      </c>
      <c r="C1547" s="10" t="s">
        <v>92</v>
      </c>
      <c r="D1547" s="10" t="s">
        <v>160</v>
      </c>
      <c r="E1547" s="10" t="s">
        <v>47</v>
      </c>
      <c r="F1547" s="10"/>
      <c r="G1547" s="10" t="s">
        <v>162</v>
      </c>
      <c r="H1547" s="30" t="n">
        <v>42818</v>
      </c>
      <c r="I1547" s="8" t="n">
        <f aca="false">INDEX(Parâmetros!$C$13:$C$19,MATCH(E1547,Parâmetros!$A$13:$A$19,0))</f>
        <v>5482</v>
      </c>
      <c r="J1547" s="26" t="n">
        <f aca="false">IF(H1547="","",Parâmetros!$B$5-H1547)</f>
        <v>282</v>
      </c>
      <c r="K1547" s="10" t="n">
        <f aca="false">INDEX(Parâmetros!$D$13:$D$19,MATCH(E1547,Parâmetros!$A$13:$A$19,0))</f>
        <v>45</v>
      </c>
      <c r="L1547" s="10" t="n">
        <f aca="false">IF(G1547="Prospecting",Parâmetros!$B$9,IF(J1547&gt;Parâmetros!$B$6,0,INDEX(Parâmetros!$C$24:$C$26,MATCH(J1547,Parâmetros!$A$24:$A$26,1))))</f>
        <v>0</v>
      </c>
      <c r="M1547" s="31" t="n">
        <f aca="false">IF(G1547="Prospecting",1,INDEX(Parâmetros!$C$32:$C$35,MATCH(J1547,Parâmetros!$A$32:$A$35,1)))</f>
        <v>0.25</v>
      </c>
      <c r="N1547" s="2" t="n">
        <f aca="false">ROUND((K1547+L1547)*M1547,0)</f>
        <v>11</v>
      </c>
      <c r="O1547" s="10" t="str">
        <f aca="false">IF(AND(G1547="Engaging",J1547&gt;Parâmetros!$B$6),"Sim","Não")</f>
        <v>Sim</v>
      </c>
      <c r="P1547" s="32" t="str">
        <f aca="false">IF(O1547="Sim","R",IF(N1547&gt;=Parâmetros!$B$39,"A",IF(N1547&gt;=Parâmetros!$B$40,"B",IF(N1547&gt;=Parâmetros!$B$41,"C","D"))))</f>
        <v>R</v>
      </c>
      <c r="Q1547" s="10" t="str">
        <f aca="false">IF(F1547="","Completar cadastro","")</f>
        <v>Completar cadastro</v>
      </c>
      <c r="R1547" s="10" t="str">
        <f aca="false">INDEX(Parâmetros!$D$39:$D$43,MATCH(P1547,Parâmetros!$A$39:$A$43,0))</f>
        <v>Reciclar: requalificar, reengajar ou encerrar</v>
      </c>
    </row>
    <row r="1548" customFormat="false" ht="15" hidden="false" customHeight="false" outlineLevel="0" collapsed="false">
      <c r="A1548" s="10" t="s">
        <v>1794</v>
      </c>
      <c r="B1548" s="10" t="s">
        <v>87</v>
      </c>
      <c r="C1548" s="10" t="s">
        <v>85</v>
      </c>
      <c r="D1548" s="10" t="s">
        <v>165</v>
      </c>
      <c r="E1548" s="10" t="s">
        <v>48</v>
      </c>
      <c r="F1548" s="10"/>
      <c r="G1548" s="10" t="s">
        <v>162</v>
      </c>
      <c r="H1548" s="30" t="n">
        <v>42819</v>
      </c>
      <c r="I1548" s="8" t="n">
        <f aca="false">INDEX(Parâmetros!$C$13:$C$19,MATCH(E1548,Parâmetros!$A$13:$A$19,0))</f>
        <v>4821</v>
      </c>
      <c r="J1548" s="26" t="n">
        <f aca="false">IF(H1548="","",Parâmetros!$B$5-H1548)</f>
        <v>281</v>
      </c>
      <c r="K1548" s="10" t="n">
        <f aca="false">INDEX(Parâmetros!$D$13:$D$19,MATCH(E1548,Parâmetros!$A$13:$A$19,0))</f>
        <v>43</v>
      </c>
      <c r="L1548" s="10" t="n">
        <f aca="false">IF(G1548="Prospecting",Parâmetros!$B$9,IF(J1548&gt;Parâmetros!$B$6,0,INDEX(Parâmetros!$C$24:$C$26,MATCH(J1548,Parâmetros!$A$24:$A$26,1))))</f>
        <v>0</v>
      </c>
      <c r="M1548" s="31" t="n">
        <f aca="false">IF(G1548="Prospecting",1,INDEX(Parâmetros!$C$32:$C$35,MATCH(J1548,Parâmetros!$A$32:$A$35,1)))</f>
        <v>0.25</v>
      </c>
      <c r="N1548" s="2" t="n">
        <f aca="false">ROUND((K1548+L1548)*M1548,0)</f>
        <v>11</v>
      </c>
      <c r="O1548" s="10" t="str">
        <f aca="false">IF(AND(G1548="Engaging",J1548&gt;Parâmetros!$B$6),"Sim","Não")</f>
        <v>Sim</v>
      </c>
      <c r="P1548" s="32" t="str">
        <f aca="false">IF(O1548="Sim","R",IF(N1548&gt;=Parâmetros!$B$39,"A",IF(N1548&gt;=Parâmetros!$B$40,"B",IF(N1548&gt;=Parâmetros!$B$41,"C","D"))))</f>
        <v>R</v>
      </c>
      <c r="Q1548" s="10" t="str">
        <f aca="false">IF(F1548="","Completar cadastro","")</f>
        <v>Completar cadastro</v>
      </c>
      <c r="R1548" s="10" t="str">
        <f aca="false">INDEX(Parâmetros!$D$39:$D$43,MATCH(P1548,Parâmetros!$A$39:$A$43,0))</f>
        <v>Reciclar: requalificar, reengajar ou encerrar</v>
      </c>
    </row>
    <row r="1549" customFormat="false" ht="15" hidden="false" customHeight="false" outlineLevel="0" collapsed="false">
      <c r="A1549" s="10" t="s">
        <v>1795</v>
      </c>
      <c r="B1549" s="10" t="s">
        <v>93</v>
      </c>
      <c r="C1549" s="10" t="s">
        <v>92</v>
      </c>
      <c r="D1549" s="10" t="s">
        <v>160</v>
      </c>
      <c r="E1549" s="10" t="s">
        <v>48</v>
      </c>
      <c r="F1549" s="10"/>
      <c r="G1549" s="10" t="s">
        <v>162</v>
      </c>
      <c r="H1549" s="30" t="n">
        <v>42820</v>
      </c>
      <c r="I1549" s="8" t="n">
        <f aca="false">INDEX(Parâmetros!$C$13:$C$19,MATCH(E1549,Parâmetros!$A$13:$A$19,0))</f>
        <v>4821</v>
      </c>
      <c r="J1549" s="26" t="n">
        <f aca="false">IF(H1549="","",Parâmetros!$B$5-H1549)</f>
        <v>280</v>
      </c>
      <c r="K1549" s="10" t="n">
        <f aca="false">INDEX(Parâmetros!$D$13:$D$19,MATCH(E1549,Parâmetros!$A$13:$A$19,0))</f>
        <v>43</v>
      </c>
      <c r="L1549" s="10" t="n">
        <f aca="false">IF(G1549="Prospecting",Parâmetros!$B$9,IF(J1549&gt;Parâmetros!$B$6,0,INDEX(Parâmetros!$C$24:$C$26,MATCH(J1549,Parâmetros!$A$24:$A$26,1))))</f>
        <v>0</v>
      </c>
      <c r="M1549" s="31" t="n">
        <f aca="false">IF(G1549="Prospecting",1,INDEX(Parâmetros!$C$32:$C$35,MATCH(J1549,Parâmetros!$A$32:$A$35,1)))</f>
        <v>0.25</v>
      </c>
      <c r="N1549" s="2" t="n">
        <f aca="false">ROUND((K1549+L1549)*M1549,0)</f>
        <v>11</v>
      </c>
      <c r="O1549" s="10" t="str">
        <f aca="false">IF(AND(G1549="Engaging",J1549&gt;Parâmetros!$B$6),"Sim","Não")</f>
        <v>Sim</v>
      </c>
      <c r="P1549" s="32" t="str">
        <f aca="false">IF(O1549="Sim","R",IF(N1549&gt;=Parâmetros!$B$39,"A",IF(N1549&gt;=Parâmetros!$B$40,"B",IF(N1549&gt;=Parâmetros!$B$41,"C","D"))))</f>
        <v>R</v>
      </c>
      <c r="Q1549" s="10" t="str">
        <f aca="false">IF(F1549="","Completar cadastro","")</f>
        <v>Completar cadastro</v>
      </c>
      <c r="R1549" s="10" t="str">
        <f aca="false">INDEX(Parâmetros!$D$39:$D$43,MATCH(P1549,Parâmetros!$A$39:$A$43,0))</f>
        <v>Reciclar: requalificar, reengajar ou encerrar</v>
      </c>
    </row>
    <row r="1550" customFormat="false" ht="15" hidden="false" customHeight="false" outlineLevel="0" collapsed="false">
      <c r="A1550" s="10" t="s">
        <v>1796</v>
      </c>
      <c r="B1550" s="10" t="s">
        <v>95</v>
      </c>
      <c r="C1550" s="10" t="s">
        <v>92</v>
      </c>
      <c r="D1550" s="10" t="s">
        <v>160</v>
      </c>
      <c r="E1550" s="10" t="s">
        <v>47</v>
      </c>
      <c r="F1550" s="10" t="s">
        <v>869</v>
      </c>
      <c r="G1550" s="10" t="s">
        <v>162</v>
      </c>
      <c r="H1550" s="30" t="n">
        <v>42820</v>
      </c>
      <c r="I1550" s="8" t="n">
        <f aca="false">INDEX(Parâmetros!$C$13:$C$19,MATCH(E1550,Parâmetros!$A$13:$A$19,0))</f>
        <v>5482</v>
      </c>
      <c r="J1550" s="26" t="n">
        <f aca="false">IF(H1550="","",Parâmetros!$B$5-H1550)</f>
        <v>280</v>
      </c>
      <c r="K1550" s="10" t="n">
        <f aca="false">INDEX(Parâmetros!$D$13:$D$19,MATCH(E1550,Parâmetros!$A$13:$A$19,0))</f>
        <v>45</v>
      </c>
      <c r="L1550" s="10" t="n">
        <f aca="false">IF(G1550="Prospecting",Parâmetros!$B$9,IF(J1550&gt;Parâmetros!$B$6,0,INDEX(Parâmetros!$C$24:$C$26,MATCH(J1550,Parâmetros!$A$24:$A$26,1))))</f>
        <v>0</v>
      </c>
      <c r="M1550" s="31" t="n">
        <f aca="false">IF(G1550="Prospecting",1,INDEX(Parâmetros!$C$32:$C$35,MATCH(J1550,Parâmetros!$A$32:$A$35,1)))</f>
        <v>0.25</v>
      </c>
      <c r="N1550" s="2" t="n">
        <f aca="false">ROUND((K1550+L1550)*M1550,0)</f>
        <v>11</v>
      </c>
      <c r="O1550" s="10" t="str">
        <f aca="false">IF(AND(G1550="Engaging",J1550&gt;Parâmetros!$B$6),"Sim","Não")</f>
        <v>Sim</v>
      </c>
      <c r="P1550" s="32" t="str">
        <f aca="false">IF(O1550="Sim","R",IF(N1550&gt;=Parâmetros!$B$39,"A",IF(N1550&gt;=Parâmetros!$B$40,"B",IF(N1550&gt;=Parâmetros!$B$41,"C","D"))))</f>
        <v>R</v>
      </c>
      <c r="Q1550" s="10" t="str">
        <f aca="false">IF(F1550="","Completar cadastro","")</f>
        <v/>
      </c>
      <c r="R1550" s="10" t="str">
        <f aca="false">INDEX(Parâmetros!$D$39:$D$43,MATCH(P1550,Parâmetros!$A$39:$A$43,0))</f>
        <v>Reciclar: requalificar, reengajar ou encerrar</v>
      </c>
    </row>
    <row r="1551" customFormat="false" ht="15" hidden="false" customHeight="false" outlineLevel="0" collapsed="false">
      <c r="A1551" s="10" t="s">
        <v>1797</v>
      </c>
      <c r="B1551" s="10" t="s">
        <v>95</v>
      </c>
      <c r="C1551" s="10" t="s">
        <v>92</v>
      </c>
      <c r="D1551" s="10" t="s">
        <v>160</v>
      </c>
      <c r="E1551" s="10" t="s">
        <v>48</v>
      </c>
      <c r="F1551" s="10" t="s">
        <v>660</v>
      </c>
      <c r="G1551" s="10" t="s">
        <v>162</v>
      </c>
      <c r="H1551" s="30" t="n">
        <v>42823</v>
      </c>
      <c r="I1551" s="8" t="n">
        <f aca="false">INDEX(Parâmetros!$C$13:$C$19,MATCH(E1551,Parâmetros!$A$13:$A$19,0))</f>
        <v>4821</v>
      </c>
      <c r="J1551" s="26" t="n">
        <f aca="false">IF(H1551="","",Parâmetros!$B$5-H1551)</f>
        <v>277</v>
      </c>
      <c r="K1551" s="10" t="n">
        <f aca="false">INDEX(Parâmetros!$D$13:$D$19,MATCH(E1551,Parâmetros!$A$13:$A$19,0))</f>
        <v>43</v>
      </c>
      <c r="L1551" s="10" t="n">
        <f aca="false">IF(G1551="Prospecting",Parâmetros!$B$9,IF(J1551&gt;Parâmetros!$B$6,0,INDEX(Parâmetros!$C$24:$C$26,MATCH(J1551,Parâmetros!$A$24:$A$26,1))))</f>
        <v>0</v>
      </c>
      <c r="M1551" s="31" t="n">
        <f aca="false">IF(G1551="Prospecting",1,INDEX(Parâmetros!$C$32:$C$35,MATCH(J1551,Parâmetros!$A$32:$A$35,1)))</f>
        <v>0.25</v>
      </c>
      <c r="N1551" s="2" t="n">
        <f aca="false">ROUND((K1551+L1551)*M1551,0)</f>
        <v>11</v>
      </c>
      <c r="O1551" s="10" t="str">
        <f aca="false">IF(AND(G1551="Engaging",J1551&gt;Parâmetros!$B$6),"Sim","Não")</f>
        <v>Sim</v>
      </c>
      <c r="P1551" s="32" t="str">
        <f aca="false">IF(O1551="Sim","R",IF(N1551&gt;=Parâmetros!$B$39,"A",IF(N1551&gt;=Parâmetros!$B$40,"B",IF(N1551&gt;=Parâmetros!$B$41,"C","D"))))</f>
        <v>R</v>
      </c>
      <c r="Q1551" s="10" t="str">
        <f aca="false">IF(F1551="","Completar cadastro","")</f>
        <v/>
      </c>
      <c r="R1551" s="10" t="str">
        <f aca="false">INDEX(Parâmetros!$D$39:$D$43,MATCH(P1551,Parâmetros!$A$39:$A$43,0))</f>
        <v>Reciclar: requalificar, reengajar ou encerrar</v>
      </c>
    </row>
    <row r="1552" customFormat="false" ht="15" hidden="false" customHeight="false" outlineLevel="0" collapsed="false">
      <c r="A1552" s="10" t="s">
        <v>1798</v>
      </c>
      <c r="B1552" s="10" t="s">
        <v>86</v>
      </c>
      <c r="C1552" s="10" t="s">
        <v>85</v>
      </c>
      <c r="D1552" s="10" t="s">
        <v>165</v>
      </c>
      <c r="E1552" s="10" t="s">
        <v>48</v>
      </c>
      <c r="F1552" s="10" t="s">
        <v>410</v>
      </c>
      <c r="G1552" s="10" t="s">
        <v>162</v>
      </c>
      <c r="H1552" s="30" t="n">
        <v>42825</v>
      </c>
      <c r="I1552" s="8" t="n">
        <f aca="false">INDEX(Parâmetros!$C$13:$C$19,MATCH(E1552,Parâmetros!$A$13:$A$19,0))</f>
        <v>4821</v>
      </c>
      <c r="J1552" s="26" t="n">
        <f aca="false">IF(H1552="","",Parâmetros!$B$5-H1552)</f>
        <v>275</v>
      </c>
      <c r="K1552" s="10" t="n">
        <f aca="false">INDEX(Parâmetros!$D$13:$D$19,MATCH(E1552,Parâmetros!$A$13:$A$19,0))</f>
        <v>43</v>
      </c>
      <c r="L1552" s="10" t="n">
        <f aca="false">IF(G1552="Prospecting",Parâmetros!$B$9,IF(J1552&gt;Parâmetros!$B$6,0,INDEX(Parâmetros!$C$24:$C$26,MATCH(J1552,Parâmetros!$A$24:$A$26,1))))</f>
        <v>0</v>
      </c>
      <c r="M1552" s="31" t="n">
        <f aca="false">IF(G1552="Prospecting",1,INDEX(Parâmetros!$C$32:$C$35,MATCH(J1552,Parâmetros!$A$32:$A$35,1)))</f>
        <v>0.25</v>
      </c>
      <c r="N1552" s="2" t="n">
        <f aca="false">ROUND((K1552+L1552)*M1552,0)</f>
        <v>11</v>
      </c>
      <c r="O1552" s="10" t="str">
        <f aca="false">IF(AND(G1552="Engaging",J1552&gt;Parâmetros!$B$6),"Sim","Não")</f>
        <v>Sim</v>
      </c>
      <c r="P1552" s="32" t="str">
        <f aca="false">IF(O1552="Sim","R",IF(N1552&gt;=Parâmetros!$B$39,"A",IF(N1552&gt;=Parâmetros!$B$40,"B",IF(N1552&gt;=Parâmetros!$B$41,"C","D"))))</f>
        <v>R</v>
      </c>
      <c r="Q1552" s="10" t="str">
        <f aca="false">IF(F1552="","Completar cadastro","")</f>
        <v/>
      </c>
      <c r="R1552" s="10" t="str">
        <f aca="false">INDEX(Parâmetros!$D$39:$D$43,MATCH(P1552,Parâmetros!$A$39:$A$43,0))</f>
        <v>Reciclar: requalificar, reengajar ou encerrar</v>
      </c>
    </row>
    <row r="1553" customFormat="false" ht="15" hidden="false" customHeight="false" outlineLevel="0" collapsed="false">
      <c r="A1553" s="10" t="s">
        <v>1799</v>
      </c>
      <c r="B1553" s="10" t="s">
        <v>95</v>
      </c>
      <c r="C1553" s="10" t="s">
        <v>92</v>
      </c>
      <c r="D1553" s="10" t="s">
        <v>160</v>
      </c>
      <c r="E1553" s="10" t="s">
        <v>47</v>
      </c>
      <c r="F1553" s="10"/>
      <c r="G1553" s="10" t="s">
        <v>162</v>
      </c>
      <c r="H1553" s="30" t="n">
        <v>42825</v>
      </c>
      <c r="I1553" s="8" t="n">
        <f aca="false">INDEX(Parâmetros!$C$13:$C$19,MATCH(E1553,Parâmetros!$A$13:$A$19,0))</f>
        <v>5482</v>
      </c>
      <c r="J1553" s="26" t="n">
        <f aca="false">IF(H1553="","",Parâmetros!$B$5-H1553)</f>
        <v>275</v>
      </c>
      <c r="K1553" s="10" t="n">
        <f aca="false">INDEX(Parâmetros!$D$13:$D$19,MATCH(E1553,Parâmetros!$A$13:$A$19,0))</f>
        <v>45</v>
      </c>
      <c r="L1553" s="10" t="n">
        <f aca="false">IF(G1553="Prospecting",Parâmetros!$B$9,IF(J1553&gt;Parâmetros!$B$6,0,INDEX(Parâmetros!$C$24:$C$26,MATCH(J1553,Parâmetros!$A$24:$A$26,1))))</f>
        <v>0</v>
      </c>
      <c r="M1553" s="31" t="n">
        <f aca="false">IF(G1553="Prospecting",1,INDEX(Parâmetros!$C$32:$C$35,MATCH(J1553,Parâmetros!$A$32:$A$35,1)))</f>
        <v>0.25</v>
      </c>
      <c r="N1553" s="2" t="n">
        <f aca="false">ROUND((K1553+L1553)*M1553,0)</f>
        <v>11</v>
      </c>
      <c r="O1553" s="10" t="str">
        <f aca="false">IF(AND(G1553="Engaging",J1553&gt;Parâmetros!$B$6),"Sim","Não")</f>
        <v>Sim</v>
      </c>
      <c r="P1553" s="32" t="str">
        <f aca="false">IF(O1553="Sim","R",IF(N1553&gt;=Parâmetros!$B$39,"A",IF(N1553&gt;=Parâmetros!$B$40,"B",IF(N1553&gt;=Parâmetros!$B$41,"C","D"))))</f>
        <v>R</v>
      </c>
      <c r="Q1553" s="10" t="str">
        <f aca="false">IF(F1553="","Completar cadastro","")</f>
        <v>Completar cadastro</v>
      </c>
      <c r="R1553" s="10" t="str">
        <f aca="false">INDEX(Parâmetros!$D$39:$D$43,MATCH(P1553,Parâmetros!$A$39:$A$43,0))</f>
        <v>Reciclar: requalificar, reengajar ou encerrar</v>
      </c>
    </row>
    <row r="1554" customFormat="false" ht="15" hidden="false" customHeight="false" outlineLevel="0" collapsed="false">
      <c r="A1554" s="10" t="s">
        <v>1800</v>
      </c>
      <c r="B1554" s="10" t="s">
        <v>70</v>
      </c>
      <c r="C1554" s="10" t="s">
        <v>65</v>
      </c>
      <c r="D1554" s="10" t="s">
        <v>160</v>
      </c>
      <c r="E1554" s="10" t="s">
        <v>48</v>
      </c>
      <c r="F1554" s="10"/>
      <c r="G1554" s="10" t="s">
        <v>162</v>
      </c>
      <c r="H1554" s="30" t="n">
        <v>42825</v>
      </c>
      <c r="I1554" s="8" t="n">
        <f aca="false">INDEX(Parâmetros!$C$13:$C$19,MATCH(E1554,Parâmetros!$A$13:$A$19,0))</f>
        <v>4821</v>
      </c>
      <c r="J1554" s="26" t="n">
        <f aca="false">IF(H1554="","",Parâmetros!$B$5-H1554)</f>
        <v>275</v>
      </c>
      <c r="K1554" s="10" t="n">
        <f aca="false">INDEX(Parâmetros!$D$13:$D$19,MATCH(E1554,Parâmetros!$A$13:$A$19,0))</f>
        <v>43</v>
      </c>
      <c r="L1554" s="10" t="n">
        <f aca="false">IF(G1554="Prospecting",Parâmetros!$B$9,IF(J1554&gt;Parâmetros!$B$6,0,INDEX(Parâmetros!$C$24:$C$26,MATCH(J1554,Parâmetros!$A$24:$A$26,1))))</f>
        <v>0</v>
      </c>
      <c r="M1554" s="31" t="n">
        <f aca="false">IF(G1554="Prospecting",1,INDEX(Parâmetros!$C$32:$C$35,MATCH(J1554,Parâmetros!$A$32:$A$35,1)))</f>
        <v>0.25</v>
      </c>
      <c r="N1554" s="2" t="n">
        <f aca="false">ROUND((K1554+L1554)*M1554,0)</f>
        <v>11</v>
      </c>
      <c r="O1554" s="10" t="str">
        <f aca="false">IF(AND(G1554="Engaging",J1554&gt;Parâmetros!$B$6),"Sim","Não")</f>
        <v>Sim</v>
      </c>
      <c r="P1554" s="32" t="str">
        <f aca="false">IF(O1554="Sim","R",IF(N1554&gt;=Parâmetros!$B$39,"A",IF(N1554&gt;=Parâmetros!$B$40,"B",IF(N1554&gt;=Parâmetros!$B$41,"C","D"))))</f>
        <v>R</v>
      </c>
      <c r="Q1554" s="10" t="str">
        <f aca="false">IF(F1554="","Completar cadastro","")</f>
        <v>Completar cadastro</v>
      </c>
      <c r="R1554" s="10" t="str">
        <f aca="false">INDEX(Parâmetros!$D$39:$D$43,MATCH(P1554,Parâmetros!$A$39:$A$43,0))</f>
        <v>Reciclar: requalificar, reengajar ou encerrar</v>
      </c>
    </row>
    <row r="1555" customFormat="false" ht="15" hidden="false" customHeight="false" outlineLevel="0" collapsed="false">
      <c r="A1555" s="10" t="s">
        <v>1801</v>
      </c>
      <c r="B1555" s="10" t="s">
        <v>87</v>
      </c>
      <c r="C1555" s="10" t="s">
        <v>85</v>
      </c>
      <c r="D1555" s="10" t="s">
        <v>165</v>
      </c>
      <c r="E1555" s="10" t="s">
        <v>48</v>
      </c>
      <c r="F1555" s="10" t="s">
        <v>396</v>
      </c>
      <c r="G1555" s="10" t="s">
        <v>162</v>
      </c>
      <c r="H1555" s="30" t="n">
        <v>42826</v>
      </c>
      <c r="I1555" s="8" t="n">
        <f aca="false">INDEX(Parâmetros!$C$13:$C$19,MATCH(E1555,Parâmetros!$A$13:$A$19,0))</f>
        <v>4821</v>
      </c>
      <c r="J1555" s="26" t="n">
        <f aca="false">IF(H1555="","",Parâmetros!$B$5-H1555)</f>
        <v>274</v>
      </c>
      <c r="K1555" s="10" t="n">
        <f aca="false">INDEX(Parâmetros!$D$13:$D$19,MATCH(E1555,Parâmetros!$A$13:$A$19,0))</f>
        <v>43</v>
      </c>
      <c r="L1555" s="10" t="n">
        <f aca="false">IF(G1555="Prospecting",Parâmetros!$B$9,IF(J1555&gt;Parâmetros!$B$6,0,INDEX(Parâmetros!$C$24:$C$26,MATCH(J1555,Parâmetros!$A$24:$A$26,1))))</f>
        <v>0</v>
      </c>
      <c r="M1555" s="31" t="n">
        <f aca="false">IF(G1555="Prospecting",1,INDEX(Parâmetros!$C$32:$C$35,MATCH(J1555,Parâmetros!$A$32:$A$35,1)))</f>
        <v>0.25</v>
      </c>
      <c r="N1555" s="2" t="n">
        <f aca="false">ROUND((K1555+L1555)*M1555,0)</f>
        <v>11</v>
      </c>
      <c r="O1555" s="10" t="str">
        <f aca="false">IF(AND(G1555="Engaging",J1555&gt;Parâmetros!$B$6),"Sim","Não")</f>
        <v>Sim</v>
      </c>
      <c r="P1555" s="32" t="str">
        <f aca="false">IF(O1555="Sim","R",IF(N1555&gt;=Parâmetros!$B$39,"A",IF(N1555&gt;=Parâmetros!$B$40,"B",IF(N1555&gt;=Parâmetros!$B$41,"C","D"))))</f>
        <v>R</v>
      </c>
      <c r="Q1555" s="10" t="str">
        <f aca="false">IF(F1555="","Completar cadastro","")</f>
        <v/>
      </c>
      <c r="R1555" s="10" t="str">
        <f aca="false">INDEX(Parâmetros!$D$39:$D$43,MATCH(P1555,Parâmetros!$A$39:$A$43,0))</f>
        <v>Reciclar: requalificar, reengajar ou encerrar</v>
      </c>
    </row>
    <row r="1556" customFormat="false" ht="15" hidden="false" customHeight="false" outlineLevel="0" collapsed="false">
      <c r="A1556" s="10" t="s">
        <v>1802</v>
      </c>
      <c r="B1556" s="10" t="s">
        <v>70</v>
      </c>
      <c r="C1556" s="10" t="s">
        <v>65</v>
      </c>
      <c r="D1556" s="10" t="s">
        <v>160</v>
      </c>
      <c r="E1556" s="10" t="s">
        <v>48</v>
      </c>
      <c r="F1556" s="10" t="s">
        <v>637</v>
      </c>
      <c r="G1556" s="10" t="s">
        <v>162</v>
      </c>
      <c r="H1556" s="30" t="n">
        <v>42826</v>
      </c>
      <c r="I1556" s="8" t="n">
        <f aca="false">INDEX(Parâmetros!$C$13:$C$19,MATCH(E1556,Parâmetros!$A$13:$A$19,0))</f>
        <v>4821</v>
      </c>
      <c r="J1556" s="26" t="n">
        <f aca="false">IF(H1556="","",Parâmetros!$B$5-H1556)</f>
        <v>274</v>
      </c>
      <c r="K1556" s="10" t="n">
        <f aca="false">INDEX(Parâmetros!$D$13:$D$19,MATCH(E1556,Parâmetros!$A$13:$A$19,0))</f>
        <v>43</v>
      </c>
      <c r="L1556" s="10" t="n">
        <f aca="false">IF(G1556="Prospecting",Parâmetros!$B$9,IF(J1556&gt;Parâmetros!$B$6,0,INDEX(Parâmetros!$C$24:$C$26,MATCH(J1556,Parâmetros!$A$24:$A$26,1))))</f>
        <v>0</v>
      </c>
      <c r="M1556" s="31" t="n">
        <f aca="false">IF(G1556="Prospecting",1,INDEX(Parâmetros!$C$32:$C$35,MATCH(J1556,Parâmetros!$A$32:$A$35,1)))</f>
        <v>0.25</v>
      </c>
      <c r="N1556" s="2" t="n">
        <f aca="false">ROUND((K1556+L1556)*M1556,0)</f>
        <v>11</v>
      </c>
      <c r="O1556" s="10" t="str">
        <f aca="false">IF(AND(G1556="Engaging",J1556&gt;Parâmetros!$B$6),"Sim","Não")</f>
        <v>Sim</v>
      </c>
      <c r="P1556" s="32" t="str">
        <f aca="false">IF(O1556="Sim","R",IF(N1556&gt;=Parâmetros!$B$39,"A",IF(N1556&gt;=Parâmetros!$B$40,"B",IF(N1556&gt;=Parâmetros!$B$41,"C","D"))))</f>
        <v>R</v>
      </c>
      <c r="Q1556" s="10" t="str">
        <f aca="false">IF(F1556="","Completar cadastro","")</f>
        <v/>
      </c>
      <c r="R1556" s="10" t="str">
        <f aca="false">INDEX(Parâmetros!$D$39:$D$43,MATCH(P1556,Parâmetros!$A$39:$A$43,0))</f>
        <v>Reciclar: requalificar, reengajar ou encerrar</v>
      </c>
    </row>
    <row r="1557" customFormat="false" ht="15" hidden="false" customHeight="false" outlineLevel="0" collapsed="false">
      <c r="A1557" s="10" t="s">
        <v>1803</v>
      </c>
      <c r="B1557" s="10" t="s">
        <v>93</v>
      </c>
      <c r="C1557" s="10" t="s">
        <v>92</v>
      </c>
      <c r="D1557" s="10" t="s">
        <v>160</v>
      </c>
      <c r="E1557" s="10" t="s">
        <v>47</v>
      </c>
      <c r="F1557" s="10"/>
      <c r="G1557" s="10" t="s">
        <v>162</v>
      </c>
      <c r="H1557" s="30" t="n">
        <v>42827</v>
      </c>
      <c r="I1557" s="8" t="n">
        <f aca="false">INDEX(Parâmetros!$C$13:$C$19,MATCH(E1557,Parâmetros!$A$13:$A$19,0))</f>
        <v>5482</v>
      </c>
      <c r="J1557" s="26" t="n">
        <f aca="false">IF(H1557="","",Parâmetros!$B$5-H1557)</f>
        <v>273</v>
      </c>
      <c r="K1557" s="10" t="n">
        <f aca="false">INDEX(Parâmetros!$D$13:$D$19,MATCH(E1557,Parâmetros!$A$13:$A$19,0))</f>
        <v>45</v>
      </c>
      <c r="L1557" s="10" t="n">
        <f aca="false">IF(G1557="Prospecting",Parâmetros!$B$9,IF(J1557&gt;Parâmetros!$B$6,0,INDEX(Parâmetros!$C$24:$C$26,MATCH(J1557,Parâmetros!$A$24:$A$26,1))))</f>
        <v>0</v>
      </c>
      <c r="M1557" s="31" t="n">
        <f aca="false">IF(G1557="Prospecting",1,INDEX(Parâmetros!$C$32:$C$35,MATCH(J1557,Parâmetros!$A$32:$A$35,1)))</f>
        <v>0.25</v>
      </c>
      <c r="N1557" s="2" t="n">
        <f aca="false">ROUND((K1557+L1557)*M1557,0)</f>
        <v>11</v>
      </c>
      <c r="O1557" s="10" t="str">
        <f aca="false">IF(AND(G1557="Engaging",J1557&gt;Parâmetros!$B$6),"Sim","Não")</f>
        <v>Sim</v>
      </c>
      <c r="P1557" s="32" t="str">
        <f aca="false">IF(O1557="Sim","R",IF(N1557&gt;=Parâmetros!$B$39,"A",IF(N1557&gt;=Parâmetros!$B$40,"B",IF(N1557&gt;=Parâmetros!$B$41,"C","D"))))</f>
        <v>R</v>
      </c>
      <c r="Q1557" s="10" t="str">
        <f aca="false">IF(F1557="","Completar cadastro","")</f>
        <v>Completar cadastro</v>
      </c>
      <c r="R1557" s="10" t="str">
        <f aca="false">INDEX(Parâmetros!$D$39:$D$43,MATCH(P1557,Parâmetros!$A$39:$A$43,0))</f>
        <v>Reciclar: requalificar, reengajar ou encerrar</v>
      </c>
    </row>
    <row r="1558" customFormat="false" ht="15" hidden="false" customHeight="false" outlineLevel="0" collapsed="false">
      <c r="A1558" s="10" t="s">
        <v>1804</v>
      </c>
      <c r="B1558" s="10" t="s">
        <v>94</v>
      </c>
      <c r="C1558" s="10" t="s">
        <v>92</v>
      </c>
      <c r="D1558" s="10" t="s">
        <v>160</v>
      </c>
      <c r="E1558" s="10" t="s">
        <v>48</v>
      </c>
      <c r="F1558" s="10"/>
      <c r="G1558" s="10" t="s">
        <v>162</v>
      </c>
      <c r="H1558" s="30" t="n">
        <v>42827</v>
      </c>
      <c r="I1558" s="8" t="n">
        <f aca="false">INDEX(Parâmetros!$C$13:$C$19,MATCH(E1558,Parâmetros!$A$13:$A$19,0))</f>
        <v>4821</v>
      </c>
      <c r="J1558" s="26" t="n">
        <f aca="false">IF(H1558="","",Parâmetros!$B$5-H1558)</f>
        <v>273</v>
      </c>
      <c r="K1558" s="10" t="n">
        <f aca="false">INDEX(Parâmetros!$D$13:$D$19,MATCH(E1558,Parâmetros!$A$13:$A$19,0))</f>
        <v>43</v>
      </c>
      <c r="L1558" s="10" t="n">
        <f aca="false">IF(G1558="Prospecting",Parâmetros!$B$9,IF(J1558&gt;Parâmetros!$B$6,0,INDEX(Parâmetros!$C$24:$C$26,MATCH(J1558,Parâmetros!$A$24:$A$26,1))))</f>
        <v>0</v>
      </c>
      <c r="M1558" s="31" t="n">
        <f aca="false">IF(G1558="Prospecting",1,INDEX(Parâmetros!$C$32:$C$35,MATCH(J1558,Parâmetros!$A$32:$A$35,1)))</f>
        <v>0.25</v>
      </c>
      <c r="N1558" s="2" t="n">
        <f aca="false">ROUND((K1558+L1558)*M1558,0)</f>
        <v>11</v>
      </c>
      <c r="O1558" s="10" t="str">
        <f aca="false">IF(AND(G1558="Engaging",J1558&gt;Parâmetros!$B$6),"Sim","Não")</f>
        <v>Sim</v>
      </c>
      <c r="P1558" s="32" t="str">
        <f aca="false">IF(O1558="Sim","R",IF(N1558&gt;=Parâmetros!$B$39,"A",IF(N1558&gt;=Parâmetros!$B$40,"B",IF(N1558&gt;=Parâmetros!$B$41,"C","D"))))</f>
        <v>R</v>
      </c>
      <c r="Q1558" s="10" t="str">
        <f aca="false">IF(F1558="","Completar cadastro","")</f>
        <v>Completar cadastro</v>
      </c>
      <c r="R1558" s="10" t="str">
        <f aca="false">INDEX(Parâmetros!$D$39:$D$43,MATCH(P1558,Parâmetros!$A$39:$A$43,0))</f>
        <v>Reciclar: requalificar, reengajar ou encerrar</v>
      </c>
    </row>
    <row r="1559" customFormat="false" ht="15" hidden="false" customHeight="false" outlineLevel="0" collapsed="false">
      <c r="A1559" s="10" t="s">
        <v>1805</v>
      </c>
      <c r="B1559" s="10" t="s">
        <v>68</v>
      </c>
      <c r="C1559" s="10" t="s">
        <v>65</v>
      </c>
      <c r="D1559" s="10" t="s">
        <v>160</v>
      </c>
      <c r="E1559" s="10" t="s">
        <v>48</v>
      </c>
      <c r="F1559" s="10"/>
      <c r="G1559" s="10" t="s">
        <v>162</v>
      </c>
      <c r="H1559" s="30" t="n">
        <v>42827</v>
      </c>
      <c r="I1559" s="8" t="n">
        <f aca="false">INDEX(Parâmetros!$C$13:$C$19,MATCH(E1559,Parâmetros!$A$13:$A$19,0))</f>
        <v>4821</v>
      </c>
      <c r="J1559" s="26" t="n">
        <f aca="false">IF(H1559="","",Parâmetros!$B$5-H1559)</f>
        <v>273</v>
      </c>
      <c r="K1559" s="10" t="n">
        <f aca="false">INDEX(Parâmetros!$D$13:$D$19,MATCH(E1559,Parâmetros!$A$13:$A$19,0))</f>
        <v>43</v>
      </c>
      <c r="L1559" s="10" t="n">
        <f aca="false">IF(G1559="Prospecting",Parâmetros!$B$9,IF(J1559&gt;Parâmetros!$B$6,0,INDEX(Parâmetros!$C$24:$C$26,MATCH(J1559,Parâmetros!$A$24:$A$26,1))))</f>
        <v>0</v>
      </c>
      <c r="M1559" s="31" t="n">
        <f aca="false">IF(G1559="Prospecting",1,INDEX(Parâmetros!$C$32:$C$35,MATCH(J1559,Parâmetros!$A$32:$A$35,1)))</f>
        <v>0.25</v>
      </c>
      <c r="N1559" s="2" t="n">
        <f aca="false">ROUND((K1559+L1559)*M1559,0)</f>
        <v>11</v>
      </c>
      <c r="O1559" s="10" t="str">
        <f aca="false">IF(AND(G1559="Engaging",J1559&gt;Parâmetros!$B$6),"Sim","Não")</f>
        <v>Sim</v>
      </c>
      <c r="P1559" s="32" t="str">
        <f aca="false">IF(O1559="Sim","R",IF(N1559&gt;=Parâmetros!$B$39,"A",IF(N1559&gt;=Parâmetros!$B$40,"B",IF(N1559&gt;=Parâmetros!$B$41,"C","D"))))</f>
        <v>R</v>
      </c>
      <c r="Q1559" s="10" t="str">
        <f aca="false">IF(F1559="","Completar cadastro","")</f>
        <v>Completar cadastro</v>
      </c>
      <c r="R1559" s="10" t="str">
        <f aca="false">INDEX(Parâmetros!$D$39:$D$43,MATCH(P1559,Parâmetros!$A$39:$A$43,0))</f>
        <v>Reciclar: requalificar, reengajar ou encerrar</v>
      </c>
    </row>
    <row r="1560" customFormat="false" ht="15" hidden="false" customHeight="false" outlineLevel="0" collapsed="false">
      <c r="A1560" s="10" t="s">
        <v>1806</v>
      </c>
      <c r="B1560" s="10" t="s">
        <v>86</v>
      </c>
      <c r="C1560" s="10" t="s">
        <v>85</v>
      </c>
      <c r="D1560" s="10" t="s">
        <v>165</v>
      </c>
      <c r="E1560" s="10" t="s">
        <v>47</v>
      </c>
      <c r="F1560" s="10"/>
      <c r="G1560" s="10" t="s">
        <v>162</v>
      </c>
      <c r="H1560" s="30" t="n">
        <v>42828</v>
      </c>
      <c r="I1560" s="8" t="n">
        <f aca="false">INDEX(Parâmetros!$C$13:$C$19,MATCH(E1560,Parâmetros!$A$13:$A$19,0))</f>
        <v>5482</v>
      </c>
      <c r="J1560" s="26" t="n">
        <f aca="false">IF(H1560="","",Parâmetros!$B$5-H1560)</f>
        <v>272</v>
      </c>
      <c r="K1560" s="10" t="n">
        <f aca="false">INDEX(Parâmetros!$D$13:$D$19,MATCH(E1560,Parâmetros!$A$13:$A$19,0))</f>
        <v>45</v>
      </c>
      <c r="L1560" s="10" t="n">
        <f aca="false">IF(G1560="Prospecting",Parâmetros!$B$9,IF(J1560&gt;Parâmetros!$B$6,0,INDEX(Parâmetros!$C$24:$C$26,MATCH(J1560,Parâmetros!$A$24:$A$26,1))))</f>
        <v>0</v>
      </c>
      <c r="M1560" s="31" t="n">
        <f aca="false">IF(G1560="Prospecting",1,INDEX(Parâmetros!$C$32:$C$35,MATCH(J1560,Parâmetros!$A$32:$A$35,1)))</f>
        <v>0.25</v>
      </c>
      <c r="N1560" s="2" t="n">
        <f aca="false">ROUND((K1560+L1560)*M1560,0)</f>
        <v>11</v>
      </c>
      <c r="O1560" s="10" t="str">
        <f aca="false">IF(AND(G1560="Engaging",J1560&gt;Parâmetros!$B$6),"Sim","Não")</f>
        <v>Sim</v>
      </c>
      <c r="P1560" s="32" t="str">
        <f aca="false">IF(O1560="Sim","R",IF(N1560&gt;=Parâmetros!$B$39,"A",IF(N1560&gt;=Parâmetros!$B$40,"B",IF(N1560&gt;=Parâmetros!$B$41,"C","D"))))</f>
        <v>R</v>
      </c>
      <c r="Q1560" s="10" t="str">
        <f aca="false">IF(F1560="","Completar cadastro","")</f>
        <v>Completar cadastro</v>
      </c>
      <c r="R1560" s="10" t="str">
        <f aca="false">INDEX(Parâmetros!$D$39:$D$43,MATCH(P1560,Parâmetros!$A$39:$A$43,0))</f>
        <v>Reciclar: requalificar, reengajar ou encerrar</v>
      </c>
    </row>
    <row r="1561" customFormat="false" ht="15" hidden="false" customHeight="false" outlineLevel="0" collapsed="false">
      <c r="A1561" s="10" t="s">
        <v>1807</v>
      </c>
      <c r="B1561" s="10" t="s">
        <v>66</v>
      </c>
      <c r="C1561" s="10" t="s">
        <v>65</v>
      </c>
      <c r="D1561" s="10" t="s">
        <v>160</v>
      </c>
      <c r="E1561" s="10" t="s">
        <v>48</v>
      </c>
      <c r="F1561" s="10"/>
      <c r="G1561" s="10" t="s">
        <v>162</v>
      </c>
      <c r="H1561" s="30" t="n">
        <v>42828</v>
      </c>
      <c r="I1561" s="8" t="n">
        <f aca="false">INDEX(Parâmetros!$C$13:$C$19,MATCH(E1561,Parâmetros!$A$13:$A$19,0))</f>
        <v>4821</v>
      </c>
      <c r="J1561" s="26" t="n">
        <f aca="false">IF(H1561="","",Parâmetros!$B$5-H1561)</f>
        <v>272</v>
      </c>
      <c r="K1561" s="10" t="n">
        <f aca="false">INDEX(Parâmetros!$D$13:$D$19,MATCH(E1561,Parâmetros!$A$13:$A$19,0))</f>
        <v>43</v>
      </c>
      <c r="L1561" s="10" t="n">
        <f aca="false">IF(G1561="Prospecting",Parâmetros!$B$9,IF(J1561&gt;Parâmetros!$B$6,0,INDEX(Parâmetros!$C$24:$C$26,MATCH(J1561,Parâmetros!$A$24:$A$26,1))))</f>
        <v>0</v>
      </c>
      <c r="M1561" s="31" t="n">
        <f aca="false">IF(G1561="Prospecting",1,INDEX(Parâmetros!$C$32:$C$35,MATCH(J1561,Parâmetros!$A$32:$A$35,1)))</f>
        <v>0.25</v>
      </c>
      <c r="N1561" s="2" t="n">
        <f aca="false">ROUND((K1561+L1561)*M1561,0)</f>
        <v>11</v>
      </c>
      <c r="O1561" s="10" t="str">
        <f aca="false">IF(AND(G1561="Engaging",J1561&gt;Parâmetros!$B$6),"Sim","Não")</f>
        <v>Sim</v>
      </c>
      <c r="P1561" s="32" t="str">
        <f aca="false">IF(O1561="Sim","R",IF(N1561&gt;=Parâmetros!$B$39,"A",IF(N1561&gt;=Parâmetros!$B$40,"B",IF(N1561&gt;=Parâmetros!$B$41,"C","D"))))</f>
        <v>R</v>
      </c>
      <c r="Q1561" s="10" t="str">
        <f aca="false">IF(F1561="","Completar cadastro","")</f>
        <v>Completar cadastro</v>
      </c>
      <c r="R1561" s="10" t="str">
        <f aca="false">INDEX(Parâmetros!$D$39:$D$43,MATCH(P1561,Parâmetros!$A$39:$A$43,0))</f>
        <v>Reciclar: requalificar, reengajar ou encerrar</v>
      </c>
    </row>
    <row r="1562" customFormat="false" ht="15" hidden="false" customHeight="false" outlineLevel="0" collapsed="false">
      <c r="A1562" s="10" t="s">
        <v>1808</v>
      </c>
      <c r="B1562" s="10" t="s">
        <v>57</v>
      </c>
      <c r="C1562" s="10" t="s">
        <v>58</v>
      </c>
      <c r="D1562" s="10" t="s">
        <v>165</v>
      </c>
      <c r="E1562" s="10" t="s">
        <v>47</v>
      </c>
      <c r="F1562" s="10"/>
      <c r="G1562" s="10" t="s">
        <v>162</v>
      </c>
      <c r="H1562" s="30" t="n">
        <v>42829</v>
      </c>
      <c r="I1562" s="8" t="n">
        <f aca="false">INDEX(Parâmetros!$C$13:$C$19,MATCH(E1562,Parâmetros!$A$13:$A$19,0))</f>
        <v>5482</v>
      </c>
      <c r="J1562" s="26" t="n">
        <f aca="false">IF(H1562="","",Parâmetros!$B$5-H1562)</f>
        <v>271</v>
      </c>
      <c r="K1562" s="10" t="n">
        <f aca="false">INDEX(Parâmetros!$D$13:$D$19,MATCH(E1562,Parâmetros!$A$13:$A$19,0))</f>
        <v>45</v>
      </c>
      <c r="L1562" s="10" t="n">
        <f aca="false">IF(G1562="Prospecting",Parâmetros!$B$9,IF(J1562&gt;Parâmetros!$B$6,0,INDEX(Parâmetros!$C$24:$C$26,MATCH(J1562,Parâmetros!$A$24:$A$26,1))))</f>
        <v>0</v>
      </c>
      <c r="M1562" s="31" t="n">
        <f aca="false">IF(G1562="Prospecting",1,INDEX(Parâmetros!$C$32:$C$35,MATCH(J1562,Parâmetros!$A$32:$A$35,1)))</f>
        <v>0.25</v>
      </c>
      <c r="N1562" s="2" t="n">
        <f aca="false">ROUND((K1562+L1562)*M1562,0)</f>
        <v>11</v>
      </c>
      <c r="O1562" s="10" t="str">
        <f aca="false">IF(AND(G1562="Engaging",J1562&gt;Parâmetros!$B$6),"Sim","Não")</f>
        <v>Sim</v>
      </c>
      <c r="P1562" s="32" t="str">
        <f aca="false">IF(O1562="Sim","R",IF(N1562&gt;=Parâmetros!$B$39,"A",IF(N1562&gt;=Parâmetros!$B$40,"B",IF(N1562&gt;=Parâmetros!$B$41,"C","D"))))</f>
        <v>R</v>
      </c>
      <c r="Q1562" s="10" t="str">
        <f aca="false">IF(F1562="","Completar cadastro","")</f>
        <v>Completar cadastro</v>
      </c>
      <c r="R1562" s="10" t="str">
        <f aca="false">INDEX(Parâmetros!$D$39:$D$43,MATCH(P1562,Parâmetros!$A$39:$A$43,0))</f>
        <v>Reciclar: requalificar, reengajar ou encerrar</v>
      </c>
    </row>
    <row r="1563" customFormat="false" ht="15" hidden="false" customHeight="false" outlineLevel="0" collapsed="false">
      <c r="A1563" s="10" t="s">
        <v>1809</v>
      </c>
      <c r="B1563" s="10" t="s">
        <v>96</v>
      </c>
      <c r="C1563" s="10" t="s">
        <v>92</v>
      </c>
      <c r="D1563" s="10" t="s">
        <v>160</v>
      </c>
      <c r="E1563" s="10" t="s">
        <v>47</v>
      </c>
      <c r="F1563" s="10"/>
      <c r="G1563" s="10" t="s">
        <v>162</v>
      </c>
      <c r="H1563" s="30" t="n">
        <v>42829</v>
      </c>
      <c r="I1563" s="8" t="n">
        <f aca="false">INDEX(Parâmetros!$C$13:$C$19,MATCH(E1563,Parâmetros!$A$13:$A$19,0))</f>
        <v>5482</v>
      </c>
      <c r="J1563" s="26" t="n">
        <f aca="false">IF(H1563="","",Parâmetros!$B$5-H1563)</f>
        <v>271</v>
      </c>
      <c r="K1563" s="10" t="n">
        <f aca="false">INDEX(Parâmetros!$D$13:$D$19,MATCH(E1563,Parâmetros!$A$13:$A$19,0))</f>
        <v>45</v>
      </c>
      <c r="L1563" s="10" t="n">
        <f aca="false">IF(G1563="Prospecting",Parâmetros!$B$9,IF(J1563&gt;Parâmetros!$B$6,0,INDEX(Parâmetros!$C$24:$C$26,MATCH(J1563,Parâmetros!$A$24:$A$26,1))))</f>
        <v>0</v>
      </c>
      <c r="M1563" s="31" t="n">
        <f aca="false">IF(G1563="Prospecting",1,INDEX(Parâmetros!$C$32:$C$35,MATCH(J1563,Parâmetros!$A$32:$A$35,1)))</f>
        <v>0.25</v>
      </c>
      <c r="N1563" s="2" t="n">
        <f aca="false">ROUND((K1563+L1563)*M1563,0)</f>
        <v>11</v>
      </c>
      <c r="O1563" s="10" t="str">
        <f aca="false">IF(AND(G1563="Engaging",J1563&gt;Parâmetros!$B$6),"Sim","Não")</f>
        <v>Sim</v>
      </c>
      <c r="P1563" s="32" t="str">
        <f aca="false">IF(O1563="Sim","R",IF(N1563&gt;=Parâmetros!$B$39,"A",IF(N1563&gt;=Parâmetros!$B$40,"B",IF(N1563&gt;=Parâmetros!$B$41,"C","D"))))</f>
        <v>R</v>
      </c>
      <c r="Q1563" s="10" t="str">
        <f aca="false">IF(F1563="","Completar cadastro","")</f>
        <v>Completar cadastro</v>
      </c>
      <c r="R1563" s="10" t="str">
        <f aca="false">INDEX(Parâmetros!$D$39:$D$43,MATCH(P1563,Parâmetros!$A$39:$A$43,0))</f>
        <v>Reciclar: requalificar, reengajar ou encerrar</v>
      </c>
    </row>
    <row r="1564" customFormat="false" ht="15" hidden="false" customHeight="false" outlineLevel="0" collapsed="false">
      <c r="A1564" s="10" t="s">
        <v>1810</v>
      </c>
      <c r="B1564" s="10" t="s">
        <v>93</v>
      </c>
      <c r="C1564" s="10" t="s">
        <v>92</v>
      </c>
      <c r="D1564" s="10" t="s">
        <v>160</v>
      </c>
      <c r="E1564" s="10" t="s">
        <v>49</v>
      </c>
      <c r="F1564" s="10"/>
      <c r="G1564" s="10" t="s">
        <v>162</v>
      </c>
      <c r="H1564" s="30" t="n">
        <v>42677</v>
      </c>
      <c r="I1564" s="8" t="n">
        <f aca="false">INDEX(Parâmetros!$C$13:$C$19,MATCH(E1564,Parâmetros!$A$13:$A$19,0))</f>
        <v>3393</v>
      </c>
      <c r="J1564" s="26" t="n">
        <f aca="false">IF(H1564="","",Parâmetros!$B$5-H1564)</f>
        <v>423</v>
      </c>
      <c r="K1564" s="10" t="n">
        <f aca="false">INDEX(Parâmetros!$D$13:$D$19,MATCH(E1564,Parâmetros!$A$13:$A$19,0))</f>
        <v>40</v>
      </c>
      <c r="L1564" s="10" t="n">
        <f aca="false">IF(G1564="Prospecting",Parâmetros!$B$9,IF(J1564&gt;Parâmetros!$B$6,0,INDEX(Parâmetros!$C$24:$C$26,MATCH(J1564,Parâmetros!$A$24:$A$26,1))))</f>
        <v>0</v>
      </c>
      <c r="M1564" s="31" t="n">
        <f aca="false">IF(G1564="Prospecting",1,INDEX(Parâmetros!$C$32:$C$35,MATCH(J1564,Parâmetros!$A$32:$A$35,1)))</f>
        <v>0.25</v>
      </c>
      <c r="N1564" s="2" t="n">
        <f aca="false">ROUND((K1564+L1564)*M1564,0)</f>
        <v>10</v>
      </c>
      <c r="O1564" s="10" t="str">
        <f aca="false">IF(AND(G1564="Engaging",J1564&gt;Parâmetros!$B$6),"Sim","Não")</f>
        <v>Sim</v>
      </c>
      <c r="P1564" s="32" t="str">
        <f aca="false">IF(O1564="Sim","R",IF(N1564&gt;=Parâmetros!$B$39,"A",IF(N1564&gt;=Parâmetros!$B$40,"B",IF(N1564&gt;=Parâmetros!$B$41,"C","D"))))</f>
        <v>R</v>
      </c>
      <c r="Q1564" s="10" t="str">
        <f aca="false">IF(F1564="","Completar cadastro","")</f>
        <v>Completar cadastro</v>
      </c>
      <c r="R1564" s="10" t="str">
        <f aca="false">INDEX(Parâmetros!$D$39:$D$43,MATCH(P1564,Parâmetros!$A$39:$A$43,0))</f>
        <v>Reciclar: requalificar, reengajar ou encerrar</v>
      </c>
    </row>
    <row r="1565" customFormat="false" ht="15" hidden="false" customHeight="false" outlineLevel="0" collapsed="false">
      <c r="A1565" s="10" t="s">
        <v>1811</v>
      </c>
      <c r="B1565" s="10" t="s">
        <v>96</v>
      </c>
      <c r="C1565" s="10" t="s">
        <v>92</v>
      </c>
      <c r="D1565" s="10" t="s">
        <v>160</v>
      </c>
      <c r="E1565" s="10" t="s">
        <v>49</v>
      </c>
      <c r="F1565" s="10" t="s">
        <v>674</v>
      </c>
      <c r="G1565" s="10" t="s">
        <v>162</v>
      </c>
      <c r="H1565" s="30" t="n">
        <v>42684</v>
      </c>
      <c r="I1565" s="8" t="n">
        <f aca="false">INDEX(Parâmetros!$C$13:$C$19,MATCH(E1565,Parâmetros!$A$13:$A$19,0))</f>
        <v>3393</v>
      </c>
      <c r="J1565" s="26" t="n">
        <f aca="false">IF(H1565="","",Parâmetros!$B$5-H1565)</f>
        <v>416</v>
      </c>
      <c r="K1565" s="10" t="n">
        <f aca="false">INDEX(Parâmetros!$D$13:$D$19,MATCH(E1565,Parâmetros!$A$13:$A$19,0))</f>
        <v>40</v>
      </c>
      <c r="L1565" s="10" t="n">
        <f aca="false">IF(G1565="Prospecting",Parâmetros!$B$9,IF(J1565&gt;Parâmetros!$B$6,0,INDEX(Parâmetros!$C$24:$C$26,MATCH(J1565,Parâmetros!$A$24:$A$26,1))))</f>
        <v>0</v>
      </c>
      <c r="M1565" s="31" t="n">
        <f aca="false">IF(G1565="Prospecting",1,INDEX(Parâmetros!$C$32:$C$35,MATCH(J1565,Parâmetros!$A$32:$A$35,1)))</f>
        <v>0.25</v>
      </c>
      <c r="N1565" s="2" t="n">
        <f aca="false">ROUND((K1565+L1565)*M1565,0)</f>
        <v>10</v>
      </c>
      <c r="O1565" s="10" t="str">
        <f aca="false">IF(AND(G1565="Engaging",J1565&gt;Parâmetros!$B$6),"Sim","Não")</f>
        <v>Sim</v>
      </c>
      <c r="P1565" s="32" t="str">
        <f aca="false">IF(O1565="Sim","R",IF(N1565&gt;=Parâmetros!$B$39,"A",IF(N1565&gt;=Parâmetros!$B$40,"B",IF(N1565&gt;=Parâmetros!$B$41,"C","D"))))</f>
        <v>R</v>
      </c>
      <c r="Q1565" s="10" t="str">
        <f aca="false">IF(F1565="","Completar cadastro","")</f>
        <v/>
      </c>
      <c r="R1565" s="10" t="str">
        <f aca="false">INDEX(Parâmetros!$D$39:$D$43,MATCH(P1565,Parâmetros!$A$39:$A$43,0))</f>
        <v>Reciclar: requalificar, reengajar ou encerrar</v>
      </c>
    </row>
    <row r="1566" customFormat="false" ht="15" hidden="false" customHeight="false" outlineLevel="0" collapsed="false">
      <c r="A1566" s="10" t="s">
        <v>1812</v>
      </c>
      <c r="B1566" s="10" t="s">
        <v>67</v>
      </c>
      <c r="C1566" s="10" t="s">
        <v>65</v>
      </c>
      <c r="D1566" s="10" t="s">
        <v>160</v>
      </c>
      <c r="E1566" s="10" t="s">
        <v>49</v>
      </c>
      <c r="F1566" s="10"/>
      <c r="G1566" s="10" t="s">
        <v>162</v>
      </c>
      <c r="H1566" s="30" t="n">
        <v>42694</v>
      </c>
      <c r="I1566" s="8" t="n">
        <f aca="false">INDEX(Parâmetros!$C$13:$C$19,MATCH(E1566,Parâmetros!$A$13:$A$19,0))</f>
        <v>3393</v>
      </c>
      <c r="J1566" s="26" t="n">
        <f aca="false">IF(H1566="","",Parâmetros!$B$5-H1566)</f>
        <v>406</v>
      </c>
      <c r="K1566" s="10" t="n">
        <f aca="false">INDEX(Parâmetros!$D$13:$D$19,MATCH(E1566,Parâmetros!$A$13:$A$19,0))</f>
        <v>40</v>
      </c>
      <c r="L1566" s="10" t="n">
        <f aca="false">IF(G1566="Prospecting",Parâmetros!$B$9,IF(J1566&gt;Parâmetros!$B$6,0,INDEX(Parâmetros!$C$24:$C$26,MATCH(J1566,Parâmetros!$A$24:$A$26,1))))</f>
        <v>0</v>
      </c>
      <c r="M1566" s="31" t="n">
        <f aca="false">IF(G1566="Prospecting",1,INDEX(Parâmetros!$C$32:$C$35,MATCH(J1566,Parâmetros!$A$32:$A$35,1)))</f>
        <v>0.25</v>
      </c>
      <c r="N1566" s="2" t="n">
        <f aca="false">ROUND((K1566+L1566)*M1566,0)</f>
        <v>10</v>
      </c>
      <c r="O1566" s="10" t="str">
        <f aca="false">IF(AND(G1566="Engaging",J1566&gt;Parâmetros!$B$6),"Sim","Não")</f>
        <v>Sim</v>
      </c>
      <c r="P1566" s="32" t="str">
        <f aca="false">IF(O1566="Sim","R",IF(N1566&gt;=Parâmetros!$B$39,"A",IF(N1566&gt;=Parâmetros!$B$40,"B",IF(N1566&gt;=Parâmetros!$B$41,"C","D"))))</f>
        <v>R</v>
      </c>
      <c r="Q1566" s="10" t="str">
        <f aca="false">IF(F1566="","Completar cadastro","")</f>
        <v>Completar cadastro</v>
      </c>
      <c r="R1566" s="10" t="str">
        <f aca="false">INDEX(Parâmetros!$D$39:$D$43,MATCH(P1566,Parâmetros!$A$39:$A$43,0))</f>
        <v>Reciclar: requalificar, reengajar ou encerrar</v>
      </c>
    </row>
    <row r="1567" customFormat="false" ht="15" hidden="false" customHeight="false" outlineLevel="0" collapsed="false">
      <c r="A1567" s="10" t="s">
        <v>1813</v>
      </c>
      <c r="B1567" s="10" t="s">
        <v>66</v>
      </c>
      <c r="C1567" s="10" t="s">
        <v>65</v>
      </c>
      <c r="D1567" s="10" t="s">
        <v>160</v>
      </c>
      <c r="E1567" s="10" t="s">
        <v>49</v>
      </c>
      <c r="F1567" s="10"/>
      <c r="G1567" s="10" t="s">
        <v>162</v>
      </c>
      <c r="H1567" s="30" t="n">
        <v>42697</v>
      </c>
      <c r="I1567" s="8" t="n">
        <f aca="false">INDEX(Parâmetros!$C$13:$C$19,MATCH(E1567,Parâmetros!$A$13:$A$19,0))</f>
        <v>3393</v>
      </c>
      <c r="J1567" s="26" t="n">
        <f aca="false">IF(H1567="","",Parâmetros!$B$5-H1567)</f>
        <v>403</v>
      </c>
      <c r="K1567" s="10" t="n">
        <f aca="false">INDEX(Parâmetros!$D$13:$D$19,MATCH(E1567,Parâmetros!$A$13:$A$19,0))</f>
        <v>40</v>
      </c>
      <c r="L1567" s="10" t="n">
        <f aca="false">IF(G1567="Prospecting",Parâmetros!$B$9,IF(J1567&gt;Parâmetros!$B$6,0,INDEX(Parâmetros!$C$24:$C$26,MATCH(J1567,Parâmetros!$A$24:$A$26,1))))</f>
        <v>0</v>
      </c>
      <c r="M1567" s="31" t="n">
        <f aca="false">IF(G1567="Prospecting",1,INDEX(Parâmetros!$C$32:$C$35,MATCH(J1567,Parâmetros!$A$32:$A$35,1)))</f>
        <v>0.25</v>
      </c>
      <c r="N1567" s="2" t="n">
        <f aca="false">ROUND((K1567+L1567)*M1567,0)</f>
        <v>10</v>
      </c>
      <c r="O1567" s="10" t="str">
        <f aca="false">IF(AND(G1567="Engaging",J1567&gt;Parâmetros!$B$6),"Sim","Não")</f>
        <v>Sim</v>
      </c>
      <c r="P1567" s="32" t="str">
        <f aca="false">IF(O1567="Sim","R",IF(N1567&gt;=Parâmetros!$B$39,"A",IF(N1567&gt;=Parâmetros!$B$40,"B",IF(N1567&gt;=Parâmetros!$B$41,"C","D"))))</f>
        <v>R</v>
      </c>
      <c r="Q1567" s="10" t="str">
        <f aca="false">IF(F1567="","Completar cadastro","")</f>
        <v>Completar cadastro</v>
      </c>
      <c r="R1567" s="10" t="str">
        <f aca="false">INDEX(Parâmetros!$D$39:$D$43,MATCH(P1567,Parâmetros!$A$39:$A$43,0))</f>
        <v>Reciclar: requalificar, reengajar ou encerrar</v>
      </c>
    </row>
    <row r="1568" customFormat="false" ht="15" hidden="false" customHeight="false" outlineLevel="0" collapsed="false">
      <c r="A1568" s="10" t="s">
        <v>1814</v>
      </c>
      <c r="B1568" s="10" t="s">
        <v>68</v>
      </c>
      <c r="C1568" s="10" t="s">
        <v>65</v>
      </c>
      <c r="D1568" s="10" t="s">
        <v>160</v>
      </c>
      <c r="E1568" s="10" t="s">
        <v>49</v>
      </c>
      <c r="F1568" s="10" t="s">
        <v>215</v>
      </c>
      <c r="G1568" s="10" t="s">
        <v>162</v>
      </c>
      <c r="H1568" s="30" t="n">
        <v>42701</v>
      </c>
      <c r="I1568" s="8" t="n">
        <f aca="false">INDEX(Parâmetros!$C$13:$C$19,MATCH(E1568,Parâmetros!$A$13:$A$19,0))</f>
        <v>3393</v>
      </c>
      <c r="J1568" s="26" t="n">
        <f aca="false">IF(H1568="","",Parâmetros!$B$5-H1568)</f>
        <v>399</v>
      </c>
      <c r="K1568" s="10" t="n">
        <f aca="false">INDEX(Parâmetros!$D$13:$D$19,MATCH(E1568,Parâmetros!$A$13:$A$19,0))</f>
        <v>40</v>
      </c>
      <c r="L1568" s="10" t="n">
        <f aca="false">IF(G1568="Prospecting",Parâmetros!$B$9,IF(J1568&gt;Parâmetros!$B$6,0,INDEX(Parâmetros!$C$24:$C$26,MATCH(J1568,Parâmetros!$A$24:$A$26,1))))</f>
        <v>0</v>
      </c>
      <c r="M1568" s="31" t="n">
        <f aca="false">IF(G1568="Prospecting",1,INDEX(Parâmetros!$C$32:$C$35,MATCH(J1568,Parâmetros!$A$32:$A$35,1)))</f>
        <v>0.25</v>
      </c>
      <c r="N1568" s="2" t="n">
        <f aca="false">ROUND((K1568+L1568)*M1568,0)</f>
        <v>10</v>
      </c>
      <c r="O1568" s="10" t="str">
        <f aca="false">IF(AND(G1568="Engaging",J1568&gt;Parâmetros!$B$6),"Sim","Não")</f>
        <v>Sim</v>
      </c>
      <c r="P1568" s="32" t="str">
        <f aca="false">IF(O1568="Sim","R",IF(N1568&gt;=Parâmetros!$B$39,"A",IF(N1568&gt;=Parâmetros!$B$40,"B",IF(N1568&gt;=Parâmetros!$B$41,"C","D"))))</f>
        <v>R</v>
      </c>
      <c r="Q1568" s="10" t="str">
        <f aca="false">IF(F1568="","Completar cadastro","")</f>
        <v/>
      </c>
      <c r="R1568" s="10" t="str">
        <f aca="false">INDEX(Parâmetros!$D$39:$D$43,MATCH(P1568,Parâmetros!$A$39:$A$43,0))</f>
        <v>Reciclar: requalificar, reengajar ou encerrar</v>
      </c>
    </row>
    <row r="1569" customFormat="false" ht="15" hidden="false" customHeight="false" outlineLevel="0" collapsed="false">
      <c r="A1569" s="10" t="s">
        <v>1815</v>
      </c>
      <c r="B1569" s="10" t="s">
        <v>93</v>
      </c>
      <c r="C1569" s="10" t="s">
        <v>92</v>
      </c>
      <c r="D1569" s="10" t="s">
        <v>160</v>
      </c>
      <c r="E1569" s="10" t="s">
        <v>49</v>
      </c>
      <c r="F1569" s="10"/>
      <c r="G1569" s="10" t="s">
        <v>162</v>
      </c>
      <c r="H1569" s="30" t="n">
        <v>42712</v>
      </c>
      <c r="I1569" s="8" t="n">
        <f aca="false">INDEX(Parâmetros!$C$13:$C$19,MATCH(E1569,Parâmetros!$A$13:$A$19,0))</f>
        <v>3393</v>
      </c>
      <c r="J1569" s="26" t="n">
        <f aca="false">IF(H1569="","",Parâmetros!$B$5-H1569)</f>
        <v>388</v>
      </c>
      <c r="K1569" s="10" t="n">
        <f aca="false">INDEX(Parâmetros!$D$13:$D$19,MATCH(E1569,Parâmetros!$A$13:$A$19,0))</f>
        <v>40</v>
      </c>
      <c r="L1569" s="10" t="n">
        <f aca="false">IF(G1569="Prospecting",Parâmetros!$B$9,IF(J1569&gt;Parâmetros!$B$6,0,INDEX(Parâmetros!$C$24:$C$26,MATCH(J1569,Parâmetros!$A$24:$A$26,1))))</f>
        <v>0</v>
      </c>
      <c r="M1569" s="31" t="n">
        <f aca="false">IF(G1569="Prospecting",1,INDEX(Parâmetros!$C$32:$C$35,MATCH(J1569,Parâmetros!$A$32:$A$35,1)))</f>
        <v>0.25</v>
      </c>
      <c r="N1569" s="2" t="n">
        <f aca="false">ROUND((K1569+L1569)*M1569,0)</f>
        <v>10</v>
      </c>
      <c r="O1569" s="10" t="str">
        <f aca="false">IF(AND(G1569="Engaging",J1569&gt;Parâmetros!$B$6),"Sim","Não")</f>
        <v>Sim</v>
      </c>
      <c r="P1569" s="32" t="str">
        <f aca="false">IF(O1569="Sim","R",IF(N1569&gt;=Parâmetros!$B$39,"A",IF(N1569&gt;=Parâmetros!$B$40,"B",IF(N1569&gt;=Parâmetros!$B$41,"C","D"))))</f>
        <v>R</v>
      </c>
      <c r="Q1569" s="10" t="str">
        <f aca="false">IF(F1569="","Completar cadastro","")</f>
        <v>Completar cadastro</v>
      </c>
      <c r="R1569" s="10" t="str">
        <f aca="false">INDEX(Parâmetros!$D$39:$D$43,MATCH(P1569,Parâmetros!$A$39:$A$43,0))</f>
        <v>Reciclar: requalificar, reengajar ou encerrar</v>
      </c>
    </row>
    <row r="1570" customFormat="false" ht="15" hidden="false" customHeight="false" outlineLevel="0" collapsed="false">
      <c r="A1570" s="10" t="s">
        <v>1816</v>
      </c>
      <c r="B1570" s="10" t="s">
        <v>86</v>
      </c>
      <c r="C1570" s="10" t="s">
        <v>85</v>
      </c>
      <c r="D1570" s="10" t="s">
        <v>165</v>
      </c>
      <c r="E1570" s="10" t="s">
        <v>49</v>
      </c>
      <c r="F1570" s="10"/>
      <c r="G1570" s="10" t="s">
        <v>162</v>
      </c>
      <c r="H1570" s="30" t="n">
        <v>42715</v>
      </c>
      <c r="I1570" s="8" t="n">
        <f aca="false">INDEX(Parâmetros!$C$13:$C$19,MATCH(E1570,Parâmetros!$A$13:$A$19,0))</f>
        <v>3393</v>
      </c>
      <c r="J1570" s="26" t="n">
        <f aca="false">IF(H1570="","",Parâmetros!$B$5-H1570)</f>
        <v>385</v>
      </c>
      <c r="K1570" s="10" t="n">
        <f aca="false">INDEX(Parâmetros!$D$13:$D$19,MATCH(E1570,Parâmetros!$A$13:$A$19,0))</f>
        <v>40</v>
      </c>
      <c r="L1570" s="10" t="n">
        <f aca="false">IF(G1570="Prospecting",Parâmetros!$B$9,IF(J1570&gt;Parâmetros!$B$6,0,INDEX(Parâmetros!$C$24:$C$26,MATCH(J1570,Parâmetros!$A$24:$A$26,1))))</f>
        <v>0</v>
      </c>
      <c r="M1570" s="31" t="n">
        <f aca="false">IF(G1570="Prospecting",1,INDEX(Parâmetros!$C$32:$C$35,MATCH(J1570,Parâmetros!$A$32:$A$35,1)))</f>
        <v>0.25</v>
      </c>
      <c r="N1570" s="2" t="n">
        <f aca="false">ROUND((K1570+L1570)*M1570,0)</f>
        <v>10</v>
      </c>
      <c r="O1570" s="10" t="str">
        <f aca="false">IF(AND(G1570="Engaging",J1570&gt;Parâmetros!$B$6),"Sim","Não")</f>
        <v>Sim</v>
      </c>
      <c r="P1570" s="32" t="str">
        <f aca="false">IF(O1570="Sim","R",IF(N1570&gt;=Parâmetros!$B$39,"A",IF(N1570&gt;=Parâmetros!$B$40,"B",IF(N1570&gt;=Parâmetros!$B$41,"C","D"))))</f>
        <v>R</v>
      </c>
      <c r="Q1570" s="10" t="str">
        <f aca="false">IF(F1570="","Completar cadastro","")</f>
        <v>Completar cadastro</v>
      </c>
      <c r="R1570" s="10" t="str">
        <f aca="false">INDEX(Parâmetros!$D$39:$D$43,MATCH(P1570,Parâmetros!$A$39:$A$43,0))</f>
        <v>Reciclar: requalificar, reengajar ou encerrar</v>
      </c>
    </row>
    <row r="1571" customFormat="false" ht="15" hidden="false" customHeight="false" outlineLevel="0" collapsed="false">
      <c r="A1571" s="10" t="s">
        <v>1817</v>
      </c>
      <c r="B1571" s="10" t="s">
        <v>69</v>
      </c>
      <c r="C1571" s="10" t="s">
        <v>65</v>
      </c>
      <c r="D1571" s="10" t="s">
        <v>160</v>
      </c>
      <c r="E1571" s="10" t="s">
        <v>49</v>
      </c>
      <c r="F1571" s="10"/>
      <c r="G1571" s="10" t="s">
        <v>162</v>
      </c>
      <c r="H1571" s="30" t="n">
        <v>42716</v>
      </c>
      <c r="I1571" s="8" t="n">
        <f aca="false">INDEX(Parâmetros!$C$13:$C$19,MATCH(E1571,Parâmetros!$A$13:$A$19,0))</f>
        <v>3393</v>
      </c>
      <c r="J1571" s="26" t="n">
        <f aca="false">IF(H1571="","",Parâmetros!$B$5-H1571)</f>
        <v>384</v>
      </c>
      <c r="K1571" s="10" t="n">
        <f aca="false">INDEX(Parâmetros!$D$13:$D$19,MATCH(E1571,Parâmetros!$A$13:$A$19,0))</f>
        <v>40</v>
      </c>
      <c r="L1571" s="10" t="n">
        <f aca="false">IF(G1571="Prospecting",Parâmetros!$B$9,IF(J1571&gt;Parâmetros!$B$6,0,INDEX(Parâmetros!$C$24:$C$26,MATCH(J1571,Parâmetros!$A$24:$A$26,1))))</f>
        <v>0</v>
      </c>
      <c r="M1571" s="31" t="n">
        <f aca="false">IF(G1571="Prospecting",1,INDEX(Parâmetros!$C$32:$C$35,MATCH(J1571,Parâmetros!$A$32:$A$35,1)))</f>
        <v>0.25</v>
      </c>
      <c r="N1571" s="2" t="n">
        <f aca="false">ROUND((K1571+L1571)*M1571,0)</f>
        <v>10</v>
      </c>
      <c r="O1571" s="10" t="str">
        <f aca="false">IF(AND(G1571="Engaging",J1571&gt;Parâmetros!$B$6),"Sim","Não")</f>
        <v>Sim</v>
      </c>
      <c r="P1571" s="32" t="str">
        <f aca="false">IF(O1571="Sim","R",IF(N1571&gt;=Parâmetros!$B$39,"A",IF(N1571&gt;=Parâmetros!$B$40,"B",IF(N1571&gt;=Parâmetros!$B$41,"C","D"))))</f>
        <v>R</v>
      </c>
      <c r="Q1571" s="10" t="str">
        <f aca="false">IF(F1571="","Completar cadastro","")</f>
        <v>Completar cadastro</v>
      </c>
      <c r="R1571" s="10" t="str">
        <f aca="false">INDEX(Parâmetros!$D$39:$D$43,MATCH(P1571,Parâmetros!$A$39:$A$43,0))</f>
        <v>Reciclar: requalificar, reengajar ou encerrar</v>
      </c>
    </row>
    <row r="1572" customFormat="false" ht="15" hidden="false" customHeight="false" outlineLevel="0" collapsed="false">
      <c r="A1572" s="10" t="s">
        <v>1818</v>
      </c>
      <c r="B1572" s="10" t="s">
        <v>67</v>
      </c>
      <c r="C1572" s="10" t="s">
        <v>65</v>
      </c>
      <c r="D1572" s="10" t="s">
        <v>160</v>
      </c>
      <c r="E1572" s="10" t="s">
        <v>49</v>
      </c>
      <c r="F1572" s="10"/>
      <c r="G1572" s="10" t="s">
        <v>162</v>
      </c>
      <c r="H1572" s="30" t="n">
        <v>42718</v>
      </c>
      <c r="I1572" s="8" t="n">
        <f aca="false">INDEX(Parâmetros!$C$13:$C$19,MATCH(E1572,Parâmetros!$A$13:$A$19,0))</f>
        <v>3393</v>
      </c>
      <c r="J1572" s="26" t="n">
        <f aca="false">IF(H1572="","",Parâmetros!$B$5-H1572)</f>
        <v>382</v>
      </c>
      <c r="K1572" s="10" t="n">
        <f aca="false">INDEX(Parâmetros!$D$13:$D$19,MATCH(E1572,Parâmetros!$A$13:$A$19,0))</f>
        <v>40</v>
      </c>
      <c r="L1572" s="10" t="n">
        <f aca="false">IF(G1572="Prospecting",Parâmetros!$B$9,IF(J1572&gt;Parâmetros!$B$6,0,INDEX(Parâmetros!$C$24:$C$26,MATCH(J1572,Parâmetros!$A$24:$A$26,1))))</f>
        <v>0</v>
      </c>
      <c r="M1572" s="31" t="n">
        <f aca="false">IF(G1572="Prospecting",1,INDEX(Parâmetros!$C$32:$C$35,MATCH(J1572,Parâmetros!$A$32:$A$35,1)))</f>
        <v>0.25</v>
      </c>
      <c r="N1572" s="2" t="n">
        <f aca="false">ROUND((K1572+L1572)*M1572,0)</f>
        <v>10</v>
      </c>
      <c r="O1572" s="10" t="str">
        <f aca="false">IF(AND(G1572="Engaging",J1572&gt;Parâmetros!$B$6),"Sim","Não")</f>
        <v>Sim</v>
      </c>
      <c r="P1572" s="32" t="str">
        <f aca="false">IF(O1572="Sim","R",IF(N1572&gt;=Parâmetros!$B$39,"A",IF(N1572&gt;=Parâmetros!$B$40,"B",IF(N1572&gt;=Parâmetros!$B$41,"C","D"))))</f>
        <v>R</v>
      </c>
      <c r="Q1572" s="10" t="str">
        <f aca="false">IF(F1572="","Completar cadastro","")</f>
        <v>Completar cadastro</v>
      </c>
      <c r="R1572" s="10" t="str">
        <f aca="false">INDEX(Parâmetros!$D$39:$D$43,MATCH(P1572,Parâmetros!$A$39:$A$43,0))</f>
        <v>Reciclar: requalificar, reengajar ou encerrar</v>
      </c>
    </row>
    <row r="1573" customFormat="false" ht="15" hidden="false" customHeight="false" outlineLevel="0" collapsed="false">
      <c r="A1573" s="10" t="s">
        <v>1819</v>
      </c>
      <c r="B1573" s="10" t="s">
        <v>86</v>
      </c>
      <c r="C1573" s="10" t="s">
        <v>85</v>
      </c>
      <c r="D1573" s="10" t="s">
        <v>165</v>
      </c>
      <c r="E1573" s="10" t="s">
        <v>49</v>
      </c>
      <c r="F1573" s="10"/>
      <c r="G1573" s="10" t="s">
        <v>162</v>
      </c>
      <c r="H1573" s="30" t="n">
        <v>42722</v>
      </c>
      <c r="I1573" s="8" t="n">
        <f aca="false">INDEX(Parâmetros!$C$13:$C$19,MATCH(E1573,Parâmetros!$A$13:$A$19,0))</f>
        <v>3393</v>
      </c>
      <c r="J1573" s="26" t="n">
        <f aca="false">IF(H1573="","",Parâmetros!$B$5-H1573)</f>
        <v>378</v>
      </c>
      <c r="K1573" s="10" t="n">
        <f aca="false">INDEX(Parâmetros!$D$13:$D$19,MATCH(E1573,Parâmetros!$A$13:$A$19,0))</f>
        <v>40</v>
      </c>
      <c r="L1573" s="10" t="n">
        <f aca="false">IF(G1573="Prospecting",Parâmetros!$B$9,IF(J1573&gt;Parâmetros!$B$6,0,INDEX(Parâmetros!$C$24:$C$26,MATCH(J1573,Parâmetros!$A$24:$A$26,1))))</f>
        <v>0</v>
      </c>
      <c r="M1573" s="31" t="n">
        <f aca="false">IF(G1573="Prospecting",1,INDEX(Parâmetros!$C$32:$C$35,MATCH(J1573,Parâmetros!$A$32:$A$35,1)))</f>
        <v>0.25</v>
      </c>
      <c r="N1573" s="2" t="n">
        <f aca="false">ROUND((K1573+L1573)*M1573,0)</f>
        <v>10</v>
      </c>
      <c r="O1573" s="10" t="str">
        <f aca="false">IF(AND(G1573="Engaging",J1573&gt;Parâmetros!$B$6),"Sim","Não")</f>
        <v>Sim</v>
      </c>
      <c r="P1573" s="32" t="str">
        <f aca="false">IF(O1573="Sim","R",IF(N1573&gt;=Parâmetros!$B$39,"A",IF(N1573&gt;=Parâmetros!$B$40,"B",IF(N1573&gt;=Parâmetros!$B$41,"C","D"))))</f>
        <v>R</v>
      </c>
      <c r="Q1573" s="10" t="str">
        <f aca="false">IF(F1573="","Completar cadastro","")</f>
        <v>Completar cadastro</v>
      </c>
      <c r="R1573" s="10" t="str">
        <f aca="false">INDEX(Parâmetros!$D$39:$D$43,MATCH(P1573,Parâmetros!$A$39:$A$43,0))</f>
        <v>Reciclar: requalificar, reengajar ou encerrar</v>
      </c>
    </row>
    <row r="1574" customFormat="false" ht="15" hidden="false" customHeight="false" outlineLevel="0" collapsed="false">
      <c r="A1574" s="10" t="s">
        <v>1820</v>
      </c>
      <c r="B1574" s="10" t="s">
        <v>94</v>
      </c>
      <c r="C1574" s="10" t="s">
        <v>92</v>
      </c>
      <c r="D1574" s="10" t="s">
        <v>160</v>
      </c>
      <c r="E1574" s="10" t="s">
        <v>49</v>
      </c>
      <c r="F1574" s="10" t="s">
        <v>279</v>
      </c>
      <c r="G1574" s="10" t="s">
        <v>162</v>
      </c>
      <c r="H1574" s="30" t="n">
        <v>42730</v>
      </c>
      <c r="I1574" s="8" t="n">
        <f aca="false">INDEX(Parâmetros!$C$13:$C$19,MATCH(E1574,Parâmetros!$A$13:$A$19,0))</f>
        <v>3393</v>
      </c>
      <c r="J1574" s="26" t="n">
        <f aca="false">IF(H1574="","",Parâmetros!$B$5-H1574)</f>
        <v>370</v>
      </c>
      <c r="K1574" s="10" t="n">
        <f aca="false">INDEX(Parâmetros!$D$13:$D$19,MATCH(E1574,Parâmetros!$A$13:$A$19,0))</f>
        <v>40</v>
      </c>
      <c r="L1574" s="10" t="n">
        <f aca="false">IF(G1574="Prospecting",Parâmetros!$B$9,IF(J1574&gt;Parâmetros!$B$6,0,INDEX(Parâmetros!$C$24:$C$26,MATCH(J1574,Parâmetros!$A$24:$A$26,1))))</f>
        <v>0</v>
      </c>
      <c r="M1574" s="31" t="n">
        <f aca="false">IF(G1574="Prospecting",1,INDEX(Parâmetros!$C$32:$C$35,MATCH(J1574,Parâmetros!$A$32:$A$35,1)))</f>
        <v>0.25</v>
      </c>
      <c r="N1574" s="2" t="n">
        <f aca="false">ROUND((K1574+L1574)*M1574,0)</f>
        <v>10</v>
      </c>
      <c r="O1574" s="10" t="str">
        <f aca="false">IF(AND(G1574="Engaging",J1574&gt;Parâmetros!$B$6),"Sim","Não")</f>
        <v>Sim</v>
      </c>
      <c r="P1574" s="32" t="str">
        <f aca="false">IF(O1574="Sim","R",IF(N1574&gt;=Parâmetros!$B$39,"A",IF(N1574&gt;=Parâmetros!$B$40,"B",IF(N1574&gt;=Parâmetros!$B$41,"C","D"))))</f>
        <v>R</v>
      </c>
      <c r="Q1574" s="10" t="str">
        <f aca="false">IF(F1574="","Completar cadastro","")</f>
        <v/>
      </c>
      <c r="R1574" s="10" t="str">
        <f aca="false">INDEX(Parâmetros!$D$39:$D$43,MATCH(P1574,Parâmetros!$A$39:$A$43,0))</f>
        <v>Reciclar: requalificar, reengajar ou encerrar</v>
      </c>
    </row>
    <row r="1575" customFormat="false" ht="15" hidden="false" customHeight="false" outlineLevel="0" collapsed="false">
      <c r="A1575" s="10" t="s">
        <v>1821</v>
      </c>
      <c r="B1575" s="10" t="s">
        <v>93</v>
      </c>
      <c r="C1575" s="10" t="s">
        <v>92</v>
      </c>
      <c r="D1575" s="10" t="s">
        <v>160</v>
      </c>
      <c r="E1575" s="10" t="s">
        <v>49</v>
      </c>
      <c r="F1575" s="10"/>
      <c r="G1575" s="10" t="s">
        <v>162</v>
      </c>
      <c r="H1575" s="30" t="n">
        <v>42739</v>
      </c>
      <c r="I1575" s="8" t="n">
        <f aca="false">INDEX(Parâmetros!$C$13:$C$19,MATCH(E1575,Parâmetros!$A$13:$A$19,0))</f>
        <v>3393</v>
      </c>
      <c r="J1575" s="26" t="n">
        <f aca="false">IF(H1575="","",Parâmetros!$B$5-H1575)</f>
        <v>361</v>
      </c>
      <c r="K1575" s="10" t="n">
        <f aca="false">INDEX(Parâmetros!$D$13:$D$19,MATCH(E1575,Parâmetros!$A$13:$A$19,0))</f>
        <v>40</v>
      </c>
      <c r="L1575" s="10" t="n">
        <f aca="false">IF(G1575="Prospecting",Parâmetros!$B$9,IF(J1575&gt;Parâmetros!$B$6,0,INDEX(Parâmetros!$C$24:$C$26,MATCH(J1575,Parâmetros!$A$24:$A$26,1))))</f>
        <v>0</v>
      </c>
      <c r="M1575" s="31" t="n">
        <f aca="false">IF(G1575="Prospecting",1,INDEX(Parâmetros!$C$32:$C$35,MATCH(J1575,Parâmetros!$A$32:$A$35,1)))</f>
        <v>0.25</v>
      </c>
      <c r="N1575" s="2" t="n">
        <f aca="false">ROUND((K1575+L1575)*M1575,0)</f>
        <v>10</v>
      </c>
      <c r="O1575" s="10" t="str">
        <f aca="false">IF(AND(G1575="Engaging",J1575&gt;Parâmetros!$B$6),"Sim","Não")</f>
        <v>Sim</v>
      </c>
      <c r="P1575" s="32" t="str">
        <f aca="false">IF(O1575="Sim","R",IF(N1575&gt;=Parâmetros!$B$39,"A",IF(N1575&gt;=Parâmetros!$B$40,"B",IF(N1575&gt;=Parâmetros!$B$41,"C","D"))))</f>
        <v>R</v>
      </c>
      <c r="Q1575" s="10" t="str">
        <f aca="false">IF(F1575="","Completar cadastro","")</f>
        <v>Completar cadastro</v>
      </c>
      <c r="R1575" s="10" t="str">
        <f aca="false">INDEX(Parâmetros!$D$39:$D$43,MATCH(P1575,Parâmetros!$A$39:$A$43,0))</f>
        <v>Reciclar: requalificar, reengajar ou encerrar</v>
      </c>
    </row>
    <row r="1576" customFormat="false" ht="15" hidden="false" customHeight="false" outlineLevel="0" collapsed="false">
      <c r="A1576" s="10" t="s">
        <v>1822</v>
      </c>
      <c r="B1576" s="10" t="s">
        <v>94</v>
      </c>
      <c r="C1576" s="10" t="s">
        <v>92</v>
      </c>
      <c r="D1576" s="10" t="s">
        <v>160</v>
      </c>
      <c r="E1576" s="10" t="s">
        <v>49</v>
      </c>
      <c r="F1576" s="10"/>
      <c r="G1576" s="10" t="s">
        <v>162</v>
      </c>
      <c r="H1576" s="30" t="n">
        <v>42740</v>
      </c>
      <c r="I1576" s="8" t="n">
        <f aca="false">INDEX(Parâmetros!$C$13:$C$19,MATCH(E1576,Parâmetros!$A$13:$A$19,0))</f>
        <v>3393</v>
      </c>
      <c r="J1576" s="26" t="n">
        <f aca="false">IF(H1576="","",Parâmetros!$B$5-H1576)</f>
        <v>360</v>
      </c>
      <c r="K1576" s="10" t="n">
        <f aca="false">INDEX(Parâmetros!$D$13:$D$19,MATCH(E1576,Parâmetros!$A$13:$A$19,0))</f>
        <v>40</v>
      </c>
      <c r="L1576" s="10" t="n">
        <f aca="false">IF(G1576="Prospecting",Parâmetros!$B$9,IF(J1576&gt;Parâmetros!$B$6,0,INDEX(Parâmetros!$C$24:$C$26,MATCH(J1576,Parâmetros!$A$24:$A$26,1))))</f>
        <v>0</v>
      </c>
      <c r="M1576" s="31" t="n">
        <f aca="false">IF(G1576="Prospecting",1,INDEX(Parâmetros!$C$32:$C$35,MATCH(J1576,Parâmetros!$A$32:$A$35,1)))</f>
        <v>0.25</v>
      </c>
      <c r="N1576" s="2" t="n">
        <f aca="false">ROUND((K1576+L1576)*M1576,0)</f>
        <v>10</v>
      </c>
      <c r="O1576" s="10" t="str">
        <f aca="false">IF(AND(G1576="Engaging",J1576&gt;Parâmetros!$B$6),"Sim","Não")</f>
        <v>Sim</v>
      </c>
      <c r="P1576" s="32" t="str">
        <f aca="false">IF(O1576="Sim","R",IF(N1576&gt;=Parâmetros!$B$39,"A",IF(N1576&gt;=Parâmetros!$B$40,"B",IF(N1576&gt;=Parâmetros!$B$41,"C","D"))))</f>
        <v>R</v>
      </c>
      <c r="Q1576" s="10" t="str">
        <f aca="false">IF(F1576="","Completar cadastro","")</f>
        <v>Completar cadastro</v>
      </c>
      <c r="R1576" s="10" t="str">
        <f aca="false">INDEX(Parâmetros!$D$39:$D$43,MATCH(P1576,Parâmetros!$A$39:$A$43,0))</f>
        <v>Reciclar: requalificar, reengajar ou encerrar</v>
      </c>
    </row>
    <row r="1577" customFormat="false" ht="15" hidden="false" customHeight="false" outlineLevel="0" collapsed="false">
      <c r="A1577" s="10" t="s">
        <v>1823</v>
      </c>
      <c r="B1577" s="10" t="s">
        <v>67</v>
      </c>
      <c r="C1577" s="10" t="s">
        <v>65</v>
      </c>
      <c r="D1577" s="10" t="s">
        <v>160</v>
      </c>
      <c r="E1577" s="10" t="s">
        <v>49</v>
      </c>
      <c r="F1577" s="10" t="s">
        <v>455</v>
      </c>
      <c r="G1577" s="10" t="s">
        <v>162</v>
      </c>
      <c r="H1577" s="30" t="n">
        <v>42748</v>
      </c>
      <c r="I1577" s="8" t="n">
        <f aca="false">INDEX(Parâmetros!$C$13:$C$19,MATCH(E1577,Parâmetros!$A$13:$A$19,0))</f>
        <v>3393</v>
      </c>
      <c r="J1577" s="26" t="n">
        <f aca="false">IF(H1577="","",Parâmetros!$B$5-H1577)</f>
        <v>352</v>
      </c>
      <c r="K1577" s="10" t="n">
        <f aca="false">INDEX(Parâmetros!$D$13:$D$19,MATCH(E1577,Parâmetros!$A$13:$A$19,0))</f>
        <v>40</v>
      </c>
      <c r="L1577" s="10" t="n">
        <f aca="false">IF(G1577="Prospecting",Parâmetros!$B$9,IF(J1577&gt;Parâmetros!$B$6,0,INDEX(Parâmetros!$C$24:$C$26,MATCH(J1577,Parâmetros!$A$24:$A$26,1))))</f>
        <v>0</v>
      </c>
      <c r="M1577" s="31" t="n">
        <f aca="false">IF(G1577="Prospecting",1,INDEX(Parâmetros!$C$32:$C$35,MATCH(J1577,Parâmetros!$A$32:$A$35,1)))</f>
        <v>0.25</v>
      </c>
      <c r="N1577" s="2" t="n">
        <f aca="false">ROUND((K1577+L1577)*M1577,0)</f>
        <v>10</v>
      </c>
      <c r="O1577" s="10" t="str">
        <f aca="false">IF(AND(G1577="Engaging",J1577&gt;Parâmetros!$B$6),"Sim","Não")</f>
        <v>Sim</v>
      </c>
      <c r="P1577" s="32" t="str">
        <f aca="false">IF(O1577="Sim","R",IF(N1577&gt;=Parâmetros!$B$39,"A",IF(N1577&gt;=Parâmetros!$B$40,"B",IF(N1577&gt;=Parâmetros!$B$41,"C","D"))))</f>
        <v>R</v>
      </c>
      <c r="Q1577" s="10" t="str">
        <f aca="false">IF(F1577="","Completar cadastro","")</f>
        <v/>
      </c>
      <c r="R1577" s="10" t="str">
        <f aca="false">INDEX(Parâmetros!$D$39:$D$43,MATCH(P1577,Parâmetros!$A$39:$A$43,0))</f>
        <v>Reciclar: requalificar, reengajar ou encerrar</v>
      </c>
    </row>
    <row r="1578" customFormat="false" ht="15" hidden="false" customHeight="false" outlineLevel="0" collapsed="false">
      <c r="A1578" s="10" t="s">
        <v>1824</v>
      </c>
      <c r="B1578" s="10" t="s">
        <v>93</v>
      </c>
      <c r="C1578" s="10" t="s">
        <v>92</v>
      </c>
      <c r="D1578" s="10" t="s">
        <v>160</v>
      </c>
      <c r="E1578" s="10" t="s">
        <v>49</v>
      </c>
      <c r="F1578" s="10" t="s">
        <v>961</v>
      </c>
      <c r="G1578" s="10" t="s">
        <v>162</v>
      </c>
      <c r="H1578" s="30" t="n">
        <v>42749</v>
      </c>
      <c r="I1578" s="8" t="n">
        <f aca="false">INDEX(Parâmetros!$C$13:$C$19,MATCH(E1578,Parâmetros!$A$13:$A$19,0))</f>
        <v>3393</v>
      </c>
      <c r="J1578" s="26" t="n">
        <f aca="false">IF(H1578="","",Parâmetros!$B$5-H1578)</f>
        <v>351</v>
      </c>
      <c r="K1578" s="10" t="n">
        <f aca="false">INDEX(Parâmetros!$D$13:$D$19,MATCH(E1578,Parâmetros!$A$13:$A$19,0))</f>
        <v>40</v>
      </c>
      <c r="L1578" s="10" t="n">
        <f aca="false">IF(G1578="Prospecting",Parâmetros!$B$9,IF(J1578&gt;Parâmetros!$B$6,0,INDEX(Parâmetros!$C$24:$C$26,MATCH(J1578,Parâmetros!$A$24:$A$26,1))))</f>
        <v>0</v>
      </c>
      <c r="M1578" s="31" t="n">
        <f aca="false">IF(G1578="Prospecting",1,INDEX(Parâmetros!$C$32:$C$35,MATCH(J1578,Parâmetros!$A$32:$A$35,1)))</f>
        <v>0.25</v>
      </c>
      <c r="N1578" s="2" t="n">
        <f aca="false">ROUND((K1578+L1578)*M1578,0)</f>
        <v>10</v>
      </c>
      <c r="O1578" s="10" t="str">
        <f aca="false">IF(AND(G1578="Engaging",J1578&gt;Parâmetros!$B$6),"Sim","Não")</f>
        <v>Sim</v>
      </c>
      <c r="P1578" s="32" t="str">
        <f aca="false">IF(O1578="Sim","R",IF(N1578&gt;=Parâmetros!$B$39,"A",IF(N1578&gt;=Parâmetros!$B$40,"B",IF(N1578&gt;=Parâmetros!$B$41,"C","D"))))</f>
        <v>R</v>
      </c>
      <c r="Q1578" s="10" t="str">
        <f aca="false">IF(F1578="","Completar cadastro","")</f>
        <v/>
      </c>
      <c r="R1578" s="10" t="str">
        <f aca="false">INDEX(Parâmetros!$D$39:$D$43,MATCH(P1578,Parâmetros!$A$39:$A$43,0))</f>
        <v>Reciclar: requalificar, reengajar ou encerrar</v>
      </c>
    </row>
    <row r="1579" customFormat="false" ht="15" hidden="false" customHeight="false" outlineLevel="0" collapsed="false">
      <c r="A1579" s="10" t="s">
        <v>1825</v>
      </c>
      <c r="B1579" s="10" t="s">
        <v>61</v>
      </c>
      <c r="C1579" s="10" t="s">
        <v>58</v>
      </c>
      <c r="D1579" s="10" t="s">
        <v>165</v>
      </c>
      <c r="E1579" s="10" t="s">
        <v>49</v>
      </c>
      <c r="F1579" s="10"/>
      <c r="G1579" s="10" t="s">
        <v>162</v>
      </c>
      <c r="H1579" s="30" t="n">
        <v>42757</v>
      </c>
      <c r="I1579" s="8" t="n">
        <f aca="false">INDEX(Parâmetros!$C$13:$C$19,MATCH(E1579,Parâmetros!$A$13:$A$19,0))</f>
        <v>3393</v>
      </c>
      <c r="J1579" s="26" t="n">
        <f aca="false">IF(H1579="","",Parâmetros!$B$5-H1579)</f>
        <v>343</v>
      </c>
      <c r="K1579" s="10" t="n">
        <f aca="false">INDEX(Parâmetros!$D$13:$D$19,MATCH(E1579,Parâmetros!$A$13:$A$19,0))</f>
        <v>40</v>
      </c>
      <c r="L1579" s="10" t="n">
        <f aca="false">IF(G1579="Prospecting",Parâmetros!$B$9,IF(J1579&gt;Parâmetros!$B$6,0,INDEX(Parâmetros!$C$24:$C$26,MATCH(J1579,Parâmetros!$A$24:$A$26,1))))</f>
        <v>0</v>
      </c>
      <c r="M1579" s="31" t="n">
        <f aca="false">IF(G1579="Prospecting",1,INDEX(Parâmetros!$C$32:$C$35,MATCH(J1579,Parâmetros!$A$32:$A$35,1)))</f>
        <v>0.25</v>
      </c>
      <c r="N1579" s="2" t="n">
        <f aca="false">ROUND((K1579+L1579)*M1579,0)</f>
        <v>10</v>
      </c>
      <c r="O1579" s="10" t="str">
        <f aca="false">IF(AND(G1579="Engaging",J1579&gt;Parâmetros!$B$6),"Sim","Não")</f>
        <v>Sim</v>
      </c>
      <c r="P1579" s="32" t="str">
        <f aca="false">IF(O1579="Sim","R",IF(N1579&gt;=Parâmetros!$B$39,"A",IF(N1579&gt;=Parâmetros!$B$40,"B",IF(N1579&gt;=Parâmetros!$B$41,"C","D"))))</f>
        <v>R</v>
      </c>
      <c r="Q1579" s="10" t="str">
        <f aca="false">IF(F1579="","Completar cadastro","")</f>
        <v>Completar cadastro</v>
      </c>
      <c r="R1579" s="10" t="str">
        <f aca="false">INDEX(Parâmetros!$D$39:$D$43,MATCH(P1579,Parâmetros!$A$39:$A$43,0))</f>
        <v>Reciclar: requalificar, reengajar ou encerrar</v>
      </c>
    </row>
    <row r="1580" customFormat="false" ht="15" hidden="false" customHeight="false" outlineLevel="0" collapsed="false">
      <c r="A1580" s="10" t="s">
        <v>1826</v>
      </c>
      <c r="B1580" s="10" t="s">
        <v>63</v>
      </c>
      <c r="C1580" s="10" t="s">
        <v>58</v>
      </c>
      <c r="D1580" s="10" t="s">
        <v>165</v>
      </c>
      <c r="E1580" s="10" t="s">
        <v>49</v>
      </c>
      <c r="F1580" s="10"/>
      <c r="G1580" s="10" t="s">
        <v>162</v>
      </c>
      <c r="H1580" s="30" t="n">
        <v>42760</v>
      </c>
      <c r="I1580" s="8" t="n">
        <f aca="false">INDEX(Parâmetros!$C$13:$C$19,MATCH(E1580,Parâmetros!$A$13:$A$19,0))</f>
        <v>3393</v>
      </c>
      <c r="J1580" s="26" t="n">
        <f aca="false">IF(H1580="","",Parâmetros!$B$5-H1580)</f>
        <v>340</v>
      </c>
      <c r="K1580" s="10" t="n">
        <f aca="false">INDEX(Parâmetros!$D$13:$D$19,MATCH(E1580,Parâmetros!$A$13:$A$19,0))</f>
        <v>40</v>
      </c>
      <c r="L1580" s="10" t="n">
        <f aca="false">IF(G1580="Prospecting",Parâmetros!$B$9,IF(J1580&gt;Parâmetros!$B$6,0,INDEX(Parâmetros!$C$24:$C$26,MATCH(J1580,Parâmetros!$A$24:$A$26,1))))</f>
        <v>0</v>
      </c>
      <c r="M1580" s="31" t="n">
        <f aca="false">IF(G1580="Prospecting",1,INDEX(Parâmetros!$C$32:$C$35,MATCH(J1580,Parâmetros!$A$32:$A$35,1)))</f>
        <v>0.25</v>
      </c>
      <c r="N1580" s="2" t="n">
        <f aca="false">ROUND((K1580+L1580)*M1580,0)</f>
        <v>10</v>
      </c>
      <c r="O1580" s="10" t="str">
        <f aca="false">IF(AND(G1580="Engaging",J1580&gt;Parâmetros!$B$6),"Sim","Não")</f>
        <v>Sim</v>
      </c>
      <c r="P1580" s="32" t="str">
        <f aca="false">IF(O1580="Sim","R",IF(N1580&gt;=Parâmetros!$B$39,"A",IF(N1580&gt;=Parâmetros!$B$40,"B",IF(N1580&gt;=Parâmetros!$B$41,"C","D"))))</f>
        <v>R</v>
      </c>
      <c r="Q1580" s="10" t="str">
        <f aca="false">IF(F1580="","Completar cadastro","")</f>
        <v>Completar cadastro</v>
      </c>
      <c r="R1580" s="10" t="str">
        <f aca="false">INDEX(Parâmetros!$D$39:$D$43,MATCH(P1580,Parâmetros!$A$39:$A$43,0))</f>
        <v>Reciclar: requalificar, reengajar ou encerrar</v>
      </c>
    </row>
    <row r="1581" customFormat="false" ht="15" hidden="false" customHeight="false" outlineLevel="0" collapsed="false">
      <c r="A1581" s="10" t="s">
        <v>1827</v>
      </c>
      <c r="B1581" s="10" t="s">
        <v>94</v>
      </c>
      <c r="C1581" s="10" t="s">
        <v>92</v>
      </c>
      <c r="D1581" s="10" t="s">
        <v>160</v>
      </c>
      <c r="E1581" s="10" t="s">
        <v>49</v>
      </c>
      <c r="F1581" s="10"/>
      <c r="G1581" s="10" t="s">
        <v>162</v>
      </c>
      <c r="H1581" s="30" t="n">
        <v>42764</v>
      </c>
      <c r="I1581" s="8" t="n">
        <f aca="false">INDEX(Parâmetros!$C$13:$C$19,MATCH(E1581,Parâmetros!$A$13:$A$19,0))</f>
        <v>3393</v>
      </c>
      <c r="J1581" s="26" t="n">
        <f aca="false">IF(H1581="","",Parâmetros!$B$5-H1581)</f>
        <v>336</v>
      </c>
      <c r="K1581" s="10" t="n">
        <f aca="false">INDEX(Parâmetros!$D$13:$D$19,MATCH(E1581,Parâmetros!$A$13:$A$19,0))</f>
        <v>40</v>
      </c>
      <c r="L1581" s="10" t="n">
        <f aca="false">IF(G1581="Prospecting",Parâmetros!$B$9,IF(J1581&gt;Parâmetros!$B$6,0,INDEX(Parâmetros!$C$24:$C$26,MATCH(J1581,Parâmetros!$A$24:$A$26,1))))</f>
        <v>0</v>
      </c>
      <c r="M1581" s="31" t="n">
        <f aca="false">IF(G1581="Prospecting",1,INDEX(Parâmetros!$C$32:$C$35,MATCH(J1581,Parâmetros!$A$32:$A$35,1)))</f>
        <v>0.25</v>
      </c>
      <c r="N1581" s="2" t="n">
        <f aca="false">ROUND((K1581+L1581)*M1581,0)</f>
        <v>10</v>
      </c>
      <c r="O1581" s="10" t="str">
        <f aca="false">IF(AND(G1581="Engaging",J1581&gt;Parâmetros!$B$6),"Sim","Não")</f>
        <v>Sim</v>
      </c>
      <c r="P1581" s="32" t="str">
        <f aca="false">IF(O1581="Sim","R",IF(N1581&gt;=Parâmetros!$B$39,"A",IF(N1581&gt;=Parâmetros!$B$40,"B",IF(N1581&gt;=Parâmetros!$B$41,"C","D"))))</f>
        <v>R</v>
      </c>
      <c r="Q1581" s="10" t="str">
        <f aca="false">IF(F1581="","Completar cadastro","")</f>
        <v>Completar cadastro</v>
      </c>
      <c r="R1581" s="10" t="str">
        <f aca="false">INDEX(Parâmetros!$D$39:$D$43,MATCH(P1581,Parâmetros!$A$39:$A$43,0))</f>
        <v>Reciclar: requalificar, reengajar ou encerrar</v>
      </c>
    </row>
    <row r="1582" customFormat="false" ht="15" hidden="false" customHeight="false" outlineLevel="0" collapsed="false">
      <c r="A1582" s="10" t="s">
        <v>1828</v>
      </c>
      <c r="B1582" s="10" t="s">
        <v>86</v>
      </c>
      <c r="C1582" s="10" t="s">
        <v>85</v>
      </c>
      <c r="D1582" s="10" t="s">
        <v>165</v>
      </c>
      <c r="E1582" s="10" t="s">
        <v>49</v>
      </c>
      <c r="F1582" s="10"/>
      <c r="G1582" s="10" t="s">
        <v>162</v>
      </c>
      <c r="H1582" s="30" t="n">
        <v>42774</v>
      </c>
      <c r="I1582" s="8" t="n">
        <f aca="false">INDEX(Parâmetros!$C$13:$C$19,MATCH(E1582,Parâmetros!$A$13:$A$19,0))</f>
        <v>3393</v>
      </c>
      <c r="J1582" s="26" t="n">
        <f aca="false">IF(H1582="","",Parâmetros!$B$5-H1582)</f>
        <v>326</v>
      </c>
      <c r="K1582" s="10" t="n">
        <f aca="false">INDEX(Parâmetros!$D$13:$D$19,MATCH(E1582,Parâmetros!$A$13:$A$19,0))</f>
        <v>40</v>
      </c>
      <c r="L1582" s="10" t="n">
        <f aca="false">IF(G1582="Prospecting",Parâmetros!$B$9,IF(J1582&gt;Parâmetros!$B$6,0,INDEX(Parâmetros!$C$24:$C$26,MATCH(J1582,Parâmetros!$A$24:$A$26,1))))</f>
        <v>0</v>
      </c>
      <c r="M1582" s="31" t="n">
        <f aca="false">IF(G1582="Prospecting",1,INDEX(Parâmetros!$C$32:$C$35,MATCH(J1582,Parâmetros!$A$32:$A$35,1)))</f>
        <v>0.25</v>
      </c>
      <c r="N1582" s="2" t="n">
        <f aca="false">ROUND((K1582+L1582)*M1582,0)</f>
        <v>10</v>
      </c>
      <c r="O1582" s="10" t="str">
        <f aca="false">IF(AND(G1582="Engaging",J1582&gt;Parâmetros!$B$6),"Sim","Não")</f>
        <v>Sim</v>
      </c>
      <c r="P1582" s="32" t="str">
        <f aca="false">IF(O1582="Sim","R",IF(N1582&gt;=Parâmetros!$B$39,"A",IF(N1582&gt;=Parâmetros!$B$40,"B",IF(N1582&gt;=Parâmetros!$B$41,"C","D"))))</f>
        <v>R</v>
      </c>
      <c r="Q1582" s="10" t="str">
        <f aca="false">IF(F1582="","Completar cadastro","")</f>
        <v>Completar cadastro</v>
      </c>
      <c r="R1582" s="10" t="str">
        <f aca="false">INDEX(Parâmetros!$D$39:$D$43,MATCH(P1582,Parâmetros!$A$39:$A$43,0))</f>
        <v>Reciclar: requalificar, reengajar ou encerrar</v>
      </c>
    </row>
    <row r="1583" customFormat="false" ht="15" hidden="false" customHeight="false" outlineLevel="0" collapsed="false">
      <c r="A1583" s="10" t="s">
        <v>1829</v>
      </c>
      <c r="B1583" s="10" t="s">
        <v>84</v>
      </c>
      <c r="C1583" s="10" t="s">
        <v>85</v>
      </c>
      <c r="D1583" s="10" t="s">
        <v>165</v>
      </c>
      <c r="E1583" s="10" t="s">
        <v>49</v>
      </c>
      <c r="F1583" s="10" t="s">
        <v>497</v>
      </c>
      <c r="G1583" s="10" t="s">
        <v>162</v>
      </c>
      <c r="H1583" s="30" t="n">
        <v>42776</v>
      </c>
      <c r="I1583" s="8" t="n">
        <f aca="false">INDEX(Parâmetros!$C$13:$C$19,MATCH(E1583,Parâmetros!$A$13:$A$19,0))</f>
        <v>3393</v>
      </c>
      <c r="J1583" s="26" t="n">
        <f aca="false">IF(H1583="","",Parâmetros!$B$5-H1583)</f>
        <v>324</v>
      </c>
      <c r="K1583" s="10" t="n">
        <f aca="false">INDEX(Parâmetros!$D$13:$D$19,MATCH(E1583,Parâmetros!$A$13:$A$19,0))</f>
        <v>40</v>
      </c>
      <c r="L1583" s="10" t="n">
        <f aca="false">IF(G1583="Prospecting",Parâmetros!$B$9,IF(J1583&gt;Parâmetros!$B$6,0,INDEX(Parâmetros!$C$24:$C$26,MATCH(J1583,Parâmetros!$A$24:$A$26,1))))</f>
        <v>0</v>
      </c>
      <c r="M1583" s="31" t="n">
        <f aca="false">IF(G1583="Prospecting",1,INDEX(Parâmetros!$C$32:$C$35,MATCH(J1583,Parâmetros!$A$32:$A$35,1)))</f>
        <v>0.25</v>
      </c>
      <c r="N1583" s="2" t="n">
        <f aca="false">ROUND((K1583+L1583)*M1583,0)</f>
        <v>10</v>
      </c>
      <c r="O1583" s="10" t="str">
        <f aca="false">IF(AND(G1583="Engaging",J1583&gt;Parâmetros!$B$6),"Sim","Não")</f>
        <v>Sim</v>
      </c>
      <c r="P1583" s="32" t="str">
        <f aca="false">IF(O1583="Sim","R",IF(N1583&gt;=Parâmetros!$B$39,"A",IF(N1583&gt;=Parâmetros!$B$40,"B",IF(N1583&gt;=Parâmetros!$B$41,"C","D"))))</f>
        <v>R</v>
      </c>
      <c r="Q1583" s="10" t="str">
        <f aca="false">IF(F1583="","Completar cadastro","")</f>
        <v/>
      </c>
      <c r="R1583" s="10" t="str">
        <f aca="false">INDEX(Parâmetros!$D$39:$D$43,MATCH(P1583,Parâmetros!$A$39:$A$43,0))</f>
        <v>Reciclar: requalificar, reengajar ou encerrar</v>
      </c>
    </row>
    <row r="1584" customFormat="false" ht="15" hidden="false" customHeight="false" outlineLevel="0" collapsed="false">
      <c r="A1584" s="10" t="s">
        <v>1830</v>
      </c>
      <c r="B1584" s="10" t="s">
        <v>69</v>
      </c>
      <c r="C1584" s="10" t="s">
        <v>65</v>
      </c>
      <c r="D1584" s="10" t="s">
        <v>160</v>
      </c>
      <c r="E1584" s="10" t="s">
        <v>49</v>
      </c>
      <c r="F1584" s="10" t="s">
        <v>497</v>
      </c>
      <c r="G1584" s="10" t="s">
        <v>162</v>
      </c>
      <c r="H1584" s="30" t="n">
        <v>42777</v>
      </c>
      <c r="I1584" s="8" t="n">
        <f aca="false">INDEX(Parâmetros!$C$13:$C$19,MATCH(E1584,Parâmetros!$A$13:$A$19,0))</f>
        <v>3393</v>
      </c>
      <c r="J1584" s="26" t="n">
        <f aca="false">IF(H1584="","",Parâmetros!$B$5-H1584)</f>
        <v>323</v>
      </c>
      <c r="K1584" s="10" t="n">
        <f aca="false">INDEX(Parâmetros!$D$13:$D$19,MATCH(E1584,Parâmetros!$A$13:$A$19,0))</f>
        <v>40</v>
      </c>
      <c r="L1584" s="10" t="n">
        <f aca="false">IF(G1584="Prospecting",Parâmetros!$B$9,IF(J1584&gt;Parâmetros!$B$6,0,INDEX(Parâmetros!$C$24:$C$26,MATCH(J1584,Parâmetros!$A$24:$A$26,1))))</f>
        <v>0</v>
      </c>
      <c r="M1584" s="31" t="n">
        <f aca="false">IF(G1584="Prospecting",1,INDEX(Parâmetros!$C$32:$C$35,MATCH(J1584,Parâmetros!$A$32:$A$35,1)))</f>
        <v>0.25</v>
      </c>
      <c r="N1584" s="2" t="n">
        <f aca="false">ROUND((K1584+L1584)*M1584,0)</f>
        <v>10</v>
      </c>
      <c r="O1584" s="10" t="str">
        <f aca="false">IF(AND(G1584="Engaging",J1584&gt;Parâmetros!$B$6),"Sim","Não")</f>
        <v>Sim</v>
      </c>
      <c r="P1584" s="32" t="str">
        <f aca="false">IF(O1584="Sim","R",IF(N1584&gt;=Parâmetros!$B$39,"A",IF(N1584&gt;=Parâmetros!$B$40,"B",IF(N1584&gt;=Parâmetros!$B$41,"C","D"))))</f>
        <v>R</v>
      </c>
      <c r="Q1584" s="10" t="str">
        <f aca="false">IF(F1584="","Completar cadastro","")</f>
        <v/>
      </c>
      <c r="R1584" s="10" t="str">
        <f aca="false">INDEX(Parâmetros!$D$39:$D$43,MATCH(P1584,Parâmetros!$A$39:$A$43,0))</f>
        <v>Reciclar: requalificar, reengajar ou encerrar</v>
      </c>
    </row>
    <row r="1585" customFormat="false" ht="15" hidden="false" customHeight="false" outlineLevel="0" collapsed="false">
      <c r="A1585" s="10" t="s">
        <v>1831</v>
      </c>
      <c r="B1585" s="10" t="s">
        <v>69</v>
      </c>
      <c r="C1585" s="10" t="s">
        <v>65</v>
      </c>
      <c r="D1585" s="10" t="s">
        <v>160</v>
      </c>
      <c r="E1585" s="10" t="s">
        <v>49</v>
      </c>
      <c r="F1585" s="10" t="s">
        <v>348</v>
      </c>
      <c r="G1585" s="10" t="s">
        <v>162</v>
      </c>
      <c r="H1585" s="30" t="n">
        <v>42778</v>
      </c>
      <c r="I1585" s="8" t="n">
        <f aca="false">INDEX(Parâmetros!$C$13:$C$19,MATCH(E1585,Parâmetros!$A$13:$A$19,0))</f>
        <v>3393</v>
      </c>
      <c r="J1585" s="26" t="n">
        <f aca="false">IF(H1585="","",Parâmetros!$B$5-H1585)</f>
        <v>322</v>
      </c>
      <c r="K1585" s="10" t="n">
        <f aca="false">INDEX(Parâmetros!$D$13:$D$19,MATCH(E1585,Parâmetros!$A$13:$A$19,0))</f>
        <v>40</v>
      </c>
      <c r="L1585" s="10" t="n">
        <f aca="false">IF(G1585="Prospecting",Parâmetros!$B$9,IF(J1585&gt;Parâmetros!$B$6,0,INDEX(Parâmetros!$C$24:$C$26,MATCH(J1585,Parâmetros!$A$24:$A$26,1))))</f>
        <v>0</v>
      </c>
      <c r="M1585" s="31" t="n">
        <f aca="false">IF(G1585="Prospecting",1,INDEX(Parâmetros!$C$32:$C$35,MATCH(J1585,Parâmetros!$A$32:$A$35,1)))</f>
        <v>0.25</v>
      </c>
      <c r="N1585" s="2" t="n">
        <f aca="false">ROUND((K1585+L1585)*M1585,0)</f>
        <v>10</v>
      </c>
      <c r="O1585" s="10" t="str">
        <f aca="false">IF(AND(G1585="Engaging",J1585&gt;Parâmetros!$B$6),"Sim","Não")</f>
        <v>Sim</v>
      </c>
      <c r="P1585" s="32" t="str">
        <f aca="false">IF(O1585="Sim","R",IF(N1585&gt;=Parâmetros!$B$39,"A",IF(N1585&gt;=Parâmetros!$B$40,"B",IF(N1585&gt;=Parâmetros!$B$41,"C","D"))))</f>
        <v>R</v>
      </c>
      <c r="Q1585" s="10" t="str">
        <f aca="false">IF(F1585="","Completar cadastro","")</f>
        <v/>
      </c>
      <c r="R1585" s="10" t="str">
        <f aca="false">INDEX(Parâmetros!$D$39:$D$43,MATCH(P1585,Parâmetros!$A$39:$A$43,0))</f>
        <v>Reciclar: requalificar, reengajar ou encerrar</v>
      </c>
    </row>
    <row r="1586" customFormat="false" ht="15" hidden="false" customHeight="false" outlineLevel="0" collapsed="false">
      <c r="A1586" s="10" t="s">
        <v>1832</v>
      </c>
      <c r="B1586" s="10" t="s">
        <v>67</v>
      </c>
      <c r="C1586" s="10" t="s">
        <v>65</v>
      </c>
      <c r="D1586" s="10" t="s">
        <v>160</v>
      </c>
      <c r="E1586" s="10" t="s">
        <v>49</v>
      </c>
      <c r="F1586" s="10" t="s">
        <v>215</v>
      </c>
      <c r="G1586" s="10" t="s">
        <v>162</v>
      </c>
      <c r="H1586" s="30" t="n">
        <v>42779</v>
      </c>
      <c r="I1586" s="8" t="n">
        <f aca="false">INDEX(Parâmetros!$C$13:$C$19,MATCH(E1586,Parâmetros!$A$13:$A$19,0))</f>
        <v>3393</v>
      </c>
      <c r="J1586" s="26" t="n">
        <f aca="false">IF(H1586="","",Parâmetros!$B$5-H1586)</f>
        <v>321</v>
      </c>
      <c r="K1586" s="10" t="n">
        <f aca="false">INDEX(Parâmetros!$D$13:$D$19,MATCH(E1586,Parâmetros!$A$13:$A$19,0))</f>
        <v>40</v>
      </c>
      <c r="L1586" s="10" t="n">
        <f aca="false">IF(G1586="Prospecting",Parâmetros!$B$9,IF(J1586&gt;Parâmetros!$B$6,0,INDEX(Parâmetros!$C$24:$C$26,MATCH(J1586,Parâmetros!$A$24:$A$26,1))))</f>
        <v>0</v>
      </c>
      <c r="M1586" s="31" t="n">
        <f aca="false">IF(G1586="Prospecting",1,INDEX(Parâmetros!$C$32:$C$35,MATCH(J1586,Parâmetros!$A$32:$A$35,1)))</f>
        <v>0.25</v>
      </c>
      <c r="N1586" s="2" t="n">
        <f aca="false">ROUND((K1586+L1586)*M1586,0)</f>
        <v>10</v>
      </c>
      <c r="O1586" s="10" t="str">
        <f aca="false">IF(AND(G1586="Engaging",J1586&gt;Parâmetros!$B$6),"Sim","Não")</f>
        <v>Sim</v>
      </c>
      <c r="P1586" s="32" t="str">
        <f aca="false">IF(O1586="Sim","R",IF(N1586&gt;=Parâmetros!$B$39,"A",IF(N1586&gt;=Parâmetros!$B$40,"B",IF(N1586&gt;=Parâmetros!$B$41,"C","D"))))</f>
        <v>R</v>
      </c>
      <c r="Q1586" s="10" t="str">
        <f aca="false">IF(F1586="","Completar cadastro","")</f>
        <v/>
      </c>
      <c r="R1586" s="10" t="str">
        <f aca="false">INDEX(Parâmetros!$D$39:$D$43,MATCH(P1586,Parâmetros!$A$39:$A$43,0))</f>
        <v>Reciclar: requalificar, reengajar ou encerrar</v>
      </c>
    </row>
    <row r="1587" customFormat="false" ht="15" hidden="false" customHeight="false" outlineLevel="0" collapsed="false">
      <c r="A1587" s="10" t="s">
        <v>1833</v>
      </c>
      <c r="B1587" s="10" t="s">
        <v>68</v>
      </c>
      <c r="C1587" s="10" t="s">
        <v>65</v>
      </c>
      <c r="D1587" s="10" t="s">
        <v>160</v>
      </c>
      <c r="E1587" s="10" t="s">
        <v>49</v>
      </c>
      <c r="F1587" s="10" t="s">
        <v>422</v>
      </c>
      <c r="G1587" s="10" t="s">
        <v>162</v>
      </c>
      <c r="H1587" s="30" t="n">
        <v>42780</v>
      </c>
      <c r="I1587" s="8" t="n">
        <f aca="false">INDEX(Parâmetros!$C$13:$C$19,MATCH(E1587,Parâmetros!$A$13:$A$19,0))</f>
        <v>3393</v>
      </c>
      <c r="J1587" s="26" t="n">
        <f aca="false">IF(H1587="","",Parâmetros!$B$5-H1587)</f>
        <v>320</v>
      </c>
      <c r="K1587" s="10" t="n">
        <f aca="false">INDEX(Parâmetros!$D$13:$D$19,MATCH(E1587,Parâmetros!$A$13:$A$19,0))</f>
        <v>40</v>
      </c>
      <c r="L1587" s="10" t="n">
        <f aca="false">IF(G1587="Prospecting",Parâmetros!$B$9,IF(J1587&gt;Parâmetros!$B$6,0,INDEX(Parâmetros!$C$24:$C$26,MATCH(J1587,Parâmetros!$A$24:$A$26,1))))</f>
        <v>0</v>
      </c>
      <c r="M1587" s="31" t="n">
        <f aca="false">IF(G1587="Prospecting",1,INDEX(Parâmetros!$C$32:$C$35,MATCH(J1587,Parâmetros!$A$32:$A$35,1)))</f>
        <v>0.25</v>
      </c>
      <c r="N1587" s="2" t="n">
        <f aca="false">ROUND((K1587+L1587)*M1587,0)</f>
        <v>10</v>
      </c>
      <c r="O1587" s="10" t="str">
        <f aca="false">IF(AND(G1587="Engaging",J1587&gt;Parâmetros!$B$6),"Sim","Não")</f>
        <v>Sim</v>
      </c>
      <c r="P1587" s="32" t="str">
        <f aca="false">IF(O1587="Sim","R",IF(N1587&gt;=Parâmetros!$B$39,"A",IF(N1587&gt;=Parâmetros!$B$40,"B",IF(N1587&gt;=Parâmetros!$B$41,"C","D"))))</f>
        <v>R</v>
      </c>
      <c r="Q1587" s="10" t="str">
        <f aca="false">IF(F1587="","Completar cadastro","")</f>
        <v/>
      </c>
      <c r="R1587" s="10" t="str">
        <f aca="false">INDEX(Parâmetros!$D$39:$D$43,MATCH(P1587,Parâmetros!$A$39:$A$43,0))</f>
        <v>Reciclar: requalificar, reengajar ou encerrar</v>
      </c>
    </row>
    <row r="1588" customFormat="false" ht="15" hidden="false" customHeight="false" outlineLevel="0" collapsed="false">
      <c r="A1588" s="10" t="s">
        <v>1834</v>
      </c>
      <c r="B1588" s="10" t="s">
        <v>96</v>
      </c>
      <c r="C1588" s="10" t="s">
        <v>92</v>
      </c>
      <c r="D1588" s="10" t="s">
        <v>160</v>
      </c>
      <c r="E1588" s="10" t="s">
        <v>49</v>
      </c>
      <c r="F1588" s="10"/>
      <c r="G1588" s="10" t="s">
        <v>162</v>
      </c>
      <c r="H1588" s="30" t="n">
        <v>42781</v>
      </c>
      <c r="I1588" s="8" t="n">
        <f aca="false">INDEX(Parâmetros!$C$13:$C$19,MATCH(E1588,Parâmetros!$A$13:$A$19,0))</f>
        <v>3393</v>
      </c>
      <c r="J1588" s="26" t="n">
        <f aca="false">IF(H1588="","",Parâmetros!$B$5-H1588)</f>
        <v>319</v>
      </c>
      <c r="K1588" s="10" t="n">
        <f aca="false">INDEX(Parâmetros!$D$13:$D$19,MATCH(E1588,Parâmetros!$A$13:$A$19,0))</f>
        <v>40</v>
      </c>
      <c r="L1588" s="10" t="n">
        <f aca="false">IF(G1588="Prospecting",Parâmetros!$B$9,IF(J1588&gt;Parâmetros!$B$6,0,INDEX(Parâmetros!$C$24:$C$26,MATCH(J1588,Parâmetros!$A$24:$A$26,1))))</f>
        <v>0</v>
      </c>
      <c r="M1588" s="31" t="n">
        <f aca="false">IF(G1588="Prospecting",1,INDEX(Parâmetros!$C$32:$C$35,MATCH(J1588,Parâmetros!$A$32:$A$35,1)))</f>
        <v>0.25</v>
      </c>
      <c r="N1588" s="2" t="n">
        <f aca="false">ROUND((K1588+L1588)*M1588,0)</f>
        <v>10</v>
      </c>
      <c r="O1588" s="10" t="str">
        <f aca="false">IF(AND(G1588="Engaging",J1588&gt;Parâmetros!$B$6),"Sim","Não")</f>
        <v>Sim</v>
      </c>
      <c r="P1588" s="32" t="str">
        <f aca="false">IF(O1588="Sim","R",IF(N1588&gt;=Parâmetros!$B$39,"A",IF(N1588&gt;=Parâmetros!$B$40,"B",IF(N1588&gt;=Parâmetros!$B$41,"C","D"))))</f>
        <v>R</v>
      </c>
      <c r="Q1588" s="10" t="str">
        <f aca="false">IF(F1588="","Completar cadastro","")</f>
        <v>Completar cadastro</v>
      </c>
      <c r="R1588" s="10" t="str">
        <f aca="false">INDEX(Parâmetros!$D$39:$D$43,MATCH(P1588,Parâmetros!$A$39:$A$43,0))</f>
        <v>Reciclar: requalificar, reengajar ou encerrar</v>
      </c>
    </row>
    <row r="1589" customFormat="false" ht="15" hidden="false" customHeight="false" outlineLevel="0" collapsed="false">
      <c r="A1589" s="10" t="s">
        <v>1835</v>
      </c>
      <c r="B1589" s="10" t="s">
        <v>70</v>
      </c>
      <c r="C1589" s="10" t="s">
        <v>65</v>
      </c>
      <c r="D1589" s="10" t="s">
        <v>160</v>
      </c>
      <c r="E1589" s="10" t="s">
        <v>49</v>
      </c>
      <c r="F1589" s="10"/>
      <c r="G1589" s="10" t="s">
        <v>162</v>
      </c>
      <c r="H1589" s="30" t="n">
        <v>42783</v>
      </c>
      <c r="I1589" s="8" t="n">
        <f aca="false">INDEX(Parâmetros!$C$13:$C$19,MATCH(E1589,Parâmetros!$A$13:$A$19,0))</f>
        <v>3393</v>
      </c>
      <c r="J1589" s="26" t="n">
        <f aca="false">IF(H1589="","",Parâmetros!$B$5-H1589)</f>
        <v>317</v>
      </c>
      <c r="K1589" s="10" t="n">
        <f aca="false">INDEX(Parâmetros!$D$13:$D$19,MATCH(E1589,Parâmetros!$A$13:$A$19,0))</f>
        <v>40</v>
      </c>
      <c r="L1589" s="10" t="n">
        <f aca="false">IF(G1589="Prospecting",Parâmetros!$B$9,IF(J1589&gt;Parâmetros!$B$6,0,INDEX(Parâmetros!$C$24:$C$26,MATCH(J1589,Parâmetros!$A$24:$A$26,1))))</f>
        <v>0</v>
      </c>
      <c r="M1589" s="31" t="n">
        <f aca="false">IF(G1589="Prospecting",1,INDEX(Parâmetros!$C$32:$C$35,MATCH(J1589,Parâmetros!$A$32:$A$35,1)))</f>
        <v>0.25</v>
      </c>
      <c r="N1589" s="2" t="n">
        <f aca="false">ROUND((K1589+L1589)*M1589,0)</f>
        <v>10</v>
      </c>
      <c r="O1589" s="10" t="str">
        <f aca="false">IF(AND(G1589="Engaging",J1589&gt;Parâmetros!$B$6),"Sim","Não")</f>
        <v>Sim</v>
      </c>
      <c r="P1589" s="32" t="str">
        <f aca="false">IF(O1589="Sim","R",IF(N1589&gt;=Parâmetros!$B$39,"A",IF(N1589&gt;=Parâmetros!$B$40,"B",IF(N1589&gt;=Parâmetros!$B$41,"C","D"))))</f>
        <v>R</v>
      </c>
      <c r="Q1589" s="10" t="str">
        <f aca="false">IF(F1589="","Completar cadastro","")</f>
        <v>Completar cadastro</v>
      </c>
      <c r="R1589" s="10" t="str">
        <f aca="false">INDEX(Parâmetros!$D$39:$D$43,MATCH(P1589,Parâmetros!$A$39:$A$43,0))</f>
        <v>Reciclar: requalificar, reengajar ou encerrar</v>
      </c>
    </row>
    <row r="1590" customFormat="false" ht="15" hidden="false" customHeight="false" outlineLevel="0" collapsed="false">
      <c r="A1590" s="10" t="s">
        <v>1836</v>
      </c>
      <c r="B1590" s="10" t="s">
        <v>68</v>
      </c>
      <c r="C1590" s="10" t="s">
        <v>65</v>
      </c>
      <c r="D1590" s="10" t="s">
        <v>160</v>
      </c>
      <c r="E1590" s="10" t="s">
        <v>49</v>
      </c>
      <c r="F1590" s="10"/>
      <c r="G1590" s="10" t="s">
        <v>162</v>
      </c>
      <c r="H1590" s="30" t="n">
        <v>42785</v>
      </c>
      <c r="I1590" s="8" t="n">
        <f aca="false">INDEX(Parâmetros!$C$13:$C$19,MATCH(E1590,Parâmetros!$A$13:$A$19,0))</f>
        <v>3393</v>
      </c>
      <c r="J1590" s="26" t="n">
        <f aca="false">IF(H1590="","",Parâmetros!$B$5-H1590)</f>
        <v>315</v>
      </c>
      <c r="K1590" s="10" t="n">
        <f aca="false">INDEX(Parâmetros!$D$13:$D$19,MATCH(E1590,Parâmetros!$A$13:$A$19,0))</f>
        <v>40</v>
      </c>
      <c r="L1590" s="10" t="n">
        <f aca="false">IF(G1590="Prospecting",Parâmetros!$B$9,IF(J1590&gt;Parâmetros!$B$6,0,INDEX(Parâmetros!$C$24:$C$26,MATCH(J1590,Parâmetros!$A$24:$A$26,1))))</f>
        <v>0</v>
      </c>
      <c r="M1590" s="31" t="n">
        <f aca="false">IF(G1590="Prospecting",1,INDEX(Parâmetros!$C$32:$C$35,MATCH(J1590,Parâmetros!$A$32:$A$35,1)))</f>
        <v>0.25</v>
      </c>
      <c r="N1590" s="2" t="n">
        <f aca="false">ROUND((K1590+L1590)*M1590,0)</f>
        <v>10</v>
      </c>
      <c r="O1590" s="10" t="str">
        <f aca="false">IF(AND(G1590="Engaging",J1590&gt;Parâmetros!$B$6),"Sim","Não")</f>
        <v>Sim</v>
      </c>
      <c r="P1590" s="32" t="str">
        <f aca="false">IF(O1590="Sim","R",IF(N1590&gt;=Parâmetros!$B$39,"A",IF(N1590&gt;=Parâmetros!$B$40,"B",IF(N1590&gt;=Parâmetros!$B$41,"C","D"))))</f>
        <v>R</v>
      </c>
      <c r="Q1590" s="10" t="str">
        <f aca="false">IF(F1590="","Completar cadastro","")</f>
        <v>Completar cadastro</v>
      </c>
      <c r="R1590" s="10" t="str">
        <f aca="false">INDEX(Parâmetros!$D$39:$D$43,MATCH(P1590,Parâmetros!$A$39:$A$43,0))</f>
        <v>Reciclar: requalificar, reengajar ou encerrar</v>
      </c>
    </row>
    <row r="1591" customFormat="false" ht="15" hidden="false" customHeight="false" outlineLevel="0" collapsed="false">
      <c r="A1591" s="10" t="s">
        <v>1837</v>
      </c>
      <c r="B1591" s="10" t="s">
        <v>70</v>
      </c>
      <c r="C1591" s="10" t="s">
        <v>65</v>
      </c>
      <c r="D1591" s="10" t="s">
        <v>160</v>
      </c>
      <c r="E1591" s="10" t="s">
        <v>49</v>
      </c>
      <c r="F1591" s="10"/>
      <c r="G1591" s="10" t="s">
        <v>162</v>
      </c>
      <c r="H1591" s="30" t="n">
        <v>42785</v>
      </c>
      <c r="I1591" s="8" t="n">
        <f aca="false">INDEX(Parâmetros!$C$13:$C$19,MATCH(E1591,Parâmetros!$A$13:$A$19,0))</f>
        <v>3393</v>
      </c>
      <c r="J1591" s="26" t="n">
        <f aca="false">IF(H1591="","",Parâmetros!$B$5-H1591)</f>
        <v>315</v>
      </c>
      <c r="K1591" s="10" t="n">
        <f aca="false">INDEX(Parâmetros!$D$13:$D$19,MATCH(E1591,Parâmetros!$A$13:$A$19,0))</f>
        <v>40</v>
      </c>
      <c r="L1591" s="10" t="n">
        <f aca="false">IF(G1591="Prospecting",Parâmetros!$B$9,IF(J1591&gt;Parâmetros!$B$6,0,INDEX(Parâmetros!$C$24:$C$26,MATCH(J1591,Parâmetros!$A$24:$A$26,1))))</f>
        <v>0</v>
      </c>
      <c r="M1591" s="31" t="n">
        <f aca="false">IF(G1591="Prospecting",1,INDEX(Parâmetros!$C$32:$C$35,MATCH(J1591,Parâmetros!$A$32:$A$35,1)))</f>
        <v>0.25</v>
      </c>
      <c r="N1591" s="2" t="n">
        <f aca="false">ROUND((K1591+L1591)*M1591,0)</f>
        <v>10</v>
      </c>
      <c r="O1591" s="10" t="str">
        <f aca="false">IF(AND(G1591="Engaging",J1591&gt;Parâmetros!$B$6),"Sim","Não")</f>
        <v>Sim</v>
      </c>
      <c r="P1591" s="32" t="str">
        <f aca="false">IF(O1591="Sim","R",IF(N1591&gt;=Parâmetros!$B$39,"A",IF(N1591&gt;=Parâmetros!$B$40,"B",IF(N1591&gt;=Parâmetros!$B$41,"C","D"))))</f>
        <v>R</v>
      </c>
      <c r="Q1591" s="10" t="str">
        <f aca="false">IF(F1591="","Completar cadastro","")</f>
        <v>Completar cadastro</v>
      </c>
      <c r="R1591" s="10" t="str">
        <f aca="false">INDEX(Parâmetros!$D$39:$D$43,MATCH(P1591,Parâmetros!$A$39:$A$43,0))</f>
        <v>Reciclar: requalificar, reengajar ou encerrar</v>
      </c>
    </row>
    <row r="1592" customFormat="false" ht="15" hidden="false" customHeight="false" outlineLevel="0" collapsed="false">
      <c r="A1592" s="10" t="s">
        <v>1838</v>
      </c>
      <c r="B1592" s="10" t="s">
        <v>63</v>
      </c>
      <c r="C1592" s="10" t="s">
        <v>58</v>
      </c>
      <c r="D1592" s="10" t="s">
        <v>165</v>
      </c>
      <c r="E1592" s="10" t="s">
        <v>49</v>
      </c>
      <c r="F1592" s="10"/>
      <c r="G1592" s="10" t="s">
        <v>162</v>
      </c>
      <c r="H1592" s="30" t="n">
        <v>42786</v>
      </c>
      <c r="I1592" s="8" t="n">
        <f aca="false">INDEX(Parâmetros!$C$13:$C$19,MATCH(E1592,Parâmetros!$A$13:$A$19,0))</f>
        <v>3393</v>
      </c>
      <c r="J1592" s="26" t="n">
        <f aca="false">IF(H1592="","",Parâmetros!$B$5-H1592)</f>
        <v>314</v>
      </c>
      <c r="K1592" s="10" t="n">
        <f aca="false">INDEX(Parâmetros!$D$13:$D$19,MATCH(E1592,Parâmetros!$A$13:$A$19,0))</f>
        <v>40</v>
      </c>
      <c r="L1592" s="10" t="n">
        <f aca="false">IF(G1592="Prospecting",Parâmetros!$B$9,IF(J1592&gt;Parâmetros!$B$6,0,INDEX(Parâmetros!$C$24:$C$26,MATCH(J1592,Parâmetros!$A$24:$A$26,1))))</f>
        <v>0</v>
      </c>
      <c r="M1592" s="31" t="n">
        <f aca="false">IF(G1592="Prospecting",1,INDEX(Parâmetros!$C$32:$C$35,MATCH(J1592,Parâmetros!$A$32:$A$35,1)))</f>
        <v>0.25</v>
      </c>
      <c r="N1592" s="2" t="n">
        <f aca="false">ROUND((K1592+L1592)*M1592,0)</f>
        <v>10</v>
      </c>
      <c r="O1592" s="10" t="str">
        <f aca="false">IF(AND(G1592="Engaging",J1592&gt;Parâmetros!$B$6),"Sim","Não")</f>
        <v>Sim</v>
      </c>
      <c r="P1592" s="32" t="str">
        <f aca="false">IF(O1592="Sim","R",IF(N1592&gt;=Parâmetros!$B$39,"A",IF(N1592&gt;=Parâmetros!$B$40,"B",IF(N1592&gt;=Parâmetros!$B$41,"C","D"))))</f>
        <v>R</v>
      </c>
      <c r="Q1592" s="10" t="str">
        <f aca="false">IF(F1592="","Completar cadastro","")</f>
        <v>Completar cadastro</v>
      </c>
      <c r="R1592" s="10" t="str">
        <f aca="false">INDEX(Parâmetros!$D$39:$D$43,MATCH(P1592,Parâmetros!$A$39:$A$43,0))</f>
        <v>Reciclar: requalificar, reengajar ou encerrar</v>
      </c>
    </row>
    <row r="1593" customFormat="false" ht="15" hidden="false" customHeight="false" outlineLevel="0" collapsed="false">
      <c r="A1593" s="10" t="s">
        <v>1839</v>
      </c>
      <c r="B1593" s="10" t="s">
        <v>68</v>
      </c>
      <c r="C1593" s="10" t="s">
        <v>65</v>
      </c>
      <c r="D1593" s="10" t="s">
        <v>160</v>
      </c>
      <c r="E1593" s="10" t="s">
        <v>49</v>
      </c>
      <c r="F1593" s="10" t="s">
        <v>299</v>
      </c>
      <c r="G1593" s="10" t="s">
        <v>162</v>
      </c>
      <c r="H1593" s="30" t="n">
        <v>42787</v>
      </c>
      <c r="I1593" s="8" t="n">
        <f aca="false">INDEX(Parâmetros!$C$13:$C$19,MATCH(E1593,Parâmetros!$A$13:$A$19,0))</f>
        <v>3393</v>
      </c>
      <c r="J1593" s="26" t="n">
        <f aca="false">IF(H1593="","",Parâmetros!$B$5-H1593)</f>
        <v>313</v>
      </c>
      <c r="K1593" s="10" t="n">
        <f aca="false">INDEX(Parâmetros!$D$13:$D$19,MATCH(E1593,Parâmetros!$A$13:$A$19,0))</f>
        <v>40</v>
      </c>
      <c r="L1593" s="10" t="n">
        <f aca="false">IF(G1593="Prospecting",Parâmetros!$B$9,IF(J1593&gt;Parâmetros!$B$6,0,INDEX(Parâmetros!$C$24:$C$26,MATCH(J1593,Parâmetros!$A$24:$A$26,1))))</f>
        <v>0</v>
      </c>
      <c r="M1593" s="31" t="n">
        <f aca="false">IF(G1593="Prospecting",1,INDEX(Parâmetros!$C$32:$C$35,MATCH(J1593,Parâmetros!$A$32:$A$35,1)))</f>
        <v>0.25</v>
      </c>
      <c r="N1593" s="2" t="n">
        <f aca="false">ROUND((K1593+L1593)*M1593,0)</f>
        <v>10</v>
      </c>
      <c r="O1593" s="10" t="str">
        <f aca="false">IF(AND(G1593="Engaging",J1593&gt;Parâmetros!$B$6),"Sim","Não")</f>
        <v>Sim</v>
      </c>
      <c r="P1593" s="32" t="str">
        <f aca="false">IF(O1593="Sim","R",IF(N1593&gt;=Parâmetros!$B$39,"A",IF(N1593&gt;=Parâmetros!$B$40,"B",IF(N1593&gt;=Parâmetros!$B$41,"C","D"))))</f>
        <v>R</v>
      </c>
      <c r="Q1593" s="10" t="str">
        <f aca="false">IF(F1593="","Completar cadastro","")</f>
        <v/>
      </c>
      <c r="R1593" s="10" t="str">
        <f aca="false">INDEX(Parâmetros!$D$39:$D$43,MATCH(P1593,Parâmetros!$A$39:$A$43,0))</f>
        <v>Reciclar: requalificar, reengajar ou encerrar</v>
      </c>
    </row>
    <row r="1594" customFormat="false" ht="15" hidden="false" customHeight="false" outlineLevel="0" collapsed="false">
      <c r="A1594" s="10" t="s">
        <v>1840</v>
      </c>
      <c r="B1594" s="10" t="s">
        <v>67</v>
      </c>
      <c r="C1594" s="10" t="s">
        <v>65</v>
      </c>
      <c r="D1594" s="10" t="s">
        <v>160</v>
      </c>
      <c r="E1594" s="10" t="s">
        <v>49</v>
      </c>
      <c r="F1594" s="10"/>
      <c r="G1594" s="10" t="s">
        <v>162</v>
      </c>
      <c r="H1594" s="30" t="n">
        <v>42788</v>
      </c>
      <c r="I1594" s="8" t="n">
        <f aca="false">INDEX(Parâmetros!$C$13:$C$19,MATCH(E1594,Parâmetros!$A$13:$A$19,0))</f>
        <v>3393</v>
      </c>
      <c r="J1594" s="26" t="n">
        <f aca="false">IF(H1594="","",Parâmetros!$B$5-H1594)</f>
        <v>312</v>
      </c>
      <c r="K1594" s="10" t="n">
        <f aca="false">INDEX(Parâmetros!$D$13:$D$19,MATCH(E1594,Parâmetros!$A$13:$A$19,0))</f>
        <v>40</v>
      </c>
      <c r="L1594" s="10" t="n">
        <f aca="false">IF(G1594="Prospecting",Parâmetros!$B$9,IF(J1594&gt;Parâmetros!$B$6,0,INDEX(Parâmetros!$C$24:$C$26,MATCH(J1594,Parâmetros!$A$24:$A$26,1))))</f>
        <v>0</v>
      </c>
      <c r="M1594" s="31" t="n">
        <f aca="false">IF(G1594="Prospecting",1,INDEX(Parâmetros!$C$32:$C$35,MATCH(J1594,Parâmetros!$A$32:$A$35,1)))</f>
        <v>0.25</v>
      </c>
      <c r="N1594" s="2" t="n">
        <f aca="false">ROUND((K1594+L1594)*M1594,0)</f>
        <v>10</v>
      </c>
      <c r="O1594" s="10" t="str">
        <f aca="false">IF(AND(G1594="Engaging",J1594&gt;Parâmetros!$B$6),"Sim","Não")</f>
        <v>Sim</v>
      </c>
      <c r="P1594" s="32" t="str">
        <f aca="false">IF(O1594="Sim","R",IF(N1594&gt;=Parâmetros!$B$39,"A",IF(N1594&gt;=Parâmetros!$B$40,"B",IF(N1594&gt;=Parâmetros!$B$41,"C","D"))))</f>
        <v>R</v>
      </c>
      <c r="Q1594" s="10" t="str">
        <f aca="false">IF(F1594="","Completar cadastro","")</f>
        <v>Completar cadastro</v>
      </c>
      <c r="R1594" s="10" t="str">
        <f aca="false">INDEX(Parâmetros!$D$39:$D$43,MATCH(P1594,Parâmetros!$A$39:$A$43,0))</f>
        <v>Reciclar: requalificar, reengajar ou encerrar</v>
      </c>
    </row>
    <row r="1595" customFormat="false" ht="15" hidden="false" customHeight="false" outlineLevel="0" collapsed="false">
      <c r="A1595" s="10" t="s">
        <v>1841</v>
      </c>
      <c r="B1595" s="10" t="s">
        <v>94</v>
      </c>
      <c r="C1595" s="10" t="s">
        <v>92</v>
      </c>
      <c r="D1595" s="10" t="s">
        <v>160</v>
      </c>
      <c r="E1595" s="10" t="s">
        <v>49</v>
      </c>
      <c r="F1595" s="10"/>
      <c r="G1595" s="10" t="s">
        <v>162</v>
      </c>
      <c r="H1595" s="30" t="n">
        <v>42789</v>
      </c>
      <c r="I1595" s="8" t="n">
        <f aca="false">INDEX(Parâmetros!$C$13:$C$19,MATCH(E1595,Parâmetros!$A$13:$A$19,0))</f>
        <v>3393</v>
      </c>
      <c r="J1595" s="26" t="n">
        <f aca="false">IF(H1595="","",Parâmetros!$B$5-H1595)</f>
        <v>311</v>
      </c>
      <c r="K1595" s="10" t="n">
        <f aca="false">INDEX(Parâmetros!$D$13:$D$19,MATCH(E1595,Parâmetros!$A$13:$A$19,0))</f>
        <v>40</v>
      </c>
      <c r="L1595" s="10" t="n">
        <f aca="false">IF(G1595="Prospecting",Parâmetros!$B$9,IF(J1595&gt;Parâmetros!$B$6,0,INDEX(Parâmetros!$C$24:$C$26,MATCH(J1595,Parâmetros!$A$24:$A$26,1))))</f>
        <v>0</v>
      </c>
      <c r="M1595" s="31" t="n">
        <f aca="false">IF(G1595="Prospecting",1,INDEX(Parâmetros!$C$32:$C$35,MATCH(J1595,Parâmetros!$A$32:$A$35,1)))</f>
        <v>0.25</v>
      </c>
      <c r="N1595" s="2" t="n">
        <f aca="false">ROUND((K1595+L1595)*M1595,0)</f>
        <v>10</v>
      </c>
      <c r="O1595" s="10" t="str">
        <f aca="false">IF(AND(G1595="Engaging",J1595&gt;Parâmetros!$B$6),"Sim","Não")</f>
        <v>Sim</v>
      </c>
      <c r="P1595" s="32" t="str">
        <f aca="false">IF(O1595="Sim","R",IF(N1595&gt;=Parâmetros!$B$39,"A",IF(N1595&gt;=Parâmetros!$B$40,"B",IF(N1595&gt;=Parâmetros!$B$41,"C","D"))))</f>
        <v>R</v>
      </c>
      <c r="Q1595" s="10" t="str">
        <f aca="false">IF(F1595="","Completar cadastro","")</f>
        <v>Completar cadastro</v>
      </c>
      <c r="R1595" s="10" t="str">
        <f aca="false">INDEX(Parâmetros!$D$39:$D$43,MATCH(P1595,Parâmetros!$A$39:$A$43,0))</f>
        <v>Reciclar: requalificar, reengajar ou encerrar</v>
      </c>
    </row>
    <row r="1596" customFormat="false" ht="15" hidden="false" customHeight="false" outlineLevel="0" collapsed="false">
      <c r="A1596" s="10" t="s">
        <v>1842</v>
      </c>
      <c r="B1596" s="10" t="s">
        <v>62</v>
      </c>
      <c r="C1596" s="10" t="s">
        <v>58</v>
      </c>
      <c r="D1596" s="10" t="s">
        <v>165</v>
      </c>
      <c r="E1596" s="10" t="s">
        <v>49</v>
      </c>
      <c r="F1596" s="10"/>
      <c r="G1596" s="10" t="s">
        <v>162</v>
      </c>
      <c r="H1596" s="30" t="n">
        <v>42791</v>
      </c>
      <c r="I1596" s="8" t="n">
        <f aca="false">INDEX(Parâmetros!$C$13:$C$19,MATCH(E1596,Parâmetros!$A$13:$A$19,0))</f>
        <v>3393</v>
      </c>
      <c r="J1596" s="26" t="n">
        <f aca="false">IF(H1596="","",Parâmetros!$B$5-H1596)</f>
        <v>309</v>
      </c>
      <c r="K1596" s="10" t="n">
        <f aca="false">INDEX(Parâmetros!$D$13:$D$19,MATCH(E1596,Parâmetros!$A$13:$A$19,0))</f>
        <v>40</v>
      </c>
      <c r="L1596" s="10" t="n">
        <f aca="false">IF(G1596="Prospecting",Parâmetros!$B$9,IF(J1596&gt;Parâmetros!$B$6,0,INDEX(Parâmetros!$C$24:$C$26,MATCH(J1596,Parâmetros!$A$24:$A$26,1))))</f>
        <v>0</v>
      </c>
      <c r="M1596" s="31" t="n">
        <f aca="false">IF(G1596="Prospecting",1,INDEX(Parâmetros!$C$32:$C$35,MATCH(J1596,Parâmetros!$A$32:$A$35,1)))</f>
        <v>0.25</v>
      </c>
      <c r="N1596" s="2" t="n">
        <f aca="false">ROUND((K1596+L1596)*M1596,0)</f>
        <v>10</v>
      </c>
      <c r="O1596" s="10" t="str">
        <f aca="false">IF(AND(G1596="Engaging",J1596&gt;Parâmetros!$B$6),"Sim","Não")</f>
        <v>Sim</v>
      </c>
      <c r="P1596" s="32" t="str">
        <f aca="false">IF(O1596="Sim","R",IF(N1596&gt;=Parâmetros!$B$39,"A",IF(N1596&gt;=Parâmetros!$B$40,"B",IF(N1596&gt;=Parâmetros!$B$41,"C","D"))))</f>
        <v>R</v>
      </c>
      <c r="Q1596" s="10" t="str">
        <f aca="false">IF(F1596="","Completar cadastro","")</f>
        <v>Completar cadastro</v>
      </c>
      <c r="R1596" s="10" t="str">
        <f aca="false">INDEX(Parâmetros!$D$39:$D$43,MATCH(P1596,Parâmetros!$A$39:$A$43,0))</f>
        <v>Reciclar: requalificar, reengajar ou encerrar</v>
      </c>
    </row>
    <row r="1597" customFormat="false" ht="15" hidden="false" customHeight="false" outlineLevel="0" collapsed="false">
      <c r="A1597" s="10" t="s">
        <v>1843</v>
      </c>
      <c r="B1597" s="10" t="s">
        <v>96</v>
      </c>
      <c r="C1597" s="10" t="s">
        <v>92</v>
      </c>
      <c r="D1597" s="10" t="s">
        <v>160</v>
      </c>
      <c r="E1597" s="10" t="s">
        <v>49</v>
      </c>
      <c r="F1597" s="10" t="s">
        <v>274</v>
      </c>
      <c r="G1597" s="10" t="s">
        <v>162</v>
      </c>
      <c r="H1597" s="30" t="n">
        <v>42792</v>
      </c>
      <c r="I1597" s="8" t="n">
        <f aca="false">INDEX(Parâmetros!$C$13:$C$19,MATCH(E1597,Parâmetros!$A$13:$A$19,0))</f>
        <v>3393</v>
      </c>
      <c r="J1597" s="26" t="n">
        <f aca="false">IF(H1597="","",Parâmetros!$B$5-H1597)</f>
        <v>308</v>
      </c>
      <c r="K1597" s="10" t="n">
        <f aca="false">INDEX(Parâmetros!$D$13:$D$19,MATCH(E1597,Parâmetros!$A$13:$A$19,0))</f>
        <v>40</v>
      </c>
      <c r="L1597" s="10" t="n">
        <f aca="false">IF(G1597="Prospecting",Parâmetros!$B$9,IF(J1597&gt;Parâmetros!$B$6,0,INDEX(Parâmetros!$C$24:$C$26,MATCH(J1597,Parâmetros!$A$24:$A$26,1))))</f>
        <v>0</v>
      </c>
      <c r="M1597" s="31" t="n">
        <f aca="false">IF(G1597="Prospecting",1,INDEX(Parâmetros!$C$32:$C$35,MATCH(J1597,Parâmetros!$A$32:$A$35,1)))</f>
        <v>0.25</v>
      </c>
      <c r="N1597" s="2" t="n">
        <f aca="false">ROUND((K1597+L1597)*M1597,0)</f>
        <v>10</v>
      </c>
      <c r="O1597" s="10" t="str">
        <f aca="false">IF(AND(G1597="Engaging",J1597&gt;Parâmetros!$B$6),"Sim","Não")</f>
        <v>Sim</v>
      </c>
      <c r="P1597" s="32" t="str">
        <f aca="false">IF(O1597="Sim","R",IF(N1597&gt;=Parâmetros!$B$39,"A",IF(N1597&gt;=Parâmetros!$B$40,"B",IF(N1597&gt;=Parâmetros!$B$41,"C","D"))))</f>
        <v>R</v>
      </c>
      <c r="Q1597" s="10" t="str">
        <f aca="false">IF(F1597="","Completar cadastro","")</f>
        <v/>
      </c>
      <c r="R1597" s="10" t="str">
        <f aca="false">INDEX(Parâmetros!$D$39:$D$43,MATCH(P1597,Parâmetros!$A$39:$A$43,0))</f>
        <v>Reciclar: requalificar, reengajar ou encerrar</v>
      </c>
    </row>
    <row r="1598" customFormat="false" ht="15" hidden="false" customHeight="false" outlineLevel="0" collapsed="false">
      <c r="A1598" s="10" t="s">
        <v>1844</v>
      </c>
      <c r="B1598" s="10" t="s">
        <v>67</v>
      </c>
      <c r="C1598" s="10" t="s">
        <v>65</v>
      </c>
      <c r="D1598" s="10" t="s">
        <v>160</v>
      </c>
      <c r="E1598" s="10" t="s">
        <v>49</v>
      </c>
      <c r="F1598" s="10"/>
      <c r="G1598" s="10" t="s">
        <v>162</v>
      </c>
      <c r="H1598" s="30" t="n">
        <v>42793</v>
      </c>
      <c r="I1598" s="8" t="n">
        <f aca="false">INDEX(Parâmetros!$C$13:$C$19,MATCH(E1598,Parâmetros!$A$13:$A$19,0))</f>
        <v>3393</v>
      </c>
      <c r="J1598" s="26" t="n">
        <f aca="false">IF(H1598="","",Parâmetros!$B$5-H1598)</f>
        <v>307</v>
      </c>
      <c r="K1598" s="10" t="n">
        <f aca="false">INDEX(Parâmetros!$D$13:$D$19,MATCH(E1598,Parâmetros!$A$13:$A$19,0))</f>
        <v>40</v>
      </c>
      <c r="L1598" s="10" t="n">
        <f aca="false">IF(G1598="Prospecting",Parâmetros!$B$9,IF(J1598&gt;Parâmetros!$B$6,0,INDEX(Parâmetros!$C$24:$C$26,MATCH(J1598,Parâmetros!$A$24:$A$26,1))))</f>
        <v>0</v>
      </c>
      <c r="M1598" s="31" t="n">
        <f aca="false">IF(G1598="Prospecting",1,INDEX(Parâmetros!$C$32:$C$35,MATCH(J1598,Parâmetros!$A$32:$A$35,1)))</f>
        <v>0.25</v>
      </c>
      <c r="N1598" s="2" t="n">
        <f aca="false">ROUND((K1598+L1598)*M1598,0)</f>
        <v>10</v>
      </c>
      <c r="O1598" s="10" t="str">
        <f aca="false">IF(AND(G1598="Engaging",J1598&gt;Parâmetros!$B$6),"Sim","Não")</f>
        <v>Sim</v>
      </c>
      <c r="P1598" s="32" t="str">
        <f aca="false">IF(O1598="Sim","R",IF(N1598&gt;=Parâmetros!$B$39,"A",IF(N1598&gt;=Parâmetros!$B$40,"B",IF(N1598&gt;=Parâmetros!$B$41,"C","D"))))</f>
        <v>R</v>
      </c>
      <c r="Q1598" s="10" t="str">
        <f aca="false">IF(F1598="","Completar cadastro","")</f>
        <v>Completar cadastro</v>
      </c>
      <c r="R1598" s="10" t="str">
        <f aca="false">INDEX(Parâmetros!$D$39:$D$43,MATCH(P1598,Parâmetros!$A$39:$A$43,0))</f>
        <v>Reciclar: requalificar, reengajar ou encerrar</v>
      </c>
    </row>
    <row r="1599" customFormat="false" ht="15" hidden="false" customHeight="false" outlineLevel="0" collapsed="false">
      <c r="A1599" s="10" t="s">
        <v>1845</v>
      </c>
      <c r="B1599" s="10" t="s">
        <v>66</v>
      </c>
      <c r="C1599" s="10" t="s">
        <v>65</v>
      </c>
      <c r="D1599" s="10" t="s">
        <v>160</v>
      </c>
      <c r="E1599" s="10" t="s">
        <v>49</v>
      </c>
      <c r="F1599" s="10"/>
      <c r="G1599" s="10" t="s">
        <v>162</v>
      </c>
      <c r="H1599" s="30" t="n">
        <v>42796</v>
      </c>
      <c r="I1599" s="8" t="n">
        <f aca="false">INDEX(Parâmetros!$C$13:$C$19,MATCH(E1599,Parâmetros!$A$13:$A$19,0))</f>
        <v>3393</v>
      </c>
      <c r="J1599" s="26" t="n">
        <f aca="false">IF(H1599="","",Parâmetros!$B$5-H1599)</f>
        <v>304</v>
      </c>
      <c r="K1599" s="10" t="n">
        <f aca="false">INDEX(Parâmetros!$D$13:$D$19,MATCH(E1599,Parâmetros!$A$13:$A$19,0))</f>
        <v>40</v>
      </c>
      <c r="L1599" s="10" t="n">
        <f aca="false">IF(G1599="Prospecting",Parâmetros!$B$9,IF(J1599&gt;Parâmetros!$B$6,0,INDEX(Parâmetros!$C$24:$C$26,MATCH(J1599,Parâmetros!$A$24:$A$26,1))))</f>
        <v>0</v>
      </c>
      <c r="M1599" s="31" t="n">
        <f aca="false">IF(G1599="Prospecting",1,INDEX(Parâmetros!$C$32:$C$35,MATCH(J1599,Parâmetros!$A$32:$A$35,1)))</f>
        <v>0.25</v>
      </c>
      <c r="N1599" s="2" t="n">
        <f aca="false">ROUND((K1599+L1599)*M1599,0)</f>
        <v>10</v>
      </c>
      <c r="O1599" s="10" t="str">
        <f aca="false">IF(AND(G1599="Engaging",J1599&gt;Parâmetros!$B$6),"Sim","Não")</f>
        <v>Sim</v>
      </c>
      <c r="P1599" s="32" t="str">
        <f aca="false">IF(O1599="Sim","R",IF(N1599&gt;=Parâmetros!$B$39,"A",IF(N1599&gt;=Parâmetros!$B$40,"B",IF(N1599&gt;=Parâmetros!$B$41,"C","D"))))</f>
        <v>R</v>
      </c>
      <c r="Q1599" s="10" t="str">
        <f aca="false">IF(F1599="","Completar cadastro","")</f>
        <v>Completar cadastro</v>
      </c>
      <c r="R1599" s="10" t="str">
        <f aca="false">INDEX(Parâmetros!$D$39:$D$43,MATCH(P1599,Parâmetros!$A$39:$A$43,0))</f>
        <v>Reciclar: requalificar, reengajar ou encerrar</v>
      </c>
    </row>
    <row r="1600" customFormat="false" ht="15" hidden="false" customHeight="false" outlineLevel="0" collapsed="false">
      <c r="A1600" s="10" t="s">
        <v>1846</v>
      </c>
      <c r="B1600" s="10" t="s">
        <v>86</v>
      </c>
      <c r="C1600" s="10" t="s">
        <v>85</v>
      </c>
      <c r="D1600" s="10" t="s">
        <v>165</v>
      </c>
      <c r="E1600" s="10" t="s">
        <v>49</v>
      </c>
      <c r="F1600" s="10"/>
      <c r="G1600" s="10" t="s">
        <v>162</v>
      </c>
      <c r="H1600" s="30" t="n">
        <v>42798</v>
      </c>
      <c r="I1600" s="8" t="n">
        <f aca="false">INDEX(Parâmetros!$C$13:$C$19,MATCH(E1600,Parâmetros!$A$13:$A$19,0))</f>
        <v>3393</v>
      </c>
      <c r="J1600" s="26" t="n">
        <f aca="false">IF(H1600="","",Parâmetros!$B$5-H1600)</f>
        <v>302</v>
      </c>
      <c r="K1600" s="10" t="n">
        <f aca="false">INDEX(Parâmetros!$D$13:$D$19,MATCH(E1600,Parâmetros!$A$13:$A$19,0))</f>
        <v>40</v>
      </c>
      <c r="L1600" s="10" t="n">
        <f aca="false">IF(G1600="Prospecting",Parâmetros!$B$9,IF(J1600&gt;Parâmetros!$B$6,0,INDEX(Parâmetros!$C$24:$C$26,MATCH(J1600,Parâmetros!$A$24:$A$26,1))))</f>
        <v>0</v>
      </c>
      <c r="M1600" s="31" t="n">
        <f aca="false">IF(G1600="Prospecting",1,INDEX(Parâmetros!$C$32:$C$35,MATCH(J1600,Parâmetros!$A$32:$A$35,1)))</f>
        <v>0.25</v>
      </c>
      <c r="N1600" s="2" t="n">
        <f aca="false">ROUND((K1600+L1600)*M1600,0)</f>
        <v>10</v>
      </c>
      <c r="O1600" s="10" t="str">
        <f aca="false">IF(AND(G1600="Engaging",J1600&gt;Parâmetros!$B$6),"Sim","Não")</f>
        <v>Sim</v>
      </c>
      <c r="P1600" s="32" t="str">
        <f aca="false">IF(O1600="Sim","R",IF(N1600&gt;=Parâmetros!$B$39,"A",IF(N1600&gt;=Parâmetros!$B$40,"B",IF(N1600&gt;=Parâmetros!$B$41,"C","D"))))</f>
        <v>R</v>
      </c>
      <c r="Q1600" s="10" t="str">
        <f aca="false">IF(F1600="","Completar cadastro","")</f>
        <v>Completar cadastro</v>
      </c>
      <c r="R1600" s="10" t="str">
        <f aca="false">INDEX(Parâmetros!$D$39:$D$43,MATCH(P1600,Parâmetros!$A$39:$A$43,0))</f>
        <v>Reciclar: requalificar, reengajar ou encerrar</v>
      </c>
    </row>
    <row r="1601" customFormat="false" ht="15" hidden="false" customHeight="false" outlineLevel="0" collapsed="false">
      <c r="A1601" s="10" t="s">
        <v>1847</v>
      </c>
      <c r="B1601" s="10" t="s">
        <v>86</v>
      </c>
      <c r="C1601" s="10" t="s">
        <v>85</v>
      </c>
      <c r="D1601" s="10" t="s">
        <v>165</v>
      </c>
      <c r="E1601" s="10" t="s">
        <v>49</v>
      </c>
      <c r="F1601" s="10"/>
      <c r="G1601" s="10" t="s">
        <v>162</v>
      </c>
      <c r="H1601" s="30" t="n">
        <v>42799</v>
      </c>
      <c r="I1601" s="8" t="n">
        <f aca="false">INDEX(Parâmetros!$C$13:$C$19,MATCH(E1601,Parâmetros!$A$13:$A$19,0))</f>
        <v>3393</v>
      </c>
      <c r="J1601" s="26" t="n">
        <f aca="false">IF(H1601="","",Parâmetros!$B$5-H1601)</f>
        <v>301</v>
      </c>
      <c r="K1601" s="10" t="n">
        <f aca="false">INDEX(Parâmetros!$D$13:$D$19,MATCH(E1601,Parâmetros!$A$13:$A$19,0))</f>
        <v>40</v>
      </c>
      <c r="L1601" s="10" t="n">
        <f aca="false">IF(G1601="Prospecting",Parâmetros!$B$9,IF(J1601&gt;Parâmetros!$B$6,0,INDEX(Parâmetros!$C$24:$C$26,MATCH(J1601,Parâmetros!$A$24:$A$26,1))))</f>
        <v>0</v>
      </c>
      <c r="M1601" s="31" t="n">
        <f aca="false">IF(G1601="Prospecting",1,INDEX(Parâmetros!$C$32:$C$35,MATCH(J1601,Parâmetros!$A$32:$A$35,1)))</f>
        <v>0.25</v>
      </c>
      <c r="N1601" s="2" t="n">
        <f aca="false">ROUND((K1601+L1601)*M1601,0)</f>
        <v>10</v>
      </c>
      <c r="O1601" s="10" t="str">
        <f aca="false">IF(AND(G1601="Engaging",J1601&gt;Parâmetros!$B$6),"Sim","Não")</f>
        <v>Sim</v>
      </c>
      <c r="P1601" s="32" t="str">
        <f aca="false">IF(O1601="Sim","R",IF(N1601&gt;=Parâmetros!$B$39,"A",IF(N1601&gt;=Parâmetros!$B$40,"B",IF(N1601&gt;=Parâmetros!$B$41,"C","D"))))</f>
        <v>R</v>
      </c>
      <c r="Q1601" s="10" t="str">
        <f aca="false">IF(F1601="","Completar cadastro","")</f>
        <v>Completar cadastro</v>
      </c>
      <c r="R1601" s="10" t="str">
        <f aca="false">INDEX(Parâmetros!$D$39:$D$43,MATCH(P1601,Parâmetros!$A$39:$A$43,0))</f>
        <v>Reciclar: requalificar, reengajar ou encerrar</v>
      </c>
    </row>
    <row r="1602" customFormat="false" ht="15" hidden="false" customHeight="false" outlineLevel="0" collapsed="false">
      <c r="A1602" s="10" t="s">
        <v>1848</v>
      </c>
      <c r="B1602" s="10" t="s">
        <v>62</v>
      </c>
      <c r="C1602" s="10" t="s">
        <v>58</v>
      </c>
      <c r="D1602" s="10" t="s">
        <v>165</v>
      </c>
      <c r="E1602" s="10" t="s">
        <v>49</v>
      </c>
      <c r="F1602" s="10" t="s">
        <v>299</v>
      </c>
      <c r="G1602" s="10" t="s">
        <v>162</v>
      </c>
      <c r="H1602" s="30" t="n">
        <v>42799</v>
      </c>
      <c r="I1602" s="8" t="n">
        <f aca="false">INDEX(Parâmetros!$C$13:$C$19,MATCH(E1602,Parâmetros!$A$13:$A$19,0))</f>
        <v>3393</v>
      </c>
      <c r="J1602" s="26" t="n">
        <f aca="false">IF(H1602="","",Parâmetros!$B$5-H1602)</f>
        <v>301</v>
      </c>
      <c r="K1602" s="10" t="n">
        <f aca="false">INDEX(Parâmetros!$D$13:$D$19,MATCH(E1602,Parâmetros!$A$13:$A$19,0))</f>
        <v>40</v>
      </c>
      <c r="L1602" s="10" t="n">
        <f aca="false">IF(G1602="Prospecting",Parâmetros!$B$9,IF(J1602&gt;Parâmetros!$B$6,0,INDEX(Parâmetros!$C$24:$C$26,MATCH(J1602,Parâmetros!$A$24:$A$26,1))))</f>
        <v>0</v>
      </c>
      <c r="M1602" s="31" t="n">
        <f aca="false">IF(G1602="Prospecting",1,INDEX(Parâmetros!$C$32:$C$35,MATCH(J1602,Parâmetros!$A$32:$A$35,1)))</f>
        <v>0.25</v>
      </c>
      <c r="N1602" s="2" t="n">
        <f aca="false">ROUND((K1602+L1602)*M1602,0)</f>
        <v>10</v>
      </c>
      <c r="O1602" s="10" t="str">
        <f aca="false">IF(AND(G1602="Engaging",J1602&gt;Parâmetros!$B$6),"Sim","Não")</f>
        <v>Sim</v>
      </c>
      <c r="P1602" s="32" t="str">
        <f aca="false">IF(O1602="Sim","R",IF(N1602&gt;=Parâmetros!$B$39,"A",IF(N1602&gt;=Parâmetros!$B$40,"B",IF(N1602&gt;=Parâmetros!$B$41,"C","D"))))</f>
        <v>R</v>
      </c>
      <c r="Q1602" s="10" t="str">
        <f aca="false">IF(F1602="","Completar cadastro","")</f>
        <v/>
      </c>
      <c r="R1602" s="10" t="str">
        <f aca="false">INDEX(Parâmetros!$D$39:$D$43,MATCH(P1602,Parâmetros!$A$39:$A$43,0))</f>
        <v>Reciclar: requalificar, reengajar ou encerrar</v>
      </c>
    </row>
    <row r="1603" customFormat="false" ht="15" hidden="false" customHeight="false" outlineLevel="0" collapsed="false">
      <c r="A1603" s="10" t="s">
        <v>1849</v>
      </c>
      <c r="B1603" s="10" t="s">
        <v>63</v>
      </c>
      <c r="C1603" s="10" t="s">
        <v>58</v>
      </c>
      <c r="D1603" s="10" t="s">
        <v>165</v>
      </c>
      <c r="E1603" s="10" t="s">
        <v>49</v>
      </c>
      <c r="F1603" s="10"/>
      <c r="G1603" s="10" t="s">
        <v>162</v>
      </c>
      <c r="H1603" s="30" t="n">
        <v>42801</v>
      </c>
      <c r="I1603" s="8" t="n">
        <f aca="false">INDEX(Parâmetros!$C$13:$C$19,MATCH(E1603,Parâmetros!$A$13:$A$19,0))</f>
        <v>3393</v>
      </c>
      <c r="J1603" s="26" t="n">
        <f aca="false">IF(H1603="","",Parâmetros!$B$5-H1603)</f>
        <v>299</v>
      </c>
      <c r="K1603" s="10" t="n">
        <f aca="false">INDEX(Parâmetros!$D$13:$D$19,MATCH(E1603,Parâmetros!$A$13:$A$19,0))</f>
        <v>40</v>
      </c>
      <c r="L1603" s="10" t="n">
        <f aca="false">IF(G1603="Prospecting",Parâmetros!$B$9,IF(J1603&gt;Parâmetros!$B$6,0,INDEX(Parâmetros!$C$24:$C$26,MATCH(J1603,Parâmetros!$A$24:$A$26,1))))</f>
        <v>0</v>
      </c>
      <c r="M1603" s="31" t="n">
        <f aca="false">IF(G1603="Prospecting",1,INDEX(Parâmetros!$C$32:$C$35,MATCH(J1603,Parâmetros!$A$32:$A$35,1)))</f>
        <v>0.25</v>
      </c>
      <c r="N1603" s="2" t="n">
        <f aca="false">ROUND((K1603+L1603)*M1603,0)</f>
        <v>10</v>
      </c>
      <c r="O1603" s="10" t="str">
        <f aca="false">IF(AND(G1603="Engaging",J1603&gt;Parâmetros!$B$6),"Sim","Não")</f>
        <v>Sim</v>
      </c>
      <c r="P1603" s="32" t="str">
        <f aca="false">IF(O1603="Sim","R",IF(N1603&gt;=Parâmetros!$B$39,"A",IF(N1603&gt;=Parâmetros!$B$40,"B",IF(N1603&gt;=Parâmetros!$B$41,"C","D"))))</f>
        <v>R</v>
      </c>
      <c r="Q1603" s="10" t="str">
        <f aca="false">IF(F1603="","Completar cadastro","")</f>
        <v>Completar cadastro</v>
      </c>
      <c r="R1603" s="10" t="str">
        <f aca="false">INDEX(Parâmetros!$D$39:$D$43,MATCH(P1603,Parâmetros!$A$39:$A$43,0))</f>
        <v>Reciclar: requalificar, reengajar ou encerrar</v>
      </c>
    </row>
    <row r="1604" customFormat="false" ht="15" hidden="false" customHeight="false" outlineLevel="0" collapsed="false">
      <c r="A1604" s="10" t="s">
        <v>1850</v>
      </c>
      <c r="B1604" s="10" t="s">
        <v>93</v>
      </c>
      <c r="C1604" s="10" t="s">
        <v>92</v>
      </c>
      <c r="D1604" s="10" t="s">
        <v>160</v>
      </c>
      <c r="E1604" s="10" t="s">
        <v>49</v>
      </c>
      <c r="F1604" s="10"/>
      <c r="G1604" s="10" t="s">
        <v>162</v>
      </c>
      <c r="H1604" s="30" t="n">
        <v>42803</v>
      </c>
      <c r="I1604" s="8" t="n">
        <f aca="false">INDEX(Parâmetros!$C$13:$C$19,MATCH(E1604,Parâmetros!$A$13:$A$19,0))</f>
        <v>3393</v>
      </c>
      <c r="J1604" s="26" t="n">
        <f aca="false">IF(H1604="","",Parâmetros!$B$5-H1604)</f>
        <v>297</v>
      </c>
      <c r="K1604" s="10" t="n">
        <f aca="false">INDEX(Parâmetros!$D$13:$D$19,MATCH(E1604,Parâmetros!$A$13:$A$19,0))</f>
        <v>40</v>
      </c>
      <c r="L1604" s="10" t="n">
        <f aca="false">IF(G1604="Prospecting",Parâmetros!$B$9,IF(J1604&gt;Parâmetros!$B$6,0,INDEX(Parâmetros!$C$24:$C$26,MATCH(J1604,Parâmetros!$A$24:$A$26,1))))</f>
        <v>0</v>
      </c>
      <c r="M1604" s="31" t="n">
        <f aca="false">IF(G1604="Prospecting",1,INDEX(Parâmetros!$C$32:$C$35,MATCH(J1604,Parâmetros!$A$32:$A$35,1)))</f>
        <v>0.25</v>
      </c>
      <c r="N1604" s="2" t="n">
        <f aca="false">ROUND((K1604+L1604)*M1604,0)</f>
        <v>10</v>
      </c>
      <c r="O1604" s="10" t="str">
        <f aca="false">IF(AND(G1604="Engaging",J1604&gt;Parâmetros!$B$6),"Sim","Não")</f>
        <v>Sim</v>
      </c>
      <c r="P1604" s="32" t="str">
        <f aca="false">IF(O1604="Sim","R",IF(N1604&gt;=Parâmetros!$B$39,"A",IF(N1604&gt;=Parâmetros!$B$40,"B",IF(N1604&gt;=Parâmetros!$B$41,"C","D"))))</f>
        <v>R</v>
      </c>
      <c r="Q1604" s="10" t="str">
        <f aca="false">IF(F1604="","Completar cadastro","")</f>
        <v>Completar cadastro</v>
      </c>
      <c r="R1604" s="10" t="str">
        <f aca="false">INDEX(Parâmetros!$D$39:$D$43,MATCH(P1604,Parâmetros!$A$39:$A$43,0))</f>
        <v>Reciclar: requalificar, reengajar ou encerrar</v>
      </c>
    </row>
    <row r="1605" customFormat="false" ht="15" hidden="false" customHeight="false" outlineLevel="0" collapsed="false">
      <c r="A1605" s="10" t="s">
        <v>1851</v>
      </c>
      <c r="B1605" s="10" t="s">
        <v>93</v>
      </c>
      <c r="C1605" s="10" t="s">
        <v>92</v>
      </c>
      <c r="D1605" s="10" t="s">
        <v>160</v>
      </c>
      <c r="E1605" s="10" t="s">
        <v>49</v>
      </c>
      <c r="F1605" s="10"/>
      <c r="G1605" s="10" t="s">
        <v>162</v>
      </c>
      <c r="H1605" s="30" t="n">
        <v>42805</v>
      </c>
      <c r="I1605" s="8" t="n">
        <f aca="false">INDEX(Parâmetros!$C$13:$C$19,MATCH(E1605,Parâmetros!$A$13:$A$19,0))</f>
        <v>3393</v>
      </c>
      <c r="J1605" s="26" t="n">
        <f aca="false">IF(H1605="","",Parâmetros!$B$5-H1605)</f>
        <v>295</v>
      </c>
      <c r="K1605" s="10" t="n">
        <f aca="false">INDEX(Parâmetros!$D$13:$D$19,MATCH(E1605,Parâmetros!$A$13:$A$19,0))</f>
        <v>40</v>
      </c>
      <c r="L1605" s="10" t="n">
        <f aca="false">IF(G1605="Prospecting",Parâmetros!$B$9,IF(J1605&gt;Parâmetros!$B$6,0,INDEX(Parâmetros!$C$24:$C$26,MATCH(J1605,Parâmetros!$A$24:$A$26,1))))</f>
        <v>0</v>
      </c>
      <c r="M1605" s="31" t="n">
        <f aca="false">IF(G1605="Prospecting",1,INDEX(Parâmetros!$C$32:$C$35,MATCH(J1605,Parâmetros!$A$32:$A$35,1)))</f>
        <v>0.25</v>
      </c>
      <c r="N1605" s="2" t="n">
        <f aca="false">ROUND((K1605+L1605)*M1605,0)</f>
        <v>10</v>
      </c>
      <c r="O1605" s="10" t="str">
        <f aca="false">IF(AND(G1605="Engaging",J1605&gt;Parâmetros!$B$6),"Sim","Não")</f>
        <v>Sim</v>
      </c>
      <c r="P1605" s="32" t="str">
        <f aca="false">IF(O1605="Sim","R",IF(N1605&gt;=Parâmetros!$B$39,"A",IF(N1605&gt;=Parâmetros!$B$40,"B",IF(N1605&gt;=Parâmetros!$B$41,"C","D"))))</f>
        <v>R</v>
      </c>
      <c r="Q1605" s="10" t="str">
        <f aca="false">IF(F1605="","Completar cadastro","")</f>
        <v>Completar cadastro</v>
      </c>
      <c r="R1605" s="10" t="str">
        <f aca="false">INDEX(Parâmetros!$D$39:$D$43,MATCH(P1605,Parâmetros!$A$39:$A$43,0))</f>
        <v>Reciclar: requalificar, reengajar ou encerrar</v>
      </c>
    </row>
    <row r="1606" customFormat="false" ht="15" hidden="false" customHeight="false" outlineLevel="0" collapsed="false">
      <c r="A1606" s="10" t="s">
        <v>1852</v>
      </c>
      <c r="B1606" s="10" t="s">
        <v>86</v>
      </c>
      <c r="C1606" s="10" t="s">
        <v>85</v>
      </c>
      <c r="D1606" s="10" t="s">
        <v>165</v>
      </c>
      <c r="E1606" s="10" t="s">
        <v>49</v>
      </c>
      <c r="F1606" s="10"/>
      <c r="G1606" s="10" t="s">
        <v>162</v>
      </c>
      <c r="H1606" s="30" t="n">
        <v>42807</v>
      </c>
      <c r="I1606" s="8" t="n">
        <f aca="false">INDEX(Parâmetros!$C$13:$C$19,MATCH(E1606,Parâmetros!$A$13:$A$19,0))</f>
        <v>3393</v>
      </c>
      <c r="J1606" s="26" t="n">
        <f aca="false">IF(H1606="","",Parâmetros!$B$5-H1606)</f>
        <v>293</v>
      </c>
      <c r="K1606" s="10" t="n">
        <f aca="false">INDEX(Parâmetros!$D$13:$D$19,MATCH(E1606,Parâmetros!$A$13:$A$19,0))</f>
        <v>40</v>
      </c>
      <c r="L1606" s="10" t="n">
        <f aca="false">IF(G1606="Prospecting",Parâmetros!$B$9,IF(J1606&gt;Parâmetros!$B$6,0,INDEX(Parâmetros!$C$24:$C$26,MATCH(J1606,Parâmetros!$A$24:$A$26,1))))</f>
        <v>0</v>
      </c>
      <c r="M1606" s="31" t="n">
        <f aca="false">IF(G1606="Prospecting",1,INDEX(Parâmetros!$C$32:$C$35,MATCH(J1606,Parâmetros!$A$32:$A$35,1)))</f>
        <v>0.25</v>
      </c>
      <c r="N1606" s="2" t="n">
        <f aca="false">ROUND((K1606+L1606)*M1606,0)</f>
        <v>10</v>
      </c>
      <c r="O1606" s="10" t="str">
        <f aca="false">IF(AND(G1606="Engaging",J1606&gt;Parâmetros!$B$6),"Sim","Não")</f>
        <v>Sim</v>
      </c>
      <c r="P1606" s="32" t="str">
        <f aca="false">IF(O1606="Sim","R",IF(N1606&gt;=Parâmetros!$B$39,"A",IF(N1606&gt;=Parâmetros!$B$40,"B",IF(N1606&gt;=Parâmetros!$B$41,"C","D"))))</f>
        <v>R</v>
      </c>
      <c r="Q1606" s="10" t="str">
        <f aca="false">IF(F1606="","Completar cadastro","")</f>
        <v>Completar cadastro</v>
      </c>
      <c r="R1606" s="10" t="str">
        <f aca="false">INDEX(Parâmetros!$D$39:$D$43,MATCH(P1606,Parâmetros!$A$39:$A$43,0))</f>
        <v>Reciclar: requalificar, reengajar ou encerrar</v>
      </c>
    </row>
    <row r="1607" customFormat="false" ht="15" hidden="false" customHeight="false" outlineLevel="0" collapsed="false">
      <c r="A1607" s="10" t="s">
        <v>1853</v>
      </c>
      <c r="B1607" s="10" t="s">
        <v>67</v>
      </c>
      <c r="C1607" s="10" t="s">
        <v>65</v>
      </c>
      <c r="D1607" s="10" t="s">
        <v>160</v>
      </c>
      <c r="E1607" s="10" t="s">
        <v>49</v>
      </c>
      <c r="F1607" s="10"/>
      <c r="G1607" s="10" t="s">
        <v>162</v>
      </c>
      <c r="H1607" s="30" t="n">
        <v>42808</v>
      </c>
      <c r="I1607" s="8" t="n">
        <f aca="false">INDEX(Parâmetros!$C$13:$C$19,MATCH(E1607,Parâmetros!$A$13:$A$19,0))</f>
        <v>3393</v>
      </c>
      <c r="J1607" s="26" t="n">
        <f aca="false">IF(H1607="","",Parâmetros!$B$5-H1607)</f>
        <v>292</v>
      </c>
      <c r="K1607" s="10" t="n">
        <f aca="false">INDEX(Parâmetros!$D$13:$D$19,MATCH(E1607,Parâmetros!$A$13:$A$19,0))</f>
        <v>40</v>
      </c>
      <c r="L1607" s="10" t="n">
        <f aca="false">IF(G1607="Prospecting",Parâmetros!$B$9,IF(J1607&gt;Parâmetros!$B$6,0,INDEX(Parâmetros!$C$24:$C$26,MATCH(J1607,Parâmetros!$A$24:$A$26,1))))</f>
        <v>0</v>
      </c>
      <c r="M1607" s="31" t="n">
        <f aca="false">IF(G1607="Prospecting",1,INDEX(Parâmetros!$C$32:$C$35,MATCH(J1607,Parâmetros!$A$32:$A$35,1)))</f>
        <v>0.25</v>
      </c>
      <c r="N1607" s="2" t="n">
        <f aca="false">ROUND((K1607+L1607)*M1607,0)</f>
        <v>10</v>
      </c>
      <c r="O1607" s="10" t="str">
        <f aca="false">IF(AND(G1607="Engaging",J1607&gt;Parâmetros!$B$6),"Sim","Não")</f>
        <v>Sim</v>
      </c>
      <c r="P1607" s="32" t="str">
        <f aca="false">IF(O1607="Sim","R",IF(N1607&gt;=Parâmetros!$B$39,"A",IF(N1607&gt;=Parâmetros!$B$40,"B",IF(N1607&gt;=Parâmetros!$B$41,"C","D"))))</f>
        <v>R</v>
      </c>
      <c r="Q1607" s="10" t="str">
        <f aca="false">IF(F1607="","Completar cadastro","")</f>
        <v>Completar cadastro</v>
      </c>
      <c r="R1607" s="10" t="str">
        <f aca="false">INDEX(Parâmetros!$D$39:$D$43,MATCH(P1607,Parâmetros!$A$39:$A$43,0))</f>
        <v>Reciclar: requalificar, reengajar ou encerrar</v>
      </c>
    </row>
    <row r="1608" customFormat="false" ht="15" hidden="false" customHeight="false" outlineLevel="0" collapsed="false">
      <c r="A1608" s="10" t="s">
        <v>1854</v>
      </c>
      <c r="B1608" s="10" t="s">
        <v>69</v>
      </c>
      <c r="C1608" s="10" t="s">
        <v>65</v>
      </c>
      <c r="D1608" s="10" t="s">
        <v>160</v>
      </c>
      <c r="E1608" s="10" t="s">
        <v>49</v>
      </c>
      <c r="F1608" s="10"/>
      <c r="G1608" s="10" t="s">
        <v>162</v>
      </c>
      <c r="H1608" s="30" t="n">
        <v>42812</v>
      </c>
      <c r="I1608" s="8" t="n">
        <f aca="false">INDEX(Parâmetros!$C$13:$C$19,MATCH(E1608,Parâmetros!$A$13:$A$19,0))</f>
        <v>3393</v>
      </c>
      <c r="J1608" s="26" t="n">
        <f aca="false">IF(H1608="","",Parâmetros!$B$5-H1608)</f>
        <v>288</v>
      </c>
      <c r="K1608" s="10" t="n">
        <f aca="false">INDEX(Parâmetros!$D$13:$D$19,MATCH(E1608,Parâmetros!$A$13:$A$19,0))</f>
        <v>40</v>
      </c>
      <c r="L1608" s="10" t="n">
        <f aca="false">IF(G1608="Prospecting",Parâmetros!$B$9,IF(J1608&gt;Parâmetros!$B$6,0,INDEX(Parâmetros!$C$24:$C$26,MATCH(J1608,Parâmetros!$A$24:$A$26,1))))</f>
        <v>0</v>
      </c>
      <c r="M1608" s="31" t="n">
        <f aca="false">IF(G1608="Prospecting",1,INDEX(Parâmetros!$C$32:$C$35,MATCH(J1608,Parâmetros!$A$32:$A$35,1)))</f>
        <v>0.25</v>
      </c>
      <c r="N1608" s="2" t="n">
        <f aca="false">ROUND((K1608+L1608)*M1608,0)</f>
        <v>10</v>
      </c>
      <c r="O1608" s="10" t="str">
        <f aca="false">IF(AND(G1608="Engaging",J1608&gt;Parâmetros!$B$6),"Sim","Não")</f>
        <v>Sim</v>
      </c>
      <c r="P1608" s="32" t="str">
        <f aca="false">IF(O1608="Sim","R",IF(N1608&gt;=Parâmetros!$B$39,"A",IF(N1608&gt;=Parâmetros!$B$40,"B",IF(N1608&gt;=Parâmetros!$B$41,"C","D"))))</f>
        <v>R</v>
      </c>
      <c r="Q1608" s="10" t="str">
        <f aca="false">IF(F1608="","Completar cadastro","")</f>
        <v>Completar cadastro</v>
      </c>
      <c r="R1608" s="10" t="str">
        <f aca="false">INDEX(Parâmetros!$D$39:$D$43,MATCH(P1608,Parâmetros!$A$39:$A$43,0))</f>
        <v>Reciclar: requalificar, reengajar ou encerrar</v>
      </c>
    </row>
    <row r="1609" customFormat="false" ht="15" hidden="false" customHeight="false" outlineLevel="0" collapsed="false">
      <c r="A1609" s="10" t="s">
        <v>1855</v>
      </c>
      <c r="B1609" s="10" t="s">
        <v>61</v>
      </c>
      <c r="C1609" s="10" t="s">
        <v>58</v>
      </c>
      <c r="D1609" s="10" t="s">
        <v>165</v>
      </c>
      <c r="E1609" s="10" t="s">
        <v>49</v>
      </c>
      <c r="F1609" s="10" t="s">
        <v>267</v>
      </c>
      <c r="G1609" s="10" t="s">
        <v>162</v>
      </c>
      <c r="H1609" s="30" t="n">
        <v>42812</v>
      </c>
      <c r="I1609" s="8" t="n">
        <f aca="false">INDEX(Parâmetros!$C$13:$C$19,MATCH(E1609,Parâmetros!$A$13:$A$19,0))</f>
        <v>3393</v>
      </c>
      <c r="J1609" s="26" t="n">
        <f aca="false">IF(H1609="","",Parâmetros!$B$5-H1609)</f>
        <v>288</v>
      </c>
      <c r="K1609" s="10" t="n">
        <f aca="false">INDEX(Parâmetros!$D$13:$D$19,MATCH(E1609,Parâmetros!$A$13:$A$19,0))</f>
        <v>40</v>
      </c>
      <c r="L1609" s="10" t="n">
        <f aca="false">IF(G1609="Prospecting",Parâmetros!$B$9,IF(J1609&gt;Parâmetros!$B$6,0,INDEX(Parâmetros!$C$24:$C$26,MATCH(J1609,Parâmetros!$A$24:$A$26,1))))</f>
        <v>0</v>
      </c>
      <c r="M1609" s="31" t="n">
        <f aca="false">IF(G1609="Prospecting",1,INDEX(Parâmetros!$C$32:$C$35,MATCH(J1609,Parâmetros!$A$32:$A$35,1)))</f>
        <v>0.25</v>
      </c>
      <c r="N1609" s="2" t="n">
        <f aca="false">ROUND((K1609+L1609)*M1609,0)</f>
        <v>10</v>
      </c>
      <c r="O1609" s="10" t="str">
        <f aca="false">IF(AND(G1609="Engaging",J1609&gt;Parâmetros!$B$6),"Sim","Não")</f>
        <v>Sim</v>
      </c>
      <c r="P1609" s="32" t="str">
        <f aca="false">IF(O1609="Sim","R",IF(N1609&gt;=Parâmetros!$B$39,"A",IF(N1609&gt;=Parâmetros!$B$40,"B",IF(N1609&gt;=Parâmetros!$B$41,"C","D"))))</f>
        <v>R</v>
      </c>
      <c r="Q1609" s="10" t="str">
        <f aca="false">IF(F1609="","Completar cadastro","")</f>
        <v/>
      </c>
      <c r="R1609" s="10" t="str">
        <f aca="false">INDEX(Parâmetros!$D$39:$D$43,MATCH(P1609,Parâmetros!$A$39:$A$43,0))</f>
        <v>Reciclar: requalificar, reengajar ou encerrar</v>
      </c>
    </row>
    <row r="1610" customFormat="false" ht="15" hidden="false" customHeight="false" outlineLevel="0" collapsed="false">
      <c r="A1610" s="10" t="s">
        <v>1856</v>
      </c>
      <c r="B1610" s="10" t="s">
        <v>63</v>
      </c>
      <c r="C1610" s="10" t="s">
        <v>58</v>
      </c>
      <c r="D1610" s="10" t="s">
        <v>165</v>
      </c>
      <c r="E1610" s="10" t="s">
        <v>49</v>
      </c>
      <c r="F1610" s="10"/>
      <c r="G1610" s="10" t="s">
        <v>162</v>
      </c>
      <c r="H1610" s="30" t="n">
        <v>42815</v>
      </c>
      <c r="I1610" s="8" t="n">
        <f aca="false">INDEX(Parâmetros!$C$13:$C$19,MATCH(E1610,Parâmetros!$A$13:$A$19,0))</f>
        <v>3393</v>
      </c>
      <c r="J1610" s="26" t="n">
        <f aca="false">IF(H1610="","",Parâmetros!$B$5-H1610)</f>
        <v>285</v>
      </c>
      <c r="K1610" s="10" t="n">
        <f aca="false">INDEX(Parâmetros!$D$13:$D$19,MATCH(E1610,Parâmetros!$A$13:$A$19,0))</f>
        <v>40</v>
      </c>
      <c r="L1610" s="10" t="n">
        <f aca="false">IF(G1610="Prospecting",Parâmetros!$B$9,IF(J1610&gt;Parâmetros!$B$6,0,INDEX(Parâmetros!$C$24:$C$26,MATCH(J1610,Parâmetros!$A$24:$A$26,1))))</f>
        <v>0</v>
      </c>
      <c r="M1610" s="31" t="n">
        <f aca="false">IF(G1610="Prospecting",1,INDEX(Parâmetros!$C$32:$C$35,MATCH(J1610,Parâmetros!$A$32:$A$35,1)))</f>
        <v>0.25</v>
      </c>
      <c r="N1610" s="2" t="n">
        <f aca="false">ROUND((K1610+L1610)*M1610,0)</f>
        <v>10</v>
      </c>
      <c r="O1610" s="10" t="str">
        <f aca="false">IF(AND(G1610="Engaging",J1610&gt;Parâmetros!$B$6),"Sim","Não")</f>
        <v>Sim</v>
      </c>
      <c r="P1610" s="32" t="str">
        <f aca="false">IF(O1610="Sim","R",IF(N1610&gt;=Parâmetros!$B$39,"A",IF(N1610&gt;=Parâmetros!$B$40,"B",IF(N1610&gt;=Parâmetros!$B$41,"C","D"))))</f>
        <v>R</v>
      </c>
      <c r="Q1610" s="10" t="str">
        <f aca="false">IF(F1610="","Completar cadastro","")</f>
        <v>Completar cadastro</v>
      </c>
      <c r="R1610" s="10" t="str">
        <f aca="false">INDEX(Parâmetros!$D$39:$D$43,MATCH(P1610,Parâmetros!$A$39:$A$43,0))</f>
        <v>Reciclar: requalificar, reengajar ou encerrar</v>
      </c>
    </row>
    <row r="1611" customFormat="false" ht="15" hidden="false" customHeight="false" outlineLevel="0" collapsed="false">
      <c r="A1611" s="10" t="s">
        <v>1857</v>
      </c>
      <c r="B1611" s="10" t="s">
        <v>68</v>
      </c>
      <c r="C1611" s="10" t="s">
        <v>65</v>
      </c>
      <c r="D1611" s="10" t="s">
        <v>160</v>
      </c>
      <c r="E1611" s="10" t="s">
        <v>49</v>
      </c>
      <c r="F1611" s="10"/>
      <c r="G1611" s="10" t="s">
        <v>162</v>
      </c>
      <c r="H1611" s="30" t="n">
        <v>42816</v>
      </c>
      <c r="I1611" s="8" t="n">
        <f aca="false">INDEX(Parâmetros!$C$13:$C$19,MATCH(E1611,Parâmetros!$A$13:$A$19,0))</f>
        <v>3393</v>
      </c>
      <c r="J1611" s="26" t="n">
        <f aca="false">IF(H1611="","",Parâmetros!$B$5-H1611)</f>
        <v>284</v>
      </c>
      <c r="K1611" s="10" t="n">
        <f aca="false">INDEX(Parâmetros!$D$13:$D$19,MATCH(E1611,Parâmetros!$A$13:$A$19,0))</f>
        <v>40</v>
      </c>
      <c r="L1611" s="10" t="n">
        <f aca="false">IF(G1611="Prospecting",Parâmetros!$B$9,IF(J1611&gt;Parâmetros!$B$6,0,INDEX(Parâmetros!$C$24:$C$26,MATCH(J1611,Parâmetros!$A$24:$A$26,1))))</f>
        <v>0</v>
      </c>
      <c r="M1611" s="31" t="n">
        <f aca="false">IF(G1611="Prospecting",1,INDEX(Parâmetros!$C$32:$C$35,MATCH(J1611,Parâmetros!$A$32:$A$35,1)))</f>
        <v>0.25</v>
      </c>
      <c r="N1611" s="2" t="n">
        <f aca="false">ROUND((K1611+L1611)*M1611,0)</f>
        <v>10</v>
      </c>
      <c r="O1611" s="10" t="str">
        <f aca="false">IF(AND(G1611="Engaging",J1611&gt;Parâmetros!$B$6),"Sim","Não")</f>
        <v>Sim</v>
      </c>
      <c r="P1611" s="32" t="str">
        <f aca="false">IF(O1611="Sim","R",IF(N1611&gt;=Parâmetros!$B$39,"A",IF(N1611&gt;=Parâmetros!$B$40,"B",IF(N1611&gt;=Parâmetros!$B$41,"C","D"))))</f>
        <v>R</v>
      </c>
      <c r="Q1611" s="10" t="str">
        <f aca="false">IF(F1611="","Completar cadastro","")</f>
        <v>Completar cadastro</v>
      </c>
      <c r="R1611" s="10" t="str">
        <f aca="false">INDEX(Parâmetros!$D$39:$D$43,MATCH(P1611,Parâmetros!$A$39:$A$43,0))</f>
        <v>Reciclar: requalificar, reengajar ou encerrar</v>
      </c>
    </row>
    <row r="1612" customFormat="false" ht="15" hidden="false" customHeight="false" outlineLevel="0" collapsed="false">
      <c r="A1612" s="10" t="s">
        <v>1858</v>
      </c>
      <c r="B1612" s="10" t="s">
        <v>86</v>
      </c>
      <c r="C1612" s="10" t="s">
        <v>85</v>
      </c>
      <c r="D1612" s="10" t="s">
        <v>165</v>
      </c>
      <c r="E1612" s="10" t="s">
        <v>49</v>
      </c>
      <c r="F1612" s="10" t="s">
        <v>606</v>
      </c>
      <c r="G1612" s="10" t="s">
        <v>162</v>
      </c>
      <c r="H1612" s="30" t="n">
        <v>42818</v>
      </c>
      <c r="I1612" s="8" t="n">
        <f aca="false">INDEX(Parâmetros!$C$13:$C$19,MATCH(E1612,Parâmetros!$A$13:$A$19,0))</f>
        <v>3393</v>
      </c>
      <c r="J1612" s="26" t="n">
        <f aca="false">IF(H1612="","",Parâmetros!$B$5-H1612)</f>
        <v>282</v>
      </c>
      <c r="K1612" s="10" t="n">
        <f aca="false">INDEX(Parâmetros!$D$13:$D$19,MATCH(E1612,Parâmetros!$A$13:$A$19,0))</f>
        <v>40</v>
      </c>
      <c r="L1612" s="10" t="n">
        <f aca="false">IF(G1612="Prospecting",Parâmetros!$B$9,IF(J1612&gt;Parâmetros!$B$6,0,INDEX(Parâmetros!$C$24:$C$26,MATCH(J1612,Parâmetros!$A$24:$A$26,1))))</f>
        <v>0</v>
      </c>
      <c r="M1612" s="31" t="n">
        <f aca="false">IF(G1612="Prospecting",1,INDEX(Parâmetros!$C$32:$C$35,MATCH(J1612,Parâmetros!$A$32:$A$35,1)))</f>
        <v>0.25</v>
      </c>
      <c r="N1612" s="2" t="n">
        <f aca="false">ROUND((K1612+L1612)*M1612,0)</f>
        <v>10</v>
      </c>
      <c r="O1612" s="10" t="str">
        <f aca="false">IF(AND(G1612="Engaging",J1612&gt;Parâmetros!$B$6),"Sim","Não")</f>
        <v>Sim</v>
      </c>
      <c r="P1612" s="32" t="str">
        <f aca="false">IF(O1612="Sim","R",IF(N1612&gt;=Parâmetros!$B$39,"A",IF(N1612&gt;=Parâmetros!$B$40,"B",IF(N1612&gt;=Parâmetros!$B$41,"C","D"))))</f>
        <v>R</v>
      </c>
      <c r="Q1612" s="10" t="str">
        <f aca="false">IF(F1612="","Completar cadastro","")</f>
        <v/>
      </c>
      <c r="R1612" s="10" t="str">
        <f aca="false">INDEX(Parâmetros!$D$39:$D$43,MATCH(P1612,Parâmetros!$A$39:$A$43,0))</f>
        <v>Reciclar: requalificar, reengajar ou encerrar</v>
      </c>
    </row>
    <row r="1613" customFormat="false" ht="15" hidden="false" customHeight="false" outlineLevel="0" collapsed="false">
      <c r="A1613" s="10" t="s">
        <v>1859</v>
      </c>
      <c r="B1613" s="10" t="s">
        <v>67</v>
      </c>
      <c r="C1613" s="10" t="s">
        <v>65</v>
      </c>
      <c r="D1613" s="10" t="s">
        <v>160</v>
      </c>
      <c r="E1613" s="10" t="s">
        <v>49</v>
      </c>
      <c r="F1613" s="10"/>
      <c r="G1613" s="10" t="s">
        <v>162</v>
      </c>
      <c r="H1613" s="30" t="n">
        <v>42818</v>
      </c>
      <c r="I1613" s="8" t="n">
        <f aca="false">INDEX(Parâmetros!$C$13:$C$19,MATCH(E1613,Parâmetros!$A$13:$A$19,0))</f>
        <v>3393</v>
      </c>
      <c r="J1613" s="26" t="n">
        <f aca="false">IF(H1613="","",Parâmetros!$B$5-H1613)</f>
        <v>282</v>
      </c>
      <c r="K1613" s="10" t="n">
        <f aca="false">INDEX(Parâmetros!$D$13:$D$19,MATCH(E1613,Parâmetros!$A$13:$A$19,0))</f>
        <v>40</v>
      </c>
      <c r="L1613" s="10" t="n">
        <f aca="false">IF(G1613="Prospecting",Parâmetros!$B$9,IF(J1613&gt;Parâmetros!$B$6,0,INDEX(Parâmetros!$C$24:$C$26,MATCH(J1613,Parâmetros!$A$24:$A$26,1))))</f>
        <v>0</v>
      </c>
      <c r="M1613" s="31" t="n">
        <f aca="false">IF(G1613="Prospecting",1,INDEX(Parâmetros!$C$32:$C$35,MATCH(J1613,Parâmetros!$A$32:$A$35,1)))</f>
        <v>0.25</v>
      </c>
      <c r="N1613" s="2" t="n">
        <f aca="false">ROUND((K1613+L1613)*M1613,0)</f>
        <v>10</v>
      </c>
      <c r="O1613" s="10" t="str">
        <f aca="false">IF(AND(G1613="Engaging",J1613&gt;Parâmetros!$B$6),"Sim","Não")</f>
        <v>Sim</v>
      </c>
      <c r="P1613" s="32" t="str">
        <f aca="false">IF(O1613="Sim","R",IF(N1613&gt;=Parâmetros!$B$39,"A",IF(N1613&gt;=Parâmetros!$B$40,"B",IF(N1613&gt;=Parâmetros!$B$41,"C","D"))))</f>
        <v>R</v>
      </c>
      <c r="Q1613" s="10" t="str">
        <f aca="false">IF(F1613="","Completar cadastro","")</f>
        <v>Completar cadastro</v>
      </c>
      <c r="R1613" s="10" t="str">
        <f aca="false">INDEX(Parâmetros!$D$39:$D$43,MATCH(P1613,Parâmetros!$A$39:$A$43,0))</f>
        <v>Reciclar: requalificar, reengajar ou encerrar</v>
      </c>
    </row>
    <row r="1614" customFormat="false" ht="15" hidden="false" customHeight="false" outlineLevel="0" collapsed="false">
      <c r="A1614" s="10" t="s">
        <v>1860</v>
      </c>
      <c r="B1614" s="10" t="s">
        <v>86</v>
      </c>
      <c r="C1614" s="10" t="s">
        <v>85</v>
      </c>
      <c r="D1614" s="10" t="s">
        <v>165</v>
      </c>
      <c r="E1614" s="10" t="s">
        <v>49</v>
      </c>
      <c r="F1614" s="10"/>
      <c r="G1614" s="10" t="s">
        <v>162</v>
      </c>
      <c r="H1614" s="30" t="n">
        <v>42819</v>
      </c>
      <c r="I1614" s="8" t="n">
        <f aca="false">INDEX(Parâmetros!$C$13:$C$19,MATCH(E1614,Parâmetros!$A$13:$A$19,0))</f>
        <v>3393</v>
      </c>
      <c r="J1614" s="26" t="n">
        <f aca="false">IF(H1614="","",Parâmetros!$B$5-H1614)</f>
        <v>281</v>
      </c>
      <c r="K1614" s="10" t="n">
        <f aca="false">INDEX(Parâmetros!$D$13:$D$19,MATCH(E1614,Parâmetros!$A$13:$A$19,0))</f>
        <v>40</v>
      </c>
      <c r="L1614" s="10" t="n">
        <f aca="false">IF(G1614="Prospecting",Parâmetros!$B$9,IF(J1614&gt;Parâmetros!$B$6,0,INDEX(Parâmetros!$C$24:$C$26,MATCH(J1614,Parâmetros!$A$24:$A$26,1))))</f>
        <v>0</v>
      </c>
      <c r="M1614" s="31" t="n">
        <f aca="false">IF(G1614="Prospecting",1,INDEX(Parâmetros!$C$32:$C$35,MATCH(J1614,Parâmetros!$A$32:$A$35,1)))</f>
        <v>0.25</v>
      </c>
      <c r="N1614" s="2" t="n">
        <f aca="false">ROUND((K1614+L1614)*M1614,0)</f>
        <v>10</v>
      </c>
      <c r="O1614" s="10" t="str">
        <f aca="false">IF(AND(G1614="Engaging",J1614&gt;Parâmetros!$B$6),"Sim","Não")</f>
        <v>Sim</v>
      </c>
      <c r="P1614" s="32" t="str">
        <f aca="false">IF(O1614="Sim","R",IF(N1614&gt;=Parâmetros!$B$39,"A",IF(N1614&gt;=Parâmetros!$B$40,"B",IF(N1614&gt;=Parâmetros!$B$41,"C","D"))))</f>
        <v>R</v>
      </c>
      <c r="Q1614" s="10" t="str">
        <f aca="false">IF(F1614="","Completar cadastro","")</f>
        <v>Completar cadastro</v>
      </c>
      <c r="R1614" s="10" t="str">
        <f aca="false">INDEX(Parâmetros!$D$39:$D$43,MATCH(P1614,Parâmetros!$A$39:$A$43,0))</f>
        <v>Reciclar: requalificar, reengajar ou encerrar</v>
      </c>
    </row>
    <row r="1615" customFormat="false" ht="15" hidden="false" customHeight="false" outlineLevel="0" collapsed="false">
      <c r="A1615" s="10" t="s">
        <v>1861</v>
      </c>
      <c r="B1615" s="10" t="s">
        <v>96</v>
      </c>
      <c r="C1615" s="10" t="s">
        <v>92</v>
      </c>
      <c r="D1615" s="10" t="s">
        <v>160</v>
      </c>
      <c r="E1615" s="10" t="s">
        <v>49</v>
      </c>
      <c r="F1615" s="10"/>
      <c r="G1615" s="10" t="s">
        <v>162</v>
      </c>
      <c r="H1615" s="30" t="n">
        <v>42819</v>
      </c>
      <c r="I1615" s="8" t="n">
        <f aca="false">INDEX(Parâmetros!$C$13:$C$19,MATCH(E1615,Parâmetros!$A$13:$A$19,0))</f>
        <v>3393</v>
      </c>
      <c r="J1615" s="26" t="n">
        <f aca="false">IF(H1615="","",Parâmetros!$B$5-H1615)</f>
        <v>281</v>
      </c>
      <c r="K1615" s="10" t="n">
        <f aca="false">INDEX(Parâmetros!$D$13:$D$19,MATCH(E1615,Parâmetros!$A$13:$A$19,0))</f>
        <v>40</v>
      </c>
      <c r="L1615" s="10" t="n">
        <f aca="false">IF(G1615="Prospecting",Parâmetros!$B$9,IF(J1615&gt;Parâmetros!$B$6,0,INDEX(Parâmetros!$C$24:$C$26,MATCH(J1615,Parâmetros!$A$24:$A$26,1))))</f>
        <v>0</v>
      </c>
      <c r="M1615" s="31" t="n">
        <f aca="false">IF(G1615="Prospecting",1,INDEX(Parâmetros!$C$32:$C$35,MATCH(J1615,Parâmetros!$A$32:$A$35,1)))</f>
        <v>0.25</v>
      </c>
      <c r="N1615" s="2" t="n">
        <f aca="false">ROUND((K1615+L1615)*M1615,0)</f>
        <v>10</v>
      </c>
      <c r="O1615" s="10" t="str">
        <f aca="false">IF(AND(G1615="Engaging",J1615&gt;Parâmetros!$B$6),"Sim","Não")</f>
        <v>Sim</v>
      </c>
      <c r="P1615" s="32" t="str">
        <f aca="false">IF(O1615="Sim","R",IF(N1615&gt;=Parâmetros!$B$39,"A",IF(N1615&gt;=Parâmetros!$B$40,"B",IF(N1615&gt;=Parâmetros!$B$41,"C","D"))))</f>
        <v>R</v>
      </c>
      <c r="Q1615" s="10" t="str">
        <f aca="false">IF(F1615="","Completar cadastro","")</f>
        <v>Completar cadastro</v>
      </c>
      <c r="R1615" s="10" t="str">
        <f aca="false">INDEX(Parâmetros!$D$39:$D$43,MATCH(P1615,Parâmetros!$A$39:$A$43,0))</f>
        <v>Reciclar: requalificar, reengajar ou encerrar</v>
      </c>
    </row>
    <row r="1616" customFormat="false" ht="15" hidden="false" customHeight="false" outlineLevel="0" collapsed="false">
      <c r="A1616" s="10" t="s">
        <v>1862</v>
      </c>
      <c r="B1616" s="10" t="s">
        <v>62</v>
      </c>
      <c r="C1616" s="10" t="s">
        <v>58</v>
      </c>
      <c r="D1616" s="10" t="s">
        <v>165</v>
      </c>
      <c r="E1616" s="10" t="s">
        <v>49</v>
      </c>
      <c r="F1616" s="10" t="s">
        <v>247</v>
      </c>
      <c r="G1616" s="10" t="s">
        <v>162</v>
      </c>
      <c r="H1616" s="30" t="n">
        <v>42819</v>
      </c>
      <c r="I1616" s="8" t="n">
        <f aca="false">INDEX(Parâmetros!$C$13:$C$19,MATCH(E1616,Parâmetros!$A$13:$A$19,0))</f>
        <v>3393</v>
      </c>
      <c r="J1616" s="26" t="n">
        <f aca="false">IF(H1616="","",Parâmetros!$B$5-H1616)</f>
        <v>281</v>
      </c>
      <c r="K1616" s="10" t="n">
        <f aca="false">INDEX(Parâmetros!$D$13:$D$19,MATCH(E1616,Parâmetros!$A$13:$A$19,0))</f>
        <v>40</v>
      </c>
      <c r="L1616" s="10" t="n">
        <f aca="false">IF(G1616="Prospecting",Parâmetros!$B$9,IF(J1616&gt;Parâmetros!$B$6,0,INDEX(Parâmetros!$C$24:$C$26,MATCH(J1616,Parâmetros!$A$24:$A$26,1))))</f>
        <v>0</v>
      </c>
      <c r="M1616" s="31" t="n">
        <f aca="false">IF(G1616="Prospecting",1,INDEX(Parâmetros!$C$32:$C$35,MATCH(J1616,Parâmetros!$A$32:$A$35,1)))</f>
        <v>0.25</v>
      </c>
      <c r="N1616" s="2" t="n">
        <f aca="false">ROUND((K1616+L1616)*M1616,0)</f>
        <v>10</v>
      </c>
      <c r="O1616" s="10" t="str">
        <f aca="false">IF(AND(G1616="Engaging",J1616&gt;Parâmetros!$B$6),"Sim","Não")</f>
        <v>Sim</v>
      </c>
      <c r="P1616" s="32" t="str">
        <f aca="false">IF(O1616="Sim","R",IF(N1616&gt;=Parâmetros!$B$39,"A",IF(N1616&gt;=Parâmetros!$B$40,"B",IF(N1616&gt;=Parâmetros!$B$41,"C","D"))))</f>
        <v>R</v>
      </c>
      <c r="Q1616" s="10" t="str">
        <f aca="false">IF(F1616="","Completar cadastro","")</f>
        <v/>
      </c>
      <c r="R1616" s="10" t="str">
        <f aca="false">INDEX(Parâmetros!$D$39:$D$43,MATCH(P1616,Parâmetros!$A$39:$A$43,0))</f>
        <v>Reciclar: requalificar, reengajar ou encerrar</v>
      </c>
    </row>
    <row r="1617" customFormat="false" ht="15" hidden="false" customHeight="false" outlineLevel="0" collapsed="false">
      <c r="A1617" s="10" t="s">
        <v>1863</v>
      </c>
      <c r="B1617" s="10" t="s">
        <v>67</v>
      </c>
      <c r="C1617" s="10" t="s">
        <v>65</v>
      </c>
      <c r="D1617" s="10" t="s">
        <v>160</v>
      </c>
      <c r="E1617" s="10" t="s">
        <v>49</v>
      </c>
      <c r="F1617" s="10"/>
      <c r="G1617" s="10" t="s">
        <v>162</v>
      </c>
      <c r="H1617" s="30" t="n">
        <v>42820</v>
      </c>
      <c r="I1617" s="8" t="n">
        <f aca="false">INDEX(Parâmetros!$C$13:$C$19,MATCH(E1617,Parâmetros!$A$13:$A$19,0))</f>
        <v>3393</v>
      </c>
      <c r="J1617" s="26" t="n">
        <f aca="false">IF(H1617="","",Parâmetros!$B$5-H1617)</f>
        <v>280</v>
      </c>
      <c r="K1617" s="10" t="n">
        <f aca="false">INDEX(Parâmetros!$D$13:$D$19,MATCH(E1617,Parâmetros!$A$13:$A$19,0))</f>
        <v>40</v>
      </c>
      <c r="L1617" s="10" t="n">
        <f aca="false">IF(G1617="Prospecting",Parâmetros!$B$9,IF(J1617&gt;Parâmetros!$B$6,0,INDEX(Parâmetros!$C$24:$C$26,MATCH(J1617,Parâmetros!$A$24:$A$26,1))))</f>
        <v>0</v>
      </c>
      <c r="M1617" s="31" t="n">
        <f aca="false">IF(G1617="Prospecting",1,INDEX(Parâmetros!$C$32:$C$35,MATCH(J1617,Parâmetros!$A$32:$A$35,1)))</f>
        <v>0.25</v>
      </c>
      <c r="N1617" s="2" t="n">
        <f aca="false">ROUND((K1617+L1617)*M1617,0)</f>
        <v>10</v>
      </c>
      <c r="O1617" s="10" t="str">
        <f aca="false">IF(AND(G1617="Engaging",J1617&gt;Parâmetros!$B$6),"Sim","Não")</f>
        <v>Sim</v>
      </c>
      <c r="P1617" s="32" t="str">
        <f aca="false">IF(O1617="Sim","R",IF(N1617&gt;=Parâmetros!$B$39,"A",IF(N1617&gt;=Parâmetros!$B$40,"B",IF(N1617&gt;=Parâmetros!$B$41,"C","D"))))</f>
        <v>R</v>
      </c>
      <c r="Q1617" s="10" t="str">
        <f aca="false">IF(F1617="","Completar cadastro","")</f>
        <v>Completar cadastro</v>
      </c>
      <c r="R1617" s="10" t="str">
        <f aca="false">INDEX(Parâmetros!$D$39:$D$43,MATCH(P1617,Parâmetros!$A$39:$A$43,0))</f>
        <v>Reciclar: requalificar, reengajar ou encerrar</v>
      </c>
    </row>
    <row r="1618" customFormat="false" ht="15" hidden="false" customHeight="false" outlineLevel="0" collapsed="false">
      <c r="A1618" s="10" t="s">
        <v>1864</v>
      </c>
      <c r="B1618" s="10" t="s">
        <v>62</v>
      </c>
      <c r="C1618" s="10" t="s">
        <v>58</v>
      </c>
      <c r="D1618" s="10" t="s">
        <v>165</v>
      </c>
      <c r="E1618" s="10" t="s">
        <v>49</v>
      </c>
      <c r="F1618" s="10"/>
      <c r="G1618" s="10" t="s">
        <v>162</v>
      </c>
      <c r="H1618" s="30" t="n">
        <v>42825</v>
      </c>
      <c r="I1618" s="8" t="n">
        <f aca="false">INDEX(Parâmetros!$C$13:$C$19,MATCH(E1618,Parâmetros!$A$13:$A$19,0))</f>
        <v>3393</v>
      </c>
      <c r="J1618" s="26" t="n">
        <f aca="false">IF(H1618="","",Parâmetros!$B$5-H1618)</f>
        <v>275</v>
      </c>
      <c r="K1618" s="10" t="n">
        <f aca="false">INDEX(Parâmetros!$D$13:$D$19,MATCH(E1618,Parâmetros!$A$13:$A$19,0))</f>
        <v>40</v>
      </c>
      <c r="L1618" s="10" t="n">
        <f aca="false">IF(G1618="Prospecting",Parâmetros!$B$9,IF(J1618&gt;Parâmetros!$B$6,0,INDEX(Parâmetros!$C$24:$C$26,MATCH(J1618,Parâmetros!$A$24:$A$26,1))))</f>
        <v>0</v>
      </c>
      <c r="M1618" s="31" t="n">
        <f aca="false">IF(G1618="Prospecting",1,INDEX(Parâmetros!$C$32:$C$35,MATCH(J1618,Parâmetros!$A$32:$A$35,1)))</f>
        <v>0.25</v>
      </c>
      <c r="N1618" s="2" t="n">
        <f aca="false">ROUND((K1618+L1618)*M1618,0)</f>
        <v>10</v>
      </c>
      <c r="O1618" s="10" t="str">
        <f aca="false">IF(AND(G1618="Engaging",J1618&gt;Parâmetros!$B$6),"Sim","Não")</f>
        <v>Sim</v>
      </c>
      <c r="P1618" s="32" t="str">
        <f aca="false">IF(O1618="Sim","R",IF(N1618&gt;=Parâmetros!$B$39,"A",IF(N1618&gt;=Parâmetros!$B$40,"B",IF(N1618&gt;=Parâmetros!$B$41,"C","D"))))</f>
        <v>R</v>
      </c>
      <c r="Q1618" s="10" t="str">
        <f aca="false">IF(F1618="","Completar cadastro","")</f>
        <v>Completar cadastro</v>
      </c>
      <c r="R1618" s="10" t="str">
        <f aca="false">INDEX(Parâmetros!$D$39:$D$43,MATCH(P1618,Parâmetros!$A$39:$A$43,0))</f>
        <v>Reciclar: requalificar, reengajar ou encerrar</v>
      </c>
    </row>
    <row r="1619" customFormat="false" ht="15" hidden="false" customHeight="false" outlineLevel="0" collapsed="false">
      <c r="A1619" s="10" t="s">
        <v>1865</v>
      </c>
      <c r="B1619" s="10" t="s">
        <v>67</v>
      </c>
      <c r="C1619" s="10" t="s">
        <v>65</v>
      </c>
      <c r="D1619" s="10" t="s">
        <v>160</v>
      </c>
      <c r="E1619" s="10" t="s">
        <v>49</v>
      </c>
      <c r="F1619" s="10"/>
      <c r="G1619" s="10" t="s">
        <v>162</v>
      </c>
      <c r="H1619" s="30" t="n">
        <v>42826</v>
      </c>
      <c r="I1619" s="8" t="n">
        <f aca="false">INDEX(Parâmetros!$C$13:$C$19,MATCH(E1619,Parâmetros!$A$13:$A$19,0))</f>
        <v>3393</v>
      </c>
      <c r="J1619" s="26" t="n">
        <f aca="false">IF(H1619="","",Parâmetros!$B$5-H1619)</f>
        <v>274</v>
      </c>
      <c r="K1619" s="10" t="n">
        <f aca="false">INDEX(Parâmetros!$D$13:$D$19,MATCH(E1619,Parâmetros!$A$13:$A$19,0))</f>
        <v>40</v>
      </c>
      <c r="L1619" s="10" t="n">
        <f aca="false">IF(G1619="Prospecting",Parâmetros!$B$9,IF(J1619&gt;Parâmetros!$B$6,0,INDEX(Parâmetros!$C$24:$C$26,MATCH(J1619,Parâmetros!$A$24:$A$26,1))))</f>
        <v>0</v>
      </c>
      <c r="M1619" s="31" t="n">
        <f aca="false">IF(G1619="Prospecting",1,INDEX(Parâmetros!$C$32:$C$35,MATCH(J1619,Parâmetros!$A$32:$A$35,1)))</f>
        <v>0.25</v>
      </c>
      <c r="N1619" s="2" t="n">
        <f aca="false">ROUND((K1619+L1619)*M1619,0)</f>
        <v>10</v>
      </c>
      <c r="O1619" s="10" t="str">
        <f aca="false">IF(AND(G1619="Engaging",J1619&gt;Parâmetros!$B$6),"Sim","Não")</f>
        <v>Sim</v>
      </c>
      <c r="P1619" s="32" t="str">
        <f aca="false">IF(O1619="Sim","R",IF(N1619&gt;=Parâmetros!$B$39,"A",IF(N1619&gt;=Parâmetros!$B$40,"B",IF(N1619&gt;=Parâmetros!$B$41,"C","D"))))</f>
        <v>R</v>
      </c>
      <c r="Q1619" s="10" t="str">
        <f aca="false">IF(F1619="","Completar cadastro","")</f>
        <v>Completar cadastro</v>
      </c>
      <c r="R1619" s="10" t="str">
        <f aca="false">INDEX(Parâmetros!$D$39:$D$43,MATCH(P1619,Parâmetros!$A$39:$A$43,0))</f>
        <v>Reciclar: requalificar, reengajar ou encerrar</v>
      </c>
    </row>
    <row r="1620" customFormat="false" ht="15" hidden="false" customHeight="false" outlineLevel="0" collapsed="false">
      <c r="A1620" s="10" t="s">
        <v>1866</v>
      </c>
      <c r="B1620" s="10" t="s">
        <v>61</v>
      </c>
      <c r="C1620" s="10" t="s">
        <v>58</v>
      </c>
      <c r="D1620" s="10" t="s">
        <v>165</v>
      </c>
      <c r="E1620" s="10" t="s">
        <v>49</v>
      </c>
      <c r="F1620" s="10" t="s">
        <v>432</v>
      </c>
      <c r="G1620" s="10" t="s">
        <v>162</v>
      </c>
      <c r="H1620" s="30" t="n">
        <v>42826</v>
      </c>
      <c r="I1620" s="8" t="n">
        <f aca="false">INDEX(Parâmetros!$C$13:$C$19,MATCH(E1620,Parâmetros!$A$13:$A$19,0))</f>
        <v>3393</v>
      </c>
      <c r="J1620" s="26" t="n">
        <f aca="false">IF(H1620="","",Parâmetros!$B$5-H1620)</f>
        <v>274</v>
      </c>
      <c r="K1620" s="10" t="n">
        <f aca="false">INDEX(Parâmetros!$D$13:$D$19,MATCH(E1620,Parâmetros!$A$13:$A$19,0))</f>
        <v>40</v>
      </c>
      <c r="L1620" s="10" t="n">
        <f aca="false">IF(G1620="Prospecting",Parâmetros!$B$9,IF(J1620&gt;Parâmetros!$B$6,0,INDEX(Parâmetros!$C$24:$C$26,MATCH(J1620,Parâmetros!$A$24:$A$26,1))))</f>
        <v>0</v>
      </c>
      <c r="M1620" s="31" t="n">
        <f aca="false">IF(G1620="Prospecting",1,INDEX(Parâmetros!$C$32:$C$35,MATCH(J1620,Parâmetros!$A$32:$A$35,1)))</f>
        <v>0.25</v>
      </c>
      <c r="N1620" s="2" t="n">
        <f aca="false">ROUND((K1620+L1620)*M1620,0)</f>
        <v>10</v>
      </c>
      <c r="O1620" s="10" t="str">
        <f aca="false">IF(AND(G1620="Engaging",J1620&gt;Parâmetros!$B$6),"Sim","Não")</f>
        <v>Sim</v>
      </c>
      <c r="P1620" s="32" t="str">
        <f aca="false">IF(O1620="Sim","R",IF(N1620&gt;=Parâmetros!$B$39,"A",IF(N1620&gt;=Parâmetros!$B$40,"B",IF(N1620&gt;=Parâmetros!$B$41,"C","D"))))</f>
        <v>R</v>
      </c>
      <c r="Q1620" s="10" t="str">
        <f aca="false">IF(F1620="","Completar cadastro","")</f>
        <v/>
      </c>
      <c r="R1620" s="10" t="str">
        <f aca="false">INDEX(Parâmetros!$D$39:$D$43,MATCH(P1620,Parâmetros!$A$39:$A$43,0))</f>
        <v>Reciclar: requalificar, reengajar ou encerrar</v>
      </c>
    </row>
    <row r="1621" customFormat="false" ht="15" hidden="false" customHeight="false" outlineLevel="0" collapsed="false">
      <c r="A1621" s="10" t="s">
        <v>1867</v>
      </c>
      <c r="B1621" s="10" t="s">
        <v>84</v>
      </c>
      <c r="C1621" s="10" t="s">
        <v>85</v>
      </c>
      <c r="D1621" s="10" t="s">
        <v>165</v>
      </c>
      <c r="E1621" s="10" t="s">
        <v>49</v>
      </c>
      <c r="F1621" s="10"/>
      <c r="G1621" s="10" t="s">
        <v>162</v>
      </c>
      <c r="H1621" s="30" t="n">
        <v>42827</v>
      </c>
      <c r="I1621" s="8" t="n">
        <f aca="false">INDEX(Parâmetros!$C$13:$C$19,MATCH(E1621,Parâmetros!$A$13:$A$19,0))</f>
        <v>3393</v>
      </c>
      <c r="J1621" s="26" t="n">
        <f aca="false">IF(H1621="","",Parâmetros!$B$5-H1621)</f>
        <v>273</v>
      </c>
      <c r="K1621" s="10" t="n">
        <f aca="false">INDEX(Parâmetros!$D$13:$D$19,MATCH(E1621,Parâmetros!$A$13:$A$19,0))</f>
        <v>40</v>
      </c>
      <c r="L1621" s="10" t="n">
        <f aca="false">IF(G1621="Prospecting",Parâmetros!$B$9,IF(J1621&gt;Parâmetros!$B$6,0,INDEX(Parâmetros!$C$24:$C$26,MATCH(J1621,Parâmetros!$A$24:$A$26,1))))</f>
        <v>0</v>
      </c>
      <c r="M1621" s="31" t="n">
        <f aca="false">IF(G1621="Prospecting",1,INDEX(Parâmetros!$C$32:$C$35,MATCH(J1621,Parâmetros!$A$32:$A$35,1)))</f>
        <v>0.25</v>
      </c>
      <c r="N1621" s="2" t="n">
        <f aca="false">ROUND((K1621+L1621)*M1621,0)</f>
        <v>10</v>
      </c>
      <c r="O1621" s="10" t="str">
        <f aca="false">IF(AND(G1621="Engaging",J1621&gt;Parâmetros!$B$6),"Sim","Não")</f>
        <v>Sim</v>
      </c>
      <c r="P1621" s="32" t="str">
        <f aca="false">IF(O1621="Sim","R",IF(N1621&gt;=Parâmetros!$B$39,"A",IF(N1621&gt;=Parâmetros!$B$40,"B",IF(N1621&gt;=Parâmetros!$B$41,"C","D"))))</f>
        <v>R</v>
      </c>
      <c r="Q1621" s="10" t="str">
        <f aca="false">IF(F1621="","Completar cadastro","")</f>
        <v>Completar cadastro</v>
      </c>
      <c r="R1621" s="10" t="str">
        <f aca="false">INDEX(Parâmetros!$D$39:$D$43,MATCH(P1621,Parâmetros!$A$39:$A$43,0))</f>
        <v>Reciclar: requalificar, reengajar ou encerrar</v>
      </c>
    </row>
    <row r="1622" customFormat="false" ht="15" hidden="false" customHeight="false" outlineLevel="0" collapsed="false">
      <c r="A1622" s="10" t="s">
        <v>1868</v>
      </c>
      <c r="B1622" s="10" t="s">
        <v>97</v>
      </c>
      <c r="C1622" s="10" t="s">
        <v>92</v>
      </c>
      <c r="D1622" s="10" t="s">
        <v>160</v>
      </c>
      <c r="E1622" s="10" t="s">
        <v>51</v>
      </c>
      <c r="F1622" s="10"/>
      <c r="G1622" s="10" t="s">
        <v>162</v>
      </c>
      <c r="H1622" s="30" t="n">
        <v>42830</v>
      </c>
      <c r="I1622" s="8" t="n">
        <f aca="false">INDEX(Parâmetros!$C$13:$C$19,MATCH(E1622,Parâmetros!$A$13:$A$19,0))</f>
        <v>550</v>
      </c>
      <c r="J1622" s="26" t="n">
        <f aca="false">IF(H1622="","",Parâmetros!$B$5-H1622)</f>
        <v>270</v>
      </c>
      <c r="K1622" s="10" t="n">
        <f aca="false">INDEX(Parâmetros!$D$13:$D$19,MATCH(E1622,Parâmetros!$A$13:$A$19,0))</f>
        <v>22</v>
      </c>
      <c r="L1622" s="10" t="n">
        <f aca="false">IF(G1622="Prospecting",Parâmetros!$B$9,IF(J1622&gt;Parâmetros!$B$6,0,INDEX(Parâmetros!$C$24:$C$26,MATCH(J1622,Parâmetros!$A$24:$A$26,1))))</f>
        <v>0</v>
      </c>
      <c r="M1622" s="31" t="n">
        <f aca="false">IF(G1622="Prospecting",1,INDEX(Parâmetros!$C$32:$C$35,MATCH(J1622,Parâmetros!$A$32:$A$35,1)))</f>
        <v>0.4</v>
      </c>
      <c r="N1622" s="2" t="n">
        <f aca="false">ROUND((K1622+L1622)*M1622,0)</f>
        <v>9</v>
      </c>
      <c r="O1622" s="10" t="str">
        <f aca="false">IF(AND(G1622="Engaging",J1622&gt;Parâmetros!$B$6),"Sim","Não")</f>
        <v>Sim</v>
      </c>
      <c r="P1622" s="32" t="str">
        <f aca="false">IF(O1622="Sim","R",IF(N1622&gt;=Parâmetros!$B$39,"A",IF(N1622&gt;=Parâmetros!$B$40,"B",IF(N1622&gt;=Parâmetros!$B$41,"C","D"))))</f>
        <v>R</v>
      </c>
      <c r="Q1622" s="10" t="str">
        <f aca="false">IF(F1622="","Completar cadastro","")</f>
        <v>Completar cadastro</v>
      </c>
      <c r="R1622" s="10" t="str">
        <f aca="false">INDEX(Parâmetros!$D$39:$D$43,MATCH(P1622,Parâmetros!$A$39:$A$43,0))</f>
        <v>Reciclar: requalificar, reengajar ou encerrar</v>
      </c>
    </row>
    <row r="1623" customFormat="false" ht="15" hidden="false" customHeight="false" outlineLevel="0" collapsed="false">
      <c r="A1623" s="10" t="s">
        <v>1869</v>
      </c>
      <c r="B1623" s="10" t="s">
        <v>95</v>
      </c>
      <c r="C1623" s="10" t="s">
        <v>92</v>
      </c>
      <c r="D1623" s="10" t="s">
        <v>160</v>
      </c>
      <c r="E1623" s="10" t="s">
        <v>51</v>
      </c>
      <c r="F1623" s="10"/>
      <c r="G1623" s="10" t="s">
        <v>162</v>
      </c>
      <c r="H1623" s="30" t="n">
        <v>42832</v>
      </c>
      <c r="I1623" s="8" t="n">
        <f aca="false">INDEX(Parâmetros!$C$13:$C$19,MATCH(E1623,Parâmetros!$A$13:$A$19,0))</f>
        <v>550</v>
      </c>
      <c r="J1623" s="26" t="n">
        <f aca="false">IF(H1623="","",Parâmetros!$B$5-H1623)</f>
        <v>268</v>
      </c>
      <c r="K1623" s="10" t="n">
        <f aca="false">INDEX(Parâmetros!$D$13:$D$19,MATCH(E1623,Parâmetros!$A$13:$A$19,0))</f>
        <v>22</v>
      </c>
      <c r="L1623" s="10" t="n">
        <f aca="false">IF(G1623="Prospecting",Parâmetros!$B$9,IF(J1623&gt;Parâmetros!$B$6,0,INDEX(Parâmetros!$C$24:$C$26,MATCH(J1623,Parâmetros!$A$24:$A$26,1))))</f>
        <v>0</v>
      </c>
      <c r="M1623" s="31" t="n">
        <f aca="false">IF(G1623="Prospecting",1,INDEX(Parâmetros!$C$32:$C$35,MATCH(J1623,Parâmetros!$A$32:$A$35,1)))</f>
        <v>0.4</v>
      </c>
      <c r="N1623" s="2" t="n">
        <f aca="false">ROUND((K1623+L1623)*M1623,0)</f>
        <v>9</v>
      </c>
      <c r="O1623" s="10" t="str">
        <f aca="false">IF(AND(G1623="Engaging",J1623&gt;Parâmetros!$B$6),"Sim","Não")</f>
        <v>Sim</v>
      </c>
      <c r="P1623" s="32" t="str">
        <f aca="false">IF(O1623="Sim","R",IF(N1623&gt;=Parâmetros!$B$39,"A",IF(N1623&gt;=Parâmetros!$B$40,"B",IF(N1623&gt;=Parâmetros!$B$41,"C","D"))))</f>
        <v>R</v>
      </c>
      <c r="Q1623" s="10" t="str">
        <f aca="false">IF(F1623="","Completar cadastro","")</f>
        <v>Completar cadastro</v>
      </c>
      <c r="R1623" s="10" t="str">
        <f aca="false">INDEX(Parâmetros!$D$39:$D$43,MATCH(P1623,Parâmetros!$A$39:$A$43,0))</f>
        <v>Reciclar: requalificar, reengajar ou encerrar</v>
      </c>
    </row>
    <row r="1624" customFormat="false" ht="15" hidden="false" customHeight="false" outlineLevel="0" collapsed="false">
      <c r="A1624" s="10" t="s">
        <v>1870</v>
      </c>
      <c r="B1624" s="10" t="s">
        <v>70</v>
      </c>
      <c r="C1624" s="10" t="s">
        <v>65</v>
      </c>
      <c r="D1624" s="10" t="s">
        <v>160</v>
      </c>
      <c r="E1624" s="10" t="s">
        <v>51</v>
      </c>
      <c r="F1624" s="10"/>
      <c r="G1624" s="10" t="s">
        <v>162</v>
      </c>
      <c r="H1624" s="30" t="n">
        <v>42832</v>
      </c>
      <c r="I1624" s="8" t="n">
        <f aca="false">INDEX(Parâmetros!$C$13:$C$19,MATCH(E1624,Parâmetros!$A$13:$A$19,0))</f>
        <v>550</v>
      </c>
      <c r="J1624" s="26" t="n">
        <f aca="false">IF(H1624="","",Parâmetros!$B$5-H1624)</f>
        <v>268</v>
      </c>
      <c r="K1624" s="10" t="n">
        <f aca="false">INDEX(Parâmetros!$D$13:$D$19,MATCH(E1624,Parâmetros!$A$13:$A$19,0))</f>
        <v>22</v>
      </c>
      <c r="L1624" s="10" t="n">
        <f aca="false">IF(G1624="Prospecting",Parâmetros!$B$9,IF(J1624&gt;Parâmetros!$B$6,0,INDEX(Parâmetros!$C$24:$C$26,MATCH(J1624,Parâmetros!$A$24:$A$26,1))))</f>
        <v>0</v>
      </c>
      <c r="M1624" s="31" t="n">
        <f aca="false">IF(G1624="Prospecting",1,INDEX(Parâmetros!$C$32:$C$35,MATCH(J1624,Parâmetros!$A$32:$A$35,1)))</f>
        <v>0.4</v>
      </c>
      <c r="N1624" s="2" t="n">
        <f aca="false">ROUND((K1624+L1624)*M1624,0)</f>
        <v>9</v>
      </c>
      <c r="O1624" s="10" t="str">
        <f aca="false">IF(AND(G1624="Engaging",J1624&gt;Parâmetros!$B$6),"Sim","Não")</f>
        <v>Sim</v>
      </c>
      <c r="P1624" s="32" t="str">
        <f aca="false">IF(O1624="Sim","R",IF(N1624&gt;=Parâmetros!$B$39,"A",IF(N1624&gt;=Parâmetros!$B$40,"B",IF(N1624&gt;=Parâmetros!$B$41,"C","D"))))</f>
        <v>R</v>
      </c>
      <c r="Q1624" s="10" t="str">
        <f aca="false">IF(F1624="","Completar cadastro","")</f>
        <v>Completar cadastro</v>
      </c>
      <c r="R1624" s="10" t="str">
        <f aca="false">INDEX(Parâmetros!$D$39:$D$43,MATCH(P1624,Parâmetros!$A$39:$A$43,0))</f>
        <v>Reciclar: requalificar, reengajar ou encerrar</v>
      </c>
    </row>
    <row r="1625" customFormat="false" ht="15" hidden="false" customHeight="false" outlineLevel="0" collapsed="false">
      <c r="A1625" s="10" t="s">
        <v>1871</v>
      </c>
      <c r="B1625" s="10" t="s">
        <v>97</v>
      </c>
      <c r="C1625" s="10" t="s">
        <v>92</v>
      </c>
      <c r="D1625" s="10" t="s">
        <v>160</v>
      </c>
      <c r="E1625" s="10" t="s">
        <v>51</v>
      </c>
      <c r="F1625" s="10"/>
      <c r="G1625" s="10" t="s">
        <v>162</v>
      </c>
      <c r="H1625" s="30" t="n">
        <v>42838</v>
      </c>
      <c r="I1625" s="8" t="n">
        <f aca="false">INDEX(Parâmetros!$C$13:$C$19,MATCH(E1625,Parâmetros!$A$13:$A$19,0))</f>
        <v>550</v>
      </c>
      <c r="J1625" s="26" t="n">
        <f aca="false">IF(H1625="","",Parâmetros!$B$5-H1625)</f>
        <v>262</v>
      </c>
      <c r="K1625" s="10" t="n">
        <f aca="false">INDEX(Parâmetros!$D$13:$D$19,MATCH(E1625,Parâmetros!$A$13:$A$19,0))</f>
        <v>22</v>
      </c>
      <c r="L1625" s="10" t="n">
        <f aca="false">IF(G1625="Prospecting",Parâmetros!$B$9,IF(J1625&gt;Parâmetros!$B$6,0,INDEX(Parâmetros!$C$24:$C$26,MATCH(J1625,Parâmetros!$A$24:$A$26,1))))</f>
        <v>0</v>
      </c>
      <c r="M1625" s="31" t="n">
        <f aca="false">IF(G1625="Prospecting",1,INDEX(Parâmetros!$C$32:$C$35,MATCH(J1625,Parâmetros!$A$32:$A$35,1)))</f>
        <v>0.4</v>
      </c>
      <c r="N1625" s="2" t="n">
        <f aca="false">ROUND((K1625+L1625)*M1625,0)</f>
        <v>9</v>
      </c>
      <c r="O1625" s="10" t="str">
        <f aca="false">IF(AND(G1625="Engaging",J1625&gt;Parâmetros!$B$6),"Sim","Não")</f>
        <v>Sim</v>
      </c>
      <c r="P1625" s="32" t="str">
        <f aca="false">IF(O1625="Sim","R",IF(N1625&gt;=Parâmetros!$B$39,"A",IF(N1625&gt;=Parâmetros!$B$40,"B",IF(N1625&gt;=Parâmetros!$B$41,"C","D"))))</f>
        <v>R</v>
      </c>
      <c r="Q1625" s="10" t="str">
        <f aca="false">IF(F1625="","Completar cadastro","")</f>
        <v>Completar cadastro</v>
      </c>
      <c r="R1625" s="10" t="str">
        <f aca="false">INDEX(Parâmetros!$D$39:$D$43,MATCH(P1625,Parâmetros!$A$39:$A$43,0))</f>
        <v>Reciclar: requalificar, reengajar ou encerrar</v>
      </c>
    </row>
    <row r="1626" customFormat="false" ht="15" hidden="false" customHeight="false" outlineLevel="0" collapsed="false">
      <c r="A1626" s="10" t="s">
        <v>1872</v>
      </c>
      <c r="B1626" s="10" t="s">
        <v>68</v>
      </c>
      <c r="C1626" s="10" t="s">
        <v>65</v>
      </c>
      <c r="D1626" s="10" t="s">
        <v>160</v>
      </c>
      <c r="E1626" s="10" t="s">
        <v>51</v>
      </c>
      <c r="F1626" s="10"/>
      <c r="G1626" s="10" t="s">
        <v>162</v>
      </c>
      <c r="H1626" s="30" t="n">
        <v>42839</v>
      </c>
      <c r="I1626" s="8" t="n">
        <f aca="false">INDEX(Parâmetros!$C$13:$C$19,MATCH(E1626,Parâmetros!$A$13:$A$19,0))</f>
        <v>550</v>
      </c>
      <c r="J1626" s="26" t="n">
        <f aca="false">IF(H1626="","",Parâmetros!$B$5-H1626)</f>
        <v>261</v>
      </c>
      <c r="K1626" s="10" t="n">
        <f aca="false">INDEX(Parâmetros!$D$13:$D$19,MATCH(E1626,Parâmetros!$A$13:$A$19,0))</f>
        <v>22</v>
      </c>
      <c r="L1626" s="10" t="n">
        <f aca="false">IF(G1626="Prospecting",Parâmetros!$B$9,IF(J1626&gt;Parâmetros!$B$6,0,INDEX(Parâmetros!$C$24:$C$26,MATCH(J1626,Parâmetros!$A$24:$A$26,1))))</f>
        <v>0</v>
      </c>
      <c r="M1626" s="31" t="n">
        <f aca="false">IF(G1626="Prospecting",1,INDEX(Parâmetros!$C$32:$C$35,MATCH(J1626,Parâmetros!$A$32:$A$35,1)))</f>
        <v>0.4</v>
      </c>
      <c r="N1626" s="2" t="n">
        <f aca="false">ROUND((K1626+L1626)*M1626,0)</f>
        <v>9</v>
      </c>
      <c r="O1626" s="10" t="str">
        <f aca="false">IF(AND(G1626="Engaging",J1626&gt;Parâmetros!$B$6),"Sim","Não")</f>
        <v>Sim</v>
      </c>
      <c r="P1626" s="32" t="str">
        <f aca="false">IF(O1626="Sim","R",IF(N1626&gt;=Parâmetros!$B$39,"A",IF(N1626&gt;=Parâmetros!$B$40,"B",IF(N1626&gt;=Parâmetros!$B$41,"C","D"))))</f>
        <v>R</v>
      </c>
      <c r="Q1626" s="10" t="str">
        <f aca="false">IF(F1626="","Completar cadastro","")</f>
        <v>Completar cadastro</v>
      </c>
      <c r="R1626" s="10" t="str">
        <f aca="false">INDEX(Parâmetros!$D$39:$D$43,MATCH(P1626,Parâmetros!$A$39:$A$43,0))</f>
        <v>Reciclar: requalificar, reengajar ou encerrar</v>
      </c>
    </row>
    <row r="1627" customFormat="false" ht="15" hidden="false" customHeight="false" outlineLevel="0" collapsed="false">
      <c r="A1627" s="10" t="s">
        <v>1873</v>
      </c>
      <c r="B1627" s="10" t="s">
        <v>95</v>
      </c>
      <c r="C1627" s="10" t="s">
        <v>92</v>
      </c>
      <c r="D1627" s="10" t="s">
        <v>160</v>
      </c>
      <c r="E1627" s="10" t="s">
        <v>51</v>
      </c>
      <c r="F1627" s="10"/>
      <c r="G1627" s="10" t="s">
        <v>162</v>
      </c>
      <c r="H1627" s="30" t="n">
        <v>42840</v>
      </c>
      <c r="I1627" s="8" t="n">
        <f aca="false">INDEX(Parâmetros!$C$13:$C$19,MATCH(E1627,Parâmetros!$A$13:$A$19,0))</f>
        <v>550</v>
      </c>
      <c r="J1627" s="26" t="n">
        <f aca="false">IF(H1627="","",Parâmetros!$B$5-H1627)</f>
        <v>260</v>
      </c>
      <c r="K1627" s="10" t="n">
        <f aca="false">INDEX(Parâmetros!$D$13:$D$19,MATCH(E1627,Parâmetros!$A$13:$A$19,0))</f>
        <v>22</v>
      </c>
      <c r="L1627" s="10" t="n">
        <f aca="false">IF(G1627="Prospecting",Parâmetros!$B$9,IF(J1627&gt;Parâmetros!$B$6,0,INDEX(Parâmetros!$C$24:$C$26,MATCH(J1627,Parâmetros!$A$24:$A$26,1))))</f>
        <v>0</v>
      </c>
      <c r="M1627" s="31" t="n">
        <f aca="false">IF(G1627="Prospecting",1,INDEX(Parâmetros!$C$32:$C$35,MATCH(J1627,Parâmetros!$A$32:$A$35,1)))</f>
        <v>0.4</v>
      </c>
      <c r="N1627" s="2" t="n">
        <f aca="false">ROUND((K1627+L1627)*M1627,0)</f>
        <v>9</v>
      </c>
      <c r="O1627" s="10" t="str">
        <f aca="false">IF(AND(G1627="Engaging",J1627&gt;Parâmetros!$B$6),"Sim","Não")</f>
        <v>Sim</v>
      </c>
      <c r="P1627" s="32" t="str">
        <f aca="false">IF(O1627="Sim","R",IF(N1627&gt;=Parâmetros!$B$39,"A",IF(N1627&gt;=Parâmetros!$B$40,"B",IF(N1627&gt;=Parâmetros!$B$41,"C","D"))))</f>
        <v>R</v>
      </c>
      <c r="Q1627" s="10" t="str">
        <f aca="false">IF(F1627="","Completar cadastro","")</f>
        <v>Completar cadastro</v>
      </c>
      <c r="R1627" s="10" t="str">
        <f aca="false">INDEX(Parâmetros!$D$39:$D$43,MATCH(P1627,Parâmetros!$A$39:$A$43,0))</f>
        <v>Reciclar: requalificar, reengajar ou encerrar</v>
      </c>
    </row>
    <row r="1628" customFormat="false" ht="15" hidden="false" customHeight="false" outlineLevel="0" collapsed="false">
      <c r="A1628" s="10" t="s">
        <v>1874</v>
      </c>
      <c r="B1628" s="10" t="s">
        <v>93</v>
      </c>
      <c r="C1628" s="10" t="s">
        <v>92</v>
      </c>
      <c r="D1628" s="10" t="s">
        <v>160</v>
      </c>
      <c r="E1628" s="10" t="s">
        <v>51</v>
      </c>
      <c r="F1628" s="10"/>
      <c r="G1628" s="10" t="s">
        <v>162</v>
      </c>
      <c r="H1628" s="30" t="n">
        <v>42842</v>
      </c>
      <c r="I1628" s="8" t="n">
        <f aca="false">INDEX(Parâmetros!$C$13:$C$19,MATCH(E1628,Parâmetros!$A$13:$A$19,0))</f>
        <v>550</v>
      </c>
      <c r="J1628" s="26" t="n">
        <f aca="false">IF(H1628="","",Parâmetros!$B$5-H1628)</f>
        <v>258</v>
      </c>
      <c r="K1628" s="10" t="n">
        <f aca="false">INDEX(Parâmetros!$D$13:$D$19,MATCH(E1628,Parâmetros!$A$13:$A$19,0))</f>
        <v>22</v>
      </c>
      <c r="L1628" s="10" t="n">
        <f aca="false">IF(G1628="Prospecting",Parâmetros!$B$9,IF(J1628&gt;Parâmetros!$B$6,0,INDEX(Parâmetros!$C$24:$C$26,MATCH(J1628,Parâmetros!$A$24:$A$26,1))))</f>
        <v>0</v>
      </c>
      <c r="M1628" s="31" t="n">
        <f aca="false">IF(G1628="Prospecting",1,INDEX(Parâmetros!$C$32:$C$35,MATCH(J1628,Parâmetros!$A$32:$A$35,1)))</f>
        <v>0.4</v>
      </c>
      <c r="N1628" s="2" t="n">
        <f aca="false">ROUND((K1628+L1628)*M1628,0)</f>
        <v>9</v>
      </c>
      <c r="O1628" s="10" t="str">
        <f aca="false">IF(AND(G1628="Engaging",J1628&gt;Parâmetros!$B$6),"Sim","Não")</f>
        <v>Sim</v>
      </c>
      <c r="P1628" s="32" t="str">
        <f aca="false">IF(O1628="Sim","R",IF(N1628&gt;=Parâmetros!$B$39,"A",IF(N1628&gt;=Parâmetros!$B$40,"B",IF(N1628&gt;=Parâmetros!$B$41,"C","D"))))</f>
        <v>R</v>
      </c>
      <c r="Q1628" s="10" t="str">
        <f aca="false">IF(F1628="","Completar cadastro","")</f>
        <v>Completar cadastro</v>
      </c>
      <c r="R1628" s="10" t="str">
        <f aca="false">INDEX(Parâmetros!$D$39:$D$43,MATCH(P1628,Parâmetros!$A$39:$A$43,0))</f>
        <v>Reciclar: requalificar, reengajar ou encerrar</v>
      </c>
    </row>
    <row r="1629" customFormat="false" ht="15" hidden="false" customHeight="false" outlineLevel="0" collapsed="false">
      <c r="A1629" s="10" t="s">
        <v>1875</v>
      </c>
      <c r="B1629" s="10" t="s">
        <v>68</v>
      </c>
      <c r="C1629" s="10" t="s">
        <v>65</v>
      </c>
      <c r="D1629" s="10" t="s">
        <v>160</v>
      </c>
      <c r="E1629" s="10" t="s">
        <v>51</v>
      </c>
      <c r="F1629" s="10" t="s">
        <v>506</v>
      </c>
      <c r="G1629" s="10" t="s">
        <v>162</v>
      </c>
      <c r="H1629" s="30" t="n">
        <v>42842</v>
      </c>
      <c r="I1629" s="8" t="n">
        <f aca="false">INDEX(Parâmetros!$C$13:$C$19,MATCH(E1629,Parâmetros!$A$13:$A$19,0))</f>
        <v>550</v>
      </c>
      <c r="J1629" s="26" t="n">
        <f aca="false">IF(H1629="","",Parâmetros!$B$5-H1629)</f>
        <v>258</v>
      </c>
      <c r="K1629" s="10" t="n">
        <f aca="false">INDEX(Parâmetros!$D$13:$D$19,MATCH(E1629,Parâmetros!$A$13:$A$19,0))</f>
        <v>22</v>
      </c>
      <c r="L1629" s="10" t="n">
        <f aca="false">IF(G1629="Prospecting",Parâmetros!$B$9,IF(J1629&gt;Parâmetros!$B$6,0,INDEX(Parâmetros!$C$24:$C$26,MATCH(J1629,Parâmetros!$A$24:$A$26,1))))</f>
        <v>0</v>
      </c>
      <c r="M1629" s="31" t="n">
        <f aca="false">IF(G1629="Prospecting",1,INDEX(Parâmetros!$C$32:$C$35,MATCH(J1629,Parâmetros!$A$32:$A$35,1)))</f>
        <v>0.4</v>
      </c>
      <c r="N1629" s="2" t="n">
        <f aca="false">ROUND((K1629+L1629)*M1629,0)</f>
        <v>9</v>
      </c>
      <c r="O1629" s="10" t="str">
        <f aca="false">IF(AND(G1629="Engaging",J1629&gt;Parâmetros!$B$6),"Sim","Não")</f>
        <v>Sim</v>
      </c>
      <c r="P1629" s="32" t="str">
        <f aca="false">IF(O1629="Sim","R",IF(N1629&gt;=Parâmetros!$B$39,"A",IF(N1629&gt;=Parâmetros!$B$40,"B",IF(N1629&gt;=Parâmetros!$B$41,"C","D"))))</f>
        <v>R</v>
      </c>
      <c r="Q1629" s="10" t="str">
        <f aca="false">IF(F1629="","Completar cadastro","")</f>
        <v/>
      </c>
      <c r="R1629" s="10" t="str">
        <f aca="false">INDEX(Parâmetros!$D$39:$D$43,MATCH(P1629,Parâmetros!$A$39:$A$43,0))</f>
        <v>Reciclar: requalificar, reengajar ou encerrar</v>
      </c>
    </row>
    <row r="1630" customFormat="false" ht="15" hidden="false" customHeight="false" outlineLevel="0" collapsed="false">
      <c r="A1630" s="10" t="s">
        <v>1876</v>
      </c>
      <c r="B1630" s="10" t="s">
        <v>69</v>
      </c>
      <c r="C1630" s="10" t="s">
        <v>65</v>
      </c>
      <c r="D1630" s="10" t="s">
        <v>160</v>
      </c>
      <c r="E1630" s="10" t="s">
        <v>51</v>
      </c>
      <c r="F1630" s="10"/>
      <c r="G1630" s="10" t="s">
        <v>162</v>
      </c>
      <c r="H1630" s="30" t="n">
        <v>42842</v>
      </c>
      <c r="I1630" s="8" t="n">
        <f aca="false">INDEX(Parâmetros!$C$13:$C$19,MATCH(E1630,Parâmetros!$A$13:$A$19,0))</f>
        <v>550</v>
      </c>
      <c r="J1630" s="26" t="n">
        <f aca="false">IF(H1630="","",Parâmetros!$B$5-H1630)</f>
        <v>258</v>
      </c>
      <c r="K1630" s="10" t="n">
        <f aca="false">INDEX(Parâmetros!$D$13:$D$19,MATCH(E1630,Parâmetros!$A$13:$A$19,0))</f>
        <v>22</v>
      </c>
      <c r="L1630" s="10" t="n">
        <f aca="false">IF(G1630="Prospecting",Parâmetros!$B$9,IF(J1630&gt;Parâmetros!$B$6,0,INDEX(Parâmetros!$C$24:$C$26,MATCH(J1630,Parâmetros!$A$24:$A$26,1))))</f>
        <v>0</v>
      </c>
      <c r="M1630" s="31" t="n">
        <f aca="false">IF(G1630="Prospecting",1,INDEX(Parâmetros!$C$32:$C$35,MATCH(J1630,Parâmetros!$A$32:$A$35,1)))</f>
        <v>0.4</v>
      </c>
      <c r="N1630" s="2" t="n">
        <f aca="false">ROUND((K1630+L1630)*M1630,0)</f>
        <v>9</v>
      </c>
      <c r="O1630" s="10" t="str">
        <f aca="false">IF(AND(G1630="Engaging",J1630&gt;Parâmetros!$B$6),"Sim","Não")</f>
        <v>Sim</v>
      </c>
      <c r="P1630" s="32" t="str">
        <f aca="false">IF(O1630="Sim","R",IF(N1630&gt;=Parâmetros!$B$39,"A",IF(N1630&gt;=Parâmetros!$B$40,"B",IF(N1630&gt;=Parâmetros!$B$41,"C","D"))))</f>
        <v>R</v>
      </c>
      <c r="Q1630" s="10" t="str">
        <f aca="false">IF(F1630="","Completar cadastro","")</f>
        <v>Completar cadastro</v>
      </c>
      <c r="R1630" s="10" t="str">
        <f aca="false">INDEX(Parâmetros!$D$39:$D$43,MATCH(P1630,Parâmetros!$A$39:$A$43,0))</f>
        <v>Reciclar: requalificar, reengajar ou encerrar</v>
      </c>
    </row>
    <row r="1631" customFormat="false" ht="15" hidden="false" customHeight="false" outlineLevel="0" collapsed="false">
      <c r="A1631" s="10" t="s">
        <v>1877</v>
      </c>
      <c r="B1631" s="10" t="s">
        <v>84</v>
      </c>
      <c r="C1631" s="10" t="s">
        <v>85</v>
      </c>
      <c r="D1631" s="10" t="s">
        <v>165</v>
      </c>
      <c r="E1631" s="10" t="s">
        <v>51</v>
      </c>
      <c r="F1631" s="10"/>
      <c r="G1631" s="10" t="s">
        <v>162</v>
      </c>
      <c r="H1631" s="30" t="n">
        <v>42844</v>
      </c>
      <c r="I1631" s="8" t="n">
        <f aca="false">INDEX(Parâmetros!$C$13:$C$19,MATCH(E1631,Parâmetros!$A$13:$A$19,0))</f>
        <v>550</v>
      </c>
      <c r="J1631" s="26" t="n">
        <f aca="false">IF(H1631="","",Parâmetros!$B$5-H1631)</f>
        <v>256</v>
      </c>
      <c r="K1631" s="10" t="n">
        <f aca="false">INDEX(Parâmetros!$D$13:$D$19,MATCH(E1631,Parâmetros!$A$13:$A$19,0))</f>
        <v>22</v>
      </c>
      <c r="L1631" s="10" t="n">
        <f aca="false">IF(G1631="Prospecting",Parâmetros!$B$9,IF(J1631&gt;Parâmetros!$B$6,0,INDEX(Parâmetros!$C$24:$C$26,MATCH(J1631,Parâmetros!$A$24:$A$26,1))))</f>
        <v>0</v>
      </c>
      <c r="M1631" s="31" t="n">
        <f aca="false">IF(G1631="Prospecting",1,INDEX(Parâmetros!$C$32:$C$35,MATCH(J1631,Parâmetros!$A$32:$A$35,1)))</f>
        <v>0.4</v>
      </c>
      <c r="N1631" s="2" t="n">
        <f aca="false">ROUND((K1631+L1631)*M1631,0)</f>
        <v>9</v>
      </c>
      <c r="O1631" s="10" t="str">
        <f aca="false">IF(AND(G1631="Engaging",J1631&gt;Parâmetros!$B$6),"Sim","Não")</f>
        <v>Sim</v>
      </c>
      <c r="P1631" s="32" t="str">
        <f aca="false">IF(O1631="Sim","R",IF(N1631&gt;=Parâmetros!$B$39,"A",IF(N1631&gt;=Parâmetros!$B$40,"B",IF(N1631&gt;=Parâmetros!$B$41,"C","D"))))</f>
        <v>R</v>
      </c>
      <c r="Q1631" s="10" t="str">
        <f aca="false">IF(F1631="","Completar cadastro","")</f>
        <v>Completar cadastro</v>
      </c>
      <c r="R1631" s="10" t="str">
        <f aca="false">INDEX(Parâmetros!$D$39:$D$43,MATCH(P1631,Parâmetros!$A$39:$A$43,0))</f>
        <v>Reciclar: requalificar, reengajar ou encerrar</v>
      </c>
    </row>
    <row r="1632" customFormat="false" ht="15" hidden="false" customHeight="false" outlineLevel="0" collapsed="false">
      <c r="A1632" s="10" t="s">
        <v>1878</v>
      </c>
      <c r="B1632" s="10" t="s">
        <v>57</v>
      </c>
      <c r="C1632" s="10" t="s">
        <v>58</v>
      </c>
      <c r="D1632" s="10" t="s">
        <v>165</v>
      </c>
      <c r="E1632" s="10" t="s">
        <v>51</v>
      </c>
      <c r="F1632" s="10"/>
      <c r="G1632" s="10" t="s">
        <v>162</v>
      </c>
      <c r="H1632" s="30" t="n">
        <v>42844</v>
      </c>
      <c r="I1632" s="8" t="n">
        <f aca="false">INDEX(Parâmetros!$C$13:$C$19,MATCH(E1632,Parâmetros!$A$13:$A$19,0))</f>
        <v>550</v>
      </c>
      <c r="J1632" s="26" t="n">
        <f aca="false">IF(H1632="","",Parâmetros!$B$5-H1632)</f>
        <v>256</v>
      </c>
      <c r="K1632" s="10" t="n">
        <f aca="false">INDEX(Parâmetros!$D$13:$D$19,MATCH(E1632,Parâmetros!$A$13:$A$19,0))</f>
        <v>22</v>
      </c>
      <c r="L1632" s="10" t="n">
        <f aca="false">IF(G1632="Prospecting",Parâmetros!$B$9,IF(J1632&gt;Parâmetros!$B$6,0,INDEX(Parâmetros!$C$24:$C$26,MATCH(J1632,Parâmetros!$A$24:$A$26,1))))</f>
        <v>0</v>
      </c>
      <c r="M1632" s="31" t="n">
        <f aca="false">IF(G1632="Prospecting",1,INDEX(Parâmetros!$C$32:$C$35,MATCH(J1632,Parâmetros!$A$32:$A$35,1)))</f>
        <v>0.4</v>
      </c>
      <c r="N1632" s="2" t="n">
        <f aca="false">ROUND((K1632+L1632)*M1632,0)</f>
        <v>9</v>
      </c>
      <c r="O1632" s="10" t="str">
        <f aca="false">IF(AND(G1632="Engaging",J1632&gt;Parâmetros!$B$6),"Sim","Não")</f>
        <v>Sim</v>
      </c>
      <c r="P1632" s="32" t="str">
        <f aca="false">IF(O1632="Sim","R",IF(N1632&gt;=Parâmetros!$B$39,"A",IF(N1632&gt;=Parâmetros!$B$40,"B",IF(N1632&gt;=Parâmetros!$B$41,"C","D"))))</f>
        <v>R</v>
      </c>
      <c r="Q1632" s="10" t="str">
        <f aca="false">IF(F1632="","Completar cadastro","")</f>
        <v>Completar cadastro</v>
      </c>
      <c r="R1632" s="10" t="str">
        <f aca="false">INDEX(Parâmetros!$D$39:$D$43,MATCH(P1632,Parâmetros!$A$39:$A$43,0))</f>
        <v>Reciclar: requalificar, reengajar ou encerrar</v>
      </c>
    </row>
    <row r="1633" customFormat="false" ht="15" hidden="false" customHeight="false" outlineLevel="0" collapsed="false">
      <c r="A1633" s="10" t="s">
        <v>1879</v>
      </c>
      <c r="B1633" s="10" t="s">
        <v>97</v>
      </c>
      <c r="C1633" s="10" t="s">
        <v>92</v>
      </c>
      <c r="D1633" s="10" t="s">
        <v>160</v>
      </c>
      <c r="E1633" s="10" t="s">
        <v>51</v>
      </c>
      <c r="F1633" s="10" t="s">
        <v>483</v>
      </c>
      <c r="G1633" s="10" t="s">
        <v>162</v>
      </c>
      <c r="H1633" s="30" t="n">
        <v>42844</v>
      </c>
      <c r="I1633" s="8" t="n">
        <f aca="false">INDEX(Parâmetros!$C$13:$C$19,MATCH(E1633,Parâmetros!$A$13:$A$19,0))</f>
        <v>550</v>
      </c>
      <c r="J1633" s="26" t="n">
        <f aca="false">IF(H1633="","",Parâmetros!$B$5-H1633)</f>
        <v>256</v>
      </c>
      <c r="K1633" s="10" t="n">
        <f aca="false">INDEX(Parâmetros!$D$13:$D$19,MATCH(E1633,Parâmetros!$A$13:$A$19,0))</f>
        <v>22</v>
      </c>
      <c r="L1633" s="10" t="n">
        <f aca="false">IF(G1633="Prospecting",Parâmetros!$B$9,IF(J1633&gt;Parâmetros!$B$6,0,INDEX(Parâmetros!$C$24:$C$26,MATCH(J1633,Parâmetros!$A$24:$A$26,1))))</f>
        <v>0</v>
      </c>
      <c r="M1633" s="31" t="n">
        <f aca="false">IF(G1633="Prospecting",1,INDEX(Parâmetros!$C$32:$C$35,MATCH(J1633,Parâmetros!$A$32:$A$35,1)))</f>
        <v>0.4</v>
      </c>
      <c r="N1633" s="2" t="n">
        <f aca="false">ROUND((K1633+L1633)*M1633,0)</f>
        <v>9</v>
      </c>
      <c r="O1633" s="10" t="str">
        <f aca="false">IF(AND(G1633="Engaging",J1633&gt;Parâmetros!$B$6),"Sim","Não")</f>
        <v>Sim</v>
      </c>
      <c r="P1633" s="32" t="str">
        <f aca="false">IF(O1633="Sim","R",IF(N1633&gt;=Parâmetros!$B$39,"A",IF(N1633&gt;=Parâmetros!$B$40,"B",IF(N1633&gt;=Parâmetros!$B$41,"C","D"))))</f>
        <v>R</v>
      </c>
      <c r="Q1633" s="10" t="str">
        <f aca="false">IF(F1633="","Completar cadastro","")</f>
        <v/>
      </c>
      <c r="R1633" s="10" t="str">
        <f aca="false">INDEX(Parâmetros!$D$39:$D$43,MATCH(P1633,Parâmetros!$A$39:$A$43,0))</f>
        <v>Reciclar: requalificar, reengajar ou encerrar</v>
      </c>
    </row>
    <row r="1634" customFormat="false" ht="15" hidden="false" customHeight="false" outlineLevel="0" collapsed="false">
      <c r="A1634" s="10" t="s">
        <v>1880</v>
      </c>
      <c r="B1634" s="10" t="s">
        <v>95</v>
      </c>
      <c r="C1634" s="10" t="s">
        <v>92</v>
      </c>
      <c r="D1634" s="10" t="s">
        <v>160</v>
      </c>
      <c r="E1634" s="10" t="s">
        <v>51</v>
      </c>
      <c r="F1634" s="10"/>
      <c r="G1634" s="10" t="s">
        <v>162</v>
      </c>
      <c r="H1634" s="30" t="n">
        <v>42845</v>
      </c>
      <c r="I1634" s="8" t="n">
        <f aca="false">INDEX(Parâmetros!$C$13:$C$19,MATCH(E1634,Parâmetros!$A$13:$A$19,0))</f>
        <v>550</v>
      </c>
      <c r="J1634" s="26" t="n">
        <f aca="false">IF(H1634="","",Parâmetros!$B$5-H1634)</f>
        <v>255</v>
      </c>
      <c r="K1634" s="10" t="n">
        <f aca="false">INDEX(Parâmetros!$D$13:$D$19,MATCH(E1634,Parâmetros!$A$13:$A$19,0))</f>
        <v>22</v>
      </c>
      <c r="L1634" s="10" t="n">
        <f aca="false">IF(G1634="Prospecting",Parâmetros!$B$9,IF(J1634&gt;Parâmetros!$B$6,0,INDEX(Parâmetros!$C$24:$C$26,MATCH(J1634,Parâmetros!$A$24:$A$26,1))))</f>
        <v>0</v>
      </c>
      <c r="M1634" s="31" t="n">
        <f aca="false">IF(G1634="Prospecting",1,INDEX(Parâmetros!$C$32:$C$35,MATCH(J1634,Parâmetros!$A$32:$A$35,1)))</f>
        <v>0.4</v>
      </c>
      <c r="N1634" s="2" t="n">
        <f aca="false">ROUND((K1634+L1634)*M1634,0)</f>
        <v>9</v>
      </c>
      <c r="O1634" s="10" t="str">
        <f aca="false">IF(AND(G1634="Engaging",J1634&gt;Parâmetros!$B$6),"Sim","Não")</f>
        <v>Sim</v>
      </c>
      <c r="P1634" s="32" t="str">
        <f aca="false">IF(O1634="Sim","R",IF(N1634&gt;=Parâmetros!$B$39,"A",IF(N1634&gt;=Parâmetros!$B$40,"B",IF(N1634&gt;=Parâmetros!$B$41,"C","D"))))</f>
        <v>R</v>
      </c>
      <c r="Q1634" s="10" t="str">
        <f aca="false">IF(F1634="","Completar cadastro","")</f>
        <v>Completar cadastro</v>
      </c>
      <c r="R1634" s="10" t="str">
        <f aca="false">INDEX(Parâmetros!$D$39:$D$43,MATCH(P1634,Parâmetros!$A$39:$A$43,0))</f>
        <v>Reciclar: requalificar, reengajar ou encerrar</v>
      </c>
    </row>
    <row r="1635" customFormat="false" ht="15" hidden="false" customHeight="false" outlineLevel="0" collapsed="false">
      <c r="A1635" s="10" t="s">
        <v>1881</v>
      </c>
      <c r="B1635" s="10" t="s">
        <v>62</v>
      </c>
      <c r="C1635" s="10" t="s">
        <v>58</v>
      </c>
      <c r="D1635" s="10" t="s">
        <v>165</v>
      </c>
      <c r="E1635" s="10" t="s">
        <v>51</v>
      </c>
      <c r="F1635" s="10"/>
      <c r="G1635" s="10" t="s">
        <v>162</v>
      </c>
      <c r="H1635" s="30" t="n">
        <v>42847</v>
      </c>
      <c r="I1635" s="8" t="n">
        <f aca="false">INDEX(Parâmetros!$C$13:$C$19,MATCH(E1635,Parâmetros!$A$13:$A$19,0))</f>
        <v>550</v>
      </c>
      <c r="J1635" s="26" t="n">
        <f aca="false">IF(H1635="","",Parâmetros!$B$5-H1635)</f>
        <v>253</v>
      </c>
      <c r="K1635" s="10" t="n">
        <f aca="false">INDEX(Parâmetros!$D$13:$D$19,MATCH(E1635,Parâmetros!$A$13:$A$19,0))</f>
        <v>22</v>
      </c>
      <c r="L1635" s="10" t="n">
        <f aca="false">IF(G1635="Prospecting",Parâmetros!$B$9,IF(J1635&gt;Parâmetros!$B$6,0,INDEX(Parâmetros!$C$24:$C$26,MATCH(J1635,Parâmetros!$A$24:$A$26,1))))</f>
        <v>0</v>
      </c>
      <c r="M1635" s="31" t="n">
        <f aca="false">IF(G1635="Prospecting",1,INDEX(Parâmetros!$C$32:$C$35,MATCH(J1635,Parâmetros!$A$32:$A$35,1)))</f>
        <v>0.4</v>
      </c>
      <c r="N1635" s="2" t="n">
        <f aca="false">ROUND((K1635+L1635)*M1635,0)</f>
        <v>9</v>
      </c>
      <c r="O1635" s="10" t="str">
        <f aca="false">IF(AND(G1635="Engaging",J1635&gt;Parâmetros!$B$6),"Sim","Não")</f>
        <v>Sim</v>
      </c>
      <c r="P1635" s="32" t="str">
        <f aca="false">IF(O1635="Sim","R",IF(N1635&gt;=Parâmetros!$B$39,"A",IF(N1635&gt;=Parâmetros!$B$40,"B",IF(N1635&gt;=Parâmetros!$B$41,"C","D"))))</f>
        <v>R</v>
      </c>
      <c r="Q1635" s="10" t="str">
        <f aca="false">IF(F1635="","Completar cadastro","")</f>
        <v>Completar cadastro</v>
      </c>
      <c r="R1635" s="10" t="str">
        <f aca="false">INDEX(Parâmetros!$D$39:$D$43,MATCH(P1635,Parâmetros!$A$39:$A$43,0))</f>
        <v>Reciclar: requalificar, reengajar ou encerrar</v>
      </c>
    </row>
    <row r="1636" customFormat="false" ht="15" hidden="false" customHeight="false" outlineLevel="0" collapsed="false">
      <c r="A1636" s="10" t="s">
        <v>1882</v>
      </c>
      <c r="B1636" s="10" t="s">
        <v>63</v>
      </c>
      <c r="C1636" s="10" t="s">
        <v>58</v>
      </c>
      <c r="D1636" s="10" t="s">
        <v>165</v>
      </c>
      <c r="E1636" s="10" t="s">
        <v>51</v>
      </c>
      <c r="F1636" s="10"/>
      <c r="G1636" s="10" t="s">
        <v>162</v>
      </c>
      <c r="H1636" s="30" t="n">
        <v>42850</v>
      </c>
      <c r="I1636" s="8" t="n">
        <f aca="false">INDEX(Parâmetros!$C$13:$C$19,MATCH(E1636,Parâmetros!$A$13:$A$19,0))</f>
        <v>550</v>
      </c>
      <c r="J1636" s="26" t="n">
        <f aca="false">IF(H1636="","",Parâmetros!$B$5-H1636)</f>
        <v>250</v>
      </c>
      <c r="K1636" s="10" t="n">
        <f aca="false">INDEX(Parâmetros!$D$13:$D$19,MATCH(E1636,Parâmetros!$A$13:$A$19,0))</f>
        <v>22</v>
      </c>
      <c r="L1636" s="10" t="n">
        <f aca="false">IF(G1636="Prospecting",Parâmetros!$B$9,IF(J1636&gt;Parâmetros!$B$6,0,INDEX(Parâmetros!$C$24:$C$26,MATCH(J1636,Parâmetros!$A$24:$A$26,1))))</f>
        <v>0</v>
      </c>
      <c r="M1636" s="31" t="n">
        <f aca="false">IF(G1636="Prospecting",1,INDEX(Parâmetros!$C$32:$C$35,MATCH(J1636,Parâmetros!$A$32:$A$35,1)))</f>
        <v>0.4</v>
      </c>
      <c r="N1636" s="2" t="n">
        <f aca="false">ROUND((K1636+L1636)*M1636,0)</f>
        <v>9</v>
      </c>
      <c r="O1636" s="10" t="str">
        <f aca="false">IF(AND(G1636="Engaging",J1636&gt;Parâmetros!$B$6),"Sim","Não")</f>
        <v>Sim</v>
      </c>
      <c r="P1636" s="32" t="str">
        <f aca="false">IF(O1636="Sim","R",IF(N1636&gt;=Parâmetros!$B$39,"A",IF(N1636&gt;=Parâmetros!$B$40,"B",IF(N1636&gt;=Parâmetros!$B$41,"C","D"))))</f>
        <v>R</v>
      </c>
      <c r="Q1636" s="10" t="str">
        <f aca="false">IF(F1636="","Completar cadastro","")</f>
        <v>Completar cadastro</v>
      </c>
      <c r="R1636" s="10" t="str">
        <f aca="false">INDEX(Parâmetros!$D$39:$D$43,MATCH(P1636,Parâmetros!$A$39:$A$43,0))</f>
        <v>Reciclar: requalificar, reengajar ou encerrar</v>
      </c>
    </row>
    <row r="1637" customFormat="false" ht="15" hidden="false" customHeight="false" outlineLevel="0" collapsed="false">
      <c r="A1637" s="10" t="s">
        <v>1883</v>
      </c>
      <c r="B1637" s="10" t="s">
        <v>97</v>
      </c>
      <c r="C1637" s="10" t="s">
        <v>92</v>
      </c>
      <c r="D1637" s="10" t="s">
        <v>160</v>
      </c>
      <c r="E1637" s="10" t="s">
        <v>51</v>
      </c>
      <c r="F1637" s="10"/>
      <c r="G1637" s="10" t="s">
        <v>162</v>
      </c>
      <c r="H1637" s="30" t="n">
        <v>42851</v>
      </c>
      <c r="I1637" s="8" t="n">
        <f aca="false">INDEX(Parâmetros!$C$13:$C$19,MATCH(E1637,Parâmetros!$A$13:$A$19,0))</f>
        <v>550</v>
      </c>
      <c r="J1637" s="26" t="n">
        <f aca="false">IF(H1637="","",Parâmetros!$B$5-H1637)</f>
        <v>249</v>
      </c>
      <c r="K1637" s="10" t="n">
        <f aca="false">INDEX(Parâmetros!$D$13:$D$19,MATCH(E1637,Parâmetros!$A$13:$A$19,0))</f>
        <v>22</v>
      </c>
      <c r="L1637" s="10" t="n">
        <f aca="false">IF(G1637="Prospecting",Parâmetros!$B$9,IF(J1637&gt;Parâmetros!$B$6,0,INDEX(Parâmetros!$C$24:$C$26,MATCH(J1637,Parâmetros!$A$24:$A$26,1))))</f>
        <v>0</v>
      </c>
      <c r="M1637" s="31" t="n">
        <f aca="false">IF(G1637="Prospecting",1,INDEX(Parâmetros!$C$32:$C$35,MATCH(J1637,Parâmetros!$A$32:$A$35,1)))</f>
        <v>0.4</v>
      </c>
      <c r="N1637" s="2" t="n">
        <f aca="false">ROUND((K1637+L1637)*M1637,0)</f>
        <v>9</v>
      </c>
      <c r="O1637" s="10" t="str">
        <f aca="false">IF(AND(G1637="Engaging",J1637&gt;Parâmetros!$B$6),"Sim","Não")</f>
        <v>Sim</v>
      </c>
      <c r="P1637" s="32" t="str">
        <f aca="false">IF(O1637="Sim","R",IF(N1637&gt;=Parâmetros!$B$39,"A",IF(N1637&gt;=Parâmetros!$B$40,"B",IF(N1637&gt;=Parâmetros!$B$41,"C","D"))))</f>
        <v>R</v>
      </c>
      <c r="Q1637" s="10" t="str">
        <f aca="false">IF(F1637="","Completar cadastro","")</f>
        <v>Completar cadastro</v>
      </c>
      <c r="R1637" s="10" t="str">
        <f aca="false">INDEX(Parâmetros!$D$39:$D$43,MATCH(P1637,Parâmetros!$A$39:$A$43,0))</f>
        <v>Reciclar: requalificar, reengajar ou encerrar</v>
      </c>
    </row>
    <row r="1638" customFormat="false" ht="15" hidden="false" customHeight="false" outlineLevel="0" collapsed="false">
      <c r="A1638" s="10" t="s">
        <v>1884</v>
      </c>
      <c r="B1638" s="10" t="s">
        <v>94</v>
      </c>
      <c r="C1638" s="10" t="s">
        <v>92</v>
      </c>
      <c r="D1638" s="10" t="s">
        <v>160</v>
      </c>
      <c r="E1638" s="10" t="s">
        <v>51</v>
      </c>
      <c r="F1638" s="10" t="s">
        <v>291</v>
      </c>
      <c r="G1638" s="10" t="s">
        <v>162</v>
      </c>
      <c r="H1638" s="30" t="n">
        <v>42853</v>
      </c>
      <c r="I1638" s="8" t="n">
        <f aca="false">INDEX(Parâmetros!$C$13:$C$19,MATCH(E1638,Parâmetros!$A$13:$A$19,0))</f>
        <v>550</v>
      </c>
      <c r="J1638" s="26" t="n">
        <f aca="false">IF(H1638="","",Parâmetros!$B$5-H1638)</f>
        <v>247</v>
      </c>
      <c r="K1638" s="10" t="n">
        <f aca="false">INDEX(Parâmetros!$D$13:$D$19,MATCH(E1638,Parâmetros!$A$13:$A$19,0))</f>
        <v>22</v>
      </c>
      <c r="L1638" s="10" t="n">
        <f aca="false">IF(G1638="Prospecting",Parâmetros!$B$9,IF(J1638&gt;Parâmetros!$B$6,0,INDEX(Parâmetros!$C$24:$C$26,MATCH(J1638,Parâmetros!$A$24:$A$26,1))))</f>
        <v>0</v>
      </c>
      <c r="M1638" s="31" t="n">
        <f aca="false">IF(G1638="Prospecting",1,INDEX(Parâmetros!$C$32:$C$35,MATCH(J1638,Parâmetros!$A$32:$A$35,1)))</f>
        <v>0.4</v>
      </c>
      <c r="N1638" s="2" t="n">
        <f aca="false">ROUND((K1638+L1638)*M1638,0)</f>
        <v>9</v>
      </c>
      <c r="O1638" s="10" t="str">
        <f aca="false">IF(AND(G1638="Engaging",J1638&gt;Parâmetros!$B$6),"Sim","Não")</f>
        <v>Sim</v>
      </c>
      <c r="P1638" s="32" t="str">
        <f aca="false">IF(O1638="Sim","R",IF(N1638&gt;=Parâmetros!$B$39,"A",IF(N1638&gt;=Parâmetros!$B$40,"B",IF(N1638&gt;=Parâmetros!$B$41,"C","D"))))</f>
        <v>R</v>
      </c>
      <c r="Q1638" s="10" t="str">
        <f aca="false">IF(F1638="","Completar cadastro","")</f>
        <v/>
      </c>
      <c r="R1638" s="10" t="str">
        <f aca="false">INDEX(Parâmetros!$D$39:$D$43,MATCH(P1638,Parâmetros!$A$39:$A$43,0))</f>
        <v>Reciclar: requalificar, reengajar ou encerrar</v>
      </c>
    </row>
    <row r="1639" customFormat="false" ht="15" hidden="false" customHeight="false" outlineLevel="0" collapsed="false">
      <c r="A1639" s="10" t="s">
        <v>1885</v>
      </c>
      <c r="B1639" s="10" t="s">
        <v>66</v>
      </c>
      <c r="C1639" s="10" t="s">
        <v>65</v>
      </c>
      <c r="D1639" s="10" t="s">
        <v>160</v>
      </c>
      <c r="E1639" s="10" t="s">
        <v>51</v>
      </c>
      <c r="F1639" s="10"/>
      <c r="G1639" s="10" t="s">
        <v>162</v>
      </c>
      <c r="H1639" s="30" t="n">
        <v>42854</v>
      </c>
      <c r="I1639" s="8" t="n">
        <f aca="false">INDEX(Parâmetros!$C$13:$C$19,MATCH(E1639,Parâmetros!$A$13:$A$19,0))</f>
        <v>550</v>
      </c>
      <c r="J1639" s="26" t="n">
        <f aca="false">IF(H1639="","",Parâmetros!$B$5-H1639)</f>
        <v>246</v>
      </c>
      <c r="K1639" s="10" t="n">
        <f aca="false">INDEX(Parâmetros!$D$13:$D$19,MATCH(E1639,Parâmetros!$A$13:$A$19,0))</f>
        <v>22</v>
      </c>
      <c r="L1639" s="10" t="n">
        <f aca="false">IF(G1639="Prospecting",Parâmetros!$B$9,IF(J1639&gt;Parâmetros!$B$6,0,INDEX(Parâmetros!$C$24:$C$26,MATCH(J1639,Parâmetros!$A$24:$A$26,1))))</f>
        <v>0</v>
      </c>
      <c r="M1639" s="31" t="n">
        <f aca="false">IF(G1639="Prospecting",1,INDEX(Parâmetros!$C$32:$C$35,MATCH(J1639,Parâmetros!$A$32:$A$35,1)))</f>
        <v>0.4</v>
      </c>
      <c r="N1639" s="2" t="n">
        <f aca="false">ROUND((K1639+L1639)*M1639,0)</f>
        <v>9</v>
      </c>
      <c r="O1639" s="10" t="str">
        <f aca="false">IF(AND(G1639="Engaging",J1639&gt;Parâmetros!$B$6),"Sim","Não")</f>
        <v>Sim</v>
      </c>
      <c r="P1639" s="32" t="str">
        <f aca="false">IF(O1639="Sim","R",IF(N1639&gt;=Parâmetros!$B$39,"A",IF(N1639&gt;=Parâmetros!$B$40,"B",IF(N1639&gt;=Parâmetros!$B$41,"C","D"))))</f>
        <v>R</v>
      </c>
      <c r="Q1639" s="10" t="str">
        <f aca="false">IF(F1639="","Completar cadastro","")</f>
        <v>Completar cadastro</v>
      </c>
      <c r="R1639" s="10" t="str">
        <f aca="false">INDEX(Parâmetros!$D$39:$D$43,MATCH(P1639,Parâmetros!$A$39:$A$43,0))</f>
        <v>Reciclar: requalificar, reengajar ou encerrar</v>
      </c>
    </row>
    <row r="1640" customFormat="false" ht="15" hidden="false" customHeight="false" outlineLevel="0" collapsed="false">
      <c r="A1640" s="10" t="s">
        <v>1886</v>
      </c>
      <c r="B1640" s="10" t="s">
        <v>69</v>
      </c>
      <c r="C1640" s="10" t="s">
        <v>65</v>
      </c>
      <c r="D1640" s="10" t="s">
        <v>160</v>
      </c>
      <c r="E1640" s="10" t="s">
        <v>51</v>
      </c>
      <c r="F1640" s="10"/>
      <c r="G1640" s="10" t="s">
        <v>162</v>
      </c>
      <c r="H1640" s="30" t="n">
        <v>42855</v>
      </c>
      <c r="I1640" s="8" t="n">
        <f aca="false">INDEX(Parâmetros!$C$13:$C$19,MATCH(E1640,Parâmetros!$A$13:$A$19,0))</f>
        <v>550</v>
      </c>
      <c r="J1640" s="26" t="n">
        <f aca="false">IF(H1640="","",Parâmetros!$B$5-H1640)</f>
        <v>245</v>
      </c>
      <c r="K1640" s="10" t="n">
        <f aca="false">INDEX(Parâmetros!$D$13:$D$19,MATCH(E1640,Parâmetros!$A$13:$A$19,0))</f>
        <v>22</v>
      </c>
      <c r="L1640" s="10" t="n">
        <f aca="false">IF(G1640="Prospecting",Parâmetros!$B$9,IF(J1640&gt;Parâmetros!$B$6,0,INDEX(Parâmetros!$C$24:$C$26,MATCH(J1640,Parâmetros!$A$24:$A$26,1))))</f>
        <v>0</v>
      </c>
      <c r="M1640" s="31" t="n">
        <f aca="false">IF(G1640="Prospecting",1,INDEX(Parâmetros!$C$32:$C$35,MATCH(J1640,Parâmetros!$A$32:$A$35,1)))</f>
        <v>0.4</v>
      </c>
      <c r="N1640" s="2" t="n">
        <f aca="false">ROUND((K1640+L1640)*M1640,0)</f>
        <v>9</v>
      </c>
      <c r="O1640" s="10" t="str">
        <f aca="false">IF(AND(G1640="Engaging",J1640&gt;Parâmetros!$B$6),"Sim","Não")</f>
        <v>Sim</v>
      </c>
      <c r="P1640" s="32" t="str">
        <f aca="false">IF(O1640="Sim","R",IF(N1640&gt;=Parâmetros!$B$39,"A",IF(N1640&gt;=Parâmetros!$B$40,"B",IF(N1640&gt;=Parâmetros!$B$41,"C","D"))))</f>
        <v>R</v>
      </c>
      <c r="Q1640" s="10" t="str">
        <f aca="false">IF(F1640="","Completar cadastro","")</f>
        <v>Completar cadastro</v>
      </c>
      <c r="R1640" s="10" t="str">
        <f aca="false">INDEX(Parâmetros!$D$39:$D$43,MATCH(P1640,Parâmetros!$A$39:$A$43,0))</f>
        <v>Reciclar: requalificar, reengajar ou encerrar</v>
      </c>
    </row>
    <row r="1641" customFormat="false" ht="15" hidden="false" customHeight="false" outlineLevel="0" collapsed="false">
      <c r="A1641" s="10" t="s">
        <v>1887</v>
      </c>
      <c r="B1641" s="10" t="s">
        <v>57</v>
      </c>
      <c r="C1641" s="10" t="s">
        <v>58</v>
      </c>
      <c r="D1641" s="10" t="s">
        <v>165</v>
      </c>
      <c r="E1641" s="10" t="s">
        <v>51</v>
      </c>
      <c r="F1641" s="10" t="s">
        <v>293</v>
      </c>
      <c r="G1641" s="10" t="s">
        <v>162</v>
      </c>
      <c r="H1641" s="30" t="n">
        <v>42856</v>
      </c>
      <c r="I1641" s="8" t="n">
        <f aca="false">INDEX(Parâmetros!$C$13:$C$19,MATCH(E1641,Parâmetros!$A$13:$A$19,0))</f>
        <v>550</v>
      </c>
      <c r="J1641" s="26" t="n">
        <f aca="false">IF(H1641="","",Parâmetros!$B$5-H1641)</f>
        <v>244</v>
      </c>
      <c r="K1641" s="10" t="n">
        <f aca="false">INDEX(Parâmetros!$D$13:$D$19,MATCH(E1641,Parâmetros!$A$13:$A$19,0))</f>
        <v>22</v>
      </c>
      <c r="L1641" s="10" t="n">
        <f aca="false">IF(G1641="Prospecting",Parâmetros!$B$9,IF(J1641&gt;Parâmetros!$B$6,0,INDEX(Parâmetros!$C$24:$C$26,MATCH(J1641,Parâmetros!$A$24:$A$26,1))))</f>
        <v>0</v>
      </c>
      <c r="M1641" s="31" t="n">
        <f aca="false">IF(G1641="Prospecting",1,INDEX(Parâmetros!$C$32:$C$35,MATCH(J1641,Parâmetros!$A$32:$A$35,1)))</f>
        <v>0.4</v>
      </c>
      <c r="N1641" s="2" t="n">
        <f aca="false">ROUND((K1641+L1641)*M1641,0)</f>
        <v>9</v>
      </c>
      <c r="O1641" s="10" t="str">
        <f aca="false">IF(AND(G1641="Engaging",J1641&gt;Parâmetros!$B$6),"Sim","Não")</f>
        <v>Sim</v>
      </c>
      <c r="P1641" s="32" t="str">
        <f aca="false">IF(O1641="Sim","R",IF(N1641&gt;=Parâmetros!$B$39,"A",IF(N1641&gt;=Parâmetros!$B$40,"B",IF(N1641&gt;=Parâmetros!$B$41,"C","D"))))</f>
        <v>R</v>
      </c>
      <c r="Q1641" s="10" t="str">
        <f aca="false">IF(F1641="","Completar cadastro","")</f>
        <v/>
      </c>
      <c r="R1641" s="10" t="str">
        <f aca="false">INDEX(Parâmetros!$D$39:$D$43,MATCH(P1641,Parâmetros!$A$39:$A$43,0))</f>
        <v>Reciclar: requalificar, reengajar ou encerrar</v>
      </c>
    </row>
    <row r="1642" customFormat="false" ht="15" hidden="false" customHeight="false" outlineLevel="0" collapsed="false">
      <c r="A1642" s="10" t="s">
        <v>1888</v>
      </c>
      <c r="B1642" s="10" t="s">
        <v>94</v>
      </c>
      <c r="C1642" s="10" t="s">
        <v>92</v>
      </c>
      <c r="D1642" s="10" t="s">
        <v>160</v>
      </c>
      <c r="E1642" s="10" t="s">
        <v>51</v>
      </c>
      <c r="F1642" s="10" t="s">
        <v>274</v>
      </c>
      <c r="G1642" s="10" t="s">
        <v>162</v>
      </c>
      <c r="H1642" s="30" t="n">
        <v>42856</v>
      </c>
      <c r="I1642" s="8" t="n">
        <f aca="false">INDEX(Parâmetros!$C$13:$C$19,MATCH(E1642,Parâmetros!$A$13:$A$19,0))</f>
        <v>550</v>
      </c>
      <c r="J1642" s="26" t="n">
        <f aca="false">IF(H1642="","",Parâmetros!$B$5-H1642)</f>
        <v>244</v>
      </c>
      <c r="K1642" s="10" t="n">
        <f aca="false">INDEX(Parâmetros!$D$13:$D$19,MATCH(E1642,Parâmetros!$A$13:$A$19,0))</f>
        <v>22</v>
      </c>
      <c r="L1642" s="10" t="n">
        <f aca="false">IF(G1642="Prospecting",Parâmetros!$B$9,IF(J1642&gt;Parâmetros!$B$6,0,INDEX(Parâmetros!$C$24:$C$26,MATCH(J1642,Parâmetros!$A$24:$A$26,1))))</f>
        <v>0</v>
      </c>
      <c r="M1642" s="31" t="n">
        <f aca="false">IF(G1642="Prospecting",1,INDEX(Parâmetros!$C$32:$C$35,MATCH(J1642,Parâmetros!$A$32:$A$35,1)))</f>
        <v>0.4</v>
      </c>
      <c r="N1642" s="2" t="n">
        <f aca="false">ROUND((K1642+L1642)*M1642,0)</f>
        <v>9</v>
      </c>
      <c r="O1642" s="10" t="str">
        <f aca="false">IF(AND(G1642="Engaging",J1642&gt;Parâmetros!$B$6),"Sim","Não")</f>
        <v>Sim</v>
      </c>
      <c r="P1642" s="32" t="str">
        <f aca="false">IF(O1642="Sim","R",IF(N1642&gt;=Parâmetros!$B$39,"A",IF(N1642&gt;=Parâmetros!$B$40,"B",IF(N1642&gt;=Parâmetros!$B$41,"C","D"))))</f>
        <v>R</v>
      </c>
      <c r="Q1642" s="10" t="str">
        <f aca="false">IF(F1642="","Completar cadastro","")</f>
        <v/>
      </c>
      <c r="R1642" s="10" t="str">
        <f aca="false">INDEX(Parâmetros!$D$39:$D$43,MATCH(P1642,Parâmetros!$A$39:$A$43,0))</f>
        <v>Reciclar: requalificar, reengajar ou encerrar</v>
      </c>
    </row>
    <row r="1643" customFormat="false" ht="15" hidden="false" customHeight="false" outlineLevel="0" collapsed="false">
      <c r="A1643" s="10" t="s">
        <v>1889</v>
      </c>
      <c r="B1643" s="10" t="s">
        <v>68</v>
      </c>
      <c r="C1643" s="10" t="s">
        <v>65</v>
      </c>
      <c r="D1643" s="10" t="s">
        <v>160</v>
      </c>
      <c r="E1643" s="10" t="s">
        <v>51</v>
      </c>
      <c r="F1643" s="10" t="s">
        <v>277</v>
      </c>
      <c r="G1643" s="10" t="s">
        <v>162</v>
      </c>
      <c r="H1643" s="30" t="n">
        <v>42860</v>
      </c>
      <c r="I1643" s="8" t="n">
        <f aca="false">INDEX(Parâmetros!$C$13:$C$19,MATCH(E1643,Parâmetros!$A$13:$A$19,0))</f>
        <v>550</v>
      </c>
      <c r="J1643" s="26" t="n">
        <f aca="false">IF(H1643="","",Parâmetros!$B$5-H1643)</f>
        <v>240</v>
      </c>
      <c r="K1643" s="10" t="n">
        <f aca="false">INDEX(Parâmetros!$D$13:$D$19,MATCH(E1643,Parâmetros!$A$13:$A$19,0))</f>
        <v>22</v>
      </c>
      <c r="L1643" s="10" t="n">
        <f aca="false">IF(G1643="Prospecting",Parâmetros!$B$9,IF(J1643&gt;Parâmetros!$B$6,0,INDEX(Parâmetros!$C$24:$C$26,MATCH(J1643,Parâmetros!$A$24:$A$26,1))))</f>
        <v>0</v>
      </c>
      <c r="M1643" s="31" t="n">
        <f aca="false">IF(G1643="Prospecting",1,INDEX(Parâmetros!$C$32:$C$35,MATCH(J1643,Parâmetros!$A$32:$A$35,1)))</f>
        <v>0.4</v>
      </c>
      <c r="N1643" s="2" t="n">
        <f aca="false">ROUND((K1643+L1643)*M1643,0)</f>
        <v>9</v>
      </c>
      <c r="O1643" s="10" t="str">
        <f aca="false">IF(AND(G1643="Engaging",J1643&gt;Parâmetros!$B$6),"Sim","Não")</f>
        <v>Sim</v>
      </c>
      <c r="P1643" s="32" t="str">
        <f aca="false">IF(O1643="Sim","R",IF(N1643&gt;=Parâmetros!$B$39,"A",IF(N1643&gt;=Parâmetros!$B$40,"B",IF(N1643&gt;=Parâmetros!$B$41,"C","D"))))</f>
        <v>R</v>
      </c>
      <c r="Q1643" s="10" t="str">
        <f aca="false">IF(F1643="","Completar cadastro","")</f>
        <v/>
      </c>
      <c r="R1643" s="10" t="str">
        <f aca="false">INDEX(Parâmetros!$D$39:$D$43,MATCH(P1643,Parâmetros!$A$39:$A$43,0))</f>
        <v>Reciclar: requalificar, reengajar ou encerrar</v>
      </c>
    </row>
    <row r="1644" customFormat="false" ht="15" hidden="false" customHeight="false" outlineLevel="0" collapsed="false">
      <c r="A1644" s="10" t="s">
        <v>1890</v>
      </c>
      <c r="B1644" s="10" t="s">
        <v>68</v>
      </c>
      <c r="C1644" s="10" t="s">
        <v>65</v>
      </c>
      <c r="D1644" s="10" t="s">
        <v>160</v>
      </c>
      <c r="E1644" s="10" t="s">
        <v>51</v>
      </c>
      <c r="F1644" s="10"/>
      <c r="G1644" s="10" t="s">
        <v>162</v>
      </c>
      <c r="H1644" s="30" t="n">
        <v>42860</v>
      </c>
      <c r="I1644" s="8" t="n">
        <f aca="false">INDEX(Parâmetros!$C$13:$C$19,MATCH(E1644,Parâmetros!$A$13:$A$19,0))</f>
        <v>550</v>
      </c>
      <c r="J1644" s="26" t="n">
        <f aca="false">IF(H1644="","",Parâmetros!$B$5-H1644)</f>
        <v>240</v>
      </c>
      <c r="K1644" s="10" t="n">
        <f aca="false">INDEX(Parâmetros!$D$13:$D$19,MATCH(E1644,Parâmetros!$A$13:$A$19,0))</f>
        <v>22</v>
      </c>
      <c r="L1644" s="10" t="n">
        <f aca="false">IF(G1644="Prospecting",Parâmetros!$B$9,IF(J1644&gt;Parâmetros!$B$6,0,INDEX(Parâmetros!$C$24:$C$26,MATCH(J1644,Parâmetros!$A$24:$A$26,1))))</f>
        <v>0</v>
      </c>
      <c r="M1644" s="31" t="n">
        <f aca="false">IF(G1644="Prospecting",1,INDEX(Parâmetros!$C$32:$C$35,MATCH(J1644,Parâmetros!$A$32:$A$35,1)))</f>
        <v>0.4</v>
      </c>
      <c r="N1644" s="2" t="n">
        <f aca="false">ROUND((K1644+L1644)*M1644,0)</f>
        <v>9</v>
      </c>
      <c r="O1644" s="10" t="str">
        <f aca="false">IF(AND(G1644="Engaging",J1644&gt;Parâmetros!$B$6),"Sim","Não")</f>
        <v>Sim</v>
      </c>
      <c r="P1644" s="32" t="str">
        <f aca="false">IF(O1644="Sim","R",IF(N1644&gt;=Parâmetros!$B$39,"A",IF(N1644&gt;=Parâmetros!$B$40,"B",IF(N1644&gt;=Parâmetros!$B$41,"C","D"))))</f>
        <v>R</v>
      </c>
      <c r="Q1644" s="10" t="str">
        <f aca="false">IF(F1644="","Completar cadastro","")</f>
        <v>Completar cadastro</v>
      </c>
      <c r="R1644" s="10" t="str">
        <f aca="false">INDEX(Parâmetros!$D$39:$D$43,MATCH(P1644,Parâmetros!$A$39:$A$43,0))</f>
        <v>Reciclar: requalificar, reengajar ou encerrar</v>
      </c>
    </row>
    <row r="1645" customFormat="false" ht="15" hidden="false" customHeight="false" outlineLevel="0" collapsed="false">
      <c r="A1645" s="10" t="s">
        <v>1891</v>
      </c>
      <c r="B1645" s="10" t="s">
        <v>95</v>
      </c>
      <c r="C1645" s="10" t="s">
        <v>92</v>
      </c>
      <c r="D1645" s="10" t="s">
        <v>160</v>
      </c>
      <c r="E1645" s="10" t="s">
        <v>51</v>
      </c>
      <c r="F1645" s="10" t="s">
        <v>185</v>
      </c>
      <c r="G1645" s="10" t="s">
        <v>162</v>
      </c>
      <c r="H1645" s="30" t="n">
        <v>42861</v>
      </c>
      <c r="I1645" s="8" t="n">
        <f aca="false">INDEX(Parâmetros!$C$13:$C$19,MATCH(E1645,Parâmetros!$A$13:$A$19,0))</f>
        <v>550</v>
      </c>
      <c r="J1645" s="26" t="n">
        <f aca="false">IF(H1645="","",Parâmetros!$B$5-H1645)</f>
        <v>239</v>
      </c>
      <c r="K1645" s="10" t="n">
        <f aca="false">INDEX(Parâmetros!$D$13:$D$19,MATCH(E1645,Parâmetros!$A$13:$A$19,0))</f>
        <v>22</v>
      </c>
      <c r="L1645" s="10" t="n">
        <f aca="false">IF(G1645="Prospecting",Parâmetros!$B$9,IF(J1645&gt;Parâmetros!$B$6,0,INDEX(Parâmetros!$C$24:$C$26,MATCH(J1645,Parâmetros!$A$24:$A$26,1))))</f>
        <v>0</v>
      </c>
      <c r="M1645" s="31" t="n">
        <f aca="false">IF(G1645="Prospecting",1,INDEX(Parâmetros!$C$32:$C$35,MATCH(J1645,Parâmetros!$A$32:$A$35,1)))</f>
        <v>0.4</v>
      </c>
      <c r="N1645" s="2" t="n">
        <f aca="false">ROUND((K1645+L1645)*M1645,0)</f>
        <v>9</v>
      </c>
      <c r="O1645" s="10" t="str">
        <f aca="false">IF(AND(G1645="Engaging",J1645&gt;Parâmetros!$B$6),"Sim","Não")</f>
        <v>Sim</v>
      </c>
      <c r="P1645" s="32" t="str">
        <f aca="false">IF(O1645="Sim","R",IF(N1645&gt;=Parâmetros!$B$39,"A",IF(N1645&gt;=Parâmetros!$B$40,"B",IF(N1645&gt;=Parâmetros!$B$41,"C","D"))))</f>
        <v>R</v>
      </c>
      <c r="Q1645" s="10" t="str">
        <f aca="false">IF(F1645="","Completar cadastro","")</f>
        <v/>
      </c>
      <c r="R1645" s="10" t="str">
        <f aca="false">INDEX(Parâmetros!$D$39:$D$43,MATCH(P1645,Parâmetros!$A$39:$A$43,0))</f>
        <v>Reciclar: requalificar, reengajar ou encerrar</v>
      </c>
    </row>
    <row r="1646" customFormat="false" ht="15" hidden="false" customHeight="false" outlineLevel="0" collapsed="false">
      <c r="A1646" s="10" t="s">
        <v>1892</v>
      </c>
      <c r="B1646" s="10" t="s">
        <v>68</v>
      </c>
      <c r="C1646" s="10" t="s">
        <v>65</v>
      </c>
      <c r="D1646" s="10" t="s">
        <v>160</v>
      </c>
      <c r="E1646" s="10" t="s">
        <v>51</v>
      </c>
      <c r="F1646" s="10" t="s">
        <v>711</v>
      </c>
      <c r="G1646" s="10" t="s">
        <v>162</v>
      </c>
      <c r="H1646" s="30" t="n">
        <v>42864</v>
      </c>
      <c r="I1646" s="8" t="n">
        <f aca="false">INDEX(Parâmetros!$C$13:$C$19,MATCH(E1646,Parâmetros!$A$13:$A$19,0))</f>
        <v>550</v>
      </c>
      <c r="J1646" s="26" t="n">
        <f aca="false">IF(H1646="","",Parâmetros!$B$5-H1646)</f>
        <v>236</v>
      </c>
      <c r="K1646" s="10" t="n">
        <f aca="false">INDEX(Parâmetros!$D$13:$D$19,MATCH(E1646,Parâmetros!$A$13:$A$19,0))</f>
        <v>22</v>
      </c>
      <c r="L1646" s="10" t="n">
        <f aca="false">IF(G1646="Prospecting",Parâmetros!$B$9,IF(J1646&gt;Parâmetros!$B$6,0,INDEX(Parâmetros!$C$24:$C$26,MATCH(J1646,Parâmetros!$A$24:$A$26,1))))</f>
        <v>0</v>
      </c>
      <c r="M1646" s="31" t="n">
        <f aca="false">IF(G1646="Prospecting",1,INDEX(Parâmetros!$C$32:$C$35,MATCH(J1646,Parâmetros!$A$32:$A$35,1)))</f>
        <v>0.4</v>
      </c>
      <c r="N1646" s="2" t="n">
        <f aca="false">ROUND((K1646+L1646)*M1646,0)</f>
        <v>9</v>
      </c>
      <c r="O1646" s="10" t="str">
        <f aca="false">IF(AND(G1646="Engaging",J1646&gt;Parâmetros!$B$6),"Sim","Não")</f>
        <v>Sim</v>
      </c>
      <c r="P1646" s="32" t="str">
        <f aca="false">IF(O1646="Sim","R",IF(N1646&gt;=Parâmetros!$B$39,"A",IF(N1646&gt;=Parâmetros!$B$40,"B",IF(N1646&gt;=Parâmetros!$B$41,"C","D"))))</f>
        <v>R</v>
      </c>
      <c r="Q1646" s="10" t="str">
        <f aca="false">IF(F1646="","Completar cadastro","")</f>
        <v/>
      </c>
      <c r="R1646" s="10" t="str">
        <f aca="false">INDEX(Parâmetros!$D$39:$D$43,MATCH(P1646,Parâmetros!$A$39:$A$43,0))</f>
        <v>Reciclar: requalificar, reengajar ou encerrar</v>
      </c>
    </row>
    <row r="1647" customFormat="false" ht="15" hidden="false" customHeight="false" outlineLevel="0" collapsed="false">
      <c r="A1647" s="10" t="s">
        <v>1893</v>
      </c>
      <c r="B1647" s="10" t="s">
        <v>97</v>
      </c>
      <c r="C1647" s="10" t="s">
        <v>92</v>
      </c>
      <c r="D1647" s="10" t="s">
        <v>160</v>
      </c>
      <c r="E1647" s="10" t="s">
        <v>51</v>
      </c>
      <c r="F1647" s="10" t="s">
        <v>267</v>
      </c>
      <c r="G1647" s="10" t="s">
        <v>162</v>
      </c>
      <c r="H1647" s="30" t="n">
        <v>42864</v>
      </c>
      <c r="I1647" s="8" t="n">
        <f aca="false">INDEX(Parâmetros!$C$13:$C$19,MATCH(E1647,Parâmetros!$A$13:$A$19,0))</f>
        <v>550</v>
      </c>
      <c r="J1647" s="26" t="n">
        <f aca="false">IF(H1647="","",Parâmetros!$B$5-H1647)</f>
        <v>236</v>
      </c>
      <c r="K1647" s="10" t="n">
        <f aca="false">INDEX(Parâmetros!$D$13:$D$19,MATCH(E1647,Parâmetros!$A$13:$A$19,0))</f>
        <v>22</v>
      </c>
      <c r="L1647" s="10" t="n">
        <f aca="false">IF(G1647="Prospecting",Parâmetros!$B$9,IF(J1647&gt;Parâmetros!$B$6,0,INDEX(Parâmetros!$C$24:$C$26,MATCH(J1647,Parâmetros!$A$24:$A$26,1))))</f>
        <v>0</v>
      </c>
      <c r="M1647" s="31" t="n">
        <f aca="false">IF(G1647="Prospecting",1,INDEX(Parâmetros!$C$32:$C$35,MATCH(J1647,Parâmetros!$A$32:$A$35,1)))</f>
        <v>0.4</v>
      </c>
      <c r="N1647" s="2" t="n">
        <f aca="false">ROUND((K1647+L1647)*M1647,0)</f>
        <v>9</v>
      </c>
      <c r="O1647" s="10" t="str">
        <f aca="false">IF(AND(G1647="Engaging",J1647&gt;Parâmetros!$B$6),"Sim","Não")</f>
        <v>Sim</v>
      </c>
      <c r="P1647" s="32" t="str">
        <f aca="false">IF(O1647="Sim","R",IF(N1647&gt;=Parâmetros!$B$39,"A",IF(N1647&gt;=Parâmetros!$B$40,"B",IF(N1647&gt;=Parâmetros!$B$41,"C","D"))))</f>
        <v>R</v>
      </c>
      <c r="Q1647" s="10" t="str">
        <f aca="false">IF(F1647="","Completar cadastro","")</f>
        <v/>
      </c>
      <c r="R1647" s="10" t="str">
        <f aca="false">INDEX(Parâmetros!$D$39:$D$43,MATCH(P1647,Parâmetros!$A$39:$A$43,0))</f>
        <v>Reciclar: requalificar, reengajar ou encerrar</v>
      </c>
    </row>
    <row r="1648" customFormat="false" ht="15" hidden="false" customHeight="false" outlineLevel="0" collapsed="false">
      <c r="A1648" s="10" t="s">
        <v>1894</v>
      </c>
      <c r="B1648" s="10" t="s">
        <v>94</v>
      </c>
      <c r="C1648" s="10" t="s">
        <v>92</v>
      </c>
      <c r="D1648" s="10" t="s">
        <v>160</v>
      </c>
      <c r="E1648" s="10" t="s">
        <v>51</v>
      </c>
      <c r="F1648" s="10"/>
      <c r="G1648" s="10" t="s">
        <v>162</v>
      </c>
      <c r="H1648" s="30" t="n">
        <v>42865</v>
      </c>
      <c r="I1648" s="8" t="n">
        <f aca="false">INDEX(Parâmetros!$C$13:$C$19,MATCH(E1648,Parâmetros!$A$13:$A$19,0))</f>
        <v>550</v>
      </c>
      <c r="J1648" s="26" t="n">
        <f aca="false">IF(H1648="","",Parâmetros!$B$5-H1648)</f>
        <v>235</v>
      </c>
      <c r="K1648" s="10" t="n">
        <f aca="false">INDEX(Parâmetros!$D$13:$D$19,MATCH(E1648,Parâmetros!$A$13:$A$19,0))</f>
        <v>22</v>
      </c>
      <c r="L1648" s="10" t="n">
        <f aca="false">IF(G1648="Prospecting",Parâmetros!$B$9,IF(J1648&gt;Parâmetros!$B$6,0,INDEX(Parâmetros!$C$24:$C$26,MATCH(J1648,Parâmetros!$A$24:$A$26,1))))</f>
        <v>0</v>
      </c>
      <c r="M1648" s="31" t="n">
        <f aca="false">IF(G1648="Prospecting",1,INDEX(Parâmetros!$C$32:$C$35,MATCH(J1648,Parâmetros!$A$32:$A$35,1)))</f>
        <v>0.4</v>
      </c>
      <c r="N1648" s="2" t="n">
        <f aca="false">ROUND((K1648+L1648)*M1648,0)</f>
        <v>9</v>
      </c>
      <c r="O1648" s="10" t="str">
        <f aca="false">IF(AND(G1648="Engaging",J1648&gt;Parâmetros!$B$6),"Sim","Não")</f>
        <v>Sim</v>
      </c>
      <c r="P1648" s="32" t="str">
        <f aca="false">IF(O1648="Sim","R",IF(N1648&gt;=Parâmetros!$B$39,"A",IF(N1648&gt;=Parâmetros!$B$40,"B",IF(N1648&gt;=Parâmetros!$B$41,"C","D"))))</f>
        <v>R</v>
      </c>
      <c r="Q1648" s="10" t="str">
        <f aca="false">IF(F1648="","Completar cadastro","")</f>
        <v>Completar cadastro</v>
      </c>
      <c r="R1648" s="10" t="str">
        <f aca="false">INDEX(Parâmetros!$D$39:$D$43,MATCH(P1648,Parâmetros!$A$39:$A$43,0))</f>
        <v>Reciclar: requalificar, reengajar ou encerrar</v>
      </c>
    </row>
    <row r="1649" customFormat="false" ht="15" hidden="false" customHeight="false" outlineLevel="0" collapsed="false">
      <c r="A1649" s="10" t="s">
        <v>1895</v>
      </c>
      <c r="B1649" s="10" t="s">
        <v>94</v>
      </c>
      <c r="C1649" s="10" t="s">
        <v>92</v>
      </c>
      <c r="D1649" s="10" t="s">
        <v>160</v>
      </c>
      <c r="E1649" s="10" t="s">
        <v>51</v>
      </c>
      <c r="F1649" s="10"/>
      <c r="G1649" s="10" t="s">
        <v>162</v>
      </c>
      <c r="H1649" s="30" t="n">
        <v>42865</v>
      </c>
      <c r="I1649" s="8" t="n">
        <f aca="false">INDEX(Parâmetros!$C$13:$C$19,MATCH(E1649,Parâmetros!$A$13:$A$19,0))</f>
        <v>550</v>
      </c>
      <c r="J1649" s="26" t="n">
        <f aca="false">IF(H1649="","",Parâmetros!$B$5-H1649)</f>
        <v>235</v>
      </c>
      <c r="K1649" s="10" t="n">
        <f aca="false">INDEX(Parâmetros!$D$13:$D$19,MATCH(E1649,Parâmetros!$A$13:$A$19,0))</f>
        <v>22</v>
      </c>
      <c r="L1649" s="10" t="n">
        <f aca="false">IF(G1649="Prospecting",Parâmetros!$B$9,IF(J1649&gt;Parâmetros!$B$6,0,INDEX(Parâmetros!$C$24:$C$26,MATCH(J1649,Parâmetros!$A$24:$A$26,1))))</f>
        <v>0</v>
      </c>
      <c r="M1649" s="31" t="n">
        <f aca="false">IF(G1649="Prospecting",1,INDEX(Parâmetros!$C$32:$C$35,MATCH(J1649,Parâmetros!$A$32:$A$35,1)))</f>
        <v>0.4</v>
      </c>
      <c r="N1649" s="2" t="n">
        <f aca="false">ROUND((K1649+L1649)*M1649,0)</f>
        <v>9</v>
      </c>
      <c r="O1649" s="10" t="str">
        <f aca="false">IF(AND(G1649="Engaging",J1649&gt;Parâmetros!$B$6),"Sim","Não")</f>
        <v>Sim</v>
      </c>
      <c r="P1649" s="32" t="str">
        <f aca="false">IF(O1649="Sim","R",IF(N1649&gt;=Parâmetros!$B$39,"A",IF(N1649&gt;=Parâmetros!$B$40,"B",IF(N1649&gt;=Parâmetros!$B$41,"C","D"))))</f>
        <v>R</v>
      </c>
      <c r="Q1649" s="10" t="str">
        <f aca="false">IF(F1649="","Completar cadastro","")</f>
        <v>Completar cadastro</v>
      </c>
      <c r="R1649" s="10" t="str">
        <f aca="false">INDEX(Parâmetros!$D$39:$D$43,MATCH(P1649,Parâmetros!$A$39:$A$43,0))</f>
        <v>Reciclar: requalificar, reengajar ou encerrar</v>
      </c>
    </row>
    <row r="1650" customFormat="false" ht="15" hidden="false" customHeight="false" outlineLevel="0" collapsed="false">
      <c r="A1650" s="10" t="s">
        <v>1896</v>
      </c>
      <c r="B1650" s="10" t="s">
        <v>70</v>
      </c>
      <c r="C1650" s="10" t="s">
        <v>65</v>
      </c>
      <c r="D1650" s="10" t="s">
        <v>160</v>
      </c>
      <c r="E1650" s="10" t="s">
        <v>51</v>
      </c>
      <c r="F1650" s="10" t="s">
        <v>353</v>
      </c>
      <c r="G1650" s="10" t="s">
        <v>162</v>
      </c>
      <c r="H1650" s="30" t="n">
        <v>42865</v>
      </c>
      <c r="I1650" s="8" t="n">
        <f aca="false">INDEX(Parâmetros!$C$13:$C$19,MATCH(E1650,Parâmetros!$A$13:$A$19,0))</f>
        <v>550</v>
      </c>
      <c r="J1650" s="26" t="n">
        <f aca="false">IF(H1650="","",Parâmetros!$B$5-H1650)</f>
        <v>235</v>
      </c>
      <c r="K1650" s="10" t="n">
        <f aca="false">INDEX(Parâmetros!$D$13:$D$19,MATCH(E1650,Parâmetros!$A$13:$A$19,0))</f>
        <v>22</v>
      </c>
      <c r="L1650" s="10" t="n">
        <f aca="false">IF(G1650="Prospecting",Parâmetros!$B$9,IF(J1650&gt;Parâmetros!$B$6,0,INDEX(Parâmetros!$C$24:$C$26,MATCH(J1650,Parâmetros!$A$24:$A$26,1))))</f>
        <v>0</v>
      </c>
      <c r="M1650" s="31" t="n">
        <f aca="false">IF(G1650="Prospecting",1,INDEX(Parâmetros!$C$32:$C$35,MATCH(J1650,Parâmetros!$A$32:$A$35,1)))</f>
        <v>0.4</v>
      </c>
      <c r="N1650" s="2" t="n">
        <f aca="false">ROUND((K1650+L1650)*M1650,0)</f>
        <v>9</v>
      </c>
      <c r="O1650" s="10" t="str">
        <f aca="false">IF(AND(G1650="Engaging",J1650&gt;Parâmetros!$B$6),"Sim","Não")</f>
        <v>Sim</v>
      </c>
      <c r="P1650" s="32" t="str">
        <f aca="false">IF(O1650="Sim","R",IF(N1650&gt;=Parâmetros!$B$39,"A",IF(N1650&gt;=Parâmetros!$B$40,"B",IF(N1650&gt;=Parâmetros!$B$41,"C","D"))))</f>
        <v>R</v>
      </c>
      <c r="Q1650" s="10" t="str">
        <f aca="false">IF(F1650="","Completar cadastro","")</f>
        <v/>
      </c>
      <c r="R1650" s="10" t="str">
        <f aca="false">INDEX(Parâmetros!$D$39:$D$43,MATCH(P1650,Parâmetros!$A$39:$A$43,0))</f>
        <v>Reciclar: requalificar, reengajar ou encerrar</v>
      </c>
    </row>
    <row r="1651" customFormat="false" ht="15" hidden="false" customHeight="false" outlineLevel="0" collapsed="false">
      <c r="A1651" s="10" t="s">
        <v>1897</v>
      </c>
      <c r="B1651" s="10" t="s">
        <v>84</v>
      </c>
      <c r="C1651" s="10" t="s">
        <v>85</v>
      </c>
      <c r="D1651" s="10" t="s">
        <v>165</v>
      </c>
      <c r="E1651" s="10" t="s">
        <v>51</v>
      </c>
      <c r="F1651" s="10" t="s">
        <v>616</v>
      </c>
      <c r="G1651" s="10" t="s">
        <v>162</v>
      </c>
      <c r="H1651" s="30" t="n">
        <v>42866</v>
      </c>
      <c r="I1651" s="8" t="n">
        <f aca="false">INDEX(Parâmetros!$C$13:$C$19,MATCH(E1651,Parâmetros!$A$13:$A$19,0))</f>
        <v>550</v>
      </c>
      <c r="J1651" s="26" t="n">
        <f aca="false">IF(H1651="","",Parâmetros!$B$5-H1651)</f>
        <v>234</v>
      </c>
      <c r="K1651" s="10" t="n">
        <f aca="false">INDEX(Parâmetros!$D$13:$D$19,MATCH(E1651,Parâmetros!$A$13:$A$19,0))</f>
        <v>22</v>
      </c>
      <c r="L1651" s="10" t="n">
        <f aca="false">IF(G1651="Prospecting",Parâmetros!$B$9,IF(J1651&gt;Parâmetros!$B$6,0,INDEX(Parâmetros!$C$24:$C$26,MATCH(J1651,Parâmetros!$A$24:$A$26,1))))</f>
        <v>0</v>
      </c>
      <c r="M1651" s="31" t="n">
        <f aca="false">IF(G1651="Prospecting",1,INDEX(Parâmetros!$C$32:$C$35,MATCH(J1651,Parâmetros!$A$32:$A$35,1)))</f>
        <v>0.4</v>
      </c>
      <c r="N1651" s="2" t="n">
        <f aca="false">ROUND((K1651+L1651)*M1651,0)</f>
        <v>9</v>
      </c>
      <c r="O1651" s="10" t="str">
        <f aca="false">IF(AND(G1651="Engaging",J1651&gt;Parâmetros!$B$6),"Sim","Não")</f>
        <v>Sim</v>
      </c>
      <c r="P1651" s="32" t="str">
        <f aca="false">IF(O1651="Sim","R",IF(N1651&gt;=Parâmetros!$B$39,"A",IF(N1651&gt;=Parâmetros!$B$40,"B",IF(N1651&gt;=Parâmetros!$B$41,"C","D"))))</f>
        <v>R</v>
      </c>
      <c r="Q1651" s="10" t="str">
        <f aca="false">IF(F1651="","Completar cadastro","")</f>
        <v/>
      </c>
      <c r="R1651" s="10" t="str">
        <f aca="false">INDEX(Parâmetros!$D$39:$D$43,MATCH(P1651,Parâmetros!$A$39:$A$43,0))</f>
        <v>Reciclar: requalificar, reengajar ou encerrar</v>
      </c>
    </row>
    <row r="1652" customFormat="false" ht="15" hidden="false" customHeight="false" outlineLevel="0" collapsed="false">
      <c r="A1652" s="10" t="s">
        <v>1898</v>
      </c>
      <c r="B1652" s="10" t="s">
        <v>86</v>
      </c>
      <c r="C1652" s="10" t="s">
        <v>85</v>
      </c>
      <c r="D1652" s="10" t="s">
        <v>165</v>
      </c>
      <c r="E1652" s="10" t="s">
        <v>51</v>
      </c>
      <c r="F1652" s="10" t="s">
        <v>293</v>
      </c>
      <c r="G1652" s="10" t="s">
        <v>162</v>
      </c>
      <c r="H1652" s="30" t="n">
        <v>42866</v>
      </c>
      <c r="I1652" s="8" t="n">
        <f aca="false">INDEX(Parâmetros!$C$13:$C$19,MATCH(E1652,Parâmetros!$A$13:$A$19,0))</f>
        <v>550</v>
      </c>
      <c r="J1652" s="26" t="n">
        <f aca="false">IF(H1652="","",Parâmetros!$B$5-H1652)</f>
        <v>234</v>
      </c>
      <c r="K1652" s="10" t="n">
        <f aca="false">INDEX(Parâmetros!$D$13:$D$19,MATCH(E1652,Parâmetros!$A$13:$A$19,0))</f>
        <v>22</v>
      </c>
      <c r="L1652" s="10" t="n">
        <f aca="false">IF(G1652="Prospecting",Parâmetros!$B$9,IF(J1652&gt;Parâmetros!$B$6,0,INDEX(Parâmetros!$C$24:$C$26,MATCH(J1652,Parâmetros!$A$24:$A$26,1))))</f>
        <v>0</v>
      </c>
      <c r="M1652" s="31" t="n">
        <f aca="false">IF(G1652="Prospecting",1,INDEX(Parâmetros!$C$32:$C$35,MATCH(J1652,Parâmetros!$A$32:$A$35,1)))</f>
        <v>0.4</v>
      </c>
      <c r="N1652" s="2" t="n">
        <f aca="false">ROUND((K1652+L1652)*M1652,0)</f>
        <v>9</v>
      </c>
      <c r="O1652" s="10" t="str">
        <f aca="false">IF(AND(G1652="Engaging",J1652&gt;Parâmetros!$B$6),"Sim","Não")</f>
        <v>Sim</v>
      </c>
      <c r="P1652" s="32" t="str">
        <f aca="false">IF(O1652="Sim","R",IF(N1652&gt;=Parâmetros!$B$39,"A",IF(N1652&gt;=Parâmetros!$B$40,"B",IF(N1652&gt;=Parâmetros!$B$41,"C","D"))))</f>
        <v>R</v>
      </c>
      <c r="Q1652" s="10" t="str">
        <f aca="false">IF(F1652="","Completar cadastro","")</f>
        <v/>
      </c>
      <c r="R1652" s="10" t="str">
        <f aca="false">INDEX(Parâmetros!$D$39:$D$43,MATCH(P1652,Parâmetros!$A$39:$A$43,0))</f>
        <v>Reciclar: requalificar, reengajar ou encerrar</v>
      </c>
    </row>
    <row r="1653" customFormat="false" ht="15" hidden="false" customHeight="false" outlineLevel="0" collapsed="false">
      <c r="A1653" s="10" t="s">
        <v>1899</v>
      </c>
      <c r="B1653" s="10" t="s">
        <v>94</v>
      </c>
      <c r="C1653" s="10" t="s">
        <v>92</v>
      </c>
      <c r="D1653" s="10" t="s">
        <v>160</v>
      </c>
      <c r="E1653" s="10" t="s">
        <v>51</v>
      </c>
      <c r="F1653" s="10"/>
      <c r="G1653" s="10" t="s">
        <v>162</v>
      </c>
      <c r="H1653" s="30" t="n">
        <v>42866</v>
      </c>
      <c r="I1653" s="8" t="n">
        <f aca="false">INDEX(Parâmetros!$C$13:$C$19,MATCH(E1653,Parâmetros!$A$13:$A$19,0))</f>
        <v>550</v>
      </c>
      <c r="J1653" s="26" t="n">
        <f aca="false">IF(H1653="","",Parâmetros!$B$5-H1653)</f>
        <v>234</v>
      </c>
      <c r="K1653" s="10" t="n">
        <f aca="false">INDEX(Parâmetros!$D$13:$D$19,MATCH(E1653,Parâmetros!$A$13:$A$19,0))</f>
        <v>22</v>
      </c>
      <c r="L1653" s="10" t="n">
        <f aca="false">IF(G1653="Prospecting",Parâmetros!$B$9,IF(J1653&gt;Parâmetros!$B$6,0,INDEX(Parâmetros!$C$24:$C$26,MATCH(J1653,Parâmetros!$A$24:$A$26,1))))</f>
        <v>0</v>
      </c>
      <c r="M1653" s="31" t="n">
        <f aca="false">IF(G1653="Prospecting",1,INDEX(Parâmetros!$C$32:$C$35,MATCH(J1653,Parâmetros!$A$32:$A$35,1)))</f>
        <v>0.4</v>
      </c>
      <c r="N1653" s="2" t="n">
        <f aca="false">ROUND((K1653+L1653)*M1653,0)</f>
        <v>9</v>
      </c>
      <c r="O1653" s="10" t="str">
        <f aca="false">IF(AND(G1653="Engaging",J1653&gt;Parâmetros!$B$6),"Sim","Não")</f>
        <v>Sim</v>
      </c>
      <c r="P1653" s="32" t="str">
        <f aca="false">IF(O1653="Sim","R",IF(N1653&gt;=Parâmetros!$B$39,"A",IF(N1653&gt;=Parâmetros!$B$40,"B",IF(N1653&gt;=Parâmetros!$B$41,"C","D"))))</f>
        <v>R</v>
      </c>
      <c r="Q1653" s="10" t="str">
        <f aca="false">IF(F1653="","Completar cadastro","")</f>
        <v>Completar cadastro</v>
      </c>
      <c r="R1653" s="10" t="str">
        <f aca="false">INDEX(Parâmetros!$D$39:$D$43,MATCH(P1653,Parâmetros!$A$39:$A$43,0))</f>
        <v>Reciclar: requalificar, reengajar ou encerrar</v>
      </c>
    </row>
    <row r="1654" customFormat="false" ht="15" hidden="false" customHeight="false" outlineLevel="0" collapsed="false">
      <c r="A1654" s="10" t="s">
        <v>1900</v>
      </c>
      <c r="B1654" s="10" t="s">
        <v>95</v>
      </c>
      <c r="C1654" s="10" t="s">
        <v>92</v>
      </c>
      <c r="D1654" s="10" t="s">
        <v>160</v>
      </c>
      <c r="E1654" s="10" t="s">
        <v>51</v>
      </c>
      <c r="F1654" s="10" t="s">
        <v>422</v>
      </c>
      <c r="G1654" s="10" t="s">
        <v>162</v>
      </c>
      <c r="H1654" s="30" t="n">
        <v>42866</v>
      </c>
      <c r="I1654" s="8" t="n">
        <f aca="false">INDEX(Parâmetros!$C$13:$C$19,MATCH(E1654,Parâmetros!$A$13:$A$19,0))</f>
        <v>550</v>
      </c>
      <c r="J1654" s="26" t="n">
        <f aca="false">IF(H1654="","",Parâmetros!$B$5-H1654)</f>
        <v>234</v>
      </c>
      <c r="K1654" s="10" t="n">
        <f aca="false">INDEX(Parâmetros!$D$13:$D$19,MATCH(E1654,Parâmetros!$A$13:$A$19,0))</f>
        <v>22</v>
      </c>
      <c r="L1654" s="10" t="n">
        <f aca="false">IF(G1654="Prospecting",Parâmetros!$B$9,IF(J1654&gt;Parâmetros!$B$6,0,INDEX(Parâmetros!$C$24:$C$26,MATCH(J1654,Parâmetros!$A$24:$A$26,1))))</f>
        <v>0</v>
      </c>
      <c r="M1654" s="31" t="n">
        <f aca="false">IF(G1654="Prospecting",1,INDEX(Parâmetros!$C$32:$C$35,MATCH(J1654,Parâmetros!$A$32:$A$35,1)))</f>
        <v>0.4</v>
      </c>
      <c r="N1654" s="2" t="n">
        <f aca="false">ROUND((K1654+L1654)*M1654,0)</f>
        <v>9</v>
      </c>
      <c r="O1654" s="10" t="str">
        <f aca="false">IF(AND(G1654="Engaging",J1654&gt;Parâmetros!$B$6),"Sim","Não")</f>
        <v>Sim</v>
      </c>
      <c r="P1654" s="32" t="str">
        <f aca="false">IF(O1654="Sim","R",IF(N1654&gt;=Parâmetros!$B$39,"A",IF(N1654&gt;=Parâmetros!$B$40,"B",IF(N1654&gt;=Parâmetros!$B$41,"C","D"))))</f>
        <v>R</v>
      </c>
      <c r="Q1654" s="10" t="str">
        <f aca="false">IF(F1654="","Completar cadastro","")</f>
        <v/>
      </c>
      <c r="R1654" s="10" t="str">
        <f aca="false">INDEX(Parâmetros!$D$39:$D$43,MATCH(P1654,Parâmetros!$A$39:$A$43,0))</f>
        <v>Reciclar: requalificar, reengajar ou encerrar</v>
      </c>
    </row>
    <row r="1655" customFormat="false" ht="15" hidden="false" customHeight="false" outlineLevel="0" collapsed="false">
      <c r="A1655" s="10" t="s">
        <v>1901</v>
      </c>
      <c r="B1655" s="10" t="s">
        <v>96</v>
      </c>
      <c r="C1655" s="10" t="s">
        <v>92</v>
      </c>
      <c r="D1655" s="10" t="s">
        <v>160</v>
      </c>
      <c r="E1655" s="10" t="s">
        <v>51</v>
      </c>
      <c r="F1655" s="10"/>
      <c r="G1655" s="10" t="s">
        <v>162</v>
      </c>
      <c r="H1655" s="30" t="n">
        <v>42869</v>
      </c>
      <c r="I1655" s="8" t="n">
        <f aca="false">INDEX(Parâmetros!$C$13:$C$19,MATCH(E1655,Parâmetros!$A$13:$A$19,0))</f>
        <v>550</v>
      </c>
      <c r="J1655" s="26" t="n">
        <f aca="false">IF(H1655="","",Parâmetros!$B$5-H1655)</f>
        <v>231</v>
      </c>
      <c r="K1655" s="10" t="n">
        <f aca="false">INDEX(Parâmetros!$D$13:$D$19,MATCH(E1655,Parâmetros!$A$13:$A$19,0))</f>
        <v>22</v>
      </c>
      <c r="L1655" s="10" t="n">
        <f aca="false">IF(G1655="Prospecting",Parâmetros!$B$9,IF(J1655&gt;Parâmetros!$B$6,0,INDEX(Parâmetros!$C$24:$C$26,MATCH(J1655,Parâmetros!$A$24:$A$26,1))))</f>
        <v>0</v>
      </c>
      <c r="M1655" s="31" t="n">
        <f aca="false">IF(G1655="Prospecting",1,INDEX(Parâmetros!$C$32:$C$35,MATCH(J1655,Parâmetros!$A$32:$A$35,1)))</f>
        <v>0.4</v>
      </c>
      <c r="N1655" s="2" t="n">
        <f aca="false">ROUND((K1655+L1655)*M1655,0)</f>
        <v>9</v>
      </c>
      <c r="O1655" s="10" t="str">
        <f aca="false">IF(AND(G1655="Engaging",J1655&gt;Parâmetros!$B$6),"Sim","Não")</f>
        <v>Sim</v>
      </c>
      <c r="P1655" s="32" t="str">
        <f aca="false">IF(O1655="Sim","R",IF(N1655&gt;=Parâmetros!$B$39,"A",IF(N1655&gt;=Parâmetros!$B$40,"B",IF(N1655&gt;=Parâmetros!$B$41,"C","D"))))</f>
        <v>R</v>
      </c>
      <c r="Q1655" s="10" t="str">
        <f aca="false">IF(F1655="","Completar cadastro","")</f>
        <v>Completar cadastro</v>
      </c>
      <c r="R1655" s="10" t="str">
        <f aca="false">INDEX(Parâmetros!$D$39:$D$43,MATCH(P1655,Parâmetros!$A$39:$A$43,0))</f>
        <v>Reciclar: requalificar, reengajar ou encerrar</v>
      </c>
    </row>
    <row r="1656" customFormat="false" ht="15" hidden="false" customHeight="false" outlineLevel="0" collapsed="false">
      <c r="A1656" s="10" t="s">
        <v>1902</v>
      </c>
      <c r="B1656" s="10" t="s">
        <v>70</v>
      </c>
      <c r="C1656" s="10" t="s">
        <v>65</v>
      </c>
      <c r="D1656" s="10" t="s">
        <v>160</v>
      </c>
      <c r="E1656" s="10" t="s">
        <v>51</v>
      </c>
      <c r="F1656" s="10"/>
      <c r="G1656" s="10" t="s">
        <v>162</v>
      </c>
      <c r="H1656" s="30" t="n">
        <v>42869</v>
      </c>
      <c r="I1656" s="8" t="n">
        <f aca="false">INDEX(Parâmetros!$C$13:$C$19,MATCH(E1656,Parâmetros!$A$13:$A$19,0))</f>
        <v>550</v>
      </c>
      <c r="J1656" s="26" t="n">
        <f aca="false">IF(H1656="","",Parâmetros!$B$5-H1656)</f>
        <v>231</v>
      </c>
      <c r="K1656" s="10" t="n">
        <f aca="false">INDEX(Parâmetros!$D$13:$D$19,MATCH(E1656,Parâmetros!$A$13:$A$19,0))</f>
        <v>22</v>
      </c>
      <c r="L1656" s="10" t="n">
        <f aca="false">IF(G1656="Prospecting",Parâmetros!$B$9,IF(J1656&gt;Parâmetros!$B$6,0,INDEX(Parâmetros!$C$24:$C$26,MATCH(J1656,Parâmetros!$A$24:$A$26,1))))</f>
        <v>0</v>
      </c>
      <c r="M1656" s="31" t="n">
        <f aca="false">IF(G1656="Prospecting",1,INDEX(Parâmetros!$C$32:$C$35,MATCH(J1656,Parâmetros!$A$32:$A$35,1)))</f>
        <v>0.4</v>
      </c>
      <c r="N1656" s="2" t="n">
        <f aca="false">ROUND((K1656+L1656)*M1656,0)</f>
        <v>9</v>
      </c>
      <c r="O1656" s="10" t="str">
        <f aca="false">IF(AND(G1656="Engaging",J1656&gt;Parâmetros!$B$6),"Sim","Não")</f>
        <v>Sim</v>
      </c>
      <c r="P1656" s="32" t="str">
        <f aca="false">IF(O1656="Sim","R",IF(N1656&gt;=Parâmetros!$B$39,"A",IF(N1656&gt;=Parâmetros!$B$40,"B",IF(N1656&gt;=Parâmetros!$B$41,"C","D"))))</f>
        <v>R</v>
      </c>
      <c r="Q1656" s="10" t="str">
        <f aca="false">IF(F1656="","Completar cadastro","")</f>
        <v>Completar cadastro</v>
      </c>
      <c r="R1656" s="10" t="str">
        <f aca="false">INDEX(Parâmetros!$D$39:$D$43,MATCH(P1656,Parâmetros!$A$39:$A$43,0))</f>
        <v>Reciclar: requalificar, reengajar ou encerrar</v>
      </c>
    </row>
    <row r="1657" customFormat="false" ht="15" hidden="false" customHeight="false" outlineLevel="0" collapsed="false">
      <c r="A1657" s="10" t="s">
        <v>1903</v>
      </c>
      <c r="B1657" s="10" t="s">
        <v>95</v>
      </c>
      <c r="C1657" s="10" t="s">
        <v>92</v>
      </c>
      <c r="D1657" s="10" t="s">
        <v>160</v>
      </c>
      <c r="E1657" s="10" t="s">
        <v>51</v>
      </c>
      <c r="F1657" s="10"/>
      <c r="G1657" s="10" t="s">
        <v>162</v>
      </c>
      <c r="H1657" s="30" t="n">
        <v>42870</v>
      </c>
      <c r="I1657" s="8" t="n">
        <f aca="false">INDEX(Parâmetros!$C$13:$C$19,MATCH(E1657,Parâmetros!$A$13:$A$19,0))</f>
        <v>550</v>
      </c>
      <c r="J1657" s="26" t="n">
        <f aca="false">IF(H1657="","",Parâmetros!$B$5-H1657)</f>
        <v>230</v>
      </c>
      <c r="K1657" s="10" t="n">
        <f aca="false">INDEX(Parâmetros!$D$13:$D$19,MATCH(E1657,Parâmetros!$A$13:$A$19,0))</f>
        <v>22</v>
      </c>
      <c r="L1657" s="10" t="n">
        <f aca="false">IF(G1657="Prospecting",Parâmetros!$B$9,IF(J1657&gt;Parâmetros!$B$6,0,INDEX(Parâmetros!$C$24:$C$26,MATCH(J1657,Parâmetros!$A$24:$A$26,1))))</f>
        <v>0</v>
      </c>
      <c r="M1657" s="31" t="n">
        <f aca="false">IF(G1657="Prospecting",1,INDEX(Parâmetros!$C$32:$C$35,MATCH(J1657,Parâmetros!$A$32:$A$35,1)))</f>
        <v>0.4</v>
      </c>
      <c r="N1657" s="2" t="n">
        <f aca="false">ROUND((K1657+L1657)*M1657,0)</f>
        <v>9</v>
      </c>
      <c r="O1657" s="10" t="str">
        <f aca="false">IF(AND(G1657="Engaging",J1657&gt;Parâmetros!$B$6),"Sim","Não")</f>
        <v>Sim</v>
      </c>
      <c r="P1657" s="32" t="str">
        <f aca="false">IF(O1657="Sim","R",IF(N1657&gt;=Parâmetros!$B$39,"A",IF(N1657&gt;=Parâmetros!$B$40,"B",IF(N1657&gt;=Parâmetros!$B$41,"C","D"))))</f>
        <v>R</v>
      </c>
      <c r="Q1657" s="10" t="str">
        <f aca="false">IF(F1657="","Completar cadastro","")</f>
        <v>Completar cadastro</v>
      </c>
      <c r="R1657" s="10" t="str">
        <f aca="false">INDEX(Parâmetros!$D$39:$D$43,MATCH(P1657,Parâmetros!$A$39:$A$43,0))</f>
        <v>Reciclar: requalificar, reengajar ou encerrar</v>
      </c>
    </row>
    <row r="1658" customFormat="false" ht="15" hidden="false" customHeight="false" outlineLevel="0" collapsed="false">
      <c r="A1658" s="10" t="s">
        <v>1904</v>
      </c>
      <c r="B1658" s="10" t="s">
        <v>66</v>
      </c>
      <c r="C1658" s="10" t="s">
        <v>65</v>
      </c>
      <c r="D1658" s="10" t="s">
        <v>160</v>
      </c>
      <c r="E1658" s="10" t="s">
        <v>51</v>
      </c>
      <c r="F1658" s="10"/>
      <c r="G1658" s="10" t="s">
        <v>162</v>
      </c>
      <c r="H1658" s="30" t="n">
        <v>42871</v>
      </c>
      <c r="I1658" s="8" t="n">
        <f aca="false">INDEX(Parâmetros!$C$13:$C$19,MATCH(E1658,Parâmetros!$A$13:$A$19,0))</f>
        <v>550</v>
      </c>
      <c r="J1658" s="26" t="n">
        <f aca="false">IF(H1658="","",Parâmetros!$B$5-H1658)</f>
        <v>229</v>
      </c>
      <c r="K1658" s="10" t="n">
        <f aca="false">INDEX(Parâmetros!$D$13:$D$19,MATCH(E1658,Parâmetros!$A$13:$A$19,0))</f>
        <v>22</v>
      </c>
      <c r="L1658" s="10" t="n">
        <f aca="false">IF(G1658="Prospecting",Parâmetros!$B$9,IF(J1658&gt;Parâmetros!$B$6,0,INDEX(Parâmetros!$C$24:$C$26,MATCH(J1658,Parâmetros!$A$24:$A$26,1))))</f>
        <v>0</v>
      </c>
      <c r="M1658" s="31" t="n">
        <f aca="false">IF(G1658="Prospecting",1,INDEX(Parâmetros!$C$32:$C$35,MATCH(J1658,Parâmetros!$A$32:$A$35,1)))</f>
        <v>0.4</v>
      </c>
      <c r="N1658" s="2" t="n">
        <f aca="false">ROUND((K1658+L1658)*M1658,0)</f>
        <v>9</v>
      </c>
      <c r="O1658" s="10" t="str">
        <f aca="false">IF(AND(G1658="Engaging",J1658&gt;Parâmetros!$B$6),"Sim","Não")</f>
        <v>Sim</v>
      </c>
      <c r="P1658" s="32" t="str">
        <f aca="false">IF(O1658="Sim","R",IF(N1658&gt;=Parâmetros!$B$39,"A",IF(N1658&gt;=Parâmetros!$B$40,"B",IF(N1658&gt;=Parâmetros!$B$41,"C","D"))))</f>
        <v>R</v>
      </c>
      <c r="Q1658" s="10" t="str">
        <f aca="false">IF(F1658="","Completar cadastro","")</f>
        <v>Completar cadastro</v>
      </c>
      <c r="R1658" s="10" t="str">
        <f aca="false">INDEX(Parâmetros!$D$39:$D$43,MATCH(P1658,Parâmetros!$A$39:$A$43,0))</f>
        <v>Reciclar: requalificar, reengajar ou encerrar</v>
      </c>
    </row>
    <row r="1659" customFormat="false" ht="15" hidden="false" customHeight="false" outlineLevel="0" collapsed="false">
      <c r="A1659" s="10" t="s">
        <v>1905</v>
      </c>
      <c r="B1659" s="10" t="s">
        <v>61</v>
      </c>
      <c r="C1659" s="10" t="s">
        <v>58</v>
      </c>
      <c r="D1659" s="10" t="s">
        <v>165</v>
      </c>
      <c r="E1659" s="10" t="s">
        <v>51</v>
      </c>
      <c r="F1659" s="10"/>
      <c r="G1659" s="10" t="s">
        <v>162</v>
      </c>
      <c r="H1659" s="30" t="n">
        <v>42871</v>
      </c>
      <c r="I1659" s="8" t="n">
        <f aca="false">INDEX(Parâmetros!$C$13:$C$19,MATCH(E1659,Parâmetros!$A$13:$A$19,0))</f>
        <v>550</v>
      </c>
      <c r="J1659" s="26" t="n">
        <f aca="false">IF(H1659="","",Parâmetros!$B$5-H1659)</f>
        <v>229</v>
      </c>
      <c r="K1659" s="10" t="n">
        <f aca="false">INDEX(Parâmetros!$D$13:$D$19,MATCH(E1659,Parâmetros!$A$13:$A$19,0))</f>
        <v>22</v>
      </c>
      <c r="L1659" s="10" t="n">
        <f aca="false">IF(G1659="Prospecting",Parâmetros!$B$9,IF(J1659&gt;Parâmetros!$B$6,0,INDEX(Parâmetros!$C$24:$C$26,MATCH(J1659,Parâmetros!$A$24:$A$26,1))))</f>
        <v>0</v>
      </c>
      <c r="M1659" s="31" t="n">
        <f aca="false">IF(G1659="Prospecting",1,INDEX(Parâmetros!$C$32:$C$35,MATCH(J1659,Parâmetros!$A$32:$A$35,1)))</f>
        <v>0.4</v>
      </c>
      <c r="N1659" s="2" t="n">
        <f aca="false">ROUND((K1659+L1659)*M1659,0)</f>
        <v>9</v>
      </c>
      <c r="O1659" s="10" t="str">
        <f aca="false">IF(AND(G1659="Engaging",J1659&gt;Parâmetros!$B$6),"Sim","Não")</f>
        <v>Sim</v>
      </c>
      <c r="P1659" s="32" t="str">
        <f aca="false">IF(O1659="Sim","R",IF(N1659&gt;=Parâmetros!$B$39,"A",IF(N1659&gt;=Parâmetros!$B$40,"B",IF(N1659&gt;=Parâmetros!$B$41,"C","D"))))</f>
        <v>R</v>
      </c>
      <c r="Q1659" s="10" t="str">
        <f aca="false">IF(F1659="","Completar cadastro","")</f>
        <v>Completar cadastro</v>
      </c>
      <c r="R1659" s="10" t="str">
        <f aca="false">INDEX(Parâmetros!$D$39:$D$43,MATCH(P1659,Parâmetros!$A$39:$A$43,0))</f>
        <v>Reciclar: requalificar, reengajar ou encerrar</v>
      </c>
    </row>
    <row r="1660" customFormat="false" ht="15" hidden="false" customHeight="false" outlineLevel="0" collapsed="false">
      <c r="A1660" s="10" t="s">
        <v>1906</v>
      </c>
      <c r="B1660" s="10" t="s">
        <v>57</v>
      </c>
      <c r="C1660" s="10" t="s">
        <v>58</v>
      </c>
      <c r="D1660" s="10" t="s">
        <v>165</v>
      </c>
      <c r="E1660" s="10" t="s">
        <v>51</v>
      </c>
      <c r="F1660" s="10" t="s">
        <v>359</v>
      </c>
      <c r="G1660" s="10" t="s">
        <v>162</v>
      </c>
      <c r="H1660" s="30" t="n">
        <v>42873</v>
      </c>
      <c r="I1660" s="8" t="n">
        <f aca="false">INDEX(Parâmetros!$C$13:$C$19,MATCH(E1660,Parâmetros!$A$13:$A$19,0))</f>
        <v>550</v>
      </c>
      <c r="J1660" s="26" t="n">
        <f aca="false">IF(H1660="","",Parâmetros!$B$5-H1660)</f>
        <v>227</v>
      </c>
      <c r="K1660" s="10" t="n">
        <f aca="false">INDEX(Parâmetros!$D$13:$D$19,MATCH(E1660,Parâmetros!$A$13:$A$19,0))</f>
        <v>22</v>
      </c>
      <c r="L1660" s="10" t="n">
        <f aca="false">IF(G1660="Prospecting",Parâmetros!$B$9,IF(J1660&gt;Parâmetros!$B$6,0,INDEX(Parâmetros!$C$24:$C$26,MATCH(J1660,Parâmetros!$A$24:$A$26,1))))</f>
        <v>0</v>
      </c>
      <c r="M1660" s="31" t="n">
        <f aca="false">IF(G1660="Prospecting",1,INDEX(Parâmetros!$C$32:$C$35,MATCH(J1660,Parâmetros!$A$32:$A$35,1)))</f>
        <v>0.4</v>
      </c>
      <c r="N1660" s="2" t="n">
        <f aca="false">ROUND((K1660+L1660)*M1660,0)</f>
        <v>9</v>
      </c>
      <c r="O1660" s="10" t="str">
        <f aca="false">IF(AND(G1660="Engaging",J1660&gt;Parâmetros!$B$6),"Sim","Não")</f>
        <v>Sim</v>
      </c>
      <c r="P1660" s="32" t="str">
        <f aca="false">IF(O1660="Sim","R",IF(N1660&gt;=Parâmetros!$B$39,"A",IF(N1660&gt;=Parâmetros!$B$40,"B",IF(N1660&gt;=Parâmetros!$B$41,"C","D"))))</f>
        <v>R</v>
      </c>
      <c r="Q1660" s="10" t="str">
        <f aca="false">IF(F1660="","Completar cadastro","")</f>
        <v/>
      </c>
      <c r="R1660" s="10" t="str">
        <f aca="false">INDEX(Parâmetros!$D$39:$D$43,MATCH(P1660,Parâmetros!$A$39:$A$43,0))</f>
        <v>Reciclar: requalificar, reengajar ou encerrar</v>
      </c>
    </row>
    <row r="1661" customFormat="false" ht="15" hidden="false" customHeight="false" outlineLevel="0" collapsed="false">
      <c r="A1661" s="10" t="s">
        <v>1907</v>
      </c>
      <c r="B1661" s="10" t="s">
        <v>97</v>
      </c>
      <c r="C1661" s="10" t="s">
        <v>92</v>
      </c>
      <c r="D1661" s="10" t="s">
        <v>160</v>
      </c>
      <c r="E1661" s="10" t="s">
        <v>51</v>
      </c>
      <c r="F1661" s="10"/>
      <c r="G1661" s="10" t="s">
        <v>162</v>
      </c>
      <c r="H1661" s="30" t="n">
        <v>42873</v>
      </c>
      <c r="I1661" s="8" t="n">
        <f aca="false">INDEX(Parâmetros!$C$13:$C$19,MATCH(E1661,Parâmetros!$A$13:$A$19,0))</f>
        <v>550</v>
      </c>
      <c r="J1661" s="26" t="n">
        <f aca="false">IF(H1661="","",Parâmetros!$B$5-H1661)</f>
        <v>227</v>
      </c>
      <c r="K1661" s="10" t="n">
        <f aca="false">INDEX(Parâmetros!$D$13:$D$19,MATCH(E1661,Parâmetros!$A$13:$A$19,0))</f>
        <v>22</v>
      </c>
      <c r="L1661" s="10" t="n">
        <f aca="false">IF(G1661="Prospecting",Parâmetros!$B$9,IF(J1661&gt;Parâmetros!$B$6,0,INDEX(Parâmetros!$C$24:$C$26,MATCH(J1661,Parâmetros!$A$24:$A$26,1))))</f>
        <v>0</v>
      </c>
      <c r="M1661" s="31" t="n">
        <f aca="false">IF(G1661="Prospecting",1,INDEX(Parâmetros!$C$32:$C$35,MATCH(J1661,Parâmetros!$A$32:$A$35,1)))</f>
        <v>0.4</v>
      </c>
      <c r="N1661" s="2" t="n">
        <f aca="false">ROUND((K1661+L1661)*M1661,0)</f>
        <v>9</v>
      </c>
      <c r="O1661" s="10" t="str">
        <f aca="false">IF(AND(G1661="Engaging",J1661&gt;Parâmetros!$B$6),"Sim","Não")</f>
        <v>Sim</v>
      </c>
      <c r="P1661" s="32" t="str">
        <f aca="false">IF(O1661="Sim","R",IF(N1661&gt;=Parâmetros!$B$39,"A",IF(N1661&gt;=Parâmetros!$B$40,"B",IF(N1661&gt;=Parâmetros!$B$41,"C","D"))))</f>
        <v>R</v>
      </c>
      <c r="Q1661" s="10" t="str">
        <f aca="false">IF(F1661="","Completar cadastro","")</f>
        <v>Completar cadastro</v>
      </c>
      <c r="R1661" s="10" t="str">
        <f aca="false">INDEX(Parâmetros!$D$39:$D$43,MATCH(P1661,Parâmetros!$A$39:$A$43,0))</f>
        <v>Reciclar: requalificar, reengajar ou encerrar</v>
      </c>
    </row>
    <row r="1662" customFormat="false" ht="15" hidden="false" customHeight="false" outlineLevel="0" collapsed="false">
      <c r="A1662" s="10" t="s">
        <v>1908</v>
      </c>
      <c r="B1662" s="10" t="s">
        <v>94</v>
      </c>
      <c r="C1662" s="10" t="s">
        <v>92</v>
      </c>
      <c r="D1662" s="10" t="s">
        <v>160</v>
      </c>
      <c r="E1662" s="10" t="s">
        <v>51</v>
      </c>
      <c r="F1662" s="10" t="s">
        <v>762</v>
      </c>
      <c r="G1662" s="10" t="s">
        <v>162</v>
      </c>
      <c r="H1662" s="30" t="n">
        <v>42874</v>
      </c>
      <c r="I1662" s="8" t="n">
        <f aca="false">INDEX(Parâmetros!$C$13:$C$19,MATCH(E1662,Parâmetros!$A$13:$A$19,0))</f>
        <v>550</v>
      </c>
      <c r="J1662" s="26" t="n">
        <f aca="false">IF(H1662="","",Parâmetros!$B$5-H1662)</f>
        <v>226</v>
      </c>
      <c r="K1662" s="10" t="n">
        <f aca="false">INDEX(Parâmetros!$D$13:$D$19,MATCH(E1662,Parâmetros!$A$13:$A$19,0))</f>
        <v>22</v>
      </c>
      <c r="L1662" s="10" t="n">
        <f aca="false">IF(G1662="Prospecting",Parâmetros!$B$9,IF(J1662&gt;Parâmetros!$B$6,0,INDEX(Parâmetros!$C$24:$C$26,MATCH(J1662,Parâmetros!$A$24:$A$26,1))))</f>
        <v>0</v>
      </c>
      <c r="M1662" s="31" t="n">
        <f aca="false">IF(G1662="Prospecting",1,INDEX(Parâmetros!$C$32:$C$35,MATCH(J1662,Parâmetros!$A$32:$A$35,1)))</f>
        <v>0.4</v>
      </c>
      <c r="N1662" s="2" t="n">
        <f aca="false">ROUND((K1662+L1662)*M1662,0)</f>
        <v>9</v>
      </c>
      <c r="O1662" s="10" t="str">
        <f aca="false">IF(AND(G1662="Engaging",J1662&gt;Parâmetros!$B$6),"Sim","Não")</f>
        <v>Sim</v>
      </c>
      <c r="P1662" s="32" t="str">
        <f aca="false">IF(O1662="Sim","R",IF(N1662&gt;=Parâmetros!$B$39,"A",IF(N1662&gt;=Parâmetros!$B$40,"B",IF(N1662&gt;=Parâmetros!$B$41,"C","D"))))</f>
        <v>R</v>
      </c>
      <c r="Q1662" s="10" t="str">
        <f aca="false">IF(F1662="","Completar cadastro","")</f>
        <v/>
      </c>
      <c r="R1662" s="10" t="str">
        <f aca="false">INDEX(Parâmetros!$D$39:$D$43,MATCH(P1662,Parâmetros!$A$39:$A$43,0))</f>
        <v>Reciclar: requalificar, reengajar ou encerrar</v>
      </c>
    </row>
    <row r="1663" customFormat="false" ht="15" hidden="false" customHeight="false" outlineLevel="0" collapsed="false">
      <c r="A1663" s="10" t="s">
        <v>1909</v>
      </c>
      <c r="B1663" s="10" t="s">
        <v>57</v>
      </c>
      <c r="C1663" s="10" t="s">
        <v>58</v>
      </c>
      <c r="D1663" s="10" t="s">
        <v>165</v>
      </c>
      <c r="E1663" s="10" t="s">
        <v>51</v>
      </c>
      <c r="F1663" s="10" t="s">
        <v>193</v>
      </c>
      <c r="G1663" s="10" t="s">
        <v>162</v>
      </c>
      <c r="H1663" s="30" t="n">
        <v>42876</v>
      </c>
      <c r="I1663" s="8" t="n">
        <f aca="false">INDEX(Parâmetros!$C$13:$C$19,MATCH(E1663,Parâmetros!$A$13:$A$19,0))</f>
        <v>550</v>
      </c>
      <c r="J1663" s="26" t="n">
        <f aca="false">IF(H1663="","",Parâmetros!$B$5-H1663)</f>
        <v>224</v>
      </c>
      <c r="K1663" s="10" t="n">
        <f aca="false">INDEX(Parâmetros!$D$13:$D$19,MATCH(E1663,Parâmetros!$A$13:$A$19,0))</f>
        <v>22</v>
      </c>
      <c r="L1663" s="10" t="n">
        <f aca="false">IF(G1663="Prospecting",Parâmetros!$B$9,IF(J1663&gt;Parâmetros!$B$6,0,INDEX(Parâmetros!$C$24:$C$26,MATCH(J1663,Parâmetros!$A$24:$A$26,1))))</f>
        <v>0</v>
      </c>
      <c r="M1663" s="31" t="n">
        <f aca="false">IF(G1663="Prospecting",1,INDEX(Parâmetros!$C$32:$C$35,MATCH(J1663,Parâmetros!$A$32:$A$35,1)))</f>
        <v>0.4</v>
      </c>
      <c r="N1663" s="2" t="n">
        <f aca="false">ROUND((K1663+L1663)*M1663,0)</f>
        <v>9</v>
      </c>
      <c r="O1663" s="10" t="str">
        <f aca="false">IF(AND(G1663="Engaging",J1663&gt;Parâmetros!$B$6),"Sim","Não")</f>
        <v>Sim</v>
      </c>
      <c r="P1663" s="32" t="str">
        <f aca="false">IF(O1663="Sim","R",IF(N1663&gt;=Parâmetros!$B$39,"A",IF(N1663&gt;=Parâmetros!$B$40,"B",IF(N1663&gt;=Parâmetros!$B$41,"C","D"))))</f>
        <v>R</v>
      </c>
      <c r="Q1663" s="10" t="str">
        <f aca="false">IF(F1663="","Completar cadastro","")</f>
        <v/>
      </c>
      <c r="R1663" s="10" t="str">
        <f aca="false">INDEX(Parâmetros!$D$39:$D$43,MATCH(P1663,Parâmetros!$A$39:$A$43,0))</f>
        <v>Reciclar: requalificar, reengajar ou encerrar</v>
      </c>
    </row>
    <row r="1664" customFormat="false" ht="15" hidden="false" customHeight="false" outlineLevel="0" collapsed="false">
      <c r="A1664" s="10" t="s">
        <v>1910</v>
      </c>
      <c r="B1664" s="10" t="s">
        <v>95</v>
      </c>
      <c r="C1664" s="10" t="s">
        <v>92</v>
      </c>
      <c r="D1664" s="10" t="s">
        <v>160</v>
      </c>
      <c r="E1664" s="10" t="s">
        <v>51</v>
      </c>
      <c r="F1664" s="10"/>
      <c r="G1664" s="10" t="s">
        <v>162</v>
      </c>
      <c r="H1664" s="30" t="n">
        <v>42876</v>
      </c>
      <c r="I1664" s="8" t="n">
        <f aca="false">INDEX(Parâmetros!$C$13:$C$19,MATCH(E1664,Parâmetros!$A$13:$A$19,0))</f>
        <v>550</v>
      </c>
      <c r="J1664" s="26" t="n">
        <f aca="false">IF(H1664="","",Parâmetros!$B$5-H1664)</f>
        <v>224</v>
      </c>
      <c r="K1664" s="10" t="n">
        <f aca="false">INDEX(Parâmetros!$D$13:$D$19,MATCH(E1664,Parâmetros!$A$13:$A$19,0))</f>
        <v>22</v>
      </c>
      <c r="L1664" s="10" t="n">
        <f aca="false">IF(G1664="Prospecting",Parâmetros!$B$9,IF(J1664&gt;Parâmetros!$B$6,0,INDEX(Parâmetros!$C$24:$C$26,MATCH(J1664,Parâmetros!$A$24:$A$26,1))))</f>
        <v>0</v>
      </c>
      <c r="M1664" s="31" t="n">
        <f aca="false">IF(G1664="Prospecting",1,INDEX(Parâmetros!$C$32:$C$35,MATCH(J1664,Parâmetros!$A$32:$A$35,1)))</f>
        <v>0.4</v>
      </c>
      <c r="N1664" s="2" t="n">
        <f aca="false">ROUND((K1664+L1664)*M1664,0)</f>
        <v>9</v>
      </c>
      <c r="O1664" s="10" t="str">
        <f aca="false">IF(AND(G1664="Engaging",J1664&gt;Parâmetros!$B$6),"Sim","Não")</f>
        <v>Sim</v>
      </c>
      <c r="P1664" s="32" t="str">
        <f aca="false">IF(O1664="Sim","R",IF(N1664&gt;=Parâmetros!$B$39,"A",IF(N1664&gt;=Parâmetros!$B$40,"B",IF(N1664&gt;=Parâmetros!$B$41,"C","D"))))</f>
        <v>R</v>
      </c>
      <c r="Q1664" s="10" t="str">
        <f aca="false">IF(F1664="","Completar cadastro","")</f>
        <v>Completar cadastro</v>
      </c>
      <c r="R1664" s="10" t="str">
        <f aca="false">INDEX(Parâmetros!$D$39:$D$43,MATCH(P1664,Parâmetros!$A$39:$A$43,0))</f>
        <v>Reciclar: requalificar, reengajar ou encerrar</v>
      </c>
    </row>
    <row r="1665" customFormat="false" ht="15" hidden="false" customHeight="false" outlineLevel="0" collapsed="false">
      <c r="A1665" s="10" t="s">
        <v>1911</v>
      </c>
      <c r="B1665" s="10" t="s">
        <v>57</v>
      </c>
      <c r="C1665" s="10" t="s">
        <v>58</v>
      </c>
      <c r="D1665" s="10" t="s">
        <v>165</v>
      </c>
      <c r="E1665" s="10" t="s">
        <v>51</v>
      </c>
      <c r="F1665" s="10" t="s">
        <v>168</v>
      </c>
      <c r="G1665" s="10" t="s">
        <v>162</v>
      </c>
      <c r="H1665" s="30" t="n">
        <v>42879</v>
      </c>
      <c r="I1665" s="8" t="n">
        <f aca="false">INDEX(Parâmetros!$C$13:$C$19,MATCH(E1665,Parâmetros!$A$13:$A$19,0))</f>
        <v>550</v>
      </c>
      <c r="J1665" s="26" t="n">
        <f aca="false">IF(H1665="","",Parâmetros!$B$5-H1665)</f>
        <v>221</v>
      </c>
      <c r="K1665" s="10" t="n">
        <f aca="false">INDEX(Parâmetros!$D$13:$D$19,MATCH(E1665,Parâmetros!$A$13:$A$19,0))</f>
        <v>22</v>
      </c>
      <c r="L1665" s="10" t="n">
        <f aca="false">IF(G1665="Prospecting",Parâmetros!$B$9,IF(J1665&gt;Parâmetros!$B$6,0,INDEX(Parâmetros!$C$24:$C$26,MATCH(J1665,Parâmetros!$A$24:$A$26,1))))</f>
        <v>0</v>
      </c>
      <c r="M1665" s="31" t="n">
        <f aca="false">IF(G1665="Prospecting",1,INDEX(Parâmetros!$C$32:$C$35,MATCH(J1665,Parâmetros!$A$32:$A$35,1)))</f>
        <v>0.4</v>
      </c>
      <c r="N1665" s="2" t="n">
        <f aca="false">ROUND((K1665+L1665)*M1665,0)</f>
        <v>9</v>
      </c>
      <c r="O1665" s="10" t="str">
        <f aca="false">IF(AND(G1665="Engaging",J1665&gt;Parâmetros!$B$6),"Sim","Não")</f>
        <v>Sim</v>
      </c>
      <c r="P1665" s="32" t="str">
        <f aca="false">IF(O1665="Sim","R",IF(N1665&gt;=Parâmetros!$B$39,"A",IF(N1665&gt;=Parâmetros!$B$40,"B",IF(N1665&gt;=Parâmetros!$B$41,"C","D"))))</f>
        <v>R</v>
      </c>
      <c r="Q1665" s="10" t="str">
        <f aca="false">IF(F1665="","Completar cadastro","")</f>
        <v/>
      </c>
      <c r="R1665" s="10" t="str">
        <f aca="false">INDEX(Parâmetros!$D$39:$D$43,MATCH(P1665,Parâmetros!$A$39:$A$43,0))</f>
        <v>Reciclar: requalificar, reengajar ou encerrar</v>
      </c>
    </row>
    <row r="1666" customFormat="false" ht="15" hidden="false" customHeight="false" outlineLevel="0" collapsed="false">
      <c r="A1666" s="10" t="s">
        <v>1912</v>
      </c>
      <c r="B1666" s="10" t="s">
        <v>97</v>
      </c>
      <c r="C1666" s="10" t="s">
        <v>92</v>
      </c>
      <c r="D1666" s="10" t="s">
        <v>160</v>
      </c>
      <c r="E1666" s="10" t="s">
        <v>51</v>
      </c>
      <c r="F1666" s="10"/>
      <c r="G1666" s="10" t="s">
        <v>162</v>
      </c>
      <c r="H1666" s="30" t="n">
        <v>42881</v>
      </c>
      <c r="I1666" s="8" t="n">
        <f aca="false">INDEX(Parâmetros!$C$13:$C$19,MATCH(E1666,Parâmetros!$A$13:$A$19,0))</f>
        <v>550</v>
      </c>
      <c r="J1666" s="26" t="n">
        <f aca="false">IF(H1666="","",Parâmetros!$B$5-H1666)</f>
        <v>219</v>
      </c>
      <c r="K1666" s="10" t="n">
        <f aca="false">INDEX(Parâmetros!$D$13:$D$19,MATCH(E1666,Parâmetros!$A$13:$A$19,0))</f>
        <v>22</v>
      </c>
      <c r="L1666" s="10" t="n">
        <f aca="false">IF(G1666="Prospecting",Parâmetros!$B$9,IF(J1666&gt;Parâmetros!$B$6,0,INDEX(Parâmetros!$C$24:$C$26,MATCH(J1666,Parâmetros!$A$24:$A$26,1))))</f>
        <v>0</v>
      </c>
      <c r="M1666" s="31" t="n">
        <f aca="false">IF(G1666="Prospecting",1,INDEX(Parâmetros!$C$32:$C$35,MATCH(J1666,Parâmetros!$A$32:$A$35,1)))</f>
        <v>0.4</v>
      </c>
      <c r="N1666" s="2" t="n">
        <f aca="false">ROUND((K1666+L1666)*M1666,0)</f>
        <v>9</v>
      </c>
      <c r="O1666" s="10" t="str">
        <f aca="false">IF(AND(G1666="Engaging",J1666&gt;Parâmetros!$B$6),"Sim","Não")</f>
        <v>Sim</v>
      </c>
      <c r="P1666" s="32" t="str">
        <f aca="false">IF(O1666="Sim","R",IF(N1666&gt;=Parâmetros!$B$39,"A",IF(N1666&gt;=Parâmetros!$B$40,"B",IF(N1666&gt;=Parâmetros!$B$41,"C","D"))))</f>
        <v>R</v>
      </c>
      <c r="Q1666" s="10" t="str">
        <f aca="false">IF(F1666="","Completar cadastro","")</f>
        <v>Completar cadastro</v>
      </c>
      <c r="R1666" s="10" t="str">
        <f aca="false">INDEX(Parâmetros!$D$39:$D$43,MATCH(P1666,Parâmetros!$A$39:$A$43,0))</f>
        <v>Reciclar: requalificar, reengajar ou encerrar</v>
      </c>
    </row>
    <row r="1667" customFormat="false" ht="15" hidden="false" customHeight="false" outlineLevel="0" collapsed="false">
      <c r="A1667" s="10" t="s">
        <v>1913</v>
      </c>
      <c r="B1667" s="10" t="s">
        <v>68</v>
      </c>
      <c r="C1667" s="10" t="s">
        <v>65</v>
      </c>
      <c r="D1667" s="10" t="s">
        <v>160</v>
      </c>
      <c r="E1667" s="10" t="s">
        <v>51</v>
      </c>
      <c r="F1667" s="10"/>
      <c r="G1667" s="10" t="s">
        <v>162</v>
      </c>
      <c r="H1667" s="30" t="n">
        <v>42883</v>
      </c>
      <c r="I1667" s="8" t="n">
        <f aca="false">INDEX(Parâmetros!$C$13:$C$19,MATCH(E1667,Parâmetros!$A$13:$A$19,0))</f>
        <v>550</v>
      </c>
      <c r="J1667" s="26" t="n">
        <f aca="false">IF(H1667="","",Parâmetros!$B$5-H1667)</f>
        <v>217</v>
      </c>
      <c r="K1667" s="10" t="n">
        <f aca="false">INDEX(Parâmetros!$D$13:$D$19,MATCH(E1667,Parâmetros!$A$13:$A$19,0))</f>
        <v>22</v>
      </c>
      <c r="L1667" s="10" t="n">
        <f aca="false">IF(G1667="Prospecting",Parâmetros!$B$9,IF(J1667&gt;Parâmetros!$B$6,0,INDEX(Parâmetros!$C$24:$C$26,MATCH(J1667,Parâmetros!$A$24:$A$26,1))))</f>
        <v>0</v>
      </c>
      <c r="M1667" s="31" t="n">
        <f aca="false">IF(G1667="Prospecting",1,INDEX(Parâmetros!$C$32:$C$35,MATCH(J1667,Parâmetros!$A$32:$A$35,1)))</f>
        <v>0.4</v>
      </c>
      <c r="N1667" s="2" t="n">
        <f aca="false">ROUND((K1667+L1667)*M1667,0)</f>
        <v>9</v>
      </c>
      <c r="O1667" s="10" t="str">
        <f aca="false">IF(AND(G1667="Engaging",J1667&gt;Parâmetros!$B$6),"Sim","Não")</f>
        <v>Sim</v>
      </c>
      <c r="P1667" s="32" t="str">
        <f aca="false">IF(O1667="Sim","R",IF(N1667&gt;=Parâmetros!$B$39,"A",IF(N1667&gt;=Parâmetros!$B$40,"B",IF(N1667&gt;=Parâmetros!$B$41,"C","D"))))</f>
        <v>R</v>
      </c>
      <c r="Q1667" s="10" t="str">
        <f aca="false">IF(F1667="","Completar cadastro","")</f>
        <v>Completar cadastro</v>
      </c>
      <c r="R1667" s="10" t="str">
        <f aca="false">INDEX(Parâmetros!$D$39:$D$43,MATCH(P1667,Parâmetros!$A$39:$A$43,0))</f>
        <v>Reciclar: requalificar, reengajar ou encerrar</v>
      </c>
    </row>
    <row r="1668" customFormat="false" ht="15" hidden="false" customHeight="false" outlineLevel="0" collapsed="false">
      <c r="A1668" s="10" t="s">
        <v>1914</v>
      </c>
      <c r="B1668" s="10" t="s">
        <v>93</v>
      </c>
      <c r="C1668" s="10" t="s">
        <v>92</v>
      </c>
      <c r="D1668" s="10" t="s">
        <v>160</v>
      </c>
      <c r="E1668" s="10" t="s">
        <v>51</v>
      </c>
      <c r="F1668" s="10"/>
      <c r="G1668" s="10" t="s">
        <v>162</v>
      </c>
      <c r="H1668" s="30" t="n">
        <v>42884</v>
      </c>
      <c r="I1668" s="8" t="n">
        <f aca="false">INDEX(Parâmetros!$C$13:$C$19,MATCH(E1668,Parâmetros!$A$13:$A$19,0))</f>
        <v>550</v>
      </c>
      <c r="J1668" s="26" t="n">
        <f aca="false">IF(H1668="","",Parâmetros!$B$5-H1668)</f>
        <v>216</v>
      </c>
      <c r="K1668" s="10" t="n">
        <f aca="false">INDEX(Parâmetros!$D$13:$D$19,MATCH(E1668,Parâmetros!$A$13:$A$19,0))</f>
        <v>22</v>
      </c>
      <c r="L1668" s="10" t="n">
        <f aca="false">IF(G1668="Prospecting",Parâmetros!$B$9,IF(J1668&gt;Parâmetros!$B$6,0,INDEX(Parâmetros!$C$24:$C$26,MATCH(J1668,Parâmetros!$A$24:$A$26,1))))</f>
        <v>0</v>
      </c>
      <c r="M1668" s="31" t="n">
        <f aca="false">IF(G1668="Prospecting",1,INDEX(Parâmetros!$C$32:$C$35,MATCH(J1668,Parâmetros!$A$32:$A$35,1)))</f>
        <v>0.4</v>
      </c>
      <c r="N1668" s="2" t="n">
        <f aca="false">ROUND((K1668+L1668)*M1668,0)</f>
        <v>9</v>
      </c>
      <c r="O1668" s="10" t="str">
        <f aca="false">IF(AND(G1668="Engaging",J1668&gt;Parâmetros!$B$6),"Sim","Não")</f>
        <v>Sim</v>
      </c>
      <c r="P1668" s="32" t="str">
        <f aca="false">IF(O1668="Sim","R",IF(N1668&gt;=Parâmetros!$B$39,"A",IF(N1668&gt;=Parâmetros!$B$40,"B",IF(N1668&gt;=Parâmetros!$B$41,"C","D"))))</f>
        <v>R</v>
      </c>
      <c r="Q1668" s="10" t="str">
        <f aca="false">IF(F1668="","Completar cadastro","")</f>
        <v>Completar cadastro</v>
      </c>
      <c r="R1668" s="10" t="str">
        <f aca="false">INDEX(Parâmetros!$D$39:$D$43,MATCH(P1668,Parâmetros!$A$39:$A$43,0))</f>
        <v>Reciclar: requalificar, reengajar ou encerrar</v>
      </c>
    </row>
    <row r="1669" customFormat="false" ht="15" hidden="false" customHeight="false" outlineLevel="0" collapsed="false">
      <c r="A1669" s="10" t="s">
        <v>1915</v>
      </c>
      <c r="B1669" s="10" t="s">
        <v>69</v>
      </c>
      <c r="C1669" s="10" t="s">
        <v>65</v>
      </c>
      <c r="D1669" s="10" t="s">
        <v>160</v>
      </c>
      <c r="E1669" s="10" t="s">
        <v>51</v>
      </c>
      <c r="F1669" s="10"/>
      <c r="G1669" s="10" t="s">
        <v>162</v>
      </c>
      <c r="H1669" s="30" t="n">
        <v>42884</v>
      </c>
      <c r="I1669" s="8" t="n">
        <f aca="false">INDEX(Parâmetros!$C$13:$C$19,MATCH(E1669,Parâmetros!$A$13:$A$19,0))</f>
        <v>550</v>
      </c>
      <c r="J1669" s="26" t="n">
        <f aca="false">IF(H1669="","",Parâmetros!$B$5-H1669)</f>
        <v>216</v>
      </c>
      <c r="K1669" s="10" t="n">
        <f aca="false">INDEX(Parâmetros!$D$13:$D$19,MATCH(E1669,Parâmetros!$A$13:$A$19,0))</f>
        <v>22</v>
      </c>
      <c r="L1669" s="10" t="n">
        <f aca="false">IF(G1669="Prospecting",Parâmetros!$B$9,IF(J1669&gt;Parâmetros!$B$6,0,INDEX(Parâmetros!$C$24:$C$26,MATCH(J1669,Parâmetros!$A$24:$A$26,1))))</f>
        <v>0</v>
      </c>
      <c r="M1669" s="31" t="n">
        <f aca="false">IF(G1669="Prospecting",1,INDEX(Parâmetros!$C$32:$C$35,MATCH(J1669,Parâmetros!$A$32:$A$35,1)))</f>
        <v>0.4</v>
      </c>
      <c r="N1669" s="2" t="n">
        <f aca="false">ROUND((K1669+L1669)*M1669,0)</f>
        <v>9</v>
      </c>
      <c r="O1669" s="10" t="str">
        <f aca="false">IF(AND(G1669="Engaging",J1669&gt;Parâmetros!$B$6),"Sim","Não")</f>
        <v>Sim</v>
      </c>
      <c r="P1669" s="32" t="str">
        <f aca="false">IF(O1669="Sim","R",IF(N1669&gt;=Parâmetros!$B$39,"A",IF(N1669&gt;=Parâmetros!$B$40,"B",IF(N1669&gt;=Parâmetros!$B$41,"C","D"))))</f>
        <v>R</v>
      </c>
      <c r="Q1669" s="10" t="str">
        <f aca="false">IF(F1669="","Completar cadastro","")</f>
        <v>Completar cadastro</v>
      </c>
      <c r="R1669" s="10" t="str">
        <f aca="false">INDEX(Parâmetros!$D$39:$D$43,MATCH(P1669,Parâmetros!$A$39:$A$43,0))</f>
        <v>Reciclar: requalificar, reengajar ou encerrar</v>
      </c>
    </row>
    <row r="1670" customFormat="false" ht="15" hidden="false" customHeight="false" outlineLevel="0" collapsed="false">
      <c r="A1670" s="10" t="s">
        <v>1916</v>
      </c>
      <c r="B1670" s="10" t="s">
        <v>94</v>
      </c>
      <c r="C1670" s="10" t="s">
        <v>92</v>
      </c>
      <c r="D1670" s="10" t="s">
        <v>160</v>
      </c>
      <c r="E1670" s="10" t="s">
        <v>51</v>
      </c>
      <c r="F1670" s="10"/>
      <c r="G1670" s="10" t="s">
        <v>162</v>
      </c>
      <c r="H1670" s="30" t="n">
        <v>42886</v>
      </c>
      <c r="I1670" s="8" t="n">
        <f aca="false">INDEX(Parâmetros!$C$13:$C$19,MATCH(E1670,Parâmetros!$A$13:$A$19,0))</f>
        <v>550</v>
      </c>
      <c r="J1670" s="26" t="n">
        <f aca="false">IF(H1670="","",Parâmetros!$B$5-H1670)</f>
        <v>214</v>
      </c>
      <c r="K1670" s="10" t="n">
        <f aca="false">INDEX(Parâmetros!$D$13:$D$19,MATCH(E1670,Parâmetros!$A$13:$A$19,0))</f>
        <v>22</v>
      </c>
      <c r="L1670" s="10" t="n">
        <f aca="false">IF(G1670="Prospecting",Parâmetros!$B$9,IF(J1670&gt;Parâmetros!$B$6,0,INDEX(Parâmetros!$C$24:$C$26,MATCH(J1670,Parâmetros!$A$24:$A$26,1))))</f>
        <v>0</v>
      </c>
      <c r="M1670" s="31" t="n">
        <f aca="false">IF(G1670="Prospecting",1,INDEX(Parâmetros!$C$32:$C$35,MATCH(J1670,Parâmetros!$A$32:$A$35,1)))</f>
        <v>0.4</v>
      </c>
      <c r="N1670" s="2" t="n">
        <f aca="false">ROUND((K1670+L1670)*M1670,0)</f>
        <v>9</v>
      </c>
      <c r="O1670" s="10" t="str">
        <f aca="false">IF(AND(G1670="Engaging",J1670&gt;Parâmetros!$B$6),"Sim","Não")</f>
        <v>Sim</v>
      </c>
      <c r="P1670" s="32" t="str">
        <f aca="false">IF(O1670="Sim","R",IF(N1670&gt;=Parâmetros!$B$39,"A",IF(N1670&gt;=Parâmetros!$B$40,"B",IF(N1670&gt;=Parâmetros!$B$41,"C","D"))))</f>
        <v>R</v>
      </c>
      <c r="Q1670" s="10" t="str">
        <f aca="false">IF(F1670="","Completar cadastro","")</f>
        <v>Completar cadastro</v>
      </c>
      <c r="R1670" s="10" t="str">
        <f aca="false">INDEX(Parâmetros!$D$39:$D$43,MATCH(P1670,Parâmetros!$A$39:$A$43,0))</f>
        <v>Reciclar: requalificar, reengajar ou encerrar</v>
      </c>
    </row>
    <row r="1671" customFormat="false" ht="15" hidden="false" customHeight="false" outlineLevel="0" collapsed="false">
      <c r="A1671" s="10" t="s">
        <v>1917</v>
      </c>
      <c r="B1671" s="10" t="s">
        <v>95</v>
      </c>
      <c r="C1671" s="10" t="s">
        <v>92</v>
      </c>
      <c r="D1671" s="10" t="s">
        <v>160</v>
      </c>
      <c r="E1671" s="10" t="s">
        <v>51</v>
      </c>
      <c r="F1671" s="10"/>
      <c r="G1671" s="10" t="s">
        <v>162</v>
      </c>
      <c r="H1671" s="30" t="n">
        <v>42890</v>
      </c>
      <c r="I1671" s="8" t="n">
        <f aca="false">INDEX(Parâmetros!$C$13:$C$19,MATCH(E1671,Parâmetros!$A$13:$A$19,0))</f>
        <v>550</v>
      </c>
      <c r="J1671" s="26" t="n">
        <f aca="false">IF(H1671="","",Parâmetros!$B$5-H1671)</f>
        <v>210</v>
      </c>
      <c r="K1671" s="10" t="n">
        <f aca="false">INDEX(Parâmetros!$D$13:$D$19,MATCH(E1671,Parâmetros!$A$13:$A$19,0))</f>
        <v>22</v>
      </c>
      <c r="L1671" s="10" t="n">
        <f aca="false">IF(G1671="Prospecting",Parâmetros!$B$9,IF(J1671&gt;Parâmetros!$B$6,0,INDEX(Parâmetros!$C$24:$C$26,MATCH(J1671,Parâmetros!$A$24:$A$26,1))))</f>
        <v>0</v>
      </c>
      <c r="M1671" s="31" t="n">
        <f aca="false">IF(G1671="Prospecting",1,INDEX(Parâmetros!$C$32:$C$35,MATCH(J1671,Parâmetros!$A$32:$A$35,1)))</f>
        <v>0.4</v>
      </c>
      <c r="N1671" s="2" t="n">
        <f aca="false">ROUND((K1671+L1671)*M1671,0)</f>
        <v>9</v>
      </c>
      <c r="O1671" s="10" t="str">
        <f aca="false">IF(AND(G1671="Engaging",J1671&gt;Parâmetros!$B$6),"Sim","Não")</f>
        <v>Sim</v>
      </c>
      <c r="P1671" s="32" t="str">
        <f aca="false">IF(O1671="Sim","R",IF(N1671&gt;=Parâmetros!$B$39,"A",IF(N1671&gt;=Parâmetros!$B$40,"B",IF(N1671&gt;=Parâmetros!$B$41,"C","D"))))</f>
        <v>R</v>
      </c>
      <c r="Q1671" s="10" t="str">
        <f aca="false">IF(F1671="","Completar cadastro","")</f>
        <v>Completar cadastro</v>
      </c>
      <c r="R1671" s="10" t="str">
        <f aca="false">INDEX(Parâmetros!$D$39:$D$43,MATCH(P1671,Parâmetros!$A$39:$A$43,0))</f>
        <v>Reciclar: requalificar, reengajar ou encerrar</v>
      </c>
    </row>
    <row r="1672" customFormat="false" ht="15" hidden="false" customHeight="false" outlineLevel="0" collapsed="false">
      <c r="A1672" s="10" t="s">
        <v>1918</v>
      </c>
      <c r="B1672" s="10" t="s">
        <v>95</v>
      </c>
      <c r="C1672" s="10" t="s">
        <v>92</v>
      </c>
      <c r="D1672" s="10" t="s">
        <v>160</v>
      </c>
      <c r="E1672" s="10" t="s">
        <v>51</v>
      </c>
      <c r="F1672" s="10"/>
      <c r="G1672" s="10" t="s">
        <v>162</v>
      </c>
      <c r="H1672" s="30" t="n">
        <v>42891</v>
      </c>
      <c r="I1672" s="8" t="n">
        <f aca="false">INDEX(Parâmetros!$C$13:$C$19,MATCH(E1672,Parâmetros!$A$13:$A$19,0))</f>
        <v>550</v>
      </c>
      <c r="J1672" s="26" t="n">
        <f aca="false">IF(H1672="","",Parâmetros!$B$5-H1672)</f>
        <v>209</v>
      </c>
      <c r="K1672" s="10" t="n">
        <f aca="false">INDEX(Parâmetros!$D$13:$D$19,MATCH(E1672,Parâmetros!$A$13:$A$19,0))</f>
        <v>22</v>
      </c>
      <c r="L1672" s="10" t="n">
        <f aca="false">IF(G1672="Prospecting",Parâmetros!$B$9,IF(J1672&gt;Parâmetros!$B$6,0,INDEX(Parâmetros!$C$24:$C$26,MATCH(J1672,Parâmetros!$A$24:$A$26,1))))</f>
        <v>0</v>
      </c>
      <c r="M1672" s="31" t="n">
        <f aca="false">IF(G1672="Prospecting",1,INDEX(Parâmetros!$C$32:$C$35,MATCH(J1672,Parâmetros!$A$32:$A$35,1)))</f>
        <v>0.4</v>
      </c>
      <c r="N1672" s="2" t="n">
        <f aca="false">ROUND((K1672+L1672)*M1672,0)</f>
        <v>9</v>
      </c>
      <c r="O1672" s="10" t="str">
        <f aca="false">IF(AND(G1672="Engaging",J1672&gt;Parâmetros!$B$6),"Sim","Não")</f>
        <v>Sim</v>
      </c>
      <c r="P1672" s="32" t="str">
        <f aca="false">IF(O1672="Sim","R",IF(N1672&gt;=Parâmetros!$B$39,"A",IF(N1672&gt;=Parâmetros!$B$40,"B",IF(N1672&gt;=Parâmetros!$B$41,"C","D"))))</f>
        <v>R</v>
      </c>
      <c r="Q1672" s="10" t="str">
        <f aca="false">IF(F1672="","Completar cadastro","")</f>
        <v>Completar cadastro</v>
      </c>
      <c r="R1672" s="10" t="str">
        <f aca="false">INDEX(Parâmetros!$D$39:$D$43,MATCH(P1672,Parâmetros!$A$39:$A$43,0))</f>
        <v>Reciclar: requalificar, reengajar ou encerrar</v>
      </c>
    </row>
    <row r="1673" customFormat="false" ht="15" hidden="false" customHeight="false" outlineLevel="0" collapsed="false">
      <c r="A1673" s="10" t="s">
        <v>1919</v>
      </c>
      <c r="B1673" s="10" t="s">
        <v>70</v>
      </c>
      <c r="C1673" s="10" t="s">
        <v>65</v>
      </c>
      <c r="D1673" s="10" t="s">
        <v>160</v>
      </c>
      <c r="E1673" s="10" t="s">
        <v>51</v>
      </c>
      <c r="F1673" s="10"/>
      <c r="G1673" s="10" t="s">
        <v>162</v>
      </c>
      <c r="H1673" s="30" t="n">
        <v>42894</v>
      </c>
      <c r="I1673" s="8" t="n">
        <f aca="false">INDEX(Parâmetros!$C$13:$C$19,MATCH(E1673,Parâmetros!$A$13:$A$19,0))</f>
        <v>550</v>
      </c>
      <c r="J1673" s="26" t="n">
        <f aca="false">IF(H1673="","",Parâmetros!$B$5-H1673)</f>
        <v>206</v>
      </c>
      <c r="K1673" s="10" t="n">
        <f aca="false">INDEX(Parâmetros!$D$13:$D$19,MATCH(E1673,Parâmetros!$A$13:$A$19,0))</f>
        <v>22</v>
      </c>
      <c r="L1673" s="10" t="n">
        <f aca="false">IF(G1673="Prospecting",Parâmetros!$B$9,IF(J1673&gt;Parâmetros!$B$6,0,INDEX(Parâmetros!$C$24:$C$26,MATCH(J1673,Parâmetros!$A$24:$A$26,1))))</f>
        <v>0</v>
      </c>
      <c r="M1673" s="31" t="n">
        <f aca="false">IF(G1673="Prospecting",1,INDEX(Parâmetros!$C$32:$C$35,MATCH(J1673,Parâmetros!$A$32:$A$35,1)))</f>
        <v>0.4</v>
      </c>
      <c r="N1673" s="2" t="n">
        <f aca="false">ROUND((K1673+L1673)*M1673,0)</f>
        <v>9</v>
      </c>
      <c r="O1673" s="10" t="str">
        <f aca="false">IF(AND(G1673="Engaging",J1673&gt;Parâmetros!$B$6),"Sim","Não")</f>
        <v>Sim</v>
      </c>
      <c r="P1673" s="32" t="str">
        <f aca="false">IF(O1673="Sim","R",IF(N1673&gt;=Parâmetros!$B$39,"A",IF(N1673&gt;=Parâmetros!$B$40,"B",IF(N1673&gt;=Parâmetros!$B$41,"C","D"))))</f>
        <v>R</v>
      </c>
      <c r="Q1673" s="10" t="str">
        <f aca="false">IF(F1673="","Completar cadastro","")</f>
        <v>Completar cadastro</v>
      </c>
      <c r="R1673" s="10" t="str">
        <f aca="false">INDEX(Parâmetros!$D$39:$D$43,MATCH(P1673,Parâmetros!$A$39:$A$43,0))</f>
        <v>Reciclar: requalificar, reengajar ou encerrar</v>
      </c>
    </row>
    <row r="1674" customFormat="false" ht="15" hidden="false" customHeight="false" outlineLevel="0" collapsed="false">
      <c r="A1674" s="10" t="s">
        <v>1920</v>
      </c>
      <c r="B1674" s="10" t="s">
        <v>97</v>
      </c>
      <c r="C1674" s="10" t="s">
        <v>92</v>
      </c>
      <c r="D1674" s="10" t="s">
        <v>160</v>
      </c>
      <c r="E1674" s="10" t="s">
        <v>51</v>
      </c>
      <c r="F1674" s="10"/>
      <c r="G1674" s="10" t="s">
        <v>162</v>
      </c>
      <c r="H1674" s="30" t="n">
        <v>42896</v>
      </c>
      <c r="I1674" s="8" t="n">
        <f aca="false">INDEX(Parâmetros!$C$13:$C$19,MATCH(E1674,Parâmetros!$A$13:$A$19,0))</f>
        <v>550</v>
      </c>
      <c r="J1674" s="26" t="n">
        <f aca="false">IF(H1674="","",Parâmetros!$B$5-H1674)</f>
        <v>204</v>
      </c>
      <c r="K1674" s="10" t="n">
        <f aca="false">INDEX(Parâmetros!$D$13:$D$19,MATCH(E1674,Parâmetros!$A$13:$A$19,0))</f>
        <v>22</v>
      </c>
      <c r="L1674" s="10" t="n">
        <f aca="false">IF(G1674="Prospecting",Parâmetros!$B$9,IF(J1674&gt;Parâmetros!$B$6,0,INDEX(Parâmetros!$C$24:$C$26,MATCH(J1674,Parâmetros!$A$24:$A$26,1))))</f>
        <v>0</v>
      </c>
      <c r="M1674" s="31" t="n">
        <f aca="false">IF(G1674="Prospecting",1,INDEX(Parâmetros!$C$32:$C$35,MATCH(J1674,Parâmetros!$A$32:$A$35,1)))</f>
        <v>0.4</v>
      </c>
      <c r="N1674" s="2" t="n">
        <f aca="false">ROUND((K1674+L1674)*M1674,0)</f>
        <v>9</v>
      </c>
      <c r="O1674" s="10" t="str">
        <f aca="false">IF(AND(G1674="Engaging",J1674&gt;Parâmetros!$B$6),"Sim","Não")</f>
        <v>Sim</v>
      </c>
      <c r="P1674" s="32" t="str">
        <f aca="false">IF(O1674="Sim","R",IF(N1674&gt;=Parâmetros!$B$39,"A",IF(N1674&gt;=Parâmetros!$B$40,"B",IF(N1674&gt;=Parâmetros!$B$41,"C","D"))))</f>
        <v>R</v>
      </c>
      <c r="Q1674" s="10" t="str">
        <f aca="false">IF(F1674="","Completar cadastro","")</f>
        <v>Completar cadastro</v>
      </c>
      <c r="R1674" s="10" t="str">
        <f aca="false">INDEX(Parâmetros!$D$39:$D$43,MATCH(P1674,Parâmetros!$A$39:$A$43,0))</f>
        <v>Reciclar: requalificar, reengajar ou encerrar</v>
      </c>
    </row>
    <row r="1675" customFormat="false" ht="15" hidden="false" customHeight="false" outlineLevel="0" collapsed="false">
      <c r="A1675" s="10" t="s">
        <v>1921</v>
      </c>
      <c r="B1675" s="10" t="s">
        <v>70</v>
      </c>
      <c r="C1675" s="10" t="s">
        <v>65</v>
      </c>
      <c r="D1675" s="10" t="s">
        <v>160</v>
      </c>
      <c r="E1675" s="10" t="s">
        <v>51</v>
      </c>
      <c r="F1675" s="10"/>
      <c r="G1675" s="10" t="s">
        <v>162</v>
      </c>
      <c r="H1675" s="30" t="n">
        <v>42897</v>
      </c>
      <c r="I1675" s="8" t="n">
        <f aca="false">INDEX(Parâmetros!$C$13:$C$19,MATCH(E1675,Parâmetros!$A$13:$A$19,0))</f>
        <v>550</v>
      </c>
      <c r="J1675" s="26" t="n">
        <f aca="false">IF(H1675="","",Parâmetros!$B$5-H1675)</f>
        <v>203</v>
      </c>
      <c r="K1675" s="10" t="n">
        <f aca="false">INDEX(Parâmetros!$D$13:$D$19,MATCH(E1675,Parâmetros!$A$13:$A$19,0))</f>
        <v>22</v>
      </c>
      <c r="L1675" s="10" t="n">
        <f aca="false">IF(G1675="Prospecting",Parâmetros!$B$9,IF(J1675&gt;Parâmetros!$B$6,0,INDEX(Parâmetros!$C$24:$C$26,MATCH(J1675,Parâmetros!$A$24:$A$26,1))))</f>
        <v>0</v>
      </c>
      <c r="M1675" s="31" t="n">
        <f aca="false">IF(G1675="Prospecting",1,INDEX(Parâmetros!$C$32:$C$35,MATCH(J1675,Parâmetros!$A$32:$A$35,1)))</f>
        <v>0.4</v>
      </c>
      <c r="N1675" s="2" t="n">
        <f aca="false">ROUND((K1675+L1675)*M1675,0)</f>
        <v>9</v>
      </c>
      <c r="O1675" s="10" t="str">
        <f aca="false">IF(AND(G1675="Engaging",J1675&gt;Parâmetros!$B$6),"Sim","Não")</f>
        <v>Sim</v>
      </c>
      <c r="P1675" s="32" t="str">
        <f aca="false">IF(O1675="Sim","R",IF(N1675&gt;=Parâmetros!$B$39,"A",IF(N1675&gt;=Parâmetros!$B$40,"B",IF(N1675&gt;=Parâmetros!$B$41,"C","D"))))</f>
        <v>R</v>
      </c>
      <c r="Q1675" s="10" t="str">
        <f aca="false">IF(F1675="","Completar cadastro","")</f>
        <v>Completar cadastro</v>
      </c>
      <c r="R1675" s="10" t="str">
        <f aca="false">INDEX(Parâmetros!$D$39:$D$43,MATCH(P1675,Parâmetros!$A$39:$A$43,0))</f>
        <v>Reciclar: requalificar, reengajar ou encerrar</v>
      </c>
    </row>
    <row r="1676" customFormat="false" ht="15" hidden="false" customHeight="false" outlineLevel="0" collapsed="false">
      <c r="A1676" s="10" t="s">
        <v>1922</v>
      </c>
      <c r="B1676" s="10" t="s">
        <v>95</v>
      </c>
      <c r="C1676" s="10" t="s">
        <v>92</v>
      </c>
      <c r="D1676" s="10" t="s">
        <v>160</v>
      </c>
      <c r="E1676" s="10" t="s">
        <v>51</v>
      </c>
      <c r="F1676" s="10"/>
      <c r="G1676" s="10" t="s">
        <v>162</v>
      </c>
      <c r="H1676" s="30" t="n">
        <v>42898</v>
      </c>
      <c r="I1676" s="8" t="n">
        <f aca="false">INDEX(Parâmetros!$C$13:$C$19,MATCH(E1676,Parâmetros!$A$13:$A$19,0))</f>
        <v>550</v>
      </c>
      <c r="J1676" s="26" t="n">
        <f aca="false">IF(H1676="","",Parâmetros!$B$5-H1676)</f>
        <v>202</v>
      </c>
      <c r="K1676" s="10" t="n">
        <f aca="false">INDEX(Parâmetros!$D$13:$D$19,MATCH(E1676,Parâmetros!$A$13:$A$19,0))</f>
        <v>22</v>
      </c>
      <c r="L1676" s="10" t="n">
        <f aca="false">IF(G1676="Prospecting",Parâmetros!$B$9,IF(J1676&gt;Parâmetros!$B$6,0,INDEX(Parâmetros!$C$24:$C$26,MATCH(J1676,Parâmetros!$A$24:$A$26,1))))</f>
        <v>0</v>
      </c>
      <c r="M1676" s="31" t="n">
        <f aca="false">IF(G1676="Prospecting",1,INDEX(Parâmetros!$C$32:$C$35,MATCH(J1676,Parâmetros!$A$32:$A$35,1)))</f>
        <v>0.4</v>
      </c>
      <c r="N1676" s="2" t="n">
        <f aca="false">ROUND((K1676+L1676)*M1676,0)</f>
        <v>9</v>
      </c>
      <c r="O1676" s="10" t="str">
        <f aca="false">IF(AND(G1676="Engaging",J1676&gt;Parâmetros!$B$6),"Sim","Não")</f>
        <v>Sim</v>
      </c>
      <c r="P1676" s="32" t="str">
        <f aca="false">IF(O1676="Sim","R",IF(N1676&gt;=Parâmetros!$B$39,"A",IF(N1676&gt;=Parâmetros!$B$40,"B",IF(N1676&gt;=Parâmetros!$B$41,"C","D"))))</f>
        <v>R</v>
      </c>
      <c r="Q1676" s="10" t="str">
        <f aca="false">IF(F1676="","Completar cadastro","")</f>
        <v>Completar cadastro</v>
      </c>
      <c r="R1676" s="10" t="str">
        <f aca="false">INDEX(Parâmetros!$D$39:$D$43,MATCH(P1676,Parâmetros!$A$39:$A$43,0))</f>
        <v>Reciclar: requalificar, reengajar ou encerrar</v>
      </c>
    </row>
    <row r="1677" customFormat="false" ht="15" hidden="false" customHeight="false" outlineLevel="0" collapsed="false">
      <c r="A1677" s="10" t="s">
        <v>1923</v>
      </c>
      <c r="B1677" s="10" t="s">
        <v>69</v>
      </c>
      <c r="C1677" s="10" t="s">
        <v>65</v>
      </c>
      <c r="D1677" s="10" t="s">
        <v>160</v>
      </c>
      <c r="E1677" s="10" t="s">
        <v>51</v>
      </c>
      <c r="F1677" s="10"/>
      <c r="G1677" s="10" t="s">
        <v>162</v>
      </c>
      <c r="H1677" s="30" t="n">
        <v>42898</v>
      </c>
      <c r="I1677" s="8" t="n">
        <f aca="false">INDEX(Parâmetros!$C$13:$C$19,MATCH(E1677,Parâmetros!$A$13:$A$19,0))</f>
        <v>550</v>
      </c>
      <c r="J1677" s="26" t="n">
        <f aca="false">IF(H1677="","",Parâmetros!$B$5-H1677)</f>
        <v>202</v>
      </c>
      <c r="K1677" s="10" t="n">
        <f aca="false">INDEX(Parâmetros!$D$13:$D$19,MATCH(E1677,Parâmetros!$A$13:$A$19,0))</f>
        <v>22</v>
      </c>
      <c r="L1677" s="10" t="n">
        <f aca="false">IF(G1677="Prospecting",Parâmetros!$B$9,IF(J1677&gt;Parâmetros!$B$6,0,INDEX(Parâmetros!$C$24:$C$26,MATCH(J1677,Parâmetros!$A$24:$A$26,1))))</f>
        <v>0</v>
      </c>
      <c r="M1677" s="31" t="n">
        <f aca="false">IF(G1677="Prospecting",1,INDEX(Parâmetros!$C$32:$C$35,MATCH(J1677,Parâmetros!$A$32:$A$35,1)))</f>
        <v>0.4</v>
      </c>
      <c r="N1677" s="2" t="n">
        <f aca="false">ROUND((K1677+L1677)*M1677,0)</f>
        <v>9</v>
      </c>
      <c r="O1677" s="10" t="str">
        <f aca="false">IF(AND(G1677="Engaging",J1677&gt;Parâmetros!$B$6),"Sim","Não")</f>
        <v>Sim</v>
      </c>
      <c r="P1677" s="32" t="str">
        <f aca="false">IF(O1677="Sim","R",IF(N1677&gt;=Parâmetros!$B$39,"A",IF(N1677&gt;=Parâmetros!$B$40,"B",IF(N1677&gt;=Parâmetros!$B$41,"C","D"))))</f>
        <v>R</v>
      </c>
      <c r="Q1677" s="10" t="str">
        <f aca="false">IF(F1677="","Completar cadastro","")</f>
        <v>Completar cadastro</v>
      </c>
      <c r="R1677" s="10" t="str">
        <f aca="false">INDEX(Parâmetros!$D$39:$D$43,MATCH(P1677,Parâmetros!$A$39:$A$43,0))</f>
        <v>Reciclar: requalificar, reengajar ou encerrar</v>
      </c>
    </row>
    <row r="1678" customFormat="false" ht="15" hidden="false" customHeight="false" outlineLevel="0" collapsed="false">
      <c r="A1678" s="10" t="s">
        <v>1924</v>
      </c>
      <c r="B1678" s="10" t="s">
        <v>93</v>
      </c>
      <c r="C1678" s="10" t="s">
        <v>92</v>
      </c>
      <c r="D1678" s="10" t="s">
        <v>160</v>
      </c>
      <c r="E1678" s="10" t="s">
        <v>51</v>
      </c>
      <c r="F1678" s="10"/>
      <c r="G1678" s="10" t="s">
        <v>162</v>
      </c>
      <c r="H1678" s="30" t="n">
        <v>42900</v>
      </c>
      <c r="I1678" s="8" t="n">
        <f aca="false">INDEX(Parâmetros!$C$13:$C$19,MATCH(E1678,Parâmetros!$A$13:$A$19,0))</f>
        <v>550</v>
      </c>
      <c r="J1678" s="26" t="n">
        <f aca="false">IF(H1678="","",Parâmetros!$B$5-H1678)</f>
        <v>200</v>
      </c>
      <c r="K1678" s="10" t="n">
        <f aca="false">INDEX(Parâmetros!$D$13:$D$19,MATCH(E1678,Parâmetros!$A$13:$A$19,0))</f>
        <v>22</v>
      </c>
      <c r="L1678" s="10" t="n">
        <f aca="false">IF(G1678="Prospecting",Parâmetros!$B$9,IF(J1678&gt;Parâmetros!$B$6,0,INDEX(Parâmetros!$C$24:$C$26,MATCH(J1678,Parâmetros!$A$24:$A$26,1))))</f>
        <v>0</v>
      </c>
      <c r="M1678" s="31" t="n">
        <f aca="false">IF(G1678="Prospecting",1,INDEX(Parâmetros!$C$32:$C$35,MATCH(J1678,Parâmetros!$A$32:$A$35,1)))</f>
        <v>0.4</v>
      </c>
      <c r="N1678" s="2" t="n">
        <f aca="false">ROUND((K1678+L1678)*M1678,0)</f>
        <v>9</v>
      </c>
      <c r="O1678" s="10" t="str">
        <f aca="false">IF(AND(G1678="Engaging",J1678&gt;Parâmetros!$B$6),"Sim","Não")</f>
        <v>Sim</v>
      </c>
      <c r="P1678" s="32" t="str">
        <f aca="false">IF(O1678="Sim","R",IF(N1678&gt;=Parâmetros!$B$39,"A",IF(N1678&gt;=Parâmetros!$B$40,"B",IF(N1678&gt;=Parâmetros!$B$41,"C","D"))))</f>
        <v>R</v>
      </c>
      <c r="Q1678" s="10" t="str">
        <f aca="false">IF(F1678="","Completar cadastro","")</f>
        <v>Completar cadastro</v>
      </c>
      <c r="R1678" s="10" t="str">
        <f aca="false">INDEX(Parâmetros!$D$39:$D$43,MATCH(P1678,Parâmetros!$A$39:$A$43,0))</f>
        <v>Reciclar: requalificar, reengajar ou encerrar</v>
      </c>
    </row>
    <row r="1679" customFormat="false" ht="15" hidden="false" customHeight="false" outlineLevel="0" collapsed="false">
      <c r="A1679" s="10" t="s">
        <v>1925</v>
      </c>
      <c r="B1679" s="10" t="s">
        <v>96</v>
      </c>
      <c r="C1679" s="10" t="s">
        <v>92</v>
      </c>
      <c r="D1679" s="10" t="s">
        <v>160</v>
      </c>
      <c r="E1679" s="10" t="s">
        <v>51</v>
      </c>
      <c r="F1679" s="10"/>
      <c r="G1679" s="10" t="s">
        <v>162</v>
      </c>
      <c r="H1679" s="30" t="n">
        <v>42901</v>
      </c>
      <c r="I1679" s="8" t="n">
        <f aca="false">INDEX(Parâmetros!$C$13:$C$19,MATCH(E1679,Parâmetros!$A$13:$A$19,0))</f>
        <v>550</v>
      </c>
      <c r="J1679" s="26" t="n">
        <f aca="false">IF(H1679="","",Parâmetros!$B$5-H1679)</f>
        <v>199</v>
      </c>
      <c r="K1679" s="10" t="n">
        <f aca="false">INDEX(Parâmetros!$D$13:$D$19,MATCH(E1679,Parâmetros!$A$13:$A$19,0))</f>
        <v>22</v>
      </c>
      <c r="L1679" s="10" t="n">
        <f aca="false">IF(G1679="Prospecting",Parâmetros!$B$9,IF(J1679&gt;Parâmetros!$B$6,0,INDEX(Parâmetros!$C$24:$C$26,MATCH(J1679,Parâmetros!$A$24:$A$26,1))))</f>
        <v>0</v>
      </c>
      <c r="M1679" s="31" t="n">
        <f aca="false">IF(G1679="Prospecting",1,INDEX(Parâmetros!$C$32:$C$35,MATCH(J1679,Parâmetros!$A$32:$A$35,1)))</f>
        <v>0.4</v>
      </c>
      <c r="N1679" s="2" t="n">
        <f aca="false">ROUND((K1679+L1679)*M1679,0)</f>
        <v>9</v>
      </c>
      <c r="O1679" s="10" t="str">
        <f aca="false">IF(AND(G1679="Engaging",J1679&gt;Parâmetros!$B$6),"Sim","Não")</f>
        <v>Sim</v>
      </c>
      <c r="P1679" s="32" t="str">
        <f aca="false">IF(O1679="Sim","R",IF(N1679&gt;=Parâmetros!$B$39,"A",IF(N1679&gt;=Parâmetros!$B$40,"B",IF(N1679&gt;=Parâmetros!$B$41,"C","D"))))</f>
        <v>R</v>
      </c>
      <c r="Q1679" s="10" t="str">
        <f aca="false">IF(F1679="","Completar cadastro","")</f>
        <v>Completar cadastro</v>
      </c>
      <c r="R1679" s="10" t="str">
        <f aca="false">INDEX(Parâmetros!$D$39:$D$43,MATCH(P1679,Parâmetros!$A$39:$A$43,0))</f>
        <v>Reciclar: requalificar, reengajar ou encerrar</v>
      </c>
    </row>
    <row r="1680" customFormat="false" ht="15" hidden="false" customHeight="false" outlineLevel="0" collapsed="false">
      <c r="A1680" s="10" t="s">
        <v>1926</v>
      </c>
      <c r="B1680" s="10" t="s">
        <v>70</v>
      </c>
      <c r="C1680" s="10" t="s">
        <v>65</v>
      </c>
      <c r="D1680" s="10" t="s">
        <v>160</v>
      </c>
      <c r="E1680" s="10" t="s">
        <v>51</v>
      </c>
      <c r="F1680" s="10"/>
      <c r="G1680" s="10" t="s">
        <v>162</v>
      </c>
      <c r="H1680" s="30" t="n">
        <v>42901</v>
      </c>
      <c r="I1680" s="8" t="n">
        <f aca="false">INDEX(Parâmetros!$C$13:$C$19,MATCH(E1680,Parâmetros!$A$13:$A$19,0))</f>
        <v>550</v>
      </c>
      <c r="J1680" s="26" t="n">
        <f aca="false">IF(H1680="","",Parâmetros!$B$5-H1680)</f>
        <v>199</v>
      </c>
      <c r="K1680" s="10" t="n">
        <f aca="false">INDEX(Parâmetros!$D$13:$D$19,MATCH(E1680,Parâmetros!$A$13:$A$19,0))</f>
        <v>22</v>
      </c>
      <c r="L1680" s="10" t="n">
        <f aca="false">IF(G1680="Prospecting",Parâmetros!$B$9,IF(J1680&gt;Parâmetros!$B$6,0,INDEX(Parâmetros!$C$24:$C$26,MATCH(J1680,Parâmetros!$A$24:$A$26,1))))</f>
        <v>0</v>
      </c>
      <c r="M1680" s="31" t="n">
        <f aca="false">IF(G1680="Prospecting",1,INDEX(Parâmetros!$C$32:$C$35,MATCH(J1680,Parâmetros!$A$32:$A$35,1)))</f>
        <v>0.4</v>
      </c>
      <c r="N1680" s="2" t="n">
        <f aca="false">ROUND((K1680+L1680)*M1680,0)</f>
        <v>9</v>
      </c>
      <c r="O1680" s="10" t="str">
        <f aca="false">IF(AND(G1680="Engaging",J1680&gt;Parâmetros!$B$6),"Sim","Não")</f>
        <v>Sim</v>
      </c>
      <c r="P1680" s="32" t="str">
        <f aca="false">IF(O1680="Sim","R",IF(N1680&gt;=Parâmetros!$B$39,"A",IF(N1680&gt;=Parâmetros!$B$40,"B",IF(N1680&gt;=Parâmetros!$B$41,"C","D"))))</f>
        <v>R</v>
      </c>
      <c r="Q1680" s="10" t="str">
        <f aca="false">IF(F1680="","Completar cadastro","")</f>
        <v>Completar cadastro</v>
      </c>
      <c r="R1680" s="10" t="str">
        <f aca="false">INDEX(Parâmetros!$D$39:$D$43,MATCH(P1680,Parâmetros!$A$39:$A$43,0))</f>
        <v>Reciclar: requalificar, reengajar ou encerrar</v>
      </c>
    </row>
    <row r="1681" customFormat="false" ht="15" hidden="false" customHeight="false" outlineLevel="0" collapsed="false">
      <c r="A1681" s="10" t="s">
        <v>1927</v>
      </c>
      <c r="B1681" s="10" t="s">
        <v>66</v>
      </c>
      <c r="C1681" s="10" t="s">
        <v>65</v>
      </c>
      <c r="D1681" s="10" t="s">
        <v>160</v>
      </c>
      <c r="E1681" s="10" t="s">
        <v>51</v>
      </c>
      <c r="F1681" s="10" t="s">
        <v>313</v>
      </c>
      <c r="G1681" s="10" t="s">
        <v>162</v>
      </c>
      <c r="H1681" s="30" t="n">
        <v>42903</v>
      </c>
      <c r="I1681" s="8" t="n">
        <f aca="false">INDEX(Parâmetros!$C$13:$C$19,MATCH(E1681,Parâmetros!$A$13:$A$19,0))</f>
        <v>550</v>
      </c>
      <c r="J1681" s="26" t="n">
        <f aca="false">IF(H1681="","",Parâmetros!$B$5-H1681)</f>
        <v>197</v>
      </c>
      <c r="K1681" s="10" t="n">
        <f aca="false">INDEX(Parâmetros!$D$13:$D$19,MATCH(E1681,Parâmetros!$A$13:$A$19,0))</f>
        <v>22</v>
      </c>
      <c r="L1681" s="10" t="n">
        <f aca="false">IF(G1681="Prospecting",Parâmetros!$B$9,IF(J1681&gt;Parâmetros!$B$6,0,INDEX(Parâmetros!$C$24:$C$26,MATCH(J1681,Parâmetros!$A$24:$A$26,1))))</f>
        <v>0</v>
      </c>
      <c r="M1681" s="31" t="n">
        <f aca="false">IF(G1681="Prospecting",1,INDEX(Parâmetros!$C$32:$C$35,MATCH(J1681,Parâmetros!$A$32:$A$35,1)))</f>
        <v>0.4</v>
      </c>
      <c r="N1681" s="2" t="n">
        <f aca="false">ROUND((K1681+L1681)*M1681,0)</f>
        <v>9</v>
      </c>
      <c r="O1681" s="10" t="str">
        <f aca="false">IF(AND(G1681="Engaging",J1681&gt;Parâmetros!$B$6),"Sim","Não")</f>
        <v>Sim</v>
      </c>
      <c r="P1681" s="32" t="str">
        <f aca="false">IF(O1681="Sim","R",IF(N1681&gt;=Parâmetros!$B$39,"A",IF(N1681&gt;=Parâmetros!$B$40,"B",IF(N1681&gt;=Parâmetros!$B$41,"C","D"))))</f>
        <v>R</v>
      </c>
      <c r="Q1681" s="10" t="str">
        <f aca="false">IF(F1681="","Completar cadastro","")</f>
        <v/>
      </c>
      <c r="R1681" s="10" t="str">
        <f aca="false">INDEX(Parâmetros!$D$39:$D$43,MATCH(P1681,Parâmetros!$A$39:$A$43,0))</f>
        <v>Reciclar: requalificar, reengajar ou encerrar</v>
      </c>
    </row>
    <row r="1682" customFormat="false" ht="15" hidden="false" customHeight="false" outlineLevel="0" collapsed="false">
      <c r="A1682" s="10" t="s">
        <v>1928</v>
      </c>
      <c r="B1682" s="10" t="s">
        <v>94</v>
      </c>
      <c r="C1682" s="10" t="s">
        <v>92</v>
      </c>
      <c r="D1682" s="10" t="s">
        <v>160</v>
      </c>
      <c r="E1682" s="10" t="s">
        <v>51</v>
      </c>
      <c r="F1682" s="10"/>
      <c r="G1682" s="10" t="s">
        <v>162</v>
      </c>
      <c r="H1682" s="30" t="n">
        <v>42903</v>
      </c>
      <c r="I1682" s="8" t="n">
        <f aca="false">INDEX(Parâmetros!$C$13:$C$19,MATCH(E1682,Parâmetros!$A$13:$A$19,0))</f>
        <v>550</v>
      </c>
      <c r="J1682" s="26" t="n">
        <f aca="false">IF(H1682="","",Parâmetros!$B$5-H1682)</f>
        <v>197</v>
      </c>
      <c r="K1682" s="10" t="n">
        <f aca="false">INDEX(Parâmetros!$D$13:$D$19,MATCH(E1682,Parâmetros!$A$13:$A$19,0))</f>
        <v>22</v>
      </c>
      <c r="L1682" s="10" t="n">
        <f aca="false">IF(G1682="Prospecting",Parâmetros!$B$9,IF(J1682&gt;Parâmetros!$B$6,0,INDEX(Parâmetros!$C$24:$C$26,MATCH(J1682,Parâmetros!$A$24:$A$26,1))))</f>
        <v>0</v>
      </c>
      <c r="M1682" s="31" t="n">
        <f aca="false">IF(G1682="Prospecting",1,INDEX(Parâmetros!$C$32:$C$35,MATCH(J1682,Parâmetros!$A$32:$A$35,1)))</f>
        <v>0.4</v>
      </c>
      <c r="N1682" s="2" t="n">
        <f aca="false">ROUND((K1682+L1682)*M1682,0)</f>
        <v>9</v>
      </c>
      <c r="O1682" s="10" t="str">
        <f aca="false">IF(AND(G1682="Engaging",J1682&gt;Parâmetros!$B$6),"Sim","Não")</f>
        <v>Sim</v>
      </c>
      <c r="P1682" s="32" t="str">
        <f aca="false">IF(O1682="Sim","R",IF(N1682&gt;=Parâmetros!$B$39,"A",IF(N1682&gt;=Parâmetros!$B$40,"B",IF(N1682&gt;=Parâmetros!$B$41,"C","D"))))</f>
        <v>R</v>
      </c>
      <c r="Q1682" s="10" t="str">
        <f aca="false">IF(F1682="","Completar cadastro","")</f>
        <v>Completar cadastro</v>
      </c>
      <c r="R1682" s="10" t="str">
        <f aca="false">INDEX(Parâmetros!$D$39:$D$43,MATCH(P1682,Parâmetros!$A$39:$A$43,0))</f>
        <v>Reciclar: requalificar, reengajar ou encerrar</v>
      </c>
    </row>
    <row r="1683" customFormat="false" ht="15" hidden="false" customHeight="false" outlineLevel="0" collapsed="false">
      <c r="A1683" s="10" t="s">
        <v>1929</v>
      </c>
      <c r="B1683" s="10" t="s">
        <v>68</v>
      </c>
      <c r="C1683" s="10" t="s">
        <v>65</v>
      </c>
      <c r="D1683" s="10" t="s">
        <v>160</v>
      </c>
      <c r="E1683" s="10" t="s">
        <v>51</v>
      </c>
      <c r="F1683" s="10"/>
      <c r="G1683" s="10" t="s">
        <v>162</v>
      </c>
      <c r="H1683" s="30" t="n">
        <v>42903</v>
      </c>
      <c r="I1683" s="8" t="n">
        <f aca="false">INDEX(Parâmetros!$C$13:$C$19,MATCH(E1683,Parâmetros!$A$13:$A$19,0))</f>
        <v>550</v>
      </c>
      <c r="J1683" s="26" t="n">
        <f aca="false">IF(H1683="","",Parâmetros!$B$5-H1683)</f>
        <v>197</v>
      </c>
      <c r="K1683" s="10" t="n">
        <f aca="false">INDEX(Parâmetros!$D$13:$D$19,MATCH(E1683,Parâmetros!$A$13:$A$19,0))</f>
        <v>22</v>
      </c>
      <c r="L1683" s="10" t="n">
        <f aca="false">IF(G1683="Prospecting",Parâmetros!$B$9,IF(J1683&gt;Parâmetros!$B$6,0,INDEX(Parâmetros!$C$24:$C$26,MATCH(J1683,Parâmetros!$A$24:$A$26,1))))</f>
        <v>0</v>
      </c>
      <c r="M1683" s="31" t="n">
        <f aca="false">IF(G1683="Prospecting",1,INDEX(Parâmetros!$C$32:$C$35,MATCH(J1683,Parâmetros!$A$32:$A$35,1)))</f>
        <v>0.4</v>
      </c>
      <c r="N1683" s="2" t="n">
        <f aca="false">ROUND((K1683+L1683)*M1683,0)</f>
        <v>9</v>
      </c>
      <c r="O1683" s="10" t="str">
        <f aca="false">IF(AND(G1683="Engaging",J1683&gt;Parâmetros!$B$6),"Sim","Não")</f>
        <v>Sim</v>
      </c>
      <c r="P1683" s="32" t="str">
        <f aca="false">IF(O1683="Sim","R",IF(N1683&gt;=Parâmetros!$B$39,"A",IF(N1683&gt;=Parâmetros!$B$40,"B",IF(N1683&gt;=Parâmetros!$B$41,"C","D"))))</f>
        <v>R</v>
      </c>
      <c r="Q1683" s="10" t="str">
        <f aca="false">IF(F1683="","Completar cadastro","")</f>
        <v>Completar cadastro</v>
      </c>
      <c r="R1683" s="10" t="str">
        <f aca="false">INDEX(Parâmetros!$D$39:$D$43,MATCH(P1683,Parâmetros!$A$39:$A$43,0))</f>
        <v>Reciclar: requalificar, reengajar ou encerrar</v>
      </c>
    </row>
    <row r="1684" customFormat="false" ht="15" hidden="false" customHeight="false" outlineLevel="0" collapsed="false">
      <c r="A1684" s="10" t="s">
        <v>1930</v>
      </c>
      <c r="B1684" s="10" t="s">
        <v>70</v>
      </c>
      <c r="C1684" s="10" t="s">
        <v>65</v>
      </c>
      <c r="D1684" s="10" t="s">
        <v>160</v>
      </c>
      <c r="E1684" s="10" t="s">
        <v>51</v>
      </c>
      <c r="F1684" s="10"/>
      <c r="G1684" s="10" t="s">
        <v>162</v>
      </c>
      <c r="H1684" s="30" t="n">
        <v>42903</v>
      </c>
      <c r="I1684" s="8" t="n">
        <f aca="false">INDEX(Parâmetros!$C$13:$C$19,MATCH(E1684,Parâmetros!$A$13:$A$19,0))</f>
        <v>550</v>
      </c>
      <c r="J1684" s="26" t="n">
        <f aca="false">IF(H1684="","",Parâmetros!$B$5-H1684)</f>
        <v>197</v>
      </c>
      <c r="K1684" s="10" t="n">
        <f aca="false">INDEX(Parâmetros!$D$13:$D$19,MATCH(E1684,Parâmetros!$A$13:$A$19,0))</f>
        <v>22</v>
      </c>
      <c r="L1684" s="10" t="n">
        <f aca="false">IF(G1684="Prospecting",Parâmetros!$B$9,IF(J1684&gt;Parâmetros!$B$6,0,INDEX(Parâmetros!$C$24:$C$26,MATCH(J1684,Parâmetros!$A$24:$A$26,1))))</f>
        <v>0</v>
      </c>
      <c r="M1684" s="31" t="n">
        <f aca="false">IF(G1684="Prospecting",1,INDEX(Parâmetros!$C$32:$C$35,MATCH(J1684,Parâmetros!$A$32:$A$35,1)))</f>
        <v>0.4</v>
      </c>
      <c r="N1684" s="2" t="n">
        <f aca="false">ROUND((K1684+L1684)*M1684,0)</f>
        <v>9</v>
      </c>
      <c r="O1684" s="10" t="str">
        <f aca="false">IF(AND(G1684="Engaging",J1684&gt;Parâmetros!$B$6),"Sim","Não")</f>
        <v>Sim</v>
      </c>
      <c r="P1684" s="32" t="str">
        <f aca="false">IF(O1684="Sim","R",IF(N1684&gt;=Parâmetros!$B$39,"A",IF(N1684&gt;=Parâmetros!$B$40,"B",IF(N1684&gt;=Parâmetros!$B$41,"C","D"))))</f>
        <v>R</v>
      </c>
      <c r="Q1684" s="10" t="str">
        <f aca="false">IF(F1684="","Completar cadastro","")</f>
        <v>Completar cadastro</v>
      </c>
      <c r="R1684" s="10" t="str">
        <f aca="false">INDEX(Parâmetros!$D$39:$D$43,MATCH(P1684,Parâmetros!$A$39:$A$43,0))</f>
        <v>Reciclar: requalificar, reengajar ou encerrar</v>
      </c>
    </row>
    <row r="1685" customFormat="false" ht="15" hidden="false" customHeight="false" outlineLevel="0" collapsed="false">
      <c r="A1685" s="10" t="s">
        <v>1931</v>
      </c>
      <c r="B1685" s="10" t="s">
        <v>94</v>
      </c>
      <c r="C1685" s="10" t="s">
        <v>92</v>
      </c>
      <c r="D1685" s="10" t="s">
        <v>160</v>
      </c>
      <c r="E1685" s="10" t="s">
        <v>51</v>
      </c>
      <c r="F1685" s="10"/>
      <c r="G1685" s="10" t="s">
        <v>162</v>
      </c>
      <c r="H1685" s="30" t="n">
        <v>42904</v>
      </c>
      <c r="I1685" s="8" t="n">
        <f aca="false">INDEX(Parâmetros!$C$13:$C$19,MATCH(E1685,Parâmetros!$A$13:$A$19,0))</f>
        <v>550</v>
      </c>
      <c r="J1685" s="26" t="n">
        <f aca="false">IF(H1685="","",Parâmetros!$B$5-H1685)</f>
        <v>196</v>
      </c>
      <c r="K1685" s="10" t="n">
        <f aca="false">INDEX(Parâmetros!$D$13:$D$19,MATCH(E1685,Parâmetros!$A$13:$A$19,0))</f>
        <v>22</v>
      </c>
      <c r="L1685" s="10" t="n">
        <f aca="false">IF(G1685="Prospecting",Parâmetros!$B$9,IF(J1685&gt;Parâmetros!$B$6,0,INDEX(Parâmetros!$C$24:$C$26,MATCH(J1685,Parâmetros!$A$24:$A$26,1))))</f>
        <v>0</v>
      </c>
      <c r="M1685" s="31" t="n">
        <f aca="false">IF(G1685="Prospecting",1,INDEX(Parâmetros!$C$32:$C$35,MATCH(J1685,Parâmetros!$A$32:$A$35,1)))</f>
        <v>0.4</v>
      </c>
      <c r="N1685" s="2" t="n">
        <f aca="false">ROUND((K1685+L1685)*M1685,0)</f>
        <v>9</v>
      </c>
      <c r="O1685" s="10" t="str">
        <f aca="false">IF(AND(G1685="Engaging",J1685&gt;Parâmetros!$B$6),"Sim","Não")</f>
        <v>Sim</v>
      </c>
      <c r="P1685" s="32" t="str">
        <f aca="false">IF(O1685="Sim","R",IF(N1685&gt;=Parâmetros!$B$39,"A",IF(N1685&gt;=Parâmetros!$B$40,"B",IF(N1685&gt;=Parâmetros!$B$41,"C","D"))))</f>
        <v>R</v>
      </c>
      <c r="Q1685" s="10" t="str">
        <f aca="false">IF(F1685="","Completar cadastro","")</f>
        <v>Completar cadastro</v>
      </c>
      <c r="R1685" s="10" t="str">
        <f aca="false">INDEX(Parâmetros!$D$39:$D$43,MATCH(P1685,Parâmetros!$A$39:$A$43,0))</f>
        <v>Reciclar: requalificar, reengajar ou encerrar</v>
      </c>
    </row>
    <row r="1686" customFormat="false" ht="15" hidden="false" customHeight="false" outlineLevel="0" collapsed="false">
      <c r="A1686" s="10" t="s">
        <v>1932</v>
      </c>
      <c r="B1686" s="10" t="s">
        <v>97</v>
      </c>
      <c r="C1686" s="10" t="s">
        <v>92</v>
      </c>
      <c r="D1686" s="10" t="s">
        <v>160</v>
      </c>
      <c r="E1686" s="10" t="s">
        <v>51</v>
      </c>
      <c r="F1686" s="10"/>
      <c r="G1686" s="10" t="s">
        <v>162</v>
      </c>
      <c r="H1686" s="30" t="n">
        <v>42905</v>
      </c>
      <c r="I1686" s="8" t="n">
        <f aca="false">INDEX(Parâmetros!$C$13:$C$19,MATCH(E1686,Parâmetros!$A$13:$A$19,0))</f>
        <v>550</v>
      </c>
      <c r="J1686" s="26" t="n">
        <f aca="false">IF(H1686="","",Parâmetros!$B$5-H1686)</f>
        <v>195</v>
      </c>
      <c r="K1686" s="10" t="n">
        <f aca="false">INDEX(Parâmetros!$D$13:$D$19,MATCH(E1686,Parâmetros!$A$13:$A$19,0))</f>
        <v>22</v>
      </c>
      <c r="L1686" s="10" t="n">
        <f aca="false">IF(G1686="Prospecting",Parâmetros!$B$9,IF(J1686&gt;Parâmetros!$B$6,0,INDEX(Parâmetros!$C$24:$C$26,MATCH(J1686,Parâmetros!$A$24:$A$26,1))))</f>
        <v>0</v>
      </c>
      <c r="M1686" s="31" t="n">
        <f aca="false">IF(G1686="Prospecting",1,INDEX(Parâmetros!$C$32:$C$35,MATCH(J1686,Parâmetros!$A$32:$A$35,1)))</f>
        <v>0.4</v>
      </c>
      <c r="N1686" s="2" t="n">
        <f aca="false">ROUND((K1686+L1686)*M1686,0)</f>
        <v>9</v>
      </c>
      <c r="O1686" s="10" t="str">
        <f aca="false">IF(AND(G1686="Engaging",J1686&gt;Parâmetros!$B$6),"Sim","Não")</f>
        <v>Sim</v>
      </c>
      <c r="P1686" s="32" t="str">
        <f aca="false">IF(O1686="Sim","R",IF(N1686&gt;=Parâmetros!$B$39,"A",IF(N1686&gt;=Parâmetros!$B$40,"B",IF(N1686&gt;=Parâmetros!$B$41,"C","D"))))</f>
        <v>R</v>
      </c>
      <c r="Q1686" s="10" t="str">
        <f aca="false">IF(F1686="","Completar cadastro","")</f>
        <v>Completar cadastro</v>
      </c>
      <c r="R1686" s="10" t="str">
        <f aca="false">INDEX(Parâmetros!$D$39:$D$43,MATCH(P1686,Parâmetros!$A$39:$A$43,0))</f>
        <v>Reciclar: requalificar, reengajar ou encerrar</v>
      </c>
    </row>
    <row r="1687" customFormat="false" ht="15" hidden="false" customHeight="false" outlineLevel="0" collapsed="false">
      <c r="A1687" s="10" t="s">
        <v>1933</v>
      </c>
      <c r="B1687" s="10" t="s">
        <v>93</v>
      </c>
      <c r="C1687" s="10" t="s">
        <v>92</v>
      </c>
      <c r="D1687" s="10" t="s">
        <v>160</v>
      </c>
      <c r="E1687" s="10" t="s">
        <v>51</v>
      </c>
      <c r="F1687" s="10" t="s">
        <v>1251</v>
      </c>
      <c r="G1687" s="10" t="s">
        <v>162</v>
      </c>
      <c r="H1687" s="30" t="n">
        <v>42906</v>
      </c>
      <c r="I1687" s="8" t="n">
        <f aca="false">INDEX(Parâmetros!$C$13:$C$19,MATCH(E1687,Parâmetros!$A$13:$A$19,0))</f>
        <v>550</v>
      </c>
      <c r="J1687" s="26" t="n">
        <f aca="false">IF(H1687="","",Parâmetros!$B$5-H1687)</f>
        <v>194</v>
      </c>
      <c r="K1687" s="10" t="n">
        <f aca="false">INDEX(Parâmetros!$D$13:$D$19,MATCH(E1687,Parâmetros!$A$13:$A$19,0))</f>
        <v>22</v>
      </c>
      <c r="L1687" s="10" t="n">
        <f aca="false">IF(G1687="Prospecting",Parâmetros!$B$9,IF(J1687&gt;Parâmetros!$B$6,0,INDEX(Parâmetros!$C$24:$C$26,MATCH(J1687,Parâmetros!$A$24:$A$26,1))))</f>
        <v>0</v>
      </c>
      <c r="M1687" s="31" t="n">
        <f aca="false">IF(G1687="Prospecting",1,INDEX(Parâmetros!$C$32:$C$35,MATCH(J1687,Parâmetros!$A$32:$A$35,1)))</f>
        <v>0.4</v>
      </c>
      <c r="N1687" s="2" t="n">
        <f aca="false">ROUND((K1687+L1687)*M1687,0)</f>
        <v>9</v>
      </c>
      <c r="O1687" s="10" t="str">
        <f aca="false">IF(AND(G1687="Engaging",J1687&gt;Parâmetros!$B$6),"Sim","Não")</f>
        <v>Sim</v>
      </c>
      <c r="P1687" s="32" t="str">
        <f aca="false">IF(O1687="Sim","R",IF(N1687&gt;=Parâmetros!$B$39,"A",IF(N1687&gt;=Parâmetros!$B$40,"B",IF(N1687&gt;=Parâmetros!$B$41,"C","D"))))</f>
        <v>R</v>
      </c>
      <c r="Q1687" s="10" t="str">
        <f aca="false">IF(F1687="","Completar cadastro","")</f>
        <v/>
      </c>
      <c r="R1687" s="10" t="str">
        <f aca="false">INDEX(Parâmetros!$D$39:$D$43,MATCH(P1687,Parâmetros!$A$39:$A$43,0))</f>
        <v>Reciclar: requalificar, reengajar ou encerrar</v>
      </c>
    </row>
    <row r="1688" customFormat="false" ht="15" hidden="false" customHeight="false" outlineLevel="0" collapsed="false">
      <c r="A1688" s="10" t="s">
        <v>1934</v>
      </c>
      <c r="B1688" s="10" t="s">
        <v>69</v>
      </c>
      <c r="C1688" s="10" t="s">
        <v>65</v>
      </c>
      <c r="D1688" s="10" t="s">
        <v>160</v>
      </c>
      <c r="E1688" s="10" t="s">
        <v>51</v>
      </c>
      <c r="F1688" s="10"/>
      <c r="G1688" s="10" t="s">
        <v>162</v>
      </c>
      <c r="H1688" s="30" t="n">
        <v>42911</v>
      </c>
      <c r="I1688" s="8" t="n">
        <f aca="false">INDEX(Parâmetros!$C$13:$C$19,MATCH(E1688,Parâmetros!$A$13:$A$19,0))</f>
        <v>550</v>
      </c>
      <c r="J1688" s="26" t="n">
        <f aca="false">IF(H1688="","",Parâmetros!$B$5-H1688)</f>
        <v>189</v>
      </c>
      <c r="K1688" s="10" t="n">
        <f aca="false">INDEX(Parâmetros!$D$13:$D$19,MATCH(E1688,Parâmetros!$A$13:$A$19,0))</f>
        <v>22</v>
      </c>
      <c r="L1688" s="10" t="n">
        <f aca="false">IF(G1688="Prospecting",Parâmetros!$B$9,IF(J1688&gt;Parâmetros!$B$6,0,INDEX(Parâmetros!$C$24:$C$26,MATCH(J1688,Parâmetros!$A$24:$A$26,1))))</f>
        <v>0</v>
      </c>
      <c r="M1688" s="31" t="n">
        <f aca="false">IF(G1688="Prospecting",1,INDEX(Parâmetros!$C$32:$C$35,MATCH(J1688,Parâmetros!$A$32:$A$35,1)))</f>
        <v>0.4</v>
      </c>
      <c r="N1688" s="2" t="n">
        <f aca="false">ROUND((K1688+L1688)*M1688,0)</f>
        <v>9</v>
      </c>
      <c r="O1688" s="10" t="str">
        <f aca="false">IF(AND(G1688="Engaging",J1688&gt;Parâmetros!$B$6),"Sim","Não")</f>
        <v>Sim</v>
      </c>
      <c r="P1688" s="32" t="str">
        <f aca="false">IF(O1688="Sim","R",IF(N1688&gt;=Parâmetros!$B$39,"A",IF(N1688&gt;=Parâmetros!$B$40,"B",IF(N1688&gt;=Parâmetros!$B$41,"C","D"))))</f>
        <v>R</v>
      </c>
      <c r="Q1688" s="10" t="str">
        <f aca="false">IF(F1688="","Completar cadastro","")</f>
        <v>Completar cadastro</v>
      </c>
      <c r="R1688" s="10" t="str">
        <f aca="false">INDEX(Parâmetros!$D$39:$D$43,MATCH(P1688,Parâmetros!$A$39:$A$43,0))</f>
        <v>Reciclar: requalificar, reengajar ou encerrar</v>
      </c>
    </row>
    <row r="1689" customFormat="false" ht="15" hidden="false" customHeight="false" outlineLevel="0" collapsed="false">
      <c r="A1689" s="10" t="s">
        <v>1935</v>
      </c>
      <c r="B1689" s="10" t="s">
        <v>61</v>
      </c>
      <c r="C1689" s="10" t="s">
        <v>58</v>
      </c>
      <c r="D1689" s="10" t="s">
        <v>165</v>
      </c>
      <c r="E1689" s="10" t="s">
        <v>51</v>
      </c>
      <c r="F1689" s="10" t="s">
        <v>524</v>
      </c>
      <c r="G1689" s="10" t="s">
        <v>162</v>
      </c>
      <c r="H1689" s="30" t="n">
        <v>42911</v>
      </c>
      <c r="I1689" s="8" t="n">
        <f aca="false">INDEX(Parâmetros!$C$13:$C$19,MATCH(E1689,Parâmetros!$A$13:$A$19,0))</f>
        <v>550</v>
      </c>
      <c r="J1689" s="26" t="n">
        <f aca="false">IF(H1689="","",Parâmetros!$B$5-H1689)</f>
        <v>189</v>
      </c>
      <c r="K1689" s="10" t="n">
        <f aca="false">INDEX(Parâmetros!$D$13:$D$19,MATCH(E1689,Parâmetros!$A$13:$A$19,0))</f>
        <v>22</v>
      </c>
      <c r="L1689" s="10" t="n">
        <f aca="false">IF(G1689="Prospecting",Parâmetros!$B$9,IF(J1689&gt;Parâmetros!$B$6,0,INDEX(Parâmetros!$C$24:$C$26,MATCH(J1689,Parâmetros!$A$24:$A$26,1))))</f>
        <v>0</v>
      </c>
      <c r="M1689" s="31" t="n">
        <f aca="false">IF(G1689="Prospecting",1,INDEX(Parâmetros!$C$32:$C$35,MATCH(J1689,Parâmetros!$A$32:$A$35,1)))</f>
        <v>0.4</v>
      </c>
      <c r="N1689" s="2" t="n">
        <f aca="false">ROUND((K1689+L1689)*M1689,0)</f>
        <v>9</v>
      </c>
      <c r="O1689" s="10" t="str">
        <f aca="false">IF(AND(G1689="Engaging",J1689&gt;Parâmetros!$B$6),"Sim","Não")</f>
        <v>Sim</v>
      </c>
      <c r="P1689" s="32" t="str">
        <f aca="false">IF(O1689="Sim","R",IF(N1689&gt;=Parâmetros!$B$39,"A",IF(N1689&gt;=Parâmetros!$B$40,"B",IF(N1689&gt;=Parâmetros!$B$41,"C","D"))))</f>
        <v>R</v>
      </c>
      <c r="Q1689" s="10" t="str">
        <f aca="false">IF(F1689="","Completar cadastro","")</f>
        <v/>
      </c>
      <c r="R1689" s="10" t="str">
        <f aca="false">INDEX(Parâmetros!$D$39:$D$43,MATCH(P1689,Parâmetros!$A$39:$A$43,0))</f>
        <v>Reciclar: requalificar, reengajar ou encerrar</v>
      </c>
    </row>
    <row r="1690" customFormat="false" ht="15" hidden="false" customHeight="false" outlineLevel="0" collapsed="false">
      <c r="A1690" s="10" t="s">
        <v>1936</v>
      </c>
      <c r="B1690" s="10" t="s">
        <v>95</v>
      </c>
      <c r="C1690" s="10" t="s">
        <v>92</v>
      </c>
      <c r="D1690" s="10" t="s">
        <v>160</v>
      </c>
      <c r="E1690" s="10" t="s">
        <v>51</v>
      </c>
      <c r="F1690" s="10"/>
      <c r="G1690" s="10" t="s">
        <v>162</v>
      </c>
      <c r="H1690" s="30" t="n">
        <v>42915</v>
      </c>
      <c r="I1690" s="8" t="n">
        <f aca="false">INDEX(Parâmetros!$C$13:$C$19,MATCH(E1690,Parâmetros!$A$13:$A$19,0))</f>
        <v>550</v>
      </c>
      <c r="J1690" s="26" t="n">
        <f aca="false">IF(H1690="","",Parâmetros!$B$5-H1690)</f>
        <v>185</v>
      </c>
      <c r="K1690" s="10" t="n">
        <f aca="false">INDEX(Parâmetros!$D$13:$D$19,MATCH(E1690,Parâmetros!$A$13:$A$19,0))</f>
        <v>22</v>
      </c>
      <c r="L1690" s="10" t="n">
        <f aca="false">IF(G1690="Prospecting",Parâmetros!$B$9,IF(J1690&gt;Parâmetros!$B$6,0,INDEX(Parâmetros!$C$24:$C$26,MATCH(J1690,Parâmetros!$A$24:$A$26,1))))</f>
        <v>0</v>
      </c>
      <c r="M1690" s="31" t="n">
        <f aca="false">IF(G1690="Prospecting",1,INDEX(Parâmetros!$C$32:$C$35,MATCH(J1690,Parâmetros!$A$32:$A$35,1)))</f>
        <v>0.4</v>
      </c>
      <c r="N1690" s="2" t="n">
        <f aca="false">ROUND((K1690+L1690)*M1690,0)</f>
        <v>9</v>
      </c>
      <c r="O1690" s="10" t="str">
        <f aca="false">IF(AND(G1690="Engaging",J1690&gt;Parâmetros!$B$6),"Sim","Não")</f>
        <v>Sim</v>
      </c>
      <c r="P1690" s="32" t="str">
        <f aca="false">IF(O1690="Sim","R",IF(N1690&gt;=Parâmetros!$B$39,"A",IF(N1690&gt;=Parâmetros!$B$40,"B",IF(N1690&gt;=Parâmetros!$B$41,"C","D"))))</f>
        <v>R</v>
      </c>
      <c r="Q1690" s="10" t="str">
        <f aca="false">IF(F1690="","Completar cadastro","")</f>
        <v>Completar cadastro</v>
      </c>
      <c r="R1690" s="10" t="str">
        <f aca="false">INDEX(Parâmetros!$D$39:$D$43,MATCH(P1690,Parâmetros!$A$39:$A$43,0))</f>
        <v>Reciclar: requalificar, reengajar ou encerrar</v>
      </c>
    </row>
    <row r="1691" customFormat="false" ht="15" hidden="false" customHeight="false" outlineLevel="0" collapsed="false">
      <c r="A1691" s="10" t="s">
        <v>1937</v>
      </c>
      <c r="B1691" s="10" t="s">
        <v>70</v>
      </c>
      <c r="C1691" s="10" t="s">
        <v>65</v>
      </c>
      <c r="D1691" s="10" t="s">
        <v>160</v>
      </c>
      <c r="E1691" s="10" t="s">
        <v>51</v>
      </c>
      <c r="F1691" s="10"/>
      <c r="G1691" s="10" t="s">
        <v>162</v>
      </c>
      <c r="H1691" s="30" t="n">
        <v>42917</v>
      </c>
      <c r="I1691" s="8" t="n">
        <f aca="false">INDEX(Parâmetros!$C$13:$C$19,MATCH(E1691,Parâmetros!$A$13:$A$19,0))</f>
        <v>550</v>
      </c>
      <c r="J1691" s="26" t="n">
        <f aca="false">IF(H1691="","",Parâmetros!$B$5-H1691)</f>
        <v>183</v>
      </c>
      <c r="K1691" s="10" t="n">
        <f aca="false">INDEX(Parâmetros!$D$13:$D$19,MATCH(E1691,Parâmetros!$A$13:$A$19,0))</f>
        <v>22</v>
      </c>
      <c r="L1691" s="10" t="n">
        <f aca="false">IF(G1691="Prospecting",Parâmetros!$B$9,IF(J1691&gt;Parâmetros!$B$6,0,INDEX(Parâmetros!$C$24:$C$26,MATCH(J1691,Parâmetros!$A$24:$A$26,1))))</f>
        <v>0</v>
      </c>
      <c r="M1691" s="31" t="n">
        <f aca="false">IF(G1691="Prospecting",1,INDEX(Parâmetros!$C$32:$C$35,MATCH(J1691,Parâmetros!$A$32:$A$35,1)))</f>
        <v>0.4</v>
      </c>
      <c r="N1691" s="2" t="n">
        <f aca="false">ROUND((K1691+L1691)*M1691,0)</f>
        <v>9</v>
      </c>
      <c r="O1691" s="10" t="str">
        <f aca="false">IF(AND(G1691="Engaging",J1691&gt;Parâmetros!$B$6),"Sim","Não")</f>
        <v>Sim</v>
      </c>
      <c r="P1691" s="32" t="str">
        <f aca="false">IF(O1691="Sim","R",IF(N1691&gt;=Parâmetros!$B$39,"A",IF(N1691&gt;=Parâmetros!$B$40,"B",IF(N1691&gt;=Parâmetros!$B$41,"C","D"))))</f>
        <v>R</v>
      </c>
      <c r="Q1691" s="10" t="str">
        <f aca="false">IF(F1691="","Completar cadastro","")</f>
        <v>Completar cadastro</v>
      </c>
      <c r="R1691" s="10" t="str">
        <f aca="false">INDEX(Parâmetros!$D$39:$D$43,MATCH(P1691,Parâmetros!$A$39:$A$43,0))</f>
        <v>Reciclar: requalificar, reengajar ou encerrar</v>
      </c>
    </row>
    <row r="1692" customFormat="false" ht="15" hidden="false" customHeight="false" outlineLevel="0" collapsed="false">
      <c r="A1692" s="10" t="s">
        <v>1938</v>
      </c>
      <c r="B1692" s="10" t="s">
        <v>95</v>
      </c>
      <c r="C1692" s="10" t="s">
        <v>92</v>
      </c>
      <c r="D1692" s="10" t="s">
        <v>160</v>
      </c>
      <c r="E1692" s="10" t="s">
        <v>51</v>
      </c>
      <c r="F1692" s="10"/>
      <c r="G1692" s="10" t="s">
        <v>162</v>
      </c>
      <c r="H1692" s="30" t="n">
        <v>42919</v>
      </c>
      <c r="I1692" s="8" t="n">
        <f aca="false">INDEX(Parâmetros!$C$13:$C$19,MATCH(E1692,Parâmetros!$A$13:$A$19,0))</f>
        <v>550</v>
      </c>
      <c r="J1692" s="26" t="n">
        <f aca="false">IF(H1692="","",Parâmetros!$B$5-H1692)</f>
        <v>181</v>
      </c>
      <c r="K1692" s="10" t="n">
        <f aca="false">INDEX(Parâmetros!$D$13:$D$19,MATCH(E1692,Parâmetros!$A$13:$A$19,0))</f>
        <v>22</v>
      </c>
      <c r="L1692" s="10" t="n">
        <f aca="false">IF(G1692="Prospecting",Parâmetros!$B$9,IF(J1692&gt;Parâmetros!$B$6,0,INDEX(Parâmetros!$C$24:$C$26,MATCH(J1692,Parâmetros!$A$24:$A$26,1))))</f>
        <v>0</v>
      </c>
      <c r="M1692" s="31" t="n">
        <f aca="false">IF(G1692="Prospecting",1,INDEX(Parâmetros!$C$32:$C$35,MATCH(J1692,Parâmetros!$A$32:$A$35,1)))</f>
        <v>0.4</v>
      </c>
      <c r="N1692" s="2" t="n">
        <f aca="false">ROUND((K1692+L1692)*M1692,0)</f>
        <v>9</v>
      </c>
      <c r="O1692" s="10" t="str">
        <f aca="false">IF(AND(G1692="Engaging",J1692&gt;Parâmetros!$B$6),"Sim","Não")</f>
        <v>Sim</v>
      </c>
      <c r="P1692" s="32" t="str">
        <f aca="false">IF(O1692="Sim","R",IF(N1692&gt;=Parâmetros!$B$39,"A",IF(N1692&gt;=Parâmetros!$B$40,"B",IF(N1692&gt;=Parâmetros!$B$41,"C","D"))))</f>
        <v>R</v>
      </c>
      <c r="Q1692" s="10" t="str">
        <f aca="false">IF(F1692="","Completar cadastro","")</f>
        <v>Completar cadastro</v>
      </c>
      <c r="R1692" s="10" t="str">
        <f aca="false">INDEX(Parâmetros!$D$39:$D$43,MATCH(P1692,Parâmetros!$A$39:$A$43,0))</f>
        <v>Reciclar: requalificar, reengajar ou encerrar</v>
      </c>
    </row>
    <row r="1693" customFormat="false" ht="15" hidden="false" customHeight="false" outlineLevel="0" collapsed="false">
      <c r="A1693" s="10" t="s">
        <v>1939</v>
      </c>
      <c r="B1693" s="10" t="s">
        <v>94</v>
      </c>
      <c r="C1693" s="10" t="s">
        <v>92</v>
      </c>
      <c r="D1693" s="10" t="s">
        <v>160</v>
      </c>
      <c r="E1693" s="10" t="s">
        <v>50</v>
      </c>
      <c r="F1693" s="10"/>
      <c r="G1693" s="10" t="s">
        <v>162</v>
      </c>
      <c r="H1693" s="30" t="n">
        <v>42693</v>
      </c>
      <c r="I1693" s="8" t="n">
        <f aca="false">INDEX(Parâmetros!$C$13:$C$19,MATCH(E1693,Parâmetros!$A$13:$A$19,0))</f>
        <v>1096</v>
      </c>
      <c r="J1693" s="26" t="n">
        <f aca="false">IF(H1693="","",Parâmetros!$B$5-H1693)</f>
        <v>407</v>
      </c>
      <c r="K1693" s="10" t="n">
        <f aca="false">INDEX(Parâmetros!$D$13:$D$19,MATCH(E1693,Parâmetros!$A$13:$A$19,0))</f>
        <v>29</v>
      </c>
      <c r="L1693" s="10" t="n">
        <f aca="false">IF(G1693="Prospecting",Parâmetros!$B$9,IF(J1693&gt;Parâmetros!$B$6,0,INDEX(Parâmetros!$C$24:$C$26,MATCH(J1693,Parâmetros!$A$24:$A$26,1))))</f>
        <v>0</v>
      </c>
      <c r="M1693" s="31" t="n">
        <f aca="false">IF(G1693="Prospecting",1,INDEX(Parâmetros!$C$32:$C$35,MATCH(J1693,Parâmetros!$A$32:$A$35,1)))</f>
        <v>0.25</v>
      </c>
      <c r="N1693" s="2" t="n">
        <f aca="false">ROUND((K1693+L1693)*M1693,0)</f>
        <v>7</v>
      </c>
      <c r="O1693" s="10" t="str">
        <f aca="false">IF(AND(G1693="Engaging",J1693&gt;Parâmetros!$B$6),"Sim","Não")</f>
        <v>Sim</v>
      </c>
      <c r="P1693" s="32" t="str">
        <f aca="false">IF(O1693="Sim","R",IF(N1693&gt;=Parâmetros!$B$39,"A",IF(N1693&gt;=Parâmetros!$B$40,"B",IF(N1693&gt;=Parâmetros!$B$41,"C","D"))))</f>
        <v>R</v>
      </c>
      <c r="Q1693" s="10" t="str">
        <f aca="false">IF(F1693="","Completar cadastro","")</f>
        <v>Completar cadastro</v>
      </c>
      <c r="R1693" s="10" t="str">
        <f aca="false">INDEX(Parâmetros!$D$39:$D$43,MATCH(P1693,Parâmetros!$A$39:$A$43,0))</f>
        <v>Reciclar: requalificar, reengajar ou encerrar</v>
      </c>
    </row>
    <row r="1694" customFormat="false" ht="15" hidden="false" customHeight="false" outlineLevel="0" collapsed="false">
      <c r="A1694" s="10" t="s">
        <v>1940</v>
      </c>
      <c r="B1694" s="10" t="s">
        <v>87</v>
      </c>
      <c r="C1694" s="10" t="s">
        <v>85</v>
      </c>
      <c r="D1694" s="10" t="s">
        <v>165</v>
      </c>
      <c r="E1694" s="10" t="s">
        <v>50</v>
      </c>
      <c r="F1694" s="10" t="s">
        <v>337</v>
      </c>
      <c r="G1694" s="10" t="s">
        <v>162</v>
      </c>
      <c r="H1694" s="30" t="n">
        <v>42698</v>
      </c>
      <c r="I1694" s="8" t="n">
        <f aca="false">INDEX(Parâmetros!$C$13:$C$19,MATCH(E1694,Parâmetros!$A$13:$A$19,0))</f>
        <v>1096</v>
      </c>
      <c r="J1694" s="26" t="n">
        <f aca="false">IF(H1694="","",Parâmetros!$B$5-H1694)</f>
        <v>402</v>
      </c>
      <c r="K1694" s="10" t="n">
        <f aca="false">INDEX(Parâmetros!$D$13:$D$19,MATCH(E1694,Parâmetros!$A$13:$A$19,0))</f>
        <v>29</v>
      </c>
      <c r="L1694" s="10" t="n">
        <f aca="false">IF(G1694="Prospecting",Parâmetros!$B$9,IF(J1694&gt;Parâmetros!$B$6,0,INDEX(Parâmetros!$C$24:$C$26,MATCH(J1694,Parâmetros!$A$24:$A$26,1))))</f>
        <v>0</v>
      </c>
      <c r="M1694" s="31" t="n">
        <f aca="false">IF(G1694="Prospecting",1,INDEX(Parâmetros!$C$32:$C$35,MATCH(J1694,Parâmetros!$A$32:$A$35,1)))</f>
        <v>0.25</v>
      </c>
      <c r="N1694" s="2" t="n">
        <f aca="false">ROUND((K1694+L1694)*M1694,0)</f>
        <v>7</v>
      </c>
      <c r="O1694" s="10" t="str">
        <f aca="false">IF(AND(G1694="Engaging",J1694&gt;Parâmetros!$B$6),"Sim","Não")</f>
        <v>Sim</v>
      </c>
      <c r="P1694" s="32" t="str">
        <f aca="false">IF(O1694="Sim","R",IF(N1694&gt;=Parâmetros!$B$39,"A",IF(N1694&gt;=Parâmetros!$B$40,"B",IF(N1694&gt;=Parâmetros!$B$41,"C","D"))))</f>
        <v>R</v>
      </c>
      <c r="Q1694" s="10" t="str">
        <f aca="false">IF(F1694="","Completar cadastro","")</f>
        <v/>
      </c>
      <c r="R1694" s="10" t="str">
        <f aca="false">INDEX(Parâmetros!$D$39:$D$43,MATCH(P1694,Parâmetros!$A$39:$A$43,0))</f>
        <v>Reciclar: requalificar, reengajar ou encerrar</v>
      </c>
    </row>
    <row r="1695" customFormat="false" ht="15" hidden="false" customHeight="false" outlineLevel="0" collapsed="false">
      <c r="A1695" s="10" t="s">
        <v>1941</v>
      </c>
      <c r="B1695" s="10" t="s">
        <v>94</v>
      </c>
      <c r="C1695" s="10" t="s">
        <v>92</v>
      </c>
      <c r="D1695" s="10" t="s">
        <v>160</v>
      </c>
      <c r="E1695" s="10" t="s">
        <v>50</v>
      </c>
      <c r="F1695" s="10" t="s">
        <v>616</v>
      </c>
      <c r="G1695" s="10" t="s">
        <v>162</v>
      </c>
      <c r="H1695" s="30" t="n">
        <v>42698</v>
      </c>
      <c r="I1695" s="8" t="n">
        <f aca="false">INDEX(Parâmetros!$C$13:$C$19,MATCH(E1695,Parâmetros!$A$13:$A$19,0))</f>
        <v>1096</v>
      </c>
      <c r="J1695" s="26" t="n">
        <f aca="false">IF(H1695="","",Parâmetros!$B$5-H1695)</f>
        <v>402</v>
      </c>
      <c r="K1695" s="10" t="n">
        <f aca="false">INDEX(Parâmetros!$D$13:$D$19,MATCH(E1695,Parâmetros!$A$13:$A$19,0))</f>
        <v>29</v>
      </c>
      <c r="L1695" s="10" t="n">
        <f aca="false">IF(G1695="Prospecting",Parâmetros!$B$9,IF(J1695&gt;Parâmetros!$B$6,0,INDEX(Parâmetros!$C$24:$C$26,MATCH(J1695,Parâmetros!$A$24:$A$26,1))))</f>
        <v>0</v>
      </c>
      <c r="M1695" s="31" t="n">
        <f aca="false">IF(G1695="Prospecting",1,INDEX(Parâmetros!$C$32:$C$35,MATCH(J1695,Parâmetros!$A$32:$A$35,1)))</f>
        <v>0.25</v>
      </c>
      <c r="N1695" s="2" t="n">
        <f aca="false">ROUND((K1695+L1695)*M1695,0)</f>
        <v>7</v>
      </c>
      <c r="O1695" s="10" t="str">
        <f aca="false">IF(AND(G1695="Engaging",J1695&gt;Parâmetros!$B$6),"Sim","Não")</f>
        <v>Sim</v>
      </c>
      <c r="P1695" s="32" t="str">
        <f aca="false">IF(O1695="Sim","R",IF(N1695&gt;=Parâmetros!$B$39,"A",IF(N1695&gt;=Parâmetros!$B$40,"B",IF(N1695&gt;=Parâmetros!$B$41,"C","D"))))</f>
        <v>R</v>
      </c>
      <c r="Q1695" s="10" t="str">
        <f aca="false">IF(F1695="","Completar cadastro","")</f>
        <v/>
      </c>
      <c r="R1695" s="10" t="str">
        <f aca="false">INDEX(Parâmetros!$D$39:$D$43,MATCH(P1695,Parâmetros!$A$39:$A$43,0))</f>
        <v>Reciclar: requalificar, reengajar ou encerrar</v>
      </c>
    </row>
    <row r="1696" customFormat="false" ht="15" hidden="false" customHeight="false" outlineLevel="0" collapsed="false">
      <c r="A1696" s="10" t="s">
        <v>1942</v>
      </c>
      <c r="B1696" s="10" t="s">
        <v>94</v>
      </c>
      <c r="C1696" s="10" t="s">
        <v>92</v>
      </c>
      <c r="D1696" s="10" t="s">
        <v>160</v>
      </c>
      <c r="E1696" s="10" t="s">
        <v>50</v>
      </c>
      <c r="F1696" s="10"/>
      <c r="G1696" s="10" t="s">
        <v>162</v>
      </c>
      <c r="H1696" s="30" t="n">
        <v>42712</v>
      </c>
      <c r="I1696" s="8" t="n">
        <f aca="false">INDEX(Parâmetros!$C$13:$C$19,MATCH(E1696,Parâmetros!$A$13:$A$19,0))</f>
        <v>1096</v>
      </c>
      <c r="J1696" s="26" t="n">
        <f aca="false">IF(H1696="","",Parâmetros!$B$5-H1696)</f>
        <v>388</v>
      </c>
      <c r="K1696" s="10" t="n">
        <f aca="false">INDEX(Parâmetros!$D$13:$D$19,MATCH(E1696,Parâmetros!$A$13:$A$19,0))</f>
        <v>29</v>
      </c>
      <c r="L1696" s="10" t="n">
        <f aca="false">IF(G1696="Prospecting",Parâmetros!$B$9,IF(J1696&gt;Parâmetros!$B$6,0,INDEX(Parâmetros!$C$24:$C$26,MATCH(J1696,Parâmetros!$A$24:$A$26,1))))</f>
        <v>0</v>
      </c>
      <c r="M1696" s="31" t="n">
        <f aca="false">IF(G1696="Prospecting",1,INDEX(Parâmetros!$C$32:$C$35,MATCH(J1696,Parâmetros!$A$32:$A$35,1)))</f>
        <v>0.25</v>
      </c>
      <c r="N1696" s="2" t="n">
        <f aca="false">ROUND((K1696+L1696)*M1696,0)</f>
        <v>7</v>
      </c>
      <c r="O1696" s="10" t="str">
        <f aca="false">IF(AND(G1696="Engaging",J1696&gt;Parâmetros!$B$6),"Sim","Não")</f>
        <v>Sim</v>
      </c>
      <c r="P1696" s="32" t="str">
        <f aca="false">IF(O1696="Sim","R",IF(N1696&gt;=Parâmetros!$B$39,"A",IF(N1696&gt;=Parâmetros!$B$40,"B",IF(N1696&gt;=Parâmetros!$B$41,"C","D"))))</f>
        <v>R</v>
      </c>
      <c r="Q1696" s="10" t="str">
        <f aca="false">IF(F1696="","Completar cadastro","")</f>
        <v>Completar cadastro</v>
      </c>
      <c r="R1696" s="10" t="str">
        <f aca="false">INDEX(Parâmetros!$D$39:$D$43,MATCH(P1696,Parâmetros!$A$39:$A$43,0))</f>
        <v>Reciclar: requalificar, reengajar ou encerrar</v>
      </c>
    </row>
    <row r="1697" customFormat="false" ht="15" hidden="false" customHeight="false" outlineLevel="0" collapsed="false">
      <c r="A1697" s="10" t="s">
        <v>1943</v>
      </c>
      <c r="B1697" s="10" t="s">
        <v>95</v>
      </c>
      <c r="C1697" s="10" t="s">
        <v>92</v>
      </c>
      <c r="D1697" s="10" t="s">
        <v>160</v>
      </c>
      <c r="E1697" s="10" t="s">
        <v>50</v>
      </c>
      <c r="F1697" s="10" t="s">
        <v>483</v>
      </c>
      <c r="G1697" s="10" t="s">
        <v>162</v>
      </c>
      <c r="H1697" s="30" t="n">
        <v>42718</v>
      </c>
      <c r="I1697" s="8" t="n">
        <f aca="false">INDEX(Parâmetros!$C$13:$C$19,MATCH(E1697,Parâmetros!$A$13:$A$19,0))</f>
        <v>1096</v>
      </c>
      <c r="J1697" s="26" t="n">
        <f aca="false">IF(H1697="","",Parâmetros!$B$5-H1697)</f>
        <v>382</v>
      </c>
      <c r="K1697" s="10" t="n">
        <f aca="false">INDEX(Parâmetros!$D$13:$D$19,MATCH(E1697,Parâmetros!$A$13:$A$19,0))</f>
        <v>29</v>
      </c>
      <c r="L1697" s="10" t="n">
        <f aca="false">IF(G1697="Prospecting",Parâmetros!$B$9,IF(J1697&gt;Parâmetros!$B$6,0,INDEX(Parâmetros!$C$24:$C$26,MATCH(J1697,Parâmetros!$A$24:$A$26,1))))</f>
        <v>0</v>
      </c>
      <c r="M1697" s="31" t="n">
        <f aca="false">IF(G1697="Prospecting",1,INDEX(Parâmetros!$C$32:$C$35,MATCH(J1697,Parâmetros!$A$32:$A$35,1)))</f>
        <v>0.25</v>
      </c>
      <c r="N1697" s="2" t="n">
        <f aca="false">ROUND((K1697+L1697)*M1697,0)</f>
        <v>7</v>
      </c>
      <c r="O1697" s="10" t="str">
        <f aca="false">IF(AND(G1697="Engaging",J1697&gt;Parâmetros!$B$6),"Sim","Não")</f>
        <v>Sim</v>
      </c>
      <c r="P1697" s="32" t="str">
        <f aca="false">IF(O1697="Sim","R",IF(N1697&gt;=Parâmetros!$B$39,"A",IF(N1697&gt;=Parâmetros!$B$40,"B",IF(N1697&gt;=Parâmetros!$B$41,"C","D"))))</f>
        <v>R</v>
      </c>
      <c r="Q1697" s="10" t="str">
        <f aca="false">IF(F1697="","Completar cadastro","")</f>
        <v/>
      </c>
      <c r="R1697" s="10" t="str">
        <f aca="false">INDEX(Parâmetros!$D$39:$D$43,MATCH(P1697,Parâmetros!$A$39:$A$43,0))</f>
        <v>Reciclar: requalificar, reengajar ou encerrar</v>
      </c>
    </row>
    <row r="1698" customFormat="false" ht="15" hidden="false" customHeight="false" outlineLevel="0" collapsed="false">
      <c r="A1698" s="10" t="s">
        <v>1944</v>
      </c>
      <c r="B1698" s="10" t="s">
        <v>87</v>
      </c>
      <c r="C1698" s="10" t="s">
        <v>85</v>
      </c>
      <c r="D1698" s="10" t="s">
        <v>165</v>
      </c>
      <c r="E1698" s="10" t="s">
        <v>50</v>
      </c>
      <c r="F1698" s="10"/>
      <c r="G1698" s="10" t="s">
        <v>162</v>
      </c>
      <c r="H1698" s="30" t="n">
        <v>42724</v>
      </c>
      <c r="I1698" s="8" t="n">
        <f aca="false">INDEX(Parâmetros!$C$13:$C$19,MATCH(E1698,Parâmetros!$A$13:$A$19,0))</f>
        <v>1096</v>
      </c>
      <c r="J1698" s="26" t="n">
        <f aca="false">IF(H1698="","",Parâmetros!$B$5-H1698)</f>
        <v>376</v>
      </c>
      <c r="K1698" s="10" t="n">
        <f aca="false">INDEX(Parâmetros!$D$13:$D$19,MATCH(E1698,Parâmetros!$A$13:$A$19,0))</f>
        <v>29</v>
      </c>
      <c r="L1698" s="10" t="n">
        <f aca="false">IF(G1698="Prospecting",Parâmetros!$B$9,IF(J1698&gt;Parâmetros!$B$6,0,INDEX(Parâmetros!$C$24:$C$26,MATCH(J1698,Parâmetros!$A$24:$A$26,1))))</f>
        <v>0</v>
      </c>
      <c r="M1698" s="31" t="n">
        <f aca="false">IF(G1698="Prospecting",1,INDEX(Parâmetros!$C$32:$C$35,MATCH(J1698,Parâmetros!$A$32:$A$35,1)))</f>
        <v>0.25</v>
      </c>
      <c r="N1698" s="2" t="n">
        <f aca="false">ROUND((K1698+L1698)*M1698,0)</f>
        <v>7</v>
      </c>
      <c r="O1698" s="10" t="str">
        <f aca="false">IF(AND(G1698="Engaging",J1698&gt;Parâmetros!$B$6),"Sim","Não")</f>
        <v>Sim</v>
      </c>
      <c r="P1698" s="32" t="str">
        <f aca="false">IF(O1698="Sim","R",IF(N1698&gt;=Parâmetros!$B$39,"A",IF(N1698&gt;=Parâmetros!$B$40,"B",IF(N1698&gt;=Parâmetros!$B$41,"C","D"))))</f>
        <v>R</v>
      </c>
      <c r="Q1698" s="10" t="str">
        <f aca="false">IF(F1698="","Completar cadastro","")</f>
        <v>Completar cadastro</v>
      </c>
      <c r="R1698" s="10" t="str">
        <f aca="false">INDEX(Parâmetros!$D$39:$D$43,MATCH(P1698,Parâmetros!$A$39:$A$43,0))</f>
        <v>Reciclar: requalificar, reengajar ou encerrar</v>
      </c>
    </row>
    <row r="1699" customFormat="false" ht="15" hidden="false" customHeight="false" outlineLevel="0" collapsed="false">
      <c r="A1699" s="10" t="s">
        <v>1945</v>
      </c>
      <c r="B1699" s="10" t="s">
        <v>87</v>
      </c>
      <c r="C1699" s="10" t="s">
        <v>85</v>
      </c>
      <c r="D1699" s="10" t="s">
        <v>165</v>
      </c>
      <c r="E1699" s="10" t="s">
        <v>50</v>
      </c>
      <c r="F1699" s="10" t="s">
        <v>369</v>
      </c>
      <c r="G1699" s="10" t="s">
        <v>162</v>
      </c>
      <c r="H1699" s="30" t="n">
        <v>42727</v>
      </c>
      <c r="I1699" s="8" t="n">
        <f aca="false">INDEX(Parâmetros!$C$13:$C$19,MATCH(E1699,Parâmetros!$A$13:$A$19,0))</f>
        <v>1096</v>
      </c>
      <c r="J1699" s="26" t="n">
        <f aca="false">IF(H1699="","",Parâmetros!$B$5-H1699)</f>
        <v>373</v>
      </c>
      <c r="K1699" s="10" t="n">
        <f aca="false">INDEX(Parâmetros!$D$13:$D$19,MATCH(E1699,Parâmetros!$A$13:$A$19,0))</f>
        <v>29</v>
      </c>
      <c r="L1699" s="10" t="n">
        <f aca="false">IF(G1699="Prospecting",Parâmetros!$B$9,IF(J1699&gt;Parâmetros!$B$6,0,INDEX(Parâmetros!$C$24:$C$26,MATCH(J1699,Parâmetros!$A$24:$A$26,1))))</f>
        <v>0</v>
      </c>
      <c r="M1699" s="31" t="n">
        <f aca="false">IF(G1699="Prospecting",1,INDEX(Parâmetros!$C$32:$C$35,MATCH(J1699,Parâmetros!$A$32:$A$35,1)))</f>
        <v>0.25</v>
      </c>
      <c r="N1699" s="2" t="n">
        <f aca="false">ROUND((K1699+L1699)*M1699,0)</f>
        <v>7</v>
      </c>
      <c r="O1699" s="10" t="str">
        <f aca="false">IF(AND(G1699="Engaging",J1699&gt;Parâmetros!$B$6),"Sim","Não")</f>
        <v>Sim</v>
      </c>
      <c r="P1699" s="32" t="str">
        <f aca="false">IF(O1699="Sim","R",IF(N1699&gt;=Parâmetros!$B$39,"A",IF(N1699&gt;=Parâmetros!$B$40,"B",IF(N1699&gt;=Parâmetros!$B$41,"C","D"))))</f>
        <v>R</v>
      </c>
      <c r="Q1699" s="10" t="str">
        <f aca="false">IF(F1699="","Completar cadastro","")</f>
        <v/>
      </c>
      <c r="R1699" s="10" t="str">
        <f aca="false">INDEX(Parâmetros!$D$39:$D$43,MATCH(P1699,Parâmetros!$A$39:$A$43,0))</f>
        <v>Reciclar: requalificar, reengajar ou encerrar</v>
      </c>
    </row>
    <row r="1700" customFormat="false" ht="15" hidden="false" customHeight="false" outlineLevel="0" collapsed="false">
      <c r="A1700" s="10" t="s">
        <v>1946</v>
      </c>
      <c r="B1700" s="10" t="s">
        <v>97</v>
      </c>
      <c r="C1700" s="10" t="s">
        <v>92</v>
      </c>
      <c r="D1700" s="10" t="s">
        <v>160</v>
      </c>
      <c r="E1700" s="10" t="s">
        <v>50</v>
      </c>
      <c r="F1700" s="10" t="s">
        <v>199</v>
      </c>
      <c r="G1700" s="10" t="s">
        <v>162</v>
      </c>
      <c r="H1700" s="30" t="n">
        <v>42736</v>
      </c>
      <c r="I1700" s="8" t="n">
        <f aca="false">INDEX(Parâmetros!$C$13:$C$19,MATCH(E1700,Parâmetros!$A$13:$A$19,0))</f>
        <v>1096</v>
      </c>
      <c r="J1700" s="26" t="n">
        <f aca="false">IF(H1700="","",Parâmetros!$B$5-H1700)</f>
        <v>364</v>
      </c>
      <c r="K1700" s="10" t="n">
        <f aca="false">INDEX(Parâmetros!$D$13:$D$19,MATCH(E1700,Parâmetros!$A$13:$A$19,0))</f>
        <v>29</v>
      </c>
      <c r="L1700" s="10" t="n">
        <f aca="false">IF(G1700="Prospecting",Parâmetros!$B$9,IF(J1700&gt;Parâmetros!$B$6,0,INDEX(Parâmetros!$C$24:$C$26,MATCH(J1700,Parâmetros!$A$24:$A$26,1))))</f>
        <v>0</v>
      </c>
      <c r="M1700" s="31" t="n">
        <f aca="false">IF(G1700="Prospecting",1,INDEX(Parâmetros!$C$32:$C$35,MATCH(J1700,Parâmetros!$A$32:$A$35,1)))</f>
        <v>0.25</v>
      </c>
      <c r="N1700" s="2" t="n">
        <f aca="false">ROUND((K1700+L1700)*M1700,0)</f>
        <v>7</v>
      </c>
      <c r="O1700" s="10" t="str">
        <f aca="false">IF(AND(G1700="Engaging",J1700&gt;Parâmetros!$B$6),"Sim","Não")</f>
        <v>Sim</v>
      </c>
      <c r="P1700" s="32" t="str">
        <f aca="false">IF(O1700="Sim","R",IF(N1700&gt;=Parâmetros!$B$39,"A",IF(N1700&gt;=Parâmetros!$B$40,"B",IF(N1700&gt;=Parâmetros!$B$41,"C","D"))))</f>
        <v>R</v>
      </c>
      <c r="Q1700" s="10" t="str">
        <f aca="false">IF(F1700="","Completar cadastro","")</f>
        <v/>
      </c>
      <c r="R1700" s="10" t="str">
        <f aca="false">INDEX(Parâmetros!$D$39:$D$43,MATCH(P1700,Parâmetros!$A$39:$A$43,0))</f>
        <v>Reciclar: requalificar, reengajar ou encerrar</v>
      </c>
    </row>
    <row r="1701" customFormat="false" ht="15" hidden="false" customHeight="false" outlineLevel="0" collapsed="false">
      <c r="A1701" s="10" t="s">
        <v>1947</v>
      </c>
      <c r="B1701" s="10" t="s">
        <v>57</v>
      </c>
      <c r="C1701" s="10" t="s">
        <v>58</v>
      </c>
      <c r="D1701" s="10" t="s">
        <v>165</v>
      </c>
      <c r="E1701" s="10" t="s">
        <v>50</v>
      </c>
      <c r="F1701" s="10" t="s">
        <v>1948</v>
      </c>
      <c r="G1701" s="10" t="s">
        <v>162</v>
      </c>
      <c r="H1701" s="30" t="n">
        <v>42737</v>
      </c>
      <c r="I1701" s="8" t="n">
        <f aca="false">INDEX(Parâmetros!$C$13:$C$19,MATCH(E1701,Parâmetros!$A$13:$A$19,0))</f>
        <v>1096</v>
      </c>
      <c r="J1701" s="26" t="n">
        <f aca="false">IF(H1701="","",Parâmetros!$B$5-H1701)</f>
        <v>363</v>
      </c>
      <c r="K1701" s="10" t="n">
        <f aca="false">INDEX(Parâmetros!$D$13:$D$19,MATCH(E1701,Parâmetros!$A$13:$A$19,0))</f>
        <v>29</v>
      </c>
      <c r="L1701" s="10" t="n">
        <f aca="false">IF(G1701="Prospecting",Parâmetros!$B$9,IF(J1701&gt;Parâmetros!$B$6,0,INDEX(Parâmetros!$C$24:$C$26,MATCH(J1701,Parâmetros!$A$24:$A$26,1))))</f>
        <v>0</v>
      </c>
      <c r="M1701" s="31" t="n">
        <f aca="false">IF(G1701="Prospecting",1,INDEX(Parâmetros!$C$32:$C$35,MATCH(J1701,Parâmetros!$A$32:$A$35,1)))</f>
        <v>0.25</v>
      </c>
      <c r="N1701" s="2" t="n">
        <f aca="false">ROUND((K1701+L1701)*M1701,0)</f>
        <v>7</v>
      </c>
      <c r="O1701" s="10" t="str">
        <f aca="false">IF(AND(G1701="Engaging",J1701&gt;Parâmetros!$B$6),"Sim","Não")</f>
        <v>Sim</v>
      </c>
      <c r="P1701" s="32" t="str">
        <f aca="false">IF(O1701="Sim","R",IF(N1701&gt;=Parâmetros!$B$39,"A",IF(N1701&gt;=Parâmetros!$B$40,"B",IF(N1701&gt;=Parâmetros!$B$41,"C","D"))))</f>
        <v>R</v>
      </c>
      <c r="Q1701" s="10" t="str">
        <f aca="false">IF(F1701="","Completar cadastro","")</f>
        <v/>
      </c>
      <c r="R1701" s="10" t="str">
        <f aca="false">INDEX(Parâmetros!$D$39:$D$43,MATCH(P1701,Parâmetros!$A$39:$A$43,0))</f>
        <v>Reciclar: requalificar, reengajar ou encerrar</v>
      </c>
    </row>
    <row r="1702" customFormat="false" ht="15" hidden="false" customHeight="false" outlineLevel="0" collapsed="false">
      <c r="A1702" s="10" t="s">
        <v>1949</v>
      </c>
      <c r="B1702" s="10" t="s">
        <v>57</v>
      </c>
      <c r="C1702" s="10" t="s">
        <v>58</v>
      </c>
      <c r="D1702" s="10" t="s">
        <v>165</v>
      </c>
      <c r="E1702" s="10" t="s">
        <v>50</v>
      </c>
      <c r="F1702" s="10"/>
      <c r="G1702" s="10" t="s">
        <v>162</v>
      </c>
      <c r="H1702" s="30" t="n">
        <v>42737</v>
      </c>
      <c r="I1702" s="8" t="n">
        <f aca="false">INDEX(Parâmetros!$C$13:$C$19,MATCH(E1702,Parâmetros!$A$13:$A$19,0))</f>
        <v>1096</v>
      </c>
      <c r="J1702" s="26" t="n">
        <f aca="false">IF(H1702="","",Parâmetros!$B$5-H1702)</f>
        <v>363</v>
      </c>
      <c r="K1702" s="10" t="n">
        <f aca="false">INDEX(Parâmetros!$D$13:$D$19,MATCH(E1702,Parâmetros!$A$13:$A$19,0))</f>
        <v>29</v>
      </c>
      <c r="L1702" s="10" t="n">
        <f aca="false">IF(G1702="Prospecting",Parâmetros!$B$9,IF(J1702&gt;Parâmetros!$B$6,0,INDEX(Parâmetros!$C$24:$C$26,MATCH(J1702,Parâmetros!$A$24:$A$26,1))))</f>
        <v>0</v>
      </c>
      <c r="M1702" s="31" t="n">
        <f aca="false">IF(G1702="Prospecting",1,INDEX(Parâmetros!$C$32:$C$35,MATCH(J1702,Parâmetros!$A$32:$A$35,1)))</f>
        <v>0.25</v>
      </c>
      <c r="N1702" s="2" t="n">
        <f aca="false">ROUND((K1702+L1702)*M1702,0)</f>
        <v>7</v>
      </c>
      <c r="O1702" s="10" t="str">
        <f aca="false">IF(AND(G1702="Engaging",J1702&gt;Parâmetros!$B$6),"Sim","Não")</f>
        <v>Sim</v>
      </c>
      <c r="P1702" s="32" t="str">
        <f aca="false">IF(O1702="Sim","R",IF(N1702&gt;=Parâmetros!$B$39,"A",IF(N1702&gt;=Parâmetros!$B$40,"B",IF(N1702&gt;=Parâmetros!$B$41,"C","D"))))</f>
        <v>R</v>
      </c>
      <c r="Q1702" s="10" t="str">
        <f aca="false">IF(F1702="","Completar cadastro","")</f>
        <v>Completar cadastro</v>
      </c>
      <c r="R1702" s="10" t="str">
        <f aca="false">INDEX(Parâmetros!$D$39:$D$43,MATCH(P1702,Parâmetros!$A$39:$A$43,0))</f>
        <v>Reciclar: requalificar, reengajar ou encerrar</v>
      </c>
    </row>
    <row r="1703" customFormat="false" ht="15" hidden="false" customHeight="false" outlineLevel="0" collapsed="false">
      <c r="A1703" s="10" t="s">
        <v>1950</v>
      </c>
      <c r="B1703" s="10" t="s">
        <v>94</v>
      </c>
      <c r="C1703" s="10" t="s">
        <v>92</v>
      </c>
      <c r="D1703" s="10" t="s">
        <v>160</v>
      </c>
      <c r="E1703" s="10" t="s">
        <v>50</v>
      </c>
      <c r="F1703" s="10" t="s">
        <v>522</v>
      </c>
      <c r="G1703" s="10" t="s">
        <v>162</v>
      </c>
      <c r="H1703" s="30" t="n">
        <v>42746</v>
      </c>
      <c r="I1703" s="8" t="n">
        <f aca="false">INDEX(Parâmetros!$C$13:$C$19,MATCH(E1703,Parâmetros!$A$13:$A$19,0))</f>
        <v>1096</v>
      </c>
      <c r="J1703" s="26" t="n">
        <f aca="false">IF(H1703="","",Parâmetros!$B$5-H1703)</f>
        <v>354</v>
      </c>
      <c r="K1703" s="10" t="n">
        <f aca="false">INDEX(Parâmetros!$D$13:$D$19,MATCH(E1703,Parâmetros!$A$13:$A$19,0))</f>
        <v>29</v>
      </c>
      <c r="L1703" s="10" t="n">
        <f aca="false">IF(G1703="Prospecting",Parâmetros!$B$9,IF(J1703&gt;Parâmetros!$B$6,0,INDEX(Parâmetros!$C$24:$C$26,MATCH(J1703,Parâmetros!$A$24:$A$26,1))))</f>
        <v>0</v>
      </c>
      <c r="M1703" s="31" t="n">
        <f aca="false">IF(G1703="Prospecting",1,INDEX(Parâmetros!$C$32:$C$35,MATCH(J1703,Parâmetros!$A$32:$A$35,1)))</f>
        <v>0.25</v>
      </c>
      <c r="N1703" s="2" t="n">
        <f aca="false">ROUND((K1703+L1703)*M1703,0)</f>
        <v>7</v>
      </c>
      <c r="O1703" s="10" t="str">
        <f aca="false">IF(AND(G1703="Engaging",J1703&gt;Parâmetros!$B$6),"Sim","Não")</f>
        <v>Sim</v>
      </c>
      <c r="P1703" s="32" t="str">
        <f aca="false">IF(O1703="Sim","R",IF(N1703&gt;=Parâmetros!$B$39,"A",IF(N1703&gt;=Parâmetros!$B$40,"B",IF(N1703&gt;=Parâmetros!$B$41,"C","D"))))</f>
        <v>R</v>
      </c>
      <c r="Q1703" s="10" t="str">
        <f aca="false">IF(F1703="","Completar cadastro","")</f>
        <v/>
      </c>
      <c r="R1703" s="10" t="str">
        <f aca="false">INDEX(Parâmetros!$D$39:$D$43,MATCH(P1703,Parâmetros!$A$39:$A$43,0))</f>
        <v>Reciclar: requalificar, reengajar ou encerrar</v>
      </c>
    </row>
    <row r="1704" customFormat="false" ht="15" hidden="false" customHeight="false" outlineLevel="0" collapsed="false">
      <c r="A1704" s="10" t="s">
        <v>1951</v>
      </c>
      <c r="B1704" s="10" t="s">
        <v>96</v>
      </c>
      <c r="C1704" s="10" t="s">
        <v>92</v>
      </c>
      <c r="D1704" s="10" t="s">
        <v>160</v>
      </c>
      <c r="E1704" s="10" t="s">
        <v>50</v>
      </c>
      <c r="F1704" s="10"/>
      <c r="G1704" s="10" t="s">
        <v>162</v>
      </c>
      <c r="H1704" s="30" t="n">
        <v>42747</v>
      </c>
      <c r="I1704" s="8" t="n">
        <f aca="false">INDEX(Parâmetros!$C$13:$C$19,MATCH(E1704,Parâmetros!$A$13:$A$19,0))</f>
        <v>1096</v>
      </c>
      <c r="J1704" s="26" t="n">
        <f aca="false">IF(H1704="","",Parâmetros!$B$5-H1704)</f>
        <v>353</v>
      </c>
      <c r="K1704" s="10" t="n">
        <f aca="false">INDEX(Parâmetros!$D$13:$D$19,MATCH(E1704,Parâmetros!$A$13:$A$19,0))</f>
        <v>29</v>
      </c>
      <c r="L1704" s="10" t="n">
        <f aca="false">IF(G1704="Prospecting",Parâmetros!$B$9,IF(J1704&gt;Parâmetros!$B$6,0,INDEX(Parâmetros!$C$24:$C$26,MATCH(J1704,Parâmetros!$A$24:$A$26,1))))</f>
        <v>0</v>
      </c>
      <c r="M1704" s="31" t="n">
        <f aca="false">IF(G1704="Prospecting",1,INDEX(Parâmetros!$C$32:$C$35,MATCH(J1704,Parâmetros!$A$32:$A$35,1)))</f>
        <v>0.25</v>
      </c>
      <c r="N1704" s="2" t="n">
        <f aca="false">ROUND((K1704+L1704)*M1704,0)</f>
        <v>7</v>
      </c>
      <c r="O1704" s="10" t="str">
        <f aca="false">IF(AND(G1704="Engaging",J1704&gt;Parâmetros!$B$6),"Sim","Não")</f>
        <v>Sim</v>
      </c>
      <c r="P1704" s="32" t="str">
        <f aca="false">IF(O1704="Sim","R",IF(N1704&gt;=Parâmetros!$B$39,"A",IF(N1704&gt;=Parâmetros!$B$40,"B",IF(N1704&gt;=Parâmetros!$B$41,"C","D"))))</f>
        <v>R</v>
      </c>
      <c r="Q1704" s="10" t="str">
        <f aca="false">IF(F1704="","Completar cadastro","")</f>
        <v>Completar cadastro</v>
      </c>
      <c r="R1704" s="10" t="str">
        <f aca="false">INDEX(Parâmetros!$D$39:$D$43,MATCH(P1704,Parâmetros!$A$39:$A$43,0))</f>
        <v>Reciclar: requalificar, reengajar ou encerrar</v>
      </c>
    </row>
    <row r="1705" customFormat="false" ht="15" hidden="false" customHeight="false" outlineLevel="0" collapsed="false">
      <c r="A1705" s="10" t="s">
        <v>1952</v>
      </c>
      <c r="B1705" s="10" t="s">
        <v>93</v>
      </c>
      <c r="C1705" s="10" t="s">
        <v>92</v>
      </c>
      <c r="D1705" s="10" t="s">
        <v>160</v>
      </c>
      <c r="E1705" s="10" t="s">
        <v>50</v>
      </c>
      <c r="F1705" s="10" t="s">
        <v>414</v>
      </c>
      <c r="G1705" s="10" t="s">
        <v>162</v>
      </c>
      <c r="H1705" s="30" t="n">
        <v>42752</v>
      </c>
      <c r="I1705" s="8" t="n">
        <f aca="false">INDEX(Parâmetros!$C$13:$C$19,MATCH(E1705,Parâmetros!$A$13:$A$19,0))</f>
        <v>1096</v>
      </c>
      <c r="J1705" s="26" t="n">
        <f aca="false">IF(H1705="","",Parâmetros!$B$5-H1705)</f>
        <v>348</v>
      </c>
      <c r="K1705" s="10" t="n">
        <f aca="false">INDEX(Parâmetros!$D$13:$D$19,MATCH(E1705,Parâmetros!$A$13:$A$19,0))</f>
        <v>29</v>
      </c>
      <c r="L1705" s="10" t="n">
        <f aca="false">IF(G1705="Prospecting",Parâmetros!$B$9,IF(J1705&gt;Parâmetros!$B$6,0,INDEX(Parâmetros!$C$24:$C$26,MATCH(J1705,Parâmetros!$A$24:$A$26,1))))</f>
        <v>0</v>
      </c>
      <c r="M1705" s="31" t="n">
        <f aca="false">IF(G1705="Prospecting",1,INDEX(Parâmetros!$C$32:$C$35,MATCH(J1705,Parâmetros!$A$32:$A$35,1)))</f>
        <v>0.25</v>
      </c>
      <c r="N1705" s="2" t="n">
        <f aca="false">ROUND((K1705+L1705)*M1705,0)</f>
        <v>7</v>
      </c>
      <c r="O1705" s="10" t="str">
        <f aca="false">IF(AND(G1705="Engaging",J1705&gt;Parâmetros!$B$6),"Sim","Não")</f>
        <v>Sim</v>
      </c>
      <c r="P1705" s="32" t="str">
        <f aca="false">IF(O1705="Sim","R",IF(N1705&gt;=Parâmetros!$B$39,"A",IF(N1705&gt;=Parâmetros!$B$40,"B",IF(N1705&gt;=Parâmetros!$B$41,"C","D"))))</f>
        <v>R</v>
      </c>
      <c r="Q1705" s="10" t="str">
        <f aca="false">IF(F1705="","Completar cadastro","")</f>
        <v/>
      </c>
      <c r="R1705" s="10" t="str">
        <f aca="false">INDEX(Parâmetros!$D$39:$D$43,MATCH(P1705,Parâmetros!$A$39:$A$43,0))</f>
        <v>Reciclar: requalificar, reengajar ou encerrar</v>
      </c>
    </row>
    <row r="1706" customFormat="false" ht="15" hidden="false" customHeight="false" outlineLevel="0" collapsed="false">
      <c r="A1706" s="10" t="s">
        <v>1953</v>
      </c>
      <c r="B1706" s="10" t="s">
        <v>70</v>
      </c>
      <c r="C1706" s="10" t="s">
        <v>65</v>
      </c>
      <c r="D1706" s="10" t="s">
        <v>160</v>
      </c>
      <c r="E1706" s="10" t="s">
        <v>50</v>
      </c>
      <c r="F1706" s="10"/>
      <c r="G1706" s="10" t="s">
        <v>162</v>
      </c>
      <c r="H1706" s="30" t="n">
        <v>42758</v>
      </c>
      <c r="I1706" s="8" t="n">
        <f aca="false">INDEX(Parâmetros!$C$13:$C$19,MATCH(E1706,Parâmetros!$A$13:$A$19,0))</f>
        <v>1096</v>
      </c>
      <c r="J1706" s="26" t="n">
        <f aca="false">IF(H1706="","",Parâmetros!$B$5-H1706)</f>
        <v>342</v>
      </c>
      <c r="K1706" s="10" t="n">
        <f aca="false">INDEX(Parâmetros!$D$13:$D$19,MATCH(E1706,Parâmetros!$A$13:$A$19,0))</f>
        <v>29</v>
      </c>
      <c r="L1706" s="10" t="n">
        <f aca="false">IF(G1706="Prospecting",Parâmetros!$B$9,IF(J1706&gt;Parâmetros!$B$6,0,INDEX(Parâmetros!$C$24:$C$26,MATCH(J1706,Parâmetros!$A$24:$A$26,1))))</f>
        <v>0</v>
      </c>
      <c r="M1706" s="31" t="n">
        <f aca="false">IF(G1706="Prospecting",1,INDEX(Parâmetros!$C$32:$C$35,MATCH(J1706,Parâmetros!$A$32:$A$35,1)))</f>
        <v>0.25</v>
      </c>
      <c r="N1706" s="2" t="n">
        <f aca="false">ROUND((K1706+L1706)*M1706,0)</f>
        <v>7</v>
      </c>
      <c r="O1706" s="10" t="str">
        <f aca="false">IF(AND(G1706="Engaging",J1706&gt;Parâmetros!$B$6),"Sim","Não")</f>
        <v>Sim</v>
      </c>
      <c r="P1706" s="32" t="str">
        <f aca="false">IF(O1706="Sim","R",IF(N1706&gt;=Parâmetros!$B$39,"A",IF(N1706&gt;=Parâmetros!$B$40,"B",IF(N1706&gt;=Parâmetros!$B$41,"C","D"))))</f>
        <v>R</v>
      </c>
      <c r="Q1706" s="10" t="str">
        <f aca="false">IF(F1706="","Completar cadastro","")</f>
        <v>Completar cadastro</v>
      </c>
      <c r="R1706" s="10" t="str">
        <f aca="false">INDEX(Parâmetros!$D$39:$D$43,MATCH(P1706,Parâmetros!$A$39:$A$43,0))</f>
        <v>Reciclar: requalificar, reengajar ou encerrar</v>
      </c>
    </row>
    <row r="1707" customFormat="false" ht="15" hidden="false" customHeight="false" outlineLevel="0" collapsed="false">
      <c r="A1707" s="10" t="s">
        <v>1954</v>
      </c>
      <c r="B1707" s="10" t="s">
        <v>94</v>
      </c>
      <c r="C1707" s="10" t="s">
        <v>92</v>
      </c>
      <c r="D1707" s="10" t="s">
        <v>160</v>
      </c>
      <c r="E1707" s="10" t="s">
        <v>50</v>
      </c>
      <c r="F1707" s="10" t="s">
        <v>424</v>
      </c>
      <c r="G1707" s="10" t="s">
        <v>162</v>
      </c>
      <c r="H1707" s="30" t="n">
        <v>42759</v>
      </c>
      <c r="I1707" s="8" t="n">
        <f aca="false">INDEX(Parâmetros!$C$13:$C$19,MATCH(E1707,Parâmetros!$A$13:$A$19,0))</f>
        <v>1096</v>
      </c>
      <c r="J1707" s="26" t="n">
        <f aca="false">IF(H1707="","",Parâmetros!$B$5-H1707)</f>
        <v>341</v>
      </c>
      <c r="K1707" s="10" t="n">
        <f aca="false">INDEX(Parâmetros!$D$13:$D$19,MATCH(E1707,Parâmetros!$A$13:$A$19,0))</f>
        <v>29</v>
      </c>
      <c r="L1707" s="10" t="n">
        <f aca="false">IF(G1707="Prospecting",Parâmetros!$B$9,IF(J1707&gt;Parâmetros!$B$6,0,INDEX(Parâmetros!$C$24:$C$26,MATCH(J1707,Parâmetros!$A$24:$A$26,1))))</f>
        <v>0</v>
      </c>
      <c r="M1707" s="31" t="n">
        <f aca="false">IF(G1707="Prospecting",1,INDEX(Parâmetros!$C$32:$C$35,MATCH(J1707,Parâmetros!$A$32:$A$35,1)))</f>
        <v>0.25</v>
      </c>
      <c r="N1707" s="2" t="n">
        <f aca="false">ROUND((K1707+L1707)*M1707,0)</f>
        <v>7</v>
      </c>
      <c r="O1707" s="10" t="str">
        <f aca="false">IF(AND(G1707="Engaging",J1707&gt;Parâmetros!$B$6),"Sim","Não")</f>
        <v>Sim</v>
      </c>
      <c r="P1707" s="32" t="str">
        <f aca="false">IF(O1707="Sim","R",IF(N1707&gt;=Parâmetros!$B$39,"A",IF(N1707&gt;=Parâmetros!$B$40,"B",IF(N1707&gt;=Parâmetros!$B$41,"C","D"))))</f>
        <v>R</v>
      </c>
      <c r="Q1707" s="10" t="str">
        <f aca="false">IF(F1707="","Completar cadastro","")</f>
        <v/>
      </c>
      <c r="R1707" s="10" t="str">
        <f aca="false">INDEX(Parâmetros!$D$39:$D$43,MATCH(P1707,Parâmetros!$A$39:$A$43,0))</f>
        <v>Reciclar: requalificar, reengajar ou encerrar</v>
      </c>
    </row>
    <row r="1708" customFormat="false" ht="15" hidden="false" customHeight="false" outlineLevel="0" collapsed="false">
      <c r="A1708" s="10" t="s">
        <v>1955</v>
      </c>
      <c r="B1708" s="10" t="s">
        <v>57</v>
      </c>
      <c r="C1708" s="10" t="s">
        <v>58</v>
      </c>
      <c r="D1708" s="10" t="s">
        <v>165</v>
      </c>
      <c r="E1708" s="10" t="s">
        <v>50</v>
      </c>
      <c r="F1708" s="10" t="s">
        <v>259</v>
      </c>
      <c r="G1708" s="10" t="s">
        <v>162</v>
      </c>
      <c r="H1708" s="30" t="n">
        <v>42763</v>
      </c>
      <c r="I1708" s="8" t="n">
        <f aca="false">INDEX(Parâmetros!$C$13:$C$19,MATCH(E1708,Parâmetros!$A$13:$A$19,0))</f>
        <v>1096</v>
      </c>
      <c r="J1708" s="26" t="n">
        <f aca="false">IF(H1708="","",Parâmetros!$B$5-H1708)</f>
        <v>337</v>
      </c>
      <c r="K1708" s="10" t="n">
        <f aca="false">INDEX(Parâmetros!$D$13:$D$19,MATCH(E1708,Parâmetros!$A$13:$A$19,0))</f>
        <v>29</v>
      </c>
      <c r="L1708" s="10" t="n">
        <f aca="false">IF(G1708="Prospecting",Parâmetros!$B$9,IF(J1708&gt;Parâmetros!$B$6,0,INDEX(Parâmetros!$C$24:$C$26,MATCH(J1708,Parâmetros!$A$24:$A$26,1))))</f>
        <v>0</v>
      </c>
      <c r="M1708" s="31" t="n">
        <f aca="false">IF(G1708="Prospecting",1,INDEX(Parâmetros!$C$32:$C$35,MATCH(J1708,Parâmetros!$A$32:$A$35,1)))</f>
        <v>0.25</v>
      </c>
      <c r="N1708" s="2" t="n">
        <f aca="false">ROUND((K1708+L1708)*M1708,0)</f>
        <v>7</v>
      </c>
      <c r="O1708" s="10" t="str">
        <f aca="false">IF(AND(G1708="Engaging",J1708&gt;Parâmetros!$B$6),"Sim","Não")</f>
        <v>Sim</v>
      </c>
      <c r="P1708" s="32" t="str">
        <f aca="false">IF(O1708="Sim","R",IF(N1708&gt;=Parâmetros!$B$39,"A",IF(N1708&gt;=Parâmetros!$B$40,"B",IF(N1708&gt;=Parâmetros!$B$41,"C","D"))))</f>
        <v>R</v>
      </c>
      <c r="Q1708" s="10" t="str">
        <f aca="false">IF(F1708="","Completar cadastro","")</f>
        <v/>
      </c>
      <c r="R1708" s="10" t="str">
        <f aca="false">INDEX(Parâmetros!$D$39:$D$43,MATCH(P1708,Parâmetros!$A$39:$A$43,0))</f>
        <v>Reciclar: requalificar, reengajar ou encerrar</v>
      </c>
    </row>
    <row r="1709" customFormat="false" ht="15" hidden="false" customHeight="false" outlineLevel="0" collapsed="false">
      <c r="A1709" s="10" t="s">
        <v>1956</v>
      </c>
      <c r="B1709" s="10" t="s">
        <v>96</v>
      </c>
      <c r="C1709" s="10" t="s">
        <v>92</v>
      </c>
      <c r="D1709" s="10" t="s">
        <v>160</v>
      </c>
      <c r="E1709" s="10" t="s">
        <v>50</v>
      </c>
      <c r="F1709" s="10"/>
      <c r="G1709" s="10" t="s">
        <v>162</v>
      </c>
      <c r="H1709" s="30" t="n">
        <v>42764</v>
      </c>
      <c r="I1709" s="8" t="n">
        <f aca="false">INDEX(Parâmetros!$C$13:$C$19,MATCH(E1709,Parâmetros!$A$13:$A$19,0))</f>
        <v>1096</v>
      </c>
      <c r="J1709" s="26" t="n">
        <f aca="false">IF(H1709="","",Parâmetros!$B$5-H1709)</f>
        <v>336</v>
      </c>
      <c r="K1709" s="10" t="n">
        <f aca="false">INDEX(Parâmetros!$D$13:$D$19,MATCH(E1709,Parâmetros!$A$13:$A$19,0))</f>
        <v>29</v>
      </c>
      <c r="L1709" s="10" t="n">
        <f aca="false">IF(G1709="Prospecting",Parâmetros!$B$9,IF(J1709&gt;Parâmetros!$B$6,0,INDEX(Parâmetros!$C$24:$C$26,MATCH(J1709,Parâmetros!$A$24:$A$26,1))))</f>
        <v>0</v>
      </c>
      <c r="M1709" s="31" t="n">
        <f aca="false">IF(G1709="Prospecting",1,INDEX(Parâmetros!$C$32:$C$35,MATCH(J1709,Parâmetros!$A$32:$A$35,1)))</f>
        <v>0.25</v>
      </c>
      <c r="N1709" s="2" t="n">
        <f aca="false">ROUND((K1709+L1709)*M1709,0)</f>
        <v>7</v>
      </c>
      <c r="O1709" s="10" t="str">
        <f aca="false">IF(AND(G1709="Engaging",J1709&gt;Parâmetros!$B$6),"Sim","Não")</f>
        <v>Sim</v>
      </c>
      <c r="P1709" s="32" t="str">
        <f aca="false">IF(O1709="Sim","R",IF(N1709&gt;=Parâmetros!$B$39,"A",IF(N1709&gt;=Parâmetros!$B$40,"B",IF(N1709&gt;=Parâmetros!$B$41,"C","D"))))</f>
        <v>R</v>
      </c>
      <c r="Q1709" s="10" t="str">
        <f aca="false">IF(F1709="","Completar cadastro","")</f>
        <v>Completar cadastro</v>
      </c>
      <c r="R1709" s="10" t="str">
        <f aca="false">INDEX(Parâmetros!$D$39:$D$43,MATCH(P1709,Parâmetros!$A$39:$A$43,0))</f>
        <v>Reciclar: requalificar, reengajar ou encerrar</v>
      </c>
    </row>
    <row r="1710" customFormat="false" ht="15" hidden="false" customHeight="false" outlineLevel="0" collapsed="false">
      <c r="A1710" s="10" t="s">
        <v>1957</v>
      </c>
      <c r="B1710" s="10" t="s">
        <v>87</v>
      </c>
      <c r="C1710" s="10" t="s">
        <v>85</v>
      </c>
      <c r="D1710" s="10" t="s">
        <v>165</v>
      </c>
      <c r="E1710" s="10" t="s">
        <v>50</v>
      </c>
      <c r="F1710" s="10" t="s">
        <v>441</v>
      </c>
      <c r="G1710" s="10" t="s">
        <v>162</v>
      </c>
      <c r="H1710" s="30" t="n">
        <v>42766</v>
      </c>
      <c r="I1710" s="8" t="n">
        <f aca="false">INDEX(Parâmetros!$C$13:$C$19,MATCH(E1710,Parâmetros!$A$13:$A$19,0))</f>
        <v>1096</v>
      </c>
      <c r="J1710" s="26" t="n">
        <f aca="false">IF(H1710="","",Parâmetros!$B$5-H1710)</f>
        <v>334</v>
      </c>
      <c r="K1710" s="10" t="n">
        <f aca="false">INDEX(Parâmetros!$D$13:$D$19,MATCH(E1710,Parâmetros!$A$13:$A$19,0))</f>
        <v>29</v>
      </c>
      <c r="L1710" s="10" t="n">
        <f aca="false">IF(G1710="Prospecting",Parâmetros!$B$9,IF(J1710&gt;Parâmetros!$B$6,0,INDEX(Parâmetros!$C$24:$C$26,MATCH(J1710,Parâmetros!$A$24:$A$26,1))))</f>
        <v>0</v>
      </c>
      <c r="M1710" s="31" t="n">
        <f aca="false">IF(G1710="Prospecting",1,INDEX(Parâmetros!$C$32:$C$35,MATCH(J1710,Parâmetros!$A$32:$A$35,1)))</f>
        <v>0.25</v>
      </c>
      <c r="N1710" s="2" t="n">
        <f aca="false">ROUND((K1710+L1710)*M1710,0)</f>
        <v>7</v>
      </c>
      <c r="O1710" s="10" t="str">
        <f aca="false">IF(AND(G1710="Engaging",J1710&gt;Parâmetros!$B$6),"Sim","Não")</f>
        <v>Sim</v>
      </c>
      <c r="P1710" s="32" t="str">
        <f aca="false">IF(O1710="Sim","R",IF(N1710&gt;=Parâmetros!$B$39,"A",IF(N1710&gt;=Parâmetros!$B$40,"B",IF(N1710&gt;=Parâmetros!$B$41,"C","D"))))</f>
        <v>R</v>
      </c>
      <c r="Q1710" s="10" t="str">
        <f aca="false">IF(F1710="","Completar cadastro","")</f>
        <v/>
      </c>
      <c r="R1710" s="10" t="str">
        <f aca="false">INDEX(Parâmetros!$D$39:$D$43,MATCH(P1710,Parâmetros!$A$39:$A$43,0))</f>
        <v>Reciclar: requalificar, reengajar ou encerrar</v>
      </c>
    </row>
    <row r="1711" customFormat="false" ht="15" hidden="false" customHeight="false" outlineLevel="0" collapsed="false">
      <c r="A1711" s="10" t="s">
        <v>1958</v>
      </c>
      <c r="B1711" s="10" t="s">
        <v>87</v>
      </c>
      <c r="C1711" s="10" t="s">
        <v>85</v>
      </c>
      <c r="D1711" s="10" t="s">
        <v>165</v>
      </c>
      <c r="E1711" s="10" t="s">
        <v>50</v>
      </c>
      <c r="F1711" s="10"/>
      <c r="G1711" s="10" t="s">
        <v>162</v>
      </c>
      <c r="H1711" s="30" t="n">
        <v>42766</v>
      </c>
      <c r="I1711" s="8" t="n">
        <f aca="false">INDEX(Parâmetros!$C$13:$C$19,MATCH(E1711,Parâmetros!$A$13:$A$19,0))</f>
        <v>1096</v>
      </c>
      <c r="J1711" s="26" t="n">
        <f aca="false">IF(H1711="","",Parâmetros!$B$5-H1711)</f>
        <v>334</v>
      </c>
      <c r="K1711" s="10" t="n">
        <f aca="false">INDEX(Parâmetros!$D$13:$D$19,MATCH(E1711,Parâmetros!$A$13:$A$19,0))</f>
        <v>29</v>
      </c>
      <c r="L1711" s="10" t="n">
        <f aca="false">IF(G1711="Prospecting",Parâmetros!$B$9,IF(J1711&gt;Parâmetros!$B$6,0,INDEX(Parâmetros!$C$24:$C$26,MATCH(J1711,Parâmetros!$A$24:$A$26,1))))</f>
        <v>0</v>
      </c>
      <c r="M1711" s="31" t="n">
        <f aca="false">IF(G1711="Prospecting",1,INDEX(Parâmetros!$C$32:$C$35,MATCH(J1711,Parâmetros!$A$32:$A$35,1)))</f>
        <v>0.25</v>
      </c>
      <c r="N1711" s="2" t="n">
        <f aca="false">ROUND((K1711+L1711)*M1711,0)</f>
        <v>7</v>
      </c>
      <c r="O1711" s="10" t="str">
        <f aca="false">IF(AND(G1711="Engaging",J1711&gt;Parâmetros!$B$6),"Sim","Não")</f>
        <v>Sim</v>
      </c>
      <c r="P1711" s="32" t="str">
        <f aca="false">IF(O1711="Sim","R",IF(N1711&gt;=Parâmetros!$B$39,"A",IF(N1711&gt;=Parâmetros!$B$40,"B",IF(N1711&gt;=Parâmetros!$B$41,"C","D"))))</f>
        <v>R</v>
      </c>
      <c r="Q1711" s="10" t="str">
        <f aca="false">IF(F1711="","Completar cadastro","")</f>
        <v>Completar cadastro</v>
      </c>
      <c r="R1711" s="10" t="str">
        <f aca="false">INDEX(Parâmetros!$D$39:$D$43,MATCH(P1711,Parâmetros!$A$39:$A$43,0))</f>
        <v>Reciclar: requalificar, reengajar ou encerrar</v>
      </c>
    </row>
    <row r="1712" customFormat="false" ht="15" hidden="false" customHeight="false" outlineLevel="0" collapsed="false">
      <c r="A1712" s="10" t="s">
        <v>1959</v>
      </c>
      <c r="B1712" s="10" t="s">
        <v>62</v>
      </c>
      <c r="C1712" s="10" t="s">
        <v>58</v>
      </c>
      <c r="D1712" s="10" t="s">
        <v>165</v>
      </c>
      <c r="E1712" s="10" t="s">
        <v>50</v>
      </c>
      <c r="F1712" s="10"/>
      <c r="G1712" s="10" t="s">
        <v>162</v>
      </c>
      <c r="H1712" s="30" t="n">
        <v>42766</v>
      </c>
      <c r="I1712" s="8" t="n">
        <f aca="false">INDEX(Parâmetros!$C$13:$C$19,MATCH(E1712,Parâmetros!$A$13:$A$19,0))</f>
        <v>1096</v>
      </c>
      <c r="J1712" s="26" t="n">
        <f aca="false">IF(H1712="","",Parâmetros!$B$5-H1712)</f>
        <v>334</v>
      </c>
      <c r="K1712" s="10" t="n">
        <f aca="false">INDEX(Parâmetros!$D$13:$D$19,MATCH(E1712,Parâmetros!$A$13:$A$19,0))</f>
        <v>29</v>
      </c>
      <c r="L1712" s="10" t="n">
        <f aca="false">IF(G1712="Prospecting",Parâmetros!$B$9,IF(J1712&gt;Parâmetros!$B$6,0,INDEX(Parâmetros!$C$24:$C$26,MATCH(J1712,Parâmetros!$A$24:$A$26,1))))</f>
        <v>0</v>
      </c>
      <c r="M1712" s="31" t="n">
        <f aca="false">IF(G1712="Prospecting",1,INDEX(Parâmetros!$C$32:$C$35,MATCH(J1712,Parâmetros!$A$32:$A$35,1)))</f>
        <v>0.25</v>
      </c>
      <c r="N1712" s="2" t="n">
        <f aca="false">ROUND((K1712+L1712)*M1712,0)</f>
        <v>7</v>
      </c>
      <c r="O1712" s="10" t="str">
        <f aca="false">IF(AND(G1712="Engaging",J1712&gt;Parâmetros!$B$6),"Sim","Não")</f>
        <v>Sim</v>
      </c>
      <c r="P1712" s="32" t="str">
        <f aca="false">IF(O1712="Sim","R",IF(N1712&gt;=Parâmetros!$B$39,"A",IF(N1712&gt;=Parâmetros!$B$40,"B",IF(N1712&gt;=Parâmetros!$B$41,"C","D"))))</f>
        <v>R</v>
      </c>
      <c r="Q1712" s="10" t="str">
        <f aca="false">IF(F1712="","Completar cadastro","")</f>
        <v>Completar cadastro</v>
      </c>
      <c r="R1712" s="10" t="str">
        <f aca="false">INDEX(Parâmetros!$D$39:$D$43,MATCH(P1712,Parâmetros!$A$39:$A$43,0))</f>
        <v>Reciclar: requalificar, reengajar ou encerrar</v>
      </c>
    </row>
    <row r="1713" customFormat="false" ht="15" hidden="false" customHeight="false" outlineLevel="0" collapsed="false">
      <c r="A1713" s="10" t="s">
        <v>1960</v>
      </c>
      <c r="B1713" s="10" t="s">
        <v>84</v>
      </c>
      <c r="C1713" s="10" t="s">
        <v>85</v>
      </c>
      <c r="D1713" s="10" t="s">
        <v>165</v>
      </c>
      <c r="E1713" s="10" t="s">
        <v>50</v>
      </c>
      <c r="F1713" s="10"/>
      <c r="G1713" s="10" t="s">
        <v>162</v>
      </c>
      <c r="H1713" s="30" t="n">
        <v>42768</v>
      </c>
      <c r="I1713" s="8" t="n">
        <f aca="false">INDEX(Parâmetros!$C$13:$C$19,MATCH(E1713,Parâmetros!$A$13:$A$19,0))</f>
        <v>1096</v>
      </c>
      <c r="J1713" s="26" t="n">
        <f aca="false">IF(H1713="","",Parâmetros!$B$5-H1713)</f>
        <v>332</v>
      </c>
      <c r="K1713" s="10" t="n">
        <f aca="false">INDEX(Parâmetros!$D$13:$D$19,MATCH(E1713,Parâmetros!$A$13:$A$19,0))</f>
        <v>29</v>
      </c>
      <c r="L1713" s="10" t="n">
        <f aca="false">IF(G1713="Prospecting",Parâmetros!$B$9,IF(J1713&gt;Parâmetros!$B$6,0,INDEX(Parâmetros!$C$24:$C$26,MATCH(J1713,Parâmetros!$A$24:$A$26,1))))</f>
        <v>0</v>
      </c>
      <c r="M1713" s="31" t="n">
        <f aca="false">IF(G1713="Prospecting",1,INDEX(Parâmetros!$C$32:$C$35,MATCH(J1713,Parâmetros!$A$32:$A$35,1)))</f>
        <v>0.25</v>
      </c>
      <c r="N1713" s="2" t="n">
        <f aca="false">ROUND((K1713+L1713)*M1713,0)</f>
        <v>7</v>
      </c>
      <c r="O1713" s="10" t="str">
        <f aca="false">IF(AND(G1713="Engaging",J1713&gt;Parâmetros!$B$6),"Sim","Não")</f>
        <v>Sim</v>
      </c>
      <c r="P1713" s="32" t="str">
        <f aca="false">IF(O1713="Sim","R",IF(N1713&gt;=Parâmetros!$B$39,"A",IF(N1713&gt;=Parâmetros!$B$40,"B",IF(N1713&gt;=Parâmetros!$B$41,"C","D"))))</f>
        <v>R</v>
      </c>
      <c r="Q1713" s="10" t="str">
        <f aca="false">IF(F1713="","Completar cadastro","")</f>
        <v>Completar cadastro</v>
      </c>
      <c r="R1713" s="10" t="str">
        <f aca="false">INDEX(Parâmetros!$D$39:$D$43,MATCH(P1713,Parâmetros!$A$39:$A$43,0))</f>
        <v>Reciclar: requalificar, reengajar ou encerrar</v>
      </c>
    </row>
    <row r="1714" customFormat="false" ht="15" hidden="false" customHeight="false" outlineLevel="0" collapsed="false">
      <c r="A1714" s="10" t="s">
        <v>1961</v>
      </c>
      <c r="B1714" s="10" t="s">
        <v>94</v>
      </c>
      <c r="C1714" s="10" t="s">
        <v>92</v>
      </c>
      <c r="D1714" s="10" t="s">
        <v>160</v>
      </c>
      <c r="E1714" s="10" t="s">
        <v>50</v>
      </c>
      <c r="F1714" s="10"/>
      <c r="G1714" s="10" t="s">
        <v>162</v>
      </c>
      <c r="H1714" s="30" t="n">
        <v>42768</v>
      </c>
      <c r="I1714" s="8" t="n">
        <f aca="false">INDEX(Parâmetros!$C$13:$C$19,MATCH(E1714,Parâmetros!$A$13:$A$19,0))</f>
        <v>1096</v>
      </c>
      <c r="J1714" s="26" t="n">
        <f aca="false">IF(H1714="","",Parâmetros!$B$5-H1714)</f>
        <v>332</v>
      </c>
      <c r="K1714" s="10" t="n">
        <f aca="false">INDEX(Parâmetros!$D$13:$D$19,MATCH(E1714,Parâmetros!$A$13:$A$19,0))</f>
        <v>29</v>
      </c>
      <c r="L1714" s="10" t="n">
        <f aca="false">IF(G1714="Prospecting",Parâmetros!$B$9,IF(J1714&gt;Parâmetros!$B$6,0,INDEX(Parâmetros!$C$24:$C$26,MATCH(J1714,Parâmetros!$A$24:$A$26,1))))</f>
        <v>0</v>
      </c>
      <c r="M1714" s="31" t="n">
        <f aca="false">IF(G1714="Prospecting",1,INDEX(Parâmetros!$C$32:$C$35,MATCH(J1714,Parâmetros!$A$32:$A$35,1)))</f>
        <v>0.25</v>
      </c>
      <c r="N1714" s="2" t="n">
        <f aca="false">ROUND((K1714+L1714)*M1714,0)</f>
        <v>7</v>
      </c>
      <c r="O1714" s="10" t="str">
        <f aca="false">IF(AND(G1714="Engaging",J1714&gt;Parâmetros!$B$6),"Sim","Não")</f>
        <v>Sim</v>
      </c>
      <c r="P1714" s="32" t="str">
        <f aca="false">IF(O1714="Sim","R",IF(N1714&gt;=Parâmetros!$B$39,"A",IF(N1714&gt;=Parâmetros!$B$40,"B",IF(N1714&gt;=Parâmetros!$B$41,"C","D"))))</f>
        <v>R</v>
      </c>
      <c r="Q1714" s="10" t="str">
        <f aca="false">IF(F1714="","Completar cadastro","")</f>
        <v>Completar cadastro</v>
      </c>
      <c r="R1714" s="10" t="str">
        <f aca="false">INDEX(Parâmetros!$D$39:$D$43,MATCH(P1714,Parâmetros!$A$39:$A$43,0))</f>
        <v>Reciclar: requalificar, reengajar ou encerrar</v>
      </c>
    </row>
    <row r="1715" customFormat="false" ht="15" hidden="false" customHeight="false" outlineLevel="0" collapsed="false">
      <c r="A1715" s="10" t="s">
        <v>1962</v>
      </c>
      <c r="B1715" s="10" t="s">
        <v>70</v>
      </c>
      <c r="C1715" s="10" t="s">
        <v>65</v>
      </c>
      <c r="D1715" s="10" t="s">
        <v>160</v>
      </c>
      <c r="E1715" s="10" t="s">
        <v>50</v>
      </c>
      <c r="F1715" s="10" t="s">
        <v>210</v>
      </c>
      <c r="G1715" s="10" t="s">
        <v>162</v>
      </c>
      <c r="H1715" s="30" t="n">
        <v>42768</v>
      </c>
      <c r="I1715" s="8" t="n">
        <f aca="false">INDEX(Parâmetros!$C$13:$C$19,MATCH(E1715,Parâmetros!$A$13:$A$19,0))</f>
        <v>1096</v>
      </c>
      <c r="J1715" s="26" t="n">
        <f aca="false">IF(H1715="","",Parâmetros!$B$5-H1715)</f>
        <v>332</v>
      </c>
      <c r="K1715" s="10" t="n">
        <f aca="false">INDEX(Parâmetros!$D$13:$D$19,MATCH(E1715,Parâmetros!$A$13:$A$19,0))</f>
        <v>29</v>
      </c>
      <c r="L1715" s="10" t="n">
        <f aca="false">IF(G1715="Prospecting",Parâmetros!$B$9,IF(J1715&gt;Parâmetros!$B$6,0,INDEX(Parâmetros!$C$24:$C$26,MATCH(J1715,Parâmetros!$A$24:$A$26,1))))</f>
        <v>0</v>
      </c>
      <c r="M1715" s="31" t="n">
        <f aca="false">IF(G1715="Prospecting",1,INDEX(Parâmetros!$C$32:$C$35,MATCH(J1715,Parâmetros!$A$32:$A$35,1)))</f>
        <v>0.25</v>
      </c>
      <c r="N1715" s="2" t="n">
        <f aca="false">ROUND((K1715+L1715)*M1715,0)</f>
        <v>7</v>
      </c>
      <c r="O1715" s="10" t="str">
        <f aca="false">IF(AND(G1715="Engaging",J1715&gt;Parâmetros!$B$6),"Sim","Não")</f>
        <v>Sim</v>
      </c>
      <c r="P1715" s="32" t="str">
        <f aca="false">IF(O1715="Sim","R",IF(N1715&gt;=Parâmetros!$B$39,"A",IF(N1715&gt;=Parâmetros!$B$40,"B",IF(N1715&gt;=Parâmetros!$B$41,"C","D"))))</f>
        <v>R</v>
      </c>
      <c r="Q1715" s="10" t="str">
        <f aca="false">IF(F1715="","Completar cadastro","")</f>
        <v/>
      </c>
      <c r="R1715" s="10" t="str">
        <f aca="false">INDEX(Parâmetros!$D$39:$D$43,MATCH(P1715,Parâmetros!$A$39:$A$43,0))</f>
        <v>Reciclar: requalificar, reengajar ou encerrar</v>
      </c>
    </row>
    <row r="1716" customFormat="false" ht="15" hidden="false" customHeight="false" outlineLevel="0" collapsed="false">
      <c r="A1716" s="10" t="s">
        <v>1963</v>
      </c>
      <c r="B1716" s="10" t="s">
        <v>67</v>
      </c>
      <c r="C1716" s="10" t="s">
        <v>65</v>
      </c>
      <c r="D1716" s="10" t="s">
        <v>160</v>
      </c>
      <c r="E1716" s="10" t="s">
        <v>50</v>
      </c>
      <c r="F1716" s="10" t="s">
        <v>348</v>
      </c>
      <c r="G1716" s="10" t="s">
        <v>162</v>
      </c>
      <c r="H1716" s="30" t="n">
        <v>42770</v>
      </c>
      <c r="I1716" s="8" t="n">
        <f aca="false">INDEX(Parâmetros!$C$13:$C$19,MATCH(E1716,Parâmetros!$A$13:$A$19,0))</f>
        <v>1096</v>
      </c>
      <c r="J1716" s="26" t="n">
        <f aca="false">IF(H1716="","",Parâmetros!$B$5-H1716)</f>
        <v>330</v>
      </c>
      <c r="K1716" s="10" t="n">
        <f aca="false">INDEX(Parâmetros!$D$13:$D$19,MATCH(E1716,Parâmetros!$A$13:$A$19,0))</f>
        <v>29</v>
      </c>
      <c r="L1716" s="10" t="n">
        <f aca="false">IF(G1716="Prospecting",Parâmetros!$B$9,IF(J1716&gt;Parâmetros!$B$6,0,INDEX(Parâmetros!$C$24:$C$26,MATCH(J1716,Parâmetros!$A$24:$A$26,1))))</f>
        <v>0</v>
      </c>
      <c r="M1716" s="31" t="n">
        <f aca="false">IF(G1716="Prospecting",1,INDEX(Parâmetros!$C$32:$C$35,MATCH(J1716,Parâmetros!$A$32:$A$35,1)))</f>
        <v>0.25</v>
      </c>
      <c r="N1716" s="2" t="n">
        <f aca="false">ROUND((K1716+L1716)*M1716,0)</f>
        <v>7</v>
      </c>
      <c r="O1716" s="10" t="str">
        <f aca="false">IF(AND(G1716="Engaging",J1716&gt;Parâmetros!$B$6),"Sim","Não")</f>
        <v>Sim</v>
      </c>
      <c r="P1716" s="32" t="str">
        <f aca="false">IF(O1716="Sim","R",IF(N1716&gt;=Parâmetros!$B$39,"A",IF(N1716&gt;=Parâmetros!$B$40,"B",IF(N1716&gt;=Parâmetros!$B$41,"C","D"))))</f>
        <v>R</v>
      </c>
      <c r="Q1716" s="10" t="str">
        <f aca="false">IF(F1716="","Completar cadastro","")</f>
        <v/>
      </c>
      <c r="R1716" s="10" t="str">
        <f aca="false">INDEX(Parâmetros!$D$39:$D$43,MATCH(P1716,Parâmetros!$A$39:$A$43,0))</f>
        <v>Reciclar: requalificar, reengajar ou encerrar</v>
      </c>
    </row>
    <row r="1717" customFormat="false" ht="15" hidden="false" customHeight="false" outlineLevel="0" collapsed="false">
      <c r="A1717" s="10" t="s">
        <v>1964</v>
      </c>
      <c r="B1717" s="10" t="s">
        <v>96</v>
      </c>
      <c r="C1717" s="10" t="s">
        <v>92</v>
      </c>
      <c r="D1717" s="10" t="s">
        <v>160</v>
      </c>
      <c r="E1717" s="10" t="s">
        <v>50</v>
      </c>
      <c r="F1717" s="10"/>
      <c r="G1717" s="10" t="s">
        <v>162</v>
      </c>
      <c r="H1717" s="30" t="n">
        <v>42773</v>
      </c>
      <c r="I1717" s="8" t="n">
        <f aca="false">INDEX(Parâmetros!$C$13:$C$19,MATCH(E1717,Parâmetros!$A$13:$A$19,0))</f>
        <v>1096</v>
      </c>
      <c r="J1717" s="26" t="n">
        <f aca="false">IF(H1717="","",Parâmetros!$B$5-H1717)</f>
        <v>327</v>
      </c>
      <c r="K1717" s="10" t="n">
        <f aca="false">INDEX(Parâmetros!$D$13:$D$19,MATCH(E1717,Parâmetros!$A$13:$A$19,0))</f>
        <v>29</v>
      </c>
      <c r="L1717" s="10" t="n">
        <f aca="false">IF(G1717="Prospecting",Parâmetros!$B$9,IF(J1717&gt;Parâmetros!$B$6,0,INDEX(Parâmetros!$C$24:$C$26,MATCH(J1717,Parâmetros!$A$24:$A$26,1))))</f>
        <v>0</v>
      </c>
      <c r="M1717" s="31" t="n">
        <f aca="false">IF(G1717="Prospecting",1,INDEX(Parâmetros!$C$32:$C$35,MATCH(J1717,Parâmetros!$A$32:$A$35,1)))</f>
        <v>0.25</v>
      </c>
      <c r="N1717" s="2" t="n">
        <f aca="false">ROUND((K1717+L1717)*M1717,0)</f>
        <v>7</v>
      </c>
      <c r="O1717" s="10" t="str">
        <f aca="false">IF(AND(G1717="Engaging",J1717&gt;Parâmetros!$B$6),"Sim","Não")</f>
        <v>Sim</v>
      </c>
      <c r="P1717" s="32" t="str">
        <f aca="false">IF(O1717="Sim","R",IF(N1717&gt;=Parâmetros!$B$39,"A",IF(N1717&gt;=Parâmetros!$B$40,"B",IF(N1717&gt;=Parâmetros!$B$41,"C","D"))))</f>
        <v>R</v>
      </c>
      <c r="Q1717" s="10" t="str">
        <f aca="false">IF(F1717="","Completar cadastro","")</f>
        <v>Completar cadastro</v>
      </c>
      <c r="R1717" s="10" t="str">
        <f aca="false">INDEX(Parâmetros!$D$39:$D$43,MATCH(P1717,Parâmetros!$A$39:$A$43,0))</f>
        <v>Reciclar: requalificar, reengajar ou encerrar</v>
      </c>
    </row>
    <row r="1718" customFormat="false" ht="15" hidden="false" customHeight="false" outlineLevel="0" collapsed="false">
      <c r="A1718" s="10" t="s">
        <v>1965</v>
      </c>
      <c r="B1718" s="10" t="s">
        <v>94</v>
      </c>
      <c r="C1718" s="10" t="s">
        <v>92</v>
      </c>
      <c r="D1718" s="10" t="s">
        <v>160</v>
      </c>
      <c r="E1718" s="10" t="s">
        <v>50</v>
      </c>
      <c r="F1718" s="10"/>
      <c r="G1718" s="10" t="s">
        <v>162</v>
      </c>
      <c r="H1718" s="30" t="n">
        <v>42774</v>
      </c>
      <c r="I1718" s="8" t="n">
        <f aca="false">INDEX(Parâmetros!$C$13:$C$19,MATCH(E1718,Parâmetros!$A$13:$A$19,0))</f>
        <v>1096</v>
      </c>
      <c r="J1718" s="26" t="n">
        <f aca="false">IF(H1718="","",Parâmetros!$B$5-H1718)</f>
        <v>326</v>
      </c>
      <c r="K1718" s="10" t="n">
        <f aca="false">INDEX(Parâmetros!$D$13:$D$19,MATCH(E1718,Parâmetros!$A$13:$A$19,0))</f>
        <v>29</v>
      </c>
      <c r="L1718" s="10" t="n">
        <f aca="false">IF(G1718="Prospecting",Parâmetros!$B$9,IF(J1718&gt;Parâmetros!$B$6,0,INDEX(Parâmetros!$C$24:$C$26,MATCH(J1718,Parâmetros!$A$24:$A$26,1))))</f>
        <v>0</v>
      </c>
      <c r="M1718" s="31" t="n">
        <f aca="false">IF(G1718="Prospecting",1,INDEX(Parâmetros!$C$32:$C$35,MATCH(J1718,Parâmetros!$A$32:$A$35,1)))</f>
        <v>0.25</v>
      </c>
      <c r="N1718" s="2" t="n">
        <f aca="false">ROUND((K1718+L1718)*M1718,0)</f>
        <v>7</v>
      </c>
      <c r="O1718" s="10" t="str">
        <f aca="false">IF(AND(G1718="Engaging",J1718&gt;Parâmetros!$B$6),"Sim","Não")</f>
        <v>Sim</v>
      </c>
      <c r="P1718" s="32" t="str">
        <f aca="false">IF(O1718="Sim","R",IF(N1718&gt;=Parâmetros!$B$39,"A",IF(N1718&gt;=Parâmetros!$B$40,"B",IF(N1718&gt;=Parâmetros!$B$41,"C","D"))))</f>
        <v>R</v>
      </c>
      <c r="Q1718" s="10" t="str">
        <f aca="false">IF(F1718="","Completar cadastro","")</f>
        <v>Completar cadastro</v>
      </c>
      <c r="R1718" s="10" t="str">
        <f aca="false">INDEX(Parâmetros!$D$39:$D$43,MATCH(P1718,Parâmetros!$A$39:$A$43,0))</f>
        <v>Reciclar: requalificar, reengajar ou encerrar</v>
      </c>
    </row>
    <row r="1719" customFormat="false" ht="15" hidden="false" customHeight="false" outlineLevel="0" collapsed="false">
      <c r="A1719" s="10" t="s">
        <v>1966</v>
      </c>
      <c r="B1719" s="10" t="s">
        <v>67</v>
      </c>
      <c r="C1719" s="10" t="s">
        <v>65</v>
      </c>
      <c r="D1719" s="10" t="s">
        <v>160</v>
      </c>
      <c r="E1719" s="10" t="s">
        <v>50</v>
      </c>
      <c r="F1719" s="10"/>
      <c r="G1719" s="10" t="s">
        <v>162</v>
      </c>
      <c r="H1719" s="30" t="n">
        <v>42778</v>
      </c>
      <c r="I1719" s="8" t="n">
        <f aca="false">INDEX(Parâmetros!$C$13:$C$19,MATCH(E1719,Parâmetros!$A$13:$A$19,0))</f>
        <v>1096</v>
      </c>
      <c r="J1719" s="26" t="n">
        <f aca="false">IF(H1719="","",Parâmetros!$B$5-H1719)</f>
        <v>322</v>
      </c>
      <c r="K1719" s="10" t="n">
        <f aca="false">INDEX(Parâmetros!$D$13:$D$19,MATCH(E1719,Parâmetros!$A$13:$A$19,0))</f>
        <v>29</v>
      </c>
      <c r="L1719" s="10" t="n">
        <f aca="false">IF(G1719="Prospecting",Parâmetros!$B$9,IF(J1719&gt;Parâmetros!$B$6,0,INDEX(Parâmetros!$C$24:$C$26,MATCH(J1719,Parâmetros!$A$24:$A$26,1))))</f>
        <v>0</v>
      </c>
      <c r="M1719" s="31" t="n">
        <f aca="false">IF(G1719="Prospecting",1,INDEX(Parâmetros!$C$32:$C$35,MATCH(J1719,Parâmetros!$A$32:$A$35,1)))</f>
        <v>0.25</v>
      </c>
      <c r="N1719" s="2" t="n">
        <f aca="false">ROUND((K1719+L1719)*M1719,0)</f>
        <v>7</v>
      </c>
      <c r="O1719" s="10" t="str">
        <f aca="false">IF(AND(G1719="Engaging",J1719&gt;Parâmetros!$B$6),"Sim","Não")</f>
        <v>Sim</v>
      </c>
      <c r="P1719" s="32" t="str">
        <f aca="false">IF(O1719="Sim","R",IF(N1719&gt;=Parâmetros!$B$39,"A",IF(N1719&gt;=Parâmetros!$B$40,"B",IF(N1719&gt;=Parâmetros!$B$41,"C","D"))))</f>
        <v>R</v>
      </c>
      <c r="Q1719" s="10" t="str">
        <f aca="false">IF(F1719="","Completar cadastro","")</f>
        <v>Completar cadastro</v>
      </c>
      <c r="R1719" s="10" t="str">
        <f aca="false">INDEX(Parâmetros!$D$39:$D$43,MATCH(P1719,Parâmetros!$A$39:$A$43,0))</f>
        <v>Reciclar: requalificar, reengajar ou encerrar</v>
      </c>
    </row>
    <row r="1720" customFormat="false" ht="15" hidden="false" customHeight="false" outlineLevel="0" collapsed="false">
      <c r="A1720" s="10" t="s">
        <v>1967</v>
      </c>
      <c r="B1720" s="10" t="s">
        <v>68</v>
      </c>
      <c r="C1720" s="10" t="s">
        <v>65</v>
      </c>
      <c r="D1720" s="10" t="s">
        <v>160</v>
      </c>
      <c r="E1720" s="10" t="s">
        <v>50</v>
      </c>
      <c r="F1720" s="10"/>
      <c r="G1720" s="10" t="s">
        <v>162</v>
      </c>
      <c r="H1720" s="30" t="n">
        <v>42781</v>
      </c>
      <c r="I1720" s="8" t="n">
        <f aca="false">INDEX(Parâmetros!$C$13:$C$19,MATCH(E1720,Parâmetros!$A$13:$A$19,0))</f>
        <v>1096</v>
      </c>
      <c r="J1720" s="26" t="n">
        <f aca="false">IF(H1720="","",Parâmetros!$B$5-H1720)</f>
        <v>319</v>
      </c>
      <c r="K1720" s="10" t="n">
        <f aca="false">INDEX(Parâmetros!$D$13:$D$19,MATCH(E1720,Parâmetros!$A$13:$A$19,0))</f>
        <v>29</v>
      </c>
      <c r="L1720" s="10" t="n">
        <f aca="false">IF(G1720="Prospecting",Parâmetros!$B$9,IF(J1720&gt;Parâmetros!$B$6,0,INDEX(Parâmetros!$C$24:$C$26,MATCH(J1720,Parâmetros!$A$24:$A$26,1))))</f>
        <v>0</v>
      </c>
      <c r="M1720" s="31" t="n">
        <f aca="false">IF(G1720="Prospecting",1,INDEX(Parâmetros!$C$32:$C$35,MATCH(J1720,Parâmetros!$A$32:$A$35,1)))</f>
        <v>0.25</v>
      </c>
      <c r="N1720" s="2" t="n">
        <f aca="false">ROUND((K1720+L1720)*M1720,0)</f>
        <v>7</v>
      </c>
      <c r="O1720" s="10" t="str">
        <f aca="false">IF(AND(G1720="Engaging",J1720&gt;Parâmetros!$B$6),"Sim","Não")</f>
        <v>Sim</v>
      </c>
      <c r="P1720" s="32" t="str">
        <f aca="false">IF(O1720="Sim","R",IF(N1720&gt;=Parâmetros!$B$39,"A",IF(N1720&gt;=Parâmetros!$B$40,"B",IF(N1720&gt;=Parâmetros!$B$41,"C","D"))))</f>
        <v>R</v>
      </c>
      <c r="Q1720" s="10" t="str">
        <f aca="false">IF(F1720="","Completar cadastro","")</f>
        <v>Completar cadastro</v>
      </c>
      <c r="R1720" s="10" t="str">
        <f aca="false">INDEX(Parâmetros!$D$39:$D$43,MATCH(P1720,Parâmetros!$A$39:$A$43,0))</f>
        <v>Reciclar: requalificar, reengajar ou encerrar</v>
      </c>
    </row>
    <row r="1721" customFormat="false" ht="15" hidden="false" customHeight="false" outlineLevel="0" collapsed="false">
      <c r="A1721" s="10" t="s">
        <v>1968</v>
      </c>
      <c r="B1721" s="10" t="s">
        <v>93</v>
      </c>
      <c r="C1721" s="10" t="s">
        <v>92</v>
      </c>
      <c r="D1721" s="10" t="s">
        <v>160</v>
      </c>
      <c r="E1721" s="10" t="s">
        <v>50</v>
      </c>
      <c r="F1721" s="10"/>
      <c r="G1721" s="10" t="s">
        <v>162</v>
      </c>
      <c r="H1721" s="30" t="n">
        <v>42782</v>
      </c>
      <c r="I1721" s="8" t="n">
        <f aca="false">INDEX(Parâmetros!$C$13:$C$19,MATCH(E1721,Parâmetros!$A$13:$A$19,0))</f>
        <v>1096</v>
      </c>
      <c r="J1721" s="26" t="n">
        <f aca="false">IF(H1721="","",Parâmetros!$B$5-H1721)</f>
        <v>318</v>
      </c>
      <c r="K1721" s="10" t="n">
        <f aca="false">INDEX(Parâmetros!$D$13:$D$19,MATCH(E1721,Parâmetros!$A$13:$A$19,0))</f>
        <v>29</v>
      </c>
      <c r="L1721" s="10" t="n">
        <f aca="false">IF(G1721="Prospecting",Parâmetros!$B$9,IF(J1721&gt;Parâmetros!$B$6,0,INDEX(Parâmetros!$C$24:$C$26,MATCH(J1721,Parâmetros!$A$24:$A$26,1))))</f>
        <v>0</v>
      </c>
      <c r="M1721" s="31" t="n">
        <f aca="false">IF(G1721="Prospecting",1,INDEX(Parâmetros!$C$32:$C$35,MATCH(J1721,Parâmetros!$A$32:$A$35,1)))</f>
        <v>0.25</v>
      </c>
      <c r="N1721" s="2" t="n">
        <f aca="false">ROUND((K1721+L1721)*M1721,0)</f>
        <v>7</v>
      </c>
      <c r="O1721" s="10" t="str">
        <f aca="false">IF(AND(G1721="Engaging",J1721&gt;Parâmetros!$B$6),"Sim","Não")</f>
        <v>Sim</v>
      </c>
      <c r="P1721" s="32" t="str">
        <f aca="false">IF(O1721="Sim","R",IF(N1721&gt;=Parâmetros!$B$39,"A",IF(N1721&gt;=Parâmetros!$B$40,"B",IF(N1721&gt;=Parâmetros!$B$41,"C","D"))))</f>
        <v>R</v>
      </c>
      <c r="Q1721" s="10" t="str">
        <f aca="false">IF(F1721="","Completar cadastro","")</f>
        <v>Completar cadastro</v>
      </c>
      <c r="R1721" s="10" t="str">
        <f aca="false">INDEX(Parâmetros!$D$39:$D$43,MATCH(P1721,Parâmetros!$A$39:$A$43,0))</f>
        <v>Reciclar: requalificar, reengajar ou encerrar</v>
      </c>
    </row>
    <row r="1722" customFormat="false" ht="15" hidden="false" customHeight="false" outlineLevel="0" collapsed="false">
      <c r="A1722" s="10" t="s">
        <v>1969</v>
      </c>
      <c r="B1722" s="10" t="s">
        <v>68</v>
      </c>
      <c r="C1722" s="10" t="s">
        <v>65</v>
      </c>
      <c r="D1722" s="10" t="s">
        <v>160</v>
      </c>
      <c r="E1722" s="10" t="s">
        <v>50</v>
      </c>
      <c r="F1722" s="10"/>
      <c r="G1722" s="10" t="s">
        <v>162</v>
      </c>
      <c r="H1722" s="30" t="n">
        <v>42785</v>
      </c>
      <c r="I1722" s="8" t="n">
        <f aca="false">INDEX(Parâmetros!$C$13:$C$19,MATCH(E1722,Parâmetros!$A$13:$A$19,0))</f>
        <v>1096</v>
      </c>
      <c r="J1722" s="26" t="n">
        <f aca="false">IF(H1722="","",Parâmetros!$B$5-H1722)</f>
        <v>315</v>
      </c>
      <c r="K1722" s="10" t="n">
        <f aca="false">INDEX(Parâmetros!$D$13:$D$19,MATCH(E1722,Parâmetros!$A$13:$A$19,0))</f>
        <v>29</v>
      </c>
      <c r="L1722" s="10" t="n">
        <f aca="false">IF(G1722="Prospecting",Parâmetros!$B$9,IF(J1722&gt;Parâmetros!$B$6,0,INDEX(Parâmetros!$C$24:$C$26,MATCH(J1722,Parâmetros!$A$24:$A$26,1))))</f>
        <v>0</v>
      </c>
      <c r="M1722" s="31" t="n">
        <f aca="false">IF(G1722="Prospecting",1,INDEX(Parâmetros!$C$32:$C$35,MATCH(J1722,Parâmetros!$A$32:$A$35,1)))</f>
        <v>0.25</v>
      </c>
      <c r="N1722" s="2" t="n">
        <f aca="false">ROUND((K1722+L1722)*M1722,0)</f>
        <v>7</v>
      </c>
      <c r="O1722" s="10" t="str">
        <f aca="false">IF(AND(G1722="Engaging",J1722&gt;Parâmetros!$B$6),"Sim","Não")</f>
        <v>Sim</v>
      </c>
      <c r="P1722" s="32" t="str">
        <f aca="false">IF(O1722="Sim","R",IF(N1722&gt;=Parâmetros!$B$39,"A",IF(N1722&gt;=Parâmetros!$B$40,"B",IF(N1722&gt;=Parâmetros!$B$41,"C","D"))))</f>
        <v>R</v>
      </c>
      <c r="Q1722" s="10" t="str">
        <f aca="false">IF(F1722="","Completar cadastro","")</f>
        <v>Completar cadastro</v>
      </c>
      <c r="R1722" s="10" t="str">
        <f aca="false">INDEX(Parâmetros!$D$39:$D$43,MATCH(P1722,Parâmetros!$A$39:$A$43,0))</f>
        <v>Reciclar: requalificar, reengajar ou encerrar</v>
      </c>
    </row>
    <row r="1723" customFormat="false" ht="15" hidden="false" customHeight="false" outlineLevel="0" collapsed="false">
      <c r="A1723" s="10" t="s">
        <v>1970</v>
      </c>
      <c r="B1723" s="10" t="s">
        <v>95</v>
      </c>
      <c r="C1723" s="10" t="s">
        <v>92</v>
      </c>
      <c r="D1723" s="10" t="s">
        <v>160</v>
      </c>
      <c r="E1723" s="10" t="s">
        <v>50</v>
      </c>
      <c r="F1723" s="10" t="s">
        <v>359</v>
      </c>
      <c r="G1723" s="10" t="s">
        <v>162</v>
      </c>
      <c r="H1723" s="30" t="n">
        <v>42786</v>
      </c>
      <c r="I1723" s="8" t="n">
        <f aca="false">INDEX(Parâmetros!$C$13:$C$19,MATCH(E1723,Parâmetros!$A$13:$A$19,0))</f>
        <v>1096</v>
      </c>
      <c r="J1723" s="26" t="n">
        <f aca="false">IF(H1723="","",Parâmetros!$B$5-H1723)</f>
        <v>314</v>
      </c>
      <c r="K1723" s="10" t="n">
        <f aca="false">INDEX(Parâmetros!$D$13:$D$19,MATCH(E1723,Parâmetros!$A$13:$A$19,0))</f>
        <v>29</v>
      </c>
      <c r="L1723" s="10" t="n">
        <f aca="false">IF(G1723="Prospecting",Parâmetros!$B$9,IF(J1723&gt;Parâmetros!$B$6,0,INDEX(Parâmetros!$C$24:$C$26,MATCH(J1723,Parâmetros!$A$24:$A$26,1))))</f>
        <v>0</v>
      </c>
      <c r="M1723" s="31" t="n">
        <f aca="false">IF(G1723="Prospecting",1,INDEX(Parâmetros!$C$32:$C$35,MATCH(J1723,Parâmetros!$A$32:$A$35,1)))</f>
        <v>0.25</v>
      </c>
      <c r="N1723" s="2" t="n">
        <f aca="false">ROUND((K1723+L1723)*M1723,0)</f>
        <v>7</v>
      </c>
      <c r="O1723" s="10" t="str">
        <f aca="false">IF(AND(G1723="Engaging",J1723&gt;Parâmetros!$B$6),"Sim","Não")</f>
        <v>Sim</v>
      </c>
      <c r="P1723" s="32" t="str">
        <f aca="false">IF(O1723="Sim","R",IF(N1723&gt;=Parâmetros!$B$39,"A",IF(N1723&gt;=Parâmetros!$B$40,"B",IF(N1723&gt;=Parâmetros!$B$41,"C","D"))))</f>
        <v>R</v>
      </c>
      <c r="Q1723" s="10" t="str">
        <f aca="false">IF(F1723="","Completar cadastro","")</f>
        <v/>
      </c>
      <c r="R1723" s="10" t="str">
        <f aca="false">INDEX(Parâmetros!$D$39:$D$43,MATCH(P1723,Parâmetros!$A$39:$A$43,0))</f>
        <v>Reciclar: requalificar, reengajar ou encerrar</v>
      </c>
    </row>
    <row r="1724" customFormat="false" ht="15" hidden="false" customHeight="false" outlineLevel="0" collapsed="false">
      <c r="A1724" s="10" t="s">
        <v>1971</v>
      </c>
      <c r="B1724" s="10" t="s">
        <v>97</v>
      </c>
      <c r="C1724" s="10" t="s">
        <v>92</v>
      </c>
      <c r="D1724" s="10" t="s">
        <v>160</v>
      </c>
      <c r="E1724" s="10" t="s">
        <v>50</v>
      </c>
      <c r="F1724" s="10"/>
      <c r="G1724" s="10" t="s">
        <v>162</v>
      </c>
      <c r="H1724" s="30" t="n">
        <v>42791</v>
      </c>
      <c r="I1724" s="8" t="n">
        <f aca="false">INDEX(Parâmetros!$C$13:$C$19,MATCH(E1724,Parâmetros!$A$13:$A$19,0))</f>
        <v>1096</v>
      </c>
      <c r="J1724" s="26" t="n">
        <f aca="false">IF(H1724="","",Parâmetros!$B$5-H1724)</f>
        <v>309</v>
      </c>
      <c r="K1724" s="10" t="n">
        <f aca="false">INDEX(Parâmetros!$D$13:$D$19,MATCH(E1724,Parâmetros!$A$13:$A$19,0))</f>
        <v>29</v>
      </c>
      <c r="L1724" s="10" t="n">
        <f aca="false">IF(G1724="Prospecting",Parâmetros!$B$9,IF(J1724&gt;Parâmetros!$B$6,0,INDEX(Parâmetros!$C$24:$C$26,MATCH(J1724,Parâmetros!$A$24:$A$26,1))))</f>
        <v>0</v>
      </c>
      <c r="M1724" s="31" t="n">
        <f aca="false">IF(G1724="Prospecting",1,INDEX(Parâmetros!$C$32:$C$35,MATCH(J1724,Parâmetros!$A$32:$A$35,1)))</f>
        <v>0.25</v>
      </c>
      <c r="N1724" s="2" t="n">
        <f aca="false">ROUND((K1724+L1724)*M1724,0)</f>
        <v>7</v>
      </c>
      <c r="O1724" s="10" t="str">
        <f aca="false">IF(AND(G1724="Engaging",J1724&gt;Parâmetros!$B$6),"Sim","Não")</f>
        <v>Sim</v>
      </c>
      <c r="P1724" s="32" t="str">
        <f aca="false">IF(O1724="Sim","R",IF(N1724&gt;=Parâmetros!$B$39,"A",IF(N1724&gt;=Parâmetros!$B$40,"B",IF(N1724&gt;=Parâmetros!$B$41,"C","D"))))</f>
        <v>R</v>
      </c>
      <c r="Q1724" s="10" t="str">
        <f aca="false">IF(F1724="","Completar cadastro","")</f>
        <v>Completar cadastro</v>
      </c>
      <c r="R1724" s="10" t="str">
        <f aca="false">INDEX(Parâmetros!$D$39:$D$43,MATCH(P1724,Parâmetros!$A$39:$A$43,0))</f>
        <v>Reciclar: requalificar, reengajar ou encerrar</v>
      </c>
    </row>
    <row r="1725" customFormat="false" ht="15" hidden="false" customHeight="false" outlineLevel="0" collapsed="false">
      <c r="A1725" s="10" t="s">
        <v>1972</v>
      </c>
      <c r="B1725" s="10" t="s">
        <v>96</v>
      </c>
      <c r="C1725" s="10" t="s">
        <v>92</v>
      </c>
      <c r="D1725" s="10" t="s">
        <v>160</v>
      </c>
      <c r="E1725" s="10" t="s">
        <v>50</v>
      </c>
      <c r="F1725" s="10"/>
      <c r="G1725" s="10" t="s">
        <v>162</v>
      </c>
      <c r="H1725" s="30" t="n">
        <v>42792</v>
      </c>
      <c r="I1725" s="8" t="n">
        <f aca="false">INDEX(Parâmetros!$C$13:$C$19,MATCH(E1725,Parâmetros!$A$13:$A$19,0))</f>
        <v>1096</v>
      </c>
      <c r="J1725" s="26" t="n">
        <f aca="false">IF(H1725="","",Parâmetros!$B$5-H1725)</f>
        <v>308</v>
      </c>
      <c r="K1725" s="10" t="n">
        <f aca="false">INDEX(Parâmetros!$D$13:$D$19,MATCH(E1725,Parâmetros!$A$13:$A$19,0))</f>
        <v>29</v>
      </c>
      <c r="L1725" s="10" t="n">
        <f aca="false">IF(G1725="Prospecting",Parâmetros!$B$9,IF(J1725&gt;Parâmetros!$B$6,0,INDEX(Parâmetros!$C$24:$C$26,MATCH(J1725,Parâmetros!$A$24:$A$26,1))))</f>
        <v>0</v>
      </c>
      <c r="M1725" s="31" t="n">
        <f aca="false">IF(G1725="Prospecting",1,INDEX(Parâmetros!$C$32:$C$35,MATCH(J1725,Parâmetros!$A$32:$A$35,1)))</f>
        <v>0.25</v>
      </c>
      <c r="N1725" s="2" t="n">
        <f aca="false">ROUND((K1725+L1725)*M1725,0)</f>
        <v>7</v>
      </c>
      <c r="O1725" s="10" t="str">
        <f aca="false">IF(AND(G1725="Engaging",J1725&gt;Parâmetros!$B$6),"Sim","Não")</f>
        <v>Sim</v>
      </c>
      <c r="P1725" s="32" t="str">
        <f aca="false">IF(O1725="Sim","R",IF(N1725&gt;=Parâmetros!$B$39,"A",IF(N1725&gt;=Parâmetros!$B$40,"B",IF(N1725&gt;=Parâmetros!$B$41,"C","D"))))</f>
        <v>R</v>
      </c>
      <c r="Q1725" s="10" t="str">
        <f aca="false">IF(F1725="","Completar cadastro","")</f>
        <v>Completar cadastro</v>
      </c>
      <c r="R1725" s="10" t="str">
        <f aca="false">INDEX(Parâmetros!$D$39:$D$43,MATCH(P1725,Parâmetros!$A$39:$A$43,0))</f>
        <v>Reciclar: requalificar, reengajar ou encerrar</v>
      </c>
    </row>
    <row r="1726" customFormat="false" ht="15" hidden="false" customHeight="false" outlineLevel="0" collapsed="false">
      <c r="A1726" s="10" t="s">
        <v>1973</v>
      </c>
      <c r="B1726" s="10" t="s">
        <v>96</v>
      </c>
      <c r="C1726" s="10" t="s">
        <v>92</v>
      </c>
      <c r="D1726" s="10" t="s">
        <v>160</v>
      </c>
      <c r="E1726" s="10" t="s">
        <v>50</v>
      </c>
      <c r="F1726" s="10"/>
      <c r="G1726" s="10" t="s">
        <v>162</v>
      </c>
      <c r="H1726" s="30" t="n">
        <v>42792</v>
      </c>
      <c r="I1726" s="8" t="n">
        <f aca="false">INDEX(Parâmetros!$C$13:$C$19,MATCH(E1726,Parâmetros!$A$13:$A$19,0))</f>
        <v>1096</v>
      </c>
      <c r="J1726" s="26" t="n">
        <f aca="false">IF(H1726="","",Parâmetros!$B$5-H1726)</f>
        <v>308</v>
      </c>
      <c r="K1726" s="10" t="n">
        <f aca="false">INDEX(Parâmetros!$D$13:$D$19,MATCH(E1726,Parâmetros!$A$13:$A$19,0))</f>
        <v>29</v>
      </c>
      <c r="L1726" s="10" t="n">
        <f aca="false">IF(G1726="Prospecting",Parâmetros!$B$9,IF(J1726&gt;Parâmetros!$B$6,0,INDEX(Parâmetros!$C$24:$C$26,MATCH(J1726,Parâmetros!$A$24:$A$26,1))))</f>
        <v>0</v>
      </c>
      <c r="M1726" s="31" t="n">
        <f aca="false">IF(G1726="Prospecting",1,INDEX(Parâmetros!$C$32:$C$35,MATCH(J1726,Parâmetros!$A$32:$A$35,1)))</f>
        <v>0.25</v>
      </c>
      <c r="N1726" s="2" t="n">
        <f aca="false">ROUND((K1726+L1726)*M1726,0)</f>
        <v>7</v>
      </c>
      <c r="O1726" s="10" t="str">
        <f aca="false">IF(AND(G1726="Engaging",J1726&gt;Parâmetros!$B$6),"Sim","Não")</f>
        <v>Sim</v>
      </c>
      <c r="P1726" s="32" t="str">
        <f aca="false">IF(O1726="Sim","R",IF(N1726&gt;=Parâmetros!$B$39,"A",IF(N1726&gt;=Parâmetros!$B$40,"B",IF(N1726&gt;=Parâmetros!$B$41,"C","D"))))</f>
        <v>R</v>
      </c>
      <c r="Q1726" s="10" t="str">
        <f aca="false">IF(F1726="","Completar cadastro","")</f>
        <v>Completar cadastro</v>
      </c>
      <c r="R1726" s="10" t="str">
        <f aca="false">INDEX(Parâmetros!$D$39:$D$43,MATCH(P1726,Parâmetros!$A$39:$A$43,0))</f>
        <v>Reciclar: requalificar, reengajar ou encerrar</v>
      </c>
    </row>
    <row r="1727" customFormat="false" ht="15" hidden="false" customHeight="false" outlineLevel="0" collapsed="false">
      <c r="A1727" s="10" t="s">
        <v>1974</v>
      </c>
      <c r="B1727" s="10" t="s">
        <v>97</v>
      </c>
      <c r="C1727" s="10" t="s">
        <v>92</v>
      </c>
      <c r="D1727" s="10" t="s">
        <v>160</v>
      </c>
      <c r="E1727" s="10" t="s">
        <v>50</v>
      </c>
      <c r="F1727" s="10"/>
      <c r="G1727" s="10" t="s">
        <v>162</v>
      </c>
      <c r="H1727" s="30" t="n">
        <v>42792</v>
      </c>
      <c r="I1727" s="8" t="n">
        <f aca="false">INDEX(Parâmetros!$C$13:$C$19,MATCH(E1727,Parâmetros!$A$13:$A$19,0))</f>
        <v>1096</v>
      </c>
      <c r="J1727" s="26" t="n">
        <f aca="false">IF(H1727="","",Parâmetros!$B$5-H1727)</f>
        <v>308</v>
      </c>
      <c r="K1727" s="10" t="n">
        <f aca="false">INDEX(Parâmetros!$D$13:$D$19,MATCH(E1727,Parâmetros!$A$13:$A$19,0))</f>
        <v>29</v>
      </c>
      <c r="L1727" s="10" t="n">
        <f aca="false">IF(G1727="Prospecting",Parâmetros!$B$9,IF(J1727&gt;Parâmetros!$B$6,0,INDEX(Parâmetros!$C$24:$C$26,MATCH(J1727,Parâmetros!$A$24:$A$26,1))))</f>
        <v>0</v>
      </c>
      <c r="M1727" s="31" t="n">
        <f aca="false">IF(G1727="Prospecting",1,INDEX(Parâmetros!$C$32:$C$35,MATCH(J1727,Parâmetros!$A$32:$A$35,1)))</f>
        <v>0.25</v>
      </c>
      <c r="N1727" s="2" t="n">
        <f aca="false">ROUND((K1727+L1727)*M1727,0)</f>
        <v>7</v>
      </c>
      <c r="O1727" s="10" t="str">
        <f aca="false">IF(AND(G1727="Engaging",J1727&gt;Parâmetros!$B$6),"Sim","Não")</f>
        <v>Sim</v>
      </c>
      <c r="P1727" s="32" t="str">
        <f aca="false">IF(O1727="Sim","R",IF(N1727&gt;=Parâmetros!$B$39,"A",IF(N1727&gt;=Parâmetros!$B$40,"B",IF(N1727&gt;=Parâmetros!$B$41,"C","D"))))</f>
        <v>R</v>
      </c>
      <c r="Q1727" s="10" t="str">
        <f aca="false">IF(F1727="","Completar cadastro","")</f>
        <v>Completar cadastro</v>
      </c>
      <c r="R1727" s="10" t="str">
        <f aca="false">INDEX(Parâmetros!$D$39:$D$43,MATCH(P1727,Parâmetros!$A$39:$A$43,0))</f>
        <v>Reciclar: requalificar, reengajar ou encerrar</v>
      </c>
    </row>
    <row r="1728" customFormat="false" ht="15" hidden="false" customHeight="false" outlineLevel="0" collapsed="false">
      <c r="A1728" s="10" t="s">
        <v>1975</v>
      </c>
      <c r="B1728" s="10" t="s">
        <v>87</v>
      </c>
      <c r="C1728" s="10" t="s">
        <v>85</v>
      </c>
      <c r="D1728" s="10" t="s">
        <v>165</v>
      </c>
      <c r="E1728" s="10" t="s">
        <v>50</v>
      </c>
      <c r="F1728" s="10" t="s">
        <v>326</v>
      </c>
      <c r="G1728" s="10" t="s">
        <v>162</v>
      </c>
      <c r="H1728" s="30" t="n">
        <v>42793</v>
      </c>
      <c r="I1728" s="8" t="n">
        <f aca="false">INDEX(Parâmetros!$C$13:$C$19,MATCH(E1728,Parâmetros!$A$13:$A$19,0))</f>
        <v>1096</v>
      </c>
      <c r="J1728" s="26" t="n">
        <f aca="false">IF(H1728="","",Parâmetros!$B$5-H1728)</f>
        <v>307</v>
      </c>
      <c r="K1728" s="10" t="n">
        <f aca="false">INDEX(Parâmetros!$D$13:$D$19,MATCH(E1728,Parâmetros!$A$13:$A$19,0))</f>
        <v>29</v>
      </c>
      <c r="L1728" s="10" t="n">
        <f aca="false">IF(G1728="Prospecting",Parâmetros!$B$9,IF(J1728&gt;Parâmetros!$B$6,0,INDEX(Parâmetros!$C$24:$C$26,MATCH(J1728,Parâmetros!$A$24:$A$26,1))))</f>
        <v>0</v>
      </c>
      <c r="M1728" s="31" t="n">
        <f aca="false">IF(G1728="Prospecting",1,INDEX(Parâmetros!$C$32:$C$35,MATCH(J1728,Parâmetros!$A$32:$A$35,1)))</f>
        <v>0.25</v>
      </c>
      <c r="N1728" s="2" t="n">
        <f aca="false">ROUND((K1728+L1728)*M1728,0)</f>
        <v>7</v>
      </c>
      <c r="O1728" s="10" t="str">
        <f aca="false">IF(AND(G1728="Engaging",J1728&gt;Parâmetros!$B$6),"Sim","Não")</f>
        <v>Sim</v>
      </c>
      <c r="P1728" s="32" t="str">
        <f aca="false">IF(O1728="Sim","R",IF(N1728&gt;=Parâmetros!$B$39,"A",IF(N1728&gt;=Parâmetros!$B$40,"B",IF(N1728&gt;=Parâmetros!$B$41,"C","D"))))</f>
        <v>R</v>
      </c>
      <c r="Q1728" s="10" t="str">
        <f aca="false">IF(F1728="","Completar cadastro","")</f>
        <v/>
      </c>
      <c r="R1728" s="10" t="str">
        <f aca="false">INDEX(Parâmetros!$D$39:$D$43,MATCH(P1728,Parâmetros!$A$39:$A$43,0))</f>
        <v>Reciclar: requalificar, reengajar ou encerrar</v>
      </c>
    </row>
    <row r="1729" customFormat="false" ht="15" hidden="false" customHeight="false" outlineLevel="0" collapsed="false">
      <c r="A1729" s="10" t="s">
        <v>1976</v>
      </c>
      <c r="B1729" s="10" t="s">
        <v>96</v>
      </c>
      <c r="C1729" s="10" t="s">
        <v>92</v>
      </c>
      <c r="D1729" s="10" t="s">
        <v>160</v>
      </c>
      <c r="E1729" s="10" t="s">
        <v>50</v>
      </c>
      <c r="F1729" s="10"/>
      <c r="G1729" s="10" t="s">
        <v>162</v>
      </c>
      <c r="H1729" s="30" t="n">
        <v>42793</v>
      </c>
      <c r="I1729" s="8" t="n">
        <f aca="false">INDEX(Parâmetros!$C$13:$C$19,MATCH(E1729,Parâmetros!$A$13:$A$19,0))</f>
        <v>1096</v>
      </c>
      <c r="J1729" s="26" t="n">
        <f aca="false">IF(H1729="","",Parâmetros!$B$5-H1729)</f>
        <v>307</v>
      </c>
      <c r="K1729" s="10" t="n">
        <f aca="false">INDEX(Parâmetros!$D$13:$D$19,MATCH(E1729,Parâmetros!$A$13:$A$19,0))</f>
        <v>29</v>
      </c>
      <c r="L1729" s="10" t="n">
        <f aca="false">IF(G1729="Prospecting",Parâmetros!$B$9,IF(J1729&gt;Parâmetros!$B$6,0,INDEX(Parâmetros!$C$24:$C$26,MATCH(J1729,Parâmetros!$A$24:$A$26,1))))</f>
        <v>0</v>
      </c>
      <c r="M1729" s="31" t="n">
        <f aca="false">IF(G1729="Prospecting",1,INDEX(Parâmetros!$C$32:$C$35,MATCH(J1729,Parâmetros!$A$32:$A$35,1)))</f>
        <v>0.25</v>
      </c>
      <c r="N1729" s="2" t="n">
        <f aca="false">ROUND((K1729+L1729)*M1729,0)</f>
        <v>7</v>
      </c>
      <c r="O1729" s="10" t="str">
        <f aca="false">IF(AND(G1729="Engaging",J1729&gt;Parâmetros!$B$6),"Sim","Não")</f>
        <v>Sim</v>
      </c>
      <c r="P1729" s="32" t="str">
        <f aca="false">IF(O1729="Sim","R",IF(N1729&gt;=Parâmetros!$B$39,"A",IF(N1729&gt;=Parâmetros!$B$40,"B",IF(N1729&gt;=Parâmetros!$B$41,"C","D"))))</f>
        <v>R</v>
      </c>
      <c r="Q1729" s="10" t="str">
        <f aca="false">IF(F1729="","Completar cadastro","")</f>
        <v>Completar cadastro</v>
      </c>
      <c r="R1729" s="10" t="str">
        <f aca="false">INDEX(Parâmetros!$D$39:$D$43,MATCH(P1729,Parâmetros!$A$39:$A$43,0))</f>
        <v>Reciclar: requalificar, reengajar ou encerrar</v>
      </c>
    </row>
    <row r="1730" customFormat="false" ht="15" hidden="false" customHeight="false" outlineLevel="0" collapsed="false">
      <c r="A1730" s="10" t="s">
        <v>1977</v>
      </c>
      <c r="B1730" s="10" t="s">
        <v>61</v>
      </c>
      <c r="C1730" s="10" t="s">
        <v>58</v>
      </c>
      <c r="D1730" s="10" t="s">
        <v>165</v>
      </c>
      <c r="E1730" s="10" t="s">
        <v>50</v>
      </c>
      <c r="F1730" s="10"/>
      <c r="G1730" s="10" t="s">
        <v>162</v>
      </c>
      <c r="H1730" s="30" t="n">
        <v>42800</v>
      </c>
      <c r="I1730" s="8" t="n">
        <f aca="false">INDEX(Parâmetros!$C$13:$C$19,MATCH(E1730,Parâmetros!$A$13:$A$19,0))</f>
        <v>1096</v>
      </c>
      <c r="J1730" s="26" t="n">
        <f aca="false">IF(H1730="","",Parâmetros!$B$5-H1730)</f>
        <v>300</v>
      </c>
      <c r="K1730" s="10" t="n">
        <f aca="false">INDEX(Parâmetros!$D$13:$D$19,MATCH(E1730,Parâmetros!$A$13:$A$19,0))</f>
        <v>29</v>
      </c>
      <c r="L1730" s="10" t="n">
        <f aca="false">IF(G1730="Prospecting",Parâmetros!$B$9,IF(J1730&gt;Parâmetros!$B$6,0,INDEX(Parâmetros!$C$24:$C$26,MATCH(J1730,Parâmetros!$A$24:$A$26,1))))</f>
        <v>0</v>
      </c>
      <c r="M1730" s="31" t="n">
        <f aca="false">IF(G1730="Prospecting",1,INDEX(Parâmetros!$C$32:$C$35,MATCH(J1730,Parâmetros!$A$32:$A$35,1)))</f>
        <v>0.25</v>
      </c>
      <c r="N1730" s="2" t="n">
        <f aca="false">ROUND((K1730+L1730)*M1730,0)</f>
        <v>7</v>
      </c>
      <c r="O1730" s="10" t="str">
        <f aca="false">IF(AND(G1730="Engaging",J1730&gt;Parâmetros!$B$6),"Sim","Não")</f>
        <v>Sim</v>
      </c>
      <c r="P1730" s="32" t="str">
        <f aca="false">IF(O1730="Sim","R",IF(N1730&gt;=Parâmetros!$B$39,"A",IF(N1730&gt;=Parâmetros!$B$40,"B",IF(N1730&gt;=Parâmetros!$B$41,"C","D"))))</f>
        <v>R</v>
      </c>
      <c r="Q1730" s="10" t="str">
        <f aca="false">IF(F1730="","Completar cadastro","")</f>
        <v>Completar cadastro</v>
      </c>
      <c r="R1730" s="10" t="str">
        <f aca="false">INDEX(Parâmetros!$D$39:$D$43,MATCH(P1730,Parâmetros!$A$39:$A$43,0))</f>
        <v>Reciclar: requalificar, reengajar ou encerrar</v>
      </c>
    </row>
    <row r="1731" customFormat="false" ht="15" hidden="false" customHeight="false" outlineLevel="0" collapsed="false">
      <c r="A1731" s="10" t="s">
        <v>1978</v>
      </c>
      <c r="B1731" s="10" t="s">
        <v>84</v>
      </c>
      <c r="C1731" s="10" t="s">
        <v>85</v>
      </c>
      <c r="D1731" s="10" t="s">
        <v>165</v>
      </c>
      <c r="E1731" s="10" t="s">
        <v>50</v>
      </c>
      <c r="F1731" s="10"/>
      <c r="G1731" s="10" t="s">
        <v>162</v>
      </c>
      <c r="H1731" s="30" t="n">
        <v>42801</v>
      </c>
      <c r="I1731" s="8" t="n">
        <f aca="false">INDEX(Parâmetros!$C$13:$C$19,MATCH(E1731,Parâmetros!$A$13:$A$19,0))</f>
        <v>1096</v>
      </c>
      <c r="J1731" s="26" t="n">
        <f aca="false">IF(H1731="","",Parâmetros!$B$5-H1731)</f>
        <v>299</v>
      </c>
      <c r="K1731" s="10" t="n">
        <f aca="false">INDEX(Parâmetros!$D$13:$D$19,MATCH(E1731,Parâmetros!$A$13:$A$19,0))</f>
        <v>29</v>
      </c>
      <c r="L1731" s="10" t="n">
        <f aca="false">IF(G1731="Prospecting",Parâmetros!$B$9,IF(J1731&gt;Parâmetros!$B$6,0,INDEX(Parâmetros!$C$24:$C$26,MATCH(J1731,Parâmetros!$A$24:$A$26,1))))</f>
        <v>0</v>
      </c>
      <c r="M1731" s="31" t="n">
        <f aca="false">IF(G1731="Prospecting",1,INDEX(Parâmetros!$C$32:$C$35,MATCH(J1731,Parâmetros!$A$32:$A$35,1)))</f>
        <v>0.25</v>
      </c>
      <c r="N1731" s="2" t="n">
        <f aca="false">ROUND((K1731+L1731)*M1731,0)</f>
        <v>7</v>
      </c>
      <c r="O1731" s="10" t="str">
        <f aca="false">IF(AND(G1731="Engaging",J1731&gt;Parâmetros!$B$6),"Sim","Não")</f>
        <v>Sim</v>
      </c>
      <c r="P1731" s="32" t="str">
        <f aca="false">IF(O1731="Sim","R",IF(N1731&gt;=Parâmetros!$B$39,"A",IF(N1731&gt;=Parâmetros!$B$40,"B",IF(N1731&gt;=Parâmetros!$B$41,"C","D"))))</f>
        <v>R</v>
      </c>
      <c r="Q1731" s="10" t="str">
        <f aca="false">IF(F1731="","Completar cadastro","")</f>
        <v>Completar cadastro</v>
      </c>
      <c r="R1731" s="10" t="str">
        <f aca="false">INDEX(Parâmetros!$D$39:$D$43,MATCH(P1731,Parâmetros!$A$39:$A$43,0))</f>
        <v>Reciclar: requalificar, reengajar ou encerrar</v>
      </c>
    </row>
    <row r="1732" customFormat="false" ht="15" hidden="false" customHeight="false" outlineLevel="0" collapsed="false">
      <c r="A1732" s="10" t="s">
        <v>1979</v>
      </c>
      <c r="B1732" s="10" t="s">
        <v>93</v>
      </c>
      <c r="C1732" s="10" t="s">
        <v>92</v>
      </c>
      <c r="D1732" s="10" t="s">
        <v>160</v>
      </c>
      <c r="E1732" s="10" t="s">
        <v>50</v>
      </c>
      <c r="F1732" s="10"/>
      <c r="G1732" s="10" t="s">
        <v>162</v>
      </c>
      <c r="H1732" s="30" t="n">
        <v>42801</v>
      </c>
      <c r="I1732" s="8" t="n">
        <f aca="false">INDEX(Parâmetros!$C$13:$C$19,MATCH(E1732,Parâmetros!$A$13:$A$19,0))</f>
        <v>1096</v>
      </c>
      <c r="J1732" s="26" t="n">
        <f aca="false">IF(H1732="","",Parâmetros!$B$5-H1732)</f>
        <v>299</v>
      </c>
      <c r="K1732" s="10" t="n">
        <f aca="false">INDEX(Parâmetros!$D$13:$D$19,MATCH(E1732,Parâmetros!$A$13:$A$19,0))</f>
        <v>29</v>
      </c>
      <c r="L1732" s="10" t="n">
        <f aca="false">IF(G1732="Prospecting",Parâmetros!$B$9,IF(J1732&gt;Parâmetros!$B$6,0,INDEX(Parâmetros!$C$24:$C$26,MATCH(J1732,Parâmetros!$A$24:$A$26,1))))</f>
        <v>0</v>
      </c>
      <c r="M1732" s="31" t="n">
        <f aca="false">IF(G1732="Prospecting",1,INDEX(Parâmetros!$C$32:$C$35,MATCH(J1732,Parâmetros!$A$32:$A$35,1)))</f>
        <v>0.25</v>
      </c>
      <c r="N1732" s="2" t="n">
        <f aca="false">ROUND((K1732+L1732)*M1732,0)</f>
        <v>7</v>
      </c>
      <c r="O1732" s="10" t="str">
        <f aca="false">IF(AND(G1732="Engaging",J1732&gt;Parâmetros!$B$6),"Sim","Não")</f>
        <v>Sim</v>
      </c>
      <c r="P1732" s="32" t="str">
        <f aca="false">IF(O1732="Sim","R",IF(N1732&gt;=Parâmetros!$B$39,"A",IF(N1732&gt;=Parâmetros!$B$40,"B",IF(N1732&gt;=Parâmetros!$B$41,"C","D"))))</f>
        <v>R</v>
      </c>
      <c r="Q1732" s="10" t="str">
        <f aca="false">IF(F1732="","Completar cadastro","")</f>
        <v>Completar cadastro</v>
      </c>
      <c r="R1732" s="10" t="str">
        <f aca="false">INDEX(Parâmetros!$D$39:$D$43,MATCH(P1732,Parâmetros!$A$39:$A$43,0))</f>
        <v>Reciclar: requalificar, reengajar ou encerrar</v>
      </c>
    </row>
    <row r="1733" customFormat="false" ht="15" hidden="false" customHeight="false" outlineLevel="0" collapsed="false">
      <c r="A1733" s="10" t="s">
        <v>1980</v>
      </c>
      <c r="B1733" s="10" t="s">
        <v>96</v>
      </c>
      <c r="C1733" s="10" t="s">
        <v>92</v>
      </c>
      <c r="D1733" s="10" t="s">
        <v>160</v>
      </c>
      <c r="E1733" s="10" t="s">
        <v>50</v>
      </c>
      <c r="F1733" s="10" t="s">
        <v>506</v>
      </c>
      <c r="G1733" s="10" t="s">
        <v>162</v>
      </c>
      <c r="H1733" s="30" t="n">
        <v>42801</v>
      </c>
      <c r="I1733" s="8" t="n">
        <f aca="false">INDEX(Parâmetros!$C$13:$C$19,MATCH(E1733,Parâmetros!$A$13:$A$19,0))</f>
        <v>1096</v>
      </c>
      <c r="J1733" s="26" t="n">
        <f aca="false">IF(H1733="","",Parâmetros!$B$5-H1733)</f>
        <v>299</v>
      </c>
      <c r="K1733" s="10" t="n">
        <f aca="false">INDEX(Parâmetros!$D$13:$D$19,MATCH(E1733,Parâmetros!$A$13:$A$19,0))</f>
        <v>29</v>
      </c>
      <c r="L1733" s="10" t="n">
        <f aca="false">IF(G1733="Prospecting",Parâmetros!$B$9,IF(J1733&gt;Parâmetros!$B$6,0,INDEX(Parâmetros!$C$24:$C$26,MATCH(J1733,Parâmetros!$A$24:$A$26,1))))</f>
        <v>0</v>
      </c>
      <c r="M1733" s="31" t="n">
        <f aca="false">IF(G1733="Prospecting",1,INDEX(Parâmetros!$C$32:$C$35,MATCH(J1733,Parâmetros!$A$32:$A$35,1)))</f>
        <v>0.25</v>
      </c>
      <c r="N1733" s="2" t="n">
        <f aca="false">ROUND((K1733+L1733)*M1733,0)</f>
        <v>7</v>
      </c>
      <c r="O1733" s="10" t="str">
        <f aca="false">IF(AND(G1733="Engaging",J1733&gt;Parâmetros!$B$6),"Sim","Não")</f>
        <v>Sim</v>
      </c>
      <c r="P1733" s="32" t="str">
        <f aca="false">IF(O1733="Sim","R",IF(N1733&gt;=Parâmetros!$B$39,"A",IF(N1733&gt;=Parâmetros!$B$40,"B",IF(N1733&gt;=Parâmetros!$B$41,"C","D"))))</f>
        <v>R</v>
      </c>
      <c r="Q1733" s="10" t="str">
        <f aca="false">IF(F1733="","Completar cadastro","")</f>
        <v/>
      </c>
      <c r="R1733" s="10" t="str">
        <f aca="false">INDEX(Parâmetros!$D$39:$D$43,MATCH(P1733,Parâmetros!$A$39:$A$43,0))</f>
        <v>Reciclar: requalificar, reengajar ou encerrar</v>
      </c>
    </row>
    <row r="1734" customFormat="false" ht="15" hidden="false" customHeight="false" outlineLevel="0" collapsed="false">
      <c r="A1734" s="10" t="s">
        <v>1981</v>
      </c>
      <c r="B1734" s="10" t="s">
        <v>63</v>
      </c>
      <c r="C1734" s="10" t="s">
        <v>58</v>
      </c>
      <c r="D1734" s="10" t="s">
        <v>165</v>
      </c>
      <c r="E1734" s="10" t="s">
        <v>50</v>
      </c>
      <c r="F1734" s="10"/>
      <c r="G1734" s="10" t="s">
        <v>162</v>
      </c>
      <c r="H1734" s="30" t="n">
        <v>42801</v>
      </c>
      <c r="I1734" s="8" t="n">
        <f aca="false">INDEX(Parâmetros!$C$13:$C$19,MATCH(E1734,Parâmetros!$A$13:$A$19,0))</f>
        <v>1096</v>
      </c>
      <c r="J1734" s="26" t="n">
        <f aca="false">IF(H1734="","",Parâmetros!$B$5-H1734)</f>
        <v>299</v>
      </c>
      <c r="K1734" s="10" t="n">
        <f aca="false">INDEX(Parâmetros!$D$13:$D$19,MATCH(E1734,Parâmetros!$A$13:$A$19,0))</f>
        <v>29</v>
      </c>
      <c r="L1734" s="10" t="n">
        <f aca="false">IF(G1734="Prospecting",Parâmetros!$B$9,IF(J1734&gt;Parâmetros!$B$6,0,INDEX(Parâmetros!$C$24:$C$26,MATCH(J1734,Parâmetros!$A$24:$A$26,1))))</f>
        <v>0</v>
      </c>
      <c r="M1734" s="31" t="n">
        <f aca="false">IF(G1734="Prospecting",1,INDEX(Parâmetros!$C$32:$C$35,MATCH(J1734,Parâmetros!$A$32:$A$35,1)))</f>
        <v>0.25</v>
      </c>
      <c r="N1734" s="2" t="n">
        <f aca="false">ROUND((K1734+L1734)*M1734,0)</f>
        <v>7</v>
      </c>
      <c r="O1734" s="10" t="str">
        <f aca="false">IF(AND(G1734="Engaging",J1734&gt;Parâmetros!$B$6),"Sim","Não")</f>
        <v>Sim</v>
      </c>
      <c r="P1734" s="32" t="str">
        <f aca="false">IF(O1734="Sim","R",IF(N1734&gt;=Parâmetros!$B$39,"A",IF(N1734&gt;=Parâmetros!$B$40,"B",IF(N1734&gt;=Parâmetros!$B$41,"C","D"))))</f>
        <v>R</v>
      </c>
      <c r="Q1734" s="10" t="str">
        <f aca="false">IF(F1734="","Completar cadastro","")</f>
        <v>Completar cadastro</v>
      </c>
      <c r="R1734" s="10" t="str">
        <f aca="false">INDEX(Parâmetros!$D$39:$D$43,MATCH(P1734,Parâmetros!$A$39:$A$43,0))</f>
        <v>Reciclar: requalificar, reengajar ou encerrar</v>
      </c>
    </row>
    <row r="1735" customFormat="false" ht="15" hidden="false" customHeight="false" outlineLevel="0" collapsed="false">
      <c r="A1735" s="10" t="s">
        <v>1982</v>
      </c>
      <c r="B1735" s="10" t="s">
        <v>57</v>
      </c>
      <c r="C1735" s="10" t="s">
        <v>58</v>
      </c>
      <c r="D1735" s="10" t="s">
        <v>165</v>
      </c>
      <c r="E1735" s="10" t="s">
        <v>50</v>
      </c>
      <c r="F1735" s="10"/>
      <c r="G1735" s="10" t="s">
        <v>162</v>
      </c>
      <c r="H1735" s="30" t="n">
        <v>42803</v>
      </c>
      <c r="I1735" s="8" t="n">
        <f aca="false">INDEX(Parâmetros!$C$13:$C$19,MATCH(E1735,Parâmetros!$A$13:$A$19,0))</f>
        <v>1096</v>
      </c>
      <c r="J1735" s="26" t="n">
        <f aca="false">IF(H1735="","",Parâmetros!$B$5-H1735)</f>
        <v>297</v>
      </c>
      <c r="K1735" s="10" t="n">
        <f aca="false">INDEX(Parâmetros!$D$13:$D$19,MATCH(E1735,Parâmetros!$A$13:$A$19,0))</f>
        <v>29</v>
      </c>
      <c r="L1735" s="10" t="n">
        <f aca="false">IF(G1735="Prospecting",Parâmetros!$B$9,IF(J1735&gt;Parâmetros!$B$6,0,INDEX(Parâmetros!$C$24:$C$26,MATCH(J1735,Parâmetros!$A$24:$A$26,1))))</f>
        <v>0</v>
      </c>
      <c r="M1735" s="31" t="n">
        <f aca="false">IF(G1735="Prospecting",1,INDEX(Parâmetros!$C$32:$C$35,MATCH(J1735,Parâmetros!$A$32:$A$35,1)))</f>
        <v>0.25</v>
      </c>
      <c r="N1735" s="2" t="n">
        <f aca="false">ROUND((K1735+L1735)*M1735,0)</f>
        <v>7</v>
      </c>
      <c r="O1735" s="10" t="str">
        <f aca="false">IF(AND(G1735="Engaging",J1735&gt;Parâmetros!$B$6),"Sim","Não")</f>
        <v>Sim</v>
      </c>
      <c r="P1735" s="32" t="str">
        <f aca="false">IF(O1735="Sim","R",IF(N1735&gt;=Parâmetros!$B$39,"A",IF(N1735&gt;=Parâmetros!$B$40,"B",IF(N1735&gt;=Parâmetros!$B$41,"C","D"))))</f>
        <v>R</v>
      </c>
      <c r="Q1735" s="10" t="str">
        <f aca="false">IF(F1735="","Completar cadastro","")</f>
        <v>Completar cadastro</v>
      </c>
      <c r="R1735" s="10" t="str">
        <f aca="false">INDEX(Parâmetros!$D$39:$D$43,MATCH(P1735,Parâmetros!$A$39:$A$43,0))</f>
        <v>Reciclar: requalificar, reengajar ou encerrar</v>
      </c>
    </row>
    <row r="1736" customFormat="false" ht="15" hidden="false" customHeight="false" outlineLevel="0" collapsed="false">
      <c r="A1736" s="10" t="s">
        <v>1983</v>
      </c>
      <c r="B1736" s="10" t="s">
        <v>84</v>
      </c>
      <c r="C1736" s="10" t="s">
        <v>85</v>
      </c>
      <c r="D1736" s="10" t="s">
        <v>165</v>
      </c>
      <c r="E1736" s="10" t="s">
        <v>50</v>
      </c>
      <c r="F1736" s="10"/>
      <c r="G1736" s="10" t="s">
        <v>162</v>
      </c>
      <c r="H1736" s="30" t="n">
        <v>42808</v>
      </c>
      <c r="I1736" s="8" t="n">
        <f aca="false">INDEX(Parâmetros!$C$13:$C$19,MATCH(E1736,Parâmetros!$A$13:$A$19,0))</f>
        <v>1096</v>
      </c>
      <c r="J1736" s="26" t="n">
        <f aca="false">IF(H1736="","",Parâmetros!$B$5-H1736)</f>
        <v>292</v>
      </c>
      <c r="K1736" s="10" t="n">
        <f aca="false">INDEX(Parâmetros!$D$13:$D$19,MATCH(E1736,Parâmetros!$A$13:$A$19,0))</f>
        <v>29</v>
      </c>
      <c r="L1736" s="10" t="n">
        <f aca="false">IF(G1736="Prospecting",Parâmetros!$B$9,IF(J1736&gt;Parâmetros!$B$6,0,INDEX(Parâmetros!$C$24:$C$26,MATCH(J1736,Parâmetros!$A$24:$A$26,1))))</f>
        <v>0</v>
      </c>
      <c r="M1736" s="31" t="n">
        <f aca="false">IF(G1736="Prospecting",1,INDEX(Parâmetros!$C$32:$C$35,MATCH(J1736,Parâmetros!$A$32:$A$35,1)))</f>
        <v>0.25</v>
      </c>
      <c r="N1736" s="2" t="n">
        <f aca="false">ROUND((K1736+L1736)*M1736,0)</f>
        <v>7</v>
      </c>
      <c r="O1736" s="10" t="str">
        <f aca="false">IF(AND(G1736="Engaging",J1736&gt;Parâmetros!$B$6),"Sim","Não")</f>
        <v>Sim</v>
      </c>
      <c r="P1736" s="32" t="str">
        <f aca="false">IF(O1736="Sim","R",IF(N1736&gt;=Parâmetros!$B$39,"A",IF(N1736&gt;=Parâmetros!$B$40,"B",IF(N1736&gt;=Parâmetros!$B$41,"C","D"))))</f>
        <v>R</v>
      </c>
      <c r="Q1736" s="10" t="str">
        <f aca="false">IF(F1736="","Completar cadastro","")</f>
        <v>Completar cadastro</v>
      </c>
      <c r="R1736" s="10" t="str">
        <f aca="false">INDEX(Parâmetros!$D$39:$D$43,MATCH(P1736,Parâmetros!$A$39:$A$43,0))</f>
        <v>Reciclar: requalificar, reengajar ou encerrar</v>
      </c>
    </row>
    <row r="1737" customFormat="false" ht="15" hidden="false" customHeight="false" outlineLevel="0" collapsed="false">
      <c r="A1737" s="10" t="s">
        <v>1984</v>
      </c>
      <c r="B1737" s="10" t="s">
        <v>63</v>
      </c>
      <c r="C1737" s="10" t="s">
        <v>58</v>
      </c>
      <c r="D1737" s="10" t="s">
        <v>165</v>
      </c>
      <c r="E1737" s="10" t="s">
        <v>50</v>
      </c>
      <c r="F1737" s="10"/>
      <c r="G1737" s="10" t="s">
        <v>162</v>
      </c>
      <c r="H1737" s="30" t="n">
        <v>42809</v>
      </c>
      <c r="I1737" s="8" t="n">
        <f aca="false">INDEX(Parâmetros!$C$13:$C$19,MATCH(E1737,Parâmetros!$A$13:$A$19,0))</f>
        <v>1096</v>
      </c>
      <c r="J1737" s="26" t="n">
        <f aca="false">IF(H1737="","",Parâmetros!$B$5-H1737)</f>
        <v>291</v>
      </c>
      <c r="K1737" s="10" t="n">
        <f aca="false">INDEX(Parâmetros!$D$13:$D$19,MATCH(E1737,Parâmetros!$A$13:$A$19,0))</f>
        <v>29</v>
      </c>
      <c r="L1737" s="10" t="n">
        <f aca="false">IF(G1737="Prospecting",Parâmetros!$B$9,IF(J1737&gt;Parâmetros!$B$6,0,INDEX(Parâmetros!$C$24:$C$26,MATCH(J1737,Parâmetros!$A$24:$A$26,1))))</f>
        <v>0</v>
      </c>
      <c r="M1737" s="31" t="n">
        <f aca="false">IF(G1737="Prospecting",1,INDEX(Parâmetros!$C$32:$C$35,MATCH(J1737,Parâmetros!$A$32:$A$35,1)))</f>
        <v>0.25</v>
      </c>
      <c r="N1737" s="2" t="n">
        <f aca="false">ROUND((K1737+L1737)*M1737,0)</f>
        <v>7</v>
      </c>
      <c r="O1737" s="10" t="str">
        <f aca="false">IF(AND(G1737="Engaging",J1737&gt;Parâmetros!$B$6),"Sim","Não")</f>
        <v>Sim</v>
      </c>
      <c r="P1737" s="32" t="str">
        <f aca="false">IF(O1737="Sim","R",IF(N1737&gt;=Parâmetros!$B$39,"A",IF(N1737&gt;=Parâmetros!$B$40,"B",IF(N1737&gt;=Parâmetros!$B$41,"C","D"))))</f>
        <v>R</v>
      </c>
      <c r="Q1737" s="10" t="str">
        <f aca="false">IF(F1737="","Completar cadastro","")</f>
        <v>Completar cadastro</v>
      </c>
      <c r="R1737" s="10" t="str">
        <f aca="false">INDEX(Parâmetros!$D$39:$D$43,MATCH(P1737,Parâmetros!$A$39:$A$43,0))</f>
        <v>Reciclar: requalificar, reengajar ou encerrar</v>
      </c>
    </row>
    <row r="1738" customFormat="false" ht="15" hidden="false" customHeight="false" outlineLevel="0" collapsed="false">
      <c r="A1738" s="10" t="s">
        <v>1985</v>
      </c>
      <c r="B1738" s="10" t="s">
        <v>84</v>
      </c>
      <c r="C1738" s="10" t="s">
        <v>85</v>
      </c>
      <c r="D1738" s="10" t="s">
        <v>165</v>
      </c>
      <c r="E1738" s="10" t="s">
        <v>50</v>
      </c>
      <c r="F1738" s="10"/>
      <c r="G1738" s="10" t="s">
        <v>162</v>
      </c>
      <c r="H1738" s="30" t="n">
        <v>42810</v>
      </c>
      <c r="I1738" s="8" t="n">
        <f aca="false">INDEX(Parâmetros!$C$13:$C$19,MATCH(E1738,Parâmetros!$A$13:$A$19,0))</f>
        <v>1096</v>
      </c>
      <c r="J1738" s="26" t="n">
        <f aca="false">IF(H1738="","",Parâmetros!$B$5-H1738)</f>
        <v>290</v>
      </c>
      <c r="K1738" s="10" t="n">
        <f aca="false">INDEX(Parâmetros!$D$13:$D$19,MATCH(E1738,Parâmetros!$A$13:$A$19,0))</f>
        <v>29</v>
      </c>
      <c r="L1738" s="10" t="n">
        <f aca="false">IF(G1738="Prospecting",Parâmetros!$B$9,IF(J1738&gt;Parâmetros!$B$6,0,INDEX(Parâmetros!$C$24:$C$26,MATCH(J1738,Parâmetros!$A$24:$A$26,1))))</f>
        <v>0</v>
      </c>
      <c r="M1738" s="31" t="n">
        <f aca="false">IF(G1738="Prospecting",1,INDEX(Parâmetros!$C$32:$C$35,MATCH(J1738,Parâmetros!$A$32:$A$35,1)))</f>
        <v>0.25</v>
      </c>
      <c r="N1738" s="2" t="n">
        <f aca="false">ROUND((K1738+L1738)*M1738,0)</f>
        <v>7</v>
      </c>
      <c r="O1738" s="10" t="str">
        <f aca="false">IF(AND(G1738="Engaging",J1738&gt;Parâmetros!$B$6),"Sim","Não")</f>
        <v>Sim</v>
      </c>
      <c r="P1738" s="32" t="str">
        <f aca="false">IF(O1738="Sim","R",IF(N1738&gt;=Parâmetros!$B$39,"A",IF(N1738&gt;=Parâmetros!$B$40,"B",IF(N1738&gt;=Parâmetros!$B$41,"C","D"))))</f>
        <v>R</v>
      </c>
      <c r="Q1738" s="10" t="str">
        <f aca="false">IF(F1738="","Completar cadastro","")</f>
        <v>Completar cadastro</v>
      </c>
      <c r="R1738" s="10" t="str">
        <f aca="false">INDEX(Parâmetros!$D$39:$D$43,MATCH(P1738,Parâmetros!$A$39:$A$43,0))</f>
        <v>Reciclar: requalificar, reengajar ou encerrar</v>
      </c>
    </row>
    <row r="1739" customFormat="false" ht="15" hidden="false" customHeight="false" outlineLevel="0" collapsed="false">
      <c r="A1739" s="10" t="s">
        <v>1986</v>
      </c>
      <c r="B1739" s="10" t="s">
        <v>94</v>
      </c>
      <c r="C1739" s="10" t="s">
        <v>92</v>
      </c>
      <c r="D1739" s="10" t="s">
        <v>160</v>
      </c>
      <c r="E1739" s="10" t="s">
        <v>50</v>
      </c>
      <c r="F1739" s="10" t="s">
        <v>286</v>
      </c>
      <c r="G1739" s="10" t="s">
        <v>162</v>
      </c>
      <c r="H1739" s="30" t="n">
        <v>42810</v>
      </c>
      <c r="I1739" s="8" t="n">
        <f aca="false">INDEX(Parâmetros!$C$13:$C$19,MATCH(E1739,Parâmetros!$A$13:$A$19,0))</f>
        <v>1096</v>
      </c>
      <c r="J1739" s="26" t="n">
        <f aca="false">IF(H1739="","",Parâmetros!$B$5-H1739)</f>
        <v>290</v>
      </c>
      <c r="K1739" s="10" t="n">
        <f aca="false">INDEX(Parâmetros!$D$13:$D$19,MATCH(E1739,Parâmetros!$A$13:$A$19,0))</f>
        <v>29</v>
      </c>
      <c r="L1739" s="10" t="n">
        <f aca="false">IF(G1739="Prospecting",Parâmetros!$B$9,IF(J1739&gt;Parâmetros!$B$6,0,INDEX(Parâmetros!$C$24:$C$26,MATCH(J1739,Parâmetros!$A$24:$A$26,1))))</f>
        <v>0</v>
      </c>
      <c r="M1739" s="31" t="n">
        <f aca="false">IF(G1739="Prospecting",1,INDEX(Parâmetros!$C$32:$C$35,MATCH(J1739,Parâmetros!$A$32:$A$35,1)))</f>
        <v>0.25</v>
      </c>
      <c r="N1739" s="2" t="n">
        <f aca="false">ROUND((K1739+L1739)*M1739,0)</f>
        <v>7</v>
      </c>
      <c r="O1739" s="10" t="str">
        <f aca="false">IF(AND(G1739="Engaging",J1739&gt;Parâmetros!$B$6),"Sim","Não")</f>
        <v>Sim</v>
      </c>
      <c r="P1739" s="32" t="str">
        <f aca="false">IF(O1739="Sim","R",IF(N1739&gt;=Parâmetros!$B$39,"A",IF(N1739&gt;=Parâmetros!$B$40,"B",IF(N1739&gt;=Parâmetros!$B$41,"C","D"))))</f>
        <v>R</v>
      </c>
      <c r="Q1739" s="10" t="str">
        <f aca="false">IF(F1739="","Completar cadastro","")</f>
        <v/>
      </c>
      <c r="R1739" s="10" t="str">
        <f aca="false">INDEX(Parâmetros!$D$39:$D$43,MATCH(P1739,Parâmetros!$A$39:$A$43,0))</f>
        <v>Reciclar: requalificar, reengajar ou encerrar</v>
      </c>
    </row>
    <row r="1740" customFormat="false" ht="15" hidden="false" customHeight="false" outlineLevel="0" collapsed="false">
      <c r="A1740" s="10" t="s">
        <v>1987</v>
      </c>
      <c r="B1740" s="10" t="s">
        <v>57</v>
      </c>
      <c r="C1740" s="10" t="s">
        <v>58</v>
      </c>
      <c r="D1740" s="10" t="s">
        <v>165</v>
      </c>
      <c r="E1740" s="10" t="s">
        <v>50</v>
      </c>
      <c r="F1740" s="10" t="s">
        <v>179</v>
      </c>
      <c r="G1740" s="10" t="s">
        <v>162</v>
      </c>
      <c r="H1740" s="30" t="n">
        <v>42811</v>
      </c>
      <c r="I1740" s="8" t="n">
        <f aca="false">INDEX(Parâmetros!$C$13:$C$19,MATCH(E1740,Parâmetros!$A$13:$A$19,0))</f>
        <v>1096</v>
      </c>
      <c r="J1740" s="26" t="n">
        <f aca="false">IF(H1740="","",Parâmetros!$B$5-H1740)</f>
        <v>289</v>
      </c>
      <c r="K1740" s="10" t="n">
        <f aca="false">INDEX(Parâmetros!$D$13:$D$19,MATCH(E1740,Parâmetros!$A$13:$A$19,0))</f>
        <v>29</v>
      </c>
      <c r="L1740" s="10" t="n">
        <f aca="false">IF(G1740="Prospecting",Parâmetros!$B$9,IF(J1740&gt;Parâmetros!$B$6,0,INDEX(Parâmetros!$C$24:$C$26,MATCH(J1740,Parâmetros!$A$24:$A$26,1))))</f>
        <v>0</v>
      </c>
      <c r="M1740" s="31" t="n">
        <f aca="false">IF(G1740="Prospecting",1,INDEX(Parâmetros!$C$32:$C$35,MATCH(J1740,Parâmetros!$A$32:$A$35,1)))</f>
        <v>0.25</v>
      </c>
      <c r="N1740" s="2" t="n">
        <f aca="false">ROUND((K1740+L1740)*M1740,0)</f>
        <v>7</v>
      </c>
      <c r="O1740" s="10" t="str">
        <f aca="false">IF(AND(G1740="Engaging",J1740&gt;Parâmetros!$B$6),"Sim","Não")</f>
        <v>Sim</v>
      </c>
      <c r="P1740" s="32" t="str">
        <f aca="false">IF(O1740="Sim","R",IF(N1740&gt;=Parâmetros!$B$39,"A",IF(N1740&gt;=Parâmetros!$B$40,"B",IF(N1740&gt;=Parâmetros!$B$41,"C","D"))))</f>
        <v>R</v>
      </c>
      <c r="Q1740" s="10" t="str">
        <f aca="false">IF(F1740="","Completar cadastro","")</f>
        <v/>
      </c>
      <c r="R1740" s="10" t="str">
        <f aca="false">INDEX(Parâmetros!$D$39:$D$43,MATCH(P1740,Parâmetros!$A$39:$A$43,0))</f>
        <v>Reciclar: requalificar, reengajar ou encerrar</v>
      </c>
    </row>
    <row r="1741" customFormat="false" ht="15" hidden="false" customHeight="false" outlineLevel="0" collapsed="false">
      <c r="A1741" s="10" t="s">
        <v>1988</v>
      </c>
      <c r="B1741" s="10" t="s">
        <v>67</v>
      </c>
      <c r="C1741" s="10" t="s">
        <v>65</v>
      </c>
      <c r="D1741" s="10" t="s">
        <v>160</v>
      </c>
      <c r="E1741" s="10" t="s">
        <v>50</v>
      </c>
      <c r="F1741" s="10"/>
      <c r="G1741" s="10" t="s">
        <v>162</v>
      </c>
      <c r="H1741" s="30" t="n">
        <v>42811</v>
      </c>
      <c r="I1741" s="8" t="n">
        <f aca="false">INDEX(Parâmetros!$C$13:$C$19,MATCH(E1741,Parâmetros!$A$13:$A$19,0))</f>
        <v>1096</v>
      </c>
      <c r="J1741" s="26" t="n">
        <f aca="false">IF(H1741="","",Parâmetros!$B$5-H1741)</f>
        <v>289</v>
      </c>
      <c r="K1741" s="10" t="n">
        <f aca="false">INDEX(Parâmetros!$D$13:$D$19,MATCH(E1741,Parâmetros!$A$13:$A$19,0))</f>
        <v>29</v>
      </c>
      <c r="L1741" s="10" t="n">
        <f aca="false">IF(G1741="Prospecting",Parâmetros!$B$9,IF(J1741&gt;Parâmetros!$B$6,0,INDEX(Parâmetros!$C$24:$C$26,MATCH(J1741,Parâmetros!$A$24:$A$26,1))))</f>
        <v>0</v>
      </c>
      <c r="M1741" s="31" t="n">
        <f aca="false">IF(G1741="Prospecting",1,INDEX(Parâmetros!$C$32:$C$35,MATCH(J1741,Parâmetros!$A$32:$A$35,1)))</f>
        <v>0.25</v>
      </c>
      <c r="N1741" s="2" t="n">
        <f aca="false">ROUND((K1741+L1741)*M1741,0)</f>
        <v>7</v>
      </c>
      <c r="O1741" s="10" t="str">
        <f aca="false">IF(AND(G1741="Engaging",J1741&gt;Parâmetros!$B$6),"Sim","Não")</f>
        <v>Sim</v>
      </c>
      <c r="P1741" s="32" t="str">
        <f aca="false">IF(O1741="Sim","R",IF(N1741&gt;=Parâmetros!$B$39,"A",IF(N1741&gt;=Parâmetros!$B$40,"B",IF(N1741&gt;=Parâmetros!$B$41,"C","D"))))</f>
        <v>R</v>
      </c>
      <c r="Q1741" s="10" t="str">
        <f aca="false">IF(F1741="","Completar cadastro","")</f>
        <v>Completar cadastro</v>
      </c>
      <c r="R1741" s="10" t="str">
        <f aca="false">INDEX(Parâmetros!$D$39:$D$43,MATCH(P1741,Parâmetros!$A$39:$A$43,0))</f>
        <v>Reciclar: requalificar, reengajar ou encerrar</v>
      </c>
    </row>
    <row r="1742" customFormat="false" ht="15" hidden="false" customHeight="false" outlineLevel="0" collapsed="false">
      <c r="A1742" s="10" t="s">
        <v>1989</v>
      </c>
      <c r="B1742" s="10" t="s">
        <v>86</v>
      </c>
      <c r="C1742" s="10" t="s">
        <v>85</v>
      </c>
      <c r="D1742" s="10" t="s">
        <v>165</v>
      </c>
      <c r="E1742" s="10" t="s">
        <v>50</v>
      </c>
      <c r="F1742" s="10" t="s">
        <v>384</v>
      </c>
      <c r="G1742" s="10" t="s">
        <v>162</v>
      </c>
      <c r="H1742" s="30" t="n">
        <v>42813</v>
      </c>
      <c r="I1742" s="8" t="n">
        <f aca="false">INDEX(Parâmetros!$C$13:$C$19,MATCH(E1742,Parâmetros!$A$13:$A$19,0))</f>
        <v>1096</v>
      </c>
      <c r="J1742" s="26" t="n">
        <f aca="false">IF(H1742="","",Parâmetros!$B$5-H1742)</f>
        <v>287</v>
      </c>
      <c r="K1742" s="10" t="n">
        <f aca="false">INDEX(Parâmetros!$D$13:$D$19,MATCH(E1742,Parâmetros!$A$13:$A$19,0))</f>
        <v>29</v>
      </c>
      <c r="L1742" s="10" t="n">
        <f aca="false">IF(G1742="Prospecting",Parâmetros!$B$9,IF(J1742&gt;Parâmetros!$B$6,0,INDEX(Parâmetros!$C$24:$C$26,MATCH(J1742,Parâmetros!$A$24:$A$26,1))))</f>
        <v>0</v>
      </c>
      <c r="M1742" s="31" t="n">
        <f aca="false">IF(G1742="Prospecting",1,INDEX(Parâmetros!$C$32:$C$35,MATCH(J1742,Parâmetros!$A$32:$A$35,1)))</f>
        <v>0.25</v>
      </c>
      <c r="N1742" s="2" t="n">
        <f aca="false">ROUND((K1742+L1742)*M1742,0)</f>
        <v>7</v>
      </c>
      <c r="O1742" s="10" t="str">
        <f aca="false">IF(AND(G1742="Engaging",J1742&gt;Parâmetros!$B$6),"Sim","Não")</f>
        <v>Sim</v>
      </c>
      <c r="P1742" s="32" t="str">
        <f aca="false">IF(O1742="Sim","R",IF(N1742&gt;=Parâmetros!$B$39,"A",IF(N1742&gt;=Parâmetros!$B$40,"B",IF(N1742&gt;=Parâmetros!$B$41,"C","D"))))</f>
        <v>R</v>
      </c>
      <c r="Q1742" s="10" t="str">
        <f aca="false">IF(F1742="","Completar cadastro","")</f>
        <v/>
      </c>
      <c r="R1742" s="10" t="str">
        <f aca="false">INDEX(Parâmetros!$D$39:$D$43,MATCH(P1742,Parâmetros!$A$39:$A$43,0))</f>
        <v>Reciclar: requalificar, reengajar ou encerrar</v>
      </c>
    </row>
    <row r="1743" customFormat="false" ht="15" hidden="false" customHeight="false" outlineLevel="0" collapsed="false">
      <c r="A1743" s="10" t="s">
        <v>1990</v>
      </c>
      <c r="B1743" s="10" t="s">
        <v>87</v>
      </c>
      <c r="C1743" s="10" t="s">
        <v>85</v>
      </c>
      <c r="D1743" s="10" t="s">
        <v>165</v>
      </c>
      <c r="E1743" s="10" t="s">
        <v>50</v>
      </c>
      <c r="F1743" s="10"/>
      <c r="G1743" s="10" t="s">
        <v>162</v>
      </c>
      <c r="H1743" s="30" t="n">
        <v>42813</v>
      </c>
      <c r="I1743" s="8" t="n">
        <f aca="false">INDEX(Parâmetros!$C$13:$C$19,MATCH(E1743,Parâmetros!$A$13:$A$19,0))</f>
        <v>1096</v>
      </c>
      <c r="J1743" s="26" t="n">
        <f aca="false">IF(H1743="","",Parâmetros!$B$5-H1743)</f>
        <v>287</v>
      </c>
      <c r="K1743" s="10" t="n">
        <f aca="false">INDEX(Parâmetros!$D$13:$D$19,MATCH(E1743,Parâmetros!$A$13:$A$19,0))</f>
        <v>29</v>
      </c>
      <c r="L1743" s="10" t="n">
        <f aca="false">IF(G1743="Prospecting",Parâmetros!$B$9,IF(J1743&gt;Parâmetros!$B$6,0,INDEX(Parâmetros!$C$24:$C$26,MATCH(J1743,Parâmetros!$A$24:$A$26,1))))</f>
        <v>0</v>
      </c>
      <c r="M1743" s="31" t="n">
        <f aca="false">IF(G1743="Prospecting",1,INDEX(Parâmetros!$C$32:$C$35,MATCH(J1743,Parâmetros!$A$32:$A$35,1)))</f>
        <v>0.25</v>
      </c>
      <c r="N1743" s="2" t="n">
        <f aca="false">ROUND((K1743+L1743)*M1743,0)</f>
        <v>7</v>
      </c>
      <c r="O1743" s="10" t="str">
        <f aca="false">IF(AND(G1743="Engaging",J1743&gt;Parâmetros!$B$6),"Sim","Não")</f>
        <v>Sim</v>
      </c>
      <c r="P1743" s="32" t="str">
        <f aca="false">IF(O1743="Sim","R",IF(N1743&gt;=Parâmetros!$B$39,"A",IF(N1743&gt;=Parâmetros!$B$40,"B",IF(N1743&gt;=Parâmetros!$B$41,"C","D"))))</f>
        <v>R</v>
      </c>
      <c r="Q1743" s="10" t="str">
        <f aca="false">IF(F1743="","Completar cadastro","")</f>
        <v>Completar cadastro</v>
      </c>
      <c r="R1743" s="10" t="str">
        <f aca="false">INDEX(Parâmetros!$D$39:$D$43,MATCH(P1743,Parâmetros!$A$39:$A$43,0))</f>
        <v>Reciclar: requalificar, reengajar ou encerrar</v>
      </c>
    </row>
    <row r="1744" customFormat="false" ht="15" hidden="false" customHeight="false" outlineLevel="0" collapsed="false">
      <c r="A1744" s="10" t="s">
        <v>1991</v>
      </c>
      <c r="B1744" s="10" t="s">
        <v>96</v>
      </c>
      <c r="C1744" s="10" t="s">
        <v>92</v>
      </c>
      <c r="D1744" s="10" t="s">
        <v>160</v>
      </c>
      <c r="E1744" s="10" t="s">
        <v>50</v>
      </c>
      <c r="F1744" s="10"/>
      <c r="G1744" s="10" t="s">
        <v>162</v>
      </c>
      <c r="H1744" s="30" t="n">
        <v>42814</v>
      </c>
      <c r="I1744" s="8" t="n">
        <f aca="false">INDEX(Parâmetros!$C$13:$C$19,MATCH(E1744,Parâmetros!$A$13:$A$19,0))</f>
        <v>1096</v>
      </c>
      <c r="J1744" s="26" t="n">
        <f aca="false">IF(H1744="","",Parâmetros!$B$5-H1744)</f>
        <v>286</v>
      </c>
      <c r="K1744" s="10" t="n">
        <f aca="false">INDEX(Parâmetros!$D$13:$D$19,MATCH(E1744,Parâmetros!$A$13:$A$19,0))</f>
        <v>29</v>
      </c>
      <c r="L1744" s="10" t="n">
        <f aca="false">IF(G1744="Prospecting",Parâmetros!$B$9,IF(J1744&gt;Parâmetros!$B$6,0,INDEX(Parâmetros!$C$24:$C$26,MATCH(J1744,Parâmetros!$A$24:$A$26,1))))</f>
        <v>0</v>
      </c>
      <c r="M1744" s="31" t="n">
        <f aca="false">IF(G1744="Prospecting",1,INDEX(Parâmetros!$C$32:$C$35,MATCH(J1744,Parâmetros!$A$32:$A$35,1)))</f>
        <v>0.25</v>
      </c>
      <c r="N1744" s="2" t="n">
        <f aca="false">ROUND((K1744+L1744)*M1744,0)</f>
        <v>7</v>
      </c>
      <c r="O1744" s="10" t="str">
        <f aca="false">IF(AND(G1744="Engaging",J1744&gt;Parâmetros!$B$6),"Sim","Não")</f>
        <v>Sim</v>
      </c>
      <c r="P1744" s="32" t="str">
        <f aca="false">IF(O1744="Sim","R",IF(N1744&gt;=Parâmetros!$B$39,"A",IF(N1744&gt;=Parâmetros!$B$40,"B",IF(N1744&gt;=Parâmetros!$B$41,"C","D"))))</f>
        <v>R</v>
      </c>
      <c r="Q1744" s="10" t="str">
        <f aca="false">IF(F1744="","Completar cadastro","")</f>
        <v>Completar cadastro</v>
      </c>
      <c r="R1744" s="10" t="str">
        <f aca="false">INDEX(Parâmetros!$D$39:$D$43,MATCH(P1744,Parâmetros!$A$39:$A$43,0))</f>
        <v>Reciclar: requalificar, reengajar ou encerrar</v>
      </c>
    </row>
    <row r="1745" customFormat="false" ht="15" hidden="false" customHeight="false" outlineLevel="0" collapsed="false">
      <c r="A1745" s="10" t="s">
        <v>1992</v>
      </c>
      <c r="B1745" s="10" t="s">
        <v>84</v>
      </c>
      <c r="C1745" s="10" t="s">
        <v>85</v>
      </c>
      <c r="D1745" s="10" t="s">
        <v>165</v>
      </c>
      <c r="E1745" s="10" t="s">
        <v>50</v>
      </c>
      <c r="F1745" s="10" t="s">
        <v>267</v>
      </c>
      <c r="G1745" s="10" t="s">
        <v>162</v>
      </c>
      <c r="H1745" s="30" t="n">
        <v>42815</v>
      </c>
      <c r="I1745" s="8" t="n">
        <f aca="false">INDEX(Parâmetros!$C$13:$C$19,MATCH(E1745,Parâmetros!$A$13:$A$19,0))</f>
        <v>1096</v>
      </c>
      <c r="J1745" s="26" t="n">
        <f aca="false">IF(H1745="","",Parâmetros!$B$5-H1745)</f>
        <v>285</v>
      </c>
      <c r="K1745" s="10" t="n">
        <f aca="false">INDEX(Parâmetros!$D$13:$D$19,MATCH(E1745,Parâmetros!$A$13:$A$19,0))</f>
        <v>29</v>
      </c>
      <c r="L1745" s="10" t="n">
        <f aca="false">IF(G1745="Prospecting",Parâmetros!$B$9,IF(J1745&gt;Parâmetros!$B$6,0,INDEX(Parâmetros!$C$24:$C$26,MATCH(J1745,Parâmetros!$A$24:$A$26,1))))</f>
        <v>0</v>
      </c>
      <c r="M1745" s="31" t="n">
        <f aca="false">IF(G1745="Prospecting",1,INDEX(Parâmetros!$C$32:$C$35,MATCH(J1745,Parâmetros!$A$32:$A$35,1)))</f>
        <v>0.25</v>
      </c>
      <c r="N1745" s="2" t="n">
        <f aca="false">ROUND((K1745+L1745)*M1745,0)</f>
        <v>7</v>
      </c>
      <c r="O1745" s="10" t="str">
        <f aca="false">IF(AND(G1745="Engaging",J1745&gt;Parâmetros!$B$6),"Sim","Não")</f>
        <v>Sim</v>
      </c>
      <c r="P1745" s="32" t="str">
        <f aca="false">IF(O1745="Sim","R",IF(N1745&gt;=Parâmetros!$B$39,"A",IF(N1745&gt;=Parâmetros!$B$40,"B",IF(N1745&gt;=Parâmetros!$B$41,"C","D"))))</f>
        <v>R</v>
      </c>
      <c r="Q1745" s="10" t="str">
        <f aca="false">IF(F1745="","Completar cadastro","")</f>
        <v/>
      </c>
      <c r="R1745" s="10" t="str">
        <f aca="false">INDEX(Parâmetros!$D$39:$D$43,MATCH(P1745,Parâmetros!$A$39:$A$43,0))</f>
        <v>Reciclar: requalificar, reengajar ou encerrar</v>
      </c>
    </row>
    <row r="1746" customFormat="false" ht="15" hidden="false" customHeight="false" outlineLevel="0" collapsed="false">
      <c r="A1746" s="10" t="s">
        <v>1993</v>
      </c>
      <c r="B1746" s="10" t="s">
        <v>95</v>
      </c>
      <c r="C1746" s="10" t="s">
        <v>92</v>
      </c>
      <c r="D1746" s="10" t="s">
        <v>160</v>
      </c>
      <c r="E1746" s="10" t="s">
        <v>50</v>
      </c>
      <c r="F1746" s="10"/>
      <c r="G1746" s="10" t="s">
        <v>162</v>
      </c>
      <c r="H1746" s="30" t="n">
        <v>42819</v>
      </c>
      <c r="I1746" s="8" t="n">
        <f aca="false">INDEX(Parâmetros!$C$13:$C$19,MATCH(E1746,Parâmetros!$A$13:$A$19,0))</f>
        <v>1096</v>
      </c>
      <c r="J1746" s="26" t="n">
        <f aca="false">IF(H1746="","",Parâmetros!$B$5-H1746)</f>
        <v>281</v>
      </c>
      <c r="K1746" s="10" t="n">
        <f aca="false">INDEX(Parâmetros!$D$13:$D$19,MATCH(E1746,Parâmetros!$A$13:$A$19,0))</f>
        <v>29</v>
      </c>
      <c r="L1746" s="10" t="n">
        <f aca="false">IF(G1746="Prospecting",Parâmetros!$B$9,IF(J1746&gt;Parâmetros!$B$6,0,INDEX(Parâmetros!$C$24:$C$26,MATCH(J1746,Parâmetros!$A$24:$A$26,1))))</f>
        <v>0</v>
      </c>
      <c r="M1746" s="31" t="n">
        <f aca="false">IF(G1746="Prospecting",1,INDEX(Parâmetros!$C$32:$C$35,MATCH(J1746,Parâmetros!$A$32:$A$35,1)))</f>
        <v>0.25</v>
      </c>
      <c r="N1746" s="2" t="n">
        <f aca="false">ROUND((K1746+L1746)*M1746,0)</f>
        <v>7</v>
      </c>
      <c r="O1746" s="10" t="str">
        <f aca="false">IF(AND(G1746="Engaging",J1746&gt;Parâmetros!$B$6),"Sim","Não")</f>
        <v>Sim</v>
      </c>
      <c r="P1746" s="32" t="str">
        <f aca="false">IF(O1746="Sim","R",IF(N1746&gt;=Parâmetros!$B$39,"A",IF(N1746&gt;=Parâmetros!$B$40,"B",IF(N1746&gt;=Parâmetros!$B$41,"C","D"))))</f>
        <v>R</v>
      </c>
      <c r="Q1746" s="10" t="str">
        <f aca="false">IF(F1746="","Completar cadastro","")</f>
        <v>Completar cadastro</v>
      </c>
      <c r="R1746" s="10" t="str">
        <f aca="false">INDEX(Parâmetros!$D$39:$D$43,MATCH(P1746,Parâmetros!$A$39:$A$43,0))</f>
        <v>Reciclar: requalificar, reengajar ou encerrar</v>
      </c>
    </row>
    <row r="1747" customFormat="false" ht="15" hidden="false" customHeight="false" outlineLevel="0" collapsed="false">
      <c r="A1747" s="10" t="s">
        <v>1994</v>
      </c>
      <c r="B1747" s="10" t="s">
        <v>70</v>
      </c>
      <c r="C1747" s="10" t="s">
        <v>65</v>
      </c>
      <c r="D1747" s="10" t="s">
        <v>160</v>
      </c>
      <c r="E1747" s="10" t="s">
        <v>50</v>
      </c>
      <c r="F1747" s="10" t="s">
        <v>254</v>
      </c>
      <c r="G1747" s="10" t="s">
        <v>162</v>
      </c>
      <c r="H1747" s="30" t="n">
        <v>42821</v>
      </c>
      <c r="I1747" s="8" t="n">
        <f aca="false">INDEX(Parâmetros!$C$13:$C$19,MATCH(E1747,Parâmetros!$A$13:$A$19,0))</f>
        <v>1096</v>
      </c>
      <c r="J1747" s="26" t="n">
        <f aca="false">IF(H1747="","",Parâmetros!$B$5-H1747)</f>
        <v>279</v>
      </c>
      <c r="K1747" s="10" t="n">
        <f aca="false">INDEX(Parâmetros!$D$13:$D$19,MATCH(E1747,Parâmetros!$A$13:$A$19,0))</f>
        <v>29</v>
      </c>
      <c r="L1747" s="10" t="n">
        <f aca="false">IF(G1747="Prospecting",Parâmetros!$B$9,IF(J1747&gt;Parâmetros!$B$6,0,INDEX(Parâmetros!$C$24:$C$26,MATCH(J1747,Parâmetros!$A$24:$A$26,1))))</f>
        <v>0</v>
      </c>
      <c r="M1747" s="31" t="n">
        <f aca="false">IF(G1747="Prospecting",1,INDEX(Parâmetros!$C$32:$C$35,MATCH(J1747,Parâmetros!$A$32:$A$35,1)))</f>
        <v>0.25</v>
      </c>
      <c r="N1747" s="2" t="n">
        <f aca="false">ROUND((K1747+L1747)*M1747,0)</f>
        <v>7</v>
      </c>
      <c r="O1747" s="10" t="str">
        <f aca="false">IF(AND(G1747="Engaging",J1747&gt;Parâmetros!$B$6),"Sim","Não")</f>
        <v>Sim</v>
      </c>
      <c r="P1747" s="32" t="str">
        <f aca="false">IF(O1747="Sim","R",IF(N1747&gt;=Parâmetros!$B$39,"A",IF(N1747&gt;=Parâmetros!$B$40,"B",IF(N1747&gt;=Parâmetros!$B$41,"C","D"))))</f>
        <v>R</v>
      </c>
      <c r="Q1747" s="10" t="str">
        <f aca="false">IF(F1747="","Completar cadastro","")</f>
        <v/>
      </c>
      <c r="R1747" s="10" t="str">
        <f aca="false">INDEX(Parâmetros!$D$39:$D$43,MATCH(P1747,Parâmetros!$A$39:$A$43,0))</f>
        <v>Reciclar: requalificar, reengajar ou encerrar</v>
      </c>
    </row>
    <row r="1748" customFormat="false" ht="15" hidden="false" customHeight="false" outlineLevel="0" collapsed="false">
      <c r="A1748" s="10" t="s">
        <v>1995</v>
      </c>
      <c r="B1748" s="10" t="s">
        <v>86</v>
      </c>
      <c r="C1748" s="10" t="s">
        <v>85</v>
      </c>
      <c r="D1748" s="10" t="s">
        <v>165</v>
      </c>
      <c r="E1748" s="10" t="s">
        <v>50</v>
      </c>
      <c r="F1748" s="10"/>
      <c r="G1748" s="10" t="s">
        <v>162</v>
      </c>
      <c r="H1748" s="30" t="n">
        <v>42828</v>
      </c>
      <c r="I1748" s="8" t="n">
        <f aca="false">INDEX(Parâmetros!$C$13:$C$19,MATCH(E1748,Parâmetros!$A$13:$A$19,0))</f>
        <v>1096</v>
      </c>
      <c r="J1748" s="26" t="n">
        <f aca="false">IF(H1748="","",Parâmetros!$B$5-H1748)</f>
        <v>272</v>
      </c>
      <c r="K1748" s="10" t="n">
        <f aca="false">INDEX(Parâmetros!$D$13:$D$19,MATCH(E1748,Parâmetros!$A$13:$A$19,0))</f>
        <v>29</v>
      </c>
      <c r="L1748" s="10" t="n">
        <f aca="false">IF(G1748="Prospecting",Parâmetros!$B$9,IF(J1748&gt;Parâmetros!$B$6,0,INDEX(Parâmetros!$C$24:$C$26,MATCH(J1748,Parâmetros!$A$24:$A$26,1))))</f>
        <v>0</v>
      </c>
      <c r="M1748" s="31" t="n">
        <f aca="false">IF(G1748="Prospecting",1,INDEX(Parâmetros!$C$32:$C$35,MATCH(J1748,Parâmetros!$A$32:$A$35,1)))</f>
        <v>0.25</v>
      </c>
      <c r="N1748" s="2" t="n">
        <f aca="false">ROUND((K1748+L1748)*M1748,0)</f>
        <v>7</v>
      </c>
      <c r="O1748" s="10" t="str">
        <f aca="false">IF(AND(G1748="Engaging",J1748&gt;Parâmetros!$B$6),"Sim","Não")</f>
        <v>Sim</v>
      </c>
      <c r="P1748" s="32" t="str">
        <f aca="false">IF(O1748="Sim","R",IF(N1748&gt;=Parâmetros!$B$39,"A",IF(N1748&gt;=Parâmetros!$B$40,"B",IF(N1748&gt;=Parâmetros!$B$41,"C","D"))))</f>
        <v>R</v>
      </c>
      <c r="Q1748" s="10" t="str">
        <f aca="false">IF(F1748="","Completar cadastro","")</f>
        <v>Completar cadastro</v>
      </c>
      <c r="R1748" s="10" t="str">
        <f aca="false">INDEX(Parâmetros!$D$39:$D$43,MATCH(P1748,Parâmetros!$A$39:$A$43,0))</f>
        <v>Reciclar: requalificar, reengajar ou encerrar</v>
      </c>
    </row>
    <row r="1749" customFormat="false" ht="15" hidden="false" customHeight="false" outlineLevel="0" collapsed="false">
      <c r="A1749" s="10" t="s">
        <v>1996</v>
      </c>
      <c r="B1749" s="10" t="s">
        <v>67</v>
      </c>
      <c r="C1749" s="10" t="s">
        <v>65</v>
      </c>
      <c r="D1749" s="10" t="s">
        <v>160</v>
      </c>
      <c r="E1749" s="10" t="s">
        <v>50</v>
      </c>
      <c r="F1749" s="10"/>
      <c r="G1749" s="10" t="s">
        <v>162</v>
      </c>
      <c r="H1749" s="30" t="n">
        <v>42828</v>
      </c>
      <c r="I1749" s="8" t="n">
        <f aca="false">INDEX(Parâmetros!$C$13:$C$19,MATCH(E1749,Parâmetros!$A$13:$A$19,0))</f>
        <v>1096</v>
      </c>
      <c r="J1749" s="26" t="n">
        <f aca="false">IF(H1749="","",Parâmetros!$B$5-H1749)</f>
        <v>272</v>
      </c>
      <c r="K1749" s="10" t="n">
        <f aca="false">INDEX(Parâmetros!$D$13:$D$19,MATCH(E1749,Parâmetros!$A$13:$A$19,0))</f>
        <v>29</v>
      </c>
      <c r="L1749" s="10" t="n">
        <f aca="false">IF(G1749="Prospecting",Parâmetros!$B$9,IF(J1749&gt;Parâmetros!$B$6,0,INDEX(Parâmetros!$C$24:$C$26,MATCH(J1749,Parâmetros!$A$24:$A$26,1))))</f>
        <v>0</v>
      </c>
      <c r="M1749" s="31" t="n">
        <f aca="false">IF(G1749="Prospecting",1,INDEX(Parâmetros!$C$32:$C$35,MATCH(J1749,Parâmetros!$A$32:$A$35,1)))</f>
        <v>0.25</v>
      </c>
      <c r="N1749" s="2" t="n">
        <f aca="false">ROUND((K1749+L1749)*M1749,0)</f>
        <v>7</v>
      </c>
      <c r="O1749" s="10" t="str">
        <f aca="false">IF(AND(G1749="Engaging",J1749&gt;Parâmetros!$B$6),"Sim","Não")</f>
        <v>Sim</v>
      </c>
      <c r="P1749" s="32" t="str">
        <f aca="false">IF(O1749="Sim","R",IF(N1749&gt;=Parâmetros!$B$39,"A",IF(N1749&gt;=Parâmetros!$B$40,"B",IF(N1749&gt;=Parâmetros!$B$41,"C","D"))))</f>
        <v>R</v>
      </c>
      <c r="Q1749" s="10" t="str">
        <f aca="false">IF(F1749="","Completar cadastro","")</f>
        <v>Completar cadastro</v>
      </c>
      <c r="R1749" s="10" t="str">
        <f aca="false">INDEX(Parâmetros!$D$39:$D$43,MATCH(P1749,Parâmetros!$A$39:$A$43,0))</f>
        <v>Reciclar: requalificar, reengajar ou encerrar</v>
      </c>
    </row>
    <row r="1750" customFormat="false" ht="15" hidden="false" customHeight="false" outlineLevel="0" collapsed="false">
      <c r="A1750" s="10" t="s">
        <v>1997</v>
      </c>
      <c r="B1750" s="10" t="s">
        <v>68</v>
      </c>
      <c r="C1750" s="10" t="s">
        <v>65</v>
      </c>
      <c r="D1750" s="10" t="s">
        <v>160</v>
      </c>
      <c r="E1750" s="10" t="s">
        <v>50</v>
      </c>
      <c r="F1750" s="10"/>
      <c r="G1750" s="10" t="s">
        <v>162</v>
      </c>
      <c r="H1750" s="30" t="n">
        <v>42829</v>
      </c>
      <c r="I1750" s="8" t="n">
        <f aca="false">INDEX(Parâmetros!$C$13:$C$19,MATCH(E1750,Parâmetros!$A$13:$A$19,0))</f>
        <v>1096</v>
      </c>
      <c r="J1750" s="26" t="n">
        <f aca="false">IF(H1750="","",Parâmetros!$B$5-H1750)</f>
        <v>271</v>
      </c>
      <c r="K1750" s="10" t="n">
        <f aca="false">INDEX(Parâmetros!$D$13:$D$19,MATCH(E1750,Parâmetros!$A$13:$A$19,0))</f>
        <v>29</v>
      </c>
      <c r="L1750" s="10" t="n">
        <f aca="false">IF(G1750="Prospecting",Parâmetros!$B$9,IF(J1750&gt;Parâmetros!$B$6,0,INDEX(Parâmetros!$C$24:$C$26,MATCH(J1750,Parâmetros!$A$24:$A$26,1))))</f>
        <v>0</v>
      </c>
      <c r="M1750" s="31" t="n">
        <f aca="false">IF(G1750="Prospecting",1,INDEX(Parâmetros!$C$32:$C$35,MATCH(J1750,Parâmetros!$A$32:$A$35,1)))</f>
        <v>0.25</v>
      </c>
      <c r="N1750" s="2" t="n">
        <f aca="false">ROUND((K1750+L1750)*M1750,0)</f>
        <v>7</v>
      </c>
      <c r="O1750" s="10" t="str">
        <f aca="false">IF(AND(G1750="Engaging",J1750&gt;Parâmetros!$B$6),"Sim","Não")</f>
        <v>Sim</v>
      </c>
      <c r="P1750" s="32" t="str">
        <f aca="false">IF(O1750="Sim","R",IF(N1750&gt;=Parâmetros!$B$39,"A",IF(N1750&gt;=Parâmetros!$B$40,"B",IF(N1750&gt;=Parâmetros!$B$41,"C","D"))))</f>
        <v>R</v>
      </c>
      <c r="Q1750" s="10" t="str">
        <f aca="false">IF(F1750="","Completar cadastro","")</f>
        <v>Completar cadastro</v>
      </c>
      <c r="R1750" s="10" t="str">
        <f aca="false">INDEX(Parâmetros!$D$39:$D$43,MATCH(P1750,Parâmetros!$A$39:$A$43,0))</f>
        <v>Reciclar: requalificar, reengajar ou encerrar</v>
      </c>
    </row>
    <row r="1751" customFormat="false" ht="15" hidden="false" customHeight="false" outlineLevel="0" collapsed="false">
      <c r="A1751" s="10" t="s">
        <v>1998</v>
      </c>
      <c r="B1751" s="10" t="s">
        <v>94</v>
      </c>
      <c r="C1751" s="10" t="s">
        <v>92</v>
      </c>
      <c r="D1751" s="10" t="s">
        <v>160</v>
      </c>
      <c r="E1751" s="10" t="s">
        <v>51</v>
      </c>
      <c r="F1751" s="10"/>
      <c r="G1751" s="10" t="s">
        <v>162</v>
      </c>
      <c r="H1751" s="30" t="n">
        <v>42688</v>
      </c>
      <c r="I1751" s="8" t="n">
        <f aca="false">INDEX(Parâmetros!$C$13:$C$19,MATCH(E1751,Parâmetros!$A$13:$A$19,0))</f>
        <v>550</v>
      </c>
      <c r="J1751" s="26" t="n">
        <f aca="false">IF(H1751="","",Parâmetros!$B$5-H1751)</f>
        <v>412</v>
      </c>
      <c r="K1751" s="10" t="n">
        <f aca="false">INDEX(Parâmetros!$D$13:$D$19,MATCH(E1751,Parâmetros!$A$13:$A$19,0))</f>
        <v>22</v>
      </c>
      <c r="L1751" s="10" t="n">
        <f aca="false">IF(G1751="Prospecting",Parâmetros!$B$9,IF(J1751&gt;Parâmetros!$B$6,0,INDEX(Parâmetros!$C$24:$C$26,MATCH(J1751,Parâmetros!$A$24:$A$26,1))))</f>
        <v>0</v>
      </c>
      <c r="M1751" s="31" t="n">
        <f aca="false">IF(G1751="Prospecting",1,INDEX(Parâmetros!$C$32:$C$35,MATCH(J1751,Parâmetros!$A$32:$A$35,1)))</f>
        <v>0.25</v>
      </c>
      <c r="N1751" s="2" t="n">
        <f aca="false">ROUND((K1751+L1751)*M1751,0)</f>
        <v>6</v>
      </c>
      <c r="O1751" s="10" t="str">
        <f aca="false">IF(AND(G1751="Engaging",J1751&gt;Parâmetros!$B$6),"Sim","Não")</f>
        <v>Sim</v>
      </c>
      <c r="P1751" s="32" t="str">
        <f aca="false">IF(O1751="Sim","R",IF(N1751&gt;=Parâmetros!$B$39,"A",IF(N1751&gt;=Parâmetros!$B$40,"B",IF(N1751&gt;=Parâmetros!$B$41,"C","D"))))</f>
        <v>R</v>
      </c>
      <c r="Q1751" s="10" t="str">
        <f aca="false">IF(F1751="","Completar cadastro","")</f>
        <v>Completar cadastro</v>
      </c>
      <c r="R1751" s="10" t="str">
        <f aca="false">INDEX(Parâmetros!$D$39:$D$43,MATCH(P1751,Parâmetros!$A$39:$A$43,0))</f>
        <v>Reciclar: requalificar, reengajar ou encerrar</v>
      </c>
    </row>
    <row r="1752" customFormat="false" ht="15" hidden="false" customHeight="false" outlineLevel="0" collapsed="false">
      <c r="A1752" s="10" t="s">
        <v>1999</v>
      </c>
      <c r="B1752" s="10" t="s">
        <v>96</v>
      </c>
      <c r="C1752" s="10" t="s">
        <v>92</v>
      </c>
      <c r="D1752" s="10" t="s">
        <v>160</v>
      </c>
      <c r="E1752" s="10" t="s">
        <v>51</v>
      </c>
      <c r="F1752" s="10" t="s">
        <v>199</v>
      </c>
      <c r="G1752" s="10" t="s">
        <v>162</v>
      </c>
      <c r="H1752" s="30" t="n">
        <v>42694</v>
      </c>
      <c r="I1752" s="8" t="n">
        <f aca="false">INDEX(Parâmetros!$C$13:$C$19,MATCH(E1752,Parâmetros!$A$13:$A$19,0))</f>
        <v>550</v>
      </c>
      <c r="J1752" s="26" t="n">
        <f aca="false">IF(H1752="","",Parâmetros!$B$5-H1752)</f>
        <v>406</v>
      </c>
      <c r="K1752" s="10" t="n">
        <f aca="false">INDEX(Parâmetros!$D$13:$D$19,MATCH(E1752,Parâmetros!$A$13:$A$19,0))</f>
        <v>22</v>
      </c>
      <c r="L1752" s="10" t="n">
        <f aca="false">IF(G1752="Prospecting",Parâmetros!$B$9,IF(J1752&gt;Parâmetros!$B$6,0,INDEX(Parâmetros!$C$24:$C$26,MATCH(J1752,Parâmetros!$A$24:$A$26,1))))</f>
        <v>0</v>
      </c>
      <c r="M1752" s="31" t="n">
        <f aca="false">IF(G1752="Prospecting",1,INDEX(Parâmetros!$C$32:$C$35,MATCH(J1752,Parâmetros!$A$32:$A$35,1)))</f>
        <v>0.25</v>
      </c>
      <c r="N1752" s="2" t="n">
        <f aca="false">ROUND((K1752+L1752)*M1752,0)</f>
        <v>6</v>
      </c>
      <c r="O1752" s="10" t="str">
        <f aca="false">IF(AND(G1752="Engaging",J1752&gt;Parâmetros!$B$6),"Sim","Não")</f>
        <v>Sim</v>
      </c>
      <c r="P1752" s="32" t="str">
        <f aca="false">IF(O1752="Sim","R",IF(N1752&gt;=Parâmetros!$B$39,"A",IF(N1752&gt;=Parâmetros!$B$40,"B",IF(N1752&gt;=Parâmetros!$B$41,"C","D"))))</f>
        <v>R</v>
      </c>
      <c r="Q1752" s="10" t="str">
        <f aca="false">IF(F1752="","Completar cadastro","")</f>
        <v/>
      </c>
      <c r="R1752" s="10" t="str">
        <f aca="false">INDEX(Parâmetros!$D$39:$D$43,MATCH(P1752,Parâmetros!$A$39:$A$43,0))</f>
        <v>Reciclar: requalificar, reengajar ou encerrar</v>
      </c>
    </row>
    <row r="1753" customFormat="false" ht="15" hidden="false" customHeight="false" outlineLevel="0" collapsed="false">
      <c r="A1753" s="10" t="s">
        <v>2000</v>
      </c>
      <c r="B1753" s="10" t="s">
        <v>57</v>
      </c>
      <c r="C1753" s="10" t="s">
        <v>58</v>
      </c>
      <c r="D1753" s="10" t="s">
        <v>165</v>
      </c>
      <c r="E1753" s="10" t="s">
        <v>51</v>
      </c>
      <c r="F1753" s="10" t="s">
        <v>348</v>
      </c>
      <c r="G1753" s="10" t="s">
        <v>162</v>
      </c>
      <c r="H1753" s="30" t="n">
        <v>42697</v>
      </c>
      <c r="I1753" s="8" t="n">
        <f aca="false">INDEX(Parâmetros!$C$13:$C$19,MATCH(E1753,Parâmetros!$A$13:$A$19,0))</f>
        <v>550</v>
      </c>
      <c r="J1753" s="26" t="n">
        <f aca="false">IF(H1753="","",Parâmetros!$B$5-H1753)</f>
        <v>403</v>
      </c>
      <c r="K1753" s="10" t="n">
        <f aca="false">INDEX(Parâmetros!$D$13:$D$19,MATCH(E1753,Parâmetros!$A$13:$A$19,0))</f>
        <v>22</v>
      </c>
      <c r="L1753" s="10" t="n">
        <f aca="false">IF(G1753="Prospecting",Parâmetros!$B$9,IF(J1753&gt;Parâmetros!$B$6,0,INDEX(Parâmetros!$C$24:$C$26,MATCH(J1753,Parâmetros!$A$24:$A$26,1))))</f>
        <v>0</v>
      </c>
      <c r="M1753" s="31" t="n">
        <f aca="false">IF(G1753="Prospecting",1,INDEX(Parâmetros!$C$32:$C$35,MATCH(J1753,Parâmetros!$A$32:$A$35,1)))</f>
        <v>0.25</v>
      </c>
      <c r="N1753" s="2" t="n">
        <f aca="false">ROUND((K1753+L1753)*M1753,0)</f>
        <v>6</v>
      </c>
      <c r="O1753" s="10" t="str">
        <f aca="false">IF(AND(G1753="Engaging",J1753&gt;Parâmetros!$B$6),"Sim","Não")</f>
        <v>Sim</v>
      </c>
      <c r="P1753" s="32" t="str">
        <f aca="false">IF(O1753="Sim","R",IF(N1753&gt;=Parâmetros!$B$39,"A",IF(N1753&gt;=Parâmetros!$B$40,"B",IF(N1753&gt;=Parâmetros!$B$41,"C","D"))))</f>
        <v>R</v>
      </c>
      <c r="Q1753" s="10" t="str">
        <f aca="false">IF(F1753="","Completar cadastro","")</f>
        <v/>
      </c>
      <c r="R1753" s="10" t="str">
        <f aca="false">INDEX(Parâmetros!$D$39:$D$43,MATCH(P1753,Parâmetros!$A$39:$A$43,0))</f>
        <v>Reciclar: requalificar, reengajar ou encerrar</v>
      </c>
    </row>
    <row r="1754" customFormat="false" ht="15" hidden="false" customHeight="false" outlineLevel="0" collapsed="false">
      <c r="A1754" s="10" t="s">
        <v>2001</v>
      </c>
      <c r="B1754" s="10" t="s">
        <v>97</v>
      </c>
      <c r="C1754" s="10" t="s">
        <v>92</v>
      </c>
      <c r="D1754" s="10" t="s">
        <v>160</v>
      </c>
      <c r="E1754" s="10" t="s">
        <v>51</v>
      </c>
      <c r="F1754" s="10"/>
      <c r="G1754" s="10" t="s">
        <v>162</v>
      </c>
      <c r="H1754" s="30" t="n">
        <v>42706</v>
      </c>
      <c r="I1754" s="8" t="n">
        <f aca="false">INDEX(Parâmetros!$C$13:$C$19,MATCH(E1754,Parâmetros!$A$13:$A$19,0))</f>
        <v>550</v>
      </c>
      <c r="J1754" s="26" t="n">
        <f aca="false">IF(H1754="","",Parâmetros!$B$5-H1754)</f>
        <v>394</v>
      </c>
      <c r="K1754" s="10" t="n">
        <f aca="false">INDEX(Parâmetros!$D$13:$D$19,MATCH(E1754,Parâmetros!$A$13:$A$19,0))</f>
        <v>22</v>
      </c>
      <c r="L1754" s="10" t="n">
        <f aca="false">IF(G1754="Prospecting",Parâmetros!$B$9,IF(J1754&gt;Parâmetros!$B$6,0,INDEX(Parâmetros!$C$24:$C$26,MATCH(J1754,Parâmetros!$A$24:$A$26,1))))</f>
        <v>0</v>
      </c>
      <c r="M1754" s="31" t="n">
        <f aca="false">IF(G1754="Prospecting",1,INDEX(Parâmetros!$C$32:$C$35,MATCH(J1754,Parâmetros!$A$32:$A$35,1)))</f>
        <v>0.25</v>
      </c>
      <c r="N1754" s="2" t="n">
        <f aca="false">ROUND((K1754+L1754)*M1754,0)</f>
        <v>6</v>
      </c>
      <c r="O1754" s="10" t="str">
        <f aca="false">IF(AND(G1754="Engaging",J1754&gt;Parâmetros!$B$6),"Sim","Não")</f>
        <v>Sim</v>
      </c>
      <c r="P1754" s="32" t="str">
        <f aca="false">IF(O1754="Sim","R",IF(N1754&gt;=Parâmetros!$B$39,"A",IF(N1754&gt;=Parâmetros!$B$40,"B",IF(N1754&gt;=Parâmetros!$B$41,"C","D"))))</f>
        <v>R</v>
      </c>
      <c r="Q1754" s="10" t="str">
        <f aca="false">IF(F1754="","Completar cadastro","")</f>
        <v>Completar cadastro</v>
      </c>
      <c r="R1754" s="10" t="str">
        <f aca="false">INDEX(Parâmetros!$D$39:$D$43,MATCH(P1754,Parâmetros!$A$39:$A$43,0))</f>
        <v>Reciclar: requalificar, reengajar ou encerrar</v>
      </c>
    </row>
    <row r="1755" customFormat="false" ht="15" hidden="false" customHeight="false" outlineLevel="0" collapsed="false">
      <c r="A1755" s="10" t="s">
        <v>2002</v>
      </c>
      <c r="B1755" s="10" t="s">
        <v>93</v>
      </c>
      <c r="C1755" s="10" t="s">
        <v>92</v>
      </c>
      <c r="D1755" s="10" t="s">
        <v>160</v>
      </c>
      <c r="E1755" s="10" t="s">
        <v>51</v>
      </c>
      <c r="F1755" s="10"/>
      <c r="G1755" s="10" t="s">
        <v>162</v>
      </c>
      <c r="H1755" s="30" t="n">
        <v>42709</v>
      </c>
      <c r="I1755" s="8" t="n">
        <f aca="false">INDEX(Parâmetros!$C$13:$C$19,MATCH(E1755,Parâmetros!$A$13:$A$19,0))</f>
        <v>550</v>
      </c>
      <c r="J1755" s="26" t="n">
        <f aca="false">IF(H1755="","",Parâmetros!$B$5-H1755)</f>
        <v>391</v>
      </c>
      <c r="K1755" s="10" t="n">
        <f aca="false">INDEX(Parâmetros!$D$13:$D$19,MATCH(E1755,Parâmetros!$A$13:$A$19,0))</f>
        <v>22</v>
      </c>
      <c r="L1755" s="10" t="n">
        <f aca="false">IF(G1755="Prospecting",Parâmetros!$B$9,IF(J1755&gt;Parâmetros!$B$6,0,INDEX(Parâmetros!$C$24:$C$26,MATCH(J1755,Parâmetros!$A$24:$A$26,1))))</f>
        <v>0</v>
      </c>
      <c r="M1755" s="31" t="n">
        <f aca="false">IF(G1755="Prospecting",1,INDEX(Parâmetros!$C$32:$C$35,MATCH(J1755,Parâmetros!$A$32:$A$35,1)))</f>
        <v>0.25</v>
      </c>
      <c r="N1755" s="2" t="n">
        <f aca="false">ROUND((K1755+L1755)*M1755,0)</f>
        <v>6</v>
      </c>
      <c r="O1755" s="10" t="str">
        <f aca="false">IF(AND(G1755="Engaging",J1755&gt;Parâmetros!$B$6),"Sim","Não")</f>
        <v>Sim</v>
      </c>
      <c r="P1755" s="32" t="str">
        <f aca="false">IF(O1755="Sim","R",IF(N1755&gt;=Parâmetros!$B$39,"A",IF(N1755&gt;=Parâmetros!$B$40,"B",IF(N1755&gt;=Parâmetros!$B$41,"C","D"))))</f>
        <v>R</v>
      </c>
      <c r="Q1755" s="10" t="str">
        <f aca="false">IF(F1755="","Completar cadastro","")</f>
        <v>Completar cadastro</v>
      </c>
      <c r="R1755" s="10" t="str">
        <f aca="false">INDEX(Parâmetros!$D$39:$D$43,MATCH(P1755,Parâmetros!$A$39:$A$43,0))</f>
        <v>Reciclar: requalificar, reengajar ou encerrar</v>
      </c>
    </row>
    <row r="1756" customFormat="false" ht="15" hidden="false" customHeight="false" outlineLevel="0" collapsed="false">
      <c r="A1756" s="10" t="s">
        <v>2003</v>
      </c>
      <c r="B1756" s="10" t="s">
        <v>68</v>
      </c>
      <c r="C1756" s="10" t="s">
        <v>65</v>
      </c>
      <c r="D1756" s="10" t="s">
        <v>160</v>
      </c>
      <c r="E1756" s="10" t="s">
        <v>51</v>
      </c>
      <c r="F1756" s="10"/>
      <c r="G1756" s="10" t="s">
        <v>162</v>
      </c>
      <c r="H1756" s="30" t="n">
        <v>42718</v>
      </c>
      <c r="I1756" s="8" t="n">
        <f aca="false">INDEX(Parâmetros!$C$13:$C$19,MATCH(E1756,Parâmetros!$A$13:$A$19,0))</f>
        <v>550</v>
      </c>
      <c r="J1756" s="26" t="n">
        <f aca="false">IF(H1756="","",Parâmetros!$B$5-H1756)</f>
        <v>382</v>
      </c>
      <c r="K1756" s="10" t="n">
        <f aca="false">INDEX(Parâmetros!$D$13:$D$19,MATCH(E1756,Parâmetros!$A$13:$A$19,0))</f>
        <v>22</v>
      </c>
      <c r="L1756" s="10" t="n">
        <f aca="false">IF(G1756="Prospecting",Parâmetros!$B$9,IF(J1756&gt;Parâmetros!$B$6,0,INDEX(Parâmetros!$C$24:$C$26,MATCH(J1756,Parâmetros!$A$24:$A$26,1))))</f>
        <v>0</v>
      </c>
      <c r="M1756" s="31" t="n">
        <f aca="false">IF(G1756="Prospecting",1,INDEX(Parâmetros!$C$32:$C$35,MATCH(J1756,Parâmetros!$A$32:$A$35,1)))</f>
        <v>0.25</v>
      </c>
      <c r="N1756" s="2" t="n">
        <f aca="false">ROUND((K1756+L1756)*M1756,0)</f>
        <v>6</v>
      </c>
      <c r="O1756" s="10" t="str">
        <f aca="false">IF(AND(G1756="Engaging",J1756&gt;Parâmetros!$B$6),"Sim","Não")</f>
        <v>Sim</v>
      </c>
      <c r="P1756" s="32" t="str">
        <f aca="false">IF(O1756="Sim","R",IF(N1756&gt;=Parâmetros!$B$39,"A",IF(N1756&gt;=Parâmetros!$B$40,"B",IF(N1756&gt;=Parâmetros!$B$41,"C","D"))))</f>
        <v>R</v>
      </c>
      <c r="Q1756" s="10" t="str">
        <f aca="false">IF(F1756="","Completar cadastro","")</f>
        <v>Completar cadastro</v>
      </c>
      <c r="R1756" s="10" t="str">
        <f aca="false">INDEX(Parâmetros!$D$39:$D$43,MATCH(P1756,Parâmetros!$A$39:$A$43,0))</f>
        <v>Reciclar: requalificar, reengajar ou encerrar</v>
      </c>
    </row>
    <row r="1757" customFormat="false" ht="15" hidden="false" customHeight="false" outlineLevel="0" collapsed="false">
      <c r="A1757" s="10" t="s">
        <v>2004</v>
      </c>
      <c r="B1757" s="10" t="s">
        <v>87</v>
      </c>
      <c r="C1757" s="10" t="s">
        <v>85</v>
      </c>
      <c r="D1757" s="10" t="s">
        <v>165</v>
      </c>
      <c r="E1757" s="10" t="s">
        <v>51</v>
      </c>
      <c r="F1757" s="10" t="s">
        <v>1251</v>
      </c>
      <c r="G1757" s="10" t="s">
        <v>162</v>
      </c>
      <c r="H1757" s="30" t="n">
        <v>42720</v>
      </c>
      <c r="I1757" s="8" t="n">
        <f aca="false">INDEX(Parâmetros!$C$13:$C$19,MATCH(E1757,Parâmetros!$A$13:$A$19,0))</f>
        <v>550</v>
      </c>
      <c r="J1757" s="26" t="n">
        <f aca="false">IF(H1757="","",Parâmetros!$B$5-H1757)</f>
        <v>380</v>
      </c>
      <c r="K1757" s="10" t="n">
        <f aca="false">INDEX(Parâmetros!$D$13:$D$19,MATCH(E1757,Parâmetros!$A$13:$A$19,0))</f>
        <v>22</v>
      </c>
      <c r="L1757" s="10" t="n">
        <f aca="false">IF(G1757="Prospecting",Parâmetros!$B$9,IF(J1757&gt;Parâmetros!$B$6,0,INDEX(Parâmetros!$C$24:$C$26,MATCH(J1757,Parâmetros!$A$24:$A$26,1))))</f>
        <v>0</v>
      </c>
      <c r="M1757" s="31" t="n">
        <f aca="false">IF(G1757="Prospecting",1,INDEX(Parâmetros!$C$32:$C$35,MATCH(J1757,Parâmetros!$A$32:$A$35,1)))</f>
        <v>0.25</v>
      </c>
      <c r="N1757" s="2" t="n">
        <f aca="false">ROUND((K1757+L1757)*M1757,0)</f>
        <v>6</v>
      </c>
      <c r="O1757" s="10" t="str">
        <f aca="false">IF(AND(G1757="Engaging",J1757&gt;Parâmetros!$B$6),"Sim","Não")</f>
        <v>Sim</v>
      </c>
      <c r="P1757" s="32" t="str">
        <f aca="false">IF(O1757="Sim","R",IF(N1757&gt;=Parâmetros!$B$39,"A",IF(N1757&gt;=Parâmetros!$B$40,"B",IF(N1757&gt;=Parâmetros!$B$41,"C","D"))))</f>
        <v>R</v>
      </c>
      <c r="Q1757" s="10" t="str">
        <f aca="false">IF(F1757="","Completar cadastro","")</f>
        <v/>
      </c>
      <c r="R1757" s="10" t="str">
        <f aca="false">INDEX(Parâmetros!$D$39:$D$43,MATCH(P1757,Parâmetros!$A$39:$A$43,0))</f>
        <v>Reciclar: requalificar, reengajar ou encerrar</v>
      </c>
    </row>
    <row r="1758" customFormat="false" ht="15" hidden="false" customHeight="false" outlineLevel="0" collapsed="false">
      <c r="A1758" s="10" t="s">
        <v>2005</v>
      </c>
      <c r="B1758" s="10" t="s">
        <v>86</v>
      </c>
      <c r="C1758" s="10" t="s">
        <v>85</v>
      </c>
      <c r="D1758" s="10" t="s">
        <v>165</v>
      </c>
      <c r="E1758" s="10" t="s">
        <v>51</v>
      </c>
      <c r="F1758" s="10"/>
      <c r="G1758" s="10" t="s">
        <v>162</v>
      </c>
      <c r="H1758" s="30" t="n">
        <v>42721</v>
      </c>
      <c r="I1758" s="8" t="n">
        <f aca="false">INDEX(Parâmetros!$C$13:$C$19,MATCH(E1758,Parâmetros!$A$13:$A$19,0))</f>
        <v>550</v>
      </c>
      <c r="J1758" s="26" t="n">
        <f aca="false">IF(H1758="","",Parâmetros!$B$5-H1758)</f>
        <v>379</v>
      </c>
      <c r="K1758" s="10" t="n">
        <f aca="false">INDEX(Parâmetros!$D$13:$D$19,MATCH(E1758,Parâmetros!$A$13:$A$19,0))</f>
        <v>22</v>
      </c>
      <c r="L1758" s="10" t="n">
        <f aca="false">IF(G1758="Prospecting",Parâmetros!$B$9,IF(J1758&gt;Parâmetros!$B$6,0,INDEX(Parâmetros!$C$24:$C$26,MATCH(J1758,Parâmetros!$A$24:$A$26,1))))</f>
        <v>0</v>
      </c>
      <c r="M1758" s="31" t="n">
        <f aca="false">IF(G1758="Prospecting",1,INDEX(Parâmetros!$C$32:$C$35,MATCH(J1758,Parâmetros!$A$32:$A$35,1)))</f>
        <v>0.25</v>
      </c>
      <c r="N1758" s="2" t="n">
        <f aca="false">ROUND((K1758+L1758)*M1758,0)</f>
        <v>6</v>
      </c>
      <c r="O1758" s="10" t="str">
        <f aca="false">IF(AND(G1758="Engaging",J1758&gt;Parâmetros!$B$6),"Sim","Não")</f>
        <v>Sim</v>
      </c>
      <c r="P1758" s="32" t="str">
        <f aca="false">IF(O1758="Sim","R",IF(N1758&gt;=Parâmetros!$B$39,"A",IF(N1758&gt;=Parâmetros!$B$40,"B",IF(N1758&gt;=Parâmetros!$B$41,"C","D"))))</f>
        <v>R</v>
      </c>
      <c r="Q1758" s="10" t="str">
        <f aca="false">IF(F1758="","Completar cadastro","")</f>
        <v>Completar cadastro</v>
      </c>
      <c r="R1758" s="10" t="str">
        <f aca="false">INDEX(Parâmetros!$D$39:$D$43,MATCH(P1758,Parâmetros!$A$39:$A$43,0))</f>
        <v>Reciclar: requalificar, reengajar ou encerrar</v>
      </c>
    </row>
    <row r="1759" customFormat="false" ht="15" hidden="false" customHeight="false" outlineLevel="0" collapsed="false">
      <c r="A1759" s="10" t="s">
        <v>2006</v>
      </c>
      <c r="B1759" s="10" t="s">
        <v>70</v>
      </c>
      <c r="C1759" s="10" t="s">
        <v>65</v>
      </c>
      <c r="D1759" s="10" t="s">
        <v>160</v>
      </c>
      <c r="E1759" s="10" t="s">
        <v>51</v>
      </c>
      <c r="F1759" s="10"/>
      <c r="G1759" s="10" t="s">
        <v>162</v>
      </c>
      <c r="H1759" s="30" t="n">
        <v>42725</v>
      </c>
      <c r="I1759" s="8" t="n">
        <f aca="false">INDEX(Parâmetros!$C$13:$C$19,MATCH(E1759,Parâmetros!$A$13:$A$19,0))</f>
        <v>550</v>
      </c>
      <c r="J1759" s="26" t="n">
        <f aca="false">IF(H1759="","",Parâmetros!$B$5-H1759)</f>
        <v>375</v>
      </c>
      <c r="K1759" s="10" t="n">
        <f aca="false">INDEX(Parâmetros!$D$13:$D$19,MATCH(E1759,Parâmetros!$A$13:$A$19,0))</f>
        <v>22</v>
      </c>
      <c r="L1759" s="10" t="n">
        <f aca="false">IF(G1759="Prospecting",Parâmetros!$B$9,IF(J1759&gt;Parâmetros!$B$6,0,INDEX(Parâmetros!$C$24:$C$26,MATCH(J1759,Parâmetros!$A$24:$A$26,1))))</f>
        <v>0</v>
      </c>
      <c r="M1759" s="31" t="n">
        <f aca="false">IF(G1759="Prospecting",1,INDEX(Parâmetros!$C$32:$C$35,MATCH(J1759,Parâmetros!$A$32:$A$35,1)))</f>
        <v>0.25</v>
      </c>
      <c r="N1759" s="2" t="n">
        <f aca="false">ROUND((K1759+L1759)*M1759,0)</f>
        <v>6</v>
      </c>
      <c r="O1759" s="10" t="str">
        <f aca="false">IF(AND(G1759="Engaging",J1759&gt;Parâmetros!$B$6),"Sim","Não")</f>
        <v>Sim</v>
      </c>
      <c r="P1759" s="32" t="str">
        <f aca="false">IF(O1759="Sim","R",IF(N1759&gt;=Parâmetros!$B$39,"A",IF(N1759&gt;=Parâmetros!$B$40,"B",IF(N1759&gt;=Parâmetros!$B$41,"C","D"))))</f>
        <v>R</v>
      </c>
      <c r="Q1759" s="10" t="str">
        <f aca="false">IF(F1759="","Completar cadastro","")</f>
        <v>Completar cadastro</v>
      </c>
      <c r="R1759" s="10" t="str">
        <f aca="false">INDEX(Parâmetros!$D$39:$D$43,MATCH(P1759,Parâmetros!$A$39:$A$43,0))</f>
        <v>Reciclar: requalificar, reengajar ou encerrar</v>
      </c>
    </row>
    <row r="1760" customFormat="false" ht="15" hidden="false" customHeight="false" outlineLevel="0" collapsed="false">
      <c r="A1760" s="10" t="s">
        <v>2007</v>
      </c>
      <c r="B1760" s="10" t="s">
        <v>57</v>
      </c>
      <c r="C1760" s="10" t="s">
        <v>58</v>
      </c>
      <c r="D1760" s="10" t="s">
        <v>165</v>
      </c>
      <c r="E1760" s="10" t="s">
        <v>51</v>
      </c>
      <c r="F1760" s="10"/>
      <c r="G1760" s="10" t="s">
        <v>162</v>
      </c>
      <c r="H1760" s="30" t="n">
        <v>42727</v>
      </c>
      <c r="I1760" s="8" t="n">
        <f aca="false">INDEX(Parâmetros!$C$13:$C$19,MATCH(E1760,Parâmetros!$A$13:$A$19,0))</f>
        <v>550</v>
      </c>
      <c r="J1760" s="26" t="n">
        <f aca="false">IF(H1760="","",Parâmetros!$B$5-H1760)</f>
        <v>373</v>
      </c>
      <c r="K1760" s="10" t="n">
        <f aca="false">INDEX(Parâmetros!$D$13:$D$19,MATCH(E1760,Parâmetros!$A$13:$A$19,0))</f>
        <v>22</v>
      </c>
      <c r="L1760" s="10" t="n">
        <f aca="false">IF(G1760="Prospecting",Parâmetros!$B$9,IF(J1760&gt;Parâmetros!$B$6,0,INDEX(Parâmetros!$C$24:$C$26,MATCH(J1760,Parâmetros!$A$24:$A$26,1))))</f>
        <v>0</v>
      </c>
      <c r="M1760" s="31" t="n">
        <f aca="false">IF(G1760="Prospecting",1,INDEX(Parâmetros!$C$32:$C$35,MATCH(J1760,Parâmetros!$A$32:$A$35,1)))</f>
        <v>0.25</v>
      </c>
      <c r="N1760" s="2" t="n">
        <f aca="false">ROUND((K1760+L1760)*M1760,0)</f>
        <v>6</v>
      </c>
      <c r="O1760" s="10" t="str">
        <f aca="false">IF(AND(G1760="Engaging",J1760&gt;Parâmetros!$B$6),"Sim","Não")</f>
        <v>Sim</v>
      </c>
      <c r="P1760" s="32" t="str">
        <f aca="false">IF(O1760="Sim","R",IF(N1760&gt;=Parâmetros!$B$39,"A",IF(N1760&gt;=Parâmetros!$B$40,"B",IF(N1760&gt;=Parâmetros!$B$41,"C","D"))))</f>
        <v>R</v>
      </c>
      <c r="Q1760" s="10" t="str">
        <f aca="false">IF(F1760="","Completar cadastro","")</f>
        <v>Completar cadastro</v>
      </c>
      <c r="R1760" s="10" t="str">
        <f aca="false">INDEX(Parâmetros!$D$39:$D$43,MATCH(P1760,Parâmetros!$A$39:$A$43,0))</f>
        <v>Reciclar: requalificar, reengajar ou encerrar</v>
      </c>
    </row>
    <row r="1761" customFormat="false" ht="15" hidden="false" customHeight="false" outlineLevel="0" collapsed="false">
      <c r="A1761" s="10" t="s">
        <v>2008</v>
      </c>
      <c r="B1761" s="10" t="s">
        <v>96</v>
      </c>
      <c r="C1761" s="10" t="s">
        <v>92</v>
      </c>
      <c r="D1761" s="10" t="s">
        <v>160</v>
      </c>
      <c r="E1761" s="10" t="s">
        <v>51</v>
      </c>
      <c r="F1761" s="10" t="s">
        <v>193</v>
      </c>
      <c r="G1761" s="10" t="s">
        <v>162</v>
      </c>
      <c r="H1761" s="30" t="n">
        <v>42729</v>
      </c>
      <c r="I1761" s="8" t="n">
        <f aca="false">INDEX(Parâmetros!$C$13:$C$19,MATCH(E1761,Parâmetros!$A$13:$A$19,0))</f>
        <v>550</v>
      </c>
      <c r="J1761" s="26" t="n">
        <f aca="false">IF(H1761="","",Parâmetros!$B$5-H1761)</f>
        <v>371</v>
      </c>
      <c r="K1761" s="10" t="n">
        <f aca="false">INDEX(Parâmetros!$D$13:$D$19,MATCH(E1761,Parâmetros!$A$13:$A$19,0))</f>
        <v>22</v>
      </c>
      <c r="L1761" s="10" t="n">
        <f aca="false">IF(G1761="Prospecting",Parâmetros!$B$9,IF(J1761&gt;Parâmetros!$B$6,0,INDEX(Parâmetros!$C$24:$C$26,MATCH(J1761,Parâmetros!$A$24:$A$26,1))))</f>
        <v>0</v>
      </c>
      <c r="M1761" s="31" t="n">
        <f aca="false">IF(G1761="Prospecting",1,INDEX(Parâmetros!$C$32:$C$35,MATCH(J1761,Parâmetros!$A$32:$A$35,1)))</f>
        <v>0.25</v>
      </c>
      <c r="N1761" s="2" t="n">
        <f aca="false">ROUND((K1761+L1761)*M1761,0)</f>
        <v>6</v>
      </c>
      <c r="O1761" s="10" t="str">
        <f aca="false">IF(AND(G1761="Engaging",J1761&gt;Parâmetros!$B$6),"Sim","Não")</f>
        <v>Sim</v>
      </c>
      <c r="P1761" s="32" t="str">
        <f aca="false">IF(O1761="Sim","R",IF(N1761&gt;=Parâmetros!$B$39,"A",IF(N1761&gt;=Parâmetros!$B$40,"B",IF(N1761&gt;=Parâmetros!$B$41,"C","D"))))</f>
        <v>R</v>
      </c>
      <c r="Q1761" s="10" t="str">
        <f aca="false">IF(F1761="","Completar cadastro","")</f>
        <v/>
      </c>
      <c r="R1761" s="10" t="str">
        <f aca="false">INDEX(Parâmetros!$D$39:$D$43,MATCH(P1761,Parâmetros!$A$39:$A$43,0))</f>
        <v>Reciclar: requalificar, reengajar ou encerrar</v>
      </c>
    </row>
    <row r="1762" customFormat="false" ht="15" hidden="false" customHeight="false" outlineLevel="0" collapsed="false">
      <c r="A1762" s="10" t="s">
        <v>2009</v>
      </c>
      <c r="B1762" s="10" t="s">
        <v>69</v>
      </c>
      <c r="C1762" s="10" t="s">
        <v>65</v>
      </c>
      <c r="D1762" s="10" t="s">
        <v>160</v>
      </c>
      <c r="E1762" s="10" t="s">
        <v>51</v>
      </c>
      <c r="F1762" s="10"/>
      <c r="G1762" s="10" t="s">
        <v>162</v>
      </c>
      <c r="H1762" s="30" t="n">
        <v>42729</v>
      </c>
      <c r="I1762" s="8" t="n">
        <f aca="false">INDEX(Parâmetros!$C$13:$C$19,MATCH(E1762,Parâmetros!$A$13:$A$19,0))</f>
        <v>550</v>
      </c>
      <c r="J1762" s="26" t="n">
        <f aca="false">IF(H1762="","",Parâmetros!$B$5-H1762)</f>
        <v>371</v>
      </c>
      <c r="K1762" s="10" t="n">
        <f aca="false">INDEX(Parâmetros!$D$13:$D$19,MATCH(E1762,Parâmetros!$A$13:$A$19,0))</f>
        <v>22</v>
      </c>
      <c r="L1762" s="10" t="n">
        <f aca="false">IF(G1762="Prospecting",Parâmetros!$B$9,IF(J1762&gt;Parâmetros!$B$6,0,INDEX(Parâmetros!$C$24:$C$26,MATCH(J1762,Parâmetros!$A$24:$A$26,1))))</f>
        <v>0</v>
      </c>
      <c r="M1762" s="31" t="n">
        <f aca="false">IF(G1762="Prospecting",1,INDEX(Parâmetros!$C$32:$C$35,MATCH(J1762,Parâmetros!$A$32:$A$35,1)))</f>
        <v>0.25</v>
      </c>
      <c r="N1762" s="2" t="n">
        <f aca="false">ROUND((K1762+L1762)*M1762,0)</f>
        <v>6</v>
      </c>
      <c r="O1762" s="10" t="str">
        <f aca="false">IF(AND(G1762="Engaging",J1762&gt;Parâmetros!$B$6),"Sim","Não")</f>
        <v>Sim</v>
      </c>
      <c r="P1762" s="32" t="str">
        <f aca="false">IF(O1762="Sim","R",IF(N1762&gt;=Parâmetros!$B$39,"A",IF(N1762&gt;=Parâmetros!$B$40,"B",IF(N1762&gt;=Parâmetros!$B$41,"C","D"))))</f>
        <v>R</v>
      </c>
      <c r="Q1762" s="10" t="str">
        <f aca="false">IF(F1762="","Completar cadastro","")</f>
        <v>Completar cadastro</v>
      </c>
      <c r="R1762" s="10" t="str">
        <f aca="false">INDEX(Parâmetros!$D$39:$D$43,MATCH(P1762,Parâmetros!$A$39:$A$43,0))</f>
        <v>Reciclar: requalificar, reengajar ou encerrar</v>
      </c>
    </row>
    <row r="1763" customFormat="false" ht="15" hidden="false" customHeight="false" outlineLevel="0" collapsed="false">
      <c r="A1763" s="10" t="s">
        <v>2010</v>
      </c>
      <c r="B1763" s="10" t="s">
        <v>95</v>
      </c>
      <c r="C1763" s="10" t="s">
        <v>92</v>
      </c>
      <c r="D1763" s="10" t="s">
        <v>160</v>
      </c>
      <c r="E1763" s="10" t="s">
        <v>51</v>
      </c>
      <c r="F1763" s="10"/>
      <c r="G1763" s="10" t="s">
        <v>162</v>
      </c>
      <c r="H1763" s="30" t="n">
        <v>42731</v>
      </c>
      <c r="I1763" s="8" t="n">
        <f aca="false">INDEX(Parâmetros!$C$13:$C$19,MATCH(E1763,Parâmetros!$A$13:$A$19,0))</f>
        <v>550</v>
      </c>
      <c r="J1763" s="26" t="n">
        <f aca="false">IF(H1763="","",Parâmetros!$B$5-H1763)</f>
        <v>369</v>
      </c>
      <c r="K1763" s="10" t="n">
        <f aca="false">INDEX(Parâmetros!$D$13:$D$19,MATCH(E1763,Parâmetros!$A$13:$A$19,0))</f>
        <v>22</v>
      </c>
      <c r="L1763" s="10" t="n">
        <f aca="false">IF(G1763="Prospecting",Parâmetros!$B$9,IF(J1763&gt;Parâmetros!$B$6,0,INDEX(Parâmetros!$C$24:$C$26,MATCH(J1763,Parâmetros!$A$24:$A$26,1))))</f>
        <v>0</v>
      </c>
      <c r="M1763" s="31" t="n">
        <f aca="false">IF(G1763="Prospecting",1,INDEX(Parâmetros!$C$32:$C$35,MATCH(J1763,Parâmetros!$A$32:$A$35,1)))</f>
        <v>0.25</v>
      </c>
      <c r="N1763" s="2" t="n">
        <f aca="false">ROUND((K1763+L1763)*M1763,0)</f>
        <v>6</v>
      </c>
      <c r="O1763" s="10" t="str">
        <f aca="false">IF(AND(G1763="Engaging",J1763&gt;Parâmetros!$B$6),"Sim","Não")</f>
        <v>Sim</v>
      </c>
      <c r="P1763" s="32" t="str">
        <f aca="false">IF(O1763="Sim","R",IF(N1763&gt;=Parâmetros!$B$39,"A",IF(N1763&gt;=Parâmetros!$B$40,"B",IF(N1763&gt;=Parâmetros!$B$41,"C","D"))))</f>
        <v>R</v>
      </c>
      <c r="Q1763" s="10" t="str">
        <f aca="false">IF(F1763="","Completar cadastro","")</f>
        <v>Completar cadastro</v>
      </c>
      <c r="R1763" s="10" t="str">
        <f aca="false">INDEX(Parâmetros!$D$39:$D$43,MATCH(P1763,Parâmetros!$A$39:$A$43,0))</f>
        <v>Reciclar: requalificar, reengajar ou encerrar</v>
      </c>
    </row>
    <row r="1764" customFormat="false" ht="15" hidden="false" customHeight="false" outlineLevel="0" collapsed="false">
      <c r="A1764" s="10" t="s">
        <v>2011</v>
      </c>
      <c r="B1764" s="10" t="s">
        <v>95</v>
      </c>
      <c r="C1764" s="10" t="s">
        <v>92</v>
      </c>
      <c r="D1764" s="10" t="s">
        <v>160</v>
      </c>
      <c r="E1764" s="10" t="s">
        <v>51</v>
      </c>
      <c r="F1764" s="10"/>
      <c r="G1764" s="10" t="s">
        <v>162</v>
      </c>
      <c r="H1764" s="30" t="n">
        <v>42732</v>
      </c>
      <c r="I1764" s="8" t="n">
        <f aca="false">INDEX(Parâmetros!$C$13:$C$19,MATCH(E1764,Parâmetros!$A$13:$A$19,0))</f>
        <v>550</v>
      </c>
      <c r="J1764" s="26" t="n">
        <f aca="false">IF(H1764="","",Parâmetros!$B$5-H1764)</f>
        <v>368</v>
      </c>
      <c r="K1764" s="10" t="n">
        <f aca="false">INDEX(Parâmetros!$D$13:$D$19,MATCH(E1764,Parâmetros!$A$13:$A$19,0))</f>
        <v>22</v>
      </c>
      <c r="L1764" s="10" t="n">
        <f aca="false">IF(G1764="Prospecting",Parâmetros!$B$9,IF(J1764&gt;Parâmetros!$B$6,0,INDEX(Parâmetros!$C$24:$C$26,MATCH(J1764,Parâmetros!$A$24:$A$26,1))))</f>
        <v>0</v>
      </c>
      <c r="M1764" s="31" t="n">
        <f aca="false">IF(G1764="Prospecting",1,INDEX(Parâmetros!$C$32:$C$35,MATCH(J1764,Parâmetros!$A$32:$A$35,1)))</f>
        <v>0.25</v>
      </c>
      <c r="N1764" s="2" t="n">
        <f aca="false">ROUND((K1764+L1764)*M1764,0)</f>
        <v>6</v>
      </c>
      <c r="O1764" s="10" t="str">
        <f aca="false">IF(AND(G1764="Engaging",J1764&gt;Parâmetros!$B$6),"Sim","Não")</f>
        <v>Sim</v>
      </c>
      <c r="P1764" s="32" t="str">
        <f aca="false">IF(O1764="Sim","R",IF(N1764&gt;=Parâmetros!$B$39,"A",IF(N1764&gt;=Parâmetros!$B$40,"B",IF(N1764&gt;=Parâmetros!$B$41,"C","D"))))</f>
        <v>R</v>
      </c>
      <c r="Q1764" s="10" t="str">
        <f aca="false">IF(F1764="","Completar cadastro","")</f>
        <v>Completar cadastro</v>
      </c>
      <c r="R1764" s="10" t="str">
        <f aca="false">INDEX(Parâmetros!$D$39:$D$43,MATCH(P1764,Parâmetros!$A$39:$A$43,0))</f>
        <v>Reciclar: requalificar, reengajar ou encerrar</v>
      </c>
    </row>
    <row r="1765" customFormat="false" ht="15" hidden="false" customHeight="false" outlineLevel="0" collapsed="false">
      <c r="A1765" s="10" t="s">
        <v>2012</v>
      </c>
      <c r="B1765" s="10" t="s">
        <v>70</v>
      </c>
      <c r="C1765" s="10" t="s">
        <v>65</v>
      </c>
      <c r="D1765" s="10" t="s">
        <v>160</v>
      </c>
      <c r="E1765" s="10" t="s">
        <v>51</v>
      </c>
      <c r="F1765" s="10"/>
      <c r="G1765" s="10" t="s">
        <v>162</v>
      </c>
      <c r="H1765" s="30" t="n">
        <v>42733</v>
      </c>
      <c r="I1765" s="8" t="n">
        <f aca="false">INDEX(Parâmetros!$C$13:$C$19,MATCH(E1765,Parâmetros!$A$13:$A$19,0))</f>
        <v>550</v>
      </c>
      <c r="J1765" s="26" t="n">
        <f aca="false">IF(H1765="","",Parâmetros!$B$5-H1765)</f>
        <v>367</v>
      </c>
      <c r="K1765" s="10" t="n">
        <f aca="false">INDEX(Parâmetros!$D$13:$D$19,MATCH(E1765,Parâmetros!$A$13:$A$19,0))</f>
        <v>22</v>
      </c>
      <c r="L1765" s="10" t="n">
        <f aca="false">IF(G1765="Prospecting",Parâmetros!$B$9,IF(J1765&gt;Parâmetros!$B$6,0,INDEX(Parâmetros!$C$24:$C$26,MATCH(J1765,Parâmetros!$A$24:$A$26,1))))</f>
        <v>0</v>
      </c>
      <c r="M1765" s="31" t="n">
        <f aca="false">IF(G1765="Prospecting",1,INDEX(Parâmetros!$C$32:$C$35,MATCH(J1765,Parâmetros!$A$32:$A$35,1)))</f>
        <v>0.25</v>
      </c>
      <c r="N1765" s="2" t="n">
        <f aca="false">ROUND((K1765+L1765)*M1765,0)</f>
        <v>6</v>
      </c>
      <c r="O1765" s="10" t="str">
        <f aca="false">IF(AND(G1765="Engaging",J1765&gt;Parâmetros!$B$6),"Sim","Não")</f>
        <v>Sim</v>
      </c>
      <c r="P1765" s="32" t="str">
        <f aca="false">IF(O1765="Sim","R",IF(N1765&gt;=Parâmetros!$B$39,"A",IF(N1765&gt;=Parâmetros!$B$40,"B",IF(N1765&gt;=Parâmetros!$B$41,"C","D"))))</f>
        <v>R</v>
      </c>
      <c r="Q1765" s="10" t="str">
        <f aca="false">IF(F1765="","Completar cadastro","")</f>
        <v>Completar cadastro</v>
      </c>
      <c r="R1765" s="10" t="str">
        <f aca="false">INDEX(Parâmetros!$D$39:$D$43,MATCH(P1765,Parâmetros!$A$39:$A$43,0))</f>
        <v>Reciclar: requalificar, reengajar ou encerrar</v>
      </c>
    </row>
    <row r="1766" customFormat="false" ht="15" hidden="false" customHeight="false" outlineLevel="0" collapsed="false">
      <c r="A1766" s="10" t="s">
        <v>2013</v>
      </c>
      <c r="B1766" s="10" t="s">
        <v>95</v>
      </c>
      <c r="C1766" s="10" t="s">
        <v>92</v>
      </c>
      <c r="D1766" s="10" t="s">
        <v>160</v>
      </c>
      <c r="E1766" s="10" t="s">
        <v>51</v>
      </c>
      <c r="F1766" s="10"/>
      <c r="G1766" s="10" t="s">
        <v>162</v>
      </c>
      <c r="H1766" s="30" t="n">
        <v>42739</v>
      </c>
      <c r="I1766" s="8" t="n">
        <f aca="false">INDEX(Parâmetros!$C$13:$C$19,MATCH(E1766,Parâmetros!$A$13:$A$19,0))</f>
        <v>550</v>
      </c>
      <c r="J1766" s="26" t="n">
        <f aca="false">IF(H1766="","",Parâmetros!$B$5-H1766)</f>
        <v>361</v>
      </c>
      <c r="K1766" s="10" t="n">
        <f aca="false">INDEX(Parâmetros!$D$13:$D$19,MATCH(E1766,Parâmetros!$A$13:$A$19,0))</f>
        <v>22</v>
      </c>
      <c r="L1766" s="10" t="n">
        <f aca="false">IF(G1766="Prospecting",Parâmetros!$B$9,IF(J1766&gt;Parâmetros!$B$6,0,INDEX(Parâmetros!$C$24:$C$26,MATCH(J1766,Parâmetros!$A$24:$A$26,1))))</f>
        <v>0</v>
      </c>
      <c r="M1766" s="31" t="n">
        <f aca="false">IF(G1766="Prospecting",1,INDEX(Parâmetros!$C$32:$C$35,MATCH(J1766,Parâmetros!$A$32:$A$35,1)))</f>
        <v>0.25</v>
      </c>
      <c r="N1766" s="2" t="n">
        <f aca="false">ROUND((K1766+L1766)*M1766,0)</f>
        <v>6</v>
      </c>
      <c r="O1766" s="10" t="str">
        <f aca="false">IF(AND(G1766="Engaging",J1766&gt;Parâmetros!$B$6),"Sim","Não")</f>
        <v>Sim</v>
      </c>
      <c r="P1766" s="32" t="str">
        <f aca="false">IF(O1766="Sim","R",IF(N1766&gt;=Parâmetros!$B$39,"A",IF(N1766&gt;=Parâmetros!$B$40,"B",IF(N1766&gt;=Parâmetros!$B$41,"C","D"))))</f>
        <v>R</v>
      </c>
      <c r="Q1766" s="10" t="str">
        <f aca="false">IF(F1766="","Completar cadastro","")</f>
        <v>Completar cadastro</v>
      </c>
      <c r="R1766" s="10" t="str">
        <f aca="false">INDEX(Parâmetros!$D$39:$D$43,MATCH(P1766,Parâmetros!$A$39:$A$43,0))</f>
        <v>Reciclar: requalificar, reengajar ou encerrar</v>
      </c>
    </row>
    <row r="1767" customFormat="false" ht="15" hidden="false" customHeight="false" outlineLevel="0" collapsed="false">
      <c r="A1767" s="10" t="s">
        <v>2014</v>
      </c>
      <c r="B1767" s="10" t="s">
        <v>86</v>
      </c>
      <c r="C1767" s="10" t="s">
        <v>85</v>
      </c>
      <c r="D1767" s="10" t="s">
        <v>165</v>
      </c>
      <c r="E1767" s="10" t="s">
        <v>51</v>
      </c>
      <c r="F1767" s="10"/>
      <c r="G1767" s="10" t="s">
        <v>162</v>
      </c>
      <c r="H1767" s="30" t="n">
        <v>42742</v>
      </c>
      <c r="I1767" s="8" t="n">
        <f aca="false">INDEX(Parâmetros!$C$13:$C$19,MATCH(E1767,Parâmetros!$A$13:$A$19,0))</f>
        <v>550</v>
      </c>
      <c r="J1767" s="26" t="n">
        <f aca="false">IF(H1767="","",Parâmetros!$B$5-H1767)</f>
        <v>358</v>
      </c>
      <c r="K1767" s="10" t="n">
        <f aca="false">INDEX(Parâmetros!$D$13:$D$19,MATCH(E1767,Parâmetros!$A$13:$A$19,0))</f>
        <v>22</v>
      </c>
      <c r="L1767" s="10" t="n">
        <f aca="false">IF(G1767="Prospecting",Parâmetros!$B$9,IF(J1767&gt;Parâmetros!$B$6,0,INDEX(Parâmetros!$C$24:$C$26,MATCH(J1767,Parâmetros!$A$24:$A$26,1))))</f>
        <v>0</v>
      </c>
      <c r="M1767" s="31" t="n">
        <f aca="false">IF(G1767="Prospecting",1,INDEX(Parâmetros!$C$32:$C$35,MATCH(J1767,Parâmetros!$A$32:$A$35,1)))</f>
        <v>0.25</v>
      </c>
      <c r="N1767" s="2" t="n">
        <f aca="false">ROUND((K1767+L1767)*M1767,0)</f>
        <v>6</v>
      </c>
      <c r="O1767" s="10" t="str">
        <f aca="false">IF(AND(G1767="Engaging",J1767&gt;Parâmetros!$B$6),"Sim","Não")</f>
        <v>Sim</v>
      </c>
      <c r="P1767" s="32" t="str">
        <f aca="false">IF(O1767="Sim","R",IF(N1767&gt;=Parâmetros!$B$39,"A",IF(N1767&gt;=Parâmetros!$B$40,"B",IF(N1767&gt;=Parâmetros!$B$41,"C","D"))))</f>
        <v>R</v>
      </c>
      <c r="Q1767" s="10" t="str">
        <f aca="false">IF(F1767="","Completar cadastro","")</f>
        <v>Completar cadastro</v>
      </c>
      <c r="R1767" s="10" t="str">
        <f aca="false">INDEX(Parâmetros!$D$39:$D$43,MATCH(P1767,Parâmetros!$A$39:$A$43,0))</f>
        <v>Reciclar: requalificar, reengajar ou encerrar</v>
      </c>
    </row>
    <row r="1768" customFormat="false" ht="15" hidden="false" customHeight="false" outlineLevel="0" collapsed="false">
      <c r="A1768" s="10" t="s">
        <v>2015</v>
      </c>
      <c r="B1768" s="10" t="s">
        <v>69</v>
      </c>
      <c r="C1768" s="10" t="s">
        <v>65</v>
      </c>
      <c r="D1768" s="10" t="s">
        <v>160</v>
      </c>
      <c r="E1768" s="10" t="s">
        <v>51</v>
      </c>
      <c r="F1768" s="10" t="s">
        <v>185</v>
      </c>
      <c r="G1768" s="10" t="s">
        <v>162</v>
      </c>
      <c r="H1768" s="30" t="n">
        <v>42743</v>
      </c>
      <c r="I1768" s="8" t="n">
        <f aca="false">INDEX(Parâmetros!$C$13:$C$19,MATCH(E1768,Parâmetros!$A$13:$A$19,0))</f>
        <v>550</v>
      </c>
      <c r="J1768" s="26" t="n">
        <f aca="false">IF(H1768="","",Parâmetros!$B$5-H1768)</f>
        <v>357</v>
      </c>
      <c r="K1768" s="10" t="n">
        <f aca="false">INDEX(Parâmetros!$D$13:$D$19,MATCH(E1768,Parâmetros!$A$13:$A$19,0))</f>
        <v>22</v>
      </c>
      <c r="L1768" s="10" t="n">
        <f aca="false">IF(G1768="Prospecting",Parâmetros!$B$9,IF(J1768&gt;Parâmetros!$B$6,0,INDEX(Parâmetros!$C$24:$C$26,MATCH(J1768,Parâmetros!$A$24:$A$26,1))))</f>
        <v>0</v>
      </c>
      <c r="M1768" s="31" t="n">
        <f aca="false">IF(G1768="Prospecting",1,INDEX(Parâmetros!$C$32:$C$35,MATCH(J1768,Parâmetros!$A$32:$A$35,1)))</f>
        <v>0.25</v>
      </c>
      <c r="N1768" s="2" t="n">
        <f aca="false">ROUND((K1768+L1768)*M1768,0)</f>
        <v>6</v>
      </c>
      <c r="O1768" s="10" t="str">
        <f aca="false">IF(AND(G1768="Engaging",J1768&gt;Parâmetros!$B$6),"Sim","Não")</f>
        <v>Sim</v>
      </c>
      <c r="P1768" s="32" t="str">
        <f aca="false">IF(O1768="Sim","R",IF(N1768&gt;=Parâmetros!$B$39,"A",IF(N1768&gt;=Parâmetros!$B$40,"B",IF(N1768&gt;=Parâmetros!$B$41,"C","D"))))</f>
        <v>R</v>
      </c>
      <c r="Q1768" s="10" t="str">
        <f aca="false">IF(F1768="","Completar cadastro","")</f>
        <v/>
      </c>
      <c r="R1768" s="10" t="str">
        <f aca="false">INDEX(Parâmetros!$D$39:$D$43,MATCH(P1768,Parâmetros!$A$39:$A$43,0))</f>
        <v>Reciclar: requalificar, reengajar ou encerrar</v>
      </c>
    </row>
    <row r="1769" customFormat="false" ht="15" hidden="false" customHeight="false" outlineLevel="0" collapsed="false">
      <c r="A1769" s="10" t="s">
        <v>2016</v>
      </c>
      <c r="B1769" s="10" t="s">
        <v>68</v>
      </c>
      <c r="C1769" s="10" t="s">
        <v>65</v>
      </c>
      <c r="D1769" s="10" t="s">
        <v>160</v>
      </c>
      <c r="E1769" s="10" t="s">
        <v>51</v>
      </c>
      <c r="F1769" s="10"/>
      <c r="G1769" s="10" t="s">
        <v>162</v>
      </c>
      <c r="H1769" s="30" t="n">
        <v>42745</v>
      </c>
      <c r="I1769" s="8" t="n">
        <f aca="false">INDEX(Parâmetros!$C$13:$C$19,MATCH(E1769,Parâmetros!$A$13:$A$19,0))</f>
        <v>550</v>
      </c>
      <c r="J1769" s="26" t="n">
        <f aca="false">IF(H1769="","",Parâmetros!$B$5-H1769)</f>
        <v>355</v>
      </c>
      <c r="K1769" s="10" t="n">
        <f aca="false">INDEX(Parâmetros!$D$13:$D$19,MATCH(E1769,Parâmetros!$A$13:$A$19,0))</f>
        <v>22</v>
      </c>
      <c r="L1769" s="10" t="n">
        <f aca="false">IF(G1769="Prospecting",Parâmetros!$B$9,IF(J1769&gt;Parâmetros!$B$6,0,INDEX(Parâmetros!$C$24:$C$26,MATCH(J1769,Parâmetros!$A$24:$A$26,1))))</f>
        <v>0</v>
      </c>
      <c r="M1769" s="31" t="n">
        <f aca="false">IF(G1769="Prospecting",1,INDEX(Parâmetros!$C$32:$C$35,MATCH(J1769,Parâmetros!$A$32:$A$35,1)))</f>
        <v>0.25</v>
      </c>
      <c r="N1769" s="2" t="n">
        <f aca="false">ROUND((K1769+L1769)*M1769,0)</f>
        <v>6</v>
      </c>
      <c r="O1769" s="10" t="str">
        <f aca="false">IF(AND(G1769="Engaging",J1769&gt;Parâmetros!$B$6),"Sim","Não")</f>
        <v>Sim</v>
      </c>
      <c r="P1769" s="32" t="str">
        <f aca="false">IF(O1769="Sim","R",IF(N1769&gt;=Parâmetros!$B$39,"A",IF(N1769&gt;=Parâmetros!$B$40,"B",IF(N1769&gt;=Parâmetros!$B$41,"C","D"))))</f>
        <v>R</v>
      </c>
      <c r="Q1769" s="10" t="str">
        <f aca="false">IF(F1769="","Completar cadastro","")</f>
        <v>Completar cadastro</v>
      </c>
      <c r="R1769" s="10" t="str">
        <f aca="false">INDEX(Parâmetros!$D$39:$D$43,MATCH(P1769,Parâmetros!$A$39:$A$43,0))</f>
        <v>Reciclar: requalificar, reengajar ou encerrar</v>
      </c>
    </row>
    <row r="1770" customFormat="false" ht="15" hidden="false" customHeight="false" outlineLevel="0" collapsed="false">
      <c r="A1770" s="10" t="s">
        <v>2017</v>
      </c>
      <c r="B1770" s="10" t="s">
        <v>62</v>
      </c>
      <c r="C1770" s="10" t="s">
        <v>58</v>
      </c>
      <c r="D1770" s="10" t="s">
        <v>165</v>
      </c>
      <c r="E1770" s="10" t="s">
        <v>51</v>
      </c>
      <c r="F1770" s="10" t="s">
        <v>660</v>
      </c>
      <c r="G1770" s="10" t="s">
        <v>162</v>
      </c>
      <c r="H1770" s="30" t="n">
        <v>42747</v>
      </c>
      <c r="I1770" s="8" t="n">
        <f aca="false">INDEX(Parâmetros!$C$13:$C$19,MATCH(E1770,Parâmetros!$A$13:$A$19,0))</f>
        <v>550</v>
      </c>
      <c r="J1770" s="26" t="n">
        <f aca="false">IF(H1770="","",Parâmetros!$B$5-H1770)</f>
        <v>353</v>
      </c>
      <c r="K1770" s="10" t="n">
        <f aca="false">INDEX(Parâmetros!$D$13:$D$19,MATCH(E1770,Parâmetros!$A$13:$A$19,0))</f>
        <v>22</v>
      </c>
      <c r="L1770" s="10" t="n">
        <f aca="false">IF(G1770="Prospecting",Parâmetros!$B$9,IF(J1770&gt;Parâmetros!$B$6,0,INDEX(Parâmetros!$C$24:$C$26,MATCH(J1770,Parâmetros!$A$24:$A$26,1))))</f>
        <v>0</v>
      </c>
      <c r="M1770" s="31" t="n">
        <f aca="false">IF(G1770="Prospecting",1,INDEX(Parâmetros!$C$32:$C$35,MATCH(J1770,Parâmetros!$A$32:$A$35,1)))</f>
        <v>0.25</v>
      </c>
      <c r="N1770" s="2" t="n">
        <f aca="false">ROUND((K1770+L1770)*M1770,0)</f>
        <v>6</v>
      </c>
      <c r="O1770" s="10" t="str">
        <f aca="false">IF(AND(G1770="Engaging",J1770&gt;Parâmetros!$B$6),"Sim","Não")</f>
        <v>Sim</v>
      </c>
      <c r="P1770" s="32" t="str">
        <f aca="false">IF(O1770="Sim","R",IF(N1770&gt;=Parâmetros!$B$39,"A",IF(N1770&gt;=Parâmetros!$B$40,"B",IF(N1770&gt;=Parâmetros!$B$41,"C","D"))))</f>
        <v>R</v>
      </c>
      <c r="Q1770" s="10" t="str">
        <f aca="false">IF(F1770="","Completar cadastro","")</f>
        <v/>
      </c>
      <c r="R1770" s="10" t="str">
        <f aca="false">INDEX(Parâmetros!$D$39:$D$43,MATCH(P1770,Parâmetros!$A$39:$A$43,0))</f>
        <v>Reciclar: requalificar, reengajar ou encerrar</v>
      </c>
    </row>
    <row r="1771" customFormat="false" ht="15" hidden="false" customHeight="false" outlineLevel="0" collapsed="false">
      <c r="A1771" s="10" t="s">
        <v>2018</v>
      </c>
      <c r="B1771" s="10" t="s">
        <v>70</v>
      </c>
      <c r="C1771" s="10" t="s">
        <v>65</v>
      </c>
      <c r="D1771" s="10" t="s">
        <v>160</v>
      </c>
      <c r="E1771" s="10" t="s">
        <v>51</v>
      </c>
      <c r="F1771" s="10" t="s">
        <v>321</v>
      </c>
      <c r="G1771" s="10" t="s">
        <v>162</v>
      </c>
      <c r="H1771" s="30" t="n">
        <v>42749</v>
      </c>
      <c r="I1771" s="8" t="n">
        <f aca="false">INDEX(Parâmetros!$C$13:$C$19,MATCH(E1771,Parâmetros!$A$13:$A$19,0))</f>
        <v>550</v>
      </c>
      <c r="J1771" s="26" t="n">
        <f aca="false">IF(H1771="","",Parâmetros!$B$5-H1771)</f>
        <v>351</v>
      </c>
      <c r="K1771" s="10" t="n">
        <f aca="false">INDEX(Parâmetros!$D$13:$D$19,MATCH(E1771,Parâmetros!$A$13:$A$19,0))</f>
        <v>22</v>
      </c>
      <c r="L1771" s="10" t="n">
        <f aca="false">IF(G1771="Prospecting",Parâmetros!$B$9,IF(J1771&gt;Parâmetros!$B$6,0,INDEX(Parâmetros!$C$24:$C$26,MATCH(J1771,Parâmetros!$A$24:$A$26,1))))</f>
        <v>0</v>
      </c>
      <c r="M1771" s="31" t="n">
        <f aca="false">IF(G1771="Prospecting",1,INDEX(Parâmetros!$C$32:$C$35,MATCH(J1771,Parâmetros!$A$32:$A$35,1)))</f>
        <v>0.25</v>
      </c>
      <c r="N1771" s="2" t="n">
        <f aca="false">ROUND((K1771+L1771)*M1771,0)</f>
        <v>6</v>
      </c>
      <c r="O1771" s="10" t="str">
        <f aca="false">IF(AND(G1771="Engaging",J1771&gt;Parâmetros!$B$6),"Sim","Não")</f>
        <v>Sim</v>
      </c>
      <c r="P1771" s="32" t="str">
        <f aca="false">IF(O1771="Sim","R",IF(N1771&gt;=Parâmetros!$B$39,"A",IF(N1771&gt;=Parâmetros!$B$40,"B",IF(N1771&gt;=Parâmetros!$B$41,"C","D"))))</f>
        <v>R</v>
      </c>
      <c r="Q1771" s="10" t="str">
        <f aca="false">IF(F1771="","Completar cadastro","")</f>
        <v/>
      </c>
      <c r="R1771" s="10" t="str">
        <f aca="false">INDEX(Parâmetros!$D$39:$D$43,MATCH(P1771,Parâmetros!$A$39:$A$43,0))</f>
        <v>Reciclar: requalificar, reengajar ou encerrar</v>
      </c>
    </row>
    <row r="1772" customFormat="false" ht="15" hidden="false" customHeight="false" outlineLevel="0" collapsed="false">
      <c r="A1772" s="10" t="s">
        <v>2019</v>
      </c>
      <c r="B1772" s="10" t="s">
        <v>70</v>
      </c>
      <c r="C1772" s="10" t="s">
        <v>65</v>
      </c>
      <c r="D1772" s="10" t="s">
        <v>160</v>
      </c>
      <c r="E1772" s="10" t="s">
        <v>51</v>
      </c>
      <c r="F1772" s="10"/>
      <c r="G1772" s="10" t="s">
        <v>162</v>
      </c>
      <c r="H1772" s="30" t="n">
        <v>42750</v>
      </c>
      <c r="I1772" s="8" t="n">
        <f aca="false">INDEX(Parâmetros!$C$13:$C$19,MATCH(E1772,Parâmetros!$A$13:$A$19,0))</f>
        <v>550</v>
      </c>
      <c r="J1772" s="26" t="n">
        <f aca="false">IF(H1772="","",Parâmetros!$B$5-H1772)</f>
        <v>350</v>
      </c>
      <c r="K1772" s="10" t="n">
        <f aca="false">INDEX(Parâmetros!$D$13:$D$19,MATCH(E1772,Parâmetros!$A$13:$A$19,0))</f>
        <v>22</v>
      </c>
      <c r="L1772" s="10" t="n">
        <f aca="false">IF(G1772="Prospecting",Parâmetros!$B$9,IF(J1772&gt;Parâmetros!$B$6,0,INDEX(Parâmetros!$C$24:$C$26,MATCH(J1772,Parâmetros!$A$24:$A$26,1))))</f>
        <v>0</v>
      </c>
      <c r="M1772" s="31" t="n">
        <f aca="false">IF(G1772="Prospecting",1,INDEX(Parâmetros!$C$32:$C$35,MATCH(J1772,Parâmetros!$A$32:$A$35,1)))</f>
        <v>0.25</v>
      </c>
      <c r="N1772" s="2" t="n">
        <f aca="false">ROUND((K1772+L1772)*M1772,0)</f>
        <v>6</v>
      </c>
      <c r="O1772" s="10" t="str">
        <f aca="false">IF(AND(G1772="Engaging",J1772&gt;Parâmetros!$B$6),"Sim","Não")</f>
        <v>Sim</v>
      </c>
      <c r="P1772" s="32" t="str">
        <f aca="false">IF(O1772="Sim","R",IF(N1772&gt;=Parâmetros!$B$39,"A",IF(N1772&gt;=Parâmetros!$B$40,"B",IF(N1772&gt;=Parâmetros!$B$41,"C","D"))))</f>
        <v>R</v>
      </c>
      <c r="Q1772" s="10" t="str">
        <f aca="false">IF(F1772="","Completar cadastro","")</f>
        <v>Completar cadastro</v>
      </c>
      <c r="R1772" s="10" t="str">
        <f aca="false">INDEX(Parâmetros!$D$39:$D$43,MATCH(P1772,Parâmetros!$A$39:$A$43,0))</f>
        <v>Reciclar: requalificar, reengajar ou encerrar</v>
      </c>
    </row>
    <row r="1773" customFormat="false" ht="15" hidden="false" customHeight="false" outlineLevel="0" collapsed="false">
      <c r="A1773" s="10" t="s">
        <v>2020</v>
      </c>
      <c r="B1773" s="10" t="s">
        <v>94</v>
      </c>
      <c r="C1773" s="10" t="s">
        <v>92</v>
      </c>
      <c r="D1773" s="10" t="s">
        <v>160</v>
      </c>
      <c r="E1773" s="10" t="s">
        <v>51</v>
      </c>
      <c r="F1773" s="10"/>
      <c r="G1773" s="10" t="s">
        <v>162</v>
      </c>
      <c r="H1773" s="30" t="n">
        <v>42756</v>
      </c>
      <c r="I1773" s="8" t="n">
        <f aca="false">INDEX(Parâmetros!$C$13:$C$19,MATCH(E1773,Parâmetros!$A$13:$A$19,0))</f>
        <v>550</v>
      </c>
      <c r="J1773" s="26" t="n">
        <f aca="false">IF(H1773="","",Parâmetros!$B$5-H1773)</f>
        <v>344</v>
      </c>
      <c r="K1773" s="10" t="n">
        <f aca="false">INDEX(Parâmetros!$D$13:$D$19,MATCH(E1773,Parâmetros!$A$13:$A$19,0))</f>
        <v>22</v>
      </c>
      <c r="L1773" s="10" t="n">
        <f aca="false">IF(G1773="Prospecting",Parâmetros!$B$9,IF(J1773&gt;Parâmetros!$B$6,0,INDEX(Parâmetros!$C$24:$C$26,MATCH(J1773,Parâmetros!$A$24:$A$26,1))))</f>
        <v>0</v>
      </c>
      <c r="M1773" s="31" t="n">
        <f aca="false">IF(G1773="Prospecting",1,INDEX(Parâmetros!$C$32:$C$35,MATCH(J1773,Parâmetros!$A$32:$A$35,1)))</f>
        <v>0.25</v>
      </c>
      <c r="N1773" s="2" t="n">
        <f aca="false">ROUND((K1773+L1773)*M1773,0)</f>
        <v>6</v>
      </c>
      <c r="O1773" s="10" t="str">
        <f aca="false">IF(AND(G1773="Engaging",J1773&gt;Parâmetros!$B$6),"Sim","Não")</f>
        <v>Sim</v>
      </c>
      <c r="P1773" s="32" t="str">
        <f aca="false">IF(O1773="Sim","R",IF(N1773&gt;=Parâmetros!$B$39,"A",IF(N1773&gt;=Parâmetros!$B$40,"B",IF(N1773&gt;=Parâmetros!$B$41,"C","D"))))</f>
        <v>R</v>
      </c>
      <c r="Q1773" s="10" t="str">
        <f aca="false">IF(F1773="","Completar cadastro","")</f>
        <v>Completar cadastro</v>
      </c>
      <c r="R1773" s="10" t="str">
        <f aca="false">INDEX(Parâmetros!$D$39:$D$43,MATCH(P1773,Parâmetros!$A$39:$A$43,0))</f>
        <v>Reciclar: requalificar, reengajar ou encerrar</v>
      </c>
    </row>
    <row r="1774" customFormat="false" ht="15" hidden="false" customHeight="false" outlineLevel="0" collapsed="false">
      <c r="A1774" s="10" t="s">
        <v>2021</v>
      </c>
      <c r="B1774" s="10" t="s">
        <v>68</v>
      </c>
      <c r="C1774" s="10" t="s">
        <v>65</v>
      </c>
      <c r="D1774" s="10" t="s">
        <v>160</v>
      </c>
      <c r="E1774" s="10" t="s">
        <v>51</v>
      </c>
      <c r="F1774" s="10"/>
      <c r="G1774" s="10" t="s">
        <v>162</v>
      </c>
      <c r="H1774" s="30" t="n">
        <v>42756</v>
      </c>
      <c r="I1774" s="8" t="n">
        <f aca="false">INDEX(Parâmetros!$C$13:$C$19,MATCH(E1774,Parâmetros!$A$13:$A$19,0))</f>
        <v>550</v>
      </c>
      <c r="J1774" s="26" t="n">
        <f aca="false">IF(H1774="","",Parâmetros!$B$5-H1774)</f>
        <v>344</v>
      </c>
      <c r="K1774" s="10" t="n">
        <f aca="false">INDEX(Parâmetros!$D$13:$D$19,MATCH(E1774,Parâmetros!$A$13:$A$19,0))</f>
        <v>22</v>
      </c>
      <c r="L1774" s="10" t="n">
        <f aca="false">IF(G1774="Prospecting",Parâmetros!$B$9,IF(J1774&gt;Parâmetros!$B$6,0,INDEX(Parâmetros!$C$24:$C$26,MATCH(J1774,Parâmetros!$A$24:$A$26,1))))</f>
        <v>0</v>
      </c>
      <c r="M1774" s="31" t="n">
        <f aca="false">IF(G1774="Prospecting",1,INDEX(Parâmetros!$C$32:$C$35,MATCH(J1774,Parâmetros!$A$32:$A$35,1)))</f>
        <v>0.25</v>
      </c>
      <c r="N1774" s="2" t="n">
        <f aca="false">ROUND((K1774+L1774)*M1774,0)</f>
        <v>6</v>
      </c>
      <c r="O1774" s="10" t="str">
        <f aca="false">IF(AND(G1774="Engaging",J1774&gt;Parâmetros!$B$6),"Sim","Não")</f>
        <v>Sim</v>
      </c>
      <c r="P1774" s="32" t="str">
        <f aca="false">IF(O1774="Sim","R",IF(N1774&gt;=Parâmetros!$B$39,"A",IF(N1774&gt;=Parâmetros!$B$40,"B",IF(N1774&gt;=Parâmetros!$B$41,"C","D"))))</f>
        <v>R</v>
      </c>
      <c r="Q1774" s="10" t="str">
        <f aca="false">IF(F1774="","Completar cadastro","")</f>
        <v>Completar cadastro</v>
      </c>
      <c r="R1774" s="10" t="str">
        <f aca="false">INDEX(Parâmetros!$D$39:$D$43,MATCH(P1774,Parâmetros!$A$39:$A$43,0))</f>
        <v>Reciclar: requalificar, reengajar ou encerrar</v>
      </c>
    </row>
    <row r="1775" customFormat="false" ht="15" hidden="false" customHeight="false" outlineLevel="0" collapsed="false">
      <c r="A1775" s="10" t="s">
        <v>2022</v>
      </c>
      <c r="B1775" s="10" t="s">
        <v>94</v>
      </c>
      <c r="C1775" s="10" t="s">
        <v>92</v>
      </c>
      <c r="D1775" s="10" t="s">
        <v>160</v>
      </c>
      <c r="E1775" s="10" t="s">
        <v>51</v>
      </c>
      <c r="F1775" s="10"/>
      <c r="G1775" s="10" t="s">
        <v>162</v>
      </c>
      <c r="H1775" s="30" t="n">
        <v>42759</v>
      </c>
      <c r="I1775" s="8" t="n">
        <f aca="false">INDEX(Parâmetros!$C$13:$C$19,MATCH(E1775,Parâmetros!$A$13:$A$19,0))</f>
        <v>550</v>
      </c>
      <c r="J1775" s="26" t="n">
        <f aca="false">IF(H1775="","",Parâmetros!$B$5-H1775)</f>
        <v>341</v>
      </c>
      <c r="K1775" s="10" t="n">
        <f aca="false">INDEX(Parâmetros!$D$13:$D$19,MATCH(E1775,Parâmetros!$A$13:$A$19,0))</f>
        <v>22</v>
      </c>
      <c r="L1775" s="10" t="n">
        <f aca="false">IF(G1775="Prospecting",Parâmetros!$B$9,IF(J1775&gt;Parâmetros!$B$6,0,INDEX(Parâmetros!$C$24:$C$26,MATCH(J1775,Parâmetros!$A$24:$A$26,1))))</f>
        <v>0</v>
      </c>
      <c r="M1775" s="31" t="n">
        <f aca="false">IF(G1775="Prospecting",1,INDEX(Parâmetros!$C$32:$C$35,MATCH(J1775,Parâmetros!$A$32:$A$35,1)))</f>
        <v>0.25</v>
      </c>
      <c r="N1775" s="2" t="n">
        <f aca="false">ROUND((K1775+L1775)*M1775,0)</f>
        <v>6</v>
      </c>
      <c r="O1775" s="10" t="str">
        <f aca="false">IF(AND(G1775="Engaging",J1775&gt;Parâmetros!$B$6),"Sim","Não")</f>
        <v>Sim</v>
      </c>
      <c r="P1775" s="32" t="str">
        <f aca="false">IF(O1775="Sim","R",IF(N1775&gt;=Parâmetros!$B$39,"A",IF(N1775&gt;=Parâmetros!$B$40,"B",IF(N1775&gt;=Parâmetros!$B$41,"C","D"))))</f>
        <v>R</v>
      </c>
      <c r="Q1775" s="10" t="str">
        <f aca="false">IF(F1775="","Completar cadastro","")</f>
        <v>Completar cadastro</v>
      </c>
      <c r="R1775" s="10" t="str">
        <f aca="false">INDEX(Parâmetros!$D$39:$D$43,MATCH(P1775,Parâmetros!$A$39:$A$43,0))</f>
        <v>Reciclar: requalificar, reengajar ou encerrar</v>
      </c>
    </row>
    <row r="1776" customFormat="false" ht="15" hidden="false" customHeight="false" outlineLevel="0" collapsed="false">
      <c r="A1776" s="10" t="s">
        <v>2023</v>
      </c>
      <c r="B1776" s="10" t="s">
        <v>70</v>
      </c>
      <c r="C1776" s="10" t="s">
        <v>65</v>
      </c>
      <c r="D1776" s="10" t="s">
        <v>160</v>
      </c>
      <c r="E1776" s="10" t="s">
        <v>51</v>
      </c>
      <c r="F1776" s="10"/>
      <c r="G1776" s="10" t="s">
        <v>162</v>
      </c>
      <c r="H1776" s="30" t="n">
        <v>42759</v>
      </c>
      <c r="I1776" s="8" t="n">
        <f aca="false">INDEX(Parâmetros!$C$13:$C$19,MATCH(E1776,Parâmetros!$A$13:$A$19,0))</f>
        <v>550</v>
      </c>
      <c r="J1776" s="26" t="n">
        <f aca="false">IF(H1776="","",Parâmetros!$B$5-H1776)</f>
        <v>341</v>
      </c>
      <c r="K1776" s="10" t="n">
        <f aca="false">INDEX(Parâmetros!$D$13:$D$19,MATCH(E1776,Parâmetros!$A$13:$A$19,0))</f>
        <v>22</v>
      </c>
      <c r="L1776" s="10" t="n">
        <f aca="false">IF(G1776="Prospecting",Parâmetros!$B$9,IF(J1776&gt;Parâmetros!$B$6,0,INDEX(Parâmetros!$C$24:$C$26,MATCH(J1776,Parâmetros!$A$24:$A$26,1))))</f>
        <v>0</v>
      </c>
      <c r="M1776" s="31" t="n">
        <f aca="false">IF(G1776="Prospecting",1,INDEX(Parâmetros!$C$32:$C$35,MATCH(J1776,Parâmetros!$A$32:$A$35,1)))</f>
        <v>0.25</v>
      </c>
      <c r="N1776" s="2" t="n">
        <f aca="false">ROUND((K1776+L1776)*M1776,0)</f>
        <v>6</v>
      </c>
      <c r="O1776" s="10" t="str">
        <f aca="false">IF(AND(G1776="Engaging",J1776&gt;Parâmetros!$B$6),"Sim","Não")</f>
        <v>Sim</v>
      </c>
      <c r="P1776" s="32" t="str">
        <f aca="false">IF(O1776="Sim","R",IF(N1776&gt;=Parâmetros!$B$39,"A",IF(N1776&gt;=Parâmetros!$B$40,"B",IF(N1776&gt;=Parâmetros!$B$41,"C","D"))))</f>
        <v>R</v>
      </c>
      <c r="Q1776" s="10" t="str">
        <f aca="false">IF(F1776="","Completar cadastro","")</f>
        <v>Completar cadastro</v>
      </c>
      <c r="R1776" s="10" t="str">
        <f aca="false">INDEX(Parâmetros!$D$39:$D$43,MATCH(P1776,Parâmetros!$A$39:$A$43,0))</f>
        <v>Reciclar: requalificar, reengajar ou encerrar</v>
      </c>
    </row>
    <row r="1777" customFormat="false" ht="15" hidden="false" customHeight="false" outlineLevel="0" collapsed="false">
      <c r="A1777" s="10" t="s">
        <v>2024</v>
      </c>
      <c r="B1777" s="10" t="s">
        <v>68</v>
      </c>
      <c r="C1777" s="10" t="s">
        <v>65</v>
      </c>
      <c r="D1777" s="10" t="s">
        <v>160</v>
      </c>
      <c r="E1777" s="10" t="s">
        <v>51</v>
      </c>
      <c r="F1777" s="10"/>
      <c r="G1777" s="10" t="s">
        <v>162</v>
      </c>
      <c r="H1777" s="30" t="n">
        <v>42764</v>
      </c>
      <c r="I1777" s="8" t="n">
        <f aca="false">INDEX(Parâmetros!$C$13:$C$19,MATCH(E1777,Parâmetros!$A$13:$A$19,0))</f>
        <v>550</v>
      </c>
      <c r="J1777" s="26" t="n">
        <f aca="false">IF(H1777="","",Parâmetros!$B$5-H1777)</f>
        <v>336</v>
      </c>
      <c r="K1777" s="10" t="n">
        <f aca="false">INDEX(Parâmetros!$D$13:$D$19,MATCH(E1777,Parâmetros!$A$13:$A$19,0))</f>
        <v>22</v>
      </c>
      <c r="L1777" s="10" t="n">
        <f aca="false">IF(G1777="Prospecting",Parâmetros!$B$9,IF(J1777&gt;Parâmetros!$B$6,0,INDEX(Parâmetros!$C$24:$C$26,MATCH(J1777,Parâmetros!$A$24:$A$26,1))))</f>
        <v>0</v>
      </c>
      <c r="M1777" s="31" t="n">
        <f aca="false">IF(G1777="Prospecting",1,INDEX(Parâmetros!$C$32:$C$35,MATCH(J1777,Parâmetros!$A$32:$A$35,1)))</f>
        <v>0.25</v>
      </c>
      <c r="N1777" s="2" t="n">
        <f aca="false">ROUND((K1777+L1777)*M1777,0)</f>
        <v>6</v>
      </c>
      <c r="O1777" s="10" t="str">
        <f aca="false">IF(AND(G1777="Engaging",J1777&gt;Parâmetros!$B$6),"Sim","Não")</f>
        <v>Sim</v>
      </c>
      <c r="P1777" s="32" t="str">
        <f aca="false">IF(O1777="Sim","R",IF(N1777&gt;=Parâmetros!$B$39,"A",IF(N1777&gt;=Parâmetros!$B$40,"B",IF(N1777&gt;=Parâmetros!$B$41,"C","D"))))</f>
        <v>R</v>
      </c>
      <c r="Q1777" s="10" t="str">
        <f aca="false">IF(F1777="","Completar cadastro","")</f>
        <v>Completar cadastro</v>
      </c>
      <c r="R1777" s="10" t="str">
        <f aca="false">INDEX(Parâmetros!$D$39:$D$43,MATCH(P1777,Parâmetros!$A$39:$A$43,0))</f>
        <v>Reciclar: requalificar, reengajar ou encerrar</v>
      </c>
    </row>
    <row r="1778" customFormat="false" ht="15" hidden="false" customHeight="false" outlineLevel="0" collapsed="false">
      <c r="A1778" s="10" t="s">
        <v>2025</v>
      </c>
      <c r="B1778" s="10" t="s">
        <v>57</v>
      </c>
      <c r="C1778" s="10" t="s">
        <v>58</v>
      </c>
      <c r="D1778" s="10" t="s">
        <v>165</v>
      </c>
      <c r="E1778" s="10" t="s">
        <v>51</v>
      </c>
      <c r="F1778" s="10"/>
      <c r="G1778" s="10" t="s">
        <v>162</v>
      </c>
      <c r="H1778" s="30" t="n">
        <v>42766</v>
      </c>
      <c r="I1778" s="8" t="n">
        <f aca="false">INDEX(Parâmetros!$C$13:$C$19,MATCH(E1778,Parâmetros!$A$13:$A$19,0))</f>
        <v>550</v>
      </c>
      <c r="J1778" s="26" t="n">
        <f aca="false">IF(H1778="","",Parâmetros!$B$5-H1778)</f>
        <v>334</v>
      </c>
      <c r="K1778" s="10" t="n">
        <f aca="false">INDEX(Parâmetros!$D$13:$D$19,MATCH(E1778,Parâmetros!$A$13:$A$19,0))</f>
        <v>22</v>
      </c>
      <c r="L1778" s="10" t="n">
        <f aca="false">IF(G1778="Prospecting",Parâmetros!$B$9,IF(J1778&gt;Parâmetros!$B$6,0,INDEX(Parâmetros!$C$24:$C$26,MATCH(J1778,Parâmetros!$A$24:$A$26,1))))</f>
        <v>0</v>
      </c>
      <c r="M1778" s="31" t="n">
        <f aca="false">IF(G1778="Prospecting",1,INDEX(Parâmetros!$C$32:$C$35,MATCH(J1778,Parâmetros!$A$32:$A$35,1)))</f>
        <v>0.25</v>
      </c>
      <c r="N1778" s="2" t="n">
        <f aca="false">ROUND((K1778+L1778)*M1778,0)</f>
        <v>6</v>
      </c>
      <c r="O1778" s="10" t="str">
        <f aca="false">IF(AND(G1778="Engaging",J1778&gt;Parâmetros!$B$6),"Sim","Não")</f>
        <v>Sim</v>
      </c>
      <c r="P1778" s="32" t="str">
        <f aca="false">IF(O1778="Sim","R",IF(N1778&gt;=Parâmetros!$B$39,"A",IF(N1778&gt;=Parâmetros!$B$40,"B",IF(N1778&gt;=Parâmetros!$B$41,"C","D"))))</f>
        <v>R</v>
      </c>
      <c r="Q1778" s="10" t="str">
        <f aca="false">IF(F1778="","Completar cadastro","")</f>
        <v>Completar cadastro</v>
      </c>
      <c r="R1778" s="10" t="str">
        <f aca="false">INDEX(Parâmetros!$D$39:$D$43,MATCH(P1778,Parâmetros!$A$39:$A$43,0))</f>
        <v>Reciclar: requalificar, reengajar ou encerrar</v>
      </c>
    </row>
    <row r="1779" customFormat="false" ht="15" hidden="false" customHeight="false" outlineLevel="0" collapsed="false">
      <c r="A1779" s="10" t="s">
        <v>2026</v>
      </c>
      <c r="B1779" s="10" t="s">
        <v>57</v>
      </c>
      <c r="C1779" s="10" t="s">
        <v>58</v>
      </c>
      <c r="D1779" s="10" t="s">
        <v>165</v>
      </c>
      <c r="E1779" s="10" t="s">
        <v>51</v>
      </c>
      <c r="F1779" s="10" t="s">
        <v>512</v>
      </c>
      <c r="G1779" s="10" t="s">
        <v>162</v>
      </c>
      <c r="H1779" s="30" t="n">
        <v>42770</v>
      </c>
      <c r="I1779" s="8" t="n">
        <f aca="false">INDEX(Parâmetros!$C$13:$C$19,MATCH(E1779,Parâmetros!$A$13:$A$19,0))</f>
        <v>550</v>
      </c>
      <c r="J1779" s="26" t="n">
        <f aca="false">IF(H1779="","",Parâmetros!$B$5-H1779)</f>
        <v>330</v>
      </c>
      <c r="K1779" s="10" t="n">
        <f aca="false">INDEX(Parâmetros!$D$13:$D$19,MATCH(E1779,Parâmetros!$A$13:$A$19,0))</f>
        <v>22</v>
      </c>
      <c r="L1779" s="10" t="n">
        <f aca="false">IF(G1779="Prospecting",Parâmetros!$B$9,IF(J1779&gt;Parâmetros!$B$6,0,INDEX(Parâmetros!$C$24:$C$26,MATCH(J1779,Parâmetros!$A$24:$A$26,1))))</f>
        <v>0</v>
      </c>
      <c r="M1779" s="31" t="n">
        <f aca="false">IF(G1779="Prospecting",1,INDEX(Parâmetros!$C$32:$C$35,MATCH(J1779,Parâmetros!$A$32:$A$35,1)))</f>
        <v>0.25</v>
      </c>
      <c r="N1779" s="2" t="n">
        <f aca="false">ROUND((K1779+L1779)*M1779,0)</f>
        <v>6</v>
      </c>
      <c r="O1779" s="10" t="str">
        <f aca="false">IF(AND(G1779="Engaging",J1779&gt;Parâmetros!$B$6),"Sim","Não")</f>
        <v>Sim</v>
      </c>
      <c r="P1779" s="32" t="str">
        <f aca="false">IF(O1779="Sim","R",IF(N1779&gt;=Parâmetros!$B$39,"A",IF(N1779&gt;=Parâmetros!$B$40,"B",IF(N1779&gt;=Parâmetros!$B$41,"C","D"))))</f>
        <v>R</v>
      </c>
      <c r="Q1779" s="10" t="str">
        <f aca="false">IF(F1779="","Completar cadastro","")</f>
        <v/>
      </c>
      <c r="R1779" s="10" t="str">
        <f aca="false">INDEX(Parâmetros!$D$39:$D$43,MATCH(P1779,Parâmetros!$A$39:$A$43,0))</f>
        <v>Reciclar: requalificar, reengajar ou encerrar</v>
      </c>
    </row>
    <row r="1780" customFormat="false" ht="15" hidden="false" customHeight="false" outlineLevel="0" collapsed="false">
      <c r="A1780" s="10" t="s">
        <v>2027</v>
      </c>
      <c r="B1780" s="10" t="s">
        <v>86</v>
      </c>
      <c r="C1780" s="10" t="s">
        <v>85</v>
      </c>
      <c r="D1780" s="10" t="s">
        <v>165</v>
      </c>
      <c r="E1780" s="10" t="s">
        <v>51</v>
      </c>
      <c r="F1780" s="10" t="s">
        <v>427</v>
      </c>
      <c r="G1780" s="10" t="s">
        <v>162</v>
      </c>
      <c r="H1780" s="30" t="n">
        <v>42771</v>
      </c>
      <c r="I1780" s="8" t="n">
        <f aca="false">INDEX(Parâmetros!$C$13:$C$19,MATCH(E1780,Parâmetros!$A$13:$A$19,0))</f>
        <v>550</v>
      </c>
      <c r="J1780" s="26" t="n">
        <f aca="false">IF(H1780="","",Parâmetros!$B$5-H1780)</f>
        <v>329</v>
      </c>
      <c r="K1780" s="10" t="n">
        <f aca="false">INDEX(Parâmetros!$D$13:$D$19,MATCH(E1780,Parâmetros!$A$13:$A$19,0))</f>
        <v>22</v>
      </c>
      <c r="L1780" s="10" t="n">
        <f aca="false">IF(G1780="Prospecting",Parâmetros!$B$9,IF(J1780&gt;Parâmetros!$B$6,0,INDEX(Parâmetros!$C$24:$C$26,MATCH(J1780,Parâmetros!$A$24:$A$26,1))))</f>
        <v>0</v>
      </c>
      <c r="M1780" s="31" t="n">
        <f aca="false">IF(G1780="Prospecting",1,INDEX(Parâmetros!$C$32:$C$35,MATCH(J1780,Parâmetros!$A$32:$A$35,1)))</f>
        <v>0.25</v>
      </c>
      <c r="N1780" s="2" t="n">
        <f aca="false">ROUND((K1780+L1780)*M1780,0)</f>
        <v>6</v>
      </c>
      <c r="O1780" s="10" t="str">
        <f aca="false">IF(AND(G1780="Engaging",J1780&gt;Parâmetros!$B$6),"Sim","Não")</f>
        <v>Sim</v>
      </c>
      <c r="P1780" s="32" t="str">
        <f aca="false">IF(O1780="Sim","R",IF(N1780&gt;=Parâmetros!$B$39,"A",IF(N1780&gt;=Parâmetros!$B$40,"B",IF(N1780&gt;=Parâmetros!$B$41,"C","D"))))</f>
        <v>R</v>
      </c>
      <c r="Q1780" s="10" t="str">
        <f aca="false">IF(F1780="","Completar cadastro","")</f>
        <v/>
      </c>
      <c r="R1780" s="10" t="str">
        <f aca="false">INDEX(Parâmetros!$D$39:$D$43,MATCH(P1780,Parâmetros!$A$39:$A$43,0))</f>
        <v>Reciclar: requalificar, reengajar ou encerrar</v>
      </c>
    </row>
    <row r="1781" customFormat="false" ht="15" hidden="false" customHeight="false" outlineLevel="0" collapsed="false">
      <c r="A1781" s="10" t="s">
        <v>2028</v>
      </c>
      <c r="B1781" s="10" t="s">
        <v>63</v>
      </c>
      <c r="C1781" s="10" t="s">
        <v>58</v>
      </c>
      <c r="D1781" s="10" t="s">
        <v>165</v>
      </c>
      <c r="E1781" s="10" t="s">
        <v>51</v>
      </c>
      <c r="F1781" s="10"/>
      <c r="G1781" s="10" t="s">
        <v>162</v>
      </c>
      <c r="H1781" s="30" t="n">
        <v>42771</v>
      </c>
      <c r="I1781" s="8" t="n">
        <f aca="false">INDEX(Parâmetros!$C$13:$C$19,MATCH(E1781,Parâmetros!$A$13:$A$19,0))</f>
        <v>550</v>
      </c>
      <c r="J1781" s="26" t="n">
        <f aca="false">IF(H1781="","",Parâmetros!$B$5-H1781)</f>
        <v>329</v>
      </c>
      <c r="K1781" s="10" t="n">
        <f aca="false">INDEX(Parâmetros!$D$13:$D$19,MATCH(E1781,Parâmetros!$A$13:$A$19,0))</f>
        <v>22</v>
      </c>
      <c r="L1781" s="10" t="n">
        <f aca="false">IF(G1781="Prospecting",Parâmetros!$B$9,IF(J1781&gt;Parâmetros!$B$6,0,INDEX(Parâmetros!$C$24:$C$26,MATCH(J1781,Parâmetros!$A$24:$A$26,1))))</f>
        <v>0</v>
      </c>
      <c r="M1781" s="31" t="n">
        <f aca="false">IF(G1781="Prospecting",1,INDEX(Parâmetros!$C$32:$C$35,MATCH(J1781,Parâmetros!$A$32:$A$35,1)))</f>
        <v>0.25</v>
      </c>
      <c r="N1781" s="2" t="n">
        <f aca="false">ROUND((K1781+L1781)*M1781,0)</f>
        <v>6</v>
      </c>
      <c r="O1781" s="10" t="str">
        <f aca="false">IF(AND(G1781="Engaging",J1781&gt;Parâmetros!$B$6),"Sim","Não")</f>
        <v>Sim</v>
      </c>
      <c r="P1781" s="32" t="str">
        <f aca="false">IF(O1781="Sim","R",IF(N1781&gt;=Parâmetros!$B$39,"A",IF(N1781&gt;=Parâmetros!$B$40,"B",IF(N1781&gt;=Parâmetros!$B$41,"C","D"))))</f>
        <v>R</v>
      </c>
      <c r="Q1781" s="10" t="str">
        <f aca="false">IF(F1781="","Completar cadastro","")</f>
        <v>Completar cadastro</v>
      </c>
      <c r="R1781" s="10" t="str">
        <f aca="false">INDEX(Parâmetros!$D$39:$D$43,MATCH(P1781,Parâmetros!$A$39:$A$43,0))</f>
        <v>Reciclar: requalificar, reengajar ou encerrar</v>
      </c>
    </row>
    <row r="1782" customFormat="false" ht="15" hidden="false" customHeight="false" outlineLevel="0" collapsed="false">
      <c r="A1782" s="10" t="s">
        <v>2029</v>
      </c>
      <c r="B1782" s="10" t="s">
        <v>94</v>
      </c>
      <c r="C1782" s="10" t="s">
        <v>92</v>
      </c>
      <c r="D1782" s="10" t="s">
        <v>160</v>
      </c>
      <c r="E1782" s="10" t="s">
        <v>51</v>
      </c>
      <c r="F1782" s="10" t="s">
        <v>326</v>
      </c>
      <c r="G1782" s="10" t="s">
        <v>162</v>
      </c>
      <c r="H1782" s="30" t="n">
        <v>42773</v>
      </c>
      <c r="I1782" s="8" t="n">
        <f aca="false">INDEX(Parâmetros!$C$13:$C$19,MATCH(E1782,Parâmetros!$A$13:$A$19,0))</f>
        <v>550</v>
      </c>
      <c r="J1782" s="26" t="n">
        <f aca="false">IF(H1782="","",Parâmetros!$B$5-H1782)</f>
        <v>327</v>
      </c>
      <c r="K1782" s="10" t="n">
        <f aca="false">INDEX(Parâmetros!$D$13:$D$19,MATCH(E1782,Parâmetros!$A$13:$A$19,0))</f>
        <v>22</v>
      </c>
      <c r="L1782" s="10" t="n">
        <f aca="false">IF(G1782="Prospecting",Parâmetros!$B$9,IF(J1782&gt;Parâmetros!$B$6,0,INDEX(Parâmetros!$C$24:$C$26,MATCH(J1782,Parâmetros!$A$24:$A$26,1))))</f>
        <v>0</v>
      </c>
      <c r="M1782" s="31" t="n">
        <f aca="false">IF(G1782="Prospecting",1,INDEX(Parâmetros!$C$32:$C$35,MATCH(J1782,Parâmetros!$A$32:$A$35,1)))</f>
        <v>0.25</v>
      </c>
      <c r="N1782" s="2" t="n">
        <f aca="false">ROUND((K1782+L1782)*M1782,0)</f>
        <v>6</v>
      </c>
      <c r="O1782" s="10" t="str">
        <f aca="false">IF(AND(G1782="Engaging",J1782&gt;Parâmetros!$B$6),"Sim","Não")</f>
        <v>Sim</v>
      </c>
      <c r="P1782" s="32" t="str">
        <f aca="false">IF(O1782="Sim","R",IF(N1782&gt;=Parâmetros!$B$39,"A",IF(N1782&gt;=Parâmetros!$B$40,"B",IF(N1782&gt;=Parâmetros!$B$41,"C","D"))))</f>
        <v>R</v>
      </c>
      <c r="Q1782" s="10" t="str">
        <f aca="false">IF(F1782="","Completar cadastro","")</f>
        <v/>
      </c>
      <c r="R1782" s="10" t="str">
        <f aca="false">INDEX(Parâmetros!$D$39:$D$43,MATCH(P1782,Parâmetros!$A$39:$A$43,0))</f>
        <v>Reciclar: requalificar, reengajar ou encerrar</v>
      </c>
    </row>
    <row r="1783" customFormat="false" ht="15" hidden="false" customHeight="false" outlineLevel="0" collapsed="false">
      <c r="A1783" s="10" t="s">
        <v>2030</v>
      </c>
      <c r="B1783" s="10" t="s">
        <v>66</v>
      </c>
      <c r="C1783" s="10" t="s">
        <v>65</v>
      </c>
      <c r="D1783" s="10" t="s">
        <v>160</v>
      </c>
      <c r="E1783" s="10" t="s">
        <v>51</v>
      </c>
      <c r="F1783" s="10" t="s">
        <v>388</v>
      </c>
      <c r="G1783" s="10" t="s">
        <v>162</v>
      </c>
      <c r="H1783" s="30" t="n">
        <v>42774</v>
      </c>
      <c r="I1783" s="8" t="n">
        <f aca="false">INDEX(Parâmetros!$C$13:$C$19,MATCH(E1783,Parâmetros!$A$13:$A$19,0))</f>
        <v>550</v>
      </c>
      <c r="J1783" s="26" t="n">
        <f aca="false">IF(H1783="","",Parâmetros!$B$5-H1783)</f>
        <v>326</v>
      </c>
      <c r="K1783" s="10" t="n">
        <f aca="false">INDEX(Parâmetros!$D$13:$D$19,MATCH(E1783,Parâmetros!$A$13:$A$19,0))</f>
        <v>22</v>
      </c>
      <c r="L1783" s="10" t="n">
        <f aca="false">IF(G1783="Prospecting",Parâmetros!$B$9,IF(J1783&gt;Parâmetros!$B$6,0,INDEX(Parâmetros!$C$24:$C$26,MATCH(J1783,Parâmetros!$A$24:$A$26,1))))</f>
        <v>0</v>
      </c>
      <c r="M1783" s="31" t="n">
        <f aca="false">IF(G1783="Prospecting",1,INDEX(Parâmetros!$C$32:$C$35,MATCH(J1783,Parâmetros!$A$32:$A$35,1)))</f>
        <v>0.25</v>
      </c>
      <c r="N1783" s="2" t="n">
        <f aca="false">ROUND((K1783+L1783)*M1783,0)</f>
        <v>6</v>
      </c>
      <c r="O1783" s="10" t="str">
        <f aca="false">IF(AND(G1783="Engaging",J1783&gt;Parâmetros!$B$6),"Sim","Não")</f>
        <v>Sim</v>
      </c>
      <c r="P1783" s="32" t="str">
        <f aca="false">IF(O1783="Sim","R",IF(N1783&gt;=Parâmetros!$B$39,"A",IF(N1783&gt;=Parâmetros!$B$40,"B",IF(N1783&gt;=Parâmetros!$B$41,"C","D"))))</f>
        <v>R</v>
      </c>
      <c r="Q1783" s="10" t="str">
        <f aca="false">IF(F1783="","Completar cadastro","")</f>
        <v/>
      </c>
      <c r="R1783" s="10" t="str">
        <f aca="false">INDEX(Parâmetros!$D$39:$D$43,MATCH(P1783,Parâmetros!$A$39:$A$43,0))</f>
        <v>Reciclar: requalificar, reengajar ou encerrar</v>
      </c>
    </row>
    <row r="1784" customFormat="false" ht="15" hidden="false" customHeight="false" outlineLevel="0" collapsed="false">
      <c r="A1784" s="10" t="s">
        <v>2031</v>
      </c>
      <c r="B1784" s="10" t="s">
        <v>94</v>
      </c>
      <c r="C1784" s="10" t="s">
        <v>92</v>
      </c>
      <c r="D1784" s="10" t="s">
        <v>160</v>
      </c>
      <c r="E1784" s="10" t="s">
        <v>51</v>
      </c>
      <c r="F1784" s="10" t="s">
        <v>396</v>
      </c>
      <c r="G1784" s="10" t="s">
        <v>162</v>
      </c>
      <c r="H1784" s="30" t="n">
        <v>42776</v>
      </c>
      <c r="I1784" s="8" t="n">
        <f aca="false">INDEX(Parâmetros!$C$13:$C$19,MATCH(E1784,Parâmetros!$A$13:$A$19,0))</f>
        <v>550</v>
      </c>
      <c r="J1784" s="26" t="n">
        <f aca="false">IF(H1784="","",Parâmetros!$B$5-H1784)</f>
        <v>324</v>
      </c>
      <c r="K1784" s="10" t="n">
        <f aca="false">INDEX(Parâmetros!$D$13:$D$19,MATCH(E1784,Parâmetros!$A$13:$A$19,0))</f>
        <v>22</v>
      </c>
      <c r="L1784" s="10" t="n">
        <f aca="false">IF(G1784="Prospecting",Parâmetros!$B$9,IF(J1784&gt;Parâmetros!$B$6,0,INDEX(Parâmetros!$C$24:$C$26,MATCH(J1784,Parâmetros!$A$24:$A$26,1))))</f>
        <v>0</v>
      </c>
      <c r="M1784" s="31" t="n">
        <f aca="false">IF(G1784="Prospecting",1,INDEX(Parâmetros!$C$32:$C$35,MATCH(J1784,Parâmetros!$A$32:$A$35,1)))</f>
        <v>0.25</v>
      </c>
      <c r="N1784" s="2" t="n">
        <f aca="false">ROUND((K1784+L1784)*M1784,0)</f>
        <v>6</v>
      </c>
      <c r="O1784" s="10" t="str">
        <f aca="false">IF(AND(G1784="Engaging",J1784&gt;Parâmetros!$B$6),"Sim","Não")</f>
        <v>Sim</v>
      </c>
      <c r="P1784" s="32" t="str">
        <f aca="false">IF(O1784="Sim","R",IF(N1784&gt;=Parâmetros!$B$39,"A",IF(N1784&gt;=Parâmetros!$B$40,"B",IF(N1784&gt;=Parâmetros!$B$41,"C","D"))))</f>
        <v>R</v>
      </c>
      <c r="Q1784" s="10" t="str">
        <f aca="false">IF(F1784="","Completar cadastro","")</f>
        <v/>
      </c>
      <c r="R1784" s="10" t="str">
        <f aca="false">INDEX(Parâmetros!$D$39:$D$43,MATCH(P1784,Parâmetros!$A$39:$A$43,0))</f>
        <v>Reciclar: requalificar, reengajar ou encerrar</v>
      </c>
    </row>
    <row r="1785" customFormat="false" ht="15" hidden="false" customHeight="false" outlineLevel="0" collapsed="false">
      <c r="A1785" s="10" t="s">
        <v>2032</v>
      </c>
      <c r="B1785" s="10" t="s">
        <v>95</v>
      </c>
      <c r="C1785" s="10" t="s">
        <v>92</v>
      </c>
      <c r="D1785" s="10" t="s">
        <v>160</v>
      </c>
      <c r="E1785" s="10" t="s">
        <v>51</v>
      </c>
      <c r="F1785" s="10"/>
      <c r="G1785" s="10" t="s">
        <v>162</v>
      </c>
      <c r="H1785" s="30" t="n">
        <v>42777</v>
      </c>
      <c r="I1785" s="8" t="n">
        <f aca="false">INDEX(Parâmetros!$C$13:$C$19,MATCH(E1785,Parâmetros!$A$13:$A$19,0))</f>
        <v>550</v>
      </c>
      <c r="J1785" s="26" t="n">
        <f aca="false">IF(H1785="","",Parâmetros!$B$5-H1785)</f>
        <v>323</v>
      </c>
      <c r="K1785" s="10" t="n">
        <f aca="false">INDEX(Parâmetros!$D$13:$D$19,MATCH(E1785,Parâmetros!$A$13:$A$19,0))</f>
        <v>22</v>
      </c>
      <c r="L1785" s="10" t="n">
        <f aca="false">IF(G1785="Prospecting",Parâmetros!$B$9,IF(J1785&gt;Parâmetros!$B$6,0,INDEX(Parâmetros!$C$24:$C$26,MATCH(J1785,Parâmetros!$A$24:$A$26,1))))</f>
        <v>0</v>
      </c>
      <c r="M1785" s="31" t="n">
        <f aca="false">IF(G1785="Prospecting",1,INDEX(Parâmetros!$C$32:$C$35,MATCH(J1785,Parâmetros!$A$32:$A$35,1)))</f>
        <v>0.25</v>
      </c>
      <c r="N1785" s="2" t="n">
        <f aca="false">ROUND((K1785+L1785)*M1785,0)</f>
        <v>6</v>
      </c>
      <c r="O1785" s="10" t="str">
        <f aca="false">IF(AND(G1785="Engaging",J1785&gt;Parâmetros!$B$6),"Sim","Não")</f>
        <v>Sim</v>
      </c>
      <c r="P1785" s="32" t="str">
        <f aca="false">IF(O1785="Sim","R",IF(N1785&gt;=Parâmetros!$B$39,"A",IF(N1785&gt;=Parâmetros!$B$40,"B",IF(N1785&gt;=Parâmetros!$B$41,"C","D"))))</f>
        <v>R</v>
      </c>
      <c r="Q1785" s="10" t="str">
        <f aca="false">IF(F1785="","Completar cadastro","")</f>
        <v>Completar cadastro</v>
      </c>
      <c r="R1785" s="10" t="str">
        <f aca="false">INDEX(Parâmetros!$D$39:$D$43,MATCH(P1785,Parâmetros!$A$39:$A$43,0))</f>
        <v>Reciclar: requalificar, reengajar ou encerrar</v>
      </c>
    </row>
    <row r="1786" customFormat="false" ht="15" hidden="false" customHeight="false" outlineLevel="0" collapsed="false">
      <c r="A1786" s="10" t="s">
        <v>2033</v>
      </c>
      <c r="B1786" s="10" t="s">
        <v>93</v>
      </c>
      <c r="C1786" s="10" t="s">
        <v>92</v>
      </c>
      <c r="D1786" s="10" t="s">
        <v>160</v>
      </c>
      <c r="E1786" s="10" t="s">
        <v>51</v>
      </c>
      <c r="F1786" s="10" t="s">
        <v>514</v>
      </c>
      <c r="G1786" s="10" t="s">
        <v>162</v>
      </c>
      <c r="H1786" s="30" t="n">
        <v>42778</v>
      </c>
      <c r="I1786" s="8" t="n">
        <f aca="false">INDEX(Parâmetros!$C$13:$C$19,MATCH(E1786,Parâmetros!$A$13:$A$19,0))</f>
        <v>550</v>
      </c>
      <c r="J1786" s="26" t="n">
        <f aca="false">IF(H1786="","",Parâmetros!$B$5-H1786)</f>
        <v>322</v>
      </c>
      <c r="K1786" s="10" t="n">
        <f aca="false">INDEX(Parâmetros!$D$13:$D$19,MATCH(E1786,Parâmetros!$A$13:$A$19,0))</f>
        <v>22</v>
      </c>
      <c r="L1786" s="10" t="n">
        <f aca="false">IF(G1786="Prospecting",Parâmetros!$B$9,IF(J1786&gt;Parâmetros!$B$6,0,INDEX(Parâmetros!$C$24:$C$26,MATCH(J1786,Parâmetros!$A$24:$A$26,1))))</f>
        <v>0</v>
      </c>
      <c r="M1786" s="31" t="n">
        <f aca="false">IF(G1786="Prospecting",1,INDEX(Parâmetros!$C$32:$C$35,MATCH(J1786,Parâmetros!$A$32:$A$35,1)))</f>
        <v>0.25</v>
      </c>
      <c r="N1786" s="2" t="n">
        <f aca="false">ROUND((K1786+L1786)*M1786,0)</f>
        <v>6</v>
      </c>
      <c r="O1786" s="10" t="str">
        <f aca="false">IF(AND(G1786="Engaging",J1786&gt;Parâmetros!$B$6),"Sim","Não")</f>
        <v>Sim</v>
      </c>
      <c r="P1786" s="32" t="str">
        <f aca="false">IF(O1786="Sim","R",IF(N1786&gt;=Parâmetros!$B$39,"A",IF(N1786&gt;=Parâmetros!$B$40,"B",IF(N1786&gt;=Parâmetros!$B$41,"C","D"))))</f>
        <v>R</v>
      </c>
      <c r="Q1786" s="10" t="str">
        <f aca="false">IF(F1786="","Completar cadastro","")</f>
        <v/>
      </c>
      <c r="R1786" s="10" t="str">
        <f aca="false">INDEX(Parâmetros!$D$39:$D$43,MATCH(P1786,Parâmetros!$A$39:$A$43,0))</f>
        <v>Reciclar: requalificar, reengajar ou encerrar</v>
      </c>
    </row>
    <row r="1787" customFormat="false" ht="15" hidden="false" customHeight="false" outlineLevel="0" collapsed="false">
      <c r="A1787" s="10" t="s">
        <v>2034</v>
      </c>
      <c r="B1787" s="10" t="s">
        <v>62</v>
      </c>
      <c r="C1787" s="10" t="s">
        <v>58</v>
      </c>
      <c r="D1787" s="10" t="s">
        <v>165</v>
      </c>
      <c r="E1787" s="10" t="s">
        <v>51</v>
      </c>
      <c r="F1787" s="10"/>
      <c r="G1787" s="10" t="s">
        <v>162</v>
      </c>
      <c r="H1787" s="30" t="n">
        <v>42779</v>
      </c>
      <c r="I1787" s="8" t="n">
        <f aca="false">INDEX(Parâmetros!$C$13:$C$19,MATCH(E1787,Parâmetros!$A$13:$A$19,0))</f>
        <v>550</v>
      </c>
      <c r="J1787" s="26" t="n">
        <f aca="false">IF(H1787="","",Parâmetros!$B$5-H1787)</f>
        <v>321</v>
      </c>
      <c r="K1787" s="10" t="n">
        <f aca="false">INDEX(Parâmetros!$D$13:$D$19,MATCH(E1787,Parâmetros!$A$13:$A$19,0))</f>
        <v>22</v>
      </c>
      <c r="L1787" s="10" t="n">
        <f aca="false">IF(G1787="Prospecting",Parâmetros!$B$9,IF(J1787&gt;Parâmetros!$B$6,0,INDEX(Parâmetros!$C$24:$C$26,MATCH(J1787,Parâmetros!$A$24:$A$26,1))))</f>
        <v>0</v>
      </c>
      <c r="M1787" s="31" t="n">
        <f aca="false">IF(G1787="Prospecting",1,INDEX(Parâmetros!$C$32:$C$35,MATCH(J1787,Parâmetros!$A$32:$A$35,1)))</f>
        <v>0.25</v>
      </c>
      <c r="N1787" s="2" t="n">
        <f aca="false">ROUND((K1787+L1787)*M1787,0)</f>
        <v>6</v>
      </c>
      <c r="O1787" s="10" t="str">
        <f aca="false">IF(AND(G1787="Engaging",J1787&gt;Parâmetros!$B$6),"Sim","Não")</f>
        <v>Sim</v>
      </c>
      <c r="P1787" s="32" t="str">
        <f aca="false">IF(O1787="Sim","R",IF(N1787&gt;=Parâmetros!$B$39,"A",IF(N1787&gt;=Parâmetros!$B$40,"B",IF(N1787&gt;=Parâmetros!$B$41,"C","D"))))</f>
        <v>R</v>
      </c>
      <c r="Q1787" s="10" t="str">
        <f aca="false">IF(F1787="","Completar cadastro","")</f>
        <v>Completar cadastro</v>
      </c>
      <c r="R1787" s="10" t="str">
        <f aca="false">INDEX(Parâmetros!$D$39:$D$43,MATCH(P1787,Parâmetros!$A$39:$A$43,0))</f>
        <v>Reciclar: requalificar, reengajar ou encerrar</v>
      </c>
    </row>
    <row r="1788" customFormat="false" ht="15" hidden="false" customHeight="false" outlineLevel="0" collapsed="false">
      <c r="A1788" s="10" t="s">
        <v>2035</v>
      </c>
      <c r="B1788" s="10" t="s">
        <v>95</v>
      </c>
      <c r="C1788" s="10" t="s">
        <v>92</v>
      </c>
      <c r="D1788" s="10" t="s">
        <v>160</v>
      </c>
      <c r="E1788" s="10" t="s">
        <v>51</v>
      </c>
      <c r="F1788" s="10"/>
      <c r="G1788" s="10" t="s">
        <v>162</v>
      </c>
      <c r="H1788" s="30" t="n">
        <v>42781</v>
      </c>
      <c r="I1788" s="8" t="n">
        <f aca="false">INDEX(Parâmetros!$C$13:$C$19,MATCH(E1788,Parâmetros!$A$13:$A$19,0))</f>
        <v>550</v>
      </c>
      <c r="J1788" s="26" t="n">
        <f aca="false">IF(H1788="","",Parâmetros!$B$5-H1788)</f>
        <v>319</v>
      </c>
      <c r="K1788" s="10" t="n">
        <f aca="false">INDEX(Parâmetros!$D$13:$D$19,MATCH(E1788,Parâmetros!$A$13:$A$19,0))</f>
        <v>22</v>
      </c>
      <c r="L1788" s="10" t="n">
        <f aca="false">IF(G1788="Prospecting",Parâmetros!$B$9,IF(J1788&gt;Parâmetros!$B$6,0,INDEX(Parâmetros!$C$24:$C$26,MATCH(J1788,Parâmetros!$A$24:$A$26,1))))</f>
        <v>0</v>
      </c>
      <c r="M1788" s="31" t="n">
        <f aca="false">IF(G1788="Prospecting",1,INDEX(Parâmetros!$C$32:$C$35,MATCH(J1788,Parâmetros!$A$32:$A$35,1)))</f>
        <v>0.25</v>
      </c>
      <c r="N1788" s="2" t="n">
        <f aca="false">ROUND((K1788+L1788)*M1788,0)</f>
        <v>6</v>
      </c>
      <c r="O1788" s="10" t="str">
        <f aca="false">IF(AND(G1788="Engaging",J1788&gt;Parâmetros!$B$6),"Sim","Não")</f>
        <v>Sim</v>
      </c>
      <c r="P1788" s="32" t="str">
        <f aca="false">IF(O1788="Sim","R",IF(N1788&gt;=Parâmetros!$B$39,"A",IF(N1788&gt;=Parâmetros!$B$40,"B",IF(N1788&gt;=Parâmetros!$B$41,"C","D"))))</f>
        <v>R</v>
      </c>
      <c r="Q1788" s="10" t="str">
        <f aca="false">IF(F1788="","Completar cadastro","")</f>
        <v>Completar cadastro</v>
      </c>
      <c r="R1788" s="10" t="str">
        <f aca="false">INDEX(Parâmetros!$D$39:$D$43,MATCH(P1788,Parâmetros!$A$39:$A$43,0))</f>
        <v>Reciclar: requalificar, reengajar ou encerrar</v>
      </c>
    </row>
    <row r="1789" customFormat="false" ht="15" hidden="false" customHeight="false" outlineLevel="0" collapsed="false">
      <c r="A1789" s="10" t="s">
        <v>2036</v>
      </c>
      <c r="B1789" s="10" t="s">
        <v>96</v>
      </c>
      <c r="C1789" s="10" t="s">
        <v>92</v>
      </c>
      <c r="D1789" s="10" t="s">
        <v>160</v>
      </c>
      <c r="E1789" s="10" t="s">
        <v>51</v>
      </c>
      <c r="F1789" s="10"/>
      <c r="G1789" s="10" t="s">
        <v>162</v>
      </c>
      <c r="H1789" s="30" t="n">
        <v>42781</v>
      </c>
      <c r="I1789" s="8" t="n">
        <f aca="false">INDEX(Parâmetros!$C$13:$C$19,MATCH(E1789,Parâmetros!$A$13:$A$19,0))</f>
        <v>550</v>
      </c>
      <c r="J1789" s="26" t="n">
        <f aca="false">IF(H1789="","",Parâmetros!$B$5-H1789)</f>
        <v>319</v>
      </c>
      <c r="K1789" s="10" t="n">
        <f aca="false">INDEX(Parâmetros!$D$13:$D$19,MATCH(E1789,Parâmetros!$A$13:$A$19,0))</f>
        <v>22</v>
      </c>
      <c r="L1789" s="10" t="n">
        <f aca="false">IF(G1789="Prospecting",Parâmetros!$B$9,IF(J1789&gt;Parâmetros!$B$6,0,INDEX(Parâmetros!$C$24:$C$26,MATCH(J1789,Parâmetros!$A$24:$A$26,1))))</f>
        <v>0</v>
      </c>
      <c r="M1789" s="31" t="n">
        <f aca="false">IF(G1789="Prospecting",1,INDEX(Parâmetros!$C$32:$C$35,MATCH(J1789,Parâmetros!$A$32:$A$35,1)))</f>
        <v>0.25</v>
      </c>
      <c r="N1789" s="2" t="n">
        <f aca="false">ROUND((K1789+L1789)*M1789,0)</f>
        <v>6</v>
      </c>
      <c r="O1789" s="10" t="str">
        <f aca="false">IF(AND(G1789="Engaging",J1789&gt;Parâmetros!$B$6),"Sim","Não")</f>
        <v>Sim</v>
      </c>
      <c r="P1789" s="32" t="str">
        <f aca="false">IF(O1789="Sim","R",IF(N1789&gt;=Parâmetros!$B$39,"A",IF(N1789&gt;=Parâmetros!$B$40,"B",IF(N1789&gt;=Parâmetros!$B$41,"C","D"))))</f>
        <v>R</v>
      </c>
      <c r="Q1789" s="10" t="str">
        <f aca="false">IF(F1789="","Completar cadastro","")</f>
        <v>Completar cadastro</v>
      </c>
      <c r="R1789" s="10" t="str">
        <f aca="false">INDEX(Parâmetros!$D$39:$D$43,MATCH(P1789,Parâmetros!$A$39:$A$43,0))</f>
        <v>Reciclar: requalificar, reengajar ou encerrar</v>
      </c>
    </row>
    <row r="1790" customFormat="false" ht="15" hidden="false" customHeight="false" outlineLevel="0" collapsed="false">
      <c r="A1790" s="10" t="s">
        <v>2037</v>
      </c>
      <c r="B1790" s="10" t="s">
        <v>97</v>
      </c>
      <c r="C1790" s="10" t="s">
        <v>92</v>
      </c>
      <c r="D1790" s="10" t="s">
        <v>160</v>
      </c>
      <c r="E1790" s="10" t="s">
        <v>51</v>
      </c>
      <c r="F1790" s="10"/>
      <c r="G1790" s="10" t="s">
        <v>162</v>
      </c>
      <c r="H1790" s="30" t="n">
        <v>42781</v>
      </c>
      <c r="I1790" s="8" t="n">
        <f aca="false">INDEX(Parâmetros!$C$13:$C$19,MATCH(E1790,Parâmetros!$A$13:$A$19,0))</f>
        <v>550</v>
      </c>
      <c r="J1790" s="26" t="n">
        <f aca="false">IF(H1790="","",Parâmetros!$B$5-H1790)</f>
        <v>319</v>
      </c>
      <c r="K1790" s="10" t="n">
        <f aca="false">INDEX(Parâmetros!$D$13:$D$19,MATCH(E1790,Parâmetros!$A$13:$A$19,0))</f>
        <v>22</v>
      </c>
      <c r="L1790" s="10" t="n">
        <f aca="false">IF(G1790="Prospecting",Parâmetros!$B$9,IF(J1790&gt;Parâmetros!$B$6,0,INDEX(Parâmetros!$C$24:$C$26,MATCH(J1790,Parâmetros!$A$24:$A$26,1))))</f>
        <v>0</v>
      </c>
      <c r="M1790" s="31" t="n">
        <f aca="false">IF(G1790="Prospecting",1,INDEX(Parâmetros!$C$32:$C$35,MATCH(J1790,Parâmetros!$A$32:$A$35,1)))</f>
        <v>0.25</v>
      </c>
      <c r="N1790" s="2" t="n">
        <f aca="false">ROUND((K1790+L1790)*M1790,0)</f>
        <v>6</v>
      </c>
      <c r="O1790" s="10" t="str">
        <f aca="false">IF(AND(G1790="Engaging",J1790&gt;Parâmetros!$B$6),"Sim","Não")</f>
        <v>Sim</v>
      </c>
      <c r="P1790" s="32" t="str">
        <f aca="false">IF(O1790="Sim","R",IF(N1790&gt;=Parâmetros!$B$39,"A",IF(N1790&gt;=Parâmetros!$B$40,"B",IF(N1790&gt;=Parâmetros!$B$41,"C","D"))))</f>
        <v>R</v>
      </c>
      <c r="Q1790" s="10" t="str">
        <f aca="false">IF(F1790="","Completar cadastro","")</f>
        <v>Completar cadastro</v>
      </c>
      <c r="R1790" s="10" t="str">
        <f aca="false">INDEX(Parâmetros!$D$39:$D$43,MATCH(P1790,Parâmetros!$A$39:$A$43,0))</f>
        <v>Reciclar: requalificar, reengajar ou encerrar</v>
      </c>
    </row>
    <row r="1791" customFormat="false" ht="15" hidden="false" customHeight="false" outlineLevel="0" collapsed="false">
      <c r="A1791" s="10" t="s">
        <v>2038</v>
      </c>
      <c r="B1791" s="10" t="s">
        <v>95</v>
      </c>
      <c r="C1791" s="10" t="s">
        <v>92</v>
      </c>
      <c r="D1791" s="10" t="s">
        <v>160</v>
      </c>
      <c r="E1791" s="10" t="s">
        <v>51</v>
      </c>
      <c r="F1791" s="10" t="s">
        <v>168</v>
      </c>
      <c r="G1791" s="10" t="s">
        <v>162</v>
      </c>
      <c r="H1791" s="30" t="n">
        <v>42782</v>
      </c>
      <c r="I1791" s="8" t="n">
        <f aca="false">INDEX(Parâmetros!$C$13:$C$19,MATCH(E1791,Parâmetros!$A$13:$A$19,0))</f>
        <v>550</v>
      </c>
      <c r="J1791" s="26" t="n">
        <f aca="false">IF(H1791="","",Parâmetros!$B$5-H1791)</f>
        <v>318</v>
      </c>
      <c r="K1791" s="10" t="n">
        <f aca="false">INDEX(Parâmetros!$D$13:$D$19,MATCH(E1791,Parâmetros!$A$13:$A$19,0))</f>
        <v>22</v>
      </c>
      <c r="L1791" s="10" t="n">
        <f aca="false">IF(G1791="Prospecting",Parâmetros!$B$9,IF(J1791&gt;Parâmetros!$B$6,0,INDEX(Parâmetros!$C$24:$C$26,MATCH(J1791,Parâmetros!$A$24:$A$26,1))))</f>
        <v>0</v>
      </c>
      <c r="M1791" s="31" t="n">
        <f aca="false">IF(G1791="Prospecting",1,INDEX(Parâmetros!$C$32:$C$35,MATCH(J1791,Parâmetros!$A$32:$A$35,1)))</f>
        <v>0.25</v>
      </c>
      <c r="N1791" s="2" t="n">
        <f aca="false">ROUND((K1791+L1791)*M1791,0)</f>
        <v>6</v>
      </c>
      <c r="O1791" s="10" t="str">
        <f aca="false">IF(AND(G1791="Engaging",J1791&gt;Parâmetros!$B$6),"Sim","Não")</f>
        <v>Sim</v>
      </c>
      <c r="P1791" s="32" t="str">
        <f aca="false">IF(O1791="Sim","R",IF(N1791&gt;=Parâmetros!$B$39,"A",IF(N1791&gt;=Parâmetros!$B$40,"B",IF(N1791&gt;=Parâmetros!$B$41,"C","D"))))</f>
        <v>R</v>
      </c>
      <c r="Q1791" s="10" t="str">
        <f aca="false">IF(F1791="","Completar cadastro","")</f>
        <v/>
      </c>
      <c r="R1791" s="10" t="str">
        <f aca="false">INDEX(Parâmetros!$D$39:$D$43,MATCH(P1791,Parâmetros!$A$39:$A$43,0))</f>
        <v>Reciclar: requalificar, reengajar ou encerrar</v>
      </c>
    </row>
    <row r="1792" customFormat="false" ht="15" hidden="false" customHeight="false" outlineLevel="0" collapsed="false">
      <c r="A1792" s="10" t="s">
        <v>2039</v>
      </c>
      <c r="B1792" s="10" t="s">
        <v>61</v>
      </c>
      <c r="C1792" s="10" t="s">
        <v>58</v>
      </c>
      <c r="D1792" s="10" t="s">
        <v>165</v>
      </c>
      <c r="E1792" s="10" t="s">
        <v>51</v>
      </c>
      <c r="F1792" s="10"/>
      <c r="G1792" s="10" t="s">
        <v>162</v>
      </c>
      <c r="H1792" s="30" t="n">
        <v>42782</v>
      </c>
      <c r="I1792" s="8" t="n">
        <f aca="false">INDEX(Parâmetros!$C$13:$C$19,MATCH(E1792,Parâmetros!$A$13:$A$19,0))</f>
        <v>550</v>
      </c>
      <c r="J1792" s="26" t="n">
        <f aca="false">IF(H1792="","",Parâmetros!$B$5-H1792)</f>
        <v>318</v>
      </c>
      <c r="K1792" s="10" t="n">
        <f aca="false">INDEX(Parâmetros!$D$13:$D$19,MATCH(E1792,Parâmetros!$A$13:$A$19,0))</f>
        <v>22</v>
      </c>
      <c r="L1792" s="10" t="n">
        <f aca="false">IF(G1792="Prospecting",Parâmetros!$B$9,IF(J1792&gt;Parâmetros!$B$6,0,INDEX(Parâmetros!$C$24:$C$26,MATCH(J1792,Parâmetros!$A$24:$A$26,1))))</f>
        <v>0</v>
      </c>
      <c r="M1792" s="31" t="n">
        <f aca="false">IF(G1792="Prospecting",1,INDEX(Parâmetros!$C$32:$C$35,MATCH(J1792,Parâmetros!$A$32:$A$35,1)))</f>
        <v>0.25</v>
      </c>
      <c r="N1792" s="2" t="n">
        <f aca="false">ROUND((K1792+L1792)*M1792,0)</f>
        <v>6</v>
      </c>
      <c r="O1792" s="10" t="str">
        <f aca="false">IF(AND(G1792="Engaging",J1792&gt;Parâmetros!$B$6),"Sim","Não")</f>
        <v>Sim</v>
      </c>
      <c r="P1792" s="32" t="str">
        <f aca="false">IF(O1792="Sim","R",IF(N1792&gt;=Parâmetros!$B$39,"A",IF(N1792&gt;=Parâmetros!$B$40,"B",IF(N1792&gt;=Parâmetros!$B$41,"C","D"))))</f>
        <v>R</v>
      </c>
      <c r="Q1792" s="10" t="str">
        <f aca="false">IF(F1792="","Completar cadastro","")</f>
        <v>Completar cadastro</v>
      </c>
      <c r="R1792" s="10" t="str">
        <f aca="false">INDEX(Parâmetros!$D$39:$D$43,MATCH(P1792,Parâmetros!$A$39:$A$43,0))</f>
        <v>Reciclar: requalificar, reengajar ou encerrar</v>
      </c>
    </row>
    <row r="1793" customFormat="false" ht="15" hidden="false" customHeight="false" outlineLevel="0" collapsed="false">
      <c r="A1793" s="10" t="s">
        <v>2040</v>
      </c>
      <c r="B1793" s="10" t="s">
        <v>97</v>
      </c>
      <c r="C1793" s="10" t="s">
        <v>92</v>
      </c>
      <c r="D1793" s="10" t="s">
        <v>160</v>
      </c>
      <c r="E1793" s="10" t="s">
        <v>51</v>
      </c>
      <c r="F1793" s="10"/>
      <c r="G1793" s="10" t="s">
        <v>162</v>
      </c>
      <c r="H1793" s="30" t="n">
        <v>42782</v>
      </c>
      <c r="I1793" s="8" t="n">
        <f aca="false">INDEX(Parâmetros!$C$13:$C$19,MATCH(E1793,Parâmetros!$A$13:$A$19,0))</f>
        <v>550</v>
      </c>
      <c r="J1793" s="26" t="n">
        <f aca="false">IF(H1793="","",Parâmetros!$B$5-H1793)</f>
        <v>318</v>
      </c>
      <c r="K1793" s="10" t="n">
        <f aca="false">INDEX(Parâmetros!$D$13:$D$19,MATCH(E1793,Parâmetros!$A$13:$A$19,0))</f>
        <v>22</v>
      </c>
      <c r="L1793" s="10" t="n">
        <f aca="false">IF(G1793="Prospecting",Parâmetros!$B$9,IF(J1793&gt;Parâmetros!$B$6,0,INDEX(Parâmetros!$C$24:$C$26,MATCH(J1793,Parâmetros!$A$24:$A$26,1))))</f>
        <v>0</v>
      </c>
      <c r="M1793" s="31" t="n">
        <f aca="false">IF(G1793="Prospecting",1,INDEX(Parâmetros!$C$32:$C$35,MATCH(J1793,Parâmetros!$A$32:$A$35,1)))</f>
        <v>0.25</v>
      </c>
      <c r="N1793" s="2" t="n">
        <f aca="false">ROUND((K1793+L1793)*M1793,0)</f>
        <v>6</v>
      </c>
      <c r="O1793" s="10" t="str">
        <f aca="false">IF(AND(G1793="Engaging",J1793&gt;Parâmetros!$B$6),"Sim","Não")</f>
        <v>Sim</v>
      </c>
      <c r="P1793" s="32" t="str">
        <f aca="false">IF(O1793="Sim","R",IF(N1793&gt;=Parâmetros!$B$39,"A",IF(N1793&gt;=Parâmetros!$B$40,"B",IF(N1793&gt;=Parâmetros!$B$41,"C","D"))))</f>
        <v>R</v>
      </c>
      <c r="Q1793" s="10" t="str">
        <f aca="false">IF(F1793="","Completar cadastro","")</f>
        <v>Completar cadastro</v>
      </c>
      <c r="R1793" s="10" t="str">
        <f aca="false">INDEX(Parâmetros!$D$39:$D$43,MATCH(P1793,Parâmetros!$A$39:$A$43,0))</f>
        <v>Reciclar: requalificar, reengajar ou encerrar</v>
      </c>
    </row>
    <row r="1794" customFormat="false" ht="15" hidden="false" customHeight="false" outlineLevel="0" collapsed="false">
      <c r="A1794" s="10" t="s">
        <v>2041</v>
      </c>
      <c r="B1794" s="10" t="s">
        <v>94</v>
      </c>
      <c r="C1794" s="10" t="s">
        <v>92</v>
      </c>
      <c r="D1794" s="10" t="s">
        <v>160</v>
      </c>
      <c r="E1794" s="10" t="s">
        <v>51</v>
      </c>
      <c r="F1794" s="10" t="s">
        <v>514</v>
      </c>
      <c r="G1794" s="10" t="s">
        <v>162</v>
      </c>
      <c r="H1794" s="30" t="n">
        <v>42785</v>
      </c>
      <c r="I1794" s="8" t="n">
        <f aca="false">INDEX(Parâmetros!$C$13:$C$19,MATCH(E1794,Parâmetros!$A$13:$A$19,0))</f>
        <v>550</v>
      </c>
      <c r="J1794" s="26" t="n">
        <f aca="false">IF(H1794="","",Parâmetros!$B$5-H1794)</f>
        <v>315</v>
      </c>
      <c r="K1794" s="10" t="n">
        <f aca="false">INDEX(Parâmetros!$D$13:$D$19,MATCH(E1794,Parâmetros!$A$13:$A$19,0))</f>
        <v>22</v>
      </c>
      <c r="L1794" s="10" t="n">
        <f aca="false">IF(G1794="Prospecting",Parâmetros!$B$9,IF(J1794&gt;Parâmetros!$B$6,0,INDEX(Parâmetros!$C$24:$C$26,MATCH(J1794,Parâmetros!$A$24:$A$26,1))))</f>
        <v>0</v>
      </c>
      <c r="M1794" s="31" t="n">
        <f aca="false">IF(G1794="Prospecting",1,INDEX(Parâmetros!$C$32:$C$35,MATCH(J1794,Parâmetros!$A$32:$A$35,1)))</f>
        <v>0.25</v>
      </c>
      <c r="N1794" s="2" t="n">
        <f aca="false">ROUND((K1794+L1794)*M1794,0)</f>
        <v>6</v>
      </c>
      <c r="O1794" s="10" t="str">
        <f aca="false">IF(AND(G1794="Engaging",J1794&gt;Parâmetros!$B$6),"Sim","Não")</f>
        <v>Sim</v>
      </c>
      <c r="P1794" s="32" t="str">
        <f aca="false">IF(O1794="Sim","R",IF(N1794&gt;=Parâmetros!$B$39,"A",IF(N1794&gt;=Parâmetros!$B$40,"B",IF(N1794&gt;=Parâmetros!$B$41,"C","D"))))</f>
        <v>R</v>
      </c>
      <c r="Q1794" s="10" t="str">
        <f aca="false">IF(F1794="","Completar cadastro","")</f>
        <v/>
      </c>
      <c r="R1794" s="10" t="str">
        <f aca="false">INDEX(Parâmetros!$D$39:$D$43,MATCH(P1794,Parâmetros!$A$39:$A$43,0))</f>
        <v>Reciclar: requalificar, reengajar ou encerrar</v>
      </c>
    </row>
    <row r="1795" customFormat="false" ht="15" hidden="false" customHeight="false" outlineLevel="0" collapsed="false">
      <c r="A1795" s="10" t="s">
        <v>2042</v>
      </c>
      <c r="B1795" s="10" t="s">
        <v>97</v>
      </c>
      <c r="C1795" s="10" t="s">
        <v>92</v>
      </c>
      <c r="D1795" s="10" t="s">
        <v>160</v>
      </c>
      <c r="E1795" s="10" t="s">
        <v>51</v>
      </c>
      <c r="F1795" s="10"/>
      <c r="G1795" s="10" t="s">
        <v>162</v>
      </c>
      <c r="H1795" s="30" t="n">
        <v>42785</v>
      </c>
      <c r="I1795" s="8" t="n">
        <f aca="false">INDEX(Parâmetros!$C$13:$C$19,MATCH(E1795,Parâmetros!$A$13:$A$19,0))</f>
        <v>550</v>
      </c>
      <c r="J1795" s="26" t="n">
        <f aca="false">IF(H1795="","",Parâmetros!$B$5-H1795)</f>
        <v>315</v>
      </c>
      <c r="K1795" s="10" t="n">
        <f aca="false">INDEX(Parâmetros!$D$13:$D$19,MATCH(E1795,Parâmetros!$A$13:$A$19,0))</f>
        <v>22</v>
      </c>
      <c r="L1795" s="10" t="n">
        <f aca="false">IF(G1795="Prospecting",Parâmetros!$B$9,IF(J1795&gt;Parâmetros!$B$6,0,INDEX(Parâmetros!$C$24:$C$26,MATCH(J1795,Parâmetros!$A$24:$A$26,1))))</f>
        <v>0</v>
      </c>
      <c r="M1795" s="31" t="n">
        <f aca="false">IF(G1795="Prospecting",1,INDEX(Parâmetros!$C$32:$C$35,MATCH(J1795,Parâmetros!$A$32:$A$35,1)))</f>
        <v>0.25</v>
      </c>
      <c r="N1795" s="2" t="n">
        <f aca="false">ROUND((K1795+L1795)*M1795,0)</f>
        <v>6</v>
      </c>
      <c r="O1795" s="10" t="str">
        <f aca="false">IF(AND(G1795="Engaging",J1795&gt;Parâmetros!$B$6),"Sim","Não")</f>
        <v>Sim</v>
      </c>
      <c r="P1795" s="32" t="str">
        <f aca="false">IF(O1795="Sim","R",IF(N1795&gt;=Parâmetros!$B$39,"A",IF(N1795&gt;=Parâmetros!$B$40,"B",IF(N1795&gt;=Parâmetros!$B$41,"C","D"))))</f>
        <v>R</v>
      </c>
      <c r="Q1795" s="10" t="str">
        <f aca="false">IF(F1795="","Completar cadastro","")</f>
        <v>Completar cadastro</v>
      </c>
      <c r="R1795" s="10" t="str">
        <f aca="false">INDEX(Parâmetros!$D$39:$D$43,MATCH(P1795,Parâmetros!$A$39:$A$43,0))</f>
        <v>Reciclar: requalificar, reengajar ou encerrar</v>
      </c>
    </row>
    <row r="1796" customFormat="false" ht="15" hidden="false" customHeight="false" outlineLevel="0" collapsed="false">
      <c r="A1796" s="10" t="s">
        <v>2043</v>
      </c>
      <c r="B1796" s="10" t="s">
        <v>87</v>
      </c>
      <c r="C1796" s="10" t="s">
        <v>85</v>
      </c>
      <c r="D1796" s="10" t="s">
        <v>165</v>
      </c>
      <c r="E1796" s="10" t="s">
        <v>51</v>
      </c>
      <c r="F1796" s="10" t="s">
        <v>487</v>
      </c>
      <c r="G1796" s="10" t="s">
        <v>162</v>
      </c>
      <c r="H1796" s="30" t="n">
        <v>42788</v>
      </c>
      <c r="I1796" s="8" t="n">
        <f aca="false">INDEX(Parâmetros!$C$13:$C$19,MATCH(E1796,Parâmetros!$A$13:$A$19,0))</f>
        <v>550</v>
      </c>
      <c r="J1796" s="26" t="n">
        <f aca="false">IF(H1796="","",Parâmetros!$B$5-H1796)</f>
        <v>312</v>
      </c>
      <c r="K1796" s="10" t="n">
        <f aca="false">INDEX(Parâmetros!$D$13:$D$19,MATCH(E1796,Parâmetros!$A$13:$A$19,0))</f>
        <v>22</v>
      </c>
      <c r="L1796" s="10" t="n">
        <f aca="false">IF(G1796="Prospecting",Parâmetros!$B$9,IF(J1796&gt;Parâmetros!$B$6,0,INDEX(Parâmetros!$C$24:$C$26,MATCH(J1796,Parâmetros!$A$24:$A$26,1))))</f>
        <v>0</v>
      </c>
      <c r="M1796" s="31" t="n">
        <f aca="false">IF(G1796="Prospecting",1,INDEX(Parâmetros!$C$32:$C$35,MATCH(J1796,Parâmetros!$A$32:$A$35,1)))</f>
        <v>0.25</v>
      </c>
      <c r="N1796" s="2" t="n">
        <f aca="false">ROUND((K1796+L1796)*M1796,0)</f>
        <v>6</v>
      </c>
      <c r="O1796" s="10" t="str">
        <f aca="false">IF(AND(G1796="Engaging",J1796&gt;Parâmetros!$B$6),"Sim","Não")</f>
        <v>Sim</v>
      </c>
      <c r="P1796" s="32" t="str">
        <f aca="false">IF(O1796="Sim","R",IF(N1796&gt;=Parâmetros!$B$39,"A",IF(N1796&gt;=Parâmetros!$B$40,"B",IF(N1796&gt;=Parâmetros!$B$41,"C","D"))))</f>
        <v>R</v>
      </c>
      <c r="Q1796" s="10" t="str">
        <f aca="false">IF(F1796="","Completar cadastro","")</f>
        <v/>
      </c>
      <c r="R1796" s="10" t="str">
        <f aca="false">INDEX(Parâmetros!$D$39:$D$43,MATCH(P1796,Parâmetros!$A$39:$A$43,0))</f>
        <v>Reciclar: requalificar, reengajar ou encerrar</v>
      </c>
    </row>
    <row r="1797" customFormat="false" ht="15" hidden="false" customHeight="false" outlineLevel="0" collapsed="false">
      <c r="A1797" s="10" t="s">
        <v>2044</v>
      </c>
      <c r="B1797" s="10" t="s">
        <v>69</v>
      </c>
      <c r="C1797" s="10" t="s">
        <v>65</v>
      </c>
      <c r="D1797" s="10" t="s">
        <v>160</v>
      </c>
      <c r="E1797" s="10" t="s">
        <v>51</v>
      </c>
      <c r="F1797" s="10"/>
      <c r="G1797" s="10" t="s">
        <v>162</v>
      </c>
      <c r="H1797" s="30" t="n">
        <v>42788</v>
      </c>
      <c r="I1797" s="8" t="n">
        <f aca="false">INDEX(Parâmetros!$C$13:$C$19,MATCH(E1797,Parâmetros!$A$13:$A$19,0))</f>
        <v>550</v>
      </c>
      <c r="J1797" s="26" t="n">
        <f aca="false">IF(H1797="","",Parâmetros!$B$5-H1797)</f>
        <v>312</v>
      </c>
      <c r="K1797" s="10" t="n">
        <f aca="false">INDEX(Parâmetros!$D$13:$D$19,MATCH(E1797,Parâmetros!$A$13:$A$19,0))</f>
        <v>22</v>
      </c>
      <c r="L1797" s="10" t="n">
        <f aca="false">IF(G1797="Prospecting",Parâmetros!$B$9,IF(J1797&gt;Parâmetros!$B$6,0,INDEX(Parâmetros!$C$24:$C$26,MATCH(J1797,Parâmetros!$A$24:$A$26,1))))</f>
        <v>0</v>
      </c>
      <c r="M1797" s="31" t="n">
        <f aca="false">IF(G1797="Prospecting",1,INDEX(Parâmetros!$C$32:$C$35,MATCH(J1797,Parâmetros!$A$32:$A$35,1)))</f>
        <v>0.25</v>
      </c>
      <c r="N1797" s="2" t="n">
        <f aca="false">ROUND((K1797+L1797)*M1797,0)</f>
        <v>6</v>
      </c>
      <c r="O1797" s="10" t="str">
        <f aca="false">IF(AND(G1797="Engaging",J1797&gt;Parâmetros!$B$6),"Sim","Não")</f>
        <v>Sim</v>
      </c>
      <c r="P1797" s="32" t="str">
        <f aca="false">IF(O1797="Sim","R",IF(N1797&gt;=Parâmetros!$B$39,"A",IF(N1797&gt;=Parâmetros!$B$40,"B",IF(N1797&gt;=Parâmetros!$B$41,"C","D"))))</f>
        <v>R</v>
      </c>
      <c r="Q1797" s="10" t="str">
        <f aca="false">IF(F1797="","Completar cadastro","")</f>
        <v>Completar cadastro</v>
      </c>
      <c r="R1797" s="10" t="str">
        <f aca="false">INDEX(Parâmetros!$D$39:$D$43,MATCH(P1797,Parâmetros!$A$39:$A$43,0))</f>
        <v>Reciclar: requalificar, reengajar ou encerrar</v>
      </c>
    </row>
    <row r="1798" customFormat="false" ht="15" hidden="false" customHeight="false" outlineLevel="0" collapsed="false">
      <c r="A1798" s="10" t="s">
        <v>2045</v>
      </c>
      <c r="B1798" s="10" t="s">
        <v>70</v>
      </c>
      <c r="C1798" s="10" t="s">
        <v>65</v>
      </c>
      <c r="D1798" s="10" t="s">
        <v>160</v>
      </c>
      <c r="E1798" s="10" t="s">
        <v>51</v>
      </c>
      <c r="F1798" s="10" t="s">
        <v>527</v>
      </c>
      <c r="G1798" s="10" t="s">
        <v>162</v>
      </c>
      <c r="H1798" s="30" t="n">
        <v>42788</v>
      </c>
      <c r="I1798" s="8" t="n">
        <f aca="false">INDEX(Parâmetros!$C$13:$C$19,MATCH(E1798,Parâmetros!$A$13:$A$19,0))</f>
        <v>550</v>
      </c>
      <c r="J1798" s="26" t="n">
        <f aca="false">IF(H1798="","",Parâmetros!$B$5-H1798)</f>
        <v>312</v>
      </c>
      <c r="K1798" s="10" t="n">
        <f aca="false">INDEX(Parâmetros!$D$13:$D$19,MATCH(E1798,Parâmetros!$A$13:$A$19,0))</f>
        <v>22</v>
      </c>
      <c r="L1798" s="10" t="n">
        <f aca="false">IF(G1798="Prospecting",Parâmetros!$B$9,IF(J1798&gt;Parâmetros!$B$6,0,INDEX(Parâmetros!$C$24:$C$26,MATCH(J1798,Parâmetros!$A$24:$A$26,1))))</f>
        <v>0</v>
      </c>
      <c r="M1798" s="31" t="n">
        <f aca="false">IF(G1798="Prospecting",1,INDEX(Parâmetros!$C$32:$C$35,MATCH(J1798,Parâmetros!$A$32:$A$35,1)))</f>
        <v>0.25</v>
      </c>
      <c r="N1798" s="2" t="n">
        <f aca="false">ROUND((K1798+L1798)*M1798,0)</f>
        <v>6</v>
      </c>
      <c r="O1798" s="10" t="str">
        <f aca="false">IF(AND(G1798="Engaging",J1798&gt;Parâmetros!$B$6),"Sim","Não")</f>
        <v>Sim</v>
      </c>
      <c r="P1798" s="32" t="str">
        <f aca="false">IF(O1798="Sim","R",IF(N1798&gt;=Parâmetros!$B$39,"A",IF(N1798&gt;=Parâmetros!$B$40,"B",IF(N1798&gt;=Parâmetros!$B$41,"C","D"))))</f>
        <v>R</v>
      </c>
      <c r="Q1798" s="10" t="str">
        <f aca="false">IF(F1798="","Completar cadastro","")</f>
        <v/>
      </c>
      <c r="R1798" s="10" t="str">
        <f aca="false">INDEX(Parâmetros!$D$39:$D$43,MATCH(P1798,Parâmetros!$A$39:$A$43,0))</f>
        <v>Reciclar: requalificar, reengajar ou encerrar</v>
      </c>
    </row>
    <row r="1799" customFormat="false" ht="15" hidden="false" customHeight="false" outlineLevel="0" collapsed="false">
      <c r="A1799" s="10" t="s">
        <v>2046</v>
      </c>
      <c r="B1799" s="10" t="s">
        <v>57</v>
      </c>
      <c r="C1799" s="10" t="s">
        <v>58</v>
      </c>
      <c r="D1799" s="10" t="s">
        <v>165</v>
      </c>
      <c r="E1799" s="10" t="s">
        <v>51</v>
      </c>
      <c r="F1799" s="10"/>
      <c r="G1799" s="10" t="s">
        <v>162</v>
      </c>
      <c r="H1799" s="30" t="n">
        <v>42789</v>
      </c>
      <c r="I1799" s="8" t="n">
        <f aca="false">INDEX(Parâmetros!$C$13:$C$19,MATCH(E1799,Parâmetros!$A$13:$A$19,0))</f>
        <v>550</v>
      </c>
      <c r="J1799" s="26" t="n">
        <f aca="false">IF(H1799="","",Parâmetros!$B$5-H1799)</f>
        <v>311</v>
      </c>
      <c r="K1799" s="10" t="n">
        <f aca="false">INDEX(Parâmetros!$D$13:$D$19,MATCH(E1799,Parâmetros!$A$13:$A$19,0))</f>
        <v>22</v>
      </c>
      <c r="L1799" s="10" t="n">
        <f aca="false">IF(G1799="Prospecting",Parâmetros!$B$9,IF(J1799&gt;Parâmetros!$B$6,0,INDEX(Parâmetros!$C$24:$C$26,MATCH(J1799,Parâmetros!$A$24:$A$26,1))))</f>
        <v>0</v>
      </c>
      <c r="M1799" s="31" t="n">
        <f aca="false">IF(G1799="Prospecting",1,INDEX(Parâmetros!$C$32:$C$35,MATCH(J1799,Parâmetros!$A$32:$A$35,1)))</f>
        <v>0.25</v>
      </c>
      <c r="N1799" s="2" t="n">
        <f aca="false">ROUND((K1799+L1799)*M1799,0)</f>
        <v>6</v>
      </c>
      <c r="O1799" s="10" t="str">
        <f aca="false">IF(AND(G1799="Engaging",J1799&gt;Parâmetros!$B$6),"Sim","Não")</f>
        <v>Sim</v>
      </c>
      <c r="P1799" s="32" t="str">
        <f aca="false">IF(O1799="Sim","R",IF(N1799&gt;=Parâmetros!$B$39,"A",IF(N1799&gt;=Parâmetros!$B$40,"B",IF(N1799&gt;=Parâmetros!$B$41,"C","D"))))</f>
        <v>R</v>
      </c>
      <c r="Q1799" s="10" t="str">
        <f aca="false">IF(F1799="","Completar cadastro","")</f>
        <v>Completar cadastro</v>
      </c>
      <c r="R1799" s="10" t="str">
        <f aca="false">INDEX(Parâmetros!$D$39:$D$43,MATCH(P1799,Parâmetros!$A$39:$A$43,0))</f>
        <v>Reciclar: requalificar, reengajar ou encerrar</v>
      </c>
    </row>
    <row r="1800" customFormat="false" ht="15" hidden="false" customHeight="false" outlineLevel="0" collapsed="false">
      <c r="A1800" s="10" t="s">
        <v>2047</v>
      </c>
      <c r="B1800" s="10" t="s">
        <v>86</v>
      </c>
      <c r="C1800" s="10" t="s">
        <v>85</v>
      </c>
      <c r="D1800" s="10" t="s">
        <v>165</v>
      </c>
      <c r="E1800" s="10" t="s">
        <v>51</v>
      </c>
      <c r="F1800" s="10"/>
      <c r="G1800" s="10" t="s">
        <v>162</v>
      </c>
      <c r="H1800" s="30" t="n">
        <v>42790</v>
      </c>
      <c r="I1800" s="8" t="n">
        <f aca="false">INDEX(Parâmetros!$C$13:$C$19,MATCH(E1800,Parâmetros!$A$13:$A$19,0))</f>
        <v>550</v>
      </c>
      <c r="J1800" s="26" t="n">
        <f aca="false">IF(H1800="","",Parâmetros!$B$5-H1800)</f>
        <v>310</v>
      </c>
      <c r="K1800" s="10" t="n">
        <f aca="false">INDEX(Parâmetros!$D$13:$D$19,MATCH(E1800,Parâmetros!$A$13:$A$19,0))</f>
        <v>22</v>
      </c>
      <c r="L1800" s="10" t="n">
        <f aca="false">IF(G1800="Prospecting",Parâmetros!$B$9,IF(J1800&gt;Parâmetros!$B$6,0,INDEX(Parâmetros!$C$24:$C$26,MATCH(J1800,Parâmetros!$A$24:$A$26,1))))</f>
        <v>0</v>
      </c>
      <c r="M1800" s="31" t="n">
        <f aca="false">IF(G1800="Prospecting",1,INDEX(Parâmetros!$C$32:$C$35,MATCH(J1800,Parâmetros!$A$32:$A$35,1)))</f>
        <v>0.25</v>
      </c>
      <c r="N1800" s="2" t="n">
        <f aca="false">ROUND((K1800+L1800)*M1800,0)</f>
        <v>6</v>
      </c>
      <c r="O1800" s="10" t="str">
        <f aca="false">IF(AND(G1800="Engaging",J1800&gt;Parâmetros!$B$6),"Sim","Não")</f>
        <v>Sim</v>
      </c>
      <c r="P1800" s="32" t="str">
        <f aca="false">IF(O1800="Sim","R",IF(N1800&gt;=Parâmetros!$B$39,"A",IF(N1800&gt;=Parâmetros!$B$40,"B",IF(N1800&gt;=Parâmetros!$B$41,"C","D"))))</f>
        <v>R</v>
      </c>
      <c r="Q1800" s="10" t="str">
        <f aca="false">IF(F1800="","Completar cadastro","")</f>
        <v>Completar cadastro</v>
      </c>
      <c r="R1800" s="10" t="str">
        <f aca="false">INDEX(Parâmetros!$D$39:$D$43,MATCH(P1800,Parâmetros!$A$39:$A$43,0))</f>
        <v>Reciclar: requalificar, reengajar ou encerrar</v>
      </c>
    </row>
    <row r="1801" customFormat="false" ht="15" hidden="false" customHeight="false" outlineLevel="0" collapsed="false">
      <c r="A1801" s="10" t="s">
        <v>2048</v>
      </c>
      <c r="B1801" s="10" t="s">
        <v>57</v>
      </c>
      <c r="C1801" s="10" t="s">
        <v>58</v>
      </c>
      <c r="D1801" s="10" t="s">
        <v>165</v>
      </c>
      <c r="E1801" s="10" t="s">
        <v>51</v>
      </c>
      <c r="F1801" s="10"/>
      <c r="G1801" s="10" t="s">
        <v>162</v>
      </c>
      <c r="H1801" s="30" t="n">
        <v>42790</v>
      </c>
      <c r="I1801" s="8" t="n">
        <f aca="false">INDEX(Parâmetros!$C$13:$C$19,MATCH(E1801,Parâmetros!$A$13:$A$19,0))</f>
        <v>550</v>
      </c>
      <c r="J1801" s="26" t="n">
        <f aca="false">IF(H1801="","",Parâmetros!$B$5-H1801)</f>
        <v>310</v>
      </c>
      <c r="K1801" s="10" t="n">
        <f aca="false">INDEX(Parâmetros!$D$13:$D$19,MATCH(E1801,Parâmetros!$A$13:$A$19,0))</f>
        <v>22</v>
      </c>
      <c r="L1801" s="10" t="n">
        <f aca="false">IF(G1801="Prospecting",Parâmetros!$B$9,IF(J1801&gt;Parâmetros!$B$6,0,INDEX(Parâmetros!$C$24:$C$26,MATCH(J1801,Parâmetros!$A$24:$A$26,1))))</f>
        <v>0</v>
      </c>
      <c r="M1801" s="31" t="n">
        <f aca="false">IF(G1801="Prospecting",1,INDEX(Parâmetros!$C$32:$C$35,MATCH(J1801,Parâmetros!$A$32:$A$35,1)))</f>
        <v>0.25</v>
      </c>
      <c r="N1801" s="2" t="n">
        <f aca="false">ROUND((K1801+L1801)*M1801,0)</f>
        <v>6</v>
      </c>
      <c r="O1801" s="10" t="str">
        <f aca="false">IF(AND(G1801="Engaging",J1801&gt;Parâmetros!$B$6),"Sim","Não")</f>
        <v>Sim</v>
      </c>
      <c r="P1801" s="32" t="str">
        <f aca="false">IF(O1801="Sim","R",IF(N1801&gt;=Parâmetros!$B$39,"A",IF(N1801&gt;=Parâmetros!$B$40,"B",IF(N1801&gt;=Parâmetros!$B$41,"C","D"))))</f>
        <v>R</v>
      </c>
      <c r="Q1801" s="10" t="str">
        <f aca="false">IF(F1801="","Completar cadastro","")</f>
        <v>Completar cadastro</v>
      </c>
      <c r="R1801" s="10" t="str">
        <f aca="false">INDEX(Parâmetros!$D$39:$D$43,MATCH(P1801,Parâmetros!$A$39:$A$43,0))</f>
        <v>Reciclar: requalificar, reengajar ou encerrar</v>
      </c>
    </row>
    <row r="1802" customFormat="false" ht="15" hidden="false" customHeight="false" outlineLevel="0" collapsed="false">
      <c r="A1802" s="10" t="s">
        <v>2049</v>
      </c>
      <c r="B1802" s="10" t="s">
        <v>62</v>
      </c>
      <c r="C1802" s="10" t="s">
        <v>58</v>
      </c>
      <c r="D1802" s="10" t="s">
        <v>165</v>
      </c>
      <c r="E1802" s="10" t="s">
        <v>51</v>
      </c>
      <c r="F1802" s="10" t="s">
        <v>419</v>
      </c>
      <c r="G1802" s="10" t="s">
        <v>162</v>
      </c>
      <c r="H1802" s="30" t="n">
        <v>42795</v>
      </c>
      <c r="I1802" s="8" t="n">
        <f aca="false">INDEX(Parâmetros!$C$13:$C$19,MATCH(E1802,Parâmetros!$A$13:$A$19,0))</f>
        <v>550</v>
      </c>
      <c r="J1802" s="26" t="n">
        <f aca="false">IF(H1802="","",Parâmetros!$B$5-H1802)</f>
        <v>305</v>
      </c>
      <c r="K1802" s="10" t="n">
        <f aca="false">INDEX(Parâmetros!$D$13:$D$19,MATCH(E1802,Parâmetros!$A$13:$A$19,0))</f>
        <v>22</v>
      </c>
      <c r="L1802" s="10" t="n">
        <f aca="false">IF(G1802="Prospecting",Parâmetros!$B$9,IF(J1802&gt;Parâmetros!$B$6,0,INDEX(Parâmetros!$C$24:$C$26,MATCH(J1802,Parâmetros!$A$24:$A$26,1))))</f>
        <v>0</v>
      </c>
      <c r="M1802" s="31" t="n">
        <f aca="false">IF(G1802="Prospecting",1,INDEX(Parâmetros!$C$32:$C$35,MATCH(J1802,Parâmetros!$A$32:$A$35,1)))</f>
        <v>0.25</v>
      </c>
      <c r="N1802" s="2" t="n">
        <f aca="false">ROUND((K1802+L1802)*M1802,0)</f>
        <v>6</v>
      </c>
      <c r="O1802" s="10" t="str">
        <f aca="false">IF(AND(G1802="Engaging",J1802&gt;Parâmetros!$B$6),"Sim","Não")</f>
        <v>Sim</v>
      </c>
      <c r="P1802" s="32" t="str">
        <f aca="false">IF(O1802="Sim","R",IF(N1802&gt;=Parâmetros!$B$39,"A",IF(N1802&gt;=Parâmetros!$B$40,"B",IF(N1802&gt;=Parâmetros!$B$41,"C","D"))))</f>
        <v>R</v>
      </c>
      <c r="Q1802" s="10" t="str">
        <f aca="false">IF(F1802="","Completar cadastro","")</f>
        <v/>
      </c>
      <c r="R1802" s="10" t="str">
        <f aca="false">INDEX(Parâmetros!$D$39:$D$43,MATCH(P1802,Parâmetros!$A$39:$A$43,0))</f>
        <v>Reciclar: requalificar, reengajar ou encerrar</v>
      </c>
    </row>
    <row r="1803" customFormat="false" ht="15" hidden="false" customHeight="false" outlineLevel="0" collapsed="false">
      <c r="A1803" s="10" t="s">
        <v>2050</v>
      </c>
      <c r="B1803" s="10" t="s">
        <v>69</v>
      </c>
      <c r="C1803" s="10" t="s">
        <v>65</v>
      </c>
      <c r="D1803" s="10" t="s">
        <v>160</v>
      </c>
      <c r="E1803" s="10" t="s">
        <v>51</v>
      </c>
      <c r="F1803" s="10"/>
      <c r="G1803" s="10" t="s">
        <v>162</v>
      </c>
      <c r="H1803" s="30" t="n">
        <v>42796</v>
      </c>
      <c r="I1803" s="8" t="n">
        <f aca="false">INDEX(Parâmetros!$C$13:$C$19,MATCH(E1803,Parâmetros!$A$13:$A$19,0))</f>
        <v>550</v>
      </c>
      <c r="J1803" s="26" t="n">
        <f aca="false">IF(H1803="","",Parâmetros!$B$5-H1803)</f>
        <v>304</v>
      </c>
      <c r="K1803" s="10" t="n">
        <f aca="false">INDEX(Parâmetros!$D$13:$D$19,MATCH(E1803,Parâmetros!$A$13:$A$19,0))</f>
        <v>22</v>
      </c>
      <c r="L1803" s="10" t="n">
        <f aca="false">IF(G1803="Prospecting",Parâmetros!$B$9,IF(J1803&gt;Parâmetros!$B$6,0,INDEX(Parâmetros!$C$24:$C$26,MATCH(J1803,Parâmetros!$A$24:$A$26,1))))</f>
        <v>0</v>
      </c>
      <c r="M1803" s="31" t="n">
        <f aca="false">IF(G1803="Prospecting",1,INDEX(Parâmetros!$C$32:$C$35,MATCH(J1803,Parâmetros!$A$32:$A$35,1)))</f>
        <v>0.25</v>
      </c>
      <c r="N1803" s="2" t="n">
        <f aca="false">ROUND((K1803+L1803)*M1803,0)</f>
        <v>6</v>
      </c>
      <c r="O1803" s="10" t="str">
        <f aca="false">IF(AND(G1803="Engaging",J1803&gt;Parâmetros!$B$6),"Sim","Não")</f>
        <v>Sim</v>
      </c>
      <c r="P1803" s="32" t="str">
        <f aca="false">IF(O1803="Sim","R",IF(N1803&gt;=Parâmetros!$B$39,"A",IF(N1803&gt;=Parâmetros!$B$40,"B",IF(N1803&gt;=Parâmetros!$B$41,"C","D"))))</f>
        <v>R</v>
      </c>
      <c r="Q1803" s="10" t="str">
        <f aca="false">IF(F1803="","Completar cadastro","")</f>
        <v>Completar cadastro</v>
      </c>
      <c r="R1803" s="10" t="str">
        <f aca="false">INDEX(Parâmetros!$D$39:$D$43,MATCH(P1803,Parâmetros!$A$39:$A$43,0))</f>
        <v>Reciclar: requalificar, reengajar ou encerrar</v>
      </c>
    </row>
    <row r="1804" customFormat="false" ht="15" hidden="false" customHeight="false" outlineLevel="0" collapsed="false">
      <c r="A1804" s="10" t="s">
        <v>2051</v>
      </c>
      <c r="B1804" s="10" t="s">
        <v>70</v>
      </c>
      <c r="C1804" s="10" t="s">
        <v>65</v>
      </c>
      <c r="D1804" s="10" t="s">
        <v>160</v>
      </c>
      <c r="E1804" s="10" t="s">
        <v>51</v>
      </c>
      <c r="F1804" s="10" t="s">
        <v>313</v>
      </c>
      <c r="G1804" s="10" t="s">
        <v>162</v>
      </c>
      <c r="H1804" s="30" t="n">
        <v>42796</v>
      </c>
      <c r="I1804" s="8" t="n">
        <f aca="false">INDEX(Parâmetros!$C$13:$C$19,MATCH(E1804,Parâmetros!$A$13:$A$19,0))</f>
        <v>550</v>
      </c>
      <c r="J1804" s="26" t="n">
        <f aca="false">IF(H1804="","",Parâmetros!$B$5-H1804)</f>
        <v>304</v>
      </c>
      <c r="K1804" s="10" t="n">
        <f aca="false">INDEX(Parâmetros!$D$13:$D$19,MATCH(E1804,Parâmetros!$A$13:$A$19,0))</f>
        <v>22</v>
      </c>
      <c r="L1804" s="10" t="n">
        <f aca="false">IF(G1804="Prospecting",Parâmetros!$B$9,IF(J1804&gt;Parâmetros!$B$6,0,INDEX(Parâmetros!$C$24:$C$26,MATCH(J1804,Parâmetros!$A$24:$A$26,1))))</f>
        <v>0</v>
      </c>
      <c r="M1804" s="31" t="n">
        <f aca="false">IF(G1804="Prospecting",1,INDEX(Parâmetros!$C$32:$C$35,MATCH(J1804,Parâmetros!$A$32:$A$35,1)))</f>
        <v>0.25</v>
      </c>
      <c r="N1804" s="2" t="n">
        <f aca="false">ROUND((K1804+L1804)*M1804,0)</f>
        <v>6</v>
      </c>
      <c r="O1804" s="10" t="str">
        <f aca="false">IF(AND(G1804="Engaging",J1804&gt;Parâmetros!$B$6),"Sim","Não")</f>
        <v>Sim</v>
      </c>
      <c r="P1804" s="32" t="str">
        <f aca="false">IF(O1804="Sim","R",IF(N1804&gt;=Parâmetros!$B$39,"A",IF(N1804&gt;=Parâmetros!$B$40,"B",IF(N1804&gt;=Parâmetros!$B$41,"C","D"))))</f>
        <v>R</v>
      </c>
      <c r="Q1804" s="10" t="str">
        <f aca="false">IF(F1804="","Completar cadastro","")</f>
        <v/>
      </c>
      <c r="R1804" s="10" t="str">
        <f aca="false">INDEX(Parâmetros!$D$39:$D$43,MATCH(P1804,Parâmetros!$A$39:$A$43,0))</f>
        <v>Reciclar: requalificar, reengajar ou encerrar</v>
      </c>
    </row>
    <row r="1805" customFormat="false" ht="15" hidden="false" customHeight="false" outlineLevel="0" collapsed="false">
      <c r="A1805" s="10" t="s">
        <v>2052</v>
      </c>
      <c r="B1805" s="10" t="s">
        <v>70</v>
      </c>
      <c r="C1805" s="10" t="s">
        <v>65</v>
      </c>
      <c r="D1805" s="10" t="s">
        <v>160</v>
      </c>
      <c r="E1805" s="10" t="s">
        <v>51</v>
      </c>
      <c r="F1805" s="10"/>
      <c r="G1805" s="10" t="s">
        <v>162</v>
      </c>
      <c r="H1805" s="30" t="n">
        <v>42796</v>
      </c>
      <c r="I1805" s="8" t="n">
        <f aca="false">INDEX(Parâmetros!$C$13:$C$19,MATCH(E1805,Parâmetros!$A$13:$A$19,0))</f>
        <v>550</v>
      </c>
      <c r="J1805" s="26" t="n">
        <f aca="false">IF(H1805="","",Parâmetros!$B$5-H1805)</f>
        <v>304</v>
      </c>
      <c r="K1805" s="10" t="n">
        <f aca="false">INDEX(Parâmetros!$D$13:$D$19,MATCH(E1805,Parâmetros!$A$13:$A$19,0))</f>
        <v>22</v>
      </c>
      <c r="L1805" s="10" t="n">
        <f aca="false">IF(G1805="Prospecting",Parâmetros!$B$9,IF(J1805&gt;Parâmetros!$B$6,0,INDEX(Parâmetros!$C$24:$C$26,MATCH(J1805,Parâmetros!$A$24:$A$26,1))))</f>
        <v>0</v>
      </c>
      <c r="M1805" s="31" t="n">
        <f aca="false">IF(G1805="Prospecting",1,INDEX(Parâmetros!$C$32:$C$35,MATCH(J1805,Parâmetros!$A$32:$A$35,1)))</f>
        <v>0.25</v>
      </c>
      <c r="N1805" s="2" t="n">
        <f aca="false">ROUND((K1805+L1805)*M1805,0)</f>
        <v>6</v>
      </c>
      <c r="O1805" s="10" t="str">
        <f aca="false">IF(AND(G1805="Engaging",J1805&gt;Parâmetros!$B$6),"Sim","Não")</f>
        <v>Sim</v>
      </c>
      <c r="P1805" s="32" t="str">
        <f aca="false">IF(O1805="Sim","R",IF(N1805&gt;=Parâmetros!$B$39,"A",IF(N1805&gt;=Parâmetros!$B$40,"B",IF(N1805&gt;=Parâmetros!$B$41,"C","D"))))</f>
        <v>R</v>
      </c>
      <c r="Q1805" s="10" t="str">
        <f aca="false">IF(F1805="","Completar cadastro","")</f>
        <v>Completar cadastro</v>
      </c>
      <c r="R1805" s="10" t="str">
        <f aca="false">INDEX(Parâmetros!$D$39:$D$43,MATCH(P1805,Parâmetros!$A$39:$A$43,0))</f>
        <v>Reciclar: requalificar, reengajar ou encerrar</v>
      </c>
    </row>
    <row r="1806" customFormat="false" ht="15" hidden="false" customHeight="false" outlineLevel="0" collapsed="false">
      <c r="A1806" s="10" t="s">
        <v>2053</v>
      </c>
      <c r="B1806" s="10" t="s">
        <v>97</v>
      </c>
      <c r="C1806" s="10" t="s">
        <v>92</v>
      </c>
      <c r="D1806" s="10" t="s">
        <v>160</v>
      </c>
      <c r="E1806" s="10" t="s">
        <v>51</v>
      </c>
      <c r="F1806" s="10"/>
      <c r="G1806" s="10" t="s">
        <v>162</v>
      </c>
      <c r="H1806" s="30" t="n">
        <v>42796</v>
      </c>
      <c r="I1806" s="8" t="n">
        <f aca="false">INDEX(Parâmetros!$C$13:$C$19,MATCH(E1806,Parâmetros!$A$13:$A$19,0))</f>
        <v>550</v>
      </c>
      <c r="J1806" s="26" t="n">
        <f aca="false">IF(H1806="","",Parâmetros!$B$5-H1806)</f>
        <v>304</v>
      </c>
      <c r="K1806" s="10" t="n">
        <f aca="false">INDEX(Parâmetros!$D$13:$D$19,MATCH(E1806,Parâmetros!$A$13:$A$19,0))</f>
        <v>22</v>
      </c>
      <c r="L1806" s="10" t="n">
        <f aca="false">IF(G1806="Prospecting",Parâmetros!$B$9,IF(J1806&gt;Parâmetros!$B$6,0,INDEX(Parâmetros!$C$24:$C$26,MATCH(J1806,Parâmetros!$A$24:$A$26,1))))</f>
        <v>0</v>
      </c>
      <c r="M1806" s="31" t="n">
        <f aca="false">IF(G1806="Prospecting",1,INDEX(Parâmetros!$C$32:$C$35,MATCH(J1806,Parâmetros!$A$32:$A$35,1)))</f>
        <v>0.25</v>
      </c>
      <c r="N1806" s="2" t="n">
        <f aca="false">ROUND((K1806+L1806)*M1806,0)</f>
        <v>6</v>
      </c>
      <c r="O1806" s="10" t="str">
        <f aca="false">IF(AND(G1806="Engaging",J1806&gt;Parâmetros!$B$6),"Sim","Não")</f>
        <v>Sim</v>
      </c>
      <c r="P1806" s="32" t="str">
        <f aca="false">IF(O1806="Sim","R",IF(N1806&gt;=Parâmetros!$B$39,"A",IF(N1806&gt;=Parâmetros!$B$40,"B",IF(N1806&gt;=Parâmetros!$B$41,"C","D"))))</f>
        <v>R</v>
      </c>
      <c r="Q1806" s="10" t="str">
        <f aca="false">IF(F1806="","Completar cadastro","")</f>
        <v>Completar cadastro</v>
      </c>
      <c r="R1806" s="10" t="str">
        <f aca="false">INDEX(Parâmetros!$D$39:$D$43,MATCH(P1806,Parâmetros!$A$39:$A$43,0))</f>
        <v>Reciclar: requalificar, reengajar ou encerrar</v>
      </c>
    </row>
    <row r="1807" customFormat="false" ht="15" hidden="false" customHeight="false" outlineLevel="0" collapsed="false">
      <c r="A1807" s="10" t="s">
        <v>2054</v>
      </c>
      <c r="B1807" s="10" t="s">
        <v>97</v>
      </c>
      <c r="C1807" s="10" t="s">
        <v>92</v>
      </c>
      <c r="D1807" s="10" t="s">
        <v>160</v>
      </c>
      <c r="E1807" s="10" t="s">
        <v>51</v>
      </c>
      <c r="F1807" s="10"/>
      <c r="G1807" s="10" t="s">
        <v>162</v>
      </c>
      <c r="H1807" s="30" t="n">
        <v>42797</v>
      </c>
      <c r="I1807" s="8" t="n">
        <f aca="false">INDEX(Parâmetros!$C$13:$C$19,MATCH(E1807,Parâmetros!$A$13:$A$19,0))</f>
        <v>550</v>
      </c>
      <c r="J1807" s="26" t="n">
        <f aca="false">IF(H1807="","",Parâmetros!$B$5-H1807)</f>
        <v>303</v>
      </c>
      <c r="K1807" s="10" t="n">
        <f aca="false">INDEX(Parâmetros!$D$13:$D$19,MATCH(E1807,Parâmetros!$A$13:$A$19,0))</f>
        <v>22</v>
      </c>
      <c r="L1807" s="10" t="n">
        <f aca="false">IF(G1807="Prospecting",Parâmetros!$B$9,IF(J1807&gt;Parâmetros!$B$6,0,INDEX(Parâmetros!$C$24:$C$26,MATCH(J1807,Parâmetros!$A$24:$A$26,1))))</f>
        <v>0</v>
      </c>
      <c r="M1807" s="31" t="n">
        <f aca="false">IF(G1807="Prospecting",1,INDEX(Parâmetros!$C$32:$C$35,MATCH(J1807,Parâmetros!$A$32:$A$35,1)))</f>
        <v>0.25</v>
      </c>
      <c r="N1807" s="2" t="n">
        <f aca="false">ROUND((K1807+L1807)*M1807,0)</f>
        <v>6</v>
      </c>
      <c r="O1807" s="10" t="str">
        <f aca="false">IF(AND(G1807="Engaging",J1807&gt;Parâmetros!$B$6),"Sim","Não")</f>
        <v>Sim</v>
      </c>
      <c r="P1807" s="32" t="str">
        <f aca="false">IF(O1807="Sim","R",IF(N1807&gt;=Parâmetros!$B$39,"A",IF(N1807&gt;=Parâmetros!$B$40,"B",IF(N1807&gt;=Parâmetros!$B$41,"C","D"))))</f>
        <v>R</v>
      </c>
      <c r="Q1807" s="10" t="str">
        <f aca="false">IF(F1807="","Completar cadastro","")</f>
        <v>Completar cadastro</v>
      </c>
      <c r="R1807" s="10" t="str">
        <f aca="false">INDEX(Parâmetros!$D$39:$D$43,MATCH(P1807,Parâmetros!$A$39:$A$43,0))</f>
        <v>Reciclar: requalificar, reengajar ou encerrar</v>
      </c>
    </row>
    <row r="1808" customFormat="false" ht="15" hidden="false" customHeight="false" outlineLevel="0" collapsed="false">
      <c r="A1808" s="10" t="s">
        <v>2055</v>
      </c>
      <c r="B1808" s="10" t="s">
        <v>87</v>
      </c>
      <c r="C1808" s="10" t="s">
        <v>85</v>
      </c>
      <c r="D1808" s="10" t="s">
        <v>165</v>
      </c>
      <c r="E1808" s="10" t="s">
        <v>51</v>
      </c>
      <c r="F1808" s="10"/>
      <c r="G1808" s="10" t="s">
        <v>162</v>
      </c>
      <c r="H1808" s="30" t="n">
        <v>42798</v>
      </c>
      <c r="I1808" s="8" t="n">
        <f aca="false">INDEX(Parâmetros!$C$13:$C$19,MATCH(E1808,Parâmetros!$A$13:$A$19,0))</f>
        <v>550</v>
      </c>
      <c r="J1808" s="26" t="n">
        <f aca="false">IF(H1808="","",Parâmetros!$B$5-H1808)</f>
        <v>302</v>
      </c>
      <c r="K1808" s="10" t="n">
        <f aca="false">INDEX(Parâmetros!$D$13:$D$19,MATCH(E1808,Parâmetros!$A$13:$A$19,0))</f>
        <v>22</v>
      </c>
      <c r="L1808" s="10" t="n">
        <f aca="false">IF(G1808="Prospecting",Parâmetros!$B$9,IF(J1808&gt;Parâmetros!$B$6,0,INDEX(Parâmetros!$C$24:$C$26,MATCH(J1808,Parâmetros!$A$24:$A$26,1))))</f>
        <v>0</v>
      </c>
      <c r="M1808" s="31" t="n">
        <f aca="false">IF(G1808="Prospecting",1,INDEX(Parâmetros!$C$32:$C$35,MATCH(J1808,Parâmetros!$A$32:$A$35,1)))</f>
        <v>0.25</v>
      </c>
      <c r="N1808" s="2" t="n">
        <f aca="false">ROUND((K1808+L1808)*M1808,0)</f>
        <v>6</v>
      </c>
      <c r="O1808" s="10" t="str">
        <f aca="false">IF(AND(G1808="Engaging",J1808&gt;Parâmetros!$B$6),"Sim","Não")</f>
        <v>Sim</v>
      </c>
      <c r="P1808" s="32" t="str">
        <f aca="false">IF(O1808="Sim","R",IF(N1808&gt;=Parâmetros!$B$39,"A",IF(N1808&gt;=Parâmetros!$B$40,"B",IF(N1808&gt;=Parâmetros!$B$41,"C","D"))))</f>
        <v>R</v>
      </c>
      <c r="Q1808" s="10" t="str">
        <f aca="false">IF(F1808="","Completar cadastro","")</f>
        <v>Completar cadastro</v>
      </c>
      <c r="R1808" s="10" t="str">
        <f aca="false">INDEX(Parâmetros!$D$39:$D$43,MATCH(P1808,Parâmetros!$A$39:$A$43,0))</f>
        <v>Reciclar: requalificar, reengajar ou encerrar</v>
      </c>
    </row>
    <row r="1809" customFormat="false" ht="15" hidden="false" customHeight="false" outlineLevel="0" collapsed="false">
      <c r="A1809" s="10" t="s">
        <v>2056</v>
      </c>
      <c r="B1809" s="10" t="s">
        <v>87</v>
      </c>
      <c r="C1809" s="10" t="s">
        <v>85</v>
      </c>
      <c r="D1809" s="10" t="s">
        <v>165</v>
      </c>
      <c r="E1809" s="10" t="s">
        <v>51</v>
      </c>
      <c r="F1809" s="10"/>
      <c r="G1809" s="10" t="s">
        <v>162</v>
      </c>
      <c r="H1809" s="30" t="n">
        <v>42799</v>
      </c>
      <c r="I1809" s="8" t="n">
        <f aca="false">INDEX(Parâmetros!$C$13:$C$19,MATCH(E1809,Parâmetros!$A$13:$A$19,0))</f>
        <v>550</v>
      </c>
      <c r="J1809" s="26" t="n">
        <f aca="false">IF(H1809="","",Parâmetros!$B$5-H1809)</f>
        <v>301</v>
      </c>
      <c r="K1809" s="10" t="n">
        <f aca="false">INDEX(Parâmetros!$D$13:$D$19,MATCH(E1809,Parâmetros!$A$13:$A$19,0))</f>
        <v>22</v>
      </c>
      <c r="L1809" s="10" t="n">
        <f aca="false">IF(G1809="Prospecting",Parâmetros!$B$9,IF(J1809&gt;Parâmetros!$B$6,0,INDEX(Parâmetros!$C$24:$C$26,MATCH(J1809,Parâmetros!$A$24:$A$26,1))))</f>
        <v>0</v>
      </c>
      <c r="M1809" s="31" t="n">
        <f aca="false">IF(G1809="Prospecting",1,INDEX(Parâmetros!$C$32:$C$35,MATCH(J1809,Parâmetros!$A$32:$A$35,1)))</f>
        <v>0.25</v>
      </c>
      <c r="N1809" s="2" t="n">
        <f aca="false">ROUND((K1809+L1809)*M1809,0)</f>
        <v>6</v>
      </c>
      <c r="O1809" s="10" t="str">
        <f aca="false">IF(AND(G1809="Engaging",J1809&gt;Parâmetros!$B$6),"Sim","Não")</f>
        <v>Sim</v>
      </c>
      <c r="P1809" s="32" t="str">
        <f aca="false">IF(O1809="Sim","R",IF(N1809&gt;=Parâmetros!$B$39,"A",IF(N1809&gt;=Parâmetros!$B$40,"B",IF(N1809&gt;=Parâmetros!$B$41,"C","D"))))</f>
        <v>R</v>
      </c>
      <c r="Q1809" s="10" t="str">
        <f aca="false">IF(F1809="","Completar cadastro","")</f>
        <v>Completar cadastro</v>
      </c>
      <c r="R1809" s="10" t="str">
        <f aca="false">INDEX(Parâmetros!$D$39:$D$43,MATCH(P1809,Parâmetros!$A$39:$A$43,0))</f>
        <v>Reciclar: requalificar, reengajar ou encerrar</v>
      </c>
    </row>
    <row r="1810" customFormat="false" ht="15" hidden="false" customHeight="false" outlineLevel="0" collapsed="false">
      <c r="A1810" s="10" t="s">
        <v>2057</v>
      </c>
      <c r="B1810" s="10" t="s">
        <v>94</v>
      </c>
      <c r="C1810" s="10" t="s">
        <v>92</v>
      </c>
      <c r="D1810" s="10" t="s">
        <v>160</v>
      </c>
      <c r="E1810" s="10" t="s">
        <v>51</v>
      </c>
      <c r="F1810" s="10"/>
      <c r="G1810" s="10" t="s">
        <v>162</v>
      </c>
      <c r="H1810" s="30" t="n">
        <v>42799</v>
      </c>
      <c r="I1810" s="8" t="n">
        <f aca="false">INDEX(Parâmetros!$C$13:$C$19,MATCH(E1810,Parâmetros!$A$13:$A$19,0))</f>
        <v>550</v>
      </c>
      <c r="J1810" s="26" t="n">
        <f aca="false">IF(H1810="","",Parâmetros!$B$5-H1810)</f>
        <v>301</v>
      </c>
      <c r="K1810" s="10" t="n">
        <f aca="false">INDEX(Parâmetros!$D$13:$D$19,MATCH(E1810,Parâmetros!$A$13:$A$19,0))</f>
        <v>22</v>
      </c>
      <c r="L1810" s="10" t="n">
        <f aca="false">IF(G1810="Prospecting",Parâmetros!$B$9,IF(J1810&gt;Parâmetros!$B$6,0,INDEX(Parâmetros!$C$24:$C$26,MATCH(J1810,Parâmetros!$A$24:$A$26,1))))</f>
        <v>0</v>
      </c>
      <c r="M1810" s="31" t="n">
        <f aca="false">IF(G1810="Prospecting",1,INDEX(Parâmetros!$C$32:$C$35,MATCH(J1810,Parâmetros!$A$32:$A$35,1)))</f>
        <v>0.25</v>
      </c>
      <c r="N1810" s="2" t="n">
        <f aca="false">ROUND((K1810+L1810)*M1810,0)</f>
        <v>6</v>
      </c>
      <c r="O1810" s="10" t="str">
        <f aca="false">IF(AND(G1810="Engaging",J1810&gt;Parâmetros!$B$6),"Sim","Não")</f>
        <v>Sim</v>
      </c>
      <c r="P1810" s="32" t="str">
        <f aca="false">IF(O1810="Sim","R",IF(N1810&gt;=Parâmetros!$B$39,"A",IF(N1810&gt;=Parâmetros!$B$40,"B",IF(N1810&gt;=Parâmetros!$B$41,"C","D"))))</f>
        <v>R</v>
      </c>
      <c r="Q1810" s="10" t="str">
        <f aca="false">IF(F1810="","Completar cadastro","")</f>
        <v>Completar cadastro</v>
      </c>
      <c r="R1810" s="10" t="str">
        <f aca="false">INDEX(Parâmetros!$D$39:$D$43,MATCH(P1810,Parâmetros!$A$39:$A$43,0))</f>
        <v>Reciclar: requalificar, reengajar ou encerrar</v>
      </c>
    </row>
    <row r="1811" customFormat="false" ht="15" hidden="false" customHeight="false" outlineLevel="0" collapsed="false">
      <c r="A1811" s="10" t="s">
        <v>2058</v>
      </c>
      <c r="B1811" s="10" t="s">
        <v>86</v>
      </c>
      <c r="C1811" s="10" t="s">
        <v>85</v>
      </c>
      <c r="D1811" s="10" t="s">
        <v>165</v>
      </c>
      <c r="E1811" s="10" t="s">
        <v>51</v>
      </c>
      <c r="F1811" s="10"/>
      <c r="G1811" s="10" t="s">
        <v>162</v>
      </c>
      <c r="H1811" s="30" t="n">
        <v>42800</v>
      </c>
      <c r="I1811" s="8" t="n">
        <f aca="false">INDEX(Parâmetros!$C$13:$C$19,MATCH(E1811,Parâmetros!$A$13:$A$19,0))</f>
        <v>550</v>
      </c>
      <c r="J1811" s="26" t="n">
        <f aca="false">IF(H1811="","",Parâmetros!$B$5-H1811)</f>
        <v>300</v>
      </c>
      <c r="K1811" s="10" t="n">
        <f aca="false">INDEX(Parâmetros!$D$13:$D$19,MATCH(E1811,Parâmetros!$A$13:$A$19,0))</f>
        <v>22</v>
      </c>
      <c r="L1811" s="10" t="n">
        <f aca="false">IF(G1811="Prospecting",Parâmetros!$B$9,IF(J1811&gt;Parâmetros!$B$6,0,INDEX(Parâmetros!$C$24:$C$26,MATCH(J1811,Parâmetros!$A$24:$A$26,1))))</f>
        <v>0</v>
      </c>
      <c r="M1811" s="31" t="n">
        <f aca="false">IF(G1811="Prospecting",1,INDEX(Parâmetros!$C$32:$C$35,MATCH(J1811,Parâmetros!$A$32:$A$35,1)))</f>
        <v>0.25</v>
      </c>
      <c r="N1811" s="2" t="n">
        <f aca="false">ROUND((K1811+L1811)*M1811,0)</f>
        <v>6</v>
      </c>
      <c r="O1811" s="10" t="str">
        <f aca="false">IF(AND(G1811="Engaging",J1811&gt;Parâmetros!$B$6),"Sim","Não")</f>
        <v>Sim</v>
      </c>
      <c r="P1811" s="32" t="str">
        <f aca="false">IF(O1811="Sim","R",IF(N1811&gt;=Parâmetros!$B$39,"A",IF(N1811&gt;=Parâmetros!$B$40,"B",IF(N1811&gt;=Parâmetros!$B$41,"C","D"))))</f>
        <v>R</v>
      </c>
      <c r="Q1811" s="10" t="str">
        <f aca="false">IF(F1811="","Completar cadastro","")</f>
        <v>Completar cadastro</v>
      </c>
      <c r="R1811" s="10" t="str">
        <f aca="false">INDEX(Parâmetros!$D$39:$D$43,MATCH(P1811,Parâmetros!$A$39:$A$43,0))</f>
        <v>Reciclar: requalificar, reengajar ou encerrar</v>
      </c>
    </row>
    <row r="1812" customFormat="false" ht="15" hidden="false" customHeight="false" outlineLevel="0" collapsed="false">
      <c r="A1812" s="10" t="s">
        <v>2059</v>
      </c>
      <c r="B1812" s="10" t="s">
        <v>84</v>
      </c>
      <c r="C1812" s="10" t="s">
        <v>85</v>
      </c>
      <c r="D1812" s="10" t="s">
        <v>165</v>
      </c>
      <c r="E1812" s="10" t="s">
        <v>51</v>
      </c>
      <c r="F1812" s="10"/>
      <c r="G1812" s="10" t="s">
        <v>162</v>
      </c>
      <c r="H1812" s="30" t="n">
        <v>42801</v>
      </c>
      <c r="I1812" s="8" t="n">
        <f aca="false">INDEX(Parâmetros!$C$13:$C$19,MATCH(E1812,Parâmetros!$A$13:$A$19,0))</f>
        <v>550</v>
      </c>
      <c r="J1812" s="26" t="n">
        <f aca="false">IF(H1812="","",Parâmetros!$B$5-H1812)</f>
        <v>299</v>
      </c>
      <c r="K1812" s="10" t="n">
        <f aca="false">INDEX(Parâmetros!$D$13:$D$19,MATCH(E1812,Parâmetros!$A$13:$A$19,0))</f>
        <v>22</v>
      </c>
      <c r="L1812" s="10" t="n">
        <f aca="false">IF(G1812="Prospecting",Parâmetros!$B$9,IF(J1812&gt;Parâmetros!$B$6,0,INDEX(Parâmetros!$C$24:$C$26,MATCH(J1812,Parâmetros!$A$24:$A$26,1))))</f>
        <v>0</v>
      </c>
      <c r="M1812" s="31" t="n">
        <f aca="false">IF(G1812="Prospecting",1,INDEX(Parâmetros!$C$32:$C$35,MATCH(J1812,Parâmetros!$A$32:$A$35,1)))</f>
        <v>0.25</v>
      </c>
      <c r="N1812" s="2" t="n">
        <f aca="false">ROUND((K1812+L1812)*M1812,0)</f>
        <v>6</v>
      </c>
      <c r="O1812" s="10" t="str">
        <f aca="false">IF(AND(G1812="Engaging",J1812&gt;Parâmetros!$B$6),"Sim","Não")</f>
        <v>Sim</v>
      </c>
      <c r="P1812" s="32" t="str">
        <f aca="false">IF(O1812="Sim","R",IF(N1812&gt;=Parâmetros!$B$39,"A",IF(N1812&gt;=Parâmetros!$B$40,"B",IF(N1812&gt;=Parâmetros!$B$41,"C","D"))))</f>
        <v>R</v>
      </c>
      <c r="Q1812" s="10" t="str">
        <f aca="false">IF(F1812="","Completar cadastro","")</f>
        <v>Completar cadastro</v>
      </c>
      <c r="R1812" s="10" t="str">
        <f aca="false">INDEX(Parâmetros!$D$39:$D$43,MATCH(P1812,Parâmetros!$A$39:$A$43,0))</f>
        <v>Reciclar: requalificar, reengajar ou encerrar</v>
      </c>
    </row>
    <row r="1813" customFormat="false" ht="15" hidden="false" customHeight="false" outlineLevel="0" collapsed="false">
      <c r="A1813" s="10" t="s">
        <v>2060</v>
      </c>
      <c r="B1813" s="10" t="s">
        <v>95</v>
      </c>
      <c r="C1813" s="10" t="s">
        <v>92</v>
      </c>
      <c r="D1813" s="10" t="s">
        <v>160</v>
      </c>
      <c r="E1813" s="10" t="s">
        <v>51</v>
      </c>
      <c r="F1813" s="10" t="s">
        <v>512</v>
      </c>
      <c r="G1813" s="10" t="s">
        <v>162</v>
      </c>
      <c r="H1813" s="30" t="n">
        <v>42801</v>
      </c>
      <c r="I1813" s="8" t="n">
        <f aca="false">INDEX(Parâmetros!$C$13:$C$19,MATCH(E1813,Parâmetros!$A$13:$A$19,0))</f>
        <v>550</v>
      </c>
      <c r="J1813" s="26" t="n">
        <f aca="false">IF(H1813="","",Parâmetros!$B$5-H1813)</f>
        <v>299</v>
      </c>
      <c r="K1813" s="10" t="n">
        <f aca="false">INDEX(Parâmetros!$D$13:$D$19,MATCH(E1813,Parâmetros!$A$13:$A$19,0))</f>
        <v>22</v>
      </c>
      <c r="L1813" s="10" t="n">
        <f aca="false">IF(G1813="Prospecting",Parâmetros!$B$9,IF(J1813&gt;Parâmetros!$B$6,0,INDEX(Parâmetros!$C$24:$C$26,MATCH(J1813,Parâmetros!$A$24:$A$26,1))))</f>
        <v>0</v>
      </c>
      <c r="M1813" s="31" t="n">
        <f aca="false">IF(G1813="Prospecting",1,INDEX(Parâmetros!$C$32:$C$35,MATCH(J1813,Parâmetros!$A$32:$A$35,1)))</f>
        <v>0.25</v>
      </c>
      <c r="N1813" s="2" t="n">
        <f aca="false">ROUND((K1813+L1813)*M1813,0)</f>
        <v>6</v>
      </c>
      <c r="O1813" s="10" t="str">
        <f aca="false">IF(AND(G1813="Engaging",J1813&gt;Parâmetros!$B$6),"Sim","Não")</f>
        <v>Sim</v>
      </c>
      <c r="P1813" s="32" t="str">
        <f aca="false">IF(O1813="Sim","R",IF(N1813&gt;=Parâmetros!$B$39,"A",IF(N1813&gt;=Parâmetros!$B$40,"B",IF(N1813&gt;=Parâmetros!$B$41,"C","D"))))</f>
        <v>R</v>
      </c>
      <c r="Q1813" s="10" t="str">
        <f aca="false">IF(F1813="","Completar cadastro","")</f>
        <v/>
      </c>
      <c r="R1813" s="10" t="str">
        <f aca="false">INDEX(Parâmetros!$D$39:$D$43,MATCH(P1813,Parâmetros!$A$39:$A$43,0))</f>
        <v>Reciclar: requalificar, reengajar ou encerrar</v>
      </c>
    </row>
    <row r="1814" customFormat="false" ht="15" hidden="false" customHeight="false" outlineLevel="0" collapsed="false">
      <c r="A1814" s="10" t="s">
        <v>2061</v>
      </c>
      <c r="B1814" s="10" t="s">
        <v>70</v>
      </c>
      <c r="C1814" s="10" t="s">
        <v>65</v>
      </c>
      <c r="D1814" s="10" t="s">
        <v>160</v>
      </c>
      <c r="E1814" s="10" t="s">
        <v>51</v>
      </c>
      <c r="F1814" s="10" t="s">
        <v>344</v>
      </c>
      <c r="G1814" s="10" t="s">
        <v>162</v>
      </c>
      <c r="H1814" s="30" t="n">
        <v>42801</v>
      </c>
      <c r="I1814" s="8" t="n">
        <f aca="false">INDEX(Parâmetros!$C$13:$C$19,MATCH(E1814,Parâmetros!$A$13:$A$19,0))</f>
        <v>550</v>
      </c>
      <c r="J1814" s="26" t="n">
        <f aca="false">IF(H1814="","",Parâmetros!$B$5-H1814)</f>
        <v>299</v>
      </c>
      <c r="K1814" s="10" t="n">
        <f aca="false">INDEX(Parâmetros!$D$13:$D$19,MATCH(E1814,Parâmetros!$A$13:$A$19,0))</f>
        <v>22</v>
      </c>
      <c r="L1814" s="10" t="n">
        <f aca="false">IF(G1814="Prospecting",Parâmetros!$B$9,IF(J1814&gt;Parâmetros!$B$6,0,INDEX(Parâmetros!$C$24:$C$26,MATCH(J1814,Parâmetros!$A$24:$A$26,1))))</f>
        <v>0</v>
      </c>
      <c r="M1814" s="31" t="n">
        <f aca="false">IF(G1814="Prospecting",1,INDEX(Parâmetros!$C$32:$C$35,MATCH(J1814,Parâmetros!$A$32:$A$35,1)))</f>
        <v>0.25</v>
      </c>
      <c r="N1814" s="2" t="n">
        <f aca="false">ROUND((K1814+L1814)*M1814,0)</f>
        <v>6</v>
      </c>
      <c r="O1814" s="10" t="str">
        <f aca="false">IF(AND(G1814="Engaging",J1814&gt;Parâmetros!$B$6),"Sim","Não")</f>
        <v>Sim</v>
      </c>
      <c r="P1814" s="32" t="str">
        <f aca="false">IF(O1814="Sim","R",IF(N1814&gt;=Parâmetros!$B$39,"A",IF(N1814&gt;=Parâmetros!$B$40,"B",IF(N1814&gt;=Parâmetros!$B$41,"C","D"))))</f>
        <v>R</v>
      </c>
      <c r="Q1814" s="10" t="str">
        <f aca="false">IF(F1814="","Completar cadastro","")</f>
        <v/>
      </c>
      <c r="R1814" s="10" t="str">
        <f aca="false">INDEX(Parâmetros!$D$39:$D$43,MATCH(P1814,Parâmetros!$A$39:$A$43,0))</f>
        <v>Reciclar: requalificar, reengajar ou encerrar</v>
      </c>
    </row>
    <row r="1815" customFormat="false" ht="15" hidden="false" customHeight="false" outlineLevel="0" collapsed="false">
      <c r="A1815" s="10" t="s">
        <v>2062</v>
      </c>
      <c r="B1815" s="10" t="s">
        <v>68</v>
      </c>
      <c r="C1815" s="10" t="s">
        <v>65</v>
      </c>
      <c r="D1815" s="10" t="s">
        <v>160</v>
      </c>
      <c r="E1815" s="10" t="s">
        <v>51</v>
      </c>
      <c r="F1815" s="10" t="s">
        <v>464</v>
      </c>
      <c r="G1815" s="10" t="s">
        <v>162</v>
      </c>
      <c r="H1815" s="30" t="n">
        <v>42802</v>
      </c>
      <c r="I1815" s="8" t="n">
        <f aca="false">INDEX(Parâmetros!$C$13:$C$19,MATCH(E1815,Parâmetros!$A$13:$A$19,0))</f>
        <v>550</v>
      </c>
      <c r="J1815" s="26" t="n">
        <f aca="false">IF(H1815="","",Parâmetros!$B$5-H1815)</f>
        <v>298</v>
      </c>
      <c r="K1815" s="10" t="n">
        <f aca="false">INDEX(Parâmetros!$D$13:$D$19,MATCH(E1815,Parâmetros!$A$13:$A$19,0))</f>
        <v>22</v>
      </c>
      <c r="L1815" s="10" t="n">
        <f aca="false">IF(G1815="Prospecting",Parâmetros!$B$9,IF(J1815&gt;Parâmetros!$B$6,0,INDEX(Parâmetros!$C$24:$C$26,MATCH(J1815,Parâmetros!$A$24:$A$26,1))))</f>
        <v>0</v>
      </c>
      <c r="M1815" s="31" t="n">
        <f aca="false">IF(G1815="Prospecting",1,INDEX(Parâmetros!$C$32:$C$35,MATCH(J1815,Parâmetros!$A$32:$A$35,1)))</f>
        <v>0.25</v>
      </c>
      <c r="N1815" s="2" t="n">
        <f aca="false">ROUND((K1815+L1815)*M1815,0)</f>
        <v>6</v>
      </c>
      <c r="O1815" s="10" t="str">
        <f aca="false">IF(AND(G1815="Engaging",J1815&gt;Parâmetros!$B$6),"Sim","Não")</f>
        <v>Sim</v>
      </c>
      <c r="P1815" s="32" t="str">
        <f aca="false">IF(O1815="Sim","R",IF(N1815&gt;=Parâmetros!$B$39,"A",IF(N1815&gt;=Parâmetros!$B$40,"B",IF(N1815&gt;=Parâmetros!$B$41,"C","D"))))</f>
        <v>R</v>
      </c>
      <c r="Q1815" s="10" t="str">
        <f aca="false">IF(F1815="","Completar cadastro","")</f>
        <v/>
      </c>
      <c r="R1815" s="10" t="str">
        <f aca="false">INDEX(Parâmetros!$D$39:$D$43,MATCH(P1815,Parâmetros!$A$39:$A$43,0))</f>
        <v>Reciclar: requalificar, reengajar ou encerrar</v>
      </c>
    </row>
    <row r="1816" customFormat="false" ht="15" hidden="false" customHeight="false" outlineLevel="0" collapsed="false">
      <c r="A1816" s="10" t="s">
        <v>2063</v>
      </c>
      <c r="B1816" s="10" t="s">
        <v>87</v>
      </c>
      <c r="C1816" s="10" t="s">
        <v>85</v>
      </c>
      <c r="D1816" s="10" t="s">
        <v>165</v>
      </c>
      <c r="E1816" s="10" t="s">
        <v>51</v>
      </c>
      <c r="F1816" s="10" t="s">
        <v>692</v>
      </c>
      <c r="G1816" s="10" t="s">
        <v>162</v>
      </c>
      <c r="H1816" s="30" t="n">
        <v>42803</v>
      </c>
      <c r="I1816" s="8" t="n">
        <f aca="false">INDEX(Parâmetros!$C$13:$C$19,MATCH(E1816,Parâmetros!$A$13:$A$19,0))</f>
        <v>550</v>
      </c>
      <c r="J1816" s="26" t="n">
        <f aca="false">IF(H1816="","",Parâmetros!$B$5-H1816)</f>
        <v>297</v>
      </c>
      <c r="K1816" s="10" t="n">
        <f aca="false">INDEX(Parâmetros!$D$13:$D$19,MATCH(E1816,Parâmetros!$A$13:$A$19,0))</f>
        <v>22</v>
      </c>
      <c r="L1816" s="10" t="n">
        <f aca="false">IF(G1816="Prospecting",Parâmetros!$B$9,IF(J1816&gt;Parâmetros!$B$6,0,INDEX(Parâmetros!$C$24:$C$26,MATCH(J1816,Parâmetros!$A$24:$A$26,1))))</f>
        <v>0</v>
      </c>
      <c r="M1816" s="31" t="n">
        <f aca="false">IF(G1816="Prospecting",1,INDEX(Parâmetros!$C$32:$C$35,MATCH(J1816,Parâmetros!$A$32:$A$35,1)))</f>
        <v>0.25</v>
      </c>
      <c r="N1816" s="2" t="n">
        <f aca="false">ROUND((K1816+L1816)*M1816,0)</f>
        <v>6</v>
      </c>
      <c r="O1816" s="10" t="str">
        <f aca="false">IF(AND(G1816="Engaging",J1816&gt;Parâmetros!$B$6),"Sim","Não")</f>
        <v>Sim</v>
      </c>
      <c r="P1816" s="32" t="str">
        <f aca="false">IF(O1816="Sim","R",IF(N1816&gt;=Parâmetros!$B$39,"A",IF(N1816&gt;=Parâmetros!$B$40,"B",IF(N1816&gt;=Parâmetros!$B$41,"C","D"))))</f>
        <v>R</v>
      </c>
      <c r="Q1816" s="10" t="str">
        <f aca="false">IF(F1816="","Completar cadastro","")</f>
        <v/>
      </c>
      <c r="R1816" s="10" t="str">
        <f aca="false">INDEX(Parâmetros!$D$39:$D$43,MATCH(P1816,Parâmetros!$A$39:$A$43,0))</f>
        <v>Reciclar: requalificar, reengajar ou encerrar</v>
      </c>
    </row>
    <row r="1817" customFormat="false" ht="15" hidden="false" customHeight="false" outlineLevel="0" collapsed="false">
      <c r="A1817" s="10" t="s">
        <v>2064</v>
      </c>
      <c r="B1817" s="10" t="s">
        <v>87</v>
      </c>
      <c r="C1817" s="10" t="s">
        <v>85</v>
      </c>
      <c r="D1817" s="10" t="s">
        <v>165</v>
      </c>
      <c r="E1817" s="10" t="s">
        <v>51</v>
      </c>
      <c r="F1817" s="10"/>
      <c r="G1817" s="10" t="s">
        <v>162</v>
      </c>
      <c r="H1817" s="30" t="n">
        <v>42803</v>
      </c>
      <c r="I1817" s="8" t="n">
        <f aca="false">INDEX(Parâmetros!$C$13:$C$19,MATCH(E1817,Parâmetros!$A$13:$A$19,0))</f>
        <v>550</v>
      </c>
      <c r="J1817" s="26" t="n">
        <f aca="false">IF(H1817="","",Parâmetros!$B$5-H1817)</f>
        <v>297</v>
      </c>
      <c r="K1817" s="10" t="n">
        <f aca="false">INDEX(Parâmetros!$D$13:$D$19,MATCH(E1817,Parâmetros!$A$13:$A$19,0))</f>
        <v>22</v>
      </c>
      <c r="L1817" s="10" t="n">
        <f aca="false">IF(G1817="Prospecting",Parâmetros!$B$9,IF(J1817&gt;Parâmetros!$B$6,0,INDEX(Parâmetros!$C$24:$C$26,MATCH(J1817,Parâmetros!$A$24:$A$26,1))))</f>
        <v>0</v>
      </c>
      <c r="M1817" s="31" t="n">
        <f aca="false">IF(G1817="Prospecting",1,INDEX(Parâmetros!$C$32:$C$35,MATCH(J1817,Parâmetros!$A$32:$A$35,1)))</f>
        <v>0.25</v>
      </c>
      <c r="N1817" s="2" t="n">
        <f aca="false">ROUND((K1817+L1817)*M1817,0)</f>
        <v>6</v>
      </c>
      <c r="O1817" s="10" t="str">
        <f aca="false">IF(AND(G1817="Engaging",J1817&gt;Parâmetros!$B$6),"Sim","Não")</f>
        <v>Sim</v>
      </c>
      <c r="P1817" s="32" t="str">
        <f aca="false">IF(O1817="Sim","R",IF(N1817&gt;=Parâmetros!$B$39,"A",IF(N1817&gt;=Parâmetros!$B$40,"B",IF(N1817&gt;=Parâmetros!$B$41,"C","D"))))</f>
        <v>R</v>
      </c>
      <c r="Q1817" s="10" t="str">
        <f aca="false">IF(F1817="","Completar cadastro","")</f>
        <v>Completar cadastro</v>
      </c>
      <c r="R1817" s="10" t="str">
        <f aca="false">INDEX(Parâmetros!$D$39:$D$43,MATCH(P1817,Parâmetros!$A$39:$A$43,0))</f>
        <v>Reciclar: requalificar, reengajar ou encerrar</v>
      </c>
    </row>
    <row r="1818" customFormat="false" ht="15" hidden="false" customHeight="false" outlineLevel="0" collapsed="false">
      <c r="A1818" s="10" t="s">
        <v>2065</v>
      </c>
      <c r="B1818" s="10" t="s">
        <v>95</v>
      </c>
      <c r="C1818" s="10" t="s">
        <v>92</v>
      </c>
      <c r="D1818" s="10" t="s">
        <v>160</v>
      </c>
      <c r="E1818" s="10" t="s">
        <v>51</v>
      </c>
      <c r="F1818" s="10"/>
      <c r="G1818" s="10" t="s">
        <v>162</v>
      </c>
      <c r="H1818" s="30" t="n">
        <v>42804</v>
      </c>
      <c r="I1818" s="8" t="n">
        <f aca="false">INDEX(Parâmetros!$C$13:$C$19,MATCH(E1818,Parâmetros!$A$13:$A$19,0))</f>
        <v>550</v>
      </c>
      <c r="J1818" s="26" t="n">
        <f aca="false">IF(H1818="","",Parâmetros!$B$5-H1818)</f>
        <v>296</v>
      </c>
      <c r="K1818" s="10" t="n">
        <f aca="false">INDEX(Parâmetros!$D$13:$D$19,MATCH(E1818,Parâmetros!$A$13:$A$19,0))</f>
        <v>22</v>
      </c>
      <c r="L1818" s="10" t="n">
        <f aca="false">IF(G1818="Prospecting",Parâmetros!$B$9,IF(J1818&gt;Parâmetros!$B$6,0,INDEX(Parâmetros!$C$24:$C$26,MATCH(J1818,Parâmetros!$A$24:$A$26,1))))</f>
        <v>0</v>
      </c>
      <c r="M1818" s="31" t="n">
        <f aca="false">IF(G1818="Prospecting",1,INDEX(Parâmetros!$C$32:$C$35,MATCH(J1818,Parâmetros!$A$32:$A$35,1)))</f>
        <v>0.25</v>
      </c>
      <c r="N1818" s="2" t="n">
        <f aca="false">ROUND((K1818+L1818)*M1818,0)</f>
        <v>6</v>
      </c>
      <c r="O1818" s="10" t="str">
        <f aca="false">IF(AND(G1818="Engaging",J1818&gt;Parâmetros!$B$6),"Sim","Não")</f>
        <v>Sim</v>
      </c>
      <c r="P1818" s="32" t="str">
        <f aca="false">IF(O1818="Sim","R",IF(N1818&gt;=Parâmetros!$B$39,"A",IF(N1818&gt;=Parâmetros!$B$40,"B",IF(N1818&gt;=Parâmetros!$B$41,"C","D"))))</f>
        <v>R</v>
      </c>
      <c r="Q1818" s="10" t="str">
        <f aca="false">IF(F1818="","Completar cadastro","")</f>
        <v>Completar cadastro</v>
      </c>
      <c r="R1818" s="10" t="str">
        <f aca="false">INDEX(Parâmetros!$D$39:$D$43,MATCH(P1818,Parâmetros!$A$39:$A$43,0))</f>
        <v>Reciclar: requalificar, reengajar ou encerrar</v>
      </c>
    </row>
    <row r="1819" customFormat="false" ht="15" hidden="false" customHeight="false" outlineLevel="0" collapsed="false">
      <c r="A1819" s="10" t="s">
        <v>2066</v>
      </c>
      <c r="B1819" s="10" t="s">
        <v>95</v>
      </c>
      <c r="C1819" s="10" t="s">
        <v>92</v>
      </c>
      <c r="D1819" s="10" t="s">
        <v>160</v>
      </c>
      <c r="E1819" s="10" t="s">
        <v>51</v>
      </c>
      <c r="F1819" s="10"/>
      <c r="G1819" s="10" t="s">
        <v>162</v>
      </c>
      <c r="H1819" s="30" t="n">
        <v>42804</v>
      </c>
      <c r="I1819" s="8" t="n">
        <f aca="false">INDEX(Parâmetros!$C$13:$C$19,MATCH(E1819,Parâmetros!$A$13:$A$19,0))</f>
        <v>550</v>
      </c>
      <c r="J1819" s="26" t="n">
        <f aca="false">IF(H1819="","",Parâmetros!$B$5-H1819)</f>
        <v>296</v>
      </c>
      <c r="K1819" s="10" t="n">
        <f aca="false">INDEX(Parâmetros!$D$13:$D$19,MATCH(E1819,Parâmetros!$A$13:$A$19,0))</f>
        <v>22</v>
      </c>
      <c r="L1819" s="10" t="n">
        <f aca="false">IF(G1819="Prospecting",Parâmetros!$B$9,IF(J1819&gt;Parâmetros!$B$6,0,INDEX(Parâmetros!$C$24:$C$26,MATCH(J1819,Parâmetros!$A$24:$A$26,1))))</f>
        <v>0</v>
      </c>
      <c r="M1819" s="31" t="n">
        <f aca="false">IF(G1819="Prospecting",1,INDEX(Parâmetros!$C$32:$C$35,MATCH(J1819,Parâmetros!$A$32:$A$35,1)))</f>
        <v>0.25</v>
      </c>
      <c r="N1819" s="2" t="n">
        <f aca="false">ROUND((K1819+L1819)*M1819,0)</f>
        <v>6</v>
      </c>
      <c r="O1819" s="10" t="str">
        <f aca="false">IF(AND(G1819="Engaging",J1819&gt;Parâmetros!$B$6),"Sim","Não")</f>
        <v>Sim</v>
      </c>
      <c r="P1819" s="32" t="str">
        <f aca="false">IF(O1819="Sim","R",IF(N1819&gt;=Parâmetros!$B$39,"A",IF(N1819&gt;=Parâmetros!$B$40,"B",IF(N1819&gt;=Parâmetros!$B$41,"C","D"))))</f>
        <v>R</v>
      </c>
      <c r="Q1819" s="10" t="str">
        <f aca="false">IF(F1819="","Completar cadastro","")</f>
        <v>Completar cadastro</v>
      </c>
      <c r="R1819" s="10" t="str">
        <f aca="false">INDEX(Parâmetros!$D$39:$D$43,MATCH(P1819,Parâmetros!$A$39:$A$43,0))</f>
        <v>Reciclar: requalificar, reengajar ou encerrar</v>
      </c>
    </row>
    <row r="1820" customFormat="false" ht="15" hidden="false" customHeight="false" outlineLevel="0" collapsed="false">
      <c r="A1820" s="10" t="s">
        <v>2067</v>
      </c>
      <c r="B1820" s="10" t="s">
        <v>86</v>
      </c>
      <c r="C1820" s="10" t="s">
        <v>85</v>
      </c>
      <c r="D1820" s="10" t="s">
        <v>165</v>
      </c>
      <c r="E1820" s="10" t="s">
        <v>51</v>
      </c>
      <c r="F1820" s="10" t="s">
        <v>437</v>
      </c>
      <c r="G1820" s="10" t="s">
        <v>162</v>
      </c>
      <c r="H1820" s="30" t="n">
        <v>42806</v>
      </c>
      <c r="I1820" s="8" t="n">
        <f aca="false">INDEX(Parâmetros!$C$13:$C$19,MATCH(E1820,Parâmetros!$A$13:$A$19,0))</f>
        <v>550</v>
      </c>
      <c r="J1820" s="26" t="n">
        <f aca="false">IF(H1820="","",Parâmetros!$B$5-H1820)</f>
        <v>294</v>
      </c>
      <c r="K1820" s="10" t="n">
        <f aca="false">INDEX(Parâmetros!$D$13:$D$19,MATCH(E1820,Parâmetros!$A$13:$A$19,0))</f>
        <v>22</v>
      </c>
      <c r="L1820" s="10" t="n">
        <f aca="false">IF(G1820="Prospecting",Parâmetros!$B$9,IF(J1820&gt;Parâmetros!$B$6,0,INDEX(Parâmetros!$C$24:$C$26,MATCH(J1820,Parâmetros!$A$24:$A$26,1))))</f>
        <v>0</v>
      </c>
      <c r="M1820" s="31" t="n">
        <f aca="false">IF(G1820="Prospecting",1,INDEX(Parâmetros!$C$32:$C$35,MATCH(J1820,Parâmetros!$A$32:$A$35,1)))</f>
        <v>0.25</v>
      </c>
      <c r="N1820" s="2" t="n">
        <f aca="false">ROUND((K1820+L1820)*M1820,0)</f>
        <v>6</v>
      </c>
      <c r="O1820" s="10" t="str">
        <f aca="false">IF(AND(G1820="Engaging",J1820&gt;Parâmetros!$B$6),"Sim","Não")</f>
        <v>Sim</v>
      </c>
      <c r="P1820" s="32" t="str">
        <f aca="false">IF(O1820="Sim","R",IF(N1820&gt;=Parâmetros!$B$39,"A",IF(N1820&gt;=Parâmetros!$B$40,"B",IF(N1820&gt;=Parâmetros!$B$41,"C","D"))))</f>
        <v>R</v>
      </c>
      <c r="Q1820" s="10" t="str">
        <f aca="false">IF(F1820="","Completar cadastro","")</f>
        <v/>
      </c>
      <c r="R1820" s="10" t="str">
        <f aca="false">INDEX(Parâmetros!$D$39:$D$43,MATCH(P1820,Parâmetros!$A$39:$A$43,0))</f>
        <v>Reciclar: requalificar, reengajar ou encerrar</v>
      </c>
    </row>
    <row r="1821" customFormat="false" ht="15" hidden="false" customHeight="false" outlineLevel="0" collapsed="false">
      <c r="A1821" s="10" t="s">
        <v>2068</v>
      </c>
      <c r="B1821" s="10" t="s">
        <v>68</v>
      </c>
      <c r="C1821" s="10" t="s">
        <v>65</v>
      </c>
      <c r="D1821" s="10" t="s">
        <v>160</v>
      </c>
      <c r="E1821" s="10" t="s">
        <v>51</v>
      </c>
      <c r="F1821" s="10"/>
      <c r="G1821" s="10" t="s">
        <v>162</v>
      </c>
      <c r="H1821" s="30" t="n">
        <v>42807</v>
      </c>
      <c r="I1821" s="8" t="n">
        <f aca="false">INDEX(Parâmetros!$C$13:$C$19,MATCH(E1821,Parâmetros!$A$13:$A$19,0))</f>
        <v>550</v>
      </c>
      <c r="J1821" s="26" t="n">
        <f aca="false">IF(H1821="","",Parâmetros!$B$5-H1821)</f>
        <v>293</v>
      </c>
      <c r="K1821" s="10" t="n">
        <f aca="false">INDEX(Parâmetros!$D$13:$D$19,MATCH(E1821,Parâmetros!$A$13:$A$19,0))</f>
        <v>22</v>
      </c>
      <c r="L1821" s="10" t="n">
        <f aca="false">IF(G1821="Prospecting",Parâmetros!$B$9,IF(J1821&gt;Parâmetros!$B$6,0,INDEX(Parâmetros!$C$24:$C$26,MATCH(J1821,Parâmetros!$A$24:$A$26,1))))</f>
        <v>0</v>
      </c>
      <c r="M1821" s="31" t="n">
        <f aca="false">IF(G1821="Prospecting",1,INDEX(Parâmetros!$C$32:$C$35,MATCH(J1821,Parâmetros!$A$32:$A$35,1)))</f>
        <v>0.25</v>
      </c>
      <c r="N1821" s="2" t="n">
        <f aca="false">ROUND((K1821+L1821)*M1821,0)</f>
        <v>6</v>
      </c>
      <c r="O1821" s="10" t="str">
        <f aca="false">IF(AND(G1821="Engaging",J1821&gt;Parâmetros!$B$6),"Sim","Não")</f>
        <v>Sim</v>
      </c>
      <c r="P1821" s="32" t="str">
        <f aca="false">IF(O1821="Sim","R",IF(N1821&gt;=Parâmetros!$B$39,"A",IF(N1821&gt;=Parâmetros!$B$40,"B",IF(N1821&gt;=Parâmetros!$B$41,"C","D"))))</f>
        <v>R</v>
      </c>
      <c r="Q1821" s="10" t="str">
        <f aca="false">IF(F1821="","Completar cadastro","")</f>
        <v>Completar cadastro</v>
      </c>
      <c r="R1821" s="10" t="str">
        <f aca="false">INDEX(Parâmetros!$D$39:$D$43,MATCH(P1821,Parâmetros!$A$39:$A$43,0))</f>
        <v>Reciclar: requalificar, reengajar ou encerrar</v>
      </c>
    </row>
    <row r="1822" customFormat="false" ht="15" hidden="false" customHeight="false" outlineLevel="0" collapsed="false">
      <c r="A1822" s="10" t="s">
        <v>2069</v>
      </c>
      <c r="B1822" s="10" t="s">
        <v>68</v>
      </c>
      <c r="C1822" s="10" t="s">
        <v>65</v>
      </c>
      <c r="D1822" s="10" t="s">
        <v>160</v>
      </c>
      <c r="E1822" s="10" t="s">
        <v>51</v>
      </c>
      <c r="F1822" s="10" t="s">
        <v>277</v>
      </c>
      <c r="G1822" s="10" t="s">
        <v>162</v>
      </c>
      <c r="H1822" s="30" t="n">
        <v>42808</v>
      </c>
      <c r="I1822" s="8" t="n">
        <f aca="false">INDEX(Parâmetros!$C$13:$C$19,MATCH(E1822,Parâmetros!$A$13:$A$19,0))</f>
        <v>550</v>
      </c>
      <c r="J1822" s="26" t="n">
        <f aca="false">IF(H1822="","",Parâmetros!$B$5-H1822)</f>
        <v>292</v>
      </c>
      <c r="K1822" s="10" t="n">
        <f aca="false">INDEX(Parâmetros!$D$13:$D$19,MATCH(E1822,Parâmetros!$A$13:$A$19,0))</f>
        <v>22</v>
      </c>
      <c r="L1822" s="10" t="n">
        <f aca="false">IF(G1822="Prospecting",Parâmetros!$B$9,IF(J1822&gt;Parâmetros!$B$6,0,INDEX(Parâmetros!$C$24:$C$26,MATCH(J1822,Parâmetros!$A$24:$A$26,1))))</f>
        <v>0</v>
      </c>
      <c r="M1822" s="31" t="n">
        <f aca="false">IF(G1822="Prospecting",1,INDEX(Parâmetros!$C$32:$C$35,MATCH(J1822,Parâmetros!$A$32:$A$35,1)))</f>
        <v>0.25</v>
      </c>
      <c r="N1822" s="2" t="n">
        <f aca="false">ROUND((K1822+L1822)*M1822,0)</f>
        <v>6</v>
      </c>
      <c r="O1822" s="10" t="str">
        <f aca="false">IF(AND(G1822="Engaging",J1822&gt;Parâmetros!$B$6),"Sim","Não")</f>
        <v>Sim</v>
      </c>
      <c r="P1822" s="32" t="str">
        <f aca="false">IF(O1822="Sim","R",IF(N1822&gt;=Parâmetros!$B$39,"A",IF(N1822&gt;=Parâmetros!$B$40,"B",IF(N1822&gt;=Parâmetros!$B$41,"C","D"))))</f>
        <v>R</v>
      </c>
      <c r="Q1822" s="10" t="str">
        <f aca="false">IF(F1822="","Completar cadastro","")</f>
        <v/>
      </c>
      <c r="R1822" s="10" t="str">
        <f aca="false">INDEX(Parâmetros!$D$39:$D$43,MATCH(P1822,Parâmetros!$A$39:$A$43,0))</f>
        <v>Reciclar: requalificar, reengajar ou encerrar</v>
      </c>
    </row>
    <row r="1823" customFormat="false" ht="15" hidden="false" customHeight="false" outlineLevel="0" collapsed="false">
      <c r="A1823" s="10" t="s">
        <v>2070</v>
      </c>
      <c r="B1823" s="10" t="s">
        <v>66</v>
      </c>
      <c r="C1823" s="10" t="s">
        <v>65</v>
      </c>
      <c r="D1823" s="10" t="s">
        <v>160</v>
      </c>
      <c r="E1823" s="10" t="s">
        <v>51</v>
      </c>
      <c r="F1823" s="10" t="s">
        <v>506</v>
      </c>
      <c r="G1823" s="10" t="s">
        <v>162</v>
      </c>
      <c r="H1823" s="30" t="n">
        <v>42809</v>
      </c>
      <c r="I1823" s="8" t="n">
        <f aca="false">INDEX(Parâmetros!$C$13:$C$19,MATCH(E1823,Parâmetros!$A$13:$A$19,0))</f>
        <v>550</v>
      </c>
      <c r="J1823" s="26" t="n">
        <f aca="false">IF(H1823="","",Parâmetros!$B$5-H1823)</f>
        <v>291</v>
      </c>
      <c r="K1823" s="10" t="n">
        <f aca="false">INDEX(Parâmetros!$D$13:$D$19,MATCH(E1823,Parâmetros!$A$13:$A$19,0))</f>
        <v>22</v>
      </c>
      <c r="L1823" s="10" t="n">
        <f aca="false">IF(G1823="Prospecting",Parâmetros!$B$9,IF(J1823&gt;Parâmetros!$B$6,0,INDEX(Parâmetros!$C$24:$C$26,MATCH(J1823,Parâmetros!$A$24:$A$26,1))))</f>
        <v>0</v>
      </c>
      <c r="M1823" s="31" t="n">
        <f aca="false">IF(G1823="Prospecting",1,INDEX(Parâmetros!$C$32:$C$35,MATCH(J1823,Parâmetros!$A$32:$A$35,1)))</f>
        <v>0.25</v>
      </c>
      <c r="N1823" s="2" t="n">
        <f aca="false">ROUND((K1823+L1823)*M1823,0)</f>
        <v>6</v>
      </c>
      <c r="O1823" s="10" t="str">
        <f aca="false">IF(AND(G1823="Engaging",J1823&gt;Parâmetros!$B$6),"Sim","Não")</f>
        <v>Sim</v>
      </c>
      <c r="P1823" s="32" t="str">
        <f aca="false">IF(O1823="Sim","R",IF(N1823&gt;=Parâmetros!$B$39,"A",IF(N1823&gt;=Parâmetros!$B$40,"B",IF(N1823&gt;=Parâmetros!$B$41,"C","D"))))</f>
        <v>R</v>
      </c>
      <c r="Q1823" s="10" t="str">
        <f aca="false">IF(F1823="","Completar cadastro","")</f>
        <v/>
      </c>
      <c r="R1823" s="10" t="str">
        <f aca="false">INDEX(Parâmetros!$D$39:$D$43,MATCH(P1823,Parâmetros!$A$39:$A$43,0))</f>
        <v>Reciclar: requalificar, reengajar ou encerrar</v>
      </c>
    </row>
    <row r="1824" customFormat="false" ht="15" hidden="false" customHeight="false" outlineLevel="0" collapsed="false">
      <c r="A1824" s="10" t="s">
        <v>2071</v>
      </c>
      <c r="B1824" s="10" t="s">
        <v>94</v>
      </c>
      <c r="C1824" s="10" t="s">
        <v>92</v>
      </c>
      <c r="D1824" s="10" t="s">
        <v>160</v>
      </c>
      <c r="E1824" s="10" t="s">
        <v>51</v>
      </c>
      <c r="F1824" s="10" t="s">
        <v>247</v>
      </c>
      <c r="G1824" s="10" t="s">
        <v>162</v>
      </c>
      <c r="H1824" s="30" t="n">
        <v>42810</v>
      </c>
      <c r="I1824" s="8" t="n">
        <f aca="false">INDEX(Parâmetros!$C$13:$C$19,MATCH(E1824,Parâmetros!$A$13:$A$19,0))</f>
        <v>550</v>
      </c>
      <c r="J1824" s="26" t="n">
        <f aca="false">IF(H1824="","",Parâmetros!$B$5-H1824)</f>
        <v>290</v>
      </c>
      <c r="K1824" s="10" t="n">
        <f aca="false">INDEX(Parâmetros!$D$13:$D$19,MATCH(E1824,Parâmetros!$A$13:$A$19,0))</f>
        <v>22</v>
      </c>
      <c r="L1824" s="10" t="n">
        <f aca="false">IF(G1824="Prospecting",Parâmetros!$B$9,IF(J1824&gt;Parâmetros!$B$6,0,INDEX(Parâmetros!$C$24:$C$26,MATCH(J1824,Parâmetros!$A$24:$A$26,1))))</f>
        <v>0</v>
      </c>
      <c r="M1824" s="31" t="n">
        <f aca="false">IF(G1824="Prospecting",1,INDEX(Parâmetros!$C$32:$C$35,MATCH(J1824,Parâmetros!$A$32:$A$35,1)))</f>
        <v>0.25</v>
      </c>
      <c r="N1824" s="2" t="n">
        <f aca="false">ROUND((K1824+L1824)*M1824,0)</f>
        <v>6</v>
      </c>
      <c r="O1824" s="10" t="str">
        <f aca="false">IF(AND(G1824="Engaging",J1824&gt;Parâmetros!$B$6),"Sim","Não")</f>
        <v>Sim</v>
      </c>
      <c r="P1824" s="32" t="str">
        <f aca="false">IF(O1824="Sim","R",IF(N1824&gt;=Parâmetros!$B$39,"A",IF(N1824&gt;=Parâmetros!$B$40,"B",IF(N1824&gt;=Parâmetros!$B$41,"C","D"))))</f>
        <v>R</v>
      </c>
      <c r="Q1824" s="10" t="str">
        <f aca="false">IF(F1824="","Completar cadastro","")</f>
        <v/>
      </c>
      <c r="R1824" s="10" t="str">
        <f aca="false">INDEX(Parâmetros!$D$39:$D$43,MATCH(P1824,Parâmetros!$A$39:$A$43,0))</f>
        <v>Reciclar: requalificar, reengajar ou encerrar</v>
      </c>
    </row>
    <row r="1825" customFormat="false" ht="15" hidden="false" customHeight="false" outlineLevel="0" collapsed="false">
      <c r="A1825" s="10" t="s">
        <v>2072</v>
      </c>
      <c r="B1825" s="10" t="s">
        <v>57</v>
      </c>
      <c r="C1825" s="10" t="s">
        <v>58</v>
      </c>
      <c r="D1825" s="10" t="s">
        <v>165</v>
      </c>
      <c r="E1825" s="10" t="s">
        <v>51</v>
      </c>
      <c r="F1825" s="10"/>
      <c r="G1825" s="10" t="s">
        <v>162</v>
      </c>
      <c r="H1825" s="30" t="n">
        <v>42811</v>
      </c>
      <c r="I1825" s="8" t="n">
        <f aca="false">INDEX(Parâmetros!$C$13:$C$19,MATCH(E1825,Parâmetros!$A$13:$A$19,0))</f>
        <v>550</v>
      </c>
      <c r="J1825" s="26" t="n">
        <f aca="false">IF(H1825="","",Parâmetros!$B$5-H1825)</f>
        <v>289</v>
      </c>
      <c r="K1825" s="10" t="n">
        <f aca="false">INDEX(Parâmetros!$D$13:$D$19,MATCH(E1825,Parâmetros!$A$13:$A$19,0))</f>
        <v>22</v>
      </c>
      <c r="L1825" s="10" t="n">
        <f aca="false">IF(G1825="Prospecting",Parâmetros!$B$9,IF(J1825&gt;Parâmetros!$B$6,0,INDEX(Parâmetros!$C$24:$C$26,MATCH(J1825,Parâmetros!$A$24:$A$26,1))))</f>
        <v>0</v>
      </c>
      <c r="M1825" s="31" t="n">
        <f aca="false">IF(G1825="Prospecting",1,INDEX(Parâmetros!$C$32:$C$35,MATCH(J1825,Parâmetros!$A$32:$A$35,1)))</f>
        <v>0.25</v>
      </c>
      <c r="N1825" s="2" t="n">
        <f aca="false">ROUND((K1825+L1825)*M1825,0)</f>
        <v>6</v>
      </c>
      <c r="O1825" s="10" t="str">
        <f aca="false">IF(AND(G1825="Engaging",J1825&gt;Parâmetros!$B$6),"Sim","Não")</f>
        <v>Sim</v>
      </c>
      <c r="P1825" s="32" t="str">
        <f aca="false">IF(O1825="Sim","R",IF(N1825&gt;=Parâmetros!$B$39,"A",IF(N1825&gt;=Parâmetros!$B$40,"B",IF(N1825&gt;=Parâmetros!$B$41,"C","D"))))</f>
        <v>R</v>
      </c>
      <c r="Q1825" s="10" t="str">
        <f aca="false">IF(F1825="","Completar cadastro","")</f>
        <v>Completar cadastro</v>
      </c>
      <c r="R1825" s="10" t="str">
        <f aca="false">INDEX(Parâmetros!$D$39:$D$43,MATCH(P1825,Parâmetros!$A$39:$A$43,0))</f>
        <v>Reciclar: requalificar, reengajar ou encerrar</v>
      </c>
    </row>
    <row r="1826" customFormat="false" ht="15" hidden="false" customHeight="false" outlineLevel="0" collapsed="false">
      <c r="A1826" s="10" t="s">
        <v>2073</v>
      </c>
      <c r="B1826" s="10" t="s">
        <v>62</v>
      </c>
      <c r="C1826" s="10" t="s">
        <v>58</v>
      </c>
      <c r="D1826" s="10" t="s">
        <v>165</v>
      </c>
      <c r="E1826" s="10" t="s">
        <v>51</v>
      </c>
      <c r="F1826" s="10"/>
      <c r="G1826" s="10" t="s">
        <v>162</v>
      </c>
      <c r="H1826" s="30" t="n">
        <v>42811</v>
      </c>
      <c r="I1826" s="8" t="n">
        <f aca="false">INDEX(Parâmetros!$C$13:$C$19,MATCH(E1826,Parâmetros!$A$13:$A$19,0))</f>
        <v>550</v>
      </c>
      <c r="J1826" s="26" t="n">
        <f aca="false">IF(H1826="","",Parâmetros!$B$5-H1826)</f>
        <v>289</v>
      </c>
      <c r="K1826" s="10" t="n">
        <f aca="false">INDEX(Parâmetros!$D$13:$D$19,MATCH(E1826,Parâmetros!$A$13:$A$19,0))</f>
        <v>22</v>
      </c>
      <c r="L1826" s="10" t="n">
        <f aca="false">IF(G1826="Prospecting",Parâmetros!$B$9,IF(J1826&gt;Parâmetros!$B$6,0,INDEX(Parâmetros!$C$24:$C$26,MATCH(J1826,Parâmetros!$A$24:$A$26,1))))</f>
        <v>0</v>
      </c>
      <c r="M1826" s="31" t="n">
        <f aca="false">IF(G1826="Prospecting",1,INDEX(Parâmetros!$C$32:$C$35,MATCH(J1826,Parâmetros!$A$32:$A$35,1)))</f>
        <v>0.25</v>
      </c>
      <c r="N1826" s="2" t="n">
        <f aca="false">ROUND((K1826+L1826)*M1826,0)</f>
        <v>6</v>
      </c>
      <c r="O1826" s="10" t="str">
        <f aca="false">IF(AND(G1826="Engaging",J1826&gt;Parâmetros!$B$6),"Sim","Não")</f>
        <v>Sim</v>
      </c>
      <c r="P1826" s="32" t="str">
        <f aca="false">IF(O1826="Sim","R",IF(N1826&gt;=Parâmetros!$B$39,"A",IF(N1826&gt;=Parâmetros!$B$40,"B",IF(N1826&gt;=Parâmetros!$B$41,"C","D"))))</f>
        <v>R</v>
      </c>
      <c r="Q1826" s="10" t="str">
        <f aca="false">IF(F1826="","Completar cadastro","")</f>
        <v>Completar cadastro</v>
      </c>
      <c r="R1826" s="10" t="str">
        <f aca="false">INDEX(Parâmetros!$D$39:$D$43,MATCH(P1826,Parâmetros!$A$39:$A$43,0))</f>
        <v>Reciclar: requalificar, reengajar ou encerrar</v>
      </c>
    </row>
    <row r="1827" customFormat="false" ht="15" hidden="false" customHeight="false" outlineLevel="0" collapsed="false">
      <c r="A1827" s="10" t="s">
        <v>2074</v>
      </c>
      <c r="B1827" s="10" t="s">
        <v>93</v>
      </c>
      <c r="C1827" s="10" t="s">
        <v>92</v>
      </c>
      <c r="D1827" s="10" t="s">
        <v>160</v>
      </c>
      <c r="E1827" s="10" t="s">
        <v>51</v>
      </c>
      <c r="F1827" s="10"/>
      <c r="G1827" s="10" t="s">
        <v>162</v>
      </c>
      <c r="H1827" s="30" t="n">
        <v>42812</v>
      </c>
      <c r="I1827" s="8" t="n">
        <f aca="false">INDEX(Parâmetros!$C$13:$C$19,MATCH(E1827,Parâmetros!$A$13:$A$19,0))</f>
        <v>550</v>
      </c>
      <c r="J1827" s="26" t="n">
        <f aca="false">IF(H1827="","",Parâmetros!$B$5-H1827)</f>
        <v>288</v>
      </c>
      <c r="K1827" s="10" t="n">
        <f aca="false">INDEX(Parâmetros!$D$13:$D$19,MATCH(E1827,Parâmetros!$A$13:$A$19,0))</f>
        <v>22</v>
      </c>
      <c r="L1827" s="10" t="n">
        <f aca="false">IF(G1827="Prospecting",Parâmetros!$B$9,IF(J1827&gt;Parâmetros!$B$6,0,INDEX(Parâmetros!$C$24:$C$26,MATCH(J1827,Parâmetros!$A$24:$A$26,1))))</f>
        <v>0</v>
      </c>
      <c r="M1827" s="31" t="n">
        <f aca="false">IF(G1827="Prospecting",1,INDEX(Parâmetros!$C$32:$C$35,MATCH(J1827,Parâmetros!$A$32:$A$35,1)))</f>
        <v>0.25</v>
      </c>
      <c r="N1827" s="2" t="n">
        <f aca="false">ROUND((K1827+L1827)*M1827,0)</f>
        <v>6</v>
      </c>
      <c r="O1827" s="10" t="str">
        <f aca="false">IF(AND(G1827="Engaging",J1827&gt;Parâmetros!$B$6),"Sim","Não")</f>
        <v>Sim</v>
      </c>
      <c r="P1827" s="32" t="str">
        <f aca="false">IF(O1827="Sim","R",IF(N1827&gt;=Parâmetros!$B$39,"A",IF(N1827&gt;=Parâmetros!$B$40,"B",IF(N1827&gt;=Parâmetros!$B$41,"C","D"))))</f>
        <v>R</v>
      </c>
      <c r="Q1827" s="10" t="str">
        <f aca="false">IF(F1827="","Completar cadastro","")</f>
        <v>Completar cadastro</v>
      </c>
      <c r="R1827" s="10" t="str">
        <f aca="false">INDEX(Parâmetros!$D$39:$D$43,MATCH(P1827,Parâmetros!$A$39:$A$43,0))</f>
        <v>Reciclar: requalificar, reengajar ou encerrar</v>
      </c>
    </row>
    <row r="1828" customFormat="false" ht="15" hidden="false" customHeight="false" outlineLevel="0" collapsed="false">
      <c r="A1828" s="10" t="s">
        <v>2075</v>
      </c>
      <c r="B1828" s="10" t="s">
        <v>96</v>
      </c>
      <c r="C1828" s="10" t="s">
        <v>92</v>
      </c>
      <c r="D1828" s="10" t="s">
        <v>160</v>
      </c>
      <c r="E1828" s="10" t="s">
        <v>51</v>
      </c>
      <c r="F1828" s="10"/>
      <c r="G1828" s="10" t="s">
        <v>162</v>
      </c>
      <c r="H1828" s="30" t="n">
        <v>42812</v>
      </c>
      <c r="I1828" s="8" t="n">
        <f aca="false">INDEX(Parâmetros!$C$13:$C$19,MATCH(E1828,Parâmetros!$A$13:$A$19,0))</f>
        <v>550</v>
      </c>
      <c r="J1828" s="26" t="n">
        <f aca="false">IF(H1828="","",Parâmetros!$B$5-H1828)</f>
        <v>288</v>
      </c>
      <c r="K1828" s="10" t="n">
        <f aca="false">INDEX(Parâmetros!$D$13:$D$19,MATCH(E1828,Parâmetros!$A$13:$A$19,0))</f>
        <v>22</v>
      </c>
      <c r="L1828" s="10" t="n">
        <f aca="false">IF(G1828="Prospecting",Parâmetros!$B$9,IF(J1828&gt;Parâmetros!$B$6,0,INDEX(Parâmetros!$C$24:$C$26,MATCH(J1828,Parâmetros!$A$24:$A$26,1))))</f>
        <v>0</v>
      </c>
      <c r="M1828" s="31" t="n">
        <f aca="false">IF(G1828="Prospecting",1,INDEX(Parâmetros!$C$32:$C$35,MATCH(J1828,Parâmetros!$A$32:$A$35,1)))</f>
        <v>0.25</v>
      </c>
      <c r="N1828" s="2" t="n">
        <f aca="false">ROUND((K1828+L1828)*M1828,0)</f>
        <v>6</v>
      </c>
      <c r="O1828" s="10" t="str">
        <f aca="false">IF(AND(G1828="Engaging",J1828&gt;Parâmetros!$B$6),"Sim","Não")</f>
        <v>Sim</v>
      </c>
      <c r="P1828" s="32" t="str">
        <f aca="false">IF(O1828="Sim","R",IF(N1828&gt;=Parâmetros!$B$39,"A",IF(N1828&gt;=Parâmetros!$B$40,"B",IF(N1828&gt;=Parâmetros!$B$41,"C","D"))))</f>
        <v>R</v>
      </c>
      <c r="Q1828" s="10" t="str">
        <f aca="false">IF(F1828="","Completar cadastro","")</f>
        <v>Completar cadastro</v>
      </c>
      <c r="R1828" s="10" t="str">
        <f aca="false">INDEX(Parâmetros!$D$39:$D$43,MATCH(P1828,Parâmetros!$A$39:$A$43,0))</f>
        <v>Reciclar: requalificar, reengajar ou encerrar</v>
      </c>
    </row>
    <row r="1829" customFormat="false" ht="15" hidden="false" customHeight="false" outlineLevel="0" collapsed="false">
      <c r="A1829" s="10" t="s">
        <v>2076</v>
      </c>
      <c r="B1829" s="10" t="s">
        <v>95</v>
      </c>
      <c r="C1829" s="10" t="s">
        <v>92</v>
      </c>
      <c r="D1829" s="10" t="s">
        <v>160</v>
      </c>
      <c r="E1829" s="10" t="s">
        <v>51</v>
      </c>
      <c r="F1829" s="10"/>
      <c r="G1829" s="10" t="s">
        <v>162</v>
      </c>
      <c r="H1829" s="30" t="n">
        <v>42813</v>
      </c>
      <c r="I1829" s="8" t="n">
        <f aca="false">INDEX(Parâmetros!$C$13:$C$19,MATCH(E1829,Parâmetros!$A$13:$A$19,0))</f>
        <v>550</v>
      </c>
      <c r="J1829" s="26" t="n">
        <f aca="false">IF(H1829="","",Parâmetros!$B$5-H1829)</f>
        <v>287</v>
      </c>
      <c r="K1829" s="10" t="n">
        <f aca="false">INDEX(Parâmetros!$D$13:$D$19,MATCH(E1829,Parâmetros!$A$13:$A$19,0))</f>
        <v>22</v>
      </c>
      <c r="L1829" s="10" t="n">
        <f aca="false">IF(G1829="Prospecting",Parâmetros!$B$9,IF(J1829&gt;Parâmetros!$B$6,0,INDEX(Parâmetros!$C$24:$C$26,MATCH(J1829,Parâmetros!$A$24:$A$26,1))))</f>
        <v>0</v>
      </c>
      <c r="M1829" s="31" t="n">
        <f aca="false">IF(G1829="Prospecting",1,INDEX(Parâmetros!$C$32:$C$35,MATCH(J1829,Parâmetros!$A$32:$A$35,1)))</f>
        <v>0.25</v>
      </c>
      <c r="N1829" s="2" t="n">
        <f aca="false">ROUND((K1829+L1829)*M1829,0)</f>
        <v>6</v>
      </c>
      <c r="O1829" s="10" t="str">
        <f aca="false">IF(AND(G1829="Engaging",J1829&gt;Parâmetros!$B$6),"Sim","Não")</f>
        <v>Sim</v>
      </c>
      <c r="P1829" s="32" t="str">
        <f aca="false">IF(O1829="Sim","R",IF(N1829&gt;=Parâmetros!$B$39,"A",IF(N1829&gt;=Parâmetros!$B$40,"B",IF(N1829&gt;=Parâmetros!$B$41,"C","D"))))</f>
        <v>R</v>
      </c>
      <c r="Q1829" s="10" t="str">
        <f aca="false">IF(F1829="","Completar cadastro","")</f>
        <v>Completar cadastro</v>
      </c>
      <c r="R1829" s="10" t="str">
        <f aca="false">INDEX(Parâmetros!$D$39:$D$43,MATCH(P1829,Parâmetros!$A$39:$A$43,0))</f>
        <v>Reciclar: requalificar, reengajar ou encerrar</v>
      </c>
    </row>
    <row r="1830" customFormat="false" ht="15" hidden="false" customHeight="false" outlineLevel="0" collapsed="false">
      <c r="A1830" s="10" t="s">
        <v>2077</v>
      </c>
      <c r="B1830" s="10" t="s">
        <v>57</v>
      </c>
      <c r="C1830" s="10" t="s">
        <v>58</v>
      </c>
      <c r="D1830" s="10" t="s">
        <v>165</v>
      </c>
      <c r="E1830" s="10" t="s">
        <v>51</v>
      </c>
      <c r="F1830" s="10" t="s">
        <v>175</v>
      </c>
      <c r="G1830" s="10" t="s">
        <v>162</v>
      </c>
      <c r="H1830" s="30" t="n">
        <v>42814</v>
      </c>
      <c r="I1830" s="8" t="n">
        <f aca="false">INDEX(Parâmetros!$C$13:$C$19,MATCH(E1830,Parâmetros!$A$13:$A$19,0))</f>
        <v>550</v>
      </c>
      <c r="J1830" s="26" t="n">
        <f aca="false">IF(H1830="","",Parâmetros!$B$5-H1830)</f>
        <v>286</v>
      </c>
      <c r="K1830" s="10" t="n">
        <f aca="false">INDEX(Parâmetros!$D$13:$D$19,MATCH(E1830,Parâmetros!$A$13:$A$19,0))</f>
        <v>22</v>
      </c>
      <c r="L1830" s="10" t="n">
        <f aca="false">IF(G1830="Prospecting",Parâmetros!$B$9,IF(J1830&gt;Parâmetros!$B$6,0,INDEX(Parâmetros!$C$24:$C$26,MATCH(J1830,Parâmetros!$A$24:$A$26,1))))</f>
        <v>0</v>
      </c>
      <c r="M1830" s="31" t="n">
        <f aca="false">IF(G1830="Prospecting",1,INDEX(Parâmetros!$C$32:$C$35,MATCH(J1830,Parâmetros!$A$32:$A$35,1)))</f>
        <v>0.25</v>
      </c>
      <c r="N1830" s="2" t="n">
        <f aca="false">ROUND((K1830+L1830)*M1830,0)</f>
        <v>6</v>
      </c>
      <c r="O1830" s="10" t="str">
        <f aca="false">IF(AND(G1830="Engaging",J1830&gt;Parâmetros!$B$6),"Sim","Não")</f>
        <v>Sim</v>
      </c>
      <c r="P1830" s="32" t="str">
        <f aca="false">IF(O1830="Sim","R",IF(N1830&gt;=Parâmetros!$B$39,"A",IF(N1830&gt;=Parâmetros!$B$40,"B",IF(N1830&gt;=Parâmetros!$B$41,"C","D"))))</f>
        <v>R</v>
      </c>
      <c r="Q1830" s="10" t="str">
        <f aca="false">IF(F1830="","Completar cadastro","")</f>
        <v/>
      </c>
      <c r="R1830" s="10" t="str">
        <f aca="false">INDEX(Parâmetros!$D$39:$D$43,MATCH(P1830,Parâmetros!$A$39:$A$43,0))</f>
        <v>Reciclar: requalificar, reengajar ou encerrar</v>
      </c>
    </row>
    <row r="1831" customFormat="false" ht="15" hidden="false" customHeight="false" outlineLevel="0" collapsed="false">
      <c r="A1831" s="10" t="s">
        <v>2078</v>
      </c>
      <c r="B1831" s="10" t="s">
        <v>94</v>
      </c>
      <c r="C1831" s="10" t="s">
        <v>92</v>
      </c>
      <c r="D1831" s="10" t="s">
        <v>160</v>
      </c>
      <c r="E1831" s="10" t="s">
        <v>51</v>
      </c>
      <c r="F1831" s="10"/>
      <c r="G1831" s="10" t="s">
        <v>162</v>
      </c>
      <c r="H1831" s="30" t="n">
        <v>42816</v>
      </c>
      <c r="I1831" s="8" t="n">
        <f aca="false">INDEX(Parâmetros!$C$13:$C$19,MATCH(E1831,Parâmetros!$A$13:$A$19,0))</f>
        <v>550</v>
      </c>
      <c r="J1831" s="26" t="n">
        <f aca="false">IF(H1831="","",Parâmetros!$B$5-H1831)</f>
        <v>284</v>
      </c>
      <c r="K1831" s="10" t="n">
        <f aca="false">INDEX(Parâmetros!$D$13:$D$19,MATCH(E1831,Parâmetros!$A$13:$A$19,0))</f>
        <v>22</v>
      </c>
      <c r="L1831" s="10" t="n">
        <f aca="false">IF(G1831="Prospecting",Parâmetros!$B$9,IF(J1831&gt;Parâmetros!$B$6,0,INDEX(Parâmetros!$C$24:$C$26,MATCH(J1831,Parâmetros!$A$24:$A$26,1))))</f>
        <v>0</v>
      </c>
      <c r="M1831" s="31" t="n">
        <f aca="false">IF(G1831="Prospecting",1,INDEX(Parâmetros!$C$32:$C$35,MATCH(J1831,Parâmetros!$A$32:$A$35,1)))</f>
        <v>0.25</v>
      </c>
      <c r="N1831" s="2" t="n">
        <f aca="false">ROUND((K1831+L1831)*M1831,0)</f>
        <v>6</v>
      </c>
      <c r="O1831" s="10" t="str">
        <f aca="false">IF(AND(G1831="Engaging",J1831&gt;Parâmetros!$B$6),"Sim","Não")</f>
        <v>Sim</v>
      </c>
      <c r="P1831" s="32" t="str">
        <f aca="false">IF(O1831="Sim","R",IF(N1831&gt;=Parâmetros!$B$39,"A",IF(N1831&gt;=Parâmetros!$B$40,"B",IF(N1831&gt;=Parâmetros!$B$41,"C","D"))))</f>
        <v>R</v>
      </c>
      <c r="Q1831" s="10" t="str">
        <f aca="false">IF(F1831="","Completar cadastro","")</f>
        <v>Completar cadastro</v>
      </c>
      <c r="R1831" s="10" t="str">
        <f aca="false">INDEX(Parâmetros!$D$39:$D$43,MATCH(P1831,Parâmetros!$A$39:$A$43,0))</f>
        <v>Reciclar: requalificar, reengajar ou encerrar</v>
      </c>
    </row>
    <row r="1832" customFormat="false" ht="15" hidden="false" customHeight="false" outlineLevel="0" collapsed="false">
      <c r="A1832" s="10" t="s">
        <v>2079</v>
      </c>
      <c r="B1832" s="10" t="s">
        <v>97</v>
      </c>
      <c r="C1832" s="10" t="s">
        <v>92</v>
      </c>
      <c r="D1832" s="10" t="s">
        <v>160</v>
      </c>
      <c r="E1832" s="10" t="s">
        <v>51</v>
      </c>
      <c r="F1832" s="10"/>
      <c r="G1832" s="10" t="s">
        <v>162</v>
      </c>
      <c r="H1832" s="30" t="n">
        <v>42816</v>
      </c>
      <c r="I1832" s="8" t="n">
        <f aca="false">INDEX(Parâmetros!$C$13:$C$19,MATCH(E1832,Parâmetros!$A$13:$A$19,0))</f>
        <v>550</v>
      </c>
      <c r="J1832" s="26" t="n">
        <f aca="false">IF(H1832="","",Parâmetros!$B$5-H1832)</f>
        <v>284</v>
      </c>
      <c r="K1832" s="10" t="n">
        <f aca="false">INDEX(Parâmetros!$D$13:$D$19,MATCH(E1832,Parâmetros!$A$13:$A$19,0))</f>
        <v>22</v>
      </c>
      <c r="L1832" s="10" t="n">
        <f aca="false">IF(G1832="Prospecting",Parâmetros!$B$9,IF(J1832&gt;Parâmetros!$B$6,0,INDEX(Parâmetros!$C$24:$C$26,MATCH(J1832,Parâmetros!$A$24:$A$26,1))))</f>
        <v>0</v>
      </c>
      <c r="M1832" s="31" t="n">
        <f aca="false">IF(G1832="Prospecting",1,INDEX(Parâmetros!$C$32:$C$35,MATCH(J1832,Parâmetros!$A$32:$A$35,1)))</f>
        <v>0.25</v>
      </c>
      <c r="N1832" s="2" t="n">
        <f aca="false">ROUND((K1832+L1832)*M1832,0)</f>
        <v>6</v>
      </c>
      <c r="O1832" s="10" t="str">
        <f aca="false">IF(AND(G1832="Engaging",J1832&gt;Parâmetros!$B$6),"Sim","Não")</f>
        <v>Sim</v>
      </c>
      <c r="P1832" s="32" t="str">
        <f aca="false">IF(O1832="Sim","R",IF(N1832&gt;=Parâmetros!$B$39,"A",IF(N1832&gt;=Parâmetros!$B$40,"B",IF(N1832&gt;=Parâmetros!$B$41,"C","D"))))</f>
        <v>R</v>
      </c>
      <c r="Q1832" s="10" t="str">
        <f aca="false">IF(F1832="","Completar cadastro","")</f>
        <v>Completar cadastro</v>
      </c>
      <c r="R1832" s="10" t="str">
        <f aca="false">INDEX(Parâmetros!$D$39:$D$43,MATCH(P1832,Parâmetros!$A$39:$A$43,0))</f>
        <v>Reciclar: requalificar, reengajar ou encerrar</v>
      </c>
    </row>
    <row r="1833" customFormat="false" ht="15" hidden="false" customHeight="false" outlineLevel="0" collapsed="false">
      <c r="A1833" s="10" t="s">
        <v>2080</v>
      </c>
      <c r="B1833" s="10" t="s">
        <v>86</v>
      </c>
      <c r="C1833" s="10" t="s">
        <v>85</v>
      </c>
      <c r="D1833" s="10" t="s">
        <v>165</v>
      </c>
      <c r="E1833" s="10" t="s">
        <v>51</v>
      </c>
      <c r="F1833" s="10" t="s">
        <v>506</v>
      </c>
      <c r="G1833" s="10" t="s">
        <v>162</v>
      </c>
      <c r="H1833" s="30" t="n">
        <v>42817</v>
      </c>
      <c r="I1833" s="8" t="n">
        <f aca="false">INDEX(Parâmetros!$C$13:$C$19,MATCH(E1833,Parâmetros!$A$13:$A$19,0))</f>
        <v>550</v>
      </c>
      <c r="J1833" s="26" t="n">
        <f aca="false">IF(H1833="","",Parâmetros!$B$5-H1833)</f>
        <v>283</v>
      </c>
      <c r="K1833" s="10" t="n">
        <f aca="false">INDEX(Parâmetros!$D$13:$D$19,MATCH(E1833,Parâmetros!$A$13:$A$19,0))</f>
        <v>22</v>
      </c>
      <c r="L1833" s="10" t="n">
        <f aca="false">IF(G1833="Prospecting",Parâmetros!$B$9,IF(J1833&gt;Parâmetros!$B$6,0,INDEX(Parâmetros!$C$24:$C$26,MATCH(J1833,Parâmetros!$A$24:$A$26,1))))</f>
        <v>0</v>
      </c>
      <c r="M1833" s="31" t="n">
        <f aca="false">IF(G1833="Prospecting",1,INDEX(Parâmetros!$C$32:$C$35,MATCH(J1833,Parâmetros!$A$32:$A$35,1)))</f>
        <v>0.25</v>
      </c>
      <c r="N1833" s="2" t="n">
        <f aca="false">ROUND((K1833+L1833)*M1833,0)</f>
        <v>6</v>
      </c>
      <c r="O1833" s="10" t="str">
        <f aca="false">IF(AND(G1833="Engaging",J1833&gt;Parâmetros!$B$6),"Sim","Não")</f>
        <v>Sim</v>
      </c>
      <c r="P1833" s="32" t="str">
        <f aca="false">IF(O1833="Sim","R",IF(N1833&gt;=Parâmetros!$B$39,"A",IF(N1833&gt;=Parâmetros!$B$40,"B",IF(N1833&gt;=Parâmetros!$B$41,"C","D"))))</f>
        <v>R</v>
      </c>
      <c r="Q1833" s="10" t="str">
        <f aca="false">IF(F1833="","Completar cadastro","")</f>
        <v/>
      </c>
      <c r="R1833" s="10" t="str">
        <f aca="false">INDEX(Parâmetros!$D$39:$D$43,MATCH(P1833,Parâmetros!$A$39:$A$43,0))</f>
        <v>Reciclar: requalificar, reengajar ou encerrar</v>
      </c>
    </row>
    <row r="1834" customFormat="false" ht="15" hidden="false" customHeight="false" outlineLevel="0" collapsed="false">
      <c r="A1834" s="10" t="s">
        <v>2081</v>
      </c>
      <c r="B1834" s="10" t="s">
        <v>57</v>
      </c>
      <c r="C1834" s="10" t="s">
        <v>58</v>
      </c>
      <c r="D1834" s="10" t="s">
        <v>165</v>
      </c>
      <c r="E1834" s="10" t="s">
        <v>51</v>
      </c>
      <c r="F1834" s="10"/>
      <c r="G1834" s="10" t="s">
        <v>162</v>
      </c>
      <c r="H1834" s="30" t="n">
        <v>42818</v>
      </c>
      <c r="I1834" s="8" t="n">
        <f aca="false">INDEX(Parâmetros!$C$13:$C$19,MATCH(E1834,Parâmetros!$A$13:$A$19,0))</f>
        <v>550</v>
      </c>
      <c r="J1834" s="26" t="n">
        <f aca="false">IF(H1834="","",Parâmetros!$B$5-H1834)</f>
        <v>282</v>
      </c>
      <c r="K1834" s="10" t="n">
        <f aca="false">INDEX(Parâmetros!$D$13:$D$19,MATCH(E1834,Parâmetros!$A$13:$A$19,0))</f>
        <v>22</v>
      </c>
      <c r="L1834" s="10" t="n">
        <f aca="false">IF(G1834="Prospecting",Parâmetros!$B$9,IF(J1834&gt;Parâmetros!$B$6,0,INDEX(Parâmetros!$C$24:$C$26,MATCH(J1834,Parâmetros!$A$24:$A$26,1))))</f>
        <v>0</v>
      </c>
      <c r="M1834" s="31" t="n">
        <f aca="false">IF(G1834="Prospecting",1,INDEX(Parâmetros!$C$32:$C$35,MATCH(J1834,Parâmetros!$A$32:$A$35,1)))</f>
        <v>0.25</v>
      </c>
      <c r="N1834" s="2" t="n">
        <f aca="false">ROUND((K1834+L1834)*M1834,0)</f>
        <v>6</v>
      </c>
      <c r="O1834" s="10" t="str">
        <f aca="false">IF(AND(G1834="Engaging",J1834&gt;Parâmetros!$B$6),"Sim","Não")</f>
        <v>Sim</v>
      </c>
      <c r="P1834" s="32" t="str">
        <f aca="false">IF(O1834="Sim","R",IF(N1834&gt;=Parâmetros!$B$39,"A",IF(N1834&gt;=Parâmetros!$B$40,"B",IF(N1834&gt;=Parâmetros!$B$41,"C","D"))))</f>
        <v>R</v>
      </c>
      <c r="Q1834" s="10" t="str">
        <f aca="false">IF(F1834="","Completar cadastro","")</f>
        <v>Completar cadastro</v>
      </c>
      <c r="R1834" s="10" t="str">
        <f aca="false">INDEX(Parâmetros!$D$39:$D$43,MATCH(P1834,Parâmetros!$A$39:$A$43,0))</f>
        <v>Reciclar: requalificar, reengajar ou encerrar</v>
      </c>
    </row>
    <row r="1835" customFormat="false" ht="15" hidden="false" customHeight="false" outlineLevel="0" collapsed="false">
      <c r="A1835" s="10" t="s">
        <v>2082</v>
      </c>
      <c r="B1835" s="10" t="s">
        <v>94</v>
      </c>
      <c r="C1835" s="10" t="s">
        <v>92</v>
      </c>
      <c r="D1835" s="10" t="s">
        <v>160</v>
      </c>
      <c r="E1835" s="10" t="s">
        <v>51</v>
      </c>
      <c r="F1835" s="10"/>
      <c r="G1835" s="10" t="s">
        <v>162</v>
      </c>
      <c r="H1835" s="30" t="n">
        <v>42819</v>
      </c>
      <c r="I1835" s="8" t="n">
        <f aca="false">INDEX(Parâmetros!$C$13:$C$19,MATCH(E1835,Parâmetros!$A$13:$A$19,0))</f>
        <v>550</v>
      </c>
      <c r="J1835" s="26" t="n">
        <f aca="false">IF(H1835="","",Parâmetros!$B$5-H1835)</f>
        <v>281</v>
      </c>
      <c r="K1835" s="10" t="n">
        <f aca="false">INDEX(Parâmetros!$D$13:$D$19,MATCH(E1835,Parâmetros!$A$13:$A$19,0))</f>
        <v>22</v>
      </c>
      <c r="L1835" s="10" t="n">
        <f aca="false">IF(G1835="Prospecting",Parâmetros!$B$9,IF(J1835&gt;Parâmetros!$B$6,0,INDEX(Parâmetros!$C$24:$C$26,MATCH(J1835,Parâmetros!$A$24:$A$26,1))))</f>
        <v>0</v>
      </c>
      <c r="M1835" s="31" t="n">
        <f aca="false">IF(G1835="Prospecting",1,INDEX(Parâmetros!$C$32:$C$35,MATCH(J1835,Parâmetros!$A$32:$A$35,1)))</f>
        <v>0.25</v>
      </c>
      <c r="N1835" s="2" t="n">
        <f aca="false">ROUND((K1835+L1835)*M1835,0)</f>
        <v>6</v>
      </c>
      <c r="O1835" s="10" t="str">
        <f aca="false">IF(AND(G1835="Engaging",J1835&gt;Parâmetros!$B$6),"Sim","Não")</f>
        <v>Sim</v>
      </c>
      <c r="P1835" s="32" t="str">
        <f aca="false">IF(O1835="Sim","R",IF(N1835&gt;=Parâmetros!$B$39,"A",IF(N1835&gt;=Parâmetros!$B$40,"B",IF(N1835&gt;=Parâmetros!$B$41,"C","D"))))</f>
        <v>R</v>
      </c>
      <c r="Q1835" s="10" t="str">
        <f aca="false">IF(F1835="","Completar cadastro","")</f>
        <v>Completar cadastro</v>
      </c>
      <c r="R1835" s="10" t="str">
        <f aca="false">INDEX(Parâmetros!$D$39:$D$43,MATCH(P1835,Parâmetros!$A$39:$A$43,0))</f>
        <v>Reciclar: requalificar, reengajar ou encerrar</v>
      </c>
    </row>
    <row r="1836" customFormat="false" ht="15" hidden="false" customHeight="false" outlineLevel="0" collapsed="false">
      <c r="A1836" s="10" t="s">
        <v>2083</v>
      </c>
      <c r="B1836" s="10" t="s">
        <v>63</v>
      </c>
      <c r="C1836" s="10" t="s">
        <v>58</v>
      </c>
      <c r="D1836" s="10" t="s">
        <v>165</v>
      </c>
      <c r="E1836" s="10" t="s">
        <v>51</v>
      </c>
      <c r="F1836" s="10" t="s">
        <v>369</v>
      </c>
      <c r="G1836" s="10" t="s">
        <v>162</v>
      </c>
      <c r="H1836" s="30" t="n">
        <v>42819</v>
      </c>
      <c r="I1836" s="8" t="n">
        <f aca="false">INDEX(Parâmetros!$C$13:$C$19,MATCH(E1836,Parâmetros!$A$13:$A$19,0))</f>
        <v>550</v>
      </c>
      <c r="J1836" s="26" t="n">
        <f aca="false">IF(H1836="","",Parâmetros!$B$5-H1836)</f>
        <v>281</v>
      </c>
      <c r="K1836" s="10" t="n">
        <f aca="false">INDEX(Parâmetros!$D$13:$D$19,MATCH(E1836,Parâmetros!$A$13:$A$19,0))</f>
        <v>22</v>
      </c>
      <c r="L1836" s="10" t="n">
        <f aca="false">IF(G1836="Prospecting",Parâmetros!$B$9,IF(J1836&gt;Parâmetros!$B$6,0,INDEX(Parâmetros!$C$24:$C$26,MATCH(J1836,Parâmetros!$A$24:$A$26,1))))</f>
        <v>0</v>
      </c>
      <c r="M1836" s="31" t="n">
        <f aca="false">IF(G1836="Prospecting",1,INDEX(Parâmetros!$C$32:$C$35,MATCH(J1836,Parâmetros!$A$32:$A$35,1)))</f>
        <v>0.25</v>
      </c>
      <c r="N1836" s="2" t="n">
        <f aca="false">ROUND((K1836+L1836)*M1836,0)</f>
        <v>6</v>
      </c>
      <c r="O1836" s="10" t="str">
        <f aca="false">IF(AND(G1836="Engaging",J1836&gt;Parâmetros!$B$6),"Sim","Não")</f>
        <v>Sim</v>
      </c>
      <c r="P1836" s="32" t="str">
        <f aca="false">IF(O1836="Sim","R",IF(N1836&gt;=Parâmetros!$B$39,"A",IF(N1836&gt;=Parâmetros!$B$40,"B",IF(N1836&gt;=Parâmetros!$B$41,"C","D"))))</f>
        <v>R</v>
      </c>
      <c r="Q1836" s="10" t="str">
        <f aca="false">IF(F1836="","Completar cadastro","")</f>
        <v/>
      </c>
      <c r="R1836" s="10" t="str">
        <f aca="false">INDEX(Parâmetros!$D$39:$D$43,MATCH(P1836,Parâmetros!$A$39:$A$43,0))</f>
        <v>Reciclar: requalificar, reengajar ou encerrar</v>
      </c>
    </row>
    <row r="1837" customFormat="false" ht="15" hidden="false" customHeight="false" outlineLevel="0" collapsed="false">
      <c r="A1837" s="10" t="s">
        <v>2084</v>
      </c>
      <c r="B1837" s="10" t="s">
        <v>94</v>
      </c>
      <c r="C1837" s="10" t="s">
        <v>92</v>
      </c>
      <c r="D1837" s="10" t="s">
        <v>160</v>
      </c>
      <c r="E1837" s="10" t="s">
        <v>51</v>
      </c>
      <c r="F1837" s="10"/>
      <c r="G1837" s="10" t="s">
        <v>162</v>
      </c>
      <c r="H1837" s="30" t="n">
        <v>42823</v>
      </c>
      <c r="I1837" s="8" t="n">
        <f aca="false">INDEX(Parâmetros!$C$13:$C$19,MATCH(E1837,Parâmetros!$A$13:$A$19,0))</f>
        <v>550</v>
      </c>
      <c r="J1837" s="26" t="n">
        <f aca="false">IF(H1837="","",Parâmetros!$B$5-H1837)</f>
        <v>277</v>
      </c>
      <c r="K1837" s="10" t="n">
        <f aca="false">INDEX(Parâmetros!$D$13:$D$19,MATCH(E1837,Parâmetros!$A$13:$A$19,0))</f>
        <v>22</v>
      </c>
      <c r="L1837" s="10" t="n">
        <f aca="false">IF(G1837="Prospecting",Parâmetros!$B$9,IF(J1837&gt;Parâmetros!$B$6,0,INDEX(Parâmetros!$C$24:$C$26,MATCH(J1837,Parâmetros!$A$24:$A$26,1))))</f>
        <v>0</v>
      </c>
      <c r="M1837" s="31" t="n">
        <f aca="false">IF(G1837="Prospecting",1,INDEX(Parâmetros!$C$32:$C$35,MATCH(J1837,Parâmetros!$A$32:$A$35,1)))</f>
        <v>0.25</v>
      </c>
      <c r="N1837" s="2" t="n">
        <f aca="false">ROUND((K1837+L1837)*M1837,0)</f>
        <v>6</v>
      </c>
      <c r="O1837" s="10" t="str">
        <f aca="false">IF(AND(G1837="Engaging",J1837&gt;Parâmetros!$B$6),"Sim","Não")</f>
        <v>Sim</v>
      </c>
      <c r="P1837" s="32" t="str">
        <f aca="false">IF(O1837="Sim","R",IF(N1837&gt;=Parâmetros!$B$39,"A",IF(N1837&gt;=Parâmetros!$B$40,"B",IF(N1837&gt;=Parâmetros!$B$41,"C","D"))))</f>
        <v>R</v>
      </c>
      <c r="Q1837" s="10" t="str">
        <f aca="false">IF(F1837="","Completar cadastro","")</f>
        <v>Completar cadastro</v>
      </c>
      <c r="R1837" s="10" t="str">
        <f aca="false">INDEX(Parâmetros!$D$39:$D$43,MATCH(P1837,Parâmetros!$A$39:$A$43,0))</f>
        <v>Reciclar: requalificar, reengajar ou encerrar</v>
      </c>
    </row>
    <row r="1838" customFormat="false" ht="15" hidden="false" customHeight="false" outlineLevel="0" collapsed="false">
      <c r="A1838" s="10" t="s">
        <v>2085</v>
      </c>
      <c r="B1838" s="10" t="s">
        <v>61</v>
      </c>
      <c r="C1838" s="10" t="s">
        <v>58</v>
      </c>
      <c r="D1838" s="10" t="s">
        <v>165</v>
      </c>
      <c r="E1838" s="10" t="s">
        <v>51</v>
      </c>
      <c r="F1838" s="10" t="s">
        <v>437</v>
      </c>
      <c r="G1838" s="10" t="s">
        <v>162</v>
      </c>
      <c r="H1838" s="30" t="n">
        <v>42824</v>
      </c>
      <c r="I1838" s="8" t="n">
        <f aca="false">INDEX(Parâmetros!$C$13:$C$19,MATCH(E1838,Parâmetros!$A$13:$A$19,0))</f>
        <v>550</v>
      </c>
      <c r="J1838" s="26" t="n">
        <f aca="false">IF(H1838="","",Parâmetros!$B$5-H1838)</f>
        <v>276</v>
      </c>
      <c r="K1838" s="10" t="n">
        <f aca="false">INDEX(Parâmetros!$D$13:$D$19,MATCH(E1838,Parâmetros!$A$13:$A$19,0))</f>
        <v>22</v>
      </c>
      <c r="L1838" s="10" t="n">
        <f aca="false">IF(G1838="Prospecting",Parâmetros!$B$9,IF(J1838&gt;Parâmetros!$B$6,0,INDEX(Parâmetros!$C$24:$C$26,MATCH(J1838,Parâmetros!$A$24:$A$26,1))))</f>
        <v>0</v>
      </c>
      <c r="M1838" s="31" t="n">
        <f aca="false">IF(G1838="Prospecting",1,INDEX(Parâmetros!$C$32:$C$35,MATCH(J1838,Parâmetros!$A$32:$A$35,1)))</f>
        <v>0.25</v>
      </c>
      <c r="N1838" s="2" t="n">
        <f aca="false">ROUND((K1838+L1838)*M1838,0)</f>
        <v>6</v>
      </c>
      <c r="O1838" s="10" t="str">
        <f aca="false">IF(AND(G1838="Engaging",J1838&gt;Parâmetros!$B$6),"Sim","Não")</f>
        <v>Sim</v>
      </c>
      <c r="P1838" s="32" t="str">
        <f aca="false">IF(O1838="Sim","R",IF(N1838&gt;=Parâmetros!$B$39,"A",IF(N1838&gt;=Parâmetros!$B$40,"B",IF(N1838&gt;=Parâmetros!$B$41,"C","D"))))</f>
        <v>R</v>
      </c>
      <c r="Q1838" s="10" t="str">
        <f aca="false">IF(F1838="","Completar cadastro","")</f>
        <v/>
      </c>
      <c r="R1838" s="10" t="str">
        <f aca="false">INDEX(Parâmetros!$D$39:$D$43,MATCH(P1838,Parâmetros!$A$39:$A$43,0))</f>
        <v>Reciclar: requalificar, reengajar ou encerrar</v>
      </c>
    </row>
    <row r="1839" customFormat="false" ht="15" hidden="false" customHeight="false" outlineLevel="0" collapsed="false">
      <c r="A1839" s="10" t="s">
        <v>2086</v>
      </c>
      <c r="B1839" s="10" t="s">
        <v>70</v>
      </c>
      <c r="C1839" s="10" t="s">
        <v>65</v>
      </c>
      <c r="D1839" s="10" t="s">
        <v>160</v>
      </c>
      <c r="E1839" s="10" t="s">
        <v>51</v>
      </c>
      <c r="F1839" s="10"/>
      <c r="G1839" s="10" t="s">
        <v>162</v>
      </c>
      <c r="H1839" s="30" t="n">
        <v>42824</v>
      </c>
      <c r="I1839" s="8" t="n">
        <f aca="false">INDEX(Parâmetros!$C$13:$C$19,MATCH(E1839,Parâmetros!$A$13:$A$19,0))</f>
        <v>550</v>
      </c>
      <c r="J1839" s="26" t="n">
        <f aca="false">IF(H1839="","",Parâmetros!$B$5-H1839)</f>
        <v>276</v>
      </c>
      <c r="K1839" s="10" t="n">
        <f aca="false">INDEX(Parâmetros!$D$13:$D$19,MATCH(E1839,Parâmetros!$A$13:$A$19,0))</f>
        <v>22</v>
      </c>
      <c r="L1839" s="10" t="n">
        <f aca="false">IF(G1839="Prospecting",Parâmetros!$B$9,IF(J1839&gt;Parâmetros!$B$6,0,INDEX(Parâmetros!$C$24:$C$26,MATCH(J1839,Parâmetros!$A$24:$A$26,1))))</f>
        <v>0</v>
      </c>
      <c r="M1839" s="31" t="n">
        <f aca="false">IF(G1839="Prospecting",1,INDEX(Parâmetros!$C$32:$C$35,MATCH(J1839,Parâmetros!$A$32:$A$35,1)))</f>
        <v>0.25</v>
      </c>
      <c r="N1839" s="2" t="n">
        <f aca="false">ROUND((K1839+L1839)*M1839,0)</f>
        <v>6</v>
      </c>
      <c r="O1839" s="10" t="str">
        <f aca="false">IF(AND(G1839="Engaging",J1839&gt;Parâmetros!$B$6),"Sim","Não")</f>
        <v>Sim</v>
      </c>
      <c r="P1839" s="32" t="str">
        <f aca="false">IF(O1839="Sim","R",IF(N1839&gt;=Parâmetros!$B$39,"A",IF(N1839&gt;=Parâmetros!$B$40,"B",IF(N1839&gt;=Parâmetros!$B$41,"C","D"))))</f>
        <v>R</v>
      </c>
      <c r="Q1839" s="10" t="str">
        <f aca="false">IF(F1839="","Completar cadastro","")</f>
        <v>Completar cadastro</v>
      </c>
      <c r="R1839" s="10" t="str">
        <f aca="false">INDEX(Parâmetros!$D$39:$D$43,MATCH(P1839,Parâmetros!$A$39:$A$43,0))</f>
        <v>Reciclar: requalificar, reengajar ou encerrar</v>
      </c>
    </row>
    <row r="1840" customFormat="false" ht="15" hidden="false" customHeight="false" outlineLevel="0" collapsed="false">
      <c r="A1840" s="10" t="s">
        <v>2087</v>
      </c>
      <c r="B1840" s="10" t="s">
        <v>97</v>
      </c>
      <c r="C1840" s="10" t="s">
        <v>92</v>
      </c>
      <c r="D1840" s="10" t="s">
        <v>160</v>
      </c>
      <c r="E1840" s="10" t="s">
        <v>51</v>
      </c>
      <c r="F1840" s="10" t="s">
        <v>536</v>
      </c>
      <c r="G1840" s="10" t="s">
        <v>162</v>
      </c>
      <c r="H1840" s="30" t="n">
        <v>42824</v>
      </c>
      <c r="I1840" s="8" t="n">
        <f aca="false">INDEX(Parâmetros!$C$13:$C$19,MATCH(E1840,Parâmetros!$A$13:$A$19,0))</f>
        <v>550</v>
      </c>
      <c r="J1840" s="26" t="n">
        <f aca="false">IF(H1840="","",Parâmetros!$B$5-H1840)</f>
        <v>276</v>
      </c>
      <c r="K1840" s="10" t="n">
        <f aca="false">INDEX(Parâmetros!$D$13:$D$19,MATCH(E1840,Parâmetros!$A$13:$A$19,0))</f>
        <v>22</v>
      </c>
      <c r="L1840" s="10" t="n">
        <f aca="false">IF(G1840="Prospecting",Parâmetros!$B$9,IF(J1840&gt;Parâmetros!$B$6,0,INDEX(Parâmetros!$C$24:$C$26,MATCH(J1840,Parâmetros!$A$24:$A$26,1))))</f>
        <v>0</v>
      </c>
      <c r="M1840" s="31" t="n">
        <f aca="false">IF(G1840="Prospecting",1,INDEX(Parâmetros!$C$32:$C$35,MATCH(J1840,Parâmetros!$A$32:$A$35,1)))</f>
        <v>0.25</v>
      </c>
      <c r="N1840" s="2" t="n">
        <f aca="false">ROUND((K1840+L1840)*M1840,0)</f>
        <v>6</v>
      </c>
      <c r="O1840" s="10" t="str">
        <f aca="false">IF(AND(G1840="Engaging",J1840&gt;Parâmetros!$B$6),"Sim","Não")</f>
        <v>Sim</v>
      </c>
      <c r="P1840" s="32" t="str">
        <f aca="false">IF(O1840="Sim","R",IF(N1840&gt;=Parâmetros!$B$39,"A",IF(N1840&gt;=Parâmetros!$B$40,"B",IF(N1840&gt;=Parâmetros!$B$41,"C","D"))))</f>
        <v>R</v>
      </c>
      <c r="Q1840" s="10" t="str">
        <f aca="false">IF(F1840="","Completar cadastro","")</f>
        <v/>
      </c>
      <c r="R1840" s="10" t="str">
        <f aca="false">INDEX(Parâmetros!$D$39:$D$43,MATCH(P1840,Parâmetros!$A$39:$A$43,0))</f>
        <v>Reciclar: requalificar, reengajar ou encerrar</v>
      </c>
    </row>
    <row r="1841" customFormat="false" ht="15" hidden="false" customHeight="false" outlineLevel="0" collapsed="false">
      <c r="A1841" s="10" t="s">
        <v>2088</v>
      </c>
      <c r="B1841" s="10" t="s">
        <v>57</v>
      </c>
      <c r="C1841" s="10" t="s">
        <v>58</v>
      </c>
      <c r="D1841" s="10" t="s">
        <v>165</v>
      </c>
      <c r="E1841" s="10" t="s">
        <v>51</v>
      </c>
      <c r="F1841" s="10" t="s">
        <v>199</v>
      </c>
      <c r="G1841" s="10" t="s">
        <v>162</v>
      </c>
      <c r="H1841" s="30" t="n">
        <v>42825</v>
      </c>
      <c r="I1841" s="8" t="n">
        <f aca="false">INDEX(Parâmetros!$C$13:$C$19,MATCH(E1841,Parâmetros!$A$13:$A$19,0))</f>
        <v>550</v>
      </c>
      <c r="J1841" s="26" t="n">
        <f aca="false">IF(H1841="","",Parâmetros!$B$5-H1841)</f>
        <v>275</v>
      </c>
      <c r="K1841" s="10" t="n">
        <f aca="false">INDEX(Parâmetros!$D$13:$D$19,MATCH(E1841,Parâmetros!$A$13:$A$19,0))</f>
        <v>22</v>
      </c>
      <c r="L1841" s="10" t="n">
        <f aca="false">IF(G1841="Prospecting",Parâmetros!$B$9,IF(J1841&gt;Parâmetros!$B$6,0,INDEX(Parâmetros!$C$24:$C$26,MATCH(J1841,Parâmetros!$A$24:$A$26,1))))</f>
        <v>0</v>
      </c>
      <c r="M1841" s="31" t="n">
        <f aca="false">IF(G1841="Prospecting",1,INDEX(Parâmetros!$C$32:$C$35,MATCH(J1841,Parâmetros!$A$32:$A$35,1)))</f>
        <v>0.25</v>
      </c>
      <c r="N1841" s="2" t="n">
        <f aca="false">ROUND((K1841+L1841)*M1841,0)</f>
        <v>6</v>
      </c>
      <c r="O1841" s="10" t="str">
        <f aca="false">IF(AND(G1841="Engaging",J1841&gt;Parâmetros!$B$6),"Sim","Não")</f>
        <v>Sim</v>
      </c>
      <c r="P1841" s="32" t="str">
        <f aca="false">IF(O1841="Sim","R",IF(N1841&gt;=Parâmetros!$B$39,"A",IF(N1841&gt;=Parâmetros!$B$40,"B",IF(N1841&gt;=Parâmetros!$B$41,"C","D"))))</f>
        <v>R</v>
      </c>
      <c r="Q1841" s="10" t="str">
        <f aca="false">IF(F1841="","Completar cadastro","")</f>
        <v/>
      </c>
      <c r="R1841" s="10" t="str">
        <f aca="false">INDEX(Parâmetros!$D$39:$D$43,MATCH(P1841,Parâmetros!$A$39:$A$43,0))</f>
        <v>Reciclar: requalificar, reengajar ou encerrar</v>
      </c>
    </row>
    <row r="1842" customFormat="false" ht="15" hidden="false" customHeight="false" outlineLevel="0" collapsed="false">
      <c r="A1842" s="10" t="s">
        <v>2089</v>
      </c>
      <c r="B1842" s="10" t="s">
        <v>95</v>
      </c>
      <c r="C1842" s="10" t="s">
        <v>92</v>
      </c>
      <c r="D1842" s="10" t="s">
        <v>160</v>
      </c>
      <c r="E1842" s="10" t="s">
        <v>51</v>
      </c>
      <c r="F1842" s="10" t="s">
        <v>247</v>
      </c>
      <c r="G1842" s="10" t="s">
        <v>162</v>
      </c>
      <c r="H1842" s="30" t="n">
        <v>42826</v>
      </c>
      <c r="I1842" s="8" t="n">
        <f aca="false">INDEX(Parâmetros!$C$13:$C$19,MATCH(E1842,Parâmetros!$A$13:$A$19,0))</f>
        <v>550</v>
      </c>
      <c r="J1842" s="26" t="n">
        <f aca="false">IF(H1842="","",Parâmetros!$B$5-H1842)</f>
        <v>274</v>
      </c>
      <c r="K1842" s="10" t="n">
        <f aca="false">INDEX(Parâmetros!$D$13:$D$19,MATCH(E1842,Parâmetros!$A$13:$A$19,0))</f>
        <v>22</v>
      </c>
      <c r="L1842" s="10" t="n">
        <f aca="false">IF(G1842="Prospecting",Parâmetros!$B$9,IF(J1842&gt;Parâmetros!$B$6,0,INDEX(Parâmetros!$C$24:$C$26,MATCH(J1842,Parâmetros!$A$24:$A$26,1))))</f>
        <v>0</v>
      </c>
      <c r="M1842" s="31" t="n">
        <f aca="false">IF(G1842="Prospecting",1,INDEX(Parâmetros!$C$32:$C$35,MATCH(J1842,Parâmetros!$A$32:$A$35,1)))</f>
        <v>0.25</v>
      </c>
      <c r="N1842" s="2" t="n">
        <f aca="false">ROUND((K1842+L1842)*M1842,0)</f>
        <v>6</v>
      </c>
      <c r="O1842" s="10" t="str">
        <f aca="false">IF(AND(G1842="Engaging",J1842&gt;Parâmetros!$B$6),"Sim","Não")</f>
        <v>Sim</v>
      </c>
      <c r="P1842" s="32" t="str">
        <f aca="false">IF(O1842="Sim","R",IF(N1842&gt;=Parâmetros!$B$39,"A",IF(N1842&gt;=Parâmetros!$B$40,"B",IF(N1842&gt;=Parâmetros!$B$41,"C","D"))))</f>
        <v>R</v>
      </c>
      <c r="Q1842" s="10" t="str">
        <f aca="false">IF(F1842="","Completar cadastro","")</f>
        <v/>
      </c>
      <c r="R1842" s="10" t="str">
        <f aca="false">INDEX(Parâmetros!$D$39:$D$43,MATCH(P1842,Parâmetros!$A$39:$A$43,0))</f>
        <v>Reciclar: requalificar, reengajar ou encerrar</v>
      </c>
    </row>
    <row r="1843" customFormat="false" ht="15" hidden="false" customHeight="false" outlineLevel="0" collapsed="false">
      <c r="A1843" s="10" t="s">
        <v>2090</v>
      </c>
      <c r="B1843" s="10" t="s">
        <v>68</v>
      </c>
      <c r="C1843" s="10" t="s">
        <v>65</v>
      </c>
      <c r="D1843" s="10" t="s">
        <v>160</v>
      </c>
      <c r="E1843" s="10" t="s">
        <v>51</v>
      </c>
      <c r="F1843" s="10" t="s">
        <v>199</v>
      </c>
      <c r="G1843" s="10" t="s">
        <v>162</v>
      </c>
      <c r="H1843" s="30" t="n">
        <v>42828</v>
      </c>
      <c r="I1843" s="8" t="n">
        <f aca="false">INDEX(Parâmetros!$C$13:$C$19,MATCH(E1843,Parâmetros!$A$13:$A$19,0))</f>
        <v>550</v>
      </c>
      <c r="J1843" s="26" t="n">
        <f aca="false">IF(H1843="","",Parâmetros!$B$5-H1843)</f>
        <v>272</v>
      </c>
      <c r="K1843" s="10" t="n">
        <f aca="false">INDEX(Parâmetros!$D$13:$D$19,MATCH(E1843,Parâmetros!$A$13:$A$19,0))</f>
        <v>22</v>
      </c>
      <c r="L1843" s="10" t="n">
        <f aca="false">IF(G1843="Prospecting",Parâmetros!$B$9,IF(J1843&gt;Parâmetros!$B$6,0,INDEX(Parâmetros!$C$24:$C$26,MATCH(J1843,Parâmetros!$A$24:$A$26,1))))</f>
        <v>0</v>
      </c>
      <c r="M1843" s="31" t="n">
        <f aca="false">IF(G1843="Prospecting",1,INDEX(Parâmetros!$C$32:$C$35,MATCH(J1843,Parâmetros!$A$32:$A$35,1)))</f>
        <v>0.25</v>
      </c>
      <c r="N1843" s="2" t="n">
        <f aca="false">ROUND((K1843+L1843)*M1843,0)</f>
        <v>6</v>
      </c>
      <c r="O1843" s="10" t="str">
        <f aca="false">IF(AND(G1843="Engaging",J1843&gt;Parâmetros!$B$6),"Sim","Não")</f>
        <v>Sim</v>
      </c>
      <c r="P1843" s="32" t="str">
        <f aca="false">IF(O1843="Sim","R",IF(N1843&gt;=Parâmetros!$B$39,"A",IF(N1843&gt;=Parâmetros!$B$40,"B",IF(N1843&gt;=Parâmetros!$B$41,"C","D"))))</f>
        <v>R</v>
      </c>
      <c r="Q1843" s="10" t="str">
        <f aca="false">IF(F1843="","Completar cadastro","")</f>
        <v/>
      </c>
      <c r="R1843" s="10" t="str">
        <f aca="false">INDEX(Parâmetros!$D$39:$D$43,MATCH(P1843,Parâmetros!$A$39:$A$43,0))</f>
        <v>Reciclar: requalificar, reengajar ou encerrar</v>
      </c>
    </row>
    <row r="1844" customFormat="false" ht="15" hidden="false" customHeight="false" outlineLevel="0" collapsed="false">
      <c r="A1844" s="10" t="s">
        <v>2091</v>
      </c>
      <c r="B1844" s="10" t="s">
        <v>68</v>
      </c>
      <c r="C1844" s="10" t="s">
        <v>65</v>
      </c>
      <c r="D1844" s="10" t="s">
        <v>160</v>
      </c>
      <c r="E1844" s="10" t="s">
        <v>51</v>
      </c>
      <c r="F1844" s="10" t="s">
        <v>247</v>
      </c>
      <c r="G1844" s="10" t="s">
        <v>162</v>
      </c>
      <c r="H1844" s="30" t="n">
        <v>42828</v>
      </c>
      <c r="I1844" s="8" t="n">
        <f aca="false">INDEX(Parâmetros!$C$13:$C$19,MATCH(E1844,Parâmetros!$A$13:$A$19,0))</f>
        <v>550</v>
      </c>
      <c r="J1844" s="26" t="n">
        <f aca="false">IF(H1844="","",Parâmetros!$B$5-H1844)</f>
        <v>272</v>
      </c>
      <c r="K1844" s="10" t="n">
        <f aca="false">INDEX(Parâmetros!$D$13:$D$19,MATCH(E1844,Parâmetros!$A$13:$A$19,0))</f>
        <v>22</v>
      </c>
      <c r="L1844" s="10" t="n">
        <f aca="false">IF(G1844="Prospecting",Parâmetros!$B$9,IF(J1844&gt;Parâmetros!$B$6,0,INDEX(Parâmetros!$C$24:$C$26,MATCH(J1844,Parâmetros!$A$24:$A$26,1))))</f>
        <v>0</v>
      </c>
      <c r="M1844" s="31" t="n">
        <f aca="false">IF(G1844="Prospecting",1,INDEX(Parâmetros!$C$32:$C$35,MATCH(J1844,Parâmetros!$A$32:$A$35,1)))</f>
        <v>0.25</v>
      </c>
      <c r="N1844" s="2" t="n">
        <f aca="false">ROUND((K1844+L1844)*M1844,0)</f>
        <v>6</v>
      </c>
      <c r="O1844" s="10" t="str">
        <f aca="false">IF(AND(G1844="Engaging",J1844&gt;Parâmetros!$B$6),"Sim","Não")</f>
        <v>Sim</v>
      </c>
      <c r="P1844" s="32" t="str">
        <f aca="false">IF(O1844="Sim","R",IF(N1844&gt;=Parâmetros!$B$39,"A",IF(N1844&gt;=Parâmetros!$B$40,"B",IF(N1844&gt;=Parâmetros!$B$41,"C","D"))))</f>
        <v>R</v>
      </c>
      <c r="Q1844" s="10" t="str">
        <f aca="false">IF(F1844="","Completar cadastro","")</f>
        <v/>
      </c>
      <c r="R1844" s="10" t="str">
        <f aca="false">INDEX(Parâmetros!$D$39:$D$43,MATCH(P1844,Parâmetros!$A$39:$A$43,0))</f>
        <v>Reciclar: requalificar, reengajar ou encerrar</v>
      </c>
    </row>
    <row r="1845" customFormat="false" ht="15" hidden="false" customHeight="false" outlineLevel="0" collapsed="false">
      <c r="A1845" s="10" t="s">
        <v>2092</v>
      </c>
      <c r="B1845" s="10" t="s">
        <v>68</v>
      </c>
      <c r="C1845" s="10" t="s">
        <v>65</v>
      </c>
      <c r="D1845" s="10" t="s">
        <v>160</v>
      </c>
      <c r="E1845" s="10" t="s">
        <v>52</v>
      </c>
      <c r="F1845" s="10" t="s">
        <v>170</v>
      </c>
      <c r="G1845" s="10" t="s">
        <v>162</v>
      </c>
      <c r="H1845" s="30" t="n">
        <v>42697</v>
      </c>
      <c r="I1845" s="8" t="n">
        <f aca="false">INDEX(Parâmetros!$C$13:$C$19,MATCH(E1845,Parâmetros!$A$13:$A$19,0))</f>
        <v>55</v>
      </c>
      <c r="J1845" s="26" t="n">
        <f aca="false">IF(H1845="","",Parâmetros!$B$5-H1845)</f>
        <v>403</v>
      </c>
      <c r="K1845" s="10" t="n">
        <f aca="false">INDEX(Parâmetros!$D$13:$D$19,MATCH(E1845,Parâmetros!$A$13:$A$19,0))</f>
        <v>0</v>
      </c>
      <c r="L1845" s="10" t="n">
        <f aca="false">IF(G1845="Prospecting",Parâmetros!$B$9,IF(J1845&gt;Parâmetros!$B$6,0,INDEX(Parâmetros!$C$24:$C$26,MATCH(J1845,Parâmetros!$A$24:$A$26,1))))</f>
        <v>0</v>
      </c>
      <c r="M1845" s="31" t="n">
        <f aca="false">IF(G1845="Prospecting",1,INDEX(Parâmetros!$C$32:$C$35,MATCH(J1845,Parâmetros!$A$32:$A$35,1)))</f>
        <v>0.25</v>
      </c>
      <c r="N1845" s="2" t="n">
        <f aca="false">ROUND((K1845+L1845)*M1845,0)</f>
        <v>0</v>
      </c>
      <c r="O1845" s="10" t="str">
        <f aca="false">IF(AND(G1845="Engaging",J1845&gt;Parâmetros!$B$6),"Sim","Não")</f>
        <v>Sim</v>
      </c>
      <c r="P1845" s="32" t="str">
        <f aca="false">IF(O1845="Sim","R",IF(N1845&gt;=Parâmetros!$B$39,"A",IF(N1845&gt;=Parâmetros!$B$40,"B",IF(N1845&gt;=Parâmetros!$B$41,"C","D"))))</f>
        <v>R</v>
      </c>
      <c r="Q1845" s="10" t="str">
        <f aca="false">IF(F1845="","Completar cadastro","")</f>
        <v/>
      </c>
      <c r="R1845" s="10" t="str">
        <f aca="false">INDEX(Parâmetros!$D$39:$D$43,MATCH(P1845,Parâmetros!$A$39:$A$43,0))</f>
        <v>Reciclar: requalificar, reengajar ou encerrar</v>
      </c>
    </row>
    <row r="1846" customFormat="false" ht="15" hidden="false" customHeight="false" outlineLevel="0" collapsed="false">
      <c r="A1846" s="10" t="s">
        <v>2093</v>
      </c>
      <c r="B1846" s="10" t="s">
        <v>66</v>
      </c>
      <c r="C1846" s="10" t="s">
        <v>65</v>
      </c>
      <c r="D1846" s="10" t="s">
        <v>160</v>
      </c>
      <c r="E1846" s="10" t="s">
        <v>52</v>
      </c>
      <c r="F1846" s="10"/>
      <c r="G1846" s="10" t="s">
        <v>162</v>
      </c>
      <c r="H1846" s="30" t="n">
        <v>42715</v>
      </c>
      <c r="I1846" s="8" t="n">
        <f aca="false">INDEX(Parâmetros!$C$13:$C$19,MATCH(E1846,Parâmetros!$A$13:$A$19,0))</f>
        <v>55</v>
      </c>
      <c r="J1846" s="26" t="n">
        <f aca="false">IF(H1846="","",Parâmetros!$B$5-H1846)</f>
        <v>385</v>
      </c>
      <c r="K1846" s="10" t="n">
        <f aca="false">INDEX(Parâmetros!$D$13:$D$19,MATCH(E1846,Parâmetros!$A$13:$A$19,0))</f>
        <v>0</v>
      </c>
      <c r="L1846" s="10" t="n">
        <f aca="false">IF(G1846="Prospecting",Parâmetros!$B$9,IF(J1846&gt;Parâmetros!$B$6,0,INDEX(Parâmetros!$C$24:$C$26,MATCH(J1846,Parâmetros!$A$24:$A$26,1))))</f>
        <v>0</v>
      </c>
      <c r="M1846" s="31" t="n">
        <f aca="false">IF(G1846="Prospecting",1,INDEX(Parâmetros!$C$32:$C$35,MATCH(J1846,Parâmetros!$A$32:$A$35,1)))</f>
        <v>0.25</v>
      </c>
      <c r="N1846" s="2" t="n">
        <f aca="false">ROUND((K1846+L1846)*M1846,0)</f>
        <v>0</v>
      </c>
      <c r="O1846" s="10" t="str">
        <f aca="false">IF(AND(G1846="Engaging",J1846&gt;Parâmetros!$B$6),"Sim","Não")</f>
        <v>Sim</v>
      </c>
      <c r="P1846" s="32" t="str">
        <f aca="false">IF(O1846="Sim","R",IF(N1846&gt;=Parâmetros!$B$39,"A",IF(N1846&gt;=Parâmetros!$B$40,"B",IF(N1846&gt;=Parâmetros!$B$41,"C","D"))))</f>
        <v>R</v>
      </c>
      <c r="Q1846" s="10" t="str">
        <f aca="false">IF(F1846="","Completar cadastro","")</f>
        <v>Completar cadastro</v>
      </c>
      <c r="R1846" s="10" t="str">
        <f aca="false">INDEX(Parâmetros!$D$39:$D$43,MATCH(P1846,Parâmetros!$A$39:$A$43,0))</f>
        <v>Reciclar: requalificar, reengajar ou encerrar</v>
      </c>
    </row>
    <row r="1847" customFormat="false" ht="15" hidden="false" customHeight="false" outlineLevel="0" collapsed="false">
      <c r="A1847" s="10" t="s">
        <v>2094</v>
      </c>
      <c r="B1847" s="10" t="s">
        <v>68</v>
      </c>
      <c r="C1847" s="10" t="s">
        <v>65</v>
      </c>
      <c r="D1847" s="10" t="s">
        <v>160</v>
      </c>
      <c r="E1847" s="10" t="s">
        <v>52</v>
      </c>
      <c r="F1847" s="10"/>
      <c r="G1847" s="10" t="s">
        <v>162</v>
      </c>
      <c r="H1847" s="30" t="n">
        <v>42719</v>
      </c>
      <c r="I1847" s="8" t="n">
        <f aca="false">INDEX(Parâmetros!$C$13:$C$19,MATCH(E1847,Parâmetros!$A$13:$A$19,0))</f>
        <v>55</v>
      </c>
      <c r="J1847" s="26" t="n">
        <f aca="false">IF(H1847="","",Parâmetros!$B$5-H1847)</f>
        <v>381</v>
      </c>
      <c r="K1847" s="10" t="n">
        <f aca="false">INDEX(Parâmetros!$D$13:$D$19,MATCH(E1847,Parâmetros!$A$13:$A$19,0))</f>
        <v>0</v>
      </c>
      <c r="L1847" s="10" t="n">
        <f aca="false">IF(G1847="Prospecting",Parâmetros!$B$9,IF(J1847&gt;Parâmetros!$B$6,0,INDEX(Parâmetros!$C$24:$C$26,MATCH(J1847,Parâmetros!$A$24:$A$26,1))))</f>
        <v>0</v>
      </c>
      <c r="M1847" s="31" t="n">
        <f aca="false">IF(G1847="Prospecting",1,INDEX(Parâmetros!$C$32:$C$35,MATCH(J1847,Parâmetros!$A$32:$A$35,1)))</f>
        <v>0.25</v>
      </c>
      <c r="N1847" s="2" t="n">
        <f aca="false">ROUND((K1847+L1847)*M1847,0)</f>
        <v>0</v>
      </c>
      <c r="O1847" s="10" t="str">
        <f aca="false">IF(AND(G1847="Engaging",J1847&gt;Parâmetros!$B$6),"Sim","Não")</f>
        <v>Sim</v>
      </c>
      <c r="P1847" s="32" t="str">
        <f aca="false">IF(O1847="Sim","R",IF(N1847&gt;=Parâmetros!$B$39,"A",IF(N1847&gt;=Parâmetros!$B$40,"B",IF(N1847&gt;=Parâmetros!$B$41,"C","D"))))</f>
        <v>R</v>
      </c>
      <c r="Q1847" s="10" t="str">
        <f aca="false">IF(F1847="","Completar cadastro","")</f>
        <v>Completar cadastro</v>
      </c>
      <c r="R1847" s="10" t="str">
        <f aca="false">INDEX(Parâmetros!$D$39:$D$43,MATCH(P1847,Parâmetros!$A$39:$A$43,0))</f>
        <v>Reciclar: requalificar, reengajar ou encerrar</v>
      </c>
    </row>
    <row r="1848" customFormat="false" ht="15" hidden="false" customHeight="false" outlineLevel="0" collapsed="false">
      <c r="A1848" s="10" t="s">
        <v>2095</v>
      </c>
      <c r="B1848" s="10" t="s">
        <v>70</v>
      </c>
      <c r="C1848" s="10" t="s">
        <v>65</v>
      </c>
      <c r="D1848" s="10" t="s">
        <v>160</v>
      </c>
      <c r="E1848" s="10" t="s">
        <v>52</v>
      </c>
      <c r="F1848" s="10"/>
      <c r="G1848" s="10" t="s">
        <v>162</v>
      </c>
      <c r="H1848" s="30" t="n">
        <v>42721</v>
      </c>
      <c r="I1848" s="8" t="n">
        <f aca="false">INDEX(Parâmetros!$C$13:$C$19,MATCH(E1848,Parâmetros!$A$13:$A$19,0))</f>
        <v>55</v>
      </c>
      <c r="J1848" s="26" t="n">
        <f aca="false">IF(H1848="","",Parâmetros!$B$5-H1848)</f>
        <v>379</v>
      </c>
      <c r="K1848" s="10" t="n">
        <f aca="false">INDEX(Parâmetros!$D$13:$D$19,MATCH(E1848,Parâmetros!$A$13:$A$19,0))</f>
        <v>0</v>
      </c>
      <c r="L1848" s="10" t="n">
        <f aca="false">IF(G1848="Prospecting",Parâmetros!$B$9,IF(J1848&gt;Parâmetros!$B$6,0,INDEX(Parâmetros!$C$24:$C$26,MATCH(J1848,Parâmetros!$A$24:$A$26,1))))</f>
        <v>0</v>
      </c>
      <c r="M1848" s="31" t="n">
        <f aca="false">IF(G1848="Prospecting",1,INDEX(Parâmetros!$C$32:$C$35,MATCH(J1848,Parâmetros!$A$32:$A$35,1)))</f>
        <v>0.25</v>
      </c>
      <c r="N1848" s="2" t="n">
        <f aca="false">ROUND((K1848+L1848)*M1848,0)</f>
        <v>0</v>
      </c>
      <c r="O1848" s="10" t="str">
        <f aca="false">IF(AND(G1848="Engaging",J1848&gt;Parâmetros!$B$6),"Sim","Não")</f>
        <v>Sim</v>
      </c>
      <c r="P1848" s="32" t="str">
        <f aca="false">IF(O1848="Sim","R",IF(N1848&gt;=Parâmetros!$B$39,"A",IF(N1848&gt;=Parâmetros!$B$40,"B",IF(N1848&gt;=Parâmetros!$B$41,"C","D"))))</f>
        <v>R</v>
      </c>
      <c r="Q1848" s="10" t="str">
        <f aca="false">IF(F1848="","Completar cadastro","")</f>
        <v>Completar cadastro</v>
      </c>
      <c r="R1848" s="10" t="str">
        <f aca="false">INDEX(Parâmetros!$D$39:$D$43,MATCH(P1848,Parâmetros!$A$39:$A$43,0))</f>
        <v>Reciclar: requalificar, reengajar ou encerrar</v>
      </c>
    </row>
    <row r="1849" customFormat="false" ht="15" hidden="false" customHeight="false" outlineLevel="0" collapsed="false">
      <c r="A1849" s="10" t="s">
        <v>2096</v>
      </c>
      <c r="B1849" s="10" t="s">
        <v>61</v>
      </c>
      <c r="C1849" s="10" t="s">
        <v>58</v>
      </c>
      <c r="D1849" s="10" t="s">
        <v>165</v>
      </c>
      <c r="E1849" s="10" t="s">
        <v>52</v>
      </c>
      <c r="F1849" s="10" t="s">
        <v>175</v>
      </c>
      <c r="G1849" s="10" t="s">
        <v>162</v>
      </c>
      <c r="H1849" s="30" t="n">
        <v>42722</v>
      </c>
      <c r="I1849" s="8" t="n">
        <f aca="false">INDEX(Parâmetros!$C$13:$C$19,MATCH(E1849,Parâmetros!$A$13:$A$19,0))</f>
        <v>55</v>
      </c>
      <c r="J1849" s="26" t="n">
        <f aca="false">IF(H1849="","",Parâmetros!$B$5-H1849)</f>
        <v>378</v>
      </c>
      <c r="K1849" s="10" t="n">
        <f aca="false">INDEX(Parâmetros!$D$13:$D$19,MATCH(E1849,Parâmetros!$A$13:$A$19,0))</f>
        <v>0</v>
      </c>
      <c r="L1849" s="10" t="n">
        <f aca="false">IF(G1849="Prospecting",Parâmetros!$B$9,IF(J1849&gt;Parâmetros!$B$6,0,INDEX(Parâmetros!$C$24:$C$26,MATCH(J1849,Parâmetros!$A$24:$A$26,1))))</f>
        <v>0</v>
      </c>
      <c r="M1849" s="31" t="n">
        <f aca="false">IF(G1849="Prospecting",1,INDEX(Parâmetros!$C$32:$C$35,MATCH(J1849,Parâmetros!$A$32:$A$35,1)))</f>
        <v>0.25</v>
      </c>
      <c r="N1849" s="2" t="n">
        <f aca="false">ROUND((K1849+L1849)*M1849,0)</f>
        <v>0</v>
      </c>
      <c r="O1849" s="10" t="str">
        <f aca="false">IF(AND(G1849="Engaging",J1849&gt;Parâmetros!$B$6),"Sim","Não")</f>
        <v>Sim</v>
      </c>
      <c r="P1849" s="32" t="str">
        <f aca="false">IF(O1849="Sim","R",IF(N1849&gt;=Parâmetros!$B$39,"A",IF(N1849&gt;=Parâmetros!$B$40,"B",IF(N1849&gt;=Parâmetros!$B$41,"C","D"))))</f>
        <v>R</v>
      </c>
      <c r="Q1849" s="10" t="str">
        <f aca="false">IF(F1849="","Completar cadastro","")</f>
        <v/>
      </c>
      <c r="R1849" s="10" t="str">
        <f aca="false">INDEX(Parâmetros!$D$39:$D$43,MATCH(P1849,Parâmetros!$A$39:$A$43,0))</f>
        <v>Reciclar: requalificar, reengajar ou encerrar</v>
      </c>
    </row>
    <row r="1850" customFormat="false" ht="15" hidden="false" customHeight="false" outlineLevel="0" collapsed="false">
      <c r="A1850" s="10" t="s">
        <v>2097</v>
      </c>
      <c r="B1850" s="10" t="s">
        <v>66</v>
      </c>
      <c r="C1850" s="10" t="s">
        <v>65</v>
      </c>
      <c r="D1850" s="10" t="s">
        <v>160</v>
      </c>
      <c r="E1850" s="10" t="s">
        <v>52</v>
      </c>
      <c r="F1850" s="10"/>
      <c r="G1850" s="10" t="s">
        <v>162</v>
      </c>
      <c r="H1850" s="30" t="n">
        <v>42736</v>
      </c>
      <c r="I1850" s="8" t="n">
        <f aca="false">INDEX(Parâmetros!$C$13:$C$19,MATCH(E1850,Parâmetros!$A$13:$A$19,0))</f>
        <v>55</v>
      </c>
      <c r="J1850" s="26" t="n">
        <f aca="false">IF(H1850="","",Parâmetros!$B$5-H1850)</f>
        <v>364</v>
      </c>
      <c r="K1850" s="10" t="n">
        <f aca="false">INDEX(Parâmetros!$D$13:$D$19,MATCH(E1850,Parâmetros!$A$13:$A$19,0))</f>
        <v>0</v>
      </c>
      <c r="L1850" s="10" t="n">
        <f aca="false">IF(G1850="Prospecting",Parâmetros!$B$9,IF(J1850&gt;Parâmetros!$B$6,0,INDEX(Parâmetros!$C$24:$C$26,MATCH(J1850,Parâmetros!$A$24:$A$26,1))))</f>
        <v>0</v>
      </c>
      <c r="M1850" s="31" t="n">
        <f aca="false">IF(G1850="Prospecting",1,INDEX(Parâmetros!$C$32:$C$35,MATCH(J1850,Parâmetros!$A$32:$A$35,1)))</f>
        <v>0.25</v>
      </c>
      <c r="N1850" s="2" t="n">
        <f aca="false">ROUND((K1850+L1850)*M1850,0)</f>
        <v>0</v>
      </c>
      <c r="O1850" s="10" t="str">
        <f aca="false">IF(AND(G1850="Engaging",J1850&gt;Parâmetros!$B$6),"Sim","Não")</f>
        <v>Sim</v>
      </c>
      <c r="P1850" s="32" t="str">
        <f aca="false">IF(O1850="Sim","R",IF(N1850&gt;=Parâmetros!$B$39,"A",IF(N1850&gt;=Parâmetros!$B$40,"B",IF(N1850&gt;=Parâmetros!$B$41,"C","D"))))</f>
        <v>R</v>
      </c>
      <c r="Q1850" s="10" t="str">
        <f aca="false">IF(F1850="","Completar cadastro","")</f>
        <v>Completar cadastro</v>
      </c>
      <c r="R1850" s="10" t="str">
        <f aca="false">INDEX(Parâmetros!$D$39:$D$43,MATCH(P1850,Parâmetros!$A$39:$A$43,0))</f>
        <v>Reciclar: requalificar, reengajar ou encerrar</v>
      </c>
    </row>
    <row r="1851" customFormat="false" ht="15" hidden="false" customHeight="false" outlineLevel="0" collapsed="false">
      <c r="A1851" s="10" t="s">
        <v>2098</v>
      </c>
      <c r="B1851" s="10" t="s">
        <v>67</v>
      </c>
      <c r="C1851" s="10" t="s">
        <v>65</v>
      </c>
      <c r="D1851" s="10" t="s">
        <v>160</v>
      </c>
      <c r="E1851" s="10" t="s">
        <v>52</v>
      </c>
      <c r="F1851" s="10"/>
      <c r="G1851" s="10" t="s">
        <v>162</v>
      </c>
      <c r="H1851" s="30" t="n">
        <v>42738</v>
      </c>
      <c r="I1851" s="8" t="n">
        <f aca="false">INDEX(Parâmetros!$C$13:$C$19,MATCH(E1851,Parâmetros!$A$13:$A$19,0))</f>
        <v>55</v>
      </c>
      <c r="J1851" s="26" t="n">
        <f aca="false">IF(H1851="","",Parâmetros!$B$5-H1851)</f>
        <v>362</v>
      </c>
      <c r="K1851" s="10" t="n">
        <f aca="false">INDEX(Parâmetros!$D$13:$D$19,MATCH(E1851,Parâmetros!$A$13:$A$19,0))</f>
        <v>0</v>
      </c>
      <c r="L1851" s="10" t="n">
        <f aca="false">IF(G1851="Prospecting",Parâmetros!$B$9,IF(J1851&gt;Parâmetros!$B$6,0,INDEX(Parâmetros!$C$24:$C$26,MATCH(J1851,Parâmetros!$A$24:$A$26,1))))</f>
        <v>0</v>
      </c>
      <c r="M1851" s="31" t="n">
        <f aca="false">IF(G1851="Prospecting",1,INDEX(Parâmetros!$C$32:$C$35,MATCH(J1851,Parâmetros!$A$32:$A$35,1)))</f>
        <v>0.25</v>
      </c>
      <c r="N1851" s="2" t="n">
        <f aca="false">ROUND((K1851+L1851)*M1851,0)</f>
        <v>0</v>
      </c>
      <c r="O1851" s="10" t="str">
        <f aca="false">IF(AND(G1851="Engaging",J1851&gt;Parâmetros!$B$6),"Sim","Não")</f>
        <v>Sim</v>
      </c>
      <c r="P1851" s="32" t="str">
        <f aca="false">IF(O1851="Sim","R",IF(N1851&gt;=Parâmetros!$B$39,"A",IF(N1851&gt;=Parâmetros!$B$40,"B",IF(N1851&gt;=Parâmetros!$B$41,"C","D"))))</f>
        <v>R</v>
      </c>
      <c r="Q1851" s="10" t="str">
        <f aca="false">IF(F1851="","Completar cadastro","")</f>
        <v>Completar cadastro</v>
      </c>
      <c r="R1851" s="10" t="str">
        <f aca="false">INDEX(Parâmetros!$D$39:$D$43,MATCH(P1851,Parâmetros!$A$39:$A$43,0))</f>
        <v>Reciclar: requalificar, reengajar ou encerrar</v>
      </c>
    </row>
    <row r="1852" customFormat="false" ht="15" hidden="false" customHeight="false" outlineLevel="0" collapsed="false">
      <c r="A1852" s="10" t="s">
        <v>2099</v>
      </c>
      <c r="B1852" s="10" t="s">
        <v>63</v>
      </c>
      <c r="C1852" s="10" t="s">
        <v>58</v>
      </c>
      <c r="D1852" s="10" t="s">
        <v>165</v>
      </c>
      <c r="E1852" s="10" t="s">
        <v>52</v>
      </c>
      <c r="F1852" s="10"/>
      <c r="G1852" s="10" t="s">
        <v>162</v>
      </c>
      <c r="H1852" s="30" t="n">
        <v>42739</v>
      </c>
      <c r="I1852" s="8" t="n">
        <f aca="false">INDEX(Parâmetros!$C$13:$C$19,MATCH(E1852,Parâmetros!$A$13:$A$19,0))</f>
        <v>55</v>
      </c>
      <c r="J1852" s="26" t="n">
        <f aca="false">IF(H1852="","",Parâmetros!$B$5-H1852)</f>
        <v>361</v>
      </c>
      <c r="K1852" s="10" t="n">
        <f aca="false">INDEX(Parâmetros!$D$13:$D$19,MATCH(E1852,Parâmetros!$A$13:$A$19,0))</f>
        <v>0</v>
      </c>
      <c r="L1852" s="10" t="n">
        <f aca="false">IF(G1852="Prospecting",Parâmetros!$B$9,IF(J1852&gt;Parâmetros!$B$6,0,INDEX(Parâmetros!$C$24:$C$26,MATCH(J1852,Parâmetros!$A$24:$A$26,1))))</f>
        <v>0</v>
      </c>
      <c r="M1852" s="31" t="n">
        <f aca="false">IF(G1852="Prospecting",1,INDEX(Parâmetros!$C$32:$C$35,MATCH(J1852,Parâmetros!$A$32:$A$35,1)))</f>
        <v>0.25</v>
      </c>
      <c r="N1852" s="2" t="n">
        <f aca="false">ROUND((K1852+L1852)*M1852,0)</f>
        <v>0</v>
      </c>
      <c r="O1852" s="10" t="str">
        <f aca="false">IF(AND(G1852="Engaging",J1852&gt;Parâmetros!$B$6),"Sim","Não")</f>
        <v>Sim</v>
      </c>
      <c r="P1852" s="32" t="str">
        <f aca="false">IF(O1852="Sim","R",IF(N1852&gt;=Parâmetros!$B$39,"A",IF(N1852&gt;=Parâmetros!$B$40,"B",IF(N1852&gt;=Parâmetros!$B$41,"C","D"))))</f>
        <v>R</v>
      </c>
      <c r="Q1852" s="10" t="str">
        <f aca="false">IF(F1852="","Completar cadastro","")</f>
        <v>Completar cadastro</v>
      </c>
      <c r="R1852" s="10" t="str">
        <f aca="false">INDEX(Parâmetros!$D$39:$D$43,MATCH(P1852,Parâmetros!$A$39:$A$43,0))</f>
        <v>Reciclar: requalificar, reengajar ou encerrar</v>
      </c>
    </row>
    <row r="1853" customFormat="false" ht="15" hidden="false" customHeight="false" outlineLevel="0" collapsed="false">
      <c r="A1853" s="10" t="s">
        <v>2100</v>
      </c>
      <c r="B1853" s="10" t="s">
        <v>57</v>
      </c>
      <c r="C1853" s="10" t="s">
        <v>58</v>
      </c>
      <c r="D1853" s="10" t="s">
        <v>165</v>
      </c>
      <c r="E1853" s="10" t="s">
        <v>52</v>
      </c>
      <c r="F1853" s="10"/>
      <c r="G1853" s="10" t="s">
        <v>162</v>
      </c>
      <c r="H1853" s="30" t="n">
        <v>42742</v>
      </c>
      <c r="I1853" s="8" t="n">
        <f aca="false">INDEX(Parâmetros!$C$13:$C$19,MATCH(E1853,Parâmetros!$A$13:$A$19,0))</f>
        <v>55</v>
      </c>
      <c r="J1853" s="26" t="n">
        <f aca="false">IF(H1853="","",Parâmetros!$B$5-H1853)</f>
        <v>358</v>
      </c>
      <c r="K1853" s="10" t="n">
        <f aca="false">INDEX(Parâmetros!$D$13:$D$19,MATCH(E1853,Parâmetros!$A$13:$A$19,0))</f>
        <v>0</v>
      </c>
      <c r="L1853" s="10" t="n">
        <f aca="false">IF(G1853="Prospecting",Parâmetros!$B$9,IF(J1853&gt;Parâmetros!$B$6,0,INDEX(Parâmetros!$C$24:$C$26,MATCH(J1853,Parâmetros!$A$24:$A$26,1))))</f>
        <v>0</v>
      </c>
      <c r="M1853" s="31" t="n">
        <f aca="false">IF(G1853="Prospecting",1,INDEX(Parâmetros!$C$32:$C$35,MATCH(J1853,Parâmetros!$A$32:$A$35,1)))</f>
        <v>0.25</v>
      </c>
      <c r="N1853" s="2" t="n">
        <f aca="false">ROUND((K1853+L1853)*M1853,0)</f>
        <v>0</v>
      </c>
      <c r="O1853" s="10" t="str">
        <f aca="false">IF(AND(G1853="Engaging",J1853&gt;Parâmetros!$B$6),"Sim","Não")</f>
        <v>Sim</v>
      </c>
      <c r="P1853" s="32" t="str">
        <f aca="false">IF(O1853="Sim","R",IF(N1853&gt;=Parâmetros!$B$39,"A",IF(N1853&gt;=Parâmetros!$B$40,"B",IF(N1853&gt;=Parâmetros!$B$41,"C","D"))))</f>
        <v>R</v>
      </c>
      <c r="Q1853" s="10" t="str">
        <f aca="false">IF(F1853="","Completar cadastro","")</f>
        <v>Completar cadastro</v>
      </c>
      <c r="R1853" s="10" t="str">
        <f aca="false">INDEX(Parâmetros!$D$39:$D$43,MATCH(P1853,Parâmetros!$A$39:$A$43,0))</f>
        <v>Reciclar: requalificar, reengajar ou encerrar</v>
      </c>
    </row>
    <row r="1854" customFormat="false" ht="15" hidden="false" customHeight="false" outlineLevel="0" collapsed="false">
      <c r="A1854" s="10" t="s">
        <v>2101</v>
      </c>
      <c r="B1854" s="10" t="s">
        <v>62</v>
      </c>
      <c r="C1854" s="10" t="s">
        <v>58</v>
      </c>
      <c r="D1854" s="10" t="s">
        <v>165</v>
      </c>
      <c r="E1854" s="10" t="s">
        <v>52</v>
      </c>
      <c r="F1854" s="10" t="s">
        <v>527</v>
      </c>
      <c r="G1854" s="10" t="s">
        <v>162</v>
      </c>
      <c r="H1854" s="30" t="n">
        <v>42743</v>
      </c>
      <c r="I1854" s="8" t="n">
        <f aca="false">INDEX(Parâmetros!$C$13:$C$19,MATCH(E1854,Parâmetros!$A$13:$A$19,0))</f>
        <v>55</v>
      </c>
      <c r="J1854" s="26" t="n">
        <f aca="false">IF(H1854="","",Parâmetros!$B$5-H1854)</f>
        <v>357</v>
      </c>
      <c r="K1854" s="10" t="n">
        <f aca="false">INDEX(Parâmetros!$D$13:$D$19,MATCH(E1854,Parâmetros!$A$13:$A$19,0))</f>
        <v>0</v>
      </c>
      <c r="L1854" s="10" t="n">
        <f aca="false">IF(G1854="Prospecting",Parâmetros!$B$9,IF(J1854&gt;Parâmetros!$B$6,0,INDEX(Parâmetros!$C$24:$C$26,MATCH(J1854,Parâmetros!$A$24:$A$26,1))))</f>
        <v>0</v>
      </c>
      <c r="M1854" s="31" t="n">
        <f aca="false">IF(G1854="Prospecting",1,INDEX(Parâmetros!$C$32:$C$35,MATCH(J1854,Parâmetros!$A$32:$A$35,1)))</f>
        <v>0.25</v>
      </c>
      <c r="N1854" s="2" t="n">
        <f aca="false">ROUND((K1854+L1854)*M1854,0)</f>
        <v>0</v>
      </c>
      <c r="O1854" s="10" t="str">
        <f aca="false">IF(AND(G1854="Engaging",J1854&gt;Parâmetros!$B$6),"Sim","Não")</f>
        <v>Sim</v>
      </c>
      <c r="P1854" s="32" t="str">
        <f aca="false">IF(O1854="Sim","R",IF(N1854&gt;=Parâmetros!$B$39,"A",IF(N1854&gt;=Parâmetros!$B$40,"B",IF(N1854&gt;=Parâmetros!$B$41,"C","D"))))</f>
        <v>R</v>
      </c>
      <c r="Q1854" s="10" t="str">
        <f aca="false">IF(F1854="","Completar cadastro","")</f>
        <v/>
      </c>
      <c r="R1854" s="10" t="str">
        <f aca="false">INDEX(Parâmetros!$D$39:$D$43,MATCH(P1854,Parâmetros!$A$39:$A$43,0))</f>
        <v>Reciclar: requalificar, reengajar ou encerrar</v>
      </c>
    </row>
    <row r="1855" customFormat="false" ht="15" hidden="false" customHeight="false" outlineLevel="0" collapsed="false">
      <c r="A1855" s="10" t="s">
        <v>2102</v>
      </c>
      <c r="B1855" s="10" t="s">
        <v>96</v>
      </c>
      <c r="C1855" s="10" t="s">
        <v>92</v>
      </c>
      <c r="D1855" s="10" t="s">
        <v>160</v>
      </c>
      <c r="E1855" s="10" t="s">
        <v>52</v>
      </c>
      <c r="F1855" s="10"/>
      <c r="G1855" s="10" t="s">
        <v>162</v>
      </c>
      <c r="H1855" s="30" t="n">
        <v>42744</v>
      </c>
      <c r="I1855" s="8" t="n">
        <f aca="false">INDEX(Parâmetros!$C$13:$C$19,MATCH(E1855,Parâmetros!$A$13:$A$19,0))</f>
        <v>55</v>
      </c>
      <c r="J1855" s="26" t="n">
        <f aca="false">IF(H1855="","",Parâmetros!$B$5-H1855)</f>
        <v>356</v>
      </c>
      <c r="K1855" s="10" t="n">
        <f aca="false">INDEX(Parâmetros!$D$13:$D$19,MATCH(E1855,Parâmetros!$A$13:$A$19,0))</f>
        <v>0</v>
      </c>
      <c r="L1855" s="10" t="n">
        <f aca="false">IF(G1855="Prospecting",Parâmetros!$B$9,IF(J1855&gt;Parâmetros!$B$6,0,INDEX(Parâmetros!$C$24:$C$26,MATCH(J1855,Parâmetros!$A$24:$A$26,1))))</f>
        <v>0</v>
      </c>
      <c r="M1855" s="31" t="n">
        <f aca="false">IF(G1855="Prospecting",1,INDEX(Parâmetros!$C$32:$C$35,MATCH(J1855,Parâmetros!$A$32:$A$35,1)))</f>
        <v>0.25</v>
      </c>
      <c r="N1855" s="2" t="n">
        <f aca="false">ROUND((K1855+L1855)*M1855,0)</f>
        <v>0</v>
      </c>
      <c r="O1855" s="10" t="str">
        <f aca="false">IF(AND(G1855="Engaging",J1855&gt;Parâmetros!$B$6),"Sim","Não")</f>
        <v>Sim</v>
      </c>
      <c r="P1855" s="32" t="str">
        <f aca="false">IF(O1855="Sim","R",IF(N1855&gt;=Parâmetros!$B$39,"A",IF(N1855&gt;=Parâmetros!$B$40,"B",IF(N1855&gt;=Parâmetros!$B$41,"C","D"))))</f>
        <v>R</v>
      </c>
      <c r="Q1855" s="10" t="str">
        <f aca="false">IF(F1855="","Completar cadastro","")</f>
        <v>Completar cadastro</v>
      </c>
      <c r="R1855" s="10" t="str">
        <f aca="false">INDEX(Parâmetros!$D$39:$D$43,MATCH(P1855,Parâmetros!$A$39:$A$43,0))</f>
        <v>Reciclar: requalificar, reengajar ou encerrar</v>
      </c>
    </row>
    <row r="1856" customFormat="false" ht="15" hidden="false" customHeight="false" outlineLevel="0" collapsed="false">
      <c r="A1856" s="10" t="s">
        <v>2103</v>
      </c>
      <c r="B1856" s="10" t="s">
        <v>68</v>
      </c>
      <c r="C1856" s="10" t="s">
        <v>65</v>
      </c>
      <c r="D1856" s="10" t="s">
        <v>160</v>
      </c>
      <c r="E1856" s="10" t="s">
        <v>52</v>
      </c>
      <c r="F1856" s="10" t="s">
        <v>422</v>
      </c>
      <c r="G1856" s="10" t="s">
        <v>162</v>
      </c>
      <c r="H1856" s="30" t="n">
        <v>42745</v>
      </c>
      <c r="I1856" s="8" t="n">
        <f aca="false">INDEX(Parâmetros!$C$13:$C$19,MATCH(E1856,Parâmetros!$A$13:$A$19,0))</f>
        <v>55</v>
      </c>
      <c r="J1856" s="26" t="n">
        <f aca="false">IF(H1856="","",Parâmetros!$B$5-H1856)</f>
        <v>355</v>
      </c>
      <c r="K1856" s="10" t="n">
        <f aca="false">INDEX(Parâmetros!$D$13:$D$19,MATCH(E1856,Parâmetros!$A$13:$A$19,0))</f>
        <v>0</v>
      </c>
      <c r="L1856" s="10" t="n">
        <f aca="false">IF(G1856="Prospecting",Parâmetros!$B$9,IF(J1856&gt;Parâmetros!$B$6,0,INDEX(Parâmetros!$C$24:$C$26,MATCH(J1856,Parâmetros!$A$24:$A$26,1))))</f>
        <v>0</v>
      </c>
      <c r="M1856" s="31" t="n">
        <f aca="false">IF(G1856="Prospecting",1,INDEX(Parâmetros!$C$32:$C$35,MATCH(J1856,Parâmetros!$A$32:$A$35,1)))</f>
        <v>0.25</v>
      </c>
      <c r="N1856" s="2" t="n">
        <f aca="false">ROUND((K1856+L1856)*M1856,0)</f>
        <v>0</v>
      </c>
      <c r="O1856" s="10" t="str">
        <f aca="false">IF(AND(G1856="Engaging",J1856&gt;Parâmetros!$B$6),"Sim","Não")</f>
        <v>Sim</v>
      </c>
      <c r="P1856" s="32" t="str">
        <f aca="false">IF(O1856="Sim","R",IF(N1856&gt;=Parâmetros!$B$39,"A",IF(N1856&gt;=Parâmetros!$B$40,"B",IF(N1856&gt;=Parâmetros!$B$41,"C","D"))))</f>
        <v>R</v>
      </c>
      <c r="Q1856" s="10" t="str">
        <f aca="false">IF(F1856="","Completar cadastro","")</f>
        <v/>
      </c>
      <c r="R1856" s="10" t="str">
        <f aca="false">INDEX(Parâmetros!$D$39:$D$43,MATCH(P1856,Parâmetros!$A$39:$A$43,0))</f>
        <v>Reciclar: requalificar, reengajar ou encerrar</v>
      </c>
    </row>
    <row r="1857" customFormat="false" ht="15" hidden="false" customHeight="false" outlineLevel="0" collapsed="false">
      <c r="A1857" s="10" t="s">
        <v>2104</v>
      </c>
      <c r="B1857" s="10" t="s">
        <v>70</v>
      </c>
      <c r="C1857" s="10" t="s">
        <v>65</v>
      </c>
      <c r="D1857" s="10" t="s">
        <v>160</v>
      </c>
      <c r="E1857" s="10" t="s">
        <v>52</v>
      </c>
      <c r="F1857" s="10"/>
      <c r="G1857" s="10" t="s">
        <v>162</v>
      </c>
      <c r="H1857" s="30" t="n">
        <v>42748</v>
      </c>
      <c r="I1857" s="8" t="n">
        <f aca="false">INDEX(Parâmetros!$C$13:$C$19,MATCH(E1857,Parâmetros!$A$13:$A$19,0))</f>
        <v>55</v>
      </c>
      <c r="J1857" s="26" t="n">
        <f aca="false">IF(H1857="","",Parâmetros!$B$5-H1857)</f>
        <v>352</v>
      </c>
      <c r="K1857" s="10" t="n">
        <f aca="false">INDEX(Parâmetros!$D$13:$D$19,MATCH(E1857,Parâmetros!$A$13:$A$19,0))</f>
        <v>0</v>
      </c>
      <c r="L1857" s="10" t="n">
        <f aca="false">IF(G1857="Prospecting",Parâmetros!$B$9,IF(J1857&gt;Parâmetros!$B$6,0,INDEX(Parâmetros!$C$24:$C$26,MATCH(J1857,Parâmetros!$A$24:$A$26,1))))</f>
        <v>0</v>
      </c>
      <c r="M1857" s="31" t="n">
        <f aca="false">IF(G1857="Prospecting",1,INDEX(Parâmetros!$C$32:$C$35,MATCH(J1857,Parâmetros!$A$32:$A$35,1)))</f>
        <v>0.25</v>
      </c>
      <c r="N1857" s="2" t="n">
        <f aca="false">ROUND((K1857+L1857)*M1857,0)</f>
        <v>0</v>
      </c>
      <c r="O1857" s="10" t="str">
        <f aca="false">IF(AND(G1857="Engaging",J1857&gt;Parâmetros!$B$6),"Sim","Não")</f>
        <v>Sim</v>
      </c>
      <c r="P1857" s="32" t="str">
        <f aca="false">IF(O1857="Sim","R",IF(N1857&gt;=Parâmetros!$B$39,"A",IF(N1857&gt;=Parâmetros!$B$40,"B",IF(N1857&gt;=Parâmetros!$B$41,"C","D"))))</f>
        <v>R</v>
      </c>
      <c r="Q1857" s="10" t="str">
        <f aca="false">IF(F1857="","Completar cadastro","")</f>
        <v>Completar cadastro</v>
      </c>
      <c r="R1857" s="10" t="str">
        <f aca="false">INDEX(Parâmetros!$D$39:$D$43,MATCH(P1857,Parâmetros!$A$39:$A$43,0))</f>
        <v>Reciclar: requalificar, reengajar ou encerrar</v>
      </c>
    </row>
    <row r="1858" customFormat="false" ht="15" hidden="false" customHeight="false" outlineLevel="0" collapsed="false">
      <c r="A1858" s="10" t="s">
        <v>2105</v>
      </c>
      <c r="B1858" s="10" t="s">
        <v>66</v>
      </c>
      <c r="C1858" s="10" t="s">
        <v>65</v>
      </c>
      <c r="D1858" s="10" t="s">
        <v>160</v>
      </c>
      <c r="E1858" s="10" t="s">
        <v>52</v>
      </c>
      <c r="F1858" s="10" t="s">
        <v>692</v>
      </c>
      <c r="G1858" s="10" t="s">
        <v>162</v>
      </c>
      <c r="H1858" s="30" t="n">
        <v>42750</v>
      </c>
      <c r="I1858" s="8" t="n">
        <f aca="false">INDEX(Parâmetros!$C$13:$C$19,MATCH(E1858,Parâmetros!$A$13:$A$19,0))</f>
        <v>55</v>
      </c>
      <c r="J1858" s="26" t="n">
        <f aca="false">IF(H1858="","",Parâmetros!$B$5-H1858)</f>
        <v>350</v>
      </c>
      <c r="K1858" s="10" t="n">
        <f aca="false">INDEX(Parâmetros!$D$13:$D$19,MATCH(E1858,Parâmetros!$A$13:$A$19,0))</f>
        <v>0</v>
      </c>
      <c r="L1858" s="10" t="n">
        <f aca="false">IF(G1858="Prospecting",Parâmetros!$B$9,IF(J1858&gt;Parâmetros!$B$6,0,INDEX(Parâmetros!$C$24:$C$26,MATCH(J1858,Parâmetros!$A$24:$A$26,1))))</f>
        <v>0</v>
      </c>
      <c r="M1858" s="31" t="n">
        <f aca="false">IF(G1858="Prospecting",1,INDEX(Parâmetros!$C$32:$C$35,MATCH(J1858,Parâmetros!$A$32:$A$35,1)))</f>
        <v>0.25</v>
      </c>
      <c r="N1858" s="2" t="n">
        <f aca="false">ROUND((K1858+L1858)*M1858,0)</f>
        <v>0</v>
      </c>
      <c r="O1858" s="10" t="str">
        <f aca="false">IF(AND(G1858="Engaging",J1858&gt;Parâmetros!$B$6),"Sim","Não")</f>
        <v>Sim</v>
      </c>
      <c r="P1858" s="32" t="str">
        <f aca="false">IF(O1858="Sim","R",IF(N1858&gt;=Parâmetros!$B$39,"A",IF(N1858&gt;=Parâmetros!$B$40,"B",IF(N1858&gt;=Parâmetros!$B$41,"C","D"))))</f>
        <v>R</v>
      </c>
      <c r="Q1858" s="10" t="str">
        <f aca="false">IF(F1858="","Completar cadastro","")</f>
        <v/>
      </c>
      <c r="R1858" s="10" t="str">
        <f aca="false">INDEX(Parâmetros!$D$39:$D$43,MATCH(P1858,Parâmetros!$A$39:$A$43,0))</f>
        <v>Reciclar: requalificar, reengajar ou encerrar</v>
      </c>
    </row>
    <row r="1859" customFormat="false" ht="15" hidden="false" customHeight="false" outlineLevel="0" collapsed="false">
      <c r="A1859" s="10" t="s">
        <v>2106</v>
      </c>
      <c r="B1859" s="10" t="s">
        <v>96</v>
      </c>
      <c r="C1859" s="10" t="s">
        <v>92</v>
      </c>
      <c r="D1859" s="10" t="s">
        <v>160</v>
      </c>
      <c r="E1859" s="10" t="s">
        <v>52</v>
      </c>
      <c r="F1859" s="10"/>
      <c r="G1859" s="10" t="s">
        <v>162</v>
      </c>
      <c r="H1859" s="30" t="n">
        <v>42751</v>
      </c>
      <c r="I1859" s="8" t="n">
        <f aca="false">INDEX(Parâmetros!$C$13:$C$19,MATCH(E1859,Parâmetros!$A$13:$A$19,0))</f>
        <v>55</v>
      </c>
      <c r="J1859" s="26" t="n">
        <f aca="false">IF(H1859="","",Parâmetros!$B$5-H1859)</f>
        <v>349</v>
      </c>
      <c r="K1859" s="10" t="n">
        <f aca="false">INDEX(Parâmetros!$D$13:$D$19,MATCH(E1859,Parâmetros!$A$13:$A$19,0))</f>
        <v>0</v>
      </c>
      <c r="L1859" s="10" t="n">
        <f aca="false">IF(G1859="Prospecting",Parâmetros!$B$9,IF(J1859&gt;Parâmetros!$B$6,0,INDEX(Parâmetros!$C$24:$C$26,MATCH(J1859,Parâmetros!$A$24:$A$26,1))))</f>
        <v>0</v>
      </c>
      <c r="M1859" s="31" t="n">
        <f aca="false">IF(G1859="Prospecting",1,INDEX(Parâmetros!$C$32:$C$35,MATCH(J1859,Parâmetros!$A$32:$A$35,1)))</f>
        <v>0.25</v>
      </c>
      <c r="N1859" s="2" t="n">
        <f aca="false">ROUND((K1859+L1859)*M1859,0)</f>
        <v>0</v>
      </c>
      <c r="O1859" s="10" t="str">
        <f aca="false">IF(AND(G1859="Engaging",J1859&gt;Parâmetros!$B$6),"Sim","Não")</f>
        <v>Sim</v>
      </c>
      <c r="P1859" s="32" t="str">
        <f aca="false">IF(O1859="Sim","R",IF(N1859&gt;=Parâmetros!$B$39,"A",IF(N1859&gt;=Parâmetros!$B$40,"B",IF(N1859&gt;=Parâmetros!$B$41,"C","D"))))</f>
        <v>R</v>
      </c>
      <c r="Q1859" s="10" t="str">
        <f aca="false">IF(F1859="","Completar cadastro","")</f>
        <v>Completar cadastro</v>
      </c>
      <c r="R1859" s="10" t="str">
        <f aca="false">INDEX(Parâmetros!$D$39:$D$43,MATCH(P1859,Parâmetros!$A$39:$A$43,0))</f>
        <v>Reciclar: requalificar, reengajar ou encerrar</v>
      </c>
    </row>
    <row r="1860" customFormat="false" ht="15" hidden="false" customHeight="false" outlineLevel="0" collapsed="false">
      <c r="A1860" s="10" t="s">
        <v>2107</v>
      </c>
      <c r="B1860" s="10" t="s">
        <v>70</v>
      </c>
      <c r="C1860" s="10" t="s">
        <v>65</v>
      </c>
      <c r="D1860" s="10" t="s">
        <v>160</v>
      </c>
      <c r="E1860" s="10" t="s">
        <v>52</v>
      </c>
      <c r="F1860" s="10"/>
      <c r="G1860" s="10" t="s">
        <v>162</v>
      </c>
      <c r="H1860" s="30" t="n">
        <v>42754</v>
      </c>
      <c r="I1860" s="8" t="n">
        <f aca="false">INDEX(Parâmetros!$C$13:$C$19,MATCH(E1860,Parâmetros!$A$13:$A$19,0))</f>
        <v>55</v>
      </c>
      <c r="J1860" s="26" t="n">
        <f aca="false">IF(H1860="","",Parâmetros!$B$5-H1860)</f>
        <v>346</v>
      </c>
      <c r="K1860" s="10" t="n">
        <f aca="false">INDEX(Parâmetros!$D$13:$D$19,MATCH(E1860,Parâmetros!$A$13:$A$19,0))</f>
        <v>0</v>
      </c>
      <c r="L1860" s="10" t="n">
        <f aca="false">IF(G1860="Prospecting",Parâmetros!$B$9,IF(J1860&gt;Parâmetros!$B$6,0,INDEX(Parâmetros!$C$24:$C$26,MATCH(J1860,Parâmetros!$A$24:$A$26,1))))</f>
        <v>0</v>
      </c>
      <c r="M1860" s="31" t="n">
        <f aca="false">IF(G1860="Prospecting",1,INDEX(Parâmetros!$C$32:$C$35,MATCH(J1860,Parâmetros!$A$32:$A$35,1)))</f>
        <v>0.25</v>
      </c>
      <c r="N1860" s="2" t="n">
        <f aca="false">ROUND((K1860+L1860)*M1860,0)</f>
        <v>0</v>
      </c>
      <c r="O1860" s="10" t="str">
        <f aca="false">IF(AND(G1860="Engaging",J1860&gt;Parâmetros!$B$6),"Sim","Não")</f>
        <v>Sim</v>
      </c>
      <c r="P1860" s="32" t="str">
        <f aca="false">IF(O1860="Sim","R",IF(N1860&gt;=Parâmetros!$B$39,"A",IF(N1860&gt;=Parâmetros!$B$40,"B",IF(N1860&gt;=Parâmetros!$B$41,"C","D"))))</f>
        <v>R</v>
      </c>
      <c r="Q1860" s="10" t="str">
        <f aca="false">IF(F1860="","Completar cadastro","")</f>
        <v>Completar cadastro</v>
      </c>
      <c r="R1860" s="10" t="str">
        <f aca="false">INDEX(Parâmetros!$D$39:$D$43,MATCH(P1860,Parâmetros!$A$39:$A$43,0))</f>
        <v>Reciclar: requalificar, reengajar ou encerrar</v>
      </c>
    </row>
    <row r="1861" customFormat="false" ht="15" hidden="false" customHeight="false" outlineLevel="0" collapsed="false">
      <c r="A1861" s="10" t="s">
        <v>2108</v>
      </c>
      <c r="B1861" s="10" t="s">
        <v>97</v>
      </c>
      <c r="C1861" s="10" t="s">
        <v>92</v>
      </c>
      <c r="D1861" s="10" t="s">
        <v>160</v>
      </c>
      <c r="E1861" s="10" t="s">
        <v>52</v>
      </c>
      <c r="F1861" s="10" t="s">
        <v>179</v>
      </c>
      <c r="G1861" s="10" t="s">
        <v>162</v>
      </c>
      <c r="H1861" s="30" t="n">
        <v>42763</v>
      </c>
      <c r="I1861" s="8" t="n">
        <f aca="false">INDEX(Parâmetros!$C$13:$C$19,MATCH(E1861,Parâmetros!$A$13:$A$19,0))</f>
        <v>55</v>
      </c>
      <c r="J1861" s="26" t="n">
        <f aca="false">IF(H1861="","",Parâmetros!$B$5-H1861)</f>
        <v>337</v>
      </c>
      <c r="K1861" s="10" t="n">
        <f aca="false">INDEX(Parâmetros!$D$13:$D$19,MATCH(E1861,Parâmetros!$A$13:$A$19,0))</f>
        <v>0</v>
      </c>
      <c r="L1861" s="10" t="n">
        <f aca="false">IF(G1861="Prospecting",Parâmetros!$B$9,IF(J1861&gt;Parâmetros!$B$6,0,INDEX(Parâmetros!$C$24:$C$26,MATCH(J1861,Parâmetros!$A$24:$A$26,1))))</f>
        <v>0</v>
      </c>
      <c r="M1861" s="31" t="n">
        <f aca="false">IF(G1861="Prospecting",1,INDEX(Parâmetros!$C$32:$C$35,MATCH(J1861,Parâmetros!$A$32:$A$35,1)))</f>
        <v>0.25</v>
      </c>
      <c r="N1861" s="2" t="n">
        <f aca="false">ROUND((K1861+L1861)*M1861,0)</f>
        <v>0</v>
      </c>
      <c r="O1861" s="10" t="str">
        <f aca="false">IF(AND(G1861="Engaging",J1861&gt;Parâmetros!$B$6),"Sim","Não")</f>
        <v>Sim</v>
      </c>
      <c r="P1861" s="32" t="str">
        <f aca="false">IF(O1861="Sim","R",IF(N1861&gt;=Parâmetros!$B$39,"A",IF(N1861&gt;=Parâmetros!$B$40,"B",IF(N1861&gt;=Parâmetros!$B$41,"C","D"))))</f>
        <v>R</v>
      </c>
      <c r="Q1861" s="10" t="str">
        <f aca="false">IF(F1861="","Completar cadastro","")</f>
        <v/>
      </c>
      <c r="R1861" s="10" t="str">
        <f aca="false">INDEX(Parâmetros!$D$39:$D$43,MATCH(P1861,Parâmetros!$A$39:$A$43,0))</f>
        <v>Reciclar: requalificar, reengajar ou encerrar</v>
      </c>
    </row>
    <row r="1862" customFormat="false" ht="15" hidden="false" customHeight="false" outlineLevel="0" collapsed="false">
      <c r="A1862" s="10" t="s">
        <v>2109</v>
      </c>
      <c r="B1862" s="10" t="s">
        <v>70</v>
      </c>
      <c r="C1862" s="10" t="s">
        <v>65</v>
      </c>
      <c r="D1862" s="10" t="s">
        <v>160</v>
      </c>
      <c r="E1862" s="10" t="s">
        <v>52</v>
      </c>
      <c r="F1862" s="10"/>
      <c r="G1862" s="10" t="s">
        <v>162</v>
      </c>
      <c r="H1862" s="30" t="n">
        <v>42769</v>
      </c>
      <c r="I1862" s="8" t="n">
        <f aca="false">INDEX(Parâmetros!$C$13:$C$19,MATCH(E1862,Parâmetros!$A$13:$A$19,0))</f>
        <v>55</v>
      </c>
      <c r="J1862" s="26" t="n">
        <f aca="false">IF(H1862="","",Parâmetros!$B$5-H1862)</f>
        <v>331</v>
      </c>
      <c r="K1862" s="10" t="n">
        <f aca="false">INDEX(Parâmetros!$D$13:$D$19,MATCH(E1862,Parâmetros!$A$13:$A$19,0))</f>
        <v>0</v>
      </c>
      <c r="L1862" s="10" t="n">
        <f aca="false">IF(G1862="Prospecting",Parâmetros!$B$9,IF(J1862&gt;Parâmetros!$B$6,0,INDEX(Parâmetros!$C$24:$C$26,MATCH(J1862,Parâmetros!$A$24:$A$26,1))))</f>
        <v>0</v>
      </c>
      <c r="M1862" s="31" t="n">
        <f aca="false">IF(G1862="Prospecting",1,INDEX(Parâmetros!$C$32:$C$35,MATCH(J1862,Parâmetros!$A$32:$A$35,1)))</f>
        <v>0.25</v>
      </c>
      <c r="N1862" s="2" t="n">
        <f aca="false">ROUND((K1862+L1862)*M1862,0)</f>
        <v>0</v>
      </c>
      <c r="O1862" s="10" t="str">
        <f aca="false">IF(AND(G1862="Engaging",J1862&gt;Parâmetros!$B$6),"Sim","Não")</f>
        <v>Sim</v>
      </c>
      <c r="P1862" s="32" t="str">
        <f aca="false">IF(O1862="Sim","R",IF(N1862&gt;=Parâmetros!$B$39,"A",IF(N1862&gt;=Parâmetros!$B$40,"B",IF(N1862&gt;=Parâmetros!$B$41,"C","D"))))</f>
        <v>R</v>
      </c>
      <c r="Q1862" s="10" t="str">
        <f aca="false">IF(F1862="","Completar cadastro","")</f>
        <v>Completar cadastro</v>
      </c>
      <c r="R1862" s="10" t="str">
        <f aca="false">INDEX(Parâmetros!$D$39:$D$43,MATCH(P1862,Parâmetros!$A$39:$A$43,0))</f>
        <v>Reciclar: requalificar, reengajar ou encerrar</v>
      </c>
    </row>
    <row r="1863" customFormat="false" ht="15" hidden="false" customHeight="false" outlineLevel="0" collapsed="false">
      <c r="A1863" s="10" t="s">
        <v>2110</v>
      </c>
      <c r="B1863" s="10" t="s">
        <v>66</v>
      </c>
      <c r="C1863" s="10" t="s">
        <v>65</v>
      </c>
      <c r="D1863" s="10" t="s">
        <v>160</v>
      </c>
      <c r="E1863" s="10" t="s">
        <v>52</v>
      </c>
      <c r="F1863" s="10" t="s">
        <v>692</v>
      </c>
      <c r="G1863" s="10" t="s">
        <v>162</v>
      </c>
      <c r="H1863" s="30" t="n">
        <v>42771</v>
      </c>
      <c r="I1863" s="8" t="n">
        <f aca="false">INDEX(Parâmetros!$C$13:$C$19,MATCH(E1863,Parâmetros!$A$13:$A$19,0))</f>
        <v>55</v>
      </c>
      <c r="J1863" s="26" t="n">
        <f aca="false">IF(H1863="","",Parâmetros!$B$5-H1863)</f>
        <v>329</v>
      </c>
      <c r="K1863" s="10" t="n">
        <f aca="false">INDEX(Parâmetros!$D$13:$D$19,MATCH(E1863,Parâmetros!$A$13:$A$19,0))</f>
        <v>0</v>
      </c>
      <c r="L1863" s="10" t="n">
        <f aca="false">IF(G1863="Prospecting",Parâmetros!$B$9,IF(J1863&gt;Parâmetros!$B$6,0,INDEX(Parâmetros!$C$24:$C$26,MATCH(J1863,Parâmetros!$A$24:$A$26,1))))</f>
        <v>0</v>
      </c>
      <c r="M1863" s="31" t="n">
        <f aca="false">IF(G1863="Prospecting",1,INDEX(Parâmetros!$C$32:$C$35,MATCH(J1863,Parâmetros!$A$32:$A$35,1)))</f>
        <v>0.25</v>
      </c>
      <c r="N1863" s="2" t="n">
        <f aca="false">ROUND((K1863+L1863)*M1863,0)</f>
        <v>0</v>
      </c>
      <c r="O1863" s="10" t="str">
        <f aca="false">IF(AND(G1863="Engaging",J1863&gt;Parâmetros!$B$6),"Sim","Não")</f>
        <v>Sim</v>
      </c>
      <c r="P1863" s="32" t="str">
        <f aca="false">IF(O1863="Sim","R",IF(N1863&gt;=Parâmetros!$B$39,"A",IF(N1863&gt;=Parâmetros!$B$40,"B",IF(N1863&gt;=Parâmetros!$B$41,"C","D"))))</f>
        <v>R</v>
      </c>
      <c r="Q1863" s="10" t="str">
        <f aca="false">IF(F1863="","Completar cadastro","")</f>
        <v/>
      </c>
      <c r="R1863" s="10" t="str">
        <f aca="false">INDEX(Parâmetros!$D$39:$D$43,MATCH(P1863,Parâmetros!$A$39:$A$43,0))</f>
        <v>Reciclar: requalificar, reengajar ou encerrar</v>
      </c>
    </row>
    <row r="1864" customFormat="false" ht="15" hidden="false" customHeight="false" outlineLevel="0" collapsed="false">
      <c r="A1864" s="10" t="s">
        <v>2111</v>
      </c>
      <c r="B1864" s="10" t="s">
        <v>96</v>
      </c>
      <c r="C1864" s="10" t="s">
        <v>92</v>
      </c>
      <c r="D1864" s="10" t="s">
        <v>160</v>
      </c>
      <c r="E1864" s="10" t="s">
        <v>52</v>
      </c>
      <c r="F1864" s="10"/>
      <c r="G1864" s="10" t="s">
        <v>162</v>
      </c>
      <c r="H1864" s="30" t="n">
        <v>42771</v>
      </c>
      <c r="I1864" s="8" t="n">
        <f aca="false">INDEX(Parâmetros!$C$13:$C$19,MATCH(E1864,Parâmetros!$A$13:$A$19,0))</f>
        <v>55</v>
      </c>
      <c r="J1864" s="26" t="n">
        <f aca="false">IF(H1864="","",Parâmetros!$B$5-H1864)</f>
        <v>329</v>
      </c>
      <c r="K1864" s="10" t="n">
        <f aca="false">INDEX(Parâmetros!$D$13:$D$19,MATCH(E1864,Parâmetros!$A$13:$A$19,0))</f>
        <v>0</v>
      </c>
      <c r="L1864" s="10" t="n">
        <f aca="false">IF(G1864="Prospecting",Parâmetros!$B$9,IF(J1864&gt;Parâmetros!$B$6,0,INDEX(Parâmetros!$C$24:$C$26,MATCH(J1864,Parâmetros!$A$24:$A$26,1))))</f>
        <v>0</v>
      </c>
      <c r="M1864" s="31" t="n">
        <f aca="false">IF(G1864="Prospecting",1,INDEX(Parâmetros!$C$32:$C$35,MATCH(J1864,Parâmetros!$A$32:$A$35,1)))</f>
        <v>0.25</v>
      </c>
      <c r="N1864" s="2" t="n">
        <f aca="false">ROUND((K1864+L1864)*M1864,0)</f>
        <v>0</v>
      </c>
      <c r="O1864" s="10" t="str">
        <f aca="false">IF(AND(G1864="Engaging",J1864&gt;Parâmetros!$B$6),"Sim","Não")</f>
        <v>Sim</v>
      </c>
      <c r="P1864" s="32" t="str">
        <f aca="false">IF(O1864="Sim","R",IF(N1864&gt;=Parâmetros!$B$39,"A",IF(N1864&gt;=Parâmetros!$B$40,"B",IF(N1864&gt;=Parâmetros!$B$41,"C","D"))))</f>
        <v>R</v>
      </c>
      <c r="Q1864" s="10" t="str">
        <f aca="false">IF(F1864="","Completar cadastro","")</f>
        <v>Completar cadastro</v>
      </c>
      <c r="R1864" s="10" t="str">
        <f aca="false">INDEX(Parâmetros!$D$39:$D$43,MATCH(P1864,Parâmetros!$A$39:$A$43,0))</f>
        <v>Reciclar: requalificar, reengajar ou encerrar</v>
      </c>
    </row>
    <row r="1865" customFormat="false" ht="15" hidden="false" customHeight="false" outlineLevel="0" collapsed="false">
      <c r="A1865" s="10" t="s">
        <v>2112</v>
      </c>
      <c r="B1865" s="10" t="s">
        <v>67</v>
      </c>
      <c r="C1865" s="10" t="s">
        <v>65</v>
      </c>
      <c r="D1865" s="10" t="s">
        <v>160</v>
      </c>
      <c r="E1865" s="10" t="s">
        <v>52</v>
      </c>
      <c r="F1865" s="10" t="s">
        <v>697</v>
      </c>
      <c r="G1865" s="10" t="s">
        <v>162</v>
      </c>
      <c r="H1865" s="30" t="n">
        <v>42772</v>
      </c>
      <c r="I1865" s="8" t="n">
        <f aca="false">INDEX(Parâmetros!$C$13:$C$19,MATCH(E1865,Parâmetros!$A$13:$A$19,0))</f>
        <v>55</v>
      </c>
      <c r="J1865" s="26" t="n">
        <f aca="false">IF(H1865="","",Parâmetros!$B$5-H1865)</f>
        <v>328</v>
      </c>
      <c r="K1865" s="10" t="n">
        <f aca="false">INDEX(Parâmetros!$D$13:$D$19,MATCH(E1865,Parâmetros!$A$13:$A$19,0))</f>
        <v>0</v>
      </c>
      <c r="L1865" s="10" t="n">
        <f aca="false">IF(G1865="Prospecting",Parâmetros!$B$9,IF(J1865&gt;Parâmetros!$B$6,0,INDEX(Parâmetros!$C$24:$C$26,MATCH(J1865,Parâmetros!$A$24:$A$26,1))))</f>
        <v>0</v>
      </c>
      <c r="M1865" s="31" t="n">
        <f aca="false">IF(G1865="Prospecting",1,INDEX(Parâmetros!$C$32:$C$35,MATCH(J1865,Parâmetros!$A$32:$A$35,1)))</f>
        <v>0.25</v>
      </c>
      <c r="N1865" s="2" t="n">
        <f aca="false">ROUND((K1865+L1865)*M1865,0)</f>
        <v>0</v>
      </c>
      <c r="O1865" s="10" t="str">
        <f aca="false">IF(AND(G1865="Engaging",J1865&gt;Parâmetros!$B$6),"Sim","Não")</f>
        <v>Sim</v>
      </c>
      <c r="P1865" s="32" t="str">
        <f aca="false">IF(O1865="Sim","R",IF(N1865&gt;=Parâmetros!$B$39,"A",IF(N1865&gt;=Parâmetros!$B$40,"B",IF(N1865&gt;=Parâmetros!$B$41,"C","D"))))</f>
        <v>R</v>
      </c>
      <c r="Q1865" s="10" t="str">
        <f aca="false">IF(F1865="","Completar cadastro","")</f>
        <v/>
      </c>
      <c r="R1865" s="10" t="str">
        <f aca="false">INDEX(Parâmetros!$D$39:$D$43,MATCH(P1865,Parâmetros!$A$39:$A$43,0))</f>
        <v>Reciclar: requalificar, reengajar ou encerrar</v>
      </c>
    </row>
    <row r="1866" customFormat="false" ht="15" hidden="false" customHeight="false" outlineLevel="0" collapsed="false">
      <c r="A1866" s="10" t="s">
        <v>2113</v>
      </c>
      <c r="B1866" s="10" t="s">
        <v>96</v>
      </c>
      <c r="C1866" s="10" t="s">
        <v>92</v>
      </c>
      <c r="D1866" s="10" t="s">
        <v>160</v>
      </c>
      <c r="E1866" s="10" t="s">
        <v>52</v>
      </c>
      <c r="F1866" s="10"/>
      <c r="G1866" s="10" t="s">
        <v>162</v>
      </c>
      <c r="H1866" s="30" t="n">
        <v>42772</v>
      </c>
      <c r="I1866" s="8" t="n">
        <f aca="false">INDEX(Parâmetros!$C$13:$C$19,MATCH(E1866,Parâmetros!$A$13:$A$19,0))</f>
        <v>55</v>
      </c>
      <c r="J1866" s="26" t="n">
        <f aca="false">IF(H1866="","",Parâmetros!$B$5-H1866)</f>
        <v>328</v>
      </c>
      <c r="K1866" s="10" t="n">
        <f aca="false">INDEX(Parâmetros!$D$13:$D$19,MATCH(E1866,Parâmetros!$A$13:$A$19,0))</f>
        <v>0</v>
      </c>
      <c r="L1866" s="10" t="n">
        <f aca="false">IF(G1866="Prospecting",Parâmetros!$B$9,IF(J1866&gt;Parâmetros!$B$6,0,INDEX(Parâmetros!$C$24:$C$26,MATCH(J1866,Parâmetros!$A$24:$A$26,1))))</f>
        <v>0</v>
      </c>
      <c r="M1866" s="31" t="n">
        <f aca="false">IF(G1866="Prospecting",1,INDEX(Parâmetros!$C$32:$C$35,MATCH(J1866,Parâmetros!$A$32:$A$35,1)))</f>
        <v>0.25</v>
      </c>
      <c r="N1866" s="2" t="n">
        <f aca="false">ROUND((K1866+L1866)*M1866,0)</f>
        <v>0</v>
      </c>
      <c r="O1866" s="10" t="str">
        <f aca="false">IF(AND(G1866="Engaging",J1866&gt;Parâmetros!$B$6),"Sim","Não")</f>
        <v>Sim</v>
      </c>
      <c r="P1866" s="32" t="str">
        <f aca="false">IF(O1866="Sim","R",IF(N1866&gt;=Parâmetros!$B$39,"A",IF(N1866&gt;=Parâmetros!$B$40,"B",IF(N1866&gt;=Parâmetros!$B$41,"C","D"))))</f>
        <v>R</v>
      </c>
      <c r="Q1866" s="10" t="str">
        <f aca="false">IF(F1866="","Completar cadastro","")</f>
        <v>Completar cadastro</v>
      </c>
      <c r="R1866" s="10" t="str">
        <f aca="false">INDEX(Parâmetros!$D$39:$D$43,MATCH(P1866,Parâmetros!$A$39:$A$43,0))</f>
        <v>Reciclar: requalificar, reengajar ou encerrar</v>
      </c>
    </row>
    <row r="1867" customFormat="false" ht="15" hidden="false" customHeight="false" outlineLevel="0" collapsed="false">
      <c r="A1867" s="10" t="s">
        <v>2114</v>
      </c>
      <c r="B1867" s="10" t="s">
        <v>86</v>
      </c>
      <c r="C1867" s="10" t="s">
        <v>85</v>
      </c>
      <c r="D1867" s="10" t="s">
        <v>165</v>
      </c>
      <c r="E1867" s="10" t="s">
        <v>52</v>
      </c>
      <c r="F1867" s="10" t="s">
        <v>947</v>
      </c>
      <c r="G1867" s="10" t="s">
        <v>162</v>
      </c>
      <c r="H1867" s="30" t="n">
        <v>42774</v>
      </c>
      <c r="I1867" s="8" t="n">
        <f aca="false">INDEX(Parâmetros!$C$13:$C$19,MATCH(E1867,Parâmetros!$A$13:$A$19,0))</f>
        <v>55</v>
      </c>
      <c r="J1867" s="26" t="n">
        <f aca="false">IF(H1867="","",Parâmetros!$B$5-H1867)</f>
        <v>326</v>
      </c>
      <c r="K1867" s="10" t="n">
        <f aca="false">INDEX(Parâmetros!$D$13:$D$19,MATCH(E1867,Parâmetros!$A$13:$A$19,0))</f>
        <v>0</v>
      </c>
      <c r="L1867" s="10" t="n">
        <f aca="false">IF(G1867="Prospecting",Parâmetros!$B$9,IF(J1867&gt;Parâmetros!$B$6,0,INDEX(Parâmetros!$C$24:$C$26,MATCH(J1867,Parâmetros!$A$24:$A$26,1))))</f>
        <v>0</v>
      </c>
      <c r="M1867" s="31" t="n">
        <f aca="false">IF(G1867="Prospecting",1,INDEX(Parâmetros!$C$32:$C$35,MATCH(J1867,Parâmetros!$A$32:$A$35,1)))</f>
        <v>0.25</v>
      </c>
      <c r="N1867" s="2" t="n">
        <f aca="false">ROUND((K1867+L1867)*M1867,0)</f>
        <v>0</v>
      </c>
      <c r="O1867" s="10" t="str">
        <f aca="false">IF(AND(G1867="Engaging",J1867&gt;Parâmetros!$B$6),"Sim","Não")</f>
        <v>Sim</v>
      </c>
      <c r="P1867" s="32" t="str">
        <f aca="false">IF(O1867="Sim","R",IF(N1867&gt;=Parâmetros!$B$39,"A",IF(N1867&gt;=Parâmetros!$B$40,"B",IF(N1867&gt;=Parâmetros!$B$41,"C","D"))))</f>
        <v>R</v>
      </c>
      <c r="Q1867" s="10" t="str">
        <f aca="false">IF(F1867="","Completar cadastro","")</f>
        <v/>
      </c>
      <c r="R1867" s="10" t="str">
        <f aca="false">INDEX(Parâmetros!$D$39:$D$43,MATCH(P1867,Parâmetros!$A$39:$A$43,0))</f>
        <v>Reciclar: requalificar, reengajar ou encerrar</v>
      </c>
    </row>
    <row r="1868" customFormat="false" ht="15" hidden="false" customHeight="false" outlineLevel="0" collapsed="false">
      <c r="A1868" s="10" t="s">
        <v>2115</v>
      </c>
      <c r="B1868" s="10" t="s">
        <v>62</v>
      </c>
      <c r="C1868" s="10" t="s">
        <v>58</v>
      </c>
      <c r="D1868" s="10" t="s">
        <v>165</v>
      </c>
      <c r="E1868" s="10" t="s">
        <v>52</v>
      </c>
      <c r="F1868" s="10"/>
      <c r="G1868" s="10" t="s">
        <v>162</v>
      </c>
      <c r="H1868" s="30" t="n">
        <v>42778</v>
      </c>
      <c r="I1868" s="8" t="n">
        <f aca="false">INDEX(Parâmetros!$C$13:$C$19,MATCH(E1868,Parâmetros!$A$13:$A$19,0))</f>
        <v>55</v>
      </c>
      <c r="J1868" s="26" t="n">
        <f aca="false">IF(H1868="","",Parâmetros!$B$5-H1868)</f>
        <v>322</v>
      </c>
      <c r="K1868" s="10" t="n">
        <f aca="false">INDEX(Parâmetros!$D$13:$D$19,MATCH(E1868,Parâmetros!$A$13:$A$19,0))</f>
        <v>0</v>
      </c>
      <c r="L1868" s="10" t="n">
        <f aca="false">IF(G1868="Prospecting",Parâmetros!$B$9,IF(J1868&gt;Parâmetros!$B$6,0,INDEX(Parâmetros!$C$24:$C$26,MATCH(J1868,Parâmetros!$A$24:$A$26,1))))</f>
        <v>0</v>
      </c>
      <c r="M1868" s="31" t="n">
        <f aca="false">IF(G1868="Prospecting",1,INDEX(Parâmetros!$C$32:$C$35,MATCH(J1868,Parâmetros!$A$32:$A$35,1)))</f>
        <v>0.25</v>
      </c>
      <c r="N1868" s="2" t="n">
        <f aca="false">ROUND((K1868+L1868)*M1868,0)</f>
        <v>0</v>
      </c>
      <c r="O1868" s="10" t="str">
        <f aca="false">IF(AND(G1868="Engaging",J1868&gt;Parâmetros!$B$6),"Sim","Não")</f>
        <v>Sim</v>
      </c>
      <c r="P1868" s="32" t="str">
        <f aca="false">IF(O1868="Sim","R",IF(N1868&gt;=Parâmetros!$B$39,"A",IF(N1868&gt;=Parâmetros!$B$40,"B",IF(N1868&gt;=Parâmetros!$B$41,"C","D"))))</f>
        <v>R</v>
      </c>
      <c r="Q1868" s="10" t="str">
        <f aca="false">IF(F1868="","Completar cadastro","")</f>
        <v>Completar cadastro</v>
      </c>
      <c r="R1868" s="10" t="str">
        <f aca="false">INDEX(Parâmetros!$D$39:$D$43,MATCH(P1868,Parâmetros!$A$39:$A$43,0))</f>
        <v>Reciclar: requalificar, reengajar ou encerrar</v>
      </c>
    </row>
    <row r="1869" customFormat="false" ht="15" hidden="false" customHeight="false" outlineLevel="0" collapsed="false">
      <c r="A1869" s="10" t="s">
        <v>2116</v>
      </c>
      <c r="B1869" s="10" t="s">
        <v>66</v>
      </c>
      <c r="C1869" s="10" t="s">
        <v>65</v>
      </c>
      <c r="D1869" s="10" t="s">
        <v>160</v>
      </c>
      <c r="E1869" s="10" t="s">
        <v>52</v>
      </c>
      <c r="F1869" s="10" t="s">
        <v>161</v>
      </c>
      <c r="G1869" s="10" t="s">
        <v>162</v>
      </c>
      <c r="H1869" s="30" t="n">
        <v>42783</v>
      </c>
      <c r="I1869" s="8" t="n">
        <f aca="false">INDEX(Parâmetros!$C$13:$C$19,MATCH(E1869,Parâmetros!$A$13:$A$19,0))</f>
        <v>55</v>
      </c>
      <c r="J1869" s="26" t="n">
        <f aca="false">IF(H1869="","",Parâmetros!$B$5-H1869)</f>
        <v>317</v>
      </c>
      <c r="K1869" s="10" t="n">
        <f aca="false">INDEX(Parâmetros!$D$13:$D$19,MATCH(E1869,Parâmetros!$A$13:$A$19,0))</f>
        <v>0</v>
      </c>
      <c r="L1869" s="10" t="n">
        <f aca="false">IF(G1869="Prospecting",Parâmetros!$B$9,IF(J1869&gt;Parâmetros!$B$6,0,INDEX(Parâmetros!$C$24:$C$26,MATCH(J1869,Parâmetros!$A$24:$A$26,1))))</f>
        <v>0</v>
      </c>
      <c r="M1869" s="31" t="n">
        <f aca="false">IF(G1869="Prospecting",1,INDEX(Parâmetros!$C$32:$C$35,MATCH(J1869,Parâmetros!$A$32:$A$35,1)))</f>
        <v>0.25</v>
      </c>
      <c r="N1869" s="2" t="n">
        <f aca="false">ROUND((K1869+L1869)*M1869,0)</f>
        <v>0</v>
      </c>
      <c r="O1869" s="10" t="str">
        <f aca="false">IF(AND(G1869="Engaging",J1869&gt;Parâmetros!$B$6),"Sim","Não")</f>
        <v>Sim</v>
      </c>
      <c r="P1869" s="32" t="str">
        <f aca="false">IF(O1869="Sim","R",IF(N1869&gt;=Parâmetros!$B$39,"A",IF(N1869&gt;=Parâmetros!$B$40,"B",IF(N1869&gt;=Parâmetros!$B$41,"C","D"))))</f>
        <v>R</v>
      </c>
      <c r="Q1869" s="10" t="str">
        <f aca="false">IF(F1869="","Completar cadastro","")</f>
        <v/>
      </c>
      <c r="R1869" s="10" t="str">
        <f aca="false">INDEX(Parâmetros!$D$39:$D$43,MATCH(P1869,Parâmetros!$A$39:$A$43,0))</f>
        <v>Reciclar: requalificar, reengajar ou encerrar</v>
      </c>
    </row>
    <row r="1870" customFormat="false" ht="15" hidden="false" customHeight="false" outlineLevel="0" collapsed="false">
      <c r="A1870" s="10" t="s">
        <v>2117</v>
      </c>
      <c r="B1870" s="10" t="s">
        <v>86</v>
      </c>
      <c r="C1870" s="10" t="s">
        <v>85</v>
      </c>
      <c r="D1870" s="10" t="s">
        <v>165</v>
      </c>
      <c r="E1870" s="10" t="s">
        <v>52</v>
      </c>
      <c r="F1870" s="10"/>
      <c r="G1870" s="10" t="s">
        <v>162</v>
      </c>
      <c r="H1870" s="30" t="n">
        <v>42784</v>
      </c>
      <c r="I1870" s="8" t="n">
        <f aca="false">INDEX(Parâmetros!$C$13:$C$19,MATCH(E1870,Parâmetros!$A$13:$A$19,0))</f>
        <v>55</v>
      </c>
      <c r="J1870" s="26" t="n">
        <f aca="false">IF(H1870="","",Parâmetros!$B$5-H1870)</f>
        <v>316</v>
      </c>
      <c r="K1870" s="10" t="n">
        <f aca="false">INDEX(Parâmetros!$D$13:$D$19,MATCH(E1870,Parâmetros!$A$13:$A$19,0))</f>
        <v>0</v>
      </c>
      <c r="L1870" s="10" t="n">
        <f aca="false">IF(G1870="Prospecting",Parâmetros!$B$9,IF(J1870&gt;Parâmetros!$B$6,0,INDEX(Parâmetros!$C$24:$C$26,MATCH(J1870,Parâmetros!$A$24:$A$26,1))))</f>
        <v>0</v>
      </c>
      <c r="M1870" s="31" t="n">
        <f aca="false">IF(G1870="Prospecting",1,INDEX(Parâmetros!$C$32:$C$35,MATCH(J1870,Parâmetros!$A$32:$A$35,1)))</f>
        <v>0.25</v>
      </c>
      <c r="N1870" s="2" t="n">
        <f aca="false">ROUND((K1870+L1870)*M1870,0)</f>
        <v>0</v>
      </c>
      <c r="O1870" s="10" t="str">
        <f aca="false">IF(AND(G1870="Engaging",J1870&gt;Parâmetros!$B$6),"Sim","Não")</f>
        <v>Sim</v>
      </c>
      <c r="P1870" s="32" t="str">
        <f aca="false">IF(O1870="Sim","R",IF(N1870&gt;=Parâmetros!$B$39,"A",IF(N1870&gt;=Parâmetros!$B$40,"B",IF(N1870&gt;=Parâmetros!$B$41,"C","D"))))</f>
        <v>R</v>
      </c>
      <c r="Q1870" s="10" t="str">
        <f aca="false">IF(F1870="","Completar cadastro","")</f>
        <v>Completar cadastro</v>
      </c>
      <c r="R1870" s="10" t="str">
        <f aca="false">INDEX(Parâmetros!$D$39:$D$43,MATCH(P1870,Parâmetros!$A$39:$A$43,0))</f>
        <v>Reciclar: requalificar, reengajar ou encerrar</v>
      </c>
    </row>
    <row r="1871" customFormat="false" ht="15" hidden="false" customHeight="false" outlineLevel="0" collapsed="false">
      <c r="A1871" s="10" t="s">
        <v>2118</v>
      </c>
      <c r="B1871" s="10" t="s">
        <v>87</v>
      </c>
      <c r="C1871" s="10" t="s">
        <v>85</v>
      </c>
      <c r="D1871" s="10" t="s">
        <v>165</v>
      </c>
      <c r="E1871" s="10" t="s">
        <v>52</v>
      </c>
      <c r="F1871" s="10"/>
      <c r="G1871" s="10" t="s">
        <v>162</v>
      </c>
      <c r="H1871" s="30" t="n">
        <v>42785</v>
      </c>
      <c r="I1871" s="8" t="n">
        <f aca="false">INDEX(Parâmetros!$C$13:$C$19,MATCH(E1871,Parâmetros!$A$13:$A$19,0))</f>
        <v>55</v>
      </c>
      <c r="J1871" s="26" t="n">
        <f aca="false">IF(H1871="","",Parâmetros!$B$5-H1871)</f>
        <v>315</v>
      </c>
      <c r="K1871" s="10" t="n">
        <f aca="false">INDEX(Parâmetros!$D$13:$D$19,MATCH(E1871,Parâmetros!$A$13:$A$19,0))</f>
        <v>0</v>
      </c>
      <c r="L1871" s="10" t="n">
        <f aca="false">IF(G1871="Prospecting",Parâmetros!$B$9,IF(J1871&gt;Parâmetros!$B$6,0,INDEX(Parâmetros!$C$24:$C$26,MATCH(J1871,Parâmetros!$A$24:$A$26,1))))</f>
        <v>0</v>
      </c>
      <c r="M1871" s="31" t="n">
        <f aca="false">IF(G1871="Prospecting",1,INDEX(Parâmetros!$C$32:$C$35,MATCH(J1871,Parâmetros!$A$32:$A$35,1)))</f>
        <v>0.25</v>
      </c>
      <c r="N1871" s="2" t="n">
        <f aca="false">ROUND((K1871+L1871)*M1871,0)</f>
        <v>0</v>
      </c>
      <c r="O1871" s="10" t="str">
        <f aca="false">IF(AND(G1871="Engaging",J1871&gt;Parâmetros!$B$6),"Sim","Não")</f>
        <v>Sim</v>
      </c>
      <c r="P1871" s="32" t="str">
        <f aca="false">IF(O1871="Sim","R",IF(N1871&gt;=Parâmetros!$B$39,"A",IF(N1871&gt;=Parâmetros!$B$40,"B",IF(N1871&gt;=Parâmetros!$B$41,"C","D"))))</f>
        <v>R</v>
      </c>
      <c r="Q1871" s="10" t="str">
        <f aca="false">IF(F1871="","Completar cadastro","")</f>
        <v>Completar cadastro</v>
      </c>
      <c r="R1871" s="10" t="str">
        <f aca="false">INDEX(Parâmetros!$D$39:$D$43,MATCH(P1871,Parâmetros!$A$39:$A$43,0))</f>
        <v>Reciclar: requalificar, reengajar ou encerrar</v>
      </c>
    </row>
    <row r="1872" customFormat="false" ht="15" hidden="false" customHeight="false" outlineLevel="0" collapsed="false">
      <c r="A1872" s="10" t="s">
        <v>2119</v>
      </c>
      <c r="B1872" s="10" t="s">
        <v>69</v>
      </c>
      <c r="C1872" s="10" t="s">
        <v>65</v>
      </c>
      <c r="D1872" s="10" t="s">
        <v>160</v>
      </c>
      <c r="E1872" s="10" t="s">
        <v>52</v>
      </c>
      <c r="F1872" s="10"/>
      <c r="G1872" s="10" t="s">
        <v>162</v>
      </c>
      <c r="H1872" s="30" t="n">
        <v>42793</v>
      </c>
      <c r="I1872" s="8" t="n">
        <f aca="false">INDEX(Parâmetros!$C$13:$C$19,MATCH(E1872,Parâmetros!$A$13:$A$19,0))</f>
        <v>55</v>
      </c>
      <c r="J1872" s="26" t="n">
        <f aca="false">IF(H1872="","",Parâmetros!$B$5-H1872)</f>
        <v>307</v>
      </c>
      <c r="K1872" s="10" t="n">
        <f aca="false">INDEX(Parâmetros!$D$13:$D$19,MATCH(E1872,Parâmetros!$A$13:$A$19,0))</f>
        <v>0</v>
      </c>
      <c r="L1872" s="10" t="n">
        <f aca="false">IF(G1872="Prospecting",Parâmetros!$B$9,IF(J1872&gt;Parâmetros!$B$6,0,INDEX(Parâmetros!$C$24:$C$26,MATCH(J1872,Parâmetros!$A$24:$A$26,1))))</f>
        <v>0</v>
      </c>
      <c r="M1872" s="31" t="n">
        <f aca="false">IF(G1872="Prospecting",1,INDEX(Parâmetros!$C$32:$C$35,MATCH(J1872,Parâmetros!$A$32:$A$35,1)))</f>
        <v>0.25</v>
      </c>
      <c r="N1872" s="2" t="n">
        <f aca="false">ROUND((K1872+L1872)*M1872,0)</f>
        <v>0</v>
      </c>
      <c r="O1872" s="10" t="str">
        <f aca="false">IF(AND(G1872="Engaging",J1872&gt;Parâmetros!$B$6),"Sim","Não")</f>
        <v>Sim</v>
      </c>
      <c r="P1872" s="32" t="str">
        <f aca="false">IF(O1872="Sim","R",IF(N1872&gt;=Parâmetros!$B$39,"A",IF(N1872&gt;=Parâmetros!$B$40,"B",IF(N1872&gt;=Parâmetros!$B$41,"C","D"))))</f>
        <v>R</v>
      </c>
      <c r="Q1872" s="10" t="str">
        <f aca="false">IF(F1872="","Completar cadastro","")</f>
        <v>Completar cadastro</v>
      </c>
      <c r="R1872" s="10" t="str">
        <f aca="false">INDEX(Parâmetros!$D$39:$D$43,MATCH(P1872,Parâmetros!$A$39:$A$43,0))</f>
        <v>Reciclar: requalificar, reengajar ou encerrar</v>
      </c>
    </row>
    <row r="1873" customFormat="false" ht="15" hidden="false" customHeight="false" outlineLevel="0" collapsed="false">
      <c r="A1873" s="10" t="s">
        <v>2120</v>
      </c>
      <c r="B1873" s="10" t="s">
        <v>96</v>
      </c>
      <c r="C1873" s="10" t="s">
        <v>92</v>
      </c>
      <c r="D1873" s="10" t="s">
        <v>160</v>
      </c>
      <c r="E1873" s="10" t="s">
        <v>52</v>
      </c>
      <c r="F1873" s="10" t="s">
        <v>378</v>
      </c>
      <c r="G1873" s="10" t="s">
        <v>162</v>
      </c>
      <c r="H1873" s="30" t="n">
        <v>42794</v>
      </c>
      <c r="I1873" s="8" t="n">
        <f aca="false">INDEX(Parâmetros!$C$13:$C$19,MATCH(E1873,Parâmetros!$A$13:$A$19,0))</f>
        <v>55</v>
      </c>
      <c r="J1873" s="26" t="n">
        <f aca="false">IF(H1873="","",Parâmetros!$B$5-H1873)</f>
        <v>306</v>
      </c>
      <c r="K1873" s="10" t="n">
        <f aca="false">INDEX(Parâmetros!$D$13:$D$19,MATCH(E1873,Parâmetros!$A$13:$A$19,0))</f>
        <v>0</v>
      </c>
      <c r="L1873" s="10" t="n">
        <f aca="false">IF(G1873="Prospecting",Parâmetros!$B$9,IF(J1873&gt;Parâmetros!$B$6,0,INDEX(Parâmetros!$C$24:$C$26,MATCH(J1873,Parâmetros!$A$24:$A$26,1))))</f>
        <v>0</v>
      </c>
      <c r="M1873" s="31" t="n">
        <f aca="false">IF(G1873="Prospecting",1,INDEX(Parâmetros!$C$32:$C$35,MATCH(J1873,Parâmetros!$A$32:$A$35,1)))</f>
        <v>0.25</v>
      </c>
      <c r="N1873" s="2" t="n">
        <f aca="false">ROUND((K1873+L1873)*M1873,0)</f>
        <v>0</v>
      </c>
      <c r="O1873" s="10" t="str">
        <f aca="false">IF(AND(G1873="Engaging",J1873&gt;Parâmetros!$B$6),"Sim","Não")</f>
        <v>Sim</v>
      </c>
      <c r="P1873" s="32" t="str">
        <f aca="false">IF(O1873="Sim","R",IF(N1873&gt;=Parâmetros!$B$39,"A",IF(N1873&gt;=Parâmetros!$B$40,"B",IF(N1873&gt;=Parâmetros!$B$41,"C","D"))))</f>
        <v>R</v>
      </c>
      <c r="Q1873" s="10" t="str">
        <f aca="false">IF(F1873="","Completar cadastro","")</f>
        <v/>
      </c>
      <c r="R1873" s="10" t="str">
        <f aca="false">INDEX(Parâmetros!$D$39:$D$43,MATCH(P1873,Parâmetros!$A$39:$A$43,0))</f>
        <v>Reciclar: requalificar, reengajar ou encerrar</v>
      </c>
    </row>
    <row r="1874" customFormat="false" ht="15" hidden="false" customHeight="false" outlineLevel="0" collapsed="false">
      <c r="A1874" s="10" t="s">
        <v>2121</v>
      </c>
      <c r="B1874" s="10" t="s">
        <v>84</v>
      </c>
      <c r="C1874" s="10" t="s">
        <v>85</v>
      </c>
      <c r="D1874" s="10" t="s">
        <v>165</v>
      </c>
      <c r="E1874" s="10" t="s">
        <v>52</v>
      </c>
      <c r="F1874" s="10" t="s">
        <v>637</v>
      </c>
      <c r="G1874" s="10" t="s">
        <v>162</v>
      </c>
      <c r="H1874" s="30" t="n">
        <v>42795</v>
      </c>
      <c r="I1874" s="8" t="n">
        <f aca="false">INDEX(Parâmetros!$C$13:$C$19,MATCH(E1874,Parâmetros!$A$13:$A$19,0))</f>
        <v>55</v>
      </c>
      <c r="J1874" s="26" t="n">
        <f aca="false">IF(H1874="","",Parâmetros!$B$5-H1874)</f>
        <v>305</v>
      </c>
      <c r="K1874" s="10" t="n">
        <f aca="false">INDEX(Parâmetros!$D$13:$D$19,MATCH(E1874,Parâmetros!$A$13:$A$19,0))</f>
        <v>0</v>
      </c>
      <c r="L1874" s="10" t="n">
        <f aca="false">IF(G1874="Prospecting",Parâmetros!$B$9,IF(J1874&gt;Parâmetros!$B$6,0,INDEX(Parâmetros!$C$24:$C$26,MATCH(J1874,Parâmetros!$A$24:$A$26,1))))</f>
        <v>0</v>
      </c>
      <c r="M1874" s="31" t="n">
        <f aca="false">IF(G1874="Prospecting",1,INDEX(Parâmetros!$C$32:$C$35,MATCH(J1874,Parâmetros!$A$32:$A$35,1)))</f>
        <v>0.25</v>
      </c>
      <c r="N1874" s="2" t="n">
        <f aca="false">ROUND((K1874+L1874)*M1874,0)</f>
        <v>0</v>
      </c>
      <c r="O1874" s="10" t="str">
        <f aca="false">IF(AND(G1874="Engaging",J1874&gt;Parâmetros!$B$6),"Sim","Não")</f>
        <v>Sim</v>
      </c>
      <c r="P1874" s="32" t="str">
        <f aca="false">IF(O1874="Sim","R",IF(N1874&gt;=Parâmetros!$B$39,"A",IF(N1874&gt;=Parâmetros!$B$40,"B",IF(N1874&gt;=Parâmetros!$B$41,"C","D"))))</f>
        <v>R</v>
      </c>
      <c r="Q1874" s="10" t="str">
        <f aca="false">IF(F1874="","Completar cadastro","")</f>
        <v/>
      </c>
      <c r="R1874" s="10" t="str">
        <f aca="false">INDEX(Parâmetros!$D$39:$D$43,MATCH(P1874,Parâmetros!$A$39:$A$43,0))</f>
        <v>Reciclar: requalificar, reengajar ou encerrar</v>
      </c>
    </row>
    <row r="1875" customFormat="false" ht="15" hidden="false" customHeight="false" outlineLevel="0" collapsed="false">
      <c r="A1875" s="10" t="s">
        <v>2122</v>
      </c>
      <c r="B1875" s="10" t="s">
        <v>70</v>
      </c>
      <c r="C1875" s="10" t="s">
        <v>65</v>
      </c>
      <c r="D1875" s="10" t="s">
        <v>160</v>
      </c>
      <c r="E1875" s="10" t="s">
        <v>52</v>
      </c>
      <c r="F1875" s="10"/>
      <c r="G1875" s="10" t="s">
        <v>162</v>
      </c>
      <c r="H1875" s="30" t="n">
        <v>42796</v>
      </c>
      <c r="I1875" s="8" t="n">
        <f aca="false">INDEX(Parâmetros!$C$13:$C$19,MATCH(E1875,Parâmetros!$A$13:$A$19,0))</f>
        <v>55</v>
      </c>
      <c r="J1875" s="26" t="n">
        <f aca="false">IF(H1875="","",Parâmetros!$B$5-H1875)</f>
        <v>304</v>
      </c>
      <c r="K1875" s="10" t="n">
        <f aca="false">INDEX(Parâmetros!$D$13:$D$19,MATCH(E1875,Parâmetros!$A$13:$A$19,0))</f>
        <v>0</v>
      </c>
      <c r="L1875" s="10" t="n">
        <f aca="false">IF(G1875="Prospecting",Parâmetros!$B$9,IF(J1875&gt;Parâmetros!$B$6,0,INDEX(Parâmetros!$C$24:$C$26,MATCH(J1875,Parâmetros!$A$24:$A$26,1))))</f>
        <v>0</v>
      </c>
      <c r="M1875" s="31" t="n">
        <f aca="false">IF(G1875="Prospecting",1,INDEX(Parâmetros!$C$32:$C$35,MATCH(J1875,Parâmetros!$A$32:$A$35,1)))</f>
        <v>0.25</v>
      </c>
      <c r="N1875" s="2" t="n">
        <f aca="false">ROUND((K1875+L1875)*M1875,0)</f>
        <v>0</v>
      </c>
      <c r="O1875" s="10" t="str">
        <f aca="false">IF(AND(G1875="Engaging",J1875&gt;Parâmetros!$B$6),"Sim","Não")</f>
        <v>Sim</v>
      </c>
      <c r="P1875" s="32" t="str">
        <f aca="false">IF(O1875="Sim","R",IF(N1875&gt;=Parâmetros!$B$39,"A",IF(N1875&gt;=Parâmetros!$B$40,"B",IF(N1875&gt;=Parâmetros!$B$41,"C","D"))))</f>
        <v>R</v>
      </c>
      <c r="Q1875" s="10" t="str">
        <f aca="false">IF(F1875="","Completar cadastro","")</f>
        <v>Completar cadastro</v>
      </c>
      <c r="R1875" s="10" t="str">
        <f aca="false">INDEX(Parâmetros!$D$39:$D$43,MATCH(P1875,Parâmetros!$A$39:$A$43,0))</f>
        <v>Reciclar: requalificar, reengajar ou encerrar</v>
      </c>
    </row>
    <row r="1876" customFormat="false" ht="15" hidden="false" customHeight="false" outlineLevel="0" collapsed="false">
      <c r="A1876" s="10" t="s">
        <v>2123</v>
      </c>
      <c r="B1876" s="10" t="s">
        <v>70</v>
      </c>
      <c r="C1876" s="10" t="s">
        <v>65</v>
      </c>
      <c r="D1876" s="10" t="s">
        <v>160</v>
      </c>
      <c r="E1876" s="10" t="s">
        <v>52</v>
      </c>
      <c r="F1876" s="10"/>
      <c r="G1876" s="10" t="s">
        <v>162</v>
      </c>
      <c r="H1876" s="30" t="n">
        <v>42797</v>
      </c>
      <c r="I1876" s="8" t="n">
        <f aca="false">INDEX(Parâmetros!$C$13:$C$19,MATCH(E1876,Parâmetros!$A$13:$A$19,0))</f>
        <v>55</v>
      </c>
      <c r="J1876" s="26" t="n">
        <f aca="false">IF(H1876="","",Parâmetros!$B$5-H1876)</f>
        <v>303</v>
      </c>
      <c r="K1876" s="10" t="n">
        <f aca="false">INDEX(Parâmetros!$D$13:$D$19,MATCH(E1876,Parâmetros!$A$13:$A$19,0))</f>
        <v>0</v>
      </c>
      <c r="L1876" s="10" t="n">
        <f aca="false">IF(G1876="Prospecting",Parâmetros!$B$9,IF(J1876&gt;Parâmetros!$B$6,0,INDEX(Parâmetros!$C$24:$C$26,MATCH(J1876,Parâmetros!$A$24:$A$26,1))))</f>
        <v>0</v>
      </c>
      <c r="M1876" s="31" t="n">
        <f aca="false">IF(G1876="Prospecting",1,INDEX(Parâmetros!$C$32:$C$35,MATCH(J1876,Parâmetros!$A$32:$A$35,1)))</f>
        <v>0.25</v>
      </c>
      <c r="N1876" s="2" t="n">
        <f aca="false">ROUND((K1876+L1876)*M1876,0)</f>
        <v>0</v>
      </c>
      <c r="O1876" s="10" t="str">
        <f aca="false">IF(AND(G1876="Engaging",J1876&gt;Parâmetros!$B$6),"Sim","Não")</f>
        <v>Sim</v>
      </c>
      <c r="P1876" s="32" t="str">
        <f aca="false">IF(O1876="Sim","R",IF(N1876&gt;=Parâmetros!$B$39,"A",IF(N1876&gt;=Parâmetros!$B$40,"B",IF(N1876&gt;=Parâmetros!$B$41,"C","D"))))</f>
        <v>R</v>
      </c>
      <c r="Q1876" s="10" t="str">
        <f aca="false">IF(F1876="","Completar cadastro","")</f>
        <v>Completar cadastro</v>
      </c>
      <c r="R1876" s="10" t="str">
        <f aca="false">INDEX(Parâmetros!$D$39:$D$43,MATCH(P1876,Parâmetros!$A$39:$A$43,0))</f>
        <v>Reciclar: requalificar, reengajar ou encerrar</v>
      </c>
    </row>
    <row r="1877" customFormat="false" ht="15" hidden="false" customHeight="false" outlineLevel="0" collapsed="false">
      <c r="A1877" s="10" t="s">
        <v>2124</v>
      </c>
      <c r="B1877" s="10" t="s">
        <v>68</v>
      </c>
      <c r="C1877" s="10" t="s">
        <v>65</v>
      </c>
      <c r="D1877" s="10" t="s">
        <v>160</v>
      </c>
      <c r="E1877" s="10" t="s">
        <v>52</v>
      </c>
      <c r="F1877" s="10" t="s">
        <v>506</v>
      </c>
      <c r="G1877" s="10" t="s">
        <v>162</v>
      </c>
      <c r="H1877" s="30" t="n">
        <v>42799</v>
      </c>
      <c r="I1877" s="8" t="n">
        <f aca="false">INDEX(Parâmetros!$C$13:$C$19,MATCH(E1877,Parâmetros!$A$13:$A$19,0))</f>
        <v>55</v>
      </c>
      <c r="J1877" s="26" t="n">
        <f aca="false">IF(H1877="","",Parâmetros!$B$5-H1877)</f>
        <v>301</v>
      </c>
      <c r="K1877" s="10" t="n">
        <f aca="false">INDEX(Parâmetros!$D$13:$D$19,MATCH(E1877,Parâmetros!$A$13:$A$19,0))</f>
        <v>0</v>
      </c>
      <c r="L1877" s="10" t="n">
        <f aca="false">IF(G1877="Prospecting",Parâmetros!$B$9,IF(J1877&gt;Parâmetros!$B$6,0,INDEX(Parâmetros!$C$24:$C$26,MATCH(J1877,Parâmetros!$A$24:$A$26,1))))</f>
        <v>0</v>
      </c>
      <c r="M1877" s="31" t="n">
        <f aca="false">IF(G1877="Prospecting",1,INDEX(Parâmetros!$C$32:$C$35,MATCH(J1877,Parâmetros!$A$32:$A$35,1)))</f>
        <v>0.25</v>
      </c>
      <c r="N1877" s="2" t="n">
        <f aca="false">ROUND((K1877+L1877)*M1877,0)</f>
        <v>0</v>
      </c>
      <c r="O1877" s="10" t="str">
        <f aca="false">IF(AND(G1877="Engaging",J1877&gt;Parâmetros!$B$6),"Sim","Não")</f>
        <v>Sim</v>
      </c>
      <c r="P1877" s="32" t="str">
        <f aca="false">IF(O1877="Sim","R",IF(N1877&gt;=Parâmetros!$B$39,"A",IF(N1877&gt;=Parâmetros!$B$40,"B",IF(N1877&gt;=Parâmetros!$B$41,"C","D"))))</f>
        <v>R</v>
      </c>
      <c r="Q1877" s="10" t="str">
        <f aca="false">IF(F1877="","Completar cadastro","")</f>
        <v/>
      </c>
      <c r="R1877" s="10" t="str">
        <f aca="false">INDEX(Parâmetros!$D$39:$D$43,MATCH(P1877,Parâmetros!$A$39:$A$43,0))</f>
        <v>Reciclar: requalificar, reengajar ou encerrar</v>
      </c>
    </row>
    <row r="1878" customFormat="false" ht="15" hidden="false" customHeight="false" outlineLevel="0" collapsed="false">
      <c r="A1878" s="10" t="s">
        <v>2125</v>
      </c>
      <c r="B1878" s="10" t="s">
        <v>61</v>
      </c>
      <c r="C1878" s="10" t="s">
        <v>58</v>
      </c>
      <c r="D1878" s="10" t="s">
        <v>165</v>
      </c>
      <c r="E1878" s="10" t="s">
        <v>52</v>
      </c>
      <c r="F1878" s="10" t="s">
        <v>378</v>
      </c>
      <c r="G1878" s="10" t="s">
        <v>162</v>
      </c>
      <c r="H1878" s="30" t="n">
        <v>42799</v>
      </c>
      <c r="I1878" s="8" t="n">
        <f aca="false">INDEX(Parâmetros!$C$13:$C$19,MATCH(E1878,Parâmetros!$A$13:$A$19,0))</f>
        <v>55</v>
      </c>
      <c r="J1878" s="26" t="n">
        <f aca="false">IF(H1878="","",Parâmetros!$B$5-H1878)</f>
        <v>301</v>
      </c>
      <c r="K1878" s="10" t="n">
        <f aca="false">INDEX(Parâmetros!$D$13:$D$19,MATCH(E1878,Parâmetros!$A$13:$A$19,0))</f>
        <v>0</v>
      </c>
      <c r="L1878" s="10" t="n">
        <f aca="false">IF(G1878="Prospecting",Parâmetros!$B$9,IF(J1878&gt;Parâmetros!$B$6,0,INDEX(Parâmetros!$C$24:$C$26,MATCH(J1878,Parâmetros!$A$24:$A$26,1))))</f>
        <v>0</v>
      </c>
      <c r="M1878" s="31" t="n">
        <f aca="false">IF(G1878="Prospecting",1,INDEX(Parâmetros!$C$32:$C$35,MATCH(J1878,Parâmetros!$A$32:$A$35,1)))</f>
        <v>0.25</v>
      </c>
      <c r="N1878" s="2" t="n">
        <f aca="false">ROUND((K1878+L1878)*M1878,0)</f>
        <v>0</v>
      </c>
      <c r="O1878" s="10" t="str">
        <f aca="false">IF(AND(G1878="Engaging",J1878&gt;Parâmetros!$B$6),"Sim","Não")</f>
        <v>Sim</v>
      </c>
      <c r="P1878" s="32" t="str">
        <f aca="false">IF(O1878="Sim","R",IF(N1878&gt;=Parâmetros!$B$39,"A",IF(N1878&gt;=Parâmetros!$B$40,"B",IF(N1878&gt;=Parâmetros!$B$41,"C","D"))))</f>
        <v>R</v>
      </c>
      <c r="Q1878" s="10" t="str">
        <f aca="false">IF(F1878="","Completar cadastro","")</f>
        <v/>
      </c>
      <c r="R1878" s="10" t="str">
        <f aca="false">INDEX(Parâmetros!$D$39:$D$43,MATCH(P1878,Parâmetros!$A$39:$A$43,0))</f>
        <v>Reciclar: requalificar, reengajar ou encerrar</v>
      </c>
    </row>
    <row r="1879" customFormat="false" ht="15" hidden="false" customHeight="false" outlineLevel="0" collapsed="false">
      <c r="A1879" s="10" t="s">
        <v>2126</v>
      </c>
      <c r="B1879" s="10" t="s">
        <v>95</v>
      </c>
      <c r="C1879" s="10" t="s">
        <v>92</v>
      </c>
      <c r="D1879" s="10" t="s">
        <v>160</v>
      </c>
      <c r="E1879" s="10" t="s">
        <v>52</v>
      </c>
      <c r="F1879" s="10"/>
      <c r="G1879" s="10" t="s">
        <v>162</v>
      </c>
      <c r="H1879" s="30" t="n">
        <v>42800</v>
      </c>
      <c r="I1879" s="8" t="n">
        <f aca="false">INDEX(Parâmetros!$C$13:$C$19,MATCH(E1879,Parâmetros!$A$13:$A$19,0))</f>
        <v>55</v>
      </c>
      <c r="J1879" s="26" t="n">
        <f aca="false">IF(H1879="","",Parâmetros!$B$5-H1879)</f>
        <v>300</v>
      </c>
      <c r="K1879" s="10" t="n">
        <f aca="false">INDEX(Parâmetros!$D$13:$D$19,MATCH(E1879,Parâmetros!$A$13:$A$19,0))</f>
        <v>0</v>
      </c>
      <c r="L1879" s="10" t="n">
        <f aca="false">IF(G1879="Prospecting",Parâmetros!$B$9,IF(J1879&gt;Parâmetros!$B$6,0,INDEX(Parâmetros!$C$24:$C$26,MATCH(J1879,Parâmetros!$A$24:$A$26,1))))</f>
        <v>0</v>
      </c>
      <c r="M1879" s="31" t="n">
        <f aca="false">IF(G1879="Prospecting",1,INDEX(Parâmetros!$C$32:$C$35,MATCH(J1879,Parâmetros!$A$32:$A$35,1)))</f>
        <v>0.25</v>
      </c>
      <c r="N1879" s="2" t="n">
        <f aca="false">ROUND((K1879+L1879)*M1879,0)</f>
        <v>0</v>
      </c>
      <c r="O1879" s="10" t="str">
        <f aca="false">IF(AND(G1879="Engaging",J1879&gt;Parâmetros!$B$6),"Sim","Não")</f>
        <v>Sim</v>
      </c>
      <c r="P1879" s="32" t="str">
        <f aca="false">IF(O1879="Sim","R",IF(N1879&gt;=Parâmetros!$B$39,"A",IF(N1879&gt;=Parâmetros!$B$40,"B",IF(N1879&gt;=Parâmetros!$B$41,"C","D"))))</f>
        <v>R</v>
      </c>
      <c r="Q1879" s="10" t="str">
        <f aca="false">IF(F1879="","Completar cadastro","")</f>
        <v>Completar cadastro</v>
      </c>
      <c r="R1879" s="10" t="str">
        <f aca="false">INDEX(Parâmetros!$D$39:$D$43,MATCH(P1879,Parâmetros!$A$39:$A$43,0))</f>
        <v>Reciclar: requalificar, reengajar ou encerrar</v>
      </c>
    </row>
    <row r="1880" customFormat="false" ht="15" hidden="false" customHeight="false" outlineLevel="0" collapsed="false">
      <c r="A1880" s="10" t="s">
        <v>2127</v>
      </c>
      <c r="B1880" s="10" t="s">
        <v>62</v>
      </c>
      <c r="C1880" s="10" t="s">
        <v>58</v>
      </c>
      <c r="D1880" s="10" t="s">
        <v>165</v>
      </c>
      <c r="E1880" s="10" t="s">
        <v>52</v>
      </c>
      <c r="F1880" s="10" t="s">
        <v>414</v>
      </c>
      <c r="G1880" s="10" t="s">
        <v>162</v>
      </c>
      <c r="H1880" s="30" t="n">
        <v>42800</v>
      </c>
      <c r="I1880" s="8" t="n">
        <f aca="false">INDEX(Parâmetros!$C$13:$C$19,MATCH(E1880,Parâmetros!$A$13:$A$19,0))</f>
        <v>55</v>
      </c>
      <c r="J1880" s="26" t="n">
        <f aca="false">IF(H1880="","",Parâmetros!$B$5-H1880)</f>
        <v>300</v>
      </c>
      <c r="K1880" s="10" t="n">
        <f aca="false">INDEX(Parâmetros!$D$13:$D$19,MATCH(E1880,Parâmetros!$A$13:$A$19,0))</f>
        <v>0</v>
      </c>
      <c r="L1880" s="10" t="n">
        <f aca="false">IF(G1880="Prospecting",Parâmetros!$B$9,IF(J1880&gt;Parâmetros!$B$6,0,INDEX(Parâmetros!$C$24:$C$26,MATCH(J1880,Parâmetros!$A$24:$A$26,1))))</f>
        <v>0</v>
      </c>
      <c r="M1880" s="31" t="n">
        <f aca="false">IF(G1880="Prospecting",1,INDEX(Parâmetros!$C$32:$C$35,MATCH(J1880,Parâmetros!$A$32:$A$35,1)))</f>
        <v>0.25</v>
      </c>
      <c r="N1880" s="2" t="n">
        <f aca="false">ROUND((K1880+L1880)*M1880,0)</f>
        <v>0</v>
      </c>
      <c r="O1880" s="10" t="str">
        <f aca="false">IF(AND(G1880="Engaging",J1880&gt;Parâmetros!$B$6),"Sim","Não")</f>
        <v>Sim</v>
      </c>
      <c r="P1880" s="32" t="str">
        <f aca="false">IF(O1880="Sim","R",IF(N1880&gt;=Parâmetros!$B$39,"A",IF(N1880&gt;=Parâmetros!$B$40,"B",IF(N1880&gt;=Parâmetros!$B$41,"C","D"))))</f>
        <v>R</v>
      </c>
      <c r="Q1880" s="10" t="str">
        <f aca="false">IF(F1880="","Completar cadastro","")</f>
        <v/>
      </c>
      <c r="R1880" s="10" t="str">
        <f aca="false">INDEX(Parâmetros!$D$39:$D$43,MATCH(P1880,Parâmetros!$A$39:$A$43,0))</f>
        <v>Reciclar: requalificar, reengajar ou encerrar</v>
      </c>
    </row>
    <row r="1881" customFormat="false" ht="15" hidden="false" customHeight="false" outlineLevel="0" collapsed="false">
      <c r="A1881" s="10" t="s">
        <v>2128</v>
      </c>
      <c r="B1881" s="10" t="s">
        <v>93</v>
      </c>
      <c r="C1881" s="10" t="s">
        <v>92</v>
      </c>
      <c r="D1881" s="10" t="s">
        <v>160</v>
      </c>
      <c r="E1881" s="10" t="s">
        <v>52</v>
      </c>
      <c r="F1881" s="10" t="s">
        <v>218</v>
      </c>
      <c r="G1881" s="10" t="s">
        <v>162</v>
      </c>
      <c r="H1881" s="30" t="n">
        <v>42803</v>
      </c>
      <c r="I1881" s="8" t="n">
        <f aca="false">INDEX(Parâmetros!$C$13:$C$19,MATCH(E1881,Parâmetros!$A$13:$A$19,0))</f>
        <v>55</v>
      </c>
      <c r="J1881" s="26" t="n">
        <f aca="false">IF(H1881="","",Parâmetros!$B$5-H1881)</f>
        <v>297</v>
      </c>
      <c r="K1881" s="10" t="n">
        <f aca="false">INDEX(Parâmetros!$D$13:$D$19,MATCH(E1881,Parâmetros!$A$13:$A$19,0))</f>
        <v>0</v>
      </c>
      <c r="L1881" s="10" t="n">
        <f aca="false">IF(G1881="Prospecting",Parâmetros!$B$9,IF(J1881&gt;Parâmetros!$B$6,0,INDEX(Parâmetros!$C$24:$C$26,MATCH(J1881,Parâmetros!$A$24:$A$26,1))))</f>
        <v>0</v>
      </c>
      <c r="M1881" s="31" t="n">
        <f aca="false">IF(G1881="Prospecting",1,INDEX(Parâmetros!$C$32:$C$35,MATCH(J1881,Parâmetros!$A$32:$A$35,1)))</f>
        <v>0.25</v>
      </c>
      <c r="N1881" s="2" t="n">
        <f aca="false">ROUND((K1881+L1881)*M1881,0)</f>
        <v>0</v>
      </c>
      <c r="O1881" s="10" t="str">
        <f aca="false">IF(AND(G1881="Engaging",J1881&gt;Parâmetros!$B$6),"Sim","Não")</f>
        <v>Sim</v>
      </c>
      <c r="P1881" s="32" t="str">
        <f aca="false">IF(O1881="Sim","R",IF(N1881&gt;=Parâmetros!$B$39,"A",IF(N1881&gt;=Parâmetros!$B$40,"B",IF(N1881&gt;=Parâmetros!$B$41,"C","D"))))</f>
        <v>R</v>
      </c>
      <c r="Q1881" s="10" t="str">
        <f aca="false">IF(F1881="","Completar cadastro","")</f>
        <v/>
      </c>
      <c r="R1881" s="10" t="str">
        <f aca="false">INDEX(Parâmetros!$D$39:$D$43,MATCH(P1881,Parâmetros!$A$39:$A$43,0))</f>
        <v>Reciclar: requalificar, reengajar ou encerrar</v>
      </c>
    </row>
    <row r="1882" customFormat="false" ht="15" hidden="false" customHeight="false" outlineLevel="0" collapsed="false">
      <c r="A1882" s="10" t="s">
        <v>2129</v>
      </c>
      <c r="B1882" s="10" t="s">
        <v>62</v>
      </c>
      <c r="C1882" s="10" t="s">
        <v>58</v>
      </c>
      <c r="D1882" s="10" t="s">
        <v>165</v>
      </c>
      <c r="E1882" s="10" t="s">
        <v>52</v>
      </c>
      <c r="F1882" s="10"/>
      <c r="G1882" s="10" t="s">
        <v>162</v>
      </c>
      <c r="H1882" s="30" t="n">
        <v>42803</v>
      </c>
      <c r="I1882" s="8" t="n">
        <f aca="false">INDEX(Parâmetros!$C$13:$C$19,MATCH(E1882,Parâmetros!$A$13:$A$19,0))</f>
        <v>55</v>
      </c>
      <c r="J1882" s="26" t="n">
        <f aca="false">IF(H1882="","",Parâmetros!$B$5-H1882)</f>
        <v>297</v>
      </c>
      <c r="K1882" s="10" t="n">
        <f aca="false">INDEX(Parâmetros!$D$13:$D$19,MATCH(E1882,Parâmetros!$A$13:$A$19,0))</f>
        <v>0</v>
      </c>
      <c r="L1882" s="10" t="n">
        <f aca="false">IF(G1882="Prospecting",Parâmetros!$B$9,IF(J1882&gt;Parâmetros!$B$6,0,INDEX(Parâmetros!$C$24:$C$26,MATCH(J1882,Parâmetros!$A$24:$A$26,1))))</f>
        <v>0</v>
      </c>
      <c r="M1882" s="31" t="n">
        <f aca="false">IF(G1882="Prospecting",1,INDEX(Parâmetros!$C$32:$C$35,MATCH(J1882,Parâmetros!$A$32:$A$35,1)))</f>
        <v>0.25</v>
      </c>
      <c r="N1882" s="2" t="n">
        <f aca="false">ROUND((K1882+L1882)*M1882,0)</f>
        <v>0</v>
      </c>
      <c r="O1882" s="10" t="str">
        <f aca="false">IF(AND(G1882="Engaging",J1882&gt;Parâmetros!$B$6),"Sim","Não")</f>
        <v>Sim</v>
      </c>
      <c r="P1882" s="32" t="str">
        <f aca="false">IF(O1882="Sim","R",IF(N1882&gt;=Parâmetros!$B$39,"A",IF(N1882&gt;=Parâmetros!$B$40,"B",IF(N1882&gt;=Parâmetros!$B$41,"C","D"))))</f>
        <v>R</v>
      </c>
      <c r="Q1882" s="10" t="str">
        <f aca="false">IF(F1882="","Completar cadastro","")</f>
        <v>Completar cadastro</v>
      </c>
      <c r="R1882" s="10" t="str">
        <f aca="false">INDEX(Parâmetros!$D$39:$D$43,MATCH(P1882,Parâmetros!$A$39:$A$43,0))</f>
        <v>Reciclar: requalificar, reengajar ou encerrar</v>
      </c>
    </row>
    <row r="1883" customFormat="false" ht="15" hidden="false" customHeight="false" outlineLevel="0" collapsed="false">
      <c r="A1883" s="10" t="s">
        <v>2130</v>
      </c>
      <c r="B1883" s="10" t="s">
        <v>61</v>
      </c>
      <c r="C1883" s="10" t="s">
        <v>58</v>
      </c>
      <c r="D1883" s="10" t="s">
        <v>165</v>
      </c>
      <c r="E1883" s="10" t="s">
        <v>52</v>
      </c>
      <c r="F1883" s="10" t="s">
        <v>291</v>
      </c>
      <c r="G1883" s="10" t="s">
        <v>162</v>
      </c>
      <c r="H1883" s="30" t="n">
        <v>42804</v>
      </c>
      <c r="I1883" s="8" t="n">
        <f aca="false">INDEX(Parâmetros!$C$13:$C$19,MATCH(E1883,Parâmetros!$A$13:$A$19,0))</f>
        <v>55</v>
      </c>
      <c r="J1883" s="26" t="n">
        <f aca="false">IF(H1883="","",Parâmetros!$B$5-H1883)</f>
        <v>296</v>
      </c>
      <c r="K1883" s="10" t="n">
        <f aca="false">INDEX(Parâmetros!$D$13:$D$19,MATCH(E1883,Parâmetros!$A$13:$A$19,0))</f>
        <v>0</v>
      </c>
      <c r="L1883" s="10" t="n">
        <f aca="false">IF(G1883="Prospecting",Parâmetros!$B$9,IF(J1883&gt;Parâmetros!$B$6,0,INDEX(Parâmetros!$C$24:$C$26,MATCH(J1883,Parâmetros!$A$24:$A$26,1))))</f>
        <v>0</v>
      </c>
      <c r="M1883" s="31" t="n">
        <f aca="false">IF(G1883="Prospecting",1,INDEX(Parâmetros!$C$32:$C$35,MATCH(J1883,Parâmetros!$A$32:$A$35,1)))</f>
        <v>0.25</v>
      </c>
      <c r="N1883" s="2" t="n">
        <f aca="false">ROUND((K1883+L1883)*M1883,0)</f>
        <v>0</v>
      </c>
      <c r="O1883" s="10" t="str">
        <f aca="false">IF(AND(G1883="Engaging",J1883&gt;Parâmetros!$B$6),"Sim","Não")</f>
        <v>Sim</v>
      </c>
      <c r="P1883" s="32" t="str">
        <f aca="false">IF(O1883="Sim","R",IF(N1883&gt;=Parâmetros!$B$39,"A",IF(N1883&gt;=Parâmetros!$B$40,"B",IF(N1883&gt;=Parâmetros!$B$41,"C","D"))))</f>
        <v>R</v>
      </c>
      <c r="Q1883" s="10" t="str">
        <f aca="false">IF(F1883="","Completar cadastro","")</f>
        <v/>
      </c>
      <c r="R1883" s="10" t="str">
        <f aca="false">INDEX(Parâmetros!$D$39:$D$43,MATCH(P1883,Parâmetros!$A$39:$A$43,0))</f>
        <v>Reciclar: requalificar, reengajar ou encerrar</v>
      </c>
    </row>
    <row r="1884" customFormat="false" ht="15" hidden="false" customHeight="false" outlineLevel="0" collapsed="false">
      <c r="A1884" s="10" t="s">
        <v>2131</v>
      </c>
      <c r="B1884" s="10" t="s">
        <v>97</v>
      </c>
      <c r="C1884" s="10" t="s">
        <v>92</v>
      </c>
      <c r="D1884" s="10" t="s">
        <v>160</v>
      </c>
      <c r="E1884" s="10" t="s">
        <v>52</v>
      </c>
      <c r="F1884" s="10"/>
      <c r="G1884" s="10" t="s">
        <v>162</v>
      </c>
      <c r="H1884" s="30" t="n">
        <v>42805</v>
      </c>
      <c r="I1884" s="8" t="n">
        <f aca="false">INDEX(Parâmetros!$C$13:$C$19,MATCH(E1884,Parâmetros!$A$13:$A$19,0))</f>
        <v>55</v>
      </c>
      <c r="J1884" s="26" t="n">
        <f aca="false">IF(H1884="","",Parâmetros!$B$5-H1884)</f>
        <v>295</v>
      </c>
      <c r="K1884" s="10" t="n">
        <f aca="false">INDEX(Parâmetros!$D$13:$D$19,MATCH(E1884,Parâmetros!$A$13:$A$19,0))</f>
        <v>0</v>
      </c>
      <c r="L1884" s="10" t="n">
        <f aca="false">IF(G1884="Prospecting",Parâmetros!$B$9,IF(J1884&gt;Parâmetros!$B$6,0,INDEX(Parâmetros!$C$24:$C$26,MATCH(J1884,Parâmetros!$A$24:$A$26,1))))</f>
        <v>0</v>
      </c>
      <c r="M1884" s="31" t="n">
        <f aca="false">IF(G1884="Prospecting",1,INDEX(Parâmetros!$C$32:$C$35,MATCH(J1884,Parâmetros!$A$32:$A$35,1)))</f>
        <v>0.25</v>
      </c>
      <c r="N1884" s="2" t="n">
        <f aca="false">ROUND((K1884+L1884)*M1884,0)</f>
        <v>0</v>
      </c>
      <c r="O1884" s="10" t="str">
        <f aca="false">IF(AND(G1884="Engaging",J1884&gt;Parâmetros!$B$6),"Sim","Não")</f>
        <v>Sim</v>
      </c>
      <c r="P1884" s="32" t="str">
        <f aca="false">IF(O1884="Sim","R",IF(N1884&gt;=Parâmetros!$B$39,"A",IF(N1884&gt;=Parâmetros!$B$40,"B",IF(N1884&gt;=Parâmetros!$B$41,"C","D"))))</f>
        <v>R</v>
      </c>
      <c r="Q1884" s="10" t="str">
        <f aca="false">IF(F1884="","Completar cadastro","")</f>
        <v>Completar cadastro</v>
      </c>
      <c r="R1884" s="10" t="str">
        <f aca="false">INDEX(Parâmetros!$D$39:$D$43,MATCH(P1884,Parâmetros!$A$39:$A$43,0))</f>
        <v>Reciclar: requalificar, reengajar ou encerrar</v>
      </c>
    </row>
    <row r="1885" customFormat="false" ht="15" hidden="false" customHeight="false" outlineLevel="0" collapsed="false">
      <c r="A1885" s="10" t="s">
        <v>2132</v>
      </c>
      <c r="B1885" s="10" t="s">
        <v>67</v>
      </c>
      <c r="C1885" s="10" t="s">
        <v>65</v>
      </c>
      <c r="D1885" s="10" t="s">
        <v>160</v>
      </c>
      <c r="E1885" s="10" t="s">
        <v>52</v>
      </c>
      <c r="F1885" s="10" t="s">
        <v>424</v>
      </c>
      <c r="G1885" s="10" t="s">
        <v>162</v>
      </c>
      <c r="H1885" s="30" t="n">
        <v>42806</v>
      </c>
      <c r="I1885" s="8" t="n">
        <f aca="false">INDEX(Parâmetros!$C$13:$C$19,MATCH(E1885,Parâmetros!$A$13:$A$19,0))</f>
        <v>55</v>
      </c>
      <c r="J1885" s="26" t="n">
        <f aca="false">IF(H1885="","",Parâmetros!$B$5-H1885)</f>
        <v>294</v>
      </c>
      <c r="K1885" s="10" t="n">
        <f aca="false">INDEX(Parâmetros!$D$13:$D$19,MATCH(E1885,Parâmetros!$A$13:$A$19,0))</f>
        <v>0</v>
      </c>
      <c r="L1885" s="10" t="n">
        <f aca="false">IF(G1885="Prospecting",Parâmetros!$B$9,IF(J1885&gt;Parâmetros!$B$6,0,INDEX(Parâmetros!$C$24:$C$26,MATCH(J1885,Parâmetros!$A$24:$A$26,1))))</f>
        <v>0</v>
      </c>
      <c r="M1885" s="31" t="n">
        <f aca="false">IF(G1885="Prospecting",1,INDEX(Parâmetros!$C$32:$C$35,MATCH(J1885,Parâmetros!$A$32:$A$35,1)))</f>
        <v>0.25</v>
      </c>
      <c r="N1885" s="2" t="n">
        <f aca="false">ROUND((K1885+L1885)*M1885,0)</f>
        <v>0</v>
      </c>
      <c r="O1885" s="10" t="str">
        <f aca="false">IF(AND(G1885="Engaging",J1885&gt;Parâmetros!$B$6),"Sim","Não")</f>
        <v>Sim</v>
      </c>
      <c r="P1885" s="32" t="str">
        <f aca="false">IF(O1885="Sim","R",IF(N1885&gt;=Parâmetros!$B$39,"A",IF(N1885&gt;=Parâmetros!$B$40,"B",IF(N1885&gt;=Parâmetros!$B$41,"C","D"))))</f>
        <v>R</v>
      </c>
      <c r="Q1885" s="10" t="str">
        <f aca="false">IF(F1885="","Completar cadastro","")</f>
        <v/>
      </c>
      <c r="R1885" s="10" t="str">
        <f aca="false">INDEX(Parâmetros!$D$39:$D$43,MATCH(P1885,Parâmetros!$A$39:$A$43,0))</f>
        <v>Reciclar: requalificar, reengajar ou encerrar</v>
      </c>
    </row>
    <row r="1886" customFormat="false" ht="15" hidden="false" customHeight="false" outlineLevel="0" collapsed="false">
      <c r="A1886" s="10" t="s">
        <v>2133</v>
      </c>
      <c r="B1886" s="10" t="s">
        <v>66</v>
      </c>
      <c r="C1886" s="10" t="s">
        <v>65</v>
      </c>
      <c r="D1886" s="10" t="s">
        <v>160</v>
      </c>
      <c r="E1886" s="10" t="s">
        <v>52</v>
      </c>
      <c r="F1886" s="10" t="s">
        <v>427</v>
      </c>
      <c r="G1886" s="10" t="s">
        <v>162</v>
      </c>
      <c r="H1886" s="30" t="n">
        <v>42807</v>
      </c>
      <c r="I1886" s="8" t="n">
        <f aca="false">INDEX(Parâmetros!$C$13:$C$19,MATCH(E1886,Parâmetros!$A$13:$A$19,0))</f>
        <v>55</v>
      </c>
      <c r="J1886" s="26" t="n">
        <f aca="false">IF(H1886="","",Parâmetros!$B$5-H1886)</f>
        <v>293</v>
      </c>
      <c r="K1886" s="10" t="n">
        <f aca="false">INDEX(Parâmetros!$D$13:$D$19,MATCH(E1886,Parâmetros!$A$13:$A$19,0))</f>
        <v>0</v>
      </c>
      <c r="L1886" s="10" t="n">
        <f aca="false">IF(G1886="Prospecting",Parâmetros!$B$9,IF(J1886&gt;Parâmetros!$B$6,0,INDEX(Parâmetros!$C$24:$C$26,MATCH(J1886,Parâmetros!$A$24:$A$26,1))))</f>
        <v>0</v>
      </c>
      <c r="M1886" s="31" t="n">
        <f aca="false">IF(G1886="Prospecting",1,INDEX(Parâmetros!$C$32:$C$35,MATCH(J1886,Parâmetros!$A$32:$A$35,1)))</f>
        <v>0.25</v>
      </c>
      <c r="N1886" s="2" t="n">
        <f aca="false">ROUND((K1886+L1886)*M1886,0)</f>
        <v>0</v>
      </c>
      <c r="O1886" s="10" t="str">
        <f aca="false">IF(AND(G1886="Engaging",J1886&gt;Parâmetros!$B$6),"Sim","Não")</f>
        <v>Sim</v>
      </c>
      <c r="P1886" s="32" t="str">
        <f aca="false">IF(O1886="Sim","R",IF(N1886&gt;=Parâmetros!$B$39,"A",IF(N1886&gt;=Parâmetros!$B$40,"B",IF(N1886&gt;=Parâmetros!$B$41,"C","D"))))</f>
        <v>R</v>
      </c>
      <c r="Q1886" s="10" t="str">
        <f aca="false">IF(F1886="","Completar cadastro","")</f>
        <v/>
      </c>
      <c r="R1886" s="10" t="str">
        <f aca="false">INDEX(Parâmetros!$D$39:$D$43,MATCH(P1886,Parâmetros!$A$39:$A$43,0))</f>
        <v>Reciclar: requalificar, reengajar ou encerrar</v>
      </c>
    </row>
    <row r="1887" customFormat="false" ht="15" hidden="false" customHeight="false" outlineLevel="0" collapsed="false">
      <c r="A1887" s="10" t="s">
        <v>2134</v>
      </c>
      <c r="B1887" s="10" t="s">
        <v>62</v>
      </c>
      <c r="C1887" s="10" t="s">
        <v>58</v>
      </c>
      <c r="D1887" s="10" t="s">
        <v>165</v>
      </c>
      <c r="E1887" s="10" t="s">
        <v>52</v>
      </c>
      <c r="F1887" s="10"/>
      <c r="G1887" s="10" t="s">
        <v>162</v>
      </c>
      <c r="H1887" s="30" t="n">
        <v>42811</v>
      </c>
      <c r="I1887" s="8" t="n">
        <f aca="false">INDEX(Parâmetros!$C$13:$C$19,MATCH(E1887,Parâmetros!$A$13:$A$19,0))</f>
        <v>55</v>
      </c>
      <c r="J1887" s="26" t="n">
        <f aca="false">IF(H1887="","",Parâmetros!$B$5-H1887)</f>
        <v>289</v>
      </c>
      <c r="K1887" s="10" t="n">
        <f aca="false">INDEX(Parâmetros!$D$13:$D$19,MATCH(E1887,Parâmetros!$A$13:$A$19,0))</f>
        <v>0</v>
      </c>
      <c r="L1887" s="10" t="n">
        <f aca="false">IF(G1887="Prospecting",Parâmetros!$B$9,IF(J1887&gt;Parâmetros!$B$6,0,INDEX(Parâmetros!$C$24:$C$26,MATCH(J1887,Parâmetros!$A$24:$A$26,1))))</f>
        <v>0</v>
      </c>
      <c r="M1887" s="31" t="n">
        <f aca="false">IF(G1887="Prospecting",1,INDEX(Parâmetros!$C$32:$C$35,MATCH(J1887,Parâmetros!$A$32:$A$35,1)))</f>
        <v>0.25</v>
      </c>
      <c r="N1887" s="2" t="n">
        <f aca="false">ROUND((K1887+L1887)*M1887,0)</f>
        <v>0</v>
      </c>
      <c r="O1887" s="10" t="str">
        <f aca="false">IF(AND(G1887="Engaging",J1887&gt;Parâmetros!$B$6),"Sim","Não")</f>
        <v>Sim</v>
      </c>
      <c r="P1887" s="32" t="str">
        <f aca="false">IF(O1887="Sim","R",IF(N1887&gt;=Parâmetros!$B$39,"A",IF(N1887&gt;=Parâmetros!$B$40,"B",IF(N1887&gt;=Parâmetros!$B$41,"C","D"))))</f>
        <v>R</v>
      </c>
      <c r="Q1887" s="10" t="str">
        <f aca="false">IF(F1887="","Completar cadastro","")</f>
        <v>Completar cadastro</v>
      </c>
      <c r="R1887" s="10" t="str">
        <f aca="false">INDEX(Parâmetros!$D$39:$D$43,MATCH(P1887,Parâmetros!$A$39:$A$43,0))</f>
        <v>Reciclar: requalificar, reengajar ou encerrar</v>
      </c>
    </row>
    <row r="1888" customFormat="false" ht="15" hidden="false" customHeight="false" outlineLevel="0" collapsed="false">
      <c r="A1888" s="10" t="s">
        <v>2135</v>
      </c>
      <c r="B1888" s="10" t="s">
        <v>62</v>
      </c>
      <c r="C1888" s="10" t="s">
        <v>58</v>
      </c>
      <c r="D1888" s="10" t="s">
        <v>165</v>
      </c>
      <c r="E1888" s="10" t="s">
        <v>52</v>
      </c>
      <c r="F1888" s="10"/>
      <c r="G1888" s="10" t="s">
        <v>162</v>
      </c>
      <c r="H1888" s="30" t="n">
        <v>42811</v>
      </c>
      <c r="I1888" s="8" t="n">
        <f aca="false">INDEX(Parâmetros!$C$13:$C$19,MATCH(E1888,Parâmetros!$A$13:$A$19,0))</f>
        <v>55</v>
      </c>
      <c r="J1888" s="26" t="n">
        <f aca="false">IF(H1888="","",Parâmetros!$B$5-H1888)</f>
        <v>289</v>
      </c>
      <c r="K1888" s="10" t="n">
        <f aca="false">INDEX(Parâmetros!$D$13:$D$19,MATCH(E1888,Parâmetros!$A$13:$A$19,0))</f>
        <v>0</v>
      </c>
      <c r="L1888" s="10" t="n">
        <f aca="false">IF(G1888="Prospecting",Parâmetros!$B$9,IF(J1888&gt;Parâmetros!$B$6,0,INDEX(Parâmetros!$C$24:$C$26,MATCH(J1888,Parâmetros!$A$24:$A$26,1))))</f>
        <v>0</v>
      </c>
      <c r="M1888" s="31" t="n">
        <f aca="false">IF(G1888="Prospecting",1,INDEX(Parâmetros!$C$32:$C$35,MATCH(J1888,Parâmetros!$A$32:$A$35,1)))</f>
        <v>0.25</v>
      </c>
      <c r="N1888" s="2" t="n">
        <f aca="false">ROUND((K1888+L1888)*M1888,0)</f>
        <v>0</v>
      </c>
      <c r="O1888" s="10" t="str">
        <f aca="false">IF(AND(G1888="Engaging",J1888&gt;Parâmetros!$B$6),"Sim","Não")</f>
        <v>Sim</v>
      </c>
      <c r="P1888" s="32" t="str">
        <f aca="false">IF(O1888="Sim","R",IF(N1888&gt;=Parâmetros!$B$39,"A",IF(N1888&gt;=Parâmetros!$B$40,"B",IF(N1888&gt;=Parâmetros!$B$41,"C","D"))))</f>
        <v>R</v>
      </c>
      <c r="Q1888" s="10" t="str">
        <f aca="false">IF(F1888="","Completar cadastro","")</f>
        <v>Completar cadastro</v>
      </c>
      <c r="R1888" s="10" t="str">
        <f aca="false">INDEX(Parâmetros!$D$39:$D$43,MATCH(P1888,Parâmetros!$A$39:$A$43,0))</f>
        <v>Reciclar: requalificar, reengajar ou encerrar</v>
      </c>
    </row>
    <row r="1889" customFormat="false" ht="15" hidden="false" customHeight="false" outlineLevel="0" collapsed="false">
      <c r="A1889" s="10" t="s">
        <v>2136</v>
      </c>
      <c r="B1889" s="10" t="s">
        <v>70</v>
      </c>
      <c r="C1889" s="10" t="s">
        <v>65</v>
      </c>
      <c r="D1889" s="10" t="s">
        <v>160</v>
      </c>
      <c r="E1889" s="10" t="s">
        <v>52</v>
      </c>
      <c r="F1889" s="10"/>
      <c r="G1889" s="10" t="s">
        <v>162</v>
      </c>
      <c r="H1889" s="30" t="n">
        <v>42812</v>
      </c>
      <c r="I1889" s="8" t="n">
        <f aca="false">INDEX(Parâmetros!$C$13:$C$19,MATCH(E1889,Parâmetros!$A$13:$A$19,0))</f>
        <v>55</v>
      </c>
      <c r="J1889" s="26" t="n">
        <f aca="false">IF(H1889="","",Parâmetros!$B$5-H1889)</f>
        <v>288</v>
      </c>
      <c r="K1889" s="10" t="n">
        <f aca="false">INDEX(Parâmetros!$D$13:$D$19,MATCH(E1889,Parâmetros!$A$13:$A$19,0))</f>
        <v>0</v>
      </c>
      <c r="L1889" s="10" t="n">
        <f aca="false">IF(G1889="Prospecting",Parâmetros!$B$9,IF(J1889&gt;Parâmetros!$B$6,0,INDEX(Parâmetros!$C$24:$C$26,MATCH(J1889,Parâmetros!$A$24:$A$26,1))))</f>
        <v>0</v>
      </c>
      <c r="M1889" s="31" t="n">
        <f aca="false">IF(G1889="Prospecting",1,INDEX(Parâmetros!$C$32:$C$35,MATCH(J1889,Parâmetros!$A$32:$A$35,1)))</f>
        <v>0.25</v>
      </c>
      <c r="N1889" s="2" t="n">
        <f aca="false">ROUND((K1889+L1889)*M1889,0)</f>
        <v>0</v>
      </c>
      <c r="O1889" s="10" t="str">
        <f aca="false">IF(AND(G1889="Engaging",J1889&gt;Parâmetros!$B$6),"Sim","Não")</f>
        <v>Sim</v>
      </c>
      <c r="P1889" s="32" t="str">
        <f aca="false">IF(O1889="Sim","R",IF(N1889&gt;=Parâmetros!$B$39,"A",IF(N1889&gt;=Parâmetros!$B$40,"B",IF(N1889&gt;=Parâmetros!$B$41,"C","D"))))</f>
        <v>R</v>
      </c>
      <c r="Q1889" s="10" t="str">
        <f aca="false">IF(F1889="","Completar cadastro","")</f>
        <v>Completar cadastro</v>
      </c>
      <c r="R1889" s="10" t="str">
        <f aca="false">INDEX(Parâmetros!$D$39:$D$43,MATCH(P1889,Parâmetros!$A$39:$A$43,0))</f>
        <v>Reciclar: requalificar, reengajar ou encerrar</v>
      </c>
    </row>
    <row r="1890" customFormat="false" ht="15" hidden="false" customHeight="false" outlineLevel="0" collapsed="false">
      <c r="A1890" s="10" t="s">
        <v>2137</v>
      </c>
      <c r="B1890" s="10" t="s">
        <v>87</v>
      </c>
      <c r="C1890" s="10" t="s">
        <v>85</v>
      </c>
      <c r="D1890" s="10" t="s">
        <v>165</v>
      </c>
      <c r="E1890" s="10" t="s">
        <v>52</v>
      </c>
      <c r="F1890" s="10"/>
      <c r="G1890" s="10" t="s">
        <v>162</v>
      </c>
      <c r="H1890" s="30" t="n">
        <v>42816</v>
      </c>
      <c r="I1890" s="8" t="n">
        <f aca="false">INDEX(Parâmetros!$C$13:$C$19,MATCH(E1890,Parâmetros!$A$13:$A$19,0))</f>
        <v>55</v>
      </c>
      <c r="J1890" s="26" t="n">
        <f aca="false">IF(H1890="","",Parâmetros!$B$5-H1890)</f>
        <v>284</v>
      </c>
      <c r="K1890" s="10" t="n">
        <f aca="false">INDEX(Parâmetros!$D$13:$D$19,MATCH(E1890,Parâmetros!$A$13:$A$19,0))</f>
        <v>0</v>
      </c>
      <c r="L1890" s="10" t="n">
        <f aca="false">IF(G1890="Prospecting",Parâmetros!$B$9,IF(J1890&gt;Parâmetros!$B$6,0,INDEX(Parâmetros!$C$24:$C$26,MATCH(J1890,Parâmetros!$A$24:$A$26,1))))</f>
        <v>0</v>
      </c>
      <c r="M1890" s="31" t="n">
        <f aca="false">IF(G1890="Prospecting",1,INDEX(Parâmetros!$C$32:$C$35,MATCH(J1890,Parâmetros!$A$32:$A$35,1)))</f>
        <v>0.25</v>
      </c>
      <c r="N1890" s="2" t="n">
        <f aca="false">ROUND((K1890+L1890)*M1890,0)</f>
        <v>0</v>
      </c>
      <c r="O1890" s="10" t="str">
        <f aca="false">IF(AND(G1890="Engaging",J1890&gt;Parâmetros!$B$6),"Sim","Não")</f>
        <v>Sim</v>
      </c>
      <c r="P1890" s="32" t="str">
        <f aca="false">IF(O1890="Sim","R",IF(N1890&gt;=Parâmetros!$B$39,"A",IF(N1890&gt;=Parâmetros!$B$40,"B",IF(N1890&gt;=Parâmetros!$B$41,"C","D"))))</f>
        <v>R</v>
      </c>
      <c r="Q1890" s="10" t="str">
        <f aca="false">IF(F1890="","Completar cadastro","")</f>
        <v>Completar cadastro</v>
      </c>
      <c r="R1890" s="10" t="str">
        <f aca="false">INDEX(Parâmetros!$D$39:$D$43,MATCH(P1890,Parâmetros!$A$39:$A$43,0))</f>
        <v>Reciclar: requalificar, reengajar ou encerrar</v>
      </c>
    </row>
    <row r="1891" customFormat="false" ht="15" hidden="false" customHeight="false" outlineLevel="0" collapsed="false">
      <c r="A1891" s="10" t="s">
        <v>2138</v>
      </c>
      <c r="B1891" s="10" t="s">
        <v>66</v>
      </c>
      <c r="C1891" s="10" t="s">
        <v>65</v>
      </c>
      <c r="D1891" s="10" t="s">
        <v>160</v>
      </c>
      <c r="E1891" s="10" t="s">
        <v>52</v>
      </c>
      <c r="F1891" s="10" t="s">
        <v>869</v>
      </c>
      <c r="G1891" s="10" t="s">
        <v>162</v>
      </c>
      <c r="H1891" s="30" t="n">
        <v>42816</v>
      </c>
      <c r="I1891" s="8" t="n">
        <f aca="false">INDEX(Parâmetros!$C$13:$C$19,MATCH(E1891,Parâmetros!$A$13:$A$19,0))</f>
        <v>55</v>
      </c>
      <c r="J1891" s="26" t="n">
        <f aca="false">IF(H1891="","",Parâmetros!$B$5-H1891)</f>
        <v>284</v>
      </c>
      <c r="K1891" s="10" t="n">
        <f aca="false">INDEX(Parâmetros!$D$13:$D$19,MATCH(E1891,Parâmetros!$A$13:$A$19,0))</f>
        <v>0</v>
      </c>
      <c r="L1891" s="10" t="n">
        <f aca="false">IF(G1891="Prospecting",Parâmetros!$B$9,IF(J1891&gt;Parâmetros!$B$6,0,INDEX(Parâmetros!$C$24:$C$26,MATCH(J1891,Parâmetros!$A$24:$A$26,1))))</f>
        <v>0</v>
      </c>
      <c r="M1891" s="31" t="n">
        <f aca="false">IF(G1891="Prospecting",1,INDEX(Parâmetros!$C$32:$C$35,MATCH(J1891,Parâmetros!$A$32:$A$35,1)))</f>
        <v>0.25</v>
      </c>
      <c r="N1891" s="2" t="n">
        <f aca="false">ROUND((K1891+L1891)*M1891,0)</f>
        <v>0</v>
      </c>
      <c r="O1891" s="10" t="str">
        <f aca="false">IF(AND(G1891="Engaging",J1891&gt;Parâmetros!$B$6),"Sim","Não")</f>
        <v>Sim</v>
      </c>
      <c r="P1891" s="32" t="str">
        <f aca="false">IF(O1891="Sim","R",IF(N1891&gt;=Parâmetros!$B$39,"A",IF(N1891&gt;=Parâmetros!$B$40,"B",IF(N1891&gt;=Parâmetros!$B$41,"C","D"))))</f>
        <v>R</v>
      </c>
      <c r="Q1891" s="10" t="str">
        <f aca="false">IF(F1891="","Completar cadastro","")</f>
        <v/>
      </c>
      <c r="R1891" s="10" t="str">
        <f aca="false">INDEX(Parâmetros!$D$39:$D$43,MATCH(P1891,Parâmetros!$A$39:$A$43,0))</f>
        <v>Reciclar: requalificar, reengajar ou encerrar</v>
      </c>
    </row>
    <row r="1892" customFormat="false" ht="15" hidden="false" customHeight="false" outlineLevel="0" collapsed="false">
      <c r="A1892" s="10" t="s">
        <v>2139</v>
      </c>
      <c r="B1892" s="10" t="s">
        <v>70</v>
      </c>
      <c r="C1892" s="10" t="s">
        <v>65</v>
      </c>
      <c r="D1892" s="10" t="s">
        <v>160</v>
      </c>
      <c r="E1892" s="10" t="s">
        <v>52</v>
      </c>
      <c r="F1892" s="10"/>
      <c r="G1892" s="10" t="s">
        <v>162</v>
      </c>
      <c r="H1892" s="30" t="n">
        <v>42818</v>
      </c>
      <c r="I1892" s="8" t="n">
        <f aca="false">INDEX(Parâmetros!$C$13:$C$19,MATCH(E1892,Parâmetros!$A$13:$A$19,0))</f>
        <v>55</v>
      </c>
      <c r="J1892" s="26" t="n">
        <f aca="false">IF(H1892="","",Parâmetros!$B$5-H1892)</f>
        <v>282</v>
      </c>
      <c r="K1892" s="10" t="n">
        <f aca="false">INDEX(Parâmetros!$D$13:$D$19,MATCH(E1892,Parâmetros!$A$13:$A$19,0))</f>
        <v>0</v>
      </c>
      <c r="L1892" s="10" t="n">
        <f aca="false">IF(G1892="Prospecting",Parâmetros!$B$9,IF(J1892&gt;Parâmetros!$B$6,0,INDEX(Parâmetros!$C$24:$C$26,MATCH(J1892,Parâmetros!$A$24:$A$26,1))))</f>
        <v>0</v>
      </c>
      <c r="M1892" s="31" t="n">
        <f aca="false">IF(G1892="Prospecting",1,INDEX(Parâmetros!$C$32:$C$35,MATCH(J1892,Parâmetros!$A$32:$A$35,1)))</f>
        <v>0.25</v>
      </c>
      <c r="N1892" s="2" t="n">
        <f aca="false">ROUND((K1892+L1892)*M1892,0)</f>
        <v>0</v>
      </c>
      <c r="O1892" s="10" t="str">
        <f aca="false">IF(AND(G1892="Engaging",J1892&gt;Parâmetros!$B$6),"Sim","Não")</f>
        <v>Sim</v>
      </c>
      <c r="P1892" s="32" t="str">
        <f aca="false">IF(O1892="Sim","R",IF(N1892&gt;=Parâmetros!$B$39,"A",IF(N1892&gt;=Parâmetros!$B$40,"B",IF(N1892&gt;=Parâmetros!$B$41,"C","D"))))</f>
        <v>R</v>
      </c>
      <c r="Q1892" s="10" t="str">
        <f aca="false">IF(F1892="","Completar cadastro","")</f>
        <v>Completar cadastro</v>
      </c>
      <c r="R1892" s="10" t="str">
        <f aca="false">INDEX(Parâmetros!$D$39:$D$43,MATCH(P1892,Parâmetros!$A$39:$A$43,0))</f>
        <v>Reciclar: requalificar, reengajar ou encerrar</v>
      </c>
    </row>
    <row r="1893" customFormat="false" ht="15" hidden="false" customHeight="false" outlineLevel="0" collapsed="false">
      <c r="A1893" s="10" t="s">
        <v>2140</v>
      </c>
      <c r="B1893" s="10" t="s">
        <v>93</v>
      </c>
      <c r="C1893" s="10" t="s">
        <v>92</v>
      </c>
      <c r="D1893" s="10" t="s">
        <v>160</v>
      </c>
      <c r="E1893" s="10" t="s">
        <v>52</v>
      </c>
      <c r="F1893" s="10"/>
      <c r="G1893" s="10" t="s">
        <v>162</v>
      </c>
      <c r="H1893" s="30" t="n">
        <v>42820</v>
      </c>
      <c r="I1893" s="8" t="n">
        <f aca="false">INDEX(Parâmetros!$C$13:$C$19,MATCH(E1893,Parâmetros!$A$13:$A$19,0))</f>
        <v>55</v>
      </c>
      <c r="J1893" s="26" t="n">
        <f aca="false">IF(H1893="","",Parâmetros!$B$5-H1893)</f>
        <v>280</v>
      </c>
      <c r="K1893" s="10" t="n">
        <f aca="false">INDEX(Parâmetros!$D$13:$D$19,MATCH(E1893,Parâmetros!$A$13:$A$19,0))</f>
        <v>0</v>
      </c>
      <c r="L1893" s="10" t="n">
        <f aca="false">IF(G1893="Prospecting",Parâmetros!$B$9,IF(J1893&gt;Parâmetros!$B$6,0,INDEX(Parâmetros!$C$24:$C$26,MATCH(J1893,Parâmetros!$A$24:$A$26,1))))</f>
        <v>0</v>
      </c>
      <c r="M1893" s="31" t="n">
        <f aca="false">IF(G1893="Prospecting",1,INDEX(Parâmetros!$C$32:$C$35,MATCH(J1893,Parâmetros!$A$32:$A$35,1)))</f>
        <v>0.25</v>
      </c>
      <c r="N1893" s="2" t="n">
        <f aca="false">ROUND((K1893+L1893)*M1893,0)</f>
        <v>0</v>
      </c>
      <c r="O1893" s="10" t="str">
        <f aca="false">IF(AND(G1893="Engaging",J1893&gt;Parâmetros!$B$6),"Sim","Não")</f>
        <v>Sim</v>
      </c>
      <c r="P1893" s="32" t="str">
        <f aca="false">IF(O1893="Sim","R",IF(N1893&gt;=Parâmetros!$B$39,"A",IF(N1893&gt;=Parâmetros!$B$40,"B",IF(N1893&gt;=Parâmetros!$B$41,"C","D"))))</f>
        <v>R</v>
      </c>
      <c r="Q1893" s="10" t="str">
        <f aca="false">IF(F1893="","Completar cadastro","")</f>
        <v>Completar cadastro</v>
      </c>
      <c r="R1893" s="10" t="str">
        <f aca="false">INDEX(Parâmetros!$D$39:$D$43,MATCH(P1893,Parâmetros!$A$39:$A$43,0))</f>
        <v>Reciclar: requalificar, reengajar ou encerrar</v>
      </c>
    </row>
    <row r="1894" customFormat="false" ht="15" hidden="false" customHeight="false" outlineLevel="0" collapsed="false">
      <c r="A1894" s="10" t="s">
        <v>2141</v>
      </c>
      <c r="B1894" s="10" t="s">
        <v>96</v>
      </c>
      <c r="C1894" s="10" t="s">
        <v>92</v>
      </c>
      <c r="D1894" s="10" t="s">
        <v>160</v>
      </c>
      <c r="E1894" s="10" t="s">
        <v>52</v>
      </c>
      <c r="F1894" s="10" t="s">
        <v>321</v>
      </c>
      <c r="G1894" s="10" t="s">
        <v>162</v>
      </c>
      <c r="H1894" s="30" t="n">
        <v>42822</v>
      </c>
      <c r="I1894" s="8" t="n">
        <f aca="false">INDEX(Parâmetros!$C$13:$C$19,MATCH(E1894,Parâmetros!$A$13:$A$19,0))</f>
        <v>55</v>
      </c>
      <c r="J1894" s="26" t="n">
        <f aca="false">IF(H1894="","",Parâmetros!$B$5-H1894)</f>
        <v>278</v>
      </c>
      <c r="K1894" s="10" t="n">
        <f aca="false">INDEX(Parâmetros!$D$13:$D$19,MATCH(E1894,Parâmetros!$A$13:$A$19,0))</f>
        <v>0</v>
      </c>
      <c r="L1894" s="10" t="n">
        <f aca="false">IF(G1894="Prospecting",Parâmetros!$B$9,IF(J1894&gt;Parâmetros!$B$6,0,INDEX(Parâmetros!$C$24:$C$26,MATCH(J1894,Parâmetros!$A$24:$A$26,1))))</f>
        <v>0</v>
      </c>
      <c r="M1894" s="31" t="n">
        <f aca="false">IF(G1894="Prospecting",1,INDEX(Parâmetros!$C$32:$C$35,MATCH(J1894,Parâmetros!$A$32:$A$35,1)))</f>
        <v>0.25</v>
      </c>
      <c r="N1894" s="2" t="n">
        <f aca="false">ROUND((K1894+L1894)*M1894,0)</f>
        <v>0</v>
      </c>
      <c r="O1894" s="10" t="str">
        <f aca="false">IF(AND(G1894="Engaging",J1894&gt;Parâmetros!$B$6),"Sim","Não")</f>
        <v>Sim</v>
      </c>
      <c r="P1894" s="32" t="str">
        <f aca="false">IF(O1894="Sim","R",IF(N1894&gt;=Parâmetros!$B$39,"A",IF(N1894&gt;=Parâmetros!$B$40,"B",IF(N1894&gt;=Parâmetros!$B$41,"C","D"))))</f>
        <v>R</v>
      </c>
      <c r="Q1894" s="10" t="str">
        <f aca="false">IF(F1894="","Completar cadastro","")</f>
        <v/>
      </c>
      <c r="R1894" s="10" t="str">
        <f aca="false">INDEX(Parâmetros!$D$39:$D$43,MATCH(P1894,Parâmetros!$A$39:$A$43,0))</f>
        <v>Reciclar: requalificar, reengajar ou encerrar</v>
      </c>
    </row>
    <row r="1895" customFormat="false" ht="15" hidden="false" customHeight="false" outlineLevel="0" collapsed="false">
      <c r="A1895" s="10" t="s">
        <v>2142</v>
      </c>
      <c r="B1895" s="10" t="s">
        <v>70</v>
      </c>
      <c r="C1895" s="10" t="s">
        <v>65</v>
      </c>
      <c r="D1895" s="10" t="s">
        <v>160</v>
      </c>
      <c r="E1895" s="10" t="s">
        <v>52</v>
      </c>
      <c r="F1895" s="10"/>
      <c r="G1895" s="10" t="s">
        <v>162</v>
      </c>
      <c r="H1895" s="30" t="n">
        <v>42822</v>
      </c>
      <c r="I1895" s="8" t="n">
        <f aca="false">INDEX(Parâmetros!$C$13:$C$19,MATCH(E1895,Parâmetros!$A$13:$A$19,0))</f>
        <v>55</v>
      </c>
      <c r="J1895" s="26" t="n">
        <f aca="false">IF(H1895="","",Parâmetros!$B$5-H1895)</f>
        <v>278</v>
      </c>
      <c r="K1895" s="10" t="n">
        <f aca="false">INDEX(Parâmetros!$D$13:$D$19,MATCH(E1895,Parâmetros!$A$13:$A$19,0))</f>
        <v>0</v>
      </c>
      <c r="L1895" s="10" t="n">
        <f aca="false">IF(G1895="Prospecting",Parâmetros!$B$9,IF(J1895&gt;Parâmetros!$B$6,0,INDEX(Parâmetros!$C$24:$C$26,MATCH(J1895,Parâmetros!$A$24:$A$26,1))))</f>
        <v>0</v>
      </c>
      <c r="M1895" s="31" t="n">
        <f aca="false">IF(G1895="Prospecting",1,INDEX(Parâmetros!$C$32:$C$35,MATCH(J1895,Parâmetros!$A$32:$A$35,1)))</f>
        <v>0.25</v>
      </c>
      <c r="N1895" s="2" t="n">
        <f aca="false">ROUND((K1895+L1895)*M1895,0)</f>
        <v>0</v>
      </c>
      <c r="O1895" s="10" t="str">
        <f aca="false">IF(AND(G1895="Engaging",J1895&gt;Parâmetros!$B$6),"Sim","Não")</f>
        <v>Sim</v>
      </c>
      <c r="P1895" s="32" t="str">
        <f aca="false">IF(O1895="Sim","R",IF(N1895&gt;=Parâmetros!$B$39,"A",IF(N1895&gt;=Parâmetros!$B$40,"B",IF(N1895&gt;=Parâmetros!$B$41,"C","D"))))</f>
        <v>R</v>
      </c>
      <c r="Q1895" s="10" t="str">
        <f aca="false">IF(F1895="","Completar cadastro","")</f>
        <v>Completar cadastro</v>
      </c>
      <c r="R1895" s="10" t="str">
        <f aca="false">INDEX(Parâmetros!$D$39:$D$43,MATCH(P1895,Parâmetros!$A$39:$A$43,0))</f>
        <v>Reciclar: requalificar, reengajar ou encerrar</v>
      </c>
    </row>
    <row r="1896" customFormat="false" ht="15" hidden="false" customHeight="false" outlineLevel="0" collapsed="false">
      <c r="A1896" s="10" t="s">
        <v>2143</v>
      </c>
      <c r="B1896" s="10" t="s">
        <v>70</v>
      </c>
      <c r="C1896" s="10" t="s">
        <v>65</v>
      </c>
      <c r="D1896" s="10" t="s">
        <v>160</v>
      </c>
      <c r="E1896" s="10" t="s">
        <v>52</v>
      </c>
      <c r="F1896" s="10"/>
      <c r="G1896" s="10" t="s">
        <v>162</v>
      </c>
      <c r="H1896" s="30" t="n">
        <v>42822</v>
      </c>
      <c r="I1896" s="8" t="n">
        <f aca="false">INDEX(Parâmetros!$C$13:$C$19,MATCH(E1896,Parâmetros!$A$13:$A$19,0))</f>
        <v>55</v>
      </c>
      <c r="J1896" s="26" t="n">
        <f aca="false">IF(H1896="","",Parâmetros!$B$5-H1896)</f>
        <v>278</v>
      </c>
      <c r="K1896" s="10" t="n">
        <f aca="false">INDEX(Parâmetros!$D$13:$D$19,MATCH(E1896,Parâmetros!$A$13:$A$19,0))</f>
        <v>0</v>
      </c>
      <c r="L1896" s="10" t="n">
        <f aca="false">IF(G1896="Prospecting",Parâmetros!$B$9,IF(J1896&gt;Parâmetros!$B$6,0,INDEX(Parâmetros!$C$24:$C$26,MATCH(J1896,Parâmetros!$A$24:$A$26,1))))</f>
        <v>0</v>
      </c>
      <c r="M1896" s="31" t="n">
        <f aca="false">IF(G1896="Prospecting",1,INDEX(Parâmetros!$C$32:$C$35,MATCH(J1896,Parâmetros!$A$32:$A$35,1)))</f>
        <v>0.25</v>
      </c>
      <c r="N1896" s="2" t="n">
        <f aca="false">ROUND((K1896+L1896)*M1896,0)</f>
        <v>0</v>
      </c>
      <c r="O1896" s="10" t="str">
        <f aca="false">IF(AND(G1896="Engaging",J1896&gt;Parâmetros!$B$6),"Sim","Não")</f>
        <v>Sim</v>
      </c>
      <c r="P1896" s="32" t="str">
        <f aca="false">IF(O1896="Sim","R",IF(N1896&gt;=Parâmetros!$B$39,"A",IF(N1896&gt;=Parâmetros!$B$40,"B",IF(N1896&gt;=Parâmetros!$B$41,"C","D"))))</f>
        <v>R</v>
      </c>
      <c r="Q1896" s="10" t="str">
        <f aca="false">IF(F1896="","Completar cadastro","")</f>
        <v>Completar cadastro</v>
      </c>
      <c r="R1896" s="10" t="str">
        <f aca="false">INDEX(Parâmetros!$D$39:$D$43,MATCH(P1896,Parâmetros!$A$39:$A$43,0))</f>
        <v>Reciclar: requalificar, reengajar ou encerrar</v>
      </c>
    </row>
    <row r="1897" customFormat="false" ht="15" hidden="false" customHeight="false" outlineLevel="0" collapsed="false">
      <c r="A1897" s="10" t="s">
        <v>2144</v>
      </c>
      <c r="B1897" s="10" t="s">
        <v>70</v>
      </c>
      <c r="C1897" s="10" t="s">
        <v>65</v>
      </c>
      <c r="D1897" s="10" t="s">
        <v>160</v>
      </c>
      <c r="E1897" s="10" t="s">
        <v>52</v>
      </c>
      <c r="F1897" s="10"/>
      <c r="G1897" s="10" t="s">
        <v>162</v>
      </c>
      <c r="H1897" s="30" t="n">
        <v>42822</v>
      </c>
      <c r="I1897" s="8" t="n">
        <f aca="false">INDEX(Parâmetros!$C$13:$C$19,MATCH(E1897,Parâmetros!$A$13:$A$19,0))</f>
        <v>55</v>
      </c>
      <c r="J1897" s="26" t="n">
        <f aca="false">IF(H1897="","",Parâmetros!$B$5-H1897)</f>
        <v>278</v>
      </c>
      <c r="K1897" s="10" t="n">
        <f aca="false">INDEX(Parâmetros!$D$13:$D$19,MATCH(E1897,Parâmetros!$A$13:$A$19,0))</f>
        <v>0</v>
      </c>
      <c r="L1897" s="10" t="n">
        <f aca="false">IF(G1897="Prospecting",Parâmetros!$B$9,IF(J1897&gt;Parâmetros!$B$6,0,INDEX(Parâmetros!$C$24:$C$26,MATCH(J1897,Parâmetros!$A$24:$A$26,1))))</f>
        <v>0</v>
      </c>
      <c r="M1897" s="31" t="n">
        <f aca="false">IF(G1897="Prospecting",1,INDEX(Parâmetros!$C$32:$C$35,MATCH(J1897,Parâmetros!$A$32:$A$35,1)))</f>
        <v>0.25</v>
      </c>
      <c r="N1897" s="2" t="n">
        <f aca="false">ROUND((K1897+L1897)*M1897,0)</f>
        <v>0</v>
      </c>
      <c r="O1897" s="10" t="str">
        <f aca="false">IF(AND(G1897="Engaging",J1897&gt;Parâmetros!$B$6),"Sim","Não")</f>
        <v>Sim</v>
      </c>
      <c r="P1897" s="32" t="str">
        <f aca="false">IF(O1897="Sim","R",IF(N1897&gt;=Parâmetros!$B$39,"A",IF(N1897&gt;=Parâmetros!$B$40,"B",IF(N1897&gt;=Parâmetros!$B$41,"C","D"))))</f>
        <v>R</v>
      </c>
      <c r="Q1897" s="10" t="str">
        <f aca="false">IF(F1897="","Completar cadastro","")</f>
        <v>Completar cadastro</v>
      </c>
      <c r="R1897" s="10" t="str">
        <f aca="false">INDEX(Parâmetros!$D$39:$D$43,MATCH(P1897,Parâmetros!$A$39:$A$43,0))</f>
        <v>Reciclar: requalificar, reengajar ou encerrar</v>
      </c>
    </row>
    <row r="1898" customFormat="false" ht="15" hidden="false" customHeight="false" outlineLevel="0" collapsed="false">
      <c r="A1898" s="10" t="s">
        <v>2145</v>
      </c>
      <c r="B1898" s="10" t="s">
        <v>66</v>
      </c>
      <c r="C1898" s="10" t="s">
        <v>65</v>
      </c>
      <c r="D1898" s="10" t="s">
        <v>160</v>
      </c>
      <c r="E1898" s="10" t="s">
        <v>52</v>
      </c>
      <c r="F1898" s="10" t="s">
        <v>291</v>
      </c>
      <c r="G1898" s="10" t="s">
        <v>162</v>
      </c>
      <c r="H1898" s="30" t="n">
        <v>42825</v>
      </c>
      <c r="I1898" s="8" t="n">
        <f aca="false">INDEX(Parâmetros!$C$13:$C$19,MATCH(E1898,Parâmetros!$A$13:$A$19,0))</f>
        <v>55</v>
      </c>
      <c r="J1898" s="26" t="n">
        <f aca="false">IF(H1898="","",Parâmetros!$B$5-H1898)</f>
        <v>275</v>
      </c>
      <c r="K1898" s="10" t="n">
        <f aca="false">INDEX(Parâmetros!$D$13:$D$19,MATCH(E1898,Parâmetros!$A$13:$A$19,0))</f>
        <v>0</v>
      </c>
      <c r="L1898" s="10" t="n">
        <f aca="false">IF(G1898="Prospecting",Parâmetros!$B$9,IF(J1898&gt;Parâmetros!$B$6,0,INDEX(Parâmetros!$C$24:$C$26,MATCH(J1898,Parâmetros!$A$24:$A$26,1))))</f>
        <v>0</v>
      </c>
      <c r="M1898" s="31" t="n">
        <f aca="false">IF(G1898="Prospecting",1,INDEX(Parâmetros!$C$32:$C$35,MATCH(J1898,Parâmetros!$A$32:$A$35,1)))</f>
        <v>0.25</v>
      </c>
      <c r="N1898" s="2" t="n">
        <f aca="false">ROUND((K1898+L1898)*M1898,0)</f>
        <v>0</v>
      </c>
      <c r="O1898" s="10" t="str">
        <f aca="false">IF(AND(G1898="Engaging",J1898&gt;Parâmetros!$B$6),"Sim","Não")</f>
        <v>Sim</v>
      </c>
      <c r="P1898" s="32" t="str">
        <f aca="false">IF(O1898="Sim","R",IF(N1898&gt;=Parâmetros!$B$39,"A",IF(N1898&gt;=Parâmetros!$B$40,"B",IF(N1898&gt;=Parâmetros!$B$41,"C","D"))))</f>
        <v>R</v>
      </c>
      <c r="Q1898" s="10" t="str">
        <f aca="false">IF(F1898="","Completar cadastro","")</f>
        <v/>
      </c>
      <c r="R1898" s="10" t="str">
        <f aca="false">INDEX(Parâmetros!$D$39:$D$43,MATCH(P1898,Parâmetros!$A$39:$A$43,0))</f>
        <v>Reciclar: requalificar, reengajar ou encerrar</v>
      </c>
    </row>
    <row r="1899" customFormat="false" ht="15" hidden="false" customHeight="false" outlineLevel="0" collapsed="false">
      <c r="A1899" s="10" t="s">
        <v>2146</v>
      </c>
      <c r="B1899" s="10" t="s">
        <v>95</v>
      </c>
      <c r="C1899" s="10" t="s">
        <v>92</v>
      </c>
      <c r="D1899" s="10" t="s">
        <v>160</v>
      </c>
      <c r="E1899" s="10" t="s">
        <v>52</v>
      </c>
      <c r="F1899" s="10"/>
      <c r="G1899" s="10" t="s">
        <v>162</v>
      </c>
      <c r="H1899" s="30" t="n">
        <v>42825</v>
      </c>
      <c r="I1899" s="8" t="n">
        <f aca="false">INDEX(Parâmetros!$C$13:$C$19,MATCH(E1899,Parâmetros!$A$13:$A$19,0))</f>
        <v>55</v>
      </c>
      <c r="J1899" s="26" t="n">
        <f aca="false">IF(H1899="","",Parâmetros!$B$5-H1899)</f>
        <v>275</v>
      </c>
      <c r="K1899" s="10" t="n">
        <f aca="false">INDEX(Parâmetros!$D$13:$D$19,MATCH(E1899,Parâmetros!$A$13:$A$19,0))</f>
        <v>0</v>
      </c>
      <c r="L1899" s="10" t="n">
        <f aca="false">IF(G1899="Prospecting",Parâmetros!$B$9,IF(J1899&gt;Parâmetros!$B$6,0,INDEX(Parâmetros!$C$24:$C$26,MATCH(J1899,Parâmetros!$A$24:$A$26,1))))</f>
        <v>0</v>
      </c>
      <c r="M1899" s="31" t="n">
        <f aca="false">IF(G1899="Prospecting",1,INDEX(Parâmetros!$C$32:$C$35,MATCH(J1899,Parâmetros!$A$32:$A$35,1)))</f>
        <v>0.25</v>
      </c>
      <c r="N1899" s="2" t="n">
        <f aca="false">ROUND((K1899+L1899)*M1899,0)</f>
        <v>0</v>
      </c>
      <c r="O1899" s="10" t="str">
        <f aca="false">IF(AND(G1899="Engaging",J1899&gt;Parâmetros!$B$6),"Sim","Não")</f>
        <v>Sim</v>
      </c>
      <c r="P1899" s="32" t="str">
        <f aca="false">IF(O1899="Sim","R",IF(N1899&gt;=Parâmetros!$B$39,"A",IF(N1899&gt;=Parâmetros!$B$40,"B",IF(N1899&gt;=Parâmetros!$B$41,"C","D"))))</f>
        <v>R</v>
      </c>
      <c r="Q1899" s="10" t="str">
        <f aca="false">IF(F1899="","Completar cadastro","")</f>
        <v>Completar cadastro</v>
      </c>
      <c r="R1899" s="10" t="str">
        <f aca="false">INDEX(Parâmetros!$D$39:$D$43,MATCH(P1899,Parâmetros!$A$39:$A$43,0))</f>
        <v>Reciclar: requalificar, reengajar ou encerrar</v>
      </c>
    </row>
    <row r="1900" customFormat="false" ht="15" hidden="false" customHeight="false" outlineLevel="0" collapsed="false">
      <c r="A1900" s="10" t="s">
        <v>2147</v>
      </c>
      <c r="B1900" s="10" t="s">
        <v>86</v>
      </c>
      <c r="C1900" s="10" t="s">
        <v>85</v>
      </c>
      <c r="D1900" s="10" t="s">
        <v>165</v>
      </c>
      <c r="E1900" s="10" t="s">
        <v>52</v>
      </c>
      <c r="F1900" s="10"/>
      <c r="G1900" s="10" t="s">
        <v>162</v>
      </c>
      <c r="H1900" s="30" t="n">
        <v>42826</v>
      </c>
      <c r="I1900" s="8" t="n">
        <f aca="false">INDEX(Parâmetros!$C$13:$C$19,MATCH(E1900,Parâmetros!$A$13:$A$19,0))</f>
        <v>55</v>
      </c>
      <c r="J1900" s="26" t="n">
        <f aca="false">IF(H1900="","",Parâmetros!$B$5-H1900)</f>
        <v>274</v>
      </c>
      <c r="K1900" s="10" t="n">
        <f aca="false">INDEX(Parâmetros!$D$13:$D$19,MATCH(E1900,Parâmetros!$A$13:$A$19,0))</f>
        <v>0</v>
      </c>
      <c r="L1900" s="10" t="n">
        <f aca="false">IF(G1900="Prospecting",Parâmetros!$B$9,IF(J1900&gt;Parâmetros!$B$6,0,INDEX(Parâmetros!$C$24:$C$26,MATCH(J1900,Parâmetros!$A$24:$A$26,1))))</f>
        <v>0</v>
      </c>
      <c r="M1900" s="31" t="n">
        <f aca="false">IF(G1900="Prospecting",1,INDEX(Parâmetros!$C$32:$C$35,MATCH(J1900,Parâmetros!$A$32:$A$35,1)))</f>
        <v>0.25</v>
      </c>
      <c r="N1900" s="2" t="n">
        <f aca="false">ROUND((K1900+L1900)*M1900,0)</f>
        <v>0</v>
      </c>
      <c r="O1900" s="10" t="str">
        <f aca="false">IF(AND(G1900="Engaging",J1900&gt;Parâmetros!$B$6),"Sim","Não")</f>
        <v>Sim</v>
      </c>
      <c r="P1900" s="32" t="str">
        <f aca="false">IF(O1900="Sim","R",IF(N1900&gt;=Parâmetros!$B$39,"A",IF(N1900&gt;=Parâmetros!$B$40,"B",IF(N1900&gt;=Parâmetros!$B$41,"C","D"))))</f>
        <v>R</v>
      </c>
      <c r="Q1900" s="10" t="str">
        <f aca="false">IF(F1900="","Completar cadastro","")</f>
        <v>Completar cadastro</v>
      </c>
      <c r="R1900" s="10" t="str">
        <f aca="false">INDEX(Parâmetros!$D$39:$D$43,MATCH(P1900,Parâmetros!$A$39:$A$43,0))</f>
        <v>Reciclar: requalificar, reengajar ou encerrar</v>
      </c>
    </row>
    <row r="1901" customFormat="false" ht="15" hidden="false" customHeight="false" outlineLevel="0" collapsed="false">
      <c r="A1901" s="10" t="s">
        <v>2148</v>
      </c>
      <c r="B1901" s="10" t="s">
        <v>70</v>
      </c>
      <c r="C1901" s="10" t="s">
        <v>65</v>
      </c>
      <c r="D1901" s="10" t="s">
        <v>160</v>
      </c>
      <c r="E1901" s="10" t="s">
        <v>52</v>
      </c>
      <c r="F1901" s="10"/>
      <c r="G1901" s="10" t="s">
        <v>162</v>
      </c>
      <c r="H1901" s="30" t="n">
        <v>42828</v>
      </c>
      <c r="I1901" s="8" t="n">
        <f aca="false">INDEX(Parâmetros!$C$13:$C$19,MATCH(E1901,Parâmetros!$A$13:$A$19,0))</f>
        <v>55</v>
      </c>
      <c r="J1901" s="26" t="n">
        <f aca="false">IF(H1901="","",Parâmetros!$B$5-H1901)</f>
        <v>272</v>
      </c>
      <c r="K1901" s="10" t="n">
        <f aca="false">INDEX(Parâmetros!$D$13:$D$19,MATCH(E1901,Parâmetros!$A$13:$A$19,0))</f>
        <v>0</v>
      </c>
      <c r="L1901" s="10" t="n">
        <f aca="false">IF(G1901="Prospecting",Parâmetros!$B$9,IF(J1901&gt;Parâmetros!$B$6,0,INDEX(Parâmetros!$C$24:$C$26,MATCH(J1901,Parâmetros!$A$24:$A$26,1))))</f>
        <v>0</v>
      </c>
      <c r="M1901" s="31" t="n">
        <f aca="false">IF(G1901="Prospecting",1,INDEX(Parâmetros!$C$32:$C$35,MATCH(J1901,Parâmetros!$A$32:$A$35,1)))</f>
        <v>0.25</v>
      </c>
      <c r="N1901" s="2" t="n">
        <f aca="false">ROUND((K1901+L1901)*M1901,0)</f>
        <v>0</v>
      </c>
      <c r="O1901" s="10" t="str">
        <f aca="false">IF(AND(G1901="Engaging",J1901&gt;Parâmetros!$B$6),"Sim","Não")</f>
        <v>Sim</v>
      </c>
      <c r="P1901" s="32" t="str">
        <f aca="false">IF(O1901="Sim","R",IF(N1901&gt;=Parâmetros!$B$39,"A",IF(N1901&gt;=Parâmetros!$B$40,"B",IF(N1901&gt;=Parâmetros!$B$41,"C","D"))))</f>
        <v>R</v>
      </c>
      <c r="Q1901" s="10" t="str">
        <f aca="false">IF(F1901="","Completar cadastro","")</f>
        <v>Completar cadastro</v>
      </c>
      <c r="R1901" s="10" t="str">
        <f aca="false">INDEX(Parâmetros!$D$39:$D$43,MATCH(P1901,Parâmetros!$A$39:$A$43,0))</f>
        <v>Reciclar: requalificar, reengajar ou encerrar</v>
      </c>
    </row>
    <row r="1902" customFormat="false" ht="15" hidden="false" customHeight="false" outlineLevel="0" collapsed="false">
      <c r="A1902" s="10" t="s">
        <v>2149</v>
      </c>
      <c r="B1902" s="10" t="s">
        <v>63</v>
      </c>
      <c r="C1902" s="10" t="s">
        <v>58</v>
      </c>
      <c r="D1902" s="10" t="s">
        <v>165</v>
      </c>
      <c r="E1902" s="10" t="s">
        <v>52</v>
      </c>
      <c r="F1902" s="10"/>
      <c r="G1902" s="10" t="s">
        <v>162</v>
      </c>
      <c r="H1902" s="30" t="n">
        <v>42828</v>
      </c>
      <c r="I1902" s="8" t="n">
        <f aca="false">INDEX(Parâmetros!$C$13:$C$19,MATCH(E1902,Parâmetros!$A$13:$A$19,0))</f>
        <v>55</v>
      </c>
      <c r="J1902" s="26" t="n">
        <f aca="false">IF(H1902="","",Parâmetros!$B$5-H1902)</f>
        <v>272</v>
      </c>
      <c r="K1902" s="10" t="n">
        <f aca="false">INDEX(Parâmetros!$D$13:$D$19,MATCH(E1902,Parâmetros!$A$13:$A$19,0))</f>
        <v>0</v>
      </c>
      <c r="L1902" s="10" t="n">
        <f aca="false">IF(G1902="Prospecting",Parâmetros!$B$9,IF(J1902&gt;Parâmetros!$B$6,0,INDEX(Parâmetros!$C$24:$C$26,MATCH(J1902,Parâmetros!$A$24:$A$26,1))))</f>
        <v>0</v>
      </c>
      <c r="M1902" s="31" t="n">
        <f aca="false">IF(G1902="Prospecting",1,INDEX(Parâmetros!$C$32:$C$35,MATCH(J1902,Parâmetros!$A$32:$A$35,1)))</f>
        <v>0.25</v>
      </c>
      <c r="N1902" s="2" t="n">
        <f aca="false">ROUND((K1902+L1902)*M1902,0)</f>
        <v>0</v>
      </c>
      <c r="O1902" s="10" t="str">
        <f aca="false">IF(AND(G1902="Engaging",J1902&gt;Parâmetros!$B$6),"Sim","Não")</f>
        <v>Sim</v>
      </c>
      <c r="P1902" s="32" t="str">
        <f aca="false">IF(O1902="Sim","R",IF(N1902&gt;=Parâmetros!$B$39,"A",IF(N1902&gt;=Parâmetros!$B$40,"B",IF(N1902&gt;=Parâmetros!$B$41,"C","D"))))</f>
        <v>R</v>
      </c>
      <c r="Q1902" s="10" t="str">
        <f aca="false">IF(F1902="","Completar cadastro","")</f>
        <v>Completar cadastro</v>
      </c>
      <c r="R1902" s="10" t="str">
        <f aca="false">INDEX(Parâmetros!$D$39:$D$43,MATCH(P1902,Parâmetros!$A$39:$A$43,0))</f>
        <v>Reciclar: requalificar, reengajar ou encerrar</v>
      </c>
    </row>
    <row r="1903" customFormat="false" ht="15" hidden="false" customHeight="false" outlineLevel="0" collapsed="false">
      <c r="A1903" s="10" t="s">
        <v>2150</v>
      </c>
      <c r="B1903" s="10" t="s">
        <v>66</v>
      </c>
      <c r="C1903" s="10" t="s">
        <v>65</v>
      </c>
      <c r="D1903" s="10" t="s">
        <v>160</v>
      </c>
      <c r="E1903" s="10" t="s">
        <v>52</v>
      </c>
      <c r="F1903" s="10"/>
      <c r="G1903" s="10" t="s">
        <v>162</v>
      </c>
      <c r="H1903" s="30" t="n">
        <v>42829</v>
      </c>
      <c r="I1903" s="8" t="n">
        <f aca="false">INDEX(Parâmetros!$C$13:$C$19,MATCH(E1903,Parâmetros!$A$13:$A$19,0))</f>
        <v>55</v>
      </c>
      <c r="J1903" s="26" t="n">
        <f aca="false">IF(H1903="","",Parâmetros!$B$5-H1903)</f>
        <v>271</v>
      </c>
      <c r="K1903" s="10" t="n">
        <f aca="false">INDEX(Parâmetros!$D$13:$D$19,MATCH(E1903,Parâmetros!$A$13:$A$19,0))</f>
        <v>0</v>
      </c>
      <c r="L1903" s="10" t="n">
        <f aca="false">IF(G1903="Prospecting",Parâmetros!$B$9,IF(J1903&gt;Parâmetros!$B$6,0,INDEX(Parâmetros!$C$24:$C$26,MATCH(J1903,Parâmetros!$A$24:$A$26,1))))</f>
        <v>0</v>
      </c>
      <c r="M1903" s="31" t="n">
        <f aca="false">IF(G1903="Prospecting",1,INDEX(Parâmetros!$C$32:$C$35,MATCH(J1903,Parâmetros!$A$32:$A$35,1)))</f>
        <v>0.25</v>
      </c>
      <c r="N1903" s="2" t="n">
        <f aca="false">ROUND((K1903+L1903)*M1903,0)</f>
        <v>0</v>
      </c>
      <c r="O1903" s="10" t="str">
        <f aca="false">IF(AND(G1903="Engaging",J1903&gt;Parâmetros!$B$6),"Sim","Não")</f>
        <v>Sim</v>
      </c>
      <c r="P1903" s="32" t="str">
        <f aca="false">IF(O1903="Sim","R",IF(N1903&gt;=Parâmetros!$B$39,"A",IF(N1903&gt;=Parâmetros!$B$40,"B",IF(N1903&gt;=Parâmetros!$B$41,"C","D"))))</f>
        <v>R</v>
      </c>
      <c r="Q1903" s="10" t="str">
        <f aca="false">IF(F1903="","Completar cadastro","")</f>
        <v>Completar cadastro</v>
      </c>
      <c r="R1903" s="10" t="str">
        <f aca="false">INDEX(Parâmetros!$D$39:$D$43,MATCH(P1903,Parâmetros!$A$39:$A$43,0))</f>
        <v>Reciclar: requalificar, reengajar ou encerrar</v>
      </c>
    </row>
    <row r="1904" customFormat="false" ht="15" hidden="false" customHeight="false" outlineLevel="0" collapsed="false">
      <c r="A1904" s="10" t="s">
        <v>2151</v>
      </c>
      <c r="B1904" s="10" t="s">
        <v>68</v>
      </c>
      <c r="C1904" s="10" t="s">
        <v>65</v>
      </c>
      <c r="D1904" s="10" t="s">
        <v>160</v>
      </c>
      <c r="E1904" s="10" t="s">
        <v>52</v>
      </c>
      <c r="F1904" s="10"/>
      <c r="G1904" s="10" t="s">
        <v>162</v>
      </c>
      <c r="H1904" s="30" t="n">
        <v>42830</v>
      </c>
      <c r="I1904" s="8" t="n">
        <f aca="false">INDEX(Parâmetros!$C$13:$C$19,MATCH(E1904,Parâmetros!$A$13:$A$19,0))</f>
        <v>55</v>
      </c>
      <c r="J1904" s="26" t="n">
        <f aca="false">IF(H1904="","",Parâmetros!$B$5-H1904)</f>
        <v>270</v>
      </c>
      <c r="K1904" s="10" t="n">
        <f aca="false">INDEX(Parâmetros!$D$13:$D$19,MATCH(E1904,Parâmetros!$A$13:$A$19,0))</f>
        <v>0</v>
      </c>
      <c r="L1904" s="10" t="n">
        <f aca="false">IF(G1904="Prospecting",Parâmetros!$B$9,IF(J1904&gt;Parâmetros!$B$6,0,INDEX(Parâmetros!$C$24:$C$26,MATCH(J1904,Parâmetros!$A$24:$A$26,1))))</f>
        <v>0</v>
      </c>
      <c r="M1904" s="31" t="n">
        <f aca="false">IF(G1904="Prospecting",1,INDEX(Parâmetros!$C$32:$C$35,MATCH(J1904,Parâmetros!$A$32:$A$35,1)))</f>
        <v>0.4</v>
      </c>
      <c r="N1904" s="2" t="n">
        <f aca="false">ROUND((K1904+L1904)*M1904,0)</f>
        <v>0</v>
      </c>
      <c r="O1904" s="10" t="str">
        <f aca="false">IF(AND(G1904="Engaging",J1904&gt;Parâmetros!$B$6),"Sim","Não")</f>
        <v>Sim</v>
      </c>
      <c r="P1904" s="32" t="str">
        <f aca="false">IF(O1904="Sim","R",IF(N1904&gt;=Parâmetros!$B$39,"A",IF(N1904&gt;=Parâmetros!$B$40,"B",IF(N1904&gt;=Parâmetros!$B$41,"C","D"))))</f>
        <v>R</v>
      </c>
      <c r="Q1904" s="10" t="str">
        <f aca="false">IF(F1904="","Completar cadastro","")</f>
        <v>Completar cadastro</v>
      </c>
      <c r="R1904" s="10" t="str">
        <f aca="false">INDEX(Parâmetros!$D$39:$D$43,MATCH(P1904,Parâmetros!$A$39:$A$43,0))</f>
        <v>Reciclar: requalificar, reengajar ou encerrar</v>
      </c>
    </row>
    <row r="1905" customFormat="false" ht="15" hidden="false" customHeight="false" outlineLevel="0" collapsed="false">
      <c r="A1905" s="10" t="s">
        <v>2152</v>
      </c>
      <c r="B1905" s="10" t="s">
        <v>66</v>
      </c>
      <c r="C1905" s="10" t="s">
        <v>65</v>
      </c>
      <c r="D1905" s="10" t="s">
        <v>160</v>
      </c>
      <c r="E1905" s="10" t="s">
        <v>52</v>
      </c>
      <c r="F1905" s="10"/>
      <c r="G1905" s="10" t="s">
        <v>162</v>
      </c>
      <c r="H1905" s="30" t="n">
        <v>42831</v>
      </c>
      <c r="I1905" s="8" t="n">
        <f aca="false">INDEX(Parâmetros!$C$13:$C$19,MATCH(E1905,Parâmetros!$A$13:$A$19,0))</f>
        <v>55</v>
      </c>
      <c r="J1905" s="26" t="n">
        <f aca="false">IF(H1905="","",Parâmetros!$B$5-H1905)</f>
        <v>269</v>
      </c>
      <c r="K1905" s="10" t="n">
        <f aca="false">INDEX(Parâmetros!$D$13:$D$19,MATCH(E1905,Parâmetros!$A$13:$A$19,0))</f>
        <v>0</v>
      </c>
      <c r="L1905" s="10" t="n">
        <f aca="false">IF(G1905="Prospecting",Parâmetros!$B$9,IF(J1905&gt;Parâmetros!$B$6,0,INDEX(Parâmetros!$C$24:$C$26,MATCH(J1905,Parâmetros!$A$24:$A$26,1))))</f>
        <v>0</v>
      </c>
      <c r="M1905" s="31" t="n">
        <f aca="false">IF(G1905="Prospecting",1,INDEX(Parâmetros!$C$32:$C$35,MATCH(J1905,Parâmetros!$A$32:$A$35,1)))</f>
        <v>0.4</v>
      </c>
      <c r="N1905" s="2" t="n">
        <f aca="false">ROUND((K1905+L1905)*M1905,0)</f>
        <v>0</v>
      </c>
      <c r="O1905" s="10" t="str">
        <f aca="false">IF(AND(G1905="Engaging",J1905&gt;Parâmetros!$B$6),"Sim","Não")</f>
        <v>Sim</v>
      </c>
      <c r="P1905" s="32" t="str">
        <f aca="false">IF(O1905="Sim","R",IF(N1905&gt;=Parâmetros!$B$39,"A",IF(N1905&gt;=Parâmetros!$B$40,"B",IF(N1905&gt;=Parâmetros!$B$41,"C","D"))))</f>
        <v>R</v>
      </c>
      <c r="Q1905" s="10" t="str">
        <f aca="false">IF(F1905="","Completar cadastro","")</f>
        <v>Completar cadastro</v>
      </c>
      <c r="R1905" s="10" t="str">
        <f aca="false">INDEX(Parâmetros!$D$39:$D$43,MATCH(P1905,Parâmetros!$A$39:$A$43,0))</f>
        <v>Reciclar: requalificar, reengajar ou encerrar</v>
      </c>
    </row>
    <row r="1906" customFormat="false" ht="15" hidden="false" customHeight="false" outlineLevel="0" collapsed="false">
      <c r="A1906" s="10" t="s">
        <v>2153</v>
      </c>
      <c r="B1906" s="10" t="s">
        <v>62</v>
      </c>
      <c r="C1906" s="10" t="s">
        <v>58</v>
      </c>
      <c r="D1906" s="10" t="s">
        <v>165</v>
      </c>
      <c r="E1906" s="10" t="s">
        <v>52</v>
      </c>
      <c r="F1906" s="10"/>
      <c r="G1906" s="10" t="s">
        <v>162</v>
      </c>
      <c r="H1906" s="30" t="n">
        <v>42834</v>
      </c>
      <c r="I1906" s="8" t="n">
        <f aca="false">INDEX(Parâmetros!$C$13:$C$19,MATCH(E1906,Parâmetros!$A$13:$A$19,0))</f>
        <v>55</v>
      </c>
      <c r="J1906" s="26" t="n">
        <f aca="false">IF(H1906="","",Parâmetros!$B$5-H1906)</f>
        <v>266</v>
      </c>
      <c r="K1906" s="10" t="n">
        <f aca="false">INDEX(Parâmetros!$D$13:$D$19,MATCH(E1906,Parâmetros!$A$13:$A$19,0))</f>
        <v>0</v>
      </c>
      <c r="L1906" s="10" t="n">
        <f aca="false">IF(G1906="Prospecting",Parâmetros!$B$9,IF(J1906&gt;Parâmetros!$B$6,0,INDEX(Parâmetros!$C$24:$C$26,MATCH(J1906,Parâmetros!$A$24:$A$26,1))))</f>
        <v>0</v>
      </c>
      <c r="M1906" s="31" t="n">
        <f aca="false">IF(G1906="Prospecting",1,INDEX(Parâmetros!$C$32:$C$35,MATCH(J1906,Parâmetros!$A$32:$A$35,1)))</f>
        <v>0.4</v>
      </c>
      <c r="N1906" s="2" t="n">
        <f aca="false">ROUND((K1906+L1906)*M1906,0)</f>
        <v>0</v>
      </c>
      <c r="O1906" s="10" t="str">
        <f aca="false">IF(AND(G1906="Engaging",J1906&gt;Parâmetros!$B$6),"Sim","Não")</f>
        <v>Sim</v>
      </c>
      <c r="P1906" s="32" t="str">
        <f aca="false">IF(O1906="Sim","R",IF(N1906&gt;=Parâmetros!$B$39,"A",IF(N1906&gt;=Parâmetros!$B$40,"B",IF(N1906&gt;=Parâmetros!$B$41,"C","D"))))</f>
        <v>R</v>
      </c>
      <c r="Q1906" s="10" t="str">
        <f aca="false">IF(F1906="","Completar cadastro","")</f>
        <v>Completar cadastro</v>
      </c>
      <c r="R1906" s="10" t="str">
        <f aca="false">INDEX(Parâmetros!$D$39:$D$43,MATCH(P1906,Parâmetros!$A$39:$A$43,0))</f>
        <v>Reciclar: requalificar, reengajar ou encerrar</v>
      </c>
    </row>
    <row r="1907" customFormat="false" ht="15" hidden="false" customHeight="false" outlineLevel="0" collapsed="false">
      <c r="A1907" s="10" t="s">
        <v>2154</v>
      </c>
      <c r="B1907" s="10" t="s">
        <v>62</v>
      </c>
      <c r="C1907" s="10" t="s">
        <v>58</v>
      </c>
      <c r="D1907" s="10" t="s">
        <v>165</v>
      </c>
      <c r="E1907" s="10" t="s">
        <v>52</v>
      </c>
      <c r="F1907" s="10"/>
      <c r="G1907" s="10" t="s">
        <v>162</v>
      </c>
      <c r="H1907" s="30" t="n">
        <v>42836</v>
      </c>
      <c r="I1907" s="8" t="n">
        <f aca="false">INDEX(Parâmetros!$C$13:$C$19,MATCH(E1907,Parâmetros!$A$13:$A$19,0))</f>
        <v>55</v>
      </c>
      <c r="J1907" s="26" t="n">
        <f aca="false">IF(H1907="","",Parâmetros!$B$5-H1907)</f>
        <v>264</v>
      </c>
      <c r="K1907" s="10" t="n">
        <f aca="false">INDEX(Parâmetros!$D$13:$D$19,MATCH(E1907,Parâmetros!$A$13:$A$19,0))</f>
        <v>0</v>
      </c>
      <c r="L1907" s="10" t="n">
        <f aca="false">IF(G1907="Prospecting",Parâmetros!$B$9,IF(J1907&gt;Parâmetros!$B$6,0,INDEX(Parâmetros!$C$24:$C$26,MATCH(J1907,Parâmetros!$A$24:$A$26,1))))</f>
        <v>0</v>
      </c>
      <c r="M1907" s="31" t="n">
        <f aca="false">IF(G1907="Prospecting",1,INDEX(Parâmetros!$C$32:$C$35,MATCH(J1907,Parâmetros!$A$32:$A$35,1)))</f>
        <v>0.4</v>
      </c>
      <c r="N1907" s="2" t="n">
        <f aca="false">ROUND((K1907+L1907)*M1907,0)</f>
        <v>0</v>
      </c>
      <c r="O1907" s="10" t="str">
        <f aca="false">IF(AND(G1907="Engaging",J1907&gt;Parâmetros!$B$6),"Sim","Não")</f>
        <v>Sim</v>
      </c>
      <c r="P1907" s="32" t="str">
        <f aca="false">IF(O1907="Sim","R",IF(N1907&gt;=Parâmetros!$B$39,"A",IF(N1907&gt;=Parâmetros!$B$40,"B",IF(N1907&gt;=Parâmetros!$B$41,"C","D"))))</f>
        <v>R</v>
      </c>
      <c r="Q1907" s="10" t="str">
        <f aca="false">IF(F1907="","Completar cadastro","")</f>
        <v>Completar cadastro</v>
      </c>
      <c r="R1907" s="10" t="str">
        <f aca="false">INDEX(Parâmetros!$D$39:$D$43,MATCH(P1907,Parâmetros!$A$39:$A$43,0))</f>
        <v>Reciclar: requalificar, reengajar ou encerrar</v>
      </c>
    </row>
    <row r="1908" customFormat="false" ht="15" hidden="false" customHeight="false" outlineLevel="0" collapsed="false">
      <c r="A1908" s="10" t="s">
        <v>2155</v>
      </c>
      <c r="B1908" s="10" t="s">
        <v>69</v>
      </c>
      <c r="C1908" s="10" t="s">
        <v>65</v>
      </c>
      <c r="D1908" s="10" t="s">
        <v>160</v>
      </c>
      <c r="E1908" s="10" t="s">
        <v>52</v>
      </c>
      <c r="F1908" s="10" t="s">
        <v>512</v>
      </c>
      <c r="G1908" s="10" t="s">
        <v>162</v>
      </c>
      <c r="H1908" s="30" t="n">
        <v>42837</v>
      </c>
      <c r="I1908" s="8" t="n">
        <f aca="false">INDEX(Parâmetros!$C$13:$C$19,MATCH(E1908,Parâmetros!$A$13:$A$19,0))</f>
        <v>55</v>
      </c>
      <c r="J1908" s="26" t="n">
        <f aca="false">IF(H1908="","",Parâmetros!$B$5-H1908)</f>
        <v>263</v>
      </c>
      <c r="K1908" s="10" t="n">
        <f aca="false">INDEX(Parâmetros!$D$13:$D$19,MATCH(E1908,Parâmetros!$A$13:$A$19,0))</f>
        <v>0</v>
      </c>
      <c r="L1908" s="10" t="n">
        <f aca="false">IF(G1908="Prospecting",Parâmetros!$B$9,IF(J1908&gt;Parâmetros!$B$6,0,INDEX(Parâmetros!$C$24:$C$26,MATCH(J1908,Parâmetros!$A$24:$A$26,1))))</f>
        <v>0</v>
      </c>
      <c r="M1908" s="31" t="n">
        <f aca="false">IF(G1908="Prospecting",1,INDEX(Parâmetros!$C$32:$C$35,MATCH(J1908,Parâmetros!$A$32:$A$35,1)))</f>
        <v>0.4</v>
      </c>
      <c r="N1908" s="2" t="n">
        <f aca="false">ROUND((K1908+L1908)*M1908,0)</f>
        <v>0</v>
      </c>
      <c r="O1908" s="10" t="str">
        <f aca="false">IF(AND(G1908="Engaging",J1908&gt;Parâmetros!$B$6),"Sim","Não")</f>
        <v>Sim</v>
      </c>
      <c r="P1908" s="32" t="str">
        <f aca="false">IF(O1908="Sim","R",IF(N1908&gt;=Parâmetros!$B$39,"A",IF(N1908&gt;=Parâmetros!$B$40,"B",IF(N1908&gt;=Parâmetros!$B$41,"C","D"))))</f>
        <v>R</v>
      </c>
      <c r="Q1908" s="10" t="str">
        <f aca="false">IF(F1908="","Completar cadastro","")</f>
        <v/>
      </c>
      <c r="R1908" s="10" t="str">
        <f aca="false">INDEX(Parâmetros!$D$39:$D$43,MATCH(P1908,Parâmetros!$A$39:$A$43,0))</f>
        <v>Reciclar: requalificar, reengajar ou encerrar</v>
      </c>
    </row>
    <row r="1909" customFormat="false" ht="15" hidden="false" customHeight="false" outlineLevel="0" collapsed="false">
      <c r="A1909" s="10" t="s">
        <v>2156</v>
      </c>
      <c r="B1909" s="10" t="s">
        <v>70</v>
      </c>
      <c r="C1909" s="10" t="s">
        <v>65</v>
      </c>
      <c r="D1909" s="10" t="s">
        <v>160</v>
      </c>
      <c r="E1909" s="10" t="s">
        <v>52</v>
      </c>
      <c r="F1909" s="10"/>
      <c r="G1909" s="10" t="s">
        <v>162</v>
      </c>
      <c r="H1909" s="30" t="n">
        <v>42837</v>
      </c>
      <c r="I1909" s="8" t="n">
        <f aca="false">INDEX(Parâmetros!$C$13:$C$19,MATCH(E1909,Parâmetros!$A$13:$A$19,0))</f>
        <v>55</v>
      </c>
      <c r="J1909" s="26" t="n">
        <f aca="false">IF(H1909="","",Parâmetros!$B$5-H1909)</f>
        <v>263</v>
      </c>
      <c r="K1909" s="10" t="n">
        <f aca="false">INDEX(Parâmetros!$D$13:$D$19,MATCH(E1909,Parâmetros!$A$13:$A$19,0))</f>
        <v>0</v>
      </c>
      <c r="L1909" s="10" t="n">
        <f aca="false">IF(G1909="Prospecting",Parâmetros!$B$9,IF(J1909&gt;Parâmetros!$B$6,0,INDEX(Parâmetros!$C$24:$C$26,MATCH(J1909,Parâmetros!$A$24:$A$26,1))))</f>
        <v>0</v>
      </c>
      <c r="M1909" s="31" t="n">
        <f aca="false">IF(G1909="Prospecting",1,INDEX(Parâmetros!$C$32:$C$35,MATCH(J1909,Parâmetros!$A$32:$A$35,1)))</f>
        <v>0.4</v>
      </c>
      <c r="N1909" s="2" t="n">
        <f aca="false">ROUND((K1909+L1909)*M1909,0)</f>
        <v>0</v>
      </c>
      <c r="O1909" s="10" t="str">
        <f aca="false">IF(AND(G1909="Engaging",J1909&gt;Parâmetros!$B$6),"Sim","Não")</f>
        <v>Sim</v>
      </c>
      <c r="P1909" s="32" t="str">
        <f aca="false">IF(O1909="Sim","R",IF(N1909&gt;=Parâmetros!$B$39,"A",IF(N1909&gt;=Parâmetros!$B$40,"B",IF(N1909&gt;=Parâmetros!$B$41,"C","D"))))</f>
        <v>R</v>
      </c>
      <c r="Q1909" s="10" t="str">
        <f aca="false">IF(F1909="","Completar cadastro","")</f>
        <v>Completar cadastro</v>
      </c>
      <c r="R1909" s="10" t="str">
        <f aca="false">INDEX(Parâmetros!$D$39:$D$43,MATCH(P1909,Parâmetros!$A$39:$A$43,0))</f>
        <v>Reciclar: requalificar, reengajar ou encerrar</v>
      </c>
    </row>
    <row r="1910" customFormat="false" ht="15" hidden="false" customHeight="false" outlineLevel="0" collapsed="false">
      <c r="A1910" s="10" t="s">
        <v>2157</v>
      </c>
      <c r="B1910" s="10" t="s">
        <v>68</v>
      </c>
      <c r="C1910" s="10" t="s">
        <v>65</v>
      </c>
      <c r="D1910" s="10" t="s">
        <v>160</v>
      </c>
      <c r="E1910" s="10" t="s">
        <v>52</v>
      </c>
      <c r="F1910" s="10"/>
      <c r="G1910" s="10" t="s">
        <v>162</v>
      </c>
      <c r="H1910" s="30" t="n">
        <v>42839</v>
      </c>
      <c r="I1910" s="8" t="n">
        <f aca="false">INDEX(Parâmetros!$C$13:$C$19,MATCH(E1910,Parâmetros!$A$13:$A$19,0))</f>
        <v>55</v>
      </c>
      <c r="J1910" s="26" t="n">
        <f aca="false">IF(H1910="","",Parâmetros!$B$5-H1910)</f>
        <v>261</v>
      </c>
      <c r="K1910" s="10" t="n">
        <f aca="false">INDEX(Parâmetros!$D$13:$D$19,MATCH(E1910,Parâmetros!$A$13:$A$19,0))</f>
        <v>0</v>
      </c>
      <c r="L1910" s="10" t="n">
        <f aca="false">IF(G1910="Prospecting",Parâmetros!$B$9,IF(J1910&gt;Parâmetros!$B$6,0,INDEX(Parâmetros!$C$24:$C$26,MATCH(J1910,Parâmetros!$A$24:$A$26,1))))</f>
        <v>0</v>
      </c>
      <c r="M1910" s="31" t="n">
        <f aca="false">IF(G1910="Prospecting",1,INDEX(Parâmetros!$C$32:$C$35,MATCH(J1910,Parâmetros!$A$32:$A$35,1)))</f>
        <v>0.4</v>
      </c>
      <c r="N1910" s="2" t="n">
        <f aca="false">ROUND((K1910+L1910)*M1910,0)</f>
        <v>0</v>
      </c>
      <c r="O1910" s="10" t="str">
        <f aca="false">IF(AND(G1910="Engaging",J1910&gt;Parâmetros!$B$6),"Sim","Não")</f>
        <v>Sim</v>
      </c>
      <c r="P1910" s="32" t="str">
        <f aca="false">IF(O1910="Sim","R",IF(N1910&gt;=Parâmetros!$B$39,"A",IF(N1910&gt;=Parâmetros!$B$40,"B",IF(N1910&gt;=Parâmetros!$B$41,"C","D"))))</f>
        <v>R</v>
      </c>
      <c r="Q1910" s="10" t="str">
        <f aca="false">IF(F1910="","Completar cadastro","")</f>
        <v>Completar cadastro</v>
      </c>
      <c r="R1910" s="10" t="str">
        <f aca="false">INDEX(Parâmetros!$D$39:$D$43,MATCH(P1910,Parâmetros!$A$39:$A$43,0))</f>
        <v>Reciclar: requalificar, reengajar ou encerrar</v>
      </c>
    </row>
    <row r="1911" customFormat="false" ht="15" hidden="false" customHeight="false" outlineLevel="0" collapsed="false">
      <c r="A1911" s="10" t="s">
        <v>2158</v>
      </c>
      <c r="B1911" s="10" t="s">
        <v>62</v>
      </c>
      <c r="C1911" s="10" t="s">
        <v>58</v>
      </c>
      <c r="D1911" s="10" t="s">
        <v>165</v>
      </c>
      <c r="E1911" s="10" t="s">
        <v>52</v>
      </c>
      <c r="F1911" s="10" t="s">
        <v>522</v>
      </c>
      <c r="G1911" s="10" t="s">
        <v>162</v>
      </c>
      <c r="H1911" s="30" t="n">
        <v>42840</v>
      </c>
      <c r="I1911" s="8" t="n">
        <f aca="false">INDEX(Parâmetros!$C$13:$C$19,MATCH(E1911,Parâmetros!$A$13:$A$19,0))</f>
        <v>55</v>
      </c>
      <c r="J1911" s="26" t="n">
        <f aca="false">IF(H1911="","",Parâmetros!$B$5-H1911)</f>
        <v>260</v>
      </c>
      <c r="K1911" s="10" t="n">
        <f aca="false">INDEX(Parâmetros!$D$13:$D$19,MATCH(E1911,Parâmetros!$A$13:$A$19,0))</f>
        <v>0</v>
      </c>
      <c r="L1911" s="10" t="n">
        <f aca="false">IF(G1911="Prospecting",Parâmetros!$B$9,IF(J1911&gt;Parâmetros!$B$6,0,INDEX(Parâmetros!$C$24:$C$26,MATCH(J1911,Parâmetros!$A$24:$A$26,1))))</f>
        <v>0</v>
      </c>
      <c r="M1911" s="31" t="n">
        <f aca="false">IF(G1911="Prospecting",1,INDEX(Parâmetros!$C$32:$C$35,MATCH(J1911,Parâmetros!$A$32:$A$35,1)))</f>
        <v>0.4</v>
      </c>
      <c r="N1911" s="2" t="n">
        <f aca="false">ROUND((K1911+L1911)*M1911,0)</f>
        <v>0</v>
      </c>
      <c r="O1911" s="10" t="str">
        <f aca="false">IF(AND(G1911="Engaging",J1911&gt;Parâmetros!$B$6),"Sim","Não")</f>
        <v>Sim</v>
      </c>
      <c r="P1911" s="32" t="str">
        <f aca="false">IF(O1911="Sim","R",IF(N1911&gt;=Parâmetros!$B$39,"A",IF(N1911&gt;=Parâmetros!$B$40,"B",IF(N1911&gt;=Parâmetros!$B$41,"C","D"))))</f>
        <v>R</v>
      </c>
      <c r="Q1911" s="10" t="str">
        <f aca="false">IF(F1911="","Completar cadastro","")</f>
        <v/>
      </c>
      <c r="R1911" s="10" t="str">
        <f aca="false">INDEX(Parâmetros!$D$39:$D$43,MATCH(P1911,Parâmetros!$A$39:$A$43,0))</f>
        <v>Reciclar: requalificar, reengajar ou encerrar</v>
      </c>
    </row>
    <row r="1912" customFormat="false" ht="15" hidden="false" customHeight="false" outlineLevel="0" collapsed="false">
      <c r="A1912" s="10" t="s">
        <v>2159</v>
      </c>
      <c r="B1912" s="10" t="s">
        <v>66</v>
      </c>
      <c r="C1912" s="10" t="s">
        <v>65</v>
      </c>
      <c r="D1912" s="10" t="s">
        <v>160</v>
      </c>
      <c r="E1912" s="10" t="s">
        <v>52</v>
      </c>
      <c r="F1912" s="10"/>
      <c r="G1912" s="10" t="s">
        <v>162</v>
      </c>
      <c r="H1912" s="30" t="n">
        <v>42842</v>
      </c>
      <c r="I1912" s="8" t="n">
        <f aca="false">INDEX(Parâmetros!$C$13:$C$19,MATCH(E1912,Parâmetros!$A$13:$A$19,0))</f>
        <v>55</v>
      </c>
      <c r="J1912" s="26" t="n">
        <f aca="false">IF(H1912="","",Parâmetros!$B$5-H1912)</f>
        <v>258</v>
      </c>
      <c r="K1912" s="10" t="n">
        <f aca="false">INDEX(Parâmetros!$D$13:$D$19,MATCH(E1912,Parâmetros!$A$13:$A$19,0))</f>
        <v>0</v>
      </c>
      <c r="L1912" s="10" t="n">
        <f aca="false">IF(G1912="Prospecting",Parâmetros!$B$9,IF(J1912&gt;Parâmetros!$B$6,0,INDEX(Parâmetros!$C$24:$C$26,MATCH(J1912,Parâmetros!$A$24:$A$26,1))))</f>
        <v>0</v>
      </c>
      <c r="M1912" s="31" t="n">
        <f aca="false">IF(G1912="Prospecting",1,INDEX(Parâmetros!$C$32:$C$35,MATCH(J1912,Parâmetros!$A$32:$A$35,1)))</f>
        <v>0.4</v>
      </c>
      <c r="N1912" s="2" t="n">
        <f aca="false">ROUND((K1912+L1912)*M1912,0)</f>
        <v>0</v>
      </c>
      <c r="O1912" s="10" t="str">
        <f aca="false">IF(AND(G1912="Engaging",J1912&gt;Parâmetros!$B$6),"Sim","Não")</f>
        <v>Sim</v>
      </c>
      <c r="P1912" s="32" t="str">
        <f aca="false">IF(O1912="Sim","R",IF(N1912&gt;=Parâmetros!$B$39,"A",IF(N1912&gt;=Parâmetros!$B$40,"B",IF(N1912&gt;=Parâmetros!$B$41,"C","D"))))</f>
        <v>R</v>
      </c>
      <c r="Q1912" s="10" t="str">
        <f aca="false">IF(F1912="","Completar cadastro","")</f>
        <v>Completar cadastro</v>
      </c>
      <c r="R1912" s="10" t="str">
        <f aca="false">INDEX(Parâmetros!$D$39:$D$43,MATCH(P1912,Parâmetros!$A$39:$A$43,0))</f>
        <v>Reciclar: requalificar, reengajar ou encerrar</v>
      </c>
    </row>
    <row r="1913" customFormat="false" ht="15" hidden="false" customHeight="false" outlineLevel="0" collapsed="false">
      <c r="A1913" s="10" t="s">
        <v>2160</v>
      </c>
      <c r="B1913" s="10" t="s">
        <v>70</v>
      </c>
      <c r="C1913" s="10" t="s">
        <v>65</v>
      </c>
      <c r="D1913" s="10" t="s">
        <v>160</v>
      </c>
      <c r="E1913" s="10" t="s">
        <v>52</v>
      </c>
      <c r="F1913" s="10"/>
      <c r="G1913" s="10" t="s">
        <v>162</v>
      </c>
      <c r="H1913" s="30" t="n">
        <v>42843</v>
      </c>
      <c r="I1913" s="8" t="n">
        <f aca="false">INDEX(Parâmetros!$C$13:$C$19,MATCH(E1913,Parâmetros!$A$13:$A$19,0))</f>
        <v>55</v>
      </c>
      <c r="J1913" s="26" t="n">
        <f aca="false">IF(H1913="","",Parâmetros!$B$5-H1913)</f>
        <v>257</v>
      </c>
      <c r="K1913" s="10" t="n">
        <f aca="false">INDEX(Parâmetros!$D$13:$D$19,MATCH(E1913,Parâmetros!$A$13:$A$19,0))</f>
        <v>0</v>
      </c>
      <c r="L1913" s="10" t="n">
        <f aca="false">IF(G1913="Prospecting",Parâmetros!$B$9,IF(J1913&gt;Parâmetros!$B$6,0,INDEX(Parâmetros!$C$24:$C$26,MATCH(J1913,Parâmetros!$A$24:$A$26,1))))</f>
        <v>0</v>
      </c>
      <c r="M1913" s="31" t="n">
        <f aca="false">IF(G1913="Prospecting",1,INDEX(Parâmetros!$C$32:$C$35,MATCH(J1913,Parâmetros!$A$32:$A$35,1)))</f>
        <v>0.4</v>
      </c>
      <c r="N1913" s="2" t="n">
        <f aca="false">ROUND((K1913+L1913)*M1913,0)</f>
        <v>0</v>
      </c>
      <c r="O1913" s="10" t="str">
        <f aca="false">IF(AND(G1913="Engaging",J1913&gt;Parâmetros!$B$6),"Sim","Não")</f>
        <v>Sim</v>
      </c>
      <c r="P1913" s="32" t="str">
        <f aca="false">IF(O1913="Sim","R",IF(N1913&gt;=Parâmetros!$B$39,"A",IF(N1913&gt;=Parâmetros!$B$40,"B",IF(N1913&gt;=Parâmetros!$B$41,"C","D"))))</f>
        <v>R</v>
      </c>
      <c r="Q1913" s="10" t="str">
        <f aca="false">IF(F1913="","Completar cadastro","")</f>
        <v>Completar cadastro</v>
      </c>
      <c r="R1913" s="10" t="str">
        <f aca="false">INDEX(Parâmetros!$D$39:$D$43,MATCH(P1913,Parâmetros!$A$39:$A$43,0))</f>
        <v>Reciclar: requalificar, reengajar ou encerrar</v>
      </c>
    </row>
    <row r="1914" customFormat="false" ht="15" hidden="false" customHeight="false" outlineLevel="0" collapsed="false">
      <c r="A1914" s="10" t="s">
        <v>2161</v>
      </c>
      <c r="B1914" s="10" t="s">
        <v>62</v>
      </c>
      <c r="C1914" s="10" t="s">
        <v>58</v>
      </c>
      <c r="D1914" s="10" t="s">
        <v>165</v>
      </c>
      <c r="E1914" s="10" t="s">
        <v>52</v>
      </c>
      <c r="F1914" s="10"/>
      <c r="G1914" s="10" t="s">
        <v>162</v>
      </c>
      <c r="H1914" s="30" t="n">
        <v>42843</v>
      </c>
      <c r="I1914" s="8" t="n">
        <f aca="false">INDEX(Parâmetros!$C$13:$C$19,MATCH(E1914,Parâmetros!$A$13:$A$19,0))</f>
        <v>55</v>
      </c>
      <c r="J1914" s="26" t="n">
        <f aca="false">IF(H1914="","",Parâmetros!$B$5-H1914)</f>
        <v>257</v>
      </c>
      <c r="K1914" s="10" t="n">
        <f aca="false">INDEX(Parâmetros!$D$13:$D$19,MATCH(E1914,Parâmetros!$A$13:$A$19,0))</f>
        <v>0</v>
      </c>
      <c r="L1914" s="10" t="n">
        <f aca="false">IF(G1914="Prospecting",Parâmetros!$B$9,IF(J1914&gt;Parâmetros!$B$6,0,INDEX(Parâmetros!$C$24:$C$26,MATCH(J1914,Parâmetros!$A$24:$A$26,1))))</f>
        <v>0</v>
      </c>
      <c r="M1914" s="31" t="n">
        <f aca="false">IF(G1914="Prospecting",1,INDEX(Parâmetros!$C$32:$C$35,MATCH(J1914,Parâmetros!$A$32:$A$35,1)))</f>
        <v>0.4</v>
      </c>
      <c r="N1914" s="2" t="n">
        <f aca="false">ROUND((K1914+L1914)*M1914,0)</f>
        <v>0</v>
      </c>
      <c r="O1914" s="10" t="str">
        <f aca="false">IF(AND(G1914="Engaging",J1914&gt;Parâmetros!$B$6),"Sim","Não")</f>
        <v>Sim</v>
      </c>
      <c r="P1914" s="32" t="str">
        <f aca="false">IF(O1914="Sim","R",IF(N1914&gt;=Parâmetros!$B$39,"A",IF(N1914&gt;=Parâmetros!$B$40,"B",IF(N1914&gt;=Parâmetros!$B$41,"C","D"))))</f>
        <v>R</v>
      </c>
      <c r="Q1914" s="10" t="str">
        <f aca="false">IF(F1914="","Completar cadastro","")</f>
        <v>Completar cadastro</v>
      </c>
      <c r="R1914" s="10" t="str">
        <f aca="false">INDEX(Parâmetros!$D$39:$D$43,MATCH(P1914,Parâmetros!$A$39:$A$43,0))</f>
        <v>Reciclar: requalificar, reengajar ou encerrar</v>
      </c>
    </row>
    <row r="1915" customFormat="false" ht="15" hidden="false" customHeight="false" outlineLevel="0" collapsed="false">
      <c r="A1915" s="10" t="s">
        <v>2162</v>
      </c>
      <c r="B1915" s="10" t="s">
        <v>62</v>
      </c>
      <c r="C1915" s="10" t="s">
        <v>58</v>
      </c>
      <c r="D1915" s="10" t="s">
        <v>165</v>
      </c>
      <c r="E1915" s="10" t="s">
        <v>52</v>
      </c>
      <c r="F1915" s="10"/>
      <c r="G1915" s="10" t="s">
        <v>162</v>
      </c>
      <c r="H1915" s="30" t="n">
        <v>42843</v>
      </c>
      <c r="I1915" s="8" t="n">
        <f aca="false">INDEX(Parâmetros!$C$13:$C$19,MATCH(E1915,Parâmetros!$A$13:$A$19,0))</f>
        <v>55</v>
      </c>
      <c r="J1915" s="26" t="n">
        <f aca="false">IF(H1915="","",Parâmetros!$B$5-H1915)</f>
        <v>257</v>
      </c>
      <c r="K1915" s="10" t="n">
        <f aca="false">INDEX(Parâmetros!$D$13:$D$19,MATCH(E1915,Parâmetros!$A$13:$A$19,0))</f>
        <v>0</v>
      </c>
      <c r="L1915" s="10" t="n">
        <f aca="false">IF(G1915="Prospecting",Parâmetros!$B$9,IF(J1915&gt;Parâmetros!$B$6,0,INDEX(Parâmetros!$C$24:$C$26,MATCH(J1915,Parâmetros!$A$24:$A$26,1))))</f>
        <v>0</v>
      </c>
      <c r="M1915" s="31" t="n">
        <f aca="false">IF(G1915="Prospecting",1,INDEX(Parâmetros!$C$32:$C$35,MATCH(J1915,Parâmetros!$A$32:$A$35,1)))</f>
        <v>0.4</v>
      </c>
      <c r="N1915" s="2" t="n">
        <f aca="false">ROUND((K1915+L1915)*M1915,0)</f>
        <v>0</v>
      </c>
      <c r="O1915" s="10" t="str">
        <f aca="false">IF(AND(G1915="Engaging",J1915&gt;Parâmetros!$B$6),"Sim","Não")</f>
        <v>Sim</v>
      </c>
      <c r="P1915" s="32" t="str">
        <f aca="false">IF(O1915="Sim","R",IF(N1915&gt;=Parâmetros!$B$39,"A",IF(N1915&gt;=Parâmetros!$B$40,"B",IF(N1915&gt;=Parâmetros!$B$41,"C","D"))))</f>
        <v>R</v>
      </c>
      <c r="Q1915" s="10" t="str">
        <f aca="false">IF(F1915="","Completar cadastro","")</f>
        <v>Completar cadastro</v>
      </c>
      <c r="R1915" s="10" t="str">
        <f aca="false">INDEX(Parâmetros!$D$39:$D$43,MATCH(P1915,Parâmetros!$A$39:$A$43,0))</f>
        <v>Reciclar: requalificar, reengajar ou encerrar</v>
      </c>
    </row>
    <row r="1916" customFormat="false" ht="15" hidden="false" customHeight="false" outlineLevel="0" collapsed="false">
      <c r="A1916" s="10" t="s">
        <v>2163</v>
      </c>
      <c r="B1916" s="10" t="s">
        <v>94</v>
      </c>
      <c r="C1916" s="10" t="s">
        <v>92</v>
      </c>
      <c r="D1916" s="10" t="s">
        <v>160</v>
      </c>
      <c r="E1916" s="10" t="s">
        <v>52</v>
      </c>
      <c r="F1916" s="10"/>
      <c r="G1916" s="10" t="s">
        <v>162</v>
      </c>
      <c r="H1916" s="30" t="n">
        <v>42845</v>
      </c>
      <c r="I1916" s="8" t="n">
        <f aca="false">INDEX(Parâmetros!$C$13:$C$19,MATCH(E1916,Parâmetros!$A$13:$A$19,0))</f>
        <v>55</v>
      </c>
      <c r="J1916" s="26" t="n">
        <f aca="false">IF(H1916="","",Parâmetros!$B$5-H1916)</f>
        <v>255</v>
      </c>
      <c r="K1916" s="10" t="n">
        <f aca="false">INDEX(Parâmetros!$D$13:$D$19,MATCH(E1916,Parâmetros!$A$13:$A$19,0))</f>
        <v>0</v>
      </c>
      <c r="L1916" s="10" t="n">
        <f aca="false">IF(G1916="Prospecting",Parâmetros!$B$9,IF(J1916&gt;Parâmetros!$B$6,0,INDEX(Parâmetros!$C$24:$C$26,MATCH(J1916,Parâmetros!$A$24:$A$26,1))))</f>
        <v>0</v>
      </c>
      <c r="M1916" s="31" t="n">
        <f aca="false">IF(G1916="Prospecting",1,INDEX(Parâmetros!$C$32:$C$35,MATCH(J1916,Parâmetros!$A$32:$A$35,1)))</f>
        <v>0.4</v>
      </c>
      <c r="N1916" s="2" t="n">
        <f aca="false">ROUND((K1916+L1916)*M1916,0)</f>
        <v>0</v>
      </c>
      <c r="O1916" s="10" t="str">
        <f aca="false">IF(AND(G1916="Engaging",J1916&gt;Parâmetros!$B$6),"Sim","Não")</f>
        <v>Sim</v>
      </c>
      <c r="P1916" s="32" t="str">
        <f aca="false">IF(O1916="Sim","R",IF(N1916&gt;=Parâmetros!$B$39,"A",IF(N1916&gt;=Parâmetros!$B$40,"B",IF(N1916&gt;=Parâmetros!$B$41,"C","D"))))</f>
        <v>R</v>
      </c>
      <c r="Q1916" s="10" t="str">
        <f aca="false">IF(F1916="","Completar cadastro","")</f>
        <v>Completar cadastro</v>
      </c>
      <c r="R1916" s="10" t="str">
        <f aca="false">INDEX(Parâmetros!$D$39:$D$43,MATCH(P1916,Parâmetros!$A$39:$A$43,0))</f>
        <v>Reciclar: requalificar, reengajar ou encerrar</v>
      </c>
    </row>
    <row r="1917" customFormat="false" ht="15" hidden="false" customHeight="false" outlineLevel="0" collapsed="false">
      <c r="A1917" s="10" t="s">
        <v>2164</v>
      </c>
      <c r="B1917" s="10" t="s">
        <v>96</v>
      </c>
      <c r="C1917" s="10" t="s">
        <v>92</v>
      </c>
      <c r="D1917" s="10" t="s">
        <v>160</v>
      </c>
      <c r="E1917" s="10" t="s">
        <v>52</v>
      </c>
      <c r="F1917" s="10"/>
      <c r="G1917" s="10" t="s">
        <v>162</v>
      </c>
      <c r="H1917" s="30" t="n">
        <v>42847</v>
      </c>
      <c r="I1917" s="8" t="n">
        <f aca="false">INDEX(Parâmetros!$C$13:$C$19,MATCH(E1917,Parâmetros!$A$13:$A$19,0))</f>
        <v>55</v>
      </c>
      <c r="J1917" s="26" t="n">
        <f aca="false">IF(H1917="","",Parâmetros!$B$5-H1917)</f>
        <v>253</v>
      </c>
      <c r="K1917" s="10" t="n">
        <f aca="false">INDEX(Parâmetros!$D$13:$D$19,MATCH(E1917,Parâmetros!$A$13:$A$19,0))</f>
        <v>0</v>
      </c>
      <c r="L1917" s="10" t="n">
        <f aca="false">IF(G1917="Prospecting",Parâmetros!$B$9,IF(J1917&gt;Parâmetros!$B$6,0,INDEX(Parâmetros!$C$24:$C$26,MATCH(J1917,Parâmetros!$A$24:$A$26,1))))</f>
        <v>0</v>
      </c>
      <c r="M1917" s="31" t="n">
        <f aca="false">IF(G1917="Prospecting",1,INDEX(Parâmetros!$C$32:$C$35,MATCH(J1917,Parâmetros!$A$32:$A$35,1)))</f>
        <v>0.4</v>
      </c>
      <c r="N1917" s="2" t="n">
        <f aca="false">ROUND((K1917+L1917)*M1917,0)</f>
        <v>0</v>
      </c>
      <c r="O1917" s="10" t="str">
        <f aca="false">IF(AND(G1917="Engaging",J1917&gt;Parâmetros!$B$6),"Sim","Não")</f>
        <v>Sim</v>
      </c>
      <c r="P1917" s="32" t="str">
        <f aca="false">IF(O1917="Sim","R",IF(N1917&gt;=Parâmetros!$B$39,"A",IF(N1917&gt;=Parâmetros!$B$40,"B",IF(N1917&gt;=Parâmetros!$B$41,"C","D"))))</f>
        <v>R</v>
      </c>
      <c r="Q1917" s="10" t="str">
        <f aca="false">IF(F1917="","Completar cadastro","")</f>
        <v>Completar cadastro</v>
      </c>
      <c r="R1917" s="10" t="str">
        <f aca="false">INDEX(Parâmetros!$D$39:$D$43,MATCH(P1917,Parâmetros!$A$39:$A$43,0))</f>
        <v>Reciclar: requalificar, reengajar ou encerrar</v>
      </c>
    </row>
    <row r="1918" customFormat="false" ht="15" hidden="false" customHeight="false" outlineLevel="0" collapsed="false">
      <c r="A1918" s="10" t="s">
        <v>2165</v>
      </c>
      <c r="B1918" s="10" t="s">
        <v>62</v>
      </c>
      <c r="C1918" s="10" t="s">
        <v>58</v>
      </c>
      <c r="D1918" s="10" t="s">
        <v>165</v>
      </c>
      <c r="E1918" s="10" t="s">
        <v>52</v>
      </c>
      <c r="F1918" s="10"/>
      <c r="G1918" s="10" t="s">
        <v>162</v>
      </c>
      <c r="H1918" s="30" t="n">
        <v>42847</v>
      </c>
      <c r="I1918" s="8" t="n">
        <f aca="false">INDEX(Parâmetros!$C$13:$C$19,MATCH(E1918,Parâmetros!$A$13:$A$19,0))</f>
        <v>55</v>
      </c>
      <c r="J1918" s="26" t="n">
        <f aca="false">IF(H1918="","",Parâmetros!$B$5-H1918)</f>
        <v>253</v>
      </c>
      <c r="K1918" s="10" t="n">
        <f aca="false">INDEX(Parâmetros!$D$13:$D$19,MATCH(E1918,Parâmetros!$A$13:$A$19,0))</f>
        <v>0</v>
      </c>
      <c r="L1918" s="10" t="n">
        <f aca="false">IF(G1918="Prospecting",Parâmetros!$B$9,IF(J1918&gt;Parâmetros!$B$6,0,INDEX(Parâmetros!$C$24:$C$26,MATCH(J1918,Parâmetros!$A$24:$A$26,1))))</f>
        <v>0</v>
      </c>
      <c r="M1918" s="31" t="n">
        <f aca="false">IF(G1918="Prospecting",1,INDEX(Parâmetros!$C$32:$C$35,MATCH(J1918,Parâmetros!$A$32:$A$35,1)))</f>
        <v>0.4</v>
      </c>
      <c r="N1918" s="2" t="n">
        <f aca="false">ROUND((K1918+L1918)*M1918,0)</f>
        <v>0</v>
      </c>
      <c r="O1918" s="10" t="str">
        <f aca="false">IF(AND(G1918="Engaging",J1918&gt;Parâmetros!$B$6),"Sim","Não")</f>
        <v>Sim</v>
      </c>
      <c r="P1918" s="32" t="str">
        <f aca="false">IF(O1918="Sim","R",IF(N1918&gt;=Parâmetros!$B$39,"A",IF(N1918&gt;=Parâmetros!$B$40,"B",IF(N1918&gt;=Parâmetros!$B$41,"C","D"))))</f>
        <v>R</v>
      </c>
      <c r="Q1918" s="10" t="str">
        <f aca="false">IF(F1918="","Completar cadastro","")</f>
        <v>Completar cadastro</v>
      </c>
      <c r="R1918" s="10" t="str">
        <f aca="false">INDEX(Parâmetros!$D$39:$D$43,MATCH(P1918,Parâmetros!$A$39:$A$43,0))</f>
        <v>Reciclar: requalificar, reengajar ou encerrar</v>
      </c>
    </row>
    <row r="1919" customFormat="false" ht="15" hidden="false" customHeight="false" outlineLevel="0" collapsed="false">
      <c r="A1919" s="10" t="s">
        <v>2166</v>
      </c>
      <c r="B1919" s="10" t="s">
        <v>93</v>
      </c>
      <c r="C1919" s="10" t="s">
        <v>92</v>
      </c>
      <c r="D1919" s="10" t="s">
        <v>160</v>
      </c>
      <c r="E1919" s="10" t="s">
        <v>52</v>
      </c>
      <c r="F1919" s="10"/>
      <c r="G1919" s="10" t="s">
        <v>162</v>
      </c>
      <c r="H1919" s="30" t="n">
        <v>42848</v>
      </c>
      <c r="I1919" s="8" t="n">
        <f aca="false">INDEX(Parâmetros!$C$13:$C$19,MATCH(E1919,Parâmetros!$A$13:$A$19,0))</f>
        <v>55</v>
      </c>
      <c r="J1919" s="26" t="n">
        <f aca="false">IF(H1919="","",Parâmetros!$B$5-H1919)</f>
        <v>252</v>
      </c>
      <c r="K1919" s="10" t="n">
        <f aca="false">INDEX(Parâmetros!$D$13:$D$19,MATCH(E1919,Parâmetros!$A$13:$A$19,0))</f>
        <v>0</v>
      </c>
      <c r="L1919" s="10" t="n">
        <f aca="false">IF(G1919="Prospecting",Parâmetros!$B$9,IF(J1919&gt;Parâmetros!$B$6,0,INDEX(Parâmetros!$C$24:$C$26,MATCH(J1919,Parâmetros!$A$24:$A$26,1))))</f>
        <v>0</v>
      </c>
      <c r="M1919" s="31" t="n">
        <f aca="false">IF(G1919="Prospecting",1,INDEX(Parâmetros!$C$32:$C$35,MATCH(J1919,Parâmetros!$A$32:$A$35,1)))</f>
        <v>0.4</v>
      </c>
      <c r="N1919" s="2" t="n">
        <f aca="false">ROUND((K1919+L1919)*M1919,0)</f>
        <v>0</v>
      </c>
      <c r="O1919" s="10" t="str">
        <f aca="false">IF(AND(G1919="Engaging",J1919&gt;Parâmetros!$B$6),"Sim","Não")</f>
        <v>Sim</v>
      </c>
      <c r="P1919" s="32" t="str">
        <f aca="false">IF(O1919="Sim","R",IF(N1919&gt;=Parâmetros!$B$39,"A",IF(N1919&gt;=Parâmetros!$B$40,"B",IF(N1919&gt;=Parâmetros!$B$41,"C","D"))))</f>
        <v>R</v>
      </c>
      <c r="Q1919" s="10" t="str">
        <f aca="false">IF(F1919="","Completar cadastro","")</f>
        <v>Completar cadastro</v>
      </c>
      <c r="R1919" s="10" t="str">
        <f aca="false">INDEX(Parâmetros!$D$39:$D$43,MATCH(P1919,Parâmetros!$A$39:$A$43,0))</f>
        <v>Reciclar: requalificar, reengajar ou encerrar</v>
      </c>
    </row>
    <row r="1920" customFormat="false" ht="15" hidden="false" customHeight="false" outlineLevel="0" collapsed="false">
      <c r="A1920" s="10" t="s">
        <v>2167</v>
      </c>
      <c r="B1920" s="10" t="s">
        <v>69</v>
      </c>
      <c r="C1920" s="10" t="s">
        <v>65</v>
      </c>
      <c r="D1920" s="10" t="s">
        <v>160</v>
      </c>
      <c r="E1920" s="10" t="s">
        <v>52</v>
      </c>
      <c r="F1920" s="10"/>
      <c r="G1920" s="10" t="s">
        <v>162</v>
      </c>
      <c r="H1920" s="30" t="n">
        <v>42848</v>
      </c>
      <c r="I1920" s="8" t="n">
        <f aca="false">INDEX(Parâmetros!$C$13:$C$19,MATCH(E1920,Parâmetros!$A$13:$A$19,0))</f>
        <v>55</v>
      </c>
      <c r="J1920" s="26" t="n">
        <f aca="false">IF(H1920="","",Parâmetros!$B$5-H1920)</f>
        <v>252</v>
      </c>
      <c r="K1920" s="10" t="n">
        <f aca="false">INDEX(Parâmetros!$D$13:$D$19,MATCH(E1920,Parâmetros!$A$13:$A$19,0))</f>
        <v>0</v>
      </c>
      <c r="L1920" s="10" t="n">
        <f aca="false">IF(G1920="Prospecting",Parâmetros!$B$9,IF(J1920&gt;Parâmetros!$B$6,0,INDEX(Parâmetros!$C$24:$C$26,MATCH(J1920,Parâmetros!$A$24:$A$26,1))))</f>
        <v>0</v>
      </c>
      <c r="M1920" s="31" t="n">
        <f aca="false">IF(G1920="Prospecting",1,INDEX(Parâmetros!$C$32:$C$35,MATCH(J1920,Parâmetros!$A$32:$A$35,1)))</f>
        <v>0.4</v>
      </c>
      <c r="N1920" s="2" t="n">
        <f aca="false">ROUND((K1920+L1920)*M1920,0)</f>
        <v>0</v>
      </c>
      <c r="O1920" s="10" t="str">
        <f aca="false">IF(AND(G1920="Engaging",J1920&gt;Parâmetros!$B$6),"Sim","Não")</f>
        <v>Sim</v>
      </c>
      <c r="P1920" s="32" t="str">
        <f aca="false">IF(O1920="Sim","R",IF(N1920&gt;=Parâmetros!$B$39,"A",IF(N1920&gt;=Parâmetros!$B$40,"B",IF(N1920&gt;=Parâmetros!$B$41,"C","D"))))</f>
        <v>R</v>
      </c>
      <c r="Q1920" s="10" t="str">
        <f aca="false">IF(F1920="","Completar cadastro","")</f>
        <v>Completar cadastro</v>
      </c>
      <c r="R1920" s="10" t="str">
        <f aca="false">INDEX(Parâmetros!$D$39:$D$43,MATCH(P1920,Parâmetros!$A$39:$A$43,0))</f>
        <v>Reciclar: requalificar, reengajar ou encerrar</v>
      </c>
    </row>
    <row r="1921" customFormat="false" ht="15" hidden="false" customHeight="false" outlineLevel="0" collapsed="false">
      <c r="A1921" s="10" t="s">
        <v>2168</v>
      </c>
      <c r="B1921" s="10" t="s">
        <v>70</v>
      </c>
      <c r="C1921" s="10" t="s">
        <v>65</v>
      </c>
      <c r="D1921" s="10" t="s">
        <v>160</v>
      </c>
      <c r="E1921" s="10" t="s">
        <v>52</v>
      </c>
      <c r="F1921" s="10"/>
      <c r="G1921" s="10" t="s">
        <v>162</v>
      </c>
      <c r="H1921" s="30" t="n">
        <v>42849</v>
      </c>
      <c r="I1921" s="8" t="n">
        <f aca="false">INDEX(Parâmetros!$C$13:$C$19,MATCH(E1921,Parâmetros!$A$13:$A$19,0))</f>
        <v>55</v>
      </c>
      <c r="J1921" s="26" t="n">
        <f aca="false">IF(H1921="","",Parâmetros!$B$5-H1921)</f>
        <v>251</v>
      </c>
      <c r="K1921" s="10" t="n">
        <f aca="false">INDEX(Parâmetros!$D$13:$D$19,MATCH(E1921,Parâmetros!$A$13:$A$19,0))</f>
        <v>0</v>
      </c>
      <c r="L1921" s="10" t="n">
        <f aca="false">IF(G1921="Prospecting",Parâmetros!$B$9,IF(J1921&gt;Parâmetros!$B$6,0,INDEX(Parâmetros!$C$24:$C$26,MATCH(J1921,Parâmetros!$A$24:$A$26,1))))</f>
        <v>0</v>
      </c>
      <c r="M1921" s="31" t="n">
        <f aca="false">IF(G1921="Prospecting",1,INDEX(Parâmetros!$C$32:$C$35,MATCH(J1921,Parâmetros!$A$32:$A$35,1)))</f>
        <v>0.4</v>
      </c>
      <c r="N1921" s="2" t="n">
        <f aca="false">ROUND((K1921+L1921)*M1921,0)</f>
        <v>0</v>
      </c>
      <c r="O1921" s="10" t="str">
        <f aca="false">IF(AND(G1921="Engaging",J1921&gt;Parâmetros!$B$6),"Sim","Não")</f>
        <v>Sim</v>
      </c>
      <c r="P1921" s="32" t="str">
        <f aca="false">IF(O1921="Sim","R",IF(N1921&gt;=Parâmetros!$B$39,"A",IF(N1921&gt;=Parâmetros!$B$40,"B",IF(N1921&gt;=Parâmetros!$B$41,"C","D"))))</f>
        <v>R</v>
      </c>
      <c r="Q1921" s="10" t="str">
        <f aca="false">IF(F1921="","Completar cadastro","")</f>
        <v>Completar cadastro</v>
      </c>
      <c r="R1921" s="10" t="str">
        <f aca="false">INDEX(Parâmetros!$D$39:$D$43,MATCH(P1921,Parâmetros!$A$39:$A$43,0))</f>
        <v>Reciclar: requalificar, reengajar ou encerrar</v>
      </c>
    </row>
    <row r="1922" customFormat="false" ht="15" hidden="false" customHeight="false" outlineLevel="0" collapsed="false">
      <c r="A1922" s="10" t="s">
        <v>2169</v>
      </c>
      <c r="B1922" s="10" t="s">
        <v>70</v>
      </c>
      <c r="C1922" s="10" t="s">
        <v>65</v>
      </c>
      <c r="D1922" s="10" t="s">
        <v>160</v>
      </c>
      <c r="E1922" s="10" t="s">
        <v>52</v>
      </c>
      <c r="F1922" s="10"/>
      <c r="G1922" s="10" t="s">
        <v>162</v>
      </c>
      <c r="H1922" s="30" t="n">
        <v>42849</v>
      </c>
      <c r="I1922" s="8" t="n">
        <f aca="false">INDEX(Parâmetros!$C$13:$C$19,MATCH(E1922,Parâmetros!$A$13:$A$19,0))</f>
        <v>55</v>
      </c>
      <c r="J1922" s="26" t="n">
        <f aca="false">IF(H1922="","",Parâmetros!$B$5-H1922)</f>
        <v>251</v>
      </c>
      <c r="K1922" s="10" t="n">
        <f aca="false">INDEX(Parâmetros!$D$13:$D$19,MATCH(E1922,Parâmetros!$A$13:$A$19,0))</f>
        <v>0</v>
      </c>
      <c r="L1922" s="10" t="n">
        <f aca="false">IF(G1922="Prospecting",Parâmetros!$B$9,IF(J1922&gt;Parâmetros!$B$6,0,INDEX(Parâmetros!$C$24:$C$26,MATCH(J1922,Parâmetros!$A$24:$A$26,1))))</f>
        <v>0</v>
      </c>
      <c r="M1922" s="31" t="n">
        <f aca="false">IF(G1922="Prospecting",1,INDEX(Parâmetros!$C$32:$C$35,MATCH(J1922,Parâmetros!$A$32:$A$35,1)))</f>
        <v>0.4</v>
      </c>
      <c r="N1922" s="2" t="n">
        <f aca="false">ROUND((K1922+L1922)*M1922,0)</f>
        <v>0</v>
      </c>
      <c r="O1922" s="10" t="str">
        <f aca="false">IF(AND(G1922="Engaging",J1922&gt;Parâmetros!$B$6),"Sim","Não")</f>
        <v>Sim</v>
      </c>
      <c r="P1922" s="32" t="str">
        <f aca="false">IF(O1922="Sim","R",IF(N1922&gt;=Parâmetros!$B$39,"A",IF(N1922&gt;=Parâmetros!$B$40,"B",IF(N1922&gt;=Parâmetros!$B$41,"C","D"))))</f>
        <v>R</v>
      </c>
      <c r="Q1922" s="10" t="str">
        <f aca="false">IF(F1922="","Completar cadastro","")</f>
        <v>Completar cadastro</v>
      </c>
      <c r="R1922" s="10" t="str">
        <f aca="false">INDEX(Parâmetros!$D$39:$D$43,MATCH(P1922,Parâmetros!$A$39:$A$43,0))</f>
        <v>Reciclar: requalificar, reengajar ou encerrar</v>
      </c>
    </row>
    <row r="1923" customFormat="false" ht="15" hidden="false" customHeight="false" outlineLevel="0" collapsed="false">
      <c r="A1923" s="10" t="s">
        <v>2170</v>
      </c>
      <c r="B1923" s="10" t="s">
        <v>63</v>
      </c>
      <c r="C1923" s="10" t="s">
        <v>58</v>
      </c>
      <c r="D1923" s="10" t="s">
        <v>165</v>
      </c>
      <c r="E1923" s="10" t="s">
        <v>52</v>
      </c>
      <c r="F1923" s="10"/>
      <c r="G1923" s="10" t="s">
        <v>162</v>
      </c>
      <c r="H1923" s="30" t="n">
        <v>42852</v>
      </c>
      <c r="I1923" s="8" t="n">
        <f aca="false">INDEX(Parâmetros!$C$13:$C$19,MATCH(E1923,Parâmetros!$A$13:$A$19,0))</f>
        <v>55</v>
      </c>
      <c r="J1923" s="26" t="n">
        <f aca="false">IF(H1923="","",Parâmetros!$B$5-H1923)</f>
        <v>248</v>
      </c>
      <c r="K1923" s="10" t="n">
        <f aca="false">INDEX(Parâmetros!$D$13:$D$19,MATCH(E1923,Parâmetros!$A$13:$A$19,0))</f>
        <v>0</v>
      </c>
      <c r="L1923" s="10" t="n">
        <f aca="false">IF(G1923="Prospecting",Parâmetros!$B$9,IF(J1923&gt;Parâmetros!$B$6,0,INDEX(Parâmetros!$C$24:$C$26,MATCH(J1923,Parâmetros!$A$24:$A$26,1))))</f>
        <v>0</v>
      </c>
      <c r="M1923" s="31" t="n">
        <f aca="false">IF(G1923="Prospecting",1,INDEX(Parâmetros!$C$32:$C$35,MATCH(J1923,Parâmetros!$A$32:$A$35,1)))</f>
        <v>0.4</v>
      </c>
      <c r="N1923" s="2" t="n">
        <f aca="false">ROUND((K1923+L1923)*M1923,0)</f>
        <v>0</v>
      </c>
      <c r="O1923" s="10" t="str">
        <f aca="false">IF(AND(G1923="Engaging",J1923&gt;Parâmetros!$B$6),"Sim","Não")</f>
        <v>Sim</v>
      </c>
      <c r="P1923" s="32" t="str">
        <f aca="false">IF(O1923="Sim","R",IF(N1923&gt;=Parâmetros!$B$39,"A",IF(N1923&gt;=Parâmetros!$B$40,"B",IF(N1923&gt;=Parâmetros!$B$41,"C","D"))))</f>
        <v>R</v>
      </c>
      <c r="Q1923" s="10" t="str">
        <f aca="false">IF(F1923="","Completar cadastro","")</f>
        <v>Completar cadastro</v>
      </c>
      <c r="R1923" s="10" t="str">
        <f aca="false">INDEX(Parâmetros!$D$39:$D$43,MATCH(P1923,Parâmetros!$A$39:$A$43,0))</f>
        <v>Reciclar: requalificar, reengajar ou encerrar</v>
      </c>
    </row>
    <row r="1924" customFormat="false" ht="15" hidden="false" customHeight="false" outlineLevel="0" collapsed="false">
      <c r="A1924" s="10" t="s">
        <v>2171</v>
      </c>
      <c r="B1924" s="10" t="s">
        <v>86</v>
      </c>
      <c r="C1924" s="10" t="s">
        <v>85</v>
      </c>
      <c r="D1924" s="10" t="s">
        <v>165</v>
      </c>
      <c r="E1924" s="10" t="s">
        <v>52</v>
      </c>
      <c r="F1924" s="10"/>
      <c r="G1924" s="10" t="s">
        <v>162</v>
      </c>
      <c r="H1924" s="30" t="n">
        <v>42854</v>
      </c>
      <c r="I1924" s="8" t="n">
        <f aca="false">INDEX(Parâmetros!$C$13:$C$19,MATCH(E1924,Parâmetros!$A$13:$A$19,0))</f>
        <v>55</v>
      </c>
      <c r="J1924" s="26" t="n">
        <f aca="false">IF(H1924="","",Parâmetros!$B$5-H1924)</f>
        <v>246</v>
      </c>
      <c r="K1924" s="10" t="n">
        <f aca="false">INDEX(Parâmetros!$D$13:$D$19,MATCH(E1924,Parâmetros!$A$13:$A$19,0))</f>
        <v>0</v>
      </c>
      <c r="L1924" s="10" t="n">
        <f aca="false">IF(G1924="Prospecting",Parâmetros!$B$9,IF(J1924&gt;Parâmetros!$B$6,0,INDEX(Parâmetros!$C$24:$C$26,MATCH(J1924,Parâmetros!$A$24:$A$26,1))))</f>
        <v>0</v>
      </c>
      <c r="M1924" s="31" t="n">
        <f aca="false">IF(G1924="Prospecting",1,INDEX(Parâmetros!$C$32:$C$35,MATCH(J1924,Parâmetros!$A$32:$A$35,1)))</f>
        <v>0.4</v>
      </c>
      <c r="N1924" s="2" t="n">
        <f aca="false">ROUND((K1924+L1924)*M1924,0)</f>
        <v>0</v>
      </c>
      <c r="O1924" s="10" t="str">
        <f aca="false">IF(AND(G1924="Engaging",J1924&gt;Parâmetros!$B$6),"Sim","Não")</f>
        <v>Sim</v>
      </c>
      <c r="P1924" s="32" t="str">
        <f aca="false">IF(O1924="Sim","R",IF(N1924&gt;=Parâmetros!$B$39,"A",IF(N1924&gt;=Parâmetros!$B$40,"B",IF(N1924&gt;=Parâmetros!$B$41,"C","D"))))</f>
        <v>R</v>
      </c>
      <c r="Q1924" s="10" t="str">
        <f aca="false">IF(F1924="","Completar cadastro","")</f>
        <v>Completar cadastro</v>
      </c>
      <c r="R1924" s="10" t="str">
        <f aca="false">INDEX(Parâmetros!$D$39:$D$43,MATCH(P1924,Parâmetros!$A$39:$A$43,0))</f>
        <v>Reciclar: requalificar, reengajar ou encerrar</v>
      </c>
    </row>
    <row r="1925" customFormat="false" ht="15" hidden="false" customHeight="false" outlineLevel="0" collapsed="false">
      <c r="A1925" s="10" t="s">
        <v>2172</v>
      </c>
      <c r="B1925" s="10" t="s">
        <v>67</v>
      </c>
      <c r="C1925" s="10" t="s">
        <v>65</v>
      </c>
      <c r="D1925" s="10" t="s">
        <v>160</v>
      </c>
      <c r="E1925" s="10" t="s">
        <v>52</v>
      </c>
      <c r="F1925" s="10" t="s">
        <v>161</v>
      </c>
      <c r="G1925" s="10" t="s">
        <v>162</v>
      </c>
      <c r="H1925" s="30" t="n">
        <v>42854</v>
      </c>
      <c r="I1925" s="8" t="n">
        <f aca="false">INDEX(Parâmetros!$C$13:$C$19,MATCH(E1925,Parâmetros!$A$13:$A$19,0))</f>
        <v>55</v>
      </c>
      <c r="J1925" s="26" t="n">
        <f aca="false">IF(H1925="","",Parâmetros!$B$5-H1925)</f>
        <v>246</v>
      </c>
      <c r="K1925" s="10" t="n">
        <f aca="false">INDEX(Parâmetros!$D$13:$D$19,MATCH(E1925,Parâmetros!$A$13:$A$19,0))</f>
        <v>0</v>
      </c>
      <c r="L1925" s="10" t="n">
        <f aca="false">IF(G1925="Prospecting",Parâmetros!$B$9,IF(J1925&gt;Parâmetros!$B$6,0,INDEX(Parâmetros!$C$24:$C$26,MATCH(J1925,Parâmetros!$A$24:$A$26,1))))</f>
        <v>0</v>
      </c>
      <c r="M1925" s="31" t="n">
        <f aca="false">IF(G1925="Prospecting",1,INDEX(Parâmetros!$C$32:$C$35,MATCH(J1925,Parâmetros!$A$32:$A$35,1)))</f>
        <v>0.4</v>
      </c>
      <c r="N1925" s="2" t="n">
        <f aca="false">ROUND((K1925+L1925)*M1925,0)</f>
        <v>0</v>
      </c>
      <c r="O1925" s="10" t="str">
        <f aca="false">IF(AND(G1925="Engaging",J1925&gt;Parâmetros!$B$6),"Sim","Não")</f>
        <v>Sim</v>
      </c>
      <c r="P1925" s="32" t="str">
        <f aca="false">IF(O1925="Sim","R",IF(N1925&gt;=Parâmetros!$B$39,"A",IF(N1925&gt;=Parâmetros!$B$40,"B",IF(N1925&gt;=Parâmetros!$B$41,"C","D"))))</f>
        <v>R</v>
      </c>
      <c r="Q1925" s="10" t="str">
        <f aca="false">IF(F1925="","Completar cadastro","")</f>
        <v/>
      </c>
      <c r="R1925" s="10" t="str">
        <f aca="false">INDEX(Parâmetros!$D$39:$D$43,MATCH(P1925,Parâmetros!$A$39:$A$43,0))</f>
        <v>Reciclar: requalificar, reengajar ou encerrar</v>
      </c>
    </row>
    <row r="1926" customFormat="false" ht="15" hidden="false" customHeight="false" outlineLevel="0" collapsed="false">
      <c r="A1926" s="10" t="s">
        <v>2173</v>
      </c>
      <c r="B1926" s="10" t="s">
        <v>69</v>
      </c>
      <c r="C1926" s="10" t="s">
        <v>65</v>
      </c>
      <c r="D1926" s="10" t="s">
        <v>160</v>
      </c>
      <c r="E1926" s="10" t="s">
        <v>52</v>
      </c>
      <c r="F1926" s="10"/>
      <c r="G1926" s="10" t="s">
        <v>162</v>
      </c>
      <c r="H1926" s="30" t="n">
        <v>42857</v>
      </c>
      <c r="I1926" s="8" t="n">
        <f aca="false">INDEX(Parâmetros!$C$13:$C$19,MATCH(E1926,Parâmetros!$A$13:$A$19,0))</f>
        <v>55</v>
      </c>
      <c r="J1926" s="26" t="n">
        <f aca="false">IF(H1926="","",Parâmetros!$B$5-H1926)</f>
        <v>243</v>
      </c>
      <c r="K1926" s="10" t="n">
        <f aca="false">INDEX(Parâmetros!$D$13:$D$19,MATCH(E1926,Parâmetros!$A$13:$A$19,0))</f>
        <v>0</v>
      </c>
      <c r="L1926" s="10" t="n">
        <f aca="false">IF(G1926="Prospecting",Parâmetros!$B$9,IF(J1926&gt;Parâmetros!$B$6,0,INDEX(Parâmetros!$C$24:$C$26,MATCH(J1926,Parâmetros!$A$24:$A$26,1))))</f>
        <v>0</v>
      </c>
      <c r="M1926" s="31" t="n">
        <f aca="false">IF(G1926="Prospecting",1,INDEX(Parâmetros!$C$32:$C$35,MATCH(J1926,Parâmetros!$A$32:$A$35,1)))</f>
        <v>0.4</v>
      </c>
      <c r="N1926" s="2" t="n">
        <f aca="false">ROUND((K1926+L1926)*M1926,0)</f>
        <v>0</v>
      </c>
      <c r="O1926" s="10" t="str">
        <f aca="false">IF(AND(G1926="Engaging",J1926&gt;Parâmetros!$B$6),"Sim","Não")</f>
        <v>Sim</v>
      </c>
      <c r="P1926" s="32" t="str">
        <f aca="false">IF(O1926="Sim","R",IF(N1926&gt;=Parâmetros!$B$39,"A",IF(N1926&gt;=Parâmetros!$B$40,"B",IF(N1926&gt;=Parâmetros!$B$41,"C","D"))))</f>
        <v>R</v>
      </c>
      <c r="Q1926" s="10" t="str">
        <f aca="false">IF(F1926="","Completar cadastro","")</f>
        <v>Completar cadastro</v>
      </c>
      <c r="R1926" s="10" t="str">
        <f aca="false">INDEX(Parâmetros!$D$39:$D$43,MATCH(P1926,Parâmetros!$A$39:$A$43,0))</f>
        <v>Reciclar: requalificar, reengajar ou encerrar</v>
      </c>
    </row>
    <row r="1927" customFormat="false" ht="15" hidden="false" customHeight="false" outlineLevel="0" collapsed="false">
      <c r="A1927" s="10" t="s">
        <v>2174</v>
      </c>
      <c r="B1927" s="10" t="s">
        <v>62</v>
      </c>
      <c r="C1927" s="10" t="s">
        <v>58</v>
      </c>
      <c r="D1927" s="10" t="s">
        <v>165</v>
      </c>
      <c r="E1927" s="10" t="s">
        <v>52</v>
      </c>
      <c r="F1927" s="10" t="s">
        <v>711</v>
      </c>
      <c r="G1927" s="10" t="s">
        <v>162</v>
      </c>
      <c r="H1927" s="30" t="n">
        <v>42858</v>
      </c>
      <c r="I1927" s="8" t="n">
        <f aca="false">INDEX(Parâmetros!$C$13:$C$19,MATCH(E1927,Parâmetros!$A$13:$A$19,0))</f>
        <v>55</v>
      </c>
      <c r="J1927" s="26" t="n">
        <f aca="false">IF(H1927="","",Parâmetros!$B$5-H1927)</f>
        <v>242</v>
      </c>
      <c r="K1927" s="10" t="n">
        <f aca="false">INDEX(Parâmetros!$D$13:$D$19,MATCH(E1927,Parâmetros!$A$13:$A$19,0))</f>
        <v>0</v>
      </c>
      <c r="L1927" s="10" t="n">
        <f aca="false">IF(G1927="Prospecting",Parâmetros!$B$9,IF(J1927&gt;Parâmetros!$B$6,0,INDEX(Parâmetros!$C$24:$C$26,MATCH(J1927,Parâmetros!$A$24:$A$26,1))))</f>
        <v>0</v>
      </c>
      <c r="M1927" s="31" t="n">
        <f aca="false">IF(G1927="Prospecting",1,INDEX(Parâmetros!$C$32:$C$35,MATCH(J1927,Parâmetros!$A$32:$A$35,1)))</f>
        <v>0.4</v>
      </c>
      <c r="N1927" s="2" t="n">
        <f aca="false">ROUND((K1927+L1927)*M1927,0)</f>
        <v>0</v>
      </c>
      <c r="O1927" s="10" t="str">
        <f aca="false">IF(AND(G1927="Engaging",J1927&gt;Parâmetros!$B$6),"Sim","Não")</f>
        <v>Sim</v>
      </c>
      <c r="P1927" s="32" t="str">
        <f aca="false">IF(O1927="Sim","R",IF(N1927&gt;=Parâmetros!$B$39,"A",IF(N1927&gt;=Parâmetros!$B$40,"B",IF(N1927&gt;=Parâmetros!$B$41,"C","D"))))</f>
        <v>R</v>
      </c>
      <c r="Q1927" s="10" t="str">
        <f aca="false">IF(F1927="","Completar cadastro","")</f>
        <v/>
      </c>
      <c r="R1927" s="10" t="str">
        <f aca="false">INDEX(Parâmetros!$D$39:$D$43,MATCH(P1927,Parâmetros!$A$39:$A$43,0))</f>
        <v>Reciclar: requalificar, reengajar ou encerrar</v>
      </c>
    </row>
    <row r="1928" customFormat="false" ht="15" hidden="false" customHeight="false" outlineLevel="0" collapsed="false">
      <c r="A1928" s="10" t="s">
        <v>2175</v>
      </c>
      <c r="B1928" s="10" t="s">
        <v>57</v>
      </c>
      <c r="C1928" s="10" t="s">
        <v>58</v>
      </c>
      <c r="D1928" s="10" t="s">
        <v>165</v>
      </c>
      <c r="E1928" s="10" t="s">
        <v>52</v>
      </c>
      <c r="F1928" s="10"/>
      <c r="G1928" s="10" t="s">
        <v>162</v>
      </c>
      <c r="H1928" s="30" t="n">
        <v>42866</v>
      </c>
      <c r="I1928" s="8" t="n">
        <f aca="false">INDEX(Parâmetros!$C$13:$C$19,MATCH(E1928,Parâmetros!$A$13:$A$19,0))</f>
        <v>55</v>
      </c>
      <c r="J1928" s="26" t="n">
        <f aca="false">IF(H1928="","",Parâmetros!$B$5-H1928)</f>
        <v>234</v>
      </c>
      <c r="K1928" s="10" t="n">
        <f aca="false">INDEX(Parâmetros!$D$13:$D$19,MATCH(E1928,Parâmetros!$A$13:$A$19,0))</f>
        <v>0</v>
      </c>
      <c r="L1928" s="10" t="n">
        <f aca="false">IF(G1928="Prospecting",Parâmetros!$B$9,IF(J1928&gt;Parâmetros!$B$6,0,INDEX(Parâmetros!$C$24:$C$26,MATCH(J1928,Parâmetros!$A$24:$A$26,1))))</f>
        <v>0</v>
      </c>
      <c r="M1928" s="31" t="n">
        <f aca="false">IF(G1928="Prospecting",1,INDEX(Parâmetros!$C$32:$C$35,MATCH(J1928,Parâmetros!$A$32:$A$35,1)))</f>
        <v>0.4</v>
      </c>
      <c r="N1928" s="2" t="n">
        <f aca="false">ROUND((K1928+L1928)*M1928,0)</f>
        <v>0</v>
      </c>
      <c r="O1928" s="10" t="str">
        <f aca="false">IF(AND(G1928="Engaging",J1928&gt;Parâmetros!$B$6),"Sim","Não")</f>
        <v>Sim</v>
      </c>
      <c r="P1928" s="32" t="str">
        <f aca="false">IF(O1928="Sim","R",IF(N1928&gt;=Parâmetros!$B$39,"A",IF(N1928&gt;=Parâmetros!$B$40,"B",IF(N1928&gt;=Parâmetros!$B$41,"C","D"))))</f>
        <v>R</v>
      </c>
      <c r="Q1928" s="10" t="str">
        <f aca="false">IF(F1928="","Completar cadastro","")</f>
        <v>Completar cadastro</v>
      </c>
      <c r="R1928" s="10" t="str">
        <f aca="false">INDEX(Parâmetros!$D$39:$D$43,MATCH(P1928,Parâmetros!$A$39:$A$43,0))</f>
        <v>Reciclar: requalificar, reengajar ou encerrar</v>
      </c>
    </row>
    <row r="1929" customFormat="false" ht="15" hidden="false" customHeight="false" outlineLevel="0" collapsed="false">
      <c r="A1929" s="10" t="s">
        <v>2176</v>
      </c>
      <c r="B1929" s="10" t="s">
        <v>66</v>
      </c>
      <c r="C1929" s="10" t="s">
        <v>65</v>
      </c>
      <c r="D1929" s="10" t="s">
        <v>160</v>
      </c>
      <c r="E1929" s="10" t="s">
        <v>52</v>
      </c>
      <c r="F1929" s="10"/>
      <c r="G1929" s="10" t="s">
        <v>162</v>
      </c>
      <c r="H1929" s="30" t="n">
        <v>42870</v>
      </c>
      <c r="I1929" s="8" t="n">
        <f aca="false">INDEX(Parâmetros!$C$13:$C$19,MATCH(E1929,Parâmetros!$A$13:$A$19,0))</f>
        <v>55</v>
      </c>
      <c r="J1929" s="26" t="n">
        <f aca="false">IF(H1929="","",Parâmetros!$B$5-H1929)</f>
        <v>230</v>
      </c>
      <c r="K1929" s="10" t="n">
        <f aca="false">INDEX(Parâmetros!$D$13:$D$19,MATCH(E1929,Parâmetros!$A$13:$A$19,0))</f>
        <v>0</v>
      </c>
      <c r="L1929" s="10" t="n">
        <f aca="false">IF(G1929="Prospecting",Parâmetros!$B$9,IF(J1929&gt;Parâmetros!$B$6,0,INDEX(Parâmetros!$C$24:$C$26,MATCH(J1929,Parâmetros!$A$24:$A$26,1))))</f>
        <v>0</v>
      </c>
      <c r="M1929" s="31" t="n">
        <f aca="false">IF(G1929="Prospecting",1,INDEX(Parâmetros!$C$32:$C$35,MATCH(J1929,Parâmetros!$A$32:$A$35,1)))</f>
        <v>0.4</v>
      </c>
      <c r="N1929" s="2" t="n">
        <f aca="false">ROUND((K1929+L1929)*M1929,0)</f>
        <v>0</v>
      </c>
      <c r="O1929" s="10" t="str">
        <f aca="false">IF(AND(G1929="Engaging",J1929&gt;Parâmetros!$B$6),"Sim","Não")</f>
        <v>Sim</v>
      </c>
      <c r="P1929" s="32" t="str">
        <f aca="false">IF(O1929="Sim","R",IF(N1929&gt;=Parâmetros!$B$39,"A",IF(N1929&gt;=Parâmetros!$B$40,"B",IF(N1929&gt;=Parâmetros!$B$41,"C","D"))))</f>
        <v>R</v>
      </c>
      <c r="Q1929" s="10" t="str">
        <f aca="false">IF(F1929="","Completar cadastro","")</f>
        <v>Completar cadastro</v>
      </c>
      <c r="R1929" s="10" t="str">
        <f aca="false">INDEX(Parâmetros!$D$39:$D$43,MATCH(P1929,Parâmetros!$A$39:$A$43,0))</f>
        <v>Reciclar: requalificar, reengajar ou encerrar</v>
      </c>
    </row>
    <row r="1930" customFormat="false" ht="15" hidden="false" customHeight="false" outlineLevel="0" collapsed="false">
      <c r="A1930" s="10" t="s">
        <v>2177</v>
      </c>
      <c r="B1930" s="10" t="s">
        <v>69</v>
      </c>
      <c r="C1930" s="10" t="s">
        <v>65</v>
      </c>
      <c r="D1930" s="10" t="s">
        <v>160</v>
      </c>
      <c r="E1930" s="10" t="s">
        <v>52</v>
      </c>
      <c r="F1930" s="10"/>
      <c r="G1930" s="10" t="s">
        <v>162</v>
      </c>
      <c r="H1930" s="30" t="n">
        <v>42873</v>
      </c>
      <c r="I1930" s="8" t="n">
        <f aca="false">INDEX(Parâmetros!$C$13:$C$19,MATCH(E1930,Parâmetros!$A$13:$A$19,0))</f>
        <v>55</v>
      </c>
      <c r="J1930" s="26" t="n">
        <f aca="false">IF(H1930="","",Parâmetros!$B$5-H1930)</f>
        <v>227</v>
      </c>
      <c r="K1930" s="10" t="n">
        <f aca="false">INDEX(Parâmetros!$D$13:$D$19,MATCH(E1930,Parâmetros!$A$13:$A$19,0))</f>
        <v>0</v>
      </c>
      <c r="L1930" s="10" t="n">
        <f aca="false">IF(G1930="Prospecting",Parâmetros!$B$9,IF(J1930&gt;Parâmetros!$B$6,0,INDEX(Parâmetros!$C$24:$C$26,MATCH(J1930,Parâmetros!$A$24:$A$26,1))))</f>
        <v>0</v>
      </c>
      <c r="M1930" s="31" t="n">
        <f aca="false">IF(G1930="Prospecting",1,INDEX(Parâmetros!$C$32:$C$35,MATCH(J1930,Parâmetros!$A$32:$A$35,1)))</f>
        <v>0.4</v>
      </c>
      <c r="N1930" s="2" t="n">
        <f aca="false">ROUND((K1930+L1930)*M1930,0)</f>
        <v>0</v>
      </c>
      <c r="O1930" s="10" t="str">
        <f aca="false">IF(AND(G1930="Engaging",J1930&gt;Parâmetros!$B$6),"Sim","Não")</f>
        <v>Sim</v>
      </c>
      <c r="P1930" s="32" t="str">
        <f aca="false">IF(O1930="Sim","R",IF(N1930&gt;=Parâmetros!$B$39,"A",IF(N1930&gt;=Parâmetros!$B$40,"B",IF(N1930&gt;=Parâmetros!$B$41,"C","D"))))</f>
        <v>R</v>
      </c>
      <c r="Q1930" s="10" t="str">
        <f aca="false">IF(F1930="","Completar cadastro","")</f>
        <v>Completar cadastro</v>
      </c>
      <c r="R1930" s="10" t="str">
        <f aca="false">INDEX(Parâmetros!$D$39:$D$43,MATCH(P1930,Parâmetros!$A$39:$A$43,0))</f>
        <v>Reciclar: requalificar, reengajar ou encerrar</v>
      </c>
    </row>
    <row r="1931" customFormat="false" ht="15" hidden="false" customHeight="false" outlineLevel="0" collapsed="false">
      <c r="A1931" s="10" t="s">
        <v>2178</v>
      </c>
      <c r="B1931" s="10" t="s">
        <v>63</v>
      </c>
      <c r="C1931" s="10" t="s">
        <v>58</v>
      </c>
      <c r="D1931" s="10" t="s">
        <v>165</v>
      </c>
      <c r="E1931" s="10" t="s">
        <v>52</v>
      </c>
      <c r="F1931" s="10"/>
      <c r="G1931" s="10" t="s">
        <v>162</v>
      </c>
      <c r="H1931" s="30" t="n">
        <v>42873</v>
      </c>
      <c r="I1931" s="8" t="n">
        <f aca="false">INDEX(Parâmetros!$C$13:$C$19,MATCH(E1931,Parâmetros!$A$13:$A$19,0))</f>
        <v>55</v>
      </c>
      <c r="J1931" s="26" t="n">
        <f aca="false">IF(H1931="","",Parâmetros!$B$5-H1931)</f>
        <v>227</v>
      </c>
      <c r="K1931" s="10" t="n">
        <f aca="false">INDEX(Parâmetros!$D$13:$D$19,MATCH(E1931,Parâmetros!$A$13:$A$19,0))</f>
        <v>0</v>
      </c>
      <c r="L1931" s="10" t="n">
        <f aca="false">IF(G1931="Prospecting",Parâmetros!$B$9,IF(J1931&gt;Parâmetros!$B$6,0,INDEX(Parâmetros!$C$24:$C$26,MATCH(J1931,Parâmetros!$A$24:$A$26,1))))</f>
        <v>0</v>
      </c>
      <c r="M1931" s="31" t="n">
        <f aca="false">IF(G1931="Prospecting",1,INDEX(Parâmetros!$C$32:$C$35,MATCH(J1931,Parâmetros!$A$32:$A$35,1)))</f>
        <v>0.4</v>
      </c>
      <c r="N1931" s="2" t="n">
        <f aca="false">ROUND((K1931+L1931)*M1931,0)</f>
        <v>0</v>
      </c>
      <c r="O1931" s="10" t="str">
        <f aca="false">IF(AND(G1931="Engaging",J1931&gt;Parâmetros!$B$6),"Sim","Não")</f>
        <v>Sim</v>
      </c>
      <c r="P1931" s="32" t="str">
        <f aca="false">IF(O1931="Sim","R",IF(N1931&gt;=Parâmetros!$B$39,"A",IF(N1931&gt;=Parâmetros!$B$40,"B",IF(N1931&gt;=Parâmetros!$B$41,"C","D"))))</f>
        <v>R</v>
      </c>
      <c r="Q1931" s="10" t="str">
        <f aca="false">IF(F1931="","Completar cadastro","")</f>
        <v>Completar cadastro</v>
      </c>
      <c r="R1931" s="10" t="str">
        <f aca="false">INDEX(Parâmetros!$D$39:$D$43,MATCH(P1931,Parâmetros!$A$39:$A$43,0))</f>
        <v>Reciclar: requalificar, reengajar ou encerrar</v>
      </c>
    </row>
    <row r="1932" customFormat="false" ht="15" hidden="false" customHeight="false" outlineLevel="0" collapsed="false">
      <c r="A1932" s="10" t="s">
        <v>2179</v>
      </c>
      <c r="B1932" s="10" t="s">
        <v>95</v>
      </c>
      <c r="C1932" s="10" t="s">
        <v>92</v>
      </c>
      <c r="D1932" s="10" t="s">
        <v>160</v>
      </c>
      <c r="E1932" s="10" t="s">
        <v>52</v>
      </c>
      <c r="F1932" s="10" t="s">
        <v>215</v>
      </c>
      <c r="G1932" s="10" t="s">
        <v>162</v>
      </c>
      <c r="H1932" s="30" t="n">
        <v>42877</v>
      </c>
      <c r="I1932" s="8" t="n">
        <f aca="false">INDEX(Parâmetros!$C$13:$C$19,MATCH(E1932,Parâmetros!$A$13:$A$19,0))</f>
        <v>55</v>
      </c>
      <c r="J1932" s="26" t="n">
        <f aca="false">IF(H1932="","",Parâmetros!$B$5-H1932)</f>
        <v>223</v>
      </c>
      <c r="K1932" s="10" t="n">
        <f aca="false">INDEX(Parâmetros!$D$13:$D$19,MATCH(E1932,Parâmetros!$A$13:$A$19,0))</f>
        <v>0</v>
      </c>
      <c r="L1932" s="10" t="n">
        <f aca="false">IF(G1932="Prospecting",Parâmetros!$B$9,IF(J1932&gt;Parâmetros!$B$6,0,INDEX(Parâmetros!$C$24:$C$26,MATCH(J1932,Parâmetros!$A$24:$A$26,1))))</f>
        <v>0</v>
      </c>
      <c r="M1932" s="31" t="n">
        <f aca="false">IF(G1932="Prospecting",1,INDEX(Parâmetros!$C$32:$C$35,MATCH(J1932,Parâmetros!$A$32:$A$35,1)))</f>
        <v>0.4</v>
      </c>
      <c r="N1932" s="2" t="n">
        <f aca="false">ROUND((K1932+L1932)*M1932,0)</f>
        <v>0</v>
      </c>
      <c r="O1932" s="10" t="str">
        <f aca="false">IF(AND(G1932="Engaging",J1932&gt;Parâmetros!$B$6),"Sim","Não")</f>
        <v>Sim</v>
      </c>
      <c r="P1932" s="32" t="str">
        <f aca="false">IF(O1932="Sim","R",IF(N1932&gt;=Parâmetros!$B$39,"A",IF(N1932&gt;=Parâmetros!$B$40,"B",IF(N1932&gt;=Parâmetros!$B$41,"C","D"))))</f>
        <v>R</v>
      </c>
      <c r="Q1932" s="10" t="str">
        <f aca="false">IF(F1932="","Completar cadastro","")</f>
        <v/>
      </c>
      <c r="R1932" s="10" t="str">
        <f aca="false">INDEX(Parâmetros!$D$39:$D$43,MATCH(P1932,Parâmetros!$A$39:$A$43,0))</f>
        <v>Reciclar: requalificar, reengajar ou encerrar</v>
      </c>
    </row>
    <row r="1933" customFormat="false" ht="15" hidden="false" customHeight="false" outlineLevel="0" collapsed="false">
      <c r="A1933" s="10" t="s">
        <v>2180</v>
      </c>
      <c r="B1933" s="10" t="s">
        <v>86</v>
      </c>
      <c r="C1933" s="10" t="s">
        <v>85</v>
      </c>
      <c r="D1933" s="10" t="s">
        <v>165</v>
      </c>
      <c r="E1933" s="10" t="s">
        <v>52</v>
      </c>
      <c r="F1933" s="10"/>
      <c r="G1933" s="10" t="s">
        <v>162</v>
      </c>
      <c r="H1933" s="30" t="n">
        <v>42878</v>
      </c>
      <c r="I1933" s="8" t="n">
        <f aca="false">INDEX(Parâmetros!$C$13:$C$19,MATCH(E1933,Parâmetros!$A$13:$A$19,0))</f>
        <v>55</v>
      </c>
      <c r="J1933" s="26" t="n">
        <f aca="false">IF(H1933="","",Parâmetros!$B$5-H1933)</f>
        <v>222</v>
      </c>
      <c r="K1933" s="10" t="n">
        <f aca="false">INDEX(Parâmetros!$D$13:$D$19,MATCH(E1933,Parâmetros!$A$13:$A$19,0))</f>
        <v>0</v>
      </c>
      <c r="L1933" s="10" t="n">
        <f aca="false">IF(G1933="Prospecting",Parâmetros!$B$9,IF(J1933&gt;Parâmetros!$B$6,0,INDEX(Parâmetros!$C$24:$C$26,MATCH(J1933,Parâmetros!$A$24:$A$26,1))))</f>
        <v>0</v>
      </c>
      <c r="M1933" s="31" t="n">
        <f aca="false">IF(G1933="Prospecting",1,INDEX(Parâmetros!$C$32:$C$35,MATCH(J1933,Parâmetros!$A$32:$A$35,1)))</f>
        <v>0.4</v>
      </c>
      <c r="N1933" s="2" t="n">
        <f aca="false">ROUND((K1933+L1933)*M1933,0)</f>
        <v>0</v>
      </c>
      <c r="O1933" s="10" t="str">
        <f aca="false">IF(AND(G1933="Engaging",J1933&gt;Parâmetros!$B$6),"Sim","Não")</f>
        <v>Sim</v>
      </c>
      <c r="P1933" s="32" t="str">
        <f aca="false">IF(O1933="Sim","R",IF(N1933&gt;=Parâmetros!$B$39,"A",IF(N1933&gt;=Parâmetros!$B$40,"B",IF(N1933&gt;=Parâmetros!$B$41,"C","D"))))</f>
        <v>R</v>
      </c>
      <c r="Q1933" s="10" t="str">
        <f aca="false">IF(F1933="","Completar cadastro","")</f>
        <v>Completar cadastro</v>
      </c>
      <c r="R1933" s="10" t="str">
        <f aca="false">INDEX(Parâmetros!$D$39:$D$43,MATCH(P1933,Parâmetros!$A$39:$A$43,0))</f>
        <v>Reciclar: requalificar, reengajar ou encerrar</v>
      </c>
    </row>
    <row r="1934" customFormat="false" ht="15" hidden="false" customHeight="false" outlineLevel="0" collapsed="false">
      <c r="A1934" s="10" t="s">
        <v>2181</v>
      </c>
      <c r="B1934" s="10" t="s">
        <v>96</v>
      </c>
      <c r="C1934" s="10" t="s">
        <v>92</v>
      </c>
      <c r="D1934" s="10" t="s">
        <v>160</v>
      </c>
      <c r="E1934" s="10" t="s">
        <v>52</v>
      </c>
      <c r="F1934" s="10"/>
      <c r="G1934" s="10" t="s">
        <v>162</v>
      </c>
      <c r="H1934" s="30" t="n">
        <v>42879</v>
      </c>
      <c r="I1934" s="8" t="n">
        <f aca="false">INDEX(Parâmetros!$C$13:$C$19,MATCH(E1934,Parâmetros!$A$13:$A$19,0))</f>
        <v>55</v>
      </c>
      <c r="J1934" s="26" t="n">
        <f aca="false">IF(H1934="","",Parâmetros!$B$5-H1934)</f>
        <v>221</v>
      </c>
      <c r="K1934" s="10" t="n">
        <f aca="false">INDEX(Parâmetros!$D$13:$D$19,MATCH(E1934,Parâmetros!$A$13:$A$19,0))</f>
        <v>0</v>
      </c>
      <c r="L1934" s="10" t="n">
        <f aca="false">IF(G1934="Prospecting",Parâmetros!$B$9,IF(J1934&gt;Parâmetros!$B$6,0,INDEX(Parâmetros!$C$24:$C$26,MATCH(J1934,Parâmetros!$A$24:$A$26,1))))</f>
        <v>0</v>
      </c>
      <c r="M1934" s="31" t="n">
        <f aca="false">IF(G1934="Prospecting",1,INDEX(Parâmetros!$C$32:$C$35,MATCH(J1934,Parâmetros!$A$32:$A$35,1)))</f>
        <v>0.4</v>
      </c>
      <c r="N1934" s="2" t="n">
        <f aca="false">ROUND((K1934+L1934)*M1934,0)</f>
        <v>0</v>
      </c>
      <c r="O1934" s="10" t="str">
        <f aca="false">IF(AND(G1934="Engaging",J1934&gt;Parâmetros!$B$6),"Sim","Não")</f>
        <v>Sim</v>
      </c>
      <c r="P1934" s="32" t="str">
        <f aca="false">IF(O1934="Sim","R",IF(N1934&gt;=Parâmetros!$B$39,"A",IF(N1934&gt;=Parâmetros!$B$40,"B",IF(N1934&gt;=Parâmetros!$B$41,"C","D"))))</f>
        <v>R</v>
      </c>
      <c r="Q1934" s="10" t="str">
        <f aca="false">IF(F1934="","Completar cadastro","")</f>
        <v>Completar cadastro</v>
      </c>
      <c r="R1934" s="10" t="str">
        <f aca="false">INDEX(Parâmetros!$D$39:$D$43,MATCH(P1934,Parâmetros!$A$39:$A$43,0))</f>
        <v>Reciclar: requalificar, reengajar ou encerrar</v>
      </c>
    </row>
    <row r="1935" customFormat="false" ht="15" hidden="false" customHeight="false" outlineLevel="0" collapsed="false">
      <c r="A1935" s="10" t="s">
        <v>2182</v>
      </c>
      <c r="B1935" s="10" t="s">
        <v>70</v>
      </c>
      <c r="C1935" s="10" t="s">
        <v>65</v>
      </c>
      <c r="D1935" s="10" t="s">
        <v>160</v>
      </c>
      <c r="E1935" s="10" t="s">
        <v>52</v>
      </c>
      <c r="F1935" s="10" t="s">
        <v>388</v>
      </c>
      <c r="G1935" s="10" t="s">
        <v>162</v>
      </c>
      <c r="H1935" s="30" t="n">
        <v>42880</v>
      </c>
      <c r="I1935" s="8" t="n">
        <f aca="false">INDEX(Parâmetros!$C$13:$C$19,MATCH(E1935,Parâmetros!$A$13:$A$19,0))</f>
        <v>55</v>
      </c>
      <c r="J1935" s="26" t="n">
        <f aca="false">IF(H1935="","",Parâmetros!$B$5-H1935)</f>
        <v>220</v>
      </c>
      <c r="K1935" s="10" t="n">
        <f aca="false">INDEX(Parâmetros!$D$13:$D$19,MATCH(E1935,Parâmetros!$A$13:$A$19,0))</f>
        <v>0</v>
      </c>
      <c r="L1935" s="10" t="n">
        <f aca="false">IF(G1935="Prospecting",Parâmetros!$B$9,IF(J1935&gt;Parâmetros!$B$6,0,INDEX(Parâmetros!$C$24:$C$26,MATCH(J1935,Parâmetros!$A$24:$A$26,1))))</f>
        <v>0</v>
      </c>
      <c r="M1935" s="31" t="n">
        <f aca="false">IF(G1935="Prospecting",1,INDEX(Parâmetros!$C$32:$C$35,MATCH(J1935,Parâmetros!$A$32:$A$35,1)))</f>
        <v>0.4</v>
      </c>
      <c r="N1935" s="2" t="n">
        <f aca="false">ROUND((K1935+L1935)*M1935,0)</f>
        <v>0</v>
      </c>
      <c r="O1935" s="10" t="str">
        <f aca="false">IF(AND(G1935="Engaging",J1935&gt;Parâmetros!$B$6),"Sim","Não")</f>
        <v>Sim</v>
      </c>
      <c r="P1935" s="32" t="str">
        <f aca="false">IF(O1935="Sim","R",IF(N1935&gt;=Parâmetros!$B$39,"A",IF(N1935&gt;=Parâmetros!$B$40,"B",IF(N1935&gt;=Parâmetros!$B$41,"C","D"))))</f>
        <v>R</v>
      </c>
      <c r="Q1935" s="10" t="str">
        <f aca="false">IF(F1935="","Completar cadastro","")</f>
        <v/>
      </c>
      <c r="R1935" s="10" t="str">
        <f aca="false">INDEX(Parâmetros!$D$39:$D$43,MATCH(P1935,Parâmetros!$A$39:$A$43,0))</f>
        <v>Reciclar: requalificar, reengajar ou encerrar</v>
      </c>
    </row>
    <row r="1936" customFormat="false" ht="15" hidden="false" customHeight="false" outlineLevel="0" collapsed="false">
      <c r="A1936" s="10" t="s">
        <v>2183</v>
      </c>
      <c r="B1936" s="10" t="s">
        <v>62</v>
      </c>
      <c r="C1936" s="10" t="s">
        <v>58</v>
      </c>
      <c r="D1936" s="10" t="s">
        <v>165</v>
      </c>
      <c r="E1936" s="10" t="s">
        <v>52</v>
      </c>
      <c r="F1936" s="10" t="s">
        <v>303</v>
      </c>
      <c r="G1936" s="10" t="s">
        <v>162</v>
      </c>
      <c r="H1936" s="30" t="n">
        <v>42881</v>
      </c>
      <c r="I1936" s="8" t="n">
        <f aca="false">INDEX(Parâmetros!$C$13:$C$19,MATCH(E1936,Parâmetros!$A$13:$A$19,0))</f>
        <v>55</v>
      </c>
      <c r="J1936" s="26" t="n">
        <f aca="false">IF(H1936="","",Parâmetros!$B$5-H1936)</f>
        <v>219</v>
      </c>
      <c r="K1936" s="10" t="n">
        <f aca="false">INDEX(Parâmetros!$D$13:$D$19,MATCH(E1936,Parâmetros!$A$13:$A$19,0))</f>
        <v>0</v>
      </c>
      <c r="L1936" s="10" t="n">
        <f aca="false">IF(G1936="Prospecting",Parâmetros!$B$9,IF(J1936&gt;Parâmetros!$B$6,0,INDEX(Parâmetros!$C$24:$C$26,MATCH(J1936,Parâmetros!$A$24:$A$26,1))))</f>
        <v>0</v>
      </c>
      <c r="M1936" s="31" t="n">
        <f aca="false">IF(G1936="Prospecting",1,INDEX(Parâmetros!$C$32:$C$35,MATCH(J1936,Parâmetros!$A$32:$A$35,1)))</f>
        <v>0.4</v>
      </c>
      <c r="N1936" s="2" t="n">
        <f aca="false">ROUND((K1936+L1936)*M1936,0)</f>
        <v>0</v>
      </c>
      <c r="O1936" s="10" t="str">
        <f aca="false">IF(AND(G1936="Engaging",J1936&gt;Parâmetros!$B$6),"Sim","Não")</f>
        <v>Sim</v>
      </c>
      <c r="P1936" s="32" t="str">
        <f aca="false">IF(O1936="Sim","R",IF(N1936&gt;=Parâmetros!$B$39,"A",IF(N1936&gt;=Parâmetros!$B$40,"B",IF(N1936&gt;=Parâmetros!$B$41,"C","D"))))</f>
        <v>R</v>
      </c>
      <c r="Q1936" s="10" t="str">
        <f aca="false">IF(F1936="","Completar cadastro","")</f>
        <v/>
      </c>
      <c r="R1936" s="10" t="str">
        <f aca="false">INDEX(Parâmetros!$D$39:$D$43,MATCH(P1936,Parâmetros!$A$39:$A$43,0))</f>
        <v>Reciclar: requalificar, reengajar ou encerrar</v>
      </c>
    </row>
    <row r="1937" customFormat="false" ht="15" hidden="false" customHeight="false" outlineLevel="0" collapsed="false">
      <c r="A1937" s="10" t="s">
        <v>2184</v>
      </c>
      <c r="B1937" s="10" t="s">
        <v>96</v>
      </c>
      <c r="C1937" s="10" t="s">
        <v>92</v>
      </c>
      <c r="D1937" s="10" t="s">
        <v>160</v>
      </c>
      <c r="E1937" s="10" t="s">
        <v>52</v>
      </c>
      <c r="F1937" s="10"/>
      <c r="G1937" s="10" t="s">
        <v>162</v>
      </c>
      <c r="H1937" s="30" t="n">
        <v>42886</v>
      </c>
      <c r="I1937" s="8" t="n">
        <f aca="false">INDEX(Parâmetros!$C$13:$C$19,MATCH(E1937,Parâmetros!$A$13:$A$19,0))</f>
        <v>55</v>
      </c>
      <c r="J1937" s="26" t="n">
        <f aca="false">IF(H1937="","",Parâmetros!$B$5-H1937)</f>
        <v>214</v>
      </c>
      <c r="K1937" s="10" t="n">
        <f aca="false">INDEX(Parâmetros!$D$13:$D$19,MATCH(E1937,Parâmetros!$A$13:$A$19,0))</f>
        <v>0</v>
      </c>
      <c r="L1937" s="10" t="n">
        <f aca="false">IF(G1937="Prospecting",Parâmetros!$B$9,IF(J1937&gt;Parâmetros!$B$6,0,INDEX(Parâmetros!$C$24:$C$26,MATCH(J1937,Parâmetros!$A$24:$A$26,1))))</f>
        <v>0</v>
      </c>
      <c r="M1937" s="31" t="n">
        <f aca="false">IF(G1937="Prospecting",1,INDEX(Parâmetros!$C$32:$C$35,MATCH(J1937,Parâmetros!$A$32:$A$35,1)))</f>
        <v>0.4</v>
      </c>
      <c r="N1937" s="2" t="n">
        <f aca="false">ROUND((K1937+L1937)*M1937,0)</f>
        <v>0</v>
      </c>
      <c r="O1937" s="10" t="str">
        <f aca="false">IF(AND(G1937="Engaging",J1937&gt;Parâmetros!$B$6),"Sim","Não")</f>
        <v>Sim</v>
      </c>
      <c r="P1937" s="32" t="str">
        <f aca="false">IF(O1937="Sim","R",IF(N1937&gt;=Parâmetros!$B$39,"A",IF(N1937&gt;=Parâmetros!$B$40,"B",IF(N1937&gt;=Parâmetros!$B$41,"C","D"))))</f>
        <v>R</v>
      </c>
      <c r="Q1937" s="10" t="str">
        <f aca="false">IF(F1937="","Completar cadastro","")</f>
        <v>Completar cadastro</v>
      </c>
      <c r="R1937" s="10" t="str">
        <f aca="false">INDEX(Parâmetros!$D$39:$D$43,MATCH(P1937,Parâmetros!$A$39:$A$43,0))</f>
        <v>Reciclar: requalificar, reengajar ou encerrar</v>
      </c>
    </row>
    <row r="1938" customFormat="false" ht="15" hidden="false" customHeight="false" outlineLevel="0" collapsed="false">
      <c r="A1938" s="10" t="s">
        <v>2185</v>
      </c>
      <c r="B1938" s="10" t="s">
        <v>69</v>
      </c>
      <c r="C1938" s="10" t="s">
        <v>65</v>
      </c>
      <c r="D1938" s="10" t="s">
        <v>160</v>
      </c>
      <c r="E1938" s="10" t="s">
        <v>52</v>
      </c>
      <c r="F1938" s="10"/>
      <c r="G1938" s="10" t="s">
        <v>162</v>
      </c>
      <c r="H1938" s="30" t="n">
        <v>42887</v>
      </c>
      <c r="I1938" s="8" t="n">
        <f aca="false">INDEX(Parâmetros!$C$13:$C$19,MATCH(E1938,Parâmetros!$A$13:$A$19,0))</f>
        <v>55</v>
      </c>
      <c r="J1938" s="26" t="n">
        <f aca="false">IF(H1938="","",Parâmetros!$B$5-H1938)</f>
        <v>213</v>
      </c>
      <c r="K1938" s="10" t="n">
        <f aca="false">INDEX(Parâmetros!$D$13:$D$19,MATCH(E1938,Parâmetros!$A$13:$A$19,0))</f>
        <v>0</v>
      </c>
      <c r="L1938" s="10" t="n">
        <f aca="false">IF(G1938="Prospecting",Parâmetros!$B$9,IF(J1938&gt;Parâmetros!$B$6,0,INDEX(Parâmetros!$C$24:$C$26,MATCH(J1938,Parâmetros!$A$24:$A$26,1))))</f>
        <v>0</v>
      </c>
      <c r="M1938" s="31" t="n">
        <f aca="false">IF(G1938="Prospecting",1,INDEX(Parâmetros!$C$32:$C$35,MATCH(J1938,Parâmetros!$A$32:$A$35,1)))</f>
        <v>0.4</v>
      </c>
      <c r="N1938" s="2" t="n">
        <f aca="false">ROUND((K1938+L1938)*M1938,0)</f>
        <v>0</v>
      </c>
      <c r="O1938" s="10" t="str">
        <f aca="false">IF(AND(G1938="Engaging",J1938&gt;Parâmetros!$B$6),"Sim","Não")</f>
        <v>Sim</v>
      </c>
      <c r="P1938" s="32" t="str">
        <f aca="false">IF(O1938="Sim","R",IF(N1938&gt;=Parâmetros!$B$39,"A",IF(N1938&gt;=Parâmetros!$B$40,"B",IF(N1938&gt;=Parâmetros!$B$41,"C","D"))))</f>
        <v>R</v>
      </c>
      <c r="Q1938" s="10" t="str">
        <f aca="false">IF(F1938="","Completar cadastro","")</f>
        <v>Completar cadastro</v>
      </c>
      <c r="R1938" s="10" t="str">
        <f aca="false">INDEX(Parâmetros!$D$39:$D$43,MATCH(P1938,Parâmetros!$A$39:$A$43,0))</f>
        <v>Reciclar: requalificar, reengajar ou encerrar</v>
      </c>
    </row>
    <row r="1939" customFormat="false" ht="15" hidden="false" customHeight="false" outlineLevel="0" collapsed="false">
      <c r="A1939" s="10" t="s">
        <v>2186</v>
      </c>
      <c r="B1939" s="10" t="s">
        <v>69</v>
      </c>
      <c r="C1939" s="10" t="s">
        <v>65</v>
      </c>
      <c r="D1939" s="10" t="s">
        <v>160</v>
      </c>
      <c r="E1939" s="10" t="s">
        <v>52</v>
      </c>
      <c r="F1939" s="10" t="s">
        <v>344</v>
      </c>
      <c r="G1939" s="10" t="s">
        <v>162</v>
      </c>
      <c r="H1939" s="30" t="n">
        <v>42889</v>
      </c>
      <c r="I1939" s="8" t="n">
        <f aca="false">INDEX(Parâmetros!$C$13:$C$19,MATCH(E1939,Parâmetros!$A$13:$A$19,0))</f>
        <v>55</v>
      </c>
      <c r="J1939" s="26" t="n">
        <f aca="false">IF(H1939="","",Parâmetros!$B$5-H1939)</f>
        <v>211</v>
      </c>
      <c r="K1939" s="10" t="n">
        <f aca="false">INDEX(Parâmetros!$D$13:$D$19,MATCH(E1939,Parâmetros!$A$13:$A$19,0))</f>
        <v>0</v>
      </c>
      <c r="L1939" s="10" t="n">
        <f aca="false">IF(G1939="Prospecting",Parâmetros!$B$9,IF(J1939&gt;Parâmetros!$B$6,0,INDEX(Parâmetros!$C$24:$C$26,MATCH(J1939,Parâmetros!$A$24:$A$26,1))))</f>
        <v>0</v>
      </c>
      <c r="M1939" s="31" t="n">
        <f aca="false">IF(G1939="Prospecting",1,INDEX(Parâmetros!$C$32:$C$35,MATCH(J1939,Parâmetros!$A$32:$A$35,1)))</f>
        <v>0.4</v>
      </c>
      <c r="N1939" s="2" t="n">
        <f aca="false">ROUND((K1939+L1939)*M1939,0)</f>
        <v>0</v>
      </c>
      <c r="O1939" s="10" t="str">
        <f aca="false">IF(AND(G1939="Engaging",J1939&gt;Parâmetros!$B$6),"Sim","Não")</f>
        <v>Sim</v>
      </c>
      <c r="P1939" s="32" t="str">
        <f aca="false">IF(O1939="Sim","R",IF(N1939&gt;=Parâmetros!$B$39,"A",IF(N1939&gt;=Parâmetros!$B$40,"B",IF(N1939&gt;=Parâmetros!$B$41,"C","D"))))</f>
        <v>R</v>
      </c>
      <c r="Q1939" s="10" t="str">
        <f aca="false">IF(F1939="","Completar cadastro","")</f>
        <v/>
      </c>
      <c r="R1939" s="10" t="str">
        <f aca="false">INDEX(Parâmetros!$D$39:$D$43,MATCH(P1939,Parâmetros!$A$39:$A$43,0))</f>
        <v>Reciclar: requalificar, reengajar ou encerrar</v>
      </c>
    </row>
    <row r="1940" customFormat="false" ht="15" hidden="false" customHeight="false" outlineLevel="0" collapsed="false">
      <c r="A1940" s="10" t="s">
        <v>2187</v>
      </c>
      <c r="B1940" s="10" t="s">
        <v>95</v>
      </c>
      <c r="C1940" s="10" t="s">
        <v>92</v>
      </c>
      <c r="D1940" s="10" t="s">
        <v>160</v>
      </c>
      <c r="E1940" s="10" t="s">
        <v>52</v>
      </c>
      <c r="F1940" s="10" t="s">
        <v>293</v>
      </c>
      <c r="G1940" s="10" t="s">
        <v>162</v>
      </c>
      <c r="H1940" s="30" t="n">
        <v>42890</v>
      </c>
      <c r="I1940" s="8" t="n">
        <f aca="false">INDEX(Parâmetros!$C$13:$C$19,MATCH(E1940,Parâmetros!$A$13:$A$19,0))</f>
        <v>55</v>
      </c>
      <c r="J1940" s="26" t="n">
        <f aca="false">IF(H1940="","",Parâmetros!$B$5-H1940)</f>
        <v>210</v>
      </c>
      <c r="K1940" s="10" t="n">
        <f aca="false">INDEX(Parâmetros!$D$13:$D$19,MATCH(E1940,Parâmetros!$A$13:$A$19,0))</f>
        <v>0</v>
      </c>
      <c r="L1940" s="10" t="n">
        <f aca="false">IF(G1940="Prospecting",Parâmetros!$B$9,IF(J1940&gt;Parâmetros!$B$6,0,INDEX(Parâmetros!$C$24:$C$26,MATCH(J1940,Parâmetros!$A$24:$A$26,1))))</f>
        <v>0</v>
      </c>
      <c r="M1940" s="31" t="n">
        <f aca="false">IF(G1940="Prospecting",1,INDEX(Parâmetros!$C$32:$C$35,MATCH(J1940,Parâmetros!$A$32:$A$35,1)))</f>
        <v>0.4</v>
      </c>
      <c r="N1940" s="2" t="n">
        <f aca="false">ROUND((K1940+L1940)*M1940,0)</f>
        <v>0</v>
      </c>
      <c r="O1940" s="10" t="str">
        <f aca="false">IF(AND(G1940="Engaging",J1940&gt;Parâmetros!$B$6),"Sim","Não")</f>
        <v>Sim</v>
      </c>
      <c r="P1940" s="32" t="str">
        <f aca="false">IF(O1940="Sim","R",IF(N1940&gt;=Parâmetros!$B$39,"A",IF(N1940&gt;=Parâmetros!$B$40,"B",IF(N1940&gt;=Parâmetros!$B$41,"C","D"))))</f>
        <v>R</v>
      </c>
      <c r="Q1940" s="10" t="str">
        <f aca="false">IF(F1940="","Completar cadastro","")</f>
        <v/>
      </c>
      <c r="R1940" s="10" t="str">
        <f aca="false">INDEX(Parâmetros!$D$39:$D$43,MATCH(P1940,Parâmetros!$A$39:$A$43,0))</f>
        <v>Reciclar: requalificar, reengajar ou encerrar</v>
      </c>
    </row>
    <row r="1941" customFormat="false" ht="15" hidden="false" customHeight="false" outlineLevel="0" collapsed="false">
      <c r="A1941" s="10" t="s">
        <v>2188</v>
      </c>
      <c r="B1941" s="10" t="s">
        <v>97</v>
      </c>
      <c r="C1941" s="10" t="s">
        <v>92</v>
      </c>
      <c r="D1941" s="10" t="s">
        <v>160</v>
      </c>
      <c r="E1941" s="10" t="s">
        <v>52</v>
      </c>
      <c r="F1941" s="10"/>
      <c r="G1941" s="10" t="s">
        <v>162</v>
      </c>
      <c r="H1941" s="30" t="n">
        <v>42891</v>
      </c>
      <c r="I1941" s="8" t="n">
        <f aca="false">INDEX(Parâmetros!$C$13:$C$19,MATCH(E1941,Parâmetros!$A$13:$A$19,0))</f>
        <v>55</v>
      </c>
      <c r="J1941" s="26" t="n">
        <f aca="false">IF(H1941="","",Parâmetros!$B$5-H1941)</f>
        <v>209</v>
      </c>
      <c r="K1941" s="10" t="n">
        <f aca="false">INDEX(Parâmetros!$D$13:$D$19,MATCH(E1941,Parâmetros!$A$13:$A$19,0))</f>
        <v>0</v>
      </c>
      <c r="L1941" s="10" t="n">
        <f aca="false">IF(G1941="Prospecting",Parâmetros!$B$9,IF(J1941&gt;Parâmetros!$B$6,0,INDEX(Parâmetros!$C$24:$C$26,MATCH(J1941,Parâmetros!$A$24:$A$26,1))))</f>
        <v>0</v>
      </c>
      <c r="M1941" s="31" t="n">
        <f aca="false">IF(G1941="Prospecting",1,INDEX(Parâmetros!$C$32:$C$35,MATCH(J1941,Parâmetros!$A$32:$A$35,1)))</f>
        <v>0.4</v>
      </c>
      <c r="N1941" s="2" t="n">
        <f aca="false">ROUND((K1941+L1941)*M1941,0)</f>
        <v>0</v>
      </c>
      <c r="O1941" s="10" t="str">
        <f aca="false">IF(AND(G1941="Engaging",J1941&gt;Parâmetros!$B$6),"Sim","Não")</f>
        <v>Sim</v>
      </c>
      <c r="P1941" s="32" t="str">
        <f aca="false">IF(O1941="Sim","R",IF(N1941&gt;=Parâmetros!$B$39,"A",IF(N1941&gt;=Parâmetros!$B$40,"B",IF(N1941&gt;=Parâmetros!$B$41,"C","D"))))</f>
        <v>R</v>
      </c>
      <c r="Q1941" s="10" t="str">
        <f aca="false">IF(F1941="","Completar cadastro","")</f>
        <v>Completar cadastro</v>
      </c>
      <c r="R1941" s="10" t="str">
        <f aca="false">INDEX(Parâmetros!$D$39:$D$43,MATCH(P1941,Parâmetros!$A$39:$A$43,0))</f>
        <v>Reciclar: requalificar, reengajar ou encerrar</v>
      </c>
    </row>
    <row r="1942" customFormat="false" ht="15" hidden="false" customHeight="false" outlineLevel="0" collapsed="false">
      <c r="A1942" s="10" t="s">
        <v>2189</v>
      </c>
      <c r="B1942" s="10" t="s">
        <v>61</v>
      </c>
      <c r="C1942" s="10" t="s">
        <v>58</v>
      </c>
      <c r="D1942" s="10" t="s">
        <v>165</v>
      </c>
      <c r="E1942" s="10" t="s">
        <v>52</v>
      </c>
      <c r="F1942" s="10"/>
      <c r="G1942" s="10" t="s">
        <v>162</v>
      </c>
      <c r="H1942" s="30" t="n">
        <v>42892</v>
      </c>
      <c r="I1942" s="8" t="n">
        <f aca="false">INDEX(Parâmetros!$C$13:$C$19,MATCH(E1942,Parâmetros!$A$13:$A$19,0))</f>
        <v>55</v>
      </c>
      <c r="J1942" s="26" t="n">
        <f aca="false">IF(H1942="","",Parâmetros!$B$5-H1942)</f>
        <v>208</v>
      </c>
      <c r="K1942" s="10" t="n">
        <f aca="false">INDEX(Parâmetros!$D$13:$D$19,MATCH(E1942,Parâmetros!$A$13:$A$19,0))</f>
        <v>0</v>
      </c>
      <c r="L1942" s="10" t="n">
        <f aca="false">IF(G1942="Prospecting",Parâmetros!$B$9,IF(J1942&gt;Parâmetros!$B$6,0,INDEX(Parâmetros!$C$24:$C$26,MATCH(J1942,Parâmetros!$A$24:$A$26,1))))</f>
        <v>0</v>
      </c>
      <c r="M1942" s="31" t="n">
        <f aca="false">IF(G1942="Prospecting",1,INDEX(Parâmetros!$C$32:$C$35,MATCH(J1942,Parâmetros!$A$32:$A$35,1)))</f>
        <v>0.4</v>
      </c>
      <c r="N1942" s="2" t="n">
        <f aca="false">ROUND((K1942+L1942)*M1942,0)</f>
        <v>0</v>
      </c>
      <c r="O1942" s="10" t="str">
        <f aca="false">IF(AND(G1942="Engaging",J1942&gt;Parâmetros!$B$6),"Sim","Não")</f>
        <v>Sim</v>
      </c>
      <c r="P1942" s="32" t="str">
        <f aca="false">IF(O1942="Sim","R",IF(N1942&gt;=Parâmetros!$B$39,"A",IF(N1942&gt;=Parâmetros!$B$40,"B",IF(N1942&gt;=Parâmetros!$B$41,"C","D"))))</f>
        <v>R</v>
      </c>
      <c r="Q1942" s="10" t="str">
        <f aca="false">IF(F1942="","Completar cadastro","")</f>
        <v>Completar cadastro</v>
      </c>
      <c r="R1942" s="10" t="str">
        <f aca="false">INDEX(Parâmetros!$D$39:$D$43,MATCH(P1942,Parâmetros!$A$39:$A$43,0))</f>
        <v>Reciclar: requalificar, reengajar ou encerrar</v>
      </c>
    </row>
    <row r="1943" customFormat="false" ht="15" hidden="false" customHeight="false" outlineLevel="0" collapsed="false">
      <c r="A1943" s="10" t="s">
        <v>2190</v>
      </c>
      <c r="B1943" s="10" t="s">
        <v>68</v>
      </c>
      <c r="C1943" s="10" t="s">
        <v>65</v>
      </c>
      <c r="D1943" s="10" t="s">
        <v>160</v>
      </c>
      <c r="E1943" s="10" t="s">
        <v>52</v>
      </c>
      <c r="F1943" s="10"/>
      <c r="G1943" s="10" t="s">
        <v>162</v>
      </c>
      <c r="H1943" s="30" t="n">
        <v>42893</v>
      </c>
      <c r="I1943" s="8" t="n">
        <f aca="false">INDEX(Parâmetros!$C$13:$C$19,MATCH(E1943,Parâmetros!$A$13:$A$19,0))</f>
        <v>55</v>
      </c>
      <c r="J1943" s="26" t="n">
        <f aca="false">IF(H1943="","",Parâmetros!$B$5-H1943)</f>
        <v>207</v>
      </c>
      <c r="K1943" s="10" t="n">
        <f aca="false">INDEX(Parâmetros!$D$13:$D$19,MATCH(E1943,Parâmetros!$A$13:$A$19,0))</f>
        <v>0</v>
      </c>
      <c r="L1943" s="10" t="n">
        <f aca="false">IF(G1943="Prospecting",Parâmetros!$B$9,IF(J1943&gt;Parâmetros!$B$6,0,INDEX(Parâmetros!$C$24:$C$26,MATCH(J1943,Parâmetros!$A$24:$A$26,1))))</f>
        <v>0</v>
      </c>
      <c r="M1943" s="31" t="n">
        <f aca="false">IF(G1943="Prospecting",1,INDEX(Parâmetros!$C$32:$C$35,MATCH(J1943,Parâmetros!$A$32:$A$35,1)))</f>
        <v>0.4</v>
      </c>
      <c r="N1943" s="2" t="n">
        <f aca="false">ROUND((K1943+L1943)*M1943,0)</f>
        <v>0</v>
      </c>
      <c r="O1943" s="10" t="str">
        <f aca="false">IF(AND(G1943="Engaging",J1943&gt;Parâmetros!$B$6),"Sim","Não")</f>
        <v>Sim</v>
      </c>
      <c r="P1943" s="32" t="str">
        <f aca="false">IF(O1943="Sim","R",IF(N1943&gt;=Parâmetros!$B$39,"A",IF(N1943&gt;=Parâmetros!$B$40,"B",IF(N1943&gt;=Parâmetros!$B$41,"C","D"))))</f>
        <v>R</v>
      </c>
      <c r="Q1943" s="10" t="str">
        <f aca="false">IF(F1943="","Completar cadastro","")</f>
        <v>Completar cadastro</v>
      </c>
      <c r="R1943" s="10" t="str">
        <f aca="false">INDEX(Parâmetros!$D$39:$D$43,MATCH(P1943,Parâmetros!$A$39:$A$43,0))</f>
        <v>Reciclar: requalificar, reengajar ou encerrar</v>
      </c>
    </row>
    <row r="1944" customFormat="false" ht="15" hidden="false" customHeight="false" outlineLevel="0" collapsed="false">
      <c r="A1944" s="10" t="s">
        <v>2191</v>
      </c>
      <c r="B1944" s="10" t="s">
        <v>62</v>
      </c>
      <c r="C1944" s="10" t="s">
        <v>58</v>
      </c>
      <c r="D1944" s="10" t="s">
        <v>165</v>
      </c>
      <c r="E1944" s="10" t="s">
        <v>52</v>
      </c>
      <c r="F1944" s="10"/>
      <c r="G1944" s="10" t="s">
        <v>162</v>
      </c>
      <c r="H1944" s="30" t="n">
        <v>42893</v>
      </c>
      <c r="I1944" s="8" t="n">
        <f aca="false">INDEX(Parâmetros!$C$13:$C$19,MATCH(E1944,Parâmetros!$A$13:$A$19,0))</f>
        <v>55</v>
      </c>
      <c r="J1944" s="26" t="n">
        <f aca="false">IF(H1944="","",Parâmetros!$B$5-H1944)</f>
        <v>207</v>
      </c>
      <c r="K1944" s="10" t="n">
        <f aca="false">INDEX(Parâmetros!$D$13:$D$19,MATCH(E1944,Parâmetros!$A$13:$A$19,0))</f>
        <v>0</v>
      </c>
      <c r="L1944" s="10" t="n">
        <f aca="false">IF(G1944="Prospecting",Parâmetros!$B$9,IF(J1944&gt;Parâmetros!$B$6,0,INDEX(Parâmetros!$C$24:$C$26,MATCH(J1944,Parâmetros!$A$24:$A$26,1))))</f>
        <v>0</v>
      </c>
      <c r="M1944" s="31" t="n">
        <f aca="false">IF(G1944="Prospecting",1,INDEX(Parâmetros!$C$32:$C$35,MATCH(J1944,Parâmetros!$A$32:$A$35,1)))</f>
        <v>0.4</v>
      </c>
      <c r="N1944" s="2" t="n">
        <f aca="false">ROUND((K1944+L1944)*M1944,0)</f>
        <v>0</v>
      </c>
      <c r="O1944" s="10" t="str">
        <f aca="false">IF(AND(G1944="Engaging",J1944&gt;Parâmetros!$B$6),"Sim","Não")</f>
        <v>Sim</v>
      </c>
      <c r="P1944" s="32" t="str">
        <f aca="false">IF(O1944="Sim","R",IF(N1944&gt;=Parâmetros!$B$39,"A",IF(N1944&gt;=Parâmetros!$B$40,"B",IF(N1944&gt;=Parâmetros!$B$41,"C","D"))))</f>
        <v>R</v>
      </c>
      <c r="Q1944" s="10" t="str">
        <f aca="false">IF(F1944="","Completar cadastro","")</f>
        <v>Completar cadastro</v>
      </c>
      <c r="R1944" s="10" t="str">
        <f aca="false">INDEX(Parâmetros!$D$39:$D$43,MATCH(P1944,Parâmetros!$A$39:$A$43,0))</f>
        <v>Reciclar: requalificar, reengajar ou encerrar</v>
      </c>
    </row>
    <row r="1945" customFormat="false" ht="15" hidden="false" customHeight="false" outlineLevel="0" collapsed="false">
      <c r="A1945" s="10" t="s">
        <v>2192</v>
      </c>
      <c r="B1945" s="10" t="s">
        <v>61</v>
      </c>
      <c r="C1945" s="10" t="s">
        <v>58</v>
      </c>
      <c r="D1945" s="10" t="s">
        <v>165</v>
      </c>
      <c r="E1945" s="10" t="s">
        <v>52</v>
      </c>
      <c r="F1945" s="10"/>
      <c r="G1945" s="10" t="s">
        <v>162</v>
      </c>
      <c r="H1945" s="30" t="n">
        <v>42894</v>
      </c>
      <c r="I1945" s="8" t="n">
        <f aca="false">INDEX(Parâmetros!$C$13:$C$19,MATCH(E1945,Parâmetros!$A$13:$A$19,0))</f>
        <v>55</v>
      </c>
      <c r="J1945" s="26" t="n">
        <f aca="false">IF(H1945="","",Parâmetros!$B$5-H1945)</f>
        <v>206</v>
      </c>
      <c r="K1945" s="10" t="n">
        <f aca="false">INDEX(Parâmetros!$D$13:$D$19,MATCH(E1945,Parâmetros!$A$13:$A$19,0))</f>
        <v>0</v>
      </c>
      <c r="L1945" s="10" t="n">
        <f aca="false">IF(G1945="Prospecting",Parâmetros!$B$9,IF(J1945&gt;Parâmetros!$B$6,0,INDEX(Parâmetros!$C$24:$C$26,MATCH(J1945,Parâmetros!$A$24:$A$26,1))))</f>
        <v>0</v>
      </c>
      <c r="M1945" s="31" t="n">
        <f aca="false">IF(G1945="Prospecting",1,INDEX(Parâmetros!$C$32:$C$35,MATCH(J1945,Parâmetros!$A$32:$A$35,1)))</f>
        <v>0.4</v>
      </c>
      <c r="N1945" s="2" t="n">
        <f aca="false">ROUND((K1945+L1945)*M1945,0)</f>
        <v>0</v>
      </c>
      <c r="O1945" s="10" t="str">
        <f aca="false">IF(AND(G1945="Engaging",J1945&gt;Parâmetros!$B$6),"Sim","Não")</f>
        <v>Sim</v>
      </c>
      <c r="P1945" s="32" t="str">
        <f aca="false">IF(O1945="Sim","R",IF(N1945&gt;=Parâmetros!$B$39,"A",IF(N1945&gt;=Parâmetros!$B$40,"B",IF(N1945&gt;=Parâmetros!$B$41,"C","D"))))</f>
        <v>R</v>
      </c>
      <c r="Q1945" s="10" t="str">
        <f aca="false">IF(F1945="","Completar cadastro","")</f>
        <v>Completar cadastro</v>
      </c>
      <c r="R1945" s="10" t="str">
        <f aca="false">INDEX(Parâmetros!$D$39:$D$43,MATCH(P1945,Parâmetros!$A$39:$A$43,0))</f>
        <v>Reciclar: requalificar, reengajar ou encerrar</v>
      </c>
    </row>
    <row r="1946" customFormat="false" ht="15" hidden="false" customHeight="false" outlineLevel="0" collapsed="false">
      <c r="A1946" s="10" t="s">
        <v>2193</v>
      </c>
      <c r="B1946" s="10" t="s">
        <v>57</v>
      </c>
      <c r="C1946" s="10" t="s">
        <v>58</v>
      </c>
      <c r="D1946" s="10" t="s">
        <v>165</v>
      </c>
      <c r="E1946" s="10" t="s">
        <v>52</v>
      </c>
      <c r="F1946" s="10"/>
      <c r="G1946" s="10" t="s">
        <v>162</v>
      </c>
      <c r="H1946" s="30" t="n">
        <v>42895</v>
      </c>
      <c r="I1946" s="8" t="n">
        <f aca="false">INDEX(Parâmetros!$C$13:$C$19,MATCH(E1946,Parâmetros!$A$13:$A$19,0))</f>
        <v>55</v>
      </c>
      <c r="J1946" s="26" t="n">
        <f aca="false">IF(H1946="","",Parâmetros!$B$5-H1946)</f>
        <v>205</v>
      </c>
      <c r="K1946" s="10" t="n">
        <f aca="false">INDEX(Parâmetros!$D$13:$D$19,MATCH(E1946,Parâmetros!$A$13:$A$19,0))</f>
        <v>0</v>
      </c>
      <c r="L1946" s="10" t="n">
        <f aca="false">IF(G1946="Prospecting",Parâmetros!$B$9,IF(J1946&gt;Parâmetros!$B$6,0,INDEX(Parâmetros!$C$24:$C$26,MATCH(J1946,Parâmetros!$A$24:$A$26,1))))</f>
        <v>0</v>
      </c>
      <c r="M1946" s="31" t="n">
        <f aca="false">IF(G1946="Prospecting",1,INDEX(Parâmetros!$C$32:$C$35,MATCH(J1946,Parâmetros!$A$32:$A$35,1)))</f>
        <v>0.4</v>
      </c>
      <c r="N1946" s="2" t="n">
        <f aca="false">ROUND((K1946+L1946)*M1946,0)</f>
        <v>0</v>
      </c>
      <c r="O1946" s="10" t="str">
        <f aca="false">IF(AND(G1946="Engaging",J1946&gt;Parâmetros!$B$6),"Sim","Não")</f>
        <v>Sim</v>
      </c>
      <c r="P1946" s="32" t="str">
        <f aca="false">IF(O1946="Sim","R",IF(N1946&gt;=Parâmetros!$B$39,"A",IF(N1946&gt;=Parâmetros!$B$40,"B",IF(N1946&gt;=Parâmetros!$B$41,"C","D"))))</f>
        <v>R</v>
      </c>
      <c r="Q1946" s="10" t="str">
        <f aca="false">IF(F1946="","Completar cadastro","")</f>
        <v>Completar cadastro</v>
      </c>
      <c r="R1946" s="10" t="str">
        <f aca="false">INDEX(Parâmetros!$D$39:$D$43,MATCH(P1946,Parâmetros!$A$39:$A$43,0))</f>
        <v>Reciclar: requalificar, reengajar ou encerrar</v>
      </c>
    </row>
    <row r="1947" customFormat="false" ht="15" hidden="false" customHeight="false" outlineLevel="0" collapsed="false">
      <c r="A1947" s="10" t="s">
        <v>2194</v>
      </c>
      <c r="B1947" s="10" t="s">
        <v>86</v>
      </c>
      <c r="C1947" s="10" t="s">
        <v>85</v>
      </c>
      <c r="D1947" s="10" t="s">
        <v>165</v>
      </c>
      <c r="E1947" s="10" t="s">
        <v>52</v>
      </c>
      <c r="F1947" s="10"/>
      <c r="G1947" s="10" t="s">
        <v>162</v>
      </c>
      <c r="H1947" s="30" t="n">
        <v>42899</v>
      </c>
      <c r="I1947" s="8" t="n">
        <f aca="false">INDEX(Parâmetros!$C$13:$C$19,MATCH(E1947,Parâmetros!$A$13:$A$19,0))</f>
        <v>55</v>
      </c>
      <c r="J1947" s="26" t="n">
        <f aca="false">IF(H1947="","",Parâmetros!$B$5-H1947)</f>
        <v>201</v>
      </c>
      <c r="K1947" s="10" t="n">
        <f aca="false">INDEX(Parâmetros!$D$13:$D$19,MATCH(E1947,Parâmetros!$A$13:$A$19,0))</f>
        <v>0</v>
      </c>
      <c r="L1947" s="10" t="n">
        <f aca="false">IF(G1947="Prospecting",Parâmetros!$B$9,IF(J1947&gt;Parâmetros!$B$6,0,INDEX(Parâmetros!$C$24:$C$26,MATCH(J1947,Parâmetros!$A$24:$A$26,1))))</f>
        <v>0</v>
      </c>
      <c r="M1947" s="31" t="n">
        <f aca="false">IF(G1947="Prospecting",1,INDEX(Parâmetros!$C$32:$C$35,MATCH(J1947,Parâmetros!$A$32:$A$35,1)))</f>
        <v>0.4</v>
      </c>
      <c r="N1947" s="2" t="n">
        <f aca="false">ROUND((K1947+L1947)*M1947,0)</f>
        <v>0</v>
      </c>
      <c r="O1947" s="10" t="str">
        <f aca="false">IF(AND(G1947="Engaging",J1947&gt;Parâmetros!$B$6),"Sim","Não")</f>
        <v>Sim</v>
      </c>
      <c r="P1947" s="32" t="str">
        <f aca="false">IF(O1947="Sim","R",IF(N1947&gt;=Parâmetros!$B$39,"A",IF(N1947&gt;=Parâmetros!$B$40,"B",IF(N1947&gt;=Parâmetros!$B$41,"C","D"))))</f>
        <v>R</v>
      </c>
      <c r="Q1947" s="10" t="str">
        <f aca="false">IF(F1947="","Completar cadastro","")</f>
        <v>Completar cadastro</v>
      </c>
      <c r="R1947" s="10" t="str">
        <f aca="false">INDEX(Parâmetros!$D$39:$D$43,MATCH(P1947,Parâmetros!$A$39:$A$43,0))</f>
        <v>Reciclar: requalificar, reengajar ou encerrar</v>
      </c>
    </row>
    <row r="1948" customFormat="false" ht="15" hidden="false" customHeight="false" outlineLevel="0" collapsed="false">
      <c r="A1948" s="10" t="s">
        <v>2195</v>
      </c>
      <c r="B1948" s="10" t="s">
        <v>69</v>
      </c>
      <c r="C1948" s="10" t="s">
        <v>65</v>
      </c>
      <c r="D1948" s="10" t="s">
        <v>160</v>
      </c>
      <c r="E1948" s="10" t="s">
        <v>52</v>
      </c>
      <c r="F1948" s="10"/>
      <c r="G1948" s="10" t="s">
        <v>162</v>
      </c>
      <c r="H1948" s="30" t="n">
        <v>42901</v>
      </c>
      <c r="I1948" s="8" t="n">
        <f aca="false">INDEX(Parâmetros!$C$13:$C$19,MATCH(E1948,Parâmetros!$A$13:$A$19,0))</f>
        <v>55</v>
      </c>
      <c r="J1948" s="26" t="n">
        <f aca="false">IF(H1948="","",Parâmetros!$B$5-H1948)</f>
        <v>199</v>
      </c>
      <c r="K1948" s="10" t="n">
        <f aca="false">INDEX(Parâmetros!$D$13:$D$19,MATCH(E1948,Parâmetros!$A$13:$A$19,0))</f>
        <v>0</v>
      </c>
      <c r="L1948" s="10" t="n">
        <f aca="false">IF(G1948="Prospecting",Parâmetros!$B$9,IF(J1948&gt;Parâmetros!$B$6,0,INDEX(Parâmetros!$C$24:$C$26,MATCH(J1948,Parâmetros!$A$24:$A$26,1))))</f>
        <v>0</v>
      </c>
      <c r="M1948" s="31" t="n">
        <f aca="false">IF(G1948="Prospecting",1,INDEX(Parâmetros!$C$32:$C$35,MATCH(J1948,Parâmetros!$A$32:$A$35,1)))</f>
        <v>0.4</v>
      </c>
      <c r="N1948" s="2" t="n">
        <f aca="false">ROUND((K1948+L1948)*M1948,0)</f>
        <v>0</v>
      </c>
      <c r="O1948" s="10" t="str">
        <f aca="false">IF(AND(G1948="Engaging",J1948&gt;Parâmetros!$B$6),"Sim","Não")</f>
        <v>Sim</v>
      </c>
      <c r="P1948" s="32" t="str">
        <f aca="false">IF(O1948="Sim","R",IF(N1948&gt;=Parâmetros!$B$39,"A",IF(N1948&gt;=Parâmetros!$B$40,"B",IF(N1948&gt;=Parâmetros!$B$41,"C","D"))))</f>
        <v>R</v>
      </c>
      <c r="Q1948" s="10" t="str">
        <f aca="false">IF(F1948="","Completar cadastro","")</f>
        <v>Completar cadastro</v>
      </c>
      <c r="R1948" s="10" t="str">
        <f aca="false">INDEX(Parâmetros!$D$39:$D$43,MATCH(P1948,Parâmetros!$A$39:$A$43,0))</f>
        <v>Reciclar: requalificar, reengajar ou encerrar</v>
      </c>
    </row>
    <row r="1949" customFormat="false" ht="15" hidden="false" customHeight="false" outlineLevel="0" collapsed="false">
      <c r="A1949" s="10" t="s">
        <v>2196</v>
      </c>
      <c r="B1949" s="10" t="s">
        <v>86</v>
      </c>
      <c r="C1949" s="10" t="s">
        <v>85</v>
      </c>
      <c r="D1949" s="10" t="s">
        <v>165</v>
      </c>
      <c r="E1949" s="10" t="s">
        <v>52</v>
      </c>
      <c r="F1949" s="10" t="s">
        <v>274</v>
      </c>
      <c r="G1949" s="10" t="s">
        <v>162</v>
      </c>
      <c r="H1949" s="30" t="n">
        <v>42902</v>
      </c>
      <c r="I1949" s="8" t="n">
        <f aca="false">INDEX(Parâmetros!$C$13:$C$19,MATCH(E1949,Parâmetros!$A$13:$A$19,0))</f>
        <v>55</v>
      </c>
      <c r="J1949" s="26" t="n">
        <f aca="false">IF(H1949="","",Parâmetros!$B$5-H1949)</f>
        <v>198</v>
      </c>
      <c r="K1949" s="10" t="n">
        <f aca="false">INDEX(Parâmetros!$D$13:$D$19,MATCH(E1949,Parâmetros!$A$13:$A$19,0))</f>
        <v>0</v>
      </c>
      <c r="L1949" s="10" t="n">
        <f aca="false">IF(G1949="Prospecting",Parâmetros!$B$9,IF(J1949&gt;Parâmetros!$B$6,0,INDEX(Parâmetros!$C$24:$C$26,MATCH(J1949,Parâmetros!$A$24:$A$26,1))))</f>
        <v>0</v>
      </c>
      <c r="M1949" s="31" t="n">
        <f aca="false">IF(G1949="Prospecting",1,INDEX(Parâmetros!$C$32:$C$35,MATCH(J1949,Parâmetros!$A$32:$A$35,1)))</f>
        <v>0.4</v>
      </c>
      <c r="N1949" s="2" t="n">
        <f aca="false">ROUND((K1949+L1949)*M1949,0)</f>
        <v>0</v>
      </c>
      <c r="O1949" s="10" t="str">
        <f aca="false">IF(AND(G1949="Engaging",J1949&gt;Parâmetros!$B$6),"Sim","Não")</f>
        <v>Sim</v>
      </c>
      <c r="P1949" s="32" t="str">
        <f aca="false">IF(O1949="Sim","R",IF(N1949&gt;=Parâmetros!$B$39,"A",IF(N1949&gt;=Parâmetros!$B$40,"B",IF(N1949&gt;=Parâmetros!$B$41,"C","D"))))</f>
        <v>R</v>
      </c>
      <c r="Q1949" s="10" t="str">
        <f aca="false">IF(F1949="","Completar cadastro","")</f>
        <v/>
      </c>
      <c r="R1949" s="10" t="str">
        <f aca="false">INDEX(Parâmetros!$D$39:$D$43,MATCH(P1949,Parâmetros!$A$39:$A$43,0))</f>
        <v>Reciclar: requalificar, reengajar ou encerrar</v>
      </c>
    </row>
    <row r="1950" customFormat="false" ht="15" hidden="false" customHeight="false" outlineLevel="0" collapsed="false">
      <c r="A1950" s="10" t="s">
        <v>2197</v>
      </c>
      <c r="B1950" s="10" t="s">
        <v>70</v>
      </c>
      <c r="C1950" s="10" t="s">
        <v>65</v>
      </c>
      <c r="D1950" s="10" t="s">
        <v>160</v>
      </c>
      <c r="E1950" s="10" t="s">
        <v>52</v>
      </c>
      <c r="F1950" s="10"/>
      <c r="G1950" s="10" t="s">
        <v>162</v>
      </c>
      <c r="H1950" s="30" t="n">
        <v>42902</v>
      </c>
      <c r="I1950" s="8" t="n">
        <f aca="false">INDEX(Parâmetros!$C$13:$C$19,MATCH(E1950,Parâmetros!$A$13:$A$19,0))</f>
        <v>55</v>
      </c>
      <c r="J1950" s="26" t="n">
        <f aca="false">IF(H1950="","",Parâmetros!$B$5-H1950)</f>
        <v>198</v>
      </c>
      <c r="K1950" s="10" t="n">
        <f aca="false">INDEX(Parâmetros!$D$13:$D$19,MATCH(E1950,Parâmetros!$A$13:$A$19,0))</f>
        <v>0</v>
      </c>
      <c r="L1950" s="10" t="n">
        <f aca="false">IF(G1950="Prospecting",Parâmetros!$B$9,IF(J1950&gt;Parâmetros!$B$6,0,INDEX(Parâmetros!$C$24:$C$26,MATCH(J1950,Parâmetros!$A$24:$A$26,1))))</f>
        <v>0</v>
      </c>
      <c r="M1950" s="31" t="n">
        <f aca="false">IF(G1950="Prospecting",1,INDEX(Parâmetros!$C$32:$C$35,MATCH(J1950,Parâmetros!$A$32:$A$35,1)))</f>
        <v>0.4</v>
      </c>
      <c r="N1950" s="2" t="n">
        <f aca="false">ROUND((K1950+L1950)*M1950,0)</f>
        <v>0</v>
      </c>
      <c r="O1950" s="10" t="str">
        <f aca="false">IF(AND(G1950="Engaging",J1950&gt;Parâmetros!$B$6),"Sim","Não")</f>
        <v>Sim</v>
      </c>
      <c r="P1950" s="32" t="str">
        <f aca="false">IF(O1950="Sim","R",IF(N1950&gt;=Parâmetros!$B$39,"A",IF(N1950&gt;=Parâmetros!$B$40,"B",IF(N1950&gt;=Parâmetros!$B$41,"C","D"))))</f>
        <v>R</v>
      </c>
      <c r="Q1950" s="10" t="str">
        <f aca="false">IF(F1950="","Completar cadastro","")</f>
        <v>Completar cadastro</v>
      </c>
      <c r="R1950" s="10" t="str">
        <f aca="false">INDEX(Parâmetros!$D$39:$D$43,MATCH(P1950,Parâmetros!$A$39:$A$43,0))</f>
        <v>Reciclar: requalificar, reengajar ou encerrar</v>
      </c>
    </row>
    <row r="1951" customFormat="false" ht="15" hidden="false" customHeight="false" outlineLevel="0" collapsed="false">
      <c r="A1951" s="10" t="s">
        <v>2198</v>
      </c>
      <c r="B1951" s="10" t="s">
        <v>62</v>
      </c>
      <c r="C1951" s="10" t="s">
        <v>58</v>
      </c>
      <c r="D1951" s="10" t="s">
        <v>165</v>
      </c>
      <c r="E1951" s="10" t="s">
        <v>52</v>
      </c>
      <c r="F1951" s="10"/>
      <c r="G1951" s="10" t="s">
        <v>162</v>
      </c>
      <c r="H1951" s="30" t="n">
        <v>42902</v>
      </c>
      <c r="I1951" s="8" t="n">
        <f aca="false">INDEX(Parâmetros!$C$13:$C$19,MATCH(E1951,Parâmetros!$A$13:$A$19,0))</f>
        <v>55</v>
      </c>
      <c r="J1951" s="26" t="n">
        <f aca="false">IF(H1951="","",Parâmetros!$B$5-H1951)</f>
        <v>198</v>
      </c>
      <c r="K1951" s="10" t="n">
        <f aca="false">INDEX(Parâmetros!$D$13:$D$19,MATCH(E1951,Parâmetros!$A$13:$A$19,0))</f>
        <v>0</v>
      </c>
      <c r="L1951" s="10" t="n">
        <f aca="false">IF(G1951="Prospecting",Parâmetros!$B$9,IF(J1951&gt;Parâmetros!$B$6,0,INDEX(Parâmetros!$C$24:$C$26,MATCH(J1951,Parâmetros!$A$24:$A$26,1))))</f>
        <v>0</v>
      </c>
      <c r="M1951" s="31" t="n">
        <f aca="false">IF(G1951="Prospecting",1,INDEX(Parâmetros!$C$32:$C$35,MATCH(J1951,Parâmetros!$A$32:$A$35,1)))</f>
        <v>0.4</v>
      </c>
      <c r="N1951" s="2" t="n">
        <f aca="false">ROUND((K1951+L1951)*M1951,0)</f>
        <v>0</v>
      </c>
      <c r="O1951" s="10" t="str">
        <f aca="false">IF(AND(G1951="Engaging",J1951&gt;Parâmetros!$B$6),"Sim","Não")</f>
        <v>Sim</v>
      </c>
      <c r="P1951" s="32" t="str">
        <f aca="false">IF(O1951="Sim","R",IF(N1951&gt;=Parâmetros!$B$39,"A",IF(N1951&gt;=Parâmetros!$B$40,"B",IF(N1951&gt;=Parâmetros!$B$41,"C","D"))))</f>
        <v>R</v>
      </c>
      <c r="Q1951" s="10" t="str">
        <f aca="false">IF(F1951="","Completar cadastro","")</f>
        <v>Completar cadastro</v>
      </c>
      <c r="R1951" s="10" t="str">
        <f aca="false">INDEX(Parâmetros!$D$39:$D$43,MATCH(P1951,Parâmetros!$A$39:$A$43,0))</f>
        <v>Reciclar: requalificar, reengajar ou encerrar</v>
      </c>
    </row>
    <row r="1952" customFormat="false" ht="15" hidden="false" customHeight="false" outlineLevel="0" collapsed="false">
      <c r="A1952" s="10" t="s">
        <v>2199</v>
      </c>
      <c r="B1952" s="10" t="s">
        <v>66</v>
      </c>
      <c r="C1952" s="10" t="s">
        <v>65</v>
      </c>
      <c r="D1952" s="10" t="s">
        <v>160</v>
      </c>
      <c r="E1952" s="10" t="s">
        <v>52</v>
      </c>
      <c r="F1952" s="10" t="s">
        <v>427</v>
      </c>
      <c r="G1952" s="10" t="s">
        <v>162</v>
      </c>
      <c r="H1952" s="30" t="n">
        <v>42906</v>
      </c>
      <c r="I1952" s="8" t="n">
        <f aca="false">INDEX(Parâmetros!$C$13:$C$19,MATCH(E1952,Parâmetros!$A$13:$A$19,0))</f>
        <v>55</v>
      </c>
      <c r="J1952" s="26" t="n">
        <f aca="false">IF(H1952="","",Parâmetros!$B$5-H1952)</f>
        <v>194</v>
      </c>
      <c r="K1952" s="10" t="n">
        <f aca="false">INDEX(Parâmetros!$D$13:$D$19,MATCH(E1952,Parâmetros!$A$13:$A$19,0))</f>
        <v>0</v>
      </c>
      <c r="L1952" s="10" t="n">
        <f aca="false">IF(G1952="Prospecting",Parâmetros!$B$9,IF(J1952&gt;Parâmetros!$B$6,0,INDEX(Parâmetros!$C$24:$C$26,MATCH(J1952,Parâmetros!$A$24:$A$26,1))))</f>
        <v>0</v>
      </c>
      <c r="M1952" s="31" t="n">
        <f aca="false">IF(G1952="Prospecting",1,INDEX(Parâmetros!$C$32:$C$35,MATCH(J1952,Parâmetros!$A$32:$A$35,1)))</f>
        <v>0.4</v>
      </c>
      <c r="N1952" s="2" t="n">
        <f aca="false">ROUND((K1952+L1952)*M1952,0)</f>
        <v>0</v>
      </c>
      <c r="O1952" s="10" t="str">
        <f aca="false">IF(AND(G1952="Engaging",J1952&gt;Parâmetros!$B$6),"Sim","Não")</f>
        <v>Sim</v>
      </c>
      <c r="P1952" s="32" t="str">
        <f aca="false">IF(O1952="Sim","R",IF(N1952&gt;=Parâmetros!$B$39,"A",IF(N1952&gt;=Parâmetros!$B$40,"B",IF(N1952&gt;=Parâmetros!$B$41,"C","D"))))</f>
        <v>R</v>
      </c>
      <c r="Q1952" s="10" t="str">
        <f aca="false">IF(F1952="","Completar cadastro","")</f>
        <v/>
      </c>
      <c r="R1952" s="10" t="str">
        <f aca="false">INDEX(Parâmetros!$D$39:$D$43,MATCH(P1952,Parâmetros!$A$39:$A$43,0))</f>
        <v>Reciclar: requalificar, reengajar ou encerrar</v>
      </c>
    </row>
    <row r="1953" customFormat="false" ht="15" hidden="false" customHeight="false" outlineLevel="0" collapsed="false">
      <c r="A1953" s="10" t="s">
        <v>2200</v>
      </c>
      <c r="B1953" s="10" t="s">
        <v>93</v>
      </c>
      <c r="C1953" s="10" t="s">
        <v>92</v>
      </c>
      <c r="D1953" s="10" t="s">
        <v>160</v>
      </c>
      <c r="E1953" s="10" t="s">
        <v>52</v>
      </c>
      <c r="F1953" s="10"/>
      <c r="G1953" s="10" t="s">
        <v>162</v>
      </c>
      <c r="H1953" s="30" t="n">
        <v>42906</v>
      </c>
      <c r="I1953" s="8" t="n">
        <f aca="false">INDEX(Parâmetros!$C$13:$C$19,MATCH(E1953,Parâmetros!$A$13:$A$19,0))</f>
        <v>55</v>
      </c>
      <c r="J1953" s="26" t="n">
        <f aca="false">IF(H1953="","",Parâmetros!$B$5-H1953)</f>
        <v>194</v>
      </c>
      <c r="K1953" s="10" t="n">
        <f aca="false">INDEX(Parâmetros!$D$13:$D$19,MATCH(E1953,Parâmetros!$A$13:$A$19,0))</f>
        <v>0</v>
      </c>
      <c r="L1953" s="10" t="n">
        <f aca="false">IF(G1953="Prospecting",Parâmetros!$B$9,IF(J1953&gt;Parâmetros!$B$6,0,INDEX(Parâmetros!$C$24:$C$26,MATCH(J1953,Parâmetros!$A$24:$A$26,1))))</f>
        <v>0</v>
      </c>
      <c r="M1953" s="31" t="n">
        <f aca="false">IF(G1953="Prospecting",1,INDEX(Parâmetros!$C$32:$C$35,MATCH(J1953,Parâmetros!$A$32:$A$35,1)))</f>
        <v>0.4</v>
      </c>
      <c r="N1953" s="2" t="n">
        <f aca="false">ROUND((K1953+L1953)*M1953,0)</f>
        <v>0</v>
      </c>
      <c r="O1953" s="10" t="str">
        <f aca="false">IF(AND(G1953="Engaging",J1953&gt;Parâmetros!$B$6),"Sim","Não")</f>
        <v>Sim</v>
      </c>
      <c r="P1953" s="32" t="str">
        <f aca="false">IF(O1953="Sim","R",IF(N1953&gt;=Parâmetros!$B$39,"A",IF(N1953&gt;=Parâmetros!$B$40,"B",IF(N1953&gt;=Parâmetros!$B$41,"C","D"))))</f>
        <v>R</v>
      </c>
      <c r="Q1953" s="10" t="str">
        <f aca="false">IF(F1953="","Completar cadastro","")</f>
        <v>Completar cadastro</v>
      </c>
      <c r="R1953" s="10" t="str">
        <f aca="false">INDEX(Parâmetros!$D$39:$D$43,MATCH(P1953,Parâmetros!$A$39:$A$43,0))</f>
        <v>Reciclar: requalificar, reengajar ou encerrar</v>
      </c>
    </row>
    <row r="1954" customFormat="false" ht="15" hidden="false" customHeight="false" outlineLevel="0" collapsed="false">
      <c r="A1954" s="10" t="s">
        <v>2201</v>
      </c>
      <c r="B1954" s="10" t="s">
        <v>87</v>
      </c>
      <c r="C1954" s="10" t="s">
        <v>85</v>
      </c>
      <c r="D1954" s="10" t="s">
        <v>165</v>
      </c>
      <c r="E1954" s="10" t="s">
        <v>52</v>
      </c>
      <c r="F1954" s="10"/>
      <c r="G1954" s="10" t="s">
        <v>162</v>
      </c>
      <c r="H1954" s="30" t="n">
        <v>42908</v>
      </c>
      <c r="I1954" s="8" t="n">
        <f aca="false">INDEX(Parâmetros!$C$13:$C$19,MATCH(E1954,Parâmetros!$A$13:$A$19,0))</f>
        <v>55</v>
      </c>
      <c r="J1954" s="26" t="n">
        <f aca="false">IF(H1954="","",Parâmetros!$B$5-H1954)</f>
        <v>192</v>
      </c>
      <c r="K1954" s="10" t="n">
        <f aca="false">INDEX(Parâmetros!$D$13:$D$19,MATCH(E1954,Parâmetros!$A$13:$A$19,0))</f>
        <v>0</v>
      </c>
      <c r="L1954" s="10" t="n">
        <f aca="false">IF(G1954="Prospecting",Parâmetros!$B$9,IF(J1954&gt;Parâmetros!$B$6,0,INDEX(Parâmetros!$C$24:$C$26,MATCH(J1954,Parâmetros!$A$24:$A$26,1))))</f>
        <v>0</v>
      </c>
      <c r="M1954" s="31" t="n">
        <f aca="false">IF(G1954="Prospecting",1,INDEX(Parâmetros!$C$32:$C$35,MATCH(J1954,Parâmetros!$A$32:$A$35,1)))</f>
        <v>0.4</v>
      </c>
      <c r="N1954" s="2" t="n">
        <f aca="false">ROUND((K1954+L1954)*M1954,0)</f>
        <v>0</v>
      </c>
      <c r="O1954" s="10" t="str">
        <f aca="false">IF(AND(G1954="Engaging",J1954&gt;Parâmetros!$B$6),"Sim","Não")</f>
        <v>Sim</v>
      </c>
      <c r="P1954" s="32" t="str">
        <f aca="false">IF(O1954="Sim","R",IF(N1954&gt;=Parâmetros!$B$39,"A",IF(N1954&gt;=Parâmetros!$B$40,"B",IF(N1954&gt;=Parâmetros!$B$41,"C","D"))))</f>
        <v>R</v>
      </c>
      <c r="Q1954" s="10" t="str">
        <f aca="false">IF(F1954="","Completar cadastro","")</f>
        <v>Completar cadastro</v>
      </c>
      <c r="R1954" s="10" t="str">
        <f aca="false">INDEX(Parâmetros!$D$39:$D$43,MATCH(P1954,Parâmetros!$A$39:$A$43,0))</f>
        <v>Reciclar: requalificar, reengajar ou encerrar</v>
      </c>
    </row>
    <row r="1955" customFormat="false" ht="15" hidden="false" customHeight="false" outlineLevel="0" collapsed="false">
      <c r="A1955" s="10" t="s">
        <v>2202</v>
      </c>
      <c r="B1955" s="10" t="s">
        <v>62</v>
      </c>
      <c r="C1955" s="10" t="s">
        <v>58</v>
      </c>
      <c r="D1955" s="10" t="s">
        <v>165</v>
      </c>
      <c r="E1955" s="10" t="s">
        <v>52</v>
      </c>
      <c r="F1955" s="10" t="s">
        <v>161</v>
      </c>
      <c r="G1955" s="10" t="s">
        <v>162</v>
      </c>
      <c r="H1955" s="30" t="n">
        <v>42909</v>
      </c>
      <c r="I1955" s="8" t="n">
        <f aca="false">INDEX(Parâmetros!$C$13:$C$19,MATCH(E1955,Parâmetros!$A$13:$A$19,0))</f>
        <v>55</v>
      </c>
      <c r="J1955" s="26" t="n">
        <f aca="false">IF(H1955="","",Parâmetros!$B$5-H1955)</f>
        <v>191</v>
      </c>
      <c r="K1955" s="10" t="n">
        <f aca="false">INDEX(Parâmetros!$D$13:$D$19,MATCH(E1955,Parâmetros!$A$13:$A$19,0))</f>
        <v>0</v>
      </c>
      <c r="L1955" s="10" t="n">
        <f aca="false">IF(G1955="Prospecting",Parâmetros!$B$9,IF(J1955&gt;Parâmetros!$B$6,0,INDEX(Parâmetros!$C$24:$C$26,MATCH(J1955,Parâmetros!$A$24:$A$26,1))))</f>
        <v>0</v>
      </c>
      <c r="M1955" s="31" t="n">
        <f aca="false">IF(G1955="Prospecting",1,INDEX(Parâmetros!$C$32:$C$35,MATCH(J1955,Parâmetros!$A$32:$A$35,1)))</f>
        <v>0.4</v>
      </c>
      <c r="N1955" s="2" t="n">
        <f aca="false">ROUND((K1955+L1955)*M1955,0)</f>
        <v>0</v>
      </c>
      <c r="O1955" s="10" t="str">
        <f aca="false">IF(AND(G1955="Engaging",J1955&gt;Parâmetros!$B$6),"Sim","Não")</f>
        <v>Sim</v>
      </c>
      <c r="P1955" s="32" t="str">
        <f aca="false">IF(O1955="Sim","R",IF(N1955&gt;=Parâmetros!$B$39,"A",IF(N1955&gt;=Parâmetros!$B$40,"B",IF(N1955&gt;=Parâmetros!$B$41,"C","D"))))</f>
        <v>R</v>
      </c>
      <c r="Q1955" s="10" t="str">
        <f aca="false">IF(F1955="","Completar cadastro","")</f>
        <v/>
      </c>
      <c r="R1955" s="10" t="str">
        <f aca="false">INDEX(Parâmetros!$D$39:$D$43,MATCH(P1955,Parâmetros!$A$39:$A$43,0))</f>
        <v>Reciclar: requalificar, reengajar ou encerrar</v>
      </c>
    </row>
    <row r="1956" customFormat="false" ht="15" hidden="false" customHeight="false" outlineLevel="0" collapsed="false">
      <c r="A1956" s="10" t="s">
        <v>2203</v>
      </c>
      <c r="B1956" s="10" t="s">
        <v>70</v>
      </c>
      <c r="C1956" s="10" t="s">
        <v>65</v>
      </c>
      <c r="D1956" s="10" t="s">
        <v>160</v>
      </c>
      <c r="E1956" s="10" t="s">
        <v>52</v>
      </c>
      <c r="F1956" s="10"/>
      <c r="G1956" s="10" t="s">
        <v>162</v>
      </c>
      <c r="H1956" s="30" t="n">
        <v>42910</v>
      </c>
      <c r="I1956" s="8" t="n">
        <f aca="false">INDEX(Parâmetros!$C$13:$C$19,MATCH(E1956,Parâmetros!$A$13:$A$19,0))</f>
        <v>55</v>
      </c>
      <c r="J1956" s="26" t="n">
        <f aca="false">IF(H1956="","",Parâmetros!$B$5-H1956)</f>
        <v>190</v>
      </c>
      <c r="K1956" s="10" t="n">
        <f aca="false">INDEX(Parâmetros!$D$13:$D$19,MATCH(E1956,Parâmetros!$A$13:$A$19,0))</f>
        <v>0</v>
      </c>
      <c r="L1956" s="10" t="n">
        <f aca="false">IF(G1956="Prospecting",Parâmetros!$B$9,IF(J1956&gt;Parâmetros!$B$6,0,INDEX(Parâmetros!$C$24:$C$26,MATCH(J1956,Parâmetros!$A$24:$A$26,1))))</f>
        <v>0</v>
      </c>
      <c r="M1956" s="31" t="n">
        <f aca="false">IF(G1956="Prospecting",1,INDEX(Parâmetros!$C$32:$C$35,MATCH(J1956,Parâmetros!$A$32:$A$35,1)))</f>
        <v>0.4</v>
      </c>
      <c r="N1956" s="2" t="n">
        <f aca="false">ROUND((K1956+L1956)*M1956,0)</f>
        <v>0</v>
      </c>
      <c r="O1956" s="10" t="str">
        <f aca="false">IF(AND(G1956="Engaging",J1956&gt;Parâmetros!$B$6),"Sim","Não")</f>
        <v>Sim</v>
      </c>
      <c r="P1956" s="32" t="str">
        <f aca="false">IF(O1956="Sim","R",IF(N1956&gt;=Parâmetros!$B$39,"A",IF(N1956&gt;=Parâmetros!$B$40,"B",IF(N1956&gt;=Parâmetros!$B$41,"C","D"))))</f>
        <v>R</v>
      </c>
      <c r="Q1956" s="10" t="str">
        <f aca="false">IF(F1956="","Completar cadastro","")</f>
        <v>Completar cadastro</v>
      </c>
      <c r="R1956" s="10" t="str">
        <f aca="false">INDEX(Parâmetros!$D$39:$D$43,MATCH(P1956,Parâmetros!$A$39:$A$43,0))</f>
        <v>Reciclar: requalificar, reengajar ou encerrar</v>
      </c>
    </row>
    <row r="1957" customFormat="false" ht="15" hidden="false" customHeight="false" outlineLevel="0" collapsed="false">
      <c r="A1957" s="10" t="s">
        <v>2204</v>
      </c>
      <c r="B1957" s="10" t="s">
        <v>62</v>
      </c>
      <c r="C1957" s="10" t="s">
        <v>58</v>
      </c>
      <c r="D1957" s="10" t="s">
        <v>165</v>
      </c>
      <c r="E1957" s="10" t="s">
        <v>52</v>
      </c>
      <c r="F1957" s="10"/>
      <c r="G1957" s="10" t="s">
        <v>162</v>
      </c>
      <c r="H1957" s="30" t="n">
        <v>42911</v>
      </c>
      <c r="I1957" s="8" t="n">
        <f aca="false">INDEX(Parâmetros!$C$13:$C$19,MATCH(E1957,Parâmetros!$A$13:$A$19,0))</f>
        <v>55</v>
      </c>
      <c r="J1957" s="26" t="n">
        <f aca="false">IF(H1957="","",Parâmetros!$B$5-H1957)</f>
        <v>189</v>
      </c>
      <c r="K1957" s="10" t="n">
        <f aca="false">INDEX(Parâmetros!$D$13:$D$19,MATCH(E1957,Parâmetros!$A$13:$A$19,0))</f>
        <v>0</v>
      </c>
      <c r="L1957" s="10" t="n">
        <f aca="false">IF(G1957="Prospecting",Parâmetros!$B$9,IF(J1957&gt;Parâmetros!$B$6,0,INDEX(Parâmetros!$C$24:$C$26,MATCH(J1957,Parâmetros!$A$24:$A$26,1))))</f>
        <v>0</v>
      </c>
      <c r="M1957" s="31" t="n">
        <f aca="false">IF(G1957="Prospecting",1,INDEX(Parâmetros!$C$32:$C$35,MATCH(J1957,Parâmetros!$A$32:$A$35,1)))</f>
        <v>0.4</v>
      </c>
      <c r="N1957" s="2" t="n">
        <f aca="false">ROUND((K1957+L1957)*M1957,0)</f>
        <v>0</v>
      </c>
      <c r="O1957" s="10" t="str">
        <f aca="false">IF(AND(G1957="Engaging",J1957&gt;Parâmetros!$B$6),"Sim","Não")</f>
        <v>Sim</v>
      </c>
      <c r="P1957" s="32" t="str">
        <f aca="false">IF(O1957="Sim","R",IF(N1957&gt;=Parâmetros!$B$39,"A",IF(N1957&gt;=Parâmetros!$B$40,"B",IF(N1957&gt;=Parâmetros!$B$41,"C","D"))))</f>
        <v>R</v>
      </c>
      <c r="Q1957" s="10" t="str">
        <f aca="false">IF(F1957="","Completar cadastro","")</f>
        <v>Completar cadastro</v>
      </c>
      <c r="R1957" s="10" t="str">
        <f aca="false">INDEX(Parâmetros!$D$39:$D$43,MATCH(P1957,Parâmetros!$A$39:$A$43,0))</f>
        <v>Reciclar: requalificar, reengajar ou encerrar</v>
      </c>
    </row>
    <row r="1958" customFormat="false" ht="15" hidden="false" customHeight="false" outlineLevel="0" collapsed="false">
      <c r="A1958" s="10" t="s">
        <v>2205</v>
      </c>
      <c r="B1958" s="10" t="s">
        <v>66</v>
      </c>
      <c r="C1958" s="10" t="s">
        <v>65</v>
      </c>
      <c r="D1958" s="10" t="s">
        <v>160</v>
      </c>
      <c r="E1958" s="10" t="s">
        <v>52</v>
      </c>
      <c r="F1958" s="10"/>
      <c r="G1958" s="10" t="s">
        <v>162</v>
      </c>
      <c r="H1958" s="30" t="n">
        <v>42918</v>
      </c>
      <c r="I1958" s="8" t="n">
        <f aca="false">INDEX(Parâmetros!$C$13:$C$19,MATCH(E1958,Parâmetros!$A$13:$A$19,0))</f>
        <v>55</v>
      </c>
      <c r="J1958" s="26" t="n">
        <f aca="false">IF(H1958="","",Parâmetros!$B$5-H1958)</f>
        <v>182</v>
      </c>
      <c r="K1958" s="10" t="n">
        <f aca="false">INDEX(Parâmetros!$D$13:$D$19,MATCH(E1958,Parâmetros!$A$13:$A$19,0))</f>
        <v>0</v>
      </c>
      <c r="L1958" s="10" t="n">
        <f aca="false">IF(G1958="Prospecting",Parâmetros!$B$9,IF(J1958&gt;Parâmetros!$B$6,0,INDEX(Parâmetros!$C$24:$C$26,MATCH(J1958,Parâmetros!$A$24:$A$26,1))))</f>
        <v>0</v>
      </c>
      <c r="M1958" s="31" t="n">
        <f aca="false">IF(G1958="Prospecting",1,INDEX(Parâmetros!$C$32:$C$35,MATCH(J1958,Parâmetros!$A$32:$A$35,1)))</f>
        <v>0.4</v>
      </c>
      <c r="N1958" s="2" t="n">
        <f aca="false">ROUND((K1958+L1958)*M1958,0)</f>
        <v>0</v>
      </c>
      <c r="O1958" s="10" t="str">
        <f aca="false">IF(AND(G1958="Engaging",J1958&gt;Parâmetros!$B$6),"Sim","Não")</f>
        <v>Sim</v>
      </c>
      <c r="P1958" s="32" t="str">
        <f aca="false">IF(O1958="Sim","R",IF(N1958&gt;=Parâmetros!$B$39,"A",IF(N1958&gt;=Parâmetros!$B$40,"B",IF(N1958&gt;=Parâmetros!$B$41,"C","D"))))</f>
        <v>R</v>
      </c>
      <c r="Q1958" s="10" t="str">
        <f aca="false">IF(F1958="","Completar cadastro","")</f>
        <v>Completar cadastro</v>
      </c>
      <c r="R1958" s="10" t="str">
        <f aca="false">INDEX(Parâmetros!$D$39:$D$43,MATCH(P1958,Parâmetros!$A$39:$A$43,0))</f>
        <v>Reciclar: requalificar, reengajar ou encerrar</v>
      </c>
    </row>
    <row r="1959" customFormat="false" ht="15" hidden="false" customHeight="false" outlineLevel="0" collapsed="false">
      <c r="A1959" s="10" t="s">
        <v>2206</v>
      </c>
      <c r="B1959" s="10" t="s">
        <v>96</v>
      </c>
      <c r="C1959" s="10" t="s">
        <v>92</v>
      </c>
      <c r="D1959" s="10" t="s">
        <v>160</v>
      </c>
      <c r="E1959" s="10" t="s">
        <v>52</v>
      </c>
      <c r="F1959" s="10"/>
      <c r="G1959" s="10" t="s">
        <v>162</v>
      </c>
      <c r="H1959" s="30" t="n">
        <v>42920</v>
      </c>
      <c r="I1959" s="8" t="n">
        <f aca="false">INDEX(Parâmetros!$C$13:$C$19,MATCH(E1959,Parâmetros!$A$13:$A$19,0))</f>
        <v>55</v>
      </c>
      <c r="J1959" s="26" t="n">
        <f aca="false">IF(H1959="","",Parâmetros!$B$5-H1959)</f>
        <v>180</v>
      </c>
      <c r="K1959" s="10" t="n">
        <f aca="false">INDEX(Parâmetros!$D$13:$D$19,MATCH(E1959,Parâmetros!$A$13:$A$19,0))</f>
        <v>0</v>
      </c>
      <c r="L1959" s="10" t="n">
        <f aca="false">IF(G1959="Prospecting",Parâmetros!$B$9,IF(J1959&gt;Parâmetros!$B$6,0,INDEX(Parâmetros!$C$24:$C$26,MATCH(J1959,Parâmetros!$A$24:$A$26,1))))</f>
        <v>0</v>
      </c>
      <c r="M1959" s="31" t="n">
        <f aca="false">IF(G1959="Prospecting",1,INDEX(Parâmetros!$C$32:$C$35,MATCH(J1959,Parâmetros!$A$32:$A$35,1)))</f>
        <v>0.6</v>
      </c>
      <c r="N1959" s="2" t="n">
        <f aca="false">ROUND((K1959+L1959)*M1959,0)</f>
        <v>0</v>
      </c>
      <c r="O1959" s="10" t="str">
        <f aca="false">IF(AND(G1959="Engaging",J1959&gt;Parâmetros!$B$6),"Sim","Não")</f>
        <v>Sim</v>
      </c>
      <c r="P1959" s="32" t="str">
        <f aca="false">IF(O1959="Sim","R",IF(N1959&gt;=Parâmetros!$B$39,"A",IF(N1959&gt;=Parâmetros!$B$40,"B",IF(N1959&gt;=Parâmetros!$B$41,"C","D"))))</f>
        <v>R</v>
      </c>
      <c r="Q1959" s="10" t="str">
        <f aca="false">IF(F1959="","Completar cadastro","")</f>
        <v>Completar cadastro</v>
      </c>
      <c r="R1959" s="10" t="str">
        <f aca="false">INDEX(Parâmetros!$D$39:$D$43,MATCH(P1959,Parâmetros!$A$39:$A$43,0))</f>
        <v>Reciclar: requalificar, reengajar ou encerrar</v>
      </c>
    </row>
    <row r="1960" customFormat="false" ht="15" hidden="false" customHeight="false" outlineLevel="0" collapsed="false">
      <c r="A1960" s="10" t="s">
        <v>2207</v>
      </c>
      <c r="B1960" s="10" t="s">
        <v>62</v>
      </c>
      <c r="C1960" s="10" t="s">
        <v>58</v>
      </c>
      <c r="D1960" s="10" t="s">
        <v>165</v>
      </c>
      <c r="E1960" s="10" t="s">
        <v>52</v>
      </c>
      <c r="F1960" s="10"/>
      <c r="G1960" s="10" t="s">
        <v>162</v>
      </c>
      <c r="H1960" s="30" t="n">
        <v>42923</v>
      </c>
      <c r="I1960" s="8" t="n">
        <f aca="false">INDEX(Parâmetros!$C$13:$C$19,MATCH(E1960,Parâmetros!$A$13:$A$19,0))</f>
        <v>55</v>
      </c>
      <c r="J1960" s="26" t="n">
        <f aca="false">IF(H1960="","",Parâmetros!$B$5-H1960)</f>
        <v>177</v>
      </c>
      <c r="K1960" s="10" t="n">
        <f aca="false">INDEX(Parâmetros!$D$13:$D$19,MATCH(E1960,Parâmetros!$A$13:$A$19,0))</f>
        <v>0</v>
      </c>
      <c r="L1960" s="10" t="n">
        <f aca="false">IF(G1960="Prospecting",Parâmetros!$B$9,IF(J1960&gt;Parâmetros!$B$6,0,INDEX(Parâmetros!$C$24:$C$26,MATCH(J1960,Parâmetros!$A$24:$A$26,1))))</f>
        <v>0</v>
      </c>
      <c r="M1960" s="31" t="n">
        <f aca="false">IF(G1960="Prospecting",1,INDEX(Parâmetros!$C$32:$C$35,MATCH(J1960,Parâmetros!$A$32:$A$35,1)))</f>
        <v>0.6</v>
      </c>
      <c r="N1960" s="2" t="n">
        <f aca="false">ROUND((K1960+L1960)*M1960,0)</f>
        <v>0</v>
      </c>
      <c r="O1960" s="10" t="str">
        <f aca="false">IF(AND(G1960="Engaging",J1960&gt;Parâmetros!$B$6),"Sim","Não")</f>
        <v>Sim</v>
      </c>
      <c r="P1960" s="32" t="str">
        <f aca="false">IF(O1960="Sim","R",IF(N1960&gt;=Parâmetros!$B$39,"A",IF(N1960&gt;=Parâmetros!$B$40,"B",IF(N1960&gt;=Parâmetros!$B$41,"C","D"))))</f>
        <v>R</v>
      </c>
      <c r="Q1960" s="10" t="str">
        <f aca="false">IF(F1960="","Completar cadastro","")</f>
        <v>Completar cadastro</v>
      </c>
      <c r="R1960" s="10" t="str">
        <f aca="false">INDEX(Parâmetros!$D$39:$D$43,MATCH(P1960,Parâmetros!$A$39:$A$43,0))</f>
        <v>Reciclar: requalificar, reengajar ou encerrar</v>
      </c>
    </row>
    <row r="1961" customFormat="false" ht="15" hidden="false" customHeight="false" outlineLevel="0" collapsed="false">
      <c r="A1961" s="10" t="s">
        <v>2208</v>
      </c>
      <c r="B1961" s="10" t="s">
        <v>62</v>
      </c>
      <c r="C1961" s="10" t="s">
        <v>58</v>
      </c>
      <c r="D1961" s="10" t="s">
        <v>165</v>
      </c>
      <c r="E1961" s="10" t="s">
        <v>52</v>
      </c>
      <c r="F1961" s="10" t="s">
        <v>453</v>
      </c>
      <c r="G1961" s="10" t="s">
        <v>162</v>
      </c>
      <c r="H1961" s="30" t="n">
        <v>42924</v>
      </c>
      <c r="I1961" s="8" t="n">
        <f aca="false">INDEX(Parâmetros!$C$13:$C$19,MATCH(E1961,Parâmetros!$A$13:$A$19,0))</f>
        <v>55</v>
      </c>
      <c r="J1961" s="26" t="n">
        <f aca="false">IF(H1961="","",Parâmetros!$B$5-H1961)</f>
        <v>176</v>
      </c>
      <c r="K1961" s="10" t="n">
        <f aca="false">INDEX(Parâmetros!$D$13:$D$19,MATCH(E1961,Parâmetros!$A$13:$A$19,0))</f>
        <v>0</v>
      </c>
      <c r="L1961" s="10" t="n">
        <f aca="false">IF(G1961="Prospecting",Parâmetros!$B$9,IF(J1961&gt;Parâmetros!$B$6,0,INDEX(Parâmetros!$C$24:$C$26,MATCH(J1961,Parâmetros!$A$24:$A$26,1))))</f>
        <v>0</v>
      </c>
      <c r="M1961" s="31" t="n">
        <f aca="false">IF(G1961="Prospecting",1,INDEX(Parâmetros!$C$32:$C$35,MATCH(J1961,Parâmetros!$A$32:$A$35,1)))</f>
        <v>0.6</v>
      </c>
      <c r="N1961" s="2" t="n">
        <f aca="false">ROUND((K1961+L1961)*M1961,0)</f>
        <v>0</v>
      </c>
      <c r="O1961" s="10" t="str">
        <f aca="false">IF(AND(G1961="Engaging",J1961&gt;Parâmetros!$B$6),"Sim","Não")</f>
        <v>Sim</v>
      </c>
      <c r="P1961" s="32" t="str">
        <f aca="false">IF(O1961="Sim","R",IF(N1961&gt;=Parâmetros!$B$39,"A",IF(N1961&gt;=Parâmetros!$B$40,"B",IF(N1961&gt;=Parâmetros!$B$41,"C","D"))))</f>
        <v>R</v>
      </c>
      <c r="Q1961" s="10" t="str">
        <f aca="false">IF(F1961="","Completar cadastro","")</f>
        <v/>
      </c>
      <c r="R1961" s="10" t="str">
        <f aca="false">INDEX(Parâmetros!$D$39:$D$43,MATCH(P1961,Parâmetros!$A$39:$A$43,0))</f>
        <v>Reciclar: requalificar, reengajar ou encerrar</v>
      </c>
    </row>
    <row r="1962" customFormat="false" ht="15" hidden="false" customHeight="false" outlineLevel="0" collapsed="false">
      <c r="A1962" s="10" t="s">
        <v>2209</v>
      </c>
      <c r="B1962" s="10" t="s">
        <v>57</v>
      </c>
      <c r="C1962" s="10" t="s">
        <v>58</v>
      </c>
      <c r="D1962" s="10" t="s">
        <v>165</v>
      </c>
      <c r="E1962" s="10" t="s">
        <v>52</v>
      </c>
      <c r="F1962" s="10"/>
      <c r="G1962" s="10" t="s">
        <v>162</v>
      </c>
      <c r="H1962" s="30" t="n">
        <v>42928</v>
      </c>
      <c r="I1962" s="8" t="n">
        <f aca="false">INDEX(Parâmetros!$C$13:$C$19,MATCH(E1962,Parâmetros!$A$13:$A$19,0))</f>
        <v>55</v>
      </c>
      <c r="J1962" s="26" t="n">
        <f aca="false">IF(H1962="","",Parâmetros!$B$5-H1962)</f>
        <v>172</v>
      </c>
      <c r="K1962" s="10" t="n">
        <f aca="false">INDEX(Parâmetros!$D$13:$D$19,MATCH(E1962,Parâmetros!$A$13:$A$19,0))</f>
        <v>0</v>
      </c>
      <c r="L1962" s="10" t="n">
        <f aca="false">IF(G1962="Prospecting",Parâmetros!$B$9,IF(J1962&gt;Parâmetros!$B$6,0,INDEX(Parâmetros!$C$24:$C$26,MATCH(J1962,Parâmetros!$A$24:$A$26,1))))</f>
        <v>0</v>
      </c>
      <c r="M1962" s="31" t="n">
        <f aca="false">IF(G1962="Prospecting",1,INDEX(Parâmetros!$C$32:$C$35,MATCH(J1962,Parâmetros!$A$32:$A$35,1)))</f>
        <v>0.6</v>
      </c>
      <c r="N1962" s="2" t="n">
        <f aca="false">ROUND((K1962+L1962)*M1962,0)</f>
        <v>0</v>
      </c>
      <c r="O1962" s="10" t="str">
        <f aca="false">IF(AND(G1962="Engaging",J1962&gt;Parâmetros!$B$6),"Sim","Não")</f>
        <v>Sim</v>
      </c>
      <c r="P1962" s="32" t="str">
        <f aca="false">IF(O1962="Sim","R",IF(N1962&gt;=Parâmetros!$B$39,"A",IF(N1962&gt;=Parâmetros!$B$40,"B",IF(N1962&gt;=Parâmetros!$B$41,"C","D"))))</f>
        <v>R</v>
      </c>
      <c r="Q1962" s="10" t="str">
        <f aca="false">IF(F1962="","Completar cadastro","")</f>
        <v>Completar cadastro</v>
      </c>
      <c r="R1962" s="10" t="str">
        <f aca="false">INDEX(Parâmetros!$D$39:$D$43,MATCH(P1962,Parâmetros!$A$39:$A$43,0))</f>
        <v>Reciclar: requalificar, reengajar ou encerrar</v>
      </c>
    </row>
    <row r="1963" customFormat="false" ht="15" hidden="false" customHeight="false" outlineLevel="0" collapsed="false">
      <c r="A1963" s="10" t="s">
        <v>2210</v>
      </c>
      <c r="B1963" s="10" t="s">
        <v>61</v>
      </c>
      <c r="C1963" s="10" t="s">
        <v>58</v>
      </c>
      <c r="D1963" s="10" t="s">
        <v>165</v>
      </c>
      <c r="E1963" s="10" t="s">
        <v>52</v>
      </c>
      <c r="F1963" s="10"/>
      <c r="G1963" s="10" t="s">
        <v>162</v>
      </c>
      <c r="H1963" s="30" t="n">
        <v>42929</v>
      </c>
      <c r="I1963" s="8" t="n">
        <f aca="false">INDEX(Parâmetros!$C$13:$C$19,MATCH(E1963,Parâmetros!$A$13:$A$19,0))</f>
        <v>55</v>
      </c>
      <c r="J1963" s="26" t="n">
        <f aca="false">IF(H1963="","",Parâmetros!$B$5-H1963)</f>
        <v>171</v>
      </c>
      <c r="K1963" s="10" t="n">
        <f aca="false">INDEX(Parâmetros!$D$13:$D$19,MATCH(E1963,Parâmetros!$A$13:$A$19,0))</f>
        <v>0</v>
      </c>
      <c r="L1963" s="10" t="n">
        <f aca="false">IF(G1963="Prospecting",Parâmetros!$B$9,IF(J1963&gt;Parâmetros!$B$6,0,INDEX(Parâmetros!$C$24:$C$26,MATCH(J1963,Parâmetros!$A$24:$A$26,1))))</f>
        <v>0</v>
      </c>
      <c r="M1963" s="31" t="n">
        <f aca="false">IF(G1963="Prospecting",1,INDEX(Parâmetros!$C$32:$C$35,MATCH(J1963,Parâmetros!$A$32:$A$35,1)))</f>
        <v>0.6</v>
      </c>
      <c r="N1963" s="2" t="n">
        <f aca="false">ROUND((K1963+L1963)*M1963,0)</f>
        <v>0</v>
      </c>
      <c r="O1963" s="10" t="str">
        <f aca="false">IF(AND(G1963="Engaging",J1963&gt;Parâmetros!$B$6),"Sim","Não")</f>
        <v>Sim</v>
      </c>
      <c r="P1963" s="32" t="str">
        <f aca="false">IF(O1963="Sim","R",IF(N1963&gt;=Parâmetros!$B$39,"A",IF(N1963&gt;=Parâmetros!$B$40,"B",IF(N1963&gt;=Parâmetros!$B$41,"C","D"))))</f>
        <v>R</v>
      </c>
      <c r="Q1963" s="10" t="str">
        <f aca="false">IF(F1963="","Completar cadastro","")</f>
        <v>Completar cadastro</v>
      </c>
      <c r="R1963" s="10" t="str">
        <f aca="false">INDEX(Parâmetros!$D$39:$D$43,MATCH(P1963,Parâmetros!$A$39:$A$43,0))</f>
        <v>Reciclar: requalificar, reengajar ou encerrar</v>
      </c>
    </row>
    <row r="1964" customFormat="false" ht="15" hidden="false" customHeight="false" outlineLevel="0" collapsed="false">
      <c r="A1964" s="10" t="s">
        <v>2211</v>
      </c>
      <c r="B1964" s="10" t="s">
        <v>70</v>
      </c>
      <c r="C1964" s="10" t="s">
        <v>65</v>
      </c>
      <c r="D1964" s="10" t="s">
        <v>160</v>
      </c>
      <c r="E1964" s="10" t="s">
        <v>52</v>
      </c>
      <c r="F1964" s="10"/>
      <c r="G1964" s="10" t="s">
        <v>162</v>
      </c>
      <c r="H1964" s="30" t="n">
        <v>42930</v>
      </c>
      <c r="I1964" s="8" t="n">
        <f aca="false">INDEX(Parâmetros!$C$13:$C$19,MATCH(E1964,Parâmetros!$A$13:$A$19,0))</f>
        <v>55</v>
      </c>
      <c r="J1964" s="26" t="n">
        <f aca="false">IF(H1964="","",Parâmetros!$B$5-H1964)</f>
        <v>170</v>
      </c>
      <c r="K1964" s="10" t="n">
        <f aca="false">INDEX(Parâmetros!$D$13:$D$19,MATCH(E1964,Parâmetros!$A$13:$A$19,0))</f>
        <v>0</v>
      </c>
      <c r="L1964" s="10" t="n">
        <f aca="false">IF(G1964="Prospecting",Parâmetros!$B$9,IF(J1964&gt;Parâmetros!$B$6,0,INDEX(Parâmetros!$C$24:$C$26,MATCH(J1964,Parâmetros!$A$24:$A$26,1))))</f>
        <v>0</v>
      </c>
      <c r="M1964" s="31" t="n">
        <f aca="false">IF(G1964="Prospecting",1,INDEX(Parâmetros!$C$32:$C$35,MATCH(J1964,Parâmetros!$A$32:$A$35,1)))</f>
        <v>0.6</v>
      </c>
      <c r="N1964" s="2" t="n">
        <f aca="false">ROUND((K1964+L1964)*M1964,0)</f>
        <v>0</v>
      </c>
      <c r="O1964" s="10" t="str">
        <f aca="false">IF(AND(G1964="Engaging",J1964&gt;Parâmetros!$B$6),"Sim","Não")</f>
        <v>Sim</v>
      </c>
      <c r="P1964" s="32" t="str">
        <f aca="false">IF(O1964="Sim","R",IF(N1964&gt;=Parâmetros!$B$39,"A",IF(N1964&gt;=Parâmetros!$B$40,"B",IF(N1964&gt;=Parâmetros!$B$41,"C","D"))))</f>
        <v>R</v>
      </c>
      <c r="Q1964" s="10" t="str">
        <f aca="false">IF(F1964="","Completar cadastro","")</f>
        <v>Completar cadastro</v>
      </c>
      <c r="R1964" s="10" t="str">
        <f aca="false">INDEX(Parâmetros!$D$39:$D$43,MATCH(P1964,Parâmetros!$A$39:$A$43,0))</f>
        <v>Reciclar: requalificar, reengajar ou encerrar</v>
      </c>
    </row>
    <row r="1965" customFormat="false" ht="15" hidden="false" customHeight="false" outlineLevel="0" collapsed="false">
      <c r="A1965" s="10" t="s">
        <v>2212</v>
      </c>
      <c r="B1965" s="10" t="s">
        <v>69</v>
      </c>
      <c r="C1965" s="10" t="s">
        <v>65</v>
      </c>
      <c r="D1965" s="10" t="s">
        <v>160</v>
      </c>
      <c r="E1965" s="10" t="s">
        <v>52</v>
      </c>
      <c r="F1965" s="10"/>
      <c r="G1965" s="10" t="s">
        <v>162</v>
      </c>
      <c r="H1965" s="30" t="n">
        <v>42931</v>
      </c>
      <c r="I1965" s="8" t="n">
        <f aca="false">INDEX(Parâmetros!$C$13:$C$19,MATCH(E1965,Parâmetros!$A$13:$A$19,0))</f>
        <v>55</v>
      </c>
      <c r="J1965" s="26" t="n">
        <f aca="false">IF(H1965="","",Parâmetros!$B$5-H1965)</f>
        <v>169</v>
      </c>
      <c r="K1965" s="10" t="n">
        <f aca="false">INDEX(Parâmetros!$D$13:$D$19,MATCH(E1965,Parâmetros!$A$13:$A$19,0))</f>
        <v>0</v>
      </c>
      <c r="L1965" s="10" t="n">
        <f aca="false">IF(G1965="Prospecting",Parâmetros!$B$9,IF(J1965&gt;Parâmetros!$B$6,0,INDEX(Parâmetros!$C$24:$C$26,MATCH(J1965,Parâmetros!$A$24:$A$26,1))))</f>
        <v>0</v>
      </c>
      <c r="M1965" s="31" t="n">
        <f aca="false">IF(G1965="Prospecting",1,INDEX(Parâmetros!$C$32:$C$35,MATCH(J1965,Parâmetros!$A$32:$A$35,1)))</f>
        <v>0.6</v>
      </c>
      <c r="N1965" s="2" t="n">
        <f aca="false">ROUND((K1965+L1965)*M1965,0)</f>
        <v>0</v>
      </c>
      <c r="O1965" s="10" t="str">
        <f aca="false">IF(AND(G1965="Engaging",J1965&gt;Parâmetros!$B$6),"Sim","Não")</f>
        <v>Sim</v>
      </c>
      <c r="P1965" s="32" t="str">
        <f aca="false">IF(O1965="Sim","R",IF(N1965&gt;=Parâmetros!$B$39,"A",IF(N1965&gt;=Parâmetros!$B$40,"B",IF(N1965&gt;=Parâmetros!$B$41,"C","D"))))</f>
        <v>R</v>
      </c>
      <c r="Q1965" s="10" t="str">
        <f aca="false">IF(F1965="","Completar cadastro","")</f>
        <v>Completar cadastro</v>
      </c>
      <c r="R1965" s="10" t="str">
        <f aca="false">INDEX(Parâmetros!$D$39:$D$43,MATCH(P1965,Parâmetros!$A$39:$A$43,0))</f>
        <v>Reciclar: requalificar, reengajar ou encerrar</v>
      </c>
    </row>
    <row r="1966" customFormat="false" ht="15" hidden="false" customHeight="false" outlineLevel="0" collapsed="false">
      <c r="A1966" s="10" t="s">
        <v>2213</v>
      </c>
      <c r="B1966" s="10" t="s">
        <v>84</v>
      </c>
      <c r="C1966" s="10" t="s">
        <v>85</v>
      </c>
      <c r="D1966" s="10" t="s">
        <v>165</v>
      </c>
      <c r="E1966" s="10" t="s">
        <v>52</v>
      </c>
      <c r="F1966" s="10"/>
      <c r="G1966" s="10" t="s">
        <v>162</v>
      </c>
      <c r="H1966" s="30" t="n">
        <v>42933</v>
      </c>
      <c r="I1966" s="8" t="n">
        <f aca="false">INDEX(Parâmetros!$C$13:$C$19,MATCH(E1966,Parâmetros!$A$13:$A$19,0))</f>
        <v>55</v>
      </c>
      <c r="J1966" s="26" t="n">
        <f aca="false">IF(H1966="","",Parâmetros!$B$5-H1966)</f>
        <v>167</v>
      </c>
      <c r="K1966" s="10" t="n">
        <f aca="false">INDEX(Parâmetros!$D$13:$D$19,MATCH(E1966,Parâmetros!$A$13:$A$19,0))</f>
        <v>0</v>
      </c>
      <c r="L1966" s="10" t="n">
        <f aca="false">IF(G1966="Prospecting",Parâmetros!$B$9,IF(J1966&gt;Parâmetros!$B$6,0,INDEX(Parâmetros!$C$24:$C$26,MATCH(J1966,Parâmetros!$A$24:$A$26,1))))</f>
        <v>0</v>
      </c>
      <c r="M1966" s="31" t="n">
        <f aca="false">IF(G1966="Prospecting",1,INDEX(Parâmetros!$C$32:$C$35,MATCH(J1966,Parâmetros!$A$32:$A$35,1)))</f>
        <v>0.6</v>
      </c>
      <c r="N1966" s="2" t="n">
        <f aca="false">ROUND((K1966+L1966)*M1966,0)</f>
        <v>0</v>
      </c>
      <c r="O1966" s="10" t="str">
        <f aca="false">IF(AND(G1966="Engaging",J1966&gt;Parâmetros!$B$6),"Sim","Não")</f>
        <v>Sim</v>
      </c>
      <c r="P1966" s="32" t="str">
        <f aca="false">IF(O1966="Sim","R",IF(N1966&gt;=Parâmetros!$B$39,"A",IF(N1966&gt;=Parâmetros!$B$40,"B",IF(N1966&gt;=Parâmetros!$B$41,"C","D"))))</f>
        <v>R</v>
      </c>
      <c r="Q1966" s="10" t="str">
        <f aca="false">IF(F1966="","Completar cadastro","")</f>
        <v>Completar cadastro</v>
      </c>
      <c r="R1966" s="10" t="str">
        <f aca="false">INDEX(Parâmetros!$D$39:$D$43,MATCH(P1966,Parâmetros!$A$39:$A$43,0))</f>
        <v>Reciclar: requalificar, reengajar ou encerrar</v>
      </c>
    </row>
    <row r="1967" customFormat="false" ht="15" hidden="false" customHeight="false" outlineLevel="0" collapsed="false">
      <c r="A1967" s="10" t="s">
        <v>2214</v>
      </c>
      <c r="B1967" s="10" t="s">
        <v>71</v>
      </c>
      <c r="C1967" s="10" t="s">
        <v>72</v>
      </c>
      <c r="D1967" s="10" t="s">
        <v>196</v>
      </c>
      <c r="E1967" s="10" t="s">
        <v>52</v>
      </c>
      <c r="F1967" s="10" t="s">
        <v>512</v>
      </c>
      <c r="G1967" s="10" t="s">
        <v>162</v>
      </c>
      <c r="H1967" s="30" t="n">
        <v>42935</v>
      </c>
      <c r="I1967" s="8" t="n">
        <f aca="false">INDEX(Parâmetros!$C$13:$C$19,MATCH(E1967,Parâmetros!$A$13:$A$19,0))</f>
        <v>55</v>
      </c>
      <c r="J1967" s="26" t="n">
        <f aca="false">IF(H1967="","",Parâmetros!$B$5-H1967)</f>
        <v>165</v>
      </c>
      <c r="K1967" s="10" t="n">
        <f aca="false">INDEX(Parâmetros!$D$13:$D$19,MATCH(E1967,Parâmetros!$A$13:$A$19,0))</f>
        <v>0</v>
      </c>
      <c r="L1967" s="10" t="n">
        <f aca="false">IF(G1967="Prospecting",Parâmetros!$B$9,IF(J1967&gt;Parâmetros!$B$6,0,INDEX(Parâmetros!$C$24:$C$26,MATCH(J1967,Parâmetros!$A$24:$A$26,1))))</f>
        <v>0</v>
      </c>
      <c r="M1967" s="31" t="n">
        <f aca="false">IF(G1967="Prospecting",1,INDEX(Parâmetros!$C$32:$C$35,MATCH(J1967,Parâmetros!$A$32:$A$35,1)))</f>
        <v>0.6</v>
      </c>
      <c r="N1967" s="2" t="n">
        <f aca="false">ROUND((K1967+L1967)*M1967,0)</f>
        <v>0</v>
      </c>
      <c r="O1967" s="10" t="str">
        <f aca="false">IF(AND(G1967="Engaging",J1967&gt;Parâmetros!$B$6),"Sim","Não")</f>
        <v>Sim</v>
      </c>
      <c r="P1967" s="32" t="str">
        <f aca="false">IF(O1967="Sim","R",IF(N1967&gt;=Parâmetros!$B$39,"A",IF(N1967&gt;=Parâmetros!$B$40,"B",IF(N1967&gt;=Parâmetros!$B$41,"C","D"))))</f>
        <v>R</v>
      </c>
      <c r="Q1967" s="10" t="str">
        <f aca="false">IF(F1967="","Completar cadastro","")</f>
        <v/>
      </c>
      <c r="R1967" s="10" t="str">
        <f aca="false">INDEX(Parâmetros!$D$39:$D$43,MATCH(P1967,Parâmetros!$A$39:$A$43,0))</f>
        <v>Reciclar: requalificar, reengajar ou encerrar</v>
      </c>
    </row>
    <row r="1968" customFormat="false" ht="15" hidden="false" customHeight="false" outlineLevel="0" collapsed="false">
      <c r="A1968" s="10" t="s">
        <v>2215</v>
      </c>
      <c r="B1968" s="10" t="s">
        <v>71</v>
      </c>
      <c r="C1968" s="10" t="s">
        <v>72</v>
      </c>
      <c r="D1968" s="10" t="s">
        <v>196</v>
      </c>
      <c r="E1968" s="10" t="s">
        <v>52</v>
      </c>
      <c r="F1968" s="10" t="s">
        <v>179</v>
      </c>
      <c r="G1968" s="10" t="s">
        <v>162</v>
      </c>
      <c r="H1968" s="30" t="n">
        <v>42935</v>
      </c>
      <c r="I1968" s="8" t="n">
        <f aca="false">INDEX(Parâmetros!$C$13:$C$19,MATCH(E1968,Parâmetros!$A$13:$A$19,0))</f>
        <v>55</v>
      </c>
      <c r="J1968" s="26" t="n">
        <f aca="false">IF(H1968="","",Parâmetros!$B$5-H1968)</f>
        <v>165</v>
      </c>
      <c r="K1968" s="10" t="n">
        <f aca="false">INDEX(Parâmetros!$D$13:$D$19,MATCH(E1968,Parâmetros!$A$13:$A$19,0))</f>
        <v>0</v>
      </c>
      <c r="L1968" s="10" t="n">
        <f aca="false">IF(G1968="Prospecting",Parâmetros!$B$9,IF(J1968&gt;Parâmetros!$B$6,0,INDEX(Parâmetros!$C$24:$C$26,MATCH(J1968,Parâmetros!$A$24:$A$26,1))))</f>
        <v>0</v>
      </c>
      <c r="M1968" s="31" t="n">
        <f aca="false">IF(G1968="Prospecting",1,INDEX(Parâmetros!$C$32:$C$35,MATCH(J1968,Parâmetros!$A$32:$A$35,1)))</f>
        <v>0.6</v>
      </c>
      <c r="N1968" s="2" t="n">
        <f aca="false">ROUND((K1968+L1968)*M1968,0)</f>
        <v>0</v>
      </c>
      <c r="O1968" s="10" t="str">
        <f aca="false">IF(AND(G1968="Engaging",J1968&gt;Parâmetros!$B$6),"Sim","Não")</f>
        <v>Sim</v>
      </c>
      <c r="P1968" s="32" t="str">
        <f aca="false">IF(O1968="Sim","R",IF(N1968&gt;=Parâmetros!$B$39,"A",IF(N1968&gt;=Parâmetros!$B$40,"B",IF(N1968&gt;=Parâmetros!$B$41,"C","D"))))</f>
        <v>R</v>
      </c>
      <c r="Q1968" s="10" t="str">
        <f aca="false">IF(F1968="","Completar cadastro","")</f>
        <v/>
      </c>
      <c r="R1968" s="10" t="str">
        <f aca="false">INDEX(Parâmetros!$D$39:$D$43,MATCH(P1968,Parâmetros!$A$39:$A$43,0))</f>
        <v>Reciclar: requalificar, reengajar ou encerrar</v>
      </c>
    </row>
    <row r="1969" customFormat="false" ht="15" hidden="false" customHeight="false" outlineLevel="0" collapsed="false">
      <c r="A1969" s="10" t="s">
        <v>2216</v>
      </c>
      <c r="B1969" s="10" t="s">
        <v>73</v>
      </c>
      <c r="C1969" s="10" t="s">
        <v>72</v>
      </c>
      <c r="D1969" s="10" t="s">
        <v>196</v>
      </c>
      <c r="E1969" s="10" t="s">
        <v>52</v>
      </c>
      <c r="F1969" s="10"/>
      <c r="G1969" s="10" t="s">
        <v>162</v>
      </c>
      <c r="H1969" s="30" t="n">
        <v>42935</v>
      </c>
      <c r="I1969" s="8" t="n">
        <f aca="false">INDEX(Parâmetros!$C$13:$C$19,MATCH(E1969,Parâmetros!$A$13:$A$19,0))</f>
        <v>55</v>
      </c>
      <c r="J1969" s="26" t="n">
        <f aca="false">IF(H1969="","",Parâmetros!$B$5-H1969)</f>
        <v>165</v>
      </c>
      <c r="K1969" s="10" t="n">
        <f aca="false">INDEX(Parâmetros!$D$13:$D$19,MATCH(E1969,Parâmetros!$A$13:$A$19,0))</f>
        <v>0</v>
      </c>
      <c r="L1969" s="10" t="n">
        <f aca="false">IF(G1969="Prospecting",Parâmetros!$B$9,IF(J1969&gt;Parâmetros!$B$6,0,INDEX(Parâmetros!$C$24:$C$26,MATCH(J1969,Parâmetros!$A$24:$A$26,1))))</f>
        <v>0</v>
      </c>
      <c r="M1969" s="31" t="n">
        <f aca="false">IF(G1969="Prospecting",1,INDEX(Parâmetros!$C$32:$C$35,MATCH(J1969,Parâmetros!$A$32:$A$35,1)))</f>
        <v>0.6</v>
      </c>
      <c r="N1969" s="2" t="n">
        <f aca="false">ROUND((K1969+L1969)*M1969,0)</f>
        <v>0</v>
      </c>
      <c r="O1969" s="10" t="str">
        <f aca="false">IF(AND(G1969="Engaging",J1969&gt;Parâmetros!$B$6),"Sim","Não")</f>
        <v>Sim</v>
      </c>
      <c r="P1969" s="32" t="str">
        <f aca="false">IF(O1969="Sim","R",IF(N1969&gt;=Parâmetros!$B$39,"A",IF(N1969&gt;=Parâmetros!$B$40,"B",IF(N1969&gt;=Parâmetros!$B$41,"C","D"))))</f>
        <v>R</v>
      </c>
      <c r="Q1969" s="10" t="str">
        <f aca="false">IF(F1969="","Completar cadastro","")</f>
        <v>Completar cadastro</v>
      </c>
      <c r="R1969" s="10" t="str">
        <f aca="false">INDEX(Parâmetros!$D$39:$D$43,MATCH(P1969,Parâmetros!$A$39:$A$43,0))</f>
        <v>Reciclar: requalificar, reengajar ou encerrar</v>
      </c>
    </row>
    <row r="1970" customFormat="false" ht="15" hidden="false" customHeight="false" outlineLevel="0" collapsed="false">
      <c r="A1970" s="10" t="s">
        <v>2217</v>
      </c>
      <c r="B1970" s="10" t="s">
        <v>73</v>
      </c>
      <c r="C1970" s="10" t="s">
        <v>72</v>
      </c>
      <c r="D1970" s="10" t="s">
        <v>196</v>
      </c>
      <c r="E1970" s="10" t="s">
        <v>52</v>
      </c>
      <c r="F1970" s="10"/>
      <c r="G1970" s="10" t="s">
        <v>162</v>
      </c>
      <c r="H1970" s="30" t="n">
        <v>42935</v>
      </c>
      <c r="I1970" s="8" t="n">
        <f aca="false">INDEX(Parâmetros!$C$13:$C$19,MATCH(E1970,Parâmetros!$A$13:$A$19,0))</f>
        <v>55</v>
      </c>
      <c r="J1970" s="26" t="n">
        <f aca="false">IF(H1970="","",Parâmetros!$B$5-H1970)</f>
        <v>165</v>
      </c>
      <c r="K1970" s="10" t="n">
        <f aca="false">INDEX(Parâmetros!$D$13:$D$19,MATCH(E1970,Parâmetros!$A$13:$A$19,0))</f>
        <v>0</v>
      </c>
      <c r="L1970" s="10" t="n">
        <f aca="false">IF(G1970="Prospecting",Parâmetros!$B$9,IF(J1970&gt;Parâmetros!$B$6,0,INDEX(Parâmetros!$C$24:$C$26,MATCH(J1970,Parâmetros!$A$24:$A$26,1))))</f>
        <v>0</v>
      </c>
      <c r="M1970" s="31" t="n">
        <f aca="false">IF(G1970="Prospecting",1,INDEX(Parâmetros!$C$32:$C$35,MATCH(J1970,Parâmetros!$A$32:$A$35,1)))</f>
        <v>0.6</v>
      </c>
      <c r="N1970" s="2" t="n">
        <f aca="false">ROUND((K1970+L1970)*M1970,0)</f>
        <v>0</v>
      </c>
      <c r="O1970" s="10" t="str">
        <f aca="false">IF(AND(G1970="Engaging",J1970&gt;Parâmetros!$B$6),"Sim","Não")</f>
        <v>Sim</v>
      </c>
      <c r="P1970" s="32" t="str">
        <f aca="false">IF(O1970="Sim","R",IF(N1970&gt;=Parâmetros!$B$39,"A",IF(N1970&gt;=Parâmetros!$B$40,"B",IF(N1970&gt;=Parâmetros!$B$41,"C","D"))))</f>
        <v>R</v>
      </c>
      <c r="Q1970" s="10" t="str">
        <f aca="false">IF(F1970="","Completar cadastro","")</f>
        <v>Completar cadastro</v>
      </c>
      <c r="R1970" s="10" t="str">
        <f aca="false">INDEX(Parâmetros!$D$39:$D$43,MATCH(P1970,Parâmetros!$A$39:$A$43,0))</f>
        <v>Reciclar: requalificar, reengajar ou encerrar</v>
      </c>
    </row>
    <row r="1971" customFormat="false" ht="15" hidden="false" customHeight="false" outlineLevel="0" collapsed="false">
      <c r="A1971" s="10" t="s">
        <v>2218</v>
      </c>
      <c r="B1971" s="10" t="s">
        <v>67</v>
      </c>
      <c r="C1971" s="10" t="s">
        <v>65</v>
      </c>
      <c r="D1971" s="10" t="s">
        <v>160</v>
      </c>
      <c r="E1971" s="10" t="s">
        <v>52</v>
      </c>
      <c r="F1971" s="10" t="s">
        <v>350</v>
      </c>
      <c r="G1971" s="10" t="s">
        <v>162</v>
      </c>
      <c r="H1971" s="30" t="n">
        <v>42935</v>
      </c>
      <c r="I1971" s="8" t="n">
        <f aca="false">INDEX(Parâmetros!$C$13:$C$19,MATCH(E1971,Parâmetros!$A$13:$A$19,0))</f>
        <v>55</v>
      </c>
      <c r="J1971" s="26" t="n">
        <f aca="false">IF(H1971="","",Parâmetros!$B$5-H1971)</f>
        <v>165</v>
      </c>
      <c r="K1971" s="10" t="n">
        <f aca="false">INDEX(Parâmetros!$D$13:$D$19,MATCH(E1971,Parâmetros!$A$13:$A$19,0))</f>
        <v>0</v>
      </c>
      <c r="L1971" s="10" t="n">
        <f aca="false">IF(G1971="Prospecting",Parâmetros!$B$9,IF(J1971&gt;Parâmetros!$B$6,0,INDEX(Parâmetros!$C$24:$C$26,MATCH(J1971,Parâmetros!$A$24:$A$26,1))))</f>
        <v>0</v>
      </c>
      <c r="M1971" s="31" t="n">
        <f aca="false">IF(G1971="Prospecting",1,INDEX(Parâmetros!$C$32:$C$35,MATCH(J1971,Parâmetros!$A$32:$A$35,1)))</f>
        <v>0.6</v>
      </c>
      <c r="N1971" s="2" t="n">
        <f aca="false">ROUND((K1971+L1971)*M1971,0)</f>
        <v>0</v>
      </c>
      <c r="O1971" s="10" t="str">
        <f aca="false">IF(AND(G1971="Engaging",J1971&gt;Parâmetros!$B$6),"Sim","Não")</f>
        <v>Sim</v>
      </c>
      <c r="P1971" s="32" t="str">
        <f aca="false">IF(O1971="Sim","R",IF(N1971&gt;=Parâmetros!$B$39,"A",IF(N1971&gt;=Parâmetros!$B$40,"B",IF(N1971&gt;=Parâmetros!$B$41,"C","D"))))</f>
        <v>R</v>
      </c>
      <c r="Q1971" s="10" t="str">
        <f aca="false">IF(F1971="","Completar cadastro","")</f>
        <v/>
      </c>
      <c r="R1971" s="10" t="str">
        <f aca="false">INDEX(Parâmetros!$D$39:$D$43,MATCH(P1971,Parâmetros!$A$39:$A$43,0))</f>
        <v>Reciclar: requalificar, reengajar ou encerrar</v>
      </c>
    </row>
    <row r="1972" customFormat="false" ht="15" hidden="false" customHeight="false" outlineLevel="0" collapsed="false">
      <c r="A1972" s="10" t="s">
        <v>2219</v>
      </c>
      <c r="B1972" s="10" t="s">
        <v>74</v>
      </c>
      <c r="C1972" s="10" t="s">
        <v>72</v>
      </c>
      <c r="D1972" s="10" t="s">
        <v>196</v>
      </c>
      <c r="E1972" s="10" t="s">
        <v>52</v>
      </c>
      <c r="F1972" s="10"/>
      <c r="G1972" s="10" t="s">
        <v>162</v>
      </c>
      <c r="H1972" s="30" t="n">
        <v>42935</v>
      </c>
      <c r="I1972" s="8" t="n">
        <f aca="false">INDEX(Parâmetros!$C$13:$C$19,MATCH(E1972,Parâmetros!$A$13:$A$19,0))</f>
        <v>55</v>
      </c>
      <c r="J1972" s="26" t="n">
        <f aca="false">IF(H1972="","",Parâmetros!$B$5-H1972)</f>
        <v>165</v>
      </c>
      <c r="K1972" s="10" t="n">
        <f aca="false">INDEX(Parâmetros!$D$13:$D$19,MATCH(E1972,Parâmetros!$A$13:$A$19,0))</f>
        <v>0</v>
      </c>
      <c r="L1972" s="10" t="n">
        <f aca="false">IF(G1972="Prospecting",Parâmetros!$B$9,IF(J1972&gt;Parâmetros!$B$6,0,INDEX(Parâmetros!$C$24:$C$26,MATCH(J1972,Parâmetros!$A$24:$A$26,1))))</f>
        <v>0</v>
      </c>
      <c r="M1972" s="31" t="n">
        <f aca="false">IF(G1972="Prospecting",1,INDEX(Parâmetros!$C$32:$C$35,MATCH(J1972,Parâmetros!$A$32:$A$35,1)))</f>
        <v>0.6</v>
      </c>
      <c r="N1972" s="2" t="n">
        <f aca="false">ROUND((K1972+L1972)*M1972,0)</f>
        <v>0</v>
      </c>
      <c r="O1972" s="10" t="str">
        <f aca="false">IF(AND(G1972="Engaging",J1972&gt;Parâmetros!$B$6),"Sim","Não")</f>
        <v>Sim</v>
      </c>
      <c r="P1972" s="32" t="str">
        <f aca="false">IF(O1972="Sim","R",IF(N1972&gt;=Parâmetros!$B$39,"A",IF(N1972&gt;=Parâmetros!$B$40,"B",IF(N1972&gt;=Parâmetros!$B$41,"C","D"))))</f>
        <v>R</v>
      </c>
      <c r="Q1972" s="10" t="str">
        <f aca="false">IF(F1972="","Completar cadastro","")</f>
        <v>Completar cadastro</v>
      </c>
      <c r="R1972" s="10" t="str">
        <f aca="false">INDEX(Parâmetros!$D$39:$D$43,MATCH(P1972,Parâmetros!$A$39:$A$43,0))</f>
        <v>Reciclar: requalificar, reengajar ou encerrar</v>
      </c>
    </row>
    <row r="1973" customFormat="false" ht="15" hidden="false" customHeight="false" outlineLevel="0" collapsed="false">
      <c r="A1973" s="10" t="s">
        <v>2220</v>
      </c>
      <c r="B1973" s="10" t="s">
        <v>71</v>
      </c>
      <c r="C1973" s="10" t="s">
        <v>72</v>
      </c>
      <c r="D1973" s="10" t="s">
        <v>196</v>
      </c>
      <c r="E1973" s="10" t="s">
        <v>52</v>
      </c>
      <c r="F1973" s="10" t="s">
        <v>464</v>
      </c>
      <c r="G1973" s="10" t="s">
        <v>162</v>
      </c>
      <c r="H1973" s="30" t="n">
        <v>42936</v>
      </c>
      <c r="I1973" s="8" t="n">
        <f aca="false">INDEX(Parâmetros!$C$13:$C$19,MATCH(E1973,Parâmetros!$A$13:$A$19,0))</f>
        <v>55</v>
      </c>
      <c r="J1973" s="26" t="n">
        <f aca="false">IF(H1973="","",Parâmetros!$B$5-H1973)</f>
        <v>164</v>
      </c>
      <c r="K1973" s="10" t="n">
        <f aca="false">INDEX(Parâmetros!$D$13:$D$19,MATCH(E1973,Parâmetros!$A$13:$A$19,0))</f>
        <v>0</v>
      </c>
      <c r="L1973" s="10" t="n">
        <f aca="false">IF(G1973="Prospecting",Parâmetros!$B$9,IF(J1973&gt;Parâmetros!$B$6,0,INDEX(Parâmetros!$C$24:$C$26,MATCH(J1973,Parâmetros!$A$24:$A$26,1))))</f>
        <v>0</v>
      </c>
      <c r="M1973" s="31" t="n">
        <f aca="false">IF(G1973="Prospecting",1,INDEX(Parâmetros!$C$32:$C$35,MATCH(J1973,Parâmetros!$A$32:$A$35,1)))</f>
        <v>0.6</v>
      </c>
      <c r="N1973" s="2" t="n">
        <f aca="false">ROUND((K1973+L1973)*M1973,0)</f>
        <v>0</v>
      </c>
      <c r="O1973" s="10" t="str">
        <f aca="false">IF(AND(G1973="Engaging",J1973&gt;Parâmetros!$B$6),"Sim","Não")</f>
        <v>Sim</v>
      </c>
      <c r="P1973" s="32" t="str">
        <f aca="false">IF(O1973="Sim","R",IF(N1973&gt;=Parâmetros!$B$39,"A",IF(N1973&gt;=Parâmetros!$B$40,"B",IF(N1973&gt;=Parâmetros!$B$41,"C","D"))))</f>
        <v>R</v>
      </c>
      <c r="Q1973" s="10" t="str">
        <f aca="false">IF(F1973="","Completar cadastro","")</f>
        <v/>
      </c>
      <c r="R1973" s="10" t="str">
        <f aca="false">INDEX(Parâmetros!$D$39:$D$43,MATCH(P1973,Parâmetros!$A$39:$A$43,0))</f>
        <v>Reciclar: requalificar, reengajar ou encerrar</v>
      </c>
    </row>
    <row r="1974" customFormat="false" ht="15" hidden="false" customHeight="false" outlineLevel="0" collapsed="false">
      <c r="A1974" s="10" t="s">
        <v>2221</v>
      </c>
      <c r="B1974" s="10" t="s">
        <v>71</v>
      </c>
      <c r="C1974" s="10" t="s">
        <v>72</v>
      </c>
      <c r="D1974" s="10" t="s">
        <v>196</v>
      </c>
      <c r="E1974" s="10" t="s">
        <v>52</v>
      </c>
      <c r="F1974" s="10"/>
      <c r="G1974" s="10" t="s">
        <v>162</v>
      </c>
      <c r="H1974" s="30" t="n">
        <v>42936</v>
      </c>
      <c r="I1974" s="8" t="n">
        <f aca="false">INDEX(Parâmetros!$C$13:$C$19,MATCH(E1974,Parâmetros!$A$13:$A$19,0))</f>
        <v>55</v>
      </c>
      <c r="J1974" s="26" t="n">
        <f aca="false">IF(H1974="","",Parâmetros!$B$5-H1974)</f>
        <v>164</v>
      </c>
      <c r="K1974" s="10" t="n">
        <f aca="false">INDEX(Parâmetros!$D$13:$D$19,MATCH(E1974,Parâmetros!$A$13:$A$19,0))</f>
        <v>0</v>
      </c>
      <c r="L1974" s="10" t="n">
        <f aca="false">IF(G1974="Prospecting",Parâmetros!$B$9,IF(J1974&gt;Parâmetros!$B$6,0,INDEX(Parâmetros!$C$24:$C$26,MATCH(J1974,Parâmetros!$A$24:$A$26,1))))</f>
        <v>0</v>
      </c>
      <c r="M1974" s="31" t="n">
        <f aca="false">IF(G1974="Prospecting",1,INDEX(Parâmetros!$C$32:$C$35,MATCH(J1974,Parâmetros!$A$32:$A$35,1)))</f>
        <v>0.6</v>
      </c>
      <c r="N1974" s="2" t="n">
        <f aca="false">ROUND((K1974+L1974)*M1974,0)</f>
        <v>0</v>
      </c>
      <c r="O1974" s="10" t="str">
        <f aca="false">IF(AND(G1974="Engaging",J1974&gt;Parâmetros!$B$6),"Sim","Não")</f>
        <v>Sim</v>
      </c>
      <c r="P1974" s="32" t="str">
        <f aca="false">IF(O1974="Sim","R",IF(N1974&gt;=Parâmetros!$B$39,"A",IF(N1974&gt;=Parâmetros!$B$40,"B",IF(N1974&gt;=Parâmetros!$B$41,"C","D"))))</f>
        <v>R</v>
      </c>
      <c r="Q1974" s="10" t="str">
        <f aca="false">IF(F1974="","Completar cadastro","")</f>
        <v>Completar cadastro</v>
      </c>
      <c r="R1974" s="10" t="str">
        <f aca="false">INDEX(Parâmetros!$D$39:$D$43,MATCH(P1974,Parâmetros!$A$39:$A$43,0))</f>
        <v>Reciclar: requalificar, reengajar ou encerrar</v>
      </c>
    </row>
    <row r="1975" customFormat="false" ht="15" hidden="false" customHeight="false" outlineLevel="0" collapsed="false">
      <c r="A1975" s="10" t="s">
        <v>2222</v>
      </c>
      <c r="B1975" s="10" t="s">
        <v>80</v>
      </c>
      <c r="C1975" s="10" t="s">
        <v>78</v>
      </c>
      <c r="D1975" s="10" t="s">
        <v>196</v>
      </c>
      <c r="E1975" s="10" t="s">
        <v>52</v>
      </c>
      <c r="F1975" s="10"/>
      <c r="G1975" s="10" t="s">
        <v>162</v>
      </c>
      <c r="H1975" s="30" t="n">
        <v>42936</v>
      </c>
      <c r="I1975" s="8" t="n">
        <f aca="false">INDEX(Parâmetros!$C$13:$C$19,MATCH(E1975,Parâmetros!$A$13:$A$19,0))</f>
        <v>55</v>
      </c>
      <c r="J1975" s="26" t="n">
        <f aca="false">IF(H1975="","",Parâmetros!$B$5-H1975)</f>
        <v>164</v>
      </c>
      <c r="K1975" s="10" t="n">
        <f aca="false">INDEX(Parâmetros!$D$13:$D$19,MATCH(E1975,Parâmetros!$A$13:$A$19,0))</f>
        <v>0</v>
      </c>
      <c r="L1975" s="10" t="n">
        <f aca="false">IF(G1975="Prospecting",Parâmetros!$B$9,IF(J1975&gt;Parâmetros!$B$6,0,INDEX(Parâmetros!$C$24:$C$26,MATCH(J1975,Parâmetros!$A$24:$A$26,1))))</f>
        <v>0</v>
      </c>
      <c r="M1975" s="31" t="n">
        <f aca="false">IF(G1975="Prospecting",1,INDEX(Parâmetros!$C$32:$C$35,MATCH(J1975,Parâmetros!$A$32:$A$35,1)))</f>
        <v>0.6</v>
      </c>
      <c r="N1975" s="2" t="n">
        <f aca="false">ROUND((K1975+L1975)*M1975,0)</f>
        <v>0</v>
      </c>
      <c r="O1975" s="10" t="str">
        <f aca="false">IF(AND(G1975="Engaging",J1975&gt;Parâmetros!$B$6),"Sim","Não")</f>
        <v>Sim</v>
      </c>
      <c r="P1975" s="32" t="str">
        <f aca="false">IF(O1975="Sim","R",IF(N1975&gt;=Parâmetros!$B$39,"A",IF(N1975&gt;=Parâmetros!$B$40,"B",IF(N1975&gt;=Parâmetros!$B$41,"C","D"))))</f>
        <v>R</v>
      </c>
      <c r="Q1975" s="10" t="str">
        <f aca="false">IF(F1975="","Completar cadastro","")</f>
        <v>Completar cadastro</v>
      </c>
      <c r="R1975" s="10" t="str">
        <f aca="false">INDEX(Parâmetros!$D$39:$D$43,MATCH(P1975,Parâmetros!$A$39:$A$43,0))</f>
        <v>Reciclar: requalificar, reengajar ou encerrar</v>
      </c>
    </row>
    <row r="1976" customFormat="false" ht="15" hidden="false" customHeight="false" outlineLevel="0" collapsed="false">
      <c r="A1976" s="10" t="s">
        <v>2223</v>
      </c>
      <c r="B1976" s="10" t="s">
        <v>73</v>
      </c>
      <c r="C1976" s="10" t="s">
        <v>72</v>
      </c>
      <c r="D1976" s="10" t="s">
        <v>196</v>
      </c>
      <c r="E1976" s="10" t="s">
        <v>52</v>
      </c>
      <c r="F1976" s="10"/>
      <c r="G1976" s="10" t="s">
        <v>162</v>
      </c>
      <c r="H1976" s="30" t="n">
        <v>42937</v>
      </c>
      <c r="I1976" s="8" t="n">
        <f aca="false">INDEX(Parâmetros!$C$13:$C$19,MATCH(E1976,Parâmetros!$A$13:$A$19,0))</f>
        <v>55</v>
      </c>
      <c r="J1976" s="26" t="n">
        <f aca="false">IF(H1976="","",Parâmetros!$B$5-H1976)</f>
        <v>163</v>
      </c>
      <c r="K1976" s="10" t="n">
        <f aca="false">INDEX(Parâmetros!$D$13:$D$19,MATCH(E1976,Parâmetros!$A$13:$A$19,0))</f>
        <v>0</v>
      </c>
      <c r="L1976" s="10" t="n">
        <f aca="false">IF(G1976="Prospecting",Parâmetros!$B$9,IF(J1976&gt;Parâmetros!$B$6,0,INDEX(Parâmetros!$C$24:$C$26,MATCH(J1976,Parâmetros!$A$24:$A$26,1))))</f>
        <v>0</v>
      </c>
      <c r="M1976" s="31" t="n">
        <f aca="false">IF(G1976="Prospecting",1,INDEX(Parâmetros!$C$32:$C$35,MATCH(J1976,Parâmetros!$A$32:$A$35,1)))</f>
        <v>0.6</v>
      </c>
      <c r="N1976" s="2" t="n">
        <f aca="false">ROUND((K1976+L1976)*M1976,0)</f>
        <v>0</v>
      </c>
      <c r="O1976" s="10" t="str">
        <f aca="false">IF(AND(G1976="Engaging",J1976&gt;Parâmetros!$B$6),"Sim","Não")</f>
        <v>Sim</v>
      </c>
      <c r="P1976" s="32" t="str">
        <f aca="false">IF(O1976="Sim","R",IF(N1976&gt;=Parâmetros!$B$39,"A",IF(N1976&gt;=Parâmetros!$B$40,"B",IF(N1976&gt;=Parâmetros!$B$41,"C","D"))))</f>
        <v>R</v>
      </c>
      <c r="Q1976" s="10" t="str">
        <f aca="false">IF(F1976="","Completar cadastro","")</f>
        <v>Completar cadastro</v>
      </c>
      <c r="R1976" s="10" t="str">
        <f aca="false">INDEX(Parâmetros!$D$39:$D$43,MATCH(P1976,Parâmetros!$A$39:$A$43,0))</f>
        <v>Reciclar: requalificar, reengajar ou encerrar</v>
      </c>
    </row>
    <row r="1977" customFormat="false" ht="15" hidden="false" customHeight="false" outlineLevel="0" collapsed="false">
      <c r="A1977" s="10" t="s">
        <v>2224</v>
      </c>
      <c r="B1977" s="10" t="s">
        <v>77</v>
      </c>
      <c r="C1977" s="10" t="s">
        <v>78</v>
      </c>
      <c r="D1977" s="10" t="s">
        <v>196</v>
      </c>
      <c r="E1977" s="10" t="s">
        <v>52</v>
      </c>
      <c r="F1977" s="10" t="s">
        <v>161</v>
      </c>
      <c r="G1977" s="10" t="s">
        <v>162</v>
      </c>
      <c r="H1977" s="30" t="n">
        <v>42937</v>
      </c>
      <c r="I1977" s="8" t="n">
        <f aca="false">INDEX(Parâmetros!$C$13:$C$19,MATCH(E1977,Parâmetros!$A$13:$A$19,0))</f>
        <v>55</v>
      </c>
      <c r="J1977" s="26" t="n">
        <f aca="false">IF(H1977="","",Parâmetros!$B$5-H1977)</f>
        <v>163</v>
      </c>
      <c r="K1977" s="10" t="n">
        <f aca="false">INDEX(Parâmetros!$D$13:$D$19,MATCH(E1977,Parâmetros!$A$13:$A$19,0))</f>
        <v>0</v>
      </c>
      <c r="L1977" s="10" t="n">
        <f aca="false">IF(G1977="Prospecting",Parâmetros!$B$9,IF(J1977&gt;Parâmetros!$B$6,0,INDEX(Parâmetros!$C$24:$C$26,MATCH(J1977,Parâmetros!$A$24:$A$26,1))))</f>
        <v>0</v>
      </c>
      <c r="M1977" s="31" t="n">
        <f aca="false">IF(G1977="Prospecting",1,INDEX(Parâmetros!$C$32:$C$35,MATCH(J1977,Parâmetros!$A$32:$A$35,1)))</f>
        <v>0.6</v>
      </c>
      <c r="N1977" s="2" t="n">
        <f aca="false">ROUND((K1977+L1977)*M1977,0)</f>
        <v>0</v>
      </c>
      <c r="O1977" s="10" t="str">
        <f aca="false">IF(AND(G1977="Engaging",J1977&gt;Parâmetros!$B$6),"Sim","Não")</f>
        <v>Sim</v>
      </c>
      <c r="P1977" s="32" t="str">
        <f aca="false">IF(O1977="Sim","R",IF(N1977&gt;=Parâmetros!$B$39,"A",IF(N1977&gt;=Parâmetros!$B$40,"B",IF(N1977&gt;=Parâmetros!$B$41,"C","D"))))</f>
        <v>R</v>
      </c>
      <c r="Q1977" s="10" t="str">
        <f aca="false">IF(F1977="","Completar cadastro","")</f>
        <v/>
      </c>
      <c r="R1977" s="10" t="str">
        <f aca="false">INDEX(Parâmetros!$D$39:$D$43,MATCH(P1977,Parâmetros!$A$39:$A$43,0))</f>
        <v>Reciclar: requalificar, reengajar ou encerrar</v>
      </c>
    </row>
    <row r="1978" customFormat="false" ht="15" hidden="false" customHeight="false" outlineLevel="0" collapsed="false">
      <c r="A1978" s="10" t="s">
        <v>2225</v>
      </c>
      <c r="B1978" s="10" t="s">
        <v>79</v>
      </c>
      <c r="C1978" s="10" t="s">
        <v>78</v>
      </c>
      <c r="D1978" s="10" t="s">
        <v>196</v>
      </c>
      <c r="E1978" s="10" t="s">
        <v>52</v>
      </c>
      <c r="F1978" s="10" t="s">
        <v>464</v>
      </c>
      <c r="G1978" s="10" t="s">
        <v>162</v>
      </c>
      <c r="H1978" s="30" t="n">
        <v>42937</v>
      </c>
      <c r="I1978" s="8" t="n">
        <f aca="false">INDEX(Parâmetros!$C$13:$C$19,MATCH(E1978,Parâmetros!$A$13:$A$19,0))</f>
        <v>55</v>
      </c>
      <c r="J1978" s="26" t="n">
        <f aca="false">IF(H1978="","",Parâmetros!$B$5-H1978)</f>
        <v>163</v>
      </c>
      <c r="K1978" s="10" t="n">
        <f aca="false">INDEX(Parâmetros!$D$13:$D$19,MATCH(E1978,Parâmetros!$A$13:$A$19,0))</f>
        <v>0</v>
      </c>
      <c r="L1978" s="10" t="n">
        <f aca="false">IF(G1978="Prospecting",Parâmetros!$B$9,IF(J1978&gt;Parâmetros!$B$6,0,INDEX(Parâmetros!$C$24:$C$26,MATCH(J1978,Parâmetros!$A$24:$A$26,1))))</f>
        <v>0</v>
      </c>
      <c r="M1978" s="31" t="n">
        <f aca="false">IF(G1978="Prospecting",1,INDEX(Parâmetros!$C$32:$C$35,MATCH(J1978,Parâmetros!$A$32:$A$35,1)))</f>
        <v>0.6</v>
      </c>
      <c r="N1978" s="2" t="n">
        <f aca="false">ROUND((K1978+L1978)*M1978,0)</f>
        <v>0</v>
      </c>
      <c r="O1978" s="10" t="str">
        <f aca="false">IF(AND(G1978="Engaging",J1978&gt;Parâmetros!$B$6),"Sim","Não")</f>
        <v>Sim</v>
      </c>
      <c r="P1978" s="32" t="str">
        <f aca="false">IF(O1978="Sim","R",IF(N1978&gt;=Parâmetros!$B$39,"A",IF(N1978&gt;=Parâmetros!$B$40,"B",IF(N1978&gt;=Parâmetros!$B$41,"C","D"))))</f>
        <v>R</v>
      </c>
      <c r="Q1978" s="10" t="str">
        <f aca="false">IF(F1978="","Completar cadastro","")</f>
        <v/>
      </c>
      <c r="R1978" s="10" t="str">
        <f aca="false">INDEX(Parâmetros!$D$39:$D$43,MATCH(P1978,Parâmetros!$A$39:$A$43,0))</f>
        <v>Reciclar: requalificar, reengajar ou encerrar</v>
      </c>
    </row>
    <row r="1979" customFormat="false" ht="15" hidden="false" customHeight="false" outlineLevel="0" collapsed="false">
      <c r="A1979" s="10" t="s">
        <v>2226</v>
      </c>
      <c r="B1979" s="10" t="s">
        <v>74</v>
      </c>
      <c r="C1979" s="10" t="s">
        <v>72</v>
      </c>
      <c r="D1979" s="10" t="s">
        <v>196</v>
      </c>
      <c r="E1979" s="10" t="s">
        <v>52</v>
      </c>
      <c r="F1979" s="10"/>
      <c r="G1979" s="10" t="s">
        <v>162</v>
      </c>
      <c r="H1979" s="30" t="n">
        <v>42937</v>
      </c>
      <c r="I1979" s="8" t="n">
        <f aca="false">INDEX(Parâmetros!$C$13:$C$19,MATCH(E1979,Parâmetros!$A$13:$A$19,0))</f>
        <v>55</v>
      </c>
      <c r="J1979" s="26" t="n">
        <f aca="false">IF(H1979="","",Parâmetros!$B$5-H1979)</f>
        <v>163</v>
      </c>
      <c r="K1979" s="10" t="n">
        <f aca="false">INDEX(Parâmetros!$D$13:$D$19,MATCH(E1979,Parâmetros!$A$13:$A$19,0))</f>
        <v>0</v>
      </c>
      <c r="L1979" s="10" t="n">
        <f aca="false">IF(G1979="Prospecting",Parâmetros!$B$9,IF(J1979&gt;Parâmetros!$B$6,0,INDEX(Parâmetros!$C$24:$C$26,MATCH(J1979,Parâmetros!$A$24:$A$26,1))))</f>
        <v>0</v>
      </c>
      <c r="M1979" s="31" t="n">
        <f aca="false">IF(G1979="Prospecting",1,INDEX(Parâmetros!$C$32:$C$35,MATCH(J1979,Parâmetros!$A$32:$A$35,1)))</f>
        <v>0.6</v>
      </c>
      <c r="N1979" s="2" t="n">
        <f aca="false">ROUND((K1979+L1979)*M1979,0)</f>
        <v>0</v>
      </c>
      <c r="O1979" s="10" t="str">
        <f aca="false">IF(AND(G1979="Engaging",J1979&gt;Parâmetros!$B$6),"Sim","Não")</f>
        <v>Sim</v>
      </c>
      <c r="P1979" s="32" t="str">
        <f aca="false">IF(O1979="Sim","R",IF(N1979&gt;=Parâmetros!$B$39,"A",IF(N1979&gt;=Parâmetros!$B$40,"B",IF(N1979&gt;=Parâmetros!$B$41,"C","D"))))</f>
        <v>R</v>
      </c>
      <c r="Q1979" s="10" t="str">
        <f aca="false">IF(F1979="","Completar cadastro","")</f>
        <v>Completar cadastro</v>
      </c>
      <c r="R1979" s="10" t="str">
        <f aca="false">INDEX(Parâmetros!$D$39:$D$43,MATCH(P1979,Parâmetros!$A$39:$A$43,0))</f>
        <v>Reciclar: requalificar, reengajar ou encerrar</v>
      </c>
    </row>
    <row r="1980" customFormat="false" ht="15" hidden="false" customHeight="false" outlineLevel="0" collapsed="false">
      <c r="A1980" s="10" t="s">
        <v>2227</v>
      </c>
      <c r="B1980" s="10" t="s">
        <v>75</v>
      </c>
      <c r="C1980" s="10" t="s">
        <v>72</v>
      </c>
      <c r="D1980" s="10" t="s">
        <v>196</v>
      </c>
      <c r="E1980" s="10" t="s">
        <v>52</v>
      </c>
      <c r="F1980" s="10"/>
      <c r="G1980" s="10" t="s">
        <v>162</v>
      </c>
      <c r="H1980" s="30" t="n">
        <v>42937</v>
      </c>
      <c r="I1980" s="8" t="n">
        <f aca="false">INDEX(Parâmetros!$C$13:$C$19,MATCH(E1980,Parâmetros!$A$13:$A$19,0))</f>
        <v>55</v>
      </c>
      <c r="J1980" s="26" t="n">
        <f aca="false">IF(H1980="","",Parâmetros!$B$5-H1980)</f>
        <v>163</v>
      </c>
      <c r="K1980" s="10" t="n">
        <f aca="false">INDEX(Parâmetros!$D$13:$D$19,MATCH(E1980,Parâmetros!$A$13:$A$19,0))</f>
        <v>0</v>
      </c>
      <c r="L1980" s="10" t="n">
        <f aca="false">IF(G1980="Prospecting",Parâmetros!$B$9,IF(J1980&gt;Parâmetros!$B$6,0,INDEX(Parâmetros!$C$24:$C$26,MATCH(J1980,Parâmetros!$A$24:$A$26,1))))</f>
        <v>0</v>
      </c>
      <c r="M1980" s="31" t="n">
        <f aca="false">IF(G1980="Prospecting",1,INDEX(Parâmetros!$C$32:$C$35,MATCH(J1980,Parâmetros!$A$32:$A$35,1)))</f>
        <v>0.6</v>
      </c>
      <c r="N1980" s="2" t="n">
        <f aca="false">ROUND((K1980+L1980)*M1980,0)</f>
        <v>0</v>
      </c>
      <c r="O1980" s="10" t="str">
        <f aca="false">IF(AND(G1980="Engaging",J1980&gt;Parâmetros!$B$6),"Sim","Não")</f>
        <v>Sim</v>
      </c>
      <c r="P1980" s="32" t="str">
        <f aca="false">IF(O1980="Sim","R",IF(N1980&gt;=Parâmetros!$B$39,"A",IF(N1980&gt;=Parâmetros!$B$40,"B",IF(N1980&gt;=Parâmetros!$B$41,"C","D"))))</f>
        <v>R</v>
      </c>
      <c r="Q1980" s="10" t="str">
        <f aca="false">IF(F1980="","Completar cadastro","")</f>
        <v>Completar cadastro</v>
      </c>
      <c r="R1980" s="10" t="str">
        <f aca="false">INDEX(Parâmetros!$D$39:$D$43,MATCH(P1980,Parâmetros!$A$39:$A$43,0))</f>
        <v>Reciclar: requalificar, reengajar ou encerrar</v>
      </c>
    </row>
    <row r="1981" customFormat="false" ht="15" hidden="false" customHeight="false" outlineLevel="0" collapsed="false">
      <c r="A1981" s="10" t="s">
        <v>2228</v>
      </c>
      <c r="B1981" s="10" t="s">
        <v>76</v>
      </c>
      <c r="C1981" s="10" t="s">
        <v>72</v>
      </c>
      <c r="D1981" s="10" t="s">
        <v>196</v>
      </c>
      <c r="E1981" s="10" t="s">
        <v>52</v>
      </c>
      <c r="F1981" s="10" t="s">
        <v>483</v>
      </c>
      <c r="G1981" s="10" t="s">
        <v>162</v>
      </c>
      <c r="H1981" s="30" t="n">
        <v>42937</v>
      </c>
      <c r="I1981" s="8" t="n">
        <f aca="false">INDEX(Parâmetros!$C$13:$C$19,MATCH(E1981,Parâmetros!$A$13:$A$19,0))</f>
        <v>55</v>
      </c>
      <c r="J1981" s="26" t="n">
        <f aca="false">IF(H1981="","",Parâmetros!$B$5-H1981)</f>
        <v>163</v>
      </c>
      <c r="K1981" s="10" t="n">
        <f aca="false">INDEX(Parâmetros!$D$13:$D$19,MATCH(E1981,Parâmetros!$A$13:$A$19,0))</f>
        <v>0</v>
      </c>
      <c r="L1981" s="10" t="n">
        <f aca="false">IF(G1981="Prospecting",Parâmetros!$B$9,IF(J1981&gt;Parâmetros!$B$6,0,INDEX(Parâmetros!$C$24:$C$26,MATCH(J1981,Parâmetros!$A$24:$A$26,1))))</f>
        <v>0</v>
      </c>
      <c r="M1981" s="31" t="n">
        <f aca="false">IF(G1981="Prospecting",1,INDEX(Parâmetros!$C$32:$C$35,MATCH(J1981,Parâmetros!$A$32:$A$35,1)))</f>
        <v>0.6</v>
      </c>
      <c r="N1981" s="2" t="n">
        <f aca="false">ROUND((K1981+L1981)*M1981,0)</f>
        <v>0</v>
      </c>
      <c r="O1981" s="10" t="str">
        <f aca="false">IF(AND(G1981="Engaging",J1981&gt;Parâmetros!$B$6),"Sim","Não")</f>
        <v>Sim</v>
      </c>
      <c r="P1981" s="32" t="str">
        <f aca="false">IF(O1981="Sim","R",IF(N1981&gt;=Parâmetros!$B$39,"A",IF(N1981&gt;=Parâmetros!$B$40,"B",IF(N1981&gt;=Parâmetros!$B$41,"C","D"))))</f>
        <v>R</v>
      </c>
      <c r="Q1981" s="10" t="str">
        <f aca="false">IF(F1981="","Completar cadastro","")</f>
        <v/>
      </c>
      <c r="R1981" s="10" t="str">
        <f aca="false">INDEX(Parâmetros!$D$39:$D$43,MATCH(P1981,Parâmetros!$A$39:$A$43,0))</f>
        <v>Reciclar: requalificar, reengajar ou encerrar</v>
      </c>
    </row>
    <row r="1982" customFormat="false" ht="15" hidden="false" customHeight="false" outlineLevel="0" collapsed="false">
      <c r="A1982" s="10" t="s">
        <v>2229</v>
      </c>
      <c r="B1982" s="10" t="s">
        <v>71</v>
      </c>
      <c r="C1982" s="10" t="s">
        <v>72</v>
      </c>
      <c r="D1982" s="10" t="s">
        <v>196</v>
      </c>
      <c r="E1982" s="10" t="s">
        <v>52</v>
      </c>
      <c r="F1982" s="10" t="s">
        <v>606</v>
      </c>
      <c r="G1982" s="10" t="s">
        <v>162</v>
      </c>
      <c r="H1982" s="30" t="n">
        <v>42938</v>
      </c>
      <c r="I1982" s="8" t="n">
        <f aca="false">INDEX(Parâmetros!$C$13:$C$19,MATCH(E1982,Parâmetros!$A$13:$A$19,0))</f>
        <v>55</v>
      </c>
      <c r="J1982" s="26" t="n">
        <f aca="false">IF(H1982="","",Parâmetros!$B$5-H1982)</f>
        <v>162</v>
      </c>
      <c r="K1982" s="10" t="n">
        <f aca="false">INDEX(Parâmetros!$D$13:$D$19,MATCH(E1982,Parâmetros!$A$13:$A$19,0))</f>
        <v>0</v>
      </c>
      <c r="L1982" s="10" t="n">
        <f aca="false">IF(G1982="Prospecting",Parâmetros!$B$9,IF(J1982&gt;Parâmetros!$B$6,0,INDEX(Parâmetros!$C$24:$C$26,MATCH(J1982,Parâmetros!$A$24:$A$26,1))))</f>
        <v>0</v>
      </c>
      <c r="M1982" s="31" t="n">
        <f aca="false">IF(G1982="Prospecting",1,INDEX(Parâmetros!$C$32:$C$35,MATCH(J1982,Parâmetros!$A$32:$A$35,1)))</f>
        <v>0.6</v>
      </c>
      <c r="N1982" s="2" t="n">
        <f aca="false">ROUND((K1982+L1982)*M1982,0)</f>
        <v>0</v>
      </c>
      <c r="O1982" s="10" t="str">
        <f aca="false">IF(AND(G1982="Engaging",J1982&gt;Parâmetros!$B$6),"Sim","Não")</f>
        <v>Sim</v>
      </c>
      <c r="P1982" s="32" t="str">
        <f aca="false">IF(O1982="Sim","R",IF(N1982&gt;=Parâmetros!$B$39,"A",IF(N1982&gt;=Parâmetros!$B$40,"B",IF(N1982&gt;=Parâmetros!$B$41,"C","D"))))</f>
        <v>R</v>
      </c>
      <c r="Q1982" s="10" t="str">
        <f aca="false">IF(F1982="","Completar cadastro","")</f>
        <v/>
      </c>
      <c r="R1982" s="10" t="str">
        <f aca="false">INDEX(Parâmetros!$D$39:$D$43,MATCH(P1982,Parâmetros!$A$39:$A$43,0))</f>
        <v>Reciclar: requalificar, reengajar ou encerrar</v>
      </c>
    </row>
    <row r="1983" customFormat="false" ht="15" hidden="false" customHeight="false" outlineLevel="0" collapsed="false">
      <c r="A1983" s="10" t="s">
        <v>2230</v>
      </c>
      <c r="B1983" s="10" t="s">
        <v>71</v>
      </c>
      <c r="C1983" s="10" t="s">
        <v>72</v>
      </c>
      <c r="D1983" s="10" t="s">
        <v>196</v>
      </c>
      <c r="E1983" s="10" t="s">
        <v>52</v>
      </c>
      <c r="F1983" s="10"/>
      <c r="G1983" s="10" t="s">
        <v>162</v>
      </c>
      <c r="H1983" s="30" t="n">
        <v>42938</v>
      </c>
      <c r="I1983" s="8" t="n">
        <f aca="false">INDEX(Parâmetros!$C$13:$C$19,MATCH(E1983,Parâmetros!$A$13:$A$19,0))</f>
        <v>55</v>
      </c>
      <c r="J1983" s="26" t="n">
        <f aca="false">IF(H1983="","",Parâmetros!$B$5-H1983)</f>
        <v>162</v>
      </c>
      <c r="K1983" s="10" t="n">
        <f aca="false">INDEX(Parâmetros!$D$13:$D$19,MATCH(E1983,Parâmetros!$A$13:$A$19,0))</f>
        <v>0</v>
      </c>
      <c r="L1983" s="10" t="n">
        <f aca="false">IF(G1983="Prospecting",Parâmetros!$B$9,IF(J1983&gt;Parâmetros!$B$6,0,INDEX(Parâmetros!$C$24:$C$26,MATCH(J1983,Parâmetros!$A$24:$A$26,1))))</f>
        <v>0</v>
      </c>
      <c r="M1983" s="31" t="n">
        <f aca="false">IF(G1983="Prospecting",1,INDEX(Parâmetros!$C$32:$C$35,MATCH(J1983,Parâmetros!$A$32:$A$35,1)))</f>
        <v>0.6</v>
      </c>
      <c r="N1983" s="2" t="n">
        <f aca="false">ROUND((K1983+L1983)*M1983,0)</f>
        <v>0</v>
      </c>
      <c r="O1983" s="10" t="str">
        <f aca="false">IF(AND(G1983="Engaging",J1983&gt;Parâmetros!$B$6),"Sim","Não")</f>
        <v>Sim</v>
      </c>
      <c r="P1983" s="32" t="str">
        <f aca="false">IF(O1983="Sim","R",IF(N1983&gt;=Parâmetros!$B$39,"A",IF(N1983&gt;=Parâmetros!$B$40,"B",IF(N1983&gt;=Parâmetros!$B$41,"C","D"))))</f>
        <v>R</v>
      </c>
      <c r="Q1983" s="10" t="str">
        <f aca="false">IF(F1983="","Completar cadastro","")</f>
        <v>Completar cadastro</v>
      </c>
      <c r="R1983" s="10" t="str">
        <f aca="false">INDEX(Parâmetros!$D$39:$D$43,MATCH(P1983,Parâmetros!$A$39:$A$43,0))</f>
        <v>Reciclar: requalificar, reengajar ou encerrar</v>
      </c>
    </row>
    <row r="1984" customFormat="false" ht="15" hidden="false" customHeight="false" outlineLevel="0" collapsed="false">
      <c r="A1984" s="10" t="s">
        <v>2231</v>
      </c>
      <c r="B1984" s="10" t="s">
        <v>71</v>
      </c>
      <c r="C1984" s="10" t="s">
        <v>72</v>
      </c>
      <c r="D1984" s="10" t="s">
        <v>196</v>
      </c>
      <c r="E1984" s="10" t="s">
        <v>52</v>
      </c>
      <c r="F1984" s="10"/>
      <c r="G1984" s="10" t="s">
        <v>162</v>
      </c>
      <c r="H1984" s="30" t="n">
        <v>42938</v>
      </c>
      <c r="I1984" s="8" t="n">
        <f aca="false">INDEX(Parâmetros!$C$13:$C$19,MATCH(E1984,Parâmetros!$A$13:$A$19,0))</f>
        <v>55</v>
      </c>
      <c r="J1984" s="26" t="n">
        <f aca="false">IF(H1984="","",Parâmetros!$B$5-H1984)</f>
        <v>162</v>
      </c>
      <c r="K1984" s="10" t="n">
        <f aca="false">INDEX(Parâmetros!$D$13:$D$19,MATCH(E1984,Parâmetros!$A$13:$A$19,0))</f>
        <v>0</v>
      </c>
      <c r="L1984" s="10" t="n">
        <f aca="false">IF(G1984="Prospecting",Parâmetros!$B$9,IF(J1984&gt;Parâmetros!$B$6,0,INDEX(Parâmetros!$C$24:$C$26,MATCH(J1984,Parâmetros!$A$24:$A$26,1))))</f>
        <v>0</v>
      </c>
      <c r="M1984" s="31" t="n">
        <f aca="false">IF(G1984="Prospecting",1,INDEX(Parâmetros!$C$32:$C$35,MATCH(J1984,Parâmetros!$A$32:$A$35,1)))</f>
        <v>0.6</v>
      </c>
      <c r="N1984" s="2" t="n">
        <f aca="false">ROUND((K1984+L1984)*M1984,0)</f>
        <v>0</v>
      </c>
      <c r="O1984" s="10" t="str">
        <f aca="false">IF(AND(G1984="Engaging",J1984&gt;Parâmetros!$B$6),"Sim","Não")</f>
        <v>Sim</v>
      </c>
      <c r="P1984" s="32" t="str">
        <f aca="false">IF(O1984="Sim","R",IF(N1984&gt;=Parâmetros!$B$39,"A",IF(N1984&gt;=Parâmetros!$B$40,"B",IF(N1984&gt;=Parâmetros!$B$41,"C","D"))))</f>
        <v>R</v>
      </c>
      <c r="Q1984" s="10" t="str">
        <f aca="false">IF(F1984="","Completar cadastro","")</f>
        <v>Completar cadastro</v>
      </c>
      <c r="R1984" s="10" t="str">
        <f aca="false">INDEX(Parâmetros!$D$39:$D$43,MATCH(P1984,Parâmetros!$A$39:$A$43,0))</f>
        <v>Reciclar: requalificar, reengajar ou encerrar</v>
      </c>
    </row>
    <row r="1985" customFormat="false" ht="15" hidden="false" customHeight="false" outlineLevel="0" collapsed="false">
      <c r="A1985" s="10" t="s">
        <v>2232</v>
      </c>
      <c r="B1985" s="10" t="s">
        <v>71</v>
      </c>
      <c r="C1985" s="10" t="s">
        <v>72</v>
      </c>
      <c r="D1985" s="10" t="s">
        <v>196</v>
      </c>
      <c r="E1985" s="10" t="s">
        <v>52</v>
      </c>
      <c r="F1985" s="10"/>
      <c r="G1985" s="10" t="s">
        <v>162</v>
      </c>
      <c r="H1985" s="30" t="n">
        <v>42938</v>
      </c>
      <c r="I1985" s="8" t="n">
        <f aca="false">INDEX(Parâmetros!$C$13:$C$19,MATCH(E1985,Parâmetros!$A$13:$A$19,0))</f>
        <v>55</v>
      </c>
      <c r="J1985" s="26" t="n">
        <f aca="false">IF(H1985="","",Parâmetros!$B$5-H1985)</f>
        <v>162</v>
      </c>
      <c r="K1985" s="10" t="n">
        <f aca="false">INDEX(Parâmetros!$D$13:$D$19,MATCH(E1985,Parâmetros!$A$13:$A$19,0))</f>
        <v>0</v>
      </c>
      <c r="L1985" s="10" t="n">
        <f aca="false">IF(G1985="Prospecting",Parâmetros!$B$9,IF(J1985&gt;Parâmetros!$B$6,0,INDEX(Parâmetros!$C$24:$C$26,MATCH(J1985,Parâmetros!$A$24:$A$26,1))))</f>
        <v>0</v>
      </c>
      <c r="M1985" s="31" t="n">
        <f aca="false">IF(G1985="Prospecting",1,INDEX(Parâmetros!$C$32:$C$35,MATCH(J1985,Parâmetros!$A$32:$A$35,1)))</f>
        <v>0.6</v>
      </c>
      <c r="N1985" s="2" t="n">
        <f aca="false">ROUND((K1985+L1985)*M1985,0)</f>
        <v>0</v>
      </c>
      <c r="O1985" s="10" t="str">
        <f aca="false">IF(AND(G1985="Engaging",J1985&gt;Parâmetros!$B$6),"Sim","Não")</f>
        <v>Sim</v>
      </c>
      <c r="P1985" s="32" t="str">
        <f aca="false">IF(O1985="Sim","R",IF(N1985&gt;=Parâmetros!$B$39,"A",IF(N1985&gt;=Parâmetros!$B$40,"B",IF(N1985&gt;=Parâmetros!$B$41,"C","D"))))</f>
        <v>R</v>
      </c>
      <c r="Q1985" s="10" t="str">
        <f aca="false">IF(F1985="","Completar cadastro","")</f>
        <v>Completar cadastro</v>
      </c>
      <c r="R1985" s="10" t="str">
        <f aca="false">INDEX(Parâmetros!$D$39:$D$43,MATCH(P1985,Parâmetros!$A$39:$A$43,0))</f>
        <v>Reciclar: requalificar, reengajar ou encerrar</v>
      </c>
    </row>
    <row r="1986" customFormat="false" ht="15" hidden="false" customHeight="false" outlineLevel="0" collapsed="false">
      <c r="A1986" s="10" t="s">
        <v>2233</v>
      </c>
      <c r="B1986" s="10" t="s">
        <v>77</v>
      </c>
      <c r="C1986" s="10" t="s">
        <v>78</v>
      </c>
      <c r="D1986" s="10" t="s">
        <v>196</v>
      </c>
      <c r="E1986" s="10" t="s">
        <v>52</v>
      </c>
      <c r="F1986" s="10"/>
      <c r="G1986" s="10" t="s">
        <v>162</v>
      </c>
      <c r="H1986" s="30" t="n">
        <v>42938</v>
      </c>
      <c r="I1986" s="8" t="n">
        <f aca="false">INDEX(Parâmetros!$C$13:$C$19,MATCH(E1986,Parâmetros!$A$13:$A$19,0))</f>
        <v>55</v>
      </c>
      <c r="J1986" s="26" t="n">
        <f aca="false">IF(H1986="","",Parâmetros!$B$5-H1986)</f>
        <v>162</v>
      </c>
      <c r="K1986" s="10" t="n">
        <f aca="false">INDEX(Parâmetros!$D$13:$D$19,MATCH(E1986,Parâmetros!$A$13:$A$19,0))</f>
        <v>0</v>
      </c>
      <c r="L1986" s="10" t="n">
        <f aca="false">IF(G1986="Prospecting",Parâmetros!$B$9,IF(J1986&gt;Parâmetros!$B$6,0,INDEX(Parâmetros!$C$24:$C$26,MATCH(J1986,Parâmetros!$A$24:$A$26,1))))</f>
        <v>0</v>
      </c>
      <c r="M1986" s="31" t="n">
        <f aca="false">IF(G1986="Prospecting",1,INDEX(Parâmetros!$C$32:$C$35,MATCH(J1986,Parâmetros!$A$32:$A$35,1)))</f>
        <v>0.6</v>
      </c>
      <c r="N1986" s="2" t="n">
        <f aca="false">ROUND((K1986+L1986)*M1986,0)</f>
        <v>0</v>
      </c>
      <c r="O1986" s="10" t="str">
        <f aca="false">IF(AND(G1986="Engaging",J1986&gt;Parâmetros!$B$6),"Sim","Não")</f>
        <v>Sim</v>
      </c>
      <c r="P1986" s="32" t="str">
        <f aca="false">IF(O1986="Sim","R",IF(N1986&gt;=Parâmetros!$B$39,"A",IF(N1986&gt;=Parâmetros!$B$40,"B",IF(N1986&gt;=Parâmetros!$B$41,"C","D"))))</f>
        <v>R</v>
      </c>
      <c r="Q1986" s="10" t="str">
        <f aca="false">IF(F1986="","Completar cadastro","")</f>
        <v>Completar cadastro</v>
      </c>
      <c r="R1986" s="10" t="str">
        <f aca="false">INDEX(Parâmetros!$D$39:$D$43,MATCH(P1986,Parâmetros!$A$39:$A$43,0))</f>
        <v>Reciclar: requalificar, reengajar ou encerrar</v>
      </c>
    </row>
    <row r="1987" customFormat="false" ht="15" hidden="false" customHeight="false" outlineLevel="0" collapsed="false">
      <c r="A1987" s="10" t="s">
        <v>2234</v>
      </c>
      <c r="B1987" s="10" t="s">
        <v>79</v>
      </c>
      <c r="C1987" s="10" t="s">
        <v>78</v>
      </c>
      <c r="D1987" s="10" t="s">
        <v>196</v>
      </c>
      <c r="E1987" s="10" t="s">
        <v>52</v>
      </c>
      <c r="F1987" s="10" t="s">
        <v>215</v>
      </c>
      <c r="G1987" s="10" t="s">
        <v>162</v>
      </c>
      <c r="H1987" s="30" t="n">
        <v>42938</v>
      </c>
      <c r="I1987" s="8" t="n">
        <f aca="false">INDEX(Parâmetros!$C$13:$C$19,MATCH(E1987,Parâmetros!$A$13:$A$19,0))</f>
        <v>55</v>
      </c>
      <c r="J1987" s="26" t="n">
        <f aca="false">IF(H1987="","",Parâmetros!$B$5-H1987)</f>
        <v>162</v>
      </c>
      <c r="K1987" s="10" t="n">
        <f aca="false">INDEX(Parâmetros!$D$13:$D$19,MATCH(E1987,Parâmetros!$A$13:$A$19,0))</f>
        <v>0</v>
      </c>
      <c r="L1987" s="10" t="n">
        <f aca="false">IF(G1987="Prospecting",Parâmetros!$B$9,IF(J1987&gt;Parâmetros!$B$6,0,INDEX(Parâmetros!$C$24:$C$26,MATCH(J1987,Parâmetros!$A$24:$A$26,1))))</f>
        <v>0</v>
      </c>
      <c r="M1987" s="31" t="n">
        <f aca="false">IF(G1987="Prospecting",1,INDEX(Parâmetros!$C$32:$C$35,MATCH(J1987,Parâmetros!$A$32:$A$35,1)))</f>
        <v>0.6</v>
      </c>
      <c r="N1987" s="2" t="n">
        <f aca="false">ROUND((K1987+L1987)*M1987,0)</f>
        <v>0</v>
      </c>
      <c r="O1987" s="10" t="str">
        <f aca="false">IF(AND(G1987="Engaging",J1987&gt;Parâmetros!$B$6),"Sim","Não")</f>
        <v>Sim</v>
      </c>
      <c r="P1987" s="32" t="str">
        <f aca="false">IF(O1987="Sim","R",IF(N1987&gt;=Parâmetros!$B$39,"A",IF(N1987&gt;=Parâmetros!$B$40,"B",IF(N1987&gt;=Parâmetros!$B$41,"C","D"))))</f>
        <v>R</v>
      </c>
      <c r="Q1987" s="10" t="str">
        <f aca="false">IF(F1987="","Completar cadastro","")</f>
        <v/>
      </c>
      <c r="R1987" s="10" t="str">
        <f aca="false">INDEX(Parâmetros!$D$39:$D$43,MATCH(P1987,Parâmetros!$A$39:$A$43,0))</f>
        <v>Reciclar: requalificar, reengajar ou encerrar</v>
      </c>
    </row>
    <row r="1988" customFormat="false" ht="15" hidden="false" customHeight="false" outlineLevel="0" collapsed="false">
      <c r="A1988" s="10" t="s">
        <v>2235</v>
      </c>
      <c r="B1988" s="10" t="s">
        <v>79</v>
      </c>
      <c r="C1988" s="10" t="s">
        <v>78</v>
      </c>
      <c r="D1988" s="10" t="s">
        <v>196</v>
      </c>
      <c r="E1988" s="10" t="s">
        <v>52</v>
      </c>
      <c r="F1988" s="10"/>
      <c r="G1988" s="10" t="s">
        <v>162</v>
      </c>
      <c r="H1988" s="30" t="n">
        <v>42938</v>
      </c>
      <c r="I1988" s="8" t="n">
        <f aca="false">INDEX(Parâmetros!$C$13:$C$19,MATCH(E1988,Parâmetros!$A$13:$A$19,0))</f>
        <v>55</v>
      </c>
      <c r="J1988" s="26" t="n">
        <f aca="false">IF(H1988="","",Parâmetros!$B$5-H1988)</f>
        <v>162</v>
      </c>
      <c r="K1988" s="10" t="n">
        <f aca="false">INDEX(Parâmetros!$D$13:$D$19,MATCH(E1988,Parâmetros!$A$13:$A$19,0))</f>
        <v>0</v>
      </c>
      <c r="L1988" s="10" t="n">
        <f aca="false">IF(G1988="Prospecting",Parâmetros!$B$9,IF(J1988&gt;Parâmetros!$B$6,0,INDEX(Parâmetros!$C$24:$C$26,MATCH(J1988,Parâmetros!$A$24:$A$26,1))))</f>
        <v>0</v>
      </c>
      <c r="M1988" s="31" t="n">
        <f aca="false">IF(G1988="Prospecting",1,INDEX(Parâmetros!$C$32:$C$35,MATCH(J1988,Parâmetros!$A$32:$A$35,1)))</f>
        <v>0.6</v>
      </c>
      <c r="N1988" s="2" t="n">
        <f aca="false">ROUND((K1988+L1988)*M1988,0)</f>
        <v>0</v>
      </c>
      <c r="O1988" s="10" t="str">
        <f aca="false">IF(AND(G1988="Engaging",J1988&gt;Parâmetros!$B$6),"Sim","Não")</f>
        <v>Sim</v>
      </c>
      <c r="P1988" s="32" t="str">
        <f aca="false">IF(O1988="Sim","R",IF(N1988&gt;=Parâmetros!$B$39,"A",IF(N1988&gt;=Parâmetros!$B$40,"B",IF(N1988&gt;=Parâmetros!$B$41,"C","D"))))</f>
        <v>R</v>
      </c>
      <c r="Q1988" s="10" t="str">
        <f aca="false">IF(F1988="","Completar cadastro","")</f>
        <v>Completar cadastro</v>
      </c>
      <c r="R1988" s="10" t="str">
        <f aca="false">INDEX(Parâmetros!$D$39:$D$43,MATCH(P1988,Parâmetros!$A$39:$A$43,0))</f>
        <v>Reciclar: requalificar, reengajar ou encerrar</v>
      </c>
    </row>
    <row r="1989" customFormat="false" ht="15" hidden="false" customHeight="false" outlineLevel="0" collapsed="false">
      <c r="A1989" s="10" t="s">
        <v>2236</v>
      </c>
      <c r="B1989" s="10" t="s">
        <v>93</v>
      </c>
      <c r="C1989" s="10" t="s">
        <v>92</v>
      </c>
      <c r="D1989" s="10" t="s">
        <v>160</v>
      </c>
      <c r="E1989" s="10" t="s">
        <v>52</v>
      </c>
      <c r="F1989" s="10"/>
      <c r="G1989" s="10" t="s">
        <v>162</v>
      </c>
      <c r="H1989" s="30" t="n">
        <v>42938</v>
      </c>
      <c r="I1989" s="8" t="n">
        <f aca="false">INDEX(Parâmetros!$C$13:$C$19,MATCH(E1989,Parâmetros!$A$13:$A$19,0))</f>
        <v>55</v>
      </c>
      <c r="J1989" s="26" t="n">
        <f aca="false">IF(H1989="","",Parâmetros!$B$5-H1989)</f>
        <v>162</v>
      </c>
      <c r="K1989" s="10" t="n">
        <f aca="false">INDEX(Parâmetros!$D$13:$D$19,MATCH(E1989,Parâmetros!$A$13:$A$19,0))</f>
        <v>0</v>
      </c>
      <c r="L1989" s="10" t="n">
        <f aca="false">IF(G1989="Prospecting",Parâmetros!$B$9,IF(J1989&gt;Parâmetros!$B$6,0,INDEX(Parâmetros!$C$24:$C$26,MATCH(J1989,Parâmetros!$A$24:$A$26,1))))</f>
        <v>0</v>
      </c>
      <c r="M1989" s="31" t="n">
        <f aca="false">IF(G1989="Prospecting",1,INDEX(Parâmetros!$C$32:$C$35,MATCH(J1989,Parâmetros!$A$32:$A$35,1)))</f>
        <v>0.6</v>
      </c>
      <c r="N1989" s="2" t="n">
        <f aca="false">ROUND((K1989+L1989)*M1989,0)</f>
        <v>0</v>
      </c>
      <c r="O1989" s="10" t="str">
        <f aca="false">IF(AND(G1989="Engaging",J1989&gt;Parâmetros!$B$6),"Sim","Não")</f>
        <v>Sim</v>
      </c>
      <c r="P1989" s="32" t="str">
        <f aca="false">IF(O1989="Sim","R",IF(N1989&gt;=Parâmetros!$B$39,"A",IF(N1989&gt;=Parâmetros!$B$40,"B",IF(N1989&gt;=Parâmetros!$B$41,"C","D"))))</f>
        <v>R</v>
      </c>
      <c r="Q1989" s="10" t="str">
        <f aca="false">IF(F1989="","Completar cadastro","")</f>
        <v>Completar cadastro</v>
      </c>
      <c r="R1989" s="10" t="str">
        <f aca="false">INDEX(Parâmetros!$D$39:$D$43,MATCH(P1989,Parâmetros!$A$39:$A$43,0))</f>
        <v>Reciclar: requalificar, reengajar ou encerrar</v>
      </c>
    </row>
    <row r="1990" customFormat="false" ht="15" hidden="false" customHeight="false" outlineLevel="0" collapsed="false">
      <c r="A1990" s="10" t="s">
        <v>2237</v>
      </c>
      <c r="B1990" s="10" t="s">
        <v>75</v>
      </c>
      <c r="C1990" s="10" t="s">
        <v>72</v>
      </c>
      <c r="D1990" s="10" t="s">
        <v>196</v>
      </c>
      <c r="E1990" s="10" t="s">
        <v>52</v>
      </c>
      <c r="F1990" s="10" t="s">
        <v>637</v>
      </c>
      <c r="G1990" s="10" t="s">
        <v>162</v>
      </c>
      <c r="H1990" s="30" t="n">
        <v>42938</v>
      </c>
      <c r="I1990" s="8" t="n">
        <f aca="false">INDEX(Parâmetros!$C$13:$C$19,MATCH(E1990,Parâmetros!$A$13:$A$19,0))</f>
        <v>55</v>
      </c>
      <c r="J1990" s="26" t="n">
        <f aca="false">IF(H1990="","",Parâmetros!$B$5-H1990)</f>
        <v>162</v>
      </c>
      <c r="K1990" s="10" t="n">
        <f aca="false">INDEX(Parâmetros!$D$13:$D$19,MATCH(E1990,Parâmetros!$A$13:$A$19,0))</f>
        <v>0</v>
      </c>
      <c r="L1990" s="10" t="n">
        <f aca="false">IF(G1990="Prospecting",Parâmetros!$B$9,IF(J1990&gt;Parâmetros!$B$6,0,INDEX(Parâmetros!$C$24:$C$26,MATCH(J1990,Parâmetros!$A$24:$A$26,1))))</f>
        <v>0</v>
      </c>
      <c r="M1990" s="31" t="n">
        <f aca="false">IF(G1990="Prospecting",1,INDEX(Parâmetros!$C$32:$C$35,MATCH(J1990,Parâmetros!$A$32:$A$35,1)))</f>
        <v>0.6</v>
      </c>
      <c r="N1990" s="2" t="n">
        <f aca="false">ROUND((K1990+L1990)*M1990,0)</f>
        <v>0</v>
      </c>
      <c r="O1990" s="10" t="str">
        <f aca="false">IF(AND(G1990="Engaging",J1990&gt;Parâmetros!$B$6),"Sim","Não")</f>
        <v>Sim</v>
      </c>
      <c r="P1990" s="32" t="str">
        <f aca="false">IF(O1990="Sim","R",IF(N1990&gt;=Parâmetros!$B$39,"A",IF(N1990&gt;=Parâmetros!$B$40,"B",IF(N1990&gt;=Parâmetros!$B$41,"C","D"))))</f>
        <v>R</v>
      </c>
      <c r="Q1990" s="10" t="str">
        <f aca="false">IF(F1990="","Completar cadastro","")</f>
        <v/>
      </c>
      <c r="R1990" s="10" t="str">
        <f aca="false">INDEX(Parâmetros!$D$39:$D$43,MATCH(P1990,Parâmetros!$A$39:$A$43,0))</f>
        <v>Reciclar: requalificar, reengajar ou encerrar</v>
      </c>
    </row>
    <row r="1991" customFormat="false" ht="15" hidden="false" customHeight="false" outlineLevel="0" collapsed="false">
      <c r="A1991" s="10" t="s">
        <v>2238</v>
      </c>
      <c r="B1991" s="10" t="s">
        <v>75</v>
      </c>
      <c r="C1991" s="10" t="s">
        <v>72</v>
      </c>
      <c r="D1991" s="10" t="s">
        <v>196</v>
      </c>
      <c r="E1991" s="10" t="s">
        <v>52</v>
      </c>
      <c r="F1991" s="10"/>
      <c r="G1991" s="10" t="s">
        <v>162</v>
      </c>
      <c r="H1991" s="30" t="n">
        <v>42938</v>
      </c>
      <c r="I1991" s="8" t="n">
        <f aca="false">INDEX(Parâmetros!$C$13:$C$19,MATCH(E1991,Parâmetros!$A$13:$A$19,0))</f>
        <v>55</v>
      </c>
      <c r="J1991" s="26" t="n">
        <f aca="false">IF(H1991="","",Parâmetros!$B$5-H1991)</f>
        <v>162</v>
      </c>
      <c r="K1991" s="10" t="n">
        <f aca="false">INDEX(Parâmetros!$D$13:$D$19,MATCH(E1991,Parâmetros!$A$13:$A$19,0))</f>
        <v>0</v>
      </c>
      <c r="L1991" s="10" t="n">
        <f aca="false">IF(G1991="Prospecting",Parâmetros!$B$9,IF(J1991&gt;Parâmetros!$B$6,0,INDEX(Parâmetros!$C$24:$C$26,MATCH(J1991,Parâmetros!$A$24:$A$26,1))))</f>
        <v>0</v>
      </c>
      <c r="M1991" s="31" t="n">
        <f aca="false">IF(G1991="Prospecting",1,INDEX(Parâmetros!$C$32:$C$35,MATCH(J1991,Parâmetros!$A$32:$A$35,1)))</f>
        <v>0.6</v>
      </c>
      <c r="N1991" s="2" t="n">
        <f aca="false">ROUND((K1991+L1991)*M1991,0)</f>
        <v>0</v>
      </c>
      <c r="O1991" s="10" t="str">
        <f aca="false">IF(AND(G1991="Engaging",J1991&gt;Parâmetros!$B$6),"Sim","Não")</f>
        <v>Sim</v>
      </c>
      <c r="P1991" s="32" t="str">
        <f aca="false">IF(O1991="Sim","R",IF(N1991&gt;=Parâmetros!$B$39,"A",IF(N1991&gt;=Parâmetros!$B$40,"B",IF(N1991&gt;=Parâmetros!$B$41,"C","D"))))</f>
        <v>R</v>
      </c>
      <c r="Q1991" s="10" t="str">
        <f aca="false">IF(F1991="","Completar cadastro","")</f>
        <v>Completar cadastro</v>
      </c>
      <c r="R1991" s="10" t="str">
        <f aca="false">INDEX(Parâmetros!$D$39:$D$43,MATCH(P1991,Parâmetros!$A$39:$A$43,0))</f>
        <v>Reciclar: requalificar, reengajar ou encerrar</v>
      </c>
    </row>
    <row r="1992" customFormat="false" ht="15" hidden="false" customHeight="false" outlineLevel="0" collapsed="false">
      <c r="A1992" s="10" t="s">
        <v>2239</v>
      </c>
      <c r="B1992" s="10" t="s">
        <v>76</v>
      </c>
      <c r="C1992" s="10" t="s">
        <v>72</v>
      </c>
      <c r="D1992" s="10" t="s">
        <v>196</v>
      </c>
      <c r="E1992" s="10" t="s">
        <v>52</v>
      </c>
      <c r="F1992" s="10"/>
      <c r="G1992" s="10" t="s">
        <v>162</v>
      </c>
      <c r="H1992" s="30" t="n">
        <v>42938</v>
      </c>
      <c r="I1992" s="8" t="n">
        <f aca="false">INDEX(Parâmetros!$C$13:$C$19,MATCH(E1992,Parâmetros!$A$13:$A$19,0))</f>
        <v>55</v>
      </c>
      <c r="J1992" s="26" t="n">
        <f aca="false">IF(H1992="","",Parâmetros!$B$5-H1992)</f>
        <v>162</v>
      </c>
      <c r="K1992" s="10" t="n">
        <f aca="false">INDEX(Parâmetros!$D$13:$D$19,MATCH(E1992,Parâmetros!$A$13:$A$19,0))</f>
        <v>0</v>
      </c>
      <c r="L1992" s="10" t="n">
        <f aca="false">IF(G1992="Prospecting",Parâmetros!$B$9,IF(J1992&gt;Parâmetros!$B$6,0,INDEX(Parâmetros!$C$24:$C$26,MATCH(J1992,Parâmetros!$A$24:$A$26,1))))</f>
        <v>0</v>
      </c>
      <c r="M1992" s="31" t="n">
        <f aca="false">IF(G1992="Prospecting",1,INDEX(Parâmetros!$C$32:$C$35,MATCH(J1992,Parâmetros!$A$32:$A$35,1)))</f>
        <v>0.6</v>
      </c>
      <c r="N1992" s="2" t="n">
        <f aca="false">ROUND((K1992+L1992)*M1992,0)</f>
        <v>0</v>
      </c>
      <c r="O1992" s="10" t="str">
        <f aca="false">IF(AND(G1992="Engaging",J1992&gt;Parâmetros!$B$6),"Sim","Não")</f>
        <v>Sim</v>
      </c>
      <c r="P1992" s="32" t="str">
        <f aca="false">IF(O1992="Sim","R",IF(N1992&gt;=Parâmetros!$B$39,"A",IF(N1992&gt;=Parâmetros!$B$40,"B",IF(N1992&gt;=Parâmetros!$B$41,"C","D"))))</f>
        <v>R</v>
      </c>
      <c r="Q1992" s="10" t="str">
        <f aca="false">IF(F1992="","Completar cadastro","")</f>
        <v>Completar cadastro</v>
      </c>
      <c r="R1992" s="10" t="str">
        <f aca="false">INDEX(Parâmetros!$D$39:$D$43,MATCH(P1992,Parâmetros!$A$39:$A$43,0))</f>
        <v>Reciclar: requalificar, reengajar ou encerrar</v>
      </c>
    </row>
    <row r="1993" customFormat="false" ht="15" hidden="false" customHeight="false" outlineLevel="0" collapsed="false">
      <c r="A1993" s="10" t="s">
        <v>2240</v>
      </c>
      <c r="B1993" s="10" t="s">
        <v>76</v>
      </c>
      <c r="C1993" s="10" t="s">
        <v>72</v>
      </c>
      <c r="D1993" s="10" t="s">
        <v>196</v>
      </c>
      <c r="E1993" s="10" t="s">
        <v>52</v>
      </c>
      <c r="F1993" s="10"/>
      <c r="G1993" s="10" t="s">
        <v>162</v>
      </c>
      <c r="H1993" s="30" t="n">
        <v>42938</v>
      </c>
      <c r="I1993" s="8" t="n">
        <f aca="false">INDEX(Parâmetros!$C$13:$C$19,MATCH(E1993,Parâmetros!$A$13:$A$19,0))</f>
        <v>55</v>
      </c>
      <c r="J1993" s="26" t="n">
        <f aca="false">IF(H1993="","",Parâmetros!$B$5-H1993)</f>
        <v>162</v>
      </c>
      <c r="K1993" s="10" t="n">
        <f aca="false">INDEX(Parâmetros!$D$13:$D$19,MATCH(E1993,Parâmetros!$A$13:$A$19,0))</f>
        <v>0</v>
      </c>
      <c r="L1993" s="10" t="n">
        <f aca="false">IF(G1993="Prospecting",Parâmetros!$B$9,IF(J1993&gt;Parâmetros!$B$6,0,INDEX(Parâmetros!$C$24:$C$26,MATCH(J1993,Parâmetros!$A$24:$A$26,1))))</f>
        <v>0</v>
      </c>
      <c r="M1993" s="31" t="n">
        <f aca="false">IF(G1993="Prospecting",1,INDEX(Parâmetros!$C$32:$C$35,MATCH(J1993,Parâmetros!$A$32:$A$35,1)))</f>
        <v>0.6</v>
      </c>
      <c r="N1993" s="2" t="n">
        <f aca="false">ROUND((K1993+L1993)*M1993,0)</f>
        <v>0</v>
      </c>
      <c r="O1993" s="10" t="str">
        <f aca="false">IF(AND(G1993="Engaging",J1993&gt;Parâmetros!$B$6),"Sim","Não")</f>
        <v>Sim</v>
      </c>
      <c r="P1993" s="32" t="str">
        <f aca="false">IF(O1993="Sim","R",IF(N1993&gt;=Parâmetros!$B$39,"A",IF(N1993&gt;=Parâmetros!$B$40,"B",IF(N1993&gt;=Parâmetros!$B$41,"C","D"))))</f>
        <v>R</v>
      </c>
      <c r="Q1993" s="10" t="str">
        <f aca="false">IF(F1993="","Completar cadastro","")</f>
        <v>Completar cadastro</v>
      </c>
      <c r="R1993" s="10" t="str">
        <f aca="false">INDEX(Parâmetros!$D$39:$D$43,MATCH(P1993,Parâmetros!$A$39:$A$43,0))</f>
        <v>Reciclar: requalificar, reengajar ou encerrar</v>
      </c>
    </row>
    <row r="1994" customFormat="false" ht="15" hidden="false" customHeight="false" outlineLevel="0" collapsed="false">
      <c r="A1994" s="10" t="s">
        <v>2241</v>
      </c>
      <c r="B1994" s="10" t="s">
        <v>76</v>
      </c>
      <c r="C1994" s="10" t="s">
        <v>72</v>
      </c>
      <c r="D1994" s="10" t="s">
        <v>196</v>
      </c>
      <c r="E1994" s="10" t="s">
        <v>52</v>
      </c>
      <c r="F1994" s="10"/>
      <c r="G1994" s="10" t="s">
        <v>162</v>
      </c>
      <c r="H1994" s="30" t="n">
        <v>42938</v>
      </c>
      <c r="I1994" s="8" t="n">
        <f aca="false">INDEX(Parâmetros!$C$13:$C$19,MATCH(E1994,Parâmetros!$A$13:$A$19,0))</f>
        <v>55</v>
      </c>
      <c r="J1994" s="26" t="n">
        <f aca="false">IF(H1994="","",Parâmetros!$B$5-H1994)</f>
        <v>162</v>
      </c>
      <c r="K1994" s="10" t="n">
        <f aca="false">INDEX(Parâmetros!$D$13:$D$19,MATCH(E1994,Parâmetros!$A$13:$A$19,0))</f>
        <v>0</v>
      </c>
      <c r="L1994" s="10" t="n">
        <f aca="false">IF(G1994="Prospecting",Parâmetros!$B$9,IF(J1994&gt;Parâmetros!$B$6,0,INDEX(Parâmetros!$C$24:$C$26,MATCH(J1994,Parâmetros!$A$24:$A$26,1))))</f>
        <v>0</v>
      </c>
      <c r="M1994" s="31" t="n">
        <f aca="false">IF(G1994="Prospecting",1,INDEX(Parâmetros!$C$32:$C$35,MATCH(J1994,Parâmetros!$A$32:$A$35,1)))</f>
        <v>0.6</v>
      </c>
      <c r="N1994" s="2" t="n">
        <f aca="false">ROUND((K1994+L1994)*M1994,0)</f>
        <v>0</v>
      </c>
      <c r="O1994" s="10" t="str">
        <f aca="false">IF(AND(G1994="Engaging",J1994&gt;Parâmetros!$B$6),"Sim","Não")</f>
        <v>Sim</v>
      </c>
      <c r="P1994" s="32" t="str">
        <f aca="false">IF(O1994="Sim","R",IF(N1994&gt;=Parâmetros!$B$39,"A",IF(N1994&gt;=Parâmetros!$B$40,"B",IF(N1994&gt;=Parâmetros!$B$41,"C","D"))))</f>
        <v>R</v>
      </c>
      <c r="Q1994" s="10" t="str">
        <f aca="false">IF(F1994="","Completar cadastro","")</f>
        <v>Completar cadastro</v>
      </c>
      <c r="R1994" s="10" t="str">
        <f aca="false">INDEX(Parâmetros!$D$39:$D$43,MATCH(P1994,Parâmetros!$A$39:$A$43,0))</f>
        <v>Reciclar: requalificar, reengajar ou encerrar</v>
      </c>
    </row>
    <row r="1995" customFormat="false" ht="15" hidden="false" customHeight="false" outlineLevel="0" collapsed="false">
      <c r="A1995" s="10" t="s">
        <v>2242</v>
      </c>
      <c r="B1995" s="10" t="s">
        <v>71</v>
      </c>
      <c r="C1995" s="10" t="s">
        <v>72</v>
      </c>
      <c r="D1995" s="10" t="s">
        <v>196</v>
      </c>
      <c r="E1995" s="10" t="s">
        <v>52</v>
      </c>
      <c r="F1995" s="10"/>
      <c r="G1995" s="10" t="s">
        <v>162</v>
      </c>
      <c r="H1995" s="30" t="n">
        <v>42939</v>
      </c>
      <c r="I1995" s="8" t="n">
        <f aca="false">INDEX(Parâmetros!$C$13:$C$19,MATCH(E1995,Parâmetros!$A$13:$A$19,0))</f>
        <v>55</v>
      </c>
      <c r="J1995" s="26" t="n">
        <f aca="false">IF(H1995="","",Parâmetros!$B$5-H1995)</f>
        <v>161</v>
      </c>
      <c r="K1995" s="10" t="n">
        <f aca="false">INDEX(Parâmetros!$D$13:$D$19,MATCH(E1995,Parâmetros!$A$13:$A$19,0))</f>
        <v>0</v>
      </c>
      <c r="L1995" s="10" t="n">
        <f aca="false">IF(G1995="Prospecting",Parâmetros!$B$9,IF(J1995&gt;Parâmetros!$B$6,0,INDEX(Parâmetros!$C$24:$C$26,MATCH(J1995,Parâmetros!$A$24:$A$26,1))))</f>
        <v>0</v>
      </c>
      <c r="M1995" s="31" t="n">
        <f aca="false">IF(G1995="Prospecting",1,INDEX(Parâmetros!$C$32:$C$35,MATCH(J1995,Parâmetros!$A$32:$A$35,1)))</f>
        <v>0.6</v>
      </c>
      <c r="N1995" s="2" t="n">
        <f aca="false">ROUND((K1995+L1995)*M1995,0)</f>
        <v>0</v>
      </c>
      <c r="O1995" s="10" t="str">
        <f aca="false">IF(AND(G1995="Engaging",J1995&gt;Parâmetros!$B$6),"Sim","Não")</f>
        <v>Sim</v>
      </c>
      <c r="P1995" s="32" t="str">
        <f aca="false">IF(O1995="Sim","R",IF(N1995&gt;=Parâmetros!$B$39,"A",IF(N1995&gt;=Parâmetros!$B$40,"B",IF(N1995&gt;=Parâmetros!$B$41,"C","D"))))</f>
        <v>R</v>
      </c>
      <c r="Q1995" s="10" t="str">
        <f aca="false">IF(F1995="","Completar cadastro","")</f>
        <v>Completar cadastro</v>
      </c>
      <c r="R1995" s="10" t="str">
        <f aca="false">INDEX(Parâmetros!$D$39:$D$43,MATCH(P1995,Parâmetros!$A$39:$A$43,0))</f>
        <v>Reciclar: requalificar, reengajar ou encerrar</v>
      </c>
    </row>
    <row r="1996" customFormat="false" ht="15" hidden="false" customHeight="false" outlineLevel="0" collapsed="false">
      <c r="A1996" s="10" t="s">
        <v>2243</v>
      </c>
      <c r="B1996" s="10" t="s">
        <v>71</v>
      </c>
      <c r="C1996" s="10" t="s">
        <v>72</v>
      </c>
      <c r="D1996" s="10" t="s">
        <v>196</v>
      </c>
      <c r="E1996" s="10" t="s">
        <v>52</v>
      </c>
      <c r="F1996" s="10"/>
      <c r="G1996" s="10" t="s">
        <v>162</v>
      </c>
      <c r="H1996" s="30" t="n">
        <v>42939</v>
      </c>
      <c r="I1996" s="8" t="n">
        <f aca="false">INDEX(Parâmetros!$C$13:$C$19,MATCH(E1996,Parâmetros!$A$13:$A$19,0))</f>
        <v>55</v>
      </c>
      <c r="J1996" s="26" t="n">
        <f aca="false">IF(H1996="","",Parâmetros!$B$5-H1996)</f>
        <v>161</v>
      </c>
      <c r="K1996" s="10" t="n">
        <f aca="false">INDEX(Parâmetros!$D$13:$D$19,MATCH(E1996,Parâmetros!$A$13:$A$19,0))</f>
        <v>0</v>
      </c>
      <c r="L1996" s="10" t="n">
        <f aca="false">IF(G1996="Prospecting",Parâmetros!$B$9,IF(J1996&gt;Parâmetros!$B$6,0,INDEX(Parâmetros!$C$24:$C$26,MATCH(J1996,Parâmetros!$A$24:$A$26,1))))</f>
        <v>0</v>
      </c>
      <c r="M1996" s="31" t="n">
        <f aca="false">IF(G1996="Prospecting",1,INDEX(Parâmetros!$C$32:$C$35,MATCH(J1996,Parâmetros!$A$32:$A$35,1)))</f>
        <v>0.6</v>
      </c>
      <c r="N1996" s="2" t="n">
        <f aca="false">ROUND((K1996+L1996)*M1996,0)</f>
        <v>0</v>
      </c>
      <c r="O1996" s="10" t="str">
        <f aca="false">IF(AND(G1996="Engaging",J1996&gt;Parâmetros!$B$6),"Sim","Não")</f>
        <v>Sim</v>
      </c>
      <c r="P1996" s="32" t="str">
        <f aca="false">IF(O1996="Sim","R",IF(N1996&gt;=Parâmetros!$B$39,"A",IF(N1996&gt;=Parâmetros!$B$40,"B",IF(N1996&gt;=Parâmetros!$B$41,"C","D"))))</f>
        <v>R</v>
      </c>
      <c r="Q1996" s="10" t="str">
        <f aca="false">IF(F1996="","Completar cadastro","")</f>
        <v>Completar cadastro</v>
      </c>
      <c r="R1996" s="10" t="str">
        <f aca="false">INDEX(Parâmetros!$D$39:$D$43,MATCH(P1996,Parâmetros!$A$39:$A$43,0))</f>
        <v>Reciclar: requalificar, reengajar ou encerrar</v>
      </c>
    </row>
    <row r="1997" customFormat="false" ht="15" hidden="false" customHeight="false" outlineLevel="0" collapsed="false">
      <c r="A1997" s="10" t="s">
        <v>2244</v>
      </c>
      <c r="B1997" s="10" t="s">
        <v>79</v>
      </c>
      <c r="C1997" s="10" t="s">
        <v>78</v>
      </c>
      <c r="D1997" s="10" t="s">
        <v>196</v>
      </c>
      <c r="E1997" s="10" t="s">
        <v>52</v>
      </c>
      <c r="F1997" s="10"/>
      <c r="G1997" s="10" t="s">
        <v>162</v>
      </c>
      <c r="H1997" s="30" t="n">
        <v>42939</v>
      </c>
      <c r="I1997" s="8" t="n">
        <f aca="false">INDEX(Parâmetros!$C$13:$C$19,MATCH(E1997,Parâmetros!$A$13:$A$19,0))</f>
        <v>55</v>
      </c>
      <c r="J1997" s="26" t="n">
        <f aca="false">IF(H1997="","",Parâmetros!$B$5-H1997)</f>
        <v>161</v>
      </c>
      <c r="K1997" s="10" t="n">
        <f aca="false">INDEX(Parâmetros!$D$13:$D$19,MATCH(E1997,Parâmetros!$A$13:$A$19,0))</f>
        <v>0</v>
      </c>
      <c r="L1997" s="10" t="n">
        <f aca="false">IF(G1997="Prospecting",Parâmetros!$B$9,IF(J1997&gt;Parâmetros!$B$6,0,INDEX(Parâmetros!$C$24:$C$26,MATCH(J1997,Parâmetros!$A$24:$A$26,1))))</f>
        <v>0</v>
      </c>
      <c r="M1997" s="31" t="n">
        <f aca="false">IF(G1997="Prospecting",1,INDEX(Parâmetros!$C$32:$C$35,MATCH(J1997,Parâmetros!$A$32:$A$35,1)))</f>
        <v>0.6</v>
      </c>
      <c r="N1997" s="2" t="n">
        <f aca="false">ROUND((K1997+L1997)*M1997,0)</f>
        <v>0</v>
      </c>
      <c r="O1997" s="10" t="str">
        <f aca="false">IF(AND(G1997="Engaging",J1997&gt;Parâmetros!$B$6),"Sim","Não")</f>
        <v>Sim</v>
      </c>
      <c r="P1997" s="32" t="str">
        <f aca="false">IF(O1997="Sim","R",IF(N1997&gt;=Parâmetros!$B$39,"A",IF(N1997&gt;=Parâmetros!$B$40,"B",IF(N1997&gt;=Parâmetros!$B$41,"C","D"))))</f>
        <v>R</v>
      </c>
      <c r="Q1997" s="10" t="str">
        <f aca="false">IF(F1997="","Completar cadastro","")</f>
        <v>Completar cadastro</v>
      </c>
      <c r="R1997" s="10" t="str">
        <f aca="false">INDEX(Parâmetros!$D$39:$D$43,MATCH(P1997,Parâmetros!$A$39:$A$43,0))</f>
        <v>Reciclar: requalificar, reengajar ou encerrar</v>
      </c>
    </row>
    <row r="1998" customFormat="false" ht="15" hidden="false" customHeight="false" outlineLevel="0" collapsed="false">
      <c r="A1998" s="10" t="s">
        <v>2245</v>
      </c>
      <c r="B1998" s="10" t="s">
        <v>79</v>
      </c>
      <c r="C1998" s="10" t="s">
        <v>78</v>
      </c>
      <c r="D1998" s="10" t="s">
        <v>196</v>
      </c>
      <c r="E1998" s="10" t="s">
        <v>52</v>
      </c>
      <c r="F1998" s="10"/>
      <c r="G1998" s="10" t="s">
        <v>162</v>
      </c>
      <c r="H1998" s="30" t="n">
        <v>42939</v>
      </c>
      <c r="I1998" s="8" t="n">
        <f aca="false">INDEX(Parâmetros!$C$13:$C$19,MATCH(E1998,Parâmetros!$A$13:$A$19,0))</f>
        <v>55</v>
      </c>
      <c r="J1998" s="26" t="n">
        <f aca="false">IF(H1998="","",Parâmetros!$B$5-H1998)</f>
        <v>161</v>
      </c>
      <c r="K1998" s="10" t="n">
        <f aca="false">INDEX(Parâmetros!$D$13:$D$19,MATCH(E1998,Parâmetros!$A$13:$A$19,0))</f>
        <v>0</v>
      </c>
      <c r="L1998" s="10" t="n">
        <f aca="false">IF(G1998="Prospecting",Parâmetros!$B$9,IF(J1998&gt;Parâmetros!$B$6,0,INDEX(Parâmetros!$C$24:$C$26,MATCH(J1998,Parâmetros!$A$24:$A$26,1))))</f>
        <v>0</v>
      </c>
      <c r="M1998" s="31" t="n">
        <f aca="false">IF(G1998="Prospecting",1,INDEX(Parâmetros!$C$32:$C$35,MATCH(J1998,Parâmetros!$A$32:$A$35,1)))</f>
        <v>0.6</v>
      </c>
      <c r="N1998" s="2" t="n">
        <f aca="false">ROUND((K1998+L1998)*M1998,0)</f>
        <v>0</v>
      </c>
      <c r="O1998" s="10" t="str">
        <f aca="false">IF(AND(G1998="Engaging",J1998&gt;Parâmetros!$B$6),"Sim","Não")</f>
        <v>Sim</v>
      </c>
      <c r="P1998" s="32" t="str">
        <f aca="false">IF(O1998="Sim","R",IF(N1998&gt;=Parâmetros!$B$39,"A",IF(N1998&gt;=Parâmetros!$B$40,"B",IF(N1998&gt;=Parâmetros!$B$41,"C","D"))))</f>
        <v>R</v>
      </c>
      <c r="Q1998" s="10" t="str">
        <f aca="false">IF(F1998="","Completar cadastro","")</f>
        <v>Completar cadastro</v>
      </c>
      <c r="R1998" s="10" t="str">
        <f aca="false">INDEX(Parâmetros!$D$39:$D$43,MATCH(P1998,Parâmetros!$A$39:$A$43,0))</f>
        <v>Reciclar: requalificar, reengajar ou encerrar</v>
      </c>
    </row>
    <row r="1999" customFormat="false" ht="15" hidden="false" customHeight="false" outlineLevel="0" collapsed="false">
      <c r="A1999" s="10" t="s">
        <v>2246</v>
      </c>
      <c r="B1999" s="10" t="s">
        <v>76</v>
      </c>
      <c r="C1999" s="10" t="s">
        <v>72</v>
      </c>
      <c r="D1999" s="10" t="s">
        <v>196</v>
      </c>
      <c r="E1999" s="10" t="s">
        <v>52</v>
      </c>
      <c r="F1999" s="10"/>
      <c r="G1999" s="10" t="s">
        <v>162</v>
      </c>
      <c r="H1999" s="30" t="n">
        <v>42939</v>
      </c>
      <c r="I1999" s="8" t="n">
        <f aca="false">INDEX(Parâmetros!$C$13:$C$19,MATCH(E1999,Parâmetros!$A$13:$A$19,0))</f>
        <v>55</v>
      </c>
      <c r="J1999" s="26" t="n">
        <f aca="false">IF(H1999="","",Parâmetros!$B$5-H1999)</f>
        <v>161</v>
      </c>
      <c r="K1999" s="10" t="n">
        <f aca="false">INDEX(Parâmetros!$D$13:$D$19,MATCH(E1999,Parâmetros!$A$13:$A$19,0))</f>
        <v>0</v>
      </c>
      <c r="L1999" s="10" t="n">
        <f aca="false">IF(G1999="Prospecting",Parâmetros!$B$9,IF(J1999&gt;Parâmetros!$B$6,0,INDEX(Parâmetros!$C$24:$C$26,MATCH(J1999,Parâmetros!$A$24:$A$26,1))))</f>
        <v>0</v>
      </c>
      <c r="M1999" s="31" t="n">
        <f aca="false">IF(G1999="Prospecting",1,INDEX(Parâmetros!$C$32:$C$35,MATCH(J1999,Parâmetros!$A$32:$A$35,1)))</f>
        <v>0.6</v>
      </c>
      <c r="N1999" s="2" t="n">
        <f aca="false">ROUND((K1999+L1999)*M1999,0)</f>
        <v>0</v>
      </c>
      <c r="O1999" s="10" t="str">
        <f aca="false">IF(AND(G1999="Engaging",J1999&gt;Parâmetros!$B$6),"Sim","Não")</f>
        <v>Sim</v>
      </c>
      <c r="P1999" s="32" t="str">
        <f aca="false">IF(O1999="Sim","R",IF(N1999&gt;=Parâmetros!$B$39,"A",IF(N1999&gt;=Parâmetros!$B$40,"B",IF(N1999&gt;=Parâmetros!$B$41,"C","D"))))</f>
        <v>R</v>
      </c>
      <c r="Q1999" s="10" t="str">
        <f aca="false">IF(F1999="","Completar cadastro","")</f>
        <v>Completar cadastro</v>
      </c>
      <c r="R1999" s="10" t="str">
        <f aca="false">INDEX(Parâmetros!$D$39:$D$43,MATCH(P1999,Parâmetros!$A$39:$A$43,0))</f>
        <v>Reciclar: requalificar, reengajar ou encerrar</v>
      </c>
    </row>
    <row r="2000" customFormat="false" ht="15" hidden="false" customHeight="false" outlineLevel="0" collapsed="false">
      <c r="A2000" s="10" t="s">
        <v>2247</v>
      </c>
      <c r="B2000" s="10" t="s">
        <v>77</v>
      </c>
      <c r="C2000" s="10" t="s">
        <v>78</v>
      </c>
      <c r="D2000" s="10" t="s">
        <v>196</v>
      </c>
      <c r="E2000" s="10" t="s">
        <v>52</v>
      </c>
      <c r="F2000" s="10"/>
      <c r="G2000" s="10" t="s">
        <v>162</v>
      </c>
      <c r="H2000" s="30" t="n">
        <v>42940</v>
      </c>
      <c r="I2000" s="8" t="n">
        <f aca="false">INDEX(Parâmetros!$C$13:$C$19,MATCH(E2000,Parâmetros!$A$13:$A$19,0))</f>
        <v>55</v>
      </c>
      <c r="J2000" s="26" t="n">
        <f aca="false">IF(H2000="","",Parâmetros!$B$5-H2000)</f>
        <v>160</v>
      </c>
      <c r="K2000" s="10" t="n">
        <f aca="false">INDEX(Parâmetros!$D$13:$D$19,MATCH(E2000,Parâmetros!$A$13:$A$19,0))</f>
        <v>0</v>
      </c>
      <c r="L2000" s="10" t="n">
        <f aca="false">IF(G2000="Prospecting",Parâmetros!$B$9,IF(J2000&gt;Parâmetros!$B$6,0,INDEX(Parâmetros!$C$24:$C$26,MATCH(J2000,Parâmetros!$A$24:$A$26,1))))</f>
        <v>0</v>
      </c>
      <c r="M2000" s="31" t="n">
        <f aca="false">IF(G2000="Prospecting",1,INDEX(Parâmetros!$C$32:$C$35,MATCH(J2000,Parâmetros!$A$32:$A$35,1)))</f>
        <v>0.6</v>
      </c>
      <c r="N2000" s="2" t="n">
        <f aca="false">ROUND((K2000+L2000)*M2000,0)</f>
        <v>0</v>
      </c>
      <c r="O2000" s="10" t="str">
        <f aca="false">IF(AND(G2000="Engaging",J2000&gt;Parâmetros!$B$6),"Sim","Não")</f>
        <v>Sim</v>
      </c>
      <c r="P2000" s="32" t="str">
        <f aca="false">IF(O2000="Sim","R",IF(N2000&gt;=Parâmetros!$B$39,"A",IF(N2000&gt;=Parâmetros!$B$40,"B",IF(N2000&gt;=Parâmetros!$B$41,"C","D"))))</f>
        <v>R</v>
      </c>
      <c r="Q2000" s="10" t="str">
        <f aca="false">IF(F2000="","Completar cadastro","")</f>
        <v>Completar cadastro</v>
      </c>
      <c r="R2000" s="10" t="str">
        <f aca="false">INDEX(Parâmetros!$D$39:$D$43,MATCH(P2000,Parâmetros!$A$39:$A$43,0))</f>
        <v>Reciclar: requalificar, reengajar ou encerrar</v>
      </c>
    </row>
    <row r="2001" customFormat="false" ht="15" hidden="false" customHeight="false" outlineLevel="0" collapsed="false">
      <c r="A2001" s="10" t="s">
        <v>2248</v>
      </c>
      <c r="B2001" s="10" t="s">
        <v>96</v>
      </c>
      <c r="C2001" s="10" t="s">
        <v>92</v>
      </c>
      <c r="D2001" s="10" t="s">
        <v>160</v>
      </c>
      <c r="E2001" s="10" t="s">
        <v>52</v>
      </c>
      <c r="F2001" s="10"/>
      <c r="G2001" s="10" t="s">
        <v>162</v>
      </c>
      <c r="H2001" s="30" t="n">
        <v>42940</v>
      </c>
      <c r="I2001" s="8" t="n">
        <f aca="false">INDEX(Parâmetros!$C$13:$C$19,MATCH(E2001,Parâmetros!$A$13:$A$19,0))</f>
        <v>55</v>
      </c>
      <c r="J2001" s="26" t="n">
        <f aca="false">IF(H2001="","",Parâmetros!$B$5-H2001)</f>
        <v>160</v>
      </c>
      <c r="K2001" s="10" t="n">
        <f aca="false">INDEX(Parâmetros!$D$13:$D$19,MATCH(E2001,Parâmetros!$A$13:$A$19,0))</f>
        <v>0</v>
      </c>
      <c r="L2001" s="10" t="n">
        <f aca="false">IF(G2001="Prospecting",Parâmetros!$B$9,IF(J2001&gt;Parâmetros!$B$6,0,INDEX(Parâmetros!$C$24:$C$26,MATCH(J2001,Parâmetros!$A$24:$A$26,1))))</f>
        <v>0</v>
      </c>
      <c r="M2001" s="31" t="n">
        <f aca="false">IF(G2001="Prospecting",1,INDEX(Parâmetros!$C$32:$C$35,MATCH(J2001,Parâmetros!$A$32:$A$35,1)))</f>
        <v>0.6</v>
      </c>
      <c r="N2001" s="2" t="n">
        <f aca="false">ROUND((K2001+L2001)*M2001,0)</f>
        <v>0</v>
      </c>
      <c r="O2001" s="10" t="str">
        <f aca="false">IF(AND(G2001="Engaging",J2001&gt;Parâmetros!$B$6),"Sim","Não")</f>
        <v>Sim</v>
      </c>
      <c r="P2001" s="32" t="str">
        <f aca="false">IF(O2001="Sim","R",IF(N2001&gt;=Parâmetros!$B$39,"A",IF(N2001&gt;=Parâmetros!$B$40,"B",IF(N2001&gt;=Parâmetros!$B$41,"C","D"))))</f>
        <v>R</v>
      </c>
      <c r="Q2001" s="10" t="str">
        <f aca="false">IF(F2001="","Completar cadastro","")</f>
        <v>Completar cadastro</v>
      </c>
      <c r="R2001" s="10" t="str">
        <f aca="false">INDEX(Parâmetros!$D$39:$D$43,MATCH(P2001,Parâmetros!$A$39:$A$43,0))</f>
        <v>Reciclar: requalificar, reengajar ou encerrar</v>
      </c>
    </row>
    <row r="2002" customFormat="false" ht="15" hidden="false" customHeight="false" outlineLevel="0" collapsed="false">
      <c r="A2002" s="10" t="s">
        <v>2249</v>
      </c>
      <c r="B2002" s="10" t="s">
        <v>75</v>
      </c>
      <c r="C2002" s="10" t="s">
        <v>72</v>
      </c>
      <c r="D2002" s="10" t="s">
        <v>196</v>
      </c>
      <c r="E2002" s="10" t="s">
        <v>52</v>
      </c>
      <c r="F2002" s="10" t="s">
        <v>1334</v>
      </c>
      <c r="G2002" s="10" t="s">
        <v>162</v>
      </c>
      <c r="H2002" s="30" t="n">
        <v>42940</v>
      </c>
      <c r="I2002" s="8" t="n">
        <f aca="false">INDEX(Parâmetros!$C$13:$C$19,MATCH(E2002,Parâmetros!$A$13:$A$19,0))</f>
        <v>55</v>
      </c>
      <c r="J2002" s="26" t="n">
        <f aca="false">IF(H2002="","",Parâmetros!$B$5-H2002)</f>
        <v>160</v>
      </c>
      <c r="K2002" s="10" t="n">
        <f aca="false">INDEX(Parâmetros!$D$13:$D$19,MATCH(E2002,Parâmetros!$A$13:$A$19,0))</f>
        <v>0</v>
      </c>
      <c r="L2002" s="10" t="n">
        <f aca="false">IF(G2002="Prospecting",Parâmetros!$B$9,IF(J2002&gt;Parâmetros!$B$6,0,INDEX(Parâmetros!$C$24:$C$26,MATCH(J2002,Parâmetros!$A$24:$A$26,1))))</f>
        <v>0</v>
      </c>
      <c r="M2002" s="31" t="n">
        <f aca="false">IF(G2002="Prospecting",1,INDEX(Parâmetros!$C$32:$C$35,MATCH(J2002,Parâmetros!$A$32:$A$35,1)))</f>
        <v>0.6</v>
      </c>
      <c r="N2002" s="2" t="n">
        <f aca="false">ROUND((K2002+L2002)*M2002,0)</f>
        <v>0</v>
      </c>
      <c r="O2002" s="10" t="str">
        <f aca="false">IF(AND(G2002="Engaging",J2002&gt;Parâmetros!$B$6),"Sim","Não")</f>
        <v>Sim</v>
      </c>
      <c r="P2002" s="32" t="str">
        <f aca="false">IF(O2002="Sim","R",IF(N2002&gt;=Parâmetros!$B$39,"A",IF(N2002&gt;=Parâmetros!$B$40,"B",IF(N2002&gt;=Parâmetros!$B$41,"C","D"))))</f>
        <v>R</v>
      </c>
      <c r="Q2002" s="10" t="str">
        <f aca="false">IF(F2002="","Completar cadastro","")</f>
        <v/>
      </c>
      <c r="R2002" s="10" t="str">
        <f aca="false">INDEX(Parâmetros!$D$39:$D$43,MATCH(P2002,Parâmetros!$A$39:$A$43,0))</f>
        <v>Reciclar: requalificar, reengajar ou encerrar</v>
      </c>
    </row>
    <row r="2003" customFormat="false" ht="15" hidden="false" customHeight="false" outlineLevel="0" collapsed="false">
      <c r="A2003" s="10" t="s">
        <v>2250</v>
      </c>
      <c r="B2003" s="10" t="s">
        <v>76</v>
      </c>
      <c r="C2003" s="10" t="s">
        <v>72</v>
      </c>
      <c r="D2003" s="10" t="s">
        <v>196</v>
      </c>
      <c r="E2003" s="10" t="s">
        <v>52</v>
      </c>
      <c r="F2003" s="10"/>
      <c r="G2003" s="10" t="s">
        <v>162</v>
      </c>
      <c r="H2003" s="30" t="n">
        <v>42940</v>
      </c>
      <c r="I2003" s="8" t="n">
        <f aca="false">INDEX(Parâmetros!$C$13:$C$19,MATCH(E2003,Parâmetros!$A$13:$A$19,0))</f>
        <v>55</v>
      </c>
      <c r="J2003" s="26" t="n">
        <f aca="false">IF(H2003="","",Parâmetros!$B$5-H2003)</f>
        <v>160</v>
      </c>
      <c r="K2003" s="10" t="n">
        <f aca="false">INDEX(Parâmetros!$D$13:$D$19,MATCH(E2003,Parâmetros!$A$13:$A$19,0))</f>
        <v>0</v>
      </c>
      <c r="L2003" s="10" t="n">
        <f aca="false">IF(G2003="Prospecting",Parâmetros!$B$9,IF(J2003&gt;Parâmetros!$B$6,0,INDEX(Parâmetros!$C$24:$C$26,MATCH(J2003,Parâmetros!$A$24:$A$26,1))))</f>
        <v>0</v>
      </c>
      <c r="M2003" s="31" t="n">
        <f aca="false">IF(G2003="Prospecting",1,INDEX(Parâmetros!$C$32:$C$35,MATCH(J2003,Parâmetros!$A$32:$A$35,1)))</f>
        <v>0.6</v>
      </c>
      <c r="N2003" s="2" t="n">
        <f aca="false">ROUND((K2003+L2003)*M2003,0)</f>
        <v>0</v>
      </c>
      <c r="O2003" s="10" t="str">
        <f aca="false">IF(AND(G2003="Engaging",J2003&gt;Parâmetros!$B$6),"Sim","Não")</f>
        <v>Sim</v>
      </c>
      <c r="P2003" s="32" t="str">
        <f aca="false">IF(O2003="Sim","R",IF(N2003&gt;=Parâmetros!$B$39,"A",IF(N2003&gt;=Parâmetros!$B$40,"B",IF(N2003&gt;=Parâmetros!$B$41,"C","D"))))</f>
        <v>R</v>
      </c>
      <c r="Q2003" s="10" t="str">
        <f aca="false">IF(F2003="","Completar cadastro","")</f>
        <v>Completar cadastro</v>
      </c>
      <c r="R2003" s="10" t="str">
        <f aca="false">INDEX(Parâmetros!$D$39:$D$43,MATCH(P2003,Parâmetros!$A$39:$A$43,0))</f>
        <v>Reciclar: requalificar, reengajar ou encerrar</v>
      </c>
    </row>
    <row r="2004" customFormat="false" ht="15" hidden="false" customHeight="false" outlineLevel="0" collapsed="false">
      <c r="A2004" s="10" t="s">
        <v>2251</v>
      </c>
      <c r="B2004" s="10" t="s">
        <v>76</v>
      </c>
      <c r="C2004" s="10" t="s">
        <v>72</v>
      </c>
      <c r="D2004" s="10" t="s">
        <v>196</v>
      </c>
      <c r="E2004" s="10" t="s">
        <v>52</v>
      </c>
      <c r="F2004" s="10"/>
      <c r="G2004" s="10" t="s">
        <v>162</v>
      </c>
      <c r="H2004" s="30" t="n">
        <v>42940</v>
      </c>
      <c r="I2004" s="8" t="n">
        <f aca="false">INDEX(Parâmetros!$C$13:$C$19,MATCH(E2004,Parâmetros!$A$13:$A$19,0))</f>
        <v>55</v>
      </c>
      <c r="J2004" s="26" t="n">
        <f aca="false">IF(H2004="","",Parâmetros!$B$5-H2004)</f>
        <v>160</v>
      </c>
      <c r="K2004" s="10" t="n">
        <f aca="false">INDEX(Parâmetros!$D$13:$D$19,MATCH(E2004,Parâmetros!$A$13:$A$19,0))</f>
        <v>0</v>
      </c>
      <c r="L2004" s="10" t="n">
        <f aca="false">IF(G2004="Prospecting",Parâmetros!$B$9,IF(J2004&gt;Parâmetros!$B$6,0,INDEX(Parâmetros!$C$24:$C$26,MATCH(J2004,Parâmetros!$A$24:$A$26,1))))</f>
        <v>0</v>
      </c>
      <c r="M2004" s="31" t="n">
        <f aca="false">IF(G2004="Prospecting",1,INDEX(Parâmetros!$C$32:$C$35,MATCH(J2004,Parâmetros!$A$32:$A$35,1)))</f>
        <v>0.6</v>
      </c>
      <c r="N2004" s="2" t="n">
        <f aca="false">ROUND((K2004+L2004)*M2004,0)</f>
        <v>0</v>
      </c>
      <c r="O2004" s="10" t="str">
        <f aca="false">IF(AND(G2004="Engaging",J2004&gt;Parâmetros!$B$6),"Sim","Não")</f>
        <v>Sim</v>
      </c>
      <c r="P2004" s="32" t="str">
        <f aca="false">IF(O2004="Sim","R",IF(N2004&gt;=Parâmetros!$B$39,"A",IF(N2004&gt;=Parâmetros!$B$40,"B",IF(N2004&gt;=Parâmetros!$B$41,"C","D"))))</f>
        <v>R</v>
      </c>
      <c r="Q2004" s="10" t="str">
        <f aca="false">IF(F2004="","Completar cadastro","")</f>
        <v>Completar cadastro</v>
      </c>
      <c r="R2004" s="10" t="str">
        <f aca="false">INDEX(Parâmetros!$D$39:$D$43,MATCH(P2004,Parâmetros!$A$39:$A$43,0))</f>
        <v>Reciclar: requalificar, reengajar ou encerrar</v>
      </c>
    </row>
    <row r="2005" customFormat="false" ht="15" hidden="false" customHeight="false" outlineLevel="0" collapsed="false">
      <c r="A2005" s="10" t="s">
        <v>2252</v>
      </c>
      <c r="B2005" s="10" t="s">
        <v>76</v>
      </c>
      <c r="C2005" s="10" t="s">
        <v>72</v>
      </c>
      <c r="D2005" s="10" t="s">
        <v>196</v>
      </c>
      <c r="E2005" s="10" t="s">
        <v>52</v>
      </c>
      <c r="F2005" s="10"/>
      <c r="G2005" s="10" t="s">
        <v>162</v>
      </c>
      <c r="H2005" s="30" t="n">
        <v>42940</v>
      </c>
      <c r="I2005" s="8" t="n">
        <f aca="false">INDEX(Parâmetros!$C$13:$C$19,MATCH(E2005,Parâmetros!$A$13:$A$19,0))</f>
        <v>55</v>
      </c>
      <c r="J2005" s="26" t="n">
        <f aca="false">IF(H2005="","",Parâmetros!$B$5-H2005)</f>
        <v>160</v>
      </c>
      <c r="K2005" s="10" t="n">
        <f aca="false">INDEX(Parâmetros!$D$13:$D$19,MATCH(E2005,Parâmetros!$A$13:$A$19,0))</f>
        <v>0</v>
      </c>
      <c r="L2005" s="10" t="n">
        <f aca="false">IF(G2005="Prospecting",Parâmetros!$B$9,IF(J2005&gt;Parâmetros!$B$6,0,INDEX(Parâmetros!$C$24:$C$26,MATCH(J2005,Parâmetros!$A$24:$A$26,1))))</f>
        <v>0</v>
      </c>
      <c r="M2005" s="31" t="n">
        <f aca="false">IF(G2005="Prospecting",1,INDEX(Parâmetros!$C$32:$C$35,MATCH(J2005,Parâmetros!$A$32:$A$35,1)))</f>
        <v>0.6</v>
      </c>
      <c r="N2005" s="2" t="n">
        <f aca="false">ROUND((K2005+L2005)*M2005,0)</f>
        <v>0</v>
      </c>
      <c r="O2005" s="10" t="str">
        <f aca="false">IF(AND(G2005="Engaging",J2005&gt;Parâmetros!$B$6),"Sim","Não")</f>
        <v>Sim</v>
      </c>
      <c r="P2005" s="32" t="str">
        <f aca="false">IF(O2005="Sim","R",IF(N2005&gt;=Parâmetros!$B$39,"A",IF(N2005&gt;=Parâmetros!$B$40,"B",IF(N2005&gt;=Parâmetros!$B$41,"C","D"))))</f>
        <v>R</v>
      </c>
      <c r="Q2005" s="10" t="str">
        <f aca="false">IF(F2005="","Completar cadastro","")</f>
        <v>Completar cadastro</v>
      </c>
      <c r="R2005" s="10" t="str">
        <f aca="false">INDEX(Parâmetros!$D$39:$D$43,MATCH(P2005,Parâmetros!$A$39:$A$43,0))</f>
        <v>Reciclar: requalificar, reengajar ou encerrar</v>
      </c>
    </row>
    <row r="2006" customFormat="false" ht="15" hidden="false" customHeight="false" outlineLevel="0" collapsed="false">
      <c r="A2006" s="10" t="s">
        <v>2253</v>
      </c>
      <c r="B2006" s="10" t="s">
        <v>71</v>
      </c>
      <c r="C2006" s="10" t="s">
        <v>72</v>
      </c>
      <c r="D2006" s="10" t="s">
        <v>196</v>
      </c>
      <c r="E2006" s="10" t="s">
        <v>52</v>
      </c>
      <c r="F2006" s="10" t="s">
        <v>344</v>
      </c>
      <c r="G2006" s="10" t="s">
        <v>162</v>
      </c>
      <c r="H2006" s="30" t="n">
        <v>42941</v>
      </c>
      <c r="I2006" s="8" t="n">
        <f aca="false">INDEX(Parâmetros!$C$13:$C$19,MATCH(E2006,Parâmetros!$A$13:$A$19,0))</f>
        <v>55</v>
      </c>
      <c r="J2006" s="26" t="n">
        <f aca="false">IF(H2006="","",Parâmetros!$B$5-H2006)</f>
        <v>159</v>
      </c>
      <c r="K2006" s="10" t="n">
        <f aca="false">INDEX(Parâmetros!$D$13:$D$19,MATCH(E2006,Parâmetros!$A$13:$A$19,0))</f>
        <v>0</v>
      </c>
      <c r="L2006" s="10" t="n">
        <f aca="false">IF(G2006="Prospecting",Parâmetros!$B$9,IF(J2006&gt;Parâmetros!$B$6,0,INDEX(Parâmetros!$C$24:$C$26,MATCH(J2006,Parâmetros!$A$24:$A$26,1))))</f>
        <v>0</v>
      </c>
      <c r="M2006" s="31" t="n">
        <f aca="false">IF(G2006="Prospecting",1,INDEX(Parâmetros!$C$32:$C$35,MATCH(J2006,Parâmetros!$A$32:$A$35,1)))</f>
        <v>0.6</v>
      </c>
      <c r="N2006" s="2" t="n">
        <f aca="false">ROUND((K2006+L2006)*M2006,0)</f>
        <v>0</v>
      </c>
      <c r="O2006" s="10" t="str">
        <f aca="false">IF(AND(G2006="Engaging",J2006&gt;Parâmetros!$B$6),"Sim","Não")</f>
        <v>Sim</v>
      </c>
      <c r="P2006" s="32" t="str">
        <f aca="false">IF(O2006="Sim","R",IF(N2006&gt;=Parâmetros!$B$39,"A",IF(N2006&gt;=Parâmetros!$B$40,"B",IF(N2006&gt;=Parâmetros!$B$41,"C","D"))))</f>
        <v>R</v>
      </c>
      <c r="Q2006" s="10" t="str">
        <f aca="false">IF(F2006="","Completar cadastro","")</f>
        <v/>
      </c>
      <c r="R2006" s="10" t="str">
        <f aca="false">INDEX(Parâmetros!$D$39:$D$43,MATCH(P2006,Parâmetros!$A$39:$A$43,0))</f>
        <v>Reciclar: requalificar, reengajar ou encerrar</v>
      </c>
    </row>
    <row r="2007" customFormat="false" ht="15" hidden="false" customHeight="false" outlineLevel="0" collapsed="false">
      <c r="A2007" s="10" t="s">
        <v>2254</v>
      </c>
      <c r="B2007" s="10" t="s">
        <v>95</v>
      </c>
      <c r="C2007" s="10" t="s">
        <v>92</v>
      </c>
      <c r="D2007" s="10" t="s">
        <v>160</v>
      </c>
      <c r="E2007" s="10" t="s">
        <v>52</v>
      </c>
      <c r="F2007" s="10"/>
      <c r="G2007" s="10" t="s">
        <v>162</v>
      </c>
      <c r="H2007" s="30" t="n">
        <v>42941</v>
      </c>
      <c r="I2007" s="8" t="n">
        <f aca="false">INDEX(Parâmetros!$C$13:$C$19,MATCH(E2007,Parâmetros!$A$13:$A$19,0))</f>
        <v>55</v>
      </c>
      <c r="J2007" s="26" t="n">
        <f aca="false">IF(H2007="","",Parâmetros!$B$5-H2007)</f>
        <v>159</v>
      </c>
      <c r="K2007" s="10" t="n">
        <f aca="false">INDEX(Parâmetros!$D$13:$D$19,MATCH(E2007,Parâmetros!$A$13:$A$19,0))</f>
        <v>0</v>
      </c>
      <c r="L2007" s="10" t="n">
        <f aca="false">IF(G2007="Prospecting",Parâmetros!$B$9,IF(J2007&gt;Parâmetros!$B$6,0,INDEX(Parâmetros!$C$24:$C$26,MATCH(J2007,Parâmetros!$A$24:$A$26,1))))</f>
        <v>0</v>
      </c>
      <c r="M2007" s="31" t="n">
        <f aca="false">IF(G2007="Prospecting",1,INDEX(Parâmetros!$C$32:$C$35,MATCH(J2007,Parâmetros!$A$32:$A$35,1)))</f>
        <v>0.6</v>
      </c>
      <c r="N2007" s="2" t="n">
        <f aca="false">ROUND((K2007+L2007)*M2007,0)</f>
        <v>0</v>
      </c>
      <c r="O2007" s="10" t="str">
        <f aca="false">IF(AND(G2007="Engaging",J2007&gt;Parâmetros!$B$6),"Sim","Não")</f>
        <v>Sim</v>
      </c>
      <c r="P2007" s="32" t="str">
        <f aca="false">IF(O2007="Sim","R",IF(N2007&gt;=Parâmetros!$B$39,"A",IF(N2007&gt;=Parâmetros!$B$40,"B",IF(N2007&gt;=Parâmetros!$B$41,"C","D"))))</f>
        <v>R</v>
      </c>
      <c r="Q2007" s="10" t="str">
        <f aca="false">IF(F2007="","Completar cadastro","")</f>
        <v>Completar cadastro</v>
      </c>
      <c r="R2007" s="10" t="str">
        <f aca="false">INDEX(Parâmetros!$D$39:$D$43,MATCH(P2007,Parâmetros!$A$39:$A$43,0))</f>
        <v>Reciclar: requalificar, reengajar ou encerrar</v>
      </c>
    </row>
    <row r="2008" customFormat="false" ht="15" hidden="false" customHeight="false" outlineLevel="0" collapsed="false">
      <c r="A2008" s="10" t="s">
        <v>2255</v>
      </c>
      <c r="B2008" s="10" t="s">
        <v>74</v>
      </c>
      <c r="C2008" s="10" t="s">
        <v>72</v>
      </c>
      <c r="D2008" s="10" t="s">
        <v>196</v>
      </c>
      <c r="E2008" s="10" t="s">
        <v>52</v>
      </c>
      <c r="F2008" s="10" t="s">
        <v>483</v>
      </c>
      <c r="G2008" s="10" t="s">
        <v>162</v>
      </c>
      <c r="H2008" s="30" t="n">
        <v>42941</v>
      </c>
      <c r="I2008" s="8" t="n">
        <f aca="false">INDEX(Parâmetros!$C$13:$C$19,MATCH(E2008,Parâmetros!$A$13:$A$19,0))</f>
        <v>55</v>
      </c>
      <c r="J2008" s="26" t="n">
        <f aca="false">IF(H2008="","",Parâmetros!$B$5-H2008)</f>
        <v>159</v>
      </c>
      <c r="K2008" s="10" t="n">
        <f aca="false">INDEX(Parâmetros!$D$13:$D$19,MATCH(E2008,Parâmetros!$A$13:$A$19,0))</f>
        <v>0</v>
      </c>
      <c r="L2008" s="10" t="n">
        <f aca="false">IF(G2008="Prospecting",Parâmetros!$B$9,IF(J2008&gt;Parâmetros!$B$6,0,INDEX(Parâmetros!$C$24:$C$26,MATCH(J2008,Parâmetros!$A$24:$A$26,1))))</f>
        <v>0</v>
      </c>
      <c r="M2008" s="31" t="n">
        <f aca="false">IF(G2008="Prospecting",1,INDEX(Parâmetros!$C$32:$C$35,MATCH(J2008,Parâmetros!$A$32:$A$35,1)))</f>
        <v>0.6</v>
      </c>
      <c r="N2008" s="2" t="n">
        <f aca="false">ROUND((K2008+L2008)*M2008,0)</f>
        <v>0</v>
      </c>
      <c r="O2008" s="10" t="str">
        <f aca="false">IF(AND(G2008="Engaging",J2008&gt;Parâmetros!$B$6),"Sim","Não")</f>
        <v>Sim</v>
      </c>
      <c r="P2008" s="32" t="str">
        <f aca="false">IF(O2008="Sim","R",IF(N2008&gt;=Parâmetros!$B$39,"A",IF(N2008&gt;=Parâmetros!$B$40,"B",IF(N2008&gt;=Parâmetros!$B$41,"C","D"))))</f>
        <v>R</v>
      </c>
      <c r="Q2008" s="10" t="str">
        <f aca="false">IF(F2008="","Completar cadastro","")</f>
        <v/>
      </c>
      <c r="R2008" s="10" t="str">
        <f aca="false">INDEX(Parâmetros!$D$39:$D$43,MATCH(P2008,Parâmetros!$A$39:$A$43,0))</f>
        <v>Reciclar: requalificar, reengajar ou encerrar</v>
      </c>
    </row>
    <row r="2009" customFormat="false" ht="15" hidden="false" customHeight="false" outlineLevel="0" collapsed="false">
      <c r="A2009" s="10" t="s">
        <v>2256</v>
      </c>
      <c r="B2009" s="10" t="s">
        <v>81</v>
      </c>
      <c r="C2009" s="10" t="s">
        <v>78</v>
      </c>
      <c r="D2009" s="10" t="s">
        <v>196</v>
      </c>
      <c r="E2009" s="10" t="s">
        <v>52</v>
      </c>
      <c r="F2009" s="10" t="s">
        <v>193</v>
      </c>
      <c r="G2009" s="10" t="s">
        <v>162</v>
      </c>
      <c r="H2009" s="30" t="n">
        <v>42941</v>
      </c>
      <c r="I2009" s="8" t="n">
        <f aca="false">INDEX(Parâmetros!$C$13:$C$19,MATCH(E2009,Parâmetros!$A$13:$A$19,0))</f>
        <v>55</v>
      </c>
      <c r="J2009" s="26" t="n">
        <f aca="false">IF(H2009="","",Parâmetros!$B$5-H2009)</f>
        <v>159</v>
      </c>
      <c r="K2009" s="10" t="n">
        <f aca="false">INDEX(Parâmetros!$D$13:$D$19,MATCH(E2009,Parâmetros!$A$13:$A$19,0))</f>
        <v>0</v>
      </c>
      <c r="L2009" s="10" t="n">
        <f aca="false">IF(G2009="Prospecting",Parâmetros!$B$9,IF(J2009&gt;Parâmetros!$B$6,0,INDEX(Parâmetros!$C$24:$C$26,MATCH(J2009,Parâmetros!$A$24:$A$26,1))))</f>
        <v>0</v>
      </c>
      <c r="M2009" s="31" t="n">
        <f aca="false">IF(G2009="Prospecting",1,INDEX(Parâmetros!$C$32:$C$35,MATCH(J2009,Parâmetros!$A$32:$A$35,1)))</f>
        <v>0.6</v>
      </c>
      <c r="N2009" s="2" t="n">
        <f aca="false">ROUND((K2009+L2009)*M2009,0)</f>
        <v>0</v>
      </c>
      <c r="O2009" s="10" t="str">
        <f aca="false">IF(AND(G2009="Engaging",J2009&gt;Parâmetros!$B$6),"Sim","Não")</f>
        <v>Sim</v>
      </c>
      <c r="P2009" s="32" t="str">
        <f aca="false">IF(O2009="Sim","R",IF(N2009&gt;=Parâmetros!$B$39,"A",IF(N2009&gt;=Parâmetros!$B$40,"B",IF(N2009&gt;=Parâmetros!$B$41,"C","D"))))</f>
        <v>R</v>
      </c>
      <c r="Q2009" s="10" t="str">
        <f aca="false">IF(F2009="","Completar cadastro","")</f>
        <v/>
      </c>
      <c r="R2009" s="10" t="str">
        <f aca="false">INDEX(Parâmetros!$D$39:$D$43,MATCH(P2009,Parâmetros!$A$39:$A$43,0))</f>
        <v>Reciclar: requalificar, reengajar ou encerrar</v>
      </c>
    </row>
    <row r="2010" customFormat="false" ht="15" hidden="false" customHeight="false" outlineLevel="0" collapsed="false">
      <c r="A2010" s="10" t="s">
        <v>2257</v>
      </c>
      <c r="B2010" s="10" t="s">
        <v>69</v>
      </c>
      <c r="C2010" s="10" t="s">
        <v>65</v>
      </c>
      <c r="D2010" s="10" t="s">
        <v>160</v>
      </c>
      <c r="E2010" s="10" t="s">
        <v>52</v>
      </c>
      <c r="F2010" s="10"/>
      <c r="G2010" s="10" t="s">
        <v>162</v>
      </c>
      <c r="H2010" s="30" t="n">
        <v>42941</v>
      </c>
      <c r="I2010" s="8" t="n">
        <f aca="false">INDEX(Parâmetros!$C$13:$C$19,MATCH(E2010,Parâmetros!$A$13:$A$19,0))</f>
        <v>55</v>
      </c>
      <c r="J2010" s="26" t="n">
        <f aca="false">IF(H2010="","",Parâmetros!$B$5-H2010)</f>
        <v>159</v>
      </c>
      <c r="K2010" s="10" t="n">
        <f aca="false">INDEX(Parâmetros!$D$13:$D$19,MATCH(E2010,Parâmetros!$A$13:$A$19,0))</f>
        <v>0</v>
      </c>
      <c r="L2010" s="10" t="n">
        <f aca="false">IF(G2010="Prospecting",Parâmetros!$B$9,IF(J2010&gt;Parâmetros!$B$6,0,INDEX(Parâmetros!$C$24:$C$26,MATCH(J2010,Parâmetros!$A$24:$A$26,1))))</f>
        <v>0</v>
      </c>
      <c r="M2010" s="31" t="n">
        <f aca="false">IF(G2010="Prospecting",1,INDEX(Parâmetros!$C$32:$C$35,MATCH(J2010,Parâmetros!$A$32:$A$35,1)))</f>
        <v>0.6</v>
      </c>
      <c r="N2010" s="2" t="n">
        <f aca="false">ROUND((K2010+L2010)*M2010,0)</f>
        <v>0</v>
      </c>
      <c r="O2010" s="10" t="str">
        <f aca="false">IF(AND(G2010="Engaging",J2010&gt;Parâmetros!$B$6),"Sim","Não")</f>
        <v>Sim</v>
      </c>
      <c r="P2010" s="32" t="str">
        <f aca="false">IF(O2010="Sim","R",IF(N2010&gt;=Parâmetros!$B$39,"A",IF(N2010&gt;=Parâmetros!$B$40,"B",IF(N2010&gt;=Parâmetros!$B$41,"C","D"))))</f>
        <v>R</v>
      </c>
      <c r="Q2010" s="10" t="str">
        <f aca="false">IF(F2010="","Completar cadastro","")</f>
        <v>Completar cadastro</v>
      </c>
      <c r="R2010" s="10" t="str">
        <f aca="false">INDEX(Parâmetros!$D$39:$D$43,MATCH(P2010,Parâmetros!$A$39:$A$43,0))</f>
        <v>Reciclar: requalificar, reengajar ou encerrar</v>
      </c>
    </row>
    <row r="2011" customFormat="false" ht="15" hidden="false" customHeight="false" outlineLevel="0" collapsed="false">
      <c r="A2011" s="10" t="s">
        <v>2258</v>
      </c>
      <c r="B2011" s="10" t="s">
        <v>76</v>
      </c>
      <c r="C2011" s="10" t="s">
        <v>72</v>
      </c>
      <c r="D2011" s="10" t="s">
        <v>196</v>
      </c>
      <c r="E2011" s="10" t="s">
        <v>52</v>
      </c>
      <c r="F2011" s="10" t="s">
        <v>227</v>
      </c>
      <c r="G2011" s="10" t="s">
        <v>162</v>
      </c>
      <c r="H2011" s="30" t="n">
        <v>42941</v>
      </c>
      <c r="I2011" s="8" t="n">
        <f aca="false">INDEX(Parâmetros!$C$13:$C$19,MATCH(E2011,Parâmetros!$A$13:$A$19,0))</f>
        <v>55</v>
      </c>
      <c r="J2011" s="26" t="n">
        <f aca="false">IF(H2011="","",Parâmetros!$B$5-H2011)</f>
        <v>159</v>
      </c>
      <c r="K2011" s="10" t="n">
        <f aca="false">INDEX(Parâmetros!$D$13:$D$19,MATCH(E2011,Parâmetros!$A$13:$A$19,0))</f>
        <v>0</v>
      </c>
      <c r="L2011" s="10" t="n">
        <f aca="false">IF(G2011="Prospecting",Parâmetros!$B$9,IF(J2011&gt;Parâmetros!$B$6,0,INDEX(Parâmetros!$C$24:$C$26,MATCH(J2011,Parâmetros!$A$24:$A$26,1))))</f>
        <v>0</v>
      </c>
      <c r="M2011" s="31" t="n">
        <f aca="false">IF(G2011="Prospecting",1,INDEX(Parâmetros!$C$32:$C$35,MATCH(J2011,Parâmetros!$A$32:$A$35,1)))</f>
        <v>0.6</v>
      </c>
      <c r="N2011" s="2" t="n">
        <f aca="false">ROUND((K2011+L2011)*M2011,0)</f>
        <v>0</v>
      </c>
      <c r="O2011" s="10" t="str">
        <f aca="false">IF(AND(G2011="Engaging",J2011&gt;Parâmetros!$B$6),"Sim","Não")</f>
        <v>Sim</v>
      </c>
      <c r="P2011" s="32" t="str">
        <f aca="false">IF(O2011="Sim","R",IF(N2011&gt;=Parâmetros!$B$39,"A",IF(N2011&gt;=Parâmetros!$B$40,"B",IF(N2011&gt;=Parâmetros!$B$41,"C","D"))))</f>
        <v>R</v>
      </c>
      <c r="Q2011" s="10" t="str">
        <f aca="false">IF(F2011="","Completar cadastro","")</f>
        <v/>
      </c>
      <c r="R2011" s="10" t="str">
        <f aca="false">INDEX(Parâmetros!$D$39:$D$43,MATCH(P2011,Parâmetros!$A$39:$A$43,0))</f>
        <v>Reciclar: requalificar, reengajar ou encerrar</v>
      </c>
    </row>
    <row r="2012" customFormat="false" ht="15" hidden="false" customHeight="false" outlineLevel="0" collapsed="false">
      <c r="A2012" s="10" t="s">
        <v>2259</v>
      </c>
      <c r="B2012" s="10" t="s">
        <v>71</v>
      </c>
      <c r="C2012" s="10" t="s">
        <v>72</v>
      </c>
      <c r="D2012" s="10" t="s">
        <v>196</v>
      </c>
      <c r="E2012" s="10" t="s">
        <v>52</v>
      </c>
      <c r="F2012" s="10" t="s">
        <v>179</v>
      </c>
      <c r="G2012" s="10" t="s">
        <v>162</v>
      </c>
      <c r="H2012" s="30" t="n">
        <v>42942</v>
      </c>
      <c r="I2012" s="8" t="n">
        <f aca="false">INDEX(Parâmetros!$C$13:$C$19,MATCH(E2012,Parâmetros!$A$13:$A$19,0))</f>
        <v>55</v>
      </c>
      <c r="J2012" s="26" t="n">
        <f aca="false">IF(H2012="","",Parâmetros!$B$5-H2012)</f>
        <v>158</v>
      </c>
      <c r="K2012" s="10" t="n">
        <f aca="false">INDEX(Parâmetros!$D$13:$D$19,MATCH(E2012,Parâmetros!$A$13:$A$19,0))</f>
        <v>0</v>
      </c>
      <c r="L2012" s="10" t="n">
        <f aca="false">IF(G2012="Prospecting",Parâmetros!$B$9,IF(J2012&gt;Parâmetros!$B$6,0,INDEX(Parâmetros!$C$24:$C$26,MATCH(J2012,Parâmetros!$A$24:$A$26,1))))</f>
        <v>0</v>
      </c>
      <c r="M2012" s="31" t="n">
        <f aca="false">IF(G2012="Prospecting",1,INDEX(Parâmetros!$C$32:$C$35,MATCH(J2012,Parâmetros!$A$32:$A$35,1)))</f>
        <v>0.6</v>
      </c>
      <c r="N2012" s="2" t="n">
        <f aca="false">ROUND((K2012+L2012)*M2012,0)</f>
        <v>0</v>
      </c>
      <c r="O2012" s="10" t="str">
        <f aca="false">IF(AND(G2012="Engaging",J2012&gt;Parâmetros!$B$6),"Sim","Não")</f>
        <v>Sim</v>
      </c>
      <c r="P2012" s="32" t="str">
        <f aca="false">IF(O2012="Sim","R",IF(N2012&gt;=Parâmetros!$B$39,"A",IF(N2012&gt;=Parâmetros!$B$40,"B",IF(N2012&gt;=Parâmetros!$B$41,"C","D"))))</f>
        <v>R</v>
      </c>
      <c r="Q2012" s="10" t="str">
        <f aca="false">IF(F2012="","Completar cadastro","")</f>
        <v/>
      </c>
      <c r="R2012" s="10" t="str">
        <f aca="false">INDEX(Parâmetros!$D$39:$D$43,MATCH(P2012,Parâmetros!$A$39:$A$43,0))</f>
        <v>Reciclar: requalificar, reengajar ou encerrar</v>
      </c>
    </row>
    <row r="2013" customFormat="false" ht="15" hidden="false" customHeight="false" outlineLevel="0" collapsed="false">
      <c r="A2013" s="10" t="s">
        <v>2260</v>
      </c>
      <c r="B2013" s="10" t="s">
        <v>71</v>
      </c>
      <c r="C2013" s="10" t="s">
        <v>72</v>
      </c>
      <c r="D2013" s="10" t="s">
        <v>196</v>
      </c>
      <c r="E2013" s="10" t="s">
        <v>52</v>
      </c>
      <c r="F2013" s="10"/>
      <c r="G2013" s="10" t="s">
        <v>162</v>
      </c>
      <c r="H2013" s="30" t="n">
        <v>42942</v>
      </c>
      <c r="I2013" s="8" t="n">
        <f aca="false">INDEX(Parâmetros!$C$13:$C$19,MATCH(E2013,Parâmetros!$A$13:$A$19,0))</f>
        <v>55</v>
      </c>
      <c r="J2013" s="26" t="n">
        <f aca="false">IF(H2013="","",Parâmetros!$B$5-H2013)</f>
        <v>158</v>
      </c>
      <c r="K2013" s="10" t="n">
        <f aca="false">INDEX(Parâmetros!$D$13:$D$19,MATCH(E2013,Parâmetros!$A$13:$A$19,0))</f>
        <v>0</v>
      </c>
      <c r="L2013" s="10" t="n">
        <f aca="false">IF(G2013="Prospecting",Parâmetros!$B$9,IF(J2013&gt;Parâmetros!$B$6,0,INDEX(Parâmetros!$C$24:$C$26,MATCH(J2013,Parâmetros!$A$24:$A$26,1))))</f>
        <v>0</v>
      </c>
      <c r="M2013" s="31" t="n">
        <f aca="false">IF(G2013="Prospecting",1,INDEX(Parâmetros!$C$32:$C$35,MATCH(J2013,Parâmetros!$A$32:$A$35,1)))</f>
        <v>0.6</v>
      </c>
      <c r="N2013" s="2" t="n">
        <f aca="false">ROUND((K2013+L2013)*M2013,0)</f>
        <v>0</v>
      </c>
      <c r="O2013" s="10" t="str">
        <f aca="false">IF(AND(G2013="Engaging",J2013&gt;Parâmetros!$B$6),"Sim","Não")</f>
        <v>Sim</v>
      </c>
      <c r="P2013" s="32" t="str">
        <f aca="false">IF(O2013="Sim","R",IF(N2013&gt;=Parâmetros!$B$39,"A",IF(N2013&gt;=Parâmetros!$B$40,"B",IF(N2013&gt;=Parâmetros!$B$41,"C","D"))))</f>
        <v>R</v>
      </c>
      <c r="Q2013" s="10" t="str">
        <f aca="false">IF(F2013="","Completar cadastro","")</f>
        <v>Completar cadastro</v>
      </c>
      <c r="R2013" s="10" t="str">
        <f aca="false">INDEX(Parâmetros!$D$39:$D$43,MATCH(P2013,Parâmetros!$A$39:$A$43,0))</f>
        <v>Reciclar: requalificar, reengajar ou encerrar</v>
      </c>
    </row>
    <row r="2014" customFormat="false" ht="15" hidden="false" customHeight="false" outlineLevel="0" collapsed="false">
      <c r="A2014" s="10" t="s">
        <v>2261</v>
      </c>
      <c r="B2014" s="10" t="s">
        <v>79</v>
      </c>
      <c r="C2014" s="10" t="s">
        <v>78</v>
      </c>
      <c r="D2014" s="10" t="s">
        <v>196</v>
      </c>
      <c r="E2014" s="10" t="s">
        <v>52</v>
      </c>
      <c r="F2014" s="10"/>
      <c r="G2014" s="10" t="s">
        <v>162</v>
      </c>
      <c r="H2014" s="30" t="n">
        <v>42942</v>
      </c>
      <c r="I2014" s="8" t="n">
        <f aca="false">INDEX(Parâmetros!$C$13:$C$19,MATCH(E2014,Parâmetros!$A$13:$A$19,0))</f>
        <v>55</v>
      </c>
      <c r="J2014" s="26" t="n">
        <f aca="false">IF(H2014="","",Parâmetros!$B$5-H2014)</f>
        <v>158</v>
      </c>
      <c r="K2014" s="10" t="n">
        <f aca="false">INDEX(Parâmetros!$D$13:$D$19,MATCH(E2014,Parâmetros!$A$13:$A$19,0))</f>
        <v>0</v>
      </c>
      <c r="L2014" s="10" t="n">
        <f aca="false">IF(G2014="Prospecting",Parâmetros!$B$9,IF(J2014&gt;Parâmetros!$B$6,0,INDEX(Parâmetros!$C$24:$C$26,MATCH(J2014,Parâmetros!$A$24:$A$26,1))))</f>
        <v>0</v>
      </c>
      <c r="M2014" s="31" t="n">
        <f aca="false">IF(G2014="Prospecting",1,INDEX(Parâmetros!$C$32:$C$35,MATCH(J2014,Parâmetros!$A$32:$A$35,1)))</f>
        <v>0.6</v>
      </c>
      <c r="N2014" s="2" t="n">
        <f aca="false">ROUND((K2014+L2014)*M2014,0)</f>
        <v>0</v>
      </c>
      <c r="O2014" s="10" t="str">
        <f aca="false">IF(AND(G2014="Engaging",J2014&gt;Parâmetros!$B$6),"Sim","Não")</f>
        <v>Sim</v>
      </c>
      <c r="P2014" s="32" t="str">
        <f aca="false">IF(O2014="Sim","R",IF(N2014&gt;=Parâmetros!$B$39,"A",IF(N2014&gt;=Parâmetros!$B$40,"B",IF(N2014&gt;=Parâmetros!$B$41,"C","D"))))</f>
        <v>R</v>
      </c>
      <c r="Q2014" s="10" t="str">
        <f aca="false">IF(F2014="","Completar cadastro","")</f>
        <v>Completar cadastro</v>
      </c>
      <c r="R2014" s="10" t="str">
        <f aca="false">INDEX(Parâmetros!$D$39:$D$43,MATCH(P2014,Parâmetros!$A$39:$A$43,0))</f>
        <v>Reciclar: requalificar, reengajar ou encerrar</v>
      </c>
    </row>
    <row r="2015" customFormat="false" ht="15" hidden="false" customHeight="false" outlineLevel="0" collapsed="false">
      <c r="A2015" s="10" t="s">
        <v>2262</v>
      </c>
      <c r="B2015" s="10" t="s">
        <v>79</v>
      </c>
      <c r="C2015" s="10" t="s">
        <v>78</v>
      </c>
      <c r="D2015" s="10" t="s">
        <v>196</v>
      </c>
      <c r="E2015" s="10" t="s">
        <v>52</v>
      </c>
      <c r="F2015" s="10"/>
      <c r="G2015" s="10" t="s">
        <v>162</v>
      </c>
      <c r="H2015" s="30" t="n">
        <v>42942</v>
      </c>
      <c r="I2015" s="8" t="n">
        <f aca="false">INDEX(Parâmetros!$C$13:$C$19,MATCH(E2015,Parâmetros!$A$13:$A$19,0))</f>
        <v>55</v>
      </c>
      <c r="J2015" s="26" t="n">
        <f aca="false">IF(H2015="","",Parâmetros!$B$5-H2015)</f>
        <v>158</v>
      </c>
      <c r="K2015" s="10" t="n">
        <f aca="false">INDEX(Parâmetros!$D$13:$D$19,MATCH(E2015,Parâmetros!$A$13:$A$19,0))</f>
        <v>0</v>
      </c>
      <c r="L2015" s="10" t="n">
        <f aca="false">IF(G2015="Prospecting",Parâmetros!$B$9,IF(J2015&gt;Parâmetros!$B$6,0,INDEX(Parâmetros!$C$24:$C$26,MATCH(J2015,Parâmetros!$A$24:$A$26,1))))</f>
        <v>0</v>
      </c>
      <c r="M2015" s="31" t="n">
        <f aca="false">IF(G2015="Prospecting",1,INDEX(Parâmetros!$C$32:$C$35,MATCH(J2015,Parâmetros!$A$32:$A$35,1)))</f>
        <v>0.6</v>
      </c>
      <c r="N2015" s="2" t="n">
        <f aca="false">ROUND((K2015+L2015)*M2015,0)</f>
        <v>0</v>
      </c>
      <c r="O2015" s="10" t="str">
        <f aca="false">IF(AND(G2015="Engaging",J2015&gt;Parâmetros!$B$6),"Sim","Não")</f>
        <v>Sim</v>
      </c>
      <c r="P2015" s="32" t="str">
        <f aca="false">IF(O2015="Sim","R",IF(N2015&gt;=Parâmetros!$B$39,"A",IF(N2015&gt;=Parâmetros!$B$40,"B",IF(N2015&gt;=Parâmetros!$B$41,"C","D"))))</f>
        <v>R</v>
      </c>
      <c r="Q2015" s="10" t="str">
        <f aca="false">IF(F2015="","Completar cadastro","")</f>
        <v>Completar cadastro</v>
      </c>
      <c r="R2015" s="10" t="str">
        <f aca="false">INDEX(Parâmetros!$D$39:$D$43,MATCH(P2015,Parâmetros!$A$39:$A$43,0))</f>
        <v>Reciclar: requalificar, reengajar ou encerrar</v>
      </c>
    </row>
    <row r="2016" customFormat="false" ht="15" hidden="false" customHeight="false" outlineLevel="0" collapsed="false">
      <c r="A2016" s="10" t="s">
        <v>2263</v>
      </c>
      <c r="B2016" s="10" t="s">
        <v>75</v>
      </c>
      <c r="C2016" s="10" t="s">
        <v>72</v>
      </c>
      <c r="D2016" s="10" t="s">
        <v>196</v>
      </c>
      <c r="E2016" s="10" t="s">
        <v>52</v>
      </c>
      <c r="F2016" s="10"/>
      <c r="G2016" s="10" t="s">
        <v>162</v>
      </c>
      <c r="H2016" s="30" t="n">
        <v>42942</v>
      </c>
      <c r="I2016" s="8" t="n">
        <f aca="false">INDEX(Parâmetros!$C$13:$C$19,MATCH(E2016,Parâmetros!$A$13:$A$19,0))</f>
        <v>55</v>
      </c>
      <c r="J2016" s="26" t="n">
        <f aca="false">IF(H2016="","",Parâmetros!$B$5-H2016)</f>
        <v>158</v>
      </c>
      <c r="K2016" s="10" t="n">
        <f aca="false">INDEX(Parâmetros!$D$13:$D$19,MATCH(E2016,Parâmetros!$A$13:$A$19,0))</f>
        <v>0</v>
      </c>
      <c r="L2016" s="10" t="n">
        <f aca="false">IF(G2016="Prospecting",Parâmetros!$B$9,IF(J2016&gt;Parâmetros!$B$6,0,INDEX(Parâmetros!$C$24:$C$26,MATCH(J2016,Parâmetros!$A$24:$A$26,1))))</f>
        <v>0</v>
      </c>
      <c r="M2016" s="31" t="n">
        <f aca="false">IF(G2016="Prospecting",1,INDEX(Parâmetros!$C$32:$C$35,MATCH(J2016,Parâmetros!$A$32:$A$35,1)))</f>
        <v>0.6</v>
      </c>
      <c r="N2016" s="2" t="n">
        <f aca="false">ROUND((K2016+L2016)*M2016,0)</f>
        <v>0</v>
      </c>
      <c r="O2016" s="10" t="str">
        <f aca="false">IF(AND(G2016="Engaging",J2016&gt;Parâmetros!$B$6),"Sim","Não")</f>
        <v>Sim</v>
      </c>
      <c r="P2016" s="32" t="str">
        <f aca="false">IF(O2016="Sim","R",IF(N2016&gt;=Parâmetros!$B$39,"A",IF(N2016&gt;=Parâmetros!$B$40,"B",IF(N2016&gt;=Parâmetros!$B$41,"C","D"))))</f>
        <v>R</v>
      </c>
      <c r="Q2016" s="10" t="str">
        <f aca="false">IF(F2016="","Completar cadastro","")</f>
        <v>Completar cadastro</v>
      </c>
      <c r="R2016" s="10" t="str">
        <f aca="false">INDEX(Parâmetros!$D$39:$D$43,MATCH(P2016,Parâmetros!$A$39:$A$43,0))</f>
        <v>Reciclar: requalificar, reengajar ou encerrar</v>
      </c>
    </row>
    <row r="2017" customFormat="false" ht="15" hidden="false" customHeight="false" outlineLevel="0" collapsed="false">
      <c r="A2017" s="10" t="s">
        <v>2264</v>
      </c>
      <c r="B2017" s="10" t="s">
        <v>71</v>
      </c>
      <c r="C2017" s="10" t="s">
        <v>72</v>
      </c>
      <c r="D2017" s="10" t="s">
        <v>196</v>
      </c>
      <c r="E2017" s="10" t="s">
        <v>52</v>
      </c>
      <c r="F2017" s="10" t="s">
        <v>497</v>
      </c>
      <c r="G2017" s="10" t="s">
        <v>162</v>
      </c>
      <c r="H2017" s="30" t="n">
        <v>42943</v>
      </c>
      <c r="I2017" s="8" t="n">
        <f aca="false">INDEX(Parâmetros!$C$13:$C$19,MATCH(E2017,Parâmetros!$A$13:$A$19,0))</f>
        <v>55</v>
      </c>
      <c r="J2017" s="26" t="n">
        <f aca="false">IF(H2017="","",Parâmetros!$B$5-H2017)</f>
        <v>157</v>
      </c>
      <c r="K2017" s="10" t="n">
        <f aca="false">INDEX(Parâmetros!$D$13:$D$19,MATCH(E2017,Parâmetros!$A$13:$A$19,0))</f>
        <v>0</v>
      </c>
      <c r="L2017" s="10" t="n">
        <f aca="false">IF(G2017="Prospecting",Parâmetros!$B$9,IF(J2017&gt;Parâmetros!$B$6,0,INDEX(Parâmetros!$C$24:$C$26,MATCH(J2017,Parâmetros!$A$24:$A$26,1))))</f>
        <v>0</v>
      </c>
      <c r="M2017" s="31" t="n">
        <f aca="false">IF(G2017="Prospecting",1,INDEX(Parâmetros!$C$32:$C$35,MATCH(J2017,Parâmetros!$A$32:$A$35,1)))</f>
        <v>0.6</v>
      </c>
      <c r="N2017" s="2" t="n">
        <f aca="false">ROUND((K2017+L2017)*M2017,0)</f>
        <v>0</v>
      </c>
      <c r="O2017" s="10" t="str">
        <f aca="false">IF(AND(G2017="Engaging",J2017&gt;Parâmetros!$B$6),"Sim","Não")</f>
        <v>Sim</v>
      </c>
      <c r="P2017" s="32" t="str">
        <f aca="false">IF(O2017="Sim","R",IF(N2017&gt;=Parâmetros!$B$39,"A",IF(N2017&gt;=Parâmetros!$B$40,"B",IF(N2017&gt;=Parâmetros!$B$41,"C","D"))))</f>
        <v>R</v>
      </c>
      <c r="Q2017" s="10" t="str">
        <f aca="false">IF(F2017="","Completar cadastro","")</f>
        <v/>
      </c>
      <c r="R2017" s="10" t="str">
        <f aca="false">INDEX(Parâmetros!$D$39:$D$43,MATCH(P2017,Parâmetros!$A$39:$A$43,0))</f>
        <v>Reciclar: requalificar, reengajar ou encerrar</v>
      </c>
    </row>
    <row r="2018" customFormat="false" ht="15" hidden="false" customHeight="false" outlineLevel="0" collapsed="false">
      <c r="A2018" s="10" t="s">
        <v>2265</v>
      </c>
      <c r="B2018" s="10" t="s">
        <v>71</v>
      </c>
      <c r="C2018" s="10" t="s">
        <v>72</v>
      </c>
      <c r="D2018" s="10" t="s">
        <v>196</v>
      </c>
      <c r="E2018" s="10" t="s">
        <v>52</v>
      </c>
      <c r="F2018" s="10"/>
      <c r="G2018" s="10" t="s">
        <v>162</v>
      </c>
      <c r="H2018" s="30" t="n">
        <v>42943</v>
      </c>
      <c r="I2018" s="8" t="n">
        <f aca="false">INDEX(Parâmetros!$C$13:$C$19,MATCH(E2018,Parâmetros!$A$13:$A$19,0))</f>
        <v>55</v>
      </c>
      <c r="J2018" s="26" t="n">
        <f aca="false">IF(H2018="","",Parâmetros!$B$5-H2018)</f>
        <v>157</v>
      </c>
      <c r="K2018" s="10" t="n">
        <f aca="false">INDEX(Parâmetros!$D$13:$D$19,MATCH(E2018,Parâmetros!$A$13:$A$19,0))</f>
        <v>0</v>
      </c>
      <c r="L2018" s="10" t="n">
        <f aca="false">IF(G2018="Prospecting",Parâmetros!$B$9,IF(J2018&gt;Parâmetros!$B$6,0,INDEX(Parâmetros!$C$24:$C$26,MATCH(J2018,Parâmetros!$A$24:$A$26,1))))</f>
        <v>0</v>
      </c>
      <c r="M2018" s="31" t="n">
        <f aca="false">IF(G2018="Prospecting",1,INDEX(Parâmetros!$C$32:$C$35,MATCH(J2018,Parâmetros!$A$32:$A$35,1)))</f>
        <v>0.6</v>
      </c>
      <c r="N2018" s="2" t="n">
        <f aca="false">ROUND((K2018+L2018)*M2018,0)</f>
        <v>0</v>
      </c>
      <c r="O2018" s="10" t="str">
        <f aca="false">IF(AND(G2018="Engaging",J2018&gt;Parâmetros!$B$6),"Sim","Não")</f>
        <v>Sim</v>
      </c>
      <c r="P2018" s="32" t="str">
        <f aca="false">IF(O2018="Sim","R",IF(N2018&gt;=Parâmetros!$B$39,"A",IF(N2018&gt;=Parâmetros!$B$40,"B",IF(N2018&gt;=Parâmetros!$B$41,"C","D"))))</f>
        <v>R</v>
      </c>
      <c r="Q2018" s="10" t="str">
        <f aca="false">IF(F2018="","Completar cadastro","")</f>
        <v>Completar cadastro</v>
      </c>
      <c r="R2018" s="10" t="str">
        <f aca="false">INDEX(Parâmetros!$D$39:$D$43,MATCH(P2018,Parâmetros!$A$39:$A$43,0))</f>
        <v>Reciclar: requalificar, reengajar ou encerrar</v>
      </c>
    </row>
    <row r="2019" customFormat="false" ht="15" hidden="false" customHeight="false" outlineLevel="0" collapsed="false">
      <c r="A2019" s="10" t="s">
        <v>2266</v>
      </c>
      <c r="B2019" s="10" t="s">
        <v>83</v>
      </c>
      <c r="C2019" s="10" t="s">
        <v>78</v>
      </c>
      <c r="D2019" s="10" t="s">
        <v>196</v>
      </c>
      <c r="E2019" s="10" t="s">
        <v>52</v>
      </c>
      <c r="F2019" s="10"/>
      <c r="G2019" s="10" t="s">
        <v>162</v>
      </c>
      <c r="H2019" s="30" t="n">
        <v>42943</v>
      </c>
      <c r="I2019" s="8" t="n">
        <f aca="false">INDEX(Parâmetros!$C$13:$C$19,MATCH(E2019,Parâmetros!$A$13:$A$19,0))</f>
        <v>55</v>
      </c>
      <c r="J2019" s="26" t="n">
        <f aca="false">IF(H2019="","",Parâmetros!$B$5-H2019)</f>
        <v>157</v>
      </c>
      <c r="K2019" s="10" t="n">
        <f aca="false">INDEX(Parâmetros!$D$13:$D$19,MATCH(E2019,Parâmetros!$A$13:$A$19,0))</f>
        <v>0</v>
      </c>
      <c r="L2019" s="10" t="n">
        <f aca="false">IF(G2019="Prospecting",Parâmetros!$B$9,IF(J2019&gt;Parâmetros!$B$6,0,INDEX(Parâmetros!$C$24:$C$26,MATCH(J2019,Parâmetros!$A$24:$A$26,1))))</f>
        <v>0</v>
      </c>
      <c r="M2019" s="31" t="n">
        <f aca="false">IF(G2019="Prospecting",1,INDEX(Parâmetros!$C$32:$C$35,MATCH(J2019,Parâmetros!$A$32:$A$35,1)))</f>
        <v>0.6</v>
      </c>
      <c r="N2019" s="2" t="n">
        <f aca="false">ROUND((K2019+L2019)*M2019,0)</f>
        <v>0</v>
      </c>
      <c r="O2019" s="10" t="str">
        <f aca="false">IF(AND(G2019="Engaging",J2019&gt;Parâmetros!$B$6),"Sim","Não")</f>
        <v>Sim</v>
      </c>
      <c r="P2019" s="32" t="str">
        <f aca="false">IF(O2019="Sim","R",IF(N2019&gt;=Parâmetros!$B$39,"A",IF(N2019&gt;=Parâmetros!$B$40,"B",IF(N2019&gt;=Parâmetros!$B$41,"C","D"))))</f>
        <v>R</v>
      </c>
      <c r="Q2019" s="10" t="str">
        <f aca="false">IF(F2019="","Completar cadastro","")</f>
        <v>Completar cadastro</v>
      </c>
      <c r="R2019" s="10" t="str">
        <f aca="false">INDEX(Parâmetros!$D$39:$D$43,MATCH(P2019,Parâmetros!$A$39:$A$43,0))</f>
        <v>Reciclar: requalificar, reengajar ou encerrar</v>
      </c>
    </row>
    <row r="2020" customFormat="false" ht="15" hidden="false" customHeight="false" outlineLevel="0" collapsed="false">
      <c r="A2020" s="10" t="s">
        <v>2267</v>
      </c>
      <c r="B2020" s="10" t="s">
        <v>76</v>
      </c>
      <c r="C2020" s="10" t="s">
        <v>72</v>
      </c>
      <c r="D2020" s="10" t="s">
        <v>196</v>
      </c>
      <c r="E2020" s="10" t="s">
        <v>52</v>
      </c>
      <c r="F2020" s="10"/>
      <c r="G2020" s="10" t="s">
        <v>162</v>
      </c>
      <c r="H2020" s="30" t="n">
        <v>42943</v>
      </c>
      <c r="I2020" s="8" t="n">
        <f aca="false">INDEX(Parâmetros!$C$13:$C$19,MATCH(E2020,Parâmetros!$A$13:$A$19,0))</f>
        <v>55</v>
      </c>
      <c r="J2020" s="26" t="n">
        <f aca="false">IF(H2020="","",Parâmetros!$B$5-H2020)</f>
        <v>157</v>
      </c>
      <c r="K2020" s="10" t="n">
        <f aca="false">INDEX(Parâmetros!$D$13:$D$19,MATCH(E2020,Parâmetros!$A$13:$A$19,0))</f>
        <v>0</v>
      </c>
      <c r="L2020" s="10" t="n">
        <f aca="false">IF(G2020="Prospecting",Parâmetros!$B$9,IF(J2020&gt;Parâmetros!$B$6,0,INDEX(Parâmetros!$C$24:$C$26,MATCH(J2020,Parâmetros!$A$24:$A$26,1))))</f>
        <v>0</v>
      </c>
      <c r="M2020" s="31" t="n">
        <f aca="false">IF(G2020="Prospecting",1,INDEX(Parâmetros!$C$32:$C$35,MATCH(J2020,Parâmetros!$A$32:$A$35,1)))</f>
        <v>0.6</v>
      </c>
      <c r="N2020" s="2" t="n">
        <f aca="false">ROUND((K2020+L2020)*M2020,0)</f>
        <v>0</v>
      </c>
      <c r="O2020" s="10" t="str">
        <f aca="false">IF(AND(G2020="Engaging",J2020&gt;Parâmetros!$B$6),"Sim","Não")</f>
        <v>Sim</v>
      </c>
      <c r="P2020" s="32" t="str">
        <f aca="false">IF(O2020="Sim","R",IF(N2020&gt;=Parâmetros!$B$39,"A",IF(N2020&gt;=Parâmetros!$B$40,"B",IF(N2020&gt;=Parâmetros!$B$41,"C","D"))))</f>
        <v>R</v>
      </c>
      <c r="Q2020" s="10" t="str">
        <f aca="false">IF(F2020="","Completar cadastro","")</f>
        <v>Completar cadastro</v>
      </c>
      <c r="R2020" s="10" t="str">
        <f aca="false">INDEX(Parâmetros!$D$39:$D$43,MATCH(P2020,Parâmetros!$A$39:$A$43,0))</f>
        <v>Reciclar: requalificar, reengajar ou encerrar</v>
      </c>
    </row>
    <row r="2021" customFormat="false" ht="15" hidden="false" customHeight="false" outlineLevel="0" collapsed="false">
      <c r="A2021" s="10" t="s">
        <v>2268</v>
      </c>
      <c r="B2021" s="10" t="s">
        <v>71</v>
      </c>
      <c r="C2021" s="10" t="s">
        <v>72</v>
      </c>
      <c r="D2021" s="10" t="s">
        <v>196</v>
      </c>
      <c r="E2021" s="10" t="s">
        <v>52</v>
      </c>
      <c r="F2021" s="10"/>
      <c r="G2021" s="10" t="s">
        <v>162</v>
      </c>
      <c r="H2021" s="30" t="n">
        <v>42944</v>
      </c>
      <c r="I2021" s="8" t="n">
        <f aca="false">INDEX(Parâmetros!$C$13:$C$19,MATCH(E2021,Parâmetros!$A$13:$A$19,0))</f>
        <v>55</v>
      </c>
      <c r="J2021" s="26" t="n">
        <f aca="false">IF(H2021="","",Parâmetros!$B$5-H2021)</f>
        <v>156</v>
      </c>
      <c r="K2021" s="10" t="n">
        <f aca="false">INDEX(Parâmetros!$D$13:$D$19,MATCH(E2021,Parâmetros!$A$13:$A$19,0))</f>
        <v>0</v>
      </c>
      <c r="L2021" s="10" t="n">
        <f aca="false">IF(G2021="Prospecting",Parâmetros!$B$9,IF(J2021&gt;Parâmetros!$B$6,0,INDEX(Parâmetros!$C$24:$C$26,MATCH(J2021,Parâmetros!$A$24:$A$26,1))))</f>
        <v>0</v>
      </c>
      <c r="M2021" s="31" t="n">
        <f aca="false">IF(G2021="Prospecting",1,INDEX(Parâmetros!$C$32:$C$35,MATCH(J2021,Parâmetros!$A$32:$A$35,1)))</f>
        <v>0.6</v>
      </c>
      <c r="N2021" s="2" t="n">
        <f aca="false">ROUND((K2021+L2021)*M2021,0)</f>
        <v>0</v>
      </c>
      <c r="O2021" s="10" t="str">
        <f aca="false">IF(AND(G2021="Engaging",J2021&gt;Parâmetros!$B$6),"Sim","Não")</f>
        <v>Sim</v>
      </c>
      <c r="P2021" s="32" t="str">
        <f aca="false">IF(O2021="Sim","R",IF(N2021&gt;=Parâmetros!$B$39,"A",IF(N2021&gt;=Parâmetros!$B$40,"B",IF(N2021&gt;=Parâmetros!$B$41,"C","D"))))</f>
        <v>R</v>
      </c>
      <c r="Q2021" s="10" t="str">
        <f aca="false">IF(F2021="","Completar cadastro","")</f>
        <v>Completar cadastro</v>
      </c>
      <c r="R2021" s="10" t="str">
        <f aca="false">INDEX(Parâmetros!$D$39:$D$43,MATCH(P2021,Parâmetros!$A$39:$A$43,0))</f>
        <v>Reciclar: requalificar, reengajar ou encerrar</v>
      </c>
    </row>
    <row r="2022" customFormat="false" ht="15" hidden="false" customHeight="false" outlineLevel="0" collapsed="false">
      <c r="A2022" s="10" t="s">
        <v>2269</v>
      </c>
      <c r="B2022" s="10" t="s">
        <v>77</v>
      </c>
      <c r="C2022" s="10" t="s">
        <v>78</v>
      </c>
      <c r="D2022" s="10" t="s">
        <v>196</v>
      </c>
      <c r="E2022" s="10" t="s">
        <v>52</v>
      </c>
      <c r="F2022" s="10"/>
      <c r="G2022" s="10" t="s">
        <v>162</v>
      </c>
      <c r="H2022" s="30" t="n">
        <v>42944</v>
      </c>
      <c r="I2022" s="8" t="n">
        <f aca="false">INDEX(Parâmetros!$C$13:$C$19,MATCH(E2022,Parâmetros!$A$13:$A$19,0))</f>
        <v>55</v>
      </c>
      <c r="J2022" s="26" t="n">
        <f aca="false">IF(H2022="","",Parâmetros!$B$5-H2022)</f>
        <v>156</v>
      </c>
      <c r="K2022" s="10" t="n">
        <f aca="false">INDEX(Parâmetros!$D$13:$D$19,MATCH(E2022,Parâmetros!$A$13:$A$19,0))</f>
        <v>0</v>
      </c>
      <c r="L2022" s="10" t="n">
        <f aca="false">IF(G2022="Prospecting",Parâmetros!$B$9,IF(J2022&gt;Parâmetros!$B$6,0,INDEX(Parâmetros!$C$24:$C$26,MATCH(J2022,Parâmetros!$A$24:$A$26,1))))</f>
        <v>0</v>
      </c>
      <c r="M2022" s="31" t="n">
        <f aca="false">IF(G2022="Prospecting",1,INDEX(Parâmetros!$C$32:$C$35,MATCH(J2022,Parâmetros!$A$32:$A$35,1)))</f>
        <v>0.6</v>
      </c>
      <c r="N2022" s="2" t="n">
        <f aca="false">ROUND((K2022+L2022)*M2022,0)</f>
        <v>0</v>
      </c>
      <c r="O2022" s="10" t="str">
        <f aca="false">IF(AND(G2022="Engaging",J2022&gt;Parâmetros!$B$6),"Sim","Não")</f>
        <v>Sim</v>
      </c>
      <c r="P2022" s="32" t="str">
        <f aca="false">IF(O2022="Sim","R",IF(N2022&gt;=Parâmetros!$B$39,"A",IF(N2022&gt;=Parâmetros!$B$40,"B",IF(N2022&gt;=Parâmetros!$B$41,"C","D"))))</f>
        <v>R</v>
      </c>
      <c r="Q2022" s="10" t="str">
        <f aca="false">IF(F2022="","Completar cadastro","")</f>
        <v>Completar cadastro</v>
      </c>
      <c r="R2022" s="10" t="str">
        <f aca="false">INDEX(Parâmetros!$D$39:$D$43,MATCH(P2022,Parâmetros!$A$39:$A$43,0))</f>
        <v>Reciclar: requalificar, reengajar ou encerrar</v>
      </c>
    </row>
    <row r="2023" customFormat="false" ht="15" hidden="false" customHeight="false" outlineLevel="0" collapsed="false">
      <c r="A2023" s="10" t="s">
        <v>2270</v>
      </c>
      <c r="B2023" s="10" t="s">
        <v>74</v>
      </c>
      <c r="C2023" s="10" t="s">
        <v>72</v>
      </c>
      <c r="D2023" s="10" t="s">
        <v>196</v>
      </c>
      <c r="E2023" s="10" t="s">
        <v>52</v>
      </c>
      <c r="F2023" s="10" t="s">
        <v>344</v>
      </c>
      <c r="G2023" s="10" t="s">
        <v>162</v>
      </c>
      <c r="H2023" s="30" t="n">
        <v>42944</v>
      </c>
      <c r="I2023" s="8" t="n">
        <f aca="false">INDEX(Parâmetros!$C$13:$C$19,MATCH(E2023,Parâmetros!$A$13:$A$19,0))</f>
        <v>55</v>
      </c>
      <c r="J2023" s="26" t="n">
        <f aca="false">IF(H2023="","",Parâmetros!$B$5-H2023)</f>
        <v>156</v>
      </c>
      <c r="K2023" s="10" t="n">
        <f aca="false">INDEX(Parâmetros!$D$13:$D$19,MATCH(E2023,Parâmetros!$A$13:$A$19,0))</f>
        <v>0</v>
      </c>
      <c r="L2023" s="10" t="n">
        <f aca="false">IF(G2023="Prospecting",Parâmetros!$B$9,IF(J2023&gt;Parâmetros!$B$6,0,INDEX(Parâmetros!$C$24:$C$26,MATCH(J2023,Parâmetros!$A$24:$A$26,1))))</f>
        <v>0</v>
      </c>
      <c r="M2023" s="31" t="n">
        <f aca="false">IF(G2023="Prospecting",1,INDEX(Parâmetros!$C$32:$C$35,MATCH(J2023,Parâmetros!$A$32:$A$35,1)))</f>
        <v>0.6</v>
      </c>
      <c r="N2023" s="2" t="n">
        <f aca="false">ROUND((K2023+L2023)*M2023,0)</f>
        <v>0</v>
      </c>
      <c r="O2023" s="10" t="str">
        <f aca="false">IF(AND(G2023="Engaging",J2023&gt;Parâmetros!$B$6),"Sim","Não")</f>
        <v>Sim</v>
      </c>
      <c r="P2023" s="32" t="str">
        <f aca="false">IF(O2023="Sim","R",IF(N2023&gt;=Parâmetros!$B$39,"A",IF(N2023&gt;=Parâmetros!$B$40,"B",IF(N2023&gt;=Parâmetros!$B$41,"C","D"))))</f>
        <v>R</v>
      </c>
      <c r="Q2023" s="10" t="str">
        <f aca="false">IF(F2023="","Completar cadastro","")</f>
        <v/>
      </c>
      <c r="R2023" s="10" t="str">
        <f aca="false">INDEX(Parâmetros!$D$39:$D$43,MATCH(P2023,Parâmetros!$A$39:$A$43,0))</f>
        <v>Reciclar: requalificar, reengajar ou encerrar</v>
      </c>
    </row>
    <row r="2024" customFormat="false" ht="15" hidden="false" customHeight="false" outlineLevel="0" collapsed="false">
      <c r="A2024" s="10" t="s">
        <v>2271</v>
      </c>
      <c r="B2024" s="10" t="s">
        <v>75</v>
      </c>
      <c r="C2024" s="10" t="s">
        <v>72</v>
      </c>
      <c r="D2024" s="10" t="s">
        <v>196</v>
      </c>
      <c r="E2024" s="10" t="s">
        <v>52</v>
      </c>
      <c r="F2024" s="10"/>
      <c r="G2024" s="10" t="s">
        <v>162</v>
      </c>
      <c r="H2024" s="30" t="n">
        <v>42944</v>
      </c>
      <c r="I2024" s="8" t="n">
        <f aca="false">INDEX(Parâmetros!$C$13:$C$19,MATCH(E2024,Parâmetros!$A$13:$A$19,0))</f>
        <v>55</v>
      </c>
      <c r="J2024" s="26" t="n">
        <f aca="false">IF(H2024="","",Parâmetros!$B$5-H2024)</f>
        <v>156</v>
      </c>
      <c r="K2024" s="10" t="n">
        <f aca="false">INDEX(Parâmetros!$D$13:$D$19,MATCH(E2024,Parâmetros!$A$13:$A$19,0))</f>
        <v>0</v>
      </c>
      <c r="L2024" s="10" t="n">
        <f aca="false">IF(G2024="Prospecting",Parâmetros!$B$9,IF(J2024&gt;Parâmetros!$B$6,0,INDEX(Parâmetros!$C$24:$C$26,MATCH(J2024,Parâmetros!$A$24:$A$26,1))))</f>
        <v>0</v>
      </c>
      <c r="M2024" s="31" t="n">
        <f aca="false">IF(G2024="Prospecting",1,INDEX(Parâmetros!$C$32:$C$35,MATCH(J2024,Parâmetros!$A$32:$A$35,1)))</f>
        <v>0.6</v>
      </c>
      <c r="N2024" s="2" t="n">
        <f aca="false">ROUND((K2024+L2024)*M2024,0)</f>
        <v>0</v>
      </c>
      <c r="O2024" s="10" t="str">
        <f aca="false">IF(AND(G2024="Engaging",J2024&gt;Parâmetros!$B$6),"Sim","Não")</f>
        <v>Sim</v>
      </c>
      <c r="P2024" s="32" t="str">
        <f aca="false">IF(O2024="Sim","R",IF(N2024&gt;=Parâmetros!$B$39,"A",IF(N2024&gt;=Parâmetros!$B$40,"B",IF(N2024&gt;=Parâmetros!$B$41,"C","D"))))</f>
        <v>R</v>
      </c>
      <c r="Q2024" s="10" t="str">
        <f aca="false">IF(F2024="","Completar cadastro","")</f>
        <v>Completar cadastro</v>
      </c>
      <c r="R2024" s="10" t="str">
        <f aca="false">INDEX(Parâmetros!$D$39:$D$43,MATCH(P2024,Parâmetros!$A$39:$A$43,0))</f>
        <v>Reciclar: requalificar, reengajar ou encerrar</v>
      </c>
    </row>
    <row r="2025" customFormat="false" ht="15" hidden="false" customHeight="false" outlineLevel="0" collapsed="false">
      <c r="A2025" s="10" t="s">
        <v>2272</v>
      </c>
      <c r="B2025" s="10" t="s">
        <v>73</v>
      </c>
      <c r="C2025" s="10" t="s">
        <v>72</v>
      </c>
      <c r="D2025" s="10" t="s">
        <v>196</v>
      </c>
      <c r="E2025" s="10" t="s">
        <v>52</v>
      </c>
      <c r="F2025" s="10"/>
      <c r="G2025" s="10" t="s">
        <v>162</v>
      </c>
      <c r="H2025" s="30" t="n">
        <v>42945</v>
      </c>
      <c r="I2025" s="8" t="n">
        <f aca="false">INDEX(Parâmetros!$C$13:$C$19,MATCH(E2025,Parâmetros!$A$13:$A$19,0))</f>
        <v>55</v>
      </c>
      <c r="J2025" s="26" t="n">
        <f aca="false">IF(H2025="","",Parâmetros!$B$5-H2025)</f>
        <v>155</v>
      </c>
      <c r="K2025" s="10" t="n">
        <f aca="false">INDEX(Parâmetros!$D$13:$D$19,MATCH(E2025,Parâmetros!$A$13:$A$19,0))</f>
        <v>0</v>
      </c>
      <c r="L2025" s="10" t="n">
        <f aca="false">IF(G2025="Prospecting",Parâmetros!$B$9,IF(J2025&gt;Parâmetros!$B$6,0,INDEX(Parâmetros!$C$24:$C$26,MATCH(J2025,Parâmetros!$A$24:$A$26,1))))</f>
        <v>0</v>
      </c>
      <c r="M2025" s="31" t="n">
        <f aca="false">IF(G2025="Prospecting",1,INDEX(Parâmetros!$C$32:$C$35,MATCH(J2025,Parâmetros!$A$32:$A$35,1)))</f>
        <v>0.6</v>
      </c>
      <c r="N2025" s="2" t="n">
        <f aca="false">ROUND((K2025+L2025)*M2025,0)</f>
        <v>0</v>
      </c>
      <c r="O2025" s="10" t="str">
        <f aca="false">IF(AND(G2025="Engaging",J2025&gt;Parâmetros!$B$6),"Sim","Não")</f>
        <v>Sim</v>
      </c>
      <c r="P2025" s="32" t="str">
        <f aca="false">IF(O2025="Sim","R",IF(N2025&gt;=Parâmetros!$B$39,"A",IF(N2025&gt;=Parâmetros!$B$40,"B",IF(N2025&gt;=Parâmetros!$B$41,"C","D"))))</f>
        <v>R</v>
      </c>
      <c r="Q2025" s="10" t="str">
        <f aca="false">IF(F2025="","Completar cadastro","")</f>
        <v>Completar cadastro</v>
      </c>
      <c r="R2025" s="10" t="str">
        <f aca="false">INDEX(Parâmetros!$D$39:$D$43,MATCH(P2025,Parâmetros!$A$39:$A$43,0))</f>
        <v>Reciclar: requalificar, reengajar ou encerrar</v>
      </c>
    </row>
    <row r="2026" customFormat="false" ht="15" hidden="false" customHeight="false" outlineLevel="0" collapsed="false">
      <c r="A2026" s="10" t="s">
        <v>2273</v>
      </c>
      <c r="B2026" s="10" t="s">
        <v>77</v>
      </c>
      <c r="C2026" s="10" t="s">
        <v>78</v>
      </c>
      <c r="D2026" s="10" t="s">
        <v>196</v>
      </c>
      <c r="E2026" s="10" t="s">
        <v>52</v>
      </c>
      <c r="F2026" s="10" t="s">
        <v>606</v>
      </c>
      <c r="G2026" s="10" t="s">
        <v>162</v>
      </c>
      <c r="H2026" s="30" t="n">
        <v>42945</v>
      </c>
      <c r="I2026" s="8" t="n">
        <f aca="false">INDEX(Parâmetros!$C$13:$C$19,MATCH(E2026,Parâmetros!$A$13:$A$19,0))</f>
        <v>55</v>
      </c>
      <c r="J2026" s="26" t="n">
        <f aca="false">IF(H2026="","",Parâmetros!$B$5-H2026)</f>
        <v>155</v>
      </c>
      <c r="K2026" s="10" t="n">
        <f aca="false">INDEX(Parâmetros!$D$13:$D$19,MATCH(E2026,Parâmetros!$A$13:$A$19,0))</f>
        <v>0</v>
      </c>
      <c r="L2026" s="10" t="n">
        <f aca="false">IF(G2026="Prospecting",Parâmetros!$B$9,IF(J2026&gt;Parâmetros!$B$6,0,INDEX(Parâmetros!$C$24:$C$26,MATCH(J2026,Parâmetros!$A$24:$A$26,1))))</f>
        <v>0</v>
      </c>
      <c r="M2026" s="31" t="n">
        <f aca="false">IF(G2026="Prospecting",1,INDEX(Parâmetros!$C$32:$C$35,MATCH(J2026,Parâmetros!$A$32:$A$35,1)))</f>
        <v>0.6</v>
      </c>
      <c r="N2026" s="2" t="n">
        <f aca="false">ROUND((K2026+L2026)*M2026,0)</f>
        <v>0</v>
      </c>
      <c r="O2026" s="10" t="str">
        <f aca="false">IF(AND(G2026="Engaging",J2026&gt;Parâmetros!$B$6),"Sim","Não")</f>
        <v>Sim</v>
      </c>
      <c r="P2026" s="32" t="str">
        <f aca="false">IF(O2026="Sim","R",IF(N2026&gt;=Parâmetros!$B$39,"A",IF(N2026&gt;=Parâmetros!$B$40,"B",IF(N2026&gt;=Parâmetros!$B$41,"C","D"))))</f>
        <v>R</v>
      </c>
      <c r="Q2026" s="10" t="str">
        <f aca="false">IF(F2026="","Completar cadastro","")</f>
        <v/>
      </c>
      <c r="R2026" s="10" t="str">
        <f aca="false">INDEX(Parâmetros!$D$39:$D$43,MATCH(P2026,Parâmetros!$A$39:$A$43,0))</f>
        <v>Reciclar: requalificar, reengajar ou encerrar</v>
      </c>
    </row>
    <row r="2027" customFormat="false" ht="15" hidden="false" customHeight="false" outlineLevel="0" collapsed="false">
      <c r="A2027" s="10" t="s">
        <v>2274</v>
      </c>
      <c r="B2027" s="10" t="s">
        <v>79</v>
      </c>
      <c r="C2027" s="10" t="s">
        <v>78</v>
      </c>
      <c r="D2027" s="10" t="s">
        <v>196</v>
      </c>
      <c r="E2027" s="10" t="s">
        <v>52</v>
      </c>
      <c r="F2027" s="10"/>
      <c r="G2027" s="10" t="s">
        <v>162</v>
      </c>
      <c r="H2027" s="30" t="n">
        <v>42945</v>
      </c>
      <c r="I2027" s="8" t="n">
        <f aca="false">INDEX(Parâmetros!$C$13:$C$19,MATCH(E2027,Parâmetros!$A$13:$A$19,0))</f>
        <v>55</v>
      </c>
      <c r="J2027" s="26" t="n">
        <f aca="false">IF(H2027="","",Parâmetros!$B$5-H2027)</f>
        <v>155</v>
      </c>
      <c r="K2027" s="10" t="n">
        <f aca="false">INDEX(Parâmetros!$D$13:$D$19,MATCH(E2027,Parâmetros!$A$13:$A$19,0))</f>
        <v>0</v>
      </c>
      <c r="L2027" s="10" t="n">
        <f aca="false">IF(G2027="Prospecting",Parâmetros!$B$9,IF(J2027&gt;Parâmetros!$B$6,0,INDEX(Parâmetros!$C$24:$C$26,MATCH(J2027,Parâmetros!$A$24:$A$26,1))))</f>
        <v>0</v>
      </c>
      <c r="M2027" s="31" t="n">
        <f aca="false">IF(G2027="Prospecting",1,INDEX(Parâmetros!$C$32:$C$35,MATCH(J2027,Parâmetros!$A$32:$A$35,1)))</f>
        <v>0.6</v>
      </c>
      <c r="N2027" s="2" t="n">
        <f aca="false">ROUND((K2027+L2027)*M2027,0)</f>
        <v>0</v>
      </c>
      <c r="O2027" s="10" t="str">
        <f aca="false">IF(AND(G2027="Engaging",J2027&gt;Parâmetros!$B$6),"Sim","Não")</f>
        <v>Sim</v>
      </c>
      <c r="P2027" s="32" t="str">
        <f aca="false">IF(O2027="Sim","R",IF(N2027&gt;=Parâmetros!$B$39,"A",IF(N2027&gt;=Parâmetros!$B$40,"B",IF(N2027&gt;=Parâmetros!$B$41,"C","D"))))</f>
        <v>R</v>
      </c>
      <c r="Q2027" s="10" t="str">
        <f aca="false">IF(F2027="","Completar cadastro","")</f>
        <v>Completar cadastro</v>
      </c>
      <c r="R2027" s="10" t="str">
        <f aca="false">INDEX(Parâmetros!$D$39:$D$43,MATCH(P2027,Parâmetros!$A$39:$A$43,0))</f>
        <v>Reciclar: requalificar, reengajar ou encerrar</v>
      </c>
    </row>
    <row r="2028" customFormat="false" ht="15" hidden="false" customHeight="false" outlineLevel="0" collapsed="false">
      <c r="A2028" s="10" t="s">
        <v>2275</v>
      </c>
      <c r="B2028" s="10" t="s">
        <v>80</v>
      </c>
      <c r="C2028" s="10" t="s">
        <v>78</v>
      </c>
      <c r="D2028" s="10" t="s">
        <v>196</v>
      </c>
      <c r="E2028" s="10" t="s">
        <v>52</v>
      </c>
      <c r="F2028" s="10"/>
      <c r="G2028" s="10" t="s">
        <v>162</v>
      </c>
      <c r="H2028" s="30" t="n">
        <v>42945</v>
      </c>
      <c r="I2028" s="8" t="n">
        <f aca="false">INDEX(Parâmetros!$C$13:$C$19,MATCH(E2028,Parâmetros!$A$13:$A$19,0))</f>
        <v>55</v>
      </c>
      <c r="J2028" s="26" t="n">
        <f aca="false">IF(H2028="","",Parâmetros!$B$5-H2028)</f>
        <v>155</v>
      </c>
      <c r="K2028" s="10" t="n">
        <f aca="false">INDEX(Parâmetros!$D$13:$D$19,MATCH(E2028,Parâmetros!$A$13:$A$19,0))</f>
        <v>0</v>
      </c>
      <c r="L2028" s="10" t="n">
        <f aca="false">IF(G2028="Prospecting",Parâmetros!$B$9,IF(J2028&gt;Parâmetros!$B$6,0,INDEX(Parâmetros!$C$24:$C$26,MATCH(J2028,Parâmetros!$A$24:$A$26,1))))</f>
        <v>0</v>
      </c>
      <c r="M2028" s="31" t="n">
        <f aca="false">IF(G2028="Prospecting",1,INDEX(Parâmetros!$C$32:$C$35,MATCH(J2028,Parâmetros!$A$32:$A$35,1)))</f>
        <v>0.6</v>
      </c>
      <c r="N2028" s="2" t="n">
        <f aca="false">ROUND((K2028+L2028)*M2028,0)</f>
        <v>0</v>
      </c>
      <c r="O2028" s="10" t="str">
        <f aca="false">IF(AND(G2028="Engaging",J2028&gt;Parâmetros!$B$6),"Sim","Não")</f>
        <v>Sim</v>
      </c>
      <c r="P2028" s="32" t="str">
        <f aca="false">IF(O2028="Sim","R",IF(N2028&gt;=Parâmetros!$B$39,"A",IF(N2028&gt;=Parâmetros!$B$40,"B",IF(N2028&gt;=Parâmetros!$B$41,"C","D"))))</f>
        <v>R</v>
      </c>
      <c r="Q2028" s="10" t="str">
        <f aca="false">IF(F2028="","Completar cadastro","")</f>
        <v>Completar cadastro</v>
      </c>
      <c r="R2028" s="10" t="str">
        <f aca="false">INDEX(Parâmetros!$D$39:$D$43,MATCH(P2028,Parâmetros!$A$39:$A$43,0))</f>
        <v>Reciclar: requalificar, reengajar ou encerrar</v>
      </c>
    </row>
    <row r="2029" customFormat="false" ht="15" hidden="false" customHeight="false" outlineLevel="0" collapsed="false">
      <c r="A2029" s="10" t="s">
        <v>2276</v>
      </c>
      <c r="B2029" s="10" t="s">
        <v>74</v>
      </c>
      <c r="C2029" s="10" t="s">
        <v>72</v>
      </c>
      <c r="D2029" s="10" t="s">
        <v>196</v>
      </c>
      <c r="E2029" s="10" t="s">
        <v>52</v>
      </c>
      <c r="F2029" s="10" t="s">
        <v>536</v>
      </c>
      <c r="G2029" s="10" t="s">
        <v>162</v>
      </c>
      <c r="H2029" s="30" t="n">
        <v>42945</v>
      </c>
      <c r="I2029" s="8" t="n">
        <f aca="false">INDEX(Parâmetros!$C$13:$C$19,MATCH(E2029,Parâmetros!$A$13:$A$19,0))</f>
        <v>55</v>
      </c>
      <c r="J2029" s="26" t="n">
        <f aca="false">IF(H2029="","",Parâmetros!$B$5-H2029)</f>
        <v>155</v>
      </c>
      <c r="K2029" s="10" t="n">
        <f aca="false">INDEX(Parâmetros!$D$13:$D$19,MATCH(E2029,Parâmetros!$A$13:$A$19,0))</f>
        <v>0</v>
      </c>
      <c r="L2029" s="10" t="n">
        <f aca="false">IF(G2029="Prospecting",Parâmetros!$B$9,IF(J2029&gt;Parâmetros!$B$6,0,INDEX(Parâmetros!$C$24:$C$26,MATCH(J2029,Parâmetros!$A$24:$A$26,1))))</f>
        <v>0</v>
      </c>
      <c r="M2029" s="31" t="n">
        <f aca="false">IF(G2029="Prospecting",1,INDEX(Parâmetros!$C$32:$C$35,MATCH(J2029,Parâmetros!$A$32:$A$35,1)))</f>
        <v>0.6</v>
      </c>
      <c r="N2029" s="2" t="n">
        <f aca="false">ROUND((K2029+L2029)*M2029,0)</f>
        <v>0</v>
      </c>
      <c r="O2029" s="10" t="str">
        <f aca="false">IF(AND(G2029="Engaging",J2029&gt;Parâmetros!$B$6),"Sim","Não")</f>
        <v>Sim</v>
      </c>
      <c r="P2029" s="32" t="str">
        <f aca="false">IF(O2029="Sim","R",IF(N2029&gt;=Parâmetros!$B$39,"A",IF(N2029&gt;=Parâmetros!$B$40,"B",IF(N2029&gt;=Parâmetros!$B$41,"C","D"))))</f>
        <v>R</v>
      </c>
      <c r="Q2029" s="10" t="str">
        <f aca="false">IF(F2029="","Completar cadastro","")</f>
        <v/>
      </c>
      <c r="R2029" s="10" t="str">
        <f aca="false">INDEX(Parâmetros!$D$39:$D$43,MATCH(P2029,Parâmetros!$A$39:$A$43,0))</f>
        <v>Reciclar: requalificar, reengajar ou encerrar</v>
      </c>
    </row>
    <row r="2030" customFormat="false" ht="15" hidden="false" customHeight="false" outlineLevel="0" collapsed="false">
      <c r="A2030" s="10" t="s">
        <v>2277</v>
      </c>
      <c r="B2030" s="10" t="s">
        <v>76</v>
      </c>
      <c r="C2030" s="10" t="s">
        <v>72</v>
      </c>
      <c r="D2030" s="10" t="s">
        <v>196</v>
      </c>
      <c r="E2030" s="10" t="s">
        <v>52</v>
      </c>
      <c r="F2030" s="10" t="s">
        <v>532</v>
      </c>
      <c r="G2030" s="10" t="s">
        <v>162</v>
      </c>
      <c r="H2030" s="30" t="n">
        <v>42945</v>
      </c>
      <c r="I2030" s="8" t="n">
        <f aca="false">INDEX(Parâmetros!$C$13:$C$19,MATCH(E2030,Parâmetros!$A$13:$A$19,0))</f>
        <v>55</v>
      </c>
      <c r="J2030" s="26" t="n">
        <f aca="false">IF(H2030="","",Parâmetros!$B$5-H2030)</f>
        <v>155</v>
      </c>
      <c r="K2030" s="10" t="n">
        <f aca="false">INDEX(Parâmetros!$D$13:$D$19,MATCH(E2030,Parâmetros!$A$13:$A$19,0))</f>
        <v>0</v>
      </c>
      <c r="L2030" s="10" t="n">
        <f aca="false">IF(G2030="Prospecting",Parâmetros!$B$9,IF(J2030&gt;Parâmetros!$B$6,0,INDEX(Parâmetros!$C$24:$C$26,MATCH(J2030,Parâmetros!$A$24:$A$26,1))))</f>
        <v>0</v>
      </c>
      <c r="M2030" s="31" t="n">
        <f aca="false">IF(G2030="Prospecting",1,INDEX(Parâmetros!$C$32:$C$35,MATCH(J2030,Parâmetros!$A$32:$A$35,1)))</f>
        <v>0.6</v>
      </c>
      <c r="N2030" s="2" t="n">
        <f aca="false">ROUND((K2030+L2030)*M2030,0)</f>
        <v>0</v>
      </c>
      <c r="O2030" s="10" t="str">
        <f aca="false">IF(AND(G2030="Engaging",J2030&gt;Parâmetros!$B$6),"Sim","Não")</f>
        <v>Sim</v>
      </c>
      <c r="P2030" s="32" t="str">
        <f aca="false">IF(O2030="Sim","R",IF(N2030&gt;=Parâmetros!$B$39,"A",IF(N2030&gt;=Parâmetros!$B$40,"B",IF(N2030&gt;=Parâmetros!$B$41,"C","D"))))</f>
        <v>R</v>
      </c>
      <c r="Q2030" s="10" t="str">
        <f aca="false">IF(F2030="","Completar cadastro","")</f>
        <v/>
      </c>
      <c r="R2030" s="10" t="str">
        <f aca="false">INDEX(Parâmetros!$D$39:$D$43,MATCH(P2030,Parâmetros!$A$39:$A$43,0))</f>
        <v>Reciclar: requalificar, reengajar ou encerrar</v>
      </c>
    </row>
    <row r="2031" customFormat="false" ht="15" hidden="false" customHeight="false" outlineLevel="0" collapsed="false">
      <c r="A2031" s="10" t="s">
        <v>2278</v>
      </c>
      <c r="B2031" s="10" t="s">
        <v>76</v>
      </c>
      <c r="C2031" s="10" t="s">
        <v>72</v>
      </c>
      <c r="D2031" s="10" t="s">
        <v>196</v>
      </c>
      <c r="E2031" s="10" t="s">
        <v>52</v>
      </c>
      <c r="F2031" s="10"/>
      <c r="G2031" s="10" t="s">
        <v>162</v>
      </c>
      <c r="H2031" s="30" t="n">
        <v>42945</v>
      </c>
      <c r="I2031" s="8" t="n">
        <f aca="false">INDEX(Parâmetros!$C$13:$C$19,MATCH(E2031,Parâmetros!$A$13:$A$19,0))</f>
        <v>55</v>
      </c>
      <c r="J2031" s="26" t="n">
        <f aca="false">IF(H2031="","",Parâmetros!$B$5-H2031)</f>
        <v>155</v>
      </c>
      <c r="K2031" s="10" t="n">
        <f aca="false">INDEX(Parâmetros!$D$13:$D$19,MATCH(E2031,Parâmetros!$A$13:$A$19,0))</f>
        <v>0</v>
      </c>
      <c r="L2031" s="10" t="n">
        <f aca="false">IF(G2031="Prospecting",Parâmetros!$B$9,IF(J2031&gt;Parâmetros!$B$6,0,INDEX(Parâmetros!$C$24:$C$26,MATCH(J2031,Parâmetros!$A$24:$A$26,1))))</f>
        <v>0</v>
      </c>
      <c r="M2031" s="31" t="n">
        <f aca="false">IF(G2031="Prospecting",1,INDEX(Parâmetros!$C$32:$C$35,MATCH(J2031,Parâmetros!$A$32:$A$35,1)))</f>
        <v>0.6</v>
      </c>
      <c r="N2031" s="2" t="n">
        <f aca="false">ROUND((K2031+L2031)*M2031,0)</f>
        <v>0</v>
      </c>
      <c r="O2031" s="10" t="str">
        <f aca="false">IF(AND(G2031="Engaging",J2031&gt;Parâmetros!$B$6),"Sim","Não")</f>
        <v>Sim</v>
      </c>
      <c r="P2031" s="32" t="str">
        <f aca="false">IF(O2031="Sim","R",IF(N2031&gt;=Parâmetros!$B$39,"A",IF(N2031&gt;=Parâmetros!$B$40,"B",IF(N2031&gt;=Parâmetros!$B$41,"C","D"))))</f>
        <v>R</v>
      </c>
      <c r="Q2031" s="10" t="str">
        <f aca="false">IF(F2031="","Completar cadastro","")</f>
        <v>Completar cadastro</v>
      </c>
      <c r="R2031" s="10" t="str">
        <f aca="false">INDEX(Parâmetros!$D$39:$D$43,MATCH(P2031,Parâmetros!$A$39:$A$43,0))</f>
        <v>Reciclar: requalificar, reengajar ou encerrar</v>
      </c>
    </row>
    <row r="2032" customFormat="false" ht="15" hidden="false" customHeight="false" outlineLevel="0" collapsed="false">
      <c r="A2032" s="10" t="s">
        <v>2279</v>
      </c>
      <c r="B2032" s="10" t="s">
        <v>71</v>
      </c>
      <c r="C2032" s="10" t="s">
        <v>72</v>
      </c>
      <c r="D2032" s="10" t="s">
        <v>196</v>
      </c>
      <c r="E2032" s="10" t="s">
        <v>52</v>
      </c>
      <c r="F2032" s="10"/>
      <c r="G2032" s="10" t="s">
        <v>162</v>
      </c>
      <c r="H2032" s="30" t="n">
        <v>42946</v>
      </c>
      <c r="I2032" s="8" t="n">
        <f aca="false">INDEX(Parâmetros!$C$13:$C$19,MATCH(E2032,Parâmetros!$A$13:$A$19,0))</f>
        <v>55</v>
      </c>
      <c r="J2032" s="26" t="n">
        <f aca="false">IF(H2032="","",Parâmetros!$B$5-H2032)</f>
        <v>154</v>
      </c>
      <c r="K2032" s="10" t="n">
        <f aca="false">INDEX(Parâmetros!$D$13:$D$19,MATCH(E2032,Parâmetros!$A$13:$A$19,0))</f>
        <v>0</v>
      </c>
      <c r="L2032" s="10" t="n">
        <f aca="false">IF(G2032="Prospecting",Parâmetros!$B$9,IF(J2032&gt;Parâmetros!$B$6,0,INDEX(Parâmetros!$C$24:$C$26,MATCH(J2032,Parâmetros!$A$24:$A$26,1))))</f>
        <v>0</v>
      </c>
      <c r="M2032" s="31" t="n">
        <f aca="false">IF(G2032="Prospecting",1,INDEX(Parâmetros!$C$32:$C$35,MATCH(J2032,Parâmetros!$A$32:$A$35,1)))</f>
        <v>0.6</v>
      </c>
      <c r="N2032" s="2" t="n">
        <f aca="false">ROUND((K2032+L2032)*M2032,0)</f>
        <v>0</v>
      </c>
      <c r="O2032" s="10" t="str">
        <f aca="false">IF(AND(G2032="Engaging",J2032&gt;Parâmetros!$B$6),"Sim","Não")</f>
        <v>Sim</v>
      </c>
      <c r="P2032" s="32" t="str">
        <f aca="false">IF(O2032="Sim","R",IF(N2032&gt;=Parâmetros!$B$39,"A",IF(N2032&gt;=Parâmetros!$B$40,"B",IF(N2032&gt;=Parâmetros!$B$41,"C","D"))))</f>
        <v>R</v>
      </c>
      <c r="Q2032" s="10" t="str">
        <f aca="false">IF(F2032="","Completar cadastro","")</f>
        <v>Completar cadastro</v>
      </c>
      <c r="R2032" s="10" t="str">
        <f aca="false">INDEX(Parâmetros!$D$39:$D$43,MATCH(P2032,Parâmetros!$A$39:$A$43,0))</f>
        <v>Reciclar: requalificar, reengajar ou encerrar</v>
      </c>
    </row>
    <row r="2033" customFormat="false" ht="15" hidden="false" customHeight="false" outlineLevel="0" collapsed="false">
      <c r="A2033" s="10" t="s">
        <v>2280</v>
      </c>
      <c r="B2033" s="10" t="s">
        <v>71</v>
      </c>
      <c r="C2033" s="10" t="s">
        <v>72</v>
      </c>
      <c r="D2033" s="10" t="s">
        <v>196</v>
      </c>
      <c r="E2033" s="10" t="s">
        <v>52</v>
      </c>
      <c r="F2033" s="10"/>
      <c r="G2033" s="10" t="s">
        <v>162</v>
      </c>
      <c r="H2033" s="30" t="n">
        <v>42946</v>
      </c>
      <c r="I2033" s="8" t="n">
        <f aca="false">INDEX(Parâmetros!$C$13:$C$19,MATCH(E2033,Parâmetros!$A$13:$A$19,0))</f>
        <v>55</v>
      </c>
      <c r="J2033" s="26" t="n">
        <f aca="false">IF(H2033="","",Parâmetros!$B$5-H2033)</f>
        <v>154</v>
      </c>
      <c r="K2033" s="10" t="n">
        <f aca="false">INDEX(Parâmetros!$D$13:$D$19,MATCH(E2033,Parâmetros!$A$13:$A$19,0))</f>
        <v>0</v>
      </c>
      <c r="L2033" s="10" t="n">
        <f aca="false">IF(G2033="Prospecting",Parâmetros!$B$9,IF(J2033&gt;Parâmetros!$B$6,0,INDEX(Parâmetros!$C$24:$C$26,MATCH(J2033,Parâmetros!$A$24:$A$26,1))))</f>
        <v>0</v>
      </c>
      <c r="M2033" s="31" t="n">
        <f aca="false">IF(G2033="Prospecting",1,INDEX(Parâmetros!$C$32:$C$35,MATCH(J2033,Parâmetros!$A$32:$A$35,1)))</f>
        <v>0.6</v>
      </c>
      <c r="N2033" s="2" t="n">
        <f aca="false">ROUND((K2033+L2033)*M2033,0)</f>
        <v>0</v>
      </c>
      <c r="O2033" s="10" t="str">
        <f aca="false">IF(AND(G2033="Engaging",J2033&gt;Parâmetros!$B$6),"Sim","Não")</f>
        <v>Sim</v>
      </c>
      <c r="P2033" s="32" t="str">
        <f aca="false">IF(O2033="Sim","R",IF(N2033&gt;=Parâmetros!$B$39,"A",IF(N2033&gt;=Parâmetros!$B$40,"B",IF(N2033&gt;=Parâmetros!$B$41,"C","D"))))</f>
        <v>R</v>
      </c>
      <c r="Q2033" s="10" t="str">
        <f aca="false">IF(F2033="","Completar cadastro","")</f>
        <v>Completar cadastro</v>
      </c>
      <c r="R2033" s="10" t="str">
        <f aca="false">INDEX(Parâmetros!$D$39:$D$43,MATCH(P2033,Parâmetros!$A$39:$A$43,0))</f>
        <v>Reciclar: requalificar, reengajar ou encerrar</v>
      </c>
    </row>
    <row r="2034" customFormat="false" ht="15" hidden="false" customHeight="false" outlineLevel="0" collapsed="false">
      <c r="A2034" s="10" t="s">
        <v>2281</v>
      </c>
      <c r="B2034" s="10" t="s">
        <v>84</v>
      </c>
      <c r="C2034" s="10" t="s">
        <v>85</v>
      </c>
      <c r="D2034" s="10" t="s">
        <v>165</v>
      </c>
      <c r="E2034" s="10" t="s">
        <v>52</v>
      </c>
      <c r="F2034" s="10" t="s">
        <v>405</v>
      </c>
      <c r="G2034" s="10" t="s">
        <v>162</v>
      </c>
      <c r="H2034" s="30" t="n">
        <v>42946</v>
      </c>
      <c r="I2034" s="8" t="n">
        <f aca="false">INDEX(Parâmetros!$C$13:$C$19,MATCH(E2034,Parâmetros!$A$13:$A$19,0))</f>
        <v>55</v>
      </c>
      <c r="J2034" s="26" t="n">
        <f aca="false">IF(H2034="","",Parâmetros!$B$5-H2034)</f>
        <v>154</v>
      </c>
      <c r="K2034" s="10" t="n">
        <f aca="false">INDEX(Parâmetros!$D$13:$D$19,MATCH(E2034,Parâmetros!$A$13:$A$19,0))</f>
        <v>0</v>
      </c>
      <c r="L2034" s="10" t="n">
        <f aca="false">IF(G2034="Prospecting",Parâmetros!$B$9,IF(J2034&gt;Parâmetros!$B$6,0,INDEX(Parâmetros!$C$24:$C$26,MATCH(J2034,Parâmetros!$A$24:$A$26,1))))</f>
        <v>0</v>
      </c>
      <c r="M2034" s="31" t="n">
        <f aca="false">IF(G2034="Prospecting",1,INDEX(Parâmetros!$C$32:$C$35,MATCH(J2034,Parâmetros!$A$32:$A$35,1)))</f>
        <v>0.6</v>
      </c>
      <c r="N2034" s="2" t="n">
        <f aca="false">ROUND((K2034+L2034)*M2034,0)</f>
        <v>0</v>
      </c>
      <c r="O2034" s="10" t="str">
        <f aca="false">IF(AND(G2034="Engaging",J2034&gt;Parâmetros!$B$6),"Sim","Não")</f>
        <v>Sim</v>
      </c>
      <c r="P2034" s="32" t="str">
        <f aca="false">IF(O2034="Sim","R",IF(N2034&gt;=Parâmetros!$B$39,"A",IF(N2034&gt;=Parâmetros!$B$40,"B",IF(N2034&gt;=Parâmetros!$B$41,"C","D"))))</f>
        <v>R</v>
      </c>
      <c r="Q2034" s="10" t="str">
        <f aca="false">IF(F2034="","Completar cadastro","")</f>
        <v/>
      </c>
      <c r="R2034" s="10" t="str">
        <f aca="false">INDEX(Parâmetros!$D$39:$D$43,MATCH(P2034,Parâmetros!$A$39:$A$43,0))</f>
        <v>Reciclar: requalificar, reengajar ou encerrar</v>
      </c>
    </row>
    <row r="2035" customFormat="false" ht="15" hidden="false" customHeight="false" outlineLevel="0" collapsed="false">
      <c r="A2035" s="10" t="s">
        <v>2282</v>
      </c>
      <c r="B2035" s="10" t="s">
        <v>79</v>
      </c>
      <c r="C2035" s="10" t="s">
        <v>78</v>
      </c>
      <c r="D2035" s="10" t="s">
        <v>196</v>
      </c>
      <c r="E2035" s="10" t="s">
        <v>52</v>
      </c>
      <c r="F2035" s="10"/>
      <c r="G2035" s="10" t="s">
        <v>162</v>
      </c>
      <c r="H2035" s="30" t="n">
        <v>42946</v>
      </c>
      <c r="I2035" s="8" t="n">
        <f aca="false">INDEX(Parâmetros!$C$13:$C$19,MATCH(E2035,Parâmetros!$A$13:$A$19,0))</f>
        <v>55</v>
      </c>
      <c r="J2035" s="26" t="n">
        <f aca="false">IF(H2035="","",Parâmetros!$B$5-H2035)</f>
        <v>154</v>
      </c>
      <c r="K2035" s="10" t="n">
        <f aca="false">INDEX(Parâmetros!$D$13:$D$19,MATCH(E2035,Parâmetros!$A$13:$A$19,0))</f>
        <v>0</v>
      </c>
      <c r="L2035" s="10" t="n">
        <f aca="false">IF(G2035="Prospecting",Parâmetros!$B$9,IF(J2035&gt;Parâmetros!$B$6,0,INDEX(Parâmetros!$C$24:$C$26,MATCH(J2035,Parâmetros!$A$24:$A$26,1))))</f>
        <v>0</v>
      </c>
      <c r="M2035" s="31" t="n">
        <f aca="false">IF(G2035="Prospecting",1,INDEX(Parâmetros!$C$32:$C$35,MATCH(J2035,Parâmetros!$A$32:$A$35,1)))</f>
        <v>0.6</v>
      </c>
      <c r="N2035" s="2" t="n">
        <f aca="false">ROUND((K2035+L2035)*M2035,0)</f>
        <v>0</v>
      </c>
      <c r="O2035" s="10" t="str">
        <f aca="false">IF(AND(G2035="Engaging",J2035&gt;Parâmetros!$B$6),"Sim","Não")</f>
        <v>Sim</v>
      </c>
      <c r="P2035" s="32" t="str">
        <f aca="false">IF(O2035="Sim","R",IF(N2035&gt;=Parâmetros!$B$39,"A",IF(N2035&gt;=Parâmetros!$B$40,"B",IF(N2035&gt;=Parâmetros!$B$41,"C","D"))))</f>
        <v>R</v>
      </c>
      <c r="Q2035" s="10" t="str">
        <f aca="false">IF(F2035="","Completar cadastro","")</f>
        <v>Completar cadastro</v>
      </c>
      <c r="R2035" s="10" t="str">
        <f aca="false">INDEX(Parâmetros!$D$39:$D$43,MATCH(P2035,Parâmetros!$A$39:$A$43,0))</f>
        <v>Reciclar: requalificar, reengajar ou encerrar</v>
      </c>
    </row>
    <row r="2036" customFormat="false" ht="15" hidden="false" customHeight="false" outlineLevel="0" collapsed="false">
      <c r="A2036" s="10" t="s">
        <v>2283</v>
      </c>
      <c r="B2036" s="10" t="s">
        <v>94</v>
      </c>
      <c r="C2036" s="10" t="s">
        <v>92</v>
      </c>
      <c r="D2036" s="10" t="s">
        <v>160</v>
      </c>
      <c r="E2036" s="10" t="s">
        <v>52</v>
      </c>
      <c r="F2036" s="10"/>
      <c r="G2036" s="10" t="s">
        <v>162</v>
      </c>
      <c r="H2036" s="30" t="n">
        <v>42946</v>
      </c>
      <c r="I2036" s="8" t="n">
        <f aca="false">INDEX(Parâmetros!$C$13:$C$19,MATCH(E2036,Parâmetros!$A$13:$A$19,0))</f>
        <v>55</v>
      </c>
      <c r="J2036" s="26" t="n">
        <f aca="false">IF(H2036="","",Parâmetros!$B$5-H2036)</f>
        <v>154</v>
      </c>
      <c r="K2036" s="10" t="n">
        <f aca="false">INDEX(Parâmetros!$D$13:$D$19,MATCH(E2036,Parâmetros!$A$13:$A$19,0))</f>
        <v>0</v>
      </c>
      <c r="L2036" s="10" t="n">
        <f aca="false">IF(G2036="Prospecting",Parâmetros!$B$9,IF(J2036&gt;Parâmetros!$B$6,0,INDEX(Parâmetros!$C$24:$C$26,MATCH(J2036,Parâmetros!$A$24:$A$26,1))))</f>
        <v>0</v>
      </c>
      <c r="M2036" s="31" t="n">
        <f aca="false">IF(G2036="Prospecting",1,INDEX(Parâmetros!$C$32:$C$35,MATCH(J2036,Parâmetros!$A$32:$A$35,1)))</f>
        <v>0.6</v>
      </c>
      <c r="N2036" s="2" t="n">
        <f aca="false">ROUND((K2036+L2036)*M2036,0)</f>
        <v>0</v>
      </c>
      <c r="O2036" s="10" t="str">
        <f aca="false">IF(AND(G2036="Engaging",J2036&gt;Parâmetros!$B$6),"Sim","Não")</f>
        <v>Sim</v>
      </c>
      <c r="P2036" s="32" t="str">
        <f aca="false">IF(O2036="Sim","R",IF(N2036&gt;=Parâmetros!$B$39,"A",IF(N2036&gt;=Parâmetros!$B$40,"B",IF(N2036&gt;=Parâmetros!$B$41,"C","D"))))</f>
        <v>R</v>
      </c>
      <c r="Q2036" s="10" t="str">
        <f aca="false">IF(F2036="","Completar cadastro","")</f>
        <v>Completar cadastro</v>
      </c>
      <c r="R2036" s="10" t="str">
        <f aca="false">INDEX(Parâmetros!$D$39:$D$43,MATCH(P2036,Parâmetros!$A$39:$A$43,0))</f>
        <v>Reciclar: requalificar, reengajar ou encerrar</v>
      </c>
    </row>
    <row r="2037" customFormat="false" ht="15" hidden="false" customHeight="false" outlineLevel="0" collapsed="false">
      <c r="A2037" s="10" t="s">
        <v>2284</v>
      </c>
      <c r="B2037" s="10" t="s">
        <v>74</v>
      </c>
      <c r="C2037" s="10" t="s">
        <v>72</v>
      </c>
      <c r="D2037" s="10" t="s">
        <v>196</v>
      </c>
      <c r="E2037" s="10" t="s">
        <v>52</v>
      </c>
      <c r="F2037" s="10" t="s">
        <v>422</v>
      </c>
      <c r="G2037" s="10" t="s">
        <v>162</v>
      </c>
      <c r="H2037" s="30" t="n">
        <v>42946</v>
      </c>
      <c r="I2037" s="8" t="n">
        <f aca="false">INDEX(Parâmetros!$C$13:$C$19,MATCH(E2037,Parâmetros!$A$13:$A$19,0))</f>
        <v>55</v>
      </c>
      <c r="J2037" s="26" t="n">
        <f aca="false">IF(H2037="","",Parâmetros!$B$5-H2037)</f>
        <v>154</v>
      </c>
      <c r="K2037" s="10" t="n">
        <f aca="false">INDEX(Parâmetros!$D$13:$D$19,MATCH(E2037,Parâmetros!$A$13:$A$19,0))</f>
        <v>0</v>
      </c>
      <c r="L2037" s="10" t="n">
        <f aca="false">IF(G2037="Prospecting",Parâmetros!$B$9,IF(J2037&gt;Parâmetros!$B$6,0,INDEX(Parâmetros!$C$24:$C$26,MATCH(J2037,Parâmetros!$A$24:$A$26,1))))</f>
        <v>0</v>
      </c>
      <c r="M2037" s="31" t="n">
        <f aca="false">IF(G2037="Prospecting",1,INDEX(Parâmetros!$C$32:$C$35,MATCH(J2037,Parâmetros!$A$32:$A$35,1)))</f>
        <v>0.6</v>
      </c>
      <c r="N2037" s="2" t="n">
        <f aca="false">ROUND((K2037+L2037)*M2037,0)</f>
        <v>0</v>
      </c>
      <c r="O2037" s="10" t="str">
        <f aca="false">IF(AND(G2037="Engaging",J2037&gt;Parâmetros!$B$6),"Sim","Não")</f>
        <v>Sim</v>
      </c>
      <c r="P2037" s="32" t="str">
        <f aca="false">IF(O2037="Sim","R",IF(N2037&gt;=Parâmetros!$B$39,"A",IF(N2037&gt;=Parâmetros!$B$40,"B",IF(N2037&gt;=Parâmetros!$B$41,"C","D"))))</f>
        <v>R</v>
      </c>
      <c r="Q2037" s="10" t="str">
        <f aca="false">IF(F2037="","Completar cadastro","")</f>
        <v/>
      </c>
      <c r="R2037" s="10" t="str">
        <f aca="false">INDEX(Parâmetros!$D$39:$D$43,MATCH(P2037,Parâmetros!$A$39:$A$43,0))</f>
        <v>Reciclar: requalificar, reengajar ou encerrar</v>
      </c>
    </row>
    <row r="2038" customFormat="false" ht="15" hidden="false" customHeight="false" outlineLevel="0" collapsed="false">
      <c r="A2038" s="10" t="s">
        <v>2285</v>
      </c>
      <c r="B2038" s="10" t="s">
        <v>81</v>
      </c>
      <c r="C2038" s="10" t="s">
        <v>78</v>
      </c>
      <c r="D2038" s="10" t="s">
        <v>196</v>
      </c>
      <c r="E2038" s="10" t="s">
        <v>52</v>
      </c>
      <c r="F2038" s="10"/>
      <c r="G2038" s="10" t="s">
        <v>162</v>
      </c>
      <c r="H2038" s="30" t="n">
        <v>42946</v>
      </c>
      <c r="I2038" s="8" t="n">
        <f aca="false">INDEX(Parâmetros!$C$13:$C$19,MATCH(E2038,Parâmetros!$A$13:$A$19,0))</f>
        <v>55</v>
      </c>
      <c r="J2038" s="26" t="n">
        <f aca="false">IF(H2038="","",Parâmetros!$B$5-H2038)</f>
        <v>154</v>
      </c>
      <c r="K2038" s="10" t="n">
        <f aca="false">INDEX(Parâmetros!$D$13:$D$19,MATCH(E2038,Parâmetros!$A$13:$A$19,0))</f>
        <v>0</v>
      </c>
      <c r="L2038" s="10" t="n">
        <f aca="false">IF(G2038="Prospecting",Parâmetros!$B$9,IF(J2038&gt;Parâmetros!$B$6,0,INDEX(Parâmetros!$C$24:$C$26,MATCH(J2038,Parâmetros!$A$24:$A$26,1))))</f>
        <v>0</v>
      </c>
      <c r="M2038" s="31" t="n">
        <f aca="false">IF(G2038="Prospecting",1,INDEX(Parâmetros!$C$32:$C$35,MATCH(J2038,Parâmetros!$A$32:$A$35,1)))</f>
        <v>0.6</v>
      </c>
      <c r="N2038" s="2" t="n">
        <f aca="false">ROUND((K2038+L2038)*M2038,0)</f>
        <v>0</v>
      </c>
      <c r="O2038" s="10" t="str">
        <f aca="false">IF(AND(G2038="Engaging",J2038&gt;Parâmetros!$B$6),"Sim","Não")</f>
        <v>Sim</v>
      </c>
      <c r="P2038" s="32" t="str">
        <f aca="false">IF(O2038="Sim","R",IF(N2038&gt;=Parâmetros!$B$39,"A",IF(N2038&gt;=Parâmetros!$B$40,"B",IF(N2038&gt;=Parâmetros!$B$41,"C","D"))))</f>
        <v>R</v>
      </c>
      <c r="Q2038" s="10" t="str">
        <f aca="false">IF(F2038="","Completar cadastro","")</f>
        <v>Completar cadastro</v>
      </c>
      <c r="R2038" s="10" t="str">
        <f aca="false">INDEX(Parâmetros!$D$39:$D$43,MATCH(P2038,Parâmetros!$A$39:$A$43,0))</f>
        <v>Reciclar: requalificar, reengajar ou encerrar</v>
      </c>
    </row>
    <row r="2039" customFormat="false" ht="15" hidden="false" customHeight="false" outlineLevel="0" collapsed="false">
      <c r="A2039" s="10" t="s">
        <v>2286</v>
      </c>
      <c r="B2039" s="10" t="s">
        <v>75</v>
      </c>
      <c r="C2039" s="10" t="s">
        <v>72</v>
      </c>
      <c r="D2039" s="10" t="s">
        <v>196</v>
      </c>
      <c r="E2039" s="10" t="s">
        <v>52</v>
      </c>
      <c r="F2039" s="10" t="s">
        <v>522</v>
      </c>
      <c r="G2039" s="10" t="s">
        <v>162</v>
      </c>
      <c r="H2039" s="30" t="n">
        <v>42946</v>
      </c>
      <c r="I2039" s="8" t="n">
        <f aca="false">INDEX(Parâmetros!$C$13:$C$19,MATCH(E2039,Parâmetros!$A$13:$A$19,0))</f>
        <v>55</v>
      </c>
      <c r="J2039" s="26" t="n">
        <f aca="false">IF(H2039="","",Parâmetros!$B$5-H2039)</f>
        <v>154</v>
      </c>
      <c r="K2039" s="10" t="n">
        <f aca="false">INDEX(Parâmetros!$D$13:$D$19,MATCH(E2039,Parâmetros!$A$13:$A$19,0))</f>
        <v>0</v>
      </c>
      <c r="L2039" s="10" t="n">
        <f aca="false">IF(G2039="Prospecting",Parâmetros!$B$9,IF(J2039&gt;Parâmetros!$B$6,0,INDEX(Parâmetros!$C$24:$C$26,MATCH(J2039,Parâmetros!$A$24:$A$26,1))))</f>
        <v>0</v>
      </c>
      <c r="M2039" s="31" t="n">
        <f aca="false">IF(G2039="Prospecting",1,INDEX(Parâmetros!$C$32:$C$35,MATCH(J2039,Parâmetros!$A$32:$A$35,1)))</f>
        <v>0.6</v>
      </c>
      <c r="N2039" s="2" t="n">
        <f aca="false">ROUND((K2039+L2039)*M2039,0)</f>
        <v>0</v>
      </c>
      <c r="O2039" s="10" t="str">
        <f aca="false">IF(AND(G2039="Engaging",J2039&gt;Parâmetros!$B$6),"Sim","Não")</f>
        <v>Sim</v>
      </c>
      <c r="P2039" s="32" t="str">
        <f aca="false">IF(O2039="Sim","R",IF(N2039&gt;=Parâmetros!$B$39,"A",IF(N2039&gt;=Parâmetros!$B$40,"B",IF(N2039&gt;=Parâmetros!$B$41,"C","D"))))</f>
        <v>R</v>
      </c>
      <c r="Q2039" s="10" t="str">
        <f aca="false">IF(F2039="","Completar cadastro","")</f>
        <v/>
      </c>
      <c r="R2039" s="10" t="str">
        <f aca="false">INDEX(Parâmetros!$D$39:$D$43,MATCH(P2039,Parâmetros!$A$39:$A$43,0))</f>
        <v>Reciclar: requalificar, reengajar ou encerrar</v>
      </c>
    </row>
    <row r="2040" customFormat="false" ht="15" hidden="false" customHeight="false" outlineLevel="0" collapsed="false">
      <c r="A2040" s="10" t="s">
        <v>2287</v>
      </c>
      <c r="B2040" s="10" t="s">
        <v>83</v>
      </c>
      <c r="C2040" s="10" t="s">
        <v>78</v>
      </c>
      <c r="D2040" s="10" t="s">
        <v>196</v>
      </c>
      <c r="E2040" s="10" t="s">
        <v>52</v>
      </c>
      <c r="F2040" s="10"/>
      <c r="G2040" s="10" t="s">
        <v>162</v>
      </c>
      <c r="H2040" s="30" t="n">
        <v>42946</v>
      </c>
      <c r="I2040" s="8" t="n">
        <f aca="false">INDEX(Parâmetros!$C$13:$C$19,MATCH(E2040,Parâmetros!$A$13:$A$19,0))</f>
        <v>55</v>
      </c>
      <c r="J2040" s="26" t="n">
        <f aca="false">IF(H2040="","",Parâmetros!$B$5-H2040)</f>
        <v>154</v>
      </c>
      <c r="K2040" s="10" t="n">
        <f aca="false">INDEX(Parâmetros!$D$13:$D$19,MATCH(E2040,Parâmetros!$A$13:$A$19,0))</f>
        <v>0</v>
      </c>
      <c r="L2040" s="10" t="n">
        <f aca="false">IF(G2040="Prospecting",Parâmetros!$B$9,IF(J2040&gt;Parâmetros!$B$6,0,INDEX(Parâmetros!$C$24:$C$26,MATCH(J2040,Parâmetros!$A$24:$A$26,1))))</f>
        <v>0</v>
      </c>
      <c r="M2040" s="31" t="n">
        <f aca="false">IF(G2040="Prospecting",1,INDEX(Parâmetros!$C$32:$C$35,MATCH(J2040,Parâmetros!$A$32:$A$35,1)))</f>
        <v>0.6</v>
      </c>
      <c r="N2040" s="2" t="n">
        <f aca="false">ROUND((K2040+L2040)*M2040,0)</f>
        <v>0</v>
      </c>
      <c r="O2040" s="10" t="str">
        <f aca="false">IF(AND(G2040="Engaging",J2040&gt;Parâmetros!$B$6),"Sim","Não")</f>
        <v>Sim</v>
      </c>
      <c r="P2040" s="32" t="str">
        <f aca="false">IF(O2040="Sim","R",IF(N2040&gt;=Parâmetros!$B$39,"A",IF(N2040&gt;=Parâmetros!$B$40,"B",IF(N2040&gt;=Parâmetros!$B$41,"C","D"))))</f>
        <v>R</v>
      </c>
      <c r="Q2040" s="10" t="str">
        <f aca="false">IF(F2040="","Completar cadastro","")</f>
        <v>Completar cadastro</v>
      </c>
      <c r="R2040" s="10" t="str">
        <f aca="false">INDEX(Parâmetros!$D$39:$D$43,MATCH(P2040,Parâmetros!$A$39:$A$43,0))</f>
        <v>Reciclar: requalificar, reengajar ou encerrar</v>
      </c>
    </row>
    <row r="2041" customFormat="false" ht="15" hidden="false" customHeight="false" outlineLevel="0" collapsed="false">
      <c r="A2041" s="10" t="s">
        <v>2288</v>
      </c>
      <c r="B2041" s="10" t="s">
        <v>76</v>
      </c>
      <c r="C2041" s="10" t="s">
        <v>72</v>
      </c>
      <c r="D2041" s="10" t="s">
        <v>196</v>
      </c>
      <c r="E2041" s="10" t="s">
        <v>52</v>
      </c>
      <c r="F2041" s="10"/>
      <c r="G2041" s="10" t="s">
        <v>162</v>
      </c>
      <c r="H2041" s="30" t="n">
        <v>42946</v>
      </c>
      <c r="I2041" s="8" t="n">
        <f aca="false">INDEX(Parâmetros!$C$13:$C$19,MATCH(E2041,Parâmetros!$A$13:$A$19,0))</f>
        <v>55</v>
      </c>
      <c r="J2041" s="26" t="n">
        <f aca="false">IF(H2041="","",Parâmetros!$B$5-H2041)</f>
        <v>154</v>
      </c>
      <c r="K2041" s="10" t="n">
        <f aca="false">INDEX(Parâmetros!$D$13:$D$19,MATCH(E2041,Parâmetros!$A$13:$A$19,0))</f>
        <v>0</v>
      </c>
      <c r="L2041" s="10" t="n">
        <f aca="false">IF(G2041="Prospecting",Parâmetros!$B$9,IF(J2041&gt;Parâmetros!$B$6,0,INDEX(Parâmetros!$C$24:$C$26,MATCH(J2041,Parâmetros!$A$24:$A$26,1))))</f>
        <v>0</v>
      </c>
      <c r="M2041" s="31" t="n">
        <f aca="false">IF(G2041="Prospecting",1,INDEX(Parâmetros!$C$32:$C$35,MATCH(J2041,Parâmetros!$A$32:$A$35,1)))</f>
        <v>0.6</v>
      </c>
      <c r="N2041" s="2" t="n">
        <f aca="false">ROUND((K2041+L2041)*M2041,0)</f>
        <v>0</v>
      </c>
      <c r="O2041" s="10" t="str">
        <f aca="false">IF(AND(G2041="Engaging",J2041&gt;Parâmetros!$B$6),"Sim","Não")</f>
        <v>Sim</v>
      </c>
      <c r="P2041" s="32" t="str">
        <f aca="false">IF(O2041="Sim","R",IF(N2041&gt;=Parâmetros!$B$39,"A",IF(N2041&gt;=Parâmetros!$B$40,"B",IF(N2041&gt;=Parâmetros!$B$41,"C","D"))))</f>
        <v>R</v>
      </c>
      <c r="Q2041" s="10" t="str">
        <f aca="false">IF(F2041="","Completar cadastro","")</f>
        <v>Completar cadastro</v>
      </c>
      <c r="R2041" s="10" t="str">
        <f aca="false">INDEX(Parâmetros!$D$39:$D$43,MATCH(P2041,Parâmetros!$A$39:$A$43,0))</f>
        <v>Reciclar: requalificar, reengajar ou encerrar</v>
      </c>
    </row>
    <row r="2042" customFormat="false" ht="15" hidden="false" customHeight="false" outlineLevel="0" collapsed="false">
      <c r="A2042" s="10" t="s">
        <v>2289</v>
      </c>
      <c r="B2042" s="10" t="s">
        <v>62</v>
      </c>
      <c r="C2042" s="10" t="s">
        <v>58</v>
      </c>
      <c r="D2042" s="10" t="s">
        <v>165</v>
      </c>
      <c r="E2042" s="10" t="s">
        <v>52</v>
      </c>
      <c r="F2042" s="10"/>
      <c r="G2042" s="10" t="s">
        <v>162</v>
      </c>
      <c r="H2042" s="30" t="n">
        <v>42946</v>
      </c>
      <c r="I2042" s="8" t="n">
        <f aca="false">INDEX(Parâmetros!$C$13:$C$19,MATCH(E2042,Parâmetros!$A$13:$A$19,0))</f>
        <v>55</v>
      </c>
      <c r="J2042" s="26" t="n">
        <f aca="false">IF(H2042="","",Parâmetros!$B$5-H2042)</f>
        <v>154</v>
      </c>
      <c r="K2042" s="10" t="n">
        <f aca="false">INDEX(Parâmetros!$D$13:$D$19,MATCH(E2042,Parâmetros!$A$13:$A$19,0))</f>
        <v>0</v>
      </c>
      <c r="L2042" s="10" t="n">
        <f aca="false">IF(G2042="Prospecting",Parâmetros!$B$9,IF(J2042&gt;Parâmetros!$B$6,0,INDEX(Parâmetros!$C$24:$C$26,MATCH(J2042,Parâmetros!$A$24:$A$26,1))))</f>
        <v>0</v>
      </c>
      <c r="M2042" s="31" t="n">
        <f aca="false">IF(G2042="Prospecting",1,INDEX(Parâmetros!$C$32:$C$35,MATCH(J2042,Parâmetros!$A$32:$A$35,1)))</f>
        <v>0.6</v>
      </c>
      <c r="N2042" s="2" t="n">
        <f aca="false">ROUND((K2042+L2042)*M2042,0)</f>
        <v>0</v>
      </c>
      <c r="O2042" s="10" t="str">
        <f aca="false">IF(AND(G2042="Engaging",J2042&gt;Parâmetros!$B$6),"Sim","Não")</f>
        <v>Sim</v>
      </c>
      <c r="P2042" s="32" t="str">
        <f aca="false">IF(O2042="Sim","R",IF(N2042&gt;=Parâmetros!$B$39,"A",IF(N2042&gt;=Parâmetros!$B$40,"B",IF(N2042&gt;=Parâmetros!$B$41,"C","D"))))</f>
        <v>R</v>
      </c>
      <c r="Q2042" s="10" t="str">
        <f aca="false">IF(F2042="","Completar cadastro","")</f>
        <v>Completar cadastro</v>
      </c>
      <c r="R2042" s="10" t="str">
        <f aca="false">INDEX(Parâmetros!$D$39:$D$43,MATCH(P2042,Parâmetros!$A$39:$A$43,0))</f>
        <v>Reciclar: requalificar, reengajar ou encerrar</v>
      </c>
    </row>
    <row r="2043" customFormat="false" ht="15" hidden="false" customHeight="false" outlineLevel="0" collapsed="false">
      <c r="A2043" s="10" t="s">
        <v>2290</v>
      </c>
      <c r="B2043" s="10" t="s">
        <v>71</v>
      </c>
      <c r="C2043" s="10" t="s">
        <v>72</v>
      </c>
      <c r="D2043" s="10" t="s">
        <v>196</v>
      </c>
      <c r="E2043" s="10" t="s">
        <v>52</v>
      </c>
      <c r="F2043" s="10" t="s">
        <v>267</v>
      </c>
      <c r="G2043" s="10" t="s">
        <v>162</v>
      </c>
      <c r="H2043" s="30" t="n">
        <v>42947</v>
      </c>
      <c r="I2043" s="8" t="n">
        <f aca="false">INDEX(Parâmetros!$C$13:$C$19,MATCH(E2043,Parâmetros!$A$13:$A$19,0))</f>
        <v>55</v>
      </c>
      <c r="J2043" s="26" t="n">
        <f aca="false">IF(H2043="","",Parâmetros!$B$5-H2043)</f>
        <v>153</v>
      </c>
      <c r="K2043" s="10" t="n">
        <f aca="false">INDEX(Parâmetros!$D$13:$D$19,MATCH(E2043,Parâmetros!$A$13:$A$19,0))</f>
        <v>0</v>
      </c>
      <c r="L2043" s="10" t="n">
        <f aca="false">IF(G2043="Prospecting",Parâmetros!$B$9,IF(J2043&gt;Parâmetros!$B$6,0,INDEX(Parâmetros!$C$24:$C$26,MATCH(J2043,Parâmetros!$A$24:$A$26,1))))</f>
        <v>0</v>
      </c>
      <c r="M2043" s="31" t="n">
        <f aca="false">IF(G2043="Prospecting",1,INDEX(Parâmetros!$C$32:$C$35,MATCH(J2043,Parâmetros!$A$32:$A$35,1)))</f>
        <v>0.6</v>
      </c>
      <c r="N2043" s="2" t="n">
        <f aca="false">ROUND((K2043+L2043)*M2043,0)</f>
        <v>0</v>
      </c>
      <c r="O2043" s="10" t="str">
        <f aca="false">IF(AND(G2043="Engaging",J2043&gt;Parâmetros!$B$6),"Sim","Não")</f>
        <v>Sim</v>
      </c>
      <c r="P2043" s="32" t="str">
        <f aca="false">IF(O2043="Sim","R",IF(N2043&gt;=Parâmetros!$B$39,"A",IF(N2043&gt;=Parâmetros!$B$40,"B",IF(N2043&gt;=Parâmetros!$B$41,"C","D"))))</f>
        <v>R</v>
      </c>
      <c r="Q2043" s="10" t="str">
        <f aca="false">IF(F2043="","Completar cadastro","")</f>
        <v/>
      </c>
      <c r="R2043" s="10" t="str">
        <f aca="false">INDEX(Parâmetros!$D$39:$D$43,MATCH(P2043,Parâmetros!$A$39:$A$43,0))</f>
        <v>Reciclar: requalificar, reengajar ou encerrar</v>
      </c>
    </row>
    <row r="2044" customFormat="false" ht="15" hidden="false" customHeight="false" outlineLevel="0" collapsed="false">
      <c r="A2044" s="10" t="s">
        <v>2291</v>
      </c>
      <c r="B2044" s="10" t="s">
        <v>77</v>
      </c>
      <c r="C2044" s="10" t="s">
        <v>78</v>
      </c>
      <c r="D2044" s="10" t="s">
        <v>196</v>
      </c>
      <c r="E2044" s="10" t="s">
        <v>52</v>
      </c>
      <c r="F2044" s="10"/>
      <c r="G2044" s="10" t="s">
        <v>162</v>
      </c>
      <c r="H2044" s="30" t="n">
        <v>42947</v>
      </c>
      <c r="I2044" s="8" t="n">
        <f aca="false">INDEX(Parâmetros!$C$13:$C$19,MATCH(E2044,Parâmetros!$A$13:$A$19,0))</f>
        <v>55</v>
      </c>
      <c r="J2044" s="26" t="n">
        <f aca="false">IF(H2044="","",Parâmetros!$B$5-H2044)</f>
        <v>153</v>
      </c>
      <c r="K2044" s="10" t="n">
        <f aca="false">INDEX(Parâmetros!$D$13:$D$19,MATCH(E2044,Parâmetros!$A$13:$A$19,0))</f>
        <v>0</v>
      </c>
      <c r="L2044" s="10" t="n">
        <f aca="false">IF(G2044="Prospecting",Parâmetros!$B$9,IF(J2044&gt;Parâmetros!$B$6,0,INDEX(Parâmetros!$C$24:$C$26,MATCH(J2044,Parâmetros!$A$24:$A$26,1))))</f>
        <v>0</v>
      </c>
      <c r="M2044" s="31" t="n">
        <f aca="false">IF(G2044="Prospecting",1,INDEX(Parâmetros!$C$32:$C$35,MATCH(J2044,Parâmetros!$A$32:$A$35,1)))</f>
        <v>0.6</v>
      </c>
      <c r="N2044" s="2" t="n">
        <f aca="false">ROUND((K2044+L2044)*M2044,0)</f>
        <v>0</v>
      </c>
      <c r="O2044" s="10" t="str">
        <f aca="false">IF(AND(G2044="Engaging",J2044&gt;Parâmetros!$B$6),"Sim","Não")</f>
        <v>Sim</v>
      </c>
      <c r="P2044" s="32" t="str">
        <f aca="false">IF(O2044="Sim","R",IF(N2044&gt;=Parâmetros!$B$39,"A",IF(N2044&gt;=Parâmetros!$B$40,"B",IF(N2044&gt;=Parâmetros!$B$41,"C","D"))))</f>
        <v>R</v>
      </c>
      <c r="Q2044" s="10" t="str">
        <f aca="false">IF(F2044="","Completar cadastro","")</f>
        <v>Completar cadastro</v>
      </c>
      <c r="R2044" s="10" t="str">
        <f aca="false">INDEX(Parâmetros!$D$39:$D$43,MATCH(P2044,Parâmetros!$A$39:$A$43,0))</f>
        <v>Reciclar: requalificar, reengajar ou encerrar</v>
      </c>
    </row>
    <row r="2045" customFormat="false" ht="15" hidden="false" customHeight="false" outlineLevel="0" collapsed="false">
      <c r="A2045" s="10" t="s">
        <v>2292</v>
      </c>
      <c r="B2045" s="10" t="s">
        <v>76</v>
      </c>
      <c r="C2045" s="10" t="s">
        <v>72</v>
      </c>
      <c r="D2045" s="10" t="s">
        <v>196</v>
      </c>
      <c r="E2045" s="10" t="s">
        <v>52</v>
      </c>
      <c r="F2045" s="10"/>
      <c r="G2045" s="10" t="s">
        <v>162</v>
      </c>
      <c r="H2045" s="30" t="n">
        <v>42947</v>
      </c>
      <c r="I2045" s="8" t="n">
        <f aca="false">INDEX(Parâmetros!$C$13:$C$19,MATCH(E2045,Parâmetros!$A$13:$A$19,0))</f>
        <v>55</v>
      </c>
      <c r="J2045" s="26" t="n">
        <f aca="false">IF(H2045="","",Parâmetros!$B$5-H2045)</f>
        <v>153</v>
      </c>
      <c r="K2045" s="10" t="n">
        <f aca="false">INDEX(Parâmetros!$D$13:$D$19,MATCH(E2045,Parâmetros!$A$13:$A$19,0))</f>
        <v>0</v>
      </c>
      <c r="L2045" s="10" t="n">
        <f aca="false">IF(G2045="Prospecting",Parâmetros!$B$9,IF(J2045&gt;Parâmetros!$B$6,0,INDEX(Parâmetros!$C$24:$C$26,MATCH(J2045,Parâmetros!$A$24:$A$26,1))))</f>
        <v>0</v>
      </c>
      <c r="M2045" s="31" t="n">
        <f aca="false">IF(G2045="Prospecting",1,INDEX(Parâmetros!$C$32:$C$35,MATCH(J2045,Parâmetros!$A$32:$A$35,1)))</f>
        <v>0.6</v>
      </c>
      <c r="N2045" s="2" t="n">
        <f aca="false">ROUND((K2045+L2045)*M2045,0)</f>
        <v>0</v>
      </c>
      <c r="O2045" s="10" t="str">
        <f aca="false">IF(AND(G2045="Engaging",J2045&gt;Parâmetros!$B$6),"Sim","Não")</f>
        <v>Sim</v>
      </c>
      <c r="P2045" s="32" t="str">
        <f aca="false">IF(O2045="Sim","R",IF(N2045&gt;=Parâmetros!$B$39,"A",IF(N2045&gt;=Parâmetros!$B$40,"B",IF(N2045&gt;=Parâmetros!$B$41,"C","D"))))</f>
        <v>R</v>
      </c>
      <c r="Q2045" s="10" t="str">
        <f aca="false">IF(F2045="","Completar cadastro","")</f>
        <v>Completar cadastro</v>
      </c>
      <c r="R2045" s="10" t="str">
        <f aca="false">INDEX(Parâmetros!$D$39:$D$43,MATCH(P2045,Parâmetros!$A$39:$A$43,0))</f>
        <v>Reciclar: requalificar, reengajar ou encerrar</v>
      </c>
    </row>
    <row r="2046" customFormat="false" ht="15" hidden="false" customHeight="false" outlineLevel="0" collapsed="false">
      <c r="A2046" s="10" t="s">
        <v>2293</v>
      </c>
      <c r="B2046" s="10" t="s">
        <v>62</v>
      </c>
      <c r="C2046" s="10" t="s">
        <v>58</v>
      </c>
      <c r="D2046" s="10" t="s">
        <v>165</v>
      </c>
      <c r="E2046" s="10" t="s">
        <v>52</v>
      </c>
      <c r="F2046" s="10"/>
      <c r="G2046" s="10" t="s">
        <v>162</v>
      </c>
      <c r="H2046" s="30" t="n">
        <v>42947</v>
      </c>
      <c r="I2046" s="8" t="n">
        <f aca="false">INDEX(Parâmetros!$C$13:$C$19,MATCH(E2046,Parâmetros!$A$13:$A$19,0))</f>
        <v>55</v>
      </c>
      <c r="J2046" s="26" t="n">
        <f aca="false">IF(H2046="","",Parâmetros!$B$5-H2046)</f>
        <v>153</v>
      </c>
      <c r="K2046" s="10" t="n">
        <f aca="false">INDEX(Parâmetros!$D$13:$D$19,MATCH(E2046,Parâmetros!$A$13:$A$19,0))</f>
        <v>0</v>
      </c>
      <c r="L2046" s="10" t="n">
        <f aca="false">IF(G2046="Prospecting",Parâmetros!$B$9,IF(J2046&gt;Parâmetros!$B$6,0,INDEX(Parâmetros!$C$24:$C$26,MATCH(J2046,Parâmetros!$A$24:$A$26,1))))</f>
        <v>0</v>
      </c>
      <c r="M2046" s="31" t="n">
        <f aca="false">IF(G2046="Prospecting",1,INDEX(Parâmetros!$C$32:$C$35,MATCH(J2046,Parâmetros!$A$32:$A$35,1)))</f>
        <v>0.6</v>
      </c>
      <c r="N2046" s="2" t="n">
        <f aca="false">ROUND((K2046+L2046)*M2046,0)</f>
        <v>0</v>
      </c>
      <c r="O2046" s="10" t="str">
        <f aca="false">IF(AND(G2046="Engaging",J2046&gt;Parâmetros!$B$6),"Sim","Não")</f>
        <v>Sim</v>
      </c>
      <c r="P2046" s="32" t="str">
        <f aca="false">IF(O2046="Sim","R",IF(N2046&gt;=Parâmetros!$B$39,"A",IF(N2046&gt;=Parâmetros!$B$40,"B",IF(N2046&gt;=Parâmetros!$B$41,"C","D"))))</f>
        <v>R</v>
      </c>
      <c r="Q2046" s="10" t="str">
        <f aca="false">IF(F2046="","Completar cadastro","")</f>
        <v>Completar cadastro</v>
      </c>
      <c r="R2046" s="10" t="str">
        <f aca="false">INDEX(Parâmetros!$D$39:$D$43,MATCH(P2046,Parâmetros!$A$39:$A$43,0))</f>
        <v>Reciclar: requalificar, reengajar ou encerrar</v>
      </c>
    </row>
    <row r="2047" customFormat="false" ht="15" hidden="false" customHeight="false" outlineLevel="0" collapsed="false">
      <c r="A2047" s="10" t="s">
        <v>2294</v>
      </c>
      <c r="B2047" s="10" t="s">
        <v>71</v>
      </c>
      <c r="C2047" s="10" t="s">
        <v>72</v>
      </c>
      <c r="D2047" s="10" t="s">
        <v>196</v>
      </c>
      <c r="E2047" s="10" t="s">
        <v>52</v>
      </c>
      <c r="F2047" s="10" t="s">
        <v>522</v>
      </c>
      <c r="G2047" s="10" t="s">
        <v>162</v>
      </c>
      <c r="H2047" s="30" t="n">
        <v>42948</v>
      </c>
      <c r="I2047" s="8" t="n">
        <f aca="false">INDEX(Parâmetros!$C$13:$C$19,MATCH(E2047,Parâmetros!$A$13:$A$19,0))</f>
        <v>55</v>
      </c>
      <c r="J2047" s="26" t="n">
        <f aca="false">IF(H2047="","",Parâmetros!$B$5-H2047)</f>
        <v>152</v>
      </c>
      <c r="K2047" s="10" t="n">
        <f aca="false">INDEX(Parâmetros!$D$13:$D$19,MATCH(E2047,Parâmetros!$A$13:$A$19,0))</f>
        <v>0</v>
      </c>
      <c r="L2047" s="10" t="n">
        <f aca="false">IF(G2047="Prospecting",Parâmetros!$B$9,IF(J2047&gt;Parâmetros!$B$6,0,INDEX(Parâmetros!$C$24:$C$26,MATCH(J2047,Parâmetros!$A$24:$A$26,1))))</f>
        <v>0</v>
      </c>
      <c r="M2047" s="31" t="n">
        <f aca="false">IF(G2047="Prospecting",1,INDEX(Parâmetros!$C$32:$C$35,MATCH(J2047,Parâmetros!$A$32:$A$35,1)))</f>
        <v>0.6</v>
      </c>
      <c r="N2047" s="2" t="n">
        <f aca="false">ROUND((K2047+L2047)*M2047,0)</f>
        <v>0</v>
      </c>
      <c r="O2047" s="10" t="str">
        <f aca="false">IF(AND(G2047="Engaging",J2047&gt;Parâmetros!$B$6),"Sim","Não")</f>
        <v>Sim</v>
      </c>
      <c r="P2047" s="32" t="str">
        <f aca="false">IF(O2047="Sim","R",IF(N2047&gt;=Parâmetros!$B$39,"A",IF(N2047&gt;=Parâmetros!$B$40,"B",IF(N2047&gt;=Parâmetros!$B$41,"C","D"))))</f>
        <v>R</v>
      </c>
      <c r="Q2047" s="10" t="str">
        <f aca="false">IF(F2047="","Completar cadastro","")</f>
        <v/>
      </c>
      <c r="R2047" s="10" t="str">
        <f aca="false">INDEX(Parâmetros!$D$39:$D$43,MATCH(P2047,Parâmetros!$A$39:$A$43,0))</f>
        <v>Reciclar: requalificar, reengajar ou encerrar</v>
      </c>
    </row>
    <row r="2048" customFormat="false" ht="15" hidden="false" customHeight="false" outlineLevel="0" collapsed="false">
      <c r="A2048" s="10" t="s">
        <v>2295</v>
      </c>
      <c r="B2048" s="10" t="s">
        <v>71</v>
      </c>
      <c r="C2048" s="10" t="s">
        <v>72</v>
      </c>
      <c r="D2048" s="10" t="s">
        <v>196</v>
      </c>
      <c r="E2048" s="10" t="s">
        <v>52</v>
      </c>
      <c r="F2048" s="10"/>
      <c r="G2048" s="10" t="s">
        <v>162</v>
      </c>
      <c r="H2048" s="30" t="n">
        <v>42948</v>
      </c>
      <c r="I2048" s="8" t="n">
        <f aca="false">INDEX(Parâmetros!$C$13:$C$19,MATCH(E2048,Parâmetros!$A$13:$A$19,0))</f>
        <v>55</v>
      </c>
      <c r="J2048" s="26" t="n">
        <f aca="false">IF(H2048="","",Parâmetros!$B$5-H2048)</f>
        <v>152</v>
      </c>
      <c r="K2048" s="10" t="n">
        <f aca="false">INDEX(Parâmetros!$D$13:$D$19,MATCH(E2048,Parâmetros!$A$13:$A$19,0))</f>
        <v>0</v>
      </c>
      <c r="L2048" s="10" t="n">
        <f aca="false">IF(G2048="Prospecting",Parâmetros!$B$9,IF(J2048&gt;Parâmetros!$B$6,0,INDEX(Parâmetros!$C$24:$C$26,MATCH(J2048,Parâmetros!$A$24:$A$26,1))))</f>
        <v>0</v>
      </c>
      <c r="M2048" s="31" t="n">
        <f aca="false">IF(G2048="Prospecting",1,INDEX(Parâmetros!$C$32:$C$35,MATCH(J2048,Parâmetros!$A$32:$A$35,1)))</f>
        <v>0.6</v>
      </c>
      <c r="N2048" s="2" t="n">
        <f aca="false">ROUND((K2048+L2048)*M2048,0)</f>
        <v>0</v>
      </c>
      <c r="O2048" s="10" t="str">
        <f aca="false">IF(AND(G2048="Engaging",J2048&gt;Parâmetros!$B$6),"Sim","Não")</f>
        <v>Sim</v>
      </c>
      <c r="P2048" s="32" t="str">
        <f aca="false">IF(O2048="Sim","R",IF(N2048&gt;=Parâmetros!$B$39,"A",IF(N2048&gt;=Parâmetros!$B$40,"B",IF(N2048&gt;=Parâmetros!$B$41,"C","D"))))</f>
        <v>R</v>
      </c>
      <c r="Q2048" s="10" t="str">
        <f aca="false">IF(F2048="","Completar cadastro","")</f>
        <v>Completar cadastro</v>
      </c>
      <c r="R2048" s="10" t="str">
        <f aca="false">INDEX(Parâmetros!$D$39:$D$43,MATCH(P2048,Parâmetros!$A$39:$A$43,0))</f>
        <v>Reciclar: requalificar, reengajar ou encerrar</v>
      </c>
    </row>
    <row r="2049" customFormat="false" ht="15" hidden="false" customHeight="false" outlineLevel="0" collapsed="false">
      <c r="A2049" s="10" t="s">
        <v>2296</v>
      </c>
      <c r="B2049" s="10" t="s">
        <v>77</v>
      </c>
      <c r="C2049" s="10" t="s">
        <v>78</v>
      </c>
      <c r="D2049" s="10" t="s">
        <v>196</v>
      </c>
      <c r="E2049" s="10" t="s">
        <v>52</v>
      </c>
      <c r="F2049" s="10" t="s">
        <v>527</v>
      </c>
      <c r="G2049" s="10" t="s">
        <v>162</v>
      </c>
      <c r="H2049" s="30" t="n">
        <v>42948</v>
      </c>
      <c r="I2049" s="8" t="n">
        <f aca="false">INDEX(Parâmetros!$C$13:$C$19,MATCH(E2049,Parâmetros!$A$13:$A$19,0))</f>
        <v>55</v>
      </c>
      <c r="J2049" s="26" t="n">
        <f aca="false">IF(H2049="","",Parâmetros!$B$5-H2049)</f>
        <v>152</v>
      </c>
      <c r="K2049" s="10" t="n">
        <f aca="false">INDEX(Parâmetros!$D$13:$D$19,MATCH(E2049,Parâmetros!$A$13:$A$19,0))</f>
        <v>0</v>
      </c>
      <c r="L2049" s="10" t="n">
        <f aca="false">IF(G2049="Prospecting",Parâmetros!$B$9,IF(J2049&gt;Parâmetros!$B$6,0,INDEX(Parâmetros!$C$24:$C$26,MATCH(J2049,Parâmetros!$A$24:$A$26,1))))</f>
        <v>0</v>
      </c>
      <c r="M2049" s="31" t="n">
        <f aca="false">IF(G2049="Prospecting",1,INDEX(Parâmetros!$C$32:$C$35,MATCH(J2049,Parâmetros!$A$32:$A$35,1)))</f>
        <v>0.6</v>
      </c>
      <c r="N2049" s="2" t="n">
        <f aca="false">ROUND((K2049+L2049)*M2049,0)</f>
        <v>0</v>
      </c>
      <c r="O2049" s="10" t="str">
        <f aca="false">IF(AND(G2049="Engaging",J2049&gt;Parâmetros!$B$6),"Sim","Não")</f>
        <v>Sim</v>
      </c>
      <c r="P2049" s="32" t="str">
        <f aca="false">IF(O2049="Sim","R",IF(N2049&gt;=Parâmetros!$B$39,"A",IF(N2049&gt;=Parâmetros!$B$40,"B",IF(N2049&gt;=Parâmetros!$B$41,"C","D"))))</f>
        <v>R</v>
      </c>
      <c r="Q2049" s="10" t="str">
        <f aca="false">IF(F2049="","Completar cadastro","")</f>
        <v/>
      </c>
      <c r="R2049" s="10" t="str">
        <f aca="false">INDEX(Parâmetros!$D$39:$D$43,MATCH(P2049,Parâmetros!$A$39:$A$43,0))</f>
        <v>Reciclar: requalificar, reengajar ou encerrar</v>
      </c>
    </row>
    <row r="2050" customFormat="false" ht="15" hidden="false" customHeight="false" outlineLevel="0" collapsed="false">
      <c r="A2050" s="10" t="s">
        <v>2297</v>
      </c>
      <c r="B2050" s="10" t="s">
        <v>77</v>
      </c>
      <c r="C2050" s="10" t="s">
        <v>78</v>
      </c>
      <c r="D2050" s="10" t="s">
        <v>196</v>
      </c>
      <c r="E2050" s="10" t="s">
        <v>52</v>
      </c>
      <c r="F2050" s="10"/>
      <c r="G2050" s="10" t="s">
        <v>162</v>
      </c>
      <c r="H2050" s="30" t="n">
        <v>42948</v>
      </c>
      <c r="I2050" s="8" t="n">
        <f aca="false">INDEX(Parâmetros!$C$13:$C$19,MATCH(E2050,Parâmetros!$A$13:$A$19,0))</f>
        <v>55</v>
      </c>
      <c r="J2050" s="26" t="n">
        <f aca="false">IF(H2050="","",Parâmetros!$B$5-H2050)</f>
        <v>152</v>
      </c>
      <c r="K2050" s="10" t="n">
        <f aca="false">INDEX(Parâmetros!$D$13:$D$19,MATCH(E2050,Parâmetros!$A$13:$A$19,0))</f>
        <v>0</v>
      </c>
      <c r="L2050" s="10" t="n">
        <f aca="false">IF(G2050="Prospecting",Parâmetros!$B$9,IF(J2050&gt;Parâmetros!$B$6,0,INDEX(Parâmetros!$C$24:$C$26,MATCH(J2050,Parâmetros!$A$24:$A$26,1))))</f>
        <v>0</v>
      </c>
      <c r="M2050" s="31" t="n">
        <f aca="false">IF(G2050="Prospecting",1,INDEX(Parâmetros!$C$32:$C$35,MATCH(J2050,Parâmetros!$A$32:$A$35,1)))</f>
        <v>0.6</v>
      </c>
      <c r="N2050" s="2" t="n">
        <f aca="false">ROUND((K2050+L2050)*M2050,0)</f>
        <v>0</v>
      </c>
      <c r="O2050" s="10" t="str">
        <f aca="false">IF(AND(G2050="Engaging",J2050&gt;Parâmetros!$B$6),"Sim","Não")</f>
        <v>Sim</v>
      </c>
      <c r="P2050" s="32" t="str">
        <f aca="false">IF(O2050="Sim","R",IF(N2050&gt;=Parâmetros!$B$39,"A",IF(N2050&gt;=Parâmetros!$B$40,"B",IF(N2050&gt;=Parâmetros!$B$41,"C","D"))))</f>
        <v>R</v>
      </c>
      <c r="Q2050" s="10" t="str">
        <f aca="false">IF(F2050="","Completar cadastro","")</f>
        <v>Completar cadastro</v>
      </c>
      <c r="R2050" s="10" t="str">
        <f aca="false">INDEX(Parâmetros!$D$39:$D$43,MATCH(P2050,Parâmetros!$A$39:$A$43,0))</f>
        <v>Reciclar: requalificar, reengajar ou encerrar</v>
      </c>
    </row>
    <row r="2051" customFormat="false" ht="15" hidden="false" customHeight="false" outlineLevel="0" collapsed="false">
      <c r="A2051" s="10" t="s">
        <v>2298</v>
      </c>
      <c r="B2051" s="10" t="s">
        <v>79</v>
      </c>
      <c r="C2051" s="10" t="s">
        <v>78</v>
      </c>
      <c r="D2051" s="10" t="s">
        <v>196</v>
      </c>
      <c r="E2051" s="10" t="s">
        <v>52</v>
      </c>
      <c r="F2051" s="10"/>
      <c r="G2051" s="10" t="s">
        <v>162</v>
      </c>
      <c r="H2051" s="30" t="n">
        <v>42948</v>
      </c>
      <c r="I2051" s="8" t="n">
        <f aca="false">INDEX(Parâmetros!$C$13:$C$19,MATCH(E2051,Parâmetros!$A$13:$A$19,0))</f>
        <v>55</v>
      </c>
      <c r="J2051" s="26" t="n">
        <f aca="false">IF(H2051="","",Parâmetros!$B$5-H2051)</f>
        <v>152</v>
      </c>
      <c r="K2051" s="10" t="n">
        <f aca="false">INDEX(Parâmetros!$D$13:$D$19,MATCH(E2051,Parâmetros!$A$13:$A$19,0))</f>
        <v>0</v>
      </c>
      <c r="L2051" s="10" t="n">
        <f aca="false">IF(G2051="Prospecting",Parâmetros!$B$9,IF(J2051&gt;Parâmetros!$B$6,0,INDEX(Parâmetros!$C$24:$C$26,MATCH(J2051,Parâmetros!$A$24:$A$26,1))))</f>
        <v>0</v>
      </c>
      <c r="M2051" s="31" t="n">
        <f aca="false">IF(G2051="Prospecting",1,INDEX(Parâmetros!$C$32:$C$35,MATCH(J2051,Parâmetros!$A$32:$A$35,1)))</f>
        <v>0.6</v>
      </c>
      <c r="N2051" s="2" t="n">
        <f aca="false">ROUND((K2051+L2051)*M2051,0)</f>
        <v>0</v>
      </c>
      <c r="O2051" s="10" t="str">
        <f aca="false">IF(AND(G2051="Engaging",J2051&gt;Parâmetros!$B$6),"Sim","Não")</f>
        <v>Sim</v>
      </c>
      <c r="P2051" s="32" t="str">
        <f aca="false">IF(O2051="Sim","R",IF(N2051&gt;=Parâmetros!$B$39,"A",IF(N2051&gt;=Parâmetros!$B$40,"B",IF(N2051&gt;=Parâmetros!$B$41,"C","D"))))</f>
        <v>R</v>
      </c>
      <c r="Q2051" s="10" t="str">
        <f aca="false">IF(F2051="","Completar cadastro","")</f>
        <v>Completar cadastro</v>
      </c>
      <c r="R2051" s="10" t="str">
        <f aca="false">INDEX(Parâmetros!$D$39:$D$43,MATCH(P2051,Parâmetros!$A$39:$A$43,0))</f>
        <v>Reciclar: requalificar, reengajar ou encerrar</v>
      </c>
    </row>
    <row r="2052" customFormat="false" ht="15" hidden="false" customHeight="false" outlineLevel="0" collapsed="false">
      <c r="A2052" s="10" t="s">
        <v>2299</v>
      </c>
      <c r="B2052" s="10" t="s">
        <v>75</v>
      </c>
      <c r="C2052" s="10" t="s">
        <v>72</v>
      </c>
      <c r="D2052" s="10" t="s">
        <v>196</v>
      </c>
      <c r="E2052" s="10" t="s">
        <v>52</v>
      </c>
      <c r="F2052" s="10" t="s">
        <v>453</v>
      </c>
      <c r="G2052" s="10" t="s">
        <v>162</v>
      </c>
      <c r="H2052" s="30" t="n">
        <v>42948</v>
      </c>
      <c r="I2052" s="8" t="n">
        <f aca="false">INDEX(Parâmetros!$C$13:$C$19,MATCH(E2052,Parâmetros!$A$13:$A$19,0))</f>
        <v>55</v>
      </c>
      <c r="J2052" s="26" t="n">
        <f aca="false">IF(H2052="","",Parâmetros!$B$5-H2052)</f>
        <v>152</v>
      </c>
      <c r="K2052" s="10" t="n">
        <f aca="false">INDEX(Parâmetros!$D$13:$D$19,MATCH(E2052,Parâmetros!$A$13:$A$19,0))</f>
        <v>0</v>
      </c>
      <c r="L2052" s="10" t="n">
        <f aca="false">IF(G2052="Prospecting",Parâmetros!$B$9,IF(J2052&gt;Parâmetros!$B$6,0,INDEX(Parâmetros!$C$24:$C$26,MATCH(J2052,Parâmetros!$A$24:$A$26,1))))</f>
        <v>0</v>
      </c>
      <c r="M2052" s="31" t="n">
        <f aca="false">IF(G2052="Prospecting",1,INDEX(Parâmetros!$C$32:$C$35,MATCH(J2052,Parâmetros!$A$32:$A$35,1)))</f>
        <v>0.6</v>
      </c>
      <c r="N2052" s="2" t="n">
        <f aca="false">ROUND((K2052+L2052)*M2052,0)</f>
        <v>0</v>
      </c>
      <c r="O2052" s="10" t="str">
        <f aca="false">IF(AND(G2052="Engaging",J2052&gt;Parâmetros!$B$6),"Sim","Não")</f>
        <v>Sim</v>
      </c>
      <c r="P2052" s="32" t="str">
        <f aca="false">IF(O2052="Sim","R",IF(N2052&gt;=Parâmetros!$B$39,"A",IF(N2052&gt;=Parâmetros!$B$40,"B",IF(N2052&gt;=Parâmetros!$B$41,"C","D"))))</f>
        <v>R</v>
      </c>
      <c r="Q2052" s="10" t="str">
        <f aca="false">IF(F2052="","Completar cadastro","")</f>
        <v/>
      </c>
      <c r="R2052" s="10" t="str">
        <f aca="false">INDEX(Parâmetros!$D$39:$D$43,MATCH(P2052,Parâmetros!$A$39:$A$43,0))</f>
        <v>Reciclar: requalificar, reengajar ou encerrar</v>
      </c>
    </row>
    <row r="2053" customFormat="false" ht="15" hidden="false" customHeight="false" outlineLevel="0" collapsed="false">
      <c r="A2053" s="10" t="s">
        <v>2300</v>
      </c>
      <c r="B2053" s="10" t="s">
        <v>76</v>
      </c>
      <c r="C2053" s="10" t="s">
        <v>72</v>
      </c>
      <c r="D2053" s="10" t="s">
        <v>196</v>
      </c>
      <c r="E2053" s="10" t="s">
        <v>52</v>
      </c>
      <c r="F2053" s="10" t="s">
        <v>410</v>
      </c>
      <c r="G2053" s="10" t="s">
        <v>162</v>
      </c>
      <c r="H2053" s="30" t="n">
        <v>42948</v>
      </c>
      <c r="I2053" s="8" t="n">
        <f aca="false">INDEX(Parâmetros!$C$13:$C$19,MATCH(E2053,Parâmetros!$A$13:$A$19,0))</f>
        <v>55</v>
      </c>
      <c r="J2053" s="26" t="n">
        <f aca="false">IF(H2053="","",Parâmetros!$B$5-H2053)</f>
        <v>152</v>
      </c>
      <c r="K2053" s="10" t="n">
        <f aca="false">INDEX(Parâmetros!$D$13:$D$19,MATCH(E2053,Parâmetros!$A$13:$A$19,0))</f>
        <v>0</v>
      </c>
      <c r="L2053" s="10" t="n">
        <f aca="false">IF(G2053="Prospecting",Parâmetros!$B$9,IF(J2053&gt;Parâmetros!$B$6,0,INDEX(Parâmetros!$C$24:$C$26,MATCH(J2053,Parâmetros!$A$24:$A$26,1))))</f>
        <v>0</v>
      </c>
      <c r="M2053" s="31" t="n">
        <f aca="false">IF(G2053="Prospecting",1,INDEX(Parâmetros!$C$32:$C$35,MATCH(J2053,Parâmetros!$A$32:$A$35,1)))</f>
        <v>0.6</v>
      </c>
      <c r="N2053" s="2" t="n">
        <f aca="false">ROUND((K2053+L2053)*M2053,0)</f>
        <v>0</v>
      </c>
      <c r="O2053" s="10" t="str">
        <f aca="false">IF(AND(G2053="Engaging",J2053&gt;Parâmetros!$B$6),"Sim","Não")</f>
        <v>Sim</v>
      </c>
      <c r="P2053" s="32" t="str">
        <f aca="false">IF(O2053="Sim","R",IF(N2053&gt;=Parâmetros!$B$39,"A",IF(N2053&gt;=Parâmetros!$B$40,"B",IF(N2053&gt;=Parâmetros!$B$41,"C","D"))))</f>
        <v>R</v>
      </c>
      <c r="Q2053" s="10" t="str">
        <f aca="false">IF(F2053="","Completar cadastro","")</f>
        <v/>
      </c>
      <c r="R2053" s="10" t="str">
        <f aca="false">INDEX(Parâmetros!$D$39:$D$43,MATCH(P2053,Parâmetros!$A$39:$A$43,0))</f>
        <v>Reciclar: requalificar, reengajar ou encerrar</v>
      </c>
    </row>
    <row r="2054" customFormat="false" ht="15" hidden="false" customHeight="false" outlineLevel="0" collapsed="false">
      <c r="A2054" s="10" t="s">
        <v>2301</v>
      </c>
      <c r="B2054" s="10" t="s">
        <v>76</v>
      </c>
      <c r="C2054" s="10" t="s">
        <v>72</v>
      </c>
      <c r="D2054" s="10" t="s">
        <v>196</v>
      </c>
      <c r="E2054" s="10" t="s">
        <v>52</v>
      </c>
      <c r="F2054" s="10" t="s">
        <v>424</v>
      </c>
      <c r="G2054" s="10" t="s">
        <v>162</v>
      </c>
      <c r="H2054" s="30" t="n">
        <v>42948</v>
      </c>
      <c r="I2054" s="8" t="n">
        <f aca="false">INDEX(Parâmetros!$C$13:$C$19,MATCH(E2054,Parâmetros!$A$13:$A$19,0))</f>
        <v>55</v>
      </c>
      <c r="J2054" s="26" t="n">
        <f aca="false">IF(H2054="","",Parâmetros!$B$5-H2054)</f>
        <v>152</v>
      </c>
      <c r="K2054" s="10" t="n">
        <f aca="false">INDEX(Parâmetros!$D$13:$D$19,MATCH(E2054,Parâmetros!$A$13:$A$19,0))</f>
        <v>0</v>
      </c>
      <c r="L2054" s="10" t="n">
        <f aca="false">IF(G2054="Prospecting",Parâmetros!$B$9,IF(J2054&gt;Parâmetros!$B$6,0,INDEX(Parâmetros!$C$24:$C$26,MATCH(J2054,Parâmetros!$A$24:$A$26,1))))</f>
        <v>0</v>
      </c>
      <c r="M2054" s="31" t="n">
        <f aca="false">IF(G2054="Prospecting",1,INDEX(Parâmetros!$C$32:$C$35,MATCH(J2054,Parâmetros!$A$32:$A$35,1)))</f>
        <v>0.6</v>
      </c>
      <c r="N2054" s="2" t="n">
        <f aca="false">ROUND((K2054+L2054)*M2054,0)</f>
        <v>0</v>
      </c>
      <c r="O2054" s="10" t="str">
        <f aca="false">IF(AND(G2054="Engaging",J2054&gt;Parâmetros!$B$6),"Sim","Não")</f>
        <v>Sim</v>
      </c>
      <c r="P2054" s="32" t="str">
        <f aca="false">IF(O2054="Sim","R",IF(N2054&gt;=Parâmetros!$B$39,"A",IF(N2054&gt;=Parâmetros!$B$40,"B",IF(N2054&gt;=Parâmetros!$B$41,"C","D"))))</f>
        <v>R</v>
      </c>
      <c r="Q2054" s="10" t="str">
        <f aca="false">IF(F2054="","Completar cadastro","")</f>
        <v/>
      </c>
      <c r="R2054" s="10" t="str">
        <f aca="false">INDEX(Parâmetros!$D$39:$D$43,MATCH(P2054,Parâmetros!$A$39:$A$43,0))</f>
        <v>Reciclar: requalificar, reengajar ou encerrar</v>
      </c>
    </row>
    <row r="2055" customFormat="false" ht="15" hidden="false" customHeight="false" outlineLevel="0" collapsed="false">
      <c r="A2055" s="10" t="s">
        <v>2302</v>
      </c>
      <c r="B2055" s="10" t="s">
        <v>76</v>
      </c>
      <c r="C2055" s="10" t="s">
        <v>72</v>
      </c>
      <c r="D2055" s="10" t="s">
        <v>196</v>
      </c>
      <c r="E2055" s="10" t="s">
        <v>52</v>
      </c>
      <c r="F2055" s="10" t="s">
        <v>692</v>
      </c>
      <c r="G2055" s="10" t="s">
        <v>162</v>
      </c>
      <c r="H2055" s="30" t="n">
        <v>42948</v>
      </c>
      <c r="I2055" s="8" t="n">
        <f aca="false">INDEX(Parâmetros!$C$13:$C$19,MATCH(E2055,Parâmetros!$A$13:$A$19,0))</f>
        <v>55</v>
      </c>
      <c r="J2055" s="26" t="n">
        <f aca="false">IF(H2055="","",Parâmetros!$B$5-H2055)</f>
        <v>152</v>
      </c>
      <c r="K2055" s="10" t="n">
        <f aca="false">INDEX(Parâmetros!$D$13:$D$19,MATCH(E2055,Parâmetros!$A$13:$A$19,0))</f>
        <v>0</v>
      </c>
      <c r="L2055" s="10" t="n">
        <f aca="false">IF(G2055="Prospecting",Parâmetros!$B$9,IF(J2055&gt;Parâmetros!$B$6,0,INDEX(Parâmetros!$C$24:$C$26,MATCH(J2055,Parâmetros!$A$24:$A$26,1))))</f>
        <v>0</v>
      </c>
      <c r="M2055" s="31" t="n">
        <f aca="false">IF(G2055="Prospecting",1,INDEX(Parâmetros!$C$32:$C$35,MATCH(J2055,Parâmetros!$A$32:$A$35,1)))</f>
        <v>0.6</v>
      </c>
      <c r="N2055" s="2" t="n">
        <f aca="false">ROUND((K2055+L2055)*M2055,0)</f>
        <v>0</v>
      </c>
      <c r="O2055" s="10" t="str">
        <f aca="false">IF(AND(G2055="Engaging",J2055&gt;Parâmetros!$B$6),"Sim","Não")</f>
        <v>Sim</v>
      </c>
      <c r="P2055" s="32" t="str">
        <f aca="false">IF(O2055="Sim","R",IF(N2055&gt;=Parâmetros!$B$39,"A",IF(N2055&gt;=Parâmetros!$B$40,"B",IF(N2055&gt;=Parâmetros!$B$41,"C","D"))))</f>
        <v>R</v>
      </c>
      <c r="Q2055" s="10" t="str">
        <f aca="false">IF(F2055="","Completar cadastro","")</f>
        <v/>
      </c>
      <c r="R2055" s="10" t="str">
        <f aca="false">INDEX(Parâmetros!$D$39:$D$43,MATCH(P2055,Parâmetros!$A$39:$A$43,0))</f>
        <v>Reciclar: requalificar, reengajar ou encerrar</v>
      </c>
    </row>
    <row r="2056" customFormat="false" ht="15" hidden="false" customHeight="false" outlineLevel="0" collapsed="false">
      <c r="A2056" s="10" t="s">
        <v>2303</v>
      </c>
      <c r="B2056" s="10" t="s">
        <v>76</v>
      </c>
      <c r="C2056" s="10" t="s">
        <v>72</v>
      </c>
      <c r="D2056" s="10" t="s">
        <v>196</v>
      </c>
      <c r="E2056" s="10" t="s">
        <v>52</v>
      </c>
      <c r="F2056" s="10"/>
      <c r="G2056" s="10" t="s">
        <v>162</v>
      </c>
      <c r="H2056" s="30" t="n">
        <v>42948</v>
      </c>
      <c r="I2056" s="8" t="n">
        <f aca="false">INDEX(Parâmetros!$C$13:$C$19,MATCH(E2056,Parâmetros!$A$13:$A$19,0))</f>
        <v>55</v>
      </c>
      <c r="J2056" s="26" t="n">
        <f aca="false">IF(H2056="","",Parâmetros!$B$5-H2056)</f>
        <v>152</v>
      </c>
      <c r="K2056" s="10" t="n">
        <f aca="false">INDEX(Parâmetros!$D$13:$D$19,MATCH(E2056,Parâmetros!$A$13:$A$19,0))</f>
        <v>0</v>
      </c>
      <c r="L2056" s="10" t="n">
        <f aca="false">IF(G2056="Prospecting",Parâmetros!$B$9,IF(J2056&gt;Parâmetros!$B$6,0,INDEX(Parâmetros!$C$24:$C$26,MATCH(J2056,Parâmetros!$A$24:$A$26,1))))</f>
        <v>0</v>
      </c>
      <c r="M2056" s="31" t="n">
        <f aca="false">IF(G2056="Prospecting",1,INDEX(Parâmetros!$C$32:$C$35,MATCH(J2056,Parâmetros!$A$32:$A$35,1)))</f>
        <v>0.6</v>
      </c>
      <c r="N2056" s="2" t="n">
        <f aca="false">ROUND((K2056+L2056)*M2056,0)</f>
        <v>0</v>
      </c>
      <c r="O2056" s="10" t="str">
        <f aca="false">IF(AND(G2056="Engaging",J2056&gt;Parâmetros!$B$6),"Sim","Não")</f>
        <v>Sim</v>
      </c>
      <c r="P2056" s="32" t="str">
        <f aca="false">IF(O2056="Sim","R",IF(N2056&gt;=Parâmetros!$B$39,"A",IF(N2056&gt;=Parâmetros!$B$40,"B",IF(N2056&gt;=Parâmetros!$B$41,"C","D"))))</f>
        <v>R</v>
      </c>
      <c r="Q2056" s="10" t="str">
        <f aca="false">IF(F2056="","Completar cadastro","")</f>
        <v>Completar cadastro</v>
      </c>
      <c r="R2056" s="10" t="str">
        <f aca="false">INDEX(Parâmetros!$D$39:$D$43,MATCH(P2056,Parâmetros!$A$39:$A$43,0))</f>
        <v>Reciclar: requalificar, reengajar ou encerrar</v>
      </c>
    </row>
    <row r="2057" customFormat="false" ht="15" hidden="false" customHeight="false" outlineLevel="0" collapsed="false">
      <c r="A2057" s="10" t="s">
        <v>2304</v>
      </c>
      <c r="B2057" s="10" t="s">
        <v>76</v>
      </c>
      <c r="C2057" s="10" t="s">
        <v>72</v>
      </c>
      <c r="D2057" s="10" t="s">
        <v>196</v>
      </c>
      <c r="E2057" s="10" t="s">
        <v>52</v>
      </c>
      <c r="F2057" s="10"/>
      <c r="G2057" s="10" t="s">
        <v>162</v>
      </c>
      <c r="H2057" s="30" t="n">
        <v>42948</v>
      </c>
      <c r="I2057" s="8" t="n">
        <f aca="false">INDEX(Parâmetros!$C$13:$C$19,MATCH(E2057,Parâmetros!$A$13:$A$19,0))</f>
        <v>55</v>
      </c>
      <c r="J2057" s="26" t="n">
        <f aca="false">IF(H2057="","",Parâmetros!$B$5-H2057)</f>
        <v>152</v>
      </c>
      <c r="K2057" s="10" t="n">
        <f aca="false">INDEX(Parâmetros!$D$13:$D$19,MATCH(E2057,Parâmetros!$A$13:$A$19,0))</f>
        <v>0</v>
      </c>
      <c r="L2057" s="10" t="n">
        <f aca="false">IF(G2057="Prospecting",Parâmetros!$B$9,IF(J2057&gt;Parâmetros!$B$6,0,INDEX(Parâmetros!$C$24:$C$26,MATCH(J2057,Parâmetros!$A$24:$A$26,1))))</f>
        <v>0</v>
      </c>
      <c r="M2057" s="31" t="n">
        <f aca="false">IF(G2057="Prospecting",1,INDEX(Parâmetros!$C$32:$C$35,MATCH(J2057,Parâmetros!$A$32:$A$35,1)))</f>
        <v>0.6</v>
      </c>
      <c r="N2057" s="2" t="n">
        <f aca="false">ROUND((K2057+L2057)*M2057,0)</f>
        <v>0</v>
      </c>
      <c r="O2057" s="10" t="str">
        <f aca="false">IF(AND(G2057="Engaging",J2057&gt;Parâmetros!$B$6),"Sim","Não")</f>
        <v>Sim</v>
      </c>
      <c r="P2057" s="32" t="str">
        <f aca="false">IF(O2057="Sim","R",IF(N2057&gt;=Parâmetros!$B$39,"A",IF(N2057&gt;=Parâmetros!$B$40,"B",IF(N2057&gt;=Parâmetros!$B$41,"C","D"))))</f>
        <v>R</v>
      </c>
      <c r="Q2057" s="10" t="str">
        <f aca="false">IF(F2057="","Completar cadastro","")</f>
        <v>Completar cadastro</v>
      </c>
      <c r="R2057" s="10" t="str">
        <f aca="false">INDEX(Parâmetros!$D$39:$D$43,MATCH(P2057,Parâmetros!$A$39:$A$43,0))</f>
        <v>Reciclar: requalificar, reengajar ou encerrar</v>
      </c>
    </row>
    <row r="2058" customFormat="false" ht="15" hidden="false" customHeight="false" outlineLevel="0" collapsed="false">
      <c r="A2058" s="10" t="s">
        <v>2305</v>
      </c>
      <c r="B2058" s="10" t="s">
        <v>76</v>
      </c>
      <c r="C2058" s="10" t="s">
        <v>72</v>
      </c>
      <c r="D2058" s="10" t="s">
        <v>196</v>
      </c>
      <c r="E2058" s="10" t="s">
        <v>52</v>
      </c>
      <c r="F2058" s="10"/>
      <c r="G2058" s="10" t="s">
        <v>162</v>
      </c>
      <c r="H2058" s="30" t="n">
        <v>42949</v>
      </c>
      <c r="I2058" s="8" t="n">
        <f aca="false">INDEX(Parâmetros!$C$13:$C$19,MATCH(E2058,Parâmetros!$A$13:$A$19,0))</f>
        <v>55</v>
      </c>
      <c r="J2058" s="26" t="n">
        <f aca="false">IF(H2058="","",Parâmetros!$B$5-H2058)</f>
        <v>151</v>
      </c>
      <c r="K2058" s="10" t="n">
        <f aca="false">INDEX(Parâmetros!$D$13:$D$19,MATCH(E2058,Parâmetros!$A$13:$A$19,0))</f>
        <v>0</v>
      </c>
      <c r="L2058" s="10" t="n">
        <f aca="false">IF(G2058="Prospecting",Parâmetros!$B$9,IF(J2058&gt;Parâmetros!$B$6,0,INDEX(Parâmetros!$C$24:$C$26,MATCH(J2058,Parâmetros!$A$24:$A$26,1))))</f>
        <v>0</v>
      </c>
      <c r="M2058" s="31" t="n">
        <f aca="false">IF(G2058="Prospecting",1,INDEX(Parâmetros!$C$32:$C$35,MATCH(J2058,Parâmetros!$A$32:$A$35,1)))</f>
        <v>0.6</v>
      </c>
      <c r="N2058" s="2" t="n">
        <f aca="false">ROUND((K2058+L2058)*M2058,0)</f>
        <v>0</v>
      </c>
      <c r="O2058" s="10" t="str">
        <f aca="false">IF(AND(G2058="Engaging",J2058&gt;Parâmetros!$B$6),"Sim","Não")</f>
        <v>Sim</v>
      </c>
      <c r="P2058" s="32" t="str">
        <f aca="false">IF(O2058="Sim","R",IF(N2058&gt;=Parâmetros!$B$39,"A",IF(N2058&gt;=Parâmetros!$B$40,"B",IF(N2058&gt;=Parâmetros!$B$41,"C","D"))))</f>
        <v>R</v>
      </c>
      <c r="Q2058" s="10" t="str">
        <f aca="false">IF(F2058="","Completar cadastro","")</f>
        <v>Completar cadastro</v>
      </c>
      <c r="R2058" s="10" t="str">
        <f aca="false">INDEX(Parâmetros!$D$39:$D$43,MATCH(P2058,Parâmetros!$A$39:$A$43,0))</f>
        <v>Reciclar: requalificar, reengajar ou encerrar</v>
      </c>
    </row>
    <row r="2059" customFormat="false" ht="15" hidden="false" customHeight="false" outlineLevel="0" collapsed="false">
      <c r="A2059" s="10" t="s">
        <v>2306</v>
      </c>
      <c r="B2059" s="10" t="s">
        <v>76</v>
      </c>
      <c r="C2059" s="10" t="s">
        <v>72</v>
      </c>
      <c r="D2059" s="10" t="s">
        <v>196</v>
      </c>
      <c r="E2059" s="10" t="s">
        <v>52</v>
      </c>
      <c r="F2059" s="10"/>
      <c r="G2059" s="10" t="s">
        <v>162</v>
      </c>
      <c r="H2059" s="30" t="n">
        <v>42949</v>
      </c>
      <c r="I2059" s="8" t="n">
        <f aca="false">INDEX(Parâmetros!$C$13:$C$19,MATCH(E2059,Parâmetros!$A$13:$A$19,0))</f>
        <v>55</v>
      </c>
      <c r="J2059" s="26" t="n">
        <f aca="false">IF(H2059="","",Parâmetros!$B$5-H2059)</f>
        <v>151</v>
      </c>
      <c r="K2059" s="10" t="n">
        <f aca="false">INDEX(Parâmetros!$D$13:$D$19,MATCH(E2059,Parâmetros!$A$13:$A$19,0))</f>
        <v>0</v>
      </c>
      <c r="L2059" s="10" t="n">
        <f aca="false">IF(G2059="Prospecting",Parâmetros!$B$9,IF(J2059&gt;Parâmetros!$B$6,0,INDEX(Parâmetros!$C$24:$C$26,MATCH(J2059,Parâmetros!$A$24:$A$26,1))))</f>
        <v>0</v>
      </c>
      <c r="M2059" s="31" t="n">
        <f aca="false">IF(G2059="Prospecting",1,INDEX(Parâmetros!$C$32:$C$35,MATCH(J2059,Parâmetros!$A$32:$A$35,1)))</f>
        <v>0.6</v>
      </c>
      <c r="N2059" s="2" t="n">
        <f aca="false">ROUND((K2059+L2059)*M2059,0)</f>
        <v>0</v>
      </c>
      <c r="O2059" s="10" t="str">
        <f aca="false">IF(AND(G2059="Engaging",J2059&gt;Parâmetros!$B$6),"Sim","Não")</f>
        <v>Sim</v>
      </c>
      <c r="P2059" s="32" t="str">
        <f aca="false">IF(O2059="Sim","R",IF(N2059&gt;=Parâmetros!$B$39,"A",IF(N2059&gt;=Parâmetros!$B$40,"B",IF(N2059&gt;=Parâmetros!$B$41,"C","D"))))</f>
        <v>R</v>
      </c>
      <c r="Q2059" s="10" t="str">
        <f aca="false">IF(F2059="","Completar cadastro","")</f>
        <v>Completar cadastro</v>
      </c>
      <c r="R2059" s="10" t="str">
        <f aca="false">INDEX(Parâmetros!$D$39:$D$43,MATCH(P2059,Parâmetros!$A$39:$A$43,0))</f>
        <v>Reciclar: requalificar, reengajar ou encerrar</v>
      </c>
    </row>
    <row r="2060" customFormat="false" ht="15" hidden="false" customHeight="false" outlineLevel="0" collapsed="false">
      <c r="A2060" s="10" t="s">
        <v>2307</v>
      </c>
      <c r="B2060" s="10" t="s">
        <v>71</v>
      </c>
      <c r="C2060" s="10" t="s">
        <v>72</v>
      </c>
      <c r="D2060" s="10" t="s">
        <v>196</v>
      </c>
      <c r="E2060" s="10" t="s">
        <v>52</v>
      </c>
      <c r="F2060" s="10"/>
      <c r="G2060" s="10" t="s">
        <v>162</v>
      </c>
      <c r="H2060" s="30" t="n">
        <v>42950</v>
      </c>
      <c r="I2060" s="8" t="n">
        <f aca="false">INDEX(Parâmetros!$C$13:$C$19,MATCH(E2060,Parâmetros!$A$13:$A$19,0))</f>
        <v>55</v>
      </c>
      <c r="J2060" s="26" t="n">
        <f aca="false">IF(H2060="","",Parâmetros!$B$5-H2060)</f>
        <v>150</v>
      </c>
      <c r="K2060" s="10" t="n">
        <f aca="false">INDEX(Parâmetros!$D$13:$D$19,MATCH(E2060,Parâmetros!$A$13:$A$19,0))</f>
        <v>0</v>
      </c>
      <c r="L2060" s="10" t="n">
        <f aca="false">IF(G2060="Prospecting",Parâmetros!$B$9,IF(J2060&gt;Parâmetros!$B$6,0,INDEX(Parâmetros!$C$24:$C$26,MATCH(J2060,Parâmetros!$A$24:$A$26,1))))</f>
        <v>0</v>
      </c>
      <c r="M2060" s="31" t="n">
        <f aca="false">IF(G2060="Prospecting",1,INDEX(Parâmetros!$C$32:$C$35,MATCH(J2060,Parâmetros!$A$32:$A$35,1)))</f>
        <v>0.6</v>
      </c>
      <c r="N2060" s="2" t="n">
        <f aca="false">ROUND((K2060+L2060)*M2060,0)</f>
        <v>0</v>
      </c>
      <c r="O2060" s="10" t="str">
        <f aca="false">IF(AND(G2060="Engaging",J2060&gt;Parâmetros!$B$6),"Sim","Não")</f>
        <v>Sim</v>
      </c>
      <c r="P2060" s="32" t="str">
        <f aca="false">IF(O2060="Sim","R",IF(N2060&gt;=Parâmetros!$B$39,"A",IF(N2060&gt;=Parâmetros!$B$40,"B",IF(N2060&gt;=Parâmetros!$B$41,"C","D"))))</f>
        <v>R</v>
      </c>
      <c r="Q2060" s="10" t="str">
        <f aca="false">IF(F2060="","Completar cadastro","")</f>
        <v>Completar cadastro</v>
      </c>
      <c r="R2060" s="10" t="str">
        <f aca="false">INDEX(Parâmetros!$D$39:$D$43,MATCH(P2060,Parâmetros!$A$39:$A$43,0))</f>
        <v>Reciclar: requalificar, reengajar ou encerrar</v>
      </c>
    </row>
    <row r="2061" customFormat="false" ht="15" hidden="false" customHeight="false" outlineLevel="0" collapsed="false">
      <c r="A2061" s="10" t="s">
        <v>2308</v>
      </c>
      <c r="B2061" s="10" t="s">
        <v>79</v>
      </c>
      <c r="C2061" s="10" t="s">
        <v>78</v>
      </c>
      <c r="D2061" s="10" t="s">
        <v>196</v>
      </c>
      <c r="E2061" s="10" t="s">
        <v>52</v>
      </c>
      <c r="F2061" s="10" t="s">
        <v>947</v>
      </c>
      <c r="G2061" s="10" t="s">
        <v>162</v>
      </c>
      <c r="H2061" s="30" t="n">
        <v>42950</v>
      </c>
      <c r="I2061" s="8" t="n">
        <f aca="false">INDEX(Parâmetros!$C$13:$C$19,MATCH(E2061,Parâmetros!$A$13:$A$19,0))</f>
        <v>55</v>
      </c>
      <c r="J2061" s="26" t="n">
        <f aca="false">IF(H2061="","",Parâmetros!$B$5-H2061)</f>
        <v>150</v>
      </c>
      <c r="K2061" s="10" t="n">
        <f aca="false">INDEX(Parâmetros!$D$13:$D$19,MATCH(E2061,Parâmetros!$A$13:$A$19,0))</f>
        <v>0</v>
      </c>
      <c r="L2061" s="10" t="n">
        <f aca="false">IF(G2061="Prospecting",Parâmetros!$B$9,IF(J2061&gt;Parâmetros!$B$6,0,INDEX(Parâmetros!$C$24:$C$26,MATCH(J2061,Parâmetros!$A$24:$A$26,1))))</f>
        <v>0</v>
      </c>
      <c r="M2061" s="31" t="n">
        <f aca="false">IF(G2061="Prospecting",1,INDEX(Parâmetros!$C$32:$C$35,MATCH(J2061,Parâmetros!$A$32:$A$35,1)))</f>
        <v>0.6</v>
      </c>
      <c r="N2061" s="2" t="n">
        <f aca="false">ROUND((K2061+L2061)*M2061,0)</f>
        <v>0</v>
      </c>
      <c r="O2061" s="10" t="str">
        <f aca="false">IF(AND(G2061="Engaging",J2061&gt;Parâmetros!$B$6),"Sim","Não")</f>
        <v>Sim</v>
      </c>
      <c r="P2061" s="32" t="str">
        <f aca="false">IF(O2061="Sim","R",IF(N2061&gt;=Parâmetros!$B$39,"A",IF(N2061&gt;=Parâmetros!$B$40,"B",IF(N2061&gt;=Parâmetros!$B$41,"C","D"))))</f>
        <v>R</v>
      </c>
      <c r="Q2061" s="10" t="str">
        <f aca="false">IF(F2061="","Completar cadastro","")</f>
        <v/>
      </c>
      <c r="R2061" s="10" t="str">
        <f aca="false">INDEX(Parâmetros!$D$39:$D$43,MATCH(P2061,Parâmetros!$A$39:$A$43,0))</f>
        <v>Reciclar: requalificar, reengajar ou encerrar</v>
      </c>
    </row>
    <row r="2062" customFormat="false" ht="15" hidden="false" customHeight="false" outlineLevel="0" collapsed="false">
      <c r="A2062" s="10" t="s">
        <v>2309</v>
      </c>
      <c r="B2062" s="10" t="s">
        <v>79</v>
      </c>
      <c r="C2062" s="10" t="s">
        <v>78</v>
      </c>
      <c r="D2062" s="10" t="s">
        <v>196</v>
      </c>
      <c r="E2062" s="10" t="s">
        <v>52</v>
      </c>
      <c r="F2062" s="10"/>
      <c r="G2062" s="10" t="s">
        <v>162</v>
      </c>
      <c r="H2062" s="30" t="n">
        <v>42950</v>
      </c>
      <c r="I2062" s="8" t="n">
        <f aca="false">INDEX(Parâmetros!$C$13:$C$19,MATCH(E2062,Parâmetros!$A$13:$A$19,0))</f>
        <v>55</v>
      </c>
      <c r="J2062" s="26" t="n">
        <f aca="false">IF(H2062="","",Parâmetros!$B$5-H2062)</f>
        <v>150</v>
      </c>
      <c r="K2062" s="10" t="n">
        <f aca="false">INDEX(Parâmetros!$D$13:$D$19,MATCH(E2062,Parâmetros!$A$13:$A$19,0))</f>
        <v>0</v>
      </c>
      <c r="L2062" s="10" t="n">
        <f aca="false">IF(G2062="Prospecting",Parâmetros!$B$9,IF(J2062&gt;Parâmetros!$B$6,0,INDEX(Parâmetros!$C$24:$C$26,MATCH(J2062,Parâmetros!$A$24:$A$26,1))))</f>
        <v>0</v>
      </c>
      <c r="M2062" s="31" t="n">
        <f aca="false">IF(G2062="Prospecting",1,INDEX(Parâmetros!$C$32:$C$35,MATCH(J2062,Parâmetros!$A$32:$A$35,1)))</f>
        <v>0.6</v>
      </c>
      <c r="N2062" s="2" t="n">
        <f aca="false">ROUND((K2062+L2062)*M2062,0)</f>
        <v>0</v>
      </c>
      <c r="O2062" s="10" t="str">
        <f aca="false">IF(AND(G2062="Engaging",J2062&gt;Parâmetros!$B$6),"Sim","Não")</f>
        <v>Sim</v>
      </c>
      <c r="P2062" s="32" t="str">
        <f aca="false">IF(O2062="Sim","R",IF(N2062&gt;=Parâmetros!$B$39,"A",IF(N2062&gt;=Parâmetros!$B$40,"B",IF(N2062&gt;=Parâmetros!$B$41,"C","D"))))</f>
        <v>R</v>
      </c>
      <c r="Q2062" s="10" t="str">
        <f aca="false">IF(F2062="","Completar cadastro","")</f>
        <v>Completar cadastro</v>
      </c>
      <c r="R2062" s="10" t="str">
        <f aca="false">INDEX(Parâmetros!$D$39:$D$43,MATCH(P2062,Parâmetros!$A$39:$A$43,0))</f>
        <v>Reciclar: requalificar, reengajar ou encerrar</v>
      </c>
    </row>
    <row r="2063" customFormat="false" ht="15" hidden="false" customHeight="false" outlineLevel="0" collapsed="false">
      <c r="A2063" s="10" t="s">
        <v>2310</v>
      </c>
      <c r="B2063" s="10" t="s">
        <v>94</v>
      </c>
      <c r="C2063" s="10" t="s">
        <v>92</v>
      </c>
      <c r="D2063" s="10" t="s">
        <v>160</v>
      </c>
      <c r="E2063" s="10" t="s">
        <v>52</v>
      </c>
      <c r="F2063" s="10" t="s">
        <v>410</v>
      </c>
      <c r="G2063" s="10" t="s">
        <v>162</v>
      </c>
      <c r="H2063" s="30" t="n">
        <v>42950</v>
      </c>
      <c r="I2063" s="8" t="n">
        <f aca="false">INDEX(Parâmetros!$C$13:$C$19,MATCH(E2063,Parâmetros!$A$13:$A$19,0))</f>
        <v>55</v>
      </c>
      <c r="J2063" s="26" t="n">
        <f aca="false">IF(H2063="","",Parâmetros!$B$5-H2063)</f>
        <v>150</v>
      </c>
      <c r="K2063" s="10" t="n">
        <f aca="false">INDEX(Parâmetros!$D$13:$D$19,MATCH(E2063,Parâmetros!$A$13:$A$19,0))</f>
        <v>0</v>
      </c>
      <c r="L2063" s="10" t="n">
        <f aca="false">IF(G2063="Prospecting",Parâmetros!$B$9,IF(J2063&gt;Parâmetros!$B$6,0,INDEX(Parâmetros!$C$24:$C$26,MATCH(J2063,Parâmetros!$A$24:$A$26,1))))</f>
        <v>0</v>
      </c>
      <c r="M2063" s="31" t="n">
        <f aca="false">IF(G2063="Prospecting",1,INDEX(Parâmetros!$C$32:$C$35,MATCH(J2063,Parâmetros!$A$32:$A$35,1)))</f>
        <v>0.6</v>
      </c>
      <c r="N2063" s="2" t="n">
        <f aca="false">ROUND((K2063+L2063)*M2063,0)</f>
        <v>0</v>
      </c>
      <c r="O2063" s="10" t="str">
        <f aca="false">IF(AND(G2063="Engaging",J2063&gt;Parâmetros!$B$6),"Sim","Não")</f>
        <v>Sim</v>
      </c>
      <c r="P2063" s="32" t="str">
        <f aca="false">IF(O2063="Sim","R",IF(N2063&gt;=Parâmetros!$B$39,"A",IF(N2063&gt;=Parâmetros!$B$40,"B",IF(N2063&gt;=Parâmetros!$B$41,"C","D"))))</f>
        <v>R</v>
      </c>
      <c r="Q2063" s="10" t="str">
        <f aca="false">IF(F2063="","Completar cadastro","")</f>
        <v/>
      </c>
      <c r="R2063" s="10" t="str">
        <f aca="false">INDEX(Parâmetros!$D$39:$D$43,MATCH(P2063,Parâmetros!$A$39:$A$43,0))</f>
        <v>Reciclar: requalificar, reengajar ou encerrar</v>
      </c>
    </row>
    <row r="2064" customFormat="false" ht="15" hidden="false" customHeight="false" outlineLevel="0" collapsed="false">
      <c r="A2064" s="10" t="s">
        <v>2311</v>
      </c>
      <c r="B2064" s="10" t="s">
        <v>74</v>
      </c>
      <c r="C2064" s="10" t="s">
        <v>72</v>
      </c>
      <c r="D2064" s="10" t="s">
        <v>196</v>
      </c>
      <c r="E2064" s="10" t="s">
        <v>52</v>
      </c>
      <c r="F2064" s="10"/>
      <c r="G2064" s="10" t="s">
        <v>162</v>
      </c>
      <c r="H2064" s="30" t="n">
        <v>42950</v>
      </c>
      <c r="I2064" s="8" t="n">
        <f aca="false">INDEX(Parâmetros!$C$13:$C$19,MATCH(E2064,Parâmetros!$A$13:$A$19,0))</f>
        <v>55</v>
      </c>
      <c r="J2064" s="26" t="n">
        <f aca="false">IF(H2064="","",Parâmetros!$B$5-H2064)</f>
        <v>150</v>
      </c>
      <c r="K2064" s="10" t="n">
        <f aca="false">INDEX(Parâmetros!$D$13:$D$19,MATCH(E2064,Parâmetros!$A$13:$A$19,0))</f>
        <v>0</v>
      </c>
      <c r="L2064" s="10" t="n">
        <f aca="false">IF(G2064="Prospecting",Parâmetros!$B$9,IF(J2064&gt;Parâmetros!$B$6,0,INDEX(Parâmetros!$C$24:$C$26,MATCH(J2064,Parâmetros!$A$24:$A$26,1))))</f>
        <v>0</v>
      </c>
      <c r="M2064" s="31" t="n">
        <f aca="false">IF(G2064="Prospecting",1,INDEX(Parâmetros!$C$32:$C$35,MATCH(J2064,Parâmetros!$A$32:$A$35,1)))</f>
        <v>0.6</v>
      </c>
      <c r="N2064" s="2" t="n">
        <f aca="false">ROUND((K2064+L2064)*M2064,0)</f>
        <v>0</v>
      </c>
      <c r="O2064" s="10" t="str">
        <f aca="false">IF(AND(G2064="Engaging",J2064&gt;Parâmetros!$B$6),"Sim","Não")</f>
        <v>Sim</v>
      </c>
      <c r="P2064" s="32" t="str">
        <f aca="false">IF(O2064="Sim","R",IF(N2064&gt;=Parâmetros!$B$39,"A",IF(N2064&gt;=Parâmetros!$B$40,"B",IF(N2064&gt;=Parâmetros!$B$41,"C","D"))))</f>
        <v>R</v>
      </c>
      <c r="Q2064" s="10" t="str">
        <f aca="false">IF(F2064="","Completar cadastro","")</f>
        <v>Completar cadastro</v>
      </c>
      <c r="R2064" s="10" t="str">
        <f aca="false">INDEX(Parâmetros!$D$39:$D$43,MATCH(P2064,Parâmetros!$A$39:$A$43,0))</f>
        <v>Reciclar: requalificar, reengajar ou encerrar</v>
      </c>
    </row>
    <row r="2065" customFormat="false" ht="15" hidden="false" customHeight="false" outlineLevel="0" collapsed="false">
      <c r="A2065" s="10" t="s">
        <v>2312</v>
      </c>
      <c r="B2065" s="10" t="s">
        <v>83</v>
      </c>
      <c r="C2065" s="10" t="s">
        <v>78</v>
      </c>
      <c r="D2065" s="10" t="s">
        <v>196</v>
      </c>
      <c r="E2065" s="10" t="s">
        <v>52</v>
      </c>
      <c r="F2065" s="10"/>
      <c r="G2065" s="10" t="s">
        <v>162</v>
      </c>
      <c r="H2065" s="30" t="n">
        <v>42950</v>
      </c>
      <c r="I2065" s="8" t="n">
        <f aca="false">INDEX(Parâmetros!$C$13:$C$19,MATCH(E2065,Parâmetros!$A$13:$A$19,0))</f>
        <v>55</v>
      </c>
      <c r="J2065" s="26" t="n">
        <f aca="false">IF(H2065="","",Parâmetros!$B$5-H2065)</f>
        <v>150</v>
      </c>
      <c r="K2065" s="10" t="n">
        <f aca="false">INDEX(Parâmetros!$D$13:$D$19,MATCH(E2065,Parâmetros!$A$13:$A$19,0))</f>
        <v>0</v>
      </c>
      <c r="L2065" s="10" t="n">
        <f aca="false">IF(G2065="Prospecting",Parâmetros!$B$9,IF(J2065&gt;Parâmetros!$B$6,0,INDEX(Parâmetros!$C$24:$C$26,MATCH(J2065,Parâmetros!$A$24:$A$26,1))))</f>
        <v>0</v>
      </c>
      <c r="M2065" s="31" t="n">
        <f aca="false">IF(G2065="Prospecting",1,INDEX(Parâmetros!$C$32:$C$35,MATCH(J2065,Parâmetros!$A$32:$A$35,1)))</f>
        <v>0.6</v>
      </c>
      <c r="N2065" s="2" t="n">
        <f aca="false">ROUND((K2065+L2065)*M2065,0)</f>
        <v>0</v>
      </c>
      <c r="O2065" s="10" t="str">
        <f aca="false">IF(AND(G2065="Engaging",J2065&gt;Parâmetros!$B$6),"Sim","Não")</f>
        <v>Sim</v>
      </c>
      <c r="P2065" s="32" t="str">
        <f aca="false">IF(O2065="Sim","R",IF(N2065&gt;=Parâmetros!$B$39,"A",IF(N2065&gt;=Parâmetros!$B$40,"B",IF(N2065&gt;=Parâmetros!$B$41,"C","D"))))</f>
        <v>R</v>
      </c>
      <c r="Q2065" s="10" t="str">
        <f aca="false">IF(F2065="","Completar cadastro","")</f>
        <v>Completar cadastro</v>
      </c>
      <c r="R2065" s="10" t="str">
        <f aca="false">INDEX(Parâmetros!$D$39:$D$43,MATCH(P2065,Parâmetros!$A$39:$A$43,0))</f>
        <v>Reciclar: requalificar, reengajar ou encerrar</v>
      </c>
    </row>
    <row r="2066" customFormat="false" ht="15" hidden="false" customHeight="false" outlineLevel="0" collapsed="false">
      <c r="A2066" s="10" t="s">
        <v>2313</v>
      </c>
      <c r="B2066" s="10" t="s">
        <v>76</v>
      </c>
      <c r="C2066" s="10" t="s">
        <v>72</v>
      </c>
      <c r="D2066" s="10" t="s">
        <v>196</v>
      </c>
      <c r="E2066" s="10" t="s">
        <v>52</v>
      </c>
      <c r="F2066" s="10"/>
      <c r="G2066" s="10" t="s">
        <v>162</v>
      </c>
      <c r="H2066" s="30" t="n">
        <v>42950</v>
      </c>
      <c r="I2066" s="8" t="n">
        <f aca="false">INDEX(Parâmetros!$C$13:$C$19,MATCH(E2066,Parâmetros!$A$13:$A$19,0))</f>
        <v>55</v>
      </c>
      <c r="J2066" s="26" t="n">
        <f aca="false">IF(H2066="","",Parâmetros!$B$5-H2066)</f>
        <v>150</v>
      </c>
      <c r="K2066" s="10" t="n">
        <f aca="false">INDEX(Parâmetros!$D$13:$D$19,MATCH(E2066,Parâmetros!$A$13:$A$19,0))</f>
        <v>0</v>
      </c>
      <c r="L2066" s="10" t="n">
        <f aca="false">IF(G2066="Prospecting",Parâmetros!$B$9,IF(J2066&gt;Parâmetros!$B$6,0,INDEX(Parâmetros!$C$24:$C$26,MATCH(J2066,Parâmetros!$A$24:$A$26,1))))</f>
        <v>0</v>
      </c>
      <c r="M2066" s="31" t="n">
        <f aca="false">IF(G2066="Prospecting",1,INDEX(Parâmetros!$C$32:$C$35,MATCH(J2066,Parâmetros!$A$32:$A$35,1)))</f>
        <v>0.6</v>
      </c>
      <c r="N2066" s="2" t="n">
        <f aca="false">ROUND((K2066+L2066)*M2066,0)</f>
        <v>0</v>
      </c>
      <c r="O2066" s="10" t="str">
        <f aca="false">IF(AND(G2066="Engaging",J2066&gt;Parâmetros!$B$6),"Sim","Não")</f>
        <v>Sim</v>
      </c>
      <c r="P2066" s="32" t="str">
        <f aca="false">IF(O2066="Sim","R",IF(N2066&gt;=Parâmetros!$B$39,"A",IF(N2066&gt;=Parâmetros!$B$40,"B",IF(N2066&gt;=Parâmetros!$B$41,"C","D"))))</f>
        <v>R</v>
      </c>
      <c r="Q2066" s="10" t="str">
        <f aca="false">IF(F2066="","Completar cadastro","")</f>
        <v>Completar cadastro</v>
      </c>
      <c r="R2066" s="10" t="str">
        <f aca="false">INDEX(Parâmetros!$D$39:$D$43,MATCH(P2066,Parâmetros!$A$39:$A$43,0))</f>
        <v>Reciclar: requalificar, reengajar ou encerrar</v>
      </c>
    </row>
    <row r="2067" customFormat="false" ht="15" hidden="false" customHeight="false" outlineLevel="0" collapsed="false">
      <c r="A2067" s="10" t="s">
        <v>2314</v>
      </c>
      <c r="B2067" s="10" t="s">
        <v>70</v>
      </c>
      <c r="C2067" s="10" t="s">
        <v>65</v>
      </c>
      <c r="D2067" s="10" t="s">
        <v>160</v>
      </c>
      <c r="E2067" s="10" t="s">
        <v>52</v>
      </c>
      <c r="F2067" s="10" t="s">
        <v>692</v>
      </c>
      <c r="G2067" s="10" t="s">
        <v>162</v>
      </c>
      <c r="H2067" s="30" t="n">
        <v>42950</v>
      </c>
      <c r="I2067" s="8" t="n">
        <f aca="false">INDEX(Parâmetros!$C$13:$C$19,MATCH(E2067,Parâmetros!$A$13:$A$19,0))</f>
        <v>55</v>
      </c>
      <c r="J2067" s="26" t="n">
        <f aca="false">IF(H2067="","",Parâmetros!$B$5-H2067)</f>
        <v>150</v>
      </c>
      <c r="K2067" s="10" t="n">
        <f aca="false">INDEX(Parâmetros!$D$13:$D$19,MATCH(E2067,Parâmetros!$A$13:$A$19,0))</f>
        <v>0</v>
      </c>
      <c r="L2067" s="10" t="n">
        <f aca="false">IF(G2067="Prospecting",Parâmetros!$B$9,IF(J2067&gt;Parâmetros!$B$6,0,INDEX(Parâmetros!$C$24:$C$26,MATCH(J2067,Parâmetros!$A$24:$A$26,1))))</f>
        <v>0</v>
      </c>
      <c r="M2067" s="31" t="n">
        <f aca="false">IF(G2067="Prospecting",1,INDEX(Parâmetros!$C$32:$C$35,MATCH(J2067,Parâmetros!$A$32:$A$35,1)))</f>
        <v>0.6</v>
      </c>
      <c r="N2067" s="2" t="n">
        <f aca="false">ROUND((K2067+L2067)*M2067,0)</f>
        <v>0</v>
      </c>
      <c r="O2067" s="10" t="str">
        <f aca="false">IF(AND(G2067="Engaging",J2067&gt;Parâmetros!$B$6),"Sim","Não")</f>
        <v>Sim</v>
      </c>
      <c r="P2067" s="32" t="str">
        <f aca="false">IF(O2067="Sim","R",IF(N2067&gt;=Parâmetros!$B$39,"A",IF(N2067&gt;=Parâmetros!$B$40,"B",IF(N2067&gt;=Parâmetros!$B$41,"C","D"))))</f>
        <v>R</v>
      </c>
      <c r="Q2067" s="10" t="str">
        <f aca="false">IF(F2067="","Completar cadastro","")</f>
        <v/>
      </c>
      <c r="R2067" s="10" t="str">
        <f aca="false">INDEX(Parâmetros!$D$39:$D$43,MATCH(P2067,Parâmetros!$A$39:$A$43,0))</f>
        <v>Reciclar: requalificar, reengajar ou encerrar</v>
      </c>
    </row>
    <row r="2068" customFormat="false" ht="15" hidden="false" customHeight="false" outlineLevel="0" collapsed="false">
      <c r="A2068" s="10" t="s">
        <v>2315</v>
      </c>
      <c r="B2068" s="10" t="s">
        <v>57</v>
      </c>
      <c r="C2068" s="10" t="s">
        <v>58</v>
      </c>
      <c r="D2068" s="10" t="s">
        <v>165</v>
      </c>
      <c r="E2068" s="10" t="s">
        <v>52</v>
      </c>
      <c r="F2068" s="10" t="s">
        <v>410</v>
      </c>
      <c r="G2068" s="10" t="s">
        <v>162</v>
      </c>
      <c r="H2068" s="30" t="n">
        <v>42951</v>
      </c>
      <c r="I2068" s="8" t="n">
        <f aca="false">INDEX(Parâmetros!$C$13:$C$19,MATCH(E2068,Parâmetros!$A$13:$A$19,0))</f>
        <v>55</v>
      </c>
      <c r="J2068" s="26" t="n">
        <f aca="false">IF(H2068="","",Parâmetros!$B$5-H2068)</f>
        <v>149</v>
      </c>
      <c r="K2068" s="10" t="n">
        <f aca="false">INDEX(Parâmetros!$D$13:$D$19,MATCH(E2068,Parâmetros!$A$13:$A$19,0))</f>
        <v>0</v>
      </c>
      <c r="L2068" s="10" t="n">
        <f aca="false">IF(G2068="Prospecting",Parâmetros!$B$9,IF(J2068&gt;Parâmetros!$B$6,0,INDEX(Parâmetros!$C$24:$C$26,MATCH(J2068,Parâmetros!$A$24:$A$26,1))))</f>
        <v>0</v>
      </c>
      <c r="M2068" s="31" t="n">
        <f aca="false">IF(G2068="Prospecting",1,INDEX(Parâmetros!$C$32:$C$35,MATCH(J2068,Parâmetros!$A$32:$A$35,1)))</f>
        <v>0.6</v>
      </c>
      <c r="N2068" s="2" t="n">
        <f aca="false">ROUND((K2068+L2068)*M2068,0)</f>
        <v>0</v>
      </c>
      <c r="O2068" s="10" t="str">
        <f aca="false">IF(AND(G2068="Engaging",J2068&gt;Parâmetros!$B$6),"Sim","Não")</f>
        <v>Sim</v>
      </c>
      <c r="P2068" s="32" t="str">
        <f aca="false">IF(O2068="Sim","R",IF(N2068&gt;=Parâmetros!$B$39,"A",IF(N2068&gt;=Parâmetros!$B$40,"B",IF(N2068&gt;=Parâmetros!$B$41,"C","D"))))</f>
        <v>R</v>
      </c>
      <c r="Q2068" s="10" t="str">
        <f aca="false">IF(F2068="","Completar cadastro","")</f>
        <v/>
      </c>
      <c r="R2068" s="10" t="str">
        <f aca="false">INDEX(Parâmetros!$D$39:$D$43,MATCH(P2068,Parâmetros!$A$39:$A$43,0))</f>
        <v>Reciclar: requalificar, reengajar ou encerrar</v>
      </c>
    </row>
    <row r="2069" customFormat="false" ht="15" hidden="false" customHeight="false" outlineLevel="0" collapsed="false">
      <c r="A2069" s="10" t="s">
        <v>2316</v>
      </c>
      <c r="B2069" s="10" t="s">
        <v>79</v>
      </c>
      <c r="C2069" s="10" t="s">
        <v>78</v>
      </c>
      <c r="D2069" s="10" t="s">
        <v>196</v>
      </c>
      <c r="E2069" s="10" t="s">
        <v>52</v>
      </c>
      <c r="F2069" s="10"/>
      <c r="G2069" s="10" t="s">
        <v>162</v>
      </c>
      <c r="H2069" s="30" t="n">
        <v>42951</v>
      </c>
      <c r="I2069" s="8" t="n">
        <f aca="false">INDEX(Parâmetros!$C$13:$C$19,MATCH(E2069,Parâmetros!$A$13:$A$19,0))</f>
        <v>55</v>
      </c>
      <c r="J2069" s="26" t="n">
        <f aca="false">IF(H2069="","",Parâmetros!$B$5-H2069)</f>
        <v>149</v>
      </c>
      <c r="K2069" s="10" t="n">
        <f aca="false">INDEX(Parâmetros!$D$13:$D$19,MATCH(E2069,Parâmetros!$A$13:$A$19,0))</f>
        <v>0</v>
      </c>
      <c r="L2069" s="10" t="n">
        <f aca="false">IF(G2069="Prospecting",Parâmetros!$B$9,IF(J2069&gt;Parâmetros!$B$6,0,INDEX(Parâmetros!$C$24:$C$26,MATCH(J2069,Parâmetros!$A$24:$A$26,1))))</f>
        <v>0</v>
      </c>
      <c r="M2069" s="31" t="n">
        <f aca="false">IF(G2069="Prospecting",1,INDEX(Parâmetros!$C$32:$C$35,MATCH(J2069,Parâmetros!$A$32:$A$35,1)))</f>
        <v>0.6</v>
      </c>
      <c r="N2069" s="2" t="n">
        <f aca="false">ROUND((K2069+L2069)*M2069,0)</f>
        <v>0</v>
      </c>
      <c r="O2069" s="10" t="str">
        <f aca="false">IF(AND(G2069="Engaging",J2069&gt;Parâmetros!$B$6),"Sim","Não")</f>
        <v>Sim</v>
      </c>
      <c r="P2069" s="32" t="str">
        <f aca="false">IF(O2069="Sim","R",IF(N2069&gt;=Parâmetros!$B$39,"A",IF(N2069&gt;=Parâmetros!$B$40,"B",IF(N2069&gt;=Parâmetros!$B$41,"C","D"))))</f>
        <v>R</v>
      </c>
      <c r="Q2069" s="10" t="str">
        <f aca="false">IF(F2069="","Completar cadastro","")</f>
        <v>Completar cadastro</v>
      </c>
      <c r="R2069" s="10" t="str">
        <f aca="false">INDEX(Parâmetros!$D$39:$D$43,MATCH(P2069,Parâmetros!$A$39:$A$43,0))</f>
        <v>Reciclar: requalificar, reengajar ou encerrar</v>
      </c>
    </row>
    <row r="2070" customFormat="false" ht="15" hidden="false" customHeight="false" outlineLevel="0" collapsed="false">
      <c r="A2070" s="10" t="s">
        <v>2317</v>
      </c>
      <c r="B2070" s="10" t="s">
        <v>62</v>
      </c>
      <c r="C2070" s="10" t="s">
        <v>58</v>
      </c>
      <c r="D2070" s="10" t="s">
        <v>165</v>
      </c>
      <c r="E2070" s="10" t="s">
        <v>52</v>
      </c>
      <c r="F2070" s="10"/>
      <c r="G2070" s="10" t="s">
        <v>162</v>
      </c>
      <c r="H2070" s="30" t="n">
        <v>42951</v>
      </c>
      <c r="I2070" s="8" t="n">
        <f aca="false">INDEX(Parâmetros!$C$13:$C$19,MATCH(E2070,Parâmetros!$A$13:$A$19,0))</f>
        <v>55</v>
      </c>
      <c r="J2070" s="26" t="n">
        <f aca="false">IF(H2070="","",Parâmetros!$B$5-H2070)</f>
        <v>149</v>
      </c>
      <c r="K2070" s="10" t="n">
        <f aca="false">INDEX(Parâmetros!$D$13:$D$19,MATCH(E2070,Parâmetros!$A$13:$A$19,0))</f>
        <v>0</v>
      </c>
      <c r="L2070" s="10" t="n">
        <f aca="false">IF(G2070="Prospecting",Parâmetros!$B$9,IF(J2070&gt;Parâmetros!$B$6,0,INDEX(Parâmetros!$C$24:$C$26,MATCH(J2070,Parâmetros!$A$24:$A$26,1))))</f>
        <v>0</v>
      </c>
      <c r="M2070" s="31" t="n">
        <f aca="false">IF(G2070="Prospecting",1,INDEX(Parâmetros!$C$32:$C$35,MATCH(J2070,Parâmetros!$A$32:$A$35,1)))</f>
        <v>0.6</v>
      </c>
      <c r="N2070" s="2" t="n">
        <f aca="false">ROUND((K2070+L2070)*M2070,0)</f>
        <v>0</v>
      </c>
      <c r="O2070" s="10" t="str">
        <f aca="false">IF(AND(G2070="Engaging",J2070&gt;Parâmetros!$B$6),"Sim","Não")</f>
        <v>Sim</v>
      </c>
      <c r="P2070" s="32" t="str">
        <f aca="false">IF(O2070="Sim","R",IF(N2070&gt;=Parâmetros!$B$39,"A",IF(N2070&gt;=Parâmetros!$B$40,"B",IF(N2070&gt;=Parâmetros!$B$41,"C","D"))))</f>
        <v>R</v>
      </c>
      <c r="Q2070" s="10" t="str">
        <f aca="false">IF(F2070="","Completar cadastro","")</f>
        <v>Completar cadastro</v>
      </c>
      <c r="R2070" s="10" t="str">
        <f aca="false">INDEX(Parâmetros!$D$39:$D$43,MATCH(P2070,Parâmetros!$A$39:$A$43,0))</f>
        <v>Reciclar: requalificar, reengajar ou encerrar</v>
      </c>
    </row>
    <row r="2071" customFormat="false" ht="15" hidden="false" customHeight="false" outlineLevel="0" collapsed="false">
      <c r="A2071" s="10" t="s">
        <v>2318</v>
      </c>
      <c r="B2071" s="10" t="s">
        <v>71</v>
      </c>
      <c r="C2071" s="10" t="s">
        <v>72</v>
      </c>
      <c r="D2071" s="10" t="s">
        <v>196</v>
      </c>
      <c r="E2071" s="10" t="s">
        <v>52</v>
      </c>
      <c r="F2071" s="10"/>
      <c r="G2071" s="10" t="s">
        <v>162</v>
      </c>
      <c r="H2071" s="30" t="n">
        <v>42952</v>
      </c>
      <c r="I2071" s="8" t="n">
        <f aca="false">INDEX(Parâmetros!$C$13:$C$19,MATCH(E2071,Parâmetros!$A$13:$A$19,0))</f>
        <v>55</v>
      </c>
      <c r="J2071" s="26" t="n">
        <f aca="false">IF(H2071="","",Parâmetros!$B$5-H2071)</f>
        <v>148</v>
      </c>
      <c r="K2071" s="10" t="n">
        <f aca="false">INDEX(Parâmetros!$D$13:$D$19,MATCH(E2071,Parâmetros!$A$13:$A$19,0))</f>
        <v>0</v>
      </c>
      <c r="L2071" s="10" t="n">
        <f aca="false">IF(G2071="Prospecting",Parâmetros!$B$9,IF(J2071&gt;Parâmetros!$B$6,0,INDEX(Parâmetros!$C$24:$C$26,MATCH(J2071,Parâmetros!$A$24:$A$26,1))))</f>
        <v>0</v>
      </c>
      <c r="M2071" s="31" t="n">
        <f aca="false">IF(G2071="Prospecting",1,INDEX(Parâmetros!$C$32:$C$35,MATCH(J2071,Parâmetros!$A$32:$A$35,1)))</f>
        <v>0.6</v>
      </c>
      <c r="N2071" s="2" t="n">
        <f aca="false">ROUND((K2071+L2071)*M2071,0)</f>
        <v>0</v>
      </c>
      <c r="O2071" s="10" t="str">
        <f aca="false">IF(AND(G2071="Engaging",J2071&gt;Parâmetros!$B$6),"Sim","Não")</f>
        <v>Sim</v>
      </c>
      <c r="P2071" s="32" t="str">
        <f aca="false">IF(O2071="Sim","R",IF(N2071&gt;=Parâmetros!$B$39,"A",IF(N2071&gt;=Parâmetros!$B$40,"B",IF(N2071&gt;=Parâmetros!$B$41,"C","D"))))</f>
        <v>R</v>
      </c>
      <c r="Q2071" s="10" t="str">
        <f aca="false">IF(F2071="","Completar cadastro","")</f>
        <v>Completar cadastro</v>
      </c>
      <c r="R2071" s="10" t="str">
        <f aca="false">INDEX(Parâmetros!$D$39:$D$43,MATCH(P2071,Parâmetros!$A$39:$A$43,0))</f>
        <v>Reciclar: requalificar, reengajar ou encerrar</v>
      </c>
    </row>
    <row r="2072" customFormat="false" ht="15" hidden="false" customHeight="false" outlineLevel="0" collapsed="false">
      <c r="A2072" s="10" t="s">
        <v>2319</v>
      </c>
      <c r="B2072" s="10" t="s">
        <v>71</v>
      </c>
      <c r="C2072" s="10" t="s">
        <v>72</v>
      </c>
      <c r="D2072" s="10" t="s">
        <v>196</v>
      </c>
      <c r="E2072" s="10" t="s">
        <v>52</v>
      </c>
      <c r="F2072" s="10"/>
      <c r="G2072" s="10" t="s">
        <v>162</v>
      </c>
      <c r="H2072" s="30" t="n">
        <v>42952</v>
      </c>
      <c r="I2072" s="8" t="n">
        <f aca="false">INDEX(Parâmetros!$C$13:$C$19,MATCH(E2072,Parâmetros!$A$13:$A$19,0))</f>
        <v>55</v>
      </c>
      <c r="J2072" s="26" t="n">
        <f aca="false">IF(H2072="","",Parâmetros!$B$5-H2072)</f>
        <v>148</v>
      </c>
      <c r="K2072" s="10" t="n">
        <f aca="false">INDEX(Parâmetros!$D$13:$D$19,MATCH(E2072,Parâmetros!$A$13:$A$19,0))</f>
        <v>0</v>
      </c>
      <c r="L2072" s="10" t="n">
        <f aca="false">IF(G2072="Prospecting",Parâmetros!$B$9,IF(J2072&gt;Parâmetros!$B$6,0,INDEX(Parâmetros!$C$24:$C$26,MATCH(J2072,Parâmetros!$A$24:$A$26,1))))</f>
        <v>0</v>
      </c>
      <c r="M2072" s="31" t="n">
        <f aca="false">IF(G2072="Prospecting",1,INDEX(Parâmetros!$C$32:$C$35,MATCH(J2072,Parâmetros!$A$32:$A$35,1)))</f>
        <v>0.6</v>
      </c>
      <c r="N2072" s="2" t="n">
        <f aca="false">ROUND((K2072+L2072)*M2072,0)</f>
        <v>0</v>
      </c>
      <c r="O2072" s="10" t="str">
        <f aca="false">IF(AND(G2072="Engaging",J2072&gt;Parâmetros!$B$6),"Sim","Não")</f>
        <v>Sim</v>
      </c>
      <c r="P2072" s="32" t="str">
        <f aca="false">IF(O2072="Sim","R",IF(N2072&gt;=Parâmetros!$B$39,"A",IF(N2072&gt;=Parâmetros!$B$40,"B",IF(N2072&gt;=Parâmetros!$B$41,"C","D"))))</f>
        <v>R</v>
      </c>
      <c r="Q2072" s="10" t="str">
        <f aca="false">IF(F2072="","Completar cadastro","")</f>
        <v>Completar cadastro</v>
      </c>
      <c r="R2072" s="10" t="str">
        <f aca="false">INDEX(Parâmetros!$D$39:$D$43,MATCH(P2072,Parâmetros!$A$39:$A$43,0))</f>
        <v>Reciclar: requalificar, reengajar ou encerrar</v>
      </c>
    </row>
    <row r="2073" customFormat="false" ht="15" hidden="false" customHeight="false" outlineLevel="0" collapsed="false">
      <c r="A2073" s="10" t="s">
        <v>2320</v>
      </c>
      <c r="B2073" s="10" t="s">
        <v>66</v>
      </c>
      <c r="C2073" s="10" t="s">
        <v>65</v>
      </c>
      <c r="D2073" s="10" t="s">
        <v>160</v>
      </c>
      <c r="E2073" s="10" t="s">
        <v>52</v>
      </c>
      <c r="F2073" s="10" t="s">
        <v>378</v>
      </c>
      <c r="G2073" s="10" t="s">
        <v>162</v>
      </c>
      <c r="H2073" s="30" t="n">
        <v>42952</v>
      </c>
      <c r="I2073" s="8" t="n">
        <f aca="false">INDEX(Parâmetros!$C$13:$C$19,MATCH(E2073,Parâmetros!$A$13:$A$19,0))</f>
        <v>55</v>
      </c>
      <c r="J2073" s="26" t="n">
        <f aca="false">IF(H2073="","",Parâmetros!$B$5-H2073)</f>
        <v>148</v>
      </c>
      <c r="K2073" s="10" t="n">
        <f aca="false">INDEX(Parâmetros!$D$13:$D$19,MATCH(E2073,Parâmetros!$A$13:$A$19,0))</f>
        <v>0</v>
      </c>
      <c r="L2073" s="10" t="n">
        <f aca="false">IF(G2073="Prospecting",Parâmetros!$B$9,IF(J2073&gt;Parâmetros!$B$6,0,INDEX(Parâmetros!$C$24:$C$26,MATCH(J2073,Parâmetros!$A$24:$A$26,1))))</f>
        <v>0</v>
      </c>
      <c r="M2073" s="31" t="n">
        <f aca="false">IF(G2073="Prospecting",1,INDEX(Parâmetros!$C$32:$C$35,MATCH(J2073,Parâmetros!$A$32:$A$35,1)))</f>
        <v>0.6</v>
      </c>
      <c r="N2073" s="2" t="n">
        <f aca="false">ROUND((K2073+L2073)*M2073,0)</f>
        <v>0</v>
      </c>
      <c r="O2073" s="10" t="str">
        <f aca="false">IF(AND(G2073="Engaging",J2073&gt;Parâmetros!$B$6),"Sim","Não")</f>
        <v>Sim</v>
      </c>
      <c r="P2073" s="32" t="str">
        <f aca="false">IF(O2073="Sim","R",IF(N2073&gt;=Parâmetros!$B$39,"A",IF(N2073&gt;=Parâmetros!$B$40,"B",IF(N2073&gt;=Parâmetros!$B$41,"C","D"))))</f>
        <v>R</v>
      </c>
      <c r="Q2073" s="10" t="str">
        <f aca="false">IF(F2073="","Completar cadastro","")</f>
        <v/>
      </c>
      <c r="R2073" s="10" t="str">
        <f aca="false">INDEX(Parâmetros!$D$39:$D$43,MATCH(P2073,Parâmetros!$A$39:$A$43,0))</f>
        <v>Reciclar: requalificar, reengajar ou encerrar</v>
      </c>
    </row>
    <row r="2074" customFormat="false" ht="15" hidden="false" customHeight="false" outlineLevel="0" collapsed="false">
      <c r="A2074" s="10" t="s">
        <v>2321</v>
      </c>
      <c r="B2074" s="10" t="s">
        <v>76</v>
      </c>
      <c r="C2074" s="10" t="s">
        <v>72</v>
      </c>
      <c r="D2074" s="10" t="s">
        <v>196</v>
      </c>
      <c r="E2074" s="10" t="s">
        <v>52</v>
      </c>
      <c r="F2074" s="10"/>
      <c r="G2074" s="10" t="s">
        <v>162</v>
      </c>
      <c r="H2074" s="30" t="n">
        <v>42952</v>
      </c>
      <c r="I2074" s="8" t="n">
        <f aca="false">INDEX(Parâmetros!$C$13:$C$19,MATCH(E2074,Parâmetros!$A$13:$A$19,0))</f>
        <v>55</v>
      </c>
      <c r="J2074" s="26" t="n">
        <f aca="false">IF(H2074="","",Parâmetros!$B$5-H2074)</f>
        <v>148</v>
      </c>
      <c r="K2074" s="10" t="n">
        <f aca="false">INDEX(Parâmetros!$D$13:$D$19,MATCH(E2074,Parâmetros!$A$13:$A$19,0))</f>
        <v>0</v>
      </c>
      <c r="L2074" s="10" t="n">
        <f aca="false">IF(G2074="Prospecting",Parâmetros!$B$9,IF(J2074&gt;Parâmetros!$B$6,0,INDEX(Parâmetros!$C$24:$C$26,MATCH(J2074,Parâmetros!$A$24:$A$26,1))))</f>
        <v>0</v>
      </c>
      <c r="M2074" s="31" t="n">
        <f aca="false">IF(G2074="Prospecting",1,INDEX(Parâmetros!$C$32:$C$35,MATCH(J2074,Parâmetros!$A$32:$A$35,1)))</f>
        <v>0.6</v>
      </c>
      <c r="N2074" s="2" t="n">
        <f aca="false">ROUND((K2074+L2074)*M2074,0)</f>
        <v>0</v>
      </c>
      <c r="O2074" s="10" t="str">
        <f aca="false">IF(AND(G2074="Engaging",J2074&gt;Parâmetros!$B$6),"Sim","Não")</f>
        <v>Sim</v>
      </c>
      <c r="P2074" s="32" t="str">
        <f aca="false">IF(O2074="Sim","R",IF(N2074&gt;=Parâmetros!$B$39,"A",IF(N2074&gt;=Parâmetros!$B$40,"B",IF(N2074&gt;=Parâmetros!$B$41,"C","D"))))</f>
        <v>R</v>
      </c>
      <c r="Q2074" s="10" t="str">
        <f aca="false">IF(F2074="","Completar cadastro","")</f>
        <v>Completar cadastro</v>
      </c>
      <c r="R2074" s="10" t="str">
        <f aca="false">INDEX(Parâmetros!$D$39:$D$43,MATCH(P2074,Parâmetros!$A$39:$A$43,0))</f>
        <v>Reciclar: requalificar, reengajar ou encerrar</v>
      </c>
    </row>
    <row r="2075" customFormat="false" ht="15" hidden="false" customHeight="false" outlineLevel="0" collapsed="false">
      <c r="A2075" s="10" t="s">
        <v>2322</v>
      </c>
      <c r="B2075" s="10" t="s">
        <v>84</v>
      </c>
      <c r="C2075" s="10" t="s">
        <v>85</v>
      </c>
      <c r="D2075" s="10" t="s">
        <v>165</v>
      </c>
      <c r="E2075" s="10" t="s">
        <v>52</v>
      </c>
      <c r="F2075" s="10" t="s">
        <v>455</v>
      </c>
      <c r="G2075" s="10" t="s">
        <v>162</v>
      </c>
      <c r="H2075" s="30" t="n">
        <v>42953</v>
      </c>
      <c r="I2075" s="8" t="n">
        <f aca="false">INDEX(Parâmetros!$C$13:$C$19,MATCH(E2075,Parâmetros!$A$13:$A$19,0))</f>
        <v>55</v>
      </c>
      <c r="J2075" s="26" t="n">
        <f aca="false">IF(H2075="","",Parâmetros!$B$5-H2075)</f>
        <v>147</v>
      </c>
      <c r="K2075" s="10" t="n">
        <f aca="false">INDEX(Parâmetros!$D$13:$D$19,MATCH(E2075,Parâmetros!$A$13:$A$19,0))</f>
        <v>0</v>
      </c>
      <c r="L2075" s="10" t="n">
        <f aca="false">IF(G2075="Prospecting",Parâmetros!$B$9,IF(J2075&gt;Parâmetros!$B$6,0,INDEX(Parâmetros!$C$24:$C$26,MATCH(J2075,Parâmetros!$A$24:$A$26,1))))</f>
        <v>0</v>
      </c>
      <c r="M2075" s="31" t="n">
        <f aca="false">IF(G2075="Prospecting",1,INDEX(Parâmetros!$C$32:$C$35,MATCH(J2075,Parâmetros!$A$32:$A$35,1)))</f>
        <v>0.6</v>
      </c>
      <c r="N2075" s="2" t="n">
        <f aca="false">ROUND((K2075+L2075)*M2075,0)</f>
        <v>0</v>
      </c>
      <c r="O2075" s="10" t="str">
        <f aca="false">IF(AND(G2075="Engaging",J2075&gt;Parâmetros!$B$6),"Sim","Não")</f>
        <v>Sim</v>
      </c>
      <c r="P2075" s="32" t="str">
        <f aca="false">IF(O2075="Sim","R",IF(N2075&gt;=Parâmetros!$B$39,"A",IF(N2075&gt;=Parâmetros!$B$40,"B",IF(N2075&gt;=Parâmetros!$B$41,"C","D"))))</f>
        <v>R</v>
      </c>
      <c r="Q2075" s="10" t="str">
        <f aca="false">IF(F2075="","Completar cadastro","")</f>
        <v/>
      </c>
      <c r="R2075" s="10" t="str">
        <f aca="false">INDEX(Parâmetros!$D$39:$D$43,MATCH(P2075,Parâmetros!$A$39:$A$43,0))</f>
        <v>Reciclar: requalificar, reengajar ou encerrar</v>
      </c>
    </row>
    <row r="2076" customFormat="false" ht="15" hidden="false" customHeight="false" outlineLevel="0" collapsed="false">
      <c r="A2076" s="10" t="s">
        <v>2323</v>
      </c>
      <c r="B2076" s="10" t="s">
        <v>73</v>
      </c>
      <c r="C2076" s="10" t="s">
        <v>72</v>
      </c>
      <c r="D2076" s="10" t="s">
        <v>196</v>
      </c>
      <c r="E2076" s="10" t="s">
        <v>52</v>
      </c>
      <c r="F2076" s="10" t="s">
        <v>597</v>
      </c>
      <c r="G2076" s="10" t="s">
        <v>162</v>
      </c>
      <c r="H2076" s="30" t="n">
        <v>42953</v>
      </c>
      <c r="I2076" s="8" t="n">
        <f aca="false">INDEX(Parâmetros!$C$13:$C$19,MATCH(E2076,Parâmetros!$A$13:$A$19,0))</f>
        <v>55</v>
      </c>
      <c r="J2076" s="26" t="n">
        <f aca="false">IF(H2076="","",Parâmetros!$B$5-H2076)</f>
        <v>147</v>
      </c>
      <c r="K2076" s="10" t="n">
        <f aca="false">INDEX(Parâmetros!$D$13:$D$19,MATCH(E2076,Parâmetros!$A$13:$A$19,0))</f>
        <v>0</v>
      </c>
      <c r="L2076" s="10" t="n">
        <f aca="false">IF(G2076="Prospecting",Parâmetros!$B$9,IF(J2076&gt;Parâmetros!$B$6,0,INDEX(Parâmetros!$C$24:$C$26,MATCH(J2076,Parâmetros!$A$24:$A$26,1))))</f>
        <v>0</v>
      </c>
      <c r="M2076" s="31" t="n">
        <f aca="false">IF(G2076="Prospecting",1,INDEX(Parâmetros!$C$32:$C$35,MATCH(J2076,Parâmetros!$A$32:$A$35,1)))</f>
        <v>0.6</v>
      </c>
      <c r="N2076" s="2" t="n">
        <f aca="false">ROUND((K2076+L2076)*M2076,0)</f>
        <v>0</v>
      </c>
      <c r="O2076" s="10" t="str">
        <f aca="false">IF(AND(G2076="Engaging",J2076&gt;Parâmetros!$B$6),"Sim","Não")</f>
        <v>Sim</v>
      </c>
      <c r="P2076" s="32" t="str">
        <f aca="false">IF(O2076="Sim","R",IF(N2076&gt;=Parâmetros!$B$39,"A",IF(N2076&gt;=Parâmetros!$B$40,"B",IF(N2076&gt;=Parâmetros!$B$41,"C","D"))))</f>
        <v>R</v>
      </c>
      <c r="Q2076" s="10" t="str">
        <f aca="false">IF(F2076="","Completar cadastro","")</f>
        <v/>
      </c>
      <c r="R2076" s="10" t="str">
        <f aca="false">INDEX(Parâmetros!$D$39:$D$43,MATCH(P2076,Parâmetros!$A$39:$A$43,0))</f>
        <v>Reciclar: requalificar, reengajar ou encerrar</v>
      </c>
    </row>
    <row r="2077" customFormat="false" ht="15" hidden="false" customHeight="false" outlineLevel="0" collapsed="false">
      <c r="A2077" s="10" t="s">
        <v>2324</v>
      </c>
      <c r="B2077" s="10" t="s">
        <v>81</v>
      </c>
      <c r="C2077" s="10" t="s">
        <v>78</v>
      </c>
      <c r="D2077" s="10" t="s">
        <v>196</v>
      </c>
      <c r="E2077" s="10" t="s">
        <v>52</v>
      </c>
      <c r="F2077" s="10"/>
      <c r="G2077" s="10" t="s">
        <v>162</v>
      </c>
      <c r="H2077" s="30" t="n">
        <v>42957</v>
      </c>
      <c r="I2077" s="8" t="n">
        <f aca="false">INDEX(Parâmetros!$C$13:$C$19,MATCH(E2077,Parâmetros!$A$13:$A$19,0))</f>
        <v>55</v>
      </c>
      <c r="J2077" s="26" t="n">
        <f aca="false">IF(H2077="","",Parâmetros!$B$5-H2077)</f>
        <v>143</v>
      </c>
      <c r="K2077" s="10" t="n">
        <f aca="false">INDEX(Parâmetros!$D$13:$D$19,MATCH(E2077,Parâmetros!$A$13:$A$19,0))</f>
        <v>0</v>
      </c>
      <c r="L2077" s="10" t="n">
        <f aca="false">IF(G2077="Prospecting",Parâmetros!$B$9,IF(J2077&gt;Parâmetros!$B$6,0,INDEX(Parâmetros!$C$24:$C$26,MATCH(J2077,Parâmetros!$A$24:$A$26,1))))</f>
        <v>0</v>
      </c>
      <c r="M2077" s="31" t="n">
        <f aca="false">IF(G2077="Prospecting",1,INDEX(Parâmetros!$C$32:$C$35,MATCH(J2077,Parâmetros!$A$32:$A$35,1)))</f>
        <v>0.6</v>
      </c>
      <c r="N2077" s="2" t="n">
        <f aca="false">ROUND((K2077+L2077)*M2077,0)</f>
        <v>0</v>
      </c>
      <c r="O2077" s="10" t="str">
        <f aca="false">IF(AND(G2077="Engaging",J2077&gt;Parâmetros!$B$6),"Sim","Não")</f>
        <v>Sim</v>
      </c>
      <c r="P2077" s="32" t="str">
        <f aca="false">IF(O2077="Sim","R",IF(N2077&gt;=Parâmetros!$B$39,"A",IF(N2077&gt;=Parâmetros!$B$40,"B",IF(N2077&gt;=Parâmetros!$B$41,"C","D"))))</f>
        <v>R</v>
      </c>
      <c r="Q2077" s="10" t="str">
        <f aca="false">IF(F2077="","Completar cadastro","")</f>
        <v>Completar cadastro</v>
      </c>
      <c r="R2077" s="10" t="str">
        <f aca="false">INDEX(Parâmetros!$D$39:$D$43,MATCH(P2077,Parâmetros!$A$39:$A$43,0))</f>
        <v>Reciclar: requalificar, reengajar ou encerrar</v>
      </c>
    </row>
    <row r="2078" customFormat="false" ht="15" hidden="false" customHeight="false" outlineLevel="0" collapsed="false">
      <c r="A2078" s="10" t="s">
        <v>2325</v>
      </c>
      <c r="B2078" s="10" t="s">
        <v>68</v>
      </c>
      <c r="C2078" s="10" t="s">
        <v>65</v>
      </c>
      <c r="D2078" s="10" t="s">
        <v>160</v>
      </c>
      <c r="E2078" s="10" t="s">
        <v>52</v>
      </c>
      <c r="F2078" s="10"/>
      <c r="G2078" s="10" t="s">
        <v>162</v>
      </c>
      <c r="H2078" s="30" t="n">
        <v>42958</v>
      </c>
      <c r="I2078" s="8" t="n">
        <f aca="false">INDEX(Parâmetros!$C$13:$C$19,MATCH(E2078,Parâmetros!$A$13:$A$19,0))</f>
        <v>55</v>
      </c>
      <c r="J2078" s="26" t="n">
        <f aca="false">IF(H2078="","",Parâmetros!$B$5-H2078)</f>
        <v>142</v>
      </c>
      <c r="K2078" s="10" t="n">
        <f aca="false">INDEX(Parâmetros!$D$13:$D$19,MATCH(E2078,Parâmetros!$A$13:$A$19,0))</f>
        <v>0</v>
      </c>
      <c r="L2078" s="10" t="n">
        <f aca="false">IF(G2078="Prospecting",Parâmetros!$B$9,IF(J2078&gt;Parâmetros!$B$6,0,INDEX(Parâmetros!$C$24:$C$26,MATCH(J2078,Parâmetros!$A$24:$A$26,1))))</f>
        <v>0</v>
      </c>
      <c r="M2078" s="31" t="n">
        <f aca="false">IF(G2078="Prospecting",1,INDEX(Parâmetros!$C$32:$C$35,MATCH(J2078,Parâmetros!$A$32:$A$35,1)))</f>
        <v>0.6</v>
      </c>
      <c r="N2078" s="2" t="n">
        <f aca="false">ROUND((K2078+L2078)*M2078,0)</f>
        <v>0</v>
      </c>
      <c r="O2078" s="10" t="str">
        <f aca="false">IF(AND(G2078="Engaging",J2078&gt;Parâmetros!$B$6),"Sim","Não")</f>
        <v>Sim</v>
      </c>
      <c r="P2078" s="32" t="str">
        <f aca="false">IF(O2078="Sim","R",IF(N2078&gt;=Parâmetros!$B$39,"A",IF(N2078&gt;=Parâmetros!$B$40,"B",IF(N2078&gt;=Parâmetros!$B$41,"C","D"))))</f>
        <v>R</v>
      </c>
      <c r="Q2078" s="10" t="str">
        <f aca="false">IF(F2078="","Completar cadastro","")</f>
        <v>Completar cadastro</v>
      </c>
      <c r="R2078" s="10" t="str">
        <f aca="false">INDEX(Parâmetros!$D$39:$D$43,MATCH(P2078,Parâmetros!$A$39:$A$43,0))</f>
        <v>Reciclar: requalificar, reengajar ou encerrar</v>
      </c>
    </row>
    <row r="2079" customFormat="false" ht="15" hidden="false" customHeight="false" outlineLevel="0" collapsed="false">
      <c r="A2079" s="10" t="s">
        <v>2326</v>
      </c>
      <c r="B2079" s="10" t="s">
        <v>76</v>
      </c>
      <c r="C2079" s="10" t="s">
        <v>72</v>
      </c>
      <c r="D2079" s="10" t="s">
        <v>196</v>
      </c>
      <c r="E2079" s="10" t="s">
        <v>52</v>
      </c>
      <c r="F2079" s="10"/>
      <c r="G2079" s="10" t="s">
        <v>162</v>
      </c>
      <c r="H2079" s="30" t="n">
        <v>42958</v>
      </c>
      <c r="I2079" s="8" t="n">
        <f aca="false">INDEX(Parâmetros!$C$13:$C$19,MATCH(E2079,Parâmetros!$A$13:$A$19,0))</f>
        <v>55</v>
      </c>
      <c r="J2079" s="26" t="n">
        <f aca="false">IF(H2079="","",Parâmetros!$B$5-H2079)</f>
        <v>142</v>
      </c>
      <c r="K2079" s="10" t="n">
        <f aca="false">INDEX(Parâmetros!$D$13:$D$19,MATCH(E2079,Parâmetros!$A$13:$A$19,0))</f>
        <v>0</v>
      </c>
      <c r="L2079" s="10" t="n">
        <f aca="false">IF(G2079="Prospecting",Parâmetros!$B$9,IF(J2079&gt;Parâmetros!$B$6,0,INDEX(Parâmetros!$C$24:$C$26,MATCH(J2079,Parâmetros!$A$24:$A$26,1))))</f>
        <v>0</v>
      </c>
      <c r="M2079" s="31" t="n">
        <f aca="false">IF(G2079="Prospecting",1,INDEX(Parâmetros!$C$32:$C$35,MATCH(J2079,Parâmetros!$A$32:$A$35,1)))</f>
        <v>0.6</v>
      </c>
      <c r="N2079" s="2" t="n">
        <f aca="false">ROUND((K2079+L2079)*M2079,0)</f>
        <v>0</v>
      </c>
      <c r="O2079" s="10" t="str">
        <f aca="false">IF(AND(G2079="Engaging",J2079&gt;Parâmetros!$B$6),"Sim","Não")</f>
        <v>Sim</v>
      </c>
      <c r="P2079" s="32" t="str">
        <f aca="false">IF(O2079="Sim","R",IF(N2079&gt;=Parâmetros!$B$39,"A",IF(N2079&gt;=Parâmetros!$B$40,"B",IF(N2079&gt;=Parâmetros!$B$41,"C","D"))))</f>
        <v>R</v>
      </c>
      <c r="Q2079" s="10" t="str">
        <f aca="false">IF(F2079="","Completar cadastro","")</f>
        <v>Completar cadastro</v>
      </c>
      <c r="R2079" s="10" t="str">
        <f aca="false">INDEX(Parâmetros!$D$39:$D$43,MATCH(P2079,Parâmetros!$A$39:$A$43,0))</f>
        <v>Reciclar: requalificar, reengajar ou encerrar</v>
      </c>
    </row>
    <row r="2080" customFormat="false" ht="15" hidden="false" customHeight="false" outlineLevel="0" collapsed="false">
      <c r="A2080" s="10" t="s">
        <v>2327</v>
      </c>
      <c r="B2080" s="10" t="s">
        <v>73</v>
      </c>
      <c r="C2080" s="10" t="s">
        <v>72</v>
      </c>
      <c r="D2080" s="10" t="s">
        <v>196</v>
      </c>
      <c r="E2080" s="10" t="s">
        <v>52</v>
      </c>
      <c r="F2080" s="10"/>
      <c r="G2080" s="10" t="s">
        <v>162</v>
      </c>
      <c r="H2080" s="30" t="n">
        <v>42959</v>
      </c>
      <c r="I2080" s="8" t="n">
        <f aca="false">INDEX(Parâmetros!$C$13:$C$19,MATCH(E2080,Parâmetros!$A$13:$A$19,0))</f>
        <v>55</v>
      </c>
      <c r="J2080" s="26" t="n">
        <f aca="false">IF(H2080="","",Parâmetros!$B$5-H2080)</f>
        <v>141</v>
      </c>
      <c r="K2080" s="10" t="n">
        <f aca="false">INDEX(Parâmetros!$D$13:$D$19,MATCH(E2080,Parâmetros!$A$13:$A$19,0))</f>
        <v>0</v>
      </c>
      <c r="L2080" s="10" t="n">
        <f aca="false">IF(G2080="Prospecting",Parâmetros!$B$9,IF(J2080&gt;Parâmetros!$B$6,0,INDEX(Parâmetros!$C$24:$C$26,MATCH(J2080,Parâmetros!$A$24:$A$26,1))))</f>
        <v>0</v>
      </c>
      <c r="M2080" s="31" t="n">
        <f aca="false">IF(G2080="Prospecting",1,INDEX(Parâmetros!$C$32:$C$35,MATCH(J2080,Parâmetros!$A$32:$A$35,1)))</f>
        <v>0.6</v>
      </c>
      <c r="N2080" s="2" t="n">
        <f aca="false">ROUND((K2080+L2080)*M2080,0)</f>
        <v>0</v>
      </c>
      <c r="O2080" s="10" t="str">
        <f aca="false">IF(AND(G2080="Engaging",J2080&gt;Parâmetros!$B$6),"Sim","Não")</f>
        <v>Sim</v>
      </c>
      <c r="P2080" s="32" t="str">
        <f aca="false">IF(O2080="Sim","R",IF(N2080&gt;=Parâmetros!$B$39,"A",IF(N2080&gt;=Parâmetros!$B$40,"B",IF(N2080&gt;=Parâmetros!$B$41,"C","D"))))</f>
        <v>R</v>
      </c>
      <c r="Q2080" s="10" t="str">
        <f aca="false">IF(F2080="","Completar cadastro","")</f>
        <v>Completar cadastro</v>
      </c>
      <c r="R2080" s="10" t="str">
        <f aca="false">INDEX(Parâmetros!$D$39:$D$43,MATCH(P2080,Parâmetros!$A$39:$A$43,0))</f>
        <v>Reciclar: requalificar, reengajar ou encerrar</v>
      </c>
    </row>
    <row r="2081" customFormat="false" ht="15" hidden="false" customHeight="false" outlineLevel="0" collapsed="false">
      <c r="A2081" s="10" t="s">
        <v>2328</v>
      </c>
      <c r="B2081" s="10" t="s">
        <v>77</v>
      </c>
      <c r="C2081" s="10" t="s">
        <v>78</v>
      </c>
      <c r="D2081" s="10" t="s">
        <v>196</v>
      </c>
      <c r="E2081" s="10" t="s">
        <v>52</v>
      </c>
      <c r="F2081" s="10" t="s">
        <v>437</v>
      </c>
      <c r="G2081" s="10" t="s">
        <v>162</v>
      </c>
      <c r="H2081" s="30" t="n">
        <v>42959</v>
      </c>
      <c r="I2081" s="8" t="n">
        <f aca="false">INDEX(Parâmetros!$C$13:$C$19,MATCH(E2081,Parâmetros!$A$13:$A$19,0))</f>
        <v>55</v>
      </c>
      <c r="J2081" s="26" t="n">
        <f aca="false">IF(H2081="","",Parâmetros!$B$5-H2081)</f>
        <v>141</v>
      </c>
      <c r="K2081" s="10" t="n">
        <f aca="false">INDEX(Parâmetros!$D$13:$D$19,MATCH(E2081,Parâmetros!$A$13:$A$19,0))</f>
        <v>0</v>
      </c>
      <c r="L2081" s="10" t="n">
        <f aca="false">IF(G2081="Prospecting",Parâmetros!$B$9,IF(J2081&gt;Parâmetros!$B$6,0,INDEX(Parâmetros!$C$24:$C$26,MATCH(J2081,Parâmetros!$A$24:$A$26,1))))</f>
        <v>0</v>
      </c>
      <c r="M2081" s="31" t="n">
        <f aca="false">IF(G2081="Prospecting",1,INDEX(Parâmetros!$C$32:$C$35,MATCH(J2081,Parâmetros!$A$32:$A$35,1)))</f>
        <v>0.6</v>
      </c>
      <c r="N2081" s="2" t="n">
        <f aca="false">ROUND((K2081+L2081)*M2081,0)</f>
        <v>0</v>
      </c>
      <c r="O2081" s="10" t="str">
        <f aca="false">IF(AND(G2081="Engaging",J2081&gt;Parâmetros!$B$6),"Sim","Não")</f>
        <v>Sim</v>
      </c>
      <c r="P2081" s="32" t="str">
        <f aca="false">IF(O2081="Sim","R",IF(N2081&gt;=Parâmetros!$B$39,"A",IF(N2081&gt;=Parâmetros!$B$40,"B",IF(N2081&gt;=Parâmetros!$B$41,"C","D"))))</f>
        <v>R</v>
      </c>
      <c r="Q2081" s="10" t="str">
        <f aca="false">IF(F2081="","Completar cadastro","")</f>
        <v/>
      </c>
      <c r="R2081" s="10" t="str">
        <f aca="false">INDEX(Parâmetros!$D$39:$D$43,MATCH(P2081,Parâmetros!$A$39:$A$43,0))</f>
        <v>Reciclar: requalificar, reengajar ou encerrar</v>
      </c>
    </row>
    <row r="2082" customFormat="false" ht="15" hidden="false" customHeight="false" outlineLevel="0" collapsed="false">
      <c r="A2082" s="10" t="s">
        <v>2329</v>
      </c>
      <c r="B2082" s="10" t="s">
        <v>75</v>
      </c>
      <c r="C2082" s="10" t="s">
        <v>72</v>
      </c>
      <c r="D2082" s="10" t="s">
        <v>196</v>
      </c>
      <c r="E2082" s="10" t="s">
        <v>52</v>
      </c>
      <c r="F2082" s="10" t="s">
        <v>303</v>
      </c>
      <c r="G2082" s="10" t="s">
        <v>162</v>
      </c>
      <c r="H2082" s="30" t="n">
        <v>42959</v>
      </c>
      <c r="I2082" s="8" t="n">
        <f aca="false">INDEX(Parâmetros!$C$13:$C$19,MATCH(E2082,Parâmetros!$A$13:$A$19,0))</f>
        <v>55</v>
      </c>
      <c r="J2082" s="26" t="n">
        <f aca="false">IF(H2082="","",Parâmetros!$B$5-H2082)</f>
        <v>141</v>
      </c>
      <c r="K2082" s="10" t="n">
        <f aca="false">INDEX(Parâmetros!$D$13:$D$19,MATCH(E2082,Parâmetros!$A$13:$A$19,0))</f>
        <v>0</v>
      </c>
      <c r="L2082" s="10" t="n">
        <f aca="false">IF(G2082="Prospecting",Parâmetros!$B$9,IF(J2082&gt;Parâmetros!$B$6,0,INDEX(Parâmetros!$C$24:$C$26,MATCH(J2082,Parâmetros!$A$24:$A$26,1))))</f>
        <v>0</v>
      </c>
      <c r="M2082" s="31" t="n">
        <f aca="false">IF(G2082="Prospecting",1,INDEX(Parâmetros!$C$32:$C$35,MATCH(J2082,Parâmetros!$A$32:$A$35,1)))</f>
        <v>0.6</v>
      </c>
      <c r="N2082" s="2" t="n">
        <f aca="false">ROUND((K2082+L2082)*M2082,0)</f>
        <v>0</v>
      </c>
      <c r="O2082" s="10" t="str">
        <f aca="false">IF(AND(G2082="Engaging",J2082&gt;Parâmetros!$B$6),"Sim","Não")</f>
        <v>Sim</v>
      </c>
      <c r="P2082" s="32" t="str">
        <f aca="false">IF(O2082="Sim","R",IF(N2082&gt;=Parâmetros!$B$39,"A",IF(N2082&gt;=Parâmetros!$B$40,"B",IF(N2082&gt;=Parâmetros!$B$41,"C","D"))))</f>
        <v>R</v>
      </c>
      <c r="Q2082" s="10" t="str">
        <f aca="false">IF(F2082="","Completar cadastro","")</f>
        <v/>
      </c>
      <c r="R2082" s="10" t="str">
        <f aca="false">INDEX(Parâmetros!$D$39:$D$43,MATCH(P2082,Parâmetros!$A$39:$A$43,0))</f>
        <v>Reciclar: requalificar, reengajar ou encerrar</v>
      </c>
    </row>
    <row r="2083" customFormat="false" ht="15" hidden="false" customHeight="false" outlineLevel="0" collapsed="false">
      <c r="A2083" s="10" t="s">
        <v>2330</v>
      </c>
      <c r="B2083" s="10" t="s">
        <v>75</v>
      </c>
      <c r="C2083" s="10" t="s">
        <v>72</v>
      </c>
      <c r="D2083" s="10" t="s">
        <v>196</v>
      </c>
      <c r="E2083" s="10" t="s">
        <v>52</v>
      </c>
      <c r="F2083" s="10"/>
      <c r="G2083" s="10" t="s">
        <v>162</v>
      </c>
      <c r="H2083" s="30" t="n">
        <v>42959</v>
      </c>
      <c r="I2083" s="8" t="n">
        <f aca="false">INDEX(Parâmetros!$C$13:$C$19,MATCH(E2083,Parâmetros!$A$13:$A$19,0))</f>
        <v>55</v>
      </c>
      <c r="J2083" s="26" t="n">
        <f aca="false">IF(H2083="","",Parâmetros!$B$5-H2083)</f>
        <v>141</v>
      </c>
      <c r="K2083" s="10" t="n">
        <f aca="false">INDEX(Parâmetros!$D$13:$D$19,MATCH(E2083,Parâmetros!$A$13:$A$19,0))</f>
        <v>0</v>
      </c>
      <c r="L2083" s="10" t="n">
        <f aca="false">IF(G2083="Prospecting",Parâmetros!$B$9,IF(J2083&gt;Parâmetros!$B$6,0,INDEX(Parâmetros!$C$24:$C$26,MATCH(J2083,Parâmetros!$A$24:$A$26,1))))</f>
        <v>0</v>
      </c>
      <c r="M2083" s="31" t="n">
        <f aca="false">IF(G2083="Prospecting",1,INDEX(Parâmetros!$C$32:$C$35,MATCH(J2083,Parâmetros!$A$32:$A$35,1)))</f>
        <v>0.6</v>
      </c>
      <c r="N2083" s="2" t="n">
        <f aca="false">ROUND((K2083+L2083)*M2083,0)</f>
        <v>0</v>
      </c>
      <c r="O2083" s="10" t="str">
        <f aca="false">IF(AND(G2083="Engaging",J2083&gt;Parâmetros!$B$6),"Sim","Não")</f>
        <v>Sim</v>
      </c>
      <c r="P2083" s="32" t="str">
        <f aca="false">IF(O2083="Sim","R",IF(N2083&gt;=Parâmetros!$B$39,"A",IF(N2083&gt;=Parâmetros!$B$40,"B",IF(N2083&gt;=Parâmetros!$B$41,"C","D"))))</f>
        <v>R</v>
      </c>
      <c r="Q2083" s="10" t="str">
        <f aca="false">IF(F2083="","Completar cadastro","")</f>
        <v>Completar cadastro</v>
      </c>
      <c r="R2083" s="10" t="str">
        <f aca="false">INDEX(Parâmetros!$D$39:$D$43,MATCH(P2083,Parâmetros!$A$39:$A$43,0))</f>
        <v>Reciclar: requalificar, reengajar ou encerrar</v>
      </c>
    </row>
    <row r="2084" customFormat="false" ht="15" hidden="false" customHeight="false" outlineLevel="0" collapsed="false">
      <c r="A2084" s="10" t="s">
        <v>2331</v>
      </c>
      <c r="B2084" s="10" t="s">
        <v>75</v>
      </c>
      <c r="C2084" s="10" t="s">
        <v>72</v>
      </c>
      <c r="D2084" s="10" t="s">
        <v>196</v>
      </c>
      <c r="E2084" s="10" t="s">
        <v>52</v>
      </c>
      <c r="F2084" s="10"/>
      <c r="G2084" s="10" t="s">
        <v>162</v>
      </c>
      <c r="H2084" s="30" t="n">
        <v>42959</v>
      </c>
      <c r="I2084" s="8" t="n">
        <f aca="false">INDEX(Parâmetros!$C$13:$C$19,MATCH(E2084,Parâmetros!$A$13:$A$19,0))</f>
        <v>55</v>
      </c>
      <c r="J2084" s="26" t="n">
        <f aca="false">IF(H2084="","",Parâmetros!$B$5-H2084)</f>
        <v>141</v>
      </c>
      <c r="K2084" s="10" t="n">
        <f aca="false">INDEX(Parâmetros!$D$13:$D$19,MATCH(E2084,Parâmetros!$A$13:$A$19,0))</f>
        <v>0</v>
      </c>
      <c r="L2084" s="10" t="n">
        <f aca="false">IF(G2084="Prospecting",Parâmetros!$B$9,IF(J2084&gt;Parâmetros!$B$6,0,INDEX(Parâmetros!$C$24:$C$26,MATCH(J2084,Parâmetros!$A$24:$A$26,1))))</f>
        <v>0</v>
      </c>
      <c r="M2084" s="31" t="n">
        <f aca="false">IF(G2084="Prospecting",1,INDEX(Parâmetros!$C$32:$C$35,MATCH(J2084,Parâmetros!$A$32:$A$35,1)))</f>
        <v>0.6</v>
      </c>
      <c r="N2084" s="2" t="n">
        <f aca="false">ROUND((K2084+L2084)*M2084,0)</f>
        <v>0</v>
      </c>
      <c r="O2084" s="10" t="str">
        <f aca="false">IF(AND(G2084="Engaging",J2084&gt;Parâmetros!$B$6),"Sim","Não")</f>
        <v>Sim</v>
      </c>
      <c r="P2084" s="32" t="str">
        <f aca="false">IF(O2084="Sim","R",IF(N2084&gt;=Parâmetros!$B$39,"A",IF(N2084&gt;=Parâmetros!$B$40,"B",IF(N2084&gt;=Parâmetros!$B$41,"C","D"))))</f>
        <v>R</v>
      </c>
      <c r="Q2084" s="10" t="str">
        <f aca="false">IF(F2084="","Completar cadastro","")</f>
        <v>Completar cadastro</v>
      </c>
      <c r="R2084" s="10" t="str">
        <f aca="false">INDEX(Parâmetros!$D$39:$D$43,MATCH(P2084,Parâmetros!$A$39:$A$43,0))</f>
        <v>Reciclar: requalificar, reengajar ou encerrar</v>
      </c>
    </row>
    <row r="2085" customFormat="false" ht="15" hidden="false" customHeight="false" outlineLevel="0" collapsed="false">
      <c r="A2085" s="10" t="s">
        <v>2332</v>
      </c>
      <c r="B2085" s="10" t="s">
        <v>76</v>
      </c>
      <c r="C2085" s="10" t="s">
        <v>72</v>
      </c>
      <c r="D2085" s="10" t="s">
        <v>196</v>
      </c>
      <c r="E2085" s="10" t="s">
        <v>52</v>
      </c>
      <c r="F2085" s="10" t="s">
        <v>1397</v>
      </c>
      <c r="G2085" s="10" t="s">
        <v>162</v>
      </c>
      <c r="H2085" s="30" t="n">
        <v>42959</v>
      </c>
      <c r="I2085" s="8" t="n">
        <f aca="false">INDEX(Parâmetros!$C$13:$C$19,MATCH(E2085,Parâmetros!$A$13:$A$19,0))</f>
        <v>55</v>
      </c>
      <c r="J2085" s="26" t="n">
        <f aca="false">IF(H2085="","",Parâmetros!$B$5-H2085)</f>
        <v>141</v>
      </c>
      <c r="K2085" s="10" t="n">
        <f aca="false">INDEX(Parâmetros!$D$13:$D$19,MATCH(E2085,Parâmetros!$A$13:$A$19,0))</f>
        <v>0</v>
      </c>
      <c r="L2085" s="10" t="n">
        <f aca="false">IF(G2085="Prospecting",Parâmetros!$B$9,IF(J2085&gt;Parâmetros!$B$6,0,INDEX(Parâmetros!$C$24:$C$26,MATCH(J2085,Parâmetros!$A$24:$A$26,1))))</f>
        <v>0</v>
      </c>
      <c r="M2085" s="31" t="n">
        <f aca="false">IF(G2085="Prospecting",1,INDEX(Parâmetros!$C$32:$C$35,MATCH(J2085,Parâmetros!$A$32:$A$35,1)))</f>
        <v>0.6</v>
      </c>
      <c r="N2085" s="2" t="n">
        <f aca="false">ROUND((K2085+L2085)*M2085,0)</f>
        <v>0</v>
      </c>
      <c r="O2085" s="10" t="str">
        <f aca="false">IF(AND(G2085="Engaging",J2085&gt;Parâmetros!$B$6),"Sim","Não")</f>
        <v>Sim</v>
      </c>
      <c r="P2085" s="32" t="str">
        <f aca="false">IF(O2085="Sim","R",IF(N2085&gt;=Parâmetros!$B$39,"A",IF(N2085&gt;=Parâmetros!$B$40,"B",IF(N2085&gt;=Parâmetros!$B$41,"C","D"))))</f>
        <v>R</v>
      </c>
      <c r="Q2085" s="10" t="str">
        <f aca="false">IF(F2085="","Completar cadastro","")</f>
        <v/>
      </c>
      <c r="R2085" s="10" t="str">
        <f aca="false">INDEX(Parâmetros!$D$39:$D$43,MATCH(P2085,Parâmetros!$A$39:$A$43,0))</f>
        <v>Reciclar: requalificar, reengajar ou encerrar</v>
      </c>
    </row>
    <row r="2086" customFormat="false" ht="15" hidden="false" customHeight="false" outlineLevel="0" collapsed="false">
      <c r="A2086" s="10" t="s">
        <v>2333</v>
      </c>
      <c r="B2086" s="10" t="s">
        <v>74</v>
      </c>
      <c r="C2086" s="10" t="s">
        <v>72</v>
      </c>
      <c r="D2086" s="10" t="s">
        <v>196</v>
      </c>
      <c r="E2086" s="10" t="s">
        <v>52</v>
      </c>
      <c r="F2086" s="10" t="s">
        <v>185</v>
      </c>
      <c r="G2086" s="10" t="s">
        <v>162</v>
      </c>
      <c r="H2086" s="30" t="n">
        <v>42960</v>
      </c>
      <c r="I2086" s="8" t="n">
        <f aca="false">INDEX(Parâmetros!$C$13:$C$19,MATCH(E2086,Parâmetros!$A$13:$A$19,0))</f>
        <v>55</v>
      </c>
      <c r="J2086" s="26" t="n">
        <f aca="false">IF(H2086="","",Parâmetros!$B$5-H2086)</f>
        <v>140</v>
      </c>
      <c r="K2086" s="10" t="n">
        <f aca="false">INDEX(Parâmetros!$D$13:$D$19,MATCH(E2086,Parâmetros!$A$13:$A$19,0))</f>
        <v>0</v>
      </c>
      <c r="L2086" s="10" t="n">
        <f aca="false">IF(G2086="Prospecting",Parâmetros!$B$9,IF(J2086&gt;Parâmetros!$B$6,0,INDEX(Parâmetros!$C$24:$C$26,MATCH(J2086,Parâmetros!$A$24:$A$26,1))))</f>
        <v>0</v>
      </c>
      <c r="M2086" s="31" t="n">
        <f aca="false">IF(G2086="Prospecting",1,INDEX(Parâmetros!$C$32:$C$35,MATCH(J2086,Parâmetros!$A$32:$A$35,1)))</f>
        <v>0.6</v>
      </c>
      <c r="N2086" s="2" t="n">
        <f aca="false">ROUND((K2086+L2086)*M2086,0)</f>
        <v>0</v>
      </c>
      <c r="O2086" s="10" t="str">
        <f aca="false">IF(AND(G2086="Engaging",J2086&gt;Parâmetros!$B$6),"Sim","Não")</f>
        <v>Sim</v>
      </c>
      <c r="P2086" s="32" t="str">
        <f aca="false">IF(O2086="Sim","R",IF(N2086&gt;=Parâmetros!$B$39,"A",IF(N2086&gt;=Parâmetros!$B$40,"B",IF(N2086&gt;=Parâmetros!$B$41,"C","D"))))</f>
        <v>R</v>
      </c>
      <c r="Q2086" s="10" t="str">
        <f aca="false">IF(F2086="","Completar cadastro","")</f>
        <v/>
      </c>
      <c r="R2086" s="10" t="str">
        <f aca="false">INDEX(Parâmetros!$D$39:$D$43,MATCH(P2086,Parâmetros!$A$39:$A$43,0))</f>
        <v>Reciclar: requalificar, reengajar ou encerrar</v>
      </c>
    </row>
    <row r="2087" customFormat="false" ht="15" hidden="false" customHeight="false" outlineLevel="0" collapsed="false">
      <c r="A2087" s="10" t="s">
        <v>2334</v>
      </c>
      <c r="B2087" s="10" t="s">
        <v>96</v>
      </c>
      <c r="C2087" s="10" t="s">
        <v>92</v>
      </c>
      <c r="D2087" s="10" t="s">
        <v>160</v>
      </c>
      <c r="E2087" s="10" t="s">
        <v>52</v>
      </c>
      <c r="F2087" s="10"/>
      <c r="G2087" s="10" t="s">
        <v>162</v>
      </c>
      <c r="H2087" s="30" t="n">
        <v>42960</v>
      </c>
      <c r="I2087" s="8" t="n">
        <f aca="false">INDEX(Parâmetros!$C$13:$C$19,MATCH(E2087,Parâmetros!$A$13:$A$19,0))</f>
        <v>55</v>
      </c>
      <c r="J2087" s="26" t="n">
        <f aca="false">IF(H2087="","",Parâmetros!$B$5-H2087)</f>
        <v>140</v>
      </c>
      <c r="K2087" s="10" t="n">
        <f aca="false">INDEX(Parâmetros!$D$13:$D$19,MATCH(E2087,Parâmetros!$A$13:$A$19,0))</f>
        <v>0</v>
      </c>
      <c r="L2087" s="10" t="n">
        <f aca="false">IF(G2087="Prospecting",Parâmetros!$B$9,IF(J2087&gt;Parâmetros!$B$6,0,INDEX(Parâmetros!$C$24:$C$26,MATCH(J2087,Parâmetros!$A$24:$A$26,1))))</f>
        <v>0</v>
      </c>
      <c r="M2087" s="31" t="n">
        <f aca="false">IF(G2087="Prospecting",1,INDEX(Parâmetros!$C$32:$C$35,MATCH(J2087,Parâmetros!$A$32:$A$35,1)))</f>
        <v>0.6</v>
      </c>
      <c r="N2087" s="2" t="n">
        <f aca="false">ROUND((K2087+L2087)*M2087,0)</f>
        <v>0</v>
      </c>
      <c r="O2087" s="10" t="str">
        <f aca="false">IF(AND(G2087="Engaging",J2087&gt;Parâmetros!$B$6),"Sim","Não")</f>
        <v>Sim</v>
      </c>
      <c r="P2087" s="32" t="str">
        <f aca="false">IF(O2087="Sim","R",IF(N2087&gt;=Parâmetros!$B$39,"A",IF(N2087&gt;=Parâmetros!$B$40,"B",IF(N2087&gt;=Parâmetros!$B$41,"C","D"))))</f>
        <v>R</v>
      </c>
      <c r="Q2087" s="10" t="str">
        <f aca="false">IF(F2087="","Completar cadastro","")</f>
        <v>Completar cadastro</v>
      </c>
      <c r="R2087" s="10" t="str">
        <f aca="false">INDEX(Parâmetros!$D$39:$D$43,MATCH(P2087,Parâmetros!$A$39:$A$43,0))</f>
        <v>Reciclar: requalificar, reengajar ou encerrar</v>
      </c>
    </row>
    <row r="2088" customFormat="false" ht="15" hidden="false" customHeight="false" outlineLevel="0" collapsed="false">
      <c r="A2088" s="10" t="s">
        <v>2335</v>
      </c>
      <c r="B2088" s="10" t="s">
        <v>71</v>
      </c>
      <c r="C2088" s="10" t="s">
        <v>72</v>
      </c>
      <c r="D2088" s="10" t="s">
        <v>196</v>
      </c>
      <c r="E2088" s="10" t="s">
        <v>52</v>
      </c>
      <c r="F2088" s="10"/>
      <c r="G2088" s="10" t="s">
        <v>162</v>
      </c>
      <c r="H2088" s="30" t="n">
        <v>42961</v>
      </c>
      <c r="I2088" s="8" t="n">
        <f aca="false">INDEX(Parâmetros!$C$13:$C$19,MATCH(E2088,Parâmetros!$A$13:$A$19,0))</f>
        <v>55</v>
      </c>
      <c r="J2088" s="26" t="n">
        <f aca="false">IF(H2088="","",Parâmetros!$B$5-H2088)</f>
        <v>139</v>
      </c>
      <c r="K2088" s="10" t="n">
        <f aca="false">INDEX(Parâmetros!$D$13:$D$19,MATCH(E2088,Parâmetros!$A$13:$A$19,0))</f>
        <v>0</v>
      </c>
      <c r="L2088" s="10" t="n">
        <f aca="false">IF(G2088="Prospecting",Parâmetros!$B$9,IF(J2088&gt;Parâmetros!$B$6,0,INDEX(Parâmetros!$C$24:$C$26,MATCH(J2088,Parâmetros!$A$24:$A$26,1))))</f>
        <v>0</v>
      </c>
      <c r="M2088" s="31" t="n">
        <f aca="false">IF(G2088="Prospecting",1,INDEX(Parâmetros!$C$32:$C$35,MATCH(J2088,Parâmetros!$A$32:$A$35,1)))</f>
        <v>0.6</v>
      </c>
      <c r="N2088" s="2" t="n">
        <f aca="false">ROUND((K2088+L2088)*M2088,0)</f>
        <v>0</v>
      </c>
      <c r="O2088" s="10" t="str">
        <f aca="false">IF(AND(G2088="Engaging",J2088&gt;Parâmetros!$B$6),"Sim","Não")</f>
        <v>Sim</v>
      </c>
      <c r="P2088" s="32" t="str">
        <f aca="false">IF(O2088="Sim","R",IF(N2088&gt;=Parâmetros!$B$39,"A",IF(N2088&gt;=Parâmetros!$B$40,"B",IF(N2088&gt;=Parâmetros!$B$41,"C","D"))))</f>
        <v>R</v>
      </c>
      <c r="Q2088" s="10" t="str">
        <f aca="false">IF(F2088="","Completar cadastro","")</f>
        <v>Completar cadastro</v>
      </c>
      <c r="R2088" s="10" t="str">
        <f aca="false">INDEX(Parâmetros!$D$39:$D$43,MATCH(P2088,Parâmetros!$A$39:$A$43,0))</f>
        <v>Reciclar: requalificar, reengajar ou encerrar</v>
      </c>
    </row>
    <row r="2089" customFormat="false" ht="15" hidden="false" customHeight="false" outlineLevel="0" collapsed="false">
      <c r="A2089" s="10" t="s">
        <v>2336</v>
      </c>
      <c r="B2089" s="10" t="s">
        <v>71</v>
      </c>
      <c r="C2089" s="10" t="s">
        <v>72</v>
      </c>
      <c r="D2089" s="10" t="s">
        <v>196</v>
      </c>
      <c r="E2089" s="10" t="s">
        <v>52</v>
      </c>
      <c r="F2089" s="10"/>
      <c r="G2089" s="10" t="s">
        <v>162</v>
      </c>
      <c r="H2089" s="30" t="n">
        <v>42961</v>
      </c>
      <c r="I2089" s="8" t="n">
        <f aca="false">INDEX(Parâmetros!$C$13:$C$19,MATCH(E2089,Parâmetros!$A$13:$A$19,0))</f>
        <v>55</v>
      </c>
      <c r="J2089" s="26" t="n">
        <f aca="false">IF(H2089="","",Parâmetros!$B$5-H2089)</f>
        <v>139</v>
      </c>
      <c r="K2089" s="10" t="n">
        <f aca="false">INDEX(Parâmetros!$D$13:$D$19,MATCH(E2089,Parâmetros!$A$13:$A$19,0))</f>
        <v>0</v>
      </c>
      <c r="L2089" s="10" t="n">
        <f aca="false">IF(G2089="Prospecting",Parâmetros!$B$9,IF(J2089&gt;Parâmetros!$B$6,0,INDEX(Parâmetros!$C$24:$C$26,MATCH(J2089,Parâmetros!$A$24:$A$26,1))))</f>
        <v>0</v>
      </c>
      <c r="M2089" s="31" t="n">
        <f aca="false">IF(G2089="Prospecting",1,INDEX(Parâmetros!$C$32:$C$35,MATCH(J2089,Parâmetros!$A$32:$A$35,1)))</f>
        <v>0.6</v>
      </c>
      <c r="N2089" s="2" t="n">
        <f aca="false">ROUND((K2089+L2089)*M2089,0)</f>
        <v>0</v>
      </c>
      <c r="O2089" s="10" t="str">
        <f aca="false">IF(AND(G2089="Engaging",J2089&gt;Parâmetros!$B$6),"Sim","Não")</f>
        <v>Sim</v>
      </c>
      <c r="P2089" s="32" t="str">
        <f aca="false">IF(O2089="Sim","R",IF(N2089&gt;=Parâmetros!$B$39,"A",IF(N2089&gt;=Parâmetros!$B$40,"B",IF(N2089&gt;=Parâmetros!$B$41,"C","D"))))</f>
        <v>R</v>
      </c>
      <c r="Q2089" s="10" t="str">
        <f aca="false">IF(F2089="","Completar cadastro","")</f>
        <v>Completar cadastro</v>
      </c>
      <c r="R2089" s="10" t="str">
        <f aca="false">INDEX(Parâmetros!$D$39:$D$43,MATCH(P2089,Parâmetros!$A$39:$A$43,0))</f>
        <v>Reciclar: requalificar, reengajar ou encerrar</v>
      </c>
    </row>
    <row r="2090" customFormat="false" ht="15" hidden="false" customHeight="false" outlineLevel="0" collapsed="false">
      <c r="A2090" s="10" t="s">
        <v>2337</v>
      </c>
      <c r="B2090" s="10" t="s">
        <v>66</v>
      </c>
      <c r="C2090" s="10" t="s">
        <v>65</v>
      </c>
      <c r="D2090" s="10" t="s">
        <v>160</v>
      </c>
      <c r="E2090" s="10" t="s">
        <v>52</v>
      </c>
      <c r="F2090" s="10"/>
      <c r="G2090" s="10" t="s">
        <v>162</v>
      </c>
      <c r="H2090" s="30" t="n">
        <v>42961</v>
      </c>
      <c r="I2090" s="8" t="n">
        <f aca="false">INDEX(Parâmetros!$C$13:$C$19,MATCH(E2090,Parâmetros!$A$13:$A$19,0))</f>
        <v>55</v>
      </c>
      <c r="J2090" s="26" t="n">
        <f aca="false">IF(H2090="","",Parâmetros!$B$5-H2090)</f>
        <v>139</v>
      </c>
      <c r="K2090" s="10" t="n">
        <f aca="false">INDEX(Parâmetros!$D$13:$D$19,MATCH(E2090,Parâmetros!$A$13:$A$19,0))</f>
        <v>0</v>
      </c>
      <c r="L2090" s="10" t="n">
        <f aca="false">IF(G2090="Prospecting",Parâmetros!$B$9,IF(J2090&gt;Parâmetros!$B$6,0,INDEX(Parâmetros!$C$24:$C$26,MATCH(J2090,Parâmetros!$A$24:$A$26,1))))</f>
        <v>0</v>
      </c>
      <c r="M2090" s="31" t="n">
        <f aca="false">IF(G2090="Prospecting",1,INDEX(Parâmetros!$C$32:$C$35,MATCH(J2090,Parâmetros!$A$32:$A$35,1)))</f>
        <v>0.6</v>
      </c>
      <c r="N2090" s="2" t="n">
        <f aca="false">ROUND((K2090+L2090)*M2090,0)</f>
        <v>0</v>
      </c>
      <c r="O2090" s="10" t="str">
        <f aca="false">IF(AND(G2090="Engaging",J2090&gt;Parâmetros!$B$6),"Sim","Não")</f>
        <v>Sim</v>
      </c>
      <c r="P2090" s="32" t="str">
        <f aca="false">IF(O2090="Sim","R",IF(N2090&gt;=Parâmetros!$B$39,"A",IF(N2090&gt;=Parâmetros!$B$40,"B",IF(N2090&gt;=Parâmetros!$B$41,"C","D"))))</f>
        <v>R</v>
      </c>
      <c r="Q2090" s="10" t="str">
        <f aca="false">IF(F2090="","Completar cadastro","")</f>
        <v>Completar cadastro</v>
      </c>
      <c r="R2090" s="10" t="str">
        <f aca="false">INDEX(Parâmetros!$D$39:$D$43,MATCH(P2090,Parâmetros!$A$39:$A$43,0))</f>
        <v>Reciclar: requalificar, reengajar ou encerrar</v>
      </c>
    </row>
  </sheetData>
  <autoFilter ref="A1:R2090"/>
  <conditionalFormatting sqref="P2:P2090">
    <cfRule type="cellIs" priority="2" operator="equal" aboveAverage="0" equalAverage="0" bottom="0" percent="0" rank="0" text="" dxfId="9">
      <formula>"A"</formula>
    </cfRule>
    <cfRule type="cellIs" priority="3" operator="equal" aboveAverage="0" equalAverage="0" bottom="0" percent="0" rank="0" text="" dxfId="10">
      <formula>"B"</formula>
    </cfRule>
    <cfRule type="cellIs" priority="4" operator="equal" aboveAverage="0" equalAverage="0" bottom="0" percent="0" rank="0" text="" dxfId="11">
      <formula>"C"</formula>
    </cfRule>
    <cfRule type="cellIs" priority="5" operator="equal" aboveAverage="0" equalAverage="0" bottom="0" percent="0" rank="0" text="" dxfId="12">
      <formula>"D"</formula>
    </cfRule>
    <cfRule type="cellIs" priority="6" operator="equal" aboveAverage="0" equalAverage="0" bottom="0" percent="0" rank="0" text="" dxfId="13">
      <formula>"R"</formula>
    </cfRule>
  </conditionalFormatting>
  <conditionalFormatting sqref="Q2:Q2090">
    <cfRule type="cellIs" priority="7" operator="equal" aboveAverage="0" equalAverage="0" bottom="0" percent="0" rank="0" text="" dxfId="14">
      <formula>"Completar cadastro"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7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0"/>
    <col collapsed="false" customWidth="true" hidden="false" outlineLevel="0" max="3" min="3" style="0" width="15"/>
    <col collapsed="false" customWidth="true" hidden="false" outlineLevel="0" max="4" min="4" style="0" width="26"/>
    <col collapsed="false" customWidth="true" hidden="false" outlineLevel="0" max="5" min="5" style="0" width="10"/>
    <col collapsed="false" customWidth="true" hidden="false" outlineLevel="0" max="7" min="6" style="0" width="14"/>
    <col collapsed="false" customWidth="true" hidden="false" outlineLevel="0" max="8" min="8" style="0" width="12"/>
    <col collapsed="false" customWidth="true" hidden="false" outlineLevel="0" max="9" min="9" style="0" width="11"/>
  </cols>
  <sheetData>
    <row r="1" customFormat="false" ht="35.05" hidden="false" customHeight="false" outlineLevel="0" collapsed="false">
      <c r="A1" s="6" t="s">
        <v>148</v>
      </c>
      <c r="B1" s="6" t="s">
        <v>54</v>
      </c>
      <c r="C1" s="6" t="s">
        <v>45</v>
      </c>
      <c r="D1" s="6" t="s">
        <v>150</v>
      </c>
      <c r="E1" s="6" t="s">
        <v>151</v>
      </c>
      <c r="F1" s="6" t="s">
        <v>152</v>
      </c>
      <c r="G1" s="6" t="s">
        <v>2338</v>
      </c>
      <c r="H1" s="6" t="s">
        <v>2339</v>
      </c>
      <c r="I1" s="6" t="s">
        <v>2340</v>
      </c>
    </row>
    <row r="2" customFormat="false" ht="15" hidden="false" customHeight="false" outlineLevel="0" collapsed="false">
      <c r="A2" s="10" t="s">
        <v>2341</v>
      </c>
      <c r="B2" s="10" t="s">
        <v>75</v>
      </c>
      <c r="C2" s="10" t="s">
        <v>50</v>
      </c>
      <c r="D2" s="10" t="s">
        <v>410</v>
      </c>
      <c r="E2" s="10" t="s">
        <v>2342</v>
      </c>
      <c r="F2" s="30" t="n">
        <v>42663</v>
      </c>
      <c r="G2" s="30" t="n">
        <v>42795</v>
      </c>
      <c r="H2" s="26" t="n">
        <f aca="false">G2-F2</f>
        <v>132</v>
      </c>
      <c r="I2" s="10" t="n">
        <f aca="false">IF(E2="Won",1,0)</f>
        <v>1</v>
      </c>
    </row>
    <row r="3" customFormat="false" ht="15" hidden="false" customHeight="false" outlineLevel="0" collapsed="false">
      <c r="A3" s="10" t="s">
        <v>2343</v>
      </c>
      <c r="B3" s="10" t="s">
        <v>90</v>
      </c>
      <c r="C3" s="10" t="s">
        <v>51</v>
      </c>
      <c r="D3" s="10" t="s">
        <v>405</v>
      </c>
      <c r="E3" s="10" t="s">
        <v>2342</v>
      </c>
      <c r="F3" s="30" t="n">
        <v>42686</v>
      </c>
      <c r="G3" s="30" t="n">
        <v>42795</v>
      </c>
      <c r="H3" s="26" t="n">
        <f aca="false">G3-F3</f>
        <v>109</v>
      </c>
      <c r="I3" s="10" t="n">
        <f aca="false">IF(E3="Won",1,0)</f>
        <v>1</v>
      </c>
    </row>
    <row r="4" customFormat="false" ht="15" hidden="false" customHeight="false" outlineLevel="0" collapsed="false">
      <c r="A4" s="10" t="s">
        <v>2344</v>
      </c>
      <c r="B4" s="10" t="s">
        <v>97</v>
      </c>
      <c r="C4" s="10" t="s">
        <v>48</v>
      </c>
      <c r="D4" s="10" t="s">
        <v>303</v>
      </c>
      <c r="E4" s="10" t="s">
        <v>2345</v>
      </c>
      <c r="F4" s="30" t="n">
        <v>42780</v>
      </c>
      <c r="G4" s="30" t="n">
        <v>42795</v>
      </c>
      <c r="H4" s="26" t="n">
        <f aca="false">G4-F4</f>
        <v>15</v>
      </c>
      <c r="I4" s="10" t="n">
        <f aca="false">IF(E4="Won",1,0)</f>
        <v>0</v>
      </c>
    </row>
    <row r="5" customFormat="false" ht="15" hidden="false" customHeight="false" outlineLevel="0" collapsed="false">
      <c r="A5" s="10" t="s">
        <v>2346</v>
      </c>
      <c r="B5" s="10" t="s">
        <v>79</v>
      </c>
      <c r="C5" s="10" t="s">
        <v>47</v>
      </c>
      <c r="D5" s="10" t="s">
        <v>353</v>
      </c>
      <c r="E5" s="10" t="s">
        <v>2342</v>
      </c>
      <c r="F5" s="30" t="n">
        <v>42782</v>
      </c>
      <c r="G5" s="30" t="n">
        <v>42795</v>
      </c>
      <c r="H5" s="26" t="n">
        <f aca="false">G5-F5</f>
        <v>13</v>
      </c>
      <c r="I5" s="10" t="n">
        <f aca="false">IF(E5="Won",1,0)</f>
        <v>1</v>
      </c>
    </row>
    <row r="6" customFormat="false" ht="15" hidden="false" customHeight="false" outlineLevel="0" collapsed="false">
      <c r="A6" s="10" t="s">
        <v>2347</v>
      </c>
      <c r="B6" s="10" t="s">
        <v>71</v>
      </c>
      <c r="C6" s="10" t="s">
        <v>47</v>
      </c>
      <c r="D6" s="10" t="s">
        <v>961</v>
      </c>
      <c r="E6" s="10" t="s">
        <v>2342</v>
      </c>
      <c r="F6" s="30" t="n">
        <v>42736</v>
      </c>
      <c r="G6" s="30" t="n">
        <v>42795</v>
      </c>
      <c r="H6" s="26" t="n">
        <f aca="false">G6-F6</f>
        <v>59</v>
      </c>
      <c r="I6" s="10" t="n">
        <f aca="false">IF(E6="Won",1,0)</f>
        <v>1</v>
      </c>
    </row>
    <row r="7" customFormat="false" ht="15" hidden="false" customHeight="false" outlineLevel="0" collapsed="false">
      <c r="A7" s="10" t="s">
        <v>2348</v>
      </c>
      <c r="B7" s="10" t="s">
        <v>71</v>
      </c>
      <c r="C7" s="10" t="s">
        <v>52</v>
      </c>
      <c r="D7" s="10" t="s">
        <v>527</v>
      </c>
      <c r="E7" s="10" t="s">
        <v>2342</v>
      </c>
      <c r="F7" s="30" t="n">
        <v>42744</v>
      </c>
      <c r="G7" s="30" t="n">
        <v>42795</v>
      </c>
      <c r="H7" s="26" t="n">
        <f aca="false">G7-F7</f>
        <v>51</v>
      </c>
      <c r="I7" s="10" t="n">
        <f aca="false">IF(E7="Won",1,0)</f>
        <v>1</v>
      </c>
    </row>
    <row r="8" customFormat="false" ht="15" hidden="false" customHeight="false" outlineLevel="0" collapsed="false">
      <c r="A8" s="10" t="s">
        <v>2349</v>
      </c>
      <c r="B8" s="10" t="s">
        <v>67</v>
      </c>
      <c r="C8" s="10" t="s">
        <v>49</v>
      </c>
      <c r="D8" s="10" t="s">
        <v>384</v>
      </c>
      <c r="E8" s="10" t="s">
        <v>2345</v>
      </c>
      <c r="F8" s="30" t="n">
        <v>42695</v>
      </c>
      <c r="G8" s="30" t="n">
        <v>42795</v>
      </c>
      <c r="H8" s="26" t="n">
        <f aca="false">G8-F8</f>
        <v>100</v>
      </c>
      <c r="I8" s="10" t="n">
        <f aca="false">IF(E8="Won",1,0)</f>
        <v>0</v>
      </c>
    </row>
    <row r="9" customFormat="false" ht="15" hidden="false" customHeight="false" outlineLevel="0" collapsed="false">
      <c r="A9" s="10" t="s">
        <v>2350</v>
      </c>
      <c r="B9" s="10" t="s">
        <v>81</v>
      </c>
      <c r="C9" s="10" t="s">
        <v>48</v>
      </c>
      <c r="D9" s="10" t="s">
        <v>353</v>
      </c>
      <c r="E9" s="10" t="s">
        <v>2342</v>
      </c>
      <c r="F9" s="30" t="n">
        <v>42695</v>
      </c>
      <c r="G9" s="30" t="n">
        <v>42795</v>
      </c>
      <c r="H9" s="26" t="n">
        <f aca="false">G9-F9</f>
        <v>100</v>
      </c>
      <c r="I9" s="10" t="n">
        <f aca="false">IF(E9="Won",1,0)</f>
        <v>1</v>
      </c>
    </row>
    <row r="10" customFormat="false" ht="15" hidden="false" customHeight="false" outlineLevel="0" collapsed="false">
      <c r="A10" s="10" t="s">
        <v>2351</v>
      </c>
      <c r="B10" s="10" t="s">
        <v>61</v>
      </c>
      <c r="C10" s="10" t="s">
        <v>49</v>
      </c>
      <c r="D10" s="10" t="s">
        <v>218</v>
      </c>
      <c r="E10" s="10" t="s">
        <v>2345</v>
      </c>
      <c r="F10" s="30" t="n">
        <v>42685</v>
      </c>
      <c r="G10" s="30" t="n">
        <v>42795</v>
      </c>
      <c r="H10" s="26" t="n">
        <f aca="false">G10-F10</f>
        <v>110</v>
      </c>
      <c r="I10" s="10" t="n">
        <f aca="false">IF(E10="Won",1,0)</f>
        <v>0</v>
      </c>
    </row>
    <row r="11" customFormat="false" ht="15" hidden="false" customHeight="false" outlineLevel="0" collapsed="false">
      <c r="A11" s="10" t="s">
        <v>2352</v>
      </c>
      <c r="B11" s="10" t="s">
        <v>73</v>
      </c>
      <c r="C11" s="10" t="s">
        <v>47</v>
      </c>
      <c r="D11" s="10" t="s">
        <v>697</v>
      </c>
      <c r="E11" s="10" t="s">
        <v>2342</v>
      </c>
      <c r="F11" s="30" t="n">
        <v>42712</v>
      </c>
      <c r="G11" s="30" t="n">
        <v>42795</v>
      </c>
      <c r="H11" s="26" t="n">
        <f aca="false">G11-F11</f>
        <v>83</v>
      </c>
      <c r="I11" s="10" t="n">
        <f aca="false">IF(E11="Won",1,0)</f>
        <v>1</v>
      </c>
    </row>
    <row r="12" customFormat="false" ht="15" hidden="false" customHeight="false" outlineLevel="0" collapsed="false">
      <c r="A12" s="10" t="s">
        <v>2353</v>
      </c>
      <c r="B12" s="10" t="s">
        <v>68</v>
      </c>
      <c r="C12" s="10" t="s">
        <v>51</v>
      </c>
      <c r="D12" s="10" t="s">
        <v>326</v>
      </c>
      <c r="E12" s="10" t="s">
        <v>2342</v>
      </c>
      <c r="F12" s="30" t="n">
        <v>42697</v>
      </c>
      <c r="G12" s="30" t="n">
        <v>42795</v>
      </c>
      <c r="H12" s="26" t="n">
        <f aca="false">G12-F12</f>
        <v>98</v>
      </c>
      <c r="I12" s="10" t="n">
        <f aca="false">IF(E12="Won",1,0)</f>
        <v>1</v>
      </c>
    </row>
    <row r="13" customFormat="false" ht="15" hidden="false" customHeight="false" outlineLevel="0" collapsed="false">
      <c r="A13" s="10" t="s">
        <v>2354</v>
      </c>
      <c r="B13" s="10" t="s">
        <v>86</v>
      </c>
      <c r="C13" s="10" t="s">
        <v>49</v>
      </c>
      <c r="D13" s="10" t="s">
        <v>1118</v>
      </c>
      <c r="E13" s="10" t="s">
        <v>2342</v>
      </c>
      <c r="F13" s="30" t="n">
        <v>42698</v>
      </c>
      <c r="G13" s="30" t="n">
        <v>42795</v>
      </c>
      <c r="H13" s="26" t="n">
        <f aca="false">G13-F13</f>
        <v>97</v>
      </c>
      <c r="I13" s="10" t="n">
        <f aca="false">IF(E13="Won",1,0)</f>
        <v>1</v>
      </c>
    </row>
    <row r="14" customFormat="false" ht="15" hidden="false" customHeight="false" outlineLevel="0" collapsed="false">
      <c r="A14" s="10" t="s">
        <v>2355</v>
      </c>
      <c r="B14" s="10" t="s">
        <v>60</v>
      </c>
      <c r="C14" s="10" t="s">
        <v>49</v>
      </c>
      <c r="D14" s="10" t="s">
        <v>215</v>
      </c>
      <c r="E14" s="10" t="s">
        <v>2342</v>
      </c>
      <c r="F14" s="30" t="n">
        <v>42785</v>
      </c>
      <c r="G14" s="30" t="n">
        <v>42795</v>
      </c>
      <c r="H14" s="26" t="n">
        <f aca="false">G14-F14</f>
        <v>10</v>
      </c>
      <c r="I14" s="10" t="n">
        <f aca="false">IF(E14="Won",1,0)</f>
        <v>1</v>
      </c>
    </row>
    <row r="15" customFormat="false" ht="15" hidden="false" customHeight="false" outlineLevel="0" collapsed="false">
      <c r="A15" s="10" t="s">
        <v>2356</v>
      </c>
      <c r="B15" s="10" t="s">
        <v>71</v>
      </c>
      <c r="C15" s="10" t="s">
        <v>52</v>
      </c>
      <c r="D15" s="10" t="s">
        <v>193</v>
      </c>
      <c r="E15" s="10" t="s">
        <v>2342</v>
      </c>
      <c r="F15" s="30" t="n">
        <v>42699</v>
      </c>
      <c r="G15" s="30" t="n">
        <v>42795</v>
      </c>
      <c r="H15" s="26" t="n">
        <f aca="false">G15-F15</f>
        <v>96</v>
      </c>
      <c r="I15" s="10" t="n">
        <f aca="false">IF(E15="Won",1,0)</f>
        <v>1</v>
      </c>
    </row>
    <row r="16" customFormat="false" ht="15" hidden="false" customHeight="false" outlineLevel="0" collapsed="false">
      <c r="A16" s="10" t="s">
        <v>2357</v>
      </c>
      <c r="B16" s="10" t="s">
        <v>57</v>
      </c>
      <c r="C16" s="10" t="s">
        <v>47</v>
      </c>
      <c r="D16" s="10" t="s">
        <v>161</v>
      </c>
      <c r="E16" s="10" t="s">
        <v>2342</v>
      </c>
      <c r="F16" s="30" t="n">
        <v>42699</v>
      </c>
      <c r="G16" s="30" t="n">
        <v>42795</v>
      </c>
      <c r="H16" s="26" t="n">
        <f aca="false">G16-F16</f>
        <v>96</v>
      </c>
      <c r="I16" s="10" t="n">
        <f aca="false">IF(E16="Won",1,0)</f>
        <v>1</v>
      </c>
    </row>
    <row r="17" customFormat="false" ht="15" hidden="false" customHeight="false" outlineLevel="0" collapsed="false">
      <c r="A17" s="10" t="s">
        <v>2358</v>
      </c>
      <c r="B17" s="10" t="s">
        <v>96</v>
      </c>
      <c r="C17" s="10" t="s">
        <v>51</v>
      </c>
      <c r="D17" s="10" t="s">
        <v>344</v>
      </c>
      <c r="E17" s="10" t="s">
        <v>2342</v>
      </c>
      <c r="F17" s="30" t="n">
        <v>42786</v>
      </c>
      <c r="G17" s="30" t="n">
        <v>42795</v>
      </c>
      <c r="H17" s="26" t="n">
        <f aca="false">G17-F17</f>
        <v>9</v>
      </c>
      <c r="I17" s="10" t="n">
        <f aca="false">IF(E17="Won",1,0)</f>
        <v>1</v>
      </c>
    </row>
    <row r="18" customFormat="false" ht="15" hidden="false" customHeight="false" outlineLevel="0" collapsed="false">
      <c r="A18" s="10" t="s">
        <v>2359</v>
      </c>
      <c r="B18" s="10" t="s">
        <v>71</v>
      </c>
      <c r="C18" s="10" t="s">
        <v>51</v>
      </c>
      <c r="D18" s="10" t="s">
        <v>353</v>
      </c>
      <c r="E18" s="10" t="s">
        <v>2342</v>
      </c>
      <c r="F18" s="30" t="n">
        <v>42732</v>
      </c>
      <c r="G18" s="30" t="n">
        <v>42795</v>
      </c>
      <c r="H18" s="26" t="n">
        <f aca="false">G18-F18</f>
        <v>63</v>
      </c>
      <c r="I18" s="10" t="n">
        <f aca="false">IF(E18="Won",1,0)</f>
        <v>1</v>
      </c>
    </row>
    <row r="19" customFormat="false" ht="15" hidden="false" customHeight="false" outlineLevel="0" collapsed="false">
      <c r="A19" s="10" t="s">
        <v>2360</v>
      </c>
      <c r="B19" s="10" t="s">
        <v>95</v>
      </c>
      <c r="C19" s="10" t="s">
        <v>51</v>
      </c>
      <c r="D19" s="10" t="s">
        <v>172</v>
      </c>
      <c r="E19" s="10" t="s">
        <v>2342</v>
      </c>
      <c r="F19" s="30" t="n">
        <v>42737</v>
      </c>
      <c r="G19" s="30" t="n">
        <v>42795</v>
      </c>
      <c r="H19" s="26" t="n">
        <f aca="false">G19-F19</f>
        <v>58</v>
      </c>
      <c r="I19" s="10" t="n">
        <f aca="false">IF(E19="Won",1,0)</f>
        <v>1</v>
      </c>
    </row>
    <row r="20" customFormat="false" ht="15" hidden="false" customHeight="false" outlineLevel="0" collapsed="false">
      <c r="A20" s="10" t="s">
        <v>2361</v>
      </c>
      <c r="B20" s="10" t="s">
        <v>71</v>
      </c>
      <c r="C20" s="10" t="s">
        <v>47</v>
      </c>
      <c r="D20" s="10" t="s">
        <v>279</v>
      </c>
      <c r="E20" s="10" t="s">
        <v>2342</v>
      </c>
      <c r="F20" s="30" t="n">
        <v>42775</v>
      </c>
      <c r="G20" s="30" t="n">
        <v>42795</v>
      </c>
      <c r="H20" s="26" t="n">
        <f aca="false">G20-F20</f>
        <v>20</v>
      </c>
      <c r="I20" s="10" t="n">
        <f aca="false">IF(E20="Won",1,0)</f>
        <v>1</v>
      </c>
    </row>
    <row r="21" customFormat="false" ht="15" hidden="false" customHeight="false" outlineLevel="0" collapsed="false">
      <c r="A21" s="10" t="s">
        <v>2362</v>
      </c>
      <c r="B21" s="10" t="s">
        <v>81</v>
      </c>
      <c r="C21" s="10" t="s">
        <v>51</v>
      </c>
      <c r="D21" s="10" t="s">
        <v>1251</v>
      </c>
      <c r="E21" s="10" t="s">
        <v>2342</v>
      </c>
      <c r="F21" s="30" t="n">
        <v>42782</v>
      </c>
      <c r="G21" s="30" t="n">
        <v>42795</v>
      </c>
      <c r="H21" s="26" t="n">
        <f aca="false">G21-F21</f>
        <v>13</v>
      </c>
      <c r="I21" s="10" t="n">
        <f aca="false">IF(E21="Won",1,0)</f>
        <v>1</v>
      </c>
    </row>
    <row r="22" customFormat="false" ht="15" hidden="false" customHeight="false" outlineLevel="0" collapsed="false">
      <c r="A22" s="10" t="s">
        <v>2363</v>
      </c>
      <c r="B22" s="10" t="s">
        <v>71</v>
      </c>
      <c r="C22" s="10" t="s">
        <v>49</v>
      </c>
      <c r="D22" s="10" t="s">
        <v>697</v>
      </c>
      <c r="E22" s="10" t="s">
        <v>2345</v>
      </c>
      <c r="F22" s="30" t="n">
        <v>42724</v>
      </c>
      <c r="G22" s="30" t="n">
        <v>42795</v>
      </c>
      <c r="H22" s="26" t="n">
        <f aca="false">G22-F22</f>
        <v>71</v>
      </c>
      <c r="I22" s="10" t="n">
        <f aca="false">IF(E22="Won",1,0)</f>
        <v>0</v>
      </c>
    </row>
    <row r="23" customFormat="false" ht="15" hidden="false" customHeight="false" outlineLevel="0" collapsed="false">
      <c r="A23" s="10" t="s">
        <v>2364</v>
      </c>
      <c r="B23" s="10" t="s">
        <v>93</v>
      </c>
      <c r="C23" s="10" t="s">
        <v>51</v>
      </c>
      <c r="D23" s="10" t="s">
        <v>227</v>
      </c>
      <c r="E23" s="10" t="s">
        <v>2342</v>
      </c>
      <c r="F23" s="30" t="n">
        <v>42754</v>
      </c>
      <c r="G23" s="30" t="n">
        <v>42795</v>
      </c>
      <c r="H23" s="26" t="n">
        <f aca="false">G23-F23</f>
        <v>41</v>
      </c>
      <c r="I23" s="10" t="n">
        <f aca="false">IF(E23="Won",1,0)</f>
        <v>1</v>
      </c>
    </row>
    <row r="24" customFormat="false" ht="15" hidden="false" customHeight="false" outlineLevel="0" collapsed="false">
      <c r="A24" s="10" t="s">
        <v>2365</v>
      </c>
      <c r="B24" s="10" t="s">
        <v>71</v>
      </c>
      <c r="C24" s="10" t="s">
        <v>52</v>
      </c>
      <c r="D24" s="10" t="s">
        <v>524</v>
      </c>
      <c r="E24" s="10" t="s">
        <v>2342</v>
      </c>
      <c r="F24" s="30" t="n">
        <v>42672</v>
      </c>
      <c r="G24" s="30" t="n">
        <v>42795</v>
      </c>
      <c r="H24" s="26" t="n">
        <f aca="false">G24-F24</f>
        <v>123</v>
      </c>
      <c r="I24" s="10" t="n">
        <f aca="false">IF(E24="Won",1,0)</f>
        <v>1</v>
      </c>
    </row>
    <row r="25" customFormat="false" ht="15" hidden="false" customHeight="false" outlineLevel="0" collapsed="false">
      <c r="A25" s="10" t="s">
        <v>2366</v>
      </c>
      <c r="B25" s="10" t="s">
        <v>94</v>
      </c>
      <c r="C25" s="10" t="s">
        <v>49</v>
      </c>
      <c r="D25" s="10" t="s">
        <v>437</v>
      </c>
      <c r="E25" s="10" t="s">
        <v>2342</v>
      </c>
      <c r="F25" s="30" t="n">
        <v>42726</v>
      </c>
      <c r="G25" s="30" t="n">
        <v>42795</v>
      </c>
      <c r="H25" s="26" t="n">
        <f aca="false">G25-F25</f>
        <v>69</v>
      </c>
      <c r="I25" s="10" t="n">
        <f aca="false">IF(E25="Won",1,0)</f>
        <v>1</v>
      </c>
    </row>
    <row r="26" customFormat="false" ht="15" hidden="false" customHeight="false" outlineLevel="0" collapsed="false">
      <c r="A26" s="10" t="s">
        <v>2367</v>
      </c>
      <c r="B26" s="10" t="s">
        <v>93</v>
      </c>
      <c r="C26" s="10" t="s">
        <v>48</v>
      </c>
      <c r="D26" s="10" t="s">
        <v>175</v>
      </c>
      <c r="E26" s="10" t="s">
        <v>2342</v>
      </c>
      <c r="F26" s="30" t="n">
        <v>42727</v>
      </c>
      <c r="G26" s="30" t="n">
        <v>42796</v>
      </c>
      <c r="H26" s="26" t="n">
        <f aca="false">G26-F26</f>
        <v>69</v>
      </c>
      <c r="I26" s="10" t="n">
        <f aca="false">IF(E26="Won",1,0)</f>
        <v>1</v>
      </c>
    </row>
    <row r="27" customFormat="false" ht="15" hidden="false" customHeight="false" outlineLevel="0" collapsed="false">
      <c r="A27" s="10" t="s">
        <v>2368</v>
      </c>
      <c r="B27" s="10" t="s">
        <v>88</v>
      </c>
      <c r="C27" s="10" t="s">
        <v>51</v>
      </c>
      <c r="D27" s="10" t="s">
        <v>359</v>
      </c>
      <c r="E27" s="10" t="s">
        <v>2342</v>
      </c>
      <c r="F27" s="30" t="n">
        <v>42782</v>
      </c>
      <c r="G27" s="30" t="n">
        <v>42796</v>
      </c>
      <c r="H27" s="26" t="n">
        <f aca="false">G27-F27</f>
        <v>14</v>
      </c>
      <c r="I27" s="10" t="n">
        <f aca="false">IF(E27="Won",1,0)</f>
        <v>1</v>
      </c>
    </row>
    <row r="28" customFormat="false" ht="15" hidden="false" customHeight="false" outlineLevel="0" collapsed="false">
      <c r="A28" s="10" t="s">
        <v>2369</v>
      </c>
      <c r="B28" s="10" t="s">
        <v>61</v>
      </c>
      <c r="C28" s="10" t="s">
        <v>52</v>
      </c>
      <c r="D28" s="10" t="s">
        <v>455</v>
      </c>
      <c r="E28" s="10" t="s">
        <v>2342</v>
      </c>
      <c r="F28" s="30" t="n">
        <v>42721</v>
      </c>
      <c r="G28" s="30" t="n">
        <v>42796</v>
      </c>
      <c r="H28" s="26" t="n">
        <f aca="false">G28-F28</f>
        <v>75</v>
      </c>
      <c r="I28" s="10" t="n">
        <f aca="false">IF(E28="Won",1,0)</f>
        <v>1</v>
      </c>
    </row>
    <row r="29" customFormat="false" ht="15" hidden="false" customHeight="false" outlineLevel="0" collapsed="false">
      <c r="A29" s="10" t="s">
        <v>2370</v>
      </c>
      <c r="B29" s="10" t="s">
        <v>97</v>
      </c>
      <c r="C29" s="10" t="s">
        <v>47</v>
      </c>
      <c r="D29" s="10" t="s">
        <v>606</v>
      </c>
      <c r="E29" s="10" t="s">
        <v>2342</v>
      </c>
      <c r="F29" s="30" t="n">
        <v>42788</v>
      </c>
      <c r="G29" s="30" t="n">
        <v>42796</v>
      </c>
      <c r="H29" s="26" t="n">
        <f aca="false">G29-F29</f>
        <v>8</v>
      </c>
      <c r="I29" s="10" t="n">
        <f aca="false">IF(E29="Won",1,0)</f>
        <v>1</v>
      </c>
    </row>
    <row r="30" customFormat="false" ht="15" hidden="false" customHeight="false" outlineLevel="0" collapsed="false">
      <c r="A30" s="10" t="s">
        <v>2371</v>
      </c>
      <c r="B30" s="10" t="s">
        <v>71</v>
      </c>
      <c r="C30" s="10" t="s">
        <v>49</v>
      </c>
      <c r="D30" s="10" t="s">
        <v>697</v>
      </c>
      <c r="E30" s="10" t="s">
        <v>2342</v>
      </c>
      <c r="F30" s="30" t="n">
        <v>42722</v>
      </c>
      <c r="G30" s="30" t="n">
        <v>42796</v>
      </c>
      <c r="H30" s="26" t="n">
        <f aca="false">G30-F30</f>
        <v>74</v>
      </c>
      <c r="I30" s="10" t="n">
        <f aca="false">IF(E30="Won",1,0)</f>
        <v>1</v>
      </c>
    </row>
    <row r="31" customFormat="false" ht="15" hidden="false" customHeight="false" outlineLevel="0" collapsed="false">
      <c r="A31" s="10" t="s">
        <v>2372</v>
      </c>
      <c r="B31" s="10" t="s">
        <v>71</v>
      </c>
      <c r="C31" s="10" t="s">
        <v>52</v>
      </c>
      <c r="D31" s="10" t="s">
        <v>483</v>
      </c>
      <c r="E31" s="10" t="s">
        <v>2342</v>
      </c>
      <c r="F31" s="30" t="n">
        <v>42737</v>
      </c>
      <c r="G31" s="30" t="n">
        <v>42796</v>
      </c>
      <c r="H31" s="26" t="n">
        <f aca="false">G31-F31</f>
        <v>59</v>
      </c>
      <c r="I31" s="10" t="n">
        <f aca="false">IF(E31="Won",1,0)</f>
        <v>1</v>
      </c>
    </row>
    <row r="32" customFormat="false" ht="15" hidden="false" customHeight="false" outlineLevel="0" collapsed="false">
      <c r="A32" s="10" t="s">
        <v>2373</v>
      </c>
      <c r="B32" s="10" t="s">
        <v>86</v>
      </c>
      <c r="C32" s="10" t="s">
        <v>50</v>
      </c>
      <c r="D32" s="10" t="s">
        <v>532</v>
      </c>
      <c r="E32" s="10" t="s">
        <v>2342</v>
      </c>
      <c r="F32" s="30" t="n">
        <v>42785</v>
      </c>
      <c r="G32" s="30" t="n">
        <v>42796</v>
      </c>
      <c r="H32" s="26" t="n">
        <f aca="false">G32-F32</f>
        <v>11</v>
      </c>
      <c r="I32" s="10" t="n">
        <f aca="false">IF(E32="Won",1,0)</f>
        <v>1</v>
      </c>
    </row>
    <row r="33" customFormat="false" ht="15" hidden="false" customHeight="false" outlineLevel="0" collapsed="false">
      <c r="A33" s="10" t="s">
        <v>2374</v>
      </c>
      <c r="B33" s="10" t="s">
        <v>70</v>
      </c>
      <c r="C33" s="10" t="s">
        <v>52</v>
      </c>
      <c r="D33" s="10" t="s">
        <v>337</v>
      </c>
      <c r="E33" s="10" t="s">
        <v>2342</v>
      </c>
      <c r="F33" s="30" t="n">
        <v>42673</v>
      </c>
      <c r="G33" s="30" t="n">
        <v>42796</v>
      </c>
      <c r="H33" s="26" t="n">
        <f aca="false">G33-F33</f>
        <v>123</v>
      </c>
      <c r="I33" s="10" t="n">
        <f aca="false">IF(E33="Won",1,0)</f>
        <v>1</v>
      </c>
    </row>
    <row r="34" customFormat="false" ht="15" hidden="false" customHeight="false" outlineLevel="0" collapsed="false">
      <c r="A34" s="10" t="s">
        <v>2375</v>
      </c>
      <c r="B34" s="10" t="s">
        <v>76</v>
      </c>
      <c r="C34" s="10" t="s">
        <v>52</v>
      </c>
      <c r="D34" s="10" t="s">
        <v>512</v>
      </c>
      <c r="E34" s="10" t="s">
        <v>2342</v>
      </c>
      <c r="F34" s="30" t="n">
        <v>42698</v>
      </c>
      <c r="G34" s="30" t="n">
        <v>42796</v>
      </c>
      <c r="H34" s="26" t="n">
        <f aca="false">G34-F34</f>
        <v>98</v>
      </c>
      <c r="I34" s="10" t="n">
        <f aca="false">IF(E34="Won",1,0)</f>
        <v>1</v>
      </c>
    </row>
    <row r="35" customFormat="false" ht="15" hidden="false" customHeight="false" outlineLevel="0" collapsed="false">
      <c r="A35" s="10" t="s">
        <v>2376</v>
      </c>
      <c r="B35" s="10" t="s">
        <v>97</v>
      </c>
      <c r="C35" s="10" t="s">
        <v>51</v>
      </c>
      <c r="D35" s="10" t="s">
        <v>424</v>
      </c>
      <c r="E35" s="10" t="s">
        <v>2342</v>
      </c>
      <c r="F35" s="30" t="n">
        <v>42668</v>
      </c>
      <c r="G35" s="30" t="n">
        <v>42796</v>
      </c>
      <c r="H35" s="26" t="n">
        <f aca="false">G35-F35</f>
        <v>128</v>
      </c>
      <c r="I35" s="10" t="n">
        <f aca="false">IF(E35="Won",1,0)</f>
        <v>1</v>
      </c>
    </row>
    <row r="36" customFormat="false" ht="15" hidden="false" customHeight="false" outlineLevel="0" collapsed="false">
      <c r="A36" s="10" t="s">
        <v>2377</v>
      </c>
      <c r="B36" s="10" t="s">
        <v>90</v>
      </c>
      <c r="C36" s="10" t="s">
        <v>50</v>
      </c>
      <c r="D36" s="10" t="s">
        <v>359</v>
      </c>
      <c r="E36" s="10" t="s">
        <v>2342</v>
      </c>
      <c r="F36" s="30" t="n">
        <v>42707</v>
      </c>
      <c r="G36" s="30" t="n">
        <v>42796</v>
      </c>
      <c r="H36" s="26" t="n">
        <f aca="false">G36-F36</f>
        <v>89</v>
      </c>
      <c r="I36" s="10" t="n">
        <f aca="false">IF(E36="Won",1,0)</f>
        <v>1</v>
      </c>
    </row>
    <row r="37" customFormat="false" ht="15" hidden="false" customHeight="false" outlineLevel="0" collapsed="false">
      <c r="A37" s="10" t="s">
        <v>2378</v>
      </c>
      <c r="B37" s="10" t="s">
        <v>83</v>
      </c>
      <c r="C37" s="10" t="s">
        <v>49</v>
      </c>
      <c r="D37" s="10" t="s">
        <v>193</v>
      </c>
      <c r="E37" s="10" t="s">
        <v>2342</v>
      </c>
      <c r="F37" s="30" t="n">
        <v>42730</v>
      </c>
      <c r="G37" s="30" t="n">
        <v>42796</v>
      </c>
      <c r="H37" s="26" t="n">
        <f aca="false">G37-F37</f>
        <v>66</v>
      </c>
      <c r="I37" s="10" t="n">
        <f aca="false">IF(E37="Won",1,0)</f>
        <v>1</v>
      </c>
    </row>
    <row r="38" customFormat="false" ht="15" hidden="false" customHeight="false" outlineLevel="0" collapsed="false">
      <c r="A38" s="10" t="s">
        <v>2379</v>
      </c>
      <c r="B38" s="10" t="s">
        <v>74</v>
      </c>
      <c r="C38" s="10" t="s">
        <v>49</v>
      </c>
      <c r="D38" s="10" t="s">
        <v>369</v>
      </c>
      <c r="E38" s="10" t="s">
        <v>2345</v>
      </c>
      <c r="F38" s="30" t="n">
        <v>42705</v>
      </c>
      <c r="G38" s="30" t="n">
        <v>42796</v>
      </c>
      <c r="H38" s="26" t="n">
        <f aca="false">G38-F38</f>
        <v>91</v>
      </c>
      <c r="I38" s="10" t="n">
        <f aca="false">IF(E38="Won",1,0)</f>
        <v>0</v>
      </c>
    </row>
    <row r="39" customFormat="false" ht="15" hidden="false" customHeight="false" outlineLevel="0" collapsed="false">
      <c r="A39" s="10" t="s">
        <v>2380</v>
      </c>
      <c r="B39" s="10" t="s">
        <v>57</v>
      </c>
      <c r="C39" s="10" t="s">
        <v>52</v>
      </c>
      <c r="D39" s="10" t="s">
        <v>637</v>
      </c>
      <c r="E39" s="10" t="s">
        <v>2342</v>
      </c>
      <c r="F39" s="30" t="n">
        <v>42789</v>
      </c>
      <c r="G39" s="30" t="n">
        <v>42796</v>
      </c>
      <c r="H39" s="26" t="n">
        <f aca="false">G39-F39</f>
        <v>7</v>
      </c>
      <c r="I39" s="10" t="n">
        <f aca="false">IF(E39="Won",1,0)</f>
        <v>1</v>
      </c>
    </row>
    <row r="40" customFormat="false" ht="15" hidden="false" customHeight="false" outlineLevel="0" collapsed="false">
      <c r="A40" s="10" t="s">
        <v>2381</v>
      </c>
      <c r="B40" s="10" t="s">
        <v>74</v>
      </c>
      <c r="C40" s="10" t="s">
        <v>51</v>
      </c>
      <c r="D40" s="10" t="s">
        <v>536</v>
      </c>
      <c r="E40" s="10" t="s">
        <v>2342</v>
      </c>
      <c r="F40" s="30" t="n">
        <v>42721</v>
      </c>
      <c r="G40" s="30" t="n">
        <v>42796</v>
      </c>
      <c r="H40" s="26" t="n">
        <f aca="false">G40-F40</f>
        <v>75</v>
      </c>
      <c r="I40" s="10" t="n">
        <f aca="false">IF(E40="Won",1,0)</f>
        <v>1</v>
      </c>
    </row>
    <row r="41" customFormat="false" ht="15" hidden="false" customHeight="false" outlineLevel="0" collapsed="false">
      <c r="A41" s="10" t="s">
        <v>2382</v>
      </c>
      <c r="B41" s="10" t="s">
        <v>86</v>
      </c>
      <c r="C41" s="10" t="s">
        <v>48</v>
      </c>
      <c r="D41" s="10" t="s">
        <v>427</v>
      </c>
      <c r="E41" s="10" t="s">
        <v>2342</v>
      </c>
      <c r="F41" s="30" t="n">
        <v>42788</v>
      </c>
      <c r="G41" s="30" t="n">
        <v>42796</v>
      </c>
      <c r="H41" s="26" t="n">
        <f aca="false">G41-F41</f>
        <v>8</v>
      </c>
      <c r="I41" s="10" t="n">
        <f aca="false">IF(E41="Won",1,0)</f>
        <v>1</v>
      </c>
    </row>
    <row r="42" customFormat="false" ht="15" hidden="false" customHeight="false" outlineLevel="0" collapsed="false">
      <c r="A42" s="10" t="s">
        <v>2383</v>
      </c>
      <c r="B42" s="10" t="s">
        <v>79</v>
      </c>
      <c r="C42" s="10" t="s">
        <v>50</v>
      </c>
      <c r="D42" s="10" t="s">
        <v>179</v>
      </c>
      <c r="E42" s="10" t="s">
        <v>2342</v>
      </c>
      <c r="F42" s="30" t="n">
        <v>42718</v>
      </c>
      <c r="G42" s="30" t="n">
        <v>42796</v>
      </c>
      <c r="H42" s="26" t="n">
        <f aca="false">G42-F42</f>
        <v>78</v>
      </c>
      <c r="I42" s="10" t="n">
        <f aca="false">IF(E42="Won",1,0)</f>
        <v>1</v>
      </c>
    </row>
    <row r="43" customFormat="false" ht="15" hidden="false" customHeight="false" outlineLevel="0" collapsed="false">
      <c r="A43" s="10" t="s">
        <v>2384</v>
      </c>
      <c r="B43" s="10" t="s">
        <v>88</v>
      </c>
      <c r="C43" s="10" t="s">
        <v>47</v>
      </c>
      <c r="D43" s="10" t="s">
        <v>1397</v>
      </c>
      <c r="E43" s="10" t="s">
        <v>2342</v>
      </c>
      <c r="F43" s="30" t="n">
        <v>42780</v>
      </c>
      <c r="G43" s="30" t="n">
        <v>42796</v>
      </c>
      <c r="H43" s="26" t="n">
        <f aca="false">G43-F43</f>
        <v>16</v>
      </c>
      <c r="I43" s="10" t="n">
        <f aca="false">IF(E43="Won",1,0)</f>
        <v>1</v>
      </c>
    </row>
    <row r="44" customFormat="false" ht="15" hidden="false" customHeight="false" outlineLevel="0" collapsed="false">
      <c r="A44" s="10" t="s">
        <v>2385</v>
      </c>
      <c r="B44" s="10" t="s">
        <v>71</v>
      </c>
      <c r="C44" s="10" t="s">
        <v>51</v>
      </c>
      <c r="D44" s="10" t="s">
        <v>321</v>
      </c>
      <c r="E44" s="10" t="s">
        <v>2342</v>
      </c>
      <c r="F44" s="30" t="n">
        <v>42791</v>
      </c>
      <c r="G44" s="30" t="n">
        <v>42796</v>
      </c>
      <c r="H44" s="26" t="n">
        <f aca="false">G44-F44</f>
        <v>5</v>
      </c>
      <c r="I44" s="10" t="n">
        <f aca="false">IF(E44="Won",1,0)</f>
        <v>1</v>
      </c>
    </row>
    <row r="45" customFormat="false" ht="15" hidden="false" customHeight="false" outlineLevel="0" collapsed="false">
      <c r="A45" s="10" t="s">
        <v>2386</v>
      </c>
      <c r="B45" s="10" t="s">
        <v>87</v>
      </c>
      <c r="C45" s="10" t="s">
        <v>49</v>
      </c>
      <c r="D45" s="10" t="s">
        <v>532</v>
      </c>
      <c r="E45" s="10" t="s">
        <v>2342</v>
      </c>
      <c r="F45" s="30" t="n">
        <v>42775</v>
      </c>
      <c r="G45" s="30" t="n">
        <v>42796</v>
      </c>
      <c r="H45" s="26" t="n">
        <f aca="false">G45-F45</f>
        <v>21</v>
      </c>
      <c r="I45" s="10" t="n">
        <f aca="false">IF(E45="Won",1,0)</f>
        <v>1</v>
      </c>
    </row>
    <row r="46" customFormat="false" ht="15" hidden="false" customHeight="false" outlineLevel="0" collapsed="false">
      <c r="A46" s="10" t="s">
        <v>2387</v>
      </c>
      <c r="B46" s="10" t="s">
        <v>61</v>
      </c>
      <c r="C46" s="10" t="s">
        <v>48</v>
      </c>
      <c r="D46" s="10" t="s">
        <v>674</v>
      </c>
      <c r="E46" s="10" t="s">
        <v>2345</v>
      </c>
      <c r="F46" s="30" t="n">
        <v>42777</v>
      </c>
      <c r="G46" s="30" t="n">
        <v>42796</v>
      </c>
      <c r="H46" s="26" t="n">
        <f aca="false">G46-F46</f>
        <v>19</v>
      </c>
      <c r="I46" s="10" t="n">
        <f aca="false">IF(E46="Won",1,0)</f>
        <v>0</v>
      </c>
    </row>
    <row r="47" customFormat="false" ht="15" hidden="false" customHeight="false" outlineLevel="0" collapsed="false">
      <c r="A47" s="10" t="s">
        <v>2388</v>
      </c>
      <c r="B47" s="10" t="s">
        <v>80</v>
      </c>
      <c r="C47" s="10" t="s">
        <v>51</v>
      </c>
      <c r="D47" s="10" t="s">
        <v>291</v>
      </c>
      <c r="E47" s="10" t="s">
        <v>2342</v>
      </c>
      <c r="F47" s="30" t="n">
        <v>42744</v>
      </c>
      <c r="G47" s="30" t="n">
        <v>42796</v>
      </c>
      <c r="H47" s="26" t="n">
        <f aca="false">G47-F47</f>
        <v>52</v>
      </c>
      <c r="I47" s="10" t="n">
        <f aca="false">IF(E47="Won",1,0)</f>
        <v>1</v>
      </c>
    </row>
    <row r="48" customFormat="false" ht="15" hidden="false" customHeight="false" outlineLevel="0" collapsed="false">
      <c r="A48" s="10" t="s">
        <v>2389</v>
      </c>
      <c r="B48" s="10" t="s">
        <v>86</v>
      </c>
      <c r="C48" s="10" t="s">
        <v>52</v>
      </c>
      <c r="D48" s="10" t="s">
        <v>692</v>
      </c>
      <c r="E48" s="10" t="s">
        <v>2342</v>
      </c>
      <c r="F48" s="30" t="n">
        <v>42744</v>
      </c>
      <c r="G48" s="30" t="n">
        <v>42797</v>
      </c>
      <c r="H48" s="26" t="n">
        <f aca="false">G48-F48</f>
        <v>53</v>
      </c>
      <c r="I48" s="10" t="n">
        <f aca="false">IF(E48="Won",1,0)</f>
        <v>1</v>
      </c>
    </row>
    <row r="49" customFormat="false" ht="15" hidden="false" customHeight="false" outlineLevel="0" collapsed="false">
      <c r="A49" s="10" t="s">
        <v>2390</v>
      </c>
      <c r="B49" s="10" t="s">
        <v>81</v>
      </c>
      <c r="C49" s="10" t="s">
        <v>51</v>
      </c>
      <c r="D49" s="10" t="s">
        <v>259</v>
      </c>
      <c r="E49" s="10" t="s">
        <v>2342</v>
      </c>
      <c r="F49" s="30" t="n">
        <v>42696</v>
      </c>
      <c r="G49" s="30" t="n">
        <v>42797</v>
      </c>
      <c r="H49" s="26" t="n">
        <f aca="false">G49-F49</f>
        <v>101</v>
      </c>
      <c r="I49" s="10" t="n">
        <f aca="false">IF(E49="Won",1,0)</f>
        <v>1</v>
      </c>
    </row>
    <row r="50" customFormat="false" ht="15" hidden="false" customHeight="false" outlineLevel="0" collapsed="false">
      <c r="A50" s="10" t="s">
        <v>2391</v>
      </c>
      <c r="B50" s="10" t="s">
        <v>83</v>
      </c>
      <c r="C50" s="10" t="s">
        <v>50</v>
      </c>
      <c r="D50" s="10" t="s">
        <v>536</v>
      </c>
      <c r="E50" s="10" t="s">
        <v>2342</v>
      </c>
      <c r="F50" s="30" t="n">
        <v>42675</v>
      </c>
      <c r="G50" s="30" t="n">
        <v>42797</v>
      </c>
      <c r="H50" s="26" t="n">
        <f aca="false">G50-F50</f>
        <v>122</v>
      </c>
      <c r="I50" s="10" t="n">
        <f aca="false">IF(E50="Won",1,0)</f>
        <v>1</v>
      </c>
    </row>
    <row r="51" customFormat="false" ht="15" hidden="false" customHeight="false" outlineLevel="0" collapsed="false">
      <c r="A51" s="10" t="s">
        <v>2392</v>
      </c>
      <c r="B51" s="10" t="s">
        <v>67</v>
      </c>
      <c r="C51" s="10" t="s">
        <v>49</v>
      </c>
      <c r="D51" s="10" t="s">
        <v>337</v>
      </c>
      <c r="E51" s="10" t="s">
        <v>2342</v>
      </c>
      <c r="F51" s="30" t="n">
        <v>42711</v>
      </c>
      <c r="G51" s="30" t="n">
        <v>42797</v>
      </c>
      <c r="H51" s="26" t="n">
        <f aca="false">G51-F51</f>
        <v>86</v>
      </c>
      <c r="I51" s="10" t="n">
        <f aca="false">IF(E51="Won",1,0)</f>
        <v>1</v>
      </c>
    </row>
    <row r="52" customFormat="false" ht="15" hidden="false" customHeight="false" outlineLevel="0" collapsed="false">
      <c r="A52" s="10" t="s">
        <v>2393</v>
      </c>
      <c r="B52" s="10" t="s">
        <v>79</v>
      </c>
      <c r="C52" s="10" t="s">
        <v>48</v>
      </c>
      <c r="D52" s="10" t="s">
        <v>961</v>
      </c>
      <c r="E52" s="10" t="s">
        <v>2342</v>
      </c>
      <c r="F52" s="30" t="n">
        <v>42697</v>
      </c>
      <c r="G52" s="30" t="n">
        <v>42797</v>
      </c>
      <c r="H52" s="26" t="n">
        <f aca="false">G52-F52</f>
        <v>100</v>
      </c>
      <c r="I52" s="10" t="n">
        <f aca="false">IF(E52="Won",1,0)</f>
        <v>1</v>
      </c>
    </row>
    <row r="53" customFormat="false" ht="15" hidden="false" customHeight="false" outlineLevel="0" collapsed="false">
      <c r="A53" s="10" t="s">
        <v>2394</v>
      </c>
      <c r="B53" s="10" t="s">
        <v>57</v>
      </c>
      <c r="C53" s="10" t="s">
        <v>47</v>
      </c>
      <c r="D53" s="10" t="s">
        <v>332</v>
      </c>
      <c r="E53" s="10" t="s">
        <v>2342</v>
      </c>
      <c r="F53" s="30" t="n">
        <v>42697</v>
      </c>
      <c r="G53" s="30" t="n">
        <v>42797</v>
      </c>
      <c r="H53" s="26" t="n">
        <f aca="false">G53-F53</f>
        <v>100</v>
      </c>
      <c r="I53" s="10" t="n">
        <f aca="false">IF(E53="Won",1,0)</f>
        <v>1</v>
      </c>
    </row>
    <row r="54" customFormat="false" ht="15" hidden="false" customHeight="false" outlineLevel="0" collapsed="false">
      <c r="A54" s="10" t="s">
        <v>2395</v>
      </c>
      <c r="B54" s="10" t="s">
        <v>69</v>
      </c>
      <c r="C54" s="10" t="s">
        <v>51</v>
      </c>
      <c r="D54" s="10" t="s">
        <v>199</v>
      </c>
      <c r="E54" s="10" t="s">
        <v>2342</v>
      </c>
      <c r="F54" s="30" t="n">
        <v>42686</v>
      </c>
      <c r="G54" s="30" t="n">
        <v>42797</v>
      </c>
      <c r="H54" s="26" t="n">
        <f aca="false">G54-F54</f>
        <v>111</v>
      </c>
      <c r="I54" s="10" t="n">
        <f aca="false">IF(E54="Won",1,0)</f>
        <v>1</v>
      </c>
    </row>
    <row r="55" customFormat="false" ht="15" hidden="false" customHeight="false" outlineLevel="0" collapsed="false">
      <c r="A55" s="10" t="s">
        <v>2396</v>
      </c>
      <c r="B55" s="10" t="s">
        <v>76</v>
      </c>
      <c r="C55" s="10" t="s">
        <v>52</v>
      </c>
      <c r="D55" s="10" t="s">
        <v>1948</v>
      </c>
      <c r="E55" s="10" t="s">
        <v>2342</v>
      </c>
      <c r="F55" s="30" t="n">
        <v>42685</v>
      </c>
      <c r="G55" s="30" t="n">
        <v>42797</v>
      </c>
      <c r="H55" s="26" t="n">
        <f aca="false">G55-F55</f>
        <v>112</v>
      </c>
      <c r="I55" s="10" t="n">
        <f aca="false">IF(E55="Won",1,0)</f>
        <v>1</v>
      </c>
    </row>
    <row r="56" customFormat="false" ht="15" hidden="false" customHeight="false" outlineLevel="0" collapsed="false">
      <c r="A56" s="10" t="s">
        <v>2397</v>
      </c>
      <c r="B56" s="10" t="s">
        <v>95</v>
      </c>
      <c r="C56" s="10" t="s">
        <v>51</v>
      </c>
      <c r="D56" s="10" t="s">
        <v>210</v>
      </c>
      <c r="E56" s="10" t="s">
        <v>2342</v>
      </c>
      <c r="F56" s="30" t="n">
        <v>42701</v>
      </c>
      <c r="G56" s="30" t="n">
        <v>42797</v>
      </c>
      <c r="H56" s="26" t="n">
        <f aca="false">G56-F56</f>
        <v>96</v>
      </c>
      <c r="I56" s="10" t="n">
        <f aca="false">IF(E56="Won",1,0)</f>
        <v>1</v>
      </c>
    </row>
    <row r="57" customFormat="false" ht="15" hidden="false" customHeight="false" outlineLevel="0" collapsed="false">
      <c r="A57" s="10" t="s">
        <v>2398</v>
      </c>
      <c r="B57" s="10" t="s">
        <v>67</v>
      </c>
      <c r="C57" s="10" t="s">
        <v>50</v>
      </c>
      <c r="D57" s="10" t="s">
        <v>497</v>
      </c>
      <c r="E57" s="10" t="s">
        <v>2342</v>
      </c>
      <c r="F57" s="30" t="n">
        <v>42706</v>
      </c>
      <c r="G57" s="30" t="n">
        <v>42797</v>
      </c>
      <c r="H57" s="26" t="n">
        <f aca="false">G57-F57</f>
        <v>91</v>
      </c>
      <c r="I57" s="10" t="n">
        <f aca="false">IF(E57="Won",1,0)</f>
        <v>1</v>
      </c>
    </row>
    <row r="58" customFormat="false" ht="15" hidden="false" customHeight="false" outlineLevel="0" collapsed="false">
      <c r="A58" s="10" t="s">
        <v>2399</v>
      </c>
      <c r="B58" s="10" t="s">
        <v>87</v>
      </c>
      <c r="C58" s="10" t="s">
        <v>48</v>
      </c>
      <c r="D58" s="10" t="s">
        <v>692</v>
      </c>
      <c r="E58" s="10" t="s">
        <v>2342</v>
      </c>
      <c r="F58" s="30" t="n">
        <v>42788</v>
      </c>
      <c r="G58" s="30" t="n">
        <v>42797</v>
      </c>
      <c r="H58" s="26" t="n">
        <f aca="false">G58-F58</f>
        <v>9</v>
      </c>
      <c r="I58" s="10" t="n">
        <f aca="false">IF(E58="Won",1,0)</f>
        <v>1</v>
      </c>
    </row>
    <row r="59" customFormat="false" ht="15" hidden="false" customHeight="false" outlineLevel="0" collapsed="false">
      <c r="A59" s="10" t="s">
        <v>2400</v>
      </c>
      <c r="B59" s="10" t="s">
        <v>61</v>
      </c>
      <c r="C59" s="10" t="s">
        <v>47</v>
      </c>
      <c r="D59" s="10" t="s">
        <v>218</v>
      </c>
      <c r="E59" s="10" t="s">
        <v>2345</v>
      </c>
      <c r="F59" s="30" t="n">
        <v>42792</v>
      </c>
      <c r="G59" s="30" t="n">
        <v>42797</v>
      </c>
      <c r="H59" s="26" t="n">
        <f aca="false">G59-F59</f>
        <v>5</v>
      </c>
      <c r="I59" s="10" t="n">
        <f aca="false">IF(E59="Won",1,0)</f>
        <v>0</v>
      </c>
    </row>
    <row r="60" customFormat="false" ht="15" hidden="false" customHeight="false" outlineLevel="0" collapsed="false">
      <c r="A60" s="10" t="s">
        <v>2401</v>
      </c>
      <c r="B60" s="10" t="s">
        <v>81</v>
      </c>
      <c r="C60" s="10" t="s">
        <v>52</v>
      </c>
      <c r="D60" s="10" t="s">
        <v>660</v>
      </c>
      <c r="E60" s="10" t="s">
        <v>2342</v>
      </c>
      <c r="F60" s="30" t="n">
        <v>42733</v>
      </c>
      <c r="G60" s="30" t="n">
        <v>42797</v>
      </c>
      <c r="H60" s="26" t="n">
        <f aca="false">G60-F60</f>
        <v>64</v>
      </c>
      <c r="I60" s="10" t="n">
        <f aca="false">IF(E60="Won",1,0)</f>
        <v>1</v>
      </c>
    </row>
    <row r="61" customFormat="false" ht="15" hidden="false" customHeight="false" outlineLevel="0" collapsed="false">
      <c r="A61" s="10" t="s">
        <v>2402</v>
      </c>
      <c r="B61" s="10" t="s">
        <v>88</v>
      </c>
      <c r="C61" s="10" t="s">
        <v>48</v>
      </c>
      <c r="D61" s="10" t="s">
        <v>455</v>
      </c>
      <c r="E61" s="10" t="s">
        <v>2342</v>
      </c>
      <c r="F61" s="30" t="n">
        <v>42713</v>
      </c>
      <c r="G61" s="30" t="n">
        <v>42797</v>
      </c>
      <c r="H61" s="26" t="n">
        <f aca="false">G61-F61</f>
        <v>84</v>
      </c>
      <c r="I61" s="10" t="n">
        <f aca="false">IF(E61="Won",1,0)</f>
        <v>1</v>
      </c>
    </row>
    <row r="62" customFormat="false" ht="15" hidden="false" customHeight="false" outlineLevel="0" collapsed="false">
      <c r="A62" s="10" t="s">
        <v>2403</v>
      </c>
      <c r="B62" s="10" t="s">
        <v>57</v>
      </c>
      <c r="C62" s="10" t="s">
        <v>49</v>
      </c>
      <c r="D62" s="10" t="s">
        <v>1397</v>
      </c>
      <c r="E62" s="10" t="s">
        <v>2342</v>
      </c>
      <c r="F62" s="30" t="n">
        <v>42733</v>
      </c>
      <c r="G62" s="30" t="n">
        <v>42797</v>
      </c>
      <c r="H62" s="26" t="n">
        <f aca="false">G62-F62</f>
        <v>64</v>
      </c>
      <c r="I62" s="10" t="n">
        <f aca="false">IF(E62="Won",1,0)</f>
        <v>1</v>
      </c>
    </row>
    <row r="63" customFormat="false" ht="15" hidden="false" customHeight="false" outlineLevel="0" collapsed="false">
      <c r="A63" s="10" t="s">
        <v>2404</v>
      </c>
      <c r="B63" s="10" t="s">
        <v>90</v>
      </c>
      <c r="C63" s="10" t="s">
        <v>51</v>
      </c>
      <c r="D63" s="10" t="s">
        <v>185</v>
      </c>
      <c r="E63" s="10" t="s">
        <v>2342</v>
      </c>
      <c r="F63" s="30" t="n">
        <v>42781</v>
      </c>
      <c r="G63" s="30" t="n">
        <v>42797</v>
      </c>
      <c r="H63" s="26" t="n">
        <f aca="false">G63-F63</f>
        <v>16</v>
      </c>
      <c r="I63" s="10" t="n">
        <f aca="false">IF(E63="Won",1,0)</f>
        <v>1</v>
      </c>
    </row>
    <row r="64" customFormat="false" ht="15" hidden="false" customHeight="false" outlineLevel="0" collapsed="false">
      <c r="A64" s="10" t="s">
        <v>2405</v>
      </c>
      <c r="B64" s="10" t="s">
        <v>75</v>
      </c>
      <c r="C64" s="10" t="s">
        <v>51</v>
      </c>
      <c r="D64" s="10" t="s">
        <v>512</v>
      </c>
      <c r="E64" s="10" t="s">
        <v>2342</v>
      </c>
      <c r="F64" s="30" t="n">
        <v>42728</v>
      </c>
      <c r="G64" s="30" t="n">
        <v>42797</v>
      </c>
      <c r="H64" s="26" t="n">
        <f aca="false">G64-F64</f>
        <v>69</v>
      </c>
      <c r="I64" s="10" t="n">
        <f aca="false">IF(E64="Won",1,0)</f>
        <v>1</v>
      </c>
    </row>
    <row r="65" customFormat="false" ht="15" hidden="false" customHeight="false" outlineLevel="0" collapsed="false">
      <c r="A65" s="10" t="s">
        <v>2406</v>
      </c>
      <c r="B65" s="10" t="s">
        <v>94</v>
      </c>
      <c r="C65" s="10" t="s">
        <v>50</v>
      </c>
      <c r="D65" s="10" t="s">
        <v>172</v>
      </c>
      <c r="E65" s="10" t="s">
        <v>2342</v>
      </c>
      <c r="F65" s="30" t="n">
        <v>42694</v>
      </c>
      <c r="G65" s="30" t="n">
        <v>42797</v>
      </c>
      <c r="H65" s="26" t="n">
        <f aca="false">G65-F65</f>
        <v>103</v>
      </c>
      <c r="I65" s="10" t="n">
        <f aca="false">IF(E65="Won",1,0)</f>
        <v>1</v>
      </c>
    </row>
    <row r="66" customFormat="false" ht="15" hidden="false" customHeight="false" outlineLevel="0" collapsed="false">
      <c r="A66" s="10" t="s">
        <v>2407</v>
      </c>
      <c r="B66" s="10" t="s">
        <v>69</v>
      </c>
      <c r="C66" s="10" t="s">
        <v>52</v>
      </c>
      <c r="D66" s="10" t="s">
        <v>227</v>
      </c>
      <c r="E66" s="10" t="s">
        <v>2345</v>
      </c>
      <c r="F66" s="30" t="n">
        <v>42679</v>
      </c>
      <c r="G66" s="30" t="n">
        <v>42797</v>
      </c>
      <c r="H66" s="26" t="n">
        <f aca="false">G66-F66</f>
        <v>118</v>
      </c>
      <c r="I66" s="10" t="n">
        <f aca="false">IF(E66="Won",1,0)</f>
        <v>0</v>
      </c>
    </row>
    <row r="67" customFormat="false" ht="15" hidden="false" customHeight="false" outlineLevel="0" collapsed="false">
      <c r="A67" s="10" t="s">
        <v>2408</v>
      </c>
      <c r="B67" s="10" t="s">
        <v>74</v>
      </c>
      <c r="C67" s="10" t="s">
        <v>51</v>
      </c>
      <c r="D67" s="10" t="s">
        <v>267</v>
      </c>
      <c r="E67" s="10" t="s">
        <v>2342</v>
      </c>
      <c r="F67" s="30" t="n">
        <v>42694</v>
      </c>
      <c r="G67" s="30" t="n">
        <v>42798</v>
      </c>
      <c r="H67" s="26" t="n">
        <f aca="false">G67-F67</f>
        <v>104</v>
      </c>
      <c r="I67" s="10" t="n">
        <f aca="false">IF(E67="Won",1,0)</f>
        <v>1</v>
      </c>
    </row>
    <row r="68" customFormat="false" ht="15" hidden="false" customHeight="false" outlineLevel="0" collapsed="false">
      <c r="A68" s="10" t="s">
        <v>2409</v>
      </c>
      <c r="B68" s="10" t="s">
        <v>77</v>
      </c>
      <c r="C68" s="10" t="s">
        <v>51</v>
      </c>
      <c r="D68" s="10" t="s">
        <v>869</v>
      </c>
      <c r="E68" s="10" t="s">
        <v>2342</v>
      </c>
      <c r="F68" s="30" t="n">
        <v>42721</v>
      </c>
      <c r="G68" s="30" t="n">
        <v>42798</v>
      </c>
      <c r="H68" s="26" t="n">
        <f aca="false">G68-F68</f>
        <v>77</v>
      </c>
      <c r="I68" s="10" t="n">
        <f aca="false">IF(E68="Won",1,0)</f>
        <v>1</v>
      </c>
    </row>
    <row r="69" customFormat="false" ht="15" hidden="false" customHeight="false" outlineLevel="0" collapsed="false">
      <c r="A69" s="10" t="s">
        <v>2410</v>
      </c>
      <c r="B69" s="10" t="s">
        <v>67</v>
      </c>
      <c r="C69" s="10" t="s">
        <v>50</v>
      </c>
      <c r="D69" s="10" t="s">
        <v>227</v>
      </c>
      <c r="E69" s="10" t="s">
        <v>2342</v>
      </c>
      <c r="F69" s="30" t="n">
        <v>42706</v>
      </c>
      <c r="G69" s="30" t="n">
        <v>42798</v>
      </c>
      <c r="H69" s="26" t="n">
        <f aca="false">G69-F69</f>
        <v>92</v>
      </c>
      <c r="I69" s="10" t="n">
        <f aca="false">IF(E69="Won",1,0)</f>
        <v>1</v>
      </c>
    </row>
    <row r="70" customFormat="false" ht="15" hidden="false" customHeight="false" outlineLevel="0" collapsed="false">
      <c r="A70" s="10" t="s">
        <v>2411</v>
      </c>
      <c r="B70" s="10" t="s">
        <v>67</v>
      </c>
      <c r="C70" s="10" t="s">
        <v>52</v>
      </c>
      <c r="D70" s="10" t="s">
        <v>384</v>
      </c>
      <c r="E70" s="10" t="s">
        <v>2342</v>
      </c>
      <c r="F70" s="30" t="n">
        <v>42706</v>
      </c>
      <c r="G70" s="30" t="n">
        <v>42798</v>
      </c>
      <c r="H70" s="26" t="n">
        <f aca="false">G70-F70</f>
        <v>92</v>
      </c>
      <c r="I70" s="10" t="n">
        <f aca="false">IF(E70="Won",1,0)</f>
        <v>1</v>
      </c>
    </row>
    <row r="71" customFormat="false" ht="15" hidden="false" customHeight="false" outlineLevel="0" collapsed="false">
      <c r="A71" s="10" t="s">
        <v>2412</v>
      </c>
      <c r="B71" s="10" t="s">
        <v>71</v>
      </c>
      <c r="C71" s="10" t="s">
        <v>50</v>
      </c>
      <c r="D71" s="10" t="s">
        <v>193</v>
      </c>
      <c r="E71" s="10" t="s">
        <v>2342</v>
      </c>
      <c r="F71" s="30" t="n">
        <v>42787</v>
      </c>
      <c r="G71" s="30" t="n">
        <v>42798</v>
      </c>
      <c r="H71" s="26" t="n">
        <f aca="false">G71-F71</f>
        <v>11</v>
      </c>
      <c r="I71" s="10" t="n">
        <f aca="false">IF(E71="Won",1,0)</f>
        <v>1</v>
      </c>
    </row>
    <row r="72" customFormat="false" ht="15" hidden="false" customHeight="false" outlineLevel="0" collapsed="false">
      <c r="A72" s="10" t="s">
        <v>2413</v>
      </c>
      <c r="B72" s="10" t="s">
        <v>90</v>
      </c>
      <c r="C72" s="10" t="s">
        <v>50</v>
      </c>
      <c r="D72" s="10" t="s">
        <v>215</v>
      </c>
      <c r="E72" s="10" t="s">
        <v>2342</v>
      </c>
      <c r="F72" s="30" t="n">
        <v>42781</v>
      </c>
      <c r="G72" s="30" t="n">
        <v>42798</v>
      </c>
      <c r="H72" s="26" t="n">
        <f aca="false">G72-F72</f>
        <v>17</v>
      </c>
      <c r="I72" s="10" t="n">
        <f aca="false">IF(E72="Won",1,0)</f>
        <v>1</v>
      </c>
    </row>
    <row r="73" customFormat="false" ht="15" hidden="false" customHeight="false" outlineLevel="0" collapsed="false">
      <c r="A73" s="10" t="s">
        <v>2414</v>
      </c>
      <c r="B73" s="10" t="s">
        <v>96</v>
      </c>
      <c r="C73" s="10" t="s">
        <v>48</v>
      </c>
      <c r="D73" s="10" t="s">
        <v>606</v>
      </c>
      <c r="E73" s="10" t="s">
        <v>2345</v>
      </c>
      <c r="F73" s="30" t="n">
        <v>42718</v>
      </c>
      <c r="G73" s="30" t="n">
        <v>42798</v>
      </c>
      <c r="H73" s="26" t="n">
        <f aca="false">G73-F73</f>
        <v>80</v>
      </c>
      <c r="I73" s="10" t="n">
        <f aca="false">IF(E73="Won",1,0)</f>
        <v>0</v>
      </c>
    </row>
    <row r="74" customFormat="false" ht="15" hidden="false" customHeight="false" outlineLevel="0" collapsed="false">
      <c r="A74" s="10" t="s">
        <v>2415</v>
      </c>
      <c r="B74" s="10" t="s">
        <v>61</v>
      </c>
      <c r="C74" s="10" t="s">
        <v>48</v>
      </c>
      <c r="D74" s="10" t="s">
        <v>427</v>
      </c>
      <c r="E74" s="10" t="s">
        <v>2342</v>
      </c>
      <c r="F74" s="30" t="n">
        <v>42785</v>
      </c>
      <c r="G74" s="30" t="n">
        <v>42798</v>
      </c>
      <c r="H74" s="26" t="n">
        <f aca="false">G74-F74</f>
        <v>13</v>
      </c>
      <c r="I74" s="10" t="n">
        <f aca="false">IF(E74="Won",1,0)</f>
        <v>1</v>
      </c>
    </row>
    <row r="75" customFormat="false" ht="15" hidden="false" customHeight="false" outlineLevel="0" collapsed="false">
      <c r="A75" s="10" t="s">
        <v>2416</v>
      </c>
      <c r="B75" s="10" t="s">
        <v>95</v>
      </c>
      <c r="C75" s="10" t="s">
        <v>47</v>
      </c>
      <c r="D75" s="10" t="s">
        <v>986</v>
      </c>
      <c r="E75" s="10" t="s">
        <v>2342</v>
      </c>
      <c r="F75" s="30" t="n">
        <v>42713</v>
      </c>
      <c r="G75" s="30" t="n">
        <v>42798</v>
      </c>
      <c r="H75" s="26" t="n">
        <f aca="false">G75-F75</f>
        <v>85</v>
      </c>
      <c r="I75" s="10" t="n">
        <f aca="false">IF(E75="Won",1,0)</f>
        <v>1</v>
      </c>
    </row>
    <row r="76" customFormat="false" ht="15" hidden="false" customHeight="false" outlineLevel="0" collapsed="false">
      <c r="A76" s="10" t="s">
        <v>2417</v>
      </c>
      <c r="B76" s="10" t="s">
        <v>96</v>
      </c>
      <c r="C76" s="10" t="s">
        <v>51</v>
      </c>
      <c r="D76" s="10" t="s">
        <v>233</v>
      </c>
      <c r="E76" s="10" t="s">
        <v>2342</v>
      </c>
      <c r="F76" s="30" t="n">
        <v>42717</v>
      </c>
      <c r="G76" s="30" t="n">
        <v>42798</v>
      </c>
      <c r="H76" s="26" t="n">
        <f aca="false">G76-F76</f>
        <v>81</v>
      </c>
      <c r="I76" s="10" t="n">
        <f aca="false">IF(E76="Won",1,0)</f>
        <v>1</v>
      </c>
    </row>
    <row r="77" customFormat="false" ht="15" hidden="false" customHeight="false" outlineLevel="0" collapsed="false">
      <c r="A77" s="10" t="s">
        <v>2418</v>
      </c>
      <c r="B77" s="10" t="s">
        <v>74</v>
      </c>
      <c r="C77" s="10" t="s">
        <v>49</v>
      </c>
      <c r="D77" s="10" t="s">
        <v>311</v>
      </c>
      <c r="E77" s="10" t="s">
        <v>2342</v>
      </c>
      <c r="F77" s="30" t="n">
        <v>42692</v>
      </c>
      <c r="G77" s="30" t="n">
        <v>42798</v>
      </c>
      <c r="H77" s="26" t="n">
        <f aca="false">G77-F77</f>
        <v>106</v>
      </c>
      <c r="I77" s="10" t="n">
        <f aca="false">IF(E77="Won",1,0)</f>
        <v>1</v>
      </c>
    </row>
    <row r="78" customFormat="false" ht="15" hidden="false" customHeight="false" outlineLevel="0" collapsed="false">
      <c r="A78" s="10" t="s">
        <v>2419</v>
      </c>
      <c r="B78" s="10" t="s">
        <v>60</v>
      </c>
      <c r="C78" s="10" t="s">
        <v>47</v>
      </c>
      <c r="D78" s="10" t="s">
        <v>332</v>
      </c>
      <c r="E78" s="10" t="s">
        <v>2345</v>
      </c>
      <c r="F78" s="30" t="n">
        <v>42781</v>
      </c>
      <c r="G78" s="30" t="n">
        <v>42798</v>
      </c>
      <c r="H78" s="26" t="n">
        <f aca="false">G78-F78</f>
        <v>17</v>
      </c>
      <c r="I78" s="10" t="n">
        <f aca="false">IF(E78="Won",1,0)</f>
        <v>0</v>
      </c>
    </row>
    <row r="79" customFormat="false" ht="15" hidden="false" customHeight="false" outlineLevel="0" collapsed="false">
      <c r="A79" s="10" t="s">
        <v>2420</v>
      </c>
      <c r="B79" s="10" t="s">
        <v>86</v>
      </c>
      <c r="C79" s="10" t="s">
        <v>48</v>
      </c>
      <c r="D79" s="10" t="s">
        <v>233</v>
      </c>
      <c r="E79" s="10" t="s">
        <v>2342</v>
      </c>
      <c r="F79" s="30" t="n">
        <v>42778</v>
      </c>
      <c r="G79" s="30" t="n">
        <v>42798</v>
      </c>
      <c r="H79" s="26" t="n">
        <f aca="false">G79-F79</f>
        <v>20</v>
      </c>
      <c r="I79" s="10" t="n">
        <f aca="false">IF(E79="Won",1,0)</f>
        <v>1</v>
      </c>
    </row>
    <row r="80" customFormat="false" ht="15" hidden="false" customHeight="false" outlineLevel="0" collapsed="false">
      <c r="A80" s="10" t="s">
        <v>2421</v>
      </c>
      <c r="B80" s="10" t="s">
        <v>57</v>
      </c>
      <c r="C80" s="10" t="s">
        <v>52</v>
      </c>
      <c r="D80" s="10" t="s">
        <v>378</v>
      </c>
      <c r="E80" s="10" t="s">
        <v>2342</v>
      </c>
      <c r="F80" s="30" t="n">
        <v>42696</v>
      </c>
      <c r="G80" s="30" t="n">
        <v>42798</v>
      </c>
      <c r="H80" s="26" t="n">
        <f aca="false">G80-F80</f>
        <v>102</v>
      </c>
      <c r="I80" s="10" t="n">
        <f aca="false">IF(E80="Won",1,0)</f>
        <v>1</v>
      </c>
    </row>
    <row r="81" customFormat="false" ht="15" hidden="false" customHeight="false" outlineLevel="0" collapsed="false">
      <c r="A81" s="10" t="s">
        <v>2422</v>
      </c>
      <c r="B81" s="10" t="s">
        <v>77</v>
      </c>
      <c r="C81" s="10" t="s">
        <v>50</v>
      </c>
      <c r="D81" s="10" t="s">
        <v>961</v>
      </c>
      <c r="E81" s="10" t="s">
        <v>2342</v>
      </c>
      <c r="F81" s="30" t="n">
        <v>42785</v>
      </c>
      <c r="G81" s="30" t="n">
        <v>42798</v>
      </c>
      <c r="H81" s="26" t="n">
        <f aca="false">G81-F81</f>
        <v>13</v>
      </c>
      <c r="I81" s="10" t="n">
        <f aca="false">IF(E81="Won",1,0)</f>
        <v>1</v>
      </c>
    </row>
    <row r="82" customFormat="false" ht="15" hidden="false" customHeight="false" outlineLevel="0" collapsed="false">
      <c r="A82" s="10" t="s">
        <v>2423</v>
      </c>
      <c r="B82" s="10" t="s">
        <v>88</v>
      </c>
      <c r="C82" s="10" t="s">
        <v>51</v>
      </c>
      <c r="D82" s="10" t="s">
        <v>350</v>
      </c>
      <c r="E82" s="10" t="s">
        <v>2342</v>
      </c>
      <c r="F82" s="30" t="n">
        <v>42782</v>
      </c>
      <c r="G82" s="30" t="n">
        <v>42798</v>
      </c>
      <c r="H82" s="26" t="n">
        <f aca="false">G82-F82</f>
        <v>16</v>
      </c>
      <c r="I82" s="10" t="n">
        <f aca="false">IF(E82="Won",1,0)</f>
        <v>1</v>
      </c>
    </row>
    <row r="83" customFormat="false" ht="15" hidden="false" customHeight="false" outlineLevel="0" collapsed="false">
      <c r="A83" s="10" t="s">
        <v>2424</v>
      </c>
      <c r="B83" s="10" t="s">
        <v>62</v>
      </c>
      <c r="C83" s="10" t="s">
        <v>52</v>
      </c>
      <c r="D83" s="10" t="s">
        <v>378</v>
      </c>
      <c r="E83" s="10" t="s">
        <v>2342</v>
      </c>
      <c r="F83" s="30" t="n">
        <v>42726</v>
      </c>
      <c r="G83" s="30" t="n">
        <v>42798</v>
      </c>
      <c r="H83" s="26" t="n">
        <f aca="false">G83-F83</f>
        <v>72</v>
      </c>
      <c r="I83" s="10" t="n">
        <f aca="false">IF(E83="Won",1,0)</f>
        <v>1</v>
      </c>
    </row>
    <row r="84" customFormat="false" ht="15" hidden="false" customHeight="false" outlineLevel="0" collapsed="false">
      <c r="A84" s="10" t="s">
        <v>2425</v>
      </c>
      <c r="B84" s="10" t="s">
        <v>93</v>
      </c>
      <c r="C84" s="10" t="s">
        <v>47</v>
      </c>
      <c r="D84" s="10" t="s">
        <v>227</v>
      </c>
      <c r="E84" s="10" t="s">
        <v>2342</v>
      </c>
      <c r="F84" s="30" t="n">
        <v>42691</v>
      </c>
      <c r="G84" s="30" t="n">
        <v>42799</v>
      </c>
      <c r="H84" s="26" t="n">
        <f aca="false">G84-F84</f>
        <v>108</v>
      </c>
      <c r="I84" s="10" t="n">
        <f aca="false">IF(E84="Won",1,0)</f>
        <v>1</v>
      </c>
    </row>
    <row r="85" customFormat="false" ht="15" hidden="false" customHeight="false" outlineLevel="0" collapsed="false">
      <c r="A85" s="10" t="s">
        <v>2426</v>
      </c>
      <c r="B85" s="10" t="s">
        <v>76</v>
      </c>
      <c r="C85" s="10" t="s">
        <v>52</v>
      </c>
      <c r="D85" s="10" t="s">
        <v>193</v>
      </c>
      <c r="E85" s="10" t="s">
        <v>2342</v>
      </c>
      <c r="F85" s="30" t="n">
        <v>42680</v>
      </c>
      <c r="G85" s="30" t="n">
        <v>42799</v>
      </c>
      <c r="H85" s="26" t="n">
        <f aca="false">G85-F85</f>
        <v>119</v>
      </c>
      <c r="I85" s="10" t="n">
        <f aca="false">IF(E85="Won",1,0)</f>
        <v>1</v>
      </c>
    </row>
    <row r="86" customFormat="false" ht="15" hidden="false" customHeight="false" outlineLevel="0" collapsed="false">
      <c r="A86" s="10" t="s">
        <v>2427</v>
      </c>
      <c r="B86" s="10" t="s">
        <v>70</v>
      </c>
      <c r="C86" s="10" t="s">
        <v>52</v>
      </c>
      <c r="D86" s="10" t="s">
        <v>326</v>
      </c>
      <c r="E86" s="10" t="s">
        <v>2342</v>
      </c>
      <c r="F86" s="30" t="n">
        <v>42705</v>
      </c>
      <c r="G86" s="30" t="n">
        <v>42799</v>
      </c>
      <c r="H86" s="26" t="n">
        <f aca="false">G86-F86</f>
        <v>94</v>
      </c>
      <c r="I86" s="10" t="n">
        <f aca="false">IF(E86="Won",1,0)</f>
        <v>1</v>
      </c>
    </row>
    <row r="87" customFormat="false" ht="15" hidden="false" customHeight="false" outlineLevel="0" collapsed="false">
      <c r="A87" s="10" t="s">
        <v>2428</v>
      </c>
      <c r="B87" s="10" t="s">
        <v>77</v>
      </c>
      <c r="C87" s="10" t="s">
        <v>51</v>
      </c>
      <c r="D87" s="10" t="s">
        <v>947</v>
      </c>
      <c r="E87" s="10" t="s">
        <v>2345</v>
      </c>
      <c r="F87" s="30" t="n">
        <v>42788</v>
      </c>
      <c r="G87" s="30" t="n">
        <v>42799</v>
      </c>
      <c r="H87" s="26" t="n">
        <f aca="false">G87-F87</f>
        <v>11</v>
      </c>
      <c r="I87" s="10" t="n">
        <f aca="false">IF(E87="Won",1,0)</f>
        <v>0</v>
      </c>
    </row>
    <row r="88" customFormat="false" ht="15" hidden="false" customHeight="false" outlineLevel="0" collapsed="false">
      <c r="A88" s="10" t="s">
        <v>2429</v>
      </c>
      <c r="B88" s="10" t="s">
        <v>73</v>
      </c>
      <c r="C88" s="10" t="s">
        <v>47</v>
      </c>
      <c r="D88" s="10" t="s">
        <v>410</v>
      </c>
      <c r="E88" s="10" t="s">
        <v>2345</v>
      </c>
      <c r="F88" s="30" t="n">
        <v>42742</v>
      </c>
      <c r="G88" s="30" t="n">
        <v>42799</v>
      </c>
      <c r="H88" s="26" t="n">
        <f aca="false">G88-F88</f>
        <v>57</v>
      </c>
      <c r="I88" s="10" t="n">
        <f aca="false">IF(E88="Won",1,0)</f>
        <v>0</v>
      </c>
    </row>
    <row r="89" customFormat="false" ht="15" hidden="false" customHeight="false" outlineLevel="0" collapsed="false">
      <c r="A89" s="10" t="s">
        <v>2430</v>
      </c>
      <c r="B89" s="10" t="s">
        <v>77</v>
      </c>
      <c r="C89" s="10" t="s">
        <v>48</v>
      </c>
      <c r="D89" s="10" t="s">
        <v>524</v>
      </c>
      <c r="E89" s="10" t="s">
        <v>2342</v>
      </c>
      <c r="F89" s="30" t="n">
        <v>42788</v>
      </c>
      <c r="G89" s="30" t="n">
        <v>42799</v>
      </c>
      <c r="H89" s="26" t="n">
        <f aca="false">G89-F89</f>
        <v>11</v>
      </c>
      <c r="I89" s="10" t="n">
        <f aca="false">IF(E89="Won",1,0)</f>
        <v>1</v>
      </c>
    </row>
    <row r="90" customFormat="false" ht="15" hidden="false" customHeight="false" outlineLevel="0" collapsed="false">
      <c r="A90" s="10" t="s">
        <v>2431</v>
      </c>
      <c r="B90" s="10" t="s">
        <v>90</v>
      </c>
      <c r="C90" s="10" t="s">
        <v>49</v>
      </c>
      <c r="D90" s="10" t="s">
        <v>1334</v>
      </c>
      <c r="E90" s="10" t="s">
        <v>2342</v>
      </c>
      <c r="F90" s="30" t="n">
        <v>42786</v>
      </c>
      <c r="G90" s="30" t="n">
        <v>42799</v>
      </c>
      <c r="H90" s="26" t="n">
        <f aca="false">G90-F90</f>
        <v>13</v>
      </c>
      <c r="I90" s="10" t="n">
        <f aca="false">IF(E90="Won",1,0)</f>
        <v>1</v>
      </c>
    </row>
    <row r="91" customFormat="false" ht="15" hidden="false" customHeight="false" outlineLevel="0" collapsed="false">
      <c r="A91" s="10" t="s">
        <v>2432</v>
      </c>
      <c r="B91" s="10" t="s">
        <v>62</v>
      </c>
      <c r="C91" s="10" t="s">
        <v>52</v>
      </c>
      <c r="D91" s="10" t="s">
        <v>674</v>
      </c>
      <c r="E91" s="10" t="s">
        <v>2345</v>
      </c>
      <c r="F91" s="30" t="n">
        <v>42738</v>
      </c>
      <c r="G91" s="30" t="n">
        <v>42799</v>
      </c>
      <c r="H91" s="26" t="n">
        <f aca="false">G91-F91</f>
        <v>61</v>
      </c>
      <c r="I91" s="10" t="n">
        <f aca="false">IF(E91="Won",1,0)</f>
        <v>0</v>
      </c>
    </row>
    <row r="92" customFormat="false" ht="15" hidden="false" customHeight="false" outlineLevel="0" collapsed="false">
      <c r="A92" s="10" t="s">
        <v>2433</v>
      </c>
      <c r="B92" s="10" t="s">
        <v>62</v>
      </c>
      <c r="C92" s="10" t="s">
        <v>52</v>
      </c>
      <c r="D92" s="10" t="s">
        <v>332</v>
      </c>
      <c r="E92" s="10" t="s">
        <v>2342</v>
      </c>
      <c r="F92" s="30" t="n">
        <v>42729</v>
      </c>
      <c r="G92" s="30" t="n">
        <v>42799</v>
      </c>
      <c r="H92" s="26" t="n">
        <f aca="false">G92-F92</f>
        <v>70</v>
      </c>
      <c r="I92" s="10" t="n">
        <f aca="false">IF(E92="Won",1,0)</f>
        <v>1</v>
      </c>
    </row>
    <row r="93" customFormat="false" ht="15" hidden="false" customHeight="false" outlineLevel="0" collapsed="false">
      <c r="A93" s="10" t="s">
        <v>2434</v>
      </c>
      <c r="B93" s="10" t="s">
        <v>70</v>
      </c>
      <c r="C93" s="10" t="s">
        <v>48</v>
      </c>
      <c r="D93" s="10" t="s">
        <v>344</v>
      </c>
      <c r="E93" s="10" t="s">
        <v>2342</v>
      </c>
      <c r="F93" s="30" t="n">
        <v>42696</v>
      </c>
      <c r="G93" s="30" t="n">
        <v>42799</v>
      </c>
      <c r="H93" s="26" t="n">
        <f aca="false">G93-F93</f>
        <v>103</v>
      </c>
      <c r="I93" s="10" t="n">
        <f aca="false">IF(E93="Won",1,0)</f>
        <v>1</v>
      </c>
    </row>
    <row r="94" customFormat="false" ht="15" hidden="false" customHeight="false" outlineLevel="0" collapsed="false">
      <c r="A94" s="10" t="s">
        <v>2435</v>
      </c>
      <c r="B94" s="10" t="s">
        <v>94</v>
      </c>
      <c r="C94" s="10" t="s">
        <v>48</v>
      </c>
      <c r="D94" s="10" t="s">
        <v>299</v>
      </c>
      <c r="E94" s="10" t="s">
        <v>2342</v>
      </c>
      <c r="F94" s="30" t="n">
        <v>42785</v>
      </c>
      <c r="G94" s="30" t="n">
        <v>42799</v>
      </c>
      <c r="H94" s="26" t="n">
        <f aca="false">G94-F94</f>
        <v>14</v>
      </c>
      <c r="I94" s="10" t="n">
        <f aca="false">IF(E94="Won",1,0)</f>
        <v>1</v>
      </c>
    </row>
    <row r="95" customFormat="false" ht="15" hidden="false" customHeight="false" outlineLevel="0" collapsed="false">
      <c r="A95" s="10" t="s">
        <v>2436</v>
      </c>
      <c r="B95" s="10" t="s">
        <v>66</v>
      </c>
      <c r="C95" s="10" t="s">
        <v>52</v>
      </c>
      <c r="D95" s="10" t="s">
        <v>348</v>
      </c>
      <c r="E95" s="10" t="s">
        <v>2342</v>
      </c>
      <c r="F95" s="30" t="n">
        <v>42685</v>
      </c>
      <c r="G95" s="30" t="n">
        <v>42799</v>
      </c>
      <c r="H95" s="26" t="n">
        <f aca="false">G95-F95</f>
        <v>114</v>
      </c>
      <c r="I95" s="10" t="n">
        <f aca="false">IF(E95="Won",1,0)</f>
        <v>1</v>
      </c>
    </row>
    <row r="96" customFormat="false" ht="15" hidden="false" customHeight="false" outlineLevel="0" collapsed="false">
      <c r="A96" s="10" t="s">
        <v>2437</v>
      </c>
      <c r="B96" s="10" t="s">
        <v>81</v>
      </c>
      <c r="C96" s="10" t="s">
        <v>50</v>
      </c>
      <c r="D96" s="10" t="s">
        <v>961</v>
      </c>
      <c r="E96" s="10" t="s">
        <v>2345</v>
      </c>
      <c r="F96" s="30" t="n">
        <v>42698</v>
      </c>
      <c r="G96" s="30" t="n">
        <v>42799</v>
      </c>
      <c r="H96" s="26" t="n">
        <f aca="false">G96-F96</f>
        <v>101</v>
      </c>
      <c r="I96" s="10" t="n">
        <f aca="false">IF(E96="Won",1,0)</f>
        <v>0</v>
      </c>
    </row>
    <row r="97" customFormat="false" ht="15" hidden="false" customHeight="false" outlineLevel="0" collapsed="false">
      <c r="A97" s="10" t="s">
        <v>2438</v>
      </c>
      <c r="B97" s="10" t="s">
        <v>83</v>
      </c>
      <c r="C97" s="10" t="s">
        <v>51</v>
      </c>
      <c r="D97" s="10" t="s">
        <v>524</v>
      </c>
      <c r="E97" s="10" t="s">
        <v>2342</v>
      </c>
      <c r="F97" s="30" t="n">
        <v>42691</v>
      </c>
      <c r="G97" s="30" t="n">
        <v>42799</v>
      </c>
      <c r="H97" s="26" t="n">
        <f aca="false">G97-F97</f>
        <v>108</v>
      </c>
      <c r="I97" s="10" t="n">
        <f aca="false">IF(E97="Won",1,0)</f>
        <v>1</v>
      </c>
    </row>
    <row r="98" customFormat="false" ht="15" hidden="false" customHeight="false" outlineLevel="0" collapsed="false">
      <c r="A98" s="10" t="s">
        <v>2439</v>
      </c>
      <c r="B98" s="10" t="s">
        <v>74</v>
      </c>
      <c r="C98" s="10" t="s">
        <v>52</v>
      </c>
      <c r="D98" s="10" t="s">
        <v>1251</v>
      </c>
      <c r="E98" s="10" t="s">
        <v>2342</v>
      </c>
      <c r="F98" s="30" t="n">
        <v>42755</v>
      </c>
      <c r="G98" s="30" t="n">
        <v>42800</v>
      </c>
      <c r="H98" s="26" t="n">
        <f aca="false">G98-F98</f>
        <v>45</v>
      </c>
      <c r="I98" s="10" t="n">
        <f aca="false">IF(E98="Won",1,0)</f>
        <v>1</v>
      </c>
    </row>
    <row r="99" customFormat="false" ht="15" hidden="false" customHeight="false" outlineLevel="0" collapsed="false">
      <c r="A99" s="10" t="s">
        <v>2440</v>
      </c>
      <c r="B99" s="10" t="s">
        <v>96</v>
      </c>
      <c r="C99" s="10" t="s">
        <v>51</v>
      </c>
      <c r="D99" s="10" t="s">
        <v>344</v>
      </c>
      <c r="E99" s="10" t="s">
        <v>2342</v>
      </c>
      <c r="F99" s="30" t="n">
        <v>42760</v>
      </c>
      <c r="G99" s="30" t="n">
        <v>42800</v>
      </c>
      <c r="H99" s="26" t="n">
        <f aca="false">G99-F99</f>
        <v>40</v>
      </c>
      <c r="I99" s="10" t="n">
        <f aca="false">IF(E99="Won",1,0)</f>
        <v>1</v>
      </c>
    </row>
    <row r="100" customFormat="false" ht="15" hidden="false" customHeight="false" outlineLevel="0" collapsed="false">
      <c r="A100" s="10" t="s">
        <v>2441</v>
      </c>
      <c r="B100" s="10" t="s">
        <v>60</v>
      </c>
      <c r="C100" s="10" t="s">
        <v>52</v>
      </c>
      <c r="D100" s="10" t="s">
        <v>637</v>
      </c>
      <c r="E100" s="10" t="s">
        <v>2342</v>
      </c>
      <c r="F100" s="30" t="n">
        <v>42717</v>
      </c>
      <c r="G100" s="30" t="n">
        <v>42800</v>
      </c>
      <c r="H100" s="26" t="n">
        <f aca="false">G100-F100</f>
        <v>83</v>
      </c>
      <c r="I100" s="10" t="n">
        <f aca="false">IF(E100="Won",1,0)</f>
        <v>1</v>
      </c>
    </row>
    <row r="101" customFormat="false" ht="15" hidden="false" customHeight="false" outlineLevel="0" collapsed="false">
      <c r="A101" s="10" t="s">
        <v>2442</v>
      </c>
      <c r="B101" s="10" t="s">
        <v>93</v>
      </c>
      <c r="C101" s="10" t="s">
        <v>47</v>
      </c>
      <c r="D101" s="10" t="s">
        <v>348</v>
      </c>
      <c r="E101" s="10" t="s">
        <v>2342</v>
      </c>
      <c r="F101" s="30" t="n">
        <v>42762</v>
      </c>
      <c r="G101" s="30" t="n">
        <v>42800</v>
      </c>
      <c r="H101" s="26" t="n">
        <f aca="false">G101-F101</f>
        <v>38</v>
      </c>
      <c r="I101" s="10" t="n">
        <f aca="false">IF(E101="Won",1,0)</f>
        <v>1</v>
      </c>
    </row>
    <row r="102" customFormat="false" ht="15" hidden="false" customHeight="false" outlineLevel="0" collapsed="false">
      <c r="A102" s="10" t="s">
        <v>2443</v>
      </c>
      <c r="B102" s="10" t="s">
        <v>60</v>
      </c>
      <c r="C102" s="10" t="s">
        <v>49</v>
      </c>
      <c r="D102" s="10" t="s">
        <v>674</v>
      </c>
      <c r="E102" s="10" t="s">
        <v>2342</v>
      </c>
      <c r="F102" s="30" t="n">
        <v>42781</v>
      </c>
      <c r="G102" s="30" t="n">
        <v>42800</v>
      </c>
      <c r="H102" s="26" t="n">
        <f aca="false">G102-F102</f>
        <v>19</v>
      </c>
      <c r="I102" s="10" t="n">
        <f aca="false">IF(E102="Won",1,0)</f>
        <v>1</v>
      </c>
    </row>
    <row r="103" customFormat="false" ht="15" hidden="false" customHeight="false" outlineLevel="0" collapsed="false">
      <c r="A103" s="10" t="s">
        <v>2444</v>
      </c>
      <c r="B103" s="10" t="s">
        <v>94</v>
      </c>
      <c r="C103" s="10" t="s">
        <v>48</v>
      </c>
      <c r="D103" s="10" t="s">
        <v>522</v>
      </c>
      <c r="E103" s="10" t="s">
        <v>2342</v>
      </c>
      <c r="F103" s="30" t="n">
        <v>42745</v>
      </c>
      <c r="G103" s="30" t="n">
        <v>42800</v>
      </c>
      <c r="H103" s="26" t="n">
        <f aca="false">G103-F103</f>
        <v>55</v>
      </c>
      <c r="I103" s="10" t="n">
        <f aca="false">IF(E103="Won",1,0)</f>
        <v>1</v>
      </c>
    </row>
    <row r="104" customFormat="false" ht="15" hidden="false" customHeight="false" outlineLevel="0" collapsed="false">
      <c r="A104" s="10" t="s">
        <v>2445</v>
      </c>
      <c r="B104" s="10" t="s">
        <v>80</v>
      </c>
      <c r="C104" s="10" t="s">
        <v>51</v>
      </c>
      <c r="D104" s="10" t="s">
        <v>527</v>
      </c>
      <c r="E104" s="10" t="s">
        <v>2345</v>
      </c>
      <c r="F104" s="30" t="n">
        <v>42764</v>
      </c>
      <c r="G104" s="30" t="n">
        <v>42800</v>
      </c>
      <c r="H104" s="26" t="n">
        <f aca="false">G104-F104</f>
        <v>36</v>
      </c>
      <c r="I104" s="10" t="n">
        <f aca="false">IF(E104="Won",1,0)</f>
        <v>0</v>
      </c>
    </row>
    <row r="105" customFormat="false" ht="15" hidden="false" customHeight="false" outlineLevel="0" collapsed="false">
      <c r="A105" s="10" t="s">
        <v>2446</v>
      </c>
      <c r="B105" s="10" t="s">
        <v>94</v>
      </c>
      <c r="C105" s="10" t="s">
        <v>51</v>
      </c>
      <c r="D105" s="10" t="s">
        <v>227</v>
      </c>
      <c r="E105" s="10" t="s">
        <v>2342</v>
      </c>
      <c r="F105" s="30" t="n">
        <v>42776</v>
      </c>
      <c r="G105" s="30" t="n">
        <v>42800</v>
      </c>
      <c r="H105" s="26" t="n">
        <f aca="false">G105-F105</f>
        <v>24</v>
      </c>
      <c r="I105" s="10" t="n">
        <f aca="false">IF(E105="Won",1,0)</f>
        <v>1</v>
      </c>
    </row>
    <row r="106" customFormat="false" ht="15" hidden="false" customHeight="false" outlineLevel="0" collapsed="false">
      <c r="A106" s="10" t="s">
        <v>2447</v>
      </c>
      <c r="B106" s="10" t="s">
        <v>71</v>
      </c>
      <c r="C106" s="10" t="s">
        <v>50</v>
      </c>
      <c r="D106" s="10" t="s">
        <v>1948</v>
      </c>
      <c r="E106" s="10" t="s">
        <v>2345</v>
      </c>
      <c r="F106" s="30" t="n">
        <v>42705</v>
      </c>
      <c r="G106" s="30" t="n">
        <v>42800</v>
      </c>
      <c r="H106" s="26" t="n">
        <f aca="false">G106-F106</f>
        <v>95</v>
      </c>
      <c r="I106" s="10" t="n">
        <f aca="false">IF(E106="Won",1,0)</f>
        <v>0</v>
      </c>
    </row>
    <row r="107" customFormat="false" ht="15" hidden="false" customHeight="false" outlineLevel="0" collapsed="false">
      <c r="A107" s="10" t="s">
        <v>2448</v>
      </c>
      <c r="B107" s="10" t="s">
        <v>75</v>
      </c>
      <c r="C107" s="10" t="s">
        <v>51</v>
      </c>
      <c r="D107" s="10" t="s">
        <v>193</v>
      </c>
      <c r="E107" s="10" t="s">
        <v>2342</v>
      </c>
      <c r="F107" s="30" t="n">
        <v>42706</v>
      </c>
      <c r="G107" s="30" t="n">
        <v>42800</v>
      </c>
      <c r="H107" s="26" t="n">
        <f aca="false">G107-F107</f>
        <v>94</v>
      </c>
      <c r="I107" s="10" t="n">
        <f aca="false">IF(E107="Won",1,0)</f>
        <v>1</v>
      </c>
    </row>
    <row r="108" customFormat="false" ht="15" hidden="false" customHeight="false" outlineLevel="0" collapsed="false">
      <c r="A108" s="10" t="s">
        <v>2449</v>
      </c>
      <c r="B108" s="10" t="s">
        <v>62</v>
      </c>
      <c r="C108" s="10" t="s">
        <v>52</v>
      </c>
      <c r="D108" s="10" t="s">
        <v>359</v>
      </c>
      <c r="E108" s="10" t="s">
        <v>2342</v>
      </c>
      <c r="F108" s="30" t="n">
        <v>42699</v>
      </c>
      <c r="G108" s="30" t="n">
        <v>42800</v>
      </c>
      <c r="H108" s="26" t="n">
        <f aca="false">G108-F108</f>
        <v>101</v>
      </c>
      <c r="I108" s="10" t="n">
        <f aca="false">IF(E108="Won",1,0)</f>
        <v>1</v>
      </c>
    </row>
    <row r="109" customFormat="false" ht="15" hidden="false" customHeight="false" outlineLevel="0" collapsed="false">
      <c r="A109" s="10" t="s">
        <v>2450</v>
      </c>
      <c r="B109" s="10" t="s">
        <v>73</v>
      </c>
      <c r="C109" s="10" t="s">
        <v>49</v>
      </c>
      <c r="D109" s="10" t="s">
        <v>193</v>
      </c>
      <c r="E109" s="10" t="s">
        <v>2342</v>
      </c>
      <c r="F109" s="30" t="n">
        <v>42699</v>
      </c>
      <c r="G109" s="30" t="n">
        <v>42800</v>
      </c>
      <c r="H109" s="26" t="n">
        <f aca="false">G109-F109</f>
        <v>101</v>
      </c>
      <c r="I109" s="10" t="n">
        <f aca="false">IF(E109="Won",1,0)</f>
        <v>1</v>
      </c>
    </row>
    <row r="110" customFormat="false" ht="15" hidden="false" customHeight="false" outlineLevel="0" collapsed="false">
      <c r="A110" s="10" t="s">
        <v>2451</v>
      </c>
      <c r="B110" s="10" t="s">
        <v>96</v>
      </c>
      <c r="C110" s="10" t="s">
        <v>47</v>
      </c>
      <c r="D110" s="10" t="s">
        <v>227</v>
      </c>
      <c r="E110" s="10" t="s">
        <v>2342</v>
      </c>
      <c r="F110" s="30" t="n">
        <v>42678</v>
      </c>
      <c r="G110" s="30" t="n">
        <v>42800</v>
      </c>
      <c r="H110" s="26" t="n">
        <f aca="false">G110-F110</f>
        <v>122</v>
      </c>
      <c r="I110" s="10" t="n">
        <f aca="false">IF(E110="Won",1,0)</f>
        <v>1</v>
      </c>
    </row>
    <row r="111" customFormat="false" ht="15" hidden="false" customHeight="false" outlineLevel="0" collapsed="false">
      <c r="A111" s="10" t="s">
        <v>2452</v>
      </c>
      <c r="B111" s="10" t="s">
        <v>57</v>
      </c>
      <c r="C111" s="10" t="s">
        <v>48</v>
      </c>
      <c r="D111" s="10" t="s">
        <v>161</v>
      </c>
      <c r="E111" s="10" t="s">
        <v>2342</v>
      </c>
      <c r="F111" s="30" t="n">
        <v>42699</v>
      </c>
      <c r="G111" s="30" t="n">
        <v>42800</v>
      </c>
      <c r="H111" s="26" t="n">
        <f aca="false">G111-F111</f>
        <v>101</v>
      </c>
      <c r="I111" s="10" t="n">
        <f aca="false">IF(E111="Won",1,0)</f>
        <v>1</v>
      </c>
    </row>
    <row r="112" customFormat="false" ht="15" hidden="false" customHeight="false" outlineLevel="0" collapsed="false">
      <c r="A112" s="10" t="s">
        <v>2453</v>
      </c>
      <c r="B112" s="10" t="s">
        <v>93</v>
      </c>
      <c r="C112" s="10" t="s">
        <v>50</v>
      </c>
      <c r="D112" s="10" t="s">
        <v>986</v>
      </c>
      <c r="E112" s="10" t="s">
        <v>2342</v>
      </c>
      <c r="F112" s="30" t="n">
        <v>42738</v>
      </c>
      <c r="G112" s="30" t="n">
        <v>42800</v>
      </c>
      <c r="H112" s="26" t="n">
        <f aca="false">G112-F112</f>
        <v>62</v>
      </c>
      <c r="I112" s="10" t="n">
        <f aca="false">IF(E112="Won",1,0)</f>
        <v>1</v>
      </c>
    </row>
    <row r="113" customFormat="false" ht="15" hidden="false" customHeight="false" outlineLevel="0" collapsed="false">
      <c r="A113" s="10" t="s">
        <v>2454</v>
      </c>
      <c r="B113" s="10" t="s">
        <v>93</v>
      </c>
      <c r="C113" s="10" t="s">
        <v>48</v>
      </c>
      <c r="D113" s="10" t="s">
        <v>419</v>
      </c>
      <c r="E113" s="10" t="s">
        <v>2342</v>
      </c>
      <c r="F113" s="30" t="n">
        <v>42686</v>
      </c>
      <c r="G113" s="30" t="n">
        <v>42800</v>
      </c>
      <c r="H113" s="26" t="n">
        <f aca="false">G113-F113</f>
        <v>114</v>
      </c>
      <c r="I113" s="10" t="n">
        <f aca="false">IF(E113="Won",1,0)</f>
        <v>1</v>
      </c>
    </row>
    <row r="114" customFormat="false" ht="15" hidden="false" customHeight="false" outlineLevel="0" collapsed="false">
      <c r="A114" s="10" t="s">
        <v>2455</v>
      </c>
      <c r="B114" s="10" t="s">
        <v>69</v>
      </c>
      <c r="C114" s="10" t="s">
        <v>52</v>
      </c>
      <c r="D114" s="10" t="s">
        <v>344</v>
      </c>
      <c r="E114" s="10" t="s">
        <v>2342</v>
      </c>
      <c r="F114" s="30" t="n">
        <v>42791</v>
      </c>
      <c r="G114" s="30" t="n">
        <v>42800</v>
      </c>
      <c r="H114" s="26" t="n">
        <f aca="false">G114-F114</f>
        <v>9</v>
      </c>
      <c r="I114" s="10" t="n">
        <f aca="false">IF(E114="Won",1,0)</f>
        <v>1</v>
      </c>
    </row>
    <row r="115" customFormat="false" ht="15" hidden="false" customHeight="false" outlineLevel="0" collapsed="false">
      <c r="A115" s="10" t="s">
        <v>2456</v>
      </c>
      <c r="B115" s="10" t="s">
        <v>77</v>
      </c>
      <c r="C115" s="10" t="s">
        <v>50</v>
      </c>
      <c r="D115" s="10" t="s">
        <v>388</v>
      </c>
      <c r="E115" s="10" t="s">
        <v>2342</v>
      </c>
      <c r="F115" s="30" t="n">
        <v>42702</v>
      </c>
      <c r="G115" s="30" t="n">
        <v>42800</v>
      </c>
      <c r="H115" s="26" t="n">
        <f aca="false">G115-F115</f>
        <v>98</v>
      </c>
      <c r="I115" s="10" t="n">
        <f aca="false">IF(E115="Won",1,0)</f>
        <v>1</v>
      </c>
    </row>
    <row r="116" customFormat="false" ht="15" hidden="false" customHeight="false" outlineLevel="0" collapsed="false">
      <c r="A116" s="10" t="s">
        <v>2457</v>
      </c>
      <c r="B116" s="10" t="s">
        <v>69</v>
      </c>
      <c r="C116" s="10" t="s">
        <v>49</v>
      </c>
      <c r="D116" s="10" t="s">
        <v>396</v>
      </c>
      <c r="E116" s="10" t="s">
        <v>2342</v>
      </c>
      <c r="F116" s="30" t="n">
        <v>42679</v>
      </c>
      <c r="G116" s="30" t="n">
        <v>42800</v>
      </c>
      <c r="H116" s="26" t="n">
        <f aca="false">G116-F116</f>
        <v>121</v>
      </c>
      <c r="I116" s="10" t="n">
        <f aca="false">IF(E116="Won",1,0)</f>
        <v>1</v>
      </c>
    </row>
    <row r="117" customFormat="false" ht="15" hidden="false" customHeight="false" outlineLevel="0" collapsed="false">
      <c r="A117" s="10" t="s">
        <v>2458</v>
      </c>
      <c r="B117" s="10" t="s">
        <v>83</v>
      </c>
      <c r="C117" s="10" t="s">
        <v>50</v>
      </c>
      <c r="D117" s="10" t="s">
        <v>961</v>
      </c>
      <c r="E117" s="10" t="s">
        <v>2342</v>
      </c>
      <c r="F117" s="30" t="n">
        <v>42791</v>
      </c>
      <c r="G117" s="30" t="n">
        <v>42800</v>
      </c>
      <c r="H117" s="26" t="n">
        <f aca="false">G117-F117</f>
        <v>9</v>
      </c>
      <c r="I117" s="10" t="n">
        <f aca="false">IF(E117="Won",1,0)</f>
        <v>1</v>
      </c>
    </row>
    <row r="118" customFormat="false" ht="15" hidden="false" customHeight="false" outlineLevel="0" collapsed="false">
      <c r="A118" s="10" t="s">
        <v>2459</v>
      </c>
      <c r="B118" s="10" t="s">
        <v>90</v>
      </c>
      <c r="C118" s="10" t="s">
        <v>49</v>
      </c>
      <c r="D118" s="10" t="s">
        <v>1397</v>
      </c>
      <c r="E118" s="10" t="s">
        <v>2342</v>
      </c>
      <c r="F118" s="30" t="n">
        <v>42798</v>
      </c>
      <c r="G118" s="30" t="n">
        <v>42801</v>
      </c>
      <c r="H118" s="26" t="n">
        <f aca="false">G118-F118</f>
        <v>3</v>
      </c>
      <c r="I118" s="10" t="n">
        <f aca="false">IF(E118="Won",1,0)</f>
        <v>1</v>
      </c>
    </row>
    <row r="119" customFormat="false" ht="15" hidden="false" customHeight="false" outlineLevel="0" collapsed="false">
      <c r="A119" s="10" t="s">
        <v>2460</v>
      </c>
      <c r="B119" s="10" t="s">
        <v>66</v>
      </c>
      <c r="C119" s="10" t="s">
        <v>52</v>
      </c>
      <c r="D119" s="10" t="s">
        <v>606</v>
      </c>
      <c r="E119" s="10" t="s">
        <v>2342</v>
      </c>
      <c r="F119" s="30" t="n">
        <v>42723</v>
      </c>
      <c r="G119" s="30" t="n">
        <v>42801</v>
      </c>
      <c r="H119" s="26" t="n">
        <f aca="false">G119-F119</f>
        <v>78</v>
      </c>
      <c r="I119" s="10" t="n">
        <f aca="false">IF(E119="Won",1,0)</f>
        <v>1</v>
      </c>
    </row>
    <row r="120" customFormat="false" ht="15" hidden="false" customHeight="false" outlineLevel="0" collapsed="false">
      <c r="A120" s="10" t="s">
        <v>2461</v>
      </c>
      <c r="B120" s="10" t="s">
        <v>79</v>
      </c>
      <c r="C120" s="10" t="s">
        <v>50</v>
      </c>
      <c r="D120" s="10" t="s">
        <v>410</v>
      </c>
      <c r="E120" s="10" t="s">
        <v>2345</v>
      </c>
      <c r="F120" s="30" t="n">
        <v>42723</v>
      </c>
      <c r="G120" s="30" t="n">
        <v>42801</v>
      </c>
      <c r="H120" s="26" t="n">
        <f aca="false">G120-F120</f>
        <v>78</v>
      </c>
      <c r="I120" s="10" t="n">
        <f aca="false">IF(E120="Won",1,0)</f>
        <v>0</v>
      </c>
    </row>
    <row r="121" customFormat="false" ht="15" hidden="false" customHeight="false" outlineLevel="0" collapsed="false">
      <c r="A121" s="10" t="s">
        <v>2462</v>
      </c>
      <c r="B121" s="10" t="s">
        <v>83</v>
      </c>
      <c r="C121" s="10" t="s">
        <v>47</v>
      </c>
      <c r="D121" s="10" t="s">
        <v>353</v>
      </c>
      <c r="E121" s="10" t="s">
        <v>2342</v>
      </c>
      <c r="F121" s="30" t="n">
        <v>42788</v>
      </c>
      <c r="G121" s="30" t="n">
        <v>42801</v>
      </c>
      <c r="H121" s="26" t="n">
        <f aca="false">G121-F121</f>
        <v>13</v>
      </c>
      <c r="I121" s="10" t="n">
        <f aca="false">IF(E121="Won",1,0)</f>
        <v>1</v>
      </c>
    </row>
    <row r="122" customFormat="false" ht="15" hidden="false" customHeight="false" outlineLevel="0" collapsed="false">
      <c r="A122" s="10" t="s">
        <v>2463</v>
      </c>
      <c r="B122" s="10" t="s">
        <v>95</v>
      </c>
      <c r="C122" s="10" t="s">
        <v>48</v>
      </c>
      <c r="D122" s="10" t="s">
        <v>483</v>
      </c>
      <c r="E122" s="10" t="s">
        <v>2342</v>
      </c>
      <c r="F122" s="30" t="n">
        <v>42755</v>
      </c>
      <c r="G122" s="30" t="n">
        <v>42801</v>
      </c>
      <c r="H122" s="26" t="n">
        <f aca="false">G122-F122</f>
        <v>46</v>
      </c>
      <c r="I122" s="10" t="n">
        <f aca="false">IF(E122="Won",1,0)</f>
        <v>1</v>
      </c>
    </row>
    <row r="123" customFormat="false" ht="15" hidden="false" customHeight="false" outlineLevel="0" collapsed="false">
      <c r="A123" s="10" t="s">
        <v>2464</v>
      </c>
      <c r="B123" s="10" t="s">
        <v>60</v>
      </c>
      <c r="C123" s="10" t="s">
        <v>49</v>
      </c>
      <c r="D123" s="10" t="s">
        <v>378</v>
      </c>
      <c r="E123" s="10" t="s">
        <v>2342</v>
      </c>
      <c r="F123" s="30" t="n">
        <v>42790</v>
      </c>
      <c r="G123" s="30" t="n">
        <v>42801</v>
      </c>
      <c r="H123" s="26" t="n">
        <f aca="false">G123-F123</f>
        <v>11</v>
      </c>
      <c r="I123" s="10" t="n">
        <f aca="false">IF(E123="Won",1,0)</f>
        <v>1</v>
      </c>
    </row>
    <row r="124" customFormat="false" ht="15" hidden="false" customHeight="false" outlineLevel="0" collapsed="false">
      <c r="A124" s="10" t="s">
        <v>2465</v>
      </c>
      <c r="B124" s="10" t="s">
        <v>70</v>
      </c>
      <c r="C124" s="10" t="s">
        <v>50</v>
      </c>
      <c r="D124" s="10" t="s">
        <v>233</v>
      </c>
      <c r="E124" s="10" t="s">
        <v>2345</v>
      </c>
      <c r="F124" s="30" t="n">
        <v>42785</v>
      </c>
      <c r="G124" s="30" t="n">
        <v>42801</v>
      </c>
      <c r="H124" s="26" t="n">
        <f aca="false">G124-F124</f>
        <v>16</v>
      </c>
      <c r="I124" s="10" t="n">
        <f aca="false">IF(E124="Won",1,0)</f>
        <v>0</v>
      </c>
    </row>
    <row r="125" customFormat="false" ht="15" hidden="false" customHeight="false" outlineLevel="0" collapsed="false">
      <c r="A125" s="10" t="s">
        <v>2466</v>
      </c>
      <c r="B125" s="10" t="s">
        <v>77</v>
      </c>
      <c r="C125" s="10" t="s">
        <v>52</v>
      </c>
      <c r="D125" s="10" t="s">
        <v>410</v>
      </c>
      <c r="E125" s="10" t="s">
        <v>2342</v>
      </c>
      <c r="F125" s="30" t="n">
        <v>42668</v>
      </c>
      <c r="G125" s="30" t="n">
        <v>42801</v>
      </c>
      <c r="H125" s="26" t="n">
        <f aca="false">G125-F125</f>
        <v>133</v>
      </c>
      <c r="I125" s="10" t="n">
        <f aca="false">IF(E125="Won",1,0)</f>
        <v>1</v>
      </c>
    </row>
    <row r="126" customFormat="false" ht="15" hidden="false" customHeight="false" outlineLevel="0" collapsed="false">
      <c r="A126" s="10" t="s">
        <v>2467</v>
      </c>
      <c r="B126" s="10" t="s">
        <v>68</v>
      </c>
      <c r="C126" s="10" t="s">
        <v>51</v>
      </c>
      <c r="D126" s="10" t="s">
        <v>348</v>
      </c>
      <c r="E126" s="10" t="s">
        <v>2342</v>
      </c>
      <c r="F126" s="30" t="n">
        <v>42675</v>
      </c>
      <c r="G126" s="30" t="n">
        <v>42801</v>
      </c>
      <c r="H126" s="26" t="n">
        <f aca="false">G126-F126</f>
        <v>126</v>
      </c>
      <c r="I126" s="10" t="n">
        <f aca="false">IF(E126="Won",1,0)</f>
        <v>1</v>
      </c>
    </row>
    <row r="127" customFormat="false" ht="15" hidden="false" customHeight="false" outlineLevel="0" collapsed="false">
      <c r="A127" s="10" t="s">
        <v>2468</v>
      </c>
      <c r="B127" s="10" t="s">
        <v>76</v>
      </c>
      <c r="C127" s="10" t="s">
        <v>52</v>
      </c>
      <c r="D127" s="10" t="s">
        <v>311</v>
      </c>
      <c r="E127" s="10" t="s">
        <v>2342</v>
      </c>
      <c r="F127" s="30" t="n">
        <v>42702</v>
      </c>
      <c r="G127" s="30" t="n">
        <v>42801</v>
      </c>
      <c r="H127" s="26" t="n">
        <f aca="false">G127-F127</f>
        <v>99</v>
      </c>
      <c r="I127" s="10" t="n">
        <f aca="false">IF(E127="Won",1,0)</f>
        <v>1</v>
      </c>
    </row>
    <row r="128" customFormat="false" ht="15" hidden="false" customHeight="false" outlineLevel="0" collapsed="false">
      <c r="A128" s="10" t="s">
        <v>2469</v>
      </c>
      <c r="B128" s="10" t="s">
        <v>63</v>
      </c>
      <c r="C128" s="10" t="s">
        <v>49</v>
      </c>
      <c r="D128" s="10" t="s">
        <v>277</v>
      </c>
      <c r="E128" s="10" t="s">
        <v>2342</v>
      </c>
      <c r="F128" s="30" t="n">
        <v>42686</v>
      </c>
      <c r="G128" s="30" t="n">
        <v>42801</v>
      </c>
      <c r="H128" s="26" t="n">
        <f aca="false">G128-F128</f>
        <v>115</v>
      </c>
      <c r="I128" s="10" t="n">
        <f aca="false">IF(E128="Won",1,0)</f>
        <v>1</v>
      </c>
    </row>
    <row r="129" customFormat="false" ht="15" hidden="false" customHeight="false" outlineLevel="0" collapsed="false">
      <c r="A129" s="10" t="s">
        <v>2470</v>
      </c>
      <c r="B129" s="10" t="s">
        <v>79</v>
      </c>
      <c r="C129" s="10" t="s">
        <v>52</v>
      </c>
      <c r="D129" s="10" t="s">
        <v>321</v>
      </c>
      <c r="E129" s="10" t="s">
        <v>2342</v>
      </c>
      <c r="F129" s="30" t="n">
        <v>42703</v>
      </c>
      <c r="G129" s="30" t="n">
        <v>42801</v>
      </c>
      <c r="H129" s="26" t="n">
        <f aca="false">G129-F129</f>
        <v>98</v>
      </c>
      <c r="I129" s="10" t="n">
        <f aca="false">IF(E129="Won",1,0)</f>
        <v>1</v>
      </c>
    </row>
    <row r="130" customFormat="false" ht="15" hidden="false" customHeight="false" outlineLevel="0" collapsed="false">
      <c r="A130" s="10" t="s">
        <v>2471</v>
      </c>
      <c r="B130" s="10" t="s">
        <v>69</v>
      </c>
      <c r="C130" s="10" t="s">
        <v>49</v>
      </c>
      <c r="D130" s="10" t="s">
        <v>606</v>
      </c>
      <c r="E130" s="10" t="s">
        <v>2342</v>
      </c>
      <c r="F130" s="30" t="n">
        <v>42795</v>
      </c>
      <c r="G130" s="30" t="n">
        <v>42801</v>
      </c>
      <c r="H130" s="26" t="n">
        <f aca="false">G130-F130</f>
        <v>6</v>
      </c>
      <c r="I130" s="10" t="n">
        <f aca="false">IF(E130="Won",1,0)</f>
        <v>1</v>
      </c>
    </row>
    <row r="131" customFormat="false" ht="15" hidden="false" customHeight="false" outlineLevel="0" collapsed="false">
      <c r="A131" s="10" t="s">
        <v>2472</v>
      </c>
      <c r="B131" s="10" t="s">
        <v>75</v>
      </c>
      <c r="C131" s="10" t="s">
        <v>52</v>
      </c>
      <c r="D131" s="10" t="s">
        <v>697</v>
      </c>
      <c r="E131" s="10" t="s">
        <v>2342</v>
      </c>
      <c r="F131" s="30" t="n">
        <v>42727</v>
      </c>
      <c r="G131" s="30" t="n">
        <v>42801</v>
      </c>
      <c r="H131" s="26" t="n">
        <f aca="false">G131-F131</f>
        <v>74</v>
      </c>
      <c r="I131" s="10" t="n">
        <f aca="false">IF(E131="Won",1,0)</f>
        <v>1</v>
      </c>
    </row>
    <row r="132" customFormat="false" ht="15" hidden="false" customHeight="false" outlineLevel="0" collapsed="false">
      <c r="A132" s="10" t="s">
        <v>2473</v>
      </c>
      <c r="B132" s="10" t="s">
        <v>70</v>
      </c>
      <c r="C132" s="10" t="s">
        <v>48</v>
      </c>
      <c r="D132" s="10" t="s">
        <v>487</v>
      </c>
      <c r="E132" s="10" t="s">
        <v>2342</v>
      </c>
      <c r="F132" s="30" t="n">
        <v>42719</v>
      </c>
      <c r="G132" s="30" t="n">
        <v>42801</v>
      </c>
      <c r="H132" s="26" t="n">
        <f aca="false">G132-F132</f>
        <v>82</v>
      </c>
      <c r="I132" s="10" t="n">
        <f aca="false">IF(E132="Won",1,0)</f>
        <v>1</v>
      </c>
    </row>
    <row r="133" customFormat="false" ht="15" hidden="false" customHeight="false" outlineLevel="0" collapsed="false">
      <c r="A133" s="10" t="s">
        <v>2474</v>
      </c>
      <c r="B133" s="10" t="s">
        <v>76</v>
      </c>
      <c r="C133" s="10" t="s">
        <v>52</v>
      </c>
      <c r="D133" s="10" t="s">
        <v>193</v>
      </c>
      <c r="E133" s="10" t="s">
        <v>2342</v>
      </c>
      <c r="F133" s="30" t="n">
        <v>42714</v>
      </c>
      <c r="G133" s="30" t="n">
        <v>42801</v>
      </c>
      <c r="H133" s="26" t="n">
        <f aca="false">G133-F133</f>
        <v>87</v>
      </c>
      <c r="I133" s="10" t="n">
        <f aca="false">IF(E133="Won",1,0)</f>
        <v>1</v>
      </c>
    </row>
    <row r="134" customFormat="false" ht="15" hidden="false" customHeight="false" outlineLevel="0" collapsed="false">
      <c r="A134" s="10" t="s">
        <v>2475</v>
      </c>
      <c r="B134" s="10" t="s">
        <v>86</v>
      </c>
      <c r="C134" s="10" t="s">
        <v>50</v>
      </c>
      <c r="D134" s="10" t="s">
        <v>1397</v>
      </c>
      <c r="E134" s="10" t="s">
        <v>2342</v>
      </c>
      <c r="F134" s="30" t="n">
        <v>42711</v>
      </c>
      <c r="G134" s="30" t="n">
        <v>42801</v>
      </c>
      <c r="H134" s="26" t="n">
        <f aca="false">G134-F134</f>
        <v>90</v>
      </c>
      <c r="I134" s="10" t="n">
        <f aca="false">IF(E134="Won",1,0)</f>
        <v>1</v>
      </c>
    </row>
    <row r="135" customFormat="false" ht="15" hidden="false" customHeight="false" outlineLevel="0" collapsed="false">
      <c r="A135" s="10" t="s">
        <v>2476</v>
      </c>
      <c r="B135" s="10" t="s">
        <v>95</v>
      </c>
      <c r="C135" s="10" t="s">
        <v>51</v>
      </c>
      <c r="D135" s="10" t="s">
        <v>344</v>
      </c>
      <c r="E135" s="10" t="s">
        <v>2345</v>
      </c>
      <c r="F135" s="30" t="n">
        <v>42724</v>
      </c>
      <c r="G135" s="30" t="n">
        <v>42801</v>
      </c>
      <c r="H135" s="26" t="n">
        <f aca="false">G135-F135</f>
        <v>77</v>
      </c>
      <c r="I135" s="10" t="n">
        <f aca="false">IF(E135="Won",1,0)</f>
        <v>0</v>
      </c>
    </row>
    <row r="136" customFormat="false" ht="15" hidden="false" customHeight="false" outlineLevel="0" collapsed="false">
      <c r="A136" s="10" t="s">
        <v>2477</v>
      </c>
      <c r="B136" s="10" t="s">
        <v>88</v>
      </c>
      <c r="C136" s="10" t="s">
        <v>50</v>
      </c>
      <c r="D136" s="10" t="s">
        <v>215</v>
      </c>
      <c r="E136" s="10" t="s">
        <v>2342</v>
      </c>
      <c r="F136" s="30" t="n">
        <v>42720</v>
      </c>
      <c r="G136" s="30" t="n">
        <v>42801</v>
      </c>
      <c r="H136" s="26" t="n">
        <f aca="false">G136-F136</f>
        <v>81</v>
      </c>
      <c r="I136" s="10" t="n">
        <f aca="false">IF(E136="Won",1,0)</f>
        <v>1</v>
      </c>
    </row>
    <row r="137" customFormat="false" ht="15" hidden="false" customHeight="false" outlineLevel="0" collapsed="false">
      <c r="A137" s="10" t="s">
        <v>2478</v>
      </c>
      <c r="B137" s="10" t="s">
        <v>87</v>
      </c>
      <c r="C137" s="10" t="s">
        <v>50</v>
      </c>
      <c r="D137" s="10" t="s">
        <v>359</v>
      </c>
      <c r="E137" s="10" t="s">
        <v>2342</v>
      </c>
      <c r="F137" s="30" t="n">
        <v>42725</v>
      </c>
      <c r="G137" s="30" t="n">
        <v>42801</v>
      </c>
      <c r="H137" s="26" t="n">
        <f aca="false">G137-F137</f>
        <v>76</v>
      </c>
      <c r="I137" s="10" t="n">
        <f aca="false">IF(E137="Won",1,0)</f>
        <v>1</v>
      </c>
    </row>
    <row r="138" customFormat="false" ht="15" hidden="false" customHeight="false" outlineLevel="0" collapsed="false">
      <c r="A138" s="10" t="s">
        <v>2479</v>
      </c>
      <c r="B138" s="10" t="s">
        <v>76</v>
      </c>
      <c r="C138" s="10" t="s">
        <v>52</v>
      </c>
      <c r="D138" s="10" t="s">
        <v>210</v>
      </c>
      <c r="E138" s="10" t="s">
        <v>2342</v>
      </c>
      <c r="F138" s="30" t="n">
        <v>42728</v>
      </c>
      <c r="G138" s="30" t="n">
        <v>42802</v>
      </c>
      <c r="H138" s="26" t="n">
        <f aca="false">G138-F138</f>
        <v>74</v>
      </c>
      <c r="I138" s="10" t="n">
        <f aca="false">IF(E138="Won",1,0)</f>
        <v>1</v>
      </c>
    </row>
    <row r="139" customFormat="false" ht="15" hidden="false" customHeight="false" outlineLevel="0" collapsed="false">
      <c r="A139" s="10" t="s">
        <v>2480</v>
      </c>
      <c r="B139" s="10" t="s">
        <v>71</v>
      </c>
      <c r="C139" s="10" t="s">
        <v>51</v>
      </c>
      <c r="D139" s="10" t="s">
        <v>697</v>
      </c>
      <c r="E139" s="10" t="s">
        <v>2342</v>
      </c>
      <c r="F139" s="30" t="n">
        <v>42742</v>
      </c>
      <c r="G139" s="30" t="n">
        <v>42802</v>
      </c>
      <c r="H139" s="26" t="n">
        <f aca="false">G139-F139</f>
        <v>60</v>
      </c>
      <c r="I139" s="10" t="n">
        <f aca="false">IF(E139="Won",1,0)</f>
        <v>1</v>
      </c>
    </row>
    <row r="140" customFormat="false" ht="15" hidden="false" customHeight="false" outlineLevel="0" collapsed="false">
      <c r="A140" s="10" t="s">
        <v>2481</v>
      </c>
      <c r="B140" s="10" t="s">
        <v>74</v>
      </c>
      <c r="C140" s="10" t="s">
        <v>49</v>
      </c>
      <c r="D140" s="10" t="s">
        <v>410</v>
      </c>
      <c r="E140" s="10" t="s">
        <v>2345</v>
      </c>
      <c r="F140" s="30" t="n">
        <v>42694</v>
      </c>
      <c r="G140" s="30" t="n">
        <v>42802</v>
      </c>
      <c r="H140" s="26" t="n">
        <f aca="false">G140-F140</f>
        <v>108</v>
      </c>
      <c r="I140" s="10" t="n">
        <f aca="false">IF(E140="Won",1,0)</f>
        <v>0</v>
      </c>
    </row>
    <row r="141" customFormat="false" ht="15" hidden="false" customHeight="false" outlineLevel="0" collapsed="false">
      <c r="A141" s="10" t="s">
        <v>2482</v>
      </c>
      <c r="B141" s="10" t="s">
        <v>76</v>
      </c>
      <c r="C141" s="10" t="s">
        <v>52</v>
      </c>
      <c r="D141" s="10" t="s">
        <v>947</v>
      </c>
      <c r="E141" s="10" t="s">
        <v>2342</v>
      </c>
      <c r="F141" s="30" t="n">
        <v>42720</v>
      </c>
      <c r="G141" s="30" t="n">
        <v>42802</v>
      </c>
      <c r="H141" s="26" t="n">
        <f aca="false">G141-F141</f>
        <v>82</v>
      </c>
      <c r="I141" s="10" t="n">
        <f aca="false">IF(E141="Won",1,0)</f>
        <v>1</v>
      </c>
    </row>
    <row r="142" customFormat="false" ht="15" hidden="false" customHeight="false" outlineLevel="0" collapsed="false">
      <c r="A142" s="10" t="s">
        <v>2483</v>
      </c>
      <c r="B142" s="10" t="s">
        <v>86</v>
      </c>
      <c r="C142" s="10" t="s">
        <v>48</v>
      </c>
      <c r="D142" s="10" t="s">
        <v>332</v>
      </c>
      <c r="E142" s="10" t="s">
        <v>2342</v>
      </c>
      <c r="F142" s="30" t="n">
        <v>42791</v>
      </c>
      <c r="G142" s="30" t="n">
        <v>42802</v>
      </c>
      <c r="H142" s="26" t="n">
        <f aca="false">G142-F142</f>
        <v>11</v>
      </c>
      <c r="I142" s="10" t="n">
        <f aca="false">IF(E142="Won",1,0)</f>
        <v>1</v>
      </c>
    </row>
    <row r="143" customFormat="false" ht="15" hidden="false" customHeight="false" outlineLevel="0" collapsed="false">
      <c r="A143" s="10" t="s">
        <v>2484</v>
      </c>
      <c r="B143" s="10" t="s">
        <v>76</v>
      </c>
      <c r="C143" s="10" t="s">
        <v>52</v>
      </c>
      <c r="D143" s="10" t="s">
        <v>762</v>
      </c>
      <c r="E143" s="10" t="s">
        <v>2345</v>
      </c>
      <c r="F143" s="30" t="n">
        <v>42791</v>
      </c>
      <c r="G143" s="30" t="n">
        <v>42802</v>
      </c>
      <c r="H143" s="26" t="n">
        <f aca="false">G143-F143</f>
        <v>11</v>
      </c>
      <c r="I143" s="10" t="n">
        <f aca="false">IF(E143="Won",1,0)</f>
        <v>0</v>
      </c>
    </row>
    <row r="144" customFormat="false" ht="15" hidden="false" customHeight="false" outlineLevel="0" collapsed="false">
      <c r="A144" s="10" t="s">
        <v>2485</v>
      </c>
      <c r="B144" s="10" t="s">
        <v>95</v>
      </c>
      <c r="C144" s="10" t="s">
        <v>50</v>
      </c>
      <c r="D144" s="10" t="s">
        <v>606</v>
      </c>
      <c r="E144" s="10" t="s">
        <v>2342</v>
      </c>
      <c r="F144" s="30" t="n">
        <v>42745</v>
      </c>
      <c r="G144" s="30" t="n">
        <v>42802</v>
      </c>
      <c r="H144" s="26" t="n">
        <f aca="false">G144-F144</f>
        <v>57</v>
      </c>
      <c r="I144" s="10" t="n">
        <f aca="false">IF(E144="Won",1,0)</f>
        <v>1</v>
      </c>
    </row>
    <row r="145" customFormat="false" ht="15" hidden="false" customHeight="false" outlineLevel="0" collapsed="false">
      <c r="A145" s="10" t="s">
        <v>2486</v>
      </c>
      <c r="B145" s="10" t="s">
        <v>94</v>
      </c>
      <c r="C145" s="10" t="s">
        <v>50</v>
      </c>
      <c r="D145" s="10" t="s">
        <v>168</v>
      </c>
      <c r="E145" s="10" t="s">
        <v>2345</v>
      </c>
      <c r="F145" s="30" t="n">
        <v>42791</v>
      </c>
      <c r="G145" s="30" t="n">
        <v>42802</v>
      </c>
      <c r="H145" s="26" t="n">
        <f aca="false">G145-F145</f>
        <v>11</v>
      </c>
      <c r="I145" s="10" t="n">
        <f aca="false">IF(E145="Won",1,0)</f>
        <v>0</v>
      </c>
    </row>
    <row r="146" customFormat="false" ht="15" hidden="false" customHeight="false" outlineLevel="0" collapsed="false">
      <c r="A146" s="10" t="s">
        <v>2487</v>
      </c>
      <c r="B146" s="10" t="s">
        <v>66</v>
      </c>
      <c r="C146" s="10" t="s">
        <v>52</v>
      </c>
      <c r="D146" s="10" t="s">
        <v>313</v>
      </c>
      <c r="E146" s="10" t="s">
        <v>2342</v>
      </c>
      <c r="F146" s="30" t="n">
        <v>42681</v>
      </c>
      <c r="G146" s="30" t="n">
        <v>42802</v>
      </c>
      <c r="H146" s="26" t="n">
        <f aca="false">G146-F146</f>
        <v>121</v>
      </c>
      <c r="I146" s="10" t="n">
        <f aca="false">IF(E146="Won",1,0)</f>
        <v>1</v>
      </c>
    </row>
    <row r="147" customFormat="false" ht="15" hidden="false" customHeight="false" outlineLevel="0" collapsed="false">
      <c r="A147" s="10" t="s">
        <v>2488</v>
      </c>
      <c r="B147" s="10" t="s">
        <v>61</v>
      </c>
      <c r="C147" s="10" t="s">
        <v>52</v>
      </c>
      <c r="D147" s="10" t="s">
        <v>378</v>
      </c>
      <c r="E147" s="10" t="s">
        <v>2342</v>
      </c>
      <c r="F147" s="30" t="n">
        <v>42760</v>
      </c>
      <c r="G147" s="30" t="n">
        <v>42802</v>
      </c>
      <c r="H147" s="26" t="n">
        <f aca="false">G147-F147</f>
        <v>42</v>
      </c>
      <c r="I147" s="10" t="n">
        <f aca="false">IF(E147="Won",1,0)</f>
        <v>1</v>
      </c>
    </row>
    <row r="148" customFormat="false" ht="15" hidden="false" customHeight="false" outlineLevel="0" collapsed="false">
      <c r="A148" s="10" t="s">
        <v>2489</v>
      </c>
      <c r="B148" s="10" t="s">
        <v>77</v>
      </c>
      <c r="C148" s="10" t="s">
        <v>51</v>
      </c>
      <c r="D148" s="10" t="s">
        <v>311</v>
      </c>
      <c r="E148" s="10" t="s">
        <v>2345</v>
      </c>
      <c r="F148" s="30" t="n">
        <v>42688</v>
      </c>
      <c r="G148" s="30" t="n">
        <v>42802</v>
      </c>
      <c r="H148" s="26" t="n">
        <f aca="false">G148-F148</f>
        <v>114</v>
      </c>
      <c r="I148" s="10" t="n">
        <f aca="false">IF(E148="Won",1,0)</f>
        <v>0</v>
      </c>
    </row>
    <row r="149" customFormat="false" ht="15" hidden="false" customHeight="false" outlineLevel="0" collapsed="false">
      <c r="A149" s="10" t="s">
        <v>2490</v>
      </c>
      <c r="B149" s="10" t="s">
        <v>67</v>
      </c>
      <c r="C149" s="10" t="s">
        <v>49</v>
      </c>
      <c r="D149" s="10" t="s">
        <v>437</v>
      </c>
      <c r="E149" s="10" t="s">
        <v>2342</v>
      </c>
      <c r="F149" s="30" t="n">
        <v>42789</v>
      </c>
      <c r="G149" s="30" t="n">
        <v>42802</v>
      </c>
      <c r="H149" s="26" t="n">
        <f aca="false">G149-F149</f>
        <v>13</v>
      </c>
      <c r="I149" s="10" t="n">
        <f aca="false">IF(E149="Won",1,0)</f>
        <v>1</v>
      </c>
    </row>
    <row r="150" customFormat="false" ht="15" hidden="false" customHeight="false" outlineLevel="0" collapsed="false">
      <c r="A150" s="10" t="s">
        <v>2491</v>
      </c>
      <c r="B150" s="10" t="s">
        <v>95</v>
      </c>
      <c r="C150" s="10" t="s">
        <v>48</v>
      </c>
      <c r="D150" s="10" t="s">
        <v>432</v>
      </c>
      <c r="E150" s="10" t="s">
        <v>2342</v>
      </c>
      <c r="F150" s="30" t="n">
        <v>42725</v>
      </c>
      <c r="G150" s="30" t="n">
        <v>42802</v>
      </c>
      <c r="H150" s="26" t="n">
        <f aca="false">G150-F150</f>
        <v>77</v>
      </c>
      <c r="I150" s="10" t="n">
        <f aca="false">IF(E150="Won",1,0)</f>
        <v>1</v>
      </c>
    </row>
    <row r="151" customFormat="false" ht="15" hidden="false" customHeight="false" outlineLevel="0" collapsed="false">
      <c r="A151" s="10" t="s">
        <v>2492</v>
      </c>
      <c r="B151" s="10" t="s">
        <v>77</v>
      </c>
      <c r="C151" s="10" t="s">
        <v>52</v>
      </c>
      <c r="D151" s="10" t="s">
        <v>311</v>
      </c>
      <c r="E151" s="10" t="s">
        <v>2342</v>
      </c>
      <c r="F151" s="30" t="n">
        <v>42795</v>
      </c>
      <c r="G151" s="30" t="n">
        <v>42802</v>
      </c>
      <c r="H151" s="26" t="n">
        <f aca="false">G151-F151</f>
        <v>7</v>
      </c>
      <c r="I151" s="10" t="n">
        <f aca="false">IF(E151="Won",1,0)</f>
        <v>1</v>
      </c>
    </row>
    <row r="152" customFormat="false" ht="15" hidden="false" customHeight="false" outlineLevel="0" collapsed="false">
      <c r="A152" s="10" t="s">
        <v>2493</v>
      </c>
      <c r="B152" s="10" t="s">
        <v>70</v>
      </c>
      <c r="C152" s="10" t="s">
        <v>51</v>
      </c>
      <c r="D152" s="10" t="s">
        <v>432</v>
      </c>
      <c r="E152" s="10" t="s">
        <v>2345</v>
      </c>
      <c r="F152" s="30" t="n">
        <v>42725</v>
      </c>
      <c r="G152" s="30" t="n">
        <v>42802</v>
      </c>
      <c r="H152" s="26" t="n">
        <f aca="false">G152-F152</f>
        <v>77</v>
      </c>
      <c r="I152" s="10" t="n">
        <f aca="false">IF(E152="Won",1,0)</f>
        <v>0</v>
      </c>
    </row>
    <row r="153" customFormat="false" ht="15" hidden="false" customHeight="false" outlineLevel="0" collapsed="false">
      <c r="A153" s="10" t="s">
        <v>2494</v>
      </c>
      <c r="B153" s="10" t="s">
        <v>68</v>
      </c>
      <c r="C153" s="10" t="s">
        <v>52</v>
      </c>
      <c r="D153" s="10" t="s">
        <v>514</v>
      </c>
      <c r="E153" s="10" t="s">
        <v>2342</v>
      </c>
      <c r="F153" s="30" t="n">
        <v>42724</v>
      </c>
      <c r="G153" s="30" t="n">
        <v>42802</v>
      </c>
      <c r="H153" s="26" t="n">
        <f aca="false">G153-F153</f>
        <v>78</v>
      </c>
      <c r="I153" s="10" t="n">
        <f aca="false">IF(E153="Won",1,0)</f>
        <v>1</v>
      </c>
    </row>
    <row r="154" customFormat="false" ht="15" hidden="false" customHeight="false" outlineLevel="0" collapsed="false">
      <c r="A154" s="10" t="s">
        <v>2495</v>
      </c>
      <c r="B154" s="10" t="s">
        <v>96</v>
      </c>
      <c r="C154" s="10" t="s">
        <v>50</v>
      </c>
      <c r="D154" s="10" t="s">
        <v>606</v>
      </c>
      <c r="E154" s="10" t="s">
        <v>2342</v>
      </c>
      <c r="F154" s="30" t="n">
        <v>42708</v>
      </c>
      <c r="G154" s="30" t="n">
        <v>42802</v>
      </c>
      <c r="H154" s="26" t="n">
        <f aca="false">G154-F154</f>
        <v>94</v>
      </c>
      <c r="I154" s="10" t="n">
        <f aca="false">IF(E154="Won",1,0)</f>
        <v>1</v>
      </c>
    </row>
    <row r="155" customFormat="false" ht="15" hidden="false" customHeight="false" outlineLevel="0" collapsed="false">
      <c r="A155" s="10" t="s">
        <v>2496</v>
      </c>
      <c r="B155" s="10" t="s">
        <v>93</v>
      </c>
      <c r="C155" s="10" t="s">
        <v>48</v>
      </c>
      <c r="D155" s="10" t="s">
        <v>986</v>
      </c>
      <c r="E155" s="10" t="s">
        <v>2342</v>
      </c>
      <c r="F155" s="30" t="n">
        <v>42708</v>
      </c>
      <c r="G155" s="30" t="n">
        <v>42802</v>
      </c>
      <c r="H155" s="26" t="n">
        <f aca="false">G155-F155</f>
        <v>94</v>
      </c>
      <c r="I155" s="10" t="n">
        <f aca="false">IF(E155="Won",1,0)</f>
        <v>1</v>
      </c>
    </row>
    <row r="156" customFormat="false" ht="15" hidden="false" customHeight="false" outlineLevel="0" collapsed="false">
      <c r="A156" s="10" t="s">
        <v>2497</v>
      </c>
      <c r="B156" s="10" t="s">
        <v>77</v>
      </c>
      <c r="C156" s="10" t="s">
        <v>48</v>
      </c>
      <c r="D156" s="10" t="s">
        <v>369</v>
      </c>
      <c r="E156" s="10" t="s">
        <v>2342</v>
      </c>
      <c r="F156" s="30" t="n">
        <v>42700</v>
      </c>
      <c r="G156" s="30" t="n">
        <v>42802</v>
      </c>
      <c r="H156" s="26" t="n">
        <f aca="false">G156-F156</f>
        <v>102</v>
      </c>
      <c r="I156" s="10" t="n">
        <f aca="false">IF(E156="Won",1,0)</f>
        <v>1</v>
      </c>
    </row>
    <row r="157" customFormat="false" ht="15" hidden="false" customHeight="false" outlineLevel="0" collapsed="false">
      <c r="A157" s="10" t="s">
        <v>2498</v>
      </c>
      <c r="B157" s="10" t="s">
        <v>70</v>
      </c>
      <c r="C157" s="10" t="s">
        <v>51</v>
      </c>
      <c r="D157" s="10" t="s">
        <v>419</v>
      </c>
      <c r="E157" s="10" t="s">
        <v>2342</v>
      </c>
      <c r="F157" s="30" t="n">
        <v>42795</v>
      </c>
      <c r="G157" s="30" t="n">
        <v>42802</v>
      </c>
      <c r="H157" s="26" t="n">
        <f aca="false">G157-F157</f>
        <v>7</v>
      </c>
      <c r="I157" s="10" t="n">
        <f aca="false">IF(E157="Won",1,0)</f>
        <v>1</v>
      </c>
    </row>
    <row r="158" customFormat="false" ht="15" hidden="false" customHeight="false" outlineLevel="0" collapsed="false">
      <c r="A158" s="10" t="s">
        <v>2499</v>
      </c>
      <c r="B158" s="10" t="s">
        <v>61</v>
      </c>
      <c r="C158" s="10" t="s">
        <v>52</v>
      </c>
      <c r="D158" s="10" t="s">
        <v>254</v>
      </c>
      <c r="E158" s="10" t="s">
        <v>2342</v>
      </c>
      <c r="F158" s="30" t="n">
        <v>42724</v>
      </c>
      <c r="G158" s="30" t="n">
        <v>42802</v>
      </c>
      <c r="H158" s="26" t="n">
        <f aca="false">G158-F158</f>
        <v>78</v>
      </c>
      <c r="I158" s="10" t="n">
        <f aca="false">IF(E158="Won",1,0)</f>
        <v>1</v>
      </c>
    </row>
    <row r="159" customFormat="false" ht="15" hidden="false" customHeight="false" outlineLevel="0" collapsed="false">
      <c r="A159" s="10" t="s">
        <v>2500</v>
      </c>
      <c r="B159" s="10" t="s">
        <v>66</v>
      </c>
      <c r="C159" s="10" t="s">
        <v>46</v>
      </c>
      <c r="D159" s="10" t="s">
        <v>303</v>
      </c>
      <c r="E159" s="10" t="s">
        <v>2342</v>
      </c>
      <c r="F159" s="30" t="n">
        <v>42694</v>
      </c>
      <c r="G159" s="30" t="n">
        <v>42803</v>
      </c>
      <c r="H159" s="26" t="n">
        <f aca="false">G159-F159</f>
        <v>109</v>
      </c>
      <c r="I159" s="10" t="n">
        <f aca="false">IF(E159="Won",1,0)</f>
        <v>1</v>
      </c>
    </row>
    <row r="160" customFormat="false" ht="15" hidden="false" customHeight="false" outlineLevel="0" collapsed="false">
      <c r="A160" s="10" t="s">
        <v>2501</v>
      </c>
      <c r="B160" s="10" t="s">
        <v>77</v>
      </c>
      <c r="C160" s="10" t="s">
        <v>48</v>
      </c>
      <c r="D160" s="10" t="s">
        <v>524</v>
      </c>
      <c r="E160" s="10" t="s">
        <v>2342</v>
      </c>
      <c r="F160" s="30" t="n">
        <v>42706</v>
      </c>
      <c r="G160" s="30" t="n">
        <v>42803</v>
      </c>
      <c r="H160" s="26" t="n">
        <f aca="false">G160-F160</f>
        <v>97</v>
      </c>
      <c r="I160" s="10" t="n">
        <f aca="false">IF(E160="Won",1,0)</f>
        <v>1</v>
      </c>
    </row>
    <row r="161" customFormat="false" ht="15" hidden="false" customHeight="false" outlineLevel="0" collapsed="false">
      <c r="A161" s="10" t="s">
        <v>2502</v>
      </c>
      <c r="B161" s="10" t="s">
        <v>97</v>
      </c>
      <c r="C161" s="10" t="s">
        <v>50</v>
      </c>
      <c r="D161" s="10" t="s">
        <v>168</v>
      </c>
      <c r="E161" s="10" t="s">
        <v>2342</v>
      </c>
      <c r="F161" s="30" t="n">
        <v>42710</v>
      </c>
      <c r="G161" s="30" t="n">
        <v>42803</v>
      </c>
      <c r="H161" s="26" t="n">
        <f aca="false">G161-F161</f>
        <v>93</v>
      </c>
      <c r="I161" s="10" t="n">
        <f aca="false">IF(E161="Won",1,0)</f>
        <v>1</v>
      </c>
    </row>
    <row r="162" customFormat="false" ht="15" hidden="false" customHeight="false" outlineLevel="0" collapsed="false">
      <c r="A162" s="10" t="s">
        <v>2503</v>
      </c>
      <c r="B162" s="10" t="s">
        <v>90</v>
      </c>
      <c r="C162" s="10" t="s">
        <v>47</v>
      </c>
      <c r="D162" s="10" t="s">
        <v>455</v>
      </c>
      <c r="E162" s="10" t="s">
        <v>2342</v>
      </c>
      <c r="F162" s="30" t="n">
        <v>42795</v>
      </c>
      <c r="G162" s="30" t="n">
        <v>42803</v>
      </c>
      <c r="H162" s="26" t="n">
        <f aca="false">G162-F162</f>
        <v>8</v>
      </c>
      <c r="I162" s="10" t="n">
        <f aca="false">IF(E162="Won",1,0)</f>
        <v>1</v>
      </c>
    </row>
    <row r="163" customFormat="false" ht="15" hidden="false" customHeight="false" outlineLevel="0" collapsed="false">
      <c r="A163" s="10" t="s">
        <v>2504</v>
      </c>
      <c r="B163" s="10" t="s">
        <v>86</v>
      </c>
      <c r="C163" s="10" t="s">
        <v>47</v>
      </c>
      <c r="D163" s="10" t="s">
        <v>427</v>
      </c>
      <c r="E163" s="10" t="s">
        <v>2345</v>
      </c>
      <c r="F163" s="30" t="n">
        <v>42716</v>
      </c>
      <c r="G163" s="30" t="n">
        <v>42803</v>
      </c>
      <c r="H163" s="26" t="n">
        <f aca="false">G163-F163</f>
        <v>87</v>
      </c>
      <c r="I163" s="10" t="n">
        <f aca="false">IF(E163="Won",1,0)</f>
        <v>0</v>
      </c>
    </row>
    <row r="164" customFormat="false" ht="15" hidden="false" customHeight="false" outlineLevel="0" collapsed="false">
      <c r="A164" s="10" t="s">
        <v>2505</v>
      </c>
      <c r="B164" s="10" t="s">
        <v>57</v>
      </c>
      <c r="C164" s="10" t="s">
        <v>49</v>
      </c>
      <c r="D164" s="10" t="s">
        <v>532</v>
      </c>
      <c r="E164" s="10" t="s">
        <v>2342</v>
      </c>
      <c r="F164" s="30" t="n">
        <v>42725</v>
      </c>
      <c r="G164" s="30" t="n">
        <v>42803</v>
      </c>
      <c r="H164" s="26" t="n">
        <f aca="false">G164-F164</f>
        <v>78</v>
      </c>
      <c r="I164" s="10" t="n">
        <f aca="false">IF(E164="Won",1,0)</f>
        <v>1</v>
      </c>
    </row>
    <row r="165" customFormat="false" ht="15" hidden="false" customHeight="false" outlineLevel="0" collapsed="false">
      <c r="A165" s="10" t="s">
        <v>2506</v>
      </c>
      <c r="B165" s="10" t="s">
        <v>76</v>
      </c>
      <c r="C165" s="10" t="s">
        <v>52</v>
      </c>
      <c r="D165" s="10" t="s">
        <v>536</v>
      </c>
      <c r="E165" s="10" t="s">
        <v>2342</v>
      </c>
      <c r="F165" s="30" t="n">
        <v>42687</v>
      </c>
      <c r="G165" s="30" t="n">
        <v>42803</v>
      </c>
      <c r="H165" s="26" t="n">
        <f aca="false">G165-F165</f>
        <v>116</v>
      </c>
      <c r="I165" s="10" t="n">
        <f aca="false">IF(E165="Won",1,0)</f>
        <v>1</v>
      </c>
    </row>
    <row r="166" customFormat="false" ht="15" hidden="false" customHeight="false" outlineLevel="0" collapsed="false">
      <c r="A166" s="10" t="s">
        <v>2507</v>
      </c>
      <c r="B166" s="10" t="s">
        <v>70</v>
      </c>
      <c r="C166" s="10" t="s">
        <v>48</v>
      </c>
      <c r="D166" s="10" t="s">
        <v>172</v>
      </c>
      <c r="E166" s="10" t="s">
        <v>2342</v>
      </c>
      <c r="F166" s="30" t="n">
        <v>42795</v>
      </c>
      <c r="G166" s="30" t="n">
        <v>42803</v>
      </c>
      <c r="H166" s="26" t="n">
        <f aca="false">G166-F166</f>
        <v>8</v>
      </c>
      <c r="I166" s="10" t="n">
        <f aca="false">IF(E166="Won",1,0)</f>
        <v>1</v>
      </c>
    </row>
    <row r="167" customFormat="false" ht="15" hidden="false" customHeight="false" outlineLevel="0" collapsed="false">
      <c r="A167" s="10" t="s">
        <v>2508</v>
      </c>
      <c r="B167" s="10" t="s">
        <v>74</v>
      </c>
      <c r="C167" s="10" t="s">
        <v>51</v>
      </c>
      <c r="D167" s="10" t="s">
        <v>193</v>
      </c>
      <c r="E167" s="10" t="s">
        <v>2345</v>
      </c>
      <c r="F167" s="30" t="n">
        <v>42715</v>
      </c>
      <c r="G167" s="30" t="n">
        <v>42803</v>
      </c>
      <c r="H167" s="26" t="n">
        <f aca="false">G167-F167</f>
        <v>88</v>
      </c>
      <c r="I167" s="10" t="n">
        <f aca="false">IF(E167="Won",1,0)</f>
        <v>0</v>
      </c>
    </row>
    <row r="168" customFormat="false" ht="15" hidden="false" customHeight="false" outlineLevel="0" collapsed="false">
      <c r="A168" s="10" t="s">
        <v>2509</v>
      </c>
      <c r="B168" s="10" t="s">
        <v>83</v>
      </c>
      <c r="C168" s="10" t="s">
        <v>50</v>
      </c>
      <c r="D168" s="10" t="s">
        <v>1948</v>
      </c>
      <c r="E168" s="10" t="s">
        <v>2342</v>
      </c>
      <c r="F168" s="30" t="n">
        <v>42694</v>
      </c>
      <c r="G168" s="30" t="n">
        <v>42803</v>
      </c>
      <c r="H168" s="26" t="n">
        <f aca="false">G168-F168</f>
        <v>109</v>
      </c>
      <c r="I168" s="10" t="n">
        <f aca="false">IF(E168="Won",1,0)</f>
        <v>1</v>
      </c>
    </row>
    <row r="169" customFormat="false" ht="15" hidden="false" customHeight="false" outlineLevel="0" collapsed="false">
      <c r="A169" s="10" t="s">
        <v>2510</v>
      </c>
      <c r="B169" s="10" t="s">
        <v>62</v>
      </c>
      <c r="C169" s="10" t="s">
        <v>52</v>
      </c>
      <c r="D169" s="10" t="s">
        <v>277</v>
      </c>
      <c r="E169" s="10" t="s">
        <v>2342</v>
      </c>
      <c r="F169" s="30" t="n">
        <v>42796</v>
      </c>
      <c r="G169" s="30" t="n">
        <v>42803</v>
      </c>
      <c r="H169" s="26" t="n">
        <f aca="false">G169-F169</f>
        <v>7</v>
      </c>
      <c r="I169" s="10" t="n">
        <f aca="false">IF(E169="Won",1,0)</f>
        <v>1</v>
      </c>
    </row>
    <row r="170" customFormat="false" ht="15" hidden="false" customHeight="false" outlineLevel="0" collapsed="false">
      <c r="A170" s="10" t="s">
        <v>2511</v>
      </c>
      <c r="B170" s="10" t="s">
        <v>71</v>
      </c>
      <c r="C170" s="10" t="s">
        <v>49</v>
      </c>
      <c r="D170" s="10" t="s">
        <v>410</v>
      </c>
      <c r="E170" s="10" t="s">
        <v>2345</v>
      </c>
      <c r="F170" s="30" t="n">
        <v>42756</v>
      </c>
      <c r="G170" s="30" t="n">
        <v>42803</v>
      </c>
      <c r="H170" s="26" t="n">
        <f aca="false">G170-F170</f>
        <v>47</v>
      </c>
      <c r="I170" s="10" t="n">
        <f aca="false">IF(E170="Won",1,0)</f>
        <v>0</v>
      </c>
    </row>
    <row r="171" customFormat="false" ht="15" hidden="false" customHeight="false" outlineLevel="0" collapsed="false">
      <c r="A171" s="10" t="s">
        <v>2512</v>
      </c>
      <c r="B171" s="10" t="s">
        <v>75</v>
      </c>
      <c r="C171" s="10" t="s">
        <v>51</v>
      </c>
      <c r="D171" s="10" t="s">
        <v>961</v>
      </c>
      <c r="E171" s="10" t="s">
        <v>2342</v>
      </c>
      <c r="F171" s="30" t="n">
        <v>42668</v>
      </c>
      <c r="G171" s="30" t="n">
        <v>42803</v>
      </c>
      <c r="H171" s="26" t="n">
        <f aca="false">G171-F171</f>
        <v>135</v>
      </c>
      <c r="I171" s="10" t="n">
        <f aca="false">IF(E171="Won",1,0)</f>
        <v>1</v>
      </c>
    </row>
    <row r="172" customFormat="false" ht="15" hidden="false" customHeight="false" outlineLevel="0" collapsed="false">
      <c r="A172" s="10" t="s">
        <v>2513</v>
      </c>
      <c r="B172" s="10" t="s">
        <v>77</v>
      </c>
      <c r="C172" s="10" t="s">
        <v>48</v>
      </c>
      <c r="D172" s="10" t="s">
        <v>193</v>
      </c>
      <c r="E172" s="10" t="s">
        <v>2345</v>
      </c>
      <c r="F172" s="30" t="n">
        <v>42740</v>
      </c>
      <c r="G172" s="30" t="n">
        <v>42803</v>
      </c>
      <c r="H172" s="26" t="n">
        <f aca="false">G172-F172</f>
        <v>63</v>
      </c>
      <c r="I172" s="10" t="n">
        <f aca="false">IF(E172="Won",1,0)</f>
        <v>0</v>
      </c>
    </row>
    <row r="173" customFormat="false" ht="15" hidden="false" customHeight="false" outlineLevel="0" collapsed="false">
      <c r="A173" s="10" t="s">
        <v>2514</v>
      </c>
      <c r="B173" s="10" t="s">
        <v>79</v>
      </c>
      <c r="C173" s="10" t="s">
        <v>52</v>
      </c>
      <c r="D173" s="10" t="s">
        <v>410</v>
      </c>
      <c r="E173" s="10" t="s">
        <v>2342</v>
      </c>
      <c r="F173" s="30" t="n">
        <v>42708</v>
      </c>
      <c r="G173" s="30" t="n">
        <v>42803</v>
      </c>
      <c r="H173" s="26" t="n">
        <f aca="false">G173-F173</f>
        <v>95</v>
      </c>
      <c r="I173" s="10" t="n">
        <f aca="false">IF(E173="Won",1,0)</f>
        <v>1</v>
      </c>
    </row>
    <row r="174" customFormat="false" ht="15" hidden="false" customHeight="false" outlineLevel="0" collapsed="false">
      <c r="A174" s="10" t="s">
        <v>2515</v>
      </c>
      <c r="B174" s="10" t="s">
        <v>77</v>
      </c>
      <c r="C174" s="10" t="s">
        <v>48</v>
      </c>
      <c r="D174" s="10" t="s">
        <v>210</v>
      </c>
      <c r="E174" s="10" t="s">
        <v>2345</v>
      </c>
      <c r="F174" s="30" t="n">
        <v>42708</v>
      </c>
      <c r="G174" s="30" t="n">
        <v>42803</v>
      </c>
      <c r="H174" s="26" t="n">
        <f aca="false">G174-F174</f>
        <v>95</v>
      </c>
      <c r="I174" s="10" t="n">
        <f aca="false">IF(E174="Won",1,0)</f>
        <v>0</v>
      </c>
    </row>
    <row r="175" customFormat="false" ht="15" hidden="false" customHeight="false" outlineLevel="0" collapsed="false">
      <c r="A175" s="10" t="s">
        <v>2516</v>
      </c>
      <c r="B175" s="10" t="s">
        <v>95</v>
      </c>
      <c r="C175" s="10" t="s">
        <v>48</v>
      </c>
      <c r="D175" s="10" t="s">
        <v>424</v>
      </c>
      <c r="E175" s="10" t="s">
        <v>2342</v>
      </c>
      <c r="F175" s="30" t="n">
        <v>42720</v>
      </c>
      <c r="G175" s="30" t="n">
        <v>42803</v>
      </c>
      <c r="H175" s="26" t="n">
        <f aca="false">G175-F175</f>
        <v>83</v>
      </c>
      <c r="I175" s="10" t="n">
        <f aca="false">IF(E175="Won",1,0)</f>
        <v>1</v>
      </c>
    </row>
    <row r="176" customFormat="false" ht="15" hidden="false" customHeight="false" outlineLevel="0" collapsed="false">
      <c r="A176" s="10" t="s">
        <v>2517</v>
      </c>
      <c r="B176" s="10" t="s">
        <v>60</v>
      </c>
      <c r="C176" s="10" t="s">
        <v>52</v>
      </c>
      <c r="D176" s="10" t="s">
        <v>532</v>
      </c>
      <c r="E176" s="10" t="s">
        <v>2342</v>
      </c>
      <c r="F176" s="30" t="n">
        <v>42764</v>
      </c>
      <c r="G176" s="30" t="n">
        <v>42803</v>
      </c>
      <c r="H176" s="26" t="n">
        <f aca="false">G176-F176</f>
        <v>39</v>
      </c>
      <c r="I176" s="10" t="n">
        <f aca="false">IF(E176="Won",1,0)</f>
        <v>1</v>
      </c>
    </row>
    <row r="177" customFormat="false" ht="15" hidden="false" customHeight="false" outlineLevel="0" collapsed="false">
      <c r="A177" s="10" t="s">
        <v>2518</v>
      </c>
      <c r="B177" s="10" t="s">
        <v>70</v>
      </c>
      <c r="C177" s="10" t="s">
        <v>50</v>
      </c>
      <c r="D177" s="10" t="s">
        <v>419</v>
      </c>
      <c r="E177" s="10" t="s">
        <v>2345</v>
      </c>
      <c r="F177" s="30" t="n">
        <v>42707</v>
      </c>
      <c r="G177" s="30" t="n">
        <v>42803</v>
      </c>
      <c r="H177" s="26" t="n">
        <f aca="false">G177-F177</f>
        <v>96</v>
      </c>
      <c r="I177" s="10" t="n">
        <f aca="false">IF(E177="Won",1,0)</f>
        <v>0</v>
      </c>
    </row>
    <row r="178" customFormat="false" ht="15" hidden="false" customHeight="false" outlineLevel="0" collapsed="false">
      <c r="A178" s="10" t="s">
        <v>2519</v>
      </c>
      <c r="B178" s="10" t="s">
        <v>74</v>
      </c>
      <c r="C178" s="10" t="s">
        <v>51</v>
      </c>
      <c r="D178" s="10" t="s">
        <v>388</v>
      </c>
      <c r="E178" s="10" t="s">
        <v>2342</v>
      </c>
      <c r="F178" s="30" t="n">
        <v>42797</v>
      </c>
      <c r="G178" s="30" t="n">
        <v>42803</v>
      </c>
      <c r="H178" s="26" t="n">
        <f aca="false">G178-F178</f>
        <v>6</v>
      </c>
      <c r="I178" s="10" t="n">
        <f aca="false">IF(E178="Won",1,0)</f>
        <v>1</v>
      </c>
    </row>
    <row r="179" customFormat="false" ht="15" hidden="false" customHeight="false" outlineLevel="0" collapsed="false">
      <c r="A179" s="10" t="s">
        <v>2520</v>
      </c>
      <c r="B179" s="10" t="s">
        <v>87</v>
      </c>
      <c r="C179" s="10" t="s">
        <v>48</v>
      </c>
      <c r="D179" s="10" t="s">
        <v>350</v>
      </c>
      <c r="E179" s="10" t="s">
        <v>2345</v>
      </c>
      <c r="F179" s="30" t="n">
        <v>42681</v>
      </c>
      <c r="G179" s="30" t="n">
        <v>42803</v>
      </c>
      <c r="H179" s="26" t="n">
        <f aca="false">G179-F179</f>
        <v>122</v>
      </c>
      <c r="I179" s="10" t="n">
        <f aca="false">IF(E179="Won",1,0)</f>
        <v>0</v>
      </c>
    </row>
    <row r="180" customFormat="false" ht="15" hidden="false" customHeight="false" outlineLevel="0" collapsed="false">
      <c r="A180" s="10" t="s">
        <v>2521</v>
      </c>
      <c r="B180" s="10" t="s">
        <v>80</v>
      </c>
      <c r="C180" s="10" t="s">
        <v>51</v>
      </c>
      <c r="D180" s="10" t="s">
        <v>527</v>
      </c>
      <c r="E180" s="10" t="s">
        <v>2345</v>
      </c>
      <c r="F180" s="30" t="n">
        <v>42725</v>
      </c>
      <c r="G180" s="30" t="n">
        <v>42804</v>
      </c>
      <c r="H180" s="26" t="n">
        <f aca="false">G180-F180</f>
        <v>79</v>
      </c>
      <c r="I180" s="10" t="n">
        <f aca="false">IF(E180="Won",1,0)</f>
        <v>0</v>
      </c>
    </row>
    <row r="181" customFormat="false" ht="15" hidden="false" customHeight="false" outlineLevel="0" collapsed="false">
      <c r="A181" s="10" t="s">
        <v>2522</v>
      </c>
      <c r="B181" s="10" t="s">
        <v>79</v>
      </c>
      <c r="C181" s="10" t="s">
        <v>50</v>
      </c>
      <c r="D181" s="10" t="s">
        <v>1251</v>
      </c>
      <c r="E181" s="10" t="s">
        <v>2342</v>
      </c>
      <c r="F181" s="30" t="n">
        <v>42790</v>
      </c>
      <c r="G181" s="30" t="n">
        <v>42804</v>
      </c>
      <c r="H181" s="26" t="n">
        <f aca="false">G181-F181</f>
        <v>14</v>
      </c>
      <c r="I181" s="10" t="n">
        <f aca="false">IF(E181="Won",1,0)</f>
        <v>1</v>
      </c>
    </row>
    <row r="182" customFormat="false" ht="15" hidden="false" customHeight="false" outlineLevel="0" collapsed="false">
      <c r="A182" s="10" t="s">
        <v>2523</v>
      </c>
      <c r="B182" s="10" t="s">
        <v>93</v>
      </c>
      <c r="C182" s="10" t="s">
        <v>47</v>
      </c>
      <c r="D182" s="10" t="s">
        <v>432</v>
      </c>
      <c r="E182" s="10" t="s">
        <v>2342</v>
      </c>
      <c r="F182" s="30" t="n">
        <v>42678</v>
      </c>
      <c r="G182" s="30" t="n">
        <v>42804</v>
      </c>
      <c r="H182" s="26" t="n">
        <f aca="false">G182-F182</f>
        <v>126</v>
      </c>
      <c r="I182" s="10" t="n">
        <f aca="false">IF(E182="Won",1,0)</f>
        <v>1</v>
      </c>
    </row>
    <row r="183" customFormat="false" ht="15" hidden="false" customHeight="false" outlineLevel="0" collapsed="false">
      <c r="A183" s="10" t="s">
        <v>2524</v>
      </c>
      <c r="B183" s="10" t="s">
        <v>77</v>
      </c>
      <c r="C183" s="10" t="s">
        <v>48</v>
      </c>
      <c r="D183" s="10" t="s">
        <v>660</v>
      </c>
      <c r="E183" s="10" t="s">
        <v>2342</v>
      </c>
      <c r="F183" s="30" t="n">
        <v>42765</v>
      </c>
      <c r="G183" s="30" t="n">
        <v>42804</v>
      </c>
      <c r="H183" s="26" t="n">
        <f aca="false">G183-F183</f>
        <v>39</v>
      </c>
      <c r="I183" s="10" t="n">
        <f aca="false">IF(E183="Won",1,0)</f>
        <v>1</v>
      </c>
    </row>
    <row r="184" customFormat="false" ht="15" hidden="false" customHeight="false" outlineLevel="0" collapsed="false">
      <c r="A184" s="10" t="s">
        <v>2525</v>
      </c>
      <c r="B184" s="10" t="s">
        <v>77</v>
      </c>
      <c r="C184" s="10" t="s">
        <v>47</v>
      </c>
      <c r="D184" s="10" t="s">
        <v>660</v>
      </c>
      <c r="E184" s="10" t="s">
        <v>2345</v>
      </c>
      <c r="F184" s="30" t="n">
        <v>42746</v>
      </c>
      <c r="G184" s="30" t="n">
        <v>42804</v>
      </c>
      <c r="H184" s="26" t="n">
        <f aca="false">G184-F184</f>
        <v>58</v>
      </c>
      <c r="I184" s="10" t="n">
        <f aca="false">IF(E184="Won",1,0)</f>
        <v>0</v>
      </c>
    </row>
    <row r="185" customFormat="false" ht="15" hidden="false" customHeight="false" outlineLevel="0" collapsed="false">
      <c r="A185" s="10" t="s">
        <v>2526</v>
      </c>
      <c r="B185" s="10" t="s">
        <v>93</v>
      </c>
      <c r="C185" s="10" t="s">
        <v>51</v>
      </c>
      <c r="D185" s="10" t="s">
        <v>172</v>
      </c>
      <c r="E185" s="10" t="s">
        <v>2342</v>
      </c>
      <c r="F185" s="30" t="n">
        <v>42733</v>
      </c>
      <c r="G185" s="30" t="n">
        <v>42804</v>
      </c>
      <c r="H185" s="26" t="n">
        <f aca="false">G185-F185</f>
        <v>71</v>
      </c>
      <c r="I185" s="10" t="n">
        <f aca="false">IF(E185="Won",1,0)</f>
        <v>1</v>
      </c>
    </row>
    <row r="186" customFormat="false" ht="15" hidden="false" customHeight="false" outlineLevel="0" collapsed="false">
      <c r="A186" s="10" t="s">
        <v>2527</v>
      </c>
      <c r="B186" s="10" t="s">
        <v>71</v>
      </c>
      <c r="C186" s="10" t="s">
        <v>52</v>
      </c>
      <c r="D186" s="10" t="s">
        <v>422</v>
      </c>
      <c r="E186" s="10" t="s">
        <v>2342</v>
      </c>
      <c r="F186" s="30" t="n">
        <v>42678</v>
      </c>
      <c r="G186" s="30" t="n">
        <v>42804</v>
      </c>
      <c r="H186" s="26" t="n">
        <f aca="false">G186-F186</f>
        <v>126</v>
      </c>
      <c r="I186" s="10" t="n">
        <f aca="false">IF(E186="Won",1,0)</f>
        <v>1</v>
      </c>
    </row>
    <row r="187" customFormat="false" ht="15" hidden="false" customHeight="false" outlineLevel="0" collapsed="false">
      <c r="A187" s="10" t="s">
        <v>2528</v>
      </c>
      <c r="B187" s="10" t="s">
        <v>77</v>
      </c>
      <c r="C187" s="10" t="s">
        <v>48</v>
      </c>
      <c r="D187" s="10" t="s">
        <v>536</v>
      </c>
      <c r="E187" s="10" t="s">
        <v>2342</v>
      </c>
      <c r="F187" s="30" t="n">
        <v>42766</v>
      </c>
      <c r="G187" s="30" t="n">
        <v>42804</v>
      </c>
      <c r="H187" s="26" t="n">
        <f aca="false">G187-F187</f>
        <v>38</v>
      </c>
      <c r="I187" s="10" t="n">
        <f aca="false">IF(E187="Won",1,0)</f>
        <v>1</v>
      </c>
    </row>
    <row r="188" customFormat="false" ht="15" hidden="false" customHeight="false" outlineLevel="0" collapsed="false">
      <c r="A188" s="10" t="s">
        <v>2529</v>
      </c>
      <c r="B188" s="10" t="s">
        <v>63</v>
      </c>
      <c r="C188" s="10" t="s">
        <v>49</v>
      </c>
      <c r="D188" s="10" t="s">
        <v>453</v>
      </c>
      <c r="E188" s="10" t="s">
        <v>2342</v>
      </c>
      <c r="F188" s="30" t="n">
        <v>42703</v>
      </c>
      <c r="G188" s="30" t="n">
        <v>42804</v>
      </c>
      <c r="H188" s="26" t="n">
        <f aca="false">G188-F188</f>
        <v>101</v>
      </c>
      <c r="I188" s="10" t="n">
        <f aca="false">IF(E188="Won",1,0)</f>
        <v>1</v>
      </c>
    </row>
    <row r="189" customFormat="false" ht="15" hidden="false" customHeight="false" outlineLevel="0" collapsed="false">
      <c r="A189" s="10" t="s">
        <v>2530</v>
      </c>
      <c r="B189" s="10" t="s">
        <v>57</v>
      </c>
      <c r="C189" s="10" t="s">
        <v>51</v>
      </c>
      <c r="D189" s="10" t="s">
        <v>455</v>
      </c>
      <c r="E189" s="10" t="s">
        <v>2342</v>
      </c>
      <c r="F189" s="30" t="n">
        <v>42747</v>
      </c>
      <c r="G189" s="30" t="n">
        <v>42804</v>
      </c>
      <c r="H189" s="26" t="n">
        <f aca="false">G189-F189</f>
        <v>57</v>
      </c>
      <c r="I189" s="10" t="n">
        <f aca="false">IF(E189="Won",1,0)</f>
        <v>1</v>
      </c>
    </row>
    <row r="190" customFormat="false" ht="15" hidden="false" customHeight="false" outlineLevel="0" collapsed="false">
      <c r="A190" s="10" t="s">
        <v>2531</v>
      </c>
      <c r="B190" s="10" t="s">
        <v>94</v>
      </c>
      <c r="C190" s="10" t="s">
        <v>51</v>
      </c>
      <c r="D190" s="10" t="s">
        <v>419</v>
      </c>
      <c r="E190" s="10" t="s">
        <v>2342</v>
      </c>
      <c r="F190" s="30" t="n">
        <v>42708</v>
      </c>
      <c r="G190" s="30" t="n">
        <v>42804</v>
      </c>
      <c r="H190" s="26" t="n">
        <f aca="false">G190-F190</f>
        <v>96</v>
      </c>
      <c r="I190" s="10" t="n">
        <f aca="false">IF(E190="Won",1,0)</f>
        <v>1</v>
      </c>
    </row>
    <row r="191" customFormat="false" ht="15" hidden="false" customHeight="false" outlineLevel="0" collapsed="false">
      <c r="A191" s="10" t="s">
        <v>2532</v>
      </c>
      <c r="B191" s="10" t="s">
        <v>95</v>
      </c>
      <c r="C191" s="10" t="s">
        <v>50</v>
      </c>
      <c r="D191" s="10" t="s">
        <v>313</v>
      </c>
      <c r="E191" s="10" t="s">
        <v>2342</v>
      </c>
      <c r="F191" s="30" t="n">
        <v>42793</v>
      </c>
      <c r="G191" s="30" t="n">
        <v>42804</v>
      </c>
      <c r="H191" s="26" t="n">
        <f aca="false">G191-F191</f>
        <v>11</v>
      </c>
      <c r="I191" s="10" t="n">
        <f aca="false">IF(E191="Won",1,0)</f>
        <v>1</v>
      </c>
    </row>
    <row r="192" customFormat="false" ht="15" hidden="false" customHeight="false" outlineLevel="0" collapsed="false">
      <c r="A192" s="10" t="s">
        <v>2533</v>
      </c>
      <c r="B192" s="10" t="s">
        <v>74</v>
      </c>
      <c r="C192" s="10" t="s">
        <v>52</v>
      </c>
      <c r="D192" s="10" t="s">
        <v>947</v>
      </c>
      <c r="E192" s="10" t="s">
        <v>2342</v>
      </c>
      <c r="F192" s="30" t="n">
        <v>42729</v>
      </c>
      <c r="G192" s="30" t="n">
        <v>42804</v>
      </c>
      <c r="H192" s="26" t="n">
        <f aca="false">G192-F192</f>
        <v>75</v>
      </c>
      <c r="I192" s="10" t="n">
        <f aca="false">IF(E192="Won",1,0)</f>
        <v>1</v>
      </c>
    </row>
    <row r="193" customFormat="false" ht="15" hidden="false" customHeight="false" outlineLevel="0" collapsed="false">
      <c r="A193" s="10" t="s">
        <v>2534</v>
      </c>
      <c r="B193" s="10" t="s">
        <v>93</v>
      </c>
      <c r="C193" s="10" t="s">
        <v>47</v>
      </c>
      <c r="D193" s="10" t="s">
        <v>384</v>
      </c>
      <c r="E193" s="10" t="s">
        <v>2342</v>
      </c>
      <c r="F193" s="30" t="n">
        <v>42730</v>
      </c>
      <c r="G193" s="30" t="n">
        <v>42804</v>
      </c>
      <c r="H193" s="26" t="n">
        <f aca="false">G193-F193</f>
        <v>74</v>
      </c>
      <c r="I193" s="10" t="n">
        <f aca="false">IF(E193="Won",1,0)</f>
        <v>1</v>
      </c>
    </row>
    <row r="194" customFormat="false" ht="15" hidden="false" customHeight="false" outlineLevel="0" collapsed="false">
      <c r="A194" s="10" t="s">
        <v>2535</v>
      </c>
      <c r="B194" s="10" t="s">
        <v>81</v>
      </c>
      <c r="C194" s="10" t="s">
        <v>49</v>
      </c>
      <c r="D194" s="10" t="s">
        <v>536</v>
      </c>
      <c r="E194" s="10" t="s">
        <v>2342</v>
      </c>
      <c r="F194" s="30" t="n">
        <v>42737</v>
      </c>
      <c r="G194" s="30" t="n">
        <v>42804</v>
      </c>
      <c r="H194" s="26" t="n">
        <f aca="false">G194-F194</f>
        <v>67</v>
      </c>
      <c r="I194" s="10" t="n">
        <f aca="false">IF(E194="Won",1,0)</f>
        <v>1</v>
      </c>
    </row>
    <row r="195" customFormat="false" ht="15" hidden="false" customHeight="false" outlineLevel="0" collapsed="false">
      <c r="A195" s="10" t="s">
        <v>2536</v>
      </c>
      <c r="B195" s="10" t="s">
        <v>83</v>
      </c>
      <c r="C195" s="10" t="s">
        <v>51</v>
      </c>
      <c r="D195" s="10" t="s">
        <v>1251</v>
      </c>
      <c r="E195" s="10" t="s">
        <v>2345</v>
      </c>
      <c r="F195" s="30" t="n">
        <v>42728</v>
      </c>
      <c r="G195" s="30" t="n">
        <v>42804</v>
      </c>
      <c r="H195" s="26" t="n">
        <f aca="false">G195-F195</f>
        <v>76</v>
      </c>
      <c r="I195" s="10" t="n">
        <f aca="false">IF(E195="Won",1,0)</f>
        <v>0</v>
      </c>
    </row>
    <row r="196" customFormat="false" ht="15" hidden="false" customHeight="false" outlineLevel="0" collapsed="false">
      <c r="A196" s="10" t="s">
        <v>2537</v>
      </c>
      <c r="B196" s="10" t="s">
        <v>66</v>
      </c>
      <c r="C196" s="10" t="s">
        <v>52</v>
      </c>
      <c r="D196" s="10" t="s">
        <v>344</v>
      </c>
      <c r="E196" s="10" t="s">
        <v>2342</v>
      </c>
      <c r="F196" s="30" t="n">
        <v>42789</v>
      </c>
      <c r="G196" s="30" t="n">
        <v>42804</v>
      </c>
      <c r="H196" s="26" t="n">
        <f aca="false">G196-F196</f>
        <v>15</v>
      </c>
      <c r="I196" s="10" t="n">
        <f aca="false">IF(E196="Won",1,0)</f>
        <v>1</v>
      </c>
    </row>
    <row r="197" customFormat="false" ht="15" hidden="false" customHeight="false" outlineLevel="0" collapsed="false">
      <c r="A197" s="10" t="s">
        <v>2538</v>
      </c>
      <c r="B197" s="10" t="s">
        <v>84</v>
      </c>
      <c r="C197" s="10" t="s">
        <v>50</v>
      </c>
      <c r="D197" s="10" t="s">
        <v>233</v>
      </c>
      <c r="E197" s="10" t="s">
        <v>2342</v>
      </c>
      <c r="F197" s="30" t="n">
        <v>42795</v>
      </c>
      <c r="G197" s="30" t="n">
        <v>42804</v>
      </c>
      <c r="H197" s="26" t="n">
        <f aca="false">G197-F197</f>
        <v>9</v>
      </c>
      <c r="I197" s="10" t="n">
        <f aca="false">IF(E197="Won",1,0)</f>
        <v>1</v>
      </c>
    </row>
    <row r="198" customFormat="false" ht="15" hidden="false" customHeight="false" outlineLevel="0" collapsed="false">
      <c r="A198" s="10" t="s">
        <v>2539</v>
      </c>
      <c r="B198" s="10" t="s">
        <v>68</v>
      </c>
      <c r="C198" s="10" t="s">
        <v>47</v>
      </c>
      <c r="D198" s="10" t="s">
        <v>303</v>
      </c>
      <c r="E198" s="10" t="s">
        <v>2342</v>
      </c>
      <c r="F198" s="30" t="n">
        <v>42712</v>
      </c>
      <c r="G198" s="30" t="n">
        <v>42804</v>
      </c>
      <c r="H198" s="26" t="n">
        <f aca="false">G198-F198</f>
        <v>92</v>
      </c>
      <c r="I198" s="10" t="n">
        <f aca="false">IF(E198="Won",1,0)</f>
        <v>1</v>
      </c>
    </row>
    <row r="199" customFormat="false" ht="15" hidden="false" customHeight="false" outlineLevel="0" collapsed="false">
      <c r="A199" s="10" t="s">
        <v>2540</v>
      </c>
      <c r="B199" s="10" t="s">
        <v>77</v>
      </c>
      <c r="C199" s="10" t="s">
        <v>48</v>
      </c>
      <c r="D199" s="10" t="s">
        <v>388</v>
      </c>
      <c r="E199" s="10" t="s">
        <v>2342</v>
      </c>
      <c r="F199" s="30" t="n">
        <v>42788</v>
      </c>
      <c r="G199" s="30" t="n">
        <v>42804</v>
      </c>
      <c r="H199" s="26" t="n">
        <f aca="false">G199-F199</f>
        <v>16</v>
      </c>
      <c r="I199" s="10" t="n">
        <f aca="false">IF(E199="Won",1,0)</f>
        <v>1</v>
      </c>
    </row>
    <row r="200" customFormat="false" ht="15" hidden="false" customHeight="false" outlineLevel="0" collapsed="false">
      <c r="A200" s="10" t="s">
        <v>2541</v>
      </c>
      <c r="B200" s="10" t="s">
        <v>57</v>
      </c>
      <c r="C200" s="10" t="s">
        <v>51</v>
      </c>
      <c r="D200" s="10" t="s">
        <v>359</v>
      </c>
      <c r="E200" s="10" t="s">
        <v>2342</v>
      </c>
      <c r="F200" s="30" t="n">
        <v>42801</v>
      </c>
      <c r="G200" s="30" t="n">
        <v>42804</v>
      </c>
      <c r="H200" s="26" t="n">
        <f aca="false">G200-F200</f>
        <v>3</v>
      </c>
      <c r="I200" s="10" t="n">
        <f aca="false">IF(E200="Won",1,0)</f>
        <v>1</v>
      </c>
    </row>
    <row r="201" customFormat="false" ht="15" hidden="false" customHeight="false" outlineLevel="0" collapsed="false">
      <c r="A201" s="10" t="s">
        <v>2542</v>
      </c>
      <c r="B201" s="10" t="s">
        <v>67</v>
      </c>
      <c r="C201" s="10" t="s">
        <v>49</v>
      </c>
      <c r="D201" s="10" t="s">
        <v>437</v>
      </c>
      <c r="E201" s="10" t="s">
        <v>2342</v>
      </c>
      <c r="F201" s="30" t="n">
        <v>42679</v>
      </c>
      <c r="G201" s="30" t="n">
        <v>42805</v>
      </c>
      <c r="H201" s="26" t="n">
        <f aca="false">G201-F201</f>
        <v>126</v>
      </c>
      <c r="I201" s="10" t="n">
        <f aca="false">IF(E201="Won",1,0)</f>
        <v>1</v>
      </c>
    </row>
    <row r="202" customFormat="false" ht="15" hidden="false" customHeight="false" outlineLevel="0" collapsed="false">
      <c r="A202" s="10" t="s">
        <v>2543</v>
      </c>
      <c r="B202" s="10" t="s">
        <v>79</v>
      </c>
      <c r="C202" s="10" t="s">
        <v>47</v>
      </c>
      <c r="D202" s="10" t="s">
        <v>422</v>
      </c>
      <c r="E202" s="10" t="s">
        <v>2342</v>
      </c>
      <c r="F202" s="30" t="n">
        <v>42801</v>
      </c>
      <c r="G202" s="30" t="n">
        <v>42805</v>
      </c>
      <c r="H202" s="26" t="n">
        <f aca="false">G202-F202</f>
        <v>4</v>
      </c>
      <c r="I202" s="10" t="n">
        <f aca="false">IF(E202="Won",1,0)</f>
        <v>1</v>
      </c>
    </row>
    <row r="203" customFormat="false" ht="15" hidden="false" customHeight="false" outlineLevel="0" collapsed="false">
      <c r="A203" s="10" t="s">
        <v>2544</v>
      </c>
      <c r="B203" s="10" t="s">
        <v>94</v>
      </c>
      <c r="C203" s="10" t="s">
        <v>49</v>
      </c>
      <c r="D203" s="10" t="s">
        <v>606</v>
      </c>
      <c r="E203" s="10" t="s">
        <v>2342</v>
      </c>
      <c r="F203" s="30" t="n">
        <v>42712</v>
      </c>
      <c r="G203" s="30" t="n">
        <v>42805</v>
      </c>
      <c r="H203" s="26" t="n">
        <f aca="false">G203-F203</f>
        <v>93</v>
      </c>
      <c r="I203" s="10" t="n">
        <f aca="false">IF(E203="Won",1,0)</f>
        <v>1</v>
      </c>
    </row>
    <row r="204" customFormat="false" ht="15" hidden="false" customHeight="false" outlineLevel="0" collapsed="false">
      <c r="A204" s="10" t="s">
        <v>2545</v>
      </c>
      <c r="B204" s="10" t="s">
        <v>76</v>
      </c>
      <c r="C204" s="10" t="s">
        <v>52</v>
      </c>
      <c r="D204" s="10" t="s">
        <v>961</v>
      </c>
      <c r="E204" s="10" t="s">
        <v>2342</v>
      </c>
      <c r="F204" s="30" t="n">
        <v>42696</v>
      </c>
      <c r="G204" s="30" t="n">
        <v>42805</v>
      </c>
      <c r="H204" s="26" t="n">
        <f aca="false">G204-F204</f>
        <v>109</v>
      </c>
      <c r="I204" s="10" t="n">
        <f aca="false">IF(E204="Won",1,0)</f>
        <v>1</v>
      </c>
    </row>
    <row r="205" customFormat="false" ht="15" hidden="false" customHeight="false" outlineLevel="0" collapsed="false">
      <c r="A205" s="10" t="s">
        <v>2546</v>
      </c>
      <c r="B205" s="10" t="s">
        <v>80</v>
      </c>
      <c r="C205" s="10" t="s">
        <v>52</v>
      </c>
      <c r="D205" s="10" t="s">
        <v>267</v>
      </c>
      <c r="E205" s="10" t="s">
        <v>2342</v>
      </c>
      <c r="F205" s="30" t="n">
        <v>42711</v>
      </c>
      <c r="G205" s="30" t="n">
        <v>42805</v>
      </c>
      <c r="H205" s="26" t="n">
        <f aca="false">G205-F205</f>
        <v>94</v>
      </c>
      <c r="I205" s="10" t="n">
        <f aca="false">IF(E205="Won",1,0)</f>
        <v>1</v>
      </c>
    </row>
    <row r="206" customFormat="false" ht="15" hidden="false" customHeight="false" outlineLevel="0" collapsed="false">
      <c r="A206" s="10" t="s">
        <v>2547</v>
      </c>
      <c r="B206" s="10" t="s">
        <v>68</v>
      </c>
      <c r="C206" s="10" t="s">
        <v>49</v>
      </c>
      <c r="D206" s="10" t="s">
        <v>419</v>
      </c>
      <c r="E206" s="10" t="s">
        <v>2342</v>
      </c>
      <c r="F206" s="30" t="n">
        <v>42745</v>
      </c>
      <c r="G206" s="30" t="n">
        <v>42805</v>
      </c>
      <c r="H206" s="26" t="n">
        <f aca="false">G206-F206</f>
        <v>60</v>
      </c>
      <c r="I206" s="10" t="n">
        <f aca="false">IF(E206="Won",1,0)</f>
        <v>1</v>
      </c>
    </row>
    <row r="207" customFormat="false" ht="15" hidden="false" customHeight="false" outlineLevel="0" collapsed="false">
      <c r="A207" s="10" t="s">
        <v>2548</v>
      </c>
      <c r="B207" s="10" t="s">
        <v>77</v>
      </c>
      <c r="C207" s="10" t="s">
        <v>48</v>
      </c>
      <c r="D207" s="10" t="s">
        <v>697</v>
      </c>
      <c r="E207" s="10" t="s">
        <v>2342</v>
      </c>
      <c r="F207" s="30" t="n">
        <v>42668</v>
      </c>
      <c r="G207" s="30" t="n">
        <v>42805</v>
      </c>
      <c r="H207" s="26" t="n">
        <f aca="false">G207-F207</f>
        <v>137</v>
      </c>
      <c r="I207" s="10" t="n">
        <f aca="false">IF(E207="Won",1,0)</f>
        <v>1</v>
      </c>
    </row>
    <row r="208" customFormat="false" ht="15" hidden="false" customHeight="false" outlineLevel="0" collapsed="false">
      <c r="A208" s="10" t="s">
        <v>2549</v>
      </c>
      <c r="B208" s="10" t="s">
        <v>67</v>
      </c>
      <c r="C208" s="10" t="s">
        <v>49</v>
      </c>
      <c r="D208" s="10" t="s">
        <v>172</v>
      </c>
      <c r="E208" s="10" t="s">
        <v>2342</v>
      </c>
      <c r="F208" s="30" t="n">
        <v>42790</v>
      </c>
      <c r="G208" s="30" t="n">
        <v>42805</v>
      </c>
      <c r="H208" s="26" t="n">
        <f aca="false">G208-F208</f>
        <v>15</v>
      </c>
      <c r="I208" s="10" t="n">
        <f aca="false">IF(E208="Won",1,0)</f>
        <v>1</v>
      </c>
    </row>
    <row r="209" customFormat="false" ht="15" hidden="false" customHeight="false" outlineLevel="0" collapsed="false">
      <c r="A209" s="10" t="s">
        <v>2550</v>
      </c>
      <c r="B209" s="10" t="s">
        <v>70</v>
      </c>
      <c r="C209" s="10" t="s">
        <v>52</v>
      </c>
      <c r="D209" s="10" t="s">
        <v>606</v>
      </c>
      <c r="E209" s="10" t="s">
        <v>2342</v>
      </c>
      <c r="F209" s="30" t="n">
        <v>42791</v>
      </c>
      <c r="G209" s="30" t="n">
        <v>42805</v>
      </c>
      <c r="H209" s="26" t="n">
        <f aca="false">G209-F209</f>
        <v>14</v>
      </c>
      <c r="I209" s="10" t="n">
        <f aca="false">IF(E209="Won",1,0)</f>
        <v>1</v>
      </c>
    </row>
    <row r="210" customFormat="false" ht="15" hidden="false" customHeight="false" outlineLevel="0" collapsed="false">
      <c r="A210" s="10" t="s">
        <v>2551</v>
      </c>
      <c r="B210" s="10" t="s">
        <v>93</v>
      </c>
      <c r="C210" s="10" t="s">
        <v>51</v>
      </c>
      <c r="D210" s="10" t="s">
        <v>326</v>
      </c>
      <c r="E210" s="10" t="s">
        <v>2342</v>
      </c>
      <c r="F210" s="30" t="n">
        <v>42801</v>
      </c>
      <c r="G210" s="30" t="n">
        <v>42805</v>
      </c>
      <c r="H210" s="26" t="n">
        <f aca="false">G210-F210</f>
        <v>4</v>
      </c>
      <c r="I210" s="10" t="n">
        <f aca="false">IF(E210="Won",1,0)</f>
        <v>1</v>
      </c>
    </row>
    <row r="211" customFormat="false" ht="15" hidden="false" customHeight="false" outlineLevel="0" collapsed="false">
      <c r="A211" s="10" t="s">
        <v>2552</v>
      </c>
      <c r="B211" s="10" t="s">
        <v>61</v>
      </c>
      <c r="C211" s="10" t="s">
        <v>48</v>
      </c>
      <c r="D211" s="10" t="s">
        <v>637</v>
      </c>
      <c r="E211" s="10" t="s">
        <v>2342</v>
      </c>
      <c r="F211" s="30" t="n">
        <v>42716</v>
      </c>
      <c r="G211" s="30" t="n">
        <v>42805</v>
      </c>
      <c r="H211" s="26" t="n">
        <f aca="false">G211-F211</f>
        <v>89</v>
      </c>
      <c r="I211" s="10" t="n">
        <f aca="false">IF(E211="Won",1,0)</f>
        <v>1</v>
      </c>
    </row>
    <row r="212" customFormat="false" ht="15" hidden="false" customHeight="false" outlineLevel="0" collapsed="false">
      <c r="A212" s="10" t="s">
        <v>2553</v>
      </c>
      <c r="B212" s="10" t="s">
        <v>69</v>
      </c>
      <c r="C212" s="10" t="s">
        <v>51</v>
      </c>
      <c r="D212" s="10" t="s">
        <v>175</v>
      </c>
      <c r="E212" s="10" t="s">
        <v>2345</v>
      </c>
      <c r="F212" s="30" t="n">
        <v>42690</v>
      </c>
      <c r="G212" s="30" t="n">
        <v>42805</v>
      </c>
      <c r="H212" s="26" t="n">
        <f aca="false">G212-F212</f>
        <v>115</v>
      </c>
      <c r="I212" s="10" t="n">
        <f aca="false">IF(E212="Won",1,0)</f>
        <v>0</v>
      </c>
    </row>
    <row r="213" customFormat="false" ht="15" hidden="false" customHeight="false" outlineLevel="0" collapsed="false">
      <c r="A213" s="10" t="s">
        <v>2554</v>
      </c>
      <c r="B213" s="10" t="s">
        <v>68</v>
      </c>
      <c r="C213" s="10" t="s">
        <v>50</v>
      </c>
      <c r="D213" s="10" t="s">
        <v>506</v>
      </c>
      <c r="E213" s="10" t="s">
        <v>2342</v>
      </c>
      <c r="F213" s="30" t="n">
        <v>42715</v>
      </c>
      <c r="G213" s="30" t="n">
        <v>42805</v>
      </c>
      <c r="H213" s="26" t="n">
        <f aca="false">G213-F213</f>
        <v>90</v>
      </c>
      <c r="I213" s="10" t="n">
        <f aca="false">IF(E213="Won",1,0)</f>
        <v>1</v>
      </c>
    </row>
    <row r="214" customFormat="false" ht="15" hidden="false" customHeight="false" outlineLevel="0" collapsed="false">
      <c r="A214" s="10" t="s">
        <v>2555</v>
      </c>
      <c r="B214" s="10" t="s">
        <v>94</v>
      </c>
      <c r="C214" s="10" t="s">
        <v>52</v>
      </c>
      <c r="D214" s="10" t="s">
        <v>313</v>
      </c>
      <c r="E214" s="10" t="s">
        <v>2342</v>
      </c>
      <c r="F214" s="30" t="n">
        <v>42791</v>
      </c>
      <c r="G214" s="30" t="n">
        <v>42805</v>
      </c>
      <c r="H214" s="26" t="n">
        <f aca="false">G214-F214</f>
        <v>14</v>
      </c>
      <c r="I214" s="10" t="n">
        <f aca="false">IF(E214="Won",1,0)</f>
        <v>1</v>
      </c>
    </row>
    <row r="215" customFormat="false" ht="15" hidden="false" customHeight="false" outlineLevel="0" collapsed="false">
      <c r="A215" s="10" t="s">
        <v>2556</v>
      </c>
      <c r="B215" s="10" t="s">
        <v>62</v>
      </c>
      <c r="C215" s="10" t="s">
        <v>47</v>
      </c>
      <c r="D215" s="10" t="s">
        <v>350</v>
      </c>
      <c r="E215" s="10" t="s">
        <v>2345</v>
      </c>
      <c r="F215" s="30" t="n">
        <v>42684</v>
      </c>
      <c r="G215" s="30" t="n">
        <v>42805</v>
      </c>
      <c r="H215" s="26" t="n">
        <f aca="false">G215-F215</f>
        <v>121</v>
      </c>
      <c r="I215" s="10" t="n">
        <f aca="false">IF(E215="Won",1,0)</f>
        <v>0</v>
      </c>
    </row>
    <row r="216" customFormat="false" ht="15" hidden="false" customHeight="false" outlineLevel="0" collapsed="false">
      <c r="A216" s="10" t="s">
        <v>2557</v>
      </c>
      <c r="B216" s="10" t="s">
        <v>94</v>
      </c>
      <c r="C216" s="10" t="s">
        <v>51</v>
      </c>
      <c r="D216" s="10" t="s">
        <v>168</v>
      </c>
      <c r="E216" s="10" t="s">
        <v>2342</v>
      </c>
      <c r="F216" s="30" t="n">
        <v>42789</v>
      </c>
      <c r="G216" s="30" t="n">
        <v>42805</v>
      </c>
      <c r="H216" s="26" t="n">
        <f aca="false">G216-F216</f>
        <v>16</v>
      </c>
      <c r="I216" s="10" t="n">
        <f aca="false">IF(E216="Won",1,0)</f>
        <v>1</v>
      </c>
    </row>
    <row r="217" customFormat="false" ht="15" hidden="false" customHeight="false" outlineLevel="0" collapsed="false">
      <c r="A217" s="10" t="s">
        <v>2558</v>
      </c>
      <c r="B217" s="10" t="s">
        <v>74</v>
      </c>
      <c r="C217" s="10" t="s">
        <v>49</v>
      </c>
      <c r="D217" s="10" t="s">
        <v>414</v>
      </c>
      <c r="E217" s="10" t="s">
        <v>2345</v>
      </c>
      <c r="F217" s="30" t="n">
        <v>42755</v>
      </c>
      <c r="G217" s="30" t="n">
        <v>42805</v>
      </c>
      <c r="H217" s="26" t="n">
        <f aca="false">G217-F217</f>
        <v>50</v>
      </c>
      <c r="I217" s="10" t="n">
        <f aca="false">IF(E217="Won",1,0)</f>
        <v>0</v>
      </c>
    </row>
    <row r="218" customFormat="false" ht="15" hidden="false" customHeight="false" outlineLevel="0" collapsed="false">
      <c r="A218" s="10" t="s">
        <v>2559</v>
      </c>
      <c r="B218" s="10" t="s">
        <v>97</v>
      </c>
      <c r="C218" s="10" t="s">
        <v>47</v>
      </c>
      <c r="D218" s="10" t="s">
        <v>986</v>
      </c>
      <c r="E218" s="10" t="s">
        <v>2342</v>
      </c>
      <c r="F218" s="30" t="n">
        <v>42701</v>
      </c>
      <c r="G218" s="30" t="n">
        <v>42805</v>
      </c>
      <c r="H218" s="26" t="n">
        <f aca="false">G218-F218</f>
        <v>104</v>
      </c>
      <c r="I218" s="10" t="n">
        <f aca="false">IF(E218="Won",1,0)</f>
        <v>1</v>
      </c>
    </row>
    <row r="219" customFormat="false" ht="15" hidden="false" customHeight="false" outlineLevel="0" collapsed="false">
      <c r="A219" s="10" t="s">
        <v>2560</v>
      </c>
      <c r="B219" s="10" t="s">
        <v>94</v>
      </c>
      <c r="C219" s="10" t="s">
        <v>51</v>
      </c>
      <c r="D219" s="10" t="s">
        <v>303</v>
      </c>
      <c r="E219" s="10" t="s">
        <v>2342</v>
      </c>
      <c r="F219" s="30" t="n">
        <v>42802</v>
      </c>
      <c r="G219" s="30" t="n">
        <v>42805</v>
      </c>
      <c r="H219" s="26" t="n">
        <f aca="false">G219-F219</f>
        <v>3</v>
      </c>
      <c r="I219" s="10" t="n">
        <f aca="false">IF(E219="Won",1,0)</f>
        <v>1</v>
      </c>
    </row>
    <row r="220" customFormat="false" ht="15" hidden="false" customHeight="false" outlineLevel="0" collapsed="false">
      <c r="A220" s="10" t="s">
        <v>2561</v>
      </c>
      <c r="B220" s="10" t="s">
        <v>62</v>
      </c>
      <c r="C220" s="10" t="s">
        <v>50</v>
      </c>
      <c r="D220" s="10" t="s">
        <v>455</v>
      </c>
      <c r="E220" s="10" t="s">
        <v>2342</v>
      </c>
      <c r="F220" s="30" t="n">
        <v>42681</v>
      </c>
      <c r="G220" s="30" t="n">
        <v>42805</v>
      </c>
      <c r="H220" s="26" t="n">
        <f aca="false">G220-F220</f>
        <v>124</v>
      </c>
      <c r="I220" s="10" t="n">
        <f aca="false">IF(E220="Won",1,0)</f>
        <v>1</v>
      </c>
    </row>
    <row r="221" customFormat="false" ht="15" hidden="false" customHeight="false" outlineLevel="0" collapsed="false">
      <c r="A221" s="10" t="s">
        <v>2562</v>
      </c>
      <c r="B221" s="10" t="s">
        <v>81</v>
      </c>
      <c r="C221" s="10" t="s">
        <v>50</v>
      </c>
      <c r="D221" s="10" t="s">
        <v>369</v>
      </c>
      <c r="E221" s="10" t="s">
        <v>2345</v>
      </c>
      <c r="F221" s="30" t="n">
        <v>42723</v>
      </c>
      <c r="G221" s="30" t="n">
        <v>42806</v>
      </c>
      <c r="H221" s="26" t="n">
        <f aca="false">G221-F221</f>
        <v>83</v>
      </c>
      <c r="I221" s="10" t="n">
        <f aca="false">IF(E221="Won",1,0)</f>
        <v>0</v>
      </c>
    </row>
    <row r="222" customFormat="false" ht="15" hidden="false" customHeight="false" outlineLevel="0" collapsed="false">
      <c r="A222" s="10" t="s">
        <v>2563</v>
      </c>
      <c r="B222" s="10" t="s">
        <v>70</v>
      </c>
      <c r="C222" s="10" t="s">
        <v>49</v>
      </c>
      <c r="D222" s="10" t="s">
        <v>175</v>
      </c>
      <c r="E222" s="10" t="s">
        <v>2342</v>
      </c>
      <c r="F222" s="30" t="n">
        <v>42739</v>
      </c>
      <c r="G222" s="30" t="n">
        <v>42806</v>
      </c>
      <c r="H222" s="26" t="n">
        <f aca="false">G222-F222</f>
        <v>67</v>
      </c>
      <c r="I222" s="10" t="n">
        <f aca="false">IF(E222="Won",1,0)</f>
        <v>1</v>
      </c>
    </row>
    <row r="223" customFormat="false" ht="15" hidden="false" customHeight="false" outlineLevel="0" collapsed="false">
      <c r="A223" s="10" t="s">
        <v>2564</v>
      </c>
      <c r="B223" s="10" t="s">
        <v>88</v>
      </c>
      <c r="C223" s="10" t="s">
        <v>51</v>
      </c>
      <c r="D223" s="10" t="s">
        <v>637</v>
      </c>
      <c r="E223" s="10" t="s">
        <v>2342</v>
      </c>
      <c r="F223" s="30" t="n">
        <v>42724</v>
      </c>
      <c r="G223" s="30" t="n">
        <v>42806</v>
      </c>
      <c r="H223" s="26" t="n">
        <f aca="false">G223-F223</f>
        <v>82</v>
      </c>
      <c r="I223" s="10" t="n">
        <f aca="false">IF(E223="Won",1,0)</f>
        <v>1</v>
      </c>
    </row>
    <row r="224" customFormat="false" ht="15" hidden="false" customHeight="false" outlineLevel="0" collapsed="false">
      <c r="A224" s="10" t="s">
        <v>2565</v>
      </c>
      <c r="B224" s="10" t="s">
        <v>96</v>
      </c>
      <c r="C224" s="10" t="s">
        <v>50</v>
      </c>
      <c r="D224" s="10" t="s">
        <v>483</v>
      </c>
      <c r="E224" s="10" t="s">
        <v>2345</v>
      </c>
      <c r="F224" s="30" t="n">
        <v>42745</v>
      </c>
      <c r="G224" s="30" t="n">
        <v>42806</v>
      </c>
      <c r="H224" s="26" t="n">
        <f aca="false">G224-F224</f>
        <v>61</v>
      </c>
      <c r="I224" s="10" t="n">
        <f aca="false">IF(E224="Won",1,0)</f>
        <v>0</v>
      </c>
    </row>
    <row r="225" customFormat="false" ht="15" hidden="false" customHeight="false" outlineLevel="0" collapsed="false">
      <c r="A225" s="10" t="s">
        <v>2566</v>
      </c>
      <c r="B225" s="10" t="s">
        <v>77</v>
      </c>
      <c r="C225" s="10" t="s">
        <v>51</v>
      </c>
      <c r="D225" s="10" t="s">
        <v>388</v>
      </c>
      <c r="E225" s="10" t="s">
        <v>2342</v>
      </c>
      <c r="F225" s="30" t="n">
        <v>42795</v>
      </c>
      <c r="G225" s="30" t="n">
        <v>42806</v>
      </c>
      <c r="H225" s="26" t="n">
        <f aca="false">G225-F225</f>
        <v>11</v>
      </c>
      <c r="I225" s="10" t="n">
        <f aca="false">IF(E225="Won",1,0)</f>
        <v>1</v>
      </c>
    </row>
    <row r="226" customFormat="false" ht="15" hidden="false" customHeight="false" outlineLevel="0" collapsed="false">
      <c r="A226" s="10" t="s">
        <v>2567</v>
      </c>
      <c r="B226" s="10" t="s">
        <v>77</v>
      </c>
      <c r="C226" s="10" t="s">
        <v>51</v>
      </c>
      <c r="D226" s="10" t="s">
        <v>512</v>
      </c>
      <c r="E226" s="10" t="s">
        <v>2345</v>
      </c>
      <c r="F226" s="30" t="n">
        <v>42707</v>
      </c>
      <c r="G226" s="30" t="n">
        <v>42806</v>
      </c>
      <c r="H226" s="26" t="n">
        <f aca="false">G226-F226</f>
        <v>99</v>
      </c>
      <c r="I226" s="10" t="n">
        <f aca="false">IF(E226="Won",1,0)</f>
        <v>0</v>
      </c>
    </row>
    <row r="227" customFormat="false" ht="15" hidden="false" customHeight="false" outlineLevel="0" collapsed="false">
      <c r="A227" s="10" t="s">
        <v>2568</v>
      </c>
      <c r="B227" s="10" t="s">
        <v>74</v>
      </c>
      <c r="C227" s="10" t="s">
        <v>49</v>
      </c>
      <c r="D227" s="10" t="s">
        <v>536</v>
      </c>
      <c r="E227" s="10" t="s">
        <v>2342</v>
      </c>
      <c r="F227" s="30" t="n">
        <v>42746</v>
      </c>
      <c r="G227" s="30" t="n">
        <v>42806</v>
      </c>
      <c r="H227" s="26" t="n">
        <f aca="false">G227-F227</f>
        <v>60</v>
      </c>
      <c r="I227" s="10" t="n">
        <f aca="false">IF(E227="Won",1,0)</f>
        <v>1</v>
      </c>
    </row>
    <row r="228" customFormat="false" ht="15" hidden="false" customHeight="false" outlineLevel="0" collapsed="false">
      <c r="A228" s="10" t="s">
        <v>2569</v>
      </c>
      <c r="B228" s="10" t="s">
        <v>90</v>
      </c>
      <c r="C228" s="10" t="s">
        <v>52</v>
      </c>
      <c r="D228" s="10" t="s">
        <v>453</v>
      </c>
      <c r="E228" s="10" t="s">
        <v>2342</v>
      </c>
      <c r="F228" s="30" t="n">
        <v>42700</v>
      </c>
      <c r="G228" s="30" t="n">
        <v>42806</v>
      </c>
      <c r="H228" s="26" t="n">
        <f aca="false">G228-F228</f>
        <v>106</v>
      </c>
      <c r="I228" s="10" t="n">
        <f aca="false">IF(E228="Won",1,0)</f>
        <v>1</v>
      </c>
    </row>
    <row r="229" customFormat="false" ht="15" hidden="false" customHeight="false" outlineLevel="0" collapsed="false">
      <c r="A229" s="10" t="s">
        <v>2570</v>
      </c>
      <c r="B229" s="10" t="s">
        <v>77</v>
      </c>
      <c r="C229" s="10" t="s">
        <v>47</v>
      </c>
      <c r="D229" s="10" t="s">
        <v>524</v>
      </c>
      <c r="E229" s="10" t="s">
        <v>2342</v>
      </c>
      <c r="F229" s="30" t="n">
        <v>42708</v>
      </c>
      <c r="G229" s="30" t="n">
        <v>42806</v>
      </c>
      <c r="H229" s="26" t="n">
        <f aca="false">G229-F229</f>
        <v>98</v>
      </c>
      <c r="I229" s="10" t="n">
        <f aca="false">IF(E229="Won",1,0)</f>
        <v>1</v>
      </c>
    </row>
    <row r="230" customFormat="false" ht="15" hidden="false" customHeight="false" outlineLevel="0" collapsed="false">
      <c r="A230" s="10" t="s">
        <v>2571</v>
      </c>
      <c r="B230" s="10" t="s">
        <v>71</v>
      </c>
      <c r="C230" s="10" t="s">
        <v>51</v>
      </c>
      <c r="D230" s="10" t="s">
        <v>353</v>
      </c>
      <c r="E230" s="10" t="s">
        <v>2342</v>
      </c>
      <c r="F230" s="30" t="n">
        <v>42796</v>
      </c>
      <c r="G230" s="30" t="n">
        <v>42806</v>
      </c>
      <c r="H230" s="26" t="n">
        <f aca="false">G230-F230</f>
        <v>10</v>
      </c>
      <c r="I230" s="10" t="n">
        <f aca="false">IF(E230="Won",1,0)</f>
        <v>1</v>
      </c>
    </row>
    <row r="231" customFormat="false" ht="15" hidden="false" customHeight="false" outlineLevel="0" collapsed="false">
      <c r="A231" s="10" t="s">
        <v>2572</v>
      </c>
      <c r="B231" s="10" t="s">
        <v>94</v>
      </c>
      <c r="C231" s="10" t="s">
        <v>51</v>
      </c>
      <c r="D231" s="10" t="s">
        <v>437</v>
      </c>
      <c r="E231" s="10" t="s">
        <v>2345</v>
      </c>
      <c r="F231" s="30" t="n">
        <v>42791</v>
      </c>
      <c r="G231" s="30" t="n">
        <v>42806</v>
      </c>
      <c r="H231" s="26" t="n">
        <f aca="false">G231-F231</f>
        <v>15</v>
      </c>
      <c r="I231" s="10" t="n">
        <f aca="false">IF(E231="Won",1,0)</f>
        <v>0</v>
      </c>
    </row>
    <row r="232" customFormat="false" ht="15" hidden="false" customHeight="false" outlineLevel="0" collapsed="false">
      <c r="A232" s="10" t="s">
        <v>2573</v>
      </c>
      <c r="B232" s="10" t="s">
        <v>86</v>
      </c>
      <c r="C232" s="10" t="s">
        <v>49</v>
      </c>
      <c r="D232" s="10" t="s">
        <v>254</v>
      </c>
      <c r="E232" s="10" t="s">
        <v>2342</v>
      </c>
      <c r="F232" s="30" t="n">
        <v>42738</v>
      </c>
      <c r="G232" s="30" t="n">
        <v>42806</v>
      </c>
      <c r="H232" s="26" t="n">
        <f aca="false">G232-F232</f>
        <v>68</v>
      </c>
      <c r="I232" s="10" t="n">
        <f aca="false">IF(E232="Won",1,0)</f>
        <v>1</v>
      </c>
    </row>
    <row r="233" customFormat="false" ht="15" hidden="false" customHeight="false" outlineLevel="0" collapsed="false">
      <c r="A233" s="10" t="s">
        <v>2574</v>
      </c>
      <c r="B233" s="10" t="s">
        <v>76</v>
      </c>
      <c r="C233" s="10" t="s">
        <v>52</v>
      </c>
      <c r="D233" s="10" t="s">
        <v>422</v>
      </c>
      <c r="E233" s="10" t="s">
        <v>2342</v>
      </c>
      <c r="F233" s="30" t="n">
        <v>42684</v>
      </c>
      <c r="G233" s="30" t="n">
        <v>42806</v>
      </c>
      <c r="H233" s="26" t="n">
        <f aca="false">G233-F233</f>
        <v>122</v>
      </c>
      <c r="I233" s="10" t="n">
        <f aca="false">IF(E233="Won",1,0)</f>
        <v>1</v>
      </c>
    </row>
    <row r="234" customFormat="false" ht="15" hidden="false" customHeight="false" outlineLevel="0" collapsed="false">
      <c r="A234" s="10" t="s">
        <v>2575</v>
      </c>
      <c r="B234" s="10" t="s">
        <v>74</v>
      </c>
      <c r="C234" s="10" t="s">
        <v>50</v>
      </c>
      <c r="D234" s="10" t="s">
        <v>660</v>
      </c>
      <c r="E234" s="10" t="s">
        <v>2342</v>
      </c>
      <c r="F234" s="30" t="n">
        <v>42703</v>
      </c>
      <c r="G234" s="30" t="n">
        <v>42806</v>
      </c>
      <c r="H234" s="26" t="n">
        <f aca="false">G234-F234</f>
        <v>103</v>
      </c>
      <c r="I234" s="10" t="n">
        <f aca="false">IF(E234="Won",1,0)</f>
        <v>1</v>
      </c>
    </row>
    <row r="235" customFormat="false" ht="15" hidden="false" customHeight="false" outlineLevel="0" collapsed="false">
      <c r="A235" s="10" t="s">
        <v>2576</v>
      </c>
      <c r="B235" s="10" t="s">
        <v>93</v>
      </c>
      <c r="C235" s="10" t="s">
        <v>51</v>
      </c>
      <c r="D235" s="10" t="s">
        <v>487</v>
      </c>
      <c r="E235" s="10" t="s">
        <v>2342</v>
      </c>
      <c r="F235" s="30" t="n">
        <v>42769</v>
      </c>
      <c r="G235" s="30" t="n">
        <v>42806</v>
      </c>
      <c r="H235" s="26" t="n">
        <f aca="false">G235-F235</f>
        <v>37</v>
      </c>
      <c r="I235" s="10" t="n">
        <f aca="false">IF(E235="Won",1,0)</f>
        <v>1</v>
      </c>
    </row>
    <row r="236" customFormat="false" ht="15" hidden="false" customHeight="false" outlineLevel="0" collapsed="false">
      <c r="A236" s="10" t="s">
        <v>2577</v>
      </c>
      <c r="B236" s="10" t="s">
        <v>80</v>
      </c>
      <c r="C236" s="10" t="s">
        <v>50</v>
      </c>
      <c r="D236" s="10" t="s">
        <v>414</v>
      </c>
      <c r="E236" s="10" t="s">
        <v>2345</v>
      </c>
      <c r="F236" s="30" t="n">
        <v>42768</v>
      </c>
      <c r="G236" s="30" t="n">
        <v>42806</v>
      </c>
      <c r="H236" s="26" t="n">
        <f aca="false">G236-F236</f>
        <v>38</v>
      </c>
      <c r="I236" s="10" t="n">
        <f aca="false">IF(E236="Won",1,0)</f>
        <v>0</v>
      </c>
    </row>
    <row r="237" customFormat="false" ht="15" hidden="false" customHeight="false" outlineLevel="0" collapsed="false">
      <c r="A237" s="10" t="s">
        <v>2578</v>
      </c>
      <c r="B237" s="10" t="s">
        <v>86</v>
      </c>
      <c r="C237" s="10" t="s">
        <v>51</v>
      </c>
      <c r="D237" s="10" t="s">
        <v>1334</v>
      </c>
      <c r="E237" s="10" t="s">
        <v>2342</v>
      </c>
      <c r="F237" s="30" t="n">
        <v>42789</v>
      </c>
      <c r="G237" s="30" t="n">
        <v>42806</v>
      </c>
      <c r="H237" s="26" t="n">
        <f aca="false">G237-F237</f>
        <v>17</v>
      </c>
      <c r="I237" s="10" t="n">
        <f aca="false">IF(E237="Won",1,0)</f>
        <v>1</v>
      </c>
    </row>
    <row r="238" customFormat="false" ht="15" hidden="false" customHeight="false" outlineLevel="0" collapsed="false">
      <c r="A238" s="10" t="s">
        <v>2579</v>
      </c>
      <c r="B238" s="10" t="s">
        <v>61</v>
      </c>
      <c r="C238" s="10" t="s">
        <v>49</v>
      </c>
      <c r="D238" s="10" t="s">
        <v>453</v>
      </c>
      <c r="E238" s="10" t="s">
        <v>2342</v>
      </c>
      <c r="F238" s="30" t="n">
        <v>42798</v>
      </c>
      <c r="G238" s="30" t="n">
        <v>42806</v>
      </c>
      <c r="H238" s="26" t="n">
        <f aca="false">G238-F238</f>
        <v>8</v>
      </c>
      <c r="I238" s="10" t="n">
        <f aca="false">IF(E238="Won",1,0)</f>
        <v>1</v>
      </c>
    </row>
    <row r="239" customFormat="false" ht="15" hidden="false" customHeight="false" outlineLevel="0" collapsed="false">
      <c r="A239" s="10" t="s">
        <v>2580</v>
      </c>
      <c r="B239" s="10" t="s">
        <v>80</v>
      </c>
      <c r="C239" s="10" t="s">
        <v>51</v>
      </c>
      <c r="D239" s="10" t="s">
        <v>410</v>
      </c>
      <c r="E239" s="10" t="s">
        <v>2342</v>
      </c>
      <c r="F239" s="30" t="n">
        <v>42727</v>
      </c>
      <c r="G239" s="30" t="n">
        <v>42806</v>
      </c>
      <c r="H239" s="26" t="n">
        <f aca="false">G239-F239</f>
        <v>79</v>
      </c>
      <c r="I239" s="10" t="n">
        <f aca="false">IF(E239="Won",1,0)</f>
        <v>1</v>
      </c>
    </row>
    <row r="240" customFormat="false" ht="15" hidden="false" customHeight="false" outlineLevel="0" collapsed="false">
      <c r="A240" s="10" t="s">
        <v>2581</v>
      </c>
      <c r="B240" s="10" t="s">
        <v>88</v>
      </c>
      <c r="C240" s="10" t="s">
        <v>51</v>
      </c>
      <c r="D240" s="10" t="s">
        <v>293</v>
      </c>
      <c r="E240" s="10" t="s">
        <v>2342</v>
      </c>
      <c r="F240" s="30" t="n">
        <v>42721</v>
      </c>
      <c r="G240" s="30" t="n">
        <v>42806</v>
      </c>
      <c r="H240" s="26" t="n">
        <f aca="false">G240-F240</f>
        <v>85</v>
      </c>
      <c r="I240" s="10" t="n">
        <f aca="false">IF(E240="Won",1,0)</f>
        <v>1</v>
      </c>
    </row>
    <row r="241" customFormat="false" ht="15" hidden="false" customHeight="false" outlineLevel="0" collapsed="false">
      <c r="A241" s="10" t="s">
        <v>2582</v>
      </c>
      <c r="B241" s="10" t="s">
        <v>66</v>
      </c>
      <c r="C241" s="10" t="s">
        <v>49</v>
      </c>
      <c r="D241" s="10" t="s">
        <v>437</v>
      </c>
      <c r="E241" s="10" t="s">
        <v>2342</v>
      </c>
      <c r="F241" s="30" t="n">
        <v>42764</v>
      </c>
      <c r="G241" s="30" t="n">
        <v>42806</v>
      </c>
      <c r="H241" s="26" t="n">
        <f aca="false">G241-F241</f>
        <v>42</v>
      </c>
      <c r="I241" s="10" t="n">
        <f aca="false">IF(E241="Won",1,0)</f>
        <v>1</v>
      </c>
    </row>
    <row r="242" customFormat="false" ht="15" hidden="false" customHeight="false" outlineLevel="0" collapsed="false">
      <c r="A242" s="10" t="s">
        <v>2583</v>
      </c>
      <c r="B242" s="10" t="s">
        <v>79</v>
      </c>
      <c r="C242" s="10" t="s">
        <v>52</v>
      </c>
      <c r="D242" s="10" t="s">
        <v>1948</v>
      </c>
      <c r="E242" s="10" t="s">
        <v>2342</v>
      </c>
      <c r="F242" s="30" t="n">
        <v>42711</v>
      </c>
      <c r="G242" s="30" t="n">
        <v>42806</v>
      </c>
      <c r="H242" s="26" t="n">
        <f aca="false">G242-F242</f>
        <v>95</v>
      </c>
      <c r="I242" s="10" t="n">
        <f aca="false">IF(E242="Won",1,0)</f>
        <v>1</v>
      </c>
    </row>
    <row r="243" customFormat="false" ht="15" hidden="false" customHeight="false" outlineLevel="0" collapsed="false">
      <c r="A243" s="10" t="s">
        <v>2584</v>
      </c>
      <c r="B243" s="10" t="s">
        <v>74</v>
      </c>
      <c r="C243" s="10" t="s">
        <v>51</v>
      </c>
      <c r="D243" s="10" t="s">
        <v>961</v>
      </c>
      <c r="E243" s="10" t="s">
        <v>2342</v>
      </c>
      <c r="F243" s="30" t="n">
        <v>42710</v>
      </c>
      <c r="G243" s="30" t="n">
        <v>42806</v>
      </c>
      <c r="H243" s="26" t="n">
        <f aca="false">G243-F243</f>
        <v>96</v>
      </c>
      <c r="I243" s="10" t="n">
        <f aca="false">IF(E243="Won",1,0)</f>
        <v>1</v>
      </c>
    </row>
    <row r="244" customFormat="false" ht="15" hidden="false" customHeight="false" outlineLevel="0" collapsed="false">
      <c r="A244" s="10" t="s">
        <v>2585</v>
      </c>
      <c r="B244" s="10" t="s">
        <v>70</v>
      </c>
      <c r="C244" s="10" t="s">
        <v>49</v>
      </c>
      <c r="D244" s="10" t="s">
        <v>487</v>
      </c>
      <c r="E244" s="10" t="s">
        <v>2342</v>
      </c>
      <c r="F244" s="30" t="n">
        <v>42732</v>
      </c>
      <c r="G244" s="30" t="n">
        <v>42807</v>
      </c>
      <c r="H244" s="26" t="n">
        <f aca="false">G244-F244</f>
        <v>75</v>
      </c>
      <c r="I244" s="10" t="n">
        <f aca="false">IF(E244="Won",1,0)</f>
        <v>1</v>
      </c>
    </row>
    <row r="245" customFormat="false" ht="15" hidden="false" customHeight="false" outlineLevel="0" collapsed="false">
      <c r="A245" s="10" t="s">
        <v>2586</v>
      </c>
      <c r="B245" s="10" t="s">
        <v>77</v>
      </c>
      <c r="C245" s="10" t="s">
        <v>47</v>
      </c>
      <c r="D245" s="10" t="s">
        <v>697</v>
      </c>
      <c r="E245" s="10" t="s">
        <v>2342</v>
      </c>
      <c r="F245" s="30" t="n">
        <v>42729</v>
      </c>
      <c r="G245" s="30" t="n">
        <v>42807</v>
      </c>
      <c r="H245" s="26" t="n">
        <f aca="false">G245-F245</f>
        <v>78</v>
      </c>
      <c r="I245" s="10" t="n">
        <f aca="false">IF(E245="Won",1,0)</f>
        <v>1</v>
      </c>
    </row>
    <row r="246" customFormat="false" ht="15" hidden="false" customHeight="false" outlineLevel="0" collapsed="false">
      <c r="A246" s="10" t="s">
        <v>2587</v>
      </c>
      <c r="B246" s="10" t="s">
        <v>95</v>
      </c>
      <c r="C246" s="10" t="s">
        <v>47</v>
      </c>
      <c r="D246" s="10" t="s">
        <v>286</v>
      </c>
      <c r="E246" s="10" t="s">
        <v>2342</v>
      </c>
      <c r="F246" s="30" t="n">
        <v>42732</v>
      </c>
      <c r="G246" s="30" t="n">
        <v>42807</v>
      </c>
      <c r="H246" s="26" t="n">
        <f aca="false">G246-F246</f>
        <v>75</v>
      </c>
      <c r="I246" s="10" t="n">
        <f aca="false">IF(E246="Won",1,0)</f>
        <v>1</v>
      </c>
    </row>
    <row r="247" customFormat="false" ht="15" hidden="false" customHeight="false" outlineLevel="0" collapsed="false">
      <c r="A247" s="10" t="s">
        <v>2588</v>
      </c>
      <c r="B247" s="10" t="s">
        <v>68</v>
      </c>
      <c r="C247" s="10" t="s">
        <v>51</v>
      </c>
      <c r="D247" s="10" t="s">
        <v>303</v>
      </c>
      <c r="E247" s="10" t="s">
        <v>2342</v>
      </c>
      <c r="F247" s="30" t="n">
        <v>42733</v>
      </c>
      <c r="G247" s="30" t="n">
        <v>42807</v>
      </c>
      <c r="H247" s="26" t="n">
        <f aca="false">G247-F247</f>
        <v>74</v>
      </c>
      <c r="I247" s="10" t="n">
        <f aca="false">IF(E247="Won",1,0)</f>
        <v>1</v>
      </c>
    </row>
    <row r="248" customFormat="false" ht="15" hidden="false" customHeight="false" outlineLevel="0" collapsed="false">
      <c r="A248" s="10" t="s">
        <v>2589</v>
      </c>
      <c r="B248" s="10" t="s">
        <v>79</v>
      </c>
      <c r="C248" s="10" t="s">
        <v>49</v>
      </c>
      <c r="D248" s="10" t="s">
        <v>697</v>
      </c>
      <c r="E248" s="10" t="s">
        <v>2342</v>
      </c>
      <c r="F248" s="30" t="n">
        <v>42727</v>
      </c>
      <c r="G248" s="30" t="n">
        <v>42807</v>
      </c>
      <c r="H248" s="26" t="n">
        <f aca="false">G248-F248</f>
        <v>80</v>
      </c>
      <c r="I248" s="10" t="n">
        <f aca="false">IF(E248="Won",1,0)</f>
        <v>1</v>
      </c>
    </row>
    <row r="249" customFormat="false" ht="15" hidden="false" customHeight="false" outlineLevel="0" collapsed="false">
      <c r="A249" s="10" t="s">
        <v>2590</v>
      </c>
      <c r="B249" s="10" t="s">
        <v>97</v>
      </c>
      <c r="C249" s="10" t="s">
        <v>48</v>
      </c>
      <c r="D249" s="10" t="s">
        <v>419</v>
      </c>
      <c r="E249" s="10" t="s">
        <v>2342</v>
      </c>
      <c r="F249" s="30" t="n">
        <v>42733</v>
      </c>
      <c r="G249" s="30" t="n">
        <v>42807</v>
      </c>
      <c r="H249" s="26" t="n">
        <f aca="false">G249-F249</f>
        <v>74</v>
      </c>
      <c r="I249" s="10" t="n">
        <f aca="false">IF(E249="Won",1,0)</f>
        <v>1</v>
      </c>
    </row>
    <row r="250" customFormat="false" ht="15" hidden="false" customHeight="false" outlineLevel="0" collapsed="false">
      <c r="A250" s="10" t="s">
        <v>2591</v>
      </c>
      <c r="B250" s="10" t="s">
        <v>96</v>
      </c>
      <c r="C250" s="10" t="s">
        <v>50</v>
      </c>
      <c r="D250" s="10" t="s">
        <v>487</v>
      </c>
      <c r="E250" s="10" t="s">
        <v>2342</v>
      </c>
      <c r="F250" s="30" t="n">
        <v>42733</v>
      </c>
      <c r="G250" s="30" t="n">
        <v>42807</v>
      </c>
      <c r="H250" s="26" t="n">
        <f aca="false">G250-F250</f>
        <v>74</v>
      </c>
      <c r="I250" s="10" t="n">
        <f aca="false">IF(E250="Won",1,0)</f>
        <v>1</v>
      </c>
    </row>
    <row r="251" customFormat="false" ht="15" hidden="false" customHeight="false" outlineLevel="0" collapsed="false">
      <c r="A251" s="10" t="s">
        <v>2592</v>
      </c>
      <c r="B251" s="10" t="s">
        <v>62</v>
      </c>
      <c r="C251" s="10" t="s">
        <v>52</v>
      </c>
      <c r="D251" s="10" t="s">
        <v>254</v>
      </c>
      <c r="E251" s="10" t="s">
        <v>2345</v>
      </c>
      <c r="F251" s="30" t="n">
        <v>42751</v>
      </c>
      <c r="G251" s="30" t="n">
        <v>42807</v>
      </c>
      <c r="H251" s="26" t="n">
        <f aca="false">G251-F251</f>
        <v>56</v>
      </c>
      <c r="I251" s="10" t="n">
        <f aca="false">IF(E251="Won",1,0)</f>
        <v>0</v>
      </c>
    </row>
    <row r="252" customFormat="false" ht="15" hidden="false" customHeight="false" outlineLevel="0" collapsed="false">
      <c r="A252" s="10" t="s">
        <v>2593</v>
      </c>
      <c r="B252" s="10" t="s">
        <v>96</v>
      </c>
      <c r="C252" s="10" t="s">
        <v>50</v>
      </c>
      <c r="D252" s="10" t="s">
        <v>487</v>
      </c>
      <c r="E252" s="10" t="s">
        <v>2342</v>
      </c>
      <c r="F252" s="30" t="n">
        <v>42797</v>
      </c>
      <c r="G252" s="30" t="n">
        <v>42807</v>
      </c>
      <c r="H252" s="26" t="n">
        <f aca="false">G252-F252</f>
        <v>10</v>
      </c>
      <c r="I252" s="10" t="n">
        <f aca="false">IF(E252="Won",1,0)</f>
        <v>1</v>
      </c>
    </row>
    <row r="253" customFormat="false" ht="15" hidden="false" customHeight="false" outlineLevel="0" collapsed="false">
      <c r="A253" s="10" t="s">
        <v>2594</v>
      </c>
      <c r="B253" s="10" t="s">
        <v>90</v>
      </c>
      <c r="C253" s="10" t="s">
        <v>50</v>
      </c>
      <c r="D253" s="10" t="s">
        <v>233</v>
      </c>
      <c r="E253" s="10" t="s">
        <v>2342</v>
      </c>
      <c r="F253" s="30" t="n">
        <v>42793</v>
      </c>
      <c r="G253" s="30" t="n">
        <v>42807</v>
      </c>
      <c r="H253" s="26" t="n">
        <f aca="false">G253-F253</f>
        <v>14</v>
      </c>
      <c r="I253" s="10" t="n">
        <f aca="false">IF(E253="Won",1,0)</f>
        <v>1</v>
      </c>
    </row>
    <row r="254" customFormat="false" ht="15" hidden="false" customHeight="false" outlineLevel="0" collapsed="false">
      <c r="A254" s="10" t="s">
        <v>2595</v>
      </c>
      <c r="B254" s="10" t="s">
        <v>75</v>
      </c>
      <c r="C254" s="10" t="s">
        <v>47</v>
      </c>
      <c r="D254" s="10" t="s">
        <v>259</v>
      </c>
      <c r="E254" s="10" t="s">
        <v>2342</v>
      </c>
      <c r="F254" s="30" t="n">
        <v>42801</v>
      </c>
      <c r="G254" s="30" t="n">
        <v>42807</v>
      </c>
      <c r="H254" s="26" t="n">
        <f aca="false">G254-F254</f>
        <v>6</v>
      </c>
      <c r="I254" s="10" t="n">
        <f aca="false">IF(E254="Won",1,0)</f>
        <v>1</v>
      </c>
    </row>
    <row r="255" customFormat="false" ht="15" hidden="false" customHeight="false" outlineLevel="0" collapsed="false">
      <c r="A255" s="10" t="s">
        <v>2596</v>
      </c>
      <c r="B255" s="10" t="s">
        <v>76</v>
      </c>
      <c r="C255" s="10" t="s">
        <v>49</v>
      </c>
      <c r="D255" s="10" t="s">
        <v>961</v>
      </c>
      <c r="E255" s="10" t="s">
        <v>2345</v>
      </c>
      <c r="F255" s="30" t="n">
        <v>42803</v>
      </c>
      <c r="G255" s="30" t="n">
        <v>42807</v>
      </c>
      <c r="H255" s="26" t="n">
        <f aca="false">G255-F255</f>
        <v>4</v>
      </c>
      <c r="I255" s="10" t="n">
        <f aca="false">IF(E255="Won",1,0)</f>
        <v>0</v>
      </c>
    </row>
    <row r="256" customFormat="false" ht="15" hidden="false" customHeight="false" outlineLevel="0" collapsed="false">
      <c r="A256" s="10" t="s">
        <v>2597</v>
      </c>
      <c r="B256" s="10" t="s">
        <v>95</v>
      </c>
      <c r="C256" s="10" t="s">
        <v>50</v>
      </c>
      <c r="D256" s="10" t="s">
        <v>424</v>
      </c>
      <c r="E256" s="10" t="s">
        <v>2342</v>
      </c>
      <c r="F256" s="30" t="n">
        <v>42718</v>
      </c>
      <c r="G256" s="30" t="n">
        <v>42807</v>
      </c>
      <c r="H256" s="26" t="n">
        <f aca="false">G256-F256</f>
        <v>89</v>
      </c>
      <c r="I256" s="10" t="n">
        <f aca="false">IF(E256="Won",1,0)</f>
        <v>1</v>
      </c>
    </row>
    <row r="257" customFormat="false" ht="15" hidden="false" customHeight="false" outlineLevel="0" collapsed="false">
      <c r="A257" s="10" t="s">
        <v>2598</v>
      </c>
      <c r="B257" s="10" t="s">
        <v>84</v>
      </c>
      <c r="C257" s="10" t="s">
        <v>47</v>
      </c>
      <c r="D257" s="10" t="s">
        <v>692</v>
      </c>
      <c r="E257" s="10" t="s">
        <v>2342</v>
      </c>
      <c r="F257" s="30" t="n">
        <v>42792</v>
      </c>
      <c r="G257" s="30" t="n">
        <v>42807</v>
      </c>
      <c r="H257" s="26" t="n">
        <f aca="false">G257-F257</f>
        <v>15</v>
      </c>
      <c r="I257" s="10" t="n">
        <f aca="false">IF(E257="Won",1,0)</f>
        <v>1</v>
      </c>
    </row>
    <row r="258" customFormat="false" ht="15" hidden="false" customHeight="false" outlineLevel="0" collapsed="false">
      <c r="A258" s="10" t="s">
        <v>2599</v>
      </c>
      <c r="B258" s="10" t="s">
        <v>70</v>
      </c>
      <c r="C258" s="10" t="s">
        <v>49</v>
      </c>
      <c r="D258" s="10" t="s">
        <v>172</v>
      </c>
      <c r="E258" s="10" t="s">
        <v>2342</v>
      </c>
      <c r="F258" s="30" t="n">
        <v>42764</v>
      </c>
      <c r="G258" s="30" t="n">
        <v>42807</v>
      </c>
      <c r="H258" s="26" t="n">
        <f aca="false">G258-F258</f>
        <v>43</v>
      </c>
      <c r="I258" s="10" t="n">
        <f aca="false">IF(E258="Won",1,0)</f>
        <v>1</v>
      </c>
    </row>
    <row r="259" customFormat="false" ht="15" hidden="false" customHeight="false" outlineLevel="0" collapsed="false">
      <c r="A259" s="10" t="s">
        <v>2600</v>
      </c>
      <c r="B259" s="10" t="s">
        <v>57</v>
      </c>
      <c r="C259" s="10" t="s">
        <v>50</v>
      </c>
      <c r="D259" s="10" t="s">
        <v>286</v>
      </c>
      <c r="E259" s="10" t="s">
        <v>2342</v>
      </c>
      <c r="F259" s="30" t="n">
        <v>42721</v>
      </c>
      <c r="G259" s="30" t="n">
        <v>42807</v>
      </c>
      <c r="H259" s="26" t="n">
        <f aca="false">G259-F259</f>
        <v>86</v>
      </c>
      <c r="I259" s="10" t="n">
        <f aca="false">IF(E259="Won",1,0)</f>
        <v>1</v>
      </c>
    </row>
    <row r="260" customFormat="false" ht="15" hidden="false" customHeight="false" outlineLevel="0" collapsed="false">
      <c r="A260" s="10" t="s">
        <v>2601</v>
      </c>
      <c r="B260" s="10" t="s">
        <v>75</v>
      </c>
      <c r="C260" s="10" t="s">
        <v>51</v>
      </c>
      <c r="D260" s="10" t="s">
        <v>1948</v>
      </c>
      <c r="E260" s="10" t="s">
        <v>2342</v>
      </c>
      <c r="F260" s="30" t="n">
        <v>42720</v>
      </c>
      <c r="G260" s="30" t="n">
        <v>42807</v>
      </c>
      <c r="H260" s="26" t="n">
        <f aca="false">G260-F260</f>
        <v>87</v>
      </c>
      <c r="I260" s="10" t="n">
        <f aca="false">IF(E260="Won",1,0)</f>
        <v>1</v>
      </c>
    </row>
    <row r="261" customFormat="false" ht="15" hidden="false" customHeight="false" outlineLevel="0" collapsed="false">
      <c r="A261" s="10" t="s">
        <v>2602</v>
      </c>
      <c r="B261" s="10" t="s">
        <v>69</v>
      </c>
      <c r="C261" s="10" t="s">
        <v>52</v>
      </c>
      <c r="D261" s="10" t="s">
        <v>424</v>
      </c>
      <c r="E261" s="10" t="s">
        <v>2345</v>
      </c>
      <c r="F261" s="30" t="n">
        <v>42722</v>
      </c>
      <c r="G261" s="30" t="n">
        <v>42807</v>
      </c>
      <c r="H261" s="26" t="n">
        <f aca="false">G261-F261</f>
        <v>85</v>
      </c>
      <c r="I261" s="10" t="n">
        <f aca="false">IF(E261="Won",1,0)</f>
        <v>0</v>
      </c>
    </row>
    <row r="262" customFormat="false" ht="15" hidden="false" customHeight="false" outlineLevel="0" collapsed="false">
      <c r="A262" s="10" t="s">
        <v>2603</v>
      </c>
      <c r="B262" s="10" t="s">
        <v>86</v>
      </c>
      <c r="C262" s="10" t="s">
        <v>48</v>
      </c>
      <c r="D262" s="10" t="s">
        <v>1118</v>
      </c>
      <c r="E262" s="10" t="s">
        <v>2345</v>
      </c>
      <c r="F262" s="30" t="n">
        <v>42764</v>
      </c>
      <c r="G262" s="30" t="n">
        <v>42807</v>
      </c>
      <c r="H262" s="26" t="n">
        <f aca="false">G262-F262</f>
        <v>43</v>
      </c>
      <c r="I262" s="10" t="n">
        <f aca="false">IF(E262="Won",1,0)</f>
        <v>0</v>
      </c>
    </row>
    <row r="263" customFormat="false" ht="15" hidden="false" customHeight="false" outlineLevel="0" collapsed="false">
      <c r="A263" s="10" t="s">
        <v>2604</v>
      </c>
      <c r="B263" s="10" t="s">
        <v>96</v>
      </c>
      <c r="C263" s="10" t="s">
        <v>50</v>
      </c>
      <c r="D263" s="10" t="s">
        <v>437</v>
      </c>
      <c r="E263" s="10" t="s">
        <v>2342</v>
      </c>
      <c r="F263" s="30" t="n">
        <v>42691</v>
      </c>
      <c r="G263" s="30" t="n">
        <v>42807</v>
      </c>
      <c r="H263" s="26" t="n">
        <f aca="false">G263-F263</f>
        <v>116</v>
      </c>
      <c r="I263" s="10" t="n">
        <f aca="false">IF(E263="Won",1,0)</f>
        <v>1</v>
      </c>
    </row>
    <row r="264" customFormat="false" ht="15" hidden="false" customHeight="false" outlineLevel="0" collapsed="false">
      <c r="A264" s="10" t="s">
        <v>2605</v>
      </c>
      <c r="B264" s="10" t="s">
        <v>66</v>
      </c>
      <c r="C264" s="10" t="s">
        <v>48</v>
      </c>
      <c r="D264" s="10" t="s">
        <v>606</v>
      </c>
      <c r="E264" s="10" t="s">
        <v>2342</v>
      </c>
      <c r="F264" s="30" t="n">
        <v>42800</v>
      </c>
      <c r="G264" s="30" t="n">
        <v>42807</v>
      </c>
      <c r="H264" s="26" t="n">
        <f aca="false">G264-F264</f>
        <v>7</v>
      </c>
      <c r="I264" s="10" t="n">
        <f aca="false">IF(E264="Won",1,0)</f>
        <v>1</v>
      </c>
    </row>
    <row r="265" customFormat="false" ht="15" hidden="false" customHeight="false" outlineLevel="0" collapsed="false">
      <c r="A265" s="10" t="s">
        <v>2606</v>
      </c>
      <c r="B265" s="10" t="s">
        <v>77</v>
      </c>
      <c r="C265" s="10" t="s">
        <v>48</v>
      </c>
      <c r="D265" s="10" t="s">
        <v>279</v>
      </c>
      <c r="E265" s="10" t="s">
        <v>2342</v>
      </c>
      <c r="F265" s="30" t="n">
        <v>42696</v>
      </c>
      <c r="G265" s="30" t="n">
        <v>42808</v>
      </c>
      <c r="H265" s="26" t="n">
        <f aca="false">G265-F265</f>
        <v>112</v>
      </c>
      <c r="I265" s="10" t="n">
        <f aca="false">IF(E265="Won",1,0)</f>
        <v>1</v>
      </c>
    </row>
    <row r="266" customFormat="false" ht="15" hidden="false" customHeight="false" outlineLevel="0" collapsed="false">
      <c r="A266" s="10" t="s">
        <v>2607</v>
      </c>
      <c r="B266" s="10" t="s">
        <v>97</v>
      </c>
      <c r="C266" s="10" t="s">
        <v>47</v>
      </c>
      <c r="D266" s="10" t="s">
        <v>326</v>
      </c>
      <c r="E266" s="10" t="s">
        <v>2342</v>
      </c>
      <c r="F266" s="30" t="n">
        <v>42792</v>
      </c>
      <c r="G266" s="30" t="n">
        <v>42808</v>
      </c>
      <c r="H266" s="26" t="n">
        <f aca="false">G266-F266</f>
        <v>16</v>
      </c>
      <c r="I266" s="10" t="n">
        <f aca="false">IF(E266="Won",1,0)</f>
        <v>1</v>
      </c>
    </row>
    <row r="267" customFormat="false" ht="15" hidden="false" customHeight="false" outlineLevel="0" collapsed="false">
      <c r="A267" s="10" t="s">
        <v>2608</v>
      </c>
      <c r="B267" s="10" t="s">
        <v>94</v>
      </c>
      <c r="C267" s="10" t="s">
        <v>48</v>
      </c>
      <c r="D267" s="10" t="s">
        <v>337</v>
      </c>
      <c r="E267" s="10" t="s">
        <v>2345</v>
      </c>
      <c r="F267" s="30" t="n">
        <v>42788</v>
      </c>
      <c r="G267" s="30" t="n">
        <v>42808</v>
      </c>
      <c r="H267" s="26" t="n">
        <f aca="false">G267-F267</f>
        <v>20</v>
      </c>
      <c r="I267" s="10" t="n">
        <f aca="false">IF(E267="Won",1,0)</f>
        <v>0</v>
      </c>
    </row>
    <row r="268" customFormat="false" ht="15" hidden="false" customHeight="false" outlineLevel="0" collapsed="false">
      <c r="A268" s="10" t="s">
        <v>2609</v>
      </c>
      <c r="B268" s="10" t="s">
        <v>68</v>
      </c>
      <c r="C268" s="10" t="s">
        <v>52</v>
      </c>
      <c r="D268" s="10" t="s">
        <v>432</v>
      </c>
      <c r="E268" s="10" t="s">
        <v>2345</v>
      </c>
      <c r="F268" s="30" t="n">
        <v>42793</v>
      </c>
      <c r="G268" s="30" t="n">
        <v>42808</v>
      </c>
      <c r="H268" s="26" t="n">
        <f aca="false">G268-F268</f>
        <v>15</v>
      </c>
      <c r="I268" s="10" t="n">
        <f aca="false">IF(E268="Won",1,0)</f>
        <v>0</v>
      </c>
    </row>
    <row r="269" customFormat="false" ht="15" hidden="false" customHeight="false" outlineLevel="0" collapsed="false">
      <c r="A269" s="10" t="s">
        <v>2610</v>
      </c>
      <c r="B269" s="10" t="s">
        <v>88</v>
      </c>
      <c r="C269" s="10" t="s">
        <v>47</v>
      </c>
      <c r="D269" s="10" t="s">
        <v>464</v>
      </c>
      <c r="E269" s="10" t="s">
        <v>2342</v>
      </c>
      <c r="F269" s="30" t="n">
        <v>42694</v>
      </c>
      <c r="G269" s="30" t="n">
        <v>42808</v>
      </c>
      <c r="H269" s="26" t="n">
        <f aca="false">G269-F269</f>
        <v>114</v>
      </c>
      <c r="I269" s="10" t="n">
        <f aca="false">IF(E269="Won",1,0)</f>
        <v>1</v>
      </c>
    </row>
    <row r="270" customFormat="false" ht="15" hidden="false" customHeight="false" outlineLevel="0" collapsed="false">
      <c r="A270" s="10" t="s">
        <v>2611</v>
      </c>
      <c r="B270" s="10" t="s">
        <v>77</v>
      </c>
      <c r="C270" s="10" t="s">
        <v>49</v>
      </c>
      <c r="D270" s="10" t="s">
        <v>353</v>
      </c>
      <c r="E270" s="10" t="s">
        <v>2342</v>
      </c>
      <c r="F270" s="30" t="n">
        <v>42690</v>
      </c>
      <c r="G270" s="30" t="n">
        <v>42808</v>
      </c>
      <c r="H270" s="26" t="n">
        <f aca="false">G270-F270</f>
        <v>118</v>
      </c>
      <c r="I270" s="10" t="n">
        <f aca="false">IF(E270="Won",1,0)</f>
        <v>1</v>
      </c>
    </row>
    <row r="271" customFormat="false" ht="15" hidden="false" customHeight="false" outlineLevel="0" collapsed="false">
      <c r="A271" s="10" t="s">
        <v>2612</v>
      </c>
      <c r="B271" s="10" t="s">
        <v>69</v>
      </c>
      <c r="C271" s="10" t="s">
        <v>52</v>
      </c>
      <c r="D271" s="10" t="s">
        <v>175</v>
      </c>
      <c r="E271" s="10" t="s">
        <v>2342</v>
      </c>
      <c r="F271" s="30" t="n">
        <v>42733</v>
      </c>
      <c r="G271" s="30" t="n">
        <v>42808</v>
      </c>
      <c r="H271" s="26" t="n">
        <f aca="false">G271-F271</f>
        <v>75</v>
      </c>
      <c r="I271" s="10" t="n">
        <f aca="false">IF(E271="Won",1,0)</f>
        <v>1</v>
      </c>
    </row>
    <row r="272" customFormat="false" ht="15" hidden="false" customHeight="false" outlineLevel="0" collapsed="false">
      <c r="A272" s="10" t="s">
        <v>2613</v>
      </c>
      <c r="B272" s="10" t="s">
        <v>60</v>
      </c>
      <c r="C272" s="10" t="s">
        <v>50</v>
      </c>
      <c r="D272" s="10" t="s">
        <v>692</v>
      </c>
      <c r="E272" s="10" t="s">
        <v>2342</v>
      </c>
      <c r="F272" s="30" t="n">
        <v>42687</v>
      </c>
      <c r="G272" s="30" t="n">
        <v>42808</v>
      </c>
      <c r="H272" s="26" t="n">
        <f aca="false">G272-F272</f>
        <v>121</v>
      </c>
      <c r="I272" s="10" t="n">
        <f aca="false">IF(E272="Won",1,0)</f>
        <v>1</v>
      </c>
    </row>
    <row r="273" customFormat="false" ht="15" hidden="false" customHeight="false" outlineLevel="0" collapsed="false">
      <c r="A273" s="10" t="s">
        <v>2614</v>
      </c>
      <c r="B273" s="10" t="s">
        <v>76</v>
      </c>
      <c r="C273" s="10" t="s">
        <v>52</v>
      </c>
      <c r="D273" s="10" t="s">
        <v>660</v>
      </c>
      <c r="E273" s="10" t="s">
        <v>2342</v>
      </c>
      <c r="F273" s="30" t="n">
        <v>42706</v>
      </c>
      <c r="G273" s="30" t="n">
        <v>42808</v>
      </c>
      <c r="H273" s="26" t="n">
        <f aca="false">G273-F273</f>
        <v>102</v>
      </c>
      <c r="I273" s="10" t="n">
        <f aca="false">IF(E273="Won",1,0)</f>
        <v>1</v>
      </c>
    </row>
    <row r="274" customFormat="false" ht="15" hidden="false" customHeight="false" outlineLevel="0" collapsed="false">
      <c r="A274" s="10" t="s">
        <v>2615</v>
      </c>
      <c r="B274" s="10" t="s">
        <v>96</v>
      </c>
      <c r="C274" s="10" t="s">
        <v>48</v>
      </c>
      <c r="D274" s="10" t="s">
        <v>168</v>
      </c>
      <c r="E274" s="10" t="s">
        <v>2342</v>
      </c>
      <c r="F274" s="30" t="n">
        <v>42685</v>
      </c>
      <c r="G274" s="30" t="n">
        <v>42808</v>
      </c>
      <c r="H274" s="26" t="n">
        <f aca="false">G274-F274</f>
        <v>123</v>
      </c>
      <c r="I274" s="10" t="n">
        <f aca="false">IF(E274="Won",1,0)</f>
        <v>1</v>
      </c>
    </row>
    <row r="275" customFormat="false" ht="15" hidden="false" customHeight="false" outlineLevel="0" collapsed="false">
      <c r="A275" s="10" t="s">
        <v>2616</v>
      </c>
      <c r="B275" s="10" t="s">
        <v>84</v>
      </c>
      <c r="C275" s="10" t="s">
        <v>49</v>
      </c>
      <c r="D275" s="10" t="s">
        <v>359</v>
      </c>
      <c r="E275" s="10" t="s">
        <v>2342</v>
      </c>
      <c r="F275" s="30" t="n">
        <v>42709</v>
      </c>
      <c r="G275" s="30" t="n">
        <v>42808</v>
      </c>
      <c r="H275" s="26" t="n">
        <f aca="false">G275-F275</f>
        <v>99</v>
      </c>
      <c r="I275" s="10" t="n">
        <f aca="false">IF(E275="Won",1,0)</f>
        <v>1</v>
      </c>
    </row>
    <row r="276" customFormat="false" ht="15" hidden="false" customHeight="false" outlineLevel="0" collapsed="false">
      <c r="A276" s="10" t="s">
        <v>2617</v>
      </c>
      <c r="B276" s="10" t="s">
        <v>87</v>
      </c>
      <c r="C276" s="10" t="s">
        <v>49</v>
      </c>
      <c r="D276" s="10" t="s">
        <v>210</v>
      </c>
      <c r="E276" s="10" t="s">
        <v>2342</v>
      </c>
      <c r="F276" s="30" t="n">
        <v>42799</v>
      </c>
      <c r="G276" s="30" t="n">
        <v>42808</v>
      </c>
      <c r="H276" s="26" t="n">
        <f aca="false">G276-F276</f>
        <v>9</v>
      </c>
      <c r="I276" s="10" t="n">
        <f aca="false">IF(E276="Won",1,0)</f>
        <v>1</v>
      </c>
    </row>
    <row r="277" customFormat="false" ht="15" hidden="false" customHeight="false" outlineLevel="0" collapsed="false">
      <c r="A277" s="10" t="s">
        <v>2618</v>
      </c>
      <c r="B277" s="10" t="s">
        <v>95</v>
      </c>
      <c r="C277" s="10" t="s">
        <v>48</v>
      </c>
      <c r="D277" s="10" t="s">
        <v>326</v>
      </c>
      <c r="E277" s="10" t="s">
        <v>2342</v>
      </c>
      <c r="F277" s="30" t="n">
        <v>42695</v>
      </c>
      <c r="G277" s="30" t="n">
        <v>42808</v>
      </c>
      <c r="H277" s="26" t="n">
        <f aca="false">G277-F277</f>
        <v>113</v>
      </c>
      <c r="I277" s="10" t="n">
        <f aca="false">IF(E277="Won",1,0)</f>
        <v>1</v>
      </c>
    </row>
    <row r="278" customFormat="false" ht="15" hidden="false" customHeight="false" outlineLevel="0" collapsed="false">
      <c r="A278" s="10" t="s">
        <v>2619</v>
      </c>
      <c r="B278" s="10" t="s">
        <v>97</v>
      </c>
      <c r="C278" s="10" t="s">
        <v>48</v>
      </c>
      <c r="D278" s="10" t="s">
        <v>299</v>
      </c>
      <c r="E278" s="10" t="s">
        <v>2342</v>
      </c>
      <c r="F278" s="30" t="n">
        <v>42742</v>
      </c>
      <c r="G278" s="30" t="n">
        <v>42808</v>
      </c>
      <c r="H278" s="26" t="n">
        <f aca="false">G278-F278</f>
        <v>66</v>
      </c>
      <c r="I278" s="10" t="n">
        <f aca="false">IF(E278="Won",1,0)</f>
        <v>1</v>
      </c>
    </row>
    <row r="279" customFormat="false" ht="15" hidden="false" customHeight="false" outlineLevel="0" collapsed="false">
      <c r="A279" s="10" t="s">
        <v>2620</v>
      </c>
      <c r="B279" s="10" t="s">
        <v>97</v>
      </c>
      <c r="C279" s="10" t="s">
        <v>50</v>
      </c>
      <c r="D279" s="10" t="s">
        <v>487</v>
      </c>
      <c r="E279" s="10" t="s">
        <v>2342</v>
      </c>
      <c r="F279" s="30" t="n">
        <v>42744</v>
      </c>
      <c r="G279" s="30" t="n">
        <v>42808</v>
      </c>
      <c r="H279" s="26" t="n">
        <f aca="false">G279-F279</f>
        <v>64</v>
      </c>
      <c r="I279" s="10" t="n">
        <f aca="false">IF(E279="Won",1,0)</f>
        <v>1</v>
      </c>
    </row>
    <row r="280" customFormat="false" ht="15" hidden="false" customHeight="false" outlineLevel="0" collapsed="false">
      <c r="A280" s="10" t="s">
        <v>2621</v>
      </c>
      <c r="B280" s="10" t="s">
        <v>80</v>
      </c>
      <c r="C280" s="10" t="s">
        <v>49</v>
      </c>
      <c r="D280" s="10" t="s">
        <v>388</v>
      </c>
      <c r="E280" s="10" t="s">
        <v>2342</v>
      </c>
      <c r="F280" s="30" t="n">
        <v>42752</v>
      </c>
      <c r="G280" s="30" t="n">
        <v>42808</v>
      </c>
      <c r="H280" s="26" t="n">
        <f aca="false">G280-F280</f>
        <v>56</v>
      </c>
      <c r="I280" s="10" t="n">
        <f aca="false">IF(E280="Won",1,0)</f>
        <v>1</v>
      </c>
    </row>
    <row r="281" customFormat="false" ht="15" hidden="false" customHeight="false" outlineLevel="0" collapsed="false">
      <c r="A281" s="10" t="s">
        <v>2622</v>
      </c>
      <c r="B281" s="10" t="s">
        <v>94</v>
      </c>
      <c r="C281" s="10" t="s">
        <v>51</v>
      </c>
      <c r="D281" s="10" t="s">
        <v>326</v>
      </c>
      <c r="E281" s="10" t="s">
        <v>2342</v>
      </c>
      <c r="F281" s="30" t="n">
        <v>42752</v>
      </c>
      <c r="G281" s="30" t="n">
        <v>42808</v>
      </c>
      <c r="H281" s="26" t="n">
        <f aca="false">G281-F281</f>
        <v>56</v>
      </c>
      <c r="I281" s="10" t="n">
        <f aca="false">IF(E281="Won",1,0)</f>
        <v>1</v>
      </c>
    </row>
    <row r="282" customFormat="false" ht="15" hidden="false" customHeight="false" outlineLevel="0" collapsed="false">
      <c r="A282" s="10" t="s">
        <v>2623</v>
      </c>
      <c r="B282" s="10" t="s">
        <v>97</v>
      </c>
      <c r="C282" s="10" t="s">
        <v>50</v>
      </c>
      <c r="D282" s="10" t="s">
        <v>233</v>
      </c>
      <c r="E282" s="10" t="s">
        <v>2342</v>
      </c>
      <c r="F282" s="30" t="n">
        <v>42789</v>
      </c>
      <c r="G282" s="30" t="n">
        <v>42808</v>
      </c>
      <c r="H282" s="26" t="n">
        <f aca="false">G282-F282</f>
        <v>19</v>
      </c>
      <c r="I282" s="10" t="n">
        <f aca="false">IF(E282="Won",1,0)</f>
        <v>1</v>
      </c>
    </row>
    <row r="283" customFormat="false" ht="15" hidden="false" customHeight="false" outlineLevel="0" collapsed="false">
      <c r="A283" s="10" t="s">
        <v>2624</v>
      </c>
      <c r="B283" s="10" t="s">
        <v>62</v>
      </c>
      <c r="C283" s="10" t="s">
        <v>52</v>
      </c>
      <c r="D283" s="10" t="s">
        <v>185</v>
      </c>
      <c r="E283" s="10" t="s">
        <v>2342</v>
      </c>
      <c r="F283" s="30" t="n">
        <v>42722</v>
      </c>
      <c r="G283" s="30" t="n">
        <v>42808</v>
      </c>
      <c r="H283" s="26" t="n">
        <f aca="false">G283-F283</f>
        <v>86</v>
      </c>
      <c r="I283" s="10" t="n">
        <f aca="false">IF(E283="Won",1,0)</f>
        <v>1</v>
      </c>
    </row>
    <row r="284" customFormat="false" ht="15" hidden="false" customHeight="false" outlineLevel="0" collapsed="false">
      <c r="A284" s="10" t="s">
        <v>2625</v>
      </c>
      <c r="B284" s="10" t="s">
        <v>79</v>
      </c>
      <c r="C284" s="10" t="s">
        <v>47</v>
      </c>
      <c r="D284" s="10" t="s">
        <v>512</v>
      </c>
      <c r="E284" s="10" t="s">
        <v>2342</v>
      </c>
      <c r="F284" s="30" t="n">
        <v>42726</v>
      </c>
      <c r="G284" s="30" t="n">
        <v>42808</v>
      </c>
      <c r="H284" s="26" t="n">
        <f aca="false">G284-F284</f>
        <v>82</v>
      </c>
      <c r="I284" s="10" t="n">
        <f aca="false">IF(E284="Won",1,0)</f>
        <v>1</v>
      </c>
    </row>
    <row r="285" customFormat="false" ht="15" hidden="false" customHeight="false" outlineLevel="0" collapsed="false">
      <c r="A285" s="10" t="s">
        <v>2626</v>
      </c>
      <c r="B285" s="10" t="s">
        <v>96</v>
      </c>
      <c r="C285" s="10" t="s">
        <v>52</v>
      </c>
      <c r="D285" s="10" t="s">
        <v>233</v>
      </c>
      <c r="E285" s="10" t="s">
        <v>2345</v>
      </c>
      <c r="F285" s="30" t="n">
        <v>42722</v>
      </c>
      <c r="G285" s="30" t="n">
        <v>42808</v>
      </c>
      <c r="H285" s="26" t="n">
        <f aca="false">G285-F285</f>
        <v>86</v>
      </c>
      <c r="I285" s="10" t="n">
        <f aca="false">IF(E285="Won",1,0)</f>
        <v>0</v>
      </c>
    </row>
    <row r="286" customFormat="false" ht="15" hidden="false" customHeight="false" outlineLevel="0" collapsed="false">
      <c r="A286" s="10" t="s">
        <v>2627</v>
      </c>
      <c r="B286" s="10" t="s">
        <v>77</v>
      </c>
      <c r="C286" s="10" t="s">
        <v>51</v>
      </c>
      <c r="D286" s="10" t="s">
        <v>369</v>
      </c>
      <c r="E286" s="10" t="s">
        <v>2342</v>
      </c>
      <c r="F286" s="30" t="n">
        <v>42722</v>
      </c>
      <c r="G286" s="30" t="n">
        <v>42808</v>
      </c>
      <c r="H286" s="26" t="n">
        <f aca="false">G286-F286</f>
        <v>86</v>
      </c>
      <c r="I286" s="10" t="n">
        <f aca="false">IF(E286="Won",1,0)</f>
        <v>1</v>
      </c>
    </row>
    <row r="287" customFormat="false" ht="15" hidden="false" customHeight="false" outlineLevel="0" collapsed="false">
      <c r="A287" s="10" t="s">
        <v>2628</v>
      </c>
      <c r="B287" s="10" t="s">
        <v>90</v>
      </c>
      <c r="C287" s="10" t="s">
        <v>51</v>
      </c>
      <c r="D287" s="10" t="s">
        <v>692</v>
      </c>
      <c r="E287" s="10" t="s">
        <v>2342</v>
      </c>
      <c r="F287" s="30" t="n">
        <v>42720</v>
      </c>
      <c r="G287" s="30" t="n">
        <v>42808</v>
      </c>
      <c r="H287" s="26" t="n">
        <f aca="false">G287-F287</f>
        <v>88</v>
      </c>
      <c r="I287" s="10" t="n">
        <f aca="false">IF(E287="Won",1,0)</f>
        <v>1</v>
      </c>
    </row>
    <row r="288" customFormat="false" ht="15" hidden="false" customHeight="false" outlineLevel="0" collapsed="false">
      <c r="A288" s="10" t="s">
        <v>2629</v>
      </c>
      <c r="B288" s="10" t="s">
        <v>94</v>
      </c>
      <c r="C288" s="10" t="s">
        <v>51</v>
      </c>
      <c r="D288" s="10" t="s">
        <v>497</v>
      </c>
      <c r="E288" s="10" t="s">
        <v>2342</v>
      </c>
      <c r="F288" s="30" t="n">
        <v>42769</v>
      </c>
      <c r="G288" s="30" t="n">
        <v>42808</v>
      </c>
      <c r="H288" s="26" t="n">
        <f aca="false">G288-F288</f>
        <v>39</v>
      </c>
      <c r="I288" s="10" t="n">
        <f aca="false">IF(E288="Won",1,0)</f>
        <v>1</v>
      </c>
    </row>
    <row r="289" customFormat="false" ht="15" hidden="false" customHeight="false" outlineLevel="0" collapsed="false">
      <c r="A289" s="10" t="s">
        <v>2630</v>
      </c>
      <c r="B289" s="10" t="s">
        <v>86</v>
      </c>
      <c r="C289" s="10" t="s">
        <v>51</v>
      </c>
      <c r="D289" s="10" t="s">
        <v>616</v>
      </c>
      <c r="E289" s="10" t="s">
        <v>2342</v>
      </c>
      <c r="F289" s="30" t="n">
        <v>42713</v>
      </c>
      <c r="G289" s="30" t="n">
        <v>42808</v>
      </c>
      <c r="H289" s="26" t="n">
        <f aca="false">G289-F289</f>
        <v>95</v>
      </c>
      <c r="I289" s="10" t="n">
        <f aca="false">IF(E289="Won",1,0)</f>
        <v>1</v>
      </c>
    </row>
    <row r="290" customFormat="false" ht="15" hidden="false" customHeight="false" outlineLevel="0" collapsed="false">
      <c r="A290" s="10" t="s">
        <v>2631</v>
      </c>
      <c r="B290" s="10" t="s">
        <v>62</v>
      </c>
      <c r="C290" s="10" t="s">
        <v>52</v>
      </c>
      <c r="D290" s="10" t="s">
        <v>161</v>
      </c>
      <c r="E290" s="10" t="s">
        <v>2342</v>
      </c>
      <c r="F290" s="30" t="n">
        <v>42799</v>
      </c>
      <c r="G290" s="30" t="n">
        <v>42808</v>
      </c>
      <c r="H290" s="26" t="n">
        <f aca="false">G290-F290</f>
        <v>9</v>
      </c>
      <c r="I290" s="10" t="n">
        <f aca="false">IF(E290="Won",1,0)</f>
        <v>1</v>
      </c>
    </row>
    <row r="291" customFormat="false" ht="15" hidden="false" customHeight="false" outlineLevel="0" collapsed="false">
      <c r="A291" s="10" t="s">
        <v>2632</v>
      </c>
      <c r="B291" s="10" t="s">
        <v>95</v>
      </c>
      <c r="C291" s="10" t="s">
        <v>50</v>
      </c>
      <c r="D291" s="10" t="s">
        <v>432</v>
      </c>
      <c r="E291" s="10" t="s">
        <v>2342</v>
      </c>
      <c r="F291" s="30" t="n">
        <v>42718</v>
      </c>
      <c r="G291" s="30" t="n">
        <v>42808</v>
      </c>
      <c r="H291" s="26" t="n">
        <f aca="false">G291-F291</f>
        <v>90</v>
      </c>
      <c r="I291" s="10" t="n">
        <f aca="false">IF(E291="Won",1,0)</f>
        <v>1</v>
      </c>
    </row>
    <row r="292" customFormat="false" ht="15" hidden="false" customHeight="false" outlineLevel="0" collapsed="false">
      <c r="A292" s="10" t="s">
        <v>2633</v>
      </c>
      <c r="B292" s="10" t="s">
        <v>77</v>
      </c>
      <c r="C292" s="10" t="s">
        <v>49</v>
      </c>
      <c r="D292" s="10" t="s">
        <v>259</v>
      </c>
      <c r="E292" s="10" t="s">
        <v>2342</v>
      </c>
      <c r="F292" s="30" t="n">
        <v>42728</v>
      </c>
      <c r="G292" s="30" t="n">
        <v>42808</v>
      </c>
      <c r="H292" s="26" t="n">
        <f aca="false">G292-F292</f>
        <v>80</v>
      </c>
      <c r="I292" s="10" t="n">
        <f aca="false">IF(E292="Won",1,0)</f>
        <v>1</v>
      </c>
    </row>
    <row r="293" customFormat="false" ht="15" hidden="false" customHeight="false" outlineLevel="0" collapsed="false">
      <c r="A293" s="10" t="s">
        <v>2634</v>
      </c>
      <c r="B293" s="10" t="s">
        <v>62</v>
      </c>
      <c r="C293" s="10" t="s">
        <v>49</v>
      </c>
      <c r="D293" s="10" t="s">
        <v>464</v>
      </c>
      <c r="E293" s="10" t="s">
        <v>2342</v>
      </c>
      <c r="F293" s="30" t="n">
        <v>42713</v>
      </c>
      <c r="G293" s="30" t="n">
        <v>42808</v>
      </c>
      <c r="H293" s="26" t="n">
        <f aca="false">G293-F293</f>
        <v>95</v>
      </c>
      <c r="I293" s="10" t="n">
        <f aca="false">IF(E293="Won",1,0)</f>
        <v>1</v>
      </c>
    </row>
    <row r="294" customFormat="false" ht="15" hidden="false" customHeight="false" outlineLevel="0" collapsed="false">
      <c r="A294" s="10" t="s">
        <v>2635</v>
      </c>
      <c r="B294" s="10" t="s">
        <v>57</v>
      </c>
      <c r="C294" s="10" t="s">
        <v>50</v>
      </c>
      <c r="D294" s="10" t="s">
        <v>692</v>
      </c>
      <c r="E294" s="10" t="s">
        <v>2342</v>
      </c>
      <c r="F294" s="30" t="n">
        <v>42713</v>
      </c>
      <c r="G294" s="30" t="n">
        <v>42808</v>
      </c>
      <c r="H294" s="26" t="n">
        <f aca="false">G294-F294</f>
        <v>95</v>
      </c>
      <c r="I294" s="10" t="n">
        <f aca="false">IF(E294="Won",1,0)</f>
        <v>1</v>
      </c>
    </row>
    <row r="295" customFormat="false" ht="15" hidden="false" customHeight="false" outlineLevel="0" collapsed="false">
      <c r="A295" s="10" t="s">
        <v>2636</v>
      </c>
      <c r="B295" s="10" t="s">
        <v>95</v>
      </c>
      <c r="C295" s="10" t="s">
        <v>51</v>
      </c>
      <c r="D295" s="10" t="s">
        <v>384</v>
      </c>
      <c r="E295" s="10" t="s">
        <v>2342</v>
      </c>
      <c r="F295" s="30" t="n">
        <v>42748</v>
      </c>
      <c r="G295" s="30" t="n">
        <v>42808</v>
      </c>
      <c r="H295" s="26" t="n">
        <f aca="false">G295-F295</f>
        <v>60</v>
      </c>
      <c r="I295" s="10" t="n">
        <f aca="false">IF(E295="Won",1,0)</f>
        <v>1</v>
      </c>
    </row>
    <row r="296" customFormat="false" ht="15" hidden="false" customHeight="false" outlineLevel="0" collapsed="false">
      <c r="A296" s="10" t="s">
        <v>2637</v>
      </c>
      <c r="B296" s="10" t="s">
        <v>75</v>
      </c>
      <c r="C296" s="10" t="s">
        <v>51</v>
      </c>
      <c r="D296" s="10" t="s">
        <v>512</v>
      </c>
      <c r="E296" s="10" t="s">
        <v>2342</v>
      </c>
      <c r="F296" s="30" t="n">
        <v>42792</v>
      </c>
      <c r="G296" s="30" t="n">
        <v>42809</v>
      </c>
      <c r="H296" s="26" t="n">
        <f aca="false">G296-F296</f>
        <v>17</v>
      </c>
      <c r="I296" s="10" t="n">
        <f aca="false">IF(E296="Won",1,0)</f>
        <v>1</v>
      </c>
    </row>
    <row r="297" customFormat="false" ht="15" hidden="false" customHeight="false" outlineLevel="0" collapsed="false">
      <c r="A297" s="10" t="s">
        <v>2638</v>
      </c>
      <c r="B297" s="10" t="s">
        <v>70</v>
      </c>
      <c r="C297" s="10" t="s">
        <v>52</v>
      </c>
      <c r="D297" s="10" t="s">
        <v>396</v>
      </c>
      <c r="E297" s="10" t="s">
        <v>2342</v>
      </c>
      <c r="F297" s="30" t="n">
        <v>42738</v>
      </c>
      <c r="G297" s="30" t="n">
        <v>42809</v>
      </c>
      <c r="H297" s="26" t="n">
        <f aca="false">G297-F297</f>
        <v>71</v>
      </c>
      <c r="I297" s="10" t="n">
        <f aca="false">IF(E297="Won",1,0)</f>
        <v>1</v>
      </c>
    </row>
    <row r="298" customFormat="false" ht="15" hidden="false" customHeight="false" outlineLevel="0" collapsed="false">
      <c r="A298" s="10" t="s">
        <v>2639</v>
      </c>
      <c r="B298" s="10" t="s">
        <v>86</v>
      </c>
      <c r="C298" s="10" t="s">
        <v>48</v>
      </c>
      <c r="D298" s="10" t="s">
        <v>359</v>
      </c>
      <c r="E298" s="10" t="s">
        <v>2342</v>
      </c>
      <c r="F298" s="30" t="n">
        <v>42795</v>
      </c>
      <c r="G298" s="30" t="n">
        <v>42809</v>
      </c>
      <c r="H298" s="26" t="n">
        <f aca="false">G298-F298</f>
        <v>14</v>
      </c>
      <c r="I298" s="10" t="n">
        <f aca="false">IF(E298="Won",1,0)</f>
        <v>1</v>
      </c>
    </row>
    <row r="299" customFormat="false" ht="15" hidden="false" customHeight="false" outlineLevel="0" collapsed="false">
      <c r="A299" s="10" t="s">
        <v>2640</v>
      </c>
      <c r="B299" s="10" t="s">
        <v>68</v>
      </c>
      <c r="C299" s="10" t="s">
        <v>49</v>
      </c>
      <c r="D299" s="10" t="s">
        <v>606</v>
      </c>
      <c r="E299" s="10" t="s">
        <v>2342</v>
      </c>
      <c r="F299" s="30" t="n">
        <v>42801</v>
      </c>
      <c r="G299" s="30" t="n">
        <v>42809</v>
      </c>
      <c r="H299" s="26" t="n">
        <f aca="false">G299-F299</f>
        <v>8</v>
      </c>
      <c r="I299" s="10" t="n">
        <f aca="false">IF(E299="Won",1,0)</f>
        <v>1</v>
      </c>
    </row>
    <row r="300" customFormat="false" ht="15" hidden="false" customHeight="false" outlineLevel="0" collapsed="false">
      <c r="A300" s="10" t="s">
        <v>2641</v>
      </c>
      <c r="B300" s="10" t="s">
        <v>71</v>
      </c>
      <c r="C300" s="10" t="s">
        <v>52</v>
      </c>
      <c r="D300" s="10" t="s">
        <v>947</v>
      </c>
      <c r="E300" s="10" t="s">
        <v>2342</v>
      </c>
      <c r="F300" s="30" t="n">
        <v>42744</v>
      </c>
      <c r="G300" s="30" t="n">
        <v>42809</v>
      </c>
      <c r="H300" s="26" t="n">
        <f aca="false">G300-F300</f>
        <v>65</v>
      </c>
      <c r="I300" s="10" t="n">
        <f aca="false">IF(E300="Won",1,0)</f>
        <v>1</v>
      </c>
    </row>
    <row r="301" customFormat="false" ht="15" hidden="false" customHeight="false" outlineLevel="0" collapsed="false">
      <c r="A301" s="10" t="s">
        <v>2642</v>
      </c>
      <c r="B301" s="10" t="s">
        <v>95</v>
      </c>
      <c r="C301" s="10" t="s">
        <v>48</v>
      </c>
      <c r="D301" s="10" t="s">
        <v>227</v>
      </c>
      <c r="E301" s="10" t="s">
        <v>2342</v>
      </c>
      <c r="F301" s="30" t="n">
        <v>42793</v>
      </c>
      <c r="G301" s="30" t="n">
        <v>42809</v>
      </c>
      <c r="H301" s="26" t="n">
        <f aca="false">G301-F301</f>
        <v>16</v>
      </c>
      <c r="I301" s="10" t="n">
        <f aca="false">IF(E301="Won",1,0)</f>
        <v>1</v>
      </c>
    </row>
    <row r="302" customFormat="false" ht="15" hidden="false" customHeight="false" outlineLevel="0" collapsed="false">
      <c r="A302" s="10" t="s">
        <v>2643</v>
      </c>
      <c r="B302" s="10" t="s">
        <v>93</v>
      </c>
      <c r="C302" s="10" t="s">
        <v>47</v>
      </c>
      <c r="D302" s="10" t="s">
        <v>606</v>
      </c>
      <c r="E302" s="10" t="s">
        <v>2345</v>
      </c>
      <c r="F302" s="30" t="n">
        <v>42799</v>
      </c>
      <c r="G302" s="30" t="n">
        <v>42809</v>
      </c>
      <c r="H302" s="26" t="n">
        <f aca="false">G302-F302</f>
        <v>10</v>
      </c>
      <c r="I302" s="10" t="n">
        <f aca="false">IF(E302="Won",1,0)</f>
        <v>0</v>
      </c>
    </row>
    <row r="303" customFormat="false" ht="15" hidden="false" customHeight="false" outlineLevel="0" collapsed="false">
      <c r="A303" s="10" t="s">
        <v>2644</v>
      </c>
      <c r="B303" s="10" t="s">
        <v>75</v>
      </c>
      <c r="C303" s="10" t="s">
        <v>52</v>
      </c>
      <c r="D303" s="10" t="s">
        <v>311</v>
      </c>
      <c r="E303" s="10" t="s">
        <v>2342</v>
      </c>
      <c r="F303" s="30" t="n">
        <v>42789</v>
      </c>
      <c r="G303" s="30" t="n">
        <v>42809</v>
      </c>
      <c r="H303" s="26" t="n">
        <f aca="false">G303-F303</f>
        <v>20</v>
      </c>
      <c r="I303" s="10" t="n">
        <f aca="false">IF(E303="Won",1,0)</f>
        <v>1</v>
      </c>
    </row>
    <row r="304" customFormat="false" ht="15" hidden="false" customHeight="false" outlineLevel="0" collapsed="false">
      <c r="A304" s="10" t="s">
        <v>2645</v>
      </c>
      <c r="B304" s="10" t="s">
        <v>95</v>
      </c>
      <c r="C304" s="10" t="s">
        <v>48</v>
      </c>
      <c r="D304" s="10" t="s">
        <v>168</v>
      </c>
      <c r="E304" s="10" t="s">
        <v>2342</v>
      </c>
      <c r="F304" s="30" t="n">
        <v>42719</v>
      </c>
      <c r="G304" s="30" t="n">
        <v>42809</v>
      </c>
      <c r="H304" s="26" t="n">
        <f aca="false">G304-F304</f>
        <v>90</v>
      </c>
      <c r="I304" s="10" t="n">
        <f aca="false">IF(E304="Won",1,0)</f>
        <v>1</v>
      </c>
    </row>
    <row r="305" customFormat="false" ht="15" hidden="false" customHeight="false" outlineLevel="0" collapsed="false">
      <c r="A305" s="10" t="s">
        <v>2646</v>
      </c>
      <c r="B305" s="10" t="s">
        <v>70</v>
      </c>
      <c r="C305" s="10" t="s">
        <v>52</v>
      </c>
      <c r="D305" s="10" t="s">
        <v>344</v>
      </c>
      <c r="E305" s="10" t="s">
        <v>2342</v>
      </c>
      <c r="F305" s="30" t="n">
        <v>42713</v>
      </c>
      <c r="G305" s="30" t="n">
        <v>42809</v>
      </c>
      <c r="H305" s="26" t="n">
        <f aca="false">G305-F305</f>
        <v>96</v>
      </c>
      <c r="I305" s="10" t="n">
        <f aca="false">IF(E305="Won",1,0)</f>
        <v>1</v>
      </c>
    </row>
    <row r="306" customFormat="false" ht="15" hidden="false" customHeight="false" outlineLevel="0" collapsed="false">
      <c r="A306" s="10" t="s">
        <v>2647</v>
      </c>
      <c r="B306" s="10" t="s">
        <v>95</v>
      </c>
      <c r="C306" s="10" t="s">
        <v>47</v>
      </c>
      <c r="D306" s="10" t="s">
        <v>514</v>
      </c>
      <c r="E306" s="10" t="s">
        <v>2342</v>
      </c>
      <c r="F306" s="30" t="n">
        <v>42731</v>
      </c>
      <c r="G306" s="30" t="n">
        <v>42809</v>
      </c>
      <c r="H306" s="26" t="n">
        <f aca="false">G306-F306</f>
        <v>78</v>
      </c>
      <c r="I306" s="10" t="n">
        <f aca="false">IF(E306="Won",1,0)</f>
        <v>1</v>
      </c>
    </row>
    <row r="307" customFormat="false" ht="15" hidden="false" customHeight="false" outlineLevel="0" collapsed="false">
      <c r="A307" s="10" t="s">
        <v>2648</v>
      </c>
      <c r="B307" s="10" t="s">
        <v>93</v>
      </c>
      <c r="C307" s="10" t="s">
        <v>51</v>
      </c>
      <c r="D307" s="10" t="s">
        <v>175</v>
      </c>
      <c r="E307" s="10" t="s">
        <v>2342</v>
      </c>
      <c r="F307" s="30" t="n">
        <v>42720</v>
      </c>
      <c r="G307" s="30" t="n">
        <v>42809</v>
      </c>
      <c r="H307" s="26" t="n">
        <f aca="false">G307-F307</f>
        <v>89</v>
      </c>
      <c r="I307" s="10" t="n">
        <f aca="false">IF(E307="Won",1,0)</f>
        <v>1</v>
      </c>
    </row>
    <row r="308" customFormat="false" ht="15" hidden="false" customHeight="false" outlineLevel="0" collapsed="false">
      <c r="A308" s="10" t="s">
        <v>2649</v>
      </c>
      <c r="B308" s="10" t="s">
        <v>88</v>
      </c>
      <c r="C308" s="10" t="s">
        <v>50</v>
      </c>
      <c r="D308" s="10" t="s">
        <v>464</v>
      </c>
      <c r="E308" s="10" t="s">
        <v>2342</v>
      </c>
      <c r="F308" s="30" t="n">
        <v>42722</v>
      </c>
      <c r="G308" s="30" t="n">
        <v>42809</v>
      </c>
      <c r="H308" s="26" t="n">
        <f aca="false">G308-F308</f>
        <v>87</v>
      </c>
      <c r="I308" s="10" t="n">
        <f aca="false">IF(E308="Won",1,0)</f>
        <v>1</v>
      </c>
    </row>
    <row r="309" customFormat="false" ht="15" hidden="false" customHeight="false" outlineLevel="0" collapsed="false">
      <c r="A309" s="10" t="s">
        <v>2650</v>
      </c>
      <c r="B309" s="10" t="s">
        <v>86</v>
      </c>
      <c r="C309" s="10" t="s">
        <v>49</v>
      </c>
      <c r="D309" s="10" t="s">
        <v>218</v>
      </c>
      <c r="E309" s="10" t="s">
        <v>2342</v>
      </c>
      <c r="F309" s="30" t="n">
        <v>42704</v>
      </c>
      <c r="G309" s="30" t="n">
        <v>42809</v>
      </c>
      <c r="H309" s="26" t="n">
        <f aca="false">G309-F309</f>
        <v>105</v>
      </c>
      <c r="I309" s="10" t="n">
        <f aca="false">IF(E309="Won",1,0)</f>
        <v>1</v>
      </c>
    </row>
    <row r="310" customFormat="false" ht="15" hidden="false" customHeight="false" outlineLevel="0" collapsed="false">
      <c r="A310" s="10" t="s">
        <v>2651</v>
      </c>
      <c r="B310" s="10" t="s">
        <v>71</v>
      </c>
      <c r="C310" s="10" t="s">
        <v>47</v>
      </c>
      <c r="D310" s="10" t="s">
        <v>311</v>
      </c>
      <c r="E310" s="10" t="s">
        <v>2342</v>
      </c>
      <c r="F310" s="30" t="n">
        <v>42719</v>
      </c>
      <c r="G310" s="30" t="n">
        <v>42809</v>
      </c>
      <c r="H310" s="26" t="n">
        <f aca="false">G310-F310</f>
        <v>90</v>
      </c>
      <c r="I310" s="10" t="n">
        <f aca="false">IF(E310="Won",1,0)</f>
        <v>1</v>
      </c>
    </row>
    <row r="311" customFormat="false" ht="15" hidden="false" customHeight="false" outlineLevel="0" collapsed="false">
      <c r="A311" s="10" t="s">
        <v>2652</v>
      </c>
      <c r="B311" s="10" t="s">
        <v>74</v>
      </c>
      <c r="C311" s="10" t="s">
        <v>49</v>
      </c>
      <c r="D311" s="10" t="s">
        <v>524</v>
      </c>
      <c r="E311" s="10" t="s">
        <v>2342</v>
      </c>
      <c r="F311" s="30" t="n">
        <v>42695</v>
      </c>
      <c r="G311" s="30" t="n">
        <v>42809</v>
      </c>
      <c r="H311" s="26" t="n">
        <f aca="false">G311-F311</f>
        <v>114</v>
      </c>
      <c r="I311" s="10" t="n">
        <f aca="false">IF(E311="Won",1,0)</f>
        <v>1</v>
      </c>
    </row>
    <row r="312" customFormat="false" ht="15" hidden="false" customHeight="false" outlineLevel="0" collapsed="false">
      <c r="A312" s="10" t="s">
        <v>2653</v>
      </c>
      <c r="B312" s="10" t="s">
        <v>71</v>
      </c>
      <c r="C312" s="10" t="s">
        <v>51</v>
      </c>
      <c r="D312" s="10" t="s">
        <v>947</v>
      </c>
      <c r="E312" s="10" t="s">
        <v>2345</v>
      </c>
      <c r="F312" s="30" t="n">
        <v>42792</v>
      </c>
      <c r="G312" s="30" t="n">
        <v>42810</v>
      </c>
      <c r="H312" s="26" t="n">
        <f aca="false">G312-F312</f>
        <v>18</v>
      </c>
      <c r="I312" s="10" t="n">
        <f aca="false">IF(E312="Won",1,0)</f>
        <v>0</v>
      </c>
    </row>
    <row r="313" customFormat="false" ht="15" hidden="false" customHeight="false" outlineLevel="0" collapsed="false">
      <c r="A313" s="10" t="s">
        <v>2654</v>
      </c>
      <c r="B313" s="10" t="s">
        <v>57</v>
      </c>
      <c r="C313" s="10" t="s">
        <v>48</v>
      </c>
      <c r="D313" s="10" t="s">
        <v>350</v>
      </c>
      <c r="E313" s="10" t="s">
        <v>2342</v>
      </c>
      <c r="F313" s="30" t="n">
        <v>42801</v>
      </c>
      <c r="G313" s="30" t="n">
        <v>42810</v>
      </c>
      <c r="H313" s="26" t="n">
        <f aca="false">G313-F313</f>
        <v>9</v>
      </c>
      <c r="I313" s="10" t="n">
        <f aca="false">IF(E313="Won",1,0)</f>
        <v>1</v>
      </c>
    </row>
    <row r="314" customFormat="false" ht="15" hidden="false" customHeight="false" outlineLevel="0" collapsed="false">
      <c r="A314" s="10" t="s">
        <v>2655</v>
      </c>
      <c r="B314" s="10" t="s">
        <v>57</v>
      </c>
      <c r="C314" s="10" t="s">
        <v>50</v>
      </c>
      <c r="D314" s="10" t="s">
        <v>350</v>
      </c>
      <c r="E314" s="10" t="s">
        <v>2342</v>
      </c>
      <c r="F314" s="30" t="n">
        <v>42742</v>
      </c>
      <c r="G314" s="30" t="n">
        <v>42810</v>
      </c>
      <c r="H314" s="26" t="n">
        <f aca="false">G314-F314</f>
        <v>68</v>
      </c>
      <c r="I314" s="10" t="n">
        <f aca="false">IF(E314="Won",1,0)</f>
        <v>1</v>
      </c>
    </row>
    <row r="315" customFormat="false" ht="15" hidden="false" customHeight="false" outlineLevel="0" collapsed="false">
      <c r="A315" s="10" t="s">
        <v>2656</v>
      </c>
      <c r="B315" s="10" t="s">
        <v>68</v>
      </c>
      <c r="C315" s="10" t="s">
        <v>52</v>
      </c>
      <c r="D315" s="10" t="s">
        <v>522</v>
      </c>
      <c r="E315" s="10" t="s">
        <v>2342</v>
      </c>
      <c r="F315" s="30" t="n">
        <v>42710</v>
      </c>
      <c r="G315" s="30" t="n">
        <v>42810</v>
      </c>
      <c r="H315" s="26" t="n">
        <f aca="false">G315-F315</f>
        <v>100</v>
      </c>
      <c r="I315" s="10" t="n">
        <f aca="false">IF(E315="Won",1,0)</f>
        <v>1</v>
      </c>
    </row>
    <row r="316" customFormat="false" ht="15" hidden="false" customHeight="false" outlineLevel="0" collapsed="false">
      <c r="A316" s="10" t="s">
        <v>2657</v>
      </c>
      <c r="B316" s="10" t="s">
        <v>81</v>
      </c>
      <c r="C316" s="10" t="s">
        <v>47</v>
      </c>
      <c r="D316" s="10" t="s">
        <v>267</v>
      </c>
      <c r="E316" s="10" t="s">
        <v>2342</v>
      </c>
      <c r="F316" s="30" t="n">
        <v>42708</v>
      </c>
      <c r="G316" s="30" t="n">
        <v>42810</v>
      </c>
      <c r="H316" s="26" t="n">
        <f aca="false">G316-F316</f>
        <v>102</v>
      </c>
      <c r="I316" s="10" t="n">
        <f aca="false">IF(E316="Won",1,0)</f>
        <v>1</v>
      </c>
    </row>
    <row r="317" customFormat="false" ht="15" hidden="false" customHeight="false" outlineLevel="0" collapsed="false">
      <c r="A317" s="10" t="s">
        <v>2658</v>
      </c>
      <c r="B317" s="10" t="s">
        <v>95</v>
      </c>
      <c r="C317" s="10" t="s">
        <v>51</v>
      </c>
      <c r="D317" s="10" t="s">
        <v>514</v>
      </c>
      <c r="E317" s="10" t="s">
        <v>2342</v>
      </c>
      <c r="F317" s="30" t="n">
        <v>42739</v>
      </c>
      <c r="G317" s="30" t="n">
        <v>42810</v>
      </c>
      <c r="H317" s="26" t="n">
        <f aca="false">G317-F317</f>
        <v>71</v>
      </c>
      <c r="I317" s="10" t="n">
        <f aca="false">IF(E317="Won",1,0)</f>
        <v>1</v>
      </c>
    </row>
    <row r="318" customFormat="false" ht="15" hidden="false" customHeight="false" outlineLevel="0" collapsed="false">
      <c r="A318" s="10" t="s">
        <v>2659</v>
      </c>
      <c r="B318" s="10" t="s">
        <v>81</v>
      </c>
      <c r="C318" s="10" t="s">
        <v>50</v>
      </c>
      <c r="D318" s="10" t="s">
        <v>660</v>
      </c>
      <c r="E318" s="10" t="s">
        <v>2342</v>
      </c>
      <c r="F318" s="30" t="n">
        <v>42797</v>
      </c>
      <c r="G318" s="30" t="n">
        <v>42810</v>
      </c>
      <c r="H318" s="26" t="n">
        <f aca="false">G318-F318</f>
        <v>13</v>
      </c>
      <c r="I318" s="10" t="n">
        <f aca="false">IF(E318="Won",1,0)</f>
        <v>1</v>
      </c>
    </row>
    <row r="319" customFormat="false" ht="15" hidden="false" customHeight="false" outlineLevel="0" collapsed="false">
      <c r="A319" s="10" t="s">
        <v>2660</v>
      </c>
      <c r="B319" s="10" t="s">
        <v>80</v>
      </c>
      <c r="C319" s="10" t="s">
        <v>50</v>
      </c>
      <c r="D319" s="10" t="s">
        <v>512</v>
      </c>
      <c r="E319" s="10" t="s">
        <v>2345</v>
      </c>
      <c r="F319" s="30" t="n">
        <v>42797</v>
      </c>
      <c r="G319" s="30" t="n">
        <v>42810</v>
      </c>
      <c r="H319" s="26" t="n">
        <f aca="false">G319-F319</f>
        <v>13</v>
      </c>
      <c r="I319" s="10" t="n">
        <f aca="false">IF(E319="Won",1,0)</f>
        <v>0</v>
      </c>
    </row>
    <row r="320" customFormat="false" ht="15" hidden="false" customHeight="false" outlineLevel="0" collapsed="false">
      <c r="A320" s="10" t="s">
        <v>2661</v>
      </c>
      <c r="B320" s="10" t="s">
        <v>97</v>
      </c>
      <c r="C320" s="10" t="s">
        <v>48</v>
      </c>
      <c r="D320" s="10" t="s">
        <v>168</v>
      </c>
      <c r="E320" s="10" t="s">
        <v>2342</v>
      </c>
      <c r="F320" s="30" t="n">
        <v>42796</v>
      </c>
      <c r="G320" s="30" t="n">
        <v>42810</v>
      </c>
      <c r="H320" s="26" t="n">
        <f aca="false">G320-F320</f>
        <v>14</v>
      </c>
      <c r="I320" s="10" t="n">
        <f aca="false">IF(E320="Won",1,0)</f>
        <v>1</v>
      </c>
    </row>
    <row r="321" customFormat="false" ht="15" hidden="false" customHeight="false" outlineLevel="0" collapsed="false">
      <c r="A321" s="10" t="s">
        <v>2662</v>
      </c>
      <c r="B321" s="10" t="s">
        <v>80</v>
      </c>
      <c r="C321" s="10" t="s">
        <v>51</v>
      </c>
      <c r="D321" s="10" t="s">
        <v>597</v>
      </c>
      <c r="E321" s="10" t="s">
        <v>2342</v>
      </c>
      <c r="F321" s="30" t="n">
        <v>42736</v>
      </c>
      <c r="G321" s="30" t="n">
        <v>42810</v>
      </c>
      <c r="H321" s="26" t="n">
        <f aca="false">G321-F321</f>
        <v>74</v>
      </c>
      <c r="I321" s="10" t="n">
        <f aca="false">IF(E321="Won",1,0)</f>
        <v>1</v>
      </c>
    </row>
    <row r="322" customFormat="false" ht="15" hidden="false" customHeight="false" outlineLevel="0" collapsed="false">
      <c r="A322" s="10" t="s">
        <v>2663</v>
      </c>
      <c r="B322" s="10" t="s">
        <v>70</v>
      </c>
      <c r="C322" s="10" t="s">
        <v>48</v>
      </c>
      <c r="D322" s="10" t="s">
        <v>424</v>
      </c>
      <c r="E322" s="10" t="s">
        <v>2342</v>
      </c>
      <c r="F322" s="30" t="n">
        <v>42723</v>
      </c>
      <c r="G322" s="30" t="n">
        <v>42810</v>
      </c>
      <c r="H322" s="26" t="n">
        <f aca="false">G322-F322</f>
        <v>87</v>
      </c>
      <c r="I322" s="10" t="n">
        <f aca="false">IF(E322="Won",1,0)</f>
        <v>1</v>
      </c>
    </row>
    <row r="323" customFormat="false" ht="15" hidden="false" customHeight="false" outlineLevel="0" collapsed="false">
      <c r="A323" s="10" t="s">
        <v>2664</v>
      </c>
      <c r="B323" s="10" t="s">
        <v>87</v>
      </c>
      <c r="C323" s="10" t="s">
        <v>51</v>
      </c>
      <c r="D323" s="10" t="s">
        <v>378</v>
      </c>
      <c r="E323" s="10" t="s">
        <v>2342</v>
      </c>
      <c r="F323" s="30" t="n">
        <v>42719</v>
      </c>
      <c r="G323" s="30" t="n">
        <v>42810</v>
      </c>
      <c r="H323" s="26" t="n">
        <f aca="false">G323-F323</f>
        <v>91</v>
      </c>
      <c r="I323" s="10" t="n">
        <f aca="false">IF(E323="Won",1,0)</f>
        <v>1</v>
      </c>
    </row>
    <row r="324" customFormat="false" ht="15" hidden="false" customHeight="false" outlineLevel="0" collapsed="false">
      <c r="A324" s="10" t="s">
        <v>2665</v>
      </c>
      <c r="B324" s="10" t="s">
        <v>73</v>
      </c>
      <c r="C324" s="10" t="s">
        <v>49</v>
      </c>
      <c r="D324" s="10" t="s">
        <v>697</v>
      </c>
      <c r="E324" s="10" t="s">
        <v>2342</v>
      </c>
      <c r="F324" s="30" t="n">
        <v>42728</v>
      </c>
      <c r="G324" s="30" t="n">
        <v>42810</v>
      </c>
      <c r="H324" s="26" t="n">
        <f aca="false">G324-F324</f>
        <v>82</v>
      </c>
      <c r="I324" s="10" t="n">
        <f aca="false">IF(E324="Won",1,0)</f>
        <v>1</v>
      </c>
    </row>
    <row r="325" customFormat="false" ht="15" hidden="false" customHeight="false" outlineLevel="0" collapsed="false">
      <c r="A325" s="10" t="s">
        <v>2666</v>
      </c>
      <c r="B325" s="10" t="s">
        <v>68</v>
      </c>
      <c r="C325" s="10" t="s">
        <v>47</v>
      </c>
      <c r="D325" s="10" t="s">
        <v>497</v>
      </c>
      <c r="E325" s="10" t="s">
        <v>2342</v>
      </c>
      <c r="F325" s="30" t="n">
        <v>42745</v>
      </c>
      <c r="G325" s="30" t="n">
        <v>42810</v>
      </c>
      <c r="H325" s="26" t="n">
        <f aca="false">G325-F325</f>
        <v>65</v>
      </c>
      <c r="I325" s="10" t="n">
        <f aca="false">IF(E325="Won",1,0)</f>
        <v>1</v>
      </c>
    </row>
    <row r="326" customFormat="false" ht="15" hidden="false" customHeight="false" outlineLevel="0" collapsed="false">
      <c r="A326" s="10" t="s">
        <v>2667</v>
      </c>
      <c r="B326" s="10" t="s">
        <v>94</v>
      </c>
      <c r="C326" s="10" t="s">
        <v>51</v>
      </c>
      <c r="D326" s="10" t="s">
        <v>711</v>
      </c>
      <c r="E326" s="10" t="s">
        <v>2342</v>
      </c>
      <c r="F326" s="30" t="n">
        <v>42723</v>
      </c>
      <c r="G326" s="30" t="n">
        <v>42810</v>
      </c>
      <c r="H326" s="26" t="n">
        <f aca="false">G326-F326</f>
        <v>87</v>
      </c>
      <c r="I326" s="10" t="n">
        <f aca="false">IF(E326="Won",1,0)</f>
        <v>1</v>
      </c>
    </row>
    <row r="327" customFormat="false" ht="15" hidden="false" customHeight="false" outlineLevel="0" collapsed="false">
      <c r="A327" s="10" t="s">
        <v>2668</v>
      </c>
      <c r="B327" s="10" t="s">
        <v>71</v>
      </c>
      <c r="C327" s="10" t="s">
        <v>52</v>
      </c>
      <c r="D327" s="10" t="s">
        <v>179</v>
      </c>
      <c r="E327" s="10" t="s">
        <v>2342</v>
      </c>
      <c r="F327" s="30" t="n">
        <v>42748</v>
      </c>
      <c r="G327" s="30" t="n">
        <v>42810</v>
      </c>
      <c r="H327" s="26" t="n">
        <f aca="false">G327-F327</f>
        <v>62</v>
      </c>
      <c r="I327" s="10" t="n">
        <f aca="false">IF(E327="Won",1,0)</f>
        <v>1</v>
      </c>
    </row>
    <row r="328" customFormat="false" ht="15" hidden="false" customHeight="false" outlineLevel="0" collapsed="false">
      <c r="A328" s="10" t="s">
        <v>2669</v>
      </c>
      <c r="B328" s="10" t="s">
        <v>60</v>
      </c>
      <c r="C328" s="10" t="s">
        <v>51</v>
      </c>
      <c r="D328" s="10" t="s">
        <v>286</v>
      </c>
      <c r="E328" s="10" t="s">
        <v>2342</v>
      </c>
      <c r="F328" s="30" t="n">
        <v>42701</v>
      </c>
      <c r="G328" s="30" t="n">
        <v>42810</v>
      </c>
      <c r="H328" s="26" t="n">
        <f aca="false">G328-F328</f>
        <v>109</v>
      </c>
      <c r="I328" s="10" t="n">
        <f aca="false">IF(E328="Won",1,0)</f>
        <v>1</v>
      </c>
    </row>
    <row r="329" customFormat="false" ht="15" hidden="false" customHeight="false" outlineLevel="0" collapsed="false">
      <c r="A329" s="10" t="s">
        <v>2670</v>
      </c>
      <c r="B329" s="10" t="s">
        <v>97</v>
      </c>
      <c r="C329" s="10" t="s">
        <v>47</v>
      </c>
      <c r="D329" s="10" t="s">
        <v>483</v>
      </c>
      <c r="E329" s="10" t="s">
        <v>2342</v>
      </c>
      <c r="F329" s="30" t="n">
        <v>42761</v>
      </c>
      <c r="G329" s="30" t="n">
        <v>42810</v>
      </c>
      <c r="H329" s="26" t="n">
        <f aca="false">G329-F329</f>
        <v>49</v>
      </c>
      <c r="I329" s="10" t="n">
        <f aca="false">IF(E329="Won",1,0)</f>
        <v>1</v>
      </c>
    </row>
    <row r="330" customFormat="false" ht="15" hidden="false" customHeight="false" outlineLevel="0" collapsed="false">
      <c r="A330" s="10" t="s">
        <v>2671</v>
      </c>
      <c r="B330" s="10" t="s">
        <v>75</v>
      </c>
      <c r="C330" s="10" t="s">
        <v>49</v>
      </c>
      <c r="D330" s="10" t="s">
        <v>697</v>
      </c>
      <c r="E330" s="10" t="s">
        <v>2342</v>
      </c>
      <c r="F330" s="30" t="n">
        <v>42808</v>
      </c>
      <c r="G330" s="30" t="n">
        <v>42810</v>
      </c>
      <c r="H330" s="26" t="n">
        <f aca="false">G330-F330</f>
        <v>2</v>
      </c>
      <c r="I330" s="10" t="n">
        <f aca="false">IF(E330="Won",1,0)</f>
        <v>1</v>
      </c>
    </row>
    <row r="331" customFormat="false" ht="15" hidden="false" customHeight="false" outlineLevel="0" collapsed="false">
      <c r="A331" s="10" t="s">
        <v>2672</v>
      </c>
      <c r="B331" s="10" t="s">
        <v>77</v>
      </c>
      <c r="C331" s="10" t="s">
        <v>48</v>
      </c>
      <c r="D331" s="10" t="s">
        <v>414</v>
      </c>
      <c r="E331" s="10" t="s">
        <v>2345</v>
      </c>
      <c r="F331" s="30" t="n">
        <v>42732</v>
      </c>
      <c r="G331" s="30" t="n">
        <v>42810</v>
      </c>
      <c r="H331" s="26" t="n">
        <f aca="false">G331-F331</f>
        <v>78</v>
      </c>
      <c r="I331" s="10" t="n">
        <f aca="false">IF(E331="Won",1,0)</f>
        <v>0</v>
      </c>
    </row>
    <row r="332" customFormat="false" ht="15" hidden="false" customHeight="false" outlineLevel="0" collapsed="false">
      <c r="A332" s="10" t="s">
        <v>2673</v>
      </c>
      <c r="B332" s="10" t="s">
        <v>90</v>
      </c>
      <c r="C332" s="10" t="s">
        <v>52</v>
      </c>
      <c r="D332" s="10" t="s">
        <v>455</v>
      </c>
      <c r="E332" s="10" t="s">
        <v>2342</v>
      </c>
      <c r="F332" s="30" t="n">
        <v>42732</v>
      </c>
      <c r="G332" s="30" t="n">
        <v>42810</v>
      </c>
      <c r="H332" s="26" t="n">
        <f aca="false">G332-F332</f>
        <v>78</v>
      </c>
      <c r="I332" s="10" t="n">
        <f aca="false">IF(E332="Won",1,0)</f>
        <v>1</v>
      </c>
    </row>
    <row r="333" customFormat="false" ht="15" hidden="false" customHeight="false" outlineLevel="0" collapsed="false">
      <c r="A333" s="10" t="s">
        <v>2674</v>
      </c>
      <c r="B333" s="10" t="s">
        <v>76</v>
      </c>
      <c r="C333" s="10" t="s">
        <v>52</v>
      </c>
      <c r="D333" s="10" t="s">
        <v>527</v>
      </c>
      <c r="E333" s="10" t="s">
        <v>2342</v>
      </c>
      <c r="F333" s="30" t="n">
        <v>42758</v>
      </c>
      <c r="G333" s="30" t="n">
        <v>42810</v>
      </c>
      <c r="H333" s="26" t="n">
        <f aca="false">G333-F333</f>
        <v>52</v>
      </c>
      <c r="I333" s="10" t="n">
        <f aca="false">IF(E333="Won",1,0)</f>
        <v>1</v>
      </c>
    </row>
    <row r="334" customFormat="false" ht="15" hidden="false" customHeight="false" outlineLevel="0" collapsed="false">
      <c r="A334" s="10" t="s">
        <v>2675</v>
      </c>
      <c r="B334" s="10" t="s">
        <v>68</v>
      </c>
      <c r="C334" s="10" t="s">
        <v>50</v>
      </c>
      <c r="D334" s="10" t="s">
        <v>497</v>
      </c>
      <c r="E334" s="10" t="s">
        <v>2342</v>
      </c>
      <c r="F334" s="30" t="n">
        <v>42746</v>
      </c>
      <c r="G334" s="30" t="n">
        <v>42810</v>
      </c>
      <c r="H334" s="26" t="n">
        <f aca="false">G334-F334</f>
        <v>64</v>
      </c>
      <c r="I334" s="10" t="n">
        <f aca="false">IF(E334="Won",1,0)</f>
        <v>1</v>
      </c>
    </row>
    <row r="335" customFormat="false" ht="15" hidden="false" customHeight="false" outlineLevel="0" collapsed="false">
      <c r="A335" s="10" t="s">
        <v>2676</v>
      </c>
      <c r="B335" s="10" t="s">
        <v>86</v>
      </c>
      <c r="C335" s="10" t="s">
        <v>49</v>
      </c>
      <c r="D335" s="10" t="s">
        <v>233</v>
      </c>
      <c r="E335" s="10" t="s">
        <v>2342</v>
      </c>
      <c r="F335" s="30" t="n">
        <v>42766</v>
      </c>
      <c r="G335" s="30" t="n">
        <v>42811</v>
      </c>
      <c r="H335" s="26" t="n">
        <f aca="false">G335-F335</f>
        <v>45</v>
      </c>
      <c r="I335" s="10" t="n">
        <f aca="false">IF(E335="Won",1,0)</f>
        <v>1</v>
      </c>
    </row>
    <row r="336" customFormat="false" ht="15" hidden="false" customHeight="false" outlineLevel="0" collapsed="false">
      <c r="A336" s="10" t="s">
        <v>2677</v>
      </c>
      <c r="B336" s="10" t="s">
        <v>90</v>
      </c>
      <c r="C336" s="10" t="s">
        <v>48</v>
      </c>
      <c r="D336" s="10" t="s">
        <v>359</v>
      </c>
      <c r="E336" s="10" t="s">
        <v>2342</v>
      </c>
      <c r="F336" s="30" t="n">
        <v>42746</v>
      </c>
      <c r="G336" s="30" t="n">
        <v>42811</v>
      </c>
      <c r="H336" s="26" t="n">
        <f aca="false">G336-F336</f>
        <v>65</v>
      </c>
      <c r="I336" s="10" t="n">
        <f aca="false">IF(E336="Won",1,0)</f>
        <v>1</v>
      </c>
    </row>
    <row r="337" customFormat="false" ht="15" hidden="false" customHeight="false" outlineLevel="0" collapsed="false">
      <c r="A337" s="10" t="s">
        <v>2678</v>
      </c>
      <c r="B337" s="10" t="s">
        <v>76</v>
      </c>
      <c r="C337" s="10" t="s">
        <v>52</v>
      </c>
      <c r="D337" s="10" t="s">
        <v>410</v>
      </c>
      <c r="E337" s="10" t="s">
        <v>2342</v>
      </c>
      <c r="F337" s="30" t="n">
        <v>42751</v>
      </c>
      <c r="G337" s="30" t="n">
        <v>42811</v>
      </c>
      <c r="H337" s="26" t="n">
        <f aca="false">G337-F337</f>
        <v>60</v>
      </c>
      <c r="I337" s="10" t="n">
        <f aca="false">IF(E337="Won",1,0)</f>
        <v>1</v>
      </c>
    </row>
    <row r="338" customFormat="false" ht="15" hidden="false" customHeight="false" outlineLevel="0" collapsed="false">
      <c r="A338" s="10" t="s">
        <v>2679</v>
      </c>
      <c r="B338" s="10" t="s">
        <v>97</v>
      </c>
      <c r="C338" s="10" t="s">
        <v>50</v>
      </c>
      <c r="D338" s="10" t="s">
        <v>432</v>
      </c>
      <c r="E338" s="10" t="s">
        <v>2345</v>
      </c>
      <c r="F338" s="30" t="n">
        <v>42695</v>
      </c>
      <c r="G338" s="30" t="n">
        <v>42811</v>
      </c>
      <c r="H338" s="26" t="n">
        <f aca="false">G338-F338</f>
        <v>116</v>
      </c>
      <c r="I338" s="10" t="n">
        <f aca="false">IF(E338="Won",1,0)</f>
        <v>0</v>
      </c>
    </row>
    <row r="339" customFormat="false" ht="15" hidden="false" customHeight="false" outlineLevel="0" collapsed="false">
      <c r="A339" s="10" t="s">
        <v>2680</v>
      </c>
      <c r="B339" s="10" t="s">
        <v>77</v>
      </c>
      <c r="C339" s="10" t="s">
        <v>48</v>
      </c>
      <c r="D339" s="10" t="s">
        <v>660</v>
      </c>
      <c r="E339" s="10" t="s">
        <v>2345</v>
      </c>
      <c r="F339" s="30" t="n">
        <v>42693</v>
      </c>
      <c r="G339" s="30" t="n">
        <v>42811</v>
      </c>
      <c r="H339" s="26" t="n">
        <f aca="false">G339-F339</f>
        <v>118</v>
      </c>
      <c r="I339" s="10" t="n">
        <f aca="false">IF(E339="Won",1,0)</f>
        <v>0</v>
      </c>
    </row>
    <row r="340" customFormat="false" ht="15" hidden="false" customHeight="false" outlineLevel="0" collapsed="false">
      <c r="A340" s="10" t="s">
        <v>2681</v>
      </c>
      <c r="B340" s="10" t="s">
        <v>76</v>
      </c>
      <c r="C340" s="10" t="s">
        <v>52</v>
      </c>
      <c r="D340" s="10" t="s">
        <v>483</v>
      </c>
      <c r="E340" s="10" t="s">
        <v>2342</v>
      </c>
      <c r="F340" s="30" t="n">
        <v>42796</v>
      </c>
      <c r="G340" s="30" t="n">
        <v>42811</v>
      </c>
      <c r="H340" s="26" t="n">
        <f aca="false">G340-F340</f>
        <v>15</v>
      </c>
      <c r="I340" s="10" t="n">
        <f aca="false">IF(E340="Won",1,0)</f>
        <v>1</v>
      </c>
    </row>
    <row r="341" customFormat="false" ht="15" hidden="false" customHeight="false" outlineLevel="0" collapsed="false">
      <c r="A341" s="10" t="s">
        <v>2682</v>
      </c>
      <c r="B341" s="10" t="s">
        <v>79</v>
      </c>
      <c r="C341" s="10" t="s">
        <v>49</v>
      </c>
      <c r="D341" s="10" t="s">
        <v>369</v>
      </c>
      <c r="E341" s="10" t="s">
        <v>2342</v>
      </c>
      <c r="F341" s="30" t="n">
        <v>42697</v>
      </c>
      <c r="G341" s="30" t="n">
        <v>42811</v>
      </c>
      <c r="H341" s="26" t="n">
        <f aca="false">G341-F341</f>
        <v>114</v>
      </c>
      <c r="I341" s="10" t="n">
        <f aca="false">IF(E341="Won",1,0)</f>
        <v>1</v>
      </c>
    </row>
    <row r="342" customFormat="false" ht="15" hidden="false" customHeight="false" outlineLevel="0" collapsed="false">
      <c r="A342" s="10" t="s">
        <v>2683</v>
      </c>
      <c r="B342" s="10" t="s">
        <v>70</v>
      </c>
      <c r="C342" s="10" t="s">
        <v>48</v>
      </c>
      <c r="D342" s="10" t="s">
        <v>419</v>
      </c>
      <c r="E342" s="10" t="s">
        <v>2342</v>
      </c>
      <c r="F342" s="30" t="n">
        <v>42749</v>
      </c>
      <c r="G342" s="30" t="n">
        <v>42811</v>
      </c>
      <c r="H342" s="26" t="n">
        <f aca="false">G342-F342</f>
        <v>62</v>
      </c>
      <c r="I342" s="10" t="n">
        <f aca="false">IF(E342="Won",1,0)</f>
        <v>1</v>
      </c>
    </row>
    <row r="343" customFormat="false" ht="15" hidden="false" customHeight="false" outlineLevel="0" collapsed="false">
      <c r="A343" s="10" t="s">
        <v>2684</v>
      </c>
      <c r="B343" s="10" t="s">
        <v>76</v>
      </c>
      <c r="C343" s="10" t="s">
        <v>52</v>
      </c>
      <c r="D343" s="10" t="s">
        <v>524</v>
      </c>
      <c r="E343" s="10" t="s">
        <v>2342</v>
      </c>
      <c r="F343" s="30" t="n">
        <v>42795</v>
      </c>
      <c r="G343" s="30" t="n">
        <v>42811</v>
      </c>
      <c r="H343" s="26" t="n">
        <f aca="false">G343-F343</f>
        <v>16</v>
      </c>
      <c r="I343" s="10" t="n">
        <f aca="false">IF(E343="Won",1,0)</f>
        <v>1</v>
      </c>
    </row>
    <row r="344" customFormat="false" ht="15" hidden="false" customHeight="false" outlineLevel="0" collapsed="false">
      <c r="A344" s="10" t="s">
        <v>2685</v>
      </c>
      <c r="B344" s="10" t="s">
        <v>67</v>
      </c>
      <c r="C344" s="10" t="s">
        <v>50</v>
      </c>
      <c r="D344" s="10" t="s">
        <v>199</v>
      </c>
      <c r="E344" s="10" t="s">
        <v>2342</v>
      </c>
      <c r="F344" s="30" t="n">
        <v>42729</v>
      </c>
      <c r="G344" s="30" t="n">
        <v>42811</v>
      </c>
      <c r="H344" s="26" t="n">
        <f aca="false">G344-F344</f>
        <v>82</v>
      </c>
      <c r="I344" s="10" t="n">
        <f aca="false">IF(E344="Won",1,0)</f>
        <v>1</v>
      </c>
    </row>
    <row r="345" customFormat="false" ht="15" hidden="false" customHeight="false" outlineLevel="0" collapsed="false">
      <c r="A345" s="10" t="s">
        <v>2686</v>
      </c>
      <c r="B345" s="10" t="s">
        <v>90</v>
      </c>
      <c r="C345" s="10" t="s">
        <v>48</v>
      </c>
      <c r="D345" s="10" t="s">
        <v>637</v>
      </c>
      <c r="E345" s="10" t="s">
        <v>2345</v>
      </c>
      <c r="F345" s="30" t="n">
        <v>42741</v>
      </c>
      <c r="G345" s="30" t="n">
        <v>42811</v>
      </c>
      <c r="H345" s="26" t="n">
        <f aca="false">G345-F345</f>
        <v>70</v>
      </c>
      <c r="I345" s="10" t="n">
        <f aca="false">IF(E345="Won",1,0)</f>
        <v>0</v>
      </c>
    </row>
    <row r="346" customFormat="false" ht="15" hidden="false" customHeight="false" outlineLevel="0" collapsed="false">
      <c r="A346" s="10" t="s">
        <v>2687</v>
      </c>
      <c r="B346" s="10" t="s">
        <v>75</v>
      </c>
      <c r="C346" s="10" t="s">
        <v>50</v>
      </c>
      <c r="D346" s="10" t="s">
        <v>512</v>
      </c>
      <c r="E346" s="10" t="s">
        <v>2345</v>
      </c>
      <c r="F346" s="30" t="n">
        <v>42707</v>
      </c>
      <c r="G346" s="30" t="n">
        <v>42811</v>
      </c>
      <c r="H346" s="26" t="n">
        <f aca="false">G346-F346</f>
        <v>104</v>
      </c>
      <c r="I346" s="10" t="n">
        <f aca="false">IF(E346="Won",1,0)</f>
        <v>0</v>
      </c>
    </row>
    <row r="347" customFormat="false" ht="15" hidden="false" customHeight="false" outlineLevel="0" collapsed="false">
      <c r="A347" s="10" t="s">
        <v>2688</v>
      </c>
      <c r="B347" s="10" t="s">
        <v>81</v>
      </c>
      <c r="C347" s="10" t="s">
        <v>50</v>
      </c>
      <c r="D347" s="10" t="s">
        <v>369</v>
      </c>
      <c r="E347" s="10" t="s">
        <v>2342</v>
      </c>
      <c r="F347" s="30" t="n">
        <v>42691</v>
      </c>
      <c r="G347" s="30" t="n">
        <v>42811</v>
      </c>
      <c r="H347" s="26" t="n">
        <f aca="false">G347-F347</f>
        <v>120</v>
      </c>
      <c r="I347" s="10" t="n">
        <f aca="false">IF(E347="Won",1,0)</f>
        <v>1</v>
      </c>
    </row>
    <row r="348" customFormat="false" ht="15" hidden="false" customHeight="false" outlineLevel="0" collapsed="false">
      <c r="A348" s="10" t="s">
        <v>2689</v>
      </c>
      <c r="B348" s="10" t="s">
        <v>77</v>
      </c>
      <c r="C348" s="10" t="s">
        <v>50</v>
      </c>
      <c r="D348" s="10" t="s">
        <v>762</v>
      </c>
      <c r="E348" s="10" t="s">
        <v>2342</v>
      </c>
      <c r="F348" s="30" t="n">
        <v>42807</v>
      </c>
      <c r="G348" s="30" t="n">
        <v>42811</v>
      </c>
      <c r="H348" s="26" t="n">
        <f aca="false">G348-F348</f>
        <v>4</v>
      </c>
      <c r="I348" s="10" t="n">
        <f aca="false">IF(E348="Won",1,0)</f>
        <v>1</v>
      </c>
    </row>
    <row r="349" customFormat="false" ht="15" hidden="false" customHeight="false" outlineLevel="0" collapsed="false">
      <c r="A349" s="10" t="s">
        <v>2690</v>
      </c>
      <c r="B349" s="10" t="s">
        <v>70</v>
      </c>
      <c r="C349" s="10" t="s">
        <v>51</v>
      </c>
      <c r="D349" s="10" t="s">
        <v>396</v>
      </c>
      <c r="E349" s="10" t="s">
        <v>2342</v>
      </c>
      <c r="F349" s="30" t="n">
        <v>42808</v>
      </c>
      <c r="G349" s="30" t="n">
        <v>42811</v>
      </c>
      <c r="H349" s="26" t="n">
        <f aca="false">G349-F349</f>
        <v>3</v>
      </c>
      <c r="I349" s="10" t="n">
        <f aca="false">IF(E349="Won",1,0)</f>
        <v>1</v>
      </c>
    </row>
    <row r="350" customFormat="false" ht="15" hidden="false" customHeight="false" outlineLevel="0" collapsed="false">
      <c r="A350" s="10" t="s">
        <v>2691</v>
      </c>
      <c r="B350" s="10" t="s">
        <v>77</v>
      </c>
      <c r="C350" s="10" t="s">
        <v>52</v>
      </c>
      <c r="D350" s="10" t="s">
        <v>259</v>
      </c>
      <c r="E350" s="10" t="s">
        <v>2342</v>
      </c>
      <c r="F350" s="30" t="n">
        <v>42741</v>
      </c>
      <c r="G350" s="30" t="n">
        <v>42811</v>
      </c>
      <c r="H350" s="26" t="n">
        <f aca="false">G350-F350</f>
        <v>70</v>
      </c>
      <c r="I350" s="10" t="n">
        <f aca="false">IF(E350="Won",1,0)</f>
        <v>1</v>
      </c>
    </row>
    <row r="351" customFormat="false" ht="15" hidden="false" customHeight="false" outlineLevel="0" collapsed="false">
      <c r="A351" s="10" t="s">
        <v>2692</v>
      </c>
      <c r="B351" s="10" t="s">
        <v>93</v>
      </c>
      <c r="C351" s="10" t="s">
        <v>47</v>
      </c>
      <c r="D351" s="10" t="s">
        <v>487</v>
      </c>
      <c r="E351" s="10" t="s">
        <v>2345</v>
      </c>
      <c r="F351" s="30" t="n">
        <v>42681</v>
      </c>
      <c r="G351" s="30" t="n">
        <v>42811</v>
      </c>
      <c r="H351" s="26" t="n">
        <f aca="false">G351-F351</f>
        <v>130</v>
      </c>
      <c r="I351" s="10" t="n">
        <f aca="false">IF(E351="Won",1,0)</f>
        <v>0</v>
      </c>
    </row>
    <row r="352" customFormat="false" ht="15" hidden="false" customHeight="false" outlineLevel="0" collapsed="false">
      <c r="A352" s="10" t="s">
        <v>2693</v>
      </c>
      <c r="B352" s="10" t="s">
        <v>71</v>
      </c>
      <c r="C352" s="10" t="s">
        <v>52</v>
      </c>
      <c r="D352" s="10" t="s">
        <v>321</v>
      </c>
      <c r="E352" s="10" t="s">
        <v>2342</v>
      </c>
      <c r="F352" s="30" t="n">
        <v>42805</v>
      </c>
      <c r="G352" s="30" t="n">
        <v>42811</v>
      </c>
      <c r="H352" s="26" t="n">
        <f aca="false">G352-F352</f>
        <v>6</v>
      </c>
      <c r="I352" s="10" t="n">
        <f aca="false">IF(E352="Won",1,0)</f>
        <v>1</v>
      </c>
    </row>
    <row r="353" customFormat="false" ht="15" hidden="false" customHeight="false" outlineLevel="0" collapsed="false">
      <c r="A353" s="10" t="s">
        <v>2694</v>
      </c>
      <c r="B353" s="10" t="s">
        <v>73</v>
      </c>
      <c r="C353" s="10" t="s">
        <v>52</v>
      </c>
      <c r="D353" s="10" t="s">
        <v>321</v>
      </c>
      <c r="E353" s="10" t="s">
        <v>2342</v>
      </c>
      <c r="F353" s="30" t="n">
        <v>42801</v>
      </c>
      <c r="G353" s="30" t="n">
        <v>42811</v>
      </c>
      <c r="H353" s="26" t="n">
        <f aca="false">G353-F353</f>
        <v>10</v>
      </c>
      <c r="I353" s="10" t="n">
        <f aca="false">IF(E353="Won",1,0)</f>
        <v>1</v>
      </c>
    </row>
    <row r="354" customFormat="false" ht="15" hidden="false" customHeight="false" outlineLevel="0" collapsed="false">
      <c r="A354" s="10" t="s">
        <v>2695</v>
      </c>
      <c r="B354" s="10" t="s">
        <v>95</v>
      </c>
      <c r="C354" s="10" t="s">
        <v>48</v>
      </c>
      <c r="D354" s="10" t="s">
        <v>227</v>
      </c>
      <c r="E354" s="10" t="s">
        <v>2342</v>
      </c>
      <c r="F354" s="30" t="n">
        <v>42737</v>
      </c>
      <c r="G354" s="30" t="n">
        <v>42811</v>
      </c>
      <c r="H354" s="26" t="n">
        <f aca="false">G354-F354</f>
        <v>74</v>
      </c>
      <c r="I354" s="10" t="n">
        <f aca="false">IF(E354="Won",1,0)</f>
        <v>1</v>
      </c>
    </row>
    <row r="355" customFormat="false" ht="15" hidden="false" customHeight="false" outlineLevel="0" collapsed="false">
      <c r="A355" s="10" t="s">
        <v>2696</v>
      </c>
      <c r="B355" s="10" t="s">
        <v>97</v>
      </c>
      <c r="C355" s="10" t="s">
        <v>51</v>
      </c>
      <c r="D355" s="10" t="s">
        <v>396</v>
      </c>
      <c r="E355" s="10" t="s">
        <v>2342</v>
      </c>
      <c r="F355" s="30" t="n">
        <v>42806</v>
      </c>
      <c r="G355" s="30" t="n">
        <v>42811</v>
      </c>
      <c r="H355" s="26" t="n">
        <f aca="false">G355-F355</f>
        <v>5</v>
      </c>
      <c r="I355" s="10" t="n">
        <f aca="false">IF(E355="Won",1,0)</f>
        <v>1</v>
      </c>
    </row>
    <row r="356" customFormat="false" ht="15" hidden="false" customHeight="false" outlineLevel="0" collapsed="false">
      <c r="A356" s="10" t="s">
        <v>2697</v>
      </c>
      <c r="B356" s="10" t="s">
        <v>76</v>
      </c>
      <c r="C356" s="10" t="s">
        <v>52</v>
      </c>
      <c r="D356" s="10" t="s">
        <v>388</v>
      </c>
      <c r="E356" s="10" t="s">
        <v>2342</v>
      </c>
      <c r="F356" s="30" t="n">
        <v>42781</v>
      </c>
      <c r="G356" s="30" t="n">
        <v>42811</v>
      </c>
      <c r="H356" s="26" t="n">
        <f aca="false">G356-F356</f>
        <v>30</v>
      </c>
      <c r="I356" s="10" t="n">
        <f aca="false">IF(E356="Won",1,0)</f>
        <v>1</v>
      </c>
    </row>
    <row r="357" customFormat="false" ht="15" hidden="false" customHeight="false" outlineLevel="0" collapsed="false">
      <c r="A357" s="10" t="s">
        <v>2698</v>
      </c>
      <c r="B357" s="10" t="s">
        <v>95</v>
      </c>
      <c r="C357" s="10" t="s">
        <v>51</v>
      </c>
      <c r="D357" s="10" t="s">
        <v>437</v>
      </c>
      <c r="E357" s="10" t="s">
        <v>2345</v>
      </c>
      <c r="F357" s="30" t="n">
        <v>42738</v>
      </c>
      <c r="G357" s="30" t="n">
        <v>42811</v>
      </c>
      <c r="H357" s="26" t="n">
        <f aca="false">G357-F357</f>
        <v>73</v>
      </c>
      <c r="I357" s="10" t="n">
        <f aca="false">IF(E357="Won",1,0)</f>
        <v>0</v>
      </c>
    </row>
    <row r="358" customFormat="false" ht="15" hidden="false" customHeight="false" outlineLevel="0" collapsed="false">
      <c r="A358" s="10" t="s">
        <v>2699</v>
      </c>
      <c r="B358" s="10" t="s">
        <v>77</v>
      </c>
      <c r="C358" s="10" t="s">
        <v>48</v>
      </c>
      <c r="D358" s="10" t="s">
        <v>512</v>
      </c>
      <c r="E358" s="10" t="s">
        <v>2345</v>
      </c>
      <c r="F358" s="30" t="n">
        <v>42775</v>
      </c>
      <c r="G358" s="30" t="n">
        <v>42811</v>
      </c>
      <c r="H358" s="26" t="n">
        <f aca="false">G358-F358</f>
        <v>36</v>
      </c>
      <c r="I358" s="10" t="n">
        <f aca="false">IF(E358="Won",1,0)</f>
        <v>0</v>
      </c>
    </row>
    <row r="359" customFormat="false" ht="15" hidden="false" customHeight="false" outlineLevel="0" collapsed="false">
      <c r="A359" s="10" t="s">
        <v>2700</v>
      </c>
      <c r="B359" s="10" t="s">
        <v>62</v>
      </c>
      <c r="C359" s="10" t="s">
        <v>52</v>
      </c>
      <c r="D359" s="10" t="s">
        <v>532</v>
      </c>
      <c r="E359" s="10" t="s">
        <v>2342</v>
      </c>
      <c r="F359" s="30" t="n">
        <v>42718</v>
      </c>
      <c r="G359" s="30" t="n">
        <v>42812</v>
      </c>
      <c r="H359" s="26" t="n">
        <f aca="false">G359-F359</f>
        <v>94</v>
      </c>
      <c r="I359" s="10" t="n">
        <f aca="false">IF(E359="Won",1,0)</f>
        <v>1</v>
      </c>
    </row>
    <row r="360" customFormat="false" ht="15" hidden="false" customHeight="false" outlineLevel="0" collapsed="false">
      <c r="A360" s="10" t="s">
        <v>2701</v>
      </c>
      <c r="B360" s="10" t="s">
        <v>97</v>
      </c>
      <c r="C360" s="10" t="s">
        <v>47</v>
      </c>
      <c r="D360" s="10" t="s">
        <v>170</v>
      </c>
      <c r="E360" s="10" t="s">
        <v>2342</v>
      </c>
      <c r="F360" s="30" t="n">
        <v>42754</v>
      </c>
      <c r="G360" s="30" t="n">
        <v>42812</v>
      </c>
      <c r="H360" s="26" t="n">
        <f aca="false">G360-F360</f>
        <v>58</v>
      </c>
      <c r="I360" s="10" t="n">
        <f aca="false">IF(E360="Won",1,0)</f>
        <v>1</v>
      </c>
    </row>
    <row r="361" customFormat="false" ht="15" hidden="false" customHeight="false" outlineLevel="0" collapsed="false">
      <c r="A361" s="10" t="s">
        <v>2702</v>
      </c>
      <c r="B361" s="10" t="s">
        <v>79</v>
      </c>
      <c r="C361" s="10" t="s">
        <v>48</v>
      </c>
      <c r="D361" s="10" t="s">
        <v>388</v>
      </c>
      <c r="E361" s="10" t="s">
        <v>2345</v>
      </c>
      <c r="F361" s="30" t="n">
        <v>42678</v>
      </c>
      <c r="G361" s="30" t="n">
        <v>42812</v>
      </c>
      <c r="H361" s="26" t="n">
        <f aca="false">G361-F361</f>
        <v>134</v>
      </c>
      <c r="I361" s="10" t="n">
        <f aca="false">IF(E361="Won",1,0)</f>
        <v>0</v>
      </c>
    </row>
    <row r="362" customFormat="false" ht="15" hidden="false" customHeight="false" outlineLevel="0" collapsed="false">
      <c r="A362" s="10" t="s">
        <v>2703</v>
      </c>
      <c r="B362" s="10" t="s">
        <v>66</v>
      </c>
      <c r="C362" s="10" t="s">
        <v>50</v>
      </c>
      <c r="D362" s="10" t="s">
        <v>396</v>
      </c>
      <c r="E362" s="10" t="s">
        <v>2342</v>
      </c>
      <c r="F362" s="30" t="n">
        <v>42723</v>
      </c>
      <c r="G362" s="30" t="n">
        <v>42812</v>
      </c>
      <c r="H362" s="26" t="n">
        <f aca="false">G362-F362</f>
        <v>89</v>
      </c>
      <c r="I362" s="10" t="n">
        <f aca="false">IF(E362="Won",1,0)</f>
        <v>1</v>
      </c>
    </row>
    <row r="363" customFormat="false" ht="15" hidden="false" customHeight="false" outlineLevel="0" collapsed="false">
      <c r="A363" s="10" t="s">
        <v>2704</v>
      </c>
      <c r="B363" s="10" t="s">
        <v>84</v>
      </c>
      <c r="C363" s="10" t="s">
        <v>50</v>
      </c>
      <c r="D363" s="10" t="s">
        <v>637</v>
      </c>
      <c r="E363" s="10" t="s">
        <v>2342</v>
      </c>
      <c r="F363" s="30" t="n">
        <v>42796</v>
      </c>
      <c r="G363" s="30" t="n">
        <v>42812</v>
      </c>
      <c r="H363" s="26" t="n">
        <f aca="false">G363-F363</f>
        <v>16</v>
      </c>
      <c r="I363" s="10" t="n">
        <f aca="false">IF(E363="Won",1,0)</f>
        <v>1</v>
      </c>
    </row>
    <row r="364" customFormat="false" ht="15" hidden="false" customHeight="false" outlineLevel="0" collapsed="false">
      <c r="A364" s="10" t="s">
        <v>2705</v>
      </c>
      <c r="B364" s="10" t="s">
        <v>70</v>
      </c>
      <c r="C364" s="10" t="s">
        <v>51</v>
      </c>
      <c r="D364" s="10" t="s">
        <v>286</v>
      </c>
      <c r="E364" s="10" t="s">
        <v>2342</v>
      </c>
      <c r="F364" s="30" t="n">
        <v>42716</v>
      </c>
      <c r="G364" s="30" t="n">
        <v>42812</v>
      </c>
      <c r="H364" s="26" t="n">
        <f aca="false">G364-F364</f>
        <v>96</v>
      </c>
      <c r="I364" s="10" t="n">
        <f aca="false">IF(E364="Won",1,0)</f>
        <v>1</v>
      </c>
    </row>
    <row r="365" customFormat="false" ht="15" hidden="false" customHeight="false" outlineLevel="0" collapsed="false">
      <c r="A365" s="10" t="s">
        <v>2706</v>
      </c>
      <c r="B365" s="10" t="s">
        <v>97</v>
      </c>
      <c r="C365" s="10" t="s">
        <v>48</v>
      </c>
      <c r="D365" s="10" t="s">
        <v>172</v>
      </c>
      <c r="E365" s="10" t="s">
        <v>2342</v>
      </c>
      <c r="F365" s="30" t="n">
        <v>42736</v>
      </c>
      <c r="G365" s="30" t="n">
        <v>42812</v>
      </c>
      <c r="H365" s="26" t="n">
        <f aca="false">G365-F365</f>
        <v>76</v>
      </c>
      <c r="I365" s="10" t="n">
        <f aca="false">IF(E365="Won",1,0)</f>
        <v>1</v>
      </c>
    </row>
    <row r="366" customFormat="false" ht="15" hidden="false" customHeight="false" outlineLevel="0" collapsed="false">
      <c r="A366" s="10" t="s">
        <v>2707</v>
      </c>
      <c r="B366" s="10" t="s">
        <v>94</v>
      </c>
      <c r="C366" s="10" t="s">
        <v>52</v>
      </c>
      <c r="D366" s="10" t="s">
        <v>326</v>
      </c>
      <c r="E366" s="10" t="s">
        <v>2342</v>
      </c>
      <c r="F366" s="30" t="n">
        <v>42798</v>
      </c>
      <c r="G366" s="30" t="n">
        <v>42812</v>
      </c>
      <c r="H366" s="26" t="n">
        <f aca="false">G366-F366</f>
        <v>14</v>
      </c>
      <c r="I366" s="10" t="n">
        <f aca="false">IF(E366="Won",1,0)</f>
        <v>1</v>
      </c>
    </row>
    <row r="367" customFormat="false" ht="15" hidden="false" customHeight="false" outlineLevel="0" collapsed="false">
      <c r="A367" s="10" t="s">
        <v>2708</v>
      </c>
      <c r="B367" s="10" t="s">
        <v>93</v>
      </c>
      <c r="C367" s="10" t="s">
        <v>48</v>
      </c>
      <c r="D367" s="10" t="s">
        <v>432</v>
      </c>
      <c r="E367" s="10" t="s">
        <v>2342</v>
      </c>
      <c r="F367" s="30" t="n">
        <v>42738</v>
      </c>
      <c r="G367" s="30" t="n">
        <v>42812</v>
      </c>
      <c r="H367" s="26" t="n">
        <f aca="false">G367-F367</f>
        <v>74</v>
      </c>
      <c r="I367" s="10" t="n">
        <f aca="false">IF(E367="Won",1,0)</f>
        <v>1</v>
      </c>
    </row>
    <row r="368" customFormat="false" ht="15" hidden="false" customHeight="false" outlineLevel="0" collapsed="false">
      <c r="A368" s="10" t="s">
        <v>2709</v>
      </c>
      <c r="B368" s="10" t="s">
        <v>94</v>
      </c>
      <c r="C368" s="10" t="s">
        <v>51</v>
      </c>
      <c r="D368" s="10" t="s">
        <v>483</v>
      </c>
      <c r="E368" s="10" t="s">
        <v>2342</v>
      </c>
      <c r="F368" s="30" t="n">
        <v>42774</v>
      </c>
      <c r="G368" s="30" t="n">
        <v>42812</v>
      </c>
      <c r="H368" s="26" t="n">
        <f aca="false">G368-F368</f>
        <v>38</v>
      </c>
      <c r="I368" s="10" t="n">
        <f aca="false">IF(E368="Won",1,0)</f>
        <v>1</v>
      </c>
    </row>
    <row r="369" customFormat="false" ht="15" hidden="false" customHeight="false" outlineLevel="0" collapsed="false">
      <c r="A369" s="10" t="s">
        <v>2710</v>
      </c>
      <c r="B369" s="10" t="s">
        <v>75</v>
      </c>
      <c r="C369" s="10" t="s">
        <v>52</v>
      </c>
      <c r="D369" s="10" t="s">
        <v>524</v>
      </c>
      <c r="E369" s="10" t="s">
        <v>2342</v>
      </c>
      <c r="F369" s="30" t="n">
        <v>42681</v>
      </c>
      <c r="G369" s="30" t="n">
        <v>42812</v>
      </c>
      <c r="H369" s="26" t="n">
        <f aca="false">G369-F369</f>
        <v>131</v>
      </c>
      <c r="I369" s="10" t="n">
        <f aca="false">IF(E369="Won",1,0)</f>
        <v>1</v>
      </c>
    </row>
    <row r="370" customFormat="false" ht="15" hidden="false" customHeight="false" outlineLevel="0" collapsed="false">
      <c r="A370" s="10" t="s">
        <v>2711</v>
      </c>
      <c r="B370" s="10" t="s">
        <v>77</v>
      </c>
      <c r="C370" s="10" t="s">
        <v>48</v>
      </c>
      <c r="D370" s="10" t="s">
        <v>961</v>
      </c>
      <c r="E370" s="10" t="s">
        <v>2345</v>
      </c>
      <c r="F370" s="30" t="n">
        <v>42741</v>
      </c>
      <c r="G370" s="30" t="n">
        <v>42812</v>
      </c>
      <c r="H370" s="26" t="n">
        <f aca="false">G370-F370</f>
        <v>71</v>
      </c>
      <c r="I370" s="10" t="n">
        <f aca="false">IF(E370="Won",1,0)</f>
        <v>0</v>
      </c>
    </row>
    <row r="371" customFormat="false" ht="15" hidden="false" customHeight="false" outlineLevel="0" collapsed="false">
      <c r="A371" s="10" t="s">
        <v>2712</v>
      </c>
      <c r="B371" s="10" t="s">
        <v>86</v>
      </c>
      <c r="C371" s="10" t="s">
        <v>47</v>
      </c>
      <c r="D371" s="10" t="s">
        <v>1118</v>
      </c>
      <c r="E371" s="10" t="s">
        <v>2342</v>
      </c>
      <c r="F371" s="30" t="n">
        <v>42800</v>
      </c>
      <c r="G371" s="30" t="n">
        <v>42812</v>
      </c>
      <c r="H371" s="26" t="n">
        <f aca="false">G371-F371</f>
        <v>12</v>
      </c>
      <c r="I371" s="10" t="n">
        <f aca="false">IF(E371="Won",1,0)</f>
        <v>1</v>
      </c>
    </row>
    <row r="372" customFormat="false" ht="15" hidden="false" customHeight="false" outlineLevel="0" collapsed="false">
      <c r="A372" s="10" t="s">
        <v>2713</v>
      </c>
      <c r="B372" s="10" t="s">
        <v>77</v>
      </c>
      <c r="C372" s="10" t="s">
        <v>49</v>
      </c>
      <c r="D372" s="10" t="s">
        <v>279</v>
      </c>
      <c r="E372" s="10" t="s">
        <v>2342</v>
      </c>
      <c r="F372" s="30" t="n">
        <v>42693</v>
      </c>
      <c r="G372" s="30" t="n">
        <v>42812</v>
      </c>
      <c r="H372" s="26" t="n">
        <f aca="false">G372-F372</f>
        <v>119</v>
      </c>
      <c r="I372" s="10" t="n">
        <f aca="false">IF(E372="Won",1,0)</f>
        <v>1</v>
      </c>
    </row>
    <row r="373" customFormat="false" ht="15" hidden="false" customHeight="false" outlineLevel="0" collapsed="false">
      <c r="A373" s="10" t="s">
        <v>2714</v>
      </c>
      <c r="B373" s="10" t="s">
        <v>60</v>
      </c>
      <c r="C373" s="10" t="s">
        <v>49</v>
      </c>
      <c r="D373" s="10" t="s">
        <v>350</v>
      </c>
      <c r="E373" s="10" t="s">
        <v>2342</v>
      </c>
      <c r="F373" s="30" t="n">
        <v>42802</v>
      </c>
      <c r="G373" s="30" t="n">
        <v>42812</v>
      </c>
      <c r="H373" s="26" t="n">
        <f aca="false">G373-F373</f>
        <v>10</v>
      </c>
      <c r="I373" s="10" t="n">
        <f aca="false">IF(E373="Won",1,0)</f>
        <v>1</v>
      </c>
    </row>
    <row r="374" customFormat="false" ht="15" hidden="false" customHeight="false" outlineLevel="0" collapsed="false">
      <c r="A374" s="10" t="s">
        <v>2715</v>
      </c>
      <c r="B374" s="10" t="s">
        <v>95</v>
      </c>
      <c r="C374" s="10" t="s">
        <v>48</v>
      </c>
      <c r="D374" s="10" t="s">
        <v>483</v>
      </c>
      <c r="E374" s="10" t="s">
        <v>2345</v>
      </c>
      <c r="F374" s="30" t="n">
        <v>42722</v>
      </c>
      <c r="G374" s="30" t="n">
        <v>42812</v>
      </c>
      <c r="H374" s="26" t="n">
        <f aca="false">G374-F374</f>
        <v>90</v>
      </c>
      <c r="I374" s="10" t="n">
        <f aca="false">IF(E374="Won",1,0)</f>
        <v>0</v>
      </c>
    </row>
    <row r="375" customFormat="false" ht="15" hidden="false" customHeight="false" outlineLevel="0" collapsed="false">
      <c r="A375" s="10" t="s">
        <v>2716</v>
      </c>
      <c r="B375" s="10" t="s">
        <v>80</v>
      </c>
      <c r="C375" s="10" t="s">
        <v>49</v>
      </c>
      <c r="D375" s="10" t="s">
        <v>524</v>
      </c>
      <c r="E375" s="10" t="s">
        <v>2342</v>
      </c>
      <c r="F375" s="30" t="n">
        <v>42802</v>
      </c>
      <c r="G375" s="30" t="n">
        <v>42812</v>
      </c>
      <c r="H375" s="26" t="n">
        <f aca="false">G375-F375</f>
        <v>10</v>
      </c>
      <c r="I375" s="10" t="n">
        <f aca="false">IF(E375="Won",1,0)</f>
        <v>1</v>
      </c>
    </row>
    <row r="376" customFormat="false" ht="15" hidden="false" customHeight="false" outlineLevel="0" collapsed="false">
      <c r="A376" s="10" t="s">
        <v>2717</v>
      </c>
      <c r="B376" s="10" t="s">
        <v>71</v>
      </c>
      <c r="C376" s="10" t="s">
        <v>47</v>
      </c>
      <c r="D376" s="10" t="s">
        <v>1948</v>
      </c>
      <c r="E376" s="10" t="s">
        <v>2342</v>
      </c>
      <c r="F376" s="30" t="n">
        <v>42743</v>
      </c>
      <c r="G376" s="30" t="n">
        <v>42812</v>
      </c>
      <c r="H376" s="26" t="n">
        <f aca="false">G376-F376</f>
        <v>69</v>
      </c>
      <c r="I376" s="10" t="n">
        <f aca="false">IF(E376="Won",1,0)</f>
        <v>1</v>
      </c>
    </row>
    <row r="377" customFormat="false" ht="15" hidden="false" customHeight="false" outlineLevel="0" collapsed="false">
      <c r="A377" s="10" t="s">
        <v>2718</v>
      </c>
      <c r="B377" s="10" t="s">
        <v>62</v>
      </c>
      <c r="C377" s="10" t="s">
        <v>51</v>
      </c>
      <c r="D377" s="10" t="s">
        <v>692</v>
      </c>
      <c r="E377" s="10" t="s">
        <v>2342</v>
      </c>
      <c r="F377" s="30" t="n">
        <v>42714</v>
      </c>
      <c r="G377" s="30" t="n">
        <v>42812</v>
      </c>
      <c r="H377" s="26" t="n">
        <f aca="false">G377-F377</f>
        <v>98</v>
      </c>
      <c r="I377" s="10" t="n">
        <f aca="false">IF(E377="Won",1,0)</f>
        <v>1</v>
      </c>
    </row>
    <row r="378" customFormat="false" ht="15" hidden="false" customHeight="false" outlineLevel="0" collapsed="false">
      <c r="A378" s="10" t="s">
        <v>2719</v>
      </c>
      <c r="B378" s="10" t="s">
        <v>95</v>
      </c>
      <c r="C378" s="10" t="s">
        <v>47</v>
      </c>
      <c r="D378" s="10" t="s">
        <v>487</v>
      </c>
      <c r="E378" s="10" t="s">
        <v>2345</v>
      </c>
      <c r="F378" s="30" t="n">
        <v>42715</v>
      </c>
      <c r="G378" s="30" t="n">
        <v>42812</v>
      </c>
      <c r="H378" s="26" t="n">
        <f aca="false">G378-F378</f>
        <v>97</v>
      </c>
      <c r="I378" s="10" t="n">
        <f aca="false">IF(E378="Won",1,0)</f>
        <v>0</v>
      </c>
    </row>
    <row r="379" customFormat="false" ht="15" hidden="false" customHeight="false" outlineLevel="0" collapsed="false">
      <c r="A379" s="10" t="s">
        <v>2720</v>
      </c>
      <c r="B379" s="10" t="s">
        <v>77</v>
      </c>
      <c r="C379" s="10" t="s">
        <v>51</v>
      </c>
      <c r="D379" s="10" t="s">
        <v>524</v>
      </c>
      <c r="E379" s="10" t="s">
        <v>2342</v>
      </c>
      <c r="F379" s="30" t="n">
        <v>42756</v>
      </c>
      <c r="G379" s="30" t="n">
        <v>42813</v>
      </c>
      <c r="H379" s="26" t="n">
        <f aca="false">G379-F379</f>
        <v>57</v>
      </c>
      <c r="I379" s="10" t="n">
        <f aca="false">IF(E379="Won",1,0)</f>
        <v>1</v>
      </c>
    </row>
    <row r="380" customFormat="false" ht="15" hidden="false" customHeight="false" outlineLevel="0" collapsed="false">
      <c r="A380" s="10" t="s">
        <v>2721</v>
      </c>
      <c r="B380" s="10" t="s">
        <v>87</v>
      </c>
      <c r="C380" s="10" t="s">
        <v>49</v>
      </c>
      <c r="D380" s="10" t="s">
        <v>453</v>
      </c>
      <c r="E380" s="10" t="s">
        <v>2345</v>
      </c>
      <c r="F380" s="30" t="n">
        <v>42752</v>
      </c>
      <c r="G380" s="30" t="n">
        <v>42813</v>
      </c>
      <c r="H380" s="26" t="n">
        <f aca="false">G380-F380</f>
        <v>61</v>
      </c>
      <c r="I380" s="10" t="n">
        <f aca="false">IF(E380="Won",1,0)</f>
        <v>0</v>
      </c>
    </row>
    <row r="381" customFormat="false" ht="15" hidden="false" customHeight="false" outlineLevel="0" collapsed="false">
      <c r="A381" s="10" t="s">
        <v>2722</v>
      </c>
      <c r="B381" s="10" t="s">
        <v>96</v>
      </c>
      <c r="C381" s="10" t="s">
        <v>50</v>
      </c>
      <c r="D381" s="10" t="s">
        <v>424</v>
      </c>
      <c r="E381" s="10" t="s">
        <v>2342</v>
      </c>
      <c r="F381" s="30" t="n">
        <v>42702</v>
      </c>
      <c r="G381" s="30" t="n">
        <v>42813</v>
      </c>
      <c r="H381" s="26" t="n">
        <f aca="false">G381-F381</f>
        <v>111</v>
      </c>
      <c r="I381" s="10" t="n">
        <f aca="false">IF(E381="Won",1,0)</f>
        <v>1</v>
      </c>
    </row>
    <row r="382" customFormat="false" ht="15" hidden="false" customHeight="false" outlineLevel="0" collapsed="false">
      <c r="A382" s="10" t="s">
        <v>2723</v>
      </c>
      <c r="B382" s="10" t="s">
        <v>87</v>
      </c>
      <c r="C382" s="10" t="s">
        <v>51</v>
      </c>
      <c r="D382" s="10" t="s">
        <v>1334</v>
      </c>
      <c r="E382" s="10" t="s">
        <v>2342</v>
      </c>
      <c r="F382" s="30" t="n">
        <v>42808</v>
      </c>
      <c r="G382" s="30" t="n">
        <v>42813</v>
      </c>
      <c r="H382" s="26" t="n">
        <f aca="false">G382-F382</f>
        <v>5</v>
      </c>
      <c r="I382" s="10" t="n">
        <f aca="false">IF(E382="Won",1,0)</f>
        <v>1</v>
      </c>
    </row>
    <row r="383" customFormat="false" ht="15" hidden="false" customHeight="false" outlineLevel="0" collapsed="false">
      <c r="A383" s="10" t="s">
        <v>2724</v>
      </c>
      <c r="B383" s="10" t="s">
        <v>87</v>
      </c>
      <c r="C383" s="10" t="s">
        <v>50</v>
      </c>
      <c r="D383" s="10" t="s">
        <v>215</v>
      </c>
      <c r="E383" s="10" t="s">
        <v>2342</v>
      </c>
      <c r="F383" s="30" t="n">
        <v>42736</v>
      </c>
      <c r="G383" s="30" t="n">
        <v>42813</v>
      </c>
      <c r="H383" s="26" t="n">
        <f aca="false">G383-F383</f>
        <v>77</v>
      </c>
      <c r="I383" s="10" t="n">
        <f aca="false">IF(E383="Won",1,0)</f>
        <v>1</v>
      </c>
    </row>
    <row r="384" customFormat="false" ht="15" hidden="false" customHeight="false" outlineLevel="0" collapsed="false">
      <c r="A384" s="10" t="s">
        <v>2725</v>
      </c>
      <c r="B384" s="10" t="s">
        <v>95</v>
      </c>
      <c r="C384" s="10" t="s">
        <v>51</v>
      </c>
      <c r="D384" s="10" t="s">
        <v>487</v>
      </c>
      <c r="E384" s="10" t="s">
        <v>2342</v>
      </c>
      <c r="F384" s="30" t="n">
        <v>42686</v>
      </c>
      <c r="G384" s="30" t="n">
        <v>42813</v>
      </c>
      <c r="H384" s="26" t="n">
        <f aca="false">G384-F384</f>
        <v>127</v>
      </c>
      <c r="I384" s="10" t="n">
        <f aca="false">IF(E384="Won",1,0)</f>
        <v>1</v>
      </c>
    </row>
    <row r="385" customFormat="false" ht="15" hidden="false" customHeight="false" outlineLevel="0" collapsed="false">
      <c r="A385" s="10" t="s">
        <v>2726</v>
      </c>
      <c r="B385" s="10" t="s">
        <v>88</v>
      </c>
      <c r="C385" s="10" t="s">
        <v>50</v>
      </c>
      <c r="D385" s="10" t="s">
        <v>277</v>
      </c>
      <c r="E385" s="10" t="s">
        <v>2342</v>
      </c>
      <c r="F385" s="30" t="n">
        <v>42761</v>
      </c>
      <c r="G385" s="30" t="n">
        <v>42813</v>
      </c>
      <c r="H385" s="26" t="n">
        <f aca="false">G385-F385</f>
        <v>52</v>
      </c>
      <c r="I385" s="10" t="n">
        <f aca="false">IF(E385="Won",1,0)</f>
        <v>1</v>
      </c>
    </row>
    <row r="386" customFormat="false" ht="15" hidden="false" customHeight="false" outlineLevel="0" collapsed="false">
      <c r="A386" s="10" t="s">
        <v>2727</v>
      </c>
      <c r="B386" s="10" t="s">
        <v>79</v>
      </c>
      <c r="C386" s="10" t="s">
        <v>51</v>
      </c>
      <c r="D386" s="10" t="s">
        <v>1251</v>
      </c>
      <c r="E386" s="10" t="s">
        <v>2342</v>
      </c>
      <c r="F386" s="30" t="n">
        <v>42733</v>
      </c>
      <c r="G386" s="30" t="n">
        <v>42813</v>
      </c>
      <c r="H386" s="26" t="n">
        <f aca="false">G386-F386</f>
        <v>80</v>
      </c>
      <c r="I386" s="10" t="n">
        <f aca="false">IF(E386="Won",1,0)</f>
        <v>1</v>
      </c>
    </row>
    <row r="387" customFormat="false" ht="15" hidden="false" customHeight="false" outlineLevel="0" collapsed="false">
      <c r="A387" s="10" t="s">
        <v>2728</v>
      </c>
      <c r="B387" s="10" t="s">
        <v>69</v>
      </c>
      <c r="C387" s="10" t="s">
        <v>49</v>
      </c>
      <c r="D387" s="10" t="s">
        <v>299</v>
      </c>
      <c r="E387" s="10" t="s">
        <v>2342</v>
      </c>
      <c r="F387" s="30" t="n">
        <v>42761</v>
      </c>
      <c r="G387" s="30" t="n">
        <v>42813</v>
      </c>
      <c r="H387" s="26" t="n">
        <f aca="false">G387-F387</f>
        <v>52</v>
      </c>
      <c r="I387" s="10" t="n">
        <f aca="false">IF(E387="Won",1,0)</f>
        <v>1</v>
      </c>
    </row>
    <row r="388" customFormat="false" ht="15" hidden="false" customHeight="false" outlineLevel="0" collapsed="false">
      <c r="A388" s="10" t="s">
        <v>2729</v>
      </c>
      <c r="B388" s="10" t="s">
        <v>80</v>
      </c>
      <c r="C388" s="10" t="s">
        <v>48</v>
      </c>
      <c r="D388" s="10" t="s">
        <v>193</v>
      </c>
      <c r="E388" s="10" t="s">
        <v>2342</v>
      </c>
      <c r="F388" s="30" t="n">
        <v>42740</v>
      </c>
      <c r="G388" s="30" t="n">
        <v>42813</v>
      </c>
      <c r="H388" s="26" t="n">
        <f aca="false">G388-F388</f>
        <v>73</v>
      </c>
      <c r="I388" s="10" t="n">
        <f aca="false">IF(E388="Won",1,0)</f>
        <v>1</v>
      </c>
    </row>
    <row r="389" customFormat="false" ht="15" hidden="false" customHeight="false" outlineLevel="0" collapsed="false">
      <c r="A389" s="10" t="s">
        <v>2730</v>
      </c>
      <c r="B389" s="10" t="s">
        <v>83</v>
      </c>
      <c r="C389" s="10" t="s">
        <v>49</v>
      </c>
      <c r="D389" s="10" t="s">
        <v>524</v>
      </c>
      <c r="E389" s="10" t="s">
        <v>2342</v>
      </c>
      <c r="F389" s="30" t="n">
        <v>42800</v>
      </c>
      <c r="G389" s="30" t="n">
        <v>42813</v>
      </c>
      <c r="H389" s="26" t="n">
        <f aca="false">G389-F389</f>
        <v>13</v>
      </c>
      <c r="I389" s="10" t="n">
        <f aca="false">IF(E389="Won",1,0)</f>
        <v>1</v>
      </c>
    </row>
    <row r="390" customFormat="false" ht="15" hidden="false" customHeight="false" outlineLevel="0" collapsed="false">
      <c r="A390" s="10" t="s">
        <v>2731</v>
      </c>
      <c r="B390" s="10" t="s">
        <v>95</v>
      </c>
      <c r="C390" s="10" t="s">
        <v>51</v>
      </c>
      <c r="D390" s="10" t="s">
        <v>419</v>
      </c>
      <c r="E390" s="10" t="s">
        <v>2342</v>
      </c>
      <c r="F390" s="30" t="n">
        <v>42796</v>
      </c>
      <c r="G390" s="30" t="n">
        <v>42813</v>
      </c>
      <c r="H390" s="26" t="n">
        <f aca="false">G390-F390</f>
        <v>17</v>
      </c>
      <c r="I390" s="10" t="n">
        <f aca="false">IF(E390="Won",1,0)</f>
        <v>1</v>
      </c>
    </row>
    <row r="391" customFormat="false" ht="15" hidden="false" customHeight="false" outlineLevel="0" collapsed="false">
      <c r="A391" s="10" t="s">
        <v>2732</v>
      </c>
      <c r="B391" s="10" t="s">
        <v>77</v>
      </c>
      <c r="C391" s="10" t="s">
        <v>48</v>
      </c>
      <c r="D391" s="10" t="s">
        <v>660</v>
      </c>
      <c r="E391" s="10" t="s">
        <v>2345</v>
      </c>
      <c r="F391" s="30" t="n">
        <v>42707</v>
      </c>
      <c r="G391" s="30" t="n">
        <v>42813</v>
      </c>
      <c r="H391" s="26" t="n">
        <f aca="false">G391-F391</f>
        <v>106</v>
      </c>
      <c r="I391" s="10" t="n">
        <f aca="false">IF(E391="Won",1,0)</f>
        <v>0</v>
      </c>
    </row>
    <row r="392" customFormat="false" ht="15" hidden="false" customHeight="false" outlineLevel="0" collapsed="false">
      <c r="A392" s="10" t="s">
        <v>2733</v>
      </c>
      <c r="B392" s="10" t="s">
        <v>95</v>
      </c>
      <c r="C392" s="10" t="s">
        <v>48</v>
      </c>
      <c r="D392" s="10" t="s">
        <v>396</v>
      </c>
      <c r="E392" s="10" t="s">
        <v>2342</v>
      </c>
      <c r="F392" s="30" t="n">
        <v>42802</v>
      </c>
      <c r="G392" s="30" t="n">
        <v>42813</v>
      </c>
      <c r="H392" s="26" t="n">
        <f aca="false">G392-F392</f>
        <v>11</v>
      </c>
      <c r="I392" s="10" t="n">
        <f aca="false">IF(E392="Won",1,0)</f>
        <v>1</v>
      </c>
    </row>
    <row r="393" customFormat="false" ht="15" hidden="false" customHeight="false" outlineLevel="0" collapsed="false">
      <c r="A393" s="10" t="s">
        <v>2734</v>
      </c>
      <c r="B393" s="10" t="s">
        <v>71</v>
      </c>
      <c r="C393" s="10" t="s">
        <v>52</v>
      </c>
      <c r="D393" s="10" t="s">
        <v>279</v>
      </c>
      <c r="E393" s="10" t="s">
        <v>2342</v>
      </c>
      <c r="F393" s="30" t="n">
        <v>42804</v>
      </c>
      <c r="G393" s="30" t="n">
        <v>42813</v>
      </c>
      <c r="H393" s="26" t="n">
        <f aca="false">G393-F393</f>
        <v>9</v>
      </c>
      <c r="I393" s="10" t="n">
        <f aca="false">IF(E393="Won",1,0)</f>
        <v>1</v>
      </c>
    </row>
    <row r="394" customFormat="false" ht="15" hidden="false" customHeight="false" outlineLevel="0" collapsed="false">
      <c r="A394" s="10" t="s">
        <v>2735</v>
      </c>
      <c r="B394" s="10" t="s">
        <v>84</v>
      </c>
      <c r="C394" s="10" t="s">
        <v>47</v>
      </c>
      <c r="D394" s="10" t="s">
        <v>359</v>
      </c>
      <c r="E394" s="10" t="s">
        <v>2342</v>
      </c>
      <c r="F394" s="30" t="n">
        <v>42744</v>
      </c>
      <c r="G394" s="30" t="n">
        <v>42813</v>
      </c>
      <c r="H394" s="26" t="n">
        <f aca="false">G394-F394</f>
        <v>69</v>
      </c>
      <c r="I394" s="10" t="n">
        <f aca="false">IF(E394="Won",1,0)</f>
        <v>1</v>
      </c>
    </row>
    <row r="395" customFormat="false" ht="15" hidden="false" customHeight="false" outlineLevel="0" collapsed="false">
      <c r="A395" s="10" t="s">
        <v>2736</v>
      </c>
      <c r="B395" s="10" t="s">
        <v>77</v>
      </c>
      <c r="C395" s="10" t="s">
        <v>47</v>
      </c>
      <c r="D395" s="10" t="s">
        <v>947</v>
      </c>
      <c r="E395" s="10" t="s">
        <v>2342</v>
      </c>
      <c r="F395" s="30" t="n">
        <v>42717</v>
      </c>
      <c r="G395" s="30" t="n">
        <v>42814</v>
      </c>
      <c r="H395" s="26" t="n">
        <f aca="false">G395-F395</f>
        <v>97</v>
      </c>
      <c r="I395" s="10" t="n">
        <f aca="false">IF(E395="Won",1,0)</f>
        <v>1</v>
      </c>
    </row>
    <row r="396" customFormat="false" ht="15" hidden="false" customHeight="false" outlineLevel="0" collapsed="false">
      <c r="A396" s="10" t="s">
        <v>2737</v>
      </c>
      <c r="B396" s="10" t="s">
        <v>94</v>
      </c>
      <c r="C396" s="10" t="s">
        <v>51</v>
      </c>
      <c r="D396" s="10" t="s">
        <v>437</v>
      </c>
      <c r="E396" s="10" t="s">
        <v>2342</v>
      </c>
      <c r="F396" s="30" t="n">
        <v>42711</v>
      </c>
      <c r="G396" s="30" t="n">
        <v>42814</v>
      </c>
      <c r="H396" s="26" t="n">
        <f aca="false">G396-F396</f>
        <v>103</v>
      </c>
      <c r="I396" s="10" t="n">
        <f aca="false">IF(E396="Won",1,0)</f>
        <v>1</v>
      </c>
    </row>
    <row r="397" customFormat="false" ht="15" hidden="false" customHeight="false" outlineLevel="0" collapsed="false">
      <c r="A397" s="10" t="s">
        <v>2738</v>
      </c>
      <c r="B397" s="10" t="s">
        <v>87</v>
      </c>
      <c r="C397" s="10" t="s">
        <v>52</v>
      </c>
      <c r="D397" s="10" t="s">
        <v>453</v>
      </c>
      <c r="E397" s="10" t="s">
        <v>2345</v>
      </c>
      <c r="F397" s="30" t="n">
        <v>42711</v>
      </c>
      <c r="G397" s="30" t="n">
        <v>42814</v>
      </c>
      <c r="H397" s="26" t="n">
        <f aca="false">G397-F397</f>
        <v>103</v>
      </c>
      <c r="I397" s="10" t="n">
        <f aca="false">IF(E397="Won",1,0)</f>
        <v>0</v>
      </c>
    </row>
    <row r="398" customFormat="false" ht="15" hidden="false" customHeight="false" outlineLevel="0" collapsed="false">
      <c r="A398" s="10" t="s">
        <v>2739</v>
      </c>
      <c r="B398" s="10" t="s">
        <v>76</v>
      </c>
      <c r="C398" s="10" t="s">
        <v>52</v>
      </c>
      <c r="D398" s="10" t="s">
        <v>369</v>
      </c>
      <c r="E398" s="10" t="s">
        <v>2345</v>
      </c>
      <c r="F398" s="30" t="n">
        <v>42798</v>
      </c>
      <c r="G398" s="30" t="n">
        <v>42814</v>
      </c>
      <c r="H398" s="26" t="n">
        <f aca="false">G398-F398</f>
        <v>16</v>
      </c>
      <c r="I398" s="10" t="n">
        <f aca="false">IF(E398="Won",1,0)</f>
        <v>0</v>
      </c>
    </row>
    <row r="399" customFormat="false" ht="15" hidden="false" customHeight="false" outlineLevel="0" collapsed="false">
      <c r="A399" s="10" t="s">
        <v>2740</v>
      </c>
      <c r="B399" s="10" t="s">
        <v>57</v>
      </c>
      <c r="C399" s="10" t="s">
        <v>51</v>
      </c>
      <c r="D399" s="10" t="s">
        <v>185</v>
      </c>
      <c r="E399" s="10" t="s">
        <v>2342</v>
      </c>
      <c r="F399" s="30" t="n">
        <v>42708</v>
      </c>
      <c r="G399" s="30" t="n">
        <v>42814</v>
      </c>
      <c r="H399" s="26" t="n">
        <f aca="false">G399-F399</f>
        <v>106</v>
      </c>
      <c r="I399" s="10" t="n">
        <f aca="false">IF(E399="Won",1,0)</f>
        <v>1</v>
      </c>
    </row>
    <row r="400" customFormat="false" ht="15" hidden="false" customHeight="false" outlineLevel="0" collapsed="false">
      <c r="A400" s="10" t="s">
        <v>2741</v>
      </c>
      <c r="B400" s="10" t="s">
        <v>77</v>
      </c>
      <c r="C400" s="10" t="s">
        <v>50</v>
      </c>
      <c r="D400" s="10" t="s">
        <v>597</v>
      </c>
      <c r="E400" s="10" t="s">
        <v>2342</v>
      </c>
      <c r="F400" s="30" t="n">
        <v>42798</v>
      </c>
      <c r="G400" s="30" t="n">
        <v>42814</v>
      </c>
      <c r="H400" s="26" t="n">
        <f aca="false">G400-F400</f>
        <v>16</v>
      </c>
      <c r="I400" s="10" t="n">
        <f aca="false">IF(E400="Won",1,0)</f>
        <v>1</v>
      </c>
    </row>
    <row r="401" customFormat="false" ht="15" hidden="false" customHeight="false" outlineLevel="0" collapsed="false">
      <c r="A401" s="10" t="s">
        <v>2742</v>
      </c>
      <c r="B401" s="10" t="s">
        <v>96</v>
      </c>
      <c r="C401" s="10" t="s">
        <v>47</v>
      </c>
      <c r="D401" s="10" t="s">
        <v>233</v>
      </c>
      <c r="E401" s="10" t="s">
        <v>2345</v>
      </c>
      <c r="F401" s="30" t="n">
        <v>42804</v>
      </c>
      <c r="G401" s="30" t="n">
        <v>42814</v>
      </c>
      <c r="H401" s="26" t="n">
        <f aca="false">G401-F401</f>
        <v>10</v>
      </c>
      <c r="I401" s="10" t="n">
        <f aca="false">IF(E401="Won",1,0)</f>
        <v>0</v>
      </c>
    </row>
    <row r="402" customFormat="false" ht="15" hidden="false" customHeight="false" outlineLevel="0" collapsed="false">
      <c r="A402" s="10" t="s">
        <v>2743</v>
      </c>
      <c r="B402" s="10" t="s">
        <v>62</v>
      </c>
      <c r="C402" s="10" t="s">
        <v>52</v>
      </c>
      <c r="D402" s="10" t="s">
        <v>464</v>
      </c>
      <c r="E402" s="10" t="s">
        <v>2342</v>
      </c>
      <c r="F402" s="30" t="n">
        <v>42718</v>
      </c>
      <c r="G402" s="30" t="n">
        <v>42814</v>
      </c>
      <c r="H402" s="26" t="n">
        <f aca="false">G402-F402</f>
        <v>96</v>
      </c>
      <c r="I402" s="10" t="n">
        <f aca="false">IF(E402="Won",1,0)</f>
        <v>1</v>
      </c>
    </row>
    <row r="403" customFormat="false" ht="15" hidden="false" customHeight="false" outlineLevel="0" collapsed="false">
      <c r="A403" s="10" t="s">
        <v>2744</v>
      </c>
      <c r="B403" s="10" t="s">
        <v>70</v>
      </c>
      <c r="C403" s="10" t="s">
        <v>51</v>
      </c>
      <c r="D403" s="10" t="s">
        <v>514</v>
      </c>
      <c r="E403" s="10" t="s">
        <v>2342</v>
      </c>
      <c r="F403" s="30" t="n">
        <v>42787</v>
      </c>
      <c r="G403" s="30" t="n">
        <v>42814</v>
      </c>
      <c r="H403" s="26" t="n">
        <f aca="false">G403-F403</f>
        <v>27</v>
      </c>
      <c r="I403" s="10" t="n">
        <f aca="false">IF(E403="Won",1,0)</f>
        <v>1</v>
      </c>
    </row>
    <row r="404" customFormat="false" ht="15" hidden="false" customHeight="false" outlineLevel="0" collapsed="false">
      <c r="A404" s="10" t="s">
        <v>2745</v>
      </c>
      <c r="B404" s="10" t="s">
        <v>67</v>
      </c>
      <c r="C404" s="10" t="s">
        <v>50</v>
      </c>
      <c r="D404" s="10" t="s">
        <v>487</v>
      </c>
      <c r="E404" s="10" t="s">
        <v>2342</v>
      </c>
      <c r="F404" s="30" t="n">
        <v>42721</v>
      </c>
      <c r="G404" s="30" t="n">
        <v>42814</v>
      </c>
      <c r="H404" s="26" t="n">
        <f aca="false">G404-F404</f>
        <v>93</v>
      </c>
      <c r="I404" s="10" t="n">
        <f aca="false">IF(E404="Won",1,0)</f>
        <v>1</v>
      </c>
    </row>
    <row r="405" customFormat="false" ht="15" hidden="false" customHeight="false" outlineLevel="0" collapsed="false">
      <c r="A405" s="10" t="s">
        <v>2746</v>
      </c>
      <c r="B405" s="10" t="s">
        <v>90</v>
      </c>
      <c r="C405" s="10" t="s">
        <v>50</v>
      </c>
      <c r="D405" s="10" t="s">
        <v>692</v>
      </c>
      <c r="E405" s="10" t="s">
        <v>2342</v>
      </c>
      <c r="F405" s="30" t="n">
        <v>42775</v>
      </c>
      <c r="G405" s="30" t="n">
        <v>42814</v>
      </c>
      <c r="H405" s="26" t="n">
        <f aca="false">G405-F405</f>
        <v>39</v>
      </c>
      <c r="I405" s="10" t="n">
        <f aca="false">IF(E405="Won",1,0)</f>
        <v>1</v>
      </c>
    </row>
    <row r="406" customFormat="false" ht="15" hidden="false" customHeight="false" outlineLevel="0" collapsed="false">
      <c r="A406" s="10" t="s">
        <v>2747</v>
      </c>
      <c r="B406" s="10" t="s">
        <v>97</v>
      </c>
      <c r="C406" s="10" t="s">
        <v>51</v>
      </c>
      <c r="D406" s="10" t="s">
        <v>170</v>
      </c>
      <c r="E406" s="10" t="s">
        <v>2345</v>
      </c>
      <c r="F406" s="30" t="n">
        <v>42755</v>
      </c>
      <c r="G406" s="30" t="n">
        <v>42814</v>
      </c>
      <c r="H406" s="26" t="n">
        <f aca="false">G406-F406</f>
        <v>59</v>
      </c>
      <c r="I406" s="10" t="n">
        <f aca="false">IF(E406="Won",1,0)</f>
        <v>0</v>
      </c>
    </row>
    <row r="407" customFormat="false" ht="15" hidden="false" customHeight="false" outlineLevel="0" collapsed="false">
      <c r="A407" s="10" t="s">
        <v>2748</v>
      </c>
      <c r="B407" s="10" t="s">
        <v>66</v>
      </c>
      <c r="C407" s="10" t="s">
        <v>49</v>
      </c>
      <c r="D407" s="10" t="s">
        <v>497</v>
      </c>
      <c r="E407" s="10" t="s">
        <v>2342</v>
      </c>
      <c r="F407" s="30" t="n">
        <v>42808</v>
      </c>
      <c r="G407" s="30" t="n">
        <v>42814</v>
      </c>
      <c r="H407" s="26" t="n">
        <f aca="false">G407-F407</f>
        <v>6</v>
      </c>
      <c r="I407" s="10" t="n">
        <f aca="false">IF(E407="Won",1,0)</f>
        <v>1</v>
      </c>
    </row>
    <row r="408" customFormat="false" ht="15" hidden="false" customHeight="false" outlineLevel="0" collapsed="false">
      <c r="A408" s="10" t="s">
        <v>2749</v>
      </c>
      <c r="B408" s="10" t="s">
        <v>95</v>
      </c>
      <c r="C408" s="10" t="s">
        <v>51</v>
      </c>
      <c r="D408" s="10" t="s">
        <v>348</v>
      </c>
      <c r="E408" s="10" t="s">
        <v>2342</v>
      </c>
      <c r="F408" s="30" t="n">
        <v>42706</v>
      </c>
      <c r="G408" s="30" t="n">
        <v>42814</v>
      </c>
      <c r="H408" s="26" t="n">
        <f aca="false">G408-F408</f>
        <v>108</v>
      </c>
      <c r="I408" s="10" t="n">
        <f aca="false">IF(E408="Won",1,0)</f>
        <v>1</v>
      </c>
    </row>
    <row r="409" customFormat="false" ht="15" hidden="false" customHeight="false" outlineLevel="0" collapsed="false">
      <c r="A409" s="10" t="s">
        <v>2750</v>
      </c>
      <c r="B409" s="10" t="s">
        <v>86</v>
      </c>
      <c r="C409" s="10" t="s">
        <v>48</v>
      </c>
      <c r="D409" s="10" t="s">
        <v>332</v>
      </c>
      <c r="E409" s="10" t="s">
        <v>2342</v>
      </c>
      <c r="F409" s="30" t="n">
        <v>42776</v>
      </c>
      <c r="G409" s="30" t="n">
        <v>42814</v>
      </c>
      <c r="H409" s="26" t="n">
        <f aca="false">G409-F409</f>
        <v>38</v>
      </c>
      <c r="I409" s="10" t="n">
        <f aca="false">IF(E409="Won",1,0)</f>
        <v>1</v>
      </c>
    </row>
    <row r="410" customFormat="false" ht="15" hidden="false" customHeight="false" outlineLevel="0" collapsed="false">
      <c r="A410" s="10" t="s">
        <v>2751</v>
      </c>
      <c r="B410" s="10" t="s">
        <v>77</v>
      </c>
      <c r="C410" s="10" t="s">
        <v>52</v>
      </c>
      <c r="D410" s="10" t="s">
        <v>267</v>
      </c>
      <c r="E410" s="10" t="s">
        <v>2342</v>
      </c>
      <c r="F410" s="30" t="n">
        <v>42809</v>
      </c>
      <c r="G410" s="30" t="n">
        <v>42814</v>
      </c>
      <c r="H410" s="26" t="n">
        <f aca="false">G410-F410</f>
        <v>5</v>
      </c>
      <c r="I410" s="10" t="n">
        <f aca="false">IF(E410="Won",1,0)</f>
        <v>1</v>
      </c>
    </row>
    <row r="411" customFormat="false" ht="15" hidden="false" customHeight="false" outlineLevel="0" collapsed="false">
      <c r="A411" s="10" t="s">
        <v>2752</v>
      </c>
      <c r="B411" s="10" t="s">
        <v>61</v>
      </c>
      <c r="C411" s="10" t="s">
        <v>49</v>
      </c>
      <c r="D411" s="10" t="s">
        <v>455</v>
      </c>
      <c r="E411" s="10" t="s">
        <v>2345</v>
      </c>
      <c r="F411" s="30" t="n">
        <v>42696</v>
      </c>
      <c r="G411" s="30" t="n">
        <v>42814</v>
      </c>
      <c r="H411" s="26" t="n">
        <f aca="false">G411-F411</f>
        <v>118</v>
      </c>
      <c r="I411" s="10" t="n">
        <f aca="false">IF(E411="Won",1,0)</f>
        <v>0</v>
      </c>
    </row>
    <row r="412" customFormat="false" ht="15" hidden="false" customHeight="false" outlineLevel="0" collapsed="false">
      <c r="A412" s="10" t="s">
        <v>2753</v>
      </c>
      <c r="B412" s="10" t="s">
        <v>88</v>
      </c>
      <c r="C412" s="10" t="s">
        <v>48</v>
      </c>
      <c r="D412" s="10" t="s">
        <v>453</v>
      </c>
      <c r="E412" s="10" t="s">
        <v>2342</v>
      </c>
      <c r="F412" s="30" t="n">
        <v>42712</v>
      </c>
      <c r="G412" s="30" t="n">
        <v>42814</v>
      </c>
      <c r="H412" s="26" t="n">
        <f aca="false">G412-F412</f>
        <v>102</v>
      </c>
      <c r="I412" s="10" t="n">
        <f aca="false">IF(E412="Won",1,0)</f>
        <v>1</v>
      </c>
    </row>
    <row r="413" customFormat="false" ht="15" hidden="false" customHeight="false" outlineLevel="0" collapsed="false">
      <c r="A413" s="10" t="s">
        <v>2754</v>
      </c>
      <c r="B413" s="10" t="s">
        <v>73</v>
      </c>
      <c r="C413" s="10" t="s">
        <v>49</v>
      </c>
      <c r="D413" s="10" t="s">
        <v>369</v>
      </c>
      <c r="E413" s="10" t="s">
        <v>2342</v>
      </c>
      <c r="F413" s="30" t="n">
        <v>42804</v>
      </c>
      <c r="G413" s="30" t="n">
        <v>42814</v>
      </c>
      <c r="H413" s="26" t="n">
        <f aca="false">G413-F413</f>
        <v>10</v>
      </c>
      <c r="I413" s="10" t="n">
        <f aca="false">IF(E413="Won",1,0)</f>
        <v>1</v>
      </c>
    </row>
    <row r="414" customFormat="false" ht="15" hidden="false" customHeight="false" outlineLevel="0" collapsed="false">
      <c r="A414" s="10" t="s">
        <v>2755</v>
      </c>
      <c r="B414" s="10" t="s">
        <v>74</v>
      </c>
      <c r="C414" s="10" t="s">
        <v>51</v>
      </c>
      <c r="D414" s="10" t="s">
        <v>536</v>
      </c>
      <c r="E414" s="10" t="s">
        <v>2345</v>
      </c>
      <c r="F414" s="30" t="n">
        <v>42741</v>
      </c>
      <c r="G414" s="30" t="n">
        <v>42814</v>
      </c>
      <c r="H414" s="26" t="n">
        <f aca="false">G414-F414</f>
        <v>73</v>
      </c>
      <c r="I414" s="10" t="n">
        <f aca="false">IF(E414="Won",1,0)</f>
        <v>0</v>
      </c>
    </row>
    <row r="415" customFormat="false" ht="15" hidden="false" customHeight="false" outlineLevel="0" collapsed="false">
      <c r="A415" s="10" t="s">
        <v>2756</v>
      </c>
      <c r="B415" s="10" t="s">
        <v>77</v>
      </c>
      <c r="C415" s="10" t="s">
        <v>48</v>
      </c>
      <c r="D415" s="10" t="s">
        <v>660</v>
      </c>
      <c r="E415" s="10" t="s">
        <v>2342</v>
      </c>
      <c r="F415" s="30" t="n">
        <v>42727</v>
      </c>
      <c r="G415" s="30" t="n">
        <v>42814</v>
      </c>
      <c r="H415" s="26" t="n">
        <f aca="false">G415-F415</f>
        <v>87</v>
      </c>
      <c r="I415" s="10" t="n">
        <f aca="false">IF(E415="Won",1,0)</f>
        <v>1</v>
      </c>
    </row>
    <row r="416" customFormat="false" ht="15" hidden="false" customHeight="false" outlineLevel="0" collapsed="false">
      <c r="A416" s="10" t="s">
        <v>2757</v>
      </c>
      <c r="B416" s="10" t="s">
        <v>77</v>
      </c>
      <c r="C416" s="10" t="s">
        <v>50</v>
      </c>
      <c r="D416" s="10" t="s">
        <v>179</v>
      </c>
      <c r="E416" s="10" t="s">
        <v>2342</v>
      </c>
      <c r="F416" s="30" t="n">
        <v>42688</v>
      </c>
      <c r="G416" s="30" t="n">
        <v>42814</v>
      </c>
      <c r="H416" s="26" t="n">
        <f aca="false">G416-F416</f>
        <v>126</v>
      </c>
      <c r="I416" s="10" t="n">
        <f aca="false">IF(E416="Won",1,0)</f>
        <v>1</v>
      </c>
    </row>
    <row r="417" customFormat="false" ht="15" hidden="false" customHeight="false" outlineLevel="0" collapsed="false">
      <c r="A417" s="10" t="s">
        <v>2758</v>
      </c>
      <c r="B417" s="10" t="s">
        <v>81</v>
      </c>
      <c r="C417" s="10" t="s">
        <v>50</v>
      </c>
      <c r="D417" s="10" t="s">
        <v>388</v>
      </c>
      <c r="E417" s="10" t="s">
        <v>2342</v>
      </c>
      <c r="F417" s="30" t="n">
        <v>42689</v>
      </c>
      <c r="G417" s="30" t="n">
        <v>42814</v>
      </c>
      <c r="H417" s="26" t="n">
        <f aca="false">G417-F417</f>
        <v>125</v>
      </c>
      <c r="I417" s="10" t="n">
        <f aca="false">IF(E417="Won",1,0)</f>
        <v>1</v>
      </c>
    </row>
    <row r="418" customFormat="false" ht="15" hidden="false" customHeight="false" outlineLevel="0" collapsed="false">
      <c r="A418" s="10" t="s">
        <v>2759</v>
      </c>
      <c r="B418" s="10" t="s">
        <v>77</v>
      </c>
      <c r="C418" s="10" t="s">
        <v>51</v>
      </c>
      <c r="D418" s="10" t="s">
        <v>279</v>
      </c>
      <c r="E418" s="10" t="s">
        <v>2342</v>
      </c>
      <c r="F418" s="30" t="n">
        <v>42736</v>
      </c>
      <c r="G418" s="30" t="n">
        <v>42814</v>
      </c>
      <c r="H418" s="26" t="n">
        <f aca="false">G418-F418</f>
        <v>78</v>
      </c>
      <c r="I418" s="10" t="n">
        <f aca="false">IF(E418="Won",1,0)</f>
        <v>1</v>
      </c>
    </row>
    <row r="419" customFormat="false" ht="15" hidden="false" customHeight="false" outlineLevel="0" collapsed="false">
      <c r="A419" s="10" t="s">
        <v>2760</v>
      </c>
      <c r="B419" s="10" t="s">
        <v>73</v>
      </c>
      <c r="C419" s="10" t="s">
        <v>49</v>
      </c>
      <c r="D419" s="10" t="s">
        <v>388</v>
      </c>
      <c r="E419" s="10" t="s">
        <v>2345</v>
      </c>
      <c r="F419" s="30" t="n">
        <v>42739</v>
      </c>
      <c r="G419" s="30" t="n">
        <v>42814</v>
      </c>
      <c r="H419" s="26" t="n">
        <f aca="false">G419-F419</f>
        <v>75</v>
      </c>
      <c r="I419" s="10" t="n">
        <f aca="false">IF(E419="Won",1,0)</f>
        <v>0</v>
      </c>
    </row>
    <row r="420" customFormat="false" ht="15" hidden="false" customHeight="false" outlineLevel="0" collapsed="false">
      <c r="A420" s="10" t="s">
        <v>2761</v>
      </c>
      <c r="B420" s="10" t="s">
        <v>70</v>
      </c>
      <c r="C420" s="10" t="s">
        <v>51</v>
      </c>
      <c r="D420" s="10" t="s">
        <v>313</v>
      </c>
      <c r="E420" s="10" t="s">
        <v>2342</v>
      </c>
      <c r="F420" s="30" t="n">
        <v>42745</v>
      </c>
      <c r="G420" s="30" t="n">
        <v>42814</v>
      </c>
      <c r="H420" s="26" t="n">
        <f aca="false">G420-F420</f>
        <v>69</v>
      </c>
      <c r="I420" s="10" t="n">
        <f aca="false">IF(E420="Won",1,0)</f>
        <v>1</v>
      </c>
    </row>
    <row r="421" customFormat="false" ht="15" hidden="false" customHeight="false" outlineLevel="0" collapsed="false">
      <c r="A421" s="10" t="s">
        <v>2762</v>
      </c>
      <c r="B421" s="10" t="s">
        <v>79</v>
      </c>
      <c r="C421" s="10" t="s">
        <v>52</v>
      </c>
      <c r="D421" s="10" t="s">
        <v>536</v>
      </c>
      <c r="E421" s="10" t="s">
        <v>2342</v>
      </c>
      <c r="F421" s="30" t="n">
        <v>42747</v>
      </c>
      <c r="G421" s="30" t="n">
        <v>42814</v>
      </c>
      <c r="H421" s="26" t="n">
        <f aca="false">G421-F421</f>
        <v>67</v>
      </c>
      <c r="I421" s="10" t="n">
        <f aca="false">IF(E421="Won",1,0)</f>
        <v>1</v>
      </c>
    </row>
    <row r="422" customFormat="false" ht="15" hidden="false" customHeight="false" outlineLevel="0" collapsed="false">
      <c r="A422" s="10" t="s">
        <v>2763</v>
      </c>
      <c r="B422" s="10" t="s">
        <v>60</v>
      </c>
      <c r="C422" s="10" t="s">
        <v>48</v>
      </c>
      <c r="D422" s="10" t="s">
        <v>161</v>
      </c>
      <c r="E422" s="10" t="s">
        <v>2342</v>
      </c>
      <c r="F422" s="30" t="n">
        <v>42744</v>
      </c>
      <c r="G422" s="30" t="n">
        <v>42815</v>
      </c>
      <c r="H422" s="26" t="n">
        <f aca="false">G422-F422</f>
        <v>71</v>
      </c>
      <c r="I422" s="10" t="n">
        <f aca="false">IF(E422="Won",1,0)</f>
        <v>1</v>
      </c>
    </row>
    <row r="423" customFormat="false" ht="15" hidden="false" customHeight="false" outlineLevel="0" collapsed="false">
      <c r="A423" s="10" t="s">
        <v>2764</v>
      </c>
      <c r="B423" s="10" t="s">
        <v>83</v>
      </c>
      <c r="C423" s="10" t="s">
        <v>50</v>
      </c>
      <c r="D423" s="10" t="s">
        <v>1251</v>
      </c>
      <c r="E423" s="10" t="s">
        <v>2342</v>
      </c>
      <c r="F423" s="30" t="n">
        <v>42725</v>
      </c>
      <c r="G423" s="30" t="n">
        <v>42815</v>
      </c>
      <c r="H423" s="26" t="n">
        <f aca="false">G423-F423</f>
        <v>90</v>
      </c>
      <c r="I423" s="10" t="n">
        <f aca="false">IF(E423="Won",1,0)</f>
        <v>1</v>
      </c>
    </row>
    <row r="424" customFormat="false" ht="15" hidden="false" customHeight="false" outlineLevel="0" collapsed="false">
      <c r="A424" s="10" t="s">
        <v>2765</v>
      </c>
      <c r="B424" s="10" t="s">
        <v>79</v>
      </c>
      <c r="C424" s="10" t="s">
        <v>49</v>
      </c>
      <c r="D424" s="10" t="s">
        <v>311</v>
      </c>
      <c r="E424" s="10" t="s">
        <v>2342</v>
      </c>
      <c r="F424" s="30" t="n">
        <v>42801</v>
      </c>
      <c r="G424" s="30" t="n">
        <v>42815</v>
      </c>
      <c r="H424" s="26" t="n">
        <f aca="false">G424-F424</f>
        <v>14</v>
      </c>
      <c r="I424" s="10" t="n">
        <f aca="false">IF(E424="Won",1,0)</f>
        <v>1</v>
      </c>
    </row>
    <row r="425" customFormat="false" ht="15" hidden="false" customHeight="false" outlineLevel="0" collapsed="false">
      <c r="A425" s="10" t="s">
        <v>2766</v>
      </c>
      <c r="B425" s="10" t="s">
        <v>96</v>
      </c>
      <c r="C425" s="10" t="s">
        <v>50</v>
      </c>
      <c r="D425" s="10" t="s">
        <v>313</v>
      </c>
      <c r="E425" s="10" t="s">
        <v>2342</v>
      </c>
      <c r="F425" s="30" t="n">
        <v>42795</v>
      </c>
      <c r="G425" s="30" t="n">
        <v>42815</v>
      </c>
      <c r="H425" s="26" t="n">
        <f aca="false">G425-F425</f>
        <v>20</v>
      </c>
      <c r="I425" s="10" t="n">
        <f aca="false">IF(E425="Won",1,0)</f>
        <v>1</v>
      </c>
    </row>
    <row r="426" customFormat="false" ht="15" hidden="false" customHeight="false" outlineLevel="0" collapsed="false">
      <c r="A426" s="10" t="s">
        <v>2767</v>
      </c>
      <c r="B426" s="10" t="s">
        <v>77</v>
      </c>
      <c r="C426" s="10" t="s">
        <v>50</v>
      </c>
      <c r="D426" s="10" t="s">
        <v>311</v>
      </c>
      <c r="E426" s="10" t="s">
        <v>2342</v>
      </c>
      <c r="F426" s="30" t="n">
        <v>42738</v>
      </c>
      <c r="G426" s="30" t="n">
        <v>42815</v>
      </c>
      <c r="H426" s="26" t="n">
        <f aca="false">G426-F426</f>
        <v>77</v>
      </c>
      <c r="I426" s="10" t="n">
        <f aca="false">IF(E426="Won",1,0)</f>
        <v>1</v>
      </c>
    </row>
    <row r="427" customFormat="false" ht="15" hidden="false" customHeight="false" outlineLevel="0" collapsed="false">
      <c r="A427" s="10" t="s">
        <v>2768</v>
      </c>
      <c r="B427" s="10" t="s">
        <v>75</v>
      </c>
      <c r="C427" s="10" t="s">
        <v>51</v>
      </c>
      <c r="D427" s="10" t="s">
        <v>512</v>
      </c>
      <c r="E427" s="10" t="s">
        <v>2342</v>
      </c>
      <c r="F427" s="30" t="n">
        <v>42737</v>
      </c>
      <c r="G427" s="30" t="n">
        <v>42815</v>
      </c>
      <c r="H427" s="26" t="n">
        <f aca="false">G427-F427</f>
        <v>78</v>
      </c>
      <c r="I427" s="10" t="n">
        <f aca="false">IF(E427="Won",1,0)</f>
        <v>1</v>
      </c>
    </row>
    <row r="428" customFormat="false" ht="15" hidden="false" customHeight="false" outlineLevel="0" collapsed="false">
      <c r="A428" s="10" t="s">
        <v>2769</v>
      </c>
      <c r="B428" s="10" t="s">
        <v>71</v>
      </c>
      <c r="C428" s="10" t="s">
        <v>49</v>
      </c>
      <c r="D428" s="10" t="s">
        <v>660</v>
      </c>
      <c r="E428" s="10" t="s">
        <v>2345</v>
      </c>
      <c r="F428" s="30" t="n">
        <v>42741</v>
      </c>
      <c r="G428" s="30" t="n">
        <v>42815</v>
      </c>
      <c r="H428" s="26" t="n">
        <f aca="false">G428-F428</f>
        <v>74</v>
      </c>
      <c r="I428" s="10" t="n">
        <f aca="false">IF(E428="Won",1,0)</f>
        <v>0</v>
      </c>
    </row>
    <row r="429" customFormat="false" ht="15" hidden="false" customHeight="false" outlineLevel="0" collapsed="false">
      <c r="A429" s="10" t="s">
        <v>2770</v>
      </c>
      <c r="B429" s="10" t="s">
        <v>83</v>
      </c>
      <c r="C429" s="10" t="s">
        <v>50</v>
      </c>
      <c r="D429" s="10" t="s">
        <v>762</v>
      </c>
      <c r="E429" s="10" t="s">
        <v>2342</v>
      </c>
      <c r="F429" s="30" t="n">
        <v>42700</v>
      </c>
      <c r="G429" s="30" t="n">
        <v>42815</v>
      </c>
      <c r="H429" s="26" t="n">
        <f aca="false">G429-F429</f>
        <v>115</v>
      </c>
      <c r="I429" s="10" t="n">
        <f aca="false">IF(E429="Won",1,0)</f>
        <v>1</v>
      </c>
    </row>
    <row r="430" customFormat="false" ht="15" hidden="false" customHeight="false" outlineLevel="0" collapsed="false">
      <c r="A430" s="10" t="s">
        <v>2771</v>
      </c>
      <c r="B430" s="10" t="s">
        <v>60</v>
      </c>
      <c r="C430" s="10" t="s">
        <v>47</v>
      </c>
      <c r="D430" s="10" t="s">
        <v>464</v>
      </c>
      <c r="E430" s="10" t="s">
        <v>2342</v>
      </c>
      <c r="F430" s="30" t="n">
        <v>42722</v>
      </c>
      <c r="G430" s="30" t="n">
        <v>42815</v>
      </c>
      <c r="H430" s="26" t="n">
        <f aca="false">G430-F430</f>
        <v>93</v>
      </c>
      <c r="I430" s="10" t="n">
        <f aca="false">IF(E430="Won",1,0)</f>
        <v>1</v>
      </c>
    </row>
    <row r="431" customFormat="false" ht="15" hidden="false" customHeight="false" outlineLevel="0" collapsed="false">
      <c r="A431" s="10" t="s">
        <v>2772</v>
      </c>
      <c r="B431" s="10" t="s">
        <v>77</v>
      </c>
      <c r="C431" s="10" t="s">
        <v>50</v>
      </c>
      <c r="D431" s="10" t="s">
        <v>524</v>
      </c>
      <c r="E431" s="10" t="s">
        <v>2342</v>
      </c>
      <c r="F431" s="30" t="n">
        <v>42813</v>
      </c>
      <c r="G431" s="30" t="n">
        <v>42815</v>
      </c>
      <c r="H431" s="26" t="n">
        <f aca="false">G431-F431</f>
        <v>2</v>
      </c>
      <c r="I431" s="10" t="n">
        <f aca="false">IF(E431="Won",1,0)</f>
        <v>1</v>
      </c>
    </row>
    <row r="432" customFormat="false" ht="15" hidden="false" customHeight="false" outlineLevel="0" collapsed="false">
      <c r="A432" s="10" t="s">
        <v>2773</v>
      </c>
      <c r="B432" s="10" t="s">
        <v>87</v>
      </c>
      <c r="C432" s="10" t="s">
        <v>47</v>
      </c>
      <c r="D432" s="10" t="s">
        <v>215</v>
      </c>
      <c r="E432" s="10" t="s">
        <v>2342</v>
      </c>
      <c r="F432" s="30" t="n">
        <v>42799</v>
      </c>
      <c r="G432" s="30" t="n">
        <v>42815</v>
      </c>
      <c r="H432" s="26" t="n">
        <f aca="false">G432-F432</f>
        <v>16</v>
      </c>
      <c r="I432" s="10" t="n">
        <f aca="false">IF(E432="Won",1,0)</f>
        <v>1</v>
      </c>
    </row>
    <row r="433" customFormat="false" ht="15" hidden="false" customHeight="false" outlineLevel="0" collapsed="false">
      <c r="A433" s="10" t="s">
        <v>2774</v>
      </c>
      <c r="B433" s="10" t="s">
        <v>61</v>
      </c>
      <c r="C433" s="10" t="s">
        <v>48</v>
      </c>
      <c r="D433" s="10" t="s">
        <v>1334</v>
      </c>
      <c r="E433" s="10" t="s">
        <v>2342</v>
      </c>
      <c r="F433" s="30" t="n">
        <v>42701</v>
      </c>
      <c r="G433" s="30" t="n">
        <v>42815</v>
      </c>
      <c r="H433" s="26" t="n">
        <f aca="false">G433-F433</f>
        <v>114</v>
      </c>
      <c r="I433" s="10" t="n">
        <f aca="false">IF(E433="Won",1,0)</f>
        <v>1</v>
      </c>
    </row>
    <row r="434" customFormat="false" ht="15" hidden="false" customHeight="false" outlineLevel="0" collapsed="false">
      <c r="A434" s="10" t="s">
        <v>2775</v>
      </c>
      <c r="B434" s="10" t="s">
        <v>86</v>
      </c>
      <c r="C434" s="10" t="s">
        <v>49</v>
      </c>
      <c r="D434" s="10" t="s">
        <v>1397</v>
      </c>
      <c r="E434" s="10" t="s">
        <v>2342</v>
      </c>
      <c r="F434" s="30" t="n">
        <v>42808</v>
      </c>
      <c r="G434" s="30" t="n">
        <v>42815</v>
      </c>
      <c r="H434" s="26" t="n">
        <f aca="false">G434-F434</f>
        <v>7</v>
      </c>
      <c r="I434" s="10" t="n">
        <f aca="false">IF(E434="Won",1,0)</f>
        <v>1</v>
      </c>
    </row>
    <row r="435" customFormat="false" ht="15" hidden="false" customHeight="false" outlineLevel="0" collapsed="false">
      <c r="A435" s="10" t="s">
        <v>2776</v>
      </c>
      <c r="B435" s="10" t="s">
        <v>70</v>
      </c>
      <c r="C435" s="10" t="s">
        <v>48</v>
      </c>
      <c r="D435" s="10" t="s">
        <v>487</v>
      </c>
      <c r="E435" s="10" t="s">
        <v>2342</v>
      </c>
      <c r="F435" s="30" t="n">
        <v>42722</v>
      </c>
      <c r="G435" s="30" t="n">
        <v>42815</v>
      </c>
      <c r="H435" s="26" t="n">
        <f aca="false">G435-F435</f>
        <v>93</v>
      </c>
      <c r="I435" s="10" t="n">
        <f aca="false">IF(E435="Won",1,0)</f>
        <v>1</v>
      </c>
    </row>
    <row r="436" customFormat="false" ht="15" hidden="false" customHeight="false" outlineLevel="0" collapsed="false">
      <c r="A436" s="10" t="s">
        <v>2777</v>
      </c>
      <c r="B436" s="10" t="s">
        <v>94</v>
      </c>
      <c r="C436" s="10" t="s">
        <v>48</v>
      </c>
      <c r="D436" s="10" t="s">
        <v>384</v>
      </c>
      <c r="E436" s="10" t="s">
        <v>2342</v>
      </c>
      <c r="F436" s="30" t="n">
        <v>42748</v>
      </c>
      <c r="G436" s="30" t="n">
        <v>42815</v>
      </c>
      <c r="H436" s="26" t="n">
        <f aca="false">G436-F436</f>
        <v>67</v>
      </c>
      <c r="I436" s="10" t="n">
        <f aca="false">IF(E436="Won",1,0)</f>
        <v>1</v>
      </c>
    </row>
    <row r="437" customFormat="false" ht="15" hidden="false" customHeight="false" outlineLevel="0" collapsed="false">
      <c r="A437" s="10" t="s">
        <v>2778</v>
      </c>
      <c r="B437" s="10" t="s">
        <v>97</v>
      </c>
      <c r="C437" s="10" t="s">
        <v>47</v>
      </c>
      <c r="D437" s="10" t="s">
        <v>424</v>
      </c>
      <c r="E437" s="10" t="s">
        <v>2342</v>
      </c>
      <c r="F437" s="30" t="n">
        <v>42701</v>
      </c>
      <c r="G437" s="30" t="n">
        <v>42815</v>
      </c>
      <c r="H437" s="26" t="n">
        <f aca="false">G437-F437</f>
        <v>114</v>
      </c>
      <c r="I437" s="10" t="n">
        <f aca="false">IF(E437="Won",1,0)</f>
        <v>1</v>
      </c>
    </row>
    <row r="438" customFormat="false" ht="15" hidden="false" customHeight="false" outlineLevel="0" collapsed="false">
      <c r="A438" s="10" t="s">
        <v>2779</v>
      </c>
      <c r="B438" s="10" t="s">
        <v>73</v>
      </c>
      <c r="C438" s="10" t="s">
        <v>49</v>
      </c>
      <c r="D438" s="10" t="s">
        <v>1251</v>
      </c>
      <c r="E438" s="10" t="s">
        <v>2342</v>
      </c>
      <c r="F438" s="30" t="n">
        <v>42764</v>
      </c>
      <c r="G438" s="30" t="n">
        <v>42815</v>
      </c>
      <c r="H438" s="26" t="n">
        <f aca="false">G438-F438</f>
        <v>51</v>
      </c>
      <c r="I438" s="10" t="n">
        <f aca="false">IF(E438="Won",1,0)</f>
        <v>1</v>
      </c>
    </row>
    <row r="439" customFormat="false" ht="15" hidden="false" customHeight="false" outlineLevel="0" collapsed="false">
      <c r="A439" s="10" t="s">
        <v>2780</v>
      </c>
      <c r="B439" s="10" t="s">
        <v>87</v>
      </c>
      <c r="C439" s="10" t="s">
        <v>50</v>
      </c>
      <c r="D439" s="10" t="s">
        <v>441</v>
      </c>
      <c r="E439" s="10" t="s">
        <v>2342</v>
      </c>
      <c r="F439" s="30" t="n">
        <v>42760</v>
      </c>
      <c r="G439" s="30" t="n">
        <v>42815</v>
      </c>
      <c r="H439" s="26" t="n">
        <f aca="false">G439-F439</f>
        <v>55</v>
      </c>
      <c r="I439" s="10" t="n">
        <f aca="false">IF(E439="Won",1,0)</f>
        <v>1</v>
      </c>
    </row>
    <row r="440" customFormat="false" ht="15" hidden="false" customHeight="false" outlineLevel="0" collapsed="false">
      <c r="A440" s="10" t="s">
        <v>2781</v>
      </c>
      <c r="B440" s="10" t="s">
        <v>96</v>
      </c>
      <c r="C440" s="10" t="s">
        <v>50</v>
      </c>
      <c r="D440" s="10" t="s">
        <v>170</v>
      </c>
      <c r="E440" s="10" t="s">
        <v>2342</v>
      </c>
      <c r="F440" s="30" t="n">
        <v>42709</v>
      </c>
      <c r="G440" s="30" t="n">
        <v>42815</v>
      </c>
      <c r="H440" s="26" t="n">
        <f aca="false">G440-F440</f>
        <v>106</v>
      </c>
      <c r="I440" s="10" t="n">
        <f aca="false">IF(E440="Won",1,0)</f>
        <v>1</v>
      </c>
    </row>
    <row r="441" customFormat="false" ht="15" hidden="false" customHeight="false" outlineLevel="0" collapsed="false">
      <c r="A441" s="10" t="s">
        <v>2782</v>
      </c>
      <c r="B441" s="10" t="s">
        <v>94</v>
      </c>
      <c r="C441" s="10" t="s">
        <v>49</v>
      </c>
      <c r="D441" s="10" t="s">
        <v>432</v>
      </c>
      <c r="E441" s="10" t="s">
        <v>2342</v>
      </c>
      <c r="F441" s="30" t="n">
        <v>42798</v>
      </c>
      <c r="G441" s="30" t="n">
        <v>42815</v>
      </c>
      <c r="H441" s="26" t="n">
        <f aca="false">G441-F441</f>
        <v>17</v>
      </c>
      <c r="I441" s="10" t="n">
        <f aca="false">IF(E441="Won",1,0)</f>
        <v>1</v>
      </c>
    </row>
    <row r="442" customFormat="false" ht="15" hidden="false" customHeight="false" outlineLevel="0" collapsed="false">
      <c r="A442" s="10" t="s">
        <v>2783</v>
      </c>
      <c r="B442" s="10" t="s">
        <v>86</v>
      </c>
      <c r="C442" s="10" t="s">
        <v>49</v>
      </c>
      <c r="D442" s="10" t="s">
        <v>674</v>
      </c>
      <c r="E442" s="10" t="s">
        <v>2345</v>
      </c>
      <c r="F442" s="30" t="n">
        <v>42797</v>
      </c>
      <c r="G442" s="30" t="n">
        <v>42815</v>
      </c>
      <c r="H442" s="26" t="n">
        <f aca="false">G442-F442</f>
        <v>18</v>
      </c>
      <c r="I442" s="10" t="n">
        <f aca="false">IF(E442="Won",1,0)</f>
        <v>0</v>
      </c>
    </row>
    <row r="443" customFormat="false" ht="15" hidden="false" customHeight="false" outlineLevel="0" collapsed="false">
      <c r="A443" s="10" t="s">
        <v>2784</v>
      </c>
      <c r="B443" s="10" t="s">
        <v>88</v>
      </c>
      <c r="C443" s="10" t="s">
        <v>51</v>
      </c>
      <c r="D443" s="10" t="s">
        <v>233</v>
      </c>
      <c r="E443" s="10" t="s">
        <v>2342</v>
      </c>
      <c r="F443" s="30" t="n">
        <v>42695</v>
      </c>
      <c r="G443" s="30" t="n">
        <v>42815</v>
      </c>
      <c r="H443" s="26" t="n">
        <f aca="false">G443-F443</f>
        <v>120</v>
      </c>
      <c r="I443" s="10" t="n">
        <f aca="false">IF(E443="Won",1,0)</f>
        <v>1</v>
      </c>
    </row>
    <row r="444" customFormat="false" ht="15" hidden="false" customHeight="false" outlineLevel="0" collapsed="false">
      <c r="A444" s="10" t="s">
        <v>2785</v>
      </c>
      <c r="B444" s="10" t="s">
        <v>80</v>
      </c>
      <c r="C444" s="10" t="s">
        <v>51</v>
      </c>
      <c r="D444" s="10" t="s">
        <v>369</v>
      </c>
      <c r="E444" s="10" t="s">
        <v>2342</v>
      </c>
      <c r="F444" s="30" t="n">
        <v>42715</v>
      </c>
      <c r="G444" s="30" t="n">
        <v>42815</v>
      </c>
      <c r="H444" s="26" t="n">
        <f aca="false">G444-F444</f>
        <v>100</v>
      </c>
      <c r="I444" s="10" t="n">
        <f aca="false">IF(E444="Won",1,0)</f>
        <v>1</v>
      </c>
    </row>
    <row r="445" customFormat="false" ht="15" hidden="false" customHeight="false" outlineLevel="0" collapsed="false">
      <c r="A445" s="10" t="s">
        <v>2786</v>
      </c>
      <c r="B445" s="10" t="s">
        <v>77</v>
      </c>
      <c r="C445" s="10" t="s">
        <v>50</v>
      </c>
      <c r="D445" s="10" t="s">
        <v>527</v>
      </c>
      <c r="E445" s="10" t="s">
        <v>2345</v>
      </c>
      <c r="F445" s="30" t="n">
        <v>42691</v>
      </c>
      <c r="G445" s="30" t="n">
        <v>42815</v>
      </c>
      <c r="H445" s="26" t="n">
        <f aca="false">G445-F445</f>
        <v>124</v>
      </c>
      <c r="I445" s="10" t="n">
        <f aca="false">IF(E445="Won",1,0)</f>
        <v>0</v>
      </c>
    </row>
    <row r="446" customFormat="false" ht="15" hidden="false" customHeight="false" outlineLevel="0" collapsed="false">
      <c r="A446" s="10" t="s">
        <v>2787</v>
      </c>
      <c r="B446" s="10" t="s">
        <v>96</v>
      </c>
      <c r="C446" s="10" t="s">
        <v>51</v>
      </c>
      <c r="D446" s="10" t="s">
        <v>210</v>
      </c>
      <c r="E446" s="10" t="s">
        <v>2342</v>
      </c>
      <c r="F446" s="30" t="n">
        <v>42750</v>
      </c>
      <c r="G446" s="30" t="n">
        <v>42815</v>
      </c>
      <c r="H446" s="26" t="n">
        <f aca="false">G446-F446</f>
        <v>65</v>
      </c>
      <c r="I446" s="10" t="n">
        <f aca="false">IF(E446="Won",1,0)</f>
        <v>1</v>
      </c>
    </row>
    <row r="447" customFormat="false" ht="15" hidden="false" customHeight="false" outlineLevel="0" collapsed="false">
      <c r="A447" s="10" t="s">
        <v>2788</v>
      </c>
      <c r="B447" s="10" t="s">
        <v>57</v>
      </c>
      <c r="C447" s="10" t="s">
        <v>51</v>
      </c>
      <c r="D447" s="10" t="s">
        <v>218</v>
      </c>
      <c r="E447" s="10" t="s">
        <v>2342</v>
      </c>
      <c r="F447" s="30" t="n">
        <v>42813</v>
      </c>
      <c r="G447" s="30" t="n">
        <v>42816</v>
      </c>
      <c r="H447" s="26" t="n">
        <f aca="false">G447-F447</f>
        <v>3</v>
      </c>
      <c r="I447" s="10" t="n">
        <f aca="false">IF(E447="Won",1,0)</f>
        <v>1</v>
      </c>
    </row>
    <row r="448" customFormat="false" ht="15" hidden="false" customHeight="false" outlineLevel="0" collapsed="false">
      <c r="A448" s="10" t="s">
        <v>2789</v>
      </c>
      <c r="B448" s="10" t="s">
        <v>86</v>
      </c>
      <c r="C448" s="10" t="s">
        <v>49</v>
      </c>
      <c r="D448" s="10" t="s">
        <v>185</v>
      </c>
      <c r="E448" s="10" t="s">
        <v>2342</v>
      </c>
      <c r="F448" s="30" t="n">
        <v>42705</v>
      </c>
      <c r="G448" s="30" t="n">
        <v>42816</v>
      </c>
      <c r="H448" s="26" t="n">
        <f aca="false">G448-F448</f>
        <v>111</v>
      </c>
      <c r="I448" s="10" t="n">
        <f aca="false">IF(E448="Won",1,0)</f>
        <v>1</v>
      </c>
    </row>
    <row r="449" customFormat="false" ht="15" hidden="false" customHeight="false" outlineLevel="0" collapsed="false">
      <c r="A449" s="10" t="s">
        <v>2790</v>
      </c>
      <c r="B449" s="10" t="s">
        <v>75</v>
      </c>
      <c r="C449" s="10" t="s">
        <v>51</v>
      </c>
      <c r="D449" s="10" t="s">
        <v>961</v>
      </c>
      <c r="E449" s="10" t="s">
        <v>2342</v>
      </c>
      <c r="F449" s="30" t="n">
        <v>42725</v>
      </c>
      <c r="G449" s="30" t="n">
        <v>42816</v>
      </c>
      <c r="H449" s="26" t="n">
        <f aca="false">G449-F449</f>
        <v>91</v>
      </c>
      <c r="I449" s="10" t="n">
        <f aca="false">IF(E449="Won",1,0)</f>
        <v>1</v>
      </c>
    </row>
    <row r="450" customFormat="false" ht="15" hidden="false" customHeight="false" outlineLevel="0" collapsed="false">
      <c r="A450" s="10" t="s">
        <v>2791</v>
      </c>
      <c r="B450" s="10" t="s">
        <v>71</v>
      </c>
      <c r="C450" s="10" t="s">
        <v>52</v>
      </c>
      <c r="D450" s="10" t="s">
        <v>947</v>
      </c>
      <c r="E450" s="10" t="s">
        <v>2345</v>
      </c>
      <c r="F450" s="30" t="n">
        <v>42713</v>
      </c>
      <c r="G450" s="30" t="n">
        <v>42816</v>
      </c>
      <c r="H450" s="26" t="n">
        <f aca="false">G450-F450</f>
        <v>103</v>
      </c>
      <c r="I450" s="10" t="n">
        <f aca="false">IF(E450="Won",1,0)</f>
        <v>0</v>
      </c>
    </row>
    <row r="451" customFormat="false" ht="15" hidden="false" customHeight="false" outlineLevel="0" collapsed="false">
      <c r="A451" s="10" t="s">
        <v>2792</v>
      </c>
      <c r="B451" s="10" t="s">
        <v>87</v>
      </c>
      <c r="C451" s="10" t="s">
        <v>49</v>
      </c>
      <c r="D451" s="10" t="s">
        <v>674</v>
      </c>
      <c r="E451" s="10" t="s">
        <v>2345</v>
      </c>
      <c r="F451" s="30" t="n">
        <v>42738</v>
      </c>
      <c r="G451" s="30" t="n">
        <v>42816</v>
      </c>
      <c r="H451" s="26" t="n">
        <f aca="false">G451-F451</f>
        <v>78</v>
      </c>
      <c r="I451" s="10" t="n">
        <f aca="false">IF(E451="Won",1,0)</f>
        <v>0</v>
      </c>
    </row>
    <row r="452" customFormat="false" ht="15" hidden="false" customHeight="false" outlineLevel="0" collapsed="false">
      <c r="A452" s="10" t="s">
        <v>2793</v>
      </c>
      <c r="B452" s="10" t="s">
        <v>96</v>
      </c>
      <c r="C452" s="10" t="s">
        <v>47</v>
      </c>
      <c r="D452" s="10" t="s">
        <v>172</v>
      </c>
      <c r="E452" s="10" t="s">
        <v>2342</v>
      </c>
      <c r="F452" s="30" t="n">
        <v>42750</v>
      </c>
      <c r="G452" s="30" t="n">
        <v>42816</v>
      </c>
      <c r="H452" s="26" t="n">
        <f aca="false">G452-F452</f>
        <v>66</v>
      </c>
      <c r="I452" s="10" t="n">
        <f aca="false">IF(E452="Won",1,0)</f>
        <v>1</v>
      </c>
    </row>
    <row r="453" customFormat="false" ht="15" hidden="false" customHeight="false" outlineLevel="0" collapsed="false">
      <c r="A453" s="10" t="s">
        <v>2794</v>
      </c>
      <c r="B453" s="10" t="s">
        <v>68</v>
      </c>
      <c r="C453" s="10" t="s">
        <v>49</v>
      </c>
      <c r="D453" s="10" t="s">
        <v>286</v>
      </c>
      <c r="E453" s="10" t="s">
        <v>2342</v>
      </c>
      <c r="F453" s="30" t="n">
        <v>42743</v>
      </c>
      <c r="G453" s="30" t="n">
        <v>42816</v>
      </c>
      <c r="H453" s="26" t="n">
        <f aca="false">G453-F453</f>
        <v>73</v>
      </c>
      <c r="I453" s="10" t="n">
        <f aca="false">IF(E453="Won",1,0)</f>
        <v>1</v>
      </c>
    </row>
    <row r="454" customFormat="false" ht="15" hidden="false" customHeight="false" outlineLevel="0" collapsed="false">
      <c r="A454" s="10" t="s">
        <v>2795</v>
      </c>
      <c r="B454" s="10" t="s">
        <v>77</v>
      </c>
      <c r="C454" s="10" t="s">
        <v>48</v>
      </c>
      <c r="D454" s="10" t="s">
        <v>267</v>
      </c>
      <c r="E454" s="10" t="s">
        <v>2342</v>
      </c>
      <c r="F454" s="30" t="n">
        <v>42707</v>
      </c>
      <c r="G454" s="30" t="n">
        <v>42816</v>
      </c>
      <c r="H454" s="26" t="n">
        <f aca="false">G454-F454</f>
        <v>109</v>
      </c>
      <c r="I454" s="10" t="n">
        <f aca="false">IF(E454="Won",1,0)</f>
        <v>1</v>
      </c>
    </row>
    <row r="455" customFormat="false" ht="15" hidden="false" customHeight="false" outlineLevel="0" collapsed="false">
      <c r="A455" s="10" t="s">
        <v>2796</v>
      </c>
      <c r="B455" s="10" t="s">
        <v>94</v>
      </c>
      <c r="C455" s="10" t="s">
        <v>48</v>
      </c>
      <c r="D455" s="10" t="s">
        <v>506</v>
      </c>
      <c r="E455" s="10" t="s">
        <v>2342</v>
      </c>
      <c r="F455" s="30" t="n">
        <v>42714</v>
      </c>
      <c r="G455" s="30" t="n">
        <v>42816</v>
      </c>
      <c r="H455" s="26" t="n">
        <f aca="false">G455-F455</f>
        <v>102</v>
      </c>
      <c r="I455" s="10" t="n">
        <f aca="false">IF(E455="Won",1,0)</f>
        <v>1</v>
      </c>
    </row>
    <row r="456" customFormat="false" ht="15" hidden="false" customHeight="false" outlineLevel="0" collapsed="false">
      <c r="A456" s="10" t="s">
        <v>2797</v>
      </c>
      <c r="B456" s="10" t="s">
        <v>74</v>
      </c>
      <c r="C456" s="10" t="s">
        <v>51</v>
      </c>
      <c r="D456" s="10" t="s">
        <v>961</v>
      </c>
      <c r="E456" s="10" t="s">
        <v>2342</v>
      </c>
      <c r="F456" s="30" t="n">
        <v>42718</v>
      </c>
      <c r="G456" s="30" t="n">
        <v>42816</v>
      </c>
      <c r="H456" s="26" t="n">
        <f aca="false">G456-F456</f>
        <v>98</v>
      </c>
      <c r="I456" s="10" t="n">
        <f aca="false">IF(E456="Won",1,0)</f>
        <v>1</v>
      </c>
    </row>
    <row r="457" customFormat="false" ht="15" hidden="false" customHeight="false" outlineLevel="0" collapsed="false">
      <c r="A457" s="10" t="s">
        <v>2798</v>
      </c>
      <c r="B457" s="10" t="s">
        <v>77</v>
      </c>
      <c r="C457" s="10" t="s">
        <v>48</v>
      </c>
      <c r="D457" s="10" t="s">
        <v>353</v>
      </c>
      <c r="E457" s="10" t="s">
        <v>2342</v>
      </c>
      <c r="F457" s="30" t="n">
        <v>42732</v>
      </c>
      <c r="G457" s="30" t="n">
        <v>42816</v>
      </c>
      <c r="H457" s="26" t="n">
        <f aca="false">G457-F457</f>
        <v>84</v>
      </c>
      <c r="I457" s="10" t="n">
        <f aca="false">IF(E457="Won",1,0)</f>
        <v>1</v>
      </c>
    </row>
    <row r="458" customFormat="false" ht="15" hidden="false" customHeight="false" outlineLevel="0" collapsed="false">
      <c r="A458" s="10" t="s">
        <v>2799</v>
      </c>
      <c r="B458" s="10" t="s">
        <v>70</v>
      </c>
      <c r="C458" s="10" t="s">
        <v>49</v>
      </c>
      <c r="D458" s="10" t="s">
        <v>326</v>
      </c>
      <c r="E458" s="10" t="s">
        <v>2342</v>
      </c>
      <c r="F458" s="30" t="n">
        <v>42736</v>
      </c>
      <c r="G458" s="30" t="n">
        <v>42816</v>
      </c>
      <c r="H458" s="26" t="n">
        <f aca="false">G458-F458</f>
        <v>80</v>
      </c>
      <c r="I458" s="10" t="n">
        <f aca="false">IF(E458="Won",1,0)</f>
        <v>1</v>
      </c>
    </row>
    <row r="459" customFormat="false" ht="15" hidden="false" customHeight="false" outlineLevel="0" collapsed="false">
      <c r="A459" s="10" t="s">
        <v>2800</v>
      </c>
      <c r="B459" s="10" t="s">
        <v>90</v>
      </c>
      <c r="C459" s="10" t="s">
        <v>49</v>
      </c>
      <c r="D459" s="10" t="s">
        <v>218</v>
      </c>
      <c r="E459" s="10" t="s">
        <v>2342</v>
      </c>
      <c r="F459" s="30" t="n">
        <v>42773</v>
      </c>
      <c r="G459" s="30" t="n">
        <v>42817</v>
      </c>
      <c r="H459" s="26" t="n">
        <f aca="false">G459-F459</f>
        <v>44</v>
      </c>
      <c r="I459" s="10" t="n">
        <f aca="false">IF(E459="Won",1,0)</f>
        <v>1</v>
      </c>
    </row>
    <row r="460" customFormat="false" ht="15" hidden="false" customHeight="false" outlineLevel="0" collapsed="false">
      <c r="A460" s="10" t="s">
        <v>2801</v>
      </c>
      <c r="B460" s="10" t="s">
        <v>79</v>
      </c>
      <c r="C460" s="10" t="s">
        <v>52</v>
      </c>
      <c r="D460" s="10" t="s">
        <v>660</v>
      </c>
      <c r="E460" s="10" t="s">
        <v>2342</v>
      </c>
      <c r="F460" s="30" t="n">
        <v>42741</v>
      </c>
      <c r="G460" s="30" t="n">
        <v>42817</v>
      </c>
      <c r="H460" s="26" t="n">
        <f aca="false">G460-F460</f>
        <v>76</v>
      </c>
      <c r="I460" s="10" t="n">
        <f aca="false">IF(E460="Won",1,0)</f>
        <v>1</v>
      </c>
    </row>
    <row r="461" customFormat="false" ht="15" hidden="false" customHeight="false" outlineLevel="0" collapsed="false">
      <c r="A461" s="10" t="s">
        <v>2802</v>
      </c>
      <c r="B461" s="10" t="s">
        <v>88</v>
      </c>
      <c r="C461" s="10" t="s">
        <v>48</v>
      </c>
      <c r="D461" s="10" t="s">
        <v>359</v>
      </c>
      <c r="E461" s="10" t="s">
        <v>2342</v>
      </c>
      <c r="F461" s="30" t="n">
        <v>42799</v>
      </c>
      <c r="G461" s="30" t="n">
        <v>42817</v>
      </c>
      <c r="H461" s="26" t="n">
        <f aca="false">G461-F461</f>
        <v>18</v>
      </c>
      <c r="I461" s="10" t="n">
        <f aca="false">IF(E461="Won",1,0)</f>
        <v>1</v>
      </c>
    </row>
    <row r="462" customFormat="false" ht="15" hidden="false" customHeight="false" outlineLevel="0" collapsed="false">
      <c r="A462" s="10" t="s">
        <v>2803</v>
      </c>
      <c r="B462" s="10" t="s">
        <v>77</v>
      </c>
      <c r="C462" s="10" t="s">
        <v>51</v>
      </c>
      <c r="D462" s="10" t="s">
        <v>267</v>
      </c>
      <c r="E462" s="10" t="s">
        <v>2345</v>
      </c>
      <c r="F462" s="30" t="n">
        <v>42730</v>
      </c>
      <c r="G462" s="30" t="n">
        <v>42817</v>
      </c>
      <c r="H462" s="26" t="n">
        <f aca="false">G462-F462</f>
        <v>87</v>
      </c>
      <c r="I462" s="10" t="n">
        <f aca="false">IF(E462="Won",1,0)</f>
        <v>0</v>
      </c>
    </row>
    <row r="463" customFormat="false" ht="15" hidden="false" customHeight="false" outlineLevel="0" collapsed="false">
      <c r="A463" s="10" t="s">
        <v>2804</v>
      </c>
      <c r="B463" s="10" t="s">
        <v>88</v>
      </c>
      <c r="C463" s="10" t="s">
        <v>49</v>
      </c>
      <c r="D463" s="10" t="s">
        <v>532</v>
      </c>
      <c r="E463" s="10" t="s">
        <v>2342</v>
      </c>
      <c r="F463" s="30" t="n">
        <v>42709</v>
      </c>
      <c r="G463" s="30" t="n">
        <v>42817</v>
      </c>
      <c r="H463" s="26" t="n">
        <f aca="false">G463-F463</f>
        <v>108</v>
      </c>
      <c r="I463" s="10" t="n">
        <f aca="false">IF(E463="Won",1,0)</f>
        <v>1</v>
      </c>
    </row>
    <row r="464" customFormat="false" ht="15" hidden="false" customHeight="false" outlineLevel="0" collapsed="false">
      <c r="A464" s="10" t="s">
        <v>2805</v>
      </c>
      <c r="B464" s="10" t="s">
        <v>76</v>
      </c>
      <c r="C464" s="10" t="s">
        <v>49</v>
      </c>
      <c r="D464" s="10" t="s">
        <v>869</v>
      </c>
      <c r="E464" s="10" t="s">
        <v>2342</v>
      </c>
      <c r="F464" s="30" t="n">
        <v>42758</v>
      </c>
      <c r="G464" s="30" t="n">
        <v>42817</v>
      </c>
      <c r="H464" s="26" t="n">
        <f aca="false">G464-F464</f>
        <v>59</v>
      </c>
      <c r="I464" s="10" t="n">
        <f aca="false">IF(E464="Won",1,0)</f>
        <v>1</v>
      </c>
    </row>
    <row r="465" customFormat="false" ht="15" hidden="false" customHeight="false" outlineLevel="0" collapsed="false">
      <c r="A465" s="10" t="s">
        <v>2806</v>
      </c>
      <c r="B465" s="10" t="s">
        <v>77</v>
      </c>
      <c r="C465" s="10" t="s">
        <v>51</v>
      </c>
      <c r="D465" s="10" t="s">
        <v>762</v>
      </c>
      <c r="E465" s="10" t="s">
        <v>2342</v>
      </c>
      <c r="F465" s="30" t="n">
        <v>42707</v>
      </c>
      <c r="G465" s="30" t="n">
        <v>42817</v>
      </c>
      <c r="H465" s="26" t="n">
        <f aca="false">G465-F465</f>
        <v>110</v>
      </c>
      <c r="I465" s="10" t="n">
        <f aca="false">IF(E465="Won",1,0)</f>
        <v>1</v>
      </c>
    </row>
    <row r="466" customFormat="false" ht="15" hidden="false" customHeight="false" outlineLevel="0" collapsed="false">
      <c r="A466" s="10" t="s">
        <v>2807</v>
      </c>
      <c r="B466" s="10" t="s">
        <v>79</v>
      </c>
      <c r="C466" s="10" t="s">
        <v>52</v>
      </c>
      <c r="D466" s="10" t="s">
        <v>527</v>
      </c>
      <c r="E466" s="10" t="s">
        <v>2345</v>
      </c>
      <c r="F466" s="30" t="n">
        <v>42741</v>
      </c>
      <c r="G466" s="30" t="n">
        <v>42817</v>
      </c>
      <c r="H466" s="26" t="n">
        <f aca="false">G466-F466</f>
        <v>76</v>
      </c>
      <c r="I466" s="10" t="n">
        <f aca="false">IF(E466="Won",1,0)</f>
        <v>0</v>
      </c>
    </row>
    <row r="467" customFormat="false" ht="15" hidden="false" customHeight="false" outlineLevel="0" collapsed="false">
      <c r="A467" s="10" t="s">
        <v>2808</v>
      </c>
      <c r="B467" s="10" t="s">
        <v>70</v>
      </c>
      <c r="C467" s="10" t="s">
        <v>48</v>
      </c>
      <c r="D467" s="10" t="s">
        <v>172</v>
      </c>
      <c r="E467" s="10" t="s">
        <v>2342</v>
      </c>
      <c r="F467" s="30" t="n">
        <v>42740</v>
      </c>
      <c r="G467" s="30" t="n">
        <v>42817</v>
      </c>
      <c r="H467" s="26" t="n">
        <f aca="false">G467-F467</f>
        <v>77</v>
      </c>
      <c r="I467" s="10" t="n">
        <f aca="false">IF(E467="Won",1,0)</f>
        <v>1</v>
      </c>
    </row>
    <row r="468" customFormat="false" ht="15" hidden="false" customHeight="false" outlineLevel="0" collapsed="false">
      <c r="A468" s="10" t="s">
        <v>2809</v>
      </c>
      <c r="B468" s="10" t="s">
        <v>88</v>
      </c>
      <c r="C468" s="10" t="s">
        <v>48</v>
      </c>
      <c r="D468" s="10" t="s">
        <v>637</v>
      </c>
      <c r="E468" s="10" t="s">
        <v>2345</v>
      </c>
      <c r="F468" s="30" t="n">
        <v>42729</v>
      </c>
      <c r="G468" s="30" t="n">
        <v>42817</v>
      </c>
      <c r="H468" s="26" t="n">
        <f aca="false">G468-F468</f>
        <v>88</v>
      </c>
      <c r="I468" s="10" t="n">
        <f aca="false">IF(E468="Won",1,0)</f>
        <v>0</v>
      </c>
    </row>
    <row r="469" customFormat="false" ht="15" hidden="false" customHeight="false" outlineLevel="0" collapsed="false">
      <c r="A469" s="10" t="s">
        <v>2810</v>
      </c>
      <c r="B469" s="10" t="s">
        <v>67</v>
      </c>
      <c r="C469" s="10" t="s">
        <v>52</v>
      </c>
      <c r="D469" s="10" t="s">
        <v>303</v>
      </c>
      <c r="E469" s="10" t="s">
        <v>2342</v>
      </c>
      <c r="F469" s="30" t="n">
        <v>42725</v>
      </c>
      <c r="G469" s="30" t="n">
        <v>42817</v>
      </c>
      <c r="H469" s="26" t="n">
        <f aca="false">G469-F469</f>
        <v>92</v>
      </c>
      <c r="I469" s="10" t="n">
        <f aca="false">IF(E469="Won",1,0)</f>
        <v>1</v>
      </c>
    </row>
    <row r="470" customFormat="false" ht="15" hidden="false" customHeight="false" outlineLevel="0" collapsed="false">
      <c r="A470" s="10" t="s">
        <v>2811</v>
      </c>
      <c r="B470" s="10" t="s">
        <v>94</v>
      </c>
      <c r="C470" s="10" t="s">
        <v>51</v>
      </c>
      <c r="D470" s="10" t="s">
        <v>303</v>
      </c>
      <c r="E470" s="10" t="s">
        <v>2342</v>
      </c>
      <c r="F470" s="30" t="n">
        <v>42684</v>
      </c>
      <c r="G470" s="30" t="n">
        <v>42817</v>
      </c>
      <c r="H470" s="26" t="n">
        <f aca="false">G470-F470</f>
        <v>133</v>
      </c>
      <c r="I470" s="10" t="n">
        <f aca="false">IF(E470="Won",1,0)</f>
        <v>1</v>
      </c>
    </row>
    <row r="471" customFormat="false" ht="15" hidden="false" customHeight="false" outlineLevel="0" collapsed="false">
      <c r="A471" s="10" t="s">
        <v>2812</v>
      </c>
      <c r="B471" s="10" t="s">
        <v>70</v>
      </c>
      <c r="C471" s="10" t="s">
        <v>51</v>
      </c>
      <c r="D471" s="10" t="s">
        <v>286</v>
      </c>
      <c r="E471" s="10" t="s">
        <v>2342</v>
      </c>
      <c r="F471" s="30" t="n">
        <v>42775</v>
      </c>
      <c r="G471" s="30" t="n">
        <v>42817</v>
      </c>
      <c r="H471" s="26" t="n">
        <f aca="false">G471-F471</f>
        <v>42</v>
      </c>
      <c r="I471" s="10" t="n">
        <f aca="false">IF(E471="Won",1,0)</f>
        <v>1</v>
      </c>
    </row>
    <row r="472" customFormat="false" ht="15" hidden="false" customHeight="false" outlineLevel="0" collapsed="false">
      <c r="A472" s="10" t="s">
        <v>2813</v>
      </c>
      <c r="B472" s="10" t="s">
        <v>60</v>
      </c>
      <c r="C472" s="10" t="s">
        <v>51</v>
      </c>
      <c r="D472" s="10" t="s">
        <v>274</v>
      </c>
      <c r="E472" s="10" t="s">
        <v>2345</v>
      </c>
      <c r="F472" s="30" t="n">
        <v>42781</v>
      </c>
      <c r="G472" s="30" t="n">
        <v>42817</v>
      </c>
      <c r="H472" s="26" t="n">
        <f aca="false">G472-F472</f>
        <v>36</v>
      </c>
      <c r="I472" s="10" t="n">
        <f aca="false">IF(E472="Won",1,0)</f>
        <v>0</v>
      </c>
    </row>
    <row r="473" customFormat="false" ht="15" hidden="false" customHeight="false" outlineLevel="0" collapsed="false">
      <c r="A473" s="10" t="s">
        <v>2814</v>
      </c>
      <c r="B473" s="10" t="s">
        <v>94</v>
      </c>
      <c r="C473" s="10" t="s">
        <v>51</v>
      </c>
      <c r="D473" s="10" t="s">
        <v>227</v>
      </c>
      <c r="E473" s="10" t="s">
        <v>2345</v>
      </c>
      <c r="F473" s="30" t="n">
        <v>42814</v>
      </c>
      <c r="G473" s="30" t="n">
        <v>42817</v>
      </c>
      <c r="H473" s="26" t="n">
        <f aca="false">G473-F473</f>
        <v>3</v>
      </c>
      <c r="I473" s="10" t="n">
        <f aca="false">IF(E473="Won",1,0)</f>
        <v>0</v>
      </c>
    </row>
    <row r="474" customFormat="false" ht="15" hidden="false" customHeight="false" outlineLevel="0" collapsed="false">
      <c r="A474" s="10" t="s">
        <v>2815</v>
      </c>
      <c r="B474" s="10" t="s">
        <v>62</v>
      </c>
      <c r="C474" s="10" t="s">
        <v>52</v>
      </c>
      <c r="D474" s="10" t="s">
        <v>427</v>
      </c>
      <c r="E474" s="10" t="s">
        <v>2345</v>
      </c>
      <c r="F474" s="30" t="n">
        <v>42716</v>
      </c>
      <c r="G474" s="30" t="n">
        <v>42817</v>
      </c>
      <c r="H474" s="26" t="n">
        <f aca="false">G474-F474</f>
        <v>101</v>
      </c>
      <c r="I474" s="10" t="n">
        <f aca="false">IF(E474="Won",1,0)</f>
        <v>0</v>
      </c>
    </row>
    <row r="475" customFormat="false" ht="15" hidden="false" customHeight="false" outlineLevel="0" collapsed="false">
      <c r="A475" s="10" t="s">
        <v>2816</v>
      </c>
      <c r="B475" s="10" t="s">
        <v>83</v>
      </c>
      <c r="C475" s="10" t="s">
        <v>50</v>
      </c>
      <c r="D475" s="10" t="s">
        <v>483</v>
      </c>
      <c r="E475" s="10" t="s">
        <v>2342</v>
      </c>
      <c r="F475" s="30" t="n">
        <v>42752</v>
      </c>
      <c r="G475" s="30" t="n">
        <v>42817</v>
      </c>
      <c r="H475" s="26" t="n">
        <f aca="false">G475-F475</f>
        <v>65</v>
      </c>
      <c r="I475" s="10" t="n">
        <f aca="false">IF(E475="Won",1,0)</f>
        <v>1</v>
      </c>
    </row>
    <row r="476" customFormat="false" ht="15" hidden="false" customHeight="false" outlineLevel="0" collapsed="false">
      <c r="A476" s="10" t="s">
        <v>2817</v>
      </c>
      <c r="B476" s="10" t="s">
        <v>71</v>
      </c>
      <c r="C476" s="10" t="s">
        <v>49</v>
      </c>
      <c r="D476" s="10" t="s">
        <v>311</v>
      </c>
      <c r="E476" s="10" t="s">
        <v>2342</v>
      </c>
      <c r="F476" s="30" t="n">
        <v>42733</v>
      </c>
      <c r="G476" s="30" t="n">
        <v>42817</v>
      </c>
      <c r="H476" s="26" t="n">
        <f aca="false">G476-F476</f>
        <v>84</v>
      </c>
      <c r="I476" s="10" t="n">
        <f aca="false">IF(E476="Won",1,0)</f>
        <v>1</v>
      </c>
    </row>
    <row r="477" customFormat="false" ht="15" hidden="false" customHeight="false" outlineLevel="0" collapsed="false">
      <c r="A477" s="10" t="s">
        <v>2818</v>
      </c>
      <c r="B477" s="10" t="s">
        <v>62</v>
      </c>
      <c r="C477" s="10" t="s">
        <v>52</v>
      </c>
      <c r="D477" s="10" t="s">
        <v>532</v>
      </c>
      <c r="E477" s="10" t="s">
        <v>2342</v>
      </c>
      <c r="F477" s="30" t="n">
        <v>42747</v>
      </c>
      <c r="G477" s="30" t="n">
        <v>42817</v>
      </c>
      <c r="H477" s="26" t="n">
        <f aca="false">G477-F477</f>
        <v>70</v>
      </c>
      <c r="I477" s="10" t="n">
        <f aca="false">IF(E477="Won",1,0)</f>
        <v>1</v>
      </c>
    </row>
    <row r="478" customFormat="false" ht="15" hidden="false" customHeight="false" outlineLevel="0" collapsed="false">
      <c r="A478" s="10" t="s">
        <v>2819</v>
      </c>
      <c r="B478" s="10" t="s">
        <v>84</v>
      </c>
      <c r="C478" s="10" t="s">
        <v>48</v>
      </c>
      <c r="D478" s="10" t="s">
        <v>215</v>
      </c>
      <c r="E478" s="10" t="s">
        <v>2342</v>
      </c>
      <c r="F478" s="30" t="n">
        <v>42694</v>
      </c>
      <c r="G478" s="30" t="n">
        <v>42817</v>
      </c>
      <c r="H478" s="26" t="n">
        <f aca="false">G478-F478</f>
        <v>123</v>
      </c>
      <c r="I478" s="10" t="n">
        <f aca="false">IF(E478="Won",1,0)</f>
        <v>1</v>
      </c>
    </row>
    <row r="479" customFormat="false" ht="15" hidden="false" customHeight="false" outlineLevel="0" collapsed="false">
      <c r="A479" s="10" t="s">
        <v>2820</v>
      </c>
      <c r="B479" s="10" t="s">
        <v>57</v>
      </c>
      <c r="C479" s="10" t="s">
        <v>47</v>
      </c>
      <c r="D479" s="10" t="s">
        <v>674</v>
      </c>
      <c r="E479" s="10" t="s">
        <v>2342</v>
      </c>
      <c r="F479" s="30" t="n">
        <v>42733</v>
      </c>
      <c r="G479" s="30" t="n">
        <v>42817</v>
      </c>
      <c r="H479" s="26" t="n">
        <f aca="false">G479-F479</f>
        <v>84</v>
      </c>
      <c r="I479" s="10" t="n">
        <f aca="false">IF(E479="Won",1,0)</f>
        <v>1</v>
      </c>
    </row>
    <row r="480" customFormat="false" ht="15" hidden="false" customHeight="false" outlineLevel="0" collapsed="false">
      <c r="A480" s="10" t="s">
        <v>2821</v>
      </c>
      <c r="B480" s="10" t="s">
        <v>84</v>
      </c>
      <c r="C480" s="10" t="s">
        <v>47</v>
      </c>
      <c r="D480" s="10" t="s">
        <v>359</v>
      </c>
      <c r="E480" s="10" t="s">
        <v>2345</v>
      </c>
      <c r="F480" s="30" t="n">
        <v>42807</v>
      </c>
      <c r="G480" s="30" t="n">
        <v>42818</v>
      </c>
      <c r="H480" s="26" t="n">
        <f aca="false">G480-F480</f>
        <v>11</v>
      </c>
      <c r="I480" s="10" t="n">
        <f aca="false">IF(E480="Won",1,0)</f>
        <v>0</v>
      </c>
    </row>
    <row r="481" customFormat="false" ht="15" hidden="false" customHeight="false" outlineLevel="0" collapsed="false">
      <c r="A481" s="10" t="s">
        <v>2822</v>
      </c>
      <c r="B481" s="10" t="s">
        <v>76</v>
      </c>
      <c r="C481" s="10" t="s">
        <v>51</v>
      </c>
      <c r="D481" s="10" t="s">
        <v>1251</v>
      </c>
      <c r="E481" s="10" t="s">
        <v>2345</v>
      </c>
      <c r="F481" s="30" t="n">
        <v>42741</v>
      </c>
      <c r="G481" s="30" t="n">
        <v>42818</v>
      </c>
      <c r="H481" s="26" t="n">
        <f aca="false">G481-F481</f>
        <v>77</v>
      </c>
      <c r="I481" s="10" t="n">
        <f aca="false">IF(E481="Won",1,0)</f>
        <v>0</v>
      </c>
    </row>
    <row r="482" customFormat="false" ht="15" hidden="false" customHeight="false" outlineLevel="0" collapsed="false">
      <c r="A482" s="10" t="s">
        <v>2823</v>
      </c>
      <c r="B482" s="10" t="s">
        <v>86</v>
      </c>
      <c r="C482" s="10" t="s">
        <v>50</v>
      </c>
      <c r="D482" s="10" t="s">
        <v>405</v>
      </c>
      <c r="E482" s="10" t="s">
        <v>2342</v>
      </c>
      <c r="F482" s="30" t="n">
        <v>42813</v>
      </c>
      <c r="G482" s="30" t="n">
        <v>42818</v>
      </c>
      <c r="H482" s="26" t="n">
        <f aca="false">G482-F482</f>
        <v>5</v>
      </c>
      <c r="I482" s="10" t="n">
        <f aca="false">IF(E482="Won",1,0)</f>
        <v>1</v>
      </c>
    </row>
    <row r="483" customFormat="false" ht="15" hidden="false" customHeight="false" outlineLevel="0" collapsed="false">
      <c r="A483" s="10" t="s">
        <v>2824</v>
      </c>
      <c r="B483" s="10" t="s">
        <v>88</v>
      </c>
      <c r="C483" s="10" t="s">
        <v>48</v>
      </c>
      <c r="D483" s="10" t="s">
        <v>233</v>
      </c>
      <c r="E483" s="10" t="s">
        <v>2342</v>
      </c>
      <c r="F483" s="30" t="n">
        <v>42745</v>
      </c>
      <c r="G483" s="30" t="n">
        <v>42818</v>
      </c>
      <c r="H483" s="26" t="n">
        <f aca="false">G483-F483</f>
        <v>73</v>
      </c>
      <c r="I483" s="10" t="n">
        <f aca="false">IF(E483="Won",1,0)</f>
        <v>1</v>
      </c>
    </row>
    <row r="484" customFormat="false" ht="15" hidden="false" customHeight="false" outlineLevel="0" collapsed="false">
      <c r="A484" s="10" t="s">
        <v>2825</v>
      </c>
      <c r="B484" s="10" t="s">
        <v>79</v>
      </c>
      <c r="C484" s="10" t="s">
        <v>51</v>
      </c>
      <c r="D484" s="10" t="s">
        <v>597</v>
      </c>
      <c r="E484" s="10" t="s">
        <v>2342</v>
      </c>
      <c r="F484" s="30" t="n">
        <v>42808</v>
      </c>
      <c r="G484" s="30" t="n">
        <v>42818</v>
      </c>
      <c r="H484" s="26" t="n">
        <f aca="false">G484-F484</f>
        <v>10</v>
      </c>
      <c r="I484" s="10" t="n">
        <f aca="false">IF(E484="Won",1,0)</f>
        <v>1</v>
      </c>
    </row>
    <row r="485" customFormat="false" ht="15" hidden="false" customHeight="false" outlineLevel="0" collapsed="false">
      <c r="A485" s="10" t="s">
        <v>2826</v>
      </c>
      <c r="B485" s="10" t="s">
        <v>83</v>
      </c>
      <c r="C485" s="10" t="s">
        <v>52</v>
      </c>
      <c r="D485" s="10" t="s">
        <v>291</v>
      </c>
      <c r="E485" s="10" t="s">
        <v>2342</v>
      </c>
      <c r="F485" s="30" t="n">
        <v>42714</v>
      </c>
      <c r="G485" s="30" t="n">
        <v>42818</v>
      </c>
      <c r="H485" s="26" t="n">
        <f aca="false">G485-F485</f>
        <v>104</v>
      </c>
      <c r="I485" s="10" t="n">
        <f aca="false">IF(E485="Won",1,0)</f>
        <v>1</v>
      </c>
    </row>
    <row r="486" customFormat="false" ht="15" hidden="false" customHeight="false" outlineLevel="0" collapsed="false">
      <c r="A486" s="10" t="s">
        <v>2827</v>
      </c>
      <c r="B486" s="10" t="s">
        <v>74</v>
      </c>
      <c r="C486" s="10" t="s">
        <v>51</v>
      </c>
      <c r="D486" s="10" t="s">
        <v>179</v>
      </c>
      <c r="E486" s="10" t="s">
        <v>2342</v>
      </c>
      <c r="F486" s="30" t="n">
        <v>42720</v>
      </c>
      <c r="G486" s="30" t="n">
        <v>42818</v>
      </c>
      <c r="H486" s="26" t="n">
        <f aca="false">G486-F486</f>
        <v>98</v>
      </c>
      <c r="I486" s="10" t="n">
        <f aca="false">IF(E486="Won",1,0)</f>
        <v>1</v>
      </c>
    </row>
    <row r="487" customFormat="false" ht="15" hidden="false" customHeight="false" outlineLevel="0" collapsed="false">
      <c r="A487" s="10" t="s">
        <v>2828</v>
      </c>
      <c r="B487" s="10" t="s">
        <v>79</v>
      </c>
      <c r="C487" s="10" t="s">
        <v>48</v>
      </c>
      <c r="D487" s="10" t="s">
        <v>414</v>
      </c>
      <c r="E487" s="10" t="s">
        <v>2342</v>
      </c>
      <c r="F487" s="30" t="n">
        <v>42788</v>
      </c>
      <c r="G487" s="30" t="n">
        <v>42818</v>
      </c>
      <c r="H487" s="26" t="n">
        <f aca="false">G487-F487</f>
        <v>30</v>
      </c>
      <c r="I487" s="10" t="n">
        <f aca="false">IF(E487="Won",1,0)</f>
        <v>1</v>
      </c>
    </row>
    <row r="488" customFormat="false" ht="15" hidden="false" customHeight="false" outlineLevel="0" collapsed="false">
      <c r="A488" s="10" t="s">
        <v>2829</v>
      </c>
      <c r="B488" s="10" t="s">
        <v>96</v>
      </c>
      <c r="C488" s="10" t="s">
        <v>49</v>
      </c>
      <c r="D488" s="10" t="s">
        <v>419</v>
      </c>
      <c r="E488" s="10" t="s">
        <v>2342</v>
      </c>
      <c r="F488" s="30" t="n">
        <v>42761</v>
      </c>
      <c r="G488" s="30" t="n">
        <v>42818</v>
      </c>
      <c r="H488" s="26" t="n">
        <f aca="false">G488-F488</f>
        <v>57</v>
      </c>
      <c r="I488" s="10" t="n">
        <f aca="false">IF(E488="Won",1,0)</f>
        <v>1</v>
      </c>
    </row>
    <row r="489" customFormat="false" ht="15" hidden="false" customHeight="false" outlineLevel="0" collapsed="false">
      <c r="A489" s="10" t="s">
        <v>2830</v>
      </c>
      <c r="B489" s="10" t="s">
        <v>80</v>
      </c>
      <c r="C489" s="10" t="s">
        <v>51</v>
      </c>
      <c r="D489" s="10" t="s">
        <v>279</v>
      </c>
      <c r="E489" s="10" t="s">
        <v>2342</v>
      </c>
      <c r="F489" s="30" t="n">
        <v>42802</v>
      </c>
      <c r="G489" s="30" t="n">
        <v>42818</v>
      </c>
      <c r="H489" s="26" t="n">
        <f aca="false">G489-F489</f>
        <v>16</v>
      </c>
      <c r="I489" s="10" t="n">
        <f aca="false">IF(E489="Won",1,0)</f>
        <v>1</v>
      </c>
    </row>
    <row r="490" customFormat="false" ht="15" hidden="false" customHeight="false" outlineLevel="0" collapsed="false">
      <c r="A490" s="10" t="s">
        <v>2831</v>
      </c>
      <c r="B490" s="10" t="s">
        <v>62</v>
      </c>
      <c r="C490" s="10" t="s">
        <v>51</v>
      </c>
      <c r="D490" s="10" t="s">
        <v>1397</v>
      </c>
      <c r="E490" s="10" t="s">
        <v>2342</v>
      </c>
      <c r="F490" s="30" t="n">
        <v>42704</v>
      </c>
      <c r="G490" s="30" t="n">
        <v>42818</v>
      </c>
      <c r="H490" s="26" t="n">
        <f aca="false">G490-F490</f>
        <v>114</v>
      </c>
      <c r="I490" s="10" t="n">
        <f aca="false">IF(E490="Won",1,0)</f>
        <v>1</v>
      </c>
    </row>
    <row r="491" customFormat="false" ht="15" hidden="false" customHeight="false" outlineLevel="0" collapsed="false">
      <c r="A491" s="10" t="s">
        <v>2832</v>
      </c>
      <c r="B491" s="10" t="s">
        <v>57</v>
      </c>
      <c r="C491" s="10" t="s">
        <v>52</v>
      </c>
      <c r="D491" s="10" t="s">
        <v>1334</v>
      </c>
      <c r="E491" s="10" t="s">
        <v>2342</v>
      </c>
      <c r="F491" s="30" t="n">
        <v>42807</v>
      </c>
      <c r="G491" s="30" t="n">
        <v>42818</v>
      </c>
      <c r="H491" s="26" t="n">
        <f aca="false">G491-F491</f>
        <v>11</v>
      </c>
      <c r="I491" s="10" t="n">
        <f aca="false">IF(E491="Won",1,0)</f>
        <v>1</v>
      </c>
    </row>
    <row r="492" customFormat="false" ht="15" hidden="false" customHeight="false" outlineLevel="0" collapsed="false">
      <c r="A492" s="10" t="s">
        <v>2833</v>
      </c>
      <c r="B492" s="10" t="s">
        <v>70</v>
      </c>
      <c r="C492" s="10" t="s">
        <v>48</v>
      </c>
      <c r="D492" s="10" t="s">
        <v>396</v>
      </c>
      <c r="E492" s="10" t="s">
        <v>2342</v>
      </c>
      <c r="F492" s="30" t="n">
        <v>42777</v>
      </c>
      <c r="G492" s="30" t="n">
        <v>42818</v>
      </c>
      <c r="H492" s="26" t="n">
        <f aca="false">G492-F492</f>
        <v>41</v>
      </c>
      <c r="I492" s="10" t="n">
        <f aca="false">IF(E492="Won",1,0)</f>
        <v>1</v>
      </c>
    </row>
    <row r="493" customFormat="false" ht="15" hidden="false" customHeight="false" outlineLevel="0" collapsed="false">
      <c r="A493" s="10" t="s">
        <v>2834</v>
      </c>
      <c r="B493" s="10" t="s">
        <v>96</v>
      </c>
      <c r="C493" s="10" t="s">
        <v>50</v>
      </c>
      <c r="D493" s="10" t="s">
        <v>487</v>
      </c>
      <c r="E493" s="10" t="s">
        <v>2342</v>
      </c>
      <c r="F493" s="30" t="n">
        <v>42714</v>
      </c>
      <c r="G493" s="30" t="n">
        <v>42818</v>
      </c>
      <c r="H493" s="26" t="n">
        <f aca="false">G493-F493</f>
        <v>104</v>
      </c>
      <c r="I493" s="10" t="n">
        <f aca="false">IF(E493="Won",1,0)</f>
        <v>1</v>
      </c>
    </row>
    <row r="494" customFormat="false" ht="15" hidden="false" customHeight="false" outlineLevel="0" collapsed="false">
      <c r="A494" s="10" t="s">
        <v>2835</v>
      </c>
      <c r="B494" s="10" t="s">
        <v>76</v>
      </c>
      <c r="C494" s="10" t="s">
        <v>49</v>
      </c>
      <c r="D494" s="10" t="s">
        <v>279</v>
      </c>
      <c r="E494" s="10" t="s">
        <v>2342</v>
      </c>
      <c r="F494" s="30" t="n">
        <v>42722</v>
      </c>
      <c r="G494" s="30" t="n">
        <v>42818</v>
      </c>
      <c r="H494" s="26" t="n">
        <f aca="false">G494-F494</f>
        <v>96</v>
      </c>
      <c r="I494" s="10" t="n">
        <f aca="false">IF(E494="Won",1,0)</f>
        <v>1</v>
      </c>
    </row>
    <row r="495" customFormat="false" ht="15" hidden="false" customHeight="false" outlineLevel="0" collapsed="false">
      <c r="A495" s="10" t="s">
        <v>2836</v>
      </c>
      <c r="B495" s="10" t="s">
        <v>75</v>
      </c>
      <c r="C495" s="10" t="s">
        <v>50</v>
      </c>
      <c r="D495" s="10" t="s">
        <v>961</v>
      </c>
      <c r="E495" s="10" t="s">
        <v>2345</v>
      </c>
      <c r="F495" s="30" t="n">
        <v>42755</v>
      </c>
      <c r="G495" s="30" t="n">
        <v>42818</v>
      </c>
      <c r="H495" s="26" t="n">
        <f aca="false">G495-F495</f>
        <v>63</v>
      </c>
      <c r="I495" s="10" t="n">
        <f aca="false">IF(E495="Won",1,0)</f>
        <v>0</v>
      </c>
    </row>
    <row r="496" customFormat="false" ht="15" hidden="false" customHeight="false" outlineLevel="0" collapsed="false">
      <c r="A496" s="10" t="s">
        <v>2837</v>
      </c>
      <c r="B496" s="10" t="s">
        <v>76</v>
      </c>
      <c r="C496" s="10" t="s">
        <v>47</v>
      </c>
      <c r="D496" s="10" t="s">
        <v>410</v>
      </c>
      <c r="E496" s="10" t="s">
        <v>2342</v>
      </c>
      <c r="F496" s="30" t="n">
        <v>42784</v>
      </c>
      <c r="G496" s="30" t="n">
        <v>42819</v>
      </c>
      <c r="H496" s="26" t="n">
        <f aca="false">G496-F496</f>
        <v>35</v>
      </c>
      <c r="I496" s="10" t="n">
        <f aca="false">IF(E496="Won",1,0)</f>
        <v>1</v>
      </c>
    </row>
    <row r="497" customFormat="false" ht="15" hidden="false" customHeight="false" outlineLevel="0" collapsed="false">
      <c r="A497" s="10" t="s">
        <v>2838</v>
      </c>
      <c r="B497" s="10" t="s">
        <v>96</v>
      </c>
      <c r="C497" s="10" t="s">
        <v>50</v>
      </c>
      <c r="D497" s="10" t="s">
        <v>424</v>
      </c>
      <c r="E497" s="10" t="s">
        <v>2342</v>
      </c>
      <c r="F497" s="30" t="n">
        <v>42808</v>
      </c>
      <c r="G497" s="30" t="n">
        <v>42819</v>
      </c>
      <c r="H497" s="26" t="n">
        <f aca="false">G497-F497</f>
        <v>11</v>
      </c>
      <c r="I497" s="10" t="n">
        <f aca="false">IF(E497="Won",1,0)</f>
        <v>1</v>
      </c>
    </row>
    <row r="498" customFormat="false" ht="15" hidden="false" customHeight="false" outlineLevel="0" collapsed="false">
      <c r="A498" s="10" t="s">
        <v>2839</v>
      </c>
      <c r="B498" s="10" t="s">
        <v>68</v>
      </c>
      <c r="C498" s="10" t="s">
        <v>49</v>
      </c>
      <c r="D498" s="10" t="s">
        <v>227</v>
      </c>
      <c r="E498" s="10" t="s">
        <v>2345</v>
      </c>
      <c r="F498" s="30" t="n">
        <v>42731</v>
      </c>
      <c r="G498" s="30" t="n">
        <v>42819</v>
      </c>
      <c r="H498" s="26" t="n">
        <f aca="false">G498-F498</f>
        <v>88</v>
      </c>
      <c r="I498" s="10" t="n">
        <f aca="false">IF(E498="Won",1,0)</f>
        <v>0</v>
      </c>
    </row>
    <row r="499" customFormat="false" ht="15" hidden="false" customHeight="false" outlineLevel="0" collapsed="false">
      <c r="A499" s="10" t="s">
        <v>2840</v>
      </c>
      <c r="B499" s="10" t="s">
        <v>68</v>
      </c>
      <c r="C499" s="10" t="s">
        <v>52</v>
      </c>
      <c r="D499" s="10" t="s">
        <v>483</v>
      </c>
      <c r="E499" s="10" t="s">
        <v>2342</v>
      </c>
      <c r="F499" s="30" t="n">
        <v>42714</v>
      </c>
      <c r="G499" s="30" t="n">
        <v>42819</v>
      </c>
      <c r="H499" s="26" t="n">
        <f aca="false">G499-F499</f>
        <v>105</v>
      </c>
      <c r="I499" s="10" t="n">
        <f aca="false">IF(E499="Won",1,0)</f>
        <v>1</v>
      </c>
    </row>
    <row r="500" customFormat="false" ht="15" hidden="false" customHeight="false" outlineLevel="0" collapsed="false">
      <c r="A500" s="10" t="s">
        <v>2841</v>
      </c>
      <c r="B500" s="10" t="s">
        <v>76</v>
      </c>
      <c r="C500" s="10" t="s">
        <v>47</v>
      </c>
      <c r="D500" s="10" t="s">
        <v>697</v>
      </c>
      <c r="E500" s="10" t="s">
        <v>2342</v>
      </c>
      <c r="F500" s="30" t="n">
        <v>42721</v>
      </c>
      <c r="G500" s="30" t="n">
        <v>42819</v>
      </c>
      <c r="H500" s="26" t="n">
        <f aca="false">G500-F500</f>
        <v>98</v>
      </c>
      <c r="I500" s="10" t="n">
        <f aca="false">IF(E500="Won",1,0)</f>
        <v>1</v>
      </c>
    </row>
    <row r="501" customFormat="false" ht="15" hidden="false" customHeight="false" outlineLevel="0" collapsed="false">
      <c r="A501" s="10" t="s">
        <v>2842</v>
      </c>
      <c r="B501" s="10" t="s">
        <v>71</v>
      </c>
      <c r="C501" s="10" t="s">
        <v>49</v>
      </c>
      <c r="D501" s="10" t="s">
        <v>660</v>
      </c>
      <c r="E501" s="10" t="s">
        <v>2345</v>
      </c>
      <c r="F501" s="30" t="n">
        <v>42740</v>
      </c>
      <c r="G501" s="30" t="n">
        <v>42819</v>
      </c>
      <c r="H501" s="26" t="n">
        <f aca="false">G501-F501</f>
        <v>79</v>
      </c>
      <c r="I501" s="10" t="n">
        <f aca="false">IF(E501="Won",1,0)</f>
        <v>0</v>
      </c>
    </row>
    <row r="502" customFormat="false" ht="15" hidden="false" customHeight="false" outlineLevel="0" collapsed="false">
      <c r="A502" s="10" t="s">
        <v>2843</v>
      </c>
      <c r="B502" s="10" t="s">
        <v>96</v>
      </c>
      <c r="C502" s="10" t="s">
        <v>50</v>
      </c>
      <c r="D502" s="10" t="s">
        <v>170</v>
      </c>
      <c r="E502" s="10" t="s">
        <v>2342</v>
      </c>
      <c r="F502" s="30" t="n">
        <v>42742</v>
      </c>
      <c r="G502" s="30" t="n">
        <v>42819</v>
      </c>
      <c r="H502" s="26" t="n">
        <f aca="false">G502-F502</f>
        <v>77</v>
      </c>
      <c r="I502" s="10" t="n">
        <f aca="false">IF(E502="Won",1,0)</f>
        <v>1</v>
      </c>
    </row>
    <row r="503" customFormat="false" ht="15" hidden="false" customHeight="false" outlineLevel="0" collapsed="false">
      <c r="A503" s="10" t="s">
        <v>2844</v>
      </c>
      <c r="B503" s="10" t="s">
        <v>74</v>
      </c>
      <c r="C503" s="10" t="s">
        <v>51</v>
      </c>
      <c r="D503" s="10" t="s">
        <v>321</v>
      </c>
      <c r="E503" s="10" t="s">
        <v>2342</v>
      </c>
      <c r="F503" s="30" t="n">
        <v>42756</v>
      </c>
      <c r="G503" s="30" t="n">
        <v>42819</v>
      </c>
      <c r="H503" s="26" t="n">
        <f aca="false">G503-F503</f>
        <v>63</v>
      </c>
      <c r="I503" s="10" t="n">
        <f aca="false">IF(E503="Won",1,0)</f>
        <v>1</v>
      </c>
    </row>
    <row r="504" customFormat="false" ht="15" hidden="false" customHeight="false" outlineLevel="0" collapsed="false">
      <c r="A504" s="10" t="s">
        <v>2845</v>
      </c>
      <c r="B504" s="10" t="s">
        <v>77</v>
      </c>
      <c r="C504" s="10" t="s">
        <v>49</v>
      </c>
      <c r="D504" s="10" t="s">
        <v>961</v>
      </c>
      <c r="E504" s="10" t="s">
        <v>2342</v>
      </c>
      <c r="F504" s="30" t="n">
        <v>42724</v>
      </c>
      <c r="G504" s="30" t="n">
        <v>42819</v>
      </c>
      <c r="H504" s="26" t="n">
        <f aca="false">G504-F504</f>
        <v>95</v>
      </c>
      <c r="I504" s="10" t="n">
        <f aca="false">IF(E504="Won",1,0)</f>
        <v>1</v>
      </c>
    </row>
    <row r="505" customFormat="false" ht="15" hidden="false" customHeight="false" outlineLevel="0" collapsed="false">
      <c r="A505" s="10" t="s">
        <v>2846</v>
      </c>
      <c r="B505" s="10" t="s">
        <v>79</v>
      </c>
      <c r="C505" s="10" t="s">
        <v>51</v>
      </c>
      <c r="D505" s="10" t="s">
        <v>697</v>
      </c>
      <c r="E505" s="10" t="s">
        <v>2345</v>
      </c>
      <c r="F505" s="30" t="n">
        <v>42724</v>
      </c>
      <c r="G505" s="30" t="n">
        <v>42819</v>
      </c>
      <c r="H505" s="26" t="n">
        <f aca="false">G505-F505</f>
        <v>95</v>
      </c>
      <c r="I505" s="10" t="n">
        <f aca="false">IF(E505="Won",1,0)</f>
        <v>0</v>
      </c>
    </row>
    <row r="506" customFormat="false" ht="15" hidden="false" customHeight="false" outlineLevel="0" collapsed="false">
      <c r="A506" s="10" t="s">
        <v>2847</v>
      </c>
      <c r="B506" s="10" t="s">
        <v>88</v>
      </c>
      <c r="C506" s="10" t="s">
        <v>49</v>
      </c>
      <c r="D506" s="10" t="s">
        <v>332</v>
      </c>
      <c r="E506" s="10" t="s">
        <v>2342</v>
      </c>
      <c r="F506" s="30" t="n">
        <v>42744</v>
      </c>
      <c r="G506" s="30" t="n">
        <v>42819</v>
      </c>
      <c r="H506" s="26" t="n">
        <f aca="false">G506-F506</f>
        <v>75</v>
      </c>
      <c r="I506" s="10" t="n">
        <f aca="false">IF(E506="Won",1,0)</f>
        <v>1</v>
      </c>
    </row>
    <row r="507" customFormat="false" ht="15" hidden="false" customHeight="false" outlineLevel="0" collapsed="false">
      <c r="A507" s="10" t="s">
        <v>2848</v>
      </c>
      <c r="B507" s="10" t="s">
        <v>62</v>
      </c>
      <c r="C507" s="10" t="s">
        <v>52</v>
      </c>
      <c r="D507" s="10" t="s">
        <v>532</v>
      </c>
      <c r="E507" s="10" t="s">
        <v>2342</v>
      </c>
      <c r="F507" s="30" t="n">
        <v>42743</v>
      </c>
      <c r="G507" s="30" t="n">
        <v>42819</v>
      </c>
      <c r="H507" s="26" t="n">
        <f aca="false">G507-F507</f>
        <v>76</v>
      </c>
      <c r="I507" s="10" t="n">
        <f aca="false">IF(E507="Won",1,0)</f>
        <v>1</v>
      </c>
    </row>
    <row r="508" customFormat="false" ht="15" hidden="false" customHeight="false" outlineLevel="0" collapsed="false">
      <c r="A508" s="10" t="s">
        <v>2849</v>
      </c>
      <c r="B508" s="10" t="s">
        <v>84</v>
      </c>
      <c r="C508" s="10" t="s">
        <v>50</v>
      </c>
      <c r="D508" s="10" t="s">
        <v>247</v>
      </c>
      <c r="E508" s="10" t="s">
        <v>2342</v>
      </c>
      <c r="F508" s="30" t="n">
        <v>42739</v>
      </c>
      <c r="G508" s="30" t="n">
        <v>42819</v>
      </c>
      <c r="H508" s="26" t="n">
        <f aca="false">G508-F508</f>
        <v>80</v>
      </c>
      <c r="I508" s="10" t="n">
        <f aca="false">IF(E508="Won",1,0)</f>
        <v>1</v>
      </c>
    </row>
    <row r="509" customFormat="false" ht="15" hidden="false" customHeight="false" outlineLevel="0" collapsed="false">
      <c r="A509" s="10" t="s">
        <v>2850</v>
      </c>
      <c r="B509" s="10" t="s">
        <v>79</v>
      </c>
      <c r="C509" s="10" t="s">
        <v>48</v>
      </c>
      <c r="D509" s="10" t="s">
        <v>414</v>
      </c>
      <c r="E509" s="10" t="s">
        <v>2342</v>
      </c>
      <c r="F509" s="30" t="n">
        <v>42729</v>
      </c>
      <c r="G509" s="30" t="n">
        <v>42819</v>
      </c>
      <c r="H509" s="26" t="n">
        <f aca="false">G509-F509</f>
        <v>90</v>
      </c>
      <c r="I509" s="10" t="n">
        <f aca="false">IF(E509="Won",1,0)</f>
        <v>1</v>
      </c>
    </row>
    <row r="510" customFormat="false" ht="15" hidden="false" customHeight="false" outlineLevel="0" collapsed="false">
      <c r="A510" s="10" t="s">
        <v>2851</v>
      </c>
      <c r="B510" s="10" t="s">
        <v>96</v>
      </c>
      <c r="C510" s="10" t="s">
        <v>48</v>
      </c>
      <c r="D510" s="10" t="s">
        <v>199</v>
      </c>
      <c r="E510" s="10" t="s">
        <v>2342</v>
      </c>
      <c r="F510" s="30" t="n">
        <v>42748</v>
      </c>
      <c r="G510" s="30" t="n">
        <v>42819</v>
      </c>
      <c r="H510" s="26" t="n">
        <f aca="false">G510-F510</f>
        <v>71</v>
      </c>
      <c r="I510" s="10" t="n">
        <f aca="false">IF(E510="Won",1,0)</f>
        <v>1</v>
      </c>
    </row>
    <row r="511" customFormat="false" ht="15" hidden="false" customHeight="false" outlineLevel="0" collapsed="false">
      <c r="A511" s="10" t="s">
        <v>2852</v>
      </c>
      <c r="B511" s="10" t="s">
        <v>57</v>
      </c>
      <c r="C511" s="10" t="s">
        <v>52</v>
      </c>
      <c r="D511" s="10" t="s">
        <v>277</v>
      </c>
      <c r="E511" s="10" t="s">
        <v>2342</v>
      </c>
      <c r="F511" s="30" t="n">
        <v>42813</v>
      </c>
      <c r="G511" s="30" t="n">
        <v>42819</v>
      </c>
      <c r="H511" s="26" t="n">
        <f aca="false">G511-F511</f>
        <v>6</v>
      </c>
      <c r="I511" s="10" t="n">
        <f aca="false">IF(E511="Won",1,0)</f>
        <v>1</v>
      </c>
    </row>
    <row r="512" customFormat="false" ht="15" hidden="false" customHeight="false" outlineLevel="0" collapsed="false">
      <c r="A512" s="10" t="s">
        <v>2853</v>
      </c>
      <c r="B512" s="10" t="s">
        <v>77</v>
      </c>
      <c r="C512" s="10" t="s">
        <v>48</v>
      </c>
      <c r="D512" s="10" t="s">
        <v>210</v>
      </c>
      <c r="E512" s="10" t="s">
        <v>2342</v>
      </c>
      <c r="F512" s="30" t="n">
        <v>42771</v>
      </c>
      <c r="G512" s="30" t="n">
        <v>42819</v>
      </c>
      <c r="H512" s="26" t="n">
        <f aca="false">G512-F512</f>
        <v>48</v>
      </c>
      <c r="I512" s="10" t="n">
        <f aca="false">IF(E512="Won",1,0)</f>
        <v>1</v>
      </c>
    </row>
    <row r="513" customFormat="false" ht="15" hidden="false" customHeight="false" outlineLevel="0" collapsed="false">
      <c r="A513" s="10" t="s">
        <v>2854</v>
      </c>
      <c r="B513" s="10" t="s">
        <v>76</v>
      </c>
      <c r="C513" s="10" t="s">
        <v>52</v>
      </c>
      <c r="D513" s="10" t="s">
        <v>697</v>
      </c>
      <c r="E513" s="10" t="s">
        <v>2342</v>
      </c>
      <c r="F513" s="30" t="n">
        <v>42809</v>
      </c>
      <c r="G513" s="30" t="n">
        <v>42819</v>
      </c>
      <c r="H513" s="26" t="n">
        <f aca="false">G513-F513</f>
        <v>10</v>
      </c>
      <c r="I513" s="10" t="n">
        <f aca="false">IF(E513="Won",1,0)</f>
        <v>1</v>
      </c>
    </row>
    <row r="514" customFormat="false" ht="15" hidden="false" customHeight="false" outlineLevel="0" collapsed="false">
      <c r="A514" s="10" t="s">
        <v>2855</v>
      </c>
      <c r="B514" s="10" t="s">
        <v>66</v>
      </c>
      <c r="C514" s="10" t="s">
        <v>49</v>
      </c>
      <c r="D514" s="10" t="s">
        <v>170</v>
      </c>
      <c r="E514" s="10" t="s">
        <v>2342</v>
      </c>
      <c r="F514" s="30" t="n">
        <v>42803</v>
      </c>
      <c r="G514" s="30" t="n">
        <v>42819</v>
      </c>
      <c r="H514" s="26" t="n">
        <f aca="false">G514-F514</f>
        <v>16</v>
      </c>
      <c r="I514" s="10" t="n">
        <f aca="false">IF(E514="Won",1,0)</f>
        <v>1</v>
      </c>
    </row>
    <row r="515" customFormat="false" ht="15" hidden="false" customHeight="false" outlineLevel="0" collapsed="false">
      <c r="A515" s="10" t="s">
        <v>2856</v>
      </c>
      <c r="B515" s="10" t="s">
        <v>71</v>
      </c>
      <c r="C515" s="10" t="s">
        <v>49</v>
      </c>
      <c r="D515" s="10" t="s">
        <v>869</v>
      </c>
      <c r="E515" s="10" t="s">
        <v>2342</v>
      </c>
      <c r="F515" s="30" t="n">
        <v>42698</v>
      </c>
      <c r="G515" s="30" t="n">
        <v>42819</v>
      </c>
      <c r="H515" s="26" t="n">
        <f aca="false">G515-F515</f>
        <v>121</v>
      </c>
      <c r="I515" s="10" t="n">
        <f aca="false">IF(E515="Won",1,0)</f>
        <v>1</v>
      </c>
    </row>
    <row r="516" customFormat="false" ht="15" hidden="false" customHeight="false" outlineLevel="0" collapsed="false">
      <c r="A516" s="10" t="s">
        <v>2857</v>
      </c>
      <c r="B516" s="10" t="s">
        <v>83</v>
      </c>
      <c r="C516" s="10" t="s">
        <v>51</v>
      </c>
      <c r="D516" s="10" t="s">
        <v>410</v>
      </c>
      <c r="E516" s="10" t="s">
        <v>2342</v>
      </c>
      <c r="F516" s="30" t="n">
        <v>42705</v>
      </c>
      <c r="G516" s="30" t="n">
        <v>42820</v>
      </c>
      <c r="H516" s="26" t="n">
        <f aca="false">G516-F516</f>
        <v>115</v>
      </c>
      <c r="I516" s="10" t="n">
        <f aca="false">IF(E516="Won",1,0)</f>
        <v>1</v>
      </c>
    </row>
    <row r="517" customFormat="false" ht="15" hidden="false" customHeight="false" outlineLevel="0" collapsed="false">
      <c r="A517" s="10" t="s">
        <v>2858</v>
      </c>
      <c r="B517" s="10" t="s">
        <v>94</v>
      </c>
      <c r="C517" s="10" t="s">
        <v>49</v>
      </c>
      <c r="D517" s="10" t="s">
        <v>606</v>
      </c>
      <c r="E517" s="10" t="s">
        <v>2342</v>
      </c>
      <c r="F517" s="30" t="n">
        <v>42805</v>
      </c>
      <c r="G517" s="30" t="n">
        <v>42820</v>
      </c>
      <c r="H517" s="26" t="n">
        <f aca="false">G517-F517</f>
        <v>15</v>
      </c>
      <c r="I517" s="10" t="n">
        <f aca="false">IF(E517="Won",1,0)</f>
        <v>1</v>
      </c>
    </row>
    <row r="518" customFormat="false" ht="15" hidden="false" customHeight="false" outlineLevel="0" collapsed="false">
      <c r="A518" s="10" t="s">
        <v>2859</v>
      </c>
      <c r="B518" s="10" t="s">
        <v>61</v>
      </c>
      <c r="C518" s="10" t="s">
        <v>52</v>
      </c>
      <c r="D518" s="10" t="s">
        <v>254</v>
      </c>
      <c r="E518" s="10" t="s">
        <v>2342</v>
      </c>
      <c r="F518" s="30" t="n">
        <v>42743</v>
      </c>
      <c r="G518" s="30" t="n">
        <v>42820</v>
      </c>
      <c r="H518" s="26" t="n">
        <f aca="false">G518-F518</f>
        <v>77</v>
      </c>
      <c r="I518" s="10" t="n">
        <f aca="false">IF(E518="Won",1,0)</f>
        <v>1</v>
      </c>
    </row>
    <row r="519" customFormat="false" ht="15" hidden="false" customHeight="false" outlineLevel="0" collapsed="false">
      <c r="A519" s="10" t="s">
        <v>2860</v>
      </c>
      <c r="B519" s="10" t="s">
        <v>81</v>
      </c>
      <c r="C519" s="10" t="s">
        <v>52</v>
      </c>
      <c r="D519" s="10" t="s">
        <v>369</v>
      </c>
      <c r="E519" s="10" t="s">
        <v>2342</v>
      </c>
      <c r="F519" s="30" t="n">
        <v>42818</v>
      </c>
      <c r="G519" s="30" t="n">
        <v>42820</v>
      </c>
      <c r="H519" s="26" t="n">
        <f aca="false">G519-F519</f>
        <v>2</v>
      </c>
      <c r="I519" s="10" t="n">
        <f aca="false">IF(E519="Won",1,0)</f>
        <v>1</v>
      </c>
    </row>
    <row r="520" customFormat="false" ht="15" hidden="false" customHeight="false" outlineLevel="0" collapsed="false">
      <c r="A520" s="10" t="s">
        <v>2861</v>
      </c>
      <c r="B520" s="10" t="s">
        <v>93</v>
      </c>
      <c r="C520" s="10" t="s">
        <v>51</v>
      </c>
      <c r="D520" s="10" t="s">
        <v>606</v>
      </c>
      <c r="E520" s="10" t="s">
        <v>2342</v>
      </c>
      <c r="F520" s="30" t="n">
        <v>42813</v>
      </c>
      <c r="G520" s="30" t="n">
        <v>42820</v>
      </c>
      <c r="H520" s="26" t="n">
        <f aca="false">G520-F520</f>
        <v>7</v>
      </c>
      <c r="I520" s="10" t="n">
        <f aca="false">IF(E520="Won",1,0)</f>
        <v>1</v>
      </c>
    </row>
    <row r="521" customFormat="false" ht="15" hidden="false" customHeight="false" outlineLevel="0" collapsed="false">
      <c r="A521" s="10" t="s">
        <v>2862</v>
      </c>
      <c r="B521" s="10" t="s">
        <v>76</v>
      </c>
      <c r="C521" s="10" t="s">
        <v>52</v>
      </c>
      <c r="D521" s="10" t="s">
        <v>524</v>
      </c>
      <c r="E521" s="10" t="s">
        <v>2342</v>
      </c>
      <c r="F521" s="30" t="n">
        <v>42816</v>
      </c>
      <c r="G521" s="30" t="n">
        <v>42820</v>
      </c>
      <c r="H521" s="26" t="n">
        <f aca="false">G521-F521</f>
        <v>4</v>
      </c>
      <c r="I521" s="10" t="n">
        <f aca="false">IF(E521="Won",1,0)</f>
        <v>1</v>
      </c>
    </row>
    <row r="522" customFormat="false" ht="15" hidden="false" customHeight="false" outlineLevel="0" collapsed="false">
      <c r="A522" s="10" t="s">
        <v>2863</v>
      </c>
      <c r="B522" s="10" t="s">
        <v>69</v>
      </c>
      <c r="C522" s="10" t="s">
        <v>51</v>
      </c>
      <c r="D522" s="10" t="s">
        <v>286</v>
      </c>
      <c r="E522" s="10" t="s">
        <v>2342</v>
      </c>
      <c r="F522" s="30" t="n">
        <v>42701</v>
      </c>
      <c r="G522" s="30" t="n">
        <v>42820</v>
      </c>
      <c r="H522" s="26" t="n">
        <f aca="false">G522-F522</f>
        <v>119</v>
      </c>
      <c r="I522" s="10" t="n">
        <f aca="false">IF(E522="Won",1,0)</f>
        <v>1</v>
      </c>
    </row>
    <row r="523" customFormat="false" ht="15" hidden="false" customHeight="false" outlineLevel="0" collapsed="false">
      <c r="A523" s="10" t="s">
        <v>2864</v>
      </c>
      <c r="B523" s="10" t="s">
        <v>57</v>
      </c>
      <c r="C523" s="10" t="s">
        <v>47</v>
      </c>
      <c r="D523" s="10" t="s">
        <v>210</v>
      </c>
      <c r="E523" s="10" t="s">
        <v>2342</v>
      </c>
      <c r="F523" s="30" t="n">
        <v>42728</v>
      </c>
      <c r="G523" s="30" t="n">
        <v>42820</v>
      </c>
      <c r="H523" s="26" t="n">
        <f aca="false">G523-F523</f>
        <v>92</v>
      </c>
      <c r="I523" s="10" t="n">
        <f aca="false">IF(E523="Won",1,0)</f>
        <v>1</v>
      </c>
    </row>
    <row r="524" customFormat="false" ht="15" hidden="false" customHeight="false" outlineLevel="0" collapsed="false">
      <c r="A524" s="10" t="s">
        <v>2865</v>
      </c>
      <c r="B524" s="10" t="s">
        <v>57</v>
      </c>
      <c r="C524" s="10" t="s">
        <v>51</v>
      </c>
      <c r="D524" s="10" t="s">
        <v>1397</v>
      </c>
      <c r="E524" s="10" t="s">
        <v>2342</v>
      </c>
      <c r="F524" s="30" t="n">
        <v>42705</v>
      </c>
      <c r="G524" s="30" t="n">
        <v>42820</v>
      </c>
      <c r="H524" s="26" t="n">
        <f aca="false">G524-F524</f>
        <v>115</v>
      </c>
      <c r="I524" s="10" t="n">
        <f aca="false">IF(E524="Won",1,0)</f>
        <v>1</v>
      </c>
    </row>
    <row r="525" customFormat="false" ht="15" hidden="false" customHeight="false" outlineLevel="0" collapsed="false">
      <c r="A525" s="10" t="s">
        <v>2866</v>
      </c>
      <c r="B525" s="10" t="s">
        <v>77</v>
      </c>
      <c r="C525" s="10" t="s">
        <v>51</v>
      </c>
      <c r="D525" s="10" t="s">
        <v>414</v>
      </c>
      <c r="E525" s="10" t="s">
        <v>2342</v>
      </c>
      <c r="F525" s="30" t="n">
        <v>42682</v>
      </c>
      <c r="G525" s="30" t="n">
        <v>42820</v>
      </c>
      <c r="H525" s="26" t="n">
        <f aca="false">G525-F525</f>
        <v>138</v>
      </c>
      <c r="I525" s="10" t="n">
        <f aca="false">IF(E525="Won",1,0)</f>
        <v>1</v>
      </c>
    </row>
    <row r="526" customFormat="false" ht="15" hidden="false" customHeight="false" outlineLevel="0" collapsed="false">
      <c r="A526" s="10" t="s">
        <v>2867</v>
      </c>
      <c r="B526" s="10" t="s">
        <v>81</v>
      </c>
      <c r="C526" s="10" t="s">
        <v>51</v>
      </c>
      <c r="D526" s="10" t="s">
        <v>311</v>
      </c>
      <c r="E526" s="10" t="s">
        <v>2342</v>
      </c>
      <c r="F526" s="30" t="n">
        <v>42798</v>
      </c>
      <c r="G526" s="30" t="n">
        <v>42820</v>
      </c>
      <c r="H526" s="26" t="n">
        <f aca="false">G526-F526</f>
        <v>22</v>
      </c>
      <c r="I526" s="10" t="n">
        <f aca="false">IF(E526="Won",1,0)</f>
        <v>1</v>
      </c>
    </row>
    <row r="527" customFormat="false" ht="15" hidden="false" customHeight="false" outlineLevel="0" collapsed="false">
      <c r="A527" s="10" t="s">
        <v>2868</v>
      </c>
      <c r="B527" s="10" t="s">
        <v>63</v>
      </c>
      <c r="C527" s="10" t="s">
        <v>49</v>
      </c>
      <c r="D527" s="10" t="s">
        <v>453</v>
      </c>
      <c r="E527" s="10" t="s">
        <v>2345</v>
      </c>
      <c r="F527" s="30" t="n">
        <v>42815</v>
      </c>
      <c r="G527" s="30" t="n">
        <v>42820</v>
      </c>
      <c r="H527" s="26" t="n">
        <f aca="false">G527-F527</f>
        <v>5</v>
      </c>
      <c r="I527" s="10" t="n">
        <f aca="false">IF(E527="Won",1,0)</f>
        <v>0</v>
      </c>
    </row>
    <row r="528" customFormat="false" ht="15" hidden="false" customHeight="false" outlineLevel="0" collapsed="false">
      <c r="A528" s="10" t="s">
        <v>2869</v>
      </c>
      <c r="B528" s="10" t="s">
        <v>71</v>
      </c>
      <c r="C528" s="10" t="s">
        <v>47</v>
      </c>
      <c r="D528" s="10" t="s">
        <v>388</v>
      </c>
      <c r="E528" s="10" t="s">
        <v>2342</v>
      </c>
      <c r="F528" s="30" t="n">
        <v>42811</v>
      </c>
      <c r="G528" s="30" t="n">
        <v>42820</v>
      </c>
      <c r="H528" s="26" t="n">
        <f aca="false">G528-F528</f>
        <v>9</v>
      </c>
      <c r="I528" s="10" t="n">
        <f aca="false">IF(E528="Won",1,0)</f>
        <v>1</v>
      </c>
    </row>
    <row r="529" customFormat="false" ht="15" hidden="false" customHeight="false" outlineLevel="0" collapsed="false">
      <c r="A529" s="10" t="s">
        <v>2870</v>
      </c>
      <c r="B529" s="10" t="s">
        <v>62</v>
      </c>
      <c r="C529" s="10" t="s">
        <v>51</v>
      </c>
      <c r="D529" s="10" t="s">
        <v>1397</v>
      </c>
      <c r="E529" s="10" t="s">
        <v>2342</v>
      </c>
      <c r="F529" s="30" t="n">
        <v>42818</v>
      </c>
      <c r="G529" s="30" t="n">
        <v>42820</v>
      </c>
      <c r="H529" s="26" t="n">
        <f aca="false">G529-F529</f>
        <v>2</v>
      </c>
      <c r="I529" s="10" t="n">
        <f aca="false">IF(E529="Won",1,0)</f>
        <v>1</v>
      </c>
    </row>
    <row r="530" customFormat="false" ht="15" hidden="false" customHeight="false" outlineLevel="0" collapsed="false">
      <c r="A530" s="10" t="s">
        <v>2871</v>
      </c>
      <c r="B530" s="10" t="s">
        <v>71</v>
      </c>
      <c r="C530" s="10" t="s">
        <v>52</v>
      </c>
      <c r="D530" s="10" t="s">
        <v>291</v>
      </c>
      <c r="E530" s="10" t="s">
        <v>2342</v>
      </c>
      <c r="F530" s="30" t="n">
        <v>42745</v>
      </c>
      <c r="G530" s="30" t="n">
        <v>42820</v>
      </c>
      <c r="H530" s="26" t="n">
        <f aca="false">G530-F530</f>
        <v>75</v>
      </c>
      <c r="I530" s="10" t="n">
        <f aca="false">IF(E530="Won",1,0)</f>
        <v>1</v>
      </c>
    </row>
    <row r="531" customFormat="false" ht="15" hidden="false" customHeight="false" outlineLevel="0" collapsed="false">
      <c r="A531" s="10" t="s">
        <v>2872</v>
      </c>
      <c r="B531" s="10" t="s">
        <v>68</v>
      </c>
      <c r="C531" s="10" t="s">
        <v>50</v>
      </c>
      <c r="D531" s="10" t="s">
        <v>326</v>
      </c>
      <c r="E531" s="10" t="s">
        <v>2345</v>
      </c>
      <c r="F531" s="30" t="n">
        <v>42754</v>
      </c>
      <c r="G531" s="30" t="n">
        <v>42820</v>
      </c>
      <c r="H531" s="26" t="n">
        <f aca="false">G531-F531</f>
        <v>66</v>
      </c>
      <c r="I531" s="10" t="n">
        <f aca="false">IF(E531="Won",1,0)</f>
        <v>0</v>
      </c>
    </row>
    <row r="532" customFormat="false" ht="15" hidden="false" customHeight="false" outlineLevel="0" collapsed="false">
      <c r="A532" s="10" t="s">
        <v>2873</v>
      </c>
      <c r="B532" s="10" t="s">
        <v>70</v>
      </c>
      <c r="C532" s="10" t="s">
        <v>52</v>
      </c>
      <c r="D532" s="10" t="s">
        <v>396</v>
      </c>
      <c r="E532" s="10" t="s">
        <v>2342</v>
      </c>
      <c r="F532" s="30" t="n">
        <v>42712</v>
      </c>
      <c r="G532" s="30" t="n">
        <v>42820</v>
      </c>
      <c r="H532" s="26" t="n">
        <f aca="false">G532-F532</f>
        <v>108</v>
      </c>
      <c r="I532" s="10" t="n">
        <f aca="false">IF(E532="Won",1,0)</f>
        <v>1</v>
      </c>
    </row>
    <row r="533" customFormat="false" ht="15" hidden="false" customHeight="false" outlineLevel="0" collapsed="false">
      <c r="A533" s="10" t="s">
        <v>2874</v>
      </c>
      <c r="B533" s="10" t="s">
        <v>94</v>
      </c>
      <c r="C533" s="10" t="s">
        <v>51</v>
      </c>
      <c r="D533" s="10" t="s">
        <v>437</v>
      </c>
      <c r="E533" s="10" t="s">
        <v>2342</v>
      </c>
      <c r="F533" s="30" t="n">
        <v>42736</v>
      </c>
      <c r="G533" s="30" t="n">
        <v>42820</v>
      </c>
      <c r="H533" s="26" t="n">
        <f aca="false">G533-F533</f>
        <v>84</v>
      </c>
      <c r="I533" s="10" t="n">
        <f aca="false">IF(E533="Won",1,0)</f>
        <v>1</v>
      </c>
    </row>
    <row r="534" customFormat="false" ht="15" hidden="false" customHeight="false" outlineLevel="0" collapsed="false">
      <c r="A534" s="10" t="s">
        <v>2875</v>
      </c>
      <c r="B534" s="10" t="s">
        <v>95</v>
      </c>
      <c r="C534" s="10" t="s">
        <v>51</v>
      </c>
      <c r="D534" s="10" t="s">
        <v>396</v>
      </c>
      <c r="E534" s="10" t="s">
        <v>2342</v>
      </c>
      <c r="F534" s="30" t="n">
        <v>42702</v>
      </c>
      <c r="G534" s="30" t="n">
        <v>42820</v>
      </c>
      <c r="H534" s="26" t="n">
        <f aca="false">G534-F534</f>
        <v>118</v>
      </c>
      <c r="I534" s="10" t="n">
        <f aca="false">IF(E534="Won",1,0)</f>
        <v>1</v>
      </c>
    </row>
    <row r="535" customFormat="false" ht="15" hidden="false" customHeight="false" outlineLevel="0" collapsed="false">
      <c r="A535" s="10" t="s">
        <v>2876</v>
      </c>
      <c r="B535" s="10" t="s">
        <v>60</v>
      </c>
      <c r="C535" s="10" t="s">
        <v>50</v>
      </c>
      <c r="D535" s="10" t="s">
        <v>215</v>
      </c>
      <c r="E535" s="10" t="s">
        <v>2345</v>
      </c>
      <c r="F535" s="30" t="n">
        <v>42740</v>
      </c>
      <c r="G535" s="30" t="n">
        <v>42820</v>
      </c>
      <c r="H535" s="26" t="n">
        <f aca="false">G535-F535</f>
        <v>80</v>
      </c>
      <c r="I535" s="10" t="n">
        <f aca="false">IF(E535="Won",1,0)</f>
        <v>0</v>
      </c>
    </row>
    <row r="536" customFormat="false" ht="15" hidden="false" customHeight="false" outlineLevel="0" collapsed="false">
      <c r="A536" s="10" t="s">
        <v>2877</v>
      </c>
      <c r="B536" s="10" t="s">
        <v>90</v>
      </c>
      <c r="C536" s="10" t="s">
        <v>48</v>
      </c>
      <c r="D536" s="10" t="s">
        <v>464</v>
      </c>
      <c r="E536" s="10" t="s">
        <v>2342</v>
      </c>
      <c r="F536" s="30" t="n">
        <v>42811</v>
      </c>
      <c r="G536" s="30" t="n">
        <v>42821</v>
      </c>
      <c r="H536" s="26" t="n">
        <f aca="false">G536-F536</f>
        <v>10</v>
      </c>
      <c r="I536" s="10" t="n">
        <f aca="false">IF(E536="Won",1,0)</f>
        <v>1</v>
      </c>
    </row>
    <row r="537" customFormat="false" ht="15" hidden="false" customHeight="false" outlineLevel="0" collapsed="false">
      <c r="A537" s="10" t="s">
        <v>2878</v>
      </c>
      <c r="B537" s="10" t="s">
        <v>86</v>
      </c>
      <c r="C537" s="10" t="s">
        <v>51</v>
      </c>
      <c r="D537" s="10" t="s">
        <v>161</v>
      </c>
      <c r="E537" s="10" t="s">
        <v>2342</v>
      </c>
      <c r="F537" s="30" t="n">
        <v>42771</v>
      </c>
      <c r="G537" s="30" t="n">
        <v>42821</v>
      </c>
      <c r="H537" s="26" t="n">
        <f aca="false">G537-F537</f>
        <v>50</v>
      </c>
      <c r="I537" s="10" t="n">
        <f aca="false">IF(E537="Won",1,0)</f>
        <v>1</v>
      </c>
    </row>
    <row r="538" customFormat="false" ht="15" hidden="false" customHeight="false" outlineLevel="0" collapsed="false">
      <c r="A538" s="10" t="s">
        <v>2879</v>
      </c>
      <c r="B538" s="10" t="s">
        <v>95</v>
      </c>
      <c r="C538" s="10" t="s">
        <v>51</v>
      </c>
      <c r="D538" s="10" t="s">
        <v>326</v>
      </c>
      <c r="E538" s="10" t="s">
        <v>2342</v>
      </c>
      <c r="F538" s="30" t="n">
        <v>42805</v>
      </c>
      <c r="G538" s="30" t="n">
        <v>42821</v>
      </c>
      <c r="H538" s="26" t="n">
        <f aca="false">G538-F538</f>
        <v>16</v>
      </c>
      <c r="I538" s="10" t="n">
        <f aca="false">IF(E538="Won",1,0)</f>
        <v>1</v>
      </c>
    </row>
    <row r="539" customFormat="false" ht="15" hidden="false" customHeight="false" outlineLevel="0" collapsed="false">
      <c r="A539" s="10" t="s">
        <v>2880</v>
      </c>
      <c r="B539" s="10" t="s">
        <v>96</v>
      </c>
      <c r="C539" s="10" t="s">
        <v>51</v>
      </c>
      <c r="D539" s="10" t="s">
        <v>227</v>
      </c>
      <c r="E539" s="10" t="s">
        <v>2342</v>
      </c>
      <c r="F539" s="30" t="n">
        <v>42806</v>
      </c>
      <c r="G539" s="30" t="n">
        <v>42821</v>
      </c>
      <c r="H539" s="26" t="n">
        <f aca="false">G539-F539</f>
        <v>15</v>
      </c>
      <c r="I539" s="10" t="n">
        <f aca="false">IF(E539="Won",1,0)</f>
        <v>1</v>
      </c>
    </row>
    <row r="540" customFormat="false" ht="15" hidden="false" customHeight="false" outlineLevel="0" collapsed="false">
      <c r="A540" s="10" t="s">
        <v>2881</v>
      </c>
      <c r="B540" s="10" t="s">
        <v>71</v>
      </c>
      <c r="C540" s="10" t="s">
        <v>47</v>
      </c>
      <c r="D540" s="10" t="s">
        <v>527</v>
      </c>
      <c r="E540" s="10" t="s">
        <v>2342</v>
      </c>
      <c r="F540" s="30" t="n">
        <v>42733</v>
      </c>
      <c r="G540" s="30" t="n">
        <v>42821</v>
      </c>
      <c r="H540" s="26" t="n">
        <f aca="false">G540-F540</f>
        <v>88</v>
      </c>
      <c r="I540" s="10" t="n">
        <f aca="false">IF(E540="Won",1,0)</f>
        <v>1</v>
      </c>
    </row>
    <row r="541" customFormat="false" ht="15" hidden="false" customHeight="false" outlineLevel="0" collapsed="false">
      <c r="A541" s="10" t="s">
        <v>2882</v>
      </c>
      <c r="B541" s="10" t="s">
        <v>74</v>
      </c>
      <c r="C541" s="10" t="s">
        <v>52</v>
      </c>
      <c r="D541" s="10" t="s">
        <v>524</v>
      </c>
      <c r="E541" s="10" t="s">
        <v>2342</v>
      </c>
      <c r="F541" s="30" t="n">
        <v>42743</v>
      </c>
      <c r="G541" s="30" t="n">
        <v>42821</v>
      </c>
      <c r="H541" s="26" t="n">
        <f aca="false">G541-F541</f>
        <v>78</v>
      </c>
      <c r="I541" s="10" t="n">
        <f aca="false">IF(E541="Won",1,0)</f>
        <v>1</v>
      </c>
    </row>
    <row r="542" customFormat="false" ht="15" hidden="false" customHeight="false" outlineLevel="0" collapsed="false">
      <c r="A542" s="10" t="s">
        <v>2883</v>
      </c>
      <c r="B542" s="10" t="s">
        <v>95</v>
      </c>
      <c r="C542" s="10" t="s">
        <v>51</v>
      </c>
      <c r="D542" s="10" t="s">
        <v>286</v>
      </c>
      <c r="E542" s="10" t="s">
        <v>2342</v>
      </c>
      <c r="F542" s="30" t="n">
        <v>42741</v>
      </c>
      <c r="G542" s="30" t="n">
        <v>42821</v>
      </c>
      <c r="H542" s="26" t="n">
        <f aca="false">G542-F542</f>
        <v>80</v>
      </c>
      <c r="I542" s="10" t="n">
        <f aca="false">IF(E542="Won",1,0)</f>
        <v>1</v>
      </c>
    </row>
    <row r="543" customFormat="false" ht="15" hidden="false" customHeight="false" outlineLevel="0" collapsed="false">
      <c r="A543" s="10" t="s">
        <v>2884</v>
      </c>
      <c r="B543" s="10" t="s">
        <v>76</v>
      </c>
      <c r="C543" s="10" t="s">
        <v>51</v>
      </c>
      <c r="D543" s="10" t="s">
        <v>422</v>
      </c>
      <c r="E543" s="10" t="s">
        <v>2345</v>
      </c>
      <c r="F543" s="30" t="n">
        <v>42816</v>
      </c>
      <c r="G543" s="30" t="n">
        <v>42821</v>
      </c>
      <c r="H543" s="26" t="n">
        <f aca="false">G543-F543</f>
        <v>5</v>
      </c>
      <c r="I543" s="10" t="n">
        <f aca="false">IF(E543="Won",1,0)</f>
        <v>0</v>
      </c>
    </row>
    <row r="544" customFormat="false" ht="15" hidden="false" customHeight="false" outlineLevel="0" collapsed="false">
      <c r="A544" s="10" t="s">
        <v>2885</v>
      </c>
      <c r="B544" s="10" t="s">
        <v>76</v>
      </c>
      <c r="C544" s="10" t="s">
        <v>49</v>
      </c>
      <c r="D544" s="10" t="s">
        <v>660</v>
      </c>
      <c r="E544" s="10" t="s">
        <v>2342</v>
      </c>
      <c r="F544" s="30" t="n">
        <v>42813</v>
      </c>
      <c r="G544" s="30" t="n">
        <v>42821</v>
      </c>
      <c r="H544" s="26" t="n">
        <f aca="false">G544-F544</f>
        <v>8</v>
      </c>
      <c r="I544" s="10" t="n">
        <f aca="false">IF(E544="Won",1,0)</f>
        <v>1</v>
      </c>
    </row>
    <row r="545" customFormat="false" ht="15" hidden="false" customHeight="false" outlineLevel="0" collapsed="false">
      <c r="A545" s="10" t="s">
        <v>2886</v>
      </c>
      <c r="B545" s="10" t="s">
        <v>97</v>
      </c>
      <c r="C545" s="10" t="s">
        <v>51</v>
      </c>
      <c r="D545" s="10" t="s">
        <v>606</v>
      </c>
      <c r="E545" s="10" t="s">
        <v>2342</v>
      </c>
      <c r="F545" s="30" t="n">
        <v>42717</v>
      </c>
      <c r="G545" s="30" t="n">
        <v>42821</v>
      </c>
      <c r="H545" s="26" t="n">
        <f aca="false">G545-F545</f>
        <v>104</v>
      </c>
      <c r="I545" s="10" t="n">
        <f aca="false">IF(E545="Won",1,0)</f>
        <v>1</v>
      </c>
    </row>
    <row r="546" customFormat="false" ht="15" hidden="false" customHeight="false" outlineLevel="0" collapsed="false">
      <c r="A546" s="10" t="s">
        <v>2887</v>
      </c>
      <c r="B546" s="10" t="s">
        <v>73</v>
      </c>
      <c r="C546" s="10" t="s">
        <v>52</v>
      </c>
      <c r="D546" s="10" t="s">
        <v>527</v>
      </c>
      <c r="E546" s="10" t="s">
        <v>2342</v>
      </c>
      <c r="F546" s="30" t="n">
        <v>42812</v>
      </c>
      <c r="G546" s="30" t="n">
        <v>42821</v>
      </c>
      <c r="H546" s="26" t="n">
        <f aca="false">G546-F546</f>
        <v>9</v>
      </c>
      <c r="I546" s="10" t="n">
        <f aca="false">IF(E546="Won",1,0)</f>
        <v>1</v>
      </c>
    </row>
    <row r="547" customFormat="false" ht="15" hidden="false" customHeight="false" outlineLevel="0" collapsed="false">
      <c r="A547" s="10" t="s">
        <v>2888</v>
      </c>
      <c r="B547" s="10" t="s">
        <v>88</v>
      </c>
      <c r="C547" s="10" t="s">
        <v>50</v>
      </c>
      <c r="D547" s="10" t="s">
        <v>185</v>
      </c>
      <c r="E547" s="10" t="s">
        <v>2345</v>
      </c>
      <c r="F547" s="30" t="n">
        <v>42721</v>
      </c>
      <c r="G547" s="30" t="n">
        <v>42821</v>
      </c>
      <c r="H547" s="26" t="n">
        <f aca="false">G547-F547</f>
        <v>100</v>
      </c>
      <c r="I547" s="10" t="n">
        <f aca="false">IF(E547="Won",1,0)</f>
        <v>0</v>
      </c>
    </row>
    <row r="548" customFormat="false" ht="15" hidden="false" customHeight="false" outlineLevel="0" collapsed="false">
      <c r="A548" s="10" t="s">
        <v>2889</v>
      </c>
      <c r="B548" s="10" t="s">
        <v>71</v>
      </c>
      <c r="C548" s="10" t="s">
        <v>47</v>
      </c>
      <c r="D548" s="10" t="s">
        <v>422</v>
      </c>
      <c r="E548" s="10" t="s">
        <v>2345</v>
      </c>
      <c r="F548" s="30" t="n">
        <v>42726</v>
      </c>
      <c r="G548" s="30" t="n">
        <v>42821</v>
      </c>
      <c r="H548" s="26" t="n">
        <f aca="false">G548-F548</f>
        <v>95</v>
      </c>
      <c r="I548" s="10" t="n">
        <f aca="false">IF(E548="Won",1,0)</f>
        <v>0</v>
      </c>
    </row>
    <row r="549" customFormat="false" ht="15" hidden="false" customHeight="false" outlineLevel="0" collapsed="false">
      <c r="A549" s="10" t="s">
        <v>2890</v>
      </c>
      <c r="B549" s="10" t="s">
        <v>86</v>
      </c>
      <c r="C549" s="10" t="s">
        <v>50</v>
      </c>
      <c r="D549" s="10" t="s">
        <v>674</v>
      </c>
      <c r="E549" s="10" t="s">
        <v>2342</v>
      </c>
      <c r="F549" s="30" t="n">
        <v>42725</v>
      </c>
      <c r="G549" s="30" t="n">
        <v>42821</v>
      </c>
      <c r="H549" s="26" t="n">
        <f aca="false">G549-F549</f>
        <v>96</v>
      </c>
      <c r="I549" s="10" t="n">
        <f aca="false">IF(E549="Won",1,0)</f>
        <v>1</v>
      </c>
    </row>
    <row r="550" customFormat="false" ht="15" hidden="false" customHeight="false" outlineLevel="0" collapsed="false">
      <c r="A550" s="10" t="s">
        <v>2891</v>
      </c>
      <c r="B550" s="10" t="s">
        <v>70</v>
      </c>
      <c r="C550" s="10" t="s">
        <v>51</v>
      </c>
      <c r="D550" s="10" t="s">
        <v>437</v>
      </c>
      <c r="E550" s="10" t="s">
        <v>2342</v>
      </c>
      <c r="F550" s="30" t="n">
        <v>42744</v>
      </c>
      <c r="G550" s="30" t="n">
        <v>42821</v>
      </c>
      <c r="H550" s="26" t="n">
        <f aca="false">G550-F550</f>
        <v>77</v>
      </c>
      <c r="I550" s="10" t="n">
        <f aca="false">IF(E550="Won",1,0)</f>
        <v>1</v>
      </c>
    </row>
    <row r="551" customFormat="false" ht="15" hidden="false" customHeight="false" outlineLevel="0" collapsed="false">
      <c r="A551" s="10" t="s">
        <v>2892</v>
      </c>
      <c r="B551" s="10" t="s">
        <v>71</v>
      </c>
      <c r="C551" s="10" t="s">
        <v>52</v>
      </c>
      <c r="D551" s="10" t="s">
        <v>193</v>
      </c>
      <c r="E551" s="10" t="s">
        <v>2342</v>
      </c>
      <c r="F551" s="30" t="n">
        <v>42748</v>
      </c>
      <c r="G551" s="30" t="n">
        <v>42821</v>
      </c>
      <c r="H551" s="26" t="n">
        <f aca="false">G551-F551</f>
        <v>73</v>
      </c>
      <c r="I551" s="10" t="n">
        <f aca="false">IF(E551="Won",1,0)</f>
        <v>1</v>
      </c>
    </row>
    <row r="552" customFormat="false" ht="15" hidden="false" customHeight="false" outlineLevel="0" collapsed="false">
      <c r="A552" s="10" t="s">
        <v>2893</v>
      </c>
      <c r="B552" s="10" t="s">
        <v>70</v>
      </c>
      <c r="C552" s="10" t="s">
        <v>49</v>
      </c>
      <c r="D552" s="10" t="s">
        <v>286</v>
      </c>
      <c r="E552" s="10" t="s">
        <v>2342</v>
      </c>
      <c r="F552" s="30" t="n">
        <v>42698</v>
      </c>
      <c r="G552" s="30" t="n">
        <v>42821</v>
      </c>
      <c r="H552" s="26" t="n">
        <f aca="false">G552-F552</f>
        <v>123</v>
      </c>
      <c r="I552" s="10" t="n">
        <f aca="false">IF(E552="Won",1,0)</f>
        <v>1</v>
      </c>
    </row>
    <row r="553" customFormat="false" ht="15" hidden="false" customHeight="false" outlineLevel="0" collapsed="false">
      <c r="A553" s="10" t="s">
        <v>2894</v>
      </c>
      <c r="B553" s="10" t="s">
        <v>70</v>
      </c>
      <c r="C553" s="10" t="s">
        <v>52</v>
      </c>
      <c r="D553" s="10" t="s">
        <v>522</v>
      </c>
      <c r="E553" s="10" t="s">
        <v>2342</v>
      </c>
      <c r="F553" s="30" t="n">
        <v>42706</v>
      </c>
      <c r="G553" s="30" t="n">
        <v>42821</v>
      </c>
      <c r="H553" s="26" t="n">
        <f aca="false">G553-F553</f>
        <v>115</v>
      </c>
      <c r="I553" s="10" t="n">
        <f aca="false">IF(E553="Won",1,0)</f>
        <v>1</v>
      </c>
    </row>
    <row r="554" customFormat="false" ht="15" hidden="false" customHeight="false" outlineLevel="0" collapsed="false">
      <c r="A554" s="10" t="s">
        <v>2895</v>
      </c>
      <c r="B554" s="10" t="s">
        <v>77</v>
      </c>
      <c r="C554" s="10" t="s">
        <v>52</v>
      </c>
      <c r="D554" s="10" t="s">
        <v>1251</v>
      </c>
      <c r="E554" s="10" t="s">
        <v>2342</v>
      </c>
      <c r="F554" s="30" t="n">
        <v>42699</v>
      </c>
      <c r="G554" s="30" t="n">
        <v>42821</v>
      </c>
      <c r="H554" s="26" t="n">
        <f aca="false">G554-F554</f>
        <v>122</v>
      </c>
      <c r="I554" s="10" t="n">
        <f aca="false">IF(E554="Won",1,0)</f>
        <v>1</v>
      </c>
    </row>
    <row r="555" customFormat="false" ht="15" hidden="false" customHeight="false" outlineLevel="0" collapsed="false">
      <c r="A555" s="10" t="s">
        <v>2896</v>
      </c>
      <c r="B555" s="10" t="s">
        <v>63</v>
      </c>
      <c r="C555" s="10" t="s">
        <v>49</v>
      </c>
      <c r="D555" s="10" t="s">
        <v>185</v>
      </c>
      <c r="E555" s="10" t="s">
        <v>2345</v>
      </c>
      <c r="F555" s="30" t="n">
        <v>42722</v>
      </c>
      <c r="G555" s="30" t="n">
        <v>42821</v>
      </c>
      <c r="H555" s="26" t="n">
        <f aca="false">G555-F555</f>
        <v>99</v>
      </c>
      <c r="I555" s="10" t="n">
        <f aca="false">IF(E555="Won",1,0)</f>
        <v>0</v>
      </c>
    </row>
    <row r="556" customFormat="false" ht="15" hidden="false" customHeight="false" outlineLevel="0" collapsed="false">
      <c r="A556" s="10" t="s">
        <v>2897</v>
      </c>
      <c r="B556" s="10" t="s">
        <v>71</v>
      </c>
      <c r="C556" s="10" t="s">
        <v>52</v>
      </c>
      <c r="D556" s="10" t="s">
        <v>1251</v>
      </c>
      <c r="E556" s="10" t="s">
        <v>2345</v>
      </c>
      <c r="F556" s="30" t="n">
        <v>42700</v>
      </c>
      <c r="G556" s="30" t="n">
        <v>42821</v>
      </c>
      <c r="H556" s="26" t="n">
        <f aca="false">G556-F556</f>
        <v>121</v>
      </c>
      <c r="I556" s="10" t="n">
        <f aca="false">IF(E556="Won",1,0)</f>
        <v>0</v>
      </c>
    </row>
    <row r="557" customFormat="false" ht="15" hidden="false" customHeight="false" outlineLevel="0" collapsed="false">
      <c r="A557" s="10" t="s">
        <v>2898</v>
      </c>
      <c r="B557" s="10" t="s">
        <v>81</v>
      </c>
      <c r="C557" s="10" t="s">
        <v>50</v>
      </c>
      <c r="D557" s="10" t="s">
        <v>179</v>
      </c>
      <c r="E557" s="10" t="s">
        <v>2342</v>
      </c>
      <c r="F557" s="30" t="n">
        <v>42773</v>
      </c>
      <c r="G557" s="30" t="n">
        <v>42822</v>
      </c>
      <c r="H557" s="26" t="n">
        <f aca="false">G557-F557</f>
        <v>49</v>
      </c>
      <c r="I557" s="10" t="n">
        <f aca="false">IF(E557="Won",1,0)</f>
        <v>1</v>
      </c>
    </row>
    <row r="558" customFormat="false" ht="15" hidden="false" customHeight="false" outlineLevel="0" collapsed="false">
      <c r="A558" s="10" t="s">
        <v>2899</v>
      </c>
      <c r="B558" s="10" t="s">
        <v>76</v>
      </c>
      <c r="C558" s="10" t="s">
        <v>52</v>
      </c>
      <c r="D558" s="10" t="s">
        <v>179</v>
      </c>
      <c r="E558" s="10" t="s">
        <v>2342</v>
      </c>
      <c r="F558" s="30" t="n">
        <v>42732</v>
      </c>
      <c r="G558" s="30" t="n">
        <v>42822</v>
      </c>
      <c r="H558" s="26" t="n">
        <f aca="false">G558-F558</f>
        <v>90</v>
      </c>
      <c r="I558" s="10" t="n">
        <f aca="false">IF(E558="Won",1,0)</f>
        <v>1</v>
      </c>
    </row>
    <row r="559" customFormat="false" ht="15" hidden="false" customHeight="false" outlineLevel="0" collapsed="false">
      <c r="A559" s="10" t="s">
        <v>2900</v>
      </c>
      <c r="B559" s="10" t="s">
        <v>88</v>
      </c>
      <c r="C559" s="10" t="s">
        <v>49</v>
      </c>
      <c r="D559" s="10" t="s">
        <v>332</v>
      </c>
      <c r="E559" s="10" t="s">
        <v>2342</v>
      </c>
      <c r="F559" s="30" t="n">
        <v>42713</v>
      </c>
      <c r="G559" s="30" t="n">
        <v>42822</v>
      </c>
      <c r="H559" s="26" t="n">
        <f aca="false">G559-F559</f>
        <v>109</v>
      </c>
      <c r="I559" s="10" t="n">
        <f aca="false">IF(E559="Won",1,0)</f>
        <v>1</v>
      </c>
    </row>
    <row r="560" customFormat="false" ht="15" hidden="false" customHeight="false" outlineLevel="0" collapsed="false">
      <c r="A560" s="10" t="s">
        <v>2901</v>
      </c>
      <c r="B560" s="10" t="s">
        <v>95</v>
      </c>
      <c r="C560" s="10" t="s">
        <v>48</v>
      </c>
      <c r="D560" s="10" t="s">
        <v>487</v>
      </c>
      <c r="E560" s="10" t="s">
        <v>2342</v>
      </c>
      <c r="F560" s="30" t="n">
        <v>42715</v>
      </c>
      <c r="G560" s="30" t="n">
        <v>42822</v>
      </c>
      <c r="H560" s="26" t="n">
        <f aca="false">G560-F560</f>
        <v>107</v>
      </c>
      <c r="I560" s="10" t="n">
        <f aca="false">IF(E560="Won",1,0)</f>
        <v>1</v>
      </c>
    </row>
    <row r="561" customFormat="false" ht="15" hidden="false" customHeight="false" outlineLevel="0" collapsed="false">
      <c r="A561" s="10" t="s">
        <v>2902</v>
      </c>
      <c r="B561" s="10" t="s">
        <v>90</v>
      </c>
      <c r="C561" s="10" t="s">
        <v>50</v>
      </c>
      <c r="D561" s="10" t="s">
        <v>1397</v>
      </c>
      <c r="E561" s="10" t="s">
        <v>2345</v>
      </c>
      <c r="F561" s="30" t="n">
        <v>42733</v>
      </c>
      <c r="G561" s="30" t="n">
        <v>42822</v>
      </c>
      <c r="H561" s="26" t="n">
        <f aca="false">G561-F561</f>
        <v>89</v>
      </c>
      <c r="I561" s="10" t="n">
        <f aca="false">IF(E561="Won",1,0)</f>
        <v>0</v>
      </c>
    </row>
    <row r="562" customFormat="false" ht="15" hidden="false" customHeight="false" outlineLevel="0" collapsed="false">
      <c r="A562" s="10" t="s">
        <v>2903</v>
      </c>
      <c r="B562" s="10" t="s">
        <v>77</v>
      </c>
      <c r="C562" s="10" t="s">
        <v>52</v>
      </c>
      <c r="D562" s="10" t="s">
        <v>369</v>
      </c>
      <c r="E562" s="10" t="s">
        <v>2342</v>
      </c>
      <c r="F562" s="30" t="n">
        <v>42745</v>
      </c>
      <c r="G562" s="30" t="n">
        <v>42822</v>
      </c>
      <c r="H562" s="26" t="n">
        <f aca="false">G562-F562</f>
        <v>77</v>
      </c>
      <c r="I562" s="10" t="n">
        <f aca="false">IF(E562="Won",1,0)</f>
        <v>1</v>
      </c>
    </row>
    <row r="563" customFormat="false" ht="15" hidden="false" customHeight="false" outlineLevel="0" collapsed="false">
      <c r="A563" s="10" t="s">
        <v>2904</v>
      </c>
      <c r="B563" s="10" t="s">
        <v>68</v>
      </c>
      <c r="C563" s="10" t="s">
        <v>52</v>
      </c>
      <c r="D563" s="10" t="s">
        <v>233</v>
      </c>
      <c r="E563" s="10" t="s">
        <v>2345</v>
      </c>
      <c r="F563" s="30" t="n">
        <v>42731</v>
      </c>
      <c r="G563" s="30" t="n">
        <v>42822</v>
      </c>
      <c r="H563" s="26" t="n">
        <f aca="false">G563-F563</f>
        <v>91</v>
      </c>
      <c r="I563" s="10" t="n">
        <f aca="false">IF(E563="Won",1,0)</f>
        <v>0</v>
      </c>
    </row>
    <row r="564" customFormat="false" ht="15" hidden="false" customHeight="false" outlineLevel="0" collapsed="false">
      <c r="A564" s="10" t="s">
        <v>2905</v>
      </c>
      <c r="B564" s="10" t="s">
        <v>57</v>
      </c>
      <c r="C564" s="10" t="s">
        <v>51</v>
      </c>
      <c r="D564" s="10" t="s">
        <v>286</v>
      </c>
      <c r="E564" s="10" t="s">
        <v>2342</v>
      </c>
      <c r="F564" s="30" t="n">
        <v>42705</v>
      </c>
      <c r="G564" s="30" t="n">
        <v>42822</v>
      </c>
      <c r="H564" s="26" t="n">
        <f aca="false">G564-F564</f>
        <v>117</v>
      </c>
      <c r="I564" s="10" t="n">
        <f aca="false">IF(E564="Won",1,0)</f>
        <v>1</v>
      </c>
    </row>
    <row r="565" customFormat="false" ht="15" hidden="false" customHeight="false" outlineLevel="0" collapsed="false">
      <c r="A565" s="10" t="s">
        <v>2906</v>
      </c>
      <c r="B565" s="10" t="s">
        <v>75</v>
      </c>
      <c r="C565" s="10" t="s">
        <v>51</v>
      </c>
      <c r="D565" s="10" t="s">
        <v>527</v>
      </c>
      <c r="E565" s="10" t="s">
        <v>2342</v>
      </c>
      <c r="F565" s="30" t="n">
        <v>42721</v>
      </c>
      <c r="G565" s="30" t="n">
        <v>42822</v>
      </c>
      <c r="H565" s="26" t="n">
        <f aca="false">G565-F565</f>
        <v>101</v>
      </c>
      <c r="I565" s="10" t="n">
        <f aca="false">IF(E565="Won",1,0)</f>
        <v>1</v>
      </c>
    </row>
    <row r="566" customFormat="false" ht="15" hidden="false" customHeight="false" outlineLevel="0" collapsed="false">
      <c r="A566" s="10" t="s">
        <v>2907</v>
      </c>
      <c r="B566" s="10" t="s">
        <v>60</v>
      </c>
      <c r="C566" s="10" t="s">
        <v>50</v>
      </c>
      <c r="D566" s="10" t="s">
        <v>185</v>
      </c>
      <c r="E566" s="10" t="s">
        <v>2342</v>
      </c>
      <c r="F566" s="30" t="n">
        <v>42819</v>
      </c>
      <c r="G566" s="30" t="n">
        <v>42822</v>
      </c>
      <c r="H566" s="26" t="n">
        <f aca="false">G566-F566</f>
        <v>3</v>
      </c>
      <c r="I566" s="10" t="n">
        <f aca="false">IF(E566="Won",1,0)</f>
        <v>1</v>
      </c>
    </row>
    <row r="567" customFormat="false" ht="15" hidden="false" customHeight="false" outlineLevel="0" collapsed="false">
      <c r="A567" s="10" t="s">
        <v>2908</v>
      </c>
      <c r="B567" s="10" t="s">
        <v>87</v>
      </c>
      <c r="C567" s="10" t="s">
        <v>48</v>
      </c>
      <c r="D567" s="10" t="s">
        <v>1118</v>
      </c>
      <c r="E567" s="10" t="s">
        <v>2342</v>
      </c>
      <c r="F567" s="30" t="n">
        <v>42711</v>
      </c>
      <c r="G567" s="30" t="n">
        <v>42822</v>
      </c>
      <c r="H567" s="26" t="n">
        <f aca="false">G567-F567</f>
        <v>111</v>
      </c>
      <c r="I567" s="10" t="n">
        <f aca="false">IF(E567="Won",1,0)</f>
        <v>1</v>
      </c>
    </row>
    <row r="568" customFormat="false" ht="15" hidden="false" customHeight="false" outlineLevel="0" collapsed="false">
      <c r="A568" s="10" t="s">
        <v>2909</v>
      </c>
      <c r="B568" s="10" t="s">
        <v>95</v>
      </c>
      <c r="C568" s="10" t="s">
        <v>49</v>
      </c>
      <c r="D568" s="10" t="s">
        <v>419</v>
      </c>
      <c r="E568" s="10" t="s">
        <v>2342</v>
      </c>
      <c r="F568" s="30" t="n">
        <v>42754</v>
      </c>
      <c r="G568" s="30" t="n">
        <v>42822</v>
      </c>
      <c r="H568" s="26" t="n">
        <f aca="false">G568-F568</f>
        <v>68</v>
      </c>
      <c r="I568" s="10" t="n">
        <f aca="false">IF(E568="Won",1,0)</f>
        <v>1</v>
      </c>
    </row>
    <row r="569" customFormat="false" ht="15" hidden="false" customHeight="false" outlineLevel="0" collapsed="false">
      <c r="A569" s="10" t="s">
        <v>2910</v>
      </c>
      <c r="B569" s="10" t="s">
        <v>97</v>
      </c>
      <c r="C569" s="10" t="s">
        <v>49</v>
      </c>
      <c r="D569" s="10" t="s">
        <v>483</v>
      </c>
      <c r="E569" s="10" t="s">
        <v>2345</v>
      </c>
      <c r="F569" s="30" t="n">
        <v>42742</v>
      </c>
      <c r="G569" s="30" t="n">
        <v>42822</v>
      </c>
      <c r="H569" s="26" t="n">
        <f aca="false">G569-F569</f>
        <v>80</v>
      </c>
      <c r="I569" s="10" t="n">
        <f aca="false">IF(E569="Won",1,0)</f>
        <v>0</v>
      </c>
    </row>
    <row r="570" customFormat="false" ht="15" hidden="false" customHeight="false" outlineLevel="0" collapsed="false">
      <c r="A570" s="10" t="s">
        <v>2911</v>
      </c>
      <c r="B570" s="10" t="s">
        <v>74</v>
      </c>
      <c r="C570" s="10" t="s">
        <v>52</v>
      </c>
      <c r="D570" s="10" t="s">
        <v>524</v>
      </c>
      <c r="E570" s="10" t="s">
        <v>2345</v>
      </c>
      <c r="F570" s="30" t="n">
        <v>42703</v>
      </c>
      <c r="G570" s="30" t="n">
        <v>42822</v>
      </c>
      <c r="H570" s="26" t="n">
        <f aca="false">G570-F570</f>
        <v>119</v>
      </c>
      <c r="I570" s="10" t="n">
        <f aca="false">IF(E570="Won",1,0)</f>
        <v>0</v>
      </c>
    </row>
    <row r="571" customFormat="false" ht="15" hidden="false" customHeight="false" outlineLevel="0" collapsed="false">
      <c r="A571" s="10" t="s">
        <v>2912</v>
      </c>
      <c r="B571" s="10" t="s">
        <v>94</v>
      </c>
      <c r="C571" s="10" t="s">
        <v>51</v>
      </c>
      <c r="D571" s="10" t="s">
        <v>227</v>
      </c>
      <c r="E571" s="10" t="s">
        <v>2342</v>
      </c>
      <c r="F571" s="30" t="n">
        <v>42812</v>
      </c>
      <c r="G571" s="30" t="n">
        <v>42822</v>
      </c>
      <c r="H571" s="26" t="n">
        <f aca="false">G571-F571</f>
        <v>10</v>
      </c>
      <c r="I571" s="10" t="n">
        <f aca="false">IF(E571="Won",1,0)</f>
        <v>1</v>
      </c>
    </row>
    <row r="572" customFormat="false" ht="15" hidden="false" customHeight="false" outlineLevel="0" collapsed="false">
      <c r="A572" s="10" t="s">
        <v>2913</v>
      </c>
      <c r="B572" s="10" t="s">
        <v>95</v>
      </c>
      <c r="C572" s="10" t="s">
        <v>48</v>
      </c>
      <c r="D572" s="10" t="s">
        <v>168</v>
      </c>
      <c r="E572" s="10" t="s">
        <v>2342</v>
      </c>
      <c r="F572" s="30" t="n">
        <v>42755</v>
      </c>
      <c r="G572" s="30" t="n">
        <v>42822</v>
      </c>
      <c r="H572" s="26" t="n">
        <f aca="false">G572-F572</f>
        <v>67</v>
      </c>
      <c r="I572" s="10" t="n">
        <f aca="false">IF(E572="Won",1,0)</f>
        <v>1</v>
      </c>
    </row>
    <row r="573" customFormat="false" ht="15" hidden="false" customHeight="false" outlineLevel="0" collapsed="false">
      <c r="A573" s="10" t="s">
        <v>2914</v>
      </c>
      <c r="B573" s="10" t="s">
        <v>90</v>
      </c>
      <c r="C573" s="10" t="s">
        <v>50</v>
      </c>
      <c r="D573" s="10" t="s">
        <v>359</v>
      </c>
      <c r="E573" s="10" t="s">
        <v>2342</v>
      </c>
      <c r="F573" s="30" t="n">
        <v>42757</v>
      </c>
      <c r="G573" s="30" t="n">
        <v>42822</v>
      </c>
      <c r="H573" s="26" t="n">
        <f aca="false">G573-F573</f>
        <v>65</v>
      </c>
      <c r="I573" s="10" t="n">
        <f aca="false">IF(E573="Won",1,0)</f>
        <v>1</v>
      </c>
    </row>
    <row r="574" customFormat="false" ht="15" hidden="false" customHeight="false" outlineLevel="0" collapsed="false">
      <c r="A574" s="10" t="s">
        <v>2915</v>
      </c>
      <c r="B574" s="10" t="s">
        <v>87</v>
      </c>
      <c r="C574" s="10" t="s">
        <v>50</v>
      </c>
      <c r="D574" s="10" t="s">
        <v>616</v>
      </c>
      <c r="E574" s="10" t="s">
        <v>2345</v>
      </c>
      <c r="F574" s="30" t="n">
        <v>42751</v>
      </c>
      <c r="G574" s="30" t="n">
        <v>42822</v>
      </c>
      <c r="H574" s="26" t="n">
        <f aca="false">G574-F574</f>
        <v>71</v>
      </c>
      <c r="I574" s="10" t="n">
        <f aca="false">IF(E574="Won",1,0)</f>
        <v>0</v>
      </c>
    </row>
    <row r="575" customFormat="false" ht="15" hidden="false" customHeight="false" outlineLevel="0" collapsed="false">
      <c r="A575" s="10" t="s">
        <v>2916</v>
      </c>
      <c r="B575" s="10" t="s">
        <v>94</v>
      </c>
      <c r="C575" s="10" t="s">
        <v>51</v>
      </c>
      <c r="D575" s="10" t="s">
        <v>497</v>
      </c>
      <c r="E575" s="10" t="s">
        <v>2342</v>
      </c>
      <c r="F575" s="30" t="n">
        <v>42749</v>
      </c>
      <c r="G575" s="30" t="n">
        <v>42822</v>
      </c>
      <c r="H575" s="26" t="n">
        <f aca="false">G575-F575</f>
        <v>73</v>
      </c>
      <c r="I575" s="10" t="n">
        <f aca="false">IF(E575="Won",1,0)</f>
        <v>1</v>
      </c>
    </row>
    <row r="576" customFormat="false" ht="15" hidden="false" customHeight="false" outlineLevel="0" collapsed="false">
      <c r="A576" s="10" t="s">
        <v>2917</v>
      </c>
      <c r="B576" s="10" t="s">
        <v>70</v>
      </c>
      <c r="C576" s="10" t="s">
        <v>51</v>
      </c>
      <c r="D576" s="10" t="s">
        <v>326</v>
      </c>
      <c r="E576" s="10" t="s">
        <v>2342</v>
      </c>
      <c r="F576" s="30" t="n">
        <v>42720</v>
      </c>
      <c r="G576" s="30" t="n">
        <v>42822</v>
      </c>
      <c r="H576" s="26" t="n">
        <f aca="false">G576-F576</f>
        <v>102</v>
      </c>
      <c r="I576" s="10" t="n">
        <f aca="false">IF(E576="Won",1,0)</f>
        <v>1</v>
      </c>
    </row>
    <row r="577" customFormat="false" ht="15" hidden="false" customHeight="false" outlineLevel="0" collapsed="false">
      <c r="A577" s="10" t="s">
        <v>2918</v>
      </c>
      <c r="B577" s="10" t="s">
        <v>90</v>
      </c>
      <c r="C577" s="10" t="s">
        <v>50</v>
      </c>
      <c r="D577" s="10" t="s">
        <v>441</v>
      </c>
      <c r="E577" s="10" t="s">
        <v>2342</v>
      </c>
      <c r="F577" s="30" t="n">
        <v>42712</v>
      </c>
      <c r="G577" s="30" t="n">
        <v>42822</v>
      </c>
      <c r="H577" s="26" t="n">
        <f aca="false">G577-F577</f>
        <v>110</v>
      </c>
      <c r="I577" s="10" t="n">
        <f aca="false">IF(E577="Won",1,0)</f>
        <v>1</v>
      </c>
    </row>
    <row r="578" customFormat="false" ht="15" hidden="false" customHeight="false" outlineLevel="0" collapsed="false">
      <c r="A578" s="10" t="s">
        <v>2919</v>
      </c>
      <c r="B578" s="10" t="s">
        <v>70</v>
      </c>
      <c r="C578" s="10" t="s">
        <v>50</v>
      </c>
      <c r="D578" s="10" t="s">
        <v>483</v>
      </c>
      <c r="E578" s="10" t="s">
        <v>2342</v>
      </c>
      <c r="F578" s="30" t="n">
        <v>42739</v>
      </c>
      <c r="G578" s="30" t="n">
        <v>42822</v>
      </c>
      <c r="H578" s="26" t="n">
        <f aca="false">G578-F578</f>
        <v>83</v>
      </c>
      <c r="I578" s="10" t="n">
        <f aca="false">IF(E578="Won",1,0)</f>
        <v>1</v>
      </c>
    </row>
    <row r="579" customFormat="false" ht="15" hidden="false" customHeight="false" outlineLevel="0" collapsed="false">
      <c r="A579" s="10" t="s">
        <v>2920</v>
      </c>
      <c r="B579" s="10" t="s">
        <v>80</v>
      </c>
      <c r="C579" s="10" t="s">
        <v>51</v>
      </c>
      <c r="D579" s="10" t="s">
        <v>279</v>
      </c>
      <c r="E579" s="10" t="s">
        <v>2342</v>
      </c>
      <c r="F579" s="30" t="n">
        <v>42746</v>
      </c>
      <c r="G579" s="30" t="n">
        <v>42822</v>
      </c>
      <c r="H579" s="26" t="n">
        <f aca="false">G579-F579</f>
        <v>76</v>
      </c>
      <c r="I579" s="10" t="n">
        <f aca="false">IF(E579="Won",1,0)</f>
        <v>1</v>
      </c>
    </row>
    <row r="580" customFormat="false" ht="15" hidden="false" customHeight="false" outlineLevel="0" collapsed="false">
      <c r="A580" s="10" t="s">
        <v>2921</v>
      </c>
      <c r="B580" s="10" t="s">
        <v>86</v>
      </c>
      <c r="C580" s="10" t="s">
        <v>48</v>
      </c>
      <c r="D580" s="10" t="s">
        <v>1118</v>
      </c>
      <c r="E580" s="10" t="s">
        <v>2342</v>
      </c>
      <c r="F580" s="30" t="n">
        <v>42813</v>
      </c>
      <c r="G580" s="30" t="n">
        <v>42822</v>
      </c>
      <c r="H580" s="26" t="n">
        <f aca="false">G580-F580</f>
        <v>9</v>
      </c>
      <c r="I580" s="10" t="n">
        <f aca="false">IF(E580="Won",1,0)</f>
        <v>1</v>
      </c>
    </row>
    <row r="581" customFormat="false" ht="15" hidden="false" customHeight="false" outlineLevel="0" collapsed="false">
      <c r="A581" s="10" t="s">
        <v>2922</v>
      </c>
      <c r="B581" s="10" t="s">
        <v>94</v>
      </c>
      <c r="C581" s="10" t="s">
        <v>50</v>
      </c>
      <c r="D581" s="10" t="s">
        <v>514</v>
      </c>
      <c r="E581" s="10" t="s">
        <v>2342</v>
      </c>
      <c r="F581" s="30" t="n">
        <v>42698</v>
      </c>
      <c r="G581" s="30" t="n">
        <v>42822</v>
      </c>
      <c r="H581" s="26" t="n">
        <f aca="false">G581-F581</f>
        <v>124</v>
      </c>
      <c r="I581" s="10" t="n">
        <f aca="false">IF(E581="Won",1,0)</f>
        <v>1</v>
      </c>
    </row>
    <row r="582" customFormat="false" ht="15" hidden="false" customHeight="false" outlineLevel="0" collapsed="false">
      <c r="A582" s="10" t="s">
        <v>2923</v>
      </c>
      <c r="B582" s="10" t="s">
        <v>80</v>
      </c>
      <c r="C582" s="10" t="s">
        <v>51</v>
      </c>
      <c r="D582" s="10" t="s">
        <v>697</v>
      </c>
      <c r="E582" s="10" t="s">
        <v>2342</v>
      </c>
      <c r="F582" s="30" t="n">
        <v>42717</v>
      </c>
      <c r="G582" s="30" t="n">
        <v>42822</v>
      </c>
      <c r="H582" s="26" t="n">
        <f aca="false">G582-F582</f>
        <v>105</v>
      </c>
      <c r="I582" s="10" t="n">
        <f aca="false">IF(E582="Won",1,0)</f>
        <v>1</v>
      </c>
    </row>
    <row r="583" customFormat="false" ht="15" hidden="false" customHeight="false" outlineLevel="0" collapsed="false">
      <c r="A583" s="10" t="s">
        <v>2924</v>
      </c>
      <c r="B583" s="10" t="s">
        <v>95</v>
      </c>
      <c r="C583" s="10" t="s">
        <v>51</v>
      </c>
      <c r="D583" s="10" t="s">
        <v>514</v>
      </c>
      <c r="E583" s="10" t="s">
        <v>2345</v>
      </c>
      <c r="F583" s="30" t="n">
        <v>42725</v>
      </c>
      <c r="G583" s="30" t="n">
        <v>42822</v>
      </c>
      <c r="H583" s="26" t="n">
        <f aca="false">G583-F583</f>
        <v>97</v>
      </c>
      <c r="I583" s="10" t="n">
        <f aca="false">IF(E583="Won",1,0)</f>
        <v>0</v>
      </c>
    </row>
    <row r="584" customFormat="false" ht="15" hidden="false" customHeight="false" outlineLevel="0" collapsed="false">
      <c r="A584" s="10" t="s">
        <v>2925</v>
      </c>
      <c r="B584" s="10" t="s">
        <v>80</v>
      </c>
      <c r="C584" s="10" t="s">
        <v>49</v>
      </c>
      <c r="D584" s="10" t="s">
        <v>1251</v>
      </c>
      <c r="E584" s="10" t="s">
        <v>2342</v>
      </c>
      <c r="F584" s="30" t="n">
        <v>42755</v>
      </c>
      <c r="G584" s="30" t="n">
        <v>42822</v>
      </c>
      <c r="H584" s="26" t="n">
        <f aca="false">G584-F584</f>
        <v>67</v>
      </c>
      <c r="I584" s="10" t="n">
        <f aca="false">IF(E584="Won",1,0)</f>
        <v>1</v>
      </c>
    </row>
    <row r="585" customFormat="false" ht="15" hidden="false" customHeight="false" outlineLevel="0" collapsed="false">
      <c r="A585" s="10" t="s">
        <v>2926</v>
      </c>
      <c r="B585" s="10" t="s">
        <v>95</v>
      </c>
      <c r="C585" s="10" t="s">
        <v>49</v>
      </c>
      <c r="D585" s="10" t="s">
        <v>497</v>
      </c>
      <c r="E585" s="10" t="s">
        <v>2342</v>
      </c>
      <c r="F585" s="30" t="n">
        <v>42813</v>
      </c>
      <c r="G585" s="30" t="n">
        <v>42823</v>
      </c>
      <c r="H585" s="26" t="n">
        <f aca="false">G585-F585</f>
        <v>10</v>
      </c>
      <c r="I585" s="10" t="n">
        <f aca="false">IF(E585="Won",1,0)</f>
        <v>1</v>
      </c>
    </row>
    <row r="586" customFormat="false" ht="15" hidden="false" customHeight="false" outlineLevel="0" collapsed="false">
      <c r="A586" s="10" t="s">
        <v>2927</v>
      </c>
      <c r="B586" s="10" t="s">
        <v>95</v>
      </c>
      <c r="C586" s="10" t="s">
        <v>49</v>
      </c>
      <c r="D586" s="10" t="s">
        <v>175</v>
      </c>
      <c r="E586" s="10" t="s">
        <v>2342</v>
      </c>
      <c r="F586" s="30" t="n">
        <v>42754</v>
      </c>
      <c r="G586" s="30" t="n">
        <v>42823</v>
      </c>
      <c r="H586" s="26" t="n">
        <f aca="false">G586-F586</f>
        <v>69</v>
      </c>
      <c r="I586" s="10" t="n">
        <f aca="false">IF(E586="Won",1,0)</f>
        <v>1</v>
      </c>
    </row>
    <row r="587" customFormat="false" ht="15" hidden="false" customHeight="false" outlineLevel="0" collapsed="false">
      <c r="A587" s="10" t="s">
        <v>2928</v>
      </c>
      <c r="B587" s="10" t="s">
        <v>70</v>
      </c>
      <c r="C587" s="10" t="s">
        <v>48</v>
      </c>
      <c r="D587" s="10" t="s">
        <v>419</v>
      </c>
      <c r="E587" s="10" t="s">
        <v>2342</v>
      </c>
      <c r="F587" s="30" t="n">
        <v>42810</v>
      </c>
      <c r="G587" s="30" t="n">
        <v>42823</v>
      </c>
      <c r="H587" s="26" t="n">
        <f aca="false">G587-F587</f>
        <v>13</v>
      </c>
      <c r="I587" s="10" t="n">
        <f aca="false">IF(E587="Won",1,0)</f>
        <v>1</v>
      </c>
    </row>
    <row r="588" customFormat="false" ht="15" hidden="false" customHeight="false" outlineLevel="0" collapsed="false">
      <c r="A588" s="10" t="s">
        <v>2929</v>
      </c>
      <c r="B588" s="10" t="s">
        <v>62</v>
      </c>
      <c r="C588" s="10" t="s">
        <v>51</v>
      </c>
      <c r="D588" s="10" t="s">
        <v>293</v>
      </c>
      <c r="E588" s="10" t="s">
        <v>2342</v>
      </c>
      <c r="F588" s="30" t="n">
        <v>42737</v>
      </c>
      <c r="G588" s="30" t="n">
        <v>42823</v>
      </c>
      <c r="H588" s="26" t="n">
        <f aca="false">G588-F588</f>
        <v>86</v>
      </c>
      <c r="I588" s="10" t="n">
        <f aca="false">IF(E588="Won",1,0)</f>
        <v>1</v>
      </c>
    </row>
    <row r="589" customFormat="false" ht="15" hidden="false" customHeight="false" outlineLevel="0" collapsed="false">
      <c r="A589" s="10" t="s">
        <v>2930</v>
      </c>
      <c r="B589" s="10" t="s">
        <v>97</v>
      </c>
      <c r="C589" s="10" t="s">
        <v>50</v>
      </c>
      <c r="D589" s="10" t="s">
        <v>210</v>
      </c>
      <c r="E589" s="10" t="s">
        <v>2342</v>
      </c>
      <c r="F589" s="30" t="n">
        <v>42818</v>
      </c>
      <c r="G589" s="30" t="n">
        <v>42823</v>
      </c>
      <c r="H589" s="26" t="n">
        <f aca="false">G589-F589</f>
        <v>5</v>
      </c>
      <c r="I589" s="10" t="n">
        <f aca="false">IF(E589="Won",1,0)</f>
        <v>1</v>
      </c>
    </row>
    <row r="590" customFormat="false" ht="15" hidden="false" customHeight="false" outlineLevel="0" collapsed="false">
      <c r="A590" s="10" t="s">
        <v>2931</v>
      </c>
      <c r="B590" s="10" t="s">
        <v>90</v>
      </c>
      <c r="C590" s="10" t="s">
        <v>49</v>
      </c>
      <c r="D590" s="10" t="s">
        <v>350</v>
      </c>
      <c r="E590" s="10" t="s">
        <v>2342</v>
      </c>
      <c r="F590" s="30" t="n">
        <v>42736</v>
      </c>
      <c r="G590" s="30" t="n">
        <v>42823</v>
      </c>
      <c r="H590" s="26" t="n">
        <f aca="false">G590-F590</f>
        <v>87</v>
      </c>
      <c r="I590" s="10" t="n">
        <f aca="false">IF(E590="Won",1,0)</f>
        <v>1</v>
      </c>
    </row>
    <row r="591" customFormat="false" ht="15" hidden="false" customHeight="false" outlineLevel="0" collapsed="false">
      <c r="A591" s="10" t="s">
        <v>2932</v>
      </c>
      <c r="B591" s="10" t="s">
        <v>75</v>
      </c>
      <c r="C591" s="10" t="s">
        <v>52</v>
      </c>
      <c r="D591" s="10" t="s">
        <v>512</v>
      </c>
      <c r="E591" s="10" t="s">
        <v>2342</v>
      </c>
      <c r="F591" s="30" t="n">
        <v>42753</v>
      </c>
      <c r="G591" s="30" t="n">
        <v>42823</v>
      </c>
      <c r="H591" s="26" t="n">
        <f aca="false">G591-F591</f>
        <v>70</v>
      </c>
      <c r="I591" s="10" t="n">
        <f aca="false">IF(E591="Won",1,0)</f>
        <v>1</v>
      </c>
    </row>
    <row r="592" customFormat="false" ht="15" hidden="false" customHeight="false" outlineLevel="0" collapsed="false">
      <c r="A592" s="10" t="s">
        <v>2933</v>
      </c>
      <c r="B592" s="10" t="s">
        <v>97</v>
      </c>
      <c r="C592" s="10" t="s">
        <v>51</v>
      </c>
      <c r="D592" s="10" t="s">
        <v>396</v>
      </c>
      <c r="E592" s="10" t="s">
        <v>2345</v>
      </c>
      <c r="F592" s="30" t="n">
        <v>42767</v>
      </c>
      <c r="G592" s="30" t="n">
        <v>42823</v>
      </c>
      <c r="H592" s="26" t="n">
        <f aca="false">G592-F592</f>
        <v>56</v>
      </c>
      <c r="I592" s="10" t="n">
        <f aca="false">IF(E592="Won",1,0)</f>
        <v>0</v>
      </c>
    </row>
    <row r="593" customFormat="false" ht="15" hidden="false" customHeight="false" outlineLevel="0" collapsed="false">
      <c r="A593" s="10" t="s">
        <v>2934</v>
      </c>
      <c r="B593" s="10" t="s">
        <v>88</v>
      </c>
      <c r="C593" s="10" t="s">
        <v>48</v>
      </c>
      <c r="D593" s="10" t="s">
        <v>218</v>
      </c>
      <c r="E593" s="10" t="s">
        <v>2342</v>
      </c>
      <c r="F593" s="30" t="n">
        <v>42749</v>
      </c>
      <c r="G593" s="30" t="n">
        <v>42823</v>
      </c>
      <c r="H593" s="26" t="n">
        <f aca="false">G593-F593</f>
        <v>74</v>
      </c>
      <c r="I593" s="10" t="n">
        <f aca="false">IF(E593="Won",1,0)</f>
        <v>1</v>
      </c>
    </row>
    <row r="594" customFormat="false" ht="15" hidden="false" customHeight="false" outlineLevel="0" collapsed="false">
      <c r="A594" s="10" t="s">
        <v>2935</v>
      </c>
      <c r="B594" s="10" t="s">
        <v>62</v>
      </c>
      <c r="C594" s="10" t="s">
        <v>52</v>
      </c>
      <c r="D594" s="10" t="s">
        <v>215</v>
      </c>
      <c r="E594" s="10" t="s">
        <v>2342</v>
      </c>
      <c r="F594" s="30" t="n">
        <v>42733</v>
      </c>
      <c r="G594" s="30" t="n">
        <v>42823</v>
      </c>
      <c r="H594" s="26" t="n">
        <f aca="false">G594-F594</f>
        <v>90</v>
      </c>
      <c r="I594" s="10" t="n">
        <f aca="false">IF(E594="Won",1,0)</f>
        <v>1</v>
      </c>
    </row>
    <row r="595" customFormat="false" ht="15" hidden="false" customHeight="false" outlineLevel="0" collapsed="false">
      <c r="A595" s="10" t="s">
        <v>2936</v>
      </c>
      <c r="B595" s="10" t="s">
        <v>84</v>
      </c>
      <c r="C595" s="10" t="s">
        <v>51</v>
      </c>
      <c r="D595" s="10" t="s">
        <v>277</v>
      </c>
      <c r="E595" s="10" t="s">
        <v>2345</v>
      </c>
      <c r="F595" s="30" t="n">
        <v>42753</v>
      </c>
      <c r="G595" s="30" t="n">
        <v>42823</v>
      </c>
      <c r="H595" s="26" t="n">
        <f aca="false">G595-F595</f>
        <v>70</v>
      </c>
      <c r="I595" s="10" t="n">
        <f aca="false">IF(E595="Won",1,0)</f>
        <v>0</v>
      </c>
    </row>
    <row r="596" customFormat="false" ht="15" hidden="false" customHeight="false" outlineLevel="0" collapsed="false">
      <c r="A596" s="10" t="s">
        <v>2937</v>
      </c>
      <c r="B596" s="10" t="s">
        <v>96</v>
      </c>
      <c r="C596" s="10" t="s">
        <v>47</v>
      </c>
      <c r="D596" s="10" t="s">
        <v>172</v>
      </c>
      <c r="E596" s="10" t="s">
        <v>2342</v>
      </c>
      <c r="F596" s="30" t="n">
        <v>42769</v>
      </c>
      <c r="G596" s="30" t="n">
        <v>42823</v>
      </c>
      <c r="H596" s="26" t="n">
        <f aca="false">G596-F596</f>
        <v>54</v>
      </c>
      <c r="I596" s="10" t="n">
        <f aca="false">IF(E596="Won",1,0)</f>
        <v>1</v>
      </c>
    </row>
    <row r="597" customFormat="false" ht="15" hidden="false" customHeight="false" outlineLevel="0" collapsed="false">
      <c r="A597" s="10" t="s">
        <v>2938</v>
      </c>
      <c r="B597" s="10" t="s">
        <v>66</v>
      </c>
      <c r="C597" s="10" t="s">
        <v>47</v>
      </c>
      <c r="D597" s="10" t="s">
        <v>199</v>
      </c>
      <c r="E597" s="10" t="s">
        <v>2345</v>
      </c>
      <c r="F597" s="30" t="n">
        <v>42728</v>
      </c>
      <c r="G597" s="30" t="n">
        <v>42823</v>
      </c>
      <c r="H597" s="26" t="n">
        <f aca="false">G597-F597</f>
        <v>95</v>
      </c>
      <c r="I597" s="10" t="n">
        <f aca="false">IF(E597="Won",1,0)</f>
        <v>0</v>
      </c>
    </row>
    <row r="598" customFormat="false" ht="15" hidden="false" customHeight="false" outlineLevel="0" collapsed="false">
      <c r="A598" s="10" t="s">
        <v>2939</v>
      </c>
      <c r="B598" s="10" t="s">
        <v>93</v>
      </c>
      <c r="C598" s="10" t="s">
        <v>51</v>
      </c>
      <c r="D598" s="10" t="s">
        <v>210</v>
      </c>
      <c r="E598" s="10" t="s">
        <v>2342</v>
      </c>
      <c r="F598" s="30" t="n">
        <v>42716</v>
      </c>
      <c r="G598" s="30" t="n">
        <v>42823</v>
      </c>
      <c r="H598" s="26" t="n">
        <f aca="false">G598-F598</f>
        <v>107</v>
      </c>
      <c r="I598" s="10" t="n">
        <f aca="false">IF(E598="Won",1,0)</f>
        <v>1</v>
      </c>
    </row>
    <row r="599" customFormat="false" ht="15" hidden="false" customHeight="false" outlineLevel="0" collapsed="false">
      <c r="A599" s="10" t="s">
        <v>2940</v>
      </c>
      <c r="B599" s="10" t="s">
        <v>68</v>
      </c>
      <c r="C599" s="10" t="s">
        <v>47</v>
      </c>
      <c r="D599" s="10" t="s">
        <v>348</v>
      </c>
      <c r="E599" s="10" t="s">
        <v>2342</v>
      </c>
      <c r="F599" s="30" t="n">
        <v>42752</v>
      </c>
      <c r="G599" s="30" t="n">
        <v>42823</v>
      </c>
      <c r="H599" s="26" t="n">
        <f aca="false">G599-F599</f>
        <v>71</v>
      </c>
      <c r="I599" s="10" t="n">
        <f aca="false">IF(E599="Won",1,0)</f>
        <v>1</v>
      </c>
    </row>
    <row r="600" customFormat="false" ht="15" hidden="false" customHeight="false" outlineLevel="0" collapsed="false">
      <c r="A600" s="10" t="s">
        <v>2941</v>
      </c>
      <c r="B600" s="10" t="s">
        <v>63</v>
      </c>
      <c r="C600" s="10" t="s">
        <v>49</v>
      </c>
      <c r="D600" s="10" t="s">
        <v>405</v>
      </c>
      <c r="E600" s="10" t="s">
        <v>2342</v>
      </c>
      <c r="F600" s="30" t="n">
        <v>42750</v>
      </c>
      <c r="G600" s="30" t="n">
        <v>42823</v>
      </c>
      <c r="H600" s="26" t="n">
        <f aca="false">G600-F600</f>
        <v>73</v>
      </c>
      <c r="I600" s="10" t="n">
        <f aca="false">IF(E600="Won",1,0)</f>
        <v>1</v>
      </c>
    </row>
    <row r="601" customFormat="false" ht="15" hidden="false" customHeight="false" outlineLevel="0" collapsed="false">
      <c r="A601" s="10" t="s">
        <v>2942</v>
      </c>
      <c r="B601" s="10" t="s">
        <v>69</v>
      </c>
      <c r="C601" s="10" t="s">
        <v>49</v>
      </c>
      <c r="D601" s="10" t="s">
        <v>419</v>
      </c>
      <c r="E601" s="10" t="s">
        <v>2342</v>
      </c>
      <c r="F601" s="30" t="n">
        <v>42744</v>
      </c>
      <c r="G601" s="30" t="n">
        <v>42823</v>
      </c>
      <c r="H601" s="26" t="n">
        <f aca="false">G601-F601</f>
        <v>79</v>
      </c>
      <c r="I601" s="10" t="n">
        <f aca="false">IF(E601="Won",1,0)</f>
        <v>1</v>
      </c>
    </row>
    <row r="602" customFormat="false" ht="15" hidden="false" customHeight="false" outlineLevel="0" collapsed="false">
      <c r="A602" s="10" t="s">
        <v>2943</v>
      </c>
      <c r="B602" s="10" t="s">
        <v>77</v>
      </c>
      <c r="C602" s="10" t="s">
        <v>50</v>
      </c>
      <c r="D602" s="10" t="s">
        <v>267</v>
      </c>
      <c r="E602" s="10" t="s">
        <v>2342</v>
      </c>
      <c r="F602" s="30" t="n">
        <v>42776</v>
      </c>
      <c r="G602" s="30" t="n">
        <v>42824</v>
      </c>
      <c r="H602" s="26" t="n">
        <f aca="false">G602-F602</f>
        <v>48</v>
      </c>
      <c r="I602" s="10" t="n">
        <f aca="false">IF(E602="Won",1,0)</f>
        <v>1</v>
      </c>
    </row>
    <row r="603" customFormat="false" ht="15" hidden="false" customHeight="false" outlineLevel="0" collapsed="false">
      <c r="A603" s="10" t="s">
        <v>2944</v>
      </c>
      <c r="B603" s="10" t="s">
        <v>86</v>
      </c>
      <c r="C603" s="10" t="s">
        <v>47</v>
      </c>
      <c r="D603" s="10" t="s">
        <v>332</v>
      </c>
      <c r="E603" s="10" t="s">
        <v>2342</v>
      </c>
      <c r="F603" s="30" t="n">
        <v>42709</v>
      </c>
      <c r="G603" s="30" t="n">
        <v>42824</v>
      </c>
      <c r="H603" s="26" t="n">
        <f aca="false">G603-F603</f>
        <v>115</v>
      </c>
      <c r="I603" s="10" t="n">
        <f aca="false">IF(E603="Won",1,0)</f>
        <v>1</v>
      </c>
    </row>
    <row r="604" customFormat="false" ht="15" hidden="false" customHeight="false" outlineLevel="0" collapsed="false">
      <c r="A604" s="10" t="s">
        <v>2945</v>
      </c>
      <c r="B604" s="10" t="s">
        <v>97</v>
      </c>
      <c r="C604" s="10" t="s">
        <v>51</v>
      </c>
      <c r="D604" s="10" t="s">
        <v>396</v>
      </c>
      <c r="E604" s="10" t="s">
        <v>2345</v>
      </c>
      <c r="F604" s="30" t="n">
        <v>42758</v>
      </c>
      <c r="G604" s="30" t="n">
        <v>42824</v>
      </c>
      <c r="H604" s="26" t="n">
        <f aca="false">G604-F604</f>
        <v>66</v>
      </c>
      <c r="I604" s="10" t="n">
        <f aca="false">IF(E604="Won",1,0)</f>
        <v>0</v>
      </c>
    </row>
    <row r="605" customFormat="false" ht="15" hidden="false" customHeight="false" outlineLevel="0" collapsed="false">
      <c r="A605" s="10" t="s">
        <v>2946</v>
      </c>
      <c r="B605" s="10" t="s">
        <v>88</v>
      </c>
      <c r="C605" s="10" t="s">
        <v>51</v>
      </c>
      <c r="D605" s="10" t="s">
        <v>293</v>
      </c>
      <c r="E605" s="10" t="s">
        <v>2342</v>
      </c>
      <c r="F605" s="30" t="n">
        <v>42813</v>
      </c>
      <c r="G605" s="30" t="n">
        <v>42824</v>
      </c>
      <c r="H605" s="26" t="n">
        <f aca="false">G605-F605</f>
        <v>11</v>
      </c>
      <c r="I605" s="10" t="n">
        <f aca="false">IF(E605="Won",1,0)</f>
        <v>1</v>
      </c>
    </row>
    <row r="606" customFormat="false" ht="15" hidden="false" customHeight="false" outlineLevel="0" collapsed="false">
      <c r="A606" s="10" t="s">
        <v>2947</v>
      </c>
      <c r="B606" s="10" t="s">
        <v>57</v>
      </c>
      <c r="C606" s="10" t="s">
        <v>47</v>
      </c>
      <c r="D606" s="10" t="s">
        <v>161</v>
      </c>
      <c r="E606" s="10" t="s">
        <v>2342</v>
      </c>
      <c r="F606" s="30" t="n">
        <v>42744</v>
      </c>
      <c r="G606" s="30" t="n">
        <v>42824</v>
      </c>
      <c r="H606" s="26" t="n">
        <f aca="false">G606-F606</f>
        <v>80</v>
      </c>
      <c r="I606" s="10" t="n">
        <f aca="false">IF(E606="Won",1,0)</f>
        <v>1</v>
      </c>
    </row>
    <row r="607" customFormat="false" ht="15" hidden="false" customHeight="false" outlineLevel="0" collapsed="false">
      <c r="A607" s="10" t="s">
        <v>2948</v>
      </c>
      <c r="B607" s="10" t="s">
        <v>77</v>
      </c>
      <c r="C607" s="10" t="s">
        <v>51</v>
      </c>
      <c r="D607" s="10" t="s">
        <v>512</v>
      </c>
      <c r="E607" s="10" t="s">
        <v>2342</v>
      </c>
      <c r="F607" s="30" t="n">
        <v>42814</v>
      </c>
      <c r="G607" s="30" t="n">
        <v>42824</v>
      </c>
      <c r="H607" s="26" t="n">
        <f aca="false">G607-F607</f>
        <v>10</v>
      </c>
      <c r="I607" s="10" t="n">
        <f aca="false">IF(E607="Won",1,0)</f>
        <v>1</v>
      </c>
    </row>
    <row r="608" customFormat="false" ht="15" hidden="false" customHeight="false" outlineLevel="0" collapsed="false">
      <c r="A608" s="10" t="s">
        <v>2949</v>
      </c>
      <c r="B608" s="10" t="s">
        <v>74</v>
      </c>
      <c r="C608" s="10" t="s">
        <v>52</v>
      </c>
      <c r="D608" s="10" t="s">
        <v>279</v>
      </c>
      <c r="E608" s="10" t="s">
        <v>2342</v>
      </c>
      <c r="F608" s="30" t="n">
        <v>42747</v>
      </c>
      <c r="G608" s="30" t="n">
        <v>42824</v>
      </c>
      <c r="H608" s="26" t="n">
        <f aca="false">G608-F608</f>
        <v>77</v>
      </c>
      <c r="I608" s="10" t="n">
        <f aca="false">IF(E608="Won",1,0)</f>
        <v>1</v>
      </c>
    </row>
    <row r="609" customFormat="false" ht="15" hidden="false" customHeight="false" outlineLevel="0" collapsed="false">
      <c r="A609" s="10" t="s">
        <v>2950</v>
      </c>
      <c r="B609" s="10" t="s">
        <v>73</v>
      </c>
      <c r="C609" s="10" t="s">
        <v>50</v>
      </c>
      <c r="D609" s="10" t="s">
        <v>311</v>
      </c>
      <c r="E609" s="10" t="s">
        <v>2342</v>
      </c>
      <c r="F609" s="30" t="n">
        <v>42815</v>
      </c>
      <c r="G609" s="30" t="n">
        <v>42824</v>
      </c>
      <c r="H609" s="26" t="n">
        <f aca="false">G609-F609</f>
        <v>9</v>
      </c>
      <c r="I609" s="10" t="n">
        <f aca="false">IF(E609="Won",1,0)</f>
        <v>1</v>
      </c>
    </row>
    <row r="610" customFormat="false" ht="15" hidden="false" customHeight="false" outlineLevel="0" collapsed="false">
      <c r="A610" s="10" t="s">
        <v>2951</v>
      </c>
      <c r="B610" s="10" t="s">
        <v>77</v>
      </c>
      <c r="C610" s="10" t="s">
        <v>48</v>
      </c>
      <c r="D610" s="10" t="s">
        <v>697</v>
      </c>
      <c r="E610" s="10" t="s">
        <v>2342</v>
      </c>
      <c r="F610" s="30" t="n">
        <v>42816</v>
      </c>
      <c r="G610" s="30" t="n">
        <v>42824</v>
      </c>
      <c r="H610" s="26" t="n">
        <f aca="false">G610-F610</f>
        <v>8</v>
      </c>
      <c r="I610" s="10" t="n">
        <f aca="false">IF(E610="Won",1,0)</f>
        <v>1</v>
      </c>
    </row>
    <row r="611" customFormat="false" ht="15" hidden="false" customHeight="false" outlineLevel="0" collapsed="false">
      <c r="A611" s="10" t="s">
        <v>2952</v>
      </c>
      <c r="B611" s="10" t="s">
        <v>70</v>
      </c>
      <c r="C611" s="10" t="s">
        <v>52</v>
      </c>
      <c r="D611" s="10" t="s">
        <v>172</v>
      </c>
      <c r="E611" s="10" t="s">
        <v>2342</v>
      </c>
      <c r="F611" s="30" t="n">
        <v>42805</v>
      </c>
      <c r="G611" s="30" t="n">
        <v>42824</v>
      </c>
      <c r="H611" s="26" t="n">
        <f aca="false">G611-F611</f>
        <v>19</v>
      </c>
      <c r="I611" s="10" t="n">
        <f aca="false">IF(E611="Won",1,0)</f>
        <v>1</v>
      </c>
    </row>
    <row r="612" customFormat="false" ht="15" hidden="false" customHeight="false" outlineLevel="0" collapsed="false">
      <c r="A612" s="10" t="s">
        <v>2953</v>
      </c>
      <c r="B612" s="10" t="s">
        <v>60</v>
      </c>
      <c r="C612" s="10" t="s">
        <v>51</v>
      </c>
      <c r="D612" s="10" t="s">
        <v>532</v>
      </c>
      <c r="E612" s="10" t="s">
        <v>2342</v>
      </c>
      <c r="F612" s="30" t="n">
        <v>42729</v>
      </c>
      <c r="G612" s="30" t="n">
        <v>42824</v>
      </c>
      <c r="H612" s="26" t="n">
        <f aca="false">G612-F612</f>
        <v>95</v>
      </c>
      <c r="I612" s="10" t="n">
        <f aca="false">IF(E612="Won",1,0)</f>
        <v>1</v>
      </c>
    </row>
    <row r="613" customFormat="false" ht="15" hidden="false" customHeight="false" outlineLevel="0" collapsed="false">
      <c r="A613" s="10" t="s">
        <v>2954</v>
      </c>
      <c r="B613" s="10" t="s">
        <v>70</v>
      </c>
      <c r="C613" s="10" t="s">
        <v>52</v>
      </c>
      <c r="D613" s="10" t="s">
        <v>514</v>
      </c>
      <c r="E613" s="10" t="s">
        <v>2342</v>
      </c>
      <c r="F613" s="30" t="n">
        <v>42752</v>
      </c>
      <c r="G613" s="30" t="n">
        <v>42824</v>
      </c>
      <c r="H613" s="26" t="n">
        <f aca="false">G613-F613</f>
        <v>72</v>
      </c>
      <c r="I613" s="10" t="n">
        <f aca="false">IF(E613="Won",1,0)</f>
        <v>1</v>
      </c>
    </row>
    <row r="614" customFormat="false" ht="15" hidden="false" customHeight="false" outlineLevel="0" collapsed="false">
      <c r="A614" s="10" t="s">
        <v>2955</v>
      </c>
      <c r="B614" s="10" t="s">
        <v>60</v>
      </c>
      <c r="C614" s="10" t="s">
        <v>51</v>
      </c>
      <c r="D614" s="10" t="s">
        <v>215</v>
      </c>
      <c r="E614" s="10" t="s">
        <v>2342</v>
      </c>
      <c r="F614" s="30" t="n">
        <v>42754</v>
      </c>
      <c r="G614" s="30" t="n">
        <v>42824</v>
      </c>
      <c r="H614" s="26" t="n">
        <f aca="false">G614-F614</f>
        <v>70</v>
      </c>
      <c r="I614" s="10" t="n">
        <f aca="false">IF(E614="Won",1,0)</f>
        <v>1</v>
      </c>
    </row>
    <row r="615" customFormat="false" ht="15" hidden="false" customHeight="false" outlineLevel="0" collapsed="false">
      <c r="A615" s="10" t="s">
        <v>2956</v>
      </c>
      <c r="B615" s="10" t="s">
        <v>80</v>
      </c>
      <c r="C615" s="10" t="s">
        <v>48</v>
      </c>
      <c r="D615" s="10" t="s">
        <v>869</v>
      </c>
      <c r="E615" s="10" t="s">
        <v>2342</v>
      </c>
      <c r="F615" s="30" t="n">
        <v>42706</v>
      </c>
      <c r="G615" s="30" t="n">
        <v>42824</v>
      </c>
      <c r="H615" s="26" t="n">
        <f aca="false">G615-F615</f>
        <v>118</v>
      </c>
      <c r="I615" s="10" t="n">
        <f aca="false">IF(E615="Won",1,0)</f>
        <v>1</v>
      </c>
    </row>
    <row r="616" customFormat="false" ht="15" hidden="false" customHeight="false" outlineLevel="0" collapsed="false">
      <c r="A616" s="10" t="s">
        <v>2957</v>
      </c>
      <c r="B616" s="10" t="s">
        <v>95</v>
      </c>
      <c r="C616" s="10" t="s">
        <v>50</v>
      </c>
      <c r="D616" s="10" t="s">
        <v>210</v>
      </c>
      <c r="E616" s="10" t="s">
        <v>2342</v>
      </c>
      <c r="F616" s="30" t="n">
        <v>42762</v>
      </c>
      <c r="G616" s="30" t="n">
        <v>42824</v>
      </c>
      <c r="H616" s="26" t="n">
        <f aca="false">G616-F616</f>
        <v>62</v>
      </c>
      <c r="I616" s="10" t="n">
        <f aca="false">IF(E616="Won",1,0)</f>
        <v>1</v>
      </c>
    </row>
    <row r="617" customFormat="false" ht="15" hidden="false" customHeight="false" outlineLevel="0" collapsed="false">
      <c r="A617" s="10" t="s">
        <v>2958</v>
      </c>
      <c r="B617" s="10" t="s">
        <v>69</v>
      </c>
      <c r="C617" s="10" t="s">
        <v>52</v>
      </c>
      <c r="D617" s="10" t="s">
        <v>384</v>
      </c>
      <c r="E617" s="10" t="s">
        <v>2345</v>
      </c>
      <c r="F617" s="30" t="n">
        <v>42808</v>
      </c>
      <c r="G617" s="30" t="n">
        <v>42824</v>
      </c>
      <c r="H617" s="26" t="n">
        <f aca="false">G617-F617</f>
        <v>16</v>
      </c>
      <c r="I617" s="10" t="n">
        <f aca="false">IF(E617="Won",1,0)</f>
        <v>0</v>
      </c>
    </row>
    <row r="618" customFormat="false" ht="15" hidden="false" customHeight="false" outlineLevel="0" collapsed="false">
      <c r="A618" s="10" t="s">
        <v>2959</v>
      </c>
      <c r="B618" s="10" t="s">
        <v>71</v>
      </c>
      <c r="C618" s="10" t="s">
        <v>52</v>
      </c>
      <c r="D618" s="10" t="s">
        <v>279</v>
      </c>
      <c r="E618" s="10" t="s">
        <v>2345</v>
      </c>
      <c r="F618" s="30" t="n">
        <v>42688</v>
      </c>
      <c r="G618" s="30" t="n">
        <v>42824</v>
      </c>
      <c r="H618" s="26" t="n">
        <f aca="false">G618-F618</f>
        <v>136</v>
      </c>
      <c r="I618" s="10" t="n">
        <f aca="false">IF(E618="Won",1,0)</f>
        <v>0</v>
      </c>
    </row>
    <row r="619" customFormat="false" ht="15" hidden="false" customHeight="false" outlineLevel="0" collapsed="false">
      <c r="A619" s="10" t="s">
        <v>2960</v>
      </c>
      <c r="B619" s="10" t="s">
        <v>95</v>
      </c>
      <c r="C619" s="10" t="s">
        <v>52</v>
      </c>
      <c r="D619" s="10" t="s">
        <v>514</v>
      </c>
      <c r="E619" s="10" t="s">
        <v>2342</v>
      </c>
      <c r="F619" s="30" t="n">
        <v>42754</v>
      </c>
      <c r="G619" s="30" t="n">
        <v>42824</v>
      </c>
      <c r="H619" s="26" t="n">
        <f aca="false">G619-F619</f>
        <v>70</v>
      </c>
      <c r="I619" s="10" t="n">
        <f aca="false">IF(E619="Won",1,0)</f>
        <v>1</v>
      </c>
    </row>
    <row r="620" customFormat="false" ht="15" hidden="false" customHeight="false" outlineLevel="0" collapsed="false">
      <c r="A620" s="10" t="s">
        <v>2961</v>
      </c>
      <c r="B620" s="10" t="s">
        <v>77</v>
      </c>
      <c r="C620" s="10" t="s">
        <v>48</v>
      </c>
      <c r="D620" s="10" t="s">
        <v>512</v>
      </c>
      <c r="E620" s="10" t="s">
        <v>2342</v>
      </c>
      <c r="F620" s="30" t="n">
        <v>42705</v>
      </c>
      <c r="G620" s="30" t="n">
        <v>42824</v>
      </c>
      <c r="H620" s="26" t="n">
        <f aca="false">G620-F620</f>
        <v>119</v>
      </c>
      <c r="I620" s="10" t="n">
        <f aca="false">IF(E620="Won",1,0)</f>
        <v>1</v>
      </c>
    </row>
    <row r="621" customFormat="false" ht="15" hidden="false" customHeight="false" outlineLevel="0" collapsed="false">
      <c r="A621" s="10" t="s">
        <v>2962</v>
      </c>
      <c r="B621" s="10" t="s">
        <v>90</v>
      </c>
      <c r="C621" s="10" t="s">
        <v>49</v>
      </c>
      <c r="D621" s="10" t="s">
        <v>616</v>
      </c>
      <c r="E621" s="10" t="s">
        <v>2345</v>
      </c>
      <c r="F621" s="30" t="n">
        <v>42763</v>
      </c>
      <c r="G621" s="30" t="n">
        <v>42824</v>
      </c>
      <c r="H621" s="26" t="n">
        <f aca="false">G621-F621</f>
        <v>61</v>
      </c>
      <c r="I621" s="10" t="n">
        <f aca="false">IF(E621="Won",1,0)</f>
        <v>0</v>
      </c>
    </row>
    <row r="622" customFormat="false" ht="15" hidden="false" customHeight="false" outlineLevel="0" collapsed="false">
      <c r="A622" s="10" t="s">
        <v>2963</v>
      </c>
      <c r="B622" s="10" t="s">
        <v>95</v>
      </c>
      <c r="C622" s="10" t="s">
        <v>51</v>
      </c>
      <c r="D622" s="10" t="s">
        <v>506</v>
      </c>
      <c r="E622" s="10" t="s">
        <v>2345</v>
      </c>
      <c r="F622" s="30" t="n">
        <v>42740</v>
      </c>
      <c r="G622" s="30" t="n">
        <v>42824</v>
      </c>
      <c r="H622" s="26" t="n">
        <f aca="false">G622-F622</f>
        <v>84</v>
      </c>
      <c r="I622" s="10" t="n">
        <f aca="false">IF(E622="Won",1,0)</f>
        <v>0</v>
      </c>
    </row>
    <row r="623" customFormat="false" ht="15" hidden="false" customHeight="false" outlineLevel="0" collapsed="false">
      <c r="A623" s="10" t="s">
        <v>2964</v>
      </c>
      <c r="B623" s="10" t="s">
        <v>74</v>
      </c>
      <c r="C623" s="10" t="s">
        <v>51</v>
      </c>
      <c r="D623" s="10" t="s">
        <v>524</v>
      </c>
      <c r="E623" s="10" t="s">
        <v>2342</v>
      </c>
      <c r="F623" s="30" t="n">
        <v>42745</v>
      </c>
      <c r="G623" s="30" t="n">
        <v>42824</v>
      </c>
      <c r="H623" s="26" t="n">
        <f aca="false">G623-F623</f>
        <v>79</v>
      </c>
      <c r="I623" s="10" t="n">
        <f aca="false">IF(E623="Won",1,0)</f>
        <v>1</v>
      </c>
    </row>
    <row r="624" customFormat="false" ht="15" hidden="false" customHeight="false" outlineLevel="0" collapsed="false">
      <c r="A624" s="10" t="s">
        <v>2965</v>
      </c>
      <c r="B624" s="10" t="s">
        <v>88</v>
      </c>
      <c r="C624" s="10" t="s">
        <v>52</v>
      </c>
      <c r="D624" s="10" t="s">
        <v>637</v>
      </c>
      <c r="E624" s="10" t="s">
        <v>2345</v>
      </c>
      <c r="F624" s="30" t="n">
        <v>42697</v>
      </c>
      <c r="G624" s="30" t="n">
        <v>42824</v>
      </c>
      <c r="H624" s="26" t="n">
        <f aca="false">G624-F624</f>
        <v>127</v>
      </c>
      <c r="I624" s="10" t="n">
        <f aca="false">IF(E624="Won",1,0)</f>
        <v>0</v>
      </c>
    </row>
    <row r="625" customFormat="false" ht="15" hidden="false" customHeight="false" outlineLevel="0" collapsed="false">
      <c r="A625" s="10" t="s">
        <v>2966</v>
      </c>
      <c r="B625" s="10" t="s">
        <v>95</v>
      </c>
      <c r="C625" s="10" t="s">
        <v>48</v>
      </c>
      <c r="D625" s="10" t="s">
        <v>344</v>
      </c>
      <c r="E625" s="10" t="s">
        <v>2342</v>
      </c>
      <c r="F625" s="30" t="n">
        <v>42807</v>
      </c>
      <c r="G625" s="30" t="n">
        <v>42824</v>
      </c>
      <c r="H625" s="26" t="n">
        <f aca="false">G625-F625</f>
        <v>17</v>
      </c>
      <c r="I625" s="10" t="n">
        <f aca="false">IF(E625="Won",1,0)</f>
        <v>1</v>
      </c>
    </row>
    <row r="626" customFormat="false" ht="15" hidden="false" customHeight="false" outlineLevel="0" collapsed="false">
      <c r="A626" s="10" t="s">
        <v>2967</v>
      </c>
      <c r="B626" s="10" t="s">
        <v>76</v>
      </c>
      <c r="C626" s="10" t="s">
        <v>52</v>
      </c>
      <c r="D626" s="10" t="s">
        <v>369</v>
      </c>
      <c r="E626" s="10" t="s">
        <v>2342</v>
      </c>
      <c r="F626" s="30" t="n">
        <v>42768</v>
      </c>
      <c r="G626" s="30" t="n">
        <v>42824</v>
      </c>
      <c r="H626" s="26" t="n">
        <f aca="false">G626-F626</f>
        <v>56</v>
      </c>
      <c r="I626" s="10" t="n">
        <f aca="false">IF(E626="Won",1,0)</f>
        <v>1</v>
      </c>
    </row>
    <row r="627" customFormat="false" ht="15" hidden="false" customHeight="false" outlineLevel="0" collapsed="false">
      <c r="A627" s="10" t="s">
        <v>2968</v>
      </c>
      <c r="B627" s="10" t="s">
        <v>97</v>
      </c>
      <c r="C627" s="10" t="s">
        <v>50</v>
      </c>
      <c r="D627" s="10" t="s">
        <v>172</v>
      </c>
      <c r="E627" s="10" t="s">
        <v>2342</v>
      </c>
      <c r="F627" s="30" t="n">
        <v>42822</v>
      </c>
      <c r="G627" s="30" t="n">
        <v>42824</v>
      </c>
      <c r="H627" s="26" t="n">
        <f aca="false">G627-F627</f>
        <v>2</v>
      </c>
      <c r="I627" s="10" t="n">
        <f aca="false">IF(E627="Won",1,0)</f>
        <v>1</v>
      </c>
    </row>
    <row r="628" customFormat="false" ht="15" hidden="false" customHeight="false" outlineLevel="0" collapsed="false">
      <c r="A628" s="10" t="s">
        <v>2969</v>
      </c>
      <c r="B628" s="10" t="s">
        <v>95</v>
      </c>
      <c r="C628" s="10" t="s">
        <v>50</v>
      </c>
      <c r="D628" s="10" t="s">
        <v>419</v>
      </c>
      <c r="E628" s="10" t="s">
        <v>2342</v>
      </c>
      <c r="F628" s="30" t="n">
        <v>42738</v>
      </c>
      <c r="G628" s="30" t="n">
        <v>42824</v>
      </c>
      <c r="H628" s="26" t="n">
        <f aca="false">G628-F628</f>
        <v>86</v>
      </c>
      <c r="I628" s="10" t="n">
        <f aca="false">IF(E628="Won",1,0)</f>
        <v>1</v>
      </c>
    </row>
    <row r="629" customFormat="false" ht="15" hidden="false" customHeight="false" outlineLevel="0" collapsed="false">
      <c r="A629" s="10" t="s">
        <v>2970</v>
      </c>
      <c r="B629" s="10" t="s">
        <v>77</v>
      </c>
      <c r="C629" s="10" t="s">
        <v>48</v>
      </c>
      <c r="D629" s="10" t="s">
        <v>697</v>
      </c>
      <c r="E629" s="10" t="s">
        <v>2342</v>
      </c>
      <c r="F629" s="30" t="n">
        <v>42818</v>
      </c>
      <c r="G629" s="30" t="n">
        <v>42824</v>
      </c>
      <c r="H629" s="26" t="n">
        <f aca="false">G629-F629</f>
        <v>6</v>
      </c>
      <c r="I629" s="10" t="n">
        <f aca="false">IF(E629="Won",1,0)</f>
        <v>1</v>
      </c>
    </row>
    <row r="630" customFormat="false" ht="15" hidden="false" customHeight="false" outlineLevel="0" collapsed="false">
      <c r="A630" s="10" t="s">
        <v>2971</v>
      </c>
      <c r="B630" s="10" t="s">
        <v>57</v>
      </c>
      <c r="C630" s="10" t="s">
        <v>49</v>
      </c>
      <c r="D630" s="10" t="s">
        <v>692</v>
      </c>
      <c r="E630" s="10" t="s">
        <v>2342</v>
      </c>
      <c r="F630" s="30" t="n">
        <v>42818</v>
      </c>
      <c r="G630" s="30" t="n">
        <v>42825</v>
      </c>
      <c r="H630" s="26" t="n">
        <f aca="false">G630-F630</f>
        <v>7</v>
      </c>
      <c r="I630" s="10" t="n">
        <f aca="false">IF(E630="Won",1,0)</f>
        <v>1</v>
      </c>
    </row>
    <row r="631" customFormat="false" ht="15" hidden="false" customHeight="false" outlineLevel="0" collapsed="false">
      <c r="A631" s="10" t="s">
        <v>2972</v>
      </c>
      <c r="B631" s="10" t="s">
        <v>81</v>
      </c>
      <c r="C631" s="10" t="s">
        <v>50</v>
      </c>
      <c r="D631" s="10" t="s">
        <v>267</v>
      </c>
      <c r="E631" s="10" t="s">
        <v>2345</v>
      </c>
      <c r="F631" s="30" t="n">
        <v>42746</v>
      </c>
      <c r="G631" s="30" t="n">
        <v>42825</v>
      </c>
      <c r="H631" s="26" t="n">
        <f aca="false">G631-F631</f>
        <v>79</v>
      </c>
      <c r="I631" s="10" t="n">
        <f aca="false">IF(E631="Won",1,0)</f>
        <v>0</v>
      </c>
    </row>
    <row r="632" customFormat="false" ht="15" hidden="false" customHeight="false" outlineLevel="0" collapsed="false">
      <c r="A632" s="10" t="s">
        <v>2973</v>
      </c>
      <c r="B632" s="10" t="s">
        <v>76</v>
      </c>
      <c r="C632" s="10" t="s">
        <v>52</v>
      </c>
      <c r="D632" s="10" t="s">
        <v>697</v>
      </c>
      <c r="E632" s="10" t="s">
        <v>2342</v>
      </c>
      <c r="F632" s="30" t="n">
        <v>42718</v>
      </c>
      <c r="G632" s="30" t="n">
        <v>42825</v>
      </c>
      <c r="H632" s="26" t="n">
        <f aca="false">G632-F632</f>
        <v>107</v>
      </c>
      <c r="I632" s="10" t="n">
        <f aca="false">IF(E632="Won",1,0)</f>
        <v>1</v>
      </c>
    </row>
    <row r="633" customFormat="false" ht="15" hidden="false" customHeight="false" outlineLevel="0" collapsed="false">
      <c r="A633" s="10" t="s">
        <v>2974</v>
      </c>
      <c r="B633" s="10" t="s">
        <v>73</v>
      </c>
      <c r="C633" s="10" t="s">
        <v>52</v>
      </c>
      <c r="D633" s="10" t="s">
        <v>422</v>
      </c>
      <c r="E633" s="10" t="s">
        <v>2342</v>
      </c>
      <c r="F633" s="30" t="n">
        <v>42818</v>
      </c>
      <c r="G633" s="30" t="n">
        <v>42825</v>
      </c>
      <c r="H633" s="26" t="n">
        <f aca="false">G633-F633</f>
        <v>7</v>
      </c>
      <c r="I633" s="10" t="n">
        <f aca="false">IF(E633="Won",1,0)</f>
        <v>1</v>
      </c>
    </row>
    <row r="634" customFormat="false" ht="15" hidden="false" customHeight="false" outlineLevel="0" collapsed="false">
      <c r="A634" s="10" t="s">
        <v>2975</v>
      </c>
      <c r="B634" s="10" t="s">
        <v>80</v>
      </c>
      <c r="C634" s="10" t="s">
        <v>51</v>
      </c>
      <c r="D634" s="10" t="s">
        <v>961</v>
      </c>
      <c r="E634" s="10" t="s">
        <v>2342</v>
      </c>
      <c r="F634" s="30" t="n">
        <v>42728</v>
      </c>
      <c r="G634" s="30" t="n">
        <v>42825</v>
      </c>
      <c r="H634" s="26" t="n">
        <f aca="false">G634-F634</f>
        <v>97</v>
      </c>
      <c r="I634" s="10" t="n">
        <f aca="false">IF(E634="Won",1,0)</f>
        <v>1</v>
      </c>
    </row>
    <row r="635" customFormat="false" ht="15" hidden="false" customHeight="false" outlineLevel="0" collapsed="false">
      <c r="A635" s="10" t="s">
        <v>2976</v>
      </c>
      <c r="B635" s="10" t="s">
        <v>90</v>
      </c>
      <c r="C635" s="10" t="s">
        <v>49</v>
      </c>
      <c r="D635" s="10" t="s">
        <v>332</v>
      </c>
      <c r="E635" s="10" t="s">
        <v>2342</v>
      </c>
      <c r="F635" s="30" t="n">
        <v>42811</v>
      </c>
      <c r="G635" s="30" t="n">
        <v>42825</v>
      </c>
      <c r="H635" s="26" t="n">
        <f aca="false">G635-F635</f>
        <v>14</v>
      </c>
      <c r="I635" s="10" t="n">
        <f aca="false">IF(E635="Won",1,0)</f>
        <v>1</v>
      </c>
    </row>
    <row r="636" customFormat="false" ht="15" hidden="false" customHeight="false" outlineLevel="0" collapsed="false">
      <c r="A636" s="10" t="s">
        <v>2977</v>
      </c>
      <c r="B636" s="10" t="s">
        <v>96</v>
      </c>
      <c r="C636" s="10" t="s">
        <v>48</v>
      </c>
      <c r="D636" s="10" t="s">
        <v>199</v>
      </c>
      <c r="E636" s="10" t="s">
        <v>2342</v>
      </c>
      <c r="F636" s="30" t="n">
        <v>42750</v>
      </c>
      <c r="G636" s="30" t="n">
        <v>42825</v>
      </c>
      <c r="H636" s="26" t="n">
        <f aca="false">G636-F636</f>
        <v>75</v>
      </c>
      <c r="I636" s="10" t="n">
        <f aca="false">IF(E636="Won",1,0)</f>
        <v>1</v>
      </c>
    </row>
    <row r="637" customFormat="false" ht="15" hidden="false" customHeight="false" outlineLevel="0" collapsed="false">
      <c r="A637" s="10" t="s">
        <v>2978</v>
      </c>
      <c r="B637" s="10" t="s">
        <v>95</v>
      </c>
      <c r="C637" s="10" t="s">
        <v>51</v>
      </c>
      <c r="D637" s="10" t="s">
        <v>497</v>
      </c>
      <c r="E637" s="10" t="s">
        <v>2342</v>
      </c>
      <c r="F637" s="30" t="n">
        <v>42690</v>
      </c>
      <c r="G637" s="30" t="n">
        <v>42825</v>
      </c>
      <c r="H637" s="26" t="n">
        <f aca="false">G637-F637</f>
        <v>135</v>
      </c>
      <c r="I637" s="10" t="n">
        <f aca="false">IF(E637="Won",1,0)</f>
        <v>1</v>
      </c>
    </row>
    <row r="638" customFormat="false" ht="15" hidden="false" customHeight="false" outlineLevel="0" collapsed="false">
      <c r="A638" s="10" t="s">
        <v>2979</v>
      </c>
      <c r="B638" s="10" t="s">
        <v>66</v>
      </c>
      <c r="C638" s="10" t="s">
        <v>51</v>
      </c>
      <c r="D638" s="10" t="s">
        <v>437</v>
      </c>
      <c r="E638" s="10" t="s">
        <v>2342</v>
      </c>
      <c r="F638" s="30" t="n">
        <v>42806</v>
      </c>
      <c r="G638" s="30" t="n">
        <v>42825</v>
      </c>
      <c r="H638" s="26" t="n">
        <f aca="false">G638-F638</f>
        <v>19</v>
      </c>
      <c r="I638" s="10" t="n">
        <f aca="false">IF(E638="Won",1,0)</f>
        <v>1</v>
      </c>
    </row>
    <row r="639" customFormat="false" ht="15" hidden="false" customHeight="false" outlineLevel="0" collapsed="false">
      <c r="A639" s="10" t="s">
        <v>2980</v>
      </c>
      <c r="B639" s="10" t="s">
        <v>95</v>
      </c>
      <c r="C639" s="10" t="s">
        <v>52</v>
      </c>
      <c r="D639" s="10" t="s">
        <v>419</v>
      </c>
      <c r="E639" s="10" t="s">
        <v>2342</v>
      </c>
      <c r="F639" s="30" t="n">
        <v>42724</v>
      </c>
      <c r="G639" s="30" t="n">
        <v>42825</v>
      </c>
      <c r="H639" s="26" t="n">
        <f aca="false">G639-F639</f>
        <v>101</v>
      </c>
      <c r="I639" s="10" t="n">
        <f aca="false">IF(E639="Won",1,0)</f>
        <v>1</v>
      </c>
    </row>
    <row r="640" customFormat="false" ht="15" hidden="false" customHeight="false" outlineLevel="0" collapsed="false">
      <c r="A640" s="10" t="s">
        <v>2981</v>
      </c>
      <c r="B640" s="10" t="s">
        <v>62</v>
      </c>
      <c r="C640" s="10" t="s">
        <v>49</v>
      </c>
      <c r="D640" s="10" t="s">
        <v>427</v>
      </c>
      <c r="E640" s="10" t="s">
        <v>2345</v>
      </c>
      <c r="F640" s="30" t="n">
        <v>42748</v>
      </c>
      <c r="G640" s="30" t="n">
        <v>42825</v>
      </c>
      <c r="H640" s="26" t="n">
        <f aca="false">G640-F640</f>
        <v>77</v>
      </c>
      <c r="I640" s="10" t="n">
        <f aca="false">IF(E640="Won",1,0)</f>
        <v>0</v>
      </c>
    </row>
    <row r="641" customFormat="false" ht="15" hidden="false" customHeight="false" outlineLevel="0" collapsed="false">
      <c r="A641" s="10" t="s">
        <v>2982</v>
      </c>
      <c r="B641" s="10" t="s">
        <v>73</v>
      </c>
      <c r="C641" s="10" t="s">
        <v>49</v>
      </c>
      <c r="D641" s="10" t="s">
        <v>527</v>
      </c>
      <c r="E641" s="10" t="s">
        <v>2342</v>
      </c>
      <c r="F641" s="30" t="n">
        <v>42807</v>
      </c>
      <c r="G641" s="30" t="n">
        <v>42825</v>
      </c>
      <c r="H641" s="26" t="n">
        <f aca="false">G641-F641</f>
        <v>18</v>
      </c>
      <c r="I641" s="10" t="n">
        <f aca="false">IF(E641="Won",1,0)</f>
        <v>1</v>
      </c>
    </row>
    <row r="642" customFormat="false" ht="15" hidden="false" customHeight="false" outlineLevel="0" collapsed="false">
      <c r="A642" s="10" t="s">
        <v>2983</v>
      </c>
      <c r="B642" s="10" t="s">
        <v>94</v>
      </c>
      <c r="C642" s="10" t="s">
        <v>51</v>
      </c>
      <c r="D642" s="10" t="s">
        <v>522</v>
      </c>
      <c r="E642" s="10" t="s">
        <v>2342</v>
      </c>
      <c r="F642" s="30" t="n">
        <v>42696</v>
      </c>
      <c r="G642" s="30" t="n">
        <v>42825</v>
      </c>
      <c r="H642" s="26" t="n">
        <f aca="false">G642-F642</f>
        <v>129</v>
      </c>
      <c r="I642" s="10" t="n">
        <f aca="false">IF(E642="Won",1,0)</f>
        <v>1</v>
      </c>
    </row>
    <row r="643" customFormat="false" ht="15" hidden="false" customHeight="false" outlineLevel="0" collapsed="false">
      <c r="A643" s="10" t="s">
        <v>2984</v>
      </c>
      <c r="B643" s="10" t="s">
        <v>69</v>
      </c>
      <c r="C643" s="10" t="s">
        <v>52</v>
      </c>
      <c r="D643" s="10" t="s">
        <v>437</v>
      </c>
      <c r="E643" s="10" t="s">
        <v>2342</v>
      </c>
      <c r="F643" s="30" t="n">
        <v>42726</v>
      </c>
      <c r="G643" s="30" t="n">
        <v>42825</v>
      </c>
      <c r="H643" s="26" t="n">
        <f aca="false">G643-F643</f>
        <v>99</v>
      </c>
      <c r="I643" s="10" t="n">
        <f aca="false">IF(E643="Won",1,0)</f>
        <v>1</v>
      </c>
    </row>
    <row r="644" customFormat="false" ht="15" hidden="false" customHeight="false" outlineLevel="0" collapsed="false">
      <c r="A644" s="10" t="s">
        <v>2985</v>
      </c>
      <c r="B644" s="10" t="s">
        <v>70</v>
      </c>
      <c r="C644" s="10" t="s">
        <v>51</v>
      </c>
      <c r="D644" s="10" t="s">
        <v>419</v>
      </c>
      <c r="E644" s="10" t="s">
        <v>2342</v>
      </c>
      <c r="F644" s="30" t="n">
        <v>42754</v>
      </c>
      <c r="G644" s="30" t="n">
        <v>42825</v>
      </c>
      <c r="H644" s="26" t="n">
        <f aca="false">G644-F644</f>
        <v>71</v>
      </c>
      <c r="I644" s="10" t="n">
        <f aca="false">IF(E644="Won",1,0)</f>
        <v>1</v>
      </c>
    </row>
    <row r="645" customFormat="false" ht="15" hidden="false" customHeight="false" outlineLevel="0" collapsed="false">
      <c r="A645" s="10" t="s">
        <v>2986</v>
      </c>
      <c r="B645" s="10" t="s">
        <v>86</v>
      </c>
      <c r="C645" s="10" t="s">
        <v>51</v>
      </c>
      <c r="D645" s="10" t="s">
        <v>1118</v>
      </c>
      <c r="E645" s="10" t="s">
        <v>2342</v>
      </c>
      <c r="F645" s="30" t="n">
        <v>42809</v>
      </c>
      <c r="G645" s="30" t="n">
        <v>42825</v>
      </c>
      <c r="H645" s="26" t="n">
        <f aca="false">G645-F645</f>
        <v>16</v>
      </c>
      <c r="I645" s="10" t="n">
        <f aca="false">IF(E645="Won",1,0)</f>
        <v>1</v>
      </c>
    </row>
    <row r="646" customFormat="false" ht="15" hidden="false" customHeight="false" outlineLevel="0" collapsed="false">
      <c r="A646" s="10" t="s">
        <v>2987</v>
      </c>
      <c r="B646" s="10" t="s">
        <v>87</v>
      </c>
      <c r="C646" s="10" t="s">
        <v>48</v>
      </c>
      <c r="D646" s="10" t="s">
        <v>233</v>
      </c>
      <c r="E646" s="10" t="s">
        <v>2342</v>
      </c>
      <c r="F646" s="30" t="n">
        <v>42759</v>
      </c>
      <c r="G646" s="30" t="n">
        <v>42825</v>
      </c>
      <c r="H646" s="26" t="n">
        <f aca="false">G646-F646</f>
        <v>66</v>
      </c>
      <c r="I646" s="10" t="n">
        <f aca="false">IF(E646="Won",1,0)</f>
        <v>1</v>
      </c>
    </row>
    <row r="647" customFormat="false" ht="15" hidden="false" customHeight="false" outlineLevel="0" collapsed="false">
      <c r="A647" s="10" t="s">
        <v>2988</v>
      </c>
      <c r="B647" s="10" t="s">
        <v>57</v>
      </c>
      <c r="C647" s="10" t="s">
        <v>52</v>
      </c>
      <c r="D647" s="10" t="s">
        <v>1118</v>
      </c>
      <c r="E647" s="10" t="s">
        <v>2345</v>
      </c>
      <c r="F647" s="30" t="n">
        <v>42774</v>
      </c>
      <c r="G647" s="30" t="n">
        <v>42825</v>
      </c>
      <c r="H647" s="26" t="n">
        <f aca="false">G647-F647</f>
        <v>51</v>
      </c>
      <c r="I647" s="10" t="n">
        <f aca="false">IF(E647="Won",1,0)</f>
        <v>0</v>
      </c>
    </row>
    <row r="648" customFormat="false" ht="15" hidden="false" customHeight="false" outlineLevel="0" collapsed="false">
      <c r="A648" s="10" t="s">
        <v>2989</v>
      </c>
      <c r="B648" s="10" t="s">
        <v>68</v>
      </c>
      <c r="C648" s="10" t="s">
        <v>50</v>
      </c>
      <c r="D648" s="10" t="s">
        <v>711</v>
      </c>
      <c r="E648" s="10" t="s">
        <v>2342</v>
      </c>
      <c r="F648" s="30" t="n">
        <v>42812</v>
      </c>
      <c r="G648" s="30" t="n">
        <v>42825</v>
      </c>
      <c r="H648" s="26" t="n">
        <f aca="false">G648-F648</f>
        <v>13</v>
      </c>
      <c r="I648" s="10" t="n">
        <f aca="false">IF(E648="Won",1,0)</f>
        <v>1</v>
      </c>
    </row>
    <row r="649" customFormat="false" ht="15" hidden="false" customHeight="false" outlineLevel="0" collapsed="false">
      <c r="A649" s="10" t="s">
        <v>2990</v>
      </c>
      <c r="B649" s="10" t="s">
        <v>80</v>
      </c>
      <c r="C649" s="10" t="s">
        <v>51</v>
      </c>
      <c r="D649" s="10" t="s">
        <v>414</v>
      </c>
      <c r="E649" s="10" t="s">
        <v>2345</v>
      </c>
      <c r="F649" s="30" t="n">
        <v>42815</v>
      </c>
      <c r="G649" s="30" t="n">
        <v>42826</v>
      </c>
      <c r="H649" s="26" t="n">
        <f aca="false">G649-F649</f>
        <v>11</v>
      </c>
      <c r="I649" s="10" t="n">
        <f aca="false">IF(E649="Won",1,0)</f>
        <v>0</v>
      </c>
    </row>
    <row r="650" customFormat="false" ht="15" hidden="false" customHeight="false" outlineLevel="0" collapsed="false">
      <c r="A650" s="10" t="s">
        <v>2991</v>
      </c>
      <c r="B650" s="10" t="s">
        <v>62</v>
      </c>
      <c r="C650" s="10" t="s">
        <v>50</v>
      </c>
      <c r="D650" s="10" t="s">
        <v>692</v>
      </c>
      <c r="E650" s="10" t="s">
        <v>2342</v>
      </c>
      <c r="F650" s="30" t="n">
        <v>42817</v>
      </c>
      <c r="G650" s="30" t="n">
        <v>42826</v>
      </c>
      <c r="H650" s="26" t="n">
        <f aca="false">G650-F650</f>
        <v>9</v>
      </c>
      <c r="I650" s="10" t="n">
        <f aca="false">IF(E650="Won",1,0)</f>
        <v>1</v>
      </c>
    </row>
    <row r="651" customFormat="false" ht="15" hidden="false" customHeight="false" outlineLevel="0" collapsed="false">
      <c r="A651" s="10" t="s">
        <v>2992</v>
      </c>
      <c r="B651" s="10" t="s">
        <v>76</v>
      </c>
      <c r="C651" s="10" t="s">
        <v>49</v>
      </c>
      <c r="D651" s="10" t="s">
        <v>536</v>
      </c>
      <c r="E651" s="10" t="s">
        <v>2342</v>
      </c>
      <c r="F651" s="30" t="n">
        <v>42817</v>
      </c>
      <c r="G651" s="30" t="n">
        <v>42826</v>
      </c>
      <c r="H651" s="26" t="n">
        <f aca="false">G651-F651</f>
        <v>9</v>
      </c>
      <c r="I651" s="10" t="n">
        <f aca="false">IF(E651="Won",1,0)</f>
        <v>1</v>
      </c>
    </row>
    <row r="652" customFormat="false" ht="15" hidden="false" customHeight="false" outlineLevel="0" collapsed="false">
      <c r="A652" s="10" t="s">
        <v>2993</v>
      </c>
      <c r="B652" s="10" t="s">
        <v>96</v>
      </c>
      <c r="C652" s="10" t="s">
        <v>50</v>
      </c>
      <c r="D652" s="10" t="s">
        <v>337</v>
      </c>
      <c r="E652" s="10" t="s">
        <v>2345</v>
      </c>
      <c r="F652" s="30" t="n">
        <v>42818</v>
      </c>
      <c r="G652" s="30" t="n">
        <v>42826</v>
      </c>
      <c r="H652" s="26" t="n">
        <f aca="false">G652-F652</f>
        <v>8</v>
      </c>
      <c r="I652" s="10" t="n">
        <f aca="false">IF(E652="Won",1,0)</f>
        <v>0</v>
      </c>
    </row>
    <row r="653" customFormat="false" ht="15" hidden="false" customHeight="false" outlineLevel="0" collapsed="false">
      <c r="A653" s="10" t="s">
        <v>2994</v>
      </c>
      <c r="B653" s="10" t="s">
        <v>75</v>
      </c>
      <c r="C653" s="10" t="s">
        <v>51</v>
      </c>
      <c r="D653" s="10" t="s">
        <v>512</v>
      </c>
      <c r="E653" s="10" t="s">
        <v>2345</v>
      </c>
      <c r="F653" s="30" t="n">
        <v>42817</v>
      </c>
      <c r="G653" s="30" t="n">
        <v>42826</v>
      </c>
      <c r="H653" s="26" t="n">
        <f aca="false">G653-F653</f>
        <v>9</v>
      </c>
      <c r="I653" s="10" t="n">
        <f aca="false">IF(E653="Won",1,0)</f>
        <v>0</v>
      </c>
    </row>
    <row r="654" customFormat="false" ht="15" hidden="false" customHeight="false" outlineLevel="0" collapsed="false">
      <c r="A654" s="10" t="s">
        <v>2995</v>
      </c>
      <c r="B654" s="10" t="s">
        <v>86</v>
      </c>
      <c r="C654" s="10" t="s">
        <v>51</v>
      </c>
      <c r="D654" s="10" t="s">
        <v>233</v>
      </c>
      <c r="E654" s="10" t="s">
        <v>2342</v>
      </c>
      <c r="F654" s="30" t="n">
        <v>42817</v>
      </c>
      <c r="G654" s="30" t="n">
        <v>42826</v>
      </c>
      <c r="H654" s="26" t="n">
        <f aca="false">G654-F654</f>
        <v>9</v>
      </c>
      <c r="I654" s="10" t="n">
        <f aca="false">IF(E654="Won",1,0)</f>
        <v>1</v>
      </c>
    </row>
    <row r="655" customFormat="false" ht="15" hidden="false" customHeight="false" outlineLevel="0" collapsed="false">
      <c r="A655" s="10" t="s">
        <v>2996</v>
      </c>
      <c r="B655" s="10" t="s">
        <v>84</v>
      </c>
      <c r="C655" s="10" t="s">
        <v>51</v>
      </c>
      <c r="D655" s="10" t="s">
        <v>350</v>
      </c>
      <c r="E655" s="10" t="s">
        <v>2345</v>
      </c>
      <c r="F655" s="30" t="n">
        <v>42817</v>
      </c>
      <c r="G655" s="30" t="n">
        <v>42826</v>
      </c>
      <c r="H655" s="26" t="n">
        <f aca="false">G655-F655</f>
        <v>9</v>
      </c>
      <c r="I655" s="10" t="n">
        <f aca="false">IF(E655="Won",1,0)</f>
        <v>0</v>
      </c>
    </row>
    <row r="656" customFormat="false" ht="15" hidden="false" customHeight="false" outlineLevel="0" collapsed="false">
      <c r="A656" s="10" t="s">
        <v>2997</v>
      </c>
      <c r="B656" s="10" t="s">
        <v>71</v>
      </c>
      <c r="C656" s="10" t="s">
        <v>47</v>
      </c>
      <c r="D656" s="10" t="s">
        <v>1948</v>
      </c>
      <c r="E656" s="10" t="s">
        <v>2342</v>
      </c>
      <c r="F656" s="30" t="n">
        <v>42817</v>
      </c>
      <c r="G656" s="30" t="n">
        <v>42826</v>
      </c>
      <c r="H656" s="26" t="n">
        <f aca="false">G656-F656</f>
        <v>9</v>
      </c>
      <c r="I656" s="10" t="n">
        <f aca="false">IF(E656="Won",1,0)</f>
        <v>1</v>
      </c>
    </row>
    <row r="657" customFormat="false" ht="15" hidden="false" customHeight="false" outlineLevel="0" collapsed="false">
      <c r="A657" s="10" t="s">
        <v>2998</v>
      </c>
      <c r="B657" s="10" t="s">
        <v>62</v>
      </c>
      <c r="C657" s="10" t="s">
        <v>52</v>
      </c>
      <c r="D657" s="10" t="s">
        <v>233</v>
      </c>
      <c r="E657" s="10" t="s">
        <v>2345</v>
      </c>
      <c r="F657" s="30" t="n">
        <v>42816</v>
      </c>
      <c r="G657" s="30" t="n">
        <v>42826</v>
      </c>
      <c r="H657" s="26" t="n">
        <f aca="false">G657-F657</f>
        <v>10</v>
      </c>
      <c r="I657" s="10" t="n">
        <f aca="false">IF(E657="Won",1,0)</f>
        <v>0</v>
      </c>
    </row>
    <row r="658" customFormat="false" ht="15" hidden="false" customHeight="false" outlineLevel="0" collapsed="false">
      <c r="A658" s="10" t="s">
        <v>2999</v>
      </c>
      <c r="B658" s="10" t="s">
        <v>60</v>
      </c>
      <c r="C658" s="10" t="s">
        <v>47</v>
      </c>
      <c r="D658" s="10" t="s">
        <v>455</v>
      </c>
      <c r="E658" s="10" t="s">
        <v>2345</v>
      </c>
      <c r="F658" s="30" t="n">
        <v>42815</v>
      </c>
      <c r="G658" s="30" t="n">
        <v>42826</v>
      </c>
      <c r="H658" s="26" t="n">
        <f aca="false">G658-F658</f>
        <v>11</v>
      </c>
      <c r="I658" s="10" t="n">
        <f aca="false">IF(E658="Won",1,0)</f>
        <v>0</v>
      </c>
    </row>
    <row r="659" customFormat="false" ht="15" hidden="false" customHeight="false" outlineLevel="0" collapsed="false">
      <c r="A659" s="10" t="s">
        <v>3000</v>
      </c>
      <c r="B659" s="10" t="s">
        <v>88</v>
      </c>
      <c r="C659" s="10" t="s">
        <v>48</v>
      </c>
      <c r="D659" s="10" t="s">
        <v>286</v>
      </c>
      <c r="E659" s="10" t="s">
        <v>2345</v>
      </c>
      <c r="F659" s="30" t="n">
        <v>42824</v>
      </c>
      <c r="G659" s="30" t="n">
        <v>42826</v>
      </c>
      <c r="H659" s="26" t="n">
        <f aca="false">G659-F659</f>
        <v>2</v>
      </c>
      <c r="I659" s="10" t="n">
        <f aca="false">IF(E659="Won",1,0)</f>
        <v>0</v>
      </c>
    </row>
    <row r="660" customFormat="false" ht="15" hidden="false" customHeight="false" outlineLevel="0" collapsed="false">
      <c r="A660" s="10" t="s">
        <v>3001</v>
      </c>
      <c r="B660" s="10" t="s">
        <v>94</v>
      </c>
      <c r="C660" s="10" t="s">
        <v>51</v>
      </c>
      <c r="D660" s="10" t="s">
        <v>483</v>
      </c>
      <c r="E660" s="10" t="s">
        <v>2342</v>
      </c>
      <c r="F660" s="30" t="n">
        <v>42824</v>
      </c>
      <c r="G660" s="30" t="n">
        <v>42826</v>
      </c>
      <c r="H660" s="26" t="n">
        <f aca="false">G660-F660</f>
        <v>2</v>
      </c>
      <c r="I660" s="10" t="n">
        <f aca="false">IF(E660="Won",1,0)</f>
        <v>1</v>
      </c>
    </row>
    <row r="661" customFormat="false" ht="15" hidden="false" customHeight="false" outlineLevel="0" collapsed="false">
      <c r="A661" s="10" t="s">
        <v>3002</v>
      </c>
      <c r="B661" s="10" t="s">
        <v>84</v>
      </c>
      <c r="C661" s="10" t="s">
        <v>49</v>
      </c>
      <c r="D661" s="10" t="s">
        <v>455</v>
      </c>
      <c r="E661" s="10" t="s">
        <v>2342</v>
      </c>
      <c r="F661" s="30" t="n">
        <v>42825</v>
      </c>
      <c r="G661" s="30" t="n">
        <v>42826</v>
      </c>
      <c r="H661" s="26" t="n">
        <f aca="false">G661-F661</f>
        <v>1</v>
      </c>
      <c r="I661" s="10" t="n">
        <f aca="false">IF(E661="Won",1,0)</f>
        <v>1</v>
      </c>
    </row>
    <row r="662" customFormat="false" ht="15" hidden="false" customHeight="false" outlineLevel="0" collapsed="false">
      <c r="A662" s="10" t="s">
        <v>3003</v>
      </c>
      <c r="B662" s="10" t="s">
        <v>95</v>
      </c>
      <c r="C662" s="10" t="s">
        <v>52</v>
      </c>
      <c r="D662" s="10" t="s">
        <v>172</v>
      </c>
      <c r="E662" s="10" t="s">
        <v>2342</v>
      </c>
      <c r="F662" s="30" t="n">
        <v>42825</v>
      </c>
      <c r="G662" s="30" t="n">
        <v>42826</v>
      </c>
      <c r="H662" s="26" t="n">
        <f aca="false">G662-F662</f>
        <v>1</v>
      </c>
      <c r="I662" s="10" t="n">
        <f aca="false">IF(E662="Won",1,0)</f>
        <v>1</v>
      </c>
    </row>
    <row r="663" customFormat="false" ht="15" hidden="false" customHeight="false" outlineLevel="0" collapsed="false">
      <c r="A663" s="10" t="s">
        <v>3004</v>
      </c>
      <c r="B663" s="10" t="s">
        <v>86</v>
      </c>
      <c r="C663" s="10" t="s">
        <v>48</v>
      </c>
      <c r="D663" s="10" t="s">
        <v>350</v>
      </c>
      <c r="E663" s="10" t="s">
        <v>2345</v>
      </c>
      <c r="F663" s="30" t="n">
        <v>42825</v>
      </c>
      <c r="G663" s="30" t="n">
        <v>42826</v>
      </c>
      <c r="H663" s="26" t="n">
        <f aca="false">G663-F663</f>
        <v>1</v>
      </c>
      <c r="I663" s="10" t="n">
        <f aca="false">IF(E663="Won",1,0)</f>
        <v>0</v>
      </c>
    </row>
    <row r="664" customFormat="false" ht="15" hidden="false" customHeight="false" outlineLevel="0" collapsed="false">
      <c r="A664" s="10" t="s">
        <v>3005</v>
      </c>
      <c r="B664" s="10" t="s">
        <v>94</v>
      </c>
      <c r="C664" s="10" t="s">
        <v>48</v>
      </c>
      <c r="D664" s="10" t="s">
        <v>432</v>
      </c>
      <c r="E664" s="10" t="s">
        <v>2342</v>
      </c>
      <c r="F664" s="30" t="n">
        <v>42825</v>
      </c>
      <c r="G664" s="30" t="n">
        <v>42826</v>
      </c>
      <c r="H664" s="26" t="n">
        <f aca="false">G664-F664</f>
        <v>1</v>
      </c>
      <c r="I664" s="10" t="n">
        <f aca="false">IF(E664="Won",1,0)</f>
        <v>1</v>
      </c>
    </row>
    <row r="665" customFormat="false" ht="15" hidden="false" customHeight="false" outlineLevel="0" collapsed="false">
      <c r="A665" s="10" t="s">
        <v>3006</v>
      </c>
      <c r="B665" s="10" t="s">
        <v>84</v>
      </c>
      <c r="C665" s="10" t="s">
        <v>51</v>
      </c>
      <c r="D665" s="10" t="s">
        <v>455</v>
      </c>
      <c r="E665" s="10" t="s">
        <v>2345</v>
      </c>
      <c r="F665" s="30" t="n">
        <v>42824</v>
      </c>
      <c r="G665" s="30" t="n">
        <v>42826</v>
      </c>
      <c r="H665" s="26" t="n">
        <f aca="false">G665-F665</f>
        <v>2</v>
      </c>
      <c r="I665" s="10" t="n">
        <f aca="false">IF(E665="Won",1,0)</f>
        <v>0</v>
      </c>
    </row>
    <row r="666" customFormat="false" ht="15" hidden="false" customHeight="false" outlineLevel="0" collapsed="false">
      <c r="A666" s="10" t="s">
        <v>3007</v>
      </c>
      <c r="B666" s="10" t="s">
        <v>95</v>
      </c>
      <c r="C666" s="10" t="s">
        <v>49</v>
      </c>
      <c r="D666" s="10" t="s">
        <v>483</v>
      </c>
      <c r="E666" s="10" t="s">
        <v>2345</v>
      </c>
      <c r="F666" s="30" t="n">
        <v>42825</v>
      </c>
      <c r="G666" s="30" t="n">
        <v>42826</v>
      </c>
      <c r="H666" s="26" t="n">
        <f aca="false">G666-F666</f>
        <v>1</v>
      </c>
      <c r="I666" s="10" t="n">
        <f aca="false">IF(E666="Won",1,0)</f>
        <v>0</v>
      </c>
    </row>
    <row r="667" customFormat="false" ht="15" hidden="false" customHeight="false" outlineLevel="0" collapsed="false">
      <c r="A667" s="10" t="s">
        <v>3008</v>
      </c>
      <c r="B667" s="10" t="s">
        <v>77</v>
      </c>
      <c r="C667" s="10" t="s">
        <v>51</v>
      </c>
      <c r="D667" s="10" t="s">
        <v>210</v>
      </c>
      <c r="E667" s="10" t="s">
        <v>2345</v>
      </c>
      <c r="F667" s="30" t="n">
        <v>42824</v>
      </c>
      <c r="G667" s="30" t="n">
        <v>42826</v>
      </c>
      <c r="H667" s="26" t="n">
        <f aca="false">G667-F667</f>
        <v>2</v>
      </c>
      <c r="I667" s="10" t="n">
        <f aca="false">IF(E667="Won",1,0)</f>
        <v>0</v>
      </c>
    </row>
    <row r="668" customFormat="false" ht="15" hidden="false" customHeight="false" outlineLevel="0" collapsed="false">
      <c r="A668" s="10" t="s">
        <v>3009</v>
      </c>
      <c r="B668" s="10" t="s">
        <v>76</v>
      </c>
      <c r="C668" s="10" t="s">
        <v>52</v>
      </c>
      <c r="D668" s="10" t="s">
        <v>311</v>
      </c>
      <c r="E668" s="10" t="s">
        <v>2342</v>
      </c>
      <c r="F668" s="30" t="n">
        <v>42826</v>
      </c>
      <c r="G668" s="30" t="n">
        <v>42827</v>
      </c>
      <c r="H668" s="26" t="n">
        <f aca="false">G668-F668</f>
        <v>1</v>
      </c>
      <c r="I668" s="10" t="n">
        <f aca="false">IF(E668="Won",1,0)</f>
        <v>1</v>
      </c>
    </row>
    <row r="669" customFormat="false" ht="15" hidden="false" customHeight="false" outlineLevel="0" collapsed="false">
      <c r="A669" s="10" t="s">
        <v>3010</v>
      </c>
      <c r="B669" s="10" t="s">
        <v>97</v>
      </c>
      <c r="C669" s="10" t="s">
        <v>50</v>
      </c>
      <c r="D669" s="10" t="s">
        <v>483</v>
      </c>
      <c r="E669" s="10" t="s">
        <v>2345</v>
      </c>
      <c r="F669" s="30" t="n">
        <v>42826</v>
      </c>
      <c r="G669" s="30" t="n">
        <v>42827</v>
      </c>
      <c r="H669" s="26" t="n">
        <f aca="false">G669-F669</f>
        <v>1</v>
      </c>
      <c r="I669" s="10" t="n">
        <f aca="false">IF(E669="Won",1,0)</f>
        <v>0</v>
      </c>
    </row>
    <row r="670" customFormat="false" ht="15" hidden="false" customHeight="false" outlineLevel="0" collapsed="false">
      <c r="A670" s="10" t="s">
        <v>3011</v>
      </c>
      <c r="B670" s="10" t="s">
        <v>80</v>
      </c>
      <c r="C670" s="10" t="s">
        <v>51</v>
      </c>
      <c r="D670" s="10" t="s">
        <v>353</v>
      </c>
      <c r="E670" s="10" t="s">
        <v>2345</v>
      </c>
      <c r="F670" s="30" t="n">
        <v>42820</v>
      </c>
      <c r="G670" s="30" t="n">
        <v>42827</v>
      </c>
      <c r="H670" s="26" t="n">
        <f aca="false">G670-F670</f>
        <v>7</v>
      </c>
      <c r="I670" s="10" t="n">
        <f aca="false">IF(E670="Won",1,0)</f>
        <v>0</v>
      </c>
    </row>
    <row r="671" customFormat="false" ht="15" hidden="false" customHeight="false" outlineLevel="0" collapsed="false">
      <c r="A671" s="10" t="s">
        <v>3012</v>
      </c>
      <c r="B671" s="10" t="s">
        <v>90</v>
      </c>
      <c r="C671" s="10" t="s">
        <v>49</v>
      </c>
      <c r="D671" s="10" t="s">
        <v>332</v>
      </c>
      <c r="E671" s="10" t="s">
        <v>2345</v>
      </c>
      <c r="F671" s="30" t="n">
        <v>42826</v>
      </c>
      <c r="G671" s="30" t="n">
        <v>42827</v>
      </c>
      <c r="H671" s="26" t="n">
        <f aca="false">G671-F671</f>
        <v>1</v>
      </c>
      <c r="I671" s="10" t="n">
        <f aca="false">IF(E671="Won",1,0)</f>
        <v>0</v>
      </c>
    </row>
    <row r="672" customFormat="false" ht="15" hidden="false" customHeight="false" outlineLevel="0" collapsed="false">
      <c r="A672" s="10" t="s">
        <v>3013</v>
      </c>
      <c r="B672" s="10" t="s">
        <v>79</v>
      </c>
      <c r="C672" s="10" t="s">
        <v>47</v>
      </c>
      <c r="D672" s="10" t="s">
        <v>762</v>
      </c>
      <c r="E672" s="10" t="s">
        <v>2345</v>
      </c>
      <c r="F672" s="30" t="n">
        <v>42825</v>
      </c>
      <c r="G672" s="30" t="n">
        <v>42827</v>
      </c>
      <c r="H672" s="26" t="n">
        <f aca="false">G672-F672</f>
        <v>2</v>
      </c>
      <c r="I672" s="10" t="n">
        <f aca="false">IF(E672="Won",1,0)</f>
        <v>0</v>
      </c>
    </row>
    <row r="673" customFormat="false" ht="15" hidden="false" customHeight="false" outlineLevel="0" collapsed="false">
      <c r="A673" s="10" t="s">
        <v>3014</v>
      </c>
      <c r="B673" s="10" t="s">
        <v>87</v>
      </c>
      <c r="C673" s="10" t="s">
        <v>51</v>
      </c>
      <c r="D673" s="10" t="s">
        <v>455</v>
      </c>
      <c r="E673" s="10" t="s">
        <v>2342</v>
      </c>
      <c r="F673" s="30" t="n">
        <v>42818</v>
      </c>
      <c r="G673" s="30" t="n">
        <v>42827</v>
      </c>
      <c r="H673" s="26" t="n">
        <f aca="false">G673-F673</f>
        <v>9</v>
      </c>
      <c r="I673" s="10" t="n">
        <f aca="false">IF(E673="Won",1,0)</f>
        <v>1</v>
      </c>
    </row>
    <row r="674" customFormat="false" ht="15" hidden="false" customHeight="false" outlineLevel="0" collapsed="false">
      <c r="A674" s="10" t="s">
        <v>3015</v>
      </c>
      <c r="B674" s="10" t="s">
        <v>87</v>
      </c>
      <c r="C674" s="10" t="s">
        <v>48</v>
      </c>
      <c r="D674" s="10" t="s">
        <v>1397</v>
      </c>
      <c r="E674" s="10" t="s">
        <v>2342</v>
      </c>
      <c r="F674" s="30" t="n">
        <v>42818</v>
      </c>
      <c r="G674" s="30" t="n">
        <v>42827</v>
      </c>
      <c r="H674" s="26" t="n">
        <f aca="false">G674-F674</f>
        <v>9</v>
      </c>
      <c r="I674" s="10" t="n">
        <f aca="false">IF(E674="Won",1,0)</f>
        <v>1</v>
      </c>
    </row>
    <row r="675" customFormat="false" ht="15" hidden="false" customHeight="false" outlineLevel="0" collapsed="false">
      <c r="A675" s="10" t="s">
        <v>3016</v>
      </c>
      <c r="B675" s="10" t="s">
        <v>62</v>
      </c>
      <c r="C675" s="10" t="s">
        <v>52</v>
      </c>
      <c r="D675" s="10" t="s">
        <v>532</v>
      </c>
      <c r="E675" s="10" t="s">
        <v>2342</v>
      </c>
      <c r="F675" s="30" t="n">
        <v>42819</v>
      </c>
      <c r="G675" s="30" t="n">
        <v>42827</v>
      </c>
      <c r="H675" s="26" t="n">
        <f aca="false">G675-F675</f>
        <v>8</v>
      </c>
      <c r="I675" s="10" t="n">
        <f aca="false">IF(E675="Won",1,0)</f>
        <v>1</v>
      </c>
    </row>
    <row r="676" customFormat="false" ht="15" hidden="false" customHeight="false" outlineLevel="0" collapsed="false">
      <c r="A676" s="10" t="s">
        <v>3017</v>
      </c>
      <c r="B676" s="10" t="s">
        <v>68</v>
      </c>
      <c r="C676" s="10" t="s">
        <v>51</v>
      </c>
      <c r="D676" s="10" t="s">
        <v>170</v>
      </c>
      <c r="E676" s="10" t="s">
        <v>2345</v>
      </c>
      <c r="F676" s="30" t="n">
        <v>42821</v>
      </c>
      <c r="G676" s="30" t="n">
        <v>42827</v>
      </c>
      <c r="H676" s="26" t="n">
        <f aca="false">G676-F676</f>
        <v>6</v>
      </c>
      <c r="I676" s="10" t="n">
        <f aca="false">IF(E676="Won",1,0)</f>
        <v>0</v>
      </c>
    </row>
    <row r="677" customFormat="false" ht="15" hidden="false" customHeight="false" outlineLevel="0" collapsed="false">
      <c r="A677" s="10" t="s">
        <v>3018</v>
      </c>
      <c r="B677" s="10" t="s">
        <v>77</v>
      </c>
      <c r="C677" s="10" t="s">
        <v>52</v>
      </c>
      <c r="D677" s="10" t="s">
        <v>483</v>
      </c>
      <c r="E677" s="10" t="s">
        <v>2345</v>
      </c>
      <c r="F677" s="30" t="n">
        <v>42819</v>
      </c>
      <c r="G677" s="30" t="n">
        <v>42827</v>
      </c>
      <c r="H677" s="26" t="n">
        <f aca="false">G677-F677</f>
        <v>8</v>
      </c>
      <c r="I677" s="10" t="n">
        <f aca="false">IF(E677="Won",1,0)</f>
        <v>0</v>
      </c>
    </row>
    <row r="678" customFormat="false" ht="15" hidden="false" customHeight="false" outlineLevel="0" collapsed="false">
      <c r="A678" s="10" t="s">
        <v>3019</v>
      </c>
      <c r="B678" s="10" t="s">
        <v>69</v>
      </c>
      <c r="C678" s="10" t="s">
        <v>49</v>
      </c>
      <c r="D678" s="10" t="s">
        <v>437</v>
      </c>
      <c r="E678" s="10" t="s">
        <v>2342</v>
      </c>
      <c r="F678" s="30" t="n">
        <v>42825</v>
      </c>
      <c r="G678" s="30" t="n">
        <v>42827</v>
      </c>
      <c r="H678" s="26" t="n">
        <f aca="false">G678-F678</f>
        <v>2</v>
      </c>
      <c r="I678" s="10" t="n">
        <f aca="false">IF(E678="Won",1,0)</f>
        <v>1</v>
      </c>
    </row>
    <row r="679" customFormat="false" ht="15" hidden="false" customHeight="false" outlineLevel="0" collapsed="false">
      <c r="A679" s="10" t="s">
        <v>3020</v>
      </c>
      <c r="B679" s="10" t="s">
        <v>93</v>
      </c>
      <c r="C679" s="10" t="s">
        <v>50</v>
      </c>
      <c r="D679" s="10" t="s">
        <v>233</v>
      </c>
      <c r="E679" s="10" t="s">
        <v>2345</v>
      </c>
      <c r="F679" s="30" t="n">
        <v>42818</v>
      </c>
      <c r="G679" s="30" t="n">
        <v>42827</v>
      </c>
      <c r="H679" s="26" t="n">
        <f aca="false">G679-F679</f>
        <v>9</v>
      </c>
      <c r="I679" s="10" t="n">
        <f aca="false">IF(E679="Won",1,0)</f>
        <v>0</v>
      </c>
    </row>
    <row r="680" customFormat="false" ht="15" hidden="false" customHeight="false" outlineLevel="0" collapsed="false">
      <c r="A680" s="10" t="s">
        <v>3021</v>
      </c>
      <c r="B680" s="10" t="s">
        <v>69</v>
      </c>
      <c r="C680" s="10" t="s">
        <v>48</v>
      </c>
      <c r="D680" s="10" t="s">
        <v>348</v>
      </c>
      <c r="E680" s="10" t="s">
        <v>2342</v>
      </c>
      <c r="F680" s="30" t="n">
        <v>42822</v>
      </c>
      <c r="G680" s="30" t="n">
        <v>42827</v>
      </c>
      <c r="H680" s="26" t="n">
        <f aca="false">G680-F680</f>
        <v>5</v>
      </c>
      <c r="I680" s="10" t="n">
        <f aca="false">IF(E680="Won",1,0)</f>
        <v>1</v>
      </c>
    </row>
    <row r="681" customFormat="false" ht="15" hidden="false" customHeight="false" outlineLevel="0" collapsed="false">
      <c r="A681" s="10" t="s">
        <v>3022</v>
      </c>
      <c r="B681" s="10" t="s">
        <v>87</v>
      </c>
      <c r="C681" s="10" t="s">
        <v>50</v>
      </c>
      <c r="D681" s="10" t="s">
        <v>185</v>
      </c>
      <c r="E681" s="10" t="s">
        <v>2345</v>
      </c>
      <c r="F681" s="30" t="n">
        <v>42823</v>
      </c>
      <c r="G681" s="30" t="n">
        <v>42827</v>
      </c>
      <c r="H681" s="26" t="n">
        <f aca="false">G681-F681</f>
        <v>4</v>
      </c>
      <c r="I681" s="10" t="n">
        <f aca="false">IF(E681="Won",1,0)</f>
        <v>0</v>
      </c>
    </row>
    <row r="682" customFormat="false" ht="15" hidden="false" customHeight="false" outlineLevel="0" collapsed="false">
      <c r="A682" s="10" t="s">
        <v>3023</v>
      </c>
      <c r="B682" s="10" t="s">
        <v>60</v>
      </c>
      <c r="C682" s="10" t="s">
        <v>49</v>
      </c>
      <c r="D682" s="10" t="s">
        <v>674</v>
      </c>
      <c r="E682" s="10" t="s">
        <v>2342</v>
      </c>
      <c r="F682" s="30" t="n">
        <v>42820</v>
      </c>
      <c r="G682" s="30" t="n">
        <v>42827</v>
      </c>
      <c r="H682" s="26" t="n">
        <f aca="false">G682-F682</f>
        <v>7</v>
      </c>
      <c r="I682" s="10" t="n">
        <f aca="false">IF(E682="Won",1,0)</f>
        <v>1</v>
      </c>
    </row>
    <row r="683" customFormat="false" ht="15" hidden="false" customHeight="false" outlineLevel="0" collapsed="false">
      <c r="A683" s="10" t="s">
        <v>3024</v>
      </c>
      <c r="B683" s="10" t="s">
        <v>95</v>
      </c>
      <c r="C683" s="10" t="s">
        <v>51</v>
      </c>
      <c r="D683" s="10" t="s">
        <v>286</v>
      </c>
      <c r="E683" s="10" t="s">
        <v>2342</v>
      </c>
      <c r="F683" s="30" t="n">
        <v>42825</v>
      </c>
      <c r="G683" s="30" t="n">
        <v>42827</v>
      </c>
      <c r="H683" s="26" t="n">
        <f aca="false">G683-F683</f>
        <v>2</v>
      </c>
      <c r="I683" s="10" t="n">
        <f aca="false">IF(E683="Won",1,0)</f>
        <v>1</v>
      </c>
    </row>
    <row r="684" customFormat="false" ht="15" hidden="false" customHeight="false" outlineLevel="0" collapsed="false">
      <c r="A684" s="10" t="s">
        <v>3025</v>
      </c>
      <c r="B684" s="10" t="s">
        <v>76</v>
      </c>
      <c r="C684" s="10" t="s">
        <v>52</v>
      </c>
      <c r="D684" s="10" t="s">
        <v>267</v>
      </c>
      <c r="E684" s="10" t="s">
        <v>2342</v>
      </c>
      <c r="F684" s="30" t="n">
        <v>42818</v>
      </c>
      <c r="G684" s="30" t="n">
        <v>42827</v>
      </c>
      <c r="H684" s="26" t="n">
        <f aca="false">G684-F684</f>
        <v>9</v>
      </c>
      <c r="I684" s="10" t="n">
        <f aca="false">IF(E684="Won",1,0)</f>
        <v>1</v>
      </c>
    </row>
    <row r="685" customFormat="false" ht="15" hidden="false" customHeight="false" outlineLevel="0" collapsed="false">
      <c r="A685" s="10" t="s">
        <v>3026</v>
      </c>
      <c r="B685" s="10" t="s">
        <v>97</v>
      </c>
      <c r="C685" s="10" t="s">
        <v>49</v>
      </c>
      <c r="D685" s="10" t="s">
        <v>986</v>
      </c>
      <c r="E685" s="10" t="s">
        <v>2342</v>
      </c>
      <c r="F685" s="30" t="n">
        <v>42821</v>
      </c>
      <c r="G685" s="30" t="n">
        <v>42828</v>
      </c>
      <c r="H685" s="26" t="n">
        <f aca="false">G685-F685</f>
        <v>7</v>
      </c>
      <c r="I685" s="10" t="n">
        <f aca="false">IF(E685="Won",1,0)</f>
        <v>1</v>
      </c>
    </row>
    <row r="686" customFormat="false" ht="15" hidden="false" customHeight="false" outlineLevel="0" collapsed="false">
      <c r="A686" s="10" t="s">
        <v>3027</v>
      </c>
      <c r="B686" s="10" t="s">
        <v>97</v>
      </c>
      <c r="C686" s="10" t="s">
        <v>50</v>
      </c>
      <c r="D686" s="10" t="s">
        <v>487</v>
      </c>
      <c r="E686" s="10" t="s">
        <v>2345</v>
      </c>
      <c r="F686" s="30" t="n">
        <v>42821</v>
      </c>
      <c r="G686" s="30" t="n">
        <v>42828</v>
      </c>
      <c r="H686" s="26" t="n">
        <f aca="false">G686-F686</f>
        <v>7</v>
      </c>
      <c r="I686" s="10" t="n">
        <f aca="false">IF(E686="Won",1,0)</f>
        <v>0</v>
      </c>
    </row>
    <row r="687" customFormat="false" ht="15" hidden="false" customHeight="false" outlineLevel="0" collapsed="false">
      <c r="A687" s="10" t="s">
        <v>3028</v>
      </c>
      <c r="B687" s="10" t="s">
        <v>79</v>
      </c>
      <c r="C687" s="10" t="s">
        <v>50</v>
      </c>
      <c r="D687" s="10" t="s">
        <v>353</v>
      </c>
      <c r="E687" s="10" t="s">
        <v>2345</v>
      </c>
      <c r="F687" s="30" t="n">
        <v>42827</v>
      </c>
      <c r="G687" s="30" t="n">
        <v>42828</v>
      </c>
      <c r="H687" s="26" t="n">
        <f aca="false">G687-F687</f>
        <v>1</v>
      </c>
      <c r="I687" s="10" t="n">
        <f aca="false">IF(E687="Won",1,0)</f>
        <v>0</v>
      </c>
    </row>
    <row r="688" customFormat="false" ht="15" hidden="false" customHeight="false" outlineLevel="0" collapsed="false">
      <c r="A688" s="10" t="s">
        <v>3029</v>
      </c>
      <c r="B688" s="10" t="s">
        <v>97</v>
      </c>
      <c r="C688" s="10" t="s">
        <v>48</v>
      </c>
      <c r="D688" s="10" t="s">
        <v>432</v>
      </c>
      <c r="E688" s="10" t="s">
        <v>2342</v>
      </c>
      <c r="F688" s="30" t="n">
        <v>42827</v>
      </c>
      <c r="G688" s="30" t="n">
        <v>42828</v>
      </c>
      <c r="H688" s="26" t="n">
        <f aca="false">G688-F688</f>
        <v>1</v>
      </c>
      <c r="I688" s="10" t="n">
        <f aca="false">IF(E688="Won",1,0)</f>
        <v>1</v>
      </c>
    </row>
    <row r="689" customFormat="false" ht="15" hidden="false" customHeight="false" outlineLevel="0" collapsed="false">
      <c r="A689" s="10" t="s">
        <v>3030</v>
      </c>
      <c r="B689" s="10" t="s">
        <v>81</v>
      </c>
      <c r="C689" s="10" t="s">
        <v>49</v>
      </c>
      <c r="D689" s="10" t="s">
        <v>597</v>
      </c>
      <c r="E689" s="10" t="s">
        <v>2345</v>
      </c>
      <c r="F689" s="30" t="n">
        <v>42820</v>
      </c>
      <c r="G689" s="30" t="n">
        <v>42828</v>
      </c>
      <c r="H689" s="26" t="n">
        <f aca="false">G689-F689</f>
        <v>8</v>
      </c>
      <c r="I689" s="10" t="n">
        <f aca="false">IF(E689="Won",1,0)</f>
        <v>0</v>
      </c>
    </row>
    <row r="690" customFormat="false" ht="15" hidden="false" customHeight="false" outlineLevel="0" collapsed="false">
      <c r="A690" s="10" t="s">
        <v>3031</v>
      </c>
      <c r="B690" s="10" t="s">
        <v>84</v>
      </c>
      <c r="C690" s="10" t="s">
        <v>50</v>
      </c>
      <c r="D690" s="10" t="s">
        <v>161</v>
      </c>
      <c r="E690" s="10" t="s">
        <v>2342</v>
      </c>
      <c r="F690" s="30" t="n">
        <v>42815</v>
      </c>
      <c r="G690" s="30" t="n">
        <v>42828</v>
      </c>
      <c r="H690" s="26" t="n">
        <f aca="false">G690-F690</f>
        <v>13</v>
      </c>
      <c r="I690" s="10" t="n">
        <f aca="false">IF(E690="Won",1,0)</f>
        <v>1</v>
      </c>
    </row>
    <row r="691" customFormat="false" ht="15" hidden="false" customHeight="false" outlineLevel="0" collapsed="false">
      <c r="A691" s="10" t="s">
        <v>3032</v>
      </c>
      <c r="B691" s="10" t="s">
        <v>71</v>
      </c>
      <c r="C691" s="10" t="s">
        <v>52</v>
      </c>
      <c r="D691" s="10" t="s">
        <v>1251</v>
      </c>
      <c r="E691" s="10" t="s">
        <v>2345</v>
      </c>
      <c r="F691" s="30" t="n">
        <v>42819</v>
      </c>
      <c r="G691" s="30" t="n">
        <v>42828</v>
      </c>
      <c r="H691" s="26" t="n">
        <f aca="false">G691-F691</f>
        <v>9</v>
      </c>
      <c r="I691" s="10" t="n">
        <f aca="false">IF(E691="Won",1,0)</f>
        <v>0</v>
      </c>
    </row>
    <row r="692" customFormat="false" ht="15" hidden="false" customHeight="false" outlineLevel="0" collapsed="false">
      <c r="A692" s="10" t="s">
        <v>3033</v>
      </c>
      <c r="B692" s="10" t="s">
        <v>95</v>
      </c>
      <c r="C692" s="10" t="s">
        <v>51</v>
      </c>
      <c r="D692" s="10" t="s">
        <v>168</v>
      </c>
      <c r="E692" s="10" t="s">
        <v>2345</v>
      </c>
      <c r="F692" s="30" t="n">
        <v>42827</v>
      </c>
      <c r="G692" s="30" t="n">
        <v>42828</v>
      </c>
      <c r="H692" s="26" t="n">
        <f aca="false">G692-F692</f>
        <v>1</v>
      </c>
      <c r="I692" s="10" t="n">
        <f aca="false">IF(E692="Won",1,0)</f>
        <v>0</v>
      </c>
    </row>
    <row r="693" customFormat="false" ht="15" hidden="false" customHeight="false" outlineLevel="0" collapsed="false">
      <c r="A693" s="10" t="s">
        <v>3034</v>
      </c>
      <c r="B693" s="10" t="s">
        <v>97</v>
      </c>
      <c r="C693" s="10" t="s">
        <v>48</v>
      </c>
      <c r="D693" s="10" t="s">
        <v>348</v>
      </c>
      <c r="E693" s="10" t="s">
        <v>2345</v>
      </c>
      <c r="F693" s="30" t="n">
        <v>42818</v>
      </c>
      <c r="G693" s="30" t="n">
        <v>42828</v>
      </c>
      <c r="H693" s="26" t="n">
        <f aca="false">G693-F693</f>
        <v>10</v>
      </c>
      <c r="I693" s="10" t="n">
        <f aca="false">IF(E693="Won",1,0)</f>
        <v>0</v>
      </c>
    </row>
    <row r="694" customFormat="false" ht="15" hidden="false" customHeight="false" outlineLevel="0" collapsed="false">
      <c r="A694" s="10" t="s">
        <v>3035</v>
      </c>
      <c r="B694" s="10" t="s">
        <v>94</v>
      </c>
      <c r="C694" s="10" t="s">
        <v>48</v>
      </c>
      <c r="D694" s="10" t="s">
        <v>210</v>
      </c>
      <c r="E694" s="10" t="s">
        <v>2345</v>
      </c>
      <c r="F694" s="30" t="n">
        <v>42817</v>
      </c>
      <c r="G694" s="30" t="n">
        <v>42828</v>
      </c>
      <c r="H694" s="26" t="n">
        <f aca="false">G694-F694</f>
        <v>11</v>
      </c>
      <c r="I694" s="10" t="n">
        <f aca="false">IF(E694="Won",1,0)</f>
        <v>0</v>
      </c>
    </row>
    <row r="695" customFormat="false" ht="15" hidden="false" customHeight="false" outlineLevel="0" collapsed="false">
      <c r="A695" s="10" t="s">
        <v>3036</v>
      </c>
      <c r="B695" s="10" t="s">
        <v>87</v>
      </c>
      <c r="C695" s="10" t="s">
        <v>48</v>
      </c>
      <c r="D695" s="10" t="s">
        <v>1334</v>
      </c>
      <c r="E695" s="10" t="s">
        <v>2345</v>
      </c>
      <c r="F695" s="30" t="n">
        <v>42826</v>
      </c>
      <c r="G695" s="30" t="n">
        <v>42828</v>
      </c>
      <c r="H695" s="26" t="n">
        <f aca="false">G695-F695</f>
        <v>2</v>
      </c>
      <c r="I695" s="10" t="n">
        <f aca="false">IF(E695="Won",1,0)</f>
        <v>0</v>
      </c>
    </row>
    <row r="696" customFormat="false" ht="15" hidden="false" customHeight="false" outlineLevel="0" collapsed="false">
      <c r="A696" s="10" t="s">
        <v>3037</v>
      </c>
      <c r="B696" s="10" t="s">
        <v>79</v>
      </c>
      <c r="C696" s="10" t="s">
        <v>51</v>
      </c>
      <c r="D696" s="10" t="s">
        <v>311</v>
      </c>
      <c r="E696" s="10" t="s">
        <v>2342</v>
      </c>
      <c r="F696" s="30" t="n">
        <v>42819</v>
      </c>
      <c r="G696" s="30" t="n">
        <v>42828</v>
      </c>
      <c r="H696" s="26" t="n">
        <f aca="false">G696-F696</f>
        <v>9</v>
      </c>
      <c r="I696" s="10" t="n">
        <f aca="false">IF(E696="Won",1,0)</f>
        <v>1</v>
      </c>
    </row>
    <row r="697" customFormat="false" ht="15" hidden="false" customHeight="false" outlineLevel="0" collapsed="false">
      <c r="A697" s="10" t="s">
        <v>3038</v>
      </c>
      <c r="B697" s="10" t="s">
        <v>88</v>
      </c>
      <c r="C697" s="10" t="s">
        <v>51</v>
      </c>
      <c r="D697" s="10" t="s">
        <v>185</v>
      </c>
      <c r="E697" s="10" t="s">
        <v>2345</v>
      </c>
      <c r="F697" s="30" t="n">
        <v>42826</v>
      </c>
      <c r="G697" s="30" t="n">
        <v>42828</v>
      </c>
      <c r="H697" s="26" t="n">
        <f aca="false">G697-F697</f>
        <v>2</v>
      </c>
      <c r="I697" s="10" t="n">
        <f aca="false">IF(E697="Won",1,0)</f>
        <v>0</v>
      </c>
    </row>
    <row r="698" customFormat="false" ht="15" hidden="false" customHeight="false" outlineLevel="0" collapsed="false">
      <c r="A698" s="10" t="s">
        <v>3039</v>
      </c>
      <c r="B698" s="10" t="s">
        <v>70</v>
      </c>
      <c r="C698" s="10" t="s">
        <v>51</v>
      </c>
      <c r="D698" s="10" t="s">
        <v>286</v>
      </c>
      <c r="E698" s="10" t="s">
        <v>2345</v>
      </c>
      <c r="F698" s="30" t="n">
        <v>42818</v>
      </c>
      <c r="G698" s="30" t="n">
        <v>42828</v>
      </c>
      <c r="H698" s="26" t="n">
        <f aca="false">G698-F698</f>
        <v>10</v>
      </c>
      <c r="I698" s="10" t="n">
        <f aca="false">IF(E698="Won",1,0)</f>
        <v>0</v>
      </c>
    </row>
    <row r="699" customFormat="false" ht="15" hidden="false" customHeight="false" outlineLevel="0" collapsed="false">
      <c r="A699" s="10" t="s">
        <v>3040</v>
      </c>
      <c r="B699" s="10" t="s">
        <v>76</v>
      </c>
      <c r="C699" s="10" t="s">
        <v>50</v>
      </c>
      <c r="D699" s="10" t="s">
        <v>291</v>
      </c>
      <c r="E699" s="10" t="s">
        <v>2345</v>
      </c>
      <c r="F699" s="30" t="n">
        <v>42818</v>
      </c>
      <c r="G699" s="30" t="n">
        <v>42828</v>
      </c>
      <c r="H699" s="26" t="n">
        <f aca="false">G699-F699</f>
        <v>10</v>
      </c>
      <c r="I699" s="10" t="n">
        <f aca="false">IF(E699="Won",1,0)</f>
        <v>0</v>
      </c>
    </row>
    <row r="700" customFormat="false" ht="15" hidden="false" customHeight="false" outlineLevel="0" collapsed="false">
      <c r="A700" s="10" t="s">
        <v>3041</v>
      </c>
      <c r="B700" s="10" t="s">
        <v>90</v>
      </c>
      <c r="C700" s="10" t="s">
        <v>48</v>
      </c>
      <c r="D700" s="10" t="s">
        <v>674</v>
      </c>
      <c r="E700" s="10" t="s">
        <v>2342</v>
      </c>
      <c r="F700" s="30" t="n">
        <v>42818</v>
      </c>
      <c r="G700" s="30" t="n">
        <v>42828</v>
      </c>
      <c r="H700" s="26" t="n">
        <f aca="false">G700-F700</f>
        <v>10</v>
      </c>
      <c r="I700" s="10" t="n">
        <f aca="false">IF(E700="Won",1,0)</f>
        <v>1</v>
      </c>
    </row>
    <row r="701" customFormat="false" ht="15" hidden="false" customHeight="false" outlineLevel="0" collapsed="false">
      <c r="A701" s="10" t="s">
        <v>3042</v>
      </c>
      <c r="B701" s="10" t="s">
        <v>79</v>
      </c>
      <c r="C701" s="10" t="s">
        <v>48</v>
      </c>
      <c r="D701" s="10" t="s">
        <v>483</v>
      </c>
      <c r="E701" s="10" t="s">
        <v>2345</v>
      </c>
      <c r="F701" s="30" t="n">
        <v>42817</v>
      </c>
      <c r="G701" s="30" t="n">
        <v>42828</v>
      </c>
      <c r="H701" s="26" t="n">
        <f aca="false">G701-F701</f>
        <v>11</v>
      </c>
      <c r="I701" s="10" t="n">
        <f aca="false">IF(E701="Won",1,0)</f>
        <v>0</v>
      </c>
    </row>
    <row r="702" customFormat="false" ht="15" hidden="false" customHeight="false" outlineLevel="0" collapsed="false">
      <c r="A702" s="10" t="s">
        <v>3043</v>
      </c>
      <c r="B702" s="10" t="s">
        <v>70</v>
      </c>
      <c r="C702" s="10" t="s">
        <v>51</v>
      </c>
      <c r="D702" s="10" t="s">
        <v>506</v>
      </c>
      <c r="E702" s="10" t="s">
        <v>2342</v>
      </c>
      <c r="F702" s="30" t="n">
        <v>42819</v>
      </c>
      <c r="G702" s="30" t="n">
        <v>42828</v>
      </c>
      <c r="H702" s="26" t="n">
        <f aca="false">G702-F702</f>
        <v>9</v>
      </c>
      <c r="I702" s="10" t="n">
        <f aca="false">IF(E702="Won",1,0)</f>
        <v>1</v>
      </c>
    </row>
    <row r="703" customFormat="false" ht="15" hidden="false" customHeight="false" outlineLevel="0" collapsed="false">
      <c r="A703" s="10" t="s">
        <v>3044</v>
      </c>
      <c r="B703" s="10" t="s">
        <v>95</v>
      </c>
      <c r="C703" s="10" t="s">
        <v>50</v>
      </c>
      <c r="D703" s="10" t="s">
        <v>396</v>
      </c>
      <c r="E703" s="10" t="s">
        <v>2345</v>
      </c>
      <c r="F703" s="30" t="n">
        <v>42818</v>
      </c>
      <c r="G703" s="30" t="n">
        <v>42828</v>
      </c>
      <c r="H703" s="26" t="n">
        <f aca="false">G703-F703</f>
        <v>10</v>
      </c>
      <c r="I703" s="10" t="n">
        <f aca="false">IF(E703="Won",1,0)</f>
        <v>0</v>
      </c>
    </row>
    <row r="704" customFormat="false" ht="15" hidden="false" customHeight="false" outlineLevel="0" collapsed="false">
      <c r="A704" s="10" t="s">
        <v>3045</v>
      </c>
      <c r="B704" s="10" t="s">
        <v>77</v>
      </c>
      <c r="C704" s="10" t="s">
        <v>47</v>
      </c>
      <c r="D704" s="10" t="s">
        <v>259</v>
      </c>
      <c r="E704" s="10" t="s">
        <v>2345</v>
      </c>
      <c r="F704" s="30" t="n">
        <v>42818</v>
      </c>
      <c r="G704" s="30" t="n">
        <v>42828</v>
      </c>
      <c r="H704" s="26" t="n">
        <f aca="false">G704-F704</f>
        <v>10</v>
      </c>
      <c r="I704" s="10" t="n">
        <f aca="false">IF(E704="Won",1,0)</f>
        <v>0</v>
      </c>
    </row>
    <row r="705" customFormat="false" ht="15" hidden="false" customHeight="false" outlineLevel="0" collapsed="false">
      <c r="A705" s="10" t="s">
        <v>3046</v>
      </c>
      <c r="B705" s="10" t="s">
        <v>79</v>
      </c>
      <c r="C705" s="10" t="s">
        <v>52</v>
      </c>
      <c r="D705" s="10" t="s">
        <v>369</v>
      </c>
      <c r="E705" s="10" t="s">
        <v>2345</v>
      </c>
      <c r="F705" s="30" t="n">
        <v>42822</v>
      </c>
      <c r="G705" s="30" t="n">
        <v>42828</v>
      </c>
      <c r="H705" s="26" t="n">
        <f aca="false">G705-F705</f>
        <v>6</v>
      </c>
      <c r="I705" s="10" t="n">
        <f aca="false">IF(E705="Won",1,0)</f>
        <v>0</v>
      </c>
    </row>
    <row r="706" customFormat="false" ht="15" hidden="false" customHeight="false" outlineLevel="0" collapsed="false">
      <c r="A706" s="10" t="s">
        <v>3047</v>
      </c>
      <c r="B706" s="10" t="s">
        <v>77</v>
      </c>
      <c r="C706" s="10" t="s">
        <v>49</v>
      </c>
      <c r="D706" s="10" t="s">
        <v>291</v>
      </c>
      <c r="E706" s="10" t="s">
        <v>2345</v>
      </c>
      <c r="F706" s="30" t="n">
        <v>42822</v>
      </c>
      <c r="G706" s="30" t="n">
        <v>42828</v>
      </c>
      <c r="H706" s="26" t="n">
        <f aca="false">G706-F706</f>
        <v>6</v>
      </c>
      <c r="I706" s="10" t="n">
        <f aca="false">IF(E706="Won",1,0)</f>
        <v>0</v>
      </c>
    </row>
    <row r="707" customFormat="false" ht="15" hidden="false" customHeight="false" outlineLevel="0" collapsed="false">
      <c r="A707" s="10" t="s">
        <v>3048</v>
      </c>
      <c r="B707" s="10" t="s">
        <v>96</v>
      </c>
      <c r="C707" s="10" t="s">
        <v>50</v>
      </c>
      <c r="D707" s="10" t="s">
        <v>514</v>
      </c>
      <c r="E707" s="10" t="s">
        <v>2342</v>
      </c>
      <c r="F707" s="30" t="n">
        <v>42827</v>
      </c>
      <c r="G707" s="30" t="n">
        <v>42829</v>
      </c>
      <c r="H707" s="26" t="n">
        <f aca="false">G707-F707</f>
        <v>2</v>
      </c>
      <c r="I707" s="10" t="n">
        <f aca="false">IF(E707="Won",1,0)</f>
        <v>1</v>
      </c>
    </row>
    <row r="708" customFormat="false" ht="15" hidden="false" customHeight="false" outlineLevel="0" collapsed="false">
      <c r="A708" s="10" t="s">
        <v>3049</v>
      </c>
      <c r="B708" s="10" t="s">
        <v>63</v>
      </c>
      <c r="C708" s="10" t="s">
        <v>51</v>
      </c>
      <c r="D708" s="10" t="s">
        <v>637</v>
      </c>
      <c r="E708" s="10" t="s">
        <v>2342</v>
      </c>
      <c r="F708" s="30" t="n">
        <v>42823</v>
      </c>
      <c r="G708" s="30" t="n">
        <v>42829</v>
      </c>
      <c r="H708" s="26" t="n">
        <f aca="false">G708-F708</f>
        <v>6</v>
      </c>
      <c r="I708" s="10" t="n">
        <f aca="false">IF(E708="Won",1,0)</f>
        <v>1</v>
      </c>
    </row>
    <row r="709" customFormat="false" ht="15" hidden="false" customHeight="false" outlineLevel="0" collapsed="false">
      <c r="A709" s="10" t="s">
        <v>3050</v>
      </c>
      <c r="B709" s="10" t="s">
        <v>90</v>
      </c>
      <c r="C709" s="10" t="s">
        <v>47</v>
      </c>
      <c r="D709" s="10" t="s">
        <v>277</v>
      </c>
      <c r="E709" s="10" t="s">
        <v>2345</v>
      </c>
      <c r="F709" s="30" t="n">
        <v>42826</v>
      </c>
      <c r="G709" s="30" t="n">
        <v>42829</v>
      </c>
      <c r="H709" s="26" t="n">
        <f aca="false">G709-F709</f>
        <v>3</v>
      </c>
      <c r="I709" s="10" t="n">
        <f aca="false">IF(E709="Won",1,0)</f>
        <v>0</v>
      </c>
    </row>
    <row r="710" customFormat="false" ht="15" hidden="false" customHeight="false" outlineLevel="0" collapsed="false">
      <c r="A710" s="10" t="s">
        <v>3051</v>
      </c>
      <c r="B710" s="10" t="s">
        <v>66</v>
      </c>
      <c r="C710" s="10" t="s">
        <v>46</v>
      </c>
      <c r="D710" s="10" t="s">
        <v>172</v>
      </c>
      <c r="E710" s="10" t="s">
        <v>2345</v>
      </c>
      <c r="F710" s="30" t="n">
        <v>42824</v>
      </c>
      <c r="G710" s="30" t="n">
        <v>42829</v>
      </c>
      <c r="H710" s="26" t="n">
        <f aca="false">G710-F710</f>
        <v>5</v>
      </c>
      <c r="I710" s="10" t="n">
        <f aca="false">IF(E710="Won",1,0)</f>
        <v>0</v>
      </c>
    </row>
    <row r="711" customFormat="false" ht="15" hidden="false" customHeight="false" outlineLevel="0" collapsed="false">
      <c r="A711" s="10" t="s">
        <v>3052</v>
      </c>
      <c r="B711" s="10" t="s">
        <v>96</v>
      </c>
      <c r="C711" s="10" t="s">
        <v>51</v>
      </c>
      <c r="D711" s="10" t="s">
        <v>483</v>
      </c>
      <c r="E711" s="10" t="s">
        <v>2345</v>
      </c>
      <c r="F711" s="30" t="n">
        <v>42822</v>
      </c>
      <c r="G711" s="30" t="n">
        <v>42829</v>
      </c>
      <c r="H711" s="26" t="n">
        <f aca="false">G711-F711</f>
        <v>7</v>
      </c>
      <c r="I711" s="10" t="n">
        <f aca="false">IF(E711="Won",1,0)</f>
        <v>0</v>
      </c>
    </row>
    <row r="712" customFormat="false" ht="15" hidden="false" customHeight="false" outlineLevel="0" collapsed="false">
      <c r="A712" s="10" t="s">
        <v>3053</v>
      </c>
      <c r="B712" s="10" t="s">
        <v>96</v>
      </c>
      <c r="C712" s="10" t="s">
        <v>48</v>
      </c>
      <c r="D712" s="10" t="s">
        <v>286</v>
      </c>
      <c r="E712" s="10" t="s">
        <v>2345</v>
      </c>
      <c r="F712" s="30" t="n">
        <v>42823</v>
      </c>
      <c r="G712" s="30" t="n">
        <v>42829</v>
      </c>
      <c r="H712" s="26" t="n">
        <f aca="false">G712-F712</f>
        <v>6</v>
      </c>
      <c r="I712" s="10" t="n">
        <f aca="false">IF(E712="Won",1,0)</f>
        <v>0</v>
      </c>
    </row>
    <row r="713" customFormat="false" ht="15" hidden="false" customHeight="false" outlineLevel="0" collapsed="false">
      <c r="A713" s="10" t="s">
        <v>3054</v>
      </c>
      <c r="B713" s="10" t="s">
        <v>93</v>
      </c>
      <c r="C713" s="10" t="s">
        <v>51</v>
      </c>
      <c r="D713" s="10" t="s">
        <v>172</v>
      </c>
      <c r="E713" s="10" t="s">
        <v>2345</v>
      </c>
      <c r="F713" s="30" t="n">
        <v>42828</v>
      </c>
      <c r="G713" s="30" t="n">
        <v>42829</v>
      </c>
      <c r="H713" s="26" t="n">
        <f aca="false">G713-F713</f>
        <v>1</v>
      </c>
      <c r="I713" s="10" t="n">
        <f aca="false">IF(E713="Won",1,0)</f>
        <v>0</v>
      </c>
    </row>
    <row r="714" customFormat="false" ht="15" hidden="false" customHeight="false" outlineLevel="0" collapsed="false">
      <c r="A714" s="10" t="s">
        <v>3055</v>
      </c>
      <c r="B714" s="10" t="s">
        <v>79</v>
      </c>
      <c r="C714" s="10" t="s">
        <v>48</v>
      </c>
      <c r="D714" s="10" t="s">
        <v>697</v>
      </c>
      <c r="E714" s="10" t="s">
        <v>2342</v>
      </c>
      <c r="F714" s="30" t="n">
        <v>42828</v>
      </c>
      <c r="G714" s="30" t="n">
        <v>42829</v>
      </c>
      <c r="H714" s="26" t="n">
        <f aca="false">G714-F714</f>
        <v>1</v>
      </c>
      <c r="I714" s="10" t="n">
        <f aca="false">IF(E714="Won",1,0)</f>
        <v>1</v>
      </c>
    </row>
    <row r="715" customFormat="false" ht="15" hidden="false" customHeight="false" outlineLevel="0" collapsed="false">
      <c r="A715" s="10" t="s">
        <v>3056</v>
      </c>
      <c r="B715" s="10" t="s">
        <v>70</v>
      </c>
      <c r="C715" s="10" t="s">
        <v>51</v>
      </c>
      <c r="D715" s="10" t="s">
        <v>233</v>
      </c>
      <c r="E715" s="10" t="s">
        <v>2345</v>
      </c>
      <c r="F715" s="30" t="n">
        <v>42819</v>
      </c>
      <c r="G715" s="30" t="n">
        <v>42829</v>
      </c>
      <c r="H715" s="26" t="n">
        <f aca="false">G715-F715</f>
        <v>10</v>
      </c>
      <c r="I715" s="10" t="n">
        <f aca="false">IF(E715="Won",1,0)</f>
        <v>0</v>
      </c>
    </row>
    <row r="716" customFormat="false" ht="15" hidden="false" customHeight="false" outlineLevel="0" collapsed="false">
      <c r="A716" s="10" t="s">
        <v>3057</v>
      </c>
      <c r="B716" s="10" t="s">
        <v>71</v>
      </c>
      <c r="C716" s="10" t="s">
        <v>52</v>
      </c>
      <c r="D716" s="10" t="s">
        <v>762</v>
      </c>
      <c r="E716" s="10" t="s">
        <v>2345</v>
      </c>
      <c r="F716" s="30" t="n">
        <v>42820</v>
      </c>
      <c r="G716" s="30" t="n">
        <v>42829</v>
      </c>
      <c r="H716" s="26" t="n">
        <f aca="false">G716-F716</f>
        <v>9</v>
      </c>
      <c r="I716" s="10" t="n">
        <f aca="false">IF(E716="Won",1,0)</f>
        <v>0</v>
      </c>
    </row>
    <row r="717" customFormat="false" ht="15" hidden="false" customHeight="false" outlineLevel="0" collapsed="false">
      <c r="A717" s="10" t="s">
        <v>3058</v>
      </c>
      <c r="B717" s="10" t="s">
        <v>71</v>
      </c>
      <c r="C717" s="10" t="s">
        <v>52</v>
      </c>
      <c r="D717" s="10" t="s">
        <v>512</v>
      </c>
      <c r="E717" s="10" t="s">
        <v>2342</v>
      </c>
      <c r="F717" s="30" t="n">
        <v>42820</v>
      </c>
      <c r="G717" s="30" t="n">
        <v>42829</v>
      </c>
      <c r="H717" s="26" t="n">
        <f aca="false">G717-F717</f>
        <v>9</v>
      </c>
      <c r="I717" s="10" t="n">
        <f aca="false">IF(E717="Won",1,0)</f>
        <v>1</v>
      </c>
    </row>
    <row r="718" customFormat="false" ht="15" hidden="false" customHeight="false" outlineLevel="0" collapsed="false">
      <c r="A718" s="10" t="s">
        <v>3059</v>
      </c>
      <c r="B718" s="10" t="s">
        <v>71</v>
      </c>
      <c r="C718" s="10" t="s">
        <v>49</v>
      </c>
      <c r="D718" s="10" t="s">
        <v>961</v>
      </c>
      <c r="E718" s="10" t="s">
        <v>2342</v>
      </c>
      <c r="F718" s="30" t="n">
        <v>42818</v>
      </c>
      <c r="G718" s="30" t="n">
        <v>42829</v>
      </c>
      <c r="H718" s="26" t="n">
        <f aca="false">G718-F718</f>
        <v>11</v>
      </c>
      <c r="I718" s="10" t="n">
        <f aca="false">IF(E718="Won",1,0)</f>
        <v>1</v>
      </c>
    </row>
    <row r="719" customFormat="false" ht="15" hidden="false" customHeight="false" outlineLevel="0" collapsed="false">
      <c r="A719" s="10" t="s">
        <v>3060</v>
      </c>
      <c r="B719" s="10" t="s">
        <v>77</v>
      </c>
      <c r="C719" s="10" t="s">
        <v>48</v>
      </c>
      <c r="D719" s="10" t="s">
        <v>311</v>
      </c>
      <c r="E719" s="10" t="s">
        <v>2342</v>
      </c>
      <c r="F719" s="30" t="n">
        <v>42820</v>
      </c>
      <c r="G719" s="30" t="n">
        <v>42829</v>
      </c>
      <c r="H719" s="26" t="n">
        <f aca="false">G719-F719</f>
        <v>9</v>
      </c>
      <c r="I719" s="10" t="n">
        <f aca="false">IF(E719="Won",1,0)</f>
        <v>1</v>
      </c>
    </row>
    <row r="720" customFormat="false" ht="15" hidden="false" customHeight="false" outlineLevel="0" collapsed="false">
      <c r="A720" s="10" t="s">
        <v>3061</v>
      </c>
      <c r="B720" s="10" t="s">
        <v>67</v>
      </c>
      <c r="C720" s="10" t="s">
        <v>52</v>
      </c>
      <c r="D720" s="10" t="s">
        <v>986</v>
      </c>
      <c r="E720" s="10" t="s">
        <v>2342</v>
      </c>
      <c r="F720" s="30" t="n">
        <v>42820</v>
      </c>
      <c r="G720" s="30" t="n">
        <v>42829</v>
      </c>
      <c r="H720" s="26" t="n">
        <f aca="false">G720-F720</f>
        <v>9</v>
      </c>
      <c r="I720" s="10" t="n">
        <f aca="false">IF(E720="Won",1,0)</f>
        <v>1</v>
      </c>
    </row>
    <row r="721" customFormat="false" ht="15" hidden="false" customHeight="false" outlineLevel="0" collapsed="false">
      <c r="A721" s="10" t="s">
        <v>3062</v>
      </c>
      <c r="B721" s="10" t="s">
        <v>97</v>
      </c>
      <c r="C721" s="10" t="s">
        <v>51</v>
      </c>
      <c r="D721" s="10" t="s">
        <v>172</v>
      </c>
      <c r="E721" s="10" t="s">
        <v>2345</v>
      </c>
      <c r="F721" s="30" t="n">
        <v>42820</v>
      </c>
      <c r="G721" s="30" t="n">
        <v>42829</v>
      </c>
      <c r="H721" s="26" t="n">
        <f aca="false">G721-F721</f>
        <v>9</v>
      </c>
      <c r="I721" s="10" t="n">
        <f aca="false">IF(E721="Won",1,0)</f>
        <v>0</v>
      </c>
    </row>
    <row r="722" customFormat="false" ht="15" hidden="false" customHeight="false" outlineLevel="0" collapsed="false">
      <c r="A722" s="10" t="s">
        <v>3063</v>
      </c>
      <c r="B722" s="10" t="s">
        <v>79</v>
      </c>
      <c r="C722" s="10" t="s">
        <v>51</v>
      </c>
      <c r="D722" s="10" t="s">
        <v>947</v>
      </c>
      <c r="E722" s="10" t="s">
        <v>2342</v>
      </c>
      <c r="F722" s="30" t="n">
        <v>42828</v>
      </c>
      <c r="G722" s="30" t="n">
        <v>42830</v>
      </c>
      <c r="H722" s="26" t="n">
        <f aca="false">G722-F722</f>
        <v>2</v>
      </c>
      <c r="I722" s="10" t="n">
        <f aca="false">IF(E722="Won",1,0)</f>
        <v>1</v>
      </c>
    </row>
    <row r="723" customFormat="false" ht="15" hidden="false" customHeight="false" outlineLevel="0" collapsed="false">
      <c r="A723" s="10" t="s">
        <v>3064</v>
      </c>
      <c r="B723" s="10" t="s">
        <v>63</v>
      </c>
      <c r="C723" s="10" t="s">
        <v>52</v>
      </c>
      <c r="D723" s="10" t="s">
        <v>274</v>
      </c>
      <c r="E723" s="10" t="s">
        <v>2345</v>
      </c>
      <c r="F723" s="30" t="n">
        <v>42828</v>
      </c>
      <c r="G723" s="30" t="n">
        <v>42830</v>
      </c>
      <c r="H723" s="26" t="n">
        <f aca="false">G723-F723</f>
        <v>2</v>
      </c>
      <c r="I723" s="10" t="n">
        <f aca="false">IF(E723="Won",1,0)</f>
        <v>0</v>
      </c>
    </row>
    <row r="724" customFormat="false" ht="15" hidden="false" customHeight="false" outlineLevel="0" collapsed="false">
      <c r="A724" s="10" t="s">
        <v>3065</v>
      </c>
      <c r="B724" s="10" t="s">
        <v>69</v>
      </c>
      <c r="C724" s="10" t="s">
        <v>51</v>
      </c>
      <c r="D724" s="10" t="s">
        <v>337</v>
      </c>
      <c r="E724" s="10" t="s">
        <v>2345</v>
      </c>
      <c r="F724" s="30" t="n">
        <v>42825</v>
      </c>
      <c r="G724" s="30" t="n">
        <v>42830</v>
      </c>
      <c r="H724" s="26" t="n">
        <f aca="false">G724-F724</f>
        <v>5</v>
      </c>
      <c r="I724" s="10" t="n">
        <f aca="false">IF(E724="Won",1,0)</f>
        <v>0</v>
      </c>
    </row>
    <row r="725" customFormat="false" ht="15" hidden="false" customHeight="false" outlineLevel="0" collapsed="false">
      <c r="A725" s="10" t="s">
        <v>3066</v>
      </c>
      <c r="B725" s="10" t="s">
        <v>87</v>
      </c>
      <c r="C725" s="10" t="s">
        <v>50</v>
      </c>
      <c r="D725" s="10" t="s">
        <v>277</v>
      </c>
      <c r="E725" s="10" t="s">
        <v>2342</v>
      </c>
      <c r="F725" s="30" t="n">
        <v>42820</v>
      </c>
      <c r="G725" s="30" t="n">
        <v>42830</v>
      </c>
      <c r="H725" s="26" t="n">
        <f aca="false">G725-F725</f>
        <v>10</v>
      </c>
      <c r="I725" s="10" t="n">
        <f aca="false">IF(E725="Won",1,0)</f>
        <v>1</v>
      </c>
    </row>
    <row r="726" customFormat="false" ht="15" hidden="false" customHeight="false" outlineLevel="0" collapsed="false">
      <c r="A726" s="10" t="s">
        <v>3067</v>
      </c>
      <c r="B726" s="10" t="s">
        <v>87</v>
      </c>
      <c r="C726" s="10" t="s">
        <v>47</v>
      </c>
      <c r="D726" s="10" t="s">
        <v>254</v>
      </c>
      <c r="E726" s="10" t="s">
        <v>2342</v>
      </c>
      <c r="F726" s="30" t="n">
        <v>42820</v>
      </c>
      <c r="G726" s="30" t="n">
        <v>42830</v>
      </c>
      <c r="H726" s="26" t="n">
        <f aca="false">G726-F726</f>
        <v>10</v>
      </c>
      <c r="I726" s="10" t="n">
        <f aca="false">IF(E726="Won",1,0)</f>
        <v>1</v>
      </c>
    </row>
    <row r="727" customFormat="false" ht="15" hidden="false" customHeight="false" outlineLevel="0" collapsed="false">
      <c r="A727" s="10" t="s">
        <v>3068</v>
      </c>
      <c r="B727" s="10" t="s">
        <v>74</v>
      </c>
      <c r="C727" s="10" t="s">
        <v>52</v>
      </c>
      <c r="D727" s="10" t="s">
        <v>210</v>
      </c>
      <c r="E727" s="10" t="s">
        <v>2345</v>
      </c>
      <c r="F727" s="30" t="n">
        <v>42817</v>
      </c>
      <c r="G727" s="30" t="n">
        <v>42830</v>
      </c>
      <c r="H727" s="26" t="n">
        <f aca="false">G727-F727</f>
        <v>13</v>
      </c>
      <c r="I727" s="10" t="n">
        <f aca="false">IF(E727="Won",1,0)</f>
        <v>0</v>
      </c>
    </row>
    <row r="728" customFormat="false" ht="15" hidden="false" customHeight="false" outlineLevel="0" collapsed="false">
      <c r="A728" s="10" t="s">
        <v>3069</v>
      </c>
      <c r="B728" s="10" t="s">
        <v>69</v>
      </c>
      <c r="C728" s="10" t="s">
        <v>46</v>
      </c>
      <c r="D728" s="10" t="s">
        <v>326</v>
      </c>
      <c r="E728" s="10" t="s">
        <v>2342</v>
      </c>
      <c r="F728" s="30" t="n">
        <v>42820</v>
      </c>
      <c r="G728" s="30" t="n">
        <v>42830</v>
      </c>
      <c r="H728" s="26" t="n">
        <f aca="false">G728-F728</f>
        <v>10</v>
      </c>
      <c r="I728" s="10" t="n">
        <f aca="false">IF(E728="Won",1,0)</f>
        <v>1</v>
      </c>
    </row>
    <row r="729" customFormat="false" ht="15" hidden="false" customHeight="false" outlineLevel="0" collapsed="false">
      <c r="A729" s="10" t="s">
        <v>3070</v>
      </c>
      <c r="B729" s="10" t="s">
        <v>90</v>
      </c>
      <c r="C729" s="10" t="s">
        <v>48</v>
      </c>
      <c r="D729" s="10" t="s">
        <v>359</v>
      </c>
      <c r="E729" s="10" t="s">
        <v>2345</v>
      </c>
      <c r="F729" s="30" t="n">
        <v>42819</v>
      </c>
      <c r="G729" s="30" t="n">
        <v>42830</v>
      </c>
      <c r="H729" s="26" t="n">
        <f aca="false">G729-F729</f>
        <v>11</v>
      </c>
      <c r="I729" s="10" t="n">
        <f aca="false">IF(E729="Won",1,0)</f>
        <v>0</v>
      </c>
    </row>
    <row r="730" customFormat="false" ht="15" hidden="false" customHeight="false" outlineLevel="0" collapsed="false">
      <c r="A730" s="10" t="s">
        <v>3071</v>
      </c>
      <c r="B730" s="10" t="s">
        <v>90</v>
      </c>
      <c r="C730" s="10" t="s">
        <v>48</v>
      </c>
      <c r="D730" s="10" t="s">
        <v>1397</v>
      </c>
      <c r="E730" s="10" t="s">
        <v>2345</v>
      </c>
      <c r="F730" s="30" t="n">
        <v>42828</v>
      </c>
      <c r="G730" s="30" t="n">
        <v>42830</v>
      </c>
      <c r="H730" s="26" t="n">
        <f aca="false">G730-F730</f>
        <v>2</v>
      </c>
      <c r="I730" s="10" t="n">
        <f aca="false">IF(E730="Won",1,0)</f>
        <v>0</v>
      </c>
    </row>
    <row r="731" customFormat="false" ht="15" hidden="false" customHeight="false" outlineLevel="0" collapsed="false">
      <c r="A731" s="10" t="s">
        <v>3072</v>
      </c>
      <c r="B731" s="10" t="s">
        <v>83</v>
      </c>
      <c r="C731" s="10" t="s">
        <v>47</v>
      </c>
      <c r="D731" s="10" t="s">
        <v>762</v>
      </c>
      <c r="E731" s="10" t="s">
        <v>2342</v>
      </c>
      <c r="F731" s="30" t="n">
        <v>42822</v>
      </c>
      <c r="G731" s="30" t="n">
        <v>42830</v>
      </c>
      <c r="H731" s="26" t="n">
        <f aca="false">G731-F731</f>
        <v>8</v>
      </c>
      <c r="I731" s="10" t="n">
        <f aca="false">IF(E731="Won",1,0)</f>
        <v>1</v>
      </c>
    </row>
    <row r="732" customFormat="false" ht="15" hidden="false" customHeight="false" outlineLevel="0" collapsed="false">
      <c r="A732" s="10" t="s">
        <v>3073</v>
      </c>
      <c r="B732" s="10" t="s">
        <v>90</v>
      </c>
      <c r="C732" s="10" t="s">
        <v>48</v>
      </c>
      <c r="D732" s="10" t="s">
        <v>692</v>
      </c>
      <c r="E732" s="10" t="s">
        <v>2342</v>
      </c>
      <c r="F732" s="30" t="n">
        <v>42821</v>
      </c>
      <c r="G732" s="30" t="n">
        <v>42830</v>
      </c>
      <c r="H732" s="26" t="n">
        <f aca="false">G732-F732</f>
        <v>9</v>
      </c>
      <c r="I732" s="10" t="n">
        <f aca="false">IF(E732="Won",1,0)</f>
        <v>1</v>
      </c>
    </row>
    <row r="733" customFormat="false" ht="15" hidden="false" customHeight="false" outlineLevel="0" collapsed="false">
      <c r="A733" s="10" t="s">
        <v>3074</v>
      </c>
      <c r="B733" s="10" t="s">
        <v>80</v>
      </c>
      <c r="C733" s="10" t="s">
        <v>51</v>
      </c>
      <c r="D733" s="10" t="s">
        <v>483</v>
      </c>
      <c r="E733" s="10" t="s">
        <v>2342</v>
      </c>
      <c r="F733" s="30" t="n">
        <v>42823</v>
      </c>
      <c r="G733" s="30" t="n">
        <v>42830</v>
      </c>
      <c r="H733" s="26" t="n">
        <f aca="false">G733-F733</f>
        <v>7</v>
      </c>
      <c r="I733" s="10" t="n">
        <f aca="false">IF(E733="Won",1,0)</f>
        <v>1</v>
      </c>
    </row>
    <row r="734" customFormat="false" ht="15" hidden="false" customHeight="false" outlineLevel="0" collapsed="false">
      <c r="A734" s="10" t="s">
        <v>3075</v>
      </c>
      <c r="B734" s="10" t="s">
        <v>77</v>
      </c>
      <c r="C734" s="10" t="s">
        <v>48</v>
      </c>
      <c r="D734" s="10" t="s">
        <v>410</v>
      </c>
      <c r="E734" s="10" t="s">
        <v>2345</v>
      </c>
      <c r="F734" s="30" t="n">
        <v>42821</v>
      </c>
      <c r="G734" s="30" t="n">
        <v>42830</v>
      </c>
      <c r="H734" s="26" t="n">
        <f aca="false">G734-F734</f>
        <v>9</v>
      </c>
      <c r="I734" s="10" t="n">
        <f aca="false">IF(E734="Won",1,0)</f>
        <v>0</v>
      </c>
    </row>
    <row r="735" customFormat="false" ht="15" hidden="false" customHeight="false" outlineLevel="0" collapsed="false">
      <c r="A735" s="10" t="s">
        <v>3076</v>
      </c>
      <c r="B735" s="10" t="s">
        <v>79</v>
      </c>
      <c r="C735" s="10" t="s">
        <v>49</v>
      </c>
      <c r="D735" s="10" t="s">
        <v>311</v>
      </c>
      <c r="E735" s="10" t="s">
        <v>2345</v>
      </c>
      <c r="F735" s="30" t="n">
        <v>42823</v>
      </c>
      <c r="G735" s="30" t="n">
        <v>42830</v>
      </c>
      <c r="H735" s="26" t="n">
        <f aca="false">G735-F735</f>
        <v>7</v>
      </c>
      <c r="I735" s="10" t="n">
        <f aca="false">IF(E735="Won",1,0)</f>
        <v>0</v>
      </c>
    </row>
    <row r="736" customFormat="false" ht="15" hidden="false" customHeight="false" outlineLevel="0" collapsed="false">
      <c r="A736" s="10" t="s">
        <v>3077</v>
      </c>
      <c r="B736" s="10" t="s">
        <v>76</v>
      </c>
      <c r="C736" s="10" t="s">
        <v>52</v>
      </c>
      <c r="D736" s="10" t="s">
        <v>697</v>
      </c>
      <c r="E736" s="10" t="s">
        <v>2342</v>
      </c>
      <c r="F736" s="30" t="n">
        <v>42829</v>
      </c>
      <c r="G736" s="30" t="n">
        <v>42831</v>
      </c>
      <c r="H736" s="26" t="n">
        <f aca="false">G736-F736</f>
        <v>2</v>
      </c>
      <c r="I736" s="10" t="n">
        <f aca="false">IF(E736="Won",1,0)</f>
        <v>1</v>
      </c>
    </row>
    <row r="737" customFormat="false" ht="15" hidden="false" customHeight="false" outlineLevel="0" collapsed="false">
      <c r="A737" s="10" t="s">
        <v>3078</v>
      </c>
      <c r="B737" s="10" t="s">
        <v>62</v>
      </c>
      <c r="C737" s="10" t="s">
        <v>52</v>
      </c>
      <c r="D737" s="10" t="s">
        <v>1397</v>
      </c>
      <c r="E737" s="10" t="s">
        <v>2345</v>
      </c>
      <c r="F737" s="30" t="n">
        <v>42818</v>
      </c>
      <c r="G737" s="30" t="n">
        <v>42831</v>
      </c>
      <c r="H737" s="26" t="n">
        <f aca="false">G737-F737</f>
        <v>13</v>
      </c>
      <c r="I737" s="10" t="n">
        <f aca="false">IF(E737="Won",1,0)</f>
        <v>0</v>
      </c>
    </row>
    <row r="738" customFormat="false" ht="15" hidden="false" customHeight="false" outlineLevel="0" collapsed="false">
      <c r="A738" s="10" t="s">
        <v>3079</v>
      </c>
      <c r="B738" s="10" t="s">
        <v>68</v>
      </c>
      <c r="C738" s="10" t="s">
        <v>49</v>
      </c>
      <c r="D738" s="10" t="s">
        <v>233</v>
      </c>
      <c r="E738" s="10" t="s">
        <v>2342</v>
      </c>
      <c r="F738" s="30" t="n">
        <v>42819</v>
      </c>
      <c r="G738" s="30" t="n">
        <v>42831</v>
      </c>
      <c r="H738" s="26" t="n">
        <f aca="false">G738-F738</f>
        <v>12</v>
      </c>
      <c r="I738" s="10" t="n">
        <f aca="false">IF(E738="Won",1,0)</f>
        <v>1</v>
      </c>
    </row>
    <row r="739" customFormat="false" ht="15" hidden="false" customHeight="false" outlineLevel="0" collapsed="false">
      <c r="A739" s="10" t="s">
        <v>3080</v>
      </c>
      <c r="B739" s="10" t="s">
        <v>97</v>
      </c>
      <c r="C739" s="10" t="s">
        <v>51</v>
      </c>
      <c r="D739" s="10" t="s">
        <v>344</v>
      </c>
      <c r="E739" s="10" t="s">
        <v>2342</v>
      </c>
      <c r="F739" s="30" t="n">
        <v>42825</v>
      </c>
      <c r="G739" s="30" t="n">
        <v>42831</v>
      </c>
      <c r="H739" s="26" t="n">
        <f aca="false">G739-F739</f>
        <v>6</v>
      </c>
      <c r="I739" s="10" t="n">
        <f aca="false">IF(E739="Won",1,0)</f>
        <v>1</v>
      </c>
    </row>
    <row r="740" customFormat="false" ht="15" hidden="false" customHeight="false" outlineLevel="0" collapsed="false">
      <c r="A740" s="10" t="s">
        <v>3081</v>
      </c>
      <c r="B740" s="10" t="s">
        <v>77</v>
      </c>
      <c r="C740" s="10" t="s">
        <v>48</v>
      </c>
      <c r="D740" s="10" t="s">
        <v>193</v>
      </c>
      <c r="E740" s="10" t="s">
        <v>2342</v>
      </c>
      <c r="F740" s="30" t="n">
        <v>42830</v>
      </c>
      <c r="G740" s="30" t="n">
        <v>42831</v>
      </c>
      <c r="H740" s="26" t="n">
        <f aca="false">G740-F740</f>
        <v>1</v>
      </c>
      <c r="I740" s="10" t="n">
        <f aca="false">IF(E740="Won",1,0)</f>
        <v>1</v>
      </c>
    </row>
    <row r="741" customFormat="false" ht="15" hidden="false" customHeight="false" outlineLevel="0" collapsed="false">
      <c r="A741" s="10" t="s">
        <v>3082</v>
      </c>
      <c r="B741" s="10" t="s">
        <v>80</v>
      </c>
      <c r="C741" s="10" t="s">
        <v>47</v>
      </c>
      <c r="D741" s="10" t="s">
        <v>369</v>
      </c>
      <c r="E741" s="10" t="s">
        <v>2345</v>
      </c>
      <c r="F741" s="30" t="n">
        <v>42829</v>
      </c>
      <c r="G741" s="30" t="n">
        <v>42831</v>
      </c>
      <c r="H741" s="26" t="n">
        <f aca="false">G741-F741</f>
        <v>2</v>
      </c>
      <c r="I741" s="10" t="n">
        <f aca="false">IF(E741="Won",1,0)</f>
        <v>0</v>
      </c>
    </row>
    <row r="742" customFormat="false" ht="15" hidden="false" customHeight="false" outlineLevel="0" collapsed="false">
      <c r="A742" s="10" t="s">
        <v>3083</v>
      </c>
      <c r="B742" s="10" t="s">
        <v>73</v>
      </c>
      <c r="C742" s="10" t="s">
        <v>51</v>
      </c>
      <c r="D742" s="10" t="s">
        <v>483</v>
      </c>
      <c r="E742" s="10" t="s">
        <v>2345</v>
      </c>
      <c r="F742" s="30" t="n">
        <v>42822</v>
      </c>
      <c r="G742" s="30" t="n">
        <v>42831</v>
      </c>
      <c r="H742" s="26" t="n">
        <f aca="false">G742-F742</f>
        <v>9</v>
      </c>
      <c r="I742" s="10" t="n">
        <f aca="false">IF(E742="Won",1,0)</f>
        <v>0</v>
      </c>
    </row>
    <row r="743" customFormat="false" ht="15" hidden="false" customHeight="false" outlineLevel="0" collapsed="false">
      <c r="A743" s="10" t="s">
        <v>3084</v>
      </c>
      <c r="B743" s="10" t="s">
        <v>71</v>
      </c>
      <c r="C743" s="10" t="s">
        <v>50</v>
      </c>
      <c r="D743" s="10" t="s">
        <v>353</v>
      </c>
      <c r="E743" s="10" t="s">
        <v>2345</v>
      </c>
      <c r="F743" s="30" t="n">
        <v>42830</v>
      </c>
      <c r="G743" s="30" t="n">
        <v>42831</v>
      </c>
      <c r="H743" s="26" t="n">
        <f aca="false">G743-F743</f>
        <v>1</v>
      </c>
      <c r="I743" s="10" t="n">
        <f aca="false">IF(E743="Won",1,0)</f>
        <v>0</v>
      </c>
    </row>
    <row r="744" customFormat="false" ht="15" hidden="false" customHeight="false" outlineLevel="0" collapsed="false">
      <c r="A744" s="10" t="s">
        <v>3085</v>
      </c>
      <c r="B744" s="10" t="s">
        <v>68</v>
      </c>
      <c r="C744" s="10" t="s">
        <v>49</v>
      </c>
      <c r="D744" s="10" t="s">
        <v>337</v>
      </c>
      <c r="E744" s="10" t="s">
        <v>2342</v>
      </c>
      <c r="F744" s="30" t="n">
        <v>42826</v>
      </c>
      <c r="G744" s="30" t="n">
        <v>42831</v>
      </c>
      <c r="H744" s="26" t="n">
        <f aca="false">G744-F744</f>
        <v>5</v>
      </c>
      <c r="I744" s="10" t="n">
        <f aca="false">IF(E744="Won",1,0)</f>
        <v>1</v>
      </c>
    </row>
    <row r="745" customFormat="false" ht="15" hidden="false" customHeight="false" outlineLevel="0" collapsed="false">
      <c r="A745" s="10" t="s">
        <v>3086</v>
      </c>
      <c r="B745" s="10" t="s">
        <v>77</v>
      </c>
      <c r="C745" s="10" t="s">
        <v>47</v>
      </c>
      <c r="D745" s="10" t="s">
        <v>193</v>
      </c>
      <c r="E745" s="10" t="s">
        <v>2345</v>
      </c>
      <c r="F745" s="30" t="n">
        <v>42823</v>
      </c>
      <c r="G745" s="30" t="n">
        <v>42831</v>
      </c>
      <c r="H745" s="26" t="n">
        <f aca="false">G745-F745</f>
        <v>8</v>
      </c>
      <c r="I745" s="10" t="n">
        <f aca="false">IF(E745="Won",1,0)</f>
        <v>0</v>
      </c>
    </row>
    <row r="746" customFormat="false" ht="15" hidden="false" customHeight="false" outlineLevel="0" collapsed="false">
      <c r="A746" s="10" t="s">
        <v>3087</v>
      </c>
      <c r="B746" s="10" t="s">
        <v>75</v>
      </c>
      <c r="C746" s="10" t="s">
        <v>49</v>
      </c>
      <c r="D746" s="10" t="s">
        <v>422</v>
      </c>
      <c r="E746" s="10" t="s">
        <v>2345</v>
      </c>
      <c r="F746" s="30" t="n">
        <v>42826</v>
      </c>
      <c r="G746" s="30" t="n">
        <v>42831</v>
      </c>
      <c r="H746" s="26" t="n">
        <f aca="false">G746-F746</f>
        <v>5</v>
      </c>
      <c r="I746" s="10" t="n">
        <f aca="false">IF(E746="Won",1,0)</f>
        <v>0</v>
      </c>
    </row>
    <row r="747" customFormat="false" ht="15" hidden="false" customHeight="false" outlineLevel="0" collapsed="false">
      <c r="A747" s="10" t="s">
        <v>3088</v>
      </c>
      <c r="B747" s="10" t="s">
        <v>80</v>
      </c>
      <c r="C747" s="10" t="s">
        <v>48</v>
      </c>
      <c r="D747" s="10" t="s">
        <v>179</v>
      </c>
      <c r="E747" s="10" t="s">
        <v>2342</v>
      </c>
      <c r="F747" s="30" t="n">
        <v>42829</v>
      </c>
      <c r="G747" s="30" t="n">
        <v>42831</v>
      </c>
      <c r="H747" s="26" t="n">
        <f aca="false">G747-F747</f>
        <v>2</v>
      </c>
      <c r="I747" s="10" t="n">
        <f aca="false">IF(E747="Won",1,0)</f>
        <v>1</v>
      </c>
    </row>
    <row r="748" customFormat="false" ht="15" hidden="false" customHeight="false" outlineLevel="0" collapsed="false">
      <c r="A748" s="10" t="s">
        <v>3089</v>
      </c>
      <c r="B748" s="10" t="s">
        <v>94</v>
      </c>
      <c r="C748" s="10" t="s">
        <v>48</v>
      </c>
      <c r="D748" s="10" t="s">
        <v>396</v>
      </c>
      <c r="E748" s="10" t="s">
        <v>2342</v>
      </c>
      <c r="F748" s="30" t="n">
        <v>42829</v>
      </c>
      <c r="G748" s="30" t="n">
        <v>42831</v>
      </c>
      <c r="H748" s="26" t="n">
        <f aca="false">G748-F748</f>
        <v>2</v>
      </c>
      <c r="I748" s="10" t="n">
        <f aca="false">IF(E748="Won",1,0)</f>
        <v>1</v>
      </c>
    </row>
    <row r="749" customFormat="false" ht="15" hidden="false" customHeight="false" outlineLevel="0" collapsed="false">
      <c r="A749" s="10" t="s">
        <v>3090</v>
      </c>
      <c r="B749" s="10" t="s">
        <v>81</v>
      </c>
      <c r="C749" s="10" t="s">
        <v>48</v>
      </c>
      <c r="D749" s="10" t="s">
        <v>869</v>
      </c>
      <c r="E749" s="10" t="s">
        <v>2345</v>
      </c>
      <c r="F749" s="30" t="n">
        <v>42824</v>
      </c>
      <c r="G749" s="30" t="n">
        <v>42831</v>
      </c>
      <c r="H749" s="26" t="n">
        <f aca="false">G749-F749</f>
        <v>7</v>
      </c>
      <c r="I749" s="10" t="n">
        <f aca="false">IF(E749="Won",1,0)</f>
        <v>0</v>
      </c>
    </row>
    <row r="750" customFormat="false" ht="15" hidden="false" customHeight="false" outlineLevel="0" collapsed="false">
      <c r="A750" s="10" t="s">
        <v>3091</v>
      </c>
      <c r="B750" s="10" t="s">
        <v>95</v>
      </c>
      <c r="C750" s="10" t="s">
        <v>51</v>
      </c>
      <c r="D750" s="10" t="s">
        <v>199</v>
      </c>
      <c r="E750" s="10" t="s">
        <v>2342</v>
      </c>
      <c r="F750" s="30" t="n">
        <v>42830</v>
      </c>
      <c r="G750" s="30" t="n">
        <v>42831</v>
      </c>
      <c r="H750" s="26" t="n">
        <f aca="false">G750-F750</f>
        <v>1</v>
      </c>
      <c r="I750" s="10" t="n">
        <f aca="false">IF(E750="Won",1,0)</f>
        <v>1</v>
      </c>
    </row>
    <row r="751" customFormat="false" ht="15" hidden="false" customHeight="false" outlineLevel="0" collapsed="false">
      <c r="A751" s="10" t="s">
        <v>3092</v>
      </c>
      <c r="B751" s="10" t="s">
        <v>77</v>
      </c>
      <c r="C751" s="10" t="s">
        <v>48</v>
      </c>
      <c r="D751" s="10" t="s">
        <v>512</v>
      </c>
      <c r="E751" s="10" t="s">
        <v>2345</v>
      </c>
      <c r="F751" s="30" t="n">
        <v>42822</v>
      </c>
      <c r="G751" s="30" t="n">
        <v>42831</v>
      </c>
      <c r="H751" s="26" t="n">
        <f aca="false">G751-F751</f>
        <v>9</v>
      </c>
      <c r="I751" s="10" t="n">
        <f aca="false">IF(E751="Won",1,0)</f>
        <v>0</v>
      </c>
    </row>
    <row r="752" customFormat="false" ht="15" hidden="false" customHeight="false" outlineLevel="0" collapsed="false">
      <c r="A752" s="10" t="s">
        <v>3093</v>
      </c>
      <c r="B752" s="10" t="s">
        <v>74</v>
      </c>
      <c r="C752" s="10" t="s">
        <v>51</v>
      </c>
      <c r="D752" s="10" t="s">
        <v>193</v>
      </c>
      <c r="E752" s="10" t="s">
        <v>2345</v>
      </c>
      <c r="F752" s="30" t="n">
        <v>42829</v>
      </c>
      <c r="G752" s="30" t="n">
        <v>42831</v>
      </c>
      <c r="H752" s="26" t="n">
        <f aca="false">G752-F752</f>
        <v>2</v>
      </c>
      <c r="I752" s="10" t="n">
        <f aca="false">IF(E752="Won",1,0)</f>
        <v>0</v>
      </c>
    </row>
    <row r="753" customFormat="false" ht="15" hidden="false" customHeight="false" outlineLevel="0" collapsed="false">
      <c r="A753" s="10" t="s">
        <v>3094</v>
      </c>
      <c r="B753" s="10" t="s">
        <v>90</v>
      </c>
      <c r="C753" s="10" t="s">
        <v>51</v>
      </c>
      <c r="D753" s="10" t="s">
        <v>464</v>
      </c>
      <c r="E753" s="10" t="s">
        <v>2345</v>
      </c>
      <c r="F753" s="30" t="n">
        <v>42830</v>
      </c>
      <c r="G753" s="30" t="n">
        <v>42831</v>
      </c>
      <c r="H753" s="26" t="n">
        <f aca="false">G753-F753</f>
        <v>1</v>
      </c>
      <c r="I753" s="10" t="n">
        <f aca="false">IF(E753="Won",1,0)</f>
        <v>0</v>
      </c>
    </row>
    <row r="754" customFormat="false" ht="15" hidden="false" customHeight="false" outlineLevel="0" collapsed="false">
      <c r="A754" s="10" t="s">
        <v>3095</v>
      </c>
      <c r="B754" s="10" t="s">
        <v>68</v>
      </c>
      <c r="C754" s="10" t="s">
        <v>49</v>
      </c>
      <c r="D754" s="10" t="s">
        <v>286</v>
      </c>
      <c r="E754" s="10" t="s">
        <v>2345</v>
      </c>
      <c r="F754" s="30" t="n">
        <v>42821</v>
      </c>
      <c r="G754" s="30" t="n">
        <v>42831</v>
      </c>
      <c r="H754" s="26" t="n">
        <f aca="false">G754-F754</f>
        <v>10</v>
      </c>
      <c r="I754" s="10" t="n">
        <f aca="false">IF(E754="Won",1,0)</f>
        <v>0</v>
      </c>
    </row>
    <row r="755" customFormat="false" ht="15" hidden="false" customHeight="false" outlineLevel="0" collapsed="false">
      <c r="A755" s="10" t="s">
        <v>3096</v>
      </c>
      <c r="B755" s="10" t="s">
        <v>70</v>
      </c>
      <c r="C755" s="10" t="s">
        <v>47</v>
      </c>
      <c r="D755" s="10" t="s">
        <v>227</v>
      </c>
      <c r="E755" s="10" t="s">
        <v>2345</v>
      </c>
      <c r="F755" s="30" t="n">
        <v>42823</v>
      </c>
      <c r="G755" s="30" t="n">
        <v>42831</v>
      </c>
      <c r="H755" s="26" t="n">
        <f aca="false">G755-F755</f>
        <v>8</v>
      </c>
      <c r="I755" s="10" t="n">
        <f aca="false">IF(E755="Won",1,0)</f>
        <v>0</v>
      </c>
    </row>
    <row r="756" customFormat="false" ht="15" hidden="false" customHeight="false" outlineLevel="0" collapsed="false">
      <c r="A756" s="10" t="s">
        <v>3097</v>
      </c>
      <c r="B756" s="10" t="s">
        <v>86</v>
      </c>
      <c r="C756" s="10" t="s">
        <v>48</v>
      </c>
      <c r="D756" s="10" t="s">
        <v>277</v>
      </c>
      <c r="E756" s="10" t="s">
        <v>2342</v>
      </c>
      <c r="F756" s="30" t="n">
        <v>42824</v>
      </c>
      <c r="G756" s="30" t="n">
        <v>42831</v>
      </c>
      <c r="H756" s="26" t="n">
        <f aca="false">G756-F756</f>
        <v>7</v>
      </c>
      <c r="I756" s="10" t="n">
        <f aca="false">IF(E756="Won",1,0)</f>
        <v>1</v>
      </c>
    </row>
    <row r="757" customFormat="false" ht="15" hidden="false" customHeight="false" outlineLevel="0" collapsed="false">
      <c r="A757" s="10" t="s">
        <v>3098</v>
      </c>
      <c r="B757" s="10" t="s">
        <v>70</v>
      </c>
      <c r="C757" s="10" t="s">
        <v>49</v>
      </c>
      <c r="D757" s="10" t="s">
        <v>175</v>
      </c>
      <c r="E757" s="10" t="s">
        <v>2342</v>
      </c>
      <c r="F757" s="30" t="n">
        <v>42824</v>
      </c>
      <c r="G757" s="30" t="n">
        <v>42831</v>
      </c>
      <c r="H757" s="26" t="n">
        <f aca="false">G757-F757</f>
        <v>7</v>
      </c>
      <c r="I757" s="10" t="n">
        <f aca="false">IF(E757="Won",1,0)</f>
        <v>1</v>
      </c>
    </row>
    <row r="758" customFormat="false" ht="15" hidden="false" customHeight="false" outlineLevel="0" collapsed="false">
      <c r="A758" s="10" t="s">
        <v>3099</v>
      </c>
      <c r="B758" s="10" t="s">
        <v>88</v>
      </c>
      <c r="C758" s="10" t="s">
        <v>51</v>
      </c>
      <c r="D758" s="10" t="s">
        <v>350</v>
      </c>
      <c r="E758" s="10" t="s">
        <v>2342</v>
      </c>
      <c r="F758" s="30" t="n">
        <v>42824</v>
      </c>
      <c r="G758" s="30" t="n">
        <v>42831</v>
      </c>
      <c r="H758" s="26" t="n">
        <f aca="false">G758-F758</f>
        <v>7</v>
      </c>
      <c r="I758" s="10" t="n">
        <f aca="false">IF(E758="Won",1,0)</f>
        <v>1</v>
      </c>
    </row>
    <row r="759" customFormat="false" ht="15" hidden="false" customHeight="false" outlineLevel="0" collapsed="false">
      <c r="A759" s="10" t="s">
        <v>3100</v>
      </c>
      <c r="B759" s="10" t="s">
        <v>74</v>
      </c>
      <c r="C759" s="10" t="s">
        <v>47</v>
      </c>
      <c r="D759" s="10" t="s">
        <v>483</v>
      </c>
      <c r="E759" s="10" t="s">
        <v>2342</v>
      </c>
      <c r="F759" s="30" t="n">
        <v>42824</v>
      </c>
      <c r="G759" s="30" t="n">
        <v>42832</v>
      </c>
      <c r="H759" s="26" t="n">
        <f aca="false">G759-F759</f>
        <v>8</v>
      </c>
      <c r="I759" s="10" t="n">
        <f aca="false">IF(E759="Won",1,0)</f>
        <v>1</v>
      </c>
    </row>
    <row r="760" customFormat="false" ht="15" hidden="false" customHeight="false" outlineLevel="0" collapsed="false">
      <c r="A760" s="10" t="s">
        <v>3101</v>
      </c>
      <c r="B760" s="10" t="s">
        <v>79</v>
      </c>
      <c r="C760" s="10" t="s">
        <v>49</v>
      </c>
      <c r="D760" s="10" t="s">
        <v>483</v>
      </c>
      <c r="E760" s="10" t="s">
        <v>2345</v>
      </c>
      <c r="F760" s="30" t="n">
        <v>42830</v>
      </c>
      <c r="G760" s="30" t="n">
        <v>42832</v>
      </c>
      <c r="H760" s="26" t="n">
        <f aca="false">G760-F760</f>
        <v>2</v>
      </c>
      <c r="I760" s="10" t="n">
        <f aca="false">IF(E760="Won",1,0)</f>
        <v>0</v>
      </c>
    </row>
    <row r="761" customFormat="false" ht="15" hidden="false" customHeight="false" outlineLevel="0" collapsed="false">
      <c r="A761" s="10" t="s">
        <v>3102</v>
      </c>
      <c r="B761" s="10" t="s">
        <v>86</v>
      </c>
      <c r="C761" s="10" t="s">
        <v>48</v>
      </c>
      <c r="D761" s="10" t="s">
        <v>293</v>
      </c>
      <c r="E761" s="10" t="s">
        <v>2345</v>
      </c>
      <c r="F761" s="30" t="n">
        <v>42825</v>
      </c>
      <c r="G761" s="30" t="n">
        <v>42832</v>
      </c>
      <c r="H761" s="26" t="n">
        <f aca="false">G761-F761</f>
        <v>7</v>
      </c>
      <c r="I761" s="10" t="n">
        <f aca="false">IF(E761="Won",1,0)</f>
        <v>0</v>
      </c>
    </row>
    <row r="762" customFormat="false" ht="15" hidden="false" customHeight="false" outlineLevel="0" collapsed="false">
      <c r="A762" s="10" t="s">
        <v>3103</v>
      </c>
      <c r="B762" s="10" t="s">
        <v>71</v>
      </c>
      <c r="C762" s="10" t="s">
        <v>52</v>
      </c>
      <c r="D762" s="10" t="s">
        <v>193</v>
      </c>
      <c r="E762" s="10" t="s">
        <v>2345</v>
      </c>
      <c r="F762" s="30" t="n">
        <v>42825</v>
      </c>
      <c r="G762" s="30" t="n">
        <v>42832</v>
      </c>
      <c r="H762" s="26" t="n">
        <f aca="false">G762-F762</f>
        <v>7</v>
      </c>
      <c r="I762" s="10" t="n">
        <f aca="false">IF(E762="Won",1,0)</f>
        <v>0</v>
      </c>
    </row>
    <row r="763" customFormat="false" ht="15" hidden="false" customHeight="false" outlineLevel="0" collapsed="false">
      <c r="A763" s="10" t="s">
        <v>3104</v>
      </c>
      <c r="B763" s="10" t="s">
        <v>69</v>
      </c>
      <c r="C763" s="10" t="s">
        <v>52</v>
      </c>
      <c r="D763" s="10" t="s">
        <v>506</v>
      </c>
      <c r="E763" s="10" t="s">
        <v>2342</v>
      </c>
      <c r="F763" s="30" t="n">
        <v>42826</v>
      </c>
      <c r="G763" s="30" t="n">
        <v>42832</v>
      </c>
      <c r="H763" s="26" t="n">
        <f aca="false">G763-F763</f>
        <v>6</v>
      </c>
      <c r="I763" s="10" t="n">
        <f aca="false">IF(E763="Won",1,0)</f>
        <v>1</v>
      </c>
    </row>
    <row r="764" customFormat="false" ht="15" hidden="false" customHeight="false" outlineLevel="0" collapsed="false">
      <c r="A764" s="10" t="s">
        <v>3105</v>
      </c>
      <c r="B764" s="10" t="s">
        <v>77</v>
      </c>
      <c r="C764" s="10" t="s">
        <v>52</v>
      </c>
      <c r="D764" s="10" t="s">
        <v>869</v>
      </c>
      <c r="E764" s="10" t="s">
        <v>2345</v>
      </c>
      <c r="F764" s="30" t="n">
        <v>42821</v>
      </c>
      <c r="G764" s="30" t="n">
        <v>42832</v>
      </c>
      <c r="H764" s="26" t="n">
        <f aca="false">G764-F764</f>
        <v>11</v>
      </c>
      <c r="I764" s="10" t="n">
        <f aca="false">IF(E764="Won",1,0)</f>
        <v>0</v>
      </c>
    </row>
    <row r="765" customFormat="false" ht="15" hidden="false" customHeight="false" outlineLevel="0" collapsed="false">
      <c r="A765" s="10" t="s">
        <v>3106</v>
      </c>
      <c r="B765" s="10" t="s">
        <v>61</v>
      </c>
      <c r="C765" s="10" t="s">
        <v>49</v>
      </c>
      <c r="D765" s="10" t="s">
        <v>274</v>
      </c>
      <c r="E765" s="10" t="s">
        <v>2345</v>
      </c>
      <c r="F765" s="30" t="n">
        <v>42827</v>
      </c>
      <c r="G765" s="30" t="n">
        <v>42832</v>
      </c>
      <c r="H765" s="26" t="n">
        <f aca="false">G765-F765</f>
        <v>5</v>
      </c>
      <c r="I765" s="10" t="n">
        <f aca="false">IF(E765="Won",1,0)</f>
        <v>0</v>
      </c>
    </row>
    <row r="766" customFormat="false" ht="15" hidden="false" customHeight="false" outlineLevel="0" collapsed="false">
      <c r="A766" s="10" t="s">
        <v>3107</v>
      </c>
      <c r="B766" s="10" t="s">
        <v>66</v>
      </c>
      <c r="C766" s="10" t="s">
        <v>52</v>
      </c>
      <c r="D766" s="10" t="s">
        <v>384</v>
      </c>
      <c r="E766" s="10" t="s">
        <v>2342</v>
      </c>
      <c r="F766" s="30" t="n">
        <v>42828</v>
      </c>
      <c r="G766" s="30" t="n">
        <v>42832</v>
      </c>
      <c r="H766" s="26" t="n">
        <f aca="false">G766-F766</f>
        <v>4</v>
      </c>
      <c r="I766" s="10" t="n">
        <f aca="false">IF(E766="Won",1,0)</f>
        <v>1</v>
      </c>
    </row>
    <row r="767" customFormat="false" ht="15" hidden="false" customHeight="false" outlineLevel="0" collapsed="false">
      <c r="A767" s="10" t="s">
        <v>3108</v>
      </c>
      <c r="B767" s="10" t="s">
        <v>57</v>
      </c>
      <c r="C767" s="10" t="s">
        <v>51</v>
      </c>
      <c r="D767" s="10" t="s">
        <v>464</v>
      </c>
      <c r="E767" s="10" t="s">
        <v>2345</v>
      </c>
      <c r="F767" s="30" t="n">
        <v>42830</v>
      </c>
      <c r="G767" s="30" t="n">
        <v>42832</v>
      </c>
      <c r="H767" s="26" t="n">
        <f aca="false">G767-F767</f>
        <v>2</v>
      </c>
      <c r="I767" s="10" t="n">
        <f aca="false">IF(E767="Won",1,0)</f>
        <v>0</v>
      </c>
    </row>
    <row r="768" customFormat="false" ht="15" hidden="false" customHeight="false" outlineLevel="0" collapsed="false">
      <c r="A768" s="10" t="s">
        <v>3109</v>
      </c>
      <c r="B768" s="10" t="s">
        <v>77</v>
      </c>
      <c r="C768" s="10" t="s">
        <v>50</v>
      </c>
      <c r="D768" s="10" t="s">
        <v>697</v>
      </c>
      <c r="E768" s="10" t="s">
        <v>2345</v>
      </c>
      <c r="F768" s="30" t="n">
        <v>42824</v>
      </c>
      <c r="G768" s="30" t="n">
        <v>42832</v>
      </c>
      <c r="H768" s="26" t="n">
        <f aca="false">G768-F768</f>
        <v>8</v>
      </c>
      <c r="I768" s="10" t="n">
        <f aca="false">IF(E768="Won",1,0)</f>
        <v>0</v>
      </c>
    </row>
    <row r="769" customFormat="false" ht="15" hidden="false" customHeight="false" outlineLevel="0" collapsed="false">
      <c r="A769" s="10" t="s">
        <v>3110</v>
      </c>
      <c r="B769" s="10" t="s">
        <v>87</v>
      </c>
      <c r="C769" s="10" t="s">
        <v>48</v>
      </c>
      <c r="D769" s="10" t="s">
        <v>674</v>
      </c>
      <c r="E769" s="10" t="s">
        <v>2345</v>
      </c>
      <c r="F769" s="30" t="n">
        <v>42824</v>
      </c>
      <c r="G769" s="30" t="n">
        <v>42832</v>
      </c>
      <c r="H769" s="26" t="n">
        <f aca="false">G769-F769</f>
        <v>8</v>
      </c>
      <c r="I769" s="10" t="n">
        <f aca="false">IF(E769="Won",1,0)</f>
        <v>0</v>
      </c>
    </row>
    <row r="770" customFormat="false" ht="15" hidden="false" customHeight="false" outlineLevel="0" collapsed="false">
      <c r="A770" s="10" t="s">
        <v>3111</v>
      </c>
      <c r="B770" s="10" t="s">
        <v>93</v>
      </c>
      <c r="C770" s="10" t="s">
        <v>48</v>
      </c>
      <c r="D770" s="10" t="s">
        <v>606</v>
      </c>
      <c r="E770" s="10" t="s">
        <v>2345</v>
      </c>
      <c r="F770" s="30" t="n">
        <v>42830</v>
      </c>
      <c r="G770" s="30" t="n">
        <v>42832</v>
      </c>
      <c r="H770" s="26" t="n">
        <f aca="false">G770-F770</f>
        <v>2</v>
      </c>
      <c r="I770" s="10" t="n">
        <f aca="false">IF(E770="Won",1,0)</f>
        <v>0</v>
      </c>
    </row>
    <row r="771" customFormat="false" ht="15" hidden="false" customHeight="false" outlineLevel="0" collapsed="false">
      <c r="A771" s="10" t="s">
        <v>3112</v>
      </c>
      <c r="B771" s="10" t="s">
        <v>86</v>
      </c>
      <c r="C771" s="10" t="s">
        <v>49</v>
      </c>
      <c r="D771" s="10" t="s">
        <v>464</v>
      </c>
      <c r="E771" s="10" t="s">
        <v>2342</v>
      </c>
      <c r="F771" s="30" t="n">
        <v>42824</v>
      </c>
      <c r="G771" s="30" t="n">
        <v>42832</v>
      </c>
      <c r="H771" s="26" t="n">
        <f aca="false">G771-F771</f>
        <v>8</v>
      </c>
      <c r="I771" s="10" t="n">
        <f aca="false">IF(E771="Won",1,0)</f>
        <v>1</v>
      </c>
    </row>
    <row r="772" customFormat="false" ht="15" hidden="false" customHeight="false" outlineLevel="0" collapsed="false">
      <c r="A772" s="10" t="s">
        <v>3113</v>
      </c>
      <c r="B772" s="10" t="s">
        <v>69</v>
      </c>
      <c r="C772" s="10" t="s">
        <v>51</v>
      </c>
      <c r="D772" s="10" t="s">
        <v>483</v>
      </c>
      <c r="E772" s="10" t="s">
        <v>2342</v>
      </c>
      <c r="F772" s="30" t="n">
        <v>42825</v>
      </c>
      <c r="G772" s="30" t="n">
        <v>42832</v>
      </c>
      <c r="H772" s="26" t="n">
        <f aca="false">G772-F772</f>
        <v>7</v>
      </c>
      <c r="I772" s="10" t="n">
        <f aca="false">IF(E772="Won",1,0)</f>
        <v>1</v>
      </c>
    </row>
    <row r="773" customFormat="false" ht="15" hidden="false" customHeight="false" outlineLevel="0" collapsed="false">
      <c r="A773" s="10" t="s">
        <v>3114</v>
      </c>
      <c r="B773" s="10" t="s">
        <v>68</v>
      </c>
      <c r="C773" s="10" t="s">
        <v>50</v>
      </c>
      <c r="D773" s="10" t="s">
        <v>514</v>
      </c>
      <c r="E773" s="10" t="s">
        <v>2345</v>
      </c>
      <c r="F773" s="30" t="n">
        <v>42830</v>
      </c>
      <c r="G773" s="30" t="n">
        <v>42832</v>
      </c>
      <c r="H773" s="26" t="n">
        <f aca="false">G773-F773</f>
        <v>2</v>
      </c>
      <c r="I773" s="10" t="n">
        <f aca="false">IF(E773="Won",1,0)</f>
        <v>0</v>
      </c>
    </row>
    <row r="774" customFormat="false" ht="15" hidden="false" customHeight="false" outlineLevel="0" collapsed="false">
      <c r="A774" s="10" t="s">
        <v>3115</v>
      </c>
      <c r="B774" s="10" t="s">
        <v>57</v>
      </c>
      <c r="C774" s="10" t="s">
        <v>48</v>
      </c>
      <c r="D774" s="10" t="s">
        <v>378</v>
      </c>
      <c r="E774" s="10" t="s">
        <v>2345</v>
      </c>
      <c r="F774" s="30" t="n">
        <v>42822</v>
      </c>
      <c r="G774" s="30" t="n">
        <v>42832</v>
      </c>
      <c r="H774" s="26" t="n">
        <f aca="false">G774-F774</f>
        <v>10</v>
      </c>
      <c r="I774" s="10" t="n">
        <f aca="false">IF(E774="Won",1,0)</f>
        <v>0</v>
      </c>
    </row>
    <row r="775" customFormat="false" ht="15" hidden="false" customHeight="false" outlineLevel="0" collapsed="false">
      <c r="A775" s="10" t="s">
        <v>3116</v>
      </c>
      <c r="B775" s="10" t="s">
        <v>95</v>
      </c>
      <c r="C775" s="10" t="s">
        <v>47</v>
      </c>
      <c r="D775" s="10" t="s">
        <v>175</v>
      </c>
      <c r="E775" s="10" t="s">
        <v>2342</v>
      </c>
      <c r="F775" s="30" t="n">
        <v>42831</v>
      </c>
      <c r="G775" s="30" t="n">
        <v>42832</v>
      </c>
      <c r="H775" s="26" t="n">
        <f aca="false">G775-F775</f>
        <v>1</v>
      </c>
      <c r="I775" s="10" t="n">
        <f aca="false">IF(E775="Won",1,0)</f>
        <v>1</v>
      </c>
    </row>
    <row r="776" customFormat="false" ht="15" hidden="false" customHeight="false" outlineLevel="0" collapsed="false">
      <c r="A776" s="10" t="s">
        <v>3117</v>
      </c>
      <c r="B776" s="10" t="s">
        <v>84</v>
      </c>
      <c r="C776" s="10" t="s">
        <v>47</v>
      </c>
      <c r="D776" s="10" t="s">
        <v>350</v>
      </c>
      <c r="E776" s="10" t="s">
        <v>2345</v>
      </c>
      <c r="F776" s="30" t="n">
        <v>42824</v>
      </c>
      <c r="G776" s="30" t="n">
        <v>42832</v>
      </c>
      <c r="H776" s="26" t="n">
        <f aca="false">G776-F776</f>
        <v>8</v>
      </c>
      <c r="I776" s="10" t="n">
        <f aca="false">IF(E776="Won",1,0)</f>
        <v>0</v>
      </c>
    </row>
    <row r="777" customFormat="false" ht="15" hidden="false" customHeight="false" outlineLevel="0" collapsed="false">
      <c r="A777" s="10" t="s">
        <v>3118</v>
      </c>
      <c r="B777" s="10" t="s">
        <v>62</v>
      </c>
      <c r="C777" s="10" t="s">
        <v>52</v>
      </c>
      <c r="D777" s="10" t="s">
        <v>378</v>
      </c>
      <c r="E777" s="10" t="s">
        <v>2345</v>
      </c>
      <c r="F777" s="30" t="n">
        <v>42822</v>
      </c>
      <c r="G777" s="30" t="n">
        <v>42832</v>
      </c>
      <c r="H777" s="26" t="n">
        <f aca="false">G777-F777</f>
        <v>10</v>
      </c>
      <c r="I777" s="10" t="n">
        <f aca="false">IF(E777="Won",1,0)</f>
        <v>0</v>
      </c>
    </row>
    <row r="778" customFormat="false" ht="15" hidden="false" customHeight="false" outlineLevel="0" collapsed="false">
      <c r="A778" s="10" t="s">
        <v>3119</v>
      </c>
      <c r="B778" s="10" t="s">
        <v>75</v>
      </c>
      <c r="C778" s="10" t="s">
        <v>47</v>
      </c>
      <c r="D778" s="10" t="s">
        <v>422</v>
      </c>
      <c r="E778" s="10" t="s">
        <v>2342</v>
      </c>
      <c r="F778" s="30" t="n">
        <v>42822</v>
      </c>
      <c r="G778" s="30" t="n">
        <v>42832</v>
      </c>
      <c r="H778" s="26" t="n">
        <f aca="false">G778-F778</f>
        <v>10</v>
      </c>
      <c r="I778" s="10" t="n">
        <f aca="false">IF(E778="Won",1,0)</f>
        <v>1</v>
      </c>
    </row>
    <row r="779" customFormat="false" ht="15" hidden="false" customHeight="false" outlineLevel="0" collapsed="false">
      <c r="A779" s="10" t="s">
        <v>3120</v>
      </c>
      <c r="B779" s="10" t="s">
        <v>94</v>
      </c>
      <c r="C779" s="10" t="s">
        <v>49</v>
      </c>
      <c r="D779" s="10" t="s">
        <v>514</v>
      </c>
      <c r="E779" s="10" t="s">
        <v>2342</v>
      </c>
      <c r="F779" s="30" t="n">
        <v>42823</v>
      </c>
      <c r="G779" s="30" t="n">
        <v>42832</v>
      </c>
      <c r="H779" s="26" t="n">
        <f aca="false">G779-F779</f>
        <v>9</v>
      </c>
      <c r="I779" s="10" t="n">
        <f aca="false">IF(E779="Won",1,0)</f>
        <v>1</v>
      </c>
    </row>
    <row r="780" customFormat="false" ht="15" hidden="false" customHeight="false" outlineLevel="0" collapsed="false">
      <c r="A780" s="10" t="s">
        <v>3121</v>
      </c>
      <c r="B780" s="10" t="s">
        <v>96</v>
      </c>
      <c r="C780" s="10" t="s">
        <v>52</v>
      </c>
      <c r="D780" s="10" t="s">
        <v>199</v>
      </c>
      <c r="E780" s="10" t="s">
        <v>2342</v>
      </c>
      <c r="F780" s="30" t="n">
        <v>42823</v>
      </c>
      <c r="G780" s="30" t="n">
        <v>42832</v>
      </c>
      <c r="H780" s="26" t="n">
        <f aca="false">G780-F780</f>
        <v>9</v>
      </c>
      <c r="I780" s="10" t="n">
        <f aca="false">IF(E780="Won",1,0)</f>
        <v>1</v>
      </c>
    </row>
    <row r="781" customFormat="false" ht="15" hidden="false" customHeight="false" outlineLevel="0" collapsed="false">
      <c r="A781" s="10" t="s">
        <v>3122</v>
      </c>
      <c r="B781" s="10" t="s">
        <v>62</v>
      </c>
      <c r="C781" s="10" t="s">
        <v>52</v>
      </c>
      <c r="D781" s="10" t="s">
        <v>1397</v>
      </c>
      <c r="E781" s="10" t="s">
        <v>2342</v>
      </c>
      <c r="F781" s="30" t="n">
        <v>42830</v>
      </c>
      <c r="G781" s="30" t="n">
        <v>42832</v>
      </c>
      <c r="H781" s="26" t="n">
        <f aca="false">G781-F781</f>
        <v>2</v>
      </c>
      <c r="I781" s="10" t="n">
        <f aca="false">IF(E781="Won",1,0)</f>
        <v>1</v>
      </c>
    </row>
    <row r="782" customFormat="false" ht="15" hidden="false" customHeight="false" outlineLevel="0" collapsed="false">
      <c r="A782" s="10" t="s">
        <v>3123</v>
      </c>
      <c r="B782" s="10" t="s">
        <v>67</v>
      </c>
      <c r="C782" s="10" t="s">
        <v>50</v>
      </c>
      <c r="D782" s="10" t="s">
        <v>497</v>
      </c>
      <c r="E782" s="10" t="s">
        <v>2345</v>
      </c>
      <c r="F782" s="30" t="n">
        <v>42829</v>
      </c>
      <c r="G782" s="30" t="n">
        <v>42833</v>
      </c>
      <c r="H782" s="26" t="n">
        <f aca="false">G782-F782</f>
        <v>4</v>
      </c>
      <c r="I782" s="10" t="n">
        <f aca="false">IF(E782="Won",1,0)</f>
        <v>0</v>
      </c>
    </row>
    <row r="783" customFormat="false" ht="15" hidden="false" customHeight="false" outlineLevel="0" collapsed="false">
      <c r="A783" s="10" t="s">
        <v>3124</v>
      </c>
      <c r="B783" s="10" t="s">
        <v>77</v>
      </c>
      <c r="C783" s="10" t="s">
        <v>49</v>
      </c>
      <c r="D783" s="10" t="s">
        <v>1251</v>
      </c>
      <c r="E783" s="10" t="s">
        <v>2345</v>
      </c>
      <c r="F783" s="30" t="n">
        <v>42831</v>
      </c>
      <c r="G783" s="30" t="n">
        <v>42833</v>
      </c>
      <c r="H783" s="26" t="n">
        <f aca="false">G783-F783</f>
        <v>2</v>
      </c>
      <c r="I783" s="10" t="n">
        <f aca="false">IF(E783="Won",1,0)</f>
        <v>0</v>
      </c>
    </row>
    <row r="784" customFormat="false" ht="15" hidden="false" customHeight="false" outlineLevel="0" collapsed="false">
      <c r="A784" s="10" t="s">
        <v>3125</v>
      </c>
      <c r="B784" s="10" t="s">
        <v>66</v>
      </c>
      <c r="C784" s="10" t="s">
        <v>50</v>
      </c>
      <c r="D784" s="10" t="s">
        <v>487</v>
      </c>
      <c r="E784" s="10" t="s">
        <v>2342</v>
      </c>
      <c r="F784" s="30" t="n">
        <v>42827</v>
      </c>
      <c r="G784" s="30" t="n">
        <v>42833</v>
      </c>
      <c r="H784" s="26" t="n">
        <f aca="false">G784-F784</f>
        <v>6</v>
      </c>
      <c r="I784" s="10" t="n">
        <f aca="false">IF(E784="Won",1,0)</f>
        <v>1</v>
      </c>
    </row>
    <row r="785" customFormat="false" ht="15" hidden="false" customHeight="false" outlineLevel="0" collapsed="false">
      <c r="A785" s="10" t="s">
        <v>3126</v>
      </c>
      <c r="B785" s="10" t="s">
        <v>77</v>
      </c>
      <c r="C785" s="10" t="s">
        <v>47</v>
      </c>
      <c r="D785" s="10" t="s">
        <v>422</v>
      </c>
      <c r="E785" s="10" t="s">
        <v>2342</v>
      </c>
      <c r="F785" s="30" t="n">
        <v>42826</v>
      </c>
      <c r="G785" s="30" t="n">
        <v>42833</v>
      </c>
      <c r="H785" s="26" t="n">
        <f aca="false">G785-F785</f>
        <v>7</v>
      </c>
      <c r="I785" s="10" t="n">
        <f aca="false">IF(E785="Won",1,0)</f>
        <v>1</v>
      </c>
    </row>
    <row r="786" customFormat="false" ht="15" hidden="false" customHeight="false" outlineLevel="0" collapsed="false">
      <c r="A786" s="10" t="s">
        <v>3127</v>
      </c>
      <c r="B786" s="10" t="s">
        <v>80</v>
      </c>
      <c r="C786" s="10" t="s">
        <v>51</v>
      </c>
      <c r="D786" s="10" t="s">
        <v>512</v>
      </c>
      <c r="E786" s="10" t="s">
        <v>2342</v>
      </c>
      <c r="F786" s="30" t="n">
        <v>42826</v>
      </c>
      <c r="G786" s="30" t="n">
        <v>42833</v>
      </c>
      <c r="H786" s="26" t="n">
        <f aca="false">G786-F786</f>
        <v>7</v>
      </c>
      <c r="I786" s="10" t="n">
        <f aca="false">IF(E786="Won",1,0)</f>
        <v>1</v>
      </c>
    </row>
    <row r="787" customFormat="false" ht="15" hidden="false" customHeight="false" outlineLevel="0" collapsed="false">
      <c r="A787" s="10" t="s">
        <v>3128</v>
      </c>
      <c r="B787" s="10" t="s">
        <v>96</v>
      </c>
      <c r="C787" s="10" t="s">
        <v>50</v>
      </c>
      <c r="D787" s="10" t="s">
        <v>313</v>
      </c>
      <c r="E787" s="10" t="s">
        <v>2342</v>
      </c>
      <c r="F787" s="30" t="n">
        <v>42832</v>
      </c>
      <c r="G787" s="30" t="n">
        <v>42833</v>
      </c>
      <c r="H787" s="26" t="n">
        <f aca="false">G787-F787</f>
        <v>1</v>
      </c>
      <c r="I787" s="10" t="n">
        <f aca="false">IF(E787="Won",1,0)</f>
        <v>1</v>
      </c>
    </row>
    <row r="788" customFormat="false" ht="15" hidden="false" customHeight="false" outlineLevel="0" collapsed="false">
      <c r="A788" s="10" t="s">
        <v>3129</v>
      </c>
      <c r="B788" s="10" t="s">
        <v>68</v>
      </c>
      <c r="C788" s="10" t="s">
        <v>52</v>
      </c>
      <c r="D788" s="10" t="s">
        <v>396</v>
      </c>
      <c r="E788" s="10" t="s">
        <v>2342</v>
      </c>
      <c r="F788" s="30" t="n">
        <v>42829</v>
      </c>
      <c r="G788" s="30" t="n">
        <v>42833</v>
      </c>
      <c r="H788" s="26" t="n">
        <f aca="false">G788-F788</f>
        <v>4</v>
      </c>
      <c r="I788" s="10" t="n">
        <f aca="false">IF(E788="Won",1,0)</f>
        <v>1</v>
      </c>
    </row>
    <row r="789" customFormat="false" ht="15" hidden="false" customHeight="false" outlineLevel="0" collapsed="false">
      <c r="A789" s="10" t="s">
        <v>3130</v>
      </c>
      <c r="B789" s="10" t="s">
        <v>71</v>
      </c>
      <c r="C789" s="10" t="s">
        <v>52</v>
      </c>
      <c r="D789" s="10" t="s">
        <v>961</v>
      </c>
      <c r="E789" s="10" t="s">
        <v>2345</v>
      </c>
      <c r="F789" s="30" t="n">
        <v>42822</v>
      </c>
      <c r="G789" s="30" t="n">
        <v>42833</v>
      </c>
      <c r="H789" s="26" t="n">
        <f aca="false">G789-F789</f>
        <v>11</v>
      </c>
      <c r="I789" s="10" t="n">
        <f aca="false">IF(E789="Won",1,0)</f>
        <v>0</v>
      </c>
    </row>
    <row r="790" customFormat="false" ht="15" hidden="false" customHeight="false" outlineLevel="0" collapsed="false">
      <c r="A790" s="10" t="s">
        <v>3131</v>
      </c>
      <c r="B790" s="10" t="s">
        <v>71</v>
      </c>
      <c r="C790" s="10" t="s">
        <v>51</v>
      </c>
      <c r="D790" s="10" t="s">
        <v>414</v>
      </c>
      <c r="E790" s="10" t="s">
        <v>2342</v>
      </c>
      <c r="F790" s="30" t="n">
        <v>42832</v>
      </c>
      <c r="G790" s="30" t="n">
        <v>42833</v>
      </c>
      <c r="H790" s="26" t="n">
        <f aca="false">G790-F790</f>
        <v>1</v>
      </c>
      <c r="I790" s="10" t="n">
        <f aca="false">IF(E790="Won",1,0)</f>
        <v>1</v>
      </c>
    </row>
    <row r="791" customFormat="false" ht="15" hidden="false" customHeight="false" outlineLevel="0" collapsed="false">
      <c r="A791" s="10" t="s">
        <v>3132</v>
      </c>
      <c r="B791" s="10" t="s">
        <v>61</v>
      </c>
      <c r="C791" s="10" t="s">
        <v>47</v>
      </c>
      <c r="D791" s="10" t="s">
        <v>1118</v>
      </c>
      <c r="E791" s="10" t="s">
        <v>2342</v>
      </c>
      <c r="F791" s="30" t="n">
        <v>42824</v>
      </c>
      <c r="G791" s="30" t="n">
        <v>42833</v>
      </c>
      <c r="H791" s="26" t="n">
        <f aca="false">G791-F791</f>
        <v>9</v>
      </c>
      <c r="I791" s="10" t="n">
        <f aca="false">IF(E791="Won",1,0)</f>
        <v>1</v>
      </c>
    </row>
    <row r="792" customFormat="false" ht="15" hidden="false" customHeight="false" outlineLevel="0" collapsed="false">
      <c r="A792" s="10" t="s">
        <v>3133</v>
      </c>
      <c r="B792" s="10" t="s">
        <v>70</v>
      </c>
      <c r="C792" s="10" t="s">
        <v>48</v>
      </c>
      <c r="D792" s="10" t="s">
        <v>487</v>
      </c>
      <c r="E792" s="10" t="s">
        <v>2345</v>
      </c>
      <c r="F792" s="30" t="n">
        <v>42824</v>
      </c>
      <c r="G792" s="30" t="n">
        <v>42833</v>
      </c>
      <c r="H792" s="26" t="n">
        <f aca="false">G792-F792</f>
        <v>9</v>
      </c>
      <c r="I792" s="10" t="n">
        <f aca="false">IF(E792="Won",1,0)</f>
        <v>0</v>
      </c>
    </row>
    <row r="793" customFormat="false" ht="15" hidden="false" customHeight="false" outlineLevel="0" collapsed="false">
      <c r="A793" s="10" t="s">
        <v>3134</v>
      </c>
      <c r="B793" s="10" t="s">
        <v>61</v>
      </c>
      <c r="C793" s="10" t="s">
        <v>47</v>
      </c>
      <c r="D793" s="10" t="s">
        <v>441</v>
      </c>
      <c r="E793" s="10" t="s">
        <v>2342</v>
      </c>
      <c r="F793" s="30" t="n">
        <v>42824</v>
      </c>
      <c r="G793" s="30" t="n">
        <v>42833</v>
      </c>
      <c r="H793" s="26" t="n">
        <f aca="false">G793-F793</f>
        <v>9</v>
      </c>
      <c r="I793" s="10" t="n">
        <f aca="false">IF(E793="Won",1,0)</f>
        <v>1</v>
      </c>
    </row>
    <row r="794" customFormat="false" ht="15" hidden="false" customHeight="false" outlineLevel="0" collapsed="false">
      <c r="A794" s="10" t="s">
        <v>3135</v>
      </c>
      <c r="B794" s="10" t="s">
        <v>71</v>
      </c>
      <c r="C794" s="10" t="s">
        <v>49</v>
      </c>
      <c r="D794" s="10" t="s">
        <v>1948</v>
      </c>
      <c r="E794" s="10" t="s">
        <v>2342</v>
      </c>
      <c r="F794" s="30" t="n">
        <v>42825</v>
      </c>
      <c r="G794" s="30" t="n">
        <v>42833</v>
      </c>
      <c r="H794" s="26" t="n">
        <f aca="false">G794-F794</f>
        <v>8</v>
      </c>
      <c r="I794" s="10" t="n">
        <f aca="false">IF(E794="Won",1,0)</f>
        <v>1</v>
      </c>
    </row>
    <row r="795" customFormat="false" ht="15" hidden="false" customHeight="false" outlineLevel="0" collapsed="false">
      <c r="A795" s="10" t="s">
        <v>3136</v>
      </c>
      <c r="B795" s="10" t="s">
        <v>67</v>
      </c>
      <c r="C795" s="10" t="s">
        <v>52</v>
      </c>
      <c r="D795" s="10" t="s">
        <v>172</v>
      </c>
      <c r="E795" s="10" t="s">
        <v>2342</v>
      </c>
      <c r="F795" s="30" t="n">
        <v>42822</v>
      </c>
      <c r="G795" s="30" t="n">
        <v>42833</v>
      </c>
      <c r="H795" s="26" t="n">
        <f aca="false">G795-F795</f>
        <v>11</v>
      </c>
      <c r="I795" s="10" t="n">
        <f aca="false">IF(E795="Won",1,0)</f>
        <v>1</v>
      </c>
    </row>
    <row r="796" customFormat="false" ht="15" hidden="false" customHeight="false" outlineLevel="0" collapsed="false">
      <c r="A796" s="10" t="s">
        <v>3137</v>
      </c>
      <c r="B796" s="10" t="s">
        <v>76</v>
      </c>
      <c r="C796" s="10" t="s">
        <v>52</v>
      </c>
      <c r="D796" s="10" t="s">
        <v>524</v>
      </c>
      <c r="E796" s="10" t="s">
        <v>2342</v>
      </c>
      <c r="F796" s="30" t="n">
        <v>42824</v>
      </c>
      <c r="G796" s="30" t="n">
        <v>42833</v>
      </c>
      <c r="H796" s="26" t="n">
        <f aca="false">G796-F796</f>
        <v>9</v>
      </c>
      <c r="I796" s="10" t="n">
        <f aca="false">IF(E796="Won",1,0)</f>
        <v>1</v>
      </c>
    </row>
    <row r="797" customFormat="false" ht="15" hidden="false" customHeight="false" outlineLevel="0" collapsed="false">
      <c r="A797" s="10" t="s">
        <v>3138</v>
      </c>
      <c r="B797" s="10" t="s">
        <v>73</v>
      </c>
      <c r="C797" s="10" t="s">
        <v>50</v>
      </c>
      <c r="D797" s="10" t="s">
        <v>961</v>
      </c>
      <c r="E797" s="10" t="s">
        <v>2342</v>
      </c>
      <c r="F797" s="30" t="n">
        <v>42822</v>
      </c>
      <c r="G797" s="30" t="n">
        <v>42833</v>
      </c>
      <c r="H797" s="26" t="n">
        <f aca="false">G797-F797</f>
        <v>11</v>
      </c>
      <c r="I797" s="10" t="n">
        <f aca="false">IF(E797="Won",1,0)</f>
        <v>1</v>
      </c>
    </row>
    <row r="798" customFormat="false" ht="15" hidden="false" customHeight="false" outlineLevel="0" collapsed="false">
      <c r="A798" s="10" t="s">
        <v>3139</v>
      </c>
      <c r="B798" s="10" t="s">
        <v>93</v>
      </c>
      <c r="C798" s="10" t="s">
        <v>51</v>
      </c>
      <c r="D798" s="10" t="s">
        <v>514</v>
      </c>
      <c r="E798" s="10" t="s">
        <v>2342</v>
      </c>
      <c r="F798" s="30" t="n">
        <v>42825</v>
      </c>
      <c r="G798" s="30" t="n">
        <v>42833</v>
      </c>
      <c r="H798" s="26" t="n">
        <f aca="false">G798-F798</f>
        <v>8</v>
      </c>
      <c r="I798" s="10" t="n">
        <f aca="false">IF(E798="Won",1,0)</f>
        <v>1</v>
      </c>
    </row>
    <row r="799" customFormat="false" ht="15" hidden="false" customHeight="false" outlineLevel="0" collapsed="false">
      <c r="A799" s="10" t="s">
        <v>3140</v>
      </c>
      <c r="B799" s="10" t="s">
        <v>70</v>
      </c>
      <c r="C799" s="10" t="s">
        <v>50</v>
      </c>
      <c r="D799" s="10" t="s">
        <v>172</v>
      </c>
      <c r="E799" s="10" t="s">
        <v>2342</v>
      </c>
      <c r="F799" s="30" t="n">
        <v>42823</v>
      </c>
      <c r="G799" s="30" t="n">
        <v>42834</v>
      </c>
      <c r="H799" s="26" t="n">
        <f aca="false">G799-F799</f>
        <v>11</v>
      </c>
      <c r="I799" s="10" t="n">
        <f aca="false">IF(E799="Won",1,0)</f>
        <v>1</v>
      </c>
    </row>
    <row r="800" customFormat="false" ht="15" hidden="false" customHeight="false" outlineLevel="0" collapsed="false">
      <c r="A800" s="10" t="s">
        <v>3141</v>
      </c>
      <c r="B800" s="10" t="s">
        <v>80</v>
      </c>
      <c r="C800" s="10" t="s">
        <v>50</v>
      </c>
      <c r="D800" s="10" t="s">
        <v>414</v>
      </c>
      <c r="E800" s="10" t="s">
        <v>2342</v>
      </c>
      <c r="F800" s="30" t="n">
        <v>42832</v>
      </c>
      <c r="G800" s="30" t="n">
        <v>42834</v>
      </c>
      <c r="H800" s="26" t="n">
        <f aca="false">G800-F800</f>
        <v>2</v>
      </c>
      <c r="I800" s="10" t="n">
        <f aca="false">IF(E800="Won",1,0)</f>
        <v>1</v>
      </c>
    </row>
    <row r="801" customFormat="false" ht="15" hidden="false" customHeight="false" outlineLevel="0" collapsed="false">
      <c r="A801" s="10" t="s">
        <v>3142</v>
      </c>
      <c r="B801" s="10" t="s">
        <v>73</v>
      </c>
      <c r="C801" s="10" t="s">
        <v>52</v>
      </c>
      <c r="D801" s="10" t="s">
        <v>1948</v>
      </c>
      <c r="E801" s="10" t="s">
        <v>2345</v>
      </c>
      <c r="F801" s="30" t="n">
        <v>42824</v>
      </c>
      <c r="G801" s="30" t="n">
        <v>42834</v>
      </c>
      <c r="H801" s="26" t="n">
        <f aca="false">G801-F801</f>
        <v>10</v>
      </c>
      <c r="I801" s="10" t="n">
        <f aca="false">IF(E801="Won",1,0)</f>
        <v>0</v>
      </c>
    </row>
    <row r="802" customFormat="false" ht="15" hidden="false" customHeight="false" outlineLevel="0" collapsed="false">
      <c r="A802" s="10" t="s">
        <v>3143</v>
      </c>
      <c r="B802" s="10" t="s">
        <v>61</v>
      </c>
      <c r="C802" s="10" t="s">
        <v>48</v>
      </c>
      <c r="D802" s="10" t="s">
        <v>350</v>
      </c>
      <c r="E802" s="10" t="s">
        <v>2342</v>
      </c>
      <c r="F802" s="30" t="n">
        <v>42833</v>
      </c>
      <c r="G802" s="30" t="n">
        <v>42834</v>
      </c>
      <c r="H802" s="26" t="n">
        <f aca="false">G802-F802</f>
        <v>1</v>
      </c>
      <c r="I802" s="10" t="n">
        <f aca="false">IF(E802="Won",1,0)</f>
        <v>1</v>
      </c>
    </row>
    <row r="803" customFormat="false" ht="15" hidden="false" customHeight="false" outlineLevel="0" collapsed="false">
      <c r="A803" s="10" t="s">
        <v>3144</v>
      </c>
      <c r="B803" s="10" t="s">
        <v>68</v>
      </c>
      <c r="C803" s="10" t="s">
        <v>49</v>
      </c>
      <c r="D803" s="10" t="s">
        <v>233</v>
      </c>
      <c r="E803" s="10" t="s">
        <v>2345</v>
      </c>
      <c r="F803" s="30" t="n">
        <v>42824</v>
      </c>
      <c r="G803" s="30" t="n">
        <v>42834</v>
      </c>
      <c r="H803" s="26" t="n">
        <f aca="false">G803-F803</f>
        <v>10</v>
      </c>
      <c r="I803" s="10" t="n">
        <f aca="false">IF(E803="Won",1,0)</f>
        <v>0</v>
      </c>
    </row>
    <row r="804" customFormat="false" ht="15" hidden="false" customHeight="false" outlineLevel="0" collapsed="false">
      <c r="A804" s="10" t="s">
        <v>3145</v>
      </c>
      <c r="B804" s="10" t="s">
        <v>97</v>
      </c>
      <c r="C804" s="10" t="s">
        <v>51</v>
      </c>
      <c r="D804" s="10" t="s">
        <v>514</v>
      </c>
      <c r="E804" s="10" t="s">
        <v>2345</v>
      </c>
      <c r="F804" s="30" t="n">
        <v>42833</v>
      </c>
      <c r="G804" s="30" t="n">
        <v>42834</v>
      </c>
      <c r="H804" s="26" t="n">
        <f aca="false">G804-F804</f>
        <v>1</v>
      </c>
      <c r="I804" s="10" t="n">
        <f aca="false">IF(E804="Won",1,0)</f>
        <v>0</v>
      </c>
    </row>
    <row r="805" customFormat="false" ht="15" hidden="false" customHeight="false" outlineLevel="0" collapsed="false">
      <c r="A805" s="10" t="s">
        <v>3146</v>
      </c>
      <c r="B805" s="10" t="s">
        <v>84</v>
      </c>
      <c r="C805" s="10" t="s">
        <v>49</v>
      </c>
      <c r="D805" s="10" t="s">
        <v>359</v>
      </c>
      <c r="E805" s="10" t="s">
        <v>2342</v>
      </c>
      <c r="F805" s="30" t="n">
        <v>42829</v>
      </c>
      <c r="G805" s="30" t="n">
        <v>42834</v>
      </c>
      <c r="H805" s="26" t="n">
        <f aca="false">G805-F805</f>
        <v>5</v>
      </c>
      <c r="I805" s="10" t="n">
        <f aca="false">IF(E805="Won",1,0)</f>
        <v>1</v>
      </c>
    </row>
    <row r="806" customFormat="false" ht="15" hidden="false" customHeight="false" outlineLevel="0" collapsed="false">
      <c r="A806" s="10" t="s">
        <v>3147</v>
      </c>
      <c r="B806" s="10" t="s">
        <v>76</v>
      </c>
      <c r="C806" s="10" t="s">
        <v>47</v>
      </c>
      <c r="D806" s="10" t="s">
        <v>193</v>
      </c>
      <c r="E806" s="10" t="s">
        <v>2345</v>
      </c>
      <c r="F806" s="30" t="n">
        <v>42832</v>
      </c>
      <c r="G806" s="30" t="n">
        <v>42834</v>
      </c>
      <c r="H806" s="26" t="n">
        <f aca="false">G806-F806</f>
        <v>2</v>
      </c>
      <c r="I806" s="10" t="n">
        <f aca="false">IF(E806="Won",1,0)</f>
        <v>0</v>
      </c>
    </row>
    <row r="807" customFormat="false" ht="15" hidden="false" customHeight="false" outlineLevel="0" collapsed="false">
      <c r="A807" s="10" t="s">
        <v>3148</v>
      </c>
      <c r="B807" s="10" t="s">
        <v>77</v>
      </c>
      <c r="C807" s="10" t="s">
        <v>52</v>
      </c>
      <c r="D807" s="10" t="s">
        <v>267</v>
      </c>
      <c r="E807" s="10" t="s">
        <v>2342</v>
      </c>
      <c r="F807" s="30" t="n">
        <v>42828</v>
      </c>
      <c r="G807" s="30" t="n">
        <v>42834</v>
      </c>
      <c r="H807" s="26" t="n">
        <f aca="false">G807-F807</f>
        <v>6</v>
      </c>
      <c r="I807" s="10" t="n">
        <f aca="false">IF(E807="Won",1,0)</f>
        <v>1</v>
      </c>
    </row>
    <row r="808" customFormat="false" ht="15" hidden="false" customHeight="false" outlineLevel="0" collapsed="false">
      <c r="A808" s="10" t="s">
        <v>3149</v>
      </c>
      <c r="B808" s="10" t="s">
        <v>77</v>
      </c>
      <c r="C808" s="10" t="s">
        <v>49</v>
      </c>
      <c r="D808" s="10" t="s">
        <v>414</v>
      </c>
      <c r="E808" s="10" t="s">
        <v>2342</v>
      </c>
      <c r="F808" s="30" t="n">
        <v>42822</v>
      </c>
      <c r="G808" s="30" t="n">
        <v>42834</v>
      </c>
      <c r="H808" s="26" t="n">
        <f aca="false">G808-F808</f>
        <v>12</v>
      </c>
      <c r="I808" s="10" t="n">
        <f aca="false">IF(E808="Won",1,0)</f>
        <v>1</v>
      </c>
    </row>
    <row r="809" customFormat="false" ht="15" hidden="false" customHeight="false" outlineLevel="0" collapsed="false">
      <c r="A809" s="10" t="s">
        <v>3150</v>
      </c>
      <c r="B809" s="10" t="s">
        <v>90</v>
      </c>
      <c r="C809" s="10" t="s">
        <v>51</v>
      </c>
      <c r="D809" s="10" t="s">
        <v>185</v>
      </c>
      <c r="E809" s="10" t="s">
        <v>2345</v>
      </c>
      <c r="F809" s="30" t="n">
        <v>42829</v>
      </c>
      <c r="G809" s="30" t="n">
        <v>42834</v>
      </c>
      <c r="H809" s="26" t="n">
        <f aca="false">G809-F809</f>
        <v>5</v>
      </c>
      <c r="I809" s="10" t="n">
        <f aca="false">IF(E809="Won",1,0)</f>
        <v>0</v>
      </c>
    </row>
    <row r="810" customFormat="false" ht="15" hidden="false" customHeight="false" outlineLevel="0" collapsed="false">
      <c r="A810" s="10" t="s">
        <v>3151</v>
      </c>
      <c r="B810" s="10" t="s">
        <v>77</v>
      </c>
      <c r="C810" s="10" t="s">
        <v>48</v>
      </c>
      <c r="D810" s="10" t="s">
        <v>660</v>
      </c>
      <c r="E810" s="10" t="s">
        <v>2342</v>
      </c>
      <c r="F810" s="30" t="n">
        <v>42833</v>
      </c>
      <c r="G810" s="30" t="n">
        <v>42834</v>
      </c>
      <c r="H810" s="26" t="n">
        <f aca="false">G810-F810</f>
        <v>1</v>
      </c>
      <c r="I810" s="10" t="n">
        <f aca="false">IF(E810="Won",1,0)</f>
        <v>1</v>
      </c>
    </row>
    <row r="811" customFormat="false" ht="15" hidden="false" customHeight="false" outlineLevel="0" collapsed="false">
      <c r="A811" s="10" t="s">
        <v>3152</v>
      </c>
      <c r="B811" s="10" t="s">
        <v>93</v>
      </c>
      <c r="C811" s="10" t="s">
        <v>48</v>
      </c>
      <c r="D811" s="10" t="s">
        <v>487</v>
      </c>
      <c r="E811" s="10" t="s">
        <v>2342</v>
      </c>
      <c r="F811" s="30" t="n">
        <v>42827</v>
      </c>
      <c r="G811" s="30" t="n">
        <v>42834</v>
      </c>
      <c r="H811" s="26" t="n">
        <f aca="false">G811-F811</f>
        <v>7</v>
      </c>
      <c r="I811" s="10" t="n">
        <f aca="false">IF(E811="Won",1,0)</f>
        <v>1</v>
      </c>
    </row>
    <row r="812" customFormat="false" ht="15" hidden="false" customHeight="false" outlineLevel="0" collapsed="false">
      <c r="A812" s="10" t="s">
        <v>3153</v>
      </c>
      <c r="B812" s="10" t="s">
        <v>70</v>
      </c>
      <c r="C812" s="10" t="s">
        <v>49</v>
      </c>
      <c r="D812" s="10" t="s">
        <v>419</v>
      </c>
      <c r="E812" s="10" t="s">
        <v>2345</v>
      </c>
      <c r="F812" s="30" t="n">
        <v>42825</v>
      </c>
      <c r="G812" s="30" t="n">
        <v>42834</v>
      </c>
      <c r="H812" s="26" t="n">
        <f aca="false">G812-F812</f>
        <v>9</v>
      </c>
      <c r="I812" s="10" t="n">
        <f aca="false">IF(E812="Won",1,0)</f>
        <v>0</v>
      </c>
    </row>
    <row r="813" customFormat="false" ht="15" hidden="false" customHeight="false" outlineLevel="0" collapsed="false">
      <c r="A813" s="10" t="s">
        <v>3154</v>
      </c>
      <c r="B813" s="10" t="s">
        <v>67</v>
      </c>
      <c r="C813" s="10" t="s">
        <v>50</v>
      </c>
      <c r="D813" s="10" t="s">
        <v>487</v>
      </c>
      <c r="E813" s="10" t="s">
        <v>2342</v>
      </c>
      <c r="F813" s="30" t="n">
        <v>42825</v>
      </c>
      <c r="G813" s="30" t="n">
        <v>42834</v>
      </c>
      <c r="H813" s="26" t="n">
        <f aca="false">G813-F813</f>
        <v>9</v>
      </c>
      <c r="I813" s="10" t="n">
        <f aca="false">IF(E813="Won",1,0)</f>
        <v>1</v>
      </c>
    </row>
    <row r="814" customFormat="false" ht="15" hidden="false" customHeight="false" outlineLevel="0" collapsed="false">
      <c r="A814" s="10" t="s">
        <v>3155</v>
      </c>
      <c r="B814" s="10" t="s">
        <v>60</v>
      </c>
      <c r="C814" s="10" t="s">
        <v>48</v>
      </c>
      <c r="D814" s="10" t="s">
        <v>453</v>
      </c>
      <c r="E814" s="10" t="s">
        <v>2342</v>
      </c>
      <c r="F814" s="30" t="n">
        <v>42827</v>
      </c>
      <c r="G814" s="30" t="n">
        <v>42834</v>
      </c>
      <c r="H814" s="26" t="n">
        <f aca="false">G814-F814</f>
        <v>7</v>
      </c>
      <c r="I814" s="10" t="n">
        <f aca="false">IF(E814="Won",1,0)</f>
        <v>1</v>
      </c>
    </row>
    <row r="815" customFormat="false" ht="15" hidden="false" customHeight="false" outlineLevel="0" collapsed="false">
      <c r="A815" s="10" t="s">
        <v>3156</v>
      </c>
      <c r="B815" s="10" t="s">
        <v>63</v>
      </c>
      <c r="C815" s="10" t="s">
        <v>47</v>
      </c>
      <c r="D815" s="10" t="s">
        <v>218</v>
      </c>
      <c r="E815" s="10" t="s">
        <v>2345</v>
      </c>
      <c r="F815" s="30" t="n">
        <v>42826</v>
      </c>
      <c r="G815" s="30" t="n">
        <v>42834</v>
      </c>
      <c r="H815" s="26" t="n">
        <f aca="false">G815-F815</f>
        <v>8</v>
      </c>
      <c r="I815" s="10" t="n">
        <f aca="false">IF(E815="Won",1,0)</f>
        <v>0</v>
      </c>
    </row>
    <row r="816" customFormat="false" ht="15" hidden="false" customHeight="false" outlineLevel="0" collapsed="false">
      <c r="A816" s="10" t="s">
        <v>3157</v>
      </c>
      <c r="B816" s="10" t="s">
        <v>70</v>
      </c>
      <c r="C816" s="10" t="s">
        <v>48</v>
      </c>
      <c r="D816" s="10" t="s">
        <v>326</v>
      </c>
      <c r="E816" s="10" t="s">
        <v>2345</v>
      </c>
      <c r="F816" s="30" t="n">
        <v>42826</v>
      </c>
      <c r="G816" s="30" t="n">
        <v>42834</v>
      </c>
      <c r="H816" s="26" t="n">
        <f aca="false">G816-F816</f>
        <v>8</v>
      </c>
      <c r="I816" s="10" t="n">
        <f aca="false">IF(E816="Won",1,0)</f>
        <v>0</v>
      </c>
    </row>
    <row r="817" customFormat="false" ht="15" hidden="false" customHeight="false" outlineLevel="0" collapsed="false">
      <c r="A817" s="10" t="s">
        <v>3158</v>
      </c>
      <c r="B817" s="10" t="s">
        <v>97</v>
      </c>
      <c r="C817" s="10" t="s">
        <v>47</v>
      </c>
      <c r="D817" s="10" t="s">
        <v>175</v>
      </c>
      <c r="E817" s="10" t="s">
        <v>2342</v>
      </c>
      <c r="F817" s="30" t="n">
        <v>42824</v>
      </c>
      <c r="G817" s="30" t="n">
        <v>42835</v>
      </c>
      <c r="H817" s="26" t="n">
        <f aca="false">G817-F817</f>
        <v>11</v>
      </c>
      <c r="I817" s="10" t="n">
        <f aca="false">IF(E817="Won",1,0)</f>
        <v>1</v>
      </c>
    </row>
    <row r="818" customFormat="false" ht="15" hidden="false" customHeight="false" outlineLevel="0" collapsed="false">
      <c r="A818" s="10" t="s">
        <v>3159</v>
      </c>
      <c r="B818" s="10" t="s">
        <v>83</v>
      </c>
      <c r="C818" s="10" t="s">
        <v>51</v>
      </c>
      <c r="D818" s="10" t="s">
        <v>483</v>
      </c>
      <c r="E818" s="10" t="s">
        <v>2342</v>
      </c>
      <c r="F818" s="30" t="n">
        <v>42826</v>
      </c>
      <c r="G818" s="30" t="n">
        <v>42835</v>
      </c>
      <c r="H818" s="26" t="n">
        <f aca="false">G818-F818</f>
        <v>9</v>
      </c>
      <c r="I818" s="10" t="n">
        <f aca="false">IF(E818="Won",1,0)</f>
        <v>1</v>
      </c>
    </row>
    <row r="819" customFormat="false" ht="15" hidden="false" customHeight="false" outlineLevel="0" collapsed="false">
      <c r="A819" s="10" t="s">
        <v>3160</v>
      </c>
      <c r="B819" s="10" t="s">
        <v>81</v>
      </c>
      <c r="C819" s="10" t="s">
        <v>49</v>
      </c>
      <c r="D819" s="10" t="s">
        <v>527</v>
      </c>
      <c r="E819" s="10" t="s">
        <v>2345</v>
      </c>
      <c r="F819" s="30" t="n">
        <v>42826</v>
      </c>
      <c r="G819" s="30" t="n">
        <v>42835</v>
      </c>
      <c r="H819" s="26" t="n">
        <f aca="false">G819-F819</f>
        <v>9</v>
      </c>
      <c r="I819" s="10" t="n">
        <f aca="false">IF(E819="Won",1,0)</f>
        <v>0</v>
      </c>
    </row>
    <row r="820" customFormat="false" ht="15" hidden="false" customHeight="false" outlineLevel="0" collapsed="false">
      <c r="A820" s="10" t="s">
        <v>3161</v>
      </c>
      <c r="B820" s="10" t="s">
        <v>73</v>
      </c>
      <c r="C820" s="10" t="s">
        <v>47</v>
      </c>
      <c r="D820" s="10" t="s">
        <v>193</v>
      </c>
      <c r="E820" s="10" t="s">
        <v>2345</v>
      </c>
      <c r="F820" s="30" t="n">
        <v>42830</v>
      </c>
      <c r="G820" s="30" t="n">
        <v>42835</v>
      </c>
      <c r="H820" s="26" t="n">
        <f aca="false">G820-F820</f>
        <v>5</v>
      </c>
      <c r="I820" s="10" t="n">
        <f aca="false">IF(E820="Won",1,0)</f>
        <v>0</v>
      </c>
    </row>
    <row r="821" customFormat="false" ht="15" hidden="false" customHeight="false" outlineLevel="0" collapsed="false">
      <c r="A821" s="10" t="s">
        <v>3162</v>
      </c>
      <c r="B821" s="10" t="s">
        <v>95</v>
      </c>
      <c r="C821" s="10" t="s">
        <v>51</v>
      </c>
      <c r="D821" s="10" t="s">
        <v>348</v>
      </c>
      <c r="E821" s="10" t="s">
        <v>2342</v>
      </c>
      <c r="F821" s="30" t="n">
        <v>42827</v>
      </c>
      <c r="G821" s="30" t="n">
        <v>42835</v>
      </c>
      <c r="H821" s="26" t="n">
        <f aca="false">G821-F821</f>
        <v>8</v>
      </c>
      <c r="I821" s="10" t="n">
        <f aca="false">IF(E821="Won",1,0)</f>
        <v>1</v>
      </c>
    </row>
    <row r="822" customFormat="false" ht="15" hidden="false" customHeight="false" outlineLevel="0" collapsed="false">
      <c r="A822" s="10" t="s">
        <v>3163</v>
      </c>
      <c r="B822" s="10" t="s">
        <v>74</v>
      </c>
      <c r="C822" s="10" t="s">
        <v>49</v>
      </c>
      <c r="D822" s="10" t="s">
        <v>536</v>
      </c>
      <c r="E822" s="10" t="s">
        <v>2345</v>
      </c>
      <c r="F822" s="30" t="n">
        <v>42826</v>
      </c>
      <c r="G822" s="30" t="n">
        <v>42835</v>
      </c>
      <c r="H822" s="26" t="n">
        <f aca="false">G822-F822</f>
        <v>9</v>
      </c>
      <c r="I822" s="10" t="n">
        <f aca="false">IF(E822="Won",1,0)</f>
        <v>0</v>
      </c>
    </row>
    <row r="823" customFormat="false" ht="15" hidden="false" customHeight="false" outlineLevel="0" collapsed="false">
      <c r="A823" s="10" t="s">
        <v>3164</v>
      </c>
      <c r="B823" s="10" t="s">
        <v>67</v>
      </c>
      <c r="C823" s="10" t="s">
        <v>47</v>
      </c>
      <c r="D823" s="10" t="s">
        <v>396</v>
      </c>
      <c r="E823" s="10" t="s">
        <v>2342</v>
      </c>
      <c r="F823" s="30" t="n">
        <v>42833</v>
      </c>
      <c r="G823" s="30" t="n">
        <v>42835</v>
      </c>
      <c r="H823" s="26" t="n">
        <f aca="false">G823-F823</f>
        <v>2</v>
      </c>
      <c r="I823" s="10" t="n">
        <f aca="false">IF(E823="Won",1,0)</f>
        <v>1</v>
      </c>
    </row>
    <row r="824" customFormat="false" ht="15" hidden="false" customHeight="false" outlineLevel="0" collapsed="false">
      <c r="A824" s="10" t="s">
        <v>3165</v>
      </c>
      <c r="B824" s="10" t="s">
        <v>63</v>
      </c>
      <c r="C824" s="10" t="s">
        <v>51</v>
      </c>
      <c r="D824" s="10" t="s">
        <v>161</v>
      </c>
      <c r="E824" s="10" t="s">
        <v>2345</v>
      </c>
      <c r="F824" s="30" t="n">
        <v>42823</v>
      </c>
      <c r="G824" s="30" t="n">
        <v>42835</v>
      </c>
      <c r="H824" s="26" t="n">
        <f aca="false">G824-F824</f>
        <v>12</v>
      </c>
      <c r="I824" s="10" t="n">
        <f aca="false">IF(E824="Won",1,0)</f>
        <v>0</v>
      </c>
    </row>
    <row r="825" customFormat="false" ht="15" hidden="false" customHeight="false" outlineLevel="0" collapsed="false">
      <c r="A825" s="10" t="s">
        <v>3166</v>
      </c>
      <c r="B825" s="10" t="s">
        <v>77</v>
      </c>
      <c r="C825" s="10" t="s">
        <v>48</v>
      </c>
      <c r="D825" s="10" t="s">
        <v>947</v>
      </c>
      <c r="E825" s="10" t="s">
        <v>2342</v>
      </c>
      <c r="F825" s="30" t="n">
        <v>42826</v>
      </c>
      <c r="G825" s="30" t="n">
        <v>42835</v>
      </c>
      <c r="H825" s="26" t="n">
        <f aca="false">G825-F825</f>
        <v>9</v>
      </c>
      <c r="I825" s="10" t="n">
        <f aca="false">IF(E825="Won",1,0)</f>
        <v>1</v>
      </c>
    </row>
    <row r="826" customFormat="false" ht="15" hidden="false" customHeight="false" outlineLevel="0" collapsed="false">
      <c r="A826" s="10" t="s">
        <v>3167</v>
      </c>
      <c r="B826" s="10" t="s">
        <v>75</v>
      </c>
      <c r="C826" s="10" t="s">
        <v>52</v>
      </c>
      <c r="D826" s="10" t="s">
        <v>388</v>
      </c>
      <c r="E826" s="10" t="s">
        <v>2345</v>
      </c>
      <c r="F826" s="30" t="n">
        <v>42833</v>
      </c>
      <c r="G826" s="30" t="n">
        <v>42835</v>
      </c>
      <c r="H826" s="26" t="n">
        <f aca="false">G826-F826</f>
        <v>2</v>
      </c>
      <c r="I826" s="10" t="n">
        <f aca="false">IF(E826="Won",1,0)</f>
        <v>0</v>
      </c>
    </row>
    <row r="827" customFormat="false" ht="15" hidden="false" customHeight="false" outlineLevel="0" collapsed="false">
      <c r="A827" s="10" t="s">
        <v>3168</v>
      </c>
      <c r="B827" s="10" t="s">
        <v>57</v>
      </c>
      <c r="C827" s="10" t="s">
        <v>50</v>
      </c>
      <c r="D827" s="10" t="s">
        <v>616</v>
      </c>
      <c r="E827" s="10" t="s">
        <v>2342</v>
      </c>
      <c r="F827" s="30" t="n">
        <v>42830</v>
      </c>
      <c r="G827" s="30" t="n">
        <v>42835</v>
      </c>
      <c r="H827" s="26" t="n">
        <f aca="false">G827-F827</f>
        <v>5</v>
      </c>
      <c r="I827" s="10" t="n">
        <f aca="false">IF(E827="Won",1,0)</f>
        <v>1</v>
      </c>
    </row>
    <row r="828" customFormat="false" ht="15" hidden="false" customHeight="false" outlineLevel="0" collapsed="false">
      <c r="A828" s="10" t="s">
        <v>3169</v>
      </c>
      <c r="B828" s="10" t="s">
        <v>80</v>
      </c>
      <c r="C828" s="10" t="s">
        <v>48</v>
      </c>
      <c r="D828" s="10" t="s">
        <v>597</v>
      </c>
      <c r="E828" s="10" t="s">
        <v>2342</v>
      </c>
      <c r="F828" s="30" t="n">
        <v>42829</v>
      </c>
      <c r="G828" s="30" t="n">
        <v>42835</v>
      </c>
      <c r="H828" s="26" t="n">
        <f aca="false">G828-F828</f>
        <v>6</v>
      </c>
      <c r="I828" s="10" t="n">
        <f aca="false">IF(E828="Won",1,0)</f>
        <v>1</v>
      </c>
    </row>
    <row r="829" customFormat="false" ht="15" hidden="false" customHeight="false" outlineLevel="0" collapsed="false">
      <c r="A829" s="10" t="s">
        <v>3170</v>
      </c>
      <c r="B829" s="10" t="s">
        <v>96</v>
      </c>
      <c r="C829" s="10" t="s">
        <v>47</v>
      </c>
      <c r="D829" s="10" t="s">
        <v>210</v>
      </c>
      <c r="E829" s="10" t="s">
        <v>2342</v>
      </c>
      <c r="F829" s="30" t="n">
        <v>42825</v>
      </c>
      <c r="G829" s="30" t="n">
        <v>42835</v>
      </c>
      <c r="H829" s="26" t="n">
        <f aca="false">G829-F829</f>
        <v>10</v>
      </c>
      <c r="I829" s="10" t="n">
        <f aca="false">IF(E829="Won",1,0)</f>
        <v>1</v>
      </c>
    </row>
    <row r="830" customFormat="false" ht="15" hidden="false" customHeight="false" outlineLevel="0" collapsed="false">
      <c r="A830" s="10" t="s">
        <v>3171</v>
      </c>
      <c r="B830" s="10" t="s">
        <v>94</v>
      </c>
      <c r="C830" s="10" t="s">
        <v>50</v>
      </c>
      <c r="D830" s="10" t="s">
        <v>348</v>
      </c>
      <c r="E830" s="10" t="s">
        <v>2342</v>
      </c>
      <c r="F830" s="30" t="n">
        <v>42834</v>
      </c>
      <c r="G830" s="30" t="n">
        <v>42835</v>
      </c>
      <c r="H830" s="26" t="n">
        <f aca="false">G830-F830</f>
        <v>1</v>
      </c>
      <c r="I830" s="10" t="n">
        <f aca="false">IF(E830="Won",1,0)</f>
        <v>1</v>
      </c>
    </row>
    <row r="831" customFormat="false" ht="15" hidden="false" customHeight="false" outlineLevel="0" collapsed="false">
      <c r="A831" s="10" t="s">
        <v>3172</v>
      </c>
      <c r="B831" s="10" t="s">
        <v>81</v>
      </c>
      <c r="C831" s="10" t="s">
        <v>50</v>
      </c>
      <c r="D831" s="10" t="s">
        <v>291</v>
      </c>
      <c r="E831" s="10" t="s">
        <v>2342</v>
      </c>
      <c r="F831" s="30" t="n">
        <v>42834</v>
      </c>
      <c r="G831" s="30" t="n">
        <v>42835</v>
      </c>
      <c r="H831" s="26" t="n">
        <f aca="false">G831-F831</f>
        <v>1</v>
      </c>
      <c r="I831" s="10" t="n">
        <f aca="false">IF(E831="Won",1,0)</f>
        <v>1</v>
      </c>
    </row>
    <row r="832" customFormat="false" ht="15" hidden="false" customHeight="false" outlineLevel="0" collapsed="false">
      <c r="A832" s="10" t="s">
        <v>3173</v>
      </c>
      <c r="B832" s="10" t="s">
        <v>83</v>
      </c>
      <c r="C832" s="10" t="s">
        <v>50</v>
      </c>
      <c r="D832" s="10" t="s">
        <v>179</v>
      </c>
      <c r="E832" s="10" t="s">
        <v>2342</v>
      </c>
      <c r="F832" s="30" t="n">
        <v>42834</v>
      </c>
      <c r="G832" s="30" t="n">
        <v>42835</v>
      </c>
      <c r="H832" s="26" t="n">
        <f aca="false">G832-F832</f>
        <v>1</v>
      </c>
      <c r="I832" s="10" t="n">
        <f aca="false">IF(E832="Won",1,0)</f>
        <v>1</v>
      </c>
    </row>
    <row r="833" customFormat="false" ht="15" hidden="false" customHeight="false" outlineLevel="0" collapsed="false">
      <c r="A833" s="10" t="s">
        <v>3174</v>
      </c>
      <c r="B833" s="10" t="s">
        <v>79</v>
      </c>
      <c r="C833" s="10" t="s">
        <v>52</v>
      </c>
      <c r="D833" s="10" t="s">
        <v>483</v>
      </c>
      <c r="E833" s="10" t="s">
        <v>2345</v>
      </c>
      <c r="F833" s="30" t="n">
        <v>42828</v>
      </c>
      <c r="G833" s="30" t="n">
        <v>42835</v>
      </c>
      <c r="H833" s="26" t="n">
        <f aca="false">G833-F833</f>
        <v>7</v>
      </c>
      <c r="I833" s="10" t="n">
        <f aca="false">IF(E833="Won",1,0)</f>
        <v>0</v>
      </c>
    </row>
    <row r="834" customFormat="false" ht="15" hidden="false" customHeight="false" outlineLevel="0" collapsed="false">
      <c r="A834" s="10" t="s">
        <v>3175</v>
      </c>
      <c r="B834" s="10" t="s">
        <v>73</v>
      </c>
      <c r="C834" s="10" t="s">
        <v>49</v>
      </c>
      <c r="D834" s="10" t="s">
        <v>1251</v>
      </c>
      <c r="E834" s="10" t="s">
        <v>2342</v>
      </c>
      <c r="F834" s="30" t="n">
        <v>42827</v>
      </c>
      <c r="G834" s="30" t="n">
        <v>42835</v>
      </c>
      <c r="H834" s="26" t="n">
        <f aca="false">G834-F834</f>
        <v>8</v>
      </c>
      <c r="I834" s="10" t="n">
        <f aca="false">IF(E834="Won",1,0)</f>
        <v>1</v>
      </c>
    </row>
    <row r="835" customFormat="false" ht="15" hidden="false" customHeight="false" outlineLevel="0" collapsed="false">
      <c r="A835" s="10" t="s">
        <v>3176</v>
      </c>
      <c r="B835" s="10" t="s">
        <v>57</v>
      </c>
      <c r="C835" s="10" t="s">
        <v>49</v>
      </c>
      <c r="D835" s="10" t="s">
        <v>161</v>
      </c>
      <c r="E835" s="10" t="s">
        <v>2342</v>
      </c>
      <c r="F835" s="30" t="n">
        <v>42828</v>
      </c>
      <c r="G835" s="30" t="n">
        <v>42835</v>
      </c>
      <c r="H835" s="26" t="n">
        <f aca="false">G835-F835</f>
        <v>7</v>
      </c>
      <c r="I835" s="10" t="n">
        <f aca="false">IF(E835="Won",1,0)</f>
        <v>1</v>
      </c>
    </row>
    <row r="836" customFormat="false" ht="15" hidden="false" customHeight="false" outlineLevel="0" collapsed="false">
      <c r="A836" s="10" t="s">
        <v>3177</v>
      </c>
      <c r="B836" s="10" t="s">
        <v>90</v>
      </c>
      <c r="C836" s="10" t="s">
        <v>51</v>
      </c>
      <c r="D836" s="10" t="s">
        <v>254</v>
      </c>
      <c r="E836" s="10" t="s">
        <v>2345</v>
      </c>
      <c r="F836" s="30" t="n">
        <v>42827</v>
      </c>
      <c r="G836" s="30" t="n">
        <v>42835</v>
      </c>
      <c r="H836" s="26" t="n">
        <f aca="false">G836-F836</f>
        <v>8</v>
      </c>
      <c r="I836" s="10" t="n">
        <f aca="false">IF(E836="Won",1,0)</f>
        <v>0</v>
      </c>
    </row>
    <row r="837" customFormat="false" ht="15" hidden="false" customHeight="false" outlineLevel="0" collapsed="false">
      <c r="A837" s="10" t="s">
        <v>3178</v>
      </c>
      <c r="B837" s="10" t="s">
        <v>73</v>
      </c>
      <c r="C837" s="10" t="s">
        <v>51</v>
      </c>
      <c r="D837" s="10" t="s">
        <v>660</v>
      </c>
      <c r="E837" s="10" t="s">
        <v>2345</v>
      </c>
      <c r="F837" s="30" t="n">
        <v>42834</v>
      </c>
      <c r="G837" s="30" t="n">
        <v>42835</v>
      </c>
      <c r="H837" s="26" t="n">
        <f aca="false">G837-F837</f>
        <v>1</v>
      </c>
      <c r="I837" s="10" t="n">
        <f aca="false">IF(E837="Won",1,0)</f>
        <v>0</v>
      </c>
    </row>
    <row r="838" customFormat="false" ht="15" hidden="false" customHeight="false" outlineLevel="0" collapsed="false">
      <c r="A838" s="10" t="s">
        <v>3179</v>
      </c>
      <c r="B838" s="10" t="s">
        <v>66</v>
      </c>
      <c r="C838" s="10" t="s">
        <v>52</v>
      </c>
      <c r="D838" s="10" t="s">
        <v>199</v>
      </c>
      <c r="E838" s="10" t="s">
        <v>2345</v>
      </c>
      <c r="F838" s="30" t="n">
        <v>42829</v>
      </c>
      <c r="G838" s="30" t="n">
        <v>42835</v>
      </c>
      <c r="H838" s="26" t="n">
        <f aca="false">G838-F838</f>
        <v>6</v>
      </c>
      <c r="I838" s="10" t="n">
        <f aca="false">IF(E838="Won",1,0)</f>
        <v>0</v>
      </c>
    </row>
    <row r="839" customFormat="false" ht="15" hidden="false" customHeight="false" outlineLevel="0" collapsed="false">
      <c r="A839" s="10" t="s">
        <v>3180</v>
      </c>
      <c r="B839" s="10" t="s">
        <v>71</v>
      </c>
      <c r="C839" s="10" t="s">
        <v>52</v>
      </c>
      <c r="D839" s="10" t="s">
        <v>369</v>
      </c>
      <c r="E839" s="10" t="s">
        <v>2345</v>
      </c>
      <c r="F839" s="30" t="n">
        <v>42835</v>
      </c>
      <c r="G839" s="30" t="n">
        <v>42836</v>
      </c>
      <c r="H839" s="26" t="n">
        <f aca="false">G839-F839</f>
        <v>1</v>
      </c>
      <c r="I839" s="10" t="n">
        <f aca="false">IF(E839="Won",1,0)</f>
        <v>0</v>
      </c>
    </row>
    <row r="840" customFormat="false" ht="15" hidden="false" customHeight="false" outlineLevel="0" collapsed="false">
      <c r="A840" s="10" t="s">
        <v>3181</v>
      </c>
      <c r="B840" s="10" t="s">
        <v>87</v>
      </c>
      <c r="C840" s="10" t="s">
        <v>48</v>
      </c>
      <c r="D840" s="10" t="s">
        <v>350</v>
      </c>
      <c r="E840" s="10" t="s">
        <v>2342</v>
      </c>
      <c r="F840" s="30" t="n">
        <v>42835</v>
      </c>
      <c r="G840" s="30" t="n">
        <v>42836</v>
      </c>
      <c r="H840" s="26" t="n">
        <f aca="false">G840-F840</f>
        <v>1</v>
      </c>
      <c r="I840" s="10" t="n">
        <f aca="false">IF(E840="Won",1,0)</f>
        <v>1</v>
      </c>
    </row>
    <row r="841" customFormat="false" ht="15" hidden="false" customHeight="false" outlineLevel="0" collapsed="false">
      <c r="A841" s="10" t="s">
        <v>3182</v>
      </c>
      <c r="B841" s="10" t="s">
        <v>93</v>
      </c>
      <c r="C841" s="10" t="s">
        <v>49</v>
      </c>
      <c r="D841" s="10" t="s">
        <v>348</v>
      </c>
      <c r="E841" s="10" t="s">
        <v>2345</v>
      </c>
      <c r="F841" s="30" t="n">
        <v>42835</v>
      </c>
      <c r="G841" s="30" t="n">
        <v>42836</v>
      </c>
      <c r="H841" s="26" t="n">
        <f aca="false">G841-F841</f>
        <v>1</v>
      </c>
      <c r="I841" s="10" t="n">
        <f aca="false">IF(E841="Won",1,0)</f>
        <v>0</v>
      </c>
    </row>
    <row r="842" customFormat="false" ht="15" hidden="false" customHeight="false" outlineLevel="0" collapsed="false">
      <c r="A842" s="10" t="s">
        <v>3183</v>
      </c>
      <c r="B842" s="10" t="s">
        <v>97</v>
      </c>
      <c r="C842" s="10" t="s">
        <v>51</v>
      </c>
      <c r="D842" s="10" t="s">
        <v>172</v>
      </c>
      <c r="E842" s="10" t="s">
        <v>2342</v>
      </c>
      <c r="F842" s="30" t="n">
        <v>42835</v>
      </c>
      <c r="G842" s="30" t="n">
        <v>42836</v>
      </c>
      <c r="H842" s="26" t="n">
        <f aca="false">G842-F842</f>
        <v>1</v>
      </c>
      <c r="I842" s="10" t="n">
        <f aca="false">IF(E842="Won",1,0)</f>
        <v>1</v>
      </c>
    </row>
    <row r="843" customFormat="false" ht="15" hidden="false" customHeight="false" outlineLevel="0" collapsed="false">
      <c r="A843" s="10" t="s">
        <v>3184</v>
      </c>
      <c r="B843" s="10" t="s">
        <v>84</v>
      </c>
      <c r="C843" s="10" t="s">
        <v>51</v>
      </c>
      <c r="D843" s="10" t="s">
        <v>185</v>
      </c>
      <c r="E843" s="10" t="s">
        <v>2345</v>
      </c>
      <c r="F843" s="30" t="n">
        <v>42835</v>
      </c>
      <c r="G843" s="30" t="n">
        <v>42836</v>
      </c>
      <c r="H843" s="26" t="n">
        <f aca="false">G843-F843</f>
        <v>1</v>
      </c>
      <c r="I843" s="10" t="n">
        <f aca="false">IF(E843="Won",1,0)</f>
        <v>0</v>
      </c>
    </row>
    <row r="844" customFormat="false" ht="15" hidden="false" customHeight="false" outlineLevel="0" collapsed="false">
      <c r="A844" s="10" t="s">
        <v>3185</v>
      </c>
      <c r="B844" s="10" t="s">
        <v>96</v>
      </c>
      <c r="C844" s="10" t="s">
        <v>47</v>
      </c>
      <c r="D844" s="10" t="s">
        <v>175</v>
      </c>
      <c r="E844" s="10" t="s">
        <v>2342</v>
      </c>
      <c r="F844" s="30" t="n">
        <v>42825</v>
      </c>
      <c r="G844" s="30" t="n">
        <v>42836</v>
      </c>
      <c r="H844" s="26" t="n">
        <f aca="false">G844-F844</f>
        <v>11</v>
      </c>
      <c r="I844" s="10" t="n">
        <f aca="false">IF(E844="Won",1,0)</f>
        <v>1</v>
      </c>
    </row>
    <row r="845" customFormat="false" ht="15" hidden="false" customHeight="false" outlineLevel="0" collapsed="false">
      <c r="A845" s="10" t="s">
        <v>3186</v>
      </c>
      <c r="B845" s="10" t="s">
        <v>88</v>
      </c>
      <c r="C845" s="10" t="s">
        <v>50</v>
      </c>
      <c r="D845" s="10" t="s">
        <v>616</v>
      </c>
      <c r="E845" s="10" t="s">
        <v>2345</v>
      </c>
      <c r="F845" s="30" t="n">
        <v>42824</v>
      </c>
      <c r="G845" s="30" t="n">
        <v>42836</v>
      </c>
      <c r="H845" s="26" t="n">
        <f aca="false">G845-F845</f>
        <v>12</v>
      </c>
      <c r="I845" s="10" t="n">
        <f aca="false">IF(E845="Won",1,0)</f>
        <v>0</v>
      </c>
    </row>
    <row r="846" customFormat="false" ht="15" hidden="false" customHeight="false" outlineLevel="0" collapsed="false">
      <c r="A846" s="10" t="s">
        <v>3187</v>
      </c>
      <c r="B846" s="10" t="s">
        <v>96</v>
      </c>
      <c r="C846" s="10" t="s">
        <v>50</v>
      </c>
      <c r="D846" s="10" t="s">
        <v>313</v>
      </c>
      <c r="E846" s="10" t="s">
        <v>2342</v>
      </c>
      <c r="F846" s="30" t="n">
        <v>42829</v>
      </c>
      <c r="G846" s="30" t="n">
        <v>42836</v>
      </c>
      <c r="H846" s="26" t="n">
        <f aca="false">G846-F846</f>
        <v>7</v>
      </c>
      <c r="I846" s="10" t="n">
        <f aca="false">IF(E846="Won",1,0)</f>
        <v>1</v>
      </c>
    </row>
    <row r="847" customFormat="false" ht="15" hidden="false" customHeight="false" outlineLevel="0" collapsed="false">
      <c r="A847" s="10" t="s">
        <v>3188</v>
      </c>
      <c r="B847" s="10" t="s">
        <v>93</v>
      </c>
      <c r="C847" s="10" t="s">
        <v>47</v>
      </c>
      <c r="D847" s="10" t="s">
        <v>168</v>
      </c>
      <c r="E847" s="10" t="s">
        <v>2345</v>
      </c>
      <c r="F847" s="30" t="n">
        <v>42829</v>
      </c>
      <c r="G847" s="30" t="n">
        <v>42836</v>
      </c>
      <c r="H847" s="26" t="n">
        <f aca="false">G847-F847</f>
        <v>7</v>
      </c>
      <c r="I847" s="10" t="n">
        <f aca="false">IF(E847="Won",1,0)</f>
        <v>0</v>
      </c>
    </row>
    <row r="848" customFormat="false" ht="15" hidden="false" customHeight="false" outlineLevel="0" collapsed="false">
      <c r="A848" s="10" t="s">
        <v>3189</v>
      </c>
      <c r="B848" s="10" t="s">
        <v>75</v>
      </c>
      <c r="C848" s="10" t="s">
        <v>49</v>
      </c>
      <c r="D848" s="10" t="s">
        <v>321</v>
      </c>
      <c r="E848" s="10" t="s">
        <v>2345</v>
      </c>
      <c r="F848" s="30" t="n">
        <v>42824</v>
      </c>
      <c r="G848" s="30" t="n">
        <v>42836</v>
      </c>
      <c r="H848" s="26" t="n">
        <f aca="false">G848-F848</f>
        <v>12</v>
      </c>
      <c r="I848" s="10" t="n">
        <f aca="false">IF(E848="Won",1,0)</f>
        <v>0</v>
      </c>
    </row>
    <row r="849" customFormat="false" ht="15" hidden="false" customHeight="false" outlineLevel="0" collapsed="false">
      <c r="A849" s="10" t="s">
        <v>3190</v>
      </c>
      <c r="B849" s="10" t="s">
        <v>57</v>
      </c>
      <c r="C849" s="10" t="s">
        <v>51</v>
      </c>
      <c r="D849" s="10" t="s">
        <v>455</v>
      </c>
      <c r="E849" s="10" t="s">
        <v>2342</v>
      </c>
      <c r="F849" s="30" t="n">
        <v>42829</v>
      </c>
      <c r="G849" s="30" t="n">
        <v>42836</v>
      </c>
      <c r="H849" s="26" t="n">
        <f aca="false">G849-F849</f>
        <v>7</v>
      </c>
      <c r="I849" s="10" t="n">
        <f aca="false">IF(E849="Won",1,0)</f>
        <v>1</v>
      </c>
    </row>
    <row r="850" customFormat="false" ht="15" hidden="false" customHeight="false" outlineLevel="0" collapsed="false">
      <c r="A850" s="10" t="s">
        <v>3191</v>
      </c>
      <c r="B850" s="10" t="s">
        <v>71</v>
      </c>
      <c r="C850" s="10" t="s">
        <v>51</v>
      </c>
      <c r="D850" s="10" t="s">
        <v>1251</v>
      </c>
      <c r="E850" s="10" t="s">
        <v>2342</v>
      </c>
      <c r="F850" s="30" t="n">
        <v>42829</v>
      </c>
      <c r="G850" s="30" t="n">
        <v>42836</v>
      </c>
      <c r="H850" s="26" t="n">
        <f aca="false">G850-F850</f>
        <v>7</v>
      </c>
      <c r="I850" s="10" t="n">
        <f aca="false">IF(E850="Won",1,0)</f>
        <v>1</v>
      </c>
    </row>
    <row r="851" customFormat="false" ht="15" hidden="false" customHeight="false" outlineLevel="0" collapsed="false">
      <c r="A851" s="10" t="s">
        <v>3192</v>
      </c>
      <c r="B851" s="10" t="s">
        <v>70</v>
      </c>
      <c r="C851" s="10" t="s">
        <v>49</v>
      </c>
      <c r="D851" s="10" t="s">
        <v>348</v>
      </c>
      <c r="E851" s="10" t="s">
        <v>2345</v>
      </c>
      <c r="F851" s="30" t="n">
        <v>42828</v>
      </c>
      <c r="G851" s="30" t="n">
        <v>42836</v>
      </c>
      <c r="H851" s="26" t="n">
        <f aca="false">G851-F851</f>
        <v>8</v>
      </c>
      <c r="I851" s="10" t="n">
        <f aca="false">IF(E851="Won",1,0)</f>
        <v>0</v>
      </c>
    </row>
    <row r="852" customFormat="false" ht="15" hidden="false" customHeight="false" outlineLevel="0" collapsed="false">
      <c r="A852" s="10" t="s">
        <v>3193</v>
      </c>
      <c r="B852" s="10" t="s">
        <v>74</v>
      </c>
      <c r="C852" s="10" t="s">
        <v>51</v>
      </c>
      <c r="D852" s="10" t="s">
        <v>524</v>
      </c>
      <c r="E852" s="10" t="s">
        <v>2345</v>
      </c>
      <c r="F852" s="30" t="n">
        <v>42828</v>
      </c>
      <c r="G852" s="30" t="n">
        <v>42836</v>
      </c>
      <c r="H852" s="26" t="n">
        <f aca="false">G852-F852</f>
        <v>8</v>
      </c>
      <c r="I852" s="10" t="n">
        <f aca="false">IF(E852="Won",1,0)</f>
        <v>0</v>
      </c>
    </row>
    <row r="853" customFormat="false" ht="15" hidden="false" customHeight="false" outlineLevel="0" collapsed="false">
      <c r="A853" s="10" t="s">
        <v>3194</v>
      </c>
      <c r="B853" s="10" t="s">
        <v>81</v>
      </c>
      <c r="C853" s="10" t="s">
        <v>50</v>
      </c>
      <c r="D853" s="10" t="s">
        <v>660</v>
      </c>
      <c r="E853" s="10" t="s">
        <v>2342</v>
      </c>
      <c r="F853" s="30" t="n">
        <v>42827</v>
      </c>
      <c r="G853" s="30" t="n">
        <v>42836</v>
      </c>
      <c r="H853" s="26" t="n">
        <f aca="false">G853-F853</f>
        <v>9</v>
      </c>
      <c r="I853" s="10" t="n">
        <f aca="false">IF(E853="Won",1,0)</f>
        <v>1</v>
      </c>
    </row>
    <row r="854" customFormat="false" ht="15" hidden="false" customHeight="false" outlineLevel="0" collapsed="false">
      <c r="A854" s="10" t="s">
        <v>3195</v>
      </c>
      <c r="B854" s="10" t="s">
        <v>77</v>
      </c>
      <c r="C854" s="10" t="s">
        <v>49</v>
      </c>
      <c r="D854" s="10" t="s">
        <v>422</v>
      </c>
      <c r="E854" s="10" t="s">
        <v>2342</v>
      </c>
      <c r="F854" s="30" t="n">
        <v>42827</v>
      </c>
      <c r="G854" s="30" t="n">
        <v>42836</v>
      </c>
      <c r="H854" s="26" t="n">
        <f aca="false">G854-F854</f>
        <v>9</v>
      </c>
      <c r="I854" s="10" t="n">
        <f aca="false">IF(E854="Won",1,0)</f>
        <v>1</v>
      </c>
    </row>
    <row r="855" customFormat="false" ht="15" hidden="false" customHeight="false" outlineLevel="0" collapsed="false">
      <c r="A855" s="10" t="s">
        <v>3196</v>
      </c>
      <c r="B855" s="10" t="s">
        <v>79</v>
      </c>
      <c r="C855" s="10" t="s">
        <v>50</v>
      </c>
      <c r="D855" s="10" t="s">
        <v>210</v>
      </c>
      <c r="E855" s="10" t="s">
        <v>2345</v>
      </c>
      <c r="F855" s="30" t="n">
        <v>42826</v>
      </c>
      <c r="G855" s="30" t="n">
        <v>42836</v>
      </c>
      <c r="H855" s="26" t="n">
        <f aca="false">G855-F855</f>
        <v>10</v>
      </c>
      <c r="I855" s="10" t="n">
        <f aca="false">IF(E855="Won",1,0)</f>
        <v>0</v>
      </c>
    </row>
    <row r="856" customFormat="false" ht="15" hidden="false" customHeight="false" outlineLevel="0" collapsed="false">
      <c r="A856" s="10" t="s">
        <v>3197</v>
      </c>
      <c r="B856" s="10" t="s">
        <v>57</v>
      </c>
      <c r="C856" s="10" t="s">
        <v>50</v>
      </c>
      <c r="D856" s="10" t="s">
        <v>218</v>
      </c>
      <c r="E856" s="10" t="s">
        <v>2345</v>
      </c>
      <c r="F856" s="30" t="n">
        <v>42826</v>
      </c>
      <c r="G856" s="30" t="n">
        <v>42836</v>
      </c>
      <c r="H856" s="26" t="n">
        <f aca="false">G856-F856</f>
        <v>10</v>
      </c>
      <c r="I856" s="10" t="n">
        <f aca="false">IF(E856="Won",1,0)</f>
        <v>0</v>
      </c>
    </row>
    <row r="857" customFormat="false" ht="15" hidden="false" customHeight="false" outlineLevel="0" collapsed="false">
      <c r="A857" s="10" t="s">
        <v>3198</v>
      </c>
      <c r="B857" s="10" t="s">
        <v>73</v>
      </c>
      <c r="C857" s="10" t="s">
        <v>51</v>
      </c>
      <c r="D857" s="10" t="s">
        <v>422</v>
      </c>
      <c r="E857" s="10" t="s">
        <v>2345</v>
      </c>
      <c r="F857" s="30" t="n">
        <v>42824</v>
      </c>
      <c r="G857" s="30" t="n">
        <v>42836</v>
      </c>
      <c r="H857" s="26" t="n">
        <f aca="false">G857-F857</f>
        <v>12</v>
      </c>
      <c r="I857" s="10" t="n">
        <f aca="false">IF(E857="Won",1,0)</f>
        <v>0</v>
      </c>
    </row>
    <row r="858" customFormat="false" ht="15" hidden="false" customHeight="false" outlineLevel="0" collapsed="false">
      <c r="A858" s="10" t="s">
        <v>3199</v>
      </c>
      <c r="B858" s="10" t="s">
        <v>79</v>
      </c>
      <c r="C858" s="10" t="s">
        <v>51</v>
      </c>
      <c r="D858" s="10" t="s">
        <v>961</v>
      </c>
      <c r="E858" s="10" t="s">
        <v>2342</v>
      </c>
      <c r="F858" s="30" t="n">
        <v>42827</v>
      </c>
      <c r="G858" s="30" t="n">
        <v>42836</v>
      </c>
      <c r="H858" s="26" t="n">
        <f aca="false">G858-F858</f>
        <v>9</v>
      </c>
      <c r="I858" s="10" t="n">
        <f aca="false">IF(E858="Won",1,0)</f>
        <v>1</v>
      </c>
    </row>
    <row r="859" customFormat="false" ht="15" hidden="false" customHeight="false" outlineLevel="0" collapsed="false">
      <c r="A859" s="10" t="s">
        <v>3200</v>
      </c>
      <c r="B859" s="10" t="s">
        <v>57</v>
      </c>
      <c r="C859" s="10" t="s">
        <v>50</v>
      </c>
      <c r="D859" s="10" t="s">
        <v>233</v>
      </c>
      <c r="E859" s="10" t="s">
        <v>2345</v>
      </c>
      <c r="F859" s="30" t="n">
        <v>42829</v>
      </c>
      <c r="G859" s="30" t="n">
        <v>42836</v>
      </c>
      <c r="H859" s="26" t="n">
        <f aca="false">G859-F859</f>
        <v>7</v>
      </c>
      <c r="I859" s="10" t="n">
        <f aca="false">IF(E859="Won",1,0)</f>
        <v>0</v>
      </c>
    </row>
    <row r="860" customFormat="false" ht="15" hidden="false" customHeight="false" outlineLevel="0" collapsed="false">
      <c r="A860" s="10" t="s">
        <v>3201</v>
      </c>
      <c r="B860" s="10" t="s">
        <v>95</v>
      </c>
      <c r="C860" s="10" t="s">
        <v>51</v>
      </c>
      <c r="D860" s="10" t="s">
        <v>483</v>
      </c>
      <c r="E860" s="10" t="s">
        <v>2345</v>
      </c>
      <c r="F860" s="30" t="n">
        <v>42835</v>
      </c>
      <c r="G860" s="30" t="n">
        <v>42837</v>
      </c>
      <c r="H860" s="26" t="n">
        <f aca="false">G860-F860</f>
        <v>2</v>
      </c>
      <c r="I860" s="10" t="n">
        <f aca="false">IF(E860="Won",1,0)</f>
        <v>0</v>
      </c>
    </row>
    <row r="861" customFormat="false" ht="15" hidden="false" customHeight="false" outlineLevel="0" collapsed="false">
      <c r="A861" s="10" t="s">
        <v>3202</v>
      </c>
      <c r="B861" s="10" t="s">
        <v>96</v>
      </c>
      <c r="C861" s="10" t="s">
        <v>48</v>
      </c>
      <c r="D861" s="10" t="s">
        <v>419</v>
      </c>
      <c r="E861" s="10" t="s">
        <v>2342</v>
      </c>
      <c r="F861" s="30" t="n">
        <v>42833</v>
      </c>
      <c r="G861" s="30" t="n">
        <v>42837</v>
      </c>
      <c r="H861" s="26" t="n">
        <f aca="false">G861-F861</f>
        <v>4</v>
      </c>
      <c r="I861" s="10" t="n">
        <f aca="false">IF(E861="Won",1,0)</f>
        <v>1</v>
      </c>
    </row>
    <row r="862" customFormat="false" ht="15" hidden="false" customHeight="false" outlineLevel="0" collapsed="false">
      <c r="A862" s="10" t="s">
        <v>3203</v>
      </c>
      <c r="B862" s="10" t="s">
        <v>94</v>
      </c>
      <c r="C862" s="10" t="s">
        <v>51</v>
      </c>
      <c r="D862" s="10" t="s">
        <v>337</v>
      </c>
      <c r="E862" s="10" t="s">
        <v>2342</v>
      </c>
      <c r="F862" s="30" t="n">
        <v>42828</v>
      </c>
      <c r="G862" s="30" t="n">
        <v>42837</v>
      </c>
      <c r="H862" s="26" t="n">
        <f aca="false">G862-F862</f>
        <v>9</v>
      </c>
      <c r="I862" s="10" t="n">
        <f aca="false">IF(E862="Won",1,0)</f>
        <v>1</v>
      </c>
    </row>
    <row r="863" customFormat="false" ht="15" hidden="false" customHeight="false" outlineLevel="0" collapsed="false">
      <c r="A863" s="10" t="s">
        <v>3204</v>
      </c>
      <c r="B863" s="10" t="s">
        <v>68</v>
      </c>
      <c r="C863" s="10" t="s">
        <v>52</v>
      </c>
      <c r="D863" s="10" t="s">
        <v>487</v>
      </c>
      <c r="E863" s="10" t="s">
        <v>2345</v>
      </c>
      <c r="F863" s="30" t="n">
        <v>42825</v>
      </c>
      <c r="G863" s="30" t="n">
        <v>42837</v>
      </c>
      <c r="H863" s="26" t="n">
        <f aca="false">G863-F863</f>
        <v>12</v>
      </c>
      <c r="I863" s="10" t="n">
        <f aca="false">IF(E863="Won",1,0)</f>
        <v>0</v>
      </c>
    </row>
    <row r="864" customFormat="false" ht="15" hidden="false" customHeight="false" outlineLevel="0" collapsed="false">
      <c r="A864" s="10" t="s">
        <v>3205</v>
      </c>
      <c r="B864" s="10" t="s">
        <v>96</v>
      </c>
      <c r="C864" s="10" t="s">
        <v>50</v>
      </c>
      <c r="D864" s="10" t="s">
        <v>199</v>
      </c>
      <c r="E864" s="10" t="s">
        <v>2345</v>
      </c>
      <c r="F864" s="30" t="n">
        <v>42825</v>
      </c>
      <c r="G864" s="30" t="n">
        <v>42837</v>
      </c>
      <c r="H864" s="26" t="n">
        <f aca="false">G864-F864</f>
        <v>12</v>
      </c>
      <c r="I864" s="10" t="n">
        <f aca="false">IF(E864="Won",1,0)</f>
        <v>0</v>
      </c>
    </row>
    <row r="865" customFormat="false" ht="15" hidden="false" customHeight="false" outlineLevel="0" collapsed="false">
      <c r="A865" s="10" t="s">
        <v>3206</v>
      </c>
      <c r="B865" s="10" t="s">
        <v>90</v>
      </c>
      <c r="C865" s="10" t="s">
        <v>52</v>
      </c>
      <c r="D865" s="10" t="s">
        <v>1334</v>
      </c>
      <c r="E865" s="10" t="s">
        <v>2345</v>
      </c>
      <c r="F865" s="30" t="n">
        <v>42825</v>
      </c>
      <c r="G865" s="30" t="n">
        <v>42837</v>
      </c>
      <c r="H865" s="26" t="n">
        <f aca="false">G865-F865</f>
        <v>12</v>
      </c>
      <c r="I865" s="10" t="n">
        <f aca="false">IF(E865="Won",1,0)</f>
        <v>0</v>
      </c>
    </row>
    <row r="866" customFormat="false" ht="15" hidden="false" customHeight="false" outlineLevel="0" collapsed="false">
      <c r="A866" s="10" t="s">
        <v>3207</v>
      </c>
      <c r="B866" s="10" t="s">
        <v>77</v>
      </c>
      <c r="C866" s="10" t="s">
        <v>48</v>
      </c>
      <c r="D866" s="10" t="s">
        <v>291</v>
      </c>
      <c r="E866" s="10" t="s">
        <v>2345</v>
      </c>
      <c r="F866" s="30" t="n">
        <v>42836</v>
      </c>
      <c r="G866" s="30" t="n">
        <v>42837</v>
      </c>
      <c r="H866" s="26" t="n">
        <f aca="false">G866-F866</f>
        <v>1</v>
      </c>
      <c r="I866" s="10" t="n">
        <f aca="false">IF(E866="Won",1,0)</f>
        <v>0</v>
      </c>
    </row>
    <row r="867" customFormat="false" ht="15" hidden="false" customHeight="false" outlineLevel="0" collapsed="false">
      <c r="A867" s="10" t="s">
        <v>3208</v>
      </c>
      <c r="B867" s="10" t="s">
        <v>71</v>
      </c>
      <c r="C867" s="10" t="s">
        <v>52</v>
      </c>
      <c r="D867" s="10" t="s">
        <v>1251</v>
      </c>
      <c r="E867" s="10" t="s">
        <v>2342</v>
      </c>
      <c r="F867" s="30" t="n">
        <v>42829</v>
      </c>
      <c r="G867" s="30" t="n">
        <v>42837</v>
      </c>
      <c r="H867" s="26" t="n">
        <f aca="false">G867-F867</f>
        <v>8</v>
      </c>
      <c r="I867" s="10" t="n">
        <f aca="false">IF(E867="Won",1,0)</f>
        <v>1</v>
      </c>
    </row>
    <row r="868" customFormat="false" ht="15" hidden="false" customHeight="false" outlineLevel="0" collapsed="false">
      <c r="A868" s="10" t="s">
        <v>3209</v>
      </c>
      <c r="B868" s="10" t="s">
        <v>76</v>
      </c>
      <c r="C868" s="10" t="s">
        <v>52</v>
      </c>
      <c r="D868" s="10" t="s">
        <v>179</v>
      </c>
      <c r="E868" s="10" t="s">
        <v>2345</v>
      </c>
      <c r="F868" s="30" t="n">
        <v>42827</v>
      </c>
      <c r="G868" s="30" t="n">
        <v>42837</v>
      </c>
      <c r="H868" s="26" t="n">
        <f aca="false">G868-F868</f>
        <v>10</v>
      </c>
      <c r="I868" s="10" t="n">
        <f aca="false">IF(E868="Won",1,0)</f>
        <v>0</v>
      </c>
    </row>
    <row r="869" customFormat="false" ht="15" hidden="false" customHeight="false" outlineLevel="0" collapsed="false">
      <c r="A869" s="10" t="s">
        <v>3210</v>
      </c>
      <c r="B869" s="10" t="s">
        <v>97</v>
      </c>
      <c r="C869" s="10" t="s">
        <v>48</v>
      </c>
      <c r="D869" s="10" t="s">
        <v>344</v>
      </c>
      <c r="E869" s="10" t="s">
        <v>2342</v>
      </c>
      <c r="F869" s="30" t="n">
        <v>42831</v>
      </c>
      <c r="G869" s="30" t="n">
        <v>42837</v>
      </c>
      <c r="H869" s="26" t="n">
        <f aca="false">G869-F869</f>
        <v>6</v>
      </c>
      <c r="I869" s="10" t="n">
        <f aca="false">IF(E869="Won",1,0)</f>
        <v>1</v>
      </c>
    </row>
    <row r="870" customFormat="false" ht="15" hidden="false" customHeight="false" outlineLevel="0" collapsed="false">
      <c r="A870" s="10" t="s">
        <v>3211</v>
      </c>
      <c r="B870" s="10" t="s">
        <v>95</v>
      </c>
      <c r="C870" s="10" t="s">
        <v>48</v>
      </c>
      <c r="D870" s="10" t="s">
        <v>348</v>
      </c>
      <c r="E870" s="10" t="s">
        <v>2342</v>
      </c>
      <c r="F870" s="30" t="n">
        <v>42831</v>
      </c>
      <c r="G870" s="30" t="n">
        <v>42837</v>
      </c>
      <c r="H870" s="26" t="n">
        <f aca="false">G870-F870</f>
        <v>6</v>
      </c>
      <c r="I870" s="10" t="n">
        <f aca="false">IF(E870="Won",1,0)</f>
        <v>1</v>
      </c>
    </row>
    <row r="871" customFormat="false" ht="15" hidden="false" customHeight="false" outlineLevel="0" collapsed="false">
      <c r="A871" s="10" t="s">
        <v>3212</v>
      </c>
      <c r="B871" s="10" t="s">
        <v>77</v>
      </c>
      <c r="C871" s="10" t="s">
        <v>52</v>
      </c>
      <c r="D871" s="10" t="s">
        <v>869</v>
      </c>
      <c r="E871" s="10" t="s">
        <v>2345</v>
      </c>
      <c r="F871" s="30" t="n">
        <v>42829</v>
      </c>
      <c r="G871" s="30" t="n">
        <v>42837</v>
      </c>
      <c r="H871" s="26" t="n">
        <f aca="false">G871-F871</f>
        <v>8</v>
      </c>
      <c r="I871" s="10" t="n">
        <f aca="false">IF(E871="Won",1,0)</f>
        <v>0</v>
      </c>
    </row>
    <row r="872" customFormat="false" ht="15" hidden="false" customHeight="false" outlineLevel="0" collapsed="false">
      <c r="A872" s="10" t="s">
        <v>3213</v>
      </c>
      <c r="B872" s="10" t="s">
        <v>84</v>
      </c>
      <c r="C872" s="10" t="s">
        <v>50</v>
      </c>
      <c r="D872" s="10" t="s">
        <v>1118</v>
      </c>
      <c r="E872" s="10" t="s">
        <v>2345</v>
      </c>
      <c r="F872" s="30" t="n">
        <v>42826</v>
      </c>
      <c r="G872" s="30" t="n">
        <v>42837</v>
      </c>
      <c r="H872" s="26" t="n">
        <f aca="false">G872-F872</f>
        <v>11</v>
      </c>
      <c r="I872" s="10" t="n">
        <f aca="false">IF(E872="Won",1,0)</f>
        <v>0</v>
      </c>
    </row>
    <row r="873" customFormat="false" ht="15" hidden="false" customHeight="false" outlineLevel="0" collapsed="false">
      <c r="A873" s="10" t="s">
        <v>3214</v>
      </c>
      <c r="B873" s="10" t="s">
        <v>83</v>
      </c>
      <c r="C873" s="10" t="s">
        <v>51</v>
      </c>
      <c r="D873" s="10" t="s">
        <v>279</v>
      </c>
      <c r="E873" s="10" t="s">
        <v>2342</v>
      </c>
      <c r="F873" s="30" t="n">
        <v>42836</v>
      </c>
      <c r="G873" s="30" t="n">
        <v>42837</v>
      </c>
      <c r="H873" s="26" t="n">
        <f aca="false">G873-F873</f>
        <v>1</v>
      </c>
      <c r="I873" s="10" t="n">
        <f aca="false">IF(E873="Won",1,0)</f>
        <v>1</v>
      </c>
    </row>
    <row r="874" customFormat="false" ht="15" hidden="false" customHeight="false" outlineLevel="0" collapsed="false">
      <c r="A874" s="10" t="s">
        <v>3215</v>
      </c>
      <c r="B874" s="10" t="s">
        <v>90</v>
      </c>
      <c r="C874" s="10" t="s">
        <v>47</v>
      </c>
      <c r="D874" s="10" t="s">
        <v>378</v>
      </c>
      <c r="E874" s="10" t="s">
        <v>2342</v>
      </c>
      <c r="F874" s="30" t="n">
        <v>42830</v>
      </c>
      <c r="G874" s="30" t="n">
        <v>42837</v>
      </c>
      <c r="H874" s="26" t="n">
        <f aca="false">G874-F874</f>
        <v>7</v>
      </c>
      <c r="I874" s="10" t="n">
        <f aca="false">IF(E874="Won",1,0)</f>
        <v>1</v>
      </c>
    </row>
    <row r="875" customFormat="false" ht="15" hidden="false" customHeight="false" outlineLevel="0" collapsed="false">
      <c r="A875" s="10" t="s">
        <v>3216</v>
      </c>
      <c r="B875" s="10" t="s">
        <v>83</v>
      </c>
      <c r="C875" s="10" t="s">
        <v>49</v>
      </c>
      <c r="D875" s="10" t="s">
        <v>1948</v>
      </c>
      <c r="E875" s="10" t="s">
        <v>2345</v>
      </c>
      <c r="F875" s="30" t="n">
        <v>42836</v>
      </c>
      <c r="G875" s="30" t="n">
        <v>42837</v>
      </c>
      <c r="H875" s="26" t="n">
        <f aca="false">G875-F875</f>
        <v>1</v>
      </c>
      <c r="I875" s="10" t="n">
        <f aca="false">IF(E875="Won",1,0)</f>
        <v>0</v>
      </c>
    </row>
    <row r="876" customFormat="false" ht="15" hidden="false" customHeight="false" outlineLevel="0" collapsed="false">
      <c r="A876" s="10" t="s">
        <v>3217</v>
      </c>
      <c r="B876" s="10" t="s">
        <v>74</v>
      </c>
      <c r="C876" s="10" t="s">
        <v>52</v>
      </c>
      <c r="D876" s="10" t="s">
        <v>512</v>
      </c>
      <c r="E876" s="10" t="s">
        <v>2345</v>
      </c>
      <c r="F876" s="30" t="n">
        <v>42835</v>
      </c>
      <c r="G876" s="30" t="n">
        <v>42837</v>
      </c>
      <c r="H876" s="26" t="n">
        <f aca="false">G876-F876</f>
        <v>2</v>
      </c>
      <c r="I876" s="10" t="n">
        <f aca="false">IF(E876="Won",1,0)</f>
        <v>0</v>
      </c>
    </row>
    <row r="877" customFormat="false" ht="15" hidden="false" customHeight="false" outlineLevel="0" collapsed="false">
      <c r="A877" s="10" t="s">
        <v>3218</v>
      </c>
      <c r="B877" s="10" t="s">
        <v>61</v>
      </c>
      <c r="C877" s="10" t="s">
        <v>48</v>
      </c>
      <c r="D877" s="10" t="s">
        <v>637</v>
      </c>
      <c r="E877" s="10" t="s">
        <v>2342</v>
      </c>
      <c r="F877" s="30" t="n">
        <v>42827</v>
      </c>
      <c r="G877" s="30" t="n">
        <v>42837</v>
      </c>
      <c r="H877" s="26" t="n">
        <f aca="false">G877-F877</f>
        <v>10</v>
      </c>
      <c r="I877" s="10" t="n">
        <f aca="false">IF(E877="Won",1,0)</f>
        <v>1</v>
      </c>
    </row>
    <row r="878" customFormat="false" ht="15" hidden="false" customHeight="false" outlineLevel="0" collapsed="false">
      <c r="A878" s="10" t="s">
        <v>3219</v>
      </c>
      <c r="B878" s="10" t="s">
        <v>70</v>
      </c>
      <c r="C878" s="10" t="s">
        <v>49</v>
      </c>
      <c r="D878" s="10" t="s">
        <v>432</v>
      </c>
      <c r="E878" s="10" t="s">
        <v>2342</v>
      </c>
      <c r="F878" s="30" t="n">
        <v>42825</v>
      </c>
      <c r="G878" s="30" t="n">
        <v>42837</v>
      </c>
      <c r="H878" s="26" t="n">
        <f aca="false">G878-F878</f>
        <v>12</v>
      </c>
      <c r="I878" s="10" t="n">
        <f aca="false">IF(E878="Won",1,0)</f>
        <v>1</v>
      </c>
    </row>
    <row r="879" customFormat="false" ht="15" hidden="false" customHeight="false" outlineLevel="0" collapsed="false">
      <c r="A879" s="10" t="s">
        <v>3220</v>
      </c>
      <c r="B879" s="10" t="s">
        <v>76</v>
      </c>
      <c r="C879" s="10" t="s">
        <v>49</v>
      </c>
      <c r="D879" s="10" t="s">
        <v>267</v>
      </c>
      <c r="E879" s="10" t="s">
        <v>2345</v>
      </c>
      <c r="F879" s="30" t="n">
        <v>42832</v>
      </c>
      <c r="G879" s="30" t="n">
        <v>42837</v>
      </c>
      <c r="H879" s="26" t="n">
        <f aca="false">G879-F879</f>
        <v>5</v>
      </c>
      <c r="I879" s="10" t="n">
        <f aca="false">IF(E879="Won",1,0)</f>
        <v>0</v>
      </c>
    </row>
    <row r="880" customFormat="false" ht="15" hidden="false" customHeight="false" outlineLevel="0" collapsed="false">
      <c r="A880" s="10" t="s">
        <v>3221</v>
      </c>
      <c r="B880" s="10" t="s">
        <v>62</v>
      </c>
      <c r="C880" s="10" t="s">
        <v>52</v>
      </c>
      <c r="D880" s="10" t="s">
        <v>1334</v>
      </c>
      <c r="E880" s="10" t="s">
        <v>2342</v>
      </c>
      <c r="F880" s="30" t="n">
        <v>42836</v>
      </c>
      <c r="G880" s="30" t="n">
        <v>42837</v>
      </c>
      <c r="H880" s="26" t="n">
        <f aca="false">G880-F880</f>
        <v>1</v>
      </c>
      <c r="I880" s="10" t="n">
        <f aca="false">IF(E880="Won",1,0)</f>
        <v>1</v>
      </c>
    </row>
    <row r="881" customFormat="false" ht="15" hidden="false" customHeight="false" outlineLevel="0" collapsed="false">
      <c r="A881" s="10" t="s">
        <v>3222</v>
      </c>
      <c r="B881" s="10" t="s">
        <v>87</v>
      </c>
      <c r="C881" s="10" t="s">
        <v>52</v>
      </c>
      <c r="D881" s="10" t="s">
        <v>332</v>
      </c>
      <c r="E881" s="10" t="s">
        <v>2342</v>
      </c>
      <c r="F881" s="30" t="n">
        <v>42836</v>
      </c>
      <c r="G881" s="30" t="n">
        <v>42838</v>
      </c>
      <c r="H881" s="26" t="n">
        <f aca="false">G881-F881</f>
        <v>2</v>
      </c>
      <c r="I881" s="10" t="n">
        <f aca="false">IF(E881="Won",1,0)</f>
        <v>1</v>
      </c>
    </row>
    <row r="882" customFormat="false" ht="15" hidden="false" customHeight="false" outlineLevel="0" collapsed="false">
      <c r="A882" s="10" t="s">
        <v>3223</v>
      </c>
      <c r="B882" s="10" t="s">
        <v>97</v>
      </c>
      <c r="C882" s="10" t="s">
        <v>52</v>
      </c>
      <c r="D882" s="10" t="s">
        <v>175</v>
      </c>
      <c r="E882" s="10" t="s">
        <v>2345</v>
      </c>
      <c r="F882" s="30" t="n">
        <v>42833</v>
      </c>
      <c r="G882" s="30" t="n">
        <v>42838</v>
      </c>
      <c r="H882" s="26" t="n">
        <f aca="false">G882-F882</f>
        <v>5</v>
      </c>
      <c r="I882" s="10" t="n">
        <f aca="false">IF(E882="Won",1,0)</f>
        <v>0</v>
      </c>
    </row>
    <row r="883" customFormat="false" ht="15" hidden="false" customHeight="false" outlineLevel="0" collapsed="false">
      <c r="A883" s="10" t="s">
        <v>3224</v>
      </c>
      <c r="B883" s="10" t="s">
        <v>79</v>
      </c>
      <c r="C883" s="10" t="s">
        <v>49</v>
      </c>
      <c r="D883" s="10" t="s">
        <v>527</v>
      </c>
      <c r="E883" s="10" t="s">
        <v>2345</v>
      </c>
      <c r="F883" s="30" t="n">
        <v>42831</v>
      </c>
      <c r="G883" s="30" t="n">
        <v>42838</v>
      </c>
      <c r="H883" s="26" t="n">
        <f aca="false">G883-F883</f>
        <v>7</v>
      </c>
      <c r="I883" s="10" t="n">
        <f aca="false">IF(E883="Won",1,0)</f>
        <v>0</v>
      </c>
    </row>
    <row r="884" customFormat="false" ht="15" hidden="false" customHeight="false" outlineLevel="0" collapsed="false">
      <c r="A884" s="10" t="s">
        <v>3225</v>
      </c>
      <c r="B884" s="10" t="s">
        <v>88</v>
      </c>
      <c r="C884" s="10" t="s">
        <v>48</v>
      </c>
      <c r="D884" s="10" t="s">
        <v>692</v>
      </c>
      <c r="E884" s="10" t="s">
        <v>2342</v>
      </c>
      <c r="F884" s="30" t="n">
        <v>42832</v>
      </c>
      <c r="G884" s="30" t="n">
        <v>42838</v>
      </c>
      <c r="H884" s="26" t="n">
        <f aca="false">G884-F884</f>
        <v>6</v>
      </c>
      <c r="I884" s="10" t="n">
        <f aca="false">IF(E884="Won",1,0)</f>
        <v>1</v>
      </c>
    </row>
    <row r="885" customFormat="false" ht="15" hidden="false" customHeight="false" outlineLevel="0" collapsed="false">
      <c r="A885" s="10" t="s">
        <v>3226</v>
      </c>
      <c r="B885" s="10" t="s">
        <v>81</v>
      </c>
      <c r="C885" s="10" t="s">
        <v>50</v>
      </c>
      <c r="D885" s="10" t="s">
        <v>961</v>
      </c>
      <c r="E885" s="10" t="s">
        <v>2345</v>
      </c>
      <c r="F885" s="30" t="n">
        <v>42837</v>
      </c>
      <c r="G885" s="30" t="n">
        <v>42838</v>
      </c>
      <c r="H885" s="26" t="n">
        <f aca="false">G885-F885</f>
        <v>1</v>
      </c>
      <c r="I885" s="10" t="n">
        <f aca="false">IF(E885="Won",1,0)</f>
        <v>0</v>
      </c>
    </row>
    <row r="886" customFormat="false" ht="15" hidden="false" customHeight="false" outlineLevel="0" collapsed="false">
      <c r="A886" s="10" t="s">
        <v>3227</v>
      </c>
      <c r="B886" s="10" t="s">
        <v>66</v>
      </c>
      <c r="C886" s="10" t="s">
        <v>50</v>
      </c>
      <c r="D886" s="10" t="s">
        <v>419</v>
      </c>
      <c r="E886" s="10" t="s">
        <v>2342</v>
      </c>
      <c r="F886" s="30" t="n">
        <v>42836</v>
      </c>
      <c r="G886" s="30" t="n">
        <v>42838</v>
      </c>
      <c r="H886" s="26" t="n">
        <f aca="false">G886-F886</f>
        <v>2</v>
      </c>
      <c r="I886" s="10" t="n">
        <f aca="false">IF(E886="Won",1,0)</f>
        <v>1</v>
      </c>
    </row>
    <row r="887" customFormat="false" ht="15" hidden="false" customHeight="false" outlineLevel="0" collapsed="false">
      <c r="A887" s="10" t="s">
        <v>3228</v>
      </c>
      <c r="B887" s="10" t="s">
        <v>77</v>
      </c>
      <c r="C887" s="10" t="s">
        <v>49</v>
      </c>
      <c r="D887" s="10" t="s">
        <v>762</v>
      </c>
      <c r="E887" s="10" t="s">
        <v>2342</v>
      </c>
      <c r="F887" s="30" t="n">
        <v>42828</v>
      </c>
      <c r="G887" s="30" t="n">
        <v>42838</v>
      </c>
      <c r="H887" s="26" t="n">
        <f aca="false">G887-F887</f>
        <v>10</v>
      </c>
      <c r="I887" s="10" t="n">
        <f aca="false">IF(E887="Won",1,0)</f>
        <v>1</v>
      </c>
    </row>
    <row r="888" customFormat="false" ht="15" hidden="false" customHeight="false" outlineLevel="0" collapsed="false">
      <c r="A888" s="10" t="s">
        <v>3229</v>
      </c>
      <c r="B888" s="10" t="s">
        <v>68</v>
      </c>
      <c r="C888" s="10" t="s">
        <v>52</v>
      </c>
      <c r="D888" s="10" t="s">
        <v>497</v>
      </c>
      <c r="E888" s="10" t="s">
        <v>2345</v>
      </c>
      <c r="F888" s="30" t="n">
        <v>42837</v>
      </c>
      <c r="G888" s="30" t="n">
        <v>42838</v>
      </c>
      <c r="H888" s="26" t="n">
        <f aca="false">G888-F888</f>
        <v>1</v>
      </c>
      <c r="I888" s="10" t="n">
        <f aca="false">IF(E888="Won",1,0)</f>
        <v>0</v>
      </c>
    </row>
    <row r="889" customFormat="false" ht="15" hidden="false" customHeight="false" outlineLevel="0" collapsed="false">
      <c r="A889" s="10" t="s">
        <v>3230</v>
      </c>
      <c r="B889" s="10" t="s">
        <v>95</v>
      </c>
      <c r="C889" s="10" t="s">
        <v>48</v>
      </c>
      <c r="D889" s="10" t="s">
        <v>986</v>
      </c>
      <c r="E889" s="10" t="s">
        <v>2345</v>
      </c>
      <c r="F889" s="30" t="n">
        <v>42837</v>
      </c>
      <c r="G889" s="30" t="n">
        <v>42838</v>
      </c>
      <c r="H889" s="26" t="n">
        <f aca="false">G889-F889</f>
        <v>1</v>
      </c>
      <c r="I889" s="10" t="n">
        <f aca="false">IF(E889="Won",1,0)</f>
        <v>0</v>
      </c>
    </row>
    <row r="890" customFormat="false" ht="15" hidden="false" customHeight="false" outlineLevel="0" collapsed="false">
      <c r="A890" s="10" t="s">
        <v>3231</v>
      </c>
      <c r="B890" s="10" t="s">
        <v>94</v>
      </c>
      <c r="C890" s="10" t="s">
        <v>50</v>
      </c>
      <c r="D890" s="10" t="s">
        <v>348</v>
      </c>
      <c r="E890" s="10" t="s">
        <v>2342</v>
      </c>
      <c r="F890" s="30" t="n">
        <v>42835</v>
      </c>
      <c r="G890" s="30" t="n">
        <v>42838</v>
      </c>
      <c r="H890" s="26" t="n">
        <f aca="false">G890-F890</f>
        <v>3</v>
      </c>
      <c r="I890" s="10" t="n">
        <f aca="false">IF(E890="Won",1,0)</f>
        <v>1</v>
      </c>
    </row>
    <row r="891" customFormat="false" ht="15" hidden="false" customHeight="false" outlineLevel="0" collapsed="false">
      <c r="A891" s="10" t="s">
        <v>3232</v>
      </c>
      <c r="B891" s="10" t="s">
        <v>90</v>
      </c>
      <c r="C891" s="10" t="s">
        <v>51</v>
      </c>
      <c r="D891" s="10" t="s">
        <v>359</v>
      </c>
      <c r="E891" s="10" t="s">
        <v>2345</v>
      </c>
      <c r="F891" s="30" t="n">
        <v>42829</v>
      </c>
      <c r="G891" s="30" t="n">
        <v>42838</v>
      </c>
      <c r="H891" s="26" t="n">
        <f aca="false">G891-F891</f>
        <v>9</v>
      </c>
      <c r="I891" s="10" t="n">
        <f aca="false">IF(E891="Won",1,0)</f>
        <v>0</v>
      </c>
    </row>
    <row r="892" customFormat="false" ht="15" hidden="false" customHeight="false" outlineLevel="0" collapsed="false">
      <c r="A892" s="10" t="s">
        <v>3233</v>
      </c>
      <c r="B892" s="10" t="s">
        <v>97</v>
      </c>
      <c r="C892" s="10" t="s">
        <v>49</v>
      </c>
      <c r="D892" s="10" t="s">
        <v>437</v>
      </c>
      <c r="E892" s="10" t="s">
        <v>2345</v>
      </c>
      <c r="F892" s="30" t="n">
        <v>42832</v>
      </c>
      <c r="G892" s="30" t="n">
        <v>42838</v>
      </c>
      <c r="H892" s="26" t="n">
        <f aca="false">G892-F892</f>
        <v>6</v>
      </c>
      <c r="I892" s="10" t="n">
        <f aca="false">IF(E892="Won",1,0)</f>
        <v>0</v>
      </c>
    </row>
    <row r="893" customFormat="false" ht="15" hidden="false" customHeight="false" outlineLevel="0" collapsed="false">
      <c r="A893" s="10" t="s">
        <v>3234</v>
      </c>
      <c r="B893" s="10" t="s">
        <v>95</v>
      </c>
      <c r="C893" s="10" t="s">
        <v>51</v>
      </c>
      <c r="D893" s="10" t="s">
        <v>711</v>
      </c>
      <c r="E893" s="10" t="s">
        <v>2345</v>
      </c>
      <c r="F893" s="30" t="n">
        <v>42836</v>
      </c>
      <c r="G893" s="30" t="n">
        <v>42838</v>
      </c>
      <c r="H893" s="26" t="n">
        <f aca="false">G893-F893</f>
        <v>2</v>
      </c>
      <c r="I893" s="10" t="n">
        <f aca="false">IF(E893="Won",1,0)</f>
        <v>0</v>
      </c>
    </row>
    <row r="894" customFormat="false" ht="15" hidden="false" customHeight="false" outlineLevel="0" collapsed="false">
      <c r="A894" s="10" t="s">
        <v>3235</v>
      </c>
      <c r="B894" s="10" t="s">
        <v>75</v>
      </c>
      <c r="C894" s="10" t="s">
        <v>47</v>
      </c>
      <c r="D894" s="10" t="s">
        <v>388</v>
      </c>
      <c r="E894" s="10" t="s">
        <v>2342</v>
      </c>
      <c r="F894" s="30" t="n">
        <v>42832</v>
      </c>
      <c r="G894" s="30" t="n">
        <v>42838</v>
      </c>
      <c r="H894" s="26" t="n">
        <f aca="false">G894-F894</f>
        <v>6</v>
      </c>
      <c r="I894" s="10" t="n">
        <f aca="false">IF(E894="Won",1,0)</f>
        <v>1</v>
      </c>
    </row>
    <row r="895" customFormat="false" ht="15" hidden="false" customHeight="false" outlineLevel="0" collapsed="false">
      <c r="A895" s="10" t="s">
        <v>3236</v>
      </c>
      <c r="B895" s="10" t="s">
        <v>88</v>
      </c>
      <c r="C895" s="10" t="s">
        <v>48</v>
      </c>
      <c r="D895" s="10" t="s">
        <v>532</v>
      </c>
      <c r="E895" s="10" t="s">
        <v>2342</v>
      </c>
      <c r="F895" s="30" t="n">
        <v>42837</v>
      </c>
      <c r="G895" s="30" t="n">
        <v>42838</v>
      </c>
      <c r="H895" s="26" t="n">
        <f aca="false">G895-F895</f>
        <v>1</v>
      </c>
      <c r="I895" s="10" t="n">
        <f aca="false">IF(E895="Won",1,0)</f>
        <v>1</v>
      </c>
    </row>
    <row r="896" customFormat="false" ht="15" hidden="false" customHeight="false" outlineLevel="0" collapsed="false">
      <c r="A896" s="10" t="s">
        <v>3237</v>
      </c>
      <c r="B896" s="10" t="s">
        <v>76</v>
      </c>
      <c r="C896" s="10" t="s">
        <v>49</v>
      </c>
      <c r="D896" s="10" t="s">
        <v>388</v>
      </c>
      <c r="E896" s="10" t="s">
        <v>2345</v>
      </c>
      <c r="F896" s="30" t="n">
        <v>42826</v>
      </c>
      <c r="G896" s="30" t="n">
        <v>42838</v>
      </c>
      <c r="H896" s="26" t="n">
        <f aca="false">G896-F896</f>
        <v>12</v>
      </c>
      <c r="I896" s="10" t="n">
        <f aca="false">IF(E896="Won",1,0)</f>
        <v>0</v>
      </c>
    </row>
    <row r="897" customFormat="false" ht="15" hidden="false" customHeight="false" outlineLevel="0" collapsed="false">
      <c r="A897" s="10" t="s">
        <v>3238</v>
      </c>
      <c r="B897" s="10" t="s">
        <v>68</v>
      </c>
      <c r="C897" s="10" t="s">
        <v>51</v>
      </c>
      <c r="D897" s="10" t="s">
        <v>210</v>
      </c>
      <c r="E897" s="10" t="s">
        <v>2342</v>
      </c>
      <c r="F897" s="30" t="n">
        <v>42832</v>
      </c>
      <c r="G897" s="30" t="n">
        <v>42838</v>
      </c>
      <c r="H897" s="26" t="n">
        <f aca="false">G897-F897</f>
        <v>6</v>
      </c>
      <c r="I897" s="10" t="n">
        <f aca="false">IF(E897="Won",1,0)</f>
        <v>1</v>
      </c>
    </row>
    <row r="898" customFormat="false" ht="15" hidden="false" customHeight="false" outlineLevel="0" collapsed="false">
      <c r="A898" s="10" t="s">
        <v>3239</v>
      </c>
      <c r="B898" s="10" t="s">
        <v>83</v>
      </c>
      <c r="C898" s="10" t="s">
        <v>52</v>
      </c>
      <c r="D898" s="10" t="s">
        <v>279</v>
      </c>
      <c r="E898" s="10" t="s">
        <v>2342</v>
      </c>
      <c r="F898" s="30" t="n">
        <v>42836</v>
      </c>
      <c r="G898" s="30" t="n">
        <v>42838</v>
      </c>
      <c r="H898" s="26" t="n">
        <f aca="false">G898-F898</f>
        <v>2</v>
      </c>
      <c r="I898" s="10" t="n">
        <f aca="false">IF(E898="Won",1,0)</f>
        <v>1</v>
      </c>
    </row>
    <row r="899" customFormat="false" ht="15" hidden="false" customHeight="false" outlineLevel="0" collapsed="false">
      <c r="A899" s="10" t="s">
        <v>3240</v>
      </c>
      <c r="B899" s="10" t="s">
        <v>94</v>
      </c>
      <c r="C899" s="10" t="s">
        <v>51</v>
      </c>
      <c r="D899" s="10" t="s">
        <v>286</v>
      </c>
      <c r="E899" s="10" t="s">
        <v>2345</v>
      </c>
      <c r="F899" s="30" t="n">
        <v>42836</v>
      </c>
      <c r="G899" s="30" t="n">
        <v>42838</v>
      </c>
      <c r="H899" s="26" t="n">
        <f aca="false">G899-F899</f>
        <v>2</v>
      </c>
      <c r="I899" s="10" t="n">
        <f aca="false">IF(E899="Won",1,0)</f>
        <v>0</v>
      </c>
    </row>
    <row r="900" customFormat="false" ht="15" hidden="false" customHeight="false" outlineLevel="0" collapsed="false">
      <c r="A900" s="10" t="s">
        <v>3241</v>
      </c>
      <c r="B900" s="10" t="s">
        <v>94</v>
      </c>
      <c r="C900" s="10" t="s">
        <v>51</v>
      </c>
      <c r="D900" s="10" t="s">
        <v>326</v>
      </c>
      <c r="E900" s="10" t="s">
        <v>2342</v>
      </c>
      <c r="F900" s="30" t="n">
        <v>42837</v>
      </c>
      <c r="G900" s="30" t="n">
        <v>42838</v>
      </c>
      <c r="H900" s="26" t="n">
        <f aca="false">G900-F900</f>
        <v>1</v>
      </c>
      <c r="I900" s="10" t="n">
        <f aca="false">IF(E900="Won",1,0)</f>
        <v>1</v>
      </c>
    </row>
    <row r="901" customFormat="false" ht="15" hidden="false" customHeight="false" outlineLevel="0" collapsed="false">
      <c r="A901" s="10" t="s">
        <v>3242</v>
      </c>
      <c r="B901" s="10" t="s">
        <v>79</v>
      </c>
      <c r="C901" s="10" t="s">
        <v>49</v>
      </c>
      <c r="D901" s="10" t="s">
        <v>291</v>
      </c>
      <c r="E901" s="10" t="s">
        <v>2342</v>
      </c>
      <c r="F901" s="30" t="n">
        <v>42834</v>
      </c>
      <c r="G901" s="30" t="n">
        <v>42839</v>
      </c>
      <c r="H901" s="26" t="n">
        <f aca="false">G901-F901</f>
        <v>5</v>
      </c>
      <c r="I901" s="10" t="n">
        <f aca="false">IF(E901="Won",1,0)</f>
        <v>1</v>
      </c>
    </row>
    <row r="902" customFormat="false" ht="15" hidden="false" customHeight="false" outlineLevel="0" collapsed="false">
      <c r="A902" s="10" t="s">
        <v>3243</v>
      </c>
      <c r="B902" s="10" t="s">
        <v>70</v>
      </c>
      <c r="C902" s="10" t="s">
        <v>49</v>
      </c>
      <c r="D902" s="10" t="s">
        <v>210</v>
      </c>
      <c r="E902" s="10" t="s">
        <v>2345</v>
      </c>
      <c r="F902" s="30" t="n">
        <v>42831</v>
      </c>
      <c r="G902" s="30" t="n">
        <v>42839</v>
      </c>
      <c r="H902" s="26" t="n">
        <f aca="false">G902-F902</f>
        <v>8</v>
      </c>
      <c r="I902" s="10" t="n">
        <f aca="false">IF(E902="Won",1,0)</f>
        <v>0</v>
      </c>
    </row>
    <row r="903" customFormat="false" ht="15" hidden="false" customHeight="false" outlineLevel="0" collapsed="false">
      <c r="A903" s="10" t="s">
        <v>3244</v>
      </c>
      <c r="B903" s="10" t="s">
        <v>77</v>
      </c>
      <c r="C903" s="10" t="s">
        <v>52</v>
      </c>
      <c r="D903" s="10" t="s">
        <v>527</v>
      </c>
      <c r="E903" s="10" t="s">
        <v>2342</v>
      </c>
      <c r="F903" s="30" t="n">
        <v>42831</v>
      </c>
      <c r="G903" s="30" t="n">
        <v>42839</v>
      </c>
      <c r="H903" s="26" t="n">
        <f aca="false">G903-F903</f>
        <v>8</v>
      </c>
      <c r="I903" s="10" t="n">
        <f aca="false">IF(E903="Won",1,0)</f>
        <v>1</v>
      </c>
    </row>
    <row r="904" customFormat="false" ht="15" hidden="false" customHeight="false" outlineLevel="0" collapsed="false">
      <c r="A904" s="10" t="s">
        <v>3245</v>
      </c>
      <c r="B904" s="10" t="s">
        <v>84</v>
      </c>
      <c r="C904" s="10" t="s">
        <v>50</v>
      </c>
      <c r="D904" s="10" t="s">
        <v>332</v>
      </c>
      <c r="E904" s="10" t="s">
        <v>2342</v>
      </c>
      <c r="F904" s="30" t="n">
        <v>42838</v>
      </c>
      <c r="G904" s="30" t="n">
        <v>42839</v>
      </c>
      <c r="H904" s="26" t="n">
        <f aca="false">G904-F904</f>
        <v>1</v>
      </c>
      <c r="I904" s="10" t="n">
        <f aca="false">IF(E904="Won",1,0)</f>
        <v>1</v>
      </c>
    </row>
    <row r="905" customFormat="false" ht="15" hidden="false" customHeight="false" outlineLevel="0" collapsed="false">
      <c r="A905" s="10" t="s">
        <v>3246</v>
      </c>
      <c r="B905" s="10" t="s">
        <v>74</v>
      </c>
      <c r="C905" s="10" t="s">
        <v>51</v>
      </c>
      <c r="D905" s="10" t="s">
        <v>597</v>
      </c>
      <c r="E905" s="10" t="s">
        <v>2345</v>
      </c>
      <c r="F905" s="30" t="n">
        <v>42831</v>
      </c>
      <c r="G905" s="30" t="n">
        <v>42839</v>
      </c>
      <c r="H905" s="26" t="n">
        <f aca="false">G905-F905</f>
        <v>8</v>
      </c>
      <c r="I905" s="10" t="n">
        <f aca="false">IF(E905="Won",1,0)</f>
        <v>0</v>
      </c>
    </row>
    <row r="906" customFormat="false" ht="15" hidden="false" customHeight="false" outlineLevel="0" collapsed="false">
      <c r="A906" s="10" t="s">
        <v>3247</v>
      </c>
      <c r="B906" s="10" t="s">
        <v>93</v>
      </c>
      <c r="C906" s="10" t="s">
        <v>51</v>
      </c>
      <c r="D906" s="10" t="s">
        <v>286</v>
      </c>
      <c r="E906" s="10" t="s">
        <v>2345</v>
      </c>
      <c r="F906" s="30" t="n">
        <v>42827</v>
      </c>
      <c r="G906" s="30" t="n">
        <v>42839</v>
      </c>
      <c r="H906" s="26" t="n">
        <f aca="false">G906-F906</f>
        <v>12</v>
      </c>
      <c r="I906" s="10" t="n">
        <f aca="false">IF(E906="Won",1,0)</f>
        <v>0</v>
      </c>
    </row>
    <row r="907" customFormat="false" ht="15" hidden="false" customHeight="false" outlineLevel="0" collapsed="false">
      <c r="A907" s="10" t="s">
        <v>3248</v>
      </c>
      <c r="B907" s="10" t="s">
        <v>86</v>
      </c>
      <c r="C907" s="10" t="s">
        <v>50</v>
      </c>
      <c r="D907" s="10" t="s">
        <v>1397</v>
      </c>
      <c r="E907" s="10" t="s">
        <v>2342</v>
      </c>
      <c r="F907" s="30" t="n">
        <v>42837</v>
      </c>
      <c r="G907" s="30" t="n">
        <v>42839</v>
      </c>
      <c r="H907" s="26" t="n">
        <f aca="false">G907-F907</f>
        <v>2</v>
      </c>
      <c r="I907" s="10" t="n">
        <f aca="false">IF(E907="Won",1,0)</f>
        <v>1</v>
      </c>
    </row>
    <row r="908" customFormat="false" ht="15" hidden="false" customHeight="false" outlineLevel="0" collapsed="false">
      <c r="A908" s="10" t="s">
        <v>3249</v>
      </c>
      <c r="B908" s="10" t="s">
        <v>77</v>
      </c>
      <c r="C908" s="10" t="s">
        <v>52</v>
      </c>
      <c r="D908" s="10" t="s">
        <v>1251</v>
      </c>
      <c r="E908" s="10" t="s">
        <v>2345</v>
      </c>
      <c r="F908" s="30" t="n">
        <v>42833</v>
      </c>
      <c r="G908" s="30" t="n">
        <v>42839</v>
      </c>
      <c r="H908" s="26" t="n">
        <f aca="false">G908-F908</f>
        <v>6</v>
      </c>
      <c r="I908" s="10" t="n">
        <f aca="false">IF(E908="Won",1,0)</f>
        <v>0</v>
      </c>
    </row>
    <row r="909" customFormat="false" ht="15" hidden="false" customHeight="false" outlineLevel="0" collapsed="false">
      <c r="A909" s="10" t="s">
        <v>3250</v>
      </c>
      <c r="B909" s="10" t="s">
        <v>94</v>
      </c>
      <c r="C909" s="10" t="s">
        <v>50</v>
      </c>
      <c r="D909" s="10" t="s">
        <v>487</v>
      </c>
      <c r="E909" s="10" t="s">
        <v>2345</v>
      </c>
      <c r="F909" s="30" t="n">
        <v>42827</v>
      </c>
      <c r="G909" s="30" t="n">
        <v>42839</v>
      </c>
      <c r="H909" s="26" t="n">
        <f aca="false">G909-F909</f>
        <v>12</v>
      </c>
      <c r="I909" s="10" t="n">
        <f aca="false">IF(E909="Won",1,0)</f>
        <v>0</v>
      </c>
    </row>
    <row r="910" customFormat="false" ht="15" hidden="false" customHeight="false" outlineLevel="0" collapsed="false">
      <c r="A910" s="10" t="s">
        <v>3251</v>
      </c>
      <c r="B910" s="10" t="s">
        <v>77</v>
      </c>
      <c r="C910" s="10" t="s">
        <v>48</v>
      </c>
      <c r="D910" s="10" t="s">
        <v>762</v>
      </c>
      <c r="E910" s="10" t="s">
        <v>2345</v>
      </c>
      <c r="F910" s="30" t="n">
        <v>42838</v>
      </c>
      <c r="G910" s="30" t="n">
        <v>42839</v>
      </c>
      <c r="H910" s="26" t="n">
        <f aca="false">G910-F910</f>
        <v>1</v>
      </c>
      <c r="I910" s="10" t="n">
        <f aca="false">IF(E910="Won",1,0)</f>
        <v>0</v>
      </c>
    </row>
    <row r="911" customFormat="false" ht="15" hidden="false" customHeight="false" outlineLevel="0" collapsed="false">
      <c r="A911" s="10" t="s">
        <v>3252</v>
      </c>
      <c r="B911" s="10" t="s">
        <v>71</v>
      </c>
      <c r="C911" s="10" t="s">
        <v>52</v>
      </c>
      <c r="D911" s="10" t="s">
        <v>947</v>
      </c>
      <c r="E911" s="10" t="s">
        <v>2342</v>
      </c>
      <c r="F911" s="30" t="n">
        <v>42830</v>
      </c>
      <c r="G911" s="30" t="n">
        <v>42839</v>
      </c>
      <c r="H911" s="26" t="n">
        <f aca="false">G911-F911</f>
        <v>9</v>
      </c>
      <c r="I911" s="10" t="n">
        <f aca="false">IF(E911="Won",1,0)</f>
        <v>1</v>
      </c>
    </row>
    <row r="912" customFormat="false" ht="15" hidden="false" customHeight="false" outlineLevel="0" collapsed="false">
      <c r="A912" s="10" t="s">
        <v>3253</v>
      </c>
      <c r="B912" s="10" t="s">
        <v>76</v>
      </c>
      <c r="C912" s="10" t="s">
        <v>52</v>
      </c>
      <c r="D912" s="10" t="s">
        <v>353</v>
      </c>
      <c r="E912" s="10" t="s">
        <v>2345</v>
      </c>
      <c r="F912" s="30" t="n">
        <v>42828</v>
      </c>
      <c r="G912" s="30" t="n">
        <v>42839</v>
      </c>
      <c r="H912" s="26" t="n">
        <f aca="false">G912-F912</f>
        <v>11</v>
      </c>
      <c r="I912" s="10" t="n">
        <f aca="false">IF(E912="Won",1,0)</f>
        <v>0</v>
      </c>
    </row>
    <row r="913" customFormat="false" ht="15" hidden="false" customHeight="false" outlineLevel="0" collapsed="false">
      <c r="A913" s="10" t="s">
        <v>3254</v>
      </c>
      <c r="B913" s="10" t="s">
        <v>90</v>
      </c>
      <c r="C913" s="10" t="s">
        <v>48</v>
      </c>
      <c r="D913" s="10" t="s">
        <v>532</v>
      </c>
      <c r="E913" s="10" t="s">
        <v>2342</v>
      </c>
      <c r="F913" s="30" t="n">
        <v>42828</v>
      </c>
      <c r="G913" s="30" t="n">
        <v>42839</v>
      </c>
      <c r="H913" s="26" t="n">
        <f aca="false">G913-F913</f>
        <v>11</v>
      </c>
      <c r="I913" s="10" t="n">
        <f aca="false">IF(E913="Won",1,0)</f>
        <v>1</v>
      </c>
    </row>
    <row r="914" customFormat="false" ht="15" hidden="false" customHeight="false" outlineLevel="0" collapsed="false">
      <c r="A914" s="10" t="s">
        <v>3255</v>
      </c>
      <c r="B914" s="10" t="s">
        <v>77</v>
      </c>
      <c r="C914" s="10" t="s">
        <v>50</v>
      </c>
      <c r="D914" s="10" t="s">
        <v>597</v>
      </c>
      <c r="E914" s="10" t="s">
        <v>2345</v>
      </c>
      <c r="F914" s="30" t="n">
        <v>42837</v>
      </c>
      <c r="G914" s="30" t="n">
        <v>42839</v>
      </c>
      <c r="H914" s="26" t="n">
        <f aca="false">G914-F914</f>
        <v>2</v>
      </c>
      <c r="I914" s="10" t="n">
        <f aca="false">IF(E914="Won",1,0)</f>
        <v>0</v>
      </c>
    </row>
    <row r="915" customFormat="false" ht="15" hidden="false" customHeight="false" outlineLevel="0" collapsed="false">
      <c r="A915" s="10" t="s">
        <v>3256</v>
      </c>
      <c r="B915" s="10" t="s">
        <v>88</v>
      </c>
      <c r="C915" s="10" t="s">
        <v>47</v>
      </c>
      <c r="D915" s="10" t="s">
        <v>247</v>
      </c>
      <c r="E915" s="10" t="s">
        <v>2342</v>
      </c>
      <c r="F915" s="30" t="n">
        <v>42828</v>
      </c>
      <c r="G915" s="30" t="n">
        <v>42839</v>
      </c>
      <c r="H915" s="26" t="n">
        <f aca="false">G915-F915</f>
        <v>11</v>
      </c>
      <c r="I915" s="10" t="n">
        <f aca="false">IF(E915="Won",1,0)</f>
        <v>1</v>
      </c>
    </row>
    <row r="916" customFormat="false" ht="15" hidden="false" customHeight="false" outlineLevel="0" collapsed="false">
      <c r="A916" s="10" t="s">
        <v>3257</v>
      </c>
      <c r="B916" s="10" t="s">
        <v>67</v>
      </c>
      <c r="C916" s="10" t="s">
        <v>49</v>
      </c>
      <c r="D916" s="10" t="s">
        <v>299</v>
      </c>
      <c r="E916" s="10" t="s">
        <v>2342</v>
      </c>
      <c r="F916" s="30" t="n">
        <v>42833</v>
      </c>
      <c r="G916" s="30" t="n">
        <v>42839</v>
      </c>
      <c r="H916" s="26" t="n">
        <f aca="false">G916-F916</f>
        <v>6</v>
      </c>
      <c r="I916" s="10" t="n">
        <f aca="false">IF(E916="Won",1,0)</f>
        <v>1</v>
      </c>
    </row>
    <row r="917" customFormat="false" ht="15" hidden="false" customHeight="false" outlineLevel="0" collapsed="false">
      <c r="A917" s="10" t="s">
        <v>3258</v>
      </c>
      <c r="B917" s="10" t="s">
        <v>88</v>
      </c>
      <c r="C917" s="10" t="s">
        <v>52</v>
      </c>
      <c r="D917" s="10" t="s">
        <v>453</v>
      </c>
      <c r="E917" s="10" t="s">
        <v>2342</v>
      </c>
      <c r="F917" s="30" t="n">
        <v>42830</v>
      </c>
      <c r="G917" s="30" t="n">
        <v>42839</v>
      </c>
      <c r="H917" s="26" t="n">
        <f aca="false">G917-F917</f>
        <v>9</v>
      </c>
      <c r="I917" s="10" t="n">
        <f aca="false">IF(E917="Won",1,0)</f>
        <v>1</v>
      </c>
    </row>
    <row r="918" customFormat="false" ht="15" hidden="false" customHeight="false" outlineLevel="0" collapsed="false">
      <c r="A918" s="10" t="s">
        <v>3259</v>
      </c>
      <c r="B918" s="10" t="s">
        <v>81</v>
      </c>
      <c r="C918" s="10" t="s">
        <v>47</v>
      </c>
      <c r="D918" s="10" t="s">
        <v>483</v>
      </c>
      <c r="E918" s="10" t="s">
        <v>2345</v>
      </c>
      <c r="F918" s="30" t="n">
        <v>42837</v>
      </c>
      <c r="G918" s="30" t="n">
        <v>42839</v>
      </c>
      <c r="H918" s="26" t="n">
        <f aca="false">G918-F918</f>
        <v>2</v>
      </c>
      <c r="I918" s="10" t="n">
        <f aca="false">IF(E918="Won",1,0)</f>
        <v>0</v>
      </c>
    </row>
    <row r="919" customFormat="false" ht="15" hidden="false" customHeight="false" outlineLevel="0" collapsed="false">
      <c r="A919" s="10" t="s">
        <v>3260</v>
      </c>
      <c r="B919" s="10" t="s">
        <v>79</v>
      </c>
      <c r="C919" s="10" t="s">
        <v>52</v>
      </c>
      <c r="D919" s="10" t="s">
        <v>311</v>
      </c>
      <c r="E919" s="10" t="s">
        <v>2342</v>
      </c>
      <c r="F919" s="30" t="n">
        <v>42839</v>
      </c>
      <c r="G919" s="30" t="n">
        <v>42840</v>
      </c>
      <c r="H919" s="26" t="n">
        <f aca="false">G919-F919</f>
        <v>1</v>
      </c>
      <c r="I919" s="10" t="n">
        <f aca="false">IF(E919="Won",1,0)</f>
        <v>1</v>
      </c>
    </row>
    <row r="920" customFormat="false" ht="15" hidden="false" customHeight="false" outlineLevel="0" collapsed="false">
      <c r="A920" s="10" t="s">
        <v>3261</v>
      </c>
      <c r="B920" s="10" t="s">
        <v>97</v>
      </c>
      <c r="C920" s="10" t="s">
        <v>51</v>
      </c>
      <c r="D920" s="10" t="s">
        <v>396</v>
      </c>
      <c r="E920" s="10" t="s">
        <v>2345</v>
      </c>
      <c r="F920" s="30" t="n">
        <v>42834</v>
      </c>
      <c r="G920" s="30" t="n">
        <v>42840</v>
      </c>
      <c r="H920" s="26" t="n">
        <f aca="false">G920-F920</f>
        <v>6</v>
      </c>
      <c r="I920" s="10" t="n">
        <f aca="false">IF(E920="Won",1,0)</f>
        <v>0</v>
      </c>
    </row>
    <row r="921" customFormat="false" ht="15" hidden="false" customHeight="false" outlineLevel="0" collapsed="false">
      <c r="A921" s="10" t="s">
        <v>3262</v>
      </c>
      <c r="B921" s="10" t="s">
        <v>77</v>
      </c>
      <c r="C921" s="10" t="s">
        <v>50</v>
      </c>
      <c r="D921" s="10" t="s">
        <v>279</v>
      </c>
      <c r="E921" s="10" t="s">
        <v>2345</v>
      </c>
      <c r="F921" s="30" t="n">
        <v>42839</v>
      </c>
      <c r="G921" s="30" t="n">
        <v>42840</v>
      </c>
      <c r="H921" s="26" t="n">
        <f aca="false">G921-F921</f>
        <v>1</v>
      </c>
      <c r="I921" s="10" t="n">
        <f aca="false">IF(E921="Won",1,0)</f>
        <v>0</v>
      </c>
    </row>
    <row r="922" customFormat="false" ht="15" hidden="false" customHeight="false" outlineLevel="0" collapsed="false">
      <c r="A922" s="10" t="s">
        <v>3263</v>
      </c>
      <c r="B922" s="10" t="s">
        <v>71</v>
      </c>
      <c r="C922" s="10" t="s">
        <v>49</v>
      </c>
      <c r="D922" s="10" t="s">
        <v>1948</v>
      </c>
      <c r="E922" s="10" t="s">
        <v>2345</v>
      </c>
      <c r="F922" s="30" t="n">
        <v>42833</v>
      </c>
      <c r="G922" s="30" t="n">
        <v>42840</v>
      </c>
      <c r="H922" s="26" t="n">
        <f aca="false">G922-F922</f>
        <v>7</v>
      </c>
      <c r="I922" s="10" t="n">
        <f aca="false">IF(E922="Won",1,0)</f>
        <v>0</v>
      </c>
    </row>
    <row r="923" customFormat="false" ht="15" hidden="false" customHeight="false" outlineLevel="0" collapsed="false">
      <c r="A923" s="10" t="s">
        <v>3264</v>
      </c>
      <c r="B923" s="10" t="s">
        <v>67</v>
      </c>
      <c r="C923" s="10" t="s">
        <v>49</v>
      </c>
      <c r="D923" s="10" t="s">
        <v>483</v>
      </c>
      <c r="E923" s="10" t="s">
        <v>2345</v>
      </c>
      <c r="F923" s="30" t="n">
        <v>42839</v>
      </c>
      <c r="G923" s="30" t="n">
        <v>42840</v>
      </c>
      <c r="H923" s="26" t="n">
        <f aca="false">G923-F923</f>
        <v>1</v>
      </c>
      <c r="I923" s="10" t="n">
        <f aca="false">IF(E923="Won",1,0)</f>
        <v>0</v>
      </c>
    </row>
    <row r="924" customFormat="false" ht="15" hidden="false" customHeight="false" outlineLevel="0" collapsed="false">
      <c r="A924" s="10" t="s">
        <v>3265</v>
      </c>
      <c r="B924" s="10" t="s">
        <v>88</v>
      </c>
      <c r="C924" s="10" t="s">
        <v>49</v>
      </c>
      <c r="D924" s="10" t="s">
        <v>453</v>
      </c>
      <c r="E924" s="10" t="s">
        <v>2342</v>
      </c>
      <c r="F924" s="30" t="n">
        <v>42831</v>
      </c>
      <c r="G924" s="30" t="n">
        <v>42840</v>
      </c>
      <c r="H924" s="26" t="n">
        <f aca="false">G924-F924</f>
        <v>9</v>
      </c>
      <c r="I924" s="10" t="n">
        <f aca="false">IF(E924="Won",1,0)</f>
        <v>1</v>
      </c>
    </row>
    <row r="925" customFormat="false" ht="15" hidden="false" customHeight="false" outlineLevel="0" collapsed="false">
      <c r="A925" s="10" t="s">
        <v>3266</v>
      </c>
      <c r="B925" s="10" t="s">
        <v>86</v>
      </c>
      <c r="C925" s="10" t="s">
        <v>51</v>
      </c>
      <c r="D925" s="10" t="s">
        <v>637</v>
      </c>
      <c r="E925" s="10" t="s">
        <v>2345</v>
      </c>
      <c r="F925" s="30" t="n">
        <v>42831</v>
      </c>
      <c r="G925" s="30" t="n">
        <v>42840</v>
      </c>
      <c r="H925" s="26" t="n">
        <f aca="false">G925-F925</f>
        <v>9</v>
      </c>
      <c r="I925" s="10" t="n">
        <f aca="false">IF(E925="Won",1,0)</f>
        <v>0</v>
      </c>
    </row>
    <row r="926" customFormat="false" ht="15" hidden="false" customHeight="false" outlineLevel="0" collapsed="false">
      <c r="A926" s="10" t="s">
        <v>3267</v>
      </c>
      <c r="B926" s="10" t="s">
        <v>74</v>
      </c>
      <c r="C926" s="10" t="s">
        <v>49</v>
      </c>
      <c r="D926" s="10" t="s">
        <v>697</v>
      </c>
      <c r="E926" s="10" t="s">
        <v>2345</v>
      </c>
      <c r="F926" s="30" t="n">
        <v>42829</v>
      </c>
      <c r="G926" s="30" t="n">
        <v>42840</v>
      </c>
      <c r="H926" s="26" t="n">
        <f aca="false">G926-F926</f>
        <v>11</v>
      </c>
      <c r="I926" s="10" t="n">
        <f aca="false">IF(E926="Won",1,0)</f>
        <v>0</v>
      </c>
    </row>
    <row r="927" customFormat="false" ht="15" hidden="false" customHeight="false" outlineLevel="0" collapsed="false">
      <c r="A927" s="10" t="s">
        <v>3268</v>
      </c>
      <c r="B927" s="10" t="s">
        <v>94</v>
      </c>
      <c r="C927" s="10" t="s">
        <v>51</v>
      </c>
      <c r="D927" s="10" t="s">
        <v>337</v>
      </c>
      <c r="E927" s="10" t="s">
        <v>2345</v>
      </c>
      <c r="F927" s="30" t="n">
        <v>42839</v>
      </c>
      <c r="G927" s="30" t="n">
        <v>42840</v>
      </c>
      <c r="H927" s="26" t="n">
        <f aca="false">G927-F927</f>
        <v>1</v>
      </c>
      <c r="I927" s="10" t="n">
        <f aca="false">IF(E927="Won",1,0)</f>
        <v>0</v>
      </c>
    </row>
    <row r="928" customFormat="false" ht="15" hidden="false" customHeight="false" outlineLevel="0" collapsed="false">
      <c r="A928" s="10" t="s">
        <v>3269</v>
      </c>
      <c r="B928" s="10" t="s">
        <v>70</v>
      </c>
      <c r="C928" s="10" t="s">
        <v>51</v>
      </c>
      <c r="D928" s="10" t="s">
        <v>337</v>
      </c>
      <c r="E928" s="10" t="s">
        <v>2342</v>
      </c>
      <c r="F928" s="30" t="n">
        <v>42828</v>
      </c>
      <c r="G928" s="30" t="n">
        <v>42840</v>
      </c>
      <c r="H928" s="26" t="n">
        <f aca="false">G928-F928</f>
        <v>12</v>
      </c>
      <c r="I928" s="10" t="n">
        <f aca="false">IF(E928="Won",1,0)</f>
        <v>1</v>
      </c>
    </row>
    <row r="929" customFormat="false" ht="15" hidden="false" customHeight="false" outlineLevel="0" collapsed="false">
      <c r="A929" s="10" t="s">
        <v>3270</v>
      </c>
      <c r="B929" s="10" t="s">
        <v>88</v>
      </c>
      <c r="C929" s="10" t="s">
        <v>52</v>
      </c>
      <c r="D929" s="10" t="s">
        <v>464</v>
      </c>
      <c r="E929" s="10" t="s">
        <v>2345</v>
      </c>
      <c r="F929" s="30" t="n">
        <v>42828</v>
      </c>
      <c r="G929" s="30" t="n">
        <v>42840</v>
      </c>
      <c r="H929" s="26" t="n">
        <f aca="false">G929-F929</f>
        <v>12</v>
      </c>
      <c r="I929" s="10" t="n">
        <f aca="false">IF(E929="Won",1,0)</f>
        <v>0</v>
      </c>
    </row>
    <row r="930" customFormat="false" ht="15" hidden="false" customHeight="false" outlineLevel="0" collapsed="false">
      <c r="A930" s="10" t="s">
        <v>3271</v>
      </c>
      <c r="B930" s="10" t="s">
        <v>88</v>
      </c>
      <c r="C930" s="10" t="s">
        <v>49</v>
      </c>
      <c r="D930" s="10" t="s">
        <v>455</v>
      </c>
      <c r="E930" s="10" t="s">
        <v>2345</v>
      </c>
      <c r="F930" s="30" t="n">
        <v>42832</v>
      </c>
      <c r="G930" s="30" t="n">
        <v>42840</v>
      </c>
      <c r="H930" s="26" t="n">
        <f aca="false">G930-F930</f>
        <v>8</v>
      </c>
      <c r="I930" s="10" t="n">
        <f aca="false">IF(E930="Won",1,0)</f>
        <v>0</v>
      </c>
    </row>
    <row r="931" customFormat="false" ht="15" hidden="false" customHeight="false" outlineLevel="0" collapsed="false">
      <c r="A931" s="10" t="s">
        <v>3272</v>
      </c>
      <c r="B931" s="10" t="s">
        <v>87</v>
      </c>
      <c r="C931" s="10" t="s">
        <v>49</v>
      </c>
      <c r="D931" s="10" t="s">
        <v>233</v>
      </c>
      <c r="E931" s="10" t="s">
        <v>2345</v>
      </c>
      <c r="F931" s="30" t="n">
        <v>42832</v>
      </c>
      <c r="G931" s="30" t="n">
        <v>42840</v>
      </c>
      <c r="H931" s="26" t="n">
        <f aca="false">G931-F931</f>
        <v>8</v>
      </c>
      <c r="I931" s="10" t="n">
        <f aca="false">IF(E931="Won",1,0)</f>
        <v>0</v>
      </c>
    </row>
    <row r="932" customFormat="false" ht="15" hidden="false" customHeight="false" outlineLevel="0" collapsed="false">
      <c r="A932" s="10" t="s">
        <v>3273</v>
      </c>
      <c r="B932" s="10" t="s">
        <v>71</v>
      </c>
      <c r="C932" s="10" t="s">
        <v>50</v>
      </c>
      <c r="D932" s="10" t="s">
        <v>311</v>
      </c>
      <c r="E932" s="10" t="s">
        <v>2342</v>
      </c>
      <c r="F932" s="30" t="n">
        <v>42833</v>
      </c>
      <c r="G932" s="30" t="n">
        <v>42840</v>
      </c>
      <c r="H932" s="26" t="n">
        <f aca="false">G932-F932</f>
        <v>7</v>
      </c>
      <c r="I932" s="10" t="n">
        <f aca="false">IF(E932="Won",1,0)</f>
        <v>1</v>
      </c>
    </row>
    <row r="933" customFormat="false" ht="15" hidden="false" customHeight="false" outlineLevel="0" collapsed="false">
      <c r="A933" s="10" t="s">
        <v>3274</v>
      </c>
      <c r="B933" s="10" t="s">
        <v>71</v>
      </c>
      <c r="C933" s="10" t="s">
        <v>50</v>
      </c>
      <c r="D933" s="10" t="s">
        <v>422</v>
      </c>
      <c r="E933" s="10" t="s">
        <v>2345</v>
      </c>
      <c r="F933" s="30" t="n">
        <v>42838</v>
      </c>
      <c r="G933" s="30" t="n">
        <v>42840</v>
      </c>
      <c r="H933" s="26" t="n">
        <f aca="false">G933-F933</f>
        <v>2</v>
      </c>
      <c r="I933" s="10" t="n">
        <f aca="false">IF(E933="Won",1,0)</f>
        <v>0</v>
      </c>
    </row>
    <row r="934" customFormat="false" ht="15" hidden="false" customHeight="false" outlineLevel="0" collapsed="false">
      <c r="A934" s="10" t="s">
        <v>3275</v>
      </c>
      <c r="B934" s="10" t="s">
        <v>77</v>
      </c>
      <c r="C934" s="10" t="s">
        <v>48</v>
      </c>
      <c r="D934" s="10" t="s">
        <v>1948</v>
      </c>
      <c r="E934" s="10" t="s">
        <v>2345</v>
      </c>
      <c r="F934" s="30" t="n">
        <v>42829</v>
      </c>
      <c r="G934" s="30" t="n">
        <v>42840</v>
      </c>
      <c r="H934" s="26" t="n">
        <f aca="false">G934-F934</f>
        <v>11</v>
      </c>
      <c r="I934" s="10" t="n">
        <f aca="false">IF(E934="Won",1,0)</f>
        <v>0</v>
      </c>
    </row>
    <row r="935" customFormat="false" ht="15" hidden="false" customHeight="false" outlineLevel="0" collapsed="false">
      <c r="A935" s="10" t="s">
        <v>3276</v>
      </c>
      <c r="B935" s="10" t="s">
        <v>60</v>
      </c>
      <c r="C935" s="10" t="s">
        <v>51</v>
      </c>
      <c r="D935" s="10" t="s">
        <v>441</v>
      </c>
      <c r="E935" s="10" t="s">
        <v>2345</v>
      </c>
      <c r="F935" s="30" t="n">
        <v>42832</v>
      </c>
      <c r="G935" s="30" t="n">
        <v>42840</v>
      </c>
      <c r="H935" s="26" t="n">
        <f aca="false">G935-F935</f>
        <v>8</v>
      </c>
      <c r="I935" s="10" t="n">
        <f aca="false">IF(E935="Won",1,0)</f>
        <v>0</v>
      </c>
    </row>
    <row r="936" customFormat="false" ht="15" hidden="false" customHeight="false" outlineLevel="0" collapsed="false">
      <c r="A936" s="10" t="s">
        <v>3277</v>
      </c>
      <c r="B936" s="10" t="s">
        <v>95</v>
      </c>
      <c r="C936" s="10" t="s">
        <v>48</v>
      </c>
      <c r="D936" s="10" t="s">
        <v>986</v>
      </c>
      <c r="E936" s="10" t="s">
        <v>2345</v>
      </c>
      <c r="F936" s="30" t="n">
        <v>42830</v>
      </c>
      <c r="G936" s="30" t="n">
        <v>42840</v>
      </c>
      <c r="H936" s="26" t="n">
        <f aca="false">G936-F936</f>
        <v>10</v>
      </c>
      <c r="I936" s="10" t="n">
        <f aca="false">IF(E936="Won",1,0)</f>
        <v>0</v>
      </c>
    </row>
    <row r="937" customFormat="false" ht="15" hidden="false" customHeight="false" outlineLevel="0" collapsed="false">
      <c r="A937" s="10" t="s">
        <v>3278</v>
      </c>
      <c r="B937" s="10" t="s">
        <v>77</v>
      </c>
      <c r="C937" s="10" t="s">
        <v>48</v>
      </c>
      <c r="D937" s="10" t="s">
        <v>279</v>
      </c>
      <c r="E937" s="10" t="s">
        <v>2342</v>
      </c>
      <c r="F937" s="30" t="n">
        <v>42832</v>
      </c>
      <c r="G937" s="30" t="n">
        <v>42840</v>
      </c>
      <c r="H937" s="26" t="n">
        <f aca="false">G937-F937</f>
        <v>8</v>
      </c>
      <c r="I937" s="10" t="n">
        <f aca="false">IF(E937="Won",1,0)</f>
        <v>1</v>
      </c>
    </row>
    <row r="938" customFormat="false" ht="15" hidden="false" customHeight="false" outlineLevel="0" collapsed="false">
      <c r="A938" s="10" t="s">
        <v>3279</v>
      </c>
      <c r="B938" s="10" t="s">
        <v>71</v>
      </c>
      <c r="C938" s="10" t="s">
        <v>52</v>
      </c>
      <c r="D938" s="10" t="s">
        <v>291</v>
      </c>
      <c r="E938" s="10" t="s">
        <v>2342</v>
      </c>
      <c r="F938" s="30" t="n">
        <v>42838</v>
      </c>
      <c r="G938" s="30" t="n">
        <v>42840</v>
      </c>
      <c r="H938" s="26" t="n">
        <f aca="false">G938-F938</f>
        <v>2</v>
      </c>
      <c r="I938" s="10" t="n">
        <f aca="false">IF(E938="Won",1,0)</f>
        <v>1</v>
      </c>
    </row>
    <row r="939" customFormat="false" ht="15" hidden="false" customHeight="false" outlineLevel="0" collapsed="false">
      <c r="A939" s="10" t="s">
        <v>3280</v>
      </c>
      <c r="B939" s="10" t="s">
        <v>84</v>
      </c>
      <c r="C939" s="10" t="s">
        <v>52</v>
      </c>
      <c r="D939" s="10" t="s">
        <v>218</v>
      </c>
      <c r="E939" s="10" t="s">
        <v>2342</v>
      </c>
      <c r="F939" s="30" t="n">
        <v>42832</v>
      </c>
      <c r="G939" s="30" t="n">
        <v>42840</v>
      </c>
      <c r="H939" s="26" t="n">
        <f aca="false">G939-F939</f>
        <v>8</v>
      </c>
      <c r="I939" s="10" t="n">
        <f aca="false">IF(E939="Won",1,0)</f>
        <v>1</v>
      </c>
    </row>
    <row r="940" customFormat="false" ht="15" hidden="false" customHeight="false" outlineLevel="0" collapsed="false">
      <c r="A940" s="10" t="s">
        <v>3281</v>
      </c>
      <c r="B940" s="10" t="s">
        <v>88</v>
      </c>
      <c r="C940" s="10" t="s">
        <v>48</v>
      </c>
      <c r="D940" s="10" t="s">
        <v>1397</v>
      </c>
      <c r="E940" s="10" t="s">
        <v>2345</v>
      </c>
      <c r="F940" s="30" t="n">
        <v>42829</v>
      </c>
      <c r="G940" s="30" t="n">
        <v>42840</v>
      </c>
      <c r="H940" s="26" t="n">
        <f aca="false">G940-F940</f>
        <v>11</v>
      </c>
      <c r="I940" s="10" t="n">
        <f aca="false">IF(E940="Won",1,0)</f>
        <v>0</v>
      </c>
    </row>
    <row r="941" customFormat="false" ht="15" hidden="false" customHeight="false" outlineLevel="0" collapsed="false">
      <c r="A941" s="10" t="s">
        <v>3282</v>
      </c>
      <c r="B941" s="10" t="s">
        <v>57</v>
      </c>
      <c r="C941" s="10" t="s">
        <v>47</v>
      </c>
      <c r="D941" s="10" t="s">
        <v>286</v>
      </c>
      <c r="E941" s="10" t="s">
        <v>2342</v>
      </c>
      <c r="F941" s="30" t="n">
        <v>42832</v>
      </c>
      <c r="G941" s="30" t="n">
        <v>42840</v>
      </c>
      <c r="H941" s="26" t="n">
        <f aca="false">G941-F941</f>
        <v>8</v>
      </c>
      <c r="I941" s="10" t="n">
        <f aca="false">IF(E941="Won",1,0)</f>
        <v>1</v>
      </c>
    </row>
    <row r="942" customFormat="false" ht="15" hidden="false" customHeight="false" outlineLevel="0" collapsed="false">
      <c r="A942" s="10" t="s">
        <v>3283</v>
      </c>
      <c r="B942" s="10" t="s">
        <v>70</v>
      </c>
      <c r="C942" s="10" t="s">
        <v>49</v>
      </c>
      <c r="D942" s="10" t="s">
        <v>286</v>
      </c>
      <c r="E942" s="10" t="s">
        <v>2345</v>
      </c>
      <c r="F942" s="30" t="n">
        <v>42832</v>
      </c>
      <c r="G942" s="30" t="n">
        <v>42841</v>
      </c>
      <c r="H942" s="26" t="n">
        <f aca="false">G942-F942</f>
        <v>9</v>
      </c>
      <c r="I942" s="10" t="n">
        <f aca="false">IF(E942="Won",1,0)</f>
        <v>0</v>
      </c>
    </row>
    <row r="943" customFormat="false" ht="15" hidden="false" customHeight="false" outlineLevel="0" collapsed="false">
      <c r="A943" s="10" t="s">
        <v>3284</v>
      </c>
      <c r="B943" s="10" t="s">
        <v>88</v>
      </c>
      <c r="C943" s="10" t="s">
        <v>48</v>
      </c>
      <c r="D943" s="10" t="s">
        <v>378</v>
      </c>
      <c r="E943" s="10" t="s">
        <v>2345</v>
      </c>
      <c r="F943" s="30" t="n">
        <v>42833</v>
      </c>
      <c r="G943" s="30" t="n">
        <v>42841</v>
      </c>
      <c r="H943" s="26" t="n">
        <f aca="false">G943-F943</f>
        <v>8</v>
      </c>
      <c r="I943" s="10" t="n">
        <f aca="false">IF(E943="Won",1,0)</f>
        <v>0</v>
      </c>
    </row>
    <row r="944" customFormat="false" ht="15" hidden="false" customHeight="false" outlineLevel="0" collapsed="false">
      <c r="A944" s="10" t="s">
        <v>3285</v>
      </c>
      <c r="B944" s="10" t="s">
        <v>74</v>
      </c>
      <c r="C944" s="10" t="s">
        <v>51</v>
      </c>
      <c r="D944" s="10" t="s">
        <v>961</v>
      </c>
      <c r="E944" s="10" t="s">
        <v>2345</v>
      </c>
      <c r="F944" s="30" t="n">
        <v>42832</v>
      </c>
      <c r="G944" s="30" t="n">
        <v>42841</v>
      </c>
      <c r="H944" s="26" t="n">
        <f aca="false">G944-F944</f>
        <v>9</v>
      </c>
      <c r="I944" s="10" t="n">
        <f aca="false">IF(E944="Won",1,0)</f>
        <v>0</v>
      </c>
    </row>
    <row r="945" customFormat="false" ht="15" hidden="false" customHeight="false" outlineLevel="0" collapsed="false">
      <c r="A945" s="10" t="s">
        <v>3286</v>
      </c>
      <c r="B945" s="10" t="s">
        <v>94</v>
      </c>
      <c r="C945" s="10" t="s">
        <v>51</v>
      </c>
      <c r="D945" s="10" t="s">
        <v>233</v>
      </c>
      <c r="E945" s="10" t="s">
        <v>2342</v>
      </c>
      <c r="F945" s="30" t="n">
        <v>42835</v>
      </c>
      <c r="G945" s="30" t="n">
        <v>42841</v>
      </c>
      <c r="H945" s="26" t="n">
        <f aca="false">G945-F945</f>
        <v>6</v>
      </c>
      <c r="I945" s="10" t="n">
        <f aca="false">IF(E945="Won",1,0)</f>
        <v>1</v>
      </c>
    </row>
    <row r="946" customFormat="false" ht="15" hidden="false" customHeight="false" outlineLevel="0" collapsed="false">
      <c r="A946" s="10" t="s">
        <v>3287</v>
      </c>
      <c r="B946" s="10" t="s">
        <v>70</v>
      </c>
      <c r="C946" s="10" t="s">
        <v>47</v>
      </c>
      <c r="D946" s="10" t="s">
        <v>286</v>
      </c>
      <c r="E946" s="10" t="s">
        <v>2342</v>
      </c>
      <c r="F946" s="30" t="n">
        <v>42833</v>
      </c>
      <c r="G946" s="30" t="n">
        <v>42841</v>
      </c>
      <c r="H946" s="26" t="n">
        <f aca="false">G946-F946</f>
        <v>8</v>
      </c>
      <c r="I946" s="10" t="n">
        <f aca="false">IF(E946="Won",1,0)</f>
        <v>1</v>
      </c>
    </row>
    <row r="947" customFormat="false" ht="15" hidden="false" customHeight="false" outlineLevel="0" collapsed="false">
      <c r="A947" s="10" t="s">
        <v>3288</v>
      </c>
      <c r="B947" s="10" t="s">
        <v>94</v>
      </c>
      <c r="C947" s="10" t="s">
        <v>50</v>
      </c>
      <c r="D947" s="10" t="s">
        <v>286</v>
      </c>
      <c r="E947" s="10" t="s">
        <v>2345</v>
      </c>
      <c r="F947" s="30" t="n">
        <v>42832</v>
      </c>
      <c r="G947" s="30" t="n">
        <v>42841</v>
      </c>
      <c r="H947" s="26" t="n">
        <f aca="false">G947-F947</f>
        <v>9</v>
      </c>
      <c r="I947" s="10" t="n">
        <f aca="false">IF(E947="Won",1,0)</f>
        <v>0</v>
      </c>
    </row>
    <row r="948" customFormat="false" ht="15" hidden="false" customHeight="false" outlineLevel="0" collapsed="false">
      <c r="A948" s="10" t="s">
        <v>3289</v>
      </c>
      <c r="B948" s="10" t="s">
        <v>95</v>
      </c>
      <c r="C948" s="10" t="s">
        <v>49</v>
      </c>
      <c r="D948" s="10" t="s">
        <v>506</v>
      </c>
      <c r="E948" s="10" t="s">
        <v>2345</v>
      </c>
      <c r="F948" s="30" t="n">
        <v>42834</v>
      </c>
      <c r="G948" s="30" t="n">
        <v>42841</v>
      </c>
      <c r="H948" s="26" t="n">
        <f aca="false">G948-F948</f>
        <v>7</v>
      </c>
      <c r="I948" s="10" t="n">
        <f aca="false">IF(E948="Won",1,0)</f>
        <v>0</v>
      </c>
    </row>
    <row r="949" customFormat="false" ht="15" hidden="false" customHeight="false" outlineLevel="0" collapsed="false">
      <c r="A949" s="10" t="s">
        <v>3290</v>
      </c>
      <c r="B949" s="10" t="s">
        <v>79</v>
      </c>
      <c r="C949" s="10" t="s">
        <v>52</v>
      </c>
      <c r="D949" s="10" t="s">
        <v>422</v>
      </c>
      <c r="E949" s="10" t="s">
        <v>2345</v>
      </c>
      <c r="F949" s="30" t="n">
        <v>42831</v>
      </c>
      <c r="G949" s="30" t="n">
        <v>42841</v>
      </c>
      <c r="H949" s="26" t="n">
        <f aca="false">G949-F949</f>
        <v>10</v>
      </c>
      <c r="I949" s="10" t="n">
        <f aca="false">IF(E949="Won",1,0)</f>
        <v>0</v>
      </c>
    </row>
    <row r="950" customFormat="false" ht="15" hidden="false" customHeight="false" outlineLevel="0" collapsed="false">
      <c r="A950" s="10" t="s">
        <v>3291</v>
      </c>
      <c r="B950" s="10" t="s">
        <v>71</v>
      </c>
      <c r="C950" s="10" t="s">
        <v>47</v>
      </c>
      <c r="D950" s="10" t="s">
        <v>869</v>
      </c>
      <c r="E950" s="10" t="s">
        <v>2342</v>
      </c>
      <c r="F950" s="30" t="n">
        <v>42840</v>
      </c>
      <c r="G950" s="30" t="n">
        <v>42841</v>
      </c>
      <c r="H950" s="26" t="n">
        <f aca="false">G950-F950</f>
        <v>1</v>
      </c>
      <c r="I950" s="10" t="n">
        <f aca="false">IF(E950="Won",1,0)</f>
        <v>1</v>
      </c>
    </row>
    <row r="951" customFormat="false" ht="15" hidden="false" customHeight="false" outlineLevel="0" collapsed="false">
      <c r="A951" s="10" t="s">
        <v>3292</v>
      </c>
      <c r="B951" s="10" t="s">
        <v>83</v>
      </c>
      <c r="C951" s="10" t="s">
        <v>51</v>
      </c>
      <c r="D951" s="10" t="s">
        <v>410</v>
      </c>
      <c r="E951" s="10" t="s">
        <v>2345</v>
      </c>
      <c r="F951" s="30" t="n">
        <v>42832</v>
      </c>
      <c r="G951" s="30" t="n">
        <v>42841</v>
      </c>
      <c r="H951" s="26" t="n">
        <f aca="false">G951-F951</f>
        <v>9</v>
      </c>
      <c r="I951" s="10" t="n">
        <f aca="false">IF(E951="Won",1,0)</f>
        <v>0</v>
      </c>
    </row>
    <row r="952" customFormat="false" ht="15" hidden="false" customHeight="false" outlineLevel="0" collapsed="false">
      <c r="A952" s="10" t="s">
        <v>3293</v>
      </c>
      <c r="B952" s="10" t="s">
        <v>88</v>
      </c>
      <c r="C952" s="10" t="s">
        <v>52</v>
      </c>
      <c r="D952" s="10" t="s">
        <v>674</v>
      </c>
      <c r="E952" s="10" t="s">
        <v>2342</v>
      </c>
      <c r="F952" s="30" t="n">
        <v>42840</v>
      </c>
      <c r="G952" s="30" t="n">
        <v>42841</v>
      </c>
      <c r="H952" s="26" t="n">
        <f aca="false">G952-F952</f>
        <v>1</v>
      </c>
      <c r="I952" s="10" t="n">
        <f aca="false">IF(E952="Won",1,0)</f>
        <v>1</v>
      </c>
    </row>
    <row r="953" customFormat="false" ht="15" hidden="false" customHeight="false" outlineLevel="0" collapsed="false">
      <c r="A953" s="10" t="s">
        <v>3294</v>
      </c>
      <c r="B953" s="10" t="s">
        <v>79</v>
      </c>
      <c r="C953" s="10" t="s">
        <v>49</v>
      </c>
      <c r="D953" s="10" t="s">
        <v>947</v>
      </c>
      <c r="E953" s="10" t="s">
        <v>2345</v>
      </c>
      <c r="F953" s="30" t="n">
        <v>42840</v>
      </c>
      <c r="G953" s="30" t="n">
        <v>42841</v>
      </c>
      <c r="H953" s="26" t="n">
        <f aca="false">G953-F953</f>
        <v>1</v>
      </c>
      <c r="I953" s="10" t="n">
        <f aca="false">IF(E953="Won",1,0)</f>
        <v>0</v>
      </c>
    </row>
    <row r="954" customFormat="false" ht="15" hidden="false" customHeight="false" outlineLevel="0" collapsed="false">
      <c r="A954" s="10" t="s">
        <v>3295</v>
      </c>
      <c r="B954" s="10" t="s">
        <v>95</v>
      </c>
      <c r="C954" s="10" t="s">
        <v>50</v>
      </c>
      <c r="D954" s="10" t="s">
        <v>514</v>
      </c>
      <c r="E954" s="10" t="s">
        <v>2345</v>
      </c>
      <c r="F954" s="30" t="n">
        <v>42831</v>
      </c>
      <c r="G954" s="30" t="n">
        <v>42841</v>
      </c>
      <c r="H954" s="26" t="n">
        <f aca="false">G954-F954</f>
        <v>10</v>
      </c>
      <c r="I954" s="10" t="n">
        <f aca="false">IF(E954="Won",1,0)</f>
        <v>0</v>
      </c>
    </row>
    <row r="955" customFormat="false" ht="15" hidden="false" customHeight="false" outlineLevel="0" collapsed="false">
      <c r="A955" s="10" t="s">
        <v>3296</v>
      </c>
      <c r="B955" s="10" t="s">
        <v>77</v>
      </c>
      <c r="C955" s="10" t="s">
        <v>47</v>
      </c>
      <c r="D955" s="10" t="s">
        <v>279</v>
      </c>
      <c r="E955" s="10" t="s">
        <v>2342</v>
      </c>
      <c r="F955" s="30" t="n">
        <v>42835</v>
      </c>
      <c r="G955" s="30" t="n">
        <v>42841</v>
      </c>
      <c r="H955" s="26" t="n">
        <f aca="false">G955-F955</f>
        <v>6</v>
      </c>
      <c r="I955" s="10" t="n">
        <f aca="false">IF(E955="Won",1,0)</f>
        <v>1</v>
      </c>
    </row>
    <row r="956" customFormat="false" ht="15" hidden="false" customHeight="false" outlineLevel="0" collapsed="false">
      <c r="A956" s="10" t="s">
        <v>3297</v>
      </c>
      <c r="B956" s="10" t="s">
        <v>83</v>
      </c>
      <c r="C956" s="10" t="s">
        <v>51</v>
      </c>
      <c r="D956" s="10" t="s">
        <v>697</v>
      </c>
      <c r="E956" s="10" t="s">
        <v>2345</v>
      </c>
      <c r="F956" s="30" t="n">
        <v>42831</v>
      </c>
      <c r="G956" s="30" t="n">
        <v>42841</v>
      </c>
      <c r="H956" s="26" t="n">
        <f aca="false">G956-F956</f>
        <v>10</v>
      </c>
      <c r="I956" s="10" t="n">
        <f aca="false">IF(E956="Won",1,0)</f>
        <v>0</v>
      </c>
    </row>
    <row r="957" customFormat="false" ht="15" hidden="false" customHeight="false" outlineLevel="0" collapsed="false">
      <c r="A957" s="10" t="s">
        <v>3298</v>
      </c>
      <c r="B957" s="10" t="s">
        <v>90</v>
      </c>
      <c r="C957" s="10" t="s">
        <v>51</v>
      </c>
      <c r="D957" s="10" t="s">
        <v>161</v>
      </c>
      <c r="E957" s="10" t="s">
        <v>2342</v>
      </c>
      <c r="F957" s="30" t="n">
        <v>42834</v>
      </c>
      <c r="G957" s="30" t="n">
        <v>42841</v>
      </c>
      <c r="H957" s="26" t="n">
        <f aca="false">G957-F957</f>
        <v>7</v>
      </c>
      <c r="I957" s="10" t="n">
        <f aca="false">IF(E957="Won",1,0)</f>
        <v>1</v>
      </c>
    </row>
    <row r="958" customFormat="false" ht="15" hidden="false" customHeight="false" outlineLevel="0" collapsed="false">
      <c r="A958" s="10" t="s">
        <v>3299</v>
      </c>
      <c r="B958" s="10" t="s">
        <v>75</v>
      </c>
      <c r="C958" s="10" t="s">
        <v>47</v>
      </c>
      <c r="D958" s="10" t="s">
        <v>210</v>
      </c>
      <c r="E958" s="10" t="s">
        <v>2345</v>
      </c>
      <c r="F958" s="30" t="n">
        <v>42834</v>
      </c>
      <c r="G958" s="30" t="n">
        <v>42841</v>
      </c>
      <c r="H958" s="26" t="n">
        <f aca="false">G958-F958</f>
        <v>7</v>
      </c>
      <c r="I958" s="10" t="n">
        <f aca="false">IF(E958="Won",1,0)</f>
        <v>0</v>
      </c>
    </row>
    <row r="959" customFormat="false" ht="15" hidden="false" customHeight="false" outlineLevel="0" collapsed="false">
      <c r="A959" s="10" t="s">
        <v>3300</v>
      </c>
      <c r="B959" s="10" t="s">
        <v>86</v>
      </c>
      <c r="C959" s="10" t="s">
        <v>49</v>
      </c>
      <c r="D959" s="10" t="s">
        <v>185</v>
      </c>
      <c r="E959" s="10" t="s">
        <v>2342</v>
      </c>
      <c r="F959" s="30" t="n">
        <v>42834</v>
      </c>
      <c r="G959" s="30" t="n">
        <v>42841</v>
      </c>
      <c r="H959" s="26" t="n">
        <f aca="false">G959-F959</f>
        <v>7</v>
      </c>
      <c r="I959" s="10" t="n">
        <f aca="false">IF(E959="Won",1,0)</f>
        <v>1</v>
      </c>
    </row>
    <row r="960" customFormat="false" ht="15" hidden="false" customHeight="false" outlineLevel="0" collapsed="false">
      <c r="A960" s="10" t="s">
        <v>3301</v>
      </c>
      <c r="B960" s="10" t="s">
        <v>60</v>
      </c>
      <c r="C960" s="10" t="s">
        <v>51</v>
      </c>
      <c r="D960" s="10" t="s">
        <v>1118</v>
      </c>
      <c r="E960" s="10" t="s">
        <v>2345</v>
      </c>
      <c r="F960" s="30" t="n">
        <v>42833</v>
      </c>
      <c r="G960" s="30" t="n">
        <v>42841</v>
      </c>
      <c r="H960" s="26" t="n">
        <f aca="false">G960-F960</f>
        <v>8</v>
      </c>
      <c r="I960" s="10" t="n">
        <f aca="false">IF(E960="Won",1,0)</f>
        <v>0</v>
      </c>
    </row>
    <row r="961" customFormat="false" ht="15" hidden="false" customHeight="false" outlineLevel="0" collapsed="false">
      <c r="A961" s="10" t="s">
        <v>3302</v>
      </c>
      <c r="B961" s="10" t="s">
        <v>96</v>
      </c>
      <c r="C961" s="10" t="s">
        <v>49</v>
      </c>
      <c r="D961" s="10" t="s">
        <v>506</v>
      </c>
      <c r="E961" s="10" t="s">
        <v>2345</v>
      </c>
      <c r="F961" s="30" t="n">
        <v>42839</v>
      </c>
      <c r="G961" s="30" t="n">
        <v>42841</v>
      </c>
      <c r="H961" s="26" t="n">
        <f aca="false">G961-F961</f>
        <v>2</v>
      </c>
      <c r="I961" s="10" t="n">
        <f aca="false">IF(E961="Won",1,0)</f>
        <v>0</v>
      </c>
    </row>
    <row r="962" customFormat="false" ht="15" hidden="false" customHeight="false" outlineLevel="0" collapsed="false">
      <c r="A962" s="10" t="s">
        <v>3303</v>
      </c>
      <c r="B962" s="10" t="s">
        <v>77</v>
      </c>
      <c r="C962" s="10" t="s">
        <v>48</v>
      </c>
      <c r="D962" s="10" t="s">
        <v>193</v>
      </c>
      <c r="E962" s="10" t="s">
        <v>2345</v>
      </c>
      <c r="F962" s="30" t="n">
        <v>42839</v>
      </c>
      <c r="G962" s="30" t="n">
        <v>42841</v>
      </c>
      <c r="H962" s="26" t="n">
        <f aca="false">G962-F962</f>
        <v>2</v>
      </c>
      <c r="I962" s="10" t="n">
        <f aca="false">IF(E962="Won",1,0)</f>
        <v>0</v>
      </c>
    </row>
    <row r="963" customFormat="false" ht="15" hidden="false" customHeight="false" outlineLevel="0" collapsed="false">
      <c r="A963" s="10" t="s">
        <v>3304</v>
      </c>
      <c r="B963" s="10" t="s">
        <v>95</v>
      </c>
      <c r="C963" s="10" t="s">
        <v>52</v>
      </c>
      <c r="D963" s="10" t="s">
        <v>711</v>
      </c>
      <c r="E963" s="10" t="s">
        <v>2345</v>
      </c>
      <c r="F963" s="30" t="n">
        <v>42837</v>
      </c>
      <c r="G963" s="30" t="n">
        <v>42841</v>
      </c>
      <c r="H963" s="26" t="n">
        <f aca="false">G963-F963</f>
        <v>4</v>
      </c>
      <c r="I963" s="10" t="n">
        <f aca="false">IF(E963="Won",1,0)</f>
        <v>0</v>
      </c>
    </row>
    <row r="964" customFormat="false" ht="15" hidden="false" customHeight="false" outlineLevel="0" collapsed="false">
      <c r="A964" s="10" t="s">
        <v>3305</v>
      </c>
      <c r="B964" s="10" t="s">
        <v>90</v>
      </c>
      <c r="C964" s="10" t="s">
        <v>48</v>
      </c>
      <c r="D964" s="10" t="s">
        <v>453</v>
      </c>
      <c r="E964" s="10" t="s">
        <v>2345</v>
      </c>
      <c r="F964" s="30" t="n">
        <v>42835</v>
      </c>
      <c r="G964" s="30" t="n">
        <v>42841</v>
      </c>
      <c r="H964" s="26" t="n">
        <f aca="false">G964-F964</f>
        <v>6</v>
      </c>
      <c r="I964" s="10" t="n">
        <f aca="false">IF(E964="Won",1,0)</f>
        <v>0</v>
      </c>
    </row>
    <row r="965" customFormat="false" ht="15" hidden="false" customHeight="false" outlineLevel="0" collapsed="false">
      <c r="A965" s="10" t="s">
        <v>3306</v>
      </c>
      <c r="B965" s="10" t="s">
        <v>67</v>
      </c>
      <c r="C965" s="10" t="s">
        <v>52</v>
      </c>
      <c r="D965" s="10" t="s">
        <v>172</v>
      </c>
      <c r="E965" s="10" t="s">
        <v>2345</v>
      </c>
      <c r="F965" s="30" t="n">
        <v>42837</v>
      </c>
      <c r="G965" s="30" t="n">
        <v>42841</v>
      </c>
      <c r="H965" s="26" t="n">
        <f aca="false">G965-F965</f>
        <v>4</v>
      </c>
      <c r="I965" s="10" t="n">
        <f aca="false">IF(E965="Won",1,0)</f>
        <v>0</v>
      </c>
    </row>
    <row r="966" customFormat="false" ht="15" hidden="false" customHeight="false" outlineLevel="0" collapsed="false">
      <c r="A966" s="10" t="s">
        <v>3307</v>
      </c>
      <c r="B966" s="10" t="s">
        <v>66</v>
      </c>
      <c r="C966" s="10" t="s">
        <v>51</v>
      </c>
      <c r="D966" s="10" t="s">
        <v>337</v>
      </c>
      <c r="E966" s="10" t="s">
        <v>2342</v>
      </c>
      <c r="F966" s="30" t="n">
        <v>42839</v>
      </c>
      <c r="G966" s="30" t="n">
        <v>42841</v>
      </c>
      <c r="H966" s="26" t="n">
        <f aca="false">G966-F966</f>
        <v>2</v>
      </c>
      <c r="I966" s="10" t="n">
        <f aca="false">IF(E966="Won",1,0)</f>
        <v>1</v>
      </c>
    </row>
    <row r="967" customFormat="false" ht="15" hidden="false" customHeight="false" outlineLevel="0" collapsed="false">
      <c r="A967" s="10" t="s">
        <v>3308</v>
      </c>
      <c r="B967" s="10" t="s">
        <v>94</v>
      </c>
      <c r="C967" s="10" t="s">
        <v>51</v>
      </c>
      <c r="D967" s="10" t="s">
        <v>432</v>
      </c>
      <c r="E967" s="10" t="s">
        <v>2342</v>
      </c>
      <c r="F967" s="30" t="n">
        <v>42833</v>
      </c>
      <c r="G967" s="30" t="n">
        <v>42842</v>
      </c>
      <c r="H967" s="26" t="n">
        <f aca="false">G967-F967</f>
        <v>9</v>
      </c>
      <c r="I967" s="10" t="n">
        <f aca="false">IF(E967="Won",1,0)</f>
        <v>1</v>
      </c>
    </row>
    <row r="968" customFormat="false" ht="15" hidden="false" customHeight="false" outlineLevel="0" collapsed="false">
      <c r="A968" s="10" t="s">
        <v>3309</v>
      </c>
      <c r="B968" s="10" t="s">
        <v>74</v>
      </c>
      <c r="C968" s="10" t="s">
        <v>49</v>
      </c>
      <c r="D968" s="10" t="s">
        <v>869</v>
      </c>
      <c r="E968" s="10" t="s">
        <v>2342</v>
      </c>
      <c r="F968" s="30" t="n">
        <v>42833</v>
      </c>
      <c r="G968" s="30" t="n">
        <v>42842</v>
      </c>
      <c r="H968" s="26" t="n">
        <f aca="false">G968-F968</f>
        <v>9</v>
      </c>
      <c r="I968" s="10" t="n">
        <f aca="false">IF(E968="Won",1,0)</f>
        <v>1</v>
      </c>
    </row>
    <row r="969" customFormat="false" ht="15" hidden="false" customHeight="false" outlineLevel="0" collapsed="false">
      <c r="A969" s="10" t="s">
        <v>3310</v>
      </c>
      <c r="B969" s="10" t="s">
        <v>67</v>
      </c>
      <c r="C969" s="10" t="s">
        <v>50</v>
      </c>
      <c r="D969" s="10" t="s">
        <v>483</v>
      </c>
      <c r="E969" s="10" t="s">
        <v>2342</v>
      </c>
      <c r="F969" s="30" t="n">
        <v>42834</v>
      </c>
      <c r="G969" s="30" t="n">
        <v>42842</v>
      </c>
      <c r="H969" s="26" t="n">
        <f aca="false">G969-F969</f>
        <v>8</v>
      </c>
      <c r="I969" s="10" t="n">
        <f aca="false">IF(E969="Won",1,0)</f>
        <v>1</v>
      </c>
    </row>
    <row r="970" customFormat="false" ht="15" hidden="false" customHeight="false" outlineLevel="0" collapsed="false">
      <c r="A970" s="10" t="s">
        <v>3311</v>
      </c>
      <c r="B970" s="10" t="s">
        <v>62</v>
      </c>
      <c r="C970" s="10" t="s">
        <v>51</v>
      </c>
      <c r="D970" s="10" t="s">
        <v>210</v>
      </c>
      <c r="E970" s="10" t="s">
        <v>2345</v>
      </c>
      <c r="F970" s="30" t="n">
        <v>42840</v>
      </c>
      <c r="G970" s="30" t="n">
        <v>42842</v>
      </c>
      <c r="H970" s="26" t="n">
        <f aca="false">G970-F970</f>
        <v>2</v>
      </c>
      <c r="I970" s="10" t="n">
        <f aca="false">IF(E970="Won",1,0)</f>
        <v>0</v>
      </c>
    </row>
    <row r="971" customFormat="false" ht="15" hidden="false" customHeight="false" outlineLevel="0" collapsed="false">
      <c r="A971" s="10" t="s">
        <v>3312</v>
      </c>
      <c r="B971" s="10" t="s">
        <v>76</v>
      </c>
      <c r="C971" s="10" t="s">
        <v>52</v>
      </c>
      <c r="D971" s="10" t="s">
        <v>697</v>
      </c>
      <c r="E971" s="10" t="s">
        <v>2345</v>
      </c>
      <c r="F971" s="30" t="n">
        <v>42841</v>
      </c>
      <c r="G971" s="30" t="n">
        <v>42842</v>
      </c>
      <c r="H971" s="26" t="n">
        <f aca="false">G971-F971</f>
        <v>1</v>
      </c>
      <c r="I971" s="10" t="n">
        <f aca="false">IF(E971="Won",1,0)</f>
        <v>0</v>
      </c>
    </row>
    <row r="972" customFormat="false" ht="15" hidden="false" customHeight="false" outlineLevel="0" collapsed="false">
      <c r="A972" s="10" t="s">
        <v>3313</v>
      </c>
      <c r="B972" s="10" t="s">
        <v>77</v>
      </c>
      <c r="C972" s="10" t="s">
        <v>48</v>
      </c>
      <c r="D972" s="10" t="s">
        <v>210</v>
      </c>
      <c r="E972" s="10" t="s">
        <v>2342</v>
      </c>
      <c r="F972" s="30" t="n">
        <v>42835</v>
      </c>
      <c r="G972" s="30" t="n">
        <v>42842</v>
      </c>
      <c r="H972" s="26" t="n">
        <f aca="false">G972-F972</f>
        <v>7</v>
      </c>
      <c r="I972" s="10" t="n">
        <f aca="false">IF(E972="Won",1,0)</f>
        <v>1</v>
      </c>
    </row>
    <row r="973" customFormat="false" ht="15" hidden="false" customHeight="false" outlineLevel="0" collapsed="false">
      <c r="A973" s="10" t="s">
        <v>3314</v>
      </c>
      <c r="B973" s="10" t="s">
        <v>86</v>
      </c>
      <c r="C973" s="10" t="s">
        <v>50</v>
      </c>
      <c r="D973" s="10" t="s">
        <v>692</v>
      </c>
      <c r="E973" s="10" t="s">
        <v>2345</v>
      </c>
      <c r="F973" s="30" t="n">
        <v>42835</v>
      </c>
      <c r="G973" s="30" t="n">
        <v>42842</v>
      </c>
      <c r="H973" s="26" t="n">
        <f aca="false">G973-F973</f>
        <v>7</v>
      </c>
      <c r="I973" s="10" t="n">
        <f aca="false">IF(E973="Won",1,0)</f>
        <v>0</v>
      </c>
    </row>
    <row r="974" customFormat="false" ht="15" hidden="false" customHeight="false" outlineLevel="0" collapsed="false">
      <c r="A974" s="10" t="s">
        <v>3315</v>
      </c>
      <c r="B974" s="10" t="s">
        <v>97</v>
      </c>
      <c r="C974" s="10" t="s">
        <v>47</v>
      </c>
      <c r="D974" s="10" t="s">
        <v>419</v>
      </c>
      <c r="E974" s="10" t="s">
        <v>2342</v>
      </c>
      <c r="F974" s="30" t="n">
        <v>42833</v>
      </c>
      <c r="G974" s="30" t="n">
        <v>42842</v>
      </c>
      <c r="H974" s="26" t="n">
        <f aca="false">G974-F974</f>
        <v>9</v>
      </c>
      <c r="I974" s="10" t="n">
        <f aca="false">IF(E974="Won",1,0)</f>
        <v>1</v>
      </c>
    </row>
    <row r="975" customFormat="false" ht="15" hidden="false" customHeight="false" outlineLevel="0" collapsed="false">
      <c r="A975" s="10" t="s">
        <v>3316</v>
      </c>
      <c r="B975" s="10" t="s">
        <v>86</v>
      </c>
      <c r="C975" s="10" t="s">
        <v>47</v>
      </c>
      <c r="D975" s="10" t="s">
        <v>161</v>
      </c>
      <c r="E975" s="10" t="s">
        <v>2345</v>
      </c>
      <c r="F975" s="30" t="n">
        <v>42837</v>
      </c>
      <c r="G975" s="30" t="n">
        <v>42842</v>
      </c>
      <c r="H975" s="26" t="n">
        <f aca="false">G975-F975</f>
        <v>5</v>
      </c>
      <c r="I975" s="10" t="n">
        <f aca="false">IF(E975="Won",1,0)</f>
        <v>0</v>
      </c>
    </row>
    <row r="976" customFormat="false" ht="15" hidden="false" customHeight="false" outlineLevel="0" collapsed="false">
      <c r="A976" s="10" t="s">
        <v>3317</v>
      </c>
      <c r="B976" s="10" t="s">
        <v>88</v>
      </c>
      <c r="C976" s="10" t="s">
        <v>49</v>
      </c>
      <c r="D976" s="10" t="s">
        <v>215</v>
      </c>
      <c r="E976" s="10" t="s">
        <v>2345</v>
      </c>
      <c r="F976" s="30" t="n">
        <v>42832</v>
      </c>
      <c r="G976" s="30" t="n">
        <v>42842</v>
      </c>
      <c r="H976" s="26" t="n">
        <f aca="false">G976-F976</f>
        <v>10</v>
      </c>
      <c r="I976" s="10" t="n">
        <f aca="false">IF(E976="Won",1,0)</f>
        <v>0</v>
      </c>
    </row>
    <row r="977" customFormat="false" ht="15" hidden="false" customHeight="false" outlineLevel="0" collapsed="false">
      <c r="A977" s="10" t="s">
        <v>3318</v>
      </c>
      <c r="B977" s="10" t="s">
        <v>80</v>
      </c>
      <c r="C977" s="10" t="s">
        <v>50</v>
      </c>
      <c r="D977" s="10" t="s">
        <v>536</v>
      </c>
      <c r="E977" s="10" t="s">
        <v>2342</v>
      </c>
      <c r="F977" s="30" t="n">
        <v>42832</v>
      </c>
      <c r="G977" s="30" t="n">
        <v>42842</v>
      </c>
      <c r="H977" s="26" t="n">
        <f aca="false">G977-F977</f>
        <v>10</v>
      </c>
      <c r="I977" s="10" t="n">
        <f aca="false">IF(E977="Won",1,0)</f>
        <v>1</v>
      </c>
    </row>
    <row r="978" customFormat="false" ht="15" hidden="false" customHeight="false" outlineLevel="0" collapsed="false">
      <c r="A978" s="10" t="s">
        <v>3319</v>
      </c>
      <c r="B978" s="10" t="s">
        <v>87</v>
      </c>
      <c r="C978" s="10" t="s">
        <v>48</v>
      </c>
      <c r="D978" s="10" t="s">
        <v>359</v>
      </c>
      <c r="E978" s="10" t="s">
        <v>2342</v>
      </c>
      <c r="F978" s="30" t="n">
        <v>42841</v>
      </c>
      <c r="G978" s="30" t="n">
        <v>42842</v>
      </c>
      <c r="H978" s="26" t="n">
        <f aca="false">G978-F978</f>
        <v>1</v>
      </c>
      <c r="I978" s="10" t="n">
        <f aca="false">IF(E978="Won",1,0)</f>
        <v>1</v>
      </c>
    </row>
    <row r="979" customFormat="false" ht="15" hidden="false" customHeight="false" outlineLevel="0" collapsed="false">
      <c r="A979" s="10" t="s">
        <v>3320</v>
      </c>
      <c r="B979" s="10" t="s">
        <v>77</v>
      </c>
      <c r="C979" s="10" t="s">
        <v>48</v>
      </c>
      <c r="D979" s="10" t="s">
        <v>762</v>
      </c>
      <c r="E979" s="10" t="s">
        <v>2342</v>
      </c>
      <c r="F979" s="30" t="n">
        <v>42835</v>
      </c>
      <c r="G979" s="30" t="n">
        <v>42842</v>
      </c>
      <c r="H979" s="26" t="n">
        <f aca="false">G979-F979</f>
        <v>7</v>
      </c>
      <c r="I979" s="10" t="n">
        <f aca="false">IF(E979="Won",1,0)</f>
        <v>1</v>
      </c>
    </row>
    <row r="980" customFormat="false" ht="15" hidden="false" customHeight="false" outlineLevel="0" collapsed="false">
      <c r="A980" s="10" t="s">
        <v>3321</v>
      </c>
      <c r="B980" s="10" t="s">
        <v>75</v>
      </c>
      <c r="C980" s="10" t="s">
        <v>49</v>
      </c>
      <c r="D980" s="10" t="s">
        <v>961</v>
      </c>
      <c r="E980" s="10" t="s">
        <v>2345</v>
      </c>
      <c r="F980" s="30" t="n">
        <v>42840</v>
      </c>
      <c r="G980" s="30" t="n">
        <v>42842</v>
      </c>
      <c r="H980" s="26" t="n">
        <f aca="false">G980-F980</f>
        <v>2</v>
      </c>
      <c r="I980" s="10" t="n">
        <f aca="false">IF(E980="Won",1,0)</f>
        <v>0</v>
      </c>
    </row>
    <row r="981" customFormat="false" ht="15" hidden="false" customHeight="false" outlineLevel="0" collapsed="false">
      <c r="A981" s="10" t="s">
        <v>3322</v>
      </c>
      <c r="B981" s="10" t="s">
        <v>75</v>
      </c>
      <c r="C981" s="10" t="s">
        <v>51</v>
      </c>
      <c r="D981" s="10" t="s">
        <v>524</v>
      </c>
      <c r="E981" s="10" t="s">
        <v>2345</v>
      </c>
      <c r="F981" s="30" t="n">
        <v>42841</v>
      </c>
      <c r="G981" s="30" t="n">
        <v>42843</v>
      </c>
      <c r="H981" s="26" t="n">
        <f aca="false">G981-F981</f>
        <v>2</v>
      </c>
      <c r="I981" s="10" t="n">
        <f aca="false">IF(E981="Won",1,0)</f>
        <v>0</v>
      </c>
    </row>
    <row r="982" customFormat="false" ht="15" hidden="false" customHeight="false" outlineLevel="0" collapsed="false">
      <c r="A982" s="10" t="s">
        <v>3323</v>
      </c>
      <c r="B982" s="10" t="s">
        <v>73</v>
      </c>
      <c r="C982" s="10" t="s">
        <v>49</v>
      </c>
      <c r="D982" s="10" t="s">
        <v>697</v>
      </c>
      <c r="E982" s="10" t="s">
        <v>2342</v>
      </c>
      <c r="F982" s="30" t="n">
        <v>42835</v>
      </c>
      <c r="G982" s="30" t="n">
        <v>42843</v>
      </c>
      <c r="H982" s="26" t="n">
        <f aca="false">G982-F982</f>
        <v>8</v>
      </c>
      <c r="I982" s="10" t="n">
        <f aca="false">IF(E982="Won",1,0)</f>
        <v>1</v>
      </c>
    </row>
    <row r="983" customFormat="false" ht="15" hidden="false" customHeight="false" outlineLevel="0" collapsed="false">
      <c r="A983" s="10" t="s">
        <v>3324</v>
      </c>
      <c r="B983" s="10" t="s">
        <v>57</v>
      </c>
      <c r="C983" s="10" t="s">
        <v>51</v>
      </c>
      <c r="D983" s="10" t="s">
        <v>332</v>
      </c>
      <c r="E983" s="10" t="s">
        <v>2345</v>
      </c>
      <c r="F983" s="30" t="n">
        <v>42842</v>
      </c>
      <c r="G983" s="30" t="n">
        <v>42843</v>
      </c>
      <c r="H983" s="26" t="n">
        <f aca="false">G983-F983</f>
        <v>1</v>
      </c>
      <c r="I983" s="10" t="n">
        <f aca="false">IF(E983="Won",1,0)</f>
        <v>0</v>
      </c>
    </row>
    <row r="984" customFormat="false" ht="15" hidden="false" customHeight="false" outlineLevel="0" collapsed="false">
      <c r="A984" s="10" t="s">
        <v>3325</v>
      </c>
      <c r="B984" s="10" t="s">
        <v>70</v>
      </c>
      <c r="C984" s="10" t="s">
        <v>52</v>
      </c>
      <c r="D984" s="10" t="s">
        <v>337</v>
      </c>
      <c r="E984" s="10" t="s">
        <v>2345</v>
      </c>
      <c r="F984" s="30" t="n">
        <v>42835</v>
      </c>
      <c r="G984" s="30" t="n">
        <v>42843</v>
      </c>
      <c r="H984" s="26" t="n">
        <f aca="false">G984-F984</f>
        <v>8</v>
      </c>
      <c r="I984" s="10" t="n">
        <f aca="false">IF(E984="Won",1,0)</f>
        <v>0</v>
      </c>
    </row>
    <row r="985" customFormat="false" ht="15" hidden="false" customHeight="false" outlineLevel="0" collapsed="false">
      <c r="A985" s="10" t="s">
        <v>3326</v>
      </c>
      <c r="B985" s="10" t="s">
        <v>66</v>
      </c>
      <c r="C985" s="10" t="s">
        <v>49</v>
      </c>
      <c r="D985" s="10" t="s">
        <v>199</v>
      </c>
      <c r="E985" s="10" t="s">
        <v>2345</v>
      </c>
      <c r="F985" s="30" t="n">
        <v>42842</v>
      </c>
      <c r="G985" s="30" t="n">
        <v>42843</v>
      </c>
      <c r="H985" s="26" t="n">
        <f aca="false">G985-F985</f>
        <v>1</v>
      </c>
      <c r="I985" s="10" t="n">
        <f aca="false">IF(E985="Won",1,0)</f>
        <v>0</v>
      </c>
    </row>
    <row r="986" customFormat="false" ht="15" hidden="false" customHeight="false" outlineLevel="0" collapsed="false">
      <c r="A986" s="10" t="s">
        <v>3327</v>
      </c>
      <c r="B986" s="10" t="s">
        <v>76</v>
      </c>
      <c r="C986" s="10" t="s">
        <v>49</v>
      </c>
      <c r="D986" s="10" t="s">
        <v>660</v>
      </c>
      <c r="E986" s="10" t="s">
        <v>2345</v>
      </c>
      <c r="F986" s="30" t="n">
        <v>42836</v>
      </c>
      <c r="G986" s="30" t="n">
        <v>42843</v>
      </c>
      <c r="H986" s="26" t="n">
        <f aca="false">G986-F986</f>
        <v>7</v>
      </c>
      <c r="I986" s="10" t="n">
        <f aca="false">IF(E986="Won",1,0)</f>
        <v>0</v>
      </c>
    </row>
    <row r="987" customFormat="false" ht="15" hidden="false" customHeight="false" outlineLevel="0" collapsed="false">
      <c r="A987" s="10" t="s">
        <v>3328</v>
      </c>
      <c r="B987" s="10" t="s">
        <v>95</v>
      </c>
      <c r="C987" s="10" t="s">
        <v>48</v>
      </c>
      <c r="D987" s="10" t="s">
        <v>396</v>
      </c>
      <c r="E987" s="10" t="s">
        <v>2345</v>
      </c>
      <c r="F987" s="30" t="n">
        <v>42842</v>
      </c>
      <c r="G987" s="30" t="n">
        <v>42843</v>
      </c>
      <c r="H987" s="26" t="n">
        <f aca="false">G987-F987</f>
        <v>1</v>
      </c>
      <c r="I987" s="10" t="n">
        <f aca="false">IF(E987="Won",1,0)</f>
        <v>0</v>
      </c>
    </row>
    <row r="988" customFormat="false" ht="15" hidden="false" customHeight="false" outlineLevel="0" collapsed="false">
      <c r="A988" s="10" t="s">
        <v>3329</v>
      </c>
      <c r="B988" s="10" t="s">
        <v>57</v>
      </c>
      <c r="C988" s="10" t="s">
        <v>48</v>
      </c>
      <c r="D988" s="10" t="s">
        <v>464</v>
      </c>
      <c r="E988" s="10" t="s">
        <v>2345</v>
      </c>
      <c r="F988" s="30" t="n">
        <v>42838</v>
      </c>
      <c r="G988" s="30" t="n">
        <v>42843</v>
      </c>
      <c r="H988" s="26" t="n">
        <f aca="false">G988-F988</f>
        <v>5</v>
      </c>
      <c r="I988" s="10" t="n">
        <f aca="false">IF(E988="Won",1,0)</f>
        <v>0</v>
      </c>
    </row>
    <row r="989" customFormat="false" ht="15" hidden="false" customHeight="false" outlineLevel="0" collapsed="false">
      <c r="A989" s="10" t="s">
        <v>3330</v>
      </c>
      <c r="B989" s="10" t="s">
        <v>77</v>
      </c>
      <c r="C989" s="10" t="s">
        <v>48</v>
      </c>
      <c r="D989" s="10" t="s">
        <v>524</v>
      </c>
      <c r="E989" s="10" t="s">
        <v>2342</v>
      </c>
      <c r="F989" s="30" t="n">
        <v>42834</v>
      </c>
      <c r="G989" s="30" t="n">
        <v>42843</v>
      </c>
      <c r="H989" s="26" t="n">
        <f aca="false">G989-F989</f>
        <v>9</v>
      </c>
      <c r="I989" s="10" t="n">
        <f aca="false">IF(E989="Won",1,0)</f>
        <v>1</v>
      </c>
    </row>
    <row r="990" customFormat="false" ht="15" hidden="false" customHeight="false" outlineLevel="0" collapsed="false">
      <c r="A990" s="10" t="s">
        <v>3331</v>
      </c>
      <c r="B990" s="10" t="s">
        <v>73</v>
      </c>
      <c r="C990" s="10" t="s">
        <v>51</v>
      </c>
      <c r="D990" s="10" t="s">
        <v>697</v>
      </c>
      <c r="E990" s="10" t="s">
        <v>2345</v>
      </c>
      <c r="F990" s="30" t="n">
        <v>42834</v>
      </c>
      <c r="G990" s="30" t="n">
        <v>42843</v>
      </c>
      <c r="H990" s="26" t="n">
        <f aca="false">G990-F990</f>
        <v>9</v>
      </c>
      <c r="I990" s="10" t="n">
        <f aca="false">IF(E990="Won",1,0)</f>
        <v>0</v>
      </c>
    </row>
    <row r="991" customFormat="false" ht="15" hidden="false" customHeight="false" outlineLevel="0" collapsed="false">
      <c r="A991" s="10" t="s">
        <v>3332</v>
      </c>
      <c r="B991" s="10" t="s">
        <v>77</v>
      </c>
      <c r="C991" s="10" t="s">
        <v>48</v>
      </c>
      <c r="D991" s="10" t="s">
        <v>210</v>
      </c>
      <c r="E991" s="10" t="s">
        <v>2342</v>
      </c>
      <c r="F991" s="30" t="n">
        <v>42836</v>
      </c>
      <c r="G991" s="30" t="n">
        <v>42843</v>
      </c>
      <c r="H991" s="26" t="n">
        <f aca="false">G991-F991</f>
        <v>7</v>
      </c>
      <c r="I991" s="10" t="n">
        <f aca="false">IF(E991="Won",1,0)</f>
        <v>1</v>
      </c>
    </row>
    <row r="992" customFormat="false" ht="15" hidden="false" customHeight="false" outlineLevel="0" collapsed="false">
      <c r="A992" s="10" t="s">
        <v>3333</v>
      </c>
      <c r="B992" s="10" t="s">
        <v>84</v>
      </c>
      <c r="C992" s="10" t="s">
        <v>51</v>
      </c>
      <c r="D992" s="10" t="s">
        <v>441</v>
      </c>
      <c r="E992" s="10" t="s">
        <v>2345</v>
      </c>
      <c r="F992" s="30" t="n">
        <v>42834</v>
      </c>
      <c r="G992" s="30" t="n">
        <v>42843</v>
      </c>
      <c r="H992" s="26" t="n">
        <f aca="false">G992-F992</f>
        <v>9</v>
      </c>
      <c r="I992" s="10" t="n">
        <f aca="false">IF(E992="Won",1,0)</f>
        <v>0</v>
      </c>
    </row>
    <row r="993" customFormat="false" ht="15" hidden="false" customHeight="false" outlineLevel="0" collapsed="false">
      <c r="A993" s="10" t="s">
        <v>3334</v>
      </c>
      <c r="B993" s="10" t="s">
        <v>88</v>
      </c>
      <c r="C993" s="10" t="s">
        <v>50</v>
      </c>
      <c r="D993" s="10" t="s">
        <v>453</v>
      </c>
      <c r="E993" s="10" t="s">
        <v>2345</v>
      </c>
      <c r="F993" s="30" t="n">
        <v>42836</v>
      </c>
      <c r="G993" s="30" t="n">
        <v>42843</v>
      </c>
      <c r="H993" s="26" t="n">
        <f aca="false">G993-F993</f>
        <v>7</v>
      </c>
      <c r="I993" s="10" t="n">
        <f aca="false">IF(E993="Won",1,0)</f>
        <v>0</v>
      </c>
    </row>
    <row r="994" customFormat="false" ht="15" hidden="false" customHeight="false" outlineLevel="0" collapsed="false">
      <c r="A994" s="10" t="s">
        <v>3335</v>
      </c>
      <c r="B994" s="10" t="s">
        <v>62</v>
      </c>
      <c r="C994" s="10" t="s">
        <v>49</v>
      </c>
      <c r="D994" s="10" t="s">
        <v>378</v>
      </c>
      <c r="E994" s="10" t="s">
        <v>2345</v>
      </c>
      <c r="F994" s="30" t="n">
        <v>42837</v>
      </c>
      <c r="G994" s="30" t="n">
        <v>42843</v>
      </c>
      <c r="H994" s="26" t="n">
        <f aca="false">G994-F994</f>
        <v>6</v>
      </c>
      <c r="I994" s="10" t="n">
        <f aca="false">IF(E994="Won",1,0)</f>
        <v>0</v>
      </c>
    </row>
    <row r="995" customFormat="false" ht="15" hidden="false" customHeight="false" outlineLevel="0" collapsed="false">
      <c r="A995" s="10" t="s">
        <v>3336</v>
      </c>
      <c r="B995" s="10" t="s">
        <v>77</v>
      </c>
      <c r="C995" s="10" t="s">
        <v>48</v>
      </c>
      <c r="D995" s="10" t="s">
        <v>353</v>
      </c>
      <c r="E995" s="10" t="s">
        <v>2345</v>
      </c>
      <c r="F995" s="30" t="n">
        <v>42842</v>
      </c>
      <c r="G995" s="30" t="n">
        <v>42843</v>
      </c>
      <c r="H995" s="26" t="n">
        <f aca="false">G995-F995</f>
        <v>1</v>
      </c>
      <c r="I995" s="10" t="n">
        <f aca="false">IF(E995="Won",1,0)</f>
        <v>0</v>
      </c>
    </row>
    <row r="996" customFormat="false" ht="15" hidden="false" customHeight="false" outlineLevel="0" collapsed="false">
      <c r="A996" s="10" t="s">
        <v>3337</v>
      </c>
      <c r="B996" s="10" t="s">
        <v>60</v>
      </c>
      <c r="C996" s="10" t="s">
        <v>48</v>
      </c>
      <c r="D996" s="10" t="s">
        <v>692</v>
      </c>
      <c r="E996" s="10" t="s">
        <v>2345</v>
      </c>
      <c r="F996" s="30" t="n">
        <v>42841</v>
      </c>
      <c r="G996" s="30" t="n">
        <v>42843</v>
      </c>
      <c r="H996" s="26" t="n">
        <f aca="false">G996-F996</f>
        <v>2</v>
      </c>
      <c r="I996" s="10" t="n">
        <f aca="false">IF(E996="Won",1,0)</f>
        <v>0</v>
      </c>
    </row>
    <row r="997" customFormat="false" ht="15" hidden="false" customHeight="false" outlineLevel="0" collapsed="false">
      <c r="A997" s="10" t="s">
        <v>3338</v>
      </c>
      <c r="B997" s="10" t="s">
        <v>79</v>
      </c>
      <c r="C997" s="10" t="s">
        <v>49</v>
      </c>
      <c r="D997" s="10" t="s">
        <v>259</v>
      </c>
      <c r="E997" s="10" t="s">
        <v>2345</v>
      </c>
      <c r="F997" s="30" t="n">
        <v>42832</v>
      </c>
      <c r="G997" s="30" t="n">
        <v>42843</v>
      </c>
      <c r="H997" s="26" t="n">
        <f aca="false">G997-F997</f>
        <v>11</v>
      </c>
      <c r="I997" s="10" t="n">
        <f aca="false">IF(E997="Won",1,0)</f>
        <v>0</v>
      </c>
    </row>
    <row r="998" customFormat="false" ht="15" hidden="false" customHeight="false" outlineLevel="0" collapsed="false">
      <c r="A998" s="10" t="s">
        <v>3339</v>
      </c>
      <c r="B998" s="10" t="s">
        <v>95</v>
      </c>
      <c r="C998" s="10" t="s">
        <v>51</v>
      </c>
      <c r="D998" s="10" t="s">
        <v>606</v>
      </c>
      <c r="E998" s="10" t="s">
        <v>2345</v>
      </c>
      <c r="F998" s="30" t="n">
        <v>42836</v>
      </c>
      <c r="G998" s="30" t="n">
        <v>42843</v>
      </c>
      <c r="H998" s="26" t="n">
        <f aca="false">G998-F998</f>
        <v>7</v>
      </c>
      <c r="I998" s="10" t="n">
        <f aca="false">IF(E998="Won",1,0)</f>
        <v>0</v>
      </c>
    </row>
    <row r="999" customFormat="false" ht="15" hidden="false" customHeight="false" outlineLevel="0" collapsed="false">
      <c r="A999" s="10" t="s">
        <v>3340</v>
      </c>
      <c r="B999" s="10" t="s">
        <v>77</v>
      </c>
      <c r="C999" s="10" t="s">
        <v>48</v>
      </c>
      <c r="D999" s="10" t="s">
        <v>961</v>
      </c>
      <c r="E999" s="10" t="s">
        <v>2345</v>
      </c>
      <c r="F999" s="30" t="n">
        <v>42835</v>
      </c>
      <c r="G999" s="30" t="n">
        <v>42843</v>
      </c>
      <c r="H999" s="26" t="n">
        <f aca="false">G999-F999</f>
        <v>8</v>
      </c>
      <c r="I999" s="10" t="n">
        <f aca="false">IF(E999="Won",1,0)</f>
        <v>0</v>
      </c>
    </row>
    <row r="1000" customFormat="false" ht="15" hidden="false" customHeight="false" outlineLevel="0" collapsed="false">
      <c r="A1000" s="10" t="s">
        <v>3341</v>
      </c>
      <c r="B1000" s="10" t="s">
        <v>77</v>
      </c>
      <c r="C1000" s="10" t="s">
        <v>48</v>
      </c>
      <c r="D1000" s="10" t="s">
        <v>369</v>
      </c>
      <c r="E1000" s="10" t="s">
        <v>2345</v>
      </c>
      <c r="F1000" s="30" t="n">
        <v>42833</v>
      </c>
      <c r="G1000" s="30" t="n">
        <v>42843</v>
      </c>
      <c r="H1000" s="26" t="n">
        <f aca="false">G1000-F1000</f>
        <v>10</v>
      </c>
      <c r="I1000" s="10" t="n">
        <f aca="false">IF(E1000="Won",1,0)</f>
        <v>0</v>
      </c>
    </row>
    <row r="1001" customFormat="false" ht="15" hidden="false" customHeight="false" outlineLevel="0" collapsed="false">
      <c r="A1001" s="10" t="s">
        <v>3342</v>
      </c>
      <c r="B1001" s="10" t="s">
        <v>76</v>
      </c>
      <c r="C1001" s="10" t="s">
        <v>52</v>
      </c>
      <c r="D1001" s="10" t="s">
        <v>527</v>
      </c>
      <c r="E1001" s="10" t="s">
        <v>2342</v>
      </c>
      <c r="F1001" s="30" t="n">
        <v>42835</v>
      </c>
      <c r="G1001" s="30" t="n">
        <v>42843</v>
      </c>
      <c r="H1001" s="26" t="n">
        <f aca="false">G1001-F1001</f>
        <v>8</v>
      </c>
      <c r="I1001" s="10" t="n">
        <f aca="false">IF(E1001="Won",1,0)</f>
        <v>1</v>
      </c>
    </row>
    <row r="1002" customFormat="false" ht="15" hidden="false" customHeight="false" outlineLevel="0" collapsed="false">
      <c r="A1002" s="10" t="s">
        <v>3343</v>
      </c>
      <c r="B1002" s="10" t="s">
        <v>71</v>
      </c>
      <c r="C1002" s="10" t="s">
        <v>51</v>
      </c>
      <c r="D1002" s="10" t="s">
        <v>527</v>
      </c>
      <c r="E1002" s="10" t="s">
        <v>2345</v>
      </c>
      <c r="F1002" s="30" t="n">
        <v>42837</v>
      </c>
      <c r="G1002" s="30" t="n">
        <v>42843</v>
      </c>
      <c r="H1002" s="26" t="n">
        <f aca="false">G1002-F1002</f>
        <v>6</v>
      </c>
      <c r="I1002" s="10" t="n">
        <f aca="false">IF(E1002="Won",1,0)</f>
        <v>0</v>
      </c>
    </row>
    <row r="1003" customFormat="false" ht="15" hidden="false" customHeight="false" outlineLevel="0" collapsed="false">
      <c r="A1003" s="10" t="s">
        <v>3344</v>
      </c>
      <c r="B1003" s="10" t="s">
        <v>95</v>
      </c>
      <c r="C1003" s="10" t="s">
        <v>51</v>
      </c>
      <c r="D1003" s="10" t="s">
        <v>986</v>
      </c>
      <c r="E1003" s="10" t="s">
        <v>2342</v>
      </c>
      <c r="F1003" s="30" t="n">
        <v>42836</v>
      </c>
      <c r="G1003" s="30" t="n">
        <v>42843</v>
      </c>
      <c r="H1003" s="26" t="n">
        <f aca="false">G1003-F1003</f>
        <v>7</v>
      </c>
      <c r="I1003" s="10" t="n">
        <f aca="false">IF(E1003="Won",1,0)</f>
        <v>1</v>
      </c>
    </row>
    <row r="1004" customFormat="false" ht="15" hidden="false" customHeight="false" outlineLevel="0" collapsed="false">
      <c r="A1004" s="10" t="s">
        <v>3345</v>
      </c>
      <c r="B1004" s="10" t="s">
        <v>74</v>
      </c>
      <c r="C1004" s="10" t="s">
        <v>52</v>
      </c>
      <c r="D1004" s="10" t="s">
        <v>279</v>
      </c>
      <c r="E1004" s="10" t="s">
        <v>2342</v>
      </c>
      <c r="F1004" s="30" t="n">
        <v>42835</v>
      </c>
      <c r="G1004" s="30" t="n">
        <v>42843</v>
      </c>
      <c r="H1004" s="26" t="n">
        <f aca="false">G1004-F1004</f>
        <v>8</v>
      </c>
      <c r="I1004" s="10" t="n">
        <f aca="false">IF(E1004="Won",1,0)</f>
        <v>1</v>
      </c>
    </row>
    <row r="1005" customFormat="false" ht="15" hidden="false" customHeight="false" outlineLevel="0" collapsed="false">
      <c r="A1005" s="10" t="s">
        <v>3346</v>
      </c>
      <c r="B1005" s="10" t="s">
        <v>77</v>
      </c>
      <c r="C1005" s="10" t="s">
        <v>51</v>
      </c>
      <c r="D1005" s="10" t="s">
        <v>483</v>
      </c>
      <c r="E1005" s="10" t="s">
        <v>2345</v>
      </c>
      <c r="F1005" s="30" t="n">
        <v>42835</v>
      </c>
      <c r="G1005" s="30" t="n">
        <v>42843</v>
      </c>
      <c r="H1005" s="26" t="n">
        <f aca="false">G1005-F1005</f>
        <v>8</v>
      </c>
      <c r="I1005" s="10" t="n">
        <f aca="false">IF(E1005="Won",1,0)</f>
        <v>0</v>
      </c>
    </row>
    <row r="1006" customFormat="false" ht="15" hidden="false" customHeight="false" outlineLevel="0" collapsed="false">
      <c r="A1006" s="10" t="s">
        <v>3347</v>
      </c>
      <c r="B1006" s="10" t="s">
        <v>77</v>
      </c>
      <c r="C1006" s="10" t="s">
        <v>50</v>
      </c>
      <c r="D1006" s="10" t="s">
        <v>1251</v>
      </c>
      <c r="E1006" s="10" t="s">
        <v>2342</v>
      </c>
      <c r="F1006" s="30" t="n">
        <v>42838</v>
      </c>
      <c r="G1006" s="30" t="n">
        <v>42844</v>
      </c>
      <c r="H1006" s="26" t="n">
        <f aca="false">G1006-F1006</f>
        <v>6</v>
      </c>
      <c r="I1006" s="10" t="n">
        <f aca="false">IF(E1006="Won",1,0)</f>
        <v>1</v>
      </c>
    </row>
    <row r="1007" customFormat="false" ht="15" hidden="false" customHeight="false" outlineLevel="0" collapsed="false">
      <c r="A1007" s="10" t="s">
        <v>3348</v>
      </c>
      <c r="B1007" s="10" t="s">
        <v>73</v>
      </c>
      <c r="C1007" s="10" t="s">
        <v>52</v>
      </c>
      <c r="D1007" s="10" t="s">
        <v>947</v>
      </c>
      <c r="E1007" s="10" t="s">
        <v>2345</v>
      </c>
      <c r="F1007" s="30" t="n">
        <v>42836</v>
      </c>
      <c r="G1007" s="30" t="n">
        <v>42844</v>
      </c>
      <c r="H1007" s="26" t="n">
        <f aca="false">G1007-F1007</f>
        <v>8</v>
      </c>
      <c r="I1007" s="10" t="n">
        <f aca="false">IF(E1007="Won",1,0)</f>
        <v>0</v>
      </c>
    </row>
    <row r="1008" customFormat="false" ht="15" hidden="false" customHeight="false" outlineLevel="0" collapsed="false">
      <c r="A1008" s="10" t="s">
        <v>3349</v>
      </c>
      <c r="B1008" s="10" t="s">
        <v>95</v>
      </c>
      <c r="C1008" s="10" t="s">
        <v>47</v>
      </c>
      <c r="D1008" s="10" t="s">
        <v>514</v>
      </c>
      <c r="E1008" s="10" t="s">
        <v>2342</v>
      </c>
      <c r="F1008" s="30" t="n">
        <v>42843</v>
      </c>
      <c r="G1008" s="30" t="n">
        <v>42844</v>
      </c>
      <c r="H1008" s="26" t="n">
        <f aca="false">G1008-F1008</f>
        <v>1</v>
      </c>
      <c r="I1008" s="10" t="n">
        <f aca="false">IF(E1008="Won",1,0)</f>
        <v>1</v>
      </c>
    </row>
    <row r="1009" customFormat="false" ht="15" hidden="false" customHeight="false" outlineLevel="0" collapsed="false">
      <c r="A1009" s="10" t="s">
        <v>3350</v>
      </c>
      <c r="B1009" s="10" t="s">
        <v>96</v>
      </c>
      <c r="C1009" s="10" t="s">
        <v>47</v>
      </c>
      <c r="D1009" s="10" t="s">
        <v>483</v>
      </c>
      <c r="E1009" s="10" t="s">
        <v>2345</v>
      </c>
      <c r="F1009" s="30" t="n">
        <v>42839</v>
      </c>
      <c r="G1009" s="30" t="n">
        <v>42844</v>
      </c>
      <c r="H1009" s="26" t="n">
        <f aca="false">G1009-F1009</f>
        <v>5</v>
      </c>
      <c r="I1009" s="10" t="n">
        <f aca="false">IF(E1009="Won",1,0)</f>
        <v>0</v>
      </c>
    </row>
    <row r="1010" customFormat="false" ht="15" hidden="false" customHeight="false" outlineLevel="0" collapsed="false">
      <c r="A1010" s="10" t="s">
        <v>3351</v>
      </c>
      <c r="B1010" s="10" t="s">
        <v>77</v>
      </c>
      <c r="C1010" s="10" t="s">
        <v>48</v>
      </c>
      <c r="D1010" s="10" t="s">
        <v>291</v>
      </c>
      <c r="E1010" s="10" t="s">
        <v>2345</v>
      </c>
      <c r="F1010" s="30" t="n">
        <v>42836</v>
      </c>
      <c r="G1010" s="30" t="n">
        <v>42844</v>
      </c>
      <c r="H1010" s="26" t="n">
        <f aca="false">G1010-F1010</f>
        <v>8</v>
      </c>
      <c r="I1010" s="10" t="n">
        <f aca="false">IF(E1010="Won",1,0)</f>
        <v>0</v>
      </c>
    </row>
    <row r="1011" customFormat="false" ht="15" hidden="false" customHeight="false" outlineLevel="0" collapsed="false">
      <c r="A1011" s="10" t="s">
        <v>3352</v>
      </c>
      <c r="B1011" s="10" t="s">
        <v>90</v>
      </c>
      <c r="C1011" s="10" t="s">
        <v>51</v>
      </c>
      <c r="D1011" s="10" t="s">
        <v>1118</v>
      </c>
      <c r="E1011" s="10" t="s">
        <v>2342</v>
      </c>
      <c r="F1011" s="30" t="n">
        <v>42842</v>
      </c>
      <c r="G1011" s="30" t="n">
        <v>42844</v>
      </c>
      <c r="H1011" s="26" t="n">
        <f aca="false">G1011-F1011</f>
        <v>2</v>
      </c>
      <c r="I1011" s="10" t="n">
        <f aca="false">IF(E1011="Won",1,0)</f>
        <v>1</v>
      </c>
    </row>
    <row r="1012" customFormat="false" ht="15" hidden="false" customHeight="false" outlineLevel="0" collapsed="false">
      <c r="A1012" s="10" t="s">
        <v>3353</v>
      </c>
      <c r="B1012" s="10" t="s">
        <v>86</v>
      </c>
      <c r="C1012" s="10" t="s">
        <v>47</v>
      </c>
      <c r="D1012" s="10" t="s">
        <v>293</v>
      </c>
      <c r="E1012" s="10" t="s">
        <v>2345</v>
      </c>
      <c r="F1012" s="30" t="n">
        <v>42839</v>
      </c>
      <c r="G1012" s="30" t="n">
        <v>42844</v>
      </c>
      <c r="H1012" s="26" t="n">
        <f aca="false">G1012-F1012</f>
        <v>5</v>
      </c>
      <c r="I1012" s="10" t="n">
        <f aca="false">IF(E1012="Won",1,0)</f>
        <v>0</v>
      </c>
    </row>
    <row r="1013" customFormat="false" ht="15" hidden="false" customHeight="false" outlineLevel="0" collapsed="false">
      <c r="A1013" s="10" t="s">
        <v>3354</v>
      </c>
      <c r="B1013" s="10" t="s">
        <v>86</v>
      </c>
      <c r="C1013" s="10" t="s">
        <v>49</v>
      </c>
      <c r="D1013" s="10" t="s">
        <v>1118</v>
      </c>
      <c r="E1013" s="10" t="s">
        <v>2345</v>
      </c>
      <c r="F1013" s="30" t="n">
        <v>42839</v>
      </c>
      <c r="G1013" s="30" t="n">
        <v>42844</v>
      </c>
      <c r="H1013" s="26" t="n">
        <f aca="false">G1013-F1013</f>
        <v>5</v>
      </c>
      <c r="I1013" s="10" t="n">
        <f aca="false">IF(E1013="Won",1,0)</f>
        <v>0</v>
      </c>
    </row>
    <row r="1014" customFormat="false" ht="15" hidden="false" customHeight="false" outlineLevel="0" collapsed="false">
      <c r="A1014" s="10" t="s">
        <v>3355</v>
      </c>
      <c r="B1014" s="10" t="s">
        <v>70</v>
      </c>
      <c r="C1014" s="10" t="s">
        <v>47</v>
      </c>
      <c r="D1014" s="10" t="s">
        <v>199</v>
      </c>
      <c r="E1014" s="10" t="s">
        <v>2345</v>
      </c>
      <c r="F1014" s="30" t="n">
        <v>42837</v>
      </c>
      <c r="G1014" s="30" t="n">
        <v>42844</v>
      </c>
      <c r="H1014" s="26" t="n">
        <f aca="false">G1014-F1014</f>
        <v>7</v>
      </c>
      <c r="I1014" s="10" t="n">
        <f aca="false">IF(E1014="Won",1,0)</f>
        <v>0</v>
      </c>
    </row>
    <row r="1015" customFormat="false" ht="15" hidden="false" customHeight="false" outlineLevel="0" collapsed="false">
      <c r="A1015" s="10" t="s">
        <v>3356</v>
      </c>
      <c r="B1015" s="10" t="s">
        <v>76</v>
      </c>
      <c r="C1015" s="10" t="s">
        <v>52</v>
      </c>
      <c r="D1015" s="10" t="s">
        <v>869</v>
      </c>
      <c r="E1015" s="10" t="s">
        <v>2345</v>
      </c>
      <c r="F1015" s="30" t="n">
        <v>42837</v>
      </c>
      <c r="G1015" s="30" t="n">
        <v>42844</v>
      </c>
      <c r="H1015" s="26" t="n">
        <f aca="false">G1015-F1015</f>
        <v>7</v>
      </c>
      <c r="I1015" s="10" t="n">
        <f aca="false">IF(E1015="Won",1,0)</f>
        <v>0</v>
      </c>
    </row>
    <row r="1016" customFormat="false" ht="15" hidden="false" customHeight="false" outlineLevel="0" collapsed="false">
      <c r="A1016" s="10" t="s">
        <v>3357</v>
      </c>
      <c r="B1016" s="10" t="s">
        <v>83</v>
      </c>
      <c r="C1016" s="10" t="s">
        <v>49</v>
      </c>
      <c r="D1016" s="10" t="s">
        <v>291</v>
      </c>
      <c r="E1016" s="10" t="s">
        <v>2342</v>
      </c>
      <c r="F1016" s="30" t="n">
        <v>42843</v>
      </c>
      <c r="G1016" s="30" t="n">
        <v>42844</v>
      </c>
      <c r="H1016" s="26" t="n">
        <f aca="false">G1016-F1016</f>
        <v>1</v>
      </c>
      <c r="I1016" s="10" t="n">
        <f aca="false">IF(E1016="Won",1,0)</f>
        <v>1</v>
      </c>
    </row>
    <row r="1017" customFormat="false" ht="15" hidden="false" customHeight="false" outlineLevel="0" collapsed="false">
      <c r="A1017" s="10" t="s">
        <v>3358</v>
      </c>
      <c r="B1017" s="10" t="s">
        <v>86</v>
      </c>
      <c r="C1017" s="10" t="s">
        <v>51</v>
      </c>
      <c r="D1017" s="10" t="s">
        <v>441</v>
      </c>
      <c r="E1017" s="10" t="s">
        <v>2342</v>
      </c>
      <c r="F1017" s="30" t="n">
        <v>42837</v>
      </c>
      <c r="G1017" s="30" t="n">
        <v>42844</v>
      </c>
      <c r="H1017" s="26" t="n">
        <f aca="false">G1017-F1017</f>
        <v>7</v>
      </c>
      <c r="I1017" s="10" t="n">
        <f aca="false">IF(E1017="Won",1,0)</f>
        <v>1</v>
      </c>
    </row>
    <row r="1018" customFormat="false" ht="15" hidden="false" customHeight="false" outlineLevel="0" collapsed="false">
      <c r="A1018" s="10" t="s">
        <v>3359</v>
      </c>
      <c r="B1018" s="10" t="s">
        <v>94</v>
      </c>
      <c r="C1018" s="10" t="s">
        <v>49</v>
      </c>
      <c r="D1018" s="10" t="s">
        <v>286</v>
      </c>
      <c r="E1018" s="10" t="s">
        <v>2342</v>
      </c>
      <c r="F1018" s="30" t="n">
        <v>42837</v>
      </c>
      <c r="G1018" s="30" t="n">
        <v>42844</v>
      </c>
      <c r="H1018" s="26" t="n">
        <f aca="false">G1018-F1018</f>
        <v>7</v>
      </c>
      <c r="I1018" s="10" t="n">
        <f aca="false">IF(E1018="Won",1,0)</f>
        <v>1</v>
      </c>
    </row>
    <row r="1019" customFormat="false" ht="15" hidden="false" customHeight="false" outlineLevel="0" collapsed="false">
      <c r="A1019" s="10" t="s">
        <v>3360</v>
      </c>
      <c r="B1019" s="10" t="s">
        <v>95</v>
      </c>
      <c r="C1019" s="10" t="s">
        <v>47</v>
      </c>
      <c r="D1019" s="10" t="s">
        <v>487</v>
      </c>
      <c r="E1019" s="10" t="s">
        <v>2342</v>
      </c>
      <c r="F1019" s="30" t="n">
        <v>42842</v>
      </c>
      <c r="G1019" s="30" t="n">
        <v>42844</v>
      </c>
      <c r="H1019" s="26" t="n">
        <f aca="false">G1019-F1019</f>
        <v>2</v>
      </c>
      <c r="I1019" s="10" t="n">
        <f aca="false">IF(E1019="Won",1,0)</f>
        <v>1</v>
      </c>
    </row>
    <row r="1020" customFormat="false" ht="15" hidden="false" customHeight="false" outlineLevel="0" collapsed="false">
      <c r="A1020" s="10" t="s">
        <v>3361</v>
      </c>
      <c r="B1020" s="10" t="s">
        <v>95</v>
      </c>
      <c r="C1020" s="10" t="s">
        <v>48</v>
      </c>
      <c r="D1020" s="10" t="s">
        <v>424</v>
      </c>
      <c r="E1020" s="10" t="s">
        <v>2345</v>
      </c>
      <c r="F1020" s="30" t="n">
        <v>42838</v>
      </c>
      <c r="G1020" s="30" t="n">
        <v>42844</v>
      </c>
      <c r="H1020" s="26" t="n">
        <f aca="false">G1020-F1020</f>
        <v>6</v>
      </c>
      <c r="I1020" s="10" t="n">
        <f aca="false">IF(E1020="Won",1,0)</f>
        <v>0</v>
      </c>
    </row>
    <row r="1021" customFormat="false" ht="15" hidden="false" customHeight="false" outlineLevel="0" collapsed="false">
      <c r="A1021" s="10" t="s">
        <v>3362</v>
      </c>
      <c r="B1021" s="10" t="s">
        <v>95</v>
      </c>
      <c r="C1021" s="10" t="s">
        <v>47</v>
      </c>
      <c r="D1021" s="10" t="s">
        <v>326</v>
      </c>
      <c r="E1021" s="10" t="s">
        <v>2345</v>
      </c>
      <c r="F1021" s="30" t="n">
        <v>42842</v>
      </c>
      <c r="G1021" s="30" t="n">
        <v>42844</v>
      </c>
      <c r="H1021" s="26" t="n">
        <f aca="false">G1021-F1021</f>
        <v>2</v>
      </c>
      <c r="I1021" s="10" t="n">
        <f aca="false">IF(E1021="Won",1,0)</f>
        <v>0</v>
      </c>
    </row>
    <row r="1022" customFormat="false" ht="15" hidden="false" customHeight="false" outlineLevel="0" collapsed="false">
      <c r="A1022" s="10" t="s">
        <v>3363</v>
      </c>
      <c r="B1022" s="10" t="s">
        <v>94</v>
      </c>
      <c r="C1022" s="10" t="s">
        <v>51</v>
      </c>
      <c r="D1022" s="10" t="s">
        <v>514</v>
      </c>
      <c r="E1022" s="10" t="s">
        <v>2342</v>
      </c>
      <c r="F1022" s="30" t="n">
        <v>42842</v>
      </c>
      <c r="G1022" s="30" t="n">
        <v>42844</v>
      </c>
      <c r="H1022" s="26" t="n">
        <f aca="false">G1022-F1022</f>
        <v>2</v>
      </c>
      <c r="I1022" s="10" t="n">
        <f aca="false">IF(E1022="Won",1,0)</f>
        <v>1</v>
      </c>
    </row>
    <row r="1023" customFormat="false" ht="15" hidden="false" customHeight="false" outlineLevel="0" collapsed="false">
      <c r="A1023" s="10" t="s">
        <v>3364</v>
      </c>
      <c r="B1023" s="10" t="s">
        <v>79</v>
      </c>
      <c r="C1023" s="10" t="s">
        <v>47</v>
      </c>
      <c r="D1023" s="10" t="s">
        <v>210</v>
      </c>
      <c r="E1023" s="10" t="s">
        <v>2345</v>
      </c>
      <c r="F1023" s="30" t="n">
        <v>42838</v>
      </c>
      <c r="G1023" s="30" t="n">
        <v>42844</v>
      </c>
      <c r="H1023" s="26" t="n">
        <f aca="false">G1023-F1023</f>
        <v>6</v>
      </c>
      <c r="I1023" s="10" t="n">
        <f aca="false">IF(E1023="Won",1,0)</f>
        <v>0</v>
      </c>
    </row>
    <row r="1024" customFormat="false" ht="15" hidden="false" customHeight="false" outlineLevel="0" collapsed="false">
      <c r="A1024" s="10" t="s">
        <v>3365</v>
      </c>
      <c r="B1024" s="10" t="s">
        <v>67</v>
      </c>
      <c r="C1024" s="10" t="s">
        <v>49</v>
      </c>
      <c r="D1024" s="10" t="s">
        <v>506</v>
      </c>
      <c r="E1024" s="10" t="s">
        <v>2345</v>
      </c>
      <c r="F1024" s="30" t="n">
        <v>42842</v>
      </c>
      <c r="G1024" s="30" t="n">
        <v>42844</v>
      </c>
      <c r="H1024" s="26" t="n">
        <f aca="false">G1024-F1024</f>
        <v>2</v>
      </c>
      <c r="I1024" s="10" t="n">
        <f aca="false">IF(E1024="Won",1,0)</f>
        <v>0</v>
      </c>
    </row>
    <row r="1025" customFormat="false" ht="15" hidden="false" customHeight="false" outlineLevel="0" collapsed="false">
      <c r="A1025" s="10" t="s">
        <v>3366</v>
      </c>
      <c r="B1025" s="10" t="s">
        <v>94</v>
      </c>
      <c r="C1025" s="10" t="s">
        <v>52</v>
      </c>
      <c r="D1025" s="10" t="s">
        <v>172</v>
      </c>
      <c r="E1025" s="10" t="s">
        <v>2342</v>
      </c>
      <c r="F1025" s="30" t="n">
        <v>42837</v>
      </c>
      <c r="G1025" s="30" t="n">
        <v>42844</v>
      </c>
      <c r="H1025" s="26" t="n">
        <f aca="false">G1025-F1025</f>
        <v>7</v>
      </c>
      <c r="I1025" s="10" t="n">
        <f aca="false">IF(E1025="Won",1,0)</f>
        <v>1</v>
      </c>
    </row>
    <row r="1026" customFormat="false" ht="15" hidden="false" customHeight="false" outlineLevel="0" collapsed="false">
      <c r="A1026" s="10" t="s">
        <v>3367</v>
      </c>
      <c r="B1026" s="10" t="s">
        <v>84</v>
      </c>
      <c r="C1026" s="10" t="s">
        <v>51</v>
      </c>
      <c r="D1026" s="10" t="s">
        <v>453</v>
      </c>
      <c r="E1026" s="10" t="s">
        <v>2345</v>
      </c>
      <c r="F1026" s="30" t="n">
        <v>42842</v>
      </c>
      <c r="G1026" s="30" t="n">
        <v>42844</v>
      </c>
      <c r="H1026" s="26" t="n">
        <f aca="false">G1026-F1026</f>
        <v>2</v>
      </c>
      <c r="I1026" s="10" t="n">
        <f aca="false">IF(E1026="Won",1,0)</f>
        <v>0</v>
      </c>
    </row>
    <row r="1027" customFormat="false" ht="15" hidden="false" customHeight="false" outlineLevel="0" collapsed="false">
      <c r="A1027" s="10" t="s">
        <v>3368</v>
      </c>
      <c r="B1027" s="10" t="s">
        <v>73</v>
      </c>
      <c r="C1027" s="10" t="s">
        <v>52</v>
      </c>
      <c r="D1027" s="10" t="s">
        <v>353</v>
      </c>
      <c r="E1027" s="10" t="s">
        <v>2345</v>
      </c>
      <c r="F1027" s="30" t="n">
        <v>42842</v>
      </c>
      <c r="G1027" s="30" t="n">
        <v>42844</v>
      </c>
      <c r="H1027" s="26" t="n">
        <f aca="false">G1027-F1027</f>
        <v>2</v>
      </c>
      <c r="I1027" s="10" t="n">
        <f aca="false">IF(E1027="Won",1,0)</f>
        <v>0</v>
      </c>
    </row>
    <row r="1028" customFormat="false" ht="15" hidden="false" customHeight="false" outlineLevel="0" collapsed="false">
      <c r="A1028" s="10" t="s">
        <v>3369</v>
      </c>
      <c r="B1028" s="10" t="s">
        <v>77</v>
      </c>
      <c r="C1028" s="10" t="s">
        <v>48</v>
      </c>
      <c r="D1028" s="10" t="s">
        <v>311</v>
      </c>
      <c r="E1028" s="10" t="s">
        <v>2342</v>
      </c>
      <c r="F1028" s="30" t="n">
        <v>42835</v>
      </c>
      <c r="G1028" s="30" t="n">
        <v>42845</v>
      </c>
      <c r="H1028" s="26" t="n">
        <f aca="false">G1028-F1028</f>
        <v>10</v>
      </c>
      <c r="I1028" s="10" t="n">
        <f aca="false">IF(E1028="Won",1,0)</f>
        <v>1</v>
      </c>
    </row>
    <row r="1029" customFormat="false" ht="15" hidden="false" customHeight="false" outlineLevel="0" collapsed="false">
      <c r="A1029" s="10" t="s">
        <v>3370</v>
      </c>
      <c r="B1029" s="10" t="s">
        <v>86</v>
      </c>
      <c r="C1029" s="10" t="s">
        <v>51</v>
      </c>
      <c r="D1029" s="10" t="s">
        <v>286</v>
      </c>
      <c r="E1029" s="10" t="s">
        <v>2342</v>
      </c>
      <c r="F1029" s="30" t="n">
        <v>42834</v>
      </c>
      <c r="G1029" s="30" t="n">
        <v>42845</v>
      </c>
      <c r="H1029" s="26" t="n">
        <f aca="false">G1029-F1029</f>
        <v>11</v>
      </c>
      <c r="I1029" s="10" t="n">
        <f aca="false">IF(E1029="Won",1,0)</f>
        <v>1</v>
      </c>
    </row>
    <row r="1030" customFormat="false" ht="15" hidden="false" customHeight="false" outlineLevel="0" collapsed="false">
      <c r="A1030" s="10" t="s">
        <v>3371</v>
      </c>
      <c r="B1030" s="10" t="s">
        <v>73</v>
      </c>
      <c r="C1030" s="10" t="s">
        <v>52</v>
      </c>
      <c r="D1030" s="10" t="s">
        <v>179</v>
      </c>
      <c r="E1030" s="10" t="s">
        <v>2342</v>
      </c>
      <c r="F1030" s="30" t="n">
        <v>42844</v>
      </c>
      <c r="G1030" s="30" t="n">
        <v>42845</v>
      </c>
      <c r="H1030" s="26" t="n">
        <f aca="false">G1030-F1030</f>
        <v>1</v>
      </c>
      <c r="I1030" s="10" t="n">
        <f aca="false">IF(E1030="Won",1,0)</f>
        <v>1</v>
      </c>
    </row>
    <row r="1031" customFormat="false" ht="15" hidden="false" customHeight="false" outlineLevel="0" collapsed="false">
      <c r="A1031" s="10" t="s">
        <v>3372</v>
      </c>
      <c r="B1031" s="10" t="s">
        <v>66</v>
      </c>
      <c r="C1031" s="10" t="s">
        <v>46</v>
      </c>
      <c r="D1031" s="10" t="s">
        <v>170</v>
      </c>
      <c r="E1031" s="10" t="s">
        <v>2342</v>
      </c>
      <c r="F1031" s="30" t="n">
        <v>42844</v>
      </c>
      <c r="G1031" s="30" t="n">
        <v>42845</v>
      </c>
      <c r="H1031" s="26" t="n">
        <f aca="false">G1031-F1031</f>
        <v>1</v>
      </c>
      <c r="I1031" s="10" t="n">
        <f aca="false">IF(E1031="Won",1,0)</f>
        <v>1</v>
      </c>
    </row>
    <row r="1032" customFormat="false" ht="15" hidden="false" customHeight="false" outlineLevel="0" collapsed="false">
      <c r="A1032" s="10" t="s">
        <v>3373</v>
      </c>
      <c r="B1032" s="10" t="s">
        <v>67</v>
      </c>
      <c r="C1032" s="10" t="s">
        <v>49</v>
      </c>
      <c r="D1032" s="10" t="s">
        <v>344</v>
      </c>
      <c r="E1032" s="10" t="s">
        <v>2345</v>
      </c>
      <c r="F1032" s="30" t="n">
        <v>42838</v>
      </c>
      <c r="G1032" s="30" t="n">
        <v>42845</v>
      </c>
      <c r="H1032" s="26" t="n">
        <f aca="false">G1032-F1032</f>
        <v>7</v>
      </c>
      <c r="I1032" s="10" t="n">
        <f aca="false">IF(E1032="Won",1,0)</f>
        <v>0</v>
      </c>
    </row>
    <row r="1033" customFormat="false" ht="15" hidden="false" customHeight="false" outlineLevel="0" collapsed="false">
      <c r="A1033" s="10" t="s">
        <v>3374</v>
      </c>
      <c r="B1033" s="10" t="s">
        <v>97</v>
      </c>
      <c r="C1033" s="10" t="s">
        <v>47</v>
      </c>
      <c r="D1033" s="10" t="s">
        <v>286</v>
      </c>
      <c r="E1033" s="10" t="s">
        <v>2342</v>
      </c>
      <c r="F1033" s="30" t="n">
        <v>42840</v>
      </c>
      <c r="G1033" s="30" t="n">
        <v>42845</v>
      </c>
      <c r="H1033" s="26" t="n">
        <f aca="false">G1033-F1033</f>
        <v>5</v>
      </c>
      <c r="I1033" s="10" t="n">
        <f aca="false">IF(E1033="Won",1,0)</f>
        <v>1</v>
      </c>
    </row>
    <row r="1034" customFormat="false" ht="15" hidden="false" customHeight="false" outlineLevel="0" collapsed="false">
      <c r="A1034" s="10" t="s">
        <v>3375</v>
      </c>
      <c r="B1034" s="10" t="s">
        <v>79</v>
      </c>
      <c r="C1034" s="10" t="s">
        <v>51</v>
      </c>
      <c r="D1034" s="10" t="s">
        <v>414</v>
      </c>
      <c r="E1034" s="10" t="s">
        <v>2345</v>
      </c>
      <c r="F1034" s="30" t="n">
        <v>42835</v>
      </c>
      <c r="G1034" s="30" t="n">
        <v>42845</v>
      </c>
      <c r="H1034" s="26" t="n">
        <f aca="false">G1034-F1034</f>
        <v>10</v>
      </c>
      <c r="I1034" s="10" t="n">
        <f aca="false">IF(E1034="Won",1,0)</f>
        <v>0</v>
      </c>
    </row>
    <row r="1035" customFormat="false" ht="15" hidden="false" customHeight="false" outlineLevel="0" collapsed="false">
      <c r="A1035" s="10" t="s">
        <v>3376</v>
      </c>
      <c r="B1035" s="10" t="s">
        <v>73</v>
      </c>
      <c r="C1035" s="10" t="s">
        <v>52</v>
      </c>
      <c r="D1035" s="10" t="s">
        <v>267</v>
      </c>
      <c r="E1035" s="10" t="s">
        <v>2345</v>
      </c>
      <c r="F1035" s="30" t="n">
        <v>42835</v>
      </c>
      <c r="G1035" s="30" t="n">
        <v>42845</v>
      </c>
      <c r="H1035" s="26" t="n">
        <f aca="false">G1035-F1035</f>
        <v>10</v>
      </c>
      <c r="I1035" s="10" t="n">
        <f aca="false">IF(E1035="Won",1,0)</f>
        <v>0</v>
      </c>
    </row>
    <row r="1036" customFormat="false" ht="15" hidden="false" customHeight="false" outlineLevel="0" collapsed="false">
      <c r="A1036" s="10" t="s">
        <v>3377</v>
      </c>
      <c r="B1036" s="10" t="s">
        <v>87</v>
      </c>
      <c r="C1036" s="10" t="s">
        <v>49</v>
      </c>
      <c r="D1036" s="10" t="s">
        <v>277</v>
      </c>
      <c r="E1036" s="10" t="s">
        <v>2345</v>
      </c>
      <c r="F1036" s="30" t="n">
        <v>42839</v>
      </c>
      <c r="G1036" s="30" t="n">
        <v>42845</v>
      </c>
      <c r="H1036" s="26" t="n">
        <f aca="false">G1036-F1036</f>
        <v>6</v>
      </c>
      <c r="I1036" s="10" t="n">
        <f aca="false">IF(E1036="Won",1,0)</f>
        <v>0</v>
      </c>
    </row>
    <row r="1037" customFormat="false" ht="15" hidden="false" customHeight="false" outlineLevel="0" collapsed="false">
      <c r="A1037" s="10" t="s">
        <v>3378</v>
      </c>
      <c r="B1037" s="10" t="s">
        <v>90</v>
      </c>
      <c r="C1037" s="10" t="s">
        <v>48</v>
      </c>
      <c r="D1037" s="10" t="s">
        <v>277</v>
      </c>
      <c r="E1037" s="10" t="s">
        <v>2342</v>
      </c>
      <c r="F1037" s="30" t="n">
        <v>42835</v>
      </c>
      <c r="G1037" s="30" t="n">
        <v>42845</v>
      </c>
      <c r="H1037" s="26" t="n">
        <f aca="false">G1037-F1037</f>
        <v>10</v>
      </c>
      <c r="I1037" s="10" t="n">
        <f aca="false">IF(E1037="Won",1,0)</f>
        <v>1</v>
      </c>
    </row>
    <row r="1038" customFormat="false" ht="15" hidden="false" customHeight="false" outlineLevel="0" collapsed="false">
      <c r="A1038" s="10" t="s">
        <v>3379</v>
      </c>
      <c r="B1038" s="10" t="s">
        <v>61</v>
      </c>
      <c r="C1038" s="10" t="s">
        <v>47</v>
      </c>
      <c r="D1038" s="10" t="s">
        <v>215</v>
      </c>
      <c r="E1038" s="10" t="s">
        <v>2342</v>
      </c>
      <c r="F1038" s="30" t="n">
        <v>42844</v>
      </c>
      <c r="G1038" s="30" t="n">
        <v>42845</v>
      </c>
      <c r="H1038" s="26" t="n">
        <f aca="false">G1038-F1038</f>
        <v>1</v>
      </c>
      <c r="I1038" s="10" t="n">
        <f aca="false">IF(E1038="Won",1,0)</f>
        <v>1</v>
      </c>
    </row>
    <row r="1039" customFormat="false" ht="15" hidden="false" customHeight="false" outlineLevel="0" collapsed="false">
      <c r="A1039" s="10" t="s">
        <v>3380</v>
      </c>
      <c r="B1039" s="10" t="s">
        <v>93</v>
      </c>
      <c r="C1039" s="10" t="s">
        <v>50</v>
      </c>
      <c r="D1039" s="10" t="s">
        <v>497</v>
      </c>
      <c r="E1039" s="10" t="s">
        <v>2345</v>
      </c>
      <c r="F1039" s="30" t="n">
        <v>42843</v>
      </c>
      <c r="G1039" s="30" t="n">
        <v>42845</v>
      </c>
      <c r="H1039" s="26" t="n">
        <f aca="false">G1039-F1039</f>
        <v>2</v>
      </c>
      <c r="I1039" s="10" t="n">
        <f aca="false">IF(E1039="Won",1,0)</f>
        <v>0</v>
      </c>
    </row>
    <row r="1040" customFormat="false" ht="15" hidden="false" customHeight="false" outlineLevel="0" collapsed="false">
      <c r="A1040" s="10" t="s">
        <v>3381</v>
      </c>
      <c r="B1040" s="10" t="s">
        <v>73</v>
      </c>
      <c r="C1040" s="10" t="s">
        <v>52</v>
      </c>
      <c r="D1040" s="10" t="s">
        <v>536</v>
      </c>
      <c r="E1040" s="10" t="s">
        <v>2345</v>
      </c>
      <c r="F1040" s="30" t="n">
        <v>42834</v>
      </c>
      <c r="G1040" s="30" t="n">
        <v>42845</v>
      </c>
      <c r="H1040" s="26" t="n">
        <f aca="false">G1040-F1040</f>
        <v>11</v>
      </c>
      <c r="I1040" s="10" t="n">
        <f aca="false">IF(E1040="Won",1,0)</f>
        <v>0</v>
      </c>
    </row>
    <row r="1041" customFormat="false" ht="15" hidden="false" customHeight="false" outlineLevel="0" collapsed="false">
      <c r="A1041" s="10" t="s">
        <v>3382</v>
      </c>
      <c r="B1041" s="10" t="s">
        <v>90</v>
      </c>
      <c r="C1041" s="10" t="s">
        <v>52</v>
      </c>
      <c r="D1041" s="10" t="s">
        <v>215</v>
      </c>
      <c r="E1041" s="10" t="s">
        <v>2345</v>
      </c>
      <c r="F1041" s="30" t="n">
        <v>42844</v>
      </c>
      <c r="G1041" s="30" t="n">
        <v>42845</v>
      </c>
      <c r="H1041" s="26" t="n">
        <f aca="false">G1041-F1041</f>
        <v>1</v>
      </c>
      <c r="I1041" s="10" t="n">
        <f aca="false">IF(E1041="Won",1,0)</f>
        <v>0</v>
      </c>
    </row>
    <row r="1042" customFormat="false" ht="15" hidden="false" customHeight="false" outlineLevel="0" collapsed="false">
      <c r="A1042" s="10" t="s">
        <v>3383</v>
      </c>
      <c r="B1042" s="10" t="s">
        <v>70</v>
      </c>
      <c r="C1042" s="10" t="s">
        <v>48</v>
      </c>
      <c r="D1042" s="10" t="s">
        <v>487</v>
      </c>
      <c r="E1042" s="10" t="s">
        <v>2342</v>
      </c>
      <c r="F1042" s="30" t="n">
        <v>42843</v>
      </c>
      <c r="G1042" s="30" t="n">
        <v>42845</v>
      </c>
      <c r="H1042" s="26" t="n">
        <f aca="false">G1042-F1042</f>
        <v>2</v>
      </c>
      <c r="I1042" s="10" t="n">
        <f aca="false">IF(E1042="Won",1,0)</f>
        <v>1</v>
      </c>
    </row>
    <row r="1043" customFormat="false" ht="15" hidden="false" customHeight="false" outlineLevel="0" collapsed="false">
      <c r="A1043" s="10" t="s">
        <v>3384</v>
      </c>
      <c r="B1043" s="10" t="s">
        <v>87</v>
      </c>
      <c r="C1043" s="10" t="s">
        <v>50</v>
      </c>
      <c r="D1043" s="10" t="s">
        <v>453</v>
      </c>
      <c r="E1043" s="10" t="s">
        <v>2342</v>
      </c>
      <c r="F1043" s="30" t="n">
        <v>42842</v>
      </c>
      <c r="G1043" s="30" t="n">
        <v>42845</v>
      </c>
      <c r="H1043" s="26" t="n">
        <f aca="false">G1043-F1043</f>
        <v>3</v>
      </c>
      <c r="I1043" s="10" t="n">
        <f aca="false">IF(E1043="Won",1,0)</f>
        <v>1</v>
      </c>
    </row>
    <row r="1044" customFormat="false" ht="15" hidden="false" customHeight="false" outlineLevel="0" collapsed="false">
      <c r="A1044" s="10" t="s">
        <v>3385</v>
      </c>
      <c r="B1044" s="10" t="s">
        <v>93</v>
      </c>
      <c r="C1044" s="10" t="s">
        <v>50</v>
      </c>
      <c r="D1044" s="10" t="s">
        <v>497</v>
      </c>
      <c r="E1044" s="10" t="s">
        <v>2342</v>
      </c>
      <c r="F1044" s="30" t="n">
        <v>42838</v>
      </c>
      <c r="G1044" s="30" t="n">
        <v>42845</v>
      </c>
      <c r="H1044" s="26" t="n">
        <f aca="false">G1044-F1044</f>
        <v>7</v>
      </c>
      <c r="I1044" s="10" t="n">
        <f aca="false">IF(E1044="Won",1,0)</f>
        <v>1</v>
      </c>
    </row>
    <row r="1045" customFormat="false" ht="15" hidden="false" customHeight="false" outlineLevel="0" collapsed="false">
      <c r="A1045" s="10" t="s">
        <v>3386</v>
      </c>
      <c r="B1045" s="10" t="s">
        <v>71</v>
      </c>
      <c r="C1045" s="10" t="s">
        <v>52</v>
      </c>
      <c r="D1045" s="10" t="s">
        <v>869</v>
      </c>
      <c r="E1045" s="10" t="s">
        <v>2345</v>
      </c>
      <c r="F1045" s="30" t="n">
        <v>42840</v>
      </c>
      <c r="G1045" s="30" t="n">
        <v>42845</v>
      </c>
      <c r="H1045" s="26" t="n">
        <f aca="false">G1045-F1045</f>
        <v>5</v>
      </c>
      <c r="I1045" s="10" t="n">
        <f aca="false">IF(E1045="Won",1,0)</f>
        <v>0</v>
      </c>
    </row>
    <row r="1046" customFormat="false" ht="15" hidden="false" customHeight="false" outlineLevel="0" collapsed="false">
      <c r="A1046" s="10" t="s">
        <v>3387</v>
      </c>
      <c r="B1046" s="10" t="s">
        <v>70</v>
      </c>
      <c r="C1046" s="10" t="s">
        <v>47</v>
      </c>
      <c r="D1046" s="10" t="s">
        <v>233</v>
      </c>
      <c r="E1046" s="10" t="s">
        <v>2345</v>
      </c>
      <c r="F1046" s="30" t="n">
        <v>42838</v>
      </c>
      <c r="G1046" s="30" t="n">
        <v>42845</v>
      </c>
      <c r="H1046" s="26" t="n">
        <f aca="false">G1046-F1046</f>
        <v>7</v>
      </c>
      <c r="I1046" s="10" t="n">
        <f aca="false">IF(E1046="Won",1,0)</f>
        <v>0</v>
      </c>
    </row>
    <row r="1047" customFormat="false" ht="15" hidden="false" customHeight="false" outlineLevel="0" collapsed="false">
      <c r="A1047" s="10" t="s">
        <v>3388</v>
      </c>
      <c r="B1047" s="10" t="s">
        <v>87</v>
      </c>
      <c r="C1047" s="10" t="s">
        <v>51</v>
      </c>
      <c r="D1047" s="10" t="s">
        <v>453</v>
      </c>
      <c r="E1047" s="10" t="s">
        <v>2345</v>
      </c>
      <c r="F1047" s="30" t="n">
        <v>42838</v>
      </c>
      <c r="G1047" s="30" t="n">
        <v>42845</v>
      </c>
      <c r="H1047" s="26" t="n">
        <f aca="false">G1047-F1047</f>
        <v>7</v>
      </c>
      <c r="I1047" s="10" t="n">
        <f aca="false">IF(E1047="Won",1,0)</f>
        <v>0</v>
      </c>
    </row>
    <row r="1048" customFormat="false" ht="15" hidden="false" customHeight="false" outlineLevel="0" collapsed="false">
      <c r="A1048" s="10" t="s">
        <v>3389</v>
      </c>
      <c r="B1048" s="10" t="s">
        <v>73</v>
      </c>
      <c r="C1048" s="10" t="s">
        <v>49</v>
      </c>
      <c r="D1048" s="10" t="s">
        <v>1948</v>
      </c>
      <c r="E1048" s="10" t="s">
        <v>2342</v>
      </c>
      <c r="F1048" s="30" t="n">
        <v>42837</v>
      </c>
      <c r="G1048" s="30" t="n">
        <v>42845</v>
      </c>
      <c r="H1048" s="26" t="n">
        <f aca="false">G1048-F1048</f>
        <v>8</v>
      </c>
      <c r="I1048" s="10" t="n">
        <f aca="false">IF(E1048="Won",1,0)</f>
        <v>1</v>
      </c>
    </row>
    <row r="1049" customFormat="false" ht="15" hidden="false" customHeight="false" outlineLevel="0" collapsed="false">
      <c r="A1049" s="10" t="s">
        <v>3390</v>
      </c>
      <c r="B1049" s="10" t="s">
        <v>77</v>
      </c>
      <c r="C1049" s="10" t="s">
        <v>51</v>
      </c>
      <c r="D1049" s="10" t="s">
        <v>947</v>
      </c>
      <c r="E1049" s="10" t="s">
        <v>2345</v>
      </c>
      <c r="F1049" s="30" t="n">
        <v>42838</v>
      </c>
      <c r="G1049" s="30" t="n">
        <v>42845</v>
      </c>
      <c r="H1049" s="26" t="n">
        <f aca="false">G1049-F1049</f>
        <v>7</v>
      </c>
      <c r="I1049" s="10" t="n">
        <f aca="false">IF(E1049="Won",1,0)</f>
        <v>0</v>
      </c>
    </row>
    <row r="1050" customFormat="false" ht="15" hidden="false" customHeight="false" outlineLevel="0" collapsed="false">
      <c r="A1050" s="10" t="s">
        <v>3391</v>
      </c>
      <c r="B1050" s="10" t="s">
        <v>70</v>
      </c>
      <c r="C1050" s="10" t="s">
        <v>52</v>
      </c>
      <c r="D1050" s="10" t="s">
        <v>483</v>
      </c>
      <c r="E1050" s="10" t="s">
        <v>2342</v>
      </c>
      <c r="F1050" s="30" t="n">
        <v>42839</v>
      </c>
      <c r="G1050" s="30" t="n">
        <v>42845</v>
      </c>
      <c r="H1050" s="26" t="n">
        <f aca="false">G1050-F1050</f>
        <v>6</v>
      </c>
      <c r="I1050" s="10" t="n">
        <f aca="false">IF(E1050="Won",1,0)</f>
        <v>1</v>
      </c>
    </row>
    <row r="1051" customFormat="false" ht="15" hidden="false" customHeight="false" outlineLevel="0" collapsed="false">
      <c r="A1051" s="10" t="s">
        <v>3392</v>
      </c>
      <c r="B1051" s="10" t="s">
        <v>75</v>
      </c>
      <c r="C1051" s="10" t="s">
        <v>49</v>
      </c>
      <c r="D1051" s="10" t="s">
        <v>1948</v>
      </c>
      <c r="E1051" s="10" t="s">
        <v>2345</v>
      </c>
      <c r="F1051" s="30" t="n">
        <v>42836</v>
      </c>
      <c r="G1051" s="30" t="n">
        <v>42846</v>
      </c>
      <c r="H1051" s="26" t="n">
        <f aca="false">G1051-F1051</f>
        <v>10</v>
      </c>
      <c r="I1051" s="10" t="n">
        <f aca="false">IF(E1051="Won",1,0)</f>
        <v>0</v>
      </c>
    </row>
    <row r="1052" customFormat="false" ht="15" hidden="false" customHeight="false" outlineLevel="0" collapsed="false">
      <c r="A1052" s="10" t="s">
        <v>3393</v>
      </c>
      <c r="B1052" s="10" t="s">
        <v>79</v>
      </c>
      <c r="C1052" s="10" t="s">
        <v>51</v>
      </c>
      <c r="D1052" s="10" t="s">
        <v>527</v>
      </c>
      <c r="E1052" s="10" t="s">
        <v>2345</v>
      </c>
      <c r="F1052" s="30" t="n">
        <v>42836</v>
      </c>
      <c r="G1052" s="30" t="n">
        <v>42846</v>
      </c>
      <c r="H1052" s="26" t="n">
        <f aca="false">G1052-F1052</f>
        <v>10</v>
      </c>
      <c r="I1052" s="10" t="n">
        <f aca="false">IF(E1052="Won",1,0)</f>
        <v>0</v>
      </c>
    </row>
    <row r="1053" customFormat="false" ht="15" hidden="false" customHeight="false" outlineLevel="0" collapsed="false">
      <c r="A1053" s="10" t="s">
        <v>3394</v>
      </c>
      <c r="B1053" s="10" t="s">
        <v>62</v>
      </c>
      <c r="C1053" s="10" t="s">
        <v>52</v>
      </c>
      <c r="D1053" s="10" t="s">
        <v>1397</v>
      </c>
      <c r="E1053" s="10" t="s">
        <v>2345</v>
      </c>
      <c r="F1053" s="30" t="n">
        <v>42844</v>
      </c>
      <c r="G1053" s="30" t="n">
        <v>42846</v>
      </c>
      <c r="H1053" s="26" t="n">
        <f aca="false">G1053-F1053</f>
        <v>2</v>
      </c>
      <c r="I1053" s="10" t="n">
        <f aca="false">IF(E1053="Won",1,0)</f>
        <v>0</v>
      </c>
    </row>
    <row r="1054" customFormat="false" ht="15" hidden="false" customHeight="false" outlineLevel="0" collapsed="false">
      <c r="A1054" s="10" t="s">
        <v>3395</v>
      </c>
      <c r="B1054" s="10" t="s">
        <v>68</v>
      </c>
      <c r="C1054" s="10" t="s">
        <v>52</v>
      </c>
      <c r="D1054" s="10" t="s">
        <v>419</v>
      </c>
      <c r="E1054" s="10" t="s">
        <v>2345</v>
      </c>
      <c r="F1054" s="30" t="n">
        <v>42845</v>
      </c>
      <c r="G1054" s="30" t="n">
        <v>42846</v>
      </c>
      <c r="H1054" s="26" t="n">
        <f aca="false">G1054-F1054</f>
        <v>1</v>
      </c>
      <c r="I1054" s="10" t="n">
        <f aca="false">IF(E1054="Won",1,0)</f>
        <v>0</v>
      </c>
    </row>
    <row r="1055" customFormat="false" ht="15" hidden="false" customHeight="false" outlineLevel="0" collapsed="false">
      <c r="A1055" s="10" t="s">
        <v>3396</v>
      </c>
      <c r="B1055" s="10" t="s">
        <v>76</v>
      </c>
      <c r="C1055" s="10" t="s">
        <v>51</v>
      </c>
      <c r="D1055" s="10" t="s">
        <v>410</v>
      </c>
      <c r="E1055" s="10" t="s">
        <v>2345</v>
      </c>
      <c r="F1055" s="30" t="n">
        <v>42836</v>
      </c>
      <c r="G1055" s="30" t="n">
        <v>42846</v>
      </c>
      <c r="H1055" s="26" t="n">
        <f aca="false">G1055-F1055</f>
        <v>10</v>
      </c>
      <c r="I1055" s="10" t="n">
        <f aca="false">IF(E1055="Won",1,0)</f>
        <v>0</v>
      </c>
    </row>
    <row r="1056" customFormat="false" ht="15" hidden="false" customHeight="false" outlineLevel="0" collapsed="false">
      <c r="A1056" s="10" t="s">
        <v>3397</v>
      </c>
      <c r="B1056" s="10" t="s">
        <v>83</v>
      </c>
      <c r="C1056" s="10" t="s">
        <v>51</v>
      </c>
      <c r="D1056" s="10" t="s">
        <v>410</v>
      </c>
      <c r="E1056" s="10" t="s">
        <v>2345</v>
      </c>
      <c r="F1056" s="30" t="n">
        <v>42844</v>
      </c>
      <c r="G1056" s="30" t="n">
        <v>42846</v>
      </c>
      <c r="H1056" s="26" t="n">
        <f aca="false">G1056-F1056</f>
        <v>2</v>
      </c>
      <c r="I1056" s="10" t="n">
        <f aca="false">IF(E1056="Won",1,0)</f>
        <v>0</v>
      </c>
    </row>
    <row r="1057" customFormat="false" ht="15" hidden="false" customHeight="false" outlineLevel="0" collapsed="false">
      <c r="A1057" s="10" t="s">
        <v>3398</v>
      </c>
      <c r="B1057" s="10" t="s">
        <v>74</v>
      </c>
      <c r="C1057" s="10" t="s">
        <v>49</v>
      </c>
      <c r="D1057" s="10" t="s">
        <v>597</v>
      </c>
      <c r="E1057" s="10" t="s">
        <v>2345</v>
      </c>
      <c r="F1057" s="30" t="n">
        <v>42844</v>
      </c>
      <c r="G1057" s="30" t="n">
        <v>42846</v>
      </c>
      <c r="H1057" s="26" t="n">
        <f aca="false">G1057-F1057</f>
        <v>2</v>
      </c>
      <c r="I1057" s="10" t="n">
        <f aca="false">IF(E1057="Won",1,0)</f>
        <v>0</v>
      </c>
    </row>
    <row r="1058" customFormat="false" ht="15" hidden="false" customHeight="false" outlineLevel="0" collapsed="false">
      <c r="A1058" s="10" t="s">
        <v>3399</v>
      </c>
      <c r="B1058" s="10" t="s">
        <v>76</v>
      </c>
      <c r="C1058" s="10" t="s">
        <v>50</v>
      </c>
      <c r="D1058" s="10" t="s">
        <v>369</v>
      </c>
      <c r="E1058" s="10" t="s">
        <v>2345</v>
      </c>
      <c r="F1058" s="30" t="n">
        <v>42834</v>
      </c>
      <c r="G1058" s="30" t="n">
        <v>42846</v>
      </c>
      <c r="H1058" s="26" t="n">
        <f aca="false">G1058-F1058</f>
        <v>12</v>
      </c>
      <c r="I1058" s="10" t="n">
        <f aca="false">IF(E1058="Won",1,0)</f>
        <v>0</v>
      </c>
    </row>
    <row r="1059" customFormat="false" ht="15" hidden="false" customHeight="false" outlineLevel="0" collapsed="false">
      <c r="A1059" s="10" t="s">
        <v>3400</v>
      </c>
      <c r="B1059" s="10" t="s">
        <v>77</v>
      </c>
      <c r="C1059" s="10" t="s">
        <v>47</v>
      </c>
      <c r="D1059" s="10" t="s">
        <v>597</v>
      </c>
      <c r="E1059" s="10" t="s">
        <v>2342</v>
      </c>
      <c r="F1059" s="30" t="n">
        <v>42838</v>
      </c>
      <c r="G1059" s="30" t="n">
        <v>42846</v>
      </c>
      <c r="H1059" s="26" t="n">
        <f aca="false">G1059-F1059</f>
        <v>8</v>
      </c>
      <c r="I1059" s="10" t="n">
        <f aca="false">IF(E1059="Won",1,0)</f>
        <v>1</v>
      </c>
    </row>
    <row r="1060" customFormat="false" ht="15" hidden="false" customHeight="false" outlineLevel="0" collapsed="false">
      <c r="A1060" s="10" t="s">
        <v>3401</v>
      </c>
      <c r="B1060" s="10" t="s">
        <v>94</v>
      </c>
      <c r="C1060" s="10" t="s">
        <v>48</v>
      </c>
      <c r="D1060" s="10" t="s">
        <v>432</v>
      </c>
      <c r="E1060" s="10" t="s">
        <v>2342</v>
      </c>
      <c r="F1060" s="30" t="n">
        <v>42839</v>
      </c>
      <c r="G1060" s="30" t="n">
        <v>42846</v>
      </c>
      <c r="H1060" s="26" t="n">
        <f aca="false">G1060-F1060</f>
        <v>7</v>
      </c>
      <c r="I1060" s="10" t="n">
        <f aca="false">IF(E1060="Won",1,0)</f>
        <v>1</v>
      </c>
    </row>
    <row r="1061" customFormat="false" ht="15" hidden="false" customHeight="false" outlineLevel="0" collapsed="false">
      <c r="A1061" s="10" t="s">
        <v>3402</v>
      </c>
      <c r="B1061" s="10" t="s">
        <v>57</v>
      </c>
      <c r="C1061" s="10" t="s">
        <v>51</v>
      </c>
      <c r="D1061" s="10" t="s">
        <v>293</v>
      </c>
      <c r="E1061" s="10" t="s">
        <v>2345</v>
      </c>
      <c r="F1061" s="30" t="n">
        <v>42842</v>
      </c>
      <c r="G1061" s="30" t="n">
        <v>42846</v>
      </c>
      <c r="H1061" s="26" t="n">
        <f aca="false">G1061-F1061</f>
        <v>4</v>
      </c>
      <c r="I1061" s="10" t="n">
        <f aca="false">IF(E1061="Won",1,0)</f>
        <v>0</v>
      </c>
    </row>
    <row r="1062" customFormat="false" ht="15" hidden="false" customHeight="false" outlineLevel="0" collapsed="false">
      <c r="A1062" s="10" t="s">
        <v>3403</v>
      </c>
      <c r="B1062" s="10" t="s">
        <v>90</v>
      </c>
      <c r="C1062" s="10" t="s">
        <v>50</v>
      </c>
      <c r="D1062" s="10" t="s">
        <v>453</v>
      </c>
      <c r="E1062" s="10" t="s">
        <v>2345</v>
      </c>
      <c r="F1062" s="30" t="n">
        <v>42845</v>
      </c>
      <c r="G1062" s="30" t="n">
        <v>42846</v>
      </c>
      <c r="H1062" s="26" t="n">
        <f aca="false">G1062-F1062</f>
        <v>1</v>
      </c>
      <c r="I1062" s="10" t="n">
        <f aca="false">IF(E1062="Won",1,0)</f>
        <v>0</v>
      </c>
    </row>
    <row r="1063" customFormat="false" ht="15" hidden="false" customHeight="false" outlineLevel="0" collapsed="false">
      <c r="A1063" s="10" t="s">
        <v>3404</v>
      </c>
      <c r="B1063" s="10" t="s">
        <v>81</v>
      </c>
      <c r="C1063" s="10" t="s">
        <v>51</v>
      </c>
      <c r="D1063" s="10" t="s">
        <v>210</v>
      </c>
      <c r="E1063" s="10" t="s">
        <v>2345</v>
      </c>
      <c r="F1063" s="30" t="n">
        <v>42835</v>
      </c>
      <c r="G1063" s="30" t="n">
        <v>42846</v>
      </c>
      <c r="H1063" s="26" t="n">
        <f aca="false">G1063-F1063</f>
        <v>11</v>
      </c>
      <c r="I1063" s="10" t="n">
        <f aca="false">IF(E1063="Won",1,0)</f>
        <v>0</v>
      </c>
    </row>
    <row r="1064" customFormat="false" ht="15" hidden="false" customHeight="false" outlineLevel="0" collapsed="false">
      <c r="A1064" s="10" t="s">
        <v>3405</v>
      </c>
      <c r="B1064" s="10" t="s">
        <v>95</v>
      </c>
      <c r="C1064" s="10" t="s">
        <v>48</v>
      </c>
      <c r="D1064" s="10" t="s">
        <v>326</v>
      </c>
      <c r="E1064" s="10" t="s">
        <v>2345</v>
      </c>
      <c r="F1064" s="30" t="n">
        <v>42838</v>
      </c>
      <c r="G1064" s="30" t="n">
        <v>42846</v>
      </c>
      <c r="H1064" s="26" t="n">
        <f aca="false">G1064-F1064</f>
        <v>8</v>
      </c>
      <c r="I1064" s="10" t="n">
        <f aca="false">IF(E1064="Won",1,0)</f>
        <v>0</v>
      </c>
    </row>
    <row r="1065" customFormat="false" ht="15" hidden="false" customHeight="false" outlineLevel="0" collapsed="false">
      <c r="A1065" s="10" t="s">
        <v>3406</v>
      </c>
      <c r="B1065" s="10" t="s">
        <v>94</v>
      </c>
      <c r="C1065" s="10" t="s">
        <v>51</v>
      </c>
      <c r="D1065" s="10" t="s">
        <v>487</v>
      </c>
      <c r="E1065" s="10" t="s">
        <v>2345</v>
      </c>
      <c r="F1065" s="30" t="n">
        <v>42840</v>
      </c>
      <c r="G1065" s="30" t="n">
        <v>42846</v>
      </c>
      <c r="H1065" s="26" t="n">
        <f aca="false">G1065-F1065</f>
        <v>6</v>
      </c>
      <c r="I1065" s="10" t="n">
        <f aca="false">IF(E1065="Won",1,0)</f>
        <v>0</v>
      </c>
    </row>
    <row r="1066" customFormat="false" ht="15" hidden="false" customHeight="false" outlineLevel="0" collapsed="false">
      <c r="A1066" s="10" t="s">
        <v>3407</v>
      </c>
      <c r="B1066" s="10" t="s">
        <v>62</v>
      </c>
      <c r="C1066" s="10" t="s">
        <v>52</v>
      </c>
      <c r="D1066" s="10" t="s">
        <v>215</v>
      </c>
      <c r="E1066" s="10" t="s">
        <v>2345</v>
      </c>
      <c r="F1066" s="30" t="n">
        <v>42836</v>
      </c>
      <c r="G1066" s="30" t="n">
        <v>42847</v>
      </c>
      <c r="H1066" s="26" t="n">
        <f aca="false">G1066-F1066</f>
        <v>11</v>
      </c>
      <c r="I1066" s="10" t="n">
        <f aca="false">IF(E1066="Won",1,0)</f>
        <v>0</v>
      </c>
    </row>
    <row r="1067" customFormat="false" ht="15" hidden="false" customHeight="false" outlineLevel="0" collapsed="false">
      <c r="A1067" s="10" t="s">
        <v>3408</v>
      </c>
      <c r="B1067" s="10" t="s">
        <v>75</v>
      </c>
      <c r="C1067" s="10" t="s">
        <v>51</v>
      </c>
      <c r="D1067" s="10" t="s">
        <v>291</v>
      </c>
      <c r="E1067" s="10" t="s">
        <v>2345</v>
      </c>
      <c r="F1067" s="30" t="n">
        <v>42845</v>
      </c>
      <c r="G1067" s="30" t="n">
        <v>42847</v>
      </c>
      <c r="H1067" s="26" t="n">
        <f aca="false">G1067-F1067</f>
        <v>2</v>
      </c>
      <c r="I1067" s="10" t="n">
        <f aca="false">IF(E1067="Won",1,0)</f>
        <v>0</v>
      </c>
    </row>
    <row r="1068" customFormat="false" ht="15" hidden="false" customHeight="false" outlineLevel="0" collapsed="false">
      <c r="A1068" s="10" t="s">
        <v>3409</v>
      </c>
      <c r="B1068" s="10" t="s">
        <v>86</v>
      </c>
      <c r="C1068" s="10" t="s">
        <v>48</v>
      </c>
      <c r="D1068" s="10" t="s">
        <v>274</v>
      </c>
      <c r="E1068" s="10" t="s">
        <v>2345</v>
      </c>
      <c r="F1068" s="30" t="n">
        <v>42839</v>
      </c>
      <c r="G1068" s="30" t="n">
        <v>42847</v>
      </c>
      <c r="H1068" s="26" t="n">
        <f aca="false">G1068-F1068</f>
        <v>8</v>
      </c>
      <c r="I1068" s="10" t="n">
        <f aca="false">IF(E1068="Won",1,0)</f>
        <v>0</v>
      </c>
    </row>
    <row r="1069" customFormat="false" ht="15" hidden="false" customHeight="false" outlineLevel="0" collapsed="false">
      <c r="A1069" s="10" t="s">
        <v>3410</v>
      </c>
      <c r="B1069" s="10" t="s">
        <v>84</v>
      </c>
      <c r="C1069" s="10" t="s">
        <v>49</v>
      </c>
      <c r="D1069" s="10" t="s">
        <v>286</v>
      </c>
      <c r="E1069" s="10" t="s">
        <v>2342</v>
      </c>
      <c r="F1069" s="30" t="n">
        <v>42837</v>
      </c>
      <c r="G1069" s="30" t="n">
        <v>42847</v>
      </c>
      <c r="H1069" s="26" t="n">
        <f aca="false">G1069-F1069</f>
        <v>10</v>
      </c>
      <c r="I1069" s="10" t="n">
        <f aca="false">IF(E1069="Won",1,0)</f>
        <v>1</v>
      </c>
    </row>
    <row r="1070" customFormat="false" ht="15" hidden="false" customHeight="false" outlineLevel="0" collapsed="false">
      <c r="A1070" s="10" t="s">
        <v>3411</v>
      </c>
      <c r="B1070" s="10" t="s">
        <v>76</v>
      </c>
      <c r="C1070" s="10" t="s">
        <v>52</v>
      </c>
      <c r="D1070" s="10" t="s">
        <v>422</v>
      </c>
      <c r="E1070" s="10" t="s">
        <v>2342</v>
      </c>
      <c r="F1070" s="30" t="n">
        <v>42838</v>
      </c>
      <c r="G1070" s="30" t="n">
        <v>42847</v>
      </c>
      <c r="H1070" s="26" t="n">
        <f aca="false">G1070-F1070</f>
        <v>9</v>
      </c>
      <c r="I1070" s="10" t="n">
        <f aca="false">IF(E1070="Won",1,0)</f>
        <v>1</v>
      </c>
    </row>
    <row r="1071" customFormat="false" ht="15" hidden="false" customHeight="false" outlineLevel="0" collapsed="false">
      <c r="A1071" s="10" t="s">
        <v>3412</v>
      </c>
      <c r="B1071" s="10" t="s">
        <v>94</v>
      </c>
      <c r="C1071" s="10" t="s">
        <v>51</v>
      </c>
      <c r="D1071" s="10" t="s">
        <v>483</v>
      </c>
      <c r="E1071" s="10" t="s">
        <v>2342</v>
      </c>
      <c r="F1071" s="30" t="n">
        <v>42838</v>
      </c>
      <c r="G1071" s="30" t="n">
        <v>42847</v>
      </c>
      <c r="H1071" s="26" t="n">
        <f aca="false">G1071-F1071</f>
        <v>9</v>
      </c>
      <c r="I1071" s="10" t="n">
        <f aca="false">IF(E1071="Won",1,0)</f>
        <v>1</v>
      </c>
    </row>
    <row r="1072" customFormat="false" ht="15" hidden="false" customHeight="false" outlineLevel="0" collapsed="false">
      <c r="A1072" s="10" t="s">
        <v>3413</v>
      </c>
      <c r="B1072" s="10" t="s">
        <v>60</v>
      </c>
      <c r="C1072" s="10" t="s">
        <v>47</v>
      </c>
      <c r="D1072" s="10" t="s">
        <v>427</v>
      </c>
      <c r="E1072" s="10" t="s">
        <v>2345</v>
      </c>
      <c r="F1072" s="30" t="n">
        <v>42841</v>
      </c>
      <c r="G1072" s="30" t="n">
        <v>42847</v>
      </c>
      <c r="H1072" s="26" t="n">
        <f aca="false">G1072-F1072</f>
        <v>6</v>
      </c>
      <c r="I1072" s="10" t="n">
        <f aca="false">IF(E1072="Won",1,0)</f>
        <v>0</v>
      </c>
    </row>
    <row r="1073" customFormat="false" ht="15" hidden="false" customHeight="false" outlineLevel="0" collapsed="false">
      <c r="A1073" s="10" t="s">
        <v>3414</v>
      </c>
      <c r="B1073" s="10" t="s">
        <v>75</v>
      </c>
      <c r="C1073" s="10" t="s">
        <v>47</v>
      </c>
      <c r="D1073" s="10" t="s">
        <v>353</v>
      </c>
      <c r="E1073" s="10" t="s">
        <v>2345</v>
      </c>
      <c r="F1073" s="30" t="n">
        <v>42837</v>
      </c>
      <c r="G1073" s="30" t="n">
        <v>42847</v>
      </c>
      <c r="H1073" s="26" t="n">
        <f aca="false">G1073-F1073</f>
        <v>10</v>
      </c>
      <c r="I1073" s="10" t="n">
        <f aca="false">IF(E1073="Won",1,0)</f>
        <v>0</v>
      </c>
    </row>
    <row r="1074" customFormat="false" ht="15" hidden="false" customHeight="false" outlineLevel="0" collapsed="false">
      <c r="A1074" s="10" t="s">
        <v>3415</v>
      </c>
      <c r="B1074" s="10" t="s">
        <v>79</v>
      </c>
      <c r="C1074" s="10" t="s">
        <v>50</v>
      </c>
      <c r="D1074" s="10" t="s">
        <v>1251</v>
      </c>
      <c r="E1074" s="10" t="s">
        <v>2342</v>
      </c>
      <c r="F1074" s="30" t="n">
        <v>42841</v>
      </c>
      <c r="G1074" s="30" t="n">
        <v>42847</v>
      </c>
      <c r="H1074" s="26" t="n">
        <f aca="false">G1074-F1074</f>
        <v>6</v>
      </c>
      <c r="I1074" s="10" t="n">
        <f aca="false">IF(E1074="Won",1,0)</f>
        <v>1</v>
      </c>
    </row>
    <row r="1075" customFormat="false" ht="15" hidden="false" customHeight="false" outlineLevel="0" collapsed="false">
      <c r="A1075" s="10" t="s">
        <v>3416</v>
      </c>
      <c r="B1075" s="10" t="s">
        <v>94</v>
      </c>
      <c r="C1075" s="10" t="s">
        <v>48</v>
      </c>
      <c r="D1075" s="10" t="s">
        <v>437</v>
      </c>
      <c r="E1075" s="10" t="s">
        <v>2342</v>
      </c>
      <c r="F1075" s="30" t="n">
        <v>42837</v>
      </c>
      <c r="G1075" s="30" t="n">
        <v>42847</v>
      </c>
      <c r="H1075" s="26" t="n">
        <f aca="false">G1075-F1075</f>
        <v>10</v>
      </c>
      <c r="I1075" s="10" t="n">
        <f aca="false">IF(E1075="Won",1,0)</f>
        <v>1</v>
      </c>
    </row>
    <row r="1076" customFormat="false" ht="15" hidden="false" customHeight="false" outlineLevel="0" collapsed="false">
      <c r="A1076" s="10" t="s">
        <v>3417</v>
      </c>
      <c r="B1076" s="10" t="s">
        <v>67</v>
      </c>
      <c r="C1076" s="10" t="s">
        <v>49</v>
      </c>
      <c r="D1076" s="10" t="s">
        <v>506</v>
      </c>
      <c r="E1076" s="10" t="s">
        <v>2345</v>
      </c>
      <c r="F1076" s="30" t="n">
        <v>42841</v>
      </c>
      <c r="G1076" s="30" t="n">
        <v>42847</v>
      </c>
      <c r="H1076" s="26" t="n">
        <f aca="false">G1076-F1076</f>
        <v>6</v>
      </c>
      <c r="I1076" s="10" t="n">
        <f aca="false">IF(E1076="Won",1,0)</f>
        <v>0</v>
      </c>
    </row>
    <row r="1077" customFormat="false" ht="15" hidden="false" customHeight="false" outlineLevel="0" collapsed="false">
      <c r="A1077" s="10" t="s">
        <v>3418</v>
      </c>
      <c r="B1077" s="10" t="s">
        <v>79</v>
      </c>
      <c r="C1077" s="10" t="s">
        <v>52</v>
      </c>
      <c r="D1077" s="10" t="s">
        <v>524</v>
      </c>
      <c r="E1077" s="10" t="s">
        <v>2342</v>
      </c>
      <c r="F1077" s="30" t="n">
        <v>42838</v>
      </c>
      <c r="G1077" s="30" t="n">
        <v>42847</v>
      </c>
      <c r="H1077" s="26" t="n">
        <f aca="false">G1077-F1077</f>
        <v>9</v>
      </c>
      <c r="I1077" s="10" t="n">
        <f aca="false">IF(E1077="Won",1,0)</f>
        <v>1</v>
      </c>
    </row>
    <row r="1078" customFormat="false" ht="15" hidden="false" customHeight="false" outlineLevel="0" collapsed="false">
      <c r="A1078" s="10" t="s">
        <v>3419</v>
      </c>
      <c r="B1078" s="10" t="s">
        <v>86</v>
      </c>
      <c r="C1078" s="10" t="s">
        <v>52</v>
      </c>
      <c r="D1078" s="10" t="s">
        <v>359</v>
      </c>
      <c r="E1078" s="10" t="s">
        <v>2342</v>
      </c>
      <c r="F1078" s="30" t="n">
        <v>42845</v>
      </c>
      <c r="G1078" s="30" t="n">
        <v>42847</v>
      </c>
      <c r="H1078" s="26" t="n">
        <f aca="false">G1078-F1078</f>
        <v>2</v>
      </c>
      <c r="I1078" s="10" t="n">
        <f aca="false">IF(E1078="Won",1,0)</f>
        <v>1</v>
      </c>
    </row>
    <row r="1079" customFormat="false" ht="15" hidden="false" customHeight="false" outlineLevel="0" collapsed="false">
      <c r="A1079" s="10" t="s">
        <v>3420</v>
      </c>
      <c r="B1079" s="10" t="s">
        <v>95</v>
      </c>
      <c r="C1079" s="10" t="s">
        <v>50</v>
      </c>
      <c r="D1079" s="10" t="s">
        <v>419</v>
      </c>
      <c r="E1079" s="10" t="s">
        <v>2342</v>
      </c>
      <c r="F1079" s="30" t="n">
        <v>42843</v>
      </c>
      <c r="G1079" s="30" t="n">
        <v>42847</v>
      </c>
      <c r="H1079" s="26" t="n">
        <f aca="false">G1079-F1079</f>
        <v>4</v>
      </c>
      <c r="I1079" s="10" t="n">
        <f aca="false">IF(E1079="Won",1,0)</f>
        <v>1</v>
      </c>
    </row>
    <row r="1080" customFormat="false" ht="15" hidden="false" customHeight="false" outlineLevel="0" collapsed="false">
      <c r="A1080" s="10" t="s">
        <v>3421</v>
      </c>
      <c r="B1080" s="10" t="s">
        <v>96</v>
      </c>
      <c r="C1080" s="10" t="s">
        <v>50</v>
      </c>
      <c r="D1080" s="10" t="s">
        <v>437</v>
      </c>
      <c r="E1080" s="10" t="s">
        <v>2345</v>
      </c>
      <c r="F1080" s="30" t="n">
        <v>42843</v>
      </c>
      <c r="G1080" s="30" t="n">
        <v>42847</v>
      </c>
      <c r="H1080" s="26" t="n">
        <f aca="false">G1080-F1080</f>
        <v>4</v>
      </c>
      <c r="I1080" s="10" t="n">
        <f aca="false">IF(E1080="Won",1,0)</f>
        <v>0</v>
      </c>
    </row>
    <row r="1081" customFormat="false" ht="15" hidden="false" customHeight="false" outlineLevel="0" collapsed="false">
      <c r="A1081" s="10" t="s">
        <v>3422</v>
      </c>
      <c r="B1081" s="10" t="s">
        <v>97</v>
      </c>
      <c r="C1081" s="10" t="s">
        <v>48</v>
      </c>
      <c r="D1081" s="10" t="s">
        <v>424</v>
      </c>
      <c r="E1081" s="10" t="s">
        <v>2342</v>
      </c>
      <c r="F1081" s="30" t="n">
        <v>42837</v>
      </c>
      <c r="G1081" s="30" t="n">
        <v>42847</v>
      </c>
      <c r="H1081" s="26" t="n">
        <f aca="false">G1081-F1081</f>
        <v>10</v>
      </c>
      <c r="I1081" s="10" t="n">
        <f aca="false">IF(E1081="Won",1,0)</f>
        <v>1</v>
      </c>
    </row>
    <row r="1082" customFormat="false" ht="15" hidden="false" customHeight="false" outlineLevel="0" collapsed="false">
      <c r="A1082" s="10" t="s">
        <v>3423</v>
      </c>
      <c r="B1082" s="10" t="s">
        <v>80</v>
      </c>
      <c r="C1082" s="10" t="s">
        <v>51</v>
      </c>
      <c r="D1082" s="10" t="s">
        <v>259</v>
      </c>
      <c r="E1082" s="10" t="s">
        <v>2345</v>
      </c>
      <c r="F1082" s="30" t="n">
        <v>42845</v>
      </c>
      <c r="G1082" s="30" t="n">
        <v>42847</v>
      </c>
      <c r="H1082" s="26" t="n">
        <f aca="false">G1082-F1082</f>
        <v>2</v>
      </c>
      <c r="I1082" s="10" t="n">
        <f aca="false">IF(E1082="Won",1,0)</f>
        <v>0</v>
      </c>
    </row>
    <row r="1083" customFormat="false" ht="15" hidden="false" customHeight="false" outlineLevel="0" collapsed="false">
      <c r="A1083" s="10" t="s">
        <v>3424</v>
      </c>
      <c r="B1083" s="10" t="s">
        <v>77</v>
      </c>
      <c r="C1083" s="10" t="s">
        <v>52</v>
      </c>
      <c r="D1083" s="10" t="s">
        <v>369</v>
      </c>
      <c r="E1083" s="10" t="s">
        <v>2342</v>
      </c>
      <c r="F1083" s="30" t="n">
        <v>42839</v>
      </c>
      <c r="G1083" s="30" t="n">
        <v>42847</v>
      </c>
      <c r="H1083" s="26" t="n">
        <f aca="false">G1083-F1083</f>
        <v>8</v>
      </c>
      <c r="I1083" s="10" t="n">
        <f aca="false">IF(E1083="Won",1,0)</f>
        <v>1</v>
      </c>
    </row>
    <row r="1084" customFormat="false" ht="15" hidden="false" customHeight="false" outlineLevel="0" collapsed="false">
      <c r="A1084" s="10" t="s">
        <v>3425</v>
      </c>
      <c r="B1084" s="10" t="s">
        <v>87</v>
      </c>
      <c r="C1084" s="10" t="s">
        <v>51</v>
      </c>
      <c r="D1084" s="10" t="s">
        <v>332</v>
      </c>
      <c r="E1084" s="10" t="s">
        <v>2345</v>
      </c>
      <c r="F1084" s="30" t="n">
        <v>42845</v>
      </c>
      <c r="G1084" s="30" t="n">
        <v>42847</v>
      </c>
      <c r="H1084" s="26" t="n">
        <f aca="false">G1084-F1084</f>
        <v>2</v>
      </c>
      <c r="I1084" s="10" t="n">
        <f aca="false">IF(E1084="Won",1,0)</f>
        <v>0</v>
      </c>
    </row>
    <row r="1085" customFormat="false" ht="15" hidden="false" customHeight="false" outlineLevel="0" collapsed="false">
      <c r="A1085" s="10" t="s">
        <v>3426</v>
      </c>
      <c r="B1085" s="10" t="s">
        <v>80</v>
      </c>
      <c r="C1085" s="10" t="s">
        <v>49</v>
      </c>
      <c r="D1085" s="10" t="s">
        <v>1948</v>
      </c>
      <c r="E1085" s="10" t="s">
        <v>2345</v>
      </c>
      <c r="F1085" s="30" t="n">
        <v>42846</v>
      </c>
      <c r="G1085" s="30" t="n">
        <v>42847</v>
      </c>
      <c r="H1085" s="26" t="n">
        <f aca="false">G1085-F1085</f>
        <v>1</v>
      </c>
      <c r="I1085" s="10" t="n">
        <f aca="false">IF(E1085="Won",1,0)</f>
        <v>0</v>
      </c>
    </row>
    <row r="1086" customFormat="false" ht="15" hidden="false" customHeight="false" outlineLevel="0" collapsed="false">
      <c r="A1086" s="10" t="s">
        <v>3427</v>
      </c>
      <c r="B1086" s="10" t="s">
        <v>80</v>
      </c>
      <c r="C1086" s="10" t="s">
        <v>52</v>
      </c>
      <c r="D1086" s="10" t="s">
        <v>597</v>
      </c>
      <c r="E1086" s="10" t="s">
        <v>2342</v>
      </c>
      <c r="F1086" s="30" t="n">
        <v>42846</v>
      </c>
      <c r="G1086" s="30" t="n">
        <v>42847</v>
      </c>
      <c r="H1086" s="26" t="n">
        <f aca="false">G1086-F1086</f>
        <v>1</v>
      </c>
      <c r="I1086" s="10" t="n">
        <f aca="false">IF(E1086="Won",1,0)</f>
        <v>1</v>
      </c>
    </row>
    <row r="1087" customFormat="false" ht="15" hidden="false" customHeight="false" outlineLevel="0" collapsed="false">
      <c r="A1087" s="10" t="s">
        <v>3428</v>
      </c>
      <c r="B1087" s="10" t="s">
        <v>63</v>
      </c>
      <c r="C1087" s="10" t="s">
        <v>47</v>
      </c>
      <c r="D1087" s="10" t="s">
        <v>247</v>
      </c>
      <c r="E1087" s="10" t="s">
        <v>2342</v>
      </c>
      <c r="F1087" s="30" t="n">
        <v>42846</v>
      </c>
      <c r="G1087" s="30" t="n">
        <v>42847</v>
      </c>
      <c r="H1087" s="26" t="n">
        <f aca="false">G1087-F1087</f>
        <v>1</v>
      </c>
      <c r="I1087" s="10" t="n">
        <f aca="false">IF(E1087="Won",1,0)</f>
        <v>1</v>
      </c>
    </row>
    <row r="1088" customFormat="false" ht="15" hidden="false" customHeight="false" outlineLevel="0" collapsed="false">
      <c r="A1088" s="10" t="s">
        <v>3429</v>
      </c>
      <c r="B1088" s="10" t="s">
        <v>71</v>
      </c>
      <c r="C1088" s="10" t="s">
        <v>50</v>
      </c>
      <c r="D1088" s="10" t="s">
        <v>869</v>
      </c>
      <c r="E1088" s="10" t="s">
        <v>2345</v>
      </c>
      <c r="F1088" s="30" t="n">
        <v>42840</v>
      </c>
      <c r="G1088" s="30" t="n">
        <v>42848</v>
      </c>
      <c r="H1088" s="26" t="n">
        <f aca="false">G1088-F1088</f>
        <v>8</v>
      </c>
      <c r="I1088" s="10" t="n">
        <f aca="false">IF(E1088="Won",1,0)</f>
        <v>0</v>
      </c>
    </row>
    <row r="1089" customFormat="false" ht="15" hidden="false" customHeight="false" outlineLevel="0" collapsed="false">
      <c r="A1089" s="10" t="s">
        <v>3430</v>
      </c>
      <c r="B1089" s="10" t="s">
        <v>60</v>
      </c>
      <c r="C1089" s="10" t="s">
        <v>48</v>
      </c>
      <c r="D1089" s="10" t="s">
        <v>286</v>
      </c>
      <c r="E1089" s="10" t="s">
        <v>2342</v>
      </c>
      <c r="F1089" s="30" t="n">
        <v>42841</v>
      </c>
      <c r="G1089" s="30" t="n">
        <v>42848</v>
      </c>
      <c r="H1089" s="26" t="n">
        <f aca="false">G1089-F1089</f>
        <v>7</v>
      </c>
      <c r="I1089" s="10" t="n">
        <f aca="false">IF(E1089="Won",1,0)</f>
        <v>1</v>
      </c>
    </row>
    <row r="1090" customFormat="false" ht="15" hidden="false" customHeight="false" outlineLevel="0" collapsed="false">
      <c r="A1090" s="10" t="s">
        <v>3431</v>
      </c>
      <c r="B1090" s="10" t="s">
        <v>95</v>
      </c>
      <c r="C1090" s="10" t="s">
        <v>49</v>
      </c>
      <c r="D1090" s="10" t="s">
        <v>299</v>
      </c>
      <c r="E1090" s="10" t="s">
        <v>2345</v>
      </c>
      <c r="F1090" s="30" t="n">
        <v>42841</v>
      </c>
      <c r="G1090" s="30" t="n">
        <v>42848</v>
      </c>
      <c r="H1090" s="26" t="n">
        <f aca="false">G1090-F1090</f>
        <v>7</v>
      </c>
      <c r="I1090" s="10" t="n">
        <f aca="false">IF(E1090="Won",1,0)</f>
        <v>0</v>
      </c>
    </row>
    <row r="1091" customFormat="false" ht="15" hidden="false" customHeight="false" outlineLevel="0" collapsed="false">
      <c r="A1091" s="10" t="s">
        <v>3432</v>
      </c>
      <c r="B1091" s="10" t="s">
        <v>81</v>
      </c>
      <c r="C1091" s="10" t="s">
        <v>50</v>
      </c>
      <c r="D1091" s="10" t="s">
        <v>1948</v>
      </c>
      <c r="E1091" s="10" t="s">
        <v>2342</v>
      </c>
      <c r="F1091" s="30" t="n">
        <v>42842</v>
      </c>
      <c r="G1091" s="30" t="n">
        <v>42848</v>
      </c>
      <c r="H1091" s="26" t="n">
        <f aca="false">G1091-F1091</f>
        <v>6</v>
      </c>
      <c r="I1091" s="10" t="n">
        <f aca="false">IF(E1091="Won",1,0)</f>
        <v>1</v>
      </c>
    </row>
    <row r="1092" customFormat="false" ht="15" hidden="false" customHeight="false" outlineLevel="0" collapsed="false">
      <c r="A1092" s="10" t="s">
        <v>3433</v>
      </c>
      <c r="B1092" s="10" t="s">
        <v>61</v>
      </c>
      <c r="C1092" s="10" t="s">
        <v>49</v>
      </c>
      <c r="D1092" s="10" t="s">
        <v>405</v>
      </c>
      <c r="E1092" s="10" t="s">
        <v>2342</v>
      </c>
      <c r="F1092" s="30" t="n">
        <v>42846</v>
      </c>
      <c r="G1092" s="30" t="n">
        <v>42848</v>
      </c>
      <c r="H1092" s="26" t="n">
        <f aca="false">G1092-F1092</f>
        <v>2</v>
      </c>
      <c r="I1092" s="10" t="n">
        <f aca="false">IF(E1092="Won",1,0)</f>
        <v>1</v>
      </c>
    </row>
    <row r="1093" customFormat="false" ht="15" hidden="false" customHeight="false" outlineLevel="0" collapsed="false">
      <c r="A1093" s="10" t="s">
        <v>3434</v>
      </c>
      <c r="B1093" s="10" t="s">
        <v>95</v>
      </c>
      <c r="C1093" s="10" t="s">
        <v>49</v>
      </c>
      <c r="D1093" s="10" t="s">
        <v>233</v>
      </c>
      <c r="E1093" s="10" t="s">
        <v>2342</v>
      </c>
      <c r="F1093" s="30" t="n">
        <v>42847</v>
      </c>
      <c r="G1093" s="30" t="n">
        <v>42848</v>
      </c>
      <c r="H1093" s="26" t="n">
        <f aca="false">G1093-F1093</f>
        <v>1</v>
      </c>
      <c r="I1093" s="10" t="n">
        <f aca="false">IF(E1093="Won",1,0)</f>
        <v>1</v>
      </c>
    </row>
    <row r="1094" customFormat="false" ht="15" hidden="false" customHeight="false" outlineLevel="0" collapsed="false">
      <c r="A1094" s="10" t="s">
        <v>3435</v>
      </c>
      <c r="B1094" s="10" t="s">
        <v>57</v>
      </c>
      <c r="C1094" s="10" t="s">
        <v>50</v>
      </c>
      <c r="D1094" s="10" t="s">
        <v>1334</v>
      </c>
      <c r="E1094" s="10" t="s">
        <v>2342</v>
      </c>
      <c r="F1094" s="30" t="n">
        <v>42839</v>
      </c>
      <c r="G1094" s="30" t="n">
        <v>42848</v>
      </c>
      <c r="H1094" s="26" t="n">
        <f aca="false">G1094-F1094</f>
        <v>9</v>
      </c>
      <c r="I1094" s="10" t="n">
        <f aca="false">IF(E1094="Won",1,0)</f>
        <v>1</v>
      </c>
    </row>
    <row r="1095" customFormat="false" ht="15" hidden="false" customHeight="false" outlineLevel="0" collapsed="false">
      <c r="A1095" s="10" t="s">
        <v>3436</v>
      </c>
      <c r="B1095" s="10" t="s">
        <v>80</v>
      </c>
      <c r="C1095" s="10" t="s">
        <v>52</v>
      </c>
      <c r="D1095" s="10" t="s">
        <v>1251</v>
      </c>
      <c r="E1095" s="10" t="s">
        <v>2342</v>
      </c>
      <c r="F1095" s="30" t="n">
        <v>42841</v>
      </c>
      <c r="G1095" s="30" t="n">
        <v>42848</v>
      </c>
      <c r="H1095" s="26" t="n">
        <f aca="false">G1095-F1095</f>
        <v>7</v>
      </c>
      <c r="I1095" s="10" t="n">
        <f aca="false">IF(E1095="Won",1,0)</f>
        <v>1</v>
      </c>
    </row>
    <row r="1096" customFormat="false" ht="15" hidden="false" customHeight="false" outlineLevel="0" collapsed="false">
      <c r="A1096" s="10" t="s">
        <v>3437</v>
      </c>
      <c r="B1096" s="10" t="s">
        <v>76</v>
      </c>
      <c r="C1096" s="10" t="s">
        <v>52</v>
      </c>
      <c r="D1096" s="10" t="s">
        <v>697</v>
      </c>
      <c r="E1096" s="10" t="s">
        <v>2342</v>
      </c>
      <c r="F1096" s="30" t="n">
        <v>42842</v>
      </c>
      <c r="G1096" s="30" t="n">
        <v>42848</v>
      </c>
      <c r="H1096" s="26" t="n">
        <f aca="false">G1096-F1096</f>
        <v>6</v>
      </c>
      <c r="I1096" s="10" t="n">
        <f aca="false">IF(E1096="Won",1,0)</f>
        <v>1</v>
      </c>
    </row>
    <row r="1097" customFormat="false" ht="15" hidden="false" customHeight="false" outlineLevel="0" collapsed="false">
      <c r="A1097" s="10" t="s">
        <v>3438</v>
      </c>
      <c r="B1097" s="10" t="s">
        <v>97</v>
      </c>
      <c r="C1097" s="10" t="s">
        <v>51</v>
      </c>
      <c r="D1097" s="10" t="s">
        <v>506</v>
      </c>
      <c r="E1097" s="10" t="s">
        <v>2342</v>
      </c>
      <c r="F1097" s="30" t="n">
        <v>42846</v>
      </c>
      <c r="G1097" s="30" t="n">
        <v>42848</v>
      </c>
      <c r="H1097" s="26" t="n">
        <f aca="false">G1097-F1097</f>
        <v>2</v>
      </c>
      <c r="I1097" s="10" t="n">
        <f aca="false">IF(E1097="Won",1,0)</f>
        <v>1</v>
      </c>
    </row>
    <row r="1098" customFormat="false" ht="15" hidden="false" customHeight="false" outlineLevel="0" collapsed="false">
      <c r="A1098" s="10" t="s">
        <v>3439</v>
      </c>
      <c r="B1098" s="10" t="s">
        <v>63</v>
      </c>
      <c r="C1098" s="10" t="s">
        <v>49</v>
      </c>
      <c r="D1098" s="10" t="s">
        <v>277</v>
      </c>
      <c r="E1098" s="10" t="s">
        <v>2342</v>
      </c>
      <c r="F1098" s="30" t="n">
        <v>42842</v>
      </c>
      <c r="G1098" s="30" t="n">
        <v>42848</v>
      </c>
      <c r="H1098" s="26" t="n">
        <f aca="false">G1098-F1098</f>
        <v>6</v>
      </c>
      <c r="I1098" s="10" t="n">
        <f aca="false">IF(E1098="Won",1,0)</f>
        <v>1</v>
      </c>
    </row>
    <row r="1099" customFormat="false" ht="15" hidden="false" customHeight="false" outlineLevel="0" collapsed="false">
      <c r="A1099" s="10" t="s">
        <v>3440</v>
      </c>
      <c r="B1099" s="10" t="s">
        <v>70</v>
      </c>
      <c r="C1099" s="10" t="s">
        <v>52</v>
      </c>
      <c r="D1099" s="10" t="s">
        <v>337</v>
      </c>
      <c r="E1099" s="10" t="s">
        <v>2342</v>
      </c>
      <c r="F1099" s="30" t="n">
        <v>42837</v>
      </c>
      <c r="G1099" s="30" t="n">
        <v>42848</v>
      </c>
      <c r="H1099" s="26" t="n">
        <f aca="false">G1099-F1099</f>
        <v>11</v>
      </c>
      <c r="I1099" s="10" t="n">
        <f aca="false">IF(E1099="Won",1,0)</f>
        <v>1</v>
      </c>
    </row>
    <row r="1100" customFormat="false" ht="15" hidden="false" customHeight="false" outlineLevel="0" collapsed="false">
      <c r="A1100" s="10" t="s">
        <v>3441</v>
      </c>
      <c r="B1100" s="10" t="s">
        <v>77</v>
      </c>
      <c r="C1100" s="10" t="s">
        <v>50</v>
      </c>
      <c r="D1100" s="10" t="s">
        <v>321</v>
      </c>
      <c r="E1100" s="10" t="s">
        <v>2342</v>
      </c>
      <c r="F1100" s="30" t="n">
        <v>42838</v>
      </c>
      <c r="G1100" s="30" t="n">
        <v>42848</v>
      </c>
      <c r="H1100" s="26" t="n">
        <f aca="false">G1100-F1100</f>
        <v>10</v>
      </c>
      <c r="I1100" s="10" t="n">
        <f aca="false">IF(E1100="Won",1,0)</f>
        <v>1</v>
      </c>
    </row>
    <row r="1101" customFormat="false" ht="15" hidden="false" customHeight="false" outlineLevel="0" collapsed="false">
      <c r="A1101" s="10" t="s">
        <v>3442</v>
      </c>
      <c r="B1101" s="10" t="s">
        <v>67</v>
      </c>
      <c r="C1101" s="10" t="s">
        <v>47</v>
      </c>
      <c r="D1101" s="10" t="s">
        <v>172</v>
      </c>
      <c r="E1101" s="10" t="s">
        <v>2345</v>
      </c>
      <c r="F1101" s="30" t="n">
        <v>42843</v>
      </c>
      <c r="G1101" s="30" t="n">
        <v>42848</v>
      </c>
      <c r="H1101" s="26" t="n">
        <f aca="false">G1101-F1101</f>
        <v>5</v>
      </c>
      <c r="I1101" s="10" t="n">
        <f aca="false">IF(E1101="Won",1,0)</f>
        <v>0</v>
      </c>
    </row>
    <row r="1102" customFormat="false" ht="15" hidden="false" customHeight="false" outlineLevel="0" collapsed="false">
      <c r="A1102" s="10" t="s">
        <v>3443</v>
      </c>
      <c r="B1102" s="10" t="s">
        <v>70</v>
      </c>
      <c r="C1102" s="10" t="s">
        <v>49</v>
      </c>
      <c r="D1102" s="10" t="s">
        <v>506</v>
      </c>
      <c r="E1102" s="10" t="s">
        <v>2345</v>
      </c>
      <c r="F1102" s="30" t="n">
        <v>42838</v>
      </c>
      <c r="G1102" s="30" t="n">
        <v>42848</v>
      </c>
      <c r="H1102" s="26" t="n">
        <f aca="false">G1102-F1102</f>
        <v>10</v>
      </c>
      <c r="I1102" s="10" t="n">
        <f aca="false">IF(E1102="Won",1,0)</f>
        <v>0</v>
      </c>
    </row>
    <row r="1103" customFormat="false" ht="15" hidden="false" customHeight="false" outlineLevel="0" collapsed="false">
      <c r="A1103" s="10" t="s">
        <v>3444</v>
      </c>
      <c r="B1103" s="10" t="s">
        <v>57</v>
      </c>
      <c r="C1103" s="10" t="s">
        <v>51</v>
      </c>
      <c r="D1103" s="10" t="s">
        <v>359</v>
      </c>
      <c r="E1103" s="10" t="s">
        <v>2345</v>
      </c>
      <c r="F1103" s="30" t="n">
        <v>42838</v>
      </c>
      <c r="G1103" s="30" t="n">
        <v>42848</v>
      </c>
      <c r="H1103" s="26" t="n">
        <f aca="false">G1103-F1103</f>
        <v>10</v>
      </c>
      <c r="I1103" s="10" t="n">
        <f aca="false">IF(E1103="Won",1,0)</f>
        <v>0</v>
      </c>
    </row>
    <row r="1104" customFormat="false" ht="15" hidden="false" customHeight="false" outlineLevel="0" collapsed="false">
      <c r="A1104" s="10" t="s">
        <v>3445</v>
      </c>
      <c r="B1104" s="10" t="s">
        <v>83</v>
      </c>
      <c r="C1104" s="10" t="s">
        <v>51</v>
      </c>
      <c r="D1104" s="10" t="s">
        <v>388</v>
      </c>
      <c r="E1104" s="10" t="s">
        <v>2342</v>
      </c>
      <c r="F1104" s="30" t="n">
        <v>42848</v>
      </c>
      <c r="G1104" s="30" t="n">
        <v>42849</v>
      </c>
      <c r="H1104" s="26" t="n">
        <f aca="false">G1104-F1104</f>
        <v>1</v>
      </c>
      <c r="I1104" s="10" t="n">
        <f aca="false">IF(E1104="Won",1,0)</f>
        <v>1</v>
      </c>
    </row>
    <row r="1105" customFormat="false" ht="15" hidden="false" customHeight="false" outlineLevel="0" collapsed="false">
      <c r="A1105" s="10" t="s">
        <v>3446</v>
      </c>
      <c r="B1105" s="10" t="s">
        <v>71</v>
      </c>
      <c r="C1105" s="10" t="s">
        <v>49</v>
      </c>
      <c r="D1105" s="10" t="s">
        <v>961</v>
      </c>
      <c r="E1105" s="10" t="s">
        <v>2342</v>
      </c>
      <c r="F1105" s="30" t="n">
        <v>42842</v>
      </c>
      <c r="G1105" s="30" t="n">
        <v>42849</v>
      </c>
      <c r="H1105" s="26" t="n">
        <f aca="false">G1105-F1105</f>
        <v>7</v>
      </c>
      <c r="I1105" s="10" t="n">
        <f aca="false">IF(E1105="Won",1,0)</f>
        <v>1</v>
      </c>
    </row>
    <row r="1106" customFormat="false" ht="15" hidden="false" customHeight="false" outlineLevel="0" collapsed="false">
      <c r="A1106" s="10" t="s">
        <v>3447</v>
      </c>
      <c r="B1106" s="10" t="s">
        <v>68</v>
      </c>
      <c r="C1106" s="10" t="s">
        <v>52</v>
      </c>
      <c r="D1106" s="10" t="s">
        <v>168</v>
      </c>
      <c r="E1106" s="10" t="s">
        <v>2345</v>
      </c>
      <c r="F1106" s="30" t="n">
        <v>42848</v>
      </c>
      <c r="G1106" s="30" t="n">
        <v>42849</v>
      </c>
      <c r="H1106" s="26" t="n">
        <f aca="false">G1106-F1106</f>
        <v>1</v>
      </c>
      <c r="I1106" s="10" t="n">
        <f aca="false">IF(E1106="Won",1,0)</f>
        <v>0</v>
      </c>
    </row>
    <row r="1107" customFormat="false" ht="15" hidden="false" customHeight="false" outlineLevel="0" collapsed="false">
      <c r="A1107" s="10" t="s">
        <v>3448</v>
      </c>
      <c r="B1107" s="10" t="s">
        <v>93</v>
      </c>
      <c r="C1107" s="10" t="s">
        <v>48</v>
      </c>
      <c r="D1107" s="10" t="s">
        <v>172</v>
      </c>
      <c r="E1107" s="10" t="s">
        <v>2342</v>
      </c>
      <c r="F1107" s="30" t="n">
        <v>42842</v>
      </c>
      <c r="G1107" s="30" t="n">
        <v>42849</v>
      </c>
      <c r="H1107" s="26" t="n">
        <f aca="false">G1107-F1107</f>
        <v>7</v>
      </c>
      <c r="I1107" s="10" t="n">
        <f aca="false">IF(E1107="Won",1,0)</f>
        <v>1</v>
      </c>
    </row>
    <row r="1108" customFormat="false" ht="15" hidden="false" customHeight="false" outlineLevel="0" collapsed="false">
      <c r="A1108" s="10" t="s">
        <v>3449</v>
      </c>
      <c r="B1108" s="10" t="s">
        <v>84</v>
      </c>
      <c r="C1108" s="10" t="s">
        <v>48</v>
      </c>
      <c r="D1108" s="10" t="s">
        <v>453</v>
      </c>
      <c r="E1108" s="10" t="s">
        <v>2345</v>
      </c>
      <c r="F1108" s="30" t="n">
        <v>42848</v>
      </c>
      <c r="G1108" s="30" t="n">
        <v>42849</v>
      </c>
      <c r="H1108" s="26" t="n">
        <f aca="false">G1108-F1108</f>
        <v>1</v>
      </c>
      <c r="I1108" s="10" t="n">
        <f aca="false">IF(E1108="Won",1,0)</f>
        <v>0</v>
      </c>
    </row>
    <row r="1109" customFormat="false" ht="15" hidden="false" customHeight="false" outlineLevel="0" collapsed="false">
      <c r="A1109" s="10" t="s">
        <v>3450</v>
      </c>
      <c r="B1109" s="10" t="s">
        <v>79</v>
      </c>
      <c r="C1109" s="10" t="s">
        <v>48</v>
      </c>
      <c r="D1109" s="10" t="s">
        <v>388</v>
      </c>
      <c r="E1109" s="10" t="s">
        <v>2342</v>
      </c>
      <c r="F1109" s="30" t="n">
        <v>42842</v>
      </c>
      <c r="G1109" s="30" t="n">
        <v>42849</v>
      </c>
      <c r="H1109" s="26" t="n">
        <f aca="false">G1109-F1109</f>
        <v>7</v>
      </c>
      <c r="I1109" s="10" t="n">
        <f aca="false">IF(E1109="Won",1,0)</f>
        <v>1</v>
      </c>
    </row>
    <row r="1110" customFormat="false" ht="15" hidden="false" customHeight="false" outlineLevel="0" collapsed="false">
      <c r="A1110" s="10" t="s">
        <v>3451</v>
      </c>
      <c r="B1110" s="10" t="s">
        <v>90</v>
      </c>
      <c r="C1110" s="10" t="s">
        <v>49</v>
      </c>
      <c r="D1110" s="10" t="s">
        <v>332</v>
      </c>
      <c r="E1110" s="10" t="s">
        <v>2345</v>
      </c>
      <c r="F1110" s="30" t="n">
        <v>42848</v>
      </c>
      <c r="G1110" s="30" t="n">
        <v>42849</v>
      </c>
      <c r="H1110" s="26" t="n">
        <f aca="false">G1110-F1110</f>
        <v>1</v>
      </c>
      <c r="I1110" s="10" t="n">
        <f aca="false">IF(E1110="Won",1,0)</f>
        <v>0</v>
      </c>
    </row>
    <row r="1111" customFormat="false" ht="15" hidden="false" customHeight="false" outlineLevel="0" collapsed="false">
      <c r="A1111" s="10" t="s">
        <v>3452</v>
      </c>
      <c r="B1111" s="10" t="s">
        <v>94</v>
      </c>
      <c r="C1111" s="10" t="s">
        <v>51</v>
      </c>
      <c r="D1111" s="10" t="s">
        <v>497</v>
      </c>
      <c r="E1111" s="10" t="s">
        <v>2342</v>
      </c>
      <c r="F1111" s="30" t="n">
        <v>42848</v>
      </c>
      <c r="G1111" s="30" t="n">
        <v>42849</v>
      </c>
      <c r="H1111" s="26" t="n">
        <f aca="false">G1111-F1111</f>
        <v>1</v>
      </c>
      <c r="I1111" s="10" t="n">
        <f aca="false">IF(E1111="Won",1,0)</f>
        <v>1</v>
      </c>
    </row>
    <row r="1112" customFormat="false" ht="15" hidden="false" customHeight="false" outlineLevel="0" collapsed="false">
      <c r="A1112" s="10" t="s">
        <v>3453</v>
      </c>
      <c r="B1112" s="10" t="s">
        <v>80</v>
      </c>
      <c r="C1112" s="10" t="s">
        <v>51</v>
      </c>
      <c r="D1112" s="10" t="s">
        <v>321</v>
      </c>
      <c r="E1112" s="10" t="s">
        <v>2342</v>
      </c>
      <c r="F1112" s="30" t="n">
        <v>42841</v>
      </c>
      <c r="G1112" s="30" t="n">
        <v>42849</v>
      </c>
      <c r="H1112" s="26" t="n">
        <f aca="false">G1112-F1112</f>
        <v>8</v>
      </c>
      <c r="I1112" s="10" t="n">
        <f aca="false">IF(E1112="Won",1,0)</f>
        <v>1</v>
      </c>
    </row>
    <row r="1113" customFormat="false" ht="15" hidden="false" customHeight="false" outlineLevel="0" collapsed="false">
      <c r="A1113" s="10" t="s">
        <v>3454</v>
      </c>
      <c r="B1113" s="10" t="s">
        <v>96</v>
      </c>
      <c r="C1113" s="10" t="s">
        <v>50</v>
      </c>
      <c r="D1113" s="10" t="s">
        <v>711</v>
      </c>
      <c r="E1113" s="10" t="s">
        <v>2342</v>
      </c>
      <c r="F1113" s="30" t="n">
        <v>42841</v>
      </c>
      <c r="G1113" s="30" t="n">
        <v>42849</v>
      </c>
      <c r="H1113" s="26" t="n">
        <f aca="false">G1113-F1113</f>
        <v>8</v>
      </c>
      <c r="I1113" s="10" t="n">
        <f aca="false">IF(E1113="Won",1,0)</f>
        <v>1</v>
      </c>
    </row>
    <row r="1114" customFormat="false" ht="15" hidden="false" customHeight="false" outlineLevel="0" collapsed="false">
      <c r="A1114" s="10" t="s">
        <v>3455</v>
      </c>
      <c r="B1114" s="10" t="s">
        <v>84</v>
      </c>
      <c r="C1114" s="10" t="s">
        <v>47</v>
      </c>
      <c r="D1114" s="10" t="s">
        <v>247</v>
      </c>
      <c r="E1114" s="10" t="s">
        <v>2342</v>
      </c>
      <c r="F1114" s="30" t="n">
        <v>42840</v>
      </c>
      <c r="G1114" s="30" t="n">
        <v>42849</v>
      </c>
      <c r="H1114" s="26" t="n">
        <f aca="false">G1114-F1114</f>
        <v>9</v>
      </c>
      <c r="I1114" s="10" t="n">
        <f aca="false">IF(E1114="Won",1,0)</f>
        <v>1</v>
      </c>
    </row>
    <row r="1115" customFormat="false" ht="15" hidden="false" customHeight="false" outlineLevel="0" collapsed="false">
      <c r="A1115" s="10" t="s">
        <v>3456</v>
      </c>
      <c r="B1115" s="10" t="s">
        <v>68</v>
      </c>
      <c r="C1115" s="10" t="s">
        <v>51</v>
      </c>
      <c r="D1115" s="10" t="s">
        <v>175</v>
      </c>
      <c r="E1115" s="10" t="s">
        <v>2342</v>
      </c>
      <c r="F1115" s="30" t="n">
        <v>42842</v>
      </c>
      <c r="G1115" s="30" t="n">
        <v>42849</v>
      </c>
      <c r="H1115" s="26" t="n">
        <f aca="false">G1115-F1115</f>
        <v>7</v>
      </c>
      <c r="I1115" s="10" t="n">
        <f aca="false">IF(E1115="Won",1,0)</f>
        <v>1</v>
      </c>
    </row>
    <row r="1116" customFormat="false" ht="15" hidden="false" customHeight="false" outlineLevel="0" collapsed="false">
      <c r="A1116" s="10" t="s">
        <v>3457</v>
      </c>
      <c r="B1116" s="10" t="s">
        <v>80</v>
      </c>
      <c r="C1116" s="10" t="s">
        <v>48</v>
      </c>
      <c r="D1116" s="10" t="s">
        <v>410</v>
      </c>
      <c r="E1116" s="10" t="s">
        <v>2345</v>
      </c>
      <c r="F1116" s="30" t="n">
        <v>42837</v>
      </c>
      <c r="G1116" s="30" t="n">
        <v>42849</v>
      </c>
      <c r="H1116" s="26" t="n">
        <f aca="false">G1116-F1116</f>
        <v>12</v>
      </c>
      <c r="I1116" s="10" t="n">
        <f aca="false">IF(E1116="Won",1,0)</f>
        <v>0</v>
      </c>
    </row>
    <row r="1117" customFormat="false" ht="15" hidden="false" customHeight="false" outlineLevel="0" collapsed="false">
      <c r="A1117" s="10" t="s">
        <v>3458</v>
      </c>
      <c r="B1117" s="10" t="s">
        <v>71</v>
      </c>
      <c r="C1117" s="10" t="s">
        <v>52</v>
      </c>
      <c r="D1117" s="10" t="s">
        <v>947</v>
      </c>
      <c r="E1117" s="10" t="s">
        <v>2345</v>
      </c>
      <c r="F1117" s="30" t="n">
        <v>42843</v>
      </c>
      <c r="G1117" s="30" t="n">
        <v>42849</v>
      </c>
      <c r="H1117" s="26" t="n">
        <f aca="false">G1117-F1117</f>
        <v>6</v>
      </c>
      <c r="I1117" s="10" t="n">
        <f aca="false">IF(E1117="Won",1,0)</f>
        <v>0</v>
      </c>
    </row>
    <row r="1118" customFormat="false" ht="15" hidden="false" customHeight="false" outlineLevel="0" collapsed="false">
      <c r="A1118" s="10" t="s">
        <v>3459</v>
      </c>
      <c r="B1118" s="10" t="s">
        <v>94</v>
      </c>
      <c r="C1118" s="10" t="s">
        <v>47</v>
      </c>
      <c r="D1118" s="10" t="s">
        <v>419</v>
      </c>
      <c r="E1118" s="10" t="s">
        <v>2345</v>
      </c>
      <c r="F1118" s="30" t="n">
        <v>42843</v>
      </c>
      <c r="G1118" s="30" t="n">
        <v>42849</v>
      </c>
      <c r="H1118" s="26" t="n">
        <f aca="false">G1118-F1118</f>
        <v>6</v>
      </c>
      <c r="I1118" s="10" t="n">
        <f aca="false">IF(E1118="Won",1,0)</f>
        <v>0</v>
      </c>
    </row>
    <row r="1119" customFormat="false" ht="15" hidden="false" customHeight="false" outlineLevel="0" collapsed="false">
      <c r="A1119" s="10" t="s">
        <v>3460</v>
      </c>
      <c r="B1119" s="10" t="s">
        <v>94</v>
      </c>
      <c r="C1119" s="10" t="s">
        <v>51</v>
      </c>
      <c r="D1119" s="10" t="s">
        <v>986</v>
      </c>
      <c r="E1119" s="10" t="s">
        <v>2342</v>
      </c>
      <c r="F1119" s="30" t="n">
        <v>42843</v>
      </c>
      <c r="G1119" s="30" t="n">
        <v>42849</v>
      </c>
      <c r="H1119" s="26" t="n">
        <f aca="false">G1119-F1119</f>
        <v>6</v>
      </c>
      <c r="I1119" s="10" t="n">
        <f aca="false">IF(E1119="Won",1,0)</f>
        <v>1</v>
      </c>
    </row>
    <row r="1120" customFormat="false" ht="15" hidden="false" customHeight="false" outlineLevel="0" collapsed="false">
      <c r="A1120" s="10" t="s">
        <v>3461</v>
      </c>
      <c r="B1120" s="10" t="s">
        <v>95</v>
      </c>
      <c r="C1120" s="10" t="s">
        <v>48</v>
      </c>
      <c r="D1120" s="10" t="s">
        <v>419</v>
      </c>
      <c r="E1120" s="10" t="s">
        <v>2342</v>
      </c>
      <c r="F1120" s="30" t="n">
        <v>42843</v>
      </c>
      <c r="G1120" s="30" t="n">
        <v>42849</v>
      </c>
      <c r="H1120" s="26" t="n">
        <f aca="false">G1120-F1120</f>
        <v>6</v>
      </c>
      <c r="I1120" s="10" t="n">
        <f aca="false">IF(E1120="Won",1,0)</f>
        <v>1</v>
      </c>
    </row>
    <row r="1121" customFormat="false" ht="15" hidden="false" customHeight="false" outlineLevel="0" collapsed="false">
      <c r="A1121" s="10" t="s">
        <v>3462</v>
      </c>
      <c r="B1121" s="10" t="s">
        <v>74</v>
      </c>
      <c r="C1121" s="10" t="s">
        <v>47</v>
      </c>
      <c r="D1121" s="10" t="s">
        <v>697</v>
      </c>
      <c r="E1121" s="10" t="s">
        <v>2345</v>
      </c>
      <c r="F1121" s="30" t="n">
        <v>42842</v>
      </c>
      <c r="G1121" s="30" t="n">
        <v>42849</v>
      </c>
      <c r="H1121" s="26" t="n">
        <f aca="false">G1121-F1121</f>
        <v>7</v>
      </c>
      <c r="I1121" s="10" t="n">
        <f aca="false">IF(E1121="Won",1,0)</f>
        <v>0</v>
      </c>
    </row>
    <row r="1122" customFormat="false" ht="15" hidden="false" customHeight="false" outlineLevel="0" collapsed="false">
      <c r="A1122" s="10" t="s">
        <v>3463</v>
      </c>
      <c r="B1122" s="10" t="s">
        <v>67</v>
      </c>
      <c r="C1122" s="10" t="s">
        <v>49</v>
      </c>
      <c r="D1122" s="10" t="s">
        <v>396</v>
      </c>
      <c r="E1122" s="10" t="s">
        <v>2342</v>
      </c>
      <c r="F1122" s="30" t="n">
        <v>42839</v>
      </c>
      <c r="G1122" s="30" t="n">
        <v>42849</v>
      </c>
      <c r="H1122" s="26" t="n">
        <f aca="false">G1122-F1122</f>
        <v>10</v>
      </c>
      <c r="I1122" s="10" t="n">
        <f aca="false">IF(E1122="Won",1,0)</f>
        <v>1</v>
      </c>
    </row>
    <row r="1123" customFormat="false" ht="15" hidden="false" customHeight="false" outlineLevel="0" collapsed="false">
      <c r="A1123" s="10" t="s">
        <v>3464</v>
      </c>
      <c r="B1123" s="10" t="s">
        <v>57</v>
      </c>
      <c r="C1123" s="10" t="s">
        <v>47</v>
      </c>
      <c r="D1123" s="10" t="s">
        <v>218</v>
      </c>
      <c r="E1123" s="10" t="s">
        <v>2342</v>
      </c>
      <c r="F1123" s="30" t="n">
        <v>42848</v>
      </c>
      <c r="G1123" s="30" t="n">
        <v>42849</v>
      </c>
      <c r="H1123" s="26" t="n">
        <f aca="false">G1123-F1123</f>
        <v>1</v>
      </c>
      <c r="I1123" s="10" t="n">
        <f aca="false">IF(E1123="Won",1,0)</f>
        <v>1</v>
      </c>
    </row>
    <row r="1124" customFormat="false" ht="15" hidden="false" customHeight="false" outlineLevel="0" collapsed="false">
      <c r="A1124" s="10" t="s">
        <v>3465</v>
      </c>
      <c r="B1124" s="10" t="s">
        <v>80</v>
      </c>
      <c r="C1124" s="10" t="s">
        <v>52</v>
      </c>
      <c r="D1124" s="10" t="s">
        <v>193</v>
      </c>
      <c r="E1124" s="10" t="s">
        <v>2342</v>
      </c>
      <c r="F1124" s="30" t="n">
        <v>42839</v>
      </c>
      <c r="G1124" s="30" t="n">
        <v>42849</v>
      </c>
      <c r="H1124" s="26" t="n">
        <f aca="false">G1124-F1124</f>
        <v>10</v>
      </c>
      <c r="I1124" s="10" t="n">
        <f aca="false">IF(E1124="Won",1,0)</f>
        <v>1</v>
      </c>
    </row>
    <row r="1125" customFormat="false" ht="15" hidden="false" customHeight="false" outlineLevel="0" collapsed="false">
      <c r="A1125" s="10" t="s">
        <v>3466</v>
      </c>
      <c r="B1125" s="10" t="s">
        <v>88</v>
      </c>
      <c r="C1125" s="10" t="s">
        <v>50</v>
      </c>
      <c r="D1125" s="10" t="s">
        <v>441</v>
      </c>
      <c r="E1125" s="10" t="s">
        <v>2345</v>
      </c>
      <c r="F1125" s="30" t="n">
        <v>42845</v>
      </c>
      <c r="G1125" s="30" t="n">
        <v>42849</v>
      </c>
      <c r="H1125" s="26" t="n">
        <f aca="false">G1125-F1125</f>
        <v>4</v>
      </c>
      <c r="I1125" s="10" t="n">
        <f aca="false">IF(E1125="Won",1,0)</f>
        <v>0</v>
      </c>
    </row>
    <row r="1126" customFormat="false" ht="15" hidden="false" customHeight="false" outlineLevel="0" collapsed="false">
      <c r="A1126" s="10" t="s">
        <v>3467</v>
      </c>
      <c r="B1126" s="10" t="s">
        <v>79</v>
      </c>
      <c r="C1126" s="10" t="s">
        <v>51</v>
      </c>
      <c r="D1126" s="10" t="s">
        <v>947</v>
      </c>
      <c r="E1126" s="10" t="s">
        <v>2342</v>
      </c>
      <c r="F1126" s="30" t="n">
        <v>42848</v>
      </c>
      <c r="G1126" s="30" t="n">
        <v>42849</v>
      </c>
      <c r="H1126" s="26" t="n">
        <f aca="false">G1126-F1126</f>
        <v>1</v>
      </c>
      <c r="I1126" s="10" t="n">
        <f aca="false">IF(E1126="Won",1,0)</f>
        <v>1</v>
      </c>
    </row>
    <row r="1127" customFormat="false" ht="15" hidden="false" customHeight="false" outlineLevel="0" collapsed="false">
      <c r="A1127" s="10" t="s">
        <v>3468</v>
      </c>
      <c r="B1127" s="10" t="s">
        <v>67</v>
      </c>
      <c r="C1127" s="10" t="s">
        <v>50</v>
      </c>
      <c r="D1127" s="10" t="s">
        <v>170</v>
      </c>
      <c r="E1127" s="10" t="s">
        <v>2345</v>
      </c>
      <c r="F1127" s="30" t="n">
        <v>42840</v>
      </c>
      <c r="G1127" s="30" t="n">
        <v>42849</v>
      </c>
      <c r="H1127" s="26" t="n">
        <f aca="false">G1127-F1127</f>
        <v>9</v>
      </c>
      <c r="I1127" s="10" t="n">
        <f aca="false">IF(E1127="Won",1,0)</f>
        <v>0</v>
      </c>
    </row>
    <row r="1128" customFormat="false" ht="15" hidden="false" customHeight="false" outlineLevel="0" collapsed="false">
      <c r="A1128" s="10" t="s">
        <v>3469</v>
      </c>
      <c r="B1128" s="10" t="s">
        <v>97</v>
      </c>
      <c r="C1128" s="10" t="s">
        <v>48</v>
      </c>
      <c r="D1128" s="10" t="s">
        <v>172</v>
      </c>
      <c r="E1128" s="10" t="s">
        <v>2345</v>
      </c>
      <c r="F1128" s="30" t="n">
        <v>42843</v>
      </c>
      <c r="G1128" s="30" t="n">
        <v>42849</v>
      </c>
      <c r="H1128" s="26" t="n">
        <f aca="false">G1128-F1128</f>
        <v>6</v>
      </c>
      <c r="I1128" s="10" t="n">
        <f aca="false">IF(E1128="Won",1,0)</f>
        <v>0</v>
      </c>
    </row>
    <row r="1129" customFormat="false" ht="15" hidden="false" customHeight="false" outlineLevel="0" collapsed="false">
      <c r="A1129" s="10" t="s">
        <v>3470</v>
      </c>
      <c r="B1129" s="10" t="s">
        <v>95</v>
      </c>
      <c r="C1129" s="10" t="s">
        <v>47</v>
      </c>
      <c r="D1129" s="10" t="s">
        <v>326</v>
      </c>
      <c r="E1129" s="10" t="s">
        <v>2345</v>
      </c>
      <c r="F1129" s="30" t="n">
        <v>42842</v>
      </c>
      <c r="G1129" s="30" t="n">
        <v>42850</v>
      </c>
      <c r="H1129" s="26" t="n">
        <f aca="false">G1129-F1129</f>
        <v>8</v>
      </c>
      <c r="I1129" s="10" t="n">
        <f aca="false">IF(E1129="Won",1,0)</f>
        <v>0</v>
      </c>
    </row>
    <row r="1130" customFormat="false" ht="15" hidden="false" customHeight="false" outlineLevel="0" collapsed="false">
      <c r="A1130" s="10" t="s">
        <v>3471</v>
      </c>
      <c r="B1130" s="10" t="s">
        <v>97</v>
      </c>
      <c r="C1130" s="10" t="s">
        <v>49</v>
      </c>
      <c r="D1130" s="10" t="s">
        <v>313</v>
      </c>
      <c r="E1130" s="10" t="s">
        <v>2345</v>
      </c>
      <c r="F1130" s="30" t="n">
        <v>42843</v>
      </c>
      <c r="G1130" s="30" t="n">
        <v>42850</v>
      </c>
      <c r="H1130" s="26" t="n">
        <f aca="false">G1130-F1130</f>
        <v>7</v>
      </c>
      <c r="I1130" s="10" t="n">
        <f aca="false">IF(E1130="Won",1,0)</f>
        <v>0</v>
      </c>
    </row>
    <row r="1131" customFormat="false" ht="15" hidden="false" customHeight="false" outlineLevel="0" collapsed="false">
      <c r="A1131" s="10" t="s">
        <v>3472</v>
      </c>
      <c r="B1131" s="10" t="s">
        <v>67</v>
      </c>
      <c r="C1131" s="10" t="s">
        <v>50</v>
      </c>
      <c r="D1131" s="10" t="s">
        <v>514</v>
      </c>
      <c r="E1131" s="10" t="s">
        <v>2345</v>
      </c>
      <c r="F1131" s="30" t="n">
        <v>42842</v>
      </c>
      <c r="G1131" s="30" t="n">
        <v>42850</v>
      </c>
      <c r="H1131" s="26" t="n">
        <f aca="false">G1131-F1131</f>
        <v>8</v>
      </c>
      <c r="I1131" s="10" t="n">
        <f aca="false">IF(E1131="Won",1,0)</f>
        <v>0</v>
      </c>
    </row>
    <row r="1132" customFormat="false" ht="15" hidden="false" customHeight="false" outlineLevel="0" collapsed="false">
      <c r="A1132" s="10" t="s">
        <v>3473</v>
      </c>
      <c r="B1132" s="10" t="s">
        <v>62</v>
      </c>
      <c r="C1132" s="10" t="s">
        <v>52</v>
      </c>
      <c r="D1132" s="10" t="s">
        <v>286</v>
      </c>
      <c r="E1132" s="10" t="s">
        <v>2342</v>
      </c>
      <c r="F1132" s="30" t="n">
        <v>42842</v>
      </c>
      <c r="G1132" s="30" t="n">
        <v>42850</v>
      </c>
      <c r="H1132" s="26" t="n">
        <f aca="false">G1132-F1132</f>
        <v>8</v>
      </c>
      <c r="I1132" s="10" t="n">
        <f aca="false">IF(E1132="Won",1,0)</f>
        <v>1</v>
      </c>
    </row>
    <row r="1133" customFormat="false" ht="15" hidden="false" customHeight="false" outlineLevel="0" collapsed="false">
      <c r="A1133" s="10" t="s">
        <v>3474</v>
      </c>
      <c r="B1133" s="10" t="s">
        <v>97</v>
      </c>
      <c r="C1133" s="10" t="s">
        <v>47</v>
      </c>
      <c r="D1133" s="10" t="s">
        <v>227</v>
      </c>
      <c r="E1133" s="10" t="s">
        <v>2342</v>
      </c>
      <c r="F1133" s="30" t="n">
        <v>42843</v>
      </c>
      <c r="G1133" s="30" t="n">
        <v>42850</v>
      </c>
      <c r="H1133" s="26" t="n">
        <f aca="false">G1133-F1133</f>
        <v>7</v>
      </c>
      <c r="I1133" s="10" t="n">
        <f aca="false">IF(E1133="Won",1,0)</f>
        <v>1</v>
      </c>
    </row>
    <row r="1134" customFormat="false" ht="15" hidden="false" customHeight="false" outlineLevel="0" collapsed="false">
      <c r="A1134" s="10" t="s">
        <v>3475</v>
      </c>
      <c r="B1134" s="10" t="s">
        <v>71</v>
      </c>
      <c r="C1134" s="10" t="s">
        <v>52</v>
      </c>
      <c r="D1134" s="10" t="s">
        <v>947</v>
      </c>
      <c r="E1134" s="10" t="s">
        <v>2342</v>
      </c>
      <c r="F1134" s="30" t="n">
        <v>42843</v>
      </c>
      <c r="G1134" s="30" t="n">
        <v>42850</v>
      </c>
      <c r="H1134" s="26" t="n">
        <f aca="false">G1134-F1134</f>
        <v>7</v>
      </c>
      <c r="I1134" s="10" t="n">
        <f aca="false">IF(E1134="Won",1,0)</f>
        <v>1</v>
      </c>
    </row>
    <row r="1135" customFormat="false" ht="15" hidden="false" customHeight="false" outlineLevel="0" collapsed="false">
      <c r="A1135" s="10" t="s">
        <v>3476</v>
      </c>
      <c r="B1135" s="10" t="s">
        <v>71</v>
      </c>
      <c r="C1135" s="10" t="s">
        <v>52</v>
      </c>
      <c r="D1135" s="10" t="s">
        <v>321</v>
      </c>
      <c r="E1135" s="10" t="s">
        <v>2342</v>
      </c>
      <c r="F1135" s="30" t="n">
        <v>42844</v>
      </c>
      <c r="G1135" s="30" t="n">
        <v>42850</v>
      </c>
      <c r="H1135" s="26" t="n">
        <f aca="false">G1135-F1135</f>
        <v>6</v>
      </c>
      <c r="I1135" s="10" t="n">
        <f aca="false">IF(E1135="Won",1,0)</f>
        <v>1</v>
      </c>
    </row>
    <row r="1136" customFormat="false" ht="15" hidden="false" customHeight="false" outlineLevel="0" collapsed="false">
      <c r="A1136" s="10" t="s">
        <v>3477</v>
      </c>
      <c r="B1136" s="10" t="s">
        <v>88</v>
      </c>
      <c r="C1136" s="10" t="s">
        <v>51</v>
      </c>
      <c r="D1136" s="10" t="s">
        <v>350</v>
      </c>
      <c r="E1136" s="10" t="s">
        <v>2345</v>
      </c>
      <c r="F1136" s="30" t="n">
        <v>42843</v>
      </c>
      <c r="G1136" s="30" t="n">
        <v>42850</v>
      </c>
      <c r="H1136" s="26" t="n">
        <f aca="false">G1136-F1136</f>
        <v>7</v>
      </c>
      <c r="I1136" s="10" t="n">
        <f aca="false">IF(E1136="Won",1,0)</f>
        <v>0</v>
      </c>
    </row>
    <row r="1137" customFormat="false" ht="15" hidden="false" customHeight="false" outlineLevel="0" collapsed="false">
      <c r="A1137" s="10" t="s">
        <v>3478</v>
      </c>
      <c r="B1137" s="10" t="s">
        <v>87</v>
      </c>
      <c r="C1137" s="10" t="s">
        <v>48</v>
      </c>
      <c r="D1137" s="10" t="s">
        <v>378</v>
      </c>
      <c r="E1137" s="10" t="s">
        <v>2342</v>
      </c>
      <c r="F1137" s="30" t="n">
        <v>42848</v>
      </c>
      <c r="G1137" s="30" t="n">
        <v>42850</v>
      </c>
      <c r="H1137" s="26" t="n">
        <f aca="false">G1137-F1137</f>
        <v>2</v>
      </c>
      <c r="I1137" s="10" t="n">
        <f aca="false">IF(E1137="Won",1,0)</f>
        <v>1</v>
      </c>
    </row>
    <row r="1138" customFormat="false" ht="15" hidden="false" customHeight="false" outlineLevel="0" collapsed="false">
      <c r="A1138" s="10" t="s">
        <v>3479</v>
      </c>
      <c r="B1138" s="10" t="s">
        <v>97</v>
      </c>
      <c r="C1138" s="10" t="s">
        <v>52</v>
      </c>
      <c r="D1138" s="10" t="s">
        <v>986</v>
      </c>
      <c r="E1138" s="10" t="s">
        <v>2345</v>
      </c>
      <c r="F1138" s="30" t="n">
        <v>42841</v>
      </c>
      <c r="G1138" s="30" t="n">
        <v>42850</v>
      </c>
      <c r="H1138" s="26" t="n">
        <f aca="false">G1138-F1138</f>
        <v>9</v>
      </c>
      <c r="I1138" s="10" t="n">
        <f aca="false">IF(E1138="Won",1,0)</f>
        <v>0</v>
      </c>
    </row>
    <row r="1139" customFormat="false" ht="15" hidden="false" customHeight="false" outlineLevel="0" collapsed="false">
      <c r="A1139" s="10" t="s">
        <v>3480</v>
      </c>
      <c r="B1139" s="10" t="s">
        <v>94</v>
      </c>
      <c r="C1139" s="10" t="s">
        <v>50</v>
      </c>
      <c r="D1139" s="10" t="s">
        <v>286</v>
      </c>
      <c r="E1139" s="10" t="s">
        <v>2345</v>
      </c>
      <c r="F1139" s="30" t="n">
        <v>42848</v>
      </c>
      <c r="G1139" s="30" t="n">
        <v>42850</v>
      </c>
      <c r="H1139" s="26" t="n">
        <f aca="false">G1139-F1139</f>
        <v>2</v>
      </c>
      <c r="I1139" s="10" t="n">
        <f aca="false">IF(E1139="Won",1,0)</f>
        <v>0</v>
      </c>
    </row>
    <row r="1140" customFormat="false" ht="15" hidden="false" customHeight="false" outlineLevel="0" collapsed="false">
      <c r="A1140" s="10" t="s">
        <v>3481</v>
      </c>
      <c r="B1140" s="10" t="s">
        <v>86</v>
      </c>
      <c r="C1140" s="10" t="s">
        <v>48</v>
      </c>
      <c r="D1140" s="10" t="s">
        <v>453</v>
      </c>
      <c r="E1140" s="10" t="s">
        <v>2342</v>
      </c>
      <c r="F1140" s="30" t="n">
        <v>42845</v>
      </c>
      <c r="G1140" s="30" t="n">
        <v>42850</v>
      </c>
      <c r="H1140" s="26" t="n">
        <f aca="false">G1140-F1140</f>
        <v>5</v>
      </c>
      <c r="I1140" s="10" t="n">
        <f aca="false">IF(E1140="Won",1,0)</f>
        <v>1</v>
      </c>
    </row>
    <row r="1141" customFormat="false" ht="15" hidden="false" customHeight="false" outlineLevel="0" collapsed="false">
      <c r="A1141" s="10" t="s">
        <v>3482</v>
      </c>
      <c r="B1141" s="10" t="s">
        <v>71</v>
      </c>
      <c r="C1141" s="10" t="s">
        <v>52</v>
      </c>
      <c r="D1141" s="10" t="s">
        <v>524</v>
      </c>
      <c r="E1141" s="10" t="s">
        <v>2342</v>
      </c>
      <c r="F1141" s="30" t="n">
        <v>42849</v>
      </c>
      <c r="G1141" s="30" t="n">
        <v>42850</v>
      </c>
      <c r="H1141" s="26" t="n">
        <f aca="false">G1141-F1141</f>
        <v>1</v>
      </c>
      <c r="I1141" s="10" t="n">
        <f aca="false">IF(E1141="Won",1,0)</f>
        <v>1</v>
      </c>
    </row>
    <row r="1142" customFormat="false" ht="15" hidden="false" customHeight="false" outlineLevel="0" collapsed="false">
      <c r="A1142" s="10" t="s">
        <v>3483</v>
      </c>
      <c r="B1142" s="10" t="s">
        <v>90</v>
      </c>
      <c r="C1142" s="10" t="s">
        <v>48</v>
      </c>
      <c r="D1142" s="10" t="s">
        <v>455</v>
      </c>
      <c r="E1142" s="10" t="s">
        <v>2342</v>
      </c>
      <c r="F1142" s="30" t="n">
        <v>42849</v>
      </c>
      <c r="G1142" s="30" t="n">
        <v>42850</v>
      </c>
      <c r="H1142" s="26" t="n">
        <f aca="false">G1142-F1142</f>
        <v>1</v>
      </c>
      <c r="I1142" s="10" t="n">
        <f aca="false">IF(E1142="Won",1,0)</f>
        <v>1</v>
      </c>
    </row>
    <row r="1143" customFormat="false" ht="15" hidden="false" customHeight="false" outlineLevel="0" collapsed="false">
      <c r="A1143" s="10" t="s">
        <v>3484</v>
      </c>
      <c r="B1143" s="10" t="s">
        <v>80</v>
      </c>
      <c r="C1143" s="10" t="s">
        <v>51</v>
      </c>
      <c r="D1143" s="10" t="s">
        <v>536</v>
      </c>
      <c r="E1143" s="10" t="s">
        <v>2342</v>
      </c>
      <c r="F1143" s="30" t="n">
        <v>42839</v>
      </c>
      <c r="G1143" s="30" t="n">
        <v>42850</v>
      </c>
      <c r="H1143" s="26" t="n">
        <f aca="false">G1143-F1143</f>
        <v>11</v>
      </c>
      <c r="I1143" s="10" t="n">
        <f aca="false">IF(E1143="Won",1,0)</f>
        <v>1</v>
      </c>
    </row>
    <row r="1144" customFormat="false" ht="15" hidden="false" customHeight="false" outlineLevel="0" collapsed="false">
      <c r="A1144" s="10" t="s">
        <v>3485</v>
      </c>
      <c r="B1144" s="10" t="s">
        <v>77</v>
      </c>
      <c r="C1144" s="10" t="s">
        <v>50</v>
      </c>
      <c r="D1144" s="10" t="s">
        <v>414</v>
      </c>
      <c r="E1144" s="10" t="s">
        <v>2342</v>
      </c>
      <c r="F1144" s="30" t="n">
        <v>42842</v>
      </c>
      <c r="G1144" s="30" t="n">
        <v>42850</v>
      </c>
      <c r="H1144" s="26" t="n">
        <f aca="false">G1144-F1144</f>
        <v>8</v>
      </c>
      <c r="I1144" s="10" t="n">
        <f aca="false">IF(E1144="Won",1,0)</f>
        <v>1</v>
      </c>
    </row>
    <row r="1145" customFormat="false" ht="15" hidden="false" customHeight="false" outlineLevel="0" collapsed="false">
      <c r="A1145" s="10" t="s">
        <v>3486</v>
      </c>
      <c r="B1145" s="10" t="s">
        <v>96</v>
      </c>
      <c r="C1145" s="10" t="s">
        <v>50</v>
      </c>
      <c r="D1145" s="10" t="s">
        <v>326</v>
      </c>
      <c r="E1145" s="10" t="s">
        <v>2342</v>
      </c>
      <c r="F1145" s="30" t="n">
        <v>42850</v>
      </c>
      <c r="G1145" s="30" t="n">
        <v>42851</v>
      </c>
      <c r="H1145" s="26" t="n">
        <f aca="false">G1145-F1145</f>
        <v>1</v>
      </c>
      <c r="I1145" s="10" t="n">
        <f aca="false">IF(E1145="Won",1,0)</f>
        <v>1</v>
      </c>
    </row>
    <row r="1146" customFormat="false" ht="15" hidden="false" customHeight="false" outlineLevel="0" collapsed="false">
      <c r="A1146" s="10" t="s">
        <v>3487</v>
      </c>
      <c r="B1146" s="10" t="s">
        <v>63</v>
      </c>
      <c r="C1146" s="10" t="s">
        <v>48</v>
      </c>
      <c r="D1146" s="10" t="s">
        <v>464</v>
      </c>
      <c r="E1146" s="10" t="s">
        <v>2345</v>
      </c>
      <c r="F1146" s="30" t="n">
        <v>42838</v>
      </c>
      <c r="G1146" s="30" t="n">
        <v>42851</v>
      </c>
      <c r="H1146" s="26" t="n">
        <f aca="false">G1146-F1146</f>
        <v>13</v>
      </c>
      <c r="I1146" s="10" t="n">
        <f aca="false">IF(E1146="Won",1,0)</f>
        <v>0</v>
      </c>
    </row>
    <row r="1147" customFormat="false" ht="15" hidden="false" customHeight="false" outlineLevel="0" collapsed="false">
      <c r="A1147" s="10" t="s">
        <v>3488</v>
      </c>
      <c r="B1147" s="10" t="s">
        <v>95</v>
      </c>
      <c r="C1147" s="10" t="s">
        <v>51</v>
      </c>
      <c r="D1147" s="10" t="s">
        <v>299</v>
      </c>
      <c r="E1147" s="10" t="s">
        <v>2342</v>
      </c>
      <c r="F1147" s="30" t="n">
        <v>42843</v>
      </c>
      <c r="G1147" s="30" t="n">
        <v>42851</v>
      </c>
      <c r="H1147" s="26" t="n">
        <f aca="false">G1147-F1147</f>
        <v>8</v>
      </c>
      <c r="I1147" s="10" t="n">
        <f aca="false">IF(E1147="Won",1,0)</f>
        <v>1</v>
      </c>
    </row>
    <row r="1148" customFormat="false" ht="15" hidden="false" customHeight="false" outlineLevel="0" collapsed="false">
      <c r="A1148" s="10" t="s">
        <v>3489</v>
      </c>
      <c r="B1148" s="10" t="s">
        <v>62</v>
      </c>
      <c r="C1148" s="10" t="s">
        <v>52</v>
      </c>
      <c r="D1148" s="10" t="s">
        <v>674</v>
      </c>
      <c r="E1148" s="10" t="s">
        <v>2345</v>
      </c>
      <c r="F1148" s="30" t="n">
        <v>42842</v>
      </c>
      <c r="G1148" s="30" t="n">
        <v>42851</v>
      </c>
      <c r="H1148" s="26" t="n">
        <f aca="false">G1148-F1148</f>
        <v>9</v>
      </c>
      <c r="I1148" s="10" t="n">
        <f aca="false">IF(E1148="Won",1,0)</f>
        <v>0</v>
      </c>
    </row>
    <row r="1149" customFormat="false" ht="15" hidden="false" customHeight="false" outlineLevel="0" collapsed="false">
      <c r="A1149" s="10" t="s">
        <v>3490</v>
      </c>
      <c r="B1149" s="10" t="s">
        <v>74</v>
      </c>
      <c r="C1149" s="10" t="s">
        <v>50</v>
      </c>
      <c r="D1149" s="10" t="s">
        <v>388</v>
      </c>
      <c r="E1149" s="10" t="s">
        <v>2345</v>
      </c>
      <c r="F1149" s="30" t="n">
        <v>42843</v>
      </c>
      <c r="G1149" s="30" t="n">
        <v>42851</v>
      </c>
      <c r="H1149" s="26" t="n">
        <f aca="false">G1149-F1149</f>
        <v>8</v>
      </c>
      <c r="I1149" s="10" t="n">
        <f aca="false">IF(E1149="Won",1,0)</f>
        <v>0</v>
      </c>
    </row>
    <row r="1150" customFormat="false" ht="15" hidden="false" customHeight="false" outlineLevel="0" collapsed="false">
      <c r="A1150" s="10" t="s">
        <v>3491</v>
      </c>
      <c r="B1150" s="10" t="s">
        <v>96</v>
      </c>
      <c r="C1150" s="10" t="s">
        <v>51</v>
      </c>
      <c r="D1150" s="10" t="s">
        <v>233</v>
      </c>
      <c r="E1150" s="10" t="s">
        <v>2345</v>
      </c>
      <c r="F1150" s="30" t="n">
        <v>42849</v>
      </c>
      <c r="G1150" s="30" t="n">
        <v>42851</v>
      </c>
      <c r="H1150" s="26" t="n">
        <f aca="false">G1150-F1150</f>
        <v>2</v>
      </c>
      <c r="I1150" s="10" t="n">
        <f aca="false">IF(E1150="Won",1,0)</f>
        <v>0</v>
      </c>
    </row>
    <row r="1151" customFormat="false" ht="15" hidden="false" customHeight="false" outlineLevel="0" collapsed="false">
      <c r="A1151" s="10" t="s">
        <v>3492</v>
      </c>
      <c r="B1151" s="10" t="s">
        <v>80</v>
      </c>
      <c r="C1151" s="10" t="s">
        <v>51</v>
      </c>
      <c r="D1151" s="10" t="s">
        <v>762</v>
      </c>
      <c r="E1151" s="10" t="s">
        <v>2342</v>
      </c>
      <c r="F1151" s="30" t="n">
        <v>42849</v>
      </c>
      <c r="G1151" s="30" t="n">
        <v>42851</v>
      </c>
      <c r="H1151" s="26" t="n">
        <f aca="false">G1151-F1151</f>
        <v>2</v>
      </c>
      <c r="I1151" s="10" t="n">
        <f aca="false">IF(E1151="Won",1,0)</f>
        <v>1</v>
      </c>
    </row>
    <row r="1152" customFormat="false" ht="15" hidden="false" customHeight="false" outlineLevel="0" collapsed="false">
      <c r="A1152" s="10" t="s">
        <v>3493</v>
      </c>
      <c r="B1152" s="10" t="s">
        <v>71</v>
      </c>
      <c r="C1152" s="10" t="s">
        <v>52</v>
      </c>
      <c r="D1152" s="10" t="s">
        <v>414</v>
      </c>
      <c r="E1152" s="10" t="s">
        <v>2342</v>
      </c>
      <c r="F1152" s="30" t="n">
        <v>42842</v>
      </c>
      <c r="G1152" s="30" t="n">
        <v>42851</v>
      </c>
      <c r="H1152" s="26" t="n">
        <f aca="false">G1152-F1152</f>
        <v>9</v>
      </c>
      <c r="I1152" s="10" t="n">
        <f aca="false">IF(E1152="Won",1,0)</f>
        <v>1</v>
      </c>
    </row>
    <row r="1153" customFormat="false" ht="15" hidden="false" customHeight="false" outlineLevel="0" collapsed="false">
      <c r="A1153" s="10" t="s">
        <v>3494</v>
      </c>
      <c r="B1153" s="10" t="s">
        <v>77</v>
      </c>
      <c r="C1153" s="10" t="s">
        <v>49</v>
      </c>
      <c r="D1153" s="10" t="s">
        <v>369</v>
      </c>
      <c r="E1153" s="10" t="s">
        <v>2342</v>
      </c>
      <c r="F1153" s="30" t="n">
        <v>42846</v>
      </c>
      <c r="G1153" s="30" t="n">
        <v>42851</v>
      </c>
      <c r="H1153" s="26" t="n">
        <f aca="false">G1153-F1153</f>
        <v>5</v>
      </c>
      <c r="I1153" s="10" t="n">
        <f aca="false">IF(E1153="Won",1,0)</f>
        <v>1</v>
      </c>
    </row>
    <row r="1154" customFormat="false" ht="15" hidden="false" customHeight="false" outlineLevel="0" collapsed="false">
      <c r="A1154" s="10" t="s">
        <v>3495</v>
      </c>
      <c r="B1154" s="10" t="s">
        <v>95</v>
      </c>
      <c r="C1154" s="10" t="s">
        <v>48</v>
      </c>
      <c r="D1154" s="10" t="s">
        <v>337</v>
      </c>
      <c r="E1154" s="10" t="s">
        <v>2342</v>
      </c>
      <c r="F1154" s="30" t="n">
        <v>42848</v>
      </c>
      <c r="G1154" s="30" t="n">
        <v>42851</v>
      </c>
      <c r="H1154" s="26" t="n">
        <f aca="false">G1154-F1154</f>
        <v>3</v>
      </c>
      <c r="I1154" s="10" t="n">
        <f aca="false">IF(E1154="Won",1,0)</f>
        <v>1</v>
      </c>
    </row>
    <row r="1155" customFormat="false" ht="15" hidden="false" customHeight="false" outlineLevel="0" collapsed="false">
      <c r="A1155" s="10" t="s">
        <v>3496</v>
      </c>
      <c r="B1155" s="10" t="s">
        <v>69</v>
      </c>
      <c r="C1155" s="10" t="s">
        <v>52</v>
      </c>
      <c r="D1155" s="10" t="s">
        <v>170</v>
      </c>
      <c r="E1155" s="10" t="s">
        <v>2345</v>
      </c>
      <c r="F1155" s="30" t="n">
        <v>42842</v>
      </c>
      <c r="G1155" s="30" t="n">
        <v>42852</v>
      </c>
      <c r="H1155" s="26" t="n">
        <f aca="false">G1155-F1155</f>
        <v>10</v>
      </c>
      <c r="I1155" s="10" t="n">
        <f aca="false">IF(E1155="Won",1,0)</f>
        <v>0</v>
      </c>
    </row>
    <row r="1156" customFormat="false" ht="15" hidden="false" customHeight="false" outlineLevel="0" collapsed="false">
      <c r="A1156" s="10" t="s">
        <v>3497</v>
      </c>
      <c r="B1156" s="10" t="s">
        <v>97</v>
      </c>
      <c r="C1156" s="10" t="s">
        <v>47</v>
      </c>
      <c r="D1156" s="10" t="s">
        <v>199</v>
      </c>
      <c r="E1156" s="10" t="s">
        <v>2345</v>
      </c>
      <c r="F1156" s="30" t="n">
        <v>42849</v>
      </c>
      <c r="G1156" s="30" t="n">
        <v>42852</v>
      </c>
      <c r="H1156" s="26" t="n">
        <f aca="false">G1156-F1156</f>
        <v>3</v>
      </c>
      <c r="I1156" s="10" t="n">
        <f aca="false">IF(E1156="Won",1,0)</f>
        <v>0</v>
      </c>
    </row>
    <row r="1157" customFormat="false" ht="15" hidden="false" customHeight="false" outlineLevel="0" collapsed="false">
      <c r="A1157" s="10" t="s">
        <v>3498</v>
      </c>
      <c r="B1157" s="10" t="s">
        <v>84</v>
      </c>
      <c r="C1157" s="10" t="s">
        <v>51</v>
      </c>
      <c r="D1157" s="10" t="s">
        <v>293</v>
      </c>
      <c r="E1157" s="10" t="s">
        <v>2342</v>
      </c>
      <c r="F1157" s="30" t="n">
        <v>42850</v>
      </c>
      <c r="G1157" s="30" t="n">
        <v>42852</v>
      </c>
      <c r="H1157" s="26" t="n">
        <f aca="false">G1157-F1157</f>
        <v>2</v>
      </c>
      <c r="I1157" s="10" t="n">
        <f aca="false">IF(E1157="Won",1,0)</f>
        <v>1</v>
      </c>
    </row>
    <row r="1158" customFormat="false" ht="15" hidden="false" customHeight="false" outlineLevel="0" collapsed="false">
      <c r="A1158" s="10" t="s">
        <v>3499</v>
      </c>
      <c r="B1158" s="10" t="s">
        <v>86</v>
      </c>
      <c r="C1158" s="10" t="s">
        <v>48</v>
      </c>
      <c r="D1158" s="10" t="s">
        <v>293</v>
      </c>
      <c r="E1158" s="10" t="s">
        <v>2342</v>
      </c>
      <c r="F1158" s="30" t="n">
        <v>42841</v>
      </c>
      <c r="G1158" s="30" t="n">
        <v>42852</v>
      </c>
      <c r="H1158" s="26" t="n">
        <f aca="false">G1158-F1158</f>
        <v>11</v>
      </c>
      <c r="I1158" s="10" t="n">
        <f aca="false">IF(E1158="Won",1,0)</f>
        <v>1</v>
      </c>
    </row>
    <row r="1159" customFormat="false" ht="15" hidden="false" customHeight="false" outlineLevel="0" collapsed="false">
      <c r="A1159" s="10" t="s">
        <v>3500</v>
      </c>
      <c r="B1159" s="10" t="s">
        <v>90</v>
      </c>
      <c r="C1159" s="10" t="s">
        <v>47</v>
      </c>
      <c r="D1159" s="10" t="s">
        <v>455</v>
      </c>
      <c r="E1159" s="10" t="s">
        <v>2345</v>
      </c>
      <c r="F1159" s="30" t="n">
        <v>42845</v>
      </c>
      <c r="G1159" s="30" t="n">
        <v>42852</v>
      </c>
      <c r="H1159" s="26" t="n">
        <f aca="false">G1159-F1159</f>
        <v>7</v>
      </c>
      <c r="I1159" s="10" t="n">
        <f aca="false">IF(E1159="Won",1,0)</f>
        <v>0</v>
      </c>
    </row>
    <row r="1160" customFormat="false" ht="15" hidden="false" customHeight="false" outlineLevel="0" collapsed="false">
      <c r="A1160" s="10" t="s">
        <v>3501</v>
      </c>
      <c r="B1160" s="10" t="s">
        <v>95</v>
      </c>
      <c r="C1160" s="10" t="s">
        <v>48</v>
      </c>
      <c r="D1160" s="10" t="s">
        <v>432</v>
      </c>
      <c r="E1160" s="10" t="s">
        <v>2345</v>
      </c>
      <c r="F1160" s="30" t="n">
        <v>42850</v>
      </c>
      <c r="G1160" s="30" t="n">
        <v>42852</v>
      </c>
      <c r="H1160" s="26" t="n">
        <f aca="false">G1160-F1160</f>
        <v>2</v>
      </c>
      <c r="I1160" s="10" t="n">
        <f aca="false">IF(E1160="Won",1,0)</f>
        <v>0</v>
      </c>
    </row>
    <row r="1161" customFormat="false" ht="15" hidden="false" customHeight="false" outlineLevel="0" collapsed="false">
      <c r="A1161" s="10" t="s">
        <v>3502</v>
      </c>
      <c r="B1161" s="10" t="s">
        <v>71</v>
      </c>
      <c r="C1161" s="10" t="s">
        <v>52</v>
      </c>
      <c r="D1161" s="10" t="s">
        <v>353</v>
      </c>
      <c r="E1161" s="10" t="s">
        <v>2342</v>
      </c>
      <c r="F1161" s="30" t="n">
        <v>42843</v>
      </c>
      <c r="G1161" s="30" t="n">
        <v>42852</v>
      </c>
      <c r="H1161" s="26" t="n">
        <f aca="false">G1161-F1161</f>
        <v>9</v>
      </c>
      <c r="I1161" s="10" t="n">
        <f aca="false">IF(E1161="Won",1,0)</f>
        <v>1</v>
      </c>
    </row>
    <row r="1162" customFormat="false" ht="15" hidden="false" customHeight="false" outlineLevel="0" collapsed="false">
      <c r="A1162" s="10" t="s">
        <v>3503</v>
      </c>
      <c r="B1162" s="10" t="s">
        <v>76</v>
      </c>
      <c r="C1162" s="10" t="s">
        <v>49</v>
      </c>
      <c r="D1162" s="10" t="s">
        <v>762</v>
      </c>
      <c r="E1162" s="10" t="s">
        <v>2345</v>
      </c>
      <c r="F1162" s="30" t="n">
        <v>42850</v>
      </c>
      <c r="G1162" s="30" t="n">
        <v>42852</v>
      </c>
      <c r="H1162" s="26" t="n">
        <f aca="false">G1162-F1162</f>
        <v>2</v>
      </c>
      <c r="I1162" s="10" t="n">
        <f aca="false">IF(E1162="Won",1,0)</f>
        <v>0</v>
      </c>
    </row>
    <row r="1163" customFormat="false" ht="15" hidden="false" customHeight="false" outlineLevel="0" collapsed="false">
      <c r="A1163" s="10" t="s">
        <v>3504</v>
      </c>
      <c r="B1163" s="10" t="s">
        <v>97</v>
      </c>
      <c r="C1163" s="10" t="s">
        <v>51</v>
      </c>
      <c r="D1163" s="10" t="s">
        <v>313</v>
      </c>
      <c r="E1163" s="10" t="s">
        <v>2342</v>
      </c>
      <c r="F1163" s="30" t="n">
        <v>42850</v>
      </c>
      <c r="G1163" s="30" t="n">
        <v>42852</v>
      </c>
      <c r="H1163" s="26" t="n">
        <f aca="false">G1163-F1163</f>
        <v>2</v>
      </c>
      <c r="I1163" s="10" t="n">
        <f aca="false">IF(E1163="Won",1,0)</f>
        <v>1</v>
      </c>
    </row>
    <row r="1164" customFormat="false" ht="15" hidden="false" customHeight="false" outlineLevel="0" collapsed="false">
      <c r="A1164" s="10" t="s">
        <v>3505</v>
      </c>
      <c r="B1164" s="10" t="s">
        <v>74</v>
      </c>
      <c r="C1164" s="10" t="s">
        <v>51</v>
      </c>
      <c r="D1164" s="10" t="s">
        <v>311</v>
      </c>
      <c r="E1164" s="10" t="s">
        <v>2342</v>
      </c>
      <c r="F1164" s="30" t="n">
        <v>42851</v>
      </c>
      <c r="G1164" s="30" t="n">
        <v>42852</v>
      </c>
      <c r="H1164" s="26" t="n">
        <f aca="false">G1164-F1164</f>
        <v>1</v>
      </c>
      <c r="I1164" s="10" t="n">
        <f aca="false">IF(E1164="Won",1,0)</f>
        <v>1</v>
      </c>
    </row>
    <row r="1165" customFormat="false" ht="15" hidden="false" customHeight="false" outlineLevel="0" collapsed="false">
      <c r="A1165" s="10" t="s">
        <v>3506</v>
      </c>
      <c r="B1165" s="10" t="s">
        <v>70</v>
      </c>
      <c r="C1165" s="10" t="s">
        <v>48</v>
      </c>
      <c r="D1165" s="10" t="s">
        <v>299</v>
      </c>
      <c r="E1165" s="10" t="s">
        <v>2342</v>
      </c>
      <c r="F1165" s="30" t="n">
        <v>42851</v>
      </c>
      <c r="G1165" s="30" t="n">
        <v>42852</v>
      </c>
      <c r="H1165" s="26" t="n">
        <f aca="false">G1165-F1165</f>
        <v>1</v>
      </c>
      <c r="I1165" s="10" t="n">
        <f aca="false">IF(E1165="Won",1,0)</f>
        <v>1</v>
      </c>
    </row>
    <row r="1166" customFormat="false" ht="15" hidden="false" customHeight="false" outlineLevel="0" collapsed="false">
      <c r="A1166" s="10" t="s">
        <v>3507</v>
      </c>
      <c r="B1166" s="10" t="s">
        <v>76</v>
      </c>
      <c r="C1166" s="10" t="s">
        <v>47</v>
      </c>
      <c r="D1166" s="10" t="s">
        <v>388</v>
      </c>
      <c r="E1166" s="10" t="s">
        <v>2342</v>
      </c>
      <c r="F1166" s="30" t="n">
        <v>42845</v>
      </c>
      <c r="G1166" s="30" t="n">
        <v>42852</v>
      </c>
      <c r="H1166" s="26" t="n">
        <f aca="false">G1166-F1166</f>
        <v>7</v>
      </c>
      <c r="I1166" s="10" t="n">
        <f aca="false">IF(E1166="Won",1,0)</f>
        <v>1</v>
      </c>
    </row>
    <row r="1167" customFormat="false" ht="15" hidden="false" customHeight="false" outlineLevel="0" collapsed="false">
      <c r="A1167" s="10" t="s">
        <v>3508</v>
      </c>
      <c r="B1167" s="10" t="s">
        <v>88</v>
      </c>
      <c r="C1167" s="10" t="s">
        <v>48</v>
      </c>
      <c r="D1167" s="10" t="s">
        <v>405</v>
      </c>
      <c r="E1167" s="10" t="s">
        <v>2342</v>
      </c>
      <c r="F1167" s="30" t="n">
        <v>42846</v>
      </c>
      <c r="G1167" s="30" t="n">
        <v>42852</v>
      </c>
      <c r="H1167" s="26" t="n">
        <f aca="false">G1167-F1167</f>
        <v>6</v>
      </c>
      <c r="I1167" s="10" t="n">
        <f aca="false">IF(E1167="Won",1,0)</f>
        <v>1</v>
      </c>
    </row>
    <row r="1168" customFormat="false" ht="15" hidden="false" customHeight="false" outlineLevel="0" collapsed="false">
      <c r="A1168" s="10" t="s">
        <v>3509</v>
      </c>
      <c r="B1168" s="10" t="s">
        <v>80</v>
      </c>
      <c r="C1168" s="10" t="s">
        <v>52</v>
      </c>
      <c r="D1168" s="10" t="s">
        <v>279</v>
      </c>
      <c r="E1168" s="10" t="s">
        <v>2342</v>
      </c>
      <c r="F1168" s="30" t="n">
        <v>42845</v>
      </c>
      <c r="G1168" s="30" t="n">
        <v>42852</v>
      </c>
      <c r="H1168" s="26" t="n">
        <f aca="false">G1168-F1168</f>
        <v>7</v>
      </c>
      <c r="I1168" s="10" t="n">
        <f aca="false">IF(E1168="Won",1,0)</f>
        <v>1</v>
      </c>
    </row>
    <row r="1169" customFormat="false" ht="15" hidden="false" customHeight="false" outlineLevel="0" collapsed="false">
      <c r="A1169" s="10" t="s">
        <v>3510</v>
      </c>
      <c r="B1169" s="10" t="s">
        <v>96</v>
      </c>
      <c r="C1169" s="10" t="s">
        <v>50</v>
      </c>
      <c r="D1169" s="10" t="s">
        <v>348</v>
      </c>
      <c r="E1169" s="10" t="s">
        <v>2345</v>
      </c>
      <c r="F1169" s="30" t="n">
        <v>42844</v>
      </c>
      <c r="G1169" s="30" t="n">
        <v>42852</v>
      </c>
      <c r="H1169" s="26" t="n">
        <f aca="false">G1169-F1169</f>
        <v>8</v>
      </c>
      <c r="I1169" s="10" t="n">
        <f aca="false">IF(E1169="Won",1,0)</f>
        <v>0</v>
      </c>
    </row>
    <row r="1170" customFormat="false" ht="15" hidden="false" customHeight="false" outlineLevel="0" collapsed="false">
      <c r="A1170" s="10" t="s">
        <v>3511</v>
      </c>
      <c r="B1170" s="10" t="s">
        <v>77</v>
      </c>
      <c r="C1170" s="10" t="s">
        <v>48</v>
      </c>
      <c r="D1170" s="10" t="s">
        <v>311</v>
      </c>
      <c r="E1170" s="10" t="s">
        <v>2345</v>
      </c>
      <c r="F1170" s="30" t="n">
        <v>42846</v>
      </c>
      <c r="G1170" s="30" t="n">
        <v>42852</v>
      </c>
      <c r="H1170" s="26" t="n">
        <f aca="false">G1170-F1170</f>
        <v>6</v>
      </c>
      <c r="I1170" s="10" t="n">
        <f aca="false">IF(E1170="Won",1,0)</f>
        <v>0</v>
      </c>
    </row>
    <row r="1171" customFormat="false" ht="15" hidden="false" customHeight="false" outlineLevel="0" collapsed="false">
      <c r="A1171" s="10" t="s">
        <v>3512</v>
      </c>
      <c r="B1171" s="10" t="s">
        <v>96</v>
      </c>
      <c r="C1171" s="10" t="s">
        <v>51</v>
      </c>
      <c r="D1171" s="10" t="s">
        <v>396</v>
      </c>
      <c r="E1171" s="10" t="s">
        <v>2342</v>
      </c>
      <c r="F1171" s="30" t="n">
        <v>42845</v>
      </c>
      <c r="G1171" s="30" t="n">
        <v>42852</v>
      </c>
      <c r="H1171" s="26" t="n">
        <f aca="false">G1171-F1171</f>
        <v>7</v>
      </c>
      <c r="I1171" s="10" t="n">
        <f aca="false">IF(E1171="Won",1,0)</f>
        <v>1</v>
      </c>
    </row>
    <row r="1172" customFormat="false" ht="15" hidden="false" customHeight="false" outlineLevel="0" collapsed="false">
      <c r="A1172" s="10" t="s">
        <v>3513</v>
      </c>
      <c r="B1172" s="10" t="s">
        <v>90</v>
      </c>
      <c r="C1172" s="10" t="s">
        <v>52</v>
      </c>
      <c r="D1172" s="10" t="s">
        <v>215</v>
      </c>
      <c r="E1172" s="10" t="s">
        <v>2342</v>
      </c>
      <c r="F1172" s="30" t="n">
        <v>42844</v>
      </c>
      <c r="G1172" s="30" t="n">
        <v>42852</v>
      </c>
      <c r="H1172" s="26" t="n">
        <f aca="false">G1172-F1172</f>
        <v>8</v>
      </c>
      <c r="I1172" s="10" t="n">
        <f aca="false">IF(E1172="Won",1,0)</f>
        <v>1</v>
      </c>
    </row>
    <row r="1173" customFormat="false" ht="15" hidden="false" customHeight="false" outlineLevel="0" collapsed="false">
      <c r="A1173" s="10" t="s">
        <v>3514</v>
      </c>
      <c r="B1173" s="10" t="s">
        <v>75</v>
      </c>
      <c r="C1173" s="10" t="s">
        <v>50</v>
      </c>
      <c r="D1173" s="10" t="s">
        <v>353</v>
      </c>
      <c r="E1173" s="10" t="s">
        <v>2342</v>
      </c>
      <c r="F1173" s="30" t="n">
        <v>42847</v>
      </c>
      <c r="G1173" s="30" t="n">
        <v>42852</v>
      </c>
      <c r="H1173" s="26" t="n">
        <f aca="false">G1173-F1173</f>
        <v>5</v>
      </c>
      <c r="I1173" s="10" t="n">
        <f aca="false">IF(E1173="Won",1,0)</f>
        <v>1</v>
      </c>
    </row>
    <row r="1174" customFormat="false" ht="15" hidden="false" customHeight="false" outlineLevel="0" collapsed="false">
      <c r="A1174" s="10" t="s">
        <v>3515</v>
      </c>
      <c r="B1174" s="10" t="s">
        <v>69</v>
      </c>
      <c r="C1174" s="10" t="s">
        <v>51</v>
      </c>
      <c r="D1174" s="10" t="s">
        <v>172</v>
      </c>
      <c r="E1174" s="10" t="s">
        <v>2342</v>
      </c>
      <c r="F1174" s="30" t="n">
        <v>42844</v>
      </c>
      <c r="G1174" s="30" t="n">
        <v>42853</v>
      </c>
      <c r="H1174" s="26" t="n">
        <f aca="false">G1174-F1174</f>
        <v>9</v>
      </c>
      <c r="I1174" s="10" t="n">
        <f aca="false">IF(E1174="Won",1,0)</f>
        <v>1</v>
      </c>
    </row>
    <row r="1175" customFormat="false" ht="15" hidden="false" customHeight="false" outlineLevel="0" collapsed="false">
      <c r="A1175" s="10" t="s">
        <v>3516</v>
      </c>
      <c r="B1175" s="10" t="s">
        <v>70</v>
      </c>
      <c r="C1175" s="10" t="s">
        <v>51</v>
      </c>
      <c r="D1175" s="10" t="s">
        <v>514</v>
      </c>
      <c r="E1175" s="10" t="s">
        <v>2345</v>
      </c>
      <c r="F1175" s="30" t="n">
        <v>42845</v>
      </c>
      <c r="G1175" s="30" t="n">
        <v>42853</v>
      </c>
      <c r="H1175" s="26" t="n">
        <f aca="false">G1175-F1175</f>
        <v>8</v>
      </c>
      <c r="I1175" s="10" t="n">
        <f aca="false">IF(E1175="Won",1,0)</f>
        <v>0</v>
      </c>
    </row>
    <row r="1176" customFormat="false" ht="15" hidden="false" customHeight="false" outlineLevel="0" collapsed="false">
      <c r="A1176" s="10" t="s">
        <v>3517</v>
      </c>
      <c r="B1176" s="10" t="s">
        <v>70</v>
      </c>
      <c r="C1176" s="10" t="s">
        <v>48</v>
      </c>
      <c r="D1176" s="10" t="s">
        <v>606</v>
      </c>
      <c r="E1176" s="10" t="s">
        <v>2342</v>
      </c>
      <c r="F1176" s="30" t="n">
        <v>42847</v>
      </c>
      <c r="G1176" s="30" t="n">
        <v>42853</v>
      </c>
      <c r="H1176" s="26" t="n">
        <f aca="false">G1176-F1176</f>
        <v>6</v>
      </c>
      <c r="I1176" s="10" t="n">
        <f aca="false">IF(E1176="Won",1,0)</f>
        <v>1</v>
      </c>
    </row>
    <row r="1177" customFormat="false" ht="15" hidden="false" customHeight="false" outlineLevel="0" collapsed="false">
      <c r="A1177" s="10" t="s">
        <v>3518</v>
      </c>
      <c r="B1177" s="10" t="s">
        <v>96</v>
      </c>
      <c r="C1177" s="10" t="s">
        <v>51</v>
      </c>
      <c r="D1177" s="10" t="s">
        <v>299</v>
      </c>
      <c r="E1177" s="10" t="s">
        <v>2342</v>
      </c>
      <c r="F1177" s="30" t="n">
        <v>42841</v>
      </c>
      <c r="G1177" s="30" t="n">
        <v>42853</v>
      </c>
      <c r="H1177" s="26" t="n">
        <f aca="false">G1177-F1177</f>
        <v>12</v>
      </c>
      <c r="I1177" s="10" t="n">
        <f aca="false">IF(E1177="Won",1,0)</f>
        <v>1</v>
      </c>
    </row>
    <row r="1178" customFormat="false" ht="15" hidden="false" customHeight="false" outlineLevel="0" collapsed="false">
      <c r="A1178" s="10" t="s">
        <v>3519</v>
      </c>
      <c r="B1178" s="10" t="s">
        <v>87</v>
      </c>
      <c r="C1178" s="10" t="s">
        <v>48</v>
      </c>
      <c r="D1178" s="10" t="s">
        <v>286</v>
      </c>
      <c r="E1178" s="10" t="s">
        <v>2342</v>
      </c>
      <c r="F1178" s="30" t="n">
        <v>42852</v>
      </c>
      <c r="G1178" s="30" t="n">
        <v>42853</v>
      </c>
      <c r="H1178" s="26" t="n">
        <f aca="false">G1178-F1178</f>
        <v>1</v>
      </c>
      <c r="I1178" s="10" t="n">
        <f aca="false">IF(E1178="Won",1,0)</f>
        <v>1</v>
      </c>
    </row>
    <row r="1179" customFormat="false" ht="15" hidden="false" customHeight="false" outlineLevel="0" collapsed="false">
      <c r="A1179" s="10" t="s">
        <v>3520</v>
      </c>
      <c r="B1179" s="10" t="s">
        <v>69</v>
      </c>
      <c r="C1179" s="10" t="s">
        <v>52</v>
      </c>
      <c r="D1179" s="10" t="s">
        <v>210</v>
      </c>
      <c r="E1179" s="10" t="s">
        <v>2342</v>
      </c>
      <c r="F1179" s="30" t="n">
        <v>42851</v>
      </c>
      <c r="G1179" s="30" t="n">
        <v>42853</v>
      </c>
      <c r="H1179" s="26" t="n">
        <f aca="false">G1179-F1179</f>
        <v>2</v>
      </c>
      <c r="I1179" s="10" t="n">
        <f aca="false">IF(E1179="Won",1,0)</f>
        <v>1</v>
      </c>
    </row>
    <row r="1180" customFormat="false" ht="15" hidden="false" customHeight="false" outlineLevel="0" collapsed="false">
      <c r="A1180" s="10" t="s">
        <v>3521</v>
      </c>
      <c r="B1180" s="10" t="s">
        <v>73</v>
      </c>
      <c r="C1180" s="10" t="s">
        <v>51</v>
      </c>
      <c r="D1180" s="10" t="s">
        <v>388</v>
      </c>
      <c r="E1180" s="10" t="s">
        <v>2345</v>
      </c>
      <c r="F1180" s="30" t="n">
        <v>42844</v>
      </c>
      <c r="G1180" s="30" t="n">
        <v>42853</v>
      </c>
      <c r="H1180" s="26" t="n">
        <f aca="false">G1180-F1180</f>
        <v>9</v>
      </c>
      <c r="I1180" s="10" t="n">
        <f aca="false">IF(E1180="Won",1,0)</f>
        <v>0</v>
      </c>
    </row>
    <row r="1181" customFormat="false" ht="15" hidden="false" customHeight="false" outlineLevel="0" collapsed="false">
      <c r="A1181" s="10" t="s">
        <v>3522</v>
      </c>
      <c r="B1181" s="10" t="s">
        <v>60</v>
      </c>
      <c r="C1181" s="10" t="s">
        <v>51</v>
      </c>
      <c r="D1181" s="10" t="s">
        <v>1334</v>
      </c>
      <c r="E1181" s="10" t="s">
        <v>2345</v>
      </c>
      <c r="F1181" s="30" t="n">
        <v>42844</v>
      </c>
      <c r="G1181" s="30" t="n">
        <v>42853</v>
      </c>
      <c r="H1181" s="26" t="n">
        <f aca="false">G1181-F1181</f>
        <v>9</v>
      </c>
      <c r="I1181" s="10" t="n">
        <f aca="false">IF(E1181="Won",1,0)</f>
        <v>0</v>
      </c>
    </row>
    <row r="1182" customFormat="false" ht="15" hidden="false" customHeight="false" outlineLevel="0" collapsed="false">
      <c r="A1182" s="10" t="s">
        <v>3523</v>
      </c>
      <c r="B1182" s="10" t="s">
        <v>62</v>
      </c>
      <c r="C1182" s="10" t="s">
        <v>50</v>
      </c>
      <c r="D1182" s="10" t="s">
        <v>453</v>
      </c>
      <c r="E1182" s="10" t="s">
        <v>2342</v>
      </c>
      <c r="F1182" s="30" t="n">
        <v>42852</v>
      </c>
      <c r="G1182" s="30" t="n">
        <v>42853</v>
      </c>
      <c r="H1182" s="26" t="n">
        <f aca="false">G1182-F1182</f>
        <v>1</v>
      </c>
      <c r="I1182" s="10" t="n">
        <f aca="false">IF(E1182="Won",1,0)</f>
        <v>1</v>
      </c>
    </row>
    <row r="1183" customFormat="false" ht="15" hidden="false" customHeight="false" outlineLevel="0" collapsed="false">
      <c r="A1183" s="10" t="s">
        <v>3524</v>
      </c>
      <c r="B1183" s="10" t="s">
        <v>86</v>
      </c>
      <c r="C1183" s="10" t="s">
        <v>48</v>
      </c>
      <c r="D1183" s="10" t="s">
        <v>277</v>
      </c>
      <c r="E1183" s="10" t="s">
        <v>2342</v>
      </c>
      <c r="F1183" s="30" t="n">
        <v>42847</v>
      </c>
      <c r="G1183" s="30" t="n">
        <v>42853</v>
      </c>
      <c r="H1183" s="26" t="n">
        <f aca="false">G1183-F1183</f>
        <v>6</v>
      </c>
      <c r="I1183" s="10" t="n">
        <f aca="false">IF(E1183="Won",1,0)</f>
        <v>1</v>
      </c>
    </row>
    <row r="1184" customFormat="false" ht="15" hidden="false" customHeight="false" outlineLevel="0" collapsed="false">
      <c r="A1184" s="10" t="s">
        <v>3525</v>
      </c>
      <c r="B1184" s="10" t="s">
        <v>94</v>
      </c>
      <c r="C1184" s="10" t="s">
        <v>48</v>
      </c>
      <c r="D1184" s="10" t="s">
        <v>326</v>
      </c>
      <c r="E1184" s="10" t="s">
        <v>2345</v>
      </c>
      <c r="F1184" s="30" t="n">
        <v>42851</v>
      </c>
      <c r="G1184" s="30" t="n">
        <v>42853</v>
      </c>
      <c r="H1184" s="26" t="n">
        <f aca="false">G1184-F1184</f>
        <v>2</v>
      </c>
      <c r="I1184" s="10" t="n">
        <f aca="false">IF(E1184="Won",1,0)</f>
        <v>0</v>
      </c>
    </row>
    <row r="1185" customFormat="false" ht="15" hidden="false" customHeight="false" outlineLevel="0" collapsed="false">
      <c r="A1185" s="10" t="s">
        <v>3526</v>
      </c>
      <c r="B1185" s="10" t="s">
        <v>94</v>
      </c>
      <c r="C1185" s="10" t="s">
        <v>50</v>
      </c>
      <c r="D1185" s="10" t="s">
        <v>384</v>
      </c>
      <c r="E1185" s="10" t="s">
        <v>2345</v>
      </c>
      <c r="F1185" s="30" t="n">
        <v>42851</v>
      </c>
      <c r="G1185" s="30" t="n">
        <v>42853</v>
      </c>
      <c r="H1185" s="26" t="n">
        <f aca="false">G1185-F1185</f>
        <v>2</v>
      </c>
      <c r="I1185" s="10" t="n">
        <f aca="false">IF(E1185="Won",1,0)</f>
        <v>0</v>
      </c>
    </row>
    <row r="1186" customFormat="false" ht="15" hidden="false" customHeight="false" outlineLevel="0" collapsed="false">
      <c r="A1186" s="10" t="s">
        <v>3527</v>
      </c>
      <c r="B1186" s="10" t="s">
        <v>93</v>
      </c>
      <c r="C1186" s="10" t="s">
        <v>52</v>
      </c>
      <c r="D1186" s="10" t="s">
        <v>497</v>
      </c>
      <c r="E1186" s="10" t="s">
        <v>2342</v>
      </c>
      <c r="F1186" s="30" t="n">
        <v>42851</v>
      </c>
      <c r="G1186" s="30" t="n">
        <v>42853</v>
      </c>
      <c r="H1186" s="26" t="n">
        <f aca="false">G1186-F1186</f>
        <v>2</v>
      </c>
      <c r="I1186" s="10" t="n">
        <f aca="false">IF(E1186="Won",1,0)</f>
        <v>1</v>
      </c>
    </row>
    <row r="1187" customFormat="false" ht="15" hidden="false" customHeight="false" outlineLevel="0" collapsed="false">
      <c r="A1187" s="10" t="s">
        <v>3528</v>
      </c>
      <c r="B1187" s="10" t="s">
        <v>94</v>
      </c>
      <c r="C1187" s="10" t="s">
        <v>51</v>
      </c>
      <c r="D1187" s="10" t="s">
        <v>506</v>
      </c>
      <c r="E1187" s="10" t="s">
        <v>2342</v>
      </c>
      <c r="F1187" s="30" t="n">
        <v>42845</v>
      </c>
      <c r="G1187" s="30" t="n">
        <v>42853</v>
      </c>
      <c r="H1187" s="26" t="n">
        <f aca="false">G1187-F1187</f>
        <v>8</v>
      </c>
      <c r="I1187" s="10" t="n">
        <f aca="false">IF(E1187="Won",1,0)</f>
        <v>1</v>
      </c>
    </row>
    <row r="1188" customFormat="false" ht="15" hidden="false" customHeight="false" outlineLevel="0" collapsed="false">
      <c r="A1188" s="10" t="s">
        <v>3529</v>
      </c>
      <c r="B1188" s="10" t="s">
        <v>69</v>
      </c>
      <c r="C1188" s="10" t="s">
        <v>52</v>
      </c>
      <c r="D1188" s="10" t="s">
        <v>168</v>
      </c>
      <c r="E1188" s="10" t="s">
        <v>2342</v>
      </c>
      <c r="F1188" s="30" t="n">
        <v>42847</v>
      </c>
      <c r="G1188" s="30" t="n">
        <v>42853</v>
      </c>
      <c r="H1188" s="26" t="n">
        <f aca="false">G1188-F1188</f>
        <v>6</v>
      </c>
      <c r="I1188" s="10" t="n">
        <f aca="false">IF(E1188="Won",1,0)</f>
        <v>1</v>
      </c>
    </row>
    <row r="1189" customFormat="false" ht="15" hidden="false" customHeight="false" outlineLevel="0" collapsed="false">
      <c r="A1189" s="10" t="s">
        <v>3530</v>
      </c>
      <c r="B1189" s="10" t="s">
        <v>81</v>
      </c>
      <c r="C1189" s="10" t="s">
        <v>52</v>
      </c>
      <c r="D1189" s="10" t="s">
        <v>369</v>
      </c>
      <c r="E1189" s="10" t="s">
        <v>2342</v>
      </c>
      <c r="F1189" s="30" t="n">
        <v>42845</v>
      </c>
      <c r="G1189" s="30" t="n">
        <v>42853</v>
      </c>
      <c r="H1189" s="26" t="n">
        <f aca="false">G1189-F1189</f>
        <v>8</v>
      </c>
      <c r="I1189" s="10" t="n">
        <f aca="false">IF(E1189="Won",1,0)</f>
        <v>1</v>
      </c>
    </row>
    <row r="1190" customFormat="false" ht="15" hidden="false" customHeight="false" outlineLevel="0" collapsed="false">
      <c r="A1190" s="10" t="s">
        <v>3531</v>
      </c>
      <c r="B1190" s="10" t="s">
        <v>77</v>
      </c>
      <c r="C1190" s="10" t="s">
        <v>51</v>
      </c>
      <c r="D1190" s="10" t="s">
        <v>527</v>
      </c>
      <c r="E1190" s="10" t="s">
        <v>2342</v>
      </c>
      <c r="F1190" s="30" t="n">
        <v>42845</v>
      </c>
      <c r="G1190" s="30" t="n">
        <v>42853</v>
      </c>
      <c r="H1190" s="26" t="n">
        <f aca="false">G1190-F1190</f>
        <v>8</v>
      </c>
      <c r="I1190" s="10" t="n">
        <f aca="false">IF(E1190="Won",1,0)</f>
        <v>1</v>
      </c>
    </row>
    <row r="1191" customFormat="false" ht="15" hidden="false" customHeight="false" outlineLevel="0" collapsed="false">
      <c r="A1191" s="10" t="s">
        <v>3532</v>
      </c>
      <c r="B1191" s="10" t="s">
        <v>97</v>
      </c>
      <c r="C1191" s="10" t="s">
        <v>47</v>
      </c>
      <c r="D1191" s="10" t="s">
        <v>419</v>
      </c>
      <c r="E1191" s="10" t="s">
        <v>2345</v>
      </c>
      <c r="F1191" s="30" t="n">
        <v>42848</v>
      </c>
      <c r="G1191" s="30" t="n">
        <v>42853</v>
      </c>
      <c r="H1191" s="26" t="n">
        <f aca="false">G1191-F1191</f>
        <v>5</v>
      </c>
      <c r="I1191" s="10" t="n">
        <f aca="false">IF(E1191="Won",1,0)</f>
        <v>0</v>
      </c>
    </row>
    <row r="1192" customFormat="false" ht="15" hidden="false" customHeight="false" outlineLevel="0" collapsed="false">
      <c r="A1192" s="10" t="s">
        <v>3533</v>
      </c>
      <c r="B1192" s="10" t="s">
        <v>84</v>
      </c>
      <c r="C1192" s="10" t="s">
        <v>51</v>
      </c>
      <c r="D1192" s="10" t="s">
        <v>1118</v>
      </c>
      <c r="E1192" s="10" t="s">
        <v>2345</v>
      </c>
      <c r="F1192" s="30" t="n">
        <v>42851</v>
      </c>
      <c r="G1192" s="30" t="n">
        <v>42853</v>
      </c>
      <c r="H1192" s="26" t="n">
        <f aca="false">G1192-F1192</f>
        <v>2</v>
      </c>
      <c r="I1192" s="10" t="n">
        <f aca="false">IF(E1192="Won",1,0)</f>
        <v>0</v>
      </c>
    </row>
    <row r="1193" customFormat="false" ht="15" hidden="false" customHeight="false" outlineLevel="0" collapsed="false">
      <c r="A1193" s="10" t="s">
        <v>3534</v>
      </c>
      <c r="B1193" s="10" t="s">
        <v>66</v>
      </c>
      <c r="C1193" s="10" t="s">
        <v>52</v>
      </c>
      <c r="D1193" s="10" t="s">
        <v>514</v>
      </c>
      <c r="E1193" s="10" t="s">
        <v>2342</v>
      </c>
      <c r="F1193" s="30" t="n">
        <v>42851</v>
      </c>
      <c r="G1193" s="30" t="n">
        <v>42853</v>
      </c>
      <c r="H1193" s="26" t="n">
        <f aca="false">G1193-F1193</f>
        <v>2</v>
      </c>
      <c r="I1193" s="10" t="n">
        <f aca="false">IF(E1193="Won",1,0)</f>
        <v>1</v>
      </c>
    </row>
    <row r="1194" customFormat="false" ht="15" hidden="false" customHeight="false" outlineLevel="0" collapsed="false">
      <c r="A1194" s="10" t="s">
        <v>3535</v>
      </c>
      <c r="B1194" s="10" t="s">
        <v>77</v>
      </c>
      <c r="C1194" s="10" t="s">
        <v>47</v>
      </c>
      <c r="D1194" s="10" t="s">
        <v>1251</v>
      </c>
      <c r="E1194" s="10" t="s">
        <v>2342</v>
      </c>
      <c r="F1194" s="30" t="n">
        <v>42849</v>
      </c>
      <c r="G1194" s="30" t="n">
        <v>42854</v>
      </c>
      <c r="H1194" s="26" t="n">
        <f aca="false">G1194-F1194</f>
        <v>5</v>
      </c>
      <c r="I1194" s="10" t="n">
        <f aca="false">IF(E1194="Won",1,0)</f>
        <v>1</v>
      </c>
    </row>
    <row r="1195" customFormat="false" ht="15" hidden="false" customHeight="false" outlineLevel="0" collapsed="false">
      <c r="A1195" s="10" t="s">
        <v>3536</v>
      </c>
      <c r="B1195" s="10" t="s">
        <v>95</v>
      </c>
      <c r="C1195" s="10" t="s">
        <v>51</v>
      </c>
      <c r="D1195" s="10" t="s">
        <v>986</v>
      </c>
      <c r="E1195" s="10" t="s">
        <v>2342</v>
      </c>
      <c r="F1195" s="30" t="n">
        <v>42848</v>
      </c>
      <c r="G1195" s="30" t="n">
        <v>42854</v>
      </c>
      <c r="H1195" s="26" t="n">
        <f aca="false">G1195-F1195</f>
        <v>6</v>
      </c>
      <c r="I1195" s="10" t="n">
        <f aca="false">IF(E1195="Won",1,0)</f>
        <v>1</v>
      </c>
    </row>
    <row r="1196" customFormat="false" ht="15" hidden="false" customHeight="false" outlineLevel="0" collapsed="false">
      <c r="A1196" s="10" t="s">
        <v>3537</v>
      </c>
      <c r="B1196" s="10" t="s">
        <v>76</v>
      </c>
      <c r="C1196" s="10" t="s">
        <v>52</v>
      </c>
      <c r="D1196" s="10" t="s">
        <v>193</v>
      </c>
      <c r="E1196" s="10" t="s">
        <v>2342</v>
      </c>
      <c r="F1196" s="30" t="n">
        <v>42852</v>
      </c>
      <c r="G1196" s="30" t="n">
        <v>42854</v>
      </c>
      <c r="H1196" s="26" t="n">
        <f aca="false">G1196-F1196</f>
        <v>2</v>
      </c>
      <c r="I1196" s="10" t="n">
        <f aca="false">IF(E1196="Won",1,0)</f>
        <v>1</v>
      </c>
    </row>
    <row r="1197" customFormat="false" ht="15" hidden="false" customHeight="false" outlineLevel="0" collapsed="false">
      <c r="A1197" s="10" t="s">
        <v>3538</v>
      </c>
      <c r="B1197" s="10" t="s">
        <v>77</v>
      </c>
      <c r="C1197" s="10" t="s">
        <v>51</v>
      </c>
      <c r="D1197" s="10" t="s">
        <v>179</v>
      </c>
      <c r="E1197" s="10" t="s">
        <v>2345</v>
      </c>
      <c r="F1197" s="30" t="n">
        <v>42852</v>
      </c>
      <c r="G1197" s="30" t="n">
        <v>42854</v>
      </c>
      <c r="H1197" s="26" t="n">
        <f aca="false">G1197-F1197</f>
        <v>2</v>
      </c>
      <c r="I1197" s="10" t="n">
        <f aca="false">IF(E1197="Won",1,0)</f>
        <v>0</v>
      </c>
    </row>
    <row r="1198" customFormat="false" ht="15" hidden="false" customHeight="false" outlineLevel="0" collapsed="false">
      <c r="A1198" s="10" t="s">
        <v>3539</v>
      </c>
      <c r="B1198" s="10" t="s">
        <v>77</v>
      </c>
      <c r="C1198" s="10" t="s">
        <v>48</v>
      </c>
      <c r="D1198" s="10" t="s">
        <v>321</v>
      </c>
      <c r="E1198" s="10" t="s">
        <v>2345</v>
      </c>
      <c r="F1198" s="30" t="n">
        <v>42852</v>
      </c>
      <c r="G1198" s="30" t="n">
        <v>42854</v>
      </c>
      <c r="H1198" s="26" t="n">
        <f aca="false">G1198-F1198</f>
        <v>2</v>
      </c>
      <c r="I1198" s="10" t="n">
        <f aca="false">IF(E1198="Won",1,0)</f>
        <v>0</v>
      </c>
    </row>
    <row r="1199" customFormat="false" ht="15" hidden="false" customHeight="false" outlineLevel="0" collapsed="false">
      <c r="A1199" s="10" t="s">
        <v>3540</v>
      </c>
      <c r="B1199" s="10" t="s">
        <v>68</v>
      </c>
      <c r="C1199" s="10" t="s">
        <v>50</v>
      </c>
      <c r="D1199" s="10" t="s">
        <v>337</v>
      </c>
      <c r="E1199" s="10" t="s">
        <v>2342</v>
      </c>
      <c r="F1199" s="30" t="n">
        <v>42849</v>
      </c>
      <c r="G1199" s="30" t="n">
        <v>42854</v>
      </c>
      <c r="H1199" s="26" t="n">
        <f aca="false">G1199-F1199</f>
        <v>5</v>
      </c>
      <c r="I1199" s="10" t="n">
        <f aca="false">IF(E1199="Won",1,0)</f>
        <v>1</v>
      </c>
    </row>
    <row r="1200" customFormat="false" ht="15" hidden="false" customHeight="false" outlineLevel="0" collapsed="false">
      <c r="A1200" s="10" t="s">
        <v>3541</v>
      </c>
      <c r="B1200" s="10" t="s">
        <v>80</v>
      </c>
      <c r="C1200" s="10" t="s">
        <v>51</v>
      </c>
      <c r="D1200" s="10" t="s">
        <v>353</v>
      </c>
      <c r="E1200" s="10" t="s">
        <v>2342</v>
      </c>
      <c r="F1200" s="30" t="n">
        <v>42845</v>
      </c>
      <c r="G1200" s="30" t="n">
        <v>42854</v>
      </c>
      <c r="H1200" s="26" t="n">
        <f aca="false">G1200-F1200</f>
        <v>9</v>
      </c>
      <c r="I1200" s="10" t="n">
        <f aca="false">IF(E1200="Won",1,0)</f>
        <v>1</v>
      </c>
    </row>
    <row r="1201" customFormat="false" ht="15" hidden="false" customHeight="false" outlineLevel="0" collapsed="false">
      <c r="A1201" s="10" t="s">
        <v>3542</v>
      </c>
      <c r="B1201" s="10" t="s">
        <v>84</v>
      </c>
      <c r="C1201" s="10" t="s">
        <v>51</v>
      </c>
      <c r="D1201" s="10" t="s">
        <v>286</v>
      </c>
      <c r="E1201" s="10" t="s">
        <v>2342</v>
      </c>
      <c r="F1201" s="30" t="n">
        <v>42852</v>
      </c>
      <c r="G1201" s="30" t="n">
        <v>42854</v>
      </c>
      <c r="H1201" s="26" t="n">
        <f aca="false">G1201-F1201</f>
        <v>2</v>
      </c>
      <c r="I1201" s="10" t="n">
        <f aca="false">IF(E1201="Won",1,0)</f>
        <v>1</v>
      </c>
    </row>
    <row r="1202" customFormat="false" ht="15" hidden="false" customHeight="false" outlineLevel="0" collapsed="false">
      <c r="A1202" s="10" t="s">
        <v>3543</v>
      </c>
      <c r="B1202" s="10" t="s">
        <v>70</v>
      </c>
      <c r="C1202" s="10" t="s">
        <v>51</v>
      </c>
      <c r="D1202" s="10" t="s">
        <v>170</v>
      </c>
      <c r="E1202" s="10" t="s">
        <v>2345</v>
      </c>
      <c r="F1202" s="30" t="n">
        <v>42852</v>
      </c>
      <c r="G1202" s="30" t="n">
        <v>42854</v>
      </c>
      <c r="H1202" s="26" t="n">
        <f aca="false">G1202-F1202</f>
        <v>2</v>
      </c>
      <c r="I1202" s="10" t="n">
        <f aca="false">IF(E1202="Won",1,0)</f>
        <v>0</v>
      </c>
    </row>
    <row r="1203" customFormat="false" ht="15" hidden="false" customHeight="false" outlineLevel="0" collapsed="false">
      <c r="A1203" s="10" t="s">
        <v>3544</v>
      </c>
      <c r="B1203" s="10" t="s">
        <v>70</v>
      </c>
      <c r="C1203" s="10" t="s">
        <v>52</v>
      </c>
      <c r="D1203" s="10" t="s">
        <v>711</v>
      </c>
      <c r="E1203" s="10" t="s">
        <v>2345</v>
      </c>
      <c r="F1203" s="30" t="n">
        <v>42846</v>
      </c>
      <c r="G1203" s="30" t="n">
        <v>42854</v>
      </c>
      <c r="H1203" s="26" t="n">
        <f aca="false">G1203-F1203</f>
        <v>8</v>
      </c>
      <c r="I1203" s="10" t="n">
        <f aca="false">IF(E1203="Won",1,0)</f>
        <v>0</v>
      </c>
    </row>
    <row r="1204" customFormat="false" ht="15" hidden="false" customHeight="false" outlineLevel="0" collapsed="false">
      <c r="A1204" s="10" t="s">
        <v>3545</v>
      </c>
      <c r="B1204" s="10" t="s">
        <v>88</v>
      </c>
      <c r="C1204" s="10" t="s">
        <v>48</v>
      </c>
      <c r="D1204" s="10" t="s">
        <v>674</v>
      </c>
      <c r="E1204" s="10" t="s">
        <v>2345</v>
      </c>
      <c r="F1204" s="30" t="n">
        <v>42853</v>
      </c>
      <c r="G1204" s="30" t="n">
        <v>42854</v>
      </c>
      <c r="H1204" s="26" t="n">
        <f aca="false">G1204-F1204</f>
        <v>1</v>
      </c>
      <c r="I1204" s="10" t="n">
        <f aca="false">IF(E1204="Won",1,0)</f>
        <v>0</v>
      </c>
    </row>
    <row r="1205" customFormat="false" ht="15" hidden="false" customHeight="false" outlineLevel="0" collapsed="false">
      <c r="A1205" s="10" t="s">
        <v>3546</v>
      </c>
      <c r="B1205" s="10" t="s">
        <v>93</v>
      </c>
      <c r="C1205" s="10" t="s">
        <v>52</v>
      </c>
      <c r="D1205" s="10" t="s">
        <v>233</v>
      </c>
      <c r="E1205" s="10" t="s">
        <v>2342</v>
      </c>
      <c r="F1205" s="30" t="n">
        <v>42843</v>
      </c>
      <c r="G1205" s="30" t="n">
        <v>42854</v>
      </c>
      <c r="H1205" s="26" t="n">
        <f aca="false">G1205-F1205</f>
        <v>11</v>
      </c>
      <c r="I1205" s="10" t="n">
        <f aca="false">IF(E1205="Won",1,0)</f>
        <v>1</v>
      </c>
    </row>
    <row r="1206" customFormat="false" ht="15" hidden="false" customHeight="false" outlineLevel="0" collapsed="false">
      <c r="A1206" s="10" t="s">
        <v>3547</v>
      </c>
      <c r="B1206" s="10" t="s">
        <v>97</v>
      </c>
      <c r="C1206" s="10" t="s">
        <v>48</v>
      </c>
      <c r="D1206" s="10" t="s">
        <v>344</v>
      </c>
      <c r="E1206" s="10" t="s">
        <v>2342</v>
      </c>
      <c r="F1206" s="30" t="n">
        <v>42846</v>
      </c>
      <c r="G1206" s="30" t="n">
        <v>42854</v>
      </c>
      <c r="H1206" s="26" t="n">
        <f aca="false">G1206-F1206</f>
        <v>8</v>
      </c>
      <c r="I1206" s="10" t="n">
        <f aca="false">IF(E1206="Won",1,0)</f>
        <v>1</v>
      </c>
    </row>
    <row r="1207" customFormat="false" ht="15" hidden="false" customHeight="false" outlineLevel="0" collapsed="false">
      <c r="A1207" s="10" t="s">
        <v>3548</v>
      </c>
      <c r="B1207" s="10" t="s">
        <v>95</v>
      </c>
      <c r="C1207" s="10" t="s">
        <v>49</v>
      </c>
      <c r="D1207" s="10" t="s">
        <v>487</v>
      </c>
      <c r="E1207" s="10" t="s">
        <v>2345</v>
      </c>
      <c r="F1207" s="30" t="n">
        <v>42847</v>
      </c>
      <c r="G1207" s="30" t="n">
        <v>42854</v>
      </c>
      <c r="H1207" s="26" t="n">
        <f aca="false">G1207-F1207</f>
        <v>7</v>
      </c>
      <c r="I1207" s="10" t="n">
        <f aca="false">IF(E1207="Won",1,0)</f>
        <v>0</v>
      </c>
    </row>
    <row r="1208" customFormat="false" ht="15" hidden="false" customHeight="false" outlineLevel="0" collapsed="false">
      <c r="A1208" s="10" t="s">
        <v>3549</v>
      </c>
      <c r="B1208" s="10" t="s">
        <v>70</v>
      </c>
      <c r="C1208" s="10" t="s">
        <v>49</v>
      </c>
      <c r="D1208" s="10" t="s">
        <v>483</v>
      </c>
      <c r="E1208" s="10" t="s">
        <v>2342</v>
      </c>
      <c r="F1208" s="30" t="n">
        <v>42847</v>
      </c>
      <c r="G1208" s="30" t="n">
        <v>42854</v>
      </c>
      <c r="H1208" s="26" t="n">
        <f aca="false">G1208-F1208</f>
        <v>7</v>
      </c>
      <c r="I1208" s="10" t="n">
        <f aca="false">IF(E1208="Won",1,0)</f>
        <v>1</v>
      </c>
    </row>
    <row r="1209" customFormat="false" ht="15" hidden="false" customHeight="false" outlineLevel="0" collapsed="false">
      <c r="A1209" s="10" t="s">
        <v>3550</v>
      </c>
      <c r="B1209" s="10" t="s">
        <v>97</v>
      </c>
      <c r="C1209" s="10" t="s">
        <v>48</v>
      </c>
      <c r="D1209" s="10" t="s">
        <v>233</v>
      </c>
      <c r="E1209" s="10" t="s">
        <v>2342</v>
      </c>
      <c r="F1209" s="30" t="n">
        <v>42847</v>
      </c>
      <c r="G1209" s="30" t="n">
        <v>42854</v>
      </c>
      <c r="H1209" s="26" t="n">
        <f aca="false">G1209-F1209</f>
        <v>7</v>
      </c>
      <c r="I1209" s="10" t="n">
        <f aca="false">IF(E1209="Won",1,0)</f>
        <v>1</v>
      </c>
    </row>
    <row r="1210" customFormat="false" ht="15" hidden="false" customHeight="false" outlineLevel="0" collapsed="false">
      <c r="A1210" s="10" t="s">
        <v>3551</v>
      </c>
      <c r="B1210" s="10" t="s">
        <v>77</v>
      </c>
      <c r="C1210" s="10" t="s">
        <v>47</v>
      </c>
      <c r="D1210" s="10" t="s">
        <v>597</v>
      </c>
      <c r="E1210" s="10" t="s">
        <v>2342</v>
      </c>
      <c r="F1210" s="30" t="n">
        <v>42847</v>
      </c>
      <c r="G1210" s="30" t="n">
        <v>42854</v>
      </c>
      <c r="H1210" s="26" t="n">
        <f aca="false">G1210-F1210</f>
        <v>7</v>
      </c>
      <c r="I1210" s="10" t="n">
        <f aca="false">IF(E1210="Won",1,0)</f>
        <v>1</v>
      </c>
    </row>
    <row r="1211" customFormat="false" ht="15" hidden="false" customHeight="false" outlineLevel="0" collapsed="false">
      <c r="A1211" s="10" t="s">
        <v>3552</v>
      </c>
      <c r="B1211" s="10" t="s">
        <v>71</v>
      </c>
      <c r="C1211" s="10" t="s">
        <v>51</v>
      </c>
      <c r="D1211" s="10" t="s">
        <v>512</v>
      </c>
      <c r="E1211" s="10" t="s">
        <v>2345</v>
      </c>
      <c r="F1211" s="30" t="n">
        <v>42853</v>
      </c>
      <c r="G1211" s="30" t="n">
        <v>42854</v>
      </c>
      <c r="H1211" s="26" t="n">
        <f aca="false">G1211-F1211</f>
        <v>1</v>
      </c>
      <c r="I1211" s="10" t="n">
        <f aca="false">IF(E1211="Won",1,0)</f>
        <v>0</v>
      </c>
    </row>
    <row r="1212" customFormat="false" ht="15" hidden="false" customHeight="false" outlineLevel="0" collapsed="false">
      <c r="A1212" s="10" t="s">
        <v>3553</v>
      </c>
      <c r="B1212" s="10" t="s">
        <v>84</v>
      </c>
      <c r="C1212" s="10" t="s">
        <v>47</v>
      </c>
      <c r="D1212" s="10" t="s">
        <v>359</v>
      </c>
      <c r="E1212" s="10" t="s">
        <v>2345</v>
      </c>
      <c r="F1212" s="30" t="n">
        <v>42847</v>
      </c>
      <c r="G1212" s="30" t="n">
        <v>42854</v>
      </c>
      <c r="H1212" s="26" t="n">
        <f aca="false">G1212-F1212</f>
        <v>7</v>
      </c>
      <c r="I1212" s="10" t="n">
        <f aca="false">IF(E1212="Won",1,0)</f>
        <v>0</v>
      </c>
    </row>
    <row r="1213" customFormat="false" ht="15" hidden="false" customHeight="false" outlineLevel="0" collapsed="false">
      <c r="A1213" s="10" t="s">
        <v>3554</v>
      </c>
      <c r="B1213" s="10" t="s">
        <v>68</v>
      </c>
      <c r="C1213" s="10" t="s">
        <v>50</v>
      </c>
      <c r="D1213" s="10" t="s">
        <v>170</v>
      </c>
      <c r="E1213" s="10" t="s">
        <v>2345</v>
      </c>
      <c r="F1213" s="30" t="n">
        <v>42853</v>
      </c>
      <c r="G1213" s="30" t="n">
        <v>42854</v>
      </c>
      <c r="H1213" s="26" t="n">
        <f aca="false">G1213-F1213</f>
        <v>1</v>
      </c>
      <c r="I1213" s="10" t="n">
        <f aca="false">IF(E1213="Won",1,0)</f>
        <v>0</v>
      </c>
    </row>
    <row r="1214" customFormat="false" ht="15" hidden="false" customHeight="false" outlineLevel="0" collapsed="false">
      <c r="A1214" s="10" t="s">
        <v>3555</v>
      </c>
      <c r="B1214" s="10" t="s">
        <v>84</v>
      </c>
      <c r="C1214" s="10" t="s">
        <v>50</v>
      </c>
      <c r="D1214" s="10" t="s">
        <v>1397</v>
      </c>
      <c r="E1214" s="10" t="s">
        <v>2342</v>
      </c>
      <c r="F1214" s="30" t="n">
        <v>42844</v>
      </c>
      <c r="G1214" s="30" t="n">
        <v>42854</v>
      </c>
      <c r="H1214" s="26" t="n">
        <f aca="false">G1214-F1214</f>
        <v>10</v>
      </c>
      <c r="I1214" s="10" t="n">
        <f aca="false">IF(E1214="Won",1,0)</f>
        <v>1</v>
      </c>
    </row>
    <row r="1215" customFormat="false" ht="15" hidden="false" customHeight="false" outlineLevel="0" collapsed="false">
      <c r="A1215" s="10" t="s">
        <v>3556</v>
      </c>
      <c r="B1215" s="10" t="s">
        <v>57</v>
      </c>
      <c r="C1215" s="10" t="s">
        <v>48</v>
      </c>
      <c r="D1215" s="10" t="s">
        <v>293</v>
      </c>
      <c r="E1215" s="10" t="s">
        <v>2342</v>
      </c>
      <c r="F1215" s="30" t="n">
        <v>42848</v>
      </c>
      <c r="G1215" s="30" t="n">
        <v>42855</v>
      </c>
      <c r="H1215" s="26" t="n">
        <f aca="false">G1215-F1215</f>
        <v>7</v>
      </c>
      <c r="I1215" s="10" t="n">
        <f aca="false">IF(E1215="Won",1,0)</f>
        <v>1</v>
      </c>
    </row>
    <row r="1216" customFormat="false" ht="15" hidden="false" customHeight="false" outlineLevel="0" collapsed="false">
      <c r="A1216" s="10" t="s">
        <v>3557</v>
      </c>
      <c r="B1216" s="10" t="s">
        <v>77</v>
      </c>
      <c r="C1216" s="10" t="s">
        <v>50</v>
      </c>
      <c r="D1216" s="10" t="s">
        <v>353</v>
      </c>
      <c r="E1216" s="10" t="s">
        <v>2345</v>
      </c>
      <c r="F1216" s="30" t="n">
        <v>42846</v>
      </c>
      <c r="G1216" s="30" t="n">
        <v>42855</v>
      </c>
      <c r="H1216" s="26" t="n">
        <f aca="false">G1216-F1216</f>
        <v>9</v>
      </c>
      <c r="I1216" s="10" t="n">
        <f aca="false">IF(E1216="Won",1,0)</f>
        <v>0</v>
      </c>
    </row>
    <row r="1217" customFormat="false" ht="15" hidden="false" customHeight="false" outlineLevel="0" collapsed="false">
      <c r="A1217" s="10" t="s">
        <v>3558</v>
      </c>
      <c r="B1217" s="10" t="s">
        <v>83</v>
      </c>
      <c r="C1217" s="10" t="s">
        <v>47</v>
      </c>
      <c r="D1217" s="10" t="s">
        <v>597</v>
      </c>
      <c r="E1217" s="10" t="s">
        <v>2342</v>
      </c>
      <c r="F1217" s="30" t="n">
        <v>42847</v>
      </c>
      <c r="G1217" s="30" t="n">
        <v>42855</v>
      </c>
      <c r="H1217" s="26" t="n">
        <f aca="false">G1217-F1217</f>
        <v>8</v>
      </c>
      <c r="I1217" s="10" t="n">
        <f aca="false">IF(E1217="Won",1,0)</f>
        <v>1</v>
      </c>
    </row>
    <row r="1218" customFormat="false" ht="15" hidden="false" customHeight="false" outlineLevel="0" collapsed="false">
      <c r="A1218" s="10" t="s">
        <v>3559</v>
      </c>
      <c r="B1218" s="10" t="s">
        <v>77</v>
      </c>
      <c r="C1218" s="10" t="s">
        <v>48</v>
      </c>
      <c r="D1218" s="10" t="s">
        <v>697</v>
      </c>
      <c r="E1218" s="10" t="s">
        <v>2345</v>
      </c>
      <c r="F1218" s="30" t="n">
        <v>42849</v>
      </c>
      <c r="G1218" s="30" t="n">
        <v>42855</v>
      </c>
      <c r="H1218" s="26" t="n">
        <f aca="false">G1218-F1218</f>
        <v>6</v>
      </c>
      <c r="I1218" s="10" t="n">
        <f aca="false">IF(E1218="Won",1,0)</f>
        <v>0</v>
      </c>
    </row>
    <row r="1219" customFormat="false" ht="15" hidden="false" customHeight="false" outlineLevel="0" collapsed="false">
      <c r="A1219" s="10" t="s">
        <v>3560</v>
      </c>
      <c r="B1219" s="10" t="s">
        <v>70</v>
      </c>
      <c r="C1219" s="10" t="s">
        <v>49</v>
      </c>
      <c r="D1219" s="10" t="s">
        <v>168</v>
      </c>
      <c r="E1219" s="10" t="s">
        <v>2345</v>
      </c>
      <c r="F1219" s="30" t="n">
        <v>42854</v>
      </c>
      <c r="G1219" s="30" t="n">
        <v>42855</v>
      </c>
      <c r="H1219" s="26" t="n">
        <f aca="false">G1219-F1219</f>
        <v>1</v>
      </c>
      <c r="I1219" s="10" t="n">
        <f aca="false">IF(E1219="Won",1,0)</f>
        <v>0</v>
      </c>
    </row>
    <row r="1220" customFormat="false" ht="15" hidden="false" customHeight="false" outlineLevel="0" collapsed="false">
      <c r="A1220" s="10" t="s">
        <v>3561</v>
      </c>
      <c r="B1220" s="10" t="s">
        <v>77</v>
      </c>
      <c r="C1220" s="10" t="s">
        <v>48</v>
      </c>
      <c r="D1220" s="10" t="s">
        <v>279</v>
      </c>
      <c r="E1220" s="10" t="s">
        <v>2345</v>
      </c>
      <c r="F1220" s="30" t="n">
        <v>42845</v>
      </c>
      <c r="G1220" s="30" t="n">
        <v>42855</v>
      </c>
      <c r="H1220" s="26" t="n">
        <f aca="false">G1220-F1220</f>
        <v>10</v>
      </c>
      <c r="I1220" s="10" t="n">
        <f aca="false">IF(E1220="Won",1,0)</f>
        <v>0</v>
      </c>
    </row>
    <row r="1221" customFormat="false" ht="15" hidden="false" customHeight="false" outlineLevel="0" collapsed="false">
      <c r="A1221" s="10" t="s">
        <v>3562</v>
      </c>
      <c r="B1221" s="10" t="s">
        <v>67</v>
      </c>
      <c r="C1221" s="10" t="s">
        <v>49</v>
      </c>
      <c r="D1221" s="10" t="s">
        <v>168</v>
      </c>
      <c r="E1221" s="10" t="s">
        <v>2342</v>
      </c>
      <c r="F1221" s="30" t="n">
        <v>42846</v>
      </c>
      <c r="G1221" s="30" t="n">
        <v>42855</v>
      </c>
      <c r="H1221" s="26" t="n">
        <f aca="false">G1221-F1221</f>
        <v>9</v>
      </c>
      <c r="I1221" s="10" t="n">
        <f aca="false">IF(E1221="Won",1,0)</f>
        <v>1</v>
      </c>
    </row>
    <row r="1222" customFormat="false" ht="15" hidden="false" customHeight="false" outlineLevel="0" collapsed="false">
      <c r="A1222" s="10" t="s">
        <v>3563</v>
      </c>
      <c r="B1222" s="10" t="s">
        <v>68</v>
      </c>
      <c r="C1222" s="10" t="s">
        <v>51</v>
      </c>
      <c r="D1222" s="10" t="s">
        <v>344</v>
      </c>
      <c r="E1222" s="10" t="s">
        <v>2342</v>
      </c>
      <c r="F1222" s="30" t="n">
        <v>42847</v>
      </c>
      <c r="G1222" s="30" t="n">
        <v>42855</v>
      </c>
      <c r="H1222" s="26" t="n">
        <f aca="false">G1222-F1222</f>
        <v>8</v>
      </c>
      <c r="I1222" s="10" t="n">
        <f aca="false">IF(E1222="Won",1,0)</f>
        <v>1</v>
      </c>
    </row>
    <row r="1223" customFormat="false" ht="15" hidden="false" customHeight="false" outlineLevel="0" collapsed="false">
      <c r="A1223" s="10" t="s">
        <v>3564</v>
      </c>
      <c r="B1223" s="10" t="s">
        <v>95</v>
      </c>
      <c r="C1223" s="10" t="s">
        <v>51</v>
      </c>
      <c r="D1223" s="10" t="s">
        <v>326</v>
      </c>
      <c r="E1223" s="10" t="s">
        <v>2342</v>
      </c>
      <c r="F1223" s="30" t="n">
        <v>42847</v>
      </c>
      <c r="G1223" s="30" t="n">
        <v>42855</v>
      </c>
      <c r="H1223" s="26" t="n">
        <f aca="false">G1223-F1223</f>
        <v>8</v>
      </c>
      <c r="I1223" s="10" t="n">
        <f aca="false">IF(E1223="Won",1,0)</f>
        <v>1</v>
      </c>
    </row>
    <row r="1224" customFormat="false" ht="15" hidden="false" customHeight="false" outlineLevel="0" collapsed="false">
      <c r="A1224" s="10" t="s">
        <v>3565</v>
      </c>
      <c r="B1224" s="10" t="s">
        <v>70</v>
      </c>
      <c r="C1224" s="10" t="s">
        <v>52</v>
      </c>
      <c r="D1224" s="10" t="s">
        <v>299</v>
      </c>
      <c r="E1224" s="10" t="s">
        <v>2345</v>
      </c>
      <c r="F1224" s="30" t="n">
        <v>42848</v>
      </c>
      <c r="G1224" s="30" t="n">
        <v>42855</v>
      </c>
      <c r="H1224" s="26" t="n">
        <f aca="false">G1224-F1224</f>
        <v>7</v>
      </c>
      <c r="I1224" s="10" t="n">
        <f aca="false">IF(E1224="Won",1,0)</f>
        <v>0</v>
      </c>
    </row>
    <row r="1225" customFormat="false" ht="15" hidden="false" customHeight="false" outlineLevel="0" collapsed="false">
      <c r="A1225" s="10" t="s">
        <v>3566</v>
      </c>
      <c r="B1225" s="10" t="s">
        <v>69</v>
      </c>
      <c r="C1225" s="10" t="s">
        <v>52</v>
      </c>
      <c r="D1225" s="10" t="s">
        <v>506</v>
      </c>
      <c r="E1225" s="10" t="s">
        <v>2342</v>
      </c>
      <c r="F1225" s="30" t="n">
        <v>42848</v>
      </c>
      <c r="G1225" s="30" t="n">
        <v>42855</v>
      </c>
      <c r="H1225" s="26" t="n">
        <f aca="false">G1225-F1225</f>
        <v>7</v>
      </c>
      <c r="I1225" s="10" t="n">
        <f aca="false">IF(E1225="Won",1,0)</f>
        <v>1</v>
      </c>
    </row>
    <row r="1226" customFormat="false" ht="15" hidden="false" customHeight="false" outlineLevel="0" collapsed="false">
      <c r="A1226" s="10" t="s">
        <v>3567</v>
      </c>
      <c r="B1226" s="10" t="s">
        <v>69</v>
      </c>
      <c r="C1226" s="10" t="s">
        <v>49</v>
      </c>
      <c r="D1226" s="10" t="s">
        <v>326</v>
      </c>
      <c r="E1226" s="10" t="s">
        <v>2342</v>
      </c>
      <c r="F1226" s="30" t="n">
        <v>42847</v>
      </c>
      <c r="G1226" s="30" t="n">
        <v>42855</v>
      </c>
      <c r="H1226" s="26" t="n">
        <f aca="false">G1226-F1226</f>
        <v>8</v>
      </c>
      <c r="I1226" s="10" t="n">
        <f aca="false">IF(E1226="Won",1,0)</f>
        <v>1</v>
      </c>
    </row>
    <row r="1227" customFormat="false" ht="15" hidden="false" customHeight="false" outlineLevel="0" collapsed="false">
      <c r="A1227" s="10" t="s">
        <v>3568</v>
      </c>
      <c r="B1227" s="10" t="s">
        <v>87</v>
      </c>
      <c r="C1227" s="10" t="s">
        <v>50</v>
      </c>
      <c r="D1227" s="10" t="s">
        <v>359</v>
      </c>
      <c r="E1227" s="10" t="s">
        <v>2345</v>
      </c>
      <c r="F1227" s="30" t="n">
        <v>42853</v>
      </c>
      <c r="G1227" s="30" t="n">
        <v>42855</v>
      </c>
      <c r="H1227" s="26" t="n">
        <f aca="false">G1227-F1227</f>
        <v>2</v>
      </c>
      <c r="I1227" s="10" t="n">
        <f aca="false">IF(E1227="Won",1,0)</f>
        <v>0</v>
      </c>
    </row>
    <row r="1228" customFormat="false" ht="15" hidden="false" customHeight="false" outlineLevel="0" collapsed="false">
      <c r="A1228" s="10" t="s">
        <v>3569</v>
      </c>
      <c r="B1228" s="10" t="s">
        <v>88</v>
      </c>
      <c r="C1228" s="10" t="s">
        <v>48</v>
      </c>
      <c r="D1228" s="10" t="s">
        <v>455</v>
      </c>
      <c r="E1228" s="10" t="s">
        <v>2342</v>
      </c>
      <c r="F1228" s="30" t="n">
        <v>42848</v>
      </c>
      <c r="G1228" s="30" t="n">
        <v>42855</v>
      </c>
      <c r="H1228" s="26" t="n">
        <f aca="false">G1228-F1228</f>
        <v>7</v>
      </c>
      <c r="I1228" s="10" t="n">
        <f aca="false">IF(E1228="Won",1,0)</f>
        <v>1</v>
      </c>
    </row>
    <row r="1229" customFormat="false" ht="15" hidden="false" customHeight="false" outlineLevel="0" collapsed="false">
      <c r="A1229" s="10" t="s">
        <v>3570</v>
      </c>
      <c r="B1229" s="10" t="s">
        <v>96</v>
      </c>
      <c r="C1229" s="10" t="s">
        <v>47</v>
      </c>
      <c r="D1229" s="10" t="s">
        <v>170</v>
      </c>
      <c r="E1229" s="10" t="s">
        <v>2342</v>
      </c>
      <c r="F1229" s="30" t="n">
        <v>42845</v>
      </c>
      <c r="G1229" s="30" t="n">
        <v>42855</v>
      </c>
      <c r="H1229" s="26" t="n">
        <f aca="false">G1229-F1229</f>
        <v>10</v>
      </c>
      <c r="I1229" s="10" t="n">
        <f aca="false">IF(E1229="Won",1,0)</f>
        <v>1</v>
      </c>
    </row>
    <row r="1230" customFormat="false" ht="15" hidden="false" customHeight="false" outlineLevel="0" collapsed="false">
      <c r="A1230" s="10" t="s">
        <v>3571</v>
      </c>
      <c r="B1230" s="10" t="s">
        <v>60</v>
      </c>
      <c r="C1230" s="10" t="s">
        <v>49</v>
      </c>
      <c r="D1230" s="10" t="s">
        <v>210</v>
      </c>
      <c r="E1230" s="10" t="s">
        <v>2345</v>
      </c>
      <c r="F1230" s="30" t="n">
        <v>42843</v>
      </c>
      <c r="G1230" s="30" t="n">
        <v>42855</v>
      </c>
      <c r="H1230" s="26" t="n">
        <f aca="false">G1230-F1230</f>
        <v>12</v>
      </c>
      <c r="I1230" s="10" t="n">
        <f aca="false">IF(E1230="Won",1,0)</f>
        <v>0</v>
      </c>
    </row>
    <row r="1231" customFormat="false" ht="15" hidden="false" customHeight="false" outlineLevel="0" collapsed="false">
      <c r="A1231" s="10" t="s">
        <v>3572</v>
      </c>
      <c r="B1231" s="10" t="s">
        <v>57</v>
      </c>
      <c r="C1231" s="10" t="s">
        <v>48</v>
      </c>
      <c r="D1231" s="10" t="s">
        <v>692</v>
      </c>
      <c r="E1231" s="10" t="s">
        <v>2345</v>
      </c>
      <c r="F1231" s="30" t="n">
        <v>42848</v>
      </c>
      <c r="G1231" s="30" t="n">
        <v>42855</v>
      </c>
      <c r="H1231" s="26" t="n">
        <f aca="false">G1231-F1231</f>
        <v>7</v>
      </c>
      <c r="I1231" s="10" t="n">
        <f aca="false">IF(E1231="Won",1,0)</f>
        <v>0</v>
      </c>
    </row>
    <row r="1232" customFormat="false" ht="15" hidden="false" customHeight="false" outlineLevel="0" collapsed="false">
      <c r="A1232" s="10" t="s">
        <v>3573</v>
      </c>
      <c r="B1232" s="10" t="s">
        <v>86</v>
      </c>
      <c r="C1232" s="10" t="s">
        <v>51</v>
      </c>
      <c r="D1232" s="10" t="s">
        <v>674</v>
      </c>
      <c r="E1232" s="10" t="s">
        <v>2345</v>
      </c>
      <c r="F1232" s="30" t="n">
        <v>42848</v>
      </c>
      <c r="G1232" s="30" t="n">
        <v>42855</v>
      </c>
      <c r="H1232" s="26" t="n">
        <f aca="false">G1232-F1232</f>
        <v>7</v>
      </c>
      <c r="I1232" s="10" t="n">
        <f aca="false">IF(E1232="Won",1,0)</f>
        <v>0</v>
      </c>
    </row>
    <row r="1233" customFormat="false" ht="15" hidden="false" customHeight="false" outlineLevel="0" collapsed="false">
      <c r="A1233" s="10" t="s">
        <v>3574</v>
      </c>
      <c r="B1233" s="10" t="s">
        <v>97</v>
      </c>
      <c r="C1233" s="10" t="s">
        <v>51</v>
      </c>
      <c r="D1233" s="10" t="s">
        <v>437</v>
      </c>
      <c r="E1233" s="10" t="s">
        <v>2345</v>
      </c>
      <c r="F1233" s="30" t="n">
        <v>42849</v>
      </c>
      <c r="G1233" s="30" t="n">
        <v>42855</v>
      </c>
      <c r="H1233" s="26" t="n">
        <f aca="false">G1233-F1233</f>
        <v>6</v>
      </c>
      <c r="I1233" s="10" t="n">
        <f aca="false">IF(E1233="Won",1,0)</f>
        <v>0</v>
      </c>
    </row>
    <row r="1234" customFormat="false" ht="15" hidden="false" customHeight="false" outlineLevel="0" collapsed="false">
      <c r="A1234" s="10" t="s">
        <v>3575</v>
      </c>
      <c r="B1234" s="10" t="s">
        <v>69</v>
      </c>
      <c r="C1234" s="10" t="s">
        <v>52</v>
      </c>
      <c r="D1234" s="10" t="s">
        <v>337</v>
      </c>
      <c r="E1234" s="10" t="s">
        <v>2345</v>
      </c>
      <c r="F1234" s="30" t="n">
        <v>42844</v>
      </c>
      <c r="G1234" s="30" t="n">
        <v>42855</v>
      </c>
      <c r="H1234" s="26" t="n">
        <f aca="false">G1234-F1234</f>
        <v>11</v>
      </c>
      <c r="I1234" s="10" t="n">
        <f aca="false">IF(E1234="Won",1,0)</f>
        <v>0</v>
      </c>
    </row>
    <row r="1235" customFormat="false" ht="15" hidden="false" customHeight="false" outlineLevel="0" collapsed="false">
      <c r="A1235" s="10" t="s">
        <v>3576</v>
      </c>
      <c r="B1235" s="10" t="s">
        <v>75</v>
      </c>
      <c r="C1235" s="10" t="s">
        <v>49</v>
      </c>
      <c r="D1235" s="10" t="s">
        <v>279</v>
      </c>
      <c r="E1235" s="10" t="s">
        <v>2342</v>
      </c>
      <c r="F1235" s="30" t="n">
        <v>42754</v>
      </c>
      <c r="G1235" s="30" t="n">
        <v>42856</v>
      </c>
      <c r="H1235" s="26" t="n">
        <f aca="false">G1235-F1235</f>
        <v>102</v>
      </c>
      <c r="I1235" s="10" t="n">
        <f aca="false">IF(E1235="Won",1,0)</f>
        <v>1</v>
      </c>
    </row>
    <row r="1236" customFormat="false" ht="15" hidden="false" customHeight="false" outlineLevel="0" collapsed="false">
      <c r="A1236" s="10" t="s">
        <v>3577</v>
      </c>
      <c r="B1236" s="10" t="s">
        <v>93</v>
      </c>
      <c r="C1236" s="10" t="s">
        <v>49</v>
      </c>
      <c r="D1236" s="10" t="s">
        <v>437</v>
      </c>
      <c r="E1236" s="10" t="s">
        <v>2342</v>
      </c>
      <c r="F1236" s="30" t="n">
        <v>42821</v>
      </c>
      <c r="G1236" s="30" t="n">
        <v>42856</v>
      </c>
      <c r="H1236" s="26" t="n">
        <f aca="false">G1236-F1236</f>
        <v>35</v>
      </c>
      <c r="I1236" s="10" t="n">
        <f aca="false">IF(E1236="Won",1,0)</f>
        <v>1</v>
      </c>
    </row>
    <row r="1237" customFormat="false" ht="15" hidden="false" customHeight="false" outlineLevel="0" collapsed="false">
      <c r="A1237" s="10" t="s">
        <v>3578</v>
      </c>
      <c r="B1237" s="10" t="s">
        <v>66</v>
      </c>
      <c r="C1237" s="10" t="s">
        <v>52</v>
      </c>
      <c r="D1237" s="10" t="s">
        <v>233</v>
      </c>
      <c r="E1237" s="10" t="s">
        <v>2345</v>
      </c>
      <c r="F1237" s="30" t="n">
        <v>42768</v>
      </c>
      <c r="G1237" s="30" t="n">
        <v>42856</v>
      </c>
      <c r="H1237" s="26" t="n">
        <f aca="false">G1237-F1237</f>
        <v>88</v>
      </c>
      <c r="I1237" s="10" t="n">
        <f aca="false">IF(E1237="Won",1,0)</f>
        <v>0</v>
      </c>
    </row>
    <row r="1238" customFormat="false" ht="15" hidden="false" customHeight="false" outlineLevel="0" collapsed="false">
      <c r="A1238" s="10" t="s">
        <v>3579</v>
      </c>
      <c r="B1238" s="10" t="s">
        <v>67</v>
      </c>
      <c r="C1238" s="10" t="s">
        <v>49</v>
      </c>
      <c r="D1238" s="10" t="s">
        <v>286</v>
      </c>
      <c r="E1238" s="10" t="s">
        <v>2342</v>
      </c>
      <c r="F1238" s="30" t="n">
        <v>42780</v>
      </c>
      <c r="G1238" s="30" t="n">
        <v>42856</v>
      </c>
      <c r="H1238" s="26" t="n">
        <f aca="false">G1238-F1238</f>
        <v>76</v>
      </c>
      <c r="I1238" s="10" t="n">
        <f aca="false">IF(E1238="Won",1,0)</f>
        <v>1</v>
      </c>
    </row>
    <row r="1239" customFormat="false" ht="15" hidden="false" customHeight="false" outlineLevel="0" collapsed="false">
      <c r="A1239" s="10" t="s">
        <v>3580</v>
      </c>
      <c r="B1239" s="10" t="s">
        <v>93</v>
      </c>
      <c r="C1239" s="10" t="s">
        <v>51</v>
      </c>
      <c r="D1239" s="10" t="s">
        <v>986</v>
      </c>
      <c r="E1239" s="10" t="s">
        <v>2345</v>
      </c>
      <c r="F1239" s="30" t="n">
        <v>42844</v>
      </c>
      <c r="G1239" s="30" t="n">
        <v>42856</v>
      </c>
      <c r="H1239" s="26" t="n">
        <f aca="false">G1239-F1239</f>
        <v>12</v>
      </c>
      <c r="I1239" s="10" t="n">
        <f aca="false">IF(E1239="Won",1,0)</f>
        <v>0</v>
      </c>
    </row>
    <row r="1240" customFormat="false" ht="15" hidden="false" customHeight="false" outlineLevel="0" collapsed="false">
      <c r="A1240" s="10" t="s">
        <v>3581</v>
      </c>
      <c r="B1240" s="10" t="s">
        <v>67</v>
      </c>
      <c r="C1240" s="10" t="s">
        <v>49</v>
      </c>
      <c r="D1240" s="10" t="s">
        <v>432</v>
      </c>
      <c r="E1240" s="10" t="s">
        <v>2342</v>
      </c>
      <c r="F1240" s="30" t="n">
        <v>42769</v>
      </c>
      <c r="G1240" s="30" t="n">
        <v>42856</v>
      </c>
      <c r="H1240" s="26" t="n">
        <f aca="false">G1240-F1240</f>
        <v>87</v>
      </c>
      <c r="I1240" s="10" t="n">
        <f aca="false">IF(E1240="Won",1,0)</f>
        <v>1</v>
      </c>
    </row>
    <row r="1241" customFormat="false" ht="15" hidden="false" customHeight="false" outlineLevel="0" collapsed="false">
      <c r="A1241" s="10" t="s">
        <v>3582</v>
      </c>
      <c r="B1241" s="10" t="s">
        <v>70</v>
      </c>
      <c r="C1241" s="10" t="s">
        <v>52</v>
      </c>
      <c r="D1241" s="10" t="s">
        <v>483</v>
      </c>
      <c r="E1241" s="10" t="s">
        <v>2345</v>
      </c>
      <c r="F1241" s="30" t="n">
        <v>42760</v>
      </c>
      <c r="G1241" s="30" t="n">
        <v>42856</v>
      </c>
      <c r="H1241" s="26" t="n">
        <f aca="false">G1241-F1241</f>
        <v>96</v>
      </c>
      <c r="I1241" s="10" t="n">
        <f aca="false">IF(E1241="Won",1,0)</f>
        <v>0</v>
      </c>
    </row>
    <row r="1242" customFormat="false" ht="15" hidden="false" customHeight="false" outlineLevel="0" collapsed="false">
      <c r="A1242" s="10" t="s">
        <v>3583</v>
      </c>
      <c r="B1242" s="10" t="s">
        <v>60</v>
      </c>
      <c r="C1242" s="10" t="s">
        <v>52</v>
      </c>
      <c r="D1242" s="10" t="s">
        <v>359</v>
      </c>
      <c r="E1242" s="10" t="s">
        <v>2342</v>
      </c>
      <c r="F1242" s="30" t="n">
        <v>42840</v>
      </c>
      <c r="G1242" s="30" t="n">
        <v>42856</v>
      </c>
      <c r="H1242" s="26" t="n">
        <f aca="false">G1242-F1242</f>
        <v>16</v>
      </c>
      <c r="I1242" s="10" t="n">
        <f aca="false">IF(E1242="Won",1,0)</f>
        <v>1</v>
      </c>
    </row>
    <row r="1243" customFormat="false" ht="15" hidden="false" customHeight="false" outlineLevel="0" collapsed="false">
      <c r="A1243" s="10" t="s">
        <v>3584</v>
      </c>
      <c r="B1243" s="10" t="s">
        <v>87</v>
      </c>
      <c r="C1243" s="10" t="s">
        <v>52</v>
      </c>
      <c r="D1243" s="10" t="s">
        <v>674</v>
      </c>
      <c r="E1243" s="10" t="s">
        <v>2345</v>
      </c>
      <c r="F1243" s="30" t="n">
        <v>42769</v>
      </c>
      <c r="G1243" s="30" t="n">
        <v>42856</v>
      </c>
      <c r="H1243" s="26" t="n">
        <f aca="false">G1243-F1243</f>
        <v>87</v>
      </c>
      <c r="I1243" s="10" t="n">
        <f aca="false">IF(E1243="Won",1,0)</f>
        <v>0</v>
      </c>
    </row>
    <row r="1244" customFormat="false" ht="15" hidden="false" customHeight="false" outlineLevel="0" collapsed="false">
      <c r="A1244" s="10" t="s">
        <v>3585</v>
      </c>
      <c r="B1244" s="10" t="s">
        <v>63</v>
      </c>
      <c r="C1244" s="10" t="s">
        <v>48</v>
      </c>
      <c r="D1244" s="10" t="s">
        <v>215</v>
      </c>
      <c r="E1244" s="10" t="s">
        <v>2342</v>
      </c>
      <c r="F1244" s="30" t="n">
        <v>42848</v>
      </c>
      <c r="G1244" s="30" t="n">
        <v>42856</v>
      </c>
      <c r="H1244" s="26" t="n">
        <f aca="false">G1244-F1244</f>
        <v>8</v>
      </c>
      <c r="I1244" s="10" t="n">
        <f aca="false">IF(E1244="Won",1,0)</f>
        <v>1</v>
      </c>
    </row>
    <row r="1245" customFormat="false" ht="15" hidden="false" customHeight="false" outlineLevel="0" collapsed="false">
      <c r="A1245" s="10" t="s">
        <v>3586</v>
      </c>
      <c r="B1245" s="10" t="s">
        <v>75</v>
      </c>
      <c r="C1245" s="10" t="s">
        <v>52</v>
      </c>
      <c r="D1245" s="10" t="s">
        <v>353</v>
      </c>
      <c r="E1245" s="10" t="s">
        <v>2345</v>
      </c>
      <c r="F1245" s="30" t="n">
        <v>42821</v>
      </c>
      <c r="G1245" s="30" t="n">
        <v>42856</v>
      </c>
      <c r="H1245" s="26" t="n">
        <f aca="false">G1245-F1245</f>
        <v>35</v>
      </c>
      <c r="I1245" s="10" t="n">
        <f aca="false">IF(E1245="Won",1,0)</f>
        <v>0</v>
      </c>
    </row>
    <row r="1246" customFormat="false" ht="15" hidden="false" customHeight="false" outlineLevel="0" collapsed="false">
      <c r="A1246" s="10" t="s">
        <v>3587</v>
      </c>
      <c r="B1246" s="10" t="s">
        <v>74</v>
      </c>
      <c r="C1246" s="10" t="s">
        <v>51</v>
      </c>
      <c r="D1246" s="10" t="s">
        <v>279</v>
      </c>
      <c r="E1246" s="10" t="s">
        <v>2345</v>
      </c>
      <c r="F1246" s="30" t="n">
        <v>42796</v>
      </c>
      <c r="G1246" s="30" t="n">
        <v>42856</v>
      </c>
      <c r="H1246" s="26" t="n">
        <f aca="false">G1246-F1246</f>
        <v>60</v>
      </c>
      <c r="I1246" s="10" t="n">
        <f aca="false">IF(E1246="Won",1,0)</f>
        <v>0</v>
      </c>
    </row>
    <row r="1247" customFormat="false" ht="15" hidden="false" customHeight="false" outlineLevel="0" collapsed="false">
      <c r="A1247" s="10" t="s">
        <v>3588</v>
      </c>
      <c r="B1247" s="10" t="s">
        <v>60</v>
      </c>
      <c r="C1247" s="10" t="s">
        <v>51</v>
      </c>
      <c r="D1247" s="10" t="s">
        <v>453</v>
      </c>
      <c r="E1247" s="10" t="s">
        <v>2342</v>
      </c>
      <c r="F1247" s="30" t="n">
        <v>42795</v>
      </c>
      <c r="G1247" s="30" t="n">
        <v>42856</v>
      </c>
      <c r="H1247" s="26" t="n">
        <f aca="false">G1247-F1247</f>
        <v>61</v>
      </c>
      <c r="I1247" s="10" t="n">
        <f aca="false">IF(E1247="Won",1,0)</f>
        <v>1</v>
      </c>
    </row>
    <row r="1248" customFormat="false" ht="15" hidden="false" customHeight="false" outlineLevel="0" collapsed="false">
      <c r="A1248" s="10" t="s">
        <v>3589</v>
      </c>
      <c r="B1248" s="10" t="s">
        <v>84</v>
      </c>
      <c r="C1248" s="10" t="s">
        <v>50</v>
      </c>
      <c r="D1248" s="10" t="s">
        <v>254</v>
      </c>
      <c r="E1248" s="10" t="s">
        <v>2345</v>
      </c>
      <c r="F1248" s="30" t="n">
        <v>42851</v>
      </c>
      <c r="G1248" s="30" t="n">
        <v>42856</v>
      </c>
      <c r="H1248" s="26" t="n">
        <f aca="false">G1248-F1248</f>
        <v>5</v>
      </c>
      <c r="I1248" s="10" t="n">
        <f aca="false">IF(E1248="Won",1,0)</f>
        <v>0</v>
      </c>
    </row>
    <row r="1249" customFormat="false" ht="15" hidden="false" customHeight="false" outlineLevel="0" collapsed="false">
      <c r="A1249" s="10" t="s">
        <v>3590</v>
      </c>
      <c r="B1249" s="10" t="s">
        <v>86</v>
      </c>
      <c r="C1249" s="10" t="s">
        <v>51</v>
      </c>
      <c r="D1249" s="10" t="s">
        <v>453</v>
      </c>
      <c r="E1249" s="10" t="s">
        <v>2342</v>
      </c>
      <c r="F1249" s="30" t="n">
        <v>42774</v>
      </c>
      <c r="G1249" s="30" t="n">
        <v>42856</v>
      </c>
      <c r="H1249" s="26" t="n">
        <f aca="false">G1249-F1249</f>
        <v>82</v>
      </c>
      <c r="I1249" s="10" t="n">
        <f aca="false">IF(E1249="Won",1,0)</f>
        <v>1</v>
      </c>
    </row>
    <row r="1250" customFormat="false" ht="15" hidden="false" customHeight="false" outlineLevel="0" collapsed="false">
      <c r="A1250" s="10" t="s">
        <v>3591</v>
      </c>
      <c r="B1250" s="10" t="s">
        <v>76</v>
      </c>
      <c r="C1250" s="10" t="s">
        <v>52</v>
      </c>
      <c r="D1250" s="10" t="s">
        <v>179</v>
      </c>
      <c r="E1250" s="10" t="s">
        <v>2342</v>
      </c>
      <c r="F1250" s="30" t="n">
        <v>42766</v>
      </c>
      <c r="G1250" s="30" t="n">
        <v>42856</v>
      </c>
      <c r="H1250" s="26" t="n">
        <f aca="false">G1250-F1250</f>
        <v>90</v>
      </c>
      <c r="I1250" s="10" t="n">
        <f aca="false">IF(E1250="Won",1,0)</f>
        <v>1</v>
      </c>
    </row>
    <row r="1251" customFormat="false" ht="15" hidden="false" customHeight="false" outlineLevel="0" collapsed="false">
      <c r="A1251" s="10" t="s">
        <v>3592</v>
      </c>
      <c r="B1251" s="10" t="s">
        <v>94</v>
      </c>
      <c r="C1251" s="10" t="s">
        <v>48</v>
      </c>
      <c r="D1251" s="10" t="s">
        <v>384</v>
      </c>
      <c r="E1251" s="10" t="s">
        <v>2345</v>
      </c>
      <c r="F1251" s="30" t="n">
        <v>42855</v>
      </c>
      <c r="G1251" s="30" t="n">
        <v>42856</v>
      </c>
      <c r="H1251" s="26" t="n">
        <f aca="false">G1251-F1251</f>
        <v>1</v>
      </c>
      <c r="I1251" s="10" t="n">
        <f aca="false">IF(E1251="Won",1,0)</f>
        <v>0</v>
      </c>
    </row>
    <row r="1252" customFormat="false" ht="15" hidden="false" customHeight="false" outlineLevel="0" collapsed="false">
      <c r="A1252" s="10" t="s">
        <v>3593</v>
      </c>
      <c r="B1252" s="10" t="s">
        <v>87</v>
      </c>
      <c r="C1252" s="10" t="s">
        <v>52</v>
      </c>
      <c r="D1252" s="10" t="s">
        <v>277</v>
      </c>
      <c r="E1252" s="10" t="s">
        <v>2342</v>
      </c>
      <c r="F1252" s="30" t="n">
        <v>42850</v>
      </c>
      <c r="G1252" s="30" t="n">
        <v>42856</v>
      </c>
      <c r="H1252" s="26" t="n">
        <f aca="false">G1252-F1252</f>
        <v>6</v>
      </c>
      <c r="I1252" s="10" t="n">
        <f aca="false">IF(E1252="Won",1,0)</f>
        <v>1</v>
      </c>
    </row>
    <row r="1253" customFormat="false" ht="15" hidden="false" customHeight="false" outlineLevel="0" collapsed="false">
      <c r="A1253" s="10" t="s">
        <v>3594</v>
      </c>
      <c r="B1253" s="10" t="s">
        <v>77</v>
      </c>
      <c r="C1253" s="10" t="s">
        <v>48</v>
      </c>
      <c r="D1253" s="10" t="s">
        <v>1251</v>
      </c>
      <c r="E1253" s="10" t="s">
        <v>2342</v>
      </c>
      <c r="F1253" s="30" t="n">
        <v>42842</v>
      </c>
      <c r="G1253" s="30" t="n">
        <v>42856</v>
      </c>
      <c r="H1253" s="26" t="n">
        <f aca="false">G1253-F1253</f>
        <v>14</v>
      </c>
      <c r="I1253" s="10" t="n">
        <f aca="false">IF(E1253="Won",1,0)</f>
        <v>1</v>
      </c>
    </row>
    <row r="1254" customFormat="false" ht="15" hidden="false" customHeight="false" outlineLevel="0" collapsed="false">
      <c r="A1254" s="10" t="s">
        <v>3595</v>
      </c>
      <c r="B1254" s="10" t="s">
        <v>57</v>
      </c>
      <c r="C1254" s="10" t="s">
        <v>47</v>
      </c>
      <c r="D1254" s="10" t="s">
        <v>453</v>
      </c>
      <c r="E1254" s="10" t="s">
        <v>2345</v>
      </c>
      <c r="F1254" s="30" t="n">
        <v>42845</v>
      </c>
      <c r="G1254" s="30" t="n">
        <v>42856</v>
      </c>
      <c r="H1254" s="26" t="n">
        <f aca="false">G1254-F1254</f>
        <v>11</v>
      </c>
      <c r="I1254" s="10" t="n">
        <f aca="false">IF(E1254="Won",1,0)</f>
        <v>0</v>
      </c>
    </row>
    <row r="1255" customFormat="false" ht="15" hidden="false" customHeight="false" outlineLevel="0" collapsed="false">
      <c r="A1255" s="10" t="s">
        <v>3596</v>
      </c>
      <c r="B1255" s="10" t="s">
        <v>95</v>
      </c>
      <c r="C1255" s="10" t="s">
        <v>51</v>
      </c>
      <c r="D1255" s="10" t="s">
        <v>514</v>
      </c>
      <c r="E1255" s="10" t="s">
        <v>2342</v>
      </c>
      <c r="F1255" s="30" t="n">
        <v>42775</v>
      </c>
      <c r="G1255" s="30" t="n">
        <v>42857</v>
      </c>
      <c r="H1255" s="26" t="n">
        <f aca="false">G1255-F1255</f>
        <v>82</v>
      </c>
      <c r="I1255" s="10" t="n">
        <f aca="false">IF(E1255="Won",1,0)</f>
        <v>1</v>
      </c>
    </row>
    <row r="1256" customFormat="false" ht="15" hidden="false" customHeight="false" outlineLevel="0" collapsed="false">
      <c r="A1256" s="10" t="s">
        <v>3597</v>
      </c>
      <c r="B1256" s="10" t="s">
        <v>67</v>
      </c>
      <c r="C1256" s="10" t="s">
        <v>50</v>
      </c>
      <c r="D1256" s="10" t="s">
        <v>711</v>
      </c>
      <c r="E1256" s="10" t="s">
        <v>2345</v>
      </c>
      <c r="F1256" s="30" t="n">
        <v>42775</v>
      </c>
      <c r="G1256" s="30" t="n">
        <v>42857</v>
      </c>
      <c r="H1256" s="26" t="n">
        <f aca="false">G1256-F1256</f>
        <v>82</v>
      </c>
      <c r="I1256" s="10" t="n">
        <f aca="false">IF(E1256="Won",1,0)</f>
        <v>0</v>
      </c>
    </row>
    <row r="1257" customFormat="false" ht="15" hidden="false" customHeight="false" outlineLevel="0" collapsed="false">
      <c r="A1257" s="10" t="s">
        <v>3598</v>
      </c>
      <c r="B1257" s="10" t="s">
        <v>71</v>
      </c>
      <c r="C1257" s="10" t="s">
        <v>50</v>
      </c>
      <c r="D1257" s="10" t="s">
        <v>483</v>
      </c>
      <c r="E1257" s="10" t="s">
        <v>2342</v>
      </c>
      <c r="F1257" s="30" t="n">
        <v>42763</v>
      </c>
      <c r="G1257" s="30" t="n">
        <v>42857</v>
      </c>
      <c r="H1257" s="26" t="n">
        <f aca="false">G1257-F1257</f>
        <v>94</v>
      </c>
      <c r="I1257" s="10" t="n">
        <f aca="false">IF(E1257="Won",1,0)</f>
        <v>1</v>
      </c>
    </row>
    <row r="1258" customFormat="false" ht="15" hidden="false" customHeight="false" outlineLevel="0" collapsed="false">
      <c r="A1258" s="10" t="s">
        <v>3599</v>
      </c>
      <c r="B1258" s="10" t="s">
        <v>88</v>
      </c>
      <c r="C1258" s="10" t="s">
        <v>49</v>
      </c>
      <c r="D1258" s="10" t="s">
        <v>247</v>
      </c>
      <c r="E1258" s="10" t="s">
        <v>2342</v>
      </c>
      <c r="F1258" s="30" t="n">
        <v>42790</v>
      </c>
      <c r="G1258" s="30" t="n">
        <v>42857</v>
      </c>
      <c r="H1258" s="26" t="n">
        <f aca="false">G1258-F1258</f>
        <v>67</v>
      </c>
      <c r="I1258" s="10" t="n">
        <f aca="false">IF(E1258="Won",1,0)</f>
        <v>1</v>
      </c>
    </row>
    <row r="1259" customFormat="false" ht="15" hidden="false" customHeight="false" outlineLevel="0" collapsed="false">
      <c r="A1259" s="10" t="s">
        <v>3600</v>
      </c>
      <c r="B1259" s="10" t="s">
        <v>95</v>
      </c>
      <c r="C1259" s="10" t="s">
        <v>51</v>
      </c>
      <c r="D1259" s="10" t="s">
        <v>233</v>
      </c>
      <c r="E1259" s="10" t="s">
        <v>2342</v>
      </c>
      <c r="F1259" s="30" t="n">
        <v>42810</v>
      </c>
      <c r="G1259" s="30" t="n">
        <v>42857</v>
      </c>
      <c r="H1259" s="26" t="n">
        <f aca="false">G1259-F1259</f>
        <v>47</v>
      </c>
      <c r="I1259" s="10" t="n">
        <f aca="false">IF(E1259="Won",1,0)</f>
        <v>1</v>
      </c>
    </row>
    <row r="1260" customFormat="false" ht="15" hidden="false" customHeight="false" outlineLevel="0" collapsed="false">
      <c r="A1260" s="10" t="s">
        <v>3601</v>
      </c>
      <c r="B1260" s="10" t="s">
        <v>71</v>
      </c>
      <c r="C1260" s="10" t="s">
        <v>51</v>
      </c>
      <c r="D1260" s="10" t="s">
        <v>291</v>
      </c>
      <c r="E1260" s="10" t="s">
        <v>2342</v>
      </c>
      <c r="F1260" s="30" t="n">
        <v>42810</v>
      </c>
      <c r="G1260" s="30" t="n">
        <v>42857</v>
      </c>
      <c r="H1260" s="26" t="n">
        <f aca="false">G1260-F1260</f>
        <v>47</v>
      </c>
      <c r="I1260" s="10" t="n">
        <f aca="false">IF(E1260="Won",1,0)</f>
        <v>1</v>
      </c>
    </row>
    <row r="1261" customFormat="false" ht="15" hidden="false" customHeight="false" outlineLevel="0" collapsed="false">
      <c r="A1261" s="10" t="s">
        <v>3602</v>
      </c>
      <c r="B1261" s="10" t="s">
        <v>77</v>
      </c>
      <c r="C1261" s="10" t="s">
        <v>51</v>
      </c>
      <c r="D1261" s="10" t="s">
        <v>527</v>
      </c>
      <c r="E1261" s="10" t="s">
        <v>2345</v>
      </c>
      <c r="F1261" s="30" t="n">
        <v>42810</v>
      </c>
      <c r="G1261" s="30" t="n">
        <v>42857</v>
      </c>
      <c r="H1261" s="26" t="n">
        <f aca="false">G1261-F1261</f>
        <v>47</v>
      </c>
      <c r="I1261" s="10" t="n">
        <f aca="false">IF(E1261="Won",1,0)</f>
        <v>0</v>
      </c>
    </row>
    <row r="1262" customFormat="false" ht="15" hidden="false" customHeight="false" outlineLevel="0" collapsed="false">
      <c r="A1262" s="10" t="s">
        <v>3603</v>
      </c>
      <c r="B1262" s="10" t="s">
        <v>77</v>
      </c>
      <c r="C1262" s="10" t="s">
        <v>52</v>
      </c>
      <c r="D1262" s="10" t="s">
        <v>961</v>
      </c>
      <c r="E1262" s="10" t="s">
        <v>2345</v>
      </c>
      <c r="F1262" s="30" t="n">
        <v>42793</v>
      </c>
      <c r="G1262" s="30" t="n">
        <v>42857</v>
      </c>
      <c r="H1262" s="26" t="n">
        <f aca="false">G1262-F1262</f>
        <v>64</v>
      </c>
      <c r="I1262" s="10" t="n">
        <f aca="false">IF(E1262="Won",1,0)</f>
        <v>0</v>
      </c>
    </row>
    <row r="1263" customFormat="false" ht="15" hidden="false" customHeight="false" outlineLevel="0" collapsed="false">
      <c r="A1263" s="10" t="s">
        <v>3604</v>
      </c>
      <c r="B1263" s="10" t="s">
        <v>86</v>
      </c>
      <c r="C1263" s="10" t="s">
        <v>49</v>
      </c>
      <c r="D1263" s="10" t="s">
        <v>532</v>
      </c>
      <c r="E1263" s="10" t="s">
        <v>2345</v>
      </c>
      <c r="F1263" s="30" t="n">
        <v>42771</v>
      </c>
      <c r="G1263" s="30" t="n">
        <v>42857</v>
      </c>
      <c r="H1263" s="26" t="n">
        <f aca="false">G1263-F1263</f>
        <v>86</v>
      </c>
      <c r="I1263" s="10" t="n">
        <f aca="false">IF(E1263="Won",1,0)</f>
        <v>0</v>
      </c>
    </row>
    <row r="1264" customFormat="false" ht="15" hidden="false" customHeight="false" outlineLevel="0" collapsed="false">
      <c r="A1264" s="10" t="s">
        <v>3605</v>
      </c>
      <c r="B1264" s="10" t="s">
        <v>75</v>
      </c>
      <c r="C1264" s="10" t="s">
        <v>52</v>
      </c>
      <c r="D1264" s="10" t="s">
        <v>193</v>
      </c>
      <c r="E1264" s="10" t="s">
        <v>2342</v>
      </c>
      <c r="F1264" s="30" t="n">
        <v>42845</v>
      </c>
      <c r="G1264" s="30" t="n">
        <v>42857</v>
      </c>
      <c r="H1264" s="26" t="n">
        <f aca="false">G1264-F1264</f>
        <v>12</v>
      </c>
      <c r="I1264" s="10" t="n">
        <f aca="false">IF(E1264="Won",1,0)</f>
        <v>1</v>
      </c>
    </row>
    <row r="1265" customFormat="false" ht="15" hidden="false" customHeight="false" outlineLevel="0" collapsed="false">
      <c r="A1265" s="10" t="s">
        <v>3606</v>
      </c>
      <c r="B1265" s="10" t="s">
        <v>95</v>
      </c>
      <c r="C1265" s="10" t="s">
        <v>51</v>
      </c>
      <c r="D1265" s="10" t="s">
        <v>432</v>
      </c>
      <c r="E1265" s="10" t="s">
        <v>2342</v>
      </c>
      <c r="F1265" s="30" t="n">
        <v>42770</v>
      </c>
      <c r="G1265" s="30" t="n">
        <v>42857</v>
      </c>
      <c r="H1265" s="26" t="n">
        <f aca="false">G1265-F1265</f>
        <v>87</v>
      </c>
      <c r="I1265" s="10" t="n">
        <f aca="false">IF(E1265="Won",1,0)</f>
        <v>1</v>
      </c>
    </row>
    <row r="1266" customFormat="false" ht="15" hidden="false" customHeight="false" outlineLevel="0" collapsed="false">
      <c r="A1266" s="10" t="s">
        <v>3607</v>
      </c>
      <c r="B1266" s="10" t="s">
        <v>74</v>
      </c>
      <c r="C1266" s="10" t="s">
        <v>51</v>
      </c>
      <c r="D1266" s="10" t="s">
        <v>279</v>
      </c>
      <c r="E1266" s="10" t="s">
        <v>2342</v>
      </c>
      <c r="F1266" s="30" t="n">
        <v>42767</v>
      </c>
      <c r="G1266" s="30" t="n">
        <v>42857</v>
      </c>
      <c r="H1266" s="26" t="n">
        <f aca="false">G1266-F1266</f>
        <v>90</v>
      </c>
      <c r="I1266" s="10" t="n">
        <f aca="false">IF(E1266="Won",1,0)</f>
        <v>1</v>
      </c>
    </row>
    <row r="1267" customFormat="false" ht="15" hidden="false" customHeight="false" outlineLevel="0" collapsed="false">
      <c r="A1267" s="10" t="s">
        <v>3608</v>
      </c>
      <c r="B1267" s="10" t="s">
        <v>77</v>
      </c>
      <c r="C1267" s="10" t="s">
        <v>52</v>
      </c>
      <c r="D1267" s="10" t="s">
        <v>388</v>
      </c>
      <c r="E1267" s="10" t="s">
        <v>2342</v>
      </c>
      <c r="F1267" s="30" t="n">
        <v>42856</v>
      </c>
      <c r="G1267" s="30" t="n">
        <v>42857</v>
      </c>
      <c r="H1267" s="26" t="n">
        <f aca="false">G1267-F1267</f>
        <v>1</v>
      </c>
      <c r="I1267" s="10" t="n">
        <f aca="false">IF(E1267="Won",1,0)</f>
        <v>1</v>
      </c>
    </row>
    <row r="1268" customFormat="false" ht="15" hidden="false" customHeight="false" outlineLevel="0" collapsed="false">
      <c r="A1268" s="10" t="s">
        <v>3609</v>
      </c>
      <c r="B1268" s="10" t="s">
        <v>81</v>
      </c>
      <c r="C1268" s="10" t="s">
        <v>49</v>
      </c>
      <c r="D1268" s="10" t="s">
        <v>179</v>
      </c>
      <c r="E1268" s="10" t="s">
        <v>2345</v>
      </c>
      <c r="F1268" s="30" t="n">
        <v>42850</v>
      </c>
      <c r="G1268" s="30" t="n">
        <v>42857</v>
      </c>
      <c r="H1268" s="26" t="n">
        <f aca="false">G1268-F1268</f>
        <v>7</v>
      </c>
      <c r="I1268" s="10" t="n">
        <f aca="false">IF(E1268="Won",1,0)</f>
        <v>0</v>
      </c>
    </row>
    <row r="1269" customFormat="false" ht="15" hidden="false" customHeight="false" outlineLevel="0" collapsed="false">
      <c r="A1269" s="10" t="s">
        <v>3610</v>
      </c>
      <c r="B1269" s="10" t="s">
        <v>97</v>
      </c>
      <c r="C1269" s="10" t="s">
        <v>49</v>
      </c>
      <c r="D1269" s="10" t="s">
        <v>606</v>
      </c>
      <c r="E1269" s="10" t="s">
        <v>2342</v>
      </c>
      <c r="F1269" s="30" t="n">
        <v>42778</v>
      </c>
      <c r="G1269" s="30" t="n">
        <v>42857</v>
      </c>
      <c r="H1269" s="26" t="n">
        <f aca="false">G1269-F1269</f>
        <v>79</v>
      </c>
      <c r="I1269" s="10" t="n">
        <f aca="false">IF(E1269="Won",1,0)</f>
        <v>1</v>
      </c>
    </row>
    <row r="1270" customFormat="false" ht="15" hidden="false" customHeight="false" outlineLevel="0" collapsed="false">
      <c r="A1270" s="10" t="s">
        <v>3611</v>
      </c>
      <c r="B1270" s="10" t="s">
        <v>84</v>
      </c>
      <c r="C1270" s="10" t="s">
        <v>51</v>
      </c>
      <c r="D1270" s="10" t="s">
        <v>293</v>
      </c>
      <c r="E1270" s="10" t="s">
        <v>2342</v>
      </c>
      <c r="F1270" s="30" t="n">
        <v>42785</v>
      </c>
      <c r="G1270" s="30" t="n">
        <v>42857</v>
      </c>
      <c r="H1270" s="26" t="n">
        <f aca="false">G1270-F1270</f>
        <v>72</v>
      </c>
      <c r="I1270" s="10" t="n">
        <f aca="false">IF(E1270="Won",1,0)</f>
        <v>1</v>
      </c>
    </row>
    <row r="1271" customFormat="false" ht="15" hidden="false" customHeight="false" outlineLevel="0" collapsed="false">
      <c r="A1271" s="10" t="s">
        <v>3612</v>
      </c>
      <c r="B1271" s="10" t="s">
        <v>73</v>
      </c>
      <c r="C1271" s="10" t="s">
        <v>49</v>
      </c>
      <c r="D1271" s="10" t="s">
        <v>597</v>
      </c>
      <c r="E1271" s="10" t="s">
        <v>2345</v>
      </c>
      <c r="F1271" s="30" t="n">
        <v>42806</v>
      </c>
      <c r="G1271" s="30" t="n">
        <v>42857</v>
      </c>
      <c r="H1271" s="26" t="n">
        <f aca="false">G1271-F1271</f>
        <v>51</v>
      </c>
      <c r="I1271" s="10" t="n">
        <f aca="false">IF(E1271="Won",1,0)</f>
        <v>0</v>
      </c>
    </row>
    <row r="1272" customFormat="false" ht="15" hidden="false" customHeight="false" outlineLevel="0" collapsed="false">
      <c r="A1272" s="10" t="s">
        <v>3613</v>
      </c>
      <c r="B1272" s="10" t="s">
        <v>57</v>
      </c>
      <c r="C1272" s="10" t="s">
        <v>50</v>
      </c>
      <c r="D1272" s="10" t="s">
        <v>185</v>
      </c>
      <c r="E1272" s="10" t="s">
        <v>2345</v>
      </c>
      <c r="F1272" s="30" t="n">
        <v>42750</v>
      </c>
      <c r="G1272" s="30" t="n">
        <v>42857</v>
      </c>
      <c r="H1272" s="26" t="n">
        <f aca="false">G1272-F1272</f>
        <v>107</v>
      </c>
      <c r="I1272" s="10" t="n">
        <f aca="false">IF(E1272="Won",1,0)</f>
        <v>0</v>
      </c>
    </row>
    <row r="1273" customFormat="false" ht="15" hidden="false" customHeight="false" outlineLevel="0" collapsed="false">
      <c r="A1273" s="10" t="s">
        <v>3614</v>
      </c>
      <c r="B1273" s="10" t="s">
        <v>83</v>
      </c>
      <c r="C1273" s="10" t="s">
        <v>48</v>
      </c>
      <c r="D1273" s="10" t="s">
        <v>422</v>
      </c>
      <c r="E1273" s="10" t="s">
        <v>2345</v>
      </c>
      <c r="F1273" s="30" t="n">
        <v>42798</v>
      </c>
      <c r="G1273" s="30" t="n">
        <v>42857</v>
      </c>
      <c r="H1273" s="26" t="n">
        <f aca="false">G1273-F1273</f>
        <v>59</v>
      </c>
      <c r="I1273" s="10" t="n">
        <f aca="false">IF(E1273="Won",1,0)</f>
        <v>0</v>
      </c>
    </row>
    <row r="1274" customFormat="false" ht="15" hidden="false" customHeight="false" outlineLevel="0" collapsed="false">
      <c r="A1274" s="10" t="s">
        <v>3615</v>
      </c>
      <c r="B1274" s="10" t="s">
        <v>80</v>
      </c>
      <c r="C1274" s="10" t="s">
        <v>49</v>
      </c>
      <c r="D1274" s="10" t="s">
        <v>524</v>
      </c>
      <c r="E1274" s="10" t="s">
        <v>2345</v>
      </c>
      <c r="F1274" s="30" t="n">
        <v>42846</v>
      </c>
      <c r="G1274" s="30" t="n">
        <v>42857</v>
      </c>
      <c r="H1274" s="26" t="n">
        <f aca="false">G1274-F1274</f>
        <v>11</v>
      </c>
      <c r="I1274" s="10" t="n">
        <f aca="false">IF(E1274="Won",1,0)</f>
        <v>0</v>
      </c>
    </row>
    <row r="1275" customFormat="false" ht="15" hidden="false" customHeight="false" outlineLevel="0" collapsed="false">
      <c r="A1275" s="10" t="s">
        <v>3616</v>
      </c>
      <c r="B1275" s="10" t="s">
        <v>97</v>
      </c>
      <c r="C1275" s="10" t="s">
        <v>48</v>
      </c>
      <c r="D1275" s="10" t="s">
        <v>396</v>
      </c>
      <c r="E1275" s="10" t="s">
        <v>2345</v>
      </c>
      <c r="F1275" s="30" t="n">
        <v>42846</v>
      </c>
      <c r="G1275" s="30" t="n">
        <v>42857</v>
      </c>
      <c r="H1275" s="26" t="n">
        <f aca="false">G1275-F1275</f>
        <v>11</v>
      </c>
      <c r="I1275" s="10" t="n">
        <f aca="false">IF(E1275="Won",1,0)</f>
        <v>0</v>
      </c>
    </row>
    <row r="1276" customFormat="false" ht="15" hidden="false" customHeight="false" outlineLevel="0" collapsed="false">
      <c r="A1276" s="10" t="s">
        <v>3617</v>
      </c>
      <c r="B1276" s="10" t="s">
        <v>74</v>
      </c>
      <c r="C1276" s="10" t="s">
        <v>47</v>
      </c>
      <c r="D1276" s="10" t="s">
        <v>597</v>
      </c>
      <c r="E1276" s="10" t="s">
        <v>2345</v>
      </c>
      <c r="F1276" s="30" t="n">
        <v>42848</v>
      </c>
      <c r="G1276" s="30" t="n">
        <v>42857</v>
      </c>
      <c r="H1276" s="26" t="n">
        <f aca="false">G1276-F1276</f>
        <v>9</v>
      </c>
      <c r="I1276" s="10" t="n">
        <f aca="false">IF(E1276="Won",1,0)</f>
        <v>0</v>
      </c>
    </row>
    <row r="1277" customFormat="false" ht="15" hidden="false" customHeight="false" outlineLevel="0" collapsed="false">
      <c r="A1277" s="10" t="s">
        <v>3618</v>
      </c>
      <c r="B1277" s="10" t="s">
        <v>74</v>
      </c>
      <c r="C1277" s="10" t="s">
        <v>50</v>
      </c>
      <c r="D1277" s="10" t="s">
        <v>353</v>
      </c>
      <c r="E1277" s="10" t="s">
        <v>2345</v>
      </c>
      <c r="F1277" s="30" t="n">
        <v>42842</v>
      </c>
      <c r="G1277" s="30" t="n">
        <v>42857</v>
      </c>
      <c r="H1277" s="26" t="n">
        <f aca="false">G1277-F1277</f>
        <v>15</v>
      </c>
      <c r="I1277" s="10" t="n">
        <f aca="false">IF(E1277="Won",1,0)</f>
        <v>0</v>
      </c>
    </row>
    <row r="1278" customFormat="false" ht="15" hidden="false" customHeight="false" outlineLevel="0" collapsed="false">
      <c r="A1278" s="10" t="s">
        <v>3619</v>
      </c>
      <c r="B1278" s="10" t="s">
        <v>90</v>
      </c>
      <c r="C1278" s="10" t="s">
        <v>49</v>
      </c>
      <c r="D1278" s="10" t="s">
        <v>254</v>
      </c>
      <c r="E1278" s="10" t="s">
        <v>2342</v>
      </c>
      <c r="F1278" s="30" t="n">
        <v>42846</v>
      </c>
      <c r="G1278" s="30" t="n">
        <v>42857</v>
      </c>
      <c r="H1278" s="26" t="n">
        <f aca="false">G1278-F1278</f>
        <v>11</v>
      </c>
      <c r="I1278" s="10" t="n">
        <f aca="false">IF(E1278="Won",1,0)</f>
        <v>1</v>
      </c>
    </row>
    <row r="1279" customFormat="false" ht="15" hidden="false" customHeight="false" outlineLevel="0" collapsed="false">
      <c r="A1279" s="10" t="s">
        <v>3620</v>
      </c>
      <c r="B1279" s="10" t="s">
        <v>74</v>
      </c>
      <c r="C1279" s="10" t="s">
        <v>51</v>
      </c>
      <c r="D1279" s="10" t="s">
        <v>353</v>
      </c>
      <c r="E1279" s="10" t="s">
        <v>2345</v>
      </c>
      <c r="F1279" s="30" t="n">
        <v>42745</v>
      </c>
      <c r="G1279" s="30" t="n">
        <v>42857</v>
      </c>
      <c r="H1279" s="26" t="n">
        <f aca="false">G1279-F1279</f>
        <v>112</v>
      </c>
      <c r="I1279" s="10" t="n">
        <f aca="false">IF(E1279="Won",1,0)</f>
        <v>0</v>
      </c>
    </row>
    <row r="1280" customFormat="false" ht="15" hidden="false" customHeight="false" outlineLevel="0" collapsed="false">
      <c r="A1280" s="10" t="s">
        <v>3621</v>
      </c>
      <c r="B1280" s="10" t="s">
        <v>79</v>
      </c>
      <c r="C1280" s="10" t="s">
        <v>48</v>
      </c>
      <c r="D1280" s="10" t="s">
        <v>291</v>
      </c>
      <c r="E1280" s="10" t="s">
        <v>2342</v>
      </c>
      <c r="F1280" s="30" t="n">
        <v>42848</v>
      </c>
      <c r="G1280" s="30" t="n">
        <v>42857</v>
      </c>
      <c r="H1280" s="26" t="n">
        <f aca="false">G1280-F1280</f>
        <v>9</v>
      </c>
      <c r="I1280" s="10" t="n">
        <f aca="false">IF(E1280="Won",1,0)</f>
        <v>1</v>
      </c>
    </row>
    <row r="1281" customFormat="false" ht="15" hidden="false" customHeight="false" outlineLevel="0" collapsed="false">
      <c r="A1281" s="10" t="s">
        <v>3622</v>
      </c>
      <c r="B1281" s="10" t="s">
        <v>93</v>
      </c>
      <c r="C1281" s="10" t="s">
        <v>47</v>
      </c>
      <c r="D1281" s="10" t="s">
        <v>487</v>
      </c>
      <c r="E1281" s="10" t="s">
        <v>2342</v>
      </c>
      <c r="F1281" s="30" t="n">
        <v>42845</v>
      </c>
      <c r="G1281" s="30" t="n">
        <v>42857</v>
      </c>
      <c r="H1281" s="26" t="n">
        <f aca="false">G1281-F1281</f>
        <v>12</v>
      </c>
      <c r="I1281" s="10" t="n">
        <f aca="false">IF(E1281="Won",1,0)</f>
        <v>1</v>
      </c>
    </row>
    <row r="1282" customFormat="false" ht="15" hidden="false" customHeight="false" outlineLevel="0" collapsed="false">
      <c r="A1282" s="10" t="s">
        <v>3623</v>
      </c>
      <c r="B1282" s="10" t="s">
        <v>77</v>
      </c>
      <c r="C1282" s="10" t="s">
        <v>50</v>
      </c>
      <c r="D1282" s="10" t="s">
        <v>762</v>
      </c>
      <c r="E1282" s="10" t="s">
        <v>2345</v>
      </c>
      <c r="F1282" s="30" t="n">
        <v>42806</v>
      </c>
      <c r="G1282" s="30" t="n">
        <v>42857</v>
      </c>
      <c r="H1282" s="26" t="n">
        <f aca="false">G1282-F1282</f>
        <v>51</v>
      </c>
      <c r="I1282" s="10" t="n">
        <f aca="false">IF(E1282="Won",1,0)</f>
        <v>0</v>
      </c>
    </row>
    <row r="1283" customFormat="false" ht="15" hidden="false" customHeight="false" outlineLevel="0" collapsed="false">
      <c r="A1283" s="10" t="s">
        <v>3624</v>
      </c>
      <c r="B1283" s="10" t="s">
        <v>79</v>
      </c>
      <c r="C1283" s="10" t="s">
        <v>50</v>
      </c>
      <c r="D1283" s="10" t="s">
        <v>388</v>
      </c>
      <c r="E1283" s="10" t="s">
        <v>2345</v>
      </c>
      <c r="F1283" s="30" t="n">
        <v>42845</v>
      </c>
      <c r="G1283" s="30" t="n">
        <v>42857</v>
      </c>
      <c r="H1283" s="26" t="n">
        <f aca="false">G1283-F1283</f>
        <v>12</v>
      </c>
      <c r="I1283" s="10" t="n">
        <f aca="false">IF(E1283="Won",1,0)</f>
        <v>0</v>
      </c>
    </row>
    <row r="1284" customFormat="false" ht="15" hidden="false" customHeight="false" outlineLevel="0" collapsed="false">
      <c r="A1284" s="10" t="s">
        <v>3625</v>
      </c>
      <c r="B1284" s="10" t="s">
        <v>61</v>
      </c>
      <c r="C1284" s="10" t="s">
        <v>52</v>
      </c>
      <c r="D1284" s="10" t="s">
        <v>692</v>
      </c>
      <c r="E1284" s="10" t="s">
        <v>2342</v>
      </c>
      <c r="F1284" s="30" t="n">
        <v>42853</v>
      </c>
      <c r="G1284" s="30" t="n">
        <v>42858</v>
      </c>
      <c r="H1284" s="26" t="n">
        <f aca="false">G1284-F1284</f>
        <v>5</v>
      </c>
      <c r="I1284" s="10" t="n">
        <f aca="false">IF(E1284="Won",1,0)</f>
        <v>1</v>
      </c>
    </row>
    <row r="1285" customFormat="false" ht="15" hidden="false" customHeight="false" outlineLevel="0" collapsed="false">
      <c r="A1285" s="10" t="s">
        <v>3626</v>
      </c>
      <c r="B1285" s="10" t="s">
        <v>73</v>
      </c>
      <c r="C1285" s="10" t="s">
        <v>51</v>
      </c>
      <c r="D1285" s="10" t="s">
        <v>353</v>
      </c>
      <c r="E1285" s="10" t="s">
        <v>2342</v>
      </c>
      <c r="F1285" s="30" t="n">
        <v>42793</v>
      </c>
      <c r="G1285" s="30" t="n">
        <v>42858</v>
      </c>
      <c r="H1285" s="26" t="n">
        <f aca="false">G1285-F1285</f>
        <v>65</v>
      </c>
      <c r="I1285" s="10" t="n">
        <f aca="false">IF(E1285="Won",1,0)</f>
        <v>1</v>
      </c>
    </row>
    <row r="1286" customFormat="false" ht="15" hidden="false" customHeight="false" outlineLevel="0" collapsed="false">
      <c r="A1286" s="10" t="s">
        <v>3627</v>
      </c>
      <c r="B1286" s="10" t="s">
        <v>96</v>
      </c>
      <c r="C1286" s="10" t="s">
        <v>52</v>
      </c>
      <c r="D1286" s="10" t="s">
        <v>384</v>
      </c>
      <c r="E1286" s="10" t="s">
        <v>2345</v>
      </c>
      <c r="F1286" s="30" t="n">
        <v>42792</v>
      </c>
      <c r="G1286" s="30" t="n">
        <v>42858</v>
      </c>
      <c r="H1286" s="26" t="n">
        <f aca="false">G1286-F1286</f>
        <v>66</v>
      </c>
      <c r="I1286" s="10" t="n">
        <f aca="false">IF(E1286="Won",1,0)</f>
        <v>0</v>
      </c>
    </row>
    <row r="1287" customFormat="false" ht="15" hidden="false" customHeight="false" outlineLevel="0" collapsed="false">
      <c r="A1287" s="10" t="s">
        <v>3628</v>
      </c>
      <c r="B1287" s="10" t="s">
        <v>60</v>
      </c>
      <c r="C1287" s="10" t="s">
        <v>52</v>
      </c>
      <c r="D1287" s="10" t="s">
        <v>254</v>
      </c>
      <c r="E1287" s="10" t="s">
        <v>2342</v>
      </c>
      <c r="F1287" s="30" t="n">
        <v>42807</v>
      </c>
      <c r="G1287" s="30" t="n">
        <v>42858</v>
      </c>
      <c r="H1287" s="26" t="n">
        <f aca="false">G1287-F1287</f>
        <v>51</v>
      </c>
      <c r="I1287" s="10" t="n">
        <f aca="false">IF(E1287="Won",1,0)</f>
        <v>1</v>
      </c>
    </row>
    <row r="1288" customFormat="false" ht="15" hidden="false" customHeight="false" outlineLevel="0" collapsed="false">
      <c r="A1288" s="10" t="s">
        <v>3629</v>
      </c>
      <c r="B1288" s="10" t="s">
        <v>97</v>
      </c>
      <c r="C1288" s="10" t="s">
        <v>50</v>
      </c>
      <c r="D1288" s="10" t="s">
        <v>326</v>
      </c>
      <c r="E1288" s="10" t="s">
        <v>2342</v>
      </c>
      <c r="F1288" s="30" t="n">
        <v>42756</v>
      </c>
      <c r="G1288" s="30" t="n">
        <v>42858</v>
      </c>
      <c r="H1288" s="26" t="n">
        <f aca="false">G1288-F1288</f>
        <v>102</v>
      </c>
      <c r="I1288" s="10" t="n">
        <f aca="false">IF(E1288="Won",1,0)</f>
        <v>1</v>
      </c>
    </row>
    <row r="1289" customFormat="false" ht="15" hidden="false" customHeight="false" outlineLevel="0" collapsed="false">
      <c r="A1289" s="10" t="s">
        <v>3630</v>
      </c>
      <c r="B1289" s="10" t="s">
        <v>57</v>
      </c>
      <c r="C1289" s="10" t="s">
        <v>48</v>
      </c>
      <c r="D1289" s="10" t="s">
        <v>453</v>
      </c>
      <c r="E1289" s="10" t="s">
        <v>2345</v>
      </c>
      <c r="F1289" s="30" t="n">
        <v>42811</v>
      </c>
      <c r="G1289" s="30" t="n">
        <v>42858</v>
      </c>
      <c r="H1289" s="26" t="n">
        <f aca="false">G1289-F1289</f>
        <v>47</v>
      </c>
      <c r="I1289" s="10" t="n">
        <f aca="false">IF(E1289="Won",1,0)</f>
        <v>0</v>
      </c>
    </row>
    <row r="1290" customFormat="false" ht="15" hidden="false" customHeight="false" outlineLevel="0" collapsed="false">
      <c r="A1290" s="10" t="s">
        <v>3631</v>
      </c>
      <c r="B1290" s="10" t="s">
        <v>57</v>
      </c>
      <c r="C1290" s="10" t="s">
        <v>49</v>
      </c>
      <c r="D1290" s="10" t="s">
        <v>286</v>
      </c>
      <c r="E1290" s="10" t="s">
        <v>2342</v>
      </c>
      <c r="F1290" s="30" t="n">
        <v>42843</v>
      </c>
      <c r="G1290" s="30" t="n">
        <v>42858</v>
      </c>
      <c r="H1290" s="26" t="n">
        <f aca="false">G1290-F1290</f>
        <v>15</v>
      </c>
      <c r="I1290" s="10" t="n">
        <f aca="false">IF(E1290="Won",1,0)</f>
        <v>1</v>
      </c>
    </row>
    <row r="1291" customFormat="false" ht="15" hidden="false" customHeight="false" outlineLevel="0" collapsed="false">
      <c r="A1291" s="10" t="s">
        <v>3632</v>
      </c>
      <c r="B1291" s="10" t="s">
        <v>93</v>
      </c>
      <c r="C1291" s="10" t="s">
        <v>47</v>
      </c>
      <c r="D1291" s="10" t="s">
        <v>711</v>
      </c>
      <c r="E1291" s="10" t="s">
        <v>2342</v>
      </c>
      <c r="F1291" s="30" t="n">
        <v>42753</v>
      </c>
      <c r="G1291" s="30" t="n">
        <v>42858</v>
      </c>
      <c r="H1291" s="26" t="n">
        <f aca="false">G1291-F1291</f>
        <v>105</v>
      </c>
      <c r="I1291" s="10" t="n">
        <f aca="false">IF(E1291="Won",1,0)</f>
        <v>1</v>
      </c>
    </row>
    <row r="1292" customFormat="false" ht="15" hidden="false" customHeight="false" outlineLevel="0" collapsed="false">
      <c r="A1292" s="10" t="s">
        <v>3633</v>
      </c>
      <c r="B1292" s="10" t="s">
        <v>80</v>
      </c>
      <c r="C1292" s="10" t="s">
        <v>50</v>
      </c>
      <c r="D1292" s="10" t="s">
        <v>179</v>
      </c>
      <c r="E1292" s="10" t="s">
        <v>2345</v>
      </c>
      <c r="F1292" s="30" t="n">
        <v>42816</v>
      </c>
      <c r="G1292" s="30" t="n">
        <v>42858</v>
      </c>
      <c r="H1292" s="26" t="n">
        <f aca="false">G1292-F1292</f>
        <v>42</v>
      </c>
      <c r="I1292" s="10" t="n">
        <f aca="false">IF(E1292="Won",1,0)</f>
        <v>0</v>
      </c>
    </row>
    <row r="1293" customFormat="false" ht="15" hidden="false" customHeight="false" outlineLevel="0" collapsed="false">
      <c r="A1293" s="10" t="s">
        <v>3634</v>
      </c>
      <c r="B1293" s="10" t="s">
        <v>62</v>
      </c>
      <c r="C1293" s="10" t="s">
        <v>52</v>
      </c>
      <c r="D1293" s="10" t="s">
        <v>441</v>
      </c>
      <c r="E1293" s="10" t="s">
        <v>2345</v>
      </c>
      <c r="F1293" s="30" t="n">
        <v>42841</v>
      </c>
      <c r="G1293" s="30" t="n">
        <v>42858</v>
      </c>
      <c r="H1293" s="26" t="n">
        <f aca="false">G1293-F1293</f>
        <v>17</v>
      </c>
      <c r="I1293" s="10" t="n">
        <f aca="false">IF(E1293="Won",1,0)</f>
        <v>0</v>
      </c>
    </row>
    <row r="1294" customFormat="false" ht="15" hidden="false" customHeight="false" outlineLevel="0" collapsed="false">
      <c r="A1294" s="10" t="s">
        <v>3635</v>
      </c>
      <c r="B1294" s="10" t="s">
        <v>79</v>
      </c>
      <c r="C1294" s="10" t="s">
        <v>48</v>
      </c>
      <c r="D1294" s="10" t="s">
        <v>512</v>
      </c>
      <c r="E1294" s="10" t="s">
        <v>2345</v>
      </c>
      <c r="F1294" s="30" t="n">
        <v>42849</v>
      </c>
      <c r="G1294" s="30" t="n">
        <v>42858</v>
      </c>
      <c r="H1294" s="26" t="n">
        <f aca="false">G1294-F1294</f>
        <v>9</v>
      </c>
      <c r="I1294" s="10" t="n">
        <f aca="false">IF(E1294="Won",1,0)</f>
        <v>0</v>
      </c>
    </row>
    <row r="1295" customFormat="false" ht="15" hidden="false" customHeight="false" outlineLevel="0" collapsed="false">
      <c r="A1295" s="10" t="s">
        <v>3636</v>
      </c>
      <c r="B1295" s="10" t="s">
        <v>68</v>
      </c>
      <c r="C1295" s="10" t="s">
        <v>48</v>
      </c>
      <c r="D1295" s="10" t="s">
        <v>384</v>
      </c>
      <c r="E1295" s="10" t="s">
        <v>2342</v>
      </c>
      <c r="F1295" s="30" t="n">
        <v>42755</v>
      </c>
      <c r="G1295" s="30" t="n">
        <v>42858</v>
      </c>
      <c r="H1295" s="26" t="n">
        <f aca="false">G1295-F1295</f>
        <v>103</v>
      </c>
      <c r="I1295" s="10" t="n">
        <f aca="false">IF(E1295="Won",1,0)</f>
        <v>1</v>
      </c>
    </row>
    <row r="1296" customFormat="false" ht="15" hidden="false" customHeight="false" outlineLevel="0" collapsed="false">
      <c r="A1296" s="10" t="s">
        <v>3637</v>
      </c>
      <c r="B1296" s="10" t="s">
        <v>93</v>
      </c>
      <c r="C1296" s="10" t="s">
        <v>50</v>
      </c>
      <c r="D1296" s="10" t="s">
        <v>419</v>
      </c>
      <c r="E1296" s="10" t="s">
        <v>2342</v>
      </c>
      <c r="F1296" s="30" t="n">
        <v>42764</v>
      </c>
      <c r="G1296" s="30" t="n">
        <v>42858</v>
      </c>
      <c r="H1296" s="26" t="n">
        <f aca="false">G1296-F1296</f>
        <v>94</v>
      </c>
      <c r="I1296" s="10" t="n">
        <f aca="false">IF(E1296="Won",1,0)</f>
        <v>1</v>
      </c>
    </row>
    <row r="1297" customFormat="false" ht="15" hidden="false" customHeight="false" outlineLevel="0" collapsed="false">
      <c r="A1297" s="10" t="s">
        <v>3638</v>
      </c>
      <c r="B1297" s="10" t="s">
        <v>68</v>
      </c>
      <c r="C1297" s="10" t="s">
        <v>48</v>
      </c>
      <c r="D1297" s="10" t="s">
        <v>384</v>
      </c>
      <c r="E1297" s="10" t="s">
        <v>2342</v>
      </c>
      <c r="F1297" s="30" t="n">
        <v>42806</v>
      </c>
      <c r="G1297" s="30" t="n">
        <v>42858</v>
      </c>
      <c r="H1297" s="26" t="n">
        <f aca="false">G1297-F1297</f>
        <v>52</v>
      </c>
      <c r="I1297" s="10" t="n">
        <f aca="false">IF(E1297="Won",1,0)</f>
        <v>1</v>
      </c>
    </row>
    <row r="1298" customFormat="false" ht="15" hidden="false" customHeight="false" outlineLevel="0" collapsed="false">
      <c r="A1298" s="10" t="s">
        <v>3639</v>
      </c>
      <c r="B1298" s="10" t="s">
        <v>81</v>
      </c>
      <c r="C1298" s="10" t="s">
        <v>47</v>
      </c>
      <c r="D1298" s="10" t="s">
        <v>410</v>
      </c>
      <c r="E1298" s="10" t="s">
        <v>2342</v>
      </c>
      <c r="F1298" s="30" t="n">
        <v>42774</v>
      </c>
      <c r="G1298" s="30" t="n">
        <v>42859</v>
      </c>
      <c r="H1298" s="26" t="n">
        <f aca="false">G1298-F1298</f>
        <v>85</v>
      </c>
      <c r="I1298" s="10" t="n">
        <f aca="false">IF(E1298="Won",1,0)</f>
        <v>1</v>
      </c>
    </row>
    <row r="1299" customFormat="false" ht="15" hidden="false" customHeight="false" outlineLevel="0" collapsed="false">
      <c r="A1299" s="10" t="s">
        <v>3640</v>
      </c>
      <c r="B1299" s="10" t="s">
        <v>93</v>
      </c>
      <c r="C1299" s="10" t="s">
        <v>52</v>
      </c>
      <c r="D1299" s="10" t="s">
        <v>396</v>
      </c>
      <c r="E1299" s="10" t="s">
        <v>2342</v>
      </c>
      <c r="F1299" s="30" t="n">
        <v>42774</v>
      </c>
      <c r="G1299" s="30" t="n">
        <v>42859</v>
      </c>
      <c r="H1299" s="26" t="n">
        <f aca="false">G1299-F1299</f>
        <v>85</v>
      </c>
      <c r="I1299" s="10" t="n">
        <f aca="false">IF(E1299="Won",1,0)</f>
        <v>1</v>
      </c>
    </row>
    <row r="1300" customFormat="false" ht="15" hidden="false" customHeight="false" outlineLevel="0" collapsed="false">
      <c r="A1300" s="10" t="s">
        <v>3641</v>
      </c>
      <c r="B1300" s="10" t="s">
        <v>70</v>
      </c>
      <c r="C1300" s="10" t="s">
        <v>52</v>
      </c>
      <c r="D1300" s="10" t="s">
        <v>522</v>
      </c>
      <c r="E1300" s="10" t="s">
        <v>2342</v>
      </c>
      <c r="F1300" s="30" t="n">
        <v>42841</v>
      </c>
      <c r="G1300" s="30" t="n">
        <v>42859</v>
      </c>
      <c r="H1300" s="26" t="n">
        <f aca="false">G1300-F1300</f>
        <v>18</v>
      </c>
      <c r="I1300" s="10" t="n">
        <f aca="false">IF(E1300="Won",1,0)</f>
        <v>1</v>
      </c>
    </row>
    <row r="1301" customFormat="false" ht="15" hidden="false" customHeight="false" outlineLevel="0" collapsed="false">
      <c r="A1301" s="10" t="s">
        <v>3642</v>
      </c>
      <c r="B1301" s="10" t="s">
        <v>94</v>
      </c>
      <c r="C1301" s="10" t="s">
        <v>51</v>
      </c>
      <c r="D1301" s="10" t="s">
        <v>299</v>
      </c>
      <c r="E1301" s="10" t="s">
        <v>2342</v>
      </c>
      <c r="F1301" s="30" t="n">
        <v>42846</v>
      </c>
      <c r="G1301" s="30" t="n">
        <v>42859</v>
      </c>
      <c r="H1301" s="26" t="n">
        <f aca="false">G1301-F1301</f>
        <v>13</v>
      </c>
      <c r="I1301" s="10" t="n">
        <f aca="false">IF(E1301="Won",1,0)</f>
        <v>1</v>
      </c>
    </row>
    <row r="1302" customFormat="false" ht="15" hidden="false" customHeight="false" outlineLevel="0" collapsed="false">
      <c r="A1302" s="10" t="s">
        <v>3643</v>
      </c>
      <c r="B1302" s="10" t="s">
        <v>93</v>
      </c>
      <c r="C1302" s="10" t="s">
        <v>47</v>
      </c>
      <c r="D1302" s="10" t="s">
        <v>396</v>
      </c>
      <c r="E1302" s="10" t="s">
        <v>2342</v>
      </c>
      <c r="F1302" s="30" t="n">
        <v>42854</v>
      </c>
      <c r="G1302" s="30" t="n">
        <v>42859</v>
      </c>
      <c r="H1302" s="26" t="n">
        <f aca="false">G1302-F1302</f>
        <v>5</v>
      </c>
      <c r="I1302" s="10" t="n">
        <f aca="false">IF(E1302="Won",1,0)</f>
        <v>1</v>
      </c>
    </row>
    <row r="1303" customFormat="false" ht="15" hidden="false" customHeight="false" outlineLevel="0" collapsed="false">
      <c r="A1303" s="10" t="s">
        <v>3644</v>
      </c>
      <c r="B1303" s="10" t="s">
        <v>80</v>
      </c>
      <c r="C1303" s="10" t="s">
        <v>51</v>
      </c>
      <c r="D1303" s="10" t="s">
        <v>961</v>
      </c>
      <c r="E1303" s="10" t="s">
        <v>2342</v>
      </c>
      <c r="F1303" s="30" t="n">
        <v>42774</v>
      </c>
      <c r="G1303" s="30" t="n">
        <v>42859</v>
      </c>
      <c r="H1303" s="26" t="n">
        <f aca="false">G1303-F1303</f>
        <v>85</v>
      </c>
      <c r="I1303" s="10" t="n">
        <f aca="false">IF(E1303="Won",1,0)</f>
        <v>1</v>
      </c>
    </row>
    <row r="1304" customFormat="false" ht="15" hidden="false" customHeight="false" outlineLevel="0" collapsed="false">
      <c r="A1304" s="10" t="s">
        <v>3645</v>
      </c>
      <c r="B1304" s="10" t="s">
        <v>94</v>
      </c>
      <c r="C1304" s="10" t="s">
        <v>48</v>
      </c>
      <c r="D1304" s="10" t="s">
        <v>606</v>
      </c>
      <c r="E1304" s="10" t="s">
        <v>2342</v>
      </c>
      <c r="F1304" s="30" t="n">
        <v>42812</v>
      </c>
      <c r="G1304" s="30" t="n">
        <v>42859</v>
      </c>
      <c r="H1304" s="26" t="n">
        <f aca="false">G1304-F1304</f>
        <v>47</v>
      </c>
      <c r="I1304" s="10" t="n">
        <f aca="false">IF(E1304="Won",1,0)</f>
        <v>1</v>
      </c>
    </row>
    <row r="1305" customFormat="false" ht="15" hidden="false" customHeight="false" outlineLevel="0" collapsed="false">
      <c r="A1305" s="10" t="s">
        <v>3646</v>
      </c>
      <c r="B1305" s="10" t="s">
        <v>60</v>
      </c>
      <c r="C1305" s="10" t="s">
        <v>51</v>
      </c>
      <c r="D1305" s="10" t="s">
        <v>464</v>
      </c>
      <c r="E1305" s="10" t="s">
        <v>2345</v>
      </c>
      <c r="F1305" s="30" t="n">
        <v>42797</v>
      </c>
      <c r="G1305" s="30" t="n">
        <v>42859</v>
      </c>
      <c r="H1305" s="26" t="n">
        <f aca="false">G1305-F1305</f>
        <v>62</v>
      </c>
      <c r="I1305" s="10" t="n">
        <f aca="false">IF(E1305="Won",1,0)</f>
        <v>0</v>
      </c>
    </row>
    <row r="1306" customFormat="false" ht="15" hidden="false" customHeight="false" outlineLevel="0" collapsed="false">
      <c r="A1306" s="10" t="s">
        <v>3647</v>
      </c>
      <c r="B1306" s="10" t="s">
        <v>70</v>
      </c>
      <c r="C1306" s="10" t="s">
        <v>51</v>
      </c>
      <c r="D1306" s="10" t="s">
        <v>175</v>
      </c>
      <c r="E1306" s="10" t="s">
        <v>2342</v>
      </c>
      <c r="F1306" s="30" t="n">
        <v>42774</v>
      </c>
      <c r="G1306" s="30" t="n">
        <v>42859</v>
      </c>
      <c r="H1306" s="26" t="n">
        <f aca="false">G1306-F1306</f>
        <v>85</v>
      </c>
      <c r="I1306" s="10" t="n">
        <f aca="false">IF(E1306="Won",1,0)</f>
        <v>1</v>
      </c>
    </row>
    <row r="1307" customFormat="false" ht="15" hidden="false" customHeight="false" outlineLevel="0" collapsed="false">
      <c r="A1307" s="10" t="s">
        <v>3648</v>
      </c>
      <c r="B1307" s="10" t="s">
        <v>70</v>
      </c>
      <c r="C1307" s="10" t="s">
        <v>51</v>
      </c>
      <c r="D1307" s="10" t="s">
        <v>396</v>
      </c>
      <c r="E1307" s="10" t="s">
        <v>2342</v>
      </c>
      <c r="F1307" s="30" t="n">
        <v>42831</v>
      </c>
      <c r="G1307" s="30" t="n">
        <v>42859</v>
      </c>
      <c r="H1307" s="26" t="n">
        <f aca="false">G1307-F1307</f>
        <v>28</v>
      </c>
      <c r="I1307" s="10" t="n">
        <f aca="false">IF(E1307="Won",1,0)</f>
        <v>1</v>
      </c>
    </row>
    <row r="1308" customFormat="false" ht="15" hidden="false" customHeight="false" outlineLevel="0" collapsed="false">
      <c r="A1308" s="10" t="s">
        <v>3649</v>
      </c>
      <c r="B1308" s="10" t="s">
        <v>80</v>
      </c>
      <c r="C1308" s="10" t="s">
        <v>51</v>
      </c>
      <c r="D1308" s="10" t="s">
        <v>512</v>
      </c>
      <c r="E1308" s="10" t="s">
        <v>2342</v>
      </c>
      <c r="F1308" s="30" t="n">
        <v>42737</v>
      </c>
      <c r="G1308" s="30" t="n">
        <v>42859</v>
      </c>
      <c r="H1308" s="26" t="n">
        <f aca="false">G1308-F1308</f>
        <v>122</v>
      </c>
      <c r="I1308" s="10" t="n">
        <f aca="false">IF(E1308="Won",1,0)</f>
        <v>1</v>
      </c>
    </row>
    <row r="1309" customFormat="false" ht="15" hidden="false" customHeight="false" outlineLevel="0" collapsed="false">
      <c r="A1309" s="10" t="s">
        <v>3650</v>
      </c>
      <c r="B1309" s="10" t="s">
        <v>79</v>
      </c>
      <c r="C1309" s="10" t="s">
        <v>52</v>
      </c>
      <c r="D1309" s="10" t="s">
        <v>291</v>
      </c>
      <c r="E1309" s="10" t="s">
        <v>2342</v>
      </c>
      <c r="F1309" s="30" t="n">
        <v>42752</v>
      </c>
      <c r="G1309" s="30" t="n">
        <v>42859</v>
      </c>
      <c r="H1309" s="26" t="n">
        <f aca="false">G1309-F1309</f>
        <v>107</v>
      </c>
      <c r="I1309" s="10" t="n">
        <f aca="false">IF(E1309="Won",1,0)</f>
        <v>1</v>
      </c>
    </row>
    <row r="1310" customFormat="false" ht="15" hidden="false" customHeight="false" outlineLevel="0" collapsed="false">
      <c r="A1310" s="10" t="s">
        <v>3651</v>
      </c>
      <c r="B1310" s="10" t="s">
        <v>70</v>
      </c>
      <c r="C1310" s="10" t="s">
        <v>49</v>
      </c>
      <c r="D1310" s="10" t="s">
        <v>348</v>
      </c>
      <c r="E1310" s="10" t="s">
        <v>2342</v>
      </c>
      <c r="F1310" s="30" t="n">
        <v>42772</v>
      </c>
      <c r="G1310" s="30" t="n">
        <v>42859</v>
      </c>
      <c r="H1310" s="26" t="n">
        <f aca="false">G1310-F1310</f>
        <v>87</v>
      </c>
      <c r="I1310" s="10" t="n">
        <f aca="false">IF(E1310="Won",1,0)</f>
        <v>1</v>
      </c>
    </row>
    <row r="1311" customFormat="false" ht="15" hidden="false" customHeight="false" outlineLevel="0" collapsed="false">
      <c r="A1311" s="10" t="s">
        <v>3652</v>
      </c>
      <c r="B1311" s="10" t="s">
        <v>87</v>
      </c>
      <c r="C1311" s="10" t="s">
        <v>52</v>
      </c>
      <c r="D1311" s="10" t="s">
        <v>616</v>
      </c>
      <c r="E1311" s="10" t="s">
        <v>2342</v>
      </c>
      <c r="F1311" s="30" t="n">
        <v>42854</v>
      </c>
      <c r="G1311" s="30" t="n">
        <v>42859</v>
      </c>
      <c r="H1311" s="26" t="n">
        <f aca="false">G1311-F1311</f>
        <v>5</v>
      </c>
      <c r="I1311" s="10" t="n">
        <f aca="false">IF(E1311="Won",1,0)</f>
        <v>1</v>
      </c>
    </row>
    <row r="1312" customFormat="false" ht="15" hidden="false" customHeight="false" outlineLevel="0" collapsed="false">
      <c r="A1312" s="10" t="s">
        <v>3653</v>
      </c>
      <c r="B1312" s="10" t="s">
        <v>62</v>
      </c>
      <c r="C1312" s="10" t="s">
        <v>52</v>
      </c>
      <c r="D1312" s="10" t="s">
        <v>247</v>
      </c>
      <c r="E1312" s="10" t="s">
        <v>2345</v>
      </c>
      <c r="F1312" s="30" t="n">
        <v>42774</v>
      </c>
      <c r="G1312" s="30" t="n">
        <v>42859</v>
      </c>
      <c r="H1312" s="26" t="n">
        <f aca="false">G1312-F1312</f>
        <v>85</v>
      </c>
      <c r="I1312" s="10" t="n">
        <f aca="false">IF(E1312="Won",1,0)</f>
        <v>0</v>
      </c>
    </row>
    <row r="1313" customFormat="false" ht="15" hidden="false" customHeight="false" outlineLevel="0" collapsed="false">
      <c r="A1313" s="10" t="s">
        <v>3654</v>
      </c>
      <c r="B1313" s="10" t="s">
        <v>57</v>
      </c>
      <c r="C1313" s="10" t="s">
        <v>47</v>
      </c>
      <c r="D1313" s="10" t="s">
        <v>532</v>
      </c>
      <c r="E1313" s="10" t="s">
        <v>2345</v>
      </c>
      <c r="F1313" s="30" t="n">
        <v>42843</v>
      </c>
      <c r="G1313" s="30" t="n">
        <v>42859</v>
      </c>
      <c r="H1313" s="26" t="n">
        <f aca="false">G1313-F1313</f>
        <v>16</v>
      </c>
      <c r="I1313" s="10" t="n">
        <f aca="false">IF(E1313="Won",1,0)</f>
        <v>0</v>
      </c>
    </row>
    <row r="1314" customFormat="false" ht="15" hidden="false" customHeight="false" outlineLevel="0" collapsed="false">
      <c r="A1314" s="10" t="s">
        <v>3655</v>
      </c>
      <c r="B1314" s="10" t="s">
        <v>94</v>
      </c>
      <c r="C1314" s="10" t="s">
        <v>51</v>
      </c>
      <c r="D1314" s="10" t="s">
        <v>437</v>
      </c>
      <c r="E1314" s="10" t="s">
        <v>2345</v>
      </c>
      <c r="F1314" s="30" t="n">
        <v>42783</v>
      </c>
      <c r="G1314" s="30" t="n">
        <v>42859</v>
      </c>
      <c r="H1314" s="26" t="n">
        <f aca="false">G1314-F1314</f>
        <v>76</v>
      </c>
      <c r="I1314" s="10" t="n">
        <f aca="false">IF(E1314="Won",1,0)</f>
        <v>0</v>
      </c>
    </row>
    <row r="1315" customFormat="false" ht="15" hidden="false" customHeight="false" outlineLevel="0" collapsed="false">
      <c r="A1315" s="10" t="s">
        <v>3656</v>
      </c>
      <c r="B1315" s="10" t="s">
        <v>70</v>
      </c>
      <c r="C1315" s="10" t="s">
        <v>49</v>
      </c>
      <c r="D1315" s="10" t="s">
        <v>199</v>
      </c>
      <c r="E1315" s="10" t="s">
        <v>2342</v>
      </c>
      <c r="F1315" s="30" t="n">
        <v>42771</v>
      </c>
      <c r="G1315" s="30" t="n">
        <v>42859</v>
      </c>
      <c r="H1315" s="26" t="n">
        <f aca="false">G1315-F1315</f>
        <v>88</v>
      </c>
      <c r="I1315" s="10" t="n">
        <f aca="false">IF(E1315="Won",1,0)</f>
        <v>1</v>
      </c>
    </row>
    <row r="1316" customFormat="false" ht="15" hidden="false" customHeight="false" outlineLevel="0" collapsed="false">
      <c r="A1316" s="10" t="s">
        <v>3657</v>
      </c>
      <c r="B1316" s="10" t="s">
        <v>77</v>
      </c>
      <c r="C1316" s="10" t="s">
        <v>51</v>
      </c>
      <c r="D1316" s="10" t="s">
        <v>512</v>
      </c>
      <c r="E1316" s="10" t="s">
        <v>2345</v>
      </c>
      <c r="F1316" s="30" t="n">
        <v>42855</v>
      </c>
      <c r="G1316" s="30" t="n">
        <v>42859</v>
      </c>
      <c r="H1316" s="26" t="n">
        <f aca="false">G1316-F1316</f>
        <v>4</v>
      </c>
      <c r="I1316" s="10" t="n">
        <f aca="false">IF(E1316="Won",1,0)</f>
        <v>0</v>
      </c>
    </row>
    <row r="1317" customFormat="false" ht="15" hidden="false" customHeight="false" outlineLevel="0" collapsed="false">
      <c r="A1317" s="10" t="s">
        <v>3658</v>
      </c>
      <c r="B1317" s="10" t="s">
        <v>95</v>
      </c>
      <c r="C1317" s="10" t="s">
        <v>51</v>
      </c>
      <c r="D1317" s="10" t="s">
        <v>326</v>
      </c>
      <c r="E1317" s="10" t="s">
        <v>2345</v>
      </c>
      <c r="F1317" s="30" t="n">
        <v>42789</v>
      </c>
      <c r="G1317" s="30" t="n">
        <v>42859</v>
      </c>
      <c r="H1317" s="26" t="n">
        <f aca="false">G1317-F1317</f>
        <v>70</v>
      </c>
      <c r="I1317" s="10" t="n">
        <f aca="false">IF(E1317="Won",1,0)</f>
        <v>0</v>
      </c>
    </row>
    <row r="1318" customFormat="false" ht="15" hidden="false" customHeight="false" outlineLevel="0" collapsed="false">
      <c r="A1318" s="10" t="s">
        <v>3659</v>
      </c>
      <c r="B1318" s="10" t="s">
        <v>95</v>
      </c>
      <c r="C1318" s="10" t="s">
        <v>47</v>
      </c>
      <c r="D1318" s="10" t="s">
        <v>233</v>
      </c>
      <c r="E1318" s="10" t="s">
        <v>2342</v>
      </c>
      <c r="F1318" s="30" t="n">
        <v>42789</v>
      </c>
      <c r="G1318" s="30" t="n">
        <v>42859</v>
      </c>
      <c r="H1318" s="26" t="n">
        <f aca="false">G1318-F1318</f>
        <v>70</v>
      </c>
      <c r="I1318" s="10" t="n">
        <f aca="false">IF(E1318="Won",1,0)</f>
        <v>1</v>
      </c>
    </row>
    <row r="1319" customFormat="false" ht="15" hidden="false" customHeight="false" outlineLevel="0" collapsed="false">
      <c r="A1319" s="10" t="s">
        <v>3660</v>
      </c>
      <c r="B1319" s="10" t="s">
        <v>94</v>
      </c>
      <c r="C1319" s="10" t="s">
        <v>48</v>
      </c>
      <c r="D1319" s="10" t="s">
        <v>437</v>
      </c>
      <c r="E1319" s="10" t="s">
        <v>2342</v>
      </c>
      <c r="F1319" s="30" t="n">
        <v>42858</v>
      </c>
      <c r="G1319" s="30" t="n">
        <v>42859</v>
      </c>
      <c r="H1319" s="26" t="n">
        <f aca="false">G1319-F1319</f>
        <v>1</v>
      </c>
      <c r="I1319" s="10" t="n">
        <f aca="false">IF(E1319="Won",1,0)</f>
        <v>1</v>
      </c>
    </row>
    <row r="1320" customFormat="false" ht="15" hidden="false" customHeight="false" outlineLevel="0" collapsed="false">
      <c r="A1320" s="10" t="s">
        <v>3661</v>
      </c>
      <c r="B1320" s="10" t="s">
        <v>57</v>
      </c>
      <c r="C1320" s="10" t="s">
        <v>51</v>
      </c>
      <c r="D1320" s="10" t="s">
        <v>350</v>
      </c>
      <c r="E1320" s="10" t="s">
        <v>2345</v>
      </c>
      <c r="F1320" s="30" t="n">
        <v>42793</v>
      </c>
      <c r="G1320" s="30" t="n">
        <v>42859</v>
      </c>
      <c r="H1320" s="26" t="n">
        <f aca="false">G1320-F1320</f>
        <v>66</v>
      </c>
      <c r="I1320" s="10" t="n">
        <f aca="false">IF(E1320="Won",1,0)</f>
        <v>0</v>
      </c>
    </row>
    <row r="1321" customFormat="false" ht="15" hidden="false" customHeight="false" outlineLevel="0" collapsed="false">
      <c r="A1321" s="10" t="s">
        <v>3662</v>
      </c>
      <c r="B1321" s="10" t="s">
        <v>71</v>
      </c>
      <c r="C1321" s="10" t="s">
        <v>52</v>
      </c>
      <c r="D1321" s="10" t="s">
        <v>410</v>
      </c>
      <c r="E1321" s="10" t="s">
        <v>2342</v>
      </c>
      <c r="F1321" s="30" t="n">
        <v>42771</v>
      </c>
      <c r="G1321" s="30" t="n">
        <v>42859</v>
      </c>
      <c r="H1321" s="26" t="n">
        <f aca="false">G1321-F1321</f>
        <v>88</v>
      </c>
      <c r="I1321" s="10" t="n">
        <f aca="false">IF(E1321="Won",1,0)</f>
        <v>1</v>
      </c>
    </row>
    <row r="1322" customFormat="false" ht="15" hidden="false" customHeight="false" outlineLevel="0" collapsed="false">
      <c r="A1322" s="10" t="s">
        <v>3663</v>
      </c>
      <c r="B1322" s="10" t="s">
        <v>77</v>
      </c>
      <c r="C1322" s="10" t="s">
        <v>49</v>
      </c>
      <c r="D1322" s="10" t="s">
        <v>321</v>
      </c>
      <c r="E1322" s="10" t="s">
        <v>2345</v>
      </c>
      <c r="F1322" s="30" t="n">
        <v>42774</v>
      </c>
      <c r="G1322" s="30" t="n">
        <v>42859</v>
      </c>
      <c r="H1322" s="26" t="n">
        <f aca="false">G1322-F1322</f>
        <v>85</v>
      </c>
      <c r="I1322" s="10" t="n">
        <f aca="false">IF(E1322="Won",1,0)</f>
        <v>0</v>
      </c>
    </row>
    <row r="1323" customFormat="false" ht="15" hidden="false" customHeight="false" outlineLevel="0" collapsed="false">
      <c r="A1323" s="10" t="s">
        <v>3664</v>
      </c>
      <c r="B1323" s="10" t="s">
        <v>93</v>
      </c>
      <c r="C1323" s="10" t="s">
        <v>51</v>
      </c>
      <c r="D1323" s="10" t="s">
        <v>483</v>
      </c>
      <c r="E1323" s="10" t="s">
        <v>2345</v>
      </c>
      <c r="F1323" s="30" t="n">
        <v>42851</v>
      </c>
      <c r="G1323" s="30" t="n">
        <v>42859</v>
      </c>
      <c r="H1323" s="26" t="n">
        <f aca="false">G1323-F1323</f>
        <v>8</v>
      </c>
      <c r="I1323" s="10" t="n">
        <f aca="false">IF(E1323="Won",1,0)</f>
        <v>0</v>
      </c>
    </row>
    <row r="1324" customFormat="false" ht="15" hidden="false" customHeight="false" outlineLevel="0" collapsed="false">
      <c r="A1324" s="10" t="s">
        <v>3665</v>
      </c>
      <c r="B1324" s="10" t="s">
        <v>79</v>
      </c>
      <c r="C1324" s="10" t="s">
        <v>48</v>
      </c>
      <c r="D1324" s="10" t="s">
        <v>697</v>
      </c>
      <c r="E1324" s="10" t="s">
        <v>2345</v>
      </c>
      <c r="F1324" s="30" t="n">
        <v>42843</v>
      </c>
      <c r="G1324" s="30" t="n">
        <v>42859</v>
      </c>
      <c r="H1324" s="26" t="n">
        <f aca="false">G1324-F1324</f>
        <v>16</v>
      </c>
      <c r="I1324" s="10" t="n">
        <f aca="false">IF(E1324="Won",1,0)</f>
        <v>0</v>
      </c>
    </row>
    <row r="1325" customFormat="false" ht="15" hidden="false" customHeight="false" outlineLevel="0" collapsed="false">
      <c r="A1325" s="10" t="s">
        <v>3666</v>
      </c>
      <c r="B1325" s="10" t="s">
        <v>66</v>
      </c>
      <c r="C1325" s="10" t="s">
        <v>52</v>
      </c>
      <c r="D1325" s="10" t="s">
        <v>172</v>
      </c>
      <c r="E1325" s="10" t="s">
        <v>2345</v>
      </c>
      <c r="F1325" s="30" t="n">
        <v>42848</v>
      </c>
      <c r="G1325" s="30" t="n">
        <v>42859</v>
      </c>
      <c r="H1325" s="26" t="n">
        <f aca="false">G1325-F1325</f>
        <v>11</v>
      </c>
      <c r="I1325" s="10" t="n">
        <f aca="false">IF(E1325="Won",1,0)</f>
        <v>0</v>
      </c>
    </row>
    <row r="1326" customFormat="false" ht="15" hidden="false" customHeight="false" outlineLevel="0" collapsed="false">
      <c r="A1326" s="10" t="s">
        <v>3667</v>
      </c>
      <c r="B1326" s="10" t="s">
        <v>77</v>
      </c>
      <c r="C1326" s="10" t="s">
        <v>48</v>
      </c>
      <c r="D1326" s="10" t="s">
        <v>512</v>
      </c>
      <c r="E1326" s="10" t="s">
        <v>2342</v>
      </c>
      <c r="F1326" s="30" t="n">
        <v>42767</v>
      </c>
      <c r="G1326" s="30" t="n">
        <v>42860</v>
      </c>
      <c r="H1326" s="26" t="n">
        <f aca="false">G1326-F1326</f>
        <v>93</v>
      </c>
      <c r="I1326" s="10" t="n">
        <f aca="false">IF(E1326="Won",1,0)</f>
        <v>1</v>
      </c>
    </row>
    <row r="1327" customFormat="false" ht="15" hidden="false" customHeight="false" outlineLevel="0" collapsed="false">
      <c r="A1327" s="10" t="s">
        <v>3668</v>
      </c>
      <c r="B1327" s="10" t="s">
        <v>68</v>
      </c>
      <c r="C1327" s="10" t="s">
        <v>51</v>
      </c>
      <c r="D1327" s="10" t="s">
        <v>326</v>
      </c>
      <c r="E1327" s="10" t="s">
        <v>2342</v>
      </c>
      <c r="F1327" s="30" t="n">
        <v>42790</v>
      </c>
      <c r="G1327" s="30" t="n">
        <v>42860</v>
      </c>
      <c r="H1327" s="26" t="n">
        <f aca="false">G1327-F1327</f>
        <v>70</v>
      </c>
      <c r="I1327" s="10" t="n">
        <f aca="false">IF(E1327="Won",1,0)</f>
        <v>1</v>
      </c>
    </row>
    <row r="1328" customFormat="false" ht="15" hidden="false" customHeight="false" outlineLevel="0" collapsed="false">
      <c r="A1328" s="10" t="s">
        <v>3669</v>
      </c>
      <c r="B1328" s="10" t="s">
        <v>71</v>
      </c>
      <c r="C1328" s="10" t="s">
        <v>51</v>
      </c>
      <c r="D1328" s="10" t="s">
        <v>353</v>
      </c>
      <c r="E1328" s="10" t="s">
        <v>2345</v>
      </c>
      <c r="F1328" s="30" t="n">
        <v>42780</v>
      </c>
      <c r="G1328" s="30" t="n">
        <v>42860</v>
      </c>
      <c r="H1328" s="26" t="n">
        <f aca="false">G1328-F1328</f>
        <v>80</v>
      </c>
      <c r="I1328" s="10" t="n">
        <f aca="false">IF(E1328="Won",1,0)</f>
        <v>0</v>
      </c>
    </row>
    <row r="1329" customFormat="false" ht="15" hidden="false" customHeight="false" outlineLevel="0" collapsed="false">
      <c r="A1329" s="10" t="s">
        <v>3670</v>
      </c>
      <c r="B1329" s="10" t="s">
        <v>76</v>
      </c>
      <c r="C1329" s="10" t="s">
        <v>52</v>
      </c>
      <c r="D1329" s="10" t="s">
        <v>311</v>
      </c>
      <c r="E1329" s="10" t="s">
        <v>2342</v>
      </c>
      <c r="F1329" s="30" t="n">
        <v>42817</v>
      </c>
      <c r="G1329" s="30" t="n">
        <v>42860</v>
      </c>
      <c r="H1329" s="26" t="n">
        <f aca="false">G1329-F1329</f>
        <v>43</v>
      </c>
      <c r="I1329" s="10" t="n">
        <f aca="false">IF(E1329="Won",1,0)</f>
        <v>1</v>
      </c>
    </row>
    <row r="1330" customFormat="false" ht="15" hidden="false" customHeight="false" outlineLevel="0" collapsed="false">
      <c r="A1330" s="10" t="s">
        <v>3671</v>
      </c>
      <c r="B1330" s="10" t="s">
        <v>77</v>
      </c>
      <c r="C1330" s="10" t="s">
        <v>48</v>
      </c>
      <c r="D1330" s="10" t="s">
        <v>259</v>
      </c>
      <c r="E1330" s="10" t="s">
        <v>2342</v>
      </c>
      <c r="F1330" s="30" t="n">
        <v>42790</v>
      </c>
      <c r="G1330" s="30" t="n">
        <v>42860</v>
      </c>
      <c r="H1330" s="26" t="n">
        <f aca="false">G1330-F1330</f>
        <v>70</v>
      </c>
      <c r="I1330" s="10" t="n">
        <f aca="false">IF(E1330="Won",1,0)</f>
        <v>1</v>
      </c>
    </row>
    <row r="1331" customFormat="false" ht="15" hidden="false" customHeight="false" outlineLevel="0" collapsed="false">
      <c r="A1331" s="10" t="s">
        <v>3672</v>
      </c>
      <c r="B1331" s="10" t="s">
        <v>97</v>
      </c>
      <c r="C1331" s="10" t="s">
        <v>52</v>
      </c>
      <c r="D1331" s="10" t="s">
        <v>299</v>
      </c>
      <c r="E1331" s="10" t="s">
        <v>2345</v>
      </c>
      <c r="F1331" s="30" t="n">
        <v>42804</v>
      </c>
      <c r="G1331" s="30" t="n">
        <v>42860</v>
      </c>
      <c r="H1331" s="26" t="n">
        <f aca="false">G1331-F1331</f>
        <v>56</v>
      </c>
      <c r="I1331" s="10" t="n">
        <f aca="false">IF(E1331="Won",1,0)</f>
        <v>0</v>
      </c>
    </row>
    <row r="1332" customFormat="false" ht="15" hidden="false" customHeight="false" outlineLevel="0" collapsed="false">
      <c r="A1332" s="10" t="s">
        <v>3673</v>
      </c>
      <c r="B1332" s="10" t="s">
        <v>71</v>
      </c>
      <c r="C1332" s="10" t="s">
        <v>51</v>
      </c>
      <c r="D1332" s="10" t="s">
        <v>483</v>
      </c>
      <c r="E1332" s="10" t="s">
        <v>2342</v>
      </c>
      <c r="F1332" s="30" t="n">
        <v>42826</v>
      </c>
      <c r="G1332" s="30" t="n">
        <v>42860</v>
      </c>
      <c r="H1332" s="26" t="n">
        <f aca="false">G1332-F1332</f>
        <v>34</v>
      </c>
      <c r="I1332" s="10" t="n">
        <f aca="false">IF(E1332="Won",1,0)</f>
        <v>1</v>
      </c>
    </row>
    <row r="1333" customFormat="false" ht="15" hidden="false" customHeight="false" outlineLevel="0" collapsed="false">
      <c r="A1333" s="10" t="s">
        <v>3674</v>
      </c>
      <c r="B1333" s="10" t="s">
        <v>88</v>
      </c>
      <c r="C1333" s="10" t="s">
        <v>48</v>
      </c>
      <c r="D1333" s="10" t="s">
        <v>293</v>
      </c>
      <c r="E1333" s="10" t="s">
        <v>2342</v>
      </c>
      <c r="F1333" s="30" t="n">
        <v>42786</v>
      </c>
      <c r="G1333" s="30" t="n">
        <v>42860</v>
      </c>
      <c r="H1333" s="26" t="n">
        <f aca="false">G1333-F1333</f>
        <v>74</v>
      </c>
      <c r="I1333" s="10" t="n">
        <f aca="false">IF(E1333="Won",1,0)</f>
        <v>1</v>
      </c>
    </row>
    <row r="1334" customFormat="false" ht="15" hidden="false" customHeight="false" outlineLevel="0" collapsed="false">
      <c r="A1334" s="10" t="s">
        <v>3675</v>
      </c>
      <c r="B1334" s="10" t="s">
        <v>97</v>
      </c>
      <c r="C1334" s="10" t="s">
        <v>51</v>
      </c>
      <c r="D1334" s="10" t="s">
        <v>326</v>
      </c>
      <c r="E1334" s="10" t="s">
        <v>2342</v>
      </c>
      <c r="F1334" s="30" t="n">
        <v>42778</v>
      </c>
      <c r="G1334" s="30" t="n">
        <v>42860</v>
      </c>
      <c r="H1334" s="26" t="n">
        <f aca="false">G1334-F1334</f>
        <v>82</v>
      </c>
      <c r="I1334" s="10" t="n">
        <f aca="false">IF(E1334="Won",1,0)</f>
        <v>1</v>
      </c>
    </row>
    <row r="1335" customFormat="false" ht="15" hidden="false" customHeight="false" outlineLevel="0" collapsed="false">
      <c r="A1335" s="10" t="s">
        <v>3676</v>
      </c>
      <c r="B1335" s="10" t="s">
        <v>71</v>
      </c>
      <c r="C1335" s="10" t="s">
        <v>49</v>
      </c>
      <c r="D1335" s="10" t="s">
        <v>291</v>
      </c>
      <c r="E1335" s="10" t="s">
        <v>2345</v>
      </c>
      <c r="F1335" s="30" t="n">
        <v>42758</v>
      </c>
      <c r="G1335" s="30" t="n">
        <v>42860</v>
      </c>
      <c r="H1335" s="26" t="n">
        <f aca="false">G1335-F1335</f>
        <v>102</v>
      </c>
      <c r="I1335" s="10" t="n">
        <f aca="false">IF(E1335="Won",1,0)</f>
        <v>0</v>
      </c>
    </row>
    <row r="1336" customFormat="false" ht="15" hidden="false" customHeight="false" outlineLevel="0" collapsed="false">
      <c r="A1336" s="10" t="s">
        <v>3677</v>
      </c>
      <c r="B1336" s="10" t="s">
        <v>67</v>
      </c>
      <c r="C1336" s="10" t="s">
        <v>49</v>
      </c>
      <c r="D1336" s="10" t="s">
        <v>210</v>
      </c>
      <c r="E1336" s="10" t="s">
        <v>2342</v>
      </c>
      <c r="F1336" s="30" t="n">
        <v>42794</v>
      </c>
      <c r="G1336" s="30" t="n">
        <v>42860</v>
      </c>
      <c r="H1336" s="26" t="n">
        <f aca="false">G1336-F1336</f>
        <v>66</v>
      </c>
      <c r="I1336" s="10" t="n">
        <f aca="false">IF(E1336="Won",1,0)</f>
        <v>1</v>
      </c>
    </row>
    <row r="1337" customFormat="false" ht="15" hidden="false" customHeight="false" outlineLevel="0" collapsed="false">
      <c r="A1337" s="10" t="s">
        <v>3678</v>
      </c>
      <c r="B1337" s="10" t="s">
        <v>80</v>
      </c>
      <c r="C1337" s="10" t="s">
        <v>48</v>
      </c>
      <c r="D1337" s="10" t="s">
        <v>483</v>
      </c>
      <c r="E1337" s="10" t="s">
        <v>2342</v>
      </c>
      <c r="F1337" s="30" t="n">
        <v>42755</v>
      </c>
      <c r="G1337" s="30" t="n">
        <v>42860</v>
      </c>
      <c r="H1337" s="26" t="n">
        <f aca="false">G1337-F1337</f>
        <v>105</v>
      </c>
      <c r="I1337" s="10" t="n">
        <f aca="false">IF(E1337="Won",1,0)</f>
        <v>1</v>
      </c>
    </row>
    <row r="1338" customFormat="false" ht="15" hidden="false" customHeight="false" outlineLevel="0" collapsed="false">
      <c r="A1338" s="10" t="s">
        <v>3679</v>
      </c>
      <c r="B1338" s="10" t="s">
        <v>81</v>
      </c>
      <c r="C1338" s="10" t="s">
        <v>48</v>
      </c>
      <c r="D1338" s="10" t="s">
        <v>193</v>
      </c>
      <c r="E1338" s="10" t="s">
        <v>2342</v>
      </c>
      <c r="F1338" s="30" t="n">
        <v>42739</v>
      </c>
      <c r="G1338" s="30" t="n">
        <v>42860</v>
      </c>
      <c r="H1338" s="26" t="n">
        <f aca="false">G1338-F1338</f>
        <v>121</v>
      </c>
      <c r="I1338" s="10" t="n">
        <f aca="false">IF(E1338="Won",1,0)</f>
        <v>1</v>
      </c>
    </row>
    <row r="1339" customFormat="false" ht="15" hidden="false" customHeight="false" outlineLevel="0" collapsed="false">
      <c r="A1339" s="10" t="s">
        <v>3680</v>
      </c>
      <c r="B1339" s="10" t="s">
        <v>93</v>
      </c>
      <c r="C1339" s="10" t="s">
        <v>49</v>
      </c>
      <c r="D1339" s="10" t="s">
        <v>396</v>
      </c>
      <c r="E1339" s="10" t="s">
        <v>2342</v>
      </c>
      <c r="F1339" s="30" t="n">
        <v>42849</v>
      </c>
      <c r="G1339" s="30" t="n">
        <v>42860</v>
      </c>
      <c r="H1339" s="26" t="n">
        <f aca="false">G1339-F1339</f>
        <v>11</v>
      </c>
      <c r="I1339" s="10" t="n">
        <f aca="false">IF(E1339="Won",1,0)</f>
        <v>1</v>
      </c>
    </row>
    <row r="1340" customFormat="false" ht="15" hidden="false" customHeight="false" outlineLevel="0" collapsed="false">
      <c r="A1340" s="10" t="s">
        <v>3681</v>
      </c>
      <c r="B1340" s="10" t="s">
        <v>77</v>
      </c>
      <c r="C1340" s="10" t="s">
        <v>47</v>
      </c>
      <c r="D1340" s="10" t="s">
        <v>660</v>
      </c>
      <c r="E1340" s="10" t="s">
        <v>2342</v>
      </c>
      <c r="F1340" s="30" t="n">
        <v>42773</v>
      </c>
      <c r="G1340" s="30" t="n">
        <v>42860</v>
      </c>
      <c r="H1340" s="26" t="n">
        <f aca="false">G1340-F1340</f>
        <v>87</v>
      </c>
      <c r="I1340" s="10" t="n">
        <f aca="false">IF(E1340="Won",1,0)</f>
        <v>1</v>
      </c>
    </row>
    <row r="1341" customFormat="false" ht="15" hidden="false" customHeight="false" outlineLevel="0" collapsed="false">
      <c r="A1341" s="10" t="s">
        <v>3682</v>
      </c>
      <c r="B1341" s="10" t="s">
        <v>94</v>
      </c>
      <c r="C1341" s="10" t="s">
        <v>48</v>
      </c>
      <c r="D1341" s="10" t="s">
        <v>337</v>
      </c>
      <c r="E1341" s="10" t="s">
        <v>2345</v>
      </c>
      <c r="F1341" s="30" t="n">
        <v>42756</v>
      </c>
      <c r="G1341" s="30" t="n">
        <v>42860</v>
      </c>
      <c r="H1341" s="26" t="n">
        <f aca="false">G1341-F1341</f>
        <v>104</v>
      </c>
      <c r="I1341" s="10" t="n">
        <f aca="false">IF(E1341="Won",1,0)</f>
        <v>0</v>
      </c>
    </row>
    <row r="1342" customFormat="false" ht="15" hidden="false" customHeight="false" outlineLevel="0" collapsed="false">
      <c r="A1342" s="10" t="s">
        <v>3683</v>
      </c>
      <c r="B1342" s="10" t="s">
        <v>83</v>
      </c>
      <c r="C1342" s="10" t="s">
        <v>52</v>
      </c>
      <c r="D1342" s="10" t="s">
        <v>388</v>
      </c>
      <c r="E1342" s="10" t="s">
        <v>2345</v>
      </c>
      <c r="F1342" s="30" t="n">
        <v>42764</v>
      </c>
      <c r="G1342" s="30" t="n">
        <v>42860</v>
      </c>
      <c r="H1342" s="26" t="n">
        <f aca="false">G1342-F1342</f>
        <v>96</v>
      </c>
      <c r="I1342" s="10" t="n">
        <f aca="false">IF(E1342="Won",1,0)</f>
        <v>0</v>
      </c>
    </row>
    <row r="1343" customFormat="false" ht="15" hidden="false" customHeight="false" outlineLevel="0" collapsed="false">
      <c r="A1343" s="10" t="s">
        <v>3684</v>
      </c>
      <c r="B1343" s="10" t="s">
        <v>60</v>
      </c>
      <c r="C1343" s="10" t="s">
        <v>51</v>
      </c>
      <c r="D1343" s="10" t="s">
        <v>464</v>
      </c>
      <c r="E1343" s="10" t="s">
        <v>2345</v>
      </c>
      <c r="F1343" s="30" t="n">
        <v>42795</v>
      </c>
      <c r="G1343" s="30" t="n">
        <v>42860</v>
      </c>
      <c r="H1343" s="26" t="n">
        <f aca="false">G1343-F1343</f>
        <v>65</v>
      </c>
      <c r="I1343" s="10" t="n">
        <f aca="false">IF(E1343="Won",1,0)</f>
        <v>0</v>
      </c>
    </row>
    <row r="1344" customFormat="false" ht="15" hidden="false" customHeight="false" outlineLevel="0" collapsed="false">
      <c r="A1344" s="10" t="s">
        <v>3685</v>
      </c>
      <c r="B1344" s="10" t="s">
        <v>94</v>
      </c>
      <c r="C1344" s="10" t="s">
        <v>50</v>
      </c>
      <c r="D1344" s="10" t="s">
        <v>175</v>
      </c>
      <c r="E1344" s="10" t="s">
        <v>2345</v>
      </c>
      <c r="F1344" s="30" t="n">
        <v>42823</v>
      </c>
      <c r="G1344" s="30" t="n">
        <v>42860</v>
      </c>
      <c r="H1344" s="26" t="n">
        <f aca="false">G1344-F1344</f>
        <v>37</v>
      </c>
      <c r="I1344" s="10" t="n">
        <f aca="false">IF(E1344="Won",1,0)</f>
        <v>0</v>
      </c>
    </row>
    <row r="1345" customFormat="false" ht="15" hidden="false" customHeight="false" outlineLevel="0" collapsed="false">
      <c r="A1345" s="10" t="s">
        <v>3686</v>
      </c>
      <c r="B1345" s="10" t="s">
        <v>83</v>
      </c>
      <c r="C1345" s="10" t="s">
        <v>48</v>
      </c>
      <c r="D1345" s="10" t="s">
        <v>353</v>
      </c>
      <c r="E1345" s="10" t="s">
        <v>2345</v>
      </c>
      <c r="F1345" s="30" t="n">
        <v>42768</v>
      </c>
      <c r="G1345" s="30" t="n">
        <v>42860</v>
      </c>
      <c r="H1345" s="26" t="n">
        <f aca="false">G1345-F1345</f>
        <v>92</v>
      </c>
      <c r="I1345" s="10" t="n">
        <f aca="false">IF(E1345="Won",1,0)</f>
        <v>0</v>
      </c>
    </row>
    <row r="1346" customFormat="false" ht="15" hidden="false" customHeight="false" outlineLevel="0" collapsed="false">
      <c r="A1346" s="10" t="s">
        <v>3687</v>
      </c>
      <c r="B1346" s="10" t="s">
        <v>76</v>
      </c>
      <c r="C1346" s="10" t="s">
        <v>52</v>
      </c>
      <c r="D1346" s="10" t="s">
        <v>536</v>
      </c>
      <c r="E1346" s="10" t="s">
        <v>2345</v>
      </c>
      <c r="F1346" s="30" t="n">
        <v>42848</v>
      </c>
      <c r="G1346" s="30" t="n">
        <v>42860</v>
      </c>
      <c r="H1346" s="26" t="n">
        <f aca="false">G1346-F1346</f>
        <v>12</v>
      </c>
      <c r="I1346" s="10" t="n">
        <f aca="false">IF(E1346="Won",1,0)</f>
        <v>0</v>
      </c>
    </row>
    <row r="1347" customFormat="false" ht="15" hidden="false" customHeight="false" outlineLevel="0" collapsed="false">
      <c r="A1347" s="10" t="s">
        <v>3688</v>
      </c>
      <c r="B1347" s="10" t="s">
        <v>70</v>
      </c>
      <c r="C1347" s="10" t="s">
        <v>49</v>
      </c>
      <c r="D1347" s="10" t="s">
        <v>424</v>
      </c>
      <c r="E1347" s="10" t="s">
        <v>2345</v>
      </c>
      <c r="F1347" s="30" t="n">
        <v>42749</v>
      </c>
      <c r="G1347" s="30" t="n">
        <v>42860</v>
      </c>
      <c r="H1347" s="26" t="n">
        <f aca="false">G1347-F1347</f>
        <v>111</v>
      </c>
      <c r="I1347" s="10" t="n">
        <f aca="false">IF(E1347="Won",1,0)</f>
        <v>0</v>
      </c>
    </row>
    <row r="1348" customFormat="false" ht="15" hidden="false" customHeight="false" outlineLevel="0" collapsed="false">
      <c r="A1348" s="10" t="s">
        <v>3689</v>
      </c>
      <c r="B1348" s="10" t="s">
        <v>62</v>
      </c>
      <c r="C1348" s="10" t="s">
        <v>47</v>
      </c>
      <c r="D1348" s="10" t="s">
        <v>378</v>
      </c>
      <c r="E1348" s="10" t="s">
        <v>2345</v>
      </c>
      <c r="F1348" s="30" t="n">
        <v>42787</v>
      </c>
      <c r="G1348" s="30" t="n">
        <v>42860</v>
      </c>
      <c r="H1348" s="26" t="n">
        <f aca="false">G1348-F1348</f>
        <v>73</v>
      </c>
      <c r="I1348" s="10" t="n">
        <f aca="false">IF(E1348="Won",1,0)</f>
        <v>0</v>
      </c>
    </row>
    <row r="1349" customFormat="false" ht="15" hidden="false" customHeight="false" outlineLevel="0" collapsed="false">
      <c r="A1349" s="10" t="s">
        <v>3690</v>
      </c>
      <c r="B1349" s="10" t="s">
        <v>62</v>
      </c>
      <c r="C1349" s="10" t="s">
        <v>51</v>
      </c>
      <c r="D1349" s="10" t="s">
        <v>185</v>
      </c>
      <c r="E1349" s="10" t="s">
        <v>2345</v>
      </c>
      <c r="F1349" s="30" t="n">
        <v>42818</v>
      </c>
      <c r="G1349" s="30" t="n">
        <v>42860</v>
      </c>
      <c r="H1349" s="26" t="n">
        <f aca="false">G1349-F1349</f>
        <v>42</v>
      </c>
      <c r="I1349" s="10" t="n">
        <f aca="false">IF(E1349="Won",1,0)</f>
        <v>0</v>
      </c>
    </row>
    <row r="1350" customFormat="false" ht="15" hidden="false" customHeight="false" outlineLevel="0" collapsed="false">
      <c r="A1350" s="10" t="s">
        <v>3691</v>
      </c>
      <c r="B1350" s="10" t="s">
        <v>60</v>
      </c>
      <c r="C1350" s="10" t="s">
        <v>51</v>
      </c>
      <c r="D1350" s="10" t="s">
        <v>1334</v>
      </c>
      <c r="E1350" s="10" t="s">
        <v>2345</v>
      </c>
      <c r="F1350" s="30" t="n">
        <v>42785</v>
      </c>
      <c r="G1350" s="30" t="n">
        <v>42860</v>
      </c>
      <c r="H1350" s="26" t="n">
        <f aca="false">G1350-F1350</f>
        <v>75</v>
      </c>
      <c r="I1350" s="10" t="n">
        <f aca="false">IF(E1350="Won",1,0)</f>
        <v>0</v>
      </c>
    </row>
    <row r="1351" customFormat="false" ht="15" hidden="false" customHeight="false" outlineLevel="0" collapsed="false">
      <c r="A1351" s="10" t="s">
        <v>3692</v>
      </c>
      <c r="B1351" s="10" t="s">
        <v>68</v>
      </c>
      <c r="C1351" s="10" t="s">
        <v>52</v>
      </c>
      <c r="D1351" s="10" t="s">
        <v>432</v>
      </c>
      <c r="E1351" s="10" t="s">
        <v>2345</v>
      </c>
      <c r="F1351" s="30" t="n">
        <v>42754</v>
      </c>
      <c r="G1351" s="30" t="n">
        <v>42860</v>
      </c>
      <c r="H1351" s="26" t="n">
        <f aca="false">G1351-F1351</f>
        <v>106</v>
      </c>
      <c r="I1351" s="10" t="n">
        <f aca="false">IF(E1351="Won",1,0)</f>
        <v>0</v>
      </c>
    </row>
    <row r="1352" customFormat="false" ht="15" hidden="false" customHeight="false" outlineLevel="0" collapsed="false">
      <c r="A1352" s="10" t="s">
        <v>3693</v>
      </c>
      <c r="B1352" s="10" t="s">
        <v>80</v>
      </c>
      <c r="C1352" s="10" t="s">
        <v>52</v>
      </c>
      <c r="D1352" s="10" t="s">
        <v>1251</v>
      </c>
      <c r="E1352" s="10" t="s">
        <v>2342</v>
      </c>
      <c r="F1352" s="30" t="n">
        <v>42799</v>
      </c>
      <c r="G1352" s="30" t="n">
        <v>42860</v>
      </c>
      <c r="H1352" s="26" t="n">
        <f aca="false">G1352-F1352</f>
        <v>61</v>
      </c>
      <c r="I1352" s="10" t="n">
        <f aca="false">IF(E1352="Won",1,0)</f>
        <v>1</v>
      </c>
    </row>
    <row r="1353" customFormat="false" ht="15" hidden="false" customHeight="false" outlineLevel="0" collapsed="false">
      <c r="A1353" s="10" t="s">
        <v>3694</v>
      </c>
      <c r="B1353" s="10" t="s">
        <v>57</v>
      </c>
      <c r="C1353" s="10" t="s">
        <v>51</v>
      </c>
      <c r="D1353" s="10" t="s">
        <v>210</v>
      </c>
      <c r="E1353" s="10" t="s">
        <v>2342</v>
      </c>
      <c r="F1353" s="30" t="n">
        <v>42769</v>
      </c>
      <c r="G1353" s="30" t="n">
        <v>42860</v>
      </c>
      <c r="H1353" s="26" t="n">
        <f aca="false">G1353-F1353</f>
        <v>91</v>
      </c>
      <c r="I1353" s="10" t="n">
        <f aca="false">IF(E1353="Won",1,0)</f>
        <v>1</v>
      </c>
    </row>
    <row r="1354" customFormat="false" ht="15" hidden="false" customHeight="false" outlineLevel="0" collapsed="false">
      <c r="A1354" s="10" t="s">
        <v>3695</v>
      </c>
      <c r="B1354" s="10" t="s">
        <v>71</v>
      </c>
      <c r="C1354" s="10" t="s">
        <v>50</v>
      </c>
      <c r="D1354" s="10" t="s">
        <v>597</v>
      </c>
      <c r="E1354" s="10" t="s">
        <v>2345</v>
      </c>
      <c r="F1354" s="30" t="n">
        <v>42846</v>
      </c>
      <c r="G1354" s="30" t="n">
        <v>42860</v>
      </c>
      <c r="H1354" s="26" t="n">
        <f aca="false">G1354-F1354</f>
        <v>14</v>
      </c>
      <c r="I1354" s="10" t="n">
        <f aca="false">IF(E1354="Won",1,0)</f>
        <v>0</v>
      </c>
    </row>
    <row r="1355" customFormat="false" ht="15" hidden="false" customHeight="false" outlineLevel="0" collapsed="false">
      <c r="A1355" s="10" t="s">
        <v>3696</v>
      </c>
      <c r="B1355" s="10" t="s">
        <v>83</v>
      </c>
      <c r="C1355" s="10" t="s">
        <v>47</v>
      </c>
      <c r="D1355" s="10" t="s">
        <v>388</v>
      </c>
      <c r="E1355" s="10" t="s">
        <v>2342</v>
      </c>
      <c r="F1355" s="30" t="n">
        <v>42814</v>
      </c>
      <c r="G1355" s="30" t="n">
        <v>42861</v>
      </c>
      <c r="H1355" s="26" t="n">
        <f aca="false">G1355-F1355</f>
        <v>47</v>
      </c>
      <c r="I1355" s="10" t="n">
        <f aca="false">IF(E1355="Won",1,0)</f>
        <v>1</v>
      </c>
    </row>
    <row r="1356" customFormat="false" ht="15" hidden="false" customHeight="false" outlineLevel="0" collapsed="false">
      <c r="A1356" s="10" t="s">
        <v>3697</v>
      </c>
      <c r="B1356" s="10" t="s">
        <v>69</v>
      </c>
      <c r="C1356" s="10" t="s">
        <v>52</v>
      </c>
      <c r="D1356" s="10" t="s">
        <v>286</v>
      </c>
      <c r="E1356" s="10" t="s">
        <v>2345</v>
      </c>
      <c r="F1356" s="30" t="n">
        <v>42758</v>
      </c>
      <c r="G1356" s="30" t="n">
        <v>42861</v>
      </c>
      <c r="H1356" s="26" t="n">
        <f aca="false">G1356-F1356</f>
        <v>103</v>
      </c>
      <c r="I1356" s="10" t="n">
        <f aca="false">IF(E1356="Won",1,0)</f>
        <v>0</v>
      </c>
    </row>
    <row r="1357" customFormat="false" ht="15" hidden="false" customHeight="false" outlineLevel="0" collapsed="false">
      <c r="A1357" s="10" t="s">
        <v>3698</v>
      </c>
      <c r="B1357" s="10" t="s">
        <v>62</v>
      </c>
      <c r="C1357" s="10" t="s">
        <v>52</v>
      </c>
      <c r="D1357" s="10" t="s">
        <v>405</v>
      </c>
      <c r="E1357" s="10" t="s">
        <v>2345</v>
      </c>
      <c r="F1357" s="30" t="n">
        <v>42758</v>
      </c>
      <c r="G1357" s="30" t="n">
        <v>42861</v>
      </c>
      <c r="H1357" s="26" t="n">
        <f aca="false">G1357-F1357</f>
        <v>103</v>
      </c>
      <c r="I1357" s="10" t="n">
        <f aca="false">IF(E1357="Won",1,0)</f>
        <v>0</v>
      </c>
    </row>
    <row r="1358" customFormat="false" ht="15" hidden="false" customHeight="false" outlineLevel="0" collapsed="false">
      <c r="A1358" s="10" t="s">
        <v>3699</v>
      </c>
      <c r="B1358" s="10" t="s">
        <v>95</v>
      </c>
      <c r="C1358" s="10" t="s">
        <v>51</v>
      </c>
      <c r="D1358" s="10" t="s">
        <v>170</v>
      </c>
      <c r="E1358" s="10" t="s">
        <v>2342</v>
      </c>
      <c r="F1358" s="30" t="n">
        <v>42760</v>
      </c>
      <c r="G1358" s="30" t="n">
        <v>42861</v>
      </c>
      <c r="H1358" s="26" t="n">
        <f aca="false">G1358-F1358</f>
        <v>101</v>
      </c>
      <c r="I1358" s="10" t="n">
        <f aca="false">IF(E1358="Won",1,0)</f>
        <v>1</v>
      </c>
    </row>
    <row r="1359" customFormat="false" ht="15" hidden="false" customHeight="false" outlineLevel="0" collapsed="false">
      <c r="A1359" s="10" t="s">
        <v>3700</v>
      </c>
      <c r="B1359" s="10" t="s">
        <v>87</v>
      </c>
      <c r="C1359" s="10" t="s">
        <v>49</v>
      </c>
      <c r="D1359" s="10" t="s">
        <v>210</v>
      </c>
      <c r="E1359" s="10" t="s">
        <v>2345</v>
      </c>
      <c r="F1359" s="30" t="n">
        <v>42773</v>
      </c>
      <c r="G1359" s="30" t="n">
        <v>42861</v>
      </c>
      <c r="H1359" s="26" t="n">
        <f aca="false">G1359-F1359</f>
        <v>88</v>
      </c>
      <c r="I1359" s="10" t="n">
        <f aca="false">IF(E1359="Won",1,0)</f>
        <v>0</v>
      </c>
    </row>
    <row r="1360" customFormat="false" ht="15" hidden="false" customHeight="false" outlineLevel="0" collapsed="false">
      <c r="A1360" s="10" t="s">
        <v>3701</v>
      </c>
      <c r="B1360" s="10" t="s">
        <v>62</v>
      </c>
      <c r="C1360" s="10" t="s">
        <v>52</v>
      </c>
      <c r="D1360" s="10" t="s">
        <v>692</v>
      </c>
      <c r="E1360" s="10" t="s">
        <v>2345</v>
      </c>
      <c r="F1360" s="30" t="n">
        <v>42772</v>
      </c>
      <c r="G1360" s="30" t="n">
        <v>42861</v>
      </c>
      <c r="H1360" s="26" t="n">
        <f aca="false">G1360-F1360</f>
        <v>89</v>
      </c>
      <c r="I1360" s="10" t="n">
        <f aca="false">IF(E1360="Won",1,0)</f>
        <v>0</v>
      </c>
    </row>
    <row r="1361" customFormat="false" ht="15" hidden="false" customHeight="false" outlineLevel="0" collapsed="false">
      <c r="A1361" s="10" t="s">
        <v>3702</v>
      </c>
      <c r="B1361" s="10" t="s">
        <v>70</v>
      </c>
      <c r="C1361" s="10" t="s">
        <v>52</v>
      </c>
      <c r="D1361" s="10" t="s">
        <v>424</v>
      </c>
      <c r="E1361" s="10" t="s">
        <v>2345</v>
      </c>
      <c r="F1361" s="30" t="n">
        <v>42820</v>
      </c>
      <c r="G1361" s="30" t="n">
        <v>42861</v>
      </c>
      <c r="H1361" s="26" t="n">
        <f aca="false">G1361-F1361</f>
        <v>41</v>
      </c>
      <c r="I1361" s="10" t="n">
        <f aca="false">IF(E1361="Won",1,0)</f>
        <v>0</v>
      </c>
    </row>
    <row r="1362" customFormat="false" ht="15" hidden="false" customHeight="false" outlineLevel="0" collapsed="false">
      <c r="A1362" s="10" t="s">
        <v>3703</v>
      </c>
      <c r="B1362" s="10" t="s">
        <v>80</v>
      </c>
      <c r="C1362" s="10" t="s">
        <v>48</v>
      </c>
      <c r="D1362" s="10" t="s">
        <v>267</v>
      </c>
      <c r="E1362" s="10" t="s">
        <v>2342</v>
      </c>
      <c r="F1362" s="30" t="n">
        <v>42764</v>
      </c>
      <c r="G1362" s="30" t="n">
        <v>42861</v>
      </c>
      <c r="H1362" s="26" t="n">
        <f aca="false">G1362-F1362</f>
        <v>97</v>
      </c>
      <c r="I1362" s="10" t="n">
        <f aca="false">IF(E1362="Won",1,0)</f>
        <v>1</v>
      </c>
    </row>
    <row r="1363" customFormat="false" ht="15" hidden="false" customHeight="false" outlineLevel="0" collapsed="false">
      <c r="A1363" s="10" t="s">
        <v>3704</v>
      </c>
      <c r="B1363" s="10" t="s">
        <v>94</v>
      </c>
      <c r="C1363" s="10" t="s">
        <v>51</v>
      </c>
      <c r="D1363" s="10" t="s">
        <v>384</v>
      </c>
      <c r="E1363" s="10" t="s">
        <v>2342</v>
      </c>
      <c r="F1363" s="30" t="n">
        <v>42746</v>
      </c>
      <c r="G1363" s="30" t="n">
        <v>42861</v>
      </c>
      <c r="H1363" s="26" t="n">
        <f aca="false">G1363-F1363</f>
        <v>115</v>
      </c>
      <c r="I1363" s="10" t="n">
        <f aca="false">IF(E1363="Won",1,0)</f>
        <v>1</v>
      </c>
    </row>
    <row r="1364" customFormat="false" ht="15" hidden="false" customHeight="false" outlineLevel="0" collapsed="false">
      <c r="A1364" s="10" t="s">
        <v>3705</v>
      </c>
      <c r="B1364" s="10" t="s">
        <v>77</v>
      </c>
      <c r="C1364" s="10" t="s">
        <v>52</v>
      </c>
      <c r="D1364" s="10" t="s">
        <v>1948</v>
      </c>
      <c r="E1364" s="10" t="s">
        <v>2342</v>
      </c>
      <c r="F1364" s="30" t="n">
        <v>42808</v>
      </c>
      <c r="G1364" s="30" t="n">
        <v>42861</v>
      </c>
      <c r="H1364" s="26" t="n">
        <f aca="false">G1364-F1364</f>
        <v>53</v>
      </c>
      <c r="I1364" s="10" t="n">
        <f aca="false">IF(E1364="Won",1,0)</f>
        <v>1</v>
      </c>
    </row>
    <row r="1365" customFormat="false" ht="15" hidden="false" customHeight="false" outlineLevel="0" collapsed="false">
      <c r="A1365" s="10" t="s">
        <v>3706</v>
      </c>
      <c r="B1365" s="10" t="s">
        <v>88</v>
      </c>
      <c r="C1365" s="10" t="s">
        <v>50</v>
      </c>
      <c r="D1365" s="10" t="s">
        <v>455</v>
      </c>
      <c r="E1365" s="10" t="s">
        <v>2342</v>
      </c>
      <c r="F1365" s="30" t="n">
        <v>42860</v>
      </c>
      <c r="G1365" s="30" t="n">
        <v>42861</v>
      </c>
      <c r="H1365" s="26" t="n">
        <f aca="false">G1365-F1365</f>
        <v>1</v>
      </c>
      <c r="I1365" s="10" t="n">
        <f aca="false">IF(E1365="Won",1,0)</f>
        <v>1</v>
      </c>
    </row>
    <row r="1366" customFormat="false" ht="15" hidden="false" customHeight="false" outlineLevel="0" collapsed="false">
      <c r="A1366" s="10" t="s">
        <v>3707</v>
      </c>
      <c r="B1366" s="10" t="s">
        <v>80</v>
      </c>
      <c r="C1366" s="10" t="s">
        <v>51</v>
      </c>
      <c r="D1366" s="10" t="s">
        <v>527</v>
      </c>
      <c r="E1366" s="10" t="s">
        <v>2342</v>
      </c>
      <c r="F1366" s="30" t="n">
        <v>42857</v>
      </c>
      <c r="G1366" s="30" t="n">
        <v>42861</v>
      </c>
      <c r="H1366" s="26" t="n">
        <f aca="false">G1366-F1366</f>
        <v>4</v>
      </c>
      <c r="I1366" s="10" t="n">
        <f aca="false">IF(E1366="Won",1,0)</f>
        <v>1</v>
      </c>
    </row>
    <row r="1367" customFormat="false" ht="15" hidden="false" customHeight="false" outlineLevel="0" collapsed="false">
      <c r="A1367" s="10" t="s">
        <v>3708</v>
      </c>
      <c r="B1367" s="10" t="s">
        <v>87</v>
      </c>
      <c r="C1367" s="10" t="s">
        <v>50</v>
      </c>
      <c r="D1367" s="10" t="s">
        <v>405</v>
      </c>
      <c r="E1367" s="10" t="s">
        <v>2345</v>
      </c>
      <c r="F1367" s="30" t="n">
        <v>42798</v>
      </c>
      <c r="G1367" s="30" t="n">
        <v>42861</v>
      </c>
      <c r="H1367" s="26" t="n">
        <f aca="false">G1367-F1367</f>
        <v>63</v>
      </c>
      <c r="I1367" s="10" t="n">
        <f aca="false">IF(E1367="Won",1,0)</f>
        <v>0</v>
      </c>
    </row>
    <row r="1368" customFormat="false" ht="15" hidden="false" customHeight="false" outlineLevel="0" collapsed="false">
      <c r="A1368" s="10" t="s">
        <v>3709</v>
      </c>
      <c r="B1368" s="10" t="s">
        <v>70</v>
      </c>
      <c r="C1368" s="10" t="s">
        <v>52</v>
      </c>
      <c r="D1368" s="10" t="s">
        <v>483</v>
      </c>
      <c r="E1368" s="10" t="s">
        <v>2345</v>
      </c>
      <c r="F1368" s="30" t="n">
        <v>42791</v>
      </c>
      <c r="G1368" s="30" t="n">
        <v>42861</v>
      </c>
      <c r="H1368" s="26" t="n">
        <f aca="false">G1368-F1368</f>
        <v>70</v>
      </c>
      <c r="I1368" s="10" t="n">
        <f aca="false">IF(E1368="Won",1,0)</f>
        <v>0</v>
      </c>
    </row>
    <row r="1369" customFormat="false" ht="15" hidden="false" customHeight="false" outlineLevel="0" collapsed="false">
      <c r="A1369" s="10" t="s">
        <v>3710</v>
      </c>
      <c r="B1369" s="10" t="s">
        <v>70</v>
      </c>
      <c r="C1369" s="10" t="s">
        <v>48</v>
      </c>
      <c r="D1369" s="10" t="s">
        <v>396</v>
      </c>
      <c r="E1369" s="10" t="s">
        <v>2345</v>
      </c>
      <c r="F1369" s="30" t="n">
        <v>42853</v>
      </c>
      <c r="G1369" s="30" t="n">
        <v>42861</v>
      </c>
      <c r="H1369" s="26" t="n">
        <f aca="false">G1369-F1369</f>
        <v>8</v>
      </c>
      <c r="I1369" s="10" t="n">
        <f aca="false">IF(E1369="Won",1,0)</f>
        <v>0</v>
      </c>
    </row>
    <row r="1370" customFormat="false" ht="15" hidden="false" customHeight="false" outlineLevel="0" collapsed="false">
      <c r="A1370" s="10" t="s">
        <v>3711</v>
      </c>
      <c r="B1370" s="10" t="s">
        <v>62</v>
      </c>
      <c r="C1370" s="10" t="s">
        <v>52</v>
      </c>
      <c r="D1370" s="10" t="s">
        <v>637</v>
      </c>
      <c r="E1370" s="10" t="s">
        <v>2342</v>
      </c>
      <c r="F1370" s="30" t="n">
        <v>42801</v>
      </c>
      <c r="G1370" s="30" t="n">
        <v>42861</v>
      </c>
      <c r="H1370" s="26" t="n">
        <f aca="false">G1370-F1370</f>
        <v>60</v>
      </c>
      <c r="I1370" s="10" t="n">
        <f aca="false">IF(E1370="Won",1,0)</f>
        <v>1</v>
      </c>
    </row>
    <row r="1371" customFormat="false" ht="15" hidden="false" customHeight="false" outlineLevel="0" collapsed="false">
      <c r="A1371" s="10" t="s">
        <v>3712</v>
      </c>
      <c r="B1371" s="10" t="s">
        <v>60</v>
      </c>
      <c r="C1371" s="10" t="s">
        <v>51</v>
      </c>
      <c r="D1371" s="10" t="s">
        <v>218</v>
      </c>
      <c r="E1371" s="10" t="s">
        <v>2345</v>
      </c>
      <c r="F1371" s="30" t="n">
        <v>42849</v>
      </c>
      <c r="G1371" s="30" t="n">
        <v>42861</v>
      </c>
      <c r="H1371" s="26" t="n">
        <f aca="false">G1371-F1371</f>
        <v>12</v>
      </c>
      <c r="I1371" s="10" t="n">
        <f aca="false">IF(E1371="Won",1,0)</f>
        <v>0</v>
      </c>
    </row>
    <row r="1372" customFormat="false" ht="15" hidden="false" customHeight="false" outlineLevel="0" collapsed="false">
      <c r="A1372" s="10" t="s">
        <v>3713</v>
      </c>
      <c r="B1372" s="10" t="s">
        <v>95</v>
      </c>
      <c r="C1372" s="10" t="s">
        <v>48</v>
      </c>
      <c r="D1372" s="10" t="s">
        <v>437</v>
      </c>
      <c r="E1372" s="10" t="s">
        <v>2345</v>
      </c>
      <c r="F1372" s="30" t="n">
        <v>42809</v>
      </c>
      <c r="G1372" s="30" t="n">
        <v>42861</v>
      </c>
      <c r="H1372" s="26" t="n">
        <f aca="false">G1372-F1372</f>
        <v>52</v>
      </c>
      <c r="I1372" s="10" t="n">
        <f aca="false">IF(E1372="Won",1,0)</f>
        <v>0</v>
      </c>
    </row>
    <row r="1373" customFormat="false" ht="15" hidden="false" customHeight="false" outlineLevel="0" collapsed="false">
      <c r="A1373" s="10" t="s">
        <v>3714</v>
      </c>
      <c r="B1373" s="10" t="s">
        <v>88</v>
      </c>
      <c r="C1373" s="10" t="s">
        <v>51</v>
      </c>
      <c r="D1373" s="10" t="s">
        <v>1397</v>
      </c>
      <c r="E1373" s="10" t="s">
        <v>2342</v>
      </c>
      <c r="F1373" s="30" t="n">
        <v>42854</v>
      </c>
      <c r="G1373" s="30" t="n">
        <v>42861</v>
      </c>
      <c r="H1373" s="26" t="n">
        <f aca="false">G1373-F1373</f>
        <v>7</v>
      </c>
      <c r="I1373" s="10" t="n">
        <f aca="false">IF(E1373="Won",1,0)</f>
        <v>1</v>
      </c>
    </row>
    <row r="1374" customFormat="false" ht="15" hidden="false" customHeight="false" outlineLevel="0" collapsed="false">
      <c r="A1374" s="10" t="s">
        <v>3715</v>
      </c>
      <c r="B1374" s="10" t="s">
        <v>77</v>
      </c>
      <c r="C1374" s="10" t="s">
        <v>50</v>
      </c>
      <c r="D1374" s="10" t="s">
        <v>179</v>
      </c>
      <c r="E1374" s="10" t="s">
        <v>2342</v>
      </c>
      <c r="F1374" s="30" t="n">
        <v>42849</v>
      </c>
      <c r="G1374" s="30" t="n">
        <v>42861</v>
      </c>
      <c r="H1374" s="26" t="n">
        <f aca="false">G1374-F1374</f>
        <v>12</v>
      </c>
      <c r="I1374" s="10" t="n">
        <f aca="false">IF(E1374="Won",1,0)</f>
        <v>1</v>
      </c>
    </row>
    <row r="1375" customFormat="false" ht="15" hidden="false" customHeight="false" outlineLevel="0" collapsed="false">
      <c r="A1375" s="10" t="s">
        <v>3716</v>
      </c>
      <c r="B1375" s="10" t="s">
        <v>80</v>
      </c>
      <c r="C1375" s="10" t="s">
        <v>49</v>
      </c>
      <c r="D1375" s="10" t="s">
        <v>512</v>
      </c>
      <c r="E1375" s="10" t="s">
        <v>2342</v>
      </c>
      <c r="F1375" s="30" t="n">
        <v>42791</v>
      </c>
      <c r="G1375" s="30" t="n">
        <v>42861</v>
      </c>
      <c r="H1375" s="26" t="n">
        <f aca="false">G1375-F1375</f>
        <v>70</v>
      </c>
      <c r="I1375" s="10" t="n">
        <f aca="false">IF(E1375="Won",1,0)</f>
        <v>1</v>
      </c>
    </row>
    <row r="1376" customFormat="false" ht="15" hidden="false" customHeight="false" outlineLevel="0" collapsed="false">
      <c r="A1376" s="10" t="s">
        <v>3717</v>
      </c>
      <c r="B1376" s="10" t="s">
        <v>96</v>
      </c>
      <c r="C1376" s="10" t="s">
        <v>50</v>
      </c>
      <c r="D1376" s="10" t="s">
        <v>384</v>
      </c>
      <c r="E1376" s="10" t="s">
        <v>2342</v>
      </c>
      <c r="F1376" s="30" t="n">
        <v>42796</v>
      </c>
      <c r="G1376" s="30" t="n">
        <v>42861</v>
      </c>
      <c r="H1376" s="26" t="n">
        <f aca="false">G1376-F1376</f>
        <v>65</v>
      </c>
      <c r="I1376" s="10" t="n">
        <f aca="false">IF(E1376="Won",1,0)</f>
        <v>1</v>
      </c>
    </row>
    <row r="1377" customFormat="false" ht="15" hidden="false" customHeight="false" outlineLevel="0" collapsed="false">
      <c r="A1377" s="10" t="s">
        <v>3718</v>
      </c>
      <c r="B1377" s="10" t="s">
        <v>83</v>
      </c>
      <c r="C1377" s="10" t="s">
        <v>51</v>
      </c>
      <c r="D1377" s="10" t="s">
        <v>210</v>
      </c>
      <c r="E1377" s="10" t="s">
        <v>2342</v>
      </c>
      <c r="F1377" s="30" t="n">
        <v>42855</v>
      </c>
      <c r="G1377" s="30" t="n">
        <v>42861</v>
      </c>
      <c r="H1377" s="26" t="n">
        <f aca="false">G1377-F1377</f>
        <v>6</v>
      </c>
      <c r="I1377" s="10" t="n">
        <f aca="false">IF(E1377="Won",1,0)</f>
        <v>1</v>
      </c>
    </row>
    <row r="1378" customFormat="false" ht="15" hidden="false" customHeight="false" outlineLevel="0" collapsed="false">
      <c r="A1378" s="10" t="s">
        <v>3719</v>
      </c>
      <c r="B1378" s="10" t="s">
        <v>88</v>
      </c>
      <c r="C1378" s="10" t="s">
        <v>47</v>
      </c>
      <c r="D1378" s="10" t="s">
        <v>247</v>
      </c>
      <c r="E1378" s="10" t="s">
        <v>2342</v>
      </c>
      <c r="F1378" s="30" t="n">
        <v>42780</v>
      </c>
      <c r="G1378" s="30" t="n">
        <v>42861</v>
      </c>
      <c r="H1378" s="26" t="n">
        <f aca="false">G1378-F1378</f>
        <v>81</v>
      </c>
      <c r="I1378" s="10" t="n">
        <f aca="false">IF(E1378="Won",1,0)</f>
        <v>1</v>
      </c>
    </row>
    <row r="1379" customFormat="false" ht="15" hidden="false" customHeight="false" outlineLevel="0" collapsed="false">
      <c r="A1379" s="10" t="s">
        <v>3720</v>
      </c>
      <c r="B1379" s="10" t="s">
        <v>75</v>
      </c>
      <c r="C1379" s="10" t="s">
        <v>52</v>
      </c>
      <c r="D1379" s="10" t="s">
        <v>597</v>
      </c>
      <c r="E1379" s="10" t="s">
        <v>2342</v>
      </c>
      <c r="F1379" s="30" t="n">
        <v>42846</v>
      </c>
      <c r="G1379" s="30" t="n">
        <v>42861</v>
      </c>
      <c r="H1379" s="26" t="n">
        <f aca="false">G1379-F1379</f>
        <v>15</v>
      </c>
      <c r="I1379" s="10" t="n">
        <f aca="false">IF(E1379="Won",1,0)</f>
        <v>1</v>
      </c>
    </row>
    <row r="1380" customFormat="false" ht="15" hidden="false" customHeight="false" outlineLevel="0" collapsed="false">
      <c r="A1380" s="10" t="s">
        <v>3721</v>
      </c>
      <c r="B1380" s="10" t="s">
        <v>94</v>
      </c>
      <c r="C1380" s="10" t="s">
        <v>49</v>
      </c>
      <c r="D1380" s="10" t="s">
        <v>384</v>
      </c>
      <c r="E1380" s="10" t="s">
        <v>2342</v>
      </c>
      <c r="F1380" s="30" t="n">
        <v>42789</v>
      </c>
      <c r="G1380" s="30" t="n">
        <v>42861</v>
      </c>
      <c r="H1380" s="26" t="n">
        <f aca="false">G1380-F1380</f>
        <v>72</v>
      </c>
      <c r="I1380" s="10" t="n">
        <f aca="false">IF(E1380="Won",1,0)</f>
        <v>1</v>
      </c>
    </row>
    <row r="1381" customFormat="false" ht="15" hidden="false" customHeight="false" outlineLevel="0" collapsed="false">
      <c r="A1381" s="10" t="s">
        <v>3722</v>
      </c>
      <c r="B1381" s="10" t="s">
        <v>77</v>
      </c>
      <c r="C1381" s="10" t="s">
        <v>48</v>
      </c>
      <c r="D1381" s="10" t="s">
        <v>369</v>
      </c>
      <c r="E1381" s="10" t="s">
        <v>2342</v>
      </c>
      <c r="F1381" s="30" t="n">
        <v>42852</v>
      </c>
      <c r="G1381" s="30" t="n">
        <v>42861</v>
      </c>
      <c r="H1381" s="26" t="n">
        <f aca="false">G1381-F1381</f>
        <v>9</v>
      </c>
      <c r="I1381" s="10" t="n">
        <f aca="false">IF(E1381="Won",1,0)</f>
        <v>1</v>
      </c>
    </row>
    <row r="1382" customFormat="false" ht="15" hidden="false" customHeight="false" outlineLevel="0" collapsed="false">
      <c r="A1382" s="10" t="s">
        <v>3723</v>
      </c>
      <c r="B1382" s="10" t="s">
        <v>57</v>
      </c>
      <c r="C1382" s="10" t="s">
        <v>51</v>
      </c>
      <c r="D1382" s="10" t="s">
        <v>274</v>
      </c>
      <c r="E1382" s="10" t="s">
        <v>2342</v>
      </c>
      <c r="F1382" s="30" t="n">
        <v>42850</v>
      </c>
      <c r="G1382" s="30" t="n">
        <v>42861</v>
      </c>
      <c r="H1382" s="26" t="n">
        <f aca="false">G1382-F1382</f>
        <v>11</v>
      </c>
      <c r="I1382" s="10" t="n">
        <f aca="false">IF(E1382="Won",1,0)</f>
        <v>1</v>
      </c>
    </row>
    <row r="1383" customFormat="false" ht="15" hidden="false" customHeight="false" outlineLevel="0" collapsed="false">
      <c r="A1383" s="10" t="s">
        <v>3724</v>
      </c>
      <c r="B1383" s="10" t="s">
        <v>61</v>
      </c>
      <c r="C1383" s="10" t="s">
        <v>49</v>
      </c>
      <c r="D1383" s="10" t="s">
        <v>185</v>
      </c>
      <c r="E1383" s="10" t="s">
        <v>2345</v>
      </c>
      <c r="F1383" s="30" t="n">
        <v>42848</v>
      </c>
      <c r="G1383" s="30" t="n">
        <v>42861</v>
      </c>
      <c r="H1383" s="26" t="n">
        <f aca="false">G1383-F1383</f>
        <v>13</v>
      </c>
      <c r="I1383" s="10" t="n">
        <f aca="false">IF(E1383="Won",1,0)</f>
        <v>0</v>
      </c>
    </row>
    <row r="1384" customFormat="false" ht="15" hidden="false" customHeight="false" outlineLevel="0" collapsed="false">
      <c r="A1384" s="10" t="s">
        <v>3725</v>
      </c>
      <c r="B1384" s="10" t="s">
        <v>68</v>
      </c>
      <c r="C1384" s="10" t="s">
        <v>51</v>
      </c>
      <c r="D1384" s="10" t="s">
        <v>233</v>
      </c>
      <c r="E1384" s="10" t="s">
        <v>2342</v>
      </c>
      <c r="F1384" s="30" t="n">
        <v>42860</v>
      </c>
      <c r="G1384" s="30" t="n">
        <v>42861</v>
      </c>
      <c r="H1384" s="26" t="n">
        <f aca="false">G1384-F1384</f>
        <v>1</v>
      </c>
      <c r="I1384" s="10" t="n">
        <f aca="false">IF(E1384="Won",1,0)</f>
        <v>1</v>
      </c>
    </row>
    <row r="1385" customFormat="false" ht="15" hidden="false" customHeight="false" outlineLevel="0" collapsed="false">
      <c r="A1385" s="10" t="s">
        <v>3726</v>
      </c>
      <c r="B1385" s="10" t="s">
        <v>62</v>
      </c>
      <c r="C1385" s="10" t="s">
        <v>52</v>
      </c>
      <c r="D1385" s="10" t="s">
        <v>359</v>
      </c>
      <c r="E1385" s="10" t="s">
        <v>2342</v>
      </c>
      <c r="F1385" s="30" t="n">
        <v>42785</v>
      </c>
      <c r="G1385" s="30" t="n">
        <v>42861</v>
      </c>
      <c r="H1385" s="26" t="n">
        <f aca="false">G1385-F1385</f>
        <v>76</v>
      </c>
      <c r="I1385" s="10" t="n">
        <f aca="false">IF(E1385="Won",1,0)</f>
        <v>1</v>
      </c>
    </row>
    <row r="1386" customFormat="false" ht="15" hidden="false" customHeight="false" outlineLevel="0" collapsed="false">
      <c r="A1386" s="10" t="s">
        <v>3727</v>
      </c>
      <c r="B1386" s="10" t="s">
        <v>95</v>
      </c>
      <c r="C1386" s="10" t="s">
        <v>48</v>
      </c>
      <c r="D1386" s="10" t="s">
        <v>432</v>
      </c>
      <c r="E1386" s="10" t="s">
        <v>2342</v>
      </c>
      <c r="F1386" s="30" t="n">
        <v>42796</v>
      </c>
      <c r="G1386" s="30" t="n">
        <v>42861</v>
      </c>
      <c r="H1386" s="26" t="n">
        <f aca="false">G1386-F1386</f>
        <v>65</v>
      </c>
      <c r="I1386" s="10" t="n">
        <f aca="false">IF(E1386="Won",1,0)</f>
        <v>1</v>
      </c>
    </row>
    <row r="1387" customFormat="false" ht="15" hidden="false" customHeight="false" outlineLevel="0" collapsed="false">
      <c r="A1387" s="10" t="s">
        <v>3728</v>
      </c>
      <c r="B1387" s="10" t="s">
        <v>75</v>
      </c>
      <c r="C1387" s="10" t="s">
        <v>49</v>
      </c>
      <c r="D1387" s="10" t="s">
        <v>414</v>
      </c>
      <c r="E1387" s="10" t="s">
        <v>2342</v>
      </c>
      <c r="F1387" s="30" t="n">
        <v>42790</v>
      </c>
      <c r="G1387" s="30" t="n">
        <v>42861</v>
      </c>
      <c r="H1387" s="26" t="n">
        <f aca="false">G1387-F1387</f>
        <v>71</v>
      </c>
      <c r="I1387" s="10" t="n">
        <f aca="false">IF(E1387="Won",1,0)</f>
        <v>1</v>
      </c>
    </row>
    <row r="1388" customFormat="false" ht="15" hidden="false" customHeight="false" outlineLevel="0" collapsed="false">
      <c r="A1388" s="10" t="s">
        <v>3729</v>
      </c>
      <c r="B1388" s="10" t="s">
        <v>88</v>
      </c>
      <c r="C1388" s="10" t="s">
        <v>51</v>
      </c>
      <c r="D1388" s="10" t="s">
        <v>464</v>
      </c>
      <c r="E1388" s="10" t="s">
        <v>2345</v>
      </c>
      <c r="F1388" s="30" t="n">
        <v>42846</v>
      </c>
      <c r="G1388" s="30" t="n">
        <v>42862</v>
      </c>
      <c r="H1388" s="26" t="n">
        <f aca="false">G1388-F1388</f>
        <v>16</v>
      </c>
      <c r="I1388" s="10" t="n">
        <f aca="false">IF(E1388="Won",1,0)</f>
        <v>0</v>
      </c>
    </row>
    <row r="1389" customFormat="false" ht="15" hidden="false" customHeight="false" outlineLevel="0" collapsed="false">
      <c r="A1389" s="10" t="s">
        <v>3730</v>
      </c>
      <c r="B1389" s="10" t="s">
        <v>70</v>
      </c>
      <c r="C1389" s="10" t="s">
        <v>52</v>
      </c>
      <c r="D1389" s="10" t="s">
        <v>506</v>
      </c>
      <c r="E1389" s="10" t="s">
        <v>2345</v>
      </c>
      <c r="F1389" s="30" t="n">
        <v>42765</v>
      </c>
      <c r="G1389" s="30" t="n">
        <v>42862</v>
      </c>
      <c r="H1389" s="26" t="n">
        <f aca="false">G1389-F1389</f>
        <v>97</v>
      </c>
      <c r="I1389" s="10" t="n">
        <f aca="false">IF(E1389="Won",1,0)</f>
        <v>0</v>
      </c>
    </row>
    <row r="1390" customFormat="false" ht="15" hidden="false" customHeight="false" outlineLevel="0" collapsed="false">
      <c r="A1390" s="10" t="s">
        <v>3731</v>
      </c>
      <c r="B1390" s="10" t="s">
        <v>95</v>
      </c>
      <c r="C1390" s="10" t="s">
        <v>50</v>
      </c>
      <c r="D1390" s="10" t="s">
        <v>348</v>
      </c>
      <c r="E1390" s="10" t="s">
        <v>2345</v>
      </c>
      <c r="F1390" s="30" t="n">
        <v>42781</v>
      </c>
      <c r="G1390" s="30" t="n">
        <v>42862</v>
      </c>
      <c r="H1390" s="26" t="n">
        <f aca="false">G1390-F1390</f>
        <v>81</v>
      </c>
      <c r="I1390" s="10" t="n">
        <f aca="false">IF(E1390="Won",1,0)</f>
        <v>0</v>
      </c>
    </row>
    <row r="1391" customFormat="false" ht="15" hidden="false" customHeight="false" outlineLevel="0" collapsed="false">
      <c r="A1391" s="10" t="s">
        <v>3732</v>
      </c>
      <c r="B1391" s="10" t="s">
        <v>74</v>
      </c>
      <c r="C1391" s="10" t="s">
        <v>49</v>
      </c>
      <c r="D1391" s="10" t="s">
        <v>947</v>
      </c>
      <c r="E1391" s="10" t="s">
        <v>2342</v>
      </c>
      <c r="F1391" s="30" t="n">
        <v>42784</v>
      </c>
      <c r="G1391" s="30" t="n">
        <v>42862</v>
      </c>
      <c r="H1391" s="26" t="n">
        <f aca="false">G1391-F1391</f>
        <v>78</v>
      </c>
      <c r="I1391" s="10" t="n">
        <f aca="false">IF(E1391="Won",1,0)</f>
        <v>1</v>
      </c>
    </row>
    <row r="1392" customFormat="false" ht="15" hidden="false" customHeight="false" outlineLevel="0" collapsed="false">
      <c r="A1392" s="10" t="s">
        <v>3733</v>
      </c>
      <c r="B1392" s="10" t="s">
        <v>61</v>
      </c>
      <c r="C1392" s="10" t="s">
        <v>47</v>
      </c>
      <c r="D1392" s="10" t="s">
        <v>185</v>
      </c>
      <c r="E1392" s="10" t="s">
        <v>2342</v>
      </c>
      <c r="F1392" s="30" t="n">
        <v>42756</v>
      </c>
      <c r="G1392" s="30" t="n">
        <v>42862</v>
      </c>
      <c r="H1392" s="26" t="n">
        <f aca="false">G1392-F1392</f>
        <v>106</v>
      </c>
      <c r="I1392" s="10" t="n">
        <f aca="false">IF(E1392="Won",1,0)</f>
        <v>1</v>
      </c>
    </row>
    <row r="1393" customFormat="false" ht="15" hidden="false" customHeight="false" outlineLevel="0" collapsed="false">
      <c r="A1393" s="10" t="s">
        <v>3734</v>
      </c>
      <c r="B1393" s="10" t="s">
        <v>75</v>
      </c>
      <c r="C1393" s="10" t="s">
        <v>47</v>
      </c>
      <c r="D1393" s="10" t="s">
        <v>414</v>
      </c>
      <c r="E1393" s="10" t="s">
        <v>2345</v>
      </c>
      <c r="F1393" s="30" t="n">
        <v>42856</v>
      </c>
      <c r="G1393" s="30" t="n">
        <v>42862</v>
      </c>
      <c r="H1393" s="26" t="n">
        <f aca="false">G1393-F1393</f>
        <v>6</v>
      </c>
      <c r="I1393" s="10" t="n">
        <f aca="false">IF(E1393="Won",1,0)</f>
        <v>0</v>
      </c>
    </row>
    <row r="1394" customFormat="false" ht="15" hidden="false" customHeight="false" outlineLevel="0" collapsed="false">
      <c r="A1394" s="10" t="s">
        <v>3735</v>
      </c>
      <c r="B1394" s="10" t="s">
        <v>61</v>
      </c>
      <c r="C1394" s="10" t="s">
        <v>52</v>
      </c>
      <c r="D1394" s="10" t="s">
        <v>277</v>
      </c>
      <c r="E1394" s="10" t="s">
        <v>2345</v>
      </c>
      <c r="F1394" s="30" t="n">
        <v>42780</v>
      </c>
      <c r="G1394" s="30" t="n">
        <v>42862</v>
      </c>
      <c r="H1394" s="26" t="n">
        <f aca="false">G1394-F1394</f>
        <v>82</v>
      </c>
      <c r="I1394" s="10" t="n">
        <f aca="false">IF(E1394="Won",1,0)</f>
        <v>0</v>
      </c>
    </row>
    <row r="1395" customFormat="false" ht="15" hidden="false" customHeight="false" outlineLevel="0" collapsed="false">
      <c r="A1395" s="10" t="s">
        <v>3736</v>
      </c>
      <c r="B1395" s="10" t="s">
        <v>77</v>
      </c>
      <c r="C1395" s="10" t="s">
        <v>49</v>
      </c>
      <c r="D1395" s="10" t="s">
        <v>597</v>
      </c>
      <c r="E1395" s="10" t="s">
        <v>2342</v>
      </c>
      <c r="F1395" s="30" t="n">
        <v>42763</v>
      </c>
      <c r="G1395" s="30" t="n">
        <v>42862</v>
      </c>
      <c r="H1395" s="26" t="n">
        <f aca="false">G1395-F1395</f>
        <v>99</v>
      </c>
      <c r="I1395" s="10" t="n">
        <f aca="false">IF(E1395="Won",1,0)</f>
        <v>1</v>
      </c>
    </row>
    <row r="1396" customFormat="false" ht="15" hidden="false" customHeight="false" outlineLevel="0" collapsed="false">
      <c r="A1396" s="10" t="s">
        <v>3737</v>
      </c>
      <c r="B1396" s="10" t="s">
        <v>68</v>
      </c>
      <c r="C1396" s="10" t="s">
        <v>52</v>
      </c>
      <c r="D1396" s="10" t="s">
        <v>506</v>
      </c>
      <c r="E1396" s="10" t="s">
        <v>2342</v>
      </c>
      <c r="F1396" s="30" t="n">
        <v>42802</v>
      </c>
      <c r="G1396" s="30" t="n">
        <v>42862</v>
      </c>
      <c r="H1396" s="26" t="n">
        <f aca="false">G1396-F1396</f>
        <v>60</v>
      </c>
      <c r="I1396" s="10" t="n">
        <f aca="false">IF(E1396="Won",1,0)</f>
        <v>1</v>
      </c>
    </row>
    <row r="1397" customFormat="false" ht="15" hidden="false" customHeight="false" outlineLevel="0" collapsed="false">
      <c r="A1397" s="10" t="s">
        <v>3738</v>
      </c>
      <c r="B1397" s="10" t="s">
        <v>88</v>
      </c>
      <c r="C1397" s="10" t="s">
        <v>51</v>
      </c>
      <c r="D1397" s="10" t="s">
        <v>359</v>
      </c>
      <c r="E1397" s="10" t="s">
        <v>2345</v>
      </c>
      <c r="F1397" s="30" t="n">
        <v>42777</v>
      </c>
      <c r="G1397" s="30" t="n">
        <v>42862</v>
      </c>
      <c r="H1397" s="26" t="n">
        <f aca="false">G1397-F1397</f>
        <v>85</v>
      </c>
      <c r="I1397" s="10" t="n">
        <f aca="false">IF(E1397="Won",1,0)</f>
        <v>0</v>
      </c>
    </row>
    <row r="1398" customFormat="false" ht="15" hidden="false" customHeight="false" outlineLevel="0" collapsed="false">
      <c r="A1398" s="10" t="s">
        <v>3739</v>
      </c>
      <c r="B1398" s="10" t="s">
        <v>93</v>
      </c>
      <c r="C1398" s="10" t="s">
        <v>49</v>
      </c>
      <c r="D1398" s="10" t="s">
        <v>233</v>
      </c>
      <c r="E1398" s="10" t="s">
        <v>2342</v>
      </c>
      <c r="F1398" s="30" t="n">
        <v>42782</v>
      </c>
      <c r="G1398" s="30" t="n">
        <v>42862</v>
      </c>
      <c r="H1398" s="26" t="n">
        <f aca="false">G1398-F1398</f>
        <v>80</v>
      </c>
      <c r="I1398" s="10" t="n">
        <f aca="false">IF(E1398="Won",1,0)</f>
        <v>1</v>
      </c>
    </row>
    <row r="1399" customFormat="false" ht="15" hidden="false" customHeight="false" outlineLevel="0" collapsed="false">
      <c r="A1399" s="10" t="s">
        <v>3740</v>
      </c>
      <c r="B1399" s="10" t="s">
        <v>90</v>
      </c>
      <c r="C1399" s="10" t="s">
        <v>51</v>
      </c>
      <c r="D1399" s="10" t="s">
        <v>692</v>
      </c>
      <c r="E1399" s="10" t="s">
        <v>2342</v>
      </c>
      <c r="F1399" s="30" t="n">
        <v>42771</v>
      </c>
      <c r="G1399" s="30" t="n">
        <v>42862</v>
      </c>
      <c r="H1399" s="26" t="n">
        <f aca="false">G1399-F1399</f>
        <v>91</v>
      </c>
      <c r="I1399" s="10" t="n">
        <f aca="false">IF(E1399="Won",1,0)</f>
        <v>1</v>
      </c>
    </row>
    <row r="1400" customFormat="false" ht="15" hidden="false" customHeight="false" outlineLevel="0" collapsed="false">
      <c r="A1400" s="10" t="s">
        <v>3741</v>
      </c>
      <c r="B1400" s="10" t="s">
        <v>81</v>
      </c>
      <c r="C1400" s="10" t="s">
        <v>49</v>
      </c>
      <c r="D1400" s="10" t="s">
        <v>947</v>
      </c>
      <c r="E1400" s="10" t="s">
        <v>2342</v>
      </c>
      <c r="F1400" s="30" t="n">
        <v>42812</v>
      </c>
      <c r="G1400" s="30" t="n">
        <v>42862</v>
      </c>
      <c r="H1400" s="26" t="n">
        <f aca="false">G1400-F1400</f>
        <v>50</v>
      </c>
      <c r="I1400" s="10" t="n">
        <f aca="false">IF(E1400="Won",1,0)</f>
        <v>1</v>
      </c>
    </row>
    <row r="1401" customFormat="false" ht="15" hidden="false" customHeight="false" outlineLevel="0" collapsed="false">
      <c r="A1401" s="10" t="s">
        <v>3742</v>
      </c>
      <c r="B1401" s="10" t="s">
        <v>90</v>
      </c>
      <c r="C1401" s="10" t="s">
        <v>48</v>
      </c>
      <c r="D1401" s="10" t="s">
        <v>405</v>
      </c>
      <c r="E1401" s="10" t="s">
        <v>2345</v>
      </c>
      <c r="F1401" s="30" t="n">
        <v>42760</v>
      </c>
      <c r="G1401" s="30" t="n">
        <v>42862</v>
      </c>
      <c r="H1401" s="26" t="n">
        <f aca="false">G1401-F1401</f>
        <v>102</v>
      </c>
      <c r="I1401" s="10" t="n">
        <f aca="false">IF(E1401="Won",1,0)</f>
        <v>0</v>
      </c>
    </row>
    <row r="1402" customFormat="false" ht="15" hidden="false" customHeight="false" outlineLevel="0" collapsed="false">
      <c r="A1402" s="10" t="s">
        <v>3743</v>
      </c>
      <c r="B1402" s="10" t="s">
        <v>95</v>
      </c>
      <c r="C1402" s="10" t="s">
        <v>48</v>
      </c>
      <c r="D1402" s="10" t="s">
        <v>199</v>
      </c>
      <c r="E1402" s="10" t="s">
        <v>2345</v>
      </c>
      <c r="F1402" s="30" t="n">
        <v>42805</v>
      </c>
      <c r="G1402" s="30" t="n">
        <v>42862</v>
      </c>
      <c r="H1402" s="26" t="n">
        <f aca="false">G1402-F1402</f>
        <v>57</v>
      </c>
      <c r="I1402" s="10" t="n">
        <f aca="false">IF(E1402="Won",1,0)</f>
        <v>0</v>
      </c>
    </row>
    <row r="1403" customFormat="false" ht="15" hidden="false" customHeight="false" outlineLevel="0" collapsed="false">
      <c r="A1403" s="10" t="s">
        <v>3744</v>
      </c>
      <c r="B1403" s="10" t="s">
        <v>75</v>
      </c>
      <c r="C1403" s="10" t="s">
        <v>51</v>
      </c>
      <c r="D1403" s="10" t="s">
        <v>259</v>
      </c>
      <c r="E1403" s="10" t="s">
        <v>2342</v>
      </c>
      <c r="F1403" s="30" t="n">
        <v>42757</v>
      </c>
      <c r="G1403" s="30" t="n">
        <v>42862</v>
      </c>
      <c r="H1403" s="26" t="n">
        <f aca="false">G1403-F1403</f>
        <v>105</v>
      </c>
      <c r="I1403" s="10" t="n">
        <f aca="false">IF(E1403="Won",1,0)</f>
        <v>1</v>
      </c>
    </row>
    <row r="1404" customFormat="false" ht="15" hidden="false" customHeight="false" outlineLevel="0" collapsed="false">
      <c r="A1404" s="10" t="s">
        <v>3745</v>
      </c>
      <c r="B1404" s="10" t="s">
        <v>97</v>
      </c>
      <c r="C1404" s="10" t="s">
        <v>50</v>
      </c>
      <c r="D1404" s="10" t="s">
        <v>487</v>
      </c>
      <c r="E1404" s="10" t="s">
        <v>2345</v>
      </c>
      <c r="F1404" s="30" t="n">
        <v>42770</v>
      </c>
      <c r="G1404" s="30" t="n">
        <v>42862</v>
      </c>
      <c r="H1404" s="26" t="n">
        <f aca="false">G1404-F1404</f>
        <v>92</v>
      </c>
      <c r="I1404" s="10" t="n">
        <f aca="false">IF(E1404="Won",1,0)</f>
        <v>0</v>
      </c>
    </row>
    <row r="1405" customFormat="false" ht="15" hidden="false" customHeight="false" outlineLevel="0" collapsed="false">
      <c r="A1405" s="10" t="s">
        <v>3746</v>
      </c>
      <c r="B1405" s="10" t="s">
        <v>88</v>
      </c>
      <c r="C1405" s="10" t="s">
        <v>49</v>
      </c>
      <c r="D1405" s="10" t="s">
        <v>161</v>
      </c>
      <c r="E1405" s="10" t="s">
        <v>2342</v>
      </c>
      <c r="F1405" s="30" t="n">
        <v>42784</v>
      </c>
      <c r="G1405" s="30" t="n">
        <v>42863</v>
      </c>
      <c r="H1405" s="26" t="n">
        <f aca="false">G1405-F1405</f>
        <v>79</v>
      </c>
      <c r="I1405" s="10" t="n">
        <f aca="false">IF(E1405="Won",1,0)</f>
        <v>1</v>
      </c>
    </row>
    <row r="1406" customFormat="false" ht="15" hidden="false" customHeight="false" outlineLevel="0" collapsed="false">
      <c r="A1406" s="10" t="s">
        <v>3747</v>
      </c>
      <c r="B1406" s="10" t="s">
        <v>75</v>
      </c>
      <c r="C1406" s="10" t="s">
        <v>52</v>
      </c>
      <c r="D1406" s="10" t="s">
        <v>291</v>
      </c>
      <c r="E1406" s="10" t="s">
        <v>2345</v>
      </c>
      <c r="F1406" s="30" t="n">
        <v>42771</v>
      </c>
      <c r="G1406" s="30" t="n">
        <v>42863</v>
      </c>
      <c r="H1406" s="26" t="n">
        <f aca="false">G1406-F1406</f>
        <v>92</v>
      </c>
      <c r="I1406" s="10" t="n">
        <f aca="false">IF(E1406="Won",1,0)</f>
        <v>0</v>
      </c>
    </row>
    <row r="1407" customFormat="false" ht="15" hidden="false" customHeight="false" outlineLevel="0" collapsed="false">
      <c r="A1407" s="10" t="s">
        <v>3748</v>
      </c>
      <c r="B1407" s="10" t="s">
        <v>94</v>
      </c>
      <c r="C1407" s="10" t="s">
        <v>51</v>
      </c>
      <c r="D1407" s="10" t="s">
        <v>432</v>
      </c>
      <c r="E1407" s="10" t="s">
        <v>2342</v>
      </c>
      <c r="F1407" s="30" t="n">
        <v>42752</v>
      </c>
      <c r="G1407" s="30" t="n">
        <v>42863</v>
      </c>
      <c r="H1407" s="26" t="n">
        <f aca="false">G1407-F1407</f>
        <v>111</v>
      </c>
      <c r="I1407" s="10" t="n">
        <f aca="false">IF(E1407="Won",1,0)</f>
        <v>1</v>
      </c>
    </row>
    <row r="1408" customFormat="false" ht="15" hidden="false" customHeight="false" outlineLevel="0" collapsed="false">
      <c r="A1408" s="10" t="s">
        <v>3749</v>
      </c>
      <c r="B1408" s="10" t="s">
        <v>74</v>
      </c>
      <c r="C1408" s="10" t="s">
        <v>49</v>
      </c>
      <c r="D1408" s="10" t="s">
        <v>1251</v>
      </c>
      <c r="E1408" s="10" t="s">
        <v>2342</v>
      </c>
      <c r="F1408" s="30" t="n">
        <v>42860</v>
      </c>
      <c r="G1408" s="30" t="n">
        <v>42863</v>
      </c>
      <c r="H1408" s="26" t="n">
        <f aca="false">G1408-F1408</f>
        <v>3</v>
      </c>
      <c r="I1408" s="10" t="n">
        <f aca="false">IF(E1408="Won",1,0)</f>
        <v>1</v>
      </c>
    </row>
    <row r="1409" customFormat="false" ht="15" hidden="false" customHeight="false" outlineLevel="0" collapsed="false">
      <c r="A1409" s="10" t="s">
        <v>3750</v>
      </c>
      <c r="B1409" s="10" t="s">
        <v>70</v>
      </c>
      <c r="C1409" s="10" t="s">
        <v>51</v>
      </c>
      <c r="D1409" s="10" t="s">
        <v>172</v>
      </c>
      <c r="E1409" s="10" t="s">
        <v>2342</v>
      </c>
      <c r="F1409" s="30" t="n">
        <v>42799</v>
      </c>
      <c r="G1409" s="30" t="n">
        <v>42863</v>
      </c>
      <c r="H1409" s="26" t="n">
        <f aca="false">G1409-F1409</f>
        <v>64</v>
      </c>
      <c r="I1409" s="10" t="n">
        <f aca="false">IF(E1409="Won",1,0)</f>
        <v>1</v>
      </c>
    </row>
    <row r="1410" customFormat="false" ht="15" hidden="false" customHeight="false" outlineLevel="0" collapsed="false">
      <c r="A1410" s="10" t="s">
        <v>3751</v>
      </c>
      <c r="B1410" s="10" t="s">
        <v>96</v>
      </c>
      <c r="C1410" s="10" t="s">
        <v>50</v>
      </c>
      <c r="D1410" s="10" t="s">
        <v>326</v>
      </c>
      <c r="E1410" s="10" t="s">
        <v>2345</v>
      </c>
      <c r="F1410" s="30" t="n">
        <v>42763</v>
      </c>
      <c r="G1410" s="30" t="n">
        <v>42863</v>
      </c>
      <c r="H1410" s="26" t="n">
        <f aca="false">G1410-F1410</f>
        <v>100</v>
      </c>
      <c r="I1410" s="10" t="n">
        <f aca="false">IF(E1410="Won",1,0)</f>
        <v>0</v>
      </c>
    </row>
    <row r="1411" customFormat="false" ht="15" hidden="false" customHeight="false" outlineLevel="0" collapsed="false">
      <c r="A1411" s="10" t="s">
        <v>3752</v>
      </c>
      <c r="B1411" s="10" t="s">
        <v>83</v>
      </c>
      <c r="C1411" s="10" t="s">
        <v>51</v>
      </c>
      <c r="D1411" s="10" t="s">
        <v>947</v>
      </c>
      <c r="E1411" s="10" t="s">
        <v>2345</v>
      </c>
      <c r="F1411" s="30" t="n">
        <v>42793</v>
      </c>
      <c r="G1411" s="30" t="n">
        <v>42863</v>
      </c>
      <c r="H1411" s="26" t="n">
        <f aca="false">G1411-F1411</f>
        <v>70</v>
      </c>
      <c r="I1411" s="10" t="n">
        <f aca="false">IF(E1411="Won",1,0)</f>
        <v>0</v>
      </c>
    </row>
    <row r="1412" customFormat="false" ht="15" hidden="false" customHeight="false" outlineLevel="0" collapsed="false">
      <c r="A1412" s="10" t="s">
        <v>3753</v>
      </c>
      <c r="B1412" s="10" t="s">
        <v>75</v>
      </c>
      <c r="C1412" s="10" t="s">
        <v>49</v>
      </c>
      <c r="D1412" s="10" t="s">
        <v>524</v>
      </c>
      <c r="E1412" s="10" t="s">
        <v>2342</v>
      </c>
      <c r="F1412" s="30" t="n">
        <v>42856</v>
      </c>
      <c r="G1412" s="30" t="n">
        <v>42863</v>
      </c>
      <c r="H1412" s="26" t="n">
        <f aca="false">G1412-F1412</f>
        <v>7</v>
      </c>
      <c r="I1412" s="10" t="n">
        <f aca="false">IF(E1412="Won",1,0)</f>
        <v>1</v>
      </c>
    </row>
    <row r="1413" customFormat="false" ht="15" hidden="false" customHeight="false" outlineLevel="0" collapsed="false">
      <c r="A1413" s="10" t="s">
        <v>3754</v>
      </c>
      <c r="B1413" s="10" t="s">
        <v>94</v>
      </c>
      <c r="C1413" s="10" t="s">
        <v>50</v>
      </c>
      <c r="D1413" s="10" t="s">
        <v>313</v>
      </c>
      <c r="E1413" s="10" t="s">
        <v>2345</v>
      </c>
      <c r="F1413" s="30" t="n">
        <v>42754</v>
      </c>
      <c r="G1413" s="30" t="n">
        <v>42863</v>
      </c>
      <c r="H1413" s="26" t="n">
        <f aca="false">G1413-F1413</f>
        <v>109</v>
      </c>
      <c r="I1413" s="10" t="n">
        <f aca="false">IF(E1413="Won",1,0)</f>
        <v>0</v>
      </c>
    </row>
    <row r="1414" customFormat="false" ht="15" hidden="false" customHeight="false" outlineLevel="0" collapsed="false">
      <c r="A1414" s="10" t="s">
        <v>3755</v>
      </c>
      <c r="B1414" s="10" t="s">
        <v>86</v>
      </c>
      <c r="C1414" s="10" t="s">
        <v>48</v>
      </c>
      <c r="D1414" s="10" t="s">
        <v>637</v>
      </c>
      <c r="E1414" s="10" t="s">
        <v>2345</v>
      </c>
      <c r="F1414" s="30" t="n">
        <v>42847</v>
      </c>
      <c r="G1414" s="30" t="n">
        <v>42863</v>
      </c>
      <c r="H1414" s="26" t="n">
        <f aca="false">G1414-F1414</f>
        <v>16</v>
      </c>
      <c r="I1414" s="10" t="n">
        <f aca="false">IF(E1414="Won",1,0)</f>
        <v>0</v>
      </c>
    </row>
    <row r="1415" customFormat="false" ht="15" hidden="false" customHeight="false" outlineLevel="0" collapsed="false">
      <c r="A1415" s="10" t="s">
        <v>3756</v>
      </c>
      <c r="B1415" s="10" t="s">
        <v>90</v>
      </c>
      <c r="C1415" s="10" t="s">
        <v>51</v>
      </c>
      <c r="D1415" s="10" t="s">
        <v>405</v>
      </c>
      <c r="E1415" s="10" t="s">
        <v>2345</v>
      </c>
      <c r="F1415" s="30" t="n">
        <v>42847</v>
      </c>
      <c r="G1415" s="30" t="n">
        <v>42863</v>
      </c>
      <c r="H1415" s="26" t="n">
        <f aca="false">G1415-F1415</f>
        <v>16</v>
      </c>
      <c r="I1415" s="10" t="n">
        <f aca="false">IF(E1415="Won",1,0)</f>
        <v>0</v>
      </c>
    </row>
    <row r="1416" customFormat="false" ht="15" hidden="false" customHeight="false" outlineLevel="0" collapsed="false">
      <c r="A1416" s="10" t="s">
        <v>3757</v>
      </c>
      <c r="B1416" s="10" t="s">
        <v>71</v>
      </c>
      <c r="C1416" s="10" t="s">
        <v>47</v>
      </c>
      <c r="D1416" s="10" t="s">
        <v>193</v>
      </c>
      <c r="E1416" s="10" t="s">
        <v>2342</v>
      </c>
      <c r="F1416" s="30" t="n">
        <v>42762</v>
      </c>
      <c r="G1416" s="30" t="n">
        <v>42863</v>
      </c>
      <c r="H1416" s="26" t="n">
        <f aca="false">G1416-F1416</f>
        <v>101</v>
      </c>
      <c r="I1416" s="10" t="n">
        <f aca="false">IF(E1416="Won",1,0)</f>
        <v>1</v>
      </c>
    </row>
    <row r="1417" customFormat="false" ht="15" hidden="false" customHeight="false" outlineLevel="0" collapsed="false">
      <c r="A1417" s="10" t="s">
        <v>3758</v>
      </c>
      <c r="B1417" s="10" t="s">
        <v>90</v>
      </c>
      <c r="C1417" s="10" t="s">
        <v>48</v>
      </c>
      <c r="D1417" s="10" t="s">
        <v>161</v>
      </c>
      <c r="E1417" s="10" t="s">
        <v>2342</v>
      </c>
      <c r="F1417" s="30" t="n">
        <v>42858</v>
      </c>
      <c r="G1417" s="30" t="n">
        <v>42863</v>
      </c>
      <c r="H1417" s="26" t="n">
        <f aca="false">G1417-F1417</f>
        <v>5</v>
      </c>
      <c r="I1417" s="10" t="n">
        <f aca="false">IF(E1417="Won",1,0)</f>
        <v>1</v>
      </c>
    </row>
    <row r="1418" customFormat="false" ht="15" hidden="false" customHeight="false" outlineLevel="0" collapsed="false">
      <c r="A1418" s="10" t="s">
        <v>3759</v>
      </c>
      <c r="B1418" s="10" t="s">
        <v>95</v>
      </c>
      <c r="C1418" s="10" t="s">
        <v>48</v>
      </c>
      <c r="D1418" s="10" t="s">
        <v>419</v>
      </c>
      <c r="E1418" s="10" t="s">
        <v>2342</v>
      </c>
      <c r="F1418" s="30" t="n">
        <v>42858</v>
      </c>
      <c r="G1418" s="30" t="n">
        <v>42863</v>
      </c>
      <c r="H1418" s="26" t="n">
        <f aca="false">G1418-F1418</f>
        <v>5</v>
      </c>
      <c r="I1418" s="10" t="n">
        <f aca="false">IF(E1418="Won",1,0)</f>
        <v>1</v>
      </c>
    </row>
    <row r="1419" customFormat="false" ht="15" hidden="false" customHeight="false" outlineLevel="0" collapsed="false">
      <c r="A1419" s="10" t="s">
        <v>3760</v>
      </c>
      <c r="B1419" s="10" t="s">
        <v>62</v>
      </c>
      <c r="C1419" s="10" t="s">
        <v>47</v>
      </c>
      <c r="D1419" s="10" t="s">
        <v>350</v>
      </c>
      <c r="E1419" s="10" t="s">
        <v>2342</v>
      </c>
      <c r="F1419" s="30" t="n">
        <v>42848</v>
      </c>
      <c r="G1419" s="30" t="n">
        <v>42863</v>
      </c>
      <c r="H1419" s="26" t="n">
        <f aca="false">G1419-F1419</f>
        <v>15</v>
      </c>
      <c r="I1419" s="10" t="n">
        <f aca="false">IF(E1419="Won",1,0)</f>
        <v>1</v>
      </c>
    </row>
    <row r="1420" customFormat="false" ht="15" hidden="false" customHeight="false" outlineLevel="0" collapsed="false">
      <c r="A1420" s="10" t="s">
        <v>3761</v>
      </c>
      <c r="B1420" s="10" t="s">
        <v>81</v>
      </c>
      <c r="C1420" s="10" t="s">
        <v>50</v>
      </c>
      <c r="D1420" s="10" t="s">
        <v>422</v>
      </c>
      <c r="E1420" s="10" t="s">
        <v>2345</v>
      </c>
      <c r="F1420" s="30" t="n">
        <v>42860</v>
      </c>
      <c r="G1420" s="30" t="n">
        <v>42863</v>
      </c>
      <c r="H1420" s="26" t="n">
        <f aca="false">G1420-F1420</f>
        <v>3</v>
      </c>
      <c r="I1420" s="10" t="n">
        <f aca="false">IF(E1420="Won",1,0)</f>
        <v>0</v>
      </c>
    </row>
    <row r="1421" customFormat="false" ht="15" hidden="false" customHeight="false" outlineLevel="0" collapsed="false">
      <c r="A1421" s="10" t="s">
        <v>3762</v>
      </c>
      <c r="B1421" s="10" t="s">
        <v>95</v>
      </c>
      <c r="C1421" s="10" t="s">
        <v>52</v>
      </c>
      <c r="D1421" s="10" t="s">
        <v>522</v>
      </c>
      <c r="E1421" s="10" t="s">
        <v>2345</v>
      </c>
      <c r="F1421" s="30" t="n">
        <v>42748</v>
      </c>
      <c r="G1421" s="30" t="n">
        <v>42863</v>
      </c>
      <c r="H1421" s="26" t="n">
        <f aca="false">G1421-F1421</f>
        <v>115</v>
      </c>
      <c r="I1421" s="10" t="n">
        <f aca="false">IF(E1421="Won",1,0)</f>
        <v>0</v>
      </c>
    </row>
    <row r="1422" customFormat="false" ht="15" hidden="false" customHeight="false" outlineLevel="0" collapsed="false">
      <c r="A1422" s="10" t="s">
        <v>3763</v>
      </c>
      <c r="B1422" s="10" t="s">
        <v>90</v>
      </c>
      <c r="C1422" s="10" t="s">
        <v>52</v>
      </c>
      <c r="D1422" s="10" t="s">
        <v>359</v>
      </c>
      <c r="E1422" s="10" t="s">
        <v>2342</v>
      </c>
      <c r="F1422" s="30" t="n">
        <v>42748</v>
      </c>
      <c r="G1422" s="30" t="n">
        <v>42863</v>
      </c>
      <c r="H1422" s="26" t="n">
        <f aca="false">G1422-F1422</f>
        <v>115</v>
      </c>
      <c r="I1422" s="10" t="n">
        <f aca="false">IF(E1422="Won",1,0)</f>
        <v>1</v>
      </c>
    </row>
    <row r="1423" customFormat="false" ht="15" hidden="false" customHeight="false" outlineLevel="0" collapsed="false">
      <c r="A1423" s="10" t="s">
        <v>3764</v>
      </c>
      <c r="B1423" s="10" t="s">
        <v>77</v>
      </c>
      <c r="C1423" s="10" t="s">
        <v>49</v>
      </c>
      <c r="D1423" s="10" t="s">
        <v>193</v>
      </c>
      <c r="E1423" s="10" t="s">
        <v>2345</v>
      </c>
      <c r="F1423" s="30" t="n">
        <v>42795</v>
      </c>
      <c r="G1423" s="30" t="n">
        <v>42863</v>
      </c>
      <c r="H1423" s="26" t="n">
        <f aca="false">G1423-F1423</f>
        <v>68</v>
      </c>
      <c r="I1423" s="10" t="n">
        <f aca="false">IF(E1423="Won",1,0)</f>
        <v>0</v>
      </c>
    </row>
    <row r="1424" customFormat="false" ht="15" hidden="false" customHeight="false" outlineLevel="0" collapsed="false">
      <c r="A1424" s="10" t="s">
        <v>3765</v>
      </c>
      <c r="B1424" s="10" t="s">
        <v>74</v>
      </c>
      <c r="C1424" s="10" t="s">
        <v>49</v>
      </c>
      <c r="D1424" s="10" t="s">
        <v>279</v>
      </c>
      <c r="E1424" s="10" t="s">
        <v>2345</v>
      </c>
      <c r="F1424" s="30" t="n">
        <v>42792</v>
      </c>
      <c r="G1424" s="30" t="n">
        <v>42863</v>
      </c>
      <c r="H1424" s="26" t="n">
        <f aca="false">G1424-F1424</f>
        <v>71</v>
      </c>
      <c r="I1424" s="10" t="n">
        <f aca="false">IF(E1424="Won",1,0)</f>
        <v>0</v>
      </c>
    </row>
    <row r="1425" customFormat="false" ht="15" hidden="false" customHeight="false" outlineLevel="0" collapsed="false">
      <c r="A1425" s="10" t="s">
        <v>3766</v>
      </c>
      <c r="B1425" s="10" t="s">
        <v>77</v>
      </c>
      <c r="C1425" s="10" t="s">
        <v>47</v>
      </c>
      <c r="D1425" s="10" t="s">
        <v>597</v>
      </c>
      <c r="E1425" s="10" t="s">
        <v>2345</v>
      </c>
      <c r="F1425" s="30" t="n">
        <v>42781</v>
      </c>
      <c r="G1425" s="30" t="n">
        <v>42863</v>
      </c>
      <c r="H1425" s="26" t="n">
        <f aca="false">G1425-F1425</f>
        <v>82</v>
      </c>
      <c r="I1425" s="10" t="n">
        <f aca="false">IF(E1425="Won",1,0)</f>
        <v>0</v>
      </c>
    </row>
    <row r="1426" customFormat="false" ht="15" hidden="false" customHeight="false" outlineLevel="0" collapsed="false">
      <c r="A1426" s="10" t="s">
        <v>3767</v>
      </c>
      <c r="B1426" s="10" t="s">
        <v>67</v>
      </c>
      <c r="C1426" s="10" t="s">
        <v>52</v>
      </c>
      <c r="D1426" s="10" t="s">
        <v>437</v>
      </c>
      <c r="E1426" s="10" t="s">
        <v>2342</v>
      </c>
      <c r="F1426" s="30" t="n">
        <v>42810</v>
      </c>
      <c r="G1426" s="30" t="n">
        <v>42863</v>
      </c>
      <c r="H1426" s="26" t="n">
        <f aca="false">G1426-F1426</f>
        <v>53</v>
      </c>
      <c r="I1426" s="10" t="n">
        <f aca="false">IF(E1426="Won",1,0)</f>
        <v>1</v>
      </c>
    </row>
    <row r="1427" customFormat="false" ht="15" hidden="false" customHeight="false" outlineLevel="0" collapsed="false">
      <c r="A1427" s="10" t="s">
        <v>3768</v>
      </c>
      <c r="B1427" s="10" t="s">
        <v>83</v>
      </c>
      <c r="C1427" s="10" t="s">
        <v>50</v>
      </c>
      <c r="D1427" s="10" t="s">
        <v>369</v>
      </c>
      <c r="E1427" s="10" t="s">
        <v>2345</v>
      </c>
      <c r="F1427" s="30" t="n">
        <v>42806</v>
      </c>
      <c r="G1427" s="30" t="n">
        <v>42863</v>
      </c>
      <c r="H1427" s="26" t="n">
        <f aca="false">G1427-F1427</f>
        <v>57</v>
      </c>
      <c r="I1427" s="10" t="n">
        <f aca="false">IF(E1427="Won",1,0)</f>
        <v>0</v>
      </c>
    </row>
    <row r="1428" customFormat="false" ht="15" hidden="false" customHeight="false" outlineLevel="0" collapsed="false">
      <c r="A1428" s="10" t="s">
        <v>3769</v>
      </c>
      <c r="B1428" s="10" t="s">
        <v>95</v>
      </c>
      <c r="C1428" s="10" t="s">
        <v>51</v>
      </c>
      <c r="D1428" s="10" t="s">
        <v>348</v>
      </c>
      <c r="E1428" s="10" t="s">
        <v>2345</v>
      </c>
      <c r="F1428" s="30" t="n">
        <v>42811</v>
      </c>
      <c r="G1428" s="30" t="n">
        <v>42863</v>
      </c>
      <c r="H1428" s="26" t="n">
        <f aca="false">G1428-F1428</f>
        <v>52</v>
      </c>
      <c r="I1428" s="10" t="n">
        <f aca="false">IF(E1428="Won",1,0)</f>
        <v>0</v>
      </c>
    </row>
    <row r="1429" customFormat="false" ht="15" hidden="false" customHeight="false" outlineLevel="0" collapsed="false">
      <c r="A1429" s="10" t="s">
        <v>3770</v>
      </c>
      <c r="B1429" s="10" t="s">
        <v>61</v>
      </c>
      <c r="C1429" s="10" t="s">
        <v>52</v>
      </c>
      <c r="D1429" s="10" t="s">
        <v>378</v>
      </c>
      <c r="E1429" s="10" t="s">
        <v>2345</v>
      </c>
      <c r="F1429" s="30" t="n">
        <v>42811</v>
      </c>
      <c r="G1429" s="30" t="n">
        <v>42863</v>
      </c>
      <c r="H1429" s="26" t="n">
        <f aca="false">G1429-F1429</f>
        <v>52</v>
      </c>
      <c r="I1429" s="10" t="n">
        <f aca="false">IF(E1429="Won",1,0)</f>
        <v>0</v>
      </c>
    </row>
    <row r="1430" customFormat="false" ht="15" hidden="false" customHeight="false" outlineLevel="0" collapsed="false">
      <c r="A1430" s="10" t="s">
        <v>3771</v>
      </c>
      <c r="B1430" s="10" t="s">
        <v>57</v>
      </c>
      <c r="C1430" s="10" t="s">
        <v>48</v>
      </c>
      <c r="D1430" s="10" t="s">
        <v>674</v>
      </c>
      <c r="E1430" s="10" t="s">
        <v>2342</v>
      </c>
      <c r="F1430" s="30" t="n">
        <v>42778</v>
      </c>
      <c r="G1430" s="30" t="n">
        <v>42863</v>
      </c>
      <c r="H1430" s="26" t="n">
        <f aca="false">G1430-F1430</f>
        <v>85</v>
      </c>
      <c r="I1430" s="10" t="n">
        <f aca="false">IF(E1430="Won",1,0)</f>
        <v>1</v>
      </c>
    </row>
    <row r="1431" customFormat="false" ht="15" hidden="false" customHeight="false" outlineLevel="0" collapsed="false">
      <c r="A1431" s="10" t="s">
        <v>3772</v>
      </c>
      <c r="B1431" s="10" t="s">
        <v>86</v>
      </c>
      <c r="C1431" s="10" t="s">
        <v>48</v>
      </c>
      <c r="D1431" s="10" t="s">
        <v>378</v>
      </c>
      <c r="E1431" s="10" t="s">
        <v>2342</v>
      </c>
      <c r="F1431" s="30" t="n">
        <v>42780</v>
      </c>
      <c r="G1431" s="30" t="n">
        <v>42863</v>
      </c>
      <c r="H1431" s="26" t="n">
        <f aca="false">G1431-F1431</f>
        <v>83</v>
      </c>
      <c r="I1431" s="10" t="n">
        <f aca="false">IF(E1431="Won",1,0)</f>
        <v>1</v>
      </c>
    </row>
    <row r="1432" customFormat="false" ht="15" hidden="false" customHeight="false" outlineLevel="0" collapsed="false">
      <c r="A1432" s="10" t="s">
        <v>3773</v>
      </c>
      <c r="B1432" s="10" t="s">
        <v>62</v>
      </c>
      <c r="C1432" s="10" t="s">
        <v>52</v>
      </c>
      <c r="D1432" s="10" t="s">
        <v>218</v>
      </c>
      <c r="E1432" s="10" t="s">
        <v>2342</v>
      </c>
      <c r="F1432" s="30" t="n">
        <v>42777</v>
      </c>
      <c r="G1432" s="30" t="n">
        <v>42863</v>
      </c>
      <c r="H1432" s="26" t="n">
        <f aca="false">G1432-F1432</f>
        <v>86</v>
      </c>
      <c r="I1432" s="10" t="n">
        <f aca="false">IF(E1432="Won",1,0)</f>
        <v>1</v>
      </c>
    </row>
    <row r="1433" customFormat="false" ht="15" hidden="false" customHeight="false" outlineLevel="0" collapsed="false">
      <c r="A1433" s="10" t="s">
        <v>3774</v>
      </c>
      <c r="B1433" s="10" t="s">
        <v>73</v>
      </c>
      <c r="C1433" s="10" t="s">
        <v>49</v>
      </c>
      <c r="D1433" s="10" t="s">
        <v>414</v>
      </c>
      <c r="E1433" s="10" t="s">
        <v>2342</v>
      </c>
      <c r="F1433" s="30" t="n">
        <v>42770</v>
      </c>
      <c r="G1433" s="30" t="n">
        <v>42864</v>
      </c>
      <c r="H1433" s="26" t="n">
        <f aca="false">G1433-F1433</f>
        <v>94</v>
      </c>
      <c r="I1433" s="10" t="n">
        <f aca="false">IF(E1433="Won",1,0)</f>
        <v>1</v>
      </c>
    </row>
    <row r="1434" customFormat="false" ht="15" hidden="false" customHeight="false" outlineLevel="0" collapsed="false">
      <c r="A1434" s="10" t="s">
        <v>3775</v>
      </c>
      <c r="B1434" s="10" t="s">
        <v>88</v>
      </c>
      <c r="C1434" s="10" t="s">
        <v>48</v>
      </c>
      <c r="D1434" s="10" t="s">
        <v>286</v>
      </c>
      <c r="E1434" s="10" t="s">
        <v>2345</v>
      </c>
      <c r="F1434" s="30" t="n">
        <v>42862</v>
      </c>
      <c r="G1434" s="30" t="n">
        <v>42864</v>
      </c>
      <c r="H1434" s="26" t="n">
        <f aca="false">G1434-F1434</f>
        <v>2</v>
      </c>
      <c r="I1434" s="10" t="n">
        <f aca="false">IF(E1434="Won",1,0)</f>
        <v>0</v>
      </c>
    </row>
    <row r="1435" customFormat="false" ht="15" hidden="false" customHeight="false" outlineLevel="0" collapsed="false">
      <c r="A1435" s="10" t="s">
        <v>3776</v>
      </c>
      <c r="B1435" s="10" t="s">
        <v>93</v>
      </c>
      <c r="C1435" s="10" t="s">
        <v>48</v>
      </c>
      <c r="D1435" s="10" t="s">
        <v>299</v>
      </c>
      <c r="E1435" s="10" t="s">
        <v>2345</v>
      </c>
      <c r="F1435" s="30" t="n">
        <v>42845</v>
      </c>
      <c r="G1435" s="30" t="n">
        <v>42864</v>
      </c>
      <c r="H1435" s="26" t="n">
        <f aca="false">G1435-F1435</f>
        <v>19</v>
      </c>
      <c r="I1435" s="10" t="n">
        <f aca="false">IF(E1435="Won",1,0)</f>
        <v>0</v>
      </c>
    </row>
    <row r="1436" customFormat="false" ht="15" hidden="false" customHeight="false" outlineLevel="0" collapsed="false">
      <c r="A1436" s="10" t="s">
        <v>3777</v>
      </c>
      <c r="B1436" s="10" t="s">
        <v>81</v>
      </c>
      <c r="C1436" s="10" t="s">
        <v>50</v>
      </c>
      <c r="D1436" s="10" t="s">
        <v>697</v>
      </c>
      <c r="E1436" s="10" t="s">
        <v>2342</v>
      </c>
      <c r="F1436" s="30" t="n">
        <v>42793</v>
      </c>
      <c r="G1436" s="30" t="n">
        <v>42864</v>
      </c>
      <c r="H1436" s="26" t="n">
        <f aca="false">G1436-F1436</f>
        <v>71</v>
      </c>
      <c r="I1436" s="10" t="n">
        <f aca="false">IF(E1436="Won",1,0)</f>
        <v>1</v>
      </c>
    </row>
    <row r="1437" customFormat="false" ht="15" hidden="false" customHeight="false" outlineLevel="0" collapsed="false">
      <c r="A1437" s="10" t="s">
        <v>3778</v>
      </c>
      <c r="B1437" s="10" t="s">
        <v>79</v>
      </c>
      <c r="C1437" s="10" t="s">
        <v>48</v>
      </c>
      <c r="D1437" s="10" t="s">
        <v>597</v>
      </c>
      <c r="E1437" s="10" t="s">
        <v>2345</v>
      </c>
      <c r="F1437" s="30" t="n">
        <v>42813</v>
      </c>
      <c r="G1437" s="30" t="n">
        <v>42864</v>
      </c>
      <c r="H1437" s="26" t="n">
        <f aca="false">G1437-F1437</f>
        <v>51</v>
      </c>
      <c r="I1437" s="10" t="n">
        <f aca="false">IF(E1437="Won",1,0)</f>
        <v>0</v>
      </c>
    </row>
    <row r="1438" customFormat="false" ht="15" hidden="false" customHeight="false" outlineLevel="0" collapsed="false">
      <c r="A1438" s="10" t="s">
        <v>3779</v>
      </c>
      <c r="B1438" s="10" t="s">
        <v>90</v>
      </c>
      <c r="C1438" s="10" t="s">
        <v>48</v>
      </c>
      <c r="D1438" s="10" t="s">
        <v>215</v>
      </c>
      <c r="E1438" s="10" t="s">
        <v>2342</v>
      </c>
      <c r="F1438" s="30" t="n">
        <v>42855</v>
      </c>
      <c r="G1438" s="30" t="n">
        <v>42864</v>
      </c>
      <c r="H1438" s="26" t="n">
        <f aca="false">G1438-F1438</f>
        <v>9</v>
      </c>
      <c r="I1438" s="10" t="n">
        <f aca="false">IF(E1438="Won",1,0)</f>
        <v>1</v>
      </c>
    </row>
    <row r="1439" customFormat="false" ht="15" hidden="false" customHeight="false" outlineLevel="0" collapsed="false">
      <c r="A1439" s="10" t="s">
        <v>3780</v>
      </c>
      <c r="B1439" s="10" t="s">
        <v>90</v>
      </c>
      <c r="C1439" s="10" t="s">
        <v>48</v>
      </c>
      <c r="D1439" s="10" t="s">
        <v>274</v>
      </c>
      <c r="E1439" s="10" t="s">
        <v>2342</v>
      </c>
      <c r="F1439" s="30" t="n">
        <v>42769</v>
      </c>
      <c r="G1439" s="30" t="n">
        <v>42864</v>
      </c>
      <c r="H1439" s="26" t="n">
        <f aca="false">G1439-F1439</f>
        <v>95</v>
      </c>
      <c r="I1439" s="10" t="n">
        <f aca="false">IF(E1439="Won",1,0)</f>
        <v>1</v>
      </c>
    </row>
    <row r="1440" customFormat="false" ht="15" hidden="false" customHeight="false" outlineLevel="0" collapsed="false">
      <c r="A1440" s="10" t="s">
        <v>3781</v>
      </c>
      <c r="B1440" s="10" t="s">
        <v>84</v>
      </c>
      <c r="C1440" s="10" t="s">
        <v>50</v>
      </c>
      <c r="D1440" s="10" t="s">
        <v>1334</v>
      </c>
      <c r="E1440" s="10" t="s">
        <v>2345</v>
      </c>
      <c r="F1440" s="30" t="n">
        <v>42799</v>
      </c>
      <c r="G1440" s="30" t="n">
        <v>42864</v>
      </c>
      <c r="H1440" s="26" t="n">
        <f aca="false">G1440-F1440</f>
        <v>65</v>
      </c>
      <c r="I1440" s="10" t="n">
        <f aca="false">IF(E1440="Won",1,0)</f>
        <v>0</v>
      </c>
    </row>
    <row r="1441" customFormat="false" ht="15" hidden="false" customHeight="false" outlineLevel="0" collapsed="false">
      <c r="A1441" s="10" t="s">
        <v>3782</v>
      </c>
      <c r="B1441" s="10" t="s">
        <v>77</v>
      </c>
      <c r="C1441" s="10" t="s">
        <v>50</v>
      </c>
      <c r="D1441" s="10" t="s">
        <v>961</v>
      </c>
      <c r="E1441" s="10" t="s">
        <v>2342</v>
      </c>
      <c r="F1441" s="30" t="n">
        <v>42809</v>
      </c>
      <c r="G1441" s="30" t="n">
        <v>42864</v>
      </c>
      <c r="H1441" s="26" t="n">
        <f aca="false">G1441-F1441</f>
        <v>55</v>
      </c>
      <c r="I1441" s="10" t="n">
        <f aca="false">IF(E1441="Won",1,0)</f>
        <v>1</v>
      </c>
    </row>
    <row r="1442" customFormat="false" ht="15" hidden="false" customHeight="false" outlineLevel="0" collapsed="false">
      <c r="A1442" s="10" t="s">
        <v>3783</v>
      </c>
      <c r="B1442" s="10" t="s">
        <v>66</v>
      </c>
      <c r="C1442" s="10" t="s">
        <v>46</v>
      </c>
      <c r="D1442" s="10" t="s">
        <v>348</v>
      </c>
      <c r="E1442" s="10" t="s">
        <v>2345</v>
      </c>
      <c r="F1442" s="30" t="n">
        <v>42768</v>
      </c>
      <c r="G1442" s="30" t="n">
        <v>42864</v>
      </c>
      <c r="H1442" s="26" t="n">
        <f aca="false">G1442-F1442</f>
        <v>96</v>
      </c>
      <c r="I1442" s="10" t="n">
        <f aca="false">IF(E1442="Won",1,0)</f>
        <v>0</v>
      </c>
    </row>
    <row r="1443" customFormat="false" ht="15" hidden="false" customHeight="false" outlineLevel="0" collapsed="false">
      <c r="A1443" s="10" t="s">
        <v>3784</v>
      </c>
      <c r="B1443" s="10" t="s">
        <v>93</v>
      </c>
      <c r="C1443" s="10" t="s">
        <v>49</v>
      </c>
      <c r="D1443" s="10" t="s">
        <v>326</v>
      </c>
      <c r="E1443" s="10" t="s">
        <v>2342</v>
      </c>
      <c r="F1443" s="30" t="n">
        <v>42798</v>
      </c>
      <c r="G1443" s="30" t="n">
        <v>42864</v>
      </c>
      <c r="H1443" s="26" t="n">
        <f aca="false">G1443-F1443</f>
        <v>66</v>
      </c>
      <c r="I1443" s="10" t="n">
        <f aca="false">IF(E1443="Won",1,0)</f>
        <v>1</v>
      </c>
    </row>
    <row r="1444" customFormat="false" ht="15" hidden="false" customHeight="false" outlineLevel="0" collapsed="false">
      <c r="A1444" s="10" t="s">
        <v>3785</v>
      </c>
      <c r="B1444" s="10" t="s">
        <v>69</v>
      </c>
      <c r="C1444" s="10" t="s">
        <v>52</v>
      </c>
      <c r="D1444" s="10" t="s">
        <v>210</v>
      </c>
      <c r="E1444" s="10" t="s">
        <v>2342</v>
      </c>
      <c r="F1444" s="30" t="n">
        <v>42791</v>
      </c>
      <c r="G1444" s="30" t="n">
        <v>42864</v>
      </c>
      <c r="H1444" s="26" t="n">
        <f aca="false">G1444-F1444</f>
        <v>73</v>
      </c>
      <c r="I1444" s="10" t="n">
        <f aca="false">IF(E1444="Won",1,0)</f>
        <v>1</v>
      </c>
    </row>
    <row r="1445" customFormat="false" ht="15" hidden="false" customHeight="false" outlineLevel="0" collapsed="false">
      <c r="A1445" s="10" t="s">
        <v>3786</v>
      </c>
      <c r="B1445" s="10" t="s">
        <v>57</v>
      </c>
      <c r="C1445" s="10" t="s">
        <v>50</v>
      </c>
      <c r="D1445" s="10" t="s">
        <v>293</v>
      </c>
      <c r="E1445" s="10" t="s">
        <v>2345</v>
      </c>
      <c r="F1445" s="30" t="n">
        <v>42798</v>
      </c>
      <c r="G1445" s="30" t="n">
        <v>42864</v>
      </c>
      <c r="H1445" s="26" t="n">
        <f aca="false">G1445-F1445</f>
        <v>66</v>
      </c>
      <c r="I1445" s="10" t="n">
        <f aca="false">IF(E1445="Won",1,0)</f>
        <v>0</v>
      </c>
    </row>
    <row r="1446" customFormat="false" ht="15" hidden="false" customHeight="false" outlineLevel="0" collapsed="false">
      <c r="A1446" s="10" t="s">
        <v>3787</v>
      </c>
      <c r="B1446" s="10" t="s">
        <v>97</v>
      </c>
      <c r="C1446" s="10" t="s">
        <v>51</v>
      </c>
      <c r="D1446" s="10" t="s">
        <v>170</v>
      </c>
      <c r="E1446" s="10" t="s">
        <v>2345</v>
      </c>
      <c r="F1446" s="30" t="n">
        <v>42859</v>
      </c>
      <c r="G1446" s="30" t="n">
        <v>42864</v>
      </c>
      <c r="H1446" s="26" t="n">
        <f aca="false">G1446-F1446</f>
        <v>5</v>
      </c>
      <c r="I1446" s="10" t="n">
        <f aca="false">IF(E1446="Won",1,0)</f>
        <v>0</v>
      </c>
    </row>
    <row r="1447" customFormat="false" ht="15" hidden="false" customHeight="false" outlineLevel="0" collapsed="false">
      <c r="A1447" s="10" t="s">
        <v>3788</v>
      </c>
      <c r="B1447" s="10" t="s">
        <v>73</v>
      </c>
      <c r="C1447" s="10" t="s">
        <v>51</v>
      </c>
      <c r="D1447" s="10" t="s">
        <v>179</v>
      </c>
      <c r="E1447" s="10" t="s">
        <v>2342</v>
      </c>
      <c r="F1447" s="30" t="n">
        <v>42812</v>
      </c>
      <c r="G1447" s="30" t="n">
        <v>42864</v>
      </c>
      <c r="H1447" s="26" t="n">
        <f aca="false">G1447-F1447</f>
        <v>52</v>
      </c>
      <c r="I1447" s="10" t="n">
        <f aca="false">IF(E1447="Won",1,0)</f>
        <v>1</v>
      </c>
    </row>
    <row r="1448" customFormat="false" ht="15" hidden="false" customHeight="false" outlineLevel="0" collapsed="false">
      <c r="A1448" s="10" t="s">
        <v>3789</v>
      </c>
      <c r="B1448" s="10" t="s">
        <v>62</v>
      </c>
      <c r="C1448" s="10" t="s">
        <v>52</v>
      </c>
      <c r="D1448" s="10" t="s">
        <v>185</v>
      </c>
      <c r="E1448" s="10" t="s">
        <v>2342</v>
      </c>
      <c r="F1448" s="30" t="n">
        <v>42760</v>
      </c>
      <c r="G1448" s="30" t="n">
        <v>42864</v>
      </c>
      <c r="H1448" s="26" t="n">
        <f aca="false">G1448-F1448</f>
        <v>104</v>
      </c>
      <c r="I1448" s="10" t="n">
        <f aca="false">IF(E1448="Won",1,0)</f>
        <v>1</v>
      </c>
    </row>
    <row r="1449" customFormat="false" ht="15" hidden="false" customHeight="false" outlineLevel="0" collapsed="false">
      <c r="A1449" s="10" t="s">
        <v>3790</v>
      </c>
      <c r="B1449" s="10" t="s">
        <v>77</v>
      </c>
      <c r="C1449" s="10" t="s">
        <v>48</v>
      </c>
      <c r="D1449" s="10" t="s">
        <v>869</v>
      </c>
      <c r="E1449" s="10" t="s">
        <v>2342</v>
      </c>
      <c r="F1449" s="30" t="n">
        <v>42791</v>
      </c>
      <c r="G1449" s="30" t="n">
        <v>42864</v>
      </c>
      <c r="H1449" s="26" t="n">
        <f aca="false">G1449-F1449</f>
        <v>73</v>
      </c>
      <c r="I1449" s="10" t="n">
        <f aca="false">IF(E1449="Won",1,0)</f>
        <v>1</v>
      </c>
    </row>
    <row r="1450" customFormat="false" ht="15" hidden="false" customHeight="false" outlineLevel="0" collapsed="false">
      <c r="A1450" s="10" t="s">
        <v>3791</v>
      </c>
      <c r="B1450" s="10" t="s">
        <v>94</v>
      </c>
      <c r="C1450" s="10" t="s">
        <v>50</v>
      </c>
      <c r="D1450" s="10" t="s">
        <v>396</v>
      </c>
      <c r="E1450" s="10" t="s">
        <v>2345</v>
      </c>
      <c r="F1450" s="30" t="n">
        <v>42779</v>
      </c>
      <c r="G1450" s="30" t="n">
        <v>42864</v>
      </c>
      <c r="H1450" s="26" t="n">
        <f aca="false">G1450-F1450</f>
        <v>85</v>
      </c>
      <c r="I1450" s="10" t="n">
        <f aca="false">IF(E1450="Won",1,0)</f>
        <v>0</v>
      </c>
    </row>
    <row r="1451" customFormat="false" ht="15" hidden="false" customHeight="false" outlineLevel="0" collapsed="false">
      <c r="A1451" s="10" t="s">
        <v>3792</v>
      </c>
      <c r="B1451" s="10" t="s">
        <v>76</v>
      </c>
      <c r="C1451" s="10" t="s">
        <v>52</v>
      </c>
      <c r="D1451" s="10" t="s">
        <v>291</v>
      </c>
      <c r="E1451" s="10" t="s">
        <v>2345</v>
      </c>
      <c r="F1451" s="30" t="n">
        <v>42852</v>
      </c>
      <c r="G1451" s="30" t="n">
        <v>42864</v>
      </c>
      <c r="H1451" s="26" t="n">
        <f aca="false">G1451-F1451</f>
        <v>12</v>
      </c>
      <c r="I1451" s="10" t="n">
        <f aca="false">IF(E1451="Won",1,0)</f>
        <v>0</v>
      </c>
    </row>
    <row r="1452" customFormat="false" ht="15" hidden="false" customHeight="false" outlineLevel="0" collapsed="false">
      <c r="A1452" s="10" t="s">
        <v>3793</v>
      </c>
      <c r="B1452" s="10" t="s">
        <v>77</v>
      </c>
      <c r="C1452" s="10" t="s">
        <v>48</v>
      </c>
      <c r="D1452" s="10" t="s">
        <v>536</v>
      </c>
      <c r="E1452" s="10" t="s">
        <v>2345</v>
      </c>
      <c r="F1452" s="30" t="n">
        <v>42775</v>
      </c>
      <c r="G1452" s="30" t="n">
        <v>42864</v>
      </c>
      <c r="H1452" s="26" t="n">
        <f aca="false">G1452-F1452</f>
        <v>89</v>
      </c>
      <c r="I1452" s="10" t="n">
        <f aca="false">IF(E1452="Won",1,0)</f>
        <v>0</v>
      </c>
    </row>
    <row r="1453" customFormat="false" ht="15" hidden="false" customHeight="false" outlineLevel="0" collapsed="false">
      <c r="A1453" s="10" t="s">
        <v>3794</v>
      </c>
      <c r="B1453" s="10" t="s">
        <v>66</v>
      </c>
      <c r="C1453" s="10" t="s">
        <v>52</v>
      </c>
      <c r="D1453" s="10" t="s">
        <v>313</v>
      </c>
      <c r="E1453" s="10" t="s">
        <v>2342</v>
      </c>
      <c r="F1453" s="30" t="n">
        <v>42776</v>
      </c>
      <c r="G1453" s="30" t="n">
        <v>42864</v>
      </c>
      <c r="H1453" s="26" t="n">
        <f aca="false">G1453-F1453</f>
        <v>88</v>
      </c>
      <c r="I1453" s="10" t="n">
        <f aca="false">IF(E1453="Won",1,0)</f>
        <v>1</v>
      </c>
    </row>
    <row r="1454" customFormat="false" ht="15" hidden="false" customHeight="false" outlineLevel="0" collapsed="false">
      <c r="A1454" s="10" t="s">
        <v>3795</v>
      </c>
      <c r="B1454" s="10" t="s">
        <v>94</v>
      </c>
      <c r="C1454" s="10" t="s">
        <v>50</v>
      </c>
      <c r="D1454" s="10" t="s">
        <v>344</v>
      </c>
      <c r="E1454" s="10" t="s">
        <v>2342</v>
      </c>
      <c r="F1454" s="30" t="n">
        <v>42778</v>
      </c>
      <c r="G1454" s="30" t="n">
        <v>42864</v>
      </c>
      <c r="H1454" s="26" t="n">
        <f aca="false">G1454-F1454</f>
        <v>86</v>
      </c>
      <c r="I1454" s="10" t="n">
        <f aca="false">IF(E1454="Won",1,0)</f>
        <v>1</v>
      </c>
    </row>
    <row r="1455" customFormat="false" ht="15" hidden="false" customHeight="false" outlineLevel="0" collapsed="false">
      <c r="A1455" s="10" t="s">
        <v>3796</v>
      </c>
      <c r="B1455" s="10" t="s">
        <v>94</v>
      </c>
      <c r="C1455" s="10" t="s">
        <v>51</v>
      </c>
      <c r="D1455" s="10" t="s">
        <v>175</v>
      </c>
      <c r="E1455" s="10" t="s">
        <v>2342</v>
      </c>
      <c r="F1455" s="30" t="n">
        <v>42783</v>
      </c>
      <c r="G1455" s="30" t="n">
        <v>42864</v>
      </c>
      <c r="H1455" s="26" t="n">
        <f aca="false">G1455-F1455</f>
        <v>81</v>
      </c>
      <c r="I1455" s="10" t="n">
        <f aca="false">IF(E1455="Won",1,0)</f>
        <v>1</v>
      </c>
    </row>
    <row r="1456" customFormat="false" ht="15" hidden="false" customHeight="false" outlineLevel="0" collapsed="false">
      <c r="A1456" s="10" t="s">
        <v>3797</v>
      </c>
      <c r="B1456" s="10" t="s">
        <v>71</v>
      </c>
      <c r="C1456" s="10" t="s">
        <v>47</v>
      </c>
      <c r="D1456" s="10" t="s">
        <v>512</v>
      </c>
      <c r="E1456" s="10" t="s">
        <v>2342</v>
      </c>
      <c r="F1456" s="30" t="n">
        <v>42861</v>
      </c>
      <c r="G1456" s="30" t="n">
        <v>42864</v>
      </c>
      <c r="H1456" s="26" t="n">
        <f aca="false">G1456-F1456</f>
        <v>3</v>
      </c>
      <c r="I1456" s="10" t="n">
        <f aca="false">IF(E1456="Won",1,0)</f>
        <v>1</v>
      </c>
    </row>
    <row r="1457" customFormat="false" ht="15" hidden="false" customHeight="false" outlineLevel="0" collapsed="false">
      <c r="A1457" s="10" t="s">
        <v>3798</v>
      </c>
      <c r="B1457" s="10" t="s">
        <v>61</v>
      </c>
      <c r="C1457" s="10" t="s">
        <v>48</v>
      </c>
      <c r="D1457" s="10" t="s">
        <v>1118</v>
      </c>
      <c r="E1457" s="10" t="s">
        <v>2342</v>
      </c>
      <c r="F1457" s="30" t="n">
        <v>42789</v>
      </c>
      <c r="G1457" s="30" t="n">
        <v>42864</v>
      </c>
      <c r="H1457" s="26" t="n">
        <f aca="false">G1457-F1457</f>
        <v>75</v>
      </c>
      <c r="I1457" s="10" t="n">
        <f aca="false">IF(E1457="Won",1,0)</f>
        <v>1</v>
      </c>
    </row>
    <row r="1458" customFormat="false" ht="15" hidden="false" customHeight="false" outlineLevel="0" collapsed="false">
      <c r="A1458" s="10" t="s">
        <v>3799</v>
      </c>
      <c r="B1458" s="10" t="s">
        <v>71</v>
      </c>
      <c r="C1458" s="10" t="s">
        <v>50</v>
      </c>
      <c r="D1458" s="10" t="s">
        <v>291</v>
      </c>
      <c r="E1458" s="10" t="s">
        <v>2342</v>
      </c>
      <c r="F1458" s="30" t="n">
        <v>42807</v>
      </c>
      <c r="G1458" s="30" t="n">
        <v>42864</v>
      </c>
      <c r="H1458" s="26" t="n">
        <f aca="false">G1458-F1458</f>
        <v>57</v>
      </c>
      <c r="I1458" s="10" t="n">
        <f aca="false">IF(E1458="Won",1,0)</f>
        <v>1</v>
      </c>
    </row>
    <row r="1459" customFormat="false" ht="15" hidden="false" customHeight="false" outlineLevel="0" collapsed="false">
      <c r="A1459" s="10" t="s">
        <v>3800</v>
      </c>
      <c r="B1459" s="10" t="s">
        <v>66</v>
      </c>
      <c r="C1459" s="10" t="s">
        <v>49</v>
      </c>
      <c r="D1459" s="10" t="s">
        <v>396</v>
      </c>
      <c r="E1459" s="10" t="s">
        <v>2342</v>
      </c>
      <c r="F1459" s="30" t="n">
        <v>42771</v>
      </c>
      <c r="G1459" s="30" t="n">
        <v>42864</v>
      </c>
      <c r="H1459" s="26" t="n">
        <f aca="false">G1459-F1459</f>
        <v>93</v>
      </c>
      <c r="I1459" s="10" t="n">
        <f aca="false">IF(E1459="Won",1,0)</f>
        <v>1</v>
      </c>
    </row>
    <row r="1460" customFormat="false" ht="15" hidden="false" customHeight="false" outlineLevel="0" collapsed="false">
      <c r="A1460" s="10" t="s">
        <v>3801</v>
      </c>
      <c r="B1460" s="10" t="s">
        <v>81</v>
      </c>
      <c r="C1460" s="10" t="s">
        <v>50</v>
      </c>
      <c r="D1460" s="10" t="s">
        <v>536</v>
      </c>
      <c r="E1460" s="10" t="s">
        <v>2342</v>
      </c>
      <c r="F1460" s="30" t="n">
        <v>42791</v>
      </c>
      <c r="G1460" s="30" t="n">
        <v>42864</v>
      </c>
      <c r="H1460" s="26" t="n">
        <f aca="false">G1460-F1460</f>
        <v>73</v>
      </c>
      <c r="I1460" s="10" t="n">
        <f aca="false">IF(E1460="Won",1,0)</f>
        <v>1</v>
      </c>
    </row>
    <row r="1461" customFormat="false" ht="15" hidden="false" customHeight="false" outlineLevel="0" collapsed="false">
      <c r="A1461" s="10" t="s">
        <v>3802</v>
      </c>
      <c r="B1461" s="10" t="s">
        <v>94</v>
      </c>
      <c r="C1461" s="10" t="s">
        <v>47</v>
      </c>
      <c r="D1461" s="10" t="s">
        <v>227</v>
      </c>
      <c r="E1461" s="10" t="s">
        <v>2342</v>
      </c>
      <c r="F1461" s="30" t="n">
        <v>42788</v>
      </c>
      <c r="G1461" s="30" t="n">
        <v>42865</v>
      </c>
      <c r="H1461" s="26" t="n">
        <f aca="false">G1461-F1461</f>
        <v>77</v>
      </c>
      <c r="I1461" s="10" t="n">
        <f aca="false">IF(E1461="Won",1,0)</f>
        <v>1</v>
      </c>
    </row>
    <row r="1462" customFormat="false" ht="15" hidden="false" customHeight="false" outlineLevel="0" collapsed="false">
      <c r="A1462" s="10" t="s">
        <v>3803</v>
      </c>
      <c r="B1462" s="10" t="s">
        <v>86</v>
      </c>
      <c r="C1462" s="10" t="s">
        <v>49</v>
      </c>
      <c r="D1462" s="10" t="s">
        <v>359</v>
      </c>
      <c r="E1462" s="10" t="s">
        <v>2342</v>
      </c>
      <c r="F1462" s="30" t="n">
        <v>42850</v>
      </c>
      <c r="G1462" s="30" t="n">
        <v>42865</v>
      </c>
      <c r="H1462" s="26" t="n">
        <f aca="false">G1462-F1462</f>
        <v>15</v>
      </c>
      <c r="I1462" s="10" t="n">
        <f aca="false">IF(E1462="Won",1,0)</f>
        <v>1</v>
      </c>
    </row>
    <row r="1463" customFormat="false" ht="15" hidden="false" customHeight="false" outlineLevel="0" collapsed="false">
      <c r="A1463" s="10" t="s">
        <v>3804</v>
      </c>
      <c r="B1463" s="10" t="s">
        <v>57</v>
      </c>
      <c r="C1463" s="10" t="s">
        <v>51</v>
      </c>
      <c r="D1463" s="10" t="s">
        <v>674</v>
      </c>
      <c r="E1463" s="10" t="s">
        <v>2345</v>
      </c>
      <c r="F1463" s="30" t="n">
        <v>42829</v>
      </c>
      <c r="G1463" s="30" t="n">
        <v>42865</v>
      </c>
      <c r="H1463" s="26" t="n">
        <f aca="false">G1463-F1463</f>
        <v>36</v>
      </c>
      <c r="I1463" s="10" t="n">
        <f aca="false">IF(E1463="Won",1,0)</f>
        <v>0</v>
      </c>
    </row>
    <row r="1464" customFormat="false" ht="15" hidden="false" customHeight="false" outlineLevel="0" collapsed="false">
      <c r="A1464" s="10" t="s">
        <v>3805</v>
      </c>
      <c r="B1464" s="10" t="s">
        <v>75</v>
      </c>
      <c r="C1464" s="10" t="s">
        <v>49</v>
      </c>
      <c r="D1464" s="10" t="s">
        <v>762</v>
      </c>
      <c r="E1464" s="10" t="s">
        <v>2345</v>
      </c>
      <c r="F1464" s="30" t="n">
        <v>42857</v>
      </c>
      <c r="G1464" s="30" t="n">
        <v>42865</v>
      </c>
      <c r="H1464" s="26" t="n">
        <f aca="false">G1464-F1464</f>
        <v>8</v>
      </c>
      <c r="I1464" s="10" t="n">
        <f aca="false">IF(E1464="Won",1,0)</f>
        <v>0</v>
      </c>
    </row>
    <row r="1465" customFormat="false" ht="15" hidden="false" customHeight="false" outlineLevel="0" collapsed="false">
      <c r="A1465" s="10" t="s">
        <v>3806</v>
      </c>
      <c r="B1465" s="10" t="s">
        <v>90</v>
      </c>
      <c r="C1465" s="10" t="s">
        <v>50</v>
      </c>
      <c r="D1465" s="10" t="s">
        <v>1118</v>
      </c>
      <c r="E1465" s="10" t="s">
        <v>2342</v>
      </c>
      <c r="F1465" s="30" t="n">
        <v>42758</v>
      </c>
      <c r="G1465" s="30" t="n">
        <v>42865</v>
      </c>
      <c r="H1465" s="26" t="n">
        <f aca="false">G1465-F1465</f>
        <v>107</v>
      </c>
      <c r="I1465" s="10" t="n">
        <f aca="false">IF(E1465="Won",1,0)</f>
        <v>1</v>
      </c>
    </row>
    <row r="1466" customFormat="false" ht="15" hidden="false" customHeight="false" outlineLevel="0" collapsed="false">
      <c r="A1466" s="10" t="s">
        <v>3807</v>
      </c>
      <c r="B1466" s="10" t="s">
        <v>74</v>
      </c>
      <c r="C1466" s="10" t="s">
        <v>51</v>
      </c>
      <c r="D1466" s="10" t="s">
        <v>353</v>
      </c>
      <c r="E1466" s="10" t="s">
        <v>2342</v>
      </c>
      <c r="F1466" s="30" t="n">
        <v>42774</v>
      </c>
      <c r="G1466" s="30" t="n">
        <v>42865</v>
      </c>
      <c r="H1466" s="26" t="n">
        <f aca="false">G1466-F1466</f>
        <v>91</v>
      </c>
      <c r="I1466" s="10" t="n">
        <f aca="false">IF(E1466="Won",1,0)</f>
        <v>1</v>
      </c>
    </row>
    <row r="1467" customFormat="false" ht="15" hidden="false" customHeight="false" outlineLevel="0" collapsed="false">
      <c r="A1467" s="10" t="s">
        <v>3808</v>
      </c>
      <c r="B1467" s="10" t="s">
        <v>68</v>
      </c>
      <c r="C1467" s="10" t="s">
        <v>51</v>
      </c>
      <c r="D1467" s="10" t="s">
        <v>337</v>
      </c>
      <c r="E1467" s="10" t="s">
        <v>2342</v>
      </c>
      <c r="F1467" s="30" t="n">
        <v>42864</v>
      </c>
      <c r="G1467" s="30" t="n">
        <v>42865</v>
      </c>
      <c r="H1467" s="26" t="n">
        <f aca="false">G1467-F1467</f>
        <v>1</v>
      </c>
      <c r="I1467" s="10" t="n">
        <f aca="false">IF(E1467="Won",1,0)</f>
        <v>1</v>
      </c>
    </row>
    <row r="1468" customFormat="false" ht="15" hidden="false" customHeight="false" outlineLevel="0" collapsed="false">
      <c r="A1468" s="10" t="s">
        <v>3809</v>
      </c>
      <c r="B1468" s="10" t="s">
        <v>76</v>
      </c>
      <c r="C1468" s="10" t="s">
        <v>51</v>
      </c>
      <c r="D1468" s="10" t="s">
        <v>353</v>
      </c>
      <c r="E1468" s="10" t="s">
        <v>2342</v>
      </c>
      <c r="F1468" s="30" t="n">
        <v>42805</v>
      </c>
      <c r="G1468" s="30" t="n">
        <v>42865</v>
      </c>
      <c r="H1468" s="26" t="n">
        <f aca="false">G1468-F1468</f>
        <v>60</v>
      </c>
      <c r="I1468" s="10" t="n">
        <f aca="false">IF(E1468="Won",1,0)</f>
        <v>1</v>
      </c>
    </row>
    <row r="1469" customFormat="false" ht="15" hidden="false" customHeight="false" outlineLevel="0" collapsed="false">
      <c r="A1469" s="10" t="s">
        <v>3810</v>
      </c>
      <c r="B1469" s="10" t="s">
        <v>61</v>
      </c>
      <c r="C1469" s="10" t="s">
        <v>47</v>
      </c>
      <c r="D1469" s="10" t="s">
        <v>616</v>
      </c>
      <c r="E1469" s="10" t="s">
        <v>2342</v>
      </c>
      <c r="F1469" s="30" t="n">
        <v>42809</v>
      </c>
      <c r="G1469" s="30" t="n">
        <v>42865</v>
      </c>
      <c r="H1469" s="26" t="n">
        <f aca="false">G1469-F1469</f>
        <v>56</v>
      </c>
      <c r="I1469" s="10" t="n">
        <f aca="false">IF(E1469="Won",1,0)</f>
        <v>1</v>
      </c>
    </row>
    <row r="1470" customFormat="false" ht="15" hidden="false" customHeight="false" outlineLevel="0" collapsed="false">
      <c r="A1470" s="10" t="s">
        <v>3811</v>
      </c>
      <c r="B1470" s="10" t="s">
        <v>76</v>
      </c>
      <c r="C1470" s="10" t="s">
        <v>47</v>
      </c>
      <c r="D1470" s="10" t="s">
        <v>512</v>
      </c>
      <c r="E1470" s="10" t="s">
        <v>2345</v>
      </c>
      <c r="F1470" s="30" t="n">
        <v>42811</v>
      </c>
      <c r="G1470" s="30" t="n">
        <v>42865</v>
      </c>
      <c r="H1470" s="26" t="n">
        <f aca="false">G1470-F1470</f>
        <v>54</v>
      </c>
      <c r="I1470" s="10" t="n">
        <f aca="false">IF(E1470="Won",1,0)</f>
        <v>0</v>
      </c>
    </row>
    <row r="1471" customFormat="false" ht="15" hidden="false" customHeight="false" outlineLevel="0" collapsed="false">
      <c r="A1471" s="10" t="s">
        <v>3812</v>
      </c>
      <c r="B1471" s="10" t="s">
        <v>74</v>
      </c>
      <c r="C1471" s="10" t="s">
        <v>51</v>
      </c>
      <c r="D1471" s="10" t="s">
        <v>524</v>
      </c>
      <c r="E1471" s="10" t="s">
        <v>2345</v>
      </c>
      <c r="F1471" s="30" t="n">
        <v>42859</v>
      </c>
      <c r="G1471" s="30" t="n">
        <v>42865</v>
      </c>
      <c r="H1471" s="26" t="n">
        <f aca="false">G1471-F1471</f>
        <v>6</v>
      </c>
      <c r="I1471" s="10" t="n">
        <f aca="false">IF(E1471="Won",1,0)</f>
        <v>0</v>
      </c>
    </row>
    <row r="1472" customFormat="false" ht="15" hidden="false" customHeight="false" outlineLevel="0" collapsed="false">
      <c r="A1472" s="10" t="s">
        <v>3813</v>
      </c>
      <c r="B1472" s="10" t="s">
        <v>60</v>
      </c>
      <c r="C1472" s="10" t="s">
        <v>51</v>
      </c>
      <c r="D1472" s="10" t="s">
        <v>274</v>
      </c>
      <c r="E1472" s="10" t="s">
        <v>2345</v>
      </c>
      <c r="F1472" s="30" t="n">
        <v>42762</v>
      </c>
      <c r="G1472" s="30" t="n">
        <v>42865</v>
      </c>
      <c r="H1472" s="26" t="n">
        <f aca="false">G1472-F1472</f>
        <v>103</v>
      </c>
      <c r="I1472" s="10" t="n">
        <f aca="false">IF(E1472="Won",1,0)</f>
        <v>0</v>
      </c>
    </row>
    <row r="1473" customFormat="false" ht="15" hidden="false" customHeight="false" outlineLevel="0" collapsed="false">
      <c r="A1473" s="10" t="s">
        <v>3814</v>
      </c>
      <c r="B1473" s="10" t="s">
        <v>77</v>
      </c>
      <c r="C1473" s="10" t="s">
        <v>48</v>
      </c>
      <c r="D1473" s="10" t="s">
        <v>410</v>
      </c>
      <c r="E1473" s="10" t="s">
        <v>2342</v>
      </c>
      <c r="F1473" s="30" t="n">
        <v>42783</v>
      </c>
      <c r="G1473" s="30" t="n">
        <v>42865</v>
      </c>
      <c r="H1473" s="26" t="n">
        <f aca="false">G1473-F1473</f>
        <v>82</v>
      </c>
      <c r="I1473" s="10" t="n">
        <f aca="false">IF(E1473="Won",1,0)</f>
        <v>1</v>
      </c>
    </row>
    <row r="1474" customFormat="false" ht="15" hidden="false" customHeight="false" outlineLevel="0" collapsed="false">
      <c r="A1474" s="10" t="s">
        <v>3815</v>
      </c>
      <c r="B1474" s="10" t="s">
        <v>83</v>
      </c>
      <c r="C1474" s="10" t="s">
        <v>49</v>
      </c>
      <c r="D1474" s="10" t="s">
        <v>279</v>
      </c>
      <c r="E1474" s="10" t="s">
        <v>2342</v>
      </c>
      <c r="F1474" s="30" t="n">
        <v>42852</v>
      </c>
      <c r="G1474" s="30" t="n">
        <v>42865</v>
      </c>
      <c r="H1474" s="26" t="n">
        <f aca="false">G1474-F1474</f>
        <v>13</v>
      </c>
      <c r="I1474" s="10" t="n">
        <f aca="false">IF(E1474="Won",1,0)</f>
        <v>1</v>
      </c>
    </row>
    <row r="1475" customFormat="false" ht="15" hidden="false" customHeight="false" outlineLevel="0" collapsed="false">
      <c r="A1475" s="10" t="s">
        <v>3816</v>
      </c>
      <c r="B1475" s="10" t="s">
        <v>95</v>
      </c>
      <c r="C1475" s="10" t="s">
        <v>47</v>
      </c>
      <c r="D1475" s="10" t="s">
        <v>506</v>
      </c>
      <c r="E1475" s="10" t="s">
        <v>2345</v>
      </c>
      <c r="F1475" s="30" t="n">
        <v>42829</v>
      </c>
      <c r="G1475" s="30" t="n">
        <v>42865</v>
      </c>
      <c r="H1475" s="26" t="n">
        <f aca="false">G1475-F1475</f>
        <v>36</v>
      </c>
      <c r="I1475" s="10" t="n">
        <f aca="false">IF(E1475="Won",1,0)</f>
        <v>0</v>
      </c>
    </row>
    <row r="1476" customFormat="false" ht="15" hidden="false" customHeight="false" outlineLevel="0" collapsed="false">
      <c r="A1476" s="10" t="s">
        <v>3817</v>
      </c>
      <c r="B1476" s="10" t="s">
        <v>66</v>
      </c>
      <c r="C1476" s="10" t="s">
        <v>47</v>
      </c>
      <c r="D1476" s="10" t="s">
        <v>483</v>
      </c>
      <c r="E1476" s="10" t="s">
        <v>2345</v>
      </c>
      <c r="F1476" s="30" t="n">
        <v>42795</v>
      </c>
      <c r="G1476" s="30" t="n">
        <v>42865</v>
      </c>
      <c r="H1476" s="26" t="n">
        <f aca="false">G1476-F1476</f>
        <v>70</v>
      </c>
      <c r="I1476" s="10" t="n">
        <f aca="false">IF(E1476="Won",1,0)</f>
        <v>0</v>
      </c>
    </row>
    <row r="1477" customFormat="false" ht="15" hidden="false" customHeight="false" outlineLevel="0" collapsed="false">
      <c r="A1477" s="10" t="s">
        <v>3818</v>
      </c>
      <c r="B1477" s="10" t="s">
        <v>76</v>
      </c>
      <c r="C1477" s="10" t="s">
        <v>49</v>
      </c>
      <c r="D1477" s="10" t="s">
        <v>512</v>
      </c>
      <c r="E1477" s="10" t="s">
        <v>2345</v>
      </c>
      <c r="F1477" s="30" t="n">
        <v>42859</v>
      </c>
      <c r="G1477" s="30" t="n">
        <v>42865</v>
      </c>
      <c r="H1477" s="26" t="n">
        <f aca="false">G1477-F1477</f>
        <v>6</v>
      </c>
      <c r="I1477" s="10" t="n">
        <f aca="false">IF(E1477="Won",1,0)</f>
        <v>0</v>
      </c>
    </row>
    <row r="1478" customFormat="false" ht="15" hidden="false" customHeight="false" outlineLevel="0" collapsed="false">
      <c r="A1478" s="10" t="s">
        <v>3819</v>
      </c>
      <c r="B1478" s="10" t="s">
        <v>74</v>
      </c>
      <c r="C1478" s="10" t="s">
        <v>51</v>
      </c>
      <c r="D1478" s="10" t="s">
        <v>947</v>
      </c>
      <c r="E1478" s="10" t="s">
        <v>2345</v>
      </c>
      <c r="F1478" s="30" t="n">
        <v>42863</v>
      </c>
      <c r="G1478" s="30" t="n">
        <v>42865</v>
      </c>
      <c r="H1478" s="26" t="n">
        <f aca="false">G1478-F1478</f>
        <v>2</v>
      </c>
      <c r="I1478" s="10" t="n">
        <f aca="false">IF(E1478="Won",1,0)</f>
        <v>0</v>
      </c>
    </row>
    <row r="1479" customFormat="false" ht="15" hidden="false" customHeight="false" outlineLevel="0" collapsed="false">
      <c r="A1479" s="10" t="s">
        <v>3820</v>
      </c>
      <c r="B1479" s="10" t="s">
        <v>79</v>
      </c>
      <c r="C1479" s="10" t="s">
        <v>47</v>
      </c>
      <c r="D1479" s="10" t="s">
        <v>369</v>
      </c>
      <c r="E1479" s="10" t="s">
        <v>2345</v>
      </c>
      <c r="F1479" s="30" t="n">
        <v>42804</v>
      </c>
      <c r="G1479" s="30" t="n">
        <v>42865</v>
      </c>
      <c r="H1479" s="26" t="n">
        <f aca="false">G1479-F1479</f>
        <v>61</v>
      </c>
      <c r="I1479" s="10" t="n">
        <f aca="false">IF(E1479="Won",1,0)</f>
        <v>0</v>
      </c>
    </row>
    <row r="1480" customFormat="false" ht="15" hidden="false" customHeight="false" outlineLevel="0" collapsed="false">
      <c r="A1480" s="10" t="s">
        <v>3821</v>
      </c>
      <c r="B1480" s="10" t="s">
        <v>97</v>
      </c>
      <c r="C1480" s="10" t="s">
        <v>48</v>
      </c>
      <c r="D1480" s="10" t="s">
        <v>326</v>
      </c>
      <c r="E1480" s="10" t="s">
        <v>2345</v>
      </c>
      <c r="F1480" s="30" t="n">
        <v>42774</v>
      </c>
      <c r="G1480" s="30" t="n">
        <v>42865</v>
      </c>
      <c r="H1480" s="26" t="n">
        <f aca="false">G1480-F1480</f>
        <v>91</v>
      </c>
      <c r="I1480" s="10" t="n">
        <f aca="false">IF(E1480="Won",1,0)</f>
        <v>0</v>
      </c>
    </row>
    <row r="1481" customFormat="false" ht="15" hidden="false" customHeight="false" outlineLevel="0" collapsed="false">
      <c r="A1481" s="10" t="s">
        <v>3822</v>
      </c>
      <c r="B1481" s="10" t="s">
        <v>74</v>
      </c>
      <c r="C1481" s="10" t="s">
        <v>47</v>
      </c>
      <c r="D1481" s="10" t="s">
        <v>267</v>
      </c>
      <c r="E1481" s="10" t="s">
        <v>2345</v>
      </c>
      <c r="F1481" s="30" t="n">
        <v>42860</v>
      </c>
      <c r="G1481" s="30" t="n">
        <v>42865</v>
      </c>
      <c r="H1481" s="26" t="n">
        <f aca="false">G1481-F1481</f>
        <v>5</v>
      </c>
      <c r="I1481" s="10" t="n">
        <f aca="false">IF(E1481="Won",1,0)</f>
        <v>0</v>
      </c>
    </row>
    <row r="1482" customFormat="false" ht="15" hidden="false" customHeight="false" outlineLevel="0" collapsed="false">
      <c r="A1482" s="10" t="s">
        <v>3823</v>
      </c>
      <c r="B1482" s="10" t="s">
        <v>96</v>
      </c>
      <c r="C1482" s="10" t="s">
        <v>51</v>
      </c>
      <c r="D1482" s="10" t="s">
        <v>384</v>
      </c>
      <c r="E1482" s="10" t="s">
        <v>2342</v>
      </c>
      <c r="F1482" s="30" t="n">
        <v>42851</v>
      </c>
      <c r="G1482" s="30" t="n">
        <v>42865</v>
      </c>
      <c r="H1482" s="26" t="n">
        <f aca="false">G1482-F1482</f>
        <v>14</v>
      </c>
      <c r="I1482" s="10" t="n">
        <f aca="false">IF(E1482="Won",1,0)</f>
        <v>1</v>
      </c>
    </row>
    <row r="1483" customFormat="false" ht="15" hidden="false" customHeight="false" outlineLevel="0" collapsed="false">
      <c r="A1483" s="10" t="s">
        <v>3824</v>
      </c>
      <c r="B1483" s="10" t="s">
        <v>74</v>
      </c>
      <c r="C1483" s="10" t="s">
        <v>51</v>
      </c>
      <c r="D1483" s="10" t="s">
        <v>193</v>
      </c>
      <c r="E1483" s="10" t="s">
        <v>2345</v>
      </c>
      <c r="F1483" s="30" t="n">
        <v>42741</v>
      </c>
      <c r="G1483" s="30" t="n">
        <v>42865</v>
      </c>
      <c r="H1483" s="26" t="n">
        <f aca="false">G1483-F1483</f>
        <v>124</v>
      </c>
      <c r="I1483" s="10" t="n">
        <f aca="false">IF(E1483="Won",1,0)</f>
        <v>0</v>
      </c>
    </row>
    <row r="1484" customFormat="false" ht="15" hidden="false" customHeight="false" outlineLevel="0" collapsed="false">
      <c r="A1484" s="10" t="s">
        <v>3825</v>
      </c>
      <c r="B1484" s="10" t="s">
        <v>75</v>
      </c>
      <c r="C1484" s="10" t="s">
        <v>47</v>
      </c>
      <c r="D1484" s="10" t="s">
        <v>210</v>
      </c>
      <c r="E1484" s="10" t="s">
        <v>2345</v>
      </c>
      <c r="F1484" s="30" t="n">
        <v>42856</v>
      </c>
      <c r="G1484" s="30" t="n">
        <v>42865</v>
      </c>
      <c r="H1484" s="26" t="n">
        <f aca="false">G1484-F1484</f>
        <v>9</v>
      </c>
      <c r="I1484" s="10" t="n">
        <f aca="false">IF(E1484="Won",1,0)</f>
        <v>0</v>
      </c>
    </row>
    <row r="1485" customFormat="false" ht="15" hidden="false" customHeight="false" outlineLevel="0" collapsed="false">
      <c r="A1485" s="10" t="s">
        <v>3826</v>
      </c>
      <c r="B1485" s="10" t="s">
        <v>88</v>
      </c>
      <c r="C1485" s="10" t="s">
        <v>49</v>
      </c>
      <c r="D1485" s="10" t="s">
        <v>233</v>
      </c>
      <c r="E1485" s="10" t="s">
        <v>2342</v>
      </c>
      <c r="F1485" s="30" t="n">
        <v>42785</v>
      </c>
      <c r="G1485" s="30" t="n">
        <v>42865</v>
      </c>
      <c r="H1485" s="26" t="n">
        <f aca="false">G1485-F1485</f>
        <v>80</v>
      </c>
      <c r="I1485" s="10" t="n">
        <f aca="false">IF(E1485="Won",1,0)</f>
        <v>1</v>
      </c>
    </row>
    <row r="1486" customFormat="false" ht="15" hidden="false" customHeight="false" outlineLevel="0" collapsed="false">
      <c r="A1486" s="10" t="s">
        <v>3827</v>
      </c>
      <c r="B1486" s="10" t="s">
        <v>88</v>
      </c>
      <c r="C1486" s="10" t="s">
        <v>48</v>
      </c>
      <c r="D1486" s="10" t="s">
        <v>332</v>
      </c>
      <c r="E1486" s="10" t="s">
        <v>2345</v>
      </c>
      <c r="F1486" s="30" t="n">
        <v>42854</v>
      </c>
      <c r="G1486" s="30" t="n">
        <v>42865</v>
      </c>
      <c r="H1486" s="26" t="n">
        <f aca="false">G1486-F1486</f>
        <v>11</v>
      </c>
      <c r="I1486" s="10" t="n">
        <f aca="false">IF(E1486="Won",1,0)</f>
        <v>0</v>
      </c>
    </row>
    <row r="1487" customFormat="false" ht="15" hidden="false" customHeight="false" outlineLevel="0" collapsed="false">
      <c r="A1487" s="10" t="s">
        <v>3828</v>
      </c>
      <c r="B1487" s="10" t="s">
        <v>67</v>
      </c>
      <c r="C1487" s="10" t="s">
        <v>49</v>
      </c>
      <c r="D1487" s="10" t="s">
        <v>227</v>
      </c>
      <c r="E1487" s="10" t="s">
        <v>2342</v>
      </c>
      <c r="F1487" s="30" t="n">
        <v>42857</v>
      </c>
      <c r="G1487" s="30" t="n">
        <v>42865</v>
      </c>
      <c r="H1487" s="26" t="n">
        <f aca="false">G1487-F1487</f>
        <v>8</v>
      </c>
      <c r="I1487" s="10" t="n">
        <f aca="false">IF(E1487="Won",1,0)</f>
        <v>1</v>
      </c>
    </row>
    <row r="1488" customFormat="false" ht="15" hidden="false" customHeight="false" outlineLevel="0" collapsed="false">
      <c r="A1488" s="10" t="s">
        <v>3829</v>
      </c>
      <c r="B1488" s="10" t="s">
        <v>80</v>
      </c>
      <c r="C1488" s="10" t="s">
        <v>49</v>
      </c>
      <c r="D1488" s="10" t="s">
        <v>311</v>
      </c>
      <c r="E1488" s="10" t="s">
        <v>2345</v>
      </c>
      <c r="F1488" s="30" t="n">
        <v>42790</v>
      </c>
      <c r="G1488" s="30" t="n">
        <v>42865</v>
      </c>
      <c r="H1488" s="26" t="n">
        <f aca="false">G1488-F1488</f>
        <v>75</v>
      </c>
      <c r="I1488" s="10" t="n">
        <f aca="false">IF(E1488="Won",1,0)</f>
        <v>0</v>
      </c>
    </row>
    <row r="1489" customFormat="false" ht="15" hidden="false" customHeight="false" outlineLevel="0" collapsed="false">
      <c r="A1489" s="10" t="s">
        <v>3830</v>
      </c>
      <c r="B1489" s="10" t="s">
        <v>75</v>
      </c>
      <c r="C1489" s="10" t="s">
        <v>49</v>
      </c>
      <c r="D1489" s="10" t="s">
        <v>259</v>
      </c>
      <c r="E1489" s="10" t="s">
        <v>2342</v>
      </c>
      <c r="F1489" s="30" t="n">
        <v>42789</v>
      </c>
      <c r="G1489" s="30" t="n">
        <v>42866</v>
      </c>
      <c r="H1489" s="26" t="n">
        <f aca="false">G1489-F1489</f>
        <v>77</v>
      </c>
      <c r="I1489" s="10" t="n">
        <f aca="false">IF(E1489="Won",1,0)</f>
        <v>1</v>
      </c>
    </row>
    <row r="1490" customFormat="false" ht="15" hidden="false" customHeight="false" outlineLevel="0" collapsed="false">
      <c r="A1490" s="10" t="s">
        <v>3831</v>
      </c>
      <c r="B1490" s="10" t="s">
        <v>57</v>
      </c>
      <c r="C1490" s="10" t="s">
        <v>49</v>
      </c>
      <c r="D1490" s="10" t="s">
        <v>350</v>
      </c>
      <c r="E1490" s="10" t="s">
        <v>2345</v>
      </c>
      <c r="F1490" s="30" t="n">
        <v>42790</v>
      </c>
      <c r="G1490" s="30" t="n">
        <v>42866</v>
      </c>
      <c r="H1490" s="26" t="n">
        <f aca="false">G1490-F1490</f>
        <v>76</v>
      </c>
      <c r="I1490" s="10" t="n">
        <f aca="false">IF(E1490="Won",1,0)</f>
        <v>0</v>
      </c>
    </row>
    <row r="1491" customFormat="false" ht="15" hidden="false" customHeight="false" outlineLevel="0" collapsed="false">
      <c r="A1491" s="10" t="s">
        <v>3832</v>
      </c>
      <c r="B1491" s="10" t="s">
        <v>95</v>
      </c>
      <c r="C1491" s="10" t="s">
        <v>51</v>
      </c>
      <c r="D1491" s="10" t="s">
        <v>606</v>
      </c>
      <c r="E1491" s="10" t="s">
        <v>2342</v>
      </c>
      <c r="F1491" s="30" t="n">
        <v>42779</v>
      </c>
      <c r="G1491" s="30" t="n">
        <v>42866</v>
      </c>
      <c r="H1491" s="26" t="n">
        <f aca="false">G1491-F1491</f>
        <v>87</v>
      </c>
      <c r="I1491" s="10" t="n">
        <f aca="false">IF(E1491="Won",1,0)</f>
        <v>1</v>
      </c>
    </row>
    <row r="1492" customFormat="false" ht="15" hidden="false" customHeight="false" outlineLevel="0" collapsed="false">
      <c r="A1492" s="10" t="s">
        <v>3833</v>
      </c>
      <c r="B1492" s="10" t="s">
        <v>77</v>
      </c>
      <c r="C1492" s="10" t="s">
        <v>50</v>
      </c>
      <c r="D1492" s="10" t="s">
        <v>869</v>
      </c>
      <c r="E1492" s="10" t="s">
        <v>2342</v>
      </c>
      <c r="F1492" s="30" t="n">
        <v>42762</v>
      </c>
      <c r="G1492" s="30" t="n">
        <v>42866</v>
      </c>
      <c r="H1492" s="26" t="n">
        <f aca="false">G1492-F1492</f>
        <v>104</v>
      </c>
      <c r="I1492" s="10" t="n">
        <f aca="false">IF(E1492="Won",1,0)</f>
        <v>1</v>
      </c>
    </row>
    <row r="1493" customFormat="false" ht="15" hidden="false" customHeight="false" outlineLevel="0" collapsed="false">
      <c r="A1493" s="10" t="s">
        <v>3834</v>
      </c>
      <c r="B1493" s="10" t="s">
        <v>90</v>
      </c>
      <c r="C1493" s="10" t="s">
        <v>49</v>
      </c>
      <c r="D1493" s="10" t="s">
        <v>455</v>
      </c>
      <c r="E1493" s="10" t="s">
        <v>2345</v>
      </c>
      <c r="F1493" s="30" t="n">
        <v>42860</v>
      </c>
      <c r="G1493" s="30" t="n">
        <v>42866</v>
      </c>
      <c r="H1493" s="26" t="n">
        <f aca="false">G1493-F1493</f>
        <v>6</v>
      </c>
      <c r="I1493" s="10" t="n">
        <f aca="false">IF(E1493="Won",1,0)</f>
        <v>0</v>
      </c>
    </row>
    <row r="1494" customFormat="false" ht="15" hidden="false" customHeight="false" outlineLevel="0" collapsed="false">
      <c r="A1494" s="10" t="s">
        <v>3835</v>
      </c>
      <c r="B1494" s="10" t="s">
        <v>88</v>
      </c>
      <c r="C1494" s="10" t="s">
        <v>49</v>
      </c>
      <c r="D1494" s="10" t="s">
        <v>1118</v>
      </c>
      <c r="E1494" s="10" t="s">
        <v>2345</v>
      </c>
      <c r="F1494" s="30" t="n">
        <v>42769</v>
      </c>
      <c r="G1494" s="30" t="n">
        <v>42866</v>
      </c>
      <c r="H1494" s="26" t="n">
        <f aca="false">G1494-F1494</f>
        <v>97</v>
      </c>
      <c r="I1494" s="10" t="n">
        <f aca="false">IF(E1494="Won",1,0)</f>
        <v>0</v>
      </c>
    </row>
    <row r="1495" customFormat="false" ht="15" hidden="false" customHeight="false" outlineLevel="0" collapsed="false">
      <c r="A1495" s="10" t="s">
        <v>3836</v>
      </c>
      <c r="B1495" s="10" t="s">
        <v>67</v>
      </c>
      <c r="C1495" s="10" t="s">
        <v>50</v>
      </c>
      <c r="D1495" s="10" t="s">
        <v>175</v>
      </c>
      <c r="E1495" s="10" t="s">
        <v>2345</v>
      </c>
      <c r="F1495" s="30" t="n">
        <v>42775</v>
      </c>
      <c r="G1495" s="30" t="n">
        <v>42866</v>
      </c>
      <c r="H1495" s="26" t="n">
        <f aca="false">G1495-F1495</f>
        <v>91</v>
      </c>
      <c r="I1495" s="10" t="n">
        <f aca="false">IF(E1495="Won",1,0)</f>
        <v>0</v>
      </c>
    </row>
    <row r="1496" customFormat="false" ht="15" hidden="false" customHeight="false" outlineLevel="0" collapsed="false">
      <c r="A1496" s="10" t="s">
        <v>3837</v>
      </c>
      <c r="B1496" s="10" t="s">
        <v>67</v>
      </c>
      <c r="C1496" s="10" t="s">
        <v>50</v>
      </c>
      <c r="D1496" s="10" t="s">
        <v>227</v>
      </c>
      <c r="E1496" s="10" t="s">
        <v>2345</v>
      </c>
      <c r="F1496" s="30" t="n">
        <v>42773</v>
      </c>
      <c r="G1496" s="30" t="n">
        <v>42866</v>
      </c>
      <c r="H1496" s="26" t="n">
        <f aca="false">G1496-F1496</f>
        <v>93</v>
      </c>
      <c r="I1496" s="10" t="n">
        <f aca="false">IF(E1496="Won",1,0)</f>
        <v>0</v>
      </c>
    </row>
    <row r="1497" customFormat="false" ht="15" hidden="false" customHeight="false" outlineLevel="0" collapsed="false">
      <c r="A1497" s="10" t="s">
        <v>3838</v>
      </c>
      <c r="B1497" s="10" t="s">
        <v>83</v>
      </c>
      <c r="C1497" s="10" t="s">
        <v>47</v>
      </c>
      <c r="D1497" s="10" t="s">
        <v>193</v>
      </c>
      <c r="E1497" s="10" t="s">
        <v>2342</v>
      </c>
      <c r="F1497" s="30" t="n">
        <v>42850</v>
      </c>
      <c r="G1497" s="30" t="n">
        <v>42866</v>
      </c>
      <c r="H1497" s="26" t="n">
        <f aca="false">G1497-F1497</f>
        <v>16</v>
      </c>
      <c r="I1497" s="10" t="n">
        <f aca="false">IF(E1497="Won",1,0)</f>
        <v>1</v>
      </c>
    </row>
    <row r="1498" customFormat="false" ht="15" hidden="false" customHeight="false" outlineLevel="0" collapsed="false">
      <c r="A1498" s="10" t="s">
        <v>3839</v>
      </c>
      <c r="B1498" s="10" t="s">
        <v>75</v>
      </c>
      <c r="C1498" s="10" t="s">
        <v>52</v>
      </c>
      <c r="D1498" s="10" t="s">
        <v>697</v>
      </c>
      <c r="E1498" s="10" t="s">
        <v>2342</v>
      </c>
      <c r="F1498" s="30" t="n">
        <v>42807</v>
      </c>
      <c r="G1498" s="30" t="n">
        <v>42866</v>
      </c>
      <c r="H1498" s="26" t="n">
        <f aca="false">G1498-F1498</f>
        <v>59</v>
      </c>
      <c r="I1498" s="10" t="n">
        <f aca="false">IF(E1498="Won",1,0)</f>
        <v>1</v>
      </c>
    </row>
    <row r="1499" customFormat="false" ht="15" hidden="false" customHeight="false" outlineLevel="0" collapsed="false">
      <c r="A1499" s="10" t="s">
        <v>3840</v>
      </c>
      <c r="B1499" s="10" t="s">
        <v>60</v>
      </c>
      <c r="C1499" s="10" t="s">
        <v>47</v>
      </c>
      <c r="D1499" s="10" t="s">
        <v>692</v>
      </c>
      <c r="E1499" s="10" t="s">
        <v>2342</v>
      </c>
      <c r="F1499" s="30" t="n">
        <v>42812</v>
      </c>
      <c r="G1499" s="30" t="n">
        <v>42866</v>
      </c>
      <c r="H1499" s="26" t="n">
        <f aca="false">G1499-F1499</f>
        <v>54</v>
      </c>
      <c r="I1499" s="10" t="n">
        <f aca="false">IF(E1499="Won",1,0)</f>
        <v>1</v>
      </c>
    </row>
    <row r="1500" customFormat="false" ht="15" hidden="false" customHeight="false" outlineLevel="0" collapsed="false">
      <c r="A1500" s="10" t="s">
        <v>3841</v>
      </c>
      <c r="B1500" s="10" t="s">
        <v>71</v>
      </c>
      <c r="C1500" s="10" t="s">
        <v>50</v>
      </c>
      <c r="D1500" s="10" t="s">
        <v>353</v>
      </c>
      <c r="E1500" s="10" t="s">
        <v>2342</v>
      </c>
      <c r="F1500" s="30" t="n">
        <v>42857</v>
      </c>
      <c r="G1500" s="30" t="n">
        <v>42866</v>
      </c>
      <c r="H1500" s="26" t="n">
        <f aca="false">G1500-F1500</f>
        <v>9</v>
      </c>
      <c r="I1500" s="10" t="n">
        <f aca="false">IF(E1500="Won",1,0)</f>
        <v>1</v>
      </c>
    </row>
    <row r="1501" customFormat="false" ht="15" hidden="false" customHeight="false" outlineLevel="0" collapsed="false">
      <c r="A1501" s="10" t="s">
        <v>3842</v>
      </c>
      <c r="B1501" s="10" t="s">
        <v>80</v>
      </c>
      <c r="C1501" s="10" t="s">
        <v>49</v>
      </c>
      <c r="D1501" s="10" t="s">
        <v>193</v>
      </c>
      <c r="E1501" s="10" t="s">
        <v>2345</v>
      </c>
      <c r="F1501" s="30" t="n">
        <v>42780</v>
      </c>
      <c r="G1501" s="30" t="n">
        <v>42866</v>
      </c>
      <c r="H1501" s="26" t="n">
        <f aca="false">G1501-F1501</f>
        <v>86</v>
      </c>
      <c r="I1501" s="10" t="n">
        <f aca="false">IF(E1501="Won",1,0)</f>
        <v>0</v>
      </c>
    </row>
    <row r="1502" customFormat="false" ht="15" hidden="false" customHeight="false" outlineLevel="0" collapsed="false">
      <c r="A1502" s="10" t="s">
        <v>3843</v>
      </c>
      <c r="B1502" s="10" t="s">
        <v>95</v>
      </c>
      <c r="C1502" s="10" t="s">
        <v>48</v>
      </c>
      <c r="D1502" s="10" t="s">
        <v>299</v>
      </c>
      <c r="E1502" s="10" t="s">
        <v>2342</v>
      </c>
      <c r="F1502" s="30" t="n">
        <v>42802</v>
      </c>
      <c r="G1502" s="30" t="n">
        <v>42866</v>
      </c>
      <c r="H1502" s="26" t="n">
        <f aca="false">G1502-F1502</f>
        <v>64</v>
      </c>
      <c r="I1502" s="10" t="n">
        <f aca="false">IF(E1502="Won",1,0)</f>
        <v>1</v>
      </c>
    </row>
    <row r="1503" customFormat="false" ht="15" hidden="false" customHeight="false" outlineLevel="0" collapsed="false">
      <c r="A1503" s="10" t="s">
        <v>3844</v>
      </c>
      <c r="B1503" s="10" t="s">
        <v>70</v>
      </c>
      <c r="C1503" s="10" t="s">
        <v>50</v>
      </c>
      <c r="D1503" s="10" t="s">
        <v>396</v>
      </c>
      <c r="E1503" s="10" t="s">
        <v>2345</v>
      </c>
      <c r="F1503" s="30" t="n">
        <v>42788</v>
      </c>
      <c r="G1503" s="30" t="n">
        <v>42866</v>
      </c>
      <c r="H1503" s="26" t="n">
        <f aca="false">G1503-F1503</f>
        <v>78</v>
      </c>
      <c r="I1503" s="10" t="n">
        <f aca="false">IF(E1503="Won",1,0)</f>
        <v>0</v>
      </c>
    </row>
    <row r="1504" customFormat="false" ht="15" hidden="false" customHeight="false" outlineLevel="0" collapsed="false">
      <c r="A1504" s="10" t="s">
        <v>3845</v>
      </c>
      <c r="B1504" s="10" t="s">
        <v>80</v>
      </c>
      <c r="C1504" s="10" t="s">
        <v>49</v>
      </c>
      <c r="D1504" s="10" t="s">
        <v>524</v>
      </c>
      <c r="E1504" s="10" t="s">
        <v>2342</v>
      </c>
      <c r="F1504" s="30" t="n">
        <v>42815</v>
      </c>
      <c r="G1504" s="30" t="n">
        <v>42866</v>
      </c>
      <c r="H1504" s="26" t="n">
        <f aca="false">G1504-F1504</f>
        <v>51</v>
      </c>
      <c r="I1504" s="10" t="n">
        <f aca="false">IF(E1504="Won",1,0)</f>
        <v>1</v>
      </c>
    </row>
    <row r="1505" customFormat="false" ht="15" hidden="false" customHeight="false" outlineLevel="0" collapsed="false">
      <c r="A1505" s="10" t="s">
        <v>3846</v>
      </c>
      <c r="B1505" s="10" t="s">
        <v>77</v>
      </c>
      <c r="C1505" s="10" t="s">
        <v>50</v>
      </c>
      <c r="D1505" s="10" t="s">
        <v>527</v>
      </c>
      <c r="E1505" s="10" t="s">
        <v>2342</v>
      </c>
      <c r="F1505" s="30" t="n">
        <v>42851</v>
      </c>
      <c r="G1505" s="30" t="n">
        <v>42866</v>
      </c>
      <c r="H1505" s="26" t="n">
        <f aca="false">G1505-F1505</f>
        <v>15</v>
      </c>
      <c r="I1505" s="10" t="n">
        <f aca="false">IF(E1505="Won",1,0)</f>
        <v>1</v>
      </c>
    </row>
    <row r="1506" customFormat="false" ht="15" hidden="false" customHeight="false" outlineLevel="0" collapsed="false">
      <c r="A1506" s="10" t="s">
        <v>3847</v>
      </c>
      <c r="B1506" s="10" t="s">
        <v>84</v>
      </c>
      <c r="C1506" s="10" t="s">
        <v>47</v>
      </c>
      <c r="D1506" s="10" t="s">
        <v>405</v>
      </c>
      <c r="E1506" s="10" t="s">
        <v>2342</v>
      </c>
      <c r="F1506" s="30" t="n">
        <v>42764</v>
      </c>
      <c r="G1506" s="30" t="n">
        <v>42866</v>
      </c>
      <c r="H1506" s="26" t="n">
        <f aca="false">G1506-F1506</f>
        <v>102</v>
      </c>
      <c r="I1506" s="10" t="n">
        <f aca="false">IF(E1506="Won",1,0)</f>
        <v>1</v>
      </c>
    </row>
    <row r="1507" customFormat="false" ht="15" hidden="false" customHeight="false" outlineLevel="0" collapsed="false">
      <c r="A1507" s="10" t="s">
        <v>3848</v>
      </c>
      <c r="B1507" s="10" t="s">
        <v>70</v>
      </c>
      <c r="C1507" s="10" t="s">
        <v>48</v>
      </c>
      <c r="D1507" s="10" t="s">
        <v>348</v>
      </c>
      <c r="E1507" s="10" t="s">
        <v>2345</v>
      </c>
      <c r="F1507" s="30" t="n">
        <v>42798</v>
      </c>
      <c r="G1507" s="30" t="n">
        <v>42866</v>
      </c>
      <c r="H1507" s="26" t="n">
        <f aca="false">G1507-F1507</f>
        <v>68</v>
      </c>
      <c r="I1507" s="10" t="n">
        <f aca="false">IF(E1507="Won",1,0)</f>
        <v>0</v>
      </c>
    </row>
    <row r="1508" customFormat="false" ht="15" hidden="false" customHeight="false" outlineLevel="0" collapsed="false">
      <c r="A1508" s="10" t="s">
        <v>3849</v>
      </c>
      <c r="B1508" s="10" t="s">
        <v>79</v>
      </c>
      <c r="C1508" s="10" t="s">
        <v>52</v>
      </c>
      <c r="D1508" s="10" t="s">
        <v>660</v>
      </c>
      <c r="E1508" s="10" t="s">
        <v>2342</v>
      </c>
      <c r="F1508" s="30" t="n">
        <v>42764</v>
      </c>
      <c r="G1508" s="30" t="n">
        <v>42866</v>
      </c>
      <c r="H1508" s="26" t="n">
        <f aca="false">G1508-F1508</f>
        <v>102</v>
      </c>
      <c r="I1508" s="10" t="n">
        <f aca="false">IF(E1508="Won",1,0)</f>
        <v>1</v>
      </c>
    </row>
    <row r="1509" customFormat="false" ht="15" hidden="false" customHeight="false" outlineLevel="0" collapsed="false">
      <c r="A1509" s="10" t="s">
        <v>3850</v>
      </c>
      <c r="B1509" s="10" t="s">
        <v>88</v>
      </c>
      <c r="C1509" s="10" t="s">
        <v>51</v>
      </c>
      <c r="D1509" s="10" t="s">
        <v>405</v>
      </c>
      <c r="E1509" s="10" t="s">
        <v>2342</v>
      </c>
      <c r="F1509" s="30" t="n">
        <v>42823</v>
      </c>
      <c r="G1509" s="30" t="n">
        <v>42866</v>
      </c>
      <c r="H1509" s="26" t="n">
        <f aca="false">G1509-F1509</f>
        <v>43</v>
      </c>
      <c r="I1509" s="10" t="n">
        <f aca="false">IF(E1509="Won",1,0)</f>
        <v>1</v>
      </c>
    </row>
    <row r="1510" customFormat="false" ht="15" hidden="false" customHeight="false" outlineLevel="0" collapsed="false">
      <c r="A1510" s="10" t="s">
        <v>3851</v>
      </c>
      <c r="B1510" s="10" t="s">
        <v>80</v>
      </c>
      <c r="C1510" s="10" t="s">
        <v>50</v>
      </c>
      <c r="D1510" s="10" t="s">
        <v>869</v>
      </c>
      <c r="E1510" s="10" t="s">
        <v>2345</v>
      </c>
      <c r="F1510" s="30" t="n">
        <v>42777</v>
      </c>
      <c r="G1510" s="30" t="n">
        <v>42866</v>
      </c>
      <c r="H1510" s="26" t="n">
        <f aca="false">G1510-F1510</f>
        <v>89</v>
      </c>
      <c r="I1510" s="10" t="n">
        <f aca="false">IF(E1510="Won",1,0)</f>
        <v>0</v>
      </c>
    </row>
    <row r="1511" customFormat="false" ht="15" hidden="false" customHeight="false" outlineLevel="0" collapsed="false">
      <c r="A1511" s="10" t="s">
        <v>3852</v>
      </c>
      <c r="B1511" s="10" t="s">
        <v>97</v>
      </c>
      <c r="C1511" s="10" t="s">
        <v>51</v>
      </c>
      <c r="D1511" s="10" t="s">
        <v>199</v>
      </c>
      <c r="E1511" s="10" t="s">
        <v>2342</v>
      </c>
      <c r="F1511" s="30" t="n">
        <v>42797</v>
      </c>
      <c r="G1511" s="30" t="n">
        <v>42866</v>
      </c>
      <c r="H1511" s="26" t="n">
        <f aca="false">G1511-F1511</f>
        <v>69</v>
      </c>
      <c r="I1511" s="10" t="n">
        <f aca="false">IF(E1511="Won",1,0)</f>
        <v>1</v>
      </c>
    </row>
    <row r="1512" customFormat="false" ht="15" hidden="false" customHeight="false" outlineLevel="0" collapsed="false">
      <c r="A1512" s="10" t="s">
        <v>3853</v>
      </c>
      <c r="B1512" s="10" t="s">
        <v>74</v>
      </c>
      <c r="C1512" s="10" t="s">
        <v>52</v>
      </c>
      <c r="D1512" s="10" t="s">
        <v>1948</v>
      </c>
      <c r="E1512" s="10" t="s">
        <v>2345</v>
      </c>
      <c r="F1512" s="30" t="n">
        <v>42758</v>
      </c>
      <c r="G1512" s="30" t="n">
        <v>42866</v>
      </c>
      <c r="H1512" s="26" t="n">
        <f aca="false">G1512-F1512</f>
        <v>108</v>
      </c>
      <c r="I1512" s="10" t="n">
        <f aca="false">IF(E1512="Won",1,0)</f>
        <v>0</v>
      </c>
    </row>
    <row r="1513" customFormat="false" ht="15" hidden="false" customHeight="false" outlineLevel="0" collapsed="false">
      <c r="A1513" s="10" t="s">
        <v>3854</v>
      </c>
      <c r="B1513" s="10" t="s">
        <v>70</v>
      </c>
      <c r="C1513" s="10" t="s">
        <v>51</v>
      </c>
      <c r="D1513" s="10" t="s">
        <v>514</v>
      </c>
      <c r="E1513" s="10" t="s">
        <v>2342</v>
      </c>
      <c r="F1513" s="30" t="n">
        <v>42799</v>
      </c>
      <c r="G1513" s="30" t="n">
        <v>42866</v>
      </c>
      <c r="H1513" s="26" t="n">
        <f aca="false">G1513-F1513</f>
        <v>67</v>
      </c>
      <c r="I1513" s="10" t="n">
        <f aca="false">IF(E1513="Won",1,0)</f>
        <v>1</v>
      </c>
    </row>
    <row r="1514" customFormat="false" ht="15" hidden="false" customHeight="false" outlineLevel="0" collapsed="false">
      <c r="A1514" s="10" t="s">
        <v>3855</v>
      </c>
      <c r="B1514" s="10" t="s">
        <v>71</v>
      </c>
      <c r="C1514" s="10" t="s">
        <v>47</v>
      </c>
      <c r="D1514" s="10" t="s">
        <v>483</v>
      </c>
      <c r="E1514" s="10" t="s">
        <v>2345</v>
      </c>
      <c r="F1514" s="30" t="n">
        <v>42803</v>
      </c>
      <c r="G1514" s="30" t="n">
        <v>42866</v>
      </c>
      <c r="H1514" s="26" t="n">
        <f aca="false">G1514-F1514</f>
        <v>63</v>
      </c>
      <c r="I1514" s="10" t="n">
        <f aca="false">IF(E1514="Won",1,0)</f>
        <v>0</v>
      </c>
    </row>
    <row r="1515" customFormat="false" ht="15" hidden="false" customHeight="false" outlineLevel="0" collapsed="false">
      <c r="A1515" s="10" t="s">
        <v>3856</v>
      </c>
      <c r="B1515" s="10" t="s">
        <v>86</v>
      </c>
      <c r="C1515" s="10" t="s">
        <v>48</v>
      </c>
      <c r="D1515" s="10" t="s">
        <v>1118</v>
      </c>
      <c r="E1515" s="10" t="s">
        <v>2345</v>
      </c>
      <c r="F1515" s="30" t="n">
        <v>42852</v>
      </c>
      <c r="G1515" s="30" t="n">
        <v>42867</v>
      </c>
      <c r="H1515" s="26" t="n">
        <f aca="false">G1515-F1515</f>
        <v>15</v>
      </c>
      <c r="I1515" s="10" t="n">
        <f aca="false">IF(E1515="Won",1,0)</f>
        <v>0</v>
      </c>
    </row>
    <row r="1516" customFormat="false" ht="15" hidden="false" customHeight="false" outlineLevel="0" collapsed="false">
      <c r="A1516" s="10" t="s">
        <v>3857</v>
      </c>
      <c r="B1516" s="10" t="s">
        <v>61</v>
      </c>
      <c r="C1516" s="10" t="s">
        <v>52</v>
      </c>
      <c r="D1516" s="10" t="s">
        <v>616</v>
      </c>
      <c r="E1516" s="10" t="s">
        <v>2342</v>
      </c>
      <c r="F1516" s="30" t="n">
        <v>42865</v>
      </c>
      <c r="G1516" s="30" t="n">
        <v>42867</v>
      </c>
      <c r="H1516" s="26" t="n">
        <f aca="false">G1516-F1516</f>
        <v>2</v>
      </c>
      <c r="I1516" s="10" t="n">
        <f aca="false">IF(E1516="Won",1,0)</f>
        <v>1</v>
      </c>
    </row>
    <row r="1517" customFormat="false" ht="15" hidden="false" customHeight="false" outlineLevel="0" collapsed="false">
      <c r="A1517" s="10" t="s">
        <v>3858</v>
      </c>
      <c r="B1517" s="10" t="s">
        <v>77</v>
      </c>
      <c r="C1517" s="10" t="s">
        <v>50</v>
      </c>
      <c r="D1517" s="10" t="s">
        <v>660</v>
      </c>
      <c r="E1517" s="10" t="s">
        <v>2342</v>
      </c>
      <c r="F1517" s="30" t="n">
        <v>42757</v>
      </c>
      <c r="G1517" s="30" t="n">
        <v>42867</v>
      </c>
      <c r="H1517" s="26" t="n">
        <f aca="false">G1517-F1517</f>
        <v>110</v>
      </c>
      <c r="I1517" s="10" t="n">
        <f aca="false">IF(E1517="Won",1,0)</f>
        <v>1</v>
      </c>
    </row>
    <row r="1518" customFormat="false" ht="15" hidden="false" customHeight="false" outlineLevel="0" collapsed="false">
      <c r="A1518" s="10" t="s">
        <v>3859</v>
      </c>
      <c r="B1518" s="10" t="s">
        <v>80</v>
      </c>
      <c r="C1518" s="10" t="s">
        <v>51</v>
      </c>
      <c r="D1518" s="10" t="s">
        <v>267</v>
      </c>
      <c r="E1518" s="10" t="s">
        <v>2342</v>
      </c>
      <c r="F1518" s="30" t="n">
        <v>42830</v>
      </c>
      <c r="G1518" s="30" t="n">
        <v>42867</v>
      </c>
      <c r="H1518" s="26" t="n">
        <f aca="false">G1518-F1518</f>
        <v>37</v>
      </c>
      <c r="I1518" s="10" t="n">
        <f aca="false">IF(E1518="Won",1,0)</f>
        <v>1</v>
      </c>
    </row>
    <row r="1519" customFormat="false" ht="15" hidden="false" customHeight="false" outlineLevel="0" collapsed="false">
      <c r="A1519" s="10" t="s">
        <v>3860</v>
      </c>
      <c r="B1519" s="10" t="s">
        <v>68</v>
      </c>
      <c r="C1519" s="10" t="s">
        <v>51</v>
      </c>
      <c r="D1519" s="10" t="s">
        <v>348</v>
      </c>
      <c r="E1519" s="10" t="s">
        <v>2345</v>
      </c>
      <c r="F1519" s="30" t="n">
        <v>42794</v>
      </c>
      <c r="G1519" s="30" t="n">
        <v>42867</v>
      </c>
      <c r="H1519" s="26" t="n">
        <f aca="false">G1519-F1519</f>
        <v>73</v>
      </c>
      <c r="I1519" s="10" t="n">
        <f aca="false">IF(E1519="Won",1,0)</f>
        <v>0</v>
      </c>
    </row>
    <row r="1520" customFormat="false" ht="15" hidden="false" customHeight="false" outlineLevel="0" collapsed="false">
      <c r="A1520" s="10" t="s">
        <v>3861</v>
      </c>
      <c r="B1520" s="10" t="s">
        <v>86</v>
      </c>
      <c r="C1520" s="10" t="s">
        <v>51</v>
      </c>
      <c r="D1520" s="10" t="s">
        <v>185</v>
      </c>
      <c r="E1520" s="10" t="s">
        <v>2345</v>
      </c>
      <c r="F1520" s="30" t="n">
        <v>42853</v>
      </c>
      <c r="G1520" s="30" t="n">
        <v>42867</v>
      </c>
      <c r="H1520" s="26" t="n">
        <f aca="false">G1520-F1520</f>
        <v>14</v>
      </c>
      <c r="I1520" s="10" t="n">
        <f aca="false">IF(E1520="Won",1,0)</f>
        <v>0</v>
      </c>
    </row>
    <row r="1521" customFormat="false" ht="15" hidden="false" customHeight="false" outlineLevel="0" collapsed="false">
      <c r="A1521" s="10" t="s">
        <v>3862</v>
      </c>
      <c r="B1521" s="10" t="s">
        <v>88</v>
      </c>
      <c r="C1521" s="10" t="s">
        <v>51</v>
      </c>
      <c r="D1521" s="10" t="s">
        <v>453</v>
      </c>
      <c r="E1521" s="10" t="s">
        <v>2342</v>
      </c>
      <c r="F1521" s="30" t="n">
        <v>42778</v>
      </c>
      <c r="G1521" s="30" t="n">
        <v>42867</v>
      </c>
      <c r="H1521" s="26" t="n">
        <f aca="false">G1521-F1521</f>
        <v>89</v>
      </c>
      <c r="I1521" s="10" t="n">
        <f aca="false">IF(E1521="Won",1,0)</f>
        <v>1</v>
      </c>
    </row>
    <row r="1522" customFormat="false" ht="15" hidden="false" customHeight="false" outlineLevel="0" collapsed="false">
      <c r="A1522" s="10" t="s">
        <v>3863</v>
      </c>
      <c r="B1522" s="10" t="s">
        <v>71</v>
      </c>
      <c r="C1522" s="10" t="s">
        <v>50</v>
      </c>
      <c r="D1522" s="10" t="s">
        <v>597</v>
      </c>
      <c r="E1522" s="10" t="s">
        <v>2345</v>
      </c>
      <c r="F1522" s="30" t="n">
        <v>42804</v>
      </c>
      <c r="G1522" s="30" t="n">
        <v>42867</v>
      </c>
      <c r="H1522" s="26" t="n">
        <f aca="false">G1522-F1522</f>
        <v>63</v>
      </c>
      <c r="I1522" s="10" t="n">
        <f aca="false">IF(E1522="Won",1,0)</f>
        <v>0</v>
      </c>
    </row>
    <row r="1523" customFormat="false" ht="15" hidden="false" customHeight="false" outlineLevel="0" collapsed="false">
      <c r="A1523" s="10" t="s">
        <v>3864</v>
      </c>
      <c r="B1523" s="10" t="s">
        <v>84</v>
      </c>
      <c r="C1523" s="10" t="s">
        <v>52</v>
      </c>
      <c r="D1523" s="10" t="s">
        <v>161</v>
      </c>
      <c r="E1523" s="10" t="s">
        <v>2342</v>
      </c>
      <c r="F1523" s="30" t="n">
        <v>42810</v>
      </c>
      <c r="G1523" s="30" t="n">
        <v>42867</v>
      </c>
      <c r="H1523" s="26" t="n">
        <f aca="false">G1523-F1523</f>
        <v>57</v>
      </c>
      <c r="I1523" s="10" t="n">
        <f aca="false">IF(E1523="Won",1,0)</f>
        <v>1</v>
      </c>
    </row>
    <row r="1524" customFormat="false" ht="15" hidden="false" customHeight="false" outlineLevel="0" collapsed="false">
      <c r="A1524" s="10" t="s">
        <v>3865</v>
      </c>
      <c r="B1524" s="10" t="s">
        <v>97</v>
      </c>
      <c r="C1524" s="10" t="s">
        <v>51</v>
      </c>
      <c r="D1524" s="10" t="s">
        <v>175</v>
      </c>
      <c r="E1524" s="10" t="s">
        <v>2342</v>
      </c>
      <c r="F1524" s="30" t="n">
        <v>42860</v>
      </c>
      <c r="G1524" s="30" t="n">
        <v>42867</v>
      </c>
      <c r="H1524" s="26" t="n">
        <f aca="false">G1524-F1524</f>
        <v>7</v>
      </c>
      <c r="I1524" s="10" t="n">
        <f aca="false">IF(E1524="Won",1,0)</f>
        <v>1</v>
      </c>
    </row>
    <row r="1525" customFormat="false" ht="15" hidden="false" customHeight="false" outlineLevel="0" collapsed="false">
      <c r="A1525" s="10" t="s">
        <v>3866</v>
      </c>
      <c r="B1525" s="10" t="s">
        <v>94</v>
      </c>
      <c r="C1525" s="10" t="s">
        <v>52</v>
      </c>
      <c r="D1525" s="10" t="s">
        <v>419</v>
      </c>
      <c r="E1525" s="10" t="s">
        <v>2345</v>
      </c>
      <c r="F1525" s="30" t="n">
        <v>42860</v>
      </c>
      <c r="G1525" s="30" t="n">
        <v>42867</v>
      </c>
      <c r="H1525" s="26" t="n">
        <f aca="false">G1525-F1525</f>
        <v>7</v>
      </c>
      <c r="I1525" s="10" t="n">
        <f aca="false">IF(E1525="Won",1,0)</f>
        <v>0</v>
      </c>
    </row>
    <row r="1526" customFormat="false" ht="15" hidden="false" customHeight="false" outlineLevel="0" collapsed="false">
      <c r="A1526" s="10" t="s">
        <v>3867</v>
      </c>
      <c r="B1526" s="10" t="s">
        <v>61</v>
      </c>
      <c r="C1526" s="10" t="s">
        <v>48</v>
      </c>
      <c r="D1526" s="10" t="s">
        <v>692</v>
      </c>
      <c r="E1526" s="10" t="s">
        <v>2342</v>
      </c>
      <c r="F1526" s="30" t="n">
        <v>42826</v>
      </c>
      <c r="G1526" s="30" t="n">
        <v>42867</v>
      </c>
      <c r="H1526" s="26" t="n">
        <f aca="false">G1526-F1526</f>
        <v>41</v>
      </c>
      <c r="I1526" s="10" t="n">
        <f aca="false">IF(E1526="Won",1,0)</f>
        <v>1</v>
      </c>
    </row>
    <row r="1527" customFormat="false" ht="15" hidden="false" customHeight="false" outlineLevel="0" collapsed="false">
      <c r="A1527" s="10" t="s">
        <v>3868</v>
      </c>
      <c r="B1527" s="10" t="s">
        <v>94</v>
      </c>
      <c r="C1527" s="10" t="s">
        <v>51</v>
      </c>
      <c r="D1527" s="10" t="s">
        <v>497</v>
      </c>
      <c r="E1527" s="10" t="s">
        <v>2345</v>
      </c>
      <c r="F1527" s="30" t="n">
        <v>42832</v>
      </c>
      <c r="G1527" s="30" t="n">
        <v>42867</v>
      </c>
      <c r="H1527" s="26" t="n">
        <f aca="false">G1527-F1527</f>
        <v>35</v>
      </c>
      <c r="I1527" s="10" t="n">
        <f aca="false">IF(E1527="Won",1,0)</f>
        <v>0</v>
      </c>
    </row>
    <row r="1528" customFormat="false" ht="15" hidden="false" customHeight="false" outlineLevel="0" collapsed="false">
      <c r="A1528" s="10" t="s">
        <v>3869</v>
      </c>
      <c r="B1528" s="10" t="s">
        <v>74</v>
      </c>
      <c r="C1528" s="10" t="s">
        <v>51</v>
      </c>
      <c r="D1528" s="10" t="s">
        <v>410</v>
      </c>
      <c r="E1528" s="10" t="s">
        <v>2345</v>
      </c>
      <c r="F1528" s="30" t="n">
        <v>42799</v>
      </c>
      <c r="G1528" s="30" t="n">
        <v>42867</v>
      </c>
      <c r="H1528" s="26" t="n">
        <f aca="false">G1528-F1528</f>
        <v>68</v>
      </c>
      <c r="I1528" s="10" t="n">
        <f aca="false">IF(E1528="Won",1,0)</f>
        <v>0</v>
      </c>
    </row>
    <row r="1529" customFormat="false" ht="15" hidden="false" customHeight="false" outlineLevel="0" collapsed="false">
      <c r="A1529" s="10" t="s">
        <v>3870</v>
      </c>
      <c r="B1529" s="10" t="s">
        <v>83</v>
      </c>
      <c r="C1529" s="10" t="s">
        <v>48</v>
      </c>
      <c r="D1529" s="10" t="s">
        <v>512</v>
      </c>
      <c r="E1529" s="10" t="s">
        <v>2342</v>
      </c>
      <c r="F1529" s="30" t="n">
        <v>42820</v>
      </c>
      <c r="G1529" s="30" t="n">
        <v>42867</v>
      </c>
      <c r="H1529" s="26" t="n">
        <f aca="false">G1529-F1529</f>
        <v>47</v>
      </c>
      <c r="I1529" s="10" t="n">
        <f aca="false">IF(E1529="Won",1,0)</f>
        <v>1</v>
      </c>
    </row>
    <row r="1530" customFormat="false" ht="15" hidden="false" customHeight="false" outlineLevel="0" collapsed="false">
      <c r="A1530" s="10" t="s">
        <v>3871</v>
      </c>
      <c r="B1530" s="10" t="s">
        <v>96</v>
      </c>
      <c r="C1530" s="10" t="s">
        <v>49</v>
      </c>
      <c r="D1530" s="10" t="s">
        <v>506</v>
      </c>
      <c r="E1530" s="10" t="s">
        <v>2342</v>
      </c>
      <c r="F1530" s="30" t="n">
        <v>42808</v>
      </c>
      <c r="G1530" s="30" t="n">
        <v>42867</v>
      </c>
      <c r="H1530" s="26" t="n">
        <f aca="false">G1530-F1530</f>
        <v>59</v>
      </c>
      <c r="I1530" s="10" t="n">
        <f aca="false">IF(E1530="Won",1,0)</f>
        <v>1</v>
      </c>
    </row>
    <row r="1531" customFormat="false" ht="15" hidden="false" customHeight="false" outlineLevel="0" collapsed="false">
      <c r="A1531" s="10" t="s">
        <v>3872</v>
      </c>
      <c r="B1531" s="10" t="s">
        <v>96</v>
      </c>
      <c r="C1531" s="10" t="s">
        <v>52</v>
      </c>
      <c r="D1531" s="10" t="s">
        <v>286</v>
      </c>
      <c r="E1531" s="10" t="s">
        <v>2342</v>
      </c>
      <c r="F1531" s="30" t="n">
        <v>42864</v>
      </c>
      <c r="G1531" s="30" t="n">
        <v>42867</v>
      </c>
      <c r="H1531" s="26" t="n">
        <f aca="false">G1531-F1531</f>
        <v>3</v>
      </c>
      <c r="I1531" s="10" t="n">
        <f aca="false">IF(E1531="Won",1,0)</f>
        <v>1</v>
      </c>
    </row>
    <row r="1532" customFormat="false" ht="15" hidden="false" customHeight="false" outlineLevel="0" collapsed="false">
      <c r="A1532" s="10" t="s">
        <v>3873</v>
      </c>
      <c r="B1532" s="10" t="s">
        <v>76</v>
      </c>
      <c r="C1532" s="10" t="s">
        <v>52</v>
      </c>
      <c r="D1532" s="10" t="s">
        <v>210</v>
      </c>
      <c r="E1532" s="10" t="s">
        <v>2342</v>
      </c>
      <c r="F1532" s="30" t="n">
        <v>42796</v>
      </c>
      <c r="G1532" s="30" t="n">
        <v>42867</v>
      </c>
      <c r="H1532" s="26" t="n">
        <f aca="false">G1532-F1532</f>
        <v>71</v>
      </c>
      <c r="I1532" s="10" t="n">
        <f aca="false">IF(E1532="Won",1,0)</f>
        <v>1</v>
      </c>
    </row>
    <row r="1533" customFormat="false" ht="15" hidden="false" customHeight="false" outlineLevel="0" collapsed="false">
      <c r="A1533" s="10" t="s">
        <v>3874</v>
      </c>
      <c r="B1533" s="10" t="s">
        <v>88</v>
      </c>
      <c r="C1533" s="10" t="s">
        <v>50</v>
      </c>
      <c r="D1533" s="10" t="s">
        <v>692</v>
      </c>
      <c r="E1533" s="10" t="s">
        <v>2345</v>
      </c>
      <c r="F1533" s="30" t="n">
        <v>42861</v>
      </c>
      <c r="G1533" s="30" t="n">
        <v>42867</v>
      </c>
      <c r="H1533" s="26" t="n">
        <f aca="false">G1533-F1533</f>
        <v>6</v>
      </c>
      <c r="I1533" s="10" t="n">
        <f aca="false">IF(E1533="Won",1,0)</f>
        <v>0</v>
      </c>
    </row>
    <row r="1534" customFormat="false" ht="15" hidden="false" customHeight="false" outlineLevel="0" collapsed="false">
      <c r="A1534" s="10" t="s">
        <v>3875</v>
      </c>
      <c r="B1534" s="10" t="s">
        <v>94</v>
      </c>
      <c r="C1534" s="10" t="s">
        <v>49</v>
      </c>
      <c r="D1534" s="10" t="s">
        <v>168</v>
      </c>
      <c r="E1534" s="10" t="s">
        <v>2342</v>
      </c>
      <c r="F1534" s="30" t="n">
        <v>42777</v>
      </c>
      <c r="G1534" s="30" t="n">
        <v>42867</v>
      </c>
      <c r="H1534" s="26" t="n">
        <f aca="false">G1534-F1534</f>
        <v>90</v>
      </c>
      <c r="I1534" s="10" t="n">
        <f aca="false">IF(E1534="Won",1,0)</f>
        <v>1</v>
      </c>
    </row>
    <row r="1535" customFormat="false" ht="15" hidden="false" customHeight="false" outlineLevel="0" collapsed="false">
      <c r="A1535" s="10" t="s">
        <v>3876</v>
      </c>
      <c r="B1535" s="10" t="s">
        <v>70</v>
      </c>
      <c r="C1535" s="10" t="s">
        <v>49</v>
      </c>
      <c r="D1535" s="10" t="s">
        <v>172</v>
      </c>
      <c r="E1535" s="10" t="s">
        <v>2342</v>
      </c>
      <c r="F1535" s="30" t="n">
        <v>42791</v>
      </c>
      <c r="G1535" s="30" t="n">
        <v>42868</v>
      </c>
      <c r="H1535" s="26" t="n">
        <f aca="false">G1535-F1535</f>
        <v>77</v>
      </c>
      <c r="I1535" s="10" t="n">
        <f aca="false">IF(E1535="Won",1,0)</f>
        <v>1</v>
      </c>
    </row>
    <row r="1536" customFormat="false" ht="15" hidden="false" customHeight="false" outlineLevel="0" collapsed="false">
      <c r="A1536" s="10" t="s">
        <v>3877</v>
      </c>
      <c r="B1536" s="10" t="s">
        <v>70</v>
      </c>
      <c r="C1536" s="10" t="s">
        <v>49</v>
      </c>
      <c r="D1536" s="10" t="s">
        <v>286</v>
      </c>
      <c r="E1536" s="10" t="s">
        <v>2345</v>
      </c>
      <c r="F1536" s="30" t="n">
        <v>42790</v>
      </c>
      <c r="G1536" s="30" t="n">
        <v>42868</v>
      </c>
      <c r="H1536" s="26" t="n">
        <f aca="false">G1536-F1536</f>
        <v>78</v>
      </c>
      <c r="I1536" s="10" t="n">
        <f aca="false">IF(E1536="Won",1,0)</f>
        <v>0</v>
      </c>
    </row>
    <row r="1537" customFormat="false" ht="15" hidden="false" customHeight="false" outlineLevel="0" collapsed="false">
      <c r="A1537" s="10" t="s">
        <v>3878</v>
      </c>
      <c r="B1537" s="10" t="s">
        <v>75</v>
      </c>
      <c r="C1537" s="10" t="s">
        <v>51</v>
      </c>
      <c r="D1537" s="10" t="s">
        <v>388</v>
      </c>
      <c r="E1537" s="10" t="s">
        <v>2342</v>
      </c>
      <c r="F1537" s="30" t="n">
        <v>42781</v>
      </c>
      <c r="G1537" s="30" t="n">
        <v>42868</v>
      </c>
      <c r="H1537" s="26" t="n">
        <f aca="false">G1537-F1537</f>
        <v>87</v>
      </c>
      <c r="I1537" s="10" t="n">
        <f aca="false">IF(E1537="Won",1,0)</f>
        <v>1</v>
      </c>
    </row>
    <row r="1538" customFormat="false" ht="15" hidden="false" customHeight="false" outlineLevel="0" collapsed="false">
      <c r="A1538" s="10" t="s">
        <v>3879</v>
      </c>
      <c r="B1538" s="10" t="s">
        <v>73</v>
      </c>
      <c r="C1538" s="10" t="s">
        <v>47</v>
      </c>
      <c r="D1538" s="10" t="s">
        <v>179</v>
      </c>
      <c r="E1538" s="10" t="s">
        <v>2342</v>
      </c>
      <c r="F1538" s="30" t="n">
        <v>42807</v>
      </c>
      <c r="G1538" s="30" t="n">
        <v>42868</v>
      </c>
      <c r="H1538" s="26" t="n">
        <f aca="false">G1538-F1538</f>
        <v>61</v>
      </c>
      <c r="I1538" s="10" t="n">
        <f aca="false">IF(E1538="Won",1,0)</f>
        <v>1</v>
      </c>
    </row>
    <row r="1539" customFormat="false" ht="15" hidden="false" customHeight="false" outlineLevel="0" collapsed="false">
      <c r="A1539" s="10" t="s">
        <v>3880</v>
      </c>
      <c r="B1539" s="10" t="s">
        <v>74</v>
      </c>
      <c r="C1539" s="10" t="s">
        <v>51</v>
      </c>
      <c r="D1539" s="10" t="s">
        <v>697</v>
      </c>
      <c r="E1539" s="10" t="s">
        <v>2342</v>
      </c>
      <c r="F1539" s="30" t="n">
        <v>42771</v>
      </c>
      <c r="G1539" s="30" t="n">
        <v>42868</v>
      </c>
      <c r="H1539" s="26" t="n">
        <f aca="false">G1539-F1539</f>
        <v>97</v>
      </c>
      <c r="I1539" s="10" t="n">
        <f aca="false">IF(E1539="Won",1,0)</f>
        <v>1</v>
      </c>
    </row>
    <row r="1540" customFormat="false" ht="15" hidden="false" customHeight="false" outlineLevel="0" collapsed="false">
      <c r="A1540" s="10" t="s">
        <v>3881</v>
      </c>
      <c r="B1540" s="10" t="s">
        <v>77</v>
      </c>
      <c r="C1540" s="10" t="s">
        <v>48</v>
      </c>
      <c r="D1540" s="10" t="s">
        <v>353</v>
      </c>
      <c r="E1540" s="10" t="s">
        <v>2342</v>
      </c>
      <c r="F1540" s="30" t="n">
        <v>42793</v>
      </c>
      <c r="G1540" s="30" t="n">
        <v>42868</v>
      </c>
      <c r="H1540" s="26" t="n">
        <f aca="false">G1540-F1540</f>
        <v>75</v>
      </c>
      <c r="I1540" s="10" t="n">
        <f aca="false">IF(E1540="Won",1,0)</f>
        <v>1</v>
      </c>
    </row>
    <row r="1541" customFormat="false" ht="15" hidden="false" customHeight="false" outlineLevel="0" collapsed="false">
      <c r="A1541" s="10" t="s">
        <v>3882</v>
      </c>
      <c r="B1541" s="10" t="s">
        <v>80</v>
      </c>
      <c r="C1541" s="10" t="s">
        <v>51</v>
      </c>
      <c r="D1541" s="10" t="s">
        <v>1251</v>
      </c>
      <c r="E1541" s="10" t="s">
        <v>2342</v>
      </c>
      <c r="F1541" s="30" t="n">
        <v>42855</v>
      </c>
      <c r="G1541" s="30" t="n">
        <v>42868</v>
      </c>
      <c r="H1541" s="26" t="n">
        <f aca="false">G1541-F1541</f>
        <v>13</v>
      </c>
      <c r="I1541" s="10" t="n">
        <f aca="false">IF(E1541="Won",1,0)</f>
        <v>1</v>
      </c>
    </row>
    <row r="1542" customFormat="false" ht="15" hidden="false" customHeight="false" outlineLevel="0" collapsed="false">
      <c r="A1542" s="10" t="s">
        <v>3883</v>
      </c>
      <c r="B1542" s="10" t="s">
        <v>68</v>
      </c>
      <c r="C1542" s="10" t="s">
        <v>49</v>
      </c>
      <c r="D1542" s="10" t="s">
        <v>172</v>
      </c>
      <c r="E1542" s="10" t="s">
        <v>2345</v>
      </c>
      <c r="F1542" s="30" t="n">
        <v>42858</v>
      </c>
      <c r="G1542" s="30" t="n">
        <v>42868</v>
      </c>
      <c r="H1542" s="26" t="n">
        <f aca="false">G1542-F1542</f>
        <v>10</v>
      </c>
      <c r="I1542" s="10" t="n">
        <f aca="false">IF(E1542="Won",1,0)</f>
        <v>0</v>
      </c>
    </row>
    <row r="1543" customFormat="false" ht="15" hidden="false" customHeight="false" outlineLevel="0" collapsed="false">
      <c r="A1543" s="10" t="s">
        <v>3884</v>
      </c>
      <c r="B1543" s="10" t="s">
        <v>86</v>
      </c>
      <c r="C1543" s="10" t="s">
        <v>47</v>
      </c>
      <c r="D1543" s="10" t="s">
        <v>455</v>
      </c>
      <c r="E1543" s="10" t="s">
        <v>2342</v>
      </c>
      <c r="F1543" s="30" t="n">
        <v>42761</v>
      </c>
      <c r="G1543" s="30" t="n">
        <v>42868</v>
      </c>
      <c r="H1543" s="26" t="n">
        <f aca="false">G1543-F1543</f>
        <v>107</v>
      </c>
      <c r="I1543" s="10" t="n">
        <f aca="false">IF(E1543="Won",1,0)</f>
        <v>1</v>
      </c>
    </row>
    <row r="1544" customFormat="false" ht="15" hidden="false" customHeight="false" outlineLevel="0" collapsed="false">
      <c r="A1544" s="10" t="s">
        <v>3885</v>
      </c>
      <c r="B1544" s="10" t="s">
        <v>68</v>
      </c>
      <c r="C1544" s="10" t="s">
        <v>49</v>
      </c>
      <c r="D1544" s="10" t="s">
        <v>514</v>
      </c>
      <c r="E1544" s="10" t="s">
        <v>2345</v>
      </c>
      <c r="F1544" s="30" t="n">
        <v>42798</v>
      </c>
      <c r="G1544" s="30" t="n">
        <v>42868</v>
      </c>
      <c r="H1544" s="26" t="n">
        <f aca="false">G1544-F1544</f>
        <v>70</v>
      </c>
      <c r="I1544" s="10" t="n">
        <f aca="false">IF(E1544="Won",1,0)</f>
        <v>0</v>
      </c>
    </row>
    <row r="1545" customFormat="false" ht="15" hidden="false" customHeight="false" outlineLevel="0" collapsed="false">
      <c r="A1545" s="10" t="s">
        <v>3886</v>
      </c>
      <c r="B1545" s="10" t="s">
        <v>76</v>
      </c>
      <c r="C1545" s="10" t="s">
        <v>49</v>
      </c>
      <c r="D1545" s="10" t="s">
        <v>762</v>
      </c>
      <c r="E1545" s="10" t="s">
        <v>2342</v>
      </c>
      <c r="F1545" s="30" t="n">
        <v>42774</v>
      </c>
      <c r="G1545" s="30" t="n">
        <v>42868</v>
      </c>
      <c r="H1545" s="26" t="n">
        <f aca="false">G1545-F1545</f>
        <v>94</v>
      </c>
      <c r="I1545" s="10" t="n">
        <f aca="false">IF(E1545="Won",1,0)</f>
        <v>1</v>
      </c>
    </row>
    <row r="1546" customFormat="false" ht="15" hidden="false" customHeight="false" outlineLevel="0" collapsed="false">
      <c r="A1546" s="10" t="s">
        <v>3887</v>
      </c>
      <c r="B1546" s="10" t="s">
        <v>63</v>
      </c>
      <c r="C1546" s="10" t="s">
        <v>51</v>
      </c>
      <c r="D1546" s="10" t="s">
        <v>637</v>
      </c>
      <c r="E1546" s="10" t="s">
        <v>2342</v>
      </c>
      <c r="F1546" s="30" t="n">
        <v>42852</v>
      </c>
      <c r="G1546" s="30" t="n">
        <v>42868</v>
      </c>
      <c r="H1546" s="26" t="n">
        <f aca="false">G1546-F1546</f>
        <v>16</v>
      </c>
      <c r="I1546" s="10" t="n">
        <f aca="false">IF(E1546="Won",1,0)</f>
        <v>1</v>
      </c>
    </row>
    <row r="1547" customFormat="false" ht="15" hidden="false" customHeight="false" outlineLevel="0" collapsed="false">
      <c r="A1547" s="10" t="s">
        <v>3888</v>
      </c>
      <c r="B1547" s="10" t="s">
        <v>80</v>
      </c>
      <c r="C1547" s="10" t="s">
        <v>50</v>
      </c>
      <c r="D1547" s="10" t="s">
        <v>483</v>
      </c>
      <c r="E1547" s="10" t="s">
        <v>2345</v>
      </c>
      <c r="F1547" s="30" t="n">
        <v>42798</v>
      </c>
      <c r="G1547" s="30" t="n">
        <v>42868</v>
      </c>
      <c r="H1547" s="26" t="n">
        <f aca="false">G1547-F1547</f>
        <v>70</v>
      </c>
      <c r="I1547" s="10" t="n">
        <f aca="false">IF(E1547="Won",1,0)</f>
        <v>0</v>
      </c>
    </row>
    <row r="1548" customFormat="false" ht="15" hidden="false" customHeight="false" outlineLevel="0" collapsed="false">
      <c r="A1548" s="10" t="s">
        <v>3889</v>
      </c>
      <c r="B1548" s="10" t="s">
        <v>87</v>
      </c>
      <c r="C1548" s="10" t="s">
        <v>48</v>
      </c>
      <c r="D1548" s="10" t="s">
        <v>233</v>
      </c>
      <c r="E1548" s="10" t="s">
        <v>2345</v>
      </c>
      <c r="F1548" s="30" t="n">
        <v>42838</v>
      </c>
      <c r="G1548" s="30" t="n">
        <v>42868</v>
      </c>
      <c r="H1548" s="26" t="n">
        <f aca="false">G1548-F1548</f>
        <v>30</v>
      </c>
      <c r="I1548" s="10" t="n">
        <f aca="false">IF(E1548="Won",1,0)</f>
        <v>0</v>
      </c>
    </row>
    <row r="1549" customFormat="false" ht="15" hidden="false" customHeight="false" outlineLevel="0" collapsed="false">
      <c r="A1549" s="10" t="s">
        <v>3890</v>
      </c>
      <c r="B1549" s="10" t="s">
        <v>81</v>
      </c>
      <c r="C1549" s="10" t="s">
        <v>49</v>
      </c>
      <c r="D1549" s="10" t="s">
        <v>210</v>
      </c>
      <c r="E1549" s="10" t="s">
        <v>2345</v>
      </c>
      <c r="F1549" s="30" t="n">
        <v>42774</v>
      </c>
      <c r="G1549" s="30" t="n">
        <v>42868</v>
      </c>
      <c r="H1549" s="26" t="n">
        <f aca="false">G1549-F1549</f>
        <v>94</v>
      </c>
      <c r="I1549" s="10" t="n">
        <f aca="false">IF(E1549="Won",1,0)</f>
        <v>0</v>
      </c>
    </row>
    <row r="1550" customFormat="false" ht="15" hidden="false" customHeight="false" outlineLevel="0" collapsed="false">
      <c r="A1550" s="10" t="s">
        <v>3891</v>
      </c>
      <c r="B1550" s="10" t="s">
        <v>79</v>
      </c>
      <c r="C1550" s="10" t="s">
        <v>49</v>
      </c>
      <c r="D1550" s="10" t="s">
        <v>483</v>
      </c>
      <c r="E1550" s="10" t="s">
        <v>2345</v>
      </c>
      <c r="F1550" s="30" t="n">
        <v>42780</v>
      </c>
      <c r="G1550" s="30" t="n">
        <v>42868</v>
      </c>
      <c r="H1550" s="26" t="n">
        <f aca="false">G1550-F1550</f>
        <v>88</v>
      </c>
      <c r="I1550" s="10" t="n">
        <f aca="false">IF(E1550="Won",1,0)</f>
        <v>0</v>
      </c>
    </row>
    <row r="1551" customFormat="false" ht="15" hidden="false" customHeight="false" outlineLevel="0" collapsed="false">
      <c r="A1551" s="10" t="s">
        <v>3892</v>
      </c>
      <c r="B1551" s="10" t="s">
        <v>97</v>
      </c>
      <c r="C1551" s="10" t="s">
        <v>47</v>
      </c>
      <c r="D1551" s="10" t="s">
        <v>175</v>
      </c>
      <c r="E1551" s="10" t="s">
        <v>2342</v>
      </c>
      <c r="F1551" s="30" t="n">
        <v>42812</v>
      </c>
      <c r="G1551" s="30" t="n">
        <v>42868</v>
      </c>
      <c r="H1551" s="26" t="n">
        <f aca="false">G1551-F1551</f>
        <v>56</v>
      </c>
      <c r="I1551" s="10" t="n">
        <f aca="false">IF(E1551="Won",1,0)</f>
        <v>1</v>
      </c>
    </row>
    <row r="1552" customFormat="false" ht="15" hidden="false" customHeight="false" outlineLevel="0" collapsed="false">
      <c r="A1552" s="10" t="s">
        <v>3893</v>
      </c>
      <c r="B1552" s="10" t="s">
        <v>84</v>
      </c>
      <c r="C1552" s="10" t="s">
        <v>51</v>
      </c>
      <c r="D1552" s="10" t="s">
        <v>1118</v>
      </c>
      <c r="E1552" s="10" t="s">
        <v>2342</v>
      </c>
      <c r="F1552" s="30" t="n">
        <v>42858</v>
      </c>
      <c r="G1552" s="30" t="n">
        <v>42868</v>
      </c>
      <c r="H1552" s="26" t="n">
        <f aca="false">G1552-F1552</f>
        <v>10</v>
      </c>
      <c r="I1552" s="10" t="n">
        <f aca="false">IF(E1552="Won",1,0)</f>
        <v>1</v>
      </c>
    </row>
    <row r="1553" customFormat="false" ht="15" hidden="false" customHeight="false" outlineLevel="0" collapsed="false">
      <c r="A1553" s="10" t="s">
        <v>3894</v>
      </c>
      <c r="B1553" s="10" t="s">
        <v>57</v>
      </c>
      <c r="C1553" s="10" t="s">
        <v>48</v>
      </c>
      <c r="D1553" s="10" t="s">
        <v>616</v>
      </c>
      <c r="E1553" s="10" t="s">
        <v>2342</v>
      </c>
      <c r="F1553" s="30" t="n">
        <v>42765</v>
      </c>
      <c r="G1553" s="30" t="n">
        <v>42868</v>
      </c>
      <c r="H1553" s="26" t="n">
        <f aca="false">G1553-F1553</f>
        <v>103</v>
      </c>
      <c r="I1553" s="10" t="n">
        <f aca="false">IF(E1553="Won",1,0)</f>
        <v>1</v>
      </c>
    </row>
    <row r="1554" customFormat="false" ht="15" hidden="false" customHeight="false" outlineLevel="0" collapsed="false">
      <c r="A1554" s="10" t="s">
        <v>3895</v>
      </c>
      <c r="B1554" s="10" t="s">
        <v>97</v>
      </c>
      <c r="C1554" s="10" t="s">
        <v>48</v>
      </c>
      <c r="D1554" s="10" t="s">
        <v>170</v>
      </c>
      <c r="E1554" s="10" t="s">
        <v>2342</v>
      </c>
      <c r="F1554" s="30" t="n">
        <v>42855</v>
      </c>
      <c r="G1554" s="30" t="n">
        <v>42868</v>
      </c>
      <c r="H1554" s="26" t="n">
        <f aca="false">G1554-F1554</f>
        <v>13</v>
      </c>
      <c r="I1554" s="10" t="n">
        <f aca="false">IF(E1554="Won",1,0)</f>
        <v>1</v>
      </c>
    </row>
    <row r="1555" customFormat="false" ht="15" hidden="false" customHeight="false" outlineLevel="0" collapsed="false">
      <c r="A1555" s="10" t="s">
        <v>3896</v>
      </c>
      <c r="B1555" s="10" t="s">
        <v>71</v>
      </c>
      <c r="C1555" s="10" t="s">
        <v>51</v>
      </c>
      <c r="D1555" s="10" t="s">
        <v>597</v>
      </c>
      <c r="E1555" s="10" t="s">
        <v>2345</v>
      </c>
      <c r="F1555" s="30" t="n">
        <v>42781</v>
      </c>
      <c r="G1555" s="30" t="n">
        <v>42868</v>
      </c>
      <c r="H1555" s="26" t="n">
        <f aca="false">G1555-F1555</f>
        <v>87</v>
      </c>
      <c r="I1555" s="10" t="n">
        <f aca="false">IF(E1555="Won",1,0)</f>
        <v>0</v>
      </c>
    </row>
    <row r="1556" customFormat="false" ht="15" hidden="false" customHeight="false" outlineLevel="0" collapsed="false">
      <c r="A1556" s="10" t="s">
        <v>3897</v>
      </c>
      <c r="B1556" s="10" t="s">
        <v>75</v>
      </c>
      <c r="C1556" s="10" t="s">
        <v>47</v>
      </c>
      <c r="D1556" s="10" t="s">
        <v>947</v>
      </c>
      <c r="E1556" s="10" t="s">
        <v>2342</v>
      </c>
      <c r="F1556" s="30" t="n">
        <v>42765</v>
      </c>
      <c r="G1556" s="30" t="n">
        <v>42869</v>
      </c>
      <c r="H1556" s="26" t="n">
        <f aca="false">G1556-F1556</f>
        <v>104</v>
      </c>
      <c r="I1556" s="10" t="n">
        <f aca="false">IF(E1556="Won",1,0)</f>
        <v>1</v>
      </c>
    </row>
    <row r="1557" customFormat="false" ht="15" hidden="false" customHeight="false" outlineLevel="0" collapsed="false">
      <c r="A1557" s="10" t="s">
        <v>3898</v>
      </c>
      <c r="B1557" s="10" t="s">
        <v>79</v>
      </c>
      <c r="C1557" s="10" t="s">
        <v>49</v>
      </c>
      <c r="D1557" s="10" t="s">
        <v>291</v>
      </c>
      <c r="E1557" s="10" t="s">
        <v>2342</v>
      </c>
      <c r="F1557" s="30" t="n">
        <v>42768</v>
      </c>
      <c r="G1557" s="30" t="n">
        <v>42869</v>
      </c>
      <c r="H1557" s="26" t="n">
        <f aca="false">G1557-F1557</f>
        <v>101</v>
      </c>
      <c r="I1557" s="10" t="n">
        <f aca="false">IF(E1557="Won",1,0)</f>
        <v>1</v>
      </c>
    </row>
    <row r="1558" customFormat="false" ht="15" hidden="false" customHeight="false" outlineLevel="0" collapsed="false">
      <c r="A1558" s="10" t="s">
        <v>3899</v>
      </c>
      <c r="B1558" s="10" t="s">
        <v>96</v>
      </c>
      <c r="C1558" s="10" t="s">
        <v>47</v>
      </c>
      <c r="D1558" s="10" t="s">
        <v>419</v>
      </c>
      <c r="E1558" s="10" t="s">
        <v>2342</v>
      </c>
      <c r="F1558" s="30" t="n">
        <v>42748</v>
      </c>
      <c r="G1558" s="30" t="n">
        <v>42869</v>
      </c>
      <c r="H1558" s="26" t="n">
        <f aca="false">G1558-F1558</f>
        <v>121</v>
      </c>
      <c r="I1558" s="10" t="n">
        <f aca="false">IF(E1558="Won",1,0)</f>
        <v>1</v>
      </c>
    </row>
    <row r="1559" customFormat="false" ht="15" hidden="false" customHeight="false" outlineLevel="0" collapsed="false">
      <c r="A1559" s="10" t="s">
        <v>3900</v>
      </c>
      <c r="B1559" s="10" t="s">
        <v>95</v>
      </c>
      <c r="C1559" s="10" t="s">
        <v>48</v>
      </c>
      <c r="D1559" s="10" t="s">
        <v>483</v>
      </c>
      <c r="E1559" s="10" t="s">
        <v>2345</v>
      </c>
      <c r="F1559" s="30" t="n">
        <v>42782</v>
      </c>
      <c r="G1559" s="30" t="n">
        <v>42869</v>
      </c>
      <c r="H1559" s="26" t="n">
        <f aca="false">G1559-F1559</f>
        <v>87</v>
      </c>
      <c r="I1559" s="10" t="n">
        <f aca="false">IF(E1559="Won",1,0)</f>
        <v>0</v>
      </c>
    </row>
    <row r="1560" customFormat="false" ht="15" hidden="false" customHeight="false" outlineLevel="0" collapsed="false">
      <c r="A1560" s="10" t="s">
        <v>3901</v>
      </c>
      <c r="B1560" s="10" t="s">
        <v>70</v>
      </c>
      <c r="C1560" s="10" t="s">
        <v>49</v>
      </c>
      <c r="D1560" s="10" t="s">
        <v>170</v>
      </c>
      <c r="E1560" s="10" t="s">
        <v>2345</v>
      </c>
      <c r="F1560" s="30" t="n">
        <v>42853</v>
      </c>
      <c r="G1560" s="30" t="n">
        <v>42869</v>
      </c>
      <c r="H1560" s="26" t="n">
        <f aca="false">G1560-F1560</f>
        <v>16</v>
      </c>
      <c r="I1560" s="10" t="n">
        <f aca="false">IF(E1560="Won",1,0)</f>
        <v>0</v>
      </c>
    </row>
    <row r="1561" customFormat="false" ht="15" hidden="false" customHeight="false" outlineLevel="0" collapsed="false">
      <c r="A1561" s="10" t="s">
        <v>3902</v>
      </c>
      <c r="B1561" s="10" t="s">
        <v>83</v>
      </c>
      <c r="C1561" s="10" t="s">
        <v>52</v>
      </c>
      <c r="D1561" s="10" t="s">
        <v>527</v>
      </c>
      <c r="E1561" s="10" t="s">
        <v>2342</v>
      </c>
      <c r="F1561" s="30" t="n">
        <v>42752</v>
      </c>
      <c r="G1561" s="30" t="n">
        <v>42869</v>
      </c>
      <c r="H1561" s="26" t="n">
        <f aca="false">G1561-F1561</f>
        <v>117</v>
      </c>
      <c r="I1561" s="10" t="n">
        <f aca="false">IF(E1561="Won",1,0)</f>
        <v>1</v>
      </c>
    </row>
    <row r="1562" customFormat="false" ht="15" hidden="false" customHeight="false" outlineLevel="0" collapsed="false">
      <c r="A1562" s="10" t="s">
        <v>3903</v>
      </c>
      <c r="B1562" s="10" t="s">
        <v>86</v>
      </c>
      <c r="C1562" s="10" t="s">
        <v>48</v>
      </c>
      <c r="D1562" s="10" t="s">
        <v>332</v>
      </c>
      <c r="E1562" s="10" t="s">
        <v>2345</v>
      </c>
      <c r="F1562" s="30" t="n">
        <v>42832</v>
      </c>
      <c r="G1562" s="30" t="n">
        <v>42869</v>
      </c>
      <c r="H1562" s="26" t="n">
        <f aca="false">G1562-F1562</f>
        <v>37</v>
      </c>
      <c r="I1562" s="10" t="n">
        <f aca="false">IF(E1562="Won",1,0)</f>
        <v>0</v>
      </c>
    </row>
    <row r="1563" customFormat="false" ht="15" hidden="false" customHeight="false" outlineLevel="0" collapsed="false">
      <c r="A1563" s="10" t="s">
        <v>3904</v>
      </c>
      <c r="B1563" s="10" t="s">
        <v>97</v>
      </c>
      <c r="C1563" s="10" t="s">
        <v>51</v>
      </c>
      <c r="D1563" s="10" t="s">
        <v>483</v>
      </c>
      <c r="E1563" s="10" t="s">
        <v>2345</v>
      </c>
      <c r="F1563" s="30" t="n">
        <v>42820</v>
      </c>
      <c r="G1563" s="30" t="n">
        <v>42869</v>
      </c>
      <c r="H1563" s="26" t="n">
        <f aca="false">G1563-F1563</f>
        <v>49</v>
      </c>
      <c r="I1563" s="10" t="n">
        <f aca="false">IF(E1563="Won",1,0)</f>
        <v>0</v>
      </c>
    </row>
    <row r="1564" customFormat="false" ht="15" hidden="false" customHeight="false" outlineLevel="0" collapsed="false">
      <c r="A1564" s="10" t="s">
        <v>3905</v>
      </c>
      <c r="B1564" s="10" t="s">
        <v>71</v>
      </c>
      <c r="C1564" s="10" t="s">
        <v>51</v>
      </c>
      <c r="D1564" s="10" t="s">
        <v>267</v>
      </c>
      <c r="E1564" s="10" t="s">
        <v>2342</v>
      </c>
      <c r="F1564" s="30" t="n">
        <v>42798</v>
      </c>
      <c r="G1564" s="30" t="n">
        <v>42869</v>
      </c>
      <c r="H1564" s="26" t="n">
        <f aca="false">G1564-F1564</f>
        <v>71</v>
      </c>
      <c r="I1564" s="10" t="n">
        <f aca="false">IF(E1564="Won",1,0)</f>
        <v>1</v>
      </c>
    </row>
    <row r="1565" customFormat="false" ht="15" hidden="false" customHeight="false" outlineLevel="0" collapsed="false">
      <c r="A1565" s="10" t="s">
        <v>3906</v>
      </c>
      <c r="B1565" s="10" t="s">
        <v>76</v>
      </c>
      <c r="C1565" s="10" t="s">
        <v>52</v>
      </c>
      <c r="D1565" s="10" t="s">
        <v>762</v>
      </c>
      <c r="E1565" s="10" t="s">
        <v>2342</v>
      </c>
      <c r="F1565" s="30" t="n">
        <v>42793</v>
      </c>
      <c r="G1565" s="30" t="n">
        <v>42869</v>
      </c>
      <c r="H1565" s="26" t="n">
        <f aca="false">G1565-F1565</f>
        <v>76</v>
      </c>
      <c r="I1565" s="10" t="n">
        <f aca="false">IF(E1565="Won",1,0)</f>
        <v>1</v>
      </c>
    </row>
    <row r="1566" customFormat="false" ht="15" hidden="false" customHeight="false" outlineLevel="0" collapsed="false">
      <c r="A1566" s="10" t="s">
        <v>3907</v>
      </c>
      <c r="B1566" s="10" t="s">
        <v>60</v>
      </c>
      <c r="C1566" s="10" t="s">
        <v>51</v>
      </c>
      <c r="D1566" s="10" t="s">
        <v>378</v>
      </c>
      <c r="E1566" s="10" t="s">
        <v>2345</v>
      </c>
      <c r="F1566" s="30" t="n">
        <v>42785</v>
      </c>
      <c r="G1566" s="30" t="n">
        <v>42869</v>
      </c>
      <c r="H1566" s="26" t="n">
        <f aca="false">G1566-F1566</f>
        <v>84</v>
      </c>
      <c r="I1566" s="10" t="n">
        <f aca="false">IF(E1566="Won",1,0)</f>
        <v>0</v>
      </c>
    </row>
    <row r="1567" customFormat="false" ht="15" hidden="false" customHeight="false" outlineLevel="0" collapsed="false">
      <c r="A1567" s="10" t="s">
        <v>3908</v>
      </c>
      <c r="B1567" s="10" t="s">
        <v>96</v>
      </c>
      <c r="C1567" s="10" t="s">
        <v>47</v>
      </c>
      <c r="D1567" s="10" t="s">
        <v>396</v>
      </c>
      <c r="E1567" s="10" t="s">
        <v>2342</v>
      </c>
      <c r="F1567" s="30" t="n">
        <v>42857</v>
      </c>
      <c r="G1567" s="30" t="n">
        <v>42869</v>
      </c>
      <c r="H1567" s="26" t="n">
        <f aca="false">G1567-F1567</f>
        <v>12</v>
      </c>
      <c r="I1567" s="10" t="n">
        <f aca="false">IF(E1567="Won",1,0)</f>
        <v>1</v>
      </c>
    </row>
    <row r="1568" customFormat="false" ht="15" hidden="false" customHeight="false" outlineLevel="0" collapsed="false">
      <c r="A1568" s="10" t="s">
        <v>3909</v>
      </c>
      <c r="B1568" s="10" t="s">
        <v>93</v>
      </c>
      <c r="C1568" s="10" t="s">
        <v>52</v>
      </c>
      <c r="D1568" s="10" t="s">
        <v>432</v>
      </c>
      <c r="E1568" s="10" t="s">
        <v>2345</v>
      </c>
      <c r="F1568" s="30" t="n">
        <v>42799</v>
      </c>
      <c r="G1568" s="30" t="n">
        <v>42869</v>
      </c>
      <c r="H1568" s="26" t="n">
        <f aca="false">G1568-F1568</f>
        <v>70</v>
      </c>
      <c r="I1568" s="10" t="n">
        <f aca="false">IF(E1568="Won",1,0)</f>
        <v>0</v>
      </c>
    </row>
    <row r="1569" customFormat="false" ht="15" hidden="false" customHeight="false" outlineLevel="0" collapsed="false">
      <c r="A1569" s="10" t="s">
        <v>3910</v>
      </c>
      <c r="B1569" s="10" t="s">
        <v>88</v>
      </c>
      <c r="C1569" s="10" t="s">
        <v>51</v>
      </c>
      <c r="D1569" s="10" t="s">
        <v>674</v>
      </c>
      <c r="E1569" s="10" t="s">
        <v>2342</v>
      </c>
      <c r="F1569" s="30" t="n">
        <v>42802</v>
      </c>
      <c r="G1569" s="30" t="n">
        <v>42869</v>
      </c>
      <c r="H1569" s="26" t="n">
        <f aca="false">G1569-F1569</f>
        <v>67</v>
      </c>
      <c r="I1569" s="10" t="n">
        <f aca="false">IF(E1569="Won",1,0)</f>
        <v>1</v>
      </c>
    </row>
    <row r="1570" customFormat="false" ht="15" hidden="false" customHeight="false" outlineLevel="0" collapsed="false">
      <c r="A1570" s="10" t="s">
        <v>3911</v>
      </c>
      <c r="B1570" s="10" t="s">
        <v>83</v>
      </c>
      <c r="C1570" s="10" t="s">
        <v>49</v>
      </c>
      <c r="D1570" s="10" t="s">
        <v>353</v>
      </c>
      <c r="E1570" s="10" t="s">
        <v>2345</v>
      </c>
      <c r="F1570" s="30" t="n">
        <v>42783</v>
      </c>
      <c r="G1570" s="30" t="n">
        <v>42869</v>
      </c>
      <c r="H1570" s="26" t="n">
        <f aca="false">G1570-F1570</f>
        <v>86</v>
      </c>
      <c r="I1570" s="10" t="n">
        <f aca="false">IF(E1570="Won",1,0)</f>
        <v>0</v>
      </c>
    </row>
    <row r="1571" customFormat="false" ht="15" hidden="false" customHeight="false" outlineLevel="0" collapsed="false">
      <c r="A1571" s="10" t="s">
        <v>3912</v>
      </c>
      <c r="B1571" s="10" t="s">
        <v>90</v>
      </c>
      <c r="C1571" s="10" t="s">
        <v>51</v>
      </c>
      <c r="D1571" s="10" t="s">
        <v>215</v>
      </c>
      <c r="E1571" s="10" t="s">
        <v>2345</v>
      </c>
      <c r="F1571" s="30" t="n">
        <v>42776</v>
      </c>
      <c r="G1571" s="30" t="n">
        <v>42869</v>
      </c>
      <c r="H1571" s="26" t="n">
        <f aca="false">G1571-F1571</f>
        <v>93</v>
      </c>
      <c r="I1571" s="10" t="n">
        <f aca="false">IF(E1571="Won",1,0)</f>
        <v>0</v>
      </c>
    </row>
    <row r="1572" customFormat="false" ht="15" hidden="false" customHeight="false" outlineLevel="0" collapsed="false">
      <c r="A1572" s="10" t="s">
        <v>3913</v>
      </c>
      <c r="B1572" s="10" t="s">
        <v>74</v>
      </c>
      <c r="C1572" s="10" t="s">
        <v>49</v>
      </c>
      <c r="D1572" s="10" t="s">
        <v>369</v>
      </c>
      <c r="E1572" s="10" t="s">
        <v>2345</v>
      </c>
      <c r="F1572" s="30" t="n">
        <v>42802</v>
      </c>
      <c r="G1572" s="30" t="n">
        <v>42869</v>
      </c>
      <c r="H1572" s="26" t="n">
        <f aca="false">G1572-F1572</f>
        <v>67</v>
      </c>
      <c r="I1572" s="10" t="n">
        <f aca="false">IF(E1572="Won",1,0)</f>
        <v>0</v>
      </c>
    </row>
    <row r="1573" customFormat="false" ht="15" hidden="false" customHeight="false" outlineLevel="0" collapsed="false">
      <c r="A1573" s="10" t="s">
        <v>3914</v>
      </c>
      <c r="B1573" s="10" t="s">
        <v>80</v>
      </c>
      <c r="C1573" s="10" t="s">
        <v>52</v>
      </c>
      <c r="D1573" s="10" t="s">
        <v>353</v>
      </c>
      <c r="E1573" s="10" t="s">
        <v>2342</v>
      </c>
      <c r="F1573" s="30" t="n">
        <v>42858</v>
      </c>
      <c r="G1573" s="30" t="n">
        <v>42869</v>
      </c>
      <c r="H1573" s="26" t="n">
        <f aca="false">G1573-F1573</f>
        <v>11</v>
      </c>
      <c r="I1573" s="10" t="n">
        <f aca="false">IF(E1573="Won",1,0)</f>
        <v>1</v>
      </c>
    </row>
    <row r="1574" customFormat="false" ht="15" hidden="false" customHeight="false" outlineLevel="0" collapsed="false">
      <c r="A1574" s="10" t="s">
        <v>3915</v>
      </c>
      <c r="B1574" s="10" t="s">
        <v>97</v>
      </c>
      <c r="C1574" s="10" t="s">
        <v>48</v>
      </c>
      <c r="D1574" s="10" t="s">
        <v>227</v>
      </c>
      <c r="E1574" s="10" t="s">
        <v>2342</v>
      </c>
      <c r="F1574" s="30" t="n">
        <v>42760</v>
      </c>
      <c r="G1574" s="30" t="n">
        <v>42869</v>
      </c>
      <c r="H1574" s="26" t="n">
        <f aca="false">G1574-F1574</f>
        <v>109</v>
      </c>
      <c r="I1574" s="10" t="n">
        <f aca="false">IF(E1574="Won",1,0)</f>
        <v>1</v>
      </c>
    </row>
    <row r="1575" customFormat="false" ht="15" hidden="false" customHeight="false" outlineLevel="0" collapsed="false">
      <c r="A1575" s="10" t="s">
        <v>3916</v>
      </c>
      <c r="B1575" s="10" t="s">
        <v>57</v>
      </c>
      <c r="C1575" s="10" t="s">
        <v>49</v>
      </c>
      <c r="D1575" s="10" t="s">
        <v>286</v>
      </c>
      <c r="E1575" s="10" t="s">
        <v>2345</v>
      </c>
      <c r="F1575" s="30" t="n">
        <v>42865</v>
      </c>
      <c r="G1575" s="30" t="n">
        <v>42869</v>
      </c>
      <c r="H1575" s="26" t="n">
        <f aca="false">G1575-F1575</f>
        <v>4</v>
      </c>
      <c r="I1575" s="10" t="n">
        <f aca="false">IF(E1575="Won",1,0)</f>
        <v>0</v>
      </c>
    </row>
    <row r="1576" customFormat="false" ht="15" hidden="false" customHeight="false" outlineLevel="0" collapsed="false">
      <c r="A1576" s="10" t="s">
        <v>3917</v>
      </c>
      <c r="B1576" s="10" t="s">
        <v>70</v>
      </c>
      <c r="C1576" s="10" t="s">
        <v>51</v>
      </c>
      <c r="D1576" s="10" t="s">
        <v>227</v>
      </c>
      <c r="E1576" s="10" t="s">
        <v>2342</v>
      </c>
      <c r="F1576" s="30" t="n">
        <v>42860</v>
      </c>
      <c r="G1576" s="30" t="n">
        <v>42869</v>
      </c>
      <c r="H1576" s="26" t="n">
        <f aca="false">G1576-F1576</f>
        <v>9</v>
      </c>
      <c r="I1576" s="10" t="n">
        <f aca="false">IF(E1576="Won",1,0)</f>
        <v>1</v>
      </c>
    </row>
    <row r="1577" customFormat="false" ht="15" hidden="false" customHeight="false" outlineLevel="0" collapsed="false">
      <c r="A1577" s="10" t="s">
        <v>3918</v>
      </c>
      <c r="B1577" s="10" t="s">
        <v>68</v>
      </c>
      <c r="C1577" s="10" t="s">
        <v>47</v>
      </c>
      <c r="D1577" s="10" t="s">
        <v>419</v>
      </c>
      <c r="E1577" s="10" t="s">
        <v>2345</v>
      </c>
      <c r="F1577" s="30" t="n">
        <v>42827</v>
      </c>
      <c r="G1577" s="30" t="n">
        <v>42870</v>
      </c>
      <c r="H1577" s="26" t="n">
        <f aca="false">G1577-F1577</f>
        <v>43</v>
      </c>
      <c r="I1577" s="10" t="n">
        <f aca="false">IF(E1577="Won",1,0)</f>
        <v>0</v>
      </c>
    </row>
    <row r="1578" customFormat="false" ht="15" hidden="false" customHeight="false" outlineLevel="0" collapsed="false">
      <c r="A1578" s="10" t="s">
        <v>3919</v>
      </c>
      <c r="B1578" s="10" t="s">
        <v>95</v>
      </c>
      <c r="C1578" s="10" t="s">
        <v>48</v>
      </c>
      <c r="D1578" s="10" t="s">
        <v>286</v>
      </c>
      <c r="E1578" s="10" t="s">
        <v>2345</v>
      </c>
      <c r="F1578" s="30" t="n">
        <v>42769</v>
      </c>
      <c r="G1578" s="30" t="n">
        <v>42870</v>
      </c>
      <c r="H1578" s="26" t="n">
        <f aca="false">G1578-F1578</f>
        <v>101</v>
      </c>
      <c r="I1578" s="10" t="n">
        <f aca="false">IF(E1578="Won",1,0)</f>
        <v>0</v>
      </c>
    </row>
    <row r="1579" customFormat="false" ht="15" hidden="false" customHeight="false" outlineLevel="0" collapsed="false">
      <c r="A1579" s="10" t="s">
        <v>3920</v>
      </c>
      <c r="B1579" s="10" t="s">
        <v>70</v>
      </c>
      <c r="C1579" s="10" t="s">
        <v>51</v>
      </c>
      <c r="D1579" s="10" t="s">
        <v>303</v>
      </c>
      <c r="E1579" s="10" t="s">
        <v>2342</v>
      </c>
      <c r="F1579" s="30" t="n">
        <v>42852</v>
      </c>
      <c r="G1579" s="30" t="n">
        <v>42870</v>
      </c>
      <c r="H1579" s="26" t="n">
        <f aca="false">G1579-F1579</f>
        <v>18</v>
      </c>
      <c r="I1579" s="10" t="n">
        <f aca="false">IF(E1579="Won",1,0)</f>
        <v>1</v>
      </c>
    </row>
    <row r="1580" customFormat="false" ht="15" hidden="false" customHeight="false" outlineLevel="0" collapsed="false">
      <c r="A1580" s="10" t="s">
        <v>3921</v>
      </c>
      <c r="B1580" s="10" t="s">
        <v>61</v>
      </c>
      <c r="C1580" s="10" t="s">
        <v>51</v>
      </c>
      <c r="D1580" s="10" t="s">
        <v>464</v>
      </c>
      <c r="E1580" s="10" t="s">
        <v>2342</v>
      </c>
      <c r="F1580" s="30" t="n">
        <v>42852</v>
      </c>
      <c r="G1580" s="30" t="n">
        <v>42870</v>
      </c>
      <c r="H1580" s="26" t="n">
        <f aca="false">G1580-F1580</f>
        <v>18</v>
      </c>
      <c r="I1580" s="10" t="n">
        <f aca="false">IF(E1580="Won",1,0)</f>
        <v>1</v>
      </c>
    </row>
    <row r="1581" customFormat="false" ht="15" hidden="false" customHeight="false" outlineLevel="0" collapsed="false">
      <c r="A1581" s="10" t="s">
        <v>3922</v>
      </c>
      <c r="B1581" s="10" t="s">
        <v>90</v>
      </c>
      <c r="C1581" s="10" t="s">
        <v>49</v>
      </c>
      <c r="D1581" s="10" t="s">
        <v>453</v>
      </c>
      <c r="E1581" s="10" t="s">
        <v>2342</v>
      </c>
      <c r="F1581" s="30" t="n">
        <v>42867</v>
      </c>
      <c r="G1581" s="30" t="n">
        <v>42870</v>
      </c>
      <c r="H1581" s="26" t="n">
        <f aca="false">G1581-F1581</f>
        <v>3</v>
      </c>
      <c r="I1581" s="10" t="n">
        <f aca="false">IF(E1581="Won",1,0)</f>
        <v>1</v>
      </c>
    </row>
    <row r="1582" customFormat="false" ht="15" hidden="false" customHeight="false" outlineLevel="0" collapsed="false">
      <c r="A1582" s="10" t="s">
        <v>3923</v>
      </c>
      <c r="B1582" s="10" t="s">
        <v>75</v>
      </c>
      <c r="C1582" s="10" t="s">
        <v>52</v>
      </c>
      <c r="D1582" s="10" t="s">
        <v>869</v>
      </c>
      <c r="E1582" s="10" t="s">
        <v>2342</v>
      </c>
      <c r="F1582" s="30" t="n">
        <v>42788</v>
      </c>
      <c r="G1582" s="30" t="n">
        <v>42870</v>
      </c>
      <c r="H1582" s="26" t="n">
        <f aca="false">G1582-F1582</f>
        <v>82</v>
      </c>
      <c r="I1582" s="10" t="n">
        <f aca="false">IF(E1582="Won",1,0)</f>
        <v>1</v>
      </c>
    </row>
    <row r="1583" customFormat="false" ht="15" hidden="false" customHeight="false" outlineLevel="0" collapsed="false">
      <c r="A1583" s="10" t="s">
        <v>3924</v>
      </c>
      <c r="B1583" s="10" t="s">
        <v>97</v>
      </c>
      <c r="C1583" s="10" t="s">
        <v>51</v>
      </c>
      <c r="D1583" s="10" t="s">
        <v>396</v>
      </c>
      <c r="E1583" s="10" t="s">
        <v>2345</v>
      </c>
      <c r="F1583" s="30" t="n">
        <v>42863</v>
      </c>
      <c r="G1583" s="30" t="n">
        <v>42870</v>
      </c>
      <c r="H1583" s="26" t="n">
        <f aca="false">G1583-F1583</f>
        <v>7</v>
      </c>
      <c r="I1583" s="10" t="n">
        <f aca="false">IF(E1583="Won",1,0)</f>
        <v>0</v>
      </c>
    </row>
    <row r="1584" customFormat="false" ht="15" hidden="false" customHeight="false" outlineLevel="0" collapsed="false">
      <c r="A1584" s="10" t="s">
        <v>3925</v>
      </c>
      <c r="B1584" s="10" t="s">
        <v>74</v>
      </c>
      <c r="C1584" s="10" t="s">
        <v>51</v>
      </c>
      <c r="D1584" s="10" t="s">
        <v>388</v>
      </c>
      <c r="E1584" s="10" t="s">
        <v>2345</v>
      </c>
      <c r="F1584" s="30" t="n">
        <v>42868</v>
      </c>
      <c r="G1584" s="30" t="n">
        <v>42870</v>
      </c>
      <c r="H1584" s="26" t="n">
        <f aca="false">G1584-F1584</f>
        <v>2</v>
      </c>
      <c r="I1584" s="10" t="n">
        <f aca="false">IF(E1584="Won",1,0)</f>
        <v>0</v>
      </c>
    </row>
    <row r="1585" customFormat="false" ht="15" hidden="false" customHeight="false" outlineLevel="0" collapsed="false">
      <c r="A1585" s="10" t="s">
        <v>3926</v>
      </c>
      <c r="B1585" s="10" t="s">
        <v>57</v>
      </c>
      <c r="C1585" s="10" t="s">
        <v>48</v>
      </c>
      <c r="D1585" s="10" t="s">
        <v>332</v>
      </c>
      <c r="E1585" s="10" t="s">
        <v>2342</v>
      </c>
      <c r="F1585" s="30" t="n">
        <v>42862</v>
      </c>
      <c r="G1585" s="30" t="n">
        <v>42870</v>
      </c>
      <c r="H1585" s="26" t="n">
        <f aca="false">G1585-F1585</f>
        <v>8</v>
      </c>
      <c r="I1585" s="10" t="n">
        <f aca="false">IF(E1585="Won",1,0)</f>
        <v>1</v>
      </c>
    </row>
    <row r="1586" customFormat="false" ht="15" hidden="false" customHeight="false" outlineLevel="0" collapsed="false">
      <c r="A1586" s="10" t="s">
        <v>3927</v>
      </c>
      <c r="B1586" s="10" t="s">
        <v>77</v>
      </c>
      <c r="C1586" s="10" t="s">
        <v>51</v>
      </c>
      <c r="D1586" s="10" t="s">
        <v>527</v>
      </c>
      <c r="E1586" s="10" t="s">
        <v>2342</v>
      </c>
      <c r="F1586" s="30" t="n">
        <v>42807</v>
      </c>
      <c r="G1586" s="30" t="n">
        <v>42870</v>
      </c>
      <c r="H1586" s="26" t="n">
        <f aca="false">G1586-F1586</f>
        <v>63</v>
      </c>
      <c r="I1586" s="10" t="n">
        <f aca="false">IF(E1586="Won",1,0)</f>
        <v>1</v>
      </c>
    </row>
    <row r="1587" customFormat="false" ht="15" hidden="false" customHeight="false" outlineLevel="0" collapsed="false">
      <c r="A1587" s="10" t="s">
        <v>3928</v>
      </c>
      <c r="B1587" s="10" t="s">
        <v>88</v>
      </c>
      <c r="C1587" s="10" t="s">
        <v>48</v>
      </c>
      <c r="D1587" s="10" t="s">
        <v>274</v>
      </c>
      <c r="E1587" s="10" t="s">
        <v>2342</v>
      </c>
      <c r="F1587" s="30" t="n">
        <v>42790</v>
      </c>
      <c r="G1587" s="30" t="n">
        <v>42870</v>
      </c>
      <c r="H1587" s="26" t="n">
        <f aca="false">G1587-F1587</f>
        <v>80</v>
      </c>
      <c r="I1587" s="10" t="n">
        <f aca="false">IF(E1587="Won",1,0)</f>
        <v>1</v>
      </c>
    </row>
    <row r="1588" customFormat="false" ht="15" hidden="false" customHeight="false" outlineLevel="0" collapsed="false">
      <c r="A1588" s="10" t="s">
        <v>3929</v>
      </c>
      <c r="B1588" s="10" t="s">
        <v>68</v>
      </c>
      <c r="C1588" s="10" t="s">
        <v>52</v>
      </c>
      <c r="D1588" s="10" t="s">
        <v>396</v>
      </c>
      <c r="E1588" s="10" t="s">
        <v>2345</v>
      </c>
      <c r="F1588" s="30" t="n">
        <v>42777</v>
      </c>
      <c r="G1588" s="30" t="n">
        <v>42870</v>
      </c>
      <c r="H1588" s="26" t="n">
        <f aca="false">G1588-F1588</f>
        <v>93</v>
      </c>
      <c r="I1588" s="10" t="n">
        <f aca="false">IF(E1588="Won",1,0)</f>
        <v>0</v>
      </c>
    </row>
    <row r="1589" customFormat="false" ht="15" hidden="false" customHeight="false" outlineLevel="0" collapsed="false">
      <c r="A1589" s="10" t="s">
        <v>3930</v>
      </c>
      <c r="B1589" s="10" t="s">
        <v>77</v>
      </c>
      <c r="C1589" s="10" t="s">
        <v>50</v>
      </c>
      <c r="D1589" s="10" t="s">
        <v>369</v>
      </c>
      <c r="E1589" s="10" t="s">
        <v>2345</v>
      </c>
      <c r="F1589" s="30" t="n">
        <v>42803</v>
      </c>
      <c r="G1589" s="30" t="n">
        <v>42870</v>
      </c>
      <c r="H1589" s="26" t="n">
        <f aca="false">G1589-F1589</f>
        <v>67</v>
      </c>
      <c r="I1589" s="10" t="n">
        <f aca="false">IF(E1589="Won",1,0)</f>
        <v>0</v>
      </c>
    </row>
    <row r="1590" customFormat="false" ht="15" hidden="false" customHeight="false" outlineLevel="0" collapsed="false">
      <c r="A1590" s="10" t="s">
        <v>3931</v>
      </c>
      <c r="B1590" s="10" t="s">
        <v>77</v>
      </c>
      <c r="C1590" s="10" t="s">
        <v>47</v>
      </c>
      <c r="D1590" s="10" t="s">
        <v>1251</v>
      </c>
      <c r="E1590" s="10" t="s">
        <v>2342</v>
      </c>
      <c r="F1590" s="30" t="n">
        <v>42818</v>
      </c>
      <c r="G1590" s="30" t="n">
        <v>42870</v>
      </c>
      <c r="H1590" s="26" t="n">
        <f aca="false">G1590-F1590</f>
        <v>52</v>
      </c>
      <c r="I1590" s="10" t="n">
        <f aca="false">IF(E1590="Won",1,0)</f>
        <v>1</v>
      </c>
    </row>
    <row r="1591" customFormat="false" ht="15" hidden="false" customHeight="false" outlineLevel="0" collapsed="false">
      <c r="A1591" s="10" t="s">
        <v>3932</v>
      </c>
      <c r="B1591" s="10" t="s">
        <v>88</v>
      </c>
      <c r="C1591" s="10" t="s">
        <v>48</v>
      </c>
      <c r="D1591" s="10" t="s">
        <v>1118</v>
      </c>
      <c r="E1591" s="10" t="s">
        <v>2342</v>
      </c>
      <c r="F1591" s="30" t="n">
        <v>42776</v>
      </c>
      <c r="G1591" s="30" t="n">
        <v>42870</v>
      </c>
      <c r="H1591" s="26" t="n">
        <f aca="false">G1591-F1591</f>
        <v>94</v>
      </c>
      <c r="I1591" s="10" t="n">
        <f aca="false">IF(E1591="Won",1,0)</f>
        <v>1</v>
      </c>
    </row>
    <row r="1592" customFormat="false" ht="15" hidden="false" customHeight="false" outlineLevel="0" collapsed="false">
      <c r="A1592" s="10" t="s">
        <v>3933</v>
      </c>
      <c r="B1592" s="10" t="s">
        <v>60</v>
      </c>
      <c r="C1592" s="10" t="s">
        <v>48</v>
      </c>
      <c r="D1592" s="10" t="s">
        <v>254</v>
      </c>
      <c r="E1592" s="10" t="s">
        <v>2342</v>
      </c>
      <c r="F1592" s="30" t="n">
        <v>42801</v>
      </c>
      <c r="G1592" s="30" t="n">
        <v>42870</v>
      </c>
      <c r="H1592" s="26" t="n">
        <f aca="false">G1592-F1592</f>
        <v>69</v>
      </c>
      <c r="I1592" s="10" t="n">
        <f aca="false">IF(E1592="Won",1,0)</f>
        <v>1</v>
      </c>
    </row>
    <row r="1593" customFormat="false" ht="15" hidden="false" customHeight="false" outlineLevel="0" collapsed="false">
      <c r="A1593" s="10" t="s">
        <v>3934</v>
      </c>
      <c r="B1593" s="10" t="s">
        <v>90</v>
      </c>
      <c r="C1593" s="10" t="s">
        <v>49</v>
      </c>
      <c r="D1593" s="10" t="s">
        <v>350</v>
      </c>
      <c r="E1593" s="10" t="s">
        <v>2342</v>
      </c>
      <c r="F1593" s="30" t="n">
        <v>42788</v>
      </c>
      <c r="G1593" s="30" t="n">
        <v>42870</v>
      </c>
      <c r="H1593" s="26" t="n">
        <f aca="false">G1593-F1593</f>
        <v>82</v>
      </c>
      <c r="I1593" s="10" t="n">
        <f aca="false">IF(E1593="Won",1,0)</f>
        <v>1</v>
      </c>
    </row>
    <row r="1594" customFormat="false" ht="15" hidden="false" customHeight="false" outlineLevel="0" collapsed="false">
      <c r="A1594" s="10" t="s">
        <v>3935</v>
      </c>
      <c r="B1594" s="10" t="s">
        <v>83</v>
      </c>
      <c r="C1594" s="10" t="s">
        <v>49</v>
      </c>
      <c r="D1594" s="10" t="s">
        <v>369</v>
      </c>
      <c r="E1594" s="10" t="s">
        <v>2342</v>
      </c>
      <c r="F1594" s="30" t="n">
        <v>42800</v>
      </c>
      <c r="G1594" s="30" t="n">
        <v>42870</v>
      </c>
      <c r="H1594" s="26" t="n">
        <f aca="false">G1594-F1594</f>
        <v>70</v>
      </c>
      <c r="I1594" s="10" t="n">
        <f aca="false">IF(E1594="Won",1,0)</f>
        <v>1</v>
      </c>
    </row>
    <row r="1595" customFormat="false" ht="15" hidden="false" customHeight="false" outlineLevel="0" collapsed="false">
      <c r="A1595" s="10" t="s">
        <v>3936</v>
      </c>
      <c r="B1595" s="10" t="s">
        <v>71</v>
      </c>
      <c r="C1595" s="10" t="s">
        <v>50</v>
      </c>
      <c r="D1595" s="10" t="s">
        <v>321</v>
      </c>
      <c r="E1595" s="10" t="s">
        <v>2342</v>
      </c>
      <c r="F1595" s="30" t="n">
        <v>42854</v>
      </c>
      <c r="G1595" s="30" t="n">
        <v>42870</v>
      </c>
      <c r="H1595" s="26" t="n">
        <f aca="false">G1595-F1595</f>
        <v>16</v>
      </c>
      <c r="I1595" s="10" t="n">
        <f aca="false">IF(E1595="Won",1,0)</f>
        <v>1</v>
      </c>
    </row>
    <row r="1596" customFormat="false" ht="15" hidden="false" customHeight="false" outlineLevel="0" collapsed="false">
      <c r="A1596" s="10" t="s">
        <v>3937</v>
      </c>
      <c r="B1596" s="10" t="s">
        <v>95</v>
      </c>
      <c r="C1596" s="10" t="s">
        <v>48</v>
      </c>
      <c r="D1596" s="10" t="s">
        <v>233</v>
      </c>
      <c r="E1596" s="10" t="s">
        <v>2342</v>
      </c>
      <c r="F1596" s="30" t="n">
        <v>42796</v>
      </c>
      <c r="G1596" s="30" t="n">
        <v>42870</v>
      </c>
      <c r="H1596" s="26" t="n">
        <f aca="false">G1596-F1596</f>
        <v>74</v>
      </c>
      <c r="I1596" s="10" t="n">
        <f aca="false">IF(E1596="Won",1,0)</f>
        <v>1</v>
      </c>
    </row>
    <row r="1597" customFormat="false" ht="15" hidden="false" customHeight="false" outlineLevel="0" collapsed="false">
      <c r="A1597" s="10" t="s">
        <v>3938</v>
      </c>
      <c r="B1597" s="10" t="s">
        <v>90</v>
      </c>
      <c r="C1597" s="10" t="s">
        <v>47</v>
      </c>
      <c r="D1597" s="10" t="s">
        <v>218</v>
      </c>
      <c r="E1597" s="10" t="s">
        <v>2345</v>
      </c>
      <c r="F1597" s="30" t="n">
        <v>42821</v>
      </c>
      <c r="G1597" s="30" t="n">
        <v>42870</v>
      </c>
      <c r="H1597" s="26" t="n">
        <f aca="false">G1597-F1597</f>
        <v>49</v>
      </c>
      <c r="I1597" s="10" t="n">
        <f aca="false">IF(E1597="Won",1,0)</f>
        <v>0</v>
      </c>
    </row>
    <row r="1598" customFormat="false" ht="15" hidden="false" customHeight="false" outlineLevel="0" collapsed="false">
      <c r="A1598" s="10" t="s">
        <v>3939</v>
      </c>
      <c r="B1598" s="10" t="s">
        <v>87</v>
      </c>
      <c r="C1598" s="10" t="s">
        <v>47</v>
      </c>
      <c r="D1598" s="10" t="s">
        <v>441</v>
      </c>
      <c r="E1598" s="10" t="s">
        <v>2342</v>
      </c>
      <c r="F1598" s="30" t="n">
        <v>42788</v>
      </c>
      <c r="G1598" s="30" t="n">
        <v>42870</v>
      </c>
      <c r="H1598" s="26" t="n">
        <f aca="false">G1598-F1598</f>
        <v>82</v>
      </c>
      <c r="I1598" s="10" t="n">
        <f aca="false">IF(E1598="Won",1,0)</f>
        <v>1</v>
      </c>
    </row>
    <row r="1599" customFormat="false" ht="15" hidden="false" customHeight="false" outlineLevel="0" collapsed="false">
      <c r="A1599" s="10" t="s">
        <v>3940</v>
      </c>
      <c r="B1599" s="10" t="s">
        <v>94</v>
      </c>
      <c r="C1599" s="10" t="s">
        <v>47</v>
      </c>
      <c r="D1599" s="10" t="s">
        <v>396</v>
      </c>
      <c r="E1599" s="10" t="s">
        <v>2342</v>
      </c>
      <c r="F1599" s="30" t="n">
        <v>42773</v>
      </c>
      <c r="G1599" s="30" t="n">
        <v>42870</v>
      </c>
      <c r="H1599" s="26" t="n">
        <f aca="false">G1599-F1599</f>
        <v>97</v>
      </c>
      <c r="I1599" s="10" t="n">
        <f aca="false">IF(E1599="Won",1,0)</f>
        <v>1</v>
      </c>
    </row>
    <row r="1600" customFormat="false" ht="15" hidden="false" customHeight="false" outlineLevel="0" collapsed="false">
      <c r="A1600" s="10" t="s">
        <v>3941</v>
      </c>
      <c r="B1600" s="10" t="s">
        <v>79</v>
      </c>
      <c r="C1600" s="10" t="s">
        <v>47</v>
      </c>
      <c r="D1600" s="10" t="s">
        <v>291</v>
      </c>
      <c r="E1600" s="10" t="s">
        <v>2342</v>
      </c>
      <c r="F1600" s="30" t="n">
        <v>42794</v>
      </c>
      <c r="G1600" s="30" t="n">
        <v>42870</v>
      </c>
      <c r="H1600" s="26" t="n">
        <f aca="false">G1600-F1600</f>
        <v>76</v>
      </c>
      <c r="I1600" s="10" t="n">
        <f aca="false">IF(E1600="Won",1,0)</f>
        <v>1</v>
      </c>
    </row>
    <row r="1601" customFormat="false" ht="15" hidden="false" customHeight="false" outlineLevel="0" collapsed="false">
      <c r="A1601" s="10" t="s">
        <v>3942</v>
      </c>
      <c r="B1601" s="10" t="s">
        <v>96</v>
      </c>
      <c r="C1601" s="10" t="s">
        <v>50</v>
      </c>
      <c r="D1601" s="10" t="s">
        <v>326</v>
      </c>
      <c r="E1601" s="10" t="s">
        <v>2342</v>
      </c>
      <c r="F1601" s="30" t="n">
        <v>42822</v>
      </c>
      <c r="G1601" s="30" t="n">
        <v>42870</v>
      </c>
      <c r="H1601" s="26" t="n">
        <f aca="false">G1601-F1601</f>
        <v>48</v>
      </c>
      <c r="I1601" s="10" t="n">
        <f aca="false">IF(E1601="Won",1,0)</f>
        <v>1</v>
      </c>
    </row>
    <row r="1602" customFormat="false" ht="15" hidden="false" customHeight="false" outlineLevel="0" collapsed="false">
      <c r="A1602" s="10" t="s">
        <v>3943</v>
      </c>
      <c r="B1602" s="10" t="s">
        <v>75</v>
      </c>
      <c r="C1602" s="10" t="s">
        <v>50</v>
      </c>
      <c r="D1602" s="10" t="s">
        <v>267</v>
      </c>
      <c r="E1602" s="10" t="s">
        <v>2342</v>
      </c>
      <c r="F1602" s="30" t="n">
        <v>42772</v>
      </c>
      <c r="G1602" s="30" t="n">
        <v>42870</v>
      </c>
      <c r="H1602" s="26" t="n">
        <f aca="false">G1602-F1602</f>
        <v>98</v>
      </c>
      <c r="I1602" s="10" t="n">
        <f aca="false">IF(E1602="Won",1,0)</f>
        <v>1</v>
      </c>
    </row>
    <row r="1603" customFormat="false" ht="15" hidden="false" customHeight="false" outlineLevel="0" collapsed="false">
      <c r="A1603" s="10" t="s">
        <v>3944</v>
      </c>
      <c r="B1603" s="10" t="s">
        <v>80</v>
      </c>
      <c r="C1603" s="10" t="s">
        <v>52</v>
      </c>
      <c r="D1603" s="10" t="s">
        <v>961</v>
      </c>
      <c r="E1603" s="10" t="s">
        <v>2345</v>
      </c>
      <c r="F1603" s="30" t="n">
        <v>42757</v>
      </c>
      <c r="G1603" s="30" t="n">
        <v>42870</v>
      </c>
      <c r="H1603" s="26" t="n">
        <f aca="false">G1603-F1603</f>
        <v>113</v>
      </c>
      <c r="I1603" s="10" t="n">
        <f aca="false">IF(E1603="Won",1,0)</f>
        <v>0</v>
      </c>
    </row>
    <row r="1604" customFormat="false" ht="15" hidden="false" customHeight="false" outlineLevel="0" collapsed="false">
      <c r="A1604" s="10" t="s">
        <v>3945</v>
      </c>
      <c r="B1604" s="10" t="s">
        <v>83</v>
      </c>
      <c r="C1604" s="10" t="s">
        <v>47</v>
      </c>
      <c r="D1604" s="10" t="s">
        <v>414</v>
      </c>
      <c r="E1604" s="10" t="s">
        <v>2342</v>
      </c>
      <c r="F1604" s="30" t="n">
        <v>42750</v>
      </c>
      <c r="G1604" s="30" t="n">
        <v>42870</v>
      </c>
      <c r="H1604" s="26" t="n">
        <f aca="false">G1604-F1604</f>
        <v>120</v>
      </c>
      <c r="I1604" s="10" t="n">
        <f aca="false">IF(E1604="Won",1,0)</f>
        <v>1</v>
      </c>
    </row>
    <row r="1605" customFormat="false" ht="15" hidden="false" customHeight="false" outlineLevel="0" collapsed="false">
      <c r="A1605" s="10" t="s">
        <v>3946</v>
      </c>
      <c r="B1605" s="10" t="s">
        <v>93</v>
      </c>
      <c r="C1605" s="10" t="s">
        <v>47</v>
      </c>
      <c r="D1605" s="10" t="s">
        <v>233</v>
      </c>
      <c r="E1605" s="10" t="s">
        <v>2342</v>
      </c>
      <c r="F1605" s="30" t="n">
        <v>42765</v>
      </c>
      <c r="G1605" s="30" t="n">
        <v>42871</v>
      </c>
      <c r="H1605" s="26" t="n">
        <f aca="false">G1605-F1605</f>
        <v>106</v>
      </c>
      <c r="I1605" s="10" t="n">
        <f aca="false">IF(E1605="Won",1,0)</f>
        <v>1</v>
      </c>
    </row>
    <row r="1606" customFormat="false" ht="15" hidden="false" customHeight="false" outlineLevel="0" collapsed="false">
      <c r="A1606" s="10" t="s">
        <v>3947</v>
      </c>
      <c r="B1606" s="10" t="s">
        <v>77</v>
      </c>
      <c r="C1606" s="10" t="s">
        <v>51</v>
      </c>
      <c r="D1606" s="10" t="s">
        <v>259</v>
      </c>
      <c r="E1606" s="10" t="s">
        <v>2342</v>
      </c>
      <c r="F1606" s="30" t="n">
        <v>42767</v>
      </c>
      <c r="G1606" s="30" t="n">
        <v>42871</v>
      </c>
      <c r="H1606" s="26" t="n">
        <f aca="false">G1606-F1606</f>
        <v>104</v>
      </c>
      <c r="I1606" s="10" t="n">
        <f aca="false">IF(E1606="Won",1,0)</f>
        <v>1</v>
      </c>
    </row>
    <row r="1607" customFormat="false" ht="15" hidden="false" customHeight="false" outlineLevel="0" collapsed="false">
      <c r="A1607" s="10" t="s">
        <v>3948</v>
      </c>
      <c r="B1607" s="10" t="s">
        <v>94</v>
      </c>
      <c r="C1607" s="10" t="s">
        <v>51</v>
      </c>
      <c r="D1607" s="10" t="s">
        <v>227</v>
      </c>
      <c r="E1607" s="10" t="s">
        <v>2345</v>
      </c>
      <c r="F1607" s="30" t="n">
        <v>42813</v>
      </c>
      <c r="G1607" s="30" t="n">
        <v>42871</v>
      </c>
      <c r="H1607" s="26" t="n">
        <f aca="false">G1607-F1607</f>
        <v>58</v>
      </c>
      <c r="I1607" s="10" t="n">
        <f aca="false">IF(E1607="Won",1,0)</f>
        <v>0</v>
      </c>
    </row>
    <row r="1608" customFormat="false" ht="15" hidden="false" customHeight="false" outlineLevel="0" collapsed="false">
      <c r="A1608" s="10" t="s">
        <v>3949</v>
      </c>
      <c r="B1608" s="10" t="s">
        <v>77</v>
      </c>
      <c r="C1608" s="10" t="s">
        <v>48</v>
      </c>
      <c r="D1608" s="10" t="s">
        <v>259</v>
      </c>
      <c r="E1608" s="10" t="s">
        <v>2345</v>
      </c>
      <c r="F1608" s="30" t="n">
        <v>42797</v>
      </c>
      <c r="G1608" s="30" t="n">
        <v>42871</v>
      </c>
      <c r="H1608" s="26" t="n">
        <f aca="false">G1608-F1608</f>
        <v>74</v>
      </c>
      <c r="I1608" s="10" t="n">
        <f aca="false">IF(E1608="Won",1,0)</f>
        <v>0</v>
      </c>
    </row>
    <row r="1609" customFormat="false" ht="15" hidden="false" customHeight="false" outlineLevel="0" collapsed="false">
      <c r="A1609" s="10" t="s">
        <v>3950</v>
      </c>
      <c r="B1609" s="10" t="s">
        <v>80</v>
      </c>
      <c r="C1609" s="10" t="s">
        <v>51</v>
      </c>
      <c r="D1609" s="10" t="s">
        <v>762</v>
      </c>
      <c r="E1609" s="10" t="s">
        <v>2345</v>
      </c>
      <c r="F1609" s="30" t="n">
        <v>42769</v>
      </c>
      <c r="G1609" s="30" t="n">
        <v>42871</v>
      </c>
      <c r="H1609" s="26" t="n">
        <f aca="false">G1609-F1609</f>
        <v>102</v>
      </c>
      <c r="I1609" s="10" t="n">
        <f aca="false">IF(E1609="Won",1,0)</f>
        <v>0</v>
      </c>
    </row>
    <row r="1610" customFormat="false" ht="15" hidden="false" customHeight="false" outlineLevel="0" collapsed="false">
      <c r="A1610" s="10" t="s">
        <v>3951</v>
      </c>
      <c r="B1610" s="10" t="s">
        <v>75</v>
      </c>
      <c r="C1610" s="10" t="s">
        <v>51</v>
      </c>
      <c r="D1610" s="10" t="s">
        <v>483</v>
      </c>
      <c r="E1610" s="10" t="s">
        <v>2345</v>
      </c>
      <c r="F1610" s="30" t="n">
        <v>42779</v>
      </c>
      <c r="G1610" s="30" t="n">
        <v>42871</v>
      </c>
      <c r="H1610" s="26" t="n">
        <f aca="false">G1610-F1610</f>
        <v>92</v>
      </c>
      <c r="I1610" s="10" t="n">
        <f aca="false">IF(E1610="Won",1,0)</f>
        <v>0</v>
      </c>
    </row>
    <row r="1611" customFormat="false" ht="15" hidden="false" customHeight="false" outlineLevel="0" collapsed="false">
      <c r="A1611" s="10" t="s">
        <v>3952</v>
      </c>
      <c r="B1611" s="10" t="s">
        <v>80</v>
      </c>
      <c r="C1611" s="10" t="s">
        <v>50</v>
      </c>
      <c r="D1611" s="10" t="s">
        <v>279</v>
      </c>
      <c r="E1611" s="10" t="s">
        <v>2342</v>
      </c>
      <c r="F1611" s="30" t="n">
        <v>42864</v>
      </c>
      <c r="G1611" s="30" t="n">
        <v>42871</v>
      </c>
      <c r="H1611" s="26" t="n">
        <f aca="false">G1611-F1611</f>
        <v>7</v>
      </c>
      <c r="I1611" s="10" t="n">
        <f aca="false">IF(E1611="Won",1,0)</f>
        <v>1</v>
      </c>
    </row>
    <row r="1612" customFormat="false" ht="15" hidden="false" customHeight="false" outlineLevel="0" collapsed="false">
      <c r="A1612" s="10" t="s">
        <v>3953</v>
      </c>
      <c r="B1612" s="10" t="s">
        <v>76</v>
      </c>
      <c r="C1612" s="10" t="s">
        <v>52</v>
      </c>
      <c r="D1612" s="10" t="s">
        <v>388</v>
      </c>
      <c r="E1612" s="10" t="s">
        <v>2345</v>
      </c>
      <c r="F1612" s="30" t="n">
        <v>42811</v>
      </c>
      <c r="G1612" s="30" t="n">
        <v>42871</v>
      </c>
      <c r="H1612" s="26" t="n">
        <f aca="false">G1612-F1612</f>
        <v>60</v>
      </c>
      <c r="I1612" s="10" t="n">
        <f aca="false">IF(E1612="Won",1,0)</f>
        <v>0</v>
      </c>
    </row>
    <row r="1613" customFormat="false" ht="15" hidden="false" customHeight="false" outlineLevel="0" collapsed="false">
      <c r="A1613" s="10" t="s">
        <v>3954</v>
      </c>
      <c r="B1613" s="10" t="s">
        <v>76</v>
      </c>
      <c r="C1613" s="10" t="s">
        <v>47</v>
      </c>
      <c r="D1613" s="10" t="s">
        <v>1948</v>
      </c>
      <c r="E1613" s="10" t="s">
        <v>2342</v>
      </c>
      <c r="F1613" s="30" t="n">
        <v>42863</v>
      </c>
      <c r="G1613" s="30" t="n">
        <v>42871</v>
      </c>
      <c r="H1613" s="26" t="n">
        <f aca="false">G1613-F1613</f>
        <v>8</v>
      </c>
      <c r="I1613" s="10" t="n">
        <f aca="false">IF(E1613="Won",1,0)</f>
        <v>1</v>
      </c>
    </row>
    <row r="1614" customFormat="false" ht="15" hidden="false" customHeight="false" outlineLevel="0" collapsed="false">
      <c r="A1614" s="10" t="s">
        <v>3955</v>
      </c>
      <c r="B1614" s="10" t="s">
        <v>94</v>
      </c>
      <c r="C1614" s="10" t="s">
        <v>51</v>
      </c>
      <c r="D1614" s="10" t="s">
        <v>348</v>
      </c>
      <c r="E1614" s="10" t="s">
        <v>2342</v>
      </c>
      <c r="F1614" s="30" t="n">
        <v>42863</v>
      </c>
      <c r="G1614" s="30" t="n">
        <v>42871</v>
      </c>
      <c r="H1614" s="26" t="n">
        <f aca="false">G1614-F1614</f>
        <v>8</v>
      </c>
      <c r="I1614" s="10" t="n">
        <f aca="false">IF(E1614="Won",1,0)</f>
        <v>1</v>
      </c>
    </row>
    <row r="1615" customFormat="false" ht="15" hidden="false" customHeight="false" outlineLevel="0" collapsed="false">
      <c r="A1615" s="10" t="s">
        <v>3956</v>
      </c>
      <c r="B1615" s="10" t="s">
        <v>86</v>
      </c>
      <c r="C1615" s="10" t="s">
        <v>51</v>
      </c>
      <c r="D1615" s="10" t="s">
        <v>427</v>
      </c>
      <c r="E1615" s="10" t="s">
        <v>2342</v>
      </c>
      <c r="F1615" s="30" t="n">
        <v>42865</v>
      </c>
      <c r="G1615" s="30" t="n">
        <v>42871</v>
      </c>
      <c r="H1615" s="26" t="n">
        <f aca="false">G1615-F1615</f>
        <v>6</v>
      </c>
      <c r="I1615" s="10" t="n">
        <f aca="false">IF(E1615="Won",1,0)</f>
        <v>1</v>
      </c>
    </row>
    <row r="1616" customFormat="false" ht="15" hidden="false" customHeight="false" outlineLevel="0" collapsed="false">
      <c r="A1616" s="10" t="s">
        <v>3957</v>
      </c>
      <c r="B1616" s="10" t="s">
        <v>73</v>
      </c>
      <c r="C1616" s="10" t="s">
        <v>52</v>
      </c>
      <c r="D1616" s="10" t="s">
        <v>512</v>
      </c>
      <c r="E1616" s="10" t="s">
        <v>2342</v>
      </c>
      <c r="F1616" s="30" t="n">
        <v>42865</v>
      </c>
      <c r="G1616" s="30" t="n">
        <v>42871</v>
      </c>
      <c r="H1616" s="26" t="n">
        <f aca="false">G1616-F1616</f>
        <v>6</v>
      </c>
      <c r="I1616" s="10" t="n">
        <f aca="false">IF(E1616="Won",1,0)</f>
        <v>1</v>
      </c>
    </row>
    <row r="1617" customFormat="false" ht="15" hidden="false" customHeight="false" outlineLevel="0" collapsed="false">
      <c r="A1617" s="10" t="s">
        <v>3958</v>
      </c>
      <c r="B1617" s="10" t="s">
        <v>79</v>
      </c>
      <c r="C1617" s="10" t="s">
        <v>47</v>
      </c>
      <c r="D1617" s="10" t="s">
        <v>697</v>
      </c>
      <c r="E1617" s="10" t="s">
        <v>2342</v>
      </c>
      <c r="F1617" s="30" t="n">
        <v>42803</v>
      </c>
      <c r="G1617" s="30" t="n">
        <v>42871</v>
      </c>
      <c r="H1617" s="26" t="n">
        <f aca="false">G1617-F1617</f>
        <v>68</v>
      </c>
      <c r="I1617" s="10" t="n">
        <f aca="false">IF(E1617="Won",1,0)</f>
        <v>1</v>
      </c>
    </row>
    <row r="1618" customFormat="false" ht="15" hidden="false" customHeight="false" outlineLevel="0" collapsed="false">
      <c r="A1618" s="10" t="s">
        <v>3959</v>
      </c>
      <c r="B1618" s="10" t="s">
        <v>77</v>
      </c>
      <c r="C1618" s="10" t="s">
        <v>50</v>
      </c>
      <c r="D1618" s="10" t="s">
        <v>291</v>
      </c>
      <c r="E1618" s="10" t="s">
        <v>2342</v>
      </c>
      <c r="F1618" s="30" t="n">
        <v>42777</v>
      </c>
      <c r="G1618" s="30" t="n">
        <v>42871</v>
      </c>
      <c r="H1618" s="26" t="n">
        <f aca="false">G1618-F1618</f>
        <v>94</v>
      </c>
      <c r="I1618" s="10" t="n">
        <f aca="false">IF(E1618="Won",1,0)</f>
        <v>1</v>
      </c>
    </row>
    <row r="1619" customFormat="false" ht="15" hidden="false" customHeight="false" outlineLevel="0" collapsed="false">
      <c r="A1619" s="10" t="s">
        <v>3960</v>
      </c>
      <c r="B1619" s="10" t="s">
        <v>95</v>
      </c>
      <c r="C1619" s="10" t="s">
        <v>52</v>
      </c>
      <c r="D1619" s="10" t="s">
        <v>326</v>
      </c>
      <c r="E1619" s="10" t="s">
        <v>2345</v>
      </c>
      <c r="F1619" s="30" t="n">
        <v>42860</v>
      </c>
      <c r="G1619" s="30" t="n">
        <v>42871</v>
      </c>
      <c r="H1619" s="26" t="n">
        <f aca="false">G1619-F1619</f>
        <v>11</v>
      </c>
      <c r="I1619" s="10" t="n">
        <f aca="false">IF(E1619="Won",1,0)</f>
        <v>0</v>
      </c>
    </row>
    <row r="1620" customFormat="false" ht="15" hidden="false" customHeight="false" outlineLevel="0" collapsed="false">
      <c r="A1620" s="10" t="s">
        <v>3961</v>
      </c>
      <c r="B1620" s="10" t="s">
        <v>77</v>
      </c>
      <c r="C1620" s="10" t="s">
        <v>48</v>
      </c>
      <c r="D1620" s="10" t="s">
        <v>279</v>
      </c>
      <c r="E1620" s="10" t="s">
        <v>2345</v>
      </c>
      <c r="F1620" s="30" t="n">
        <v>42786</v>
      </c>
      <c r="G1620" s="30" t="n">
        <v>42871</v>
      </c>
      <c r="H1620" s="26" t="n">
        <f aca="false">G1620-F1620</f>
        <v>85</v>
      </c>
      <c r="I1620" s="10" t="n">
        <f aca="false">IF(E1620="Won",1,0)</f>
        <v>0</v>
      </c>
    </row>
    <row r="1621" customFormat="false" ht="15" hidden="false" customHeight="false" outlineLevel="0" collapsed="false">
      <c r="A1621" s="10" t="s">
        <v>3962</v>
      </c>
      <c r="B1621" s="10" t="s">
        <v>74</v>
      </c>
      <c r="C1621" s="10" t="s">
        <v>50</v>
      </c>
      <c r="D1621" s="10" t="s">
        <v>961</v>
      </c>
      <c r="E1621" s="10" t="s">
        <v>2342</v>
      </c>
      <c r="F1621" s="30" t="n">
        <v>42799</v>
      </c>
      <c r="G1621" s="30" t="n">
        <v>42871</v>
      </c>
      <c r="H1621" s="26" t="n">
        <f aca="false">G1621-F1621</f>
        <v>72</v>
      </c>
      <c r="I1621" s="10" t="n">
        <f aca="false">IF(E1621="Won",1,0)</f>
        <v>1</v>
      </c>
    </row>
    <row r="1622" customFormat="false" ht="15" hidden="false" customHeight="false" outlineLevel="0" collapsed="false">
      <c r="A1622" s="10" t="s">
        <v>3963</v>
      </c>
      <c r="B1622" s="10" t="s">
        <v>68</v>
      </c>
      <c r="C1622" s="10" t="s">
        <v>49</v>
      </c>
      <c r="D1622" s="10" t="s">
        <v>606</v>
      </c>
      <c r="E1622" s="10" t="s">
        <v>2345</v>
      </c>
      <c r="F1622" s="30" t="n">
        <v>42865</v>
      </c>
      <c r="G1622" s="30" t="n">
        <v>42871</v>
      </c>
      <c r="H1622" s="26" t="n">
        <f aca="false">G1622-F1622</f>
        <v>6</v>
      </c>
      <c r="I1622" s="10" t="n">
        <f aca="false">IF(E1622="Won",1,0)</f>
        <v>0</v>
      </c>
    </row>
    <row r="1623" customFormat="false" ht="15" hidden="false" customHeight="false" outlineLevel="0" collapsed="false">
      <c r="A1623" s="10" t="s">
        <v>3964</v>
      </c>
      <c r="B1623" s="10" t="s">
        <v>62</v>
      </c>
      <c r="C1623" s="10" t="s">
        <v>48</v>
      </c>
      <c r="D1623" s="10" t="s">
        <v>616</v>
      </c>
      <c r="E1623" s="10" t="s">
        <v>2342</v>
      </c>
      <c r="F1623" s="30" t="n">
        <v>42769</v>
      </c>
      <c r="G1623" s="30" t="n">
        <v>42871</v>
      </c>
      <c r="H1623" s="26" t="n">
        <f aca="false">G1623-F1623</f>
        <v>102</v>
      </c>
      <c r="I1623" s="10" t="n">
        <f aca="false">IF(E1623="Won",1,0)</f>
        <v>1</v>
      </c>
    </row>
    <row r="1624" customFormat="false" ht="15" hidden="false" customHeight="false" outlineLevel="0" collapsed="false">
      <c r="A1624" s="10" t="s">
        <v>3965</v>
      </c>
      <c r="B1624" s="10" t="s">
        <v>76</v>
      </c>
      <c r="C1624" s="10" t="s">
        <v>52</v>
      </c>
      <c r="D1624" s="10" t="s">
        <v>947</v>
      </c>
      <c r="E1624" s="10" t="s">
        <v>2342</v>
      </c>
      <c r="F1624" s="30" t="n">
        <v>42869</v>
      </c>
      <c r="G1624" s="30" t="n">
        <v>42871</v>
      </c>
      <c r="H1624" s="26" t="n">
        <f aca="false">G1624-F1624</f>
        <v>2</v>
      </c>
      <c r="I1624" s="10" t="n">
        <f aca="false">IF(E1624="Won",1,0)</f>
        <v>1</v>
      </c>
    </row>
    <row r="1625" customFormat="false" ht="15" hidden="false" customHeight="false" outlineLevel="0" collapsed="false">
      <c r="A1625" s="10" t="s">
        <v>3966</v>
      </c>
      <c r="B1625" s="10" t="s">
        <v>83</v>
      </c>
      <c r="C1625" s="10" t="s">
        <v>51</v>
      </c>
      <c r="D1625" s="10" t="s">
        <v>321</v>
      </c>
      <c r="E1625" s="10" t="s">
        <v>2342</v>
      </c>
      <c r="F1625" s="30" t="n">
        <v>42856</v>
      </c>
      <c r="G1625" s="30" t="n">
        <v>42871</v>
      </c>
      <c r="H1625" s="26" t="n">
        <f aca="false">G1625-F1625</f>
        <v>15</v>
      </c>
      <c r="I1625" s="10" t="n">
        <f aca="false">IF(E1625="Won",1,0)</f>
        <v>1</v>
      </c>
    </row>
    <row r="1626" customFormat="false" ht="15" hidden="false" customHeight="false" outlineLevel="0" collapsed="false">
      <c r="A1626" s="10" t="s">
        <v>3967</v>
      </c>
      <c r="B1626" s="10" t="s">
        <v>83</v>
      </c>
      <c r="C1626" s="10" t="s">
        <v>51</v>
      </c>
      <c r="D1626" s="10" t="s">
        <v>1948</v>
      </c>
      <c r="E1626" s="10" t="s">
        <v>2345</v>
      </c>
      <c r="F1626" s="30" t="n">
        <v>42770</v>
      </c>
      <c r="G1626" s="30" t="n">
        <v>42871</v>
      </c>
      <c r="H1626" s="26" t="n">
        <f aca="false">G1626-F1626</f>
        <v>101</v>
      </c>
      <c r="I1626" s="10" t="n">
        <f aca="false">IF(E1626="Won",1,0)</f>
        <v>0</v>
      </c>
    </row>
    <row r="1627" customFormat="false" ht="15" hidden="false" customHeight="false" outlineLevel="0" collapsed="false">
      <c r="A1627" s="10" t="s">
        <v>3968</v>
      </c>
      <c r="B1627" s="10" t="s">
        <v>97</v>
      </c>
      <c r="C1627" s="10" t="s">
        <v>47</v>
      </c>
      <c r="D1627" s="10" t="s">
        <v>606</v>
      </c>
      <c r="E1627" s="10" t="s">
        <v>2345</v>
      </c>
      <c r="F1627" s="30" t="n">
        <v>42823</v>
      </c>
      <c r="G1627" s="30" t="n">
        <v>42871</v>
      </c>
      <c r="H1627" s="26" t="n">
        <f aca="false">G1627-F1627</f>
        <v>48</v>
      </c>
      <c r="I1627" s="10" t="n">
        <f aca="false">IF(E1627="Won",1,0)</f>
        <v>0</v>
      </c>
    </row>
    <row r="1628" customFormat="false" ht="15" hidden="false" customHeight="false" outlineLevel="0" collapsed="false">
      <c r="A1628" s="10" t="s">
        <v>3969</v>
      </c>
      <c r="B1628" s="10" t="s">
        <v>90</v>
      </c>
      <c r="C1628" s="10" t="s">
        <v>48</v>
      </c>
      <c r="D1628" s="10" t="s">
        <v>616</v>
      </c>
      <c r="E1628" s="10" t="s">
        <v>2342</v>
      </c>
      <c r="F1628" s="30" t="n">
        <v>42786</v>
      </c>
      <c r="G1628" s="30" t="n">
        <v>42871</v>
      </c>
      <c r="H1628" s="26" t="n">
        <f aca="false">G1628-F1628</f>
        <v>85</v>
      </c>
      <c r="I1628" s="10" t="n">
        <f aca="false">IF(E1628="Won",1,0)</f>
        <v>1</v>
      </c>
    </row>
    <row r="1629" customFormat="false" ht="15" hidden="false" customHeight="false" outlineLevel="0" collapsed="false">
      <c r="A1629" s="10" t="s">
        <v>3970</v>
      </c>
      <c r="B1629" s="10" t="s">
        <v>77</v>
      </c>
      <c r="C1629" s="10" t="s">
        <v>50</v>
      </c>
      <c r="D1629" s="10" t="s">
        <v>414</v>
      </c>
      <c r="E1629" s="10" t="s">
        <v>2342</v>
      </c>
      <c r="F1629" s="30" t="n">
        <v>42759</v>
      </c>
      <c r="G1629" s="30" t="n">
        <v>42872</v>
      </c>
      <c r="H1629" s="26" t="n">
        <f aca="false">G1629-F1629</f>
        <v>113</v>
      </c>
      <c r="I1629" s="10" t="n">
        <f aca="false">IF(E1629="Won",1,0)</f>
        <v>1</v>
      </c>
    </row>
    <row r="1630" customFormat="false" ht="15" hidden="false" customHeight="false" outlineLevel="0" collapsed="false">
      <c r="A1630" s="10" t="s">
        <v>3971</v>
      </c>
      <c r="B1630" s="10" t="s">
        <v>93</v>
      </c>
      <c r="C1630" s="10" t="s">
        <v>50</v>
      </c>
      <c r="D1630" s="10" t="s">
        <v>497</v>
      </c>
      <c r="E1630" s="10" t="s">
        <v>2345</v>
      </c>
      <c r="F1630" s="30" t="n">
        <v>42852</v>
      </c>
      <c r="G1630" s="30" t="n">
        <v>42872</v>
      </c>
      <c r="H1630" s="26" t="n">
        <f aca="false">G1630-F1630</f>
        <v>20</v>
      </c>
      <c r="I1630" s="10" t="n">
        <f aca="false">IF(E1630="Won",1,0)</f>
        <v>0</v>
      </c>
    </row>
    <row r="1631" customFormat="false" ht="15" hidden="false" customHeight="false" outlineLevel="0" collapsed="false">
      <c r="A1631" s="10" t="s">
        <v>3972</v>
      </c>
      <c r="B1631" s="10" t="s">
        <v>90</v>
      </c>
      <c r="C1631" s="10" t="s">
        <v>48</v>
      </c>
      <c r="D1631" s="10" t="s">
        <v>277</v>
      </c>
      <c r="E1631" s="10" t="s">
        <v>2345</v>
      </c>
      <c r="F1631" s="30" t="n">
        <v>42863</v>
      </c>
      <c r="G1631" s="30" t="n">
        <v>42872</v>
      </c>
      <c r="H1631" s="26" t="n">
        <f aca="false">G1631-F1631</f>
        <v>9</v>
      </c>
      <c r="I1631" s="10" t="n">
        <f aca="false">IF(E1631="Won",1,0)</f>
        <v>0</v>
      </c>
    </row>
    <row r="1632" customFormat="false" ht="15" hidden="false" customHeight="false" outlineLevel="0" collapsed="false">
      <c r="A1632" s="10" t="s">
        <v>3973</v>
      </c>
      <c r="B1632" s="10" t="s">
        <v>86</v>
      </c>
      <c r="C1632" s="10" t="s">
        <v>50</v>
      </c>
      <c r="D1632" s="10" t="s">
        <v>185</v>
      </c>
      <c r="E1632" s="10" t="s">
        <v>2342</v>
      </c>
      <c r="F1632" s="30" t="n">
        <v>42863</v>
      </c>
      <c r="G1632" s="30" t="n">
        <v>42872</v>
      </c>
      <c r="H1632" s="26" t="n">
        <f aca="false">G1632-F1632</f>
        <v>9</v>
      </c>
      <c r="I1632" s="10" t="n">
        <f aca="false">IF(E1632="Won",1,0)</f>
        <v>1</v>
      </c>
    </row>
    <row r="1633" customFormat="false" ht="15" hidden="false" customHeight="false" outlineLevel="0" collapsed="false">
      <c r="A1633" s="10" t="s">
        <v>3974</v>
      </c>
      <c r="B1633" s="10" t="s">
        <v>80</v>
      </c>
      <c r="C1633" s="10" t="s">
        <v>50</v>
      </c>
      <c r="D1633" s="10" t="s">
        <v>483</v>
      </c>
      <c r="E1633" s="10" t="s">
        <v>2342</v>
      </c>
      <c r="F1633" s="30" t="n">
        <v>42758</v>
      </c>
      <c r="G1633" s="30" t="n">
        <v>42872</v>
      </c>
      <c r="H1633" s="26" t="n">
        <f aca="false">G1633-F1633</f>
        <v>114</v>
      </c>
      <c r="I1633" s="10" t="n">
        <f aca="false">IF(E1633="Won",1,0)</f>
        <v>1</v>
      </c>
    </row>
    <row r="1634" customFormat="false" ht="15" hidden="false" customHeight="false" outlineLevel="0" collapsed="false">
      <c r="A1634" s="10" t="s">
        <v>3975</v>
      </c>
      <c r="B1634" s="10" t="s">
        <v>80</v>
      </c>
      <c r="C1634" s="10" t="s">
        <v>51</v>
      </c>
      <c r="D1634" s="10" t="s">
        <v>762</v>
      </c>
      <c r="E1634" s="10" t="s">
        <v>2342</v>
      </c>
      <c r="F1634" s="30" t="n">
        <v>42747</v>
      </c>
      <c r="G1634" s="30" t="n">
        <v>42872</v>
      </c>
      <c r="H1634" s="26" t="n">
        <f aca="false">G1634-F1634</f>
        <v>125</v>
      </c>
      <c r="I1634" s="10" t="n">
        <f aca="false">IF(E1634="Won",1,0)</f>
        <v>1</v>
      </c>
    </row>
    <row r="1635" customFormat="false" ht="15" hidden="false" customHeight="false" outlineLevel="0" collapsed="false">
      <c r="A1635" s="10" t="s">
        <v>3976</v>
      </c>
      <c r="B1635" s="10" t="s">
        <v>90</v>
      </c>
      <c r="C1635" s="10" t="s">
        <v>50</v>
      </c>
      <c r="D1635" s="10" t="s">
        <v>286</v>
      </c>
      <c r="E1635" s="10" t="s">
        <v>2342</v>
      </c>
      <c r="F1635" s="30" t="n">
        <v>42857</v>
      </c>
      <c r="G1635" s="30" t="n">
        <v>42872</v>
      </c>
      <c r="H1635" s="26" t="n">
        <f aca="false">G1635-F1635</f>
        <v>15</v>
      </c>
      <c r="I1635" s="10" t="n">
        <f aca="false">IF(E1635="Won",1,0)</f>
        <v>1</v>
      </c>
    </row>
    <row r="1636" customFormat="false" ht="15" hidden="false" customHeight="false" outlineLevel="0" collapsed="false">
      <c r="A1636" s="10" t="s">
        <v>3977</v>
      </c>
      <c r="B1636" s="10" t="s">
        <v>70</v>
      </c>
      <c r="C1636" s="10" t="s">
        <v>48</v>
      </c>
      <c r="D1636" s="10" t="s">
        <v>396</v>
      </c>
      <c r="E1636" s="10" t="s">
        <v>2345</v>
      </c>
      <c r="F1636" s="30" t="n">
        <v>42857</v>
      </c>
      <c r="G1636" s="30" t="n">
        <v>42872</v>
      </c>
      <c r="H1636" s="26" t="n">
        <f aca="false">G1636-F1636</f>
        <v>15</v>
      </c>
      <c r="I1636" s="10" t="n">
        <f aca="false">IF(E1636="Won",1,0)</f>
        <v>0</v>
      </c>
    </row>
    <row r="1637" customFormat="false" ht="15" hidden="false" customHeight="false" outlineLevel="0" collapsed="false">
      <c r="A1637" s="10" t="s">
        <v>3978</v>
      </c>
      <c r="B1637" s="10" t="s">
        <v>70</v>
      </c>
      <c r="C1637" s="10" t="s">
        <v>48</v>
      </c>
      <c r="D1637" s="10" t="s">
        <v>437</v>
      </c>
      <c r="E1637" s="10" t="s">
        <v>2342</v>
      </c>
      <c r="F1637" s="30" t="n">
        <v>42852</v>
      </c>
      <c r="G1637" s="30" t="n">
        <v>42872</v>
      </c>
      <c r="H1637" s="26" t="n">
        <f aca="false">G1637-F1637</f>
        <v>20</v>
      </c>
      <c r="I1637" s="10" t="n">
        <f aca="false">IF(E1637="Won",1,0)</f>
        <v>1</v>
      </c>
    </row>
    <row r="1638" customFormat="false" ht="15" hidden="false" customHeight="false" outlineLevel="0" collapsed="false">
      <c r="A1638" s="10" t="s">
        <v>3979</v>
      </c>
      <c r="B1638" s="10" t="s">
        <v>88</v>
      </c>
      <c r="C1638" s="10" t="s">
        <v>47</v>
      </c>
      <c r="D1638" s="10" t="s">
        <v>1118</v>
      </c>
      <c r="E1638" s="10" t="s">
        <v>2345</v>
      </c>
      <c r="F1638" s="30" t="n">
        <v>42865</v>
      </c>
      <c r="G1638" s="30" t="n">
        <v>42872</v>
      </c>
      <c r="H1638" s="26" t="n">
        <f aca="false">G1638-F1638</f>
        <v>7</v>
      </c>
      <c r="I1638" s="10" t="n">
        <f aca="false">IF(E1638="Won",1,0)</f>
        <v>0</v>
      </c>
    </row>
    <row r="1639" customFormat="false" ht="15" hidden="false" customHeight="false" outlineLevel="0" collapsed="false">
      <c r="A1639" s="10" t="s">
        <v>3980</v>
      </c>
      <c r="B1639" s="10" t="s">
        <v>90</v>
      </c>
      <c r="C1639" s="10" t="s">
        <v>47</v>
      </c>
      <c r="D1639" s="10" t="s">
        <v>215</v>
      </c>
      <c r="E1639" s="10" t="s">
        <v>2342</v>
      </c>
      <c r="F1639" s="30" t="n">
        <v>42864</v>
      </c>
      <c r="G1639" s="30" t="n">
        <v>42872</v>
      </c>
      <c r="H1639" s="26" t="n">
        <f aca="false">G1639-F1639</f>
        <v>8</v>
      </c>
      <c r="I1639" s="10" t="n">
        <f aca="false">IF(E1639="Won",1,0)</f>
        <v>1</v>
      </c>
    </row>
    <row r="1640" customFormat="false" ht="15" hidden="false" customHeight="false" outlineLevel="0" collapsed="false">
      <c r="A1640" s="10" t="s">
        <v>3981</v>
      </c>
      <c r="B1640" s="10" t="s">
        <v>88</v>
      </c>
      <c r="C1640" s="10" t="s">
        <v>49</v>
      </c>
      <c r="D1640" s="10" t="s">
        <v>692</v>
      </c>
      <c r="E1640" s="10" t="s">
        <v>2345</v>
      </c>
      <c r="F1640" s="30" t="n">
        <v>42868</v>
      </c>
      <c r="G1640" s="30" t="n">
        <v>42872</v>
      </c>
      <c r="H1640" s="26" t="n">
        <f aca="false">G1640-F1640</f>
        <v>4</v>
      </c>
      <c r="I1640" s="10" t="n">
        <f aca="false">IF(E1640="Won",1,0)</f>
        <v>0</v>
      </c>
    </row>
    <row r="1641" customFormat="false" ht="15" hidden="false" customHeight="false" outlineLevel="0" collapsed="false">
      <c r="A1641" s="10" t="s">
        <v>3982</v>
      </c>
      <c r="B1641" s="10" t="s">
        <v>74</v>
      </c>
      <c r="C1641" s="10" t="s">
        <v>51</v>
      </c>
      <c r="D1641" s="10" t="s">
        <v>193</v>
      </c>
      <c r="E1641" s="10" t="s">
        <v>2345</v>
      </c>
      <c r="F1641" s="30" t="n">
        <v>42854</v>
      </c>
      <c r="G1641" s="30" t="n">
        <v>42872</v>
      </c>
      <c r="H1641" s="26" t="n">
        <f aca="false">G1641-F1641</f>
        <v>18</v>
      </c>
      <c r="I1641" s="10" t="n">
        <f aca="false">IF(E1641="Won",1,0)</f>
        <v>0</v>
      </c>
    </row>
    <row r="1642" customFormat="false" ht="15" hidden="false" customHeight="false" outlineLevel="0" collapsed="false">
      <c r="A1642" s="10" t="s">
        <v>3983</v>
      </c>
      <c r="B1642" s="10" t="s">
        <v>77</v>
      </c>
      <c r="C1642" s="10" t="s">
        <v>49</v>
      </c>
      <c r="D1642" s="10" t="s">
        <v>762</v>
      </c>
      <c r="E1642" s="10" t="s">
        <v>2345</v>
      </c>
      <c r="F1642" s="30" t="n">
        <v>42824</v>
      </c>
      <c r="G1642" s="30" t="n">
        <v>42872</v>
      </c>
      <c r="H1642" s="26" t="n">
        <f aca="false">G1642-F1642</f>
        <v>48</v>
      </c>
      <c r="I1642" s="10" t="n">
        <f aca="false">IF(E1642="Won",1,0)</f>
        <v>0</v>
      </c>
    </row>
    <row r="1643" customFormat="false" ht="15" hidden="false" customHeight="false" outlineLevel="0" collapsed="false">
      <c r="A1643" s="10" t="s">
        <v>3984</v>
      </c>
      <c r="B1643" s="10" t="s">
        <v>76</v>
      </c>
      <c r="C1643" s="10" t="s">
        <v>47</v>
      </c>
      <c r="D1643" s="10" t="s">
        <v>947</v>
      </c>
      <c r="E1643" s="10" t="s">
        <v>2342</v>
      </c>
      <c r="F1643" s="30" t="n">
        <v>42791</v>
      </c>
      <c r="G1643" s="30" t="n">
        <v>42872</v>
      </c>
      <c r="H1643" s="26" t="n">
        <f aca="false">G1643-F1643</f>
        <v>81</v>
      </c>
      <c r="I1643" s="10" t="n">
        <f aca="false">IF(E1643="Won",1,0)</f>
        <v>1</v>
      </c>
    </row>
    <row r="1644" customFormat="false" ht="15" hidden="false" customHeight="false" outlineLevel="0" collapsed="false">
      <c r="A1644" s="10" t="s">
        <v>3985</v>
      </c>
      <c r="B1644" s="10" t="s">
        <v>86</v>
      </c>
      <c r="C1644" s="10" t="s">
        <v>48</v>
      </c>
      <c r="D1644" s="10" t="s">
        <v>274</v>
      </c>
      <c r="E1644" s="10" t="s">
        <v>2342</v>
      </c>
      <c r="F1644" s="30" t="n">
        <v>42810</v>
      </c>
      <c r="G1644" s="30" t="n">
        <v>42872</v>
      </c>
      <c r="H1644" s="26" t="n">
        <f aca="false">G1644-F1644</f>
        <v>62</v>
      </c>
      <c r="I1644" s="10" t="n">
        <f aca="false">IF(E1644="Won",1,0)</f>
        <v>1</v>
      </c>
    </row>
    <row r="1645" customFormat="false" ht="15" hidden="false" customHeight="false" outlineLevel="0" collapsed="false">
      <c r="A1645" s="10" t="s">
        <v>3986</v>
      </c>
      <c r="B1645" s="10" t="s">
        <v>70</v>
      </c>
      <c r="C1645" s="10" t="s">
        <v>50</v>
      </c>
      <c r="D1645" s="10" t="s">
        <v>514</v>
      </c>
      <c r="E1645" s="10" t="s">
        <v>2345</v>
      </c>
      <c r="F1645" s="30" t="n">
        <v>42781</v>
      </c>
      <c r="G1645" s="30" t="n">
        <v>42872</v>
      </c>
      <c r="H1645" s="26" t="n">
        <f aca="false">G1645-F1645</f>
        <v>91</v>
      </c>
      <c r="I1645" s="10" t="n">
        <f aca="false">IF(E1645="Won",1,0)</f>
        <v>0</v>
      </c>
    </row>
    <row r="1646" customFormat="false" ht="15" hidden="false" customHeight="false" outlineLevel="0" collapsed="false">
      <c r="A1646" s="10" t="s">
        <v>3987</v>
      </c>
      <c r="B1646" s="10" t="s">
        <v>62</v>
      </c>
      <c r="C1646" s="10" t="s">
        <v>49</v>
      </c>
      <c r="D1646" s="10" t="s">
        <v>350</v>
      </c>
      <c r="E1646" s="10" t="s">
        <v>2342</v>
      </c>
      <c r="F1646" s="30" t="n">
        <v>42869</v>
      </c>
      <c r="G1646" s="30" t="n">
        <v>42872</v>
      </c>
      <c r="H1646" s="26" t="n">
        <f aca="false">G1646-F1646</f>
        <v>3</v>
      </c>
      <c r="I1646" s="10" t="n">
        <f aca="false">IF(E1646="Won",1,0)</f>
        <v>1</v>
      </c>
    </row>
    <row r="1647" customFormat="false" ht="15" hidden="false" customHeight="false" outlineLevel="0" collapsed="false">
      <c r="A1647" s="10" t="s">
        <v>3988</v>
      </c>
      <c r="B1647" s="10" t="s">
        <v>81</v>
      </c>
      <c r="C1647" s="10" t="s">
        <v>51</v>
      </c>
      <c r="D1647" s="10" t="s">
        <v>697</v>
      </c>
      <c r="E1647" s="10" t="s">
        <v>2345</v>
      </c>
      <c r="F1647" s="30" t="n">
        <v>42808</v>
      </c>
      <c r="G1647" s="30" t="n">
        <v>42872</v>
      </c>
      <c r="H1647" s="26" t="n">
        <f aca="false">G1647-F1647</f>
        <v>64</v>
      </c>
      <c r="I1647" s="10" t="n">
        <f aca="false">IF(E1647="Won",1,0)</f>
        <v>0</v>
      </c>
    </row>
    <row r="1648" customFormat="false" ht="15" hidden="false" customHeight="false" outlineLevel="0" collapsed="false">
      <c r="A1648" s="10" t="s">
        <v>3989</v>
      </c>
      <c r="B1648" s="10" t="s">
        <v>83</v>
      </c>
      <c r="C1648" s="10" t="s">
        <v>48</v>
      </c>
      <c r="D1648" s="10" t="s">
        <v>762</v>
      </c>
      <c r="E1648" s="10" t="s">
        <v>2345</v>
      </c>
      <c r="F1648" s="30" t="n">
        <v>42782</v>
      </c>
      <c r="G1648" s="30" t="n">
        <v>42872</v>
      </c>
      <c r="H1648" s="26" t="n">
        <f aca="false">G1648-F1648</f>
        <v>90</v>
      </c>
      <c r="I1648" s="10" t="n">
        <f aca="false">IF(E1648="Won",1,0)</f>
        <v>0</v>
      </c>
    </row>
    <row r="1649" customFormat="false" ht="15" hidden="false" customHeight="false" outlineLevel="0" collapsed="false">
      <c r="A1649" s="10" t="s">
        <v>3990</v>
      </c>
      <c r="B1649" s="10" t="s">
        <v>95</v>
      </c>
      <c r="C1649" s="10" t="s">
        <v>51</v>
      </c>
      <c r="D1649" s="10" t="s">
        <v>711</v>
      </c>
      <c r="E1649" s="10" t="s">
        <v>2342</v>
      </c>
      <c r="F1649" s="30" t="n">
        <v>42770</v>
      </c>
      <c r="G1649" s="30" t="n">
        <v>42872</v>
      </c>
      <c r="H1649" s="26" t="n">
        <f aca="false">G1649-F1649</f>
        <v>102</v>
      </c>
      <c r="I1649" s="10" t="n">
        <f aca="false">IF(E1649="Won",1,0)</f>
        <v>1</v>
      </c>
    </row>
    <row r="1650" customFormat="false" ht="15" hidden="false" customHeight="false" outlineLevel="0" collapsed="false">
      <c r="A1650" s="10" t="s">
        <v>3991</v>
      </c>
      <c r="B1650" s="10" t="s">
        <v>86</v>
      </c>
      <c r="C1650" s="10" t="s">
        <v>51</v>
      </c>
      <c r="D1650" s="10" t="s">
        <v>455</v>
      </c>
      <c r="E1650" s="10" t="s">
        <v>2342</v>
      </c>
      <c r="F1650" s="30" t="n">
        <v>42811</v>
      </c>
      <c r="G1650" s="30" t="n">
        <v>42872</v>
      </c>
      <c r="H1650" s="26" t="n">
        <f aca="false">G1650-F1650</f>
        <v>61</v>
      </c>
      <c r="I1650" s="10" t="n">
        <f aca="false">IF(E1650="Won",1,0)</f>
        <v>1</v>
      </c>
    </row>
    <row r="1651" customFormat="false" ht="15" hidden="false" customHeight="false" outlineLevel="0" collapsed="false">
      <c r="A1651" s="10" t="s">
        <v>3992</v>
      </c>
      <c r="B1651" s="10" t="s">
        <v>76</v>
      </c>
      <c r="C1651" s="10" t="s">
        <v>52</v>
      </c>
      <c r="D1651" s="10" t="s">
        <v>321</v>
      </c>
      <c r="E1651" s="10" t="s">
        <v>2342</v>
      </c>
      <c r="F1651" s="30" t="n">
        <v>42825</v>
      </c>
      <c r="G1651" s="30" t="n">
        <v>42872</v>
      </c>
      <c r="H1651" s="26" t="n">
        <f aca="false">G1651-F1651</f>
        <v>47</v>
      </c>
      <c r="I1651" s="10" t="n">
        <f aca="false">IF(E1651="Won",1,0)</f>
        <v>1</v>
      </c>
    </row>
    <row r="1652" customFormat="false" ht="15" hidden="false" customHeight="false" outlineLevel="0" collapsed="false">
      <c r="A1652" s="10" t="s">
        <v>3993</v>
      </c>
      <c r="B1652" s="10" t="s">
        <v>61</v>
      </c>
      <c r="C1652" s="10" t="s">
        <v>51</v>
      </c>
      <c r="D1652" s="10" t="s">
        <v>215</v>
      </c>
      <c r="E1652" s="10" t="s">
        <v>2342</v>
      </c>
      <c r="F1652" s="30" t="n">
        <v>42868</v>
      </c>
      <c r="G1652" s="30" t="n">
        <v>42872</v>
      </c>
      <c r="H1652" s="26" t="n">
        <f aca="false">G1652-F1652</f>
        <v>4</v>
      </c>
      <c r="I1652" s="10" t="n">
        <f aca="false">IF(E1652="Won",1,0)</f>
        <v>1</v>
      </c>
    </row>
    <row r="1653" customFormat="false" ht="15" hidden="false" customHeight="false" outlineLevel="0" collapsed="false">
      <c r="A1653" s="10" t="s">
        <v>3994</v>
      </c>
      <c r="B1653" s="10" t="s">
        <v>69</v>
      </c>
      <c r="C1653" s="10" t="s">
        <v>52</v>
      </c>
      <c r="D1653" s="10" t="s">
        <v>424</v>
      </c>
      <c r="E1653" s="10" t="s">
        <v>2345</v>
      </c>
      <c r="F1653" s="30" t="n">
        <v>42810</v>
      </c>
      <c r="G1653" s="30" t="n">
        <v>42872</v>
      </c>
      <c r="H1653" s="26" t="n">
        <f aca="false">G1653-F1653</f>
        <v>62</v>
      </c>
      <c r="I1653" s="10" t="n">
        <f aca="false">IF(E1653="Won",1,0)</f>
        <v>0</v>
      </c>
    </row>
    <row r="1654" customFormat="false" ht="15" hidden="false" customHeight="false" outlineLevel="0" collapsed="false">
      <c r="A1654" s="10" t="s">
        <v>3995</v>
      </c>
      <c r="B1654" s="10" t="s">
        <v>87</v>
      </c>
      <c r="C1654" s="10" t="s">
        <v>47</v>
      </c>
      <c r="D1654" s="10" t="s">
        <v>427</v>
      </c>
      <c r="E1654" s="10" t="s">
        <v>2345</v>
      </c>
      <c r="F1654" s="30" t="n">
        <v>42788</v>
      </c>
      <c r="G1654" s="30" t="n">
        <v>42872</v>
      </c>
      <c r="H1654" s="26" t="n">
        <f aca="false">G1654-F1654</f>
        <v>84</v>
      </c>
      <c r="I1654" s="10" t="n">
        <f aca="false">IF(E1654="Won",1,0)</f>
        <v>0</v>
      </c>
    </row>
    <row r="1655" customFormat="false" ht="15" hidden="false" customHeight="false" outlineLevel="0" collapsed="false">
      <c r="A1655" s="10" t="s">
        <v>3996</v>
      </c>
      <c r="B1655" s="10" t="s">
        <v>67</v>
      </c>
      <c r="C1655" s="10" t="s">
        <v>47</v>
      </c>
      <c r="D1655" s="10" t="s">
        <v>606</v>
      </c>
      <c r="E1655" s="10" t="s">
        <v>2342</v>
      </c>
      <c r="F1655" s="30" t="n">
        <v>42868</v>
      </c>
      <c r="G1655" s="30" t="n">
        <v>42872</v>
      </c>
      <c r="H1655" s="26" t="n">
        <f aca="false">G1655-F1655</f>
        <v>4</v>
      </c>
      <c r="I1655" s="10" t="n">
        <f aca="false">IF(E1655="Won",1,0)</f>
        <v>1</v>
      </c>
    </row>
    <row r="1656" customFormat="false" ht="15" hidden="false" customHeight="false" outlineLevel="0" collapsed="false">
      <c r="A1656" s="10" t="s">
        <v>3997</v>
      </c>
      <c r="B1656" s="10" t="s">
        <v>68</v>
      </c>
      <c r="C1656" s="10" t="s">
        <v>51</v>
      </c>
      <c r="D1656" s="10" t="s">
        <v>606</v>
      </c>
      <c r="E1656" s="10" t="s">
        <v>2345</v>
      </c>
      <c r="F1656" s="30" t="n">
        <v>42802</v>
      </c>
      <c r="G1656" s="30" t="n">
        <v>42872</v>
      </c>
      <c r="H1656" s="26" t="n">
        <f aca="false">G1656-F1656</f>
        <v>70</v>
      </c>
      <c r="I1656" s="10" t="n">
        <f aca="false">IF(E1656="Won",1,0)</f>
        <v>0</v>
      </c>
    </row>
    <row r="1657" customFormat="false" ht="15" hidden="false" customHeight="false" outlineLevel="0" collapsed="false">
      <c r="A1657" s="10" t="s">
        <v>3998</v>
      </c>
      <c r="B1657" s="10" t="s">
        <v>74</v>
      </c>
      <c r="C1657" s="10" t="s">
        <v>51</v>
      </c>
      <c r="D1657" s="10" t="s">
        <v>961</v>
      </c>
      <c r="E1657" s="10" t="s">
        <v>2345</v>
      </c>
      <c r="F1657" s="30" t="n">
        <v>42861</v>
      </c>
      <c r="G1657" s="30" t="n">
        <v>42873</v>
      </c>
      <c r="H1657" s="26" t="n">
        <f aca="false">G1657-F1657</f>
        <v>12</v>
      </c>
      <c r="I1657" s="10" t="n">
        <f aca="false">IF(E1657="Won",1,0)</f>
        <v>0</v>
      </c>
    </row>
    <row r="1658" customFormat="false" ht="15" hidden="false" customHeight="false" outlineLevel="0" collapsed="false">
      <c r="A1658" s="10" t="s">
        <v>3999</v>
      </c>
      <c r="B1658" s="10" t="s">
        <v>60</v>
      </c>
      <c r="C1658" s="10" t="s">
        <v>47</v>
      </c>
      <c r="D1658" s="10" t="s">
        <v>293</v>
      </c>
      <c r="E1658" s="10" t="s">
        <v>2342</v>
      </c>
      <c r="F1658" s="30" t="n">
        <v>42779</v>
      </c>
      <c r="G1658" s="30" t="n">
        <v>42873</v>
      </c>
      <c r="H1658" s="26" t="n">
        <f aca="false">G1658-F1658</f>
        <v>94</v>
      </c>
      <c r="I1658" s="10" t="n">
        <f aca="false">IF(E1658="Won",1,0)</f>
        <v>1</v>
      </c>
    </row>
    <row r="1659" customFormat="false" ht="15" hidden="false" customHeight="false" outlineLevel="0" collapsed="false">
      <c r="A1659" s="10" t="s">
        <v>4000</v>
      </c>
      <c r="B1659" s="10" t="s">
        <v>71</v>
      </c>
      <c r="C1659" s="10" t="s">
        <v>51</v>
      </c>
      <c r="D1659" s="10" t="s">
        <v>410</v>
      </c>
      <c r="E1659" s="10" t="s">
        <v>2345</v>
      </c>
      <c r="F1659" s="30" t="n">
        <v>42818</v>
      </c>
      <c r="G1659" s="30" t="n">
        <v>42873</v>
      </c>
      <c r="H1659" s="26" t="n">
        <f aca="false">G1659-F1659</f>
        <v>55</v>
      </c>
      <c r="I1659" s="10" t="n">
        <f aca="false">IF(E1659="Won",1,0)</f>
        <v>0</v>
      </c>
    </row>
    <row r="1660" customFormat="false" ht="15" hidden="false" customHeight="false" outlineLevel="0" collapsed="false">
      <c r="A1660" s="10" t="s">
        <v>4001</v>
      </c>
      <c r="B1660" s="10" t="s">
        <v>70</v>
      </c>
      <c r="C1660" s="10" t="s">
        <v>47</v>
      </c>
      <c r="D1660" s="10" t="s">
        <v>172</v>
      </c>
      <c r="E1660" s="10" t="s">
        <v>2345</v>
      </c>
      <c r="F1660" s="30" t="n">
        <v>42767</v>
      </c>
      <c r="G1660" s="30" t="n">
        <v>42873</v>
      </c>
      <c r="H1660" s="26" t="n">
        <f aca="false">G1660-F1660</f>
        <v>106</v>
      </c>
      <c r="I1660" s="10" t="n">
        <f aca="false">IF(E1660="Won",1,0)</f>
        <v>0</v>
      </c>
    </row>
    <row r="1661" customFormat="false" ht="15" hidden="false" customHeight="false" outlineLevel="0" collapsed="false">
      <c r="A1661" s="10" t="s">
        <v>4002</v>
      </c>
      <c r="B1661" s="10" t="s">
        <v>61</v>
      </c>
      <c r="C1661" s="10" t="s">
        <v>52</v>
      </c>
      <c r="D1661" s="10" t="s">
        <v>1118</v>
      </c>
      <c r="E1661" s="10" t="s">
        <v>2345</v>
      </c>
      <c r="F1661" s="30" t="n">
        <v>42806</v>
      </c>
      <c r="G1661" s="30" t="n">
        <v>42873</v>
      </c>
      <c r="H1661" s="26" t="n">
        <f aca="false">G1661-F1661</f>
        <v>67</v>
      </c>
      <c r="I1661" s="10" t="n">
        <f aca="false">IF(E1661="Won",1,0)</f>
        <v>0</v>
      </c>
    </row>
    <row r="1662" customFormat="false" ht="15" hidden="false" customHeight="false" outlineLevel="0" collapsed="false">
      <c r="A1662" s="10" t="s">
        <v>4003</v>
      </c>
      <c r="B1662" s="10" t="s">
        <v>84</v>
      </c>
      <c r="C1662" s="10" t="s">
        <v>51</v>
      </c>
      <c r="D1662" s="10" t="s">
        <v>233</v>
      </c>
      <c r="E1662" s="10" t="s">
        <v>2342</v>
      </c>
      <c r="F1662" s="30" t="n">
        <v>42800</v>
      </c>
      <c r="G1662" s="30" t="n">
        <v>42873</v>
      </c>
      <c r="H1662" s="26" t="n">
        <f aca="false">G1662-F1662</f>
        <v>73</v>
      </c>
      <c r="I1662" s="10" t="n">
        <f aca="false">IF(E1662="Won",1,0)</f>
        <v>1</v>
      </c>
    </row>
    <row r="1663" customFormat="false" ht="15" hidden="false" customHeight="false" outlineLevel="0" collapsed="false">
      <c r="A1663" s="10" t="s">
        <v>4004</v>
      </c>
      <c r="B1663" s="10" t="s">
        <v>62</v>
      </c>
      <c r="C1663" s="10" t="s">
        <v>51</v>
      </c>
      <c r="D1663" s="10" t="s">
        <v>1334</v>
      </c>
      <c r="E1663" s="10" t="s">
        <v>2342</v>
      </c>
      <c r="F1663" s="30" t="n">
        <v>42779</v>
      </c>
      <c r="G1663" s="30" t="n">
        <v>42873</v>
      </c>
      <c r="H1663" s="26" t="n">
        <f aca="false">G1663-F1663</f>
        <v>94</v>
      </c>
      <c r="I1663" s="10" t="n">
        <f aca="false">IF(E1663="Won",1,0)</f>
        <v>1</v>
      </c>
    </row>
    <row r="1664" customFormat="false" ht="15" hidden="false" customHeight="false" outlineLevel="0" collapsed="false">
      <c r="A1664" s="10" t="s">
        <v>4005</v>
      </c>
      <c r="B1664" s="10" t="s">
        <v>61</v>
      </c>
      <c r="C1664" s="10" t="s">
        <v>52</v>
      </c>
      <c r="D1664" s="10" t="s">
        <v>277</v>
      </c>
      <c r="E1664" s="10" t="s">
        <v>2345</v>
      </c>
      <c r="F1664" s="30" t="n">
        <v>42792</v>
      </c>
      <c r="G1664" s="30" t="n">
        <v>42873</v>
      </c>
      <c r="H1664" s="26" t="n">
        <f aca="false">G1664-F1664</f>
        <v>81</v>
      </c>
      <c r="I1664" s="10" t="n">
        <f aca="false">IF(E1664="Won",1,0)</f>
        <v>0</v>
      </c>
    </row>
    <row r="1665" customFormat="false" ht="15" hidden="false" customHeight="false" outlineLevel="0" collapsed="false">
      <c r="A1665" s="10" t="s">
        <v>4006</v>
      </c>
      <c r="B1665" s="10" t="s">
        <v>69</v>
      </c>
      <c r="C1665" s="10" t="s">
        <v>49</v>
      </c>
      <c r="D1665" s="10" t="s">
        <v>227</v>
      </c>
      <c r="E1665" s="10" t="s">
        <v>2342</v>
      </c>
      <c r="F1665" s="30" t="n">
        <v>42869</v>
      </c>
      <c r="G1665" s="30" t="n">
        <v>42873</v>
      </c>
      <c r="H1665" s="26" t="n">
        <f aca="false">G1665-F1665</f>
        <v>4</v>
      </c>
      <c r="I1665" s="10" t="n">
        <f aca="false">IF(E1665="Won",1,0)</f>
        <v>1</v>
      </c>
    </row>
    <row r="1666" customFormat="false" ht="15" hidden="false" customHeight="false" outlineLevel="0" collapsed="false">
      <c r="A1666" s="10" t="s">
        <v>4007</v>
      </c>
      <c r="B1666" s="10" t="s">
        <v>87</v>
      </c>
      <c r="C1666" s="10" t="s">
        <v>50</v>
      </c>
      <c r="D1666" s="10" t="s">
        <v>464</v>
      </c>
      <c r="E1666" s="10" t="s">
        <v>2345</v>
      </c>
      <c r="F1666" s="30" t="n">
        <v>42770</v>
      </c>
      <c r="G1666" s="30" t="n">
        <v>42873</v>
      </c>
      <c r="H1666" s="26" t="n">
        <f aca="false">G1666-F1666</f>
        <v>103</v>
      </c>
      <c r="I1666" s="10" t="n">
        <f aca="false">IF(E1666="Won",1,0)</f>
        <v>0</v>
      </c>
    </row>
    <row r="1667" customFormat="false" ht="15" hidden="false" customHeight="false" outlineLevel="0" collapsed="false">
      <c r="A1667" s="10" t="s">
        <v>4008</v>
      </c>
      <c r="B1667" s="10" t="s">
        <v>80</v>
      </c>
      <c r="C1667" s="10" t="s">
        <v>48</v>
      </c>
      <c r="D1667" s="10" t="s">
        <v>697</v>
      </c>
      <c r="E1667" s="10" t="s">
        <v>2345</v>
      </c>
      <c r="F1667" s="30" t="n">
        <v>42861</v>
      </c>
      <c r="G1667" s="30" t="n">
        <v>42873</v>
      </c>
      <c r="H1667" s="26" t="n">
        <f aca="false">G1667-F1667</f>
        <v>12</v>
      </c>
      <c r="I1667" s="10" t="n">
        <f aca="false">IF(E1667="Won",1,0)</f>
        <v>0</v>
      </c>
    </row>
    <row r="1668" customFormat="false" ht="15" hidden="false" customHeight="false" outlineLevel="0" collapsed="false">
      <c r="A1668" s="10" t="s">
        <v>4009</v>
      </c>
      <c r="B1668" s="10" t="s">
        <v>63</v>
      </c>
      <c r="C1668" s="10" t="s">
        <v>49</v>
      </c>
      <c r="D1668" s="10" t="s">
        <v>274</v>
      </c>
      <c r="E1668" s="10" t="s">
        <v>2342</v>
      </c>
      <c r="F1668" s="30" t="n">
        <v>42812</v>
      </c>
      <c r="G1668" s="30" t="n">
        <v>42873</v>
      </c>
      <c r="H1668" s="26" t="n">
        <f aca="false">G1668-F1668</f>
        <v>61</v>
      </c>
      <c r="I1668" s="10" t="n">
        <f aca="false">IF(E1668="Won",1,0)</f>
        <v>1</v>
      </c>
    </row>
    <row r="1669" customFormat="false" ht="15" hidden="false" customHeight="false" outlineLevel="0" collapsed="false">
      <c r="A1669" s="10" t="s">
        <v>4010</v>
      </c>
      <c r="B1669" s="10" t="s">
        <v>97</v>
      </c>
      <c r="C1669" s="10" t="s">
        <v>47</v>
      </c>
      <c r="D1669" s="10" t="s">
        <v>233</v>
      </c>
      <c r="E1669" s="10" t="s">
        <v>2342</v>
      </c>
      <c r="F1669" s="30" t="n">
        <v>42803</v>
      </c>
      <c r="G1669" s="30" t="n">
        <v>42873</v>
      </c>
      <c r="H1669" s="26" t="n">
        <f aca="false">G1669-F1669</f>
        <v>70</v>
      </c>
      <c r="I1669" s="10" t="n">
        <f aca="false">IF(E1669="Won",1,0)</f>
        <v>1</v>
      </c>
    </row>
    <row r="1670" customFormat="false" ht="15" hidden="false" customHeight="false" outlineLevel="0" collapsed="false">
      <c r="A1670" s="10" t="s">
        <v>4011</v>
      </c>
      <c r="B1670" s="10" t="s">
        <v>69</v>
      </c>
      <c r="C1670" s="10" t="s">
        <v>48</v>
      </c>
      <c r="D1670" s="10" t="s">
        <v>514</v>
      </c>
      <c r="E1670" s="10" t="s">
        <v>2345</v>
      </c>
      <c r="F1670" s="30" t="n">
        <v>42814</v>
      </c>
      <c r="G1670" s="30" t="n">
        <v>42873</v>
      </c>
      <c r="H1670" s="26" t="n">
        <f aca="false">G1670-F1670</f>
        <v>59</v>
      </c>
      <c r="I1670" s="10" t="n">
        <f aca="false">IF(E1670="Won",1,0)</f>
        <v>0</v>
      </c>
    </row>
    <row r="1671" customFormat="false" ht="15" hidden="false" customHeight="false" outlineLevel="0" collapsed="false">
      <c r="A1671" s="10" t="s">
        <v>4012</v>
      </c>
      <c r="B1671" s="10" t="s">
        <v>71</v>
      </c>
      <c r="C1671" s="10" t="s">
        <v>47</v>
      </c>
      <c r="D1671" s="10" t="s">
        <v>210</v>
      </c>
      <c r="E1671" s="10" t="s">
        <v>2345</v>
      </c>
      <c r="F1671" s="30" t="n">
        <v>42856</v>
      </c>
      <c r="G1671" s="30" t="n">
        <v>42873</v>
      </c>
      <c r="H1671" s="26" t="n">
        <f aca="false">G1671-F1671</f>
        <v>17</v>
      </c>
      <c r="I1671" s="10" t="n">
        <f aca="false">IF(E1671="Won",1,0)</f>
        <v>0</v>
      </c>
    </row>
    <row r="1672" customFormat="false" ht="15" hidden="false" customHeight="false" outlineLevel="0" collapsed="false">
      <c r="A1672" s="10" t="s">
        <v>4013</v>
      </c>
      <c r="B1672" s="10" t="s">
        <v>60</v>
      </c>
      <c r="C1672" s="10" t="s">
        <v>49</v>
      </c>
      <c r="D1672" s="10" t="s">
        <v>427</v>
      </c>
      <c r="E1672" s="10" t="s">
        <v>2342</v>
      </c>
      <c r="F1672" s="30" t="n">
        <v>42811</v>
      </c>
      <c r="G1672" s="30" t="n">
        <v>42873</v>
      </c>
      <c r="H1672" s="26" t="n">
        <f aca="false">G1672-F1672</f>
        <v>62</v>
      </c>
      <c r="I1672" s="10" t="n">
        <f aca="false">IF(E1672="Won",1,0)</f>
        <v>1</v>
      </c>
    </row>
    <row r="1673" customFormat="false" ht="15" hidden="false" customHeight="false" outlineLevel="0" collapsed="false">
      <c r="A1673" s="10" t="s">
        <v>4014</v>
      </c>
      <c r="B1673" s="10" t="s">
        <v>76</v>
      </c>
      <c r="C1673" s="10" t="s">
        <v>52</v>
      </c>
      <c r="D1673" s="10" t="s">
        <v>512</v>
      </c>
      <c r="E1673" s="10" t="s">
        <v>2342</v>
      </c>
      <c r="F1673" s="30" t="n">
        <v>42794</v>
      </c>
      <c r="G1673" s="30" t="n">
        <v>42873</v>
      </c>
      <c r="H1673" s="26" t="n">
        <f aca="false">G1673-F1673</f>
        <v>79</v>
      </c>
      <c r="I1673" s="10" t="n">
        <f aca="false">IF(E1673="Won",1,0)</f>
        <v>1</v>
      </c>
    </row>
    <row r="1674" customFormat="false" ht="15" hidden="false" customHeight="false" outlineLevel="0" collapsed="false">
      <c r="A1674" s="10" t="s">
        <v>4015</v>
      </c>
      <c r="B1674" s="10" t="s">
        <v>93</v>
      </c>
      <c r="C1674" s="10" t="s">
        <v>50</v>
      </c>
      <c r="D1674" s="10" t="s">
        <v>227</v>
      </c>
      <c r="E1674" s="10" t="s">
        <v>2342</v>
      </c>
      <c r="F1674" s="30" t="n">
        <v>42832</v>
      </c>
      <c r="G1674" s="30" t="n">
        <v>42873</v>
      </c>
      <c r="H1674" s="26" t="n">
        <f aca="false">G1674-F1674</f>
        <v>41</v>
      </c>
      <c r="I1674" s="10" t="n">
        <f aca="false">IF(E1674="Won",1,0)</f>
        <v>1</v>
      </c>
    </row>
    <row r="1675" customFormat="false" ht="15" hidden="false" customHeight="false" outlineLevel="0" collapsed="false">
      <c r="A1675" s="10" t="s">
        <v>4016</v>
      </c>
      <c r="B1675" s="10" t="s">
        <v>86</v>
      </c>
      <c r="C1675" s="10" t="s">
        <v>48</v>
      </c>
      <c r="D1675" s="10" t="s">
        <v>161</v>
      </c>
      <c r="E1675" s="10" t="s">
        <v>2342</v>
      </c>
      <c r="F1675" s="30" t="n">
        <v>42809</v>
      </c>
      <c r="G1675" s="30" t="n">
        <v>42873</v>
      </c>
      <c r="H1675" s="26" t="n">
        <f aca="false">G1675-F1675</f>
        <v>64</v>
      </c>
      <c r="I1675" s="10" t="n">
        <f aca="false">IF(E1675="Won",1,0)</f>
        <v>1</v>
      </c>
    </row>
    <row r="1676" customFormat="false" ht="15" hidden="false" customHeight="false" outlineLevel="0" collapsed="false">
      <c r="A1676" s="10" t="s">
        <v>4017</v>
      </c>
      <c r="B1676" s="10" t="s">
        <v>68</v>
      </c>
      <c r="C1676" s="10" t="s">
        <v>52</v>
      </c>
      <c r="D1676" s="10" t="s">
        <v>396</v>
      </c>
      <c r="E1676" s="10" t="s">
        <v>2342</v>
      </c>
      <c r="F1676" s="30" t="n">
        <v>42750</v>
      </c>
      <c r="G1676" s="30" t="n">
        <v>42873</v>
      </c>
      <c r="H1676" s="26" t="n">
        <f aca="false">G1676-F1676</f>
        <v>123</v>
      </c>
      <c r="I1676" s="10" t="n">
        <f aca="false">IF(E1676="Won",1,0)</f>
        <v>1</v>
      </c>
    </row>
    <row r="1677" customFormat="false" ht="15" hidden="false" customHeight="false" outlineLevel="0" collapsed="false">
      <c r="A1677" s="10" t="s">
        <v>4018</v>
      </c>
      <c r="B1677" s="10" t="s">
        <v>69</v>
      </c>
      <c r="C1677" s="10" t="s">
        <v>49</v>
      </c>
      <c r="D1677" s="10" t="s">
        <v>199</v>
      </c>
      <c r="E1677" s="10" t="s">
        <v>2345</v>
      </c>
      <c r="F1677" s="30" t="n">
        <v>42865</v>
      </c>
      <c r="G1677" s="30" t="n">
        <v>42873</v>
      </c>
      <c r="H1677" s="26" t="n">
        <f aca="false">G1677-F1677</f>
        <v>8</v>
      </c>
      <c r="I1677" s="10" t="n">
        <f aca="false">IF(E1677="Won",1,0)</f>
        <v>0</v>
      </c>
    </row>
    <row r="1678" customFormat="false" ht="15" hidden="false" customHeight="false" outlineLevel="0" collapsed="false">
      <c r="A1678" s="10" t="s">
        <v>4019</v>
      </c>
      <c r="B1678" s="10" t="s">
        <v>63</v>
      </c>
      <c r="C1678" s="10" t="s">
        <v>49</v>
      </c>
      <c r="D1678" s="10" t="s">
        <v>286</v>
      </c>
      <c r="E1678" s="10" t="s">
        <v>2342</v>
      </c>
      <c r="F1678" s="30" t="n">
        <v>42749</v>
      </c>
      <c r="G1678" s="30" t="n">
        <v>42873</v>
      </c>
      <c r="H1678" s="26" t="n">
        <f aca="false">G1678-F1678</f>
        <v>124</v>
      </c>
      <c r="I1678" s="10" t="n">
        <f aca="false">IF(E1678="Won",1,0)</f>
        <v>1</v>
      </c>
    </row>
    <row r="1679" customFormat="false" ht="15" hidden="false" customHeight="false" outlineLevel="0" collapsed="false">
      <c r="A1679" s="10" t="s">
        <v>4020</v>
      </c>
      <c r="B1679" s="10" t="s">
        <v>77</v>
      </c>
      <c r="C1679" s="10" t="s">
        <v>48</v>
      </c>
      <c r="D1679" s="10" t="s">
        <v>869</v>
      </c>
      <c r="E1679" s="10" t="s">
        <v>2345</v>
      </c>
      <c r="F1679" s="30" t="n">
        <v>42775</v>
      </c>
      <c r="G1679" s="30" t="n">
        <v>42873</v>
      </c>
      <c r="H1679" s="26" t="n">
        <f aca="false">G1679-F1679</f>
        <v>98</v>
      </c>
      <c r="I1679" s="10" t="n">
        <f aca="false">IF(E1679="Won",1,0)</f>
        <v>0</v>
      </c>
    </row>
    <row r="1680" customFormat="false" ht="15" hidden="false" customHeight="false" outlineLevel="0" collapsed="false">
      <c r="A1680" s="10" t="s">
        <v>4021</v>
      </c>
      <c r="B1680" s="10" t="s">
        <v>73</v>
      </c>
      <c r="C1680" s="10" t="s">
        <v>52</v>
      </c>
      <c r="D1680" s="10" t="s">
        <v>1948</v>
      </c>
      <c r="E1680" s="10" t="s">
        <v>2342</v>
      </c>
      <c r="F1680" s="30" t="n">
        <v>42798</v>
      </c>
      <c r="G1680" s="30" t="n">
        <v>42873</v>
      </c>
      <c r="H1680" s="26" t="n">
        <f aca="false">G1680-F1680</f>
        <v>75</v>
      </c>
      <c r="I1680" s="10" t="n">
        <f aca="false">IF(E1680="Won",1,0)</f>
        <v>1</v>
      </c>
    </row>
    <row r="1681" customFormat="false" ht="15" hidden="false" customHeight="false" outlineLevel="0" collapsed="false">
      <c r="A1681" s="10" t="s">
        <v>4022</v>
      </c>
      <c r="B1681" s="10" t="s">
        <v>79</v>
      </c>
      <c r="C1681" s="10" t="s">
        <v>52</v>
      </c>
      <c r="D1681" s="10" t="s">
        <v>369</v>
      </c>
      <c r="E1681" s="10" t="s">
        <v>2342</v>
      </c>
      <c r="F1681" s="30" t="n">
        <v>42808</v>
      </c>
      <c r="G1681" s="30" t="n">
        <v>42873</v>
      </c>
      <c r="H1681" s="26" t="n">
        <f aca="false">G1681-F1681</f>
        <v>65</v>
      </c>
      <c r="I1681" s="10" t="n">
        <f aca="false">IF(E1681="Won",1,0)</f>
        <v>1</v>
      </c>
    </row>
    <row r="1682" customFormat="false" ht="15" hidden="false" customHeight="false" outlineLevel="0" collapsed="false">
      <c r="A1682" s="10" t="s">
        <v>4023</v>
      </c>
      <c r="B1682" s="10" t="s">
        <v>77</v>
      </c>
      <c r="C1682" s="10" t="s">
        <v>48</v>
      </c>
      <c r="D1682" s="10" t="s">
        <v>369</v>
      </c>
      <c r="E1682" s="10" t="s">
        <v>2345</v>
      </c>
      <c r="F1682" s="30" t="n">
        <v>42763</v>
      </c>
      <c r="G1682" s="30" t="n">
        <v>42873</v>
      </c>
      <c r="H1682" s="26" t="n">
        <f aca="false">G1682-F1682</f>
        <v>110</v>
      </c>
      <c r="I1682" s="10" t="n">
        <f aca="false">IF(E1682="Won",1,0)</f>
        <v>0</v>
      </c>
    </row>
    <row r="1683" customFormat="false" ht="15" hidden="false" customHeight="false" outlineLevel="0" collapsed="false">
      <c r="A1683" s="10" t="s">
        <v>4024</v>
      </c>
      <c r="B1683" s="10" t="s">
        <v>71</v>
      </c>
      <c r="C1683" s="10" t="s">
        <v>50</v>
      </c>
      <c r="D1683" s="10" t="s">
        <v>536</v>
      </c>
      <c r="E1683" s="10" t="s">
        <v>2345</v>
      </c>
      <c r="F1683" s="30" t="n">
        <v>42863</v>
      </c>
      <c r="G1683" s="30" t="n">
        <v>42873</v>
      </c>
      <c r="H1683" s="26" t="n">
        <f aca="false">G1683-F1683</f>
        <v>10</v>
      </c>
      <c r="I1683" s="10" t="n">
        <f aca="false">IF(E1683="Won",1,0)</f>
        <v>0</v>
      </c>
    </row>
    <row r="1684" customFormat="false" ht="15" hidden="false" customHeight="false" outlineLevel="0" collapsed="false">
      <c r="A1684" s="10" t="s">
        <v>4025</v>
      </c>
      <c r="B1684" s="10" t="s">
        <v>94</v>
      </c>
      <c r="C1684" s="10" t="s">
        <v>48</v>
      </c>
      <c r="D1684" s="10" t="s">
        <v>497</v>
      </c>
      <c r="E1684" s="10" t="s">
        <v>2342</v>
      </c>
      <c r="F1684" s="30" t="n">
        <v>42798</v>
      </c>
      <c r="G1684" s="30" t="n">
        <v>42873</v>
      </c>
      <c r="H1684" s="26" t="n">
        <f aca="false">G1684-F1684</f>
        <v>75</v>
      </c>
      <c r="I1684" s="10" t="n">
        <f aca="false">IF(E1684="Won",1,0)</f>
        <v>1</v>
      </c>
    </row>
    <row r="1685" customFormat="false" ht="15" hidden="false" customHeight="false" outlineLevel="0" collapsed="false">
      <c r="A1685" s="10" t="s">
        <v>4026</v>
      </c>
      <c r="B1685" s="10" t="s">
        <v>73</v>
      </c>
      <c r="C1685" s="10" t="s">
        <v>50</v>
      </c>
      <c r="D1685" s="10" t="s">
        <v>524</v>
      </c>
      <c r="E1685" s="10" t="s">
        <v>2342</v>
      </c>
      <c r="F1685" s="30" t="n">
        <v>42782</v>
      </c>
      <c r="G1685" s="30" t="n">
        <v>42873</v>
      </c>
      <c r="H1685" s="26" t="n">
        <f aca="false">G1685-F1685</f>
        <v>91</v>
      </c>
      <c r="I1685" s="10" t="n">
        <f aca="false">IF(E1685="Won",1,0)</f>
        <v>1</v>
      </c>
    </row>
    <row r="1686" customFormat="false" ht="15" hidden="false" customHeight="false" outlineLevel="0" collapsed="false">
      <c r="A1686" s="10" t="s">
        <v>4027</v>
      </c>
      <c r="B1686" s="10" t="s">
        <v>76</v>
      </c>
      <c r="C1686" s="10" t="s">
        <v>49</v>
      </c>
      <c r="D1686" s="10" t="s">
        <v>369</v>
      </c>
      <c r="E1686" s="10" t="s">
        <v>2342</v>
      </c>
      <c r="F1686" s="30" t="n">
        <v>42840</v>
      </c>
      <c r="G1686" s="30" t="n">
        <v>42874</v>
      </c>
      <c r="H1686" s="26" t="n">
        <f aca="false">G1686-F1686</f>
        <v>34</v>
      </c>
      <c r="I1686" s="10" t="n">
        <f aca="false">IF(E1686="Won",1,0)</f>
        <v>1</v>
      </c>
    </row>
    <row r="1687" customFormat="false" ht="15" hidden="false" customHeight="false" outlineLevel="0" collapsed="false">
      <c r="A1687" s="10" t="s">
        <v>4028</v>
      </c>
      <c r="B1687" s="10" t="s">
        <v>76</v>
      </c>
      <c r="C1687" s="10" t="s">
        <v>52</v>
      </c>
      <c r="D1687" s="10" t="s">
        <v>512</v>
      </c>
      <c r="E1687" s="10" t="s">
        <v>2342</v>
      </c>
      <c r="F1687" s="30" t="n">
        <v>42868</v>
      </c>
      <c r="G1687" s="30" t="n">
        <v>42874</v>
      </c>
      <c r="H1687" s="26" t="n">
        <f aca="false">G1687-F1687</f>
        <v>6</v>
      </c>
      <c r="I1687" s="10" t="n">
        <f aca="false">IF(E1687="Won",1,0)</f>
        <v>1</v>
      </c>
    </row>
    <row r="1688" customFormat="false" ht="15" hidden="false" customHeight="false" outlineLevel="0" collapsed="false">
      <c r="A1688" s="10" t="s">
        <v>4029</v>
      </c>
      <c r="B1688" s="10" t="s">
        <v>73</v>
      </c>
      <c r="C1688" s="10" t="s">
        <v>51</v>
      </c>
      <c r="D1688" s="10" t="s">
        <v>512</v>
      </c>
      <c r="E1688" s="10" t="s">
        <v>2342</v>
      </c>
      <c r="F1688" s="30" t="n">
        <v>42824</v>
      </c>
      <c r="G1688" s="30" t="n">
        <v>42874</v>
      </c>
      <c r="H1688" s="26" t="n">
        <f aca="false">G1688-F1688</f>
        <v>50</v>
      </c>
      <c r="I1688" s="10" t="n">
        <f aca="false">IF(E1688="Won",1,0)</f>
        <v>1</v>
      </c>
    </row>
    <row r="1689" customFormat="false" ht="15" hidden="false" customHeight="false" outlineLevel="0" collapsed="false">
      <c r="A1689" s="10" t="s">
        <v>4030</v>
      </c>
      <c r="B1689" s="10" t="s">
        <v>88</v>
      </c>
      <c r="C1689" s="10" t="s">
        <v>51</v>
      </c>
      <c r="D1689" s="10" t="s">
        <v>616</v>
      </c>
      <c r="E1689" s="10" t="s">
        <v>2345</v>
      </c>
      <c r="F1689" s="30" t="n">
        <v>42785</v>
      </c>
      <c r="G1689" s="30" t="n">
        <v>42874</v>
      </c>
      <c r="H1689" s="26" t="n">
        <f aca="false">G1689-F1689</f>
        <v>89</v>
      </c>
      <c r="I1689" s="10" t="n">
        <f aca="false">IF(E1689="Won",1,0)</f>
        <v>0</v>
      </c>
    </row>
    <row r="1690" customFormat="false" ht="15" hidden="false" customHeight="false" outlineLevel="0" collapsed="false">
      <c r="A1690" s="10" t="s">
        <v>4031</v>
      </c>
      <c r="B1690" s="10" t="s">
        <v>88</v>
      </c>
      <c r="C1690" s="10" t="s">
        <v>51</v>
      </c>
      <c r="D1690" s="10" t="s">
        <v>464</v>
      </c>
      <c r="E1690" s="10" t="s">
        <v>2345</v>
      </c>
      <c r="F1690" s="30" t="n">
        <v>42805</v>
      </c>
      <c r="G1690" s="30" t="n">
        <v>42874</v>
      </c>
      <c r="H1690" s="26" t="n">
        <f aca="false">G1690-F1690</f>
        <v>69</v>
      </c>
      <c r="I1690" s="10" t="n">
        <f aca="false">IF(E1690="Won",1,0)</f>
        <v>0</v>
      </c>
    </row>
    <row r="1691" customFormat="false" ht="15" hidden="false" customHeight="false" outlineLevel="0" collapsed="false">
      <c r="A1691" s="10" t="s">
        <v>4032</v>
      </c>
      <c r="B1691" s="10" t="s">
        <v>88</v>
      </c>
      <c r="C1691" s="10" t="s">
        <v>48</v>
      </c>
      <c r="D1691" s="10" t="s">
        <v>161</v>
      </c>
      <c r="E1691" s="10" t="s">
        <v>2345</v>
      </c>
      <c r="F1691" s="30" t="n">
        <v>42817</v>
      </c>
      <c r="G1691" s="30" t="n">
        <v>42874</v>
      </c>
      <c r="H1691" s="26" t="n">
        <f aca="false">G1691-F1691</f>
        <v>57</v>
      </c>
      <c r="I1691" s="10" t="n">
        <f aca="false">IF(E1691="Won",1,0)</f>
        <v>0</v>
      </c>
    </row>
    <row r="1692" customFormat="false" ht="15" hidden="false" customHeight="false" outlineLevel="0" collapsed="false">
      <c r="A1692" s="10" t="s">
        <v>4033</v>
      </c>
      <c r="B1692" s="10" t="s">
        <v>71</v>
      </c>
      <c r="C1692" s="10" t="s">
        <v>52</v>
      </c>
      <c r="D1692" s="10" t="s">
        <v>660</v>
      </c>
      <c r="E1692" s="10" t="s">
        <v>2345</v>
      </c>
      <c r="F1692" s="30" t="n">
        <v>42814</v>
      </c>
      <c r="G1692" s="30" t="n">
        <v>42874</v>
      </c>
      <c r="H1692" s="26" t="n">
        <f aca="false">G1692-F1692</f>
        <v>60</v>
      </c>
      <c r="I1692" s="10" t="n">
        <f aca="false">IF(E1692="Won",1,0)</f>
        <v>0</v>
      </c>
    </row>
    <row r="1693" customFormat="false" ht="15" hidden="false" customHeight="false" outlineLevel="0" collapsed="false">
      <c r="A1693" s="10" t="s">
        <v>4034</v>
      </c>
      <c r="B1693" s="10" t="s">
        <v>66</v>
      </c>
      <c r="C1693" s="10" t="s">
        <v>48</v>
      </c>
      <c r="D1693" s="10" t="s">
        <v>522</v>
      </c>
      <c r="E1693" s="10" t="s">
        <v>2342</v>
      </c>
      <c r="F1693" s="30" t="n">
        <v>42791</v>
      </c>
      <c r="G1693" s="30" t="n">
        <v>42874</v>
      </c>
      <c r="H1693" s="26" t="n">
        <f aca="false">G1693-F1693</f>
        <v>83</v>
      </c>
      <c r="I1693" s="10" t="n">
        <f aca="false">IF(E1693="Won",1,0)</f>
        <v>1</v>
      </c>
    </row>
    <row r="1694" customFormat="false" ht="15" hidden="false" customHeight="false" outlineLevel="0" collapsed="false">
      <c r="A1694" s="10" t="s">
        <v>4035</v>
      </c>
      <c r="B1694" s="10" t="s">
        <v>70</v>
      </c>
      <c r="C1694" s="10" t="s">
        <v>47</v>
      </c>
      <c r="D1694" s="10" t="s">
        <v>487</v>
      </c>
      <c r="E1694" s="10" t="s">
        <v>2342</v>
      </c>
      <c r="F1694" s="30" t="n">
        <v>42770</v>
      </c>
      <c r="G1694" s="30" t="n">
        <v>42874</v>
      </c>
      <c r="H1694" s="26" t="n">
        <f aca="false">G1694-F1694</f>
        <v>104</v>
      </c>
      <c r="I1694" s="10" t="n">
        <f aca="false">IF(E1694="Won",1,0)</f>
        <v>1</v>
      </c>
    </row>
    <row r="1695" customFormat="false" ht="15" hidden="false" customHeight="false" outlineLevel="0" collapsed="false">
      <c r="A1695" s="10" t="s">
        <v>4036</v>
      </c>
      <c r="B1695" s="10" t="s">
        <v>77</v>
      </c>
      <c r="C1695" s="10" t="s">
        <v>50</v>
      </c>
      <c r="D1695" s="10" t="s">
        <v>291</v>
      </c>
      <c r="E1695" s="10" t="s">
        <v>2342</v>
      </c>
      <c r="F1695" s="30" t="n">
        <v>42864</v>
      </c>
      <c r="G1695" s="30" t="n">
        <v>42874</v>
      </c>
      <c r="H1695" s="26" t="n">
        <f aca="false">G1695-F1695</f>
        <v>10</v>
      </c>
      <c r="I1695" s="10" t="n">
        <f aca="false">IF(E1695="Won",1,0)</f>
        <v>1</v>
      </c>
    </row>
    <row r="1696" customFormat="false" ht="15" hidden="false" customHeight="false" outlineLevel="0" collapsed="false">
      <c r="A1696" s="10" t="s">
        <v>4037</v>
      </c>
      <c r="B1696" s="10" t="s">
        <v>88</v>
      </c>
      <c r="C1696" s="10" t="s">
        <v>49</v>
      </c>
      <c r="D1696" s="10" t="s">
        <v>359</v>
      </c>
      <c r="E1696" s="10" t="s">
        <v>2345</v>
      </c>
      <c r="F1696" s="30" t="n">
        <v>42868</v>
      </c>
      <c r="G1696" s="30" t="n">
        <v>42874</v>
      </c>
      <c r="H1696" s="26" t="n">
        <f aca="false">G1696-F1696</f>
        <v>6</v>
      </c>
      <c r="I1696" s="10" t="n">
        <f aca="false">IF(E1696="Won",1,0)</f>
        <v>0</v>
      </c>
    </row>
    <row r="1697" customFormat="false" ht="15" hidden="false" customHeight="false" outlineLevel="0" collapsed="false">
      <c r="A1697" s="10" t="s">
        <v>4038</v>
      </c>
      <c r="B1697" s="10" t="s">
        <v>87</v>
      </c>
      <c r="C1697" s="10" t="s">
        <v>48</v>
      </c>
      <c r="D1697" s="10" t="s">
        <v>218</v>
      </c>
      <c r="E1697" s="10" t="s">
        <v>2342</v>
      </c>
      <c r="F1697" s="30" t="n">
        <v>42819</v>
      </c>
      <c r="G1697" s="30" t="n">
        <v>42874</v>
      </c>
      <c r="H1697" s="26" t="n">
        <f aca="false">G1697-F1697</f>
        <v>55</v>
      </c>
      <c r="I1697" s="10" t="n">
        <f aca="false">IF(E1697="Won",1,0)</f>
        <v>1</v>
      </c>
    </row>
    <row r="1698" customFormat="false" ht="15" hidden="false" customHeight="false" outlineLevel="0" collapsed="false">
      <c r="A1698" s="10" t="s">
        <v>4039</v>
      </c>
      <c r="B1698" s="10" t="s">
        <v>76</v>
      </c>
      <c r="C1698" s="10" t="s">
        <v>52</v>
      </c>
      <c r="D1698" s="10" t="s">
        <v>1251</v>
      </c>
      <c r="E1698" s="10" t="s">
        <v>2342</v>
      </c>
      <c r="F1698" s="30" t="n">
        <v>42783</v>
      </c>
      <c r="G1698" s="30" t="n">
        <v>42874</v>
      </c>
      <c r="H1698" s="26" t="n">
        <f aca="false">G1698-F1698</f>
        <v>91</v>
      </c>
      <c r="I1698" s="10" t="n">
        <f aca="false">IF(E1698="Won",1,0)</f>
        <v>1</v>
      </c>
    </row>
    <row r="1699" customFormat="false" ht="15" hidden="false" customHeight="false" outlineLevel="0" collapsed="false">
      <c r="A1699" s="10" t="s">
        <v>4040</v>
      </c>
      <c r="B1699" s="10" t="s">
        <v>80</v>
      </c>
      <c r="C1699" s="10" t="s">
        <v>50</v>
      </c>
      <c r="D1699" s="10" t="s">
        <v>597</v>
      </c>
      <c r="E1699" s="10" t="s">
        <v>2342</v>
      </c>
      <c r="F1699" s="30" t="n">
        <v>42773</v>
      </c>
      <c r="G1699" s="30" t="n">
        <v>42874</v>
      </c>
      <c r="H1699" s="26" t="n">
        <f aca="false">G1699-F1699</f>
        <v>101</v>
      </c>
      <c r="I1699" s="10" t="n">
        <f aca="false">IF(E1699="Won",1,0)</f>
        <v>1</v>
      </c>
    </row>
    <row r="1700" customFormat="false" ht="15" hidden="false" customHeight="false" outlineLevel="0" collapsed="false">
      <c r="A1700" s="10" t="s">
        <v>4041</v>
      </c>
      <c r="B1700" s="10" t="s">
        <v>66</v>
      </c>
      <c r="C1700" s="10" t="s">
        <v>46</v>
      </c>
      <c r="D1700" s="10" t="s">
        <v>348</v>
      </c>
      <c r="E1700" s="10" t="s">
        <v>2345</v>
      </c>
      <c r="F1700" s="30" t="n">
        <v>42809</v>
      </c>
      <c r="G1700" s="30" t="n">
        <v>42874</v>
      </c>
      <c r="H1700" s="26" t="n">
        <f aca="false">G1700-F1700</f>
        <v>65</v>
      </c>
      <c r="I1700" s="10" t="n">
        <f aca="false">IF(E1700="Won",1,0)</f>
        <v>0</v>
      </c>
    </row>
    <row r="1701" customFormat="false" ht="15" hidden="false" customHeight="false" outlineLevel="0" collapsed="false">
      <c r="A1701" s="10" t="s">
        <v>4042</v>
      </c>
      <c r="B1701" s="10" t="s">
        <v>73</v>
      </c>
      <c r="C1701" s="10" t="s">
        <v>52</v>
      </c>
      <c r="D1701" s="10" t="s">
        <v>321</v>
      </c>
      <c r="E1701" s="10" t="s">
        <v>2345</v>
      </c>
      <c r="F1701" s="30" t="n">
        <v>42765</v>
      </c>
      <c r="G1701" s="30" t="n">
        <v>42874</v>
      </c>
      <c r="H1701" s="26" t="n">
        <f aca="false">G1701-F1701</f>
        <v>109</v>
      </c>
      <c r="I1701" s="10" t="n">
        <f aca="false">IF(E1701="Won",1,0)</f>
        <v>0</v>
      </c>
    </row>
    <row r="1702" customFormat="false" ht="15" hidden="false" customHeight="false" outlineLevel="0" collapsed="false">
      <c r="A1702" s="10" t="s">
        <v>4043</v>
      </c>
      <c r="B1702" s="10" t="s">
        <v>61</v>
      </c>
      <c r="C1702" s="10" t="s">
        <v>52</v>
      </c>
      <c r="D1702" s="10" t="s">
        <v>455</v>
      </c>
      <c r="E1702" s="10" t="s">
        <v>2345</v>
      </c>
      <c r="F1702" s="30" t="n">
        <v>42799</v>
      </c>
      <c r="G1702" s="30" t="n">
        <v>42874</v>
      </c>
      <c r="H1702" s="26" t="n">
        <f aca="false">G1702-F1702</f>
        <v>75</v>
      </c>
      <c r="I1702" s="10" t="n">
        <f aca="false">IF(E1702="Won",1,0)</f>
        <v>0</v>
      </c>
    </row>
    <row r="1703" customFormat="false" ht="15" hidden="false" customHeight="false" outlineLevel="0" collapsed="false">
      <c r="A1703" s="10" t="s">
        <v>4044</v>
      </c>
      <c r="B1703" s="10" t="s">
        <v>62</v>
      </c>
      <c r="C1703" s="10" t="s">
        <v>49</v>
      </c>
      <c r="D1703" s="10" t="s">
        <v>427</v>
      </c>
      <c r="E1703" s="10" t="s">
        <v>2345</v>
      </c>
      <c r="F1703" s="30" t="n">
        <v>42858</v>
      </c>
      <c r="G1703" s="30" t="n">
        <v>42874</v>
      </c>
      <c r="H1703" s="26" t="n">
        <f aca="false">G1703-F1703</f>
        <v>16</v>
      </c>
      <c r="I1703" s="10" t="n">
        <f aca="false">IF(E1703="Won",1,0)</f>
        <v>0</v>
      </c>
    </row>
    <row r="1704" customFormat="false" ht="15" hidden="false" customHeight="false" outlineLevel="0" collapsed="false">
      <c r="A1704" s="10" t="s">
        <v>4045</v>
      </c>
      <c r="B1704" s="10" t="s">
        <v>62</v>
      </c>
      <c r="C1704" s="10" t="s">
        <v>52</v>
      </c>
      <c r="D1704" s="10" t="s">
        <v>254</v>
      </c>
      <c r="E1704" s="10" t="s">
        <v>2342</v>
      </c>
      <c r="F1704" s="30" t="n">
        <v>42799</v>
      </c>
      <c r="G1704" s="30" t="n">
        <v>42874</v>
      </c>
      <c r="H1704" s="26" t="n">
        <f aca="false">G1704-F1704</f>
        <v>75</v>
      </c>
      <c r="I1704" s="10" t="n">
        <f aca="false">IF(E1704="Won",1,0)</f>
        <v>1</v>
      </c>
    </row>
    <row r="1705" customFormat="false" ht="15" hidden="false" customHeight="false" outlineLevel="0" collapsed="false">
      <c r="A1705" s="10" t="s">
        <v>4046</v>
      </c>
      <c r="B1705" s="10" t="s">
        <v>67</v>
      </c>
      <c r="C1705" s="10" t="s">
        <v>49</v>
      </c>
      <c r="D1705" s="10" t="s">
        <v>419</v>
      </c>
      <c r="E1705" s="10" t="s">
        <v>2342</v>
      </c>
      <c r="F1705" s="30" t="n">
        <v>42802</v>
      </c>
      <c r="G1705" s="30" t="n">
        <v>42874</v>
      </c>
      <c r="H1705" s="26" t="n">
        <f aca="false">G1705-F1705</f>
        <v>72</v>
      </c>
      <c r="I1705" s="10" t="n">
        <f aca="false">IF(E1705="Won",1,0)</f>
        <v>1</v>
      </c>
    </row>
    <row r="1706" customFormat="false" ht="15" hidden="false" customHeight="false" outlineLevel="0" collapsed="false">
      <c r="A1706" s="10" t="s">
        <v>4047</v>
      </c>
      <c r="B1706" s="10" t="s">
        <v>71</v>
      </c>
      <c r="C1706" s="10" t="s">
        <v>52</v>
      </c>
      <c r="D1706" s="10" t="s">
        <v>321</v>
      </c>
      <c r="E1706" s="10" t="s">
        <v>2342</v>
      </c>
      <c r="F1706" s="30" t="n">
        <v>42863</v>
      </c>
      <c r="G1706" s="30" t="n">
        <v>42874</v>
      </c>
      <c r="H1706" s="26" t="n">
        <f aca="false">G1706-F1706</f>
        <v>11</v>
      </c>
      <c r="I1706" s="10" t="n">
        <f aca="false">IF(E1706="Won",1,0)</f>
        <v>1</v>
      </c>
    </row>
    <row r="1707" customFormat="false" ht="15" hidden="false" customHeight="false" outlineLevel="0" collapsed="false">
      <c r="A1707" s="10" t="s">
        <v>4048</v>
      </c>
      <c r="B1707" s="10" t="s">
        <v>68</v>
      </c>
      <c r="C1707" s="10" t="s">
        <v>50</v>
      </c>
      <c r="D1707" s="10" t="s">
        <v>286</v>
      </c>
      <c r="E1707" s="10" t="s">
        <v>2345</v>
      </c>
      <c r="F1707" s="30" t="n">
        <v>42864</v>
      </c>
      <c r="G1707" s="30" t="n">
        <v>42874</v>
      </c>
      <c r="H1707" s="26" t="n">
        <f aca="false">G1707-F1707</f>
        <v>10</v>
      </c>
      <c r="I1707" s="10" t="n">
        <f aca="false">IF(E1707="Won",1,0)</f>
        <v>0</v>
      </c>
    </row>
    <row r="1708" customFormat="false" ht="15" hidden="false" customHeight="false" outlineLevel="0" collapsed="false">
      <c r="A1708" s="10" t="s">
        <v>4049</v>
      </c>
      <c r="B1708" s="10" t="s">
        <v>79</v>
      </c>
      <c r="C1708" s="10" t="s">
        <v>48</v>
      </c>
      <c r="D1708" s="10" t="s">
        <v>210</v>
      </c>
      <c r="E1708" s="10" t="s">
        <v>2345</v>
      </c>
      <c r="F1708" s="30" t="n">
        <v>42823</v>
      </c>
      <c r="G1708" s="30" t="n">
        <v>42875</v>
      </c>
      <c r="H1708" s="26" t="n">
        <f aca="false">G1708-F1708</f>
        <v>52</v>
      </c>
      <c r="I1708" s="10" t="n">
        <f aca="false">IF(E1708="Won",1,0)</f>
        <v>0</v>
      </c>
    </row>
    <row r="1709" customFormat="false" ht="15" hidden="false" customHeight="false" outlineLevel="0" collapsed="false">
      <c r="A1709" s="10" t="s">
        <v>4050</v>
      </c>
      <c r="B1709" s="10" t="s">
        <v>93</v>
      </c>
      <c r="C1709" s="10" t="s">
        <v>50</v>
      </c>
      <c r="D1709" s="10" t="s">
        <v>286</v>
      </c>
      <c r="E1709" s="10" t="s">
        <v>2345</v>
      </c>
      <c r="F1709" s="30" t="n">
        <v>42871</v>
      </c>
      <c r="G1709" s="30" t="n">
        <v>42875</v>
      </c>
      <c r="H1709" s="26" t="n">
        <f aca="false">G1709-F1709</f>
        <v>4</v>
      </c>
      <c r="I1709" s="10" t="n">
        <f aca="false">IF(E1709="Won",1,0)</f>
        <v>0</v>
      </c>
    </row>
    <row r="1710" customFormat="false" ht="15" hidden="false" customHeight="false" outlineLevel="0" collapsed="false">
      <c r="A1710" s="10" t="s">
        <v>4051</v>
      </c>
      <c r="B1710" s="10" t="s">
        <v>80</v>
      </c>
      <c r="C1710" s="10" t="s">
        <v>48</v>
      </c>
      <c r="D1710" s="10" t="s">
        <v>947</v>
      </c>
      <c r="E1710" s="10" t="s">
        <v>2345</v>
      </c>
      <c r="F1710" s="30" t="n">
        <v>42859</v>
      </c>
      <c r="G1710" s="30" t="n">
        <v>42875</v>
      </c>
      <c r="H1710" s="26" t="n">
        <f aca="false">G1710-F1710</f>
        <v>16</v>
      </c>
      <c r="I1710" s="10" t="n">
        <f aca="false">IF(E1710="Won",1,0)</f>
        <v>0</v>
      </c>
    </row>
    <row r="1711" customFormat="false" ht="15" hidden="false" customHeight="false" outlineLevel="0" collapsed="false">
      <c r="A1711" s="10" t="s">
        <v>4052</v>
      </c>
      <c r="B1711" s="10" t="s">
        <v>80</v>
      </c>
      <c r="C1711" s="10" t="s">
        <v>48</v>
      </c>
      <c r="D1711" s="10" t="s">
        <v>353</v>
      </c>
      <c r="E1711" s="10" t="s">
        <v>2345</v>
      </c>
      <c r="F1711" s="30" t="n">
        <v>42753</v>
      </c>
      <c r="G1711" s="30" t="n">
        <v>42875</v>
      </c>
      <c r="H1711" s="26" t="n">
        <f aca="false">G1711-F1711</f>
        <v>122</v>
      </c>
      <c r="I1711" s="10" t="n">
        <f aca="false">IF(E1711="Won",1,0)</f>
        <v>0</v>
      </c>
    </row>
    <row r="1712" customFormat="false" ht="15" hidden="false" customHeight="false" outlineLevel="0" collapsed="false">
      <c r="A1712" s="10" t="s">
        <v>4053</v>
      </c>
      <c r="B1712" s="10" t="s">
        <v>95</v>
      </c>
      <c r="C1712" s="10" t="s">
        <v>51</v>
      </c>
      <c r="D1712" s="10" t="s">
        <v>286</v>
      </c>
      <c r="E1712" s="10" t="s">
        <v>2345</v>
      </c>
      <c r="F1712" s="30" t="n">
        <v>42823</v>
      </c>
      <c r="G1712" s="30" t="n">
        <v>42875</v>
      </c>
      <c r="H1712" s="26" t="n">
        <f aca="false">G1712-F1712</f>
        <v>52</v>
      </c>
      <c r="I1712" s="10" t="n">
        <f aca="false">IF(E1712="Won",1,0)</f>
        <v>0</v>
      </c>
    </row>
    <row r="1713" customFormat="false" ht="15" hidden="false" customHeight="false" outlineLevel="0" collapsed="false">
      <c r="A1713" s="10" t="s">
        <v>4054</v>
      </c>
      <c r="B1713" s="10" t="s">
        <v>77</v>
      </c>
      <c r="C1713" s="10" t="s">
        <v>52</v>
      </c>
      <c r="D1713" s="10" t="s">
        <v>193</v>
      </c>
      <c r="E1713" s="10" t="s">
        <v>2342</v>
      </c>
      <c r="F1713" s="30" t="n">
        <v>42866</v>
      </c>
      <c r="G1713" s="30" t="n">
        <v>42875</v>
      </c>
      <c r="H1713" s="26" t="n">
        <f aca="false">G1713-F1713</f>
        <v>9</v>
      </c>
      <c r="I1713" s="10" t="n">
        <f aca="false">IF(E1713="Won",1,0)</f>
        <v>1</v>
      </c>
    </row>
    <row r="1714" customFormat="false" ht="15" hidden="false" customHeight="false" outlineLevel="0" collapsed="false">
      <c r="A1714" s="10" t="s">
        <v>4055</v>
      </c>
      <c r="B1714" s="10" t="s">
        <v>70</v>
      </c>
      <c r="C1714" s="10" t="s">
        <v>52</v>
      </c>
      <c r="D1714" s="10" t="s">
        <v>348</v>
      </c>
      <c r="E1714" s="10" t="s">
        <v>2342</v>
      </c>
      <c r="F1714" s="30" t="n">
        <v>42866</v>
      </c>
      <c r="G1714" s="30" t="n">
        <v>42875</v>
      </c>
      <c r="H1714" s="26" t="n">
        <f aca="false">G1714-F1714</f>
        <v>9</v>
      </c>
      <c r="I1714" s="10" t="n">
        <f aca="false">IF(E1714="Won",1,0)</f>
        <v>1</v>
      </c>
    </row>
    <row r="1715" customFormat="false" ht="15" hidden="false" customHeight="false" outlineLevel="0" collapsed="false">
      <c r="A1715" s="10" t="s">
        <v>4056</v>
      </c>
      <c r="B1715" s="10" t="s">
        <v>69</v>
      </c>
      <c r="C1715" s="10" t="s">
        <v>52</v>
      </c>
      <c r="D1715" s="10" t="s">
        <v>432</v>
      </c>
      <c r="E1715" s="10" t="s">
        <v>2342</v>
      </c>
      <c r="F1715" s="30" t="n">
        <v>42807</v>
      </c>
      <c r="G1715" s="30" t="n">
        <v>42875</v>
      </c>
      <c r="H1715" s="26" t="n">
        <f aca="false">G1715-F1715</f>
        <v>68</v>
      </c>
      <c r="I1715" s="10" t="n">
        <f aca="false">IF(E1715="Won",1,0)</f>
        <v>1</v>
      </c>
    </row>
    <row r="1716" customFormat="false" ht="15" hidden="false" customHeight="false" outlineLevel="0" collapsed="false">
      <c r="A1716" s="10" t="s">
        <v>4057</v>
      </c>
      <c r="B1716" s="10" t="s">
        <v>76</v>
      </c>
      <c r="C1716" s="10" t="s">
        <v>52</v>
      </c>
      <c r="D1716" s="10" t="s">
        <v>179</v>
      </c>
      <c r="E1716" s="10" t="s">
        <v>2342</v>
      </c>
      <c r="F1716" s="30" t="n">
        <v>42756</v>
      </c>
      <c r="G1716" s="30" t="n">
        <v>42875</v>
      </c>
      <c r="H1716" s="26" t="n">
        <f aca="false">G1716-F1716</f>
        <v>119</v>
      </c>
      <c r="I1716" s="10" t="n">
        <f aca="false">IF(E1716="Won",1,0)</f>
        <v>1</v>
      </c>
    </row>
    <row r="1717" customFormat="false" ht="15" hidden="false" customHeight="false" outlineLevel="0" collapsed="false">
      <c r="A1717" s="10" t="s">
        <v>4058</v>
      </c>
      <c r="B1717" s="10" t="s">
        <v>87</v>
      </c>
      <c r="C1717" s="10" t="s">
        <v>49</v>
      </c>
      <c r="D1717" s="10" t="s">
        <v>286</v>
      </c>
      <c r="E1717" s="10" t="s">
        <v>2342</v>
      </c>
      <c r="F1717" s="30" t="n">
        <v>42755</v>
      </c>
      <c r="G1717" s="30" t="n">
        <v>42875</v>
      </c>
      <c r="H1717" s="26" t="n">
        <f aca="false">G1717-F1717</f>
        <v>120</v>
      </c>
      <c r="I1717" s="10" t="n">
        <f aca="false">IF(E1717="Won",1,0)</f>
        <v>1</v>
      </c>
    </row>
    <row r="1718" customFormat="false" ht="15" hidden="false" customHeight="false" outlineLevel="0" collapsed="false">
      <c r="A1718" s="10" t="s">
        <v>4059</v>
      </c>
      <c r="B1718" s="10" t="s">
        <v>84</v>
      </c>
      <c r="C1718" s="10" t="s">
        <v>47</v>
      </c>
      <c r="D1718" s="10" t="s">
        <v>161</v>
      </c>
      <c r="E1718" s="10" t="s">
        <v>2342</v>
      </c>
      <c r="F1718" s="30" t="n">
        <v>42819</v>
      </c>
      <c r="G1718" s="30" t="n">
        <v>42875</v>
      </c>
      <c r="H1718" s="26" t="n">
        <f aca="false">G1718-F1718</f>
        <v>56</v>
      </c>
      <c r="I1718" s="10" t="n">
        <f aca="false">IF(E1718="Won",1,0)</f>
        <v>1</v>
      </c>
    </row>
    <row r="1719" customFormat="false" ht="15" hidden="false" customHeight="false" outlineLevel="0" collapsed="false">
      <c r="A1719" s="10" t="s">
        <v>4060</v>
      </c>
      <c r="B1719" s="10" t="s">
        <v>96</v>
      </c>
      <c r="C1719" s="10" t="s">
        <v>51</v>
      </c>
      <c r="D1719" s="10" t="s">
        <v>419</v>
      </c>
      <c r="E1719" s="10" t="s">
        <v>2345</v>
      </c>
      <c r="F1719" s="30" t="n">
        <v>42798</v>
      </c>
      <c r="G1719" s="30" t="n">
        <v>42875</v>
      </c>
      <c r="H1719" s="26" t="n">
        <f aca="false">G1719-F1719</f>
        <v>77</v>
      </c>
      <c r="I1719" s="10" t="n">
        <f aca="false">IF(E1719="Won",1,0)</f>
        <v>0</v>
      </c>
    </row>
    <row r="1720" customFormat="false" ht="15" hidden="false" customHeight="false" outlineLevel="0" collapsed="false">
      <c r="A1720" s="10" t="s">
        <v>4061</v>
      </c>
      <c r="B1720" s="10" t="s">
        <v>86</v>
      </c>
      <c r="C1720" s="10" t="s">
        <v>49</v>
      </c>
      <c r="D1720" s="10" t="s">
        <v>1397</v>
      </c>
      <c r="E1720" s="10" t="s">
        <v>2345</v>
      </c>
      <c r="F1720" s="30" t="n">
        <v>42864</v>
      </c>
      <c r="G1720" s="30" t="n">
        <v>42875</v>
      </c>
      <c r="H1720" s="26" t="n">
        <f aca="false">G1720-F1720</f>
        <v>11</v>
      </c>
      <c r="I1720" s="10" t="n">
        <f aca="false">IF(E1720="Won",1,0)</f>
        <v>0</v>
      </c>
    </row>
    <row r="1721" customFormat="false" ht="15" hidden="false" customHeight="false" outlineLevel="0" collapsed="false">
      <c r="A1721" s="10" t="s">
        <v>4062</v>
      </c>
      <c r="B1721" s="10" t="s">
        <v>93</v>
      </c>
      <c r="C1721" s="10" t="s">
        <v>47</v>
      </c>
      <c r="D1721" s="10" t="s">
        <v>337</v>
      </c>
      <c r="E1721" s="10" t="s">
        <v>2342</v>
      </c>
      <c r="F1721" s="30" t="n">
        <v>42763</v>
      </c>
      <c r="G1721" s="30" t="n">
        <v>42875</v>
      </c>
      <c r="H1721" s="26" t="n">
        <f aca="false">G1721-F1721</f>
        <v>112</v>
      </c>
      <c r="I1721" s="10" t="n">
        <f aca="false">IF(E1721="Won",1,0)</f>
        <v>1</v>
      </c>
    </row>
    <row r="1722" customFormat="false" ht="15" hidden="false" customHeight="false" outlineLevel="0" collapsed="false">
      <c r="A1722" s="10" t="s">
        <v>4063</v>
      </c>
      <c r="B1722" s="10" t="s">
        <v>83</v>
      </c>
      <c r="C1722" s="10" t="s">
        <v>50</v>
      </c>
      <c r="D1722" s="10" t="s">
        <v>524</v>
      </c>
      <c r="E1722" s="10" t="s">
        <v>2345</v>
      </c>
      <c r="F1722" s="30" t="n">
        <v>42864</v>
      </c>
      <c r="G1722" s="30" t="n">
        <v>42875</v>
      </c>
      <c r="H1722" s="26" t="n">
        <f aca="false">G1722-F1722</f>
        <v>11</v>
      </c>
      <c r="I1722" s="10" t="n">
        <f aca="false">IF(E1722="Won",1,0)</f>
        <v>0</v>
      </c>
    </row>
    <row r="1723" customFormat="false" ht="15" hidden="false" customHeight="false" outlineLevel="0" collapsed="false">
      <c r="A1723" s="10" t="s">
        <v>4064</v>
      </c>
      <c r="B1723" s="10" t="s">
        <v>84</v>
      </c>
      <c r="C1723" s="10" t="s">
        <v>49</v>
      </c>
      <c r="D1723" s="10" t="s">
        <v>286</v>
      </c>
      <c r="E1723" s="10" t="s">
        <v>2345</v>
      </c>
      <c r="F1723" s="30" t="n">
        <v>42874</v>
      </c>
      <c r="G1723" s="30" t="n">
        <v>42875</v>
      </c>
      <c r="H1723" s="26" t="n">
        <f aca="false">G1723-F1723</f>
        <v>1</v>
      </c>
      <c r="I1723" s="10" t="n">
        <f aca="false">IF(E1723="Won",1,0)</f>
        <v>0</v>
      </c>
    </row>
    <row r="1724" customFormat="false" ht="15" hidden="false" customHeight="false" outlineLevel="0" collapsed="false">
      <c r="A1724" s="10" t="s">
        <v>4065</v>
      </c>
      <c r="B1724" s="10" t="s">
        <v>77</v>
      </c>
      <c r="C1724" s="10" t="s">
        <v>48</v>
      </c>
      <c r="D1724" s="10" t="s">
        <v>483</v>
      </c>
      <c r="E1724" s="10" t="s">
        <v>2345</v>
      </c>
      <c r="F1724" s="30" t="n">
        <v>42784</v>
      </c>
      <c r="G1724" s="30" t="n">
        <v>42875</v>
      </c>
      <c r="H1724" s="26" t="n">
        <f aca="false">G1724-F1724</f>
        <v>91</v>
      </c>
      <c r="I1724" s="10" t="n">
        <f aca="false">IF(E1724="Won",1,0)</f>
        <v>0</v>
      </c>
    </row>
    <row r="1725" customFormat="false" ht="15" hidden="false" customHeight="false" outlineLevel="0" collapsed="false">
      <c r="A1725" s="10" t="s">
        <v>4066</v>
      </c>
      <c r="B1725" s="10" t="s">
        <v>74</v>
      </c>
      <c r="C1725" s="10" t="s">
        <v>51</v>
      </c>
      <c r="D1725" s="10" t="s">
        <v>1948</v>
      </c>
      <c r="E1725" s="10" t="s">
        <v>2345</v>
      </c>
      <c r="F1725" s="30" t="n">
        <v>42861</v>
      </c>
      <c r="G1725" s="30" t="n">
        <v>42875</v>
      </c>
      <c r="H1725" s="26" t="n">
        <f aca="false">G1725-F1725</f>
        <v>14</v>
      </c>
      <c r="I1725" s="10" t="n">
        <f aca="false">IF(E1725="Won",1,0)</f>
        <v>0</v>
      </c>
    </row>
    <row r="1726" customFormat="false" ht="15" hidden="false" customHeight="false" outlineLevel="0" collapsed="false">
      <c r="A1726" s="10" t="s">
        <v>4067</v>
      </c>
      <c r="B1726" s="10" t="s">
        <v>61</v>
      </c>
      <c r="C1726" s="10" t="s">
        <v>48</v>
      </c>
      <c r="D1726" s="10" t="s">
        <v>637</v>
      </c>
      <c r="E1726" s="10" t="s">
        <v>2342</v>
      </c>
      <c r="F1726" s="30" t="n">
        <v>42828</v>
      </c>
      <c r="G1726" s="30" t="n">
        <v>42875</v>
      </c>
      <c r="H1726" s="26" t="n">
        <f aca="false">G1726-F1726</f>
        <v>47</v>
      </c>
      <c r="I1726" s="10" t="n">
        <f aca="false">IF(E1726="Won",1,0)</f>
        <v>1</v>
      </c>
    </row>
    <row r="1727" customFormat="false" ht="15" hidden="false" customHeight="false" outlineLevel="0" collapsed="false">
      <c r="A1727" s="10" t="s">
        <v>4068</v>
      </c>
      <c r="B1727" s="10" t="s">
        <v>77</v>
      </c>
      <c r="C1727" s="10" t="s">
        <v>47</v>
      </c>
      <c r="D1727" s="10" t="s">
        <v>321</v>
      </c>
      <c r="E1727" s="10" t="s">
        <v>2345</v>
      </c>
      <c r="F1727" s="30" t="n">
        <v>42800</v>
      </c>
      <c r="G1727" s="30" t="n">
        <v>42875</v>
      </c>
      <c r="H1727" s="26" t="n">
        <f aca="false">G1727-F1727</f>
        <v>75</v>
      </c>
      <c r="I1727" s="10" t="n">
        <f aca="false">IF(E1727="Won",1,0)</f>
        <v>0</v>
      </c>
    </row>
    <row r="1728" customFormat="false" ht="15" hidden="false" customHeight="false" outlineLevel="0" collapsed="false">
      <c r="A1728" s="10" t="s">
        <v>4069</v>
      </c>
      <c r="B1728" s="10" t="s">
        <v>60</v>
      </c>
      <c r="C1728" s="10" t="s">
        <v>47</v>
      </c>
      <c r="D1728" s="10" t="s">
        <v>254</v>
      </c>
      <c r="E1728" s="10" t="s">
        <v>2342</v>
      </c>
      <c r="F1728" s="30" t="n">
        <v>42809</v>
      </c>
      <c r="G1728" s="30" t="n">
        <v>42875</v>
      </c>
      <c r="H1728" s="26" t="n">
        <f aca="false">G1728-F1728</f>
        <v>66</v>
      </c>
      <c r="I1728" s="10" t="n">
        <f aca="false">IF(E1728="Won",1,0)</f>
        <v>1</v>
      </c>
    </row>
    <row r="1729" customFormat="false" ht="15" hidden="false" customHeight="false" outlineLevel="0" collapsed="false">
      <c r="A1729" s="10" t="s">
        <v>4070</v>
      </c>
      <c r="B1729" s="10" t="s">
        <v>76</v>
      </c>
      <c r="C1729" s="10" t="s">
        <v>52</v>
      </c>
      <c r="D1729" s="10" t="s">
        <v>1948</v>
      </c>
      <c r="E1729" s="10" t="s">
        <v>2342</v>
      </c>
      <c r="F1729" s="30" t="n">
        <v>42766</v>
      </c>
      <c r="G1729" s="30" t="n">
        <v>42875</v>
      </c>
      <c r="H1729" s="26" t="n">
        <f aca="false">G1729-F1729</f>
        <v>109</v>
      </c>
      <c r="I1729" s="10" t="n">
        <f aca="false">IF(E1729="Won",1,0)</f>
        <v>1</v>
      </c>
    </row>
    <row r="1730" customFormat="false" ht="15" hidden="false" customHeight="false" outlineLevel="0" collapsed="false">
      <c r="A1730" s="10" t="s">
        <v>4071</v>
      </c>
      <c r="B1730" s="10" t="s">
        <v>93</v>
      </c>
      <c r="C1730" s="10" t="s">
        <v>51</v>
      </c>
      <c r="D1730" s="10" t="s">
        <v>487</v>
      </c>
      <c r="E1730" s="10" t="s">
        <v>2345</v>
      </c>
      <c r="F1730" s="30" t="n">
        <v>42781</v>
      </c>
      <c r="G1730" s="30" t="n">
        <v>42875</v>
      </c>
      <c r="H1730" s="26" t="n">
        <f aca="false">G1730-F1730</f>
        <v>94</v>
      </c>
      <c r="I1730" s="10" t="n">
        <f aca="false">IF(E1730="Won",1,0)</f>
        <v>0</v>
      </c>
    </row>
    <row r="1731" customFormat="false" ht="15" hidden="false" customHeight="false" outlineLevel="0" collapsed="false">
      <c r="A1731" s="10" t="s">
        <v>4072</v>
      </c>
      <c r="B1731" s="10" t="s">
        <v>95</v>
      </c>
      <c r="C1731" s="10" t="s">
        <v>50</v>
      </c>
      <c r="D1731" s="10" t="s">
        <v>487</v>
      </c>
      <c r="E1731" s="10" t="s">
        <v>2345</v>
      </c>
      <c r="F1731" s="30" t="n">
        <v>42862</v>
      </c>
      <c r="G1731" s="30" t="n">
        <v>42875</v>
      </c>
      <c r="H1731" s="26" t="n">
        <f aca="false">G1731-F1731</f>
        <v>13</v>
      </c>
      <c r="I1731" s="10" t="n">
        <f aca="false">IF(E1731="Won",1,0)</f>
        <v>0</v>
      </c>
    </row>
    <row r="1732" customFormat="false" ht="15" hidden="false" customHeight="false" outlineLevel="0" collapsed="false">
      <c r="A1732" s="10" t="s">
        <v>4073</v>
      </c>
      <c r="B1732" s="10" t="s">
        <v>83</v>
      </c>
      <c r="C1732" s="10" t="s">
        <v>52</v>
      </c>
      <c r="D1732" s="10" t="s">
        <v>961</v>
      </c>
      <c r="E1732" s="10" t="s">
        <v>2345</v>
      </c>
      <c r="F1732" s="30" t="n">
        <v>42792</v>
      </c>
      <c r="G1732" s="30" t="n">
        <v>42875</v>
      </c>
      <c r="H1732" s="26" t="n">
        <f aca="false">G1732-F1732</f>
        <v>83</v>
      </c>
      <c r="I1732" s="10" t="n">
        <f aca="false">IF(E1732="Won",1,0)</f>
        <v>0</v>
      </c>
    </row>
    <row r="1733" customFormat="false" ht="15" hidden="false" customHeight="false" outlineLevel="0" collapsed="false">
      <c r="A1733" s="10" t="s">
        <v>4074</v>
      </c>
      <c r="B1733" s="10" t="s">
        <v>94</v>
      </c>
      <c r="C1733" s="10" t="s">
        <v>48</v>
      </c>
      <c r="D1733" s="10" t="s">
        <v>170</v>
      </c>
      <c r="E1733" s="10" t="s">
        <v>2345</v>
      </c>
      <c r="F1733" s="30" t="n">
        <v>42867</v>
      </c>
      <c r="G1733" s="30" t="n">
        <v>42875</v>
      </c>
      <c r="H1733" s="26" t="n">
        <f aca="false">G1733-F1733</f>
        <v>8</v>
      </c>
      <c r="I1733" s="10" t="n">
        <f aca="false">IF(E1733="Won",1,0)</f>
        <v>0</v>
      </c>
    </row>
    <row r="1734" customFormat="false" ht="15" hidden="false" customHeight="false" outlineLevel="0" collapsed="false">
      <c r="A1734" s="10" t="s">
        <v>4075</v>
      </c>
      <c r="B1734" s="10" t="s">
        <v>95</v>
      </c>
      <c r="C1734" s="10" t="s">
        <v>51</v>
      </c>
      <c r="D1734" s="10" t="s">
        <v>313</v>
      </c>
      <c r="E1734" s="10" t="s">
        <v>2342</v>
      </c>
      <c r="F1734" s="30" t="n">
        <v>42827</v>
      </c>
      <c r="G1734" s="30" t="n">
        <v>42875</v>
      </c>
      <c r="H1734" s="26" t="n">
        <f aca="false">G1734-F1734</f>
        <v>48</v>
      </c>
      <c r="I1734" s="10" t="n">
        <f aca="false">IF(E1734="Won",1,0)</f>
        <v>1</v>
      </c>
    </row>
    <row r="1735" customFormat="false" ht="15" hidden="false" customHeight="false" outlineLevel="0" collapsed="false">
      <c r="A1735" s="10" t="s">
        <v>4076</v>
      </c>
      <c r="B1735" s="10" t="s">
        <v>81</v>
      </c>
      <c r="C1735" s="10" t="s">
        <v>47</v>
      </c>
      <c r="D1735" s="10" t="s">
        <v>961</v>
      </c>
      <c r="E1735" s="10" t="s">
        <v>2345</v>
      </c>
      <c r="F1735" s="30" t="n">
        <v>42863</v>
      </c>
      <c r="G1735" s="30" t="n">
        <v>42875</v>
      </c>
      <c r="H1735" s="26" t="n">
        <f aca="false">G1735-F1735</f>
        <v>12</v>
      </c>
      <c r="I1735" s="10" t="n">
        <f aca="false">IF(E1735="Won",1,0)</f>
        <v>0</v>
      </c>
    </row>
    <row r="1736" customFormat="false" ht="15" hidden="false" customHeight="false" outlineLevel="0" collapsed="false">
      <c r="A1736" s="10" t="s">
        <v>4077</v>
      </c>
      <c r="B1736" s="10" t="s">
        <v>69</v>
      </c>
      <c r="C1736" s="10" t="s">
        <v>52</v>
      </c>
      <c r="D1736" s="10" t="s">
        <v>497</v>
      </c>
      <c r="E1736" s="10" t="s">
        <v>2345</v>
      </c>
      <c r="F1736" s="30" t="n">
        <v>42810</v>
      </c>
      <c r="G1736" s="30" t="n">
        <v>42875</v>
      </c>
      <c r="H1736" s="26" t="n">
        <f aca="false">G1736-F1736</f>
        <v>65</v>
      </c>
      <c r="I1736" s="10" t="n">
        <f aca="false">IF(E1736="Won",1,0)</f>
        <v>0</v>
      </c>
    </row>
    <row r="1737" customFormat="false" ht="15" hidden="false" customHeight="false" outlineLevel="0" collapsed="false">
      <c r="A1737" s="10" t="s">
        <v>4078</v>
      </c>
      <c r="B1737" s="10" t="s">
        <v>75</v>
      </c>
      <c r="C1737" s="10" t="s">
        <v>52</v>
      </c>
      <c r="D1737" s="10" t="s">
        <v>369</v>
      </c>
      <c r="E1737" s="10" t="s">
        <v>2342</v>
      </c>
      <c r="F1737" s="30" t="n">
        <v>42824</v>
      </c>
      <c r="G1737" s="30" t="n">
        <v>42875</v>
      </c>
      <c r="H1737" s="26" t="n">
        <f aca="false">G1737-F1737</f>
        <v>51</v>
      </c>
      <c r="I1737" s="10" t="n">
        <f aca="false">IF(E1737="Won",1,0)</f>
        <v>1</v>
      </c>
    </row>
    <row r="1738" customFormat="false" ht="15" hidden="false" customHeight="false" outlineLevel="0" collapsed="false">
      <c r="A1738" s="10" t="s">
        <v>4079</v>
      </c>
      <c r="B1738" s="10" t="s">
        <v>86</v>
      </c>
      <c r="C1738" s="10" t="s">
        <v>50</v>
      </c>
      <c r="D1738" s="10" t="s">
        <v>616</v>
      </c>
      <c r="E1738" s="10" t="s">
        <v>2342</v>
      </c>
      <c r="F1738" s="30" t="n">
        <v>42828</v>
      </c>
      <c r="G1738" s="30" t="n">
        <v>42875</v>
      </c>
      <c r="H1738" s="26" t="n">
        <f aca="false">G1738-F1738</f>
        <v>47</v>
      </c>
      <c r="I1738" s="10" t="n">
        <f aca="false">IF(E1738="Won",1,0)</f>
        <v>1</v>
      </c>
    </row>
    <row r="1739" customFormat="false" ht="15" hidden="false" customHeight="false" outlineLevel="0" collapsed="false">
      <c r="A1739" s="10" t="s">
        <v>4080</v>
      </c>
      <c r="B1739" s="10" t="s">
        <v>97</v>
      </c>
      <c r="C1739" s="10" t="s">
        <v>47</v>
      </c>
      <c r="D1739" s="10" t="s">
        <v>172</v>
      </c>
      <c r="E1739" s="10" t="s">
        <v>2342</v>
      </c>
      <c r="F1739" s="30" t="n">
        <v>42864</v>
      </c>
      <c r="G1739" s="30" t="n">
        <v>42875</v>
      </c>
      <c r="H1739" s="26" t="n">
        <f aca="false">G1739-F1739</f>
        <v>11</v>
      </c>
      <c r="I1739" s="10" t="n">
        <f aca="false">IF(E1739="Won",1,0)</f>
        <v>1</v>
      </c>
    </row>
    <row r="1740" customFormat="false" ht="15" hidden="false" customHeight="false" outlineLevel="0" collapsed="false">
      <c r="A1740" s="10" t="s">
        <v>4081</v>
      </c>
      <c r="B1740" s="10" t="s">
        <v>80</v>
      </c>
      <c r="C1740" s="10" t="s">
        <v>49</v>
      </c>
      <c r="D1740" s="10" t="s">
        <v>1948</v>
      </c>
      <c r="E1740" s="10" t="s">
        <v>2345</v>
      </c>
      <c r="F1740" s="30" t="n">
        <v>42867</v>
      </c>
      <c r="G1740" s="30" t="n">
        <v>42875</v>
      </c>
      <c r="H1740" s="26" t="n">
        <f aca="false">G1740-F1740</f>
        <v>8</v>
      </c>
      <c r="I1740" s="10" t="n">
        <f aca="false">IF(E1740="Won",1,0)</f>
        <v>0</v>
      </c>
    </row>
    <row r="1741" customFormat="false" ht="15" hidden="false" customHeight="false" outlineLevel="0" collapsed="false">
      <c r="A1741" s="10" t="s">
        <v>4082</v>
      </c>
      <c r="B1741" s="10" t="s">
        <v>88</v>
      </c>
      <c r="C1741" s="10" t="s">
        <v>51</v>
      </c>
      <c r="D1741" s="10" t="s">
        <v>218</v>
      </c>
      <c r="E1741" s="10" t="s">
        <v>2345</v>
      </c>
      <c r="F1741" s="30" t="n">
        <v>42856</v>
      </c>
      <c r="G1741" s="30" t="n">
        <v>42875</v>
      </c>
      <c r="H1741" s="26" t="n">
        <f aca="false">G1741-F1741</f>
        <v>19</v>
      </c>
      <c r="I1741" s="10" t="n">
        <f aca="false">IF(E1741="Won",1,0)</f>
        <v>0</v>
      </c>
    </row>
    <row r="1742" customFormat="false" ht="15" hidden="false" customHeight="false" outlineLevel="0" collapsed="false">
      <c r="A1742" s="10" t="s">
        <v>4083</v>
      </c>
      <c r="B1742" s="10" t="s">
        <v>93</v>
      </c>
      <c r="C1742" s="10" t="s">
        <v>51</v>
      </c>
      <c r="D1742" s="10" t="s">
        <v>437</v>
      </c>
      <c r="E1742" s="10" t="s">
        <v>2342</v>
      </c>
      <c r="F1742" s="30" t="n">
        <v>42831</v>
      </c>
      <c r="G1742" s="30" t="n">
        <v>42876</v>
      </c>
      <c r="H1742" s="26" t="n">
        <f aca="false">G1742-F1742</f>
        <v>45</v>
      </c>
      <c r="I1742" s="10" t="n">
        <f aca="false">IF(E1742="Won",1,0)</f>
        <v>1</v>
      </c>
    </row>
    <row r="1743" customFormat="false" ht="15" hidden="false" customHeight="false" outlineLevel="0" collapsed="false">
      <c r="A1743" s="10" t="s">
        <v>4084</v>
      </c>
      <c r="B1743" s="10" t="s">
        <v>88</v>
      </c>
      <c r="C1743" s="10" t="s">
        <v>48</v>
      </c>
      <c r="D1743" s="10" t="s">
        <v>692</v>
      </c>
      <c r="E1743" s="10" t="s">
        <v>2345</v>
      </c>
      <c r="F1743" s="30" t="n">
        <v>42782</v>
      </c>
      <c r="G1743" s="30" t="n">
        <v>42876</v>
      </c>
      <c r="H1743" s="26" t="n">
        <f aca="false">G1743-F1743</f>
        <v>94</v>
      </c>
      <c r="I1743" s="10" t="n">
        <f aca="false">IF(E1743="Won",1,0)</f>
        <v>0</v>
      </c>
    </row>
    <row r="1744" customFormat="false" ht="15" hidden="false" customHeight="false" outlineLevel="0" collapsed="false">
      <c r="A1744" s="10" t="s">
        <v>4085</v>
      </c>
      <c r="B1744" s="10" t="s">
        <v>95</v>
      </c>
      <c r="C1744" s="10" t="s">
        <v>47</v>
      </c>
      <c r="D1744" s="10" t="s">
        <v>506</v>
      </c>
      <c r="E1744" s="10" t="s">
        <v>2342</v>
      </c>
      <c r="F1744" s="30" t="n">
        <v>42830</v>
      </c>
      <c r="G1744" s="30" t="n">
        <v>42876</v>
      </c>
      <c r="H1744" s="26" t="n">
        <f aca="false">G1744-F1744</f>
        <v>46</v>
      </c>
      <c r="I1744" s="10" t="n">
        <f aca="false">IF(E1744="Won",1,0)</f>
        <v>1</v>
      </c>
    </row>
    <row r="1745" customFormat="false" ht="15" hidden="false" customHeight="false" outlineLevel="0" collapsed="false">
      <c r="A1745" s="10" t="s">
        <v>4086</v>
      </c>
      <c r="B1745" s="10" t="s">
        <v>95</v>
      </c>
      <c r="C1745" s="10" t="s">
        <v>48</v>
      </c>
      <c r="D1745" s="10" t="s">
        <v>326</v>
      </c>
      <c r="E1745" s="10" t="s">
        <v>2342</v>
      </c>
      <c r="F1745" s="30" t="n">
        <v>42809</v>
      </c>
      <c r="G1745" s="30" t="n">
        <v>42876</v>
      </c>
      <c r="H1745" s="26" t="n">
        <f aca="false">G1745-F1745</f>
        <v>67</v>
      </c>
      <c r="I1745" s="10" t="n">
        <f aca="false">IF(E1745="Won",1,0)</f>
        <v>1</v>
      </c>
    </row>
    <row r="1746" customFormat="false" ht="15" hidden="false" customHeight="false" outlineLevel="0" collapsed="false">
      <c r="A1746" s="10" t="s">
        <v>4087</v>
      </c>
      <c r="B1746" s="10" t="s">
        <v>84</v>
      </c>
      <c r="C1746" s="10" t="s">
        <v>47</v>
      </c>
      <c r="D1746" s="10" t="s">
        <v>692</v>
      </c>
      <c r="E1746" s="10" t="s">
        <v>2345</v>
      </c>
      <c r="F1746" s="30" t="n">
        <v>42857</v>
      </c>
      <c r="G1746" s="30" t="n">
        <v>42876</v>
      </c>
      <c r="H1746" s="26" t="n">
        <f aca="false">G1746-F1746</f>
        <v>19</v>
      </c>
      <c r="I1746" s="10" t="n">
        <f aca="false">IF(E1746="Won",1,0)</f>
        <v>0</v>
      </c>
    </row>
    <row r="1747" customFormat="false" ht="15" hidden="false" customHeight="false" outlineLevel="0" collapsed="false">
      <c r="A1747" s="10" t="s">
        <v>4088</v>
      </c>
      <c r="B1747" s="10" t="s">
        <v>74</v>
      </c>
      <c r="C1747" s="10" t="s">
        <v>51</v>
      </c>
      <c r="D1747" s="10" t="s">
        <v>1948</v>
      </c>
      <c r="E1747" s="10" t="s">
        <v>2345</v>
      </c>
      <c r="F1747" s="30" t="n">
        <v>42799</v>
      </c>
      <c r="G1747" s="30" t="n">
        <v>42876</v>
      </c>
      <c r="H1747" s="26" t="n">
        <f aca="false">G1747-F1747</f>
        <v>77</v>
      </c>
      <c r="I1747" s="10" t="n">
        <f aca="false">IF(E1747="Won",1,0)</f>
        <v>0</v>
      </c>
    </row>
    <row r="1748" customFormat="false" ht="15" hidden="false" customHeight="false" outlineLevel="0" collapsed="false">
      <c r="A1748" s="10" t="s">
        <v>4089</v>
      </c>
      <c r="B1748" s="10" t="s">
        <v>81</v>
      </c>
      <c r="C1748" s="10" t="s">
        <v>51</v>
      </c>
      <c r="D1748" s="10" t="s">
        <v>524</v>
      </c>
      <c r="E1748" s="10" t="s">
        <v>2342</v>
      </c>
      <c r="F1748" s="30" t="n">
        <v>42769</v>
      </c>
      <c r="G1748" s="30" t="n">
        <v>42876</v>
      </c>
      <c r="H1748" s="26" t="n">
        <f aca="false">G1748-F1748</f>
        <v>107</v>
      </c>
      <c r="I1748" s="10" t="n">
        <f aca="false">IF(E1748="Won",1,0)</f>
        <v>1</v>
      </c>
    </row>
    <row r="1749" customFormat="false" ht="15" hidden="false" customHeight="false" outlineLevel="0" collapsed="false">
      <c r="A1749" s="10" t="s">
        <v>4090</v>
      </c>
      <c r="B1749" s="10" t="s">
        <v>86</v>
      </c>
      <c r="C1749" s="10" t="s">
        <v>49</v>
      </c>
      <c r="D1749" s="10" t="s">
        <v>616</v>
      </c>
      <c r="E1749" s="10" t="s">
        <v>2342</v>
      </c>
      <c r="F1749" s="30" t="n">
        <v>42862</v>
      </c>
      <c r="G1749" s="30" t="n">
        <v>42876</v>
      </c>
      <c r="H1749" s="26" t="n">
        <f aca="false">G1749-F1749</f>
        <v>14</v>
      </c>
      <c r="I1749" s="10" t="n">
        <f aca="false">IF(E1749="Won",1,0)</f>
        <v>1</v>
      </c>
    </row>
    <row r="1750" customFormat="false" ht="15" hidden="false" customHeight="false" outlineLevel="0" collapsed="false">
      <c r="A1750" s="10" t="s">
        <v>4091</v>
      </c>
      <c r="B1750" s="10" t="s">
        <v>93</v>
      </c>
      <c r="C1750" s="10" t="s">
        <v>48</v>
      </c>
      <c r="D1750" s="10" t="s">
        <v>199</v>
      </c>
      <c r="E1750" s="10" t="s">
        <v>2342</v>
      </c>
      <c r="F1750" s="30" t="n">
        <v>42781</v>
      </c>
      <c r="G1750" s="30" t="n">
        <v>42876</v>
      </c>
      <c r="H1750" s="26" t="n">
        <f aca="false">G1750-F1750</f>
        <v>95</v>
      </c>
      <c r="I1750" s="10" t="n">
        <f aca="false">IF(E1750="Won",1,0)</f>
        <v>1</v>
      </c>
    </row>
    <row r="1751" customFormat="false" ht="15" hidden="false" customHeight="false" outlineLevel="0" collapsed="false">
      <c r="A1751" s="10" t="s">
        <v>4092</v>
      </c>
      <c r="B1751" s="10" t="s">
        <v>76</v>
      </c>
      <c r="C1751" s="10" t="s">
        <v>49</v>
      </c>
      <c r="D1751" s="10" t="s">
        <v>1251</v>
      </c>
      <c r="E1751" s="10" t="s">
        <v>2345</v>
      </c>
      <c r="F1751" s="30" t="n">
        <v>42800</v>
      </c>
      <c r="G1751" s="30" t="n">
        <v>42876</v>
      </c>
      <c r="H1751" s="26" t="n">
        <f aca="false">G1751-F1751</f>
        <v>76</v>
      </c>
      <c r="I1751" s="10" t="n">
        <f aca="false">IF(E1751="Won",1,0)</f>
        <v>0</v>
      </c>
    </row>
    <row r="1752" customFormat="false" ht="15" hidden="false" customHeight="false" outlineLevel="0" collapsed="false">
      <c r="A1752" s="10" t="s">
        <v>4093</v>
      </c>
      <c r="B1752" s="10" t="s">
        <v>87</v>
      </c>
      <c r="C1752" s="10" t="s">
        <v>47</v>
      </c>
      <c r="D1752" s="10" t="s">
        <v>332</v>
      </c>
      <c r="E1752" s="10" t="s">
        <v>2342</v>
      </c>
      <c r="F1752" s="30" t="n">
        <v>42779</v>
      </c>
      <c r="G1752" s="30" t="n">
        <v>42876</v>
      </c>
      <c r="H1752" s="26" t="n">
        <f aca="false">G1752-F1752</f>
        <v>97</v>
      </c>
      <c r="I1752" s="10" t="n">
        <f aca="false">IF(E1752="Won",1,0)</f>
        <v>1</v>
      </c>
    </row>
    <row r="1753" customFormat="false" ht="15" hidden="false" customHeight="false" outlineLevel="0" collapsed="false">
      <c r="A1753" s="10" t="s">
        <v>4094</v>
      </c>
      <c r="B1753" s="10" t="s">
        <v>94</v>
      </c>
      <c r="C1753" s="10" t="s">
        <v>51</v>
      </c>
      <c r="D1753" s="10" t="s">
        <v>606</v>
      </c>
      <c r="E1753" s="10" t="s">
        <v>2342</v>
      </c>
      <c r="F1753" s="30" t="n">
        <v>42860</v>
      </c>
      <c r="G1753" s="30" t="n">
        <v>42876</v>
      </c>
      <c r="H1753" s="26" t="n">
        <f aca="false">G1753-F1753</f>
        <v>16</v>
      </c>
      <c r="I1753" s="10" t="n">
        <f aca="false">IF(E1753="Won",1,0)</f>
        <v>1</v>
      </c>
    </row>
    <row r="1754" customFormat="false" ht="15" hidden="false" customHeight="false" outlineLevel="0" collapsed="false">
      <c r="A1754" s="10" t="s">
        <v>4095</v>
      </c>
      <c r="B1754" s="10" t="s">
        <v>80</v>
      </c>
      <c r="C1754" s="10" t="s">
        <v>51</v>
      </c>
      <c r="D1754" s="10" t="s">
        <v>311</v>
      </c>
      <c r="E1754" s="10" t="s">
        <v>2342</v>
      </c>
      <c r="F1754" s="30" t="n">
        <v>42778</v>
      </c>
      <c r="G1754" s="30" t="n">
        <v>42876</v>
      </c>
      <c r="H1754" s="26" t="n">
        <f aca="false">G1754-F1754</f>
        <v>98</v>
      </c>
      <c r="I1754" s="10" t="n">
        <f aca="false">IF(E1754="Won",1,0)</f>
        <v>1</v>
      </c>
    </row>
    <row r="1755" customFormat="false" ht="15" hidden="false" customHeight="false" outlineLevel="0" collapsed="false">
      <c r="A1755" s="10" t="s">
        <v>4096</v>
      </c>
      <c r="B1755" s="10" t="s">
        <v>57</v>
      </c>
      <c r="C1755" s="10" t="s">
        <v>50</v>
      </c>
      <c r="D1755" s="10" t="s">
        <v>233</v>
      </c>
      <c r="E1755" s="10" t="s">
        <v>2345</v>
      </c>
      <c r="F1755" s="30" t="n">
        <v>42791</v>
      </c>
      <c r="G1755" s="30" t="n">
        <v>42876</v>
      </c>
      <c r="H1755" s="26" t="n">
        <f aca="false">G1755-F1755</f>
        <v>85</v>
      </c>
      <c r="I1755" s="10" t="n">
        <f aca="false">IF(E1755="Won",1,0)</f>
        <v>0</v>
      </c>
    </row>
    <row r="1756" customFormat="false" ht="15" hidden="false" customHeight="false" outlineLevel="0" collapsed="false">
      <c r="A1756" s="10" t="s">
        <v>4097</v>
      </c>
      <c r="B1756" s="10" t="s">
        <v>87</v>
      </c>
      <c r="C1756" s="10" t="s">
        <v>51</v>
      </c>
      <c r="D1756" s="10" t="s">
        <v>378</v>
      </c>
      <c r="E1756" s="10" t="s">
        <v>2345</v>
      </c>
      <c r="F1756" s="30" t="n">
        <v>42775</v>
      </c>
      <c r="G1756" s="30" t="n">
        <v>42877</v>
      </c>
      <c r="H1756" s="26" t="n">
        <f aca="false">G1756-F1756</f>
        <v>102</v>
      </c>
      <c r="I1756" s="10" t="n">
        <f aca="false">IF(E1756="Won",1,0)</f>
        <v>0</v>
      </c>
    </row>
    <row r="1757" customFormat="false" ht="15" hidden="false" customHeight="false" outlineLevel="0" collapsed="false">
      <c r="A1757" s="10" t="s">
        <v>4098</v>
      </c>
      <c r="B1757" s="10" t="s">
        <v>62</v>
      </c>
      <c r="C1757" s="10" t="s">
        <v>52</v>
      </c>
      <c r="D1757" s="10" t="s">
        <v>1397</v>
      </c>
      <c r="E1757" s="10" t="s">
        <v>2345</v>
      </c>
      <c r="F1757" s="30" t="n">
        <v>42800</v>
      </c>
      <c r="G1757" s="30" t="n">
        <v>42877</v>
      </c>
      <c r="H1757" s="26" t="n">
        <f aca="false">G1757-F1757</f>
        <v>77</v>
      </c>
      <c r="I1757" s="10" t="n">
        <f aca="false">IF(E1757="Won",1,0)</f>
        <v>0</v>
      </c>
    </row>
    <row r="1758" customFormat="false" ht="15" hidden="false" customHeight="false" outlineLevel="0" collapsed="false">
      <c r="A1758" s="10" t="s">
        <v>4099</v>
      </c>
      <c r="B1758" s="10" t="s">
        <v>97</v>
      </c>
      <c r="C1758" s="10" t="s">
        <v>48</v>
      </c>
      <c r="D1758" s="10" t="s">
        <v>337</v>
      </c>
      <c r="E1758" s="10" t="s">
        <v>2342</v>
      </c>
      <c r="F1758" s="30" t="n">
        <v>42814</v>
      </c>
      <c r="G1758" s="30" t="n">
        <v>42877</v>
      </c>
      <c r="H1758" s="26" t="n">
        <f aca="false">G1758-F1758</f>
        <v>63</v>
      </c>
      <c r="I1758" s="10" t="n">
        <f aca="false">IF(E1758="Won",1,0)</f>
        <v>1</v>
      </c>
    </row>
    <row r="1759" customFormat="false" ht="15" hidden="false" customHeight="false" outlineLevel="0" collapsed="false">
      <c r="A1759" s="10" t="s">
        <v>4100</v>
      </c>
      <c r="B1759" s="10" t="s">
        <v>87</v>
      </c>
      <c r="C1759" s="10" t="s">
        <v>50</v>
      </c>
      <c r="D1759" s="10" t="s">
        <v>405</v>
      </c>
      <c r="E1759" s="10" t="s">
        <v>2342</v>
      </c>
      <c r="F1759" s="30" t="n">
        <v>42844</v>
      </c>
      <c r="G1759" s="30" t="n">
        <v>42877</v>
      </c>
      <c r="H1759" s="26" t="n">
        <f aca="false">G1759-F1759</f>
        <v>33</v>
      </c>
      <c r="I1759" s="10" t="n">
        <f aca="false">IF(E1759="Won",1,0)</f>
        <v>1</v>
      </c>
    </row>
    <row r="1760" customFormat="false" ht="15" hidden="false" customHeight="false" outlineLevel="0" collapsed="false">
      <c r="A1760" s="10" t="s">
        <v>4101</v>
      </c>
      <c r="B1760" s="10" t="s">
        <v>63</v>
      </c>
      <c r="C1760" s="10" t="s">
        <v>49</v>
      </c>
      <c r="D1760" s="10" t="s">
        <v>637</v>
      </c>
      <c r="E1760" s="10" t="s">
        <v>2342</v>
      </c>
      <c r="F1760" s="30" t="n">
        <v>42774</v>
      </c>
      <c r="G1760" s="30" t="n">
        <v>42877</v>
      </c>
      <c r="H1760" s="26" t="n">
        <f aca="false">G1760-F1760</f>
        <v>103</v>
      </c>
      <c r="I1760" s="10" t="n">
        <f aca="false">IF(E1760="Won",1,0)</f>
        <v>1</v>
      </c>
    </row>
    <row r="1761" customFormat="false" ht="15" hidden="false" customHeight="false" outlineLevel="0" collapsed="false">
      <c r="A1761" s="10" t="s">
        <v>4102</v>
      </c>
      <c r="B1761" s="10" t="s">
        <v>86</v>
      </c>
      <c r="C1761" s="10" t="s">
        <v>49</v>
      </c>
      <c r="D1761" s="10" t="s">
        <v>455</v>
      </c>
      <c r="E1761" s="10" t="s">
        <v>2342</v>
      </c>
      <c r="F1761" s="30" t="n">
        <v>42802</v>
      </c>
      <c r="G1761" s="30" t="n">
        <v>42877</v>
      </c>
      <c r="H1761" s="26" t="n">
        <f aca="false">G1761-F1761</f>
        <v>75</v>
      </c>
      <c r="I1761" s="10" t="n">
        <f aca="false">IF(E1761="Won",1,0)</f>
        <v>1</v>
      </c>
    </row>
    <row r="1762" customFormat="false" ht="15" hidden="false" customHeight="false" outlineLevel="0" collapsed="false">
      <c r="A1762" s="10" t="s">
        <v>4103</v>
      </c>
      <c r="B1762" s="10" t="s">
        <v>66</v>
      </c>
      <c r="C1762" s="10" t="s">
        <v>52</v>
      </c>
      <c r="D1762" s="10" t="s">
        <v>424</v>
      </c>
      <c r="E1762" s="10" t="s">
        <v>2342</v>
      </c>
      <c r="F1762" s="30" t="n">
        <v>42777</v>
      </c>
      <c r="G1762" s="30" t="n">
        <v>42877</v>
      </c>
      <c r="H1762" s="26" t="n">
        <f aca="false">G1762-F1762</f>
        <v>100</v>
      </c>
      <c r="I1762" s="10" t="n">
        <f aca="false">IF(E1762="Won",1,0)</f>
        <v>1</v>
      </c>
    </row>
    <row r="1763" customFormat="false" ht="15" hidden="false" customHeight="false" outlineLevel="0" collapsed="false">
      <c r="A1763" s="10" t="s">
        <v>4104</v>
      </c>
      <c r="B1763" s="10" t="s">
        <v>68</v>
      </c>
      <c r="C1763" s="10" t="s">
        <v>52</v>
      </c>
      <c r="D1763" s="10" t="s">
        <v>986</v>
      </c>
      <c r="E1763" s="10" t="s">
        <v>2345</v>
      </c>
      <c r="F1763" s="30" t="n">
        <v>42865</v>
      </c>
      <c r="G1763" s="30" t="n">
        <v>42877</v>
      </c>
      <c r="H1763" s="26" t="n">
        <f aca="false">G1763-F1763</f>
        <v>12</v>
      </c>
      <c r="I1763" s="10" t="n">
        <f aca="false">IF(E1763="Won",1,0)</f>
        <v>0</v>
      </c>
    </row>
    <row r="1764" customFormat="false" ht="15" hidden="false" customHeight="false" outlineLevel="0" collapsed="false">
      <c r="A1764" s="10" t="s">
        <v>4105</v>
      </c>
      <c r="B1764" s="10" t="s">
        <v>75</v>
      </c>
      <c r="C1764" s="10" t="s">
        <v>50</v>
      </c>
      <c r="D1764" s="10" t="s">
        <v>369</v>
      </c>
      <c r="E1764" s="10" t="s">
        <v>2342</v>
      </c>
      <c r="F1764" s="30" t="n">
        <v>42831</v>
      </c>
      <c r="G1764" s="30" t="n">
        <v>42877</v>
      </c>
      <c r="H1764" s="26" t="n">
        <f aca="false">G1764-F1764</f>
        <v>46</v>
      </c>
      <c r="I1764" s="10" t="n">
        <f aca="false">IF(E1764="Won",1,0)</f>
        <v>1</v>
      </c>
    </row>
    <row r="1765" customFormat="false" ht="15" hidden="false" customHeight="false" outlineLevel="0" collapsed="false">
      <c r="A1765" s="10" t="s">
        <v>4106</v>
      </c>
      <c r="B1765" s="10" t="s">
        <v>88</v>
      </c>
      <c r="C1765" s="10" t="s">
        <v>49</v>
      </c>
      <c r="D1765" s="10" t="s">
        <v>218</v>
      </c>
      <c r="E1765" s="10" t="s">
        <v>2345</v>
      </c>
      <c r="F1765" s="30" t="n">
        <v>42865</v>
      </c>
      <c r="G1765" s="30" t="n">
        <v>42877</v>
      </c>
      <c r="H1765" s="26" t="n">
        <f aca="false">G1765-F1765</f>
        <v>12</v>
      </c>
      <c r="I1765" s="10" t="n">
        <f aca="false">IF(E1765="Won",1,0)</f>
        <v>0</v>
      </c>
    </row>
    <row r="1766" customFormat="false" ht="15" hidden="false" customHeight="false" outlineLevel="0" collapsed="false">
      <c r="A1766" s="10" t="s">
        <v>4107</v>
      </c>
      <c r="B1766" s="10" t="s">
        <v>94</v>
      </c>
      <c r="C1766" s="10" t="s">
        <v>51</v>
      </c>
      <c r="D1766" s="10" t="s">
        <v>337</v>
      </c>
      <c r="E1766" s="10" t="s">
        <v>2342</v>
      </c>
      <c r="F1766" s="30" t="n">
        <v>42820</v>
      </c>
      <c r="G1766" s="30" t="n">
        <v>42877</v>
      </c>
      <c r="H1766" s="26" t="n">
        <f aca="false">G1766-F1766</f>
        <v>57</v>
      </c>
      <c r="I1766" s="10" t="n">
        <f aca="false">IF(E1766="Won",1,0)</f>
        <v>1</v>
      </c>
    </row>
    <row r="1767" customFormat="false" ht="15" hidden="false" customHeight="false" outlineLevel="0" collapsed="false">
      <c r="A1767" s="10" t="s">
        <v>4108</v>
      </c>
      <c r="B1767" s="10" t="s">
        <v>96</v>
      </c>
      <c r="C1767" s="10" t="s">
        <v>50</v>
      </c>
      <c r="D1767" s="10" t="s">
        <v>384</v>
      </c>
      <c r="E1767" s="10" t="s">
        <v>2342</v>
      </c>
      <c r="F1767" s="30" t="n">
        <v>42873</v>
      </c>
      <c r="G1767" s="30" t="n">
        <v>42877</v>
      </c>
      <c r="H1767" s="26" t="n">
        <f aca="false">G1767-F1767</f>
        <v>4</v>
      </c>
      <c r="I1767" s="10" t="n">
        <f aca="false">IF(E1767="Won",1,0)</f>
        <v>1</v>
      </c>
    </row>
    <row r="1768" customFormat="false" ht="15" hidden="false" customHeight="false" outlineLevel="0" collapsed="false">
      <c r="A1768" s="10" t="s">
        <v>4109</v>
      </c>
      <c r="B1768" s="10" t="s">
        <v>95</v>
      </c>
      <c r="C1768" s="10" t="s">
        <v>51</v>
      </c>
      <c r="D1768" s="10" t="s">
        <v>172</v>
      </c>
      <c r="E1768" s="10" t="s">
        <v>2342</v>
      </c>
      <c r="F1768" s="30" t="n">
        <v>42797</v>
      </c>
      <c r="G1768" s="30" t="n">
        <v>42877</v>
      </c>
      <c r="H1768" s="26" t="n">
        <f aca="false">G1768-F1768</f>
        <v>80</v>
      </c>
      <c r="I1768" s="10" t="n">
        <f aca="false">IF(E1768="Won",1,0)</f>
        <v>1</v>
      </c>
    </row>
    <row r="1769" customFormat="false" ht="15" hidden="false" customHeight="false" outlineLevel="0" collapsed="false">
      <c r="A1769" s="10" t="s">
        <v>4110</v>
      </c>
      <c r="B1769" s="10" t="s">
        <v>97</v>
      </c>
      <c r="C1769" s="10" t="s">
        <v>48</v>
      </c>
      <c r="D1769" s="10" t="s">
        <v>432</v>
      </c>
      <c r="E1769" s="10" t="s">
        <v>2342</v>
      </c>
      <c r="F1769" s="30" t="n">
        <v>42807</v>
      </c>
      <c r="G1769" s="30" t="n">
        <v>42877</v>
      </c>
      <c r="H1769" s="26" t="n">
        <f aca="false">G1769-F1769</f>
        <v>70</v>
      </c>
      <c r="I1769" s="10" t="n">
        <f aca="false">IF(E1769="Won",1,0)</f>
        <v>1</v>
      </c>
    </row>
    <row r="1770" customFormat="false" ht="15" hidden="false" customHeight="false" outlineLevel="0" collapsed="false">
      <c r="A1770" s="10" t="s">
        <v>4111</v>
      </c>
      <c r="B1770" s="10" t="s">
        <v>83</v>
      </c>
      <c r="C1770" s="10" t="s">
        <v>49</v>
      </c>
      <c r="D1770" s="10" t="s">
        <v>524</v>
      </c>
      <c r="E1770" s="10" t="s">
        <v>2345</v>
      </c>
      <c r="F1770" s="30" t="n">
        <v>42843</v>
      </c>
      <c r="G1770" s="30" t="n">
        <v>42877</v>
      </c>
      <c r="H1770" s="26" t="n">
        <f aca="false">G1770-F1770</f>
        <v>34</v>
      </c>
      <c r="I1770" s="10" t="n">
        <f aca="false">IF(E1770="Won",1,0)</f>
        <v>0</v>
      </c>
    </row>
    <row r="1771" customFormat="false" ht="15" hidden="false" customHeight="false" outlineLevel="0" collapsed="false">
      <c r="A1771" s="10" t="s">
        <v>4112</v>
      </c>
      <c r="B1771" s="10" t="s">
        <v>96</v>
      </c>
      <c r="C1771" s="10" t="s">
        <v>48</v>
      </c>
      <c r="D1771" s="10" t="s">
        <v>432</v>
      </c>
      <c r="E1771" s="10" t="s">
        <v>2342</v>
      </c>
      <c r="F1771" s="30" t="n">
        <v>42805</v>
      </c>
      <c r="G1771" s="30" t="n">
        <v>42877</v>
      </c>
      <c r="H1771" s="26" t="n">
        <f aca="false">G1771-F1771</f>
        <v>72</v>
      </c>
      <c r="I1771" s="10" t="n">
        <f aca="false">IF(E1771="Won",1,0)</f>
        <v>1</v>
      </c>
    </row>
    <row r="1772" customFormat="false" ht="15" hidden="false" customHeight="false" outlineLevel="0" collapsed="false">
      <c r="A1772" s="10" t="s">
        <v>4113</v>
      </c>
      <c r="B1772" s="10" t="s">
        <v>88</v>
      </c>
      <c r="C1772" s="10" t="s">
        <v>51</v>
      </c>
      <c r="D1772" s="10" t="s">
        <v>674</v>
      </c>
      <c r="E1772" s="10" t="s">
        <v>2342</v>
      </c>
      <c r="F1772" s="30" t="n">
        <v>42793</v>
      </c>
      <c r="G1772" s="30" t="n">
        <v>42877</v>
      </c>
      <c r="H1772" s="26" t="n">
        <f aca="false">G1772-F1772</f>
        <v>84</v>
      </c>
      <c r="I1772" s="10" t="n">
        <f aca="false">IF(E1772="Won",1,0)</f>
        <v>1</v>
      </c>
    </row>
    <row r="1773" customFormat="false" ht="15" hidden="false" customHeight="false" outlineLevel="0" collapsed="false">
      <c r="A1773" s="10" t="s">
        <v>4114</v>
      </c>
      <c r="B1773" s="10" t="s">
        <v>86</v>
      </c>
      <c r="C1773" s="10" t="s">
        <v>48</v>
      </c>
      <c r="D1773" s="10" t="s">
        <v>427</v>
      </c>
      <c r="E1773" s="10" t="s">
        <v>2345</v>
      </c>
      <c r="F1773" s="30" t="n">
        <v>42793</v>
      </c>
      <c r="G1773" s="30" t="n">
        <v>42877</v>
      </c>
      <c r="H1773" s="26" t="n">
        <f aca="false">G1773-F1773</f>
        <v>84</v>
      </c>
      <c r="I1773" s="10" t="n">
        <f aca="false">IF(E1773="Won",1,0)</f>
        <v>0</v>
      </c>
    </row>
    <row r="1774" customFormat="false" ht="15" hidden="false" customHeight="false" outlineLevel="0" collapsed="false">
      <c r="A1774" s="10" t="s">
        <v>4115</v>
      </c>
      <c r="B1774" s="10" t="s">
        <v>75</v>
      </c>
      <c r="C1774" s="10" t="s">
        <v>51</v>
      </c>
      <c r="D1774" s="10" t="s">
        <v>388</v>
      </c>
      <c r="E1774" s="10" t="s">
        <v>2342</v>
      </c>
      <c r="F1774" s="30" t="n">
        <v>42861</v>
      </c>
      <c r="G1774" s="30" t="n">
        <v>42877</v>
      </c>
      <c r="H1774" s="26" t="n">
        <f aca="false">G1774-F1774</f>
        <v>16</v>
      </c>
      <c r="I1774" s="10" t="n">
        <f aca="false">IF(E1774="Won",1,0)</f>
        <v>1</v>
      </c>
    </row>
    <row r="1775" customFormat="false" ht="15" hidden="false" customHeight="false" outlineLevel="0" collapsed="false">
      <c r="A1775" s="10" t="s">
        <v>4116</v>
      </c>
      <c r="B1775" s="10" t="s">
        <v>68</v>
      </c>
      <c r="C1775" s="10" t="s">
        <v>51</v>
      </c>
      <c r="D1775" s="10" t="s">
        <v>337</v>
      </c>
      <c r="E1775" s="10" t="s">
        <v>2345</v>
      </c>
      <c r="F1775" s="30" t="n">
        <v>42760</v>
      </c>
      <c r="G1775" s="30" t="n">
        <v>42877</v>
      </c>
      <c r="H1775" s="26" t="n">
        <f aca="false">G1775-F1775</f>
        <v>117</v>
      </c>
      <c r="I1775" s="10" t="n">
        <f aca="false">IF(E1775="Won",1,0)</f>
        <v>0</v>
      </c>
    </row>
    <row r="1776" customFormat="false" ht="15" hidden="false" customHeight="false" outlineLevel="0" collapsed="false">
      <c r="A1776" s="10" t="s">
        <v>4117</v>
      </c>
      <c r="B1776" s="10" t="s">
        <v>74</v>
      </c>
      <c r="C1776" s="10" t="s">
        <v>50</v>
      </c>
      <c r="D1776" s="10" t="s">
        <v>697</v>
      </c>
      <c r="E1776" s="10" t="s">
        <v>2342</v>
      </c>
      <c r="F1776" s="30" t="n">
        <v>42806</v>
      </c>
      <c r="G1776" s="30" t="n">
        <v>42877</v>
      </c>
      <c r="H1776" s="26" t="n">
        <f aca="false">G1776-F1776</f>
        <v>71</v>
      </c>
      <c r="I1776" s="10" t="n">
        <f aca="false">IF(E1776="Won",1,0)</f>
        <v>1</v>
      </c>
    </row>
    <row r="1777" customFormat="false" ht="15" hidden="false" customHeight="false" outlineLevel="0" collapsed="false">
      <c r="A1777" s="10" t="s">
        <v>4118</v>
      </c>
      <c r="B1777" s="10" t="s">
        <v>74</v>
      </c>
      <c r="C1777" s="10" t="s">
        <v>51</v>
      </c>
      <c r="D1777" s="10" t="s">
        <v>524</v>
      </c>
      <c r="E1777" s="10" t="s">
        <v>2342</v>
      </c>
      <c r="F1777" s="30" t="n">
        <v>42867</v>
      </c>
      <c r="G1777" s="30" t="n">
        <v>42877</v>
      </c>
      <c r="H1777" s="26" t="n">
        <f aca="false">G1777-F1777</f>
        <v>10</v>
      </c>
      <c r="I1777" s="10" t="n">
        <f aca="false">IF(E1777="Won",1,0)</f>
        <v>1</v>
      </c>
    </row>
    <row r="1778" customFormat="false" ht="15" hidden="false" customHeight="false" outlineLevel="0" collapsed="false">
      <c r="A1778" s="10" t="s">
        <v>4119</v>
      </c>
      <c r="B1778" s="10" t="s">
        <v>70</v>
      </c>
      <c r="C1778" s="10" t="s">
        <v>48</v>
      </c>
      <c r="D1778" s="10" t="s">
        <v>711</v>
      </c>
      <c r="E1778" s="10" t="s">
        <v>2342</v>
      </c>
      <c r="F1778" s="30" t="n">
        <v>42850</v>
      </c>
      <c r="G1778" s="30" t="n">
        <v>42877</v>
      </c>
      <c r="H1778" s="26" t="n">
        <f aca="false">G1778-F1778</f>
        <v>27</v>
      </c>
      <c r="I1778" s="10" t="n">
        <f aca="false">IF(E1778="Won",1,0)</f>
        <v>1</v>
      </c>
    </row>
    <row r="1779" customFormat="false" ht="15" hidden="false" customHeight="false" outlineLevel="0" collapsed="false">
      <c r="A1779" s="10" t="s">
        <v>4120</v>
      </c>
      <c r="B1779" s="10" t="s">
        <v>96</v>
      </c>
      <c r="C1779" s="10" t="s">
        <v>50</v>
      </c>
      <c r="D1779" s="10" t="s">
        <v>483</v>
      </c>
      <c r="E1779" s="10" t="s">
        <v>2342</v>
      </c>
      <c r="F1779" s="30" t="n">
        <v>42869</v>
      </c>
      <c r="G1779" s="30" t="n">
        <v>42877</v>
      </c>
      <c r="H1779" s="26" t="n">
        <f aca="false">G1779-F1779</f>
        <v>8</v>
      </c>
      <c r="I1779" s="10" t="n">
        <f aca="false">IF(E1779="Won",1,0)</f>
        <v>1</v>
      </c>
    </row>
    <row r="1780" customFormat="false" ht="15" hidden="false" customHeight="false" outlineLevel="0" collapsed="false">
      <c r="A1780" s="10" t="s">
        <v>4121</v>
      </c>
      <c r="B1780" s="10" t="s">
        <v>97</v>
      </c>
      <c r="C1780" s="10" t="s">
        <v>48</v>
      </c>
      <c r="D1780" s="10" t="s">
        <v>514</v>
      </c>
      <c r="E1780" s="10" t="s">
        <v>2342</v>
      </c>
      <c r="F1780" s="30" t="n">
        <v>42808</v>
      </c>
      <c r="G1780" s="30" t="n">
        <v>42877</v>
      </c>
      <c r="H1780" s="26" t="n">
        <f aca="false">G1780-F1780</f>
        <v>69</v>
      </c>
      <c r="I1780" s="10" t="n">
        <f aca="false">IF(E1780="Won",1,0)</f>
        <v>1</v>
      </c>
    </row>
    <row r="1781" customFormat="false" ht="15" hidden="false" customHeight="false" outlineLevel="0" collapsed="false">
      <c r="A1781" s="10" t="s">
        <v>4122</v>
      </c>
      <c r="B1781" s="10" t="s">
        <v>57</v>
      </c>
      <c r="C1781" s="10" t="s">
        <v>47</v>
      </c>
      <c r="D1781" s="10" t="s">
        <v>350</v>
      </c>
      <c r="E1781" s="10" t="s">
        <v>2342</v>
      </c>
      <c r="F1781" s="30" t="n">
        <v>42762</v>
      </c>
      <c r="G1781" s="30" t="n">
        <v>42877</v>
      </c>
      <c r="H1781" s="26" t="n">
        <f aca="false">G1781-F1781</f>
        <v>115</v>
      </c>
      <c r="I1781" s="10" t="n">
        <f aca="false">IF(E1781="Won",1,0)</f>
        <v>1</v>
      </c>
    </row>
    <row r="1782" customFormat="false" ht="15" hidden="false" customHeight="false" outlineLevel="0" collapsed="false">
      <c r="A1782" s="10" t="s">
        <v>4123</v>
      </c>
      <c r="B1782" s="10" t="s">
        <v>71</v>
      </c>
      <c r="C1782" s="10" t="s">
        <v>52</v>
      </c>
      <c r="D1782" s="10" t="s">
        <v>527</v>
      </c>
      <c r="E1782" s="10" t="s">
        <v>2342</v>
      </c>
      <c r="F1782" s="30" t="n">
        <v>42869</v>
      </c>
      <c r="G1782" s="30" t="n">
        <v>42877</v>
      </c>
      <c r="H1782" s="26" t="n">
        <f aca="false">G1782-F1782</f>
        <v>8</v>
      </c>
      <c r="I1782" s="10" t="n">
        <f aca="false">IF(E1782="Won",1,0)</f>
        <v>1</v>
      </c>
    </row>
    <row r="1783" customFormat="false" ht="15" hidden="false" customHeight="false" outlineLevel="0" collapsed="false">
      <c r="A1783" s="10" t="s">
        <v>4124</v>
      </c>
      <c r="B1783" s="10" t="s">
        <v>95</v>
      </c>
      <c r="C1783" s="10" t="s">
        <v>51</v>
      </c>
      <c r="D1783" s="10" t="s">
        <v>483</v>
      </c>
      <c r="E1783" s="10" t="s">
        <v>2342</v>
      </c>
      <c r="F1783" s="30" t="n">
        <v>42807</v>
      </c>
      <c r="G1783" s="30" t="n">
        <v>42877</v>
      </c>
      <c r="H1783" s="26" t="n">
        <f aca="false">G1783-F1783</f>
        <v>70</v>
      </c>
      <c r="I1783" s="10" t="n">
        <f aca="false">IF(E1783="Won",1,0)</f>
        <v>1</v>
      </c>
    </row>
    <row r="1784" customFormat="false" ht="15" hidden="false" customHeight="false" outlineLevel="0" collapsed="false">
      <c r="A1784" s="10" t="s">
        <v>4125</v>
      </c>
      <c r="B1784" s="10" t="s">
        <v>87</v>
      </c>
      <c r="C1784" s="10" t="s">
        <v>49</v>
      </c>
      <c r="D1784" s="10" t="s">
        <v>464</v>
      </c>
      <c r="E1784" s="10" t="s">
        <v>2342</v>
      </c>
      <c r="F1784" s="30" t="n">
        <v>42789</v>
      </c>
      <c r="G1784" s="30" t="n">
        <v>42877</v>
      </c>
      <c r="H1784" s="26" t="n">
        <f aca="false">G1784-F1784</f>
        <v>88</v>
      </c>
      <c r="I1784" s="10" t="n">
        <f aca="false">IF(E1784="Won",1,0)</f>
        <v>1</v>
      </c>
    </row>
    <row r="1785" customFormat="false" ht="15" hidden="false" customHeight="false" outlineLevel="0" collapsed="false">
      <c r="A1785" s="10" t="s">
        <v>4126</v>
      </c>
      <c r="B1785" s="10" t="s">
        <v>77</v>
      </c>
      <c r="C1785" s="10" t="s">
        <v>48</v>
      </c>
      <c r="D1785" s="10" t="s">
        <v>524</v>
      </c>
      <c r="E1785" s="10" t="s">
        <v>2342</v>
      </c>
      <c r="F1785" s="30" t="n">
        <v>42808</v>
      </c>
      <c r="G1785" s="30" t="n">
        <v>42877</v>
      </c>
      <c r="H1785" s="26" t="n">
        <f aca="false">G1785-F1785</f>
        <v>69</v>
      </c>
      <c r="I1785" s="10" t="n">
        <f aca="false">IF(E1785="Won",1,0)</f>
        <v>1</v>
      </c>
    </row>
    <row r="1786" customFormat="false" ht="15" hidden="false" customHeight="false" outlineLevel="0" collapsed="false">
      <c r="A1786" s="10" t="s">
        <v>4127</v>
      </c>
      <c r="B1786" s="10" t="s">
        <v>76</v>
      </c>
      <c r="C1786" s="10" t="s">
        <v>52</v>
      </c>
      <c r="D1786" s="10" t="s">
        <v>536</v>
      </c>
      <c r="E1786" s="10" t="s">
        <v>2345</v>
      </c>
      <c r="F1786" s="30" t="n">
        <v>42764</v>
      </c>
      <c r="G1786" s="30" t="n">
        <v>42877</v>
      </c>
      <c r="H1786" s="26" t="n">
        <f aca="false">G1786-F1786</f>
        <v>113</v>
      </c>
      <c r="I1786" s="10" t="n">
        <f aca="false">IF(E1786="Won",1,0)</f>
        <v>0</v>
      </c>
    </row>
    <row r="1787" customFormat="false" ht="15" hidden="false" customHeight="false" outlineLevel="0" collapsed="false">
      <c r="A1787" s="10" t="s">
        <v>4128</v>
      </c>
      <c r="B1787" s="10" t="s">
        <v>60</v>
      </c>
      <c r="C1787" s="10" t="s">
        <v>52</v>
      </c>
      <c r="D1787" s="10" t="s">
        <v>637</v>
      </c>
      <c r="E1787" s="10" t="s">
        <v>2342</v>
      </c>
      <c r="F1787" s="30" t="n">
        <v>42761</v>
      </c>
      <c r="G1787" s="30" t="n">
        <v>42877</v>
      </c>
      <c r="H1787" s="26" t="n">
        <f aca="false">G1787-F1787</f>
        <v>116</v>
      </c>
      <c r="I1787" s="10" t="n">
        <f aca="false">IF(E1787="Won",1,0)</f>
        <v>1</v>
      </c>
    </row>
    <row r="1788" customFormat="false" ht="15" hidden="false" customHeight="false" outlineLevel="0" collapsed="false">
      <c r="A1788" s="10" t="s">
        <v>4129</v>
      </c>
      <c r="B1788" s="10" t="s">
        <v>74</v>
      </c>
      <c r="C1788" s="10" t="s">
        <v>51</v>
      </c>
      <c r="D1788" s="10" t="s">
        <v>422</v>
      </c>
      <c r="E1788" s="10" t="s">
        <v>2345</v>
      </c>
      <c r="F1788" s="30" t="n">
        <v>42788</v>
      </c>
      <c r="G1788" s="30" t="n">
        <v>42877</v>
      </c>
      <c r="H1788" s="26" t="n">
        <f aca="false">G1788-F1788</f>
        <v>89</v>
      </c>
      <c r="I1788" s="10" t="n">
        <f aca="false">IF(E1788="Won",1,0)</f>
        <v>0</v>
      </c>
    </row>
    <row r="1789" customFormat="false" ht="15" hidden="false" customHeight="false" outlineLevel="0" collapsed="false">
      <c r="A1789" s="10" t="s">
        <v>4130</v>
      </c>
      <c r="B1789" s="10" t="s">
        <v>93</v>
      </c>
      <c r="C1789" s="10" t="s">
        <v>48</v>
      </c>
      <c r="D1789" s="10" t="s">
        <v>286</v>
      </c>
      <c r="E1789" s="10" t="s">
        <v>2342</v>
      </c>
      <c r="F1789" s="30" t="n">
        <v>42805</v>
      </c>
      <c r="G1789" s="30" t="n">
        <v>42877</v>
      </c>
      <c r="H1789" s="26" t="n">
        <f aca="false">G1789-F1789</f>
        <v>72</v>
      </c>
      <c r="I1789" s="10" t="n">
        <f aca="false">IF(E1789="Won",1,0)</f>
        <v>1</v>
      </c>
    </row>
    <row r="1790" customFormat="false" ht="15" hidden="false" customHeight="false" outlineLevel="0" collapsed="false">
      <c r="A1790" s="10" t="s">
        <v>4131</v>
      </c>
      <c r="B1790" s="10" t="s">
        <v>84</v>
      </c>
      <c r="C1790" s="10" t="s">
        <v>49</v>
      </c>
      <c r="D1790" s="10" t="s">
        <v>405</v>
      </c>
      <c r="E1790" s="10" t="s">
        <v>2342</v>
      </c>
      <c r="F1790" s="30" t="n">
        <v>42861</v>
      </c>
      <c r="G1790" s="30" t="n">
        <v>42877</v>
      </c>
      <c r="H1790" s="26" t="n">
        <f aca="false">G1790-F1790</f>
        <v>16</v>
      </c>
      <c r="I1790" s="10" t="n">
        <f aca="false">IF(E1790="Won",1,0)</f>
        <v>1</v>
      </c>
    </row>
    <row r="1791" customFormat="false" ht="15" hidden="false" customHeight="false" outlineLevel="0" collapsed="false">
      <c r="A1791" s="10" t="s">
        <v>4132</v>
      </c>
      <c r="B1791" s="10" t="s">
        <v>94</v>
      </c>
      <c r="C1791" s="10" t="s">
        <v>50</v>
      </c>
      <c r="D1791" s="10" t="s">
        <v>326</v>
      </c>
      <c r="E1791" s="10" t="s">
        <v>2345</v>
      </c>
      <c r="F1791" s="30" t="n">
        <v>42772</v>
      </c>
      <c r="G1791" s="30" t="n">
        <v>42877</v>
      </c>
      <c r="H1791" s="26" t="n">
        <f aca="false">G1791-F1791</f>
        <v>105</v>
      </c>
      <c r="I1791" s="10" t="n">
        <f aca="false">IF(E1791="Won",1,0)</f>
        <v>0</v>
      </c>
    </row>
    <row r="1792" customFormat="false" ht="15" hidden="false" customHeight="false" outlineLevel="0" collapsed="false">
      <c r="A1792" s="10" t="s">
        <v>4133</v>
      </c>
      <c r="B1792" s="10" t="s">
        <v>57</v>
      </c>
      <c r="C1792" s="10" t="s">
        <v>47</v>
      </c>
      <c r="D1792" s="10" t="s">
        <v>1397</v>
      </c>
      <c r="E1792" s="10" t="s">
        <v>2342</v>
      </c>
      <c r="F1792" s="30" t="n">
        <v>42772</v>
      </c>
      <c r="G1792" s="30" t="n">
        <v>42877</v>
      </c>
      <c r="H1792" s="26" t="n">
        <f aca="false">G1792-F1792</f>
        <v>105</v>
      </c>
      <c r="I1792" s="10" t="n">
        <f aca="false">IF(E1792="Won",1,0)</f>
        <v>1</v>
      </c>
    </row>
    <row r="1793" customFormat="false" ht="15" hidden="false" customHeight="false" outlineLevel="0" collapsed="false">
      <c r="A1793" s="10" t="s">
        <v>4134</v>
      </c>
      <c r="B1793" s="10" t="s">
        <v>84</v>
      </c>
      <c r="C1793" s="10" t="s">
        <v>52</v>
      </c>
      <c r="D1793" s="10" t="s">
        <v>277</v>
      </c>
      <c r="E1793" s="10" t="s">
        <v>2345</v>
      </c>
      <c r="F1793" s="30" t="n">
        <v>42788</v>
      </c>
      <c r="G1793" s="30" t="n">
        <v>42877</v>
      </c>
      <c r="H1793" s="26" t="n">
        <f aca="false">G1793-F1793</f>
        <v>89</v>
      </c>
      <c r="I1793" s="10" t="n">
        <f aca="false">IF(E1793="Won",1,0)</f>
        <v>0</v>
      </c>
    </row>
    <row r="1794" customFormat="false" ht="15" hidden="false" customHeight="false" outlineLevel="0" collapsed="false">
      <c r="A1794" s="10" t="s">
        <v>4135</v>
      </c>
      <c r="B1794" s="10" t="s">
        <v>86</v>
      </c>
      <c r="C1794" s="10" t="s">
        <v>51</v>
      </c>
      <c r="D1794" s="10" t="s">
        <v>218</v>
      </c>
      <c r="E1794" s="10" t="s">
        <v>2342</v>
      </c>
      <c r="F1794" s="30" t="n">
        <v>42805</v>
      </c>
      <c r="G1794" s="30" t="n">
        <v>42877</v>
      </c>
      <c r="H1794" s="26" t="n">
        <f aca="false">G1794-F1794</f>
        <v>72</v>
      </c>
      <c r="I1794" s="10" t="n">
        <f aca="false">IF(E1794="Won",1,0)</f>
        <v>1</v>
      </c>
    </row>
    <row r="1795" customFormat="false" ht="15" hidden="false" customHeight="false" outlineLevel="0" collapsed="false">
      <c r="A1795" s="10" t="s">
        <v>4136</v>
      </c>
      <c r="B1795" s="10" t="s">
        <v>96</v>
      </c>
      <c r="C1795" s="10" t="s">
        <v>51</v>
      </c>
      <c r="D1795" s="10" t="s">
        <v>437</v>
      </c>
      <c r="E1795" s="10" t="s">
        <v>2345</v>
      </c>
      <c r="F1795" s="30" t="n">
        <v>42866</v>
      </c>
      <c r="G1795" s="30" t="n">
        <v>42877</v>
      </c>
      <c r="H1795" s="26" t="n">
        <f aca="false">G1795-F1795</f>
        <v>11</v>
      </c>
      <c r="I1795" s="10" t="n">
        <f aca="false">IF(E1795="Won",1,0)</f>
        <v>0</v>
      </c>
    </row>
    <row r="1796" customFormat="false" ht="15" hidden="false" customHeight="false" outlineLevel="0" collapsed="false">
      <c r="A1796" s="10" t="s">
        <v>4137</v>
      </c>
      <c r="B1796" s="10" t="s">
        <v>71</v>
      </c>
      <c r="C1796" s="10" t="s">
        <v>51</v>
      </c>
      <c r="D1796" s="10" t="s">
        <v>291</v>
      </c>
      <c r="E1796" s="10" t="s">
        <v>2345</v>
      </c>
      <c r="F1796" s="30" t="n">
        <v>42803</v>
      </c>
      <c r="G1796" s="30" t="n">
        <v>42877</v>
      </c>
      <c r="H1796" s="26" t="n">
        <f aca="false">G1796-F1796</f>
        <v>74</v>
      </c>
      <c r="I1796" s="10" t="n">
        <f aca="false">IF(E1796="Won",1,0)</f>
        <v>0</v>
      </c>
    </row>
    <row r="1797" customFormat="false" ht="15" hidden="false" customHeight="false" outlineLevel="0" collapsed="false">
      <c r="A1797" s="10" t="s">
        <v>4138</v>
      </c>
      <c r="B1797" s="10" t="s">
        <v>75</v>
      </c>
      <c r="C1797" s="10" t="s">
        <v>49</v>
      </c>
      <c r="D1797" s="10" t="s">
        <v>527</v>
      </c>
      <c r="E1797" s="10" t="s">
        <v>2345</v>
      </c>
      <c r="F1797" s="30" t="n">
        <v>42863</v>
      </c>
      <c r="G1797" s="30" t="n">
        <v>42878</v>
      </c>
      <c r="H1797" s="26" t="n">
        <f aca="false">G1797-F1797</f>
        <v>15</v>
      </c>
      <c r="I1797" s="10" t="n">
        <f aca="false">IF(E1797="Won",1,0)</f>
        <v>0</v>
      </c>
    </row>
    <row r="1798" customFormat="false" ht="15" hidden="false" customHeight="false" outlineLevel="0" collapsed="false">
      <c r="A1798" s="10" t="s">
        <v>4139</v>
      </c>
      <c r="B1798" s="10" t="s">
        <v>80</v>
      </c>
      <c r="C1798" s="10" t="s">
        <v>51</v>
      </c>
      <c r="D1798" s="10" t="s">
        <v>210</v>
      </c>
      <c r="E1798" s="10" t="s">
        <v>2345</v>
      </c>
      <c r="F1798" s="30" t="n">
        <v>42861</v>
      </c>
      <c r="G1798" s="30" t="n">
        <v>42878</v>
      </c>
      <c r="H1798" s="26" t="n">
        <f aca="false">G1798-F1798</f>
        <v>17</v>
      </c>
      <c r="I1798" s="10" t="n">
        <f aca="false">IF(E1798="Won",1,0)</f>
        <v>0</v>
      </c>
    </row>
    <row r="1799" customFormat="false" ht="15" hidden="false" customHeight="false" outlineLevel="0" collapsed="false">
      <c r="A1799" s="10" t="s">
        <v>4140</v>
      </c>
      <c r="B1799" s="10" t="s">
        <v>79</v>
      </c>
      <c r="C1799" s="10" t="s">
        <v>49</v>
      </c>
      <c r="D1799" s="10" t="s">
        <v>483</v>
      </c>
      <c r="E1799" s="10" t="s">
        <v>2345</v>
      </c>
      <c r="F1799" s="30" t="n">
        <v>42795</v>
      </c>
      <c r="G1799" s="30" t="n">
        <v>42878</v>
      </c>
      <c r="H1799" s="26" t="n">
        <f aca="false">G1799-F1799</f>
        <v>83</v>
      </c>
      <c r="I1799" s="10" t="n">
        <f aca="false">IF(E1799="Won",1,0)</f>
        <v>0</v>
      </c>
    </row>
    <row r="1800" customFormat="false" ht="15" hidden="false" customHeight="false" outlineLevel="0" collapsed="false">
      <c r="A1800" s="10" t="s">
        <v>4141</v>
      </c>
      <c r="B1800" s="10" t="s">
        <v>93</v>
      </c>
      <c r="C1800" s="10" t="s">
        <v>51</v>
      </c>
      <c r="D1800" s="10" t="s">
        <v>348</v>
      </c>
      <c r="E1800" s="10" t="s">
        <v>2345</v>
      </c>
      <c r="F1800" s="30" t="n">
        <v>42803</v>
      </c>
      <c r="G1800" s="30" t="n">
        <v>42878</v>
      </c>
      <c r="H1800" s="26" t="n">
        <f aca="false">G1800-F1800</f>
        <v>75</v>
      </c>
      <c r="I1800" s="10" t="n">
        <f aca="false">IF(E1800="Won",1,0)</f>
        <v>0</v>
      </c>
    </row>
    <row r="1801" customFormat="false" ht="15" hidden="false" customHeight="false" outlineLevel="0" collapsed="false">
      <c r="A1801" s="10" t="s">
        <v>4142</v>
      </c>
      <c r="B1801" s="10" t="s">
        <v>86</v>
      </c>
      <c r="C1801" s="10" t="s">
        <v>48</v>
      </c>
      <c r="D1801" s="10" t="s">
        <v>427</v>
      </c>
      <c r="E1801" s="10" t="s">
        <v>2342</v>
      </c>
      <c r="F1801" s="30" t="n">
        <v>42870</v>
      </c>
      <c r="G1801" s="30" t="n">
        <v>42878</v>
      </c>
      <c r="H1801" s="26" t="n">
        <f aca="false">G1801-F1801</f>
        <v>8</v>
      </c>
      <c r="I1801" s="10" t="n">
        <f aca="false">IF(E1801="Won",1,0)</f>
        <v>1</v>
      </c>
    </row>
    <row r="1802" customFormat="false" ht="15" hidden="false" customHeight="false" outlineLevel="0" collapsed="false">
      <c r="A1802" s="10" t="s">
        <v>4143</v>
      </c>
      <c r="B1802" s="10" t="s">
        <v>73</v>
      </c>
      <c r="C1802" s="10" t="s">
        <v>49</v>
      </c>
      <c r="D1802" s="10" t="s">
        <v>660</v>
      </c>
      <c r="E1802" s="10" t="s">
        <v>2342</v>
      </c>
      <c r="F1802" s="30" t="n">
        <v>42789</v>
      </c>
      <c r="G1802" s="30" t="n">
        <v>42878</v>
      </c>
      <c r="H1802" s="26" t="n">
        <f aca="false">G1802-F1802</f>
        <v>89</v>
      </c>
      <c r="I1802" s="10" t="n">
        <f aca="false">IF(E1802="Won",1,0)</f>
        <v>1</v>
      </c>
    </row>
    <row r="1803" customFormat="false" ht="15" hidden="false" customHeight="false" outlineLevel="0" collapsed="false">
      <c r="A1803" s="10" t="s">
        <v>4144</v>
      </c>
      <c r="B1803" s="10" t="s">
        <v>86</v>
      </c>
      <c r="C1803" s="10" t="s">
        <v>47</v>
      </c>
      <c r="D1803" s="10" t="s">
        <v>254</v>
      </c>
      <c r="E1803" s="10" t="s">
        <v>2345</v>
      </c>
      <c r="F1803" s="30" t="n">
        <v>42814</v>
      </c>
      <c r="G1803" s="30" t="n">
        <v>42878</v>
      </c>
      <c r="H1803" s="26" t="n">
        <f aca="false">G1803-F1803</f>
        <v>64</v>
      </c>
      <c r="I1803" s="10" t="n">
        <f aca="false">IF(E1803="Won",1,0)</f>
        <v>0</v>
      </c>
    </row>
    <row r="1804" customFormat="false" ht="15" hidden="false" customHeight="false" outlineLevel="0" collapsed="false">
      <c r="A1804" s="10" t="s">
        <v>4145</v>
      </c>
      <c r="B1804" s="10" t="s">
        <v>97</v>
      </c>
      <c r="C1804" s="10" t="s">
        <v>51</v>
      </c>
      <c r="D1804" s="10" t="s">
        <v>210</v>
      </c>
      <c r="E1804" s="10" t="s">
        <v>2342</v>
      </c>
      <c r="F1804" s="30" t="n">
        <v>42840</v>
      </c>
      <c r="G1804" s="30" t="n">
        <v>42878</v>
      </c>
      <c r="H1804" s="26" t="n">
        <f aca="false">G1804-F1804</f>
        <v>38</v>
      </c>
      <c r="I1804" s="10" t="n">
        <f aca="false">IF(E1804="Won",1,0)</f>
        <v>1</v>
      </c>
    </row>
    <row r="1805" customFormat="false" ht="15" hidden="false" customHeight="false" outlineLevel="0" collapsed="false">
      <c r="A1805" s="10" t="s">
        <v>4146</v>
      </c>
      <c r="B1805" s="10" t="s">
        <v>75</v>
      </c>
      <c r="C1805" s="10" t="s">
        <v>52</v>
      </c>
      <c r="D1805" s="10" t="s">
        <v>536</v>
      </c>
      <c r="E1805" s="10" t="s">
        <v>2345</v>
      </c>
      <c r="F1805" s="30" t="n">
        <v>42818</v>
      </c>
      <c r="G1805" s="30" t="n">
        <v>42878</v>
      </c>
      <c r="H1805" s="26" t="n">
        <f aca="false">G1805-F1805</f>
        <v>60</v>
      </c>
      <c r="I1805" s="10" t="n">
        <f aca="false">IF(E1805="Won",1,0)</f>
        <v>0</v>
      </c>
    </row>
    <row r="1806" customFormat="false" ht="15" hidden="false" customHeight="false" outlineLevel="0" collapsed="false">
      <c r="A1806" s="10" t="s">
        <v>4147</v>
      </c>
      <c r="B1806" s="10" t="s">
        <v>74</v>
      </c>
      <c r="C1806" s="10" t="s">
        <v>47</v>
      </c>
      <c r="D1806" s="10" t="s">
        <v>267</v>
      </c>
      <c r="E1806" s="10" t="s">
        <v>2342</v>
      </c>
      <c r="F1806" s="30" t="n">
        <v>42789</v>
      </c>
      <c r="G1806" s="30" t="n">
        <v>42878</v>
      </c>
      <c r="H1806" s="26" t="n">
        <f aca="false">G1806-F1806</f>
        <v>89</v>
      </c>
      <c r="I1806" s="10" t="n">
        <f aca="false">IF(E1806="Won",1,0)</f>
        <v>1</v>
      </c>
    </row>
    <row r="1807" customFormat="false" ht="15" hidden="false" customHeight="false" outlineLevel="0" collapsed="false">
      <c r="A1807" s="10" t="s">
        <v>4148</v>
      </c>
      <c r="B1807" s="10" t="s">
        <v>96</v>
      </c>
      <c r="C1807" s="10" t="s">
        <v>47</v>
      </c>
      <c r="D1807" s="10" t="s">
        <v>175</v>
      </c>
      <c r="E1807" s="10" t="s">
        <v>2342</v>
      </c>
      <c r="F1807" s="30" t="n">
        <v>42775</v>
      </c>
      <c r="G1807" s="30" t="n">
        <v>42878</v>
      </c>
      <c r="H1807" s="26" t="n">
        <f aca="false">G1807-F1807</f>
        <v>103</v>
      </c>
      <c r="I1807" s="10" t="n">
        <f aca="false">IF(E1807="Won",1,0)</f>
        <v>1</v>
      </c>
    </row>
    <row r="1808" customFormat="false" ht="15" hidden="false" customHeight="false" outlineLevel="0" collapsed="false">
      <c r="A1808" s="10" t="s">
        <v>4149</v>
      </c>
      <c r="B1808" s="10" t="s">
        <v>62</v>
      </c>
      <c r="C1808" s="10" t="s">
        <v>49</v>
      </c>
      <c r="D1808" s="10" t="s">
        <v>233</v>
      </c>
      <c r="E1808" s="10" t="s">
        <v>2342</v>
      </c>
      <c r="F1808" s="30" t="n">
        <v>42793</v>
      </c>
      <c r="G1808" s="30" t="n">
        <v>42878</v>
      </c>
      <c r="H1808" s="26" t="n">
        <f aca="false">G1808-F1808</f>
        <v>85</v>
      </c>
      <c r="I1808" s="10" t="n">
        <f aca="false">IF(E1808="Won",1,0)</f>
        <v>1</v>
      </c>
    </row>
    <row r="1809" customFormat="false" ht="15" hidden="false" customHeight="false" outlineLevel="0" collapsed="false">
      <c r="A1809" s="10" t="s">
        <v>4150</v>
      </c>
      <c r="B1809" s="10" t="s">
        <v>70</v>
      </c>
      <c r="C1809" s="10" t="s">
        <v>49</v>
      </c>
      <c r="D1809" s="10" t="s">
        <v>227</v>
      </c>
      <c r="E1809" s="10" t="s">
        <v>2345</v>
      </c>
      <c r="F1809" s="30" t="n">
        <v>42876</v>
      </c>
      <c r="G1809" s="30" t="n">
        <v>42878</v>
      </c>
      <c r="H1809" s="26" t="n">
        <f aca="false">G1809-F1809</f>
        <v>2</v>
      </c>
      <c r="I1809" s="10" t="n">
        <f aca="false">IF(E1809="Won",1,0)</f>
        <v>0</v>
      </c>
    </row>
    <row r="1810" customFormat="false" ht="15" hidden="false" customHeight="false" outlineLevel="0" collapsed="false">
      <c r="A1810" s="10" t="s">
        <v>4151</v>
      </c>
      <c r="B1810" s="10" t="s">
        <v>94</v>
      </c>
      <c r="C1810" s="10" t="s">
        <v>51</v>
      </c>
      <c r="D1810" s="10" t="s">
        <v>497</v>
      </c>
      <c r="E1810" s="10" t="s">
        <v>2345</v>
      </c>
      <c r="F1810" s="30" t="n">
        <v>42769</v>
      </c>
      <c r="G1810" s="30" t="n">
        <v>42878</v>
      </c>
      <c r="H1810" s="26" t="n">
        <f aca="false">G1810-F1810</f>
        <v>109</v>
      </c>
      <c r="I1810" s="10" t="n">
        <f aca="false">IF(E1810="Won",1,0)</f>
        <v>0</v>
      </c>
    </row>
    <row r="1811" customFormat="false" ht="15" hidden="false" customHeight="false" outlineLevel="0" collapsed="false">
      <c r="A1811" s="10" t="s">
        <v>4152</v>
      </c>
      <c r="B1811" s="10" t="s">
        <v>97</v>
      </c>
      <c r="C1811" s="10" t="s">
        <v>48</v>
      </c>
      <c r="D1811" s="10" t="s">
        <v>313</v>
      </c>
      <c r="E1811" s="10" t="s">
        <v>2342</v>
      </c>
      <c r="F1811" s="30" t="n">
        <v>42864</v>
      </c>
      <c r="G1811" s="30" t="n">
        <v>42878</v>
      </c>
      <c r="H1811" s="26" t="n">
        <f aca="false">G1811-F1811</f>
        <v>14</v>
      </c>
      <c r="I1811" s="10" t="n">
        <f aca="false">IF(E1811="Won",1,0)</f>
        <v>1</v>
      </c>
    </row>
    <row r="1812" customFormat="false" ht="15" hidden="false" customHeight="false" outlineLevel="0" collapsed="false">
      <c r="A1812" s="10" t="s">
        <v>4153</v>
      </c>
      <c r="B1812" s="10" t="s">
        <v>77</v>
      </c>
      <c r="C1812" s="10" t="s">
        <v>48</v>
      </c>
      <c r="D1812" s="10" t="s">
        <v>762</v>
      </c>
      <c r="E1812" s="10" t="s">
        <v>2345</v>
      </c>
      <c r="F1812" s="30" t="n">
        <v>42816</v>
      </c>
      <c r="G1812" s="30" t="n">
        <v>42878</v>
      </c>
      <c r="H1812" s="26" t="n">
        <f aca="false">G1812-F1812</f>
        <v>62</v>
      </c>
      <c r="I1812" s="10" t="n">
        <f aca="false">IF(E1812="Won",1,0)</f>
        <v>0</v>
      </c>
    </row>
    <row r="1813" customFormat="false" ht="15" hidden="false" customHeight="false" outlineLevel="0" collapsed="false">
      <c r="A1813" s="10" t="s">
        <v>4154</v>
      </c>
      <c r="B1813" s="10" t="s">
        <v>97</v>
      </c>
      <c r="C1813" s="10" t="s">
        <v>52</v>
      </c>
      <c r="D1813" s="10" t="s">
        <v>170</v>
      </c>
      <c r="E1813" s="10" t="s">
        <v>2345</v>
      </c>
      <c r="F1813" s="30" t="n">
        <v>42873</v>
      </c>
      <c r="G1813" s="30" t="n">
        <v>42878</v>
      </c>
      <c r="H1813" s="26" t="n">
        <f aca="false">G1813-F1813</f>
        <v>5</v>
      </c>
      <c r="I1813" s="10" t="n">
        <f aca="false">IF(E1813="Won",1,0)</f>
        <v>0</v>
      </c>
    </row>
    <row r="1814" customFormat="false" ht="15" hidden="false" customHeight="false" outlineLevel="0" collapsed="false">
      <c r="A1814" s="10" t="s">
        <v>4155</v>
      </c>
      <c r="B1814" s="10" t="s">
        <v>97</v>
      </c>
      <c r="C1814" s="10" t="s">
        <v>48</v>
      </c>
      <c r="D1814" s="10" t="s">
        <v>606</v>
      </c>
      <c r="E1814" s="10" t="s">
        <v>2345</v>
      </c>
      <c r="F1814" s="30" t="n">
        <v>42796</v>
      </c>
      <c r="G1814" s="30" t="n">
        <v>42878</v>
      </c>
      <c r="H1814" s="26" t="n">
        <f aca="false">G1814-F1814</f>
        <v>82</v>
      </c>
      <c r="I1814" s="10" t="n">
        <f aca="false">IF(E1814="Won",1,0)</f>
        <v>0</v>
      </c>
    </row>
    <row r="1815" customFormat="false" ht="15" hidden="false" customHeight="false" outlineLevel="0" collapsed="false">
      <c r="A1815" s="10" t="s">
        <v>4156</v>
      </c>
      <c r="B1815" s="10" t="s">
        <v>95</v>
      </c>
      <c r="C1815" s="10" t="s">
        <v>51</v>
      </c>
      <c r="D1815" s="10" t="s">
        <v>437</v>
      </c>
      <c r="E1815" s="10" t="s">
        <v>2342</v>
      </c>
      <c r="F1815" s="30" t="n">
        <v>42810</v>
      </c>
      <c r="G1815" s="30" t="n">
        <v>42878</v>
      </c>
      <c r="H1815" s="26" t="n">
        <f aca="false">G1815-F1815</f>
        <v>68</v>
      </c>
      <c r="I1815" s="10" t="n">
        <f aca="false">IF(E1815="Won",1,0)</f>
        <v>1</v>
      </c>
    </row>
    <row r="1816" customFormat="false" ht="15" hidden="false" customHeight="false" outlineLevel="0" collapsed="false">
      <c r="A1816" s="10" t="s">
        <v>4157</v>
      </c>
      <c r="B1816" s="10" t="s">
        <v>71</v>
      </c>
      <c r="C1816" s="10" t="s">
        <v>52</v>
      </c>
      <c r="D1816" s="10" t="s">
        <v>279</v>
      </c>
      <c r="E1816" s="10" t="s">
        <v>2345</v>
      </c>
      <c r="F1816" s="30" t="n">
        <v>42867</v>
      </c>
      <c r="G1816" s="30" t="n">
        <v>42878</v>
      </c>
      <c r="H1816" s="26" t="n">
        <f aca="false">G1816-F1816</f>
        <v>11</v>
      </c>
      <c r="I1816" s="10" t="n">
        <f aca="false">IF(E1816="Won",1,0)</f>
        <v>0</v>
      </c>
    </row>
    <row r="1817" customFormat="false" ht="15" hidden="false" customHeight="false" outlineLevel="0" collapsed="false">
      <c r="A1817" s="10" t="s">
        <v>4158</v>
      </c>
      <c r="B1817" s="10" t="s">
        <v>90</v>
      </c>
      <c r="C1817" s="10" t="s">
        <v>47</v>
      </c>
      <c r="D1817" s="10" t="s">
        <v>692</v>
      </c>
      <c r="E1817" s="10" t="s">
        <v>2345</v>
      </c>
      <c r="F1817" s="30" t="n">
        <v>42787</v>
      </c>
      <c r="G1817" s="30" t="n">
        <v>42878</v>
      </c>
      <c r="H1817" s="26" t="n">
        <f aca="false">G1817-F1817</f>
        <v>91</v>
      </c>
      <c r="I1817" s="10" t="n">
        <f aca="false">IF(E1817="Won",1,0)</f>
        <v>0</v>
      </c>
    </row>
    <row r="1818" customFormat="false" ht="15" hidden="false" customHeight="false" outlineLevel="0" collapsed="false">
      <c r="A1818" s="10" t="s">
        <v>4159</v>
      </c>
      <c r="B1818" s="10" t="s">
        <v>71</v>
      </c>
      <c r="C1818" s="10" t="s">
        <v>52</v>
      </c>
      <c r="D1818" s="10" t="s">
        <v>762</v>
      </c>
      <c r="E1818" s="10" t="s">
        <v>2342</v>
      </c>
      <c r="F1818" s="30" t="n">
        <v>42797</v>
      </c>
      <c r="G1818" s="30" t="n">
        <v>42878</v>
      </c>
      <c r="H1818" s="26" t="n">
        <f aca="false">G1818-F1818</f>
        <v>81</v>
      </c>
      <c r="I1818" s="10" t="n">
        <f aca="false">IF(E1818="Won",1,0)</f>
        <v>1</v>
      </c>
    </row>
    <row r="1819" customFormat="false" ht="15" hidden="false" customHeight="false" outlineLevel="0" collapsed="false">
      <c r="A1819" s="10" t="s">
        <v>4160</v>
      </c>
      <c r="B1819" s="10" t="s">
        <v>75</v>
      </c>
      <c r="C1819" s="10" t="s">
        <v>51</v>
      </c>
      <c r="D1819" s="10" t="s">
        <v>1948</v>
      </c>
      <c r="E1819" s="10" t="s">
        <v>2345</v>
      </c>
      <c r="F1819" s="30" t="n">
        <v>42810</v>
      </c>
      <c r="G1819" s="30" t="n">
        <v>42878</v>
      </c>
      <c r="H1819" s="26" t="n">
        <f aca="false">G1819-F1819</f>
        <v>68</v>
      </c>
      <c r="I1819" s="10" t="n">
        <f aca="false">IF(E1819="Won",1,0)</f>
        <v>0</v>
      </c>
    </row>
    <row r="1820" customFormat="false" ht="15" hidden="false" customHeight="false" outlineLevel="0" collapsed="false">
      <c r="A1820" s="10" t="s">
        <v>4161</v>
      </c>
      <c r="B1820" s="10" t="s">
        <v>74</v>
      </c>
      <c r="C1820" s="10" t="s">
        <v>49</v>
      </c>
      <c r="D1820" s="10" t="s">
        <v>597</v>
      </c>
      <c r="E1820" s="10" t="s">
        <v>2345</v>
      </c>
      <c r="F1820" s="30" t="n">
        <v>42861</v>
      </c>
      <c r="G1820" s="30" t="n">
        <v>42878</v>
      </c>
      <c r="H1820" s="26" t="n">
        <f aca="false">G1820-F1820</f>
        <v>17</v>
      </c>
      <c r="I1820" s="10" t="n">
        <f aca="false">IF(E1820="Won",1,0)</f>
        <v>0</v>
      </c>
    </row>
    <row r="1821" customFormat="false" ht="15" hidden="false" customHeight="false" outlineLevel="0" collapsed="false">
      <c r="A1821" s="10" t="s">
        <v>4162</v>
      </c>
      <c r="B1821" s="10" t="s">
        <v>69</v>
      </c>
      <c r="C1821" s="10" t="s">
        <v>52</v>
      </c>
      <c r="D1821" s="10" t="s">
        <v>313</v>
      </c>
      <c r="E1821" s="10" t="s">
        <v>2345</v>
      </c>
      <c r="F1821" s="30" t="n">
        <v>42758</v>
      </c>
      <c r="G1821" s="30" t="n">
        <v>42878</v>
      </c>
      <c r="H1821" s="26" t="n">
        <f aca="false">G1821-F1821</f>
        <v>120</v>
      </c>
      <c r="I1821" s="10" t="n">
        <f aca="false">IF(E1821="Won",1,0)</f>
        <v>0</v>
      </c>
    </row>
    <row r="1822" customFormat="false" ht="15" hidden="false" customHeight="false" outlineLevel="0" collapsed="false">
      <c r="A1822" s="10" t="s">
        <v>4163</v>
      </c>
      <c r="B1822" s="10" t="s">
        <v>86</v>
      </c>
      <c r="C1822" s="10" t="s">
        <v>47</v>
      </c>
      <c r="D1822" s="10" t="s">
        <v>254</v>
      </c>
      <c r="E1822" s="10" t="s">
        <v>2345</v>
      </c>
      <c r="F1822" s="30" t="n">
        <v>42812</v>
      </c>
      <c r="G1822" s="30" t="n">
        <v>42879</v>
      </c>
      <c r="H1822" s="26" t="n">
        <f aca="false">G1822-F1822</f>
        <v>67</v>
      </c>
      <c r="I1822" s="10" t="n">
        <f aca="false">IF(E1822="Won",1,0)</f>
        <v>0</v>
      </c>
    </row>
    <row r="1823" customFormat="false" ht="15" hidden="false" customHeight="false" outlineLevel="0" collapsed="false">
      <c r="A1823" s="10" t="s">
        <v>4164</v>
      </c>
      <c r="B1823" s="10" t="s">
        <v>95</v>
      </c>
      <c r="C1823" s="10" t="s">
        <v>47</v>
      </c>
      <c r="D1823" s="10" t="s">
        <v>506</v>
      </c>
      <c r="E1823" s="10" t="s">
        <v>2345</v>
      </c>
      <c r="F1823" s="30" t="n">
        <v>42801</v>
      </c>
      <c r="G1823" s="30" t="n">
        <v>42879</v>
      </c>
      <c r="H1823" s="26" t="n">
        <f aca="false">G1823-F1823</f>
        <v>78</v>
      </c>
      <c r="I1823" s="10" t="n">
        <f aca="false">IF(E1823="Won",1,0)</f>
        <v>0</v>
      </c>
    </row>
    <row r="1824" customFormat="false" ht="15" hidden="false" customHeight="false" outlineLevel="0" collapsed="false">
      <c r="A1824" s="10" t="s">
        <v>4165</v>
      </c>
      <c r="B1824" s="10" t="s">
        <v>76</v>
      </c>
      <c r="C1824" s="10" t="s">
        <v>49</v>
      </c>
      <c r="D1824" s="10" t="s">
        <v>512</v>
      </c>
      <c r="E1824" s="10" t="s">
        <v>2342</v>
      </c>
      <c r="F1824" s="30" t="n">
        <v>42800</v>
      </c>
      <c r="G1824" s="30" t="n">
        <v>42879</v>
      </c>
      <c r="H1824" s="26" t="n">
        <f aca="false">G1824-F1824</f>
        <v>79</v>
      </c>
      <c r="I1824" s="10" t="n">
        <f aca="false">IF(E1824="Won",1,0)</f>
        <v>1</v>
      </c>
    </row>
    <row r="1825" customFormat="false" ht="15" hidden="false" customHeight="false" outlineLevel="0" collapsed="false">
      <c r="A1825" s="10" t="s">
        <v>4166</v>
      </c>
      <c r="B1825" s="10" t="s">
        <v>77</v>
      </c>
      <c r="C1825" s="10" t="s">
        <v>48</v>
      </c>
      <c r="D1825" s="10" t="s">
        <v>597</v>
      </c>
      <c r="E1825" s="10" t="s">
        <v>2345</v>
      </c>
      <c r="F1825" s="30" t="n">
        <v>42799</v>
      </c>
      <c r="G1825" s="30" t="n">
        <v>42879</v>
      </c>
      <c r="H1825" s="26" t="n">
        <f aca="false">G1825-F1825</f>
        <v>80</v>
      </c>
      <c r="I1825" s="10" t="n">
        <f aca="false">IF(E1825="Won",1,0)</f>
        <v>0</v>
      </c>
    </row>
    <row r="1826" customFormat="false" ht="15" hidden="false" customHeight="false" outlineLevel="0" collapsed="false">
      <c r="A1826" s="10" t="s">
        <v>4167</v>
      </c>
      <c r="B1826" s="10" t="s">
        <v>76</v>
      </c>
      <c r="C1826" s="10" t="s">
        <v>52</v>
      </c>
      <c r="D1826" s="10" t="s">
        <v>369</v>
      </c>
      <c r="E1826" s="10" t="s">
        <v>2345</v>
      </c>
      <c r="F1826" s="30" t="n">
        <v>42873</v>
      </c>
      <c r="G1826" s="30" t="n">
        <v>42879</v>
      </c>
      <c r="H1826" s="26" t="n">
        <f aca="false">G1826-F1826</f>
        <v>6</v>
      </c>
      <c r="I1826" s="10" t="n">
        <f aca="false">IF(E1826="Won",1,0)</f>
        <v>0</v>
      </c>
    </row>
    <row r="1827" customFormat="false" ht="15" hidden="false" customHeight="false" outlineLevel="0" collapsed="false">
      <c r="A1827" s="10" t="s">
        <v>4168</v>
      </c>
      <c r="B1827" s="10" t="s">
        <v>71</v>
      </c>
      <c r="C1827" s="10" t="s">
        <v>52</v>
      </c>
      <c r="D1827" s="10" t="s">
        <v>414</v>
      </c>
      <c r="E1827" s="10" t="s">
        <v>2345</v>
      </c>
      <c r="F1827" s="30" t="n">
        <v>42873</v>
      </c>
      <c r="G1827" s="30" t="n">
        <v>42879</v>
      </c>
      <c r="H1827" s="26" t="n">
        <f aca="false">G1827-F1827</f>
        <v>6</v>
      </c>
      <c r="I1827" s="10" t="n">
        <f aca="false">IF(E1827="Won",1,0)</f>
        <v>0</v>
      </c>
    </row>
    <row r="1828" customFormat="false" ht="15" hidden="false" customHeight="false" outlineLevel="0" collapsed="false">
      <c r="A1828" s="10" t="s">
        <v>4169</v>
      </c>
      <c r="B1828" s="10" t="s">
        <v>77</v>
      </c>
      <c r="C1828" s="10" t="s">
        <v>48</v>
      </c>
      <c r="D1828" s="10" t="s">
        <v>414</v>
      </c>
      <c r="E1828" s="10" t="s">
        <v>2342</v>
      </c>
      <c r="F1828" s="30" t="n">
        <v>42864</v>
      </c>
      <c r="G1828" s="30" t="n">
        <v>42879</v>
      </c>
      <c r="H1828" s="26" t="n">
        <f aca="false">G1828-F1828</f>
        <v>15</v>
      </c>
      <c r="I1828" s="10" t="n">
        <f aca="false">IF(E1828="Won",1,0)</f>
        <v>1</v>
      </c>
    </row>
    <row r="1829" customFormat="false" ht="15" hidden="false" customHeight="false" outlineLevel="0" collapsed="false">
      <c r="A1829" s="10" t="s">
        <v>4170</v>
      </c>
      <c r="B1829" s="10" t="s">
        <v>96</v>
      </c>
      <c r="C1829" s="10" t="s">
        <v>48</v>
      </c>
      <c r="D1829" s="10" t="s">
        <v>326</v>
      </c>
      <c r="E1829" s="10" t="s">
        <v>2342</v>
      </c>
      <c r="F1829" s="30" t="n">
        <v>42778</v>
      </c>
      <c r="G1829" s="30" t="n">
        <v>42879</v>
      </c>
      <c r="H1829" s="26" t="n">
        <f aca="false">G1829-F1829</f>
        <v>101</v>
      </c>
      <c r="I1829" s="10" t="n">
        <f aca="false">IF(E1829="Won",1,0)</f>
        <v>1</v>
      </c>
    </row>
    <row r="1830" customFormat="false" ht="15" hidden="false" customHeight="false" outlineLevel="0" collapsed="false">
      <c r="A1830" s="10" t="s">
        <v>4171</v>
      </c>
      <c r="B1830" s="10" t="s">
        <v>86</v>
      </c>
      <c r="C1830" s="10" t="s">
        <v>48</v>
      </c>
      <c r="D1830" s="10" t="s">
        <v>427</v>
      </c>
      <c r="E1830" s="10" t="s">
        <v>2342</v>
      </c>
      <c r="F1830" s="30" t="n">
        <v>42875</v>
      </c>
      <c r="G1830" s="30" t="n">
        <v>42879</v>
      </c>
      <c r="H1830" s="26" t="n">
        <f aca="false">G1830-F1830</f>
        <v>4</v>
      </c>
      <c r="I1830" s="10" t="n">
        <f aca="false">IF(E1830="Won",1,0)</f>
        <v>1</v>
      </c>
    </row>
    <row r="1831" customFormat="false" ht="15" hidden="false" customHeight="false" outlineLevel="0" collapsed="false">
      <c r="A1831" s="10" t="s">
        <v>4172</v>
      </c>
      <c r="B1831" s="10" t="s">
        <v>95</v>
      </c>
      <c r="C1831" s="10" t="s">
        <v>52</v>
      </c>
      <c r="D1831" s="10" t="s">
        <v>199</v>
      </c>
      <c r="E1831" s="10" t="s">
        <v>2342</v>
      </c>
      <c r="F1831" s="30" t="n">
        <v>42811</v>
      </c>
      <c r="G1831" s="30" t="n">
        <v>42879</v>
      </c>
      <c r="H1831" s="26" t="n">
        <f aca="false">G1831-F1831</f>
        <v>68</v>
      </c>
      <c r="I1831" s="10" t="n">
        <f aca="false">IF(E1831="Won",1,0)</f>
        <v>1</v>
      </c>
    </row>
    <row r="1832" customFormat="false" ht="15" hidden="false" customHeight="false" outlineLevel="0" collapsed="false">
      <c r="A1832" s="10" t="s">
        <v>4173</v>
      </c>
      <c r="B1832" s="10" t="s">
        <v>86</v>
      </c>
      <c r="C1832" s="10" t="s">
        <v>52</v>
      </c>
      <c r="D1832" s="10" t="s">
        <v>161</v>
      </c>
      <c r="E1832" s="10" t="s">
        <v>2345</v>
      </c>
      <c r="F1832" s="30" t="n">
        <v>42861</v>
      </c>
      <c r="G1832" s="30" t="n">
        <v>42879</v>
      </c>
      <c r="H1832" s="26" t="n">
        <f aca="false">G1832-F1832</f>
        <v>18</v>
      </c>
      <c r="I1832" s="10" t="n">
        <f aca="false">IF(E1832="Won",1,0)</f>
        <v>0</v>
      </c>
    </row>
    <row r="1833" customFormat="false" ht="15" hidden="false" customHeight="false" outlineLevel="0" collapsed="false">
      <c r="A1833" s="10" t="s">
        <v>4174</v>
      </c>
      <c r="B1833" s="10" t="s">
        <v>95</v>
      </c>
      <c r="C1833" s="10" t="s">
        <v>51</v>
      </c>
      <c r="D1833" s="10" t="s">
        <v>337</v>
      </c>
      <c r="E1833" s="10" t="s">
        <v>2342</v>
      </c>
      <c r="F1833" s="30" t="n">
        <v>42805</v>
      </c>
      <c r="G1833" s="30" t="n">
        <v>42879</v>
      </c>
      <c r="H1833" s="26" t="n">
        <f aca="false">G1833-F1833</f>
        <v>74</v>
      </c>
      <c r="I1833" s="10" t="n">
        <f aca="false">IF(E1833="Won",1,0)</f>
        <v>1</v>
      </c>
    </row>
    <row r="1834" customFormat="false" ht="15" hidden="false" customHeight="false" outlineLevel="0" collapsed="false">
      <c r="A1834" s="10" t="s">
        <v>4175</v>
      </c>
      <c r="B1834" s="10" t="s">
        <v>95</v>
      </c>
      <c r="C1834" s="10" t="s">
        <v>50</v>
      </c>
      <c r="D1834" s="10" t="s">
        <v>606</v>
      </c>
      <c r="E1834" s="10" t="s">
        <v>2342</v>
      </c>
      <c r="F1834" s="30" t="n">
        <v>42826</v>
      </c>
      <c r="G1834" s="30" t="n">
        <v>42879</v>
      </c>
      <c r="H1834" s="26" t="n">
        <f aca="false">G1834-F1834</f>
        <v>53</v>
      </c>
      <c r="I1834" s="10" t="n">
        <f aca="false">IF(E1834="Won",1,0)</f>
        <v>1</v>
      </c>
    </row>
    <row r="1835" customFormat="false" ht="15" hidden="false" customHeight="false" outlineLevel="0" collapsed="false">
      <c r="A1835" s="10" t="s">
        <v>4176</v>
      </c>
      <c r="B1835" s="10" t="s">
        <v>80</v>
      </c>
      <c r="C1835" s="10" t="s">
        <v>51</v>
      </c>
      <c r="D1835" s="10" t="s">
        <v>311</v>
      </c>
      <c r="E1835" s="10" t="s">
        <v>2345</v>
      </c>
      <c r="F1835" s="30" t="n">
        <v>42774</v>
      </c>
      <c r="G1835" s="30" t="n">
        <v>42879</v>
      </c>
      <c r="H1835" s="26" t="n">
        <f aca="false">G1835-F1835</f>
        <v>105</v>
      </c>
      <c r="I1835" s="10" t="n">
        <f aca="false">IF(E1835="Won",1,0)</f>
        <v>0</v>
      </c>
    </row>
    <row r="1836" customFormat="false" ht="15" hidden="false" customHeight="false" outlineLevel="0" collapsed="false">
      <c r="A1836" s="10" t="s">
        <v>4177</v>
      </c>
      <c r="B1836" s="10" t="s">
        <v>66</v>
      </c>
      <c r="C1836" s="10" t="s">
        <v>52</v>
      </c>
      <c r="D1836" s="10" t="s">
        <v>199</v>
      </c>
      <c r="E1836" s="10" t="s">
        <v>2345</v>
      </c>
      <c r="F1836" s="30" t="n">
        <v>42792</v>
      </c>
      <c r="G1836" s="30" t="n">
        <v>42879</v>
      </c>
      <c r="H1836" s="26" t="n">
        <f aca="false">G1836-F1836</f>
        <v>87</v>
      </c>
      <c r="I1836" s="10" t="n">
        <f aca="false">IF(E1836="Won",1,0)</f>
        <v>0</v>
      </c>
    </row>
    <row r="1837" customFormat="false" ht="15" hidden="false" customHeight="false" outlineLevel="0" collapsed="false">
      <c r="A1837" s="10" t="s">
        <v>4178</v>
      </c>
      <c r="B1837" s="10" t="s">
        <v>81</v>
      </c>
      <c r="C1837" s="10" t="s">
        <v>49</v>
      </c>
      <c r="D1837" s="10" t="s">
        <v>388</v>
      </c>
      <c r="E1837" s="10" t="s">
        <v>2342</v>
      </c>
      <c r="F1837" s="30" t="n">
        <v>42865</v>
      </c>
      <c r="G1837" s="30" t="n">
        <v>42879</v>
      </c>
      <c r="H1837" s="26" t="n">
        <f aca="false">G1837-F1837</f>
        <v>14</v>
      </c>
      <c r="I1837" s="10" t="n">
        <f aca="false">IF(E1837="Won",1,0)</f>
        <v>1</v>
      </c>
    </row>
    <row r="1838" customFormat="false" ht="15" hidden="false" customHeight="false" outlineLevel="0" collapsed="false">
      <c r="A1838" s="10" t="s">
        <v>4179</v>
      </c>
      <c r="B1838" s="10" t="s">
        <v>76</v>
      </c>
      <c r="C1838" s="10" t="s">
        <v>49</v>
      </c>
      <c r="D1838" s="10" t="s">
        <v>311</v>
      </c>
      <c r="E1838" s="10" t="s">
        <v>2345</v>
      </c>
      <c r="F1838" s="30" t="n">
        <v>42781</v>
      </c>
      <c r="G1838" s="30" t="n">
        <v>42879</v>
      </c>
      <c r="H1838" s="26" t="n">
        <f aca="false">G1838-F1838</f>
        <v>98</v>
      </c>
      <c r="I1838" s="10" t="n">
        <f aca="false">IF(E1838="Won",1,0)</f>
        <v>0</v>
      </c>
    </row>
    <row r="1839" customFormat="false" ht="15" hidden="false" customHeight="false" outlineLevel="0" collapsed="false">
      <c r="A1839" s="10" t="s">
        <v>4180</v>
      </c>
      <c r="B1839" s="10" t="s">
        <v>90</v>
      </c>
      <c r="C1839" s="10" t="s">
        <v>48</v>
      </c>
      <c r="D1839" s="10" t="s">
        <v>405</v>
      </c>
      <c r="E1839" s="10" t="s">
        <v>2345</v>
      </c>
      <c r="F1839" s="30" t="n">
        <v>42867</v>
      </c>
      <c r="G1839" s="30" t="n">
        <v>42879</v>
      </c>
      <c r="H1839" s="26" t="n">
        <f aca="false">G1839-F1839</f>
        <v>12</v>
      </c>
      <c r="I1839" s="10" t="n">
        <f aca="false">IF(E1839="Won",1,0)</f>
        <v>0</v>
      </c>
    </row>
    <row r="1840" customFormat="false" ht="15" hidden="false" customHeight="false" outlineLevel="0" collapsed="false">
      <c r="A1840" s="10" t="s">
        <v>4181</v>
      </c>
      <c r="B1840" s="10" t="s">
        <v>81</v>
      </c>
      <c r="C1840" s="10" t="s">
        <v>50</v>
      </c>
      <c r="D1840" s="10" t="s">
        <v>869</v>
      </c>
      <c r="E1840" s="10" t="s">
        <v>2345</v>
      </c>
      <c r="F1840" s="30" t="n">
        <v>42871</v>
      </c>
      <c r="G1840" s="30" t="n">
        <v>42879</v>
      </c>
      <c r="H1840" s="26" t="n">
        <f aca="false">G1840-F1840</f>
        <v>8</v>
      </c>
      <c r="I1840" s="10" t="n">
        <f aca="false">IF(E1840="Won",1,0)</f>
        <v>0</v>
      </c>
    </row>
    <row r="1841" customFormat="false" ht="15" hidden="false" customHeight="false" outlineLevel="0" collapsed="false">
      <c r="A1841" s="10" t="s">
        <v>4182</v>
      </c>
      <c r="B1841" s="10" t="s">
        <v>69</v>
      </c>
      <c r="C1841" s="10" t="s">
        <v>52</v>
      </c>
      <c r="D1841" s="10" t="s">
        <v>711</v>
      </c>
      <c r="E1841" s="10" t="s">
        <v>2342</v>
      </c>
      <c r="F1841" s="30" t="n">
        <v>42774</v>
      </c>
      <c r="G1841" s="30" t="n">
        <v>42879</v>
      </c>
      <c r="H1841" s="26" t="n">
        <f aca="false">G1841-F1841</f>
        <v>105</v>
      </c>
      <c r="I1841" s="10" t="n">
        <f aca="false">IF(E1841="Won",1,0)</f>
        <v>1</v>
      </c>
    </row>
    <row r="1842" customFormat="false" ht="15" hidden="false" customHeight="false" outlineLevel="0" collapsed="false">
      <c r="A1842" s="10" t="s">
        <v>4183</v>
      </c>
      <c r="B1842" s="10" t="s">
        <v>90</v>
      </c>
      <c r="C1842" s="10" t="s">
        <v>49</v>
      </c>
      <c r="D1842" s="10" t="s">
        <v>350</v>
      </c>
      <c r="E1842" s="10" t="s">
        <v>2342</v>
      </c>
      <c r="F1842" s="30" t="n">
        <v>42869</v>
      </c>
      <c r="G1842" s="30" t="n">
        <v>42879</v>
      </c>
      <c r="H1842" s="26" t="n">
        <f aca="false">G1842-F1842</f>
        <v>10</v>
      </c>
      <c r="I1842" s="10" t="n">
        <f aca="false">IF(E1842="Won",1,0)</f>
        <v>1</v>
      </c>
    </row>
    <row r="1843" customFormat="false" ht="15" hidden="false" customHeight="false" outlineLevel="0" collapsed="false">
      <c r="A1843" s="10" t="s">
        <v>4184</v>
      </c>
      <c r="B1843" s="10" t="s">
        <v>76</v>
      </c>
      <c r="C1843" s="10" t="s">
        <v>52</v>
      </c>
      <c r="D1843" s="10" t="s">
        <v>414</v>
      </c>
      <c r="E1843" s="10" t="s">
        <v>2342</v>
      </c>
      <c r="F1843" s="30" t="n">
        <v>42786</v>
      </c>
      <c r="G1843" s="30" t="n">
        <v>42879</v>
      </c>
      <c r="H1843" s="26" t="n">
        <f aca="false">G1843-F1843</f>
        <v>93</v>
      </c>
      <c r="I1843" s="10" t="n">
        <f aca="false">IF(E1843="Won",1,0)</f>
        <v>1</v>
      </c>
    </row>
    <row r="1844" customFormat="false" ht="15" hidden="false" customHeight="false" outlineLevel="0" collapsed="false">
      <c r="A1844" s="10" t="s">
        <v>4185</v>
      </c>
      <c r="B1844" s="10" t="s">
        <v>94</v>
      </c>
      <c r="C1844" s="10" t="s">
        <v>50</v>
      </c>
      <c r="D1844" s="10" t="s">
        <v>344</v>
      </c>
      <c r="E1844" s="10" t="s">
        <v>2345</v>
      </c>
      <c r="F1844" s="30" t="n">
        <v>42761</v>
      </c>
      <c r="G1844" s="30" t="n">
        <v>42879</v>
      </c>
      <c r="H1844" s="26" t="n">
        <f aca="false">G1844-F1844</f>
        <v>118</v>
      </c>
      <c r="I1844" s="10" t="n">
        <f aca="false">IF(E1844="Won",1,0)</f>
        <v>0</v>
      </c>
    </row>
    <row r="1845" customFormat="false" ht="15" hidden="false" customHeight="false" outlineLevel="0" collapsed="false">
      <c r="A1845" s="10" t="s">
        <v>4186</v>
      </c>
      <c r="B1845" s="10" t="s">
        <v>77</v>
      </c>
      <c r="C1845" s="10" t="s">
        <v>48</v>
      </c>
      <c r="D1845" s="10" t="s">
        <v>527</v>
      </c>
      <c r="E1845" s="10" t="s">
        <v>2342</v>
      </c>
      <c r="F1845" s="30" t="n">
        <v>42847</v>
      </c>
      <c r="G1845" s="30" t="n">
        <v>42879</v>
      </c>
      <c r="H1845" s="26" t="n">
        <f aca="false">G1845-F1845</f>
        <v>32</v>
      </c>
      <c r="I1845" s="10" t="n">
        <f aca="false">IF(E1845="Won",1,0)</f>
        <v>1</v>
      </c>
    </row>
    <row r="1846" customFormat="false" ht="15" hidden="false" customHeight="false" outlineLevel="0" collapsed="false">
      <c r="A1846" s="10" t="s">
        <v>4187</v>
      </c>
      <c r="B1846" s="10" t="s">
        <v>84</v>
      </c>
      <c r="C1846" s="10" t="s">
        <v>52</v>
      </c>
      <c r="D1846" s="10" t="s">
        <v>441</v>
      </c>
      <c r="E1846" s="10" t="s">
        <v>2342</v>
      </c>
      <c r="F1846" s="30" t="n">
        <v>42786</v>
      </c>
      <c r="G1846" s="30" t="n">
        <v>42879</v>
      </c>
      <c r="H1846" s="26" t="n">
        <f aca="false">G1846-F1846</f>
        <v>93</v>
      </c>
      <c r="I1846" s="10" t="n">
        <f aca="false">IF(E1846="Won",1,0)</f>
        <v>1</v>
      </c>
    </row>
    <row r="1847" customFormat="false" ht="15" hidden="false" customHeight="false" outlineLevel="0" collapsed="false">
      <c r="A1847" s="10" t="s">
        <v>4188</v>
      </c>
      <c r="B1847" s="10" t="s">
        <v>70</v>
      </c>
      <c r="C1847" s="10" t="s">
        <v>52</v>
      </c>
      <c r="D1847" s="10" t="s">
        <v>227</v>
      </c>
      <c r="E1847" s="10" t="s">
        <v>2345</v>
      </c>
      <c r="F1847" s="30" t="n">
        <v>42771</v>
      </c>
      <c r="G1847" s="30" t="n">
        <v>42879</v>
      </c>
      <c r="H1847" s="26" t="n">
        <f aca="false">G1847-F1847</f>
        <v>108</v>
      </c>
      <c r="I1847" s="10" t="n">
        <f aca="false">IF(E1847="Won",1,0)</f>
        <v>0</v>
      </c>
    </row>
    <row r="1848" customFormat="false" ht="15" hidden="false" customHeight="false" outlineLevel="0" collapsed="false">
      <c r="A1848" s="10" t="s">
        <v>4189</v>
      </c>
      <c r="B1848" s="10" t="s">
        <v>86</v>
      </c>
      <c r="C1848" s="10" t="s">
        <v>49</v>
      </c>
      <c r="D1848" s="10" t="s">
        <v>254</v>
      </c>
      <c r="E1848" s="10" t="s">
        <v>2342</v>
      </c>
      <c r="F1848" s="30" t="n">
        <v>42820</v>
      </c>
      <c r="G1848" s="30" t="n">
        <v>42880</v>
      </c>
      <c r="H1848" s="26" t="n">
        <f aca="false">G1848-F1848</f>
        <v>60</v>
      </c>
      <c r="I1848" s="10" t="n">
        <f aca="false">IF(E1848="Won",1,0)</f>
        <v>1</v>
      </c>
    </row>
    <row r="1849" customFormat="false" ht="15" hidden="false" customHeight="false" outlineLevel="0" collapsed="false">
      <c r="A1849" s="10" t="s">
        <v>4190</v>
      </c>
      <c r="B1849" s="10" t="s">
        <v>76</v>
      </c>
      <c r="C1849" s="10" t="s">
        <v>52</v>
      </c>
      <c r="D1849" s="10" t="s">
        <v>483</v>
      </c>
      <c r="E1849" s="10" t="s">
        <v>2345</v>
      </c>
      <c r="F1849" s="30" t="n">
        <v>42820</v>
      </c>
      <c r="G1849" s="30" t="n">
        <v>42880</v>
      </c>
      <c r="H1849" s="26" t="n">
        <f aca="false">G1849-F1849</f>
        <v>60</v>
      </c>
      <c r="I1849" s="10" t="n">
        <f aca="false">IF(E1849="Won",1,0)</f>
        <v>0</v>
      </c>
    </row>
    <row r="1850" customFormat="false" ht="15" hidden="false" customHeight="false" outlineLevel="0" collapsed="false">
      <c r="A1850" s="10" t="s">
        <v>4191</v>
      </c>
      <c r="B1850" s="10" t="s">
        <v>93</v>
      </c>
      <c r="C1850" s="10" t="s">
        <v>51</v>
      </c>
      <c r="D1850" s="10" t="s">
        <v>326</v>
      </c>
      <c r="E1850" s="10" t="s">
        <v>2342</v>
      </c>
      <c r="F1850" s="30" t="n">
        <v>42821</v>
      </c>
      <c r="G1850" s="30" t="n">
        <v>42880</v>
      </c>
      <c r="H1850" s="26" t="n">
        <f aca="false">G1850-F1850</f>
        <v>59</v>
      </c>
      <c r="I1850" s="10" t="n">
        <f aca="false">IF(E1850="Won",1,0)</f>
        <v>1</v>
      </c>
    </row>
    <row r="1851" customFormat="false" ht="15" hidden="false" customHeight="false" outlineLevel="0" collapsed="false">
      <c r="A1851" s="10" t="s">
        <v>4192</v>
      </c>
      <c r="B1851" s="10" t="s">
        <v>67</v>
      </c>
      <c r="C1851" s="10" t="s">
        <v>50</v>
      </c>
      <c r="D1851" s="10" t="s">
        <v>606</v>
      </c>
      <c r="E1851" s="10" t="s">
        <v>2342</v>
      </c>
      <c r="F1851" s="30" t="n">
        <v>42833</v>
      </c>
      <c r="G1851" s="30" t="n">
        <v>42880</v>
      </c>
      <c r="H1851" s="26" t="n">
        <f aca="false">G1851-F1851</f>
        <v>47</v>
      </c>
      <c r="I1851" s="10" t="n">
        <f aca="false">IF(E1851="Won",1,0)</f>
        <v>1</v>
      </c>
    </row>
    <row r="1852" customFormat="false" ht="15" hidden="false" customHeight="false" outlineLevel="0" collapsed="false">
      <c r="A1852" s="10" t="s">
        <v>4193</v>
      </c>
      <c r="B1852" s="10" t="s">
        <v>88</v>
      </c>
      <c r="C1852" s="10" t="s">
        <v>48</v>
      </c>
      <c r="D1852" s="10" t="s">
        <v>293</v>
      </c>
      <c r="E1852" s="10" t="s">
        <v>2342</v>
      </c>
      <c r="F1852" s="30" t="n">
        <v>42829</v>
      </c>
      <c r="G1852" s="30" t="n">
        <v>42880</v>
      </c>
      <c r="H1852" s="26" t="n">
        <f aca="false">G1852-F1852</f>
        <v>51</v>
      </c>
      <c r="I1852" s="10" t="n">
        <f aca="false">IF(E1852="Won",1,0)</f>
        <v>1</v>
      </c>
    </row>
    <row r="1853" customFormat="false" ht="15" hidden="false" customHeight="false" outlineLevel="0" collapsed="false">
      <c r="A1853" s="10" t="s">
        <v>4194</v>
      </c>
      <c r="B1853" s="10" t="s">
        <v>71</v>
      </c>
      <c r="C1853" s="10" t="s">
        <v>52</v>
      </c>
      <c r="D1853" s="10" t="s">
        <v>597</v>
      </c>
      <c r="E1853" s="10" t="s">
        <v>2342</v>
      </c>
      <c r="F1853" s="30" t="n">
        <v>42807</v>
      </c>
      <c r="G1853" s="30" t="n">
        <v>42880</v>
      </c>
      <c r="H1853" s="26" t="n">
        <f aca="false">G1853-F1853</f>
        <v>73</v>
      </c>
      <c r="I1853" s="10" t="n">
        <f aca="false">IF(E1853="Won",1,0)</f>
        <v>1</v>
      </c>
    </row>
    <row r="1854" customFormat="false" ht="15" hidden="false" customHeight="false" outlineLevel="0" collapsed="false">
      <c r="A1854" s="10" t="s">
        <v>4195</v>
      </c>
      <c r="B1854" s="10" t="s">
        <v>73</v>
      </c>
      <c r="C1854" s="10" t="s">
        <v>47</v>
      </c>
      <c r="D1854" s="10" t="s">
        <v>947</v>
      </c>
      <c r="E1854" s="10" t="s">
        <v>2342</v>
      </c>
      <c r="F1854" s="30" t="n">
        <v>42796</v>
      </c>
      <c r="G1854" s="30" t="n">
        <v>42880</v>
      </c>
      <c r="H1854" s="26" t="n">
        <f aca="false">G1854-F1854</f>
        <v>84</v>
      </c>
      <c r="I1854" s="10" t="n">
        <f aca="false">IF(E1854="Won",1,0)</f>
        <v>1</v>
      </c>
    </row>
    <row r="1855" customFormat="false" ht="15" hidden="false" customHeight="false" outlineLevel="0" collapsed="false">
      <c r="A1855" s="10" t="s">
        <v>4196</v>
      </c>
      <c r="B1855" s="10" t="s">
        <v>71</v>
      </c>
      <c r="C1855" s="10" t="s">
        <v>50</v>
      </c>
      <c r="D1855" s="10" t="s">
        <v>414</v>
      </c>
      <c r="E1855" s="10" t="s">
        <v>2345</v>
      </c>
      <c r="F1855" s="30" t="n">
        <v>42812</v>
      </c>
      <c r="G1855" s="30" t="n">
        <v>42880</v>
      </c>
      <c r="H1855" s="26" t="n">
        <f aca="false">G1855-F1855</f>
        <v>68</v>
      </c>
      <c r="I1855" s="10" t="n">
        <f aca="false">IF(E1855="Won",1,0)</f>
        <v>0</v>
      </c>
    </row>
    <row r="1856" customFormat="false" ht="15" hidden="false" customHeight="false" outlineLevel="0" collapsed="false">
      <c r="A1856" s="10" t="s">
        <v>4197</v>
      </c>
      <c r="B1856" s="10" t="s">
        <v>86</v>
      </c>
      <c r="C1856" s="10" t="s">
        <v>50</v>
      </c>
      <c r="D1856" s="10" t="s">
        <v>161</v>
      </c>
      <c r="E1856" s="10" t="s">
        <v>2345</v>
      </c>
      <c r="F1856" s="30" t="n">
        <v>42795</v>
      </c>
      <c r="G1856" s="30" t="n">
        <v>42880</v>
      </c>
      <c r="H1856" s="26" t="n">
        <f aca="false">G1856-F1856</f>
        <v>85</v>
      </c>
      <c r="I1856" s="10" t="n">
        <f aca="false">IF(E1856="Won",1,0)</f>
        <v>0</v>
      </c>
    </row>
    <row r="1857" customFormat="false" ht="15" hidden="false" customHeight="false" outlineLevel="0" collapsed="false">
      <c r="A1857" s="10" t="s">
        <v>4198</v>
      </c>
      <c r="B1857" s="10" t="s">
        <v>95</v>
      </c>
      <c r="C1857" s="10" t="s">
        <v>48</v>
      </c>
      <c r="D1857" s="10" t="s">
        <v>419</v>
      </c>
      <c r="E1857" s="10" t="s">
        <v>2345</v>
      </c>
      <c r="F1857" s="30" t="n">
        <v>42755</v>
      </c>
      <c r="G1857" s="30" t="n">
        <v>42880</v>
      </c>
      <c r="H1857" s="26" t="n">
        <f aca="false">G1857-F1857</f>
        <v>125</v>
      </c>
      <c r="I1857" s="10" t="n">
        <f aca="false">IF(E1857="Won",1,0)</f>
        <v>0</v>
      </c>
    </row>
    <row r="1858" customFormat="false" ht="15" hidden="false" customHeight="false" outlineLevel="0" collapsed="false">
      <c r="A1858" s="10" t="s">
        <v>4199</v>
      </c>
      <c r="B1858" s="10" t="s">
        <v>75</v>
      </c>
      <c r="C1858" s="10" t="s">
        <v>49</v>
      </c>
      <c r="D1858" s="10" t="s">
        <v>291</v>
      </c>
      <c r="E1858" s="10" t="s">
        <v>2345</v>
      </c>
      <c r="F1858" s="30" t="n">
        <v>42876</v>
      </c>
      <c r="G1858" s="30" t="n">
        <v>42880</v>
      </c>
      <c r="H1858" s="26" t="n">
        <f aca="false">G1858-F1858</f>
        <v>4</v>
      </c>
      <c r="I1858" s="10" t="n">
        <f aca="false">IF(E1858="Won",1,0)</f>
        <v>0</v>
      </c>
    </row>
    <row r="1859" customFormat="false" ht="15" hidden="false" customHeight="false" outlineLevel="0" collapsed="false">
      <c r="A1859" s="10" t="s">
        <v>4200</v>
      </c>
      <c r="B1859" s="10" t="s">
        <v>75</v>
      </c>
      <c r="C1859" s="10" t="s">
        <v>51</v>
      </c>
      <c r="D1859" s="10" t="s">
        <v>193</v>
      </c>
      <c r="E1859" s="10" t="s">
        <v>2342</v>
      </c>
      <c r="F1859" s="30" t="n">
        <v>42866</v>
      </c>
      <c r="G1859" s="30" t="n">
        <v>42880</v>
      </c>
      <c r="H1859" s="26" t="n">
        <f aca="false">G1859-F1859</f>
        <v>14</v>
      </c>
      <c r="I1859" s="10" t="n">
        <f aca="false">IF(E1859="Won",1,0)</f>
        <v>1</v>
      </c>
    </row>
    <row r="1860" customFormat="false" ht="15" hidden="false" customHeight="false" outlineLevel="0" collapsed="false">
      <c r="A1860" s="10" t="s">
        <v>4201</v>
      </c>
      <c r="B1860" s="10" t="s">
        <v>95</v>
      </c>
      <c r="C1860" s="10" t="s">
        <v>51</v>
      </c>
      <c r="D1860" s="10" t="s">
        <v>326</v>
      </c>
      <c r="E1860" s="10" t="s">
        <v>2342</v>
      </c>
      <c r="F1860" s="30" t="n">
        <v>42870</v>
      </c>
      <c r="G1860" s="30" t="n">
        <v>42880</v>
      </c>
      <c r="H1860" s="26" t="n">
        <f aca="false">G1860-F1860</f>
        <v>10</v>
      </c>
      <c r="I1860" s="10" t="n">
        <f aca="false">IF(E1860="Won",1,0)</f>
        <v>1</v>
      </c>
    </row>
    <row r="1861" customFormat="false" ht="15" hidden="false" customHeight="false" outlineLevel="0" collapsed="false">
      <c r="A1861" s="10" t="s">
        <v>4202</v>
      </c>
      <c r="B1861" s="10" t="s">
        <v>86</v>
      </c>
      <c r="C1861" s="10" t="s">
        <v>48</v>
      </c>
      <c r="D1861" s="10" t="s">
        <v>233</v>
      </c>
      <c r="E1861" s="10" t="s">
        <v>2342</v>
      </c>
      <c r="F1861" s="30" t="n">
        <v>42803</v>
      </c>
      <c r="G1861" s="30" t="n">
        <v>42880</v>
      </c>
      <c r="H1861" s="26" t="n">
        <f aca="false">G1861-F1861</f>
        <v>77</v>
      </c>
      <c r="I1861" s="10" t="n">
        <f aca="false">IF(E1861="Won",1,0)</f>
        <v>1</v>
      </c>
    </row>
    <row r="1862" customFormat="false" ht="15" hidden="false" customHeight="false" outlineLevel="0" collapsed="false">
      <c r="A1862" s="10" t="s">
        <v>4203</v>
      </c>
      <c r="B1862" s="10" t="s">
        <v>90</v>
      </c>
      <c r="C1862" s="10" t="s">
        <v>48</v>
      </c>
      <c r="D1862" s="10" t="s">
        <v>210</v>
      </c>
      <c r="E1862" s="10" t="s">
        <v>2345</v>
      </c>
      <c r="F1862" s="30" t="n">
        <v>42877</v>
      </c>
      <c r="G1862" s="30" t="n">
        <v>42880</v>
      </c>
      <c r="H1862" s="26" t="n">
        <f aca="false">G1862-F1862</f>
        <v>3</v>
      </c>
      <c r="I1862" s="10" t="n">
        <f aca="false">IF(E1862="Won",1,0)</f>
        <v>0</v>
      </c>
    </row>
    <row r="1863" customFormat="false" ht="15" hidden="false" customHeight="false" outlineLevel="0" collapsed="false">
      <c r="A1863" s="10" t="s">
        <v>4204</v>
      </c>
      <c r="B1863" s="10" t="s">
        <v>57</v>
      </c>
      <c r="C1863" s="10" t="s">
        <v>51</v>
      </c>
      <c r="D1863" s="10" t="s">
        <v>161</v>
      </c>
      <c r="E1863" s="10" t="s">
        <v>2342</v>
      </c>
      <c r="F1863" s="30" t="n">
        <v>42775</v>
      </c>
      <c r="G1863" s="30" t="n">
        <v>42880</v>
      </c>
      <c r="H1863" s="26" t="n">
        <f aca="false">G1863-F1863</f>
        <v>105</v>
      </c>
      <c r="I1863" s="10" t="n">
        <f aca="false">IF(E1863="Won",1,0)</f>
        <v>1</v>
      </c>
    </row>
    <row r="1864" customFormat="false" ht="15" hidden="false" customHeight="false" outlineLevel="0" collapsed="false">
      <c r="A1864" s="10" t="s">
        <v>4205</v>
      </c>
      <c r="B1864" s="10" t="s">
        <v>71</v>
      </c>
      <c r="C1864" s="10" t="s">
        <v>52</v>
      </c>
      <c r="D1864" s="10" t="s">
        <v>660</v>
      </c>
      <c r="E1864" s="10" t="s">
        <v>2345</v>
      </c>
      <c r="F1864" s="30" t="n">
        <v>42806</v>
      </c>
      <c r="G1864" s="30" t="n">
        <v>42880</v>
      </c>
      <c r="H1864" s="26" t="n">
        <f aca="false">G1864-F1864</f>
        <v>74</v>
      </c>
      <c r="I1864" s="10" t="n">
        <f aca="false">IF(E1864="Won",1,0)</f>
        <v>0</v>
      </c>
    </row>
    <row r="1865" customFormat="false" ht="15" hidden="false" customHeight="false" outlineLevel="0" collapsed="false">
      <c r="A1865" s="10" t="s">
        <v>4206</v>
      </c>
      <c r="B1865" s="10" t="s">
        <v>76</v>
      </c>
      <c r="C1865" s="10" t="s">
        <v>47</v>
      </c>
      <c r="D1865" s="10" t="s">
        <v>321</v>
      </c>
      <c r="E1865" s="10" t="s">
        <v>2342</v>
      </c>
      <c r="F1865" s="30" t="n">
        <v>42875</v>
      </c>
      <c r="G1865" s="30" t="n">
        <v>42880</v>
      </c>
      <c r="H1865" s="26" t="n">
        <f aca="false">G1865-F1865</f>
        <v>5</v>
      </c>
      <c r="I1865" s="10" t="n">
        <f aca="false">IF(E1865="Won",1,0)</f>
        <v>1</v>
      </c>
    </row>
    <row r="1866" customFormat="false" ht="15" hidden="false" customHeight="false" outlineLevel="0" collapsed="false">
      <c r="A1866" s="10" t="s">
        <v>4207</v>
      </c>
      <c r="B1866" s="10" t="s">
        <v>70</v>
      </c>
      <c r="C1866" s="10" t="s">
        <v>52</v>
      </c>
      <c r="D1866" s="10" t="s">
        <v>424</v>
      </c>
      <c r="E1866" s="10" t="s">
        <v>2342</v>
      </c>
      <c r="F1866" s="30" t="n">
        <v>42764</v>
      </c>
      <c r="G1866" s="30" t="n">
        <v>42880</v>
      </c>
      <c r="H1866" s="26" t="n">
        <f aca="false">G1866-F1866</f>
        <v>116</v>
      </c>
      <c r="I1866" s="10" t="n">
        <f aca="false">IF(E1866="Won",1,0)</f>
        <v>1</v>
      </c>
    </row>
    <row r="1867" customFormat="false" ht="15" hidden="false" customHeight="false" outlineLevel="0" collapsed="false">
      <c r="A1867" s="10" t="s">
        <v>4208</v>
      </c>
      <c r="B1867" s="10" t="s">
        <v>80</v>
      </c>
      <c r="C1867" s="10" t="s">
        <v>51</v>
      </c>
      <c r="D1867" s="10" t="s">
        <v>353</v>
      </c>
      <c r="E1867" s="10" t="s">
        <v>2345</v>
      </c>
      <c r="F1867" s="30" t="n">
        <v>42785</v>
      </c>
      <c r="G1867" s="30" t="n">
        <v>42880</v>
      </c>
      <c r="H1867" s="26" t="n">
        <f aca="false">G1867-F1867</f>
        <v>95</v>
      </c>
      <c r="I1867" s="10" t="n">
        <f aca="false">IF(E1867="Won",1,0)</f>
        <v>0</v>
      </c>
    </row>
    <row r="1868" customFormat="false" ht="15" hidden="false" customHeight="false" outlineLevel="0" collapsed="false">
      <c r="A1868" s="10" t="s">
        <v>4209</v>
      </c>
      <c r="B1868" s="10" t="s">
        <v>83</v>
      </c>
      <c r="C1868" s="10" t="s">
        <v>51</v>
      </c>
      <c r="D1868" s="10" t="s">
        <v>660</v>
      </c>
      <c r="E1868" s="10" t="s">
        <v>2345</v>
      </c>
      <c r="F1868" s="30" t="n">
        <v>42775</v>
      </c>
      <c r="G1868" s="30" t="n">
        <v>42880</v>
      </c>
      <c r="H1868" s="26" t="n">
        <f aca="false">G1868-F1868</f>
        <v>105</v>
      </c>
      <c r="I1868" s="10" t="n">
        <f aca="false">IF(E1868="Won",1,0)</f>
        <v>0</v>
      </c>
    </row>
    <row r="1869" customFormat="false" ht="15" hidden="false" customHeight="false" outlineLevel="0" collapsed="false">
      <c r="A1869" s="10" t="s">
        <v>4210</v>
      </c>
      <c r="B1869" s="10" t="s">
        <v>86</v>
      </c>
      <c r="C1869" s="10" t="s">
        <v>52</v>
      </c>
      <c r="D1869" s="10" t="s">
        <v>616</v>
      </c>
      <c r="E1869" s="10" t="s">
        <v>2345</v>
      </c>
      <c r="F1869" s="30" t="n">
        <v>42872</v>
      </c>
      <c r="G1869" s="30" t="n">
        <v>42880</v>
      </c>
      <c r="H1869" s="26" t="n">
        <f aca="false">G1869-F1869</f>
        <v>8</v>
      </c>
      <c r="I1869" s="10" t="n">
        <f aca="false">IF(E1869="Won",1,0)</f>
        <v>0</v>
      </c>
    </row>
    <row r="1870" customFormat="false" ht="15" hidden="false" customHeight="false" outlineLevel="0" collapsed="false">
      <c r="A1870" s="10" t="s">
        <v>4211</v>
      </c>
      <c r="B1870" s="10" t="s">
        <v>71</v>
      </c>
      <c r="C1870" s="10" t="s">
        <v>52</v>
      </c>
      <c r="D1870" s="10" t="s">
        <v>210</v>
      </c>
      <c r="E1870" s="10" t="s">
        <v>2342</v>
      </c>
      <c r="F1870" s="30" t="n">
        <v>42764</v>
      </c>
      <c r="G1870" s="30" t="n">
        <v>42880</v>
      </c>
      <c r="H1870" s="26" t="n">
        <f aca="false">G1870-F1870</f>
        <v>116</v>
      </c>
      <c r="I1870" s="10" t="n">
        <f aca="false">IF(E1870="Won",1,0)</f>
        <v>1</v>
      </c>
    </row>
    <row r="1871" customFormat="false" ht="15" hidden="false" customHeight="false" outlineLevel="0" collapsed="false">
      <c r="A1871" s="10" t="s">
        <v>4212</v>
      </c>
      <c r="B1871" s="10" t="s">
        <v>66</v>
      </c>
      <c r="C1871" s="10" t="s">
        <v>52</v>
      </c>
      <c r="D1871" s="10" t="s">
        <v>487</v>
      </c>
      <c r="E1871" s="10" t="s">
        <v>2345</v>
      </c>
      <c r="F1871" s="30" t="n">
        <v>42819</v>
      </c>
      <c r="G1871" s="30" t="n">
        <v>42880</v>
      </c>
      <c r="H1871" s="26" t="n">
        <f aca="false">G1871-F1871</f>
        <v>61</v>
      </c>
      <c r="I1871" s="10" t="n">
        <f aca="false">IF(E1871="Won",1,0)</f>
        <v>0</v>
      </c>
    </row>
    <row r="1872" customFormat="false" ht="15" hidden="false" customHeight="false" outlineLevel="0" collapsed="false">
      <c r="A1872" s="10" t="s">
        <v>4213</v>
      </c>
      <c r="B1872" s="10" t="s">
        <v>84</v>
      </c>
      <c r="C1872" s="10" t="s">
        <v>50</v>
      </c>
      <c r="D1872" s="10" t="s">
        <v>286</v>
      </c>
      <c r="E1872" s="10" t="s">
        <v>2345</v>
      </c>
      <c r="F1872" s="30" t="n">
        <v>42786</v>
      </c>
      <c r="G1872" s="30" t="n">
        <v>42880</v>
      </c>
      <c r="H1872" s="26" t="n">
        <f aca="false">G1872-F1872</f>
        <v>94</v>
      </c>
      <c r="I1872" s="10" t="n">
        <f aca="false">IF(E1872="Won",1,0)</f>
        <v>0</v>
      </c>
    </row>
    <row r="1873" customFormat="false" ht="15" hidden="false" customHeight="false" outlineLevel="0" collapsed="false">
      <c r="A1873" s="10" t="s">
        <v>4214</v>
      </c>
      <c r="B1873" s="10" t="s">
        <v>96</v>
      </c>
      <c r="C1873" s="10" t="s">
        <v>48</v>
      </c>
      <c r="D1873" s="10" t="s">
        <v>286</v>
      </c>
      <c r="E1873" s="10" t="s">
        <v>2342</v>
      </c>
      <c r="F1873" s="30" t="n">
        <v>42821</v>
      </c>
      <c r="G1873" s="30" t="n">
        <v>42881</v>
      </c>
      <c r="H1873" s="26" t="n">
        <f aca="false">G1873-F1873</f>
        <v>60</v>
      </c>
      <c r="I1873" s="10" t="n">
        <f aca="false">IF(E1873="Won",1,0)</f>
        <v>1</v>
      </c>
    </row>
    <row r="1874" customFormat="false" ht="15" hidden="false" customHeight="false" outlineLevel="0" collapsed="false">
      <c r="A1874" s="10" t="s">
        <v>4215</v>
      </c>
      <c r="B1874" s="10" t="s">
        <v>93</v>
      </c>
      <c r="C1874" s="10" t="s">
        <v>47</v>
      </c>
      <c r="D1874" s="10" t="s">
        <v>514</v>
      </c>
      <c r="E1874" s="10" t="s">
        <v>2342</v>
      </c>
      <c r="F1874" s="30" t="n">
        <v>42794</v>
      </c>
      <c r="G1874" s="30" t="n">
        <v>42881</v>
      </c>
      <c r="H1874" s="26" t="n">
        <f aca="false">G1874-F1874</f>
        <v>87</v>
      </c>
      <c r="I1874" s="10" t="n">
        <f aca="false">IF(E1874="Won",1,0)</f>
        <v>1</v>
      </c>
    </row>
    <row r="1875" customFormat="false" ht="15" hidden="false" customHeight="false" outlineLevel="0" collapsed="false">
      <c r="A1875" s="10" t="s">
        <v>4216</v>
      </c>
      <c r="B1875" s="10" t="s">
        <v>77</v>
      </c>
      <c r="C1875" s="10" t="s">
        <v>48</v>
      </c>
      <c r="D1875" s="10" t="s">
        <v>410</v>
      </c>
      <c r="E1875" s="10" t="s">
        <v>2342</v>
      </c>
      <c r="F1875" s="30" t="n">
        <v>42796</v>
      </c>
      <c r="G1875" s="30" t="n">
        <v>42881</v>
      </c>
      <c r="H1875" s="26" t="n">
        <f aca="false">G1875-F1875</f>
        <v>85</v>
      </c>
      <c r="I1875" s="10" t="n">
        <f aca="false">IF(E1875="Won",1,0)</f>
        <v>1</v>
      </c>
    </row>
    <row r="1876" customFormat="false" ht="15" hidden="false" customHeight="false" outlineLevel="0" collapsed="false">
      <c r="A1876" s="10" t="s">
        <v>4217</v>
      </c>
      <c r="B1876" s="10" t="s">
        <v>96</v>
      </c>
      <c r="C1876" s="10" t="s">
        <v>48</v>
      </c>
      <c r="D1876" s="10" t="s">
        <v>303</v>
      </c>
      <c r="E1876" s="10" t="s">
        <v>2345</v>
      </c>
      <c r="F1876" s="30" t="n">
        <v>42766</v>
      </c>
      <c r="G1876" s="30" t="n">
        <v>42881</v>
      </c>
      <c r="H1876" s="26" t="n">
        <f aca="false">G1876-F1876</f>
        <v>115</v>
      </c>
      <c r="I1876" s="10" t="n">
        <f aca="false">IF(E1876="Won",1,0)</f>
        <v>0</v>
      </c>
    </row>
    <row r="1877" customFormat="false" ht="15" hidden="false" customHeight="false" outlineLevel="0" collapsed="false">
      <c r="A1877" s="10" t="s">
        <v>4218</v>
      </c>
      <c r="B1877" s="10" t="s">
        <v>93</v>
      </c>
      <c r="C1877" s="10" t="s">
        <v>50</v>
      </c>
      <c r="D1877" s="10" t="s">
        <v>172</v>
      </c>
      <c r="E1877" s="10" t="s">
        <v>2345</v>
      </c>
      <c r="F1877" s="30" t="n">
        <v>42791</v>
      </c>
      <c r="G1877" s="30" t="n">
        <v>42881</v>
      </c>
      <c r="H1877" s="26" t="n">
        <f aca="false">G1877-F1877</f>
        <v>90</v>
      </c>
      <c r="I1877" s="10" t="n">
        <f aca="false">IF(E1877="Won",1,0)</f>
        <v>0</v>
      </c>
    </row>
    <row r="1878" customFormat="false" ht="15" hidden="false" customHeight="false" outlineLevel="0" collapsed="false">
      <c r="A1878" s="10" t="s">
        <v>4219</v>
      </c>
      <c r="B1878" s="10" t="s">
        <v>74</v>
      </c>
      <c r="C1878" s="10" t="s">
        <v>51</v>
      </c>
      <c r="D1878" s="10" t="s">
        <v>697</v>
      </c>
      <c r="E1878" s="10" t="s">
        <v>2345</v>
      </c>
      <c r="F1878" s="30" t="n">
        <v>42776</v>
      </c>
      <c r="G1878" s="30" t="n">
        <v>42881</v>
      </c>
      <c r="H1878" s="26" t="n">
        <f aca="false">G1878-F1878</f>
        <v>105</v>
      </c>
      <c r="I1878" s="10" t="n">
        <f aca="false">IF(E1878="Won",1,0)</f>
        <v>0</v>
      </c>
    </row>
    <row r="1879" customFormat="false" ht="15" hidden="false" customHeight="false" outlineLevel="0" collapsed="false">
      <c r="A1879" s="10" t="s">
        <v>4220</v>
      </c>
      <c r="B1879" s="10" t="s">
        <v>80</v>
      </c>
      <c r="C1879" s="10" t="s">
        <v>50</v>
      </c>
      <c r="D1879" s="10" t="s">
        <v>422</v>
      </c>
      <c r="E1879" s="10" t="s">
        <v>2342</v>
      </c>
      <c r="F1879" s="30" t="n">
        <v>42812</v>
      </c>
      <c r="G1879" s="30" t="n">
        <v>42881</v>
      </c>
      <c r="H1879" s="26" t="n">
        <f aca="false">G1879-F1879</f>
        <v>69</v>
      </c>
      <c r="I1879" s="10" t="n">
        <f aca="false">IF(E1879="Won",1,0)</f>
        <v>1</v>
      </c>
    </row>
    <row r="1880" customFormat="false" ht="15" hidden="false" customHeight="false" outlineLevel="0" collapsed="false">
      <c r="A1880" s="10" t="s">
        <v>4221</v>
      </c>
      <c r="B1880" s="10" t="s">
        <v>79</v>
      </c>
      <c r="C1880" s="10" t="s">
        <v>48</v>
      </c>
      <c r="D1880" s="10" t="s">
        <v>1251</v>
      </c>
      <c r="E1880" s="10" t="s">
        <v>2345</v>
      </c>
      <c r="F1880" s="30" t="n">
        <v>42791</v>
      </c>
      <c r="G1880" s="30" t="n">
        <v>42881</v>
      </c>
      <c r="H1880" s="26" t="n">
        <f aca="false">G1880-F1880</f>
        <v>90</v>
      </c>
      <c r="I1880" s="10" t="n">
        <f aca="false">IF(E1880="Won",1,0)</f>
        <v>0</v>
      </c>
    </row>
    <row r="1881" customFormat="false" ht="15" hidden="false" customHeight="false" outlineLevel="0" collapsed="false">
      <c r="A1881" s="10" t="s">
        <v>4222</v>
      </c>
      <c r="B1881" s="10" t="s">
        <v>75</v>
      </c>
      <c r="C1881" s="10" t="s">
        <v>49</v>
      </c>
      <c r="D1881" s="10" t="s">
        <v>483</v>
      </c>
      <c r="E1881" s="10" t="s">
        <v>2342</v>
      </c>
      <c r="F1881" s="30" t="n">
        <v>42823</v>
      </c>
      <c r="G1881" s="30" t="n">
        <v>42881</v>
      </c>
      <c r="H1881" s="26" t="n">
        <f aca="false">G1881-F1881</f>
        <v>58</v>
      </c>
      <c r="I1881" s="10" t="n">
        <f aca="false">IF(E1881="Won",1,0)</f>
        <v>1</v>
      </c>
    </row>
    <row r="1882" customFormat="false" ht="15" hidden="false" customHeight="false" outlineLevel="0" collapsed="false">
      <c r="A1882" s="10" t="s">
        <v>4223</v>
      </c>
      <c r="B1882" s="10" t="s">
        <v>90</v>
      </c>
      <c r="C1882" s="10" t="s">
        <v>50</v>
      </c>
      <c r="D1882" s="10" t="s">
        <v>185</v>
      </c>
      <c r="E1882" s="10" t="s">
        <v>2342</v>
      </c>
      <c r="F1882" s="30" t="n">
        <v>42874</v>
      </c>
      <c r="G1882" s="30" t="n">
        <v>42881</v>
      </c>
      <c r="H1882" s="26" t="n">
        <f aca="false">G1882-F1882</f>
        <v>7</v>
      </c>
      <c r="I1882" s="10" t="n">
        <f aca="false">IF(E1882="Won",1,0)</f>
        <v>1</v>
      </c>
    </row>
    <row r="1883" customFormat="false" ht="15" hidden="false" customHeight="false" outlineLevel="0" collapsed="false">
      <c r="A1883" s="10" t="s">
        <v>4224</v>
      </c>
      <c r="B1883" s="10" t="s">
        <v>96</v>
      </c>
      <c r="C1883" s="10" t="s">
        <v>49</v>
      </c>
      <c r="D1883" s="10" t="s">
        <v>168</v>
      </c>
      <c r="E1883" s="10" t="s">
        <v>2345</v>
      </c>
      <c r="F1883" s="30" t="n">
        <v>42822</v>
      </c>
      <c r="G1883" s="30" t="n">
        <v>42881</v>
      </c>
      <c r="H1883" s="26" t="n">
        <f aca="false">G1883-F1883</f>
        <v>59</v>
      </c>
      <c r="I1883" s="10" t="n">
        <f aca="false">IF(E1883="Won",1,0)</f>
        <v>0</v>
      </c>
    </row>
    <row r="1884" customFormat="false" ht="15" hidden="false" customHeight="false" outlineLevel="0" collapsed="false">
      <c r="A1884" s="10" t="s">
        <v>4225</v>
      </c>
      <c r="B1884" s="10" t="s">
        <v>88</v>
      </c>
      <c r="C1884" s="10" t="s">
        <v>51</v>
      </c>
      <c r="D1884" s="10" t="s">
        <v>350</v>
      </c>
      <c r="E1884" s="10" t="s">
        <v>2342</v>
      </c>
      <c r="F1884" s="30" t="n">
        <v>42791</v>
      </c>
      <c r="G1884" s="30" t="n">
        <v>42881</v>
      </c>
      <c r="H1884" s="26" t="n">
        <f aca="false">G1884-F1884</f>
        <v>90</v>
      </c>
      <c r="I1884" s="10" t="n">
        <f aca="false">IF(E1884="Won",1,0)</f>
        <v>1</v>
      </c>
    </row>
    <row r="1885" customFormat="false" ht="15" hidden="false" customHeight="false" outlineLevel="0" collapsed="false">
      <c r="A1885" s="10" t="s">
        <v>4226</v>
      </c>
      <c r="B1885" s="10" t="s">
        <v>70</v>
      </c>
      <c r="C1885" s="10" t="s">
        <v>52</v>
      </c>
      <c r="D1885" s="10" t="s">
        <v>506</v>
      </c>
      <c r="E1885" s="10" t="s">
        <v>2345</v>
      </c>
      <c r="F1885" s="30" t="n">
        <v>42802</v>
      </c>
      <c r="G1885" s="30" t="n">
        <v>42881</v>
      </c>
      <c r="H1885" s="26" t="n">
        <f aca="false">G1885-F1885</f>
        <v>79</v>
      </c>
      <c r="I1885" s="10" t="n">
        <f aca="false">IF(E1885="Won",1,0)</f>
        <v>0</v>
      </c>
    </row>
    <row r="1886" customFormat="false" ht="15" hidden="false" customHeight="false" outlineLevel="0" collapsed="false">
      <c r="A1886" s="10" t="s">
        <v>4227</v>
      </c>
      <c r="B1886" s="10" t="s">
        <v>61</v>
      </c>
      <c r="C1886" s="10" t="s">
        <v>47</v>
      </c>
      <c r="D1886" s="10" t="s">
        <v>532</v>
      </c>
      <c r="E1886" s="10" t="s">
        <v>2345</v>
      </c>
      <c r="F1886" s="30" t="n">
        <v>42870</v>
      </c>
      <c r="G1886" s="30" t="n">
        <v>42881</v>
      </c>
      <c r="H1886" s="26" t="n">
        <f aca="false">G1886-F1886</f>
        <v>11</v>
      </c>
      <c r="I1886" s="10" t="n">
        <f aca="false">IF(E1886="Won",1,0)</f>
        <v>0</v>
      </c>
    </row>
    <row r="1887" customFormat="false" ht="15" hidden="false" customHeight="false" outlineLevel="0" collapsed="false">
      <c r="A1887" s="10" t="s">
        <v>4228</v>
      </c>
      <c r="B1887" s="10" t="s">
        <v>57</v>
      </c>
      <c r="C1887" s="10" t="s">
        <v>52</v>
      </c>
      <c r="D1887" s="10" t="s">
        <v>441</v>
      </c>
      <c r="E1887" s="10" t="s">
        <v>2345</v>
      </c>
      <c r="F1887" s="30" t="n">
        <v>42784</v>
      </c>
      <c r="G1887" s="30" t="n">
        <v>42881</v>
      </c>
      <c r="H1887" s="26" t="n">
        <f aca="false">G1887-F1887</f>
        <v>97</v>
      </c>
      <c r="I1887" s="10" t="n">
        <f aca="false">IF(E1887="Won",1,0)</f>
        <v>0</v>
      </c>
    </row>
    <row r="1888" customFormat="false" ht="15" hidden="false" customHeight="false" outlineLevel="0" collapsed="false">
      <c r="A1888" s="10" t="s">
        <v>4229</v>
      </c>
      <c r="B1888" s="10" t="s">
        <v>67</v>
      </c>
      <c r="C1888" s="10" t="s">
        <v>49</v>
      </c>
      <c r="D1888" s="10" t="s">
        <v>175</v>
      </c>
      <c r="E1888" s="10" t="s">
        <v>2342</v>
      </c>
      <c r="F1888" s="30" t="n">
        <v>42793</v>
      </c>
      <c r="G1888" s="30" t="n">
        <v>42881</v>
      </c>
      <c r="H1888" s="26" t="n">
        <f aca="false">G1888-F1888</f>
        <v>88</v>
      </c>
      <c r="I1888" s="10" t="n">
        <f aca="false">IF(E1888="Won",1,0)</f>
        <v>1</v>
      </c>
    </row>
    <row r="1889" customFormat="false" ht="15" hidden="false" customHeight="false" outlineLevel="0" collapsed="false">
      <c r="A1889" s="10" t="s">
        <v>4230</v>
      </c>
      <c r="B1889" s="10" t="s">
        <v>68</v>
      </c>
      <c r="C1889" s="10" t="s">
        <v>51</v>
      </c>
      <c r="D1889" s="10" t="s">
        <v>424</v>
      </c>
      <c r="E1889" s="10" t="s">
        <v>2345</v>
      </c>
      <c r="F1889" s="30" t="n">
        <v>42878</v>
      </c>
      <c r="G1889" s="30" t="n">
        <v>42881</v>
      </c>
      <c r="H1889" s="26" t="n">
        <f aca="false">G1889-F1889</f>
        <v>3</v>
      </c>
      <c r="I1889" s="10" t="n">
        <f aca="false">IF(E1889="Won",1,0)</f>
        <v>0</v>
      </c>
    </row>
    <row r="1890" customFormat="false" ht="15" hidden="false" customHeight="false" outlineLevel="0" collapsed="false">
      <c r="A1890" s="10" t="s">
        <v>4231</v>
      </c>
      <c r="B1890" s="10" t="s">
        <v>77</v>
      </c>
      <c r="C1890" s="10" t="s">
        <v>49</v>
      </c>
      <c r="D1890" s="10" t="s">
        <v>353</v>
      </c>
      <c r="E1890" s="10" t="s">
        <v>2342</v>
      </c>
      <c r="F1890" s="30" t="n">
        <v>42796</v>
      </c>
      <c r="G1890" s="30" t="n">
        <v>42881</v>
      </c>
      <c r="H1890" s="26" t="n">
        <f aca="false">G1890-F1890</f>
        <v>85</v>
      </c>
      <c r="I1890" s="10" t="n">
        <f aca="false">IF(E1890="Won",1,0)</f>
        <v>1</v>
      </c>
    </row>
    <row r="1891" customFormat="false" ht="15" hidden="false" customHeight="false" outlineLevel="0" collapsed="false">
      <c r="A1891" s="10" t="s">
        <v>4232</v>
      </c>
      <c r="B1891" s="10" t="s">
        <v>94</v>
      </c>
      <c r="C1891" s="10" t="s">
        <v>48</v>
      </c>
      <c r="D1891" s="10" t="s">
        <v>514</v>
      </c>
      <c r="E1891" s="10" t="s">
        <v>2345</v>
      </c>
      <c r="F1891" s="30" t="n">
        <v>42828</v>
      </c>
      <c r="G1891" s="30" t="n">
        <v>42881</v>
      </c>
      <c r="H1891" s="26" t="n">
        <f aca="false">G1891-F1891</f>
        <v>53</v>
      </c>
      <c r="I1891" s="10" t="n">
        <f aca="false">IF(E1891="Won",1,0)</f>
        <v>0</v>
      </c>
    </row>
    <row r="1892" customFormat="false" ht="15" hidden="false" customHeight="false" outlineLevel="0" collapsed="false">
      <c r="A1892" s="10" t="s">
        <v>4233</v>
      </c>
      <c r="B1892" s="10" t="s">
        <v>96</v>
      </c>
      <c r="C1892" s="10" t="s">
        <v>50</v>
      </c>
      <c r="D1892" s="10" t="s">
        <v>396</v>
      </c>
      <c r="E1892" s="10" t="s">
        <v>2342</v>
      </c>
      <c r="F1892" s="30" t="n">
        <v>42818</v>
      </c>
      <c r="G1892" s="30" t="n">
        <v>42881</v>
      </c>
      <c r="H1892" s="26" t="n">
        <f aca="false">G1892-F1892</f>
        <v>63</v>
      </c>
      <c r="I1892" s="10" t="n">
        <f aca="false">IF(E1892="Won",1,0)</f>
        <v>1</v>
      </c>
    </row>
    <row r="1893" customFormat="false" ht="15" hidden="false" customHeight="false" outlineLevel="0" collapsed="false">
      <c r="A1893" s="10" t="s">
        <v>4234</v>
      </c>
      <c r="B1893" s="10" t="s">
        <v>70</v>
      </c>
      <c r="C1893" s="10" t="s">
        <v>51</v>
      </c>
      <c r="D1893" s="10" t="s">
        <v>396</v>
      </c>
      <c r="E1893" s="10" t="s">
        <v>2345</v>
      </c>
      <c r="F1893" s="30" t="n">
        <v>42867</v>
      </c>
      <c r="G1893" s="30" t="n">
        <v>42881</v>
      </c>
      <c r="H1893" s="26" t="n">
        <f aca="false">G1893-F1893</f>
        <v>14</v>
      </c>
      <c r="I1893" s="10" t="n">
        <f aca="false">IF(E1893="Won",1,0)</f>
        <v>0</v>
      </c>
    </row>
    <row r="1894" customFormat="false" ht="15" hidden="false" customHeight="false" outlineLevel="0" collapsed="false">
      <c r="A1894" s="10" t="s">
        <v>4235</v>
      </c>
      <c r="B1894" s="10" t="s">
        <v>77</v>
      </c>
      <c r="C1894" s="10" t="s">
        <v>48</v>
      </c>
      <c r="D1894" s="10" t="s">
        <v>1251</v>
      </c>
      <c r="E1894" s="10" t="s">
        <v>2345</v>
      </c>
      <c r="F1894" s="30" t="n">
        <v>42761</v>
      </c>
      <c r="G1894" s="30" t="n">
        <v>42881</v>
      </c>
      <c r="H1894" s="26" t="n">
        <f aca="false">G1894-F1894</f>
        <v>120</v>
      </c>
      <c r="I1894" s="10" t="n">
        <f aca="false">IF(E1894="Won",1,0)</f>
        <v>0</v>
      </c>
    </row>
    <row r="1895" customFormat="false" ht="15" hidden="false" customHeight="false" outlineLevel="0" collapsed="false">
      <c r="A1895" s="10" t="s">
        <v>4236</v>
      </c>
      <c r="B1895" s="10" t="s">
        <v>77</v>
      </c>
      <c r="C1895" s="10" t="s">
        <v>48</v>
      </c>
      <c r="D1895" s="10" t="s">
        <v>193</v>
      </c>
      <c r="E1895" s="10" t="s">
        <v>2345</v>
      </c>
      <c r="F1895" s="30" t="n">
        <v>42806</v>
      </c>
      <c r="G1895" s="30" t="n">
        <v>42881</v>
      </c>
      <c r="H1895" s="26" t="n">
        <f aca="false">G1895-F1895</f>
        <v>75</v>
      </c>
      <c r="I1895" s="10" t="n">
        <f aca="false">IF(E1895="Won",1,0)</f>
        <v>0</v>
      </c>
    </row>
    <row r="1896" customFormat="false" ht="15" hidden="false" customHeight="false" outlineLevel="0" collapsed="false">
      <c r="A1896" s="10" t="s">
        <v>4237</v>
      </c>
      <c r="B1896" s="10" t="s">
        <v>71</v>
      </c>
      <c r="C1896" s="10" t="s">
        <v>52</v>
      </c>
      <c r="D1896" s="10" t="s">
        <v>512</v>
      </c>
      <c r="E1896" s="10" t="s">
        <v>2342</v>
      </c>
      <c r="F1896" s="30" t="n">
        <v>42866</v>
      </c>
      <c r="G1896" s="30" t="n">
        <v>42881</v>
      </c>
      <c r="H1896" s="26" t="n">
        <f aca="false">G1896-F1896</f>
        <v>15</v>
      </c>
      <c r="I1896" s="10" t="n">
        <f aca="false">IF(E1896="Won",1,0)</f>
        <v>1</v>
      </c>
    </row>
    <row r="1897" customFormat="false" ht="15" hidden="false" customHeight="false" outlineLevel="0" collapsed="false">
      <c r="A1897" s="10" t="s">
        <v>4238</v>
      </c>
      <c r="B1897" s="10" t="s">
        <v>63</v>
      </c>
      <c r="C1897" s="10" t="s">
        <v>51</v>
      </c>
      <c r="D1897" s="10" t="s">
        <v>185</v>
      </c>
      <c r="E1897" s="10" t="s">
        <v>2342</v>
      </c>
      <c r="F1897" s="30" t="n">
        <v>42766</v>
      </c>
      <c r="G1897" s="30" t="n">
        <v>42881</v>
      </c>
      <c r="H1897" s="26" t="n">
        <f aca="false">G1897-F1897</f>
        <v>115</v>
      </c>
      <c r="I1897" s="10" t="n">
        <f aca="false">IF(E1897="Won",1,0)</f>
        <v>1</v>
      </c>
    </row>
    <row r="1898" customFormat="false" ht="15" hidden="false" customHeight="false" outlineLevel="0" collapsed="false">
      <c r="A1898" s="10" t="s">
        <v>4239</v>
      </c>
      <c r="B1898" s="10" t="s">
        <v>79</v>
      </c>
      <c r="C1898" s="10" t="s">
        <v>50</v>
      </c>
      <c r="D1898" s="10" t="s">
        <v>527</v>
      </c>
      <c r="E1898" s="10" t="s">
        <v>2345</v>
      </c>
      <c r="F1898" s="30" t="n">
        <v>42770</v>
      </c>
      <c r="G1898" s="30" t="n">
        <v>42881</v>
      </c>
      <c r="H1898" s="26" t="n">
        <f aca="false">G1898-F1898</f>
        <v>111</v>
      </c>
      <c r="I1898" s="10" t="n">
        <f aca="false">IF(E1898="Won",1,0)</f>
        <v>0</v>
      </c>
    </row>
    <row r="1899" customFormat="false" ht="15" hidden="false" customHeight="false" outlineLevel="0" collapsed="false">
      <c r="A1899" s="10" t="s">
        <v>4240</v>
      </c>
      <c r="B1899" s="10" t="s">
        <v>75</v>
      </c>
      <c r="C1899" s="10" t="s">
        <v>51</v>
      </c>
      <c r="D1899" s="10" t="s">
        <v>527</v>
      </c>
      <c r="E1899" s="10" t="s">
        <v>2342</v>
      </c>
      <c r="F1899" s="30" t="n">
        <v>42792</v>
      </c>
      <c r="G1899" s="30" t="n">
        <v>42881</v>
      </c>
      <c r="H1899" s="26" t="n">
        <f aca="false">G1899-F1899</f>
        <v>89</v>
      </c>
      <c r="I1899" s="10" t="n">
        <f aca="false">IF(E1899="Won",1,0)</f>
        <v>1</v>
      </c>
    </row>
    <row r="1900" customFormat="false" ht="15" hidden="false" customHeight="false" outlineLevel="0" collapsed="false">
      <c r="A1900" s="10" t="s">
        <v>4241</v>
      </c>
      <c r="B1900" s="10" t="s">
        <v>76</v>
      </c>
      <c r="C1900" s="10" t="s">
        <v>52</v>
      </c>
      <c r="D1900" s="10" t="s">
        <v>369</v>
      </c>
      <c r="E1900" s="10" t="s">
        <v>2345</v>
      </c>
      <c r="F1900" s="30" t="n">
        <v>42838</v>
      </c>
      <c r="G1900" s="30" t="n">
        <v>42881</v>
      </c>
      <c r="H1900" s="26" t="n">
        <f aca="false">G1900-F1900</f>
        <v>43</v>
      </c>
      <c r="I1900" s="10" t="n">
        <f aca="false">IF(E1900="Won",1,0)</f>
        <v>0</v>
      </c>
    </row>
    <row r="1901" customFormat="false" ht="15" hidden="false" customHeight="false" outlineLevel="0" collapsed="false">
      <c r="A1901" s="10" t="s">
        <v>4242</v>
      </c>
      <c r="B1901" s="10" t="s">
        <v>57</v>
      </c>
      <c r="C1901" s="10" t="s">
        <v>51</v>
      </c>
      <c r="D1901" s="10" t="s">
        <v>277</v>
      </c>
      <c r="E1901" s="10" t="s">
        <v>2342</v>
      </c>
      <c r="F1901" s="30" t="n">
        <v>42878</v>
      </c>
      <c r="G1901" s="30" t="n">
        <v>42881</v>
      </c>
      <c r="H1901" s="26" t="n">
        <f aca="false">G1901-F1901</f>
        <v>3</v>
      </c>
      <c r="I1901" s="10" t="n">
        <f aca="false">IF(E1901="Won",1,0)</f>
        <v>1</v>
      </c>
    </row>
    <row r="1902" customFormat="false" ht="15" hidden="false" customHeight="false" outlineLevel="0" collapsed="false">
      <c r="A1902" s="10" t="s">
        <v>4243</v>
      </c>
      <c r="B1902" s="10" t="s">
        <v>70</v>
      </c>
      <c r="C1902" s="10" t="s">
        <v>52</v>
      </c>
      <c r="D1902" s="10" t="s">
        <v>437</v>
      </c>
      <c r="E1902" s="10" t="s">
        <v>2342</v>
      </c>
      <c r="F1902" s="30" t="n">
        <v>42806</v>
      </c>
      <c r="G1902" s="30" t="n">
        <v>42881</v>
      </c>
      <c r="H1902" s="26" t="n">
        <f aca="false">G1902-F1902</f>
        <v>75</v>
      </c>
      <c r="I1902" s="10" t="n">
        <f aca="false">IF(E1902="Won",1,0)</f>
        <v>1</v>
      </c>
    </row>
    <row r="1903" customFormat="false" ht="15" hidden="false" customHeight="false" outlineLevel="0" collapsed="false">
      <c r="A1903" s="10" t="s">
        <v>4244</v>
      </c>
      <c r="B1903" s="10" t="s">
        <v>97</v>
      </c>
      <c r="C1903" s="10" t="s">
        <v>52</v>
      </c>
      <c r="D1903" s="10" t="s">
        <v>424</v>
      </c>
      <c r="E1903" s="10" t="s">
        <v>2345</v>
      </c>
      <c r="F1903" s="30" t="n">
        <v>42872</v>
      </c>
      <c r="G1903" s="30" t="n">
        <v>42881</v>
      </c>
      <c r="H1903" s="26" t="n">
        <f aca="false">G1903-F1903</f>
        <v>9</v>
      </c>
      <c r="I1903" s="10" t="n">
        <f aca="false">IF(E1903="Won",1,0)</f>
        <v>0</v>
      </c>
    </row>
    <row r="1904" customFormat="false" ht="15" hidden="false" customHeight="false" outlineLevel="0" collapsed="false">
      <c r="A1904" s="10" t="s">
        <v>4245</v>
      </c>
      <c r="B1904" s="10" t="s">
        <v>81</v>
      </c>
      <c r="C1904" s="10" t="s">
        <v>52</v>
      </c>
      <c r="D1904" s="10" t="s">
        <v>321</v>
      </c>
      <c r="E1904" s="10" t="s">
        <v>2345</v>
      </c>
      <c r="F1904" s="30" t="n">
        <v>42799</v>
      </c>
      <c r="G1904" s="30" t="n">
        <v>42881</v>
      </c>
      <c r="H1904" s="26" t="n">
        <f aca="false">G1904-F1904</f>
        <v>82</v>
      </c>
      <c r="I1904" s="10" t="n">
        <f aca="false">IF(E1904="Won",1,0)</f>
        <v>0</v>
      </c>
    </row>
    <row r="1905" customFormat="false" ht="15" hidden="false" customHeight="false" outlineLevel="0" collapsed="false">
      <c r="A1905" s="10" t="s">
        <v>4246</v>
      </c>
      <c r="B1905" s="10" t="s">
        <v>76</v>
      </c>
      <c r="C1905" s="10" t="s">
        <v>47</v>
      </c>
      <c r="D1905" s="10" t="s">
        <v>536</v>
      </c>
      <c r="E1905" s="10" t="s">
        <v>2342</v>
      </c>
      <c r="F1905" s="30" t="n">
        <v>42847</v>
      </c>
      <c r="G1905" s="30" t="n">
        <v>42881</v>
      </c>
      <c r="H1905" s="26" t="n">
        <f aca="false">G1905-F1905</f>
        <v>34</v>
      </c>
      <c r="I1905" s="10" t="n">
        <f aca="false">IF(E1905="Won",1,0)</f>
        <v>1</v>
      </c>
    </row>
    <row r="1906" customFormat="false" ht="15" hidden="false" customHeight="false" outlineLevel="0" collapsed="false">
      <c r="A1906" s="10" t="s">
        <v>4247</v>
      </c>
      <c r="B1906" s="10" t="s">
        <v>83</v>
      </c>
      <c r="C1906" s="10" t="s">
        <v>52</v>
      </c>
      <c r="D1906" s="10" t="s">
        <v>961</v>
      </c>
      <c r="E1906" s="10" t="s">
        <v>2345</v>
      </c>
      <c r="F1906" s="30" t="n">
        <v>42861</v>
      </c>
      <c r="G1906" s="30" t="n">
        <v>42881</v>
      </c>
      <c r="H1906" s="26" t="n">
        <f aca="false">G1906-F1906</f>
        <v>20</v>
      </c>
      <c r="I1906" s="10" t="n">
        <f aca="false">IF(E1906="Won",1,0)</f>
        <v>0</v>
      </c>
    </row>
    <row r="1907" customFormat="false" ht="15" hidden="false" customHeight="false" outlineLevel="0" collapsed="false">
      <c r="A1907" s="10" t="s">
        <v>4248</v>
      </c>
      <c r="B1907" s="10" t="s">
        <v>97</v>
      </c>
      <c r="C1907" s="10" t="s">
        <v>51</v>
      </c>
      <c r="D1907" s="10" t="s">
        <v>227</v>
      </c>
      <c r="E1907" s="10" t="s">
        <v>2345</v>
      </c>
      <c r="F1907" s="30" t="n">
        <v>42772</v>
      </c>
      <c r="G1907" s="30" t="n">
        <v>42882</v>
      </c>
      <c r="H1907" s="26" t="n">
        <f aca="false">G1907-F1907</f>
        <v>110</v>
      </c>
      <c r="I1907" s="10" t="n">
        <f aca="false">IF(E1907="Won",1,0)</f>
        <v>0</v>
      </c>
    </row>
    <row r="1908" customFormat="false" ht="15" hidden="false" customHeight="false" outlineLevel="0" collapsed="false">
      <c r="A1908" s="10" t="s">
        <v>4249</v>
      </c>
      <c r="B1908" s="10" t="s">
        <v>74</v>
      </c>
      <c r="C1908" s="10" t="s">
        <v>47</v>
      </c>
      <c r="D1908" s="10" t="s">
        <v>512</v>
      </c>
      <c r="E1908" s="10" t="s">
        <v>2342</v>
      </c>
      <c r="F1908" s="30" t="n">
        <v>42806</v>
      </c>
      <c r="G1908" s="30" t="n">
        <v>42882</v>
      </c>
      <c r="H1908" s="26" t="n">
        <f aca="false">G1908-F1908</f>
        <v>76</v>
      </c>
      <c r="I1908" s="10" t="n">
        <f aca="false">IF(E1908="Won",1,0)</f>
        <v>1</v>
      </c>
    </row>
    <row r="1909" customFormat="false" ht="15" hidden="false" customHeight="false" outlineLevel="0" collapsed="false">
      <c r="A1909" s="10" t="s">
        <v>4250</v>
      </c>
      <c r="B1909" s="10" t="s">
        <v>87</v>
      </c>
      <c r="C1909" s="10" t="s">
        <v>51</v>
      </c>
      <c r="D1909" s="10" t="s">
        <v>674</v>
      </c>
      <c r="E1909" s="10" t="s">
        <v>2342</v>
      </c>
      <c r="F1909" s="30" t="n">
        <v>42792</v>
      </c>
      <c r="G1909" s="30" t="n">
        <v>42882</v>
      </c>
      <c r="H1909" s="26" t="n">
        <f aca="false">G1909-F1909</f>
        <v>90</v>
      </c>
      <c r="I1909" s="10" t="n">
        <f aca="false">IF(E1909="Won",1,0)</f>
        <v>1</v>
      </c>
    </row>
    <row r="1910" customFormat="false" ht="15" hidden="false" customHeight="false" outlineLevel="0" collapsed="false">
      <c r="A1910" s="10" t="s">
        <v>4251</v>
      </c>
      <c r="B1910" s="10" t="s">
        <v>84</v>
      </c>
      <c r="C1910" s="10" t="s">
        <v>48</v>
      </c>
      <c r="D1910" s="10" t="s">
        <v>233</v>
      </c>
      <c r="E1910" s="10" t="s">
        <v>2345</v>
      </c>
      <c r="F1910" s="30" t="n">
        <v>42843</v>
      </c>
      <c r="G1910" s="30" t="n">
        <v>42882</v>
      </c>
      <c r="H1910" s="26" t="n">
        <f aca="false">G1910-F1910</f>
        <v>39</v>
      </c>
      <c r="I1910" s="10" t="n">
        <f aca="false">IF(E1910="Won",1,0)</f>
        <v>0</v>
      </c>
    </row>
    <row r="1911" customFormat="false" ht="15" hidden="false" customHeight="false" outlineLevel="0" collapsed="false">
      <c r="A1911" s="10" t="s">
        <v>4252</v>
      </c>
      <c r="B1911" s="10" t="s">
        <v>70</v>
      </c>
      <c r="C1911" s="10" t="s">
        <v>47</v>
      </c>
      <c r="D1911" s="10" t="s">
        <v>384</v>
      </c>
      <c r="E1911" s="10" t="s">
        <v>2345</v>
      </c>
      <c r="F1911" s="30" t="n">
        <v>42808</v>
      </c>
      <c r="G1911" s="30" t="n">
        <v>42882</v>
      </c>
      <c r="H1911" s="26" t="n">
        <f aca="false">G1911-F1911</f>
        <v>74</v>
      </c>
      <c r="I1911" s="10" t="n">
        <f aca="false">IF(E1911="Won",1,0)</f>
        <v>0</v>
      </c>
    </row>
    <row r="1912" customFormat="false" ht="15" hidden="false" customHeight="false" outlineLevel="0" collapsed="false">
      <c r="A1912" s="10" t="s">
        <v>4253</v>
      </c>
      <c r="B1912" s="10" t="s">
        <v>94</v>
      </c>
      <c r="C1912" s="10" t="s">
        <v>50</v>
      </c>
      <c r="D1912" s="10" t="s">
        <v>483</v>
      </c>
      <c r="E1912" s="10" t="s">
        <v>2342</v>
      </c>
      <c r="F1912" s="30" t="n">
        <v>42812</v>
      </c>
      <c r="G1912" s="30" t="n">
        <v>42882</v>
      </c>
      <c r="H1912" s="26" t="n">
        <f aca="false">G1912-F1912</f>
        <v>70</v>
      </c>
      <c r="I1912" s="10" t="n">
        <f aca="false">IF(E1912="Won",1,0)</f>
        <v>1</v>
      </c>
    </row>
    <row r="1913" customFormat="false" ht="15" hidden="false" customHeight="false" outlineLevel="0" collapsed="false">
      <c r="A1913" s="10" t="s">
        <v>4254</v>
      </c>
      <c r="B1913" s="10" t="s">
        <v>73</v>
      </c>
      <c r="C1913" s="10" t="s">
        <v>49</v>
      </c>
      <c r="D1913" s="10" t="s">
        <v>527</v>
      </c>
      <c r="E1913" s="10" t="s">
        <v>2342</v>
      </c>
      <c r="F1913" s="30" t="n">
        <v>42868</v>
      </c>
      <c r="G1913" s="30" t="n">
        <v>42882</v>
      </c>
      <c r="H1913" s="26" t="n">
        <f aca="false">G1913-F1913</f>
        <v>14</v>
      </c>
      <c r="I1913" s="10" t="n">
        <f aca="false">IF(E1913="Won",1,0)</f>
        <v>1</v>
      </c>
    </row>
    <row r="1914" customFormat="false" ht="15" hidden="false" customHeight="false" outlineLevel="0" collapsed="false">
      <c r="A1914" s="10" t="s">
        <v>4255</v>
      </c>
      <c r="B1914" s="10" t="s">
        <v>77</v>
      </c>
      <c r="C1914" s="10" t="s">
        <v>48</v>
      </c>
      <c r="D1914" s="10" t="s">
        <v>512</v>
      </c>
      <c r="E1914" s="10" t="s">
        <v>2345</v>
      </c>
      <c r="F1914" s="30" t="n">
        <v>42763</v>
      </c>
      <c r="G1914" s="30" t="n">
        <v>42882</v>
      </c>
      <c r="H1914" s="26" t="n">
        <f aca="false">G1914-F1914</f>
        <v>119</v>
      </c>
      <c r="I1914" s="10" t="n">
        <f aca="false">IF(E1914="Won",1,0)</f>
        <v>0</v>
      </c>
    </row>
    <row r="1915" customFormat="false" ht="15" hidden="false" customHeight="false" outlineLevel="0" collapsed="false">
      <c r="A1915" s="10" t="s">
        <v>4256</v>
      </c>
      <c r="B1915" s="10" t="s">
        <v>90</v>
      </c>
      <c r="C1915" s="10" t="s">
        <v>51</v>
      </c>
      <c r="D1915" s="10" t="s">
        <v>218</v>
      </c>
      <c r="E1915" s="10" t="s">
        <v>2342</v>
      </c>
      <c r="F1915" s="30" t="n">
        <v>42877</v>
      </c>
      <c r="G1915" s="30" t="n">
        <v>42882</v>
      </c>
      <c r="H1915" s="26" t="n">
        <f aca="false">G1915-F1915</f>
        <v>5</v>
      </c>
      <c r="I1915" s="10" t="n">
        <f aca="false">IF(E1915="Won",1,0)</f>
        <v>1</v>
      </c>
    </row>
    <row r="1916" customFormat="false" ht="15" hidden="false" customHeight="false" outlineLevel="0" collapsed="false">
      <c r="A1916" s="10" t="s">
        <v>4257</v>
      </c>
      <c r="B1916" s="10" t="s">
        <v>62</v>
      </c>
      <c r="C1916" s="10" t="s">
        <v>49</v>
      </c>
      <c r="D1916" s="10" t="s">
        <v>332</v>
      </c>
      <c r="E1916" s="10" t="s">
        <v>2342</v>
      </c>
      <c r="F1916" s="30" t="n">
        <v>42793</v>
      </c>
      <c r="G1916" s="30" t="n">
        <v>42882</v>
      </c>
      <c r="H1916" s="26" t="n">
        <f aca="false">G1916-F1916</f>
        <v>89</v>
      </c>
      <c r="I1916" s="10" t="n">
        <f aca="false">IF(E1916="Won",1,0)</f>
        <v>1</v>
      </c>
    </row>
    <row r="1917" customFormat="false" ht="15" hidden="false" customHeight="false" outlineLevel="0" collapsed="false">
      <c r="A1917" s="10" t="s">
        <v>4258</v>
      </c>
      <c r="B1917" s="10" t="s">
        <v>67</v>
      </c>
      <c r="C1917" s="10" t="s">
        <v>50</v>
      </c>
      <c r="D1917" s="10" t="s">
        <v>337</v>
      </c>
      <c r="E1917" s="10" t="s">
        <v>2345</v>
      </c>
      <c r="F1917" s="30" t="n">
        <v>42788</v>
      </c>
      <c r="G1917" s="30" t="n">
        <v>42882</v>
      </c>
      <c r="H1917" s="26" t="n">
        <f aca="false">G1917-F1917</f>
        <v>94</v>
      </c>
      <c r="I1917" s="10" t="n">
        <f aca="false">IF(E1917="Won",1,0)</f>
        <v>0</v>
      </c>
    </row>
    <row r="1918" customFormat="false" ht="15" hidden="false" customHeight="false" outlineLevel="0" collapsed="false">
      <c r="A1918" s="10" t="s">
        <v>4259</v>
      </c>
      <c r="B1918" s="10" t="s">
        <v>80</v>
      </c>
      <c r="C1918" s="10" t="s">
        <v>51</v>
      </c>
      <c r="D1918" s="10" t="s">
        <v>527</v>
      </c>
      <c r="E1918" s="10" t="s">
        <v>2342</v>
      </c>
      <c r="F1918" s="30" t="n">
        <v>42793</v>
      </c>
      <c r="G1918" s="30" t="n">
        <v>42882</v>
      </c>
      <c r="H1918" s="26" t="n">
        <f aca="false">G1918-F1918</f>
        <v>89</v>
      </c>
      <c r="I1918" s="10" t="n">
        <f aca="false">IF(E1918="Won",1,0)</f>
        <v>1</v>
      </c>
    </row>
    <row r="1919" customFormat="false" ht="15" hidden="false" customHeight="false" outlineLevel="0" collapsed="false">
      <c r="A1919" s="10" t="s">
        <v>4260</v>
      </c>
      <c r="B1919" s="10" t="s">
        <v>73</v>
      </c>
      <c r="C1919" s="10" t="s">
        <v>49</v>
      </c>
      <c r="D1919" s="10" t="s">
        <v>483</v>
      </c>
      <c r="E1919" s="10" t="s">
        <v>2342</v>
      </c>
      <c r="F1919" s="30" t="n">
        <v>42867</v>
      </c>
      <c r="G1919" s="30" t="n">
        <v>42882</v>
      </c>
      <c r="H1919" s="26" t="n">
        <f aca="false">G1919-F1919</f>
        <v>15</v>
      </c>
      <c r="I1919" s="10" t="n">
        <f aca="false">IF(E1919="Won",1,0)</f>
        <v>1</v>
      </c>
    </row>
    <row r="1920" customFormat="false" ht="15" hidden="false" customHeight="false" outlineLevel="0" collapsed="false">
      <c r="A1920" s="10" t="s">
        <v>4261</v>
      </c>
      <c r="B1920" s="10" t="s">
        <v>97</v>
      </c>
      <c r="C1920" s="10" t="s">
        <v>47</v>
      </c>
      <c r="D1920" s="10" t="s">
        <v>483</v>
      </c>
      <c r="E1920" s="10" t="s">
        <v>2345</v>
      </c>
      <c r="F1920" s="30" t="n">
        <v>42869</v>
      </c>
      <c r="G1920" s="30" t="n">
        <v>42882</v>
      </c>
      <c r="H1920" s="26" t="n">
        <f aca="false">G1920-F1920</f>
        <v>13</v>
      </c>
      <c r="I1920" s="10" t="n">
        <f aca="false">IF(E1920="Won",1,0)</f>
        <v>0</v>
      </c>
    </row>
    <row r="1921" customFormat="false" ht="15" hidden="false" customHeight="false" outlineLevel="0" collapsed="false">
      <c r="A1921" s="10" t="s">
        <v>4262</v>
      </c>
      <c r="B1921" s="10" t="s">
        <v>77</v>
      </c>
      <c r="C1921" s="10" t="s">
        <v>52</v>
      </c>
      <c r="D1921" s="10" t="s">
        <v>961</v>
      </c>
      <c r="E1921" s="10" t="s">
        <v>2342</v>
      </c>
      <c r="F1921" s="30" t="n">
        <v>42811</v>
      </c>
      <c r="G1921" s="30" t="n">
        <v>42882</v>
      </c>
      <c r="H1921" s="26" t="n">
        <f aca="false">G1921-F1921</f>
        <v>71</v>
      </c>
      <c r="I1921" s="10" t="n">
        <f aca="false">IF(E1921="Won",1,0)</f>
        <v>1</v>
      </c>
    </row>
    <row r="1922" customFormat="false" ht="15" hidden="false" customHeight="false" outlineLevel="0" collapsed="false">
      <c r="A1922" s="10" t="s">
        <v>4263</v>
      </c>
      <c r="B1922" s="10" t="s">
        <v>83</v>
      </c>
      <c r="C1922" s="10" t="s">
        <v>50</v>
      </c>
      <c r="D1922" s="10" t="s">
        <v>388</v>
      </c>
      <c r="E1922" s="10" t="s">
        <v>2342</v>
      </c>
      <c r="F1922" s="30" t="n">
        <v>42788</v>
      </c>
      <c r="G1922" s="30" t="n">
        <v>42882</v>
      </c>
      <c r="H1922" s="26" t="n">
        <f aca="false">G1922-F1922</f>
        <v>94</v>
      </c>
      <c r="I1922" s="10" t="n">
        <f aca="false">IF(E1922="Won",1,0)</f>
        <v>1</v>
      </c>
    </row>
    <row r="1923" customFormat="false" ht="15" hidden="false" customHeight="false" outlineLevel="0" collapsed="false">
      <c r="A1923" s="10" t="s">
        <v>4264</v>
      </c>
      <c r="B1923" s="10" t="s">
        <v>66</v>
      </c>
      <c r="C1923" s="10" t="s">
        <v>52</v>
      </c>
      <c r="D1923" s="10" t="s">
        <v>396</v>
      </c>
      <c r="E1923" s="10" t="s">
        <v>2345</v>
      </c>
      <c r="F1923" s="30" t="n">
        <v>42812</v>
      </c>
      <c r="G1923" s="30" t="n">
        <v>42882</v>
      </c>
      <c r="H1923" s="26" t="n">
        <f aca="false">G1923-F1923</f>
        <v>70</v>
      </c>
      <c r="I1923" s="10" t="n">
        <f aca="false">IF(E1923="Won",1,0)</f>
        <v>0</v>
      </c>
    </row>
    <row r="1924" customFormat="false" ht="15" hidden="false" customHeight="false" outlineLevel="0" collapsed="false">
      <c r="A1924" s="10" t="s">
        <v>4265</v>
      </c>
      <c r="B1924" s="10" t="s">
        <v>81</v>
      </c>
      <c r="C1924" s="10" t="s">
        <v>50</v>
      </c>
      <c r="D1924" s="10" t="s">
        <v>267</v>
      </c>
      <c r="E1924" s="10" t="s">
        <v>2342</v>
      </c>
      <c r="F1924" s="30" t="n">
        <v>42775</v>
      </c>
      <c r="G1924" s="30" t="n">
        <v>42882</v>
      </c>
      <c r="H1924" s="26" t="n">
        <f aca="false">G1924-F1924</f>
        <v>107</v>
      </c>
      <c r="I1924" s="10" t="n">
        <f aca="false">IF(E1924="Won",1,0)</f>
        <v>1</v>
      </c>
    </row>
    <row r="1925" customFormat="false" ht="15" hidden="false" customHeight="false" outlineLevel="0" collapsed="false">
      <c r="A1925" s="10" t="s">
        <v>4266</v>
      </c>
      <c r="B1925" s="10" t="s">
        <v>76</v>
      </c>
      <c r="C1925" s="10" t="s">
        <v>52</v>
      </c>
      <c r="D1925" s="10" t="s">
        <v>414</v>
      </c>
      <c r="E1925" s="10" t="s">
        <v>2342</v>
      </c>
      <c r="F1925" s="30" t="n">
        <v>42813</v>
      </c>
      <c r="G1925" s="30" t="n">
        <v>42882</v>
      </c>
      <c r="H1925" s="26" t="n">
        <f aca="false">G1925-F1925</f>
        <v>69</v>
      </c>
      <c r="I1925" s="10" t="n">
        <f aca="false">IF(E1925="Won",1,0)</f>
        <v>1</v>
      </c>
    </row>
    <row r="1926" customFormat="false" ht="15" hidden="false" customHeight="false" outlineLevel="0" collapsed="false">
      <c r="A1926" s="10" t="s">
        <v>4267</v>
      </c>
      <c r="B1926" s="10" t="s">
        <v>96</v>
      </c>
      <c r="C1926" s="10" t="s">
        <v>48</v>
      </c>
      <c r="D1926" s="10" t="s">
        <v>396</v>
      </c>
      <c r="E1926" s="10" t="s">
        <v>2342</v>
      </c>
      <c r="F1926" s="30" t="n">
        <v>42845</v>
      </c>
      <c r="G1926" s="30" t="n">
        <v>42882</v>
      </c>
      <c r="H1926" s="26" t="n">
        <f aca="false">G1926-F1926</f>
        <v>37</v>
      </c>
      <c r="I1926" s="10" t="n">
        <f aca="false">IF(E1926="Won",1,0)</f>
        <v>1</v>
      </c>
    </row>
    <row r="1927" customFormat="false" ht="15" hidden="false" customHeight="false" outlineLevel="0" collapsed="false">
      <c r="A1927" s="10" t="s">
        <v>4268</v>
      </c>
      <c r="B1927" s="10" t="s">
        <v>68</v>
      </c>
      <c r="C1927" s="10" t="s">
        <v>48</v>
      </c>
      <c r="D1927" s="10" t="s">
        <v>172</v>
      </c>
      <c r="E1927" s="10" t="s">
        <v>2342</v>
      </c>
      <c r="F1927" s="30" t="n">
        <v>42832</v>
      </c>
      <c r="G1927" s="30" t="n">
        <v>42882</v>
      </c>
      <c r="H1927" s="26" t="n">
        <f aca="false">G1927-F1927</f>
        <v>50</v>
      </c>
      <c r="I1927" s="10" t="n">
        <f aca="false">IF(E1927="Won",1,0)</f>
        <v>1</v>
      </c>
    </row>
    <row r="1928" customFormat="false" ht="15" hidden="false" customHeight="false" outlineLevel="0" collapsed="false">
      <c r="A1928" s="10" t="s">
        <v>4269</v>
      </c>
      <c r="B1928" s="10" t="s">
        <v>70</v>
      </c>
      <c r="C1928" s="10" t="s">
        <v>49</v>
      </c>
      <c r="D1928" s="10" t="s">
        <v>424</v>
      </c>
      <c r="E1928" s="10" t="s">
        <v>2345</v>
      </c>
      <c r="F1928" s="30" t="n">
        <v>42871</v>
      </c>
      <c r="G1928" s="30" t="n">
        <v>42882</v>
      </c>
      <c r="H1928" s="26" t="n">
        <f aca="false">G1928-F1928</f>
        <v>11</v>
      </c>
      <c r="I1928" s="10" t="n">
        <f aca="false">IF(E1928="Won",1,0)</f>
        <v>0</v>
      </c>
    </row>
    <row r="1929" customFormat="false" ht="15" hidden="false" customHeight="false" outlineLevel="0" collapsed="false">
      <c r="A1929" s="10" t="s">
        <v>4270</v>
      </c>
      <c r="B1929" s="10" t="s">
        <v>90</v>
      </c>
      <c r="C1929" s="10" t="s">
        <v>48</v>
      </c>
      <c r="D1929" s="10" t="s">
        <v>441</v>
      </c>
      <c r="E1929" s="10" t="s">
        <v>2342</v>
      </c>
      <c r="F1929" s="30" t="n">
        <v>42784</v>
      </c>
      <c r="G1929" s="30" t="n">
        <v>42882</v>
      </c>
      <c r="H1929" s="26" t="n">
        <f aca="false">G1929-F1929</f>
        <v>98</v>
      </c>
      <c r="I1929" s="10" t="n">
        <f aca="false">IF(E1929="Won",1,0)</f>
        <v>1</v>
      </c>
    </row>
    <row r="1930" customFormat="false" ht="15" hidden="false" customHeight="false" outlineLevel="0" collapsed="false">
      <c r="A1930" s="10" t="s">
        <v>4271</v>
      </c>
      <c r="B1930" s="10" t="s">
        <v>93</v>
      </c>
      <c r="C1930" s="10" t="s">
        <v>47</v>
      </c>
      <c r="D1930" s="10" t="s">
        <v>337</v>
      </c>
      <c r="E1930" s="10" t="s">
        <v>2345</v>
      </c>
      <c r="F1930" s="30" t="n">
        <v>42871</v>
      </c>
      <c r="G1930" s="30" t="n">
        <v>42882</v>
      </c>
      <c r="H1930" s="26" t="n">
        <f aca="false">G1930-F1930</f>
        <v>11</v>
      </c>
      <c r="I1930" s="10" t="n">
        <f aca="false">IF(E1930="Won",1,0)</f>
        <v>0</v>
      </c>
    </row>
    <row r="1931" customFormat="false" ht="15" hidden="false" customHeight="false" outlineLevel="0" collapsed="false">
      <c r="A1931" s="10" t="s">
        <v>4272</v>
      </c>
      <c r="B1931" s="10" t="s">
        <v>88</v>
      </c>
      <c r="C1931" s="10" t="s">
        <v>51</v>
      </c>
      <c r="D1931" s="10" t="s">
        <v>1118</v>
      </c>
      <c r="E1931" s="10" t="s">
        <v>2342</v>
      </c>
      <c r="F1931" s="30" t="n">
        <v>42872</v>
      </c>
      <c r="G1931" s="30" t="n">
        <v>42882</v>
      </c>
      <c r="H1931" s="26" t="n">
        <f aca="false">G1931-F1931</f>
        <v>10</v>
      </c>
      <c r="I1931" s="10" t="n">
        <f aca="false">IF(E1931="Won",1,0)</f>
        <v>1</v>
      </c>
    </row>
    <row r="1932" customFormat="false" ht="15" hidden="false" customHeight="false" outlineLevel="0" collapsed="false">
      <c r="A1932" s="10" t="s">
        <v>4273</v>
      </c>
      <c r="B1932" s="10" t="s">
        <v>74</v>
      </c>
      <c r="C1932" s="10" t="s">
        <v>51</v>
      </c>
      <c r="D1932" s="10" t="s">
        <v>410</v>
      </c>
      <c r="E1932" s="10" t="s">
        <v>2342</v>
      </c>
      <c r="F1932" s="30" t="n">
        <v>42818</v>
      </c>
      <c r="G1932" s="30" t="n">
        <v>42882</v>
      </c>
      <c r="H1932" s="26" t="n">
        <f aca="false">G1932-F1932</f>
        <v>64</v>
      </c>
      <c r="I1932" s="10" t="n">
        <f aca="false">IF(E1932="Won",1,0)</f>
        <v>1</v>
      </c>
    </row>
    <row r="1933" customFormat="false" ht="15" hidden="false" customHeight="false" outlineLevel="0" collapsed="false">
      <c r="A1933" s="10" t="s">
        <v>4274</v>
      </c>
      <c r="B1933" s="10" t="s">
        <v>66</v>
      </c>
      <c r="C1933" s="10" t="s">
        <v>52</v>
      </c>
      <c r="D1933" s="10" t="s">
        <v>233</v>
      </c>
      <c r="E1933" s="10" t="s">
        <v>2345</v>
      </c>
      <c r="F1933" s="30" t="n">
        <v>42874</v>
      </c>
      <c r="G1933" s="30" t="n">
        <v>42882</v>
      </c>
      <c r="H1933" s="26" t="n">
        <f aca="false">G1933-F1933</f>
        <v>8</v>
      </c>
      <c r="I1933" s="10" t="n">
        <f aca="false">IF(E1933="Won",1,0)</f>
        <v>0</v>
      </c>
    </row>
    <row r="1934" customFormat="false" ht="15" hidden="false" customHeight="false" outlineLevel="0" collapsed="false">
      <c r="A1934" s="10" t="s">
        <v>4275</v>
      </c>
      <c r="B1934" s="10" t="s">
        <v>66</v>
      </c>
      <c r="C1934" s="10" t="s">
        <v>46</v>
      </c>
      <c r="D1934" s="10" t="s">
        <v>606</v>
      </c>
      <c r="E1934" s="10" t="s">
        <v>2345</v>
      </c>
      <c r="F1934" s="30" t="n">
        <v>42814</v>
      </c>
      <c r="G1934" s="30" t="n">
        <v>42882</v>
      </c>
      <c r="H1934" s="26" t="n">
        <f aca="false">G1934-F1934</f>
        <v>68</v>
      </c>
      <c r="I1934" s="10" t="n">
        <f aca="false">IF(E1934="Won",1,0)</f>
        <v>0</v>
      </c>
    </row>
    <row r="1935" customFormat="false" ht="15" hidden="false" customHeight="false" outlineLevel="0" collapsed="false">
      <c r="A1935" s="10" t="s">
        <v>4276</v>
      </c>
      <c r="B1935" s="10" t="s">
        <v>84</v>
      </c>
      <c r="C1935" s="10" t="s">
        <v>51</v>
      </c>
      <c r="D1935" s="10" t="s">
        <v>293</v>
      </c>
      <c r="E1935" s="10" t="s">
        <v>2342</v>
      </c>
      <c r="F1935" s="30" t="n">
        <v>42875</v>
      </c>
      <c r="G1935" s="30" t="n">
        <v>42882</v>
      </c>
      <c r="H1935" s="26" t="n">
        <f aca="false">G1935-F1935</f>
        <v>7</v>
      </c>
      <c r="I1935" s="10" t="n">
        <f aca="false">IF(E1935="Won",1,0)</f>
        <v>1</v>
      </c>
    </row>
    <row r="1936" customFormat="false" ht="15" hidden="false" customHeight="false" outlineLevel="0" collapsed="false">
      <c r="A1936" s="10" t="s">
        <v>4277</v>
      </c>
      <c r="B1936" s="10" t="s">
        <v>57</v>
      </c>
      <c r="C1936" s="10" t="s">
        <v>51</v>
      </c>
      <c r="D1936" s="10" t="s">
        <v>441</v>
      </c>
      <c r="E1936" s="10" t="s">
        <v>2342</v>
      </c>
      <c r="F1936" s="30" t="n">
        <v>42833</v>
      </c>
      <c r="G1936" s="30" t="n">
        <v>42882</v>
      </c>
      <c r="H1936" s="26" t="n">
        <f aca="false">G1936-F1936</f>
        <v>49</v>
      </c>
      <c r="I1936" s="10" t="n">
        <f aca="false">IF(E1936="Won",1,0)</f>
        <v>1</v>
      </c>
    </row>
    <row r="1937" customFormat="false" ht="15" hidden="false" customHeight="false" outlineLevel="0" collapsed="false">
      <c r="A1937" s="10" t="s">
        <v>4278</v>
      </c>
      <c r="B1937" s="10" t="s">
        <v>76</v>
      </c>
      <c r="C1937" s="10" t="s">
        <v>52</v>
      </c>
      <c r="D1937" s="10" t="s">
        <v>961</v>
      </c>
      <c r="E1937" s="10" t="s">
        <v>2345</v>
      </c>
      <c r="F1937" s="30" t="n">
        <v>42833</v>
      </c>
      <c r="G1937" s="30" t="n">
        <v>42882</v>
      </c>
      <c r="H1937" s="26" t="n">
        <f aca="false">G1937-F1937</f>
        <v>49</v>
      </c>
      <c r="I1937" s="10" t="n">
        <f aca="false">IF(E1937="Won",1,0)</f>
        <v>0</v>
      </c>
    </row>
    <row r="1938" customFormat="false" ht="15" hidden="false" customHeight="false" outlineLevel="0" collapsed="false">
      <c r="A1938" s="10" t="s">
        <v>4279</v>
      </c>
      <c r="B1938" s="10" t="s">
        <v>97</v>
      </c>
      <c r="C1938" s="10" t="s">
        <v>50</v>
      </c>
      <c r="D1938" s="10" t="s">
        <v>522</v>
      </c>
      <c r="E1938" s="10" t="s">
        <v>2345</v>
      </c>
      <c r="F1938" s="30" t="n">
        <v>42802</v>
      </c>
      <c r="G1938" s="30" t="n">
        <v>42882</v>
      </c>
      <c r="H1938" s="26" t="n">
        <f aca="false">G1938-F1938</f>
        <v>80</v>
      </c>
      <c r="I1938" s="10" t="n">
        <f aca="false">IF(E1938="Won",1,0)</f>
        <v>0</v>
      </c>
    </row>
    <row r="1939" customFormat="false" ht="15" hidden="false" customHeight="false" outlineLevel="0" collapsed="false">
      <c r="A1939" s="10" t="s">
        <v>4280</v>
      </c>
      <c r="B1939" s="10" t="s">
        <v>83</v>
      </c>
      <c r="C1939" s="10" t="s">
        <v>48</v>
      </c>
      <c r="D1939" s="10" t="s">
        <v>193</v>
      </c>
      <c r="E1939" s="10" t="s">
        <v>2345</v>
      </c>
      <c r="F1939" s="30" t="n">
        <v>42798</v>
      </c>
      <c r="G1939" s="30" t="n">
        <v>42882</v>
      </c>
      <c r="H1939" s="26" t="n">
        <f aca="false">G1939-F1939</f>
        <v>84</v>
      </c>
      <c r="I1939" s="10" t="n">
        <f aca="false">IF(E1939="Won",1,0)</f>
        <v>0</v>
      </c>
    </row>
    <row r="1940" customFormat="false" ht="15" hidden="false" customHeight="false" outlineLevel="0" collapsed="false">
      <c r="A1940" s="10" t="s">
        <v>4281</v>
      </c>
      <c r="B1940" s="10" t="s">
        <v>96</v>
      </c>
      <c r="C1940" s="10" t="s">
        <v>51</v>
      </c>
      <c r="D1940" s="10" t="s">
        <v>303</v>
      </c>
      <c r="E1940" s="10" t="s">
        <v>2342</v>
      </c>
      <c r="F1940" s="30" t="n">
        <v>42869</v>
      </c>
      <c r="G1940" s="30" t="n">
        <v>42883</v>
      </c>
      <c r="H1940" s="26" t="n">
        <f aca="false">G1940-F1940</f>
        <v>14</v>
      </c>
      <c r="I1940" s="10" t="n">
        <f aca="false">IF(E1940="Won",1,0)</f>
        <v>1</v>
      </c>
    </row>
    <row r="1941" customFormat="false" ht="15" hidden="false" customHeight="false" outlineLevel="0" collapsed="false">
      <c r="A1941" s="10" t="s">
        <v>4282</v>
      </c>
      <c r="B1941" s="10" t="s">
        <v>69</v>
      </c>
      <c r="C1941" s="10" t="s">
        <v>52</v>
      </c>
      <c r="D1941" s="10" t="s">
        <v>299</v>
      </c>
      <c r="E1941" s="10" t="s">
        <v>2342</v>
      </c>
      <c r="F1941" s="30" t="n">
        <v>42802</v>
      </c>
      <c r="G1941" s="30" t="n">
        <v>42883</v>
      </c>
      <c r="H1941" s="26" t="n">
        <f aca="false">G1941-F1941</f>
        <v>81</v>
      </c>
      <c r="I1941" s="10" t="n">
        <f aca="false">IF(E1941="Won",1,0)</f>
        <v>1</v>
      </c>
    </row>
    <row r="1942" customFormat="false" ht="15" hidden="false" customHeight="false" outlineLevel="0" collapsed="false">
      <c r="A1942" s="10" t="s">
        <v>4283</v>
      </c>
      <c r="B1942" s="10" t="s">
        <v>77</v>
      </c>
      <c r="C1942" s="10" t="s">
        <v>47</v>
      </c>
      <c r="D1942" s="10" t="s">
        <v>179</v>
      </c>
      <c r="E1942" s="10" t="s">
        <v>2342</v>
      </c>
      <c r="F1942" s="30" t="n">
        <v>42779</v>
      </c>
      <c r="G1942" s="30" t="n">
        <v>42883</v>
      </c>
      <c r="H1942" s="26" t="n">
        <f aca="false">G1942-F1942</f>
        <v>104</v>
      </c>
      <c r="I1942" s="10" t="n">
        <f aca="false">IF(E1942="Won",1,0)</f>
        <v>1</v>
      </c>
    </row>
    <row r="1943" customFormat="false" ht="15" hidden="false" customHeight="false" outlineLevel="0" collapsed="false">
      <c r="A1943" s="10" t="s">
        <v>4284</v>
      </c>
      <c r="B1943" s="10" t="s">
        <v>77</v>
      </c>
      <c r="C1943" s="10" t="s">
        <v>52</v>
      </c>
      <c r="D1943" s="10" t="s">
        <v>422</v>
      </c>
      <c r="E1943" s="10" t="s">
        <v>2345</v>
      </c>
      <c r="F1943" s="30" t="n">
        <v>42803</v>
      </c>
      <c r="G1943" s="30" t="n">
        <v>42883</v>
      </c>
      <c r="H1943" s="26" t="n">
        <f aca="false">G1943-F1943</f>
        <v>80</v>
      </c>
      <c r="I1943" s="10" t="n">
        <f aca="false">IF(E1943="Won",1,0)</f>
        <v>0</v>
      </c>
    </row>
    <row r="1944" customFormat="false" ht="15" hidden="false" customHeight="false" outlineLevel="0" collapsed="false">
      <c r="A1944" s="10" t="s">
        <v>4285</v>
      </c>
      <c r="B1944" s="10" t="s">
        <v>81</v>
      </c>
      <c r="C1944" s="10" t="s">
        <v>51</v>
      </c>
      <c r="D1944" s="10" t="s">
        <v>353</v>
      </c>
      <c r="E1944" s="10" t="s">
        <v>2345</v>
      </c>
      <c r="F1944" s="30" t="n">
        <v>42797</v>
      </c>
      <c r="G1944" s="30" t="n">
        <v>42883</v>
      </c>
      <c r="H1944" s="26" t="n">
        <f aca="false">G1944-F1944</f>
        <v>86</v>
      </c>
      <c r="I1944" s="10" t="n">
        <f aca="false">IF(E1944="Won",1,0)</f>
        <v>0</v>
      </c>
    </row>
    <row r="1945" customFormat="false" ht="15" hidden="false" customHeight="false" outlineLevel="0" collapsed="false">
      <c r="A1945" s="10" t="s">
        <v>4286</v>
      </c>
      <c r="B1945" s="10" t="s">
        <v>77</v>
      </c>
      <c r="C1945" s="10" t="s">
        <v>48</v>
      </c>
      <c r="D1945" s="10" t="s">
        <v>388</v>
      </c>
      <c r="E1945" s="10" t="s">
        <v>2345</v>
      </c>
      <c r="F1945" s="30" t="n">
        <v>42816</v>
      </c>
      <c r="G1945" s="30" t="n">
        <v>42883</v>
      </c>
      <c r="H1945" s="26" t="n">
        <f aca="false">G1945-F1945</f>
        <v>67</v>
      </c>
      <c r="I1945" s="10" t="n">
        <f aca="false">IF(E1945="Won",1,0)</f>
        <v>0</v>
      </c>
    </row>
    <row r="1946" customFormat="false" ht="15" hidden="false" customHeight="false" outlineLevel="0" collapsed="false">
      <c r="A1946" s="10" t="s">
        <v>4287</v>
      </c>
      <c r="B1946" s="10" t="s">
        <v>73</v>
      </c>
      <c r="C1946" s="10" t="s">
        <v>49</v>
      </c>
      <c r="D1946" s="10" t="s">
        <v>369</v>
      </c>
      <c r="E1946" s="10" t="s">
        <v>2345</v>
      </c>
      <c r="F1946" s="30" t="n">
        <v>42758</v>
      </c>
      <c r="G1946" s="30" t="n">
        <v>42883</v>
      </c>
      <c r="H1946" s="26" t="n">
        <f aca="false">G1946-F1946</f>
        <v>125</v>
      </c>
      <c r="I1946" s="10" t="n">
        <f aca="false">IF(E1946="Won",1,0)</f>
        <v>0</v>
      </c>
    </row>
    <row r="1947" customFormat="false" ht="15" hidden="false" customHeight="false" outlineLevel="0" collapsed="false">
      <c r="A1947" s="10" t="s">
        <v>4288</v>
      </c>
      <c r="B1947" s="10" t="s">
        <v>77</v>
      </c>
      <c r="C1947" s="10" t="s">
        <v>48</v>
      </c>
      <c r="D1947" s="10" t="s">
        <v>660</v>
      </c>
      <c r="E1947" s="10" t="s">
        <v>2342</v>
      </c>
      <c r="F1947" s="30" t="n">
        <v>42801</v>
      </c>
      <c r="G1947" s="30" t="n">
        <v>42883</v>
      </c>
      <c r="H1947" s="26" t="n">
        <f aca="false">G1947-F1947</f>
        <v>82</v>
      </c>
      <c r="I1947" s="10" t="n">
        <f aca="false">IF(E1947="Won",1,0)</f>
        <v>1</v>
      </c>
    </row>
    <row r="1948" customFormat="false" ht="15" hidden="false" customHeight="false" outlineLevel="0" collapsed="false">
      <c r="A1948" s="10" t="s">
        <v>4289</v>
      </c>
      <c r="B1948" s="10" t="s">
        <v>62</v>
      </c>
      <c r="C1948" s="10" t="s">
        <v>50</v>
      </c>
      <c r="D1948" s="10" t="s">
        <v>405</v>
      </c>
      <c r="E1948" s="10" t="s">
        <v>2342</v>
      </c>
      <c r="F1948" s="30" t="n">
        <v>42865</v>
      </c>
      <c r="G1948" s="30" t="n">
        <v>42883</v>
      </c>
      <c r="H1948" s="26" t="n">
        <f aca="false">G1948-F1948</f>
        <v>18</v>
      </c>
      <c r="I1948" s="10" t="n">
        <f aca="false">IF(E1948="Won",1,0)</f>
        <v>1</v>
      </c>
    </row>
    <row r="1949" customFormat="false" ht="15" hidden="false" customHeight="false" outlineLevel="0" collapsed="false">
      <c r="A1949" s="10" t="s">
        <v>4290</v>
      </c>
      <c r="B1949" s="10" t="s">
        <v>77</v>
      </c>
      <c r="C1949" s="10" t="s">
        <v>50</v>
      </c>
      <c r="D1949" s="10" t="s">
        <v>179</v>
      </c>
      <c r="E1949" s="10" t="s">
        <v>2342</v>
      </c>
      <c r="F1949" s="30" t="n">
        <v>42797</v>
      </c>
      <c r="G1949" s="30" t="n">
        <v>42883</v>
      </c>
      <c r="H1949" s="26" t="n">
        <f aca="false">G1949-F1949</f>
        <v>86</v>
      </c>
      <c r="I1949" s="10" t="n">
        <f aca="false">IF(E1949="Won",1,0)</f>
        <v>1</v>
      </c>
    </row>
    <row r="1950" customFormat="false" ht="15" hidden="false" customHeight="false" outlineLevel="0" collapsed="false">
      <c r="A1950" s="10" t="s">
        <v>4291</v>
      </c>
      <c r="B1950" s="10" t="s">
        <v>88</v>
      </c>
      <c r="C1950" s="10" t="s">
        <v>47</v>
      </c>
      <c r="D1950" s="10" t="s">
        <v>637</v>
      </c>
      <c r="E1950" s="10" t="s">
        <v>2345</v>
      </c>
      <c r="F1950" s="30" t="n">
        <v>42820</v>
      </c>
      <c r="G1950" s="30" t="n">
        <v>42883</v>
      </c>
      <c r="H1950" s="26" t="n">
        <f aca="false">G1950-F1950</f>
        <v>63</v>
      </c>
      <c r="I1950" s="10" t="n">
        <f aca="false">IF(E1950="Won",1,0)</f>
        <v>0</v>
      </c>
    </row>
    <row r="1951" customFormat="false" ht="15" hidden="false" customHeight="false" outlineLevel="0" collapsed="false">
      <c r="A1951" s="10" t="s">
        <v>4292</v>
      </c>
      <c r="B1951" s="10" t="s">
        <v>60</v>
      </c>
      <c r="C1951" s="10" t="s">
        <v>52</v>
      </c>
      <c r="D1951" s="10" t="s">
        <v>405</v>
      </c>
      <c r="E1951" s="10" t="s">
        <v>2342</v>
      </c>
      <c r="F1951" s="30" t="n">
        <v>42790</v>
      </c>
      <c r="G1951" s="30" t="n">
        <v>42883</v>
      </c>
      <c r="H1951" s="26" t="n">
        <f aca="false">G1951-F1951</f>
        <v>93</v>
      </c>
      <c r="I1951" s="10" t="n">
        <f aca="false">IF(E1951="Won",1,0)</f>
        <v>1</v>
      </c>
    </row>
    <row r="1952" customFormat="false" ht="15" hidden="false" customHeight="false" outlineLevel="0" collapsed="false">
      <c r="A1952" s="10" t="s">
        <v>4293</v>
      </c>
      <c r="B1952" s="10" t="s">
        <v>75</v>
      </c>
      <c r="C1952" s="10" t="s">
        <v>52</v>
      </c>
      <c r="D1952" s="10" t="s">
        <v>388</v>
      </c>
      <c r="E1952" s="10" t="s">
        <v>2345</v>
      </c>
      <c r="F1952" s="30" t="n">
        <v>42794</v>
      </c>
      <c r="G1952" s="30" t="n">
        <v>42883</v>
      </c>
      <c r="H1952" s="26" t="n">
        <f aca="false">G1952-F1952</f>
        <v>89</v>
      </c>
      <c r="I1952" s="10" t="n">
        <f aca="false">IF(E1952="Won",1,0)</f>
        <v>0</v>
      </c>
    </row>
    <row r="1953" customFormat="false" ht="15" hidden="false" customHeight="false" outlineLevel="0" collapsed="false">
      <c r="A1953" s="10" t="s">
        <v>4294</v>
      </c>
      <c r="B1953" s="10" t="s">
        <v>71</v>
      </c>
      <c r="C1953" s="10" t="s">
        <v>52</v>
      </c>
      <c r="D1953" s="10" t="s">
        <v>353</v>
      </c>
      <c r="E1953" s="10" t="s">
        <v>2342</v>
      </c>
      <c r="F1953" s="30" t="n">
        <v>42795</v>
      </c>
      <c r="G1953" s="30" t="n">
        <v>42883</v>
      </c>
      <c r="H1953" s="26" t="n">
        <f aca="false">G1953-F1953</f>
        <v>88</v>
      </c>
      <c r="I1953" s="10" t="n">
        <f aca="false">IF(E1953="Won",1,0)</f>
        <v>1</v>
      </c>
    </row>
    <row r="1954" customFormat="false" ht="15" hidden="false" customHeight="false" outlineLevel="0" collapsed="false">
      <c r="A1954" s="10" t="s">
        <v>4295</v>
      </c>
      <c r="B1954" s="10" t="s">
        <v>80</v>
      </c>
      <c r="C1954" s="10" t="s">
        <v>52</v>
      </c>
      <c r="D1954" s="10" t="s">
        <v>369</v>
      </c>
      <c r="E1954" s="10" t="s">
        <v>2345</v>
      </c>
      <c r="F1954" s="30" t="n">
        <v>42878</v>
      </c>
      <c r="G1954" s="30" t="n">
        <v>42883</v>
      </c>
      <c r="H1954" s="26" t="n">
        <f aca="false">G1954-F1954</f>
        <v>5</v>
      </c>
      <c r="I1954" s="10" t="n">
        <f aca="false">IF(E1954="Won",1,0)</f>
        <v>0</v>
      </c>
    </row>
    <row r="1955" customFormat="false" ht="15" hidden="false" customHeight="false" outlineLevel="0" collapsed="false">
      <c r="A1955" s="10" t="s">
        <v>4296</v>
      </c>
      <c r="B1955" s="10" t="s">
        <v>70</v>
      </c>
      <c r="C1955" s="10" t="s">
        <v>48</v>
      </c>
      <c r="D1955" s="10" t="s">
        <v>711</v>
      </c>
      <c r="E1955" s="10" t="s">
        <v>2345</v>
      </c>
      <c r="F1955" s="30" t="n">
        <v>42773</v>
      </c>
      <c r="G1955" s="30" t="n">
        <v>42883</v>
      </c>
      <c r="H1955" s="26" t="n">
        <f aca="false">G1955-F1955</f>
        <v>110</v>
      </c>
      <c r="I1955" s="10" t="n">
        <f aca="false">IF(E1955="Won",1,0)</f>
        <v>0</v>
      </c>
    </row>
    <row r="1956" customFormat="false" ht="15" hidden="false" customHeight="false" outlineLevel="0" collapsed="false">
      <c r="A1956" s="10" t="s">
        <v>4297</v>
      </c>
      <c r="B1956" s="10" t="s">
        <v>57</v>
      </c>
      <c r="C1956" s="10" t="s">
        <v>47</v>
      </c>
      <c r="D1956" s="10" t="s">
        <v>350</v>
      </c>
      <c r="E1956" s="10" t="s">
        <v>2342</v>
      </c>
      <c r="F1956" s="30" t="n">
        <v>42827</v>
      </c>
      <c r="G1956" s="30" t="n">
        <v>42883</v>
      </c>
      <c r="H1956" s="26" t="n">
        <f aca="false">G1956-F1956</f>
        <v>56</v>
      </c>
      <c r="I1956" s="10" t="n">
        <f aca="false">IF(E1956="Won",1,0)</f>
        <v>1</v>
      </c>
    </row>
    <row r="1957" customFormat="false" ht="15" hidden="false" customHeight="false" outlineLevel="0" collapsed="false">
      <c r="A1957" s="10" t="s">
        <v>4298</v>
      </c>
      <c r="B1957" s="10" t="s">
        <v>57</v>
      </c>
      <c r="C1957" s="10" t="s">
        <v>48</v>
      </c>
      <c r="D1957" s="10" t="s">
        <v>674</v>
      </c>
      <c r="E1957" s="10" t="s">
        <v>2345</v>
      </c>
      <c r="F1957" s="30" t="n">
        <v>42822</v>
      </c>
      <c r="G1957" s="30" t="n">
        <v>42883</v>
      </c>
      <c r="H1957" s="26" t="n">
        <f aca="false">G1957-F1957</f>
        <v>61</v>
      </c>
      <c r="I1957" s="10" t="n">
        <f aca="false">IF(E1957="Won",1,0)</f>
        <v>0</v>
      </c>
    </row>
    <row r="1958" customFormat="false" ht="15" hidden="false" customHeight="false" outlineLevel="0" collapsed="false">
      <c r="A1958" s="10" t="s">
        <v>4299</v>
      </c>
      <c r="B1958" s="10" t="s">
        <v>75</v>
      </c>
      <c r="C1958" s="10" t="s">
        <v>51</v>
      </c>
      <c r="D1958" s="10" t="s">
        <v>311</v>
      </c>
      <c r="E1958" s="10" t="s">
        <v>2342</v>
      </c>
      <c r="F1958" s="30" t="n">
        <v>42785</v>
      </c>
      <c r="G1958" s="30" t="n">
        <v>42883</v>
      </c>
      <c r="H1958" s="26" t="n">
        <f aca="false">G1958-F1958</f>
        <v>98</v>
      </c>
      <c r="I1958" s="10" t="n">
        <f aca="false">IF(E1958="Won",1,0)</f>
        <v>1</v>
      </c>
    </row>
    <row r="1959" customFormat="false" ht="15" hidden="false" customHeight="false" outlineLevel="0" collapsed="false">
      <c r="A1959" s="10" t="s">
        <v>4300</v>
      </c>
      <c r="B1959" s="10" t="s">
        <v>94</v>
      </c>
      <c r="C1959" s="10" t="s">
        <v>48</v>
      </c>
      <c r="D1959" s="10" t="s">
        <v>384</v>
      </c>
      <c r="E1959" s="10" t="s">
        <v>2345</v>
      </c>
      <c r="F1959" s="30" t="n">
        <v>42783</v>
      </c>
      <c r="G1959" s="30" t="n">
        <v>42883</v>
      </c>
      <c r="H1959" s="26" t="n">
        <f aca="false">G1959-F1959</f>
        <v>100</v>
      </c>
      <c r="I1959" s="10" t="n">
        <f aca="false">IF(E1959="Won",1,0)</f>
        <v>0</v>
      </c>
    </row>
    <row r="1960" customFormat="false" ht="15" hidden="false" customHeight="false" outlineLevel="0" collapsed="false">
      <c r="A1960" s="10" t="s">
        <v>4301</v>
      </c>
      <c r="B1960" s="10" t="s">
        <v>80</v>
      </c>
      <c r="C1960" s="10" t="s">
        <v>51</v>
      </c>
      <c r="D1960" s="10" t="s">
        <v>762</v>
      </c>
      <c r="E1960" s="10" t="s">
        <v>2342</v>
      </c>
      <c r="F1960" s="30" t="n">
        <v>42781</v>
      </c>
      <c r="G1960" s="30" t="n">
        <v>42883</v>
      </c>
      <c r="H1960" s="26" t="n">
        <f aca="false">G1960-F1960</f>
        <v>102</v>
      </c>
      <c r="I1960" s="10" t="n">
        <f aca="false">IF(E1960="Won",1,0)</f>
        <v>1</v>
      </c>
    </row>
    <row r="1961" customFormat="false" ht="15" hidden="false" customHeight="false" outlineLevel="0" collapsed="false">
      <c r="A1961" s="10" t="s">
        <v>4302</v>
      </c>
      <c r="B1961" s="10" t="s">
        <v>97</v>
      </c>
      <c r="C1961" s="10" t="s">
        <v>48</v>
      </c>
      <c r="D1961" s="10" t="s">
        <v>170</v>
      </c>
      <c r="E1961" s="10" t="s">
        <v>2345</v>
      </c>
      <c r="F1961" s="30" t="n">
        <v>42783</v>
      </c>
      <c r="G1961" s="30" t="n">
        <v>42883</v>
      </c>
      <c r="H1961" s="26" t="n">
        <f aca="false">G1961-F1961</f>
        <v>100</v>
      </c>
      <c r="I1961" s="10" t="n">
        <f aca="false">IF(E1961="Won",1,0)</f>
        <v>0</v>
      </c>
    </row>
    <row r="1962" customFormat="false" ht="15" hidden="false" customHeight="false" outlineLevel="0" collapsed="false">
      <c r="A1962" s="10" t="s">
        <v>4303</v>
      </c>
      <c r="B1962" s="10" t="s">
        <v>73</v>
      </c>
      <c r="C1962" s="10" t="s">
        <v>49</v>
      </c>
      <c r="D1962" s="10" t="s">
        <v>414</v>
      </c>
      <c r="E1962" s="10" t="s">
        <v>2342</v>
      </c>
      <c r="F1962" s="30" t="n">
        <v>42804</v>
      </c>
      <c r="G1962" s="30" t="n">
        <v>42884</v>
      </c>
      <c r="H1962" s="26" t="n">
        <f aca="false">G1962-F1962</f>
        <v>80</v>
      </c>
      <c r="I1962" s="10" t="n">
        <f aca="false">IF(E1962="Won",1,0)</f>
        <v>1</v>
      </c>
    </row>
    <row r="1963" customFormat="false" ht="15" hidden="false" customHeight="false" outlineLevel="0" collapsed="false">
      <c r="A1963" s="10" t="s">
        <v>4304</v>
      </c>
      <c r="B1963" s="10" t="s">
        <v>73</v>
      </c>
      <c r="C1963" s="10" t="s">
        <v>49</v>
      </c>
      <c r="D1963" s="10" t="s">
        <v>536</v>
      </c>
      <c r="E1963" s="10" t="s">
        <v>2342</v>
      </c>
      <c r="F1963" s="30" t="n">
        <v>42821</v>
      </c>
      <c r="G1963" s="30" t="n">
        <v>42884</v>
      </c>
      <c r="H1963" s="26" t="n">
        <f aca="false">G1963-F1963</f>
        <v>63</v>
      </c>
      <c r="I1963" s="10" t="n">
        <f aca="false">IF(E1963="Won",1,0)</f>
        <v>1</v>
      </c>
    </row>
    <row r="1964" customFormat="false" ht="15" hidden="false" customHeight="false" outlineLevel="0" collapsed="false">
      <c r="A1964" s="10" t="s">
        <v>4305</v>
      </c>
      <c r="B1964" s="10" t="s">
        <v>90</v>
      </c>
      <c r="C1964" s="10" t="s">
        <v>49</v>
      </c>
      <c r="D1964" s="10" t="s">
        <v>1118</v>
      </c>
      <c r="E1964" s="10" t="s">
        <v>2342</v>
      </c>
      <c r="F1964" s="30" t="n">
        <v>42820</v>
      </c>
      <c r="G1964" s="30" t="n">
        <v>42884</v>
      </c>
      <c r="H1964" s="26" t="n">
        <f aca="false">G1964-F1964</f>
        <v>64</v>
      </c>
      <c r="I1964" s="10" t="n">
        <f aca="false">IF(E1964="Won",1,0)</f>
        <v>1</v>
      </c>
    </row>
    <row r="1965" customFormat="false" ht="15" hidden="false" customHeight="false" outlineLevel="0" collapsed="false">
      <c r="A1965" s="10" t="s">
        <v>4306</v>
      </c>
      <c r="B1965" s="10" t="s">
        <v>86</v>
      </c>
      <c r="C1965" s="10" t="s">
        <v>48</v>
      </c>
      <c r="D1965" s="10" t="s">
        <v>215</v>
      </c>
      <c r="E1965" s="10" t="s">
        <v>2345</v>
      </c>
      <c r="F1965" s="30" t="n">
        <v>42760</v>
      </c>
      <c r="G1965" s="30" t="n">
        <v>42884</v>
      </c>
      <c r="H1965" s="26" t="n">
        <f aca="false">G1965-F1965</f>
        <v>124</v>
      </c>
      <c r="I1965" s="10" t="n">
        <f aca="false">IF(E1965="Won",1,0)</f>
        <v>0</v>
      </c>
    </row>
    <row r="1966" customFormat="false" ht="15" hidden="false" customHeight="false" outlineLevel="0" collapsed="false">
      <c r="A1966" s="10" t="s">
        <v>4307</v>
      </c>
      <c r="B1966" s="10" t="s">
        <v>88</v>
      </c>
      <c r="C1966" s="10" t="s">
        <v>50</v>
      </c>
      <c r="D1966" s="10" t="s">
        <v>161</v>
      </c>
      <c r="E1966" s="10" t="s">
        <v>2342</v>
      </c>
      <c r="F1966" s="30" t="n">
        <v>42780</v>
      </c>
      <c r="G1966" s="30" t="n">
        <v>42884</v>
      </c>
      <c r="H1966" s="26" t="n">
        <f aca="false">G1966-F1966</f>
        <v>104</v>
      </c>
      <c r="I1966" s="10" t="n">
        <f aca="false">IF(E1966="Won",1,0)</f>
        <v>1</v>
      </c>
    </row>
    <row r="1967" customFormat="false" ht="15" hidden="false" customHeight="false" outlineLevel="0" collapsed="false">
      <c r="A1967" s="10" t="s">
        <v>4308</v>
      </c>
      <c r="B1967" s="10" t="s">
        <v>61</v>
      </c>
      <c r="C1967" s="10" t="s">
        <v>52</v>
      </c>
      <c r="D1967" s="10" t="s">
        <v>1118</v>
      </c>
      <c r="E1967" s="10" t="s">
        <v>2345</v>
      </c>
      <c r="F1967" s="30" t="n">
        <v>42872</v>
      </c>
      <c r="G1967" s="30" t="n">
        <v>42884</v>
      </c>
      <c r="H1967" s="26" t="n">
        <f aca="false">G1967-F1967</f>
        <v>12</v>
      </c>
      <c r="I1967" s="10" t="n">
        <f aca="false">IF(E1967="Won",1,0)</f>
        <v>0</v>
      </c>
    </row>
    <row r="1968" customFormat="false" ht="15" hidden="false" customHeight="false" outlineLevel="0" collapsed="false">
      <c r="A1968" s="10" t="s">
        <v>4309</v>
      </c>
      <c r="B1968" s="10" t="s">
        <v>61</v>
      </c>
      <c r="C1968" s="10" t="s">
        <v>49</v>
      </c>
      <c r="D1968" s="10" t="s">
        <v>350</v>
      </c>
      <c r="E1968" s="10" t="s">
        <v>2342</v>
      </c>
      <c r="F1968" s="30" t="n">
        <v>42822</v>
      </c>
      <c r="G1968" s="30" t="n">
        <v>42884</v>
      </c>
      <c r="H1968" s="26" t="n">
        <f aca="false">G1968-F1968</f>
        <v>62</v>
      </c>
      <c r="I1968" s="10" t="n">
        <f aca="false">IF(E1968="Won",1,0)</f>
        <v>1</v>
      </c>
    </row>
    <row r="1969" customFormat="false" ht="15" hidden="false" customHeight="false" outlineLevel="0" collapsed="false">
      <c r="A1969" s="10" t="s">
        <v>4310</v>
      </c>
      <c r="B1969" s="10" t="s">
        <v>70</v>
      </c>
      <c r="C1969" s="10" t="s">
        <v>52</v>
      </c>
      <c r="D1969" s="10" t="s">
        <v>286</v>
      </c>
      <c r="E1969" s="10" t="s">
        <v>2345</v>
      </c>
      <c r="F1969" s="30" t="n">
        <v>42774</v>
      </c>
      <c r="G1969" s="30" t="n">
        <v>42884</v>
      </c>
      <c r="H1969" s="26" t="n">
        <f aca="false">G1969-F1969</f>
        <v>110</v>
      </c>
      <c r="I1969" s="10" t="n">
        <f aca="false">IF(E1969="Won",1,0)</f>
        <v>0</v>
      </c>
    </row>
    <row r="1970" customFormat="false" ht="15" hidden="false" customHeight="false" outlineLevel="0" collapsed="false">
      <c r="A1970" s="10" t="s">
        <v>4311</v>
      </c>
      <c r="B1970" s="10" t="s">
        <v>62</v>
      </c>
      <c r="C1970" s="10" t="s">
        <v>51</v>
      </c>
      <c r="D1970" s="10" t="s">
        <v>464</v>
      </c>
      <c r="E1970" s="10" t="s">
        <v>2345</v>
      </c>
      <c r="F1970" s="30" t="n">
        <v>42802</v>
      </c>
      <c r="G1970" s="30" t="n">
        <v>42884</v>
      </c>
      <c r="H1970" s="26" t="n">
        <f aca="false">G1970-F1970</f>
        <v>82</v>
      </c>
      <c r="I1970" s="10" t="n">
        <f aca="false">IF(E1970="Won",1,0)</f>
        <v>0</v>
      </c>
    </row>
    <row r="1971" customFormat="false" ht="15" hidden="false" customHeight="false" outlineLevel="0" collapsed="false">
      <c r="A1971" s="10" t="s">
        <v>4312</v>
      </c>
      <c r="B1971" s="10" t="s">
        <v>93</v>
      </c>
      <c r="C1971" s="10" t="s">
        <v>50</v>
      </c>
      <c r="D1971" s="10" t="s">
        <v>348</v>
      </c>
      <c r="E1971" s="10" t="s">
        <v>2345</v>
      </c>
      <c r="F1971" s="30" t="n">
        <v>42792</v>
      </c>
      <c r="G1971" s="30" t="n">
        <v>42884</v>
      </c>
      <c r="H1971" s="26" t="n">
        <f aca="false">G1971-F1971</f>
        <v>92</v>
      </c>
      <c r="I1971" s="10" t="n">
        <f aca="false">IF(E1971="Won",1,0)</f>
        <v>0</v>
      </c>
    </row>
    <row r="1972" customFormat="false" ht="15" hidden="false" customHeight="false" outlineLevel="0" collapsed="false">
      <c r="A1972" s="10" t="s">
        <v>4313</v>
      </c>
      <c r="B1972" s="10" t="s">
        <v>76</v>
      </c>
      <c r="C1972" s="10" t="s">
        <v>52</v>
      </c>
      <c r="D1972" s="10" t="s">
        <v>279</v>
      </c>
      <c r="E1972" s="10" t="s">
        <v>2342</v>
      </c>
      <c r="F1972" s="30" t="n">
        <v>42806</v>
      </c>
      <c r="G1972" s="30" t="n">
        <v>42884</v>
      </c>
      <c r="H1972" s="26" t="n">
        <f aca="false">G1972-F1972</f>
        <v>78</v>
      </c>
      <c r="I1972" s="10" t="n">
        <f aca="false">IF(E1972="Won",1,0)</f>
        <v>1</v>
      </c>
    </row>
    <row r="1973" customFormat="false" ht="15" hidden="false" customHeight="false" outlineLevel="0" collapsed="false">
      <c r="A1973" s="10" t="s">
        <v>4314</v>
      </c>
      <c r="B1973" s="10" t="s">
        <v>69</v>
      </c>
      <c r="C1973" s="10" t="s">
        <v>50</v>
      </c>
      <c r="D1973" s="10" t="s">
        <v>419</v>
      </c>
      <c r="E1973" s="10" t="s">
        <v>2342</v>
      </c>
      <c r="F1973" s="30" t="n">
        <v>42800</v>
      </c>
      <c r="G1973" s="30" t="n">
        <v>42884</v>
      </c>
      <c r="H1973" s="26" t="n">
        <f aca="false">G1973-F1973</f>
        <v>84</v>
      </c>
      <c r="I1973" s="10" t="n">
        <f aca="false">IF(E1973="Won",1,0)</f>
        <v>1</v>
      </c>
    </row>
    <row r="1974" customFormat="false" ht="15" hidden="false" customHeight="false" outlineLevel="0" collapsed="false">
      <c r="A1974" s="10" t="s">
        <v>4315</v>
      </c>
      <c r="B1974" s="10" t="s">
        <v>90</v>
      </c>
      <c r="C1974" s="10" t="s">
        <v>51</v>
      </c>
      <c r="D1974" s="10" t="s">
        <v>405</v>
      </c>
      <c r="E1974" s="10" t="s">
        <v>2345</v>
      </c>
      <c r="F1974" s="30" t="n">
        <v>42800</v>
      </c>
      <c r="G1974" s="30" t="n">
        <v>42884</v>
      </c>
      <c r="H1974" s="26" t="n">
        <f aca="false">G1974-F1974</f>
        <v>84</v>
      </c>
      <c r="I1974" s="10" t="n">
        <f aca="false">IF(E1974="Won",1,0)</f>
        <v>0</v>
      </c>
    </row>
    <row r="1975" customFormat="false" ht="15" hidden="false" customHeight="false" outlineLevel="0" collapsed="false">
      <c r="A1975" s="10" t="s">
        <v>4316</v>
      </c>
      <c r="B1975" s="10" t="s">
        <v>81</v>
      </c>
      <c r="C1975" s="10" t="s">
        <v>49</v>
      </c>
      <c r="D1975" s="10" t="s">
        <v>321</v>
      </c>
      <c r="E1975" s="10" t="s">
        <v>2345</v>
      </c>
      <c r="F1975" s="30" t="n">
        <v>42846</v>
      </c>
      <c r="G1975" s="30" t="n">
        <v>42884</v>
      </c>
      <c r="H1975" s="26" t="n">
        <f aca="false">G1975-F1975</f>
        <v>38</v>
      </c>
      <c r="I1975" s="10" t="n">
        <f aca="false">IF(E1975="Won",1,0)</f>
        <v>0</v>
      </c>
    </row>
    <row r="1976" customFormat="false" ht="15" hidden="false" customHeight="false" outlineLevel="0" collapsed="false">
      <c r="A1976" s="10" t="s">
        <v>4317</v>
      </c>
      <c r="B1976" s="10" t="s">
        <v>66</v>
      </c>
      <c r="C1976" s="10" t="s">
        <v>52</v>
      </c>
      <c r="D1976" s="10" t="s">
        <v>344</v>
      </c>
      <c r="E1976" s="10" t="s">
        <v>2342</v>
      </c>
      <c r="F1976" s="30" t="n">
        <v>42834</v>
      </c>
      <c r="G1976" s="30" t="n">
        <v>42884</v>
      </c>
      <c r="H1976" s="26" t="n">
        <f aca="false">G1976-F1976</f>
        <v>50</v>
      </c>
      <c r="I1976" s="10" t="n">
        <f aca="false">IF(E1976="Won",1,0)</f>
        <v>1</v>
      </c>
    </row>
    <row r="1977" customFormat="false" ht="15" hidden="false" customHeight="false" outlineLevel="0" collapsed="false">
      <c r="A1977" s="10" t="s">
        <v>4318</v>
      </c>
      <c r="B1977" s="10" t="s">
        <v>61</v>
      </c>
      <c r="C1977" s="10" t="s">
        <v>47</v>
      </c>
      <c r="D1977" s="10" t="s">
        <v>210</v>
      </c>
      <c r="E1977" s="10" t="s">
        <v>2342</v>
      </c>
      <c r="F1977" s="30" t="n">
        <v>42801</v>
      </c>
      <c r="G1977" s="30" t="n">
        <v>42884</v>
      </c>
      <c r="H1977" s="26" t="n">
        <f aca="false">G1977-F1977</f>
        <v>83</v>
      </c>
      <c r="I1977" s="10" t="n">
        <f aca="false">IF(E1977="Won",1,0)</f>
        <v>1</v>
      </c>
    </row>
    <row r="1978" customFormat="false" ht="15" hidden="false" customHeight="false" outlineLevel="0" collapsed="false">
      <c r="A1978" s="10" t="s">
        <v>4319</v>
      </c>
      <c r="B1978" s="10" t="s">
        <v>88</v>
      </c>
      <c r="C1978" s="10" t="s">
        <v>51</v>
      </c>
      <c r="D1978" s="10" t="s">
        <v>215</v>
      </c>
      <c r="E1978" s="10" t="s">
        <v>2345</v>
      </c>
      <c r="F1978" s="30" t="n">
        <v>42795</v>
      </c>
      <c r="G1978" s="30" t="n">
        <v>42884</v>
      </c>
      <c r="H1978" s="26" t="n">
        <f aca="false">G1978-F1978</f>
        <v>89</v>
      </c>
      <c r="I1978" s="10" t="n">
        <f aca="false">IF(E1978="Won",1,0)</f>
        <v>0</v>
      </c>
    </row>
    <row r="1979" customFormat="false" ht="15" hidden="false" customHeight="false" outlineLevel="0" collapsed="false">
      <c r="A1979" s="10" t="s">
        <v>4320</v>
      </c>
      <c r="B1979" s="10" t="s">
        <v>57</v>
      </c>
      <c r="C1979" s="10" t="s">
        <v>50</v>
      </c>
      <c r="D1979" s="10" t="s">
        <v>464</v>
      </c>
      <c r="E1979" s="10" t="s">
        <v>2342</v>
      </c>
      <c r="F1979" s="30" t="n">
        <v>42782</v>
      </c>
      <c r="G1979" s="30" t="n">
        <v>42884</v>
      </c>
      <c r="H1979" s="26" t="n">
        <f aca="false">G1979-F1979</f>
        <v>102</v>
      </c>
      <c r="I1979" s="10" t="n">
        <f aca="false">IF(E1979="Won",1,0)</f>
        <v>1</v>
      </c>
    </row>
    <row r="1980" customFormat="false" ht="15" hidden="false" customHeight="false" outlineLevel="0" collapsed="false">
      <c r="A1980" s="10" t="s">
        <v>4321</v>
      </c>
      <c r="B1980" s="10" t="s">
        <v>90</v>
      </c>
      <c r="C1980" s="10" t="s">
        <v>51</v>
      </c>
      <c r="D1980" s="10" t="s">
        <v>674</v>
      </c>
      <c r="E1980" s="10" t="s">
        <v>2342</v>
      </c>
      <c r="F1980" s="30" t="n">
        <v>42815</v>
      </c>
      <c r="G1980" s="30" t="n">
        <v>42884</v>
      </c>
      <c r="H1980" s="26" t="n">
        <f aca="false">G1980-F1980</f>
        <v>69</v>
      </c>
      <c r="I1980" s="10" t="n">
        <f aca="false">IF(E1980="Won",1,0)</f>
        <v>1</v>
      </c>
    </row>
    <row r="1981" customFormat="false" ht="15" hidden="false" customHeight="false" outlineLevel="0" collapsed="false">
      <c r="A1981" s="10" t="s">
        <v>4322</v>
      </c>
      <c r="B1981" s="10" t="s">
        <v>71</v>
      </c>
      <c r="C1981" s="10" t="s">
        <v>47</v>
      </c>
      <c r="D1981" s="10" t="s">
        <v>259</v>
      </c>
      <c r="E1981" s="10" t="s">
        <v>2342</v>
      </c>
      <c r="F1981" s="30" t="n">
        <v>42799</v>
      </c>
      <c r="G1981" s="30" t="n">
        <v>42884</v>
      </c>
      <c r="H1981" s="26" t="n">
        <f aca="false">G1981-F1981</f>
        <v>85</v>
      </c>
      <c r="I1981" s="10" t="n">
        <f aca="false">IF(E1981="Won",1,0)</f>
        <v>1</v>
      </c>
    </row>
    <row r="1982" customFormat="false" ht="15" hidden="false" customHeight="false" outlineLevel="0" collapsed="false">
      <c r="A1982" s="10" t="s">
        <v>4323</v>
      </c>
      <c r="B1982" s="10" t="s">
        <v>93</v>
      </c>
      <c r="C1982" s="10" t="s">
        <v>51</v>
      </c>
      <c r="D1982" s="10" t="s">
        <v>514</v>
      </c>
      <c r="E1982" s="10" t="s">
        <v>2342</v>
      </c>
      <c r="F1982" s="30" t="n">
        <v>42839</v>
      </c>
      <c r="G1982" s="30" t="n">
        <v>42884</v>
      </c>
      <c r="H1982" s="26" t="n">
        <f aca="false">G1982-F1982</f>
        <v>45</v>
      </c>
      <c r="I1982" s="10" t="n">
        <f aca="false">IF(E1982="Won",1,0)</f>
        <v>1</v>
      </c>
    </row>
    <row r="1983" customFormat="false" ht="15" hidden="false" customHeight="false" outlineLevel="0" collapsed="false">
      <c r="A1983" s="10" t="s">
        <v>4324</v>
      </c>
      <c r="B1983" s="10" t="s">
        <v>79</v>
      </c>
      <c r="C1983" s="10" t="s">
        <v>48</v>
      </c>
      <c r="D1983" s="10" t="s">
        <v>193</v>
      </c>
      <c r="E1983" s="10" t="s">
        <v>2345</v>
      </c>
      <c r="F1983" s="30" t="n">
        <v>42792</v>
      </c>
      <c r="G1983" s="30" t="n">
        <v>42884</v>
      </c>
      <c r="H1983" s="26" t="n">
        <f aca="false">G1983-F1983</f>
        <v>92</v>
      </c>
      <c r="I1983" s="10" t="n">
        <f aca="false">IF(E1983="Won",1,0)</f>
        <v>0</v>
      </c>
    </row>
    <row r="1984" customFormat="false" ht="15" hidden="false" customHeight="false" outlineLevel="0" collapsed="false">
      <c r="A1984" s="10" t="s">
        <v>4325</v>
      </c>
      <c r="B1984" s="10" t="s">
        <v>62</v>
      </c>
      <c r="C1984" s="10" t="s">
        <v>52</v>
      </c>
      <c r="D1984" s="10" t="s">
        <v>1334</v>
      </c>
      <c r="E1984" s="10" t="s">
        <v>2345</v>
      </c>
      <c r="F1984" s="30" t="n">
        <v>42804</v>
      </c>
      <c r="G1984" s="30" t="n">
        <v>42884</v>
      </c>
      <c r="H1984" s="26" t="n">
        <f aca="false">G1984-F1984</f>
        <v>80</v>
      </c>
      <c r="I1984" s="10" t="n">
        <f aca="false">IF(E1984="Won",1,0)</f>
        <v>0</v>
      </c>
    </row>
    <row r="1985" customFormat="false" ht="15" hidden="false" customHeight="false" outlineLevel="0" collapsed="false">
      <c r="A1985" s="10" t="s">
        <v>4326</v>
      </c>
      <c r="B1985" s="10" t="s">
        <v>88</v>
      </c>
      <c r="C1985" s="10" t="s">
        <v>48</v>
      </c>
      <c r="D1985" s="10" t="s">
        <v>161</v>
      </c>
      <c r="E1985" s="10" t="s">
        <v>2342</v>
      </c>
      <c r="F1985" s="30" t="n">
        <v>42808</v>
      </c>
      <c r="G1985" s="30" t="n">
        <v>42885</v>
      </c>
      <c r="H1985" s="26" t="n">
        <f aca="false">G1985-F1985</f>
        <v>77</v>
      </c>
      <c r="I1985" s="10" t="n">
        <f aca="false">IF(E1985="Won",1,0)</f>
        <v>1</v>
      </c>
    </row>
    <row r="1986" customFormat="false" ht="15" hidden="false" customHeight="false" outlineLevel="0" collapsed="false">
      <c r="A1986" s="10" t="s">
        <v>4327</v>
      </c>
      <c r="B1986" s="10" t="s">
        <v>69</v>
      </c>
      <c r="C1986" s="10" t="s">
        <v>49</v>
      </c>
      <c r="D1986" s="10" t="s">
        <v>344</v>
      </c>
      <c r="E1986" s="10" t="s">
        <v>2345</v>
      </c>
      <c r="F1986" s="30" t="n">
        <v>42825</v>
      </c>
      <c r="G1986" s="30" t="n">
        <v>42885</v>
      </c>
      <c r="H1986" s="26" t="n">
        <f aca="false">G1986-F1986</f>
        <v>60</v>
      </c>
      <c r="I1986" s="10" t="n">
        <f aca="false">IF(E1986="Won",1,0)</f>
        <v>0</v>
      </c>
    </row>
    <row r="1987" customFormat="false" ht="15" hidden="false" customHeight="false" outlineLevel="0" collapsed="false">
      <c r="A1987" s="10" t="s">
        <v>4328</v>
      </c>
      <c r="B1987" s="10" t="s">
        <v>88</v>
      </c>
      <c r="C1987" s="10" t="s">
        <v>48</v>
      </c>
      <c r="D1987" s="10" t="s">
        <v>332</v>
      </c>
      <c r="E1987" s="10" t="s">
        <v>2345</v>
      </c>
      <c r="F1987" s="30" t="n">
        <v>42860</v>
      </c>
      <c r="G1987" s="30" t="n">
        <v>42885</v>
      </c>
      <c r="H1987" s="26" t="n">
        <f aca="false">G1987-F1987</f>
        <v>25</v>
      </c>
      <c r="I1987" s="10" t="n">
        <f aca="false">IF(E1987="Won",1,0)</f>
        <v>0</v>
      </c>
    </row>
    <row r="1988" customFormat="false" ht="15" hidden="false" customHeight="false" outlineLevel="0" collapsed="false">
      <c r="A1988" s="10" t="s">
        <v>4329</v>
      </c>
      <c r="B1988" s="10" t="s">
        <v>76</v>
      </c>
      <c r="C1988" s="10" t="s">
        <v>52</v>
      </c>
      <c r="D1988" s="10" t="s">
        <v>179</v>
      </c>
      <c r="E1988" s="10" t="s">
        <v>2345</v>
      </c>
      <c r="F1988" s="30" t="n">
        <v>42832</v>
      </c>
      <c r="G1988" s="30" t="n">
        <v>42885</v>
      </c>
      <c r="H1988" s="26" t="n">
        <f aca="false">G1988-F1988</f>
        <v>53</v>
      </c>
      <c r="I1988" s="10" t="n">
        <f aca="false">IF(E1988="Won",1,0)</f>
        <v>0</v>
      </c>
    </row>
    <row r="1989" customFormat="false" ht="15" hidden="false" customHeight="false" outlineLevel="0" collapsed="false">
      <c r="A1989" s="10" t="s">
        <v>4330</v>
      </c>
      <c r="B1989" s="10" t="s">
        <v>66</v>
      </c>
      <c r="C1989" s="10" t="s">
        <v>52</v>
      </c>
      <c r="D1989" s="10" t="s">
        <v>432</v>
      </c>
      <c r="E1989" s="10" t="s">
        <v>2345</v>
      </c>
      <c r="F1989" s="30" t="n">
        <v>42776</v>
      </c>
      <c r="G1989" s="30" t="n">
        <v>42885</v>
      </c>
      <c r="H1989" s="26" t="n">
        <f aca="false">G1989-F1989</f>
        <v>109</v>
      </c>
      <c r="I1989" s="10" t="n">
        <f aca="false">IF(E1989="Won",1,0)</f>
        <v>0</v>
      </c>
    </row>
    <row r="1990" customFormat="false" ht="15" hidden="false" customHeight="false" outlineLevel="0" collapsed="false">
      <c r="A1990" s="10" t="s">
        <v>4331</v>
      </c>
      <c r="B1990" s="10" t="s">
        <v>77</v>
      </c>
      <c r="C1990" s="10" t="s">
        <v>50</v>
      </c>
      <c r="D1990" s="10" t="s">
        <v>536</v>
      </c>
      <c r="E1990" s="10" t="s">
        <v>2342</v>
      </c>
      <c r="F1990" s="30" t="n">
        <v>42865</v>
      </c>
      <c r="G1990" s="30" t="n">
        <v>42885</v>
      </c>
      <c r="H1990" s="26" t="n">
        <f aca="false">G1990-F1990</f>
        <v>20</v>
      </c>
      <c r="I1990" s="10" t="n">
        <f aca="false">IF(E1990="Won",1,0)</f>
        <v>1</v>
      </c>
    </row>
    <row r="1991" customFormat="false" ht="15" hidden="false" customHeight="false" outlineLevel="0" collapsed="false">
      <c r="A1991" s="10" t="s">
        <v>4332</v>
      </c>
      <c r="B1991" s="10" t="s">
        <v>95</v>
      </c>
      <c r="C1991" s="10" t="s">
        <v>51</v>
      </c>
      <c r="D1991" s="10" t="s">
        <v>337</v>
      </c>
      <c r="E1991" s="10" t="s">
        <v>2342</v>
      </c>
      <c r="F1991" s="30" t="n">
        <v>42797</v>
      </c>
      <c r="G1991" s="30" t="n">
        <v>42885</v>
      </c>
      <c r="H1991" s="26" t="n">
        <f aca="false">G1991-F1991</f>
        <v>88</v>
      </c>
      <c r="I1991" s="10" t="n">
        <f aca="false">IF(E1991="Won",1,0)</f>
        <v>1</v>
      </c>
    </row>
    <row r="1992" customFormat="false" ht="15" hidden="false" customHeight="false" outlineLevel="0" collapsed="false">
      <c r="A1992" s="10" t="s">
        <v>4333</v>
      </c>
      <c r="B1992" s="10" t="s">
        <v>87</v>
      </c>
      <c r="C1992" s="10" t="s">
        <v>48</v>
      </c>
      <c r="D1992" s="10" t="s">
        <v>161</v>
      </c>
      <c r="E1992" s="10" t="s">
        <v>2345</v>
      </c>
      <c r="F1992" s="30" t="n">
        <v>42834</v>
      </c>
      <c r="G1992" s="30" t="n">
        <v>42885</v>
      </c>
      <c r="H1992" s="26" t="n">
        <f aca="false">G1992-F1992</f>
        <v>51</v>
      </c>
      <c r="I1992" s="10" t="n">
        <f aca="false">IF(E1992="Won",1,0)</f>
        <v>0</v>
      </c>
    </row>
    <row r="1993" customFormat="false" ht="15" hidden="false" customHeight="false" outlineLevel="0" collapsed="false">
      <c r="A1993" s="10" t="s">
        <v>4334</v>
      </c>
      <c r="B1993" s="10" t="s">
        <v>76</v>
      </c>
      <c r="C1993" s="10" t="s">
        <v>51</v>
      </c>
      <c r="D1993" s="10" t="s">
        <v>1251</v>
      </c>
      <c r="E1993" s="10" t="s">
        <v>2345</v>
      </c>
      <c r="F1993" s="30" t="n">
        <v>42799</v>
      </c>
      <c r="G1993" s="30" t="n">
        <v>42885</v>
      </c>
      <c r="H1993" s="26" t="n">
        <f aca="false">G1993-F1993</f>
        <v>86</v>
      </c>
      <c r="I1993" s="10" t="n">
        <f aca="false">IF(E1993="Won",1,0)</f>
        <v>0</v>
      </c>
    </row>
    <row r="1994" customFormat="false" ht="15" hidden="false" customHeight="false" outlineLevel="0" collapsed="false">
      <c r="A1994" s="10" t="s">
        <v>4335</v>
      </c>
      <c r="B1994" s="10" t="s">
        <v>97</v>
      </c>
      <c r="C1994" s="10" t="s">
        <v>48</v>
      </c>
      <c r="D1994" s="10" t="s">
        <v>522</v>
      </c>
      <c r="E1994" s="10" t="s">
        <v>2345</v>
      </c>
      <c r="F1994" s="30" t="n">
        <v>42875</v>
      </c>
      <c r="G1994" s="30" t="n">
        <v>42885</v>
      </c>
      <c r="H1994" s="26" t="n">
        <f aca="false">G1994-F1994</f>
        <v>10</v>
      </c>
      <c r="I1994" s="10" t="n">
        <f aca="false">IF(E1994="Won",1,0)</f>
        <v>0</v>
      </c>
    </row>
    <row r="1995" customFormat="false" ht="15" hidden="false" customHeight="false" outlineLevel="0" collapsed="false">
      <c r="A1995" s="10" t="s">
        <v>4336</v>
      </c>
      <c r="B1995" s="10" t="s">
        <v>71</v>
      </c>
      <c r="C1995" s="10" t="s">
        <v>52</v>
      </c>
      <c r="D1995" s="10" t="s">
        <v>291</v>
      </c>
      <c r="E1995" s="10" t="s">
        <v>2345</v>
      </c>
      <c r="F1995" s="30" t="n">
        <v>42805</v>
      </c>
      <c r="G1995" s="30" t="n">
        <v>42885</v>
      </c>
      <c r="H1995" s="26" t="n">
        <f aca="false">G1995-F1995</f>
        <v>80</v>
      </c>
      <c r="I1995" s="10" t="n">
        <f aca="false">IF(E1995="Won",1,0)</f>
        <v>0</v>
      </c>
    </row>
    <row r="1996" customFormat="false" ht="15" hidden="false" customHeight="false" outlineLevel="0" collapsed="false">
      <c r="A1996" s="10" t="s">
        <v>4337</v>
      </c>
      <c r="B1996" s="10" t="s">
        <v>95</v>
      </c>
      <c r="C1996" s="10" t="s">
        <v>48</v>
      </c>
      <c r="D1996" s="10" t="s">
        <v>233</v>
      </c>
      <c r="E1996" s="10" t="s">
        <v>2345</v>
      </c>
      <c r="F1996" s="30" t="n">
        <v>42866</v>
      </c>
      <c r="G1996" s="30" t="n">
        <v>42885</v>
      </c>
      <c r="H1996" s="26" t="n">
        <f aca="false">G1996-F1996</f>
        <v>19</v>
      </c>
      <c r="I1996" s="10" t="n">
        <f aca="false">IF(E1996="Won",1,0)</f>
        <v>0</v>
      </c>
    </row>
    <row r="1997" customFormat="false" ht="15" hidden="false" customHeight="false" outlineLevel="0" collapsed="false">
      <c r="A1997" s="10" t="s">
        <v>4338</v>
      </c>
      <c r="B1997" s="10" t="s">
        <v>93</v>
      </c>
      <c r="C1997" s="10" t="s">
        <v>51</v>
      </c>
      <c r="D1997" s="10" t="s">
        <v>233</v>
      </c>
      <c r="E1997" s="10" t="s">
        <v>2345</v>
      </c>
      <c r="F1997" s="30" t="n">
        <v>42830</v>
      </c>
      <c r="G1997" s="30" t="n">
        <v>42885</v>
      </c>
      <c r="H1997" s="26" t="n">
        <f aca="false">G1997-F1997</f>
        <v>55</v>
      </c>
      <c r="I1997" s="10" t="n">
        <f aca="false">IF(E1997="Won",1,0)</f>
        <v>0</v>
      </c>
    </row>
    <row r="1998" customFormat="false" ht="15" hidden="false" customHeight="false" outlineLevel="0" collapsed="false">
      <c r="A1998" s="10" t="s">
        <v>4339</v>
      </c>
      <c r="B1998" s="10" t="s">
        <v>86</v>
      </c>
      <c r="C1998" s="10" t="s">
        <v>50</v>
      </c>
      <c r="D1998" s="10" t="s">
        <v>350</v>
      </c>
      <c r="E1998" s="10" t="s">
        <v>2345</v>
      </c>
      <c r="F1998" s="30" t="n">
        <v>42831</v>
      </c>
      <c r="G1998" s="30" t="n">
        <v>42885</v>
      </c>
      <c r="H1998" s="26" t="n">
        <f aca="false">G1998-F1998</f>
        <v>54</v>
      </c>
      <c r="I1998" s="10" t="n">
        <f aca="false">IF(E1998="Won",1,0)</f>
        <v>0</v>
      </c>
    </row>
    <row r="1999" customFormat="false" ht="15" hidden="false" customHeight="false" outlineLevel="0" collapsed="false">
      <c r="A1999" s="10" t="s">
        <v>4340</v>
      </c>
      <c r="B1999" s="10" t="s">
        <v>97</v>
      </c>
      <c r="C1999" s="10" t="s">
        <v>51</v>
      </c>
      <c r="D1999" s="10" t="s">
        <v>483</v>
      </c>
      <c r="E1999" s="10" t="s">
        <v>2342</v>
      </c>
      <c r="F1999" s="30" t="n">
        <v>42858</v>
      </c>
      <c r="G1999" s="30" t="n">
        <v>42885</v>
      </c>
      <c r="H1999" s="26" t="n">
        <f aca="false">G1999-F1999</f>
        <v>27</v>
      </c>
      <c r="I1999" s="10" t="n">
        <f aca="false">IF(E1999="Won",1,0)</f>
        <v>1</v>
      </c>
    </row>
    <row r="2000" customFormat="false" ht="15" hidden="false" customHeight="false" outlineLevel="0" collapsed="false">
      <c r="A2000" s="10" t="s">
        <v>4341</v>
      </c>
      <c r="B2000" s="10" t="s">
        <v>95</v>
      </c>
      <c r="C2000" s="10" t="s">
        <v>51</v>
      </c>
      <c r="D2000" s="10" t="s">
        <v>233</v>
      </c>
      <c r="E2000" s="10" t="s">
        <v>2345</v>
      </c>
      <c r="F2000" s="30" t="n">
        <v>42804</v>
      </c>
      <c r="G2000" s="30" t="n">
        <v>42885</v>
      </c>
      <c r="H2000" s="26" t="n">
        <f aca="false">G2000-F2000</f>
        <v>81</v>
      </c>
      <c r="I2000" s="10" t="n">
        <f aca="false">IF(E2000="Won",1,0)</f>
        <v>0</v>
      </c>
    </row>
    <row r="2001" customFormat="false" ht="15" hidden="false" customHeight="false" outlineLevel="0" collapsed="false">
      <c r="A2001" s="10" t="s">
        <v>4342</v>
      </c>
      <c r="B2001" s="10" t="s">
        <v>96</v>
      </c>
      <c r="C2001" s="10" t="s">
        <v>50</v>
      </c>
      <c r="D2001" s="10" t="s">
        <v>419</v>
      </c>
      <c r="E2001" s="10" t="s">
        <v>2345</v>
      </c>
      <c r="F2001" s="30" t="n">
        <v>42809</v>
      </c>
      <c r="G2001" s="30" t="n">
        <v>42885</v>
      </c>
      <c r="H2001" s="26" t="n">
        <f aca="false">G2001-F2001</f>
        <v>76</v>
      </c>
      <c r="I2001" s="10" t="n">
        <f aca="false">IF(E2001="Won",1,0)</f>
        <v>0</v>
      </c>
    </row>
    <row r="2002" customFormat="false" ht="15" hidden="false" customHeight="false" outlineLevel="0" collapsed="false">
      <c r="A2002" s="10" t="s">
        <v>4343</v>
      </c>
      <c r="B2002" s="10" t="s">
        <v>86</v>
      </c>
      <c r="C2002" s="10" t="s">
        <v>51</v>
      </c>
      <c r="D2002" s="10" t="s">
        <v>453</v>
      </c>
      <c r="E2002" s="10" t="s">
        <v>2342</v>
      </c>
      <c r="F2002" s="30" t="n">
        <v>42822</v>
      </c>
      <c r="G2002" s="30" t="n">
        <v>42885</v>
      </c>
      <c r="H2002" s="26" t="n">
        <f aca="false">G2002-F2002</f>
        <v>63</v>
      </c>
      <c r="I2002" s="10" t="n">
        <f aca="false">IF(E2002="Won",1,0)</f>
        <v>1</v>
      </c>
    </row>
    <row r="2003" customFormat="false" ht="15" hidden="false" customHeight="false" outlineLevel="0" collapsed="false">
      <c r="A2003" s="10" t="s">
        <v>4344</v>
      </c>
      <c r="B2003" s="10" t="s">
        <v>73</v>
      </c>
      <c r="C2003" s="10" t="s">
        <v>50</v>
      </c>
      <c r="D2003" s="10" t="s">
        <v>483</v>
      </c>
      <c r="E2003" s="10" t="s">
        <v>2342</v>
      </c>
      <c r="F2003" s="30" t="n">
        <v>42870</v>
      </c>
      <c r="G2003" s="30" t="n">
        <v>42885</v>
      </c>
      <c r="H2003" s="26" t="n">
        <f aca="false">G2003-F2003</f>
        <v>15</v>
      </c>
      <c r="I2003" s="10" t="n">
        <f aca="false">IF(E2003="Won",1,0)</f>
        <v>1</v>
      </c>
    </row>
    <row r="2004" customFormat="false" ht="15" hidden="false" customHeight="false" outlineLevel="0" collapsed="false">
      <c r="A2004" s="10" t="s">
        <v>4345</v>
      </c>
      <c r="B2004" s="10" t="s">
        <v>63</v>
      </c>
      <c r="C2004" s="10" t="s">
        <v>48</v>
      </c>
      <c r="D2004" s="10" t="s">
        <v>1397</v>
      </c>
      <c r="E2004" s="10" t="s">
        <v>2342</v>
      </c>
      <c r="F2004" s="30" t="n">
        <v>42811</v>
      </c>
      <c r="G2004" s="30" t="n">
        <v>42885</v>
      </c>
      <c r="H2004" s="26" t="n">
        <f aca="false">G2004-F2004</f>
        <v>74</v>
      </c>
      <c r="I2004" s="10" t="n">
        <f aca="false">IF(E2004="Won",1,0)</f>
        <v>1</v>
      </c>
    </row>
    <row r="2005" customFormat="false" ht="15" hidden="false" customHeight="false" outlineLevel="0" collapsed="false">
      <c r="A2005" s="10" t="s">
        <v>4346</v>
      </c>
      <c r="B2005" s="10" t="s">
        <v>67</v>
      </c>
      <c r="C2005" s="10" t="s">
        <v>49</v>
      </c>
      <c r="D2005" s="10" t="s">
        <v>483</v>
      </c>
      <c r="E2005" s="10" t="s">
        <v>2342</v>
      </c>
      <c r="F2005" s="30" t="n">
        <v>42871</v>
      </c>
      <c r="G2005" s="30" t="n">
        <v>42885</v>
      </c>
      <c r="H2005" s="26" t="n">
        <f aca="false">G2005-F2005</f>
        <v>14</v>
      </c>
      <c r="I2005" s="10" t="n">
        <f aca="false">IF(E2005="Won",1,0)</f>
        <v>1</v>
      </c>
    </row>
    <row r="2006" customFormat="false" ht="15" hidden="false" customHeight="false" outlineLevel="0" collapsed="false">
      <c r="A2006" s="10" t="s">
        <v>4347</v>
      </c>
      <c r="B2006" s="10" t="s">
        <v>81</v>
      </c>
      <c r="C2006" s="10" t="s">
        <v>52</v>
      </c>
      <c r="D2006" s="10" t="s">
        <v>388</v>
      </c>
      <c r="E2006" s="10" t="s">
        <v>2345</v>
      </c>
      <c r="F2006" s="30" t="n">
        <v>42784</v>
      </c>
      <c r="G2006" s="30" t="n">
        <v>42885</v>
      </c>
      <c r="H2006" s="26" t="n">
        <f aca="false">G2006-F2006</f>
        <v>101</v>
      </c>
      <c r="I2006" s="10" t="n">
        <f aca="false">IF(E2006="Won",1,0)</f>
        <v>0</v>
      </c>
    </row>
    <row r="2007" customFormat="false" ht="15" hidden="false" customHeight="false" outlineLevel="0" collapsed="false">
      <c r="A2007" s="10" t="s">
        <v>4348</v>
      </c>
      <c r="B2007" s="10" t="s">
        <v>90</v>
      </c>
      <c r="C2007" s="10" t="s">
        <v>50</v>
      </c>
      <c r="D2007" s="10" t="s">
        <v>359</v>
      </c>
      <c r="E2007" s="10" t="s">
        <v>2342</v>
      </c>
      <c r="F2007" s="30" t="n">
        <v>42782</v>
      </c>
      <c r="G2007" s="30" t="n">
        <v>42885</v>
      </c>
      <c r="H2007" s="26" t="n">
        <f aca="false">G2007-F2007</f>
        <v>103</v>
      </c>
      <c r="I2007" s="10" t="n">
        <f aca="false">IF(E2007="Won",1,0)</f>
        <v>1</v>
      </c>
    </row>
    <row r="2008" customFormat="false" ht="15" hidden="false" customHeight="false" outlineLevel="0" collapsed="false">
      <c r="A2008" s="10" t="s">
        <v>4349</v>
      </c>
      <c r="B2008" s="10" t="s">
        <v>71</v>
      </c>
      <c r="C2008" s="10" t="s">
        <v>52</v>
      </c>
      <c r="D2008" s="10" t="s">
        <v>524</v>
      </c>
      <c r="E2008" s="10" t="s">
        <v>2342</v>
      </c>
      <c r="F2008" s="30" t="n">
        <v>42816</v>
      </c>
      <c r="G2008" s="30" t="n">
        <v>42885</v>
      </c>
      <c r="H2008" s="26" t="n">
        <f aca="false">G2008-F2008</f>
        <v>69</v>
      </c>
      <c r="I2008" s="10" t="n">
        <f aca="false">IF(E2008="Won",1,0)</f>
        <v>1</v>
      </c>
    </row>
    <row r="2009" customFormat="false" ht="15" hidden="false" customHeight="false" outlineLevel="0" collapsed="false">
      <c r="A2009" s="10" t="s">
        <v>4350</v>
      </c>
      <c r="B2009" s="10" t="s">
        <v>70</v>
      </c>
      <c r="C2009" s="10" t="s">
        <v>50</v>
      </c>
      <c r="D2009" s="10" t="s">
        <v>199</v>
      </c>
      <c r="E2009" s="10" t="s">
        <v>2345</v>
      </c>
      <c r="F2009" s="30" t="n">
        <v>42882</v>
      </c>
      <c r="G2009" s="30" t="n">
        <v>42885</v>
      </c>
      <c r="H2009" s="26" t="n">
        <f aca="false">G2009-F2009</f>
        <v>3</v>
      </c>
      <c r="I2009" s="10" t="n">
        <f aca="false">IF(E2009="Won",1,0)</f>
        <v>0</v>
      </c>
    </row>
    <row r="2010" customFormat="false" ht="15" hidden="false" customHeight="false" outlineLevel="0" collapsed="false">
      <c r="A2010" s="10" t="s">
        <v>4351</v>
      </c>
      <c r="B2010" s="10" t="s">
        <v>57</v>
      </c>
      <c r="C2010" s="10" t="s">
        <v>47</v>
      </c>
      <c r="D2010" s="10" t="s">
        <v>286</v>
      </c>
      <c r="E2010" s="10" t="s">
        <v>2342</v>
      </c>
      <c r="F2010" s="30" t="n">
        <v>42793</v>
      </c>
      <c r="G2010" s="30" t="n">
        <v>42885</v>
      </c>
      <c r="H2010" s="26" t="n">
        <f aca="false">G2010-F2010</f>
        <v>92</v>
      </c>
      <c r="I2010" s="10" t="n">
        <f aca="false">IF(E2010="Won",1,0)</f>
        <v>1</v>
      </c>
    </row>
    <row r="2011" customFormat="false" ht="15" hidden="false" customHeight="false" outlineLevel="0" collapsed="false">
      <c r="A2011" s="10" t="s">
        <v>4352</v>
      </c>
      <c r="B2011" s="10" t="s">
        <v>88</v>
      </c>
      <c r="C2011" s="10" t="s">
        <v>47</v>
      </c>
      <c r="D2011" s="10" t="s">
        <v>405</v>
      </c>
      <c r="E2011" s="10" t="s">
        <v>2342</v>
      </c>
      <c r="F2011" s="30" t="n">
        <v>42770</v>
      </c>
      <c r="G2011" s="30" t="n">
        <v>42885</v>
      </c>
      <c r="H2011" s="26" t="n">
        <f aca="false">G2011-F2011</f>
        <v>115</v>
      </c>
      <c r="I2011" s="10" t="n">
        <f aca="false">IF(E2011="Won",1,0)</f>
        <v>1</v>
      </c>
    </row>
    <row r="2012" customFormat="false" ht="15" hidden="false" customHeight="false" outlineLevel="0" collapsed="false">
      <c r="A2012" s="10" t="s">
        <v>4353</v>
      </c>
      <c r="B2012" s="10" t="s">
        <v>75</v>
      </c>
      <c r="C2012" s="10" t="s">
        <v>50</v>
      </c>
      <c r="D2012" s="10" t="s">
        <v>267</v>
      </c>
      <c r="E2012" s="10" t="s">
        <v>2345</v>
      </c>
      <c r="F2012" s="30" t="n">
        <v>42788</v>
      </c>
      <c r="G2012" s="30" t="n">
        <v>42885</v>
      </c>
      <c r="H2012" s="26" t="n">
        <f aca="false">G2012-F2012</f>
        <v>97</v>
      </c>
      <c r="I2012" s="10" t="n">
        <f aca="false">IF(E2012="Won",1,0)</f>
        <v>0</v>
      </c>
    </row>
    <row r="2013" customFormat="false" ht="15" hidden="false" customHeight="false" outlineLevel="0" collapsed="false">
      <c r="A2013" s="10" t="s">
        <v>4354</v>
      </c>
      <c r="B2013" s="10" t="s">
        <v>90</v>
      </c>
      <c r="C2013" s="10" t="s">
        <v>49</v>
      </c>
      <c r="D2013" s="10" t="s">
        <v>455</v>
      </c>
      <c r="E2013" s="10" t="s">
        <v>2345</v>
      </c>
      <c r="F2013" s="30" t="n">
        <v>42870</v>
      </c>
      <c r="G2013" s="30" t="n">
        <v>42885</v>
      </c>
      <c r="H2013" s="26" t="n">
        <f aca="false">G2013-F2013</f>
        <v>15</v>
      </c>
      <c r="I2013" s="10" t="n">
        <f aca="false">IF(E2013="Won",1,0)</f>
        <v>0</v>
      </c>
    </row>
    <row r="2014" customFormat="false" ht="15" hidden="false" customHeight="false" outlineLevel="0" collapsed="false">
      <c r="A2014" s="10" t="s">
        <v>4355</v>
      </c>
      <c r="B2014" s="10" t="s">
        <v>74</v>
      </c>
      <c r="C2014" s="10" t="s">
        <v>52</v>
      </c>
      <c r="D2014" s="10" t="s">
        <v>279</v>
      </c>
      <c r="E2014" s="10" t="s">
        <v>2342</v>
      </c>
      <c r="F2014" s="30" t="n">
        <v>42831</v>
      </c>
      <c r="G2014" s="30" t="n">
        <v>42885</v>
      </c>
      <c r="H2014" s="26" t="n">
        <f aca="false">G2014-F2014</f>
        <v>54</v>
      </c>
      <c r="I2014" s="10" t="n">
        <f aca="false">IF(E2014="Won",1,0)</f>
        <v>1</v>
      </c>
    </row>
    <row r="2015" customFormat="false" ht="15" hidden="false" customHeight="false" outlineLevel="0" collapsed="false">
      <c r="A2015" s="10" t="s">
        <v>4356</v>
      </c>
      <c r="B2015" s="10" t="s">
        <v>71</v>
      </c>
      <c r="C2015" s="10" t="s">
        <v>52</v>
      </c>
      <c r="D2015" s="10" t="s">
        <v>1251</v>
      </c>
      <c r="E2015" s="10" t="s">
        <v>2342</v>
      </c>
      <c r="F2015" s="30" t="n">
        <v>42780</v>
      </c>
      <c r="G2015" s="30" t="n">
        <v>42885</v>
      </c>
      <c r="H2015" s="26" t="n">
        <f aca="false">G2015-F2015</f>
        <v>105</v>
      </c>
      <c r="I2015" s="10" t="n">
        <f aca="false">IF(E2015="Won",1,0)</f>
        <v>1</v>
      </c>
    </row>
    <row r="2016" customFormat="false" ht="15" hidden="false" customHeight="false" outlineLevel="0" collapsed="false">
      <c r="A2016" s="10" t="s">
        <v>4357</v>
      </c>
      <c r="B2016" s="10" t="s">
        <v>97</v>
      </c>
      <c r="C2016" s="10" t="s">
        <v>51</v>
      </c>
      <c r="D2016" s="10" t="s">
        <v>986</v>
      </c>
      <c r="E2016" s="10" t="s">
        <v>2345</v>
      </c>
      <c r="F2016" s="30" t="n">
        <v>42795</v>
      </c>
      <c r="G2016" s="30" t="n">
        <v>42886</v>
      </c>
      <c r="H2016" s="26" t="n">
        <f aca="false">G2016-F2016</f>
        <v>91</v>
      </c>
      <c r="I2016" s="10" t="n">
        <f aca="false">IF(E2016="Won",1,0)</f>
        <v>0</v>
      </c>
    </row>
    <row r="2017" customFormat="false" ht="15" hidden="false" customHeight="false" outlineLevel="0" collapsed="false">
      <c r="A2017" s="10" t="s">
        <v>4358</v>
      </c>
      <c r="B2017" s="10" t="s">
        <v>74</v>
      </c>
      <c r="C2017" s="10" t="s">
        <v>50</v>
      </c>
      <c r="D2017" s="10" t="s">
        <v>527</v>
      </c>
      <c r="E2017" s="10" t="s">
        <v>2342</v>
      </c>
      <c r="F2017" s="30" t="n">
        <v>42795</v>
      </c>
      <c r="G2017" s="30" t="n">
        <v>42886</v>
      </c>
      <c r="H2017" s="26" t="n">
        <f aca="false">G2017-F2017</f>
        <v>91</v>
      </c>
      <c r="I2017" s="10" t="n">
        <f aca="false">IF(E2017="Won",1,0)</f>
        <v>1</v>
      </c>
    </row>
    <row r="2018" customFormat="false" ht="15" hidden="false" customHeight="false" outlineLevel="0" collapsed="false">
      <c r="A2018" s="10" t="s">
        <v>4359</v>
      </c>
      <c r="B2018" s="10" t="s">
        <v>75</v>
      </c>
      <c r="C2018" s="10" t="s">
        <v>51</v>
      </c>
      <c r="D2018" s="10" t="s">
        <v>422</v>
      </c>
      <c r="E2018" s="10" t="s">
        <v>2345</v>
      </c>
      <c r="F2018" s="30" t="n">
        <v>42854</v>
      </c>
      <c r="G2018" s="30" t="n">
        <v>42886</v>
      </c>
      <c r="H2018" s="26" t="n">
        <f aca="false">G2018-F2018</f>
        <v>32</v>
      </c>
      <c r="I2018" s="10" t="n">
        <f aca="false">IF(E2018="Won",1,0)</f>
        <v>0</v>
      </c>
    </row>
    <row r="2019" customFormat="false" ht="15" hidden="false" customHeight="false" outlineLevel="0" collapsed="false">
      <c r="A2019" s="10" t="s">
        <v>4360</v>
      </c>
      <c r="B2019" s="10" t="s">
        <v>83</v>
      </c>
      <c r="C2019" s="10" t="s">
        <v>52</v>
      </c>
      <c r="D2019" s="10" t="s">
        <v>597</v>
      </c>
      <c r="E2019" s="10" t="s">
        <v>2345</v>
      </c>
      <c r="F2019" s="30" t="n">
        <v>42881</v>
      </c>
      <c r="G2019" s="30" t="n">
        <v>42886</v>
      </c>
      <c r="H2019" s="26" t="n">
        <f aca="false">G2019-F2019</f>
        <v>5</v>
      </c>
      <c r="I2019" s="10" t="n">
        <f aca="false">IF(E2019="Won",1,0)</f>
        <v>0</v>
      </c>
    </row>
    <row r="2020" customFormat="false" ht="15" hidden="false" customHeight="false" outlineLevel="0" collapsed="false">
      <c r="A2020" s="10" t="s">
        <v>4361</v>
      </c>
      <c r="B2020" s="10" t="s">
        <v>68</v>
      </c>
      <c r="C2020" s="10" t="s">
        <v>49</v>
      </c>
      <c r="D2020" s="10" t="s">
        <v>514</v>
      </c>
      <c r="E2020" s="10" t="s">
        <v>2342</v>
      </c>
      <c r="F2020" s="30" t="n">
        <v>42802</v>
      </c>
      <c r="G2020" s="30" t="n">
        <v>42886</v>
      </c>
      <c r="H2020" s="26" t="n">
        <f aca="false">G2020-F2020</f>
        <v>84</v>
      </c>
      <c r="I2020" s="10" t="n">
        <f aca="false">IF(E2020="Won",1,0)</f>
        <v>1</v>
      </c>
    </row>
    <row r="2021" customFormat="false" ht="15" hidden="false" customHeight="false" outlineLevel="0" collapsed="false">
      <c r="A2021" s="10" t="s">
        <v>4362</v>
      </c>
      <c r="B2021" s="10" t="s">
        <v>71</v>
      </c>
      <c r="C2021" s="10" t="s">
        <v>49</v>
      </c>
      <c r="D2021" s="10" t="s">
        <v>512</v>
      </c>
      <c r="E2021" s="10" t="s">
        <v>2345</v>
      </c>
      <c r="F2021" s="30" t="n">
        <v>42796</v>
      </c>
      <c r="G2021" s="30" t="n">
        <v>42886</v>
      </c>
      <c r="H2021" s="26" t="n">
        <f aca="false">G2021-F2021</f>
        <v>90</v>
      </c>
      <c r="I2021" s="10" t="n">
        <f aca="false">IF(E2021="Won",1,0)</f>
        <v>0</v>
      </c>
    </row>
    <row r="2022" customFormat="false" ht="15" hidden="false" customHeight="false" outlineLevel="0" collapsed="false">
      <c r="A2022" s="10" t="s">
        <v>4363</v>
      </c>
      <c r="B2022" s="10" t="s">
        <v>68</v>
      </c>
      <c r="C2022" s="10" t="s">
        <v>51</v>
      </c>
      <c r="D2022" s="10" t="s">
        <v>227</v>
      </c>
      <c r="E2022" s="10" t="s">
        <v>2342</v>
      </c>
      <c r="F2022" s="30" t="n">
        <v>42784</v>
      </c>
      <c r="G2022" s="30" t="n">
        <v>42886</v>
      </c>
      <c r="H2022" s="26" t="n">
        <f aca="false">G2022-F2022</f>
        <v>102</v>
      </c>
      <c r="I2022" s="10" t="n">
        <f aca="false">IF(E2022="Won",1,0)</f>
        <v>1</v>
      </c>
    </row>
    <row r="2023" customFormat="false" ht="15" hidden="false" customHeight="false" outlineLevel="0" collapsed="false">
      <c r="A2023" s="10" t="s">
        <v>4364</v>
      </c>
      <c r="B2023" s="10" t="s">
        <v>80</v>
      </c>
      <c r="C2023" s="10" t="s">
        <v>51</v>
      </c>
      <c r="D2023" s="10" t="s">
        <v>291</v>
      </c>
      <c r="E2023" s="10" t="s">
        <v>2342</v>
      </c>
      <c r="F2023" s="30" t="n">
        <v>42800</v>
      </c>
      <c r="G2023" s="30" t="n">
        <v>42886</v>
      </c>
      <c r="H2023" s="26" t="n">
        <f aca="false">G2023-F2023</f>
        <v>86</v>
      </c>
      <c r="I2023" s="10" t="n">
        <f aca="false">IF(E2023="Won",1,0)</f>
        <v>1</v>
      </c>
    </row>
    <row r="2024" customFormat="false" ht="15" hidden="false" customHeight="false" outlineLevel="0" collapsed="false">
      <c r="A2024" s="10" t="s">
        <v>4365</v>
      </c>
      <c r="B2024" s="10" t="s">
        <v>90</v>
      </c>
      <c r="C2024" s="10" t="s">
        <v>48</v>
      </c>
      <c r="D2024" s="10" t="s">
        <v>674</v>
      </c>
      <c r="E2024" s="10" t="s">
        <v>2345</v>
      </c>
      <c r="F2024" s="30" t="n">
        <v>42885</v>
      </c>
      <c r="G2024" s="30" t="n">
        <v>42886</v>
      </c>
      <c r="H2024" s="26" t="n">
        <f aca="false">G2024-F2024</f>
        <v>1</v>
      </c>
      <c r="I2024" s="10" t="n">
        <f aca="false">IF(E2024="Won",1,0)</f>
        <v>0</v>
      </c>
    </row>
    <row r="2025" customFormat="false" ht="15" hidden="false" customHeight="false" outlineLevel="0" collapsed="false">
      <c r="A2025" s="10" t="s">
        <v>4366</v>
      </c>
      <c r="B2025" s="10" t="s">
        <v>97</v>
      </c>
      <c r="C2025" s="10" t="s">
        <v>50</v>
      </c>
      <c r="D2025" s="10" t="s">
        <v>483</v>
      </c>
      <c r="E2025" s="10" t="s">
        <v>2342</v>
      </c>
      <c r="F2025" s="30" t="n">
        <v>42800</v>
      </c>
      <c r="G2025" s="30" t="n">
        <v>42886</v>
      </c>
      <c r="H2025" s="26" t="n">
        <f aca="false">G2025-F2025</f>
        <v>86</v>
      </c>
      <c r="I2025" s="10" t="n">
        <f aca="false">IF(E2025="Won",1,0)</f>
        <v>1</v>
      </c>
    </row>
    <row r="2026" customFormat="false" ht="15" hidden="false" customHeight="false" outlineLevel="0" collapsed="false">
      <c r="A2026" s="10" t="s">
        <v>4367</v>
      </c>
      <c r="B2026" s="10" t="s">
        <v>97</v>
      </c>
      <c r="C2026" s="10" t="s">
        <v>48</v>
      </c>
      <c r="D2026" s="10" t="s">
        <v>348</v>
      </c>
      <c r="E2026" s="10" t="s">
        <v>2342</v>
      </c>
      <c r="F2026" s="30" t="n">
        <v>42878</v>
      </c>
      <c r="G2026" s="30" t="n">
        <v>42886</v>
      </c>
      <c r="H2026" s="26" t="n">
        <f aca="false">G2026-F2026</f>
        <v>8</v>
      </c>
      <c r="I2026" s="10" t="n">
        <f aca="false">IF(E2026="Won",1,0)</f>
        <v>1</v>
      </c>
    </row>
    <row r="2027" customFormat="false" ht="15" hidden="false" customHeight="false" outlineLevel="0" collapsed="false">
      <c r="A2027" s="10" t="s">
        <v>4368</v>
      </c>
      <c r="B2027" s="10" t="s">
        <v>83</v>
      </c>
      <c r="C2027" s="10" t="s">
        <v>51</v>
      </c>
      <c r="D2027" s="10" t="s">
        <v>597</v>
      </c>
      <c r="E2027" s="10" t="s">
        <v>2342</v>
      </c>
      <c r="F2027" s="30" t="n">
        <v>42819</v>
      </c>
      <c r="G2027" s="30" t="n">
        <v>42886</v>
      </c>
      <c r="H2027" s="26" t="n">
        <f aca="false">G2027-F2027</f>
        <v>67</v>
      </c>
      <c r="I2027" s="10" t="n">
        <f aca="false">IF(E2027="Won",1,0)</f>
        <v>1</v>
      </c>
    </row>
    <row r="2028" customFormat="false" ht="15" hidden="false" customHeight="false" outlineLevel="0" collapsed="false">
      <c r="A2028" s="10" t="s">
        <v>4369</v>
      </c>
      <c r="B2028" s="10" t="s">
        <v>71</v>
      </c>
      <c r="C2028" s="10" t="s">
        <v>47</v>
      </c>
      <c r="D2028" s="10" t="s">
        <v>697</v>
      </c>
      <c r="E2028" s="10" t="s">
        <v>2345</v>
      </c>
      <c r="F2028" s="30" t="n">
        <v>42877</v>
      </c>
      <c r="G2028" s="30" t="n">
        <v>42886</v>
      </c>
      <c r="H2028" s="26" t="n">
        <f aca="false">G2028-F2028</f>
        <v>9</v>
      </c>
      <c r="I2028" s="10" t="n">
        <f aca="false">IF(E2028="Won",1,0)</f>
        <v>0</v>
      </c>
    </row>
    <row r="2029" customFormat="false" ht="15" hidden="false" customHeight="false" outlineLevel="0" collapsed="false">
      <c r="A2029" s="10" t="s">
        <v>4370</v>
      </c>
      <c r="B2029" s="10" t="s">
        <v>94</v>
      </c>
      <c r="C2029" s="10" t="s">
        <v>50</v>
      </c>
      <c r="D2029" s="10" t="s">
        <v>437</v>
      </c>
      <c r="E2029" s="10" t="s">
        <v>2345</v>
      </c>
      <c r="F2029" s="30" t="n">
        <v>42820</v>
      </c>
      <c r="G2029" s="30" t="n">
        <v>42886</v>
      </c>
      <c r="H2029" s="26" t="n">
        <f aca="false">G2029-F2029</f>
        <v>66</v>
      </c>
      <c r="I2029" s="10" t="n">
        <f aca="false">IF(E2029="Won",1,0)</f>
        <v>0</v>
      </c>
    </row>
    <row r="2030" customFormat="false" ht="15" hidden="false" customHeight="false" outlineLevel="0" collapsed="false">
      <c r="A2030" s="10" t="s">
        <v>4371</v>
      </c>
      <c r="B2030" s="10" t="s">
        <v>60</v>
      </c>
      <c r="C2030" s="10" t="s">
        <v>50</v>
      </c>
      <c r="D2030" s="10" t="s">
        <v>441</v>
      </c>
      <c r="E2030" s="10" t="s">
        <v>2342</v>
      </c>
      <c r="F2030" s="30" t="n">
        <v>42824</v>
      </c>
      <c r="G2030" s="30" t="n">
        <v>42886</v>
      </c>
      <c r="H2030" s="26" t="n">
        <f aca="false">G2030-F2030</f>
        <v>62</v>
      </c>
      <c r="I2030" s="10" t="n">
        <f aca="false">IF(E2030="Won",1,0)</f>
        <v>1</v>
      </c>
    </row>
    <row r="2031" customFormat="false" ht="15" hidden="false" customHeight="false" outlineLevel="0" collapsed="false">
      <c r="A2031" s="10" t="s">
        <v>4372</v>
      </c>
      <c r="B2031" s="10" t="s">
        <v>94</v>
      </c>
      <c r="C2031" s="10" t="s">
        <v>48</v>
      </c>
      <c r="D2031" s="10" t="s">
        <v>168</v>
      </c>
      <c r="E2031" s="10" t="s">
        <v>2342</v>
      </c>
      <c r="F2031" s="30" t="n">
        <v>42829</v>
      </c>
      <c r="G2031" s="30" t="n">
        <v>42886</v>
      </c>
      <c r="H2031" s="26" t="n">
        <f aca="false">G2031-F2031</f>
        <v>57</v>
      </c>
      <c r="I2031" s="10" t="n">
        <f aca="false">IF(E2031="Won",1,0)</f>
        <v>1</v>
      </c>
    </row>
    <row r="2032" customFormat="false" ht="15" hidden="false" customHeight="false" outlineLevel="0" collapsed="false">
      <c r="A2032" s="10" t="s">
        <v>4373</v>
      </c>
      <c r="B2032" s="10" t="s">
        <v>81</v>
      </c>
      <c r="C2032" s="10" t="s">
        <v>47</v>
      </c>
      <c r="D2032" s="10" t="s">
        <v>369</v>
      </c>
      <c r="E2032" s="10" t="s">
        <v>2345</v>
      </c>
      <c r="F2032" s="30" t="n">
        <v>42779</v>
      </c>
      <c r="G2032" s="30" t="n">
        <v>42886</v>
      </c>
      <c r="H2032" s="26" t="n">
        <f aca="false">G2032-F2032</f>
        <v>107</v>
      </c>
      <c r="I2032" s="10" t="n">
        <f aca="false">IF(E2032="Won",1,0)</f>
        <v>0</v>
      </c>
    </row>
    <row r="2033" customFormat="false" ht="15" hidden="false" customHeight="false" outlineLevel="0" collapsed="false">
      <c r="A2033" s="10" t="s">
        <v>4374</v>
      </c>
      <c r="B2033" s="10" t="s">
        <v>80</v>
      </c>
      <c r="C2033" s="10" t="s">
        <v>52</v>
      </c>
      <c r="D2033" s="10" t="s">
        <v>483</v>
      </c>
      <c r="E2033" s="10" t="s">
        <v>2342</v>
      </c>
      <c r="F2033" s="30" t="n">
        <v>42880</v>
      </c>
      <c r="G2033" s="30" t="n">
        <v>42886</v>
      </c>
      <c r="H2033" s="26" t="n">
        <f aca="false">G2033-F2033</f>
        <v>6</v>
      </c>
      <c r="I2033" s="10" t="n">
        <f aca="false">IF(E2033="Won",1,0)</f>
        <v>1</v>
      </c>
    </row>
    <row r="2034" customFormat="false" ht="15" hidden="false" customHeight="false" outlineLevel="0" collapsed="false">
      <c r="A2034" s="10" t="s">
        <v>4375</v>
      </c>
      <c r="B2034" s="10" t="s">
        <v>74</v>
      </c>
      <c r="C2034" s="10" t="s">
        <v>52</v>
      </c>
      <c r="D2034" s="10" t="s">
        <v>660</v>
      </c>
      <c r="E2034" s="10" t="s">
        <v>2342</v>
      </c>
      <c r="F2034" s="30" t="n">
        <v>42829</v>
      </c>
      <c r="G2034" s="30" t="n">
        <v>42886</v>
      </c>
      <c r="H2034" s="26" t="n">
        <f aca="false">G2034-F2034</f>
        <v>57</v>
      </c>
      <c r="I2034" s="10" t="n">
        <f aca="false">IF(E2034="Won",1,0)</f>
        <v>1</v>
      </c>
    </row>
    <row r="2035" customFormat="false" ht="15" hidden="false" customHeight="false" outlineLevel="0" collapsed="false">
      <c r="A2035" s="10" t="s">
        <v>4376</v>
      </c>
      <c r="B2035" s="10" t="s">
        <v>60</v>
      </c>
      <c r="C2035" s="10" t="s">
        <v>48</v>
      </c>
      <c r="D2035" s="10" t="s">
        <v>293</v>
      </c>
      <c r="E2035" s="10" t="s">
        <v>2345</v>
      </c>
      <c r="F2035" s="30" t="n">
        <v>42821</v>
      </c>
      <c r="G2035" s="30" t="n">
        <v>42886</v>
      </c>
      <c r="H2035" s="26" t="n">
        <f aca="false">G2035-F2035</f>
        <v>65</v>
      </c>
      <c r="I2035" s="10" t="n">
        <f aca="false">IF(E2035="Won",1,0)</f>
        <v>0</v>
      </c>
    </row>
    <row r="2036" customFormat="false" ht="15" hidden="false" customHeight="false" outlineLevel="0" collapsed="false">
      <c r="A2036" s="10" t="s">
        <v>4377</v>
      </c>
      <c r="B2036" s="10" t="s">
        <v>77</v>
      </c>
      <c r="C2036" s="10" t="s">
        <v>48</v>
      </c>
      <c r="D2036" s="10" t="s">
        <v>1251</v>
      </c>
      <c r="E2036" s="10" t="s">
        <v>2345</v>
      </c>
      <c r="F2036" s="30" t="n">
        <v>42765</v>
      </c>
      <c r="G2036" s="30" t="n">
        <v>42886</v>
      </c>
      <c r="H2036" s="26" t="n">
        <f aca="false">G2036-F2036</f>
        <v>121</v>
      </c>
      <c r="I2036" s="10" t="n">
        <f aca="false">IF(E2036="Won",1,0)</f>
        <v>0</v>
      </c>
    </row>
    <row r="2037" customFormat="false" ht="15" hidden="false" customHeight="false" outlineLevel="0" collapsed="false">
      <c r="A2037" s="10" t="s">
        <v>4378</v>
      </c>
      <c r="B2037" s="10" t="s">
        <v>80</v>
      </c>
      <c r="C2037" s="10" t="s">
        <v>51</v>
      </c>
      <c r="D2037" s="10" t="s">
        <v>388</v>
      </c>
      <c r="E2037" s="10" t="s">
        <v>2345</v>
      </c>
      <c r="F2037" s="30" t="n">
        <v>42872</v>
      </c>
      <c r="G2037" s="30" t="n">
        <v>42886</v>
      </c>
      <c r="H2037" s="26" t="n">
        <f aca="false">G2037-F2037</f>
        <v>14</v>
      </c>
      <c r="I2037" s="10" t="n">
        <f aca="false">IF(E2037="Won",1,0)</f>
        <v>0</v>
      </c>
    </row>
    <row r="2038" customFormat="false" ht="15" hidden="false" customHeight="false" outlineLevel="0" collapsed="false">
      <c r="A2038" s="10" t="s">
        <v>4379</v>
      </c>
      <c r="B2038" s="10" t="s">
        <v>68</v>
      </c>
      <c r="C2038" s="10" t="s">
        <v>48</v>
      </c>
      <c r="D2038" s="10" t="s">
        <v>227</v>
      </c>
      <c r="E2038" s="10" t="s">
        <v>2345</v>
      </c>
      <c r="F2038" s="30" t="n">
        <v>42781</v>
      </c>
      <c r="G2038" s="30" t="n">
        <v>42886</v>
      </c>
      <c r="H2038" s="26" t="n">
        <f aca="false">G2038-F2038</f>
        <v>105</v>
      </c>
      <c r="I2038" s="10" t="n">
        <f aca="false">IF(E2038="Won",1,0)</f>
        <v>0</v>
      </c>
    </row>
    <row r="2039" customFormat="false" ht="15" hidden="false" customHeight="false" outlineLevel="0" collapsed="false">
      <c r="A2039" s="10" t="s">
        <v>4380</v>
      </c>
      <c r="B2039" s="10" t="s">
        <v>87</v>
      </c>
      <c r="C2039" s="10" t="s">
        <v>48</v>
      </c>
      <c r="D2039" s="10" t="s">
        <v>692</v>
      </c>
      <c r="E2039" s="10" t="s">
        <v>2342</v>
      </c>
      <c r="F2039" s="30" t="n">
        <v>42778</v>
      </c>
      <c r="G2039" s="30" t="n">
        <v>42886</v>
      </c>
      <c r="H2039" s="26" t="n">
        <f aca="false">G2039-F2039</f>
        <v>108</v>
      </c>
      <c r="I2039" s="10" t="n">
        <f aca="false">IF(E2039="Won",1,0)</f>
        <v>1</v>
      </c>
    </row>
    <row r="2040" customFormat="false" ht="15" hidden="false" customHeight="false" outlineLevel="0" collapsed="false">
      <c r="A2040" s="10" t="s">
        <v>4381</v>
      </c>
      <c r="B2040" s="10" t="s">
        <v>86</v>
      </c>
      <c r="C2040" s="10" t="s">
        <v>50</v>
      </c>
      <c r="D2040" s="10" t="s">
        <v>293</v>
      </c>
      <c r="E2040" s="10" t="s">
        <v>2345</v>
      </c>
      <c r="F2040" s="30" t="n">
        <v>42874</v>
      </c>
      <c r="G2040" s="30" t="n">
        <v>42887</v>
      </c>
      <c r="H2040" s="26" t="n">
        <f aca="false">G2040-F2040</f>
        <v>13</v>
      </c>
      <c r="I2040" s="10" t="n">
        <f aca="false">IF(E2040="Won",1,0)</f>
        <v>0</v>
      </c>
    </row>
    <row r="2041" customFormat="false" ht="15" hidden="false" customHeight="false" outlineLevel="0" collapsed="false">
      <c r="A2041" s="10" t="s">
        <v>4382</v>
      </c>
      <c r="B2041" s="10" t="s">
        <v>57</v>
      </c>
      <c r="C2041" s="10" t="s">
        <v>48</v>
      </c>
      <c r="D2041" s="10" t="s">
        <v>247</v>
      </c>
      <c r="E2041" s="10" t="s">
        <v>2342</v>
      </c>
      <c r="F2041" s="30" t="n">
        <v>42842</v>
      </c>
      <c r="G2041" s="30" t="n">
        <v>42887</v>
      </c>
      <c r="H2041" s="26" t="n">
        <f aca="false">G2041-F2041</f>
        <v>45</v>
      </c>
      <c r="I2041" s="10" t="n">
        <f aca="false">IF(E2041="Won",1,0)</f>
        <v>1</v>
      </c>
    </row>
    <row r="2042" customFormat="false" ht="15" hidden="false" customHeight="false" outlineLevel="0" collapsed="false">
      <c r="A2042" s="10" t="s">
        <v>4383</v>
      </c>
      <c r="B2042" s="10" t="s">
        <v>88</v>
      </c>
      <c r="C2042" s="10" t="s">
        <v>51</v>
      </c>
      <c r="D2042" s="10" t="s">
        <v>247</v>
      </c>
      <c r="E2042" s="10" t="s">
        <v>2345</v>
      </c>
      <c r="F2042" s="30" t="n">
        <v>42792</v>
      </c>
      <c r="G2042" s="30" t="n">
        <v>42887</v>
      </c>
      <c r="H2042" s="26" t="n">
        <f aca="false">G2042-F2042</f>
        <v>95</v>
      </c>
      <c r="I2042" s="10" t="n">
        <f aca="false">IF(E2042="Won",1,0)</f>
        <v>0</v>
      </c>
    </row>
    <row r="2043" customFormat="false" ht="15" hidden="false" customHeight="false" outlineLevel="0" collapsed="false">
      <c r="A2043" s="10" t="s">
        <v>4384</v>
      </c>
      <c r="B2043" s="10" t="s">
        <v>70</v>
      </c>
      <c r="C2043" s="10" t="s">
        <v>50</v>
      </c>
      <c r="D2043" s="10" t="s">
        <v>303</v>
      </c>
      <c r="E2043" s="10" t="s">
        <v>2342</v>
      </c>
      <c r="F2043" s="30" t="n">
        <v>42795</v>
      </c>
      <c r="G2043" s="30" t="n">
        <v>42887</v>
      </c>
      <c r="H2043" s="26" t="n">
        <f aca="false">G2043-F2043</f>
        <v>92</v>
      </c>
      <c r="I2043" s="10" t="n">
        <f aca="false">IF(E2043="Won",1,0)</f>
        <v>1</v>
      </c>
    </row>
    <row r="2044" customFormat="false" ht="15" hidden="false" customHeight="false" outlineLevel="0" collapsed="false">
      <c r="A2044" s="10" t="s">
        <v>4385</v>
      </c>
      <c r="B2044" s="10" t="s">
        <v>74</v>
      </c>
      <c r="C2044" s="10" t="s">
        <v>52</v>
      </c>
      <c r="D2044" s="10" t="s">
        <v>388</v>
      </c>
      <c r="E2044" s="10" t="s">
        <v>2342</v>
      </c>
      <c r="F2044" s="30" t="n">
        <v>42871</v>
      </c>
      <c r="G2044" s="30" t="n">
        <v>42887</v>
      </c>
      <c r="H2044" s="26" t="n">
        <f aca="false">G2044-F2044</f>
        <v>16</v>
      </c>
      <c r="I2044" s="10" t="n">
        <f aca="false">IF(E2044="Won",1,0)</f>
        <v>1</v>
      </c>
    </row>
    <row r="2045" customFormat="false" ht="15" hidden="false" customHeight="false" outlineLevel="0" collapsed="false">
      <c r="A2045" s="10" t="s">
        <v>4386</v>
      </c>
      <c r="B2045" s="10" t="s">
        <v>81</v>
      </c>
      <c r="C2045" s="10" t="s">
        <v>52</v>
      </c>
      <c r="D2045" s="10" t="s">
        <v>961</v>
      </c>
      <c r="E2045" s="10" t="s">
        <v>2342</v>
      </c>
      <c r="F2045" s="30" t="n">
        <v>42803</v>
      </c>
      <c r="G2045" s="30" t="n">
        <v>42887</v>
      </c>
      <c r="H2045" s="26" t="n">
        <f aca="false">G2045-F2045</f>
        <v>84</v>
      </c>
      <c r="I2045" s="10" t="n">
        <f aca="false">IF(E2045="Won",1,0)</f>
        <v>1</v>
      </c>
    </row>
    <row r="2046" customFormat="false" ht="15" hidden="false" customHeight="false" outlineLevel="0" collapsed="false">
      <c r="A2046" s="10" t="s">
        <v>4387</v>
      </c>
      <c r="B2046" s="10" t="s">
        <v>71</v>
      </c>
      <c r="C2046" s="10" t="s">
        <v>52</v>
      </c>
      <c r="D2046" s="10" t="s">
        <v>536</v>
      </c>
      <c r="E2046" s="10" t="s">
        <v>2342</v>
      </c>
      <c r="F2046" s="30" t="n">
        <v>42803</v>
      </c>
      <c r="G2046" s="30" t="n">
        <v>42887</v>
      </c>
      <c r="H2046" s="26" t="n">
        <f aca="false">G2046-F2046</f>
        <v>84</v>
      </c>
      <c r="I2046" s="10" t="n">
        <f aca="false">IF(E2046="Won",1,0)</f>
        <v>1</v>
      </c>
    </row>
    <row r="2047" customFormat="false" ht="15" hidden="false" customHeight="false" outlineLevel="0" collapsed="false">
      <c r="A2047" s="10" t="s">
        <v>4388</v>
      </c>
      <c r="B2047" s="10" t="s">
        <v>96</v>
      </c>
      <c r="C2047" s="10" t="s">
        <v>51</v>
      </c>
      <c r="D2047" s="10" t="s">
        <v>326</v>
      </c>
      <c r="E2047" s="10" t="s">
        <v>2342</v>
      </c>
      <c r="F2047" s="30" t="n">
        <v>42800</v>
      </c>
      <c r="G2047" s="30" t="n">
        <v>42887</v>
      </c>
      <c r="H2047" s="26" t="n">
        <f aca="false">G2047-F2047</f>
        <v>87</v>
      </c>
      <c r="I2047" s="10" t="n">
        <f aca="false">IF(E2047="Won",1,0)</f>
        <v>1</v>
      </c>
    </row>
    <row r="2048" customFormat="false" ht="15" hidden="false" customHeight="false" outlineLevel="0" collapsed="false">
      <c r="A2048" s="10" t="s">
        <v>4389</v>
      </c>
      <c r="B2048" s="10" t="s">
        <v>74</v>
      </c>
      <c r="C2048" s="10" t="s">
        <v>51</v>
      </c>
      <c r="D2048" s="10" t="s">
        <v>422</v>
      </c>
      <c r="E2048" s="10" t="s">
        <v>2342</v>
      </c>
      <c r="F2048" s="30" t="n">
        <v>42793</v>
      </c>
      <c r="G2048" s="30" t="n">
        <v>42887</v>
      </c>
      <c r="H2048" s="26" t="n">
        <f aca="false">G2048-F2048</f>
        <v>94</v>
      </c>
      <c r="I2048" s="10" t="n">
        <f aca="false">IF(E2048="Won",1,0)</f>
        <v>1</v>
      </c>
    </row>
    <row r="2049" customFormat="false" ht="15" hidden="false" customHeight="false" outlineLevel="0" collapsed="false">
      <c r="A2049" s="10" t="s">
        <v>4390</v>
      </c>
      <c r="B2049" s="10" t="s">
        <v>67</v>
      </c>
      <c r="C2049" s="10" t="s">
        <v>50</v>
      </c>
      <c r="D2049" s="10" t="s">
        <v>497</v>
      </c>
      <c r="E2049" s="10" t="s">
        <v>2342</v>
      </c>
      <c r="F2049" s="30" t="n">
        <v>42874</v>
      </c>
      <c r="G2049" s="30" t="n">
        <v>42887</v>
      </c>
      <c r="H2049" s="26" t="n">
        <f aca="false">G2049-F2049</f>
        <v>13</v>
      </c>
      <c r="I2049" s="10" t="n">
        <f aca="false">IF(E2049="Won",1,0)</f>
        <v>1</v>
      </c>
    </row>
    <row r="2050" customFormat="false" ht="15" hidden="false" customHeight="false" outlineLevel="0" collapsed="false">
      <c r="A2050" s="10" t="s">
        <v>4391</v>
      </c>
      <c r="B2050" s="10" t="s">
        <v>57</v>
      </c>
      <c r="C2050" s="10" t="s">
        <v>48</v>
      </c>
      <c r="D2050" s="10" t="s">
        <v>455</v>
      </c>
      <c r="E2050" s="10" t="s">
        <v>2342</v>
      </c>
      <c r="F2050" s="30" t="n">
        <v>42810</v>
      </c>
      <c r="G2050" s="30" t="n">
        <v>42887</v>
      </c>
      <c r="H2050" s="26" t="n">
        <f aca="false">G2050-F2050</f>
        <v>77</v>
      </c>
      <c r="I2050" s="10" t="n">
        <f aca="false">IF(E2050="Won",1,0)</f>
        <v>1</v>
      </c>
    </row>
    <row r="2051" customFormat="false" ht="15" hidden="false" customHeight="false" outlineLevel="0" collapsed="false">
      <c r="A2051" s="10" t="s">
        <v>4392</v>
      </c>
      <c r="B2051" s="10" t="s">
        <v>90</v>
      </c>
      <c r="C2051" s="10" t="s">
        <v>50</v>
      </c>
      <c r="D2051" s="10" t="s">
        <v>293</v>
      </c>
      <c r="E2051" s="10" t="s">
        <v>2342</v>
      </c>
      <c r="F2051" s="30" t="n">
        <v>42794</v>
      </c>
      <c r="G2051" s="30" t="n">
        <v>42887</v>
      </c>
      <c r="H2051" s="26" t="n">
        <f aca="false">G2051-F2051</f>
        <v>93</v>
      </c>
      <c r="I2051" s="10" t="n">
        <f aca="false">IF(E2051="Won",1,0)</f>
        <v>1</v>
      </c>
    </row>
    <row r="2052" customFormat="false" ht="15" hidden="false" customHeight="false" outlineLevel="0" collapsed="false">
      <c r="A2052" s="10" t="s">
        <v>4393</v>
      </c>
      <c r="B2052" s="10" t="s">
        <v>88</v>
      </c>
      <c r="C2052" s="10" t="s">
        <v>51</v>
      </c>
      <c r="D2052" s="10" t="s">
        <v>210</v>
      </c>
      <c r="E2052" s="10" t="s">
        <v>2342</v>
      </c>
      <c r="F2052" s="30" t="n">
        <v>42874</v>
      </c>
      <c r="G2052" s="30" t="n">
        <v>42887</v>
      </c>
      <c r="H2052" s="26" t="n">
        <f aca="false">G2052-F2052</f>
        <v>13</v>
      </c>
      <c r="I2052" s="10" t="n">
        <f aca="false">IF(E2052="Won",1,0)</f>
        <v>1</v>
      </c>
    </row>
    <row r="2053" customFormat="false" ht="15" hidden="false" customHeight="false" outlineLevel="0" collapsed="false">
      <c r="A2053" s="10" t="s">
        <v>4394</v>
      </c>
      <c r="B2053" s="10" t="s">
        <v>75</v>
      </c>
      <c r="C2053" s="10" t="s">
        <v>50</v>
      </c>
      <c r="D2053" s="10" t="s">
        <v>762</v>
      </c>
      <c r="E2053" s="10" t="s">
        <v>2342</v>
      </c>
      <c r="F2053" s="30" t="n">
        <v>42797</v>
      </c>
      <c r="G2053" s="30" t="n">
        <v>42887</v>
      </c>
      <c r="H2053" s="26" t="n">
        <f aca="false">G2053-F2053</f>
        <v>90</v>
      </c>
      <c r="I2053" s="10" t="n">
        <f aca="false">IF(E2053="Won",1,0)</f>
        <v>1</v>
      </c>
    </row>
    <row r="2054" customFormat="false" ht="15" hidden="false" customHeight="false" outlineLevel="0" collapsed="false">
      <c r="A2054" s="10" t="s">
        <v>4395</v>
      </c>
      <c r="B2054" s="10" t="s">
        <v>71</v>
      </c>
      <c r="C2054" s="10" t="s">
        <v>50</v>
      </c>
      <c r="D2054" s="10" t="s">
        <v>369</v>
      </c>
      <c r="E2054" s="10" t="s">
        <v>2342</v>
      </c>
      <c r="F2054" s="30" t="n">
        <v>42763</v>
      </c>
      <c r="G2054" s="30" t="n">
        <v>42887</v>
      </c>
      <c r="H2054" s="26" t="n">
        <f aca="false">G2054-F2054</f>
        <v>124</v>
      </c>
      <c r="I2054" s="10" t="n">
        <f aca="false">IF(E2054="Won",1,0)</f>
        <v>1</v>
      </c>
    </row>
    <row r="2055" customFormat="false" ht="15" hidden="false" customHeight="false" outlineLevel="0" collapsed="false">
      <c r="A2055" s="10" t="s">
        <v>4396</v>
      </c>
      <c r="B2055" s="10" t="s">
        <v>87</v>
      </c>
      <c r="C2055" s="10" t="s">
        <v>51</v>
      </c>
      <c r="D2055" s="10" t="s">
        <v>616</v>
      </c>
      <c r="E2055" s="10" t="s">
        <v>2345</v>
      </c>
      <c r="F2055" s="30" t="n">
        <v>42869</v>
      </c>
      <c r="G2055" s="30" t="n">
        <v>42887</v>
      </c>
      <c r="H2055" s="26" t="n">
        <f aca="false">G2055-F2055</f>
        <v>18</v>
      </c>
      <c r="I2055" s="10" t="n">
        <f aca="false">IF(E2055="Won",1,0)</f>
        <v>0</v>
      </c>
    </row>
    <row r="2056" customFormat="false" ht="15" hidden="false" customHeight="false" outlineLevel="0" collapsed="false">
      <c r="A2056" s="10" t="s">
        <v>4397</v>
      </c>
      <c r="B2056" s="10" t="s">
        <v>84</v>
      </c>
      <c r="C2056" s="10" t="s">
        <v>49</v>
      </c>
      <c r="D2056" s="10" t="s">
        <v>1334</v>
      </c>
      <c r="E2056" s="10" t="s">
        <v>2342</v>
      </c>
      <c r="F2056" s="30" t="n">
        <v>42868</v>
      </c>
      <c r="G2056" s="30" t="n">
        <v>42887</v>
      </c>
      <c r="H2056" s="26" t="n">
        <f aca="false">G2056-F2056</f>
        <v>19</v>
      </c>
      <c r="I2056" s="10" t="n">
        <f aca="false">IF(E2056="Won",1,0)</f>
        <v>1</v>
      </c>
    </row>
    <row r="2057" customFormat="false" ht="15" hidden="false" customHeight="false" outlineLevel="0" collapsed="false">
      <c r="A2057" s="10" t="s">
        <v>4398</v>
      </c>
      <c r="B2057" s="10" t="s">
        <v>77</v>
      </c>
      <c r="C2057" s="10" t="s">
        <v>48</v>
      </c>
      <c r="D2057" s="10" t="s">
        <v>527</v>
      </c>
      <c r="E2057" s="10" t="s">
        <v>2342</v>
      </c>
      <c r="F2057" s="30" t="n">
        <v>42794</v>
      </c>
      <c r="G2057" s="30" t="n">
        <v>42888</v>
      </c>
      <c r="H2057" s="26" t="n">
        <f aca="false">G2057-F2057</f>
        <v>94</v>
      </c>
      <c r="I2057" s="10" t="n">
        <f aca="false">IF(E2057="Won",1,0)</f>
        <v>1</v>
      </c>
    </row>
    <row r="2058" customFormat="false" ht="15" hidden="false" customHeight="false" outlineLevel="0" collapsed="false">
      <c r="A2058" s="10" t="s">
        <v>4399</v>
      </c>
      <c r="B2058" s="10" t="s">
        <v>74</v>
      </c>
      <c r="C2058" s="10" t="s">
        <v>50</v>
      </c>
      <c r="D2058" s="10" t="s">
        <v>961</v>
      </c>
      <c r="E2058" s="10" t="s">
        <v>2342</v>
      </c>
      <c r="F2058" s="30" t="n">
        <v>42835</v>
      </c>
      <c r="G2058" s="30" t="n">
        <v>42888</v>
      </c>
      <c r="H2058" s="26" t="n">
        <f aca="false">G2058-F2058</f>
        <v>53</v>
      </c>
      <c r="I2058" s="10" t="n">
        <f aca="false">IF(E2058="Won",1,0)</f>
        <v>1</v>
      </c>
    </row>
    <row r="2059" customFormat="false" ht="15" hidden="false" customHeight="false" outlineLevel="0" collapsed="false">
      <c r="A2059" s="10" t="s">
        <v>4400</v>
      </c>
      <c r="B2059" s="10" t="s">
        <v>88</v>
      </c>
      <c r="C2059" s="10" t="s">
        <v>47</v>
      </c>
      <c r="D2059" s="10" t="s">
        <v>378</v>
      </c>
      <c r="E2059" s="10" t="s">
        <v>2345</v>
      </c>
      <c r="F2059" s="30" t="n">
        <v>42779</v>
      </c>
      <c r="G2059" s="30" t="n">
        <v>42888</v>
      </c>
      <c r="H2059" s="26" t="n">
        <f aca="false">G2059-F2059</f>
        <v>109</v>
      </c>
      <c r="I2059" s="10" t="n">
        <f aca="false">IF(E2059="Won",1,0)</f>
        <v>0</v>
      </c>
    </row>
    <row r="2060" customFormat="false" ht="15" hidden="false" customHeight="false" outlineLevel="0" collapsed="false">
      <c r="A2060" s="10" t="s">
        <v>4401</v>
      </c>
      <c r="B2060" s="10" t="s">
        <v>57</v>
      </c>
      <c r="C2060" s="10" t="s">
        <v>50</v>
      </c>
      <c r="D2060" s="10" t="s">
        <v>616</v>
      </c>
      <c r="E2060" s="10" t="s">
        <v>2342</v>
      </c>
      <c r="F2060" s="30" t="n">
        <v>42802</v>
      </c>
      <c r="G2060" s="30" t="n">
        <v>42888</v>
      </c>
      <c r="H2060" s="26" t="n">
        <f aca="false">G2060-F2060</f>
        <v>86</v>
      </c>
      <c r="I2060" s="10" t="n">
        <f aca="false">IF(E2060="Won",1,0)</f>
        <v>1</v>
      </c>
    </row>
    <row r="2061" customFormat="false" ht="15" hidden="false" customHeight="false" outlineLevel="0" collapsed="false">
      <c r="A2061" s="10" t="s">
        <v>4402</v>
      </c>
      <c r="B2061" s="10" t="s">
        <v>97</v>
      </c>
      <c r="C2061" s="10" t="s">
        <v>50</v>
      </c>
      <c r="D2061" s="10" t="s">
        <v>299</v>
      </c>
      <c r="E2061" s="10" t="s">
        <v>2342</v>
      </c>
      <c r="F2061" s="30" t="n">
        <v>42811</v>
      </c>
      <c r="G2061" s="30" t="n">
        <v>42888</v>
      </c>
      <c r="H2061" s="26" t="n">
        <f aca="false">G2061-F2061</f>
        <v>77</v>
      </c>
      <c r="I2061" s="10" t="n">
        <f aca="false">IF(E2061="Won",1,0)</f>
        <v>1</v>
      </c>
    </row>
    <row r="2062" customFormat="false" ht="15" hidden="false" customHeight="false" outlineLevel="0" collapsed="false">
      <c r="A2062" s="10" t="s">
        <v>4403</v>
      </c>
      <c r="B2062" s="10" t="s">
        <v>96</v>
      </c>
      <c r="C2062" s="10" t="s">
        <v>49</v>
      </c>
      <c r="D2062" s="10" t="s">
        <v>506</v>
      </c>
      <c r="E2062" s="10" t="s">
        <v>2345</v>
      </c>
      <c r="F2062" s="30" t="n">
        <v>42814</v>
      </c>
      <c r="G2062" s="30" t="n">
        <v>42888</v>
      </c>
      <c r="H2062" s="26" t="n">
        <f aca="false">G2062-F2062</f>
        <v>74</v>
      </c>
      <c r="I2062" s="10" t="n">
        <f aca="false">IF(E2062="Won",1,0)</f>
        <v>0</v>
      </c>
    </row>
    <row r="2063" customFormat="false" ht="15" hidden="false" customHeight="false" outlineLevel="0" collapsed="false">
      <c r="A2063" s="10" t="s">
        <v>4404</v>
      </c>
      <c r="B2063" s="10" t="s">
        <v>81</v>
      </c>
      <c r="C2063" s="10" t="s">
        <v>47</v>
      </c>
      <c r="D2063" s="10" t="s">
        <v>193</v>
      </c>
      <c r="E2063" s="10" t="s">
        <v>2342</v>
      </c>
      <c r="F2063" s="30" t="n">
        <v>42812</v>
      </c>
      <c r="G2063" s="30" t="n">
        <v>42888</v>
      </c>
      <c r="H2063" s="26" t="n">
        <f aca="false">G2063-F2063</f>
        <v>76</v>
      </c>
      <c r="I2063" s="10" t="n">
        <f aca="false">IF(E2063="Won",1,0)</f>
        <v>1</v>
      </c>
    </row>
    <row r="2064" customFormat="false" ht="15" hidden="false" customHeight="false" outlineLevel="0" collapsed="false">
      <c r="A2064" s="10" t="s">
        <v>4405</v>
      </c>
      <c r="B2064" s="10" t="s">
        <v>80</v>
      </c>
      <c r="C2064" s="10" t="s">
        <v>51</v>
      </c>
      <c r="D2064" s="10" t="s">
        <v>660</v>
      </c>
      <c r="E2064" s="10" t="s">
        <v>2342</v>
      </c>
      <c r="F2064" s="30" t="n">
        <v>42874</v>
      </c>
      <c r="G2064" s="30" t="n">
        <v>42888</v>
      </c>
      <c r="H2064" s="26" t="n">
        <f aca="false">G2064-F2064</f>
        <v>14</v>
      </c>
      <c r="I2064" s="10" t="n">
        <f aca="false">IF(E2064="Won",1,0)</f>
        <v>1</v>
      </c>
    </row>
    <row r="2065" customFormat="false" ht="15" hidden="false" customHeight="false" outlineLevel="0" collapsed="false">
      <c r="A2065" s="10" t="s">
        <v>4406</v>
      </c>
      <c r="B2065" s="10" t="s">
        <v>81</v>
      </c>
      <c r="C2065" s="10" t="s">
        <v>51</v>
      </c>
      <c r="D2065" s="10" t="s">
        <v>179</v>
      </c>
      <c r="E2065" s="10" t="s">
        <v>2342</v>
      </c>
      <c r="F2065" s="30" t="n">
        <v>42823</v>
      </c>
      <c r="G2065" s="30" t="n">
        <v>42888</v>
      </c>
      <c r="H2065" s="26" t="n">
        <f aca="false">G2065-F2065</f>
        <v>65</v>
      </c>
      <c r="I2065" s="10" t="n">
        <f aca="false">IF(E2065="Won",1,0)</f>
        <v>1</v>
      </c>
    </row>
    <row r="2066" customFormat="false" ht="15" hidden="false" customHeight="false" outlineLevel="0" collapsed="false">
      <c r="A2066" s="10" t="s">
        <v>4407</v>
      </c>
      <c r="B2066" s="10" t="s">
        <v>68</v>
      </c>
      <c r="C2066" s="10" t="s">
        <v>48</v>
      </c>
      <c r="D2066" s="10" t="s">
        <v>424</v>
      </c>
      <c r="E2066" s="10" t="s">
        <v>2342</v>
      </c>
      <c r="F2066" s="30" t="n">
        <v>42864</v>
      </c>
      <c r="G2066" s="30" t="n">
        <v>42888</v>
      </c>
      <c r="H2066" s="26" t="n">
        <f aca="false">G2066-F2066</f>
        <v>24</v>
      </c>
      <c r="I2066" s="10" t="n">
        <f aca="false">IF(E2066="Won",1,0)</f>
        <v>1</v>
      </c>
    </row>
    <row r="2067" customFormat="false" ht="15" hidden="false" customHeight="false" outlineLevel="0" collapsed="false">
      <c r="A2067" s="10" t="s">
        <v>4408</v>
      </c>
      <c r="B2067" s="10" t="s">
        <v>77</v>
      </c>
      <c r="C2067" s="10" t="s">
        <v>48</v>
      </c>
      <c r="D2067" s="10" t="s">
        <v>414</v>
      </c>
      <c r="E2067" s="10" t="s">
        <v>2342</v>
      </c>
      <c r="F2067" s="30" t="n">
        <v>42839</v>
      </c>
      <c r="G2067" s="30" t="n">
        <v>42888</v>
      </c>
      <c r="H2067" s="26" t="n">
        <f aca="false">G2067-F2067</f>
        <v>49</v>
      </c>
      <c r="I2067" s="10" t="n">
        <f aca="false">IF(E2067="Won",1,0)</f>
        <v>1</v>
      </c>
    </row>
    <row r="2068" customFormat="false" ht="15" hidden="false" customHeight="false" outlineLevel="0" collapsed="false">
      <c r="A2068" s="10" t="s">
        <v>4409</v>
      </c>
      <c r="B2068" s="10" t="s">
        <v>88</v>
      </c>
      <c r="C2068" s="10" t="s">
        <v>51</v>
      </c>
      <c r="D2068" s="10" t="s">
        <v>453</v>
      </c>
      <c r="E2068" s="10" t="s">
        <v>2342</v>
      </c>
      <c r="F2068" s="30" t="n">
        <v>42791</v>
      </c>
      <c r="G2068" s="30" t="n">
        <v>42888</v>
      </c>
      <c r="H2068" s="26" t="n">
        <f aca="false">G2068-F2068</f>
        <v>97</v>
      </c>
      <c r="I2068" s="10" t="n">
        <f aca="false">IF(E2068="Won",1,0)</f>
        <v>1</v>
      </c>
    </row>
    <row r="2069" customFormat="false" ht="15" hidden="false" customHeight="false" outlineLevel="0" collapsed="false">
      <c r="A2069" s="10" t="s">
        <v>4410</v>
      </c>
      <c r="B2069" s="10" t="s">
        <v>75</v>
      </c>
      <c r="C2069" s="10" t="s">
        <v>52</v>
      </c>
      <c r="D2069" s="10" t="s">
        <v>483</v>
      </c>
      <c r="E2069" s="10" t="s">
        <v>2342</v>
      </c>
      <c r="F2069" s="30" t="n">
        <v>42751</v>
      </c>
      <c r="G2069" s="30" t="n">
        <v>42888</v>
      </c>
      <c r="H2069" s="26" t="n">
        <f aca="false">G2069-F2069</f>
        <v>137</v>
      </c>
      <c r="I2069" s="10" t="n">
        <f aca="false">IF(E2069="Won",1,0)</f>
        <v>1</v>
      </c>
    </row>
    <row r="2070" customFormat="false" ht="15" hidden="false" customHeight="false" outlineLevel="0" collapsed="false">
      <c r="A2070" s="10" t="s">
        <v>4411</v>
      </c>
      <c r="B2070" s="10" t="s">
        <v>67</v>
      </c>
      <c r="C2070" s="10" t="s">
        <v>49</v>
      </c>
      <c r="D2070" s="10" t="s">
        <v>514</v>
      </c>
      <c r="E2070" s="10" t="s">
        <v>2342</v>
      </c>
      <c r="F2070" s="30" t="n">
        <v>42782</v>
      </c>
      <c r="G2070" s="30" t="n">
        <v>42888</v>
      </c>
      <c r="H2070" s="26" t="n">
        <f aca="false">G2070-F2070</f>
        <v>106</v>
      </c>
      <c r="I2070" s="10" t="n">
        <f aca="false">IF(E2070="Won",1,0)</f>
        <v>1</v>
      </c>
    </row>
    <row r="2071" customFormat="false" ht="15" hidden="false" customHeight="false" outlineLevel="0" collapsed="false">
      <c r="A2071" s="10" t="s">
        <v>4412</v>
      </c>
      <c r="B2071" s="10" t="s">
        <v>87</v>
      </c>
      <c r="C2071" s="10" t="s">
        <v>49</v>
      </c>
      <c r="D2071" s="10" t="s">
        <v>674</v>
      </c>
      <c r="E2071" s="10" t="s">
        <v>2342</v>
      </c>
      <c r="F2071" s="30" t="n">
        <v>42814</v>
      </c>
      <c r="G2071" s="30" t="n">
        <v>42888</v>
      </c>
      <c r="H2071" s="26" t="n">
        <f aca="false">G2071-F2071</f>
        <v>74</v>
      </c>
      <c r="I2071" s="10" t="n">
        <f aca="false">IF(E2071="Won",1,0)</f>
        <v>1</v>
      </c>
    </row>
    <row r="2072" customFormat="false" ht="15" hidden="false" customHeight="false" outlineLevel="0" collapsed="false">
      <c r="A2072" s="10" t="s">
        <v>4413</v>
      </c>
      <c r="B2072" s="10" t="s">
        <v>94</v>
      </c>
      <c r="C2072" s="10" t="s">
        <v>48</v>
      </c>
      <c r="D2072" s="10" t="s">
        <v>299</v>
      </c>
      <c r="E2072" s="10" t="s">
        <v>2342</v>
      </c>
      <c r="F2072" s="30" t="n">
        <v>42806</v>
      </c>
      <c r="G2072" s="30" t="n">
        <v>42888</v>
      </c>
      <c r="H2072" s="26" t="n">
        <f aca="false">G2072-F2072</f>
        <v>82</v>
      </c>
      <c r="I2072" s="10" t="n">
        <f aca="false">IF(E2072="Won",1,0)</f>
        <v>1</v>
      </c>
    </row>
    <row r="2073" customFormat="false" ht="15" hidden="false" customHeight="false" outlineLevel="0" collapsed="false">
      <c r="A2073" s="10" t="s">
        <v>4414</v>
      </c>
      <c r="B2073" s="10" t="s">
        <v>97</v>
      </c>
      <c r="C2073" s="10" t="s">
        <v>50</v>
      </c>
      <c r="D2073" s="10" t="s">
        <v>286</v>
      </c>
      <c r="E2073" s="10" t="s">
        <v>2342</v>
      </c>
      <c r="F2073" s="30" t="n">
        <v>42770</v>
      </c>
      <c r="G2073" s="30" t="n">
        <v>42888</v>
      </c>
      <c r="H2073" s="26" t="n">
        <f aca="false">G2073-F2073</f>
        <v>118</v>
      </c>
      <c r="I2073" s="10" t="n">
        <f aca="false">IF(E2073="Won",1,0)</f>
        <v>1</v>
      </c>
    </row>
    <row r="2074" customFormat="false" ht="15" hidden="false" customHeight="false" outlineLevel="0" collapsed="false">
      <c r="A2074" s="10" t="s">
        <v>4415</v>
      </c>
      <c r="B2074" s="10" t="s">
        <v>70</v>
      </c>
      <c r="C2074" s="10" t="s">
        <v>48</v>
      </c>
      <c r="D2074" s="10" t="s">
        <v>424</v>
      </c>
      <c r="E2074" s="10" t="s">
        <v>2342</v>
      </c>
      <c r="F2074" s="30" t="n">
        <v>42882</v>
      </c>
      <c r="G2074" s="30" t="n">
        <v>42888</v>
      </c>
      <c r="H2074" s="26" t="n">
        <f aca="false">G2074-F2074</f>
        <v>6</v>
      </c>
      <c r="I2074" s="10" t="n">
        <f aca="false">IF(E2074="Won",1,0)</f>
        <v>1</v>
      </c>
    </row>
    <row r="2075" customFormat="false" ht="15" hidden="false" customHeight="false" outlineLevel="0" collapsed="false">
      <c r="A2075" s="10" t="s">
        <v>4416</v>
      </c>
      <c r="B2075" s="10" t="s">
        <v>66</v>
      </c>
      <c r="C2075" s="10" t="s">
        <v>50</v>
      </c>
      <c r="D2075" s="10" t="s">
        <v>168</v>
      </c>
      <c r="E2075" s="10" t="s">
        <v>2342</v>
      </c>
      <c r="F2075" s="30" t="n">
        <v>42806</v>
      </c>
      <c r="G2075" s="30" t="n">
        <v>42888</v>
      </c>
      <c r="H2075" s="26" t="n">
        <f aca="false">G2075-F2075</f>
        <v>82</v>
      </c>
      <c r="I2075" s="10" t="n">
        <f aca="false">IF(E2075="Won",1,0)</f>
        <v>1</v>
      </c>
    </row>
    <row r="2076" customFormat="false" ht="15" hidden="false" customHeight="false" outlineLevel="0" collapsed="false">
      <c r="A2076" s="10" t="s">
        <v>4417</v>
      </c>
      <c r="B2076" s="10" t="s">
        <v>95</v>
      </c>
      <c r="C2076" s="10" t="s">
        <v>48</v>
      </c>
      <c r="D2076" s="10" t="s">
        <v>606</v>
      </c>
      <c r="E2076" s="10" t="s">
        <v>2342</v>
      </c>
      <c r="F2076" s="30" t="n">
        <v>42807</v>
      </c>
      <c r="G2076" s="30" t="n">
        <v>42888</v>
      </c>
      <c r="H2076" s="26" t="n">
        <f aca="false">G2076-F2076</f>
        <v>81</v>
      </c>
      <c r="I2076" s="10" t="n">
        <f aca="false">IF(E2076="Won",1,0)</f>
        <v>1</v>
      </c>
    </row>
    <row r="2077" customFormat="false" ht="15" hidden="false" customHeight="false" outlineLevel="0" collapsed="false">
      <c r="A2077" s="10" t="s">
        <v>4418</v>
      </c>
      <c r="B2077" s="10" t="s">
        <v>79</v>
      </c>
      <c r="C2077" s="10" t="s">
        <v>49</v>
      </c>
      <c r="D2077" s="10" t="s">
        <v>193</v>
      </c>
      <c r="E2077" s="10" t="s">
        <v>2342</v>
      </c>
      <c r="F2077" s="30" t="n">
        <v>42795</v>
      </c>
      <c r="G2077" s="30" t="n">
        <v>42888</v>
      </c>
      <c r="H2077" s="26" t="n">
        <f aca="false">G2077-F2077</f>
        <v>93</v>
      </c>
      <c r="I2077" s="10" t="n">
        <f aca="false">IF(E2077="Won",1,0)</f>
        <v>1</v>
      </c>
    </row>
    <row r="2078" customFormat="false" ht="15" hidden="false" customHeight="false" outlineLevel="0" collapsed="false">
      <c r="A2078" s="10" t="s">
        <v>4419</v>
      </c>
      <c r="B2078" s="10" t="s">
        <v>97</v>
      </c>
      <c r="C2078" s="10" t="s">
        <v>50</v>
      </c>
      <c r="D2078" s="10" t="s">
        <v>396</v>
      </c>
      <c r="E2078" s="10" t="s">
        <v>2342</v>
      </c>
      <c r="F2078" s="30" t="n">
        <v>42788</v>
      </c>
      <c r="G2078" s="30" t="n">
        <v>42888</v>
      </c>
      <c r="H2078" s="26" t="n">
        <f aca="false">G2078-F2078</f>
        <v>100</v>
      </c>
      <c r="I2078" s="10" t="n">
        <f aca="false">IF(E2078="Won",1,0)</f>
        <v>1</v>
      </c>
    </row>
    <row r="2079" customFormat="false" ht="15" hidden="false" customHeight="false" outlineLevel="0" collapsed="false">
      <c r="A2079" s="10" t="s">
        <v>4420</v>
      </c>
      <c r="B2079" s="10" t="s">
        <v>63</v>
      </c>
      <c r="C2079" s="10" t="s">
        <v>49</v>
      </c>
      <c r="D2079" s="10" t="s">
        <v>286</v>
      </c>
      <c r="E2079" s="10" t="s">
        <v>2342</v>
      </c>
      <c r="F2079" s="30" t="n">
        <v>42791</v>
      </c>
      <c r="G2079" s="30" t="n">
        <v>42888</v>
      </c>
      <c r="H2079" s="26" t="n">
        <f aca="false">G2079-F2079</f>
        <v>97</v>
      </c>
      <c r="I2079" s="10" t="n">
        <f aca="false">IF(E2079="Won",1,0)</f>
        <v>1</v>
      </c>
    </row>
    <row r="2080" customFormat="false" ht="15" hidden="false" customHeight="false" outlineLevel="0" collapsed="false">
      <c r="A2080" s="10" t="s">
        <v>4421</v>
      </c>
      <c r="B2080" s="10" t="s">
        <v>87</v>
      </c>
      <c r="C2080" s="10" t="s">
        <v>47</v>
      </c>
      <c r="D2080" s="10" t="s">
        <v>1397</v>
      </c>
      <c r="E2080" s="10" t="s">
        <v>2342</v>
      </c>
      <c r="F2080" s="30" t="n">
        <v>42823</v>
      </c>
      <c r="G2080" s="30" t="n">
        <v>42888</v>
      </c>
      <c r="H2080" s="26" t="n">
        <f aca="false">G2080-F2080</f>
        <v>65</v>
      </c>
      <c r="I2080" s="10" t="n">
        <f aca="false">IF(E2080="Won",1,0)</f>
        <v>1</v>
      </c>
    </row>
    <row r="2081" customFormat="false" ht="15" hidden="false" customHeight="false" outlineLevel="0" collapsed="false">
      <c r="A2081" s="10" t="s">
        <v>4422</v>
      </c>
      <c r="B2081" s="10" t="s">
        <v>71</v>
      </c>
      <c r="C2081" s="10" t="s">
        <v>52</v>
      </c>
      <c r="D2081" s="10" t="s">
        <v>524</v>
      </c>
      <c r="E2081" s="10" t="s">
        <v>2342</v>
      </c>
      <c r="F2081" s="30" t="n">
        <v>42873</v>
      </c>
      <c r="G2081" s="30" t="n">
        <v>42888</v>
      </c>
      <c r="H2081" s="26" t="n">
        <f aca="false">G2081-F2081</f>
        <v>15</v>
      </c>
      <c r="I2081" s="10" t="n">
        <f aca="false">IF(E2081="Won",1,0)</f>
        <v>1</v>
      </c>
    </row>
    <row r="2082" customFormat="false" ht="15" hidden="false" customHeight="false" outlineLevel="0" collapsed="false">
      <c r="A2082" s="10" t="s">
        <v>4423</v>
      </c>
      <c r="B2082" s="10" t="s">
        <v>71</v>
      </c>
      <c r="C2082" s="10" t="s">
        <v>49</v>
      </c>
      <c r="D2082" s="10" t="s">
        <v>947</v>
      </c>
      <c r="E2082" s="10" t="s">
        <v>2342</v>
      </c>
      <c r="F2082" s="30" t="n">
        <v>42834</v>
      </c>
      <c r="G2082" s="30" t="n">
        <v>42888</v>
      </c>
      <c r="H2082" s="26" t="n">
        <f aca="false">G2082-F2082</f>
        <v>54</v>
      </c>
      <c r="I2082" s="10" t="n">
        <f aca="false">IF(E2082="Won",1,0)</f>
        <v>1</v>
      </c>
    </row>
    <row r="2083" customFormat="false" ht="15" hidden="false" customHeight="false" outlineLevel="0" collapsed="false">
      <c r="A2083" s="10" t="s">
        <v>4424</v>
      </c>
      <c r="B2083" s="10" t="s">
        <v>90</v>
      </c>
      <c r="C2083" s="10" t="s">
        <v>47</v>
      </c>
      <c r="D2083" s="10" t="s">
        <v>692</v>
      </c>
      <c r="E2083" s="10" t="s">
        <v>2342</v>
      </c>
      <c r="F2083" s="30" t="n">
        <v>42794</v>
      </c>
      <c r="G2083" s="30" t="n">
        <v>42889</v>
      </c>
      <c r="H2083" s="26" t="n">
        <f aca="false">G2083-F2083</f>
        <v>95</v>
      </c>
      <c r="I2083" s="10" t="n">
        <f aca="false">IF(E2083="Won",1,0)</f>
        <v>1</v>
      </c>
    </row>
    <row r="2084" customFormat="false" ht="15" hidden="false" customHeight="false" outlineLevel="0" collapsed="false">
      <c r="A2084" s="10" t="s">
        <v>4425</v>
      </c>
      <c r="B2084" s="10" t="s">
        <v>76</v>
      </c>
      <c r="C2084" s="10" t="s">
        <v>52</v>
      </c>
      <c r="D2084" s="10" t="s">
        <v>369</v>
      </c>
      <c r="E2084" s="10" t="s">
        <v>2342</v>
      </c>
      <c r="F2084" s="30" t="n">
        <v>42773</v>
      </c>
      <c r="G2084" s="30" t="n">
        <v>42889</v>
      </c>
      <c r="H2084" s="26" t="n">
        <f aca="false">G2084-F2084</f>
        <v>116</v>
      </c>
      <c r="I2084" s="10" t="n">
        <f aca="false">IF(E2084="Won",1,0)</f>
        <v>1</v>
      </c>
    </row>
    <row r="2085" customFormat="false" ht="15" hidden="false" customHeight="false" outlineLevel="0" collapsed="false">
      <c r="A2085" s="10" t="s">
        <v>4426</v>
      </c>
      <c r="B2085" s="10" t="s">
        <v>88</v>
      </c>
      <c r="C2085" s="10" t="s">
        <v>48</v>
      </c>
      <c r="D2085" s="10" t="s">
        <v>359</v>
      </c>
      <c r="E2085" s="10" t="s">
        <v>2342</v>
      </c>
      <c r="F2085" s="30" t="n">
        <v>42822</v>
      </c>
      <c r="G2085" s="30" t="n">
        <v>42889</v>
      </c>
      <c r="H2085" s="26" t="n">
        <f aca="false">G2085-F2085</f>
        <v>67</v>
      </c>
      <c r="I2085" s="10" t="n">
        <f aca="false">IF(E2085="Won",1,0)</f>
        <v>1</v>
      </c>
    </row>
    <row r="2086" customFormat="false" ht="15" hidden="false" customHeight="false" outlineLevel="0" collapsed="false">
      <c r="A2086" s="10" t="s">
        <v>4427</v>
      </c>
      <c r="B2086" s="10" t="s">
        <v>81</v>
      </c>
      <c r="C2086" s="10" t="s">
        <v>49</v>
      </c>
      <c r="D2086" s="10" t="s">
        <v>369</v>
      </c>
      <c r="E2086" s="10" t="s">
        <v>2342</v>
      </c>
      <c r="F2086" s="30" t="n">
        <v>42885</v>
      </c>
      <c r="G2086" s="30" t="n">
        <v>42889</v>
      </c>
      <c r="H2086" s="26" t="n">
        <f aca="false">G2086-F2086</f>
        <v>4</v>
      </c>
      <c r="I2086" s="10" t="n">
        <f aca="false">IF(E2086="Won",1,0)</f>
        <v>1</v>
      </c>
    </row>
    <row r="2087" customFormat="false" ht="15" hidden="false" customHeight="false" outlineLevel="0" collapsed="false">
      <c r="A2087" s="10" t="s">
        <v>4428</v>
      </c>
      <c r="B2087" s="10" t="s">
        <v>70</v>
      </c>
      <c r="C2087" s="10" t="s">
        <v>50</v>
      </c>
      <c r="D2087" s="10" t="s">
        <v>286</v>
      </c>
      <c r="E2087" s="10" t="s">
        <v>2342</v>
      </c>
      <c r="F2087" s="30" t="n">
        <v>42870</v>
      </c>
      <c r="G2087" s="30" t="n">
        <v>42889</v>
      </c>
      <c r="H2087" s="26" t="n">
        <f aca="false">G2087-F2087</f>
        <v>19</v>
      </c>
      <c r="I2087" s="10" t="n">
        <f aca="false">IF(E2087="Won",1,0)</f>
        <v>1</v>
      </c>
    </row>
    <row r="2088" customFormat="false" ht="15" hidden="false" customHeight="false" outlineLevel="0" collapsed="false">
      <c r="A2088" s="10" t="s">
        <v>4429</v>
      </c>
      <c r="B2088" s="10" t="s">
        <v>90</v>
      </c>
      <c r="C2088" s="10" t="s">
        <v>49</v>
      </c>
      <c r="D2088" s="10" t="s">
        <v>233</v>
      </c>
      <c r="E2088" s="10" t="s">
        <v>2342</v>
      </c>
      <c r="F2088" s="30" t="n">
        <v>42795</v>
      </c>
      <c r="G2088" s="30" t="n">
        <v>42889</v>
      </c>
      <c r="H2088" s="26" t="n">
        <f aca="false">G2088-F2088</f>
        <v>94</v>
      </c>
      <c r="I2088" s="10" t="n">
        <f aca="false">IF(E2088="Won",1,0)</f>
        <v>1</v>
      </c>
    </row>
    <row r="2089" customFormat="false" ht="15" hidden="false" customHeight="false" outlineLevel="0" collapsed="false">
      <c r="A2089" s="10" t="s">
        <v>4430</v>
      </c>
      <c r="B2089" s="10" t="s">
        <v>73</v>
      </c>
      <c r="C2089" s="10" t="s">
        <v>47</v>
      </c>
      <c r="D2089" s="10" t="s">
        <v>536</v>
      </c>
      <c r="E2089" s="10" t="s">
        <v>2342</v>
      </c>
      <c r="F2089" s="30" t="n">
        <v>42778</v>
      </c>
      <c r="G2089" s="30" t="n">
        <v>42889</v>
      </c>
      <c r="H2089" s="26" t="n">
        <f aca="false">G2089-F2089</f>
        <v>111</v>
      </c>
      <c r="I2089" s="10" t="n">
        <f aca="false">IF(E2089="Won",1,0)</f>
        <v>1</v>
      </c>
    </row>
    <row r="2090" customFormat="false" ht="15" hidden="false" customHeight="false" outlineLevel="0" collapsed="false">
      <c r="A2090" s="10" t="s">
        <v>4431</v>
      </c>
      <c r="B2090" s="10" t="s">
        <v>73</v>
      </c>
      <c r="C2090" s="10" t="s">
        <v>52</v>
      </c>
      <c r="D2090" s="10" t="s">
        <v>422</v>
      </c>
      <c r="E2090" s="10" t="s">
        <v>2342</v>
      </c>
      <c r="F2090" s="30" t="n">
        <v>42802</v>
      </c>
      <c r="G2090" s="30" t="n">
        <v>42889</v>
      </c>
      <c r="H2090" s="26" t="n">
        <f aca="false">G2090-F2090</f>
        <v>87</v>
      </c>
      <c r="I2090" s="10" t="n">
        <f aca="false">IF(E2090="Won",1,0)</f>
        <v>1</v>
      </c>
    </row>
    <row r="2091" customFormat="false" ht="15" hidden="false" customHeight="false" outlineLevel="0" collapsed="false">
      <c r="A2091" s="10" t="s">
        <v>4432</v>
      </c>
      <c r="B2091" s="10" t="s">
        <v>68</v>
      </c>
      <c r="C2091" s="10" t="s">
        <v>51</v>
      </c>
      <c r="D2091" s="10" t="s">
        <v>172</v>
      </c>
      <c r="E2091" s="10" t="s">
        <v>2342</v>
      </c>
      <c r="F2091" s="30" t="n">
        <v>42829</v>
      </c>
      <c r="G2091" s="30" t="n">
        <v>42889</v>
      </c>
      <c r="H2091" s="26" t="n">
        <f aca="false">G2091-F2091</f>
        <v>60</v>
      </c>
      <c r="I2091" s="10" t="n">
        <f aca="false">IF(E2091="Won",1,0)</f>
        <v>1</v>
      </c>
    </row>
    <row r="2092" customFormat="false" ht="15" hidden="false" customHeight="false" outlineLevel="0" collapsed="false">
      <c r="A2092" s="10" t="s">
        <v>4433</v>
      </c>
      <c r="B2092" s="10" t="s">
        <v>73</v>
      </c>
      <c r="C2092" s="10" t="s">
        <v>49</v>
      </c>
      <c r="D2092" s="10" t="s">
        <v>291</v>
      </c>
      <c r="E2092" s="10" t="s">
        <v>2342</v>
      </c>
      <c r="F2092" s="30" t="n">
        <v>42823</v>
      </c>
      <c r="G2092" s="30" t="n">
        <v>42889</v>
      </c>
      <c r="H2092" s="26" t="n">
        <f aca="false">G2092-F2092</f>
        <v>66</v>
      </c>
      <c r="I2092" s="10" t="n">
        <f aca="false">IF(E2092="Won",1,0)</f>
        <v>1</v>
      </c>
    </row>
    <row r="2093" customFormat="false" ht="15" hidden="false" customHeight="false" outlineLevel="0" collapsed="false">
      <c r="A2093" s="10" t="s">
        <v>4434</v>
      </c>
      <c r="B2093" s="10" t="s">
        <v>97</v>
      </c>
      <c r="C2093" s="10" t="s">
        <v>48</v>
      </c>
      <c r="D2093" s="10" t="s">
        <v>210</v>
      </c>
      <c r="E2093" s="10" t="s">
        <v>2342</v>
      </c>
      <c r="F2093" s="30" t="n">
        <v>42873</v>
      </c>
      <c r="G2093" s="30" t="n">
        <v>42889</v>
      </c>
      <c r="H2093" s="26" t="n">
        <f aca="false">G2093-F2093</f>
        <v>16</v>
      </c>
      <c r="I2093" s="10" t="n">
        <f aca="false">IF(E2093="Won",1,0)</f>
        <v>1</v>
      </c>
    </row>
    <row r="2094" customFormat="false" ht="15" hidden="false" customHeight="false" outlineLevel="0" collapsed="false">
      <c r="A2094" s="10" t="s">
        <v>4435</v>
      </c>
      <c r="B2094" s="10" t="s">
        <v>81</v>
      </c>
      <c r="C2094" s="10" t="s">
        <v>47</v>
      </c>
      <c r="D2094" s="10" t="s">
        <v>660</v>
      </c>
      <c r="E2094" s="10" t="s">
        <v>2342</v>
      </c>
      <c r="F2094" s="30" t="n">
        <v>42786</v>
      </c>
      <c r="G2094" s="30" t="n">
        <v>42889</v>
      </c>
      <c r="H2094" s="26" t="n">
        <f aca="false">G2094-F2094</f>
        <v>103</v>
      </c>
      <c r="I2094" s="10" t="n">
        <f aca="false">IF(E2094="Won",1,0)</f>
        <v>1</v>
      </c>
    </row>
    <row r="2095" customFormat="false" ht="15" hidden="false" customHeight="false" outlineLevel="0" collapsed="false">
      <c r="A2095" s="10" t="s">
        <v>4436</v>
      </c>
      <c r="B2095" s="10" t="s">
        <v>75</v>
      </c>
      <c r="C2095" s="10" t="s">
        <v>51</v>
      </c>
      <c r="D2095" s="10" t="s">
        <v>597</v>
      </c>
      <c r="E2095" s="10" t="s">
        <v>2342</v>
      </c>
      <c r="F2095" s="30" t="n">
        <v>42808</v>
      </c>
      <c r="G2095" s="30" t="n">
        <v>42889</v>
      </c>
      <c r="H2095" s="26" t="n">
        <f aca="false">G2095-F2095</f>
        <v>81</v>
      </c>
      <c r="I2095" s="10" t="n">
        <f aca="false">IF(E2095="Won",1,0)</f>
        <v>1</v>
      </c>
    </row>
    <row r="2096" customFormat="false" ht="15" hidden="false" customHeight="false" outlineLevel="0" collapsed="false">
      <c r="A2096" s="10" t="s">
        <v>4437</v>
      </c>
      <c r="B2096" s="10" t="s">
        <v>88</v>
      </c>
      <c r="C2096" s="10" t="s">
        <v>48</v>
      </c>
      <c r="D2096" s="10" t="s">
        <v>161</v>
      </c>
      <c r="E2096" s="10" t="s">
        <v>2342</v>
      </c>
      <c r="F2096" s="30" t="n">
        <v>42848</v>
      </c>
      <c r="G2096" s="30" t="n">
        <v>42889</v>
      </c>
      <c r="H2096" s="26" t="n">
        <f aca="false">G2096-F2096</f>
        <v>41</v>
      </c>
      <c r="I2096" s="10" t="n">
        <f aca="false">IF(E2096="Won",1,0)</f>
        <v>1</v>
      </c>
    </row>
    <row r="2097" customFormat="false" ht="15" hidden="false" customHeight="false" outlineLevel="0" collapsed="false">
      <c r="A2097" s="10" t="s">
        <v>4438</v>
      </c>
      <c r="B2097" s="10" t="s">
        <v>75</v>
      </c>
      <c r="C2097" s="10" t="s">
        <v>47</v>
      </c>
      <c r="D2097" s="10" t="s">
        <v>410</v>
      </c>
      <c r="E2097" s="10" t="s">
        <v>2342</v>
      </c>
      <c r="F2097" s="30" t="n">
        <v>42809</v>
      </c>
      <c r="G2097" s="30" t="n">
        <v>42889</v>
      </c>
      <c r="H2097" s="26" t="n">
        <f aca="false">G2097-F2097</f>
        <v>80</v>
      </c>
      <c r="I2097" s="10" t="n">
        <f aca="false">IF(E2097="Won",1,0)</f>
        <v>1</v>
      </c>
    </row>
    <row r="2098" customFormat="false" ht="15" hidden="false" customHeight="false" outlineLevel="0" collapsed="false">
      <c r="A2098" s="10" t="s">
        <v>4439</v>
      </c>
      <c r="B2098" s="10" t="s">
        <v>68</v>
      </c>
      <c r="C2098" s="10" t="s">
        <v>52</v>
      </c>
      <c r="D2098" s="10" t="s">
        <v>348</v>
      </c>
      <c r="E2098" s="10" t="s">
        <v>2342</v>
      </c>
      <c r="F2098" s="30" t="n">
        <v>42810</v>
      </c>
      <c r="G2098" s="30" t="n">
        <v>42889</v>
      </c>
      <c r="H2098" s="26" t="n">
        <f aca="false">G2098-F2098</f>
        <v>79</v>
      </c>
      <c r="I2098" s="10" t="n">
        <f aca="false">IF(E2098="Won",1,0)</f>
        <v>1</v>
      </c>
    </row>
    <row r="2099" customFormat="false" ht="15" hidden="false" customHeight="false" outlineLevel="0" collapsed="false">
      <c r="A2099" s="10" t="s">
        <v>4440</v>
      </c>
      <c r="B2099" s="10" t="s">
        <v>84</v>
      </c>
      <c r="C2099" s="10" t="s">
        <v>50</v>
      </c>
      <c r="D2099" s="10" t="s">
        <v>286</v>
      </c>
      <c r="E2099" s="10" t="s">
        <v>2342</v>
      </c>
      <c r="F2099" s="30" t="n">
        <v>42769</v>
      </c>
      <c r="G2099" s="30" t="n">
        <v>42889</v>
      </c>
      <c r="H2099" s="26" t="n">
        <f aca="false">G2099-F2099</f>
        <v>120</v>
      </c>
      <c r="I2099" s="10" t="n">
        <f aca="false">IF(E2099="Won",1,0)</f>
        <v>1</v>
      </c>
    </row>
    <row r="2100" customFormat="false" ht="15" hidden="false" customHeight="false" outlineLevel="0" collapsed="false">
      <c r="A2100" s="10" t="s">
        <v>4441</v>
      </c>
      <c r="B2100" s="10" t="s">
        <v>76</v>
      </c>
      <c r="C2100" s="10" t="s">
        <v>51</v>
      </c>
      <c r="D2100" s="10" t="s">
        <v>279</v>
      </c>
      <c r="E2100" s="10" t="s">
        <v>2342</v>
      </c>
      <c r="F2100" s="30" t="n">
        <v>42780</v>
      </c>
      <c r="G2100" s="30" t="n">
        <v>42889</v>
      </c>
      <c r="H2100" s="26" t="n">
        <f aca="false">G2100-F2100</f>
        <v>109</v>
      </c>
      <c r="I2100" s="10" t="n">
        <f aca="false">IF(E2100="Won",1,0)</f>
        <v>1</v>
      </c>
    </row>
    <row r="2101" customFormat="false" ht="15" hidden="false" customHeight="false" outlineLevel="0" collapsed="false">
      <c r="A2101" s="10" t="s">
        <v>4442</v>
      </c>
      <c r="B2101" s="10" t="s">
        <v>94</v>
      </c>
      <c r="C2101" s="10" t="s">
        <v>51</v>
      </c>
      <c r="D2101" s="10" t="s">
        <v>384</v>
      </c>
      <c r="E2101" s="10" t="s">
        <v>2345</v>
      </c>
      <c r="F2101" s="30" t="n">
        <v>42786</v>
      </c>
      <c r="G2101" s="30" t="n">
        <v>42889</v>
      </c>
      <c r="H2101" s="26" t="n">
        <f aca="false">G2101-F2101</f>
        <v>103</v>
      </c>
      <c r="I2101" s="10" t="n">
        <f aca="false">IF(E2101="Won",1,0)</f>
        <v>0</v>
      </c>
    </row>
    <row r="2102" customFormat="false" ht="15" hidden="false" customHeight="false" outlineLevel="0" collapsed="false">
      <c r="A2102" s="10" t="s">
        <v>4443</v>
      </c>
      <c r="B2102" s="10" t="s">
        <v>93</v>
      </c>
      <c r="C2102" s="10" t="s">
        <v>51</v>
      </c>
      <c r="D2102" s="10" t="s">
        <v>313</v>
      </c>
      <c r="E2102" s="10" t="s">
        <v>2342</v>
      </c>
      <c r="F2102" s="30" t="n">
        <v>42876</v>
      </c>
      <c r="G2102" s="30" t="n">
        <v>42890</v>
      </c>
      <c r="H2102" s="26" t="n">
        <f aca="false">G2102-F2102</f>
        <v>14</v>
      </c>
      <c r="I2102" s="10" t="n">
        <f aca="false">IF(E2102="Won",1,0)</f>
        <v>1</v>
      </c>
    </row>
    <row r="2103" customFormat="false" ht="15" hidden="false" customHeight="false" outlineLevel="0" collapsed="false">
      <c r="A2103" s="10" t="s">
        <v>4444</v>
      </c>
      <c r="B2103" s="10" t="s">
        <v>68</v>
      </c>
      <c r="C2103" s="10" t="s">
        <v>51</v>
      </c>
      <c r="D2103" s="10" t="s">
        <v>348</v>
      </c>
      <c r="E2103" s="10" t="s">
        <v>2342</v>
      </c>
      <c r="F2103" s="30" t="n">
        <v>42843</v>
      </c>
      <c r="G2103" s="30" t="n">
        <v>42890</v>
      </c>
      <c r="H2103" s="26" t="n">
        <f aca="false">G2103-F2103</f>
        <v>47</v>
      </c>
      <c r="I2103" s="10" t="n">
        <f aca="false">IF(E2103="Won",1,0)</f>
        <v>1</v>
      </c>
    </row>
    <row r="2104" customFormat="false" ht="15" hidden="false" customHeight="false" outlineLevel="0" collapsed="false">
      <c r="A2104" s="10" t="s">
        <v>4445</v>
      </c>
      <c r="B2104" s="10" t="s">
        <v>62</v>
      </c>
      <c r="C2104" s="10" t="s">
        <v>52</v>
      </c>
      <c r="D2104" s="10" t="s">
        <v>378</v>
      </c>
      <c r="E2104" s="10" t="s">
        <v>2342</v>
      </c>
      <c r="F2104" s="30" t="n">
        <v>42813</v>
      </c>
      <c r="G2104" s="30" t="n">
        <v>42890</v>
      </c>
      <c r="H2104" s="26" t="n">
        <f aca="false">G2104-F2104</f>
        <v>77</v>
      </c>
      <c r="I2104" s="10" t="n">
        <f aca="false">IF(E2104="Won",1,0)</f>
        <v>1</v>
      </c>
    </row>
    <row r="2105" customFormat="false" ht="15" hidden="false" customHeight="false" outlineLevel="0" collapsed="false">
      <c r="A2105" s="10" t="s">
        <v>4446</v>
      </c>
      <c r="B2105" s="10" t="s">
        <v>76</v>
      </c>
      <c r="C2105" s="10" t="s">
        <v>49</v>
      </c>
      <c r="D2105" s="10" t="s">
        <v>524</v>
      </c>
      <c r="E2105" s="10" t="s">
        <v>2342</v>
      </c>
      <c r="F2105" s="30" t="n">
        <v>42765</v>
      </c>
      <c r="G2105" s="30" t="n">
        <v>42890</v>
      </c>
      <c r="H2105" s="26" t="n">
        <f aca="false">G2105-F2105</f>
        <v>125</v>
      </c>
      <c r="I2105" s="10" t="n">
        <f aca="false">IF(E2105="Won",1,0)</f>
        <v>1</v>
      </c>
    </row>
    <row r="2106" customFormat="false" ht="15" hidden="false" customHeight="false" outlineLevel="0" collapsed="false">
      <c r="A2106" s="10" t="s">
        <v>4447</v>
      </c>
      <c r="B2106" s="10" t="s">
        <v>90</v>
      </c>
      <c r="C2106" s="10" t="s">
        <v>51</v>
      </c>
      <c r="D2106" s="10" t="s">
        <v>1334</v>
      </c>
      <c r="E2106" s="10" t="s">
        <v>2342</v>
      </c>
      <c r="F2106" s="30" t="n">
        <v>42850</v>
      </c>
      <c r="G2106" s="30" t="n">
        <v>42890</v>
      </c>
      <c r="H2106" s="26" t="n">
        <f aca="false">G2106-F2106</f>
        <v>40</v>
      </c>
      <c r="I2106" s="10" t="n">
        <f aca="false">IF(E2106="Won",1,0)</f>
        <v>1</v>
      </c>
    </row>
    <row r="2107" customFormat="false" ht="15" hidden="false" customHeight="false" outlineLevel="0" collapsed="false">
      <c r="A2107" s="10" t="s">
        <v>4448</v>
      </c>
      <c r="B2107" s="10" t="s">
        <v>93</v>
      </c>
      <c r="C2107" s="10" t="s">
        <v>50</v>
      </c>
      <c r="D2107" s="10" t="s">
        <v>606</v>
      </c>
      <c r="E2107" s="10" t="s">
        <v>2342</v>
      </c>
      <c r="F2107" s="30" t="n">
        <v>42886</v>
      </c>
      <c r="G2107" s="30" t="n">
        <v>42890</v>
      </c>
      <c r="H2107" s="26" t="n">
        <f aca="false">G2107-F2107</f>
        <v>4</v>
      </c>
      <c r="I2107" s="10" t="n">
        <f aca="false">IF(E2107="Won",1,0)</f>
        <v>1</v>
      </c>
    </row>
    <row r="2108" customFormat="false" ht="15" hidden="false" customHeight="false" outlineLevel="0" collapsed="false">
      <c r="A2108" s="10" t="s">
        <v>4449</v>
      </c>
      <c r="B2108" s="10" t="s">
        <v>79</v>
      </c>
      <c r="C2108" s="10" t="s">
        <v>51</v>
      </c>
      <c r="D2108" s="10" t="s">
        <v>961</v>
      </c>
      <c r="E2108" s="10" t="s">
        <v>2342</v>
      </c>
      <c r="F2108" s="30" t="n">
        <v>42754</v>
      </c>
      <c r="G2108" s="30" t="n">
        <v>42890</v>
      </c>
      <c r="H2108" s="26" t="n">
        <f aca="false">G2108-F2108</f>
        <v>136</v>
      </c>
      <c r="I2108" s="10" t="n">
        <f aca="false">IF(E2108="Won",1,0)</f>
        <v>1</v>
      </c>
    </row>
    <row r="2109" customFormat="false" ht="15" hidden="false" customHeight="false" outlineLevel="0" collapsed="false">
      <c r="A2109" s="10" t="s">
        <v>4450</v>
      </c>
      <c r="B2109" s="10" t="s">
        <v>77</v>
      </c>
      <c r="C2109" s="10" t="s">
        <v>48</v>
      </c>
      <c r="D2109" s="10" t="s">
        <v>291</v>
      </c>
      <c r="E2109" s="10" t="s">
        <v>2342</v>
      </c>
      <c r="F2109" s="30" t="n">
        <v>42886</v>
      </c>
      <c r="G2109" s="30" t="n">
        <v>42890</v>
      </c>
      <c r="H2109" s="26" t="n">
        <f aca="false">G2109-F2109</f>
        <v>4</v>
      </c>
      <c r="I2109" s="10" t="n">
        <f aca="false">IF(E2109="Won",1,0)</f>
        <v>1</v>
      </c>
    </row>
    <row r="2110" customFormat="false" ht="15" hidden="false" customHeight="false" outlineLevel="0" collapsed="false">
      <c r="A2110" s="10" t="s">
        <v>4451</v>
      </c>
      <c r="B2110" s="10" t="s">
        <v>67</v>
      </c>
      <c r="C2110" s="10" t="s">
        <v>49</v>
      </c>
      <c r="D2110" s="10" t="s">
        <v>487</v>
      </c>
      <c r="E2110" s="10" t="s">
        <v>2342</v>
      </c>
      <c r="F2110" s="30" t="n">
        <v>42788</v>
      </c>
      <c r="G2110" s="30" t="n">
        <v>42890</v>
      </c>
      <c r="H2110" s="26" t="n">
        <f aca="false">G2110-F2110</f>
        <v>102</v>
      </c>
      <c r="I2110" s="10" t="n">
        <f aca="false">IF(E2110="Won",1,0)</f>
        <v>1</v>
      </c>
    </row>
    <row r="2111" customFormat="false" ht="15" hidden="false" customHeight="false" outlineLevel="0" collapsed="false">
      <c r="A2111" s="10" t="s">
        <v>4452</v>
      </c>
      <c r="B2111" s="10" t="s">
        <v>86</v>
      </c>
      <c r="C2111" s="10" t="s">
        <v>49</v>
      </c>
      <c r="D2111" s="10" t="s">
        <v>210</v>
      </c>
      <c r="E2111" s="10" t="s">
        <v>2342</v>
      </c>
      <c r="F2111" s="30" t="n">
        <v>42763</v>
      </c>
      <c r="G2111" s="30" t="n">
        <v>42890</v>
      </c>
      <c r="H2111" s="26" t="n">
        <f aca="false">G2111-F2111</f>
        <v>127</v>
      </c>
      <c r="I2111" s="10" t="n">
        <f aca="false">IF(E2111="Won",1,0)</f>
        <v>1</v>
      </c>
    </row>
    <row r="2112" customFormat="false" ht="15" hidden="false" customHeight="false" outlineLevel="0" collapsed="false">
      <c r="A2112" s="10" t="s">
        <v>4453</v>
      </c>
      <c r="B2112" s="10" t="s">
        <v>60</v>
      </c>
      <c r="C2112" s="10" t="s">
        <v>48</v>
      </c>
      <c r="D2112" s="10" t="s">
        <v>218</v>
      </c>
      <c r="E2112" s="10" t="s">
        <v>2342</v>
      </c>
      <c r="F2112" s="30" t="n">
        <v>42753</v>
      </c>
      <c r="G2112" s="30" t="n">
        <v>42890</v>
      </c>
      <c r="H2112" s="26" t="n">
        <f aca="false">G2112-F2112</f>
        <v>137</v>
      </c>
      <c r="I2112" s="10" t="n">
        <f aca="false">IF(E2112="Won",1,0)</f>
        <v>1</v>
      </c>
    </row>
    <row r="2113" customFormat="false" ht="15" hidden="false" customHeight="false" outlineLevel="0" collapsed="false">
      <c r="A2113" s="10" t="s">
        <v>4454</v>
      </c>
      <c r="B2113" s="10" t="s">
        <v>71</v>
      </c>
      <c r="C2113" s="10" t="s">
        <v>51</v>
      </c>
      <c r="D2113" s="10" t="s">
        <v>1948</v>
      </c>
      <c r="E2113" s="10" t="s">
        <v>2342</v>
      </c>
      <c r="F2113" s="30" t="n">
        <v>42793</v>
      </c>
      <c r="G2113" s="30" t="n">
        <v>42890</v>
      </c>
      <c r="H2113" s="26" t="n">
        <f aca="false">G2113-F2113</f>
        <v>97</v>
      </c>
      <c r="I2113" s="10" t="n">
        <f aca="false">IF(E2113="Won",1,0)</f>
        <v>1</v>
      </c>
    </row>
    <row r="2114" customFormat="false" ht="15" hidden="false" customHeight="false" outlineLevel="0" collapsed="false">
      <c r="A2114" s="10" t="s">
        <v>4455</v>
      </c>
      <c r="B2114" s="10" t="s">
        <v>86</v>
      </c>
      <c r="C2114" s="10" t="s">
        <v>51</v>
      </c>
      <c r="D2114" s="10" t="s">
        <v>464</v>
      </c>
      <c r="E2114" s="10" t="s">
        <v>2342</v>
      </c>
      <c r="F2114" s="30" t="n">
        <v>42769</v>
      </c>
      <c r="G2114" s="30" t="n">
        <v>42890</v>
      </c>
      <c r="H2114" s="26" t="n">
        <f aca="false">G2114-F2114</f>
        <v>121</v>
      </c>
      <c r="I2114" s="10" t="n">
        <f aca="false">IF(E2114="Won",1,0)</f>
        <v>1</v>
      </c>
    </row>
    <row r="2115" customFormat="false" ht="15" hidden="false" customHeight="false" outlineLevel="0" collapsed="false">
      <c r="A2115" s="10" t="s">
        <v>4456</v>
      </c>
      <c r="B2115" s="10" t="s">
        <v>90</v>
      </c>
      <c r="C2115" s="10" t="s">
        <v>49</v>
      </c>
      <c r="D2115" s="10" t="s">
        <v>161</v>
      </c>
      <c r="E2115" s="10" t="s">
        <v>2342</v>
      </c>
      <c r="F2115" s="30" t="n">
        <v>42846</v>
      </c>
      <c r="G2115" s="30" t="n">
        <v>42890</v>
      </c>
      <c r="H2115" s="26" t="n">
        <f aca="false">G2115-F2115</f>
        <v>44</v>
      </c>
      <c r="I2115" s="10" t="n">
        <f aca="false">IF(E2115="Won",1,0)</f>
        <v>1</v>
      </c>
    </row>
    <row r="2116" customFormat="false" ht="15" hidden="false" customHeight="false" outlineLevel="0" collapsed="false">
      <c r="A2116" s="10" t="s">
        <v>4457</v>
      </c>
      <c r="B2116" s="10" t="s">
        <v>94</v>
      </c>
      <c r="C2116" s="10" t="s">
        <v>52</v>
      </c>
      <c r="D2116" s="10" t="s">
        <v>210</v>
      </c>
      <c r="E2116" s="10" t="s">
        <v>2342</v>
      </c>
      <c r="F2116" s="30" t="n">
        <v>42796</v>
      </c>
      <c r="G2116" s="30" t="n">
        <v>42890</v>
      </c>
      <c r="H2116" s="26" t="n">
        <f aca="false">G2116-F2116</f>
        <v>94</v>
      </c>
      <c r="I2116" s="10" t="n">
        <f aca="false">IF(E2116="Won",1,0)</f>
        <v>1</v>
      </c>
    </row>
    <row r="2117" customFormat="false" ht="15" hidden="false" customHeight="false" outlineLevel="0" collapsed="false">
      <c r="A2117" s="10" t="s">
        <v>4458</v>
      </c>
      <c r="B2117" s="10" t="s">
        <v>93</v>
      </c>
      <c r="C2117" s="10" t="s">
        <v>47</v>
      </c>
      <c r="D2117" s="10" t="s">
        <v>170</v>
      </c>
      <c r="E2117" s="10" t="s">
        <v>2345</v>
      </c>
      <c r="F2117" s="30" t="n">
        <v>42793</v>
      </c>
      <c r="G2117" s="30" t="n">
        <v>42890</v>
      </c>
      <c r="H2117" s="26" t="n">
        <f aca="false">G2117-F2117</f>
        <v>97</v>
      </c>
      <c r="I2117" s="10" t="n">
        <f aca="false">IF(E2117="Won",1,0)</f>
        <v>0</v>
      </c>
    </row>
    <row r="2118" customFormat="false" ht="15" hidden="false" customHeight="false" outlineLevel="0" collapsed="false">
      <c r="A2118" s="10" t="s">
        <v>4459</v>
      </c>
      <c r="B2118" s="10" t="s">
        <v>75</v>
      </c>
      <c r="C2118" s="10" t="s">
        <v>49</v>
      </c>
      <c r="D2118" s="10" t="s">
        <v>179</v>
      </c>
      <c r="E2118" s="10" t="s">
        <v>2342</v>
      </c>
      <c r="F2118" s="30" t="n">
        <v>42805</v>
      </c>
      <c r="G2118" s="30" t="n">
        <v>42890</v>
      </c>
      <c r="H2118" s="26" t="n">
        <f aca="false">G2118-F2118</f>
        <v>85</v>
      </c>
      <c r="I2118" s="10" t="n">
        <f aca="false">IF(E2118="Won",1,0)</f>
        <v>1</v>
      </c>
    </row>
    <row r="2119" customFormat="false" ht="15" hidden="false" customHeight="false" outlineLevel="0" collapsed="false">
      <c r="A2119" s="10" t="s">
        <v>4460</v>
      </c>
      <c r="B2119" s="10" t="s">
        <v>61</v>
      </c>
      <c r="C2119" s="10" t="s">
        <v>52</v>
      </c>
      <c r="D2119" s="10" t="s">
        <v>210</v>
      </c>
      <c r="E2119" s="10" t="s">
        <v>2345</v>
      </c>
      <c r="F2119" s="30" t="n">
        <v>42773</v>
      </c>
      <c r="G2119" s="30" t="n">
        <v>42890</v>
      </c>
      <c r="H2119" s="26" t="n">
        <f aca="false">G2119-F2119</f>
        <v>117</v>
      </c>
      <c r="I2119" s="10" t="n">
        <f aca="false">IF(E2119="Won",1,0)</f>
        <v>0</v>
      </c>
    </row>
    <row r="2120" customFormat="false" ht="15" hidden="false" customHeight="false" outlineLevel="0" collapsed="false">
      <c r="A2120" s="10" t="s">
        <v>4461</v>
      </c>
      <c r="B2120" s="10" t="s">
        <v>95</v>
      </c>
      <c r="C2120" s="10" t="s">
        <v>48</v>
      </c>
      <c r="D2120" s="10" t="s">
        <v>606</v>
      </c>
      <c r="E2120" s="10" t="s">
        <v>2345</v>
      </c>
      <c r="F2120" s="30" t="n">
        <v>42812</v>
      </c>
      <c r="G2120" s="30" t="n">
        <v>42890</v>
      </c>
      <c r="H2120" s="26" t="n">
        <f aca="false">G2120-F2120</f>
        <v>78</v>
      </c>
      <c r="I2120" s="10" t="n">
        <f aca="false">IF(E2120="Won",1,0)</f>
        <v>0</v>
      </c>
    </row>
    <row r="2121" customFormat="false" ht="15" hidden="false" customHeight="false" outlineLevel="0" collapsed="false">
      <c r="A2121" s="10" t="s">
        <v>4462</v>
      </c>
      <c r="B2121" s="10" t="s">
        <v>74</v>
      </c>
      <c r="C2121" s="10" t="s">
        <v>47</v>
      </c>
      <c r="D2121" s="10" t="s">
        <v>369</v>
      </c>
      <c r="E2121" s="10" t="s">
        <v>2342</v>
      </c>
      <c r="F2121" s="30" t="n">
        <v>42787</v>
      </c>
      <c r="G2121" s="30" t="n">
        <v>42890</v>
      </c>
      <c r="H2121" s="26" t="n">
        <f aca="false">G2121-F2121</f>
        <v>103</v>
      </c>
      <c r="I2121" s="10" t="n">
        <f aca="false">IF(E2121="Won",1,0)</f>
        <v>1</v>
      </c>
    </row>
    <row r="2122" customFormat="false" ht="15" hidden="false" customHeight="false" outlineLevel="0" collapsed="false">
      <c r="A2122" s="10" t="s">
        <v>4463</v>
      </c>
      <c r="B2122" s="10" t="s">
        <v>67</v>
      </c>
      <c r="C2122" s="10" t="s">
        <v>49</v>
      </c>
      <c r="D2122" s="10" t="s">
        <v>396</v>
      </c>
      <c r="E2122" s="10" t="s">
        <v>2342</v>
      </c>
      <c r="F2122" s="30" t="n">
        <v>42872</v>
      </c>
      <c r="G2122" s="30" t="n">
        <v>42890</v>
      </c>
      <c r="H2122" s="26" t="n">
        <f aca="false">G2122-F2122</f>
        <v>18</v>
      </c>
      <c r="I2122" s="10" t="n">
        <f aca="false">IF(E2122="Won",1,0)</f>
        <v>1</v>
      </c>
    </row>
    <row r="2123" customFormat="false" ht="15" hidden="false" customHeight="false" outlineLevel="0" collapsed="false">
      <c r="A2123" s="10" t="s">
        <v>4464</v>
      </c>
      <c r="B2123" s="10" t="s">
        <v>77</v>
      </c>
      <c r="C2123" s="10" t="s">
        <v>52</v>
      </c>
      <c r="D2123" s="10" t="s">
        <v>597</v>
      </c>
      <c r="E2123" s="10" t="s">
        <v>2342</v>
      </c>
      <c r="F2123" s="30" t="n">
        <v>42813</v>
      </c>
      <c r="G2123" s="30" t="n">
        <v>42890</v>
      </c>
      <c r="H2123" s="26" t="n">
        <f aca="false">G2123-F2123</f>
        <v>77</v>
      </c>
      <c r="I2123" s="10" t="n">
        <f aca="false">IF(E2123="Won",1,0)</f>
        <v>1</v>
      </c>
    </row>
    <row r="2124" customFormat="false" ht="15" hidden="false" customHeight="false" outlineLevel="0" collapsed="false">
      <c r="A2124" s="10" t="s">
        <v>4465</v>
      </c>
      <c r="B2124" s="10" t="s">
        <v>86</v>
      </c>
      <c r="C2124" s="10" t="s">
        <v>51</v>
      </c>
      <c r="D2124" s="10" t="s">
        <v>274</v>
      </c>
      <c r="E2124" s="10" t="s">
        <v>2345</v>
      </c>
      <c r="F2124" s="30" t="n">
        <v>42801</v>
      </c>
      <c r="G2124" s="30" t="n">
        <v>42890</v>
      </c>
      <c r="H2124" s="26" t="n">
        <f aca="false">G2124-F2124</f>
        <v>89</v>
      </c>
      <c r="I2124" s="10" t="n">
        <f aca="false">IF(E2124="Won",1,0)</f>
        <v>0</v>
      </c>
    </row>
    <row r="2125" customFormat="false" ht="15" hidden="false" customHeight="false" outlineLevel="0" collapsed="false">
      <c r="A2125" s="10" t="s">
        <v>4466</v>
      </c>
      <c r="B2125" s="10" t="s">
        <v>86</v>
      </c>
      <c r="C2125" s="10" t="s">
        <v>50</v>
      </c>
      <c r="D2125" s="10" t="s">
        <v>350</v>
      </c>
      <c r="E2125" s="10" t="s">
        <v>2342</v>
      </c>
      <c r="F2125" s="30" t="n">
        <v>42876</v>
      </c>
      <c r="G2125" s="30" t="n">
        <v>42890</v>
      </c>
      <c r="H2125" s="26" t="n">
        <f aca="false">G2125-F2125</f>
        <v>14</v>
      </c>
      <c r="I2125" s="10" t="n">
        <f aca="false">IF(E2125="Won",1,0)</f>
        <v>1</v>
      </c>
    </row>
    <row r="2126" customFormat="false" ht="15" hidden="false" customHeight="false" outlineLevel="0" collapsed="false">
      <c r="A2126" s="10" t="s">
        <v>4467</v>
      </c>
      <c r="B2126" s="10" t="s">
        <v>71</v>
      </c>
      <c r="C2126" s="10" t="s">
        <v>52</v>
      </c>
      <c r="D2126" s="10" t="s">
        <v>1251</v>
      </c>
      <c r="E2126" s="10" t="s">
        <v>2342</v>
      </c>
      <c r="F2126" s="30" t="n">
        <v>42859</v>
      </c>
      <c r="G2126" s="30" t="n">
        <v>42890</v>
      </c>
      <c r="H2126" s="26" t="n">
        <f aca="false">G2126-F2126</f>
        <v>31</v>
      </c>
      <c r="I2126" s="10" t="n">
        <f aca="false">IF(E2126="Won",1,0)</f>
        <v>1</v>
      </c>
    </row>
    <row r="2127" customFormat="false" ht="15" hidden="false" customHeight="false" outlineLevel="0" collapsed="false">
      <c r="A2127" s="10" t="s">
        <v>4468</v>
      </c>
      <c r="B2127" s="10" t="s">
        <v>67</v>
      </c>
      <c r="C2127" s="10" t="s">
        <v>49</v>
      </c>
      <c r="D2127" s="10" t="s">
        <v>986</v>
      </c>
      <c r="E2127" s="10" t="s">
        <v>2342</v>
      </c>
      <c r="F2127" s="30" t="n">
        <v>42825</v>
      </c>
      <c r="G2127" s="30" t="n">
        <v>42890</v>
      </c>
      <c r="H2127" s="26" t="n">
        <f aca="false">G2127-F2127</f>
        <v>65</v>
      </c>
      <c r="I2127" s="10" t="n">
        <f aca="false">IF(E2127="Won",1,0)</f>
        <v>1</v>
      </c>
    </row>
    <row r="2128" customFormat="false" ht="15" hidden="false" customHeight="false" outlineLevel="0" collapsed="false">
      <c r="A2128" s="10" t="s">
        <v>4469</v>
      </c>
      <c r="B2128" s="10" t="s">
        <v>83</v>
      </c>
      <c r="C2128" s="10" t="s">
        <v>51</v>
      </c>
      <c r="D2128" s="10" t="s">
        <v>527</v>
      </c>
      <c r="E2128" s="10" t="s">
        <v>2342</v>
      </c>
      <c r="F2128" s="30" t="n">
        <v>42873</v>
      </c>
      <c r="G2128" s="30" t="n">
        <v>42891</v>
      </c>
      <c r="H2128" s="26" t="n">
        <f aca="false">G2128-F2128</f>
        <v>18</v>
      </c>
      <c r="I2128" s="10" t="n">
        <f aca="false">IF(E2128="Won",1,0)</f>
        <v>1</v>
      </c>
    </row>
    <row r="2129" customFormat="false" ht="15" hidden="false" customHeight="false" outlineLevel="0" collapsed="false">
      <c r="A2129" s="10" t="s">
        <v>4470</v>
      </c>
      <c r="B2129" s="10" t="s">
        <v>69</v>
      </c>
      <c r="C2129" s="10" t="s">
        <v>49</v>
      </c>
      <c r="D2129" s="10" t="s">
        <v>419</v>
      </c>
      <c r="E2129" s="10" t="s">
        <v>2345</v>
      </c>
      <c r="F2129" s="30" t="n">
        <v>42810</v>
      </c>
      <c r="G2129" s="30" t="n">
        <v>42891</v>
      </c>
      <c r="H2129" s="26" t="n">
        <f aca="false">G2129-F2129</f>
        <v>81</v>
      </c>
      <c r="I2129" s="10" t="n">
        <f aca="false">IF(E2129="Won",1,0)</f>
        <v>0</v>
      </c>
    </row>
    <row r="2130" customFormat="false" ht="15" hidden="false" customHeight="false" outlineLevel="0" collapsed="false">
      <c r="A2130" s="10" t="s">
        <v>4471</v>
      </c>
      <c r="B2130" s="10" t="s">
        <v>73</v>
      </c>
      <c r="C2130" s="10" t="s">
        <v>49</v>
      </c>
      <c r="D2130" s="10" t="s">
        <v>210</v>
      </c>
      <c r="E2130" s="10" t="s">
        <v>2345</v>
      </c>
      <c r="F2130" s="30" t="n">
        <v>42882</v>
      </c>
      <c r="G2130" s="30" t="n">
        <v>42891</v>
      </c>
      <c r="H2130" s="26" t="n">
        <f aca="false">G2130-F2130</f>
        <v>9</v>
      </c>
      <c r="I2130" s="10" t="n">
        <f aca="false">IF(E2130="Won",1,0)</f>
        <v>0</v>
      </c>
    </row>
    <row r="2131" customFormat="false" ht="15" hidden="false" customHeight="false" outlineLevel="0" collapsed="false">
      <c r="A2131" s="10" t="s">
        <v>4472</v>
      </c>
      <c r="B2131" s="10" t="s">
        <v>62</v>
      </c>
      <c r="C2131" s="10" t="s">
        <v>50</v>
      </c>
      <c r="D2131" s="10" t="s">
        <v>455</v>
      </c>
      <c r="E2131" s="10" t="s">
        <v>2345</v>
      </c>
      <c r="F2131" s="30" t="n">
        <v>42777</v>
      </c>
      <c r="G2131" s="30" t="n">
        <v>42891</v>
      </c>
      <c r="H2131" s="26" t="n">
        <f aca="false">G2131-F2131</f>
        <v>114</v>
      </c>
      <c r="I2131" s="10" t="n">
        <f aca="false">IF(E2131="Won",1,0)</f>
        <v>0</v>
      </c>
    </row>
    <row r="2132" customFormat="false" ht="15" hidden="false" customHeight="false" outlineLevel="0" collapsed="false">
      <c r="A2132" s="10" t="s">
        <v>4473</v>
      </c>
      <c r="B2132" s="10" t="s">
        <v>87</v>
      </c>
      <c r="C2132" s="10" t="s">
        <v>48</v>
      </c>
      <c r="D2132" s="10" t="s">
        <v>359</v>
      </c>
      <c r="E2132" s="10" t="s">
        <v>2342</v>
      </c>
      <c r="F2132" s="30" t="n">
        <v>42794</v>
      </c>
      <c r="G2132" s="30" t="n">
        <v>42891</v>
      </c>
      <c r="H2132" s="26" t="n">
        <f aca="false">G2132-F2132</f>
        <v>97</v>
      </c>
      <c r="I2132" s="10" t="n">
        <f aca="false">IF(E2132="Won",1,0)</f>
        <v>1</v>
      </c>
    </row>
    <row r="2133" customFormat="false" ht="15" hidden="false" customHeight="false" outlineLevel="0" collapsed="false">
      <c r="A2133" s="10" t="s">
        <v>4474</v>
      </c>
      <c r="B2133" s="10" t="s">
        <v>81</v>
      </c>
      <c r="C2133" s="10" t="s">
        <v>49</v>
      </c>
      <c r="D2133" s="10" t="s">
        <v>279</v>
      </c>
      <c r="E2133" s="10" t="s">
        <v>2342</v>
      </c>
      <c r="F2133" s="30" t="n">
        <v>42829</v>
      </c>
      <c r="G2133" s="30" t="n">
        <v>42891</v>
      </c>
      <c r="H2133" s="26" t="n">
        <f aca="false">G2133-F2133</f>
        <v>62</v>
      </c>
      <c r="I2133" s="10" t="n">
        <f aca="false">IF(E2133="Won",1,0)</f>
        <v>1</v>
      </c>
    </row>
    <row r="2134" customFormat="false" ht="15" hidden="false" customHeight="false" outlineLevel="0" collapsed="false">
      <c r="A2134" s="10" t="s">
        <v>4475</v>
      </c>
      <c r="B2134" s="10" t="s">
        <v>68</v>
      </c>
      <c r="C2134" s="10" t="s">
        <v>51</v>
      </c>
      <c r="D2134" s="10" t="s">
        <v>384</v>
      </c>
      <c r="E2134" s="10" t="s">
        <v>2342</v>
      </c>
      <c r="F2134" s="30" t="n">
        <v>42817</v>
      </c>
      <c r="G2134" s="30" t="n">
        <v>42891</v>
      </c>
      <c r="H2134" s="26" t="n">
        <f aca="false">G2134-F2134</f>
        <v>74</v>
      </c>
      <c r="I2134" s="10" t="n">
        <f aca="false">IF(E2134="Won",1,0)</f>
        <v>1</v>
      </c>
    </row>
    <row r="2135" customFormat="false" ht="15" hidden="false" customHeight="false" outlineLevel="0" collapsed="false">
      <c r="A2135" s="10" t="s">
        <v>4476</v>
      </c>
      <c r="B2135" s="10" t="s">
        <v>80</v>
      </c>
      <c r="C2135" s="10" t="s">
        <v>50</v>
      </c>
      <c r="D2135" s="10" t="s">
        <v>414</v>
      </c>
      <c r="E2135" s="10" t="s">
        <v>2342</v>
      </c>
      <c r="F2135" s="30" t="n">
        <v>42826</v>
      </c>
      <c r="G2135" s="30" t="n">
        <v>42891</v>
      </c>
      <c r="H2135" s="26" t="n">
        <f aca="false">G2135-F2135</f>
        <v>65</v>
      </c>
      <c r="I2135" s="10" t="n">
        <f aca="false">IF(E2135="Won",1,0)</f>
        <v>1</v>
      </c>
    </row>
    <row r="2136" customFormat="false" ht="15" hidden="false" customHeight="false" outlineLevel="0" collapsed="false">
      <c r="A2136" s="10" t="s">
        <v>4477</v>
      </c>
      <c r="B2136" s="10" t="s">
        <v>97</v>
      </c>
      <c r="C2136" s="10" t="s">
        <v>51</v>
      </c>
      <c r="D2136" s="10" t="s">
        <v>326</v>
      </c>
      <c r="E2136" s="10" t="s">
        <v>2345</v>
      </c>
      <c r="F2136" s="30" t="n">
        <v>42802</v>
      </c>
      <c r="G2136" s="30" t="n">
        <v>42891</v>
      </c>
      <c r="H2136" s="26" t="n">
        <f aca="false">G2136-F2136</f>
        <v>89</v>
      </c>
      <c r="I2136" s="10" t="n">
        <f aca="false">IF(E2136="Won",1,0)</f>
        <v>0</v>
      </c>
    </row>
    <row r="2137" customFormat="false" ht="15" hidden="false" customHeight="false" outlineLevel="0" collapsed="false">
      <c r="A2137" s="10" t="s">
        <v>4478</v>
      </c>
      <c r="B2137" s="10" t="s">
        <v>83</v>
      </c>
      <c r="C2137" s="10" t="s">
        <v>51</v>
      </c>
      <c r="D2137" s="10" t="s">
        <v>512</v>
      </c>
      <c r="E2137" s="10" t="s">
        <v>2342</v>
      </c>
      <c r="F2137" s="30" t="n">
        <v>42775</v>
      </c>
      <c r="G2137" s="30" t="n">
        <v>42891</v>
      </c>
      <c r="H2137" s="26" t="n">
        <f aca="false">G2137-F2137</f>
        <v>116</v>
      </c>
      <c r="I2137" s="10" t="n">
        <f aca="false">IF(E2137="Won",1,0)</f>
        <v>1</v>
      </c>
    </row>
    <row r="2138" customFormat="false" ht="15" hidden="false" customHeight="false" outlineLevel="0" collapsed="false">
      <c r="A2138" s="10" t="s">
        <v>4479</v>
      </c>
      <c r="B2138" s="10" t="s">
        <v>96</v>
      </c>
      <c r="C2138" s="10" t="s">
        <v>50</v>
      </c>
      <c r="D2138" s="10" t="s">
        <v>424</v>
      </c>
      <c r="E2138" s="10" t="s">
        <v>2342</v>
      </c>
      <c r="F2138" s="30" t="n">
        <v>42883</v>
      </c>
      <c r="G2138" s="30" t="n">
        <v>42891</v>
      </c>
      <c r="H2138" s="26" t="n">
        <f aca="false">G2138-F2138</f>
        <v>8</v>
      </c>
      <c r="I2138" s="10" t="n">
        <f aca="false">IF(E2138="Won",1,0)</f>
        <v>1</v>
      </c>
    </row>
    <row r="2139" customFormat="false" ht="15" hidden="false" customHeight="false" outlineLevel="0" collapsed="false">
      <c r="A2139" s="10" t="s">
        <v>4480</v>
      </c>
      <c r="B2139" s="10" t="s">
        <v>93</v>
      </c>
      <c r="C2139" s="10" t="s">
        <v>49</v>
      </c>
      <c r="D2139" s="10" t="s">
        <v>344</v>
      </c>
      <c r="E2139" s="10" t="s">
        <v>2342</v>
      </c>
      <c r="F2139" s="30" t="n">
        <v>42793</v>
      </c>
      <c r="G2139" s="30" t="n">
        <v>42891</v>
      </c>
      <c r="H2139" s="26" t="n">
        <f aca="false">G2139-F2139</f>
        <v>98</v>
      </c>
      <c r="I2139" s="10" t="n">
        <f aca="false">IF(E2139="Won",1,0)</f>
        <v>1</v>
      </c>
    </row>
    <row r="2140" customFormat="false" ht="15" hidden="false" customHeight="false" outlineLevel="0" collapsed="false">
      <c r="A2140" s="10" t="s">
        <v>4481</v>
      </c>
      <c r="B2140" s="10" t="s">
        <v>97</v>
      </c>
      <c r="C2140" s="10" t="s">
        <v>48</v>
      </c>
      <c r="D2140" s="10" t="s">
        <v>210</v>
      </c>
      <c r="E2140" s="10" t="s">
        <v>2342</v>
      </c>
      <c r="F2140" s="30" t="n">
        <v>42885</v>
      </c>
      <c r="G2140" s="30" t="n">
        <v>42891</v>
      </c>
      <c r="H2140" s="26" t="n">
        <f aca="false">G2140-F2140</f>
        <v>6</v>
      </c>
      <c r="I2140" s="10" t="n">
        <f aca="false">IF(E2140="Won",1,0)</f>
        <v>1</v>
      </c>
    </row>
    <row r="2141" customFormat="false" ht="15" hidden="false" customHeight="false" outlineLevel="0" collapsed="false">
      <c r="A2141" s="10" t="s">
        <v>4482</v>
      </c>
      <c r="B2141" s="10" t="s">
        <v>73</v>
      </c>
      <c r="C2141" s="10" t="s">
        <v>52</v>
      </c>
      <c r="D2141" s="10" t="s">
        <v>1948</v>
      </c>
      <c r="E2141" s="10" t="s">
        <v>2345</v>
      </c>
      <c r="F2141" s="30" t="n">
        <v>42790</v>
      </c>
      <c r="G2141" s="30" t="n">
        <v>42891</v>
      </c>
      <c r="H2141" s="26" t="n">
        <f aca="false">G2141-F2141</f>
        <v>101</v>
      </c>
      <c r="I2141" s="10" t="n">
        <f aca="false">IF(E2141="Won",1,0)</f>
        <v>0</v>
      </c>
    </row>
    <row r="2142" customFormat="false" ht="15" hidden="false" customHeight="false" outlineLevel="0" collapsed="false">
      <c r="A2142" s="10" t="s">
        <v>4483</v>
      </c>
      <c r="B2142" s="10" t="s">
        <v>70</v>
      </c>
      <c r="C2142" s="10" t="s">
        <v>52</v>
      </c>
      <c r="D2142" s="10" t="s">
        <v>337</v>
      </c>
      <c r="E2142" s="10" t="s">
        <v>2342</v>
      </c>
      <c r="F2142" s="30" t="n">
        <v>42764</v>
      </c>
      <c r="G2142" s="30" t="n">
        <v>42891</v>
      </c>
      <c r="H2142" s="26" t="n">
        <f aca="false">G2142-F2142</f>
        <v>127</v>
      </c>
      <c r="I2142" s="10" t="n">
        <f aca="false">IF(E2142="Won",1,0)</f>
        <v>1</v>
      </c>
    </row>
    <row r="2143" customFormat="false" ht="15" hidden="false" customHeight="false" outlineLevel="0" collapsed="false">
      <c r="A2143" s="10" t="s">
        <v>4484</v>
      </c>
      <c r="B2143" s="10" t="s">
        <v>77</v>
      </c>
      <c r="C2143" s="10" t="s">
        <v>49</v>
      </c>
      <c r="D2143" s="10" t="s">
        <v>512</v>
      </c>
      <c r="E2143" s="10" t="s">
        <v>2342</v>
      </c>
      <c r="F2143" s="30" t="n">
        <v>42809</v>
      </c>
      <c r="G2143" s="30" t="n">
        <v>42891</v>
      </c>
      <c r="H2143" s="26" t="n">
        <f aca="false">G2143-F2143</f>
        <v>82</v>
      </c>
      <c r="I2143" s="10" t="n">
        <f aca="false">IF(E2143="Won",1,0)</f>
        <v>1</v>
      </c>
    </row>
    <row r="2144" customFormat="false" ht="15" hidden="false" customHeight="false" outlineLevel="0" collapsed="false">
      <c r="A2144" s="10" t="s">
        <v>4485</v>
      </c>
      <c r="B2144" s="10" t="s">
        <v>60</v>
      </c>
      <c r="C2144" s="10" t="s">
        <v>47</v>
      </c>
      <c r="D2144" s="10" t="s">
        <v>210</v>
      </c>
      <c r="E2144" s="10" t="s">
        <v>2342</v>
      </c>
      <c r="F2144" s="30" t="n">
        <v>42755</v>
      </c>
      <c r="G2144" s="30" t="n">
        <v>42891</v>
      </c>
      <c r="H2144" s="26" t="n">
        <f aca="false">G2144-F2144</f>
        <v>136</v>
      </c>
      <c r="I2144" s="10" t="n">
        <f aca="false">IF(E2144="Won",1,0)</f>
        <v>1</v>
      </c>
    </row>
    <row r="2145" customFormat="false" ht="15" hidden="false" customHeight="false" outlineLevel="0" collapsed="false">
      <c r="A2145" s="10" t="s">
        <v>4486</v>
      </c>
      <c r="B2145" s="10" t="s">
        <v>97</v>
      </c>
      <c r="C2145" s="10" t="s">
        <v>52</v>
      </c>
      <c r="D2145" s="10" t="s">
        <v>606</v>
      </c>
      <c r="E2145" s="10" t="s">
        <v>2342</v>
      </c>
      <c r="F2145" s="30" t="n">
        <v>42811</v>
      </c>
      <c r="G2145" s="30" t="n">
        <v>42891</v>
      </c>
      <c r="H2145" s="26" t="n">
        <f aca="false">G2145-F2145</f>
        <v>80</v>
      </c>
      <c r="I2145" s="10" t="n">
        <f aca="false">IF(E2145="Won",1,0)</f>
        <v>1</v>
      </c>
    </row>
    <row r="2146" customFormat="false" ht="15" hidden="false" customHeight="false" outlineLevel="0" collapsed="false">
      <c r="A2146" s="10" t="s">
        <v>4487</v>
      </c>
      <c r="B2146" s="10" t="s">
        <v>73</v>
      </c>
      <c r="C2146" s="10" t="s">
        <v>51</v>
      </c>
      <c r="D2146" s="10" t="s">
        <v>947</v>
      </c>
      <c r="E2146" s="10" t="s">
        <v>2342</v>
      </c>
      <c r="F2146" s="30" t="n">
        <v>42880</v>
      </c>
      <c r="G2146" s="30" t="n">
        <v>42891</v>
      </c>
      <c r="H2146" s="26" t="n">
        <f aca="false">G2146-F2146</f>
        <v>11</v>
      </c>
      <c r="I2146" s="10" t="n">
        <f aca="false">IF(E2146="Won",1,0)</f>
        <v>1</v>
      </c>
    </row>
    <row r="2147" customFormat="false" ht="15" hidden="false" customHeight="false" outlineLevel="0" collapsed="false">
      <c r="A2147" s="10" t="s">
        <v>4488</v>
      </c>
      <c r="B2147" s="10" t="s">
        <v>90</v>
      </c>
      <c r="C2147" s="10" t="s">
        <v>49</v>
      </c>
      <c r="D2147" s="10" t="s">
        <v>441</v>
      </c>
      <c r="E2147" s="10" t="s">
        <v>2342</v>
      </c>
      <c r="F2147" s="30" t="n">
        <v>42776</v>
      </c>
      <c r="G2147" s="30" t="n">
        <v>42891</v>
      </c>
      <c r="H2147" s="26" t="n">
        <f aca="false">G2147-F2147</f>
        <v>115</v>
      </c>
      <c r="I2147" s="10" t="n">
        <f aca="false">IF(E2147="Won",1,0)</f>
        <v>1</v>
      </c>
    </row>
    <row r="2148" customFormat="false" ht="15" hidden="false" customHeight="false" outlineLevel="0" collapsed="false">
      <c r="A2148" s="10" t="s">
        <v>4489</v>
      </c>
      <c r="B2148" s="10" t="s">
        <v>83</v>
      </c>
      <c r="C2148" s="10" t="s">
        <v>52</v>
      </c>
      <c r="D2148" s="10" t="s">
        <v>210</v>
      </c>
      <c r="E2148" s="10" t="s">
        <v>2342</v>
      </c>
      <c r="F2148" s="30" t="n">
        <v>42851</v>
      </c>
      <c r="G2148" s="30" t="n">
        <v>42891</v>
      </c>
      <c r="H2148" s="26" t="n">
        <f aca="false">G2148-F2148</f>
        <v>40</v>
      </c>
      <c r="I2148" s="10" t="n">
        <f aca="false">IF(E2148="Won",1,0)</f>
        <v>1</v>
      </c>
    </row>
    <row r="2149" customFormat="false" ht="15" hidden="false" customHeight="false" outlineLevel="0" collapsed="false">
      <c r="A2149" s="10" t="s">
        <v>4490</v>
      </c>
      <c r="B2149" s="10" t="s">
        <v>97</v>
      </c>
      <c r="C2149" s="10" t="s">
        <v>48</v>
      </c>
      <c r="D2149" s="10" t="s">
        <v>210</v>
      </c>
      <c r="E2149" s="10" t="s">
        <v>2342</v>
      </c>
      <c r="F2149" s="30" t="n">
        <v>42886</v>
      </c>
      <c r="G2149" s="30" t="n">
        <v>42891</v>
      </c>
      <c r="H2149" s="26" t="n">
        <f aca="false">G2149-F2149</f>
        <v>5</v>
      </c>
      <c r="I2149" s="10" t="n">
        <f aca="false">IF(E2149="Won",1,0)</f>
        <v>1</v>
      </c>
    </row>
    <row r="2150" customFormat="false" ht="15" hidden="false" customHeight="false" outlineLevel="0" collapsed="false">
      <c r="A2150" s="10" t="s">
        <v>4491</v>
      </c>
      <c r="B2150" s="10" t="s">
        <v>71</v>
      </c>
      <c r="C2150" s="10" t="s">
        <v>52</v>
      </c>
      <c r="D2150" s="10" t="s">
        <v>321</v>
      </c>
      <c r="E2150" s="10" t="s">
        <v>2342</v>
      </c>
      <c r="F2150" s="30" t="n">
        <v>42818</v>
      </c>
      <c r="G2150" s="30" t="n">
        <v>42892</v>
      </c>
      <c r="H2150" s="26" t="n">
        <f aca="false">G2150-F2150</f>
        <v>74</v>
      </c>
      <c r="I2150" s="10" t="n">
        <f aca="false">IF(E2150="Won",1,0)</f>
        <v>1</v>
      </c>
    </row>
    <row r="2151" customFormat="false" ht="15" hidden="false" customHeight="false" outlineLevel="0" collapsed="false">
      <c r="A2151" s="10" t="s">
        <v>4492</v>
      </c>
      <c r="B2151" s="10" t="s">
        <v>57</v>
      </c>
      <c r="C2151" s="10" t="s">
        <v>51</v>
      </c>
      <c r="D2151" s="10" t="s">
        <v>332</v>
      </c>
      <c r="E2151" s="10" t="s">
        <v>2342</v>
      </c>
      <c r="F2151" s="30" t="n">
        <v>42755</v>
      </c>
      <c r="G2151" s="30" t="n">
        <v>42892</v>
      </c>
      <c r="H2151" s="26" t="n">
        <f aca="false">G2151-F2151</f>
        <v>137</v>
      </c>
      <c r="I2151" s="10" t="n">
        <f aca="false">IF(E2151="Won",1,0)</f>
        <v>1</v>
      </c>
    </row>
    <row r="2152" customFormat="false" ht="15" hidden="false" customHeight="false" outlineLevel="0" collapsed="false">
      <c r="A2152" s="10" t="s">
        <v>4493</v>
      </c>
      <c r="B2152" s="10" t="s">
        <v>93</v>
      </c>
      <c r="C2152" s="10" t="s">
        <v>47</v>
      </c>
      <c r="D2152" s="10" t="s">
        <v>497</v>
      </c>
      <c r="E2152" s="10" t="s">
        <v>2342</v>
      </c>
      <c r="F2152" s="30" t="n">
        <v>42762</v>
      </c>
      <c r="G2152" s="30" t="n">
        <v>42892</v>
      </c>
      <c r="H2152" s="26" t="n">
        <f aca="false">G2152-F2152</f>
        <v>130</v>
      </c>
      <c r="I2152" s="10" t="n">
        <f aca="false">IF(E2152="Won",1,0)</f>
        <v>1</v>
      </c>
    </row>
    <row r="2153" customFormat="false" ht="15" hidden="false" customHeight="false" outlineLevel="0" collapsed="false">
      <c r="A2153" s="10" t="s">
        <v>4494</v>
      </c>
      <c r="B2153" s="10" t="s">
        <v>97</v>
      </c>
      <c r="C2153" s="10" t="s">
        <v>48</v>
      </c>
      <c r="D2153" s="10" t="s">
        <v>199</v>
      </c>
      <c r="E2153" s="10" t="s">
        <v>2342</v>
      </c>
      <c r="F2153" s="30" t="n">
        <v>42884</v>
      </c>
      <c r="G2153" s="30" t="n">
        <v>42892</v>
      </c>
      <c r="H2153" s="26" t="n">
        <f aca="false">G2153-F2153</f>
        <v>8</v>
      </c>
      <c r="I2153" s="10" t="n">
        <f aca="false">IF(E2153="Won",1,0)</f>
        <v>1</v>
      </c>
    </row>
    <row r="2154" customFormat="false" ht="15" hidden="false" customHeight="false" outlineLevel="0" collapsed="false">
      <c r="A2154" s="10" t="s">
        <v>4495</v>
      </c>
      <c r="B2154" s="10" t="s">
        <v>62</v>
      </c>
      <c r="C2154" s="10" t="s">
        <v>52</v>
      </c>
      <c r="D2154" s="10" t="s">
        <v>378</v>
      </c>
      <c r="E2154" s="10" t="s">
        <v>2342</v>
      </c>
      <c r="F2154" s="30" t="n">
        <v>42809</v>
      </c>
      <c r="G2154" s="30" t="n">
        <v>42892</v>
      </c>
      <c r="H2154" s="26" t="n">
        <f aca="false">G2154-F2154</f>
        <v>83</v>
      </c>
      <c r="I2154" s="10" t="n">
        <f aca="false">IF(E2154="Won",1,0)</f>
        <v>1</v>
      </c>
    </row>
    <row r="2155" customFormat="false" ht="15" hidden="false" customHeight="false" outlineLevel="0" collapsed="false">
      <c r="A2155" s="10" t="s">
        <v>4496</v>
      </c>
      <c r="B2155" s="10" t="s">
        <v>57</v>
      </c>
      <c r="C2155" s="10" t="s">
        <v>48</v>
      </c>
      <c r="D2155" s="10" t="s">
        <v>350</v>
      </c>
      <c r="E2155" s="10" t="s">
        <v>2342</v>
      </c>
      <c r="F2155" s="30" t="n">
        <v>42885</v>
      </c>
      <c r="G2155" s="30" t="n">
        <v>42892</v>
      </c>
      <c r="H2155" s="26" t="n">
        <f aca="false">G2155-F2155</f>
        <v>7</v>
      </c>
      <c r="I2155" s="10" t="n">
        <f aca="false">IF(E2155="Won",1,0)</f>
        <v>1</v>
      </c>
    </row>
    <row r="2156" customFormat="false" ht="15" hidden="false" customHeight="false" outlineLevel="0" collapsed="false">
      <c r="A2156" s="10" t="s">
        <v>4497</v>
      </c>
      <c r="B2156" s="10" t="s">
        <v>74</v>
      </c>
      <c r="C2156" s="10" t="s">
        <v>52</v>
      </c>
      <c r="D2156" s="10" t="s">
        <v>210</v>
      </c>
      <c r="E2156" s="10" t="s">
        <v>2342</v>
      </c>
      <c r="F2156" s="30" t="n">
        <v>42822</v>
      </c>
      <c r="G2156" s="30" t="n">
        <v>42892</v>
      </c>
      <c r="H2156" s="26" t="n">
        <f aca="false">G2156-F2156</f>
        <v>70</v>
      </c>
      <c r="I2156" s="10" t="n">
        <f aca="false">IF(E2156="Won",1,0)</f>
        <v>1</v>
      </c>
    </row>
    <row r="2157" customFormat="false" ht="15" hidden="false" customHeight="false" outlineLevel="0" collapsed="false">
      <c r="A2157" s="10" t="s">
        <v>4498</v>
      </c>
      <c r="B2157" s="10" t="s">
        <v>74</v>
      </c>
      <c r="C2157" s="10" t="s">
        <v>51</v>
      </c>
      <c r="D2157" s="10" t="s">
        <v>267</v>
      </c>
      <c r="E2157" s="10" t="s">
        <v>2342</v>
      </c>
      <c r="F2157" s="30" t="n">
        <v>42799</v>
      </c>
      <c r="G2157" s="30" t="n">
        <v>42892</v>
      </c>
      <c r="H2157" s="26" t="n">
        <f aca="false">G2157-F2157</f>
        <v>93</v>
      </c>
      <c r="I2157" s="10" t="n">
        <f aca="false">IF(E2157="Won",1,0)</f>
        <v>1</v>
      </c>
    </row>
    <row r="2158" customFormat="false" ht="15" hidden="false" customHeight="false" outlineLevel="0" collapsed="false">
      <c r="A2158" s="10" t="s">
        <v>4499</v>
      </c>
      <c r="B2158" s="10" t="s">
        <v>94</v>
      </c>
      <c r="C2158" s="10" t="s">
        <v>51</v>
      </c>
      <c r="D2158" s="10" t="s">
        <v>344</v>
      </c>
      <c r="E2158" s="10" t="s">
        <v>2342</v>
      </c>
      <c r="F2158" s="30" t="n">
        <v>42805</v>
      </c>
      <c r="G2158" s="30" t="n">
        <v>42892</v>
      </c>
      <c r="H2158" s="26" t="n">
        <f aca="false">G2158-F2158</f>
        <v>87</v>
      </c>
      <c r="I2158" s="10" t="n">
        <f aca="false">IF(E2158="Won",1,0)</f>
        <v>1</v>
      </c>
    </row>
    <row r="2159" customFormat="false" ht="15" hidden="false" customHeight="false" outlineLevel="0" collapsed="false">
      <c r="A2159" s="10" t="s">
        <v>4500</v>
      </c>
      <c r="B2159" s="10" t="s">
        <v>87</v>
      </c>
      <c r="C2159" s="10" t="s">
        <v>48</v>
      </c>
      <c r="D2159" s="10" t="s">
        <v>161</v>
      </c>
      <c r="E2159" s="10" t="s">
        <v>2342</v>
      </c>
      <c r="F2159" s="30" t="n">
        <v>42889</v>
      </c>
      <c r="G2159" s="30" t="n">
        <v>42892</v>
      </c>
      <c r="H2159" s="26" t="n">
        <f aca="false">G2159-F2159</f>
        <v>3</v>
      </c>
      <c r="I2159" s="10" t="n">
        <f aca="false">IF(E2159="Won",1,0)</f>
        <v>1</v>
      </c>
    </row>
    <row r="2160" customFormat="false" ht="15" hidden="false" customHeight="false" outlineLevel="0" collapsed="false">
      <c r="A2160" s="10" t="s">
        <v>4501</v>
      </c>
      <c r="B2160" s="10" t="s">
        <v>66</v>
      </c>
      <c r="C2160" s="10" t="s">
        <v>51</v>
      </c>
      <c r="D2160" s="10" t="s">
        <v>506</v>
      </c>
      <c r="E2160" s="10" t="s">
        <v>2342</v>
      </c>
      <c r="F2160" s="30" t="n">
        <v>42876</v>
      </c>
      <c r="G2160" s="30" t="n">
        <v>42892</v>
      </c>
      <c r="H2160" s="26" t="n">
        <f aca="false">G2160-F2160</f>
        <v>16</v>
      </c>
      <c r="I2160" s="10" t="n">
        <f aca="false">IF(E2160="Won",1,0)</f>
        <v>1</v>
      </c>
    </row>
    <row r="2161" customFormat="false" ht="15" hidden="false" customHeight="false" outlineLevel="0" collapsed="false">
      <c r="A2161" s="10" t="s">
        <v>4502</v>
      </c>
      <c r="B2161" s="10" t="s">
        <v>93</v>
      </c>
      <c r="C2161" s="10" t="s">
        <v>48</v>
      </c>
      <c r="D2161" s="10" t="s">
        <v>606</v>
      </c>
      <c r="E2161" s="10" t="s">
        <v>2342</v>
      </c>
      <c r="F2161" s="30" t="n">
        <v>42829</v>
      </c>
      <c r="G2161" s="30" t="n">
        <v>42892</v>
      </c>
      <c r="H2161" s="26" t="n">
        <f aca="false">G2161-F2161</f>
        <v>63</v>
      </c>
      <c r="I2161" s="10" t="n">
        <f aca="false">IF(E2161="Won",1,0)</f>
        <v>1</v>
      </c>
    </row>
    <row r="2162" customFormat="false" ht="15" hidden="false" customHeight="false" outlineLevel="0" collapsed="false">
      <c r="A2162" s="10" t="s">
        <v>4503</v>
      </c>
      <c r="B2162" s="10" t="s">
        <v>80</v>
      </c>
      <c r="C2162" s="10" t="s">
        <v>51</v>
      </c>
      <c r="D2162" s="10" t="s">
        <v>321</v>
      </c>
      <c r="E2162" s="10" t="s">
        <v>2342</v>
      </c>
      <c r="F2162" s="30" t="n">
        <v>42796</v>
      </c>
      <c r="G2162" s="30" t="n">
        <v>42892</v>
      </c>
      <c r="H2162" s="26" t="n">
        <f aca="false">G2162-F2162</f>
        <v>96</v>
      </c>
      <c r="I2162" s="10" t="n">
        <f aca="false">IF(E2162="Won",1,0)</f>
        <v>1</v>
      </c>
    </row>
    <row r="2163" customFormat="false" ht="15" hidden="false" customHeight="false" outlineLevel="0" collapsed="false">
      <c r="A2163" s="10" t="s">
        <v>4504</v>
      </c>
      <c r="B2163" s="10" t="s">
        <v>94</v>
      </c>
      <c r="C2163" s="10" t="s">
        <v>51</v>
      </c>
      <c r="D2163" s="10" t="s">
        <v>483</v>
      </c>
      <c r="E2163" s="10" t="s">
        <v>2342</v>
      </c>
      <c r="F2163" s="30" t="n">
        <v>42871</v>
      </c>
      <c r="G2163" s="30" t="n">
        <v>42892</v>
      </c>
      <c r="H2163" s="26" t="n">
        <f aca="false">G2163-F2163</f>
        <v>21</v>
      </c>
      <c r="I2163" s="10" t="n">
        <f aca="false">IF(E2163="Won",1,0)</f>
        <v>1</v>
      </c>
    </row>
    <row r="2164" customFormat="false" ht="15" hidden="false" customHeight="false" outlineLevel="0" collapsed="false">
      <c r="A2164" s="10" t="s">
        <v>4505</v>
      </c>
      <c r="B2164" s="10" t="s">
        <v>75</v>
      </c>
      <c r="C2164" s="10" t="s">
        <v>52</v>
      </c>
      <c r="D2164" s="10" t="s">
        <v>527</v>
      </c>
      <c r="E2164" s="10" t="s">
        <v>2342</v>
      </c>
      <c r="F2164" s="30" t="n">
        <v>42836</v>
      </c>
      <c r="G2164" s="30" t="n">
        <v>42892</v>
      </c>
      <c r="H2164" s="26" t="n">
        <f aca="false">G2164-F2164</f>
        <v>56</v>
      </c>
      <c r="I2164" s="10" t="n">
        <f aca="false">IF(E2164="Won",1,0)</f>
        <v>1</v>
      </c>
    </row>
    <row r="2165" customFormat="false" ht="15" hidden="false" customHeight="false" outlineLevel="0" collapsed="false">
      <c r="A2165" s="10" t="s">
        <v>4506</v>
      </c>
      <c r="B2165" s="10" t="s">
        <v>83</v>
      </c>
      <c r="C2165" s="10" t="s">
        <v>51</v>
      </c>
      <c r="D2165" s="10" t="s">
        <v>291</v>
      </c>
      <c r="E2165" s="10" t="s">
        <v>2342</v>
      </c>
      <c r="F2165" s="30" t="n">
        <v>42842</v>
      </c>
      <c r="G2165" s="30" t="n">
        <v>42892</v>
      </c>
      <c r="H2165" s="26" t="n">
        <f aca="false">G2165-F2165</f>
        <v>50</v>
      </c>
      <c r="I2165" s="10" t="n">
        <f aca="false">IF(E2165="Won",1,0)</f>
        <v>1</v>
      </c>
    </row>
    <row r="2166" customFormat="false" ht="15" hidden="false" customHeight="false" outlineLevel="0" collapsed="false">
      <c r="A2166" s="10" t="s">
        <v>4507</v>
      </c>
      <c r="B2166" s="10" t="s">
        <v>87</v>
      </c>
      <c r="C2166" s="10" t="s">
        <v>50</v>
      </c>
      <c r="D2166" s="10" t="s">
        <v>616</v>
      </c>
      <c r="E2166" s="10" t="s">
        <v>2342</v>
      </c>
      <c r="F2166" s="30" t="n">
        <v>42841</v>
      </c>
      <c r="G2166" s="30" t="n">
        <v>42892</v>
      </c>
      <c r="H2166" s="26" t="n">
        <f aca="false">G2166-F2166</f>
        <v>51</v>
      </c>
      <c r="I2166" s="10" t="n">
        <f aca="false">IF(E2166="Won",1,0)</f>
        <v>1</v>
      </c>
    </row>
    <row r="2167" customFormat="false" ht="15" hidden="false" customHeight="false" outlineLevel="0" collapsed="false">
      <c r="A2167" s="10" t="s">
        <v>4508</v>
      </c>
      <c r="B2167" s="10" t="s">
        <v>60</v>
      </c>
      <c r="C2167" s="10" t="s">
        <v>48</v>
      </c>
      <c r="D2167" s="10" t="s">
        <v>350</v>
      </c>
      <c r="E2167" s="10" t="s">
        <v>2342</v>
      </c>
      <c r="F2167" s="30" t="n">
        <v>42808</v>
      </c>
      <c r="G2167" s="30" t="n">
        <v>42892</v>
      </c>
      <c r="H2167" s="26" t="n">
        <f aca="false">G2167-F2167</f>
        <v>84</v>
      </c>
      <c r="I2167" s="10" t="n">
        <f aca="false">IF(E2167="Won",1,0)</f>
        <v>1</v>
      </c>
    </row>
    <row r="2168" customFormat="false" ht="15" hidden="false" customHeight="false" outlineLevel="0" collapsed="false">
      <c r="A2168" s="10" t="s">
        <v>4509</v>
      </c>
      <c r="B2168" s="10" t="s">
        <v>70</v>
      </c>
      <c r="C2168" s="10" t="s">
        <v>51</v>
      </c>
      <c r="D2168" s="10" t="s">
        <v>483</v>
      </c>
      <c r="E2168" s="10" t="s">
        <v>2342</v>
      </c>
      <c r="F2168" s="30" t="n">
        <v>42837</v>
      </c>
      <c r="G2168" s="30" t="n">
        <v>42892</v>
      </c>
      <c r="H2168" s="26" t="n">
        <f aca="false">G2168-F2168</f>
        <v>55</v>
      </c>
      <c r="I2168" s="10" t="n">
        <f aca="false">IF(E2168="Won",1,0)</f>
        <v>1</v>
      </c>
    </row>
    <row r="2169" customFormat="false" ht="15" hidden="false" customHeight="false" outlineLevel="0" collapsed="false">
      <c r="A2169" s="10" t="s">
        <v>4510</v>
      </c>
      <c r="B2169" s="10" t="s">
        <v>81</v>
      </c>
      <c r="C2169" s="10" t="s">
        <v>50</v>
      </c>
      <c r="D2169" s="10" t="s">
        <v>961</v>
      </c>
      <c r="E2169" s="10" t="s">
        <v>2342</v>
      </c>
      <c r="F2169" s="30" t="n">
        <v>42765</v>
      </c>
      <c r="G2169" s="30" t="n">
        <v>42892</v>
      </c>
      <c r="H2169" s="26" t="n">
        <f aca="false">G2169-F2169</f>
        <v>127</v>
      </c>
      <c r="I2169" s="10" t="n">
        <f aca="false">IF(E2169="Won",1,0)</f>
        <v>1</v>
      </c>
    </row>
    <row r="2170" customFormat="false" ht="15" hidden="false" customHeight="false" outlineLevel="0" collapsed="false">
      <c r="A2170" s="10" t="s">
        <v>4511</v>
      </c>
      <c r="B2170" s="10" t="s">
        <v>62</v>
      </c>
      <c r="C2170" s="10" t="s">
        <v>49</v>
      </c>
      <c r="D2170" s="10" t="s">
        <v>1334</v>
      </c>
      <c r="E2170" s="10" t="s">
        <v>2342</v>
      </c>
      <c r="F2170" s="30" t="n">
        <v>42790</v>
      </c>
      <c r="G2170" s="30" t="n">
        <v>42892</v>
      </c>
      <c r="H2170" s="26" t="n">
        <f aca="false">G2170-F2170</f>
        <v>102</v>
      </c>
      <c r="I2170" s="10" t="n">
        <f aca="false">IF(E2170="Won",1,0)</f>
        <v>1</v>
      </c>
    </row>
    <row r="2171" customFormat="false" ht="15" hidden="false" customHeight="false" outlineLevel="0" collapsed="false">
      <c r="A2171" s="10" t="s">
        <v>4512</v>
      </c>
      <c r="B2171" s="10" t="s">
        <v>84</v>
      </c>
      <c r="C2171" s="10" t="s">
        <v>48</v>
      </c>
      <c r="D2171" s="10" t="s">
        <v>359</v>
      </c>
      <c r="E2171" s="10" t="s">
        <v>2342</v>
      </c>
      <c r="F2171" s="30" t="n">
        <v>42810</v>
      </c>
      <c r="G2171" s="30" t="n">
        <v>42892</v>
      </c>
      <c r="H2171" s="26" t="n">
        <f aca="false">G2171-F2171</f>
        <v>82</v>
      </c>
      <c r="I2171" s="10" t="n">
        <f aca="false">IF(E2171="Won",1,0)</f>
        <v>1</v>
      </c>
    </row>
    <row r="2172" customFormat="false" ht="15" hidden="false" customHeight="false" outlineLevel="0" collapsed="false">
      <c r="A2172" s="10" t="s">
        <v>4513</v>
      </c>
      <c r="B2172" s="10" t="s">
        <v>75</v>
      </c>
      <c r="C2172" s="10" t="s">
        <v>50</v>
      </c>
      <c r="D2172" s="10" t="s">
        <v>210</v>
      </c>
      <c r="E2172" s="10" t="s">
        <v>2342</v>
      </c>
      <c r="F2172" s="30" t="n">
        <v>42789</v>
      </c>
      <c r="G2172" s="30" t="n">
        <v>42892</v>
      </c>
      <c r="H2172" s="26" t="n">
        <f aca="false">G2172-F2172</f>
        <v>103</v>
      </c>
      <c r="I2172" s="10" t="n">
        <f aca="false">IF(E2172="Won",1,0)</f>
        <v>1</v>
      </c>
    </row>
    <row r="2173" customFormat="false" ht="15" hidden="false" customHeight="false" outlineLevel="0" collapsed="false">
      <c r="A2173" s="10" t="s">
        <v>4514</v>
      </c>
      <c r="B2173" s="10" t="s">
        <v>61</v>
      </c>
      <c r="C2173" s="10" t="s">
        <v>49</v>
      </c>
      <c r="D2173" s="10" t="s">
        <v>286</v>
      </c>
      <c r="E2173" s="10" t="s">
        <v>2345</v>
      </c>
      <c r="F2173" s="30" t="n">
        <v>42800</v>
      </c>
      <c r="G2173" s="30" t="n">
        <v>42892</v>
      </c>
      <c r="H2173" s="26" t="n">
        <f aca="false">G2173-F2173</f>
        <v>92</v>
      </c>
      <c r="I2173" s="10" t="n">
        <f aca="false">IF(E2173="Won",1,0)</f>
        <v>0</v>
      </c>
    </row>
    <row r="2174" customFormat="false" ht="15" hidden="false" customHeight="false" outlineLevel="0" collapsed="false">
      <c r="A2174" s="10" t="s">
        <v>4515</v>
      </c>
      <c r="B2174" s="10" t="s">
        <v>60</v>
      </c>
      <c r="C2174" s="10" t="s">
        <v>51</v>
      </c>
      <c r="D2174" s="10" t="s">
        <v>233</v>
      </c>
      <c r="E2174" s="10" t="s">
        <v>2342</v>
      </c>
      <c r="F2174" s="30" t="n">
        <v>42877</v>
      </c>
      <c r="G2174" s="30" t="n">
        <v>42892</v>
      </c>
      <c r="H2174" s="26" t="n">
        <f aca="false">G2174-F2174</f>
        <v>15</v>
      </c>
      <c r="I2174" s="10" t="n">
        <f aca="false">IF(E2174="Won",1,0)</f>
        <v>1</v>
      </c>
    </row>
    <row r="2175" customFormat="false" ht="15" hidden="false" customHeight="false" outlineLevel="0" collapsed="false">
      <c r="A2175" s="10" t="s">
        <v>4516</v>
      </c>
      <c r="B2175" s="10" t="s">
        <v>81</v>
      </c>
      <c r="C2175" s="10" t="s">
        <v>52</v>
      </c>
      <c r="D2175" s="10" t="s">
        <v>947</v>
      </c>
      <c r="E2175" s="10" t="s">
        <v>2342</v>
      </c>
      <c r="F2175" s="30" t="n">
        <v>42756</v>
      </c>
      <c r="G2175" s="30" t="n">
        <v>42892</v>
      </c>
      <c r="H2175" s="26" t="n">
        <f aca="false">G2175-F2175</f>
        <v>136</v>
      </c>
      <c r="I2175" s="10" t="n">
        <f aca="false">IF(E2175="Won",1,0)</f>
        <v>1</v>
      </c>
    </row>
    <row r="2176" customFormat="false" ht="15" hidden="false" customHeight="false" outlineLevel="0" collapsed="false">
      <c r="A2176" s="10" t="s">
        <v>4517</v>
      </c>
      <c r="B2176" s="10" t="s">
        <v>80</v>
      </c>
      <c r="C2176" s="10" t="s">
        <v>48</v>
      </c>
      <c r="D2176" s="10" t="s">
        <v>697</v>
      </c>
      <c r="E2176" s="10" t="s">
        <v>2342</v>
      </c>
      <c r="F2176" s="30" t="n">
        <v>42783</v>
      </c>
      <c r="G2176" s="30" t="n">
        <v>42893</v>
      </c>
      <c r="H2176" s="26" t="n">
        <f aca="false">G2176-F2176</f>
        <v>110</v>
      </c>
      <c r="I2176" s="10" t="n">
        <f aca="false">IF(E2176="Won",1,0)</f>
        <v>1</v>
      </c>
    </row>
    <row r="2177" customFormat="false" ht="15" hidden="false" customHeight="false" outlineLevel="0" collapsed="false">
      <c r="A2177" s="10" t="s">
        <v>4518</v>
      </c>
      <c r="B2177" s="10" t="s">
        <v>66</v>
      </c>
      <c r="C2177" s="10" t="s">
        <v>48</v>
      </c>
      <c r="D2177" s="10" t="s">
        <v>483</v>
      </c>
      <c r="E2177" s="10" t="s">
        <v>2342</v>
      </c>
      <c r="F2177" s="30" t="n">
        <v>42801</v>
      </c>
      <c r="G2177" s="30" t="n">
        <v>42893</v>
      </c>
      <c r="H2177" s="26" t="n">
        <f aca="false">G2177-F2177</f>
        <v>92</v>
      </c>
      <c r="I2177" s="10" t="n">
        <f aca="false">IF(E2177="Won",1,0)</f>
        <v>1</v>
      </c>
    </row>
    <row r="2178" customFormat="false" ht="15" hidden="false" customHeight="false" outlineLevel="0" collapsed="false">
      <c r="A2178" s="10" t="s">
        <v>4519</v>
      </c>
      <c r="B2178" s="10" t="s">
        <v>95</v>
      </c>
      <c r="C2178" s="10" t="s">
        <v>52</v>
      </c>
      <c r="D2178" s="10" t="s">
        <v>384</v>
      </c>
      <c r="E2178" s="10" t="s">
        <v>2342</v>
      </c>
      <c r="F2178" s="30" t="n">
        <v>42882</v>
      </c>
      <c r="G2178" s="30" t="n">
        <v>42893</v>
      </c>
      <c r="H2178" s="26" t="n">
        <f aca="false">G2178-F2178</f>
        <v>11</v>
      </c>
      <c r="I2178" s="10" t="n">
        <f aca="false">IF(E2178="Won",1,0)</f>
        <v>1</v>
      </c>
    </row>
    <row r="2179" customFormat="false" ht="15" hidden="false" customHeight="false" outlineLevel="0" collapsed="false">
      <c r="A2179" s="10" t="s">
        <v>4520</v>
      </c>
      <c r="B2179" s="10" t="s">
        <v>69</v>
      </c>
      <c r="C2179" s="10" t="s">
        <v>46</v>
      </c>
      <c r="D2179" s="10" t="s">
        <v>711</v>
      </c>
      <c r="E2179" s="10" t="s">
        <v>2342</v>
      </c>
      <c r="F2179" s="30" t="n">
        <v>42767</v>
      </c>
      <c r="G2179" s="30" t="n">
        <v>42893</v>
      </c>
      <c r="H2179" s="26" t="n">
        <f aca="false">G2179-F2179</f>
        <v>126</v>
      </c>
      <c r="I2179" s="10" t="n">
        <f aca="false">IF(E2179="Won",1,0)</f>
        <v>1</v>
      </c>
    </row>
    <row r="2180" customFormat="false" ht="15" hidden="false" customHeight="false" outlineLevel="0" collapsed="false">
      <c r="A2180" s="10" t="s">
        <v>4521</v>
      </c>
      <c r="B2180" s="10" t="s">
        <v>71</v>
      </c>
      <c r="C2180" s="10" t="s">
        <v>49</v>
      </c>
      <c r="D2180" s="10" t="s">
        <v>388</v>
      </c>
      <c r="E2180" s="10" t="s">
        <v>2342</v>
      </c>
      <c r="F2180" s="30" t="n">
        <v>42798</v>
      </c>
      <c r="G2180" s="30" t="n">
        <v>42893</v>
      </c>
      <c r="H2180" s="26" t="n">
        <f aca="false">G2180-F2180</f>
        <v>95</v>
      </c>
      <c r="I2180" s="10" t="n">
        <f aca="false">IF(E2180="Won",1,0)</f>
        <v>1</v>
      </c>
    </row>
    <row r="2181" customFormat="false" ht="15" hidden="false" customHeight="false" outlineLevel="0" collapsed="false">
      <c r="A2181" s="10" t="s">
        <v>4522</v>
      </c>
      <c r="B2181" s="10" t="s">
        <v>87</v>
      </c>
      <c r="C2181" s="10" t="s">
        <v>48</v>
      </c>
      <c r="D2181" s="10" t="s">
        <v>405</v>
      </c>
      <c r="E2181" s="10" t="s">
        <v>2342</v>
      </c>
      <c r="F2181" s="30" t="n">
        <v>42883</v>
      </c>
      <c r="G2181" s="30" t="n">
        <v>42893</v>
      </c>
      <c r="H2181" s="26" t="n">
        <f aca="false">G2181-F2181</f>
        <v>10</v>
      </c>
      <c r="I2181" s="10" t="n">
        <f aca="false">IF(E2181="Won",1,0)</f>
        <v>1</v>
      </c>
    </row>
    <row r="2182" customFormat="false" ht="15" hidden="false" customHeight="false" outlineLevel="0" collapsed="false">
      <c r="A2182" s="10" t="s">
        <v>4523</v>
      </c>
      <c r="B2182" s="10" t="s">
        <v>94</v>
      </c>
      <c r="C2182" s="10" t="s">
        <v>49</v>
      </c>
      <c r="D2182" s="10" t="s">
        <v>233</v>
      </c>
      <c r="E2182" s="10" t="s">
        <v>2342</v>
      </c>
      <c r="F2182" s="30" t="n">
        <v>42813</v>
      </c>
      <c r="G2182" s="30" t="n">
        <v>42893</v>
      </c>
      <c r="H2182" s="26" t="n">
        <f aca="false">G2182-F2182</f>
        <v>80</v>
      </c>
      <c r="I2182" s="10" t="n">
        <f aca="false">IF(E2182="Won",1,0)</f>
        <v>1</v>
      </c>
    </row>
    <row r="2183" customFormat="false" ht="15" hidden="false" customHeight="false" outlineLevel="0" collapsed="false">
      <c r="A2183" s="10" t="s">
        <v>4524</v>
      </c>
      <c r="B2183" s="10" t="s">
        <v>77</v>
      </c>
      <c r="C2183" s="10" t="s">
        <v>48</v>
      </c>
      <c r="D2183" s="10" t="s">
        <v>697</v>
      </c>
      <c r="E2183" s="10" t="s">
        <v>2342</v>
      </c>
      <c r="F2183" s="30" t="n">
        <v>42873</v>
      </c>
      <c r="G2183" s="30" t="n">
        <v>42893</v>
      </c>
      <c r="H2183" s="26" t="n">
        <f aca="false">G2183-F2183</f>
        <v>20</v>
      </c>
      <c r="I2183" s="10" t="n">
        <f aca="false">IF(E2183="Won",1,0)</f>
        <v>1</v>
      </c>
    </row>
    <row r="2184" customFormat="false" ht="15" hidden="false" customHeight="false" outlineLevel="0" collapsed="false">
      <c r="A2184" s="10" t="s">
        <v>4525</v>
      </c>
      <c r="B2184" s="10" t="s">
        <v>66</v>
      </c>
      <c r="C2184" s="10" t="s">
        <v>51</v>
      </c>
      <c r="D2184" s="10" t="s">
        <v>233</v>
      </c>
      <c r="E2184" s="10" t="s">
        <v>2342</v>
      </c>
      <c r="F2184" s="30" t="n">
        <v>42757</v>
      </c>
      <c r="G2184" s="30" t="n">
        <v>42893</v>
      </c>
      <c r="H2184" s="26" t="n">
        <f aca="false">G2184-F2184</f>
        <v>136</v>
      </c>
      <c r="I2184" s="10" t="n">
        <f aca="false">IF(E2184="Won",1,0)</f>
        <v>1</v>
      </c>
    </row>
    <row r="2185" customFormat="false" ht="15" hidden="false" customHeight="false" outlineLevel="0" collapsed="false">
      <c r="A2185" s="10" t="s">
        <v>4526</v>
      </c>
      <c r="B2185" s="10" t="s">
        <v>71</v>
      </c>
      <c r="C2185" s="10" t="s">
        <v>52</v>
      </c>
      <c r="D2185" s="10" t="s">
        <v>527</v>
      </c>
      <c r="E2185" s="10" t="s">
        <v>2342</v>
      </c>
      <c r="F2185" s="30" t="n">
        <v>42778</v>
      </c>
      <c r="G2185" s="30" t="n">
        <v>42893</v>
      </c>
      <c r="H2185" s="26" t="n">
        <f aca="false">G2185-F2185</f>
        <v>115</v>
      </c>
      <c r="I2185" s="10" t="n">
        <f aca="false">IF(E2185="Won",1,0)</f>
        <v>1</v>
      </c>
    </row>
    <row r="2186" customFormat="false" ht="15" hidden="false" customHeight="false" outlineLevel="0" collapsed="false">
      <c r="A2186" s="10" t="s">
        <v>4527</v>
      </c>
      <c r="B2186" s="10" t="s">
        <v>70</v>
      </c>
      <c r="C2186" s="10" t="s">
        <v>52</v>
      </c>
      <c r="D2186" s="10" t="s">
        <v>303</v>
      </c>
      <c r="E2186" s="10" t="s">
        <v>2342</v>
      </c>
      <c r="F2186" s="30" t="n">
        <v>42877</v>
      </c>
      <c r="G2186" s="30" t="n">
        <v>42893</v>
      </c>
      <c r="H2186" s="26" t="n">
        <f aca="false">G2186-F2186</f>
        <v>16</v>
      </c>
      <c r="I2186" s="10" t="n">
        <f aca="false">IF(E2186="Won",1,0)</f>
        <v>1</v>
      </c>
    </row>
    <row r="2187" customFormat="false" ht="15" hidden="false" customHeight="false" outlineLevel="0" collapsed="false">
      <c r="A2187" s="10" t="s">
        <v>4528</v>
      </c>
      <c r="B2187" s="10" t="s">
        <v>94</v>
      </c>
      <c r="C2187" s="10" t="s">
        <v>50</v>
      </c>
      <c r="D2187" s="10" t="s">
        <v>210</v>
      </c>
      <c r="E2187" s="10" t="s">
        <v>2342</v>
      </c>
      <c r="F2187" s="30" t="n">
        <v>42774</v>
      </c>
      <c r="G2187" s="30" t="n">
        <v>42893</v>
      </c>
      <c r="H2187" s="26" t="n">
        <f aca="false">G2187-F2187</f>
        <v>119</v>
      </c>
      <c r="I2187" s="10" t="n">
        <f aca="false">IF(E2187="Won",1,0)</f>
        <v>1</v>
      </c>
    </row>
    <row r="2188" customFormat="false" ht="15" hidden="false" customHeight="false" outlineLevel="0" collapsed="false">
      <c r="A2188" s="10" t="s">
        <v>4529</v>
      </c>
      <c r="B2188" s="10" t="s">
        <v>83</v>
      </c>
      <c r="C2188" s="10" t="s">
        <v>50</v>
      </c>
      <c r="D2188" s="10" t="s">
        <v>311</v>
      </c>
      <c r="E2188" s="10" t="s">
        <v>2342</v>
      </c>
      <c r="F2188" s="30" t="n">
        <v>42869</v>
      </c>
      <c r="G2188" s="30" t="n">
        <v>42893</v>
      </c>
      <c r="H2188" s="26" t="n">
        <f aca="false">G2188-F2188</f>
        <v>24</v>
      </c>
      <c r="I2188" s="10" t="n">
        <f aca="false">IF(E2188="Won",1,0)</f>
        <v>1</v>
      </c>
    </row>
    <row r="2189" customFormat="false" ht="15" hidden="false" customHeight="false" outlineLevel="0" collapsed="false">
      <c r="A2189" s="10" t="s">
        <v>4530</v>
      </c>
      <c r="B2189" s="10" t="s">
        <v>77</v>
      </c>
      <c r="C2189" s="10" t="s">
        <v>48</v>
      </c>
      <c r="D2189" s="10" t="s">
        <v>279</v>
      </c>
      <c r="E2189" s="10" t="s">
        <v>2342</v>
      </c>
      <c r="F2189" s="30" t="n">
        <v>42850</v>
      </c>
      <c r="G2189" s="30" t="n">
        <v>42893</v>
      </c>
      <c r="H2189" s="26" t="n">
        <f aca="false">G2189-F2189</f>
        <v>43</v>
      </c>
      <c r="I2189" s="10" t="n">
        <f aca="false">IF(E2189="Won",1,0)</f>
        <v>1</v>
      </c>
    </row>
    <row r="2190" customFormat="false" ht="15" hidden="false" customHeight="false" outlineLevel="0" collapsed="false">
      <c r="A2190" s="10" t="s">
        <v>4531</v>
      </c>
      <c r="B2190" s="10" t="s">
        <v>86</v>
      </c>
      <c r="C2190" s="10" t="s">
        <v>48</v>
      </c>
      <c r="D2190" s="10" t="s">
        <v>455</v>
      </c>
      <c r="E2190" s="10" t="s">
        <v>2342</v>
      </c>
      <c r="F2190" s="30" t="n">
        <v>42786</v>
      </c>
      <c r="G2190" s="30" t="n">
        <v>42893</v>
      </c>
      <c r="H2190" s="26" t="n">
        <f aca="false">G2190-F2190</f>
        <v>107</v>
      </c>
      <c r="I2190" s="10" t="n">
        <f aca="false">IF(E2190="Won",1,0)</f>
        <v>1</v>
      </c>
    </row>
    <row r="2191" customFormat="false" ht="15" hidden="false" customHeight="false" outlineLevel="0" collapsed="false">
      <c r="A2191" s="10" t="s">
        <v>4532</v>
      </c>
      <c r="B2191" s="10" t="s">
        <v>90</v>
      </c>
      <c r="C2191" s="10" t="s">
        <v>48</v>
      </c>
      <c r="D2191" s="10" t="s">
        <v>692</v>
      </c>
      <c r="E2191" s="10" t="s">
        <v>2342</v>
      </c>
      <c r="F2191" s="30" t="n">
        <v>42880</v>
      </c>
      <c r="G2191" s="30" t="n">
        <v>42893</v>
      </c>
      <c r="H2191" s="26" t="n">
        <f aca="false">G2191-F2191</f>
        <v>13</v>
      </c>
      <c r="I2191" s="10" t="n">
        <f aca="false">IF(E2191="Won",1,0)</f>
        <v>1</v>
      </c>
    </row>
    <row r="2192" customFormat="false" ht="15" hidden="false" customHeight="false" outlineLevel="0" collapsed="false">
      <c r="A2192" s="10" t="s">
        <v>4533</v>
      </c>
      <c r="B2192" s="10" t="s">
        <v>97</v>
      </c>
      <c r="C2192" s="10" t="s">
        <v>51</v>
      </c>
      <c r="D2192" s="10" t="s">
        <v>348</v>
      </c>
      <c r="E2192" s="10" t="s">
        <v>2342</v>
      </c>
      <c r="F2192" s="30" t="n">
        <v>42810</v>
      </c>
      <c r="G2192" s="30" t="n">
        <v>42893</v>
      </c>
      <c r="H2192" s="26" t="n">
        <f aca="false">G2192-F2192</f>
        <v>83</v>
      </c>
      <c r="I2192" s="10" t="n">
        <f aca="false">IF(E2192="Won",1,0)</f>
        <v>1</v>
      </c>
    </row>
    <row r="2193" customFormat="false" ht="15" hidden="false" customHeight="false" outlineLevel="0" collapsed="false">
      <c r="A2193" s="10" t="s">
        <v>4534</v>
      </c>
      <c r="B2193" s="10" t="s">
        <v>84</v>
      </c>
      <c r="C2193" s="10" t="s">
        <v>47</v>
      </c>
      <c r="D2193" s="10" t="s">
        <v>359</v>
      </c>
      <c r="E2193" s="10" t="s">
        <v>2342</v>
      </c>
      <c r="F2193" s="30" t="n">
        <v>42797</v>
      </c>
      <c r="G2193" s="30" t="n">
        <v>42894</v>
      </c>
      <c r="H2193" s="26" t="n">
        <f aca="false">G2193-F2193</f>
        <v>97</v>
      </c>
      <c r="I2193" s="10" t="n">
        <f aca="false">IF(E2193="Won",1,0)</f>
        <v>1</v>
      </c>
    </row>
    <row r="2194" customFormat="false" ht="15" hidden="false" customHeight="false" outlineLevel="0" collapsed="false">
      <c r="A2194" s="10" t="s">
        <v>4535</v>
      </c>
      <c r="B2194" s="10" t="s">
        <v>71</v>
      </c>
      <c r="C2194" s="10" t="s">
        <v>52</v>
      </c>
      <c r="D2194" s="10" t="s">
        <v>961</v>
      </c>
      <c r="E2194" s="10" t="s">
        <v>2345</v>
      </c>
      <c r="F2194" s="30" t="n">
        <v>42822</v>
      </c>
      <c r="G2194" s="30" t="n">
        <v>42894</v>
      </c>
      <c r="H2194" s="26" t="n">
        <f aca="false">G2194-F2194</f>
        <v>72</v>
      </c>
      <c r="I2194" s="10" t="n">
        <f aca="false">IF(E2194="Won",1,0)</f>
        <v>0</v>
      </c>
    </row>
    <row r="2195" customFormat="false" ht="15" hidden="false" customHeight="false" outlineLevel="0" collapsed="false">
      <c r="A2195" s="10" t="s">
        <v>4536</v>
      </c>
      <c r="B2195" s="10" t="s">
        <v>68</v>
      </c>
      <c r="C2195" s="10" t="s">
        <v>50</v>
      </c>
      <c r="D2195" s="10" t="s">
        <v>396</v>
      </c>
      <c r="E2195" s="10" t="s">
        <v>2342</v>
      </c>
      <c r="F2195" s="30" t="n">
        <v>42890</v>
      </c>
      <c r="G2195" s="30" t="n">
        <v>42894</v>
      </c>
      <c r="H2195" s="26" t="n">
        <f aca="false">G2195-F2195</f>
        <v>4</v>
      </c>
      <c r="I2195" s="10" t="n">
        <f aca="false">IF(E2195="Won",1,0)</f>
        <v>1</v>
      </c>
    </row>
    <row r="2196" customFormat="false" ht="15" hidden="false" customHeight="false" outlineLevel="0" collapsed="false">
      <c r="A2196" s="10" t="s">
        <v>4537</v>
      </c>
      <c r="B2196" s="10" t="s">
        <v>76</v>
      </c>
      <c r="C2196" s="10" t="s">
        <v>49</v>
      </c>
      <c r="D2196" s="10" t="s">
        <v>536</v>
      </c>
      <c r="E2196" s="10" t="s">
        <v>2345</v>
      </c>
      <c r="F2196" s="30" t="n">
        <v>42886</v>
      </c>
      <c r="G2196" s="30" t="n">
        <v>42894</v>
      </c>
      <c r="H2196" s="26" t="n">
        <f aca="false">G2196-F2196</f>
        <v>8</v>
      </c>
      <c r="I2196" s="10" t="n">
        <f aca="false">IF(E2196="Won",1,0)</f>
        <v>0</v>
      </c>
    </row>
    <row r="2197" customFormat="false" ht="15" hidden="false" customHeight="false" outlineLevel="0" collapsed="false">
      <c r="A2197" s="10" t="s">
        <v>4538</v>
      </c>
      <c r="B2197" s="10" t="s">
        <v>71</v>
      </c>
      <c r="C2197" s="10" t="s">
        <v>52</v>
      </c>
      <c r="D2197" s="10" t="s">
        <v>414</v>
      </c>
      <c r="E2197" s="10" t="s">
        <v>2342</v>
      </c>
      <c r="F2197" s="30" t="n">
        <v>42807</v>
      </c>
      <c r="G2197" s="30" t="n">
        <v>42894</v>
      </c>
      <c r="H2197" s="26" t="n">
        <f aca="false">G2197-F2197</f>
        <v>87</v>
      </c>
      <c r="I2197" s="10" t="n">
        <f aca="false">IF(E2197="Won",1,0)</f>
        <v>1</v>
      </c>
    </row>
    <row r="2198" customFormat="false" ht="15" hidden="false" customHeight="false" outlineLevel="0" collapsed="false">
      <c r="A2198" s="10" t="s">
        <v>4539</v>
      </c>
      <c r="B2198" s="10" t="s">
        <v>79</v>
      </c>
      <c r="C2198" s="10" t="s">
        <v>48</v>
      </c>
      <c r="D2198" s="10" t="s">
        <v>512</v>
      </c>
      <c r="E2198" s="10" t="s">
        <v>2342</v>
      </c>
      <c r="F2198" s="30" t="n">
        <v>42792</v>
      </c>
      <c r="G2198" s="30" t="n">
        <v>42894</v>
      </c>
      <c r="H2198" s="26" t="n">
        <f aca="false">G2198-F2198</f>
        <v>102</v>
      </c>
      <c r="I2198" s="10" t="n">
        <f aca="false">IF(E2198="Won",1,0)</f>
        <v>1</v>
      </c>
    </row>
    <row r="2199" customFormat="false" ht="15" hidden="false" customHeight="false" outlineLevel="0" collapsed="false">
      <c r="A2199" s="10" t="s">
        <v>4540</v>
      </c>
      <c r="B2199" s="10" t="s">
        <v>93</v>
      </c>
      <c r="C2199" s="10" t="s">
        <v>50</v>
      </c>
      <c r="D2199" s="10" t="s">
        <v>170</v>
      </c>
      <c r="E2199" s="10" t="s">
        <v>2345</v>
      </c>
      <c r="F2199" s="30" t="n">
        <v>42805</v>
      </c>
      <c r="G2199" s="30" t="n">
        <v>42894</v>
      </c>
      <c r="H2199" s="26" t="n">
        <f aca="false">G2199-F2199</f>
        <v>89</v>
      </c>
      <c r="I2199" s="10" t="n">
        <f aca="false">IF(E2199="Won",1,0)</f>
        <v>0</v>
      </c>
    </row>
    <row r="2200" customFormat="false" ht="15" hidden="false" customHeight="false" outlineLevel="0" collapsed="false">
      <c r="A2200" s="10" t="s">
        <v>4541</v>
      </c>
      <c r="B2200" s="10" t="s">
        <v>84</v>
      </c>
      <c r="C2200" s="10" t="s">
        <v>50</v>
      </c>
      <c r="D2200" s="10" t="s">
        <v>218</v>
      </c>
      <c r="E2200" s="10" t="s">
        <v>2342</v>
      </c>
      <c r="F2200" s="30" t="n">
        <v>42883</v>
      </c>
      <c r="G2200" s="30" t="n">
        <v>42894</v>
      </c>
      <c r="H2200" s="26" t="n">
        <f aca="false">G2200-F2200</f>
        <v>11</v>
      </c>
      <c r="I2200" s="10" t="n">
        <f aca="false">IF(E2200="Won",1,0)</f>
        <v>1</v>
      </c>
    </row>
    <row r="2201" customFormat="false" ht="15" hidden="false" customHeight="false" outlineLevel="0" collapsed="false">
      <c r="A2201" s="10" t="s">
        <v>4542</v>
      </c>
      <c r="B2201" s="10" t="s">
        <v>70</v>
      </c>
      <c r="C2201" s="10" t="s">
        <v>51</v>
      </c>
      <c r="D2201" s="10" t="s">
        <v>286</v>
      </c>
      <c r="E2201" s="10" t="s">
        <v>2342</v>
      </c>
      <c r="F2201" s="30" t="n">
        <v>42890</v>
      </c>
      <c r="G2201" s="30" t="n">
        <v>42894</v>
      </c>
      <c r="H2201" s="26" t="n">
        <f aca="false">G2201-F2201</f>
        <v>4</v>
      </c>
      <c r="I2201" s="10" t="n">
        <f aca="false">IF(E2201="Won",1,0)</f>
        <v>1</v>
      </c>
    </row>
    <row r="2202" customFormat="false" ht="15" hidden="false" customHeight="false" outlineLevel="0" collapsed="false">
      <c r="A2202" s="10" t="s">
        <v>4543</v>
      </c>
      <c r="B2202" s="10" t="s">
        <v>68</v>
      </c>
      <c r="C2202" s="10" t="s">
        <v>50</v>
      </c>
      <c r="D2202" s="10" t="s">
        <v>337</v>
      </c>
      <c r="E2202" s="10" t="s">
        <v>2342</v>
      </c>
      <c r="F2202" s="30" t="n">
        <v>42883</v>
      </c>
      <c r="G2202" s="30" t="n">
        <v>42894</v>
      </c>
      <c r="H2202" s="26" t="n">
        <f aca="false">G2202-F2202</f>
        <v>11</v>
      </c>
      <c r="I2202" s="10" t="n">
        <f aca="false">IF(E2202="Won",1,0)</f>
        <v>1</v>
      </c>
    </row>
    <row r="2203" customFormat="false" ht="15" hidden="false" customHeight="false" outlineLevel="0" collapsed="false">
      <c r="A2203" s="10" t="s">
        <v>4544</v>
      </c>
      <c r="B2203" s="10" t="s">
        <v>79</v>
      </c>
      <c r="C2203" s="10" t="s">
        <v>52</v>
      </c>
      <c r="D2203" s="10" t="s">
        <v>259</v>
      </c>
      <c r="E2203" s="10" t="s">
        <v>2342</v>
      </c>
      <c r="F2203" s="30" t="n">
        <v>42803</v>
      </c>
      <c r="G2203" s="30" t="n">
        <v>42894</v>
      </c>
      <c r="H2203" s="26" t="n">
        <f aca="false">G2203-F2203</f>
        <v>91</v>
      </c>
      <c r="I2203" s="10" t="n">
        <f aca="false">IF(E2203="Won",1,0)</f>
        <v>1</v>
      </c>
    </row>
    <row r="2204" customFormat="false" ht="15" hidden="false" customHeight="false" outlineLevel="0" collapsed="false">
      <c r="A2204" s="10" t="s">
        <v>4545</v>
      </c>
      <c r="B2204" s="10" t="s">
        <v>70</v>
      </c>
      <c r="C2204" s="10" t="s">
        <v>51</v>
      </c>
      <c r="D2204" s="10" t="s">
        <v>483</v>
      </c>
      <c r="E2204" s="10" t="s">
        <v>2342</v>
      </c>
      <c r="F2204" s="30" t="n">
        <v>42883</v>
      </c>
      <c r="G2204" s="30" t="n">
        <v>42894</v>
      </c>
      <c r="H2204" s="26" t="n">
        <f aca="false">G2204-F2204</f>
        <v>11</v>
      </c>
      <c r="I2204" s="10" t="n">
        <f aca="false">IF(E2204="Won",1,0)</f>
        <v>1</v>
      </c>
    </row>
    <row r="2205" customFormat="false" ht="15" hidden="false" customHeight="false" outlineLevel="0" collapsed="false">
      <c r="A2205" s="10" t="s">
        <v>4546</v>
      </c>
      <c r="B2205" s="10" t="s">
        <v>84</v>
      </c>
      <c r="C2205" s="10" t="s">
        <v>52</v>
      </c>
      <c r="D2205" s="10" t="s">
        <v>215</v>
      </c>
      <c r="E2205" s="10" t="s">
        <v>2345</v>
      </c>
      <c r="F2205" s="30" t="n">
        <v>42803</v>
      </c>
      <c r="G2205" s="30" t="n">
        <v>42894</v>
      </c>
      <c r="H2205" s="26" t="n">
        <f aca="false">G2205-F2205</f>
        <v>91</v>
      </c>
      <c r="I2205" s="10" t="n">
        <f aca="false">IF(E2205="Won",1,0)</f>
        <v>0</v>
      </c>
    </row>
    <row r="2206" customFormat="false" ht="15" hidden="false" customHeight="false" outlineLevel="0" collapsed="false">
      <c r="A2206" s="10" t="s">
        <v>4547</v>
      </c>
      <c r="B2206" s="10" t="s">
        <v>57</v>
      </c>
      <c r="C2206" s="10" t="s">
        <v>49</v>
      </c>
      <c r="D2206" s="10" t="s">
        <v>455</v>
      </c>
      <c r="E2206" s="10" t="s">
        <v>2345</v>
      </c>
      <c r="F2206" s="30" t="n">
        <v>42788</v>
      </c>
      <c r="G2206" s="30" t="n">
        <v>42894</v>
      </c>
      <c r="H2206" s="26" t="n">
        <f aca="false">G2206-F2206</f>
        <v>106</v>
      </c>
      <c r="I2206" s="10" t="n">
        <f aca="false">IF(E2206="Won",1,0)</f>
        <v>0</v>
      </c>
    </row>
    <row r="2207" customFormat="false" ht="15" hidden="false" customHeight="false" outlineLevel="0" collapsed="false">
      <c r="A2207" s="10" t="s">
        <v>4548</v>
      </c>
      <c r="B2207" s="10" t="s">
        <v>71</v>
      </c>
      <c r="C2207" s="10" t="s">
        <v>51</v>
      </c>
      <c r="D2207" s="10" t="s">
        <v>697</v>
      </c>
      <c r="E2207" s="10" t="s">
        <v>2342</v>
      </c>
      <c r="F2207" s="30" t="n">
        <v>42887</v>
      </c>
      <c r="G2207" s="30" t="n">
        <v>42894</v>
      </c>
      <c r="H2207" s="26" t="n">
        <f aca="false">G2207-F2207</f>
        <v>7</v>
      </c>
      <c r="I2207" s="10" t="n">
        <f aca="false">IF(E2207="Won",1,0)</f>
        <v>1</v>
      </c>
    </row>
    <row r="2208" customFormat="false" ht="15" hidden="false" customHeight="false" outlineLevel="0" collapsed="false">
      <c r="A2208" s="10" t="s">
        <v>4549</v>
      </c>
      <c r="B2208" s="10" t="s">
        <v>68</v>
      </c>
      <c r="C2208" s="10" t="s">
        <v>52</v>
      </c>
      <c r="D2208" s="10" t="s">
        <v>497</v>
      </c>
      <c r="E2208" s="10" t="s">
        <v>2342</v>
      </c>
      <c r="F2208" s="30" t="n">
        <v>42817</v>
      </c>
      <c r="G2208" s="30" t="n">
        <v>42894</v>
      </c>
      <c r="H2208" s="26" t="n">
        <f aca="false">G2208-F2208</f>
        <v>77</v>
      </c>
      <c r="I2208" s="10" t="n">
        <f aca="false">IF(E2208="Won",1,0)</f>
        <v>1</v>
      </c>
    </row>
    <row r="2209" customFormat="false" ht="15" hidden="false" customHeight="false" outlineLevel="0" collapsed="false">
      <c r="A2209" s="10" t="s">
        <v>4550</v>
      </c>
      <c r="B2209" s="10" t="s">
        <v>87</v>
      </c>
      <c r="C2209" s="10" t="s">
        <v>50</v>
      </c>
      <c r="D2209" s="10" t="s">
        <v>405</v>
      </c>
      <c r="E2209" s="10" t="s">
        <v>2342</v>
      </c>
      <c r="F2209" s="30" t="n">
        <v>42799</v>
      </c>
      <c r="G2209" s="30" t="n">
        <v>42894</v>
      </c>
      <c r="H2209" s="26" t="n">
        <f aca="false">G2209-F2209</f>
        <v>95</v>
      </c>
      <c r="I2209" s="10" t="n">
        <f aca="false">IF(E2209="Won",1,0)</f>
        <v>1</v>
      </c>
    </row>
    <row r="2210" customFormat="false" ht="15" hidden="false" customHeight="false" outlineLevel="0" collapsed="false">
      <c r="A2210" s="10" t="s">
        <v>4551</v>
      </c>
      <c r="B2210" s="10" t="s">
        <v>61</v>
      </c>
      <c r="C2210" s="10" t="s">
        <v>47</v>
      </c>
      <c r="D2210" s="10" t="s">
        <v>185</v>
      </c>
      <c r="E2210" s="10" t="s">
        <v>2345</v>
      </c>
      <c r="F2210" s="30" t="n">
        <v>42785</v>
      </c>
      <c r="G2210" s="30" t="n">
        <v>42894</v>
      </c>
      <c r="H2210" s="26" t="n">
        <f aca="false">G2210-F2210</f>
        <v>109</v>
      </c>
      <c r="I2210" s="10" t="n">
        <f aca="false">IF(E2210="Won",1,0)</f>
        <v>0</v>
      </c>
    </row>
    <row r="2211" customFormat="false" ht="15" hidden="false" customHeight="false" outlineLevel="0" collapsed="false">
      <c r="A2211" s="10" t="s">
        <v>4552</v>
      </c>
      <c r="B2211" s="10" t="s">
        <v>62</v>
      </c>
      <c r="C2211" s="10" t="s">
        <v>52</v>
      </c>
      <c r="D2211" s="10" t="s">
        <v>441</v>
      </c>
      <c r="E2211" s="10" t="s">
        <v>2342</v>
      </c>
      <c r="F2211" s="30" t="n">
        <v>42889</v>
      </c>
      <c r="G2211" s="30" t="n">
        <v>42895</v>
      </c>
      <c r="H2211" s="26" t="n">
        <f aca="false">G2211-F2211</f>
        <v>6</v>
      </c>
      <c r="I2211" s="10" t="n">
        <f aca="false">IF(E2211="Won",1,0)</f>
        <v>1</v>
      </c>
    </row>
    <row r="2212" customFormat="false" ht="15" hidden="false" customHeight="false" outlineLevel="0" collapsed="false">
      <c r="A2212" s="10" t="s">
        <v>4553</v>
      </c>
      <c r="B2212" s="10" t="s">
        <v>63</v>
      </c>
      <c r="C2212" s="10" t="s">
        <v>49</v>
      </c>
      <c r="D2212" s="10" t="s">
        <v>247</v>
      </c>
      <c r="E2212" s="10" t="s">
        <v>2342</v>
      </c>
      <c r="F2212" s="30" t="n">
        <v>42795</v>
      </c>
      <c r="G2212" s="30" t="n">
        <v>42895</v>
      </c>
      <c r="H2212" s="26" t="n">
        <f aca="false">G2212-F2212</f>
        <v>100</v>
      </c>
      <c r="I2212" s="10" t="n">
        <f aca="false">IF(E2212="Won",1,0)</f>
        <v>1</v>
      </c>
    </row>
    <row r="2213" customFormat="false" ht="15" hidden="false" customHeight="false" outlineLevel="0" collapsed="false">
      <c r="A2213" s="10" t="s">
        <v>4554</v>
      </c>
      <c r="B2213" s="10" t="s">
        <v>71</v>
      </c>
      <c r="C2213" s="10" t="s">
        <v>52</v>
      </c>
      <c r="D2213" s="10" t="s">
        <v>179</v>
      </c>
      <c r="E2213" s="10" t="s">
        <v>2342</v>
      </c>
      <c r="F2213" s="30" t="n">
        <v>42859</v>
      </c>
      <c r="G2213" s="30" t="n">
        <v>42895</v>
      </c>
      <c r="H2213" s="26" t="n">
        <f aca="false">G2213-F2213</f>
        <v>36</v>
      </c>
      <c r="I2213" s="10" t="n">
        <f aca="false">IF(E2213="Won",1,0)</f>
        <v>1</v>
      </c>
    </row>
    <row r="2214" customFormat="false" ht="15" hidden="false" customHeight="false" outlineLevel="0" collapsed="false">
      <c r="A2214" s="10" t="s">
        <v>4555</v>
      </c>
      <c r="B2214" s="10" t="s">
        <v>86</v>
      </c>
      <c r="C2214" s="10" t="s">
        <v>47</v>
      </c>
      <c r="D2214" s="10" t="s">
        <v>332</v>
      </c>
      <c r="E2214" s="10" t="s">
        <v>2342</v>
      </c>
      <c r="F2214" s="30" t="n">
        <v>42887</v>
      </c>
      <c r="G2214" s="30" t="n">
        <v>42895</v>
      </c>
      <c r="H2214" s="26" t="n">
        <f aca="false">G2214-F2214</f>
        <v>8</v>
      </c>
      <c r="I2214" s="10" t="n">
        <f aca="false">IF(E2214="Won",1,0)</f>
        <v>1</v>
      </c>
    </row>
    <row r="2215" customFormat="false" ht="15" hidden="false" customHeight="false" outlineLevel="0" collapsed="false">
      <c r="A2215" s="10" t="s">
        <v>4556</v>
      </c>
      <c r="B2215" s="10" t="s">
        <v>94</v>
      </c>
      <c r="C2215" s="10" t="s">
        <v>51</v>
      </c>
      <c r="D2215" s="10" t="s">
        <v>170</v>
      </c>
      <c r="E2215" s="10" t="s">
        <v>2342</v>
      </c>
      <c r="F2215" s="30" t="n">
        <v>42769</v>
      </c>
      <c r="G2215" s="30" t="n">
        <v>42895</v>
      </c>
      <c r="H2215" s="26" t="n">
        <f aca="false">G2215-F2215</f>
        <v>126</v>
      </c>
      <c r="I2215" s="10" t="n">
        <f aca="false">IF(E2215="Won",1,0)</f>
        <v>1</v>
      </c>
    </row>
    <row r="2216" customFormat="false" ht="15" hidden="false" customHeight="false" outlineLevel="0" collapsed="false">
      <c r="A2216" s="10" t="s">
        <v>4557</v>
      </c>
      <c r="B2216" s="10" t="s">
        <v>71</v>
      </c>
      <c r="C2216" s="10" t="s">
        <v>51</v>
      </c>
      <c r="D2216" s="10" t="s">
        <v>512</v>
      </c>
      <c r="E2216" s="10" t="s">
        <v>2342</v>
      </c>
      <c r="F2216" s="30" t="n">
        <v>42831</v>
      </c>
      <c r="G2216" s="30" t="n">
        <v>42895</v>
      </c>
      <c r="H2216" s="26" t="n">
        <f aca="false">G2216-F2216</f>
        <v>64</v>
      </c>
      <c r="I2216" s="10" t="n">
        <f aca="false">IF(E2216="Won",1,0)</f>
        <v>1</v>
      </c>
    </row>
    <row r="2217" customFormat="false" ht="15" hidden="false" customHeight="false" outlineLevel="0" collapsed="false">
      <c r="A2217" s="10" t="s">
        <v>4558</v>
      </c>
      <c r="B2217" s="10" t="s">
        <v>76</v>
      </c>
      <c r="C2217" s="10" t="s">
        <v>47</v>
      </c>
      <c r="D2217" s="10" t="s">
        <v>536</v>
      </c>
      <c r="E2217" s="10" t="s">
        <v>2342</v>
      </c>
      <c r="F2217" s="30" t="n">
        <v>42824</v>
      </c>
      <c r="G2217" s="30" t="n">
        <v>42895</v>
      </c>
      <c r="H2217" s="26" t="n">
        <f aca="false">G2217-F2217</f>
        <v>71</v>
      </c>
      <c r="I2217" s="10" t="n">
        <f aca="false">IF(E2217="Won",1,0)</f>
        <v>1</v>
      </c>
    </row>
    <row r="2218" customFormat="false" ht="15" hidden="false" customHeight="false" outlineLevel="0" collapsed="false">
      <c r="A2218" s="10" t="s">
        <v>4559</v>
      </c>
      <c r="B2218" s="10" t="s">
        <v>77</v>
      </c>
      <c r="C2218" s="10" t="s">
        <v>49</v>
      </c>
      <c r="D2218" s="10" t="s">
        <v>524</v>
      </c>
      <c r="E2218" s="10" t="s">
        <v>2342</v>
      </c>
      <c r="F2218" s="30" t="n">
        <v>42887</v>
      </c>
      <c r="G2218" s="30" t="n">
        <v>42895</v>
      </c>
      <c r="H2218" s="26" t="n">
        <f aca="false">G2218-F2218</f>
        <v>8</v>
      </c>
      <c r="I2218" s="10" t="n">
        <f aca="false">IF(E2218="Won",1,0)</f>
        <v>1</v>
      </c>
    </row>
    <row r="2219" customFormat="false" ht="15" hidden="false" customHeight="false" outlineLevel="0" collapsed="false">
      <c r="A2219" s="10" t="s">
        <v>4560</v>
      </c>
      <c r="B2219" s="10" t="s">
        <v>79</v>
      </c>
      <c r="C2219" s="10" t="s">
        <v>52</v>
      </c>
      <c r="D2219" s="10" t="s">
        <v>210</v>
      </c>
      <c r="E2219" s="10" t="s">
        <v>2342</v>
      </c>
      <c r="F2219" s="30" t="n">
        <v>42886</v>
      </c>
      <c r="G2219" s="30" t="n">
        <v>42895</v>
      </c>
      <c r="H2219" s="26" t="n">
        <f aca="false">G2219-F2219</f>
        <v>9</v>
      </c>
      <c r="I2219" s="10" t="n">
        <f aca="false">IF(E2219="Won",1,0)</f>
        <v>1</v>
      </c>
    </row>
    <row r="2220" customFormat="false" ht="15" hidden="false" customHeight="false" outlineLevel="0" collapsed="false">
      <c r="A2220" s="10" t="s">
        <v>4561</v>
      </c>
      <c r="B2220" s="10" t="s">
        <v>57</v>
      </c>
      <c r="C2220" s="10" t="s">
        <v>48</v>
      </c>
      <c r="D2220" s="10" t="s">
        <v>359</v>
      </c>
      <c r="E2220" s="10" t="s">
        <v>2342</v>
      </c>
      <c r="F2220" s="30" t="n">
        <v>42881</v>
      </c>
      <c r="G2220" s="30" t="n">
        <v>42895</v>
      </c>
      <c r="H2220" s="26" t="n">
        <f aca="false">G2220-F2220</f>
        <v>14</v>
      </c>
      <c r="I2220" s="10" t="n">
        <f aca="false">IF(E2220="Won",1,0)</f>
        <v>1</v>
      </c>
    </row>
    <row r="2221" customFormat="false" ht="15" hidden="false" customHeight="false" outlineLevel="0" collapsed="false">
      <c r="A2221" s="10" t="s">
        <v>4562</v>
      </c>
      <c r="B2221" s="10" t="s">
        <v>94</v>
      </c>
      <c r="C2221" s="10" t="s">
        <v>51</v>
      </c>
      <c r="D2221" s="10" t="s">
        <v>313</v>
      </c>
      <c r="E2221" s="10" t="s">
        <v>2345</v>
      </c>
      <c r="F2221" s="30" t="n">
        <v>42838</v>
      </c>
      <c r="G2221" s="30" t="n">
        <v>42895</v>
      </c>
      <c r="H2221" s="26" t="n">
        <f aca="false">G2221-F2221</f>
        <v>57</v>
      </c>
      <c r="I2221" s="10" t="n">
        <f aca="false">IF(E2221="Won",1,0)</f>
        <v>0</v>
      </c>
    </row>
    <row r="2222" customFormat="false" ht="15" hidden="false" customHeight="false" outlineLevel="0" collapsed="false">
      <c r="A2222" s="10" t="s">
        <v>4563</v>
      </c>
      <c r="B2222" s="10" t="s">
        <v>81</v>
      </c>
      <c r="C2222" s="10" t="s">
        <v>48</v>
      </c>
      <c r="D2222" s="10" t="s">
        <v>267</v>
      </c>
      <c r="E2222" s="10" t="s">
        <v>2342</v>
      </c>
      <c r="F2222" s="30" t="n">
        <v>42835</v>
      </c>
      <c r="G2222" s="30" t="n">
        <v>42895</v>
      </c>
      <c r="H2222" s="26" t="n">
        <f aca="false">G2222-F2222</f>
        <v>60</v>
      </c>
      <c r="I2222" s="10" t="n">
        <f aca="false">IF(E2222="Won",1,0)</f>
        <v>1</v>
      </c>
    </row>
    <row r="2223" customFormat="false" ht="15" hidden="false" customHeight="false" outlineLevel="0" collapsed="false">
      <c r="A2223" s="10" t="s">
        <v>4564</v>
      </c>
      <c r="B2223" s="10" t="s">
        <v>75</v>
      </c>
      <c r="C2223" s="10" t="s">
        <v>49</v>
      </c>
      <c r="D2223" s="10" t="s">
        <v>1948</v>
      </c>
      <c r="E2223" s="10" t="s">
        <v>2342</v>
      </c>
      <c r="F2223" s="30" t="n">
        <v>42800</v>
      </c>
      <c r="G2223" s="30" t="n">
        <v>42895</v>
      </c>
      <c r="H2223" s="26" t="n">
        <f aca="false">G2223-F2223</f>
        <v>95</v>
      </c>
      <c r="I2223" s="10" t="n">
        <f aca="false">IF(E2223="Won",1,0)</f>
        <v>1</v>
      </c>
    </row>
    <row r="2224" customFormat="false" ht="15" hidden="false" customHeight="false" outlineLevel="0" collapsed="false">
      <c r="A2224" s="10" t="s">
        <v>4565</v>
      </c>
      <c r="B2224" s="10" t="s">
        <v>87</v>
      </c>
      <c r="C2224" s="10" t="s">
        <v>47</v>
      </c>
      <c r="D2224" s="10" t="s">
        <v>161</v>
      </c>
      <c r="E2224" s="10" t="s">
        <v>2342</v>
      </c>
      <c r="F2224" s="30" t="n">
        <v>42821</v>
      </c>
      <c r="G2224" s="30" t="n">
        <v>42895</v>
      </c>
      <c r="H2224" s="26" t="n">
        <f aca="false">G2224-F2224</f>
        <v>74</v>
      </c>
      <c r="I2224" s="10" t="n">
        <f aca="false">IF(E2224="Won",1,0)</f>
        <v>1</v>
      </c>
    </row>
    <row r="2225" customFormat="false" ht="15" hidden="false" customHeight="false" outlineLevel="0" collapsed="false">
      <c r="A2225" s="10" t="s">
        <v>4566</v>
      </c>
      <c r="B2225" s="10" t="s">
        <v>76</v>
      </c>
      <c r="C2225" s="10" t="s">
        <v>52</v>
      </c>
      <c r="D2225" s="10" t="s">
        <v>279</v>
      </c>
      <c r="E2225" s="10" t="s">
        <v>2342</v>
      </c>
      <c r="F2225" s="30" t="n">
        <v>42846</v>
      </c>
      <c r="G2225" s="30" t="n">
        <v>42895</v>
      </c>
      <c r="H2225" s="26" t="n">
        <f aca="false">G2225-F2225</f>
        <v>49</v>
      </c>
      <c r="I2225" s="10" t="n">
        <f aca="false">IF(E2225="Won",1,0)</f>
        <v>1</v>
      </c>
    </row>
    <row r="2226" customFormat="false" ht="15" hidden="false" customHeight="false" outlineLevel="0" collapsed="false">
      <c r="A2226" s="10" t="s">
        <v>4567</v>
      </c>
      <c r="B2226" s="10" t="s">
        <v>96</v>
      </c>
      <c r="C2226" s="10" t="s">
        <v>48</v>
      </c>
      <c r="D2226" s="10" t="s">
        <v>344</v>
      </c>
      <c r="E2226" s="10" t="s">
        <v>2342</v>
      </c>
      <c r="F2226" s="30" t="n">
        <v>42803</v>
      </c>
      <c r="G2226" s="30" t="n">
        <v>42895</v>
      </c>
      <c r="H2226" s="26" t="n">
        <f aca="false">G2226-F2226</f>
        <v>92</v>
      </c>
      <c r="I2226" s="10" t="n">
        <f aca="false">IF(E2226="Won",1,0)</f>
        <v>1</v>
      </c>
    </row>
    <row r="2227" customFormat="false" ht="15" hidden="false" customHeight="false" outlineLevel="0" collapsed="false">
      <c r="A2227" s="10" t="s">
        <v>4568</v>
      </c>
      <c r="B2227" s="10" t="s">
        <v>57</v>
      </c>
      <c r="C2227" s="10" t="s">
        <v>50</v>
      </c>
      <c r="D2227" s="10" t="s">
        <v>233</v>
      </c>
      <c r="E2227" s="10" t="s">
        <v>2342</v>
      </c>
      <c r="F2227" s="30" t="n">
        <v>42891</v>
      </c>
      <c r="G2227" s="30" t="n">
        <v>42896</v>
      </c>
      <c r="H2227" s="26" t="n">
        <f aca="false">G2227-F2227</f>
        <v>5</v>
      </c>
      <c r="I2227" s="10" t="n">
        <f aca="false">IF(E2227="Won",1,0)</f>
        <v>1</v>
      </c>
    </row>
    <row r="2228" customFormat="false" ht="15" hidden="false" customHeight="false" outlineLevel="0" collapsed="false">
      <c r="A2228" s="10" t="s">
        <v>4569</v>
      </c>
      <c r="B2228" s="10" t="s">
        <v>97</v>
      </c>
      <c r="C2228" s="10" t="s">
        <v>50</v>
      </c>
      <c r="D2228" s="10" t="s">
        <v>337</v>
      </c>
      <c r="E2228" s="10" t="s">
        <v>2345</v>
      </c>
      <c r="F2228" s="30" t="n">
        <v>42769</v>
      </c>
      <c r="G2228" s="30" t="n">
        <v>42896</v>
      </c>
      <c r="H2228" s="26" t="n">
        <f aca="false">G2228-F2228</f>
        <v>127</v>
      </c>
      <c r="I2228" s="10" t="n">
        <f aca="false">IF(E2228="Won",1,0)</f>
        <v>0</v>
      </c>
    </row>
    <row r="2229" customFormat="false" ht="15" hidden="false" customHeight="false" outlineLevel="0" collapsed="false">
      <c r="A2229" s="10" t="s">
        <v>4570</v>
      </c>
      <c r="B2229" s="10" t="s">
        <v>73</v>
      </c>
      <c r="C2229" s="10" t="s">
        <v>52</v>
      </c>
      <c r="D2229" s="10" t="s">
        <v>961</v>
      </c>
      <c r="E2229" s="10" t="s">
        <v>2342</v>
      </c>
      <c r="F2229" s="30" t="n">
        <v>42867</v>
      </c>
      <c r="G2229" s="30" t="n">
        <v>42896</v>
      </c>
      <c r="H2229" s="26" t="n">
        <f aca="false">G2229-F2229</f>
        <v>29</v>
      </c>
      <c r="I2229" s="10" t="n">
        <f aca="false">IF(E2229="Won",1,0)</f>
        <v>1</v>
      </c>
    </row>
    <row r="2230" customFormat="false" ht="15" hidden="false" customHeight="false" outlineLevel="0" collapsed="false">
      <c r="A2230" s="10" t="s">
        <v>4571</v>
      </c>
      <c r="B2230" s="10" t="s">
        <v>66</v>
      </c>
      <c r="C2230" s="10" t="s">
        <v>52</v>
      </c>
      <c r="D2230" s="10" t="s">
        <v>227</v>
      </c>
      <c r="E2230" s="10" t="s">
        <v>2342</v>
      </c>
      <c r="F2230" s="30" t="n">
        <v>42886</v>
      </c>
      <c r="G2230" s="30" t="n">
        <v>42896</v>
      </c>
      <c r="H2230" s="26" t="n">
        <f aca="false">G2230-F2230</f>
        <v>10</v>
      </c>
      <c r="I2230" s="10" t="n">
        <f aca="false">IF(E2230="Won",1,0)</f>
        <v>1</v>
      </c>
    </row>
    <row r="2231" customFormat="false" ht="15" hidden="false" customHeight="false" outlineLevel="0" collapsed="false">
      <c r="A2231" s="10" t="s">
        <v>4572</v>
      </c>
      <c r="B2231" s="10" t="s">
        <v>70</v>
      </c>
      <c r="C2231" s="10" t="s">
        <v>51</v>
      </c>
      <c r="D2231" s="10" t="s">
        <v>168</v>
      </c>
      <c r="E2231" s="10" t="s">
        <v>2342</v>
      </c>
      <c r="F2231" s="30" t="n">
        <v>42833</v>
      </c>
      <c r="G2231" s="30" t="n">
        <v>42896</v>
      </c>
      <c r="H2231" s="26" t="n">
        <f aca="false">G2231-F2231</f>
        <v>63</v>
      </c>
      <c r="I2231" s="10" t="n">
        <f aca="false">IF(E2231="Won",1,0)</f>
        <v>1</v>
      </c>
    </row>
    <row r="2232" customFormat="false" ht="15" hidden="false" customHeight="false" outlineLevel="0" collapsed="false">
      <c r="A2232" s="10" t="s">
        <v>4573</v>
      </c>
      <c r="B2232" s="10" t="s">
        <v>93</v>
      </c>
      <c r="C2232" s="10" t="s">
        <v>47</v>
      </c>
      <c r="D2232" s="10" t="s">
        <v>313</v>
      </c>
      <c r="E2232" s="10" t="s">
        <v>2345</v>
      </c>
      <c r="F2232" s="30" t="n">
        <v>42836</v>
      </c>
      <c r="G2232" s="30" t="n">
        <v>42896</v>
      </c>
      <c r="H2232" s="26" t="n">
        <f aca="false">G2232-F2232</f>
        <v>60</v>
      </c>
      <c r="I2232" s="10" t="n">
        <f aca="false">IF(E2232="Won",1,0)</f>
        <v>0</v>
      </c>
    </row>
    <row r="2233" customFormat="false" ht="15" hidden="false" customHeight="false" outlineLevel="0" collapsed="false">
      <c r="A2233" s="10" t="s">
        <v>4574</v>
      </c>
      <c r="B2233" s="10" t="s">
        <v>94</v>
      </c>
      <c r="C2233" s="10" t="s">
        <v>52</v>
      </c>
      <c r="D2233" s="10" t="s">
        <v>210</v>
      </c>
      <c r="E2233" s="10" t="s">
        <v>2345</v>
      </c>
      <c r="F2233" s="30" t="n">
        <v>42857</v>
      </c>
      <c r="G2233" s="30" t="n">
        <v>42896</v>
      </c>
      <c r="H2233" s="26" t="n">
        <f aca="false">G2233-F2233</f>
        <v>39</v>
      </c>
      <c r="I2233" s="10" t="n">
        <f aca="false">IF(E2233="Won",1,0)</f>
        <v>0</v>
      </c>
    </row>
    <row r="2234" customFormat="false" ht="15" hidden="false" customHeight="false" outlineLevel="0" collapsed="false">
      <c r="A2234" s="10" t="s">
        <v>4575</v>
      </c>
      <c r="B2234" s="10" t="s">
        <v>68</v>
      </c>
      <c r="C2234" s="10" t="s">
        <v>49</v>
      </c>
      <c r="D2234" s="10" t="s">
        <v>348</v>
      </c>
      <c r="E2234" s="10" t="s">
        <v>2342</v>
      </c>
      <c r="F2234" s="30" t="n">
        <v>42829</v>
      </c>
      <c r="G2234" s="30" t="n">
        <v>42896</v>
      </c>
      <c r="H2234" s="26" t="n">
        <f aca="false">G2234-F2234</f>
        <v>67</v>
      </c>
      <c r="I2234" s="10" t="n">
        <f aca="false">IF(E2234="Won",1,0)</f>
        <v>1</v>
      </c>
    </row>
    <row r="2235" customFormat="false" ht="15" hidden="false" customHeight="false" outlineLevel="0" collapsed="false">
      <c r="A2235" s="10" t="s">
        <v>4576</v>
      </c>
      <c r="B2235" s="10" t="s">
        <v>88</v>
      </c>
      <c r="C2235" s="10" t="s">
        <v>48</v>
      </c>
      <c r="D2235" s="10" t="s">
        <v>455</v>
      </c>
      <c r="E2235" s="10" t="s">
        <v>2342</v>
      </c>
      <c r="F2235" s="30" t="n">
        <v>42801</v>
      </c>
      <c r="G2235" s="30" t="n">
        <v>42896</v>
      </c>
      <c r="H2235" s="26" t="n">
        <f aca="false">G2235-F2235</f>
        <v>95</v>
      </c>
      <c r="I2235" s="10" t="n">
        <f aca="false">IF(E2235="Won",1,0)</f>
        <v>1</v>
      </c>
    </row>
    <row r="2236" customFormat="false" ht="15" hidden="false" customHeight="false" outlineLevel="0" collapsed="false">
      <c r="A2236" s="10" t="s">
        <v>4577</v>
      </c>
      <c r="B2236" s="10" t="s">
        <v>76</v>
      </c>
      <c r="C2236" s="10" t="s">
        <v>49</v>
      </c>
      <c r="D2236" s="10" t="s">
        <v>311</v>
      </c>
      <c r="E2236" s="10" t="s">
        <v>2342</v>
      </c>
      <c r="F2236" s="30" t="n">
        <v>42875</v>
      </c>
      <c r="G2236" s="30" t="n">
        <v>42896</v>
      </c>
      <c r="H2236" s="26" t="n">
        <f aca="false">G2236-F2236</f>
        <v>21</v>
      </c>
      <c r="I2236" s="10" t="n">
        <f aca="false">IF(E2236="Won",1,0)</f>
        <v>1</v>
      </c>
    </row>
    <row r="2237" customFormat="false" ht="15" hidden="false" customHeight="false" outlineLevel="0" collapsed="false">
      <c r="A2237" s="10" t="s">
        <v>4578</v>
      </c>
      <c r="B2237" s="10" t="s">
        <v>93</v>
      </c>
      <c r="C2237" s="10" t="s">
        <v>51</v>
      </c>
      <c r="D2237" s="10" t="s">
        <v>337</v>
      </c>
      <c r="E2237" s="10" t="s">
        <v>2342</v>
      </c>
      <c r="F2237" s="30" t="n">
        <v>42805</v>
      </c>
      <c r="G2237" s="30" t="n">
        <v>42896</v>
      </c>
      <c r="H2237" s="26" t="n">
        <f aca="false">G2237-F2237</f>
        <v>91</v>
      </c>
      <c r="I2237" s="10" t="n">
        <f aca="false">IF(E2237="Won",1,0)</f>
        <v>1</v>
      </c>
    </row>
    <row r="2238" customFormat="false" ht="15" hidden="false" customHeight="false" outlineLevel="0" collapsed="false">
      <c r="A2238" s="10" t="s">
        <v>4579</v>
      </c>
      <c r="B2238" s="10" t="s">
        <v>62</v>
      </c>
      <c r="C2238" s="10" t="s">
        <v>52</v>
      </c>
      <c r="D2238" s="10" t="s">
        <v>332</v>
      </c>
      <c r="E2238" s="10" t="s">
        <v>2342</v>
      </c>
      <c r="F2238" s="30" t="n">
        <v>42876</v>
      </c>
      <c r="G2238" s="30" t="n">
        <v>42896</v>
      </c>
      <c r="H2238" s="26" t="n">
        <f aca="false">G2238-F2238</f>
        <v>20</v>
      </c>
      <c r="I2238" s="10" t="n">
        <f aca="false">IF(E2238="Won",1,0)</f>
        <v>1</v>
      </c>
    </row>
    <row r="2239" customFormat="false" ht="15" hidden="false" customHeight="false" outlineLevel="0" collapsed="false">
      <c r="A2239" s="10" t="s">
        <v>4580</v>
      </c>
      <c r="B2239" s="10" t="s">
        <v>90</v>
      </c>
      <c r="C2239" s="10" t="s">
        <v>49</v>
      </c>
      <c r="D2239" s="10" t="s">
        <v>359</v>
      </c>
      <c r="E2239" s="10" t="s">
        <v>2342</v>
      </c>
      <c r="F2239" s="30" t="n">
        <v>42816</v>
      </c>
      <c r="G2239" s="30" t="n">
        <v>42896</v>
      </c>
      <c r="H2239" s="26" t="n">
        <f aca="false">G2239-F2239</f>
        <v>80</v>
      </c>
      <c r="I2239" s="10" t="n">
        <f aca="false">IF(E2239="Won",1,0)</f>
        <v>1</v>
      </c>
    </row>
    <row r="2240" customFormat="false" ht="15" hidden="false" customHeight="false" outlineLevel="0" collapsed="false">
      <c r="A2240" s="10" t="s">
        <v>4581</v>
      </c>
      <c r="B2240" s="10" t="s">
        <v>57</v>
      </c>
      <c r="C2240" s="10" t="s">
        <v>49</v>
      </c>
      <c r="D2240" s="10" t="s">
        <v>453</v>
      </c>
      <c r="E2240" s="10" t="s">
        <v>2345</v>
      </c>
      <c r="F2240" s="30" t="n">
        <v>42792</v>
      </c>
      <c r="G2240" s="30" t="n">
        <v>42896</v>
      </c>
      <c r="H2240" s="26" t="n">
        <f aca="false">G2240-F2240</f>
        <v>104</v>
      </c>
      <c r="I2240" s="10" t="n">
        <f aca="false">IF(E2240="Won",1,0)</f>
        <v>0</v>
      </c>
    </row>
    <row r="2241" customFormat="false" ht="15" hidden="false" customHeight="false" outlineLevel="0" collapsed="false">
      <c r="A2241" s="10" t="s">
        <v>4582</v>
      </c>
      <c r="B2241" s="10" t="s">
        <v>69</v>
      </c>
      <c r="C2241" s="10" t="s">
        <v>51</v>
      </c>
      <c r="D2241" s="10" t="s">
        <v>313</v>
      </c>
      <c r="E2241" s="10" t="s">
        <v>2345</v>
      </c>
      <c r="F2241" s="30" t="n">
        <v>42796</v>
      </c>
      <c r="G2241" s="30" t="n">
        <v>42896</v>
      </c>
      <c r="H2241" s="26" t="n">
        <f aca="false">G2241-F2241</f>
        <v>100</v>
      </c>
      <c r="I2241" s="10" t="n">
        <f aca="false">IF(E2241="Won",1,0)</f>
        <v>0</v>
      </c>
    </row>
    <row r="2242" customFormat="false" ht="15" hidden="false" customHeight="false" outlineLevel="0" collapsed="false">
      <c r="A2242" s="10" t="s">
        <v>4583</v>
      </c>
      <c r="B2242" s="10" t="s">
        <v>90</v>
      </c>
      <c r="C2242" s="10" t="s">
        <v>48</v>
      </c>
      <c r="D2242" s="10" t="s">
        <v>277</v>
      </c>
      <c r="E2242" s="10" t="s">
        <v>2342</v>
      </c>
      <c r="F2242" s="30" t="n">
        <v>42789</v>
      </c>
      <c r="G2242" s="30" t="n">
        <v>42896</v>
      </c>
      <c r="H2242" s="26" t="n">
        <f aca="false">G2242-F2242</f>
        <v>107</v>
      </c>
      <c r="I2242" s="10" t="n">
        <f aca="false">IF(E2242="Won",1,0)</f>
        <v>1</v>
      </c>
    </row>
    <row r="2243" customFormat="false" ht="15" hidden="false" customHeight="false" outlineLevel="0" collapsed="false">
      <c r="A2243" s="10" t="s">
        <v>4584</v>
      </c>
      <c r="B2243" s="10" t="s">
        <v>62</v>
      </c>
      <c r="C2243" s="10" t="s">
        <v>52</v>
      </c>
      <c r="D2243" s="10" t="s">
        <v>637</v>
      </c>
      <c r="E2243" s="10" t="s">
        <v>2345</v>
      </c>
      <c r="F2243" s="30" t="n">
        <v>42853</v>
      </c>
      <c r="G2243" s="30" t="n">
        <v>42896</v>
      </c>
      <c r="H2243" s="26" t="n">
        <f aca="false">G2243-F2243</f>
        <v>43</v>
      </c>
      <c r="I2243" s="10" t="n">
        <f aca="false">IF(E2243="Won",1,0)</f>
        <v>0</v>
      </c>
    </row>
    <row r="2244" customFormat="false" ht="15" hidden="false" customHeight="false" outlineLevel="0" collapsed="false">
      <c r="A2244" s="10" t="s">
        <v>4585</v>
      </c>
      <c r="B2244" s="10" t="s">
        <v>71</v>
      </c>
      <c r="C2244" s="10" t="s">
        <v>50</v>
      </c>
      <c r="D2244" s="10" t="s">
        <v>353</v>
      </c>
      <c r="E2244" s="10" t="s">
        <v>2342</v>
      </c>
      <c r="F2244" s="30" t="n">
        <v>42789</v>
      </c>
      <c r="G2244" s="30" t="n">
        <v>42896</v>
      </c>
      <c r="H2244" s="26" t="n">
        <f aca="false">G2244-F2244</f>
        <v>107</v>
      </c>
      <c r="I2244" s="10" t="n">
        <f aca="false">IF(E2244="Won",1,0)</f>
        <v>1</v>
      </c>
    </row>
    <row r="2245" customFormat="false" ht="15" hidden="false" customHeight="false" outlineLevel="0" collapsed="false">
      <c r="A2245" s="10" t="s">
        <v>4586</v>
      </c>
      <c r="B2245" s="10" t="s">
        <v>90</v>
      </c>
      <c r="C2245" s="10" t="s">
        <v>49</v>
      </c>
      <c r="D2245" s="10" t="s">
        <v>350</v>
      </c>
      <c r="E2245" s="10" t="s">
        <v>2342</v>
      </c>
      <c r="F2245" s="30" t="n">
        <v>42791</v>
      </c>
      <c r="G2245" s="30" t="n">
        <v>42896</v>
      </c>
      <c r="H2245" s="26" t="n">
        <f aca="false">G2245-F2245</f>
        <v>105</v>
      </c>
      <c r="I2245" s="10" t="n">
        <f aca="false">IF(E2245="Won",1,0)</f>
        <v>1</v>
      </c>
    </row>
    <row r="2246" customFormat="false" ht="15" hidden="false" customHeight="false" outlineLevel="0" collapsed="false">
      <c r="A2246" s="10" t="s">
        <v>4587</v>
      </c>
      <c r="B2246" s="10" t="s">
        <v>62</v>
      </c>
      <c r="C2246" s="10" t="s">
        <v>50</v>
      </c>
      <c r="D2246" s="10" t="s">
        <v>427</v>
      </c>
      <c r="E2246" s="10" t="s">
        <v>2342</v>
      </c>
      <c r="F2246" s="30" t="n">
        <v>42838</v>
      </c>
      <c r="G2246" s="30" t="n">
        <v>42896</v>
      </c>
      <c r="H2246" s="26" t="n">
        <f aca="false">G2246-F2246</f>
        <v>58</v>
      </c>
      <c r="I2246" s="10" t="n">
        <f aca="false">IF(E2246="Won",1,0)</f>
        <v>1</v>
      </c>
    </row>
    <row r="2247" customFormat="false" ht="15" hidden="false" customHeight="false" outlineLevel="0" collapsed="false">
      <c r="A2247" s="10" t="s">
        <v>4588</v>
      </c>
      <c r="B2247" s="10" t="s">
        <v>67</v>
      </c>
      <c r="C2247" s="10" t="s">
        <v>50</v>
      </c>
      <c r="D2247" s="10" t="s">
        <v>606</v>
      </c>
      <c r="E2247" s="10" t="s">
        <v>2342</v>
      </c>
      <c r="F2247" s="30" t="n">
        <v>42811</v>
      </c>
      <c r="G2247" s="30" t="n">
        <v>42896</v>
      </c>
      <c r="H2247" s="26" t="n">
        <f aca="false">G2247-F2247</f>
        <v>85</v>
      </c>
      <c r="I2247" s="10" t="n">
        <f aca="false">IF(E2247="Won",1,0)</f>
        <v>1</v>
      </c>
    </row>
    <row r="2248" customFormat="false" ht="15" hidden="false" customHeight="false" outlineLevel="0" collapsed="false">
      <c r="A2248" s="10" t="s">
        <v>4589</v>
      </c>
      <c r="B2248" s="10" t="s">
        <v>83</v>
      </c>
      <c r="C2248" s="10" t="s">
        <v>50</v>
      </c>
      <c r="D2248" s="10" t="s">
        <v>947</v>
      </c>
      <c r="E2248" s="10" t="s">
        <v>2342</v>
      </c>
      <c r="F2248" s="30" t="n">
        <v>42829</v>
      </c>
      <c r="G2248" s="30" t="n">
        <v>42897</v>
      </c>
      <c r="H2248" s="26" t="n">
        <f aca="false">G2248-F2248</f>
        <v>68</v>
      </c>
      <c r="I2248" s="10" t="n">
        <f aca="false">IF(E2248="Won",1,0)</f>
        <v>1</v>
      </c>
    </row>
    <row r="2249" customFormat="false" ht="15" hidden="false" customHeight="false" outlineLevel="0" collapsed="false">
      <c r="A2249" s="10" t="s">
        <v>4590</v>
      </c>
      <c r="B2249" s="10" t="s">
        <v>66</v>
      </c>
      <c r="C2249" s="10" t="s">
        <v>49</v>
      </c>
      <c r="D2249" s="10" t="s">
        <v>175</v>
      </c>
      <c r="E2249" s="10" t="s">
        <v>2342</v>
      </c>
      <c r="F2249" s="30" t="n">
        <v>42884</v>
      </c>
      <c r="G2249" s="30" t="n">
        <v>42897</v>
      </c>
      <c r="H2249" s="26" t="n">
        <f aca="false">G2249-F2249</f>
        <v>13</v>
      </c>
      <c r="I2249" s="10" t="n">
        <f aca="false">IF(E2249="Won",1,0)</f>
        <v>1</v>
      </c>
    </row>
    <row r="2250" customFormat="false" ht="15" hidden="false" customHeight="false" outlineLevel="0" collapsed="false">
      <c r="A2250" s="10" t="s">
        <v>4591</v>
      </c>
      <c r="B2250" s="10" t="s">
        <v>76</v>
      </c>
      <c r="C2250" s="10" t="s">
        <v>52</v>
      </c>
      <c r="D2250" s="10" t="s">
        <v>512</v>
      </c>
      <c r="E2250" s="10" t="s">
        <v>2342</v>
      </c>
      <c r="F2250" s="30" t="n">
        <v>42880</v>
      </c>
      <c r="G2250" s="30" t="n">
        <v>42897</v>
      </c>
      <c r="H2250" s="26" t="n">
        <f aca="false">G2250-F2250</f>
        <v>17</v>
      </c>
      <c r="I2250" s="10" t="n">
        <f aca="false">IF(E2250="Won",1,0)</f>
        <v>1</v>
      </c>
    </row>
    <row r="2251" customFormat="false" ht="15" hidden="false" customHeight="false" outlineLevel="0" collapsed="false">
      <c r="A2251" s="10" t="s">
        <v>4592</v>
      </c>
      <c r="B2251" s="10" t="s">
        <v>88</v>
      </c>
      <c r="C2251" s="10" t="s">
        <v>49</v>
      </c>
      <c r="D2251" s="10" t="s">
        <v>274</v>
      </c>
      <c r="E2251" s="10" t="s">
        <v>2342</v>
      </c>
      <c r="F2251" s="30" t="n">
        <v>42884</v>
      </c>
      <c r="G2251" s="30" t="n">
        <v>42897</v>
      </c>
      <c r="H2251" s="26" t="n">
        <f aca="false">G2251-F2251</f>
        <v>13</v>
      </c>
      <c r="I2251" s="10" t="n">
        <f aca="false">IF(E2251="Won",1,0)</f>
        <v>1</v>
      </c>
    </row>
    <row r="2252" customFormat="false" ht="15" hidden="false" customHeight="false" outlineLevel="0" collapsed="false">
      <c r="A2252" s="10" t="s">
        <v>4593</v>
      </c>
      <c r="B2252" s="10" t="s">
        <v>57</v>
      </c>
      <c r="C2252" s="10" t="s">
        <v>48</v>
      </c>
      <c r="D2252" s="10" t="s">
        <v>1118</v>
      </c>
      <c r="E2252" s="10" t="s">
        <v>2342</v>
      </c>
      <c r="F2252" s="30" t="n">
        <v>42884</v>
      </c>
      <c r="G2252" s="30" t="n">
        <v>42897</v>
      </c>
      <c r="H2252" s="26" t="n">
        <f aca="false">G2252-F2252</f>
        <v>13</v>
      </c>
      <c r="I2252" s="10" t="n">
        <f aca="false">IF(E2252="Won",1,0)</f>
        <v>1</v>
      </c>
    </row>
    <row r="2253" customFormat="false" ht="15" hidden="false" customHeight="false" outlineLevel="0" collapsed="false">
      <c r="A2253" s="10" t="s">
        <v>4594</v>
      </c>
      <c r="B2253" s="10" t="s">
        <v>90</v>
      </c>
      <c r="C2253" s="10" t="s">
        <v>50</v>
      </c>
      <c r="D2253" s="10" t="s">
        <v>210</v>
      </c>
      <c r="E2253" s="10" t="s">
        <v>2345</v>
      </c>
      <c r="F2253" s="30" t="n">
        <v>42808</v>
      </c>
      <c r="G2253" s="30" t="n">
        <v>42897</v>
      </c>
      <c r="H2253" s="26" t="n">
        <f aca="false">G2253-F2253</f>
        <v>89</v>
      </c>
      <c r="I2253" s="10" t="n">
        <f aca="false">IF(E2253="Won",1,0)</f>
        <v>0</v>
      </c>
    </row>
    <row r="2254" customFormat="false" ht="15" hidden="false" customHeight="false" outlineLevel="0" collapsed="false">
      <c r="A2254" s="10" t="s">
        <v>4595</v>
      </c>
      <c r="B2254" s="10" t="s">
        <v>70</v>
      </c>
      <c r="C2254" s="10" t="s">
        <v>52</v>
      </c>
      <c r="D2254" s="10" t="s">
        <v>303</v>
      </c>
      <c r="E2254" s="10" t="s">
        <v>2342</v>
      </c>
      <c r="F2254" s="30" t="n">
        <v>42809</v>
      </c>
      <c r="G2254" s="30" t="n">
        <v>42897</v>
      </c>
      <c r="H2254" s="26" t="n">
        <f aca="false">G2254-F2254</f>
        <v>88</v>
      </c>
      <c r="I2254" s="10" t="n">
        <f aca="false">IF(E2254="Won",1,0)</f>
        <v>1</v>
      </c>
    </row>
    <row r="2255" customFormat="false" ht="15" hidden="false" customHeight="false" outlineLevel="0" collapsed="false">
      <c r="A2255" s="10" t="s">
        <v>4596</v>
      </c>
      <c r="B2255" s="10" t="s">
        <v>95</v>
      </c>
      <c r="C2255" s="10" t="s">
        <v>51</v>
      </c>
      <c r="D2255" s="10" t="s">
        <v>396</v>
      </c>
      <c r="E2255" s="10" t="s">
        <v>2342</v>
      </c>
      <c r="F2255" s="30" t="n">
        <v>42811</v>
      </c>
      <c r="G2255" s="30" t="n">
        <v>42897</v>
      </c>
      <c r="H2255" s="26" t="n">
        <f aca="false">G2255-F2255</f>
        <v>86</v>
      </c>
      <c r="I2255" s="10" t="n">
        <f aca="false">IF(E2255="Won",1,0)</f>
        <v>1</v>
      </c>
    </row>
    <row r="2256" customFormat="false" ht="15" hidden="false" customHeight="false" outlineLevel="0" collapsed="false">
      <c r="A2256" s="10" t="s">
        <v>4597</v>
      </c>
      <c r="B2256" s="10" t="s">
        <v>71</v>
      </c>
      <c r="C2256" s="10" t="s">
        <v>51</v>
      </c>
      <c r="D2256" s="10" t="s">
        <v>388</v>
      </c>
      <c r="E2256" s="10" t="s">
        <v>2342</v>
      </c>
      <c r="F2256" s="30" t="n">
        <v>42884</v>
      </c>
      <c r="G2256" s="30" t="n">
        <v>42897</v>
      </c>
      <c r="H2256" s="26" t="n">
        <f aca="false">G2256-F2256</f>
        <v>13</v>
      </c>
      <c r="I2256" s="10" t="n">
        <f aca="false">IF(E2256="Won",1,0)</f>
        <v>1</v>
      </c>
    </row>
    <row r="2257" customFormat="false" ht="15" hidden="false" customHeight="false" outlineLevel="0" collapsed="false">
      <c r="A2257" s="10" t="s">
        <v>4598</v>
      </c>
      <c r="B2257" s="10" t="s">
        <v>71</v>
      </c>
      <c r="C2257" s="10" t="s">
        <v>51</v>
      </c>
      <c r="D2257" s="10" t="s">
        <v>597</v>
      </c>
      <c r="E2257" s="10" t="s">
        <v>2342</v>
      </c>
      <c r="F2257" s="30" t="n">
        <v>42803</v>
      </c>
      <c r="G2257" s="30" t="n">
        <v>42897</v>
      </c>
      <c r="H2257" s="26" t="n">
        <f aca="false">G2257-F2257</f>
        <v>94</v>
      </c>
      <c r="I2257" s="10" t="n">
        <f aca="false">IF(E2257="Won",1,0)</f>
        <v>1</v>
      </c>
    </row>
    <row r="2258" customFormat="false" ht="15" hidden="false" customHeight="false" outlineLevel="0" collapsed="false">
      <c r="A2258" s="10" t="s">
        <v>4599</v>
      </c>
      <c r="B2258" s="10" t="s">
        <v>75</v>
      </c>
      <c r="C2258" s="10" t="s">
        <v>49</v>
      </c>
      <c r="D2258" s="10" t="s">
        <v>369</v>
      </c>
      <c r="E2258" s="10" t="s">
        <v>2342</v>
      </c>
      <c r="F2258" s="30" t="n">
        <v>42812</v>
      </c>
      <c r="G2258" s="30" t="n">
        <v>42897</v>
      </c>
      <c r="H2258" s="26" t="n">
        <f aca="false">G2258-F2258</f>
        <v>85</v>
      </c>
      <c r="I2258" s="10" t="n">
        <f aca="false">IF(E2258="Won",1,0)</f>
        <v>1</v>
      </c>
    </row>
    <row r="2259" customFormat="false" ht="15" hidden="false" customHeight="false" outlineLevel="0" collapsed="false">
      <c r="A2259" s="10" t="s">
        <v>4600</v>
      </c>
      <c r="B2259" s="10" t="s">
        <v>69</v>
      </c>
      <c r="C2259" s="10" t="s">
        <v>49</v>
      </c>
      <c r="D2259" s="10" t="s">
        <v>437</v>
      </c>
      <c r="E2259" s="10" t="s">
        <v>2345</v>
      </c>
      <c r="F2259" s="30" t="n">
        <v>42823</v>
      </c>
      <c r="G2259" s="30" t="n">
        <v>42897</v>
      </c>
      <c r="H2259" s="26" t="n">
        <f aca="false">G2259-F2259</f>
        <v>74</v>
      </c>
      <c r="I2259" s="10" t="n">
        <f aca="false">IF(E2259="Won",1,0)</f>
        <v>0</v>
      </c>
    </row>
    <row r="2260" customFormat="false" ht="15" hidden="false" customHeight="false" outlineLevel="0" collapsed="false">
      <c r="A2260" s="10" t="s">
        <v>4601</v>
      </c>
      <c r="B2260" s="10" t="s">
        <v>57</v>
      </c>
      <c r="C2260" s="10" t="s">
        <v>50</v>
      </c>
      <c r="D2260" s="10" t="s">
        <v>185</v>
      </c>
      <c r="E2260" s="10" t="s">
        <v>2342</v>
      </c>
      <c r="F2260" s="30" t="n">
        <v>42806</v>
      </c>
      <c r="G2260" s="30" t="n">
        <v>42897</v>
      </c>
      <c r="H2260" s="26" t="n">
        <f aca="false">G2260-F2260</f>
        <v>91</v>
      </c>
      <c r="I2260" s="10" t="n">
        <f aca="false">IF(E2260="Won",1,0)</f>
        <v>1</v>
      </c>
    </row>
    <row r="2261" customFormat="false" ht="15" hidden="false" customHeight="false" outlineLevel="0" collapsed="false">
      <c r="A2261" s="10" t="s">
        <v>4602</v>
      </c>
      <c r="B2261" s="10" t="s">
        <v>86</v>
      </c>
      <c r="C2261" s="10" t="s">
        <v>47</v>
      </c>
      <c r="D2261" s="10" t="s">
        <v>215</v>
      </c>
      <c r="E2261" s="10" t="s">
        <v>2342</v>
      </c>
      <c r="F2261" s="30" t="n">
        <v>42806</v>
      </c>
      <c r="G2261" s="30" t="n">
        <v>42897</v>
      </c>
      <c r="H2261" s="26" t="n">
        <f aca="false">G2261-F2261</f>
        <v>91</v>
      </c>
      <c r="I2261" s="10" t="n">
        <f aca="false">IF(E2261="Won",1,0)</f>
        <v>1</v>
      </c>
    </row>
    <row r="2262" customFormat="false" ht="15" hidden="false" customHeight="false" outlineLevel="0" collapsed="false">
      <c r="A2262" s="10" t="s">
        <v>4603</v>
      </c>
      <c r="B2262" s="10" t="s">
        <v>94</v>
      </c>
      <c r="C2262" s="10" t="s">
        <v>51</v>
      </c>
      <c r="D2262" s="10" t="s">
        <v>432</v>
      </c>
      <c r="E2262" s="10" t="s">
        <v>2345</v>
      </c>
      <c r="F2262" s="30" t="n">
        <v>42891</v>
      </c>
      <c r="G2262" s="30" t="n">
        <v>42897</v>
      </c>
      <c r="H2262" s="26" t="n">
        <f aca="false">G2262-F2262</f>
        <v>6</v>
      </c>
      <c r="I2262" s="10" t="n">
        <f aca="false">IF(E2262="Won",1,0)</f>
        <v>0</v>
      </c>
    </row>
    <row r="2263" customFormat="false" ht="15" hidden="false" customHeight="false" outlineLevel="0" collapsed="false">
      <c r="A2263" s="10" t="s">
        <v>4604</v>
      </c>
      <c r="B2263" s="10" t="s">
        <v>71</v>
      </c>
      <c r="C2263" s="10" t="s">
        <v>47</v>
      </c>
      <c r="D2263" s="10" t="s">
        <v>762</v>
      </c>
      <c r="E2263" s="10" t="s">
        <v>2342</v>
      </c>
      <c r="F2263" s="30" t="n">
        <v>42801</v>
      </c>
      <c r="G2263" s="30" t="n">
        <v>42897</v>
      </c>
      <c r="H2263" s="26" t="n">
        <f aca="false">G2263-F2263</f>
        <v>96</v>
      </c>
      <c r="I2263" s="10" t="n">
        <f aca="false">IF(E2263="Won",1,0)</f>
        <v>1</v>
      </c>
    </row>
    <row r="2264" customFormat="false" ht="15" hidden="false" customHeight="false" outlineLevel="0" collapsed="false">
      <c r="A2264" s="10" t="s">
        <v>4605</v>
      </c>
      <c r="B2264" s="10" t="s">
        <v>75</v>
      </c>
      <c r="C2264" s="10" t="s">
        <v>50</v>
      </c>
      <c r="D2264" s="10" t="s">
        <v>179</v>
      </c>
      <c r="E2264" s="10" t="s">
        <v>2345</v>
      </c>
      <c r="F2264" s="30" t="n">
        <v>42891</v>
      </c>
      <c r="G2264" s="30" t="n">
        <v>42897</v>
      </c>
      <c r="H2264" s="26" t="n">
        <f aca="false">G2264-F2264</f>
        <v>6</v>
      </c>
      <c r="I2264" s="10" t="n">
        <f aca="false">IF(E2264="Won",1,0)</f>
        <v>0</v>
      </c>
    </row>
    <row r="2265" customFormat="false" ht="15" hidden="false" customHeight="false" outlineLevel="0" collapsed="false">
      <c r="A2265" s="10" t="s">
        <v>4606</v>
      </c>
      <c r="B2265" s="10" t="s">
        <v>80</v>
      </c>
      <c r="C2265" s="10" t="s">
        <v>50</v>
      </c>
      <c r="D2265" s="10" t="s">
        <v>369</v>
      </c>
      <c r="E2265" s="10" t="s">
        <v>2342</v>
      </c>
      <c r="F2265" s="30" t="n">
        <v>42892</v>
      </c>
      <c r="G2265" s="30" t="n">
        <v>42897</v>
      </c>
      <c r="H2265" s="26" t="n">
        <f aca="false">G2265-F2265</f>
        <v>5</v>
      </c>
      <c r="I2265" s="10" t="n">
        <f aca="false">IF(E2265="Won",1,0)</f>
        <v>1</v>
      </c>
    </row>
    <row r="2266" customFormat="false" ht="15" hidden="false" customHeight="false" outlineLevel="0" collapsed="false">
      <c r="A2266" s="10" t="s">
        <v>4607</v>
      </c>
      <c r="B2266" s="10" t="s">
        <v>74</v>
      </c>
      <c r="C2266" s="10" t="s">
        <v>49</v>
      </c>
      <c r="D2266" s="10" t="s">
        <v>193</v>
      </c>
      <c r="E2266" s="10" t="s">
        <v>2342</v>
      </c>
      <c r="F2266" s="30" t="n">
        <v>42810</v>
      </c>
      <c r="G2266" s="30" t="n">
        <v>42897</v>
      </c>
      <c r="H2266" s="26" t="n">
        <f aca="false">G2266-F2266</f>
        <v>87</v>
      </c>
      <c r="I2266" s="10" t="n">
        <f aca="false">IF(E2266="Won",1,0)</f>
        <v>1</v>
      </c>
    </row>
    <row r="2267" customFormat="false" ht="15" hidden="false" customHeight="false" outlineLevel="0" collapsed="false">
      <c r="A2267" s="10" t="s">
        <v>4608</v>
      </c>
      <c r="B2267" s="10" t="s">
        <v>57</v>
      </c>
      <c r="C2267" s="10" t="s">
        <v>48</v>
      </c>
      <c r="D2267" s="10" t="s">
        <v>215</v>
      </c>
      <c r="E2267" s="10" t="s">
        <v>2342</v>
      </c>
      <c r="F2267" s="30" t="n">
        <v>42884</v>
      </c>
      <c r="G2267" s="30" t="n">
        <v>42897</v>
      </c>
      <c r="H2267" s="26" t="n">
        <f aca="false">G2267-F2267</f>
        <v>13</v>
      </c>
      <c r="I2267" s="10" t="n">
        <f aca="false">IF(E2267="Won",1,0)</f>
        <v>1</v>
      </c>
    </row>
    <row r="2268" customFormat="false" ht="15" hidden="false" customHeight="false" outlineLevel="0" collapsed="false">
      <c r="A2268" s="10" t="s">
        <v>4609</v>
      </c>
      <c r="B2268" s="10" t="s">
        <v>90</v>
      </c>
      <c r="C2268" s="10" t="s">
        <v>48</v>
      </c>
      <c r="D2268" s="10" t="s">
        <v>1118</v>
      </c>
      <c r="E2268" s="10" t="s">
        <v>2345</v>
      </c>
      <c r="F2268" s="30" t="n">
        <v>42892</v>
      </c>
      <c r="G2268" s="30" t="n">
        <v>42897</v>
      </c>
      <c r="H2268" s="26" t="n">
        <f aca="false">G2268-F2268</f>
        <v>5</v>
      </c>
      <c r="I2268" s="10" t="n">
        <f aca="false">IF(E2268="Won",1,0)</f>
        <v>0</v>
      </c>
    </row>
    <row r="2269" customFormat="false" ht="15" hidden="false" customHeight="false" outlineLevel="0" collapsed="false">
      <c r="A2269" s="10" t="s">
        <v>4610</v>
      </c>
      <c r="B2269" s="10" t="s">
        <v>84</v>
      </c>
      <c r="C2269" s="10" t="s">
        <v>50</v>
      </c>
      <c r="D2269" s="10" t="s">
        <v>1397</v>
      </c>
      <c r="E2269" s="10" t="s">
        <v>2342</v>
      </c>
      <c r="F2269" s="30" t="n">
        <v>42836</v>
      </c>
      <c r="G2269" s="30" t="n">
        <v>42897</v>
      </c>
      <c r="H2269" s="26" t="n">
        <f aca="false">G2269-F2269</f>
        <v>61</v>
      </c>
      <c r="I2269" s="10" t="n">
        <f aca="false">IF(E2269="Won",1,0)</f>
        <v>1</v>
      </c>
    </row>
    <row r="2270" customFormat="false" ht="15" hidden="false" customHeight="false" outlineLevel="0" collapsed="false">
      <c r="A2270" s="10" t="s">
        <v>4611</v>
      </c>
      <c r="B2270" s="10" t="s">
        <v>88</v>
      </c>
      <c r="C2270" s="10" t="s">
        <v>51</v>
      </c>
      <c r="D2270" s="10" t="s">
        <v>692</v>
      </c>
      <c r="E2270" s="10" t="s">
        <v>2342</v>
      </c>
      <c r="F2270" s="30" t="n">
        <v>42796</v>
      </c>
      <c r="G2270" s="30" t="n">
        <v>42897</v>
      </c>
      <c r="H2270" s="26" t="n">
        <f aca="false">G2270-F2270</f>
        <v>101</v>
      </c>
      <c r="I2270" s="10" t="n">
        <f aca="false">IF(E2270="Won",1,0)</f>
        <v>1</v>
      </c>
    </row>
    <row r="2271" customFormat="false" ht="15" hidden="false" customHeight="false" outlineLevel="0" collapsed="false">
      <c r="A2271" s="10" t="s">
        <v>4612</v>
      </c>
      <c r="B2271" s="10" t="s">
        <v>90</v>
      </c>
      <c r="C2271" s="10" t="s">
        <v>50</v>
      </c>
      <c r="D2271" s="10" t="s">
        <v>218</v>
      </c>
      <c r="E2271" s="10" t="s">
        <v>2342</v>
      </c>
      <c r="F2271" s="30" t="n">
        <v>42833</v>
      </c>
      <c r="G2271" s="30" t="n">
        <v>42897</v>
      </c>
      <c r="H2271" s="26" t="n">
        <f aca="false">G2271-F2271</f>
        <v>64</v>
      </c>
      <c r="I2271" s="10" t="n">
        <f aca="false">IF(E2271="Won",1,0)</f>
        <v>1</v>
      </c>
    </row>
    <row r="2272" customFormat="false" ht="15" hidden="false" customHeight="false" outlineLevel="0" collapsed="false">
      <c r="A2272" s="10" t="s">
        <v>4613</v>
      </c>
      <c r="B2272" s="10" t="s">
        <v>93</v>
      </c>
      <c r="C2272" s="10" t="s">
        <v>52</v>
      </c>
      <c r="D2272" s="10" t="s">
        <v>299</v>
      </c>
      <c r="E2272" s="10" t="s">
        <v>2342</v>
      </c>
      <c r="F2272" s="30" t="n">
        <v>42848</v>
      </c>
      <c r="G2272" s="30" t="n">
        <v>42897</v>
      </c>
      <c r="H2272" s="26" t="n">
        <f aca="false">G2272-F2272</f>
        <v>49</v>
      </c>
      <c r="I2272" s="10" t="n">
        <f aca="false">IF(E2272="Won",1,0)</f>
        <v>1</v>
      </c>
    </row>
    <row r="2273" customFormat="false" ht="15" hidden="false" customHeight="false" outlineLevel="0" collapsed="false">
      <c r="A2273" s="10" t="s">
        <v>4614</v>
      </c>
      <c r="B2273" s="10" t="s">
        <v>77</v>
      </c>
      <c r="C2273" s="10" t="s">
        <v>47</v>
      </c>
      <c r="D2273" s="10" t="s">
        <v>179</v>
      </c>
      <c r="E2273" s="10" t="s">
        <v>2345</v>
      </c>
      <c r="F2273" s="30" t="n">
        <v>42887</v>
      </c>
      <c r="G2273" s="30" t="n">
        <v>42897</v>
      </c>
      <c r="H2273" s="26" t="n">
        <f aca="false">G2273-F2273</f>
        <v>10</v>
      </c>
      <c r="I2273" s="10" t="n">
        <f aca="false">IF(E2273="Won",1,0)</f>
        <v>0</v>
      </c>
    </row>
    <row r="2274" customFormat="false" ht="15" hidden="false" customHeight="false" outlineLevel="0" collapsed="false">
      <c r="A2274" s="10" t="s">
        <v>4615</v>
      </c>
      <c r="B2274" s="10" t="s">
        <v>97</v>
      </c>
      <c r="C2274" s="10" t="s">
        <v>48</v>
      </c>
      <c r="D2274" s="10" t="s">
        <v>506</v>
      </c>
      <c r="E2274" s="10" t="s">
        <v>2342</v>
      </c>
      <c r="F2274" s="30" t="n">
        <v>42798</v>
      </c>
      <c r="G2274" s="30" t="n">
        <v>42897</v>
      </c>
      <c r="H2274" s="26" t="n">
        <f aca="false">G2274-F2274</f>
        <v>99</v>
      </c>
      <c r="I2274" s="10" t="n">
        <f aca="false">IF(E2274="Won",1,0)</f>
        <v>1</v>
      </c>
    </row>
    <row r="2275" customFormat="false" ht="15" hidden="false" customHeight="false" outlineLevel="0" collapsed="false">
      <c r="A2275" s="10" t="s">
        <v>4616</v>
      </c>
      <c r="B2275" s="10" t="s">
        <v>88</v>
      </c>
      <c r="C2275" s="10" t="s">
        <v>47</v>
      </c>
      <c r="D2275" s="10" t="s">
        <v>405</v>
      </c>
      <c r="E2275" s="10" t="s">
        <v>2342</v>
      </c>
      <c r="F2275" s="30" t="n">
        <v>42775</v>
      </c>
      <c r="G2275" s="30" t="n">
        <v>42897</v>
      </c>
      <c r="H2275" s="26" t="n">
        <f aca="false">G2275-F2275</f>
        <v>122</v>
      </c>
      <c r="I2275" s="10" t="n">
        <f aca="false">IF(E2275="Won",1,0)</f>
        <v>1</v>
      </c>
    </row>
    <row r="2276" customFormat="false" ht="15" hidden="false" customHeight="false" outlineLevel="0" collapsed="false">
      <c r="A2276" s="10" t="s">
        <v>4617</v>
      </c>
      <c r="B2276" s="10" t="s">
        <v>81</v>
      </c>
      <c r="C2276" s="10" t="s">
        <v>47</v>
      </c>
      <c r="D2276" s="10" t="s">
        <v>1251</v>
      </c>
      <c r="E2276" s="10" t="s">
        <v>2342</v>
      </c>
      <c r="F2276" s="30" t="n">
        <v>42873</v>
      </c>
      <c r="G2276" s="30" t="n">
        <v>42897</v>
      </c>
      <c r="H2276" s="26" t="n">
        <f aca="false">G2276-F2276</f>
        <v>24</v>
      </c>
      <c r="I2276" s="10" t="n">
        <f aca="false">IF(E2276="Won",1,0)</f>
        <v>1</v>
      </c>
    </row>
    <row r="2277" customFormat="false" ht="15" hidden="false" customHeight="false" outlineLevel="0" collapsed="false">
      <c r="A2277" s="10" t="s">
        <v>4618</v>
      </c>
      <c r="B2277" s="10" t="s">
        <v>81</v>
      </c>
      <c r="C2277" s="10" t="s">
        <v>49</v>
      </c>
      <c r="D2277" s="10" t="s">
        <v>291</v>
      </c>
      <c r="E2277" s="10" t="s">
        <v>2345</v>
      </c>
      <c r="F2277" s="30" t="n">
        <v>42795</v>
      </c>
      <c r="G2277" s="30" t="n">
        <v>42897</v>
      </c>
      <c r="H2277" s="26" t="n">
        <f aca="false">G2277-F2277</f>
        <v>102</v>
      </c>
      <c r="I2277" s="10" t="n">
        <f aca="false">IF(E2277="Won",1,0)</f>
        <v>0</v>
      </c>
    </row>
    <row r="2278" customFormat="false" ht="15" hidden="false" customHeight="false" outlineLevel="0" collapsed="false">
      <c r="A2278" s="10" t="s">
        <v>4619</v>
      </c>
      <c r="B2278" s="10" t="s">
        <v>81</v>
      </c>
      <c r="C2278" s="10" t="s">
        <v>51</v>
      </c>
      <c r="D2278" s="10" t="s">
        <v>697</v>
      </c>
      <c r="E2278" s="10" t="s">
        <v>2342</v>
      </c>
      <c r="F2278" s="30" t="n">
        <v>42800</v>
      </c>
      <c r="G2278" s="30" t="n">
        <v>42897</v>
      </c>
      <c r="H2278" s="26" t="n">
        <f aca="false">G2278-F2278</f>
        <v>97</v>
      </c>
      <c r="I2278" s="10" t="n">
        <f aca="false">IF(E2278="Won",1,0)</f>
        <v>1</v>
      </c>
    </row>
    <row r="2279" customFormat="false" ht="15" hidden="false" customHeight="false" outlineLevel="0" collapsed="false">
      <c r="A2279" s="10" t="s">
        <v>4620</v>
      </c>
      <c r="B2279" s="10" t="s">
        <v>57</v>
      </c>
      <c r="C2279" s="10" t="s">
        <v>48</v>
      </c>
      <c r="D2279" s="10" t="s">
        <v>427</v>
      </c>
      <c r="E2279" s="10" t="s">
        <v>2345</v>
      </c>
      <c r="F2279" s="30" t="n">
        <v>42817</v>
      </c>
      <c r="G2279" s="30" t="n">
        <v>42897</v>
      </c>
      <c r="H2279" s="26" t="n">
        <f aca="false">G2279-F2279</f>
        <v>80</v>
      </c>
      <c r="I2279" s="10" t="n">
        <f aca="false">IF(E2279="Won",1,0)</f>
        <v>0</v>
      </c>
    </row>
    <row r="2280" customFormat="false" ht="15" hidden="false" customHeight="false" outlineLevel="0" collapsed="false">
      <c r="A2280" s="10" t="s">
        <v>4621</v>
      </c>
      <c r="B2280" s="10" t="s">
        <v>77</v>
      </c>
      <c r="C2280" s="10" t="s">
        <v>51</v>
      </c>
      <c r="D2280" s="10" t="s">
        <v>869</v>
      </c>
      <c r="E2280" s="10" t="s">
        <v>2345</v>
      </c>
      <c r="F2280" s="30" t="n">
        <v>42787</v>
      </c>
      <c r="G2280" s="30" t="n">
        <v>42897</v>
      </c>
      <c r="H2280" s="26" t="n">
        <f aca="false">G2280-F2280</f>
        <v>110</v>
      </c>
      <c r="I2280" s="10" t="n">
        <f aca="false">IF(E2280="Won",1,0)</f>
        <v>0</v>
      </c>
    </row>
    <row r="2281" customFormat="false" ht="15" hidden="false" customHeight="false" outlineLevel="0" collapsed="false">
      <c r="A2281" s="10" t="s">
        <v>4622</v>
      </c>
      <c r="B2281" s="10" t="s">
        <v>87</v>
      </c>
      <c r="C2281" s="10" t="s">
        <v>48</v>
      </c>
      <c r="D2281" s="10" t="s">
        <v>427</v>
      </c>
      <c r="E2281" s="10" t="s">
        <v>2345</v>
      </c>
      <c r="F2281" s="30" t="n">
        <v>42797</v>
      </c>
      <c r="G2281" s="30" t="n">
        <v>42897</v>
      </c>
      <c r="H2281" s="26" t="n">
        <f aca="false">G2281-F2281</f>
        <v>100</v>
      </c>
      <c r="I2281" s="10" t="n">
        <f aca="false">IF(E2281="Won",1,0)</f>
        <v>0</v>
      </c>
    </row>
    <row r="2282" customFormat="false" ht="15" hidden="false" customHeight="false" outlineLevel="0" collapsed="false">
      <c r="A2282" s="10" t="s">
        <v>4623</v>
      </c>
      <c r="B2282" s="10" t="s">
        <v>87</v>
      </c>
      <c r="C2282" s="10" t="s">
        <v>47</v>
      </c>
      <c r="D2282" s="10" t="s">
        <v>405</v>
      </c>
      <c r="E2282" s="10" t="s">
        <v>2342</v>
      </c>
      <c r="F2282" s="30" t="n">
        <v>42835</v>
      </c>
      <c r="G2282" s="30" t="n">
        <v>42897</v>
      </c>
      <c r="H2282" s="26" t="n">
        <f aca="false">G2282-F2282</f>
        <v>62</v>
      </c>
      <c r="I2282" s="10" t="n">
        <f aca="false">IF(E2282="Won",1,0)</f>
        <v>1</v>
      </c>
    </row>
    <row r="2283" customFormat="false" ht="15" hidden="false" customHeight="false" outlineLevel="0" collapsed="false">
      <c r="A2283" s="10" t="s">
        <v>4624</v>
      </c>
      <c r="B2283" s="10" t="s">
        <v>71</v>
      </c>
      <c r="C2283" s="10" t="s">
        <v>52</v>
      </c>
      <c r="D2283" s="10" t="s">
        <v>483</v>
      </c>
      <c r="E2283" s="10" t="s">
        <v>2342</v>
      </c>
      <c r="F2283" s="30" t="n">
        <v>42887</v>
      </c>
      <c r="G2283" s="30" t="n">
        <v>42897</v>
      </c>
      <c r="H2283" s="26" t="n">
        <f aca="false">G2283-F2283</f>
        <v>10</v>
      </c>
      <c r="I2283" s="10" t="n">
        <f aca="false">IF(E2283="Won",1,0)</f>
        <v>1</v>
      </c>
    </row>
    <row r="2284" customFormat="false" ht="15" hidden="false" customHeight="false" outlineLevel="0" collapsed="false">
      <c r="A2284" s="10" t="s">
        <v>4625</v>
      </c>
      <c r="B2284" s="10" t="s">
        <v>88</v>
      </c>
      <c r="C2284" s="10" t="s">
        <v>50</v>
      </c>
      <c r="D2284" s="10" t="s">
        <v>359</v>
      </c>
      <c r="E2284" s="10" t="s">
        <v>2342</v>
      </c>
      <c r="F2284" s="30" t="n">
        <v>42796</v>
      </c>
      <c r="G2284" s="30" t="n">
        <v>42898</v>
      </c>
      <c r="H2284" s="26" t="n">
        <f aca="false">G2284-F2284</f>
        <v>102</v>
      </c>
      <c r="I2284" s="10" t="n">
        <f aca="false">IF(E2284="Won",1,0)</f>
        <v>1</v>
      </c>
    </row>
    <row r="2285" customFormat="false" ht="15" hidden="false" customHeight="false" outlineLevel="0" collapsed="false">
      <c r="A2285" s="10" t="s">
        <v>4626</v>
      </c>
      <c r="B2285" s="10" t="s">
        <v>79</v>
      </c>
      <c r="C2285" s="10" t="s">
        <v>49</v>
      </c>
      <c r="D2285" s="10" t="s">
        <v>279</v>
      </c>
      <c r="E2285" s="10" t="s">
        <v>2345</v>
      </c>
      <c r="F2285" s="30" t="n">
        <v>42840</v>
      </c>
      <c r="G2285" s="30" t="n">
        <v>42898</v>
      </c>
      <c r="H2285" s="26" t="n">
        <f aca="false">G2285-F2285</f>
        <v>58</v>
      </c>
      <c r="I2285" s="10" t="n">
        <f aca="false">IF(E2285="Won",1,0)</f>
        <v>0</v>
      </c>
    </row>
    <row r="2286" customFormat="false" ht="15" hidden="false" customHeight="false" outlineLevel="0" collapsed="false">
      <c r="A2286" s="10" t="s">
        <v>4627</v>
      </c>
      <c r="B2286" s="10" t="s">
        <v>71</v>
      </c>
      <c r="C2286" s="10" t="s">
        <v>47</v>
      </c>
      <c r="D2286" s="10" t="s">
        <v>947</v>
      </c>
      <c r="E2286" s="10" t="s">
        <v>2342</v>
      </c>
      <c r="F2286" s="30" t="n">
        <v>42785</v>
      </c>
      <c r="G2286" s="30" t="n">
        <v>42898</v>
      </c>
      <c r="H2286" s="26" t="n">
        <f aca="false">G2286-F2286</f>
        <v>113</v>
      </c>
      <c r="I2286" s="10" t="n">
        <f aca="false">IF(E2286="Won",1,0)</f>
        <v>1</v>
      </c>
    </row>
    <row r="2287" customFormat="false" ht="15" hidden="false" customHeight="false" outlineLevel="0" collapsed="false">
      <c r="A2287" s="10" t="s">
        <v>4628</v>
      </c>
      <c r="B2287" s="10" t="s">
        <v>93</v>
      </c>
      <c r="C2287" s="10" t="s">
        <v>47</v>
      </c>
      <c r="D2287" s="10" t="s">
        <v>210</v>
      </c>
      <c r="E2287" s="10" t="s">
        <v>2342</v>
      </c>
      <c r="F2287" s="30" t="n">
        <v>42805</v>
      </c>
      <c r="G2287" s="30" t="n">
        <v>42898</v>
      </c>
      <c r="H2287" s="26" t="n">
        <f aca="false">G2287-F2287</f>
        <v>93</v>
      </c>
      <c r="I2287" s="10" t="n">
        <f aca="false">IF(E2287="Won",1,0)</f>
        <v>1</v>
      </c>
    </row>
    <row r="2288" customFormat="false" ht="15" hidden="false" customHeight="false" outlineLevel="0" collapsed="false">
      <c r="A2288" s="10" t="s">
        <v>4629</v>
      </c>
      <c r="B2288" s="10" t="s">
        <v>60</v>
      </c>
      <c r="C2288" s="10" t="s">
        <v>47</v>
      </c>
      <c r="D2288" s="10" t="s">
        <v>692</v>
      </c>
      <c r="E2288" s="10" t="s">
        <v>2342</v>
      </c>
      <c r="F2288" s="30" t="n">
        <v>42846</v>
      </c>
      <c r="G2288" s="30" t="n">
        <v>42898</v>
      </c>
      <c r="H2288" s="26" t="n">
        <f aca="false">G2288-F2288</f>
        <v>52</v>
      </c>
      <c r="I2288" s="10" t="n">
        <f aca="false">IF(E2288="Won",1,0)</f>
        <v>1</v>
      </c>
    </row>
    <row r="2289" customFormat="false" ht="15" hidden="false" customHeight="false" outlineLevel="0" collapsed="false">
      <c r="A2289" s="10" t="s">
        <v>4630</v>
      </c>
      <c r="B2289" s="10" t="s">
        <v>95</v>
      </c>
      <c r="C2289" s="10" t="s">
        <v>51</v>
      </c>
      <c r="D2289" s="10" t="s">
        <v>396</v>
      </c>
      <c r="E2289" s="10" t="s">
        <v>2345</v>
      </c>
      <c r="F2289" s="30" t="n">
        <v>42856</v>
      </c>
      <c r="G2289" s="30" t="n">
        <v>42898</v>
      </c>
      <c r="H2289" s="26" t="n">
        <f aca="false">G2289-F2289</f>
        <v>42</v>
      </c>
      <c r="I2289" s="10" t="n">
        <f aca="false">IF(E2289="Won",1,0)</f>
        <v>0</v>
      </c>
    </row>
    <row r="2290" customFormat="false" ht="15" hidden="false" customHeight="false" outlineLevel="0" collapsed="false">
      <c r="A2290" s="10" t="s">
        <v>4631</v>
      </c>
      <c r="B2290" s="10" t="s">
        <v>77</v>
      </c>
      <c r="C2290" s="10" t="s">
        <v>48</v>
      </c>
      <c r="D2290" s="10" t="s">
        <v>321</v>
      </c>
      <c r="E2290" s="10" t="s">
        <v>2342</v>
      </c>
      <c r="F2290" s="30" t="n">
        <v>42812</v>
      </c>
      <c r="G2290" s="30" t="n">
        <v>42898</v>
      </c>
      <c r="H2290" s="26" t="n">
        <f aca="false">G2290-F2290</f>
        <v>86</v>
      </c>
      <c r="I2290" s="10" t="n">
        <f aca="false">IF(E2290="Won",1,0)</f>
        <v>1</v>
      </c>
    </row>
    <row r="2291" customFormat="false" ht="15" hidden="false" customHeight="false" outlineLevel="0" collapsed="false">
      <c r="A2291" s="10" t="s">
        <v>4632</v>
      </c>
      <c r="B2291" s="10" t="s">
        <v>60</v>
      </c>
      <c r="C2291" s="10" t="s">
        <v>50</v>
      </c>
      <c r="D2291" s="10" t="s">
        <v>1397</v>
      </c>
      <c r="E2291" s="10" t="s">
        <v>2342</v>
      </c>
      <c r="F2291" s="30" t="n">
        <v>42804</v>
      </c>
      <c r="G2291" s="30" t="n">
        <v>42898</v>
      </c>
      <c r="H2291" s="26" t="n">
        <f aca="false">G2291-F2291</f>
        <v>94</v>
      </c>
      <c r="I2291" s="10" t="n">
        <f aca="false">IF(E2291="Won",1,0)</f>
        <v>1</v>
      </c>
    </row>
    <row r="2292" customFormat="false" ht="15" hidden="false" customHeight="false" outlineLevel="0" collapsed="false">
      <c r="A2292" s="10" t="s">
        <v>4633</v>
      </c>
      <c r="B2292" s="10" t="s">
        <v>75</v>
      </c>
      <c r="C2292" s="10" t="s">
        <v>51</v>
      </c>
      <c r="D2292" s="10" t="s">
        <v>524</v>
      </c>
      <c r="E2292" s="10" t="s">
        <v>2342</v>
      </c>
      <c r="F2292" s="30" t="n">
        <v>42818</v>
      </c>
      <c r="G2292" s="30" t="n">
        <v>42898</v>
      </c>
      <c r="H2292" s="26" t="n">
        <f aca="false">G2292-F2292</f>
        <v>80</v>
      </c>
      <c r="I2292" s="10" t="n">
        <f aca="false">IF(E2292="Won",1,0)</f>
        <v>1</v>
      </c>
    </row>
    <row r="2293" customFormat="false" ht="15" hidden="false" customHeight="false" outlineLevel="0" collapsed="false">
      <c r="A2293" s="10" t="s">
        <v>4634</v>
      </c>
      <c r="B2293" s="10" t="s">
        <v>87</v>
      </c>
      <c r="C2293" s="10" t="s">
        <v>47</v>
      </c>
      <c r="D2293" s="10" t="s">
        <v>441</v>
      </c>
      <c r="E2293" s="10" t="s">
        <v>2342</v>
      </c>
      <c r="F2293" s="30" t="n">
        <v>42846</v>
      </c>
      <c r="G2293" s="30" t="n">
        <v>42898</v>
      </c>
      <c r="H2293" s="26" t="n">
        <f aca="false">G2293-F2293</f>
        <v>52</v>
      </c>
      <c r="I2293" s="10" t="n">
        <f aca="false">IF(E2293="Won",1,0)</f>
        <v>1</v>
      </c>
    </row>
    <row r="2294" customFormat="false" ht="15" hidden="false" customHeight="false" outlineLevel="0" collapsed="false">
      <c r="A2294" s="10" t="s">
        <v>4635</v>
      </c>
      <c r="B2294" s="10" t="s">
        <v>75</v>
      </c>
      <c r="C2294" s="10" t="s">
        <v>49</v>
      </c>
      <c r="D2294" s="10" t="s">
        <v>660</v>
      </c>
      <c r="E2294" s="10" t="s">
        <v>2342</v>
      </c>
      <c r="F2294" s="30" t="n">
        <v>42831</v>
      </c>
      <c r="G2294" s="30" t="n">
        <v>42898</v>
      </c>
      <c r="H2294" s="26" t="n">
        <f aca="false">G2294-F2294</f>
        <v>67</v>
      </c>
      <c r="I2294" s="10" t="n">
        <f aca="false">IF(E2294="Won",1,0)</f>
        <v>1</v>
      </c>
    </row>
    <row r="2295" customFormat="false" ht="15" hidden="false" customHeight="false" outlineLevel="0" collapsed="false">
      <c r="A2295" s="10" t="s">
        <v>4636</v>
      </c>
      <c r="B2295" s="10" t="s">
        <v>77</v>
      </c>
      <c r="C2295" s="10" t="s">
        <v>48</v>
      </c>
      <c r="D2295" s="10" t="s">
        <v>1948</v>
      </c>
      <c r="E2295" s="10" t="s">
        <v>2342</v>
      </c>
      <c r="F2295" s="30" t="n">
        <v>42780</v>
      </c>
      <c r="G2295" s="30" t="n">
        <v>42898</v>
      </c>
      <c r="H2295" s="26" t="n">
        <f aca="false">G2295-F2295</f>
        <v>118</v>
      </c>
      <c r="I2295" s="10" t="n">
        <f aca="false">IF(E2295="Won",1,0)</f>
        <v>1</v>
      </c>
    </row>
    <row r="2296" customFormat="false" ht="15" hidden="false" customHeight="false" outlineLevel="0" collapsed="false">
      <c r="A2296" s="10" t="s">
        <v>4637</v>
      </c>
      <c r="B2296" s="10" t="s">
        <v>74</v>
      </c>
      <c r="C2296" s="10" t="s">
        <v>51</v>
      </c>
      <c r="D2296" s="10" t="s">
        <v>483</v>
      </c>
      <c r="E2296" s="10" t="s">
        <v>2342</v>
      </c>
      <c r="F2296" s="30" t="n">
        <v>42846</v>
      </c>
      <c r="G2296" s="30" t="n">
        <v>42898</v>
      </c>
      <c r="H2296" s="26" t="n">
        <f aca="false">G2296-F2296</f>
        <v>52</v>
      </c>
      <c r="I2296" s="10" t="n">
        <f aca="false">IF(E2296="Won",1,0)</f>
        <v>1</v>
      </c>
    </row>
    <row r="2297" customFormat="false" ht="15" hidden="false" customHeight="false" outlineLevel="0" collapsed="false">
      <c r="A2297" s="10" t="s">
        <v>4638</v>
      </c>
      <c r="B2297" s="10" t="s">
        <v>84</v>
      </c>
      <c r="C2297" s="10" t="s">
        <v>51</v>
      </c>
      <c r="D2297" s="10" t="s">
        <v>233</v>
      </c>
      <c r="E2297" s="10" t="s">
        <v>2342</v>
      </c>
      <c r="F2297" s="30" t="n">
        <v>42814</v>
      </c>
      <c r="G2297" s="30" t="n">
        <v>42898</v>
      </c>
      <c r="H2297" s="26" t="n">
        <f aca="false">G2297-F2297</f>
        <v>84</v>
      </c>
      <c r="I2297" s="10" t="n">
        <f aca="false">IF(E2297="Won",1,0)</f>
        <v>1</v>
      </c>
    </row>
    <row r="2298" customFormat="false" ht="15" hidden="false" customHeight="false" outlineLevel="0" collapsed="false">
      <c r="A2298" s="10" t="s">
        <v>4639</v>
      </c>
      <c r="B2298" s="10" t="s">
        <v>90</v>
      </c>
      <c r="C2298" s="10" t="s">
        <v>51</v>
      </c>
      <c r="D2298" s="10" t="s">
        <v>286</v>
      </c>
      <c r="E2298" s="10" t="s">
        <v>2342</v>
      </c>
      <c r="F2298" s="30" t="n">
        <v>42887</v>
      </c>
      <c r="G2298" s="30" t="n">
        <v>42898</v>
      </c>
      <c r="H2298" s="26" t="n">
        <f aca="false">G2298-F2298</f>
        <v>11</v>
      </c>
      <c r="I2298" s="10" t="n">
        <f aca="false">IF(E2298="Won",1,0)</f>
        <v>1</v>
      </c>
    </row>
    <row r="2299" customFormat="false" ht="15" hidden="false" customHeight="false" outlineLevel="0" collapsed="false">
      <c r="A2299" s="10" t="s">
        <v>4640</v>
      </c>
      <c r="B2299" s="10" t="s">
        <v>83</v>
      </c>
      <c r="C2299" s="10" t="s">
        <v>50</v>
      </c>
      <c r="D2299" s="10" t="s">
        <v>697</v>
      </c>
      <c r="E2299" s="10" t="s">
        <v>2342</v>
      </c>
      <c r="F2299" s="30" t="n">
        <v>42801</v>
      </c>
      <c r="G2299" s="30" t="n">
        <v>42898</v>
      </c>
      <c r="H2299" s="26" t="n">
        <f aca="false">G2299-F2299</f>
        <v>97</v>
      </c>
      <c r="I2299" s="10" t="n">
        <f aca="false">IF(E2299="Won",1,0)</f>
        <v>1</v>
      </c>
    </row>
    <row r="2300" customFormat="false" ht="15" hidden="false" customHeight="false" outlineLevel="0" collapsed="false">
      <c r="A2300" s="10" t="s">
        <v>4641</v>
      </c>
      <c r="B2300" s="10" t="s">
        <v>73</v>
      </c>
      <c r="C2300" s="10" t="s">
        <v>52</v>
      </c>
      <c r="D2300" s="10" t="s">
        <v>597</v>
      </c>
      <c r="E2300" s="10" t="s">
        <v>2342</v>
      </c>
      <c r="F2300" s="30" t="n">
        <v>42888</v>
      </c>
      <c r="G2300" s="30" t="n">
        <v>42898</v>
      </c>
      <c r="H2300" s="26" t="n">
        <f aca="false">G2300-F2300</f>
        <v>10</v>
      </c>
      <c r="I2300" s="10" t="n">
        <f aca="false">IF(E2300="Won",1,0)</f>
        <v>1</v>
      </c>
    </row>
    <row r="2301" customFormat="false" ht="15" hidden="false" customHeight="false" outlineLevel="0" collapsed="false">
      <c r="A2301" s="10" t="s">
        <v>4642</v>
      </c>
      <c r="B2301" s="10" t="s">
        <v>83</v>
      </c>
      <c r="C2301" s="10" t="s">
        <v>49</v>
      </c>
      <c r="D2301" s="10" t="s">
        <v>762</v>
      </c>
      <c r="E2301" s="10" t="s">
        <v>2342</v>
      </c>
      <c r="F2301" s="30" t="n">
        <v>42896</v>
      </c>
      <c r="G2301" s="30" t="n">
        <v>42898</v>
      </c>
      <c r="H2301" s="26" t="n">
        <f aca="false">G2301-F2301</f>
        <v>2</v>
      </c>
      <c r="I2301" s="10" t="n">
        <f aca="false">IF(E2301="Won",1,0)</f>
        <v>1</v>
      </c>
    </row>
    <row r="2302" customFormat="false" ht="15" hidden="false" customHeight="false" outlineLevel="0" collapsed="false">
      <c r="A2302" s="10" t="s">
        <v>4643</v>
      </c>
      <c r="B2302" s="10" t="s">
        <v>96</v>
      </c>
      <c r="C2302" s="10" t="s">
        <v>50</v>
      </c>
      <c r="D2302" s="10" t="s">
        <v>514</v>
      </c>
      <c r="E2302" s="10" t="s">
        <v>2342</v>
      </c>
      <c r="F2302" s="30" t="n">
        <v>42881</v>
      </c>
      <c r="G2302" s="30" t="n">
        <v>42898</v>
      </c>
      <c r="H2302" s="26" t="n">
        <f aca="false">G2302-F2302</f>
        <v>17</v>
      </c>
      <c r="I2302" s="10" t="n">
        <f aca="false">IF(E2302="Won",1,0)</f>
        <v>1</v>
      </c>
    </row>
    <row r="2303" customFormat="false" ht="15" hidden="false" customHeight="false" outlineLevel="0" collapsed="false">
      <c r="A2303" s="10" t="s">
        <v>4644</v>
      </c>
      <c r="B2303" s="10" t="s">
        <v>70</v>
      </c>
      <c r="C2303" s="10" t="s">
        <v>49</v>
      </c>
      <c r="D2303" s="10" t="s">
        <v>396</v>
      </c>
      <c r="E2303" s="10" t="s">
        <v>2345</v>
      </c>
      <c r="F2303" s="30" t="n">
        <v>42814</v>
      </c>
      <c r="G2303" s="30" t="n">
        <v>42898</v>
      </c>
      <c r="H2303" s="26" t="n">
        <f aca="false">G2303-F2303</f>
        <v>84</v>
      </c>
      <c r="I2303" s="10" t="n">
        <f aca="false">IF(E2303="Won",1,0)</f>
        <v>0</v>
      </c>
    </row>
    <row r="2304" customFormat="false" ht="15" hidden="false" customHeight="false" outlineLevel="0" collapsed="false">
      <c r="A2304" s="10" t="s">
        <v>4645</v>
      </c>
      <c r="B2304" s="10" t="s">
        <v>76</v>
      </c>
      <c r="C2304" s="10" t="s">
        <v>47</v>
      </c>
      <c r="D2304" s="10" t="s">
        <v>961</v>
      </c>
      <c r="E2304" s="10" t="s">
        <v>2345</v>
      </c>
      <c r="F2304" s="30" t="n">
        <v>42832</v>
      </c>
      <c r="G2304" s="30" t="n">
        <v>42899</v>
      </c>
      <c r="H2304" s="26" t="n">
        <f aca="false">G2304-F2304</f>
        <v>67</v>
      </c>
      <c r="I2304" s="10" t="n">
        <f aca="false">IF(E2304="Won",1,0)</f>
        <v>0</v>
      </c>
    </row>
    <row r="2305" customFormat="false" ht="15" hidden="false" customHeight="false" outlineLevel="0" collapsed="false">
      <c r="A2305" s="10" t="s">
        <v>4646</v>
      </c>
      <c r="B2305" s="10" t="s">
        <v>70</v>
      </c>
      <c r="C2305" s="10" t="s">
        <v>49</v>
      </c>
      <c r="D2305" s="10" t="s">
        <v>227</v>
      </c>
      <c r="E2305" s="10" t="s">
        <v>2342</v>
      </c>
      <c r="F2305" s="30" t="n">
        <v>42775</v>
      </c>
      <c r="G2305" s="30" t="n">
        <v>42899</v>
      </c>
      <c r="H2305" s="26" t="n">
        <f aca="false">G2305-F2305</f>
        <v>124</v>
      </c>
      <c r="I2305" s="10" t="n">
        <f aca="false">IF(E2305="Won",1,0)</f>
        <v>1</v>
      </c>
    </row>
    <row r="2306" customFormat="false" ht="15" hidden="false" customHeight="false" outlineLevel="0" collapsed="false">
      <c r="A2306" s="10" t="s">
        <v>4647</v>
      </c>
      <c r="B2306" s="10" t="s">
        <v>71</v>
      </c>
      <c r="C2306" s="10" t="s">
        <v>50</v>
      </c>
      <c r="D2306" s="10" t="s">
        <v>410</v>
      </c>
      <c r="E2306" s="10" t="s">
        <v>2345</v>
      </c>
      <c r="F2306" s="30" t="n">
        <v>42883</v>
      </c>
      <c r="G2306" s="30" t="n">
        <v>42899</v>
      </c>
      <c r="H2306" s="26" t="n">
        <f aca="false">G2306-F2306</f>
        <v>16</v>
      </c>
      <c r="I2306" s="10" t="n">
        <f aca="false">IF(E2306="Won",1,0)</f>
        <v>0</v>
      </c>
    </row>
    <row r="2307" customFormat="false" ht="15" hidden="false" customHeight="false" outlineLevel="0" collapsed="false">
      <c r="A2307" s="10" t="s">
        <v>4648</v>
      </c>
      <c r="B2307" s="10" t="s">
        <v>95</v>
      </c>
      <c r="C2307" s="10" t="s">
        <v>50</v>
      </c>
      <c r="D2307" s="10" t="s">
        <v>199</v>
      </c>
      <c r="E2307" s="10" t="s">
        <v>2345</v>
      </c>
      <c r="F2307" s="30" t="n">
        <v>42835</v>
      </c>
      <c r="G2307" s="30" t="n">
        <v>42899</v>
      </c>
      <c r="H2307" s="26" t="n">
        <f aca="false">G2307-F2307</f>
        <v>64</v>
      </c>
      <c r="I2307" s="10" t="n">
        <f aca="false">IF(E2307="Won",1,0)</f>
        <v>0</v>
      </c>
    </row>
    <row r="2308" customFormat="false" ht="15" hidden="false" customHeight="false" outlineLevel="0" collapsed="false">
      <c r="A2308" s="10" t="s">
        <v>4649</v>
      </c>
      <c r="B2308" s="10" t="s">
        <v>73</v>
      </c>
      <c r="C2308" s="10" t="s">
        <v>50</v>
      </c>
      <c r="D2308" s="10" t="s">
        <v>527</v>
      </c>
      <c r="E2308" s="10" t="s">
        <v>2342</v>
      </c>
      <c r="F2308" s="30" t="n">
        <v>42805</v>
      </c>
      <c r="G2308" s="30" t="n">
        <v>42899</v>
      </c>
      <c r="H2308" s="26" t="n">
        <f aca="false">G2308-F2308</f>
        <v>94</v>
      </c>
      <c r="I2308" s="10" t="n">
        <f aca="false">IF(E2308="Won",1,0)</f>
        <v>1</v>
      </c>
    </row>
    <row r="2309" customFormat="false" ht="15" hidden="false" customHeight="false" outlineLevel="0" collapsed="false">
      <c r="A2309" s="10" t="s">
        <v>4650</v>
      </c>
      <c r="B2309" s="10" t="s">
        <v>86</v>
      </c>
      <c r="C2309" s="10" t="s">
        <v>49</v>
      </c>
      <c r="D2309" s="10" t="s">
        <v>692</v>
      </c>
      <c r="E2309" s="10" t="s">
        <v>2342</v>
      </c>
      <c r="F2309" s="30" t="n">
        <v>42808</v>
      </c>
      <c r="G2309" s="30" t="n">
        <v>42899</v>
      </c>
      <c r="H2309" s="26" t="n">
        <f aca="false">G2309-F2309</f>
        <v>91</v>
      </c>
      <c r="I2309" s="10" t="n">
        <f aca="false">IF(E2309="Won",1,0)</f>
        <v>1</v>
      </c>
    </row>
    <row r="2310" customFormat="false" ht="15" hidden="false" customHeight="false" outlineLevel="0" collapsed="false">
      <c r="A2310" s="10" t="s">
        <v>4651</v>
      </c>
      <c r="B2310" s="10" t="s">
        <v>81</v>
      </c>
      <c r="C2310" s="10" t="s">
        <v>50</v>
      </c>
      <c r="D2310" s="10" t="s">
        <v>660</v>
      </c>
      <c r="E2310" s="10" t="s">
        <v>2342</v>
      </c>
      <c r="F2310" s="30" t="n">
        <v>42851</v>
      </c>
      <c r="G2310" s="30" t="n">
        <v>42899</v>
      </c>
      <c r="H2310" s="26" t="n">
        <f aca="false">G2310-F2310</f>
        <v>48</v>
      </c>
      <c r="I2310" s="10" t="n">
        <f aca="false">IF(E2310="Won",1,0)</f>
        <v>1</v>
      </c>
    </row>
    <row r="2311" customFormat="false" ht="15" hidden="false" customHeight="false" outlineLevel="0" collapsed="false">
      <c r="A2311" s="10" t="s">
        <v>4652</v>
      </c>
      <c r="B2311" s="10" t="s">
        <v>94</v>
      </c>
      <c r="C2311" s="10" t="s">
        <v>52</v>
      </c>
      <c r="D2311" s="10" t="s">
        <v>506</v>
      </c>
      <c r="E2311" s="10" t="s">
        <v>2345</v>
      </c>
      <c r="F2311" s="30" t="n">
        <v>42767</v>
      </c>
      <c r="G2311" s="30" t="n">
        <v>42899</v>
      </c>
      <c r="H2311" s="26" t="n">
        <f aca="false">G2311-F2311</f>
        <v>132</v>
      </c>
      <c r="I2311" s="10" t="n">
        <f aca="false">IF(E2311="Won",1,0)</f>
        <v>0</v>
      </c>
    </row>
    <row r="2312" customFormat="false" ht="15" hidden="false" customHeight="false" outlineLevel="0" collapsed="false">
      <c r="A2312" s="10" t="s">
        <v>4653</v>
      </c>
      <c r="B2312" s="10" t="s">
        <v>88</v>
      </c>
      <c r="C2312" s="10" t="s">
        <v>50</v>
      </c>
      <c r="D2312" s="10" t="s">
        <v>1397</v>
      </c>
      <c r="E2312" s="10" t="s">
        <v>2345</v>
      </c>
      <c r="F2312" s="30" t="n">
        <v>42783</v>
      </c>
      <c r="G2312" s="30" t="n">
        <v>42899</v>
      </c>
      <c r="H2312" s="26" t="n">
        <f aca="false">G2312-F2312</f>
        <v>116</v>
      </c>
      <c r="I2312" s="10" t="n">
        <f aca="false">IF(E2312="Won",1,0)</f>
        <v>0</v>
      </c>
    </row>
    <row r="2313" customFormat="false" ht="15" hidden="false" customHeight="false" outlineLevel="0" collapsed="false">
      <c r="A2313" s="10" t="s">
        <v>4654</v>
      </c>
      <c r="B2313" s="10" t="s">
        <v>76</v>
      </c>
      <c r="C2313" s="10" t="s">
        <v>47</v>
      </c>
      <c r="D2313" s="10" t="s">
        <v>414</v>
      </c>
      <c r="E2313" s="10" t="s">
        <v>2342</v>
      </c>
      <c r="F2313" s="30" t="n">
        <v>42890</v>
      </c>
      <c r="G2313" s="30" t="n">
        <v>42899</v>
      </c>
      <c r="H2313" s="26" t="n">
        <f aca="false">G2313-F2313</f>
        <v>9</v>
      </c>
      <c r="I2313" s="10" t="n">
        <f aca="false">IF(E2313="Won",1,0)</f>
        <v>1</v>
      </c>
    </row>
    <row r="2314" customFormat="false" ht="15" hidden="false" customHeight="false" outlineLevel="0" collapsed="false">
      <c r="A2314" s="10" t="s">
        <v>4655</v>
      </c>
      <c r="B2314" s="10" t="s">
        <v>76</v>
      </c>
      <c r="C2314" s="10" t="s">
        <v>52</v>
      </c>
      <c r="D2314" s="10" t="s">
        <v>524</v>
      </c>
      <c r="E2314" s="10" t="s">
        <v>2342</v>
      </c>
      <c r="F2314" s="30" t="n">
        <v>42886</v>
      </c>
      <c r="G2314" s="30" t="n">
        <v>42899</v>
      </c>
      <c r="H2314" s="26" t="n">
        <f aca="false">G2314-F2314</f>
        <v>13</v>
      </c>
      <c r="I2314" s="10" t="n">
        <f aca="false">IF(E2314="Won",1,0)</f>
        <v>1</v>
      </c>
    </row>
    <row r="2315" customFormat="false" ht="15" hidden="false" customHeight="false" outlineLevel="0" collapsed="false">
      <c r="A2315" s="10" t="s">
        <v>4656</v>
      </c>
      <c r="B2315" s="10" t="s">
        <v>67</v>
      </c>
      <c r="C2315" s="10" t="s">
        <v>49</v>
      </c>
      <c r="D2315" s="10" t="s">
        <v>168</v>
      </c>
      <c r="E2315" s="10" t="s">
        <v>2342</v>
      </c>
      <c r="F2315" s="30" t="n">
        <v>42778</v>
      </c>
      <c r="G2315" s="30" t="n">
        <v>42899</v>
      </c>
      <c r="H2315" s="26" t="n">
        <f aca="false">G2315-F2315</f>
        <v>121</v>
      </c>
      <c r="I2315" s="10" t="n">
        <f aca="false">IF(E2315="Won",1,0)</f>
        <v>1</v>
      </c>
    </row>
    <row r="2316" customFormat="false" ht="15" hidden="false" customHeight="false" outlineLevel="0" collapsed="false">
      <c r="A2316" s="10" t="s">
        <v>4657</v>
      </c>
      <c r="B2316" s="10" t="s">
        <v>70</v>
      </c>
      <c r="C2316" s="10" t="s">
        <v>49</v>
      </c>
      <c r="D2316" s="10" t="s">
        <v>606</v>
      </c>
      <c r="E2316" s="10" t="s">
        <v>2342</v>
      </c>
      <c r="F2316" s="30" t="n">
        <v>42773</v>
      </c>
      <c r="G2316" s="30" t="n">
        <v>42899</v>
      </c>
      <c r="H2316" s="26" t="n">
        <f aca="false">G2316-F2316</f>
        <v>126</v>
      </c>
      <c r="I2316" s="10" t="n">
        <f aca="false">IF(E2316="Won",1,0)</f>
        <v>1</v>
      </c>
    </row>
    <row r="2317" customFormat="false" ht="15" hidden="false" customHeight="false" outlineLevel="0" collapsed="false">
      <c r="A2317" s="10" t="s">
        <v>4658</v>
      </c>
      <c r="B2317" s="10" t="s">
        <v>71</v>
      </c>
      <c r="C2317" s="10" t="s">
        <v>51</v>
      </c>
      <c r="D2317" s="10" t="s">
        <v>961</v>
      </c>
      <c r="E2317" s="10" t="s">
        <v>2342</v>
      </c>
      <c r="F2317" s="30" t="n">
        <v>42798</v>
      </c>
      <c r="G2317" s="30" t="n">
        <v>42899</v>
      </c>
      <c r="H2317" s="26" t="n">
        <f aca="false">G2317-F2317</f>
        <v>101</v>
      </c>
      <c r="I2317" s="10" t="n">
        <f aca="false">IF(E2317="Won",1,0)</f>
        <v>1</v>
      </c>
    </row>
    <row r="2318" customFormat="false" ht="15" hidden="false" customHeight="false" outlineLevel="0" collapsed="false">
      <c r="A2318" s="10" t="s">
        <v>4659</v>
      </c>
      <c r="B2318" s="10" t="s">
        <v>77</v>
      </c>
      <c r="C2318" s="10" t="s">
        <v>49</v>
      </c>
      <c r="D2318" s="10" t="s">
        <v>410</v>
      </c>
      <c r="E2318" s="10" t="s">
        <v>2342</v>
      </c>
      <c r="F2318" s="30" t="n">
        <v>42791</v>
      </c>
      <c r="G2318" s="30" t="n">
        <v>42899</v>
      </c>
      <c r="H2318" s="26" t="n">
        <f aca="false">G2318-F2318</f>
        <v>108</v>
      </c>
      <c r="I2318" s="10" t="n">
        <f aca="false">IF(E2318="Won",1,0)</f>
        <v>1</v>
      </c>
    </row>
    <row r="2319" customFormat="false" ht="15" hidden="false" customHeight="false" outlineLevel="0" collapsed="false">
      <c r="A2319" s="10" t="s">
        <v>4660</v>
      </c>
      <c r="B2319" s="10" t="s">
        <v>67</v>
      </c>
      <c r="C2319" s="10" t="s">
        <v>52</v>
      </c>
      <c r="D2319" s="10" t="s">
        <v>326</v>
      </c>
      <c r="E2319" s="10" t="s">
        <v>2342</v>
      </c>
      <c r="F2319" s="30" t="n">
        <v>42806</v>
      </c>
      <c r="G2319" s="30" t="n">
        <v>42899</v>
      </c>
      <c r="H2319" s="26" t="n">
        <f aca="false">G2319-F2319</f>
        <v>93</v>
      </c>
      <c r="I2319" s="10" t="n">
        <f aca="false">IF(E2319="Won",1,0)</f>
        <v>1</v>
      </c>
    </row>
    <row r="2320" customFormat="false" ht="15" hidden="false" customHeight="false" outlineLevel="0" collapsed="false">
      <c r="A2320" s="10" t="s">
        <v>4661</v>
      </c>
      <c r="B2320" s="10" t="s">
        <v>97</v>
      </c>
      <c r="C2320" s="10" t="s">
        <v>50</v>
      </c>
      <c r="D2320" s="10" t="s">
        <v>483</v>
      </c>
      <c r="E2320" s="10" t="s">
        <v>2342</v>
      </c>
      <c r="F2320" s="30" t="n">
        <v>42827</v>
      </c>
      <c r="G2320" s="30" t="n">
        <v>42899</v>
      </c>
      <c r="H2320" s="26" t="n">
        <f aca="false">G2320-F2320</f>
        <v>72</v>
      </c>
      <c r="I2320" s="10" t="n">
        <f aca="false">IF(E2320="Won",1,0)</f>
        <v>1</v>
      </c>
    </row>
    <row r="2321" customFormat="false" ht="15" hidden="false" customHeight="false" outlineLevel="0" collapsed="false">
      <c r="A2321" s="10" t="s">
        <v>4662</v>
      </c>
      <c r="B2321" s="10" t="s">
        <v>69</v>
      </c>
      <c r="C2321" s="10" t="s">
        <v>48</v>
      </c>
      <c r="D2321" s="10" t="s">
        <v>396</v>
      </c>
      <c r="E2321" s="10" t="s">
        <v>2342</v>
      </c>
      <c r="F2321" s="30" t="n">
        <v>42765</v>
      </c>
      <c r="G2321" s="30" t="n">
        <v>42899</v>
      </c>
      <c r="H2321" s="26" t="n">
        <f aca="false">G2321-F2321</f>
        <v>134</v>
      </c>
      <c r="I2321" s="10" t="n">
        <f aca="false">IF(E2321="Won",1,0)</f>
        <v>1</v>
      </c>
    </row>
    <row r="2322" customFormat="false" ht="15" hidden="false" customHeight="false" outlineLevel="0" collapsed="false">
      <c r="A2322" s="10" t="s">
        <v>4663</v>
      </c>
      <c r="B2322" s="10" t="s">
        <v>79</v>
      </c>
      <c r="C2322" s="10" t="s">
        <v>49</v>
      </c>
      <c r="D2322" s="10" t="s">
        <v>369</v>
      </c>
      <c r="E2322" s="10" t="s">
        <v>2342</v>
      </c>
      <c r="F2322" s="30" t="n">
        <v>42786</v>
      </c>
      <c r="G2322" s="30" t="n">
        <v>42900</v>
      </c>
      <c r="H2322" s="26" t="n">
        <f aca="false">G2322-F2322</f>
        <v>114</v>
      </c>
      <c r="I2322" s="10" t="n">
        <f aca="false">IF(E2322="Won",1,0)</f>
        <v>1</v>
      </c>
    </row>
    <row r="2323" customFormat="false" ht="15" hidden="false" customHeight="false" outlineLevel="0" collapsed="false">
      <c r="A2323" s="10" t="s">
        <v>4664</v>
      </c>
      <c r="B2323" s="10" t="s">
        <v>67</v>
      </c>
      <c r="C2323" s="10" t="s">
        <v>49</v>
      </c>
      <c r="D2323" s="10" t="s">
        <v>227</v>
      </c>
      <c r="E2323" s="10" t="s">
        <v>2342</v>
      </c>
      <c r="F2323" s="30" t="n">
        <v>42764</v>
      </c>
      <c r="G2323" s="30" t="n">
        <v>42900</v>
      </c>
      <c r="H2323" s="26" t="n">
        <f aca="false">G2323-F2323</f>
        <v>136</v>
      </c>
      <c r="I2323" s="10" t="n">
        <f aca="false">IF(E2323="Won",1,0)</f>
        <v>1</v>
      </c>
    </row>
    <row r="2324" customFormat="false" ht="15" hidden="false" customHeight="false" outlineLevel="0" collapsed="false">
      <c r="A2324" s="10" t="s">
        <v>4665</v>
      </c>
      <c r="B2324" s="10" t="s">
        <v>86</v>
      </c>
      <c r="C2324" s="10" t="s">
        <v>49</v>
      </c>
      <c r="D2324" s="10" t="s">
        <v>247</v>
      </c>
      <c r="E2324" s="10" t="s">
        <v>2342</v>
      </c>
      <c r="F2324" s="30" t="n">
        <v>42896</v>
      </c>
      <c r="G2324" s="30" t="n">
        <v>42900</v>
      </c>
      <c r="H2324" s="26" t="n">
        <f aca="false">G2324-F2324</f>
        <v>4</v>
      </c>
      <c r="I2324" s="10" t="n">
        <f aca="false">IF(E2324="Won",1,0)</f>
        <v>1</v>
      </c>
    </row>
    <row r="2325" customFormat="false" ht="15" hidden="false" customHeight="false" outlineLevel="0" collapsed="false">
      <c r="A2325" s="10" t="s">
        <v>4666</v>
      </c>
      <c r="B2325" s="10" t="s">
        <v>81</v>
      </c>
      <c r="C2325" s="10" t="s">
        <v>50</v>
      </c>
      <c r="D2325" s="10" t="s">
        <v>536</v>
      </c>
      <c r="E2325" s="10" t="s">
        <v>2342</v>
      </c>
      <c r="F2325" s="30" t="n">
        <v>42894</v>
      </c>
      <c r="G2325" s="30" t="n">
        <v>42900</v>
      </c>
      <c r="H2325" s="26" t="n">
        <f aca="false">G2325-F2325</f>
        <v>6</v>
      </c>
      <c r="I2325" s="10" t="n">
        <f aca="false">IF(E2325="Won",1,0)</f>
        <v>1</v>
      </c>
    </row>
    <row r="2326" customFormat="false" ht="15" hidden="false" customHeight="false" outlineLevel="0" collapsed="false">
      <c r="A2326" s="10" t="s">
        <v>4667</v>
      </c>
      <c r="B2326" s="10" t="s">
        <v>88</v>
      </c>
      <c r="C2326" s="10" t="s">
        <v>51</v>
      </c>
      <c r="D2326" s="10" t="s">
        <v>427</v>
      </c>
      <c r="E2326" s="10" t="s">
        <v>2342</v>
      </c>
      <c r="F2326" s="30" t="n">
        <v>42833</v>
      </c>
      <c r="G2326" s="30" t="n">
        <v>42900</v>
      </c>
      <c r="H2326" s="26" t="n">
        <f aca="false">G2326-F2326</f>
        <v>67</v>
      </c>
      <c r="I2326" s="10" t="n">
        <f aca="false">IF(E2326="Won",1,0)</f>
        <v>1</v>
      </c>
    </row>
    <row r="2327" customFormat="false" ht="15" hidden="false" customHeight="false" outlineLevel="0" collapsed="false">
      <c r="A2327" s="10" t="s">
        <v>4668</v>
      </c>
      <c r="B2327" s="10" t="s">
        <v>95</v>
      </c>
      <c r="C2327" s="10" t="s">
        <v>48</v>
      </c>
      <c r="D2327" s="10" t="s">
        <v>233</v>
      </c>
      <c r="E2327" s="10" t="s">
        <v>2342</v>
      </c>
      <c r="F2327" s="30" t="n">
        <v>42809</v>
      </c>
      <c r="G2327" s="30" t="n">
        <v>42900</v>
      </c>
      <c r="H2327" s="26" t="n">
        <f aca="false">G2327-F2327</f>
        <v>91</v>
      </c>
      <c r="I2327" s="10" t="n">
        <f aca="false">IF(E2327="Won",1,0)</f>
        <v>1</v>
      </c>
    </row>
    <row r="2328" customFormat="false" ht="15" hidden="false" customHeight="false" outlineLevel="0" collapsed="false">
      <c r="A2328" s="10" t="s">
        <v>4669</v>
      </c>
      <c r="B2328" s="10" t="s">
        <v>79</v>
      </c>
      <c r="C2328" s="10" t="s">
        <v>50</v>
      </c>
      <c r="D2328" s="10" t="s">
        <v>597</v>
      </c>
      <c r="E2328" s="10" t="s">
        <v>2342</v>
      </c>
      <c r="F2328" s="30" t="n">
        <v>42819</v>
      </c>
      <c r="G2328" s="30" t="n">
        <v>42900</v>
      </c>
      <c r="H2328" s="26" t="n">
        <f aca="false">G2328-F2328</f>
        <v>81</v>
      </c>
      <c r="I2328" s="10" t="n">
        <f aca="false">IF(E2328="Won",1,0)</f>
        <v>1</v>
      </c>
    </row>
    <row r="2329" customFormat="false" ht="15" hidden="false" customHeight="false" outlineLevel="0" collapsed="false">
      <c r="A2329" s="10" t="s">
        <v>4670</v>
      </c>
      <c r="B2329" s="10" t="s">
        <v>61</v>
      </c>
      <c r="C2329" s="10" t="s">
        <v>52</v>
      </c>
      <c r="D2329" s="10" t="s">
        <v>441</v>
      </c>
      <c r="E2329" s="10" t="s">
        <v>2345</v>
      </c>
      <c r="F2329" s="30" t="n">
        <v>42785</v>
      </c>
      <c r="G2329" s="30" t="n">
        <v>42900</v>
      </c>
      <c r="H2329" s="26" t="n">
        <f aca="false">G2329-F2329</f>
        <v>115</v>
      </c>
      <c r="I2329" s="10" t="n">
        <f aca="false">IF(E2329="Won",1,0)</f>
        <v>0</v>
      </c>
    </row>
    <row r="2330" customFormat="false" ht="15" hidden="false" customHeight="false" outlineLevel="0" collapsed="false">
      <c r="A2330" s="10" t="s">
        <v>4671</v>
      </c>
      <c r="B2330" s="10" t="s">
        <v>75</v>
      </c>
      <c r="C2330" s="10" t="s">
        <v>52</v>
      </c>
      <c r="D2330" s="10" t="s">
        <v>179</v>
      </c>
      <c r="E2330" s="10" t="s">
        <v>2342</v>
      </c>
      <c r="F2330" s="30" t="n">
        <v>42795</v>
      </c>
      <c r="G2330" s="30" t="n">
        <v>42900</v>
      </c>
      <c r="H2330" s="26" t="n">
        <f aca="false">G2330-F2330</f>
        <v>105</v>
      </c>
      <c r="I2330" s="10" t="n">
        <f aca="false">IF(E2330="Won",1,0)</f>
        <v>1</v>
      </c>
    </row>
    <row r="2331" customFormat="false" ht="15" hidden="false" customHeight="false" outlineLevel="0" collapsed="false">
      <c r="A2331" s="10" t="s">
        <v>4672</v>
      </c>
      <c r="B2331" s="10" t="s">
        <v>74</v>
      </c>
      <c r="C2331" s="10" t="s">
        <v>49</v>
      </c>
      <c r="D2331" s="10" t="s">
        <v>697</v>
      </c>
      <c r="E2331" s="10" t="s">
        <v>2342</v>
      </c>
      <c r="F2331" s="30" t="n">
        <v>42816</v>
      </c>
      <c r="G2331" s="30" t="n">
        <v>42900</v>
      </c>
      <c r="H2331" s="26" t="n">
        <f aca="false">G2331-F2331</f>
        <v>84</v>
      </c>
      <c r="I2331" s="10" t="n">
        <f aca="false">IF(E2331="Won",1,0)</f>
        <v>1</v>
      </c>
    </row>
    <row r="2332" customFormat="false" ht="15" hidden="false" customHeight="false" outlineLevel="0" collapsed="false">
      <c r="A2332" s="10" t="s">
        <v>4673</v>
      </c>
      <c r="B2332" s="10" t="s">
        <v>88</v>
      </c>
      <c r="C2332" s="10" t="s">
        <v>49</v>
      </c>
      <c r="D2332" s="10" t="s">
        <v>464</v>
      </c>
      <c r="E2332" s="10" t="s">
        <v>2342</v>
      </c>
      <c r="F2332" s="30" t="n">
        <v>42780</v>
      </c>
      <c r="G2332" s="30" t="n">
        <v>42900</v>
      </c>
      <c r="H2332" s="26" t="n">
        <f aca="false">G2332-F2332</f>
        <v>120</v>
      </c>
      <c r="I2332" s="10" t="n">
        <f aca="false">IF(E2332="Won",1,0)</f>
        <v>1</v>
      </c>
    </row>
    <row r="2333" customFormat="false" ht="15" hidden="false" customHeight="false" outlineLevel="0" collapsed="false">
      <c r="A2333" s="10" t="s">
        <v>4674</v>
      </c>
      <c r="B2333" s="10" t="s">
        <v>70</v>
      </c>
      <c r="C2333" s="10" t="s">
        <v>51</v>
      </c>
      <c r="D2333" s="10" t="s">
        <v>286</v>
      </c>
      <c r="E2333" s="10" t="s">
        <v>2342</v>
      </c>
      <c r="F2333" s="30" t="n">
        <v>42799</v>
      </c>
      <c r="G2333" s="30" t="n">
        <v>42900</v>
      </c>
      <c r="H2333" s="26" t="n">
        <f aca="false">G2333-F2333</f>
        <v>101</v>
      </c>
      <c r="I2333" s="10" t="n">
        <f aca="false">IF(E2333="Won",1,0)</f>
        <v>1</v>
      </c>
    </row>
    <row r="2334" customFormat="false" ht="15" hidden="false" customHeight="false" outlineLevel="0" collapsed="false">
      <c r="A2334" s="10" t="s">
        <v>4675</v>
      </c>
      <c r="B2334" s="10" t="s">
        <v>70</v>
      </c>
      <c r="C2334" s="10" t="s">
        <v>47</v>
      </c>
      <c r="D2334" s="10" t="s">
        <v>170</v>
      </c>
      <c r="E2334" s="10" t="s">
        <v>2342</v>
      </c>
      <c r="F2334" s="30" t="n">
        <v>42817</v>
      </c>
      <c r="G2334" s="30" t="n">
        <v>42900</v>
      </c>
      <c r="H2334" s="26" t="n">
        <f aca="false">G2334-F2334</f>
        <v>83</v>
      </c>
      <c r="I2334" s="10" t="n">
        <f aca="false">IF(E2334="Won",1,0)</f>
        <v>1</v>
      </c>
    </row>
    <row r="2335" customFormat="false" ht="15" hidden="false" customHeight="false" outlineLevel="0" collapsed="false">
      <c r="A2335" s="10" t="s">
        <v>4676</v>
      </c>
      <c r="B2335" s="10" t="s">
        <v>77</v>
      </c>
      <c r="C2335" s="10" t="s">
        <v>51</v>
      </c>
      <c r="D2335" s="10" t="s">
        <v>291</v>
      </c>
      <c r="E2335" s="10" t="s">
        <v>2342</v>
      </c>
      <c r="F2335" s="30" t="n">
        <v>42887</v>
      </c>
      <c r="G2335" s="30" t="n">
        <v>42900</v>
      </c>
      <c r="H2335" s="26" t="n">
        <f aca="false">G2335-F2335</f>
        <v>13</v>
      </c>
      <c r="I2335" s="10" t="n">
        <f aca="false">IF(E2335="Won",1,0)</f>
        <v>1</v>
      </c>
    </row>
    <row r="2336" customFormat="false" ht="15" hidden="false" customHeight="false" outlineLevel="0" collapsed="false">
      <c r="A2336" s="10" t="s">
        <v>4677</v>
      </c>
      <c r="B2336" s="10" t="s">
        <v>90</v>
      </c>
      <c r="C2336" s="10" t="s">
        <v>51</v>
      </c>
      <c r="D2336" s="10" t="s">
        <v>185</v>
      </c>
      <c r="E2336" s="10" t="s">
        <v>2342</v>
      </c>
      <c r="F2336" s="30" t="n">
        <v>42890</v>
      </c>
      <c r="G2336" s="30" t="n">
        <v>42900</v>
      </c>
      <c r="H2336" s="26" t="n">
        <f aca="false">G2336-F2336</f>
        <v>10</v>
      </c>
      <c r="I2336" s="10" t="n">
        <f aca="false">IF(E2336="Won",1,0)</f>
        <v>1</v>
      </c>
    </row>
    <row r="2337" customFormat="false" ht="15" hidden="false" customHeight="false" outlineLevel="0" collapsed="false">
      <c r="A2337" s="10" t="s">
        <v>4678</v>
      </c>
      <c r="B2337" s="10" t="s">
        <v>93</v>
      </c>
      <c r="C2337" s="10" t="s">
        <v>50</v>
      </c>
      <c r="D2337" s="10" t="s">
        <v>168</v>
      </c>
      <c r="E2337" s="10" t="s">
        <v>2342</v>
      </c>
      <c r="F2337" s="30" t="n">
        <v>42877</v>
      </c>
      <c r="G2337" s="30" t="n">
        <v>42900</v>
      </c>
      <c r="H2337" s="26" t="n">
        <f aca="false">G2337-F2337</f>
        <v>23</v>
      </c>
      <c r="I2337" s="10" t="n">
        <f aca="false">IF(E2337="Won",1,0)</f>
        <v>1</v>
      </c>
    </row>
    <row r="2338" customFormat="false" ht="15" hidden="false" customHeight="false" outlineLevel="0" collapsed="false">
      <c r="A2338" s="10" t="s">
        <v>4679</v>
      </c>
      <c r="B2338" s="10" t="s">
        <v>63</v>
      </c>
      <c r="C2338" s="10" t="s">
        <v>52</v>
      </c>
      <c r="D2338" s="10" t="s">
        <v>277</v>
      </c>
      <c r="E2338" s="10" t="s">
        <v>2342</v>
      </c>
      <c r="F2338" s="30" t="n">
        <v>42886</v>
      </c>
      <c r="G2338" s="30" t="n">
        <v>42900</v>
      </c>
      <c r="H2338" s="26" t="n">
        <f aca="false">G2338-F2338</f>
        <v>14</v>
      </c>
      <c r="I2338" s="10" t="n">
        <f aca="false">IF(E2338="Won",1,0)</f>
        <v>1</v>
      </c>
    </row>
    <row r="2339" customFormat="false" ht="15" hidden="false" customHeight="false" outlineLevel="0" collapsed="false">
      <c r="A2339" s="10" t="s">
        <v>4680</v>
      </c>
      <c r="B2339" s="10" t="s">
        <v>63</v>
      </c>
      <c r="C2339" s="10" t="s">
        <v>51</v>
      </c>
      <c r="D2339" s="10" t="s">
        <v>1397</v>
      </c>
      <c r="E2339" s="10" t="s">
        <v>2342</v>
      </c>
      <c r="F2339" s="30" t="n">
        <v>42814</v>
      </c>
      <c r="G2339" s="30" t="n">
        <v>42900</v>
      </c>
      <c r="H2339" s="26" t="n">
        <f aca="false">G2339-F2339</f>
        <v>86</v>
      </c>
      <c r="I2339" s="10" t="n">
        <f aca="false">IF(E2339="Won",1,0)</f>
        <v>1</v>
      </c>
    </row>
    <row r="2340" customFormat="false" ht="15" hidden="false" customHeight="false" outlineLevel="0" collapsed="false">
      <c r="A2340" s="10" t="s">
        <v>4681</v>
      </c>
      <c r="B2340" s="10" t="s">
        <v>88</v>
      </c>
      <c r="C2340" s="10" t="s">
        <v>48</v>
      </c>
      <c r="D2340" s="10" t="s">
        <v>233</v>
      </c>
      <c r="E2340" s="10" t="s">
        <v>2342</v>
      </c>
      <c r="F2340" s="30" t="n">
        <v>42890</v>
      </c>
      <c r="G2340" s="30" t="n">
        <v>42900</v>
      </c>
      <c r="H2340" s="26" t="n">
        <f aca="false">G2340-F2340</f>
        <v>10</v>
      </c>
      <c r="I2340" s="10" t="n">
        <f aca="false">IF(E2340="Won",1,0)</f>
        <v>1</v>
      </c>
    </row>
    <row r="2341" customFormat="false" ht="15" hidden="false" customHeight="false" outlineLevel="0" collapsed="false">
      <c r="A2341" s="10" t="s">
        <v>4682</v>
      </c>
      <c r="B2341" s="10" t="s">
        <v>68</v>
      </c>
      <c r="C2341" s="10" t="s">
        <v>47</v>
      </c>
      <c r="D2341" s="10" t="s">
        <v>227</v>
      </c>
      <c r="E2341" s="10" t="s">
        <v>2342</v>
      </c>
      <c r="F2341" s="30" t="n">
        <v>42884</v>
      </c>
      <c r="G2341" s="30" t="n">
        <v>42901</v>
      </c>
      <c r="H2341" s="26" t="n">
        <f aca="false">G2341-F2341</f>
        <v>17</v>
      </c>
      <c r="I2341" s="10" t="n">
        <f aca="false">IF(E2341="Won",1,0)</f>
        <v>1</v>
      </c>
    </row>
    <row r="2342" customFormat="false" ht="15" hidden="false" customHeight="false" outlineLevel="0" collapsed="false">
      <c r="A2342" s="10" t="s">
        <v>4683</v>
      </c>
      <c r="B2342" s="10" t="s">
        <v>76</v>
      </c>
      <c r="C2342" s="10" t="s">
        <v>52</v>
      </c>
      <c r="D2342" s="10" t="s">
        <v>536</v>
      </c>
      <c r="E2342" s="10" t="s">
        <v>2342</v>
      </c>
      <c r="F2342" s="30" t="n">
        <v>42897</v>
      </c>
      <c r="G2342" s="30" t="n">
        <v>42901</v>
      </c>
      <c r="H2342" s="26" t="n">
        <f aca="false">G2342-F2342</f>
        <v>4</v>
      </c>
      <c r="I2342" s="10" t="n">
        <f aca="false">IF(E2342="Won",1,0)</f>
        <v>1</v>
      </c>
    </row>
    <row r="2343" customFormat="false" ht="15" hidden="false" customHeight="false" outlineLevel="0" collapsed="false">
      <c r="A2343" s="10" t="s">
        <v>4684</v>
      </c>
      <c r="B2343" s="10" t="s">
        <v>86</v>
      </c>
      <c r="C2343" s="10" t="s">
        <v>49</v>
      </c>
      <c r="D2343" s="10" t="s">
        <v>1118</v>
      </c>
      <c r="E2343" s="10" t="s">
        <v>2342</v>
      </c>
      <c r="F2343" s="30" t="n">
        <v>42794</v>
      </c>
      <c r="G2343" s="30" t="n">
        <v>42901</v>
      </c>
      <c r="H2343" s="26" t="n">
        <f aca="false">G2343-F2343</f>
        <v>107</v>
      </c>
      <c r="I2343" s="10" t="n">
        <f aca="false">IF(E2343="Won",1,0)</f>
        <v>1</v>
      </c>
    </row>
    <row r="2344" customFormat="false" ht="15" hidden="false" customHeight="false" outlineLevel="0" collapsed="false">
      <c r="A2344" s="10" t="s">
        <v>4685</v>
      </c>
      <c r="B2344" s="10" t="s">
        <v>74</v>
      </c>
      <c r="C2344" s="10" t="s">
        <v>51</v>
      </c>
      <c r="D2344" s="10" t="s">
        <v>527</v>
      </c>
      <c r="E2344" s="10" t="s">
        <v>2342</v>
      </c>
      <c r="F2344" s="30" t="n">
        <v>42794</v>
      </c>
      <c r="G2344" s="30" t="n">
        <v>42901</v>
      </c>
      <c r="H2344" s="26" t="n">
        <f aca="false">G2344-F2344</f>
        <v>107</v>
      </c>
      <c r="I2344" s="10" t="n">
        <f aca="false">IF(E2344="Won",1,0)</f>
        <v>1</v>
      </c>
    </row>
    <row r="2345" customFormat="false" ht="15" hidden="false" customHeight="false" outlineLevel="0" collapsed="false">
      <c r="A2345" s="10" t="s">
        <v>4686</v>
      </c>
      <c r="B2345" s="10" t="s">
        <v>76</v>
      </c>
      <c r="C2345" s="10" t="s">
        <v>52</v>
      </c>
      <c r="D2345" s="10" t="s">
        <v>422</v>
      </c>
      <c r="E2345" s="10" t="s">
        <v>2342</v>
      </c>
      <c r="F2345" s="30" t="n">
        <v>42899</v>
      </c>
      <c r="G2345" s="30" t="n">
        <v>42901</v>
      </c>
      <c r="H2345" s="26" t="n">
        <f aca="false">G2345-F2345</f>
        <v>2</v>
      </c>
      <c r="I2345" s="10" t="n">
        <f aca="false">IF(E2345="Won",1,0)</f>
        <v>1</v>
      </c>
    </row>
    <row r="2346" customFormat="false" ht="15" hidden="false" customHeight="false" outlineLevel="0" collapsed="false">
      <c r="A2346" s="10" t="s">
        <v>4687</v>
      </c>
      <c r="B2346" s="10" t="s">
        <v>80</v>
      </c>
      <c r="C2346" s="10" t="s">
        <v>50</v>
      </c>
      <c r="D2346" s="10" t="s">
        <v>353</v>
      </c>
      <c r="E2346" s="10" t="s">
        <v>2342</v>
      </c>
      <c r="F2346" s="30" t="n">
        <v>42845</v>
      </c>
      <c r="G2346" s="30" t="n">
        <v>42901</v>
      </c>
      <c r="H2346" s="26" t="n">
        <f aca="false">G2346-F2346</f>
        <v>56</v>
      </c>
      <c r="I2346" s="10" t="n">
        <f aca="false">IF(E2346="Won",1,0)</f>
        <v>1</v>
      </c>
    </row>
    <row r="2347" customFormat="false" ht="15" hidden="false" customHeight="false" outlineLevel="0" collapsed="false">
      <c r="A2347" s="10" t="s">
        <v>4688</v>
      </c>
      <c r="B2347" s="10" t="s">
        <v>70</v>
      </c>
      <c r="C2347" s="10" t="s">
        <v>51</v>
      </c>
      <c r="D2347" s="10" t="s">
        <v>432</v>
      </c>
      <c r="E2347" s="10" t="s">
        <v>2342</v>
      </c>
      <c r="F2347" s="30" t="n">
        <v>42894</v>
      </c>
      <c r="G2347" s="30" t="n">
        <v>42901</v>
      </c>
      <c r="H2347" s="26" t="n">
        <f aca="false">G2347-F2347</f>
        <v>7</v>
      </c>
      <c r="I2347" s="10" t="n">
        <f aca="false">IF(E2347="Won",1,0)</f>
        <v>1</v>
      </c>
    </row>
    <row r="2348" customFormat="false" ht="15" hidden="false" customHeight="false" outlineLevel="0" collapsed="false">
      <c r="A2348" s="10" t="s">
        <v>4689</v>
      </c>
      <c r="B2348" s="10" t="s">
        <v>71</v>
      </c>
      <c r="C2348" s="10" t="s">
        <v>52</v>
      </c>
      <c r="D2348" s="10" t="s">
        <v>210</v>
      </c>
      <c r="E2348" s="10" t="s">
        <v>2342</v>
      </c>
      <c r="F2348" s="30" t="n">
        <v>42825</v>
      </c>
      <c r="G2348" s="30" t="n">
        <v>42901</v>
      </c>
      <c r="H2348" s="26" t="n">
        <f aca="false">G2348-F2348</f>
        <v>76</v>
      </c>
      <c r="I2348" s="10" t="n">
        <f aca="false">IF(E2348="Won",1,0)</f>
        <v>1</v>
      </c>
    </row>
    <row r="2349" customFormat="false" ht="15" hidden="false" customHeight="false" outlineLevel="0" collapsed="false">
      <c r="A2349" s="10" t="s">
        <v>4690</v>
      </c>
      <c r="B2349" s="10" t="s">
        <v>74</v>
      </c>
      <c r="C2349" s="10" t="s">
        <v>52</v>
      </c>
      <c r="D2349" s="10" t="s">
        <v>512</v>
      </c>
      <c r="E2349" s="10" t="s">
        <v>2345</v>
      </c>
      <c r="F2349" s="30" t="n">
        <v>42817</v>
      </c>
      <c r="G2349" s="30" t="n">
        <v>42901</v>
      </c>
      <c r="H2349" s="26" t="n">
        <f aca="false">G2349-F2349</f>
        <v>84</v>
      </c>
      <c r="I2349" s="10" t="n">
        <f aca="false">IF(E2349="Won",1,0)</f>
        <v>0</v>
      </c>
    </row>
    <row r="2350" customFormat="false" ht="15" hidden="false" customHeight="false" outlineLevel="0" collapsed="false">
      <c r="A2350" s="10" t="s">
        <v>4691</v>
      </c>
      <c r="B2350" s="10" t="s">
        <v>90</v>
      </c>
      <c r="C2350" s="10" t="s">
        <v>49</v>
      </c>
      <c r="D2350" s="10" t="s">
        <v>233</v>
      </c>
      <c r="E2350" s="10" t="s">
        <v>2342</v>
      </c>
      <c r="F2350" s="30" t="n">
        <v>42776</v>
      </c>
      <c r="G2350" s="30" t="n">
        <v>42901</v>
      </c>
      <c r="H2350" s="26" t="n">
        <f aca="false">G2350-F2350</f>
        <v>125</v>
      </c>
      <c r="I2350" s="10" t="n">
        <f aca="false">IF(E2350="Won",1,0)</f>
        <v>1</v>
      </c>
    </row>
    <row r="2351" customFormat="false" ht="15" hidden="false" customHeight="false" outlineLevel="0" collapsed="false">
      <c r="A2351" s="10" t="s">
        <v>4692</v>
      </c>
      <c r="B2351" s="10" t="s">
        <v>96</v>
      </c>
      <c r="C2351" s="10" t="s">
        <v>48</v>
      </c>
      <c r="D2351" s="10" t="s">
        <v>168</v>
      </c>
      <c r="E2351" s="10" t="s">
        <v>2342</v>
      </c>
      <c r="F2351" s="30" t="n">
        <v>42806</v>
      </c>
      <c r="G2351" s="30" t="n">
        <v>42901</v>
      </c>
      <c r="H2351" s="26" t="n">
        <f aca="false">G2351-F2351</f>
        <v>95</v>
      </c>
      <c r="I2351" s="10" t="n">
        <f aca="false">IF(E2351="Won",1,0)</f>
        <v>1</v>
      </c>
    </row>
    <row r="2352" customFormat="false" ht="15" hidden="false" customHeight="false" outlineLevel="0" collapsed="false">
      <c r="A2352" s="10" t="s">
        <v>4693</v>
      </c>
      <c r="B2352" s="10" t="s">
        <v>87</v>
      </c>
      <c r="C2352" s="10" t="s">
        <v>48</v>
      </c>
      <c r="D2352" s="10" t="s">
        <v>233</v>
      </c>
      <c r="E2352" s="10" t="s">
        <v>2342</v>
      </c>
      <c r="F2352" s="30" t="n">
        <v>42883</v>
      </c>
      <c r="G2352" s="30" t="n">
        <v>42901</v>
      </c>
      <c r="H2352" s="26" t="n">
        <f aca="false">G2352-F2352</f>
        <v>18</v>
      </c>
      <c r="I2352" s="10" t="n">
        <f aca="false">IF(E2352="Won",1,0)</f>
        <v>1</v>
      </c>
    </row>
    <row r="2353" customFormat="false" ht="15" hidden="false" customHeight="false" outlineLevel="0" collapsed="false">
      <c r="A2353" s="10" t="s">
        <v>4694</v>
      </c>
      <c r="B2353" s="10" t="s">
        <v>74</v>
      </c>
      <c r="C2353" s="10" t="s">
        <v>51</v>
      </c>
      <c r="D2353" s="10" t="s">
        <v>422</v>
      </c>
      <c r="E2353" s="10" t="s">
        <v>2342</v>
      </c>
      <c r="F2353" s="30" t="n">
        <v>42848</v>
      </c>
      <c r="G2353" s="30" t="n">
        <v>42901</v>
      </c>
      <c r="H2353" s="26" t="n">
        <f aca="false">G2353-F2353</f>
        <v>53</v>
      </c>
      <c r="I2353" s="10" t="n">
        <f aca="false">IF(E2353="Won",1,0)</f>
        <v>1</v>
      </c>
    </row>
    <row r="2354" customFormat="false" ht="15" hidden="false" customHeight="false" outlineLevel="0" collapsed="false">
      <c r="A2354" s="10" t="s">
        <v>4695</v>
      </c>
      <c r="B2354" s="10" t="s">
        <v>83</v>
      </c>
      <c r="C2354" s="10" t="s">
        <v>50</v>
      </c>
      <c r="D2354" s="10" t="s">
        <v>961</v>
      </c>
      <c r="E2354" s="10" t="s">
        <v>2342</v>
      </c>
      <c r="F2354" s="30" t="n">
        <v>42769</v>
      </c>
      <c r="G2354" s="30" t="n">
        <v>42901</v>
      </c>
      <c r="H2354" s="26" t="n">
        <f aca="false">G2354-F2354</f>
        <v>132</v>
      </c>
      <c r="I2354" s="10" t="n">
        <f aca="false">IF(E2354="Won",1,0)</f>
        <v>1</v>
      </c>
    </row>
    <row r="2355" customFormat="false" ht="15" hidden="false" customHeight="false" outlineLevel="0" collapsed="false">
      <c r="A2355" s="10" t="s">
        <v>4696</v>
      </c>
      <c r="B2355" s="10" t="s">
        <v>90</v>
      </c>
      <c r="C2355" s="10" t="s">
        <v>50</v>
      </c>
      <c r="D2355" s="10" t="s">
        <v>233</v>
      </c>
      <c r="E2355" s="10" t="s">
        <v>2342</v>
      </c>
      <c r="F2355" s="30" t="n">
        <v>42886</v>
      </c>
      <c r="G2355" s="30" t="n">
        <v>42901</v>
      </c>
      <c r="H2355" s="26" t="n">
        <f aca="false">G2355-F2355</f>
        <v>15</v>
      </c>
      <c r="I2355" s="10" t="n">
        <f aca="false">IF(E2355="Won",1,0)</f>
        <v>1</v>
      </c>
    </row>
    <row r="2356" customFormat="false" ht="15" hidden="false" customHeight="false" outlineLevel="0" collapsed="false">
      <c r="A2356" s="10" t="s">
        <v>4697</v>
      </c>
      <c r="B2356" s="10" t="s">
        <v>86</v>
      </c>
      <c r="C2356" s="10" t="s">
        <v>47</v>
      </c>
      <c r="D2356" s="10" t="s">
        <v>453</v>
      </c>
      <c r="E2356" s="10" t="s">
        <v>2342</v>
      </c>
      <c r="F2356" s="30" t="n">
        <v>42782</v>
      </c>
      <c r="G2356" s="30" t="n">
        <v>42901</v>
      </c>
      <c r="H2356" s="26" t="n">
        <f aca="false">G2356-F2356</f>
        <v>119</v>
      </c>
      <c r="I2356" s="10" t="n">
        <f aca="false">IF(E2356="Won",1,0)</f>
        <v>1</v>
      </c>
    </row>
    <row r="2357" customFormat="false" ht="15" hidden="false" customHeight="false" outlineLevel="0" collapsed="false">
      <c r="A2357" s="10" t="s">
        <v>4698</v>
      </c>
      <c r="B2357" s="10" t="s">
        <v>79</v>
      </c>
      <c r="C2357" s="10" t="s">
        <v>48</v>
      </c>
      <c r="D2357" s="10" t="s">
        <v>259</v>
      </c>
      <c r="E2357" s="10" t="s">
        <v>2342</v>
      </c>
      <c r="F2357" s="30" t="n">
        <v>42788</v>
      </c>
      <c r="G2357" s="30" t="n">
        <v>42901</v>
      </c>
      <c r="H2357" s="26" t="n">
        <f aca="false">G2357-F2357</f>
        <v>113</v>
      </c>
      <c r="I2357" s="10" t="n">
        <f aca="false">IF(E2357="Won",1,0)</f>
        <v>1</v>
      </c>
    </row>
    <row r="2358" customFormat="false" ht="15" hidden="false" customHeight="false" outlineLevel="0" collapsed="false">
      <c r="A2358" s="10" t="s">
        <v>4699</v>
      </c>
      <c r="B2358" s="10" t="s">
        <v>87</v>
      </c>
      <c r="C2358" s="10" t="s">
        <v>47</v>
      </c>
      <c r="D2358" s="10" t="s">
        <v>359</v>
      </c>
      <c r="E2358" s="10" t="s">
        <v>2345</v>
      </c>
      <c r="F2358" s="30" t="n">
        <v>42886</v>
      </c>
      <c r="G2358" s="30" t="n">
        <v>42902</v>
      </c>
      <c r="H2358" s="26" t="n">
        <f aca="false">G2358-F2358</f>
        <v>16</v>
      </c>
      <c r="I2358" s="10" t="n">
        <f aca="false">IF(E2358="Won",1,0)</f>
        <v>0</v>
      </c>
    </row>
    <row r="2359" customFormat="false" ht="15" hidden="false" customHeight="false" outlineLevel="0" collapsed="false">
      <c r="A2359" s="10" t="s">
        <v>4700</v>
      </c>
      <c r="B2359" s="10" t="s">
        <v>68</v>
      </c>
      <c r="C2359" s="10" t="s">
        <v>50</v>
      </c>
      <c r="D2359" s="10" t="s">
        <v>199</v>
      </c>
      <c r="E2359" s="10" t="s">
        <v>2342</v>
      </c>
      <c r="F2359" s="30" t="n">
        <v>42894</v>
      </c>
      <c r="G2359" s="30" t="n">
        <v>42902</v>
      </c>
      <c r="H2359" s="26" t="n">
        <f aca="false">G2359-F2359</f>
        <v>8</v>
      </c>
      <c r="I2359" s="10" t="n">
        <f aca="false">IF(E2359="Won",1,0)</f>
        <v>1</v>
      </c>
    </row>
    <row r="2360" customFormat="false" ht="15" hidden="false" customHeight="false" outlineLevel="0" collapsed="false">
      <c r="A2360" s="10" t="s">
        <v>4701</v>
      </c>
      <c r="B2360" s="10" t="s">
        <v>70</v>
      </c>
      <c r="C2360" s="10" t="s">
        <v>50</v>
      </c>
      <c r="D2360" s="10" t="s">
        <v>487</v>
      </c>
      <c r="E2360" s="10" t="s">
        <v>2342</v>
      </c>
      <c r="F2360" s="30" t="n">
        <v>42856</v>
      </c>
      <c r="G2360" s="30" t="n">
        <v>42902</v>
      </c>
      <c r="H2360" s="26" t="n">
        <f aca="false">G2360-F2360</f>
        <v>46</v>
      </c>
      <c r="I2360" s="10" t="n">
        <f aca="false">IF(E2360="Won",1,0)</f>
        <v>1</v>
      </c>
    </row>
    <row r="2361" customFormat="false" ht="15" hidden="false" customHeight="false" outlineLevel="0" collapsed="false">
      <c r="A2361" s="10" t="s">
        <v>4702</v>
      </c>
      <c r="B2361" s="10" t="s">
        <v>80</v>
      </c>
      <c r="C2361" s="10" t="s">
        <v>51</v>
      </c>
      <c r="D2361" s="10" t="s">
        <v>762</v>
      </c>
      <c r="E2361" s="10" t="s">
        <v>2342</v>
      </c>
      <c r="F2361" s="30" t="n">
        <v>42894</v>
      </c>
      <c r="G2361" s="30" t="n">
        <v>42902</v>
      </c>
      <c r="H2361" s="26" t="n">
        <f aca="false">G2361-F2361</f>
        <v>8</v>
      </c>
      <c r="I2361" s="10" t="n">
        <f aca="false">IF(E2361="Won",1,0)</f>
        <v>1</v>
      </c>
    </row>
    <row r="2362" customFormat="false" ht="15" hidden="false" customHeight="false" outlineLevel="0" collapsed="false">
      <c r="A2362" s="10" t="s">
        <v>4703</v>
      </c>
      <c r="B2362" s="10" t="s">
        <v>62</v>
      </c>
      <c r="C2362" s="10" t="s">
        <v>52</v>
      </c>
      <c r="D2362" s="10" t="s">
        <v>215</v>
      </c>
      <c r="E2362" s="10" t="s">
        <v>2342</v>
      </c>
      <c r="F2362" s="30" t="n">
        <v>42866</v>
      </c>
      <c r="G2362" s="30" t="n">
        <v>42902</v>
      </c>
      <c r="H2362" s="26" t="n">
        <f aca="false">G2362-F2362</f>
        <v>36</v>
      </c>
      <c r="I2362" s="10" t="n">
        <f aca="false">IF(E2362="Won",1,0)</f>
        <v>1</v>
      </c>
    </row>
    <row r="2363" customFormat="false" ht="15" hidden="false" customHeight="false" outlineLevel="0" collapsed="false">
      <c r="A2363" s="10" t="s">
        <v>4704</v>
      </c>
      <c r="B2363" s="10" t="s">
        <v>75</v>
      </c>
      <c r="C2363" s="10" t="s">
        <v>51</v>
      </c>
      <c r="D2363" s="10" t="s">
        <v>422</v>
      </c>
      <c r="E2363" s="10" t="s">
        <v>2342</v>
      </c>
      <c r="F2363" s="30" t="n">
        <v>42789</v>
      </c>
      <c r="G2363" s="30" t="n">
        <v>42902</v>
      </c>
      <c r="H2363" s="26" t="n">
        <f aca="false">G2363-F2363</f>
        <v>113</v>
      </c>
      <c r="I2363" s="10" t="n">
        <f aca="false">IF(E2363="Won",1,0)</f>
        <v>1</v>
      </c>
    </row>
    <row r="2364" customFormat="false" ht="15" hidden="false" customHeight="false" outlineLevel="0" collapsed="false">
      <c r="A2364" s="10" t="s">
        <v>4705</v>
      </c>
      <c r="B2364" s="10" t="s">
        <v>83</v>
      </c>
      <c r="C2364" s="10" t="s">
        <v>50</v>
      </c>
      <c r="D2364" s="10" t="s">
        <v>321</v>
      </c>
      <c r="E2364" s="10" t="s">
        <v>2345</v>
      </c>
      <c r="F2364" s="30" t="n">
        <v>42838</v>
      </c>
      <c r="G2364" s="30" t="n">
        <v>42902</v>
      </c>
      <c r="H2364" s="26" t="n">
        <f aca="false">G2364-F2364</f>
        <v>64</v>
      </c>
      <c r="I2364" s="10" t="n">
        <f aca="false">IF(E2364="Won",1,0)</f>
        <v>0</v>
      </c>
    </row>
    <row r="2365" customFormat="false" ht="15" hidden="false" customHeight="false" outlineLevel="0" collapsed="false">
      <c r="A2365" s="10" t="s">
        <v>4706</v>
      </c>
      <c r="B2365" s="10" t="s">
        <v>84</v>
      </c>
      <c r="C2365" s="10" t="s">
        <v>51</v>
      </c>
      <c r="D2365" s="10" t="s">
        <v>233</v>
      </c>
      <c r="E2365" s="10" t="s">
        <v>2345</v>
      </c>
      <c r="F2365" s="30" t="n">
        <v>42789</v>
      </c>
      <c r="G2365" s="30" t="n">
        <v>42902</v>
      </c>
      <c r="H2365" s="26" t="n">
        <f aca="false">G2365-F2365</f>
        <v>113</v>
      </c>
      <c r="I2365" s="10" t="n">
        <f aca="false">IF(E2365="Won",1,0)</f>
        <v>0</v>
      </c>
    </row>
    <row r="2366" customFormat="false" ht="15" hidden="false" customHeight="false" outlineLevel="0" collapsed="false">
      <c r="A2366" s="10" t="s">
        <v>4707</v>
      </c>
      <c r="B2366" s="10" t="s">
        <v>76</v>
      </c>
      <c r="C2366" s="10" t="s">
        <v>52</v>
      </c>
      <c r="D2366" s="10" t="s">
        <v>414</v>
      </c>
      <c r="E2366" s="10" t="s">
        <v>2342</v>
      </c>
      <c r="F2366" s="30" t="n">
        <v>42795</v>
      </c>
      <c r="G2366" s="30" t="n">
        <v>42902</v>
      </c>
      <c r="H2366" s="26" t="n">
        <f aca="false">G2366-F2366</f>
        <v>107</v>
      </c>
      <c r="I2366" s="10" t="n">
        <f aca="false">IF(E2366="Won",1,0)</f>
        <v>1</v>
      </c>
    </row>
    <row r="2367" customFormat="false" ht="15" hidden="false" customHeight="false" outlineLevel="0" collapsed="false">
      <c r="A2367" s="10" t="s">
        <v>4708</v>
      </c>
      <c r="B2367" s="10" t="s">
        <v>77</v>
      </c>
      <c r="C2367" s="10" t="s">
        <v>48</v>
      </c>
      <c r="D2367" s="10" t="s">
        <v>353</v>
      </c>
      <c r="E2367" s="10" t="s">
        <v>2342</v>
      </c>
      <c r="F2367" s="30" t="n">
        <v>42823</v>
      </c>
      <c r="G2367" s="30" t="n">
        <v>42902</v>
      </c>
      <c r="H2367" s="26" t="n">
        <f aca="false">G2367-F2367</f>
        <v>79</v>
      </c>
      <c r="I2367" s="10" t="n">
        <f aca="false">IF(E2367="Won",1,0)</f>
        <v>1</v>
      </c>
    </row>
    <row r="2368" customFormat="false" ht="15" hidden="false" customHeight="false" outlineLevel="0" collapsed="false">
      <c r="A2368" s="10" t="s">
        <v>4709</v>
      </c>
      <c r="B2368" s="10" t="s">
        <v>84</v>
      </c>
      <c r="C2368" s="10" t="s">
        <v>52</v>
      </c>
      <c r="D2368" s="10" t="s">
        <v>464</v>
      </c>
      <c r="E2368" s="10" t="s">
        <v>2342</v>
      </c>
      <c r="F2368" s="30" t="n">
        <v>42845</v>
      </c>
      <c r="G2368" s="30" t="n">
        <v>42902</v>
      </c>
      <c r="H2368" s="26" t="n">
        <f aca="false">G2368-F2368</f>
        <v>57</v>
      </c>
      <c r="I2368" s="10" t="n">
        <f aca="false">IF(E2368="Won",1,0)</f>
        <v>1</v>
      </c>
    </row>
    <row r="2369" customFormat="false" ht="15" hidden="false" customHeight="false" outlineLevel="0" collapsed="false">
      <c r="A2369" s="10" t="s">
        <v>4710</v>
      </c>
      <c r="B2369" s="10" t="s">
        <v>67</v>
      </c>
      <c r="C2369" s="10" t="s">
        <v>50</v>
      </c>
      <c r="D2369" s="10" t="s">
        <v>313</v>
      </c>
      <c r="E2369" s="10" t="s">
        <v>2342</v>
      </c>
      <c r="F2369" s="30" t="n">
        <v>42802</v>
      </c>
      <c r="G2369" s="30" t="n">
        <v>42902</v>
      </c>
      <c r="H2369" s="26" t="n">
        <f aca="false">G2369-F2369</f>
        <v>100</v>
      </c>
      <c r="I2369" s="10" t="n">
        <f aca="false">IF(E2369="Won",1,0)</f>
        <v>1</v>
      </c>
    </row>
    <row r="2370" customFormat="false" ht="15" hidden="false" customHeight="false" outlineLevel="0" collapsed="false">
      <c r="A2370" s="10" t="s">
        <v>4711</v>
      </c>
      <c r="B2370" s="10" t="s">
        <v>62</v>
      </c>
      <c r="C2370" s="10" t="s">
        <v>52</v>
      </c>
      <c r="D2370" s="10" t="s">
        <v>293</v>
      </c>
      <c r="E2370" s="10" t="s">
        <v>2342</v>
      </c>
      <c r="F2370" s="30" t="n">
        <v>42819</v>
      </c>
      <c r="G2370" s="30" t="n">
        <v>42902</v>
      </c>
      <c r="H2370" s="26" t="n">
        <f aca="false">G2370-F2370</f>
        <v>83</v>
      </c>
      <c r="I2370" s="10" t="n">
        <f aca="false">IF(E2370="Won",1,0)</f>
        <v>1</v>
      </c>
    </row>
    <row r="2371" customFormat="false" ht="15" hidden="false" customHeight="false" outlineLevel="0" collapsed="false">
      <c r="A2371" s="10" t="s">
        <v>4712</v>
      </c>
      <c r="B2371" s="10" t="s">
        <v>70</v>
      </c>
      <c r="C2371" s="10" t="s">
        <v>52</v>
      </c>
      <c r="D2371" s="10" t="s">
        <v>313</v>
      </c>
      <c r="E2371" s="10" t="s">
        <v>2342</v>
      </c>
      <c r="F2371" s="30" t="n">
        <v>42834</v>
      </c>
      <c r="G2371" s="30" t="n">
        <v>42902</v>
      </c>
      <c r="H2371" s="26" t="n">
        <f aca="false">G2371-F2371</f>
        <v>68</v>
      </c>
      <c r="I2371" s="10" t="n">
        <f aca="false">IF(E2371="Won",1,0)</f>
        <v>1</v>
      </c>
    </row>
    <row r="2372" customFormat="false" ht="15" hidden="false" customHeight="false" outlineLevel="0" collapsed="false">
      <c r="A2372" s="10" t="s">
        <v>4713</v>
      </c>
      <c r="B2372" s="10" t="s">
        <v>71</v>
      </c>
      <c r="C2372" s="10" t="s">
        <v>50</v>
      </c>
      <c r="D2372" s="10" t="s">
        <v>267</v>
      </c>
      <c r="E2372" s="10" t="s">
        <v>2342</v>
      </c>
      <c r="F2372" s="30" t="n">
        <v>42815</v>
      </c>
      <c r="G2372" s="30" t="n">
        <v>42902</v>
      </c>
      <c r="H2372" s="26" t="n">
        <f aca="false">G2372-F2372</f>
        <v>87</v>
      </c>
      <c r="I2372" s="10" t="n">
        <f aca="false">IF(E2372="Won",1,0)</f>
        <v>1</v>
      </c>
    </row>
    <row r="2373" customFormat="false" ht="15" hidden="false" customHeight="false" outlineLevel="0" collapsed="false">
      <c r="A2373" s="10" t="s">
        <v>4714</v>
      </c>
      <c r="B2373" s="10" t="s">
        <v>61</v>
      </c>
      <c r="C2373" s="10" t="s">
        <v>48</v>
      </c>
      <c r="D2373" s="10" t="s">
        <v>464</v>
      </c>
      <c r="E2373" s="10" t="s">
        <v>2342</v>
      </c>
      <c r="F2373" s="30" t="n">
        <v>42839</v>
      </c>
      <c r="G2373" s="30" t="n">
        <v>42902</v>
      </c>
      <c r="H2373" s="26" t="n">
        <f aca="false">G2373-F2373</f>
        <v>63</v>
      </c>
      <c r="I2373" s="10" t="n">
        <f aca="false">IF(E2373="Won",1,0)</f>
        <v>1</v>
      </c>
    </row>
    <row r="2374" customFormat="false" ht="15" hidden="false" customHeight="false" outlineLevel="0" collapsed="false">
      <c r="A2374" s="10" t="s">
        <v>4715</v>
      </c>
      <c r="B2374" s="10" t="s">
        <v>79</v>
      </c>
      <c r="C2374" s="10" t="s">
        <v>52</v>
      </c>
      <c r="D2374" s="10" t="s">
        <v>388</v>
      </c>
      <c r="E2374" s="10" t="s">
        <v>2342</v>
      </c>
      <c r="F2374" s="30" t="n">
        <v>42819</v>
      </c>
      <c r="G2374" s="30" t="n">
        <v>42902</v>
      </c>
      <c r="H2374" s="26" t="n">
        <f aca="false">G2374-F2374</f>
        <v>83</v>
      </c>
      <c r="I2374" s="10" t="n">
        <f aca="false">IF(E2374="Won",1,0)</f>
        <v>1</v>
      </c>
    </row>
    <row r="2375" customFormat="false" ht="15" hidden="false" customHeight="false" outlineLevel="0" collapsed="false">
      <c r="A2375" s="10" t="s">
        <v>4716</v>
      </c>
      <c r="B2375" s="10" t="s">
        <v>80</v>
      </c>
      <c r="C2375" s="10" t="s">
        <v>50</v>
      </c>
      <c r="D2375" s="10" t="s">
        <v>483</v>
      </c>
      <c r="E2375" s="10" t="s">
        <v>2342</v>
      </c>
      <c r="F2375" s="30" t="n">
        <v>42790</v>
      </c>
      <c r="G2375" s="30" t="n">
        <v>42902</v>
      </c>
      <c r="H2375" s="26" t="n">
        <f aca="false">G2375-F2375</f>
        <v>112</v>
      </c>
      <c r="I2375" s="10" t="n">
        <f aca="false">IF(E2375="Won",1,0)</f>
        <v>1</v>
      </c>
    </row>
    <row r="2376" customFormat="false" ht="15" hidden="false" customHeight="false" outlineLevel="0" collapsed="false">
      <c r="A2376" s="10" t="s">
        <v>4717</v>
      </c>
      <c r="B2376" s="10" t="s">
        <v>67</v>
      </c>
      <c r="C2376" s="10" t="s">
        <v>49</v>
      </c>
      <c r="D2376" s="10" t="s">
        <v>168</v>
      </c>
      <c r="E2376" s="10" t="s">
        <v>2342</v>
      </c>
      <c r="F2376" s="30" t="n">
        <v>42813</v>
      </c>
      <c r="G2376" s="30" t="n">
        <v>42902</v>
      </c>
      <c r="H2376" s="26" t="n">
        <f aca="false">G2376-F2376</f>
        <v>89</v>
      </c>
      <c r="I2376" s="10" t="n">
        <f aca="false">IF(E2376="Won",1,0)</f>
        <v>1</v>
      </c>
    </row>
    <row r="2377" customFormat="false" ht="15" hidden="false" customHeight="false" outlineLevel="0" collapsed="false">
      <c r="A2377" s="10" t="s">
        <v>4718</v>
      </c>
      <c r="B2377" s="10" t="s">
        <v>77</v>
      </c>
      <c r="C2377" s="10" t="s">
        <v>48</v>
      </c>
      <c r="D2377" s="10" t="s">
        <v>179</v>
      </c>
      <c r="E2377" s="10" t="s">
        <v>2342</v>
      </c>
      <c r="F2377" s="30" t="n">
        <v>42780</v>
      </c>
      <c r="G2377" s="30" t="n">
        <v>42902</v>
      </c>
      <c r="H2377" s="26" t="n">
        <f aca="false">G2377-F2377</f>
        <v>122</v>
      </c>
      <c r="I2377" s="10" t="n">
        <f aca="false">IF(E2377="Won",1,0)</f>
        <v>1</v>
      </c>
    </row>
    <row r="2378" customFormat="false" ht="15" hidden="false" customHeight="false" outlineLevel="0" collapsed="false">
      <c r="A2378" s="10" t="s">
        <v>4719</v>
      </c>
      <c r="B2378" s="10" t="s">
        <v>66</v>
      </c>
      <c r="C2378" s="10" t="s">
        <v>49</v>
      </c>
      <c r="D2378" s="10" t="s">
        <v>303</v>
      </c>
      <c r="E2378" s="10" t="s">
        <v>2342</v>
      </c>
      <c r="F2378" s="30" t="n">
        <v>42839</v>
      </c>
      <c r="G2378" s="30" t="n">
        <v>42902</v>
      </c>
      <c r="H2378" s="26" t="n">
        <f aca="false">G2378-F2378</f>
        <v>63</v>
      </c>
      <c r="I2378" s="10" t="n">
        <f aca="false">IF(E2378="Won",1,0)</f>
        <v>1</v>
      </c>
    </row>
    <row r="2379" customFormat="false" ht="15" hidden="false" customHeight="false" outlineLevel="0" collapsed="false">
      <c r="A2379" s="10" t="s">
        <v>4720</v>
      </c>
      <c r="B2379" s="10" t="s">
        <v>80</v>
      </c>
      <c r="C2379" s="10" t="s">
        <v>51</v>
      </c>
      <c r="D2379" s="10" t="s">
        <v>267</v>
      </c>
      <c r="E2379" s="10" t="s">
        <v>2342</v>
      </c>
      <c r="F2379" s="30" t="n">
        <v>42837</v>
      </c>
      <c r="G2379" s="30" t="n">
        <v>42902</v>
      </c>
      <c r="H2379" s="26" t="n">
        <f aca="false">G2379-F2379</f>
        <v>65</v>
      </c>
      <c r="I2379" s="10" t="n">
        <f aca="false">IF(E2379="Won",1,0)</f>
        <v>1</v>
      </c>
    </row>
    <row r="2380" customFormat="false" ht="15" hidden="false" customHeight="false" outlineLevel="0" collapsed="false">
      <c r="A2380" s="10" t="s">
        <v>4721</v>
      </c>
      <c r="B2380" s="10" t="s">
        <v>79</v>
      </c>
      <c r="C2380" s="10" t="s">
        <v>51</v>
      </c>
      <c r="D2380" s="10" t="s">
        <v>762</v>
      </c>
      <c r="E2380" s="10" t="s">
        <v>2345</v>
      </c>
      <c r="F2380" s="30" t="n">
        <v>42839</v>
      </c>
      <c r="G2380" s="30" t="n">
        <v>42902</v>
      </c>
      <c r="H2380" s="26" t="n">
        <f aca="false">G2380-F2380</f>
        <v>63</v>
      </c>
      <c r="I2380" s="10" t="n">
        <f aca="false">IF(E2380="Won",1,0)</f>
        <v>0</v>
      </c>
    </row>
    <row r="2381" customFormat="false" ht="15" hidden="false" customHeight="false" outlineLevel="0" collapsed="false">
      <c r="A2381" s="10" t="s">
        <v>4722</v>
      </c>
      <c r="B2381" s="10" t="s">
        <v>68</v>
      </c>
      <c r="C2381" s="10" t="s">
        <v>50</v>
      </c>
      <c r="D2381" s="10" t="s">
        <v>175</v>
      </c>
      <c r="E2381" s="10" t="s">
        <v>2345</v>
      </c>
      <c r="F2381" s="30" t="n">
        <v>42792</v>
      </c>
      <c r="G2381" s="30" t="n">
        <v>42902</v>
      </c>
      <c r="H2381" s="26" t="n">
        <f aca="false">G2381-F2381</f>
        <v>110</v>
      </c>
      <c r="I2381" s="10" t="n">
        <f aca="false">IF(E2381="Won",1,0)</f>
        <v>0</v>
      </c>
    </row>
    <row r="2382" customFormat="false" ht="15" hidden="false" customHeight="false" outlineLevel="0" collapsed="false">
      <c r="A2382" s="10" t="s">
        <v>4723</v>
      </c>
      <c r="B2382" s="10" t="s">
        <v>77</v>
      </c>
      <c r="C2382" s="10" t="s">
        <v>49</v>
      </c>
      <c r="D2382" s="10" t="s">
        <v>388</v>
      </c>
      <c r="E2382" s="10" t="s">
        <v>2342</v>
      </c>
      <c r="F2382" s="30" t="n">
        <v>42826</v>
      </c>
      <c r="G2382" s="30" t="n">
        <v>42903</v>
      </c>
      <c r="H2382" s="26" t="n">
        <f aca="false">G2382-F2382</f>
        <v>77</v>
      </c>
      <c r="I2382" s="10" t="n">
        <f aca="false">IF(E2382="Won",1,0)</f>
        <v>1</v>
      </c>
    </row>
    <row r="2383" customFormat="false" ht="15" hidden="false" customHeight="false" outlineLevel="0" collapsed="false">
      <c r="A2383" s="10" t="s">
        <v>4724</v>
      </c>
      <c r="B2383" s="10" t="s">
        <v>80</v>
      </c>
      <c r="C2383" s="10" t="s">
        <v>51</v>
      </c>
      <c r="D2383" s="10" t="s">
        <v>660</v>
      </c>
      <c r="E2383" s="10" t="s">
        <v>2342</v>
      </c>
      <c r="F2383" s="30" t="n">
        <v>42892</v>
      </c>
      <c r="G2383" s="30" t="n">
        <v>42903</v>
      </c>
      <c r="H2383" s="26" t="n">
        <f aca="false">G2383-F2383</f>
        <v>11</v>
      </c>
      <c r="I2383" s="10" t="n">
        <f aca="false">IF(E2383="Won",1,0)</f>
        <v>1</v>
      </c>
    </row>
    <row r="2384" customFormat="false" ht="15" hidden="false" customHeight="false" outlineLevel="0" collapsed="false">
      <c r="A2384" s="10" t="s">
        <v>4725</v>
      </c>
      <c r="B2384" s="10" t="s">
        <v>76</v>
      </c>
      <c r="C2384" s="10" t="s">
        <v>49</v>
      </c>
      <c r="D2384" s="10" t="s">
        <v>414</v>
      </c>
      <c r="E2384" s="10" t="s">
        <v>2342</v>
      </c>
      <c r="F2384" s="30" t="n">
        <v>42893</v>
      </c>
      <c r="G2384" s="30" t="n">
        <v>42903</v>
      </c>
      <c r="H2384" s="26" t="n">
        <f aca="false">G2384-F2384</f>
        <v>10</v>
      </c>
      <c r="I2384" s="10" t="n">
        <f aca="false">IF(E2384="Won",1,0)</f>
        <v>1</v>
      </c>
    </row>
    <row r="2385" customFormat="false" ht="15" hidden="false" customHeight="false" outlineLevel="0" collapsed="false">
      <c r="A2385" s="10" t="s">
        <v>4726</v>
      </c>
      <c r="B2385" s="10" t="s">
        <v>68</v>
      </c>
      <c r="C2385" s="10" t="s">
        <v>47</v>
      </c>
      <c r="D2385" s="10" t="s">
        <v>326</v>
      </c>
      <c r="E2385" s="10" t="s">
        <v>2342</v>
      </c>
      <c r="F2385" s="30" t="n">
        <v>42788</v>
      </c>
      <c r="G2385" s="30" t="n">
        <v>42903</v>
      </c>
      <c r="H2385" s="26" t="n">
        <f aca="false">G2385-F2385</f>
        <v>115</v>
      </c>
      <c r="I2385" s="10" t="n">
        <f aca="false">IF(E2385="Won",1,0)</f>
        <v>1</v>
      </c>
    </row>
    <row r="2386" customFormat="false" ht="15" hidden="false" customHeight="false" outlineLevel="0" collapsed="false">
      <c r="A2386" s="10" t="s">
        <v>4727</v>
      </c>
      <c r="B2386" s="10" t="s">
        <v>79</v>
      </c>
      <c r="C2386" s="10" t="s">
        <v>49</v>
      </c>
      <c r="D2386" s="10" t="s">
        <v>512</v>
      </c>
      <c r="E2386" s="10" t="s">
        <v>2345</v>
      </c>
      <c r="F2386" s="30" t="n">
        <v>42767</v>
      </c>
      <c r="G2386" s="30" t="n">
        <v>42903</v>
      </c>
      <c r="H2386" s="26" t="n">
        <f aca="false">G2386-F2386</f>
        <v>136</v>
      </c>
      <c r="I2386" s="10" t="n">
        <f aca="false">IF(E2386="Won",1,0)</f>
        <v>0</v>
      </c>
    </row>
    <row r="2387" customFormat="false" ht="15" hidden="false" customHeight="false" outlineLevel="0" collapsed="false">
      <c r="A2387" s="10" t="s">
        <v>4728</v>
      </c>
      <c r="B2387" s="10" t="s">
        <v>61</v>
      </c>
      <c r="C2387" s="10" t="s">
        <v>49</v>
      </c>
      <c r="D2387" s="10" t="s">
        <v>692</v>
      </c>
      <c r="E2387" s="10" t="s">
        <v>2342</v>
      </c>
      <c r="F2387" s="30" t="n">
        <v>42884</v>
      </c>
      <c r="G2387" s="30" t="n">
        <v>42903</v>
      </c>
      <c r="H2387" s="26" t="n">
        <f aca="false">G2387-F2387</f>
        <v>19</v>
      </c>
      <c r="I2387" s="10" t="n">
        <f aca="false">IF(E2387="Won",1,0)</f>
        <v>1</v>
      </c>
    </row>
    <row r="2388" customFormat="false" ht="15" hidden="false" customHeight="false" outlineLevel="0" collapsed="false">
      <c r="A2388" s="10" t="s">
        <v>4729</v>
      </c>
      <c r="B2388" s="10" t="s">
        <v>75</v>
      </c>
      <c r="C2388" s="10" t="s">
        <v>51</v>
      </c>
      <c r="D2388" s="10" t="s">
        <v>597</v>
      </c>
      <c r="E2388" s="10" t="s">
        <v>2342</v>
      </c>
      <c r="F2388" s="30" t="n">
        <v>42795</v>
      </c>
      <c r="G2388" s="30" t="n">
        <v>42903</v>
      </c>
      <c r="H2388" s="26" t="n">
        <f aca="false">G2388-F2388</f>
        <v>108</v>
      </c>
      <c r="I2388" s="10" t="n">
        <f aca="false">IF(E2388="Won",1,0)</f>
        <v>1</v>
      </c>
    </row>
    <row r="2389" customFormat="false" ht="15" hidden="false" customHeight="false" outlineLevel="0" collapsed="false">
      <c r="A2389" s="10" t="s">
        <v>4730</v>
      </c>
      <c r="B2389" s="10" t="s">
        <v>77</v>
      </c>
      <c r="C2389" s="10" t="s">
        <v>49</v>
      </c>
      <c r="D2389" s="10" t="s">
        <v>947</v>
      </c>
      <c r="E2389" s="10" t="s">
        <v>2342</v>
      </c>
      <c r="F2389" s="30" t="n">
        <v>42767</v>
      </c>
      <c r="G2389" s="30" t="n">
        <v>42903</v>
      </c>
      <c r="H2389" s="26" t="n">
        <f aca="false">G2389-F2389</f>
        <v>136</v>
      </c>
      <c r="I2389" s="10" t="n">
        <f aca="false">IF(E2389="Won",1,0)</f>
        <v>1</v>
      </c>
    </row>
    <row r="2390" customFormat="false" ht="15" hidden="false" customHeight="false" outlineLevel="0" collapsed="false">
      <c r="A2390" s="10" t="s">
        <v>4731</v>
      </c>
      <c r="B2390" s="10" t="s">
        <v>87</v>
      </c>
      <c r="C2390" s="10" t="s">
        <v>48</v>
      </c>
      <c r="D2390" s="10" t="s">
        <v>332</v>
      </c>
      <c r="E2390" s="10" t="s">
        <v>2342</v>
      </c>
      <c r="F2390" s="30" t="n">
        <v>42890</v>
      </c>
      <c r="G2390" s="30" t="n">
        <v>42903</v>
      </c>
      <c r="H2390" s="26" t="n">
        <f aca="false">G2390-F2390</f>
        <v>13</v>
      </c>
      <c r="I2390" s="10" t="n">
        <f aca="false">IF(E2390="Won",1,0)</f>
        <v>1</v>
      </c>
    </row>
    <row r="2391" customFormat="false" ht="15" hidden="false" customHeight="false" outlineLevel="0" collapsed="false">
      <c r="A2391" s="10" t="s">
        <v>4732</v>
      </c>
      <c r="B2391" s="10" t="s">
        <v>77</v>
      </c>
      <c r="C2391" s="10" t="s">
        <v>47</v>
      </c>
      <c r="D2391" s="10" t="s">
        <v>267</v>
      </c>
      <c r="E2391" s="10" t="s">
        <v>2345</v>
      </c>
      <c r="F2391" s="30" t="n">
        <v>42791</v>
      </c>
      <c r="G2391" s="30" t="n">
        <v>42903</v>
      </c>
      <c r="H2391" s="26" t="n">
        <f aca="false">G2391-F2391</f>
        <v>112</v>
      </c>
      <c r="I2391" s="10" t="n">
        <f aca="false">IF(E2391="Won",1,0)</f>
        <v>0</v>
      </c>
    </row>
    <row r="2392" customFormat="false" ht="15" hidden="false" customHeight="false" outlineLevel="0" collapsed="false">
      <c r="A2392" s="10" t="s">
        <v>4733</v>
      </c>
      <c r="B2392" s="10" t="s">
        <v>96</v>
      </c>
      <c r="C2392" s="10" t="s">
        <v>51</v>
      </c>
      <c r="D2392" s="10" t="s">
        <v>299</v>
      </c>
      <c r="E2392" s="10" t="s">
        <v>2345</v>
      </c>
      <c r="F2392" s="30" t="n">
        <v>42789</v>
      </c>
      <c r="G2392" s="30" t="n">
        <v>42903</v>
      </c>
      <c r="H2392" s="26" t="n">
        <f aca="false">G2392-F2392</f>
        <v>114</v>
      </c>
      <c r="I2392" s="10" t="n">
        <f aca="false">IF(E2392="Won",1,0)</f>
        <v>0</v>
      </c>
    </row>
    <row r="2393" customFormat="false" ht="15" hidden="false" customHeight="false" outlineLevel="0" collapsed="false">
      <c r="A2393" s="10" t="s">
        <v>4734</v>
      </c>
      <c r="B2393" s="10" t="s">
        <v>77</v>
      </c>
      <c r="C2393" s="10" t="s">
        <v>51</v>
      </c>
      <c r="D2393" s="10" t="s">
        <v>660</v>
      </c>
      <c r="E2393" s="10" t="s">
        <v>2342</v>
      </c>
      <c r="F2393" s="30" t="n">
        <v>42803</v>
      </c>
      <c r="G2393" s="30" t="n">
        <v>42903</v>
      </c>
      <c r="H2393" s="26" t="n">
        <f aca="false">G2393-F2393</f>
        <v>100</v>
      </c>
      <c r="I2393" s="10" t="n">
        <f aca="false">IF(E2393="Won",1,0)</f>
        <v>1</v>
      </c>
    </row>
    <row r="2394" customFormat="false" ht="15" hidden="false" customHeight="false" outlineLevel="0" collapsed="false">
      <c r="A2394" s="10" t="s">
        <v>4735</v>
      </c>
      <c r="B2394" s="10" t="s">
        <v>94</v>
      </c>
      <c r="C2394" s="10" t="s">
        <v>48</v>
      </c>
      <c r="D2394" s="10" t="s">
        <v>348</v>
      </c>
      <c r="E2394" s="10" t="s">
        <v>2342</v>
      </c>
      <c r="F2394" s="30" t="n">
        <v>42803</v>
      </c>
      <c r="G2394" s="30" t="n">
        <v>42903</v>
      </c>
      <c r="H2394" s="26" t="n">
        <f aca="false">G2394-F2394</f>
        <v>100</v>
      </c>
      <c r="I2394" s="10" t="n">
        <f aca="false">IF(E2394="Won",1,0)</f>
        <v>1</v>
      </c>
    </row>
    <row r="2395" customFormat="false" ht="15" hidden="false" customHeight="false" outlineLevel="0" collapsed="false">
      <c r="A2395" s="10" t="s">
        <v>4736</v>
      </c>
      <c r="B2395" s="10" t="s">
        <v>74</v>
      </c>
      <c r="C2395" s="10" t="s">
        <v>49</v>
      </c>
      <c r="D2395" s="10" t="s">
        <v>414</v>
      </c>
      <c r="E2395" s="10" t="s">
        <v>2342</v>
      </c>
      <c r="F2395" s="30" t="n">
        <v>42900</v>
      </c>
      <c r="G2395" s="30" t="n">
        <v>42903</v>
      </c>
      <c r="H2395" s="26" t="n">
        <f aca="false">G2395-F2395</f>
        <v>3</v>
      </c>
      <c r="I2395" s="10" t="n">
        <f aca="false">IF(E2395="Won",1,0)</f>
        <v>1</v>
      </c>
    </row>
    <row r="2396" customFormat="false" ht="15" hidden="false" customHeight="false" outlineLevel="0" collapsed="false">
      <c r="A2396" s="10" t="s">
        <v>4737</v>
      </c>
      <c r="B2396" s="10" t="s">
        <v>86</v>
      </c>
      <c r="C2396" s="10" t="s">
        <v>51</v>
      </c>
      <c r="D2396" s="10" t="s">
        <v>453</v>
      </c>
      <c r="E2396" s="10" t="s">
        <v>2342</v>
      </c>
      <c r="F2396" s="30" t="n">
        <v>42811</v>
      </c>
      <c r="G2396" s="30" t="n">
        <v>42903</v>
      </c>
      <c r="H2396" s="26" t="n">
        <f aca="false">G2396-F2396</f>
        <v>92</v>
      </c>
      <c r="I2396" s="10" t="n">
        <f aca="false">IF(E2396="Won",1,0)</f>
        <v>1</v>
      </c>
    </row>
    <row r="2397" customFormat="false" ht="15" hidden="false" customHeight="false" outlineLevel="0" collapsed="false">
      <c r="A2397" s="10" t="s">
        <v>4738</v>
      </c>
      <c r="B2397" s="10" t="s">
        <v>69</v>
      </c>
      <c r="C2397" s="10" t="s">
        <v>48</v>
      </c>
      <c r="D2397" s="10" t="s">
        <v>424</v>
      </c>
      <c r="E2397" s="10" t="s">
        <v>2342</v>
      </c>
      <c r="F2397" s="30" t="n">
        <v>42836</v>
      </c>
      <c r="G2397" s="30" t="n">
        <v>42903</v>
      </c>
      <c r="H2397" s="26" t="n">
        <f aca="false">G2397-F2397</f>
        <v>67</v>
      </c>
      <c r="I2397" s="10" t="n">
        <f aca="false">IF(E2397="Won",1,0)</f>
        <v>1</v>
      </c>
    </row>
    <row r="2398" customFormat="false" ht="15" hidden="false" customHeight="false" outlineLevel="0" collapsed="false">
      <c r="A2398" s="10" t="s">
        <v>4739</v>
      </c>
      <c r="B2398" s="10" t="s">
        <v>87</v>
      </c>
      <c r="C2398" s="10" t="s">
        <v>50</v>
      </c>
      <c r="D2398" s="10" t="s">
        <v>218</v>
      </c>
      <c r="E2398" s="10" t="s">
        <v>2342</v>
      </c>
      <c r="F2398" s="30" t="n">
        <v>42892</v>
      </c>
      <c r="G2398" s="30" t="n">
        <v>42903</v>
      </c>
      <c r="H2398" s="26" t="n">
        <f aca="false">G2398-F2398</f>
        <v>11</v>
      </c>
      <c r="I2398" s="10" t="n">
        <f aca="false">IF(E2398="Won",1,0)</f>
        <v>1</v>
      </c>
    </row>
    <row r="2399" customFormat="false" ht="15" hidden="false" customHeight="false" outlineLevel="0" collapsed="false">
      <c r="A2399" s="10" t="s">
        <v>4740</v>
      </c>
      <c r="B2399" s="10" t="s">
        <v>80</v>
      </c>
      <c r="C2399" s="10" t="s">
        <v>50</v>
      </c>
      <c r="D2399" s="10" t="s">
        <v>697</v>
      </c>
      <c r="E2399" s="10" t="s">
        <v>2342</v>
      </c>
      <c r="F2399" s="30" t="n">
        <v>42896</v>
      </c>
      <c r="G2399" s="30" t="n">
        <v>42903</v>
      </c>
      <c r="H2399" s="26" t="n">
        <f aca="false">G2399-F2399</f>
        <v>7</v>
      </c>
      <c r="I2399" s="10" t="n">
        <f aca="false">IF(E2399="Won",1,0)</f>
        <v>1</v>
      </c>
    </row>
    <row r="2400" customFormat="false" ht="15" hidden="false" customHeight="false" outlineLevel="0" collapsed="false">
      <c r="A2400" s="10" t="s">
        <v>4741</v>
      </c>
      <c r="B2400" s="10" t="s">
        <v>67</v>
      </c>
      <c r="C2400" s="10" t="s">
        <v>50</v>
      </c>
      <c r="D2400" s="10" t="s">
        <v>606</v>
      </c>
      <c r="E2400" s="10" t="s">
        <v>2342</v>
      </c>
      <c r="F2400" s="30" t="n">
        <v>42807</v>
      </c>
      <c r="G2400" s="30" t="n">
        <v>42903</v>
      </c>
      <c r="H2400" s="26" t="n">
        <f aca="false">G2400-F2400</f>
        <v>96</v>
      </c>
      <c r="I2400" s="10" t="n">
        <f aca="false">IF(E2400="Won",1,0)</f>
        <v>1</v>
      </c>
    </row>
    <row r="2401" customFormat="false" ht="15" hidden="false" customHeight="false" outlineLevel="0" collapsed="false">
      <c r="A2401" s="10" t="s">
        <v>4742</v>
      </c>
      <c r="B2401" s="10" t="s">
        <v>74</v>
      </c>
      <c r="C2401" s="10" t="s">
        <v>51</v>
      </c>
      <c r="D2401" s="10" t="s">
        <v>961</v>
      </c>
      <c r="E2401" s="10" t="s">
        <v>2342</v>
      </c>
      <c r="F2401" s="30" t="n">
        <v>42805</v>
      </c>
      <c r="G2401" s="30" t="n">
        <v>42903</v>
      </c>
      <c r="H2401" s="26" t="n">
        <f aca="false">G2401-F2401</f>
        <v>98</v>
      </c>
      <c r="I2401" s="10" t="n">
        <f aca="false">IF(E2401="Won",1,0)</f>
        <v>1</v>
      </c>
    </row>
    <row r="2402" customFormat="false" ht="15" hidden="false" customHeight="false" outlineLevel="0" collapsed="false">
      <c r="A2402" s="10" t="s">
        <v>4743</v>
      </c>
      <c r="B2402" s="10" t="s">
        <v>77</v>
      </c>
      <c r="C2402" s="10" t="s">
        <v>48</v>
      </c>
      <c r="D2402" s="10" t="s">
        <v>527</v>
      </c>
      <c r="E2402" s="10" t="s">
        <v>2342</v>
      </c>
      <c r="F2402" s="30" t="n">
        <v>42891</v>
      </c>
      <c r="G2402" s="30" t="n">
        <v>42904</v>
      </c>
      <c r="H2402" s="26" t="n">
        <f aca="false">G2402-F2402</f>
        <v>13</v>
      </c>
      <c r="I2402" s="10" t="n">
        <f aca="false">IF(E2402="Won",1,0)</f>
        <v>1</v>
      </c>
    </row>
    <row r="2403" customFormat="false" ht="15" hidden="false" customHeight="false" outlineLevel="0" collapsed="false">
      <c r="A2403" s="10" t="s">
        <v>4744</v>
      </c>
      <c r="B2403" s="10" t="s">
        <v>75</v>
      </c>
      <c r="C2403" s="10" t="s">
        <v>51</v>
      </c>
      <c r="D2403" s="10" t="s">
        <v>527</v>
      </c>
      <c r="E2403" s="10" t="s">
        <v>2342</v>
      </c>
      <c r="F2403" s="30" t="n">
        <v>42787</v>
      </c>
      <c r="G2403" s="30" t="n">
        <v>42904</v>
      </c>
      <c r="H2403" s="26" t="n">
        <f aca="false">G2403-F2403</f>
        <v>117</v>
      </c>
      <c r="I2403" s="10" t="n">
        <f aca="false">IF(E2403="Won",1,0)</f>
        <v>1</v>
      </c>
    </row>
    <row r="2404" customFormat="false" ht="15" hidden="false" customHeight="false" outlineLevel="0" collapsed="false">
      <c r="A2404" s="10" t="s">
        <v>4745</v>
      </c>
      <c r="B2404" s="10" t="s">
        <v>86</v>
      </c>
      <c r="C2404" s="10" t="s">
        <v>51</v>
      </c>
      <c r="D2404" s="10" t="s">
        <v>674</v>
      </c>
      <c r="E2404" s="10" t="s">
        <v>2345</v>
      </c>
      <c r="F2404" s="30" t="n">
        <v>42793</v>
      </c>
      <c r="G2404" s="30" t="n">
        <v>42904</v>
      </c>
      <c r="H2404" s="26" t="n">
        <f aca="false">G2404-F2404</f>
        <v>111</v>
      </c>
      <c r="I2404" s="10" t="n">
        <f aca="false">IF(E2404="Won",1,0)</f>
        <v>0</v>
      </c>
    </row>
    <row r="2405" customFormat="false" ht="15" hidden="false" customHeight="false" outlineLevel="0" collapsed="false">
      <c r="A2405" s="10" t="s">
        <v>4746</v>
      </c>
      <c r="B2405" s="10" t="s">
        <v>80</v>
      </c>
      <c r="C2405" s="10" t="s">
        <v>51</v>
      </c>
      <c r="D2405" s="10" t="s">
        <v>524</v>
      </c>
      <c r="E2405" s="10" t="s">
        <v>2342</v>
      </c>
      <c r="F2405" s="30" t="n">
        <v>42893</v>
      </c>
      <c r="G2405" s="30" t="n">
        <v>42904</v>
      </c>
      <c r="H2405" s="26" t="n">
        <f aca="false">G2405-F2405</f>
        <v>11</v>
      </c>
      <c r="I2405" s="10" t="n">
        <f aca="false">IF(E2405="Won",1,0)</f>
        <v>1</v>
      </c>
    </row>
    <row r="2406" customFormat="false" ht="15" hidden="false" customHeight="false" outlineLevel="0" collapsed="false">
      <c r="A2406" s="10" t="s">
        <v>4747</v>
      </c>
      <c r="B2406" s="10" t="s">
        <v>86</v>
      </c>
      <c r="C2406" s="10" t="s">
        <v>51</v>
      </c>
      <c r="D2406" s="10" t="s">
        <v>453</v>
      </c>
      <c r="E2406" s="10" t="s">
        <v>2342</v>
      </c>
      <c r="F2406" s="30" t="n">
        <v>42812</v>
      </c>
      <c r="G2406" s="30" t="n">
        <v>42904</v>
      </c>
      <c r="H2406" s="26" t="n">
        <f aca="false">G2406-F2406</f>
        <v>92</v>
      </c>
      <c r="I2406" s="10" t="n">
        <f aca="false">IF(E2406="Won",1,0)</f>
        <v>1</v>
      </c>
    </row>
    <row r="2407" customFormat="false" ht="15" hidden="false" customHeight="false" outlineLevel="0" collapsed="false">
      <c r="A2407" s="10" t="s">
        <v>4748</v>
      </c>
      <c r="B2407" s="10" t="s">
        <v>76</v>
      </c>
      <c r="C2407" s="10" t="s">
        <v>52</v>
      </c>
      <c r="D2407" s="10" t="s">
        <v>1251</v>
      </c>
      <c r="E2407" s="10" t="s">
        <v>2342</v>
      </c>
      <c r="F2407" s="30" t="n">
        <v>42792</v>
      </c>
      <c r="G2407" s="30" t="n">
        <v>42904</v>
      </c>
      <c r="H2407" s="26" t="n">
        <f aca="false">G2407-F2407</f>
        <v>112</v>
      </c>
      <c r="I2407" s="10" t="n">
        <f aca="false">IF(E2407="Won",1,0)</f>
        <v>1</v>
      </c>
    </row>
    <row r="2408" customFormat="false" ht="15" hidden="false" customHeight="false" outlineLevel="0" collapsed="false">
      <c r="A2408" s="10" t="s">
        <v>4749</v>
      </c>
      <c r="B2408" s="10" t="s">
        <v>73</v>
      </c>
      <c r="C2408" s="10" t="s">
        <v>52</v>
      </c>
      <c r="D2408" s="10" t="s">
        <v>512</v>
      </c>
      <c r="E2408" s="10" t="s">
        <v>2342</v>
      </c>
      <c r="F2408" s="30" t="n">
        <v>42894</v>
      </c>
      <c r="G2408" s="30" t="n">
        <v>42904</v>
      </c>
      <c r="H2408" s="26" t="n">
        <f aca="false">G2408-F2408</f>
        <v>10</v>
      </c>
      <c r="I2408" s="10" t="n">
        <f aca="false">IF(E2408="Won",1,0)</f>
        <v>1</v>
      </c>
    </row>
    <row r="2409" customFormat="false" ht="15" hidden="false" customHeight="false" outlineLevel="0" collapsed="false">
      <c r="A2409" s="10" t="s">
        <v>4750</v>
      </c>
      <c r="B2409" s="10" t="s">
        <v>57</v>
      </c>
      <c r="C2409" s="10" t="s">
        <v>52</v>
      </c>
      <c r="D2409" s="10" t="s">
        <v>427</v>
      </c>
      <c r="E2409" s="10" t="s">
        <v>2342</v>
      </c>
      <c r="F2409" s="30" t="n">
        <v>42785</v>
      </c>
      <c r="G2409" s="30" t="n">
        <v>42904</v>
      </c>
      <c r="H2409" s="26" t="n">
        <f aca="false">G2409-F2409</f>
        <v>119</v>
      </c>
      <c r="I2409" s="10" t="n">
        <f aca="false">IF(E2409="Won",1,0)</f>
        <v>1</v>
      </c>
    </row>
    <row r="2410" customFormat="false" ht="15" hidden="false" customHeight="false" outlineLevel="0" collapsed="false">
      <c r="A2410" s="10" t="s">
        <v>4751</v>
      </c>
      <c r="B2410" s="10" t="s">
        <v>76</v>
      </c>
      <c r="C2410" s="10" t="s">
        <v>50</v>
      </c>
      <c r="D2410" s="10" t="s">
        <v>321</v>
      </c>
      <c r="E2410" s="10" t="s">
        <v>2342</v>
      </c>
      <c r="F2410" s="30" t="n">
        <v>42780</v>
      </c>
      <c r="G2410" s="30" t="n">
        <v>42904</v>
      </c>
      <c r="H2410" s="26" t="n">
        <f aca="false">G2410-F2410</f>
        <v>124</v>
      </c>
      <c r="I2410" s="10" t="n">
        <f aca="false">IF(E2410="Won",1,0)</f>
        <v>1</v>
      </c>
    </row>
    <row r="2411" customFormat="false" ht="15" hidden="false" customHeight="false" outlineLevel="0" collapsed="false">
      <c r="A2411" s="10" t="s">
        <v>4752</v>
      </c>
      <c r="B2411" s="10" t="s">
        <v>90</v>
      </c>
      <c r="C2411" s="10" t="s">
        <v>51</v>
      </c>
      <c r="D2411" s="10" t="s">
        <v>441</v>
      </c>
      <c r="E2411" s="10" t="s">
        <v>2342</v>
      </c>
      <c r="F2411" s="30" t="n">
        <v>42784</v>
      </c>
      <c r="G2411" s="30" t="n">
        <v>42904</v>
      </c>
      <c r="H2411" s="26" t="n">
        <f aca="false">G2411-F2411</f>
        <v>120</v>
      </c>
      <c r="I2411" s="10" t="n">
        <f aca="false">IF(E2411="Won",1,0)</f>
        <v>1</v>
      </c>
    </row>
    <row r="2412" customFormat="false" ht="15" hidden="false" customHeight="false" outlineLevel="0" collapsed="false">
      <c r="A2412" s="10" t="s">
        <v>4753</v>
      </c>
      <c r="B2412" s="10" t="s">
        <v>66</v>
      </c>
      <c r="C2412" s="10" t="s">
        <v>46</v>
      </c>
      <c r="D2412" s="10" t="s">
        <v>168</v>
      </c>
      <c r="E2412" s="10" t="s">
        <v>2342</v>
      </c>
      <c r="F2412" s="30" t="n">
        <v>42853</v>
      </c>
      <c r="G2412" s="30" t="n">
        <v>42904</v>
      </c>
      <c r="H2412" s="26" t="n">
        <f aca="false">G2412-F2412</f>
        <v>51</v>
      </c>
      <c r="I2412" s="10" t="n">
        <f aca="false">IF(E2412="Won",1,0)</f>
        <v>1</v>
      </c>
    </row>
    <row r="2413" customFormat="false" ht="15" hidden="false" customHeight="false" outlineLevel="0" collapsed="false">
      <c r="A2413" s="10" t="s">
        <v>4754</v>
      </c>
      <c r="B2413" s="10" t="s">
        <v>73</v>
      </c>
      <c r="C2413" s="10" t="s">
        <v>49</v>
      </c>
      <c r="D2413" s="10" t="s">
        <v>697</v>
      </c>
      <c r="E2413" s="10" t="s">
        <v>2345</v>
      </c>
      <c r="F2413" s="30" t="n">
        <v>42888</v>
      </c>
      <c r="G2413" s="30" t="n">
        <v>42904</v>
      </c>
      <c r="H2413" s="26" t="n">
        <f aca="false">G2413-F2413</f>
        <v>16</v>
      </c>
      <c r="I2413" s="10" t="n">
        <f aca="false">IF(E2413="Won",1,0)</f>
        <v>0</v>
      </c>
    </row>
    <row r="2414" customFormat="false" ht="15" hidden="false" customHeight="false" outlineLevel="0" collapsed="false">
      <c r="A2414" s="10" t="s">
        <v>4755</v>
      </c>
      <c r="B2414" s="10" t="s">
        <v>77</v>
      </c>
      <c r="C2414" s="10" t="s">
        <v>49</v>
      </c>
      <c r="D2414" s="10" t="s">
        <v>369</v>
      </c>
      <c r="E2414" s="10" t="s">
        <v>2342</v>
      </c>
      <c r="F2414" s="30" t="n">
        <v>42829</v>
      </c>
      <c r="G2414" s="30" t="n">
        <v>42904</v>
      </c>
      <c r="H2414" s="26" t="n">
        <f aca="false">G2414-F2414</f>
        <v>75</v>
      </c>
      <c r="I2414" s="10" t="n">
        <f aca="false">IF(E2414="Won",1,0)</f>
        <v>1</v>
      </c>
    </row>
    <row r="2415" customFormat="false" ht="15" hidden="false" customHeight="false" outlineLevel="0" collapsed="false">
      <c r="A2415" s="10" t="s">
        <v>4756</v>
      </c>
      <c r="B2415" s="10" t="s">
        <v>68</v>
      </c>
      <c r="C2415" s="10" t="s">
        <v>52</v>
      </c>
      <c r="D2415" s="10" t="s">
        <v>326</v>
      </c>
      <c r="E2415" s="10" t="s">
        <v>2342</v>
      </c>
      <c r="F2415" s="30" t="n">
        <v>42820</v>
      </c>
      <c r="G2415" s="30" t="n">
        <v>42904</v>
      </c>
      <c r="H2415" s="26" t="n">
        <f aca="false">G2415-F2415</f>
        <v>84</v>
      </c>
      <c r="I2415" s="10" t="n">
        <f aca="false">IF(E2415="Won",1,0)</f>
        <v>1</v>
      </c>
    </row>
    <row r="2416" customFormat="false" ht="15" hidden="false" customHeight="false" outlineLevel="0" collapsed="false">
      <c r="A2416" s="10" t="s">
        <v>4757</v>
      </c>
      <c r="B2416" s="10" t="s">
        <v>81</v>
      </c>
      <c r="C2416" s="10" t="s">
        <v>50</v>
      </c>
      <c r="D2416" s="10" t="s">
        <v>259</v>
      </c>
      <c r="E2416" s="10" t="s">
        <v>2342</v>
      </c>
      <c r="F2416" s="30" t="n">
        <v>42882</v>
      </c>
      <c r="G2416" s="30" t="n">
        <v>42904</v>
      </c>
      <c r="H2416" s="26" t="n">
        <f aca="false">G2416-F2416</f>
        <v>22</v>
      </c>
      <c r="I2416" s="10" t="n">
        <f aca="false">IF(E2416="Won",1,0)</f>
        <v>1</v>
      </c>
    </row>
    <row r="2417" customFormat="false" ht="15" hidden="false" customHeight="false" outlineLevel="0" collapsed="false">
      <c r="A2417" s="10" t="s">
        <v>4758</v>
      </c>
      <c r="B2417" s="10" t="s">
        <v>74</v>
      </c>
      <c r="C2417" s="10" t="s">
        <v>49</v>
      </c>
      <c r="D2417" s="10" t="s">
        <v>961</v>
      </c>
      <c r="E2417" s="10" t="s">
        <v>2342</v>
      </c>
      <c r="F2417" s="30" t="n">
        <v>42767</v>
      </c>
      <c r="G2417" s="30" t="n">
        <v>42904</v>
      </c>
      <c r="H2417" s="26" t="n">
        <f aca="false">G2417-F2417</f>
        <v>137</v>
      </c>
      <c r="I2417" s="10" t="n">
        <f aca="false">IF(E2417="Won",1,0)</f>
        <v>1</v>
      </c>
    </row>
    <row r="2418" customFormat="false" ht="15" hidden="false" customHeight="false" outlineLevel="0" collapsed="false">
      <c r="A2418" s="10" t="s">
        <v>4759</v>
      </c>
      <c r="B2418" s="10" t="s">
        <v>83</v>
      </c>
      <c r="C2418" s="10" t="s">
        <v>51</v>
      </c>
      <c r="D2418" s="10" t="s">
        <v>210</v>
      </c>
      <c r="E2418" s="10" t="s">
        <v>2345</v>
      </c>
      <c r="F2418" s="30" t="n">
        <v>42816</v>
      </c>
      <c r="G2418" s="30" t="n">
        <v>42904</v>
      </c>
      <c r="H2418" s="26" t="n">
        <f aca="false">G2418-F2418</f>
        <v>88</v>
      </c>
      <c r="I2418" s="10" t="n">
        <f aca="false">IF(E2418="Won",1,0)</f>
        <v>0</v>
      </c>
    </row>
    <row r="2419" customFormat="false" ht="15" hidden="false" customHeight="false" outlineLevel="0" collapsed="false">
      <c r="A2419" s="10" t="s">
        <v>4760</v>
      </c>
      <c r="B2419" s="10" t="s">
        <v>86</v>
      </c>
      <c r="C2419" s="10" t="s">
        <v>51</v>
      </c>
      <c r="D2419" s="10" t="s">
        <v>185</v>
      </c>
      <c r="E2419" s="10" t="s">
        <v>2342</v>
      </c>
      <c r="F2419" s="30" t="n">
        <v>42791</v>
      </c>
      <c r="G2419" s="30" t="n">
        <v>42904</v>
      </c>
      <c r="H2419" s="26" t="n">
        <f aca="false">G2419-F2419</f>
        <v>113</v>
      </c>
      <c r="I2419" s="10" t="n">
        <f aca="false">IF(E2419="Won",1,0)</f>
        <v>1</v>
      </c>
    </row>
    <row r="2420" customFormat="false" ht="15" hidden="false" customHeight="false" outlineLevel="0" collapsed="false">
      <c r="A2420" s="10" t="s">
        <v>4761</v>
      </c>
      <c r="B2420" s="10" t="s">
        <v>61</v>
      </c>
      <c r="C2420" s="10" t="s">
        <v>47</v>
      </c>
      <c r="D2420" s="10" t="s">
        <v>674</v>
      </c>
      <c r="E2420" s="10" t="s">
        <v>2342</v>
      </c>
      <c r="F2420" s="30" t="n">
        <v>42834</v>
      </c>
      <c r="G2420" s="30" t="n">
        <v>42904</v>
      </c>
      <c r="H2420" s="26" t="n">
        <f aca="false">G2420-F2420</f>
        <v>70</v>
      </c>
      <c r="I2420" s="10" t="n">
        <f aca="false">IF(E2420="Won",1,0)</f>
        <v>1</v>
      </c>
    </row>
    <row r="2421" customFormat="false" ht="15" hidden="false" customHeight="false" outlineLevel="0" collapsed="false">
      <c r="A2421" s="10" t="s">
        <v>4762</v>
      </c>
      <c r="B2421" s="10" t="s">
        <v>95</v>
      </c>
      <c r="C2421" s="10" t="s">
        <v>48</v>
      </c>
      <c r="D2421" s="10" t="s">
        <v>233</v>
      </c>
      <c r="E2421" s="10" t="s">
        <v>2342</v>
      </c>
      <c r="F2421" s="30" t="n">
        <v>42793</v>
      </c>
      <c r="G2421" s="30" t="n">
        <v>42905</v>
      </c>
      <c r="H2421" s="26" t="n">
        <f aca="false">G2421-F2421</f>
        <v>112</v>
      </c>
      <c r="I2421" s="10" t="n">
        <f aca="false">IF(E2421="Won",1,0)</f>
        <v>1</v>
      </c>
    </row>
    <row r="2422" customFormat="false" ht="15" hidden="false" customHeight="false" outlineLevel="0" collapsed="false">
      <c r="A2422" s="10" t="s">
        <v>4763</v>
      </c>
      <c r="B2422" s="10" t="s">
        <v>87</v>
      </c>
      <c r="C2422" s="10" t="s">
        <v>47</v>
      </c>
      <c r="D2422" s="10" t="s">
        <v>247</v>
      </c>
      <c r="E2422" s="10" t="s">
        <v>2342</v>
      </c>
      <c r="F2422" s="30" t="n">
        <v>42897</v>
      </c>
      <c r="G2422" s="30" t="n">
        <v>42905</v>
      </c>
      <c r="H2422" s="26" t="n">
        <f aca="false">G2422-F2422</f>
        <v>8</v>
      </c>
      <c r="I2422" s="10" t="n">
        <f aca="false">IF(E2422="Won",1,0)</f>
        <v>1</v>
      </c>
    </row>
    <row r="2423" customFormat="false" ht="15" hidden="false" customHeight="false" outlineLevel="0" collapsed="false">
      <c r="A2423" s="10" t="s">
        <v>4764</v>
      </c>
      <c r="B2423" s="10" t="s">
        <v>88</v>
      </c>
      <c r="C2423" s="10" t="s">
        <v>49</v>
      </c>
      <c r="D2423" s="10" t="s">
        <v>441</v>
      </c>
      <c r="E2423" s="10" t="s">
        <v>2342</v>
      </c>
      <c r="F2423" s="30" t="n">
        <v>42794</v>
      </c>
      <c r="G2423" s="30" t="n">
        <v>42905</v>
      </c>
      <c r="H2423" s="26" t="n">
        <f aca="false">G2423-F2423</f>
        <v>111</v>
      </c>
      <c r="I2423" s="10" t="n">
        <f aca="false">IF(E2423="Won",1,0)</f>
        <v>1</v>
      </c>
    </row>
    <row r="2424" customFormat="false" ht="15" hidden="false" customHeight="false" outlineLevel="0" collapsed="false">
      <c r="A2424" s="10" t="s">
        <v>4765</v>
      </c>
      <c r="B2424" s="10" t="s">
        <v>87</v>
      </c>
      <c r="C2424" s="10" t="s">
        <v>49</v>
      </c>
      <c r="D2424" s="10" t="s">
        <v>455</v>
      </c>
      <c r="E2424" s="10" t="s">
        <v>2342</v>
      </c>
      <c r="F2424" s="30" t="n">
        <v>42842</v>
      </c>
      <c r="G2424" s="30" t="n">
        <v>42905</v>
      </c>
      <c r="H2424" s="26" t="n">
        <f aca="false">G2424-F2424</f>
        <v>63</v>
      </c>
      <c r="I2424" s="10" t="n">
        <f aca="false">IF(E2424="Won",1,0)</f>
        <v>1</v>
      </c>
    </row>
    <row r="2425" customFormat="false" ht="15" hidden="false" customHeight="false" outlineLevel="0" collapsed="false">
      <c r="A2425" s="10" t="s">
        <v>4766</v>
      </c>
      <c r="B2425" s="10" t="s">
        <v>69</v>
      </c>
      <c r="C2425" s="10" t="s">
        <v>51</v>
      </c>
      <c r="D2425" s="10" t="s">
        <v>419</v>
      </c>
      <c r="E2425" s="10" t="s">
        <v>2342</v>
      </c>
      <c r="F2425" s="30" t="n">
        <v>42824</v>
      </c>
      <c r="G2425" s="30" t="n">
        <v>42905</v>
      </c>
      <c r="H2425" s="26" t="n">
        <f aca="false">G2425-F2425</f>
        <v>81</v>
      </c>
      <c r="I2425" s="10" t="n">
        <f aca="false">IF(E2425="Won",1,0)</f>
        <v>1</v>
      </c>
    </row>
    <row r="2426" customFormat="false" ht="15" hidden="false" customHeight="false" outlineLevel="0" collapsed="false">
      <c r="A2426" s="10" t="s">
        <v>4767</v>
      </c>
      <c r="B2426" s="10" t="s">
        <v>88</v>
      </c>
      <c r="C2426" s="10" t="s">
        <v>48</v>
      </c>
      <c r="D2426" s="10" t="s">
        <v>464</v>
      </c>
      <c r="E2426" s="10" t="s">
        <v>2342</v>
      </c>
      <c r="F2426" s="30" t="n">
        <v>42830</v>
      </c>
      <c r="G2426" s="30" t="n">
        <v>42905</v>
      </c>
      <c r="H2426" s="26" t="n">
        <f aca="false">G2426-F2426</f>
        <v>75</v>
      </c>
      <c r="I2426" s="10" t="n">
        <f aca="false">IF(E2426="Won",1,0)</f>
        <v>1</v>
      </c>
    </row>
    <row r="2427" customFormat="false" ht="15" hidden="false" customHeight="false" outlineLevel="0" collapsed="false">
      <c r="A2427" s="10" t="s">
        <v>4768</v>
      </c>
      <c r="B2427" s="10" t="s">
        <v>77</v>
      </c>
      <c r="C2427" s="10" t="s">
        <v>47</v>
      </c>
      <c r="D2427" s="10" t="s">
        <v>961</v>
      </c>
      <c r="E2427" s="10" t="s">
        <v>2342</v>
      </c>
      <c r="F2427" s="30" t="n">
        <v>42796</v>
      </c>
      <c r="G2427" s="30" t="n">
        <v>42905</v>
      </c>
      <c r="H2427" s="26" t="n">
        <f aca="false">G2427-F2427</f>
        <v>109</v>
      </c>
      <c r="I2427" s="10" t="n">
        <f aca="false">IF(E2427="Won",1,0)</f>
        <v>1</v>
      </c>
    </row>
    <row r="2428" customFormat="false" ht="15" hidden="false" customHeight="false" outlineLevel="0" collapsed="false">
      <c r="A2428" s="10" t="s">
        <v>4769</v>
      </c>
      <c r="B2428" s="10" t="s">
        <v>94</v>
      </c>
      <c r="C2428" s="10" t="s">
        <v>49</v>
      </c>
      <c r="D2428" s="10" t="s">
        <v>168</v>
      </c>
      <c r="E2428" s="10" t="s">
        <v>2342</v>
      </c>
      <c r="F2428" s="30" t="n">
        <v>42812</v>
      </c>
      <c r="G2428" s="30" t="n">
        <v>42905</v>
      </c>
      <c r="H2428" s="26" t="n">
        <f aca="false">G2428-F2428</f>
        <v>93</v>
      </c>
      <c r="I2428" s="10" t="n">
        <f aca="false">IF(E2428="Won",1,0)</f>
        <v>1</v>
      </c>
    </row>
    <row r="2429" customFormat="false" ht="15" hidden="false" customHeight="false" outlineLevel="0" collapsed="false">
      <c r="A2429" s="10" t="s">
        <v>4770</v>
      </c>
      <c r="B2429" s="10" t="s">
        <v>74</v>
      </c>
      <c r="C2429" s="10" t="s">
        <v>50</v>
      </c>
      <c r="D2429" s="10" t="s">
        <v>524</v>
      </c>
      <c r="E2429" s="10" t="s">
        <v>2342</v>
      </c>
      <c r="F2429" s="30" t="n">
        <v>42830</v>
      </c>
      <c r="G2429" s="30" t="n">
        <v>42905</v>
      </c>
      <c r="H2429" s="26" t="n">
        <f aca="false">G2429-F2429</f>
        <v>75</v>
      </c>
      <c r="I2429" s="10" t="n">
        <f aca="false">IF(E2429="Won",1,0)</f>
        <v>1</v>
      </c>
    </row>
    <row r="2430" customFormat="false" ht="15" hidden="false" customHeight="false" outlineLevel="0" collapsed="false">
      <c r="A2430" s="10" t="s">
        <v>4771</v>
      </c>
      <c r="B2430" s="10" t="s">
        <v>69</v>
      </c>
      <c r="C2430" s="10" t="s">
        <v>52</v>
      </c>
      <c r="D2430" s="10" t="s">
        <v>199</v>
      </c>
      <c r="E2430" s="10" t="s">
        <v>2342</v>
      </c>
      <c r="F2430" s="30" t="n">
        <v>42830</v>
      </c>
      <c r="G2430" s="30" t="n">
        <v>42905</v>
      </c>
      <c r="H2430" s="26" t="n">
        <f aca="false">G2430-F2430</f>
        <v>75</v>
      </c>
      <c r="I2430" s="10" t="n">
        <f aca="false">IF(E2430="Won",1,0)</f>
        <v>1</v>
      </c>
    </row>
    <row r="2431" customFormat="false" ht="15" hidden="false" customHeight="false" outlineLevel="0" collapsed="false">
      <c r="A2431" s="10" t="s">
        <v>4772</v>
      </c>
      <c r="B2431" s="10" t="s">
        <v>94</v>
      </c>
      <c r="C2431" s="10" t="s">
        <v>48</v>
      </c>
      <c r="D2431" s="10" t="s">
        <v>233</v>
      </c>
      <c r="E2431" s="10" t="s">
        <v>2342</v>
      </c>
      <c r="F2431" s="30" t="n">
        <v>42895</v>
      </c>
      <c r="G2431" s="30" t="n">
        <v>42905</v>
      </c>
      <c r="H2431" s="26" t="n">
        <f aca="false">G2431-F2431</f>
        <v>10</v>
      </c>
      <c r="I2431" s="10" t="n">
        <f aca="false">IF(E2431="Won",1,0)</f>
        <v>1</v>
      </c>
    </row>
    <row r="2432" customFormat="false" ht="15" hidden="false" customHeight="false" outlineLevel="0" collapsed="false">
      <c r="A2432" s="10" t="s">
        <v>4773</v>
      </c>
      <c r="B2432" s="10" t="s">
        <v>93</v>
      </c>
      <c r="C2432" s="10" t="s">
        <v>47</v>
      </c>
      <c r="D2432" s="10" t="s">
        <v>337</v>
      </c>
      <c r="E2432" s="10" t="s">
        <v>2342</v>
      </c>
      <c r="F2432" s="30" t="n">
        <v>42783</v>
      </c>
      <c r="G2432" s="30" t="n">
        <v>42905</v>
      </c>
      <c r="H2432" s="26" t="n">
        <f aca="false">G2432-F2432</f>
        <v>122</v>
      </c>
      <c r="I2432" s="10" t="n">
        <f aca="false">IF(E2432="Won",1,0)</f>
        <v>1</v>
      </c>
    </row>
    <row r="2433" customFormat="false" ht="15" hidden="false" customHeight="false" outlineLevel="0" collapsed="false">
      <c r="A2433" s="10" t="s">
        <v>4774</v>
      </c>
      <c r="B2433" s="10" t="s">
        <v>81</v>
      </c>
      <c r="C2433" s="10" t="s">
        <v>52</v>
      </c>
      <c r="D2433" s="10" t="s">
        <v>321</v>
      </c>
      <c r="E2433" s="10" t="s">
        <v>2342</v>
      </c>
      <c r="F2433" s="30" t="n">
        <v>42819</v>
      </c>
      <c r="G2433" s="30" t="n">
        <v>42905</v>
      </c>
      <c r="H2433" s="26" t="n">
        <f aca="false">G2433-F2433</f>
        <v>86</v>
      </c>
      <c r="I2433" s="10" t="n">
        <f aca="false">IF(E2433="Won",1,0)</f>
        <v>1</v>
      </c>
    </row>
    <row r="2434" customFormat="false" ht="15" hidden="false" customHeight="false" outlineLevel="0" collapsed="false">
      <c r="A2434" s="10" t="s">
        <v>4775</v>
      </c>
      <c r="B2434" s="10" t="s">
        <v>62</v>
      </c>
      <c r="C2434" s="10" t="s">
        <v>52</v>
      </c>
      <c r="D2434" s="10" t="s">
        <v>1397</v>
      </c>
      <c r="E2434" s="10" t="s">
        <v>2342</v>
      </c>
      <c r="F2434" s="30" t="n">
        <v>42795</v>
      </c>
      <c r="G2434" s="30" t="n">
        <v>42905</v>
      </c>
      <c r="H2434" s="26" t="n">
        <f aca="false">G2434-F2434</f>
        <v>110</v>
      </c>
      <c r="I2434" s="10" t="n">
        <f aca="false">IF(E2434="Won",1,0)</f>
        <v>1</v>
      </c>
    </row>
    <row r="2435" customFormat="false" ht="15" hidden="false" customHeight="false" outlineLevel="0" collapsed="false">
      <c r="A2435" s="10" t="s">
        <v>4776</v>
      </c>
      <c r="B2435" s="10" t="s">
        <v>81</v>
      </c>
      <c r="C2435" s="10" t="s">
        <v>52</v>
      </c>
      <c r="D2435" s="10" t="s">
        <v>267</v>
      </c>
      <c r="E2435" s="10" t="s">
        <v>2342</v>
      </c>
      <c r="F2435" s="30" t="n">
        <v>42896</v>
      </c>
      <c r="G2435" s="30" t="n">
        <v>42905</v>
      </c>
      <c r="H2435" s="26" t="n">
        <f aca="false">G2435-F2435</f>
        <v>9</v>
      </c>
      <c r="I2435" s="10" t="n">
        <f aca="false">IF(E2435="Won",1,0)</f>
        <v>1</v>
      </c>
    </row>
    <row r="2436" customFormat="false" ht="15" hidden="false" customHeight="false" outlineLevel="0" collapsed="false">
      <c r="A2436" s="10" t="s">
        <v>4777</v>
      </c>
      <c r="B2436" s="10" t="s">
        <v>95</v>
      </c>
      <c r="C2436" s="10" t="s">
        <v>48</v>
      </c>
      <c r="D2436" s="10" t="s">
        <v>313</v>
      </c>
      <c r="E2436" s="10" t="s">
        <v>2342</v>
      </c>
      <c r="F2436" s="30" t="n">
        <v>42836</v>
      </c>
      <c r="G2436" s="30" t="n">
        <v>42905</v>
      </c>
      <c r="H2436" s="26" t="n">
        <f aca="false">G2436-F2436</f>
        <v>69</v>
      </c>
      <c r="I2436" s="10" t="n">
        <f aca="false">IF(E2436="Won",1,0)</f>
        <v>1</v>
      </c>
    </row>
    <row r="2437" customFormat="false" ht="15" hidden="false" customHeight="false" outlineLevel="0" collapsed="false">
      <c r="A2437" s="10" t="s">
        <v>4778</v>
      </c>
      <c r="B2437" s="10" t="s">
        <v>86</v>
      </c>
      <c r="C2437" s="10" t="s">
        <v>49</v>
      </c>
      <c r="D2437" s="10" t="s">
        <v>692</v>
      </c>
      <c r="E2437" s="10" t="s">
        <v>2342</v>
      </c>
      <c r="F2437" s="30" t="n">
        <v>42899</v>
      </c>
      <c r="G2437" s="30" t="n">
        <v>42905</v>
      </c>
      <c r="H2437" s="26" t="n">
        <f aca="false">G2437-F2437</f>
        <v>6</v>
      </c>
      <c r="I2437" s="10" t="n">
        <f aca="false">IF(E2437="Won",1,0)</f>
        <v>1</v>
      </c>
    </row>
    <row r="2438" customFormat="false" ht="15" hidden="false" customHeight="false" outlineLevel="0" collapsed="false">
      <c r="A2438" s="10" t="s">
        <v>4779</v>
      </c>
      <c r="B2438" s="10" t="s">
        <v>61</v>
      </c>
      <c r="C2438" s="10" t="s">
        <v>49</v>
      </c>
      <c r="D2438" s="10" t="s">
        <v>616</v>
      </c>
      <c r="E2438" s="10" t="s">
        <v>2345</v>
      </c>
      <c r="F2438" s="30" t="n">
        <v>42890</v>
      </c>
      <c r="G2438" s="30" t="n">
        <v>42906</v>
      </c>
      <c r="H2438" s="26" t="n">
        <f aca="false">G2438-F2438</f>
        <v>16</v>
      </c>
      <c r="I2438" s="10" t="n">
        <f aca="false">IF(E2438="Won",1,0)</f>
        <v>0</v>
      </c>
    </row>
    <row r="2439" customFormat="false" ht="15" hidden="false" customHeight="false" outlineLevel="0" collapsed="false">
      <c r="A2439" s="10" t="s">
        <v>4780</v>
      </c>
      <c r="B2439" s="10" t="s">
        <v>68</v>
      </c>
      <c r="C2439" s="10" t="s">
        <v>50</v>
      </c>
      <c r="D2439" s="10" t="s">
        <v>227</v>
      </c>
      <c r="E2439" s="10" t="s">
        <v>2345</v>
      </c>
      <c r="F2439" s="30" t="n">
        <v>42790</v>
      </c>
      <c r="G2439" s="30" t="n">
        <v>42906</v>
      </c>
      <c r="H2439" s="26" t="n">
        <f aca="false">G2439-F2439</f>
        <v>116</v>
      </c>
      <c r="I2439" s="10" t="n">
        <f aca="false">IF(E2439="Won",1,0)</f>
        <v>0</v>
      </c>
    </row>
    <row r="2440" customFormat="false" ht="15" hidden="false" customHeight="false" outlineLevel="0" collapsed="false">
      <c r="A2440" s="10" t="s">
        <v>4781</v>
      </c>
      <c r="B2440" s="10" t="s">
        <v>97</v>
      </c>
      <c r="C2440" s="10" t="s">
        <v>52</v>
      </c>
      <c r="D2440" s="10" t="s">
        <v>348</v>
      </c>
      <c r="E2440" s="10" t="s">
        <v>2345</v>
      </c>
      <c r="F2440" s="30" t="n">
        <v>42898</v>
      </c>
      <c r="G2440" s="30" t="n">
        <v>42906</v>
      </c>
      <c r="H2440" s="26" t="n">
        <f aca="false">G2440-F2440</f>
        <v>8</v>
      </c>
      <c r="I2440" s="10" t="n">
        <f aca="false">IF(E2440="Won",1,0)</f>
        <v>0</v>
      </c>
    </row>
    <row r="2441" customFormat="false" ht="15" hidden="false" customHeight="false" outlineLevel="0" collapsed="false">
      <c r="A2441" s="10" t="s">
        <v>4782</v>
      </c>
      <c r="B2441" s="10" t="s">
        <v>60</v>
      </c>
      <c r="C2441" s="10" t="s">
        <v>47</v>
      </c>
      <c r="D2441" s="10" t="s">
        <v>332</v>
      </c>
      <c r="E2441" s="10" t="s">
        <v>2342</v>
      </c>
      <c r="F2441" s="30" t="n">
        <v>42829</v>
      </c>
      <c r="G2441" s="30" t="n">
        <v>42906</v>
      </c>
      <c r="H2441" s="26" t="n">
        <f aca="false">G2441-F2441</f>
        <v>77</v>
      </c>
      <c r="I2441" s="10" t="n">
        <f aca="false">IF(E2441="Won",1,0)</f>
        <v>1</v>
      </c>
    </row>
    <row r="2442" customFormat="false" ht="15" hidden="false" customHeight="false" outlineLevel="0" collapsed="false">
      <c r="A2442" s="10" t="s">
        <v>4783</v>
      </c>
      <c r="B2442" s="10" t="s">
        <v>95</v>
      </c>
      <c r="C2442" s="10" t="s">
        <v>50</v>
      </c>
      <c r="D2442" s="10" t="s">
        <v>210</v>
      </c>
      <c r="E2442" s="10" t="s">
        <v>2342</v>
      </c>
      <c r="F2442" s="30" t="n">
        <v>42834</v>
      </c>
      <c r="G2442" s="30" t="n">
        <v>42906</v>
      </c>
      <c r="H2442" s="26" t="n">
        <f aca="false">G2442-F2442</f>
        <v>72</v>
      </c>
      <c r="I2442" s="10" t="n">
        <f aca="false">IF(E2442="Won",1,0)</f>
        <v>1</v>
      </c>
    </row>
    <row r="2443" customFormat="false" ht="15" hidden="false" customHeight="false" outlineLevel="0" collapsed="false">
      <c r="A2443" s="10" t="s">
        <v>4784</v>
      </c>
      <c r="B2443" s="10" t="s">
        <v>71</v>
      </c>
      <c r="C2443" s="10" t="s">
        <v>52</v>
      </c>
      <c r="D2443" s="10" t="s">
        <v>210</v>
      </c>
      <c r="E2443" s="10" t="s">
        <v>2342</v>
      </c>
      <c r="F2443" s="30" t="n">
        <v>42843</v>
      </c>
      <c r="G2443" s="30" t="n">
        <v>42906</v>
      </c>
      <c r="H2443" s="26" t="n">
        <f aca="false">G2443-F2443</f>
        <v>63</v>
      </c>
      <c r="I2443" s="10" t="n">
        <f aca="false">IF(E2443="Won",1,0)</f>
        <v>1</v>
      </c>
    </row>
    <row r="2444" customFormat="false" ht="15" hidden="false" customHeight="false" outlineLevel="0" collapsed="false">
      <c r="A2444" s="10" t="s">
        <v>4785</v>
      </c>
      <c r="B2444" s="10" t="s">
        <v>87</v>
      </c>
      <c r="C2444" s="10" t="s">
        <v>48</v>
      </c>
      <c r="D2444" s="10" t="s">
        <v>350</v>
      </c>
      <c r="E2444" s="10" t="s">
        <v>2342</v>
      </c>
      <c r="F2444" s="30" t="n">
        <v>42901</v>
      </c>
      <c r="G2444" s="30" t="n">
        <v>42906</v>
      </c>
      <c r="H2444" s="26" t="n">
        <f aca="false">G2444-F2444</f>
        <v>5</v>
      </c>
      <c r="I2444" s="10" t="n">
        <f aca="false">IF(E2444="Won",1,0)</f>
        <v>1</v>
      </c>
    </row>
    <row r="2445" customFormat="false" ht="15" hidden="false" customHeight="false" outlineLevel="0" collapsed="false">
      <c r="A2445" s="10" t="s">
        <v>4786</v>
      </c>
      <c r="B2445" s="10" t="s">
        <v>94</v>
      </c>
      <c r="C2445" s="10" t="s">
        <v>49</v>
      </c>
      <c r="D2445" s="10" t="s">
        <v>313</v>
      </c>
      <c r="E2445" s="10" t="s">
        <v>2345</v>
      </c>
      <c r="F2445" s="30" t="n">
        <v>42900</v>
      </c>
      <c r="G2445" s="30" t="n">
        <v>42906</v>
      </c>
      <c r="H2445" s="26" t="n">
        <f aca="false">G2445-F2445</f>
        <v>6</v>
      </c>
      <c r="I2445" s="10" t="n">
        <f aca="false">IF(E2445="Won",1,0)</f>
        <v>0</v>
      </c>
    </row>
    <row r="2446" customFormat="false" ht="15" hidden="false" customHeight="false" outlineLevel="0" collapsed="false">
      <c r="A2446" s="10" t="s">
        <v>4787</v>
      </c>
      <c r="B2446" s="10" t="s">
        <v>88</v>
      </c>
      <c r="C2446" s="10" t="s">
        <v>48</v>
      </c>
      <c r="D2446" s="10" t="s">
        <v>218</v>
      </c>
      <c r="E2446" s="10" t="s">
        <v>2342</v>
      </c>
      <c r="F2446" s="30" t="n">
        <v>42890</v>
      </c>
      <c r="G2446" s="30" t="n">
        <v>42906</v>
      </c>
      <c r="H2446" s="26" t="n">
        <f aca="false">G2446-F2446</f>
        <v>16</v>
      </c>
      <c r="I2446" s="10" t="n">
        <f aca="false">IF(E2446="Won",1,0)</f>
        <v>1</v>
      </c>
    </row>
    <row r="2447" customFormat="false" ht="15" hidden="false" customHeight="false" outlineLevel="0" collapsed="false">
      <c r="A2447" s="10" t="s">
        <v>4788</v>
      </c>
      <c r="B2447" s="10" t="s">
        <v>83</v>
      </c>
      <c r="C2447" s="10" t="s">
        <v>50</v>
      </c>
      <c r="D2447" s="10" t="s">
        <v>311</v>
      </c>
      <c r="E2447" s="10" t="s">
        <v>2342</v>
      </c>
      <c r="F2447" s="30" t="n">
        <v>42859</v>
      </c>
      <c r="G2447" s="30" t="n">
        <v>42906</v>
      </c>
      <c r="H2447" s="26" t="n">
        <f aca="false">G2447-F2447</f>
        <v>47</v>
      </c>
      <c r="I2447" s="10" t="n">
        <f aca="false">IF(E2447="Won",1,0)</f>
        <v>1</v>
      </c>
    </row>
    <row r="2448" customFormat="false" ht="15" hidden="false" customHeight="false" outlineLevel="0" collapsed="false">
      <c r="A2448" s="10" t="s">
        <v>4789</v>
      </c>
      <c r="B2448" s="10" t="s">
        <v>71</v>
      </c>
      <c r="C2448" s="10" t="s">
        <v>51</v>
      </c>
      <c r="D2448" s="10" t="s">
        <v>597</v>
      </c>
      <c r="E2448" s="10" t="s">
        <v>2342</v>
      </c>
      <c r="F2448" s="30" t="n">
        <v>42827</v>
      </c>
      <c r="G2448" s="30" t="n">
        <v>42906</v>
      </c>
      <c r="H2448" s="26" t="n">
        <f aca="false">G2448-F2448</f>
        <v>79</v>
      </c>
      <c r="I2448" s="10" t="n">
        <f aca="false">IF(E2448="Won",1,0)</f>
        <v>1</v>
      </c>
    </row>
    <row r="2449" customFormat="false" ht="15" hidden="false" customHeight="false" outlineLevel="0" collapsed="false">
      <c r="A2449" s="10" t="s">
        <v>4790</v>
      </c>
      <c r="B2449" s="10" t="s">
        <v>77</v>
      </c>
      <c r="C2449" s="10" t="s">
        <v>48</v>
      </c>
      <c r="D2449" s="10" t="s">
        <v>512</v>
      </c>
      <c r="E2449" s="10" t="s">
        <v>2342</v>
      </c>
      <c r="F2449" s="30" t="n">
        <v>42808</v>
      </c>
      <c r="G2449" s="30" t="n">
        <v>42906</v>
      </c>
      <c r="H2449" s="26" t="n">
        <f aca="false">G2449-F2449</f>
        <v>98</v>
      </c>
      <c r="I2449" s="10" t="n">
        <f aca="false">IF(E2449="Won",1,0)</f>
        <v>1</v>
      </c>
    </row>
    <row r="2450" customFormat="false" ht="15" hidden="false" customHeight="false" outlineLevel="0" collapsed="false">
      <c r="A2450" s="10" t="s">
        <v>4791</v>
      </c>
      <c r="B2450" s="10" t="s">
        <v>77</v>
      </c>
      <c r="C2450" s="10" t="s">
        <v>50</v>
      </c>
      <c r="D2450" s="10" t="s">
        <v>369</v>
      </c>
      <c r="E2450" s="10" t="s">
        <v>2342</v>
      </c>
      <c r="F2450" s="30" t="n">
        <v>42850</v>
      </c>
      <c r="G2450" s="30" t="n">
        <v>42906</v>
      </c>
      <c r="H2450" s="26" t="n">
        <f aca="false">G2450-F2450</f>
        <v>56</v>
      </c>
      <c r="I2450" s="10" t="n">
        <f aca="false">IF(E2450="Won",1,0)</f>
        <v>1</v>
      </c>
    </row>
    <row r="2451" customFormat="false" ht="15" hidden="false" customHeight="false" outlineLevel="0" collapsed="false">
      <c r="A2451" s="10" t="s">
        <v>4792</v>
      </c>
      <c r="B2451" s="10" t="s">
        <v>93</v>
      </c>
      <c r="C2451" s="10" t="s">
        <v>51</v>
      </c>
      <c r="D2451" s="10" t="s">
        <v>986</v>
      </c>
      <c r="E2451" s="10" t="s">
        <v>2345</v>
      </c>
      <c r="F2451" s="30" t="n">
        <v>42879</v>
      </c>
      <c r="G2451" s="30" t="n">
        <v>42906</v>
      </c>
      <c r="H2451" s="26" t="n">
        <f aca="false">G2451-F2451</f>
        <v>27</v>
      </c>
      <c r="I2451" s="10" t="n">
        <f aca="false">IF(E2451="Won",1,0)</f>
        <v>0</v>
      </c>
    </row>
    <row r="2452" customFormat="false" ht="15" hidden="false" customHeight="false" outlineLevel="0" collapsed="false">
      <c r="A2452" s="10" t="s">
        <v>4793</v>
      </c>
      <c r="B2452" s="10" t="s">
        <v>77</v>
      </c>
      <c r="C2452" s="10" t="s">
        <v>50</v>
      </c>
      <c r="D2452" s="10" t="s">
        <v>524</v>
      </c>
      <c r="E2452" s="10" t="s">
        <v>2345</v>
      </c>
      <c r="F2452" s="30" t="n">
        <v>42771</v>
      </c>
      <c r="G2452" s="30" t="n">
        <v>42906</v>
      </c>
      <c r="H2452" s="26" t="n">
        <f aca="false">G2452-F2452</f>
        <v>135</v>
      </c>
      <c r="I2452" s="10" t="n">
        <f aca="false">IF(E2452="Won",1,0)</f>
        <v>0</v>
      </c>
    </row>
    <row r="2453" customFormat="false" ht="15" hidden="false" customHeight="false" outlineLevel="0" collapsed="false">
      <c r="A2453" s="10" t="s">
        <v>4794</v>
      </c>
      <c r="B2453" s="10" t="s">
        <v>76</v>
      </c>
      <c r="C2453" s="10" t="s">
        <v>52</v>
      </c>
      <c r="D2453" s="10" t="s">
        <v>483</v>
      </c>
      <c r="E2453" s="10" t="s">
        <v>2342</v>
      </c>
      <c r="F2453" s="30" t="n">
        <v>42806</v>
      </c>
      <c r="G2453" s="30" t="n">
        <v>42906</v>
      </c>
      <c r="H2453" s="26" t="n">
        <f aca="false">G2453-F2453</f>
        <v>100</v>
      </c>
      <c r="I2453" s="10" t="n">
        <f aca="false">IF(E2453="Won",1,0)</f>
        <v>1</v>
      </c>
    </row>
    <row r="2454" customFormat="false" ht="15" hidden="false" customHeight="false" outlineLevel="0" collapsed="false">
      <c r="A2454" s="10" t="s">
        <v>4795</v>
      </c>
      <c r="B2454" s="10" t="s">
        <v>67</v>
      </c>
      <c r="C2454" s="10" t="s">
        <v>50</v>
      </c>
      <c r="D2454" s="10" t="s">
        <v>172</v>
      </c>
      <c r="E2454" s="10" t="s">
        <v>2342</v>
      </c>
      <c r="F2454" s="30" t="n">
        <v>42769</v>
      </c>
      <c r="G2454" s="30" t="n">
        <v>42906</v>
      </c>
      <c r="H2454" s="26" t="n">
        <f aca="false">G2454-F2454</f>
        <v>137</v>
      </c>
      <c r="I2454" s="10" t="n">
        <f aca="false">IF(E2454="Won",1,0)</f>
        <v>1</v>
      </c>
    </row>
    <row r="2455" customFormat="false" ht="15" hidden="false" customHeight="false" outlineLevel="0" collapsed="false">
      <c r="A2455" s="10" t="s">
        <v>4796</v>
      </c>
      <c r="B2455" s="10" t="s">
        <v>94</v>
      </c>
      <c r="C2455" s="10" t="s">
        <v>52</v>
      </c>
      <c r="D2455" s="10" t="s">
        <v>522</v>
      </c>
      <c r="E2455" s="10" t="s">
        <v>2345</v>
      </c>
      <c r="F2455" s="30" t="n">
        <v>42825</v>
      </c>
      <c r="G2455" s="30" t="n">
        <v>42906</v>
      </c>
      <c r="H2455" s="26" t="n">
        <f aca="false">G2455-F2455</f>
        <v>81</v>
      </c>
      <c r="I2455" s="10" t="n">
        <f aca="false">IF(E2455="Won",1,0)</f>
        <v>0</v>
      </c>
    </row>
    <row r="2456" customFormat="false" ht="15" hidden="false" customHeight="false" outlineLevel="0" collapsed="false">
      <c r="A2456" s="10" t="s">
        <v>4797</v>
      </c>
      <c r="B2456" s="10" t="s">
        <v>77</v>
      </c>
      <c r="C2456" s="10" t="s">
        <v>51</v>
      </c>
      <c r="D2456" s="10" t="s">
        <v>422</v>
      </c>
      <c r="E2456" s="10" t="s">
        <v>2342</v>
      </c>
      <c r="F2456" s="30" t="n">
        <v>42824</v>
      </c>
      <c r="G2456" s="30" t="n">
        <v>42906</v>
      </c>
      <c r="H2456" s="26" t="n">
        <f aca="false">G2456-F2456</f>
        <v>82</v>
      </c>
      <c r="I2456" s="10" t="n">
        <f aca="false">IF(E2456="Won",1,0)</f>
        <v>1</v>
      </c>
    </row>
    <row r="2457" customFormat="false" ht="15" hidden="false" customHeight="false" outlineLevel="0" collapsed="false">
      <c r="A2457" s="10" t="s">
        <v>4798</v>
      </c>
      <c r="B2457" s="10" t="s">
        <v>96</v>
      </c>
      <c r="C2457" s="10" t="s">
        <v>49</v>
      </c>
      <c r="D2457" s="10" t="s">
        <v>175</v>
      </c>
      <c r="E2457" s="10" t="s">
        <v>2342</v>
      </c>
      <c r="F2457" s="30" t="n">
        <v>42891</v>
      </c>
      <c r="G2457" s="30" t="n">
        <v>42907</v>
      </c>
      <c r="H2457" s="26" t="n">
        <f aca="false">G2457-F2457</f>
        <v>16</v>
      </c>
      <c r="I2457" s="10" t="n">
        <f aca="false">IF(E2457="Won",1,0)</f>
        <v>1</v>
      </c>
    </row>
    <row r="2458" customFormat="false" ht="15" hidden="false" customHeight="false" outlineLevel="0" collapsed="false">
      <c r="A2458" s="10" t="s">
        <v>4799</v>
      </c>
      <c r="B2458" s="10" t="s">
        <v>70</v>
      </c>
      <c r="C2458" s="10" t="s">
        <v>49</v>
      </c>
      <c r="D2458" s="10" t="s">
        <v>437</v>
      </c>
      <c r="E2458" s="10" t="s">
        <v>2345</v>
      </c>
      <c r="F2458" s="30" t="n">
        <v>42808</v>
      </c>
      <c r="G2458" s="30" t="n">
        <v>42907</v>
      </c>
      <c r="H2458" s="26" t="n">
        <f aca="false">G2458-F2458</f>
        <v>99</v>
      </c>
      <c r="I2458" s="10" t="n">
        <f aca="false">IF(E2458="Won",1,0)</f>
        <v>0</v>
      </c>
    </row>
    <row r="2459" customFormat="false" ht="15" hidden="false" customHeight="false" outlineLevel="0" collapsed="false">
      <c r="A2459" s="10" t="s">
        <v>4800</v>
      </c>
      <c r="B2459" s="10" t="s">
        <v>70</v>
      </c>
      <c r="C2459" s="10" t="s">
        <v>51</v>
      </c>
      <c r="D2459" s="10" t="s">
        <v>487</v>
      </c>
      <c r="E2459" s="10" t="s">
        <v>2345</v>
      </c>
      <c r="F2459" s="30" t="n">
        <v>42864</v>
      </c>
      <c r="G2459" s="30" t="n">
        <v>42907</v>
      </c>
      <c r="H2459" s="26" t="n">
        <f aca="false">G2459-F2459</f>
        <v>43</v>
      </c>
      <c r="I2459" s="10" t="n">
        <f aca="false">IF(E2459="Won",1,0)</f>
        <v>0</v>
      </c>
    </row>
    <row r="2460" customFormat="false" ht="15" hidden="false" customHeight="false" outlineLevel="0" collapsed="false">
      <c r="A2460" s="10" t="s">
        <v>4801</v>
      </c>
      <c r="B2460" s="10" t="s">
        <v>80</v>
      </c>
      <c r="C2460" s="10" t="s">
        <v>50</v>
      </c>
      <c r="D2460" s="10" t="s">
        <v>762</v>
      </c>
      <c r="E2460" s="10" t="s">
        <v>2342</v>
      </c>
      <c r="F2460" s="30" t="n">
        <v>42889</v>
      </c>
      <c r="G2460" s="30" t="n">
        <v>42907</v>
      </c>
      <c r="H2460" s="26" t="n">
        <f aca="false">G2460-F2460</f>
        <v>18</v>
      </c>
      <c r="I2460" s="10" t="n">
        <f aca="false">IF(E2460="Won",1,0)</f>
        <v>1</v>
      </c>
    </row>
    <row r="2461" customFormat="false" ht="15" hidden="false" customHeight="false" outlineLevel="0" collapsed="false">
      <c r="A2461" s="10" t="s">
        <v>4802</v>
      </c>
      <c r="B2461" s="10" t="s">
        <v>97</v>
      </c>
      <c r="C2461" s="10" t="s">
        <v>48</v>
      </c>
      <c r="D2461" s="10" t="s">
        <v>313</v>
      </c>
      <c r="E2461" s="10" t="s">
        <v>2345</v>
      </c>
      <c r="F2461" s="30" t="n">
        <v>42870</v>
      </c>
      <c r="G2461" s="30" t="n">
        <v>42907</v>
      </c>
      <c r="H2461" s="26" t="n">
        <f aca="false">G2461-F2461</f>
        <v>37</v>
      </c>
      <c r="I2461" s="10" t="n">
        <f aca="false">IF(E2461="Won",1,0)</f>
        <v>0</v>
      </c>
    </row>
    <row r="2462" customFormat="false" ht="15" hidden="false" customHeight="false" outlineLevel="0" collapsed="false">
      <c r="A2462" s="10" t="s">
        <v>4803</v>
      </c>
      <c r="B2462" s="10" t="s">
        <v>77</v>
      </c>
      <c r="C2462" s="10" t="s">
        <v>47</v>
      </c>
      <c r="D2462" s="10" t="s">
        <v>524</v>
      </c>
      <c r="E2462" s="10" t="s">
        <v>2342</v>
      </c>
      <c r="F2462" s="30" t="n">
        <v>42894</v>
      </c>
      <c r="G2462" s="30" t="n">
        <v>42907</v>
      </c>
      <c r="H2462" s="26" t="n">
        <f aca="false">G2462-F2462</f>
        <v>13</v>
      </c>
      <c r="I2462" s="10" t="n">
        <f aca="false">IF(E2462="Won",1,0)</f>
        <v>1</v>
      </c>
    </row>
    <row r="2463" customFormat="false" ht="15" hidden="false" customHeight="false" outlineLevel="0" collapsed="false">
      <c r="A2463" s="10" t="s">
        <v>4804</v>
      </c>
      <c r="B2463" s="10" t="s">
        <v>77</v>
      </c>
      <c r="C2463" s="10" t="s">
        <v>48</v>
      </c>
      <c r="D2463" s="10" t="s">
        <v>193</v>
      </c>
      <c r="E2463" s="10" t="s">
        <v>2342</v>
      </c>
      <c r="F2463" s="30" t="n">
        <v>42809</v>
      </c>
      <c r="G2463" s="30" t="n">
        <v>42907</v>
      </c>
      <c r="H2463" s="26" t="n">
        <f aca="false">G2463-F2463</f>
        <v>98</v>
      </c>
      <c r="I2463" s="10" t="n">
        <f aca="false">IF(E2463="Won",1,0)</f>
        <v>1</v>
      </c>
    </row>
    <row r="2464" customFormat="false" ht="15" hidden="false" customHeight="false" outlineLevel="0" collapsed="false">
      <c r="A2464" s="10" t="s">
        <v>4805</v>
      </c>
      <c r="B2464" s="10" t="s">
        <v>77</v>
      </c>
      <c r="C2464" s="10" t="s">
        <v>51</v>
      </c>
      <c r="D2464" s="10" t="s">
        <v>1948</v>
      </c>
      <c r="E2464" s="10" t="s">
        <v>2342</v>
      </c>
      <c r="F2464" s="30" t="n">
        <v>42885</v>
      </c>
      <c r="G2464" s="30" t="n">
        <v>42907</v>
      </c>
      <c r="H2464" s="26" t="n">
        <f aca="false">G2464-F2464</f>
        <v>22</v>
      </c>
      <c r="I2464" s="10" t="n">
        <f aca="false">IF(E2464="Won",1,0)</f>
        <v>1</v>
      </c>
    </row>
    <row r="2465" customFormat="false" ht="15" hidden="false" customHeight="false" outlineLevel="0" collapsed="false">
      <c r="A2465" s="10" t="s">
        <v>4806</v>
      </c>
      <c r="B2465" s="10" t="s">
        <v>70</v>
      </c>
      <c r="C2465" s="10" t="s">
        <v>48</v>
      </c>
      <c r="D2465" s="10" t="s">
        <v>487</v>
      </c>
      <c r="E2465" s="10" t="s">
        <v>2342</v>
      </c>
      <c r="F2465" s="30" t="n">
        <v>42836</v>
      </c>
      <c r="G2465" s="30" t="n">
        <v>42907</v>
      </c>
      <c r="H2465" s="26" t="n">
        <f aca="false">G2465-F2465</f>
        <v>71</v>
      </c>
      <c r="I2465" s="10" t="n">
        <f aca="false">IF(E2465="Won",1,0)</f>
        <v>1</v>
      </c>
    </row>
    <row r="2466" customFormat="false" ht="15" hidden="false" customHeight="false" outlineLevel="0" collapsed="false">
      <c r="A2466" s="10" t="s">
        <v>4807</v>
      </c>
      <c r="B2466" s="10" t="s">
        <v>76</v>
      </c>
      <c r="C2466" s="10" t="s">
        <v>52</v>
      </c>
      <c r="D2466" s="10" t="s">
        <v>1948</v>
      </c>
      <c r="E2466" s="10" t="s">
        <v>2345</v>
      </c>
      <c r="F2466" s="30" t="n">
        <v>42814</v>
      </c>
      <c r="G2466" s="30" t="n">
        <v>42907</v>
      </c>
      <c r="H2466" s="26" t="n">
        <f aca="false">G2466-F2466</f>
        <v>93</v>
      </c>
      <c r="I2466" s="10" t="n">
        <f aca="false">IF(E2466="Won",1,0)</f>
        <v>0</v>
      </c>
    </row>
    <row r="2467" customFormat="false" ht="15" hidden="false" customHeight="false" outlineLevel="0" collapsed="false">
      <c r="A2467" s="10" t="s">
        <v>4808</v>
      </c>
      <c r="B2467" s="10" t="s">
        <v>67</v>
      </c>
      <c r="C2467" s="10" t="s">
        <v>52</v>
      </c>
      <c r="D2467" s="10" t="s">
        <v>199</v>
      </c>
      <c r="E2467" s="10" t="s">
        <v>2342</v>
      </c>
      <c r="F2467" s="30" t="n">
        <v>42893</v>
      </c>
      <c r="G2467" s="30" t="n">
        <v>42907</v>
      </c>
      <c r="H2467" s="26" t="n">
        <f aca="false">G2467-F2467</f>
        <v>14</v>
      </c>
      <c r="I2467" s="10" t="n">
        <f aca="false">IF(E2467="Won",1,0)</f>
        <v>1</v>
      </c>
    </row>
    <row r="2468" customFormat="false" ht="15" hidden="false" customHeight="false" outlineLevel="0" collapsed="false">
      <c r="A2468" s="10" t="s">
        <v>4809</v>
      </c>
      <c r="B2468" s="10" t="s">
        <v>90</v>
      </c>
      <c r="C2468" s="10" t="s">
        <v>47</v>
      </c>
      <c r="D2468" s="10" t="s">
        <v>233</v>
      </c>
      <c r="E2468" s="10" t="s">
        <v>2342</v>
      </c>
      <c r="F2468" s="30" t="n">
        <v>42837</v>
      </c>
      <c r="G2468" s="30" t="n">
        <v>42907</v>
      </c>
      <c r="H2468" s="26" t="n">
        <f aca="false">G2468-F2468</f>
        <v>70</v>
      </c>
      <c r="I2468" s="10" t="n">
        <f aca="false">IF(E2468="Won",1,0)</f>
        <v>1</v>
      </c>
    </row>
    <row r="2469" customFormat="false" ht="15" hidden="false" customHeight="false" outlineLevel="0" collapsed="false">
      <c r="A2469" s="10" t="s">
        <v>4810</v>
      </c>
      <c r="B2469" s="10" t="s">
        <v>70</v>
      </c>
      <c r="C2469" s="10" t="s">
        <v>50</v>
      </c>
      <c r="D2469" s="10" t="s">
        <v>522</v>
      </c>
      <c r="E2469" s="10" t="s">
        <v>2342</v>
      </c>
      <c r="F2469" s="30" t="n">
        <v>42896</v>
      </c>
      <c r="G2469" s="30" t="n">
        <v>42907</v>
      </c>
      <c r="H2469" s="26" t="n">
        <f aca="false">G2469-F2469</f>
        <v>11</v>
      </c>
      <c r="I2469" s="10" t="n">
        <f aca="false">IF(E2469="Won",1,0)</f>
        <v>1</v>
      </c>
    </row>
    <row r="2470" customFormat="false" ht="15" hidden="false" customHeight="false" outlineLevel="0" collapsed="false">
      <c r="A2470" s="10" t="s">
        <v>4811</v>
      </c>
      <c r="B2470" s="10" t="s">
        <v>76</v>
      </c>
      <c r="C2470" s="10" t="s">
        <v>49</v>
      </c>
      <c r="D2470" s="10" t="s">
        <v>869</v>
      </c>
      <c r="E2470" s="10" t="s">
        <v>2342</v>
      </c>
      <c r="F2470" s="30" t="n">
        <v>42811</v>
      </c>
      <c r="G2470" s="30" t="n">
        <v>42907</v>
      </c>
      <c r="H2470" s="26" t="n">
        <f aca="false">G2470-F2470</f>
        <v>96</v>
      </c>
      <c r="I2470" s="10" t="n">
        <f aca="false">IF(E2470="Won",1,0)</f>
        <v>1</v>
      </c>
    </row>
    <row r="2471" customFormat="false" ht="15" hidden="false" customHeight="false" outlineLevel="0" collapsed="false">
      <c r="A2471" s="10" t="s">
        <v>4812</v>
      </c>
      <c r="B2471" s="10" t="s">
        <v>83</v>
      </c>
      <c r="C2471" s="10" t="s">
        <v>51</v>
      </c>
      <c r="D2471" s="10" t="s">
        <v>1251</v>
      </c>
      <c r="E2471" s="10" t="s">
        <v>2342</v>
      </c>
      <c r="F2471" s="30" t="n">
        <v>42896</v>
      </c>
      <c r="G2471" s="30" t="n">
        <v>42907</v>
      </c>
      <c r="H2471" s="26" t="n">
        <f aca="false">G2471-F2471</f>
        <v>11</v>
      </c>
      <c r="I2471" s="10" t="n">
        <f aca="false">IF(E2471="Won",1,0)</f>
        <v>1</v>
      </c>
    </row>
    <row r="2472" customFormat="false" ht="15" hidden="false" customHeight="false" outlineLevel="0" collapsed="false">
      <c r="A2472" s="10" t="s">
        <v>4813</v>
      </c>
      <c r="B2472" s="10" t="s">
        <v>90</v>
      </c>
      <c r="C2472" s="10" t="s">
        <v>47</v>
      </c>
      <c r="D2472" s="10" t="s">
        <v>161</v>
      </c>
      <c r="E2472" s="10" t="s">
        <v>2345</v>
      </c>
      <c r="F2472" s="30" t="n">
        <v>42896</v>
      </c>
      <c r="G2472" s="30" t="n">
        <v>42907</v>
      </c>
      <c r="H2472" s="26" t="n">
        <f aca="false">G2472-F2472</f>
        <v>11</v>
      </c>
      <c r="I2472" s="10" t="n">
        <f aca="false">IF(E2472="Won",1,0)</f>
        <v>0</v>
      </c>
    </row>
    <row r="2473" customFormat="false" ht="15" hidden="false" customHeight="false" outlineLevel="0" collapsed="false">
      <c r="A2473" s="10" t="s">
        <v>4814</v>
      </c>
      <c r="B2473" s="10" t="s">
        <v>87</v>
      </c>
      <c r="C2473" s="10" t="s">
        <v>48</v>
      </c>
      <c r="D2473" s="10" t="s">
        <v>293</v>
      </c>
      <c r="E2473" s="10" t="s">
        <v>2342</v>
      </c>
      <c r="F2473" s="30" t="n">
        <v>42905</v>
      </c>
      <c r="G2473" s="30" t="n">
        <v>42907</v>
      </c>
      <c r="H2473" s="26" t="n">
        <f aca="false">G2473-F2473</f>
        <v>2</v>
      </c>
      <c r="I2473" s="10" t="n">
        <f aca="false">IF(E2473="Won",1,0)</f>
        <v>1</v>
      </c>
    </row>
    <row r="2474" customFormat="false" ht="15" hidden="false" customHeight="false" outlineLevel="0" collapsed="false">
      <c r="A2474" s="10" t="s">
        <v>4815</v>
      </c>
      <c r="B2474" s="10" t="s">
        <v>83</v>
      </c>
      <c r="C2474" s="10" t="s">
        <v>48</v>
      </c>
      <c r="D2474" s="10" t="s">
        <v>388</v>
      </c>
      <c r="E2474" s="10" t="s">
        <v>2345</v>
      </c>
      <c r="F2474" s="30" t="n">
        <v>42904</v>
      </c>
      <c r="G2474" s="30" t="n">
        <v>42907</v>
      </c>
      <c r="H2474" s="26" t="n">
        <f aca="false">G2474-F2474</f>
        <v>3</v>
      </c>
      <c r="I2474" s="10" t="n">
        <f aca="false">IF(E2474="Won",1,0)</f>
        <v>0</v>
      </c>
    </row>
    <row r="2475" customFormat="false" ht="15" hidden="false" customHeight="false" outlineLevel="0" collapsed="false">
      <c r="A2475" s="10" t="s">
        <v>4816</v>
      </c>
      <c r="B2475" s="10" t="s">
        <v>79</v>
      </c>
      <c r="C2475" s="10" t="s">
        <v>52</v>
      </c>
      <c r="D2475" s="10" t="s">
        <v>961</v>
      </c>
      <c r="E2475" s="10" t="s">
        <v>2342</v>
      </c>
      <c r="F2475" s="30" t="n">
        <v>42816</v>
      </c>
      <c r="G2475" s="30" t="n">
        <v>42907</v>
      </c>
      <c r="H2475" s="26" t="n">
        <f aca="false">G2475-F2475</f>
        <v>91</v>
      </c>
      <c r="I2475" s="10" t="n">
        <f aca="false">IF(E2475="Won",1,0)</f>
        <v>1</v>
      </c>
    </row>
    <row r="2476" customFormat="false" ht="15" hidden="false" customHeight="false" outlineLevel="0" collapsed="false">
      <c r="A2476" s="10" t="s">
        <v>4817</v>
      </c>
      <c r="B2476" s="10" t="s">
        <v>74</v>
      </c>
      <c r="C2476" s="10" t="s">
        <v>47</v>
      </c>
      <c r="D2476" s="10" t="s">
        <v>388</v>
      </c>
      <c r="E2476" s="10" t="s">
        <v>2342</v>
      </c>
      <c r="F2476" s="30" t="n">
        <v>42809</v>
      </c>
      <c r="G2476" s="30" t="n">
        <v>42907</v>
      </c>
      <c r="H2476" s="26" t="n">
        <f aca="false">G2476-F2476</f>
        <v>98</v>
      </c>
      <c r="I2476" s="10" t="n">
        <f aca="false">IF(E2476="Won",1,0)</f>
        <v>1</v>
      </c>
    </row>
    <row r="2477" customFormat="false" ht="15" hidden="false" customHeight="false" outlineLevel="0" collapsed="false">
      <c r="A2477" s="10" t="s">
        <v>4818</v>
      </c>
      <c r="B2477" s="10" t="s">
        <v>77</v>
      </c>
      <c r="C2477" s="10" t="s">
        <v>48</v>
      </c>
      <c r="D2477" s="10" t="s">
        <v>179</v>
      </c>
      <c r="E2477" s="10" t="s">
        <v>2345</v>
      </c>
      <c r="F2477" s="30" t="n">
        <v>42829</v>
      </c>
      <c r="G2477" s="30" t="n">
        <v>42907</v>
      </c>
      <c r="H2477" s="26" t="n">
        <f aca="false">G2477-F2477</f>
        <v>78</v>
      </c>
      <c r="I2477" s="10" t="n">
        <f aca="false">IF(E2477="Won",1,0)</f>
        <v>0</v>
      </c>
    </row>
    <row r="2478" customFormat="false" ht="15" hidden="false" customHeight="false" outlineLevel="0" collapsed="false">
      <c r="A2478" s="10" t="s">
        <v>4819</v>
      </c>
      <c r="B2478" s="10" t="s">
        <v>95</v>
      </c>
      <c r="C2478" s="10" t="s">
        <v>51</v>
      </c>
      <c r="D2478" s="10" t="s">
        <v>711</v>
      </c>
      <c r="E2478" s="10" t="s">
        <v>2342</v>
      </c>
      <c r="F2478" s="30" t="n">
        <v>42886</v>
      </c>
      <c r="G2478" s="30" t="n">
        <v>42907</v>
      </c>
      <c r="H2478" s="26" t="n">
        <f aca="false">G2478-F2478</f>
        <v>21</v>
      </c>
      <c r="I2478" s="10" t="n">
        <f aca="false">IF(E2478="Won",1,0)</f>
        <v>1</v>
      </c>
    </row>
    <row r="2479" customFormat="false" ht="15" hidden="false" customHeight="false" outlineLevel="0" collapsed="false">
      <c r="A2479" s="10" t="s">
        <v>4820</v>
      </c>
      <c r="B2479" s="10" t="s">
        <v>70</v>
      </c>
      <c r="C2479" s="10" t="s">
        <v>51</v>
      </c>
      <c r="D2479" s="10" t="s">
        <v>168</v>
      </c>
      <c r="E2479" s="10" t="s">
        <v>2342</v>
      </c>
      <c r="F2479" s="30" t="n">
        <v>42819</v>
      </c>
      <c r="G2479" s="30" t="n">
        <v>42907</v>
      </c>
      <c r="H2479" s="26" t="n">
        <f aca="false">G2479-F2479</f>
        <v>88</v>
      </c>
      <c r="I2479" s="10" t="n">
        <f aca="false">IF(E2479="Won",1,0)</f>
        <v>1</v>
      </c>
    </row>
    <row r="2480" customFormat="false" ht="15" hidden="false" customHeight="false" outlineLevel="0" collapsed="false">
      <c r="A2480" s="10" t="s">
        <v>4821</v>
      </c>
      <c r="B2480" s="10" t="s">
        <v>96</v>
      </c>
      <c r="C2480" s="10" t="s">
        <v>50</v>
      </c>
      <c r="D2480" s="10" t="s">
        <v>419</v>
      </c>
      <c r="E2480" s="10" t="s">
        <v>2342</v>
      </c>
      <c r="F2480" s="30" t="n">
        <v>42777</v>
      </c>
      <c r="G2480" s="30" t="n">
        <v>42908</v>
      </c>
      <c r="H2480" s="26" t="n">
        <f aca="false">G2480-F2480</f>
        <v>131</v>
      </c>
      <c r="I2480" s="10" t="n">
        <f aca="false">IF(E2480="Won",1,0)</f>
        <v>1</v>
      </c>
    </row>
    <row r="2481" customFormat="false" ht="15" hidden="false" customHeight="false" outlineLevel="0" collapsed="false">
      <c r="A2481" s="10" t="s">
        <v>4822</v>
      </c>
      <c r="B2481" s="10" t="s">
        <v>93</v>
      </c>
      <c r="C2481" s="10" t="s">
        <v>51</v>
      </c>
      <c r="D2481" s="10" t="s">
        <v>227</v>
      </c>
      <c r="E2481" s="10" t="s">
        <v>2345</v>
      </c>
      <c r="F2481" s="30" t="n">
        <v>42812</v>
      </c>
      <c r="G2481" s="30" t="n">
        <v>42908</v>
      </c>
      <c r="H2481" s="26" t="n">
        <f aca="false">G2481-F2481</f>
        <v>96</v>
      </c>
      <c r="I2481" s="10" t="n">
        <f aca="false">IF(E2481="Won",1,0)</f>
        <v>0</v>
      </c>
    </row>
    <row r="2482" customFormat="false" ht="15" hidden="false" customHeight="false" outlineLevel="0" collapsed="false">
      <c r="A2482" s="10" t="s">
        <v>4823</v>
      </c>
      <c r="B2482" s="10" t="s">
        <v>66</v>
      </c>
      <c r="C2482" s="10" t="s">
        <v>51</v>
      </c>
      <c r="D2482" s="10" t="s">
        <v>514</v>
      </c>
      <c r="E2482" s="10" t="s">
        <v>2345</v>
      </c>
      <c r="F2482" s="30" t="n">
        <v>42836</v>
      </c>
      <c r="G2482" s="30" t="n">
        <v>42908</v>
      </c>
      <c r="H2482" s="26" t="n">
        <f aca="false">G2482-F2482</f>
        <v>72</v>
      </c>
      <c r="I2482" s="10" t="n">
        <f aca="false">IF(E2482="Won",1,0)</f>
        <v>0</v>
      </c>
    </row>
    <row r="2483" customFormat="false" ht="15" hidden="false" customHeight="false" outlineLevel="0" collapsed="false">
      <c r="A2483" s="10" t="s">
        <v>4824</v>
      </c>
      <c r="B2483" s="10" t="s">
        <v>94</v>
      </c>
      <c r="C2483" s="10" t="s">
        <v>51</v>
      </c>
      <c r="D2483" s="10" t="s">
        <v>348</v>
      </c>
      <c r="E2483" s="10" t="s">
        <v>2342</v>
      </c>
      <c r="F2483" s="30" t="n">
        <v>42777</v>
      </c>
      <c r="G2483" s="30" t="n">
        <v>42908</v>
      </c>
      <c r="H2483" s="26" t="n">
        <f aca="false">G2483-F2483</f>
        <v>131</v>
      </c>
      <c r="I2483" s="10" t="n">
        <f aca="false">IF(E2483="Won",1,0)</f>
        <v>1</v>
      </c>
    </row>
    <row r="2484" customFormat="false" ht="15" hidden="false" customHeight="false" outlineLevel="0" collapsed="false">
      <c r="A2484" s="10" t="s">
        <v>4825</v>
      </c>
      <c r="B2484" s="10" t="s">
        <v>68</v>
      </c>
      <c r="C2484" s="10" t="s">
        <v>52</v>
      </c>
      <c r="D2484" s="10" t="s">
        <v>286</v>
      </c>
      <c r="E2484" s="10" t="s">
        <v>2342</v>
      </c>
      <c r="F2484" s="30" t="n">
        <v>42812</v>
      </c>
      <c r="G2484" s="30" t="n">
        <v>42908</v>
      </c>
      <c r="H2484" s="26" t="n">
        <f aca="false">G2484-F2484</f>
        <v>96</v>
      </c>
      <c r="I2484" s="10" t="n">
        <f aca="false">IF(E2484="Won",1,0)</f>
        <v>1</v>
      </c>
    </row>
    <row r="2485" customFormat="false" ht="15" hidden="false" customHeight="false" outlineLevel="0" collapsed="false">
      <c r="A2485" s="10" t="s">
        <v>4826</v>
      </c>
      <c r="B2485" s="10" t="s">
        <v>68</v>
      </c>
      <c r="C2485" s="10" t="s">
        <v>51</v>
      </c>
      <c r="D2485" s="10" t="s">
        <v>483</v>
      </c>
      <c r="E2485" s="10" t="s">
        <v>2342</v>
      </c>
      <c r="F2485" s="30" t="n">
        <v>42857</v>
      </c>
      <c r="G2485" s="30" t="n">
        <v>42908</v>
      </c>
      <c r="H2485" s="26" t="n">
        <f aca="false">G2485-F2485</f>
        <v>51</v>
      </c>
      <c r="I2485" s="10" t="n">
        <f aca="false">IF(E2485="Won",1,0)</f>
        <v>1</v>
      </c>
    </row>
    <row r="2486" customFormat="false" ht="15" hidden="false" customHeight="false" outlineLevel="0" collapsed="false">
      <c r="A2486" s="10" t="s">
        <v>4827</v>
      </c>
      <c r="B2486" s="10" t="s">
        <v>70</v>
      </c>
      <c r="C2486" s="10" t="s">
        <v>52</v>
      </c>
      <c r="D2486" s="10" t="s">
        <v>424</v>
      </c>
      <c r="E2486" s="10" t="s">
        <v>2342</v>
      </c>
      <c r="F2486" s="30" t="n">
        <v>42901</v>
      </c>
      <c r="G2486" s="30" t="n">
        <v>42908</v>
      </c>
      <c r="H2486" s="26" t="n">
        <f aca="false">G2486-F2486</f>
        <v>7</v>
      </c>
      <c r="I2486" s="10" t="n">
        <f aca="false">IF(E2486="Won",1,0)</f>
        <v>1</v>
      </c>
    </row>
    <row r="2487" customFormat="false" ht="15" hidden="false" customHeight="false" outlineLevel="0" collapsed="false">
      <c r="A2487" s="10" t="s">
        <v>4828</v>
      </c>
      <c r="B2487" s="10" t="s">
        <v>79</v>
      </c>
      <c r="C2487" s="10" t="s">
        <v>48</v>
      </c>
      <c r="D2487" s="10" t="s">
        <v>536</v>
      </c>
      <c r="E2487" s="10" t="s">
        <v>2342</v>
      </c>
      <c r="F2487" s="30" t="n">
        <v>42793</v>
      </c>
      <c r="G2487" s="30" t="n">
        <v>42908</v>
      </c>
      <c r="H2487" s="26" t="n">
        <f aca="false">G2487-F2487</f>
        <v>115</v>
      </c>
      <c r="I2487" s="10" t="n">
        <f aca="false">IF(E2487="Won",1,0)</f>
        <v>1</v>
      </c>
    </row>
    <row r="2488" customFormat="false" ht="15" hidden="false" customHeight="false" outlineLevel="0" collapsed="false">
      <c r="A2488" s="10" t="s">
        <v>4829</v>
      </c>
      <c r="B2488" s="10" t="s">
        <v>80</v>
      </c>
      <c r="C2488" s="10" t="s">
        <v>51</v>
      </c>
      <c r="D2488" s="10" t="s">
        <v>193</v>
      </c>
      <c r="E2488" s="10" t="s">
        <v>2342</v>
      </c>
      <c r="F2488" s="30" t="n">
        <v>42889</v>
      </c>
      <c r="G2488" s="30" t="n">
        <v>42908</v>
      </c>
      <c r="H2488" s="26" t="n">
        <f aca="false">G2488-F2488</f>
        <v>19</v>
      </c>
      <c r="I2488" s="10" t="n">
        <f aca="false">IF(E2488="Won",1,0)</f>
        <v>1</v>
      </c>
    </row>
    <row r="2489" customFormat="false" ht="15" hidden="false" customHeight="false" outlineLevel="0" collapsed="false">
      <c r="A2489" s="10" t="s">
        <v>4830</v>
      </c>
      <c r="B2489" s="10" t="s">
        <v>94</v>
      </c>
      <c r="C2489" s="10" t="s">
        <v>50</v>
      </c>
      <c r="D2489" s="10" t="s">
        <v>424</v>
      </c>
      <c r="E2489" s="10" t="s">
        <v>2342</v>
      </c>
      <c r="F2489" s="30" t="n">
        <v>42826</v>
      </c>
      <c r="G2489" s="30" t="n">
        <v>42908</v>
      </c>
      <c r="H2489" s="26" t="n">
        <f aca="false">G2489-F2489</f>
        <v>82</v>
      </c>
      <c r="I2489" s="10" t="n">
        <f aca="false">IF(E2489="Won",1,0)</f>
        <v>1</v>
      </c>
    </row>
    <row r="2490" customFormat="false" ht="15" hidden="false" customHeight="false" outlineLevel="0" collapsed="false">
      <c r="A2490" s="10" t="s">
        <v>4831</v>
      </c>
      <c r="B2490" s="10" t="s">
        <v>80</v>
      </c>
      <c r="C2490" s="10" t="s">
        <v>52</v>
      </c>
      <c r="D2490" s="10" t="s">
        <v>311</v>
      </c>
      <c r="E2490" s="10" t="s">
        <v>2342</v>
      </c>
      <c r="F2490" s="30" t="n">
        <v>42904</v>
      </c>
      <c r="G2490" s="30" t="n">
        <v>42908</v>
      </c>
      <c r="H2490" s="26" t="n">
        <f aca="false">G2490-F2490</f>
        <v>4</v>
      </c>
      <c r="I2490" s="10" t="n">
        <f aca="false">IF(E2490="Won",1,0)</f>
        <v>1</v>
      </c>
    </row>
    <row r="2491" customFormat="false" ht="15" hidden="false" customHeight="false" outlineLevel="0" collapsed="false">
      <c r="A2491" s="10" t="s">
        <v>4832</v>
      </c>
      <c r="B2491" s="10" t="s">
        <v>95</v>
      </c>
      <c r="C2491" s="10" t="s">
        <v>47</v>
      </c>
      <c r="D2491" s="10" t="s">
        <v>396</v>
      </c>
      <c r="E2491" s="10" t="s">
        <v>2342</v>
      </c>
      <c r="F2491" s="30" t="n">
        <v>42867</v>
      </c>
      <c r="G2491" s="30" t="n">
        <v>42908</v>
      </c>
      <c r="H2491" s="26" t="n">
        <f aca="false">G2491-F2491</f>
        <v>41</v>
      </c>
      <c r="I2491" s="10" t="n">
        <f aca="false">IF(E2491="Won",1,0)</f>
        <v>1</v>
      </c>
    </row>
    <row r="2492" customFormat="false" ht="15" hidden="false" customHeight="false" outlineLevel="0" collapsed="false">
      <c r="A2492" s="10" t="s">
        <v>4833</v>
      </c>
      <c r="B2492" s="10" t="s">
        <v>94</v>
      </c>
      <c r="C2492" s="10" t="s">
        <v>51</v>
      </c>
      <c r="D2492" s="10" t="s">
        <v>170</v>
      </c>
      <c r="E2492" s="10" t="s">
        <v>2342</v>
      </c>
      <c r="F2492" s="30" t="n">
        <v>42904</v>
      </c>
      <c r="G2492" s="30" t="n">
        <v>42908</v>
      </c>
      <c r="H2492" s="26" t="n">
        <f aca="false">G2492-F2492</f>
        <v>4</v>
      </c>
      <c r="I2492" s="10" t="n">
        <f aca="false">IF(E2492="Won",1,0)</f>
        <v>1</v>
      </c>
    </row>
    <row r="2493" customFormat="false" ht="15" hidden="false" customHeight="false" outlineLevel="0" collapsed="false">
      <c r="A2493" s="10" t="s">
        <v>4834</v>
      </c>
      <c r="B2493" s="10" t="s">
        <v>81</v>
      </c>
      <c r="C2493" s="10" t="s">
        <v>52</v>
      </c>
      <c r="D2493" s="10" t="s">
        <v>321</v>
      </c>
      <c r="E2493" s="10" t="s">
        <v>2342</v>
      </c>
      <c r="F2493" s="30" t="n">
        <v>42891</v>
      </c>
      <c r="G2493" s="30" t="n">
        <v>42908</v>
      </c>
      <c r="H2493" s="26" t="n">
        <f aca="false">G2493-F2493</f>
        <v>17</v>
      </c>
      <c r="I2493" s="10" t="n">
        <f aca="false">IF(E2493="Won",1,0)</f>
        <v>1</v>
      </c>
    </row>
    <row r="2494" customFormat="false" ht="15" hidden="false" customHeight="false" outlineLevel="0" collapsed="false">
      <c r="A2494" s="10" t="s">
        <v>4835</v>
      </c>
      <c r="B2494" s="10" t="s">
        <v>66</v>
      </c>
      <c r="C2494" s="10" t="s">
        <v>51</v>
      </c>
      <c r="D2494" s="10" t="s">
        <v>175</v>
      </c>
      <c r="E2494" s="10" t="s">
        <v>2342</v>
      </c>
      <c r="F2494" s="30" t="n">
        <v>42826</v>
      </c>
      <c r="G2494" s="30" t="n">
        <v>42908</v>
      </c>
      <c r="H2494" s="26" t="n">
        <f aca="false">G2494-F2494</f>
        <v>82</v>
      </c>
      <c r="I2494" s="10" t="n">
        <f aca="false">IF(E2494="Won",1,0)</f>
        <v>1</v>
      </c>
    </row>
    <row r="2495" customFormat="false" ht="15" hidden="false" customHeight="false" outlineLevel="0" collapsed="false">
      <c r="A2495" s="10" t="s">
        <v>4836</v>
      </c>
      <c r="B2495" s="10" t="s">
        <v>77</v>
      </c>
      <c r="C2495" s="10" t="s">
        <v>51</v>
      </c>
      <c r="D2495" s="10" t="s">
        <v>388</v>
      </c>
      <c r="E2495" s="10" t="s">
        <v>2342</v>
      </c>
      <c r="F2495" s="30" t="n">
        <v>42794</v>
      </c>
      <c r="G2495" s="30" t="n">
        <v>42908</v>
      </c>
      <c r="H2495" s="26" t="n">
        <f aca="false">G2495-F2495</f>
        <v>114</v>
      </c>
      <c r="I2495" s="10" t="n">
        <f aca="false">IF(E2495="Won",1,0)</f>
        <v>1</v>
      </c>
    </row>
    <row r="2496" customFormat="false" ht="15" hidden="false" customHeight="false" outlineLevel="0" collapsed="false">
      <c r="A2496" s="10" t="s">
        <v>4837</v>
      </c>
      <c r="B2496" s="10" t="s">
        <v>62</v>
      </c>
      <c r="C2496" s="10" t="s">
        <v>52</v>
      </c>
      <c r="D2496" s="10" t="s">
        <v>455</v>
      </c>
      <c r="E2496" s="10" t="s">
        <v>2342</v>
      </c>
      <c r="F2496" s="30" t="n">
        <v>42803</v>
      </c>
      <c r="G2496" s="30" t="n">
        <v>42908</v>
      </c>
      <c r="H2496" s="26" t="n">
        <f aca="false">G2496-F2496</f>
        <v>105</v>
      </c>
      <c r="I2496" s="10" t="n">
        <f aca="false">IF(E2496="Won",1,0)</f>
        <v>1</v>
      </c>
    </row>
    <row r="2497" customFormat="false" ht="15" hidden="false" customHeight="false" outlineLevel="0" collapsed="false">
      <c r="A2497" s="10" t="s">
        <v>4838</v>
      </c>
      <c r="B2497" s="10" t="s">
        <v>62</v>
      </c>
      <c r="C2497" s="10" t="s">
        <v>47</v>
      </c>
      <c r="D2497" s="10" t="s">
        <v>185</v>
      </c>
      <c r="E2497" s="10" t="s">
        <v>2342</v>
      </c>
      <c r="F2497" s="30" t="n">
        <v>42782</v>
      </c>
      <c r="G2497" s="30" t="n">
        <v>42908</v>
      </c>
      <c r="H2497" s="26" t="n">
        <f aca="false">G2497-F2497</f>
        <v>126</v>
      </c>
      <c r="I2497" s="10" t="n">
        <f aca="false">IF(E2497="Won",1,0)</f>
        <v>1</v>
      </c>
    </row>
    <row r="2498" customFormat="false" ht="15" hidden="false" customHeight="false" outlineLevel="0" collapsed="false">
      <c r="A2498" s="10" t="s">
        <v>4839</v>
      </c>
      <c r="B2498" s="10" t="s">
        <v>74</v>
      </c>
      <c r="C2498" s="10" t="s">
        <v>51</v>
      </c>
      <c r="D2498" s="10" t="s">
        <v>660</v>
      </c>
      <c r="E2498" s="10" t="s">
        <v>2342</v>
      </c>
      <c r="F2498" s="30" t="n">
        <v>42798</v>
      </c>
      <c r="G2498" s="30" t="n">
        <v>42908</v>
      </c>
      <c r="H2498" s="26" t="n">
        <f aca="false">G2498-F2498</f>
        <v>110</v>
      </c>
      <c r="I2498" s="10" t="n">
        <f aca="false">IF(E2498="Won",1,0)</f>
        <v>1</v>
      </c>
    </row>
    <row r="2499" customFormat="false" ht="15" hidden="false" customHeight="false" outlineLevel="0" collapsed="false">
      <c r="A2499" s="10" t="s">
        <v>4840</v>
      </c>
      <c r="B2499" s="10" t="s">
        <v>68</v>
      </c>
      <c r="C2499" s="10" t="s">
        <v>49</v>
      </c>
      <c r="D2499" s="10" t="s">
        <v>337</v>
      </c>
      <c r="E2499" s="10" t="s">
        <v>2342</v>
      </c>
      <c r="F2499" s="30" t="n">
        <v>42830</v>
      </c>
      <c r="G2499" s="30" t="n">
        <v>42908</v>
      </c>
      <c r="H2499" s="26" t="n">
        <f aca="false">G2499-F2499</f>
        <v>78</v>
      </c>
      <c r="I2499" s="10" t="n">
        <f aca="false">IF(E2499="Won",1,0)</f>
        <v>1</v>
      </c>
    </row>
    <row r="2500" customFormat="false" ht="15" hidden="false" customHeight="false" outlineLevel="0" collapsed="false">
      <c r="A2500" s="10" t="s">
        <v>4841</v>
      </c>
      <c r="B2500" s="10" t="s">
        <v>68</v>
      </c>
      <c r="C2500" s="10" t="s">
        <v>52</v>
      </c>
      <c r="D2500" s="10" t="s">
        <v>606</v>
      </c>
      <c r="E2500" s="10" t="s">
        <v>2345</v>
      </c>
      <c r="F2500" s="30" t="n">
        <v>42894</v>
      </c>
      <c r="G2500" s="30" t="n">
        <v>42908</v>
      </c>
      <c r="H2500" s="26" t="n">
        <f aca="false">G2500-F2500</f>
        <v>14</v>
      </c>
      <c r="I2500" s="10" t="n">
        <f aca="false">IF(E2500="Won",1,0)</f>
        <v>0</v>
      </c>
    </row>
    <row r="2501" customFormat="false" ht="15" hidden="false" customHeight="false" outlineLevel="0" collapsed="false">
      <c r="A2501" s="10" t="s">
        <v>4842</v>
      </c>
      <c r="B2501" s="10" t="s">
        <v>96</v>
      </c>
      <c r="C2501" s="10" t="s">
        <v>50</v>
      </c>
      <c r="D2501" s="10" t="s">
        <v>172</v>
      </c>
      <c r="E2501" s="10" t="s">
        <v>2342</v>
      </c>
      <c r="F2501" s="30" t="n">
        <v>42827</v>
      </c>
      <c r="G2501" s="30" t="n">
        <v>42908</v>
      </c>
      <c r="H2501" s="26" t="n">
        <f aca="false">G2501-F2501</f>
        <v>81</v>
      </c>
      <c r="I2501" s="10" t="n">
        <f aca="false">IF(E2501="Won",1,0)</f>
        <v>1</v>
      </c>
    </row>
    <row r="2502" customFormat="false" ht="15" hidden="false" customHeight="false" outlineLevel="0" collapsed="false">
      <c r="A2502" s="10" t="s">
        <v>4843</v>
      </c>
      <c r="B2502" s="10" t="s">
        <v>61</v>
      </c>
      <c r="C2502" s="10" t="s">
        <v>52</v>
      </c>
      <c r="D2502" s="10" t="s">
        <v>405</v>
      </c>
      <c r="E2502" s="10" t="s">
        <v>2342</v>
      </c>
      <c r="F2502" s="30" t="n">
        <v>42802</v>
      </c>
      <c r="G2502" s="30" t="n">
        <v>42908</v>
      </c>
      <c r="H2502" s="26" t="n">
        <f aca="false">G2502-F2502</f>
        <v>106</v>
      </c>
      <c r="I2502" s="10" t="n">
        <f aca="false">IF(E2502="Won",1,0)</f>
        <v>1</v>
      </c>
    </row>
    <row r="2503" customFormat="false" ht="15" hidden="false" customHeight="false" outlineLevel="0" collapsed="false">
      <c r="A2503" s="10" t="s">
        <v>4844</v>
      </c>
      <c r="B2503" s="10" t="s">
        <v>71</v>
      </c>
      <c r="C2503" s="10" t="s">
        <v>52</v>
      </c>
      <c r="D2503" s="10" t="s">
        <v>527</v>
      </c>
      <c r="E2503" s="10" t="s">
        <v>2342</v>
      </c>
      <c r="F2503" s="30" t="n">
        <v>42797</v>
      </c>
      <c r="G2503" s="30" t="n">
        <v>42908</v>
      </c>
      <c r="H2503" s="26" t="n">
        <f aca="false">G2503-F2503</f>
        <v>111</v>
      </c>
      <c r="I2503" s="10" t="n">
        <f aca="false">IF(E2503="Won",1,0)</f>
        <v>1</v>
      </c>
    </row>
    <row r="2504" customFormat="false" ht="15" hidden="false" customHeight="false" outlineLevel="0" collapsed="false">
      <c r="A2504" s="10" t="s">
        <v>4845</v>
      </c>
      <c r="B2504" s="10" t="s">
        <v>87</v>
      </c>
      <c r="C2504" s="10" t="s">
        <v>47</v>
      </c>
      <c r="D2504" s="10" t="s">
        <v>350</v>
      </c>
      <c r="E2504" s="10" t="s">
        <v>2342</v>
      </c>
      <c r="F2504" s="30" t="n">
        <v>42824</v>
      </c>
      <c r="G2504" s="30" t="n">
        <v>42909</v>
      </c>
      <c r="H2504" s="26" t="n">
        <f aca="false">G2504-F2504</f>
        <v>85</v>
      </c>
      <c r="I2504" s="10" t="n">
        <f aca="false">IF(E2504="Won",1,0)</f>
        <v>1</v>
      </c>
    </row>
    <row r="2505" customFormat="false" ht="15" hidden="false" customHeight="false" outlineLevel="0" collapsed="false">
      <c r="A2505" s="10" t="s">
        <v>4846</v>
      </c>
      <c r="B2505" s="10" t="s">
        <v>96</v>
      </c>
      <c r="C2505" s="10" t="s">
        <v>50</v>
      </c>
      <c r="D2505" s="10" t="s">
        <v>348</v>
      </c>
      <c r="E2505" s="10" t="s">
        <v>2342</v>
      </c>
      <c r="F2505" s="30" t="n">
        <v>42777</v>
      </c>
      <c r="G2505" s="30" t="n">
        <v>42909</v>
      </c>
      <c r="H2505" s="26" t="n">
        <f aca="false">G2505-F2505</f>
        <v>132</v>
      </c>
      <c r="I2505" s="10" t="n">
        <f aca="false">IF(E2505="Won",1,0)</f>
        <v>1</v>
      </c>
    </row>
    <row r="2506" customFormat="false" ht="15" hidden="false" customHeight="false" outlineLevel="0" collapsed="false">
      <c r="A2506" s="10" t="s">
        <v>4847</v>
      </c>
      <c r="B2506" s="10" t="s">
        <v>97</v>
      </c>
      <c r="C2506" s="10" t="s">
        <v>51</v>
      </c>
      <c r="D2506" s="10" t="s">
        <v>437</v>
      </c>
      <c r="E2506" s="10" t="s">
        <v>2342</v>
      </c>
      <c r="F2506" s="30" t="n">
        <v>42772</v>
      </c>
      <c r="G2506" s="30" t="n">
        <v>42909</v>
      </c>
      <c r="H2506" s="26" t="n">
        <f aca="false">G2506-F2506</f>
        <v>137</v>
      </c>
      <c r="I2506" s="10" t="n">
        <f aca="false">IF(E2506="Won",1,0)</f>
        <v>1</v>
      </c>
    </row>
    <row r="2507" customFormat="false" ht="15" hidden="false" customHeight="false" outlineLevel="0" collapsed="false">
      <c r="A2507" s="10" t="s">
        <v>4848</v>
      </c>
      <c r="B2507" s="10" t="s">
        <v>95</v>
      </c>
      <c r="C2507" s="10" t="s">
        <v>51</v>
      </c>
      <c r="D2507" s="10" t="s">
        <v>286</v>
      </c>
      <c r="E2507" s="10" t="s">
        <v>2342</v>
      </c>
      <c r="F2507" s="30" t="n">
        <v>42777</v>
      </c>
      <c r="G2507" s="30" t="n">
        <v>42909</v>
      </c>
      <c r="H2507" s="26" t="n">
        <f aca="false">G2507-F2507</f>
        <v>132</v>
      </c>
      <c r="I2507" s="10" t="n">
        <f aca="false">IF(E2507="Won",1,0)</f>
        <v>1</v>
      </c>
    </row>
    <row r="2508" customFormat="false" ht="15" hidden="false" customHeight="false" outlineLevel="0" collapsed="false">
      <c r="A2508" s="10" t="s">
        <v>4849</v>
      </c>
      <c r="B2508" s="10" t="s">
        <v>80</v>
      </c>
      <c r="C2508" s="10" t="s">
        <v>51</v>
      </c>
      <c r="D2508" s="10" t="s">
        <v>512</v>
      </c>
      <c r="E2508" s="10" t="s">
        <v>2342</v>
      </c>
      <c r="F2508" s="30" t="n">
        <v>42837</v>
      </c>
      <c r="G2508" s="30" t="n">
        <v>42909</v>
      </c>
      <c r="H2508" s="26" t="n">
        <f aca="false">G2508-F2508</f>
        <v>72</v>
      </c>
      <c r="I2508" s="10" t="n">
        <f aca="false">IF(E2508="Won",1,0)</f>
        <v>1</v>
      </c>
    </row>
    <row r="2509" customFormat="false" ht="15" hidden="false" customHeight="false" outlineLevel="0" collapsed="false">
      <c r="A2509" s="10" t="s">
        <v>4850</v>
      </c>
      <c r="B2509" s="10" t="s">
        <v>93</v>
      </c>
      <c r="C2509" s="10" t="s">
        <v>47</v>
      </c>
      <c r="D2509" s="10" t="s">
        <v>172</v>
      </c>
      <c r="E2509" s="10" t="s">
        <v>2345</v>
      </c>
      <c r="F2509" s="30" t="n">
        <v>42789</v>
      </c>
      <c r="G2509" s="30" t="n">
        <v>42909</v>
      </c>
      <c r="H2509" s="26" t="n">
        <f aca="false">G2509-F2509</f>
        <v>120</v>
      </c>
      <c r="I2509" s="10" t="n">
        <f aca="false">IF(E2509="Won",1,0)</f>
        <v>0</v>
      </c>
    </row>
    <row r="2510" customFormat="false" ht="15" hidden="false" customHeight="false" outlineLevel="0" collapsed="false">
      <c r="A2510" s="10" t="s">
        <v>4851</v>
      </c>
      <c r="B2510" s="10" t="s">
        <v>94</v>
      </c>
      <c r="C2510" s="10" t="s">
        <v>51</v>
      </c>
      <c r="D2510" s="10" t="s">
        <v>348</v>
      </c>
      <c r="E2510" s="10" t="s">
        <v>2342</v>
      </c>
      <c r="F2510" s="30" t="n">
        <v>42814</v>
      </c>
      <c r="G2510" s="30" t="n">
        <v>42909</v>
      </c>
      <c r="H2510" s="26" t="n">
        <f aca="false">G2510-F2510</f>
        <v>95</v>
      </c>
      <c r="I2510" s="10" t="n">
        <f aca="false">IF(E2510="Won",1,0)</f>
        <v>1</v>
      </c>
    </row>
    <row r="2511" customFormat="false" ht="15" hidden="false" customHeight="false" outlineLevel="0" collapsed="false">
      <c r="A2511" s="10" t="s">
        <v>4852</v>
      </c>
      <c r="B2511" s="10" t="s">
        <v>67</v>
      </c>
      <c r="C2511" s="10" t="s">
        <v>52</v>
      </c>
      <c r="D2511" s="10" t="s">
        <v>424</v>
      </c>
      <c r="E2511" s="10" t="s">
        <v>2342</v>
      </c>
      <c r="F2511" s="30" t="n">
        <v>42838</v>
      </c>
      <c r="G2511" s="30" t="n">
        <v>42909</v>
      </c>
      <c r="H2511" s="26" t="n">
        <f aca="false">G2511-F2511</f>
        <v>71</v>
      </c>
      <c r="I2511" s="10" t="n">
        <f aca="false">IF(E2511="Won",1,0)</f>
        <v>1</v>
      </c>
    </row>
    <row r="2512" customFormat="false" ht="15" hidden="false" customHeight="false" outlineLevel="0" collapsed="false">
      <c r="A2512" s="10" t="s">
        <v>4853</v>
      </c>
      <c r="B2512" s="10" t="s">
        <v>95</v>
      </c>
      <c r="C2512" s="10" t="s">
        <v>49</v>
      </c>
      <c r="D2512" s="10" t="s">
        <v>227</v>
      </c>
      <c r="E2512" s="10" t="s">
        <v>2345</v>
      </c>
      <c r="F2512" s="30" t="n">
        <v>42813</v>
      </c>
      <c r="G2512" s="30" t="n">
        <v>42909</v>
      </c>
      <c r="H2512" s="26" t="n">
        <f aca="false">G2512-F2512</f>
        <v>96</v>
      </c>
      <c r="I2512" s="10" t="n">
        <f aca="false">IF(E2512="Won",1,0)</f>
        <v>0</v>
      </c>
    </row>
    <row r="2513" customFormat="false" ht="15" hidden="false" customHeight="false" outlineLevel="0" collapsed="false">
      <c r="A2513" s="10" t="s">
        <v>4854</v>
      </c>
      <c r="B2513" s="10" t="s">
        <v>79</v>
      </c>
      <c r="C2513" s="10" t="s">
        <v>51</v>
      </c>
      <c r="D2513" s="10" t="s">
        <v>414</v>
      </c>
      <c r="E2513" s="10" t="s">
        <v>2342</v>
      </c>
      <c r="F2513" s="30" t="n">
        <v>42806</v>
      </c>
      <c r="G2513" s="30" t="n">
        <v>42909</v>
      </c>
      <c r="H2513" s="26" t="n">
        <f aca="false">G2513-F2513</f>
        <v>103</v>
      </c>
      <c r="I2513" s="10" t="n">
        <f aca="false">IF(E2513="Won",1,0)</f>
        <v>1</v>
      </c>
    </row>
    <row r="2514" customFormat="false" ht="15" hidden="false" customHeight="false" outlineLevel="0" collapsed="false">
      <c r="A2514" s="10" t="s">
        <v>4855</v>
      </c>
      <c r="B2514" s="10" t="s">
        <v>75</v>
      </c>
      <c r="C2514" s="10" t="s">
        <v>49</v>
      </c>
      <c r="D2514" s="10" t="s">
        <v>267</v>
      </c>
      <c r="E2514" s="10" t="s">
        <v>2342</v>
      </c>
      <c r="F2514" s="30" t="n">
        <v>42813</v>
      </c>
      <c r="G2514" s="30" t="n">
        <v>42909</v>
      </c>
      <c r="H2514" s="26" t="n">
        <f aca="false">G2514-F2514</f>
        <v>96</v>
      </c>
      <c r="I2514" s="10" t="n">
        <f aca="false">IF(E2514="Won",1,0)</f>
        <v>1</v>
      </c>
    </row>
    <row r="2515" customFormat="false" ht="15" hidden="false" customHeight="false" outlineLevel="0" collapsed="false">
      <c r="A2515" s="10" t="s">
        <v>4856</v>
      </c>
      <c r="B2515" s="10" t="s">
        <v>71</v>
      </c>
      <c r="C2515" s="10" t="s">
        <v>49</v>
      </c>
      <c r="D2515" s="10" t="s">
        <v>267</v>
      </c>
      <c r="E2515" s="10" t="s">
        <v>2342</v>
      </c>
      <c r="F2515" s="30" t="n">
        <v>42859</v>
      </c>
      <c r="G2515" s="30" t="n">
        <v>42909</v>
      </c>
      <c r="H2515" s="26" t="n">
        <f aca="false">G2515-F2515</f>
        <v>50</v>
      </c>
      <c r="I2515" s="10" t="n">
        <f aca="false">IF(E2515="Won",1,0)</f>
        <v>1</v>
      </c>
    </row>
    <row r="2516" customFormat="false" ht="15" hidden="false" customHeight="false" outlineLevel="0" collapsed="false">
      <c r="A2516" s="10" t="s">
        <v>4857</v>
      </c>
      <c r="B2516" s="10" t="s">
        <v>96</v>
      </c>
      <c r="C2516" s="10" t="s">
        <v>52</v>
      </c>
      <c r="D2516" s="10" t="s">
        <v>487</v>
      </c>
      <c r="E2516" s="10" t="s">
        <v>2342</v>
      </c>
      <c r="F2516" s="30" t="n">
        <v>42906</v>
      </c>
      <c r="G2516" s="30" t="n">
        <v>42909</v>
      </c>
      <c r="H2516" s="26" t="n">
        <f aca="false">G2516-F2516</f>
        <v>3</v>
      </c>
      <c r="I2516" s="10" t="n">
        <f aca="false">IF(E2516="Won",1,0)</f>
        <v>1</v>
      </c>
    </row>
    <row r="2517" customFormat="false" ht="15" hidden="false" customHeight="false" outlineLevel="0" collapsed="false">
      <c r="A2517" s="10" t="s">
        <v>4858</v>
      </c>
      <c r="B2517" s="10" t="s">
        <v>70</v>
      </c>
      <c r="C2517" s="10" t="s">
        <v>49</v>
      </c>
      <c r="D2517" s="10" t="s">
        <v>396</v>
      </c>
      <c r="E2517" s="10" t="s">
        <v>2342</v>
      </c>
      <c r="F2517" s="30" t="n">
        <v>42907</v>
      </c>
      <c r="G2517" s="30" t="n">
        <v>42909</v>
      </c>
      <c r="H2517" s="26" t="n">
        <f aca="false">G2517-F2517</f>
        <v>2</v>
      </c>
      <c r="I2517" s="10" t="n">
        <f aca="false">IF(E2517="Won",1,0)</f>
        <v>1</v>
      </c>
    </row>
    <row r="2518" customFormat="false" ht="15" hidden="false" customHeight="false" outlineLevel="0" collapsed="false">
      <c r="A2518" s="10" t="s">
        <v>4859</v>
      </c>
      <c r="B2518" s="10" t="s">
        <v>74</v>
      </c>
      <c r="C2518" s="10" t="s">
        <v>52</v>
      </c>
      <c r="D2518" s="10" t="s">
        <v>179</v>
      </c>
      <c r="E2518" s="10" t="s">
        <v>2342</v>
      </c>
      <c r="F2518" s="30" t="n">
        <v>42842</v>
      </c>
      <c r="G2518" s="30" t="n">
        <v>42909</v>
      </c>
      <c r="H2518" s="26" t="n">
        <f aca="false">G2518-F2518</f>
        <v>67</v>
      </c>
      <c r="I2518" s="10" t="n">
        <f aca="false">IF(E2518="Won",1,0)</f>
        <v>1</v>
      </c>
    </row>
    <row r="2519" customFormat="false" ht="15" hidden="false" customHeight="false" outlineLevel="0" collapsed="false">
      <c r="A2519" s="10" t="s">
        <v>4860</v>
      </c>
      <c r="B2519" s="10" t="s">
        <v>71</v>
      </c>
      <c r="C2519" s="10" t="s">
        <v>52</v>
      </c>
      <c r="D2519" s="10" t="s">
        <v>762</v>
      </c>
      <c r="E2519" s="10" t="s">
        <v>2342</v>
      </c>
      <c r="F2519" s="30" t="n">
        <v>42900</v>
      </c>
      <c r="G2519" s="30" t="n">
        <v>42909</v>
      </c>
      <c r="H2519" s="26" t="n">
        <f aca="false">G2519-F2519</f>
        <v>9</v>
      </c>
      <c r="I2519" s="10" t="n">
        <f aca="false">IF(E2519="Won",1,0)</f>
        <v>1</v>
      </c>
    </row>
    <row r="2520" customFormat="false" ht="15" hidden="false" customHeight="false" outlineLevel="0" collapsed="false">
      <c r="A2520" s="10" t="s">
        <v>4861</v>
      </c>
      <c r="B2520" s="10" t="s">
        <v>70</v>
      </c>
      <c r="C2520" s="10" t="s">
        <v>52</v>
      </c>
      <c r="D2520" s="10" t="s">
        <v>986</v>
      </c>
      <c r="E2520" s="10" t="s">
        <v>2345</v>
      </c>
      <c r="F2520" s="30" t="n">
        <v>42906</v>
      </c>
      <c r="G2520" s="30" t="n">
        <v>42909</v>
      </c>
      <c r="H2520" s="26" t="n">
        <f aca="false">G2520-F2520</f>
        <v>3</v>
      </c>
      <c r="I2520" s="10" t="n">
        <f aca="false">IF(E2520="Won",1,0)</f>
        <v>0</v>
      </c>
    </row>
    <row r="2521" customFormat="false" ht="15" hidden="false" customHeight="false" outlineLevel="0" collapsed="false">
      <c r="A2521" s="10" t="s">
        <v>4862</v>
      </c>
      <c r="B2521" s="10" t="s">
        <v>71</v>
      </c>
      <c r="C2521" s="10" t="s">
        <v>51</v>
      </c>
      <c r="D2521" s="10" t="s">
        <v>1948</v>
      </c>
      <c r="E2521" s="10" t="s">
        <v>2342</v>
      </c>
      <c r="F2521" s="30" t="n">
        <v>42841</v>
      </c>
      <c r="G2521" s="30" t="n">
        <v>42909</v>
      </c>
      <c r="H2521" s="26" t="n">
        <f aca="false">G2521-F2521</f>
        <v>68</v>
      </c>
      <c r="I2521" s="10" t="n">
        <f aca="false">IF(E2521="Won",1,0)</f>
        <v>1</v>
      </c>
    </row>
    <row r="2522" customFormat="false" ht="15" hidden="false" customHeight="false" outlineLevel="0" collapsed="false">
      <c r="A2522" s="10" t="s">
        <v>4863</v>
      </c>
      <c r="B2522" s="10" t="s">
        <v>79</v>
      </c>
      <c r="C2522" s="10" t="s">
        <v>48</v>
      </c>
      <c r="D2522" s="10" t="s">
        <v>697</v>
      </c>
      <c r="E2522" s="10" t="s">
        <v>2342</v>
      </c>
      <c r="F2522" s="30" t="n">
        <v>42904</v>
      </c>
      <c r="G2522" s="30" t="n">
        <v>42909</v>
      </c>
      <c r="H2522" s="26" t="n">
        <f aca="false">G2522-F2522</f>
        <v>5</v>
      </c>
      <c r="I2522" s="10" t="n">
        <f aca="false">IF(E2522="Won",1,0)</f>
        <v>1</v>
      </c>
    </row>
    <row r="2523" customFormat="false" ht="15" hidden="false" customHeight="false" outlineLevel="0" collapsed="false">
      <c r="A2523" s="10" t="s">
        <v>4864</v>
      </c>
      <c r="B2523" s="10" t="s">
        <v>90</v>
      </c>
      <c r="C2523" s="10" t="s">
        <v>51</v>
      </c>
      <c r="D2523" s="10" t="s">
        <v>254</v>
      </c>
      <c r="E2523" s="10" t="s">
        <v>2342</v>
      </c>
      <c r="F2523" s="30" t="n">
        <v>42847</v>
      </c>
      <c r="G2523" s="30" t="n">
        <v>42910</v>
      </c>
      <c r="H2523" s="26" t="n">
        <f aca="false">G2523-F2523</f>
        <v>63</v>
      </c>
      <c r="I2523" s="10" t="n">
        <f aca="false">IF(E2523="Won",1,0)</f>
        <v>1</v>
      </c>
    </row>
    <row r="2524" customFormat="false" ht="15" hidden="false" customHeight="false" outlineLevel="0" collapsed="false">
      <c r="A2524" s="10" t="s">
        <v>4865</v>
      </c>
      <c r="B2524" s="10" t="s">
        <v>84</v>
      </c>
      <c r="C2524" s="10" t="s">
        <v>50</v>
      </c>
      <c r="D2524" s="10" t="s">
        <v>247</v>
      </c>
      <c r="E2524" s="10" t="s">
        <v>2345</v>
      </c>
      <c r="F2524" s="30" t="n">
        <v>42827</v>
      </c>
      <c r="G2524" s="30" t="n">
        <v>42910</v>
      </c>
      <c r="H2524" s="26" t="n">
        <f aca="false">G2524-F2524</f>
        <v>83</v>
      </c>
      <c r="I2524" s="10" t="n">
        <f aca="false">IF(E2524="Won",1,0)</f>
        <v>0</v>
      </c>
    </row>
    <row r="2525" customFormat="false" ht="15" hidden="false" customHeight="false" outlineLevel="0" collapsed="false">
      <c r="A2525" s="10" t="s">
        <v>4866</v>
      </c>
      <c r="B2525" s="10" t="s">
        <v>93</v>
      </c>
      <c r="C2525" s="10" t="s">
        <v>47</v>
      </c>
      <c r="D2525" s="10" t="s">
        <v>437</v>
      </c>
      <c r="E2525" s="10" t="s">
        <v>2342</v>
      </c>
      <c r="F2525" s="30" t="n">
        <v>42903</v>
      </c>
      <c r="G2525" s="30" t="n">
        <v>42910</v>
      </c>
      <c r="H2525" s="26" t="n">
        <f aca="false">G2525-F2525</f>
        <v>7</v>
      </c>
      <c r="I2525" s="10" t="n">
        <f aca="false">IF(E2525="Won",1,0)</f>
        <v>1</v>
      </c>
    </row>
    <row r="2526" customFormat="false" ht="15" hidden="false" customHeight="false" outlineLevel="0" collapsed="false">
      <c r="A2526" s="10" t="s">
        <v>4867</v>
      </c>
      <c r="B2526" s="10" t="s">
        <v>66</v>
      </c>
      <c r="C2526" s="10" t="s">
        <v>52</v>
      </c>
      <c r="D2526" s="10" t="s">
        <v>344</v>
      </c>
      <c r="E2526" s="10" t="s">
        <v>2342</v>
      </c>
      <c r="F2526" s="30" t="n">
        <v>42832</v>
      </c>
      <c r="G2526" s="30" t="n">
        <v>42910</v>
      </c>
      <c r="H2526" s="26" t="n">
        <f aca="false">G2526-F2526</f>
        <v>78</v>
      </c>
      <c r="I2526" s="10" t="n">
        <f aca="false">IF(E2526="Won",1,0)</f>
        <v>1</v>
      </c>
    </row>
    <row r="2527" customFormat="false" ht="15" hidden="false" customHeight="false" outlineLevel="0" collapsed="false">
      <c r="A2527" s="10" t="s">
        <v>4868</v>
      </c>
      <c r="B2527" s="10" t="s">
        <v>74</v>
      </c>
      <c r="C2527" s="10" t="s">
        <v>49</v>
      </c>
      <c r="D2527" s="10" t="s">
        <v>311</v>
      </c>
      <c r="E2527" s="10" t="s">
        <v>2342</v>
      </c>
      <c r="F2527" s="30" t="n">
        <v>42902</v>
      </c>
      <c r="G2527" s="30" t="n">
        <v>42910</v>
      </c>
      <c r="H2527" s="26" t="n">
        <f aca="false">G2527-F2527</f>
        <v>8</v>
      </c>
      <c r="I2527" s="10" t="n">
        <f aca="false">IF(E2527="Won",1,0)</f>
        <v>1</v>
      </c>
    </row>
    <row r="2528" customFormat="false" ht="15" hidden="false" customHeight="false" outlineLevel="0" collapsed="false">
      <c r="A2528" s="10" t="s">
        <v>4869</v>
      </c>
      <c r="B2528" s="10" t="s">
        <v>75</v>
      </c>
      <c r="C2528" s="10" t="s">
        <v>51</v>
      </c>
      <c r="D2528" s="10" t="s">
        <v>414</v>
      </c>
      <c r="E2528" s="10" t="s">
        <v>2342</v>
      </c>
      <c r="F2528" s="30" t="n">
        <v>42831</v>
      </c>
      <c r="G2528" s="30" t="n">
        <v>42910</v>
      </c>
      <c r="H2528" s="26" t="n">
        <f aca="false">G2528-F2528</f>
        <v>79</v>
      </c>
      <c r="I2528" s="10" t="n">
        <f aca="false">IF(E2528="Won",1,0)</f>
        <v>1</v>
      </c>
    </row>
    <row r="2529" customFormat="false" ht="15" hidden="false" customHeight="false" outlineLevel="0" collapsed="false">
      <c r="A2529" s="10" t="s">
        <v>4870</v>
      </c>
      <c r="B2529" s="10" t="s">
        <v>95</v>
      </c>
      <c r="C2529" s="10" t="s">
        <v>51</v>
      </c>
      <c r="D2529" s="10" t="s">
        <v>606</v>
      </c>
      <c r="E2529" s="10" t="s">
        <v>2342</v>
      </c>
      <c r="F2529" s="30" t="n">
        <v>42814</v>
      </c>
      <c r="G2529" s="30" t="n">
        <v>42910</v>
      </c>
      <c r="H2529" s="26" t="n">
        <f aca="false">G2529-F2529</f>
        <v>96</v>
      </c>
      <c r="I2529" s="10" t="n">
        <f aca="false">IF(E2529="Won",1,0)</f>
        <v>1</v>
      </c>
    </row>
    <row r="2530" customFormat="false" ht="15" hidden="false" customHeight="false" outlineLevel="0" collapsed="false">
      <c r="A2530" s="10" t="s">
        <v>4871</v>
      </c>
      <c r="B2530" s="10" t="s">
        <v>77</v>
      </c>
      <c r="C2530" s="10" t="s">
        <v>49</v>
      </c>
      <c r="D2530" s="10" t="s">
        <v>697</v>
      </c>
      <c r="E2530" s="10" t="s">
        <v>2342</v>
      </c>
      <c r="F2530" s="30" t="n">
        <v>42902</v>
      </c>
      <c r="G2530" s="30" t="n">
        <v>42910</v>
      </c>
      <c r="H2530" s="26" t="n">
        <f aca="false">G2530-F2530</f>
        <v>8</v>
      </c>
      <c r="I2530" s="10" t="n">
        <f aca="false">IF(E2530="Won",1,0)</f>
        <v>1</v>
      </c>
    </row>
    <row r="2531" customFormat="false" ht="15" hidden="false" customHeight="false" outlineLevel="0" collapsed="false">
      <c r="A2531" s="10" t="s">
        <v>4872</v>
      </c>
      <c r="B2531" s="10" t="s">
        <v>84</v>
      </c>
      <c r="C2531" s="10" t="s">
        <v>49</v>
      </c>
      <c r="D2531" s="10" t="s">
        <v>1118</v>
      </c>
      <c r="E2531" s="10" t="s">
        <v>2342</v>
      </c>
      <c r="F2531" s="30" t="n">
        <v>42894</v>
      </c>
      <c r="G2531" s="30" t="n">
        <v>42910</v>
      </c>
      <c r="H2531" s="26" t="n">
        <f aca="false">G2531-F2531</f>
        <v>16</v>
      </c>
      <c r="I2531" s="10" t="n">
        <f aca="false">IF(E2531="Won",1,0)</f>
        <v>1</v>
      </c>
    </row>
    <row r="2532" customFormat="false" ht="15" hidden="false" customHeight="false" outlineLevel="0" collapsed="false">
      <c r="A2532" s="10" t="s">
        <v>4873</v>
      </c>
      <c r="B2532" s="10" t="s">
        <v>97</v>
      </c>
      <c r="C2532" s="10" t="s">
        <v>48</v>
      </c>
      <c r="D2532" s="10" t="s">
        <v>326</v>
      </c>
      <c r="E2532" s="10" t="s">
        <v>2345</v>
      </c>
      <c r="F2532" s="30" t="n">
        <v>42842</v>
      </c>
      <c r="G2532" s="30" t="n">
        <v>42910</v>
      </c>
      <c r="H2532" s="26" t="n">
        <f aca="false">G2532-F2532</f>
        <v>68</v>
      </c>
      <c r="I2532" s="10" t="n">
        <f aca="false">IF(E2532="Won",1,0)</f>
        <v>0</v>
      </c>
    </row>
    <row r="2533" customFormat="false" ht="15" hidden="false" customHeight="false" outlineLevel="0" collapsed="false">
      <c r="A2533" s="10" t="s">
        <v>4874</v>
      </c>
      <c r="B2533" s="10" t="s">
        <v>79</v>
      </c>
      <c r="C2533" s="10" t="s">
        <v>50</v>
      </c>
      <c r="D2533" s="10" t="s">
        <v>410</v>
      </c>
      <c r="E2533" s="10" t="s">
        <v>2342</v>
      </c>
      <c r="F2533" s="30" t="n">
        <v>42793</v>
      </c>
      <c r="G2533" s="30" t="n">
        <v>42910</v>
      </c>
      <c r="H2533" s="26" t="n">
        <f aca="false">G2533-F2533</f>
        <v>117</v>
      </c>
      <c r="I2533" s="10" t="n">
        <f aca="false">IF(E2533="Won",1,0)</f>
        <v>1</v>
      </c>
    </row>
    <row r="2534" customFormat="false" ht="15" hidden="false" customHeight="false" outlineLevel="0" collapsed="false">
      <c r="A2534" s="10" t="s">
        <v>4875</v>
      </c>
      <c r="B2534" s="10" t="s">
        <v>61</v>
      </c>
      <c r="C2534" s="10" t="s">
        <v>50</v>
      </c>
      <c r="D2534" s="10" t="s">
        <v>161</v>
      </c>
      <c r="E2534" s="10" t="s">
        <v>2342</v>
      </c>
      <c r="F2534" s="30" t="n">
        <v>42845</v>
      </c>
      <c r="G2534" s="30" t="n">
        <v>42910</v>
      </c>
      <c r="H2534" s="26" t="n">
        <f aca="false">G2534-F2534</f>
        <v>65</v>
      </c>
      <c r="I2534" s="10" t="n">
        <f aca="false">IF(E2534="Won",1,0)</f>
        <v>1</v>
      </c>
    </row>
    <row r="2535" customFormat="false" ht="15" hidden="false" customHeight="false" outlineLevel="0" collapsed="false">
      <c r="A2535" s="10" t="s">
        <v>4876</v>
      </c>
      <c r="B2535" s="10" t="s">
        <v>77</v>
      </c>
      <c r="C2535" s="10" t="s">
        <v>52</v>
      </c>
      <c r="D2535" s="10" t="s">
        <v>279</v>
      </c>
      <c r="E2535" s="10" t="s">
        <v>2342</v>
      </c>
      <c r="F2535" s="30" t="n">
        <v>42869</v>
      </c>
      <c r="G2535" s="30" t="n">
        <v>42910</v>
      </c>
      <c r="H2535" s="26" t="n">
        <f aca="false">G2535-F2535</f>
        <v>41</v>
      </c>
      <c r="I2535" s="10" t="n">
        <f aca="false">IF(E2535="Won",1,0)</f>
        <v>1</v>
      </c>
    </row>
    <row r="2536" customFormat="false" ht="15" hidden="false" customHeight="false" outlineLevel="0" collapsed="false">
      <c r="A2536" s="10" t="s">
        <v>4877</v>
      </c>
      <c r="B2536" s="10" t="s">
        <v>62</v>
      </c>
      <c r="C2536" s="10" t="s">
        <v>48</v>
      </c>
      <c r="D2536" s="10" t="s">
        <v>1118</v>
      </c>
      <c r="E2536" s="10" t="s">
        <v>2342</v>
      </c>
      <c r="F2536" s="30" t="n">
        <v>42795</v>
      </c>
      <c r="G2536" s="30" t="n">
        <v>42910</v>
      </c>
      <c r="H2536" s="26" t="n">
        <f aca="false">G2536-F2536</f>
        <v>115</v>
      </c>
      <c r="I2536" s="10" t="n">
        <f aca="false">IF(E2536="Won",1,0)</f>
        <v>1</v>
      </c>
    </row>
    <row r="2537" customFormat="false" ht="15" hidden="false" customHeight="false" outlineLevel="0" collapsed="false">
      <c r="A2537" s="10" t="s">
        <v>4878</v>
      </c>
      <c r="B2537" s="10" t="s">
        <v>77</v>
      </c>
      <c r="C2537" s="10" t="s">
        <v>48</v>
      </c>
      <c r="D2537" s="10" t="s">
        <v>947</v>
      </c>
      <c r="E2537" s="10" t="s">
        <v>2342</v>
      </c>
      <c r="F2537" s="30" t="n">
        <v>42897</v>
      </c>
      <c r="G2537" s="30" t="n">
        <v>42910</v>
      </c>
      <c r="H2537" s="26" t="n">
        <f aca="false">G2537-F2537</f>
        <v>13</v>
      </c>
      <c r="I2537" s="10" t="n">
        <f aca="false">IF(E2537="Won",1,0)</f>
        <v>1</v>
      </c>
    </row>
    <row r="2538" customFormat="false" ht="15" hidden="false" customHeight="false" outlineLevel="0" collapsed="false">
      <c r="A2538" s="10" t="s">
        <v>4879</v>
      </c>
      <c r="B2538" s="10" t="s">
        <v>90</v>
      </c>
      <c r="C2538" s="10" t="s">
        <v>50</v>
      </c>
      <c r="D2538" s="10" t="s">
        <v>218</v>
      </c>
      <c r="E2538" s="10" t="s">
        <v>2342</v>
      </c>
      <c r="F2538" s="30" t="n">
        <v>42813</v>
      </c>
      <c r="G2538" s="30" t="n">
        <v>42910</v>
      </c>
      <c r="H2538" s="26" t="n">
        <f aca="false">G2538-F2538</f>
        <v>97</v>
      </c>
      <c r="I2538" s="10" t="n">
        <f aca="false">IF(E2538="Won",1,0)</f>
        <v>1</v>
      </c>
    </row>
    <row r="2539" customFormat="false" ht="15" hidden="false" customHeight="false" outlineLevel="0" collapsed="false">
      <c r="A2539" s="10" t="s">
        <v>4880</v>
      </c>
      <c r="B2539" s="10" t="s">
        <v>62</v>
      </c>
      <c r="C2539" s="10" t="s">
        <v>51</v>
      </c>
      <c r="D2539" s="10" t="s">
        <v>1118</v>
      </c>
      <c r="E2539" s="10" t="s">
        <v>2345</v>
      </c>
      <c r="F2539" s="30" t="n">
        <v>42905</v>
      </c>
      <c r="G2539" s="30" t="n">
        <v>42910</v>
      </c>
      <c r="H2539" s="26" t="n">
        <f aca="false">G2539-F2539</f>
        <v>5</v>
      </c>
      <c r="I2539" s="10" t="n">
        <f aca="false">IF(E2539="Won",1,0)</f>
        <v>0</v>
      </c>
    </row>
    <row r="2540" customFormat="false" ht="15" hidden="false" customHeight="false" outlineLevel="0" collapsed="false">
      <c r="A2540" s="10" t="s">
        <v>4881</v>
      </c>
      <c r="B2540" s="10" t="s">
        <v>95</v>
      </c>
      <c r="C2540" s="10" t="s">
        <v>52</v>
      </c>
      <c r="D2540" s="10" t="s">
        <v>437</v>
      </c>
      <c r="E2540" s="10" t="s">
        <v>2342</v>
      </c>
      <c r="F2540" s="30" t="n">
        <v>42905</v>
      </c>
      <c r="G2540" s="30" t="n">
        <v>42910</v>
      </c>
      <c r="H2540" s="26" t="n">
        <f aca="false">G2540-F2540</f>
        <v>5</v>
      </c>
      <c r="I2540" s="10" t="n">
        <f aca="false">IF(E2540="Won",1,0)</f>
        <v>1</v>
      </c>
    </row>
    <row r="2541" customFormat="false" ht="15" hidden="false" customHeight="false" outlineLevel="0" collapsed="false">
      <c r="A2541" s="10" t="s">
        <v>4882</v>
      </c>
      <c r="B2541" s="10" t="s">
        <v>77</v>
      </c>
      <c r="C2541" s="10" t="s">
        <v>51</v>
      </c>
      <c r="D2541" s="10" t="s">
        <v>1948</v>
      </c>
      <c r="E2541" s="10" t="s">
        <v>2342</v>
      </c>
      <c r="F2541" s="30" t="n">
        <v>42814</v>
      </c>
      <c r="G2541" s="30" t="n">
        <v>42910</v>
      </c>
      <c r="H2541" s="26" t="n">
        <f aca="false">G2541-F2541</f>
        <v>96</v>
      </c>
      <c r="I2541" s="10" t="n">
        <f aca="false">IF(E2541="Won",1,0)</f>
        <v>1</v>
      </c>
    </row>
    <row r="2542" customFormat="false" ht="15" hidden="false" customHeight="false" outlineLevel="0" collapsed="false">
      <c r="A2542" s="10" t="s">
        <v>4883</v>
      </c>
      <c r="B2542" s="10" t="s">
        <v>81</v>
      </c>
      <c r="C2542" s="10" t="s">
        <v>48</v>
      </c>
      <c r="D2542" s="10" t="s">
        <v>279</v>
      </c>
      <c r="E2542" s="10" t="s">
        <v>2342</v>
      </c>
      <c r="F2542" s="30" t="n">
        <v>42894</v>
      </c>
      <c r="G2542" s="30" t="n">
        <v>42910</v>
      </c>
      <c r="H2542" s="26" t="n">
        <f aca="false">G2542-F2542</f>
        <v>16</v>
      </c>
      <c r="I2542" s="10" t="n">
        <f aca="false">IF(E2542="Won",1,0)</f>
        <v>1</v>
      </c>
    </row>
    <row r="2543" customFormat="false" ht="15" hidden="false" customHeight="false" outlineLevel="0" collapsed="false">
      <c r="A2543" s="10" t="s">
        <v>4884</v>
      </c>
      <c r="B2543" s="10" t="s">
        <v>71</v>
      </c>
      <c r="C2543" s="10" t="s">
        <v>52</v>
      </c>
      <c r="D2543" s="10" t="s">
        <v>697</v>
      </c>
      <c r="E2543" s="10" t="s">
        <v>2342</v>
      </c>
      <c r="F2543" s="30" t="n">
        <v>42899</v>
      </c>
      <c r="G2543" s="30" t="n">
        <v>42910</v>
      </c>
      <c r="H2543" s="26" t="n">
        <f aca="false">G2543-F2543</f>
        <v>11</v>
      </c>
      <c r="I2543" s="10" t="n">
        <f aca="false">IF(E2543="Won",1,0)</f>
        <v>1</v>
      </c>
    </row>
    <row r="2544" customFormat="false" ht="15" hidden="false" customHeight="false" outlineLevel="0" collapsed="false">
      <c r="A2544" s="10" t="s">
        <v>4885</v>
      </c>
      <c r="B2544" s="10" t="s">
        <v>86</v>
      </c>
      <c r="C2544" s="10" t="s">
        <v>49</v>
      </c>
      <c r="D2544" s="10" t="s">
        <v>1334</v>
      </c>
      <c r="E2544" s="10" t="s">
        <v>2345</v>
      </c>
      <c r="F2544" s="30" t="n">
        <v>42809</v>
      </c>
      <c r="G2544" s="30" t="n">
        <v>42910</v>
      </c>
      <c r="H2544" s="26" t="n">
        <f aca="false">G2544-F2544</f>
        <v>101</v>
      </c>
      <c r="I2544" s="10" t="n">
        <f aca="false">IF(E2544="Won",1,0)</f>
        <v>0</v>
      </c>
    </row>
    <row r="2545" customFormat="false" ht="15" hidden="false" customHeight="false" outlineLevel="0" collapsed="false">
      <c r="A2545" s="10" t="s">
        <v>4886</v>
      </c>
      <c r="B2545" s="10" t="s">
        <v>62</v>
      </c>
      <c r="C2545" s="10" t="s">
        <v>48</v>
      </c>
      <c r="D2545" s="10" t="s">
        <v>1397</v>
      </c>
      <c r="E2545" s="10" t="s">
        <v>2342</v>
      </c>
      <c r="F2545" s="30" t="n">
        <v>42809</v>
      </c>
      <c r="G2545" s="30" t="n">
        <v>42911</v>
      </c>
      <c r="H2545" s="26" t="n">
        <f aca="false">G2545-F2545</f>
        <v>102</v>
      </c>
      <c r="I2545" s="10" t="n">
        <f aca="false">IF(E2545="Won",1,0)</f>
        <v>1</v>
      </c>
    </row>
    <row r="2546" customFormat="false" ht="15" hidden="false" customHeight="false" outlineLevel="0" collapsed="false">
      <c r="A2546" s="10" t="s">
        <v>4887</v>
      </c>
      <c r="B2546" s="10" t="s">
        <v>60</v>
      </c>
      <c r="C2546" s="10" t="s">
        <v>48</v>
      </c>
      <c r="D2546" s="10" t="s">
        <v>453</v>
      </c>
      <c r="E2546" s="10" t="s">
        <v>2345</v>
      </c>
      <c r="F2546" s="30" t="n">
        <v>42820</v>
      </c>
      <c r="G2546" s="30" t="n">
        <v>42911</v>
      </c>
      <c r="H2546" s="26" t="n">
        <f aca="false">G2546-F2546</f>
        <v>91</v>
      </c>
      <c r="I2546" s="10" t="n">
        <f aca="false">IF(E2546="Won",1,0)</f>
        <v>0</v>
      </c>
    </row>
    <row r="2547" customFormat="false" ht="15" hidden="false" customHeight="false" outlineLevel="0" collapsed="false">
      <c r="A2547" s="10" t="s">
        <v>4888</v>
      </c>
      <c r="B2547" s="10" t="s">
        <v>83</v>
      </c>
      <c r="C2547" s="10" t="s">
        <v>52</v>
      </c>
      <c r="D2547" s="10" t="s">
        <v>660</v>
      </c>
      <c r="E2547" s="10" t="s">
        <v>2345</v>
      </c>
      <c r="F2547" s="30" t="n">
        <v>42774</v>
      </c>
      <c r="G2547" s="30" t="n">
        <v>42911</v>
      </c>
      <c r="H2547" s="26" t="n">
        <f aca="false">G2547-F2547</f>
        <v>137</v>
      </c>
      <c r="I2547" s="10" t="n">
        <f aca="false">IF(E2547="Won",1,0)</f>
        <v>0</v>
      </c>
    </row>
    <row r="2548" customFormat="false" ht="15" hidden="false" customHeight="false" outlineLevel="0" collapsed="false">
      <c r="A2548" s="10" t="s">
        <v>4889</v>
      </c>
      <c r="B2548" s="10" t="s">
        <v>87</v>
      </c>
      <c r="C2548" s="10" t="s">
        <v>48</v>
      </c>
      <c r="D2548" s="10" t="s">
        <v>247</v>
      </c>
      <c r="E2548" s="10" t="s">
        <v>2345</v>
      </c>
      <c r="F2548" s="30" t="n">
        <v>42906</v>
      </c>
      <c r="G2548" s="30" t="n">
        <v>42911</v>
      </c>
      <c r="H2548" s="26" t="n">
        <f aca="false">G2548-F2548</f>
        <v>5</v>
      </c>
      <c r="I2548" s="10" t="n">
        <f aca="false">IF(E2548="Won",1,0)</f>
        <v>0</v>
      </c>
    </row>
    <row r="2549" customFormat="false" ht="15" hidden="false" customHeight="false" outlineLevel="0" collapsed="false">
      <c r="A2549" s="10" t="s">
        <v>4890</v>
      </c>
      <c r="B2549" s="10" t="s">
        <v>87</v>
      </c>
      <c r="C2549" s="10" t="s">
        <v>50</v>
      </c>
      <c r="D2549" s="10" t="s">
        <v>286</v>
      </c>
      <c r="E2549" s="10" t="s">
        <v>2342</v>
      </c>
      <c r="F2549" s="30" t="n">
        <v>42902</v>
      </c>
      <c r="G2549" s="30" t="n">
        <v>42911</v>
      </c>
      <c r="H2549" s="26" t="n">
        <f aca="false">G2549-F2549</f>
        <v>9</v>
      </c>
      <c r="I2549" s="10" t="n">
        <f aca="false">IF(E2549="Won",1,0)</f>
        <v>1</v>
      </c>
    </row>
    <row r="2550" customFormat="false" ht="15" hidden="false" customHeight="false" outlineLevel="0" collapsed="false">
      <c r="A2550" s="10" t="s">
        <v>4891</v>
      </c>
      <c r="B2550" s="10" t="s">
        <v>67</v>
      </c>
      <c r="C2550" s="10" t="s">
        <v>52</v>
      </c>
      <c r="D2550" s="10" t="s">
        <v>210</v>
      </c>
      <c r="E2550" s="10" t="s">
        <v>2342</v>
      </c>
      <c r="F2550" s="30" t="n">
        <v>42905</v>
      </c>
      <c r="G2550" s="30" t="n">
        <v>42911</v>
      </c>
      <c r="H2550" s="26" t="n">
        <f aca="false">G2550-F2550</f>
        <v>6</v>
      </c>
      <c r="I2550" s="10" t="n">
        <f aca="false">IF(E2550="Won",1,0)</f>
        <v>1</v>
      </c>
    </row>
    <row r="2551" customFormat="false" ht="15" hidden="false" customHeight="false" outlineLevel="0" collapsed="false">
      <c r="A2551" s="10" t="s">
        <v>4892</v>
      </c>
      <c r="B2551" s="10" t="s">
        <v>57</v>
      </c>
      <c r="C2551" s="10" t="s">
        <v>51</v>
      </c>
      <c r="D2551" s="10" t="s">
        <v>464</v>
      </c>
      <c r="E2551" s="10" t="s">
        <v>2342</v>
      </c>
      <c r="F2551" s="30" t="n">
        <v>42907</v>
      </c>
      <c r="G2551" s="30" t="n">
        <v>42911</v>
      </c>
      <c r="H2551" s="26" t="n">
        <f aca="false">G2551-F2551</f>
        <v>4</v>
      </c>
      <c r="I2551" s="10" t="n">
        <f aca="false">IF(E2551="Won",1,0)</f>
        <v>1</v>
      </c>
    </row>
    <row r="2552" customFormat="false" ht="15" hidden="false" customHeight="false" outlineLevel="0" collapsed="false">
      <c r="A2552" s="10" t="s">
        <v>4893</v>
      </c>
      <c r="B2552" s="10" t="s">
        <v>94</v>
      </c>
      <c r="C2552" s="10" t="s">
        <v>48</v>
      </c>
      <c r="D2552" s="10" t="s">
        <v>514</v>
      </c>
      <c r="E2552" s="10" t="s">
        <v>2342</v>
      </c>
      <c r="F2552" s="30" t="n">
        <v>42902</v>
      </c>
      <c r="G2552" s="30" t="n">
        <v>42911</v>
      </c>
      <c r="H2552" s="26" t="n">
        <f aca="false">G2552-F2552</f>
        <v>9</v>
      </c>
      <c r="I2552" s="10" t="n">
        <f aca="false">IF(E2552="Won",1,0)</f>
        <v>1</v>
      </c>
    </row>
    <row r="2553" customFormat="false" ht="15" hidden="false" customHeight="false" outlineLevel="0" collapsed="false">
      <c r="A2553" s="10" t="s">
        <v>4894</v>
      </c>
      <c r="B2553" s="10" t="s">
        <v>77</v>
      </c>
      <c r="C2553" s="10" t="s">
        <v>48</v>
      </c>
      <c r="D2553" s="10" t="s">
        <v>660</v>
      </c>
      <c r="E2553" s="10" t="s">
        <v>2342</v>
      </c>
      <c r="F2553" s="30" t="n">
        <v>42905</v>
      </c>
      <c r="G2553" s="30" t="n">
        <v>42911</v>
      </c>
      <c r="H2553" s="26" t="n">
        <f aca="false">G2553-F2553</f>
        <v>6</v>
      </c>
      <c r="I2553" s="10" t="n">
        <f aca="false">IF(E2553="Won",1,0)</f>
        <v>1</v>
      </c>
    </row>
    <row r="2554" customFormat="false" ht="15" hidden="false" customHeight="false" outlineLevel="0" collapsed="false">
      <c r="A2554" s="10" t="s">
        <v>4895</v>
      </c>
      <c r="B2554" s="10" t="s">
        <v>93</v>
      </c>
      <c r="C2554" s="10" t="s">
        <v>48</v>
      </c>
      <c r="D2554" s="10" t="s">
        <v>487</v>
      </c>
      <c r="E2554" s="10" t="s">
        <v>2342</v>
      </c>
      <c r="F2554" s="30" t="n">
        <v>42822</v>
      </c>
      <c r="G2554" s="30" t="n">
        <v>42911</v>
      </c>
      <c r="H2554" s="26" t="n">
        <f aca="false">G2554-F2554</f>
        <v>89</v>
      </c>
      <c r="I2554" s="10" t="n">
        <f aca="false">IF(E2554="Won",1,0)</f>
        <v>1</v>
      </c>
    </row>
    <row r="2555" customFormat="false" ht="15" hidden="false" customHeight="false" outlineLevel="0" collapsed="false">
      <c r="A2555" s="10" t="s">
        <v>4896</v>
      </c>
      <c r="B2555" s="10" t="s">
        <v>97</v>
      </c>
      <c r="C2555" s="10" t="s">
        <v>51</v>
      </c>
      <c r="D2555" s="10" t="s">
        <v>396</v>
      </c>
      <c r="E2555" s="10" t="s">
        <v>2342</v>
      </c>
      <c r="F2555" s="30" t="n">
        <v>42785</v>
      </c>
      <c r="G2555" s="30" t="n">
        <v>42911</v>
      </c>
      <c r="H2555" s="26" t="n">
        <f aca="false">G2555-F2555</f>
        <v>126</v>
      </c>
      <c r="I2555" s="10" t="n">
        <f aca="false">IF(E2555="Won",1,0)</f>
        <v>1</v>
      </c>
    </row>
    <row r="2556" customFormat="false" ht="15" hidden="false" customHeight="false" outlineLevel="0" collapsed="false">
      <c r="A2556" s="10" t="s">
        <v>4897</v>
      </c>
      <c r="B2556" s="10" t="s">
        <v>97</v>
      </c>
      <c r="C2556" s="10" t="s">
        <v>51</v>
      </c>
      <c r="D2556" s="10" t="s">
        <v>326</v>
      </c>
      <c r="E2556" s="10" t="s">
        <v>2345</v>
      </c>
      <c r="F2556" s="30" t="n">
        <v>42873</v>
      </c>
      <c r="G2556" s="30" t="n">
        <v>42911</v>
      </c>
      <c r="H2556" s="26" t="n">
        <f aca="false">G2556-F2556</f>
        <v>38</v>
      </c>
      <c r="I2556" s="10" t="n">
        <f aca="false">IF(E2556="Won",1,0)</f>
        <v>0</v>
      </c>
    </row>
    <row r="2557" customFormat="false" ht="15" hidden="false" customHeight="false" outlineLevel="0" collapsed="false">
      <c r="A2557" s="10" t="s">
        <v>4898</v>
      </c>
      <c r="B2557" s="10" t="s">
        <v>87</v>
      </c>
      <c r="C2557" s="10" t="s">
        <v>48</v>
      </c>
      <c r="D2557" s="10" t="s">
        <v>405</v>
      </c>
      <c r="E2557" s="10" t="s">
        <v>2342</v>
      </c>
      <c r="F2557" s="30" t="n">
        <v>42870</v>
      </c>
      <c r="G2557" s="30" t="n">
        <v>42911</v>
      </c>
      <c r="H2557" s="26" t="n">
        <f aca="false">G2557-F2557</f>
        <v>41</v>
      </c>
      <c r="I2557" s="10" t="n">
        <f aca="false">IF(E2557="Won",1,0)</f>
        <v>1</v>
      </c>
    </row>
    <row r="2558" customFormat="false" ht="15" hidden="false" customHeight="false" outlineLevel="0" collapsed="false">
      <c r="A2558" s="10" t="s">
        <v>4899</v>
      </c>
      <c r="B2558" s="10" t="s">
        <v>75</v>
      </c>
      <c r="C2558" s="10" t="s">
        <v>52</v>
      </c>
      <c r="D2558" s="10" t="s">
        <v>660</v>
      </c>
      <c r="E2558" s="10" t="s">
        <v>2342</v>
      </c>
      <c r="F2558" s="30" t="n">
        <v>42848</v>
      </c>
      <c r="G2558" s="30" t="n">
        <v>42911</v>
      </c>
      <c r="H2558" s="26" t="n">
        <f aca="false">G2558-F2558</f>
        <v>63</v>
      </c>
      <c r="I2558" s="10" t="n">
        <f aca="false">IF(E2558="Won",1,0)</f>
        <v>1</v>
      </c>
    </row>
    <row r="2559" customFormat="false" ht="15" hidden="false" customHeight="false" outlineLevel="0" collapsed="false">
      <c r="A2559" s="10" t="s">
        <v>4900</v>
      </c>
      <c r="B2559" s="10" t="s">
        <v>95</v>
      </c>
      <c r="C2559" s="10" t="s">
        <v>51</v>
      </c>
      <c r="D2559" s="10" t="s">
        <v>419</v>
      </c>
      <c r="E2559" s="10" t="s">
        <v>2342</v>
      </c>
      <c r="F2559" s="30" t="n">
        <v>42845</v>
      </c>
      <c r="G2559" s="30" t="n">
        <v>42911</v>
      </c>
      <c r="H2559" s="26" t="n">
        <f aca="false">G2559-F2559</f>
        <v>66</v>
      </c>
      <c r="I2559" s="10" t="n">
        <f aca="false">IF(E2559="Won",1,0)</f>
        <v>1</v>
      </c>
    </row>
    <row r="2560" customFormat="false" ht="15" hidden="false" customHeight="false" outlineLevel="0" collapsed="false">
      <c r="A2560" s="10" t="s">
        <v>4901</v>
      </c>
      <c r="B2560" s="10" t="s">
        <v>94</v>
      </c>
      <c r="C2560" s="10" t="s">
        <v>51</v>
      </c>
      <c r="D2560" s="10" t="s">
        <v>233</v>
      </c>
      <c r="E2560" s="10" t="s">
        <v>2342</v>
      </c>
      <c r="F2560" s="30" t="n">
        <v>42816</v>
      </c>
      <c r="G2560" s="30" t="n">
        <v>42911</v>
      </c>
      <c r="H2560" s="26" t="n">
        <f aca="false">G2560-F2560</f>
        <v>95</v>
      </c>
      <c r="I2560" s="10" t="n">
        <f aca="false">IF(E2560="Won",1,0)</f>
        <v>1</v>
      </c>
    </row>
    <row r="2561" customFormat="false" ht="15" hidden="false" customHeight="false" outlineLevel="0" collapsed="false">
      <c r="A2561" s="10" t="s">
        <v>4902</v>
      </c>
      <c r="B2561" s="10" t="s">
        <v>73</v>
      </c>
      <c r="C2561" s="10" t="s">
        <v>49</v>
      </c>
      <c r="D2561" s="10" t="s">
        <v>1948</v>
      </c>
      <c r="E2561" s="10" t="s">
        <v>2342</v>
      </c>
      <c r="F2561" s="30" t="n">
        <v>42901</v>
      </c>
      <c r="G2561" s="30" t="n">
        <v>42911</v>
      </c>
      <c r="H2561" s="26" t="n">
        <f aca="false">G2561-F2561</f>
        <v>10</v>
      </c>
      <c r="I2561" s="10" t="n">
        <f aca="false">IF(E2561="Won",1,0)</f>
        <v>1</v>
      </c>
    </row>
    <row r="2562" customFormat="false" ht="15" hidden="false" customHeight="false" outlineLevel="0" collapsed="false">
      <c r="A2562" s="10" t="s">
        <v>4903</v>
      </c>
      <c r="B2562" s="10" t="s">
        <v>66</v>
      </c>
      <c r="C2562" s="10" t="s">
        <v>49</v>
      </c>
      <c r="D2562" s="10" t="s">
        <v>514</v>
      </c>
      <c r="E2562" s="10" t="s">
        <v>2342</v>
      </c>
      <c r="F2562" s="30" t="n">
        <v>42900</v>
      </c>
      <c r="G2562" s="30" t="n">
        <v>42911</v>
      </c>
      <c r="H2562" s="26" t="n">
        <f aca="false">G2562-F2562</f>
        <v>11</v>
      </c>
      <c r="I2562" s="10" t="n">
        <f aca="false">IF(E2562="Won",1,0)</f>
        <v>1</v>
      </c>
    </row>
    <row r="2563" customFormat="false" ht="15" hidden="false" customHeight="false" outlineLevel="0" collapsed="false">
      <c r="A2563" s="10" t="s">
        <v>4904</v>
      </c>
      <c r="B2563" s="10" t="s">
        <v>75</v>
      </c>
      <c r="C2563" s="10" t="s">
        <v>51</v>
      </c>
      <c r="D2563" s="10" t="s">
        <v>947</v>
      </c>
      <c r="E2563" s="10" t="s">
        <v>2342</v>
      </c>
      <c r="F2563" s="30" t="n">
        <v>42810</v>
      </c>
      <c r="G2563" s="30" t="n">
        <v>42911</v>
      </c>
      <c r="H2563" s="26" t="n">
        <f aca="false">G2563-F2563</f>
        <v>101</v>
      </c>
      <c r="I2563" s="10" t="n">
        <f aca="false">IF(E2563="Won",1,0)</f>
        <v>1</v>
      </c>
    </row>
    <row r="2564" customFormat="false" ht="15" hidden="false" customHeight="false" outlineLevel="0" collapsed="false">
      <c r="A2564" s="10" t="s">
        <v>4905</v>
      </c>
      <c r="B2564" s="10" t="s">
        <v>68</v>
      </c>
      <c r="C2564" s="10" t="s">
        <v>48</v>
      </c>
      <c r="D2564" s="10" t="s">
        <v>487</v>
      </c>
      <c r="E2564" s="10" t="s">
        <v>2342</v>
      </c>
      <c r="F2564" s="30" t="n">
        <v>42898</v>
      </c>
      <c r="G2564" s="30" t="n">
        <v>42911</v>
      </c>
      <c r="H2564" s="26" t="n">
        <f aca="false">G2564-F2564</f>
        <v>13</v>
      </c>
      <c r="I2564" s="10" t="n">
        <f aca="false">IF(E2564="Won",1,0)</f>
        <v>1</v>
      </c>
    </row>
    <row r="2565" customFormat="false" ht="15" hidden="false" customHeight="false" outlineLevel="0" collapsed="false">
      <c r="A2565" s="10" t="s">
        <v>4906</v>
      </c>
      <c r="B2565" s="10" t="s">
        <v>79</v>
      </c>
      <c r="C2565" s="10" t="s">
        <v>47</v>
      </c>
      <c r="D2565" s="10" t="s">
        <v>762</v>
      </c>
      <c r="E2565" s="10" t="s">
        <v>2342</v>
      </c>
      <c r="F2565" s="30" t="n">
        <v>42898</v>
      </c>
      <c r="G2565" s="30" t="n">
        <v>42911</v>
      </c>
      <c r="H2565" s="26" t="n">
        <f aca="false">G2565-F2565</f>
        <v>13</v>
      </c>
      <c r="I2565" s="10" t="n">
        <f aca="false">IF(E2565="Won",1,0)</f>
        <v>1</v>
      </c>
    </row>
    <row r="2566" customFormat="false" ht="15" hidden="false" customHeight="false" outlineLevel="0" collapsed="false">
      <c r="A2566" s="10" t="s">
        <v>4907</v>
      </c>
      <c r="B2566" s="10" t="s">
        <v>66</v>
      </c>
      <c r="C2566" s="10" t="s">
        <v>52</v>
      </c>
      <c r="D2566" s="10" t="s">
        <v>514</v>
      </c>
      <c r="E2566" s="10" t="s">
        <v>2342</v>
      </c>
      <c r="F2566" s="30" t="n">
        <v>42811</v>
      </c>
      <c r="G2566" s="30" t="n">
        <v>42911</v>
      </c>
      <c r="H2566" s="26" t="n">
        <f aca="false">G2566-F2566</f>
        <v>100</v>
      </c>
      <c r="I2566" s="10" t="n">
        <f aca="false">IF(E2566="Won",1,0)</f>
        <v>1</v>
      </c>
    </row>
    <row r="2567" customFormat="false" ht="15" hidden="false" customHeight="false" outlineLevel="0" collapsed="false">
      <c r="A2567" s="10" t="s">
        <v>4908</v>
      </c>
      <c r="B2567" s="10" t="s">
        <v>96</v>
      </c>
      <c r="C2567" s="10" t="s">
        <v>51</v>
      </c>
      <c r="D2567" s="10" t="s">
        <v>348</v>
      </c>
      <c r="E2567" s="10" t="s">
        <v>2345</v>
      </c>
      <c r="F2567" s="30" t="n">
        <v>42805</v>
      </c>
      <c r="G2567" s="30" t="n">
        <v>42912</v>
      </c>
      <c r="H2567" s="26" t="n">
        <f aca="false">G2567-F2567</f>
        <v>107</v>
      </c>
      <c r="I2567" s="10" t="n">
        <f aca="false">IF(E2567="Won",1,0)</f>
        <v>0</v>
      </c>
    </row>
    <row r="2568" customFormat="false" ht="15" hidden="false" customHeight="false" outlineLevel="0" collapsed="false">
      <c r="A2568" s="10" t="s">
        <v>4909</v>
      </c>
      <c r="B2568" s="10" t="s">
        <v>57</v>
      </c>
      <c r="C2568" s="10" t="s">
        <v>48</v>
      </c>
      <c r="D2568" s="10" t="s">
        <v>453</v>
      </c>
      <c r="E2568" s="10" t="s">
        <v>2342</v>
      </c>
      <c r="F2568" s="30" t="n">
        <v>42829</v>
      </c>
      <c r="G2568" s="30" t="n">
        <v>42912</v>
      </c>
      <c r="H2568" s="26" t="n">
        <f aca="false">G2568-F2568</f>
        <v>83</v>
      </c>
      <c r="I2568" s="10" t="n">
        <f aca="false">IF(E2568="Won",1,0)</f>
        <v>1</v>
      </c>
    </row>
    <row r="2569" customFormat="false" ht="15" hidden="false" customHeight="false" outlineLevel="0" collapsed="false">
      <c r="A2569" s="10" t="s">
        <v>4910</v>
      </c>
      <c r="B2569" s="10" t="s">
        <v>88</v>
      </c>
      <c r="C2569" s="10" t="s">
        <v>50</v>
      </c>
      <c r="D2569" s="10" t="s">
        <v>378</v>
      </c>
      <c r="E2569" s="10" t="s">
        <v>2342</v>
      </c>
      <c r="F2569" s="30" t="n">
        <v>42828</v>
      </c>
      <c r="G2569" s="30" t="n">
        <v>42912</v>
      </c>
      <c r="H2569" s="26" t="n">
        <f aca="false">G2569-F2569</f>
        <v>84</v>
      </c>
      <c r="I2569" s="10" t="n">
        <f aca="false">IF(E2569="Won",1,0)</f>
        <v>1</v>
      </c>
    </row>
    <row r="2570" customFormat="false" ht="15" hidden="false" customHeight="false" outlineLevel="0" collapsed="false">
      <c r="A2570" s="10" t="s">
        <v>4911</v>
      </c>
      <c r="B2570" s="10" t="s">
        <v>97</v>
      </c>
      <c r="C2570" s="10" t="s">
        <v>49</v>
      </c>
      <c r="D2570" s="10" t="s">
        <v>337</v>
      </c>
      <c r="E2570" s="10" t="s">
        <v>2342</v>
      </c>
      <c r="F2570" s="30" t="n">
        <v>42834</v>
      </c>
      <c r="G2570" s="30" t="n">
        <v>42912</v>
      </c>
      <c r="H2570" s="26" t="n">
        <f aca="false">G2570-F2570</f>
        <v>78</v>
      </c>
      <c r="I2570" s="10" t="n">
        <f aca="false">IF(E2570="Won",1,0)</f>
        <v>1</v>
      </c>
    </row>
    <row r="2571" customFormat="false" ht="15" hidden="false" customHeight="false" outlineLevel="0" collapsed="false">
      <c r="A2571" s="10" t="s">
        <v>4912</v>
      </c>
      <c r="B2571" s="10" t="s">
        <v>79</v>
      </c>
      <c r="C2571" s="10" t="s">
        <v>48</v>
      </c>
      <c r="D2571" s="10" t="s">
        <v>210</v>
      </c>
      <c r="E2571" s="10" t="s">
        <v>2345</v>
      </c>
      <c r="F2571" s="30" t="n">
        <v>42813</v>
      </c>
      <c r="G2571" s="30" t="n">
        <v>42912</v>
      </c>
      <c r="H2571" s="26" t="n">
        <f aca="false">G2571-F2571</f>
        <v>99</v>
      </c>
      <c r="I2571" s="10" t="n">
        <f aca="false">IF(E2571="Won",1,0)</f>
        <v>0</v>
      </c>
    </row>
    <row r="2572" customFormat="false" ht="15" hidden="false" customHeight="false" outlineLevel="0" collapsed="false">
      <c r="A2572" s="10" t="s">
        <v>4913</v>
      </c>
      <c r="B2572" s="10" t="s">
        <v>87</v>
      </c>
      <c r="C2572" s="10" t="s">
        <v>48</v>
      </c>
      <c r="D2572" s="10" t="s">
        <v>692</v>
      </c>
      <c r="E2572" s="10" t="s">
        <v>2342</v>
      </c>
      <c r="F2572" s="30" t="n">
        <v>42904</v>
      </c>
      <c r="G2572" s="30" t="n">
        <v>42912</v>
      </c>
      <c r="H2572" s="26" t="n">
        <f aca="false">G2572-F2572</f>
        <v>8</v>
      </c>
      <c r="I2572" s="10" t="n">
        <f aca="false">IF(E2572="Won",1,0)</f>
        <v>1</v>
      </c>
    </row>
    <row r="2573" customFormat="false" ht="15" hidden="false" customHeight="false" outlineLevel="0" collapsed="false">
      <c r="A2573" s="10" t="s">
        <v>4914</v>
      </c>
      <c r="B2573" s="10" t="s">
        <v>60</v>
      </c>
      <c r="C2573" s="10" t="s">
        <v>48</v>
      </c>
      <c r="D2573" s="10" t="s">
        <v>1397</v>
      </c>
      <c r="E2573" s="10" t="s">
        <v>2342</v>
      </c>
      <c r="F2573" s="30" t="n">
        <v>42907</v>
      </c>
      <c r="G2573" s="30" t="n">
        <v>42912</v>
      </c>
      <c r="H2573" s="26" t="n">
        <f aca="false">G2573-F2573</f>
        <v>5</v>
      </c>
      <c r="I2573" s="10" t="n">
        <f aca="false">IF(E2573="Won",1,0)</f>
        <v>1</v>
      </c>
    </row>
    <row r="2574" customFormat="false" ht="15" hidden="false" customHeight="false" outlineLevel="0" collapsed="false">
      <c r="A2574" s="10" t="s">
        <v>4915</v>
      </c>
      <c r="B2574" s="10" t="s">
        <v>70</v>
      </c>
      <c r="C2574" s="10" t="s">
        <v>49</v>
      </c>
      <c r="D2574" s="10" t="s">
        <v>348</v>
      </c>
      <c r="E2574" s="10" t="s">
        <v>2345</v>
      </c>
      <c r="F2574" s="30" t="n">
        <v>42856</v>
      </c>
      <c r="G2574" s="30" t="n">
        <v>42912</v>
      </c>
      <c r="H2574" s="26" t="n">
        <f aca="false">G2574-F2574</f>
        <v>56</v>
      </c>
      <c r="I2574" s="10" t="n">
        <f aca="false">IF(E2574="Won",1,0)</f>
        <v>0</v>
      </c>
    </row>
    <row r="2575" customFormat="false" ht="15" hidden="false" customHeight="false" outlineLevel="0" collapsed="false">
      <c r="A2575" s="10" t="s">
        <v>4916</v>
      </c>
      <c r="B2575" s="10" t="s">
        <v>71</v>
      </c>
      <c r="C2575" s="10" t="s">
        <v>49</v>
      </c>
      <c r="D2575" s="10" t="s">
        <v>483</v>
      </c>
      <c r="E2575" s="10" t="s">
        <v>2342</v>
      </c>
      <c r="F2575" s="30" t="n">
        <v>42795</v>
      </c>
      <c r="G2575" s="30" t="n">
        <v>42912</v>
      </c>
      <c r="H2575" s="26" t="n">
        <f aca="false">G2575-F2575</f>
        <v>117</v>
      </c>
      <c r="I2575" s="10" t="n">
        <f aca="false">IF(E2575="Won",1,0)</f>
        <v>1</v>
      </c>
    </row>
    <row r="2576" customFormat="false" ht="15" hidden="false" customHeight="false" outlineLevel="0" collapsed="false">
      <c r="A2576" s="10" t="s">
        <v>4917</v>
      </c>
      <c r="B2576" s="10" t="s">
        <v>68</v>
      </c>
      <c r="C2576" s="10" t="s">
        <v>48</v>
      </c>
      <c r="D2576" s="10" t="s">
        <v>432</v>
      </c>
      <c r="E2576" s="10" t="s">
        <v>2342</v>
      </c>
      <c r="F2576" s="30" t="n">
        <v>42821</v>
      </c>
      <c r="G2576" s="30" t="n">
        <v>42912</v>
      </c>
      <c r="H2576" s="26" t="n">
        <f aca="false">G2576-F2576</f>
        <v>91</v>
      </c>
      <c r="I2576" s="10" t="n">
        <f aca="false">IF(E2576="Won",1,0)</f>
        <v>1</v>
      </c>
    </row>
    <row r="2577" customFormat="false" ht="15" hidden="false" customHeight="false" outlineLevel="0" collapsed="false">
      <c r="A2577" s="10" t="s">
        <v>4918</v>
      </c>
      <c r="B2577" s="10" t="s">
        <v>70</v>
      </c>
      <c r="C2577" s="10" t="s">
        <v>49</v>
      </c>
      <c r="D2577" s="10" t="s">
        <v>487</v>
      </c>
      <c r="E2577" s="10" t="s">
        <v>2342</v>
      </c>
      <c r="F2577" s="30" t="n">
        <v>42899</v>
      </c>
      <c r="G2577" s="30" t="n">
        <v>42912</v>
      </c>
      <c r="H2577" s="26" t="n">
        <f aca="false">G2577-F2577</f>
        <v>13</v>
      </c>
      <c r="I2577" s="10" t="n">
        <f aca="false">IF(E2577="Won",1,0)</f>
        <v>1</v>
      </c>
    </row>
    <row r="2578" customFormat="false" ht="15" hidden="false" customHeight="false" outlineLevel="0" collapsed="false">
      <c r="A2578" s="10" t="s">
        <v>4919</v>
      </c>
      <c r="B2578" s="10" t="s">
        <v>77</v>
      </c>
      <c r="C2578" s="10" t="s">
        <v>49</v>
      </c>
      <c r="D2578" s="10" t="s">
        <v>527</v>
      </c>
      <c r="E2578" s="10" t="s">
        <v>2342</v>
      </c>
      <c r="F2578" s="30" t="n">
        <v>42864</v>
      </c>
      <c r="G2578" s="30" t="n">
        <v>42912</v>
      </c>
      <c r="H2578" s="26" t="n">
        <f aca="false">G2578-F2578</f>
        <v>48</v>
      </c>
      <c r="I2578" s="10" t="n">
        <f aca="false">IF(E2578="Won",1,0)</f>
        <v>1</v>
      </c>
    </row>
    <row r="2579" customFormat="false" ht="15" hidden="false" customHeight="false" outlineLevel="0" collapsed="false">
      <c r="A2579" s="10" t="s">
        <v>4920</v>
      </c>
      <c r="B2579" s="10" t="s">
        <v>96</v>
      </c>
      <c r="C2579" s="10" t="s">
        <v>50</v>
      </c>
      <c r="D2579" s="10" t="s">
        <v>514</v>
      </c>
      <c r="E2579" s="10" t="s">
        <v>2345</v>
      </c>
      <c r="F2579" s="30" t="n">
        <v>42792</v>
      </c>
      <c r="G2579" s="30" t="n">
        <v>42912</v>
      </c>
      <c r="H2579" s="26" t="n">
        <f aca="false">G2579-F2579</f>
        <v>120</v>
      </c>
      <c r="I2579" s="10" t="n">
        <f aca="false">IF(E2579="Won",1,0)</f>
        <v>0</v>
      </c>
    </row>
    <row r="2580" customFormat="false" ht="15" hidden="false" customHeight="false" outlineLevel="0" collapsed="false">
      <c r="A2580" s="10" t="s">
        <v>4921</v>
      </c>
      <c r="B2580" s="10" t="s">
        <v>80</v>
      </c>
      <c r="C2580" s="10" t="s">
        <v>50</v>
      </c>
      <c r="D2580" s="10" t="s">
        <v>660</v>
      </c>
      <c r="E2580" s="10" t="s">
        <v>2342</v>
      </c>
      <c r="F2580" s="30" t="n">
        <v>42908</v>
      </c>
      <c r="G2580" s="30" t="n">
        <v>42912</v>
      </c>
      <c r="H2580" s="26" t="n">
        <f aca="false">G2580-F2580</f>
        <v>4</v>
      </c>
      <c r="I2580" s="10" t="n">
        <f aca="false">IF(E2580="Won",1,0)</f>
        <v>1</v>
      </c>
    </row>
    <row r="2581" customFormat="false" ht="15" hidden="false" customHeight="false" outlineLevel="0" collapsed="false">
      <c r="A2581" s="10" t="s">
        <v>4922</v>
      </c>
      <c r="B2581" s="10" t="s">
        <v>95</v>
      </c>
      <c r="C2581" s="10" t="s">
        <v>48</v>
      </c>
      <c r="D2581" s="10" t="s">
        <v>424</v>
      </c>
      <c r="E2581" s="10" t="s">
        <v>2342</v>
      </c>
      <c r="F2581" s="30" t="n">
        <v>42786</v>
      </c>
      <c r="G2581" s="30" t="n">
        <v>42912</v>
      </c>
      <c r="H2581" s="26" t="n">
        <f aca="false">G2581-F2581</f>
        <v>126</v>
      </c>
      <c r="I2581" s="10" t="n">
        <f aca="false">IF(E2581="Won",1,0)</f>
        <v>1</v>
      </c>
    </row>
    <row r="2582" customFormat="false" ht="15" hidden="false" customHeight="false" outlineLevel="0" collapsed="false">
      <c r="A2582" s="10" t="s">
        <v>4923</v>
      </c>
      <c r="B2582" s="10" t="s">
        <v>73</v>
      </c>
      <c r="C2582" s="10" t="s">
        <v>47</v>
      </c>
      <c r="D2582" s="10" t="s">
        <v>869</v>
      </c>
      <c r="E2582" s="10" t="s">
        <v>2342</v>
      </c>
      <c r="F2582" s="30" t="n">
        <v>42786</v>
      </c>
      <c r="G2582" s="30" t="n">
        <v>42912</v>
      </c>
      <c r="H2582" s="26" t="n">
        <f aca="false">G2582-F2582</f>
        <v>126</v>
      </c>
      <c r="I2582" s="10" t="n">
        <f aca="false">IF(E2582="Won",1,0)</f>
        <v>1</v>
      </c>
    </row>
    <row r="2583" customFormat="false" ht="15" hidden="false" customHeight="false" outlineLevel="0" collapsed="false">
      <c r="A2583" s="10" t="s">
        <v>4924</v>
      </c>
      <c r="B2583" s="10" t="s">
        <v>80</v>
      </c>
      <c r="C2583" s="10" t="s">
        <v>47</v>
      </c>
      <c r="D2583" s="10" t="s">
        <v>1948</v>
      </c>
      <c r="E2583" s="10" t="s">
        <v>2342</v>
      </c>
      <c r="F2583" s="30" t="n">
        <v>42821</v>
      </c>
      <c r="G2583" s="30" t="n">
        <v>42912</v>
      </c>
      <c r="H2583" s="26" t="n">
        <f aca="false">G2583-F2583</f>
        <v>91</v>
      </c>
      <c r="I2583" s="10" t="n">
        <f aca="false">IF(E2583="Won",1,0)</f>
        <v>1</v>
      </c>
    </row>
    <row r="2584" customFormat="false" ht="15" hidden="false" customHeight="false" outlineLevel="0" collapsed="false">
      <c r="A2584" s="10" t="s">
        <v>4925</v>
      </c>
      <c r="B2584" s="10" t="s">
        <v>93</v>
      </c>
      <c r="C2584" s="10" t="s">
        <v>47</v>
      </c>
      <c r="D2584" s="10" t="s">
        <v>326</v>
      </c>
      <c r="E2584" s="10" t="s">
        <v>2342</v>
      </c>
      <c r="F2584" s="30" t="n">
        <v>42822</v>
      </c>
      <c r="G2584" s="30" t="n">
        <v>42912</v>
      </c>
      <c r="H2584" s="26" t="n">
        <f aca="false">G2584-F2584</f>
        <v>90</v>
      </c>
      <c r="I2584" s="10" t="n">
        <f aca="false">IF(E2584="Won",1,0)</f>
        <v>1</v>
      </c>
    </row>
    <row r="2585" customFormat="false" ht="15" hidden="false" customHeight="false" outlineLevel="0" collapsed="false">
      <c r="A2585" s="10" t="s">
        <v>4926</v>
      </c>
      <c r="B2585" s="10" t="s">
        <v>88</v>
      </c>
      <c r="C2585" s="10" t="s">
        <v>48</v>
      </c>
      <c r="D2585" s="10" t="s">
        <v>293</v>
      </c>
      <c r="E2585" s="10" t="s">
        <v>2345</v>
      </c>
      <c r="F2585" s="30" t="n">
        <v>42898</v>
      </c>
      <c r="G2585" s="30" t="n">
        <v>42912</v>
      </c>
      <c r="H2585" s="26" t="n">
        <f aca="false">G2585-F2585</f>
        <v>14</v>
      </c>
      <c r="I2585" s="10" t="n">
        <f aca="false">IF(E2585="Won",1,0)</f>
        <v>0</v>
      </c>
    </row>
    <row r="2586" customFormat="false" ht="15" hidden="false" customHeight="false" outlineLevel="0" collapsed="false">
      <c r="A2586" s="10" t="s">
        <v>4927</v>
      </c>
      <c r="B2586" s="10" t="s">
        <v>75</v>
      </c>
      <c r="C2586" s="10" t="s">
        <v>51</v>
      </c>
      <c r="D2586" s="10" t="s">
        <v>947</v>
      </c>
      <c r="E2586" s="10" t="s">
        <v>2345</v>
      </c>
      <c r="F2586" s="30" t="n">
        <v>42802</v>
      </c>
      <c r="G2586" s="30" t="n">
        <v>42912</v>
      </c>
      <c r="H2586" s="26" t="n">
        <f aca="false">G2586-F2586</f>
        <v>110</v>
      </c>
      <c r="I2586" s="10" t="n">
        <f aca="false">IF(E2586="Won",1,0)</f>
        <v>0</v>
      </c>
    </row>
    <row r="2587" customFormat="false" ht="15" hidden="false" customHeight="false" outlineLevel="0" collapsed="false">
      <c r="A2587" s="10" t="s">
        <v>4928</v>
      </c>
      <c r="B2587" s="10" t="s">
        <v>57</v>
      </c>
      <c r="C2587" s="10" t="s">
        <v>47</v>
      </c>
      <c r="D2587" s="10" t="s">
        <v>674</v>
      </c>
      <c r="E2587" s="10" t="s">
        <v>2342</v>
      </c>
      <c r="F2587" s="30" t="n">
        <v>42824</v>
      </c>
      <c r="G2587" s="30" t="n">
        <v>42912</v>
      </c>
      <c r="H2587" s="26" t="n">
        <f aca="false">G2587-F2587</f>
        <v>88</v>
      </c>
      <c r="I2587" s="10" t="n">
        <f aca="false">IF(E2587="Won",1,0)</f>
        <v>1</v>
      </c>
    </row>
    <row r="2588" customFormat="false" ht="15" hidden="false" customHeight="false" outlineLevel="0" collapsed="false">
      <c r="A2588" s="10" t="s">
        <v>4929</v>
      </c>
      <c r="B2588" s="10" t="s">
        <v>96</v>
      </c>
      <c r="C2588" s="10" t="s">
        <v>50</v>
      </c>
      <c r="D2588" s="10" t="s">
        <v>483</v>
      </c>
      <c r="E2588" s="10" t="s">
        <v>2342</v>
      </c>
      <c r="F2588" s="30" t="n">
        <v>42835</v>
      </c>
      <c r="G2588" s="30" t="n">
        <v>42912</v>
      </c>
      <c r="H2588" s="26" t="n">
        <f aca="false">G2588-F2588</f>
        <v>77</v>
      </c>
      <c r="I2588" s="10" t="n">
        <f aca="false">IF(E2588="Won",1,0)</f>
        <v>1</v>
      </c>
    </row>
    <row r="2589" customFormat="false" ht="15" hidden="false" customHeight="false" outlineLevel="0" collapsed="false">
      <c r="A2589" s="10" t="s">
        <v>4930</v>
      </c>
      <c r="B2589" s="10" t="s">
        <v>68</v>
      </c>
      <c r="C2589" s="10" t="s">
        <v>50</v>
      </c>
      <c r="D2589" s="10" t="s">
        <v>210</v>
      </c>
      <c r="E2589" s="10" t="s">
        <v>2342</v>
      </c>
      <c r="F2589" s="30" t="n">
        <v>42895</v>
      </c>
      <c r="G2589" s="30" t="n">
        <v>42912</v>
      </c>
      <c r="H2589" s="26" t="n">
        <f aca="false">G2589-F2589</f>
        <v>17</v>
      </c>
      <c r="I2589" s="10" t="n">
        <f aca="false">IF(E2589="Won",1,0)</f>
        <v>1</v>
      </c>
    </row>
    <row r="2590" customFormat="false" ht="15" hidden="false" customHeight="false" outlineLevel="0" collapsed="false">
      <c r="A2590" s="10" t="s">
        <v>4931</v>
      </c>
      <c r="B2590" s="10" t="s">
        <v>96</v>
      </c>
      <c r="C2590" s="10" t="s">
        <v>52</v>
      </c>
      <c r="D2590" s="10" t="s">
        <v>299</v>
      </c>
      <c r="E2590" s="10" t="s">
        <v>2342</v>
      </c>
      <c r="F2590" s="30" t="n">
        <v>42810</v>
      </c>
      <c r="G2590" s="30" t="n">
        <v>42912</v>
      </c>
      <c r="H2590" s="26" t="n">
        <f aca="false">G2590-F2590</f>
        <v>102</v>
      </c>
      <c r="I2590" s="10" t="n">
        <f aca="false">IF(E2590="Won",1,0)</f>
        <v>1</v>
      </c>
    </row>
    <row r="2591" customFormat="false" ht="15" hidden="false" customHeight="false" outlineLevel="0" collapsed="false">
      <c r="A2591" s="10" t="s">
        <v>4932</v>
      </c>
      <c r="B2591" s="10" t="s">
        <v>87</v>
      </c>
      <c r="C2591" s="10" t="s">
        <v>51</v>
      </c>
      <c r="D2591" s="10" t="s">
        <v>185</v>
      </c>
      <c r="E2591" s="10" t="s">
        <v>2342</v>
      </c>
      <c r="F2591" s="30" t="n">
        <v>42901</v>
      </c>
      <c r="G2591" s="30" t="n">
        <v>42912</v>
      </c>
      <c r="H2591" s="26" t="n">
        <f aca="false">G2591-F2591</f>
        <v>11</v>
      </c>
      <c r="I2591" s="10" t="n">
        <f aca="false">IF(E2591="Won",1,0)</f>
        <v>1</v>
      </c>
    </row>
    <row r="2592" customFormat="false" ht="15" hidden="false" customHeight="false" outlineLevel="0" collapsed="false">
      <c r="A2592" s="10" t="s">
        <v>4933</v>
      </c>
      <c r="B2592" s="10" t="s">
        <v>87</v>
      </c>
      <c r="C2592" s="10" t="s">
        <v>49</v>
      </c>
      <c r="D2592" s="10" t="s">
        <v>218</v>
      </c>
      <c r="E2592" s="10" t="s">
        <v>2345</v>
      </c>
      <c r="F2592" s="30" t="n">
        <v>42815</v>
      </c>
      <c r="G2592" s="30" t="n">
        <v>42912</v>
      </c>
      <c r="H2592" s="26" t="n">
        <f aca="false">G2592-F2592</f>
        <v>97</v>
      </c>
      <c r="I2592" s="10" t="n">
        <f aca="false">IF(E2592="Won",1,0)</f>
        <v>0</v>
      </c>
    </row>
    <row r="2593" customFormat="false" ht="15" hidden="false" customHeight="false" outlineLevel="0" collapsed="false">
      <c r="A2593" s="10" t="s">
        <v>4934</v>
      </c>
      <c r="B2593" s="10" t="s">
        <v>93</v>
      </c>
      <c r="C2593" s="10" t="s">
        <v>52</v>
      </c>
      <c r="D2593" s="10" t="s">
        <v>396</v>
      </c>
      <c r="E2593" s="10" t="s">
        <v>2342</v>
      </c>
      <c r="F2593" s="30" t="n">
        <v>42899</v>
      </c>
      <c r="G2593" s="30" t="n">
        <v>42913</v>
      </c>
      <c r="H2593" s="26" t="n">
        <f aca="false">G2593-F2593</f>
        <v>14</v>
      </c>
      <c r="I2593" s="10" t="n">
        <f aca="false">IF(E2593="Won",1,0)</f>
        <v>1</v>
      </c>
    </row>
    <row r="2594" customFormat="false" ht="15" hidden="false" customHeight="false" outlineLevel="0" collapsed="false">
      <c r="A2594" s="10" t="s">
        <v>4935</v>
      </c>
      <c r="B2594" s="10" t="s">
        <v>76</v>
      </c>
      <c r="C2594" s="10" t="s">
        <v>52</v>
      </c>
      <c r="D2594" s="10" t="s">
        <v>483</v>
      </c>
      <c r="E2594" s="10" t="s">
        <v>2342</v>
      </c>
      <c r="F2594" s="30" t="n">
        <v>42844</v>
      </c>
      <c r="G2594" s="30" t="n">
        <v>42913</v>
      </c>
      <c r="H2594" s="26" t="n">
        <f aca="false">G2594-F2594</f>
        <v>69</v>
      </c>
      <c r="I2594" s="10" t="n">
        <f aca="false">IF(E2594="Won",1,0)</f>
        <v>1</v>
      </c>
    </row>
    <row r="2595" customFormat="false" ht="15" hidden="false" customHeight="false" outlineLevel="0" collapsed="false">
      <c r="A2595" s="10" t="s">
        <v>4936</v>
      </c>
      <c r="B2595" s="10" t="s">
        <v>97</v>
      </c>
      <c r="C2595" s="10" t="s">
        <v>48</v>
      </c>
      <c r="D2595" s="10" t="s">
        <v>344</v>
      </c>
      <c r="E2595" s="10" t="s">
        <v>2342</v>
      </c>
      <c r="F2595" s="30" t="n">
        <v>42807</v>
      </c>
      <c r="G2595" s="30" t="n">
        <v>42913</v>
      </c>
      <c r="H2595" s="26" t="n">
        <f aca="false">G2595-F2595</f>
        <v>106</v>
      </c>
      <c r="I2595" s="10" t="n">
        <f aca="false">IF(E2595="Won",1,0)</f>
        <v>1</v>
      </c>
    </row>
    <row r="2596" customFormat="false" ht="15" hidden="false" customHeight="false" outlineLevel="0" collapsed="false">
      <c r="A2596" s="10" t="s">
        <v>4937</v>
      </c>
      <c r="B2596" s="10" t="s">
        <v>90</v>
      </c>
      <c r="C2596" s="10" t="s">
        <v>49</v>
      </c>
      <c r="D2596" s="10" t="s">
        <v>274</v>
      </c>
      <c r="E2596" s="10" t="s">
        <v>2345</v>
      </c>
      <c r="F2596" s="30" t="n">
        <v>42900</v>
      </c>
      <c r="G2596" s="30" t="n">
        <v>42913</v>
      </c>
      <c r="H2596" s="26" t="n">
        <f aca="false">G2596-F2596</f>
        <v>13</v>
      </c>
      <c r="I2596" s="10" t="n">
        <f aca="false">IF(E2596="Won",1,0)</f>
        <v>0</v>
      </c>
    </row>
    <row r="2597" customFormat="false" ht="15" hidden="false" customHeight="false" outlineLevel="0" collapsed="false">
      <c r="A2597" s="10" t="s">
        <v>4938</v>
      </c>
      <c r="B2597" s="10" t="s">
        <v>80</v>
      </c>
      <c r="C2597" s="10" t="s">
        <v>50</v>
      </c>
      <c r="D2597" s="10" t="s">
        <v>353</v>
      </c>
      <c r="E2597" s="10" t="s">
        <v>2342</v>
      </c>
      <c r="F2597" s="30" t="n">
        <v>42835</v>
      </c>
      <c r="G2597" s="30" t="n">
        <v>42913</v>
      </c>
      <c r="H2597" s="26" t="n">
        <f aca="false">G2597-F2597</f>
        <v>78</v>
      </c>
      <c r="I2597" s="10" t="n">
        <f aca="false">IF(E2597="Won",1,0)</f>
        <v>1</v>
      </c>
    </row>
    <row r="2598" customFormat="false" ht="15" hidden="false" customHeight="false" outlineLevel="0" collapsed="false">
      <c r="A2598" s="10" t="s">
        <v>4939</v>
      </c>
      <c r="B2598" s="10" t="s">
        <v>68</v>
      </c>
      <c r="C2598" s="10" t="s">
        <v>49</v>
      </c>
      <c r="D2598" s="10" t="s">
        <v>303</v>
      </c>
      <c r="E2598" s="10" t="s">
        <v>2342</v>
      </c>
      <c r="F2598" s="30" t="n">
        <v>42822</v>
      </c>
      <c r="G2598" s="30" t="n">
        <v>42913</v>
      </c>
      <c r="H2598" s="26" t="n">
        <f aca="false">G2598-F2598</f>
        <v>91</v>
      </c>
      <c r="I2598" s="10" t="n">
        <f aca="false">IF(E2598="Won",1,0)</f>
        <v>1</v>
      </c>
    </row>
    <row r="2599" customFormat="false" ht="15" hidden="false" customHeight="false" outlineLevel="0" collapsed="false">
      <c r="A2599" s="10" t="s">
        <v>4940</v>
      </c>
      <c r="B2599" s="10" t="s">
        <v>80</v>
      </c>
      <c r="C2599" s="10" t="s">
        <v>48</v>
      </c>
      <c r="D2599" s="10" t="s">
        <v>597</v>
      </c>
      <c r="E2599" s="10" t="s">
        <v>2342</v>
      </c>
      <c r="F2599" s="30" t="n">
        <v>42832</v>
      </c>
      <c r="G2599" s="30" t="n">
        <v>42913</v>
      </c>
      <c r="H2599" s="26" t="n">
        <f aca="false">G2599-F2599</f>
        <v>81</v>
      </c>
      <c r="I2599" s="10" t="n">
        <f aca="false">IF(E2599="Won",1,0)</f>
        <v>1</v>
      </c>
    </row>
    <row r="2600" customFormat="false" ht="15" hidden="false" customHeight="false" outlineLevel="0" collapsed="false">
      <c r="A2600" s="10" t="s">
        <v>4941</v>
      </c>
      <c r="B2600" s="10" t="s">
        <v>86</v>
      </c>
      <c r="C2600" s="10" t="s">
        <v>50</v>
      </c>
      <c r="D2600" s="10" t="s">
        <v>274</v>
      </c>
      <c r="E2600" s="10" t="s">
        <v>2342</v>
      </c>
      <c r="F2600" s="30" t="n">
        <v>42870</v>
      </c>
      <c r="G2600" s="30" t="n">
        <v>42913</v>
      </c>
      <c r="H2600" s="26" t="n">
        <f aca="false">G2600-F2600</f>
        <v>43</v>
      </c>
      <c r="I2600" s="10" t="n">
        <f aca="false">IF(E2600="Won",1,0)</f>
        <v>1</v>
      </c>
    </row>
    <row r="2601" customFormat="false" ht="15" hidden="false" customHeight="false" outlineLevel="0" collapsed="false">
      <c r="A2601" s="10" t="s">
        <v>4942</v>
      </c>
      <c r="B2601" s="10" t="s">
        <v>68</v>
      </c>
      <c r="C2601" s="10" t="s">
        <v>52</v>
      </c>
      <c r="D2601" s="10" t="s">
        <v>986</v>
      </c>
      <c r="E2601" s="10" t="s">
        <v>2342</v>
      </c>
      <c r="F2601" s="30" t="n">
        <v>42905</v>
      </c>
      <c r="G2601" s="30" t="n">
        <v>42913</v>
      </c>
      <c r="H2601" s="26" t="n">
        <f aca="false">G2601-F2601</f>
        <v>8</v>
      </c>
      <c r="I2601" s="10" t="n">
        <f aca="false">IF(E2601="Won",1,0)</f>
        <v>1</v>
      </c>
    </row>
    <row r="2602" customFormat="false" ht="15" hidden="false" customHeight="false" outlineLevel="0" collapsed="false">
      <c r="A2602" s="10" t="s">
        <v>4943</v>
      </c>
      <c r="B2602" s="10" t="s">
        <v>70</v>
      </c>
      <c r="C2602" s="10" t="s">
        <v>49</v>
      </c>
      <c r="D2602" s="10" t="s">
        <v>432</v>
      </c>
      <c r="E2602" s="10" t="s">
        <v>2342</v>
      </c>
      <c r="F2602" s="30" t="n">
        <v>42911</v>
      </c>
      <c r="G2602" s="30" t="n">
        <v>42913</v>
      </c>
      <c r="H2602" s="26" t="n">
        <f aca="false">G2602-F2602</f>
        <v>2</v>
      </c>
      <c r="I2602" s="10" t="n">
        <f aca="false">IF(E2602="Won",1,0)</f>
        <v>1</v>
      </c>
    </row>
    <row r="2603" customFormat="false" ht="15" hidden="false" customHeight="false" outlineLevel="0" collapsed="false">
      <c r="A2603" s="10" t="s">
        <v>4944</v>
      </c>
      <c r="B2603" s="10" t="s">
        <v>97</v>
      </c>
      <c r="C2603" s="10" t="s">
        <v>47</v>
      </c>
      <c r="D2603" s="10" t="s">
        <v>313</v>
      </c>
      <c r="E2603" s="10" t="s">
        <v>2345</v>
      </c>
      <c r="F2603" s="30" t="n">
        <v>42795</v>
      </c>
      <c r="G2603" s="30" t="n">
        <v>42913</v>
      </c>
      <c r="H2603" s="26" t="n">
        <f aca="false">G2603-F2603</f>
        <v>118</v>
      </c>
      <c r="I2603" s="10" t="n">
        <f aca="false">IF(E2603="Won",1,0)</f>
        <v>0</v>
      </c>
    </row>
    <row r="2604" customFormat="false" ht="15" hidden="false" customHeight="false" outlineLevel="0" collapsed="false">
      <c r="A2604" s="10" t="s">
        <v>4945</v>
      </c>
      <c r="B2604" s="10" t="s">
        <v>80</v>
      </c>
      <c r="C2604" s="10" t="s">
        <v>51</v>
      </c>
      <c r="D2604" s="10" t="s">
        <v>311</v>
      </c>
      <c r="E2604" s="10" t="s">
        <v>2345</v>
      </c>
      <c r="F2604" s="30" t="n">
        <v>42864</v>
      </c>
      <c r="G2604" s="30" t="n">
        <v>42913</v>
      </c>
      <c r="H2604" s="26" t="n">
        <f aca="false">G2604-F2604</f>
        <v>49</v>
      </c>
      <c r="I2604" s="10" t="n">
        <f aca="false">IF(E2604="Won",1,0)</f>
        <v>0</v>
      </c>
    </row>
    <row r="2605" customFormat="false" ht="15" hidden="false" customHeight="false" outlineLevel="0" collapsed="false">
      <c r="A2605" s="10" t="s">
        <v>4946</v>
      </c>
      <c r="B2605" s="10" t="s">
        <v>73</v>
      </c>
      <c r="C2605" s="10" t="s">
        <v>50</v>
      </c>
      <c r="D2605" s="10" t="s">
        <v>483</v>
      </c>
      <c r="E2605" s="10" t="s">
        <v>2342</v>
      </c>
      <c r="F2605" s="30" t="n">
        <v>42840</v>
      </c>
      <c r="G2605" s="30" t="n">
        <v>42913</v>
      </c>
      <c r="H2605" s="26" t="n">
        <f aca="false">G2605-F2605</f>
        <v>73</v>
      </c>
      <c r="I2605" s="10" t="n">
        <f aca="false">IF(E2605="Won",1,0)</f>
        <v>1</v>
      </c>
    </row>
    <row r="2606" customFormat="false" ht="15" hidden="false" customHeight="false" outlineLevel="0" collapsed="false">
      <c r="A2606" s="10" t="s">
        <v>4947</v>
      </c>
      <c r="B2606" s="10" t="s">
        <v>75</v>
      </c>
      <c r="C2606" s="10" t="s">
        <v>49</v>
      </c>
      <c r="D2606" s="10" t="s">
        <v>961</v>
      </c>
      <c r="E2606" s="10" t="s">
        <v>2342</v>
      </c>
      <c r="F2606" s="30" t="n">
        <v>42895</v>
      </c>
      <c r="G2606" s="30" t="n">
        <v>42913</v>
      </c>
      <c r="H2606" s="26" t="n">
        <f aca="false">G2606-F2606</f>
        <v>18</v>
      </c>
      <c r="I2606" s="10" t="n">
        <f aca="false">IF(E2606="Won",1,0)</f>
        <v>1</v>
      </c>
    </row>
    <row r="2607" customFormat="false" ht="15" hidden="false" customHeight="false" outlineLevel="0" collapsed="false">
      <c r="A2607" s="10" t="s">
        <v>4948</v>
      </c>
      <c r="B2607" s="10" t="s">
        <v>68</v>
      </c>
      <c r="C2607" s="10" t="s">
        <v>50</v>
      </c>
      <c r="D2607" s="10" t="s">
        <v>396</v>
      </c>
      <c r="E2607" s="10" t="s">
        <v>2345</v>
      </c>
      <c r="F2607" s="30" t="n">
        <v>42786</v>
      </c>
      <c r="G2607" s="30" t="n">
        <v>42913</v>
      </c>
      <c r="H2607" s="26" t="n">
        <f aca="false">G2607-F2607</f>
        <v>127</v>
      </c>
      <c r="I2607" s="10" t="n">
        <f aca="false">IF(E2607="Won",1,0)</f>
        <v>0</v>
      </c>
    </row>
    <row r="2608" customFormat="false" ht="15" hidden="false" customHeight="false" outlineLevel="0" collapsed="false">
      <c r="A2608" s="10" t="s">
        <v>4949</v>
      </c>
      <c r="B2608" s="10" t="s">
        <v>86</v>
      </c>
      <c r="C2608" s="10" t="s">
        <v>49</v>
      </c>
      <c r="D2608" s="10" t="s">
        <v>378</v>
      </c>
      <c r="E2608" s="10" t="s">
        <v>2342</v>
      </c>
      <c r="F2608" s="30" t="n">
        <v>42880</v>
      </c>
      <c r="G2608" s="30" t="n">
        <v>42913</v>
      </c>
      <c r="H2608" s="26" t="n">
        <f aca="false">G2608-F2608</f>
        <v>33</v>
      </c>
      <c r="I2608" s="10" t="n">
        <f aca="false">IF(E2608="Won",1,0)</f>
        <v>1</v>
      </c>
    </row>
    <row r="2609" customFormat="false" ht="15" hidden="false" customHeight="false" outlineLevel="0" collapsed="false">
      <c r="A2609" s="10" t="s">
        <v>4950</v>
      </c>
      <c r="B2609" s="10" t="s">
        <v>90</v>
      </c>
      <c r="C2609" s="10" t="s">
        <v>51</v>
      </c>
      <c r="D2609" s="10" t="s">
        <v>233</v>
      </c>
      <c r="E2609" s="10" t="s">
        <v>2342</v>
      </c>
      <c r="F2609" s="30" t="n">
        <v>42798</v>
      </c>
      <c r="G2609" s="30" t="n">
        <v>42913</v>
      </c>
      <c r="H2609" s="26" t="n">
        <f aca="false">G2609-F2609</f>
        <v>115</v>
      </c>
      <c r="I2609" s="10" t="n">
        <f aca="false">IF(E2609="Won",1,0)</f>
        <v>1</v>
      </c>
    </row>
    <row r="2610" customFormat="false" ht="15" hidden="false" customHeight="false" outlineLevel="0" collapsed="false">
      <c r="A2610" s="10" t="s">
        <v>4951</v>
      </c>
      <c r="B2610" s="10" t="s">
        <v>77</v>
      </c>
      <c r="C2610" s="10" t="s">
        <v>50</v>
      </c>
      <c r="D2610" s="10" t="s">
        <v>512</v>
      </c>
      <c r="E2610" s="10" t="s">
        <v>2342</v>
      </c>
      <c r="F2610" s="30" t="n">
        <v>42838</v>
      </c>
      <c r="G2610" s="30" t="n">
        <v>42913</v>
      </c>
      <c r="H2610" s="26" t="n">
        <f aca="false">G2610-F2610</f>
        <v>75</v>
      </c>
      <c r="I2610" s="10" t="n">
        <f aca="false">IF(E2610="Won",1,0)</f>
        <v>1</v>
      </c>
    </row>
    <row r="2611" customFormat="false" ht="15" hidden="false" customHeight="false" outlineLevel="0" collapsed="false">
      <c r="A2611" s="10" t="s">
        <v>4952</v>
      </c>
      <c r="B2611" s="10" t="s">
        <v>74</v>
      </c>
      <c r="C2611" s="10" t="s">
        <v>49</v>
      </c>
      <c r="D2611" s="10" t="s">
        <v>193</v>
      </c>
      <c r="E2611" s="10" t="s">
        <v>2342</v>
      </c>
      <c r="F2611" s="30" t="n">
        <v>42897</v>
      </c>
      <c r="G2611" s="30" t="n">
        <v>42913</v>
      </c>
      <c r="H2611" s="26" t="n">
        <f aca="false">G2611-F2611</f>
        <v>16</v>
      </c>
      <c r="I2611" s="10" t="n">
        <f aca="false">IF(E2611="Won",1,0)</f>
        <v>1</v>
      </c>
    </row>
    <row r="2612" customFormat="false" ht="15" hidden="false" customHeight="false" outlineLevel="0" collapsed="false">
      <c r="A2612" s="10" t="s">
        <v>4953</v>
      </c>
      <c r="B2612" s="10" t="s">
        <v>71</v>
      </c>
      <c r="C2612" s="10" t="s">
        <v>52</v>
      </c>
      <c r="D2612" s="10" t="s">
        <v>422</v>
      </c>
      <c r="E2612" s="10" t="s">
        <v>2342</v>
      </c>
      <c r="F2612" s="30" t="n">
        <v>42874</v>
      </c>
      <c r="G2612" s="30" t="n">
        <v>42913</v>
      </c>
      <c r="H2612" s="26" t="n">
        <f aca="false">G2612-F2612</f>
        <v>39</v>
      </c>
      <c r="I2612" s="10" t="n">
        <f aca="false">IF(E2612="Won",1,0)</f>
        <v>1</v>
      </c>
    </row>
    <row r="2613" customFormat="false" ht="15" hidden="false" customHeight="false" outlineLevel="0" collapsed="false">
      <c r="A2613" s="10" t="s">
        <v>4954</v>
      </c>
      <c r="B2613" s="10" t="s">
        <v>73</v>
      </c>
      <c r="C2613" s="10" t="s">
        <v>47</v>
      </c>
      <c r="D2613" s="10" t="s">
        <v>597</v>
      </c>
      <c r="E2613" s="10" t="s">
        <v>2345</v>
      </c>
      <c r="F2613" s="30" t="n">
        <v>42906</v>
      </c>
      <c r="G2613" s="30" t="n">
        <v>42913</v>
      </c>
      <c r="H2613" s="26" t="n">
        <f aca="false">G2613-F2613</f>
        <v>7</v>
      </c>
      <c r="I2613" s="10" t="n">
        <f aca="false">IF(E2613="Won",1,0)</f>
        <v>0</v>
      </c>
    </row>
    <row r="2614" customFormat="false" ht="15" hidden="false" customHeight="false" outlineLevel="0" collapsed="false">
      <c r="A2614" s="10" t="s">
        <v>4955</v>
      </c>
      <c r="B2614" s="10" t="s">
        <v>87</v>
      </c>
      <c r="C2614" s="10" t="s">
        <v>50</v>
      </c>
      <c r="D2614" s="10" t="s">
        <v>1334</v>
      </c>
      <c r="E2614" s="10" t="s">
        <v>2342</v>
      </c>
      <c r="F2614" s="30" t="n">
        <v>42802</v>
      </c>
      <c r="G2614" s="30" t="n">
        <v>42913</v>
      </c>
      <c r="H2614" s="26" t="n">
        <f aca="false">G2614-F2614</f>
        <v>111</v>
      </c>
      <c r="I2614" s="10" t="n">
        <f aca="false">IF(E2614="Won",1,0)</f>
        <v>1</v>
      </c>
    </row>
    <row r="2615" customFormat="false" ht="15" hidden="false" customHeight="false" outlineLevel="0" collapsed="false">
      <c r="A2615" s="10" t="s">
        <v>4956</v>
      </c>
      <c r="B2615" s="10" t="s">
        <v>68</v>
      </c>
      <c r="C2615" s="10" t="s">
        <v>46</v>
      </c>
      <c r="D2615" s="10" t="s">
        <v>172</v>
      </c>
      <c r="E2615" s="10" t="s">
        <v>2342</v>
      </c>
      <c r="F2615" s="30" t="n">
        <v>42793</v>
      </c>
      <c r="G2615" s="30" t="n">
        <v>42913</v>
      </c>
      <c r="H2615" s="26" t="n">
        <f aca="false">G2615-F2615</f>
        <v>120</v>
      </c>
      <c r="I2615" s="10" t="n">
        <f aca="false">IF(E2615="Won",1,0)</f>
        <v>1</v>
      </c>
    </row>
    <row r="2616" customFormat="false" ht="15" hidden="false" customHeight="false" outlineLevel="0" collapsed="false">
      <c r="A2616" s="10" t="s">
        <v>4957</v>
      </c>
      <c r="B2616" s="10" t="s">
        <v>60</v>
      </c>
      <c r="C2616" s="10" t="s">
        <v>52</v>
      </c>
      <c r="D2616" s="10" t="s">
        <v>637</v>
      </c>
      <c r="E2616" s="10" t="s">
        <v>2345</v>
      </c>
      <c r="F2616" s="30" t="n">
        <v>42900</v>
      </c>
      <c r="G2616" s="30" t="n">
        <v>42913</v>
      </c>
      <c r="H2616" s="26" t="n">
        <f aca="false">G2616-F2616</f>
        <v>13</v>
      </c>
      <c r="I2616" s="10" t="n">
        <f aca="false">IF(E2616="Won",1,0)</f>
        <v>0</v>
      </c>
    </row>
    <row r="2617" customFormat="false" ht="15" hidden="false" customHeight="false" outlineLevel="0" collapsed="false">
      <c r="A2617" s="10" t="s">
        <v>4958</v>
      </c>
      <c r="B2617" s="10" t="s">
        <v>87</v>
      </c>
      <c r="C2617" s="10" t="s">
        <v>47</v>
      </c>
      <c r="D2617" s="10" t="s">
        <v>692</v>
      </c>
      <c r="E2617" s="10" t="s">
        <v>2342</v>
      </c>
      <c r="F2617" s="30" t="n">
        <v>42842</v>
      </c>
      <c r="G2617" s="30" t="n">
        <v>42913</v>
      </c>
      <c r="H2617" s="26" t="n">
        <f aca="false">G2617-F2617</f>
        <v>71</v>
      </c>
      <c r="I2617" s="10" t="n">
        <f aca="false">IF(E2617="Won",1,0)</f>
        <v>1</v>
      </c>
    </row>
    <row r="2618" customFormat="false" ht="15" hidden="false" customHeight="false" outlineLevel="0" collapsed="false">
      <c r="A2618" s="10" t="s">
        <v>4959</v>
      </c>
      <c r="B2618" s="10" t="s">
        <v>63</v>
      </c>
      <c r="C2618" s="10" t="s">
        <v>51</v>
      </c>
      <c r="D2618" s="10" t="s">
        <v>692</v>
      </c>
      <c r="E2618" s="10" t="s">
        <v>2345</v>
      </c>
      <c r="F2618" s="30" t="n">
        <v>42899</v>
      </c>
      <c r="G2618" s="30" t="n">
        <v>42913</v>
      </c>
      <c r="H2618" s="26" t="n">
        <f aca="false">G2618-F2618</f>
        <v>14</v>
      </c>
      <c r="I2618" s="10" t="n">
        <f aca="false">IF(E2618="Won",1,0)</f>
        <v>0</v>
      </c>
    </row>
    <row r="2619" customFormat="false" ht="15" hidden="false" customHeight="false" outlineLevel="0" collapsed="false">
      <c r="A2619" s="10" t="s">
        <v>4960</v>
      </c>
      <c r="B2619" s="10" t="s">
        <v>71</v>
      </c>
      <c r="C2619" s="10" t="s">
        <v>51</v>
      </c>
      <c r="D2619" s="10" t="s">
        <v>267</v>
      </c>
      <c r="E2619" s="10" t="s">
        <v>2342</v>
      </c>
      <c r="F2619" s="30" t="n">
        <v>42828</v>
      </c>
      <c r="G2619" s="30" t="n">
        <v>42913</v>
      </c>
      <c r="H2619" s="26" t="n">
        <f aca="false">G2619-F2619</f>
        <v>85</v>
      </c>
      <c r="I2619" s="10" t="n">
        <f aca="false">IF(E2619="Won",1,0)</f>
        <v>1</v>
      </c>
    </row>
    <row r="2620" customFormat="false" ht="15" hidden="false" customHeight="false" outlineLevel="0" collapsed="false">
      <c r="A2620" s="10" t="s">
        <v>4961</v>
      </c>
      <c r="B2620" s="10" t="s">
        <v>97</v>
      </c>
      <c r="C2620" s="10" t="s">
        <v>49</v>
      </c>
      <c r="D2620" s="10" t="s">
        <v>299</v>
      </c>
      <c r="E2620" s="10" t="s">
        <v>2342</v>
      </c>
      <c r="F2620" s="30" t="n">
        <v>42902</v>
      </c>
      <c r="G2620" s="30" t="n">
        <v>42913</v>
      </c>
      <c r="H2620" s="26" t="n">
        <f aca="false">G2620-F2620</f>
        <v>11</v>
      </c>
      <c r="I2620" s="10" t="n">
        <f aca="false">IF(E2620="Won",1,0)</f>
        <v>1</v>
      </c>
    </row>
    <row r="2621" customFormat="false" ht="15" hidden="false" customHeight="false" outlineLevel="0" collapsed="false">
      <c r="A2621" s="10" t="s">
        <v>4962</v>
      </c>
      <c r="B2621" s="10" t="s">
        <v>61</v>
      </c>
      <c r="C2621" s="10" t="s">
        <v>49</v>
      </c>
      <c r="D2621" s="10" t="s">
        <v>637</v>
      </c>
      <c r="E2621" s="10" t="s">
        <v>2342</v>
      </c>
      <c r="F2621" s="30" t="n">
        <v>42806</v>
      </c>
      <c r="G2621" s="30" t="n">
        <v>42913</v>
      </c>
      <c r="H2621" s="26" t="n">
        <f aca="false">G2621-F2621</f>
        <v>107</v>
      </c>
      <c r="I2621" s="10" t="n">
        <f aca="false">IF(E2621="Won",1,0)</f>
        <v>1</v>
      </c>
    </row>
    <row r="2622" customFormat="false" ht="15" hidden="false" customHeight="false" outlineLevel="0" collapsed="false">
      <c r="A2622" s="10" t="s">
        <v>4963</v>
      </c>
      <c r="B2622" s="10" t="s">
        <v>83</v>
      </c>
      <c r="C2622" s="10" t="s">
        <v>51</v>
      </c>
      <c r="D2622" s="10" t="s">
        <v>512</v>
      </c>
      <c r="E2622" s="10" t="s">
        <v>2342</v>
      </c>
      <c r="F2622" s="30" t="n">
        <v>42870</v>
      </c>
      <c r="G2622" s="30" t="n">
        <v>42913</v>
      </c>
      <c r="H2622" s="26" t="n">
        <f aca="false">G2622-F2622</f>
        <v>43</v>
      </c>
      <c r="I2622" s="10" t="n">
        <f aca="false">IF(E2622="Won",1,0)</f>
        <v>1</v>
      </c>
    </row>
    <row r="2623" customFormat="false" ht="15" hidden="false" customHeight="false" outlineLevel="0" collapsed="false">
      <c r="A2623" s="10" t="s">
        <v>4964</v>
      </c>
      <c r="B2623" s="10" t="s">
        <v>61</v>
      </c>
      <c r="C2623" s="10" t="s">
        <v>47</v>
      </c>
      <c r="D2623" s="10" t="s">
        <v>378</v>
      </c>
      <c r="E2623" s="10" t="s">
        <v>2342</v>
      </c>
      <c r="F2623" s="30" t="n">
        <v>42907</v>
      </c>
      <c r="G2623" s="30" t="n">
        <v>42913</v>
      </c>
      <c r="H2623" s="26" t="n">
        <f aca="false">G2623-F2623</f>
        <v>6</v>
      </c>
      <c r="I2623" s="10" t="n">
        <f aca="false">IF(E2623="Won",1,0)</f>
        <v>1</v>
      </c>
    </row>
    <row r="2624" customFormat="false" ht="15" hidden="false" customHeight="false" outlineLevel="0" collapsed="false">
      <c r="A2624" s="10" t="s">
        <v>4965</v>
      </c>
      <c r="B2624" s="10" t="s">
        <v>90</v>
      </c>
      <c r="C2624" s="10" t="s">
        <v>48</v>
      </c>
      <c r="D2624" s="10" t="s">
        <v>218</v>
      </c>
      <c r="E2624" s="10" t="s">
        <v>2345</v>
      </c>
      <c r="F2624" s="30" t="n">
        <v>42814</v>
      </c>
      <c r="G2624" s="30" t="n">
        <v>42914</v>
      </c>
      <c r="H2624" s="26" t="n">
        <f aca="false">G2624-F2624</f>
        <v>100</v>
      </c>
      <c r="I2624" s="10" t="n">
        <f aca="false">IF(E2624="Won",1,0)</f>
        <v>0</v>
      </c>
    </row>
    <row r="2625" customFormat="false" ht="15" hidden="false" customHeight="false" outlineLevel="0" collapsed="false">
      <c r="A2625" s="10" t="s">
        <v>4966</v>
      </c>
      <c r="B2625" s="10" t="s">
        <v>95</v>
      </c>
      <c r="C2625" s="10" t="s">
        <v>51</v>
      </c>
      <c r="D2625" s="10" t="s">
        <v>483</v>
      </c>
      <c r="E2625" s="10" t="s">
        <v>2342</v>
      </c>
      <c r="F2625" s="30" t="n">
        <v>42823</v>
      </c>
      <c r="G2625" s="30" t="n">
        <v>42914</v>
      </c>
      <c r="H2625" s="26" t="n">
        <f aca="false">G2625-F2625</f>
        <v>91</v>
      </c>
      <c r="I2625" s="10" t="n">
        <f aca="false">IF(E2625="Won",1,0)</f>
        <v>1</v>
      </c>
    </row>
    <row r="2626" customFormat="false" ht="15" hidden="false" customHeight="false" outlineLevel="0" collapsed="false">
      <c r="A2626" s="10" t="s">
        <v>4967</v>
      </c>
      <c r="B2626" s="10" t="s">
        <v>84</v>
      </c>
      <c r="C2626" s="10" t="s">
        <v>47</v>
      </c>
      <c r="D2626" s="10" t="s">
        <v>218</v>
      </c>
      <c r="E2626" s="10" t="s">
        <v>2342</v>
      </c>
      <c r="F2626" s="30" t="n">
        <v>42901</v>
      </c>
      <c r="G2626" s="30" t="n">
        <v>42914</v>
      </c>
      <c r="H2626" s="26" t="n">
        <f aca="false">G2626-F2626</f>
        <v>13</v>
      </c>
      <c r="I2626" s="10" t="n">
        <f aca="false">IF(E2626="Won",1,0)</f>
        <v>1</v>
      </c>
    </row>
    <row r="2627" customFormat="false" ht="15" hidden="false" customHeight="false" outlineLevel="0" collapsed="false">
      <c r="A2627" s="10" t="s">
        <v>4968</v>
      </c>
      <c r="B2627" s="10" t="s">
        <v>76</v>
      </c>
      <c r="C2627" s="10" t="s">
        <v>52</v>
      </c>
      <c r="D2627" s="10" t="s">
        <v>1948</v>
      </c>
      <c r="E2627" s="10" t="s">
        <v>2342</v>
      </c>
      <c r="F2627" s="30" t="n">
        <v>42821</v>
      </c>
      <c r="G2627" s="30" t="n">
        <v>42914</v>
      </c>
      <c r="H2627" s="26" t="n">
        <f aca="false">G2627-F2627</f>
        <v>93</v>
      </c>
      <c r="I2627" s="10" t="n">
        <f aca="false">IF(E2627="Won",1,0)</f>
        <v>1</v>
      </c>
    </row>
    <row r="2628" customFormat="false" ht="15" hidden="false" customHeight="false" outlineLevel="0" collapsed="false">
      <c r="A2628" s="10" t="s">
        <v>4969</v>
      </c>
      <c r="B2628" s="10" t="s">
        <v>77</v>
      </c>
      <c r="C2628" s="10" t="s">
        <v>48</v>
      </c>
      <c r="D2628" s="10" t="s">
        <v>279</v>
      </c>
      <c r="E2628" s="10" t="s">
        <v>2342</v>
      </c>
      <c r="F2628" s="30" t="n">
        <v>42789</v>
      </c>
      <c r="G2628" s="30" t="n">
        <v>42914</v>
      </c>
      <c r="H2628" s="26" t="n">
        <f aca="false">G2628-F2628</f>
        <v>125</v>
      </c>
      <c r="I2628" s="10" t="n">
        <f aca="false">IF(E2628="Won",1,0)</f>
        <v>1</v>
      </c>
    </row>
    <row r="2629" customFormat="false" ht="15" hidden="false" customHeight="false" outlineLevel="0" collapsed="false">
      <c r="A2629" s="10" t="s">
        <v>4970</v>
      </c>
      <c r="B2629" s="10" t="s">
        <v>70</v>
      </c>
      <c r="C2629" s="10" t="s">
        <v>51</v>
      </c>
      <c r="D2629" s="10" t="s">
        <v>303</v>
      </c>
      <c r="E2629" s="10" t="s">
        <v>2342</v>
      </c>
      <c r="F2629" s="30" t="n">
        <v>42830</v>
      </c>
      <c r="G2629" s="30" t="n">
        <v>42914</v>
      </c>
      <c r="H2629" s="26" t="n">
        <f aca="false">G2629-F2629</f>
        <v>84</v>
      </c>
      <c r="I2629" s="10" t="n">
        <f aca="false">IF(E2629="Won",1,0)</f>
        <v>1</v>
      </c>
    </row>
    <row r="2630" customFormat="false" ht="15" hidden="false" customHeight="false" outlineLevel="0" collapsed="false">
      <c r="A2630" s="10" t="s">
        <v>4971</v>
      </c>
      <c r="B2630" s="10" t="s">
        <v>77</v>
      </c>
      <c r="C2630" s="10" t="s">
        <v>49</v>
      </c>
      <c r="D2630" s="10" t="s">
        <v>279</v>
      </c>
      <c r="E2630" s="10" t="s">
        <v>2345</v>
      </c>
      <c r="F2630" s="30" t="n">
        <v>42837</v>
      </c>
      <c r="G2630" s="30" t="n">
        <v>42914</v>
      </c>
      <c r="H2630" s="26" t="n">
        <f aca="false">G2630-F2630</f>
        <v>77</v>
      </c>
      <c r="I2630" s="10" t="n">
        <f aca="false">IF(E2630="Won",1,0)</f>
        <v>0</v>
      </c>
    </row>
    <row r="2631" customFormat="false" ht="15" hidden="false" customHeight="false" outlineLevel="0" collapsed="false">
      <c r="A2631" s="10" t="s">
        <v>4972</v>
      </c>
      <c r="B2631" s="10" t="s">
        <v>62</v>
      </c>
      <c r="C2631" s="10" t="s">
        <v>50</v>
      </c>
      <c r="D2631" s="10" t="s">
        <v>293</v>
      </c>
      <c r="E2631" s="10" t="s">
        <v>2342</v>
      </c>
      <c r="F2631" s="30" t="n">
        <v>42804</v>
      </c>
      <c r="G2631" s="30" t="n">
        <v>42914</v>
      </c>
      <c r="H2631" s="26" t="n">
        <f aca="false">G2631-F2631</f>
        <v>110</v>
      </c>
      <c r="I2631" s="10" t="n">
        <f aca="false">IF(E2631="Won",1,0)</f>
        <v>1</v>
      </c>
    </row>
    <row r="2632" customFormat="false" ht="15" hidden="false" customHeight="false" outlineLevel="0" collapsed="false">
      <c r="A2632" s="10" t="s">
        <v>4973</v>
      </c>
      <c r="B2632" s="10" t="s">
        <v>75</v>
      </c>
      <c r="C2632" s="10" t="s">
        <v>47</v>
      </c>
      <c r="D2632" s="10" t="s">
        <v>414</v>
      </c>
      <c r="E2632" s="10" t="s">
        <v>2345</v>
      </c>
      <c r="F2632" s="30" t="n">
        <v>42905</v>
      </c>
      <c r="G2632" s="30" t="n">
        <v>42914</v>
      </c>
      <c r="H2632" s="26" t="n">
        <f aca="false">G2632-F2632</f>
        <v>9</v>
      </c>
      <c r="I2632" s="10" t="n">
        <f aca="false">IF(E2632="Won",1,0)</f>
        <v>0</v>
      </c>
    </row>
    <row r="2633" customFormat="false" ht="15" hidden="false" customHeight="false" outlineLevel="0" collapsed="false">
      <c r="A2633" s="10" t="s">
        <v>4974</v>
      </c>
      <c r="B2633" s="10" t="s">
        <v>67</v>
      </c>
      <c r="C2633" s="10" t="s">
        <v>49</v>
      </c>
      <c r="D2633" s="10" t="s">
        <v>348</v>
      </c>
      <c r="E2633" s="10" t="s">
        <v>2342</v>
      </c>
      <c r="F2633" s="30" t="n">
        <v>42799</v>
      </c>
      <c r="G2633" s="30" t="n">
        <v>42914</v>
      </c>
      <c r="H2633" s="26" t="n">
        <f aca="false">G2633-F2633</f>
        <v>115</v>
      </c>
      <c r="I2633" s="10" t="n">
        <f aca="false">IF(E2633="Won",1,0)</f>
        <v>1</v>
      </c>
    </row>
    <row r="2634" customFormat="false" ht="15" hidden="false" customHeight="false" outlineLevel="0" collapsed="false">
      <c r="A2634" s="10" t="s">
        <v>4975</v>
      </c>
      <c r="B2634" s="10" t="s">
        <v>66</v>
      </c>
      <c r="C2634" s="10" t="s">
        <v>46</v>
      </c>
      <c r="D2634" s="10" t="s">
        <v>175</v>
      </c>
      <c r="E2634" s="10" t="s">
        <v>2342</v>
      </c>
      <c r="F2634" s="30" t="n">
        <v>42845</v>
      </c>
      <c r="G2634" s="30" t="n">
        <v>42914</v>
      </c>
      <c r="H2634" s="26" t="n">
        <f aca="false">G2634-F2634</f>
        <v>69</v>
      </c>
      <c r="I2634" s="10" t="n">
        <f aca="false">IF(E2634="Won",1,0)</f>
        <v>1</v>
      </c>
    </row>
    <row r="2635" customFormat="false" ht="15" hidden="false" customHeight="false" outlineLevel="0" collapsed="false">
      <c r="A2635" s="10" t="s">
        <v>4976</v>
      </c>
      <c r="B2635" s="10" t="s">
        <v>87</v>
      </c>
      <c r="C2635" s="10" t="s">
        <v>48</v>
      </c>
      <c r="D2635" s="10" t="s">
        <v>286</v>
      </c>
      <c r="E2635" s="10" t="s">
        <v>2342</v>
      </c>
      <c r="F2635" s="30" t="n">
        <v>42804</v>
      </c>
      <c r="G2635" s="30" t="n">
        <v>42914</v>
      </c>
      <c r="H2635" s="26" t="n">
        <f aca="false">G2635-F2635</f>
        <v>110</v>
      </c>
      <c r="I2635" s="10" t="n">
        <f aca="false">IF(E2635="Won",1,0)</f>
        <v>1</v>
      </c>
    </row>
    <row r="2636" customFormat="false" ht="15" hidden="false" customHeight="false" outlineLevel="0" collapsed="false">
      <c r="A2636" s="10" t="s">
        <v>4977</v>
      </c>
      <c r="B2636" s="10" t="s">
        <v>81</v>
      </c>
      <c r="C2636" s="10" t="s">
        <v>49</v>
      </c>
      <c r="D2636" s="10" t="s">
        <v>1251</v>
      </c>
      <c r="E2636" s="10" t="s">
        <v>2342</v>
      </c>
      <c r="F2636" s="30" t="n">
        <v>42793</v>
      </c>
      <c r="G2636" s="30" t="n">
        <v>42914</v>
      </c>
      <c r="H2636" s="26" t="n">
        <f aca="false">G2636-F2636</f>
        <v>121</v>
      </c>
      <c r="I2636" s="10" t="n">
        <f aca="false">IF(E2636="Won",1,0)</f>
        <v>1</v>
      </c>
    </row>
    <row r="2637" customFormat="false" ht="15" hidden="false" customHeight="false" outlineLevel="0" collapsed="false">
      <c r="A2637" s="10" t="s">
        <v>4978</v>
      </c>
      <c r="B2637" s="10" t="s">
        <v>79</v>
      </c>
      <c r="C2637" s="10" t="s">
        <v>49</v>
      </c>
      <c r="D2637" s="10" t="s">
        <v>527</v>
      </c>
      <c r="E2637" s="10" t="s">
        <v>2345</v>
      </c>
      <c r="F2637" s="30" t="n">
        <v>42809</v>
      </c>
      <c r="G2637" s="30" t="n">
        <v>42914</v>
      </c>
      <c r="H2637" s="26" t="n">
        <f aca="false">G2637-F2637</f>
        <v>105</v>
      </c>
      <c r="I2637" s="10" t="n">
        <f aca="false">IF(E2637="Won",1,0)</f>
        <v>0</v>
      </c>
    </row>
    <row r="2638" customFormat="false" ht="15" hidden="false" customHeight="false" outlineLevel="0" collapsed="false">
      <c r="A2638" s="10" t="s">
        <v>4979</v>
      </c>
      <c r="B2638" s="10" t="s">
        <v>79</v>
      </c>
      <c r="C2638" s="10" t="s">
        <v>49</v>
      </c>
      <c r="D2638" s="10" t="s">
        <v>267</v>
      </c>
      <c r="E2638" s="10" t="s">
        <v>2342</v>
      </c>
      <c r="F2638" s="30" t="n">
        <v>42912</v>
      </c>
      <c r="G2638" s="30" t="n">
        <v>42914</v>
      </c>
      <c r="H2638" s="26" t="n">
        <f aca="false">G2638-F2638</f>
        <v>2</v>
      </c>
      <c r="I2638" s="10" t="n">
        <f aca="false">IF(E2638="Won",1,0)</f>
        <v>1</v>
      </c>
    </row>
    <row r="2639" customFormat="false" ht="15" hidden="false" customHeight="false" outlineLevel="0" collapsed="false">
      <c r="A2639" s="10" t="s">
        <v>4980</v>
      </c>
      <c r="B2639" s="10" t="s">
        <v>71</v>
      </c>
      <c r="C2639" s="10" t="s">
        <v>50</v>
      </c>
      <c r="D2639" s="10" t="s">
        <v>1948</v>
      </c>
      <c r="E2639" s="10" t="s">
        <v>2342</v>
      </c>
      <c r="F2639" s="30" t="n">
        <v>42868</v>
      </c>
      <c r="G2639" s="30" t="n">
        <v>42914</v>
      </c>
      <c r="H2639" s="26" t="n">
        <f aca="false">G2639-F2639</f>
        <v>46</v>
      </c>
      <c r="I2639" s="10" t="n">
        <f aca="false">IF(E2639="Won",1,0)</f>
        <v>1</v>
      </c>
    </row>
    <row r="2640" customFormat="false" ht="15" hidden="false" customHeight="false" outlineLevel="0" collapsed="false">
      <c r="A2640" s="10" t="s">
        <v>4981</v>
      </c>
      <c r="B2640" s="10" t="s">
        <v>80</v>
      </c>
      <c r="C2640" s="10" t="s">
        <v>51</v>
      </c>
      <c r="D2640" s="10" t="s">
        <v>527</v>
      </c>
      <c r="E2640" s="10" t="s">
        <v>2342</v>
      </c>
      <c r="F2640" s="30" t="n">
        <v>42901</v>
      </c>
      <c r="G2640" s="30" t="n">
        <v>42914</v>
      </c>
      <c r="H2640" s="26" t="n">
        <f aca="false">G2640-F2640</f>
        <v>13</v>
      </c>
      <c r="I2640" s="10" t="n">
        <f aca="false">IF(E2640="Won",1,0)</f>
        <v>1</v>
      </c>
    </row>
    <row r="2641" customFormat="false" ht="15" hidden="false" customHeight="false" outlineLevel="0" collapsed="false">
      <c r="A2641" s="10" t="s">
        <v>4982</v>
      </c>
      <c r="B2641" s="10" t="s">
        <v>87</v>
      </c>
      <c r="C2641" s="10" t="s">
        <v>48</v>
      </c>
      <c r="D2641" s="10" t="s">
        <v>674</v>
      </c>
      <c r="E2641" s="10" t="s">
        <v>2342</v>
      </c>
      <c r="F2641" s="30" t="n">
        <v>42835</v>
      </c>
      <c r="G2641" s="30" t="n">
        <v>42914</v>
      </c>
      <c r="H2641" s="26" t="n">
        <f aca="false">G2641-F2641</f>
        <v>79</v>
      </c>
      <c r="I2641" s="10" t="n">
        <f aca="false">IF(E2641="Won",1,0)</f>
        <v>1</v>
      </c>
    </row>
    <row r="2642" customFormat="false" ht="15" hidden="false" customHeight="false" outlineLevel="0" collapsed="false">
      <c r="A2642" s="10" t="s">
        <v>4983</v>
      </c>
      <c r="B2642" s="10" t="s">
        <v>66</v>
      </c>
      <c r="C2642" s="10" t="s">
        <v>47</v>
      </c>
      <c r="D2642" s="10" t="s">
        <v>396</v>
      </c>
      <c r="E2642" s="10" t="s">
        <v>2342</v>
      </c>
      <c r="F2642" s="30" t="n">
        <v>42904</v>
      </c>
      <c r="G2642" s="30" t="n">
        <v>42914</v>
      </c>
      <c r="H2642" s="26" t="n">
        <f aca="false">G2642-F2642</f>
        <v>10</v>
      </c>
      <c r="I2642" s="10" t="n">
        <f aca="false">IF(E2642="Won",1,0)</f>
        <v>1</v>
      </c>
    </row>
    <row r="2643" customFormat="false" ht="15" hidden="false" customHeight="false" outlineLevel="0" collapsed="false">
      <c r="A2643" s="10" t="s">
        <v>4984</v>
      </c>
      <c r="B2643" s="10" t="s">
        <v>86</v>
      </c>
      <c r="C2643" s="10" t="s">
        <v>49</v>
      </c>
      <c r="D2643" s="10" t="s">
        <v>427</v>
      </c>
      <c r="E2643" s="10" t="s">
        <v>2342</v>
      </c>
      <c r="F2643" s="30" t="n">
        <v>42896</v>
      </c>
      <c r="G2643" s="30" t="n">
        <v>42914</v>
      </c>
      <c r="H2643" s="26" t="n">
        <f aca="false">G2643-F2643</f>
        <v>18</v>
      </c>
      <c r="I2643" s="10" t="n">
        <f aca="false">IF(E2643="Won",1,0)</f>
        <v>1</v>
      </c>
    </row>
    <row r="2644" customFormat="false" ht="15" hidden="false" customHeight="false" outlineLevel="0" collapsed="false">
      <c r="A2644" s="10" t="s">
        <v>4985</v>
      </c>
      <c r="B2644" s="10" t="s">
        <v>75</v>
      </c>
      <c r="C2644" s="10" t="s">
        <v>49</v>
      </c>
      <c r="D2644" s="10" t="s">
        <v>961</v>
      </c>
      <c r="E2644" s="10" t="s">
        <v>2342</v>
      </c>
      <c r="F2644" s="30" t="n">
        <v>42793</v>
      </c>
      <c r="G2644" s="30" t="n">
        <v>42914</v>
      </c>
      <c r="H2644" s="26" t="n">
        <f aca="false">G2644-F2644</f>
        <v>121</v>
      </c>
      <c r="I2644" s="10" t="n">
        <f aca="false">IF(E2644="Won",1,0)</f>
        <v>1</v>
      </c>
    </row>
    <row r="2645" customFormat="false" ht="15" hidden="false" customHeight="false" outlineLevel="0" collapsed="false">
      <c r="A2645" s="10" t="s">
        <v>4986</v>
      </c>
      <c r="B2645" s="10" t="s">
        <v>73</v>
      </c>
      <c r="C2645" s="10" t="s">
        <v>49</v>
      </c>
      <c r="D2645" s="10" t="s">
        <v>414</v>
      </c>
      <c r="E2645" s="10" t="s">
        <v>2345</v>
      </c>
      <c r="F2645" s="30" t="n">
        <v>42841</v>
      </c>
      <c r="G2645" s="30" t="n">
        <v>42914</v>
      </c>
      <c r="H2645" s="26" t="n">
        <f aca="false">G2645-F2645</f>
        <v>73</v>
      </c>
      <c r="I2645" s="10" t="n">
        <f aca="false">IF(E2645="Won",1,0)</f>
        <v>0</v>
      </c>
    </row>
    <row r="2646" customFormat="false" ht="15" hidden="false" customHeight="false" outlineLevel="0" collapsed="false">
      <c r="A2646" s="10" t="s">
        <v>4987</v>
      </c>
      <c r="B2646" s="10" t="s">
        <v>70</v>
      </c>
      <c r="C2646" s="10" t="s">
        <v>52</v>
      </c>
      <c r="D2646" s="10" t="s">
        <v>326</v>
      </c>
      <c r="E2646" s="10" t="s">
        <v>2342</v>
      </c>
      <c r="F2646" s="30" t="n">
        <v>42825</v>
      </c>
      <c r="G2646" s="30" t="n">
        <v>42914</v>
      </c>
      <c r="H2646" s="26" t="n">
        <f aca="false">G2646-F2646</f>
        <v>89</v>
      </c>
      <c r="I2646" s="10" t="n">
        <f aca="false">IF(E2646="Won",1,0)</f>
        <v>1</v>
      </c>
    </row>
    <row r="2647" customFormat="false" ht="15" hidden="false" customHeight="false" outlineLevel="0" collapsed="false">
      <c r="A2647" s="10" t="s">
        <v>4988</v>
      </c>
      <c r="B2647" s="10" t="s">
        <v>70</v>
      </c>
      <c r="C2647" s="10" t="s">
        <v>52</v>
      </c>
      <c r="D2647" s="10" t="s">
        <v>483</v>
      </c>
      <c r="E2647" s="10" t="s">
        <v>2342</v>
      </c>
      <c r="F2647" s="30" t="n">
        <v>42901</v>
      </c>
      <c r="G2647" s="30" t="n">
        <v>42914</v>
      </c>
      <c r="H2647" s="26" t="n">
        <f aca="false">G2647-F2647</f>
        <v>13</v>
      </c>
      <c r="I2647" s="10" t="n">
        <f aca="false">IF(E2647="Won",1,0)</f>
        <v>1</v>
      </c>
    </row>
    <row r="2648" customFormat="false" ht="15" hidden="false" customHeight="false" outlineLevel="0" collapsed="false">
      <c r="A2648" s="10" t="s">
        <v>4989</v>
      </c>
      <c r="B2648" s="10" t="s">
        <v>57</v>
      </c>
      <c r="C2648" s="10" t="s">
        <v>48</v>
      </c>
      <c r="D2648" s="10" t="s">
        <v>293</v>
      </c>
      <c r="E2648" s="10" t="s">
        <v>2342</v>
      </c>
      <c r="F2648" s="30" t="n">
        <v>42788</v>
      </c>
      <c r="G2648" s="30" t="n">
        <v>42914</v>
      </c>
      <c r="H2648" s="26" t="n">
        <f aca="false">G2648-F2648</f>
        <v>126</v>
      </c>
      <c r="I2648" s="10" t="n">
        <f aca="false">IF(E2648="Won",1,0)</f>
        <v>1</v>
      </c>
    </row>
    <row r="2649" customFormat="false" ht="15" hidden="false" customHeight="false" outlineLevel="0" collapsed="false">
      <c r="A2649" s="10" t="s">
        <v>4990</v>
      </c>
      <c r="B2649" s="10" t="s">
        <v>67</v>
      </c>
      <c r="C2649" s="10" t="s">
        <v>49</v>
      </c>
      <c r="D2649" s="10" t="s">
        <v>711</v>
      </c>
      <c r="E2649" s="10" t="s">
        <v>2342</v>
      </c>
      <c r="F2649" s="30" t="n">
        <v>42900</v>
      </c>
      <c r="G2649" s="30" t="n">
        <v>42914</v>
      </c>
      <c r="H2649" s="26" t="n">
        <f aca="false">G2649-F2649</f>
        <v>14</v>
      </c>
      <c r="I2649" s="10" t="n">
        <f aca="false">IF(E2649="Won",1,0)</f>
        <v>1</v>
      </c>
    </row>
    <row r="2650" customFormat="false" ht="15" hidden="false" customHeight="false" outlineLevel="0" collapsed="false">
      <c r="A2650" s="10" t="s">
        <v>4991</v>
      </c>
      <c r="B2650" s="10" t="s">
        <v>97</v>
      </c>
      <c r="C2650" s="10" t="s">
        <v>51</v>
      </c>
      <c r="D2650" s="10" t="s">
        <v>175</v>
      </c>
      <c r="E2650" s="10" t="s">
        <v>2342</v>
      </c>
      <c r="F2650" s="30" t="n">
        <v>42829</v>
      </c>
      <c r="G2650" s="30" t="n">
        <v>42915</v>
      </c>
      <c r="H2650" s="26" t="n">
        <f aca="false">G2650-F2650</f>
        <v>86</v>
      </c>
      <c r="I2650" s="10" t="n">
        <f aca="false">IF(E2650="Won",1,0)</f>
        <v>1</v>
      </c>
    </row>
    <row r="2651" customFormat="false" ht="15" hidden="false" customHeight="false" outlineLevel="0" collapsed="false">
      <c r="A2651" s="10" t="s">
        <v>4992</v>
      </c>
      <c r="B2651" s="10" t="s">
        <v>61</v>
      </c>
      <c r="C2651" s="10" t="s">
        <v>49</v>
      </c>
      <c r="D2651" s="10" t="s">
        <v>350</v>
      </c>
      <c r="E2651" s="10" t="s">
        <v>2342</v>
      </c>
      <c r="F2651" s="30" t="n">
        <v>42901</v>
      </c>
      <c r="G2651" s="30" t="n">
        <v>42915</v>
      </c>
      <c r="H2651" s="26" t="n">
        <f aca="false">G2651-F2651</f>
        <v>14</v>
      </c>
      <c r="I2651" s="10" t="n">
        <f aca="false">IF(E2651="Won",1,0)</f>
        <v>1</v>
      </c>
    </row>
    <row r="2652" customFormat="false" ht="15" hidden="false" customHeight="false" outlineLevel="0" collapsed="false">
      <c r="A2652" s="10" t="s">
        <v>4993</v>
      </c>
      <c r="B2652" s="10" t="s">
        <v>87</v>
      </c>
      <c r="C2652" s="10" t="s">
        <v>47</v>
      </c>
      <c r="D2652" s="10" t="s">
        <v>293</v>
      </c>
      <c r="E2652" s="10" t="s">
        <v>2342</v>
      </c>
      <c r="F2652" s="30" t="n">
        <v>42810</v>
      </c>
      <c r="G2652" s="30" t="n">
        <v>42915</v>
      </c>
      <c r="H2652" s="26" t="n">
        <f aca="false">G2652-F2652</f>
        <v>105</v>
      </c>
      <c r="I2652" s="10" t="n">
        <f aca="false">IF(E2652="Won",1,0)</f>
        <v>1</v>
      </c>
    </row>
    <row r="2653" customFormat="false" ht="15" hidden="false" customHeight="false" outlineLevel="0" collapsed="false">
      <c r="A2653" s="10" t="s">
        <v>4994</v>
      </c>
      <c r="B2653" s="10" t="s">
        <v>94</v>
      </c>
      <c r="C2653" s="10" t="s">
        <v>51</v>
      </c>
      <c r="D2653" s="10" t="s">
        <v>170</v>
      </c>
      <c r="E2653" s="10" t="s">
        <v>2342</v>
      </c>
      <c r="F2653" s="30" t="n">
        <v>42846</v>
      </c>
      <c r="G2653" s="30" t="n">
        <v>42915</v>
      </c>
      <c r="H2653" s="26" t="n">
        <f aca="false">G2653-F2653</f>
        <v>69</v>
      </c>
      <c r="I2653" s="10" t="n">
        <f aca="false">IF(E2653="Won",1,0)</f>
        <v>1</v>
      </c>
    </row>
    <row r="2654" customFormat="false" ht="15" hidden="false" customHeight="false" outlineLevel="0" collapsed="false">
      <c r="A2654" s="10" t="s">
        <v>4995</v>
      </c>
      <c r="B2654" s="10" t="s">
        <v>62</v>
      </c>
      <c r="C2654" s="10" t="s">
        <v>51</v>
      </c>
      <c r="D2654" s="10" t="s">
        <v>215</v>
      </c>
      <c r="E2654" s="10" t="s">
        <v>2342</v>
      </c>
      <c r="F2654" s="30" t="n">
        <v>42814</v>
      </c>
      <c r="G2654" s="30" t="n">
        <v>42915</v>
      </c>
      <c r="H2654" s="26" t="n">
        <f aca="false">G2654-F2654</f>
        <v>101</v>
      </c>
      <c r="I2654" s="10" t="n">
        <f aca="false">IF(E2654="Won",1,0)</f>
        <v>1</v>
      </c>
    </row>
    <row r="2655" customFormat="false" ht="15" hidden="false" customHeight="false" outlineLevel="0" collapsed="false">
      <c r="A2655" s="10" t="s">
        <v>4996</v>
      </c>
      <c r="B2655" s="10" t="s">
        <v>95</v>
      </c>
      <c r="C2655" s="10" t="s">
        <v>51</v>
      </c>
      <c r="D2655" s="10" t="s">
        <v>233</v>
      </c>
      <c r="E2655" s="10" t="s">
        <v>2342</v>
      </c>
      <c r="F2655" s="30" t="n">
        <v>42800</v>
      </c>
      <c r="G2655" s="30" t="n">
        <v>42915</v>
      </c>
      <c r="H2655" s="26" t="n">
        <f aca="false">G2655-F2655</f>
        <v>115</v>
      </c>
      <c r="I2655" s="10" t="n">
        <f aca="false">IF(E2655="Won",1,0)</f>
        <v>1</v>
      </c>
    </row>
    <row r="2656" customFormat="false" ht="15" hidden="false" customHeight="false" outlineLevel="0" collapsed="false">
      <c r="A2656" s="10" t="s">
        <v>4997</v>
      </c>
      <c r="B2656" s="10" t="s">
        <v>95</v>
      </c>
      <c r="C2656" s="10" t="s">
        <v>48</v>
      </c>
      <c r="D2656" s="10" t="s">
        <v>227</v>
      </c>
      <c r="E2656" s="10" t="s">
        <v>2342</v>
      </c>
      <c r="F2656" s="30" t="n">
        <v>42898</v>
      </c>
      <c r="G2656" s="30" t="n">
        <v>42915</v>
      </c>
      <c r="H2656" s="26" t="n">
        <f aca="false">G2656-F2656</f>
        <v>17</v>
      </c>
      <c r="I2656" s="10" t="n">
        <f aca="false">IF(E2656="Won",1,0)</f>
        <v>1</v>
      </c>
    </row>
    <row r="2657" customFormat="false" ht="15" hidden="false" customHeight="false" outlineLevel="0" collapsed="false">
      <c r="A2657" s="10" t="s">
        <v>4998</v>
      </c>
      <c r="B2657" s="10" t="s">
        <v>70</v>
      </c>
      <c r="C2657" s="10" t="s">
        <v>52</v>
      </c>
      <c r="D2657" s="10" t="s">
        <v>497</v>
      </c>
      <c r="E2657" s="10" t="s">
        <v>2342</v>
      </c>
      <c r="F2657" s="30" t="n">
        <v>42816</v>
      </c>
      <c r="G2657" s="30" t="n">
        <v>42915</v>
      </c>
      <c r="H2657" s="26" t="n">
        <f aca="false">G2657-F2657</f>
        <v>99</v>
      </c>
      <c r="I2657" s="10" t="n">
        <f aca="false">IF(E2657="Won",1,0)</f>
        <v>1</v>
      </c>
    </row>
    <row r="2658" customFormat="false" ht="15" hidden="false" customHeight="false" outlineLevel="0" collapsed="false">
      <c r="A2658" s="10" t="s">
        <v>4999</v>
      </c>
      <c r="B2658" s="10" t="s">
        <v>93</v>
      </c>
      <c r="C2658" s="10" t="s">
        <v>51</v>
      </c>
      <c r="D2658" s="10" t="s">
        <v>424</v>
      </c>
      <c r="E2658" s="10" t="s">
        <v>2342</v>
      </c>
      <c r="F2658" s="30" t="n">
        <v>42794</v>
      </c>
      <c r="G2658" s="30" t="n">
        <v>42915</v>
      </c>
      <c r="H2658" s="26" t="n">
        <f aca="false">G2658-F2658</f>
        <v>121</v>
      </c>
      <c r="I2658" s="10" t="n">
        <f aca="false">IF(E2658="Won",1,0)</f>
        <v>1</v>
      </c>
    </row>
    <row r="2659" customFormat="false" ht="15" hidden="false" customHeight="false" outlineLevel="0" collapsed="false">
      <c r="A2659" s="10" t="s">
        <v>5000</v>
      </c>
      <c r="B2659" s="10" t="s">
        <v>74</v>
      </c>
      <c r="C2659" s="10" t="s">
        <v>49</v>
      </c>
      <c r="D2659" s="10" t="s">
        <v>1251</v>
      </c>
      <c r="E2659" s="10" t="s">
        <v>2345</v>
      </c>
      <c r="F2659" s="30" t="n">
        <v>42901</v>
      </c>
      <c r="G2659" s="30" t="n">
        <v>42915</v>
      </c>
      <c r="H2659" s="26" t="n">
        <f aca="false">G2659-F2659</f>
        <v>14</v>
      </c>
      <c r="I2659" s="10" t="n">
        <f aca="false">IF(E2659="Won",1,0)</f>
        <v>0</v>
      </c>
    </row>
    <row r="2660" customFormat="false" ht="15" hidden="false" customHeight="false" outlineLevel="0" collapsed="false">
      <c r="A2660" s="10" t="s">
        <v>5001</v>
      </c>
      <c r="B2660" s="10" t="s">
        <v>79</v>
      </c>
      <c r="C2660" s="10" t="s">
        <v>48</v>
      </c>
      <c r="D2660" s="10" t="s">
        <v>483</v>
      </c>
      <c r="E2660" s="10" t="s">
        <v>2342</v>
      </c>
      <c r="F2660" s="30" t="n">
        <v>42861</v>
      </c>
      <c r="G2660" s="30" t="n">
        <v>42915</v>
      </c>
      <c r="H2660" s="26" t="n">
        <f aca="false">G2660-F2660</f>
        <v>54</v>
      </c>
      <c r="I2660" s="10" t="n">
        <f aca="false">IF(E2660="Won",1,0)</f>
        <v>1</v>
      </c>
    </row>
    <row r="2661" customFormat="false" ht="15" hidden="false" customHeight="false" outlineLevel="0" collapsed="false">
      <c r="A2661" s="10" t="s">
        <v>5002</v>
      </c>
      <c r="B2661" s="10" t="s">
        <v>97</v>
      </c>
      <c r="C2661" s="10" t="s">
        <v>48</v>
      </c>
      <c r="D2661" s="10" t="s">
        <v>424</v>
      </c>
      <c r="E2661" s="10" t="s">
        <v>2342</v>
      </c>
      <c r="F2661" s="30" t="n">
        <v>42826</v>
      </c>
      <c r="G2661" s="30" t="n">
        <v>42915</v>
      </c>
      <c r="H2661" s="26" t="n">
        <f aca="false">G2661-F2661</f>
        <v>89</v>
      </c>
      <c r="I2661" s="10" t="n">
        <f aca="false">IF(E2661="Won",1,0)</f>
        <v>1</v>
      </c>
    </row>
    <row r="2662" customFormat="false" ht="15" hidden="false" customHeight="false" outlineLevel="0" collapsed="false">
      <c r="A2662" s="10" t="s">
        <v>5003</v>
      </c>
      <c r="B2662" s="10" t="s">
        <v>77</v>
      </c>
      <c r="C2662" s="10" t="s">
        <v>48</v>
      </c>
      <c r="D2662" s="10" t="s">
        <v>762</v>
      </c>
      <c r="E2662" s="10" t="s">
        <v>2342</v>
      </c>
      <c r="F2662" s="30" t="n">
        <v>42866</v>
      </c>
      <c r="G2662" s="30" t="n">
        <v>42915</v>
      </c>
      <c r="H2662" s="26" t="n">
        <f aca="false">G2662-F2662</f>
        <v>49</v>
      </c>
      <c r="I2662" s="10" t="n">
        <f aca="false">IF(E2662="Won",1,0)</f>
        <v>1</v>
      </c>
    </row>
    <row r="2663" customFormat="false" ht="15" hidden="false" customHeight="false" outlineLevel="0" collapsed="false">
      <c r="A2663" s="10" t="s">
        <v>5004</v>
      </c>
      <c r="B2663" s="10" t="s">
        <v>61</v>
      </c>
      <c r="C2663" s="10" t="s">
        <v>52</v>
      </c>
      <c r="D2663" s="10" t="s">
        <v>616</v>
      </c>
      <c r="E2663" s="10" t="s">
        <v>2342</v>
      </c>
      <c r="F2663" s="30" t="n">
        <v>42793</v>
      </c>
      <c r="G2663" s="30" t="n">
        <v>42916</v>
      </c>
      <c r="H2663" s="26" t="n">
        <f aca="false">G2663-F2663</f>
        <v>123</v>
      </c>
      <c r="I2663" s="10" t="n">
        <f aca="false">IF(E2663="Won",1,0)</f>
        <v>1</v>
      </c>
    </row>
    <row r="2664" customFormat="false" ht="15" hidden="false" customHeight="false" outlineLevel="0" collapsed="false">
      <c r="A2664" s="10" t="s">
        <v>5005</v>
      </c>
      <c r="B2664" s="10" t="s">
        <v>74</v>
      </c>
      <c r="C2664" s="10" t="s">
        <v>49</v>
      </c>
      <c r="D2664" s="10" t="s">
        <v>512</v>
      </c>
      <c r="E2664" s="10" t="s">
        <v>2342</v>
      </c>
      <c r="F2664" s="30" t="n">
        <v>42818</v>
      </c>
      <c r="G2664" s="30" t="n">
        <v>42916</v>
      </c>
      <c r="H2664" s="26" t="n">
        <f aca="false">G2664-F2664</f>
        <v>98</v>
      </c>
      <c r="I2664" s="10" t="n">
        <f aca="false">IF(E2664="Won",1,0)</f>
        <v>1</v>
      </c>
    </row>
    <row r="2665" customFormat="false" ht="15" hidden="false" customHeight="false" outlineLevel="0" collapsed="false">
      <c r="A2665" s="10" t="s">
        <v>5006</v>
      </c>
      <c r="B2665" s="10" t="s">
        <v>77</v>
      </c>
      <c r="C2665" s="10" t="s">
        <v>48</v>
      </c>
      <c r="D2665" s="10" t="s">
        <v>321</v>
      </c>
      <c r="E2665" s="10" t="s">
        <v>2342</v>
      </c>
      <c r="F2665" s="30" t="n">
        <v>42901</v>
      </c>
      <c r="G2665" s="30" t="n">
        <v>42916</v>
      </c>
      <c r="H2665" s="26" t="n">
        <f aca="false">G2665-F2665</f>
        <v>15</v>
      </c>
      <c r="I2665" s="10" t="n">
        <f aca="false">IF(E2665="Won",1,0)</f>
        <v>1</v>
      </c>
    </row>
    <row r="2666" customFormat="false" ht="15" hidden="false" customHeight="false" outlineLevel="0" collapsed="false">
      <c r="A2666" s="10" t="s">
        <v>5007</v>
      </c>
      <c r="B2666" s="10" t="s">
        <v>90</v>
      </c>
      <c r="C2666" s="10" t="s">
        <v>48</v>
      </c>
      <c r="D2666" s="10" t="s">
        <v>532</v>
      </c>
      <c r="E2666" s="10" t="s">
        <v>2342</v>
      </c>
      <c r="F2666" s="30" t="n">
        <v>42908</v>
      </c>
      <c r="G2666" s="30" t="n">
        <v>42916</v>
      </c>
      <c r="H2666" s="26" t="n">
        <f aca="false">G2666-F2666</f>
        <v>8</v>
      </c>
      <c r="I2666" s="10" t="n">
        <f aca="false">IF(E2666="Won",1,0)</f>
        <v>1</v>
      </c>
    </row>
    <row r="2667" customFormat="false" ht="15" hidden="false" customHeight="false" outlineLevel="0" collapsed="false">
      <c r="A2667" s="10" t="s">
        <v>5008</v>
      </c>
      <c r="B2667" s="10" t="s">
        <v>66</v>
      </c>
      <c r="C2667" s="10" t="s">
        <v>46</v>
      </c>
      <c r="D2667" s="10" t="s">
        <v>348</v>
      </c>
      <c r="E2667" s="10" t="s">
        <v>2342</v>
      </c>
      <c r="F2667" s="30" t="n">
        <v>42901</v>
      </c>
      <c r="G2667" s="30" t="n">
        <v>42916</v>
      </c>
      <c r="H2667" s="26" t="n">
        <f aca="false">G2667-F2667</f>
        <v>15</v>
      </c>
      <c r="I2667" s="10" t="n">
        <f aca="false">IF(E2667="Won",1,0)</f>
        <v>1</v>
      </c>
    </row>
    <row r="2668" customFormat="false" ht="15" hidden="false" customHeight="false" outlineLevel="0" collapsed="false">
      <c r="A2668" s="10" t="s">
        <v>5009</v>
      </c>
      <c r="B2668" s="10" t="s">
        <v>76</v>
      </c>
      <c r="C2668" s="10" t="s">
        <v>51</v>
      </c>
      <c r="D2668" s="10" t="s">
        <v>291</v>
      </c>
      <c r="E2668" s="10" t="s">
        <v>2342</v>
      </c>
      <c r="F2668" s="30" t="n">
        <v>42825</v>
      </c>
      <c r="G2668" s="30" t="n">
        <v>42916</v>
      </c>
      <c r="H2668" s="26" t="n">
        <f aca="false">G2668-F2668</f>
        <v>91</v>
      </c>
      <c r="I2668" s="10" t="n">
        <f aca="false">IF(E2668="Won",1,0)</f>
        <v>1</v>
      </c>
    </row>
    <row r="2669" customFormat="false" ht="15" hidden="false" customHeight="false" outlineLevel="0" collapsed="false">
      <c r="A2669" s="10" t="s">
        <v>5010</v>
      </c>
      <c r="B2669" s="10" t="s">
        <v>96</v>
      </c>
      <c r="C2669" s="10" t="s">
        <v>48</v>
      </c>
      <c r="D2669" s="10" t="s">
        <v>606</v>
      </c>
      <c r="E2669" s="10" t="s">
        <v>2342</v>
      </c>
      <c r="F2669" s="30" t="n">
        <v>42819</v>
      </c>
      <c r="G2669" s="30" t="n">
        <v>42916</v>
      </c>
      <c r="H2669" s="26" t="n">
        <f aca="false">G2669-F2669</f>
        <v>97</v>
      </c>
      <c r="I2669" s="10" t="n">
        <f aca="false">IF(E2669="Won",1,0)</f>
        <v>1</v>
      </c>
    </row>
    <row r="2670" customFormat="false" ht="15" hidden="false" customHeight="false" outlineLevel="0" collapsed="false">
      <c r="A2670" s="10" t="s">
        <v>5011</v>
      </c>
      <c r="B2670" s="10" t="s">
        <v>68</v>
      </c>
      <c r="C2670" s="10" t="s">
        <v>48</v>
      </c>
      <c r="D2670" s="10" t="s">
        <v>497</v>
      </c>
      <c r="E2670" s="10" t="s">
        <v>2345</v>
      </c>
      <c r="F2670" s="30" t="n">
        <v>42864</v>
      </c>
      <c r="G2670" s="30" t="n">
        <v>42916</v>
      </c>
      <c r="H2670" s="26" t="n">
        <f aca="false">G2670-F2670</f>
        <v>52</v>
      </c>
      <c r="I2670" s="10" t="n">
        <f aca="false">IF(E2670="Won",1,0)</f>
        <v>0</v>
      </c>
    </row>
    <row r="2671" customFormat="false" ht="15" hidden="false" customHeight="false" outlineLevel="0" collapsed="false">
      <c r="A2671" s="10" t="s">
        <v>5012</v>
      </c>
      <c r="B2671" s="10" t="s">
        <v>80</v>
      </c>
      <c r="C2671" s="10" t="s">
        <v>51</v>
      </c>
      <c r="D2671" s="10" t="s">
        <v>597</v>
      </c>
      <c r="E2671" s="10" t="s">
        <v>2342</v>
      </c>
      <c r="F2671" s="30" t="n">
        <v>42845</v>
      </c>
      <c r="G2671" s="30" t="n">
        <v>42916</v>
      </c>
      <c r="H2671" s="26" t="n">
        <f aca="false">G2671-F2671</f>
        <v>71</v>
      </c>
      <c r="I2671" s="10" t="n">
        <f aca="false">IF(E2671="Won",1,0)</f>
        <v>1</v>
      </c>
    </row>
    <row r="2672" customFormat="false" ht="15" hidden="false" customHeight="false" outlineLevel="0" collapsed="false">
      <c r="A2672" s="10" t="s">
        <v>5013</v>
      </c>
      <c r="B2672" s="10" t="s">
        <v>86</v>
      </c>
      <c r="C2672" s="10" t="s">
        <v>48</v>
      </c>
      <c r="D2672" s="10" t="s">
        <v>1334</v>
      </c>
      <c r="E2672" s="10" t="s">
        <v>2342</v>
      </c>
      <c r="F2672" s="30" t="n">
        <v>42795</v>
      </c>
      <c r="G2672" s="30" t="n">
        <v>42916</v>
      </c>
      <c r="H2672" s="26" t="n">
        <f aca="false">G2672-F2672</f>
        <v>121</v>
      </c>
      <c r="I2672" s="10" t="n">
        <f aca="false">IF(E2672="Won",1,0)</f>
        <v>1</v>
      </c>
    </row>
    <row r="2673" customFormat="false" ht="15" hidden="false" customHeight="false" outlineLevel="0" collapsed="false">
      <c r="A2673" s="10" t="s">
        <v>5014</v>
      </c>
      <c r="B2673" s="10" t="s">
        <v>86</v>
      </c>
      <c r="C2673" s="10" t="s">
        <v>48</v>
      </c>
      <c r="D2673" s="10" t="s">
        <v>532</v>
      </c>
      <c r="E2673" s="10" t="s">
        <v>2342</v>
      </c>
      <c r="F2673" s="30" t="n">
        <v>42830</v>
      </c>
      <c r="G2673" s="30" t="n">
        <v>42916</v>
      </c>
      <c r="H2673" s="26" t="n">
        <f aca="false">G2673-F2673</f>
        <v>86</v>
      </c>
      <c r="I2673" s="10" t="n">
        <f aca="false">IF(E2673="Won",1,0)</f>
        <v>1</v>
      </c>
    </row>
    <row r="2674" customFormat="false" ht="15" hidden="false" customHeight="false" outlineLevel="0" collapsed="false">
      <c r="A2674" s="10" t="s">
        <v>5015</v>
      </c>
      <c r="B2674" s="10" t="s">
        <v>86</v>
      </c>
      <c r="C2674" s="10" t="s">
        <v>49</v>
      </c>
      <c r="D2674" s="10" t="s">
        <v>215</v>
      </c>
      <c r="E2674" s="10" t="s">
        <v>2345</v>
      </c>
      <c r="F2674" s="30" t="n">
        <v>42905</v>
      </c>
      <c r="G2674" s="30" t="n">
        <v>42916</v>
      </c>
      <c r="H2674" s="26" t="n">
        <f aca="false">G2674-F2674</f>
        <v>11</v>
      </c>
      <c r="I2674" s="10" t="n">
        <f aca="false">IF(E2674="Won",1,0)</f>
        <v>0</v>
      </c>
    </row>
    <row r="2675" customFormat="false" ht="15" hidden="false" customHeight="false" outlineLevel="0" collapsed="false">
      <c r="A2675" s="10" t="s">
        <v>5016</v>
      </c>
      <c r="B2675" s="10" t="s">
        <v>71</v>
      </c>
      <c r="C2675" s="10" t="s">
        <v>50</v>
      </c>
      <c r="D2675" s="10" t="s">
        <v>483</v>
      </c>
      <c r="E2675" s="10" t="s">
        <v>2342</v>
      </c>
      <c r="F2675" s="30" t="n">
        <v>42851</v>
      </c>
      <c r="G2675" s="30" t="n">
        <v>42916</v>
      </c>
      <c r="H2675" s="26" t="n">
        <f aca="false">G2675-F2675</f>
        <v>65</v>
      </c>
      <c r="I2675" s="10" t="n">
        <f aca="false">IF(E2675="Won",1,0)</f>
        <v>1</v>
      </c>
    </row>
    <row r="2676" customFormat="false" ht="15" hidden="false" customHeight="false" outlineLevel="0" collapsed="false">
      <c r="A2676" s="10" t="s">
        <v>5017</v>
      </c>
      <c r="B2676" s="10" t="s">
        <v>62</v>
      </c>
      <c r="C2676" s="10" t="s">
        <v>49</v>
      </c>
      <c r="D2676" s="10" t="s">
        <v>453</v>
      </c>
      <c r="E2676" s="10" t="s">
        <v>2342</v>
      </c>
      <c r="F2676" s="30" t="n">
        <v>42909</v>
      </c>
      <c r="G2676" s="30" t="n">
        <v>42916</v>
      </c>
      <c r="H2676" s="26" t="n">
        <f aca="false">G2676-F2676</f>
        <v>7</v>
      </c>
      <c r="I2676" s="10" t="n">
        <f aca="false">IF(E2676="Won",1,0)</f>
        <v>1</v>
      </c>
    </row>
    <row r="2677" customFormat="false" ht="15" hidden="false" customHeight="false" outlineLevel="0" collapsed="false">
      <c r="A2677" s="10" t="s">
        <v>5018</v>
      </c>
      <c r="B2677" s="10" t="s">
        <v>81</v>
      </c>
      <c r="C2677" s="10" t="s">
        <v>50</v>
      </c>
      <c r="D2677" s="10" t="s">
        <v>321</v>
      </c>
      <c r="E2677" s="10" t="s">
        <v>2342</v>
      </c>
      <c r="F2677" s="30" t="n">
        <v>42791</v>
      </c>
      <c r="G2677" s="30" t="n">
        <v>42916</v>
      </c>
      <c r="H2677" s="26" t="n">
        <f aca="false">G2677-F2677</f>
        <v>125</v>
      </c>
      <c r="I2677" s="10" t="n">
        <f aca="false">IF(E2677="Won",1,0)</f>
        <v>1</v>
      </c>
    </row>
    <row r="2678" customFormat="false" ht="15" hidden="false" customHeight="false" outlineLevel="0" collapsed="false">
      <c r="A2678" s="10" t="s">
        <v>5019</v>
      </c>
      <c r="B2678" s="10" t="s">
        <v>70</v>
      </c>
      <c r="C2678" s="10" t="s">
        <v>49</v>
      </c>
      <c r="D2678" s="10" t="s">
        <v>172</v>
      </c>
      <c r="E2678" s="10" t="s">
        <v>2342</v>
      </c>
      <c r="F2678" s="30" t="n">
        <v>42911</v>
      </c>
      <c r="G2678" s="30" t="n">
        <v>42916</v>
      </c>
      <c r="H2678" s="26" t="n">
        <f aca="false">G2678-F2678</f>
        <v>5</v>
      </c>
      <c r="I2678" s="10" t="n">
        <f aca="false">IF(E2678="Won",1,0)</f>
        <v>1</v>
      </c>
    </row>
    <row r="2679" customFormat="false" ht="15" hidden="false" customHeight="false" outlineLevel="0" collapsed="false">
      <c r="A2679" s="10" t="s">
        <v>5020</v>
      </c>
      <c r="B2679" s="10" t="s">
        <v>96</v>
      </c>
      <c r="C2679" s="10" t="s">
        <v>50</v>
      </c>
      <c r="D2679" s="10" t="s">
        <v>348</v>
      </c>
      <c r="E2679" s="10" t="s">
        <v>2342</v>
      </c>
      <c r="F2679" s="30" t="n">
        <v>42818</v>
      </c>
      <c r="G2679" s="30" t="n">
        <v>42916</v>
      </c>
      <c r="H2679" s="26" t="n">
        <f aca="false">G2679-F2679</f>
        <v>98</v>
      </c>
      <c r="I2679" s="10" t="n">
        <f aca="false">IF(E2679="Won",1,0)</f>
        <v>1</v>
      </c>
    </row>
    <row r="2680" customFormat="false" ht="15" hidden="false" customHeight="false" outlineLevel="0" collapsed="false">
      <c r="A2680" s="10" t="s">
        <v>5021</v>
      </c>
      <c r="B2680" s="10" t="s">
        <v>81</v>
      </c>
      <c r="C2680" s="10" t="s">
        <v>50</v>
      </c>
      <c r="D2680" s="10" t="s">
        <v>193</v>
      </c>
      <c r="E2680" s="10" t="s">
        <v>2342</v>
      </c>
      <c r="F2680" s="30" t="n">
        <v>42818</v>
      </c>
      <c r="G2680" s="30" t="n">
        <v>42916</v>
      </c>
      <c r="H2680" s="26" t="n">
        <f aca="false">G2680-F2680</f>
        <v>98</v>
      </c>
      <c r="I2680" s="10" t="n">
        <f aca="false">IF(E2680="Won",1,0)</f>
        <v>1</v>
      </c>
    </row>
    <row r="2681" customFormat="false" ht="15" hidden="false" customHeight="false" outlineLevel="0" collapsed="false">
      <c r="A2681" s="10" t="s">
        <v>5022</v>
      </c>
      <c r="B2681" s="10" t="s">
        <v>57</v>
      </c>
      <c r="C2681" s="10" t="s">
        <v>47</v>
      </c>
      <c r="D2681" s="10" t="s">
        <v>247</v>
      </c>
      <c r="E2681" s="10" t="s">
        <v>2342</v>
      </c>
      <c r="F2681" s="30" t="n">
        <v>42909</v>
      </c>
      <c r="G2681" s="30" t="n">
        <v>42917</v>
      </c>
      <c r="H2681" s="26" t="n">
        <f aca="false">G2681-F2681</f>
        <v>8</v>
      </c>
      <c r="I2681" s="10" t="n">
        <f aca="false">IF(E2681="Won",1,0)</f>
        <v>1</v>
      </c>
    </row>
    <row r="2682" customFormat="false" ht="15" hidden="false" customHeight="false" outlineLevel="0" collapsed="false">
      <c r="A2682" s="10" t="s">
        <v>5023</v>
      </c>
      <c r="B2682" s="10" t="s">
        <v>77</v>
      </c>
      <c r="C2682" s="10" t="s">
        <v>48</v>
      </c>
      <c r="D2682" s="10" t="s">
        <v>660</v>
      </c>
      <c r="E2682" s="10" t="s">
        <v>2345</v>
      </c>
      <c r="F2682" s="30" t="n">
        <v>42907</v>
      </c>
      <c r="G2682" s="30" t="n">
        <v>42917</v>
      </c>
      <c r="H2682" s="26" t="n">
        <f aca="false">G2682-F2682</f>
        <v>10</v>
      </c>
      <c r="I2682" s="10" t="n">
        <f aca="false">IF(E2682="Won",1,0)</f>
        <v>0</v>
      </c>
    </row>
    <row r="2683" customFormat="false" ht="15" hidden="false" customHeight="false" outlineLevel="0" collapsed="false">
      <c r="A2683" s="10" t="s">
        <v>5024</v>
      </c>
      <c r="B2683" s="10" t="s">
        <v>57</v>
      </c>
      <c r="C2683" s="10" t="s">
        <v>48</v>
      </c>
      <c r="D2683" s="10" t="s">
        <v>405</v>
      </c>
      <c r="E2683" s="10" t="s">
        <v>2345</v>
      </c>
      <c r="F2683" s="30" t="n">
        <v>42909</v>
      </c>
      <c r="G2683" s="30" t="n">
        <v>42917</v>
      </c>
      <c r="H2683" s="26" t="n">
        <f aca="false">G2683-F2683</f>
        <v>8</v>
      </c>
      <c r="I2683" s="10" t="n">
        <f aca="false">IF(E2683="Won",1,0)</f>
        <v>0</v>
      </c>
    </row>
    <row r="2684" customFormat="false" ht="15" hidden="false" customHeight="false" outlineLevel="0" collapsed="false">
      <c r="A2684" s="10" t="s">
        <v>5025</v>
      </c>
      <c r="B2684" s="10" t="s">
        <v>76</v>
      </c>
      <c r="C2684" s="10" t="s">
        <v>49</v>
      </c>
      <c r="D2684" s="10" t="s">
        <v>536</v>
      </c>
      <c r="E2684" s="10" t="s">
        <v>2342</v>
      </c>
      <c r="F2684" s="30" t="n">
        <v>42908</v>
      </c>
      <c r="G2684" s="30" t="n">
        <v>42917</v>
      </c>
      <c r="H2684" s="26" t="n">
        <f aca="false">G2684-F2684</f>
        <v>9</v>
      </c>
      <c r="I2684" s="10" t="n">
        <f aca="false">IF(E2684="Won",1,0)</f>
        <v>1</v>
      </c>
    </row>
    <row r="2685" customFormat="false" ht="15" hidden="false" customHeight="false" outlineLevel="0" collapsed="false">
      <c r="A2685" s="10" t="s">
        <v>5026</v>
      </c>
      <c r="B2685" s="10" t="s">
        <v>77</v>
      </c>
      <c r="C2685" s="10" t="s">
        <v>48</v>
      </c>
      <c r="D2685" s="10" t="s">
        <v>697</v>
      </c>
      <c r="E2685" s="10" t="s">
        <v>2342</v>
      </c>
      <c r="F2685" s="30" t="n">
        <v>42907</v>
      </c>
      <c r="G2685" s="30" t="n">
        <v>42917</v>
      </c>
      <c r="H2685" s="26" t="n">
        <f aca="false">G2685-F2685</f>
        <v>10</v>
      </c>
      <c r="I2685" s="10" t="n">
        <f aca="false">IF(E2685="Won",1,0)</f>
        <v>1</v>
      </c>
    </row>
    <row r="2686" customFormat="false" ht="15" hidden="false" customHeight="false" outlineLevel="0" collapsed="false">
      <c r="A2686" s="10" t="s">
        <v>5027</v>
      </c>
      <c r="B2686" s="10" t="s">
        <v>61</v>
      </c>
      <c r="C2686" s="10" t="s">
        <v>52</v>
      </c>
      <c r="D2686" s="10" t="s">
        <v>286</v>
      </c>
      <c r="E2686" s="10" t="s">
        <v>2342</v>
      </c>
      <c r="F2686" s="30" t="n">
        <v>42909</v>
      </c>
      <c r="G2686" s="30" t="n">
        <v>42917</v>
      </c>
      <c r="H2686" s="26" t="n">
        <f aca="false">G2686-F2686</f>
        <v>8</v>
      </c>
      <c r="I2686" s="10" t="n">
        <f aca="false">IF(E2686="Won",1,0)</f>
        <v>1</v>
      </c>
    </row>
    <row r="2687" customFormat="false" ht="15" hidden="false" customHeight="false" outlineLevel="0" collapsed="false">
      <c r="A2687" s="10" t="s">
        <v>5028</v>
      </c>
      <c r="B2687" s="10" t="s">
        <v>90</v>
      </c>
      <c r="C2687" s="10" t="s">
        <v>51</v>
      </c>
      <c r="D2687" s="10" t="s">
        <v>464</v>
      </c>
      <c r="E2687" s="10" t="s">
        <v>2345</v>
      </c>
      <c r="F2687" s="30" t="n">
        <v>42909</v>
      </c>
      <c r="G2687" s="30" t="n">
        <v>42917</v>
      </c>
      <c r="H2687" s="26" t="n">
        <f aca="false">G2687-F2687</f>
        <v>8</v>
      </c>
      <c r="I2687" s="10" t="n">
        <f aca="false">IF(E2687="Won",1,0)</f>
        <v>0</v>
      </c>
    </row>
    <row r="2688" customFormat="false" ht="15" hidden="false" customHeight="false" outlineLevel="0" collapsed="false">
      <c r="A2688" s="10" t="s">
        <v>5029</v>
      </c>
      <c r="B2688" s="10" t="s">
        <v>70</v>
      </c>
      <c r="C2688" s="10" t="s">
        <v>52</v>
      </c>
      <c r="D2688" s="10" t="s">
        <v>506</v>
      </c>
      <c r="E2688" s="10" t="s">
        <v>2342</v>
      </c>
      <c r="F2688" s="30" t="n">
        <v>42906</v>
      </c>
      <c r="G2688" s="30" t="n">
        <v>42917</v>
      </c>
      <c r="H2688" s="26" t="n">
        <f aca="false">G2688-F2688</f>
        <v>11</v>
      </c>
      <c r="I2688" s="10" t="n">
        <f aca="false">IF(E2688="Won",1,0)</f>
        <v>1</v>
      </c>
    </row>
    <row r="2689" customFormat="false" ht="15" hidden="false" customHeight="false" outlineLevel="0" collapsed="false">
      <c r="A2689" s="10" t="s">
        <v>5030</v>
      </c>
      <c r="B2689" s="10" t="s">
        <v>76</v>
      </c>
      <c r="C2689" s="10" t="s">
        <v>52</v>
      </c>
      <c r="D2689" s="10" t="s">
        <v>512</v>
      </c>
      <c r="E2689" s="10" t="s">
        <v>2342</v>
      </c>
      <c r="F2689" s="30" t="n">
        <v>42916</v>
      </c>
      <c r="G2689" s="30" t="n">
        <v>42917</v>
      </c>
      <c r="H2689" s="26" t="n">
        <f aca="false">G2689-F2689</f>
        <v>1</v>
      </c>
      <c r="I2689" s="10" t="n">
        <f aca="false">IF(E2689="Won",1,0)</f>
        <v>1</v>
      </c>
    </row>
    <row r="2690" customFormat="false" ht="15" hidden="false" customHeight="false" outlineLevel="0" collapsed="false">
      <c r="A2690" s="10" t="s">
        <v>5031</v>
      </c>
      <c r="B2690" s="10" t="s">
        <v>96</v>
      </c>
      <c r="C2690" s="10" t="s">
        <v>52</v>
      </c>
      <c r="D2690" s="10" t="s">
        <v>522</v>
      </c>
      <c r="E2690" s="10" t="s">
        <v>2342</v>
      </c>
      <c r="F2690" s="30" t="n">
        <v>42906</v>
      </c>
      <c r="G2690" s="30" t="n">
        <v>42917</v>
      </c>
      <c r="H2690" s="26" t="n">
        <f aca="false">G2690-F2690</f>
        <v>11</v>
      </c>
      <c r="I2690" s="10" t="n">
        <f aca="false">IF(E2690="Won",1,0)</f>
        <v>1</v>
      </c>
    </row>
    <row r="2691" customFormat="false" ht="15" hidden="false" customHeight="false" outlineLevel="0" collapsed="false">
      <c r="A2691" s="10" t="s">
        <v>5032</v>
      </c>
      <c r="B2691" s="10" t="s">
        <v>83</v>
      </c>
      <c r="C2691" s="10" t="s">
        <v>48</v>
      </c>
      <c r="D2691" s="10" t="s">
        <v>512</v>
      </c>
      <c r="E2691" s="10" t="s">
        <v>2345</v>
      </c>
      <c r="F2691" s="30" t="n">
        <v>42916</v>
      </c>
      <c r="G2691" s="30" t="n">
        <v>42917</v>
      </c>
      <c r="H2691" s="26" t="n">
        <f aca="false">G2691-F2691</f>
        <v>1</v>
      </c>
      <c r="I2691" s="10" t="n">
        <f aca="false">IF(E2691="Won",1,0)</f>
        <v>0</v>
      </c>
    </row>
    <row r="2692" customFormat="false" ht="15" hidden="false" customHeight="false" outlineLevel="0" collapsed="false">
      <c r="A2692" s="10" t="s">
        <v>5033</v>
      </c>
      <c r="B2692" s="10" t="s">
        <v>68</v>
      </c>
      <c r="C2692" s="10" t="s">
        <v>52</v>
      </c>
      <c r="D2692" s="10" t="s">
        <v>986</v>
      </c>
      <c r="E2692" s="10" t="s">
        <v>2345</v>
      </c>
      <c r="F2692" s="30" t="n">
        <v>42916</v>
      </c>
      <c r="G2692" s="30" t="n">
        <v>42917</v>
      </c>
      <c r="H2692" s="26" t="n">
        <f aca="false">G2692-F2692</f>
        <v>1</v>
      </c>
      <c r="I2692" s="10" t="n">
        <f aca="false">IF(E2692="Won",1,0)</f>
        <v>0</v>
      </c>
    </row>
    <row r="2693" customFormat="false" ht="15" hidden="false" customHeight="false" outlineLevel="0" collapsed="false">
      <c r="A2693" s="10" t="s">
        <v>5034</v>
      </c>
      <c r="B2693" s="10" t="s">
        <v>86</v>
      </c>
      <c r="C2693" s="10" t="s">
        <v>51</v>
      </c>
      <c r="D2693" s="10" t="s">
        <v>233</v>
      </c>
      <c r="E2693" s="10" t="s">
        <v>2345</v>
      </c>
      <c r="F2693" s="30" t="n">
        <v>42914</v>
      </c>
      <c r="G2693" s="30" t="n">
        <v>42917</v>
      </c>
      <c r="H2693" s="26" t="n">
        <f aca="false">G2693-F2693</f>
        <v>3</v>
      </c>
      <c r="I2693" s="10" t="n">
        <f aca="false">IF(E2693="Won",1,0)</f>
        <v>0</v>
      </c>
    </row>
    <row r="2694" customFormat="false" ht="15" hidden="false" customHeight="false" outlineLevel="0" collapsed="false">
      <c r="A2694" s="10" t="s">
        <v>5035</v>
      </c>
      <c r="B2694" s="10" t="s">
        <v>90</v>
      </c>
      <c r="C2694" s="10" t="s">
        <v>48</v>
      </c>
      <c r="D2694" s="10" t="s">
        <v>455</v>
      </c>
      <c r="E2694" s="10" t="s">
        <v>2342</v>
      </c>
      <c r="F2694" s="30" t="n">
        <v>42913</v>
      </c>
      <c r="G2694" s="30" t="n">
        <v>42917</v>
      </c>
      <c r="H2694" s="26" t="n">
        <f aca="false">G2694-F2694</f>
        <v>4</v>
      </c>
      <c r="I2694" s="10" t="n">
        <f aca="false">IF(E2694="Won",1,0)</f>
        <v>1</v>
      </c>
    </row>
    <row r="2695" customFormat="false" ht="15" hidden="false" customHeight="false" outlineLevel="0" collapsed="false">
      <c r="A2695" s="10" t="s">
        <v>5036</v>
      </c>
      <c r="B2695" s="10" t="s">
        <v>83</v>
      </c>
      <c r="C2695" s="10" t="s">
        <v>47</v>
      </c>
      <c r="D2695" s="10" t="s">
        <v>1251</v>
      </c>
      <c r="E2695" s="10" t="s">
        <v>2342</v>
      </c>
      <c r="F2695" s="30" t="n">
        <v>42913</v>
      </c>
      <c r="G2695" s="30" t="n">
        <v>42917</v>
      </c>
      <c r="H2695" s="26" t="n">
        <f aca="false">G2695-F2695</f>
        <v>4</v>
      </c>
      <c r="I2695" s="10" t="n">
        <f aca="false">IF(E2695="Won",1,0)</f>
        <v>1</v>
      </c>
    </row>
    <row r="2696" customFormat="false" ht="15" hidden="false" customHeight="false" outlineLevel="0" collapsed="false">
      <c r="A2696" s="10" t="s">
        <v>5037</v>
      </c>
      <c r="B2696" s="10" t="s">
        <v>76</v>
      </c>
      <c r="C2696" s="10" t="s">
        <v>47</v>
      </c>
      <c r="D2696" s="10" t="s">
        <v>369</v>
      </c>
      <c r="E2696" s="10" t="s">
        <v>2342</v>
      </c>
      <c r="F2696" s="30" t="n">
        <v>42906</v>
      </c>
      <c r="G2696" s="30" t="n">
        <v>42917</v>
      </c>
      <c r="H2696" s="26" t="n">
        <f aca="false">G2696-F2696</f>
        <v>11</v>
      </c>
      <c r="I2696" s="10" t="n">
        <f aca="false">IF(E2696="Won",1,0)</f>
        <v>1</v>
      </c>
    </row>
    <row r="2697" customFormat="false" ht="15" hidden="false" customHeight="false" outlineLevel="0" collapsed="false">
      <c r="A2697" s="10" t="s">
        <v>5038</v>
      </c>
      <c r="B2697" s="10" t="s">
        <v>84</v>
      </c>
      <c r="C2697" s="10" t="s">
        <v>47</v>
      </c>
      <c r="D2697" s="10" t="s">
        <v>692</v>
      </c>
      <c r="E2697" s="10" t="s">
        <v>2345</v>
      </c>
      <c r="F2697" s="30" t="n">
        <v>42904</v>
      </c>
      <c r="G2697" s="30" t="n">
        <v>42917</v>
      </c>
      <c r="H2697" s="26" t="n">
        <f aca="false">G2697-F2697</f>
        <v>13</v>
      </c>
      <c r="I2697" s="10" t="n">
        <f aca="false">IF(E2697="Won",1,0)</f>
        <v>0</v>
      </c>
    </row>
    <row r="2698" customFormat="false" ht="15" hidden="false" customHeight="false" outlineLevel="0" collapsed="false">
      <c r="A2698" s="10" t="s">
        <v>5039</v>
      </c>
      <c r="B2698" s="10" t="s">
        <v>80</v>
      </c>
      <c r="C2698" s="10" t="s">
        <v>50</v>
      </c>
      <c r="D2698" s="10" t="s">
        <v>697</v>
      </c>
      <c r="E2698" s="10" t="s">
        <v>2342</v>
      </c>
      <c r="F2698" s="30" t="n">
        <v>42904</v>
      </c>
      <c r="G2698" s="30" t="n">
        <v>42917</v>
      </c>
      <c r="H2698" s="26" t="n">
        <f aca="false">G2698-F2698</f>
        <v>13</v>
      </c>
      <c r="I2698" s="10" t="n">
        <f aca="false">IF(E2698="Won",1,0)</f>
        <v>1</v>
      </c>
    </row>
    <row r="2699" customFormat="false" ht="15" hidden="false" customHeight="false" outlineLevel="0" collapsed="false">
      <c r="A2699" s="10" t="s">
        <v>5040</v>
      </c>
      <c r="B2699" s="10" t="s">
        <v>87</v>
      </c>
      <c r="C2699" s="10" t="s">
        <v>49</v>
      </c>
      <c r="D2699" s="10" t="s">
        <v>233</v>
      </c>
      <c r="E2699" s="10" t="s">
        <v>2345</v>
      </c>
      <c r="F2699" s="30" t="n">
        <v>42913</v>
      </c>
      <c r="G2699" s="30" t="n">
        <v>42917</v>
      </c>
      <c r="H2699" s="26" t="n">
        <f aca="false">G2699-F2699</f>
        <v>4</v>
      </c>
      <c r="I2699" s="10" t="n">
        <f aca="false">IF(E2699="Won",1,0)</f>
        <v>0</v>
      </c>
    </row>
    <row r="2700" customFormat="false" ht="15" hidden="false" customHeight="false" outlineLevel="0" collapsed="false">
      <c r="A2700" s="10" t="s">
        <v>5041</v>
      </c>
      <c r="B2700" s="10" t="s">
        <v>77</v>
      </c>
      <c r="C2700" s="10" t="s">
        <v>50</v>
      </c>
      <c r="D2700" s="10" t="s">
        <v>353</v>
      </c>
      <c r="E2700" s="10" t="s">
        <v>2345</v>
      </c>
      <c r="F2700" s="30" t="n">
        <v>42911</v>
      </c>
      <c r="G2700" s="30" t="n">
        <v>42917</v>
      </c>
      <c r="H2700" s="26" t="n">
        <f aca="false">G2700-F2700</f>
        <v>6</v>
      </c>
      <c r="I2700" s="10" t="n">
        <f aca="false">IF(E2700="Won",1,0)</f>
        <v>0</v>
      </c>
    </row>
    <row r="2701" customFormat="false" ht="15" hidden="false" customHeight="false" outlineLevel="0" collapsed="false">
      <c r="A2701" s="10" t="s">
        <v>5042</v>
      </c>
      <c r="B2701" s="10" t="s">
        <v>88</v>
      </c>
      <c r="C2701" s="10" t="s">
        <v>48</v>
      </c>
      <c r="D2701" s="10" t="s">
        <v>247</v>
      </c>
      <c r="E2701" s="10" t="s">
        <v>2342</v>
      </c>
      <c r="F2701" s="30" t="n">
        <v>42914</v>
      </c>
      <c r="G2701" s="30" t="n">
        <v>42918</v>
      </c>
      <c r="H2701" s="26" t="n">
        <f aca="false">G2701-F2701</f>
        <v>4</v>
      </c>
      <c r="I2701" s="10" t="n">
        <f aca="false">IF(E2701="Won",1,0)</f>
        <v>1</v>
      </c>
    </row>
    <row r="2702" customFormat="false" ht="15" hidden="false" customHeight="false" outlineLevel="0" collapsed="false">
      <c r="A2702" s="10" t="s">
        <v>5043</v>
      </c>
      <c r="B2702" s="10" t="s">
        <v>88</v>
      </c>
      <c r="C2702" s="10" t="s">
        <v>47</v>
      </c>
      <c r="D2702" s="10" t="s">
        <v>455</v>
      </c>
      <c r="E2702" s="10" t="s">
        <v>2345</v>
      </c>
      <c r="F2702" s="30" t="n">
        <v>42911</v>
      </c>
      <c r="G2702" s="30" t="n">
        <v>42918</v>
      </c>
      <c r="H2702" s="26" t="n">
        <f aca="false">G2702-F2702</f>
        <v>7</v>
      </c>
      <c r="I2702" s="10" t="n">
        <f aca="false">IF(E2702="Won",1,0)</f>
        <v>0</v>
      </c>
    </row>
    <row r="2703" customFormat="false" ht="15" hidden="false" customHeight="false" outlineLevel="0" collapsed="false">
      <c r="A2703" s="10" t="s">
        <v>5044</v>
      </c>
      <c r="B2703" s="10" t="s">
        <v>84</v>
      </c>
      <c r="C2703" s="10" t="s">
        <v>50</v>
      </c>
      <c r="D2703" s="10" t="s">
        <v>532</v>
      </c>
      <c r="E2703" s="10" t="s">
        <v>2342</v>
      </c>
      <c r="F2703" s="30" t="n">
        <v>42916</v>
      </c>
      <c r="G2703" s="30" t="n">
        <v>42918</v>
      </c>
      <c r="H2703" s="26" t="n">
        <f aca="false">G2703-F2703</f>
        <v>2</v>
      </c>
      <c r="I2703" s="10" t="n">
        <f aca="false">IF(E2703="Won",1,0)</f>
        <v>1</v>
      </c>
    </row>
    <row r="2704" customFormat="false" ht="15" hidden="false" customHeight="false" outlineLevel="0" collapsed="false">
      <c r="A2704" s="10" t="s">
        <v>5045</v>
      </c>
      <c r="B2704" s="10" t="s">
        <v>84</v>
      </c>
      <c r="C2704" s="10" t="s">
        <v>47</v>
      </c>
      <c r="D2704" s="10" t="s">
        <v>350</v>
      </c>
      <c r="E2704" s="10" t="s">
        <v>2345</v>
      </c>
      <c r="F2704" s="30" t="n">
        <v>42906</v>
      </c>
      <c r="G2704" s="30" t="n">
        <v>42918</v>
      </c>
      <c r="H2704" s="26" t="n">
        <f aca="false">G2704-F2704</f>
        <v>12</v>
      </c>
      <c r="I2704" s="10" t="n">
        <f aca="false">IF(E2704="Won",1,0)</f>
        <v>0</v>
      </c>
    </row>
    <row r="2705" customFormat="false" ht="15" hidden="false" customHeight="false" outlineLevel="0" collapsed="false">
      <c r="A2705" s="10" t="s">
        <v>5046</v>
      </c>
      <c r="B2705" s="10" t="s">
        <v>81</v>
      </c>
      <c r="C2705" s="10" t="s">
        <v>50</v>
      </c>
      <c r="D2705" s="10" t="s">
        <v>762</v>
      </c>
      <c r="E2705" s="10" t="s">
        <v>2342</v>
      </c>
      <c r="F2705" s="30" t="n">
        <v>42913</v>
      </c>
      <c r="G2705" s="30" t="n">
        <v>42918</v>
      </c>
      <c r="H2705" s="26" t="n">
        <f aca="false">G2705-F2705</f>
        <v>5</v>
      </c>
      <c r="I2705" s="10" t="n">
        <f aca="false">IF(E2705="Won",1,0)</f>
        <v>1</v>
      </c>
    </row>
    <row r="2706" customFormat="false" ht="15" hidden="false" customHeight="false" outlineLevel="0" collapsed="false">
      <c r="A2706" s="10" t="s">
        <v>5047</v>
      </c>
      <c r="B2706" s="10" t="s">
        <v>95</v>
      </c>
      <c r="C2706" s="10" t="s">
        <v>47</v>
      </c>
      <c r="D2706" s="10" t="s">
        <v>424</v>
      </c>
      <c r="E2706" s="10" t="s">
        <v>2345</v>
      </c>
      <c r="F2706" s="30" t="n">
        <v>42911</v>
      </c>
      <c r="G2706" s="30" t="n">
        <v>42918</v>
      </c>
      <c r="H2706" s="26" t="n">
        <f aca="false">G2706-F2706</f>
        <v>7</v>
      </c>
      <c r="I2706" s="10" t="n">
        <f aca="false">IF(E2706="Won",1,0)</f>
        <v>0</v>
      </c>
    </row>
    <row r="2707" customFormat="false" ht="15" hidden="false" customHeight="false" outlineLevel="0" collapsed="false">
      <c r="A2707" s="10" t="s">
        <v>5048</v>
      </c>
      <c r="B2707" s="10" t="s">
        <v>68</v>
      </c>
      <c r="C2707" s="10" t="s">
        <v>52</v>
      </c>
      <c r="D2707" s="10" t="s">
        <v>506</v>
      </c>
      <c r="E2707" s="10" t="s">
        <v>2342</v>
      </c>
      <c r="F2707" s="30" t="n">
        <v>42910</v>
      </c>
      <c r="G2707" s="30" t="n">
        <v>42918</v>
      </c>
      <c r="H2707" s="26" t="n">
        <f aca="false">G2707-F2707</f>
        <v>8</v>
      </c>
      <c r="I2707" s="10" t="n">
        <f aca="false">IF(E2707="Won",1,0)</f>
        <v>1</v>
      </c>
    </row>
    <row r="2708" customFormat="false" ht="15" hidden="false" customHeight="false" outlineLevel="0" collapsed="false">
      <c r="A2708" s="10" t="s">
        <v>5049</v>
      </c>
      <c r="B2708" s="10" t="s">
        <v>57</v>
      </c>
      <c r="C2708" s="10" t="s">
        <v>48</v>
      </c>
      <c r="D2708" s="10" t="s">
        <v>218</v>
      </c>
      <c r="E2708" s="10" t="s">
        <v>2342</v>
      </c>
      <c r="F2708" s="30" t="n">
        <v>42910</v>
      </c>
      <c r="G2708" s="30" t="n">
        <v>42918</v>
      </c>
      <c r="H2708" s="26" t="n">
        <f aca="false">G2708-F2708</f>
        <v>8</v>
      </c>
      <c r="I2708" s="10" t="n">
        <f aca="false">IF(E2708="Won",1,0)</f>
        <v>1</v>
      </c>
    </row>
    <row r="2709" customFormat="false" ht="15" hidden="false" customHeight="false" outlineLevel="0" collapsed="false">
      <c r="A2709" s="10" t="s">
        <v>5050</v>
      </c>
      <c r="B2709" s="10" t="s">
        <v>83</v>
      </c>
      <c r="C2709" s="10" t="s">
        <v>50</v>
      </c>
      <c r="D2709" s="10" t="s">
        <v>210</v>
      </c>
      <c r="E2709" s="10" t="s">
        <v>2342</v>
      </c>
      <c r="F2709" s="30" t="n">
        <v>42909</v>
      </c>
      <c r="G2709" s="30" t="n">
        <v>42918</v>
      </c>
      <c r="H2709" s="26" t="n">
        <f aca="false">G2709-F2709</f>
        <v>9</v>
      </c>
      <c r="I2709" s="10" t="n">
        <f aca="false">IF(E2709="Won",1,0)</f>
        <v>1</v>
      </c>
    </row>
    <row r="2710" customFormat="false" ht="15" hidden="false" customHeight="false" outlineLevel="0" collapsed="false">
      <c r="A2710" s="10" t="s">
        <v>5051</v>
      </c>
      <c r="B2710" s="10" t="s">
        <v>79</v>
      </c>
      <c r="C2710" s="10" t="s">
        <v>52</v>
      </c>
      <c r="D2710" s="10" t="s">
        <v>483</v>
      </c>
      <c r="E2710" s="10" t="s">
        <v>2345</v>
      </c>
      <c r="F2710" s="30" t="n">
        <v>42907</v>
      </c>
      <c r="G2710" s="30" t="n">
        <v>42918</v>
      </c>
      <c r="H2710" s="26" t="n">
        <f aca="false">G2710-F2710</f>
        <v>11</v>
      </c>
      <c r="I2710" s="10" t="n">
        <f aca="false">IF(E2710="Won",1,0)</f>
        <v>0</v>
      </c>
    </row>
    <row r="2711" customFormat="false" ht="15" hidden="false" customHeight="false" outlineLevel="0" collapsed="false">
      <c r="A2711" s="10" t="s">
        <v>5052</v>
      </c>
      <c r="B2711" s="10" t="s">
        <v>79</v>
      </c>
      <c r="C2711" s="10" t="s">
        <v>48</v>
      </c>
      <c r="D2711" s="10" t="s">
        <v>410</v>
      </c>
      <c r="E2711" s="10" t="s">
        <v>2342</v>
      </c>
      <c r="F2711" s="30" t="n">
        <v>42912</v>
      </c>
      <c r="G2711" s="30" t="n">
        <v>42918</v>
      </c>
      <c r="H2711" s="26" t="n">
        <f aca="false">G2711-F2711</f>
        <v>6</v>
      </c>
      <c r="I2711" s="10" t="n">
        <f aca="false">IF(E2711="Won",1,0)</f>
        <v>1</v>
      </c>
    </row>
    <row r="2712" customFormat="false" ht="15" hidden="false" customHeight="false" outlineLevel="0" collapsed="false">
      <c r="A2712" s="10" t="s">
        <v>5053</v>
      </c>
      <c r="B2712" s="10" t="s">
        <v>61</v>
      </c>
      <c r="C2712" s="10" t="s">
        <v>49</v>
      </c>
      <c r="D2712" s="10" t="s">
        <v>359</v>
      </c>
      <c r="E2712" s="10" t="s">
        <v>2345</v>
      </c>
      <c r="F2712" s="30" t="n">
        <v>42916</v>
      </c>
      <c r="G2712" s="30" t="n">
        <v>42918</v>
      </c>
      <c r="H2712" s="26" t="n">
        <f aca="false">G2712-F2712</f>
        <v>2</v>
      </c>
      <c r="I2712" s="10" t="n">
        <f aca="false">IF(E2712="Won",1,0)</f>
        <v>0</v>
      </c>
    </row>
    <row r="2713" customFormat="false" ht="15" hidden="false" customHeight="false" outlineLevel="0" collapsed="false">
      <c r="A2713" s="10" t="s">
        <v>5054</v>
      </c>
      <c r="B2713" s="10" t="s">
        <v>77</v>
      </c>
      <c r="C2713" s="10" t="s">
        <v>48</v>
      </c>
      <c r="D2713" s="10" t="s">
        <v>697</v>
      </c>
      <c r="E2713" s="10" t="s">
        <v>2345</v>
      </c>
      <c r="F2713" s="30" t="n">
        <v>42907</v>
      </c>
      <c r="G2713" s="30" t="n">
        <v>42918</v>
      </c>
      <c r="H2713" s="26" t="n">
        <f aca="false">G2713-F2713</f>
        <v>11</v>
      </c>
      <c r="I2713" s="10" t="n">
        <f aca="false">IF(E2713="Won",1,0)</f>
        <v>0</v>
      </c>
    </row>
    <row r="2714" customFormat="false" ht="15" hidden="false" customHeight="false" outlineLevel="0" collapsed="false">
      <c r="A2714" s="10" t="s">
        <v>5055</v>
      </c>
      <c r="B2714" s="10" t="s">
        <v>76</v>
      </c>
      <c r="C2714" s="10" t="s">
        <v>51</v>
      </c>
      <c r="D2714" s="10" t="s">
        <v>512</v>
      </c>
      <c r="E2714" s="10" t="s">
        <v>2342</v>
      </c>
      <c r="F2714" s="30" t="n">
        <v>42914</v>
      </c>
      <c r="G2714" s="30" t="n">
        <v>42918</v>
      </c>
      <c r="H2714" s="26" t="n">
        <f aca="false">G2714-F2714</f>
        <v>4</v>
      </c>
      <c r="I2714" s="10" t="n">
        <f aca="false">IF(E2714="Won",1,0)</f>
        <v>1</v>
      </c>
    </row>
    <row r="2715" customFormat="false" ht="15" hidden="false" customHeight="false" outlineLevel="0" collapsed="false">
      <c r="A2715" s="10" t="s">
        <v>5056</v>
      </c>
      <c r="B2715" s="10" t="s">
        <v>97</v>
      </c>
      <c r="C2715" s="10" t="s">
        <v>51</v>
      </c>
      <c r="D2715" s="10" t="s">
        <v>233</v>
      </c>
      <c r="E2715" s="10" t="s">
        <v>2345</v>
      </c>
      <c r="F2715" s="30" t="n">
        <v>42911</v>
      </c>
      <c r="G2715" s="30" t="n">
        <v>42918</v>
      </c>
      <c r="H2715" s="26" t="n">
        <f aca="false">G2715-F2715</f>
        <v>7</v>
      </c>
      <c r="I2715" s="10" t="n">
        <f aca="false">IF(E2715="Won",1,0)</f>
        <v>0</v>
      </c>
    </row>
    <row r="2716" customFormat="false" ht="15" hidden="false" customHeight="false" outlineLevel="0" collapsed="false">
      <c r="A2716" s="10" t="s">
        <v>5057</v>
      </c>
      <c r="B2716" s="10" t="s">
        <v>62</v>
      </c>
      <c r="C2716" s="10" t="s">
        <v>52</v>
      </c>
      <c r="D2716" s="10" t="s">
        <v>350</v>
      </c>
      <c r="E2716" s="10" t="s">
        <v>2342</v>
      </c>
      <c r="F2716" s="30" t="n">
        <v>42911</v>
      </c>
      <c r="G2716" s="30" t="n">
        <v>42918</v>
      </c>
      <c r="H2716" s="26" t="n">
        <f aca="false">G2716-F2716</f>
        <v>7</v>
      </c>
      <c r="I2716" s="10" t="n">
        <f aca="false">IF(E2716="Won",1,0)</f>
        <v>1</v>
      </c>
    </row>
    <row r="2717" customFormat="false" ht="15" hidden="false" customHeight="false" outlineLevel="0" collapsed="false">
      <c r="A2717" s="10" t="s">
        <v>5058</v>
      </c>
      <c r="B2717" s="10" t="s">
        <v>70</v>
      </c>
      <c r="C2717" s="10" t="s">
        <v>47</v>
      </c>
      <c r="D2717" s="10" t="s">
        <v>506</v>
      </c>
      <c r="E2717" s="10" t="s">
        <v>2345</v>
      </c>
      <c r="F2717" s="30" t="n">
        <v>42911</v>
      </c>
      <c r="G2717" s="30" t="n">
        <v>42918</v>
      </c>
      <c r="H2717" s="26" t="n">
        <f aca="false">G2717-F2717</f>
        <v>7</v>
      </c>
      <c r="I2717" s="10" t="n">
        <f aca="false">IF(E2717="Won",1,0)</f>
        <v>0</v>
      </c>
    </row>
    <row r="2718" customFormat="false" ht="15" hidden="false" customHeight="false" outlineLevel="0" collapsed="false">
      <c r="A2718" s="10" t="s">
        <v>5059</v>
      </c>
      <c r="B2718" s="10" t="s">
        <v>90</v>
      </c>
      <c r="C2718" s="10" t="s">
        <v>52</v>
      </c>
      <c r="D2718" s="10" t="s">
        <v>210</v>
      </c>
      <c r="E2718" s="10" t="s">
        <v>2345</v>
      </c>
      <c r="F2718" s="30" t="n">
        <v>42905</v>
      </c>
      <c r="G2718" s="30" t="n">
        <v>42918</v>
      </c>
      <c r="H2718" s="26" t="n">
        <f aca="false">G2718-F2718</f>
        <v>13</v>
      </c>
      <c r="I2718" s="10" t="n">
        <f aca="false">IF(E2718="Won",1,0)</f>
        <v>0</v>
      </c>
    </row>
    <row r="2719" customFormat="false" ht="15" hidden="false" customHeight="false" outlineLevel="0" collapsed="false">
      <c r="A2719" s="10" t="s">
        <v>5060</v>
      </c>
      <c r="B2719" s="10" t="s">
        <v>71</v>
      </c>
      <c r="C2719" s="10" t="s">
        <v>52</v>
      </c>
      <c r="D2719" s="10" t="s">
        <v>311</v>
      </c>
      <c r="E2719" s="10" t="s">
        <v>2342</v>
      </c>
      <c r="F2719" s="30" t="n">
        <v>42910</v>
      </c>
      <c r="G2719" s="30" t="n">
        <v>42918</v>
      </c>
      <c r="H2719" s="26" t="n">
        <f aca="false">G2719-F2719</f>
        <v>8</v>
      </c>
      <c r="I2719" s="10" t="n">
        <f aca="false">IF(E2719="Won",1,0)</f>
        <v>1</v>
      </c>
    </row>
    <row r="2720" customFormat="false" ht="15" hidden="false" customHeight="false" outlineLevel="0" collapsed="false">
      <c r="A2720" s="10" t="s">
        <v>5061</v>
      </c>
      <c r="B2720" s="10" t="s">
        <v>81</v>
      </c>
      <c r="C2720" s="10" t="s">
        <v>50</v>
      </c>
      <c r="D2720" s="10" t="s">
        <v>414</v>
      </c>
      <c r="E2720" s="10" t="s">
        <v>2342</v>
      </c>
      <c r="F2720" s="30" t="n">
        <v>42911</v>
      </c>
      <c r="G2720" s="30" t="n">
        <v>42918</v>
      </c>
      <c r="H2720" s="26" t="n">
        <f aca="false">G2720-F2720</f>
        <v>7</v>
      </c>
      <c r="I2720" s="10" t="n">
        <f aca="false">IF(E2720="Won",1,0)</f>
        <v>1</v>
      </c>
    </row>
    <row r="2721" customFormat="false" ht="15" hidden="false" customHeight="false" outlineLevel="0" collapsed="false">
      <c r="A2721" s="10" t="s">
        <v>5062</v>
      </c>
      <c r="B2721" s="10" t="s">
        <v>68</v>
      </c>
      <c r="C2721" s="10" t="s">
        <v>52</v>
      </c>
      <c r="D2721" s="10" t="s">
        <v>199</v>
      </c>
      <c r="E2721" s="10" t="s">
        <v>2342</v>
      </c>
      <c r="F2721" s="30" t="n">
        <v>42917</v>
      </c>
      <c r="G2721" s="30" t="n">
        <v>42918</v>
      </c>
      <c r="H2721" s="26" t="n">
        <f aca="false">G2721-F2721</f>
        <v>1</v>
      </c>
      <c r="I2721" s="10" t="n">
        <f aca="false">IF(E2721="Won",1,0)</f>
        <v>1</v>
      </c>
    </row>
    <row r="2722" customFormat="false" ht="15" hidden="false" customHeight="false" outlineLevel="0" collapsed="false">
      <c r="A2722" s="10" t="s">
        <v>5063</v>
      </c>
      <c r="B2722" s="10" t="s">
        <v>88</v>
      </c>
      <c r="C2722" s="10" t="s">
        <v>51</v>
      </c>
      <c r="D2722" s="10" t="s">
        <v>1334</v>
      </c>
      <c r="E2722" s="10" t="s">
        <v>2342</v>
      </c>
      <c r="F2722" s="30" t="n">
        <v>42908</v>
      </c>
      <c r="G2722" s="30" t="n">
        <v>42918</v>
      </c>
      <c r="H2722" s="26" t="n">
        <f aca="false">G2722-F2722</f>
        <v>10</v>
      </c>
      <c r="I2722" s="10" t="n">
        <f aca="false">IF(E2722="Won",1,0)</f>
        <v>1</v>
      </c>
    </row>
    <row r="2723" customFormat="false" ht="15" hidden="false" customHeight="false" outlineLevel="0" collapsed="false">
      <c r="A2723" s="10" t="s">
        <v>5064</v>
      </c>
      <c r="B2723" s="10" t="s">
        <v>67</v>
      </c>
      <c r="C2723" s="10" t="s">
        <v>49</v>
      </c>
      <c r="D2723" s="10" t="s">
        <v>606</v>
      </c>
      <c r="E2723" s="10" t="s">
        <v>2345</v>
      </c>
      <c r="F2723" s="30" t="n">
        <v>42909</v>
      </c>
      <c r="G2723" s="30" t="n">
        <v>42919</v>
      </c>
      <c r="H2723" s="26" t="n">
        <f aca="false">G2723-F2723</f>
        <v>10</v>
      </c>
      <c r="I2723" s="10" t="n">
        <f aca="false">IF(E2723="Won",1,0)</f>
        <v>0</v>
      </c>
    </row>
    <row r="2724" customFormat="false" ht="15" hidden="false" customHeight="false" outlineLevel="0" collapsed="false">
      <c r="A2724" s="10" t="s">
        <v>5065</v>
      </c>
      <c r="B2724" s="10" t="s">
        <v>79</v>
      </c>
      <c r="C2724" s="10" t="s">
        <v>52</v>
      </c>
      <c r="D2724" s="10" t="s">
        <v>353</v>
      </c>
      <c r="E2724" s="10" t="s">
        <v>2342</v>
      </c>
      <c r="F2724" s="30" t="n">
        <v>42909</v>
      </c>
      <c r="G2724" s="30" t="n">
        <v>42919</v>
      </c>
      <c r="H2724" s="26" t="n">
        <f aca="false">G2724-F2724</f>
        <v>10</v>
      </c>
      <c r="I2724" s="10" t="n">
        <f aca="false">IF(E2724="Won",1,0)</f>
        <v>1</v>
      </c>
    </row>
    <row r="2725" customFormat="false" ht="15" hidden="false" customHeight="false" outlineLevel="0" collapsed="false">
      <c r="A2725" s="10" t="s">
        <v>5066</v>
      </c>
      <c r="B2725" s="10" t="s">
        <v>70</v>
      </c>
      <c r="C2725" s="10" t="s">
        <v>48</v>
      </c>
      <c r="D2725" s="10" t="s">
        <v>396</v>
      </c>
      <c r="E2725" s="10" t="s">
        <v>2342</v>
      </c>
      <c r="F2725" s="30" t="n">
        <v>42914</v>
      </c>
      <c r="G2725" s="30" t="n">
        <v>42919</v>
      </c>
      <c r="H2725" s="26" t="n">
        <f aca="false">G2725-F2725</f>
        <v>5</v>
      </c>
      <c r="I2725" s="10" t="n">
        <f aca="false">IF(E2725="Won",1,0)</f>
        <v>1</v>
      </c>
    </row>
    <row r="2726" customFormat="false" ht="15" hidden="false" customHeight="false" outlineLevel="0" collapsed="false">
      <c r="A2726" s="10" t="s">
        <v>5067</v>
      </c>
      <c r="B2726" s="10" t="s">
        <v>68</v>
      </c>
      <c r="C2726" s="10" t="s">
        <v>52</v>
      </c>
      <c r="D2726" s="10" t="s">
        <v>227</v>
      </c>
      <c r="E2726" s="10" t="s">
        <v>2345</v>
      </c>
      <c r="F2726" s="30" t="n">
        <v>42917</v>
      </c>
      <c r="G2726" s="30" t="n">
        <v>42919</v>
      </c>
      <c r="H2726" s="26" t="n">
        <f aca="false">G2726-F2726</f>
        <v>2</v>
      </c>
      <c r="I2726" s="10" t="n">
        <f aca="false">IF(E2726="Won",1,0)</f>
        <v>0</v>
      </c>
    </row>
    <row r="2727" customFormat="false" ht="15" hidden="false" customHeight="false" outlineLevel="0" collapsed="false">
      <c r="A2727" s="10" t="s">
        <v>5068</v>
      </c>
      <c r="B2727" s="10" t="s">
        <v>74</v>
      </c>
      <c r="C2727" s="10" t="s">
        <v>49</v>
      </c>
      <c r="D2727" s="10" t="s">
        <v>697</v>
      </c>
      <c r="E2727" s="10" t="s">
        <v>2345</v>
      </c>
      <c r="F2727" s="30" t="n">
        <v>42917</v>
      </c>
      <c r="G2727" s="30" t="n">
        <v>42919</v>
      </c>
      <c r="H2727" s="26" t="n">
        <f aca="false">G2727-F2727</f>
        <v>2</v>
      </c>
      <c r="I2727" s="10" t="n">
        <f aca="false">IF(E2727="Won",1,0)</f>
        <v>0</v>
      </c>
    </row>
    <row r="2728" customFormat="false" ht="15" hidden="false" customHeight="false" outlineLevel="0" collapsed="false">
      <c r="A2728" s="10" t="s">
        <v>5069</v>
      </c>
      <c r="B2728" s="10" t="s">
        <v>77</v>
      </c>
      <c r="C2728" s="10" t="s">
        <v>52</v>
      </c>
      <c r="D2728" s="10" t="s">
        <v>1251</v>
      </c>
      <c r="E2728" s="10" t="s">
        <v>2342</v>
      </c>
      <c r="F2728" s="30" t="n">
        <v>42911</v>
      </c>
      <c r="G2728" s="30" t="n">
        <v>42919</v>
      </c>
      <c r="H2728" s="26" t="n">
        <f aca="false">G2728-F2728</f>
        <v>8</v>
      </c>
      <c r="I2728" s="10" t="n">
        <f aca="false">IF(E2728="Won",1,0)</f>
        <v>1</v>
      </c>
    </row>
    <row r="2729" customFormat="false" ht="15" hidden="false" customHeight="false" outlineLevel="0" collapsed="false">
      <c r="A2729" s="10" t="s">
        <v>5070</v>
      </c>
      <c r="B2729" s="10" t="s">
        <v>57</v>
      </c>
      <c r="C2729" s="10" t="s">
        <v>51</v>
      </c>
      <c r="D2729" s="10" t="s">
        <v>455</v>
      </c>
      <c r="E2729" s="10" t="s">
        <v>2345</v>
      </c>
      <c r="F2729" s="30" t="n">
        <v>42909</v>
      </c>
      <c r="G2729" s="30" t="n">
        <v>42919</v>
      </c>
      <c r="H2729" s="26" t="n">
        <f aca="false">G2729-F2729</f>
        <v>10</v>
      </c>
      <c r="I2729" s="10" t="n">
        <f aca="false">IF(E2729="Won",1,0)</f>
        <v>0</v>
      </c>
    </row>
    <row r="2730" customFormat="false" ht="15" hidden="false" customHeight="false" outlineLevel="0" collapsed="false">
      <c r="A2730" s="10" t="s">
        <v>5071</v>
      </c>
      <c r="B2730" s="10" t="s">
        <v>80</v>
      </c>
      <c r="C2730" s="10" t="s">
        <v>51</v>
      </c>
      <c r="D2730" s="10" t="s">
        <v>483</v>
      </c>
      <c r="E2730" s="10" t="s">
        <v>2345</v>
      </c>
      <c r="F2730" s="30" t="n">
        <v>42917</v>
      </c>
      <c r="G2730" s="30" t="n">
        <v>42919</v>
      </c>
      <c r="H2730" s="26" t="n">
        <f aca="false">G2730-F2730</f>
        <v>2</v>
      </c>
      <c r="I2730" s="10" t="n">
        <f aca="false">IF(E2730="Won",1,0)</f>
        <v>0</v>
      </c>
    </row>
    <row r="2731" customFormat="false" ht="15" hidden="false" customHeight="false" outlineLevel="0" collapsed="false">
      <c r="A2731" s="10" t="s">
        <v>5072</v>
      </c>
      <c r="B2731" s="10" t="s">
        <v>90</v>
      </c>
      <c r="C2731" s="10" t="s">
        <v>48</v>
      </c>
      <c r="D2731" s="10" t="s">
        <v>692</v>
      </c>
      <c r="E2731" s="10" t="s">
        <v>2345</v>
      </c>
      <c r="F2731" s="30" t="n">
        <v>42917</v>
      </c>
      <c r="G2731" s="30" t="n">
        <v>42919</v>
      </c>
      <c r="H2731" s="26" t="n">
        <f aca="false">G2731-F2731</f>
        <v>2</v>
      </c>
      <c r="I2731" s="10" t="n">
        <f aca="false">IF(E2731="Won",1,0)</f>
        <v>0</v>
      </c>
    </row>
    <row r="2732" customFormat="false" ht="15" hidden="false" customHeight="false" outlineLevel="0" collapsed="false">
      <c r="A2732" s="10" t="s">
        <v>5073</v>
      </c>
      <c r="B2732" s="10" t="s">
        <v>74</v>
      </c>
      <c r="C2732" s="10" t="s">
        <v>49</v>
      </c>
      <c r="D2732" s="10" t="s">
        <v>210</v>
      </c>
      <c r="E2732" s="10" t="s">
        <v>2345</v>
      </c>
      <c r="F2732" s="30" t="n">
        <v>42909</v>
      </c>
      <c r="G2732" s="30" t="n">
        <v>42919</v>
      </c>
      <c r="H2732" s="26" t="n">
        <f aca="false">G2732-F2732</f>
        <v>10</v>
      </c>
      <c r="I2732" s="10" t="n">
        <f aca="false">IF(E2732="Won",1,0)</f>
        <v>0</v>
      </c>
    </row>
    <row r="2733" customFormat="false" ht="15" hidden="false" customHeight="false" outlineLevel="0" collapsed="false">
      <c r="A2733" s="10" t="s">
        <v>5074</v>
      </c>
      <c r="B2733" s="10" t="s">
        <v>57</v>
      </c>
      <c r="C2733" s="10" t="s">
        <v>50</v>
      </c>
      <c r="D2733" s="10" t="s">
        <v>1118</v>
      </c>
      <c r="E2733" s="10" t="s">
        <v>2345</v>
      </c>
      <c r="F2733" s="30" t="n">
        <v>42910</v>
      </c>
      <c r="G2733" s="30" t="n">
        <v>42919</v>
      </c>
      <c r="H2733" s="26" t="n">
        <f aca="false">G2733-F2733</f>
        <v>9</v>
      </c>
      <c r="I2733" s="10" t="n">
        <f aca="false">IF(E2733="Won",1,0)</f>
        <v>0</v>
      </c>
    </row>
    <row r="2734" customFormat="false" ht="15" hidden="false" customHeight="false" outlineLevel="0" collapsed="false">
      <c r="A2734" s="10" t="s">
        <v>5075</v>
      </c>
      <c r="B2734" s="10" t="s">
        <v>71</v>
      </c>
      <c r="C2734" s="10" t="s">
        <v>52</v>
      </c>
      <c r="D2734" s="10" t="s">
        <v>279</v>
      </c>
      <c r="E2734" s="10" t="s">
        <v>2345</v>
      </c>
      <c r="F2734" s="30" t="n">
        <v>42908</v>
      </c>
      <c r="G2734" s="30" t="n">
        <v>42919</v>
      </c>
      <c r="H2734" s="26" t="n">
        <f aca="false">G2734-F2734</f>
        <v>11</v>
      </c>
      <c r="I2734" s="10" t="n">
        <f aca="false">IF(E2734="Won",1,0)</f>
        <v>0</v>
      </c>
    </row>
    <row r="2735" customFormat="false" ht="15" hidden="false" customHeight="false" outlineLevel="0" collapsed="false">
      <c r="A2735" s="10" t="s">
        <v>5076</v>
      </c>
      <c r="B2735" s="10" t="s">
        <v>86</v>
      </c>
      <c r="C2735" s="10" t="s">
        <v>51</v>
      </c>
      <c r="D2735" s="10" t="s">
        <v>378</v>
      </c>
      <c r="E2735" s="10" t="s">
        <v>2345</v>
      </c>
      <c r="F2735" s="30" t="n">
        <v>42918</v>
      </c>
      <c r="G2735" s="30" t="n">
        <v>42919</v>
      </c>
      <c r="H2735" s="26" t="n">
        <f aca="false">G2735-F2735</f>
        <v>1</v>
      </c>
      <c r="I2735" s="10" t="n">
        <f aca="false">IF(E2735="Won",1,0)</f>
        <v>0</v>
      </c>
    </row>
    <row r="2736" customFormat="false" ht="15" hidden="false" customHeight="false" outlineLevel="0" collapsed="false">
      <c r="A2736" s="10" t="s">
        <v>5077</v>
      </c>
      <c r="B2736" s="10" t="s">
        <v>80</v>
      </c>
      <c r="C2736" s="10" t="s">
        <v>50</v>
      </c>
      <c r="D2736" s="10" t="s">
        <v>369</v>
      </c>
      <c r="E2736" s="10" t="s">
        <v>2345</v>
      </c>
      <c r="F2736" s="30" t="n">
        <v>42914</v>
      </c>
      <c r="G2736" s="30" t="n">
        <v>42919</v>
      </c>
      <c r="H2736" s="26" t="n">
        <f aca="false">G2736-F2736</f>
        <v>5</v>
      </c>
      <c r="I2736" s="10" t="n">
        <f aca="false">IF(E2736="Won",1,0)</f>
        <v>0</v>
      </c>
    </row>
    <row r="2737" customFormat="false" ht="15" hidden="false" customHeight="false" outlineLevel="0" collapsed="false">
      <c r="A2737" s="10" t="s">
        <v>5078</v>
      </c>
      <c r="B2737" s="10" t="s">
        <v>87</v>
      </c>
      <c r="C2737" s="10" t="s">
        <v>47</v>
      </c>
      <c r="D2737" s="10" t="s">
        <v>274</v>
      </c>
      <c r="E2737" s="10" t="s">
        <v>2345</v>
      </c>
      <c r="F2737" s="30" t="n">
        <v>42918</v>
      </c>
      <c r="G2737" s="30" t="n">
        <v>42919</v>
      </c>
      <c r="H2737" s="26" t="n">
        <f aca="false">G2737-F2737</f>
        <v>1</v>
      </c>
      <c r="I2737" s="10" t="n">
        <f aca="false">IF(E2737="Won",1,0)</f>
        <v>0</v>
      </c>
    </row>
    <row r="2738" customFormat="false" ht="15" hidden="false" customHeight="false" outlineLevel="0" collapsed="false">
      <c r="A2738" s="10" t="s">
        <v>5079</v>
      </c>
      <c r="B2738" s="10" t="s">
        <v>79</v>
      </c>
      <c r="C2738" s="10" t="s">
        <v>49</v>
      </c>
      <c r="D2738" s="10" t="s">
        <v>961</v>
      </c>
      <c r="E2738" s="10" t="s">
        <v>2345</v>
      </c>
      <c r="F2738" s="30" t="n">
        <v>42918</v>
      </c>
      <c r="G2738" s="30" t="n">
        <v>42919</v>
      </c>
      <c r="H2738" s="26" t="n">
        <f aca="false">G2738-F2738</f>
        <v>1</v>
      </c>
      <c r="I2738" s="10" t="n">
        <f aca="false">IF(E2738="Won",1,0)</f>
        <v>0</v>
      </c>
    </row>
    <row r="2739" customFormat="false" ht="15" hidden="false" customHeight="false" outlineLevel="0" collapsed="false">
      <c r="A2739" s="10" t="s">
        <v>5080</v>
      </c>
      <c r="B2739" s="10" t="s">
        <v>70</v>
      </c>
      <c r="C2739" s="10" t="s">
        <v>49</v>
      </c>
      <c r="D2739" s="10" t="s">
        <v>170</v>
      </c>
      <c r="E2739" s="10" t="s">
        <v>2345</v>
      </c>
      <c r="F2739" s="30" t="n">
        <v>42918</v>
      </c>
      <c r="G2739" s="30" t="n">
        <v>42919</v>
      </c>
      <c r="H2739" s="26" t="n">
        <f aca="false">G2739-F2739</f>
        <v>1</v>
      </c>
      <c r="I2739" s="10" t="n">
        <f aca="false">IF(E2739="Won",1,0)</f>
        <v>0</v>
      </c>
    </row>
    <row r="2740" customFormat="false" ht="15" hidden="false" customHeight="false" outlineLevel="0" collapsed="false">
      <c r="A2740" s="10" t="s">
        <v>5081</v>
      </c>
      <c r="B2740" s="10" t="s">
        <v>74</v>
      </c>
      <c r="C2740" s="10" t="s">
        <v>47</v>
      </c>
      <c r="D2740" s="10" t="s">
        <v>697</v>
      </c>
      <c r="E2740" s="10" t="s">
        <v>2342</v>
      </c>
      <c r="F2740" s="30" t="n">
        <v>42911</v>
      </c>
      <c r="G2740" s="30" t="n">
        <v>42919</v>
      </c>
      <c r="H2740" s="26" t="n">
        <f aca="false">G2740-F2740</f>
        <v>8</v>
      </c>
      <c r="I2740" s="10" t="n">
        <f aca="false">IF(E2740="Won",1,0)</f>
        <v>1</v>
      </c>
    </row>
    <row r="2741" customFormat="false" ht="15" hidden="false" customHeight="false" outlineLevel="0" collapsed="false">
      <c r="A2741" s="10" t="s">
        <v>5082</v>
      </c>
      <c r="B2741" s="10" t="s">
        <v>79</v>
      </c>
      <c r="C2741" s="10" t="s">
        <v>47</v>
      </c>
      <c r="D2741" s="10" t="s">
        <v>410</v>
      </c>
      <c r="E2741" s="10" t="s">
        <v>2345</v>
      </c>
      <c r="F2741" s="30" t="n">
        <v>42911</v>
      </c>
      <c r="G2741" s="30" t="n">
        <v>42919</v>
      </c>
      <c r="H2741" s="26" t="n">
        <f aca="false">G2741-F2741</f>
        <v>8</v>
      </c>
      <c r="I2741" s="10" t="n">
        <f aca="false">IF(E2741="Won",1,0)</f>
        <v>0</v>
      </c>
    </row>
    <row r="2742" customFormat="false" ht="15" hidden="false" customHeight="false" outlineLevel="0" collapsed="false">
      <c r="A2742" s="10" t="s">
        <v>5083</v>
      </c>
      <c r="B2742" s="10" t="s">
        <v>74</v>
      </c>
      <c r="C2742" s="10" t="s">
        <v>51</v>
      </c>
      <c r="D2742" s="10" t="s">
        <v>512</v>
      </c>
      <c r="E2742" s="10" t="s">
        <v>2345</v>
      </c>
      <c r="F2742" s="30" t="n">
        <v>42912</v>
      </c>
      <c r="G2742" s="30" t="n">
        <v>42919</v>
      </c>
      <c r="H2742" s="26" t="n">
        <f aca="false">G2742-F2742</f>
        <v>7</v>
      </c>
      <c r="I2742" s="10" t="n">
        <f aca="false">IF(E2742="Won",1,0)</f>
        <v>0</v>
      </c>
    </row>
    <row r="2743" customFormat="false" ht="15" hidden="false" customHeight="false" outlineLevel="0" collapsed="false">
      <c r="A2743" s="10" t="s">
        <v>5084</v>
      </c>
      <c r="B2743" s="10" t="s">
        <v>80</v>
      </c>
      <c r="C2743" s="10" t="s">
        <v>51</v>
      </c>
      <c r="D2743" s="10" t="s">
        <v>410</v>
      </c>
      <c r="E2743" s="10" t="s">
        <v>2342</v>
      </c>
      <c r="F2743" s="30" t="n">
        <v>42912</v>
      </c>
      <c r="G2743" s="30" t="n">
        <v>42919</v>
      </c>
      <c r="H2743" s="26" t="n">
        <f aca="false">G2743-F2743</f>
        <v>7</v>
      </c>
      <c r="I2743" s="10" t="n">
        <f aca="false">IF(E2743="Won",1,0)</f>
        <v>1</v>
      </c>
    </row>
    <row r="2744" customFormat="false" ht="15" hidden="false" customHeight="false" outlineLevel="0" collapsed="false">
      <c r="A2744" s="10" t="s">
        <v>5085</v>
      </c>
      <c r="B2744" s="10" t="s">
        <v>77</v>
      </c>
      <c r="C2744" s="10" t="s">
        <v>48</v>
      </c>
      <c r="D2744" s="10" t="s">
        <v>597</v>
      </c>
      <c r="E2744" s="10" t="s">
        <v>2345</v>
      </c>
      <c r="F2744" s="30" t="n">
        <v>42912</v>
      </c>
      <c r="G2744" s="30" t="n">
        <v>42919</v>
      </c>
      <c r="H2744" s="26" t="n">
        <f aca="false">G2744-F2744</f>
        <v>7</v>
      </c>
      <c r="I2744" s="10" t="n">
        <f aca="false">IF(E2744="Won",1,0)</f>
        <v>0</v>
      </c>
    </row>
    <row r="2745" customFormat="false" ht="15" hidden="false" customHeight="false" outlineLevel="0" collapsed="false">
      <c r="A2745" s="10" t="s">
        <v>5086</v>
      </c>
      <c r="B2745" s="10" t="s">
        <v>86</v>
      </c>
      <c r="C2745" s="10" t="s">
        <v>49</v>
      </c>
      <c r="D2745" s="10" t="s">
        <v>274</v>
      </c>
      <c r="E2745" s="10" t="s">
        <v>2345</v>
      </c>
      <c r="F2745" s="30" t="n">
        <v>42912</v>
      </c>
      <c r="G2745" s="30" t="n">
        <v>42919</v>
      </c>
      <c r="H2745" s="26" t="n">
        <f aca="false">G2745-F2745</f>
        <v>7</v>
      </c>
      <c r="I2745" s="10" t="n">
        <f aca="false">IF(E2745="Won",1,0)</f>
        <v>0</v>
      </c>
    </row>
    <row r="2746" customFormat="false" ht="15" hidden="false" customHeight="false" outlineLevel="0" collapsed="false">
      <c r="A2746" s="10" t="s">
        <v>5087</v>
      </c>
      <c r="B2746" s="10" t="s">
        <v>97</v>
      </c>
      <c r="C2746" s="10" t="s">
        <v>50</v>
      </c>
      <c r="D2746" s="10" t="s">
        <v>313</v>
      </c>
      <c r="E2746" s="10" t="s">
        <v>2342</v>
      </c>
      <c r="F2746" s="30" t="n">
        <v>42911</v>
      </c>
      <c r="G2746" s="30" t="n">
        <v>42919</v>
      </c>
      <c r="H2746" s="26" t="n">
        <f aca="false">G2746-F2746</f>
        <v>8</v>
      </c>
      <c r="I2746" s="10" t="n">
        <f aca="false">IF(E2746="Won",1,0)</f>
        <v>1</v>
      </c>
    </row>
    <row r="2747" customFormat="false" ht="15" hidden="false" customHeight="false" outlineLevel="0" collapsed="false">
      <c r="A2747" s="10" t="s">
        <v>5088</v>
      </c>
      <c r="B2747" s="10" t="s">
        <v>86</v>
      </c>
      <c r="C2747" s="10" t="s">
        <v>52</v>
      </c>
      <c r="D2747" s="10" t="s">
        <v>247</v>
      </c>
      <c r="E2747" s="10" t="s">
        <v>2342</v>
      </c>
      <c r="F2747" s="30" t="n">
        <v>42907</v>
      </c>
      <c r="G2747" s="30" t="n">
        <v>42919</v>
      </c>
      <c r="H2747" s="26" t="n">
        <f aca="false">G2747-F2747</f>
        <v>12</v>
      </c>
      <c r="I2747" s="10" t="n">
        <f aca="false">IF(E2747="Won",1,0)</f>
        <v>1</v>
      </c>
    </row>
    <row r="2748" customFormat="false" ht="15" hidden="false" customHeight="false" outlineLevel="0" collapsed="false">
      <c r="A2748" s="10" t="s">
        <v>5089</v>
      </c>
      <c r="B2748" s="10" t="s">
        <v>62</v>
      </c>
      <c r="C2748" s="10" t="s">
        <v>52</v>
      </c>
      <c r="D2748" s="10" t="s">
        <v>1118</v>
      </c>
      <c r="E2748" s="10" t="s">
        <v>2345</v>
      </c>
      <c r="F2748" s="30" t="n">
        <v>42917</v>
      </c>
      <c r="G2748" s="30" t="n">
        <v>42919</v>
      </c>
      <c r="H2748" s="26" t="n">
        <f aca="false">G2748-F2748</f>
        <v>2</v>
      </c>
      <c r="I2748" s="10" t="n">
        <f aca="false">IF(E2748="Won",1,0)</f>
        <v>0</v>
      </c>
    </row>
    <row r="2749" customFormat="false" ht="15" hidden="false" customHeight="false" outlineLevel="0" collapsed="false">
      <c r="A2749" s="10" t="s">
        <v>5090</v>
      </c>
      <c r="B2749" s="10" t="s">
        <v>88</v>
      </c>
      <c r="C2749" s="10" t="s">
        <v>48</v>
      </c>
      <c r="D2749" s="10" t="s">
        <v>441</v>
      </c>
      <c r="E2749" s="10" t="s">
        <v>2345</v>
      </c>
      <c r="F2749" s="30" t="n">
        <v>42912</v>
      </c>
      <c r="G2749" s="30" t="n">
        <v>42919</v>
      </c>
      <c r="H2749" s="26" t="n">
        <f aca="false">G2749-F2749</f>
        <v>7</v>
      </c>
      <c r="I2749" s="10" t="n">
        <f aca="false">IF(E2749="Won",1,0)</f>
        <v>0</v>
      </c>
    </row>
    <row r="2750" customFormat="false" ht="15" hidden="false" customHeight="false" outlineLevel="0" collapsed="false">
      <c r="A2750" s="10" t="s">
        <v>5091</v>
      </c>
      <c r="B2750" s="10" t="s">
        <v>83</v>
      </c>
      <c r="C2750" s="10" t="s">
        <v>51</v>
      </c>
      <c r="D2750" s="10" t="s">
        <v>279</v>
      </c>
      <c r="E2750" s="10" t="s">
        <v>2342</v>
      </c>
      <c r="F2750" s="30" t="n">
        <v>42908</v>
      </c>
      <c r="G2750" s="30" t="n">
        <v>42919</v>
      </c>
      <c r="H2750" s="26" t="n">
        <f aca="false">G2750-F2750</f>
        <v>11</v>
      </c>
      <c r="I2750" s="10" t="n">
        <f aca="false">IF(E2750="Won",1,0)</f>
        <v>1</v>
      </c>
    </row>
    <row r="2751" customFormat="false" ht="15" hidden="false" customHeight="false" outlineLevel="0" collapsed="false">
      <c r="A2751" s="10" t="s">
        <v>5092</v>
      </c>
      <c r="B2751" s="10" t="s">
        <v>86</v>
      </c>
      <c r="C2751" s="10" t="s">
        <v>49</v>
      </c>
      <c r="D2751" s="10" t="s">
        <v>616</v>
      </c>
      <c r="E2751" s="10" t="s">
        <v>2345</v>
      </c>
      <c r="F2751" s="30" t="n">
        <v>42911</v>
      </c>
      <c r="G2751" s="30" t="n">
        <v>42920</v>
      </c>
      <c r="H2751" s="26" t="n">
        <f aca="false">G2751-F2751</f>
        <v>9</v>
      </c>
      <c r="I2751" s="10" t="n">
        <f aca="false">IF(E2751="Won",1,0)</f>
        <v>0</v>
      </c>
    </row>
    <row r="2752" customFormat="false" ht="15" hidden="false" customHeight="false" outlineLevel="0" collapsed="false">
      <c r="A2752" s="10" t="s">
        <v>5093</v>
      </c>
      <c r="B2752" s="10" t="s">
        <v>84</v>
      </c>
      <c r="C2752" s="10" t="s">
        <v>47</v>
      </c>
      <c r="D2752" s="10" t="s">
        <v>532</v>
      </c>
      <c r="E2752" s="10" t="s">
        <v>2342</v>
      </c>
      <c r="F2752" s="30" t="n">
        <v>42912</v>
      </c>
      <c r="G2752" s="30" t="n">
        <v>42920</v>
      </c>
      <c r="H2752" s="26" t="n">
        <f aca="false">G2752-F2752</f>
        <v>8</v>
      </c>
      <c r="I2752" s="10" t="n">
        <f aca="false">IF(E2752="Won",1,0)</f>
        <v>1</v>
      </c>
    </row>
    <row r="2753" customFormat="false" ht="15" hidden="false" customHeight="false" outlineLevel="0" collapsed="false">
      <c r="A2753" s="10" t="s">
        <v>5094</v>
      </c>
      <c r="B2753" s="10" t="s">
        <v>76</v>
      </c>
      <c r="C2753" s="10" t="s">
        <v>49</v>
      </c>
      <c r="D2753" s="10" t="s">
        <v>524</v>
      </c>
      <c r="E2753" s="10" t="s">
        <v>2342</v>
      </c>
      <c r="F2753" s="30" t="n">
        <v>42913</v>
      </c>
      <c r="G2753" s="30" t="n">
        <v>42920</v>
      </c>
      <c r="H2753" s="26" t="n">
        <f aca="false">G2753-F2753</f>
        <v>7</v>
      </c>
      <c r="I2753" s="10" t="n">
        <f aca="false">IF(E2753="Won",1,0)</f>
        <v>1</v>
      </c>
    </row>
    <row r="2754" customFormat="false" ht="15" hidden="false" customHeight="false" outlineLevel="0" collapsed="false">
      <c r="A2754" s="10" t="s">
        <v>5095</v>
      </c>
      <c r="B2754" s="10" t="s">
        <v>73</v>
      </c>
      <c r="C2754" s="10" t="s">
        <v>51</v>
      </c>
      <c r="D2754" s="10" t="s">
        <v>527</v>
      </c>
      <c r="E2754" s="10" t="s">
        <v>2342</v>
      </c>
      <c r="F2754" s="30" t="n">
        <v>42918</v>
      </c>
      <c r="G2754" s="30" t="n">
        <v>42920</v>
      </c>
      <c r="H2754" s="26" t="n">
        <f aca="false">G2754-F2754</f>
        <v>2</v>
      </c>
      <c r="I2754" s="10" t="n">
        <f aca="false">IF(E2754="Won",1,0)</f>
        <v>1</v>
      </c>
    </row>
    <row r="2755" customFormat="false" ht="15" hidden="false" customHeight="false" outlineLevel="0" collapsed="false">
      <c r="A2755" s="10" t="s">
        <v>5096</v>
      </c>
      <c r="B2755" s="10" t="s">
        <v>70</v>
      </c>
      <c r="C2755" s="10" t="s">
        <v>48</v>
      </c>
      <c r="D2755" s="10" t="s">
        <v>299</v>
      </c>
      <c r="E2755" s="10" t="s">
        <v>2342</v>
      </c>
      <c r="F2755" s="30" t="n">
        <v>42915</v>
      </c>
      <c r="G2755" s="30" t="n">
        <v>42920</v>
      </c>
      <c r="H2755" s="26" t="n">
        <f aca="false">G2755-F2755</f>
        <v>5</v>
      </c>
      <c r="I2755" s="10" t="n">
        <f aca="false">IF(E2755="Won",1,0)</f>
        <v>1</v>
      </c>
    </row>
    <row r="2756" customFormat="false" ht="15" hidden="false" customHeight="false" outlineLevel="0" collapsed="false">
      <c r="A2756" s="10" t="s">
        <v>5097</v>
      </c>
      <c r="B2756" s="10" t="s">
        <v>67</v>
      </c>
      <c r="C2756" s="10" t="s">
        <v>50</v>
      </c>
      <c r="D2756" s="10" t="s">
        <v>344</v>
      </c>
      <c r="E2756" s="10" t="s">
        <v>2345</v>
      </c>
      <c r="F2756" s="30" t="n">
        <v>42910</v>
      </c>
      <c r="G2756" s="30" t="n">
        <v>42920</v>
      </c>
      <c r="H2756" s="26" t="n">
        <f aca="false">G2756-F2756</f>
        <v>10</v>
      </c>
      <c r="I2756" s="10" t="n">
        <f aca="false">IF(E2756="Won",1,0)</f>
        <v>0</v>
      </c>
    </row>
    <row r="2757" customFormat="false" ht="15" hidden="false" customHeight="false" outlineLevel="0" collapsed="false">
      <c r="A2757" s="10" t="s">
        <v>5098</v>
      </c>
      <c r="B2757" s="10" t="s">
        <v>95</v>
      </c>
      <c r="C2757" s="10" t="s">
        <v>48</v>
      </c>
      <c r="D2757" s="10" t="s">
        <v>168</v>
      </c>
      <c r="E2757" s="10" t="s">
        <v>2345</v>
      </c>
      <c r="F2757" s="30" t="n">
        <v>42909</v>
      </c>
      <c r="G2757" s="30" t="n">
        <v>42920</v>
      </c>
      <c r="H2757" s="26" t="n">
        <f aca="false">G2757-F2757</f>
        <v>11</v>
      </c>
      <c r="I2757" s="10" t="n">
        <f aca="false">IF(E2757="Won",1,0)</f>
        <v>0</v>
      </c>
    </row>
    <row r="2758" customFormat="false" ht="15" hidden="false" customHeight="false" outlineLevel="0" collapsed="false">
      <c r="A2758" s="10" t="s">
        <v>5099</v>
      </c>
      <c r="B2758" s="10" t="s">
        <v>93</v>
      </c>
      <c r="C2758" s="10" t="s">
        <v>48</v>
      </c>
      <c r="D2758" s="10" t="s">
        <v>175</v>
      </c>
      <c r="E2758" s="10" t="s">
        <v>2345</v>
      </c>
      <c r="F2758" s="30" t="n">
        <v>42914</v>
      </c>
      <c r="G2758" s="30" t="n">
        <v>42920</v>
      </c>
      <c r="H2758" s="26" t="n">
        <f aca="false">G2758-F2758</f>
        <v>6</v>
      </c>
      <c r="I2758" s="10" t="n">
        <f aca="false">IF(E2758="Won",1,0)</f>
        <v>0</v>
      </c>
    </row>
    <row r="2759" customFormat="false" ht="15" hidden="false" customHeight="false" outlineLevel="0" collapsed="false">
      <c r="A2759" s="10" t="s">
        <v>5100</v>
      </c>
      <c r="B2759" s="10" t="s">
        <v>93</v>
      </c>
      <c r="C2759" s="10" t="s">
        <v>47</v>
      </c>
      <c r="D2759" s="10" t="s">
        <v>313</v>
      </c>
      <c r="E2759" s="10" t="s">
        <v>2345</v>
      </c>
      <c r="F2759" s="30" t="n">
        <v>42919</v>
      </c>
      <c r="G2759" s="30" t="n">
        <v>42920</v>
      </c>
      <c r="H2759" s="26" t="n">
        <f aca="false">G2759-F2759</f>
        <v>1</v>
      </c>
      <c r="I2759" s="10" t="n">
        <f aca="false">IF(E2759="Won",1,0)</f>
        <v>0</v>
      </c>
    </row>
    <row r="2760" customFormat="false" ht="15" hidden="false" customHeight="false" outlineLevel="0" collapsed="false">
      <c r="A2760" s="10" t="s">
        <v>5101</v>
      </c>
      <c r="B2760" s="10" t="s">
        <v>88</v>
      </c>
      <c r="C2760" s="10" t="s">
        <v>47</v>
      </c>
      <c r="D2760" s="10" t="s">
        <v>286</v>
      </c>
      <c r="E2760" s="10" t="s">
        <v>2342</v>
      </c>
      <c r="F2760" s="30" t="n">
        <v>42919</v>
      </c>
      <c r="G2760" s="30" t="n">
        <v>42920</v>
      </c>
      <c r="H2760" s="26" t="n">
        <f aca="false">G2760-F2760</f>
        <v>1</v>
      </c>
      <c r="I2760" s="10" t="n">
        <f aca="false">IF(E2760="Won",1,0)</f>
        <v>1</v>
      </c>
    </row>
    <row r="2761" customFormat="false" ht="15" hidden="false" customHeight="false" outlineLevel="0" collapsed="false">
      <c r="A2761" s="10" t="s">
        <v>5102</v>
      </c>
      <c r="B2761" s="10" t="s">
        <v>77</v>
      </c>
      <c r="C2761" s="10" t="s">
        <v>48</v>
      </c>
      <c r="D2761" s="10" t="s">
        <v>291</v>
      </c>
      <c r="E2761" s="10" t="s">
        <v>2345</v>
      </c>
      <c r="F2761" s="30" t="n">
        <v>42919</v>
      </c>
      <c r="G2761" s="30" t="n">
        <v>42920</v>
      </c>
      <c r="H2761" s="26" t="n">
        <f aca="false">G2761-F2761</f>
        <v>1</v>
      </c>
      <c r="I2761" s="10" t="n">
        <f aca="false">IF(E2761="Won",1,0)</f>
        <v>0</v>
      </c>
    </row>
    <row r="2762" customFormat="false" ht="15" hidden="false" customHeight="false" outlineLevel="0" collapsed="false">
      <c r="A2762" s="10" t="s">
        <v>5103</v>
      </c>
      <c r="B2762" s="10" t="s">
        <v>97</v>
      </c>
      <c r="C2762" s="10" t="s">
        <v>51</v>
      </c>
      <c r="D2762" s="10" t="s">
        <v>384</v>
      </c>
      <c r="E2762" s="10" t="s">
        <v>2342</v>
      </c>
      <c r="F2762" s="30" t="n">
        <v>42912</v>
      </c>
      <c r="G2762" s="30" t="n">
        <v>42920</v>
      </c>
      <c r="H2762" s="26" t="n">
        <f aca="false">G2762-F2762</f>
        <v>8</v>
      </c>
      <c r="I2762" s="10" t="n">
        <f aca="false">IF(E2762="Won",1,0)</f>
        <v>1</v>
      </c>
    </row>
    <row r="2763" customFormat="false" ht="15" hidden="false" customHeight="false" outlineLevel="0" collapsed="false">
      <c r="A2763" s="10" t="s">
        <v>5104</v>
      </c>
      <c r="B2763" s="10" t="s">
        <v>74</v>
      </c>
      <c r="C2763" s="10" t="s">
        <v>51</v>
      </c>
      <c r="D2763" s="10" t="s">
        <v>524</v>
      </c>
      <c r="E2763" s="10" t="s">
        <v>2345</v>
      </c>
      <c r="F2763" s="30" t="n">
        <v>42918</v>
      </c>
      <c r="G2763" s="30" t="n">
        <v>42920</v>
      </c>
      <c r="H2763" s="26" t="n">
        <f aca="false">G2763-F2763</f>
        <v>2</v>
      </c>
      <c r="I2763" s="10" t="n">
        <f aca="false">IF(E2763="Won",1,0)</f>
        <v>0</v>
      </c>
    </row>
    <row r="2764" customFormat="false" ht="15" hidden="false" customHeight="false" outlineLevel="0" collapsed="false">
      <c r="A2764" s="10" t="s">
        <v>5105</v>
      </c>
      <c r="B2764" s="10" t="s">
        <v>97</v>
      </c>
      <c r="C2764" s="10" t="s">
        <v>51</v>
      </c>
      <c r="D2764" s="10" t="s">
        <v>497</v>
      </c>
      <c r="E2764" s="10" t="s">
        <v>2345</v>
      </c>
      <c r="F2764" s="30" t="n">
        <v>42909</v>
      </c>
      <c r="G2764" s="30" t="n">
        <v>42920</v>
      </c>
      <c r="H2764" s="26" t="n">
        <f aca="false">G2764-F2764</f>
        <v>11</v>
      </c>
      <c r="I2764" s="10" t="n">
        <f aca="false">IF(E2764="Won",1,0)</f>
        <v>0</v>
      </c>
    </row>
    <row r="2765" customFormat="false" ht="15" hidden="false" customHeight="false" outlineLevel="0" collapsed="false">
      <c r="A2765" s="10" t="s">
        <v>5106</v>
      </c>
      <c r="B2765" s="10" t="s">
        <v>77</v>
      </c>
      <c r="C2765" s="10" t="s">
        <v>47</v>
      </c>
      <c r="D2765" s="10" t="s">
        <v>369</v>
      </c>
      <c r="E2765" s="10" t="s">
        <v>2342</v>
      </c>
      <c r="F2765" s="30" t="n">
        <v>42918</v>
      </c>
      <c r="G2765" s="30" t="n">
        <v>42920</v>
      </c>
      <c r="H2765" s="26" t="n">
        <f aca="false">G2765-F2765</f>
        <v>2</v>
      </c>
      <c r="I2765" s="10" t="n">
        <f aca="false">IF(E2765="Won",1,0)</f>
        <v>1</v>
      </c>
    </row>
    <row r="2766" customFormat="false" ht="15" hidden="false" customHeight="false" outlineLevel="0" collapsed="false">
      <c r="A2766" s="10" t="s">
        <v>5107</v>
      </c>
      <c r="B2766" s="10" t="s">
        <v>90</v>
      </c>
      <c r="C2766" s="10" t="s">
        <v>50</v>
      </c>
      <c r="D2766" s="10" t="s">
        <v>359</v>
      </c>
      <c r="E2766" s="10" t="s">
        <v>2342</v>
      </c>
      <c r="F2766" s="30" t="n">
        <v>42909</v>
      </c>
      <c r="G2766" s="30" t="n">
        <v>42920</v>
      </c>
      <c r="H2766" s="26" t="n">
        <f aca="false">G2766-F2766</f>
        <v>11</v>
      </c>
      <c r="I2766" s="10" t="n">
        <f aca="false">IF(E2766="Won",1,0)</f>
        <v>1</v>
      </c>
    </row>
    <row r="2767" customFormat="false" ht="15" hidden="false" customHeight="false" outlineLevel="0" collapsed="false">
      <c r="A2767" s="10" t="s">
        <v>5108</v>
      </c>
      <c r="B2767" s="10" t="s">
        <v>70</v>
      </c>
      <c r="C2767" s="10" t="s">
        <v>51</v>
      </c>
      <c r="D2767" s="10" t="s">
        <v>396</v>
      </c>
      <c r="E2767" s="10" t="s">
        <v>2345</v>
      </c>
      <c r="F2767" s="30" t="n">
        <v>42911</v>
      </c>
      <c r="G2767" s="30" t="n">
        <v>42920</v>
      </c>
      <c r="H2767" s="26" t="n">
        <f aca="false">G2767-F2767</f>
        <v>9</v>
      </c>
      <c r="I2767" s="10" t="n">
        <f aca="false">IF(E2767="Won",1,0)</f>
        <v>0</v>
      </c>
    </row>
    <row r="2768" customFormat="false" ht="15" hidden="false" customHeight="false" outlineLevel="0" collapsed="false">
      <c r="A2768" s="10" t="s">
        <v>5109</v>
      </c>
      <c r="B2768" s="10" t="s">
        <v>86</v>
      </c>
      <c r="C2768" s="10" t="s">
        <v>47</v>
      </c>
      <c r="D2768" s="10" t="s">
        <v>441</v>
      </c>
      <c r="E2768" s="10" t="s">
        <v>2342</v>
      </c>
      <c r="F2768" s="30" t="n">
        <v>42918</v>
      </c>
      <c r="G2768" s="30" t="n">
        <v>42920</v>
      </c>
      <c r="H2768" s="26" t="n">
        <f aca="false">G2768-F2768</f>
        <v>2</v>
      </c>
      <c r="I2768" s="10" t="n">
        <f aca="false">IF(E2768="Won",1,0)</f>
        <v>1</v>
      </c>
    </row>
    <row r="2769" customFormat="false" ht="15" hidden="false" customHeight="false" outlineLevel="0" collapsed="false">
      <c r="A2769" s="10" t="s">
        <v>5110</v>
      </c>
      <c r="B2769" s="10" t="s">
        <v>74</v>
      </c>
      <c r="C2769" s="10" t="s">
        <v>49</v>
      </c>
      <c r="D2769" s="10" t="s">
        <v>422</v>
      </c>
      <c r="E2769" s="10" t="s">
        <v>2345</v>
      </c>
      <c r="F2769" s="30" t="n">
        <v>42911</v>
      </c>
      <c r="G2769" s="30" t="n">
        <v>42920</v>
      </c>
      <c r="H2769" s="26" t="n">
        <f aca="false">G2769-F2769</f>
        <v>9</v>
      </c>
      <c r="I2769" s="10" t="n">
        <f aca="false">IF(E2769="Won",1,0)</f>
        <v>0</v>
      </c>
    </row>
    <row r="2770" customFormat="false" ht="15" hidden="false" customHeight="false" outlineLevel="0" collapsed="false">
      <c r="A2770" s="10" t="s">
        <v>5111</v>
      </c>
      <c r="B2770" s="10" t="s">
        <v>73</v>
      </c>
      <c r="C2770" s="10" t="s">
        <v>49</v>
      </c>
      <c r="D2770" s="10" t="s">
        <v>267</v>
      </c>
      <c r="E2770" s="10" t="s">
        <v>2345</v>
      </c>
      <c r="F2770" s="30" t="n">
        <v>42909</v>
      </c>
      <c r="G2770" s="30" t="n">
        <v>42920</v>
      </c>
      <c r="H2770" s="26" t="n">
        <f aca="false">G2770-F2770</f>
        <v>11</v>
      </c>
      <c r="I2770" s="10" t="n">
        <f aca="false">IF(E2770="Won",1,0)</f>
        <v>0</v>
      </c>
    </row>
    <row r="2771" customFormat="false" ht="15" hidden="false" customHeight="false" outlineLevel="0" collapsed="false">
      <c r="A2771" s="10" t="s">
        <v>5112</v>
      </c>
      <c r="B2771" s="10" t="s">
        <v>90</v>
      </c>
      <c r="C2771" s="10" t="s">
        <v>48</v>
      </c>
      <c r="D2771" s="10" t="s">
        <v>453</v>
      </c>
      <c r="E2771" s="10" t="s">
        <v>2345</v>
      </c>
      <c r="F2771" s="30" t="n">
        <v>42911</v>
      </c>
      <c r="G2771" s="30" t="n">
        <v>42920</v>
      </c>
      <c r="H2771" s="26" t="n">
        <f aca="false">G2771-F2771</f>
        <v>9</v>
      </c>
      <c r="I2771" s="10" t="n">
        <f aca="false">IF(E2771="Won",1,0)</f>
        <v>0</v>
      </c>
    </row>
    <row r="2772" customFormat="false" ht="15" hidden="false" customHeight="false" outlineLevel="0" collapsed="false">
      <c r="A2772" s="10" t="s">
        <v>5113</v>
      </c>
      <c r="B2772" s="10" t="s">
        <v>95</v>
      </c>
      <c r="C2772" s="10" t="s">
        <v>50</v>
      </c>
      <c r="D2772" s="10" t="s">
        <v>606</v>
      </c>
      <c r="E2772" s="10" t="s">
        <v>2342</v>
      </c>
      <c r="F2772" s="30" t="n">
        <v>42914</v>
      </c>
      <c r="G2772" s="30" t="n">
        <v>42920</v>
      </c>
      <c r="H2772" s="26" t="n">
        <f aca="false">G2772-F2772</f>
        <v>6</v>
      </c>
      <c r="I2772" s="10" t="n">
        <f aca="false">IF(E2772="Won",1,0)</f>
        <v>1</v>
      </c>
    </row>
    <row r="2773" customFormat="false" ht="15" hidden="false" customHeight="false" outlineLevel="0" collapsed="false">
      <c r="A2773" s="10" t="s">
        <v>5114</v>
      </c>
      <c r="B2773" s="10" t="s">
        <v>73</v>
      </c>
      <c r="C2773" s="10" t="s">
        <v>52</v>
      </c>
      <c r="D2773" s="10" t="s">
        <v>193</v>
      </c>
      <c r="E2773" s="10" t="s">
        <v>2342</v>
      </c>
      <c r="F2773" s="30" t="n">
        <v>42909</v>
      </c>
      <c r="G2773" s="30" t="n">
        <v>42921</v>
      </c>
      <c r="H2773" s="26" t="n">
        <f aca="false">G2773-F2773</f>
        <v>12</v>
      </c>
      <c r="I2773" s="10" t="n">
        <f aca="false">IF(E2773="Won",1,0)</f>
        <v>1</v>
      </c>
    </row>
    <row r="2774" customFormat="false" ht="15" hidden="false" customHeight="false" outlineLevel="0" collapsed="false">
      <c r="A2774" s="10" t="s">
        <v>5115</v>
      </c>
      <c r="B2774" s="10" t="s">
        <v>76</v>
      </c>
      <c r="C2774" s="10" t="s">
        <v>52</v>
      </c>
      <c r="D2774" s="10" t="s">
        <v>369</v>
      </c>
      <c r="E2774" s="10" t="s">
        <v>2345</v>
      </c>
      <c r="F2774" s="30" t="n">
        <v>42909</v>
      </c>
      <c r="G2774" s="30" t="n">
        <v>42921</v>
      </c>
      <c r="H2774" s="26" t="n">
        <f aca="false">G2774-F2774</f>
        <v>12</v>
      </c>
      <c r="I2774" s="10" t="n">
        <f aca="false">IF(E2774="Won",1,0)</f>
        <v>0</v>
      </c>
    </row>
    <row r="2775" customFormat="false" ht="15" hidden="false" customHeight="false" outlineLevel="0" collapsed="false">
      <c r="A2775" s="10" t="s">
        <v>5116</v>
      </c>
      <c r="B2775" s="10" t="s">
        <v>68</v>
      </c>
      <c r="C2775" s="10" t="s">
        <v>47</v>
      </c>
      <c r="D2775" s="10" t="s">
        <v>172</v>
      </c>
      <c r="E2775" s="10" t="s">
        <v>2345</v>
      </c>
      <c r="F2775" s="30" t="n">
        <v>42914</v>
      </c>
      <c r="G2775" s="30" t="n">
        <v>42921</v>
      </c>
      <c r="H2775" s="26" t="n">
        <f aca="false">G2775-F2775</f>
        <v>7</v>
      </c>
      <c r="I2775" s="10" t="n">
        <f aca="false">IF(E2775="Won",1,0)</f>
        <v>0</v>
      </c>
    </row>
    <row r="2776" customFormat="false" ht="15" hidden="false" customHeight="false" outlineLevel="0" collapsed="false">
      <c r="A2776" s="10" t="s">
        <v>5117</v>
      </c>
      <c r="B2776" s="10" t="s">
        <v>83</v>
      </c>
      <c r="C2776" s="10" t="s">
        <v>50</v>
      </c>
      <c r="D2776" s="10" t="s">
        <v>193</v>
      </c>
      <c r="E2776" s="10" t="s">
        <v>2345</v>
      </c>
      <c r="F2776" s="30" t="n">
        <v>42911</v>
      </c>
      <c r="G2776" s="30" t="n">
        <v>42921</v>
      </c>
      <c r="H2776" s="26" t="n">
        <f aca="false">G2776-F2776</f>
        <v>10</v>
      </c>
      <c r="I2776" s="10" t="n">
        <f aca="false">IF(E2776="Won",1,0)</f>
        <v>0</v>
      </c>
    </row>
    <row r="2777" customFormat="false" ht="15" hidden="false" customHeight="false" outlineLevel="0" collapsed="false">
      <c r="A2777" s="10" t="s">
        <v>5118</v>
      </c>
      <c r="B2777" s="10" t="s">
        <v>77</v>
      </c>
      <c r="C2777" s="10" t="s">
        <v>48</v>
      </c>
      <c r="D2777" s="10" t="s">
        <v>527</v>
      </c>
      <c r="E2777" s="10" t="s">
        <v>2342</v>
      </c>
      <c r="F2777" s="30" t="n">
        <v>42920</v>
      </c>
      <c r="G2777" s="30" t="n">
        <v>42921</v>
      </c>
      <c r="H2777" s="26" t="n">
        <f aca="false">G2777-F2777</f>
        <v>1</v>
      </c>
      <c r="I2777" s="10" t="n">
        <f aca="false">IF(E2777="Won",1,0)</f>
        <v>1</v>
      </c>
    </row>
    <row r="2778" customFormat="false" ht="15" hidden="false" customHeight="false" outlineLevel="0" collapsed="false">
      <c r="A2778" s="10" t="s">
        <v>5119</v>
      </c>
      <c r="B2778" s="10" t="s">
        <v>75</v>
      </c>
      <c r="C2778" s="10" t="s">
        <v>50</v>
      </c>
      <c r="D2778" s="10" t="s">
        <v>524</v>
      </c>
      <c r="E2778" s="10" t="s">
        <v>2342</v>
      </c>
      <c r="F2778" s="30" t="n">
        <v>42920</v>
      </c>
      <c r="G2778" s="30" t="n">
        <v>42921</v>
      </c>
      <c r="H2778" s="26" t="n">
        <f aca="false">G2778-F2778</f>
        <v>1</v>
      </c>
      <c r="I2778" s="10" t="n">
        <f aca="false">IF(E2778="Won",1,0)</f>
        <v>1</v>
      </c>
    </row>
    <row r="2779" customFormat="false" ht="15" hidden="false" customHeight="false" outlineLevel="0" collapsed="false">
      <c r="A2779" s="10" t="s">
        <v>5120</v>
      </c>
      <c r="B2779" s="10" t="s">
        <v>70</v>
      </c>
      <c r="C2779" s="10" t="s">
        <v>52</v>
      </c>
      <c r="D2779" s="10" t="s">
        <v>437</v>
      </c>
      <c r="E2779" s="10" t="s">
        <v>2345</v>
      </c>
      <c r="F2779" s="30" t="n">
        <v>42915</v>
      </c>
      <c r="G2779" s="30" t="n">
        <v>42921</v>
      </c>
      <c r="H2779" s="26" t="n">
        <f aca="false">G2779-F2779</f>
        <v>6</v>
      </c>
      <c r="I2779" s="10" t="n">
        <f aca="false">IF(E2779="Won",1,0)</f>
        <v>0</v>
      </c>
    </row>
    <row r="2780" customFormat="false" ht="15" hidden="false" customHeight="false" outlineLevel="0" collapsed="false">
      <c r="A2780" s="10" t="s">
        <v>5121</v>
      </c>
      <c r="B2780" s="10" t="s">
        <v>88</v>
      </c>
      <c r="C2780" s="10" t="s">
        <v>49</v>
      </c>
      <c r="D2780" s="10" t="s">
        <v>218</v>
      </c>
      <c r="E2780" s="10" t="s">
        <v>2342</v>
      </c>
      <c r="F2780" s="30" t="n">
        <v>42911</v>
      </c>
      <c r="G2780" s="30" t="n">
        <v>42921</v>
      </c>
      <c r="H2780" s="26" t="n">
        <f aca="false">G2780-F2780</f>
        <v>10</v>
      </c>
      <c r="I2780" s="10" t="n">
        <f aca="false">IF(E2780="Won",1,0)</f>
        <v>1</v>
      </c>
    </row>
    <row r="2781" customFormat="false" ht="15" hidden="false" customHeight="false" outlineLevel="0" collapsed="false">
      <c r="A2781" s="10" t="s">
        <v>5122</v>
      </c>
      <c r="B2781" s="10" t="s">
        <v>80</v>
      </c>
      <c r="C2781" s="10" t="s">
        <v>49</v>
      </c>
      <c r="D2781" s="10" t="s">
        <v>483</v>
      </c>
      <c r="E2781" s="10" t="s">
        <v>2342</v>
      </c>
      <c r="F2781" s="30" t="n">
        <v>42919</v>
      </c>
      <c r="G2781" s="30" t="n">
        <v>42921</v>
      </c>
      <c r="H2781" s="26" t="n">
        <f aca="false">G2781-F2781</f>
        <v>2</v>
      </c>
      <c r="I2781" s="10" t="n">
        <f aca="false">IF(E2781="Won",1,0)</f>
        <v>1</v>
      </c>
    </row>
    <row r="2782" customFormat="false" ht="15" hidden="false" customHeight="false" outlineLevel="0" collapsed="false">
      <c r="A2782" s="10" t="s">
        <v>5123</v>
      </c>
      <c r="B2782" s="10" t="s">
        <v>93</v>
      </c>
      <c r="C2782" s="10" t="s">
        <v>47</v>
      </c>
      <c r="D2782" s="10" t="s">
        <v>606</v>
      </c>
      <c r="E2782" s="10" t="s">
        <v>2345</v>
      </c>
      <c r="F2782" s="30" t="n">
        <v>42919</v>
      </c>
      <c r="G2782" s="30" t="n">
        <v>42921</v>
      </c>
      <c r="H2782" s="26" t="n">
        <f aca="false">G2782-F2782</f>
        <v>2</v>
      </c>
      <c r="I2782" s="10" t="n">
        <f aca="false">IF(E2782="Won",1,0)</f>
        <v>0</v>
      </c>
    </row>
    <row r="2783" customFormat="false" ht="15" hidden="false" customHeight="false" outlineLevel="0" collapsed="false">
      <c r="A2783" s="10" t="s">
        <v>5124</v>
      </c>
      <c r="B2783" s="10" t="s">
        <v>75</v>
      </c>
      <c r="C2783" s="10" t="s">
        <v>49</v>
      </c>
      <c r="D2783" s="10" t="s">
        <v>947</v>
      </c>
      <c r="E2783" s="10" t="s">
        <v>2342</v>
      </c>
      <c r="F2783" s="30" t="n">
        <v>42910</v>
      </c>
      <c r="G2783" s="30" t="n">
        <v>42921</v>
      </c>
      <c r="H2783" s="26" t="n">
        <f aca="false">G2783-F2783</f>
        <v>11</v>
      </c>
      <c r="I2783" s="10" t="n">
        <f aca="false">IF(E2783="Won",1,0)</f>
        <v>1</v>
      </c>
    </row>
    <row r="2784" customFormat="false" ht="15" hidden="false" customHeight="false" outlineLevel="0" collapsed="false">
      <c r="A2784" s="10" t="s">
        <v>5125</v>
      </c>
      <c r="B2784" s="10" t="s">
        <v>62</v>
      </c>
      <c r="C2784" s="10" t="s">
        <v>49</v>
      </c>
      <c r="D2784" s="10" t="s">
        <v>274</v>
      </c>
      <c r="E2784" s="10" t="s">
        <v>2345</v>
      </c>
      <c r="F2784" s="30" t="n">
        <v>42910</v>
      </c>
      <c r="G2784" s="30" t="n">
        <v>42921</v>
      </c>
      <c r="H2784" s="26" t="n">
        <f aca="false">G2784-F2784</f>
        <v>11</v>
      </c>
      <c r="I2784" s="10" t="n">
        <f aca="false">IF(E2784="Won",1,0)</f>
        <v>0</v>
      </c>
    </row>
    <row r="2785" customFormat="false" ht="15" hidden="false" customHeight="false" outlineLevel="0" collapsed="false">
      <c r="A2785" s="10" t="s">
        <v>5126</v>
      </c>
      <c r="B2785" s="10" t="s">
        <v>88</v>
      </c>
      <c r="C2785" s="10" t="s">
        <v>51</v>
      </c>
      <c r="D2785" s="10" t="s">
        <v>692</v>
      </c>
      <c r="E2785" s="10" t="s">
        <v>2345</v>
      </c>
      <c r="F2785" s="30" t="n">
        <v>42920</v>
      </c>
      <c r="G2785" s="30" t="n">
        <v>42921</v>
      </c>
      <c r="H2785" s="26" t="n">
        <f aca="false">G2785-F2785</f>
        <v>1</v>
      </c>
      <c r="I2785" s="10" t="n">
        <f aca="false">IF(E2785="Won",1,0)</f>
        <v>0</v>
      </c>
    </row>
    <row r="2786" customFormat="false" ht="15" hidden="false" customHeight="false" outlineLevel="0" collapsed="false">
      <c r="A2786" s="10" t="s">
        <v>5127</v>
      </c>
      <c r="B2786" s="10" t="s">
        <v>68</v>
      </c>
      <c r="C2786" s="10" t="s">
        <v>48</v>
      </c>
      <c r="D2786" s="10" t="s">
        <v>199</v>
      </c>
      <c r="E2786" s="10" t="s">
        <v>2345</v>
      </c>
      <c r="F2786" s="30" t="n">
        <v>42913</v>
      </c>
      <c r="G2786" s="30" t="n">
        <v>42921</v>
      </c>
      <c r="H2786" s="26" t="n">
        <f aca="false">G2786-F2786</f>
        <v>8</v>
      </c>
      <c r="I2786" s="10" t="n">
        <f aca="false">IF(E2786="Won",1,0)</f>
        <v>0</v>
      </c>
    </row>
    <row r="2787" customFormat="false" ht="15" hidden="false" customHeight="false" outlineLevel="0" collapsed="false">
      <c r="A2787" s="10" t="s">
        <v>5128</v>
      </c>
      <c r="B2787" s="10" t="s">
        <v>81</v>
      </c>
      <c r="C2787" s="10" t="s">
        <v>47</v>
      </c>
      <c r="D2787" s="10" t="s">
        <v>597</v>
      </c>
      <c r="E2787" s="10" t="s">
        <v>2342</v>
      </c>
      <c r="F2787" s="30" t="n">
        <v>42912</v>
      </c>
      <c r="G2787" s="30" t="n">
        <v>42921</v>
      </c>
      <c r="H2787" s="26" t="n">
        <f aca="false">G2787-F2787</f>
        <v>9</v>
      </c>
      <c r="I2787" s="10" t="n">
        <f aca="false">IF(E2787="Won",1,0)</f>
        <v>1</v>
      </c>
    </row>
    <row r="2788" customFormat="false" ht="15" hidden="false" customHeight="false" outlineLevel="0" collapsed="false">
      <c r="A2788" s="10" t="s">
        <v>5129</v>
      </c>
      <c r="B2788" s="10" t="s">
        <v>80</v>
      </c>
      <c r="C2788" s="10" t="s">
        <v>49</v>
      </c>
      <c r="D2788" s="10" t="s">
        <v>512</v>
      </c>
      <c r="E2788" s="10" t="s">
        <v>2345</v>
      </c>
      <c r="F2788" s="30" t="n">
        <v>42914</v>
      </c>
      <c r="G2788" s="30" t="n">
        <v>42921</v>
      </c>
      <c r="H2788" s="26" t="n">
        <f aca="false">G2788-F2788</f>
        <v>7</v>
      </c>
      <c r="I2788" s="10" t="n">
        <f aca="false">IF(E2788="Won",1,0)</f>
        <v>0</v>
      </c>
    </row>
    <row r="2789" customFormat="false" ht="15" hidden="false" customHeight="false" outlineLevel="0" collapsed="false">
      <c r="A2789" s="10" t="s">
        <v>5130</v>
      </c>
      <c r="B2789" s="10" t="s">
        <v>76</v>
      </c>
      <c r="C2789" s="10" t="s">
        <v>52</v>
      </c>
      <c r="D2789" s="10" t="s">
        <v>410</v>
      </c>
      <c r="E2789" s="10" t="s">
        <v>2342</v>
      </c>
      <c r="F2789" s="30" t="n">
        <v>42920</v>
      </c>
      <c r="G2789" s="30" t="n">
        <v>42921</v>
      </c>
      <c r="H2789" s="26" t="n">
        <f aca="false">G2789-F2789</f>
        <v>1</v>
      </c>
      <c r="I2789" s="10" t="n">
        <f aca="false">IF(E2789="Won",1,0)</f>
        <v>1</v>
      </c>
    </row>
    <row r="2790" customFormat="false" ht="15" hidden="false" customHeight="false" outlineLevel="0" collapsed="false">
      <c r="A2790" s="10" t="s">
        <v>5131</v>
      </c>
      <c r="B2790" s="10" t="s">
        <v>66</v>
      </c>
      <c r="C2790" s="10" t="s">
        <v>48</v>
      </c>
      <c r="D2790" s="10" t="s">
        <v>711</v>
      </c>
      <c r="E2790" s="10" t="s">
        <v>2345</v>
      </c>
      <c r="F2790" s="30" t="n">
        <v>42912</v>
      </c>
      <c r="G2790" s="30" t="n">
        <v>42921</v>
      </c>
      <c r="H2790" s="26" t="n">
        <f aca="false">G2790-F2790</f>
        <v>9</v>
      </c>
      <c r="I2790" s="10" t="n">
        <f aca="false">IF(E2790="Won",1,0)</f>
        <v>0</v>
      </c>
    </row>
    <row r="2791" customFormat="false" ht="15" hidden="false" customHeight="false" outlineLevel="0" collapsed="false">
      <c r="A2791" s="10" t="s">
        <v>5132</v>
      </c>
      <c r="B2791" s="10" t="s">
        <v>75</v>
      </c>
      <c r="C2791" s="10" t="s">
        <v>51</v>
      </c>
      <c r="D2791" s="10" t="s">
        <v>869</v>
      </c>
      <c r="E2791" s="10" t="s">
        <v>2342</v>
      </c>
      <c r="F2791" s="30" t="n">
        <v>42913</v>
      </c>
      <c r="G2791" s="30" t="n">
        <v>42921</v>
      </c>
      <c r="H2791" s="26" t="n">
        <f aca="false">G2791-F2791</f>
        <v>8</v>
      </c>
      <c r="I2791" s="10" t="n">
        <f aca="false">IF(E2791="Won",1,0)</f>
        <v>1</v>
      </c>
    </row>
    <row r="2792" customFormat="false" ht="15" hidden="false" customHeight="false" outlineLevel="0" collapsed="false">
      <c r="A2792" s="10" t="s">
        <v>5133</v>
      </c>
      <c r="B2792" s="10" t="s">
        <v>77</v>
      </c>
      <c r="C2792" s="10" t="s">
        <v>52</v>
      </c>
      <c r="D2792" s="10" t="s">
        <v>762</v>
      </c>
      <c r="E2792" s="10" t="s">
        <v>2342</v>
      </c>
      <c r="F2792" s="30" t="n">
        <v>42915</v>
      </c>
      <c r="G2792" s="30" t="n">
        <v>42922</v>
      </c>
      <c r="H2792" s="26" t="n">
        <f aca="false">G2792-F2792</f>
        <v>7</v>
      </c>
      <c r="I2792" s="10" t="n">
        <f aca="false">IF(E2792="Won",1,0)</f>
        <v>1</v>
      </c>
    </row>
    <row r="2793" customFormat="false" ht="15" hidden="false" customHeight="false" outlineLevel="0" collapsed="false">
      <c r="A2793" s="10" t="s">
        <v>5134</v>
      </c>
      <c r="B2793" s="10" t="s">
        <v>77</v>
      </c>
      <c r="C2793" s="10" t="s">
        <v>48</v>
      </c>
      <c r="D2793" s="10" t="s">
        <v>311</v>
      </c>
      <c r="E2793" s="10" t="s">
        <v>2345</v>
      </c>
      <c r="F2793" s="30" t="n">
        <v>42914</v>
      </c>
      <c r="G2793" s="30" t="n">
        <v>42922</v>
      </c>
      <c r="H2793" s="26" t="n">
        <f aca="false">G2793-F2793</f>
        <v>8</v>
      </c>
      <c r="I2793" s="10" t="n">
        <f aca="false">IF(E2793="Won",1,0)</f>
        <v>0</v>
      </c>
    </row>
    <row r="2794" customFormat="false" ht="15" hidden="false" customHeight="false" outlineLevel="0" collapsed="false">
      <c r="A2794" s="10" t="s">
        <v>5135</v>
      </c>
      <c r="B2794" s="10" t="s">
        <v>97</v>
      </c>
      <c r="C2794" s="10" t="s">
        <v>49</v>
      </c>
      <c r="D2794" s="10" t="s">
        <v>432</v>
      </c>
      <c r="E2794" s="10" t="s">
        <v>2345</v>
      </c>
      <c r="F2794" s="30" t="n">
        <v>42918</v>
      </c>
      <c r="G2794" s="30" t="n">
        <v>42922</v>
      </c>
      <c r="H2794" s="26" t="n">
        <f aca="false">G2794-F2794</f>
        <v>4</v>
      </c>
      <c r="I2794" s="10" t="n">
        <f aca="false">IF(E2794="Won",1,0)</f>
        <v>0</v>
      </c>
    </row>
    <row r="2795" customFormat="false" ht="15" hidden="false" customHeight="false" outlineLevel="0" collapsed="false">
      <c r="A2795" s="10" t="s">
        <v>5136</v>
      </c>
      <c r="B2795" s="10" t="s">
        <v>71</v>
      </c>
      <c r="C2795" s="10" t="s">
        <v>52</v>
      </c>
      <c r="D2795" s="10" t="s">
        <v>512</v>
      </c>
      <c r="E2795" s="10" t="s">
        <v>2342</v>
      </c>
      <c r="F2795" s="30" t="n">
        <v>42920</v>
      </c>
      <c r="G2795" s="30" t="n">
        <v>42922</v>
      </c>
      <c r="H2795" s="26" t="n">
        <f aca="false">G2795-F2795</f>
        <v>2</v>
      </c>
      <c r="I2795" s="10" t="n">
        <f aca="false">IF(E2795="Won",1,0)</f>
        <v>1</v>
      </c>
    </row>
    <row r="2796" customFormat="false" ht="15" hidden="false" customHeight="false" outlineLevel="0" collapsed="false">
      <c r="A2796" s="10" t="s">
        <v>5137</v>
      </c>
      <c r="B2796" s="10" t="s">
        <v>88</v>
      </c>
      <c r="C2796" s="10" t="s">
        <v>51</v>
      </c>
      <c r="D2796" s="10" t="s">
        <v>378</v>
      </c>
      <c r="E2796" s="10" t="s">
        <v>2342</v>
      </c>
      <c r="F2796" s="30" t="n">
        <v>42912</v>
      </c>
      <c r="G2796" s="30" t="n">
        <v>42922</v>
      </c>
      <c r="H2796" s="26" t="n">
        <f aca="false">G2796-F2796</f>
        <v>10</v>
      </c>
      <c r="I2796" s="10" t="n">
        <f aca="false">IF(E2796="Won",1,0)</f>
        <v>1</v>
      </c>
    </row>
    <row r="2797" customFormat="false" ht="15" hidden="false" customHeight="false" outlineLevel="0" collapsed="false">
      <c r="A2797" s="10" t="s">
        <v>5138</v>
      </c>
      <c r="B2797" s="10" t="s">
        <v>94</v>
      </c>
      <c r="C2797" s="10" t="s">
        <v>48</v>
      </c>
      <c r="D2797" s="10" t="s">
        <v>172</v>
      </c>
      <c r="E2797" s="10" t="s">
        <v>2345</v>
      </c>
      <c r="F2797" s="30" t="n">
        <v>42920</v>
      </c>
      <c r="G2797" s="30" t="n">
        <v>42922</v>
      </c>
      <c r="H2797" s="26" t="n">
        <f aca="false">G2797-F2797</f>
        <v>2</v>
      </c>
      <c r="I2797" s="10" t="n">
        <f aca="false">IF(E2797="Won",1,0)</f>
        <v>0</v>
      </c>
    </row>
    <row r="2798" customFormat="false" ht="15" hidden="false" customHeight="false" outlineLevel="0" collapsed="false">
      <c r="A2798" s="10" t="s">
        <v>5139</v>
      </c>
      <c r="B2798" s="10" t="s">
        <v>70</v>
      </c>
      <c r="C2798" s="10" t="s">
        <v>51</v>
      </c>
      <c r="D2798" s="10" t="s">
        <v>483</v>
      </c>
      <c r="E2798" s="10" t="s">
        <v>2345</v>
      </c>
      <c r="F2798" s="30" t="n">
        <v>42921</v>
      </c>
      <c r="G2798" s="30" t="n">
        <v>42922</v>
      </c>
      <c r="H2798" s="26" t="n">
        <f aca="false">G2798-F2798</f>
        <v>1</v>
      </c>
      <c r="I2798" s="10" t="n">
        <f aca="false">IF(E2798="Won",1,0)</f>
        <v>0</v>
      </c>
    </row>
    <row r="2799" customFormat="false" ht="15" hidden="false" customHeight="false" outlineLevel="0" collapsed="false">
      <c r="A2799" s="10" t="s">
        <v>5140</v>
      </c>
      <c r="B2799" s="10" t="s">
        <v>73</v>
      </c>
      <c r="C2799" s="10" t="s">
        <v>51</v>
      </c>
      <c r="D2799" s="10" t="s">
        <v>259</v>
      </c>
      <c r="E2799" s="10" t="s">
        <v>2342</v>
      </c>
      <c r="F2799" s="30" t="n">
        <v>42912</v>
      </c>
      <c r="G2799" s="30" t="n">
        <v>42922</v>
      </c>
      <c r="H2799" s="26" t="n">
        <f aca="false">G2799-F2799</f>
        <v>10</v>
      </c>
      <c r="I2799" s="10" t="n">
        <f aca="false">IF(E2799="Won",1,0)</f>
        <v>1</v>
      </c>
    </row>
    <row r="2800" customFormat="false" ht="15" hidden="false" customHeight="false" outlineLevel="0" collapsed="false">
      <c r="A2800" s="10" t="s">
        <v>5141</v>
      </c>
      <c r="B2800" s="10" t="s">
        <v>86</v>
      </c>
      <c r="C2800" s="10" t="s">
        <v>49</v>
      </c>
      <c r="D2800" s="10" t="s">
        <v>277</v>
      </c>
      <c r="E2800" s="10" t="s">
        <v>2342</v>
      </c>
      <c r="F2800" s="30" t="n">
        <v>42921</v>
      </c>
      <c r="G2800" s="30" t="n">
        <v>42922</v>
      </c>
      <c r="H2800" s="26" t="n">
        <f aca="false">G2800-F2800</f>
        <v>1</v>
      </c>
      <c r="I2800" s="10" t="n">
        <f aca="false">IF(E2800="Won",1,0)</f>
        <v>1</v>
      </c>
    </row>
    <row r="2801" customFormat="false" ht="15" hidden="false" customHeight="false" outlineLevel="0" collapsed="false">
      <c r="A2801" s="10" t="s">
        <v>5142</v>
      </c>
      <c r="B2801" s="10" t="s">
        <v>80</v>
      </c>
      <c r="C2801" s="10" t="s">
        <v>49</v>
      </c>
      <c r="D2801" s="10" t="s">
        <v>512</v>
      </c>
      <c r="E2801" s="10" t="s">
        <v>2345</v>
      </c>
      <c r="F2801" s="30" t="n">
        <v>42921</v>
      </c>
      <c r="G2801" s="30" t="n">
        <v>42922</v>
      </c>
      <c r="H2801" s="26" t="n">
        <f aca="false">G2801-F2801</f>
        <v>1</v>
      </c>
      <c r="I2801" s="10" t="n">
        <f aca="false">IF(E2801="Won",1,0)</f>
        <v>0</v>
      </c>
    </row>
    <row r="2802" customFormat="false" ht="15" hidden="false" customHeight="false" outlineLevel="0" collapsed="false">
      <c r="A2802" s="10" t="s">
        <v>5143</v>
      </c>
      <c r="B2802" s="10" t="s">
        <v>93</v>
      </c>
      <c r="C2802" s="10" t="s">
        <v>48</v>
      </c>
      <c r="D2802" s="10" t="s">
        <v>483</v>
      </c>
      <c r="E2802" s="10" t="s">
        <v>2342</v>
      </c>
      <c r="F2802" s="30" t="n">
        <v>42921</v>
      </c>
      <c r="G2802" s="30" t="n">
        <v>42922</v>
      </c>
      <c r="H2802" s="26" t="n">
        <f aca="false">G2802-F2802</f>
        <v>1</v>
      </c>
      <c r="I2802" s="10" t="n">
        <f aca="false">IF(E2802="Won",1,0)</f>
        <v>1</v>
      </c>
    </row>
    <row r="2803" customFormat="false" ht="15" hidden="false" customHeight="false" outlineLevel="0" collapsed="false">
      <c r="A2803" s="10" t="s">
        <v>5144</v>
      </c>
      <c r="B2803" s="10" t="s">
        <v>77</v>
      </c>
      <c r="C2803" s="10" t="s">
        <v>48</v>
      </c>
      <c r="D2803" s="10" t="s">
        <v>869</v>
      </c>
      <c r="E2803" s="10" t="s">
        <v>2345</v>
      </c>
      <c r="F2803" s="30" t="n">
        <v>42915</v>
      </c>
      <c r="G2803" s="30" t="n">
        <v>42922</v>
      </c>
      <c r="H2803" s="26" t="n">
        <f aca="false">G2803-F2803</f>
        <v>7</v>
      </c>
      <c r="I2803" s="10" t="n">
        <f aca="false">IF(E2803="Won",1,0)</f>
        <v>0</v>
      </c>
    </row>
    <row r="2804" customFormat="false" ht="15" hidden="false" customHeight="false" outlineLevel="0" collapsed="false">
      <c r="A2804" s="10" t="s">
        <v>5145</v>
      </c>
      <c r="B2804" s="10" t="s">
        <v>88</v>
      </c>
      <c r="C2804" s="10" t="s">
        <v>51</v>
      </c>
      <c r="D2804" s="10" t="s">
        <v>637</v>
      </c>
      <c r="E2804" s="10" t="s">
        <v>2345</v>
      </c>
      <c r="F2804" s="30" t="n">
        <v>42921</v>
      </c>
      <c r="G2804" s="30" t="n">
        <v>42922</v>
      </c>
      <c r="H2804" s="26" t="n">
        <f aca="false">G2804-F2804</f>
        <v>1</v>
      </c>
      <c r="I2804" s="10" t="n">
        <f aca="false">IF(E2804="Won",1,0)</f>
        <v>0</v>
      </c>
    </row>
    <row r="2805" customFormat="false" ht="15" hidden="false" customHeight="false" outlineLevel="0" collapsed="false">
      <c r="A2805" s="10" t="s">
        <v>5146</v>
      </c>
      <c r="B2805" s="10" t="s">
        <v>76</v>
      </c>
      <c r="C2805" s="10" t="s">
        <v>52</v>
      </c>
      <c r="D2805" s="10" t="s">
        <v>321</v>
      </c>
      <c r="E2805" s="10" t="s">
        <v>2345</v>
      </c>
      <c r="F2805" s="30" t="n">
        <v>42920</v>
      </c>
      <c r="G2805" s="30" t="n">
        <v>42922</v>
      </c>
      <c r="H2805" s="26" t="n">
        <f aca="false">G2805-F2805</f>
        <v>2</v>
      </c>
      <c r="I2805" s="10" t="n">
        <f aca="false">IF(E2805="Won",1,0)</f>
        <v>0</v>
      </c>
    </row>
    <row r="2806" customFormat="false" ht="15" hidden="false" customHeight="false" outlineLevel="0" collapsed="false">
      <c r="A2806" s="10" t="s">
        <v>5147</v>
      </c>
      <c r="B2806" s="10" t="s">
        <v>74</v>
      </c>
      <c r="C2806" s="10" t="s">
        <v>49</v>
      </c>
      <c r="D2806" s="10" t="s">
        <v>597</v>
      </c>
      <c r="E2806" s="10" t="s">
        <v>2345</v>
      </c>
      <c r="F2806" s="30" t="n">
        <v>42915</v>
      </c>
      <c r="G2806" s="30" t="n">
        <v>42922</v>
      </c>
      <c r="H2806" s="26" t="n">
        <f aca="false">G2806-F2806</f>
        <v>7</v>
      </c>
      <c r="I2806" s="10" t="n">
        <f aca="false">IF(E2806="Won",1,0)</f>
        <v>0</v>
      </c>
    </row>
    <row r="2807" customFormat="false" ht="15" hidden="false" customHeight="false" outlineLevel="0" collapsed="false">
      <c r="A2807" s="10" t="s">
        <v>5148</v>
      </c>
      <c r="B2807" s="10" t="s">
        <v>79</v>
      </c>
      <c r="C2807" s="10" t="s">
        <v>49</v>
      </c>
      <c r="D2807" s="10" t="s">
        <v>697</v>
      </c>
      <c r="E2807" s="10" t="s">
        <v>2342</v>
      </c>
      <c r="F2807" s="30" t="n">
        <v>42917</v>
      </c>
      <c r="G2807" s="30" t="n">
        <v>42922</v>
      </c>
      <c r="H2807" s="26" t="n">
        <f aca="false">G2807-F2807</f>
        <v>5</v>
      </c>
      <c r="I2807" s="10" t="n">
        <f aca="false">IF(E2807="Won",1,0)</f>
        <v>1</v>
      </c>
    </row>
    <row r="2808" customFormat="false" ht="15" hidden="false" customHeight="false" outlineLevel="0" collapsed="false">
      <c r="A2808" s="10" t="s">
        <v>5149</v>
      </c>
      <c r="B2808" s="10" t="s">
        <v>68</v>
      </c>
      <c r="C2808" s="10" t="s">
        <v>51</v>
      </c>
      <c r="D2808" s="10" t="s">
        <v>210</v>
      </c>
      <c r="E2808" s="10" t="s">
        <v>2345</v>
      </c>
      <c r="F2808" s="30" t="n">
        <v>42913</v>
      </c>
      <c r="G2808" s="30" t="n">
        <v>42922</v>
      </c>
      <c r="H2808" s="26" t="n">
        <f aca="false">G2808-F2808</f>
        <v>9</v>
      </c>
      <c r="I2808" s="10" t="n">
        <f aca="false">IF(E2808="Won",1,0)</f>
        <v>0</v>
      </c>
    </row>
    <row r="2809" customFormat="false" ht="15" hidden="false" customHeight="false" outlineLevel="0" collapsed="false">
      <c r="A2809" s="10" t="s">
        <v>5150</v>
      </c>
      <c r="B2809" s="10" t="s">
        <v>95</v>
      </c>
      <c r="C2809" s="10" t="s">
        <v>51</v>
      </c>
      <c r="D2809" s="10" t="s">
        <v>227</v>
      </c>
      <c r="E2809" s="10" t="s">
        <v>2345</v>
      </c>
      <c r="F2809" s="30" t="n">
        <v>42915</v>
      </c>
      <c r="G2809" s="30" t="n">
        <v>42922</v>
      </c>
      <c r="H2809" s="26" t="n">
        <f aca="false">G2809-F2809</f>
        <v>7</v>
      </c>
      <c r="I2809" s="10" t="n">
        <f aca="false">IF(E2809="Won",1,0)</f>
        <v>0</v>
      </c>
    </row>
    <row r="2810" customFormat="false" ht="15" hidden="false" customHeight="false" outlineLevel="0" collapsed="false">
      <c r="A2810" s="10" t="s">
        <v>5151</v>
      </c>
      <c r="B2810" s="10" t="s">
        <v>77</v>
      </c>
      <c r="C2810" s="10" t="s">
        <v>48</v>
      </c>
      <c r="D2810" s="10" t="s">
        <v>536</v>
      </c>
      <c r="E2810" s="10" t="s">
        <v>2342</v>
      </c>
      <c r="F2810" s="30" t="n">
        <v>42913</v>
      </c>
      <c r="G2810" s="30" t="n">
        <v>42922</v>
      </c>
      <c r="H2810" s="26" t="n">
        <f aca="false">G2810-F2810</f>
        <v>9</v>
      </c>
      <c r="I2810" s="10" t="n">
        <f aca="false">IF(E2810="Won",1,0)</f>
        <v>1</v>
      </c>
    </row>
    <row r="2811" customFormat="false" ht="15" hidden="false" customHeight="false" outlineLevel="0" collapsed="false">
      <c r="A2811" s="10" t="s">
        <v>5152</v>
      </c>
      <c r="B2811" s="10" t="s">
        <v>70</v>
      </c>
      <c r="C2811" s="10" t="s">
        <v>49</v>
      </c>
      <c r="D2811" s="10" t="s">
        <v>313</v>
      </c>
      <c r="E2811" s="10" t="s">
        <v>2345</v>
      </c>
      <c r="F2811" s="30" t="n">
        <v>42913</v>
      </c>
      <c r="G2811" s="30" t="n">
        <v>42922</v>
      </c>
      <c r="H2811" s="26" t="n">
        <f aca="false">G2811-F2811</f>
        <v>9</v>
      </c>
      <c r="I2811" s="10" t="n">
        <f aca="false">IF(E2811="Won",1,0)</f>
        <v>0</v>
      </c>
    </row>
    <row r="2812" customFormat="false" ht="15" hidden="false" customHeight="false" outlineLevel="0" collapsed="false">
      <c r="A2812" s="10" t="s">
        <v>5153</v>
      </c>
      <c r="B2812" s="10" t="s">
        <v>77</v>
      </c>
      <c r="C2812" s="10" t="s">
        <v>51</v>
      </c>
      <c r="D2812" s="10" t="s">
        <v>210</v>
      </c>
      <c r="E2812" s="10" t="s">
        <v>2345</v>
      </c>
      <c r="F2812" s="30" t="n">
        <v>42913</v>
      </c>
      <c r="G2812" s="30" t="n">
        <v>42922</v>
      </c>
      <c r="H2812" s="26" t="n">
        <f aca="false">G2812-F2812</f>
        <v>9</v>
      </c>
      <c r="I2812" s="10" t="n">
        <f aca="false">IF(E2812="Won",1,0)</f>
        <v>0</v>
      </c>
    </row>
    <row r="2813" customFormat="false" ht="15" hidden="false" customHeight="false" outlineLevel="0" collapsed="false">
      <c r="A2813" s="10" t="s">
        <v>5154</v>
      </c>
      <c r="B2813" s="10" t="s">
        <v>77</v>
      </c>
      <c r="C2813" s="10" t="s">
        <v>48</v>
      </c>
      <c r="D2813" s="10" t="s">
        <v>353</v>
      </c>
      <c r="E2813" s="10" t="s">
        <v>2342</v>
      </c>
      <c r="F2813" s="30" t="n">
        <v>42916</v>
      </c>
      <c r="G2813" s="30" t="n">
        <v>42922</v>
      </c>
      <c r="H2813" s="26" t="n">
        <f aca="false">G2813-F2813</f>
        <v>6</v>
      </c>
      <c r="I2813" s="10" t="n">
        <f aca="false">IF(E2813="Won",1,0)</f>
        <v>1</v>
      </c>
    </row>
    <row r="2814" customFormat="false" ht="15" hidden="false" customHeight="false" outlineLevel="0" collapsed="false">
      <c r="A2814" s="10" t="s">
        <v>5155</v>
      </c>
      <c r="B2814" s="10" t="s">
        <v>71</v>
      </c>
      <c r="C2814" s="10" t="s">
        <v>50</v>
      </c>
      <c r="D2814" s="10" t="s">
        <v>414</v>
      </c>
      <c r="E2814" s="10" t="s">
        <v>2342</v>
      </c>
      <c r="F2814" s="30" t="n">
        <v>42913</v>
      </c>
      <c r="G2814" s="30" t="n">
        <v>42922</v>
      </c>
      <c r="H2814" s="26" t="n">
        <f aca="false">G2814-F2814</f>
        <v>9</v>
      </c>
      <c r="I2814" s="10" t="n">
        <f aca="false">IF(E2814="Won",1,0)</f>
        <v>1</v>
      </c>
    </row>
    <row r="2815" customFormat="false" ht="15" hidden="false" customHeight="false" outlineLevel="0" collapsed="false">
      <c r="A2815" s="10" t="s">
        <v>5156</v>
      </c>
      <c r="B2815" s="10" t="s">
        <v>68</v>
      </c>
      <c r="C2815" s="10" t="s">
        <v>52</v>
      </c>
      <c r="D2815" s="10" t="s">
        <v>606</v>
      </c>
      <c r="E2815" s="10" t="s">
        <v>2345</v>
      </c>
      <c r="F2815" s="30" t="n">
        <v>42915</v>
      </c>
      <c r="G2815" s="30" t="n">
        <v>42922</v>
      </c>
      <c r="H2815" s="26" t="n">
        <f aca="false">G2815-F2815</f>
        <v>7</v>
      </c>
      <c r="I2815" s="10" t="n">
        <f aca="false">IF(E2815="Won",1,0)</f>
        <v>0</v>
      </c>
    </row>
    <row r="2816" customFormat="false" ht="15" hidden="false" customHeight="false" outlineLevel="0" collapsed="false">
      <c r="A2816" s="10" t="s">
        <v>5157</v>
      </c>
      <c r="B2816" s="10" t="s">
        <v>70</v>
      </c>
      <c r="C2816" s="10" t="s">
        <v>48</v>
      </c>
      <c r="D2816" s="10" t="s">
        <v>986</v>
      </c>
      <c r="E2816" s="10" t="s">
        <v>2345</v>
      </c>
      <c r="F2816" s="30" t="n">
        <v>42909</v>
      </c>
      <c r="G2816" s="30" t="n">
        <v>42922</v>
      </c>
      <c r="H2816" s="26" t="n">
        <f aca="false">G2816-F2816</f>
        <v>13</v>
      </c>
      <c r="I2816" s="10" t="n">
        <f aca="false">IF(E2816="Won",1,0)</f>
        <v>0</v>
      </c>
    </row>
    <row r="2817" customFormat="false" ht="15" hidden="false" customHeight="false" outlineLevel="0" collapsed="false">
      <c r="A2817" s="10" t="s">
        <v>5158</v>
      </c>
      <c r="B2817" s="10" t="s">
        <v>75</v>
      </c>
      <c r="C2817" s="10" t="s">
        <v>49</v>
      </c>
      <c r="D2817" s="10" t="s">
        <v>527</v>
      </c>
      <c r="E2817" s="10" t="s">
        <v>2342</v>
      </c>
      <c r="F2817" s="30" t="n">
        <v>42915</v>
      </c>
      <c r="G2817" s="30" t="n">
        <v>42922</v>
      </c>
      <c r="H2817" s="26" t="n">
        <f aca="false">G2817-F2817</f>
        <v>7</v>
      </c>
      <c r="I2817" s="10" t="n">
        <f aca="false">IF(E2817="Won",1,0)</f>
        <v>1</v>
      </c>
    </row>
    <row r="2818" customFormat="false" ht="15" hidden="false" customHeight="false" outlineLevel="0" collapsed="false">
      <c r="A2818" s="10" t="s">
        <v>5159</v>
      </c>
      <c r="B2818" s="10" t="s">
        <v>68</v>
      </c>
      <c r="C2818" s="10" t="s">
        <v>52</v>
      </c>
      <c r="D2818" s="10" t="s">
        <v>210</v>
      </c>
      <c r="E2818" s="10" t="s">
        <v>2345</v>
      </c>
      <c r="F2818" s="30" t="n">
        <v>42915</v>
      </c>
      <c r="G2818" s="30" t="n">
        <v>42922</v>
      </c>
      <c r="H2818" s="26" t="n">
        <f aca="false">G2818-F2818</f>
        <v>7</v>
      </c>
      <c r="I2818" s="10" t="n">
        <f aca="false">IF(E2818="Won",1,0)</f>
        <v>0</v>
      </c>
    </row>
    <row r="2819" customFormat="false" ht="15" hidden="false" customHeight="false" outlineLevel="0" collapsed="false">
      <c r="A2819" s="10" t="s">
        <v>5160</v>
      </c>
      <c r="B2819" s="10" t="s">
        <v>96</v>
      </c>
      <c r="C2819" s="10" t="s">
        <v>51</v>
      </c>
      <c r="D2819" s="10" t="s">
        <v>424</v>
      </c>
      <c r="E2819" s="10" t="s">
        <v>2342</v>
      </c>
      <c r="F2819" s="30" t="n">
        <v>42912</v>
      </c>
      <c r="G2819" s="30" t="n">
        <v>42922</v>
      </c>
      <c r="H2819" s="26" t="n">
        <f aca="false">G2819-F2819</f>
        <v>10</v>
      </c>
      <c r="I2819" s="10" t="n">
        <f aca="false">IF(E2819="Won",1,0)</f>
        <v>1</v>
      </c>
    </row>
    <row r="2820" customFormat="false" ht="15" hidden="false" customHeight="false" outlineLevel="0" collapsed="false">
      <c r="A2820" s="10" t="s">
        <v>5161</v>
      </c>
      <c r="B2820" s="10" t="s">
        <v>87</v>
      </c>
      <c r="C2820" s="10" t="s">
        <v>52</v>
      </c>
      <c r="D2820" s="10" t="s">
        <v>277</v>
      </c>
      <c r="E2820" s="10" t="s">
        <v>2345</v>
      </c>
      <c r="F2820" s="30" t="n">
        <v>42912</v>
      </c>
      <c r="G2820" s="30" t="n">
        <v>42923</v>
      </c>
      <c r="H2820" s="26" t="n">
        <f aca="false">G2820-F2820</f>
        <v>11</v>
      </c>
      <c r="I2820" s="10" t="n">
        <f aca="false">IF(E2820="Won",1,0)</f>
        <v>0</v>
      </c>
    </row>
    <row r="2821" customFormat="false" ht="15" hidden="false" customHeight="false" outlineLevel="0" collapsed="false">
      <c r="A2821" s="10" t="s">
        <v>5162</v>
      </c>
      <c r="B2821" s="10" t="s">
        <v>95</v>
      </c>
      <c r="C2821" s="10" t="s">
        <v>51</v>
      </c>
      <c r="D2821" s="10" t="s">
        <v>344</v>
      </c>
      <c r="E2821" s="10" t="s">
        <v>2342</v>
      </c>
      <c r="F2821" s="30" t="n">
        <v>42917</v>
      </c>
      <c r="G2821" s="30" t="n">
        <v>42923</v>
      </c>
      <c r="H2821" s="26" t="n">
        <f aca="false">G2821-F2821</f>
        <v>6</v>
      </c>
      <c r="I2821" s="10" t="n">
        <f aca="false">IF(E2821="Won",1,0)</f>
        <v>1</v>
      </c>
    </row>
    <row r="2822" customFormat="false" ht="15" hidden="false" customHeight="false" outlineLevel="0" collapsed="false">
      <c r="A2822" s="10" t="s">
        <v>5163</v>
      </c>
      <c r="B2822" s="10" t="s">
        <v>74</v>
      </c>
      <c r="C2822" s="10" t="s">
        <v>51</v>
      </c>
      <c r="D2822" s="10" t="s">
        <v>1948</v>
      </c>
      <c r="E2822" s="10" t="s">
        <v>2345</v>
      </c>
      <c r="F2822" s="30" t="n">
        <v>42921</v>
      </c>
      <c r="G2822" s="30" t="n">
        <v>42923</v>
      </c>
      <c r="H2822" s="26" t="n">
        <f aca="false">G2822-F2822</f>
        <v>2</v>
      </c>
      <c r="I2822" s="10" t="n">
        <f aca="false">IF(E2822="Won",1,0)</f>
        <v>0</v>
      </c>
    </row>
    <row r="2823" customFormat="false" ht="15" hidden="false" customHeight="false" outlineLevel="0" collapsed="false">
      <c r="A2823" s="10" t="s">
        <v>5164</v>
      </c>
      <c r="B2823" s="10" t="s">
        <v>79</v>
      </c>
      <c r="C2823" s="10" t="s">
        <v>49</v>
      </c>
      <c r="D2823" s="10" t="s">
        <v>353</v>
      </c>
      <c r="E2823" s="10" t="s">
        <v>2342</v>
      </c>
      <c r="F2823" s="30" t="n">
        <v>42914</v>
      </c>
      <c r="G2823" s="30" t="n">
        <v>42923</v>
      </c>
      <c r="H2823" s="26" t="n">
        <f aca="false">G2823-F2823</f>
        <v>9</v>
      </c>
      <c r="I2823" s="10" t="n">
        <f aca="false">IF(E2823="Won",1,0)</f>
        <v>1</v>
      </c>
    </row>
    <row r="2824" customFormat="false" ht="15" hidden="false" customHeight="false" outlineLevel="0" collapsed="false">
      <c r="A2824" s="10" t="s">
        <v>5165</v>
      </c>
      <c r="B2824" s="10" t="s">
        <v>81</v>
      </c>
      <c r="C2824" s="10" t="s">
        <v>47</v>
      </c>
      <c r="D2824" s="10" t="s">
        <v>660</v>
      </c>
      <c r="E2824" s="10" t="s">
        <v>2342</v>
      </c>
      <c r="F2824" s="30" t="n">
        <v>42922</v>
      </c>
      <c r="G2824" s="30" t="n">
        <v>42923</v>
      </c>
      <c r="H2824" s="26" t="n">
        <f aca="false">G2824-F2824</f>
        <v>1</v>
      </c>
      <c r="I2824" s="10" t="n">
        <f aca="false">IF(E2824="Won",1,0)</f>
        <v>1</v>
      </c>
    </row>
    <row r="2825" customFormat="false" ht="15" hidden="false" customHeight="false" outlineLevel="0" collapsed="false">
      <c r="A2825" s="10" t="s">
        <v>5166</v>
      </c>
      <c r="B2825" s="10" t="s">
        <v>80</v>
      </c>
      <c r="C2825" s="10" t="s">
        <v>51</v>
      </c>
      <c r="D2825" s="10" t="s">
        <v>414</v>
      </c>
      <c r="E2825" s="10" t="s">
        <v>2345</v>
      </c>
      <c r="F2825" s="30" t="n">
        <v>42916</v>
      </c>
      <c r="G2825" s="30" t="n">
        <v>42923</v>
      </c>
      <c r="H2825" s="26" t="n">
        <f aca="false">G2825-F2825</f>
        <v>7</v>
      </c>
      <c r="I2825" s="10" t="n">
        <f aca="false">IF(E2825="Won",1,0)</f>
        <v>0</v>
      </c>
    </row>
    <row r="2826" customFormat="false" ht="15" hidden="false" customHeight="false" outlineLevel="0" collapsed="false">
      <c r="A2826" s="10" t="s">
        <v>5167</v>
      </c>
      <c r="B2826" s="10" t="s">
        <v>79</v>
      </c>
      <c r="C2826" s="10" t="s">
        <v>50</v>
      </c>
      <c r="D2826" s="10" t="s">
        <v>697</v>
      </c>
      <c r="E2826" s="10" t="s">
        <v>2342</v>
      </c>
      <c r="F2826" s="30" t="n">
        <v>42915</v>
      </c>
      <c r="G2826" s="30" t="n">
        <v>42923</v>
      </c>
      <c r="H2826" s="26" t="n">
        <f aca="false">G2826-F2826</f>
        <v>8</v>
      </c>
      <c r="I2826" s="10" t="n">
        <f aca="false">IF(E2826="Won",1,0)</f>
        <v>1</v>
      </c>
    </row>
    <row r="2827" customFormat="false" ht="15" hidden="false" customHeight="false" outlineLevel="0" collapsed="false">
      <c r="A2827" s="10" t="s">
        <v>5168</v>
      </c>
      <c r="B2827" s="10" t="s">
        <v>69</v>
      </c>
      <c r="C2827" s="10" t="s">
        <v>52</v>
      </c>
      <c r="D2827" s="10" t="s">
        <v>522</v>
      </c>
      <c r="E2827" s="10" t="s">
        <v>2345</v>
      </c>
      <c r="F2827" s="30" t="n">
        <v>42921</v>
      </c>
      <c r="G2827" s="30" t="n">
        <v>42923</v>
      </c>
      <c r="H2827" s="26" t="n">
        <f aca="false">G2827-F2827</f>
        <v>2</v>
      </c>
      <c r="I2827" s="10" t="n">
        <f aca="false">IF(E2827="Won",1,0)</f>
        <v>0</v>
      </c>
    </row>
    <row r="2828" customFormat="false" ht="15" hidden="false" customHeight="false" outlineLevel="0" collapsed="false">
      <c r="A2828" s="10" t="s">
        <v>5169</v>
      </c>
      <c r="B2828" s="10" t="s">
        <v>60</v>
      </c>
      <c r="C2828" s="10" t="s">
        <v>49</v>
      </c>
      <c r="D2828" s="10" t="s">
        <v>1118</v>
      </c>
      <c r="E2828" s="10" t="s">
        <v>2345</v>
      </c>
      <c r="F2828" s="30" t="n">
        <v>42911</v>
      </c>
      <c r="G2828" s="30" t="n">
        <v>42923</v>
      </c>
      <c r="H2828" s="26" t="n">
        <f aca="false">G2828-F2828</f>
        <v>12</v>
      </c>
      <c r="I2828" s="10" t="n">
        <f aca="false">IF(E2828="Won",1,0)</f>
        <v>0</v>
      </c>
    </row>
    <row r="2829" customFormat="false" ht="15" hidden="false" customHeight="false" outlineLevel="0" collapsed="false">
      <c r="A2829" s="10" t="s">
        <v>5170</v>
      </c>
      <c r="B2829" s="10" t="s">
        <v>96</v>
      </c>
      <c r="C2829" s="10" t="s">
        <v>50</v>
      </c>
      <c r="D2829" s="10" t="s">
        <v>487</v>
      </c>
      <c r="E2829" s="10" t="s">
        <v>2345</v>
      </c>
      <c r="F2829" s="30" t="n">
        <v>42917</v>
      </c>
      <c r="G2829" s="30" t="n">
        <v>42923</v>
      </c>
      <c r="H2829" s="26" t="n">
        <f aca="false">G2829-F2829</f>
        <v>6</v>
      </c>
      <c r="I2829" s="10" t="n">
        <f aca="false">IF(E2829="Won",1,0)</f>
        <v>0</v>
      </c>
    </row>
    <row r="2830" customFormat="false" ht="15" hidden="false" customHeight="false" outlineLevel="0" collapsed="false">
      <c r="A2830" s="10" t="s">
        <v>5171</v>
      </c>
      <c r="B2830" s="10" t="s">
        <v>86</v>
      </c>
      <c r="C2830" s="10" t="s">
        <v>47</v>
      </c>
      <c r="D2830" s="10" t="s">
        <v>254</v>
      </c>
      <c r="E2830" s="10" t="s">
        <v>2345</v>
      </c>
      <c r="F2830" s="30" t="n">
        <v>42922</v>
      </c>
      <c r="G2830" s="30" t="n">
        <v>42923</v>
      </c>
      <c r="H2830" s="26" t="n">
        <f aca="false">G2830-F2830</f>
        <v>1</v>
      </c>
      <c r="I2830" s="10" t="n">
        <f aca="false">IF(E2830="Won",1,0)</f>
        <v>0</v>
      </c>
    </row>
    <row r="2831" customFormat="false" ht="15" hidden="false" customHeight="false" outlineLevel="0" collapsed="false">
      <c r="A2831" s="10" t="s">
        <v>5172</v>
      </c>
      <c r="B2831" s="10" t="s">
        <v>77</v>
      </c>
      <c r="C2831" s="10" t="s">
        <v>48</v>
      </c>
      <c r="D2831" s="10" t="s">
        <v>210</v>
      </c>
      <c r="E2831" s="10" t="s">
        <v>2345</v>
      </c>
      <c r="F2831" s="30" t="n">
        <v>42914</v>
      </c>
      <c r="G2831" s="30" t="n">
        <v>42923</v>
      </c>
      <c r="H2831" s="26" t="n">
        <f aca="false">G2831-F2831</f>
        <v>9</v>
      </c>
      <c r="I2831" s="10" t="n">
        <f aca="false">IF(E2831="Won",1,0)</f>
        <v>0</v>
      </c>
    </row>
    <row r="2832" customFormat="false" ht="15" hidden="false" customHeight="false" outlineLevel="0" collapsed="false">
      <c r="A2832" s="10" t="s">
        <v>5173</v>
      </c>
      <c r="B2832" s="10" t="s">
        <v>66</v>
      </c>
      <c r="C2832" s="10" t="s">
        <v>49</v>
      </c>
      <c r="D2832" s="10" t="s">
        <v>233</v>
      </c>
      <c r="E2832" s="10" t="s">
        <v>2345</v>
      </c>
      <c r="F2832" s="30" t="n">
        <v>42914</v>
      </c>
      <c r="G2832" s="30" t="n">
        <v>42923</v>
      </c>
      <c r="H2832" s="26" t="n">
        <f aca="false">G2832-F2832</f>
        <v>9</v>
      </c>
      <c r="I2832" s="10" t="n">
        <f aca="false">IF(E2832="Won",1,0)</f>
        <v>0</v>
      </c>
    </row>
    <row r="2833" customFormat="false" ht="15" hidden="false" customHeight="false" outlineLevel="0" collapsed="false">
      <c r="A2833" s="10" t="s">
        <v>5174</v>
      </c>
      <c r="B2833" s="10" t="s">
        <v>70</v>
      </c>
      <c r="C2833" s="10" t="s">
        <v>49</v>
      </c>
      <c r="D2833" s="10" t="s">
        <v>313</v>
      </c>
      <c r="E2833" s="10" t="s">
        <v>2342</v>
      </c>
      <c r="F2833" s="30" t="n">
        <v>42913</v>
      </c>
      <c r="G2833" s="30" t="n">
        <v>42923</v>
      </c>
      <c r="H2833" s="26" t="n">
        <f aca="false">G2833-F2833</f>
        <v>10</v>
      </c>
      <c r="I2833" s="10" t="n">
        <f aca="false">IF(E2833="Won",1,0)</f>
        <v>1</v>
      </c>
    </row>
    <row r="2834" customFormat="false" ht="15" hidden="false" customHeight="false" outlineLevel="0" collapsed="false">
      <c r="A2834" s="10" t="s">
        <v>5175</v>
      </c>
      <c r="B2834" s="10" t="s">
        <v>73</v>
      </c>
      <c r="C2834" s="10" t="s">
        <v>52</v>
      </c>
      <c r="D2834" s="10" t="s">
        <v>388</v>
      </c>
      <c r="E2834" s="10" t="s">
        <v>2345</v>
      </c>
      <c r="F2834" s="30" t="n">
        <v>42914</v>
      </c>
      <c r="G2834" s="30" t="n">
        <v>42923</v>
      </c>
      <c r="H2834" s="26" t="n">
        <f aca="false">G2834-F2834</f>
        <v>9</v>
      </c>
      <c r="I2834" s="10" t="n">
        <f aca="false">IF(E2834="Won",1,0)</f>
        <v>0</v>
      </c>
    </row>
    <row r="2835" customFormat="false" ht="15" hidden="false" customHeight="false" outlineLevel="0" collapsed="false">
      <c r="A2835" s="10" t="s">
        <v>5176</v>
      </c>
      <c r="B2835" s="10" t="s">
        <v>57</v>
      </c>
      <c r="C2835" s="10" t="s">
        <v>47</v>
      </c>
      <c r="D2835" s="10" t="s">
        <v>674</v>
      </c>
      <c r="E2835" s="10" t="s">
        <v>2342</v>
      </c>
      <c r="F2835" s="30" t="n">
        <v>42913</v>
      </c>
      <c r="G2835" s="30" t="n">
        <v>42923</v>
      </c>
      <c r="H2835" s="26" t="n">
        <f aca="false">G2835-F2835</f>
        <v>10</v>
      </c>
      <c r="I2835" s="10" t="n">
        <f aca="false">IF(E2835="Won",1,0)</f>
        <v>1</v>
      </c>
    </row>
    <row r="2836" customFormat="false" ht="15" hidden="false" customHeight="false" outlineLevel="0" collapsed="false">
      <c r="A2836" s="10" t="s">
        <v>5177</v>
      </c>
      <c r="B2836" s="10" t="s">
        <v>94</v>
      </c>
      <c r="C2836" s="10" t="s">
        <v>52</v>
      </c>
      <c r="D2836" s="10" t="s">
        <v>506</v>
      </c>
      <c r="E2836" s="10" t="s">
        <v>2342</v>
      </c>
      <c r="F2836" s="30" t="n">
        <v>42913</v>
      </c>
      <c r="G2836" s="30" t="n">
        <v>42923</v>
      </c>
      <c r="H2836" s="26" t="n">
        <f aca="false">G2836-F2836</f>
        <v>10</v>
      </c>
      <c r="I2836" s="10" t="n">
        <f aca="false">IF(E2836="Won",1,0)</f>
        <v>1</v>
      </c>
    </row>
    <row r="2837" customFormat="false" ht="15" hidden="false" customHeight="false" outlineLevel="0" collapsed="false">
      <c r="A2837" s="10" t="s">
        <v>5178</v>
      </c>
      <c r="B2837" s="10" t="s">
        <v>90</v>
      </c>
      <c r="C2837" s="10" t="s">
        <v>47</v>
      </c>
      <c r="D2837" s="10" t="s">
        <v>210</v>
      </c>
      <c r="E2837" s="10" t="s">
        <v>2345</v>
      </c>
      <c r="F2837" s="30" t="n">
        <v>42916</v>
      </c>
      <c r="G2837" s="30" t="n">
        <v>42923</v>
      </c>
      <c r="H2837" s="26" t="n">
        <f aca="false">G2837-F2837</f>
        <v>7</v>
      </c>
      <c r="I2837" s="10" t="n">
        <f aca="false">IF(E2837="Won",1,0)</f>
        <v>0</v>
      </c>
    </row>
    <row r="2838" customFormat="false" ht="15" hidden="false" customHeight="false" outlineLevel="0" collapsed="false">
      <c r="A2838" s="10" t="s">
        <v>5179</v>
      </c>
      <c r="B2838" s="10" t="s">
        <v>87</v>
      </c>
      <c r="C2838" s="10" t="s">
        <v>48</v>
      </c>
      <c r="D2838" s="10" t="s">
        <v>350</v>
      </c>
      <c r="E2838" s="10" t="s">
        <v>2345</v>
      </c>
      <c r="F2838" s="30" t="n">
        <v>42922</v>
      </c>
      <c r="G2838" s="30" t="n">
        <v>42923</v>
      </c>
      <c r="H2838" s="26" t="n">
        <f aca="false">G2838-F2838</f>
        <v>1</v>
      </c>
      <c r="I2838" s="10" t="n">
        <f aca="false">IF(E2838="Won",1,0)</f>
        <v>0</v>
      </c>
    </row>
    <row r="2839" customFormat="false" ht="15" hidden="false" customHeight="false" outlineLevel="0" collapsed="false">
      <c r="A2839" s="10" t="s">
        <v>5180</v>
      </c>
      <c r="B2839" s="10" t="s">
        <v>81</v>
      </c>
      <c r="C2839" s="10" t="s">
        <v>51</v>
      </c>
      <c r="D2839" s="10" t="s">
        <v>210</v>
      </c>
      <c r="E2839" s="10" t="s">
        <v>2345</v>
      </c>
      <c r="F2839" s="30" t="n">
        <v>42922</v>
      </c>
      <c r="G2839" s="30" t="n">
        <v>42923</v>
      </c>
      <c r="H2839" s="26" t="n">
        <f aca="false">G2839-F2839</f>
        <v>1</v>
      </c>
      <c r="I2839" s="10" t="n">
        <f aca="false">IF(E2839="Won",1,0)</f>
        <v>0</v>
      </c>
    </row>
    <row r="2840" customFormat="false" ht="15" hidden="false" customHeight="false" outlineLevel="0" collapsed="false">
      <c r="A2840" s="10" t="s">
        <v>5181</v>
      </c>
      <c r="B2840" s="10" t="s">
        <v>77</v>
      </c>
      <c r="C2840" s="10" t="s">
        <v>48</v>
      </c>
      <c r="D2840" s="10" t="s">
        <v>597</v>
      </c>
      <c r="E2840" s="10" t="s">
        <v>2342</v>
      </c>
      <c r="F2840" s="30" t="n">
        <v>42914</v>
      </c>
      <c r="G2840" s="30" t="n">
        <v>42923</v>
      </c>
      <c r="H2840" s="26" t="n">
        <f aca="false">G2840-F2840</f>
        <v>9</v>
      </c>
      <c r="I2840" s="10" t="n">
        <f aca="false">IF(E2840="Won",1,0)</f>
        <v>1</v>
      </c>
    </row>
    <row r="2841" customFormat="false" ht="15" hidden="false" customHeight="false" outlineLevel="0" collapsed="false">
      <c r="A2841" s="10" t="s">
        <v>5182</v>
      </c>
      <c r="B2841" s="10" t="s">
        <v>96</v>
      </c>
      <c r="C2841" s="10" t="s">
        <v>47</v>
      </c>
      <c r="D2841" s="10" t="s">
        <v>348</v>
      </c>
      <c r="E2841" s="10" t="s">
        <v>2342</v>
      </c>
      <c r="F2841" s="30" t="n">
        <v>42916</v>
      </c>
      <c r="G2841" s="30" t="n">
        <v>42923</v>
      </c>
      <c r="H2841" s="26" t="n">
        <f aca="false">G2841-F2841</f>
        <v>7</v>
      </c>
      <c r="I2841" s="10" t="n">
        <f aca="false">IF(E2841="Won",1,0)</f>
        <v>1</v>
      </c>
    </row>
    <row r="2842" customFormat="false" ht="15" hidden="false" customHeight="false" outlineLevel="0" collapsed="false">
      <c r="A2842" s="10" t="s">
        <v>5183</v>
      </c>
      <c r="B2842" s="10" t="s">
        <v>70</v>
      </c>
      <c r="C2842" s="10" t="s">
        <v>51</v>
      </c>
      <c r="D2842" s="10" t="s">
        <v>522</v>
      </c>
      <c r="E2842" s="10" t="s">
        <v>2345</v>
      </c>
      <c r="F2842" s="30" t="n">
        <v>42912</v>
      </c>
      <c r="G2842" s="30" t="n">
        <v>42923</v>
      </c>
      <c r="H2842" s="26" t="n">
        <f aca="false">G2842-F2842</f>
        <v>11</v>
      </c>
      <c r="I2842" s="10" t="n">
        <f aca="false">IF(E2842="Won",1,0)</f>
        <v>0</v>
      </c>
    </row>
    <row r="2843" customFormat="false" ht="15" hidden="false" customHeight="false" outlineLevel="0" collapsed="false">
      <c r="A2843" s="10" t="s">
        <v>5184</v>
      </c>
      <c r="B2843" s="10" t="s">
        <v>75</v>
      </c>
      <c r="C2843" s="10" t="s">
        <v>47</v>
      </c>
      <c r="D2843" s="10" t="s">
        <v>369</v>
      </c>
      <c r="E2843" s="10" t="s">
        <v>2345</v>
      </c>
      <c r="F2843" s="30" t="n">
        <v>42913</v>
      </c>
      <c r="G2843" s="30" t="n">
        <v>42924</v>
      </c>
      <c r="H2843" s="26" t="n">
        <f aca="false">G2843-F2843</f>
        <v>11</v>
      </c>
      <c r="I2843" s="10" t="n">
        <f aca="false">IF(E2843="Won",1,0)</f>
        <v>0</v>
      </c>
    </row>
    <row r="2844" customFormat="false" ht="15" hidden="false" customHeight="false" outlineLevel="0" collapsed="false">
      <c r="A2844" s="10" t="s">
        <v>5185</v>
      </c>
      <c r="B2844" s="10" t="s">
        <v>87</v>
      </c>
      <c r="C2844" s="10" t="s">
        <v>50</v>
      </c>
      <c r="D2844" s="10" t="s">
        <v>453</v>
      </c>
      <c r="E2844" s="10" t="s">
        <v>2345</v>
      </c>
      <c r="F2844" s="30" t="n">
        <v>42916</v>
      </c>
      <c r="G2844" s="30" t="n">
        <v>42924</v>
      </c>
      <c r="H2844" s="26" t="n">
        <f aca="false">G2844-F2844</f>
        <v>8</v>
      </c>
      <c r="I2844" s="10" t="n">
        <f aca="false">IF(E2844="Won",1,0)</f>
        <v>0</v>
      </c>
    </row>
    <row r="2845" customFormat="false" ht="15" hidden="false" customHeight="false" outlineLevel="0" collapsed="false">
      <c r="A2845" s="10" t="s">
        <v>5186</v>
      </c>
      <c r="B2845" s="10" t="s">
        <v>93</v>
      </c>
      <c r="C2845" s="10" t="s">
        <v>48</v>
      </c>
      <c r="D2845" s="10" t="s">
        <v>326</v>
      </c>
      <c r="E2845" s="10" t="s">
        <v>2345</v>
      </c>
      <c r="F2845" s="30" t="n">
        <v>42916</v>
      </c>
      <c r="G2845" s="30" t="n">
        <v>42924</v>
      </c>
      <c r="H2845" s="26" t="n">
        <f aca="false">G2845-F2845</f>
        <v>8</v>
      </c>
      <c r="I2845" s="10" t="n">
        <f aca="false">IF(E2845="Won",1,0)</f>
        <v>0</v>
      </c>
    </row>
    <row r="2846" customFormat="false" ht="15" hidden="false" customHeight="false" outlineLevel="0" collapsed="false">
      <c r="A2846" s="10" t="s">
        <v>5187</v>
      </c>
      <c r="B2846" s="10" t="s">
        <v>77</v>
      </c>
      <c r="C2846" s="10" t="s">
        <v>47</v>
      </c>
      <c r="D2846" s="10" t="s">
        <v>524</v>
      </c>
      <c r="E2846" s="10" t="s">
        <v>2342</v>
      </c>
      <c r="F2846" s="30" t="n">
        <v>42911</v>
      </c>
      <c r="G2846" s="30" t="n">
        <v>42924</v>
      </c>
      <c r="H2846" s="26" t="n">
        <f aca="false">G2846-F2846</f>
        <v>13</v>
      </c>
      <c r="I2846" s="10" t="n">
        <f aca="false">IF(E2846="Won",1,0)</f>
        <v>1</v>
      </c>
    </row>
    <row r="2847" customFormat="false" ht="15" hidden="false" customHeight="false" outlineLevel="0" collapsed="false">
      <c r="A2847" s="10" t="s">
        <v>5188</v>
      </c>
      <c r="B2847" s="10" t="s">
        <v>68</v>
      </c>
      <c r="C2847" s="10" t="s">
        <v>49</v>
      </c>
      <c r="D2847" s="10" t="s">
        <v>483</v>
      </c>
      <c r="E2847" s="10" t="s">
        <v>2345</v>
      </c>
      <c r="F2847" s="30" t="n">
        <v>42917</v>
      </c>
      <c r="G2847" s="30" t="n">
        <v>42924</v>
      </c>
      <c r="H2847" s="26" t="n">
        <f aca="false">G2847-F2847</f>
        <v>7</v>
      </c>
      <c r="I2847" s="10" t="n">
        <f aca="false">IF(E2847="Won",1,0)</f>
        <v>0</v>
      </c>
    </row>
    <row r="2848" customFormat="false" ht="15" hidden="false" customHeight="false" outlineLevel="0" collapsed="false">
      <c r="A2848" s="10" t="s">
        <v>5189</v>
      </c>
      <c r="B2848" s="10" t="s">
        <v>60</v>
      </c>
      <c r="C2848" s="10" t="s">
        <v>52</v>
      </c>
      <c r="D2848" s="10" t="s">
        <v>350</v>
      </c>
      <c r="E2848" s="10" t="s">
        <v>2342</v>
      </c>
      <c r="F2848" s="30" t="n">
        <v>42915</v>
      </c>
      <c r="G2848" s="30" t="n">
        <v>42924</v>
      </c>
      <c r="H2848" s="26" t="n">
        <f aca="false">G2848-F2848</f>
        <v>9</v>
      </c>
      <c r="I2848" s="10" t="n">
        <f aca="false">IF(E2848="Won",1,0)</f>
        <v>1</v>
      </c>
    </row>
    <row r="2849" customFormat="false" ht="15" hidden="false" customHeight="false" outlineLevel="0" collapsed="false">
      <c r="A2849" s="10" t="s">
        <v>5190</v>
      </c>
      <c r="B2849" s="10" t="s">
        <v>86</v>
      </c>
      <c r="C2849" s="10" t="s">
        <v>49</v>
      </c>
      <c r="D2849" s="10" t="s">
        <v>247</v>
      </c>
      <c r="E2849" s="10" t="s">
        <v>2345</v>
      </c>
      <c r="F2849" s="30" t="n">
        <v>42915</v>
      </c>
      <c r="G2849" s="30" t="n">
        <v>42924</v>
      </c>
      <c r="H2849" s="26" t="n">
        <f aca="false">G2849-F2849</f>
        <v>9</v>
      </c>
      <c r="I2849" s="10" t="n">
        <f aca="false">IF(E2849="Won",1,0)</f>
        <v>0</v>
      </c>
    </row>
    <row r="2850" customFormat="false" ht="15" hidden="false" customHeight="false" outlineLevel="0" collapsed="false">
      <c r="A2850" s="10" t="s">
        <v>5191</v>
      </c>
      <c r="B2850" s="10" t="s">
        <v>87</v>
      </c>
      <c r="C2850" s="10" t="s">
        <v>48</v>
      </c>
      <c r="D2850" s="10" t="s">
        <v>405</v>
      </c>
      <c r="E2850" s="10" t="s">
        <v>2342</v>
      </c>
      <c r="F2850" s="30" t="n">
        <v>42923</v>
      </c>
      <c r="G2850" s="30" t="n">
        <v>42924</v>
      </c>
      <c r="H2850" s="26" t="n">
        <f aca="false">G2850-F2850</f>
        <v>1</v>
      </c>
      <c r="I2850" s="10" t="n">
        <f aca="false">IF(E2850="Won",1,0)</f>
        <v>1</v>
      </c>
    </row>
    <row r="2851" customFormat="false" ht="15" hidden="false" customHeight="false" outlineLevel="0" collapsed="false">
      <c r="A2851" s="10" t="s">
        <v>5192</v>
      </c>
      <c r="B2851" s="10" t="s">
        <v>70</v>
      </c>
      <c r="C2851" s="10" t="s">
        <v>49</v>
      </c>
      <c r="D2851" s="10" t="s">
        <v>175</v>
      </c>
      <c r="E2851" s="10" t="s">
        <v>2342</v>
      </c>
      <c r="F2851" s="30" t="n">
        <v>42915</v>
      </c>
      <c r="G2851" s="30" t="n">
        <v>42924</v>
      </c>
      <c r="H2851" s="26" t="n">
        <f aca="false">G2851-F2851</f>
        <v>9</v>
      </c>
      <c r="I2851" s="10" t="n">
        <f aca="false">IF(E2851="Won",1,0)</f>
        <v>1</v>
      </c>
    </row>
    <row r="2852" customFormat="false" ht="15" hidden="false" customHeight="false" outlineLevel="0" collapsed="false">
      <c r="A2852" s="10" t="s">
        <v>5193</v>
      </c>
      <c r="B2852" s="10" t="s">
        <v>57</v>
      </c>
      <c r="C2852" s="10" t="s">
        <v>48</v>
      </c>
      <c r="D2852" s="10" t="s">
        <v>332</v>
      </c>
      <c r="E2852" s="10" t="s">
        <v>2342</v>
      </c>
      <c r="F2852" s="30" t="n">
        <v>42918</v>
      </c>
      <c r="G2852" s="30" t="n">
        <v>42924</v>
      </c>
      <c r="H2852" s="26" t="n">
        <f aca="false">G2852-F2852</f>
        <v>6</v>
      </c>
      <c r="I2852" s="10" t="n">
        <f aca="false">IF(E2852="Won",1,0)</f>
        <v>1</v>
      </c>
    </row>
    <row r="2853" customFormat="false" ht="15" hidden="false" customHeight="false" outlineLevel="0" collapsed="false">
      <c r="A2853" s="10" t="s">
        <v>5194</v>
      </c>
      <c r="B2853" s="10" t="s">
        <v>60</v>
      </c>
      <c r="C2853" s="10" t="s">
        <v>50</v>
      </c>
      <c r="D2853" s="10" t="s">
        <v>233</v>
      </c>
      <c r="E2853" s="10" t="s">
        <v>2342</v>
      </c>
      <c r="F2853" s="30" t="n">
        <v>42915</v>
      </c>
      <c r="G2853" s="30" t="n">
        <v>42924</v>
      </c>
      <c r="H2853" s="26" t="n">
        <f aca="false">G2853-F2853</f>
        <v>9</v>
      </c>
      <c r="I2853" s="10" t="n">
        <f aca="false">IF(E2853="Won",1,0)</f>
        <v>1</v>
      </c>
    </row>
    <row r="2854" customFormat="false" ht="15" hidden="false" customHeight="false" outlineLevel="0" collapsed="false">
      <c r="A2854" s="10" t="s">
        <v>5195</v>
      </c>
      <c r="B2854" s="10" t="s">
        <v>77</v>
      </c>
      <c r="C2854" s="10" t="s">
        <v>48</v>
      </c>
      <c r="D2854" s="10" t="s">
        <v>414</v>
      </c>
      <c r="E2854" s="10" t="s">
        <v>2342</v>
      </c>
      <c r="F2854" s="30" t="n">
        <v>42915</v>
      </c>
      <c r="G2854" s="30" t="n">
        <v>42924</v>
      </c>
      <c r="H2854" s="26" t="n">
        <f aca="false">G2854-F2854</f>
        <v>9</v>
      </c>
      <c r="I2854" s="10" t="n">
        <f aca="false">IF(E2854="Won",1,0)</f>
        <v>1</v>
      </c>
    </row>
    <row r="2855" customFormat="false" ht="15" hidden="false" customHeight="false" outlineLevel="0" collapsed="false">
      <c r="A2855" s="10" t="s">
        <v>5196</v>
      </c>
      <c r="B2855" s="10" t="s">
        <v>73</v>
      </c>
      <c r="C2855" s="10" t="s">
        <v>51</v>
      </c>
      <c r="D2855" s="10" t="s">
        <v>291</v>
      </c>
      <c r="E2855" s="10" t="s">
        <v>2342</v>
      </c>
      <c r="F2855" s="30" t="n">
        <v>42922</v>
      </c>
      <c r="G2855" s="30" t="n">
        <v>42924</v>
      </c>
      <c r="H2855" s="26" t="n">
        <f aca="false">G2855-F2855</f>
        <v>2</v>
      </c>
      <c r="I2855" s="10" t="n">
        <f aca="false">IF(E2855="Won",1,0)</f>
        <v>1</v>
      </c>
    </row>
    <row r="2856" customFormat="false" ht="15" hidden="false" customHeight="false" outlineLevel="0" collapsed="false">
      <c r="A2856" s="10" t="s">
        <v>5197</v>
      </c>
      <c r="B2856" s="10" t="s">
        <v>83</v>
      </c>
      <c r="C2856" s="10" t="s">
        <v>48</v>
      </c>
      <c r="D2856" s="10" t="s">
        <v>179</v>
      </c>
      <c r="E2856" s="10" t="s">
        <v>2345</v>
      </c>
      <c r="F2856" s="30" t="n">
        <v>42915</v>
      </c>
      <c r="G2856" s="30" t="n">
        <v>42924</v>
      </c>
      <c r="H2856" s="26" t="n">
        <f aca="false">G2856-F2856</f>
        <v>9</v>
      </c>
      <c r="I2856" s="10" t="n">
        <f aca="false">IF(E2856="Won",1,0)</f>
        <v>0</v>
      </c>
    </row>
    <row r="2857" customFormat="false" ht="15" hidden="false" customHeight="false" outlineLevel="0" collapsed="false">
      <c r="A2857" s="10" t="s">
        <v>5198</v>
      </c>
      <c r="B2857" s="10" t="s">
        <v>84</v>
      </c>
      <c r="C2857" s="10" t="s">
        <v>51</v>
      </c>
      <c r="D2857" s="10" t="s">
        <v>161</v>
      </c>
      <c r="E2857" s="10" t="s">
        <v>2342</v>
      </c>
      <c r="F2857" s="30" t="n">
        <v>42923</v>
      </c>
      <c r="G2857" s="30" t="n">
        <v>42925</v>
      </c>
      <c r="H2857" s="26" t="n">
        <f aca="false">G2857-F2857</f>
        <v>2</v>
      </c>
      <c r="I2857" s="10" t="n">
        <f aca="false">IF(E2857="Won",1,0)</f>
        <v>1</v>
      </c>
    </row>
    <row r="2858" customFormat="false" ht="15" hidden="false" customHeight="false" outlineLevel="0" collapsed="false">
      <c r="A2858" s="10" t="s">
        <v>5199</v>
      </c>
      <c r="B2858" s="10" t="s">
        <v>97</v>
      </c>
      <c r="C2858" s="10" t="s">
        <v>48</v>
      </c>
      <c r="D2858" s="10" t="s">
        <v>313</v>
      </c>
      <c r="E2858" s="10" t="s">
        <v>2345</v>
      </c>
      <c r="F2858" s="30" t="n">
        <v>42920</v>
      </c>
      <c r="G2858" s="30" t="n">
        <v>42925</v>
      </c>
      <c r="H2858" s="26" t="n">
        <f aca="false">G2858-F2858</f>
        <v>5</v>
      </c>
      <c r="I2858" s="10" t="n">
        <f aca="false">IF(E2858="Won",1,0)</f>
        <v>0</v>
      </c>
    </row>
    <row r="2859" customFormat="false" ht="15" hidden="false" customHeight="false" outlineLevel="0" collapsed="false">
      <c r="A2859" s="10" t="s">
        <v>5200</v>
      </c>
      <c r="B2859" s="10" t="s">
        <v>60</v>
      </c>
      <c r="C2859" s="10" t="s">
        <v>51</v>
      </c>
      <c r="D2859" s="10" t="s">
        <v>637</v>
      </c>
      <c r="E2859" s="10" t="s">
        <v>2342</v>
      </c>
      <c r="F2859" s="30" t="n">
        <v>42924</v>
      </c>
      <c r="G2859" s="30" t="n">
        <v>42925</v>
      </c>
      <c r="H2859" s="26" t="n">
        <f aca="false">G2859-F2859</f>
        <v>1</v>
      </c>
      <c r="I2859" s="10" t="n">
        <f aca="false">IF(E2859="Won",1,0)</f>
        <v>1</v>
      </c>
    </row>
    <row r="2860" customFormat="false" ht="15" hidden="false" customHeight="false" outlineLevel="0" collapsed="false">
      <c r="A2860" s="10" t="s">
        <v>5201</v>
      </c>
      <c r="B2860" s="10" t="s">
        <v>94</v>
      </c>
      <c r="C2860" s="10" t="s">
        <v>49</v>
      </c>
      <c r="D2860" s="10" t="s">
        <v>419</v>
      </c>
      <c r="E2860" s="10" t="s">
        <v>2345</v>
      </c>
      <c r="F2860" s="30" t="n">
        <v>42923</v>
      </c>
      <c r="G2860" s="30" t="n">
        <v>42925</v>
      </c>
      <c r="H2860" s="26" t="n">
        <f aca="false">G2860-F2860</f>
        <v>2</v>
      </c>
      <c r="I2860" s="10" t="n">
        <f aca="false">IF(E2860="Won",1,0)</f>
        <v>0</v>
      </c>
    </row>
    <row r="2861" customFormat="false" ht="15" hidden="false" customHeight="false" outlineLevel="0" collapsed="false">
      <c r="A2861" s="10" t="s">
        <v>5202</v>
      </c>
      <c r="B2861" s="10" t="s">
        <v>95</v>
      </c>
      <c r="C2861" s="10" t="s">
        <v>51</v>
      </c>
      <c r="D2861" s="10" t="s">
        <v>286</v>
      </c>
      <c r="E2861" s="10" t="s">
        <v>2345</v>
      </c>
      <c r="F2861" s="30" t="n">
        <v>42923</v>
      </c>
      <c r="G2861" s="30" t="n">
        <v>42925</v>
      </c>
      <c r="H2861" s="26" t="n">
        <f aca="false">G2861-F2861</f>
        <v>2</v>
      </c>
      <c r="I2861" s="10" t="n">
        <f aca="false">IF(E2861="Won",1,0)</f>
        <v>0</v>
      </c>
    </row>
    <row r="2862" customFormat="false" ht="15" hidden="false" customHeight="false" outlineLevel="0" collapsed="false">
      <c r="A2862" s="10" t="s">
        <v>5203</v>
      </c>
      <c r="B2862" s="10" t="s">
        <v>95</v>
      </c>
      <c r="C2862" s="10" t="s">
        <v>50</v>
      </c>
      <c r="D2862" s="10" t="s">
        <v>199</v>
      </c>
      <c r="E2862" s="10" t="s">
        <v>2342</v>
      </c>
      <c r="F2862" s="30" t="n">
        <v>42924</v>
      </c>
      <c r="G2862" s="30" t="n">
        <v>42925</v>
      </c>
      <c r="H2862" s="26" t="n">
        <f aca="false">G2862-F2862</f>
        <v>1</v>
      </c>
      <c r="I2862" s="10" t="n">
        <f aca="false">IF(E2862="Won",1,0)</f>
        <v>1</v>
      </c>
    </row>
    <row r="2863" customFormat="false" ht="15" hidden="false" customHeight="false" outlineLevel="0" collapsed="false">
      <c r="A2863" s="10" t="s">
        <v>5204</v>
      </c>
      <c r="B2863" s="10" t="s">
        <v>70</v>
      </c>
      <c r="C2863" s="10" t="s">
        <v>49</v>
      </c>
      <c r="D2863" s="10" t="s">
        <v>497</v>
      </c>
      <c r="E2863" s="10" t="s">
        <v>2345</v>
      </c>
      <c r="F2863" s="30" t="n">
        <v>42923</v>
      </c>
      <c r="G2863" s="30" t="n">
        <v>42925</v>
      </c>
      <c r="H2863" s="26" t="n">
        <f aca="false">G2863-F2863</f>
        <v>2</v>
      </c>
      <c r="I2863" s="10" t="n">
        <f aca="false">IF(E2863="Won",1,0)</f>
        <v>0</v>
      </c>
    </row>
    <row r="2864" customFormat="false" ht="15" hidden="false" customHeight="false" outlineLevel="0" collapsed="false">
      <c r="A2864" s="10" t="s">
        <v>5205</v>
      </c>
      <c r="B2864" s="10" t="s">
        <v>61</v>
      </c>
      <c r="C2864" s="10" t="s">
        <v>49</v>
      </c>
      <c r="D2864" s="10" t="s">
        <v>350</v>
      </c>
      <c r="E2864" s="10" t="s">
        <v>2342</v>
      </c>
      <c r="F2864" s="30" t="n">
        <v>42924</v>
      </c>
      <c r="G2864" s="30" t="n">
        <v>42925</v>
      </c>
      <c r="H2864" s="26" t="n">
        <f aca="false">G2864-F2864</f>
        <v>1</v>
      </c>
      <c r="I2864" s="10" t="n">
        <f aca="false">IF(E2864="Won",1,0)</f>
        <v>1</v>
      </c>
    </row>
    <row r="2865" customFormat="false" ht="15" hidden="false" customHeight="false" outlineLevel="0" collapsed="false">
      <c r="A2865" s="10" t="s">
        <v>5206</v>
      </c>
      <c r="B2865" s="10" t="s">
        <v>95</v>
      </c>
      <c r="C2865" s="10" t="s">
        <v>51</v>
      </c>
      <c r="D2865" s="10" t="s">
        <v>437</v>
      </c>
      <c r="E2865" s="10" t="s">
        <v>2342</v>
      </c>
      <c r="F2865" s="30" t="n">
        <v>42923</v>
      </c>
      <c r="G2865" s="30" t="n">
        <v>42925</v>
      </c>
      <c r="H2865" s="26" t="n">
        <f aca="false">G2865-F2865</f>
        <v>2</v>
      </c>
      <c r="I2865" s="10" t="n">
        <f aca="false">IF(E2865="Won",1,0)</f>
        <v>1</v>
      </c>
    </row>
    <row r="2866" customFormat="false" ht="15" hidden="false" customHeight="false" outlineLevel="0" collapsed="false">
      <c r="A2866" s="10" t="s">
        <v>5207</v>
      </c>
      <c r="B2866" s="10" t="s">
        <v>87</v>
      </c>
      <c r="C2866" s="10" t="s">
        <v>50</v>
      </c>
      <c r="D2866" s="10" t="s">
        <v>274</v>
      </c>
      <c r="E2866" s="10" t="s">
        <v>2342</v>
      </c>
      <c r="F2866" s="30" t="n">
        <v>42923</v>
      </c>
      <c r="G2866" s="30" t="n">
        <v>42925</v>
      </c>
      <c r="H2866" s="26" t="n">
        <f aca="false">G2866-F2866</f>
        <v>2</v>
      </c>
      <c r="I2866" s="10" t="n">
        <f aca="false">IF(E2866="Won",1,0)</f>
        <v>1</v>
      </c>
    </row>
    <row r="2867" customFormat="false" ht="15" hidden="false" customHeight="false" outlineLevel="0" collapsed="false">
      <c r="A2867" s="10" t="s">
        <v>5208</v>
      </c>
      <c r="B2867" s="10" t="s">
        <v>88</v>
      </c>
      <c r="C2867" s="10" t="s">
        <v>48</v>
      </c>
      <c r="D2867" s="10" t="s">
        <v>350</v>
      </c>
      <c r="E2867" s="10" t="s">
        <v>2345</v>
      </c>
      <c r="F2867" s="30" t="n">
        <v>42921</v>
      </c>
      <c r="G2867" s="30" t="n">
        <v>42925</v>
      </c>
      <c r="H2867" s="26" t="n">
        <f aca="false">G2867-F2867</f>
        <v>4</v>
      </c>
      <c r="I2867" s="10" t="n">
        <f aca="false">IF(E2867="Won",1,0)</f>
        <v>0</v>
      </c>
    </row>
    <row r="2868" customFormat="false" ht="15" hidden="false" customHeight="false" outlineLevel="0" collapsed="false">
      <c r="A2868" s="10" t="s">
        <v>5209</v>
      </c>
      <c r="B2868" s="10" t="s">
        <v>88</v>
      </c>
      <c r="C2868" s="10" t="s">
        <v>50</v>
      </c>
      <c r="D2868" s="10" t="s">
        <v>215</v>
      </c>
      <c r="E2868" s="10" t="s">
        <v>2345</v>
      </c>
      <c r="F2868" s="30" t="n">
        <v>42912</v>
      </c>
      <c r="G2868" s="30" t="n">
        <v>42925</v>
      </c>
      <c r="H2868" s="26" t="n">
        <f aca="false">G2868-F2868</f>
        <v>13</v>
      </c>
      <c r="I2868" s="10" t="n">
        <f aca="false">IF(E2868="Won",1,0)</f>
        <v>0</v>
      </c>
    </row>
    <row r="2869" customFormat="false" ht="15" hidden="false" customHeight="false" outlineLevel="0" collapsed="false">
      <c r="A2869" s="10" t="s">
        <v>5210</v>
      </c>
      <c r="B2869" s="10" t="s">
        <v>80</v>
      </c>
      <c r="C2869" s="10" t="s">
        <v>51</v>
      </c>
      <c r="D2869" s="10" t="s">
        <v>321</v>
      </c>
      <c r="E2869" s="10" t="s">
        <v>2345</v>
      </c>
      <c r="F2869" s="30" t="n">
        <v>42924</v>
      </c>
      <c r="G2869" s="30" t="n">
        <v>42925</v>
      </c>
      <c r="H2869" s="26" t="n">
        <f aca="false">G2869-F2869</f>
        <v>1</v>
      </c>
      <c r="I2869" s="10" t="n">
        <f aca="false">IF(E2869="Won",1,0)</f>
        <v>0</v>
      </c>
    </row>
    <row r="2870" customFormat="false" ht="15" hidden="false" customHeight="false" outlineLevel="0" collapsed="false">
      <c r="A2870" s="10" t="s">
        <v>5211</v>
      </c>
      <c r="B2870" s="10" t="s">
        <v>79</v>
      </c>
      <c r="C2870" s="10" t="s">
        <v>52</v>
      </c>
      <c r="D2870" s="10" t="s">
        <v>179</v>
      </c>
      <c r="E2870" s="10" t="s">
        <v>2345</v>
      </c>
      <c r="F2870" s="30" t="n">
        <v>42914</v>
      </c>
      <c r="G2870" s="30" t="n">
        <v>42925</v>
      </c>
      <c r="H2870" s="26" t="n">
        <f aca="false">G2870-F2870</f>
        <v>11</v>
      </c>
      <c r="I2870" s="10" t="n">
        <f aca="false">IF(E2870="Won",1,0)</f>
        <v>0</v>
      </c>
    </row>
    <row r="2871" customFormat="false" ht="15" hidden="false" customHeight="false" outlineLevel="0" collapsed="false">
      <c r="A2871" s="10" t="s">
        <v>5212</v>
      </c>
      <c r="B2871" s="10" t="s">
        <v>57</v>
      </c>
      <c r="C2871" s="10" t="s">
        <v>49</v>
      </c>
      <c r="D2871" s="10" t="s">
        <v>453</v>
      </c>
      <c r="E2871" s="10" t="s">
        <v>2345</v>
      </c>
      <c r="F2871" s="30" t="n">
        <v>42924</v>
      </c>
      <c r="G2871" s="30" t="n">
        <v>42925</v>
      </c>
      <c r="H2871" s="26" t="n">
        <f aca="false">G2871-F2871</f>
        <v>1</v>
      </c>
      <c r="I2871" s="10" t="n">
        <f aca="false">IF(E2871="Won",1,0)</f>
        <v>0</v>
      </c>
    </row>
    <row r="2872" customFormat="false" ht="15" hidden="false" customHeight="false" outlineLevel="0" collapsed="false">
      <c r="A2872" s="10" t="s">
        <v>5213</v>
      </c>
      <c r="B2872" s="10" t="s">
        <v>68</v>
      </c>
      <c r="C2872" s="10" t="s">
        <v>51</v>
      </c>
      <c r="D2872" s="10" t="s">
        <v>286</v>
      </c>
      <c r="E2872" s="10" t="s">
        <v>2345</v>
      </c>
      <c r="F2872" s="30" t="n">
        <v>42918</v>
      </c>
      <c r="G2872" s="30" t="n">
        <v>42925</v>
      </c>
      <c r="H2872" s="26" t="n">
        <f aca="false">G2872-F2872</f>
        <v>7</v>
      </c>
      <c r="I2872" s="10" t="n">
        <f aca="false">IF(E2872="Won",1,0)</f>
        <v>0</v>
      </c>
    </row>
    <row r="2873" customFormat="false" ht="15" hidden="false" customHeight="false" outlineLevel="0" collapsed="false">
      <c r="A2873" s="10" t="s">
        <v>5214</v>
      </c>
      <c r="B2873" s="10" t="s">
        <v>75</v>
      </c>
      <c r="C2873" s="10" t="s">
        <v>52</v>
      </c>
      <c r="D2873" s="10" t="s">
        <v>536</v>
      </c>
      <c r="E2873" s="10" t="s">
        <v>2342</v>
      </c>
      <c r="F2873" s="30" t="n">
        <v>42920</v>
      </c>
      <c r="G2873" s="30" t="n">
        <v>42925</v>
      </c>
      <c r="H2873" s="26" t="n">
        <f aca="false">G2873-F2873</f>
        <v>5</v>
      </c>
      <c r="I2873" s="10" t="n">
        <f aca="false">IF(E2873="Won",1,0)</f>
        <v>1</v>
      </c>
    </row>
    <row r="2874" customFormat="false" ht="15" hidden="false" customHeight="false" outlineLevel="0" collapsed="false">
      <c r="A2874" s="10" t="s">
        <v>5215</v>
      </c>
      <c r="B2874" s="10" t="s">
        <v>66</v>
      </c>
      <c r="C2874" s="10" t="s">
        <v>52</v>
      </c>
      <c r="D2874" s="10" t="s">
        <v>168</v>
      </c>
      <c r="E2874" s="10" t="s">
        <v>2342</v>
      </c>
      <c r="F2874" s="30" t="n">
        <v>42916</v>
      </c>
      <c r="G2874" s="30" t="n">
        <v>42925</v>
      </c>
      <c r="H2874" s="26" t="n">
        <f aca="false">G2874-F2874</f>
        <v>9</v>
      </c>
      <c r="I2874" s="10" t="n">
        <f aca="false">IF(E2874="Won",1,0)</f>
        <v>1</v>
      </c>
    </row>
    <row r="2875" customFormat="false" ht="15" hidden="false" customHeight="false" outlineLevel="0" collapsed="false">
      <c r="A2875" s="10" t="s">
        <v>5216</v>
      </c>
      <c r="B2875" s="10" t="s">
        <v>81</v>
      </c>
      <c r="C2875" s="10" t="s">
        <v>49</v>
      </c>
      <c r="D2875" s="10" t="s">
        <v>179</v>
      </c>
      <c r="E2875" s="10" t="s">
        <v>2342</v>
      </c>
      <c r="F2875" s="30" t="n">
        <v>42916</v>
      </c>
      <c r="G2875" s="30" t="n">
        <v>42925</v>
      </c>
      <c r="H2875" s="26" t="n">
        <f aca="false">G2875-F2875</f>
        <v>9</v>
      </c>
      <c r="I2875" s="10" t="n">
        <f aca="false">IF(E2875="Won",1,0)</f>
        <v>1</v>
      </c>
    </row>
    <row r="2876" customFormat="false" ht="15" hidden="false" customHeight="false" outlineLevel="0" collapsed="false">
      <c r="A2876" s="10" t="s">
        <v>5217</v>
      </c>
      <c r="B2876" s="10" t="s">
        <v>69</v>
      </c>
      <c r="C2876" s="10" t="s">
        <v>52</v>
      </c>
      <c r="D2876" s="10" t="s">
        <v>384</v>
      </c>
      <c r="E2876" s="10" t="s">
        <v>2342</v>
      </c>
      <c r="F2876" s="30" t="n">
        <v>42916</v>
      </c>
      <c r="G2876" s="30" t="n">
        <v>42925</v>
      </c>
      <c r="H2876" s="26" t="n">
        <f aca="false">G2876-F2876</f>
        <v>9</v>
      </c>
      <c r="I2876" s="10" t="n">
        <f aca="false">IF(E2876="Won",1,0)</f>
        <v>1</v>
      </c>
    </row>
    <row r="2877" customFormat="false" ht="15" hidden="false" customHeight="false" outlineLevel="0" collapsed="false">
      <c r="A2877" s="10" t="s">
        <v>5218</v>
      </c>
      <c r="B2877" s="10" t="s">
        <v>68</v>
      </c>
      <c r="C2877" s="10" t="s">
        <v>48</v>
      </c>
      <c r="D2877" s="10" t="s">
        <v>986</v>
      </c>
      <c r="E2877" s="10" t="s">
        <v>2342</v>
      </c>
      <c r="F2877" s="30" t="n">
        <v>42917</v>
      </c>
      <c r="G2877" s="30" t="n">
        <v>42925</v>
      </c>
      <c r="H2877" s="26" t="n">
        <f aca="false">G2877-F2877</f>
        <v>8</v>
      </c>
      <c r="I2877" s="10" t="n">
        <f aca="false">IF(E2877="Won",1,0)</f>
        <v>1</v>
      </c>
    </row>
    <row r="2878" customFormat="false" ht="15" hidden="false" customHeight="false" outlineLevel="0" collapsed="false">
      <c r="A2878" s="10" t="s">
        <v>5219</v>
      </c>
      <c r="B2878" s="10" t="s">
        <v>96</v>
      </c>
      <c r="C2878" s="10" t="s">
        <v>49</v>
      </c>
      <c r="D2878" s="10" t="s">
        <v>326</v>
      </c>
      <c r="E2878" s="10" t="s">
        <v>2345</v>
      </c>
      <c r="F2878" s="30" t="n">
        <v>42919</v>
      </c>
      <c r="G2878" s="30" t="n">
        <v>42925</v>
      </c>
      <c r="H2878" s="26" t="n">
        <f aca="false">G2878-F2878</f>
        <v>6</v>
      </c>
      <c r="I2878" s="10" t="n">
        <f aca="false">IF(E2878="Won",1,0)</f>
        <v>0</v>
      </c>
    </row>
    <row r="2879" customFormat="false" ht="15" hidden="false" customHeight="false" outlineLevel="0" collapsed="false">
      <c r="A2879" s="10" t="s">
        <v>5220</v>
      </c>
      <c r="B2879" s="10" t="s">
        <v>90</v>
      </c>
      <c r="C2879" s="10" t="s">
        <v>48</v>
      </c>
      <c r="D2879" s="10" t="s">
        <v>453</v>
      </c>
      <c r="E2879" s="10" t="s">
        <v>2342</v>
      </c>
      <c r="F2879" s="30" t="n">
        <v>42915</v>
      </c>
      <c r="G2879" s="30" t="n">
        <v>42925</v>
      </c>
      <c r="H2879" s="26" t="n">
        <f aca="false">G2879-F2879</f>
        <v>10</v>
      </c>
      <c r="I2879" s="10" t="n">
        <f aca="false">IF(E2879="Won",1,0)</f>
        <v>1</v>
      </c>
    </row>
    <row r="2880" customFormat="false" ht="15" hidden="false" customHeight="false" outlineLevel="0" collapsed="false">
      <c r="A2880" s="10" t="s">
        <v>5221</v>
      </c>
      <c r="B2880" s="10" t="s">
        <v>62</v>
      </c>
      <c r="C2880" s="10" t="s">
        <v>48</v>
      </c>
      <c r="D2880" s="10" t="s">
        <v>692</v>
      </c>
      <c r="E2880" s="10" t="s">
        <v>2342</v>
      </c>
      <c r="F2880" s="30" t="n">
        <v>42915</v>
      </c>
      <c r="G2880" s="30" t="n">
        <v>42925</v>
      </c>
      <c r="H2880" s="26" t="n">
        <f aca="false">G2880-F2880</f>
        <v>10</v>
      </c>
      <c r="I2880" s="10" t="n">
        <f aca="false">IF(E2880="Won",1,0)</f>
        <v>1</v>
      </c>
    </row>
    <row r="2881" customFormat="false" ht="15" hidden="false" customHeight="false" outlineLevel="0" collapsed="false">
      <c r="A2881" s="10" t="s">
        <v>5222</v>
      </c>
      <c r="B2881" s="10" t="s">
        <v>81</v>
      </c>
      <c r="C2881" s="10" t="s">
        <v>47</v>
      </c>
      <c r="D2881" s="10" t="s">
        <v>311</v>
      </c>
      <c r="E2881" s="10" t="s">
        <v>2342</v>
      </c>
      <c r="F2881" s="30" t="n">
        <v>42917</v>
      </c>
      <c r="G2881" s="30" t="n">
        <v>42925</v>
      </c>
      <c r="H2881" s="26" t="n">
        <f aca="false">G2881-F2881</f>
        <v>8</v>
      </c>
      <c r="I2881" s="10" t="n">
        <f aca="false">IF(E2881="Won",1,0)</f>
        <v>1</v>
      </c>
    </row>
    <row r="2882" customFormat="false" ht="15" hidden="false" customHeight="false" outlineLevel="0" collapsed="false">
      <c r="A2882" s="10" t="s">
        <v>5223</v>
      </c>
      <c r="B2882" s="10" t="s">
        <v>71</v>
      </c>
      <c r="C2882" s="10" t="s">
        <v>50</v>
      </c>
      <c r="D2882" s="10" t="s">
        <v>869</v>
      </c>
      <c r="E2882" s="10" t="s">
        <v>2342</v>
      </c>
      <c r="F2882" s="30" t="n">
        <v>42918</v>
      </c>
      <c r="G2882" s="30" t="n">
        <v>42925</v>
      </c>
      <c r="H2882" s="26" t="n">
        <f aca="false">G2882-F2882</f>
        <v>7</v>
      </c>
      <c r="I2882" s="10" t="n">
        <f aca="false">IF(E2882="Won",1,0)</f>
        <v>1</v>
      </c>
    </row>
    <row r="2883" customFormat="false" ht="15" hidden="false" customHeight="false" outlineLevel="0" collapsed="false">
      <c r="A2883" s="10" t="s">
        <v>5224</v>
      </c>
      <c r="B2883" s="10" t="s">
        <v>97</v>
      </c>
      <c r="C2883" s="10" t="s">
        <v>51</v>
      </c>
      <c r="D2883" s="10" t="s">
        <v>172</v>
      </c>
      <c r="E2883" s="10" t="s">
        <v>2342</v>
      </c>
      <c r="F2883" s="30" t="n">
        <v>42915</v>
      </c>
      <c r="G2883" s="30" t="n">
        <v>42926</v>
      </c>
      <c r="H2883" s="26" t="n">
        <f aca="false">G2883-F2883</f>
        <v>11</v>
      </c>
      <c r="I2883" s="10" t="n">
        <f aca="false">IF(E2883="Won",1,0)</f>
        <v>1</v>
      </c>
    </row>
    <row r="2884" customFormat="false" ht="15" hidden="false" customHeight="false" outlineLevel="0" collapsed="false">
      <c r="A2884" s="10" t="s">
        <v>5225</v>
      </c>
      <c r="B2884" s="10" t="s">
        <v>57</v>
      </c>
      <c r="C2884" s="10" t="s">
        <v>51</v>
      </c>
      <c r="D2884" s="10" t="s">
        <v>1397</v>
      </c>
      <c r="E2884" s="10" t="s">
        <v>2342</v>
      </c>
      <c r="F2884" s="30" t="n">
        <v>42925</v>
      </c>
      <c r="G2884" s="30" t="n">
        <v>42926</v>
      </c>
      <c r="H2884" s="26" t="n">
        <f aca="false">G2884-F2884</f>
        <v>1</v>
      </c>
      <c r="I2884" s="10" t="n">
        <f aca="false">IF(E2884="Won",1,0)</f>
        <v>1</v>
      </c>
    </row>
    <row r="2885" customFormat="false" ht="15" hidden="false" customHeight="false" outlineLevel="0" collapsed="false">
      <c r="A2885" s="10" t="s">
        <v>5226</v>
      </c>
      <c r="B2885" s="10" t="s">
        <v>96</v>
      </c>
      <c r="C2885" s="10" t="s">
        <v>47</v>
      </c>
      <c r="D2885" s="10" t="s">
        <v>172</v>
      </c>
      <c r="E2885" s="10" t="s">
        <v>2342</v>
      </c>
      <c r="F2885" s="30" t="n">
        <v>42917</v>
      </c>
      <c r="G2885" s="30" t="n">
        <v>42926</v>
      </c>
      <c r="H2885" s="26" t="n">
        <f aca="false">G2885-F2885</f>
        <v>9</v>
      </c>
      <c r="I2885" s="10" t="n">
        <f aca="false">IF(E2885="Won",1,0)</f>
        <v>1</v>
      </c>
    </row>
    <row r="2886" customFormat="false" ht="15" hidden="false" customHeight="false" outlineLevel="0" collapsed="false">
      <c r="A2886" s="10" t="s">
        <v>5227</v>
      </c>
      <c r="B2886" s="10" t="s">
        <v>76</v>
      </c>
      <c r="C2886" s="10" t="s">
        <v>51</v>
      </c>
      <c r="D2886" s="10" t="s">
        <v>179</v>
      </c>
      <c r="E2886" s="10" t="s">
        <v>2342</v>
      </c>
      <c r="F2886" s="30" t="n">
        <v>42915</v>
      </c>
      <c r="G2886" s="30" t="n">
        <v>42926</v>
      </c>
      <c r="H2886" s="26" t="n">
        <f aca="false">G2886-F2886</f>
        <v>11</v>
      </c>
      <c r="I2886" s="10" t="n">
        <f aca="false">IF(E2886="Won",1,0)</f>
        <v>1</v>
      </c>
    </row>
    <row r="2887" customFormat="false" ht="15" hidden="false" customHeight="false" outlineLevel="0" collapsed="false">
      <c r="A2887" s="10" t="s">
        <v>5228</v>
      </c>
      <c r="B2887" s="10" t="s">
        <v>96</v>
      </c>
      <c r="C2887" s="10" t="s">
        <v>48</v>
      </c>
      <c r="D2887" s="10" t="s">
        <v>344</v>
      </c>
      <c r="E2887" s="10" t="s">
        <v>2345</v>
      </c>
      <c r="F2887" s="30" t="n">
        <v>42915</v>
      </c>
      <c r="G2887" s="30" t="n">
        <v>42926</v>
      </c>
      <c r="H2887" s="26" t="n">
        <f aca="false">G2887-F2887</f>
        <v>11</v>
      </c>
      <c r="I2887" s="10" t="n">
        <f aca="false">IF(E2887="Won",1,0)</f>
        <v>0</v>
      </c>
    </row>
    <row r="2888" customFormat="false" ht="15" hidden="false" customHeight="false" outlineLevel="0" collapsed="false">
      <c r="A2888" s="10" t="s">
        <v>5229</v>
      </c>
      <c r="B2888" s="10" t="s">
        <v>71</v>
      </c>
      <c r="C2888" s="10" t="s">
        <v>50</v>
      </c>
      <c r="D2888" s="10" t="s">
        <v>947</v>
      </c>
      <c r="E2888" s="10" t="s">
        <v>2342</v>
      </c>
      <c r="F2888" s="30" t="n">
        <v>42915</v>
      </c>
      <c r="G2888" s="30" t="n">
        <v>42926</v>
      </c>
      <c r="H2888" s="26" t="n">
        <f aca="false">G2888-F2888</f>
        <v>11</v>
      </c>
      <c r="I2888" s="10" t="n">
        <f aca="false">IF(E2888="Won",1,0)</f>
        <v>1</v>
      </c>
    </row>
    <row r="2889" customFormat="false" ht="15" hidden="false" customHeight="false" outlineLevel="0" collapsed="false">
      <c r="A2889" s="10" t="s">
        <v>5230</v>
      </c>
      <c r="B2889" s="10" t="s">
        <v>62</v>
      </c>
      <c r="C2889" s="10" t="s">
        <v>49</v>
      </c>
      <c r="D2889" s="10" t="s">
        <v>692</v>
      </c>
      <c r="E2889" s="10" t="s">
        <v>2345</v>
      </c>
      <c r="F2889" s="30" t="n">
        <v>42924</v>
      </c>
      <c r="G2889" s="30" t="n">
        <v>42926</v>
      </c>
      <c r="H2889" s="26" t="n">
        <f aca="false">G2889-F2889</f>
        <v>2</v>
      </c>
      <c r="I2889" s="10" t="n">
        <f aca="false">IF(E2889="Won",1,0)</f>
        <v>0</v>
      </c>
    </row>
    <row r="2890" customFormat="false" ht="15" hidden="false" customHeight="false" outlineLevel="0" collapsed="false">
      <c r="A2890" s="10" t="s">
        <v>5231</v>
      </c>
      <c r="B2890" s="10" t="s">
        <v>71</v>
      </c>
      <c r="C2890" s="10" t="s">
        <v>50</v>
      </c>
      <c r="D2890" s="10" t="s">
        <v>422</v>
      </c>
      <c r="E2890" s="10" t="s">
        <v>2345</v>
      </c>
      <c r="F2890" s="30" t="n">
        <v>42918</v>
      </c>
      <c r="G2890" s="30" t="n">
        <v>42926</v>
      </c>
      <c r="H2890" s="26" t="n">
        <f aca="false">G2890-F2890</f>
        <v>8</v>
      </c>
      <c r="I2890" s="10" t="n">
        <f aca="false">IF(E2890="Won",1,0)</f>
        <v>0</v>
      </c>
    </row>
    <row r="2891" customFormat="false" ht="15" hidden="false" customHeight="false" outlineLevel="0" collapsed="false">
      <c r="A2891" s="10" t="s">
        <v>5232</v>
      </c>
      <c r="B2891" s="10" t="s">
        <v>86</v>
      </c>
      <c r="C2891" s="10" t="s">
        <v>47</v>
      </c>
      <c r="D2891" s="10" t="s">
        <v>185</v>
      </c>
      <c r="E2891" s="10" t="s">
        <v>2345</v>
      </c>
      <c r="F2891" s="30" t="n">
        <v>42916</v>
      </c>
      <c r="G2891" s="30" t="n">
        <v>42926</v>
      </c>
      <c r="H2891" s="26" t="n">
        <f aca="false">G2891-F2891</f>
        <v>10</v>
      </c>
      <c r="I2891" s="10" t="n">
        <f aca="false">IF(E2891="Won",1,0)</f>
        <v>0</v>
      </c>
    </row>
    <row r="2892" customFormat="false" ht="15" hidden="false" customHeight="false" outlineLevel="0" collapsed="false">
      <c r="A2892" s="10" t="s">
        <v>5233</v>
      </c>
      <c r="B2892" s="10" t="s">
        <v>69</v>
      </c>
      <c r="C2892" s="10" t="s">
        <v>52</v>
      </c>
      <c r="D2892" s="10" t="s">
        <v>326</v>
      </c>
      <c r="E2892" s="10" t="s">
        <v>2345</v>
      </c>
      <c r="F2892" s="30" t="n">
        <v>42924</v>
      </c>
      <c r="G2892" s="30" t="n">
        <v>42926</v>
      </c>
      <c r="H2892" s="26" t="n">
        <f aca="false">G2892-F2892</f>
        <v>2</v>
      </c>
      <c r="I2892" s="10" t="n">
        <f aca="false">IF(E2892="Won",1,0)</f>
        <v>0</v>
      </c>
    </row>
    <row r="2893" customFormat="false" ht="15" hidden="false" customHeight="false" outlineLevel="0" collapsed="false">
      <c r="A2893" s="10" t="s">
        <v>5234</v>
      </c>
      <c r="B2893" s="10" t="s">
        <v>95</v>
      </c>
      <c r="C2893" s="10" t="s">
        <v>50</v>
      </c>
      <c r="D2893" s="10" t="s">
        <v>199</v>
      </c>
      <c r="E2893" s="10" t="s">
        <v>2345</v>
      </c>
      <c r="F2893" s="30" t="n">
        <v>42920</v>
      </c>
      <c r="G2893" s="30" t="n">
        <v>42926</v>
      </c>
      <c r="H2893" s="26" t="n">
        <f aca="false">G2893-F2893</f>
        <v>6</v>
      </c>
      <c r="I2893" s="10" t="n">
        <f aca="false">IF(E2893="Won",1,0)</f>
        <v>0</v>
      </c>
    </row>
    <row r="2894" customFormat="false" ht="15" hidden="false" customHeight="false" outlineLevel="0" collapsed="false">
      <c r="A2894" s="10" t="s">
        <v>5235</v>
      </c>
      <c r="B2894" s="10" t="s">
        <v>76</v>
      </c>
      <c r="C2894" s="10" t="s">
        <v>52</v>
      </c>
      <c r="D2894" s="10" t="s">
        <v>961</v>
      </c>
      <c r="E2894" s="10" t="s">
        <v>2345</v>
      </c>
      <c r="F2894" s="30" t="n">
        <v>42921</v>
      </c>
      <c r="G2894" s="30" t="n">
        <v>42926</v>
      </c>
      <c r="H2894" s="26" t="n">
        <f aca="false">G2894-F2894</f>
        <v>5</v>
      </c>
      <c r="I2894" s="10" t="n">
        <f aca="false">IF(E2894="Won",1,0)</f>
        <v>0</v>
      </c>
    </row>
    <row r="2895" customFormat="false" ht="15" hidden="false" customHeight="false" outlineLevel="0" collapsed="false">
      <c r="A2895" s="10" t="s">
        <v>5236</v>
      </c>
      <c r="B2895" s="10" t="s">
        <v>93</v>
      </c>
      <c r="C2895" s="10" t="s">
        <v>47</v>
      </c>
      <c r="D2895" s="10" t="s">
        <v>432</v>
      </c>
      <c r="E2895" s="10" t="s">
        <v>2345</v>
      </c>
      <c r="F2895" s="30" t="n">
        <v>42919</v>
      </c>
      <c r="G2895" s="30" t="n">
        <v>42926</v>
      </c>
      <c r="H2895" s="26" t="n">
        <f aca="false">G2895-F2895</f>
        <v>7</v>
      </c>
      <c r="I2895" s="10" t="n">
        <f aca="false">IF(E2895="Won",1,0)</f>
        <v>0</v>
      </c>
    </row>
    <row r="2896" customFormat="false" ht="15" hidden="false" customHeight="false" outlineLevel="0" collapsed="false">
      <c r="A2896" s="10" t="s">
        <v>5237</v>
      </c>
      <c r="B2896" s="10" t="s">
        <v>68</v>
      </c>
      <c r="C2896" s="10" t="s">
        <v>51</v>
      </c>
      <c r="D2896" s="10" t="s">
        <v>483</v>
      </c>
      <c r="E2896" s="10" t="s">
        <v>2345</v>
      </c>
      <c r="F2896" s="30" t="n">
        <v>42915</v>
      </c>
      <c r="G2896" s="30" t="n">
        <v>42926</v>
      </c>
      <c r="H2896" s="26" t="n">
        <f aca="false">G2896-F2896</f>
        <v>11</v>
      </c>
      <c r="I2896" s="10" t="n">
        <f aca="false">IF(E2896="Won",1,0)</f>
        <v>0</v>
      </c>
    </row>
    <row r="2897" customFormat="false" ht="15" hidden="false" customHeight="false" outlineLevel="0" collapsed="false">
      <c r="A2897" s="10" t="s">
        <v>5238</v>
      </c>
      <c r="B2897" s="10" t="s">
        <v>83</v>
      </c>
      <c r="C2897" s="10" t="s">
        <v>50</v>
      </c>
      <c r="D2897" s="10" t="s">
        <v>259</v>
      </c>
      <c r="E2897" s="10" t="s">
        <v>2345</v>
      </c>
      <c r="F2897" s="30" t="n">
        <v>42917</v>
      </c>
      <c r="G2897" s="30" t="n">
        <v>42926</v>
      </c>
      <c r="H2897" s="26" t="n">
        <f aca="false">G2897-F2897</f>
        <v>9</v>
      </c>
      <c r="I2897" s="10" t="n">
        <f aca="false">IF(E2897="Won",1,0)</f>
        <v>0</v>
      </c>
    </row>
    <row r="2898" customFormat="false" ht="15" hidden="false" customHeight="false" outlineLevel="0" collapsed="false">
      <c r="A2898" s="10" t="s">
        <v>5239</v>
      </c>
      <c r="B2898" s="10" t="s">
        <v>70</v>
      </c>
      <c r="C2898" s="10" t="s">
        <v>51</v>
      </c>
      <c r="D2898" s="10" t="s">
        <v>233</v>
      </c>
      <c r="E2898" s="10" t="s">
        <v>2342</v>
      </c>
      <c r="F2898" s="30" t="n">
        <v>42917</v>
      </c>
      <c r="G2898" s="30" t="n">
        <v>42927</v>
      </c>
      <c r="H2898" s="26" t="n">
        <f aca="false">G2898-F2898</f>
        <v>10</v>
      </c>
      <c r="I2898" s="10" t="n">
        <f aca="false">IF(E2898="Won",1,0)</f>
        <v>1</v>
      </c>
    </row>
    <row r="2899" customFormat="false" ht="15" hidden="false" customHeight="false" outlineLevel="0" collapsed="false">
      <c r="A2899" s="10" t="s">
        <v>5240</v>
      </c>
      <c r="B2899" s="10" t="s">
        <v>79</v>
      </c>
      <c r="C2899" s="10" t="s">
        <v>48</v>
      </c>
      <c r="D2899" s="10" t="s">
        <v>660</v>
      </c>
      <c r="E2899" s="10" t="s">
        <v>2342</v>
      </c>
      <c r="F2899" s="30" t="n">
        <v>42925</v>
      </c>
      <c r="G2899" s="30" t="n">
        <v>42927</v>
      </c>
      <c r="H2899" s="26" t="n">
        <f aca="false">G2899-F2899</f>
        <v>2</v>
      </c>
      <c r="I2899" s="10" t="n">
        <f aca="false">IF(E2899="Won",1,0)</f>
        <v>1</v>
      </c>
    </row>
    <row r="2900" customFormat="false" ht="15" hidden="false" customHeight="false" outlineLevel="0" collapsed="false">
      <c r="A2900" s="10" t="s">
        <v>5241</v>
      </c>
      <c r="B2900" s="10" t="s">
        <v>81</v>
      </c>
      <c r="C2900" s="10" t="s">
        <v>50</v>
      </c>
      <c r="D2900" s="10" t="s">
        <v>660</v>
      </c>
      <c r="E2900" s="10" t="s">
        <v>2342</v>
      </c>
      <c r="F2900" s="30" t="n">
        <v>42919</v>
      </c>
      <c r="G2900" s="30" t="n">
        <v>42927</v>
      </c>
      <c r="H2900" s="26" t="n">
        <f aca="false">G2900-F2900</f>
        <v>8</v>
      </c>
      <c r="I2900" s="10" t="n">
        <f aca="false">IF(E2900="Won",1,0)</f>
        <v>1</v>
      </c>
    </row>
    <row r="2901" customFormat="false" ht="15" hidden="false" customHeight="false" outlineLevel="0" collapsed="false">
      <c r="A2901" s="10" t="s">
        <v>5242</v>
      </c>
      <c r="B2901" s="10" t="s">
        <v>69</v>
      </c>
      <c r="C2901" s="10" t="s">
        <v>51</v>
      </c>
      <c r="D2901" s="10" t="s">
        <v>168</v>
      </c>
      <c r="E2901" s="10" t="s">
        <v>2345</v>
      </c>
      <c r="F2901" s="30" t="n">
        <v>42922</v>
      </c>
      <c r="G2901" s="30" t="n">
        <v>42927</v>
      </c>
      <c r="H2901" s="26" t="n">
        <f aca="false">G2901-F2901</f>
        <v>5</v>
      </c>
      <c r="I2901" s="10" t="n">
        <f aca="false">IF(E2901="Won",1,0)</f>
        <v>0</v>
      </c>
    </row>
    <row r="2902" customFormat="false" ht="15" hidden="false" customHeight="false" outlineLevel="0" collapsed="false">
      <c r="A2902" s="10" t="s">
        <v>5243</v>
      </c>
      <c r="B2902" s="10" t="s">
        <v>66</v>
      </c>
      <c r="C2902" s="10" t="s">
        <v>49</v>
      </c>
      <c r="D2902" s="10" t="s">
        <v>210</v>
      </c>
      <c r="E2902" s="10" t="s">
        <v>2345</v>
      </c>
      <c r="F2902" s="30" t="n">
        <v>42918</v>
      </c>
      <c r="G2902" s="30" t="n">
        <v>42927</v>
      </c>
      <c r="H2902" s="26" t="n">
        <f aca="false">G2902-F2902</f>
        <v>9</v>
      </c>
      <c r="I2902" s="10" t="n">
        <f aca="false">IF(E2902="Won",1,0)</f>
        <v>0</v>
      </c>
    </row>
    <row r="2903" customFormat="false" ht="15" hidden="false" customHeight="false" outlineLevel="0" collapsed="false">
      <c r="A2903" s="10" t="s">
        <v>5244</v>
      </c>
      <c r="B2903" s="10" t="s">
        <v>79</v>
      </c>
      <c r="C2903" s="10" t="s">
        <v>48</v>
      </c>
      <c r="D2903" s="10" t="s">
        <v>762</v>
      </c>
      <c r="E2903" s="10" t="s">
        <v>2345</v>
      </c>
      <c r="F2903" s="30" t="n">
        <v>42926</v>
      </c>
      <c r="G2903" s="30" t="n">
        <v>42927</v>
      </c>
      <c r="H2903" s="26" t="n">
        <f aca="false">G2903-F2903</f>
        <v>1</v>
      </c>
      <c r="I2903" s="10" t="n">
        <f aca="false">IF(E2903="Won",1,0)</f>
        <v>0</v>
      </c>
    </row>
    <row r="2904" customFormat="false" ht="15" hidden="false" customHeight="false" outlineLevel="0" collapsed="false">
      <c r="A2904" s="10" t="s">
        <v>5245</v>
      </c>
      <c r="B2904" s="10" t="s">
        <v>94</v>
      </c>
      <c r="C2904" s="10" t="s">
        <v>52</v>
      </c>
      <c r="D2904" s="10" t="s">
        <v>344</v>
      </c>
      <c r="E2904" s="10" t="s">
        <v>2342</v>
      </c>
      <c r="F2904" s="30" t="n">
        <v>42926</v>
      </c>
      <c r="G2904" s="30" t="n">
        <v>42927</v>
      </c>
      <c r="H2904" s="26" t="n">
        <f aca="false">G2904-F2904</f>
        <v>1</v>
      </c>
      <c r="I2904" s="10" t="n">
        <f aca="false">IF(E2904="Won",1,0)</f>
        <v>1</v>
      </c>
    </row>
    <row r="2905" customFormat="false" ht="15" hidden="false" customHeight="false" outlineLevel="0" collapsed="false">
      <c r="A2905" s="10" t="s">
        <v>5246</v>
      </c>
      <c r="B2905" s="10" t="s">
        <v>81</v>
      </c>
      <c r="C2905" s="10" t="s">
        <v>49</v>
      </c>
      <c r="D2905" s="10" t="s">
        <v>1251</v>
      </c>
      <c r="E2905" s="10" t="s">
        <v>2342</v>
      </c>
      <c r="F2905" s="30" t="n">
        <v>42917</v>
      </c>
      <c r="G2905" s="30" t="n">
        <v>42927</v>
      </c>
      <c r="H2905" s="26" t="n">
        <f aca="false">G2905-F2905</f>
        <v>10</v>
      </c>
      <c r="I2905" s="10" t="n">
        <f aca="false">IF(E2905="Won",1,0)</f>
        <v>1</v>
      </c>
    </row>
    <row r="2906" customFormat="false" ht="15" hidden="false" customHeight="false" outlineLevel="0" collapsed="false">
      <c r="A2906" s="10" t="s">
        <v>5247</v>
      </c>
      <c r="B2906" s="10" t="s">
        <v>90</v>
      </c>
      <c r="C2906" s="10" t="s">
        <v>49</v>
      </c>
      <c r="D2906" s="10" t="s">
        <v>293</v>
      </c>
      <c r="E2906" s="10" t="s">
        <v>2342</v>
      </c>
      <c r="F2906" s="30" t="n">
        <v>42916</v>
      </c>
      <c r="G2906" s="30" t="n">
        <v>42927</v>
      </c>
      <c r="H2906" s="26" t="n">
        <f aca="false">G2906-F2906</f>
        <v>11</v>
      </c>
      <c r="I2906" s="10" t="n">
        <f aca="false">IF(E2906="Won",1,0)</f>
        <v>1</v>
      </c>
    </row>
    <row r="2907" customFormat="false" ht="15" hidden="false" customHeight="false" outlineLevel="0" collapsed="false">
      <c r="A2907" s="10" t="s">
        <v>5248</v>
      </c>
      <c r="B2907" s="10" t="s">
        <v>76</v>
      </c>
      <c r="C2907" s="10" t="s">
        <v>52</v>
      </c>
      <c r="D2907" s="10" t="s">
        <v>1948</v>
      </c>
      <c r="E2907" s="10" t="s">
        <v>2342</v>
      </c>
      <c r="F2907" s="30" t="n">
        <v>42916</v>
      </c>
      <c r="G2907" s="30" t="n">
        <v>42927</v>
      </c>
      <c r="H2907" s="26" t="n">
        <f aca="false">G2907-F2907</f>
        <v>11</v>
      </c>
      <c r="I2907" s="10" t="n">
        <f aca="false">IF(E2907="Won",1,0)</f>
        <v>1</v>
      </c>
    </row>
    <row r="2908" customFormat="false" ht="15" hidden="false" customHeight="false" outlineLevel="0" collapsed="false">
      <c r="A2908" s="10" t="s">
        <v>5249</v>
      </c>
      <c r="B2908" s="10" t="s">
        <v>75</v>
      </c>
      <c r="C2908" s="10" t="s">
        <v>52</v>
      </c>
      <c r="D2908" s="10" t="s">
        <v>483</v>
      </c>
      <c r="E2908" s="10" t="s">
        <v>2345</v>
      </c>
      <c r="F2908" s="30" t="n">
        <v>42920</v>
      </c>
      <c r="G2908" s="30" t="n">
        <v>42927</v>
      </c>
      <c r="H2908" s="26" t="n">
        <f aca="false">G2908-F2908</f>
        <v>7</v>
      </c>
      <c r="I2908" s="10" t="n">
        <f aca="false">IF(E2908="Won",1,0)</f>
        <v>0</v>
      </c>
    </row>
    <row r="2909" customFormat="false" ht="15" hidden="false" customHeight="false" outlineLevel="0" collapsed="false">
      <c r="A2909" s="10" t="s">
        <v>5250</v>
      </c>
      <c r="B2909" s="10" t="s">
        <v>83</v>
      </c>
      <c r="C2909" s="10" t="s">
        <v>50</v>
      </c>
      <c r="D2909" s="10" t="s">
        <v>947</v>
      </c>
      <c r="E2909" s="10" t="s">
        <v>2342</v>
      </c>
      <c r="F2909" s="30" t="n">
        <v>42923</v>
      </c>
      <c r="G2909" s="30" t="n">
        <v>42927</v>
      </c>
      <c r="H2909" s="26" t="n">
        <f aca="false">G2909-F2909</f>
        <v>4</v>
      </c>
      <c r="I2909" s="10" t="n">
        <f aca="false">IF(E2909="Won",1,0)</f>
        <v>1</v>
      </c>
    </row>
    <row r="2910" customFormat="false" ht="15" hidden="false" customHeight="false" outlineLevel="0" collapsed="false">
      <c r="A2910" s="10" t="s">
        <v>5251</v>
      </c>
      <c r="B2910" s="10" t="s">
        <v>73</v>
      </c>
      <c r="C2910" s="10" t="s">
        <v>47</v>
      </c>
      <c r="D2910" s="10" t="s">
        <v>762</v>
      </c>
      <c r="E2910" s="10" t="s">
        <v>2342</v>
      </c>
      <c r="F2910" s="30" t="n">
        <v>42917</v>
      </c>
      <c r="G2910" s="30" t="n">
        <v>42927</v>
      </c>
      <c r="H2910" s="26" t="n">
        <f aca="false">G2910-F2910</f>
        <v>10</v>
      </c>
      <c r="I2910" s="10" t="n">
        <f aca="false">IF(E2910="Won",1,0)</f>
        <v>1</v>
      </c>
    </row>
    <row r="2911" customFormat="false" ht="15" hidden="false" customHeight="false" outlineLevel="0" collapsed="false">
      <c r="A2911" s="10" t="s">
        <v>5252</v>
      </c>
      <c r="B2911" s="10" t="s">
        <v>95</v>
      </c>
      <c r="C2911" s="10" t="s">
        <v>51</v>
      </c>
      <c r="D2911" s="10" t="s">
        <v>344</v>
      </c>
      <c r="E2911" s="10" t="s">
        <v>2345</v>
      </c>
      <c r="F2911" s="30" t="n">
        <v>42920</v>
      </c>
      <c r="G2911" s="30" t="n">
        <v>42927</v>
      </c>
      <c r="H2911" s="26" t="n">
        <f aca="false">G2911-F2911</f>
        <v>7</v>
      </c>
      <c r="I2911" s="10" t="n">
        <f aca="false">IF(E2911="Won",1,0)</f>
        <v>0</v>
      </c>
    </row>
    <row r="2912" customFormat="false" ht="15" hidden="false" customHeight="false" outlineLevel="0" collapsed="false">
      <c r="A2912" s="10" t="s">
        <v>5253</v>
      </c>
      <c r="B2912" s="10" t="s">
        <v>80</v>
      </c>
      <c r="C2912" s="10" t="s">
        <v>51</v>
      </c>
      <c r="D2912" s="10" t="s">
        <v>321</v>
      </c>
      <c r="E2912" s="10" t="s">
        <v>2342</v>
      </c>
      <c r="F2912" s="30" t="n">
        <v>42917</v>
      </c>
      <c r="G2912" s="30" t="n">
        <v>42927</v>
      </c>
      <c r="H2912" s="26" t="n">
        <f aca="false">G2912-F2912</f>
        <v>10</v>
      </c>
      <c r="I2912" s="10" t="n">
        <f aca="false">IF(E2912="Won",1,0)</f>
        <v>1</v>
      </c>
    </row>
    <row r="2913" customFormat="false" ht="15" hidden="false" customHeight="false" outlineLevel="0" collapsed="false">
      <c r="A2913" s="10" t="s">
        <v>5254</v>
      </c>
      <c r="B2913" s="10" t="s">
        <v>62</v>
      </c>
      <c r="C2913" s="10" t="s">
        <v>49</v>
      </c>
      <c r="D2913" s="10" t="s">
        <v>637</v>
      </c>
      <c r="E2913" s="10" t="s">
        <v>2342</v>
      </c>
      <c r="F2913" s="30" t="n">
        <v>42915</v>
      </c>
      <c r="G2913" s="30" t="n">
        <v>42927</v>
      </c>
      <c r="H2913" s="26" t="n">
        <f aca="false">G2913-F2913</f>
        <v>12</v>
      </c>
      <c r="I2913" s="10" t="n">
        <f aca="false">IF(E2913="Won",1,0)</f>
        <v>1</v>
      </c>
    </row>
    <row r="2914" customFormat="false" ht="15" hidden="false" customHeight="false" outlineLevel="0" collapsed="false">
      <c r="A2914" s="10" t="s">
        <v>5255</v>
      </c>
      <c r="B2914" s="10" t="s">
        <v>80</v>
      </c>
      <c r="C2914" s="10" t="s">
        <v>52</v>
      </c>
      <c r="D2914" s="10" t="s">
        <v>512</v>
      </c>
      <c r="E2914" s="10" t="s">
        <v>2342</v>
      </c>
      <c r="F2914" s="30" t="n">
        <v>42923</v>
      </c>
      <c r="G2914" s="30" t="n">
        <v>42927</v>
      </c>
      <c r="H2914" s="26" t="n">
        <f aca="false">G2914-F2914</f>
        <v>4</v>
      </c>
      <c r="I2914" s="10" t="n">
        <f aca="false">IF(E2914="Won",1,0)</f>
        <v>1</v>
      </c>
    </row>
    <row r="2915" customFormat="false" ht="15" hidden="false" customHeight="false" outlineLevel="0" collapsed="false">
      <c r="A2915" s="10" t="s">
        <v>5256</v>
      </c>
      <c r="B2915" s="10" t="s">
        <v>77</v>
      </c>
      <c r="C2915" s="10" t="s">
        <v>50</v>
      </c>
      <c r="D2915" s="10" t="s">
        <v>869</v>
      </c>
      <c r="E2915" s="10" t="s">
        <v>2342</v>
      </c>
      <c r="F2915" s="30" t="n">
        <v>42917</v>
      </c>
      <c r="G2915" s="30" t="n">
        <v>42927</v>
      </c>
      <c r="H2915" s="26" t="n">
        <f aca="false">G2915-F2915</f>
        <v>10</v>
      </c>
      <c r="I2915" s="10" t="n">
        <f aca="false">IF(E2915="Won",1,0)</f>
        <v>1</v>
      </c>
    </row>
    <row r="2916" customFormat="false" ht="15" hidden="false" customHeight="false" outlineLevel="0" collapsed="false">
      <c r="A2916" s="10" t="s">
        <v>5257</v>
      </c>
      <c r="B2916" s="10" t="s">
        <v>57</v>
      </c>
      <c r="C2916" s="10" t="s">
        <v>51</v>
      </c>
      <c r="D2916" s="10" t="s">
        <v>464</v>
      </c>
      <c r="E2916" s="10" t="s">
        <v>2345</v>
      </c>
      <c r="F2916" s="30" t="n">
        <v>42916</v>
      </c>
      <c r="G2916" s="30" t="n">
        <v>42928</v>
      </c>
      <c r="H2916" s="26" t="n">
        <f aca="false">G2916-F2916</f>
        <v>12</v>
      </c>
      <c r="I2916" s="10" t="n">
        <f aca="false">IF(E2916="Won",1,0)</f>
        <v>0</v>
      </c>
    </row>
    <row r="2917" customFormat="false" ht="15" hidden="false" customHeight="false" outlineLevel="0" collapsed="false">
      <c r="A2917" s="10" t="s">
        <v>5258</v>
      </c>
      <c r="B2917" s="10" t="s">
        <v>68</v>
      </c>
      <c r="C2917" s="10" t="s">
        <v>51</v>
      </c>
      <c r="D2917" s="10" t="s">
        <v>337</v>
      </c>
      <c r="E2917" s="10" t="s">
        <v>2342</v>
      </c>
      <c r="F2917" s="30" t="n">
        <v>42917</v>
      </c>
      <c r="G2917" s="30" t="n">
        <v>42928</v>
      </c>
      <c r="H2917" s="26" t="n">
        <f aca="false">G2917-F2917</f>
        <v>11</v>
      </c>
      <c r="I2917" s="10" t="n">
        <f aca="false">IF(E2917="Won",1,0)</f>
        <v>1</v>
      </c>
    </row>
    <row r="2918" customFormat="false" ht="15" hidden="false" customHeight="false" outlineLevel="0" collapsed="false">
      <c r="A2918" s="10" t="s">
        <v>5259</v>
      </c>
      <c r="B2918" s="10" t="s">
        <v>83</v>
      </c>
      <c r="C2918" s="10" t="s">
        <v>52</v>
      </c>
      <c r="D2918" s="10" t="s">
        <v>414</v>
      </c>
      <c r="E2918" s="10" t="s">
        <v>2342</v>
      </c>
      <c r="F2918" s="30" t="n">
        <v>42917</v>
      </c>
      <c r="G2918" s="30" t="n">
        <v>42928</v>
      </c>
      <c r="H2918" s="26" t="n">
        <f aca="false">G2918-F2918</f>
        <v>11</v>
      </c>
      <c r="I2918" s="10" t="n">
        <f aca="false">IF(E2918="Won",1,0)</f>
        <v>1</v>
      </c>
    </row>
    <row r="2919" customFormat="false" ht="15" hidden="false" customHeight="false" outlineLevel="0" collapsed="false">
      <c r="A2919" s="10" t="s">
        <v>5260</v>
      </c>
      <c r="B2919" s="10" t="s">
        <v>94</v>
      </c>
      <c r="C2919" s="10" t="s">
        <v>51</v>
      </c>
      <c r="D2919" s="10" t="s">
        <v>199</v>
      </c>
      <c r="E2919" s="10" t="s">
        <v>2345</v>
      </c>
      <c r="F2919" s="30" t="n">
        <v>42922</v>
      </c>
      <c r="G2919" s="30" t="n">
        <v>42928</v>
      </c>
      <c r="H2919" s="26" t="n">
        <f aca="false">G2919-F2919</f>
        <v>6</v>
      </c>
      <c r="I2919" s="10" t="n">
        <f aca="false">IF(E2919="Won",1,0)</f>
        <v>0</v>
      </c>
    </row>
    <row r="2920" customFormat="false" ht="15" hidden="false" customHeight="false" outlineLevel="0" collapsed="false">
      <c r="A2920" s="10" t="s">
        <v>5261</v>
      </c>
      <c r="B2920" s="10" t="s">
        <v>70</v>
      </c>
      <c r="C2920" s="10" t="s">
        <v>51</v>
      </c>
      <c r="D2920" s="10" t="s">
        <v>326</v>
      </c>
      <c r="E2920" s="10" t="s">
        <v>2345</v>
      </c>
      <c r="F2920" s="30" t="n">
        <v>42916</v>
      </c>
      <c r="G2920" s="30" t="n">
        <v>42928</v>
      </c>
      <c r="H2920" s="26" t="n">
        <f aca="false">G2920-F2920</f>
        <v>12</v>
      </c>
      <c r="I2920" s="10" t="n">
        <f aca="false">IF(E2920="Won",1,0)</f>
        <v>0</v>
      </c>
    </row>
    <row r="2921" customFormat="false" ht="15" hidden="false" customHeight="false" outlineLevel="0" collapsed="false">
      <c r="A2921" s="10" t="s">
        <v>5262</v>
      </c>
      <c r="B2921" s="10" t="s">
        <v>77</v>
      </c>
      <c r="C2921" s="10" t="s">
        <v>48</v>
      </c>
      <c r="D2921" s="10" t="s">
        <v>193</v>
      </c>
      <c r="E2921" s="10" t="s">
        <v>2342</v>
      </c>
      <c r="F2921" s="30" t="n">
        <v>42922</v>
      </c>
      <c r="G2921" s="30" t="n">
        <v>42928</v>
      </c>
      <c r="H2921" s="26" t="n">
        <f aca="false">G2921-F2921</f>
        <v>6</v>
      </c>
      <c r="I2921" s="10" t="n">
        <f aca="false">IF(E2921="Won",1,0)</f>
        <v>1</v>
      </c>
    </row>
    <row r="2922" customFormat="false" ht="15" hidden="false" customHeight="false" outlineLevel="0" collapsed="false">
      <c r="A2922" s="10" t="s">
        <v>5263</v>
      </c>
      <c r="B2922" s="10" t="s">
        <v>77</v>
      </c>
      <c r="C2922" s="10" t="s">
        <v>49</v>
      </c>
      <c r="D2922" s="10" t="s">
        <v>279</v>
      </c>
      <c r="E2922" s="10" t="s">
        <v>2345</v>
      </c>
      <c r="F2922" s="30" t="n">
        <v>42919</v>
      </c>
      <c r="G2922" s="30" t="n">
        <v>42928</v>
      </c>
      <c r="H2922" s="26" t="n">
        <f aca="false">G2922-F2922</f>
        <v>9</v>
      </c>
      <c r="I2922" s="10" t="n">
        <f aca="false">IF(E2922="Won",1,0)</f>
        <v>0</v>
      </c>
    </row>
    <row r="2923" customFormat="false" ht="15" hidden="false" customHeight="false" outlineLevel="0" collapsed="false">
      <c r="A2923" s="10" t="s">
        <v>5264</v>
      </c>
      <c r="B2923" s="10" t="s">
        <v>94</v>
      </c>
      <c r="C2923" s="10" t="s">
        <v>48</v>
      </c>
      <c r="D2923" s="10" t="s">
        <v>497</v>
      </c>
      <c r="E2923" s="10" t="s">
        <v>2345</v>
      </c>
      <c r="F2923" s="30" t="n">
        <v>42926</v>
      </c>
      <c r="G2923" s="30" t="n">
        <v>42928</v>
      </c>
      <c r="H2923" s="26" t="n">
        <f aca="false">G2923-F2923</f>
        <v>2</v>
      </c>
      <c r="I2923" s="10" t="n">
        <f aca="false">IF(E2923="Won",1,0)</f>
        <v>0</v>
      </c>
    </row>
    <row r="2924" customFormat="false" ht="15" hidden="false" customHeight="false" outlineLevel="0" collapsed="false">
      <c r="A2924" s="10" t="s">
        <v>5265</v>
      </c>
      <c r="B2924" s="10" t="s">
        <v>88</v>
      </c>
      <c r="C2924" s="10" t="s">
        <v>51</v>
      </c>
      <c r="D2924" s="10" t="s">
        <v>233</v>
      </c>
      <c r="E2924" s="10" t="s">
        <v>2342</v>
      </c>
      <c r="F2924" s="30" t="n">
        <v>42919</v>
      </c>
      <c r="G2924" s="30" t="n">
        <v>42928</v>
      </c>
      <c r="H2924" s="26" t="n">
        <f aca="false">G2924-F2924</f>
        <v>9</v>
      </c>
      <c r="I2924" s="10" t="n">
        <f aca="false">IF(E2924="Won",1,0)</f>
        <v>1</v>
      </c>
    </row>
    <row r="2925" customFormat="false" ht="15" hidden="false" customHeight="false" outlineLevel="0" collapsed="false">
      <c r="A2925" s="10" t="s">
        <v>5266</v>
      </c>
      <c r="B2925" s="10" t="s">
        <v>77</v>
      </c>
      <c r="C2925" s="10" t="s">
        <v>50</v>
      </c>
      <c r="D2925" s="10" t="s">
        <v>410</v>
      </c>
      <c r="E2925" s="10" t="s">
        <v>2345</v>
      </c>
      <c r="F2925" s="30" t="n">
        <v>42926</v>
      </c>
      <c r="G2925" s="30" t="n">
        <v>42928</v>
      </c>
      <c r="H2925" s="26" t="n">
        <f aca="false">G2925-F2925</f>
        <v>2</v>
      </c>
      <c r="I2925" s="10" t="n">
        <f aca="false">IF(E2925="Won",1,0)</f>
        <v>0</v>
      </c>
    </row>
    <row r="2926" customFormat="false" ht="15" hidden="false" customHeight="false" outlineLevel="0" collapsed="false">
      <c r="A2926" s="10" t="s">
        <v>5267</v>
      </c>
      <c r="B2926" s="10" t="s">
        <v>70</v>
      </c>
      <c r="C2926" s="10" t="s">
        <v>49</v>
      </c>
      <c r="D2926" s="10" t="s">
        <v>227</v>
      </c>
      <c r="E2926" s="10" t="s">
        <v>2345</v>
      </c>
      <c r="F2926" s="30" t="n">
        <v>42927</v>
      </c>
      <c r="G2926" s="30" t="n">
        <v>42928</v>
      </c>
      <c r="H2926" s="26" t="n">
        <f aca="false">G2926-F2926</f>
        <v>1</v>
      </c>
      <c r="I2926" s="10" t="n">
        <f aca="false">IF(E2926="Won",1,0)</f>
        <v>0</v>
      </c>
    </row>
    <row r="2927" customFormat="false" ht="15" hidden="false" customHeight="false" outlineLevel="0" collapsed="false">
      <c r="A2927" s="10" t="s">
        <v>5268</v>
      </c>
      <c r="B2927" s="10" t="s">
        <v>95</v>
      </c>
      <c r="C2927" s="10" t="s">
        <v>47</v>
      </c>
      <c r="D2927" s="10" t="s">
        <v>432</v>
      </c>
      <c r="E2927" s="10" t="s">
        <v>2345</v>
      </c>
      <c r="F2927" s="30" t="n">
        <v>42926</v>
      </c>
      <c r="G2927" s="30" t="n">
        <v>42928</v>
      </c>
      <c r="H2927" s="26" t="n">
        <f aca="false">G2927-F2927</f>
        <v>2</v>
      </c>
      <c r="I2927" s="10" t="n">
        <f aca="false">IF(E2927="Won",1,0)</f>
        <v>0</v>
      </c>
    </row>
    <row r="2928" customFormat="false" ht="15" hidden="false" customHeight="false" outlineLevel="0" collapsed="false">
      <c r="A2928" s="10" t="s">
        <v>5269</v>
      </c>
      <c r="B2928" s="10" t="s">
        <v>67</v>
      </c>
      <c r="C2928" s="10" t="s">
        <v>52</v>
      </c>
      <c r="D2928" s="10" t="s">
        <v>419</v>
      </c>
      <c r="E2928" s="10" t="s">
        <v>2345</v>
      </c>
      <c r="F2928" s="30" t="n">
        <v>42927</v>
      </c>
      <c r="G2928" s="30" t="n">
        <v>42928</v>
      </c>
      <c r="H2928" s="26" t="n">
        <f aca="false">G2928-F2928</f>
        <v>1</v>
      </c>
      <c r="I2928" s="10" t="n">
        <f aca="false">IF(E2928="Won",1,0)</f>
        <v>0</v>
      </c>
    </row>
    <row r="2929" customFormat="false" ht="15" hidden="false" customHeight="false" outlineLevel="0" collapsed="false">
      <c r="A2929" s="10" t="s">
        <v>5270</v>
      </c>
      <c r="B2929" s="10" t="s">
        <v>93</v>
      </c>
      <c r="C2929" s="10" t="s">
        <v>47</v>
      </c>
      <c r="D2929" s="10" t="s">
        <v>497</v>
      </c>
      <c r="E2929" s="10" t="s">
        <v>2345</v>
      </c>
      <c r="F2929" s="30" t="n">
        <v>42927</v>
      </c>
      <c r="G2929" s="30" t="n">
        <v>42928</v>
      </c>
      <c r="H2929" s="26" t="n">
        <f aca="false">G2929-F2929</f>
        <v>1</v>
      </c>
      <c r="I2929" s="10" t="n">
        <f aca="false">IF(E2929="Won",1,0)</f>
        <v>0</v>
      </c>
    </row>
    <row r="2930" customFormat="false" ht="15" hidden="false" customHeight="false" outlineLevel="0" collapsed="false">
      <c r="A2930" s="10" t="s">
        <v>5271</v>
      </c>
      <c r="B2930" s="10" t="s">
        <v>94</v>
      </c>
      <c r="C2930" s="10" t="s">
        <v>50</v>
      </c>
      <c r="D2930" s="10" t="s">
        <v>286</v>
      </c>
      <c r="E2930" s="10" t="s">
        <v>2342</v>
      </c>
      <c r="F2930" s="30" t="n">
        <v>42921</v>
      </c>
      <c r="G2930" s="30" t="n">
        <v>42928</v>
      </c>
      <c r="H2930" s="26" t="n">
        <f aca="false">G2930-F2930</f>
        <v>7</v>
      </c>
      <c r="I2930" s="10" t="n">
        <f aca="false">IF(E2930="Won",1,0)</f>
        <v>1</v>
      </c>
    </row>
    <row r="2931" customFormat="false" ht="15" hidden="false" customHeight="false" outlineLevel="0" collapsed="false">
      <c r="A2931" s="10" t="s">
        <v>5272</v>
      </c>
      <c r="B2931" s="10" t="s">
        <v>77</v>
      </c>
      <c r="C2931" s="10" t="s">
        <v>48</v>
      </c>
      <c r="D2931" s="10" t="s">
        <v>961</v>
      </c>
      <c r="E2931" s="10" t="s">
        <v>2345</v>
      </c>
      <c r="F2931" s="30" t="n">
        <v>42927</v>
      </c>
      <c r="G2931" s="30" t="n">
        <v>42928</v>
      </c>
      <c r="H2931" s="26" t="n">
        <f aca="false">G2931-F2931</f>
        <v>1</v>
      </c>
      <c r="I2931" s="10" t="n">
        <f aca="false">IF(E2931="Won",1,0)</f>
        <v>0</v>
      </c>
    </row>
    <row r="2932" customFormat="false" ht="15" hidden="false" customHeight="false" outlineLevel="0" collapsed="false">
      <c r="A2932" s="10" t="s">
        <v>5273</v>
      </c>
      <c r="B2932" s="10" t="s">
        <v>63</v>
      </c>
      <c r="C2932" s="10" t="s">
        <v>49</v>
      </c>
      <c r="D2932" s="10" t="s">
        <v>161</v>
      </c>
      <c r="E2932" s="10" t="s">
        <v>2345</v>
      </c>
      <c r="F2932" s="30" t="n">
        <v>42919</v>
      </c>
      <c r="G2932" s="30" t="n">
        <v>42928</v>
      </c>
      <c r="H2932" s="26" t="n">
        <f aca="false">G2932-F2932</f>
        <v>9</v>
      </c>
      <c r="I2932" s="10" t="n">
        <f aca="false">IF(E2932="Won",1,0)</f>
        <v>0</v>
      </c>
    </row>
    <row r="2933" customFormat="false" ht="15" hidden="false" customHeight="false" outlineLevel="0" collapsed="false">
      <c r="A2933" s="10" t="s">
        <v>5274</v>
      </c>
      <c r="B2933" s="10" t="s">
        <v>77</v>
      </c>
      <c r="C2933" s="10" t="s">
        <v>50</v>
      </c>
      <c r="D2933" s="10" t="s">
        <v>291</v>
      </c>
      <c r="E2933" s="10" t="s">
        <v>2345</v>
      </c>
      <c r="F2933" s="30" t="n">
        <v>42920</v>
      </c>
      <c r="G2933" s="30" t="n">
        <v>42928</v>
      </c>
      <c r="H2933" s="26" t="n">
        <f aca="false">G2933-F2933</f>
        <v>8</v>
      </c>
      <c r="I2933" s="10" t="n">
        <f aca="false">IF(E2933="Won",1,0)</f>
        <v>0</v>
      </c>
    </row>
    <row r="2934" customFormat="false" ht="15" hidden="false" customHeight="false" outlineLevel="0" collapsed="false">
      <c r="A2934" s="10" t="s">
        <v>5275</v>
      </c>
      <c r="B2934" s="10" t="s">
        <v>80</v>
      </c>
      <c r="C2934" s="10" t="s">
        <v>51</v>
      </c>
      <c r="D2934" s="10" t="s">
        <v>193</v>
      </c>
      <c r="E2934" s="10" t="s">
        <v>2342</v>
      </c>
      <c r="F2934" s="30" t="n">
        <v>42927</v>
      </c>
      <c r="G2934" s="30" t="n">
        <v>42928</v>
      </c>
      <c r="H2934" s="26" t="n">
        <f aca="false">G2934-F2934</f>
        <v>1</v>
      </c>
      <c r="I2934" s="10" t="n">
        <f aca="false">IF(E2934="Won",1,0)</f>
        <v>1</v>
      </c>
    </row>
    <row r="2935" customFormat="false" ht="15" hidden="false" customHeight="false" outlineLevel="0" collapsed="false">
      <c r="A2935" s="10" t="s">
        <v>5276</v>
      </c>
      <c r="B2935" s="10" t="s">
        <v>86</v>
      </c>
      <c r="C2935" s="10" t="s">
        <v>50</v>
      </c>
      <c r="D2935" s="10" t="s">
        <v>247</v>
      </c>
      <c r="E2935" s="10" t="s">
        <v>2345</v>
      </c>
      <c r="F2935" s="30" t="n">
        <v>42921</v>
      </c>
      <c r="G2935" s="30" t="n">
        <v>42928</v>
      </c>
      <c r="H2935" s="26" t="n">
        <f aca="false">G2935-F2935</f>
        <v>7</v>
      </c>
      <c r="I2935" s="10" t="n">
        <f aca="false">IF(E2935="Won",1,0)</f>
        <v>0</v>
      </c>
    </row>
    <row r="2936" customFormat="false" ht="15" hidden="false" customHeight="false" outlineLevel="0" collapsed="false">
      <c r="A2936" s="10" t="s">
        <v>5277</v>
      </c>
      <c r="B2936" s="10" t="s">
        <v>79</v>
      </c>
      <c r="C2936" s="10" t="s">
        <v>49</v>
      </c>
      <c r="D2936" s="10" t="s">
        <v>388</v>
      </c>
      <c r="E2936" s="10" t="s">
        <v>2342</v>
      </c>
      <c r="F2936" s="30" t="n">
        <v>42927</v>
      </c>
      <c r="G2936" s="30" t="n">
        <v>42928</v>
      </c>
      <c r="H2936" s="26" t="n">
        <f aca="false">G2936-F2936</f>
        <v>1</v>
      </c>
      <c r="I2936" s="10" t="n">
        <f aca="false">IF(E2936="Won",1,0)</f>
        <v>1</v>
      </c>
    </row>
    <row r="2937" customFormat="false" ht="15" hidden="false" customHeight="false" outlineLevel="0" collapsed="false">
      <c r="A2937" s="10" t="s">
        <v>5278</v>
      </c>
      <c r="B2937" s="10" t="s">
        <v>70</v>
      </c>
      <c r="C2937" s="10" t="s">
        <v>49</v>
      </c>
      <c r="D2937" s="10" t="s">
        <v>233</v>
      </c>
      <c r="E2937" s="10" t="s">
        <v>2345</v>
      </c>
      <c r="F2937" s="30" t="n">
        <v>42920</v>
      </c>
      <c r="G2937" s="30" t="n">
        <v>42928</v>
      </c>
      <c r="H2937" s="26" t="n">
        <f aca="false">G2937-F2937</f>
        <v>8</v>
      </c>
      <c r="I2937" s="10" t="n">
        <f aca="false">IF(E2937="Won",1,0)</f>
        <v>0</v>
      </c>
    </row>
    <row r="2938" customFormat="false" ht="15" hidden="false" customHeight="false" outlineLevel="0" collapsed="false">
      <c r="A2938" s="10" t="s">
        <v>5279</v>
      </c>
      <c r="B2938" s="10" t="s">
        <v>81</v>
      </c>
      <c r="C2938" s="10" t="s">
        <v>49</v>
      </c>
      <c r="D2938" s="10" t="s">
        <v>267</v>
      </c>
      <c r="E2938" s="10" t="s">
        <v>2345</v>
      </c>
      <c r="F2938" s="30" t="n">
        <v>42926</v>
      </c>
      <c r="G2938" s="30" t="n">
        <v>42928</v>
      </c>
      <c r="H2938" s="26" t="n">
        <f aca="false">G2938-F2938</f>
        <v>2</v>
      </c>
      <c r="I2938" s="10" t="n">
        <f aca="false">IF(E2938="Won",1,0)</f>
        <v>0</v>
      </c>
    </row>
    <row r="2939" customFormat="false" ht="15" hidden="false" customHeight="false" outlineLevel="0" collapsed="false">
      <c r="A2939" s="10" t="s">
        <v>5280</v>
      </c>
      <c r="B2939" s="10" t="s">
        <v>95</v>
      </c>
      <c r="C2939" s="10" t="s">
        <v>50</v>
      </c>
      <c r="D2939" s="10" t="s">
        <v>348</v>
      </c>
      <c r="E2939" s="10" t="s">
        <v>2342</v>
      </c>
      <c r="F2939" s="30" t="n">
        <v>42919</v>
      </c>
      <c r="G2939" s="30" t="n">
        <v>42928</v>
      </c>
      <c r="H2939" s="26" t="n">
        <f aca="false">G2939-F2939</f>
        <v>9</v>
      </c>
      <c r="I2939" s="10" t="n">
        <f aca="false">IF(E2939="Won",1,0)</f>
        <v>1</v>
      </c>
    </row>
    <row r="2940" customFormat="false" ht="15" hidden="false" customHeight="false" outlineLevel="0" collapsed="false">
      <c r="A2940" s="10" t="s">
        <v>5281</v>
      </c>
      <c r="B2940" s="10" t="s">
        <v>81</v>
      </c>
      <c r="C2940" s="10" t="s">
        <v>49</v>
      </c>
      <c r="D2940" s="10" t="s">
        <v>762</v>
      </c>
      <c r="E2940" s="10" t="s">
        <v>2345</v>
      </c>
      <c r="F2940" s="30" t="n">
        <v>42921</v>
      </c>
      <c r="G2940" s="30" t="n">
        <v>42929</v>
      </c>
      <c r="H2940" s="26" t="n">
        <f aca="false">G2940-F2940</f>
        <v>8</v>
      </c>
      <c r="I2940" s="10" t="n">
        <f aca="false">IF(E2940="Won",1,0)</f>
        <v>0</v>
      </c>
    </row>
    <row r="2941" customFormat="false" ht="15" hidden="false" customHeight="false" outlineLevel="0" collapsed="false">
      <c r="A2941" s="10" t="s">
        <v>5282</v>
      </c>
      <c r="B2941" s="10" t="s">
        <v>71</v>
      </c>
      <c r="C2941" s="10" t="s">
        <v>52</v>
      </c>
      <c r="D2941" s="10" t="s">
        <v>267</v>
      </c>
      <c r="E2941" s="10" t="s">
        <v>2345</v>
      </c>
      <c r="F2941" s="30" t="n">
        <v>42923</v>
      </c>
      <c r="G2941" s="30" t="n">
        <v>42929</v>
      </c>
      <c r="H2941" s="26" t="n">
        <f aca="false">G2941-F2941</f>
        <v>6</v>
      </c>
      <c r="I2941" s="10" t="n">
        <f aca="false">IF(E2941="Won",1,0)</f>
        <v>0</v>
      </c>
    </row>
    <row r="2942" customFormat="false" ht="15" hidden="false" customHeight="false" outlineLevel="0" collapsed="false">
      <c r="A2942" s="10" t="s">
        <v>5283</v>
      </c>
      <c r="B2942" s="10" t="s">
        <v>73</v>
      </c>
      <c r="C2942" s="10" t="s">
        <v>50</v>
      </c>
      <c r="D2942" s="10" t="s">
        <v>193</v>
      </c>
      <c r="E2942" s="10" t="s">
        <v>2345</v>
      </c>
      <c r="F2942" s="30" t="n">
        <v>42927</v>
      </c>
      <c r="G2942" s="30" t="n">
        <v>42929</v>
      </c>
      <c r="H2942" s="26" t="n">
        <f aca="false">G2942-F2942</f>
        <v>2</v>
      </c>
      <c r="I2942" s="10" t="n">
        <f aca="false">IF(E2942="Won",1,0)</f>
        <v>0</v>
      </c>
    </row>
    <row r="2943" customFormat="false" ht="15" hidden="false" customHeight="false" outlineLevel="0" collapsed="false">
      <c r="A2943" s="10" t="s">
        <v>5284</v>
      </c>
      <c r="B2943" s="10" t="s">
        <v>74</v>
      </c>
      <c r="C2943" s="10" t="s">
        <v>50</v>
      </c>
      <c r="D2943" s="10" t="s">
        <v>291</v>
      </c>
      <c r="E2943" s="10" t="s">
        <v>2342</v>
      </c>
      <c r="F2943" s="30" t="n">
        <v>42925</v>
      </c>
      <c r="G2943" s="30" t="n">
        <v>42929</v>
      </c>
      <c r="H2943" s="26" t="n">
        <f aca="false">G2943-F2943</f>
        <v>4</v>
      </c>
      <c r="I2943" s="10" t="n">
        <f aca="false">IF(E2943="Won",1,0)</f>
        <v>1</v>
      </c>
    </row>
    <row r="2944" customFormat="false" ht="15" hidden="false" customHeight="false" outlineLevel="0" collapsed="false">
      <c r="A2944" s="10" t="s">
        <v>5285</v>
      </c>
      <c r="B2944" s="10" t="s">
        <v>75</v>
      </c>
      <c r="C2944" s="10" t="s">
        <v>49</v>
      </c>
      <c r="D2944" s="10" t="s">
        <v>524</v>
      </c>
      <c r="E2944" s="10" t="s">
        <v>2345</v>
      </c>
      <c r="F2944" s="30" t="n">
        <v>42925</v>
      </c>
      <c r="G2944" s="30" t="n">
        <v>42929</v>
      </c>
      <c r="H2944" s="26" t="n">
        <f aca="false">G2944-F2944</f>
        <v>4</v>
      </c>
      <c r="I2944" s="10" t="n">
        <f aca="false">IF(E2944="Won",1,0)</f>
        <v>0</v>
      </c>
    </row>
    <row r="2945" customFormat="false" ht="15" hidden="false" customHeight="false" outlineLevel="0" collapsed="false">
      <c r="A2945" s="10" t="s">
        <v>5286</v>
      </c>
      <c r="B2945" s="10" t="s">
        <v>79</v>
      </c>
      <c r="C2945" s="10" t="s">
        <v>48</v>
      </c>
      <c r="D2945" s="10" t="s">
        <v>210</v>
      </c>
      <c r="E2945" s="10" t="s">
        <v>2345</v>
      </c>
      <c r="F2945" s="30" t="n">
        <v>42928</v>
      </c>
      <c r="G2945" s="30" t="n">
        <v>42929</v>
      </c>
      <c r="H2945" s="26" t="n">
        <f aca="false">G2945-F2945</f>
        <v>1</v>
      </c>
      <c r="I2945" s="10" t="n">
        <f aca="false">IF(E2945="Won",1,0)</f>
        <v>0</v>
      </c>
    </row>
    <row r="2946" customFormat="false" ht="15" hidden="false" customHeight="false" outlineLevel="0" collapsed="false">
      <c r="A2946" s="10" t="s">
        <v>5287</v>
      </c>
      <c r="B2946" s="10" t="s">
        <v>70</v>
      </c>
      <c r="C2946" s="10" t="s">
        <v>47</v>
      </c>
      <c r="D2946" s="10" t="s">
        <v>199</v>
      </c>
      <c r="E2946" s="10" t="s">
        <v>2342</v>
      </c>
      <c r="F2946" s="30" t="n">
        <v>42923</v>
      </c>
      <c r="G2946" s="30" t="n">
        <v>42929</v>
      </c>
      <c r="H2946" s="26" t="n">
        <f aca="false">G2946-F2946</f>
        <v>6</v>
      </c>
      <c r="I2946" s="10" t="n">
        <f aca="false">IF(E2946="Won",1,0)</f>
        <v>1</v>
      </c>
    </row>
    <row r="2947" customFormat="false" ht="15" hidden="false" customHeight="false" outlineLevel="0" collapsed="false">
      <c r="A2947" s="10" t="s">
        <v>5288</v>
      </c>
      <c r="B2947" s="10" t="s">
        <v>97</v>
      </c>
      <c r="C2947" s="10" t="s">
        <v>50</v>
      </c>
      <c r="D2947" s="10" t="s">
        <v>172</v>
      </c>
      <c r="E2947" s="10" t="s">
        <v>2345</v>
      </c>
      <c r="F2947" s="30" t="n">
        <v>42922</v>
      </c>
      <c r="G2947" s="30" t="n">
        <v>42929</v>
      </c>
      <c r="H2947" s="26" t="n">
        <f aca="false">G2947-F2947</f>
        <v>7</v>
      </c>
      <c r="I2947" s="10" t="n">
        <f aca="false">IF(E2947="Won",1,0)</f>
        <v>0</v>
      </c>
    </row>
    <row r="2948" customFormat="false" ht="15" hidden="false" customHeight="false" outlineLevel="0" collapsed="false">
      <c r="A2948" s="10" t="s">
        <v>5289</v>
      </c>
      <c r="B2948" s="10" t="s">
        <v>95</v>
      </c>
      <c r="C2948" s="10" t="s">
        <v>50</v>
      </c>
      <c r="D2948" s="10" t="s">
        <v>606</v>
      </c>
      <c r="E2948" s="10" t="s">
        <v>2342</v>
      </c>
      <c r="F2948" s="30" t="n">
        <v>42919</v>
      </c>
      <c r="G2948" s="30" t="n">
        <v>42929</v>
      </c>
      <c r="H2948" s="26" t="n">
        <f aca="false">G2948-F2948</f>
        <v>10</v>
      </c>
      <c r="I2948" s="10" t="n">
        <f aca="false">IF(E2948="Won",1,0)</f>
        <v>1</v>
      </c>
    </row>
    <row r="2949" customFormat="false" ht="15" hidden="false" customHeight="false" outlineLevel="0" collapsed="false">
      <c r="A2949" s="10" t="s">
        <v>5290</v>
      </c>
      <c r="B2949" s="10" t="s">
        <v>70</v>
      </c>
      <c r="C2949" s="10" t="s">
        <v>51</v>
      </c>
      <c r="D2949" s="10" t="s">
        <v>514</v>
      </c>
      <c r="E2949" s="10" t="s">
        <v>2342</v>
      </c>
      <c r="F2949" s="30" t="n">
        <v>42922</v>
      </c>
      <c r="G2949" s="30" t="n">
        <v>42929</v>
      </c>
      <c r="H2949" s="26" t="n">
        <f aca="false">G2949-F2949</f>
        <v>7</v>
      </c>
      <c r="I2949" s="10" t="n">
        <f aca="false">IF(E2949="Won",1,0)</f>
        <v>1</v>
      </c>
    </row>
    <row r="2950" customFormat="false" ht="15" hidden="false" customHeight="false" outlineLevel="0" collapsed="false">
      <c r="A2950" s="10" t="s">
        <v>5291</v>
      </c>
      <c r="B2950" s="10" t="s">
        <v>75</v>
      </c>
      <c r="C2950" s="10" t="s">
        <v>49</v>
      </c>
      <c r="D2950" s="10" t="s">
        <v>311</v>
      </c>
      <c r="E2950" s="10" t="s">
        <v>2345</v>
      </c>
      <c r="F2950" s="30" t="n">
        <v>42922</v>
      </c>
      <c r="G2950" s="30" t="n">
        <v>42929</v>
      </c>
      <c r="H2950" s="26" t="n">
        <f aca="false">G2950-F2950</f>
        <v>7</v>
      </c>
      <c r="I2950" s="10" t="n">
        <f aca="false">IF(E2950="Won",1,0)</f>
        <v>0</v>
      </c>
    </row>
    <row r="2951" customFormat="false" ht="15" hidden="false" customHeight="false" outlineLevel="0" collapsed="false">
      <c r="A2951" s="10" t="s">
        <v>5292</v>
      </c>
      <c r="B2951" s="10" t="s">
        <v>71</v>
      </c>
      <c r="C2951" s="10" t="s">
        <v>49</v>
      </c>
      <c r="D2951" s="10" t="s">
        <v>311</v>
      </c>
      <c r="E2951" s="10" t="s">
        <v>2345</v>
      </c>
      <c r="F2951" s="30" t="n">
        <v>42918</v>
      </c>
      <c r="G2951" s="30" t="n">
        <v>42929</v>
      </c>
      <c r="H2951" s="26" t="n">
        <f aca="false">G2951-F2951</f>
        <v>11</v>
      </c>
      <c r="I2951" s="10" t="n">
        <f aca="false">IF(E2951="Won",1,0)</f>
        <v>0</v>
      </c>
    </row>
    <row r="2952" customFormat="false" ht="15" hidden="false" customHeight="false" outlineLevel="0" collapsed="false">
      <c r="A2952" s="10" t="s">
        <v>5293</v>
      </c>
      <c r="B2952" s="10" t="s">
        <v>96</v>
      </c>
      <c r="C2952" s="10" t="s">
        <v>47</v>
      </c>
      <c r="D2952" s="10" t="s">
        <v>303</v>
      </c>
      <c r="E2952" s="10" t="s">
        <v>2345</v>
      </c>
      <c r="F2952" s="30" t="n">
        <v>42921</v>
      </c>
      <c r="G2952" s="30" t="n">
        <v>42929</v>
      </c>
      <c r="H2952" s="26" t="n">
        <f aca="false">G2952-F2952</f>
        <v>8</v>
      </c>
      <c r="I2952" s="10" t="n">
        <f aca="false">IF(E2952="Won",1,0)</f>
        <v>0</v>
      </c>
    </row>
    <row r="2953" customFormat="false" ht="15" hidden="false" customHeight="false" outlineLevel="0" collapsed="false">
      <c r="A2953" s="10" t="s">
        <v>5294</v>
      </c>
      <c r="B2953" s="10" t="s">
        <v>88</v>
      </c>
      <c r="C2953" s="10" t="s">
        <v>48</v>
      </c>
      <c r="D2953" s="10" t="s">
        <v>616</v>
      </c>
      <c r="E2953" s="10" t="s">
        <v>2342</v>
      </c>
      <c r="F2953" s="30" t="n">
        <v>42920</v>
      </c>
      <c r="G2953" s="30" t="n">
        <v>42929</v>
      </c>
      <c r="H2953" s="26" t="n">
        <f aca="false">G2953-F2953</f>
        <v>9</v>
      </c>
      <c r="I2953" s="10" t="n">
        <f aca="false">IF(E2953="Won",1,0)</f>
        <v>1</v>
      </c>
    </row>
    <row r="2954" customFormat="false" ht="15" hidden="false" customHeight="false" outlineLevel="0" collapsed="false">
      <c r="A2954" s="10" t="s">
        <v>5295</v>
      </c>
      <c r="B2954" s="10" t="s">
        <v>86</v>
      </c>
      <c r="C2954" s="10" t="s">
        <v>47</v>
      </c>
      <c r="D2954" s="10" t="s">
        <v>441</v>
      </c>
      <c r="E2954" s="10" t="s">
        <v>2345</v>
      </c>
      <c r="F2954" s="30" t="n">
        <v>42921</v>
      </c>
      <c r="G2954" s="30" t="n">
        <v>42929</v>
      </c>
      <c r="H2954" s="26" t="n">
        <f aca="false">G2954-F2954</f>
        <v>8</v>
      </c>
      <c r="I2954" s="10" t="n">
        <f aca="false">IF(E2954="Won",1,0)</f>
        <v>0</v>
      </c>
    </row>
    <row r="2955" customFormat="false" ht="15" hidden="false" customHeight="false" outlineLevel="0" collapsed="false">
      <c r="A2955" s="10" t="s">
        <v>5296</v>
      </c>
      <c r="B2955" s="10" t="s">
        <v>62</v>
      </c>
      <c r="C2955" s="10" t="s">
        <v>52</v>
      </c>
      <c r="D2955" s="10" t="s">
        <v>532</v>
      </c>
      <c r="E2955" s="10" t="s">
        <v>2342</v>
      </c>
      <c r="F2955" s="30" t="n">
        <v>42918</v>
      </c>
      <c r="G2955" s="30" t="n">
        <v>42929</v>
      </c>
      <c r="H2955" s="26" t="n">
        <f aca="false">G2955-F2955</f>
        <v>11</v>
      </c>
      <c r="I2955" s="10" t="n">
        <f aca="false">IF(E2955="Won",1,0)</f>
        <v>1</v>
      </c>
    </row>
    <row r="2956" customFormat="false" ht="15" hidden="false" customHeight="false" outlineLevel="0" collapsed="false">
      <c r="A2956" s="10" t="s">
        <v>5297</v>
      </c>
      <c r="B2956" s="10" t="s">
        <v>70</v>
      </c>
      <c r="C2956" s="10" t="s">
        <v>51</v>
      </c>
      <c r="D2956" s="10" t="s">
        <v>384</v>
      </c>
      <c r="E2956" s="10" t="s">
        <v>2345</v>
      </c>
      <c r="F2956" s="30" t="n">
        <v>42927</v>
      </c>
      <c r="G2956" s="30" t="n">
        <v>42929</v>
      </c>
      <c r="H2956" s="26" t="n">
        <f aca="false">G2956-F2956</f>
        <v>2</v>
      </c>
      <c r="I2956" s="10" t="n">
        <f aca="false">IF(E2956="Won",1,0)</f>
        <v>0</v>
      </c>
    </row>
    <row r="2957" customFormat="false" ht="15" hidden="false" customHeight="false" outlineLevel="0" collapsed="false">
      <c r="A2957" s="10" t="s">
        <v>5298</v>
      </c>
      <c r="B2957" s="10" t="s">
        <v>76</v>
      </c>
      <c r="C2957" s="10" t="s">
        <v>49</v>
      </c>
      <c r="D2957" s="10" t="s">
        <v>311</v>
      </c>
      <c r="E2957" s="10" t="s">
        <v>2345</v>
      </c>
      <c r="F2957" s="30" t="n">
        <v>42917</v>
      </c>
      <c r="G2957" s="30" t="n">
        <v>42929</v>
      </c>
      <c r="H2957" s="26" t="n">
        <f aca="false">G2957-F2957</f>
        <v>12</v>
      </c>
      <c r="I2957" s="10" t="n">
        <f aca="false">IF(E2957="Won",1,0)</f>
        <v>0</v>
      </c>
    </row>
    <row r="2958" customFormat="false" ht="15" hidden="false" customHeight="false" outlineLevel="0" collapsed="false">
      <c r="A2958" s="10" t="s">
        <v>5299</v>
      </c>
      <c r="B2958" s="10" t="s">
        <v>57</v>
      </c>
      <c r="C2958" s="10" t="s">
        <v>49</v>
      </c>
      <c r="D2958" s="10" t="s">
        <v>464</v>
      </c>
      <c r="E2958" s="10" t="s">
        <v>2345</v>
      </c>
      <c r="F2958" s="30" t="n">
        <v>42927</v>
      </c>
      <c r="G2958" s="30" t="n">
        <v>42929</v>
      </c>
      <c r="H2958" s="26" t="n">
        <f aca="false">G2958-F2958</f>
        <v>2</v>
      </c>
      <c r="I2958" s="10" t="n">
        <f aca="false">IF(E2958="Won",1,0)</f>
        <v>0</v>
      </c>
    </row>
    <row r="2959" customFormat="false" ht="15" hidden="false" customHeight="false" outlineLevel="0" collapsed="false">
      <c r="A2959" s="10" t="s">
        <v>5300</v>
      </c>
      <c r="B2959" s="10" t="s">
        <v>88</v>
      </c>
      <c r="C2959" s="10" t="s">
        <v>52</v>
      </c>
      <c r="D2959" s="10" t="s">
        <v>286</v>
      </c>
      <c r="E2959" s="10" t="s">
        <v>2342</v>
      </c>
      <c r="F2959" s="30" t="n">
        <v>42924</v>
      </c>
      <c r="G2959" s="30" t="n">
        <v>42930</v>
      </c>
      <c r="H2959" s="26" t="n">
        <f aca="false">G2959-F2959</f>
        <v>6</v>
      </c>
      <c r="I2959" s="10" t="n">
        <f aca="false">IF(E2959="Won",1,0)</f>
        <v>1</v>
      </c>
    </row>
    <row r="2960" customFormat="false" ht="15" hidden="false" customHeight="false" outlineLevel="0" collapsed="false">
      <c r="A2960" s="10" t="s">
        <v>5301</v>
      </c>
      <c r="B2960" s="10" t="s">
        <v>90</v>
      </c>
      <c r="C2960" s="10" t="s">
        <v>48</v>
      </c>
      <c r="D2960" s="10" t="s">
        <v>464</v>
      </c>
      <c r="E2960" s="10" t="s">
        <v>2345</v>
      </c>
      <c r="F2960" s="30" t="n">
        <v>42928</v>
      </c>
      <c r="G2960" s="30" t="n">
        <v>42930</v>
      </c>
      <c r="H2960" s="26" t="n">
        <f aca="false">G2960-F2960</f>
        <v>2</v>
      </c>
      <c r="I2960" s="10" t="n">
        <f aca="false">IF(E2960="Won",1,0)</f>
        <v>0</v>
      </c>
    </row>
    <row r="2961" customFormat="false" ht="15" hidden="false" customHeight="false" outlineLevel="0" collapsed="false">
      <c r="A2961" s="10" t="s">
        <v>5302</v>
      </c>
      <c r="B2961" s="10" t="s">
        <v>88</v>
      </c>
      <c r="C2961" s="10" t="s">
        <v>50</v>
      </c>
      <c r="D2961" s="10" t="s">
        <v>637</v>
      </c>
      <c r="E2961" s="10" t="s">
        <v>2342</v>
      </c>
      <c r="F2961" s="30" t="n">
        <v>42924</v>
      </c>
      <c r="G2961" s="30" t="n">
        <v>42930</v>
      </c>
      <c r="H2961" s="26" t="n">
        <f aca="false">G2961-F2961</f>
        <v>6</v>
      </c>
      <c r="I2961" s="10" t="n">
        <f aca="false">IF(E2961="Won",1,0)</f>
        <v>1</v>
      </c>
    </row>
    <row r="2962" customFormat="false" ht="15" hidden="false" customHeight="false" outlineLevel="0" collapsed="false">
      <c r="A2962" s="10" t="s">
        <v>5303</v>
      </c>
      <c r="B2962" s="10" t="s">
        <v>70</v>
      </c>
      <c r="C2962" s="10" t="s">
        <v>47</v>
      </c>
      <c r="D2962" s="10" t="s">
        <v>522</v>
      </c>
      <c r="E2962" s="10" t="s">
        <v>2342</v>
      </c>
      <c r="F2962" s="30" t="n">
        <v>42920</v>
      </c>
      <c r="G2962" s="30" t="n">
        <v>42930</v>
      </c>
      <c r="H2962" s="26" t="n">
        <f aca="false">G2962-F2962</f>
        <v>10</v>
      </c>
      <c r="I2962" s="10" t="n">
        <f aca="false">IF(E2962="Won",1,0)</f>
        <v>1</v>
      </c>
    </row>
    <row r="2963" customFormat="false" ht="15" hidden="false" customHeight="false" outlineLevel="0" collapsed="false">
      <c r="A2963" s="10" t="s">
        <v>5304</v>
      </c>
      <c r="B2963" s="10" t="s">
        <v>62</v>
      </c>
      <c r="C2963" s="10" t="s">
        <v>51</v>
      </c>
      <c r="D2963" s="10" t="s">
        <v>637</v>
      </c>
      <c r="E2963" s="10" t="s">
        <v>2345</v>
      </c>
      <c r="F2963" s="30" t="n">
        <v>42923</v>
      </c>
      <c r="G2963" s="30" t="n">
        <v>42930</v>
      </c>
      <c r="H2963" s="26" t="n">
        <f aca="false">G2963-F2963</f>
        <v>7</v>
      </c>
      <c r="I2963" s="10" t="n">
        <f aca="false">IF(E2963="Won",1,0)</f>
        <v>0</v>
      </c>
    </row>
    <row r="2964" customFormat="false" ht="15" hidden="false" customHeight="false" outlineLevel="0" collapsed="false">
      <c r="A2964" s="10" t="s">
        <v>5305</v>
      </c>
      <c r="B2964" s="10" t="s">
        <v>83</v>
      </c>
      <c r="C2964" s="10" t="s">
        <v>51</v>
      </c>
      <c r="D2964" s="10" t="s">
        <v>524</v>
      </c>
      <c r="E2964" s="10" t="s">
        <v>2342</v>
      </c>
      <c r="F2964" s="30" t="n">
        <v>42929</v>
      </c>
      <c r="G2964" s="30" t="n">
        <v>42930</v>
      </c>
      <c r="H2964" s="26" t="n">
        <f aca="false">G2964-F2964</f>
        <v>1</v>
      </c>
      <c r="I2964" s="10" t="n">
        <f aca="false">IF(E2964="Won",1,0)</f>
        <v>1</v>
      </c>
    </row>
    <row r="2965" customFormat="false" ht="15" hidden="false" customHeight="false" outlineLevel="0" collapsed="false">
      <c r="A2965" s="10" t="s">
        <v>5306</v>
      </c>
      <c r="B2965" s="10" t="s">
        <v>57</v>
      </c>
      <c r="C2965" s="10" t="s">
        <v>51</v>
      </c>
      <c r="D2965" s="10" t="s">
        <v>464</v>
      </c>
      <c r="E2965" s="10" t="s">
        <v>2345</v>
      </c>
      <c r="F2965" s="30" t="n">
        <v>42923</v>
      </c>
      <c r="G2965" s="30" t="n">
        <v>42930</v>
      </c>
      <c r="H2965" s="26" t="n">
        <f aca="false">G2965-F2965</f>
        <v>7</v>
      </c>
      <c r="I2965" s="10" t="n">
        <f aca="false">IF(E2965="Won",1,0)</f>
        <v>0</v>
      </c>
    </row>
    <row r="2966" customFormat="false" ht="15" hidden="false" customHeight="false" outlineLevel="0" collapsed="false">
      <c r="A2966" s="10" t="s">
        <v>5307</v>
      </c>
      <c r="B2966" s="10" t="s">
        <v>68</v>
      </c>
      <c r="C2966" s="10" t="s">
        <v>50</v>
      </c>
      <c r="D2966" s="10" t="s">
        <v>286</v>
      </c>
      <c r="E2966" s="10" t="s">
        <v>2345</v>
      </c>
      <c r="F2966" s="30" t="n">
        <v>42929</v>
      </c>
      <c r="G2966" s="30" t="n">
        <v>42930</v>
      </c>
      <c r="H2966" s="26" t="n">
        <f aca="false">G2966-F2966</f>
        <v>1</v>
      </c>
      <c r="I2966" s="10" t="n">
        <f aca="false">IF(E2966="Won",1,0)</f>
        <v>0</v>
      </c>
    </row>
    <row r="2967" customFormat="false" ht="15" hidden="false" customHeight="false" outlineLevel="0" collapsed="false">
      <c r="A2967" s="10" t="s">
        <v>5308</v>
      </c>
      <c r="B2967" s="10" t="s">
        <v>86</v>
      </c>
      <c r="C2967" s="10" t="s">
        <v>50</v>
      </c>
      <c r="D2967" s="10" t="s">
        <v>161</v>
      </c>
      <c r="E2967" s="10" t="s">
        <v>2342</v>
      </c>
      <c r="F2967" s="30" t="n">
        <v>42921</v>
      </c>
      <c r="G2967" s="30" t="n">
        <v>42930</v>
      </c>
      <c r="H2967" s="26" t="n">
        <f aca="false">G2967-F2967</f>
        <v>9</v>
      </c>
      <c r="I2967" s="10" t="n">
        <f aca="false">IF(E2967="Won",1,0)</f>
        <v>1</v>
      </c>
    </row>
    <row r="2968" customFormat="false" ht="15" hidden="false" customHeight="false" outlineLevel="0" collapsed="false">
      <c r="A2968" s="10" t="s">
        <v>5309</v>
      </c>
      <c r="B2968" s="10" t="s">
        <v>71</v>
      </c>
      <c r="C2968" s="10" t="s">
        <v>47</v>
      </c>
      <c r="D2968" s="10" t="s">
        <v>410</v>
      </c>
      <c r="E2968" s="10" t="s">
        <v>2345</v>
      </c>
      <c r="F2968" s="30" t="n">
        <v>42920</v>
      </c>
      <c r="G2968" s="30" t="n">
        <v>42930</v>
      </c>
      <c r="H2968" s="26" t="n">
        <f aca="false">G2968-F2968</f>
        <v>10</v>
      </c>
      <c r="I2968" s="10" t="n">
        <f aca="false">IF(E2968="Won",1,0)</f>
        <v>0</v>
      </c>
    </row>
    <row r="2969" customFormat="false" ht="15" hidden="false" customHeight="false" outlineLevel="0" collapsed="false">
      <c r="A2969" s="10" t="s">
        <v>5310</v>
      </c>
      <c r="B2969" s="10" t="s">
        <v>57</v>
      </c>
      <c r="C2969" s="10" t="s">
        <v>47</v>
      </c>
      <c r="D2969" s="10" t="s">
        <v>274</v>
      </c>
      <c r="E2969" s="10" t="s">
        <v>2345</v>
      </c>
      <c r="F2969" s="30" t="n">
        <v>42921</v>
      </c>
      <c r="G2969" s="30" t="n">
        <v>42930</v>
      </c>
      <c r="H2969" s="26" t="n">
        <f aca="false">G2969-F2969</f>
        <v>9</v>
      </c>
      <c r="I2969" s="10" t="n">
        <f aca="false">IF(E2969="Won",1,0)</f>
        <v>0</v>
      </c>
    </row>
    <row r="2970" customFormat="false" ht="15" hidden="false" customHeight="false" outlineLevel="0" collapsed="false">
      <c r="A2970" s="10" t="s">
        <v>5311</v>
      </c>
      <c r="B2970" s="10" t="s">
        <v>67</v>
      </c>
      <c r="C2970" s="10" t="s">
        <v>49</v>
      </c>
      <c r="D2970" s="10" t="s">
        <v>326</v>
      </c>
      <c r="E2970" s="10" t="s">
        <v>2342</v>
      </c>
      <c r="F2970" s="30" t="n">
        <v>42928</v>
      </c>
      <c r="G2970" s="30" t="n">
        <v>42930</v>
      </c>
      <c r="H2970" s="26" t="n">
        <f aca="false">G2970-F2970</f>
        <v>2</v>
      </c>
      <c r="I2970" s="10" t="n">
        <f aca="false">IF(E2970="Won",1,0)</f>
        <v>1</v>
      </c>
    </row>
    <row r="2971" customFormat="false" ht="15" hidden="false" customHeight="false" outlineLevel="0" collapsed="false">
      <c r="A2971" s="10" t="s">
        <v>5312</v>
      </c>
      <c r="B2971" s="10" t="s">
        <v>70</v>
      </c>
      <c r="C2971" s="10" t="s">
        <v>51</v>
      </c>
      <c r="D2971" s="10" t="s">
        <v>170</v>
      </c>
      <c r="E2971" s="10" t="s">
        <v>2342</v>
      </c>
      <c r="F2971" s="30" t="n">
        <v>42919</v>
      </c>
      <c r="G2971" s="30" t="n">
        <v>42930</v>
      </c>
      <c r="H2971" s="26" t="n">
        <f aca="false">G2971-F2971</f>
        <v>11</v>
      </c>
      <c r="I2971" s="10" t="n">
        <f aca="false">IF(E2971="Won",1,0)</f>
        <v>1</v>
      </c>
    </row>
    <row r="2972" customFormat="false" ht="15" hidden="false" customHeight="false" outlineLevel="0" collapsed="false">
      <c r="A2972" s="10" t="s">
        <v>5313</v>
      </c>
      <c r="B2972" s="10" t="s">
        <v>60</v>
      </c>
      <c r="C2972" s="10" t="s">
        <v>48</v>
      </c>
      <c r="D2972" s="10" t="s">
        <v>210</v>
      </c>
      <c r="E2972" s="10" t="s">
        <v>2342</v>
      </c>
      <c r="F2972" s="30" t="n">
        <v>42922</v>
      </c>
      <c r="G2972" s="30" t="n">
        <v>42930</v>
      </c>
      <c r="H2972" s="26" t="n">
        <f aca="false">G2972-F2972</f>
        <v>8</v>
      </c>
      <c r="I2972" s="10" t="n">
        <f aca="false">IF(E2972="Won",1,0)</f>
        <v>1</v>
      </c>
    </row>
    <row r="2973" customFormat="false" ht="15" hidden="false" customHeight="false" outlineLevel="0" collapsed="false">
      <c r="A2973" s="10" t="s">
        <v>5314</v>
      </c>
      <c r="B2973" s="10" t="s">
        <v>67</v>
      </c>
      <c r="C2973" s="10" t="s">
        <v>49</v>
      </c>
      <c r="D2973" s="10" t="s">
        <v>227</v>
      </c>
      <c r="E2973" s="10" t="s">
        <v>2342</v>
      </c>
      <c r="F2973" s="30" t="n">
        <v>42922</v>
      </c>
      <c r="G2973" s="30" t="n">
        <v>42930</v>
      </c>
      <c r="H2973" s="26" t="n">
        <f aca="false">G2973-F2973</f>
        <v>8</v>
      </c>
      <c r="I2973" s="10" t="n">
        <f aca="false">IF(E2973="Won",1,0)</f>
        <v>1</v>
      </c>
    </row>
    <row r="2974" customFormat="false" ht="15" hidden="false" customHeight="false" outlineLevel="0" collapsed="false">
      <c r="A2974" s="10" t="s">
        <v>5315</v>
      </c>
      <c r="B2974" s="10" t="s">
        <v>61</v>
      </c>
      <c r="C2974" s="10" t="s">
        <v>52</v>
      </c>
      <c r="D2974" s="10" t="s">
        <v>233</v>
      </c>
      <c r="E2974" s="10" t="s">
        <v>2342</v>
      </c>
      <c r="F2974" s="30" t="n">
        <v>42921</v>
      </c>
      <c r="G2974" s="30" t="n">
        <v>42930</v>
      </c>
      <c r="H2974" s="26" t="n">
        <f aca="false">G2974-F2974</f>
        <v>9</v>
      </c>
      <c r="I2974" s="10" t="n">
        <f aca="false">IF(E2974="Won",1,0)</f>
        <v>1</v>
      </c>
    </row>
    <row r="2975" customFormat="false" ht="15" hidden="false" customHeight="false" outlineLevel="0" collapsed="false">
      <c r="A2975" s="10" t="s">
        <v>5316</v>
      </c>
      <c r="B2975" s="10" t="s">
        <v>94</v>
      </c>
      <c r="C2975" s="10" t="s">
        <v>51</v>
      </c>
      <c r="D2975" s="10" t="s">
        <v>227</v>
      </c>
      <c r="E2975" s="10" t="s">
        <v>2345</v>
      </c>
      <c r="F2975" s="30" t="n">
        <v>42925</v>
      </c>
      <c r="G2975" s="30" t="n">
        <v>42930</v>
      </c>
      <c r="H2975" s="26" t="n">
        <f aca="false">G2975-F2975</f>
        <v>5</v>
      </c>
      <c r="I2975" s="10" t="n">
        <f aca="false">IF(E2975="Won",1,0)</f>
        <v>0</v>
      </c>
    </row>
    <row r="2976" customFormat="false" ht="15" hidden="false" customHeight="false" outlineLevel="0" collapsed="false">
      <c r="A2976" s="10" t="s">
        <v>5317</v>
      </c>
      <c r="B2976" s="10" t="s">
        <v>73</v>
      </c>
      <c r="C2976" s="10" t="s">
        <v>47</v>
      </c>
      <c r="D2976" s="10" t="s">
        <v>697</v>
      </c>
      <c r="E2976" s="10" t="s">
        <v>2342</v>
      </c>
      <c r="F2976" s="30" t="n">
        <v>42922</v>
      </c>
      <c r="G2976" s="30" t="n">
        <v>42930</v>
      </c>
      <c r="H2976" s="26" t="n">
        <f aca="false">G2976-F2976</f>
        <v>8</v>
      </c>
      <c r="I2976" s="10" t="n">
        <f aca="false">IF(E2976="Won",1,0)</f>
        <v>1</v>
      </c>
    </row>
    <row r="2977" customFormat="false" ht="15" hidden="false" customHeight="false" outlineLevel="0" collapsed="false">
      <c r="A2977" s="10" t="s">
        <v>5318</v>
      </c>
      <c r="B2977" s="10" t="s">
        <v>73</v>
      </c>
      <c r="C2977" s="10" t="s">
        <v>51</v>
      </c>
      <c r="D2977" s="10" t="s">
        <v>697</v>
      </c>
      <c r="E2977" s="10" t="s">
        <v>2342</v>
      </c>
      <c r="F2977" s="30" t="n">
        <v>42923</v>
      </c>
      <c r="G2977" s="30" t="n">
        <v>42931</v>
      </c>
      <c r="H2977" s="26" t="n">
        <f aca="false">G2977-F2977</f>
        <v>8</v>
      </c>
      <c r="I2977" s="10" t="n">
        <f aca="false">IF(E2977="Won",1,0)</f>
        <v>1</v>
      </c>
    </row>
    <row r="2978" customFormat="false" ht="15" hidden="false" customHeight="false" outlineLevel="0" collapsed="false">
      <c r="A2978" s="10" t="s">
        <v>5319</v>
      </c>
      <c r="B2978" s="10" t="s">
        <v>86</v>
      </c>
      <c r="C2978" s="10" t="s">
        <v>50</v>
      </c>
      <c r="D2978" s="10" t="s">
        <v>254</v>
      </c>
      <c r="E2978" s="10" t="s">
        <v>2345</v>
      </c>
      <c r="F2978" s="30" t="n">
        <v>42924</v>
      </c>
      <c r="G2978" s="30" t="n">
        <v>42931</v>
      </c>
      <c r="H2978" s="26" t="n">
        <f aca="false">G2978-F2978</f>
        <v>7</v>
      </c>
      <c r="I2978" s="10" t="n">
        <f aca="false">IF(E2978="Won",1,0)</f>
        <v>0</v>
      </c>
    </row>
    <row r="2979" customFormat="false" ht="15" hidden="false" customHeight="false" outlineLevel="0" collapsed="false">
      <c r="A2979" s="10" t="s">
        <v>5320</v>
      </c>
      <c r="B2979" s="10" t="s">
        <v>68</v>
      </c>
      <c r="C2979" s="10" t="s">
        <v>51</v>
      </c>
      <c r="D2979" s="10" t="s">
        <v>711</v>
      </c>
      <c r="E2979" s="10" t="s">
        <v>2345</v>
      </c>
      <c r="F2979" s="30" t="n">
        <v>42924</v>
      </c>
      <c r="G2979" s="30" t="n">
        <v>42931</v>
      </c>
      <c r="H2979" s="26" t="n">
        <f aca="false">G2979-F2979</f>
        <v>7</v>
      </c>
      <c r="I2979" s="10" t="n">
        <f aca="false">IF(E2979="Won",1,0)</f>
        <v>0</v>
      </c>
    </row>
    <row r="2980" customFormat="false" ht="15" hidden="false" customHeight="false" outlineLevel="0" collapsed="false">
      <c r="A2980" s="10" t="s">
        <v>5321</v>
      </c>
      <c r="B2980" s="10" t="s">
        <v>83</v>
      </c>
      <c r="C2980" s="10" t="s">
        <v>51</v>
      </c>
      <c r="D2980" s="10" t="s">
        <v>193</v>
      </c>
      <c r="E2980" s="10" t="s">
        <v>2345</v>
      </c>
      <c r="F2980" s="30" t="n">
        <v>42920</v>
      </c>
      <c r="G2980" s="30" t="n">
        <v>42931</v>
      </c>
      <c r="H2980" s="26" t="n">
        <f aca="false">G2980-F2980</f>
        <v>11</v>
      </c>
      <c r="I2980" s="10" t="n">
        <f aca="false">IF(E2980="Won",1,0)</f>
        <v>0</v>
      </c>
    </row>
    <row r="2981" customFormat="false" ht="15" hidden="false" customHeight="false" outlineLevel="0" collapsed="false">
      <c r="A2981" s="10" t="s">
        <v>5322</v>
      </c>
      <c r="B2981" s="10" t="s">
        <v>62</v>
      </c>
      <c r="C2981" s="10" t="s">
        <v>52</v>
      </c>
      <c r="D2981" s="10" t="s">
        <v>247</v>
      </c>
      <c r="E2981" s="10" t="s">
        <v>2342</v>
      </c>
      <c r="F2981" s="30" t="n">
        <v>42930</v>
      </c>
      <c r="G2981" s="30" t="n">
        <v>42931</v>
      </c>
      <c r="H2981" s="26" t="n">
        <f aca="false">G2981-F2981</f>
        <v>1</v>
      </c>
      <c r="I2981" s="10" t="n">
        <f aca="false">IF(E2981="Won",1,0)</f>
        <v>1</v>
      </c>
    </row>
    <row r="2982" customFormat="false" ht="15" hidden="false" customHeight="false" outlineLevel="0" collapsed="false">
      <c r="A2982" s="10" t="s">
        <v>5323</v>
      </c>
      <c r="B2982" s="10" t="s">
        <v>75</v>
      </c>
      <c r="C2982" s="10" t="s">
        <v>51</v>
      </c>
      <c r="D2982" s="10" t="s">
        <v>321</v>
      </c>
      <c r="E2982" s="10" t="s">
        <v>2345</v>
      </c>
      <c r="F2982" s="30" t="n">
        <v>42923</v>
      </c>
      <c r="G2982" s="30" t="n">
        <v>42931</v>
      </c>
      <c r="H2982" s="26" t="n">
        <f aca="false">G2982-F2982</f>
        <v>8</v>
      </c>
      <c r="I2982" s="10" t="n">
        <f aca="false">IF(E2982="Won",1,0)</f>
        <v>0</v>
      </c>
    </row>
    <row r="2983" customFormat="false" ht="15" hidden="false" customHeight="false" outlineLevel="0" collapsed="false">
      <c r="A2983" s="10" t="s">
        <v>5324</v>
      </c>
      <c r="B2983" s="10" t="s">
        <v>90</v>
      </c>
      <c r="C2983" s="10" t="s">
        <v>48</v>
      </c>
      <c r="D2983" s="10" t="s">
        <v>233</v>
      </c>
      <c r="E2983" s="10" t="s">
        <v>2342</v>
      </c>
      <c r="F2983" s="30" t="n">
        <v>42924</v>
      </c>
      <c r="G2983" s="30" t="n">
        <v>42931</v>
      </c>
      <c r="H2983" s="26" t="n">
        <f aca="false">G2983-F2983</f>
        <v>7</v>
      </c>
      <c r="I2983" s="10" t="n">
        <f aca="false">IF(E2983="Won",1,0)</f>
        <v>1</v>
      </c>
    </row>
    <row r="2984" customFormat="false" ht="15" hidden="false" customHeight="false" outlineLevel="0" collapsed="false">
      <c r="A2984" s="10" t="s">
        <v>5325</v>
      </c>
      <c r="B2984" s="10" t="s">
        <v>57</v>
      </c>
      <c r="C2984" s="10" t="s">
        <v>50</v>
      </c>
      <c r="D2984" s="10" t="s">
        <v>441</v>
      </c>
      <c r="E2984" s="10" t="s">
        <v>2342</v>
      </c>
      <c r="F2984" s="30" t="n">
        <v>42925</v>
      </c>
      <c r="G2984" s="30" t="n">
        <v>42931</v>
      </c>
      <c r="H2984" s="26" t="n">
        <f aca="false">G2984-F2984</f>
        <v>6</v>
      </c>
      <c r="I2984" s="10" t="n">
        <f aca="false">IF(E2984="Won",1,0)</f>
        <v>1</v>
      </c>
    </row>
    <row r="2985" customFormat="false" ht="15" hidden="false" customHeight="false" outlineLevel="0" collapsed="false">
      <c r="A2985" s="10" t="s">
        <v>5326</v>
      </c>
      <c r="B2985" s="10" t="s">
        <v>67</v>
      </c>
      <c r="C2985" s="10" t="s">
        <v>49</v>
      </c>
      <c r="D2985" s="10" t="s">
        <v>483</v>
      </c>
      <c r="E2985" s="10" t="s">
        <v>2345</v>
      </c>
      <c r="F2985" s="30" t="n">
        <v>42929</v>
      </c>
      <c r="G2985" s="30" t="n">
        <v>42931</v>
      </c>
      <c r="H2985" s="26" t="n">
        <f aca="false">G2985-F2985</f>
        <v>2</v>
      </c>
      <c r="I2985" s="10" t="n">
        <f aca="false">IF(E2985="Won",1,0)</f>
        <v>0</v>
      </c>
    </row>
    <row r="2986" customFormat="false" ht="15" hidden="false" customHeight="false" outlineLevel="0" collapsed="false">
      <c r="A2986" s="10" t="s">
        <v>5327</v>
      </c>
      <c r="B2986" s="10" t="s">
        <v>67</v>
      </c>
      <c r="C2986" s="10" t="s">
        <v>49</v>
      </c>
      <c r="D2986" s="10" t="s">
        <v>419</v>
      </c>
      <c r="E2986" s="10" t="s">
        <v>2342</v>
      </c>
      <c r="F2986" s="30" t="n">
        <v>42930</v>
      </c>
      <c r="G2986" s="30" t="n">
        <v>42931</v>
      </c>
      <c r="H2986" s="26" t="n">
        <f aca="false">G2986-F2986</f>
        <v>1</v>
      </c>
      <c r="I2986" s="10" t="n">
        <f aca="false">IF(E2986="Won",1,0)</f>
        <v>1</v>
      </c>
    </row>
    <row r="2987" customFormat="false" ht="15" hidden="false" customHeight="false" outlineLevel="0" collapsed="false">
      <c r="A2987" s="10" t="s">
        <v>5328</v>
      </c>
      <c r="B2987" s="10" t="s">
        <v>90</v>
      </c>
      <c r="C2987" s="10" t="s">
        <v>50</v>
      </c>
      <c r="D2987" s="10" t="s">
        <v>441</v>
      </c>
      <c r="E2987" s="10" t="s">
        <v>2342</v>
      </c>
      <c r="F2987" s="30" t="n">
        <v>42930</v>
      </c>
      <c r="G2987" s="30" t="n">
        <v>42931</v>
      </c>
      <c r="H2987" s="26" t="n">
        <f aca="false">G2987-F2987</f>
        <v>1</v>
      </c>
      <c r="I2987" s="10" t="n">
        <f aca="false">IF(E2987="Won",1,0)</f>
        <v>1</v>
      </c>
    </row>
    <row r="2988" customFormat="false" ht="15" hidden="false" customHeight="false" outlineLevel="0" collapsed="false">
      <c r="A2988" s="10" t="s">
        <v>5329</v>
      </c>
      <c r="B2988" s="10" t="s">
        <v>88</v>
      </c>
      <c r="C2988" s="10" t="s">
        <v>51</v>
      </c>
      <c r="D2988" s="10" t="s">
        <v>286</v>
      </c>
      <c r="E2988" s="10" t="s">
        <v>2345</v>
      </c>
      <c r="F2988" s="30" t="n">
        <v>42930</v>
      </c>
      <c r="G2988" s="30" t="n">
        <v>42931</v>
      </c>
      <c r="H2988" s="26" t="n">
        <f aca="false">G2988-F2988</f>
        <v>1</v>
      </c>
      <c r="I2988" s="10" t="n">
        <f aca="false">IF(E2988="Won",1,0)</f>
        <v>0</v>
      </c>
    </row>
    <row r="2989" customFormat="false" ht="15" hidden="false" customHeight="false" outlineLevel="0" collapsed="false">
      <c r="A2989" s="10" t="s">
        <v>5330</v>
      </c>
      <c r="B2989" s="10" t="s">
        <v>94</v>
      </c>
      <c r="C2989" s="10" t="s">
        <v>51</v>
      </c>
      <c r="D2989" s="10" t="s">
        <v>424</v>
      </c>
      <c r="E2989" s="10" t="s">
        <v>2345</v>
      </c>
      <c r="F2989" s="30" t="n">
        <v>42930</v>
      </c>
      <c r="G2989" s="30" t="n">
        <v>42931</v>
      </c>
      <c r="H2989" s="26" t="n">
        <f aca="false">G2989-F2989</f>
        <v>1</v>
      </c>
      <c r="I2989" s="10" t="n">
        <f aca="false">IF(E2989="Won",1,0)</f>
        <v>0</v>
      </c>
    </row>
    <row r="2990" customFormat="false" ht="15" hidden="false" customHeight="false" outlineLevel="0" collapsed="false">
      <c r="A2990" s="10" t="s">
        <v>5331</v>
      </c>
      <c r="B2990" s="10" t="s">
        <v>62</v>
      </c>
      <c r="C2990" s="10" t="s">
        <v>49</v>
      </c>
      <c r="D2990" s="10" t="s">
        <v>350</v>
      </c>
      <c r="E2990" s="10" t="s">
        <v>2345</v>
      </c>
      <c r="F2990" s="30" t="n">
        <v>42923</v>
      </c>
      <c r="G2990" s="30" t="n">
        <v>42931</v>
      </c>
      <c r="H2990" s="26" t="n">
        <f aca="false">G2990-F2990</f>
        <v>8</v>
      </c>
      <c r="I2990" s="10" t="n">
        <f aca="false">IF(E2990="Won",1,0)</f>
        <v>0</v>
      </c>
    </row>
    <row r="2991" customFormat="false" ht="15" hidden="false" customHeight="false" outlineLevel="0" collapsed="false">
      <c r="A2991" s="10" t="s">
        <v>5332</v>
      </c>
      <c r="B2991" s="10" t="s">
        <v>71</v>
      </c>
      <c r="C2991" s="10" t="s">
        <v>51</v>
      </c>
      <c r="D2991" s="10" t="s">
        <v>291</v>
      </c>
      <c r="E2991" s="10" t="s">
        <v>2345</v>
      </c>
      <c r="F2991" s="30" t="n">
        <v>42923</v>
      </c>
      <c r="G2991" s="30" t="n">
        <v>42931</v>
      </c>
      <c r="H2991" s="26" t="n">
        <f aca="false">G2991-F2991</f>
        <v>8</v>
      </c>
      <c r="I2991" s="10" t="n">
        <f aca="false">IF(E2991="Won",1,0)</f>
        <v>0</v>
      </c>
    </row>
    <row r="2992" customFormat="false" ht="15" hidden="false" customHeight="false" outlineLevel="0" collapsed="false">
      <c r="A2992" s="10" t="s">
        <v>5333</v>
      </c>
      <c r="B2992" s="10" t="s">
        <v>97</v>
      </c>
      <c r="C2992" s="10" t="s">
        <v>47</v>
      </c>
      <c r="D2992" s="10" t="s">
        <v>313</v>
      </c>
      <c r="E2992" s="10" t="s">
        <v>2345</v>
      </c>
      <c r="F2992" s="30" t="n">
        <v>42924</v>
      </c>
      <c r="G2992" s="30" t="n">
        <v>42931</v>
      </c>
      <c r="H2992" s="26" t="n">
        <f aca="false">G2992-F2992</f>
        <v>7</v>
      </c>
      <c r="I2992" s="10" t="n">
        <f aca="false">IF(E2992="Won",1,0)</f>
        <v>0</v>
      </c>
    </row>
    <row r="2993" customFormat="false" ht="15" hidden="false" customHeight="false" outlineLevel="0" collapsed="false">
      <c r="A2993" s="10" t="s">
        <v>5334</v>
      </c>
      <c r="B2993" s="10" t="s">
        <v>86</v>
      </c>
      <c r="C2993" s="10" t="s">
        <v>47</v>
      </c>
      <c r="D2993" s="10" t="s">
        <v>247</v>
      </c>
      <c r="E2993" s="10" t="s">
        <v>2345</v>
      </c>
      <c r="F2993" s="30" t="n">
        <v>42930</v>
      </c>
      <c r="G2993" s="30" t="n">
        <v>42931</v>
      </c>
      <c r="H2993" s="26" t="n">
        <f aca="false">G2993-F2993</f>
        <v>1</v>
      </c>
      <c r="I2993" s="10" t="n">
        <f aca="false">IF(E2993="Won",1,0)</f>
        <v>0</v>
      </c>
    </row>
    <row r="2994" customFormat="false" ht="15" hidden="false" customHeight="false" outlineLevel="0" collapsed="false">
      <c r="A2994" s="10" t="s">
        <v>5335</v>
      </c>
      <c r="B2994" s="10" t="s">
        <v>95</v>
      </c>
      <c r="C2994" s="10" t="s">
        <v>51</v>
      </c>
      <c r="D2994" s="10" t="s">
        <v>432</v>
      </c>
      <c r="E2994" s="10" t="s">
        <v>2342</v>
      </c>
      <c r="F2994" s="30" t="n">
        <v>42921</v>
      </c>
      <c r="G2994" s="30" t="n">
        <v>42931</v>
      </c>
      <c r="H2994" s="26" t="n">
        <f aca="false">G2994-F2994</f>
        <v>10</v>
      </c>
      <c r="I2994" s="10" t="n">
        <f aca="false">IF(E2994="Won",1,0)</f>
        <v>1</v>
      </c>
    </row>
    <row r="2995" customFormat="false" ht="15" hidden="false" customHeight="false" outlineLevel="0" collapsed="false">
      <c r="A2995" s="10" t="s">
        <v>5336</v>
      </c>
      <c r="B2995" s="10" t="s">
        <v>97</v>
      </c>
      <c r="C2995" s="10" t="s">
        <v>50</v>
      </c>
      <c r="D2995" s="10" t="s">
        <v>170</v>
      </c>
      <c r="E2995" s="10" t="s">
        <v>2345</v>
      </c>
      <c r="F2995" s="30" t="n">
        <v>42929</v>
      </c>
      <c r="G2995" s="30" t="n">
        <v>42931</v>
      </c>
      <c r="H2995" s="26" t="n">
        <f aca="false">G2995-F2995</f>
        <v>2</v>
      </c>
      <c r="I2995" s="10" t="n">
        <f aca="false">IF(E2995="Won",1,0)</f>
        <v>0</v>
      </c>
    </row>
    <row r="2996" customFormat="false" ht="15" hidden="false" customHeight="false" outlineLevel="0" collapsed="false">
      <c r="A2996" s="10" t="s">
        <v>5337</v>
      </c>
      <c r="B2996" s="10" t="s">
        <v>68</v>
      </c>
      <c r="C2996" s="10" t="s">
        <v>49</v>
      </c>
      <c r="D2996" s="10" t="s">
        <v>522</v>
      </c>
      <c r="E2996" s="10" t="s">
        <v>2342</v>
      </c>
      <c r="F2996" s="30" t="n">
        <v>42930</v>
      </c>
      <c r="G2996" s="30" t="n">
        <v>42931</v>
      </c>
      <c r="H2996" s="26" t="n">
        <f aca="false">G2996-F2996</f>
        <v>1</v>
      </c>
      <c r="I2996" s="10" t="n">
        <f aca="false">IF(E2996="Won",1,0)</f>
        <v>1</v>
      </c>
    </row>
    <row r="2997" customFormat="false" ht="15" hidden="false" customHeight="false" outlineLevel="0" collapsed="false">
      <c r="A2997" s="10" t="s">
        <v>5338</v>
      </c>
      <c r="B2997" s="10" t="s">
        <v>86</v>
      </c>
      <c r="C2997" s="10" t="s">
        <v>49</v>
      </c>
      <c r="D2997" s="10" t="s">
        <v>464</v>
      </c>
      <c r="E2997" s="10" t="s">
        <v>2345</v>
      </c>
      <c r="F2997" s="30" t="n">
        <v>42925</v>
      </c>
      <c r="G2997" s="30" t="n">
        <v>42931</v>
      </c>
      <c r="H2997" s="26" t="n">
        <f aca="false">G2997-F2997</f>
        <v>6</v>
      </c>
      <c r="I2997" s="10" t="n">
        <f aca="false">IF(E2997="Won",1,0)</f>
        <v>0</v>
      </c>
    </row>
    <row r="2998" customFormat="false" ht="15" hidden="false" customHeight="false" outlineLevel="0" collapsed="false">
      <c r="A2998" s="10" t="s">
        <v>5339</v>
      </c>
      <c r="B2998" s="10" t="s">
        <v>97</v>
      </c>
      <c r="C2998" s="10" t="s">
        <v>47</v>
      </c>
      <c r="D2998" s="10" t="s">
        <v>175</v>
      </c>
      <c r="E2998" s="10" t="s">
        <v>2345</v>
      </c>
      <c r="F2998" s="30" t="n">
        <v>42926</v>
      </c>
      <c r="G2998" s="30" t="n">
        <v>42931</v>
      </c>
      <c r="H2998" s="26" t="n">
        <f aca="false">G2998-F2998</f>
        <v>5</v>
      </c>
      <c r="I2998" s="10" t="n">
        <f aca="false">IF(E2998="Won",1,0)</f>
        <v>0</v>
      </c>
    </row>
    <row r="2999" customFormat="false" ht="15" hidden="false" customHeight="false" outlineLevel="0" collapsed="false">
      <c r="A2999" s="10" t="s">
        <v>5340</v>
      </c>
      <c r="B2999" s="10" t="s">
        <v>57</v>
      </c>
      <c r="C2999" s="10" t="s">
        <v>48</v>
      </c>
      <c r="D2999" s="10" t="s">
        <v>455</v>
      </c>
      <c r="E2999" s="10" t="s">
        <v>2345</v>
      </c>
      <c r="F2999" s="30" t="n">
        <v>42922</v>
      </c>
      <c r="G2999" s="30" t="n">
        <v>42931</v>
      </c>
      <c r="H2999" s="26" t="n">
        <f aca="false">G2999-F2999</f>
        <v>9</v>
      </c>
      <c r="I2999" s="10" t="n">
        <f aca="false">IF(E2999="Won",1,0)</f>
        <v>0</v>
      </c>
    </row>
    <row r="3000" customFormat="false" ht="15" hidden="false" customHeight="false" outlineLevel="0" collapsed="false">
      <c r="A3000" s="10" t="s">
        <v>5341</v>
      </c>
      <c r="B3000" s="10" t="s">
        <v>62</v>
      </c>
      <c r="C3000" s="10" t="s">
        <v>52</v>
      </c>
      <c r="D3000" s="10" t="s">
        <v>254</v>
      </c>
      <c r="E3000" s="10" t="s">
        <v>2345</v>
      </c>
      <c r="F3000" s="30" t="n">
        <v>42919</v>
      </c>
      <c r="G3000" s="30" t="n">
        <v>42932</v>
      </c>
      <c r="H3000" s="26" t="n">
        <f aca="false">G3000-F3000</f>
        <v>13</v>
      </c>
      <c r="I3000" s="10" t="n">
        <f aca="false">IF(E3000="Won",1,0)</f>
        <v>0</v>
      </c>
    </row>
    <row r="3001" customFormat="false" ht="15" hidden="false" customHeight="false" outlineLevel="0" collapsed="false">
      <c r="A3001" s="10" t="s">
        <v>5342</v>
      </c>
      <c r="B3001" s="10" t="s">
        <v>96</v>
      </c>
      <c r="C3001" s="10" t="s">
        <v>49</v>
      </c>
      <c r="D3001" s="10" t="s">
        <v>168</v>
      </c>
      <c r="E3001" s="10" t="s">
        <v>2342</v>
      </c>
      <c r="F3001" s="30" t="n">
        <v>42922</v>
      </c>
      <c r="G3001" s="30" t="n">
        <v>42932</v>
      </c>
      <c r="H3001" s="26" t="n">
        <f aca="false">G3001-F3001</f>
        <v>10</v>
      </c>
      <c r="I3001" s="10" t="n">
        <f aca="false">IF(E3001="Won",1,0)</f>
        <v>1</v>
      </c>
    </row>
    <row r="3002" customFormat="false" ht="15" hidden="false" customHeight="false" outlineLevel="0" collapsed="false">
      <c r="A3002" s="10" t="s">
        <v>5343</v>
      </c>
      <c r="B3002" s="10" t="s">
        <v>87</v>
      </c>
      <c r="C3002" s="10" t="s">
        <v>50</v>
      </c>
      <c r="D3002" s="10" t="s">
        <v>453</v>
      </c>
      <c r="E3002" s="10" t="s">
        <v>2345</v>
      </c>
      <c r="F3002" s="30" t="n">
        <v>42921</v>
      </c>
      <c r="G3002" s="30" t="n">
        <v>42932</v>
      </c>
      <c r="H3002" s="26" t="n">
        <f aca="false">G3002-F3002</f>
        <v>11</v>
      </c>
      <c r="I3002" s="10" t="n">
        <f aca="false">IF(E3002="Won",1,0)</f>
        <v>0</v>
      </c>
    </row>
    <row r="3003" customFormat="false" ht="15" hidden="false" customHeight="false" outlineLevel="0" collapsed="false">
      <c r="A3003" s="10" t="s">
        <v>5344</v>
      </c>
      <c r="B3003" s="10" t="s">
        <v>62</v>
      </c>
      <c r="C3003" s="10" t="s">
        <v>52</v>
      </c>
      <c r="D3003" s="10" t="s">
        <v>332</v>
      </c>
      <c r="E3003" s="10" t="s">
        <v>2345</v>
      </c>
      <c r="F3003" s="30" t="n">
        <v>42922</v>
      </c>
      <c r="G3003" s="30" t="n">
        <v>42932</v>
      </c>
      <c r="H3003" s="26" t="n">
        <f aca="false">G3003-F3003</f>
        <v>10</v>
      </c>
      <c r="I3003" s="10" t="n">
        <f aca="false">IF(E3003="Won",1,0)</f>
        <v>0</v>
      </c>
    </row>
    <row r="3004" customFormat="false" ht="15" hidden="false" customHeight="false" outlineLevel="0" collapsed="false">
      <c r="A3004" s="10" t="s">
        <v>5345</v>
      </c>
      <c r="B3004" s="10" t="s">
        <v>71</v>
      </c>
      <c r="C3004" s="10" t="s">
        <v>47</v>
      </c>
      <c r="D3004" s="10" t="s">
        <v>193</v>
      </c>
      <c r="E3004" s="10" t="s">
        <v>2345</v>
      </c>
      <c r="F3004" s="30" t="n">
        <v>42922</v>
      </c>
      <c r="G3004" s="30" t="n">
        <v>42932</v>
      </c>
      <c r="H3004" s="26" t="n">
        <f aca="false">G3004-F3004</f>
        <v>10</v>
      </c>
      <c r="I3004" s="10" t="n">
        <f aca="false">IF(E3004="Won",1,0)</f>
        <v>0</v>
      </c>
    </row>
    <row r="3005" customFormat="false" ht="15" hidden="false" customHeight="false" outlineLevel="0" collapsed="false">
      <c r="A3005" s="10" t="s">
        <v>5346</v>
      </c>
      <c r="B3005" s="10" t="s">
        <v>95</v>
      </c>
      <c r="C3005" s="10" t="s">
        <v>48</v>
      </c>
      <c r="D3005" s="10" t="s">
        <v>233</v>
      </c>
      <c r="E3005" s="10" t="s">
        <v>2345</v>
      </c>
      <c r="F3005" s="30" t="n">
        <v>42922</v>
      </c>
      <c r="G3005" s="30" t="n">
        <v>42932</v>
      </c>
      <c r="H3005" s="26" t="n">
        <f aca="false">G3005-F3005</f>
        <v>10</v>
      </c>
      <c r="I3005" s="10" t="n">
        <f aca="false">IF(E3005="Won",1,0)</f>
        <v>0</v>
      </c>
    </row>
    <row r="3006" customFormat="false" ht="15" hidden="false" customHeight="false" outlineLevel="0" collapsed="false">
      <c r="A3006" s="10" t="s">
        <v>5347</v>
      </c>
      <c r="B3006" s="10" t="s">
        <v>97</v>
      </c>
      <c r="C3006" s="10" t="s">
        <v>50</v>
      </c>
      <c r="D3006" s="10" t="s">
        <v>199</v>
      </c>
      <c r="E3006" s="10" t="s">
        <v>2345</v>
      </c>
      <c r="F3006" s="30" t="n">
        <v>42924</v>
      </c>
      <c r="G3006" s="30" t="n">
        <v>42932</v>
      </c>
      <c r="H3006" s="26" t="n">
        <f aca="false">G3006-F3006</f>
        <v>8</v>
      </c>
      <c r="I3006" s="10" t="n">
        <f aca="false">IF(E3006="Won",1,0)</f>
        <v>0</v>
      </c>
    </row>
    <row r="3007" customFormat="false" ht="15" hidden="false" customHeight="false" outlineLevel="0" collapsed="false">
      <c r="A3007" s="10" t="s">
        <v>5348</v>
      </c>
      <c r="B3007" s="10" t="s">
        <v>73</v>
      </c>
      <c r="C3007" s="10" t="s">
        <v>47</v>
      </c>
      <c r="D3007" s="10" t="s">
        <v>291</v>
      </c>
      <c r="E3007" s="10" t="s">
        <v>2342</v>
      </c>
      <c r="F3007" s="30" t="n">
        <v>42930</v>
      </c>
      <c r="G3007" s="30" t="n">
        <v>42932</v>
      </c>
      <c r="H3007" s="26" t="n">
        <f aca="false">G3007-F3007</f>
        <v>2</v>
      </c>
      <c r="I3007" s="10" t="n">
        <f aca="false">IF(E3007="Won",1,0)</f>
        <v>1</v>
      </c>
    </row>
    <row r="3008" customFormat="false" ht="15" hidden="false" customHeight="false" outlineLevel="0" collapsed="false">
      <c r="A3008" s="10" t="s">
        <v>5349</v>
      </c>
      <c r="B3008" s="10" t="s">
        <v>77</v>
      </c>
      <c r="C3008" s="10" t="s">
        <v>52</v>
      </c>
      <c r="D3008" s="10" t="s">
        <v>947</v>
      </c>
      <c r="E3008" s="10" t="s">
        <v>2342</v>
      </c>
      <c r="F3008" s="30" t="n">
        <v>42924</v>
      </c>
      <c r="G3008" s="30" t="n">
        <v>42932</v>
      </c>
      <c r="H3008" s="26" t="n">
        <f aca="false">G3008-F3008</f>
        <v>8</v>
      </c>
      <c r="I3008" s="10" t="n">
        <f aca="false">IF(E3008="Won",1,0)</f>
        <v>1</v>
      </c>
    </row>
    <row r="3009" customFormat="false" ht="15" hidden="false" customHeight="false" outlineLevel="0" collapsed="false">
      <c r="A3009" s="10" t="s">
        <v>5350</v>
      </c>
      <c r="B3009" s="10" t="s">
        <v>93</v>
      </c>
      <c r="C3009" s="10" t="s">
        <v>47</v>
      </c>
      <c r="D3009" s="10" t="s">
        <v>233</v>
      </c>
      <c r="E3009" s="10" t="s">
        <v>2342</v>
      </c>
      <c r="F3009" s="30" t="n">
        <v>42924</v>
      </c>
      <c r="G3009" s="30" t="n">
        <v>42932</v>
      </c>
      <c r="H3009" s="26" t="n">
        <f aca="false">G3009-F3009</f>
        <v>8</v>
      </c>
      <c r="I3009" s="10" t="n">
        <f aca="false">IF(E3009="Won",1,0)</f>
        <v>1</v>
      </c>
    </row>
    <row r="3010" customFormat="false" ht="15" hidden="false" customHeight="false" outlineLevel="0" collapsed="false">
      <c r="A3010" s="10" t="s">
        <v>5351</v>
      </c>
      <c r="B3010" s="10" t="s">
        <v>74</v>
      </c>
      <c r="C3010" s="10" t="s">
        <v>52</v>
      </c>
      <c r="D3010" s="10" t="s">
        <v>279</v>
      </c>
      <c r="E3010" s="10" t="s">
        <v>2345</v>
      </c>
      <c r="F3010" s="30" t="n">
        <v>42931</v>
      </c>
      <c r="G3010" s="30" t="n">
        <v>42932</v>
      </c>
      <c r="H3010" s="26" t="n">
        <f aca="false">G3010-F3010</f>
        <v>1</v>
      </c>
      <c r="I3010" s="10" t="n">
        <f aca="false">IF(E3010="Won",1,0)</f>
        <v>0</v>
      </c>
    </row>
    <row r="3011" customFormat="false" ht="15" hidden="false" customHeight="false" outlineLevel="0" collapsed="false">
      <c r="A3011" s="10" t="s">
        <v>5352</v>
      </c>
      <c r="B3011" s="10" t="s">
        <v>77</v>
      </c>
      <c r="C3011" s="10" t="s">
        <v>48</v>
      </c>
      <c r="D3011" s="10" t="s">
        <v>422</v>
      </c>
      <c r="E3011" s="10" t="s">
        <v>2342</v>
      </c>
      <c r="F3011" s="30" t="n">
        <v>42929</v>
      </c>
      <c r="G3011" s="30" t="n">
        <v>42932</v>
      </c>
      <c r="H3011" s="26" t="n">
        <f aca="false">G3011-F3011</f>
        <v>3</v>
      </c>
      <c r="I3011" s="10" t="n">
        <f aca="false">IF(E3011="Won",1,0)</f>
        <v>1</v>
      </c>
    </row>
    <row r="3012" customFormat="false" ht="15" hidden="false" customHeight="false" outlineLevel="0" collapsed="false">
      <c r="A3012" s="10" t="s">
        <v>5353</v>
      </c>
      <c r="B3012" s="10" t="s">
        <v>86</v>
      </c>
      <c r="C3012" s="10" t="s">
        <v>50</v>
      </c>
      <c r="D3012" s="10" t="s">
        <v>286</v>
      </c>
      <c r="E3012" s="10" t="s">
        <v>2342</v>
      </c>
      <c r="F3012" s="30" t="n">
        <v>42924</v>
      </c>
      <c r="G3012" s="30" t="n">
        <v>42932</v>
      </c>
      <c r="H3012" s="26" t="n">
        <f aca="false">G3012-F3012</f>
        <v>8</v>
      </c>
      <c r="I3012" s="10" t="n">
        <f aca="false">IF(E3012="Won",1,0)</f>
        <v>1</v>
      </c>
    </row>
    <row r="3013" customFormat="false" ht="15" hidden="false" customHeight="false" outlineLevel="0" collapsed="false">
      <c r="A3013" s="10" t="s">
        <v>5354</v>
      </c>
      <c r="B3013" s="10" t="s">
        <v>97</v>
      </c>
      <c r="C3013" s="10" t="s">
        <v>51</v>
      </c>
      <c r="D3013" s="10" t="s">
        <v>437</v>
      </c>
      <c r="E3013" s="10" t="s">
        <v>2345</v>
      </c>
      <c r="F3013" s="30" t="n">
        <v>42924</v>
      </c>
      <c r="G3013" s="30" t="n">
        <v>42932</v>
      </c>
      <c r="H3013" s="26" t="n">
        <f aca="false">G3013-F3013</f>
        <v>8</v>
      </c>
      <c r="I3013" s="10" t="n">
        <f aca="false">IF(E3013="Won",1,0)</f>
        <v>0</v>
      </c>
    </row>
    <row r="3014" customFormat="false" ht="15" hidden="false" customHeight="false" outlineLevel="0" collapsed="false">
      <c r="A3014" s="10" t="s">
        <v>5355</v>
      </c>
      <c r="B3014" s="10" t="s">
        <v>66</v>
      </c>
      <c r="C3014" s="10" t="s">
        <v>49</v>
      </c>
      <c r="D3014" s="10" t="s">
        <v>344</v>
      </c>
      <c r="E3014" s="10" t="s">
        <v>2345</v>
      </c>
      <c r="F3014" s="30" t="n">
        <v>42931</v>
      </c>
      <c r="G3014" s="30" t="n">
        <v>42932</v>
      </c>
      <c r="H3014" s="26" t="n">
        <f aca="false">G3014-F3014</f>
        <v>1</v>
      </c>
      <c r="I3014" s="10" t="n">
        <f aca="false">IF(E3014="Won",1,0)</f>
        <v>0</v>
      </c>
    </row>
    <row r="3015" customFormat="false" ht="15" hidden="false" customHeight="false" outlineLevel="0" collapsed="false">
      <c r="A3015" s="10" t="s">
        <v>5356</v>
      </c>
      <c r="B3015" s="10" t="s">
        <v>90</v>
      </c>
      <c r="C3015" s="10" t="s">
        <v>51</v>
      </c>
      <c r="D3015" s="10" t="s">
        <v>674</v>
      </c>
      <c r="E3015" s="10" t="s">
        <v>2342</v>
      </c>
      <c r="F3015" s="30" t="n">
        <v>42931</v>
      </c>
      <c r="G3015" s="30" t="n">
        <v>42932</v>
      </c>
      <c r="H3015" s="26" t="n">
        <f aca="false">G3015-F3015</f>
        <v>1</v>
      </c>
      <c r="I3015" s="10" t="n">
        <f aca="false">IF(E3015="Won",1,0)</f>
        <v>1</v>
      </c>
    </row>
    <row r="3016" customFormat="false" ht="15" hidden="false" customHeight="false" outlineLevel="0" collapsed="false">
      <c r="A3016" s="10" t="s">
        <v>5357</v>
      </c>
      <c r="B3016" s="10" t="s">
        <v>95</v>
      </c>
      <c r="C3016" s="10" t="s">
        <v>50</v>
      </c>
      <c r="D3016" s="10" t="s">
        <v>506</v>
      </c>
      <c r="E3016" s="10" t="s">
        <v>2345</v>
      </c>
      <c r="F3016" s="30" t="n">
        <v>42930</v>
      </c>
      <c r="G3016" s="30" t="n">
        <v>42932</v>
      </c>
      <c r="H3016" s="26" t="n">
        <f aca="false">G3016-F3016</f>
        <v>2</v>
      </c>
      <c r="I3016" s="10" t="n">
        <f aca="false">IF(E3016="Won",1,0)</f>
        <v>0</v>
      </c>
    </row>
    <row r="3017" customFormat="false" ht="15" hidden="false" customHeight="false" outlineLevel="0" collapsed="false">
      <c r="A3017" s="10" t="s">
        <v>5358</v>
      </c>
      <c r="B3017" s="10" t="s">
        <v>74</v>
      </c>
      <c r="C3017" s="10" t="s">
        <v>51</v>
      </c>
      <c r="D3017" s="10" t="s">
        <v>388</v>
      </c>
      <c r="E3017" s="10" t="s">
        <v>2342</v>
      </c>
      <c r="F3017" s="30" t="n">
        <v>42930</v>
      </c>
      <c r="G3017" s="30" t="n">
        <v>42932</v>
      </c>
      <c r="H3017" s="26" t="n">
        <f aca="false">G3017-F3017</f>
        <v>2</v>
      </c>
      <c r="I3017" s="10" t="n">
        <f aca="false">IF(E3017="Won",1,0)</f>
        <v>1</v>
      </c>
    </row>
    <row r="3018" customFormat="false" ht="15" hidden="false" customHeight="false" outlineLevel="0" collapsed="false">
      <c r="A3018" s="10" t="s">
        <v>5359</v>
      </c>
      <c r="B3018" s="10" t="s">
        <v>84</v>
      </c>
      <c r="C3018" s="10" t="s">
        <v>51</v>
      </c>
      <c r="D3018" s="10" t="s">
        <v>441</v>
      </c>
      <c r="E3018" s="10" t="s">
        <v>2342</v>
      </c>
      <c r="F3018" s="30" t="n">
        <v>42925</v>
      </c>
      <c r="G3018" s="30" t="n">
        <v>42932</v>
      </c>
      <c r="H3018" s="26" t="n">
        <f aca="false">G3018-F3018</f>
        <v>7</v>
      </c>
      <c r="I3018" s="10" t="n">
        <f aca="false">IF(E3018="Won",1,0)</f>
        <v>1</v>
      </c>
    </row>
    <row r="3019" customFormat="false" ht="15" hidden="false" customHeight="false" outlineLevel="0" collapsed="false">
      <c r="A3019" s="10" t="s">
        <v>5360</v>
      </c>
      <c r="B3019" s="10" t="s">
        <v>90</v>
      </c>
      <c r="C3019" s="10" t="s">
        <v>49</v>
      </c>
      <c r="D3019" s="10" t="s">
        <v>1397</v>
      </c>
      <c r="E3019" s="10" t="s">
        <v>2345</v>
      </c>
      <c r="F3019" s="30" t="n">
        <v>42925</v>
      </c>
      <c r="G3019" s="30" t="n">
        <v>42933</v>
      </c>
      <c r="H3019" s="26" t="n">
        <f aca="false">G3019-F3019</f>
        <v>8</v>
      </c>
      <c r="I3019" s="10" t="n">
        <f aca="false">IF(E3019="Won",1,0)</f>
        <v>0</v>
      </c>
    </row>
    <row r="3020" customFormat="false" ht="15" hidden="false" customHeight="false" outlineLevel="0" collapsed="false">
      <c r="A3020" s="10" t="s">
        <v>5361</v>
      </c>
      <c r="B3020" s="10" t="s">
        <v>68</v>
      </c>
      <c r="C3020" s="10" t="s">
        <v>49</v>
      </c>
      <c r="D3020" s="10" t="s">
        <v>514</v>
      </c>
      <c r="E3020" s="10" t="s">
        <v>2345</v>
      </c>
      <c r="F3020" s="30" t="n">
        <v>42931</v>
      </c>
      <c r="G3020" s="30" t="n">
        <v>42933</v>
      </c>
      <c r="H3020" s="26" t="n">
        <f aca="false">G3020-F3020</f>
        <v>2</v>
      </c>
      <c r="I3020" s="10" t="n">
        <f aca="false">IF(E3020="Won",1,0)</f>
        <v>0</v>
      </c>
    </row>
    <row r="3021" customFormat="false" ht="15" hidden="false" customHeight="false" outlineLevel="0" collapsed="false">
      <c r="A3021" s="10" t="s">
        <v>5362</v>
      </c>
      <c r="B3021" s="10" t="s">
        <v>75</v>
      </c>
      <c r="C3021" s="10" t="s">
        <v>52</v>
      </c>
      <c r="D3021" s="10" t="s">
        <v>259</v>
      </c>
      <c r="E3021" s="10" t="s">
        <v>2345</v>
      </c>
      <c r="F3021" s="30" t="n">
        <v>42922</v>
      </c>
      <c r="G3021" s="30" t="n">
        <v>42933</v>
      </c>
      <c r="H3021" s="26" t="n">
        <f aca="false">G3021-F3021</f>
        <v>11</v>
      </c>
      <c r="I3021" s="10" t="n">
        <f aca="false">IF(E3021="Won",1,0)</f>
        <v>0</v>
      </c>
    </row>
    <row r="3022" customFormat="false" ht="15" hidden="false" customHeight="false" outlineLevel="0" collapsed="false">
      <c r="A3022" s="10" t="s">
        <v>5363</v>
      </c>
      <c r="B3022" s="10" t="s">
        <v>71</v>
      </c>
      <c r="C3022" s="10" t="s">
        <v>50</v>
      </c>
      <c r="D3022" s="10" t="s">
        <v>1251</v>
      </c>
      <c r="E3022" s="10" t="s">
        <v>2342</v>
      </c>
      <c r="F3022" s="30" t="n">
        <v>42926</v>
      </c>
      <c r="G3022" s="30" t="n">
        <v>42933</v>
      </c>
      <c r="H3022" s="26" t="n">
        <f aca="false">G3022-F3022</f>
        <v>7</v>
      </c>
      <c r="I3022" s="10" t="n">
        <f aca="false">IF(E3022="Won",1,0)</f>
        <v>1</v>
      </c>
    </row>
    <row r="3023" customFormat="false" ht="15" hidden="false" customHeight="false" outlineLevel="0" collapsed="false">
      <c r="A3023" s="10" t="s">
        <v>5364</v>
      </c>
      <c r="B3023" s="10" t="s">
        <v>70</v>
      </c>
      <c r="C3023" s="10" t="s">
        <v>49</v>
      </c>
      <c r="D3023" s="10" t="s">
        <v>199</v>
      </c>
      <c r="E3023" s="10" t="s">
        <v>2345</v>
      </c>
      <c r="F3023" s="30" t="n">
        <v>42925</v>
      </c>
      <c r="G3023" s="30" t="n">
        <v>42933</v>
      </c>
      <c r="H3023" s="26" t="n">
        <f aca="false">G3023-F3023</f>
        <v>8</v>
      </c>
      <c r="I3023" s="10" t="n">
        <f aca="false">IF(E3023="Won",1,0)</f>
        <v>0</v>
      </c>
    </row>
    <row r="3024" customFormat="false" ht="15" hidden="false" customHeight="false" outlineLevel="0" collapsed="false">
      <c r="A3024" s="10" t="s">
        <v>5365</v>
      </c>
      <c r="B3024" s="10" t="s">
        <v>71</v>
      </c>
      <c r="C3024" s="10" t="s">
        <v>52</v>
      </c>
      <c r="D3024" s="10" t="s">
        <v>193</v>
      </c>
      <c r="E3024" s="10" t="s">
        <v>2342</v>
      </c>
      <c r="F3024" s="30" t="n">
        <v>42930</v>
      </c>
      <c r="G3024" s="30" t="n">
        <v>42933</v>
      </c>
      <c r="H3024" s="26" t="n">
        <f aca="false">G3024-F3024</f>
        <v>3</v>
      </c>
      <c r="I3024" s="10" t="n">
        <f aca="false">IF(E3024="Won",1,0)</f>
        <v>1</v>
      </c>
    </row>
    <row r="3025" customFormat="false" ht="15" hidden="false" customHeight="false" outlineLevel="0" collapsed="false">
      <c r="A3025" s="10" t="s">
        <v>5366</v>
      </c>
      <c r="B3025" s="10" t="s">
        <v>77</v>
      </c>
      <c r="C3025" s="10" t="s">
        <v>52</v>
      </c>
      <c r="D3025" s="10" t="s">
        <v>597</v>
      </c>
      <c r="E3025" s="10" t="s">
        <v>2345</v>
      </c>
      <c r="F3025" s="30" t="n">
        <v>42926</v>
      </c>
      <c r="G3025" s="30" t="n">
        <v>42933</v>
      </c>
      <c r="H3025" s="26" t="n">
        <f aca="false">G3025-F3025</f>
        <v>7</v>
      </c>
      <c r="I3025" s="10" t="n">
        <f aca="false">IF(E3025="Won",1,0)</f>
        <v>0</v>
      </c>
    </row>
    <row r="3026" customFormat="false" ht="15" hidden="false" customHeight="false" outlineLevel="0" collapsed="false">
      <c r="A3026" s="10" t="s">
        <v>5367</v>
      </c>
      <c r="B3026" s="10" t="s">
        <v>88</v>
      </c>
      <c r="C3026" s="10" t="s">
        <v>49</v>
      </c>
      <c r="D3026" s="10" t="s">
        <v>218</v>
      </c>
      <c r="E3026" s="10" t="s">
        <v>2342</v>
      </c>
      <c r="F3026" s="30" t="n">
        <v>42922</v>
      </c>
      <c r="G3026" s="30" t="n">
        <v>42933</v>
      </c>
      <c r="H3026" s="26" t="n">
        <f aca="false">G3026-F3026</f>
        <v>11</v>
      </c>
      <c r="I3026" s="10" t="n">
        <f aca="false">IF(E3026="Won",1,0)</f>
        <v>1</v>
      </c>
    </row>
    <row r="3027" customFormat="false" ht="15" hidden="false" customHeight="false" outlineLevel="0" collapsed="false">
      <c r="A3027" s="10" t="s">
        <v>5368</v>
      </c>
      <c r="B3027" s="10" t="s">
        <v>95</v>
      </c>
      <c r="C3027" s="10" t="s">
        <v>48</v>
      </c>
      <c r="D3027" s="10" t="s">
        <v>384</v>
      </c>
      <c r="E3027" s="10" t="s">
        <v>2345</v>
      </c>
      <c r="F3027" s="30" t="n">
        <v>42926</v>
      </c>
      <c r="G3027" s="30" t="n">
        <v>42933</v>
      </c>
      <c r="H3027" s="26" t="n">
        <f aca="false">G3027-F3027</f>
        <v>7</v>
      </c>
      <c r="I3027" s="10" t="n">
        <f aca="false">IF(E3027="Won",1,0)</f>
        <v>0</v>
      </c>
    </row>
    <row r="3028" customFormat="false" ht="15" hidden="false" customHeight="false" outlineLevel="0" collapsed="false">
      <c r="A3028" s="10" t="s">
        <v>5369</v>
      </c>
      <c r="B3028" s="10" t="s">
        <v>80</v>
      </c>
      <c r="C3028" s="10" t="s">
        <v>48</v>
      </c>
      <c r="D3028" s="10" t="s">
        <v>762</v>
      </c>
      <c r="E3028" s="10" t="s">
        <v>2342</v>
      </c>
      <c r="F3028" s="30" t="n">
        <v>42921</v>
      </c>
      <c r="G3028" s="30" t="n">
        <v>42933</v>
      </c>
      <c r="H3028" s="26" t="n">
        <f aca="false">G3028-F3028</f>
        <v>12</v>
      </c>
      <c r="I3028" s="10" t="n">
        <f aca="false">IF(E3028="Won",1,0)</f>
        <v>1</v>
      </c>
    </row>
    <row r="3029" customFormat="false" ht="15" hidden="false" customHeight="false" outlineLevel="0" collapsed="false">
      <c r="A3029" s="10" t="s">
        <v>5370</v>
      </c>
      <c r="B3029" s="10" t="s">
        <v>97</v>
      </c>
      <c r="C3029" s="10" t="s">
        <v>48</v>
      </c>
      <c r="D3029" s="10" t="s">
        <v>348</v>
      </c>
      <c r="E3029" s="10" t="s">
        <v>2345</v>
      </c>
      <c r="F3029" s="30" t="n">
        <v>42921</v>
      </c>
      <c r="G3029" s="30" t="n">
        <v>42933</v>
      </c>
      <c r="H3029" s="26" t="n">
        <f aca="false">G3029-F3029</f>
        <v>12</v>
      </c>
      <c r="I3029" s="10" t="n">
        <f aca="false">IF(E3029="Won",1,0)</f>
        <v>0</v>
      </c>
    </row>
    <row r="3030" customFormat="false" ht="15" hidden="false" customHeight="false" outlineLevel="0" collapsed="false">
      <c r="A3030" s="10" t="s">
        <v>5371</v>
      </c>
      <c r="B3030" s="10" t="s">
        <v>87</v>
      </c>
      <c r="C3030" s="10" t="s">
        <v>47</v>
      </c>
      <c r="D3030" s="10" t="s">
        <v>254</v>
      </c>
      <c r="E3030" s="10" t="s">
        <v>2345</v>
      </c>
      <c r="F3030" s="30" t="n">
        <v>42931</v>
      </c>
      <c r="G3030" s="30" t="n">
        <v>42933</v>
      </c>
      <c r="H3030" s="26" t="n">
        <f aca="false">G3030-F3030</f>
        <v>2</v>
      </c>
      <c r="I3030" s="10" t="n">
        <f aca="false">IF(E3030="Won",1,0)</f>
        <v>0</v>
      </c>
    </row>
    <row r="3031" customFormat="false" ht="15" hidden="false" customHeight="false" outlineLevel="0" collapsed="false">
      <c r="A3031" s="10" t="s">
        <v>5372</v>
      </c>
      <c r="B3031" s="10" t="s">
        <v>70</v>
      </c>
      <c r="C3031" s="10" t="s">
        <v>52</v>
      </c>
      <c r="D3031" s="10" t="s">
        <v>299</v>
      </c>
      <c r="E3031" s="10" t="s">
        <v>2342</v>
      </c>
      <c r="F3031" s="30" t="n">
        <v>42931</v>
      </c>
      <c r="G3031" s="30" t="n">
        <v>42933</v>
      </c>
      <c r="H3031" s="26" t="n">
        <f aca="false">G3031-F3031</f>
        <v>2</v>
      </c>
      <c r="I3031" s="10" t="n">
        <f aca="false">IF(E3031="Won",1,0)</f>
        <v>1</v>
      </c>
    </row>
    <row r="3032" customFormat="false" ht="15" hidden="false" customHeight="false" outlineLevel="0" collapsed="false">
      <c r="A3032" s="10" t="s">
        <v>5373</v>
      </c>
      <c r="B3032" s="10" t="s">
        <v>90</v>
      </c>
      <c r="C3032" s="10" t="s">
        <v>52</v>
      </c>
      <c r="D3032" s="10" t="s">
        <v>532</v>
      </c>
      <c r="E3032" s="10" t="s">
        <v>2342</v>
      </c>
      <c r="F3032" s="30" t="n">
        <v>42926</v>
      </c>
      <c r="G3032" s="30" t="n">
        <v>42933</v>
      </c>
      <c r="H3032" s="26" t="n">
        <f aca="false">G3032-F3032</f>
        <v>7</v>
      </c>
      <c r="I3032" s="10" t="n">
        <f aca="false">IF(E3032="Won",1,0)</f>
        <v>1</v>
      </c>
    </row>
    <row r="3033" customFormat="false" ht="15" hidden="false" customHeight="false" outlineLevel="0" collapsed="false">
      <c r="A3033" s="10" t="s">
        <v>5374</v>
      </c>
      <c r="B3033" s="10" t="s">
        <v>90</v>
      </c>
      <c r="C3033" s="10" t="s">
        <v>48</v>
      </c>
      <c r="D3033" s="10" t="s">
        <v>1118</v>
      </c>
      <c r="E3033" s="10" t="s">
        <v>2345</v>
      </c>
      <c r="F3033" s="30" t="n">
        <v>42924</v>
      </c>
      <c r="G3033" s="30" t="n">
        <v>42933</v>
      </c>
      <c r="H3033" s="26" t="n">
        <f aca="false">G3033-F3033</f>
        <v>9</v>
      </c>
      <c r="I3033" s="10" t="n">
        <f aca="false">IF(E3033="Won",1,0)</f>
        <v>0</v>
      </c>
    </row>
    <row r="3034" customFormat="false" ht="15" hidden="false" customHeight="false" outlineLevel="0" collapsed="false">
      <c r="A3034" s="10" t="s">
        <v>5375</v>
      </c>
      <c r="B3034" s="10" t="s">
        <v>79</v>
      </c>
      <c r="C3034" s="10" t="s">
        <v>51</v>
      </c>
      <c r="D3034" s="10" t="s">
        <v>512</v>
      </c>
      <c r="E3034" s="10" t="s">
        <v>2345</v>
      </c>
      <c r="F3034" s="30" t="n">
        <v>42925</v>
      </c>
      <c r="G3034" s="30" t="n">
        <v>42933</v>
      </c>
      <c r="H3034" s="26" t="n">
        <f aca="false">G3034-F3034</f>
        <v>8</v>
      </c>
      <c r="I3034" s="10" t="n">
        <f aca="false">IF(E3034="Won",1,0)</f>
        <v>0</v>
      </c>
    </row>
    <row r="3035" customFormat="false" ht="15" hidden="false" customHeight="false" outlineLevel="0" collapsed="false">
      <c r="A3035" s="10" t="s">
        <v>5376</v>
      </c>
      <c r="B3035" s="10" t="s">
        <v>73</v>
      </c>
      <c r="C3035" s="10" t="s">
        <v>52</v>
      </c>
      <c r="D3035" s="10" t="s">
        <v>869</v>
      </c>
      <c r="E3035" s="10" t="s">
        <v>2345</v>
      </c>
      <c r="F3035" s="30" t="n">
        <v>42923</v>
      </c>
      <c r="G3035" s="30" t="n">
        <v>42933</v>
      </c>
      <c r="H3035" s="26" t="n">
        <f aca="false">G3035-F3035</f>
        <v>10</v>
      </c>
      <c r="I3035" s="10" t="n">
        <f aca="false">IF(E3035="Won",1,0)</f>
        <v>0</v>
      </c>
    </row>
    <row r="3036" customFormat="false" ht="15" hidden="false" customHeight="false" outlineLevel="0" collapsed="false">
      <c r="A3036" s="10" t="s">
        <v>5377</v>
      </c>
      <c r="B3036" s="10" t="s">
        <v>81</v>
      </c>
      <c r="C3036" s="10" t="s">
        <v>50</v>
      </c>
      <c r="D3036" s="10" t="s">
        <v>291</v>
      </c>
      <c r="E3036" s="10" t="s">
        <v>2342</v>
      </c>
      <c r="F3036" s="30" t="n">
        <v>42923</v>
      </c>
      <c r="G3036" s="30" t="n">
        <v>42933</v>
      </c>
      <c r="H3036" s="26" t="n">
        <f aca="false">G3036-F3036</f>
        <v>10</v>
      </c>
      <c r="I3036" s="10" t="n">
        <f aca="false">IF(E3036="Won",1,0)</f>
        <v>1</v>
      </c>
    </row>
    <row r="3037" customFormat="false" ht="15" hidden="false" customHeight="false" outlineLevel="0" collapsed="false">
      <c r="A3037" s="10" t="s">
        <v>5378</v>
      </c>
      <c r="B3037" s="10" t="s">
        <v>95</v>
      </c>
      <c r="C3037" s="10" t="s">
        <v>51</v>
      </c>
      <c r="D3037" s="10" t="s">
        <v>233</v>
      </c>
      <c r="E3037" s="10" t="s">
        <v>2342</v>
      </c>
      <c r="F3037" s="30" t="n">
        <v>42923</v>
      </c>
      <c r="G3037" s="30" t="n">
        <v>42933</v>
      </c>
      <c r="H3037" s="26" t="n">
        <f aca="false">G3037-F3037</f>
        <v>10</v>
      </c>
      <c r="I3037" s="10" t="n">
        <f aca="false">IF(E3037="Won",1,0)</f>
        <v>1</v>
      </c>
    </row>
    <row r="3038" customFormat="false" ht="15" hidden="false" customHeight="false" outlineLevel="0" collapsed="false">
      <c r="A3038" s="10" t="s">
        <v>5379</v>
      </c>
      <c r="B3038" s="10" t="s">
        <v>97</v>
      </c>
      <c r="C3038" s="10" t="s">
        <v>47</v>
      </c>
      <c r="D3038" s="10" t="s">
        <v>986</v>
      </c>
      <c r="E3038" s="10" t="s">
        <v>2345</v>
      </c>
      <c r="F3038" s="30" t="n">
        <v>42924</v>
      </c>
      <c r="G3038" s="30" t="n">
        <v>42933</v>
      </c>
      <c r="H3038" s="26" t="n">
        <f aca="false">G3038-F3038</f>
        <v>9</v>
      </c>
      <c r="I3038" s="10" t="n">
        <f aca="false">IF(E3038="Won",1,0)</f>
        <v>0</v>
      </c>
    </row>
    <row r="3039" customFormat="false" ht="15" hidden="false" customHeight="false" outlineLevel="0" collapsed="false">
      <c r="A3039" s="10" t="s">
        <v>5380</v>
      </c>
      <c r="B3039" s="10" t="s">
        <v>74</v>
      </c>
      <c r="C3039" s="10" t="s">
        <v>51</v>
      </c>
      <c r="D3039" s="10" t="s">
        <v>267</v>
      </c>
      <c r="E3039" s="10" t="s">
        <v>2342</v>
      </c>
      <c r="F3039" s="30" t="n">
        <v>42932</v>
      </c>
      <c r="G3039" s="30" t="n">
        <v>42933</v>
      </c>
      <c r="H3039" s="26" t="n">
        <f aca="false">G3039-F3039</f>
        <v>1</v>
      </c>
      <c r="I3039" s="10" t="n">
        <f aca="false">IF(E3039="Won",1,0)</f>
        <v>1</v>
      </c>
    </row>
    <row r="3040" customFormat="false" ht="15" hidden="false" customHeight="false" outlineLevel="0" collapsed="false">
      <c r="A3040" s="10" t="s">
        <v>5381</v>
      </c>
      <c r="B3040" s="10" t="s">
        <v>77</v>
      </c>
      <c r="C3040" s="10" t="s">
        <v>48</v>
      </c>
      <c r="D3040" s="10" t="s">
        <v>947</v>
      </c>
      <c r="E3040" s="10" t="s">
        <v>2342</v>
      </c>
      <c r="F3040" s="30" t="n">
        <v>42932</v>
      </c>
      <c r="G3040" s="30" t="n">
        <v>42933</v>
      </c>
      <c r="H3040" s="26" t="n">
        <f aca="false">G3040-F3040</f>
        <v>1</v>
      </c>
      <c r="I3040" s="10" t="n">
        <f aca="false">IF(E3040="Won",1,0)</f>
        <v>1</v>
      </c>
    </row>
    <row r="3041" customFormat="false" ht="15" hidden="false" customHeight="false" outlineLevel="0" collapsed="false">
      <c r="A3041" s="10" t="s">
        <v>5382</v>
      </c>
      <c r="B3041" s="10" t="s">
        <v>71</v>
      </c>
      <c r="C3041" s="10" t="s">
        <v>49</v>
      </c>
      <c r="D3041" s="10" t="s">
        <v>660</v>
      </c>
      <c r="E3041" s="10" t="s">
        <v>2345</v>
      </c>
      <c r="F3041" s="30" t="n">
        <v>42932</v>
      </c>
      <c r="G3041" s="30" t="n">
        <v>42933</v>
      </c>
      <c r="H3041" s="26" t="n">
        <f aca="false">G3041-F3041</f>
        <v>1</v>
      </c>
      <c r="I3041" s="10" t="n">
        <f aca="false">IF(E3041="Won",1,0)</f>
        <v>0</v>
      </c>
    </row>
    <row r="3042" customFormat="false" ht="15" hidden="false" customHeight="false" outlineLevel="0" collapsed="false">
      <c r="A3042" s="10" t="s">
        <v>5383</v>
      </c>
      <c r="B3042" s="10" t="s">
        <v>97</v>
      </c>
      <c r="C3042" s="10" t="s">
        <v>47</v>
      </c>
      <c r="D3042" s="10" t="s">
        <v>233</v>
      </c>
      <c r="E3042" s="10" t="s">
        <v>2342</v>
      </c>
      <c r="F3042" s="30" t="n">
        <v>42924</v>
      </c>
      <c r="G3042" s="30" t="n">
        <v>42933</v>
      </c>
      <c r="H3042" s="26" t="n">
        <f aca="false">G3042-F3042</f>
        <v>9</v>
      </c>
      <c r="I3042" s="10" t="n">
        <f aca="false">IF(E3042="Won",1,0)</f>
        <v>1</v>
      </c>
    </row>
    <row r="3043" customFormat="false" ht="15" hidden="false" customHeight="false" outlineLevel="0" collapsed="false">
      <c r="A3043" s="10" t="s">
        <v>5384</v>
      </c>
      <c r="B3043" s="10" t="s">
        <v>87</v>
      </c>
      <c r="C3043" s="10" t="s">
        <v>47</v>
      </c>
      <c r="D3043" s="10" t="s">
        <v>1334</v>
      </c>
      <c r="E3043" s="10" t="s">
        <v>2345</v>
      </c>
      <c r="F3043" s="30" t="n">
        <v>42922</v>
      </c>
      <c r="G3043" s="30" t="n">
        <v>42934</v>
      </c>
      <c r="H3043" s="26" t="n">
        <f aca="false">G3043-F3043</f>
        <v>12</v>
      </c>
      <c r="I3043" s="10" t="n">
        <f aca="false">IF(E3043="Won",1,0)</f>
        <v>0</v>
      </c>
    </row>
    <row r="3044" customFormat="false" ht="15" hidden="false" customHeight="false" outlineLevel="0" collapsed="false">
      <c r="A3044" s="10" t="s">
        <v>5385</v>
      </c>
      <c r="B3044" s="10" t="s">
        <v>69</v>
      </c>
      <c r="C3044" s="10" t="s">
        <v>46</v>
      </c>
      <c r="D3044" s="10" t="s">
        <v>348</v>
      </c>
      <c r="E3044" s="10" t="s">
        <v>2345</v>
      </c>
      <c r="F3044" s="30" t="n">
        <v>42927</v>
      </c>
      <c r="G3044" s="30" t="n">
        <v>42934</v>
      </c>
      <c r="H3044" s="26" t="n">
        <f aca="false">G3044-F3044</f>
        <v>7</v>
      </c>
      <c r="I3044" s="10" t="n">
        <f aca="false">IF(E3044="Won",1,0)</f>
        <v>0</v>
      </c>
    </row>
    <row r="3045" customFormat="false" ht="15" hidden="false" customHeight="false" outlineLevel="0" collapsed="false">
      <c r="A3045" s="10" t="s">
        <v>5386</v>
      </c>
      <c r="B3045" s="10" t="s">
        <v>80</v>
      </c>
      <c r="C3045" s="10" t="s">
        <v>50</v>
      </c>
      <c r="D3045" s="10" t="s">
        <v>179</v>
      </c>
      <c r="E3045" s="10" t="s">
        <v>2342</v>
      </c>
      <c r="F3045" s="30" t="n">
        <v>42927</v>
      </c>
      <c r="G3045" s="30" t="n">
        <v>42934</v>
      </c>
      <c r="H3045" s="26" t="n">
        <f aca="false">G3045-F3045</f>
        <v>7</v>
      </c>
      <c r="I3045" s="10" t="n">
        <f aca="false">IF(E3045="Won",1,0)</f>
        <v>1</v>
      </c>
    </row>
    <row r="3046" customFormat="false" ht="15" hidden="false" customHeight="false" outlineLevel="0" collapsed="false">
      <c r="A3046" s="10" t="s">
        <v>5387</v>
      </c>
      <c r="B3046" s="10" t="s">
        <v>87</v>
      </c>
      <c r="C3046" s="10" t="s">
        <v>50</v>
      </c>
      <c r="D3046" s="10" t="s">
        <v>233</v>
      </c>
      <c r="E3046" s="10" t="s">
        <v>2345</v>
      </c>
      <c r="F3046" s="30" t="n">
        <v>42933</v>
      </c>
      <c r="G3046" s="30" t="n">
        <v>42934</v>
      </c>
      <c r="H3046" s="26" t="n">
        <f aca="false">G3046-F3046</f>
        <v>1</v>
      </c>
      <c r="I3046" s="10" t="n">
        <f aca="false">IF(E3046="Won",1,0)</f>
        <v>0</v>
      </c>
    </row>
    <row r="3047" customFormat="false" ht="15" hidden="false" customHeight="false" outlineLevel="0" collapsed="false">
      <c r="A3047" s="10" t="s">
        <v>5388</v>
      </c>
      <c r="B3047" s="10" t="s">
        <v>93</v>
      </c>
      <c r="C3047" s="10" t="s">
        <v>52</v>
      </c>
      <c r="D3047" s="10" t="s">
        <v>172</v>
      </c>
      <c r="E3047" s="10" t="s">
        <v>2342</v>
      </c>
      <c r="F3047" s="30" t="n">
        <v>42927</v>
      </c>
      <c r="G3047" s="30" t="n">
        <v>42934</v>
      </c>
      <c r="H3047" s="26" t="n">
        <f aca="false">G3047-F3047</f>
        <v>7</v>
      </c>
      <c r="I3047" s="10" t="n">
        <f aca="false">IF(E3047="Won",1,0)</f>
        <v>1</v>
      </c>
    </row>
    <row r="3048" customFormat="false" ht="15" hidden="false" customHeight="false" outlineLevel="0" collapsed="false">
      <c r="A3048" s="10" t="s">
        <v>5389</v>
      </c>
      <c r="B3048" s="10" t="s">
        <v>77</v>
      </c>
      <c r="C3048" s="10" t="s">
        <v>50</v>
      </c>
      <c r="D3048" s="10" t="s">
        <v>369</v>
      </c>
      <c r="E3048" s="10" t="s">
        <v>2345</v>
      </c>
      <c r="F3048" s="30" t="n">
        <v>42933</v>
      </c>
      <c r="G3048" s="30" t="n">
        <v>42934</v>
      </c>
      <c r="H3048" s="26" t="n">
        <f aca="false">G3048-F3048</f>
        <v>1</v>
      </c>
      <c r="I3048" s="10" t="n">
        <f aca="false">IF(E3048="Won",1,0)</f>
        <v>0</v>
      </c>
    </row>
    <row r="3049" customFormat="false" ht="15" hidden="false" customHeight="false" outlineLevel="0" collapsed="false">
      <c r="A3049" s="10" t="s">
        <v>5390</v>
      </c>
      <c r="B3049" s="10" t="s">
        <v>77</v>
      </c>
      <c r="C3049" s="10" t="s">
        <v>48</v>
      </c>
      <c r="D3049" s="10" t="s">
        <v>311</v>
      </c>
      <c r="E3049" s="10" t="s">
        <v>2345</v>
      </c>
      <c r="F3049" s="30" t="n">
        <v>42927</v>
      </c>
      <c r="G3049" s="30" t="n">
        <v>42934</v>
      </c>
      <c r="H3049" s="26" t="n">
        <f aca="false">G3049-F3049</f>
        <v>7</v>
      </c>
      <c r="I3049" s="10" t="n">
        <f aca="false">IF(E3049="Won",1,0)</f>
        <v>0</v>
      </c>
    </row>
    <row r="3050" customFormat="false" ht="15" hidden="false" customHeight="false" outlineLevel="0" collapsed="false">
      <c r="A3050" s="10" t="s">
        <v>5391</v>
      </c>
      <c r="B3050" s="10" t="s">
        <v>90</v>
      </c>
      <c r="C3050" s="10" t="s">
        <v>47</v>
      </c>
      <c r="D3050" s="10" t="s">
        <v>464</v>
      </c>
      <c r="E3050" s="10" t="s">
        <v>2342</v>
      </c>
      <c r="F3050" s="30" t="n">
        <v>42928</v>
      </c>
      <c r="G3050" s="30" t="n">
        <v>42934</v>
      </c>
      <c r="H3050" s="26" t="n">
        <f aca="false">G3050-F3050</f>
        <v>6</v>
      </c>
      <c r="I3050" s="10" t="n">
        <f aca="false">IF(E3050="Won",1,0)</f>
        <v>1</v>
      </c>
    </row>
    <row r="3051" customFormat="false" ht="15" hidden="false" customHeight="false" outlineLevel="0" collapsed="false">
      <c r="A3051" s="10" t="s">
        <v>5392</v>
      </c>
      <c r="B3051" s="10" t="s">
        <v>66</v>
      </c>
      <c r="C3051" s="10" t="s">
        <v>48</v>
      </c>
      <c r="D3051" s="10" t="s">
        <v>514</v>
      </c>
      <c r="E3051" s="10" t="s">
        <v>2342</v>
      </c>
      <c r="F3051" s="30" t="n">
        <v>42929</v>
      </c>
      <c r="G3051" s="30" t="n">
        <v>42934</v>
      </c>
      <c r="H3051" s="26" t="n">
        <f aca="false">G3051-F3051</f>
        <v>5</v>
      </c>
      <c r="I3051" s="10" t="n">
        <f aca="false">IF(E3051="Won",1,0)</f>
        <v>1</v>
      </c>
    </row>
    <row r="3052" customFormat="false" ht="15" hidden="false" customHeight="false" outlineLevel="0" collapsed="false">
      <c r="A3052" s="10" t="s">
        <v>5393</v>
      </c>
      <c r="B3052" s="10" t="s">
        <v>75</v>
      </c>
      <c r="C3052" s="10" t="s">
        <v>47</v>
      </c>
      <c r="D3052" s="10" t="s">
        <v>414</v>
      </c>
      <c r="E3052" s="10" t="s">
        <v>2342</v>
      </c>
      <c r="F3052" s="30" t="n">
        <v>42925</v>
      </c>
      <c r="G3052" s="30" t="n">
        <v>42934</v>
      </c>
      <c r="H3052" s="26" t="n">
        <f aca="false">G3052-F3052</f>
        <v>9</v>
      </c>
      <c r="I3052" s="10" t="n">
        <f aca="false">IF(E3052="Won",1,0)</f>
        <v>1</v>
      </c>
    </row>
    <row r="3053" customFormat="false" ht="15" hidden="false" customHeight="false" outlineLevel="0" collapsed="false">
      <c r="A3053" s="10" t="s">
        <v>5394</v>
      </c>
      <c r="B3053" s="10" t="s">
        <v>68</v>
      </c>
      <c r="C3053" s="10" t="s">
        <v>49</v>
      </c>
      <c r="D3053" s="10" t="s">
        <v>424</v>
      </c>
      <c r="E3053" s="10" t="s">
        <v>2345</v>
      </c>
      <c r="F3053" s="30" t="n">
        <v>42933</v>
      </c>
      <c r="G3053" s="30" t="n">
        <v>42934</v>
      </c>
      <c r="H3053" s="26" t="n">
        <f aca="false">G3053-F3053</f>
        <v>1</v>
      </c>
      <c r="I3053" s="10" t="n">
        <f aca="false">IF(E3053="Won",1,0)</f>
        <v>0</v>
      </c>
    </row>
    <row r="3054" customFormat="false" ht="15" hidden="false" customHeight="false" outlineLevel="0" collapsed="false">
      <c r="A3054" s="10" t="s">
        <v>5395</v>
      </c>
      <c r="B3054" s="10" t="s">
        <v>77</v>
      </c>
      <c r="C3054" s="10" t="s">
        <v>51</v>
      </c>
      <c r="D3054" s="10" t="s">
        <v>527</v>
      </c>
      <c r="E3054" s="10" t="s">
        <v>2342</v>
      </c>
      <c r="F3054" s="30" t="n">
        <v>42932</v>
      </c>
      <c r="G3054" s="30" t="n">
        <v>42934</v>
      </c>
      <c r="H3054" s="26" t="n">
        <f aca="false">G3054-F3054</f>
        <v>2</v>
      </c>
      <c r="I3054" s="10" t="n">
        <f aca="false">IF(E3054="Won",1,0)</f>
        <v>1</v>
      </c>
    </row>
    <row r="3055" customFormat="false" ht="15" hidden="false" customHeight="false" outlineLevel="0" collapsed="false">
      <c r="A3055" s="10" t="s">
        <v>5396</v>
      </c>
      <c r="B3055" s="10" t="s">
        <v>70</v>
      </c>
      <c r="C3055" s="10" t="s">
        <v>51</v>
      </c>
      <c r="D3055" s="10" t="s">
        <v>172</v>
      </c>
      <c r="E3055" s="10" t="s">
        <v>2342</v>
      </c>
      <c r="F3055" s="30" t="n">
        <v>42933</v>
      </c>
      <c r="G3055" s="30" t="n">
        <v>42934</v>
      </c>
      <c r="H3055" s="26" t="n">
        <f aca="false">G3055-F3055</f>
        <v>1</v>
      </c>
      <c r="I3055" s="10" t="n">
        <f aca="false">IF(E3055="Won",1,0)</f>
        <v>1</v>
      </c>
    </row>
    <row r="3056" customFormat="false" ht="15" hidden="false" customHeight="false" outlineLevel="0" collapsed="false">
      <c r="A3056" s="10" t="s">
        <v>5397</v>
      </c>
      <c r="B3056" s="10" t="s">
        <v>57</v>
      </c>
      <c r="C3056" s="10" t="s">
        <v>47</v>
      </c>
      <c r="D3056" s="10" t="s">
        <v>1118</v>
      </c>
      <c r="E3056" s="10" t="s">
        <v>2342</v>
      </c>
      <c r="F3056" s="30" t="n">
        <v>42925</v>
      </c>
      <c r="G3056" s="30" t="n">
        <v>42934</v>
      </c>
      <c r="H3056" s="26" t="n">
        <f aca="false">G3056-F3056</f>
        <v>9</v>
      </c>
      <c r="I3056" s="10" t="n">
        <f aca="false">IF(E3056="Won",1,0)</f>
        <v>1</v>
      </c>
    </row>
    <row r="3057" customFormat="false" ht="15" hidden="false" customHeight="false" outlineLevel="0" collapsed="false">
      <c r="A3057" s="10" t="s">
        <v>5398</v>
      </c>
      <c r="B3057" s="10" t="s">
        <v>90</v>
      </c>
      <c r="C3057" s="10" t="s">
        <v>50</v>
      </c>
      <c r="D3057" s="10" t="s">
        <v>293</v>
      </c>
      <c r="E3057" s="10" t="s">
        <v>2345</v>
      </c>
      <c r="F3057" s="30" t="n">
        <v>42926</v>
      </c>
      <c r="G3057" s="30" t="n">
        <v>42934</v>
      </c>
      <c r="H3057" s="26" t="n">
        <f aca="false">G3057-F3057</f>
        <v>8</v>
      </c>
      <c r="I3057" s="10" t="n">
        <f aca="false">IF(E3057="Won",1,0)</f>
        <v>0</v>
      </c>
    </row>
    <row r="3058" customFormat="false" ht="15" hidden="false" customHeight="false" outlineLevel="0" collapsed="false">
      <c r="A3058" s="10" t="s">
        <v>5399</v>
      </c>
      <c r="B3058" s="10" t="s">
        <v>62</v>
      </c>
      <c r="C3058" s="10" t="s">
        <v>52</v>
      </c>
      <c r="D3058" s="10" t="s">
        <v>274</v>
      </c>
      <c r="E3058" s="10" t="s">
        <v>2345</v>
      </c>
      <c r="F3058" s="30" t="n">
        <v>42933</v>
      </c>
      <c r="G3058" s="30" t="n">
        <v>42934</v>
      </c>
      <c r="H3058" s="26" t="n">
        <f aca="false">G3058-F3058</f>
        <v>1</v>
      </c>
      <c r="I3058" s="10" t="n">
        <f aca="false">IF(E3058="Won",1,0)</f>
        <v>0</v>
      </c>
    </row>
    <row r="3059" customFormat="false" ht="15" hidden="false" customHeight="false" outlineLevel="0" collapsed="false">
      <c r="A3059" s="10" t="s">
        <v>5400</v>
      </c>
      <c r="B3059" s="10" t="s">
        <v>79</v>
      </c>
      <c r="C3059" s="10" t="s">
        <v>48</v>
      </c>
      <c r="D3059" s="10" t="s">
        <v>414</v>
      </c>
      <c r="E3059" s="10" t="s">
        <v>2342</v>
      </c>
      <c r="F3059" s="30" t="n">
        <v>42926</v>
      </c>
      <c r="G3059" s="30" t="n">
        <v>42934</v>
      </c>
      <c r="H3059" s="26" t="n">
        <f aca="false">G3059-F3059</f>
        <v>8</v>
      </c>
      <c r="I3059" s="10" t="n">
        <f aca="false">IF(E3059="Won",1,0)</f>
        <v>1</v>
      </c>
    </row>
    <row r="3060" customFormat="false" ht="15" hidden="false" customHeight="false" outlineLevel="0" collapsed="false">
      <c r="A3060" s="10" t="s">
        <v>5401</v>
      </c>
      <c r="B3060" s="10" t="s">
        <v>74</v>
      </c>
      <c r="C3060" s="10" t="s">
        <v>51</v>
      </c>
      <c r="D3060" s="10" t="s">
        <v>291</v>
      </c>
      <c r="E3060" s="10" t="s">
        <v>2342</v>
      </c>
      <c r="F3060" s="30" t="n">
        <v>42929</v>
      </c>
      <c r="G3060" s="30" t="n">
        <v>42935</v>
      </c>
      <c r="H3060" s="26" t="n">
        <f aca="false">G3060-F3060</f>
        <v>6</v>
      </c>
      <c r="I3060" s="10" t="n">
        <f aca="false">IF(E3060="Won",1,0)</f>
        <v>1</v>
      </c>
    </row>
    <row r="3061" customFormat="false" ht="15" hidden="false" customHeight="false" outlineLevel="0" collapsed="false">
      <c r="A3061" s="10" t="s">
        <v>5402</v>
      </c>
      <c r="B3061" s="10" t="s">
        <v>94</v>
      </c>
      <c r="C3061" s="10" t="s">
        <v>51</v>
      </c>
      <c r="D3061" s="10" t="s">
        <v>286</v>
      </c>
      <c r="E3061" s="10" t="s">
        <v>2345</v>
      </c>
      <c r="F3061" s="30" t="n">
        <v>42933</v>
      </c>
      <c r="G3061" s="30" t="n">
        <v>42935</v>
      </c>
      <c r="H3061" s="26" t="n">
        <f aca="false">G3061-F3061</f>
        <v>2</v>
      </c>
      <c r="I3061" s="10" t="n">
        <f aca="false">IF(E3061="Won",1,0)</f>
        <v>0</v>
      </c>
    </row>
    <row r="3062" customFormat="false" ht="15" hidden="false" customHeight="false" outlineLevel="0" collapsed="false">
      <c r="A3062" s="10" t="s">
        <v>5403</v>
      </c>
      <c r="B3062" s="10" t="s">
        <v>77</v>
      </c>
      <c r="C3062" s="10" t="s">
        <v>48</v>
      </c>
      <c r="D3062" s="10" t="s">
        <v>193</v>
      </c>
      <c r="E3062" s="10" t="s">
        <v>2345</v>
      </c>
      <c r="F3062" s="30" t="n">
        <v>42929</v>
      </c>
      <c r="G3062" s="30" t="n">
        <v>42935</v>
      </c>
      <c r="H3062" s="26" t="n">
        <f aca="false">G3062-F3062</f>
        <v>6</v>
      </c>
      <c r="I3062" s="10" t="n">
        <f aca="false">IF(E3062="Won",1,0)</f>
        <v>0</v>
      </c>
    </row>
    <row r="3063" customFormat="false" ht="15" hidden="false" customHeight="false" outlineLevel="0" collapsed="false">
      <c r="A3063" s="10" t="s">
        <v>5404</v>
      </c>
      <c r="B3063" s="10" t="s">
        <v>95</v>
      </c>
      <c r="C3063" s="10" t="s">
        <v>48</v>
      </c>
      <c r="D3063" s="10" t="s">
        <v>326</v>
      </c>
      <c r="E3063" s="10" t="s">
        <v>2342</v>
      </c>
      <c r="F3063" s="30" t="n">
        <v>42932</v>
      </c>
      <c r="G3063" s="30" t="n">
        <v>42935</v>
      </c>
      <c r="H3063" s="26" t="n">
        <f aca="false">G3063-F3063</f>
        <v>3</v>
      </c>
      <c r="I3063" s="10" t="n">
        <f aca="false">IF(E3063="Won",1,0)</f>
        <v>1</v>
      </c>
    </row>
    <row r="3064" customFormat="false" ht="15" hidden="false" customHeight="false" outlineLevel="0" collapsed="false">
      <c r="A3064" s="10" t="s">
        <v>5405</v>
      </c>
      <c r="B3064" s="10" t="s">
        <v>69</v>
      </c>
      <c r="C3064" s="10" t="s">
        <v>52</v>
      </c>
      <c r="D3064" s="10" t="s">
        <v>303</v>
      </c>
      <c r="E3064" s="10" t="s">
        <v>2342</v>
      </c>
      <c r="F3064" s="30" t="n">
        <v>42927</v>
      </c>
      <c r="G3064" s="30" t="n">
        <v>42935</v>
      </c>
      <c r="H3064" s="26" t="n">
        <f aca="false">G3064-F3064</f>
        <v>8</v>
      </c>
      <c r="I3064" s="10" t="n">
        <f aca="false">IF(E3064="Won",1,0)</f>
        <v>1</v>
      </c>
    </row>
    <row r="3065" customFormat="false" ht="15" hidden="false" customHeight="false" outlineLevel="0" collapsed="false">
      <c r="A3065" s="10" t="s">
        <v>5406</v>
      </c>
      <c r="B3065" s="10" t="s">
        <v>75</v>
      </c>
      <c r="C3065" s="10" t="s">
        <v>47</v>
      </c>
      <c r="D3065" s="10" t="s">
        <v>597</v>
      </c>
      <c r="E3065" s="10" t="s">
        <v>2345</v>
      </c>
      <c r="F3065" s="30" t="n">
        <v>42934</v>
      </c>
      <c r="G3065" s="30" t="n">
        <v>42935</v>
      </c>
      <c r="H3065" s="26" t="n">
        <f aca="false">G3065-F3065</f>
        <v>1</v>
      </c>
      <c r="I3065" s="10" t="n">
        <f aca="false">IF(E3065="Won",1,0)</f>
        <v>0</v>
      </c>
    </row>
    <row r="3066" customFormat="false" ht="15" hidden="false" customHeight="false" outlineLevel="0" collapsed="false">
      <c r="A3066" s="10" t="s">
        <v>5407</v>
      </c>
      <c r="B3066" s="10" t="s">
        <v>77</v>
      </c>
      <c r="C3066" s="10" t="s">
        <v>48</v>
      </c>
      <c r="D3066" s="10" t="s">
        <v>697</v>
      </c>
      <c r="E3066" s="10" t="s">
        <v>2342</v>
      </c>
      <c r="F3066" s="30" t="n">
        <v>42933</v>
      </c>
      <c r="G3066" s="30" t="n">
        <v>42935</v>
      </c>
      <c r="H3066" s="26" t="n">
        <f aca="false">G3066-F3066</f>
        <v>2</v>
      </c>
      <c r="I3066" s="10" t="n">
        <f aca="false">IF(E3066="Won",1,0)</f>
        <v>1</v>
      </c>
    </row>
    <row r="3067" customFormat="false" ht="15" hidden="false" customHeight="false" outlineLevel="0" collapsed="false">
      <c r="A3067" s="10" t="s">
        <v>5408</v>
      </c>
      <c r="B3067" s="10" t="s">
        <v>87</v>
      </c>
      <c r="C3067" s="10" t="s">
        <v>47</v>
      </c>
      <c r="D3067" s="10" t="s">
        <v>185</v>
      </c>
      <c r="E3067" s="10" t="s">
        <v>2342</v>
      </c>
      <c r="F3067" s="30" t="n">
        <v>42927</v>
      </c>
      <c r="G3067" s="30" t="n">
        <v>42935</v>
      </c>
      <c r="H3067" s="26" t="n">
        <f aca="false">G3067-F3067</f>
        <v>8</v>
      </c>
      <c r="I3067" s="10" t="n">
        <f aca="false">IF(E3067="Won",1,0)</f>
        <v>1</v>
      </c>
    </row>
    <row r="3068" customFormat="false" ht="15" hidden="false" customHeight="false" outlineLevel="0" collapsed="false">
      <c r="A3068" s="10" t="s">
        <v>5409</v>
      </c>
      <c r="B3068" s="10" t="s">
        <v>57</v>
      </c>
      <c r="C3068" s="10" t="s">
        <v>48</v>
      </c>
      <c r="D3068" s="10" t="s">
        <v>1118</v>
      </c>
      <c r="E3068" s="10" t="s">
        <v>2342</v>
      </c>
      <c r="F3068" s="30" t="n">
        <v>42924</v>
      </c>
      <c r="G3068" s="30" t="n">
        <v>42935</v>
      </c>
      <c r="H3068" s="26" t="n">
        <f aca="false">G3068-F3068</f>
        <v>11</v>
      </c>
      <c r="I3068" s="10" t="n">
        <f aca="false">IF(E3068="Won",1,0)</f>
        <v>1</v>
      </c>
    </row>
    <row r="3069" customFormat="false" ht="15" hidden="false" customHeight="false" outlineLevel="0" collapsed="false">
      <c r="A3069" s="10" t="s">
        <v>5410</v>
      </c>
      <c r="B3069" s="10" t="s">
        <v>77</v>
      </c>
      <c r="C3069" s="10" t="s">
        <v>50</v>
      </c>
      <c r="D3069" s="10" t="s">
        <v>193</v>
      </c>
      <c r="E3069" s="10" t="s">
        <v>2342</v>
      </c>
      <c r="F3069" s="30" t="n">
        <v>42934</v>
      </c>
      <c r="G3069" s="30" t="n">
        <v>42935</v>
      </c>
      <c r="H3069" s="26" t="n">
        <f aca="false">G3069-F3069</f>
        <v>1</v>
      </c>
      <c r="I3069" s="10" t="n">
        <f aca="false">IF(E3069="Won",1,0)</f>
        <v>1</v>
      </c>
    </row>
    <row r="3070" customFormat="false" ht="15" hidden="false" customHeight="false" outlineLevel="0" collapsed="false">
      <c r="A3070" s="10" t="s">
        <v>5411</v>
      </c>
      <c r="B3070" s="10" t="s">
        <v>67</v>
      </c>
      <c r="C3070" s="10" t="s">
        <v>52</v>
      </c>
      <c r="D3070" s="10" t="s">
        <v>210</v>
      </c>
      <c r="E3070" s="10" t="s">
        <v>2342</v>
      </c>
      <c r="F3070" s="30" t="n">
        <v>42926</v>
      </c>
      <c r="G3070" s="30" t="n">
        <v>42935</v>
      </c>
      <c r="H3070" s="26" t="n">
        <f aca="false">G3070-F3070</f>
        <v>9</v>
      </c>
      <c r="I3070" s="10" t="n">
        <f aca="false">IF(E3070="Won",1,0)</f>
        <v>1</v>
      </c>
    </row>
    <row r="3071" customFormat="false" ht="15" hidden="false" customHeight="false" outlineLevel="0" collapsed="false">
      <c r="A3071" s="10" t="s">
        <v>5412</v>
      </c>
      <c r="B3071" s="10" t="s">
        <v>75</v>
      </c>
      <c r="C3071" s="10" t="s">
        <v>51</v>
      </c>
      <c r="D3071" s="10" t="s">
        <v>697</v>
      </c>
      <c r="E3071" s="10" t="s">
        <v>2342</v>
      </c>
      <c r="F3071" s="30" t="n">
        <v>42926</v>
      </c>
      <c r="G3071" s="30" t="n">
        <v>42935</v>
      </c>
      <c r="H3071" s="26" t="n">
        <f aca="false">G3071-F3071</f>
        <v>9</v>
      </c>
      <c r="I3071" s="10" t="n">
        <f aca="false">IF(E3071="Won",1,0)</f>
        <v>1</v>
      </c>
    </row>
    <row r="3072" customFormat="false" ht="15" hidden="false" customHeight="false" outlineLevel="0" collapsed="false">
      <c r="A3072" s="10" t="s">
        <v>5413</v>
      </c>
      <c r="B3072" s="10" t="s">
        <v>79</v>
      </c>
      <c r="C3072" s="10" t="s">
        <v>49</v>
      </c>
      <c r="D3072" s="10" t="s">
        <v>697</v>
      </c>
      <c r="E3072" s="10" t="s">
        <v>2342</v>
      </c>
      <c r="F3072" s="30" t="n">
        <v>42926</v>
      </c>
      <c r="G3072" s="30" t="n">
        <v>42935</v>
      </c>
      <c r="H3072" s="26" t="n">
        <f aca="false">G3072-F3072</f>
        <v>9</v>
      </c>
      <c r="I3072" s="10" t="n">
        <f aca="false">IF(E3072="Won",1,0)</f>
        <v>1</v>
      </c>
    </row>
    <row r="3073" customFormat="false" ht="15" hidden="false" customHeight="false" outlineLevel="0" collapsed="false">
      <c r="A3073" s="10" t="s">
        <v>5414</v>
      </c>
      <c r="B3073" s="10" t="s">
        <v>80</v>
      </c>
      <c r="C3073" s="10" t="s">
        <v>52</v>
      </c>
      <c r="D3073" s="10" t="s">
        <v>410</v>
      </c>
      <c r="E3073" s="10" t="s">
        <v>2342</v>
      </c>
      <c r="F3073" s="30" t="n">
        <v>42925</v>
      </c>
      <c r="G3073" s="30" t="n">
        <v>42935</v>
      </c>
      <c r="H3073" s="26" t="n">
        <f aca="false">G3073-F3073</f>
        <v>10</v>
      </c>
      <c r="I3073" s="10" t="n">
        <f aca="false">IF(E3073="Won",1,0)</f>
        <v>1</v>
      </c>
    </row>
    <row r="3074" customFormat="false" ht="15" hidden="false" customHeight="false" outlineLevel="0" collapsed="false">
      <c r="A3074" s="10" t="s">
        <v>5415</v>
      </c>
      <c r="B3074" s="10" t="s">
        <v>83</v>
      </c>
      <c r="C3074" s="10" t="s">
        <v>47</v>
      </c>
      <c r="D3074" s="10" t="s">
        <v>267</v>
      </c>
      <c r="E3074" s="10" t="s">
        <v>2345</v>
      </c>
      <c r="F3074" s="30" t="n">
        <v>42925</v>
      </c>
      <c r="G3074" s="30" t="n">
        <v>42935</v>
      </c>
      <c r="H3074" s="26" t="n">
        <f aca="false">G3074-F3074</f>
        <v>10</v>
      </c>
      <c r="I3074" s="10" t="n">
        <f aca="false">IF(E3074="Won",1,0)</f>
        <v>0</v>
      </c>
    </row>
    <row r="3075" customFormat="false" ht="15" hidden="false" customHeight="false" outlineLevel="0" collapsed="false">
      <c r="A3075" s="10" t="s">
        <v>5416</v>
      </c>
      <c r="B3075" s="10" t="s">
        <v>90</v>
      </c>
      <c r="C3075" s="10" t="s">
        <v>50</v>
      </c>
      <c r="D3075" s="10" t="s">
        <v>286</v>
      </c>
      <c r="E3075" s="10" t="s">
        <v>2342</v>
      </c>
      <c r="F3075" s="30" t="n">
        <v>42927</v>
      </c>
      <c r="G3075" s="30" t="n">
        <v>42936</v>
      </c>
      <c r="H3075" s="26" t="n">
        <f aca="false">G3075-F3075</f>
        <v>9</v>
      </c>
      <c r="I3075" s="10" t="n">
        <f aca="false">IF(E3075="Won",1,0)</f>
        <v>1</v>
      </c>
    </row>
    <row r="3076" customFormat="false" ht="15" hidden="false" customHeight="false" outlineLevel="0" collapsed="false">
      <c r="A3076" s="10" t="s">
        <v>5417</v>
      </c>
      <c r="B3076" s="10" t="s">
        <v>86</v>
      </c>
      <c r="C3076" s="10" t="s">
        <v>50</v>
      </c>
      <c r="D3076" s="10" t="s">
        <v>453</v>
      </c>
      <c r="E3076" s="10" t="s">
        <v>2342</v>
      </c>
      <c r="F3076" s="30" t="n">
        <v>42933</v>
      </c>
      <c r="G3076" s="30" t="n">
        <v>42936</v>
      </c>
      <c r="H3076" s="26" t="n">
        <f aca="false">G3076-F3076</f>
        <v>3</v>
      </c>
      <c r="I3076" s="10" t="n">
        <f aca="false">IF(E3076="Won",1,0)</f>
        <v>1</v>
      </c>
    </row>
    <row r="3077" customFormat="false" ht="15" hidden="false" customHeight="false" outlineLevel="0" collapsed="false">
      <c r="A3077" s="10" t="s">
        <v>5418</v>
      </c>
      <c r="B3077" s="10" t="s">
        <v>96</v>
      </c>
      <c r="C3077" s="10" t="s">
        <v>48</v>
      </c>
      <c r="D3077" s="10" t="s">
        <v>344</v>
      </c>
      <c r="E3077" s="10" t="s">
        <v>2345</v>
      </c>
      <c r="F3077" s="30" t="n">
        <v>42927</v>
      </c>
      <c r="G3077" s="30" t="n">
        <v>42936</v>
      </c>
      <c r="H3077" s="26" t="n">
        <f aca="false">G3077-F3077</f>
        <v>9</v>
      </c>
      <c r="I3077" s="10" t="n">
        <f aca="false">IF(E3077="Won",1,0)</f>
        <v>0</v>
      </c>
    </row>
    <row r="3078" customFormat="false" ht="15" hidden="false" customHeight="false" outlineLevel="0" collapsed="false">
      <c r="A3078" s="10" t="s">
        <v>5419</v>
      </c>
      <c r="B3078" s="10" t="s">
        <v>95</v>
      </c>
      <c r="C3078" s="10" t="s">
        <v>51</v>
      </c>
      <c r="D3078" s="10" t="s">
        <v>483</v>
      </c>
      <c r="E3078" s="10" t="s">
        <v>2342</v>
      </c>
      <c r="F3078" s="30" t="n">
        <v>42927</v>
      </c>
      <c r="G3078" s="30" t="n">
        <v>42936</v>
      </c>
      <c r="H3078" s="26" t="n">
        <f aca="false">G3078-F3078</f>
        <v>9</v>
      </c>
      <c r="I3078" s="10" t="n">
        <f aca="false">IF(E3078="Won",1,0)</f>
        <v>1</v>
      </c>
    </row>
    <row r="3079" customFormat="false" ht="15" hidden="false" customHeight="false" outlineLevel="0" collapsed="false">
      <c r="A3079" s="10" t="s">
        <v>5420</v>
      </c>
      <c r="B3079" s="10" t="s">
        <v>75</v>
      </c>
      <c r="C3079" s="10" t="s">
        <v>47</v>
      </c>
      <c r="D3079" s="10" t="s">
        <v>961</v>
      </c>
      <c r="E3079" s="10" t="s">
        <v>2345</v>
      </c>
      <c r="F3079" s="30" t="n">
        <v>42928</v>
      </c>
      <c r="G3079" s="30" t="n">
        <v>42936</v>
      </c>
      <c r="H3079" s="26" t="n">
        <f aca="false">G3079-F3079</f>
        <v>8</v>
      </c>
      <c r="I3079" s="10" t="n">
        <f aca="false">IF(E3079="Won",1,0)</f>
        <v>0</v>
      </c>
    </row>
    <row r="3080" customFormat="false" ht="15" hidden="false" customHeight="false" outlineLevel="0" collapsed="false">
      <c r="A3080" s="10" t="s">
        <v>5421</v>
      </c>
      <c r="B3080" s="10" t="s">
        <v>84</v>
      </c>
      <c r="C3080" s="10" t="s">
        <v>49</v>
      </c>
      <c r="D3080" s="10" t="s">
        <v>286</v>
      </c>
      <c r="E3080" s="10" t="s">
        <v>2345</v>
      </c>
      <c r="F3080" s="30" t="n">
        <v>42927</v>
      </c>
      <c r="G3080" s="30" t="n">
        <v>42937</v>
      </c>
      <c r="H3080" s="26" t="n">
        <f aca="false">G3080-F3080</f>
        <v>10</v>
      </c>
      <c r="I3080" s="10" t="n">
        <f aca="false">IF(E3080="Won",1,0)</f>
        <v>0</v>
      </c>
    </row>
    <row r="3081" customFormat="false" ht="15" hidden="false" customHeight="false" outlineLevel="0" collapsed="false">
      <c r="A3081" s="10" t="s">
        <v>5422</v>
      </c>
      <c r="B3081" s="10" t="s">
        <v>90</v>
      </c>
      <c r="C3081" s="10" t="s">
        <v>51</v>
      </c>
      <c r="D3081" s="10" t="s">
        <v>378</v>
      </c>
      <c r="E3081" s="10" t="s">
        <v>2345</v>
      </c>
      <c r="F3081" s="30" t="n">
        <v>42929</v>
      </c>
      <c r="G3081" s="30" t="n">
        <v>42937</v>
      </c>
      <c r="H3081" s="26" t="n">
        <f aca="false">G3081-F3081</f>
        <v>8</v>
      </c>
      <c r="I3081" s="10" t="n">
        <f aca="false">IF(E3081="Won",1,0)</f>
        <v>0</v>
      </c>
    </row>
    <row r="3082" customFormat="false" ht="15" hidden="false" customHeight="false" outlineLevel="0" collapsed="false">
      <c r="A3082" s="10" t="s">
        <v>5423</v>
      </c>
      <c r="B3082" s="10" t="s">
        <v>86</v>
      </c>
      <c r="C3082" s="10" t="s">
        <v>50</v>
      </c>
      <c r="D3082" s="10" t="s">
        <v>441</v>
      </c>
      <c r="E3082" s="10" t="s">
        <v>2345</v>
      </c>
      <c r="F3082" s="30" t="n">
        <v>42930</v>
      </c>
      <c r="G3082" s="30" t="n">
        <v>42937</v>
      </c>
      <c r="H3082" s="26" t="n">
        <f aca="false">G3082-F3082</f>
        <v>7</v>
      </c>
      <c r="I3082" s="10" t="n">
        <f aca="false">IF(E3082="Won",1,0)</f>
        <v>0</v>
      </c>
    </row>
    <row r="3083" customFormat="false" ht="15" hidden="false" customHeight="false" outlineLevel="0" collapsed="false">
      <c r="A3083" s="10" t="s">
        <v>5424</v>
      </c>
      <c r="B3083" s="10" t="s">
        <v>95</v>
      </c>
      <c r="C3083" s="10" t="s">
        <v>52</v>
      </c>
      <c r="D3083" s="10" t="s">
        <v>175</v>
      </c>
      <c r="E3083" s="10" t="s">
        <v>2345</v>
      </c>
      <c r="F3083" s="30" t="n">
        <v>42935</v>
      </c>
      <c r="G3083" s="30" t="n">
        <v>42937</v>
      </c>
      <c r="H3083" s="26" t="n">
        <f aca="false">G3083-F3083</f>
        <v>2</v>
      </c>
      <c r="I3083" s="10" t="n">
        <f aca="false">IF(E3083="Won",1,0)</f>
        <v>0</v>
      </c>
    </row>
    <row r="3084" customFormat="false" ht="15" hidden="false" customHeight="false" outlineLevel="0" collapsed="false">
      <c r="A3084" s="10" t="s">
        <v>5425</v>
      </c>
      <c r="B3084" s="10" t="s">
        <v>93</v>
      </c>
      <c r="C3084" s="10" t="s">
        <v>47</v>
      </c>
      <c r="D3084" s="10" t="s">
        <v>172</v>
      </c>
      <c r="E3084" s="10" t="s">
        <v>2342</v>
      </c>
      <c r="F3084" s="30" t="n">
        <v>42930</v>
      </c>
      <c r="G3084" s="30" t="n">
        <v>42937</v>
      </c>
      <c r="H3084" s="26" t="n">
        <f aca="false">G3084-F3084</f>
        <v>7</v>
      </c>
      <c r="I3084" s="10" t="n">
        <f aca="false">IF(E3084="Won",1,0)</f>
        <v>1</v>
      </c>
    </row>
    <row r="3085" customFormat="false" ht="15" hidden="false" customHeight="false" outlineLevel="0" collapsed="false">
      <c r="A3085" s="10" t="s">
        <v>5426</v>
      </c>
      <c r="B3085" s="10" t="s">
        <v>70</v>
      </c>
      <c r="C3085" s="10" t="s">
        <v>52</v>
      </c>
      <c r="D3085" s="10" t="s">
        <v>286</v>
      </c>
      <c r="E3085" s="10" t="s">
        <v>2342</v>
      </c>
      <c r="F3085" s="30" t="n">
        <v>42931</v>
      </c>
      <c r="G3085" s="30" t="n">
        <v>42937</v>
      </c>
      <c r="H3085" s="26" t="n">
        <f aca="false">G3085-F3085</f>
        <v>6</v>
      </c>
      <c r="I3085" s="10" t="n">
        <f aca="false">IF(E3085="Won",1,0)</f>
        <v>1</v>
      </c>
    </row>
    <row r="3086" customFormat="false" ht="15" hidden="false" customHeight="false" outlineLevel="0" collapsed="false">
      <c r="A3086" s="10" t="s">
        <v>5427</v>
      </c>
      <c r="B3086" s="10" t="s">
        <v>61</v>
      </c>
      <c r="C3086" s="10" t="s">
        <v>49</v>
      </c>
      <c r="D3086" s="10" t="s">
        <v>1334</v>
      </c>
      <c r="E3086" s="10" t="s">
        <v>2342</v>
      </c>
      <c r="F3086" s="30" t="n">
        <v>42935</v>
      </c>
      <c r="G3086" s="30" t="n">
        <v>42937</v>
      </c>
      <c r="H3086" s="26" t="n">
        <f aca="false">G3086-F3086</f>
        <v>2</v>
      </c>
      <c r="I3086" s="10" t="n">
        <f aca="false">IF(E3086="Won",1,0)</f>
        <v>1</v>
      </c>
    </row>
    <row r="3087" customFormat="false" ht="15" hidden="false" customHeight="false" outlineLevel="0" collapsed="false">
      <c r="A3087" s="10" t="s">
        <v>5428</v>
      </c>
      <c r="B3087" s="10" t="s">
        <v>94</v>
      </c>
      <c r="C3087" s="10" t="s">
        <v>50</v>
      </c>
      <c r="D3087" s="10" t="s">
        <v>606</v>
      </c>
      <c r="E3087" s="10" t="s">
        <v>2342</v>
      </c>
      <c r="F3087" s="30" t="n">
        <v>42932</v>
      </c>
      <c r="G3087" s="30" t="n">
        <v>42937</v>
      </c>
      <c r="H3087" s="26" t="n">
        <f aca="false">G3087-F3087</f>
        <v>5</v>
      </c>
      <c r="I3087" s="10" t="n">
        <f aca="false">IF(E3087="Won",1,0)</f>
        <v>1</v>
      </c>
    </row>
    <row r="3088" customFormat="false" ht="15" hidden="false" customHeight="false" outlineLevel="0" collapsed="false">
      <c r="A3088" s="10" t="s">
        <v>5429</v>
      </c>
      <c r="B3088" s="10" t="s">
        <v>57</v>
      </c>
      <c r="C3088" s="10" t="s">
        <v>47</v>
      </c>
      <c r="D3088" s="10" t="s">
        <v>332</v>
      </c>
      <c r="E3088" s="10" t="s">
        <v>2345</v>
      </c>
      <c r="F3088" s="30" t="n">
        <v>42936</v>
      </c>
      <c r="G3088" s="30" t="n">
        <v>42937</v>
      </c>
      <c r="H3088" s="26" t="n">
        <f aca="false">G3088-F3088</f>
        <v>1</v>
      </c>
      <c r="I3088" s="10" t="n">
        <f aca="false">IF(E3088="Won",1,0)</f>
        <v>0</v>
      </c>
    </row>
    <row r="3089" customFormat="false" ht="15" hidden="false" customHeight="false" outlineLevel="0" collapsed="false">
      <c r="A3089" s="10" t="s">
        <v>5430</v>
      </c>
      <c r="B3089" s="10" t="s">
        <v>94</v>
      </c>
      <c r="C3089" s="10" t="s">
        <v>51</v>
      </c>
      <c r="D3089" s="10" t="s">
        <v>384</v>
      </c>
      <c r="E3089" s="10" t="s">
        <v>2345</v>
      </c>
      <c r="F3089" s="30" t="n">
        <v>42933</v>
      </c>
      <c r="G3089" s="30" t="n">
        <v>42937</v>
      </c>
      <c r="H3089" s="26" t="n">
        <f aca="false">G3089-F3089</f>
        <v>4</v>
      </c>
      <c r="I3089" s="10" t="n">
        <f aca="false">IF(E3089="Won",1,0)</f>
        <v>0</v>
      </c>
    </row>
    <row r="3090" customFormat="false" ht="15" hidden="false" customHeight="false" outlineLevel="0" collapsed="false">
      <c r="A3090" s="10" t="s">
        <v>5431</v>
      </c>
      <c r="B3090" s="10" t="s">
        <v>71</v>
      </c>
      <c r="C3090" s="10" t="s">
        <v>50</v>
      </c>
      <c r="D3090" s="10" t="s">
        <v>524</v>
      </c>
      <c r="E3090" s="10" t="s">
        <v>2342</v>
      </c>
      <c r="F3090" s="30" t="n">
        <v>42936</v>
      </c>
      <c r="G3090" s="30" t="n">
        <v>42937</v>
      </c>
      <c r="H3090" s="26" t="n">
        <f aca="false">G3090-F3090</f>
        <v>1</v>
      </c>
      <c r="I3090" s="10" t="n">
        <f aca="false">IF(E3090="Won",1,0)</f>
        <v>1</v>
      </c>
    </row>
    <row r="3091" customFormat="false" ht="15" hidden="false" customHeight="false" outlineLevel="0" collapsed="false">
      <c r="A3091" s="10" t="s">
        <v>5432</v>
      </c>
      <c r="B3091" s="10" t="s">
        <v>79</v>
      </c>
      <c r="C3091" s="10" t="s">
        <v>47</v>
      </c>
      <c r="D3091" s="10" t="s">
        <v>193</v>
      </c>
      <c r="E3091" s="10" t="s">
        <v>2342</v>
      </c>
      <c r="F3091" s="30" t="n">
        <v>42935</v>
      </c>
      <c r="G3091" s="30" t="n">
        <v>42937</v>
      </c>
      <c r="H3091" s="26" t="n">
        <f aca="false">G3091-F3091</f>
        <v>2</v>
      </c>
      <c r="I3091" s="10" t="n">
        <f aca="false">IF(E3091="Won",1,0)</f>
        <v>1</v>
      </c>
    </row>
    <row r="3092" customFormat="false" ht="15" hidden="false" customHeight="false" outlineLevel="0" collapsed="false">
      <c r="A3092" s="10" t="s">
        <v>5433</v>
      </c>
      <c r="B3092" s="10" t="s">
        <v>77</v>
      </c>
      <c r="C3092" s="10" t="s">
        <v>49</v>
      </c>
      <c r="D3092" s="10" t="s">
        <v>947</v>
      </c>
      <c r="E3092" s="10" t="s">
        <v>2345</v>
      </c>
      <c r="F3092" s="30" t="n">
        <v>42928</v>
      </c>
      <c r="G3092" s="30" t="n">
        <v>42937</v>
      </c>
      <c r="H3092" s="26" t="n">
        <f aca="false">G3092-F3092</f>
        <v>9</v>
      </c>
      <c r="I3092" s="10" t="n">
        <f aca="false">IF(E3092="Won",1,0)</f>
        <v>0</v>
      </c>
    </row>
    <row r="3093" customFormat="false" ht="15" hidden="false" customHeight="false" outlineLevel="0" collapsed="false">
      <c r="A3093" s="10" t="s">
        <v>5434</v>
      </c>
      <c r="B3093" s="10" t="s">
        <v>84</v>
      </c>
      <c r="C3093" s="10" t="s">
        <v>50</v>
      </c>
      <c r="D3093" s="10" t="s">
        <v>464</v>
      </c>
      <c r="E3093" s="10" t="s">
        <v>2342</v>
      </c>
      <c r="F3093" s="30" t="n">
        <v>42926</v>
      </c>
      <c r="G3093" s="30" t="n">
        <v>42937</v>
      </c>
      <c r="H3093" s="26" t="n">
        <f aca="false">G3093-F3093</f>
        <v>11</v>
      </c>
      <c r="I3093" s="10" t="n">
        <f aca="false">IF(E3093="Won",1,0)</f>
        <v>1</v>
      </c>
    </row>
    <row r="3094" customFormat="false" ht="15" hidden="false" customHeight="false" outlineLevel="0" collapsed="false">
      <c r="A3094" s="10" t="s">
        <v>5435</v>
      </c>
      <c r="B3094" s="10" t="s">
        <v>75</v>
      </c>
      <c r="C3094" s="10" t="s">
        <v>52</v>
      </c>
      <c r="D3094" s="10" t="s">
        <v>410</v>
      </c>
      <c r="E3094" s="10" t="s">
        <v>2345</v>
      </c>
      <c r="F3094" s="30" t="n">
        <v>42926</v>
      </c>
      <c r="G3094" s="30" t="n">
        <v>42937</v>
      </c>
      <c r="H3094" s="26" t="n">
        <f aca="false">G3094-F3094</f>
        <v>11</v>
      </c>
      <c r="I3094" s="10" t="n">
        <f aca="false">IF(E3094="Won",1,0)</f>
        <v>0</v>
      </c>
    </row>
    <row r="3095" customFormat="false" ht="15" hidden="false" customHeight="false" outlineLevel="0" collapsed="false">
      <c r="A3095" s="10" t="s">
        <v>5436</v>
      </c>
      <c r="B3095" s="10" t="s">
        <v>87</v>
      </c>
      <c r="C3095" s="10" t="s">
        <v>47</v>
      </c>
      <c r="D3095" s="10" t="s">
        <v>286</v>
      </c>
      <c r="E3095" s="10" t="s">
        <v>2342</v>
      </c>
      <c r="F3095" s="30" t="n">
        <v>42937</v>
      </c>
      <c r="G3095" s="30" t="n">
        <v>42938</v>
      </c>
      <c r="H3095" s="26" t="n">
        <f aca="false">G3095-F3095</f>
        <v>1</v>
      </c>
      <c r="I3095" s="10" t="n">
        <f aca="false">IF(E3095="Won",1,0)</f>
        <v>1</v>
      </c>
    </row>
    <row r="3096" customFormat="false" ht="15" hidden="false" customHeight="false" outlineLevel="0" collapsed="false">
      <c r="A3096" s="10" t="s">
        <v>5437</v>
      </c>
      <c r="B3096" s="10" t="s">
        <v>71</v>
      </c>
      <c r="C3096" s="10" t="s">
        <v>52</v>
      </c>
      <c r="D3096" s="10" t="s">
        <v>597</v>
      </c>
      <c r="E3096" s="10" t="s">
        <v>2345</v>
      </c>
      <c r="F3096" s="30" t="n">
        <v>42933</v>
      </c>
      <c r="G3096" s="30" t="n">
        <v>42938</v>
      </c>
      <c r="H3096" s="26" t="n">
        <f aca="false">G3096-F3096</f>
        <v>5</v>
      </c>
      <c r="I3096" s="10" t="n">
        <f aca="false">IF(E3096="Won",1,0)</f>
        <v>0</v>
      </c>
    </row>
    <row r="3097" customFormat="false" ht="15" hidden="false" customHeight="false" outlineLevel="0" collapsed="false">
      <c r="A3097" s="10" t="s">
        <v>5438</v>
      </c>
      <c r="B3097" s="10" t="s">
        <v>76</v>
      </c>
      <c r="C3097" s="10" t="s">
        <v>52</v>
      </c>
      <c r="D3097" s="10" t="s">
        <v>762</v>
      </c>
      <c r="E3097" s="10" t="s">
        <v>2345</v>
      </c>
      <c r="F3097" s="30" t="n">
        <v>42930</v>
      </c>
      <c r="G3097" s="30" t="n">
        <v>42938</v>
      </c>
      <c r="H3097" s="26" t="n">
        <f aca="false">G3097-F3097</f>
        <v>8</v>
      </c>
      <c r="I3097" s="10" t="n">
        <f aca="false">IF(E3097="Won",1,0)</f>
        <v>0</v>
      </c>
    </row>
    <row r="3098" customFormat="false" ht="15" hidden="false" customHeight="false" outlineLevel="0" collapsed="false">
      <c r="A3098" s="10" t="s">
        <v>5439</v>
      </c>
      <c r="B3098" s="10" t="s">
        <v>90</v>
      </c>
      <c r="C3098" s="10" t="s">
        <v>48</v>
      </c>
      <c r="D3098" s="10" t="s">
        <v>616</v>
      </c>
      <c r="E3098" s="10" t="s">
        <v>2342</v>
      </c>
      <c r="F3098" s="30" t="n">
        <v>42929</v>
      </c>
      <c r="G3098" s="30" t="n">
        <v>42938</v>
      </c>
      <c r="H3098" s="26" t="n">
        <f aca="false">G3098-F3098</f>
        <v>9</v>
      </c>
      <c r="I3098" s="10" t="n">
        <f aca="false">IF(E3098="Won",1,0)</f>
        <v>1</v>
      </c>
    </row>
    <row r="3099" customFormat="false" ht="15" hidden="false" customHeight="false" outlineLevel="0" collapsed="false">
      <c r="A3099" s="10" t="s">
        <v>5440</v>
      </c>
      <c r="B3099" s="10" t="s">
        <v>77</v>
      </c>
      <c r="C3099" s="10" t="s">
        <v>48</v>
      </c>
      <c r="D3099" s="10" t="s">
        <v>947</v>
      </c>
      <c r="E3099" s="10" t="s">
        <v>2345</v>
      </c>
      <c r="F3099" s="30" t="n">
        <v>42935</v>
      </c>
      <c r="G3099" s="30" t="n">
        <v>42938</v>
      </c>
      <c r="H3099" s="26" t="n">
        <f aca="false">G3099-F3099</f>
        <v>3</v>
      </c>
      <c r="I3099" s="10" t="n">
        <f aca="false">IF(E3099="Won",1,0)</f>
        <v>0</v>
      </c>
    </row>
    <row r="3100" customFormat="false" ht="15" hidden="false" customHeight="false" outlineLevel="0" collapsed="false">
      <c r="A3100" s="10" t="s">
        <v>5441</v>
      </c>
      <c r="B3100" s="10" t="s">
        <v>97</v>
      </c>
      <c r="C3100" s="10" t="s">
        <v>48</v>
      </c>
      <c r="D3100" s="10" t="s">
        <v>986</v>
      </c>
      <c r="E3100" s="10" t="s">
        <v>2342</v>
      </c>
      <c r="F3100" s="30" t="n">
        <v>42937</v>
      </c>
      <c r="G3100" s="30" t="n">
        <v>42938</v>
      </c>
      <c r="H3100" s="26" t="n">
        <f aca="false">G3100-F3100</f>
        <v>1</v>
      </c>
      <c r="I3100" s="10" t="n">
        <f aca="false">IF(E3100="Won",1,0)</f>
        <v>1</v>
      </c>
    </row>
    <row r="3101" customFormat="false" ht="15" hidden="false" customHeight="false" outlineLevel="0" collapsed="false">
      <c r="A3101" s="10" t="s">
        <v>5442</v>
      </c>
      <c r="B3101" s="10" t="s">
        <v>94</v>
      </c>
      <c r="C3101" s="10" t="s">
        <v>49</v>
      </c>
      <c r="D3101" s="10" t="s">
        <v>168</v>
      </c>
      <c r="E3101" s="10" t="s">
        <v>2345</v>
      </c>
      <c r="F3101" s="30" t="n">
        <v>42932</v>
      </c>
      <c r="G3101" s="30" t="n">
        <v>42938</v>
      </c>
      <c r="H3101" s="26" t="n">
        <f aca="false">G3101-F3101</f>
        <v>6</v>
      </c>
      <c r="I3101" s="10" t="n">
        <f aca="false">IF(E3101="Won",1,0)</f>
        <v>0</v>
      </c>
    </row>
    <row r="3102" customFormat="false" ht="15" hidden="false" customHeight="false" outlineLevel="0" collapsed="false">
      <c r="A3102" s="10" t="s">
        <v>5443</v>
      </c>
      <c r="B3102" s="10" t="s">
        <v>90</v>
      </c>
      <c r="C3102" s="10" t="s">
        <v>50</v>
      </c>
      <c r="D3102" s="10" t="s">
        <v>692</v>
      </c>
      <c r="E3102" s="10" t="s">
        <v>2345</v>
      </c>
      <c r="F3102" s="30" t="n">
        <v>42936</v>
      </c>
      <c r="G3102" s="30" t="n">
        <v>42938</v>
      </c>
      <c r="H3102" s="26" t="n">
        <f aca="false">G3102-F3102</f>
        <v>2</v>
      </c>
      <c r="I3102" s="10" t="n">
        <f aca="false">IF(E3102="Won",1,0)</f>
        <v>0</v>
      </c>
    </row>
    <row r="3103" customFormat="false" ht="15" hidden="false" customHeight="false" outlineLevel="0" collapsed="false">
      <c r="A3103" s="10" t="s">
        <v>5444</v>
      </c>
      <c r="B3103" s="10" t="s">
        <v>95</v>
      </c>
      <c r="C3103" s="10" t="s">
        <v>47</v>
      </c>
      <c r="D3103" s="10" t="s">
        <v>168</v>
      </c>
      <c r="E3103" s="10" t="s">
        <v>2345</v>
      </c>
      <c r="F3103" s="30" t="n">
        <v>42931</v>
      </c>
      <c r="G3103" s="30" t="n">
        <v>42938</v>
      </c>
      <c r="H3103" s="26" t="n">
        <f aca="false">G3103-F3103</f>
        <v>7</v>
      </c>
      <c r="I3103" s="10" t="n">
        <f aca="false">IF(E3103="Won",1,0)</f>
        <v>0</v>
      </c>
    </row>
    <row r="3104" customFormat="false" ht="15" hidden="false" customHeight="false" outlineLevel="0" collapsed="false">
      <c r="A3104" s="10" t="s">
        <v>5445</v>
      </c>
      <c r="B3104" s="10" t="s">
        <v>88</v>
      </c>
      <c r="C3104" s="10" t="s">
        <v>51</v>
      </c>
      <c r="D3104" s="10" t="s">
        <v>674</v>
      </c>
      <c r="E3104" s="10" t="s">
        <v>2345</v>
      </c>
      <c r="F3104" s="30" t="n">
        <v>42937</v>
      </c>
      <c r="G3104" s="30" t="n">
        <v>42938</v>
      </c>
      <c r="H3104" s="26" t="n">
        <f aca="false">G3104-F3104</f>
        <v>1</v>
      </c>
      <c r="I3104" s="10" t="n">
        <f aca="false">IF(E3104="Won",1,0)</f>
        <v>0</v>
      </c>
    </row>
    <row r="3105" customFormat="false" ht="15" hidden="false" customHeight="false" outlineLevel="0" collapsed="false">
      <c r="A3105" s="10" t="s">
        <v>5446</v>
      </c>
      <c r="B3105" s="10" t="s">
        <v>62</v>
      </c>
      <c r="C3105" s="10" t="s">
        <v>52</v>
      </c>
      <c r="D3105" s="10" t="s">
        <v>210</v>
      </c>
      <c r="E3105" s="10" t="s">
        <v>2345</v>
      </c>
      <c r="F3105" s="30" t="n">
        <v>42931</v>
      </c>
      <c r="G3105" s="30" t="n">
        <v>42938</v>
      </c>
      <c r="H3105" s="26" t="n">
        <f aca="false">G3105-F3105</f>
        <v>7</v>
      </c>
      <c r="I3105" s="10" t="n">
        <f aca="false">IF(E3105="Won",1,0)</f>
        <v>0</v>
      </c>
    </row>
    <row r="3106" customFormat="false" ht="15" hidden="false" customHeight="false" outlineLevel="0" collapsed="false">
      <c r="A3106" s="10" t="s">
        <v>5447</v>
      </c>
      <c r="B3106" s="10" t="s">
        <v>61</v>
      </c>
      <c r="C3106" s="10" t="s">
        <v>52</v>
      </c>
      <c r="D3106" s="10" t="s">
        <v>1397</v>
      </c>
      <c r="E3106" s="10" t="s">
        <v>2342</v>
      </c>
      <c r="F3106" s="30" t="n">
        <v>42930</v>
      </c>
      <c r="G3106" s="30" t="n">
        <v>42939</v>
      </c>
      <c r="H3106" s="26" t="n">
        <f aca="false">G3106-F3106</f>
        <v>9</v>
      </c>
      <c r="I3106" s="10" t="n">
        <f aca="false">IF(E3106="Won",1,0)</f>
        <v>1</v>
      </c>
    </row>
    <row r="3107" customFormat="false" ht="15" hidden="false" customHeight="false" outlineLevel="0" collapsed="false">
      <c r="A3107" s="10" t="s">
        <v>5448</v>
      </c>
      <c r="B3107" s="10" t="s">
        <v>75</v>
      </c>
      <c r="C3107" s="10" t="s">
        <v>50</v>
      </c>
      <c r="D3107" s="10" t="s">
        <v>311</v>
      </c>
      <c r="E3107" s="10" t="s">
        <v>2342</v>
      </c>
      <c r="F3107" s="30" t="n">
        <v>42938</v>
      </c>
      <c r="G3107" s="30" t="n">
        <v>42939</v>
      </c>
      <c r="H3107" s="26" t="n">
        <f aca="false">G3107-F3107</f>
        <v>1</v>
      </c>
      <c r="I3107" s="10" t="n">
        <f aca="false">IF(E3107="Won",1,0)</f>
        <v>1</v>
      </c>
    </row>
    <row r="3108" customFormat="false" ht="15" hidden="false" customHeight="false" outlineLevel="0" collapsed="false">
      <c r="A3108" s="10" t="s">
        <v>5449</v>
      </c>
      <c r="B3108" s="10" t="s">
        <v>75</v>
      </c>
      <c r="C3108" s="10" t="s">
        <v>49</v>
      </c>
      <c r="D3108" s="10" t="s">
        <v>210</v>
      </c>
      <c r="E3108" s="10" t="s">
        <v>2345</v>
      </c>
      <c r="F3108" s="30" t="n">
        <v>42938</v>
      </c>
      <c r="G3108" s="30" t="n">
        <v>42939</v>
      </c>
      <c r="H3108" s="26" t="n">
        <f aca="false">G3108-F3108</f>
        <v>1</v>
      </c>
      <c r="I3108" s="10" t="n">
        <f aca="false">IF(E3108="Won",1,0)</f>
        <v>0</v>
      </c>
    </row>
    <row r="3109" customFormat="false" ht="15" hidden="false" customHeight="false" outlineLevel="0" collapsed="false">
      <c r="A3109" s="10" t="s">
        <v>5450</v>
      </c>
      <c r="B3109" s="10" t="s">
        <v>69</v>
      </c>
      <c r="C3109" s="10" t="s">
        <v>51</v>
      </c>
      <c r="D3109" s="10" t="s">
        <v>170</v>
      </c>
      <c r="E3109" s="10" t="s">
        <v>2342</v>
      </c>
      <c r="F3109" s="30" t="n">
        <v>42931</v>
      </c>
      <c r="G3109" s="30" t="n">
        <v>42939</v>
      </c>
      <c r="H3109" s="26" t="n">
        <f aca="false">G3109-F3109</f>
        <v>8</v>
      </c>
      <c r="I3109" s="10" t="n">
        <f aca="false">IF(E3109="Won",1,0)</f>
        <v>1</v>
      </c>
    </row>
    <row r="3110" customFormat="false" ht="15" hidden="false" customHeight="false" outlineLevel="0" collapsed="false">
      <c r="A3110" s="10" t="s">
        <v>5451</v>
      </c>
      <c r="B3110" s="10" t="s">
        <v>63</v>
      </c>
      <c r="C3110" s="10" t="s">
        <v>49</v>
      </c>
      <c r="D3110" s="10" t="s">
        <v>464</v>
      </c>
      <c r="E3110" s="10" t="s">
        <v>2345</v>
      </c>
      <c r="F3110" s="30" t="n">
        <v>42931</v>
      </c>
      <c r="G3110" s="30" t="n">
        <v>42939</v>
      </c>
      <c r="H3110" s="26" t="n">
        <f aca="false">G3110-F3110</f>
        <v>8</v>
      </c>
      <c r="I3110" s="10" t="n">
        <f aca="false">IF(E3110="Won",1,0)</f>
        <v>0</v>
      </c>
    </row>
    <row r="3111" customFormat="false" ht="15" hidden="false" customHeight="false" outlineLevel="0" collapsed="false">
      <c r="A3111" s="10" t="s">
        <v>5452</v>
      </c>
      <c r="B3111" s="10" t="s">
        <v>86</v>
      </c>
      <c r="C3111" s="10" t="s">
        <v>49</v>
      </c>
      <c r="D3111" s="10" t="s">
        <v>293</v>
      </c>
      <c r="E3111" s="10" t="s">
        <v>2345</v>
      </c>
      <c r="F3111" s="30" t="n">
        <v>42926</v>
      </c>
      <c r="G3111" s="30" t="n">
        <v>42939</v>
      </c>
      <c r="H3111" s="26" t="n">
        <f aca="false">G3111-F3111</f>
        <v>13</v>
      </c>
      <c r="I3111" s="10" t="n">
        <f aca="false">IF(E3111="Won",1,0)</f>
        <v>0</v>
      </c>
    </row>
    <row r="3112" customFormat="false" ht="15" hidden="false" customHeight="false" outlineLevel="0" collapsed="false">
      <c r="A3112" s="10" t="s">
        <v>5453</v>
      </c>
      <c r="B3112" s="10" t="s">
        <v>68</v>
      </c>
      <c r="C3112" s="10" t="s">
        <v>51</v>
      </c>
      <c r="D3112" s="10" t="s">
        <v>606</v>
      </c>
      <c r="E3112" s="10" t="s">
        <v>2342</v>
      </c>
      <c r="F3112" s="30" t="n">
        <v>42935</v>
      </c>
      <c r="G3112" s="30" t="n">
        <v>42939</v>
      </c>
      <c r="H3112" s="26" t="n">
        <f aca="false">G3112-F3112</f>
        <v>4</v>
      </c>
      <c r="I3112" s="10" t="n">
        <f aca="false">IF(E3112="Won",1,0)</f>
        <v>1</v>
      </c>
    </row>
    <row r="3113" customFormat="false" ht="15" hidden="false" customHeight="false" outlineLevel="0" collapsed="false">
      <c r="A3113" s="10" t="s">
        <v>5454</v>
      </c>
      <c r="B3113" s="10" t="s">
        <v>96</v>
      </c>
      <c r="C3113" s="10" t="s">
        <v>47</v>
      </c>
      <c r="D3113" s="10" t="s">
        <v>419</v>
      </c>
      <c r="E3113" s="10" t="s">
        <v>2345</v>
      </c>
      <c r="F3113" s="30" t="n">
        <v>42938</v>
      </c>
      <c r="G3113" s="30" t="n">
        <v>42939</v>
      </c>
      <c r="H3113" s="26" t="n">
        <f aca="false">G3113-F3113</f>
        <v>1</v>
      </c>
      <c r="I3113" s="10" t="n">
        <f aca="false">IF(E3113="Won",1,0)</f>
        <v>0</v>
      </c>
    </row>
    <row r="3114" customFormat="false" ht="15" hidden="false" customHeight="false" outlineLevel="0" collapsed="false">
      <c r="A3114" s="10" t="s">
        <v>5455</v>
      </c>
      <c r="B3114" s="10" t="s">
        <v>94</v>
      </c>
      <c r="C3114" s="10" t="s">
        <v>48</v>
      </c>
      <c r="D3114" s="10" t="s">
        <v>396</v>
      </c>
      <c r="E3114" s="10" t="s">
        <v>2345</v>
      </c>
      <c r="F3114" s="30" t="n">
        <v>42932</v>
      </c>
      <c r="G3114" s="30" t="n">
        <v>42939</v>
      </c>
      <c r="H3114" s="26" t="n">
        <f aca="false">G3114-F3114</f>
        <v>7</v>
      </c>
      <c r="I3114" s="10" t="n">
        <f aca="false">IF(E3114="Won",1,0)</f>
        <v>0</v>
      </c>
    </row>
    <row r="3115" customFormat="false" ht="15" hidden="false" customHeight="false" outlineLevel="0" collapsed="false">
      <c r="A3115" s="10" t="s">
        <v>5456</v>
      </c>
      <c r="B3115" s="10" t="s">
        <v>94</v>
      </c>
      <c r="C3115" s="10" t="s">
        <v>50</v>
      </c>
      <c r="D3115" s="10" t="s">
        <v>303</v>
      </c>
      <c r="E3115" s="10" t="s">
        <v>2342</v>
      </c>
      <c r="F3115" s="30" t="n">
        <v>42932</v>
      </c>
      <c r="G3115" s="30" t="n">
        <v>42939</v>
      </c>
      <c r="H3115" s="26" t="n">
        <f aca="false">G3115-F3115</f>
        <v>7</v>
      </c>
      <c r="I3115" s="10" t="n">
        <f aca="false">IF(E3115="Won",1,0)</f>
        <v>1</v>
      </c>
    </row>
    <row r="3116" customFormat="false" ht="15" hidden="false" customHeight="false" outlineLevel="0" collapsed="false">
      <c r="A3116" s="10" t="s">
        <v>5457</v>
      </c>
      <c r="B3116" s="10" t="s">
        <v>97</v>
      </c>
      <c r="C3116" s="10" t="s">
        <v>52</v>
      </c>
      <c r="D3116" s="10" t="s">
        <v>986</v>
      </c>
      <c r="E3116" s="10" t="s">
        <v>2342</v>
      </c>
      <c r="F3116" s="30" t="n">
        <v>42937</v>
      </c>
      <c r="G3116" s="30" t="n">
        <v>42939</v>
      </c>
      <c r="H3116" s="26" t="n">
        <f aca="false">G3116-F3116</f>
        <v>2</v>
      </c>
      <c r="I3116" s="10" t="n">
        <f aca="false">IF(E3116="Won",1,0)</f>
        <v>1</v>
      </c>
    </row>
    <row r="3117" customFormat="false" ht="15" hidden="false" customHeight="false" outlineLevel="0" collapsed="false">
      <c r="A3117" s="10" t="s">
        <v>5458</v>
      </c>
      <c r="B3117" s="10" t="s">
        <v>95</v>
      </c>
      <c r="C3117" s="10" t="s">
        <v>51</v>
      </c>
      <c r="D3117" s="10" t="s">
        <v>286</v>
      </c>
      <c r="E3117" s="10" t="s">
        <v>2342</v>
      </c>
      <c r="F3117" s="30" t="n">
        <v>42938</v>
      </c>
      <c r="G3117" s="30" t="n">
        <v>42939</v>
      </c>
      <c r="H3117" s="26" t="n">
        <f aca="false">G3117-F3117</f>
        <v>1</v>
      </c>
      <c r="I3117" s="10" t="n">
        <f aca="false">IF(E3117="Won",1,0)</f>
        <v>1</v>
      </c>
    </row>
    <row r="3118" customFormat="false" ht="15" hidden="false" customHeight="false" outlineLevel="0" collapsed="false">
      <c r="A3118" s="10" t="s">
        <v>5459</v>
      </c>
      <c r="B3118" s="10" t="s">
        <v>86</v>
      </c>
      <c r="C3118" s="10" t="s">
        <v>49</v>
      </c>
      <c r="D3118" s="10" t="s">
        <v>185</v>
      </c>
      <c r="E3118" s="10" t="s">
        <v>2342</v>
      </c>
      <c r="F3118" s="30" t="n">
        <v>42938</v>
      </c>
      <c r="G3118" s="30" t="n">
        <v>42939</v>
      </c>
      <c r="H3118" s="26" t="n">
        <f aca="false">G3118-F3118</f>
        <v>1</v>
      </c>
      <c r="I3118" s="10" t="n">
        <f aca="false">IF(E3118="Won",1,0)</f>
        <v>1</v>
      </c>
    </row>
    <row r="3119" customFormat="false" ht="15" hidden="false" customHeight="false" outlineLevel="0" collapsed="false">
      <c r="A3119" s="10" t="s">
        <v>5460</v>
      </c>
      <c r="B3119" s="10" t="s">
        <v>73</v>
      </c>
      <c r="C3119" s="10" t="s">
        <v>52</v>
      </c>
      <c r="D3119" s="10" t="s">
        <v>311</v>
      </c>
      <c r="E3119" s="10" t="s">
        <v>2342</v>
      </c>
      <c r="F3119" s="30" t="n">
        <v>42938</v>
      </c>
      <c r="G3119" s="30" t="n">
        <v>42939</v>
      </c>
      <c r="H3119" s="26" t="n">
        <f aca="false">G3119-F3119</f>
        <v>1</v>
      </c>
      <c r="I3119" s="10" t="n">
        <f aca="false">IF(E3119="Won",1,0)</f>
        <v>1</v>
      </c>
    </row>
    <row r="3120" customFormat="false" ht="15" hidden="false" customHeight="false" outlineLevel="0" collapsed="false">
      <c r="A3120" s="10" t="s">
        <v>5461</v>
      </c>
      <c r="B3120" s="10" t="s">
        <v>79</v>
      </c>
      <c r="C3120" s="10" t="s">
        <v>47</v>
      </c>
      <c r="D3120" s="10" t="s">
        <v>483</v>
      </c>
      <c r="E3120" s="10" t="s">
        <v>2345</v>
      </c>
      <c r="F3120" s="30" t="n">
        <v>42934</v>
      </c>
      <c r="G3120" s="30" t="n">
        <v>42939</v>
      </c>
      <c r="H3120" s="26" t="n">
        <f aca="false">G3120-F3120</f>
        <v>5</v>
      </c>
      <c r="I3120" s="10" t="n">
        <f aca="false">IF(E3120="Won",1,0)</f>
        <v>0</v>
      </c>
    </row>
    <row r="3121" customFormat="false" ht="15" hidden="false" customHeight="false" outlineLevel="0" collapsed="false">
      <c r="A3121" s="10" t="s">
        <v>5462</v>
      </c>
      <c r="B3121" s="10" t="s">
        <v>76</v>
      </c>
      <c r="C3121" s="10" t="s">
        <v>52</v>
      </c>
      <c r="D3121" s="10" t="s">
        <v>762</v>
      </c>
      <c r="E3121" s="10" t="s">
        <v>2345</v>
      </c>
      <c r="F3121" s="30" t="n">
        <v>42938</v>
      </c>
      <c r="G3121" s="30" t="n">
        <v>42939</v>
      </c>
      <c r="H3121" s="26" t="n">
        <f aca="false">G3121-F3121</f>
        <v>1</v>
      </c>
      <c r="I3121" s="10" t="n">
        <f aca="false">IF(E3121="Won",1,0)</f>
        <v>0</v>
      </c>
    </row>
    <row r="3122" customFormat="false" ht="15" hidden="false" customHeight="false" outlineLevel="0" collapsed="false">
      <c r="A3122" s="10" t="s">
        <v>5463</v>
      </c>
      <c r="B3122" s="10" t="s">
        <v>77</v>
      </c>
      <c r="C3122" s="10" t="s">
        <v>48</v>
      </c>
      <c r="D3122" s="10" t="s">
        <v>422</v>
      </c>
      <c r="E3122" s="10" t="s">
        <v>2345</v>
      </c>
      <c r="F3122" s="30" t="n">
        <v>42928</v>
      </c>
      <c r="G3122" s="30" t="n">
        <v>42939</v>
      </c>
      <c r="H3122" s="26" t="n">
        <f aca="false">G3122-F3122</f>
        <v>11</v>
      </c>
      <c r="I3122" s="10" t="n">
        <f aca="false">IF(E3122="Won",1,0)</f>
        <v>0</v>
      </c>
    </row>
    <row r="3123" customFormat="false" ht="15" hidden="false" customHeight="false" outlineLevel="0" collapsed="false">
      <c r="A3123" s="10" t="s">
        <v>5464</v>
      </c>
      <c r="B3123" s="10" t="s">
        <v>66</v>
      </c>
      <c r="C3123" s="10" t="s">
        <v>52</v>
      </c>
      <c r="D3123" s="10" t="s">
        <v>506</v>
      </c>
      <c r="E3123" s="10" t="s">
        <v>2342</v>
      </c>
      <c r="F3123" s="30" t="n">
        <v>42938</v>
      </c>
      <c r="G3123" s="30" t="n">
        <v>42939</v>
      </c>
      <c r="H3123" s="26" t="n">
        <f aca="false">G3123-F3123</f>
        <v>1</v>
      </c>
      <c r="I3123" s="10" t="n">
        <f aca="false">IF(E3123="Won",1,0)</f>
        <v>1</v>
      </c>
    </row>
    <row r="3124" customFormat="false" ht="15" hidden="false" customHeight="false" outlineLevel="0" collapsed="false">
      <c r="A3124" s="10" t="s">
        <v>5465</v>
      </c>
      <c r="B3124" s="10" t="s">
        <v>70</v>
      </c>
      <c r="C3124" s="10" t="s">
        <v>48</v>
      </c>
      <c r="D3124" s="10" t="s">
        <v>986</v>
      </c>
      <c r="E3124" s="10" t="s">
        <v>2345</v>
      </c>
      <c r="F3124" s="30" t="n">
        <v>42938</v>
      </c>
      <c r="G3124" s="30" t="n">
        <v>42939</v>
      </c>
      <c r="H3124" s="26" t="n">
        <f aca="false">G3124-F3124</f>
        <v>1</v>
      </c>
      <c r="I3124" s="10" t="n">
        <f aca="false">IF(E3124="Won",1,0)</f>
        <v>0</v>
      </c>
    </row>
    <row r="3125" customFormat="false" ht="15" hidden="false" customHeight="false" outlineLevel="0" collapsed="false">
      <c r="A3125" s="10" t="s">
        <v>5466</v>
      </c>
      <c r="B3125" s="10" t="s">
        <v>73</v>
      </c>
      <c r="C3125" s="10" t="s">
        <v>51</v>
      </c>
      <c r="D3125" s="10" t="s">
        <v>279</v>
      </c>
      <c r="E3125" s="10" t="s">
        <v>2345</v>
      </c>
      <c r="F3125" s="30" t="n">
        <v>42926</v>
      </c>
      <c r="G3125" s="30" t="n">
        <v>42939</v>
      </c>
      <c r="H3125" s="26" t="n">
        <f aca="false">G3125-F3125</f>
        <v>13</v>
      </c>
      <c r="I3125" s="10" t="n">
        <f aca="false">IF(E3125="Won",1,0)</f>
        <v>0</v>
      </c>
    </row>
    <row r="3126" customFormat="false" ht="15" hidden="false" customHeight="false" outlineLevel="0" collapsed="false">
      <c r="A3126" s="10" t="s">
        <v>5467</v>
      </c>
      <c r="B3126" s="10" t="s">
        <v>77</v>
      </c>
      <c r="C3126" s="10" t="s">
        <v>49</v>
      </c>
      <c r="D3126" s="10" t="s">
        <v>422</v>
      </c>
      <c r="E3126" s="10" t="s">
        <v>2345</v>
      </c>
      <c r="F3126" s="30" t="n">
        <v>42936</v>
      </c>
      <c r="G3126" s="30" t="n">
        <v>42939</v>
      </c>
      <c r="H3126" s="26" t="n">
        <f aca="false">G3126-F3126</f>
        <v>3</v>
      </c>
      <c r="I3126" s="10" t="n">
        <f aca="false">IF(E3126="Won",1,0)</f>
        <v>0</v>
      </c>
    </row>
    <row r="3127" customFormat="false" ht="15" hidden="false" customHeight="false" outlineLevel="0" collapsed="false">
      <c r="A3127" s="10" t="s">
        <v>5468</v>
      </c>
      <c r="B3127" s="10" t="s">
        <v>67</v>
      </c>
      <c r="C3127" s="10" t="s">
        <v>49</v>
      </c>
      <c r="D3127" s="10" t="s">
        <v>432</v>
      </c>
      <c r="E3127" s="10" t="s">
        <v>2342</v>
      </c>
      <c r="F3127" s="30" t="n">
        <v>42928</v>
      </c>
      <c r="G3127" s="30" t="n">
        <v>42939</v>
      </c>
      <c r="H3127" s="26" t="n">
        <f aca="false">G3127-F3127</f>
        <v>11</v>
      </c>
      <c r="I3127" s="10" t="n">
        <f aca="false">IF(E3127="Won",1,0)</f>
        <v>1</v>
      </c>
    </row>
    <row r="3128" customFormat="false" ht="15" hidden="false" customHeight="false" outlineLevel="0" collapsed="false">
      <c r="A3128" s="10" t="s">
        <v>5469</v>
      </c>
      <c r="B3128" s="10" t="s">
        <v>84</v>
      </c>
      <c r="C3128" s="10" t="s">
        <v>49</v>
      </c>
      <c r="D3128" s="10" t="s">
        <v>233</v>
      </c>
      <c r="E3128" s="10" t="s">
        <v>2342</v>
      </c>
      <c r="F3128" s="30" t="n">
        <v>42929</v>
      </c>
      <c r="G3128" s="30" t="n">
        <v>42939</v>
      </c>
      <c r="H3128" s="26" t="n">
        <f aca="false">G3128-F3128</f>
        <v>10</v>
      </c>
      <c r="I3128" s="10" t="n">
        <f aca="false">IF(E3128="Won",1,0)</f>
        <v>1</v>
      </c>
    </row>
    <row r="3129" customFormat="false" ht="15" hidden="false" customHeight="false" outlineLevel="0" collapsed="false">
      <c r="A3129" s="10" t="s">
        <v>5470</v>
      </c>
      <c r="B3129" s="10" t="s">
        <v>74</v>
      </c>
      <c r="C3129" s="10" t="s">
        <v>50</v>
      </c>
      <c r="D3129" s="10" t="s">
        <v>414</v>
      </c>
      <c r="E3129" s="10" t="s">
        <v>2345</v>
      </c>
      <c r="F3129" s="30" t="n">
        <v>42933</v>
      </c>
      <c r="G3129" s="30" t="n">
        <v>42940</v>
      </c>
      <c r="H3129" s="26" t="n">
        <f aca="false">G3129-F3129</f>
        <v>7</v>
      </c>
      <c r="I3129" s="10" t="n">
        <f aca="false">IF(E3129="Won",1,0)</f>
        <v>0</v>
      </c>
    </row>
    <row r="3130" customFormat="false" ht="15" hidden="false" customHeight="false" outlineLevel="0" collapsed="false">
      <c r="A3130" s="10" t="s">
        <v>5471</v>
      </c>
      <c r="B3130" s="10" t="s">
        <v>95</v>
      </c>
      <c r="C3130" s="10" t="s">
        <v>47</v>
      </c>
      <c r="D3130" s="10" t="s">
        <v>522</v>
      </c>
      <c r="E3130" s="10" t="s">
        <v>2345</v>
      </c>
      <c r="F3130" s="30" t="n">
        <v>42932</v>
      </c>
      <c r="G3130" s="30" t="n">
        <v>42940</v>
      </c>
      <c r="H3130" s="26" t="n">
        <f aca="false">G3130-F3130</f>
        <v>8</v>
      </c>
      <c r="I3130" s="10" t="n">
        <f aca="false">IF(E3130="Won",1,0)</f>
        <v>0</v>
      </c>
    </row>
    <row r="3131" customFormat="false" ht="15" hidden="false" customHeight="false" outlineLevel="0" collapsed="false">
      <c r="A3131" s="10" t="s">
        <v>5472</v>
      </c>
      <c r="B3131" s="10" t="s">
        <v>83</v>
      </c>
      <c r="C3131" s="10" t="s">
        <v>51</v>
      </c>
      <c r="D3131" s="10" t="s">
        <v>961</v>
      </c>
      <c r="E3131" s="10" t="s">
        <v>2342</v>
      </c>
      <c r="F3131" s="30" t="n">
        <v>42929</v>
      </c>
      <c r="G3131" s="30" t="n">
        <v>42940</v>
      </c>
      <c r="H3131" s="26" t="n">
        <f aca="false">G3131-F3131</f>
        <v>11</v>
      </c>
      <c r="I3131" s="10" t="n">
        <f aca="false">IF(E3131="Won",1,0)</f>
        <v>1</v>
      </c>
    </row>
    <row r="3132" customFormat="false" ht="15" hidden="false" customHeight="false" outlineLevel="0" collapsed="false">
      <c r="A3132" s="10" t="s">
        <v>5473</v>
      </c>
      <c r="B3132" s="10" t="s">
        <v>80</v>
      </c>
      <c r="C3132" s="10" t="s">
        <v>50</v>
      </c>
      <c r="D3132" s="10" t="s">
        <v>1251</v>
      </c>
      <c r="E3132" s="10" t="s">
        <v>2345</v>
      </c>
      <c r="F3132" s="30" t="n">
        <v>42938</v>
      </c>
      <c r="G3132" s="30" t="n">
        <v>42940</v>
      </c>
      <c r="H3132" s="26" t="n">
        <f aca="false">G3132-F3132</f>
        <v>2</v>
      </c>
      <c r="I3132" s="10" t="n">
        <f aca="false">IF(E3132="Won",1,0)</f>
        <v>0</v>
      </c>
    </row>
    <row r="3133" customFormat="false" ht="15" hidden="false" customHeight="false" outlineLevel="0" collapsed="false">
      <c r="A3133" s="10" t="s">
        <v>5474</v>
      </c>
      <c r="B3133" s="10" t="s">
        <v>73</v>
      </c>
      <c r="C3133" s="10" t="s">
        <v>51</v>
      </c>
      <c r="D3133" s="10" t="s">
        <v>259</v>
      </c>
      <c r="E3133" s="10" t="s">
        <v>2342</v>
      </c>
      <c r="F3133" s="30" t="n">
        <v>42939</v>
      </c>
      <c r="G3133" s="30" t="n">
        <v>42940</v>
      </c>
      <c r="H3133" s="26" t="n">
        <f aca="false">G3133-F3133</f>
        <v>1</v>
      </c>
      <c r="I3133" s="10" t="n">
        <f aca="false">IF(E3133="Won",1,0)</f>
        <v>1</v>
      </c>
    </row>
    <row r="3134" customFormat="false" ht="15" hidden="false" customHeight="false" outlineLevel="0" collapsed="false">
      <c r="A3134" s="10" t="s">
        <v>5475</v>
      </c>
      <c r="B3134" s="10" t="s">
        <v>73</v>
      </c>
      <c r="C3134" s="10" t="s">
        <v>52</v>
      </c>
      <c r="D3134" s="10" t="s">
        <v>179</v>
      </c>
      <c r="E3134" s="10" t="s">
        <v>2342</v>
      </c>
      <c r="F3134" s="30" t="n">
        <v>42932</v>
      </c>
      <c r="G3134" s="30" t="n">
        <v>42940</v>
      </c>
      <c r="H3134" s="26" t="n">
        <f aca="false">G3134-F3134</f>
        <v>8</v>
      </c>
      <c r="I3134" s="10" t="n">
        <f aca="false">IF(E3134="Won",1,0)</f>
        <v>1</v>
      </c>
    </row>
    <row r="3135" customFormat="false" ht="15" hidden="false" customHeight="false" outlineLevel="0" collapsed="false">
      <c r="A3135" s="10" t="s">
        <v>5476</v>
      </c>
      <c r="B3135" s="10" t="s">
        <v>80</v>
      </c>
      <c r="C3135" s="10" t="s">
        <v>51</v>
      </c>
      <c r="D3135" s="10" t="s">
        <v>259</v>
      </c>
      <c r="E3135" s="10" t="s">
        <v>2342</v>
      </c>
      <c r="F3135" s="30" t="n">
        <v>42933</v>
      </c>
      <c r="G3135" s="30" t="n">
        <v>42940</v>
      </c>
      <c r="H3135" s="26" t="n">
        <f aca="false">G3135-F3135</f>
        <v>7</v>
      </c>
      <c r="I3135" s="10" t="n">
        <f aca="false">IF(E3135="Won",1,0)</f>
        <v>1</v>
      </c>
    </row>
    <row r="3136" customFormat="false" ht="15" hidden="false" customHeight="false" outlineLevel="0" collapsed="false">
      <c r="A3136" s="10" t="s">
        <v>5477</v>
      </c>
      <c r="B3136" s="10" t="s">
        <v>71</v>
      </c>
      <c r="C3136" s="10" t="s">
        <v>51</v>
      </c>
      <c r="D3136" s="10" t="s">
        <v>527</v>
      </c>
      <c r="E3136" s="10" t="s">
        <v>2345</v>
      </c>
      <c r="F3136" s="30" t="n">
        <v>42932</v>
      </c>
      <c r="G3136" s="30" t="n">
        <v>42940</v>
      </c>
      <c r="H3136" s="26" t="n">
        <f aca="false">G3136-F3136</f>
        <v>8</v>
      </c>
      <c r="I3136" s="10" t="n">
        <f aca="false">IF(E3136="Won",1,0)</f>
        <v>0</v>
      </c>
    </row>
    <row r="3137" customFormat="false" ht="15" hidden="false" customHeight="false" outlineLevel="0" collapsed="false">
      <c r="A3137" s="10" t="s">
        <v>5478</v>
      </c>
      <c r="B3137" s="10" t="s">
        <v>66</v>
      </c>
      <c r="C3137" s="10" t="s">
        <v>52</v>
      </c>
      <c r="D3137" s="10" t="s">
        <v>227</v>
      </c>
      <c r="E3137" s="10" t="s">
        <v>2345</v>
      </c>
      <c r="F3137" s="30" t="n">
        <v>42929</v>
      </c>
      <c r="G3137" s="30" t="n">
        <v>42940</v>
      </c>
      <c r="H3137" s="26" t="n">
        <f aca="false">G3137-F3137</f>
        <v>11</v>
      </c>
      <c r="I3137" s="10" t="n">
        <f aca="false">IF(E3137="Won",1,0)</f>
        <v>0</v>
      </c>
    </row>
    <row r="3138" customFormat="false" ht="15" hidden="false" customHeight="false" outlineLevel="0" collapsed="false">
      <c r="A3138" s="10" t="s">
        <v>5479</v>
      </c>
      <c r="B3138" s="10" t="s">
        <v>77</v>
      </c>
      <c r="C3138" s="10" t="s">
        <v>48</v>
      </c>
      <c r="D3138" s="10" t="s">
        <v>597</v>
      </c>
      <c r="E3138" s="10" t="s">
        <v>2345</v>
      </c>
      <c r="F3138" s="30" t="n">
        <v>42938</v>
      </c>
      <c r="G3138" s="30" t="n">
        <v>42940</v>
      </c>
      <c r="H3138" s="26" t="n">
        <f aca="false">G3138-F3138</f>
        <v>2</v>
      </c>
      <c r="I3138" s="10" t="n">
        <f aca="false">IF(E3138="Won",1,0)</f>
        <v>0</v>
      </c>
    </row>
    <row r="3139" customFormat="false" ht="15" hidden="false" customHeight="false" outlineLevel="0" collapsed="false">
      <c r="A3139" s="10" t="s">
        <v>5480</v>
      </c>
      <c r="B3139" s="10" t="s">
        <v>69</v>
      </c>
      <c r="C3139" s="10" t="s">
        <v>49</v>
      </c>
      <c r="D3139" s="10" t="s">
        <v>483</v>
      </c>
      <c r="E3139" s="10" t="s">
        <v>2345</v>
      </c>
      <c r="F3139" s="30" t="n">
        <v>42932</v>
      </c>
      <c r="G3139" s="30" t="n">
        <v>42940</v>
      </c>
      <c r="H3139" s="26" t="n">
        <f aca="false">G3139-F3139</f>
        <v>8</v>
      </c>
      <c r="I3139" s="10" t="n">
        <f aca="false">IF(E3139="Won",1,0)</f>
        <v>0</v>
      </c>
    </row>
    <row r="3140" customFormat="false" ht="15" hidden="false" customHeight="false" outlineLevel="0" collapsed="false">
      <c r="A3140" s="10" t="s">
        <v>5481</v>
      </c>
      <c r="B3140" s="10" t="s">
        <v>67</v>
      </c>
      <c r="C3140" s="10" t="s">
        <v>50</v>
      </c>
      <c r="D3140" s="10" t="s">
        <v>487</v>
      </c>
      <c r="E3140" s="10" t="s">
        <v>2345</v>
      </c>
      <c r="F3140" s="30" t="n">
        <v>42931</v>
      </c>
      <c r="G3140" s="30" t="n">
        <v>42940</v>
      </c>
      <c r="H3140" s="26" t="n">
        <f aca="false">G3140-F3140</f>
        <v>9</v>
      </c>
      <c r="I3140" s="10" t="n">
        <f aca="false">IF(E3140="Won",1,0)</f>
        <v>0</v>
      </c>
    </row>
    <row r="3141" customFormat="false" ht="15" hidden="false" customHeight="false" outlineLevel="0" collapsed="false">
      <c r="A3141" s="10" t="s">
        <v>5482</v>
      </c>
      <c r="B3141" s="10" t="s">
        <v>81</v>
      </c>
      <c r="C3141" s="10" t="s">
        <v>49</v>
      </c>
      <c r="D3141" s="10" t="s">
        <v>410</v>
      </c>
      <c r="E3141" s="10" t="s">
        <v>2345</v>
      </c>
      <c r="F3141" s="30" t="n">
        <v>42938</v>
      </c>
      <c r="G3141" s="30" t="n">
        <v>42940</v>
      </c>
      <c r="H3141" s="26" t="n">
        <f aca="false">G3141-F3141</f>
        <v>2</v>
      </c>
      <c r="I3141" s="10" t="n">
        <f aca="false">IF(E3141="Won",1,0)</f>
        <v>0</v>
      </c>
    </row>
    <row r="3142" customFormat="false" ht="15" hidden="false" customHeight="false" outlineLevel="0" collapsed="false">
      <c r="A3142" s="10" t="s">
        <v>5483</v>
      </c>
      <c r="B3142" s="10" t="s">
        <v>74</v>
      </c>
      <c r="C3142" s="10" t="s">
        <v>49</v>
      </c>
      <c r="D3142" s="10" t="s">
        <v>414</v>
      </c>
      <c r="E3142" s="10" t="s">
        <v>2342</v>
      </c>
      <c r="F3142" s="30" t="n">
        <v>42930</v>
      </c>
      <c r="G3142" s="30" t="n">
        <v>42940</v>
      </c>
      <c r="H3142" s="26" t="n">
        <f aca="false">G3142-F3142</f>
        <v>10</v>
      </c>
      <c r="I3142" s="10" t="n">
        <f aca="false">IF(E3142="Won",1,0)</f>
        <v>1</v>
      </c>
    </row>
    <row r="3143" customFormat="false" ht="15" hidden="false" customHeight="false" outlineLevel="0" collapsed="false">
      <c r="A3143" s="10" t="s">
        <v>5484</v>
      </c>
      <c r="B3143" s="10" t="s">
        <v>67</v>
      </c>
      <c r="C3143" s="10" t="s">
        <v>49</v>
      </c>
      <c r="D3143" s="10" t="s">
        <v>348</v>
      </c>
      <c r="E3143" s="10" t="s">
        <v>2342</v>
      </c>
      <c r="F3143" s="30" t="n">
        <v>42933</v>
      </c>
      <c r="G3143" s="30" t="n">
        <v>42940</v>
      </c>
      <c r="H3143" s="26" t="n">
        <f aca="false">G3143-F3143</f>
        <v>7</v>
      </c>
      <c r="I3143" s="10" t="n">
        <f aca="false">IF(E3143="Won",1,0)</f>
        <v>1</v>
      </c>
    </row>
    <row r="3144" customFormat="false" ht="15" hidden="false" customHeight="false" outlineLevel="0" collapsed="false">
      <c r="A3144" s="10" t="s">
        <v>5485</v>
      </c>
      <c r="B3144" s="10" t="s">
        <v>95</v>
      </c>
      <c r="C3144" s="10" t="s">
        <v>48</v>
      </c>
      <c r="D3144" s="10" t="s">
        <v>711</v>
      </c>
      <c r="E3144" s="10" t="s">
        <v>2342</v>
      </c>
      <c r="F3144" s="30" t="n">
        <v>42930</v>
      </c>
      <c r="G3144" s="30" t="n">
        <v>42940</v>
      </c>
      <c r="H3144" s="26" t="n">
        <f aca="false">G3144-F3144</f>
        <v>10</v>
      </c>
      <c r="I3144" s="10" t="n">
        <f aca="false">IF(E3144="Won",1,0)</f>
        <v>1</v>
      </c>
    </row>
    <row r="3145" customFormat="false" ht="15" hidden="false" customHeight="false" outlineLevel="0" collapsed="false">
      <c r="A3145" s="10" t="s">
        <v>5486</v>
      </c>
      <c r="B3145" s="10" t="s">
        <v>80</v>
      </c>
      <c r="C3145" s="10" t="s">
        <v>48</v>
      </c>
      <c r="D3145" s="10" t="s">
        <v>193</v>
      </c>
      <c r="E3145" s="10" t="s">
        <v>2345</v>
      </c>
      <c r="F3145" s="30" t="n">
        <v>42940</v>
      </c>
      <c r="G3145" s="30" t="n">
        <v>42941</v>
      </c>
      <c r="H3145" s="26" t="n">
        <f aca="false">G3145-F3145</f>
        <v>1</v>
      </c>
      <c r="I3145" s="10" t="n">
        <f aca="false">IF(E3145="Won",1,0)</f>
        <v>0</v>
      </c>
    </row>
    <row r="3146" customFormat="false" ht="15" hidden="false" customHeight="false" outlineLevel="0" collapsed="false">
      <c r="A3146" s="10" t="s">
        <v>5487</v>
      </c>
      <c r="B3146" s="10" t="s">
        <v>61</v>
      </c>
      <c r="C3146" s="10" t="s">
        <v>52</v>
      </c>
      <c r="D3146" s="10" t="s">
        <v>453</v>
      </c>
      <c r="E3146" s="10" t="s">
        <v>2342</v>
      </c>
      <c r="F3146" s="30" t="n">
        <v>42933</v>
      </c>
      <c r="G3146" s="30" t="n">
        <v>42941</v>
      </c>
      <c r="H3146" s="26" t="n">
        <f aca="false">G3146-F3146</f>
        <v>8</v>
      </c>
      <c r="I3146" s="10" t="n">
        <f aca="false">IF(E3146="Won",1,0)</f>
        <v>1</v>
      </c>
    </row>
    <row r="3147" customFormat="false" ht="15" hidden="false" customHeight="false" outlineLevel="0" collapsed="false">
      <c r="A3147" s="10" t="s">
        <v>5488</v>
      </c>
      <c r="B3147" s="10" t="s">
        <v>80</v>
      </c>
      <c r="C3147" s="10" t="s">
        <v>51</v>
      </c>
      <c r="D3147" s="10" t="s">
        <v>697</v>
      </c>
      <c r="E3147" s="10" t="s">
        <v>2345</v>
      </c>
      <c r="F3147" s="30" t="n">
        <v>42932</v>
      </c>
      <c r="G3147" s="30" t="n">
        <v>42941</v>
      </c>
      <c r="H3147" s="26" t="n">
        <f aca="false">G3147-F3147</f>
        <v>9</v>
      </c>
      <c r="I3147" s="10" t="n">
        <f aca="false">IF(E3147="Won",1,0)</f>
        <v>0</v>
      </c>
    </row>
    <row r="3148" customFormat="false" ht="15" hidden="false" customHeight="false" outlineLevel="0" collapsed="false">
      <c r="A3148" s="10" t="s">
        <v>5489</v>
      </c>
      <c r="B3148" s="10" t="s">
        <v>77</v>
      </c>
      <c r="C3148" s="10" t="s">
        <v>47</v>
      </c>
      <c r="D3148" s="10" t="s">
        <v>597</v>
      </c>
      <c r="E3148" s="10" t="s">
        <v>2345</v>
      </c>
      <c r="F3148" s="30" t="n">
        <v>42930</v>
      </c>
      <c r="G3148" s="30" t="n">
        <v>42941</v>
      </c>
      <c r="H3148" s="26" t="n">
        <f aca="false">G3148-F3148</f>
        <v>11</v>
      </c>
      <c r="I3148" s="10" t="n">
        <f aca="false">IF(E3148="Won",1,0)</f>
        <v>0</v>
      </c>
    </row>
    <row r="3149" customFormat="false" ht="15" hidden="false" customHeight="false" outlineLevel="0" collapsed="false">
      <c r="A3149" s="10" t="s">
        <v>5490</v>
      </c>
      <c r="B3149" s="10" t="s">
        <v>83</v>
      </c>
      <c r="C3149" s="10" t="s">
        <v>50</v>
      </c>
      <c r="D3149" s="10" t="s">
        <v>410</v>
      </c>
      <c r="E3149" s="10" t="s">
        <v>2345</v>
      </c>
      <c r="F3149" s="30" t="n">
        <v>42939</v>
      </c>
      <c r="G3149" s="30" t="n">
        <v>42941</v>
      </c>
      <c r="H3149" s="26" t="n">
        <f aca="false">G3149-F3149</f>
        <v>2</v>
      </c>
      <c r="I3149" s="10" t="n">
        <f aca="false">IF(E3149="Won",1,0)</f>
        <v>0</v>
      </c>
    </row>
    <row r="3150" customFormat="false" ht="15" hidden="false" customHeight="false" outlineLevel="0" collapsed="false">
      <c r="A3150" s="10" t="s">
        <v>5491</v>
      </c>
      <c r="B3150" s="10" t="s">
        <v>67</v>
      </c>
      <c r="C3150" s="10" t="s">
        <v>49</v>
      </c>
      <c r="D3150" s="10" t="s">
        <v>348</v>
      </c>
      <c r="E3150" s="10" t="s">
        <v>2345</v>
      </c>
      <c r="F3150" s="30" t="n">
        <v>42928</v>
      </c>
      <c r="G3150" s="30" t="n">
        <v>42941</v>
      </c>
      <c r="H3150" s="26" t="n">
        <f aca="false">G3150-F3150</f>
        <v>13</v>
      </c>
      <c r="I3150" s="10" t="n">
        <f aca="false">IF(E3150="Won",1,0)</f>
        <v>0</v>
      </c>
    </row>
    <row r="3151" customFormat="false" ht="15" hidden="false" customHeight="false" outlineLevel="0" collapsed="false">
      <c r="A3151" s="10" t="s">
        <v>5492</v>
      </c>
      <c r="B3151" s="10" t="s">
        <v>93</v>
      </c>
      <c r="C3151" s="10" t="s">
        <v>47</v>
      </c>
      <c r="D3151" s="10" t="s">
        <v>337</v>
      </c>
      <c r="E3151" s="10" t="s">
        <v>2342</v>
      </c>
      <c r="F3151" s="30" t="n">
        <v>42939</v>
      </c>
      <c r="G3151" s="30" t="n">
        <v>42941</v>
      </c>
      <c r="H3151" s="26" t="n">
        <f aca="false">G3151-F3151</f>
        <v>2</v>
      </c>
      <c r="I3151" s="10" t="n">
        <f aca="false">IF(E3151="Won",1,0)</f>
        <v>1</v>
      </c>
    </row>
    <row r="3152" customFormat="false" ht="15" hidden="false" customHeight="false" outlineLevel="0" collapsed="false">
      <c r="A3152" s="10" t="s">
        <v>5493</v>
      </c>
      <c r="B3152" s="10" t="s">
        <v>70</v>
      </c>
      <c r="C3152" s="10" t="s">
        <v>52</v>
      </c>
      <c r="D3152" s="10" t="s">
        <v>286</v>
      </c>
      <c r="E3152" s="10" t="s">
        <v>2345</v>
      </c>
      <c r="F3152" s="30" t="n">
        <v>42934</v>
      </c>
      <c r="G3152" s="30" t="n">
        <v>42941</v>
      </c>
      <c r="H3152" s="26" t="n">
        <f aca="false">G3152-F3152</f>
        <v>7</v>
      </c>
      <c r="I3152" s="10" t="n">
        <f aca="false">IF(E3152="Won",1,0)</f>
        <v>0</v>
      </c>
    </row>
    <row r="3153" customFormat="false" ht="15" hidden="false" customHeight="false" outlineLevel="0" collapsed="false">
      <c r="A3153" s="10" t="s">
        <v>5494</v>
      </c>
      <c r="B3153" s="10" t="s">
        <v>97</v>
      </c>
      <c r="C3153" s="10" t="s">
        <v>48</v>
      </c>
      <c r="D3153" s="10" t="s">
        <v>396</v>
      </c>
      <c r="E3153" s="10" t="s">
        <v>2345</v>
      </c>
      <c r="F3153" s="30" t="n">
        <v>42934</v>
      </c>
      <c r="G3153" s="30" t="n">
        <v>42941</v>
      </c>
      <c r="H3153" s="26" t="n">
        <f aca="false">G3153-F3153</f>
        <v>7</v>
      </c>
      <c r="I3153" s="10" t="n">
        <f aca="false">IF(E3153="Won",1,0)</f>
        <v>0</v>
      </c>
    </row>
    <row r="3154" customFormat="false" ht="15" hidden="false" customHeight="false" outlineLevel="0" collapsed="false">
      <c r="A3154" s="10" t="s">
        <v>5495</v>
      </c>
      <c r="B3154" s="10" t="s">
        <v>71</v>
      </c>
      <c r="C3154" s="10" t="s">
        <v>52</v>
      </c>
      <c r="D3154" s="10" t="s">
        <v>267</v>
      </c>
      <c r="E3154" s="10" t="s">
        <v>2342</v>
      </c>
      <c r="F3154" s="30" t="n">
        <v>42932</v>
      </c>
      <c r="G3154" s="30" t="n">
        <v>42941</v>
      </c>
      <c r="H3154" s="26" t="n">
        <f aca="false">G3154-F3154</f>
        <v>9</v>
      </c>
      <c r="I3154" s="10" t="n">
        <f aca="false">IF(E3154="Won",1,0)</f>
        <v>1</v>
      </c>
    </row>
    <row r="3155" customFormat="false" ht="15" hidden="false" customHeight="false" outlineLevel="0" collapsed="false">
      <c r="A3155" s="10" t="s">
        <v>5496</v>
      </c>
      <c r="B3155" s="10" t="s">
        <v>76</v>
      </c>
      <c r="C3155" s="10" t="s">
        <v>52</v>
      </c>
      <c r="D3155" s="10" t="s">
        <v>660</v>
      </c>
      <c r="E3155" s="10" t="s">
        <v>2342</v>
      </c>
      <c r="F3155" s="30" t="n">
        <v>42935</v>
      </c>
      <c r="G3155" s="30" t="n">
        <v>42941</v>
      </c>
      <c r="H3155" s="26" t="n">
        <f aca="false">G3155-F3155</f>
        <v>6</v>
      </c>
      <c r="I3155" s="10" t="n">
        <f aca="false">IF(E3155="Won",1,0)</f>
        <v>1</v>
      </c>
    </row>
    <row r="3156" customFormat="false" ht="15" hidden="false" customHeight="false" outlineLevel="0" collapsed="false">
      <c r="A3156" s="10" t="s">
        <v>5497</v>
      </c>
      <c r="B3156" s="10" t="s">
        <v>96</v>
      </c>
      <c r="C3156" s="10" t="s">
        <v>48</v>
      </c>
      <c r="D3156" s="10" t="s">
        <v>227</v>
      </c>
      <c r="E3156" s="10" t="s">
        <v>2342</v>
      </c>
      <c r="F3156" s="30" t="n">
        <v>42933</v>
      </c>
      <c r="G3156" s="30" t="n">
        <v>42941</v>
      </c>
      <c r="H3156" s="26" t="n">
        <f aca="false">G3156-F3156</f>
        <v>8</v>
      </c>
      <c r="I3156" s="10" t="n">
        <f aca="false">IF(E3156="Won",1,0)</f>
        <v>1</v>
      </c>
    </row>
    <row r="3157" customFormat="false" ht="15" hidden="false" customHeight="false" outlineLevel="0" collapsed="false">
      <c r="A3157" s="10" t="s">
        <v>5498</v>
      </c>
      <c r="B3157" s="10" t="s">
        <v>57</v>
      </c>
      <c r="C3157" s="10" t="s">
        <v>51</v>
      </c>
      <c r="D3157" s="10" t="s">
        <v>637</v>
      </c>
      <c r="E3157" s="10" t="s">
        <v>2342</v>
      </c>
      <c r="F3157" s="30" t="n">
        <v>42939</v>
      </c>
      <c r="G3157" s="30" t="n">
        <v>42941</v>
      </c>
      <c r="H3157" s="26" t="n">
        <f aca="false">G3157-F3157</f>
        <v>2</v>
      </c>
      <c r="I3157" s="10" t="n">
        <f aca="false">IF(E3157="Won",1,0)</f>
        <v>1</v>
      </c>
    </row>
    <row r="3158" customFormat="false" ht="15" hidden="false" customHeight="false" outlineLevel="0" collapsed="false">
      <c r="A3158" s="10" t="s">
        <v>5499</v>
      </c>
      <c r="B3158" s="10" t="s">
        <v>61</v>
      </c>
      <c r="C3158" s="10" t="s">
        <v>52</v>
      </c>
      <c r="D3158" s="10" t="s">
        <v>218</v>
      </c>
      <c r="E3158" s="10" t="s">
        <v>2342</v>
      </c>
      <c r="F3158" s="30" t="n">
        <v>42940</v>
      </c>
      <c r="G3158" s="30" t="n">
        <v>42941</v>
      </c>
      <c r="H3158" s="26" t="n">
        <f aca="false">G3158-F3158</f>
        <v>1</v>
      </c>
      <c r="I3158" s="10" t="n">
        <f aca="false">IF(E3158="Won",1,0)</f>
        <v>1</v>
      </c>
    </row>
    <row r="3159" customFormat="false" ht="15" hidden="false" customHeight="false" outlineLevel="0" collapsed="false">
      <c r="A3159" s="10" t="s">
        <v>5500</v>
      </c>
      <c r="B3159" s="10" t="s">
        <v>63</v>
      </c>
      <c r="C3159" s="10" t="s">
        <v>52</v>
      </c>
      <c r="D3159" s="10" t="s">
        <v>637</v>
      </c>
      <c r="E3159" s="10" t="s">
        <v>2342</v>
      </c>
      <c r="F3159" s="30" t="n">
        <v>42932</v>
      </c>
      <c r="G3159" s="30" t="n">
        <v>42941</v>
      </c>
      <c r="H3159" s="26" t="n">
        <f aca="false">G3159-F3159</f>
        <v>9</v>
      </c>
      <c r="I3159" s="10" t="n">
        <f aca="false">IF(E3159="Won",1,0)</f>
        <v>1</v>
      </c>
    </row>
    <row r="3160" customFormat="false" ht="15" hidden="false" customHeight="false" outlineLevel="0" collapsed="false">
      <c r="A3160" s="10" t="s">
        <v>5501</v>
      </c>
      <c r="B3160" s="10" t="s">
        <v>93</v>
      </c>
      <c r="C3160" s="10" t="s">
        <v>50</v>
      </c>
      <c r="D3160" s="10" t="s">
        <v>606</v>
      </c>
      <c r="E3160" s="10" t="s">
        <v>2345</v>
      </c>
      <c r="F3160" s="30" t="n">
        <v>42928</v>
      </c>
      <c r="G3160" s="30" t="n">
        <v>42941</v>
      </c>
      <c r="H3160" s="26" t="n">
        <f aca="false">G3160-F3160</f>
        <v>13</v>
      </c>
      <c r="I3160" s="10" t="n">
        <f aca="false">IF(E3160="Won",1,0)</f>
        <v>0</v>
      </c>
    </row>
    <row r="3161" customFormat="false" ht="15" hidden="false" customHeight="false" outlineLevel="0" collapsed="false">
      <c r="A3161" s="10" t="s">
        <v>5502</v>
      </c>
      <c r="B3161" s="10" t="s">
        <v>88</v>
      </c>
      <c r="C3161" s="10" t="s">
        <v>49</v>
      </c>
      <c r="D3161" s="10" t="s">
        <v>210</v>
      </c>
      <c r="E3161" s="10" t="s">
        <v>2342</v>
      </c>
      <c r="F3161" s="30" t="n">
        <v>42931</v>
      </c>
      <c r="G3161" s="30" t="n">
        <v>42941</v>
      </c>
      <c r="H3161" s="26" t="n">
        <f aca="false">G3161-F3161</f>
        <v>10</v>
      </c>
      <c r="I3161" s="10" t="n">
        <f aca="false">IF(E3161="Won",1,0)</f>
        <v>1</v>
      </c>
    </row>
    <row r="3162" customFormat="false" ht="15" hidden="false" customHeight="false" outlineLevel="0" collapsed="false">
      <c r="A3162" s="10" t="s">
        <v>5503</v>
      </c>
      <c r="B3162" s="10" t="s">
        <v>66</v>
      </c>
      <c r="C3162" s="10" t="s">
        <v>52</v>
      </c>
      <c r="D3162" s="10" t="s">
        <v>299</v>
      </c>
      <c r="E3162" s="10" t="s">
        <v>2342</v>
      </c>
      <c r="F3162" s="30" t="n">
        <v>42939</v>
      </c>
      <c r="G3162" s="30" t="n">
        <v>42941</v>
      </c>
      <c r="H3162" s="26" t="n">
        <f aca="false">G3162-F3162</f>
        <v>2</v>
      </c>
      <c r="I3162" s="10" t="n">
        <f aca="false">IF(E3162="Won",1,0)</f>
        <v>1</v>
      </c>
    </row>
    <row r="3163" customFormat="false" ht="15" hidden="false" customHeight="false" outlineLevel="0" collapsed="false">
      <c r="A3163" s="10" t="s">
        <v>5504</v>
      </c>
      <c r="B3163" s="10" t="s">
        <v>81</v>
      </c>
      <c r="C3163" s="10" t="s">
        <v>50</v>
      </c>
      <c r="D3163" s="10" t="s">
        <v>512</v>
      </c>
      <c r="E3163" s="10" t="s">
        <v>2345</v>
      </c>
      <c r="F3163" s="30" t="n">
        <v>42939</v>
      </c>
      <c r="G3163" s="30" t="n">
        <v>42941</v>
      </c>
      <c r="H3163" s="26" t="n">
        <f aca="false">G3163-F3163</f>
        <v>2</v>
      </c>
      <c r="I3163" s="10" t="n">
        <f aca="false">IF(E3163="Won",1,0)</f>
        <v>0</v>
      </c>
    </row>
    <row r="3164" customFormat="false" ht="15" hidden="false" customHeight="false" outlineLevel="0" collapsed="false">
      <c r="A3164" s="10" t="s">
        <v>5505</v>
      </c>
      <c r="B3164" s="10" t="s">
        <v>97</v>
      </c>
      <c r="C3164" s="10" t="s">
        <v>52</v>
      </c>
      <c r="D3164" s="10" t="s">
        <v>437</v>
      </c>
      <c r="E3164" s="10" t="s">
        <v>2342</v>
      </c>
      <c r="F3164" s="30" t="n">
        <v>42930</v>
      </c>
      <c r="G3164" s="30" t="n">
        <v>42941</v>
      </c>
      <c r="H3164" s="26" t="n">
        <f aca="false">G3164-F3164</f>
        <v>11</v>
      </c>
      <c r="I3164" s="10" t="n">
        <f aca="false">IF(E3164="Won",1,0)</f>
        <v>1</v>
      </c>
    </row>
    <row r="3165" customFormat="false" ht="15" hidden="false" customHeight="false" outlineLevel="0" collapsed="false">
      <c r="A3165" s="10" t="s">
        <v>5506</v>
      </c>
      <c r="B3165" s="10" t="s">
        <v>71</v>
      </c>
      <c r="C3165" s="10" t="s">
        <v>52</v>
      </c>
      <c r="D3165" s="10" t="s">
        <v>947</v>
      </c>
      <c r="E3165" s="10" t="s">
        <v>2342</v>
      </c>
      <c r="F3165" s="30" t="n">
        <v>42935</v>
      </c>
      <c r="G3165" s="30" t="n">
        <v>42941</v>
      </c>
      <c r="H3165" s="26" t="n">
        <f aca="false">G3165-F3165</f>
        <v>6</v>
      </c>
      <c r="I3165" s="10" t="n">
        <f aca="false">IF(E3165="Won",1,0)</f>
        <v>1</v>
      </c>
    </row>
    <row r="3166" customFormat="false" ht="15" hidden="false" customHeight="false" outlineLevel="0" collapsed="false">
      <c r="A3166" s="10" t="s">
        <v>5507</v>
      </c>
      <c r="B3166" s="10" t="s">
        <v>81</v>
      </c>
      <c r="C3166" s="10" t="s">
        <v>50</v>
      </c>
      <c r="D3166" s="10" t="s">
        <v>179</v>
      </c>
      <c r="E3166" s="10" t="s">
        <v>2342</v>
      </c>
      <c r="F3166" s="30" t="n">
        <v>42940</v>
      </c>
      <c r="G3166" s="30" t="n">
        <v>42941</v>
      </c>
      <c r="H3166" s="26" t="n">
        <f aca="false">G3166-F3166</f>
        <v>1</v>
      </c>
      <c r="I3166" s="10" t="n">
        <f aca="false">IF(E3166="Won",1,0)</f>
        <v>1</v>
      </c>
    </row>
    <row r="3167" customFormat="false" ht="15" hidden="false" customHeight="false" outlineLevel="0" collapsed="false">
      <c r="A3167" s="10" t="s">
        <v>5508</v>
      </c>
      <c r="B3167" s="10" t="s">
        <v>75</v>
      </c>
      <c r="C3167" s="10" t="s">
        <v>52</v>
      </c>
      <c r="D3167" s="10" t="s">
        <v>291</v>
      </c>
      <c r="E3167" s="10" t="s">
        <v>2342</v>
      </c>
      <c r="F3167" s="30" t="n">
        <v>42940</v>
      </c>
      <c r="G3167" s="30" t="n">
        <v>42941</v>
      </c>
      <c r="H3167" s="26" t="n">
        <f aca="false">G3167-F3167</f>
        <v>1</v>
      </c>
      <c r="I3167" s="10" t="n">
        <f aca="false">IF(E3167="Won",1,0)</f>
        <v>1</v>
      </c>
    </row>
    <row r="3168" customFormat="false" ht="15" hidden="false" customHeight="false" outlineLevel="0" collapsed="false">
      <c r="A3168" s="10" t="s">
        <v>5509</v>
      </c>
      <c r="B3168" s="10" t="s">
        <v>93</v>
      </c>
      <c r="C3168" s="10" t="s">
        <v>48</v>
      </c>
      <c r="D3168" s="10" t="s">
        <v>199</v>
      </c>
      <c r="E3168" s="10" t="s">
        <v>2345</v>
      </c>
      <c r="F3168" s="30" t="n">
        <v>42930</v>
      </c>
      <c r="G3168" s="30" t="n">
        <v>42941</v>
      </c>
      <c r="H3168" s="26" t="n">
        <f aca="false">G3168-F3168</f>
        <v>11</v>
      </c>
      <c r="I3168" s="10" t="n">
        <f aca="false">IF(E3168="Won",1,0)</f>
        <v>0</v>
      </c>
    </row>
    <row r="3169" customFormat="false" ht="15" hidden="false" customHeight="false" outlineLevel="0" collapsed="false">
      <c r="A3169" s="10" t="s">
        <v>5510</v>
      </c>
      <c r="B3169" s="10" t="s">
        <v>61</v>
      </c>
      <c r="C3169" s="10" t="s">
        <v>51</v>
      </c>
      <c r="D3169" s="10" t="s">
        <v>233</v>
      </c>
      <c r="E3169" s="10" t="s">
        <v>2345</v>
      </c>
      <c r="F3169" s="30" t="n">
        <v>42934</v>
      </c>
      <c r="G3169" s="30" t="n">
        <v>42942</v>
      </c>
      <c r="H3169" s="26" t="n">
        <f aca="false">G3169-F3169</f>
        <v>8</v>
      </c>
      <c r="I3169" s="10" t="n">
        <f aca="false">IF(E3169="Won",1,0)</f>
        <v>0</v>
      </c>
    </row>
    <row r="3170" customFormat="false" ht="15" hidden="false" customHeight="false" outlineLevel="0" collapsed="false">
      <c r="A3170" s="10" t="s">
        <v>5511</v>
      </c>
      <c r="B3170" s="10" t="s">
        <v>71</v>
      </c>
      <c r="C3170" s="10" t="s">
        <v>51</v>
      </c>
      <c r="D3170" s="10" t="s">
        <v>947</v>
      </c>
      <c r="E3170" s="10" t="s">
        <v>2345</v>
      </c>
      <c r="F3170" s="30" t="n">
        <v>42933</v>
      </c>
      <c r="G3170" s="30" t="n">
        <v>42942</v>
      </c>
      <c r="H3170" s="26" t="n">
        <f aca="false">G3170-F3170</f>
        <v>9</v>
      </c>
      <c r="I3170" s="10" t="n">
        <f aca="false">IF(E3170="Won",1,0)</f>
        <v>0</v>
      </c>
    </row>
    <row r="3171" customFormat="false" ht="15" hidden="false" customHeight="false" outlineLevel="0" collapsed="false">
      <c r="A3171" s="10" t="s">
        <v>5512</v>
      </c>
      <c r="B3171" s="10" t="s">
        <v>81</v>
      </c>
      <c r="C3171" s="10" t="s">
        <v>52</v>
      </c>
      <c r="D3171" s="10" t="s">
        <v>267</v>
      </c>
      <c r="E3171" s="10" t="s">
        <v>2342</v>
      </c>
      <c r="F3171" s="30" t="n">
        <v>42933</v>
      </c>
      <c r="G3171" s="30" t="n">
        <v>42942</v>
      </c>
      <c r="H3171" s="26" t="n">
        <f aca="false">G3171-F3171</f>
        <v>9</v>
      </c>
      <c r="I3171" s="10" t="n">
        <f aca="false">IF(E3171="Won",1,0)</f>
        <v>1</v>
      </c>
    </row>
    <row r="3172" customFormat="false" ht="15" hidden="false" customHeight="false" outlineLevel="0" collapsed="false">
      <c r="A3172" s="10" t="s">
        <v>5513</v>
      </c>
      <c r="B3172" s="10" t="s">
        <v>81</v>
      </c>
      <c r="C3172" s="10" t="s">
        <v>47</v>
      </c>
      <c r="D3172" s="10" t="s">
        <v>762</v>
      </c>
      <c r="E3172" s="10" t="s">
        <v>2342</v>
      </c>
      <c r="F3172" s="30" t="n">
        <v>42934</v>
      </c>
      <c r="G3172" s="30" t="n">
        <v>42942</v>
      </c>
      <c r="H3172" s="26" t="n">
        <f aca="false">G3172-F3172</f>
        <v>8</v>
      </c>
      <c r="I3172" s="10" t="n">
        <f aca="false">IF(E3172="Won",1,0)</f>
        <v>1</v>
      </c>
    </row>
    <row r="3173" customFormat="false" ht="15" hidden="false" customHeight="false" outlineLevel="0" collapsed="false">
      <c r="A3173" s="10" t="s">
        <v>5514</v>
      </c>
      <c r="B3173" s="10" t="s">
        <v>95</v>
      </c>
      <c r="C3173" s="10" t="s">
        <v>47</v>
      </c>
      <c r="D3173" s="10" t="s">
        <v>168</v>
      </c>
      <c r="E3173" s="10" t="s">
        <v>2342</v>
      </c>
      <c r="F3173" s="30" t="n">
        <v>42932</v>
      </c>
      <c r="G3173" s="30" t="n">
        <v>42942</v>
      </c>
      <c r="H3173" s="26" t="n">
        <f aca="false">G3173-F3173</f>
        <v>10</v>
      </c>
      <c r="I3173" s="10" t="n">
        <f aca="false">IF(E3173="Won",1,0)</f>
        <v>1</v>
      </c>
    </row>
    <row r="3174" customFormat="false" ht="15" hidden="false" customHeight="false" outlineLevel="0" collapsed="false">
      <c r="A3174" s="10" t="s">
        <v>5515</v>
      </c>
      <c r="B3174" s="10" t="s">
        <v>95</v>
      </c>
      <c r="C3174" s="10" t="s">
        <v>49</v>
      </c>
      <c r="D3174" s="10" t="s">
        <v>233</v>
      </c>
      <c r="E3174" s="10" t="s">
        <v>2342</v>
      </c>
      <c r="F3174" s="30" t="n">
        <v>42933</v>
      </c>
      <c r="G3174" s="30" t="n">
        <v>42942</v>
      </c>
      <c r="H3174" s="26" t="n">
        <f aca="false">G3174-F3174</f>
        <v>9</v>
      </c>
      <c r="I3174" s="10" t="n">
        <f aca="false">IF(E3174="Won",1,0)</f>
        <v>1</v>
      </c>
    </row>
    <row r="3175" customFormat="false" ht="15" hidden="false" customHeight="false" outlineLevel="0" collapsed="false">
      <c r="A3175" s="10" t="s">
        <v>5516</v>
      </c>
      <c r="B3175" s="10" t="s">
        <v>77</v>
      </c>
      <c r="C3175" s="10" t="s">
        <v>50</v>
      </c>
      <c r="D3175" s="10" t="s">
        <v>869</v>
      </c>
      <c r="E3175" s="10" t="s">
        <v>2342</v>
      </c>
      <c r="F3175" s="30" t="n">
        <v>42930</v>
      </c>
      <c r="G3175" s="30" t="n">
        <v>42942</v>
      </c>
      <c r="H3175" s="26" t="n">
        <f aca="false">G3175-F3175</f>
        <v>12</v>
      </c>
      <c r="I3175" s="10" t="n">
        <f aca="false">IF(E3175="Won",1,0)</f>
        <v>1</v>
      </c>
    </row>
    <row r="3176" customFormat="false" ht="15" hidden="false" customHeight="false" outlineLevel="0" collapsed="false">
      <c r="A3176" s="10" t="s">
        <v>5517</v>
      </c>
      <c r="B3176" s="10" t="s">
        <v>62</v>
      </c>
      <c r="C3176" s="10" t="s">
        <v>51</v>
      </c>
      <c r="D3176" s="10" t="s">
        <v>378</v>
      </c>
      <c r="E3176" s="10" t="s">
        <v>2342</v>
      </c>
      <c r="F3176" s="30" t="n">
        <v>42941</v>
      </c>
      <c r="G3176" s="30" t="n">
        <v>42942</v>
      </c>
      <c r="H3176" s="26" t="n">
        <f aca="false">G3176-F3176</f>
        <v>1</v>
      </c>
      <c r="I3176" s="10" t="n">
        <f aca="false">IF(E3176="Won",1,0)</f>
        <v>1</v>
      </c>
    </row>
    <row r="3177" customFormat="false" ht="15" hidden="false" customHeight="false" outlineLevel="0" collapsed="false">
      <c r="A3177" s="10" t="s">
        <v>5518</v>
      </c>
      <c r="B3177" s="10" t="s">
        <v>61</v>
      </c>
      <c r="C3177" s="10" t="s">
        <v>48</v>
      </c>
      <c r="D3177" s="10" t="s">
        <v>532</v>
      </c>
      <c r="E3177" s="10" t="s">
        <v>2345</v>
      </c>
      <c r="F3177" s="30" t="n">
        <v>42940</v>
      </c>
      <c r="G3177" s="30" t="n">
        <v>42942</v>
      </c>
      <c r="H3177" s="26" t="n">
        <f aca="false">G3177-F3177</f>
        <v>2</v>
      </c>
      <c r="I3177" s="10" t="n">
        <f aca="false">IF(E3177="Won",1,0)</f>
        <v>0</v>
      </c>
    </row>
    <row r="3178" customFormat="false" ht="15" hidden="false" customHeight="false" outlineLevel="0" collapsed="false">
      <c r="A3178" s="10" t="s">
        <v>5519</v>
      </c>
      <c r="B3178" s="10" t="s">
        <v>95</v>
      </c>
      <c r="C3178" s="10" t="s">
        <v>48</v>
      </c>
      <c r="D3178" s="10" t="s">
        <v>175</v>
      </c>
      <c r="E3178" s="10" t="s">
        <v>2342</v>
      </c>
      <c r="F3178" s="30" t="n">
        <v>42936</v>
      </c>
      <c r="G3178" s="30" t="n">
        <v>42942</v>
      </c>
      <c r="H3178" s="26" t="n">
        <f aca="false">G3178-F3178</f>
        <v>6</v>
      </c>
      <c r="I3178" s="10" t="n">
        <f aca="false">IF(E3178="Won",1,0)</f>
        <v>1</v>
      </c>
    </row>
    <row r="3179" customFormat="false" ht="15" hidden="false" customHeight="false" outlineLevel="0" collapsed="false">
      <c r="A3179" s="10" t="s">
        <v>5520</v>
      </c>
      <c r="B3179" s="10" t="s">
        <v>84</v>
      </c>
      <c r="C3179" s="10" t="s">
        <v>49</v>
      </c>
      <c r="D3179" s="10" t="s">
        <v>453</v>
      </c>
      <c r="E3179" s="10" t="s">
        <v>2345</v>
      </c>
      <c r="F3179" s="30" t="n">
        <v>42930</v>
      </c>
      <c r="G3179" s="30" t="n">
        <v>42942</v>
      </c>
      <c r="H3179" s="26" t="n">
        <f aca="false">G3179-F3179</f>
        <v>12</v>
      </c>
      <c r="I3179" s="10" t="n">
        <f aca="false">IF(E3179="Won",1,0)</f>
        <v>0</v>
      </c>
    </row>
    <row r="3180" customFormat="false" ht="15" hidden="false" customHeight="false" outlineLevel="0" collapsed="false">
      <c r="A3180" s="10" t="s">
        <v>5521</v>
      </c>
      <c r="B3180" s="10" t="s">
        <v>97</v>
      </c>
      <c r="C3180" s="10" t="s">
        <v>50</v>
      </c>
      <c r="D3180" s="10" t="s">
        <v>170</v>
      </c>
      <c r="E3180" s="10" t="s">
        <v>2345</v>
      </c>
      <c r="F3180" s="30" t="n">
        <v>42933</v>
      </c>
      <c r="G3180" s="30" t="n">
        <v>42942</v>
      </c>
      <c r="H3180" s="26" t="n">
        <f aca="false">G3180-F3180</f>
        <v>9</v>
      </c>
      <c r="I3180" s="10" t="n">
        <f aca="false">IF(E3180="Won",1,0)</f>
        <v>0</v>
      </c>
    </row>
    <row r="3181" customFormat="false" ht="15" hidden="false" customHeight="false" outlineLevel="0" collapsed="false">
      <c r="A3181" s="10" t="s">
        <v>5522</v>
      </c>
      <c r="B3181" s="10" t="s">
        <v>80</v>
      </c>
      <c r="C3181" s="10" t="s">
        <v>51</v>
      </c>
      <c r="D3181" s="10" t="s">
        <v>414</v>
      </c>
      <c r="E3181" s="10" t="s">
        <v>2342</v>
      </c>
      <c r="F3181" s="30" t="n">
        <v>42933</v>
      </c>
      <c r="G3181" s="30" t="n">
        <v>42942</v>
      </c>
      <c r="H3181" s="26" t="n">
        <f aca="false">G3181-F3181</f>
        <v>9</v>
      </c>
      <c r="I3181" s="10" t="n">
        <f aca="false">IF(E3181="Won",1,0)</f>
        <v>1</v>
      </c>
    </row>
    <row r="3182" customFormat="false" ht="15" hidden="false" customHeight="false" outlineLevel="0" collapsed="false">
      <c r="A3182" s="10" t="s">
        <v>5523</v>
      </c>
      <c r="B3182" s="10" t="s">
        <v>88</v>
      </c>
      <c r="C3182" s="10" t="s">
        <v>48</v>
      </c>
      <c r="D3182" s="10" t="s">
        <v>185</v>
      </c>
      <c r="E3182" s="10" t="s">
        <v>2342</v>
      </c>
      <c r="F3182" s="30" t="n">
        <v>42940</v>
      </c>
      <c r="G3182" s="30" t="n">
        <v>42942</v>
      </c>
      <c r="H3182" s="26" t="n">
        <f aca="false">G3182-F3182</f>
        <v>2</v>
      </c>
      <c r="I3182" s="10" t="n">
        <f aca="false">IF(E3182="Won",1,0)</f>
        <v>1</v>
      </c>
    </row>
    <row r="3183" customFormat="false" ht="15" hidden="false" customHeight="false" outlineLevel="0" collapsed="false">
      <c r="A3183" s="10" t="s">
        <v>5524</v>
      </c>
      <c r="B3183" s="10" t="s">
        <v>77</v>
      </c>
      <c r="C3183" s="10" t="s">
        <v>48</v>
      </c>
      <c r="D3183" s="10" t="s">
        <v>279</v>
      </c>
      <c r="E3183" s="10" t="s">
        <v>2342</v>
      </c>
      <c r="F3183" s="30" t="n">
        <v>42935</v>
      </c>
      <c r="G3183" s="30" t="n">
        <v>42942</v>
      </c>
      <c r="H3183" s="26" t="n">
        <f aca="false">G3183-F3183</f>
        <v>7</v>
      </c>
      <c r="I3183" s="10" t="n">
        <f aca="false">IF(E3183="Won",1,0)</f>
        <v>1</v>
      </c>
    </row>
    <row r="3184" customFormat="false" ht="15" hidden="false" customHeight="false" outlineLevel="0" collapsed="false">
      <c r="A3184" s="10" t="s">
        <v>5525</v>
      </c>
      <c r="B3184" s="10" t="s">
        <v>70</v>
      </c>
      <c r="C3184" s="10" t="s">
        <v>51</v>
      </c>
      <c r="D3184" s="10" t="s">
        <v>384</v>
      </c>
      <c r="E3184" s="10" t="s">
        <v>2345</v>
      </c>
      <c r="F3184" s="30" t="n">
        <v>42931</v>
      </c>
      <c r="G3184" s="30" t="n">
        <v>42942</v>
      </c>
      <c r="H3184" s="26" t="n">
        <f aca="false">G3184-F3184</f>
        <v>11</v>
      </c>
      <c r="I3184" s="10" t="n">
        <f aca="false">IF(E3184="Won",1,0)</f>
        <v>0</v>
      </c>
    </row>
    <row r="3185" customFormat="false" ht="15" hidden="false" customHeight="false" outlineLevel="0" collapsed="false">
      <c r="A3185" s="10" t="s">
        <v>5526</v>
      </c>
      <c r="B3185" s="10" t="s">
        <v>60</v>
      </c>
      <c r="C3185" s="10" t="s">
        <v>47</v>
      </c>
      <c r="D3185" s="10" t="s">
        <v>233</v>
      </c>
      <c r="E3185" s="10" t="s">
        <v>2342</v>
      </c>
      <c r="F3185" s="30" t="n">
        <v>42935</v>
      </c>
      <c r="G3185" s="30" t="n">
        <v>42942</v>
      </c>
      <c r="H3185" s="26" t="n">
        <f aca="false">G3185-F3185</f>
        <v>7</v>
      </c>
      <c r="I3185" s="10" t="n">
        <f aca="false">IF(E3185="Won",1,0)</f>
        <v>1</v>
      </c>
    </row>
    <row r="3186" customFormat="false" ht="15" hidden="false" customHeight="false" outlineLevel="0" collapsed="false">
      <c r="A3186" s="10" t="s">
        <v>5527</v>
      </c>
      <c r="B3186" s="10" t="s">
        <v>77</v>
      </c>
      <c r="C3186" s="10" t="s">
        <v>48</v>
      </c>
      <c r="D3186" s="10" t="s">
        <v>353</v>
      </c>
      <c r="E3186" s="10" t="s">
        <v>2342</v>
      </c>
      <c r="F3186" s="30" t="n">
        <v>42937</v>
      </c>
      <c r="G3186" s="30" t="n">
        <v>42942</v>
      </c>
      <c r="H3186" s="26" t="n">
        <f aca="false">G3186-F3186</f>
        <v>5</v>
      </c>
      <c r="I3186" s="10" t="n">
        <f aca="false">IF(E3186="Won",1,0)</f>
        <v>1</v>
      </c>
    </row>
    <row r="3187" customFormat="false" ht="15" hidden="false" customHeight="false" outlineLevel="0" collapsed="false">
      <c r="A3187" s="10" t="s">
        <v>5528</v>
      </c>
      <c r="B3187" s="10" t="s">
        <v>57</v>
      </c>
      <c r="C3187" s="10" t="s">
        <v>51</v>
      </c>
      <c r="D3187" s="10" t="s">
        <v>218</v>
      </c>
      <c r="E3187" s="10" t="s">
        <v>2342</v>
      </c>
      <c r="F3187" s="30" t="n">
        <v>42940</v>
      </c>
      <c r="G3187" s="30" t="n">
        <v>42942</v>
      </c>
      <c r="H3187" s="26" t="n">
        <f aca="false">G3187-F3187</f>
        <v>2</v>
      </c>
      <c r="I3187" s="10" t="n">
        <f aca="false">IF(E3187="Won",1,0)</f>
        <v>1</v>
      </c>
    </row>
    <row r="3188" customFormat="false" ht="15" hidden="false" customHeight="false" outlineLevel="0" collapsed="false">
      <c r="A3188" s="10" t="s">
        <v>5529</v>
      </c>
      <c r="B3188" s="10" t="s">
        <v>77</v>
      </c>
      <c r="C3188" s="10" t="s">
        <v>52</v>
      </c>
      <c r="D3188" s="10" t="s">
        <v>1948</v>
      </c>
      <c r="E3188" s="10" t="s">
        <v>2345</v>
      </c>
      <c r="F3188" s="30" t="n">
        <v>42934</v>
      </c>
      <c r="G3188" s="30" t="n">
        <v>42942</v>
      </c>
      <c r="H3188" s="26" t="n">
        <f aca="false">G3188-F3188</f>
        <v>8</v>
      </c>
      <c r="I3188" s="10" t="n">
        <f aca="false">IF(E3188="Won",1,0)</f>
        <v>0</v>
      </c>
    </row>
    <row r="3189" customFormat="false" ht="15" hidden="false" customHeight="false" outlineLevel="0" collapsed="false">
      <c r="A3189" s="10" t="s">
        <v>5530</v>
      </c>
      <c r="B3189" s="10" t="s">
        <v>70</v>
      </c>
      <c r="C3189" s="10" t="s">
        <v>51</v>
      </c>
      <c r="D3189" s="10" t="s">
        <v>437</v>
      </c>
      <c r="E3189" s="10" t="s">
        <v>2345</v>
      </c>
      <c r="F3189" s="30" t="n">
        <v>42936</v>
      </c>
      <c r="G3189" s="30" t="n">
        <v>42943</v>
      </c>
      <c r="H3189" s="26" t="n">
        <f aca="false">G3189-F3189</f>
        <v>7</v>
      </c>
      <c r="I3189" s="10" t="n">
        <f aca="false">IF(E3189="Won",1,0)</f>
        <v>0</v>
      </c>
    </row>
    <row r="3190" customFormat="false" ht="15" hidden="false" customHeight="false" outlineLevel="0" collapsed="false">
      <c r="A3190" s="10" t="s">
        <v>5531</v>
      </c>
      <c r="B3190" s="10" t="s">
        <v>77</v>
      </c>
      <c r="C3190" s="10" t="s">
        <v>48</v>
      </c>
      <c r="D3190" s="10" t="s">
        <v>1251</v>
      </c>
      <c r="E3190" s="10" t="s">
        <v>2342</v>
      </c>
      <c r="F3190" s="30" t="n">
        <v>42942</v>
      </c>
      <c r="G3190" s="30" t="n">
        <v>42943</v>
      </c>
      <c r="H3190" s="26" t="n">
        <f aca="false">G3190-F3190</f>
        <v>1</v>
      </c>
      <c r="I3190" s="10" t="n">
        <f aca="false">IF(E3190="Won",1,0)</f>
        <v>1</v>
      </c>
    </row>
    <row r="3191" customFormat="false" ht="15" hidden="false" customHeight="false" outlineLevel="0" collapsed="false">
      <c r="A3191" s="10" t="s">
        <v>5532</v>
      </c>
      <c r="B3191" s="10" t="s">
        <v>73</v>
      </c>
      <c r="C3191" s="10" t="s">
        <v>52</v>
      </c>
      <c r="D3191" s="10" t="s">
        <v>512</v>
      </c>
      <c r="E3191" s="10" t="s">
        <v>2345</v>
      </c>
      <c r="F3191" s="30" t="n">
        <v>42941</v>
      </c>
      <c r="G3191" s="30" t="n">
        <v>42943</v>
      </c>
      <c r="H3191" s="26" t="n">
        <f aca="false">G3191-F3191</f>
        <v>2</v>
      </c>
      <c r="I3191" s="10" t="n">
        <f aca="false">IF(E3191="Won",1,0)</f>
        <v>0</v>
      </c>
    </row>
    <row r="3192" customFormat="false" ht="15" hidden="false" customHeight="false" outlineLevel="0" collapsed="false">
      <c r="A3192" s="10" t="s">
        <v>5533</v>
      </c>
      <c r="B3192" s="10" t="s">
        <v>86</v>
      </c>
      <c r="C3192" s="10" t="s">
        <v>52</v>
      </c>
      <c r="D3192" s="10" t="s">
        <v>1397</v>
      </c>
      <c r="E3192" s="10" t="s">
        <v>2345</v>
      </c>
      <c r="F3192" s="30" t="n">
        <v>42938</v>
      </c>
      <c r="G3192" s="30" t="n">
        <v>42943</v>
      </c>
      <c r="H3192" s="26" t="n">
        <f aca="false">G3192-F3192</f>
        <v>5</v>
      </c>
      <c r="I3192" s="10" t="n">
        <f aca="false">IF(E3192="Won",1,0)</f>
        <v>0</v>
      </c>
    </row>
    <row r="3193" customFormat="false" ht="15" hidden="false" customHeight="false" outlineLevel="0" collapsed="false">
      <c r="A3193" s="10" t="s">
        <v>5534</v>
      </c>
      <c r="B3193" s="10" t="s">
        <v>90</v>
      </c>
      <c r="C3193" s="10" t="s">
        <v>47</v>
      </c>
      <c r="D3193" s="10" t="s">
        <v>532</v>
      </c>
      <c r="E3193" s="10" t="s">
        <v>2345</v>
      </c>
      <c r="F3193" s="30" t="n">
        <v>42931</v>
      </c>
      <c r="G3193" s="30" t="n">
        <v>42943</v>
      </c>
      <c r="H3193" s="26" t="n">
        <f aca="false">G3193-F3193</f>
        <v>12</v>
      </c>
      <c r="I3193" s="10" t="n">
        <f aca="false">IF(E3193="Won",1,0)</f>
        <v>0</v>
      </c>
    </row>
    <row r="3194" customFormat="false" ht="15" hidden="false" customHeight="false" outlineLevel="0" collapsed="false">
      <c r="A3194" s="10" t="s">
        <v>5535</v>
      </c>
      <c r="B3194" s="10" t="s">
        <v>97</v>
      </c>
      <c r="C3194" s="10" t="s">
        <v>48</v>
      </c>
      <c r="D3194" s="10" t="s">
        <v>419</v>
      </c>
      <c r="E3194" s="10" t="s">
        <v>2345</v>
      </c>
      <c r="F3194" s="30" t="n">
        <v>42933</v>
      </c>
      <c r="G3194" s="30" t="n">
        <v>42943</v>
      </c>
      <c r="H3194" s="26" t="n">
        <f aca="false">G3194-F3194</f>
        <v>10</v>
      </c>
      <c r="I3194" s="10" t="n">
        <f aca="false">IF(E3194="Won",1,0)</f>
        <v>0</v>
      </c>
    </row>
    <row r="3195" customFormat="false" ht="15" hidden="false" customHeight="false" outlineLevel="0" collapsed="false">
      <c r="A3195" s="10" t="s">
        <v>5536</v>
      </c>
      <c r="B3195" s="10" t="s">
        <v>93</v>
      </c>
      <c r="C3195" s="10" t="s">
        <v>47</v>
      </c>
      <c r="D3195" s="10" t="s">
        <v>522</v>
      </c>
      <c r="E3195" s="10" t="s">
        <v>2342</v>
      </c>
      <c r="F3195" s="30" t="n">
        <v>42934</v>
      </c>
      <c r="G3195" s="30" t="n">
        <v>42943</v>
      </c>
      <c r="H3195" s="26" t="n">
        <f aca="false">G3195-F3195</f>
        <v>9</v>
      </c>
      <c r="I3195" s="10" t="n">
        <f aca="false">IF(E3195="Won",1,0)</f>
        <v>1</v>
      </c>
    </row>
    <row r="3196" customFormat="false" ht="15" hidden="false" customHeight="false" outlineLevel="0" collapsed="false">
      <c r="A3196" s="10" t="s">
        <v>5537</v>
      </c>
      <c r="B3196" s="10" t="s">
        <v>96</v>
      </c>
      <c r="C3196" s="10" t="s">
        <v>51</v>
      </c>
      <c r="D3196" s="10" t="s">
        <v>606</v>
      </c>
      <c r="E3196" s="10" t="s">
        <v>2342</v>
      </c>
      <c r="F3196" s="30" t="n">
        <v>42936</v>
      </c>
      <c r="G3196" s="30" t="n">
        <v>42943</v>
      </c>
      <c r="H3196" s="26" t="n">
        <f aca="false">G3196-F3196</f>
        <v>7</v>
      </c>
      <c r="I3196" s="10" t="n">
        <f aca="false">IF(E3196="Won",1,0)</f>
        <v>1</v>
      </c>
    </row>
    <row r="3197" customFormat="false" ht="15" hidden="false" customHeight="false" outlineLevel="0" collapsed="false">
      <c r="A3197" s="10" t="s">
        <v>5538</v>
      </c>
      <c r="B3197" s="10" t="s">
        <v>74</v>
      </c>
      <c r="C3197" s="10" t="s">
        <v>49</v>
      </c>
      <c r="D3197" s="10" t="s">
        <v>961</v>
      </c>
      <c r="E3197" s="10" t="s">
        <v>2342</v>
      </c>
      <c r="F3197" s="30" t="n">
        <v>42935</v>
      </c>
      <c r="G3197" s="30" t="n">
        <v>42943</v>
      </c>
      <c r="H3197" s="26" t="n">
        <f aca="false">G3197-F3197</f>
        <v>8</v>
      </c>
      <c r="I3197" s="10" t="n">
        <f aca="false">IF(E3197="Won",1,0)</f>
        <v>1</v>
      </c>
    </row>
    <row r="3198" customFormat="false" ht="15" hidden="false" customHeight="false" outlineLevel="0" collapsed="false">
      <c r="A3198" s="10" t="s">
        <v>5539</v>
      </c>
      <c r="B3198" s="10" t="s">
        <v>76</v>
      </c>
      <c r="C3198" s="10" t="s">
        <v>52</v>
      </c>
      <c r="D3198" s="10" t="s">
        <v>660</v>
      </c>
      <c r="E3198" s="10" t="s">
        <v>2342</v>
      </c>
      <c r="F3198" s="30" t="n">
        <v>42935</v>
      </c>
      <c r="G3198" s="30" t="n">
        <v>42943</v>
      </c>
      <c r="H3198" s="26" t="n">
        <f aca="false">G3198-F3198</f>
        <v>8</v>
      </c>
      <c r="I3198" s="10" t="n">
        <f aca="false">IF(E3198="Won",1,0)</f>
        <v>1</v>
      </c>
    </row>
    <row r="3199" customFormat="false" ht="15" hidden="false" customHeight="false" outlineLevel="0" collapsed="false">
      <c r="A3199" s="10" t="s">
        <v>5540</v>
      </c>
      <c r="B3199" s="10" t="s">
        <v>87</v>
      </c>
      <c r="C3199" s="10" t="s">
        <v>47</v>
      </c>
      <c r="D3199" s="10" t="s">
        <v>453</v>
      </c>
      <c r="E3199" s="10" t="s">
        <v>2342</v>
      </c>
      <c r="F3199" s="30" t="n">
        <v>42941</v>
      </c>
      <c r="G3199" s="30" t="n">
        <v>42943</v>
      </c>
      <c r="H3199" s="26" t="n">
        <f aca="false">G3199-F3199</f>
        <v>2</v>
      </c>
      <c r="I3199" s="10" t="n">
        <f aca="false">IF(E3199="Won",1,0)</f>
        <v>1</v>
      </c>
    </row>
    <row r="3200" customFormat="false" ht="15" hidden="false" customHeight="false" outlineLevel="0" collapsed="false">
      <c r="A3200" s="10" t="s">
        <v>5541</v>
      </c>
      <c r="B3200" s="10" t="s">
        <v>71</v>
      </c>
      <c r="C3200" s="10" t="s">
        <v>52</v>
      </c>
      <c r="D3200" s="10" t="s">
        <v>210</v>
      </c>
      <c r="E3200" s="10" t="s">
        <v>2342</v>
      </c>
      <c r="F3200" s="30" t="n">
        <v>42934</v>
      </c>
      <c r="G3200" s="30" t="n">
        <v>42943</v>
      </c>
      <c r="H3200" s="26" t="n">
        <f aca="false">G3200-F3200</f>
        <v>9</v>
      </c>
      <c r="I3200" s="10" t="n">
        <f aca="false">IF(E3200="Won",1,0)</f>
        <v>1</v>
      </c>
    </row>
    <row r="3201" customFormat="false" ht="15" hidden="false" customHeight="false" outlineLevel="0" collapsed="false">
      <c r="A3201" s="10" t="s">
        <v>5542</v>
      </c>
      <c r="B3201" s="10" t="s">
        <v>81</v>
      </c>
      <c r="C3201" s="10" t="s">
        <v>50</v>
      </c>
      <c r="D3201" s="10" t="s">
        <v>410</v>
      </c>
      <c r="E3201" s="10" t="s">
        <v>2342</v>
      </c>
      <c r="F3201" s="30" t="n">
        <v>42941</v>
      </c>
      <c r="G3201" s="30" t="n">
        <v>42943</v>
      </c>
      <c r="H3201" s="26" t="n">
        <f aca="false">G3201-F3201</f>
        <v>2</v>
      </c>
      <c r="I3201" s="10" t="n">
        <f aca="false">IF(E3201="Won",1,0)</f>
        <v>1</v>
      </c>
    </row>
    <row r="3202" customFormat="false" ht="15" hidden="false" customHeight="false" outlineLevel="0" collapsed="false">
      <c r="A3202" s="10" t="s">
        <v>5543</v>
      </c>
      <c r="B3202" s="10" t="s">
        <v>83</v>
      </c>
      <c r="C3202" s="10" t="s">
        <v>50</v>
      </c>
      <c r="D3202" s="10" t="s">
        <v>869</v>
      </c>
      <c r="E3202" s="10" t="s">
        <v>2342</v>
      </c>
      <c r="F3202" s="30" t="n">
        <v>42933</v>
      </c>
      <c r="G3202" s="30" t="n">
        <v>42943</v>
      </c>
      <c r="H3202" s="26" t="n">
        <f aca="false">G3202-F3202</f>
        <v>10</v>
      </c>
      <c r="I3202" s="10" t="n">
        <f aca="false">IF(E3202="Won",1,0)</f>
        <v>1</v>
      </c>
    </row>
    <row r="3203" customFormat="false" ht="15" hidden="false" customHeight="false" outlineLevel="0" collapsed="false">
      <c r="A3203" s="10" t="s">
        <v>5544</v>
      </c>
      <c r="B3203" s="10" t="s">
        <v>97</v>
      </c>
      <c r="C3203" s="10" t="s">
        <v>50</v>
      </c>
      <c r="D3203" s="10" t="s">
        <v>483</v>
      </c>
      <c r="E3203" s="10" t="s">
        <v>2345</v>
      </c>
      <c r="F3203" s="30" t="n">
        <v>42942</v>
      </c>
      <c r="G3203" s="30" t="n">
        <v>42943</v>
      </c>
      <c r="H3203" s="26" t="n">
        <f aca="false">G3203-F3203</f>
        <v>1</v>
      </c>
      <c r="I3203" s="10" t="n">
        <f aca="false">IF(E3203="Won",1,0)</f>
        <v>0</v>
      </c>
    </row>
    <row r="3204" customFormat="false" ht="15" hidden="false" customHeight="false" outlineLevel="0" collapsed="false">
      <c r="A3204" s="10" t="s">
        <v>5545</v>
      </c>
      <c r="B3204" s="10" t="s">
        <v>70</v>
      </c>
      <c r="C3204" s="10" t="s">
        <v>47</v>
      </c>
      <c r="D3204" s="10" t="s">
        <v>227</v>
      </c>
      <c r="E3204" s="10" t="s">
        <v>2342</v>
      </c>
      <c r="F3204" s="30" t="n">
        <v>42934</v>
      </c>
      <c r="G3204" s="30" t="n">
        <v>42943</v>
      </c>
      <c r="H3204" s="26" t="n">
        <f aca="false">G3204-F3204</f>
        <v>9</v>
      </c>
      <c r="I3204" s="10" t="n">
        <f aca="false">IF(E3204="Won",1,0)</f>
        <v>1</v>
      </c>
    </row>
    <row r="3205" customFormat="false" ht="15" hidden="false" customHeight="false" outlineLevel="0" collapsed="false">
      <c r="A3205" s="10" t="s">
        <v>5546</v>
      </c>
      <c r="B3205" s="10" t="s">
        <v>75</v>
      </c>
      <c r="C3205" s="10" t="s">
        <v>49</v>
      </c>
      <c r="D3205" s="10" t="s">
        <v>422</v>
      </c>
      <c r="E3205" s="10" t="s">
        <v>2342</v>
      </c>
      <c r="F3205" s="30" t="n">
        <v>42935</v>
      </c>
      <c r="G3205" s="30" t="n">
        <v>42943</v>
      </c>
      <c r="H3205" s="26" t="n">
        <f aca="false">G3205-F3205</f>
        <v>8</v>
      </c>
      <c r="I3205" s="10" t="n">
        <f aca="false">IF(E3205="Won",1,0)</f>
        <v>1</v>
      </c>
    </row>
    <row r="3206" customFormat="false" ht="15" hidden="false" customHeight="false" outlineLevel="0" collapsed="false">
      <c r="A3206" s="10" t="s">
        <v>5547</v>
      </c>
      <c r="B3206" s="10" t="s">
        <v>94</v>
      </c>
      <c r="C3206" s="10" t="s">
        <v>52</v>
      </c>
      <c r="D3206" s="10" t="s">
        <v>986</v>
      </c>
      <c r="E3206" s="10" t="s">
        <v>2342</v>
      </c>
      <c r="F3206" s="30" t="n">
        <v>42939</v>
      </c>
      <c r="G3206" s="30" t="n">
        <v>42944</v>
      </c>
      <c r="H3206" s="26" t="n">
        <f aca="false">G3206-F3206</f>
        <v>5</v>
      </c>
      <c r="I3206" s="10" t="n">
        <f aca="false">IF(E3206="Won",1,0)</f>
        <v>1</v>
      </c>
    </row>
    <row r="3207" customFormat="false" ht="15" hidden="false" customHeight="false" outlineLevel="0" collapsed="false">
      <c r="A3207" s="10" t="s">
        <v>5548</v>
      </c>
      <c r="B3207" s="10" t="s">
        <v>68</v>
      </c>
      <c r="C3207" s="10" t="s">
        <v>48</v>
      </c>
      <c r="D3207" s="10" t="s">
        <v>286</v>
      </c>
      <c r="E3207" s="10" t="s">
        <v>2342</v>
      </c>
      <c r="F3207" s="30" t="n">
        <v>42943</v>
      </c>
      <c r="G3207" s="30" t="n">
        <v>42944</v>
      </c>
      <c r="H3207" s="26" t="n">
        <f aca="false">G3207-F3207</f>
        <v>1</v>
      </c>
      <c r="I3207" s="10" t="n">
        <f aca="false">IF(E3207="Won",1,0)</f>
        <v>1</v>
      </c>
    </row>
    <row r="3208" customFormat="false" ht="15" hidden="false" customHeight="false" outlineLevel="0" collapsed="false">
      <c r="A3208" s="10" t="s">
        <v>5549</v>
      </c>
      <c r="B3208" s="10" t="s">
        <v>79</v>
      </c>
      <c r="C3208" s="10" t="s">
        <v>49</v>
      </c>
      <c r="D3208" s="10" t="s">
        <v>660</v>
      </c>
      <c r="E3208" s="10" t="s">
        <v>2342</v>
      </c>
      <c r="F3208" s="30" t="n">
        <v>42942</v>
      </c>
      <c r="G3208" s="30" t="n">
        <v>42944</v>
      </c>
      <c r="H3208" s="26" t="n">
        <f aca="false">G3208-F3208</f>
        <v>2</v>
      </c>
      <c r="I3208" s="10" t="n">
        <f aca="false">IF(E3208="Won",1,0)</f>
        <v>1</v>
      </c>
    </row>
    <row r="3209" customFormat="false" ht="15" hidden="false" customHeight="false" outlineLevel="0" collapsed="false">
      <c r="A3209" s="10" t="s">
        <v>5550</v>
      </c>
      <c r="B3209" s="10" t="s">
        <v>69</v>
      </c>
      <c r="C3209" s="10" t="s">
        <v>47</v>
      </c>
      <c r="D3209" s="10" t="s">
        <v>299</v>
      </c>
      <c r="E3209" s="10" t="s">
        <v>2345</v>
      </c>
      <c r="F3209" s="30" t="n">
        <v>42943</v>
      </c>
      <c r="G3209" s="30" t="n">
        <v>42944</v>
      </c>
      <c r="H3209" s="26" t="n">
        <f aca="false">G3209-F3209</f>
        <v>1</v>
      </c>
      <c r="I3209" s="10" t="n">
        <f aca="false">IF(E3209="Won",1,0)</f>
        <v>0</v>
      </c>
    </row>
    <row r="3210" customFormat="false" ht="15" hidden="false" customHeight="false" outlineLevel="0" collapsed="false">
      <c r="A3210" s="10" t="s">
        <v>5551</v>
      </c>
      <c r="B3210" s="10" t="s">
        <v>76</v>
      </c>
      <c r="C3210" s="10" t="s">
        <v>52</v>
      </c>
      <c r="D3210" s="10" t="s">
        <v>193</v>
      </c>
      <c r="E3210" s="10" t="s">
        <v>2345</v>
      </c>
      <c r="F3210" s="30" t="n">
        <v>42939</v>
      </c>
      <c r="G3210" s="30" t="n">
        <v>42944</v>
      </c>
      <c r="H3210" s="26" t="n">
        <f aca="false">G3210-F3210</f>
        <v>5</v>
      </c>
      <c r="I3210" s="10" t="n">
        <f aca="false">IF(E3210="Won",1,0)</f>
        <v>0</v>
      </c>
    </row>
    <row r="3211" customFormat="false" ht="15" hidden="false" customHeight="false" outlineLevel="0" collapsed="false">
      <c r="A3211" s="10" t="s">
        <v>5552</v>
      </c>
      <c r="B3211" s="10" t="s">
        <v>96</v>
      </c>
      <c r="C3211" s="10" t="s">
        <v>50</v>
      </c>
      <c r="D3211" s="10" t="s">
        <v>227</v>
      </c>
      <c r="E3211" s="10" t="s">
        <v>2345</v>
      </c>
      <c r="F3211" s="30" t="n">
        <v>42939</v>
      </c>
      <c r="G3211" s="30" t="n">
        <v>42944</v>
      </c>
      <c r="H3211" s="26" t="n">
        <f aca="false">G3211-F3211</f>
        <v>5</v>
      </c>
      <c r="I3211" s="10" t="n">
        <f aca="false">IF(E3211="Won",1,0)</f>
        <v>0</v>
      </c>
    </row>
    <row r="3212" customFormat="false" ht="15" hidden="false" customHeight="false" outlineLevel="0" collapsed="false">
      <c r="A3212" s="10" t="s">
        <v>5553</v>
      </c>
      <c r="B3212" s="10" t="s">
        <v>63</v>
      </c>
      <c r="C3212" s="10" t="s">
        <v>49</v>
      </c>
      <c r="D3212" s="10" t="s">
        <v>350</v>
      </c>
      <c r="E3212" s="10" t="s">
        <v>2342</v>
      </c>
      <c r="F3212" s="30" t="n">
        <v>42942</v>
      </c>
      <c r="G3212" s="30" t="n">
        <v>42944</v>
      </c>
      <c r="H3212" s="26" t="n">
        <f aca="false">G3212-F3212</f>
        <v>2</v>
      </c>
      <c r="I3212" s="10" t="n">
        <f aca="false">IF(E3212="Won",1,0)</f>
        <v>1</v>
      </c>
    </row>
    <row r="3213" customFormat="false" ht="15" hidden="false" customHeight="false" outlineLevel="0" collapsed="false">
      <c r="A3213" s="10" t="s">
        <v>5554</v>
      </c>
      <c r="B3213" s="10" t="s">
        <v>88</v>
      </c>
      <c r="C3213" s="10" t="s">
        <v>51</v>
      </c>
      <c r="D3213" s="10" t="s">
        <v>350</v>
      </c>
      <c r="E3213" s="10" t="s">
        <v>2342</v>
      </c>
      <c r="F3213" s="30" t="n">
        <v>42942</v>
      </c>
      <c r="G3213" s="30" t="n">
        <v>42944</v>
      </c>
      <c r="H3213" s="26" t="n">
        <f aca="false">G3213-F3213</f>
        <v>2</v>
      </c>
      <c r="I3213" s="10" t="n">
        <f aca="false">IF(E3213="Won",1,0)</f>
        <v>1</v>
      </c>
    </row>
    <row r="3214" customFormat="false" ht="15" hidden="false" customHeight="false" outlineLevel="0" collapsed="false">
      <c r="A3214" s="10" t="s">
        <v>5555</v>
      </c>
      <c r="B3214" s="10" t="s">
        <v>81</v>
      </c>
      <c r="C3214" s="10" t="s">
        <v>50</v>
      </c>
      <c r="D3214" s="10" t="s">
        <v>524</v>
      </c>
      <c r="E3214" s="10" t="s">
        <v>2342</v>
      </c>
      <c r="F3214" s="30" t="n">
        <v>42942</v>
      </c>
      <c r="G3214" s="30" t="n">
        <v>42944</v>
      </c>
      <c r="H3214" s="26" t="n">
        <f aca="false">G3214-F3214</f>
        <v>2</v>
      </c>
      <c r="I3214" s="10" t="n">
        <f aca="false">IF(E3214="Won",1,0)</f>
        <v>1</v>
      </c>
    </row>
    <row r="3215" customFormat="false" ht="15" hidden="false" customHeight="false" outlineLevel="0" collapsed="false">
      <c r="A3215" s="10" t="s">
        <v>5556</v>
      </c>
      <c r="B3215" s="10" t="s">
        <v>86</v>
      </c>
      <c r="C3215" s="10" t="s">
        <v>49</v>
      </c>
      <c r="D3215" s="10" t="s">
        <v>464</v>
      </c>
      <c r="E3215" s="10" t="s">
        <v>2345</v>
      </c>
      <c r="F3215" s="30" t="n">
        <v>42933</v>
      </c>
      <c r="G3215" s="30" t="n">
        <v>42944</v>
      </c>
      <c r="H3215" s="26" t="n">
        <f aca="false">G3215-F3215</f>
        <v>11</v>
      </c>
      <c r="I3215" s="10" t="n">
        <f aca="false">IF(E3215="Won",1,0)</f>
        <v>0</v>
      </c>
    </row>
    <row r="3216" customFormat="false" ht="15" hidden="false" customHeight="false" outlineLevel="0" collapsed="false">
      <c r="A3216" s="10" t="s">
        <v>5557</v>
      </c>
      <c r="B3216" s="10" t="s">
        <v>77</v>
      </c>
      <c r="C3216" s="10" t="s">
        <v>48</v>
      </c>
      <c r="D3216" s="10" t="s">
        <v>279</v>
      </c>
      <c r="E3216" s="10" t="s">
        <v>2345</v>
      </c>
      <c r="F3216" s="30" t="n">
        <v>42936</v>
      </c>
      <c r="G3216" s="30" t="n">
        <v>42944</v>
      </c>
      <c r="H3216" s="26" t="n">
        <f aca="false">G3216-F3216</f>
        <v>8</v>
      </c>
      <c r="I3216" s="10" t="n">
        <f aca="false">IF(E3216="Won",1,0)</f>
        <v>0</v>
      </c>
    </row>
    <row r="3217" customFormat="false" ht="15" hidden="false" customHeight="false" outlineLevel="0" collapsed="false">
      <c r="A3217" s="10" t="s">
        <v>5558</v>
      </c>
      <c r="B3217" s="10" t="s">
        <v>77</v>
      </c>
      <c r="C3217" s="10" t="s">
        <v>48</v>
      </c>
      <c r="D3217" s="10" t="s">
        <v>311</v>
      </c>
      <c r="E3217" s="10" t="s">
        <v>2345</v>
      </c>
      <c r="F3217" s="30" t="n">
        <v>42936</v>
      </c>
      <c r="G3217" s="30" t="n">
        <v>42944</v>
      </c>
      <c r="H3217" s="26" t="n">
        <f aca="false">G3217-F3217</f>
        <v>8</v>
      </c>
      <c r="I3217" s="10" t="n">
        <f aca="false">IF(E3217="Won",1,0)</f>
        <v>0</v>
      </c>
    </row>
    <row r="3218" customFormat="false" ht="15" hidden="false" customHeight="false" outlineLevel="0" collapsed="false">
      <c r="A3218" s="10" t="s">
        <v>5559</v>
      </c>
      <c r="B3218" s="10" t="s">
        <v>80</v>
      </c>
      <c r="C3218" s="10" t="s">
        <v>49</v>
      </c>
      <c r="D3218" s="10" t="s">
        <v>388</v>
      </c>
      <c r="E3218" s="10" t="s">
        <v>2345</v>
      </c>
      <c r="F3218" s="30" t="n">
        <v>42932</v>
      </c>
      <c r="G3218" s="30" t="n">
        <v>42944</v>
      </c>
      <c r="H3218" s="26" t="n">
        <f aca="false">G3218-F3218</f>
        <v>12</v>
      </c>
      <c r="I3218" s="10" t="n">
        <f aca="false">IF(E3218="Won",1,0)</f>
        <v>0</v>
      </c>
    </row>
    <row r="3219" customFormat="false" ht="15" hidden="false" customHeight="false" outlineLevel="0" collapsed="false">
      <c r="A3219" s="10" t="s">
        <v>5560</v>
      </c>
      <c r="B3219" s="10" t="s">
        <v>93</v>
      </c>
      <c r="C3219" s="10" t="s">
        <v>48</v>
      </c>
      <c r="D3219" s="10" t="s">
        <v>313</v>
      </c>
      <c r="E3219" s="10" t="s">
        <v>2345</v>
      </c>
      <c r="F3219" s="30" t="n">
        <v>42937</v>
      </c>
      <c r="G3219" s="30" t="n">
        <v>42944</v>
      </c>
      <c r="H3219" s="26" t="n">
        <f aca="false">G3219-F3219</f>
        <v>7</v>
      </c>
      <c r="I3219" s="10" t="n">
        <f aca="false">IF(E3219="Won",1,0)</f>
        <v>0</v>
      </c>
    </row>
    <row r="3220" customFormat="false" ht="15" hidden="false" customHeight="false" outlineLevel="0" collapsed="false">
      <c r="A3220" s="10" t="s">
        <v>5561</v>
      </c>
      <c r="B3220" s="10" t="s">
        <v>77</v>
      </c>
      <c r="C3220" s="10" t="s">
        <v>50</v>
      </c>
      <c r="D3220" s="10" t="s">
        <v>259</v>
      </c>
      <c r="E3220" s="10" t="s">
        <v>2342</v>
      </c>
      <c r="F3220" s="30" t="n">
        <v>42937</v>
      </c>
      <c r="G3220" s="30" t="n">
        <v>42944</v>
      </c>
      <c r="H3220" s="26" t="n">
        <f aca="false">G3220-F3220</f>
        <v>7</v>
      </c>
      <c r="I3220" s="10" t="n">
        <f aca="false">IF(E3220="Won",1,0)</f>
        <v>1</v>
      </c>
    </row>
    <row r="3221" customFormat="false" ht="15" hidden="false" customHeight="false" outlineLevel="0" collapsed="false">
      <c r="A3221" s="10" t="s">
        <v>5562</v>
      </c>
      <c r="B3221" s="10" t="s">
        <v>83</v>
      </c>
      <c r="C3221" s="10" t="s">
        <v>47</v>
      </c>
      <c r="D3221" s="10" t="s">
        <v>961</v>
      </c>
      <c r="E3221" s="10" t="s">
        <v>2345</v>
      </c>
      <c r="F3221" s="30" t="n">
        <v>42937</v>
      </c>
      <c r="G3221" s="30" t="n">
        <v>42944</v>
      </c>
      <c r="H3221" s="26" t="n">
        <f aca="false">G3221-F3221</f>
        <v>7</v>
      </c>
      <c r="I3221" s="10" t="n">
        <f aca="false">IF(E3221="Won",1,0)</f>
        <v>0</v>
      </c>
    </row>
    <row r="3222" customFormat="false" ht="15" hidden="false" customHeight="false" outlineLevel="0" collapsed="false">
      <c r="A3222" s="10" t="s">
        <v>5563</v>
      </c>
      <c r="B3222" s="10" t="s">
        <v>67</v>
      </c>
      <c r="C3222" s="10" t="s">
        <v>49</v>
      </c>
      <c r="D3222" s="10" t="s">
        <v>437</v>
      </c>
      <c r="E3222" s="10" t="s">
        <v>2342</v>
      </c>
      <c r="F3222" s="30" t="n">
        <v>42934</v>
      </c>
      <c r="G3222" s="30" t="n">
        <v>42944</v>
      </c>
      <c r="H3222" s="26" t="n">
        <f aca="false">G3222-F3222</f>
        <v>10</v>
      </c>
      <c r="I3222" s="10" t="n">
        <f aca="false">IF(E3222="Won",1,0)</f>
        <v>1</v>
      </c>
    </row>
    <row r="3223" customFormat="false" ht="15" hidden="false" customHeight="false" outlineLevel="0" collapsed="false">
      <c r="A3223" s="10" t="s">
        <v>5564</v>
      </c>
      <c r="B3223" s="10" t="s">
        <v>88</v>
      </c>
      <c r="C3223" s="10" t="s">
        <v>48</v>
      </c>
      <c r="D3223" s="10" t="s">
        <v>441</v>
      </c>
      <c r="E3223" s="10" t="s">
        <v>2345</v>
      </c>
      <c r="F3223" s="30" t="n">
        <v>42936</v>
      </c>
      <c r="G3223" s="30" t="n">
        <v>42944</v>
      </c>
      <c r="H3223" s="26" t="n">
        <f aca="false">G3223-F3223</f>
        <v>8</v>
      </c>
      <c r="I3223" s="10" t="n">
        <f aca="false">IF(E3223="Won",1,0)</f>
        <v>0</v>
      </c>
    </row>
    <row r="3224" customFormat="false" ht="15" hidden="false" customHeight="false" outlineLevel="0" collapsed="false">
      <c r="A3224" s="10" t="s">
        <v>5565</v>
      </c>
      <c r="B3224" s="10" t="s">
        <v>86</v>
      </c>
      <c r="C3224" s="10" t="s">
        <v>49</v>
      </c>
      <c r="D3224" s="10" t="s">
        <v>215</v>
      </c>
      <c r="E3224" s="10" t="s">
        <v>2342</v>
      </c>
      <c r="F3224" s="30" t="n">
        <v>42934</v>
      </c>
      <c r="G3224" s="30" t="n">
        <v>42944</v>
      </c>
      <c r="H3224" s="26" t="n">
        <f aca="false">G3224-F3224</f>
        <v>10</v>
      </c>
      <c r="I3224" s="10" t="n">
        <f aca="false">IF(E3224="Won",1,0)</f>
        <v>1</v>
      </c>
    </row>
    <row r="3225" customFormat="false" ht="15" hidden="false" customHeight="false" outlineLevel="0" collapsed="false">
      <c r="A3225" s="10" t="s">
        <v>5566</v>
      </c>
      <c r="B3225" s="10" t="s">
        <v>75</v>
      </c>
      <c r="C3225" s="10" t="s">
        <v>51</v>
      </c>
      <c r="D3225" s="10" t="s">
        <v>388</v>
      </c>
      <c r="E3225" s="10" t="s">
        <v>2342</v>
      </c>
      <c r="F3225" s="30" t="n">
        <v>42934</v>
      </c>
      <c r="G3225" s="30" t="n">
        <v>42944</v>
      </c>
      <c r="H3225" s="26" t="n">
        <f aca="false">G3225-F3225</f>
        <v>10</v>
      </c>
      <c r="I3225" s="10" t="n">
        <f aca="false">IF(E3225="Won",1,0)</f>
        <v>1</v>
      </c>
    </row>
    <row r="3226" customFormat="false" ht="15" hidden="false" customHeight="false" outlineLevel="0" collapsed="false">
      <c r="A3226" s="10" t="s">
        <v>5567</v>
      </c>
      <c r="B3226" s="10" t="s">
        <v>77</v>
      </c>
      <c r="C3226" s="10" t="s">
        <v>48</v>
      </c>
      <c r="D3226" s="10" t="s">
        <v>660</v>
      </c>
      <c r="E3226" s="10" t="s">
        <v>2345</v>
      </c>
      <c r="F3226" s="30" t="n">
        <v>42936</v>
      </c>
      <c r="G3226" s="30" t="n">
        <v>42944</v>
      </c>
      <c r="H3226" s="26" t="n">
        <f aca="false">G3226-F3226</f>
        <v>8</v>
      </c>
      <c r="I3226" s="10" t="n">
        <f aca="false">IF(E3226="Won",1,0)</f>
        <v>0</v>
      </c>
    </row>
    <row r="3227" customFormat="false" ht="15" hidden="false" customHeight="false" outlineLevel="0" collapsed="false">
      <c r="A3227" s="10" t="s">
        <v>5568</v>
      </c>
      <c r="B3227" s="10" t="s">
        <v>83</v>
      </c>
      <c r="C3227" s="10" t="s">
        <v>52</v>
      </c>
      <c r="D3227" s="10" t="s">
        <v>597</v>
      </c>
      <c r="E3227" s="10" t="s">
        <v>2342</v>
      </c>
      <c r="F3227" s="30" t="n">
        <v>42937</v>
      </c>
      <c r="G3227" s="30" t="n">
        <v>42944</v>
      </c>
      <c r="H3227" s="26" t="n">
        <f aca="false">G3227-F3227</f>
        <v>7</v>
      </c>
      <c r="I3227" s="10" t="n">
        <f aca="false">IF(E3227="Won",1,0)</f>
        <v>1</v>
      </c>
    </row>
    <row r="3228" customFormat="false" ht="15" hidden="false" customHeight="false" outlineLevel="0" collapsed="false">
      <c r="A3228" s="10" t="s">
        <v>5569</v>
      </c>
      <c r="B3228" s="10" t="s">
        <v>76</v>
      </c>
      <c r="C3228" s="10" t="s">
        <v>52</v>
      </c>
      <c r="D3228" s="10" t="s">
        <v>321</v>
      </c>
      <c r="E3228" s="10" t="s">
        <v>2342</v>
      </c>
      <c r="F3228" s="30" t="n">
        <v>42937</v>
      </c>
      <c r="G3228" s="30" t="n">
        <v>42944</v>
      </c>
      <c r="H3228" s="26" t="n">
        <f aca="false">G3228-F3228</f>
        <v>7</v>
      </c>
      <c r="I3228" s="10" t="n">
        <f aca="false">IF(E3228="Won",1,0)</f>
        <v>1</v>
      </c>
    </row>
    <row r="3229" customFormat="false" ht="15" hidden="false" customHeight="false" outlineLevel="0" collapsed="false">
      <c r="A3229" s="10" t="s">
        <v>5570</v>
      </c>
      <c r="B3229" s="10" t="s">
        <v>97</v>
      </c>
      <c r="C3229" s="10" t="s">
        <v>48</v>
      </c>
      <c r="D3229" s="10" t="s">
        <v>172</v>
      </c>
      <c r="E3229" s="10" t="s">
        <v>2342</v>
      </c>
      <c r="F3229" s="30" t="n">
        <v>42933</v>
      </c>
      <c r="G3229" s="30" t="n">
        <v>42944</v>
      </c>
      <c r="H3229" s="26" t="n">
        <f aca="false">G3229-F3229</f>
        <v>11</v>
      </c>
      <c r="I3229" s="10" t="n">
        <f aca="false">IF(E3229="Won",1,0)</f>
        <v>1</v>
      </c>
    </row>
    <row r="3230" customFormat="false" ht="15" hidden="false" customHeight="false" outlineLevel="0" collapsed="false">
      <c r="A3230" s="10" t="s">
        <v>5571</v>
      </c>
      <c r="B3230" s="10" t="s">
        <v>67</v>
      </c>
      <c r="C3230" s="10" t="s">
        <v>49</v>
      </c>
      <c r="D3230" s="10" t="s">
        <v>514</v>
      </c>
      <c r="E3230" s="10" t="s">
        <v>2342</v>
      </c>
      <c r="F3230" s="30" t="n">
        <v>42935</v>
      </c>
      <c r="G3230" s="30" t="n">
        <v>42944</v>
      </c>
      <c r="H3230" s="26" t="n">
        <f aca="false">G3230-F3230</f>
        <v>9</v>
      </c>
      <c r="I3230" s="10" t="n">
        <f aca="false">IF(E3230="Won",1,0)</f>
        <v>1</v>
      </c>
    </row>
    <row r="3231" customFormat="false" ht="15" hidden="false" customHeight="false" outlineLevel="0" collapsed="false">
      <c r="A3231" s="10" t="s">
        <v>5572</v>
      </c>
      <c r="B3231" s="10" t="s">
        <v>86</v>
      </c>
      <c r="C3231" s="10" t="s">
        <v>48</v>
      </c>
      <c r="D3231" s="10" t="s">
        <v>405</v>
      </c>
      <c r="E3231" s="10" t="s">
        <v>2342</v>
      </c>
      <c r="F3231" s="30" t="n">
        <v>42932</v>
      </c>
      <c r="G3231" s="30" t="n">
        <v>42944</v>
      </c>
      <c r="H3231" s="26" t="n">
        <f aca="false">G3231-F3231</f>
        <v>12</v>
      </c>
      <c r="I3231" s="10" t="n">
        <f aca="false">IF(E3231="Won",1,0)</f>
        <v>1</v>
      </c>
    </row>
    <row r="3232" customFormat="false" ht="15" hidden="false" customHeight="false" outlineLevel="0" collapsed="false">
      <c r="A3232" s="10" t="s">
        <v>5573</v>
      </c>
      <c r="B3232" s="10" t="s">
        <v>62</v>
      </c>
      <c r="C3232" s="10" t="s">
        <v>52</v>
      </c>
      <c r="D3232" s="10" t="s">
        <v>293</v>
      </c>
      <c r="E3232" s="10" t="s">
        <v>2342</v>
      </c>
      <c r="F3232" s="30" t="n">
        <v>42936</v>
      </c>
      <c r="G3232" s="30" t="n">
        <v>42944</v>
      </c>
      <c r="H3232" s="26" t="n">
        <f aca="false">G3232-F3232</f>
        <v>8</v>
      </c>
      <c r="I3232" s="10" t="n">
        <f aca="false">IF(E3232="Won",1,0)</f>
        <v>1</v>
      </c>
    </row>
    <row r="3233" customFormat="false" ht="15" hidden="false" customHeight="false" outlineLevel="0" collapsed="false">
      <c r="A3233" s="10" t="s">
        <v>5574</v>
      </c>
      <c r="B3233" s="10" t="s">
        <v>77</v>
      </c>
      <c r="C3233" s="10" t="s">
        <v>48</v>
      </c>
      <c r="D3233" s="10" t="s">
        <v>527</v>
      </c>
      <c r="E3233" s="10" t="s">
        <v>2345</v>
      </c>
      <c r="F3233" s="30" t="n">
        <v>42933</v>
      </c>
      <c r="G3233" s="30" t="n">
        <v>42944</v>
      </c>
      <c r="H3233" s="26" t="n">
        <f aca="false">G3233-F3233</f>
        <v>11</v>
      </c>
      <c r="I3233" s="10" t="n">
        <f aca="false">IF(E3233="Won",1,0)</f>
        <v>0</v>
      </c>
    </row>
    <row r="3234" customFormat="false" ht="15" hidden="false" customHeight="false" outlineLevel="0" collapsed="false">
      <c r="A3234" s="10" t="s">
        <v>5575</v>
      </c>
      <c r="B3234" s="10" t="s">
        <v>83</v>
      </c>
      <c r="C3234" s="10" t="s">
        <v>51</v>
      </c>
      <c r="D3234" s="10" t="s">
        <v>311</v>
      </c>
      <c r="E3234" s="10" t="s">
        <v>2345</v>
      </c>
      <c r="F3234" s="30" t="n">
        <v>42934</v>
      </c>
      <c r="G3234" s="30" t="n">
        <v>42944</v>
      </c>
      <c r="H3234" s="26" t="n">
        <f aca="false">G3234-F3234</f>
        <v>10</v>
      </c>
      <c r="I3234" s="10" t="n">
        <f aca="false">IF(E3234="Won",1,0)</f>
        <v>0</v>
      </c>
    </row>
    <row r="3235" customFormat="false" ht="15" hidden="false" customHeight="false" outlineLevel="0" collapsed="false">
      <c r="A3235" s="10" t="s">
        <v>5576</v>
      </c>
      <c r="B3235" s="10" t="s">
        <v>70</v>
      </c>
      <c r="C3235" s="10" t="s">
        <v>49</v>
      </c>
      <c r="D3235" s="10" t="s">
        <v>286</v>
      </c>
      <c r="E3235" s="10" t="s">
        <v>2342</v>
      </c>
      <c r="F3235" s="30" t="n">
        <v>42934</v>
      </c>
      <c r="G3235" s="30" t="n">
        <v>42944</v>
      </c>
      <c r="H3235" s="26" t="n">
        <f aca="false">G3235-F3235</f>
        <v>10</v>
      </c>
      <c r="I3235" s="10" t="n">
        <f aca="false">IF(E3235="Won",1,0)</f>
        <v>1</v>
      </c>
    </row>
    <row r="3236" customFormat="false" ht="15" hidden="false" customHeight="false" outlineLevel="0" collapsed="false">
      <c r="A3236" s="10" t="s">
        <v>5577</v>
      </c>
      <c r="B3236" s="10" t="s">
        <v>66</v>
      </c>
      <c r="C3236" s="10" t="s">
        <v>51</v>
      </c>
      <c r="D3236" s="10" t="s">
        <v>303</v>
      </c>
      <c r="E3236" s="10" t="s">
        <v>2342</v>
      </c>
      <c r="F3236" s="30" t="n">
        <v>42934</v>
      </c>
      <c r="G3236" s="30" t="n">
        <v>42944</v>
      </c>
      <c r="H3236" s="26" t="n">
        <f aca="false">G3236-F3236</f>
        <v>10</v>
      </c>
      <c r="I3236" s="10" t="n">
        <f aca="false">IF(E3236="Won",1,0)</f>
        <v>1</v>
      </c>
    </row>
    <row r="3237" customFormat="false" ht="15" hidden="false" customHeight="false" outlineLevel="0" collapsed="false">
      <c r="A3237" s="10" t="s">
        <v>5578</v>
      </c>
      <c r="B3237" s="10" t="s">
        <v>57</v>
      </c>
      <c r="C3237" s="10" t="s">
        <v>50</v>
      </c>
      <c r="D3237" s="10" t="s">
        <v>254</v>
      </c>
      <c r="E3237" s="10" t="s">
        <v>2345</v>
      </c>
      <c r="F3237" s="30" t="n">
        <v>42943</v>
      </c>
      <c r="G3237" s="30" t="n">
        <v>42945</v>
      </c>
      <c r="H3237" s="26" t="n">
        <f aca="false">G3237-F3237</f>
        <v>2</v>
      </c>
      <c r="I3237" s="10" t="n">
        <f aca="false">IF(E3237="Won",1,0)</f>
        <v>0</v>
      </c>
    </row>
    <row r="3238" customFormat="false" ht="15" hidden="false" customHeight="false" outlineLevel="0" collapsed="false">
      <c r="A3238" s="10" t="s">
        <v>5579</v>
      </c>
      <c r="B3238" s="10" t="s">
        <v>57</v>
      </c>
      <c r="C3238" s="10" t="s">
        <v>48</v>
      </c>
      <c r="D3238" s="10" t="s">
        <v>674</v>
      </c>
      <c r="E3238" s="10" t="s">
        <v>2345</v>
      </c>
      <c r="F3238" s="30" t="n">
        <v>42938</v>
      </c>
      <c r="G3238" s="30" t="n">
        <v>42945</v>
      </c>
      <c r="H3238" s="26" t="n">
        <f aca="false">G3238-F3238</f>
        <v>7</v>
      </c>
      <c r="I3238" s="10" t="n">
        <f aca="false">IF(E3238="Won",1,0)</f>
        <v>0</v>
      </c>
    </row>
    <row r="3239" customFormat="false" ht="15" hidden="false" customHeight="false" outlineLevel="0" collapsed="false">
      <c r="A3239" s="10" t="s">
        <v>5580</v>
      </c>
      <c r="B3239" s="10" t="s">
        <v>76</v>
      </c>
      <c r="C3239" s="10" t="s">
        <v>52</v>
      </c>
      <c r="D3239" s="10" t="s">
        <v>422</v>
      </c>
      <c r="E3239" s="10" t="s">
        <v>2345</v>
      </c>
      <c r="F3239" s="30" t="n">
        <v>42935</v>
      </c>
      <c r="G3239" s="30" t="n">
        <v>42945</v>
      </c>
      <c r="H3239" s="26" t="n">
        <f aca="false">G3239-F3239</f>
        <v>10</v>
      </c>
      <c r="I3239" s="10" t="n">
        <f aca="false">IF(E3239="Won",1,0)</f>
        <v>0</v>
      </c>
    </row>
    <row r="3240" customFormat="false" ht="15" hidden="false" customHeight="false" outlineLevel="0" collapsed="false">
      <c r="A3240" s="10" t="s">
        <v>5581</v>
      </c>
      <c r="B3240" s="10" t="s">
        <v>66</v>
      </c>
      <c r="C3240" s="10" t="s">
        <v>51</v>
      </c>
      <c r="D3240" s="10" t="s">
        <v>199</v>
      </c>
      <c r="E3240" s="10" t="s">
        <v>2342</v>
      </c>
      <c r="F3240" s="30" t="n">
        <v>42944</v>
      </c>
      <c r="G3240" s="30" t="n">
        <v>42945</v>
      </c>
      <c r="H3240" s="26" t="n">
        <f aca="false">G3240-F3240</f>
        <v>1</v>
      </c>
      <c r="I3240" s="10" t="n">
        <f aca="false">IF(E3240="Won",1,0)</f>
        <v>1</v>
      </c>
    </row>
    <row r="3241" customFormat="false" ht="15" hidden="false" customHeight="false" outlineLevel="0" collapsed="false">
      <c r="A3241" s="10" t="s">
        <v>5582</v>
      </c>
      <c r="B3241" s="10" t="s">
        <v>67</v>
      </c>
      <c r="C3241" s="10" t="s">
        <v>50</v>
      </c>
      <c r="D3241" s="10" t="s">
        <v>384</v>
      </c>
      <c r="E3241" s="10" t="s">
        <v>2345</v>
      </c>
      <c r="F3241" s="30" t="n">
        <v>42944</v>
      </c>
      <c r="G3241" s="30" t="n">
        <v>42945</v>
      </c>
      <c r="H3241" s="26" t="n">
        <f aca="false">G3241-F3241</f>
        <v>1</v>
      </c>
      <c r="I3241" s="10" t="n">
        <f aca="false">IF(E3241="Won",1,0)</f>
        <v>0</v>
      </c>
    </row>
    <row r="3242" customFormat="false" ht="15" hidden="false" customHeight="false" outlineLevel="0" collapsed="false">
      <c r="A3242" s="10" t="s">
        <v>5583</v>
      </c>
      <c r="B3242" s="10" t="s">
        <v>80</v>
      </c>
      <c r="C3242" s="10" t="s">
        <v>48</v>
      </c>
      <c r="D3242" s="10" t="s">
        <v>410</v>
      </c>
      <c r="E3242" s="10" t="s">
        <v>2342</v>
      </c>
      <c r="F3242" s="30" t="n">
        <v>42944</v>
      </c>
      <c r="G3242" s="30" t="n">
        <v>42945</v>
      </c>
      <c r="H3242" s="26" t="n">
        <f aca="false">G3242-F3242</f>
        <v>1</v>
      </c>
      <c r="I3242" s="10" t="n">
        <f aca="false">IF(E3242="Won",1,0)</f>
        <v>1</v>
      </c>
    </row>
    <row r="3243" customFormat="false" ht="15" hidden="false" customHeight="false" outlineLevel="0" collapsed="false">
      <c r="A3243" s="10" t="s">
        <v>5584</v>
      </c>
      <c r="B3243" s="10" t="s">
        <v>74</v>
      </c>
      <c r="C3243" s="10" t="s">
        <v>51</v>
      </c>
      <c r="D3243" s="10" t="s">
        <v>388</v>
      </c>
      <c r="E3243" s="10" t="s">
        <v>2342</v>
      </c>
      <c r="F3243" s="30" t="n">
        <v>42935</v>
      </c>
      <c r="G3243" s="30" t="n">
        <v>42945</v>
      </c>
      <c r="H3243" s="26" t="n">
        <f aca="false">G3243-F3243</f>
        <v>10</v>
      </c>
      <c r="I3243" s="10" t="n">
        <f aca="false">IF(E3243="Won",1,0)</f>
        <v>1</v>
      </c>
    </row>
    <row r="3244" customFormat="false" ht="15" hidden="false" customHeight="false" outlineLevel="0" collapsed="false">
      <c r="A3244" s="10" t="s">
        <v>5585</v>
      </c>
      <c r="B3244" s="10" t="s">
        <v>77</v>
      </c>
      <c r="C3244" s="10" t="s">
        <v>50</v>
      </c>
      <c r="D3244" s="10" t="s">
        <v>279</v>
      </c>
      <c r="E3244" s="10" t="s">
        <v>2342</v>
      </c>
      <c r="F3244" s="30" t="n">
        <v>42938</v>
      </c>
      <c r="G3244" s="30" t="n">
        <v>42945</v>
      </c>
      <c r="H3244" s="26" t="n">
        <f aca="false">G3244-F3244</f>
        <v>7</v>
      </c>
      <c r="I3244" s="10" t="n">
        <f aca="false">IF(E3244="Won",1,0)</f>
        <v>1</v>
      </c>
    </row>
    <row r="3245" customFormat="false" ht="15" hidden="false" customHeight="false" outlineLevel="0" collapsed="false">
      <c r="A3245" s="10" t="s">
        <v>5586</v>
      </c>
      <c r="B3245" s="10" t="s">
        <v>94</v>
      </c>
      <c r="C3245" s="10" t="s">
        <v>52</v>
      </c>
      <c r="D3245" s="10" t="s">
        <v>168</v>
      </c>
      <c r="E3245" s="10" t="s">
        <v>2345</v>
      </c>
      <c r="F3245" s="30" t="n">
        <v>42944</v>
      </c>
      <c r="G3245" s="30" t="n">
        <v>42945</v>
      </c>
      <c r="H3245" s="26" t="n">
        <f aca="false">G3245-F3245</f>
        <v>1</v>
      </c>
      <c r="I3245" s="10" t="n">
        <f aca="false">IF(E3245="Won",1,0)</f>
        <v>0</v>
      </c>
    </row>
    <row r="3246" customFormat="false" ht="15" hidden="false" customHeight="false" outlineLevel="0" collapsed="false">
      <c r="A3246" s="10" t="s">
        <v>5587</v>
      </c>
      <c r="B3246" s="10" t="s">
        <v>81</v>
      </c>
      <c r="C3246" s="10" t="s">
        <v>48</v>
      </c>
      <c r="D3246" s="10" t="s">
        <v>410</v>
      </c>
      <c r="E3246" s="10" t="s">
        <v>2342</v>
      </c>
      <c r="F3246" s="30" t="n">
        <v>42944</v>
      </c>
      <c r="G3246" s="30" t="n">
        <v>42945</v>
      </c>
      <c r="H3246" s="26" t="n">
        <f aca="false">G3246-F3246</f>
        <v>1</v>
      </c>
      <c r="I3246" s="10" t="n">
        <f aca="false">IF(E3246="Won",1,0)</f>
        <v>1</v>
      </c>
    </row>
    <row r="3247" customFormat="false" ht="15" hidden="false" customHeight="false" outlineLevel="0" collapsed="false">
      <c r="A3247" s="10" t="s">
        <v>5588</v>
      </c>
      <c r="B3247" s="10" t="s">
        <v>67</v>
      </c>
      <c r="C3247" s="10" t="s">
        <v>49</v>
      </c>
      <c r="D3247" s="10" t="s">
        <v>326</v>
      </c>
      <c r="E3247" s="10" t="s">
        <v>2345</v>
      </c>
      <c r="F3247" s="30" t="n">
        <v>42935</v>
      </c>
      <c r="G3247" s="30" t="n">
        <v>42945</v>
      </c>
      <c r="H3247" s="26" t="n">
        <f aca="false">G3247-F3247</f>
        <v>10</v>
      </c>
      <c r="I3247" s="10" t="n">
        <f aca="false">IF(E3247="Won",1,0)</f>
        <v>0</v>
      </c>
    </row>
    <row r="3248" customFormat="false" ht="15" hidden="false" customHeight="false" outlineLevel="0" collapsed="false">
      <c r="A3248" s="10" t="s">
        <v>5589</v>
      </c>
      <c r="B3248" s="10" t="s">
        <v>62</v>
      </c>
      <c r="C3248" s="10" t="s">
        <v>48</v>
      </c>
      <c r="D3248" s="10" t="s">
        <v>405</v>
      </c>
      <c r="E3248" s="10" t="s">
        <v>2345</v>
      </c>
      <c r="F3248" s="30" t="n">
        <v>42944</v>
      </c>
      <c r="G3248" s="30" t="n">
        <v>42945</v>
      </c>
      <c r="H3248" s="26" t="n">
        <f aca="false">G3248-F3248</f>
        <v>1</v>
      </c>
      <c r="I3248" s="10" t="n">
        <f aca="false">IF(E3248="Won",1,0)</f>
        <v>0</v>
      </c>
    </row>
    <row r="3249" customFormat="false" ht="15" hidden="false" customHeight="false" outlineLevel="0" collapsed="false">
      <c r="A3249" s="10" t="s">
        <v>5590</v>
      </c>
      <c r="B3249" s="10" t="s">
        <v>86</v>
      </c>
      <c r="C3249" s="10" t="s">
        <v>50</v>
      </c>
      <c r="D3249" s="10" t="s">
        <v>1334</v>
      </c>
      <c r="E3249" s="10" t="s">
        <v>2342</v>
      </c>
      <c r="F3249" s="30" t="n">
        <v>42941</v>
      </c>
      <c r="G3249" s="30" t="n">
        <v>42945</v>
      </c>
      <c r="H3249" s="26" t="n">
        <f aca="false">G3249-F3249</f>
        <v>4</v>
      </c>
      <c r="I3249" s="10" t="n">
        <f aca="false">IF(E3249="Won",1,0)</f>
        <v>1</v>
      </c>
    </row>
    <row r="3250" customFormat="false" ht="15" hidden="false" customHeight="false" outlineLevel="0" collapsed="false">
      <c r="A3250" s="10" t="s">
        <v>5591</v>
      </c>
      <c r="B3250" s="10" t="s">
        <v>70</v>
      </c>
      <c r="C3250" s="10" t="s">
        <v>49</v>
      </c>
      <c r="D3250" s="10" t="s">
        <v>348</v>
      </c>
      <c r="E3250" s="10" t="s">
        <v>2345</v>
      </c>
      <c r="F3250" s="30" t="n">
        <v>42933</v>
      </c>
      <c r="G3250" s="30" t="n">
        <v>42945</v>
      </c>
      <c r="H3250" s="26" t="n">
        <f aca="false">G3250-F3250</f>
        <v>12</v>
      </c>
      <c r="I3250" s="10" t="n">
        <f aca="false">IF(E3250="Won",1,0)</f>
        <v>0</v>
      </c>
    </row>
    <row r="3251" customFormat="false" ht="15" hidden="false" customHeight="false" outlineLevel="0" collapsed="false">
      <c r="A3251" s="10" t="s">
        <v>5592</v>
      </c>
      <c r="B3251" s="10" t="s">
        <v>77</v>
      </c>
      <c r="C3251" s="10" t="s">
        <v>48</v>
      </c>
      <c r="D3251" s="10" t="s">
        <v>524</v>
      </c>
      <c r="E3251" s="10" t="s">
        <v>2345</v>
      </c>
      <c r="F3251" s="30" t="n">
        <v>42944</v>
      </c>
      <c r="G3251" s="30" t="n">
        <v>42945</v>
      </c>
      <c r="H3251" s="26" t="n">
        <f aca="false">G3251-F3251</f>
        <v>1</v>
      </c>
      <c r="I3251" s="10" t="n">
        <f aca="false">IF(E3251="Won",1,0)</f>
        <v>0</v>
      </c>
    </row>
    <row r="3252" customFormat="false" ht="15" hidden="false" customHeight="false" outlineLevel="0" collapsed="false">
      <c r="A3252" s="10" t="s">
        <v>5593</v>
      </c>
      <c r="B3252" s="10" t="s">
        <v>71</v>
      </c>
      <c r="C3252" s="10" t="s">
        <v>52</v>
      </c>
      <c r="D3252" s="10" t="s">
        <v>762</v>
      </c>
      <c r="E3252" s="10" t="s">
        <v>2342</v>
      </c>
      <c r="F3252" s="30" t="n">
        <v>42943</v>
      </c>
      <c r="G3252" s="30" t="n">
        <v>42945</v>
      </c>
      <c r="H3252" s="26" t="n">
        <f aca="false">G3252-F3252</f>
        <v>2</v>
      </c>
      <c r="I3252" s="10" t="n">
        <f aca="false">IF(E3252="Won",1,0)</f>
        <v>1</v>
      </c>
    </row>
    <row r="3253" customFormat="false" ht="15" hidden="false" customHeight="false" outlineLevel="0" collapsed="false">
      <c r="A3253" s="10" t="s">
        <v>5594</v>
      </c>
      <c r="B3253" s="10" t="s">
        <v>74</v>
      </c>
      <c r="C3253" s="10" t="s">
        <v>50</v>
      </c>
      <c r="D3253" s="10" t="s">
        <v>660</v>
      </c>
      <c r="E3253" s="10" t="s">
        <v>2345</v>
      </c>
      <c r="F3253" s="30" t="n">
        <v>42937</v>
      </c>
      <c r="G3253" s="30" t="n">
        <v>42945</v>
      </c>
      <c r="H3253" s="26" t="n">
        <f aca="false">G3253-F3253</f>
        <v>8</v>
      </c>
      <c r="I3253" s="10" t="n">
        <f aca="false">IF(E3253="Won",1,0)</f>
        <v>0</v>
      </c>
    </row>
    <row r="3254" customFormat="false" ht="15" hidden="false" customHeight="false" outlineLevel="0" collapsed="false">
      <c r="A3254" s="10" t="s">
        <v>5595</v>
      </c>
      <c r="B3254" s="10" t="s">
        <v>71</v>
      </c>
      <c r="C3254" s="10" t="s">
        <v>47</v>
      </c>
      <c r="D3254" s="10" t="s">
        <v>422</v>
      </c>
      <c r="E3254" s="10" t="s">
        <v>2342</v>
      </c>
      <c r="F3254" s="30" t="n">
        <v>42943</v>
      </c>
      <c r="G3254" s="30" t="n">
        <v>42945</v>
      </c>
      <c r="H3254" s="26" t="n">
        <f aca="false">G3254-F3254</f>
        <v>2</v>
      </c>
      <c r="I3254" s="10" t="n">
        <f aca="false">IF(E3254="Won",1,0)</f>
        <v>1</v>
      </c>
    </row>
    <row r="3255" customFormat="false" ht="15" hidden="false" customHeight="false" outlineLevel="0" collapsed="false">
      <c r="A3255" s="10" t="s">
        <v>5596</v>
      </c>
      <c r="B3255" s="10" t="s">
        <v>88</v>
      </c>
      <c r="C3255" s="10" t="s">
        <v>51</v>
      </c>
      <c r="D3255" s="10" t="s">
        <v>427</v>
      </c>
      <c r="E3255" s="10" t="s">
        <v>2345</v>
      </c>
      <c r="F3255" s="30" t="n">
        <v>42937</v>
      </c>
      <c r="G3255" s="30" t="n">
        <v>42945</v>
      </c>
      <c r="H3255" s="26" t="n">
        <f aca="false">G3255-F3255</f>
        <v>8</v>
      </c>
      <c r="I3255" s="10" t="n">
        <f aca="false">IF(E3255="Won",1,0)</f>
        <v>0</v>
      </c>
    </row>
    <row r="3256" customFormat="false" ht="15" hidden="false" customHeight="false" outlineLevel="0" collapsed="false">
      <c r="A3256" s="10" t="s">
        <v>5597</v>
      </c>
      <c r="B3256" s="10" t="s">
        <v>71</v>
      </c>
      <c r="C3256" s="10" t="s">
        <v>50</v>
      </c>
      <c r="D3256" s="10" t="s">
        <v>210</v>
      </c>
      <c r="E3256" s="10" t="s">
        <v>2345</v>
      </c>
      <c r="F3256" s="30" t="n">
        <v>42938</v>
      </c>
      <c r="G3256" s="30" t="n">
        <v>42945</v>
      </c>
      <c r="H3256" s="26" t="n">
        <f aca="false">G3256-F3256</f>
        <v>7</v>
      </c>
      <c r="I3256" s="10" t="n">
        <f aca="false">IF(E3256="Won",1,0)</f>
        <v>0</v>
      </c>
    </row>
    <row r="3257" customFormat="false" ht="15" hidden="false" customHeight="false" outlineLevel="0" collapsed="false">
      <c r="A3257" s="10" t="s">
        <v>5598</v>
      </c>
      <c r="B3257" s="10" t="s">
        <v>95</v>
      </c>
      <c r="C3257" s="10" t="s">
        <v>50</v>
      </c>
      <c r="D3257" s="10" t="s">
        <v>986</v>
      </c>
      <c r="E3257" s="10" t="s">
        <v>2345</v>
      </c>
      <c r="F3257" s="30" t="n">
        <v>42939</v>
      </c>
      <c r="G3257" s="30" t="n">
        <v>42946</v>
      </c>
      <c r="H3257" s="26" t="n">
        <f aca="false">G3257-F3257</f>
        <v>7</v>
      </c>
      <c r="I3257" s="10" t="n">
        <f aca="false">IF(E3257="Won",1,0)</f>
        <v>0</v>
      </c>
    </row>
    <row r="3258" customFormat="false" ht="15" hidden="false" customHeight="false" outlineLevel="0" collapsed="false">
      <c r="A3258" s="10" t="s">
        <v>5599</v>
      </c>
      <c r="B3258" s="10" t="s">
        <v>77</v>
      </c>
      <c r="C3258" s="10" t="s">
        <v>48</v>
      </c>
      <c r="D3258" s="10" t="s">
        <v>597</v>
      </c>
      <c r="E3258" s="10" t="s">
        <v>2342</v>
      </c>
      <c r="F3258" s="30" t="n">
        <v>42944</v>
      </c>
      <c r="G3258" s="30" t="n">
        <v>42946</v>
      </c>
      <c r="H3258" s="26" t="n">
        <f aca="false">G3258-F3258</f>
        <v>2</v>
      </c>
      <c r="I3258" s="10" t="n">
        <f aca="false">IF(E3258="Won",1,0)</f>
        <v>1</v>
      </c>
    </row>
    <row r="3259" customFormat="false" ht="15" hidden="false" customHeight="false" outlineLevel="0" collapsed="false">
      <c r="A3259" s="10" t="s">
        <v>5600</v>
      </c>
      <c r="B3259" s="10" t="s">
        <v>74</v>
      </c>
      <c r="C3259" s="10" t="s">
        <v>51</v>
      </c>
      <c r="D3259" s="10" t="s">
        <v>179</v>
      </c>
      <c r="E3259" s="10" t="s">
        <v>2342</v>
      </c>
      <c r="F3259" s="30" t="n">
        <v>42941</v>
      </c>
      <c r="G3259" s="30" t="n">
        <v>42946</v>
      </c>
      <c r="H3259" s="26" t="n">
        <f aca="false">G3259-F3259</f>
        <v>5</v>
      </c>
      <c r="I3259" s="10" t="n">
        <f aca="false">IF(E3259="Won",1,0)</f>
        <v>1</v>
      </c>
    </row>
    <row r="3260" customFormat="false" ht="15" hidden="false" customHeight="false" outlineLevel="0" collapsed="false">
      <c r="A3260" s="10" t="s">
        <v>5601</v>
      </c>
      <c r="B3260" s="10" t="s">
        <v>90</v>
      </c>
      <c r="C3260" s="10" t="s">
        <v>51</v>
      </c>
      <c r="D3260" s="10" t="s">
        <v>692</v>
      </c>
      <c r="E3260" s="10" t="s">
        <v>2345</v>
      </c>
      <c r="F3260" s="30" t="n">
        <v>42938</v>
      </c>
      <c r="G3260" s="30" t="n">
        <v>42946</v>
      </c>
      <c r="H3260" s="26" t="n">
        <f aca="false">G3260-F3260</f>
        <v>8</v>
      </c>
      <c r="I3260" s="10" t="n">
        <f aca="false">IF(E3260="Won",1,0)</f>
        <v>0</v>
      </c>
    </row>
    <row r="3261" customFormat="false" ht="15" hidden="false" customHeight="false" outlineLevel="0" collapsed="false">
      <c r="A3261" s="10" t="s">
        <v>5602</v>
      </c>
      <c r="B3261" s="10" t="s">
        <v>84</v>
      </c>
      <c r="C3261" s="10" t="s">
        <v>49</v>
      </c>
      <c r="D3261" s="10" t="s">
        <v>233</v>
      </c>
      <c r="E3261" s="10" t="s">
        <v>2345</v>
      </c>
      <c r="F3261" s="30" t="n">
        <v>42936</v>
      </c>
      <c r="G3261" s="30" t="n">
        <v>42946</v>
      </c>
      <c r="H3261" s="26" t="n">
        <f aca="false">G3261-F3261</f>
        <v>10</v>
      </c>
      <c r="I3261" s="10" t="n">
        <f aca="false">IF(E3261="Won",1,0)</f>
        <v>0</v>
      </c>
    </row>
    <row r="3262" customFormat="false" ht="15" hidden="false" customHeight="false" outlineLevel="0" collapsed="false">
      <c r="A3262" s="10" t="s">
        <v>5603</v>
      </c>
      <c r="B3262" s="10" t="s">
        <v>75</v>
      </c>
      <c r="C3262" s="10" t="s">
        <v>51</v>
      </c>
      <c r="D3262" s="10" t="s">
        <v>369</v>
      </c>
      <c r="E3262" s="10" t="s">
        <v>2342</v>
      </c>
      <c r="F3262" s="30" t="n">
        <v>42937</v>
      </c>
      <c r="G3262" s="30" t="n">
        <v>42946</v>
      </c>
      <c r="H3262" s="26" t="n">
        <f aca="false">G3262-F3262</f>
        <v>9</v>
      </c>
      <c r="I3262" s="10" t="n">
        <f aca="false">IF(E3262="Won",1,0)</f>
        <v>1</v>
      </c>
    </row>
    <row r="3263" customFormat="false" ht="15" hidden="false" customHeight="false" outlineLevel="0" collapsed="false">
      <c r="A3263" s="10" t="s">
        <v>5604</v>
      </c>
      <c r="B3263" s="10" t="s">
        <v>60</v>
      </c>
      <c r="C3263" s="10" t="s">
        <v>47</v>
      </c>
      <c r="D3263" s="10" t="s">
        <v>350</v>
      </c>
      <c r="E3263" s="10" t="s">
        <v>2345</v>
      </c>
      <c r="F3263" s="30" t="n">
        <v>42934</v>
      </c>
      <c r="G3263" s="30" t="n">
        <v>42946</v>
      </c>
      <c r="H3263" s="26" t="n">
        <f aca="false">G3263-F3263</f>
        <v>12</v>
      </c>
      <c r="I3263" s="10" t="n">
        <f aca="false">IF(E3263="Won",1,0)</f>
        <v>0</v>
      </c>
    </row>
    <row r="3264" customFormat="false" ht="15" hidden="false" customHeight="false" outlineLevel="0" collapsed="false">
      <c r="A3264" s="10" t="s">
        <v>5605</v>
      </c>
      <c r="B3264" s="10" t="s">
        <v>62</v>
      </c>
      <c r="C3264" s="10" t="s">
        <v>52</v>
      </c>
      <c r="D3264" s="10" t="s">
        <v>637</v>
      </c>
      <c r="E3264" s="10" t="s">
        <v>2345</v>
      </c>
      <c r="F3264" s="30" t="n">
        <v>42940</v>
      </c>
      <c r="G3264" s="30" t="n">
        <v>42946</v>
      </c>
      <c r="H3264" s="26" t="n">
        <f aca="false">G3264-F3264</f>
        <v>6</v>
      </c>
      <c r="I3264" s="10" t="n">
        <f aca="false">IF(E3264="Won",1,0)</f>
        <v>0</v>
      </c>
    </row>
    <row r="3265" customFormat="false" ht="15" hidden="false" customHeight="false" outlineLevel="0" collapsed="false">
      <c r="A3265" s="10" t="s">
        <v>5606</v>
      </c>
      <c r="B3265" s="10" t="s">
        <v>74</v>
      </c>
      <c r="C3265" s="10" t="s">
        <v>50</v>
      </c>
      <c r="D3265" s="10" t="s">
        <v>512</v>
      </c>
      <c r="E3265" s="10" t="s">
        <v>2342</v>
      </c>
      <c r="F3265" s="30" t="n">
        <v>42935</v>
      </c>
      <c r="G3265" s="30" t="n">
        <v>42946</v>
      </c>
      <c r="H3265" s="26" t="n">
        <f aca="false">G3265-F3265</f>
        <v>11</v>
      </c>
      <c r="I3265" s="10" t="n">
        <f aca="false">IF(E3265="Won",1,0)</f>
        <v>1</v>
      </c>
    </row>
    <row r="3266" customFormat="false" ht="15" hidden="false" customHeight="false" outlineLevel="0" collapsed="false">
      <c r="A3266" s="10" t="s">
        <v>5607</v>
      </c>
      <c r="B3266" s="10" t="s">
        <v>74</v>
      </c>
      <c r="C3266" s="10" t="s">
        <v>49</v>
      </c>
      <c r="D3266" s="10" t="s">
        <v>947</v>
      </c>
      <c r="E3266" s="10" t="s">
        <v>2345</v>
      </c>
      <c r="F3266" s="30" t="n">
        <v>42942</v>
      </c>
      <c r="G3266" s="30" t="n">
        <v>42946</v>
      </c>
      <c r="H3266" s="26" t="n">
        <f aca="false">G3266-F3266</f>
        <v>4</v>
      </c>
      <c r="I3266" s="10" t="n">
        <f aca="false">IF(E3266="Won",1,0)</f>
        <v>0</v>
      </c>
    </row>
    <row r="3267" customFormat="false" ht="15" hidden="false" customHeight="false" outlineLevel="0" collapsed="false">
      <c r="A3267" s="10" t="s">
        <v>5608</v>
      </c>
      <c r="B3267" s="10" t="s">
        <v>90</v>
      </c>
      <c r="C3267" s="10" t="s">
        <v>48</v>
      </c>
      <c r="D3267" s="10" t="s">
        <v>332</v>
      </c>
      <c r="E3267" s="10" t="s">
        <v>2342</v>
      </c>
      <c r="F3267" s="30" t="n">
        <v>42939</v>
      </c>
      <c r="G3267" s="30" t="n">
        <v>42946</v>
      </c>
      <c r="H3267" s="26" t="n">
        <f aca="false">G3267-F3267</f>
        <v>7</v>
      </c>
      <c r="I3267" s="10" t="n">
        <f aca="false">IF(E3267="Won",1,0)</f>
        <v>1</v>
      </c>
    </row>
    <row r="3268" customFormat="false" ht="15" hidden="false" customHeight="false" outlineLevel="0" collapsed="false">
      <c r="A3268" s="10" t="s">
        <v>5609</v>
      </c>
      <c r="B3268" s="10" t="s">
        <v>76</v>
      </c>
      <c r="C3268" s="10" t="s">
        <v>49</v>
      </c>
      <c r="D3268" s="10" t="s">
        <v>947</v>
      </c>
      <c r="E3268" s="10" t="s">
        <v>2342</v>
      </c>
      <c r="F3268" s="30" t="n">
        <v>42937</v>
      </c>
      <c r="G3268" s="30" t="n">
        <v>42946</v>
      </c>
      <c r="H3268" s="26" t="n">
        <f aca="false">G3268-F3268</f>
        <v>9</v>
      </c>
      <c r="I3268" s="10" t="n">
        <f aca="false">IF(E3268="Won",1,0)</f>
        <v>1</v>
      </c>
    </row>
    <row r="3269" customFormat="false" ht="15" hidden="false" customHeight="false" outlineLevel="0" collapsed="false">
      <c r="A3269" s="10" t="s">
        <v>5610</v>
      </c>
      <c r="B3269" s="10" t="s">
        <v>95</v>
      </c>
      <c r="C3269" s="10" t="s">
        <v>50</v>
      </c>
      <c r="D3269" s="10" t="s">
        <v>227</v>
      </c>
      <c r="E3269" s="10" t="s">
        <v>2342</v>
      </c>
      <c r="F3269" s="30" t="n">
        <v>42937</v>
      </c>
      <c r="G3269" s="30" t="n">
        <v>42946</v>
      </c>
      <c r="H3269" s="26" t="n">
        <f aca="false">G3269-F3269</f>
        <v>9</v>
      </c>
      <c r="I3269" s="10" t="n">
        <f aca="false">IF(E3269="Won",1,0)</f>
        <v>1</v>
      </c>
    </row>
    <row r="3270" customFormat="false" ht="15" hidden="false" customHeight="false" outlineLevel="0" collapsed="false">
      <c r="A3270" s="10" t="s">
        <v>5611</v>
      </c>
      <c r="B3270" s="10" t="s">
        <v>63</v>
      </c>
      <c r="C3270" s="10" t="s">
        <v>51</v>
      </c>
      <c r="D3270" s="10" t="s">
        <v>637</v>
      </c>
      <c r="E3270" s="10" t="s">
        <v>2342</v>
      </c>
      <c r="F3270" s="30" t="n">
        <v>42939</v>
      </c>
      <c r="G3270" s="30" t="n">
        <v>42946</v>
      </c>
      <c r="H3270" s="26" t="n">
        <f aca="false">G3270-F3270</f>
        <v>7</v>
      </c>
      <c r="I3270" s="10" t="n">
        <f aca="false">IF(E3270="Won",1,0)</f>
        <v>1</v>
      </c>
    </row>
    <row r="3271" customFormat="false" ht="15" hidden="false" customHeight="false" outlineLevel="0" collapsed="false">
      <c r="A3271" s="10" t="s">
        <v>5612</v>
      </c>
      <c r="B3271" s="10" t="s">
        <v>74</v>
      </c>
      <c r="C3271" s="10" t="s">
        <v>47</v>
      </c>
      <c r="D3271" s="10" t="s">
        <v>697</v>
      </c>
      <c r="E3271" s="10" t="s">
        <v>2345</v>
      </c>
      <c r="F3271" s="30" t="n">
        <v>42935</v>
      </c>
      <c r="G3271" s="30" t="n">
        <v>42946</v>
      </c>
      <c r="H3271" s="26" t="n">
        <f aca="false">G3271-F3271</f>
        <v>11</v>
      </c>
      <c r="I3271" s="10" t="n">
        <f aca="false">IF(E3271="Won",1,0)</f>
        <v>0</v>
      </c>
    </row>
    <row r="3272" customFormat="false" ht="15" hidden="false" customHeight="false" outlineLevel="0" collapsed="false">
      <c r="A3272" s="10" t="s">
        <v>5613</v>
      </c>
      <c r="B3272" s="10" t="s">
        <v>95</v>
      </c>
      <c r="C3272" s="10" t="s">
        <v>51</v>
      </c>
      <c r="D3272" s="10" t="s">
        <v>199</v>
      </c>
      <c r="E3272" s="10" t="s">
        <v>2345</v>
      </c>
      <c r="F3272" s="30" t="n">
        <v>42935</v>
      </c>
      <c r="G3272" s="30" t="n">
        <v>42946</v>
      </c>
      <c r="H3272" s="26" t="n">
        <f aca="false">G3272-F3272</f>
        <v>11</v>
      </c>
      <c r="I3272" s="10" t="n">
        <f aca="false">IF(E3272="Won",1,0)</f>
        <v>0</v>
      </c>
    </row>
    <row r="3273" customFormat="false" ht="15" hidden="false" customHeight="false" outlineLevel="0" collapsed="false">
      <c r="A3273" s="10" t="s">
        <v>5614</v>
      </c>
      <c r="B3273" s="10" t="s">
        <v>68</v>
      </c>
      <c r="C3273" s="10" t="s">
        <v>48</v>
      </c>
      <c r="D3273" s="10" t="s">
        <v>487</v>
      </c>
      <c r="E3273" s="10" t="s">
        <v>2345</v>
      </c>
      <c r="F3273" s="30" t="n">
        <v>42938</v>
      </c>
      <c r="G3273" s="30" t="n">
        <v>42946</v>
      </c>
      <c r="H3273" s="26" t="n">
        <f aca="false">G3273-F3273</f>
        <v>8</v>
      </c>
      <c r="I3273" s="10" t="n">
        <f aca="false">IF(E3273="Won",1,0)</f>
        <v>0</v>
      </c>
    </row>
    <row r="3274" customFormat="false" ht="15" hidden="false" customHeight="false" outlineLevel="0" collapsed="false">
      <c r="A3274" s="10" t="s">
        <v>5615</v>
      </c>
      <c r="B3274" s="10" t="s">
        <v>66</v>
      </c>
      <c r="C3274" s="10" t="s">
        <v>49</v>
      </c>
      <c r="D3274" s="10" t="s">
        <v>233</v>
      </c>
      <c r="E3274" s="10" t="s">
        <v>2342</v>
      </c>
      <c r="F3274" s="30" t="n">
        <v>42940</v>
      </c>
      <c r="G3274" s="30" t="n">
        <v>42946</v>
      </c>
      <c r="H3274" s="26" t="n">
        <f aca="false">G3274-F3274</f>
        <v>6</v>
      </c>
      <c r="I3274" s="10" t="n">
        <f aca="false">IF(E3274="Won",1,0)</f>
        <v>1</v>
      </c>
    </row>
    <row r="3275" customFormat="false" ht="15" hidden="false" customHeight="false" outlineLevel="0" collapsed="false">
      <c r="A3275" s="10" t="s">
        <v>5616</v>
      </c>
      <c r="B3275" s="10" t="s">
        <v>96</v>
      </c>
      <c r="C3275" s="10" t="s">
        <v>48</v>
      </c>
      <c r="D3275" s="10" t="s">
        <v>233</v>
      </c>
      <c r="E3275" s="10" t="s">
        <v>2345</v>
      </c>
      <c r="F3275" s="30" t="n">
        <v>42942</v>
      </c>
      <c r="G3275" s="30" t="n">
        <v>42946</v>
      </c>
      <c r="H3275" s="26" t="n">
        <f aca="false">G3275-F3275</f>
        <v>4</v>
      </c>
      <c r="I3275" s="10" t="n">
        <f aca="false">IF(E3275="Won",1,0)</f>
        <v>0</v>
      </c>
    </row>
    <row r="3276" customFormat="false" ht="15" hidden="false" customHeight="false" outlineLevel="0" collapsed="false">
      <c r="A3276" s="10" t="s">
        <v>5617</v>
      </c>
      <c r="B3276" s="10" t="s">
        <v>87</v>
      </c>
      <c r="C3276" s="10" t="s">
        <v>47</v>
      </c>
      <c r="D3276" s="10" t="s">
        <v>532</v>
      </c>
      <c r="E3276" s="10" t="s">
        <v>2345</v>
      </c>
      <c r="F3276" s="30" t="n">
        <v>42935</v>
      </c>
      <c r="G3276" s="30" t="n">
        <v>42946</v>
      </c>
      <c r="H3276" s="26" t="n">
        <f aca="false">G3276-F3276</f>
        <v>11</v>
      </c>
      <c r="I3276" s="10" t="n">
        <f aca="false">IF(E3276="Won",1,0)</f>
        <v>0</v>
      </c>
    </row>
    <row r="3277" customFormat="false" ht="15" hidden="false" customHeight="false" outlineLevel="0" collapsed="false">
      <c r="A3277" s="10" t="s">
        <v>5618</v>
      </c>
      <c r="B3277" s="10" t="s">
        <v>57</v>
      </c>
      <c r="C3277" s="10" t="s">
        <v>50</v>
      </c>
      <c r="D3277" s="10" t="s">
        <v>359</v>
      </c>
      <c r="E3277" s="10" t="s">
        <v>2342</v>
      </c>
      <c r="F3277" s="30" t="n">
        <v>42935</v>
      </c>
      <c r="G3277" s="30" t="n">
        <v>42946</v>
      </c>
      <c r="H3277" s="26" t="n">
        <f aca="false">G3277-F3277</f>
        <v>11</v>
      </c>
      <c r="I3277" s="10" t="n">
        <f aca="false">IF(E3277="Won",1,0)</f>
        <v>1</v>
      </c>
    </row>
    <row r="3278" customFormat="false" ht="15" hidden="false" customHeight="false" outlineLevel="0" collapsed="false">
      <c r="A3278" s="10" t="s">
        <v>5619</v>
      </c>
      <c r="B3278" s="10" t="s">
        <v>88</v>
      </c>
      <c r="C3278" s="10" t="s">
        <v>48</v>
      </c>
      <c r="D3278" s="10" t="s">
        <v>1334</v>
      </c>
      <c r="E3278" s="10" t="s">
        <v>2345</v>
      </c>
      <c r="F3278" s="30" t="n">
        <v>42945</v>
      </c>
      <c r="G3278" s="30" t="n">
        <v>42946</v>
      </c>
      <c r="H3278" s="26" t="n">
        <f aca="false">G3278-F3278</f>
        <v>1</v>
      </c>
      <c r="I3278" s="10" t="n">
        <f aca="false">IF(E3278="Won",1,0)</f>
        <v>0</v>
      </c>
    </row>
    <row r="3279" customFormat="false" ht="15" hidden="false" customHeight="false" outlineLevel="0" collapsed="false">
      <c r="A3279" s="10" t="s">
        <v>5620</v>
      </c>
      <c r="B3279" s="10" t="s">
        <v>71</v>
      </c>
      <c r="C3279" s="10" t="s">
        <v>52</v>
      </c>
      <c r="D3279" s="10" t="s">
        <v>512</v>
      </c>
      <c r="E3279" s="10" t="s">
        <v>2345</v>
      </c>
      <c r="F3279" s="30" t="n">
        <v>42935</v>
      </c>
      <c r="G3279" s="30" t="n">
        <v>42946</v>
      </c>
      <c r="H3279" s="26" t="n">
        <f aca="false">G3279-F3279</f>
        <v>11</v>
      </c>
      <c r="I3279" s="10" t="n">
        <f aca="false">IF(E3279="Won",1,0)</f>
        <v>0</v>
      </c>
    </row>
    <row r="3280" customFormat="false" ht="15" hidden="false" customHeight="false" outlineLevel="0" collapsed="false">
      <c r="A3280" s="10" t="s">
        <v>5621</v>
      </c>
      <c r="B3280" s="10" t="s">
        <v>80</v>
      </c>
      <c r="C3280" s="10" t="s">
        <v>51</v>
      </c>
      <c r="D3280" s="10" t="s">
        <v>762</v>
      </c>
      <c r="E3280" s="10" t="s">
        <v>2345</v>
      </c>
      <c r="F3280" s="30" t="n">
        <v>42942</v>
      </c>
      <c r="G3280" s="30" t="n">
        <v>42946</v>
      </c>
      <c r="H3280" s="26" t="n">
        <f aca="false">G3280-F3280</f>
        <v>4</v>
      </c>
      <c r="I3280" s="10" t="n">
        <f aca="false">IF(E3280="Won",1,0)</f>
        <v>0</v>
      </c>
    </row>
    <row r="3281" customFormat="false" ht="15" hidden="false" customHeight="false" outlineLevel="0" collapsed="false">
      <c r="A3281" s="10" t="s">
        <v>5622</v>
      </c>
      <c r="B3281" s="10" t="s">
        <v>83</v>
      </c>
      <c r="C3281" s="10" t="s">
        <v>51</v>
      </c>
      <c r="D3281" s="10" t="s">
        <v>512</v>
      </c>
      <c r="E3281" s="10" t="s">
        <v>2342</v>
      </c>
      <c r="F3281" s="30" t="n">
        <v>42937</v>
      </c>
      <c r="G3281" s="30" t="n">
        <v>42946</v>
      </c>
      <c r="H3281" s="26" t="n">
        <f aca="false">G3281-F3281</f>
        <v>9</v>
      </c>
      <c r="I3281" s="10" t="n">
        <f aca="false">IF(E3281="Won",1,0)</f>
        <v>1</v>
      </c>
    </row>
    <row r="3282" customFormat="false" ht="15" hidden="false" customHeight="false" outlineLevel="0" collapsed="false">
      <c r="A3282" s="10" t="s">
        <v>5623</v>
      </c>
      <c r="B3282" s="10" t="s">
        <v>77</v>
      </c>
      <c r="C3282" s="10" t="s">
        <v>48</v>
      </c>
      <c r="D3282" s="10" t="s">
        <v>291</v>
      </c>
      <c r="E3282" s="10" t="s">
        <v>2342</v>
      </c>
      <c r="F3282" s="30" t="n">
        <v>42944</v>
      </c>
      <c r="G3282" s="30" t="n">
        <v>42946</v>
      </c>
      <c r="H3282" s="26" t="n">
        <f aca="false">G3282-F3282</f>
        <v>2</v>
      </c>
      <c r="I3282" s="10" t="n">
        <f aca="false">IF(E3282="Won",1,0)</f>
        <v>1</v>
      </c>
    </row>
    <row r="3283" customFormat="false" ht="15" hidden="false" customHeight="false" outlineLevel="0" collapsed="false">
      <c r="A3283" s="10" t="s">
        <v>5624</v>
      </c>
      <c r="B3283" s="10" t="s">
        <v>74</v>
      </c>
      <c r="C3283" s="10" t="s">
        <v>49</v>
      </c>
      <c r="D3283" s="10" t="s">
        <v>311</v>
      </c>
      <c r="E3283" s="10" t="s">
        <v>2345</v>
      </c>
      <c r="F3283" s="30" t="n">
        <v>42937</v>
      </c>
      <c r="G3283" s="30" t="n">
        <v>42946</v>
      </c>
      <c r="H3283" s="26" t="n">
        <f aca="false">G3283-F3283</f>
        <v>9</v>
      </c>
      <c r="I3283" s="10" t="n">
        <f aca="false">IF(E3283="Won",1,0)</f>
        <v>0</v>
      </c>
    </row>
    <row r="3284" customFormat="false" ht="15" hidden="false" customHeight="false" outlineLevel="0" collapsed="false">
      <c r="A3284" s="10" t="s">
        <v>5625</v>
      </c>
      <c r="B3284" s="10" t="s">
        <v>97</v>
      </c>
      <c r="C3284" s="10" t="s">
        <v>51</v>
      </c>
      <c r="D3284" s="10" t="s">
        <v>199</v>
      </c>
      <c r="E3284" s="10" t="s">
        <v>2345</v>
      </c>
      <c r="F3284" s="30" t="n">
        <v>42944</v>
      </c>
      <c r="G3284" s="30" t="n">
        <v>42946</v>
      </c>
      <c r="H3284" s="26" t="n">
        <f aca="false">G3284-F3284</f>
        <v>2</v>
      </c>
      <c r="I3284" s="10" t="n">
        <f aca="false">IF(E3284="Won",1,0)</f>
        <v>0</v>
      </c>
    </row>
    <row r="3285" customFormat="false" ht="15" hidden="false" customHeight="false" outlineLevel="0" collapsed="false">
      <c r="A3285" s="10" t="s">
        <v>5626</v>
      </c>
      <c r="B3285" s="10" t="s">
        <v>86</v>
      </c>
      <c r="C3285" s="10" t="s">
        <v>51</v>
      </c>
      <c r="D3285" s="10" t="s">
        <v>254</v>
      </c>
      <c r="E3285" s="10" t="s">
        <v>2342</v>
      </c>
      <c r="F3285" s="30" t="n">
        <v>42937</v>
      </c>
      <c r="G3285" s="30" t="n">
        <v>42946</v>
      </c>
      <c r="H3285" s="26" t="n">
        <f aca="false">G3285-F3285</f>
        <v>9</v>
      </c>
      <c r="I3285" s="10" t="n">
        <f aca="false">IF(E3285="Won",1,0)</f>
        <v>1</v>
      </c>
    </row>
    <row r="3286" customFormat="false" ht="15" hidden="false" customHeight="false" outlineLevel="0" collapsed="false">
      <c r="A3286" s="10" t="s">
        <v>5627</v>
      </c>
      <c r="B3286" s="10" t="s">
        <v>87</v>
      </c>
      <c r="C3286" s="10" t="s">
        <v>50</v>
      </c>
      <c r="D3286" s="10" t="s">
        <v>350</v>
      </c>
      <c r="E3286" s="10" t="s">
        <v>2342</v>
      </c>
      <c r="F3286" s="30" t="n">
        <v>42939</v>
      </c>
      <c r="G3286" s="30" t="n">
        <v>42946</v>
      </c>
      <c r="H3286" s="26" t="n">
        <f aca="false">G3286-F3286</f>
        <v>7</v>
      </c>
      <c r="I3286" s="10" t="n">
        <f aca="false">IF(E3286="Won",1,0)</f>
        <v>1</v>
      </c>
    </row>
    <row r="3287" customFormat="false" ht="15" hidden="false" customHeight="false" outlineLevel="0" collapsed="false">
      <c r="A3287" s="10" t="s">
        <v>5628</v>
      </c>
      <c r="B3287" s="10" t="s">
        <v>96</v>
      </c>
      <c r="C3287" s="10" t="s">
        <v>51</v>
      </c>
      <c r="D3287" s="10" t="s">
        <v>299</v>
      </c>
      <c r="E3287" s="10" t="s">
        <v>2345</v>
      </c>
      <c r="F3287" s="30" t="n">
        <v>42945</v>
      </c>
      <c r="G3287" s="30" t="n">
        <v>42946</v>
      </c>
      <c r="H3287" s="26" t="n">
        <f aca="false">G3287-F3287</f>
        <v>1</v>
      </c>
      <c r="I3287" s="10" t="n">
        <f aca="false">IF(E3287="Won",1,0)</f>
        <v>0</v>
      </c>
    </row>
    <row r="3288" customFormat="false" ht="15" hidden="false" customHeight="false" outlineLevel="0" collapsed="false">
      <c r="A3288" s="10" t="s">
        <v>5629</v>
      </c>
      <c r="B3288" s="10" t="s">
        <v>90</v>
      </c>
      <c r="C3288" s="10" t="s">
        <v>47</v>
      </c>
      <c r="D3288" s="10" t="s">
        <v>453</v>
      </c>
      <c r="E3288" s="10" t="s">
        <v>2345</v>
      </c>
      <c r="F3288" s="30" t="n">
        <v>42936</v>
      </c>
      <c r="G3288" s="30" t="n">
        <v>42946</v>
      </c>
      <c r="H3288" s="26" t="n">
        <f aca="false">G3288-F3288</f>
        <v>10</v>
      </c>
      <c r="I3288" s="10" t="n">
        <f aca="false">IF(E3288="Won",1,0)</f>
        <v>0</v>
      </c>
    </row>
    <row r="3289" customFormat="false" ht="15" hidden="false" customHeight="false" outlineLevel="0" collapsed="false">
      <c r="A3289" s="10" t="s">
        <v>5630</v>
      </c>
      <c r="B3289" s="10" t="s">
        <v>90</v>
      </c>
      <c r="C3289" s="10" t="s">
        <v>48</v>
      </c>
      <c r="D3289" s="10" t="s">
        <v>332</v>
      </c>
      <c r="E3289" s="10" t="s">
        <v>2345</v>
      </c>
      <c r="F3289" s="30" t="n">
        <v>42939</v>
      </c>
      <c r="G3289" s="30" t="n">
        <v>42947</v>
      </c>
      <c r="H3289" s="26" t="n">
        <f aca="false">G3289-F3289</f>
        <v>8</v>
      </c>
      <c r="I3289" s="10" t="n">
        <f aca="false">IF(E3289="Won",1,0)</f>
        <v>0</v>
      </c>
    </row>
    <row r="3290" customFormat="false" ht="15" hidden="false" customHeight="false" outlineLevel="0" collapsed="false">
      <c r="A3290" s="10" t="s">
        <v>5631</v>
      </c>
      <c r="B3290" s="10" t="s">
        <v>73</v>
      </c>
      <c r="C3290" s="10" t="s">
        <v>47</v>
      </c>
      <c r="D3290" s="10" t="s">
        <v>1251</v>
      </c>
      <c r="E3290" s="10" t="s">
        <v>2345</v>
      </c>
      <c r="F3290" s="30" t="n">
        <v>42942</v>
      </c>
      <c r="G3290" s="30" t="n">
        <v>42947</v>
      </c>
      <c r="H3290" s="26" t="n">
        <f aca="false">G3290-F3290</f>
        <v>5</v>
      </c>
      <c r="I3290" s="10" t="n">
        <f aca="false">IF(E3290="Won",1,0)</f>
        <v>0</v>
      </c>
    </row>
    <row r="3291" customFormat="false" ht="15" hidden="false" customHeight="false" outlineLevel="0" collapsed="false">
      <c r="A3291" s="10" t="s">
        <v>5632</v>
      </c>
      <c r="B3291" s="10" t="s">
        <v>90</v>
      </c>
      <c r="C3291" s="10" t="s">
        <v>51</v>
      </c>
      <c r="D3291" s="10" t="s">
        <v>350</v>
      </c>
      <c r="E3291" s="10" t="s">
        <v>2342</v>
      </c>
      <c r="F3291" s="30" t="n">
        <v>42939</v>
      </c>
      <c r="G3291" s="30" t="n">
        <v>42947</v>
      </c>
      <c r="H3291" s="26" t="n">
        <f aca="false">G3291-F3291</f>
        <v>8</v>
      </c>
      <c r="I3291" s="10" t="n">
        <f aca="false">IF(E3291="Won",1,0)</f>
        <v>1</v>
      </c>
    </row>
    <row r="3292" customFormat="false" ht="15" hidden="false" customHeight="false" outlineLevel="0" collapsed="false">
      <c r="A3292" s="10" t="s">
        <v>5633</v>
      </c>
      <c r="B3292" s="10" t="s">
        <v>67</v>
      </c>
      <c r="C3292" s="10" t="s">
        <v>49</v>
      </c>
      <c r="D3292" s="10" t="s">
        <v>299</v>
      </c>
      <c r="E3292" s="10" t="s">
        <v>2345</v>
      </c>
      <c r="F3292" s="30" t="n">
        <v>42946</v>
      </c>
      <c r="G3292" s="30" t="n">
        <v>42947</v>
      </c>
      <c r="H3292" s="26" t="n">
        <f aca="false">G3292-F3292</f>
        <v>1</v>
      </c>
      <c r="I3292" s="10" t="n">
        <f aca="false">IF(E3292="Won",1,0)</f>
        <v>0</v>
      </c>
    </row>
    <row r="3293" customFormat="false" ht="15" hidden="false" customHeight="false" outlineLevel="0" collapsed="false">
      <c r="A3293" s="10" t="s">
        <v>5634</v>
      </c>
      <c r="B3293" s="10" t="s">
        <v>61</v>
      </c>
      <c r="C3293" s="10" t="s">
        <v>48</v>
      </c>
      <c r="D3293" s="10" t="s">
        <v>692</v>
      </c>
      <c r="E3293" s="10" t="s">
        <v>2342</v>
      </c>
      <c r="F3293" s="30" t="n">
        <v>42936</v>
      </c>
      <c r="G3293" s="30" t="n">
        <v>42947</v>
      </c>
      <c r="H3293" s="26" t="n">
        <f aca="false">G3293-F3293</f>
        <v>11</v>
      </c>
      <c r="I3293" s="10" t="n">
        <f aca="false">IF(E3293="Won",1,0)</f>
        <v>1</v>
      </c>
    </row>
    <row r="3294" customFormat="false" ht="15" hidden="false" customHeight="false" outlineLevel="0" collapsed="false">
      <c r="A3294" s="10" t="s">
        <v>5635</v>
      </c>
      <c r="B3294" s="10" t="s">
        <v>88</v>
      </c>
      <c r="C3294" s="10" t="s">
        <v>47</v>
      </c>
      <c r="D3294" s="10" t="s">
        <v>427</v>
      </c>
      <c r="E3294" s="10" t="s">
        <v>2342</v>
      </c>
      <c r="F3294" s="30" t="n">
        <v>42945</v>
      </c>
      <c r="G3294" s="30" t="n">
        <v>42947</v>
      </c>
      <c r="H3294" s="26" t="n">
        <f aca="false">G3294-F3294</f>
        <v>2</v>
      </c>
      <c r="I3294" s="10" t="n">
        <f aca="false">IF(E3294="Won",1,0)</f>
        <v>1</v>
      </c>
    </row>
    <row r="3295" customFormat="false" ht="15" hidden="false" customHeight="false" outlineLevel="0" collapsed="false">
      <c r="A3295" s="10" t="s">
        <v>5636</v>
      </c>
      <c r="B3295" s="10" t="s">
        <v>77</v>
      </c>
      <c r="C3295" s="10" t="s">
        <v>48</v>
      </c>
      <c r="D3295" s="10" t="s">
        <v>388</v>
      </c>
      <c r="E3295" s="10" t="s">
        <v>2342</v>
      </c>
      <c r="F3295" s="30" t="n">
        <v>42940</v>
      </c>
      <c r="G3295" s="30" t="n">
        <v>42947</v>
      </c>
      <c r="H3295" s="26" t="n">
        <f aca="false">G3295-F3295</f>
        <v>7</v>
      </c>
      <c r="I3295" s="10" t="n">
        <f aca="false">IF(E3295="Won",1,0)</f>
        <v>1</v>
      </c>
    </row>
    <row r="3296" customFormat="false" ht="15" hidden="false" customHeight="false" outlineLevel="0" collapsed="false">
      <c r="A3296" s="10" t="s">
        <v>5637</v>
      </c>
      <c r="B3296" s="10" t="s">
        <v>77</v>
      </c>
      <c r="C3296" s="10" t="s">
        <v>52</v>
      </c>
      <c r="D3296" s="10" t="s">
        <v>422</v>
      </c>
      <c r="E3296" s="10" t="s">
        <v>2342</v>
      </c>
      <c r="F3296" s="30" t="n">
        <v>42946</v>
      </c>
      <c r="G3296" s="30" t="n">
        <v>42947</v>
      </c>
      <c r="H3296" s="26" t="n">
        <f aca="false">G3296-F3296</f>
        <v>1</v>
      </c>
      <c r="I3296" s="10" t="n">
        <f aca="false">IF(E3296="Won",1,0)</f>
        <v>1</v>
      </c>
    </row>
    <row r="3297" customFormat="false" ht="15" hidden="false" customHeight="false" outlineLevel="0" collapsed="false">
      <c r="A3297" s="10" t="s">
        <v>5638</v>
      </c>
      <c r="B3297" s="10" t="s">
        <v>77</v>
      </c>
      <c r="C3297" s="10" t="s">
        <v>51</v>
      </c>
      <c r="D3297" s="10" t="s">
        <v>311</v>
      </c>
      <c r="E3297" s="10" t="s">
        <v>2342</v>
      </c>
      <c r="F3297" s="30" t="n">
        <v>42941</v>
      </c>
      <c r="G3297" s="30" t="n">
        <v>42947</v>
      </c>
      <c r="H3297" s="26" t="n">
        <f aca="false">G3297-F3297</f>
        <v>6</v>
      </c>
      <c r="I3297" s="10" t="n">
        <f aca="false">IF(E3297="Won",1,0)</f>
        <v>1</v>
      </c>
    </row>
    <row r="3298" customFormat="false" ht="15" hidden="false" customHeight="false" outlineLevel="0" collapsed="false">
      <c r="A3298" s="10" t="s">
        <v>5639</v>
      </c>
      <c r="B3298" s="10" t="s">
        <v>80</v>
      </c>
      <c r="C3298" s="10" t="s">
        <v>48</v>
      </c>
      <c r="D3298" s="10" t="s">
        <v>267</v>
      </c>
      <c r="E3298" s="10" t="s">
        <v>2342</v>
      </c>
      <c r="F3298" s="30" t="n">
        <v>42946</v>
      </c>
      <c r="G3298" s="30" t="n">
        <v>42947</v>
      </c>
      <c r="H3298" s="26" t="n">
        <f aca="false">G3298-F3298</f>
        <v>1</v>
      </c>
      <c r="I3298" s="10" t="n">
        <f aca="false">IF(E3298="Won",1,0)</f>
        <v>1</v>
      </c>
    </row>
    <row r="3299" customFormat="false" ht="15" hidden="false" customHeight="false" outlineLevel="0" collapsed="false">
      <c r="A3299" s="10" t="s">
        <v>5640</v>
      </c>
      <c r="B3299" s="10" t="s">
        <v>76</v>
      </c>
      <c r="C3299" s="10" t="s">
        <v>52</v>
      </c>
      <c r="D3299" s="10" t="s">
        <v>483</v>
      </c>
      <c r="E3299" s="10" t="s">
        <v>2342</v>
      </c>
      <c r="F3299" s="30" t="n">
        <v>42940</v>
      </c>
      <c r="G3299" s="30" t="n">
        <v>42947</v>
      </c>
      <c r="H3299" s="26" t="n">
        <f aca="false">G3299-F3299</f>
        <v>7</v>
      </c>
      <c r="I3299" s="10" t="n">
        <f aca="false">IF(E3299="Won",1,0)</f>
        <v>1</v>
      </c>
    </row>
    <row r="3300" customFormat="false" ht="15" hidden="false" customHeight="false" outlineLevel="0" collapsed="false">
      <c r="A3300" s="10" t="s">
        <v>5641</v>
      </c>
      <c r="B3300" s="10" t="s">
        <v>74</v>
      </c>
      <c r="C3300" s="10" t="s">
        <v>51</v>
      </c>
      <c r="D3300" s="10" t="s">
        <v>512</v>
      </c>
      <c r="E3300" s="10" t="s">
        <v>2345</v>
      </c>
      <c r="F3300" s="30" t="n">
        <v>42941</v>
      </c>
      <c r="G3300" s="30" t="n">
        <v>42947</v>
      </c>
      <c r="H3300" s="26" t="n">
        <f aca="false">G3300-F3300</f>
        <v>6</v>
      </c>
      <c r="I3300" s="10" t="n">
        <f aca="false">IF(E3300="Won",1,0)</f>
        <v>0</v>
      </c>
    </row>
    <row r="3301" customFormat="false" ht="15" hidden="false" customHeight="false" outlineLevel="0" collapsed="false">
      <c r="A3301" s="10" t="s">
        <v>5642</v>
      </c>
      <c r="B3301" s="10" t="s">
        <v>77</v>
      </c>
      <c r="C3301" s="10" t="s">
        <v>50</v>
      </c>
      <c r="D3301" s="10" t="s">
        <v>311</v>
      </c>
      <c r="E3301" s="10" t="s">
        <v>2342</v>
      </c>
      <c r="F3301" s="30" t="n">
        <v>42939</v>
      </c>
      <c r="G3301" s="30" t="n">
        <v>42947</v>
      </c>
      <c r="H3301" s="26" t="n">
        <f aca="false">G3301-F3301</f>
        <v>8</v>
      </c>
      <c r="I3301" s="10" t="n">
        <f aca="false">IF(E3301="Won",1,0)</f>
        <v>1</v>
      </c>
    </row>
    <row r="3302" customFormat="false" ht="15" hidden="false" customHeight="false" outlineLevel="0" collapsed="false">
      <c r="A3302" s="10" t="s">
        <v>5643</v>
      </c>
      <c r="B3302" s="10" t="s">
        <v>67</v>
      </c>
      <c r="C3302" s="10" t="s">
        <v>50</v>
      </c>
      <c r="D3302" s="10" t="s">
        <v>424</v>
      </c>
      <c r="E3302" s="10" t="s">
        <v>2345</v>
      </c>
      <c r="F3302" s="30" t="n">
        <v>42939</v>
      </c>
      <c r="G3302" s="30" t="n">
        <v>42947</v>
      </c>
      <c r="H3302" s="26" t="n">
        <f aca="false">G3302-F3302</f>
        <v>8</v>
      </c>
      <c r="I3302" s="10" t="n">
        <f aca="false">IF(E3302="Won",1,0)</f>
        <v>0</v>
      </c>
    </row>
    <row r="3303" customFormat="false" ht="15" hidden="false" customHeight="false" outlineLevel="0" collapsed="false">
      <c r="A3303" s="10" t="s">
        <v>5644</v>
      </c>
      <c r="B3303" s="10" t="s">
        <v>79</v>
      </c>
      <c r="C3303" s="10" t="s">
        <v>49</v>
      </c>
      <c r="D3303" s="10" t="s">
        <v>311</v>
      </c>
      <c r="E3303" s="10" t="s">
        <v>2342</v>
      </c>
      <c r="F3303" s="30" t="n">
        <v>42937</v>
      </c>
      <c r="G3303" s="30" t="n">
        <v>42947</v>
      </c>
      <c r="H3303" s="26" t="n">
        <f aca="false">G3303-F3303</f>
        <v>10</v>
      </c>
      <c r="I3303" s="10" t="n">
        <f aca="false">IF(E3303="Won",1,0)</f>
        <v>1</v>
      </c>
    </row>
    <row r="3304" customFormat="false" ht="15" hidden="false" customHeight="false" outlineLevel="0" collapsed="false">
      <c r="A3304" s="10" t="s">
        <v>5645</v>
      </c>
      <c r="B3304" s="10" t="s">
        <v>66</v>
      </c>
      <c r="C3304" s="10" t="s">
        <v>52</v>
      </c>
      <c r="D3304" s="10" t="s">
        <v>210</v>
      </c>
      <c r="E3304" s="10" t="s">
        <v>2345</v>
      </c>
      <c r="F3304" s="30" t="n">
        <v>42934</v>
      </c>
      <c r="G3304" s="30" t="n">
        <v>42947</v>
      </c>
      <c r="H3304" s="26" t="n">
        <f aca="false">G3304-F3304</f>
        <v>13</v>
      </c>
      <c r="I3304" s="10" t="n">
        <f aca="false">IF(E3304="Won",1,0)</f>
        <v>0</v>
      </c>
    </row>
    <row r="3305" customFormat="false" ht="15" hidden="false" customHeight="false" outlineLevel="0" collapsed="false">
      <c r="A3305" s="10" t="s">
        <v>5646</v>
      </c>
      <c r="B3305" s="10" t="s">
        <v>94</v>
      </c>
      <c r="C3305" s="10" t="s">
        <v>47</v>
      </c>
      <c r="D3305" s="10" t="s">
        <v>172</v>
      </c>
      <c r="E3305" s="10" t="s">
        <v>2342</v>
      </c>
      <c r="F3305" s="30" t="n">
        <v>42945</v>
      </c>
      <c r="G3305" s="30" t="n">
        <v>42947</v>
      </c>
      <c r="H3305" s="26" t="n">
        <f aca="false">G3305-F3305</f>
        <v>2</v>
      </c>
      <c r="I3305" s="10" t="n">
        <f aca="false">IF(E3305="Won",1,0)</f>
        <v>1</v>
      </c>
    </row>
    <row r="3306" customFormat="false" ht="15" hidden="false" customHeight="false" outlineLevel="0" collapsed="false">
      <c r="A3306" s="10" t="s">
        <v>5647</v>
      </c>
      <c r="B3306" s="10" t="s">
        <v>96</v>
      </c>
      <c r="C3306" s="10" t="s">
        <v>48</v>
      </c>
      <c r="D3306" s="10" t="s">
        <v>384</v>
      </c>
      <c r="E3306" s="10" t="s">
        <v>2342</v>
      </c>
      <c r="F3306" s="30" t="n">
        <v>42946</v>
      </c>
      <c r="G3306" s="30" t="n">
        <v>42947</v>
      </c>
      <c r="H3306" s="26" t="n">
        <f aca="false">G3306-F3306</f>
        <v>1</v>
      </c>
      <c r="I3306" s="10" t="n">
        <f aca="false">IF(E3306="Won",1,0)</f>
        <v>1</v>
      </c>
    </row>
    <row r="3307" customFormat="false" ht="15" hidden="false" customHeight="false" outlineLevel="0" collapsed="false">
      <c r="A3307" s="10" t="s">
        <v>5648</v>
      </c>
      <c r="B3307" s="10" t="s">
        <v>57</v>
      </c>
      <c r="C3307" s="10" t="s">
        <v>48</v>
      </c>
      <c r="D3307" s="10" t="s">
        <v>359</v>
      </c>
      <c r="E3307" s="10" t="s">
        <v>2345</v>
      </c>
      <c r="F3307" s="30" t="n">
        <v>42936</v>
      </c>
      <c r="G3307" s="30" t="n">
        <v>42947</v>
      </c>
      <c r="H3307" s="26" t="n">
        <f aca="false">G3307-F3307</f>
        <v>11</v>
      </c>
      <c r="I3307" s="10" t="n">
        <f aca="false">IF(E3307="Won",1,0)</f>
        <v>0</v>
      </c>
    </row>
    <row r="3308" customFormat="false" ht="15" hidden="false" customHeight="false" outlineLevel="0" collapsed="false">
      <c r="A3308" s="10" t="s">
        <v>5649</v>
      </c>
      <c r="B3308" s="10" t="s">
        <v>90</v>
      </c>
      <c r="C3308" s="10" t="s">
        <v>47</v>
      </c>
      <c r="D3308" s="10" t="s">
        <v>233</v>
      </c>
      <c r="E3308" s="10" t="s">
        <v>2342</v>
      </c>
      <c r="F3308" s="30" t="n">
        <v>42862</v>
      </c>
      <c r="G3308" s="30" t="n">
        <v>42948</v>
      </c>
      <c r="H3308" s="26" t="n">
        <f aca="false">G3308-F3308</f>
        <v>86</v>
      </c>
      <c r="I3308" s="10" t="n">
        <f aca="false">IF(E3308="Won",1,0)</f>
        <v>1</v>
      </c>
    </row>
    <row r="3309" customFormat="false" ht="15" hidden="false" customHeight="false" outlineLevel="0" collapsed="false">
      <c r="A3309" s="10" t="s">
        <v>5650</v>
      </c>
      <c r="B3309" s="10" t="s">
        <v>62</v>
      </c>
      <c r="C3309" s="10" t="s">
        <v>49</v>
      </c>
      <c r="D3309" s="10" t="s">
        <v>464</v>
      </c>
      <c r="E3309" s="10" t="s">
        <v>2342</v>
      </c>
      <c r="F3309" s="30" t="n">
        <v>42872</v>
      </c>
      <c r="G3309" s="30" t="n">
        <v>42948</v>
      </c>
      <c r="H3309" s="26" t="n">
        <f aca="false">G3309-F3309</f>
        <v>76</v>
      </c>
      <c r="I3309" s="10" t="n">
        <f aca="false">IF(E3309="Won",1,0)</f>
        <v>1</v>
      </c>
    </row>
    <row r="3310" customFormat="false" ht="15" hidden="false" customHeight="false" outlineLevel="0" collapsed="false">
      <c r="A3310" s="10" t="s">
        <v>5651</v>
      </c>
      <c r="B3310" s="10" t="s">
        <v>95</v>
      </c>
      <c r="C3310" s="10" t="s">
        <v>51</v>
      </c>
      <c r="D3310" s="10" t="s">
        <v>487</v>
      </c>
      <c r="E3310" s="10" t="s">
        <v>2345</v>
      </c>
      <c r="F3310" s="30" t="n">
        <v>42892</v>
      </c>
      <c r="G3310" s="30" t="n">
        <v>42948</v>
      </c>
      <c r="H3310" s="26" t="n">
        <f aca="false">G3310-F3310</f>
        <v>56</v>
      </c>
      <c r="I3310" s="10" t="n">
        <f aca="false">IF(E3310="Won",1,0)</f>
        <v>0</v>
      </c>
    </row>
    <row r="3311" customFormat="false" ht="15" hidden="false" customHeight="false" outlineLevel="0" collapsed="false">
      <c r="A3311" s="10" t="s">
        <v>5652</v>
      </c>
      <c r="B3311" s="10" t="s">
        <v>79</v>
      </c>
      <c r="C3311" s="10" t="s">
        <v>50</v>
      </c>
      <c r="D3311" s="10" t="s">
        <v>1948</v>
      </c>
      <c r="E3311" s="10" t="s">
        <v>2342</v>
      </c>
      <c r="F3311" s="30" t="n">
        <v>42852</v>
      </c>
      <c r="G3311" s="30" t="n">
        <v>42948</v>
      </c>
      <c r="H3311" s="26" t="n">
        <f aca="false">G3311-F3311</f>
        <v>96</v>
      </c>
      <c r="I3311" s="10" t="n">
        <f aca="false">IF(E3311="Won",1,0)</f>
        <v>1</v>
      </c>
    </row>
    <row r="3312" customFormat="false" ht="15" hidden="false" customHeight="false" outlineLevel="0" collapsed="false">
      <c r="A3312" s="10" t="s">
        <v>5653</v>
      </c>
      <c r="B3312" s="10" t="s">
        <v>71</v>
      </c>
      <c r="C3312" s="10" t="s">
        <v>47</v>
      </c>
      <c r="D3312" s="10" t="s">
        <v>414</v>
      </c>
      <c r="E3312" s="10" t="s">
        <v>2345</v>
      </c>
      <c r="F3312" s="30" t="n">
        <v>42851</v>
      </c>
      <c r="G3312" s="30" t="n">
        <v>42948</v>
      </c>
      <c r="H3312" s="26" t="n">
        <f aca="false">G3312-F3312</f>
        <v>97</v>
      </c>
      <c r="I3312" s="10" t="n">
        <f aca="false">IF(E3312="Won",1,0)</f>
        <v>0</v>
      </c>
    </row>
    <row r="3313" customFormat="false" ht="15" hidden="false" customHeight="false" outlineLevel="0" collapsed="false">
      <c r="A3313" s="10" t="s">
        <v>5654</v>
      </c>
      <c r="B3313" s="10" t="s">
        <v>74</v>
      </c>
      <c r="C3313" s="10" t="s">
        <v>51</v>
      </c>
      <c r="D3313" s="10" t="s">
        <v>179</v>
      </c>
      <c r="E3313" s="10" t="s">
        <v>2345</v>
      </c>
      <c r="F3313" s="30" t="n">
        <v>42945</v>
      </c>
      <c r="G3313" s="30" t="n">
        <v>42948</v>
      </c>
      <c r="H3313" s="26" t="n">
        <f aca="false">G3313-F3313</f>
        <v>3</v>
      </c>
      <c r="I3313" s="10" t="n">
        <f aca="false">IF(E3313="Won",1,0)</f>
        <v>0</v>
      </c>
    </row>
    <row r="3314" customFormat="false" ht="15" hidden="false" customHeight="false" outlineLevel="0" collapsed="false">
      <c r="A3314" s="10" t="s">
        <v>5655</v>
      </c>
      <c r="B3314" s="10" t="s">
        <v>62</v>
      </c>
      <c r="C3314" s="10" t="s">
        <v>52</v>
      </c>
      <c r="D3314" s="10" t="s">
        <v>405</v>
      </c>
      <c r="E3314" s="10" t="s">
        <v>2345</v>
      </c>
      <c r="F3314" s="30" t="n">
        <v>42891</v>
      </c>
      <c r="G3314" s="30" t="n">
        <v>42948</v>
      </c>
      <c r="H3314" s="26" t="n">
        <f aca="false">G3314-F3314</f>
        <v>57</v>
      </c>
      <c r="I3314" s="10" t="n">
        <f aca="false">IF(E3314="Won",1,0)</f>
        <v>0</v>
      </c>
    </row>
    <row r="3315" customFormat="false" ht="15" hidden="false" customHeight="false" outlineLevel="0" collapsed="false">
      <c r="A3315" s="10" t="s">
        <v>5656</v>
      </c>
      <c r="B3315" s="10" t="s">
        <v>87</v>
      </c>
      <c r="C3315" s="10" t="s">
        <v>52</v>
      </c>
      <c r="D3315" s="10" t="s">
        <v>464</v>
      </c>
      <c r="E3315" s="10" t="s">
        <v>2342</v>
      </c>
      <c r="F3315" s="30" t="n">
        <v>42941</v>
      </c>
      <c r="G3315" s="30" t="n">
        <v>42948</v>
      </c>
      <c r="H3315" s="26" t="n">
        <f aca="false">G3315-F3315</f>
        <v>7</v>
      </c>
      <c r="I3315" s="10" t="n">
        <f aca="false">IF(E3315="Won",1,0)</f>
        <v>1</v>
      </c>
    </row>
    <row r="3316" customFormat="false" ht="15" hidden="false" customHeight="false" outlineLevel="0" collapsed="false">
      <c r="A3316" s="10" t="s">
        <v>5657</v>
      </c>
      <c r="B3316" s="10" t="s">
        <v>87</v>
      </c>
      <c r="C3316" s="10" t="s">
        <v>49</v>
      </c>
      <c r="D3316" s="10" t="s">
        <v>274</v>
      </c>
      <c r="E3316" s="10" t="s">
        <v>2342</v>
      </c>
      <c r="F3316" s="30" t="n">
        <v>42863</v>
      </c>
      <c r="G3316" s="30" t="n">
        <v>42948</v>
      </c>
      <c r="H3316" s="26" t="n">
        <f aca="false">G3316-F3316</f>
        <v>85</v>
      </c>
      <c r="I3316" s="10" t="n">
        <f aca="false">IF(E3316="Won",1,0)</f>
        <v>1</v>
      </c>
    </row>
    <row r="3317" customFormat="false" ht="15" hidden="false" customHeight="false" outlineLevel="0" collapsed="false">
      <c r="A3317" s="10" t="s">
        <v>5658</v>
      </c>
      <c r="B3317" s="10" t="s">
        <v>71</v>
      </c>
      <c r="C3317" s="10" t="s">
        <v>52</v>
      </c>
      <c r="D3317" s="10" t="s">
        <v>961</v>
      </c>
      <c r="E3317" s="10" t="s">
        <v>2342</v>
      </c>
      <c r="F3317" s="30" t="n">
        <v>42858</v>
      </c>
      <c r="G3317" s="30" t="n">
        <v>42948</v>
      </c>
      <c r="H3317" s="26" t="n">
        <f aca="false">G3317-F3317</f>
        <v>90</v>
      </c>
      <c r="I3317" s="10" t="n">
        <f aca="false">IF(E3317="Won",1,0)</f>
        <v>1</v>
      </c>
    </row>
    <row r="3318" customFormat="false" ht="15" hidden="false" customHeight="false" outlineLevel="0" collapsed="false">
      <c r="A3318" s="10" t="s">
        <v>5659</v>
      </c>
      <c r="B3318" s="10" t="s">
        <v>90</v>
      </c>
      <c r="C3318" s="10" t="s">
        <v>50</v>
      </c>
      <c r="D3318" s="10" t="s">
        <v>453</v>
      </c>
      <c r="E3318" s="10" t="s">
        <v>2342</v>
      </c>
      <c r="F3318" s="30" t="n">
        <v>42929</v>
      </c>
      <c r="G3318" s="30" t="n">
        <v>42948</v>
      </c>
      <c r="H3318" s="26" t="n">
        <f aca="false">G3318-F3318</f>
        <v>19</v>
      </c>
      <c r="I3318" s="10" t="n">
        <f aca="false">IF(E3318="Won",1,0)</f>
        <v>1</v>
      </c>
    </row>
    <row r="3319" customFormat="false" ht="15" hidden="false" customHeight="false" outlineLevel="0" collapsed="false">
      <c r="A3319" s="10" t="s">
        <v>5660</v>
      </c>
      <c r="B3319" s="10" t="s">
        <v>84</v>
      </c>
      <c r="C3319" s="10" t="s">
        <v>52</v>
      </c>
      <c r="D3319" s="10" t="s">
        <v>247</v>
      </c>
      <c r="E3319" s="10" t="s">
        <v>2342</v>
      </c>
      <c r="F3319" s="30" t="n">
        <v>42941</v>
      </c>
      <c r="G3319" s="30" t="n">
        <v>42948</v>
      </c>
      <c r="H3319" s="26" t="n">
        <f aca="false">G3319-F3319</f>
        <v>7</v>
      </c>
      <c r="I3319" s="10" t="n">
        <f aca="false">IF(E3319="Won",1,0)</f>
        <v>1</v>
      </c>
    </row>
    <row r="3320" customFormat="false" ht="15" hidden="false" customHeight="false" outlineLevel="0" collapsed="false">
      <c r="A3320" s="10" t="s">
        <v>5661</v>
      </c>
      <c r="B3320" s="10" t="s">
        <v>81</v>
      </c>
      <c r="C3320" s="10" t="s">
        <v>52</v>
      </c>
      <c r="D3320" s="10" t="s">
        <v>388</v>
      </c>
      <c r="E3320" s="10" t="s">
        <v>2345</v>
      </c>
      <c r="F3320" s="30" t="n">
        <v>42943</v>
      </c>
      <c r="G3320" s="30" t="n">
        <v>42948</v>
      </c>
      <c r="H3320" s="26" t="n">
        <f aca="false">G3320-F3320</f>
        <v>5</v>
      </c>
      <c r="I3320" s="10" t="n">
        <f aca="false">IF(E3320="Won",1,0)</f>
        <v>0</v>
      </c>
    </row>
    <row r="3321" customFormat="false" ht="15" hidden="false" customHeight="false" outlineLevel="0" collapsed="false">
      <c r="A3321" s="10" t="s">
        <v>5662</v>
      </c>
      <c r="B3321" s="10" t="s">
        <v>86</v>
      </c>
      <c r="C3321" s="10" t="s">
        <v>51</v>
      </c>
      <c r="D3321" s="10" t="s">
        <v>405</v>
      </c>
      <c r="E3321" s="10" t="s">
        <v>2345</v>
      </c>
      <c r="F3321" s="30" t="n">
        <v>42858</v>
      </c>
      <c r="G3321" s="30" t="n">
        <v>42948</v>
      </c>
      <c r="H3321" s="26" t="n">
        <f aca="false">G3321-F3321</f>
        <v>90</v>
      </c>
      <c r="I3321" s="10" t="n">
        <f aca="false">IF(E3321="Won",1,0)</f>
        <v>0</v>
      </c>
    </row>
    <row r="3322" customFormat="false" ht="15" hidden="false" customHeight="false" outlineLevel="0" collapsed="false">
      <c r="A3322" s="10" t="s">
        <v>5663</v>
      </c>
      <c r="B3322" s="10" t="s">
        <v>77</v>
      </c>
      <c r="C3322" s="10" t="s">
        <v>48</v>
      </c>
      <c r="D3322" s="10" t="s">
        <v>512</v>
      </c>
      <c r="E3322" s="10" t="s">
        <v>2345</v>
      </c>
      <c r="F3322" s="30" t="n">
        <v>42865</v>
      </c>
      <c r="G3322" s="30" t="n">
        <v>42948</v>
      </c>
      <c r="H3322" s="26" t="n">
        <f aca="false">G3322-F3322</f>
        <v>83</v>
      </c>
      <c r="I3322" s="10" t="n">
        <f aca="false">IF(E3322="Won",1,0)</f>
        <v>0</v>
      </c>
    </row>
    <row r="3323" customFormat="false" ht="15" hidden="false" customHeight="false" outlineLevel="0" collapsed="false">
      <c r="A3323" s="10" t="s">
        <v>5664</v>
      </c>
      <c r="B3323" s="10" t="s">
        <v>73</v>
      </c>
      <c r="C3323" s="10" t="s">
        <v>51</v>
      </c>
      <c r="D3323" s="10" t="s">
        <v>1251</v>
      </c>
      <c r="E3323" s="10" t="s">
        <v>2342</v>
      </c>
      <c r="F3323" s="30" t="n">
        <v>42913</v>
      </c>
      <c r="G3323" s="30" t="n">
        <v>42948</v>
      </c>
      <c r="H3323" s="26" t="n">
        <f aca="false">G3323-F3323</f>
        <v>35</v>
      </c>
      <c r="I3323" s="10" t="n">
        <f aca="false">IF(E3323="Won",1,0)</f>
        <v>1</v>
      </c>
    </row>
    <row r="3324" customFormat="false" ht="15" hidden="false" customHeight="false" outlineLevel="0" collapsed="false">
      <c r="A3324" s="10" t="s">
        <v>5665</v>
      </c>
      <c r="B3324" s="10" t="s">
        <v>71</v>
      </c>
      <c r="C3324" s="10" t="s">
        <v>50</v>
      </c>
      <c r="D3324" s="10" t="s">
        <v>410</v>
      </c>
      <c r="E3324" s="10" t="s">
        <v>2345</v>
      </c>
      <c r="F3324" s="30" t="n">
        <v>42851</v>
      </c>
      <c r="G3324" s="30" t="n">
        <v>42948</v>
      </c>
      <c r="H3324" s="26" t="n">
        <f aca="false">G3324-F3324</f>
        <v>97</v>
      </c>
      <c r="I3324" s="10" t="n">
        <f aca="false">IF(E3324="Won",1,0)</f>
        <v>0</v>
      </c>
    </row>
    <row r="3325" customFormat="false" ht="15" hidden="false" customHeight="false" outlineLevel="0" collapsed="false">
      <c r="A3325" s="10" t="s">
        <v>5666</v>
      </c>
      <c r="B3325" s="10" t="s">
        <v>75</v>
      </c>
      <c r="C3325" s="10" t="s">
        <v>51</v>
      </c>
      <c r="D3325" s="10" t="s">
        <v>267</v>
      </c>
      <c r="E3325" s="10" t="s">
        <v>2345</v>
      </c>
      <c r="F3325" s="30" t="n">
        <v>42887</v>
      </c>
      <c r="G3325" s="30" t="n">
        <v>42948</v>
      </c>
      <c r="H3325" s="26" t="n">
        <f aca="false">G3325-F3325</f>
        <v>61</v>
      </c>
      <c r="I3325" s="10" t="n">
        <f aca="false">IF(E3325="Won",1,0)</f>
        <v>0</v>
      </c>
    </row>
    <row r="3326" customFormat="false" ht="15" hidden="false" customHeight="false" outlineLevel="0" collapsed="false">
      <c r="A3326" s="10" t="s">
        <v>5667</v>
      </c>
      <c r="B3326" s="10" t="s">
        <v>80</v>
      </c>
      <c r="C3326" s="10" t="s">
        <v>52</v>
      </c>
      <c r="D3326" s="10" t="s">
        <v>210</v>
      </c>
      <c r="E3326" s="10" t="s">
        <v>2342</v>
      </c>
      <c r="F3326" s="30" t="n">
        <v>42860</v>
      </c>
      <c r="G3326" s="30" t="n">
        <v>42948</v>
      </c>
      <c r="H3326" s="26" t="n">
        <f aca="false">G3326-F3326</f>
        <v>88</v>
      </c>
      <c r="I3326" s="10" t="n">
        <f aca="false">IF(E3326="Won",1,0)</f>
        <v>1</v>
      </c>
    </row>
    <row r="3327" customFormat="false" ht="15" hidden="false" customHeight="false" outlineLevel="0" collapsed="false">
      <c r="A3327" s="10" t="s">
        <v>5668</v>
      </c>
      <c r="B3327" s="10" t="s">
        <v>71</v>
      </c>
      <c r="C3327" s="10" t="s">
        <v>49</v>
      </c>
      <c r="D3327" s="10" t="s">
        <v>267</v>
      </c>
      <c r="E3327" s="10" t="s">
        <v>2345</v>
      </c>
      <c r="F3327" s="30" t="n">
        <v>42875</v>
      </c>
      <c r="G3327" s="30" t="n">
        <v>42948</v>
      </c>
      <c r="H3327" s="26" t="n">
        <f aca="false">G3327-F3327</f>
        <v>73</v>
      </c>
      <c r="I3327" s="10" t="n">
        <f aca="false">IF(E3327="Won",1,0)</f>
        <v>0</v>
      </c>
    </row>
    <row r="3328" customFormat="false" ht="15" hidden="false" customHeight="false" outlineLevel="0" collapsed="false">
      <c r="A3328" s="10" t="s">
        <v>5669</v>
      </c>
      <c r="B3328" s="10" t="s">
        <v>66</v>
      </c>
      <c r="C3328" s="10" t="s">
        <v>49</v>
      </c>
      <c r="D3328" s="10" t="s">
        <v>506</v>
      </c>
      <c r="E3328" s="10" t="s">
        <v>2345</v>
      </c>
      <c r="F3328" s="30" t="n">
        <v>42848</v>
      </c>
      <c r="G3328" s="30" t="n">
        <v>42948</v>
      </c>
      <c r="H3328" s="26" t="n">
        <f aca="false">G3328-F3328</f>
        <v>100</v>
      </c>
      <c r="I3328" s="10" t="n">
        <f aca="false">IF(E3328="Won",1,0)</f>
        <v>0</v>
      </c>
    </row>
    <row r="3329" customFormat="false" ht="15" hidden="false" customHeight="false" outlineLevel="0" collapsed="false">
      <c r="A3329" s="10" t="s">
        <v>5670</v>
      </c>
      <c r="B3329" s="10" t="s">
        <v>69</v>
      </c>
      <c r="C3329" s="10" t="s">
        <v>50</v>
      </c>
      <c r="D3329" s="10" t="s">
        <v>606</v>
      </c>
      <c r="E3329" s="10" t="s">
        <v>2342</v>
      </c>
      <c r="F3329" s="30" t="n">
        <v>42868</v>
      </c>
      <c r="G3329" s="30" t="n">
        <v>42948</v>
      </c>
      <c r="H3329" s="26" t="n">
        <f aca="false">G3329-F3329</f>
        <v>80</v>
      </c>
      <c r="I3329" s="10" t="n">
        <f aca="false">IF(E3329="Won",1,0)</f>
        <v>1</v>
      </c>
    </row>
    <row r="3330" customFormat="false" ht="15" hidden="false" customHeight="false" outlineLevel="0" collapsed="false">
      <c r="A3330" s="10" t="s">
        <v>5671</v>
      </c>
      <c r="B3330" s="10" t="s">
        <v>83</v>
      </c>
      <c r="C3330" s="10" t="s">
        <v>52</v>
      </c>
      <c r="D3330" s="10" t="s">
        <v>422</v>
      </c>
      <c r="E3330" s="10" t="s">
        <v>2342</v>
      </c>
      <c r="F3330" s="30" t="n">
        <v>42876</v>
      </c>
      <c r="G3330" s="30" t="n">
        <v>42948</v>
      </c>
      <c r="H3330" s="26" t="n">
        <f aca="false">G3330-F3330</f>
        <v>72</v>
      </c>
      <c r="I3330" s="10" t="n">
        <f aca="false">IF(E3330="Won",1,0)</f>
        <v>1</v>
      </c>
    </row>
    <row r="3331" customFormat="false" ht="15" hidden="false" customHeight="false" outlineLevel="0" collapsed="false">
      <c r="A3331" s="10" t="s">
        <v>5672</v>
      </c>
      <c r="B3331" s="10" t="s">
        <v>93</v>
      </c>
      <c r="C3331" s="10" t="s">
        <v>48</v>
      </c>
      <c r="D3331" s="10" t="s">
        <v>497</v>
      </c>
      <c r="E3331" s="10" t="s">
        <v>2345</v>
      </c>
      <c r="F3331" s="30" t="n">
        <v>42867</v>
      </c>
      <c r="G3331" s="30" t="n">
        <v>42948</v>
      </c>
      <c r="H3331" s="26" t="n">
        <f aca="false">G3331-F3331</f>
        <v>81</v>
      </c>
      <c r="I3331" s="10" t="n">
        <f aca="false">IF(E3331="Won",1,0)</f>
        <v>0</v>
      </c>
    </row>
    <row r="3332" customFormat="false" ht="15" hidden="false" customHeight="false" outlineLevel="0" collapsed="false">
      <c r="A3332" s="10" t="s">
        <v>5673</v>
      </c>
      <c r="B3332" s="10" t="s">
        <v>77</v>
      </c>
      <c r="C3332" s="10" t="s">
        <v>49</v>
      </c>
      <c r="D3332" s="10" t="s">
        <v>697</v>
      </c>
      <c r="E3332" s="10" t="s">
        <v>2342</v>
      </c>
      <c r="F3332" s="30" t="n">
        <v>42932</v>
      </c>
      <c r="G3332" s="30" t="n">
        <v>42949</v>
      </c>
      <c r="H3332" s="26" t="n">
        <f aca="false">G3332-F3332</f>
        <v>17</v>
      </c>
      <c r="I3332" s="10" t="n">
        <f aca="false">IF(E3332="Won",1,0)</f>
        <v>1</v>
      </c>
    </row>
    <row r="3333" customFormat="false" ht="15" hidden="false" customHeight="false" outlineLevel="0" collapsed="false">
      <c r="A3333" s="10" t="s">
        <v>5674</v>
      </c>
      <c r="B3333" s="10" t="s">
        <v>76</v>
      </c>
      <c r="C3333" s="10" t="s">
        <v>52</v>
      </c>
      <c r="D3333" s="10" t="s">
        <v>414</v>
      </c>
      <c r="E3333" s="10" t="s">
        <v>2345</v>
      </c>
      <c r="F3333" s="30" t="n">
        <v>42907</v>
      </c>
      <c r="G3333" s="30" t="n">
        <v>42949</v>
      </c>
      <c r="H3333" s="26" t="n">
        <f aca="false">G3333-F3333</f>
        <v>42</v>
      </c>
      <c r="I3333" s="10" t="n">
        <f aca="false">IF(E3333="Won",1,0)</f>
        <v>0</v>
      </c>
    </row>
    <row r="3334" customFormat="false" ht="15" hidden="false" customHeight="false" outlineLevel="0" collapsed="false">
      <c r="A3334" s="10" t="s">
        <v>5675</v>
      </c>
      <c r="B3334" s="10" t="s">
        <v>57</v>
      </c>
      <c r="C3334" s="10" t="s">
        <v>51</v>
      </c>
      <c r="D3334" s="10" t="s">
        <v>233</v>
      </c>
      <c r="E3334" s="10" t="s">
        <v>2345</v>
      </c>
      <c r="F3334" s="30" t="n">
        <v>42941</v>
      </c>
      <c r="G3334" s="30" t="n">
        <v>42949</v>
      </c>
      <c r="H3334" s="26" t="n">
        <f aca="false">G3334-F3334</f>
        <v>8</v>
      </c>
      <c r="I3334" s="10" t="n">
        <f aca="false">IF(E3334="Won",1,0)</f>
        <v>0</v>
      </c>
    </row>
    <row r="3335" customFormat="false" ht="15" hidden="false" customHeight="false" outlineLevel="0" collapsed="false">
      <c r="A3335" s="10" t="s">
        <v>5676</v>
      </c>
      <c r="B3335" s="10" t="s">
        <v>73</v>
      </c>
      <c r="C3335" s="10" t="s">
        <v>49</v>
      </c>
      <c r="D3335" s="10" t="s">
        <v>321</v>
      </c>
      <c r="E3335" s="10" t="s">
        <v>2342</v>
      </c>
      <c r="F3335" s="30" t="n">
        <v>42943</v>
      </c>
      <c r="G3335" s="30" t="n">
        <v>42949</v>
      </c>
      <c r="H3335" s="26" t="n">
        <f aca="false">G3335-F3335</f>
        <v>6</v>
      </c>
      <c r="I3335" s="10" t="n">
        <f aca="false">IF(E3335="Won",1,0)</f>
        <v>1</v>
      </c>
    </row>
    <row r="3336" customFormat="false" ht="15" hidden="false" customHeight="false" outlineLevel="0" collapsed="false">
      <c r="A3336" s="10" t="s">
        <v>5677</v>
      </c>
      <c r="B3336" s="10" t="s">
        <v>95</v>
      </c>
      <c r="C3336" s="10" t="s">
        <v>50</v>
      </c>
      <c r="D3336" s="10" t="s">
        <v>168</v>
      </c>
      <c r="E3336" s="10" t="s">
        <v>2345</v>
      </c>
      <c r="F3336" s="30" t="n">
        <v>42878</v>
      </c>
      <c r="G3336" s="30" t="n">
        <v>42949</v>
      </c>
      <c r="H3336" s="26" t="n">
        <f aca="false">G3336-F3336</f>
        <v>71</v>
      </c>
      <c r="I3336" s="10" t="n">
        <f aca="false">IF(E3336="Won",1,0)</f>
        <v>0</v>
      </c>
    </row>
    <row r="3337" customFormat="false" ht="15" hidden="false" customHeight="false" outlineLevel="0" collapsed="false">
      <c r="A3337" s="10" t="s">
        <v>5678</v>
      </c>
      <c r="B3337" s="10" t="s">
        <v>77</v>
      </c>
      <c r="C3337" s="10" t="s">
        <v>52</v>
      </c>
      <c r="D3337" s="10" t="s">
        <v>524</v>
      </c>
      <c r="E3337" s="10" t="s">
        <v>2342</v>
      </c>
      <c r="F3337" s="30" t="n">
        <v>42911</v>
      </c>
      <c r="G3337" s="30" t="n">
        <v>42949</v>
      </c>
      <c r="H3337" s="26" t="n">
        <f aca="false">G3337-F3337</f>
        <v>38</v>
      </c>
      <c r="I3337" s="10" t="n">
        <f aca="false">IF(E3337="Won",1,0)</f>
        <v>1</v>
      </c>
    </row>
    <row r="3338" customFormat="false" ht="15" hidden="false" customHeight="false" outlineLevel="0" collapsed="false">
      <c r="A3338" s="10" t="s">
        <v>5679</v>
      </c>
      <c r="B3338" s="10" t="s">
        <v>88</v>
      </c>
      <c r="C3338" s="10" t="s">
        <v>49</v>
      </c>
      <c r="D3338" s="10" t="s">
        <v>1397</v>
      </c>
      <c r="E3338" s="10" t="s">
        <v>2345</v>
      </c>
      <c r="F3338" s="30" t="n">
        <v>42941</v>
      </c>
      <c r="G3338" s="30" t="n">
        <v>42949</v>
      </c>
      <c r="H3338" s="26" t="n">
        <f aca="false">G3338-F3338</f>
        <v>8</v>
      </c>
      <c r="I3338" s="10" t="n">
        <f aca="false">IF(E3338="Won",1,0)</f>
        <v>0</v>
      </c>
    </row>
    <row r="3339" customFormat="false" ht="15" hidden="false" customHeight="false" outlineLevel="0" collapsed="false">
      <c r="A3339" s="10" t="s">
        <v>5680</v>
      </c>
      <c r="B3339" s="10" t="s">
        <v>86</v>
      </c>
      <c r="C3339" s="10" t="s">
        <v>48</v>
      </c>
      <c r="D3339" s="10" t="s">
        <v>1334</v>
      </c>
      <c r="E3339" s="10" t="s">
        <v>2342</v>
      </c>
      <c r="F3339" s="30" t="n">
        <v>42873</v>
      </c>
      <c r="G3339" s="30" t="n">
        <v>42949</v>
      </c>
      <c r="H3339" s="26" t="n">
        <f aca="false">G3339-F3339</f>
        <v>76</v>
      </c>
      <c r="I3339" s="10" t="n">
        <f aca="false">IF(E3339="Won",1,0)</f>
        <v>1</v>
      </c>
    </row>
    <row r="3340" customFormat="false" ht="15" hidden="false" customHeight="false" outlineLevel="0" collapsed="false">
      <c r="A3340" s="10" t="s">
        <v>5681</v>
      </c>
      <c r="B3340" s="10" t="s">
        <v>74</v>
      </c>
      <c r="C3340" s="10" t="s">
        <v>51</v>
      </c>
      <c r="D3340" s="10" t="s">
        <v>267</v>
      </c>
      <c r="E3340" s="10" t="s">
        <v>2342</v>
      </c>
      <c r="F3340" s="30" t="n">
        <v>42886</v>
      </c>
      <c r="G3340" s="30" t="n">
        <v>42949</v>
      </c>
      <c r="H3340" s="26" t="n">
        <f aca="false">G3340-F3340</f>
        <v>63</v>
      </c>
      <c r="I3340" s="10" t="n">
        <f aca="false">IF(E3340="Won",1,0)</f>
        <v>1</v>
      </c>
    </row>
    <row r="3341" customFormat="false" ht="15" hidden="false" customHeight="false" outlineLevel="0" collapsed="false">
      <c r="A3341" s="10" t="s">
        <v>5682</v>
      </c>
      <c r="B3341" s="10" t="s">
        <v>93</v>
      </c>
      <c r="C3341" s="10" t="s">
        <v>47</v>
      </c>
      <c r="D3341" s="10" t="s">
        <v>606</v>
      </c>
      <c r="E3341" s="10" t="s">
        <v>2342</v>
      </c>
      <c r="F3341" s="30" t="n">
        <v>42869</v>
      </c>
      <c r="G3341" s="30" t="n">
        <v>42949</v>
      </c>
      <c r="H3341" s="26" t="n">
        <f aca="false">G3341-F3341</f>
        <v>80</v>
      </c>
      <c r="I3341" s="10" t="n">
        <f aca="false">IF(E3341="Won",1,0)</f>
        <v>1</v>
      </c>
    </row>
    <row r="3342" customFormat="false" ht="15" hidden="false" customHeight="false" outlineLevel="0" collapsed="false">
      <c r="A3342" s="10" t="s">
        <v>5683</v>
      </c>
      <c r="B3342" s="10" t="s">
        <v>90</v>
      </c>
      <c r="C3342" s="10" t="s">
        <v>50</v>
      </c>
      <c r="D3342" s="10" t="s">
        <v>350</v>
      </c>
      <c r="E3342" s="10" t="s">
        <v>2342</v>
      </c>
      <c r="F3342" s="30" t="n">
        <v>42830</v>
      </c>
      <c r="G3342" s="30" t="n">
        <v>42949</v>
      </c>
      <c r="H3342" s="26" t="n">
        <f aca="false">G3342-F3342</f>
        <v>119</v>
      </c>
      <c r="I3342" s="10" t="n">
        <f aca="false">IF(E3342="Won",1,0)</f>
        <v>1</v>
      </c>
    </row>
    <row r="3343" customFormat="false" ht="15" hidden="false" customHeight="false" outlineLevel="0" collapsed="false">
      <c r="A3343" s="10" t="s">
        <v>5684</v>
      </c>
      <c r="B3343" s="10" t="s">
        <v>86</v>
      </c>
      <c r="C3343" s="10" t="s">
        <v>51</v>
      </c>
      <c r="D3343" s="10" t="s">
        <v>692</v>
      </c>
      <c r="E3343" s="10" t="s">
        <v>2345</v>
      </c>
      <c r="F3343" s="30" t="n">
        <v>42869</v>
      </c>
      <c r="G3343" s="30" t="n">
        <v>42949</v>
      </c>
      <c r="H3343" s="26" t="n">
        <f aca="false">G3343-F3343</f>
        <v>80</v>
      </c>
      <c r="I3343" s="10" t="n">
        <f aca="false">IF(E3343="Won",1,0)</f>
        <v>0</v>
      </c>
    </row>
    <row r="3344" customFormat="false" ht="15" hidden="false" customHeight="false" outlineLevel="0" collapsed="false">
      <c r="A3344" s="10" t="s">
        <v>5685</v>
      </c>
      <c r="B3344" s="10" t="s">
        <v>90</v>
      </c>
      <c r="C3344" s="10" t="s">
        <v>52</v>
      </c>
      <c r="D3344" s="10" t="s">
        <v>210</v>
      </c>
      <c r="E3344" s="10" t="s">
        <v>2342</v>
      </c>
      <c r="F3344" s="30" t="n">
        <v>42830</v>
      </c>
      <c r="G3344" s="30" t="n">
        <v>42949</v>
      </c>
      <c r="H3344" s="26" t="n">
        <f aca="false">G3344-F3344</f>
        <v>119</v>
      </c>
      <c r="I3344" s="10" t="n">
        <f aca="false">IF(E3344="Won",1,0)</f>
        <v>1</v>
      </c>
    </row>
    <row r="3345" customFormat="false" ht="15" hidden="false" customHeight="false" outlineLevel="0" collapsed="false">
      <c r="A3345" s="10" t="s">
        <v>5686</v>
      </c>
      <c r="B3345" s="10" t="s">
        <v>96</v>
      </c>
      <c r="C3345" s="10" t="s">
        <v>50</v>
      </c>
      <c r="D3345" s="10" t="s">
        <v>437</v>
      </c>
      <c r="E3345" s="10" t="s">
        <v>2342</v>
      </c>
      <c r="F3345" s="30" t="n">
        <v>42886</v>
      </c>
      <c r="G3345" s="30" t="n">
        <v>42949</v>
      </c>
      <c r="H3345" s="26" t="n">
        <f aca="false">G3345-F3345</f>
        <v>63</v>
      </c>
      <c r="I3345" s="10" t="n">
        <f aca="false">IF(E3345="Won",1,0)</f>
        <v>1</v>
      </c>
    </row>
    <row r="3346" customFormat="false" ht="15" hidden="false" customHeight="false" outlineLevel="0" collapsed="false">
      <c r="A3346" s="10" t="s">
        <v>5687</v>
      </c>
      <c r="B3346" s="10" t="s">
        <v>60</v>
      </c>
      <c r="C3346" s="10" t="s">
        <v>50</v>
      </c>
      <c r="D3346" s="10" t="s">
        <v>332</v>
      </c>
      <c r="E3346" s="10" t="s">
        <v>2345</v>
      </c>
      <c r="F3346" s="30" t="n">
        <v>42945</v>
      </c>
      <c r="G3346" s="30" t="n">
        <v>42949</v>
      </c>
      <c r="H3346" s="26" t="n">
        <f aca="false">G3346-F3346</f>
        <v>4</v>
      </c>
      <c r="I3346" s="10" t="n">
        <f aca="false">IF(E3346="Won",1,0)</f>
        <v>0</v>
      </c>
    </row>
    <row r="3347" customFormat="false" ht="15" hidden="false" customHeight="false" outlineLevel="0" collapsed="false">
      <c r="A3347" s="10" t="s">
        <v>5688</v>
      </c>
      <c r="B3347" s="10" t="s">
        <v>81</v>
      </c>
      <c r="C3347" s="10" t="s">
        <v>49</v>
      </c>
      <c r="D3347" s="10" t="s">
        <v>597</v>
      </c>
      <c r="E3347" s="10" t="s">
        <v>2342</v>
      </c>
      <c r="F3347" s="30" t="n">
        <v>42939</v>
      </c>
      <c r="G3347" s="30" t="n">
        <v>42949</v>
      </c>
      <c r="H3347" s="26" t="n">
        <f aca="false">G3347-F3347</f>
        <v>10</v>
      </c>
      <c r="I3347" s="10" t="n">
        <f aca="false">IF(E3347="Won",1,0)</f>
        <v>1</v>
      </c>
    </row>
    <row r="3348" customFormat="false" ht="15" hidden="false" customHeight="false" outlineLevel="0" collapsed="false">
      <c r="A3348" s="10" t="s">
        <v>5689</v>
      </c>
      <c r="B3348" s="10" t="s">
        <v>79</v>
      </c>
      <c r="C3348" s="10" t="s">
        <v>50</v>
      </c>
      <c r="D3348" s="10" t="s">
        <v>524</v>
      </c>
      <c r="E3348" s="10" t="s">
        <v>2345</v>
      </c>
      <c r="F3348" s="30" t="n">
        <v>42904</v>
      </c>
      <c r="G3348" s="30" t="n">
        <v>42949</v>
      </c>
      <c r="H3348" s="26" t="n">
        <f aca="false">G3348-F3348</f>
        <v>45</v>
      </c>
      <c r="I3348" s="10" t="n">
        <f aca="false">IF(E3348="Won",1,0)</f>
        <v>0</v>
      </c>
    </row>
    <row r="3349" customFormat="false" ht="15" hidden="false" customHeight="false" outlineLevel="0" collapsed="false">
      <c r="A3349" s="10" t="s">
        <v>5690</v>
      </c>
      <c r="B3349" s="10" t="s">
        <v>93</v>
      </c>
      <c r="C3349" s="10" t="s">
        <v>49</v>
      </c>
      <c r="D3349" s="10" t="s">
        <v>432</v>
      </c>
      <c r="E3349" s="10" t="s">
        <v>2342</v>
      </c>
      <c r="F3349" s="30" t="n">
        <v>42945</v>
      </c>
      <c r="G3349" s="30" t="n">
        <v>42949</v>
      </c>
      <c r="H3349" s="26" t="n">
        <f aca="false">G3349-F3349</f>
        <v>4</v>
      </c>
      <c r="I3349" s="10" t="n">
        <f aca="false">IF(E3349="Won",1,0)</f>
        <v>1</v>
      </c>
    </row>
    <row r="3350" customFormat="false" ht="15" hidden="false" customHeight="false" outlineLevel="0" collapsed="false">
      <c r="A3350" s="10" t="s">
        <v>5691</v>
      </c>
      <c r="B3350" s="10" t="s">
        <v>76</v>
      </c>
      <c r="C3350" s="10" t="s">
        <v>47</v>
      </c>
      <c r="D3350" s="10" t="s">
        <v>291</v>
      </c>
      <c r="E3350" s="10" t="s">
        <v>2345</v>
      </c>
      <c r="F3350" s="30" t="n">
        <v>42863</v>
      </c>
      <c r="G3350" s="30" t="n">
        <v>42949</v>
      </c>
      <c r="H3350" s="26" t="n">
        <f aca="false">G3350-F3350</f>
        <v>86</v>
      </c>
      <c r="I3350" s="10" t="n">
        <f aca="false">IF(E3350="Won",1,0)</f>
        <v>0</v>
      </c>
    </row>
    <row r="3351" customFormat="false" ht="15" hidden="false" customHeight="false" outlineLevel="0" collapsed="false">
      <c r="A3351" s="10" t="s">
        <v>5692</v>
      </c>
      <c r="B3351" s="10" t="s">
        <v>88</v>
      </c>
      <c r="C3351" s="10" t="s">
        <v>48</v>
      </c>
      <c r="D3351" s="10" t="s">
        <v>218</v>
      </c>
      <c r="E3351" s="10" t="s">
        <v>2342</v>
      </c>
      <c r="F3351" s="30" t="n">
        <v>42895</v>
      </c>
      <c r="G3351" s="30" t="n">
        <v>42949</v>
      </c>
      <c r="H3351" s="26" t="n">
        <f aca="false">G3351-F3351</f>
        <v>54</v>
      </c>
      <c r="I3351" s="10" t="n">
        <f aca="false">IF(E3351="Won",1,0)</f>
        <v>1</v>
      </c>
    </row>
    <row r="3352" customFormat="false" ht="15" hidden="false" customHeight="false" outlineLevel="0" collapsed="false">
      <c r="A3352" s="10" t="s">
        <v>5693</v>
      </c>
      <c r="B3352" s="10" t="s">
        <v>61</v>
      </c>
      <c r="C3352" s="10" t="s">
        <v>47</v>
      </c>
      <c r="D3352" s="10" t="s">
        <v>1397</v>
      </c>
      <c r="E3352" s="10" t="s">
        <v>2345</v>
      </c>
      <c r="F3352" s="30" t="n">
        <v>42861</v>
      </c>
      <c r="G3352" s="30" t="n">
        <v>42949</v>
      </c>
      <c r="H3352" s="26" t="n">
        <f aca="false">G3352-F3352</f>
        <v>88</v>
      </c>
      <c r="I3352" s="10" t="n">
        <f aca="false">IF(E3352="Won",1,0)</f>
        <v>0</v>
      </c>
    </row>
    <row r="3353" customFormat="false" ht="15" hidden="false" customHeight="false" outlineLevel="0" collapsed="false">
      <c r="A3353" s="10" t="s">
        <v>5694</v>
      </c>
      <c r="B3353" s="10" t="s">
        <v>74</v>
      </c>
      <c r="C3353" s="10" t="s">
        <v>52</v>
      </c>
      <c r="D3353" s="10" t="s">
        <v>660</v>
      </c>
      <c r="E3353" s="10" t="s">
        <v>2345</v>
      </c>
      <c r="F3353" s="30" t="n">
        <v>42888</v>
      </c>
      <c r="G3353" s="30" t="n">
        <v>42949</v>
      </c>
      <c r="H3353" s="26" t="n">
        <f aca="false">G3353-F3353</f>
        <v>61</v>
      </c>
      <c r="I3353" s="10" t="n">
        <f aca="false">IF(E3353="Won",1,0)</f>
        <v>0</v>
      </c>
    </row>
    <row r="3354" customFormat="false" ht="15" hidden="false" customHeight="false" outlineLevel="0" collapsed="false">
      <c r="A3354" s="10" t="s">
        <v>5695</v>
      </c>
      <c r="B3354" s="10" t="s">
        <v>77</v>
      </c>
      <c r="C3354" s="10" t="s">
        <v>48</v>
      </c>
      <c r="D3354" s="10" t="s">
        <v>410</v>
      </c>
      <c r="E3354" s="10" t="s">
        <v>2342</v>
      </c>
      <c r="F3354" s="30" t="n">
        <v>42884</v>
      </c>
      <c r="G3354" s="30" t="n">
        <v>42949</v>
      </c>
      <c r="H3354" s="26" t="n">
        <f aca="false">G3354-F3354</f>
        <v>65</v>
      </c>
      <c r="I3354" s="10" t="n">
        <f aca="false">IF(E3354="Won",1,0)</f>
        <v>1</v>
      </c>
    </row>
    <row r="3355" customFormat="false" ht="15" hidden="false" customHeight="false" outlineLevel="0" collapsed="false">
      <c r="A3355" s="10" t="s">
        <v>5696</v>
      </c>
      <c r="B3355" s="10" t="s">
        <v>74</v>
      </c>
      <c r="C3355" s="10" t="s">
        <v>49</v>
      </c>
      <c r="D3355" s="10" t="s">
        <v>259</v>
      </c>
      <c r="E3355" s="10" t="s">
        <v>2342</v>
      </c>
      <c r="F3355" s="30" t="n">
        <v>42901</v>
      </c>
      <c r="G3355" s="30" t="n">
        <v>42949</v>
      </c>
      <c r="H3355" s="26" t="n">
        <f aca="false">G3355-F3355</f>
        <v>48</v>
      </c>
      <c r="I3355" s="10" t="n">
        <f aca="false">IF(E3355="Won",1,0)</f>
        <v>1</v>
      </c>
    </row>
    <row r="3356" customFormat="false" ht="15" hidden="false" customHeight="false" outlineLevel="0" collapsed="false">
      <c r="A3356" s="10" t="s">
        <v>5697</v>
      </c>
      <c r="B3356" s="10" t="s">
        <v>57</v>
      </c>
      <c r="C3356" s="10" t="s">
        <v>48</v>
      </c>
      <c r="D3356" s="10" t="s">
        <v>254</v>
      </c>
      <c r="E3356" s="10" t="s">
        <v>2345</v>
      </c>
      <c r="F3356" s="30" t="n">
        <v>42938</v>
      </c>
      <c r="G3356" s="30" t="n">
        <v>42949</v>
      </c>
      <c r="H3356" s="26" t="n">
        <f aca="false">G3356-F3356</f>
        <v>11</v>
      </c>
      <c r="I3356" s="10" t="n">
        <f aca="false">IF(E3356="Won",1,0)</f>
        <v>0</v>
      </c>
    </row>
    <row r="3357" customFormat="false" ht="15" hidden="false" customHeight="false" outlineLevel="0" collapsed="false">
      <c r="A3357" s="10" t="s">
        <v>5698</v>
      </c>
      <c r="B3357" s="10" t="s">
        <v>74</v>
      </c>
      <c r="C3357" s="10" t="s">
        <v>49</v>
      </c>
      <c r="D3357" s="10" t="s">
        <v>410</v>
      </c>
      <c r="E3357" s="10" t="s">
        <v>2345</v>
      </c>
      <c r="F3357" s="30" t="n">
        <v>42935</v>
      </c>
      <c r="G3357" s="30" t="n">
        <v>42949</v>
      </c>
      <c r="H3357" s="26" t="n">
        <f aca="false">G3357-F3357</f>
        <v>14</v>
      </c>
      <c r="I3357" s="10" t="n">
        <f aca="false">IF(E3357="Won",1,0)</f>
        <v>0</v>
      </c>
    </row>
    <row r="3358" customFormat="false" ht="15" hidden="false" customHeight="false" outlineLevel="0" collapsed="false">
      <c r="A3358" s="10" t="s">
        <v>5699</v>
      </c>
      <c r="B3358" s="10" t="s">
        <v>77</v>
      </c>
      <c r="C3358" s="10" t="s">
        <v>47</v>
      </c>
      <c r="D3358" s="10" t="s">
        <v>1948</v>
      </c>
      <c r="E3358" s="10" t="s">
        <v>2342</v>
      </c>
      <c r="F3358" s="30" t="n">
        <v>42888</v>
      </c>
      <c r="G3358" s="30" t="n">
        <v>42949</v>
      </c>
      <c r="H3358" s="26" t="n">
        <f aca="false">G3358-F3358</f>
        <v>61</v>
      </c>
      <c r="I3358" s="10" t="n">
        <f aca="false">IF(E3358="Won",1,0)</f>
        <v>1</v>
      </c>
    </row>
    <row r="3359" customFormat="false" ht="15" hidden="false" customHeight="false" outlineLevel="0" collapsed="false">
      <c r="A3359" s="10" t="s">
        <v>5700</v>
      </c>
      <c r="B3359" s="10" t="s">
        <v>80</v>
      </c>
      <c r="C3359" s="10" t="s">
        <v>51</v>
      </c>
      <c r="D3359" s="10" t="s">
        <v>527</v>
      </c>
      <c r="E3359" s="10" t="s">
        <v>2342</v>
      </c>
      <c r="F3359" s="30" t="n">
        <v>42891</v>
      </c>
      <c r="G3359" s="30" t="n">
        <v>42950</v>
      </c>
      <c r="H3359" s="26" t="n">
        <f aca="false">G3359-F3359</f>
        <v>59</v>
      </c>
      <c r="I3359" s="10" t="n">
        <f aca="false">IF(E3359="Won",1,0)</f>
        <v>1</v>
      </c>
    </row>
    <row r="3360" customFormat="false" ht="15" hidden="false" customHeight="false" outlineLevel="0" collapsed="false">
      <c r="A3360" s="10" t="s">
        <v>5701</v>
      </c>
      <c r="B3360" s="10" t="s">
        <v>71</v>
      </c>
      <c r="C3360" s="10" t="s">
        <v>49</v>
      </c>
      <c r="D3360" s="10" t="s">
        <v>353</v>
      </c>
      <c r="E3360" s="10" t="s">
        <v>2345</v>
      </c>
      <c r="F3360" s="30" t="n">
        <v>42944</v>
      </c>
      <c r="G3360" s="30" t="n">
        <v>42950</v>
      </c>
      <c r="H3360" s="26" t="n">
        <f aca="false">G3360-F3360</f>
        <v>6</v>
      </c>
      <c r="I3360" s="10" t="n">
        <f aca="false">IF(E3360="Won",1,0)</f>
        <v>0</v>
      </c>
    </row>
    <row r="3361" customFormat="false" ht="15" hidden="false" customHeight="false" outlineLevel="0" collapsed="false">
      <c r="A3361" s="10" t="s">
        <v>5702</v>
      </c>
      <c r="B3361" s="10" t="s">
        <v>66</v>
      </c>
      <c r="C3361" s="10" t="s">
        <v>47</v>
      </c>
      <c r="D3361" s="10" t="s">
        <v>227</v>
      </c>
      <c r="E3361" s="10" t="s">
        <v>2345</v>
      </c>
      <c r="F3361" s="30" t="n">
        <v>42933</v>
      </c>
      <c r="G3361" s="30" t="n">
        <v>42950</v>
      </c>
      <c r="H3361" s="26" t="n">
        <f aca="false">G3361-F3361</f>
        <v>17</v>
      </c>
      <c r="I3361" s="10" t="n">
        <f aca="false">IF(E3361="Won",1,0)</f>
        <v>0</v>
      </c>
    </row>
    <row r="3362" customFormat="false" ht="15" hidden="false" customHeight="false" outlineLevel="0" collapsed="false">
      <c r="A3362" s="10" t="s">
        <v>5703</v>
      </c>
      <c r="B3362" s="10" t="s">
        <v>76</v>
      </c>
      <c r="C3362" s="10" t="s">
        <v>52</v>
      </c>
      <c r="D3362" s="10" t="s">
        <v>597</v>
      </c>
      <c r="E3362" s="10" t="s">
        <v>2345</v>
      </c>
      <c r="F3362" s="30" t="n">
        <v>42933</v>
      </c>
      <c r="G3362" s="30" t="n">
        <v>42950</v>
      </c>
      <c r="H3362" s="26" t="n">
        <f aca="false">G3362-F3362</f>
        <v>17</v>
      </c>
      <c r="I3362" s="10" t="n">
        <f aca="false">IF(E3362="Won",1,0)</f>
        <v>0</v>
      </c>
    </row>
    <row r="3363" customFormat="false" ht="15" hidden="false" customHeight="false" outlineLevel="0" collapsed="false">
      <c r="A3363" s="10" t="s">
        <v>5704</v>
      </c>
      <c r="B3363" s="10" t="s">
        <v>71</v>
      </c>
      <c r="C3363" s="10" t="s">
        <v>50</v>
      </c>
      <c r="D3363" s="10" t="s">
        <v>524</v>
      </c>
      <c r="E3363" s="10" t="s">
        <v>2345</v>
      </c>
      <c r="F3363" s="30" t="n">
        <v>42866</v>
      </c>
      <c r="G3363" s="30" t="n">
        <v>42950</v>
      </c>
      <c r="H3363" s="26" t="n">
        <f aca="false">G3363-F3363</f>
        <v>84</v>
      </c>
      <c r="I3363" s="10" t="n">
        <f aca="false">IF(E3363="Won",1,0)</f>
        <v>0</v>
      </c>
    </row>
    <row r="3364" customFormat="false" ht="15" hidden="false" customHeight="false" outlineLevel="0" collapsed="false">
      <c r="A3364" s="10" t="s">
        <v>5705</v>
      </c>
      <c r="B3364" s="10" t="s">
        <v>74</v>
      </c>
      <c r="C3364" s="10" t="s">
        <v>51</v>
      </c>
      <c r="D3364" s="10" t="s">
        <v>483</v>
      </c>
      <c r="E3364" s="10" t="s">
        <v>2345</v>
      </c>
      <c r="F3364" s="30" t="n">
        <v>42862</v>
      </c>
      <c r="G3364" s="30" t="n">
        <v>42950</v>
      </c>
      <c r="H3364" s="26" t="n">
        <f aca="false">G3364-F3364</f>
        <v>88</v>
      </c>
      <c r="I3364" s="10" t="n">
        <f aca="false">IF(E3364="Won",1,0)</f>
        <v>0</v>
      </c>
    </row>
    <row r="3365" customFormat="false" ht="15" hidden="false" customHeight="false" outlineLevel="0" collapsed="false">
      <c r="A3365" s="10" t="s">
        <v>5706</v>
      </c>
      <c r="B3365" s="10" t="s">
        <v>57</v>
      </c>
      <c r="C3365" s="10" t="s">
        <v>51</v>
      </c>
      <c r="D3365" s="10" t="s">
        <v>1334</v>
      </c>
      <c r="E3365" s="10" t="s">
        <v>2342</v>
      </c>
      <c r="F3365" s="30" t="n">
        <v>42874</v>
      </c>
      <c r="G3365" s="30" t="n">
        <v>42950</v>
      </c>
      <c r="H3365" s="26" t="n">
        <f aca="false">G3365-F3365</f>
        <v>76</v>
      </c>
      <c r="I3365" s="10" t="n">
        <f aca="false">IF(E3365="Won",1,0)</f>
        <v>1</v>
      </c>
    </row>
    <row r="3366" customFormat="false" ht="15" hidden="false" customHeight="false" outlineLevel="0" collapsed="false">
      <c r="A3366" s="10" t="s">
        <v>5707</v>
      </c>
      <c r="B3366" s="10" t="s">
        <v>94</v>
      </c>
      <c r="C3366" s="10" t="s">
        <v>49</v>
      </c>
      <c r="D3366" s="10" t="s">
        <v>711</v>
      </c>
      <c r="E3366" s="10" t="s">
        <v>2345</v>
      </c>
      <c r="F3366" s="30" t="n">
        <v>42866</v>
      </c>
      <c r="G3366" s="30" t="n">
        <v>42950</v>
      </c>
      <c r="H3366" s="26" t="n">
        <f aca="false">G3366-F3366</f>
        <v>84</v>
      </c>
      <c r="I3366" s="10" t="n">
        <f aca="false">IF(E3366="Won",1,0)</f>
        <v>0</v>
      </c>
    </row>
    <row r="3367" customFormat="false" ht="15" hidden="false" customHeight="false" outlineLevel="0" collapsed="false">
      <c r="A3367" s="10" t="s">
        <v>5708</v>
      </c>
      <c r="B3367" s="10" t="s">
        <v>68</v>
      </c>
      <c r="C3367" s="10" t="s">
        <v>49</v>
      </c>
      <c r="D3367" s="10" t="s">
        <v>487</v>
      </c>
      <c r="E3367" s="10" t="s">
        <v>2345</v>
      </c>
      <c r="F3367" s="30" t="n">
        <v>42866</v>
      </c>
      <c r="G3367" s="30" t="n">
        <v>42950</v>
      </c>
      <c r="H3367" s="26" t="n">
        <f aca="false">G3367-F3367</f>
        <v>84</v>
      </c>
      <c r="I3367" s="10" t="n">
        <f aca="false">IF(E3367="Won",1,0)</f>
        <v>0</v>
      </c>
    </row>
    <row r="3368" customFormat="false" ht="15" hidden="false" customHeight="false" outlineLevel="0" collapsed="false">
      <c r="A3368" s="10" t="s">
        <v>5709</v>
      </c>
      <c r="B3368" s="10" t="s">
        <v>95</v>
      </c>
      <c r="C3368" s="10" t="s">
        <v>48</v>
      </c>
      <c r="D3368" s="10" t="s">
        <v>286</v>
      </c>
      <c r="E3368" s="10" t="s">
        <v>2345</v>
      </c>
      <c r="F3368" s="30" t="n">
        <v>42867</v>
      </c>
      <c r="G3368" s="30" t="n">
        <v>42950</v>
      </c>
      <c r="H3368" s="26" t="n">
        <f aca="false">G3368-F3368</f>
        <v>83</v>
      </c>
      <c r="I3368" s="10" t="n">
        <f aca="false">IF(E3368="Won",1,0)</f>
        <v>0</v>
      </c>
    </row>
    <row r="3369" customFormat="false" ht="15" hidden="false" customHeight="false" outlineLevel="0" collapsed="false">
      <c r="A3369" s="10" t="s">
        <v>5710</v>
      </c>
      <c r="B3369" s="10" t="s">
        <v>76</v>
      </c>
      <c r="C3369" s="10" t="s">
        <v>52</v>
      </c>
      <c r="D3369" s="10" t="s">
        <v>321</v>
      </c>
      <c r="E3369" s="10" t="s">
        <v>2342</v>
      </c>
      <c r="F3369" s="30" t="n">
        <v>42844</v>
      </c>
      <c r="G3369" s="30" t="n">
        <v>42950</v>
      </c>
      <c r="H3369" s="26" t="n">
        <f aca="false">G3369-F3369</f>
        <v>106</v>
      </c>
      <c r="I3369" s="10" t="n">
        <f aca="false">IF(E3369="Won",1,0)</f>
        <v>1</v>
      </c>
    </row>
    <row r="3370" customFormat="false" ht="15" hidden="false" customHeight="false" outlineLevel="0" collapsed="false">
      <c r="A3370" s="10" t="s">
        <v>5711</v>
      </c>
      <c r="B3370" s="10" t="s">
        <v>77</v>
      </c>
      <c r="C3370" s="10" t="s">
        <v>51</v>
      </c>
      <c r="D3370" s="10" t="s">
        <v>193</v>
      </c>
      <c r="E3370" s="10" t="s">
        <v>2345</v>
      </c>
      <c r="F3370" s="30" t="n">
        <v>42889</v>
      </c>
      <c r="G3370" s="30" t="n">
        <v>42950</v>
      </c>
      <c r="H3370" s="26" t="n">
        <f aca="false">G3370-F3370</f>
        <v>61</v>
      </c>
      <c r="I3370" s="10" t="n">
        <f aca="false">IF(E3370="Won",1,0)</f>
        <v>0</v>
      </c>
    </row>
    <row r="3371" customFormat="false" ht="15" hidden="false" customHeight="false" outlineLevel="0" collapsed="false">
      <c r="A3371" s="10" t="s">
        <v>5712</v>
      </c>
      <c r="B3371" s="10" t="s">
        <v>84</v>
      </c>
      <c r="C3371" s="10" t="s">
        <v>51</v>
      </c>
      <c r="D3371" s="10" t="s">
        <v>215</v>
      </c>
      <c r="E3371" s="10" t="s">
        <v>2345</v>
      </c>
      <c r="F3371" s="30" t="n">
        <v>42941</v>
      </c>
      <c r="G3371" s="30" t="n">
        <v>42950</v>
      </c>
      <c r="H3371" s="26" t="n">
        <f aca="false">G3371-F3371</f>
        <v>9</v>
      </c>
      <c r="I3371" s="10" t="n">
        <f aca="false">IF(E3371="Won",1,0)</f>
        <v>0</v>
      </c>
    </row>
    <row r="3372" customFormat="false" ht="15" hidden="false" customHeight="false" outlineLevel="0" collapsed="false">
      <c r="A3372" s="10" t="s">
        <v>5713</v>
      </c>
      <c r="B3372" s="10" t="s">
        <v>77</v>
      </c>
      <c r="C3372" s="10" t="s">
        <v>50</v>
      </c>
      <c r="D3372" s="10" t="s">
        <v>762</v>
      </c>
      <c r="E3372" s="10" t="s">
        <v>2342</v>
      </c>
      <c r="F3372" s="30" t="n">
        <v>42935</v>
      </c>
      <c r="G3372" s="30" t="n">
        <v>42950</v>
      </c>
      <c r="H3372" s="26" t="n">
        <f aca="false">G3372-F3372</f>
        <v>15</v>
      </c>
      <c r="I3372" s="10" t="n">
        <f aca="false">IF(E3372="Won",1,0)</f>
        <v>1</v>
      </c>
    </row>
    <row r="3373" customFormat="false" ht="15" hidden="false" customHeight="false" outlineLevel="0" collapsed="false">
      <c r="A3373" s="10" t="s">
        <v>5714</v>
      </c>
      <c r="B3373" s="10" t="s">
        <v>70</v>
      </c>
      <c r="C3373" s="10" t="s">
        <v>49</v>
      </c>
      <c r="D3373" s="10" t="s">
        <v>303</v>
      </c>
      <c r="E3373" s="10" t="s">
        <v>2342</v>
      </c>
      <c r="F3373" s="30" t="n">
        <v>42858</v>
      </c>
      <c r="G3373" s="30" t="n">
        <v>42950</v>
      </c>
      <c r="H3373" s="26" t="n">
        <f aca="false">G3373-F3373</f>
        <v>92</v>
      </c>
      <c r="I3373" s="10" t="n">
        <f aca="false">IF(E3373="Won",1,0)</f>
        <v>1</v>
      </c>
    </row>
    <row r="3374" customFormat="false" ht="15" hidden="false" customHeight="false" outlineLevel="0" collapsed="false">
      <c r="A3374" s="10" t="s">
        <v>5715</v>
      </c>
      <c r="B3374" s="10" t="s">
        <v>76</v>
      </c>
      <c r="C3374" s="10" t="s">
        <v>52</v>
      </c>
      <c r="D3374" s="10" t="s">
        <v>210</v>
      </c>
      <c r="E3374" s="10" t="s">
        <v>2342</v>
      </c>
      <c r="F3374" s="30" t="n">
        <v>42944</v>
      </c>
      <c r="G3374" s="30" t="n">
        <v>42950</v>
      </c>
      <c r="H3374" s="26" t="n">
        <f aca="false">G3374-F3374</f>
        <v>6</v>
      </c>
      <c r="I3374" s="10" t="n">
        <f aca="false">IF(E3374="Won",1,0)</f>
        <v>1</v>
      </c>
    </row>
    <row r="3375" customFormat="false" ht="15" hidden="false" customHeight="false" outlineLevel="0" collapsed="false">
      <c r="A3375" s="10" t="s">
        <v>5716</v>
      </c>
      <c r="B3375" s="10" t="s">
        <v>95</v>
      </c>
      <c r="C3375" s="10" t="s">
        <v>47</v>
      </c>
      <c r="D3375" s="10" t="s">
        <v>175</v>
      </c>
      <c r="E3375" s="10" t="s">
        <v>2345</v>
      </c>
      <c r="F3375" s="30" t="n">
        <v>42886</v>
      </c>
      <c r="G3375" s="30" t="n">
        <v>42950</v>
      </c>
      <c r="H3375" s="26" t="n">
        <f aca="false">G3375-F3375</f>
        <v>64</v>
      </c>
      <c r="I3375" s="10" t="n">
        <f aca="false">IF(E3375="Won",1,0)</f>
        <v>0</v>
      </c>
    </row>
    <row r="3376" customFormat="false" ht="15" hidden="false" customHeight="false" outlineLevel="0" collapsed="false">
      <c r="A3376" s="10" t="s">
        <v>5717</v>
      </c>
      <c r="B3376" s="10" t="s">
        <v>69</v>
      </c>
      <c r="C3376" s="10" t="s">
        <v>49</v>
      </c>
      <c r="D3376" s="10" t="s">
        <v>606</v>
      </c>
      <c r="E3376" s="10" t="s">
        <v>2342</v>
      </c>
      <c r="F3376" s="30" t="n">
        <v>42912</v>
      </c>
      <c r="G3376" s="30" t="n">
        <v>42950</v>
      </c>
      <c r="H3376" s="26" t="n">
        <f aca="false">G3376-F3376</f>
        <v>38</v>
      </c>
      <c r="I3376" s="10" t="n">
        <f aca="false">IF(E3376="Won",1,0)</f>
        <v>1</v>
      </c>
    </row>
    <row r="3377" customFormat="false" ht="15" hidden="false" customHeight="false" outlineLevel="0" collapsed="false">
      <c r="A3377" s="10" t="s">
        <v>5718</v>
      </c>
      <c r="B3377" s="10" t="s">
        <v>67</v>
      </c>
      <c r="C3377" s="10" t="s">
        <v>49</v>
      </c>
      <c r="D3377" s="10" t="s">
        <v>175</v>
      </c>
      <c r="E3377" s="10" t="s">
        <v>2345</v>
      </c>
      <c r="F3377" s="30" t="n">
        <v>42887</v>
      </c>
      <c r="G3377" s="30" t="n">
        <v>42950</v>
      </c>
      <c r="H3377" s="26" t="n">
        <f aca="false">G3377-F3377</f>
        <v>63</v>
      </c>
      <c r="I3377" s="10" t="n">
        <f aca="false">IF(E3377="Won",1,0)</f>
        <v>0</v>
      </c>
    </row>
    <row r="3378" customFormat="false" ht="15" hidden="false" customHeight="false" outlineLevel="0" collapsed="false">
      <c r="A3378" s="10" t="s">
        <v>5719</v>
      </c>
      <c r="B3378" s="10" t="s">
        <v>61</v>
      </c>
      <c r="C3378" s="10" t="s">
        <v>48</v>
      </c>
      <c r="D3378" s="10" t="s">
        <v>692</v>
      </c>
      <c r="E3378" s="10" t="s">
        <v>2342</v>
      </c>
      <c r="F3378" s="30" t="n">
        <v>42887</v>
      </c>
      <c r="G3378" s="30" t="n">
        <v>42950</v>
      </c>
      <c r="H3378" s="26" t="n">
        <f aca="false">G3378-F3378</f>
        <v>63</v>
      </c>
      <c r="I3378" s="10" t="n">
        <f aca="false">IF(E3378="Won",1,0)</f>
        <v>1</v>
      </c>
    </row>
    <row r="3379" customFormat="false" ht="15" hidden="false" customHeight="false" outlineLevel="0" collapsed="false">
      <c r="A3379" s="10" t="s">
        <v>5720</v>
      </c>
      <c r="B3379" s="10" t="s">
        <v>71</v>
      </c>
      <c r="C3379" s="10" t="s">
        <v>49</v>
      </c>
      <c r="D3379" s="10" t="s">
        <v>524</v>
      </c>
      <c r="E3379" s="10" t="s">
        <v>2342</v>
      </c>
      <c r="F3379" s="30" t="n">
        <v>42876</v>
      </c>
      <c r="G3379" s="30" t="n">
        <v>42950</v>
      </c>
      <c r="H3379" s="26" t="n">
        <f aca="false">G3379-F3379</f>
        <v>74</v>
      </c>
      <c r="I3379" s="10" t="n">
        <f aca="false">IF(E3379="Won",1,0)</f>
        <v>1</v>
      </c>
    </row>
    <row r="3380" customFormat="false" ht="15" hidden="false" customHeight="false" outlineLevel="0" collapsed="false">
      <c r="A3380" s="10" t="s">
        <v>5721</v>
      </c>
      <c r="B3380" s="10" t="s">
        <v>80</v>
      </c>
      <c r="C3380" s="10" t="s">
        <v>47</v>
      </c>
      <c r="D3380" s="10" t="s">
        <v>1251</v>
      </c>
      <c r="E3380" s="10" t="s">
        <v>2342</v>
      </c>
      <c r="F3380" s="30" t="n">
        <v>42845</v>
      </c>
      <c r="G3380" s="30" t="n">
        <v>42950</v>
      </c>
      <c r="H3380" s="26" t="n">
        <f aca="false">G3380-F3380</f>
        <v>105</v>
      </c>
      <c r="I3380" s="10" t="n">
        <f aca="false">IF(E3380="Won",1,0)</f>
        <v>1</v>
      </c>
    </row>
    <row r="3381" customFormat="false" ht="15" hidden="false" customHeight="false" outlineLevel="0" collapsed="false">
      <c r="A3381" s="10" t="s">
        <v>5722</v>
      </c>
      <c r="B3381" s="10" t="s">
        <v>71</v>
      </c>
      <c r="C3381" s="10" t="s">
        <v>51</v>
      </c>
      <c r="D3381" s="10" t="s">
        <v>369</v>
      </c>
      <c r="E3381" s="10" t="s">
        <v>2342</v>
      </c>
      <c r="F3381" s="30" t="n">
        <v>42841</v>
      </c>
      <c r="G3381" s="30" t="n">
        <v>42950</v>
      </c>
      <c r="H3381" s="26" t="n">
        <f aca="false">G3381-F3381</f>
        <v>109</v>
      </c>
      <c r="I3381" s="10" t="n">
        <f aca="false">IF(E3381="Won",1,0)</f>
        <v>1</v>
      </c>
    </row>
    <row r="3382" customFormat="false" ht="15" hidden="false" customHeight="false" outlineLevel="0" collapsed="false">
      <c r="A3382" s="10" t="s">
        <v>5723</v>
      </c>
      <c r="B3382" s="10" t="s">
        <v>94</v>
      </c>
      <c r="C3382" s="10" t="s">
        <v>50</v>
      </c>
      <c r="D3382" s="10" t="s">
        <v>483</v>
      </c>
      <c r="E3382" s="10" t="s">
        <v>2345</v>
      </c>
      <c r="F3382" s="30" t="n">
        <v>42945</v>
      </c>
      <c r="G3382" s="30" t="n">
        <v>42950</v>
      </c>
      <c r="H3382" s="26" t="n">
        <f aca="false">G3382-F3382</f>
        <v>5</v>
      </c>
      <c r="I3382" s="10" t="n">
        <f aca="false">IF(E3382="Won",1,0)</f>
        <v>0</v>
      </c>
    </row>
    <row r="3383" customFormat="false" ht="15" hidden="false" customHeight="false" outlineLevel="0" collapsed="false">
      <c r="A3383" s="10" t="s">
        <v>5724</v>
      </c>
      <c r="B3383" s="10" t="s">
        <v>77</v>
      </c>
      <c r="C3383" s="10" t="s">
        <v>51</v>
      </c>
      <c r="D3383" s="10" t="s">
        <v>524</v>
      </c>
      <c r="E3383" s="10" t="s">
        <v>2342</v>
      </c>
      <c r="F3383" s="30" t="n">
        <v>42941</v>
      </c>
      <c r="G3383" s="30" t="n">
        <v>42950</v>
      </c>
      <c r="H3383" s="26" t="n">
        <f aca="false">G3383-F3383</f>
        <v>9</v>
      </c>
      <c r="I3383" s="10" t="n">
        <f aca="false">IF(E3383="Won",1,0)</f>
        <v>1</v>
      </c>
    </row>
    <row r="3384" customFormat="false" ht="15" hidden="false" customHeight="false" outlineLevel="0" collapsed="false">
      <c r="A3384" s="10" t="s">
        <v>5725</v>
      </c>
      <c r="B3384" s="10" t="s">
        <v>70</v>
      </c>
      <c r="C3384" s="10" t="s">
        <v>51</v>
      </c>
      <c r="D3384" s="10" t="s">
        <v>424</v>
      </c>
      <c r="E3384" s="10" t="s">
        <v>2345</v>
      </c>
      <c r="F3384" s="30" t="n">
        <v>42881</v>
      </c>
      <c r="G3384" s="30" t="n">
        <v>42950</v>
      </c>
      <c r="H3384" s="26" t="n">
        <f aca="false">G3384-F3384</f>
        <v>69</v>
      </c>
      <c r="I3384" s="10" t="n">
        <f aca="false">IF(E3384="Won",1,0)</f>
        <v>0</v>
      </c>
    </row>
    <row r="3385" customFormat="false" ht="15" hidden="false" customHeight="false" outlineLevel="0" collapsed="false">
      <c r="A3385" s="10" t="s">
        <v>5726</v>
      </c>
      <c r="B3385" s="10" t="s">
        <v>93</v>
      </c>
      <c r="C3385" s="10" t="s">
        <v>51</v>
      </c>
      <c r="D3385" s="10" t="s">
        <v>514</v>
      </c>
      <c r="E3385" s="10" t="s">
        <v>2345</v>
      </c>
      <c r="F3385" s="30" t="n">
        <v>42850</v>
      </c>
      <c r="G3385" s="30" t="n">
        <v>42950</v>
      </c>
      <c r="H3385" s="26" t="n">
        <f aca="false">G3385-F3385</f>
        <v>100</v>
      </c>
      <c r="I3385" s="10" t="n">
        <f aca="false">IF(E3385="Won",1,0)</f>
        <v>0</v>
      </c>
    </row>
    <row r="3386" customFormat="false" ht="15" hidden="false" customHeight="false" outlineLevel="0" collapsed="false">
      <c r="A3386" s="10" t="s">
        <v>5727</v>
      </c>
      <c r="B3386" s="10" t="s">
        <v>70</v>
      </c>
      <c r="C3386" s="10" t="s">
        <v>49</v>
      </c>
      <c r="D3386" s="10" t="s">
        <v>419</v>
      </c>
      <c r="E3386" s="10" t="s">
        <v>2345</v>
      </c>
      <c r="F3386" s="30" t="n">
        <v>42864</v>
      </c>
      <c r="G3386" s="30" t="n">
        <v>42951</v>
      </c>
      <c r="H3386" s="26" t="n">
        <f aca="false">G3386-F3386</f>
        <v>87</v>
      </c>
      <c r="I3386" s="10" t="n">
        <f aca="false">IF(E3386="Won",1,0)</f>
        <v>0</v>
      </c>
    </row>
    <row r="3387" customFormat="false" ht="15" hidden="false" customHeight="false" outlineLevel="0" collapsed="false">
      <c r="A3387" s="10" t="s">
        <v>5728</v>
      </c>
      <c r="B3387" s="10" t="s">
        <v>86</v>
      </c>
      <c r="C3387" s="10" t="s">
        <v>47</v>
      </c>
      <c r="D3387" s="10" t="s">
        <v>1334</v>
      </c>
      <c r="E3387" s="10" t="s">
        <v>2342</v>
      </c>
      <c r="F3387" s="30" t="n">
        <v>42899</v>
      </c>
      <c r="G3387" s="30" t="n">
        <v>42951</v>
      </c>
      <c r="H3387" s="26" t="n">
        <f aca="false">G3387-F3387</f>
        <v>52</v>
      </c>
      <c r="I3387" s="10" t="n">
        <f aca="false">IF(E3387="Won",1,0)</f>
        <v>1</v>
      </c>
    </row>
    <row r="3388" customFormat="false" ht="15" hidden="false" customHeight="false" outlineLevel="0" collapsed="false">
      <c r="A3388" s="10" t="s">
        <v>5729</v>
      </c>
      <c r="B3388" s="10" t="s">
        <v>75</v>
      </c>
      <c r="C3388" s="10" t="s">
        <v>50</v>
      </c>
      <c r="D3388" s="10" t="s">
        <v>422</v>
      </c>
      <c r="E3388" s="10" t="s">
        <v>2342</v>
      </c>
      <c r="F3388" s="30" t="n">
        <v>42895</v>
      </c>
      <c r="G3388" s="30" t="n">
        <v>42951</v>
      </c>
      <c r="H3388" s="26" t="n">
        <f aca="false">G3388-F3388</f>
        <v>56</v>
      </c>
      <c r="I3388" s="10" t="n">
        <f aca="false">IF(E3388="Won",1,0)</f>
        <v>1</v>
      </c>
    </row>
    <row r="3389" customFormat="false" ht="15" hidden="false" customHeight="false" outlineLevel="0" collapsed="false">
      <c r="A3389" s="10" t="s">
        <v>5730</v>
      </c>
      <c r="B3389" s="10" t="s">
        <v>94</v>
      </c>
      <c r="C3389" s="10" t="s">
        <v>50</v>
      </c>
      <c r="D3389" s="10" t="s">
        <v>506</v>
      </c>
      <c r="E3389" s="10" t="s">
        <v>2345</v>
      </c>
      <c r="F3389" s="30" t="n">
        <v>42862</v>
      </c>
      <c r="G3389" s="30" t="n">
        <v>42951</v>
      </c>
      <c r="H3389" s="26" t="n">
        <f aca="false">G3389-F3389</f>
        <v>89</v>
      </c>
      <c r="I3389" s="10" t="n">
        <f aca="false">IF(E3389="Won",1,0)</f>
        <v>0</v>
      </c>
    </row>
    <row r="3390" customFormat="false" ht="15" hidden="false" customHeight="false" outlineLevel="0" collapsed="false">
      <c r="A3390" s="10" t="s">
        <v>5731</v>
      </c>
      <c r="B3390" s="10" t="s">
        <v>83</v>
      </c>
      <c r="C3390" s="10" t="s">
        <v>50</v>
      </c>
      <c r="D3390" s="10" t="s">
        <v>527</v>
      </c>
      <c r="E3390" s="10" t="s">
        <v>2345</v>
      </c>
      <c r="F3390" s="30" t="n">
        <v>42895</v>
      </c>
      <c r="G3390" s="30" t="n">
        <v>42951</v>
      </c>
      <c r="H3390" s="26" t="n">
        <f aca="false">G3390-F3390</f>
        <v>56</v>
      </c>
      <c r="I3390" s="10" t="n">
        <f aca="false">IF(E3390="Won",1,0)</f>
        <v>0</v>
      </c>
    </row>
    <row r="3391" customFormat="false" ht="15" hidden="false" customHeight="false" outlineLevel="0" collapsed="false">
      <c r="A3391" s="10" t="s">
        <v>5732</v>
      </c>
      <c r="B3391" s="10" t="s">
        <v>71</v>
      </c>
      <c r="C3391" s="10" t="s">
        <v>52</v>
      </c>
      <c r="D3391" s="10" t="s">
        <v>697</v>
      </c>
      <c r="E3391" s="10" t="s">
        <v>2342</v>
      </c>
      <c r="F3391" s="30" t="n">
        <v>42865</v>
      </c>
      <c r="G3391" s="30" t="n">
        <v>42951</v>
      </c>
      <c r="H3391" s="26" t="n">
        <f aca="false">G3391-F3391</f>
        <v>86</v>
      </c>
      <c r="I3391" s="10" t="n">
        <f aca="false">IF(E3391="Won",1,0)</f>
        <v>1</v>
      </c>
    </row>
    <row r="3392" customFormat="false" ht="15" hidden="false" customHeight="false" outlineLevel="0" collapsed="false">
      <c r="A3392" s="10" t="s">
        <v>5733</v>
      </c>
      <c r="B3392" s="10" t="s">
        <v>76</v>
      </c>
      <c r="C3392" s="10" t="s">
        <v>52</v>
      </c>
      <c r="D3392" s="10" t="s">
        <v>279</v>
      </c>
      <c r="E3392" s="10" t="s">
        <v>2342</v>
      </c>
      <c r="F3392" s="30" t="n">
        <v>42875</v>
      </c>
      <c r="G3392" s="30" t="n">
        <v>42951</v>
      </c>
      <c r="H3392" s="26" t="n">
        <f aca="false">G3392-F3392</f>
        <v>76</v>
      </c>
      <c r="I3392" s="10" t="n">
        <f aca="false">IF(E3392="Won",1,0)</f>
        <v>1</v>
      </c>
    </row>
    <row r="3393" customFormat="false" ht="15" hidden="false" customHeight="false" outlineLevel="0" collapsed="false">
      <c r="A3393" s="10" t="s">
        <v>5734</v>
      </c>
      <c r="B3393" s="10" t="s">
        <v>68</v>
      </c>
      <c r="C3393" s="10" t="s">
        <v>50</v>
      </c>
      <c r="D3393" s="10" t="s">
        <v>175</v>
      </c>
      <c r="E3393" s="10" t="s">
        <v>2345</v>
      </c>
      <c r="F3393" s="30" t="n">
        <v>42947</v>
      </c>
      <c r="G3393" s="30" t="n">
        <v>42951</v>
      </c>
      <c r="H3393" s="26" t="n">
        <f aca="false">G3393-F3393</f>
        <v>4</v>
      </c>
      <c r="I3393" s="10" t="n">
        <f aca="false">IF(E3393="Won",1,0)</f>
        <v>0</v>
      </c>
    </row>
    <row r="3394" customFormat="false" ht="15" hidden="false" customHeight="false" outlineLevel="0" collapsed="false">
      <c r="A3394" s="10" t="s">
        <v>5735</v>
      </c>
      <c r="B3394" s="10" t="s">
        <v>73</v>
      </c>
      <c r="C3394" s="10" t="s">
        <v>47</v>
      </c>
      <c r="D3394" s="10" t="s">
        <v>410</v>
      </c>
      <c r="E3394" s="10" t="s">
        <v>2342</v>
      </c>
      <c r="F3394" s="30" t="n">
        <v>42896</v>
      </c>
      <c r="G3394" s="30" t="n">
        <v>42951</v>
      </c>
      <c r="H3394" s="26" t="n">
        <f aca="false">G3394-F3394</f>
        <v>55</v>
      </c>
      <c r="I3394" s="10" t="n">
        <f aca="false">IF(E3394="Won",1,0)</f>
        <v>1</v>
      </c>
    </row>
    <row r="3395" customFormat="false" ht="15" hidden="false" customHeight="false" outlineLevel="0" collapsed="false">
      <c r="A3395" s="10" t="s">
        <v>5736</v>
      </c>
      <c r="B3395" s="10" t="s">
        <v>96</v>
      </c>
      <c r="C3395" s="10" t="s">
        <v>51</v>
      </c>
      <c r="D3395" s="10" t="s">
        <v>437</v>
      </c>
      <c r="E3395" s="10" t="s">
        <v>2342</v>
      </c>
      <c r="F3395" s="30" t="n">
        <v>42871</v>
      </c>
      <c r="G3395" s="30" t="n">
        <v>42951</v>
      </c>
      <c r="H3395" s="26" t="n">
        <f aca="false">G3395-F3395</f>
        <v>80</v>
      </c>
      <c r="I3395" s="10" t="n">
        <f aca="false">IF(E3395="Won",1,0)</f>
        <v>1</v>
      </c>
    </row>
    <row r="3396" customFormat="false" ht="15" hidden="false" customHeight="false" outlineLevel="0" collapsed="false">
      <c r="A3396" s="10" t="s">
        <v>5737</v>
      </c>
      <c r="B3396" s="10" t="s">
        <v>90</v>
      </c>
      <c r="C3396" s="10" t="s">
        <v>51</v>
      </c>
      <c r="D3396" s="10" t="s">
        <v>254</v>
      </c>
      <c r="E3396" s="10" t="s">
        <v>2342</v>
      </c>
      <c r="F3396" s="30" t="n">
        <v>42827</v>
      </c>
      <c r="G3396" s="30" t="n">
        <v>42951</v>
      </c>
      <c r="H3396" s="26" t="n">
        <f aca="false">G3396-F3396</f>
        <v>124</v>
      </c>
      <c r="I3396" s="10" t="n">
        <f aca="false">IF(E3396="Won",1,0)</f>
        <v>1</v>
      </c>
    </row>
    <row r="3397" customFormat="false" ht="15" hidden="false" customHeight="false" outlineLevel="0" collapsed="false">
      <c r="A3397" s="10" t="s">
        <v>5738</v>
      </c>
      <c r="B3397" s="10" t="s">
        <v>97</v>
      </c>
      <c r="C3397" s="10" t="s">
        <v>50</v>
      </c>
      <c r="D3397" s="10" t="s">
        <v>313</v>
      </c>
      <c r="E3397" s="10" t="s">
        <v>2342</v>
      </c>
      <c r="F3397" s="30" t="n">
        <v>42883</v>
      </c>
      <c r="G3397" s="30" t="n">
        <v>42951</v>
      </c>
      <c r="H3397" s="26" t="n">
        <f aca="false">G3397-F3397</f>
        <v>68</v>
      </c>
      <c r="I3397" s="10" t="n">
        <f aca="false">IF(E3397="Won",1,0)</f>
        <v>1</v>
      </c>
    </row>
    <row r="3398" customFormat="false" ht="15" hidden="false" customHeight="false" outlineLevel="0" collapsed="false">
      <c r="A3398" s="10" t="s">
        <v>5739</v>
      </c>
      <c r="B3398" s="10" t="s">
        <v>87</v>
      </c>
      <c r="C3398" s="10" t="s">
        <v>48</v>
      </c>
      <c r="D3398" s="10" t="s">
        <v>455</v>
      </c>
      <c r="E3398" s="10" t="s">
        <v>2345</v>
      </c>
      <c r="F3398" s="30" t="n">
        <v>42859</v>
      </c>
      <c r="G3398" s="30" t="n">
        <v>42951</v>
      </c>
      <c r="H3398" s="26" t="n">
        <f aca="false">G3398-F3398</f>
        <v>92</v>
      </c>
      <c r="I3398" s="10" t="n">
        <f aca="false">IF(E3398="Won",1,0)</f>
        <v>0</v>
      </c>
    </row>
    <row r="3399" customFormat="false" ht="15" hidden="false" customHeight="false" outlineLevel="0" collapsed="false">
      <c r="A3399" s="10" t="s">
        <v>5740</v>
      </c>
      <c r="B3399" s="10" t="s">
        <v>57</v>
      </c>
      <c r="C3399" s="10" t="s">
        <v>48</v>
      </c>
      <c r="D3399" s="10" t="s">
        <v>453</v>
      </c>
      <c r="E3399" s="10" t="s">
        <v>2342</v>
      </c>
      <c r="F3399" s="30" t="n">
        <v>42849</v>
      </c>
      <c r="G3399" s="30" t="n">
        <v>42951</v>
      </c>
      <c r="H3399" s="26" t="n">
        <f aca="false">G3399-F3399</f>
        <v>102</v>
      </c>
      <c r="I3399" s="10" t="n">
        <f aca="false">IF(E3399="Won",1,0)</f>
        <v>1</v>
      </c>
    </row>
    <row r="3400" customFormat="false" ht="15" hidden="false" customHeight="false" outlineLevel="0" collapsed="false">
      <c r="A3400" s="10" t="s">
        <v>5741</v>
      </c>
      <c r="B3400" s="10" t="s">
        <v>95</v>
      </c>
      <c r="C3400" s="10" t="s">
        <v>47</v>
      </c>
      <c r="D3400" s="10" t="s">
        <v>514</v>
      </c>
      <c r="E3400" s="10" t="s">
        <v>2342</v>
      </c>
      <c r="F3400" s="30" t="n">
        <v>42882</v>
      </c>
      <c r="G3400" s="30" t="n">
        <v>42951</v>
      </c>
      <c r="H3400" s="26" t="n">
        <f aca="false">G3400-F3400</f>
        <v>69</v>
      </c>
      <c r="I3400" s="10" t="n">
        <f aca="false">IF(E3400="Won",1,0)</f>
        <v>1</v>
      </c>
    </row>
    <row r="3401" customFormat="false" ht="15" hidden="false" customHeight="false" outlineLevel="0" collapsed="false">
      <c r="A3401" s="10" t="s">
        <v>5742</v>
      </c>
      <c r="B3401" s="10" t="s">
        <v>62</v>
      </c>
      <c r="C3401" s="10" t="s">
        <v>49</v>
      </c>
      <c r="D3401" s="10" t="s">
        <v>378</v>
      </c>
      <c r="E3401" s="10" t="s">
        <v>2342</v>
      </c>
      <c r="F3401" s="30" t="n">
        <v>42849</v>
      </c>
      <c r="G3401" s="30" t="n">
        <v>42951</v>
      </c>
      <c r="H3401" s="26" t="n">
        <f aca="false">G3401-F3401</f>
        <v>102</v>
      </c>
      <c r="I3401" s="10" t="n">
        <f aca="false">IF(E3401="Won",1,0)</f>
        <v>1</v>
      </c>
    </row>
    <row r="3402" customFormat="false" ht="15" hidden="false" customHeight="false" outlineLevel="0" collapsed="false">
      <c r="A3402" s="10" t="s">
        <v>5743</v>
      </c>
      <c r="B3402" s="10" t="s">
        <v>71</v>
      </c>
      <c r="C3402" s="10" t="s">
        <v>52</v>
      </c>
      <c r="D3402" s="10" t="s">
        <v>660</v>
      </c>
      <c r="E3402" s="10" t="s">
        <v>2342</v>
      </c>
      <c r="F3402" s="30" t="n">
        <v>42868</v>
      </c>
      <c r="G3402" s="30" t="n">
        <v>42951</v>
      </c>
      <c r="H3402" s="26" t="n">
        <f aca="false">G3402-F3402</f>
        <v>83</v>
      </c>
      <c r="I3402" s="10" t="n">
        <f aca="false">IF(E3402="Won",1,0)</f>
        <v>1</v>
      </c>
    </row>
    <row r="3403" customFormat="false" ht="15" hidden="false" customHeight="false" outlineLevel="0" collapsed="false">
      <c r="A3403" s="10" t="s">
        <v>5744</v>
      </c>
      <c r="B3403" s="10" t="s">
        <v>77</v>
      </c>
      <c r="C3403" s="10" t="s">
        <v>48</v>
      </c>
      <c r="D3403" s="10" t="s">
        <v>267</v>
      </c>
      <c r="E3403" s="10" t="s">
        <v>2345</v>
      </c>
      <c r="F3403" s="30" t="n">
        <v>42936</v>
      </c>
      <c r="G3403" s="30" t="n">
        <v>42951</v>
      </c>
      <c r="H3403" s="26" t="n">
        <f aca="false">G3403-F3403</f>
        <v>15</v>
      </c>
      <c r="I3403" s="10" t="n">
        <f aca="false">IF(E3403="Won",1,0)</f>
        <v>0</v>
      </c>
    </row>
    <row r="3404" customFormat="false" ht="15" hidden="false" customHeight="false" outlineLevel="0" collapsed="false">
      <c r="A3404" s="10" t="s">
        <v>5745</v>
      </c>
      <c r="B3404" s="10" t="s">
        <v>61</v>
      </c>
      <c r="C3404" s="10" t="s">
        <v>51</v>
      </c>
      <c r="D3404" s="10" t="s">
        <v>286</v>
      </c>
      <c r="E3404" s="10" t="s">
        <v>2342</v>
      </c>
      <c r="F3404" s="30" t="n">
        <v>42867</v>
      </c>
      <c r="G3404" s="30" t="n">
        <v>42951</v>
      </c>
      <c r="H3404" s="26" t="n">
        <f aca="false">G3404-F3404</f>
        <v>84</v>
      </c>
      <c r="I3404" s="10" t="n">
        <f aca="false">IF(E3404="Won",1,0)</f>
        <v>1</v>
      </c>
    </row>
    <row r="3405" customFormat="false" ht="15" hidden="false" customHeight="false" outlineLevel="0" collapsed="false">
      <c r="A3405" s="10" t="s">
        <v>5746</v>
      </c>
      <c r="B3405" s="10" t="s">
        <v>90</v>
      </c>
      <c r="C3405" s="10" t="s">
        <v>52</v>
      </c>
      <c r="D3405" s="10" t="s">
        <v>378</v>
      </c>
      <c r="E3405" s="10" t="s">
        <v>2342</v>
      </c>
      <c r="F3405" s="30" t="n">
        <v>42901</v>
      </c>
      <c r="G3405" s="30" t="n">
        <v>42951</v>
      </c>
      <c r="H3405" s="26" t="n">
        <f aca="false">G3405-F3405</f>
        <v>50</v>
      </c>
      <c r="I3405" s="10" t="n">
        <f aca="false">IF(E3405="Won",1,0)</f>
        <v>1</v>
      </c>
    </row>
    <row r="3406" customFormat="false" ht="15" hidden="false" customHeight="false" outlineLevel="0" collapsed="false">
      <c r="A3406" s="10" t="s">
        <v>5747</v>
      </c>
      <c r="B3406" s="10" t="s">
        <v>57</v>
      </c>
      <c r="C3406" s="10" t="s">
        <v>52</v>
      </c>
      <c r="D3406" s="10" t="s">
        <v>254</v>
      </c>
      <c r="E3406" s="10" t="s">
        <v>2345</v>
      </c>
      <c r="F3406" s="30" t="n">
        <v>42851</v>
      </c>
      <c r="G3406" s="30" t="n">
        <v>42951</v>
      </c>
      <c r="H3406" s="26" t="n">
        <f aca="false">G3406-F3406</f>
        <v>100</v>
      </c>
      <c r="I3406" s="10" t="n">
        <f aca="false">IF(E3406="Won",1,0)</f>
        <v>0</v>
      </c>
    </row>
    <row r="3407" customFormat="false" ht="15" hidden="false" customHeight="false" outlineLevel="0" collapsed="false">
      <c r="A3407" s="10" t="s">
        <v>5748</v>
      </c>
      <c r="B3407" s="10" t="s">
        <v>81</v>
      </c>
      <c r="C3407" s="10" t="s">
        <v>50</v>
      </c>
      <c r="D3407" s="10" t="s">
        <v>524</v>
      </c>
      <c r="E3407" s="10" t="s">
        <v>2342</v>
      </c>
      <c r="F3407" s="30" t="n">
        <v>42880</v>
      </c>
      <c r="G3407" s="30" t="n">
        <v>42951</v>
      </c>
      <c r="H3407" s="26" t="n">
        <f aca="false">G3407-F3407</f>
        <v>71</v>
      </c>
      <c r="I3407" s="10" t="n">
        <f aca="false">IF(E3407="Won",1,0)</f>
        <v>1</v>
      </c>
    </row>
    <row r="3408" customFormat="false" ht="15" hidden="false" customHeight="false" outlineLevel="0" collapsed="false">
      <c r="A3408" s="10" t="s">
        <v>5749</v>
      </c>
      <c r="B3408" s="10" t="s">
        <v>62</v>
      </c>
      <c r="C3408" s="10" t="s">
        <v>52</v>
      </c>
      <c r="D3408" s="10" t="s">
        <v>185</v>
      </c>
      <c r="E3408" s="10" t="s">
        <v>2345</v>
      </c>
      <c r="F3408" s="30" t="n">
        <v>42906</v>
      </c>
      <c r="G3408" s="30" t="n">
        <v>42951</v>
      </c>
      <c r="H3408" s="26" t="n">
        <f aca="false">G3408-F3408</f>
        <v>45</v>
      </c>
      <c r="I3408" s="10" t="n">
        <f aca="false">IF(E3408="Won",1,0)</f>
        <v>0</v>
      </c>
    </row>
    <row r="3409" customFormat="false" ht="15" hidden="false" customHeight="false" outlineLevel="0" collapsed="false">
      <c r="A3409" s="10" t="s">
        <v>5750</v>
      </c>
      <c r="B3409" s="10" t="s">
        <v>86</v>
      </c>
      <c r="C3409" s="10" t="s">
        <v>49</v>
      </c>
      <c r="D3409" s="10" t="s">
        <v>1397</v>
      </c>
      <c r="E3409" s="10" t="s">
        <v>2342</v>
      </c>
      <c r="F3409" s="30" t="n">
        <v>42843</v>
      </c>
      <c r="G3409" s="30" t="n">
        <v>42951</v>
      </c>
      <c r="H3409" s="26" t="n">
        <f aca="false">G3409-F3409</f>
        <v>108</v>
      </c>
      <c r="I3409" s="10" t="n">
        <f aca="false">IF(E3409="Won",1,0)</f>
        <v>1</v>
      </c>
    </row>
    <row r="3410" customFormat="false" ht="15" hidden="false" customHeight="false" outlineLevel="0" collapsed="false">
      <c r="A3410" s="10" t="s">
        <v>5751</v>
      </c>
      <c r="B3410" s="10" t="s">
        <v>84</v>
      </c>
      <c r="C3410" s="10" t="s">
        <v>49</v>
      </c>
      <c r="D3410" s="10" t="s">
        <v>218</v>
      </c>
      <c r="E3410" s="10" t="s">
        <v>2342</v>
      </c>
      <c r="F3410" s="30" t="n">
        <v>42842</v>
      </c>
      <c r="G3410" s="30" t="n">
        <v>42951</v>
      </c>
      <c r="H3410" s="26" t="n">
        <f aca="false">G3410-F3410</f>
        <v>109</v>
      </c>
      <c r="I3410" s="10" t="n">
        <f aca="false">IF(E3410="Won",1,0)</f>
        <v>1</v>
      </c>
    </row>
    <row r="3411" customFormat="false" ht="15" hidden="false" customHeight="false" outlineLevel="0" collapsed="false">
      <c r="A3411" s="10" t="s">
        <v>5752</v>
      </c>
      <c r="B3411" s="10" t="s">
        <v>84</v>
      </c>
      <c r="C3411" s="10" t="s">
        <v>50</v>
      </c>
      <c r="D3411" s="10" t="s">
        <v>453</v>
      </c>
      <c r="E3411" s="10" t="s">
        <v>2342</v>
      </c>
      <c r="F3411" s="30" t="n">
        <v>42880</v>
      </c>
      <c r="G3411" s="30" t="n">
        <v>42951</v>
      </c>
      <c r="H3411" s="26" t="n">
        <f aca="false">G3411-F3411</f>
        <v>71</v>
      </c>
      <c r="I3411" s="10" t="n">
        <f aca="false">IF(E3411="Won",1,0)</f>
        <v>1</v>
      </c>
    </row>
    <row r="3412" customFormat="false" ht="15" hidden="false" customHeight="false" outlineLevel="0" collapsed="false">
      <c r="A3412" s="10" t="s">
        <v>5753</v>
      </c>
      <c r="B3412" s="10" t="s">
        <v>77</v>
      </c>
      <c r="C3412" s="10" t="s">
        <v>50</v>
      </c>
      <c r="D3412" s="10" t="s">
        <v>321</v>
      </c>
      <c r="E3412" s="10" t="s">
        <v>2342</v>
      </c>
      <c r="F3412" s="30" t="n">
        <v>42946</v>
      </c>
      <c r="G3412" s="30" t="n">
        <v>42951</v>
      </c>
      <c r="H3412" s="26" t="n">
        <f aca="false">G3412-F3412</f>
        <v>5</v>
      </c>
      <c r="I3412" s="10" t="n">
        <f aca="false">IF(E3412="Won",1,0)</f>
        <v>1</v>
      </c>
    </row>
    <row r="3413" customFormat="false" ht="15" hidden="false" customHeight="false" outlineLevel="0" collapsed="false">
      <c r="A3413" s="10" t="s">
        <v>5754</v>
      </c>
      <c r="B3413" s="10" t="s">
        <v>63</v>
      </c>
      <c r="C3413" s="10" t="s">
        <v>49</v>
      </c>
      <c r="D3413" s="10" t="s">
        <v>692</v>
      </c>
      <c r="E3413" s="10" t="s">
        <v>2345</v>
      </c>
      <c r="F3413" s="30" t="n">
        <v>42866</v>
      </c>
      <c r="G3413" s="30" t="n">
        <v>42951</v>
      </c>
      <c r="H3413" s="26" t="n">
        <f aca="false">G3413-F3413</f>
        <v>85</v>
      </c>
      <c r="I3413" s="10" t="n">
        <f aca="false">IF(E3413="Won",1,0)</f>
        <v>0</v>
      </c>
    </row>
    <row r="3414" customFormat="false" ht="15" hidden="false" customHeight="false" outlineLevel="0" collapsed="false">
      <c r="A3414" s="10" t="s">
        <v>5755</v>
      </c>
      <c r="B3414" s="10" t="s">
        <v>71</v>
      </c>
      <c r="C3414" s="10" t="s">
        <v>47</v>
      </c>
      <c r="D3414" s="10" t="s">
        <v>697</v>
      </c>
      <c r="E3414" s="10" t="s">
        <v>2342</v>
      </c>
      <c r="F3414" s="30" t="n">
        <v>42945</v>
      </c>
      <c r="G3414" s="30" t="n">
        <v>42952</v>
      </c>
      <c r="H3414" s="26" t="n">
        <f aca="false">G3414-F3414</f>
        <v>7</v>
      </c>
      <c r="I3414" s="10" t="n">
        <f aca="false">IF(E3414="Won",1,0)</f>
        <v>1</v>
      </c>
    </row>
    <row r="3415" customFormat="false" ht="15" hidden="false" customHeight="false" outlineLevel="0" collapsed="false">
      <c r="A3415" s="10" t="s">
        <v>5756</v>
      </c>
      <c r="B3415" s="10" t="s">
        <v>93</v>
      </c>
      <c r="C3415" s="10" t="s">
        <v>47</v>
      </c>
      <c r="D3415" s="10" t="s">
        <v>233</v>
      </c>
      <c r="E3415" s="10" t="s">
        <v>2342</v>
      </c>
      <c r="F3415" s="30" t="n">
        <v>42949</v>
      </c>
      <c r="G3415" s="30" t="n">
        <v>42952</v>
      </c>
      <c r="H3415" s="26" t="n">
        <f aca="false">G3415-F3415</f>
        <v>3</v>
      </c>
      <c r="I3415" s="10" t="n">
        <f aca="false">IF(E3415="Won",1,0)</f>
        <v>1</v>
      </c>
    </row>
    <row r="3416" customFormat="false" ht="15" hidden="false" customHeight="false" outlineLevel="0" collapsed="false">
      <c r="A3416" s="10" t="s">
        <v>5757</v>
      </c>
      <c r="B3416" s="10" t="s">
        <v>77</v>
      </c>
      <c r="C3416" s="10" t="s">
        <v>49</v>
      </c>
      <c r="D3416" s="10" t="s">
        <v>483</v>
      </c>
      <c r="E3416" s="10" t="s">
        <v>2345</v>
      </c>
      <c r="F3416" s="30" t="n">
        <v>42946</v>
      </c>
      <c r="G3416" s="30" t="n">
        <v>42952</v>
      </c>
      <c r="H3416" s="26" t="n">
        <f aca="false">G3416-F3416</f>
        <v>6</v>
      </c>
      <c r="I3416" s="10" t="n">
        <f aca="false">IF(E3416="Won",1,0)</f>
        <v>0</v>
      </c>
    </row>
    <row r="3417" customFormat="false" ht="15" hidden="false" customHeight="false" outlineLevel="0" collapsed="false">
      <c r="A3417" s="10" t="s">
        <v>5758</v>
      </c>
      <c r="B3417" s="10" t="s">
        <v>73</v>
      </c>
      <c r="C3417" s="10" t="s">
        <v>49</v>
      </c>
      <c r="D3417" s="10" t="s">
        <v>660</v>
      </c>
      <c r="E3417" s="10" t="s">
        <v>2345</v>
      </c>
      <c r="F3417" s="30" t="n">
        <v>42933</v>
      </c>
      <c r="G3417" s="30" t="n">
        <v>42952</v>
      </c>
      <c r="H3417" s="26" t="n">
        <f aca="false">G3417-F3417</f>
        <v>19</v>
      </c>
      <c r="I3417" s="10" t="n">
        <f aca="false">IF(E3417="Won",1,0)</f>
        <v>0</v>
      </c>
    </row>
    <row r="3418" customFormat="false" ht="15" hidden="false" customHeight="false" outlineLevel="0" collapsed="false">
      <c r="A3418" s="10" t="s">
        <v>5759</v>
      </c>
      <c r="B3418" s="10" t="s">
        <v>95</v>
      </c>
      <c r="C3418" s="10" t="s">
        <v>51</v>
      </c>
      <c r="D3418" s="10" t="s">
        <v>210</v>
      </c>
      <c r="E3418" s="10" t="s">
        <v>2345</v>
      </c>
      <c r="F3418" s="30" t="n">
        <v>42946</v>
      </c>
      <c r="G3418" s="30" t="n">
        <v>42952</v>
      </c>
      <c r="H3418" s="26" t="n">
        <f aca="false">G3418-F3418</f>
        <v>6</v>
      </c>
      <c r="I3418" s="10" t="n">
        <f aca="false">IF(E3418="Won",1,0)</f>
        <v>0</v>
      </c>
    </row>
    <row r="3419" customFormat="false" ht="15" hidden="false" customHeight="false" outlineLevel="0" collapsed="false">
      <c r="A3419" s="10" t="s">
        <v>5760</v>
      </c>
      <c r="B3419" s="10" t="s">
        <v>87</v>
      </c>
      <c r="C3419" s="10" t="s">
        <v>51</v>
      </c>
      <c r="D3419" s="10" t="s">
        <v>616</v>
      </c>
      <c r="E3419" s="10" t="s">
        <v>2345</v>
      </c>
      <c r="F3419" s="30" t="n">
        <v>42934</v>
      </c>
      <c r="G3419" s="30" t="n">
        <v>42952</v>
      </c>
      <c r="H3419" s="26" t="n">
        <f aca="false">G3419-F3419</f>
        <v>18</v>
      </c>
      <c r="I3419" s="10" t="n">
        <f aca="false">IF(E3419="Won",1,0)</f>
        <v>0</v>
      </c>
    </row>
    <row r="3420" customFormat="false" ht="15" hidden="false" customHeight="false" outlineLevel="0" collapsed="false">
      <c r="A3420" s="10" t="s">
        <v>5761</v>
      </c>
      <c r="B3420" s="10" t="s">
        <v>70</v>
      </c>
      <c r="C3420" s="10" t="s">
        <v>52</v>
      </c>
      <c r="D3420" s="10" t="s">
        <v>286</v>
      </c>
      <c r="E3420" s="10" t="s">
        <v>2345</v>
      </c>
      <c r="F3420" s="30" t="n">
        <v>42947</v>
      </c>
      <c r="G3420" s="30" t="n">
        <v>42952</v>
      </c>
      <c r="H3420" s="26" t="n">
        <f aca="false">G3420-F3420</f>
        <v>5</v>
      </c>
      <c r="I3420" s="10" t="n">
        <f aca="false">IF(E3420="Won",1,0)</f>
        <v>0</v>
      </c>
    </row>
    <row r="3421" customFormat="false" ht="15" hidden="false" customHeight="false" outlineLevel="0" collapsed="false">
      <c r="A3421" s="10" t="s">
        <v>5762</v>
      </c>
      <c r="B3421" s="10" t="s">
        <v>69</v>
      </c>
      <c r="C3421" s="10" t="s">
        <v>49</v>
      </c>
      <c r="D3421" s="10" t="s">
        <v>396</v>
      </c>
      <c r="E3421" s="10" t="s">
        <v>2342</v>
      </c>
      <c r="F3421" s="30" t="n">
        <v>42905</v>
      </c>
      <c r="G3421" s="30" t="n">
        <v>42952</v>
      </c>
      <c r="H3421" s="26" t="n">
        <f aca="false">G3421-F3421</f>
        <v>47</v>
      </c>
      <c r="I3421" s="10" t="n">
        <f aca="false">IF(E3421="Won",1,0)</f>
        <v>1</v>
      </c>
    </row>
    <row r="3422" customFormat="false" ht="15" hidden="false" customHeight="false" outlineLevel="0" collapsed="false">
      <c r="A3422" s="10" t="s">
        <v>5763</v>
      </c>
      <c r="B3422" s="10" t="s">
        <v>83</v>
      </c>
      <c r="C3422" s="10" t="s">
        <v>50</v>
      </c>
      <c r="D3422" s="10" t="s">
        <v>869</v>
      </c>
      <c r="E3422" s="10" t="s">
        <v>2342</v>
      </c>
      <c r="F3422" s="30" t="n">
        <v>42892</v>
      </c>
      <c r="G3422" s="30" t="n">
        <v>42952</v>
      </c>
      <c r="H3422" s="26" t="n">
        <f aca="false">G3422-F3422</f>
        <v>60</v>
      </c>
      <c r="I3422" s="10" t="n">
        <f aca="false">IF(E3422="Won",1,0)</f>
        <v>1</v>
      </c>
    </row>
    <row r="3423" customFormat="false" ht="15" hidden="false" customHeight="false" outlineLevel="0" collapsed="false">
      <c r="A3423" s="10" t="s">
        <v>5764</v>
      </c>
      <c r="B3423" s="10" t="s">
        <v>97</v>
      </c>
      <c r="C3423" s="10" t="s">
        <v>49</v>
      </c>
      <c r="D3423" s="10" t="s">
        <v>437</v>
      </c>
      <c r="E3423" s="10" t="s">
        <v>2342</v>
      </c>
      <c r="F3423" s="30" t="n">
        <v>42887</v>
      </c>
      <c r="G3423" s="30" t="n">
        <v>42952</v>
      </c>
      <c r="H3423" s="26" t="n">
        <f aca="false">G3423-F3423</f>
        <v>65</v>
      </c>
      <c r="I3423" s="10" t="n">
        <f aca="false">IF(E3423="Won",1,0)</f>
        <v>1</v>
      </c>
    </row>
    <row r="3424" customFormat="false" ht="15" hidden="false" customHeight="false" outlineLevel="0" collapsed="false">
      <c r="A3424" s="10" t="s">
        <v>5765</v>
      </c>
      <c r="B3424" s="10" t="s">
        <v>63</v>
      </c>
      <c r="C3424" s="10" t="s">
        <v>50</v>
      </c>
      <c r="D3424" s="10" t="s">
        <v>359</v>
      </c>
      <c r="E3424" s="10" t="s">
        <v>2342</v>
      </c>
      <c r="F3424" s="30" t="n">
        <v>42862</v>
      </c>
      <c r="G3424" s="30" t="n">
        <v>42952</v>
      </c>
      <c r="H3424" s="26" t="n">
        <f aca="false">G3424-F3424</f>
        <v>90</v>
      </c>
      <c r="I3424" s="10" t="n">
        <f aca="false">IF(E3424="Won",1,0)</f>
        <v>1</v>
      </c>
    </row>
    <row r="3425" customFormat="false" ht="15" hidden="false" customHeight="false" outlineLevel="0" collapsed="false">
      <c r="A3425" s="10" t="s">
        <v>5766</v>
      </c>
      <c r="B3425" s="10" t="s">
        <v>63</v>
      </c>
      <c r="C3425" s="10" t="s">
        <v>49</v>
      </c>
      <c r="D3425" s="10" t="s">
        <v>350</v>
      </c>
      <c r="E3425" s="10" t="s">
        <v>2342</v>
      </c>
      <c r="F3425" s="30" t="n">
        <v>42862</v>
      </c>
      <c r="G3425" s="30" t="n">
        <v>42952</v>
      </c>
      <c r="H3425" s="26" t="n">
        <f aca="false">G3425-F3425</f>
        <v>90</v>
      </c>
      <c r="I3425" s="10" t="n">
        <f aca="false">IF(E3425="Won",1,0)</f>
        <v>1</v>
      </c>
    </row>
    <row r="3426" customFormat="false" ht="15" hidden="false" customHeight="false" outlineLevel="0" collapsed="false">
      <c r="A3426" s="10" t="s">
        <v>5767</v>
      </c>
      <c r="B3426" s="10" t="s">
        <v>88</v>
      </c>
      <c r="C3426" s="10" t="s">
        <v>48</v>
      </c>
      <c r="D3426" s="10" t="s">
        <v>532</v>
      </c>
      <c r="E3426" s="10" t="s">
        <v>2342</v>
      </c>
      <c r="F3426" s="30" t="n">
        <v>42883</v>
      </c>
      <c r="G3426" s="30" t="n">
        <v>42952</v>
      </c>
      <c r="H3426" s="26" t="n">
        <f aca="false">G3426-F3426</f>
        <v>69</v>
      </c>
      <c r="I3426" s="10" t="n">
        <f aca="false">IF(E3426="Won",1,0)</f>
        <v>1</v>
      </c>
    </row>
    <row r="3427" customFormat="false" ht="15" hidden="false" customHeight="false" outlineLevel="0" collapsed="false">
      <c r="A3427" s="10" t="s">
        <v>5768</v>
      </c>
      <c r="B3427" s="10" t="s">
        <v>57</v>
      </c>
      <c r="C3427" s="10" t="s">
        <v>51</v>
      </c>
      <c r="D3427" s="10" t="s">
        <v>274</v>
      </c>
      <c r="E3427" s="10" t="s">
        <v>2342</v>
      </c>
      <c r="F3427" s="30" t="n">
        <v>42894</v>
      </c>
      <c r="G3427" s="30" t="n">
        <v>42952</v>
      </c>
      <c r="H3427" s="26" t="n">
        <f aca="false">G3427-F3427</f>
        <v>58</v>
      </c>
      <c r="I3427" s="10" t="n">
        <f aca="false">IF(E3427="Won",1,0)</f>
        <v>1</v>
      </c>
    </row>
    <row r="3428" customFormat="false" ht="15" hidden="false" customHeight="false" outlineLevel="0" collapsed="false">
      <c r="A3428" s="10" t="s">
        <v>5769</v>
      </c>
      <c r="B3428" s="10" t="s">
        <v>68</v>
      </c>
      <c r="C3428" s="10" t="s">
        <v>48</v>
      </c>
      <c r="D3428" s="10" t="s">
        <v>437</v>
      </c>
      <c r="E3428" s="10" t="s">
        <v>2345</v>
      </c>
      <c r="F3428" s="30" t="n">
        <v>42889</v>
      </c>
      <c r="G3428" s="30" t="n">
        <v>42952</v>
      </c>
      <c r="H3428" s="26" t="n">
        <f aca="false">G3428-F3428</f>
        <v>63</v>
      </c>
      <c r="I3428" s="10" t="n">
        <f aca="false">IF(E3428="Won",1,0)</f>
        <v>0</v>
      </c>
    </row>
    <row r="3429" customFormat="false" ht="15" hidden="false" customHeight="false" outlineLevel="0" collapsed="false">
      <c r="A3429" s="10" t="s">
        <v>5770</v>
      </c>
      <c r="B3429" s="10" t="s">
        <v>81</v>
      </c>
      <c r="C3429" s="10" t="s">
        <v>50</v>
      </c>
      <c r="D3429" s="10" t="s">
        <v>697</v>
      </c>
      <c r="E3429" s="10" t="s">
        <v>2342</v>
      </c>
      <c r="F3429" s="30" t="n">
        <v>42889</v>
      </c>
      <c r="G3429" s="30" t="n">
        <v>42952</v>
      </c>
      <c r="H3429" s="26" t="n">
        <f aca="false">G3429-F3429</f>
        <v>63</v>
      </c>
      <c r="I3429" s="10" t="n">
        <f aca="false">IF(E3429="Won",1,0)</f>
        <v>1</v>
      </c>
    </row>
    <row r="3430" customFormat="false" ht="15" hidden="false" customHeight="false" outlineLevel="0" collapsed="false">
      <c r="A3430" s="10" t="s">
        <v>5771</v>
      </c>
      <c r="B3430" s="10" t="s">
        <v>73</v>
      </c>
      <c r="C3430" s="10" t="s">
        <v>47</v>
      </c>
      <c r="D3430" s="10" t="s">
        <v>536</v>
      </c>
      <c r="E3430" s="10" t="s">
        <v>2345</v>
      </c>
      <c r="F3430" s="30" t="n">
        <v>42886</v>
      </c>
      <c r="G3430" s="30" t="n">
        <v>42952</v>
      </c>
      <c r="H3430" s="26" t="n">
        <f aca="false">G3430-F3430</f>
        <v>66</v>
      </c>
      <c r="I3430" s="10" t="n">
        <f aca="false">IF(E3430="Won",1,0)</f>
        <v>0</v>
      </c>
    </row>
    <row r="3431" customFormat="false" ht="15" hidden="false" customHeight="false" outlineLevel="0" collapsed="false">
      <c r="A3431" s="10" t="s">
        <v>5772</v>
      </c>
      <c r="B3431" s="10" t="s">
        <v>86</v>
      </c>
      <c r="C3431" s="10" t="s">
        <v>48</v>
      </c>
      <c r="D3431" s="10" t="s">
        <v>359</v>
      </c>
      <c r="E3431" s="10" t="s">
        <v>2342</v>
      </c>
      <c r="F3431" s="30" t="n">
        <v>42860</v>
      </c>
      <c r="G3431" s="30" t="n">
        <v>42952</v>
      </c>
      <c r="H3431" s="26" t="n">
        <f aca="false">G3431-F3431</f>
        <v>92</v>
      </c>
      <c r="I3431" s="10" t="n">
        <f aca="false">IF(E3431="Won",1,0)</f>
        <v>1</v>
      </c>
    </row>
    <row r="3432" customFormat="false" ht="15" hidden="false" customHeight="false" outlineLevel="0" collapsed="false">
      <c r="A3432" s="10" t="s">
        <v>5773</v>
      </c>
      <c r="B3432" s="10" t="s">
        <v>60</v>
      </c>
      <c r="C3432" s="10" t="s">
        <v>51</v>
      </c>
      <c r="D3432" s="10" t="s">
        <v>233</v>
      </c>
      <c r="E3432" s="10" t="s">
        <v>2342</v>
      </c>
      <c r="F3432" s="30" t="n">
        <v>42893</v>
      </c>
      <c r="G3432" s="30" t="n">
        <v>42952</v>
      </c>
      <c r="H3432" s="26" t="n">
        <f aca="false">G3432-F3432</f>
        <v>59</v>
      </c>
      <c r="I3432" s="10" t="n">
        <f aca="false">IF(E3432="Won",1,0)</f>
        <v>1</v>
      </c>
    </row>
    <row r="3433" customFormat="false" ht="15" hidden="false" customHeight="false" outlineLevel="0" collapsed="false">
      <c r="A3433" s="10" t="s">
        <v>5774</v>
      </c>
      <c r="B3433" s="10" t="s">
        <v>75</v>
      </c>
      <c r="C3433" s="10" t="s">
        <v>50</v>
      </c>
      <c r="D3433" s="10" t="s">
        <v>291</v>
      </c>
      <c r="E3433" s="10" t="s">
        <v>2342</v>
      </c>
      <c r="F3433" s="30" t="n">
        <v>42862</v>
      </c>
      <c r="G3433" s="30" t="n">
        <v>42952</v>
      </c>
      <c r="H3433" s="26" t="n">
        <f aca="false">G3433-F3433</f>
        <v>90</v>
      </c>
      <c r="I3433" s="10" t="n">
        <f aca="false">IF(E3433="Won",1,0)</f>
        <v>1</v>
      </c>
    </row>
    <row r="3434" customFormat="false" ht="15" hidden="false" customHeight="false" outlineLevel="0" collapsed="false">
      <c r="A3434" s="10" t="s">
        <v>5775</v>
      </c>
      <c r="B3434" s="10" t="s">
        <v>88</v>
      </c>
      <c r="C3434" s="10" t="s">
        <v>49</v>
      </c>
      <c r="D3434" s="10" t="s">
        <v>405</v>
      </c>
      <c r="E3434" s="10" t="s">
        <v>2342</v>
      </c>
      <c r="F3434" s="30" t="n">
        <v>42841</v>
      </c>
      <c r="G3434" s="30" t="n">
        <v>42952</v>
      </c>
      <c r="H3434" s="26" t="n">
        <f aca="false">G3434-F3434</f>
        <v>111</v>
      </c>
      <c r="I3434" s="10" t="n">
        <f aca="false">IF(E3434="Won",1,0)</f>
        <v>1</v>
      </c>
    </row>
    <row r="3435" customFormat="false" ht="15" hidden="false" customHeight="false" outlineLevel="0" collapsed="false">
      <c r="A3435" s="10" t="s">
        <v>5776</v>
      </c>
      <c r="B3435" s="10" t="s">
        <v>83</v>
      </c>
      <c r="C3435" s="10" t="s">
        <v>51</v>
      </c>
      <c r="D3435" s="10" t="s">
        <v>388</v>
      </c>
      <c r="E3435" s="10" t="s">
        <v>2342</v>
      </c>
      <c r="F3435" s="30" t="n">
        <v>42859</v>
      </c>
      <c r="G3435" s="30" t="n">
        <v>42952</v>
      </c>
      <c r="H3435" s="26" t="n">
        <f aca="false">G3435-F3435</f>
        <v>93</v>
      </c>
      <c r="I3435" s="10" t="n">
        <f aca="false">IF(E3435="Won",1,0)</f>
        <v>1</v>
      </c>
    </row>
    <row r="3436" customFormat="false" ht="15" hidden="false" customHeight="false" outlineLevel="0" collapsed="false">
      <c r="A3436" s="10" t="s">
        <v>5777</v>
      </c>
      <c r="B3436" s="10" t="s">
        <v>88</v>
      </c>
      <c r="C3436" s="10" t="s">
        <v>51</v>
      </c>
      <c r="D3436" s="10" t="s">
        <v>293</v>
      </c>
      <c r="E3436" s="10" t="s">
        <v>2345</v>
      </c>
      <c r="F3436" s="30" t="n">
        <v>42875</v>
      </c>
      <c r="G3436" s="30" t="n">
        <v>42952</v>
      </c>
      <c r="H3436" s="26" t="n">
        <f aca="false">G3436-F3436</f>
        <v>77</v>
      </c>
      <c r="I3436" s="10" t="n">
        <f aca="false">IF(E3436="Won",1,0)</f>
        <v>0</v>
      </c>
    </row>
    <row r="3437" customFormat="false" ht="15" hidden="false" customHeight="false" outlineLevel="0" collapsed="false">
      <c r="A3437" s="10" t="s">
        <v>5778</v>
      </c>
      <c r="B3437" s="10" t="s">
        <v>60</v>
      </c>
      <c r="C3437" s="10" t="s">
        <v>51</v>
      </c>
      <c r="D3437" s="10" t="s">
        <v>1397</v>
      </c>
      <c r="E3437" s="10" t="s">
        <v>2342</v>
      </c>
      <c r="F3437" s="30" t="n">
        <v>42886</v>
      </c>
      <c r="G3437" s="30" t="n">
        <v>42952</v>
      </c>
      <c r="H3437" s="26" t="n">
        <f aca="false">G3437-F3437</f>
        <v>66</v>
      </c>
      <c r="I3437" s="10" t="n">
        <f aca="false">IF(E3437="Won",1,0)</f>
        <v>1</v>
      </c>
    </row>
    <row r="3438" customFormat="false" ht="15" hidden="false" customHeight="false" outlineLevel="0" collapsed="false">
      <c r="A3438" s="10" t="s">
        <v>5779</v>
      </c>
      <c r="B3438" s="10" t="s">
        <v>94</v>
      </c>
      <c r="C3438" s="10" t="s">
        <v>51</v>
      </c>
      <c r="D3438" s="10" t="s">
        <v>303</v>
      </c>
      <c r="E3438" s="10" t="s">
        <v>2345</v>
      </c>
      <c r="F3438" s="30" t="n">
        <v>42885</v>
      </c>
      <c r="G3438" s="30" t="n">
        <v>42952</v>
      </c>
      <c r="H3438" s="26" t="n">
        <f aca="false">G3438-F3438</f>
        <v>67</v>
      </c>
      <c r="I3438" s="10" t="n">
        <f aca="false">IF(E3438="Won",1,0)</f>
        <v>0</v>
      </c>
    </row>
    <row r="3439" customFormat="false" ht="15" hidden="false" customHeight="false" outlineLevel="0" collapsed="false">
      <c r="A3439" s="10" t="s">
        <v>5780</v>
      </c>
      <c r="B3439" s="10" t="s">
        <v>70</v>
      </c>
      <c r="C3439" s="10" t="s">
        <v>51</v>
      </c>
      <c r="D3439" s="10" t="s">
        <v>348</v>
      </c>
      <c r="E3439" s="10" t="s">
        <v>2342</v>
      </c>
      <c r="F3439" s="30" t="n">
        <v>42876</v>
      </c>
      <c r="G3439" s="30" t="n">
        <v>42952</v>
      </c>
      <c r="H3439" s="26" t="n">
        <f aca="false">G3439-F3439</f>
        <v>76</v>
      </c>
      <c r="I3439" s="10" t="n">
        <f aca="false">IF(E3439="Won",1,0)</f>
        <v>1</v>
      </c>
    </row>
    <row r="3440" customFormat="false" ht="15" hidden="false" customHeight="false" outlineLevel="0" collapsed="false">
      <c r="A3440" s="10" t="s">
        <v>5781</v>
      </c>
      <c r="B3440" s="10" t="s">
        <v>74</v>
      </c>
      <c r="C3440" s="10" t="s">
        <v>51</v>
      </c>
      <c r="D3440" s="10" t="s">
        <v>660</v>
      </c>
      <c r="E3440" s="10" t="s">
        <v>2342</v>
      </c>
      <c r="F3440" s="30" t="n">
        <v>42875</v>
      </c>
      <c r="G3440" s="30" t="n">
        <v>42952</v>
      </c>
      <c r="H3440" s="26" t="n">
        <f aca="false">G3440-F3440</f>
        <v>77</v>
      </c>
      <c r="I3440" s="10" t="n">
        <f aca="false">IF(E3440="Won",1,0)</f>
        <v>1</v>
      </c>
    </row>
    <row r="3441" customFormat="false" ht="15" hidden="false" customHeight="false" outlineLevel="0" collapsed="false">
      <c r="A3441" s="10" t="s">
        <v>5782</v>
      </c>
      <c r="B3441" s="10" t="s">
        <v>74</v>
      </c>
      <c r="C3441" s="10" t="s">
        <v>52</v>
      </c>
      <c r="D3441" s="10" t="s">
        <v>1948</v>
      </c>
      <c r="E3441" s="10" t="s">
        <v>2342</v>
      </c>
      <c r="F3441" s="30" t="n">
        <v>42852</v>
      </c>
      <c r="G3441" s="30" t="n">
        <v>42952</v>
      </c>
      <c r="H3441" s="26" t="n">
        <f aca="false">G3441-F3441</f>
        <v>100</v>
      </c>
      <c r="I3441" s="10" t="n">
        <f aca="false">IF(E3441="Won",1,0)</f>
        <v>1</v>
      </c>
    </row>
    <row r="3442" customFormat="false" ht="15" hidden="false" customHeight="false" outlineLevel="0" collapsed="false">
      <c r="A3442" s="10" t="s">
        <v>5783</v>
      </c>
      <c r="B3442" s="10" t="s">
        <v>96</v>
      </c>
      <c r="C3442" s="10" t="s">
        <v>50</v>
      </c>
      <c r="D3442" s="10" t="s">
        <v>199</v>
      </c>
      <c r="E3442" s="10" t="s">
        <v>2345</v>
      </c>
      <c r="F3442" s="30" t="n">
        <v>42863</v>
      </c>
      <c r="G3442" s="30" t="n">
        <v>42952</v>
      </c>
      <c r="H3442" s="26" t="n">
        <f aca="false">G3442-F3442</f>
        <v>89</v>
      </c>
      <c r="I3442" s="10" t="n">
        <f aca="false">IF(E3442="Won",1,0)</f>
        <v>0</v>
      </c>
    </row>
    <row r="3443" customFormat="false" ht="15" hidden="false" customHeight="false" outlineLevel="0" collapsed="false">
      <c r="A3443" s="10" t="s">
        <v>5784</v>
      </c>
      <c r="B3443" s="10" t="s">
        <v>80</v>
      </c>
      <c r="C3443" s="10" t="s">
        <v>48</v>
      </c>
      <c r="D3443" s="10" t="s">
        <v>527</v>
      </c>
      <c r="E3443" s="10" t="s">
        <v>2342</v>
      </c>
      <c r="F3443" s="30" t="n">
        <v>42882</v>
      </c>
      <c r="G3443" s="30" t="n">
        <v>42952</v>
      </c>
      <c r="H3443" s="26" t="n">
        <f aca="false">G3443-F3443</f>
        <v>70</v>
      </c>
      <c r="I3443" s="10" t="n">
        <f aca="false">IF(E3443="Won",1,0)</f>
        <v>1</v>
      </c>
    </row>
    <row r="3444" customFormat="false" ht="15" hidden="false" customHeight="false" outlineLevel="0" collapsed="false">
      <c r="A3444" s="10" t="s">
        <v>5785</v>
      </c>
      <c r="B3444" s="10" t="s">
        <v>90</v>
      </c>
      <c r="C3444" s="10" t="s">
        <v>48</v>
      </c>
      <c r="D3444" s="10" t="s">
        <v>1397</v>
      </c>
      <c r="E3444" s="10" t="s">
        <v>2345</v>
      </c>
      <c r="F3444" s="30" t="n">
        <v>42893</v>
      </c>
      <c r="G3444" s="30" t="n">
        <v>42952</v>
      </c>
      <c r="H3444" s="26" t="n">
        <f aca="false">G3444-F3444</f>
        <v>59</v>
      </c>
      <c r="I3444" s="10" t="n">
        <f aca="false">IF(E3444="Won",1,0)</f>
        <v>0</v>
      </c>
    </row>
    <row r="3445" customFormat="false" ht="15" hidden="false" customHeight="false" outlineLevel="0" collapsed="false">
      <c r="A3445" s="10" t="s">
        <v>5786</v>
      </c>
      <c r="B3445" s="10" t="s">
        <v>77</v>
      </c>
      <c r="C3445" s="10" t="s">
        <v>48</v>
      </c>
      <c r="D3445" s="10" t="s">
        <v>321</v>
      </c>
      <c r="E3445" s="10" t="s">
        <v>2345</v>
      </c>
      <c r="F3445" s="30" t="n">
        <v>42891</v>
      </c>
      <c r="G3445" s="30" t="n">
        <v>42953</v>
      </c>
      <c r="H3445" s="26" t="n">
        <f aca="false">G3445-F3445</f>
        <v>62</v>
      </c>
      <c r="I3445" s="10" t="n">
        <f aca="false">IF(E3445="Won",1,0)</f>
        <v>0</v>
      </c>
    </row>
    <row r="3446" customFormat="false" ht="15" hidden="false" customHeight="false" outlineLevel="0" collapsed="false">
      <c r="A3446" s="10" t="s">
        <v>5787</v>
      </c>
      <c r="B3446" s="10" t="s">
        <v>93</v>
      </c>
      <c r="C3446" s="10" t="s">
        <v>48</v>
      </c>
      <c r="D3446" s="10" t="s">
        <v>487</v>
      </c>
      <c r="E3446" s="10" t="s">
        <v>2345</v>
      </c>
      <c r="F3446" s="30" t="n">
        <v>42889</v>
      </c>
      <c r="G3446" s="30" t="n">
        <v>42953</v>
      </c>
      <c r="H3446" s="26" t="n">
        <f aca="false">G3446-F3446</f>
        <v>64</v>
      </c>
      <c r="I3446" s="10" t="n">
        <f aca="false">IF(E3446="Won",1,0)</f>
        <v>0</v>
      </c>
    </row>
    <row r="3447" customFormat="false" ht="15" hidden="false" customHeight="false" outlineLevel="0" collapsed="false">
      <c r="A3447" s="10" t="s">
        <v>5788</v>
      </c>
      <c r="B3447" s="10" t="s">
        <v>76</v>
      </c>
      <c r="C3447" s="10" t="s">
        <v>52</v>
      </c>
      <c r="D3447" s="10" t="s">
        <v>527</v>
      </c>
      <c r="E3447" s="10" t="s">
        <v>2345</v>
      </c>
      <c r="F3447" s="30" t="n">
        <v>42869</v>
      </c>
      <c r="G3447" s="30" t="n">
        <v>42953</v>
      </c>
      <c r="H3447" s="26" t="n">
        <f aca="false">G3447-F3447</f>
        <v>84</v>
      </c>
      <c r="I3447" s="10" t="n">
        <f aca="false">IF(E3447="Won",1,0)</f>
        <v>0</v>
      </c>
    </row>
    <row r="3448" customFormat="false" ht="15" hidden="false" customHeight="false" outlineLevel="0" collapsed="false">
      <c r="A3448" s="10" t="s">
        <v>5789</v>
      </c>
      <c r="B3448" s="10" t="s">
        <v>95</v>
      </c>
      <c r="C3448" s="10" t="s">
        <v>51</v>
      </c>
      <c r="D3448" s="10" t="s">
        <v>424</v>
      </c>
      <c r="E3448" s="10" t="s">
        <v>2345</v>
      </c>
      <c r="F3448" s="30" t="n">
        <v>42831</v>
      </c>
      <c r="G3448" s="30" t="n">
        <v>42953</v>
      </c>
      <c r="H3448" s="26" t="n">
        <f aca="false">G3448-F3448</f>
        <v>122</v>
      </c>
      <c r="I3448" s="10" t="n">
        <f aca="false">IF(E3448="Won",1,0)</f>
        <v>0</v>
      </c>
    </row>
    <row r="3449" customFormat="false" ht="15" hidden="false" customHeight="false" outlineLevel="0" collapsed="false">
      <c r="A3449" s="10" t="s">
        <v>5790</v>
      </c>
      <c r="B3449" s="10" t="s">
        <v>79</v>
      </c>
      <c r="C3449" s="10" t="s">
        <v>48</v>
      </c>
      <c r="D3449" s="10" t="s">
        <v>527</v>
      </c>
      <c r="E3449" s="10" t="s">
        <v>2342</v>
      </c>
      <c r="F3449" s="30" t="n">
        <v>42879</v>
      </c>
      <c r="G3449" s="30" t="n">
        <v>42953</v>
      </c>
      <c r="H3449" s="26" t="n">
        <f aca="false">G3449-F3449</f>
        <v>74</v>
      </c>
      <c r="I3449" s="10" t="n">
        <f aca="false">IF(E3449="Won",1,0)</f>
        <v>1</v>
      </c>
    </row>
    <row r="3450" customFormat="false" ht="15" hidden="false" customHeight="false" outlineLevel="0" collapsed="false">
      <c r="A3450" s="10" t="s">
        <v>5791</v>
      </c>
      <c r="B3450" s="10" t="s">
        <v>95</v>
      </c>
      <c r="C3450" s="10" t="s">
        <v>51</v>
      </c>
      <c r="D3450" s="10" t="s">
        <v>170</v>
      </c>
      <c r="E3450" s="10" t="s">
        <v>2342</v>
      </c>
      <c r="F3450" s="30" t="n">
        <v>42855</v>
      </c>
      <c r="G3450" s="30" t="n">
        <v>42953</v>
      </c>
      <c r="H3450" s="26" t="n">
        <f aca="false">G3450-F3450</f>
        <v>98</v>
      </c>
      <c r="I3450" s="10" t="n">
        <f aca="false">IF(E3450="Won",1,0)</f>
        <v>1</v>
      </c>
    </row>
    <row r="3451" customFormat="false" ht="15" hidden="false" customHeight="false" outlineLevel="0" collapsed="false">
      <c r="A3451" s="10" t="s">
        <v>5792</v>
      </c>
      <c r="B3451" s="10" t="s">
        <v>88</v>
      </c>
      <c r="C3451" s="10" t="s">
        <v>51</v>
      </c>
      <c r="D3451" s="10" t="s">
        <v>274</v>
      </c>
      <c r="E3451" s="10" t="s">
        <v>2342</v>
      </c>
      <c r="F3451" s="30" t="n">
        <v>42869</v>
      </c>
      <c r="G3451" s="30" t="n">
        <v>42953</v>
      </c>
      <c r="H3451" s="26" t="n">
        <f aca="false">G3451-F3451</f>
        <v>84</v>
      </c>
      <c r="I3451" s="10" t="n">
        <f aca="false">IF(E3451="Won",1,0)</f>
        <v>1</v>
      </c>
    </row>
    <row r="3452" customFormat="false" ht="15" hidden="false" customHeight="false" outlineLevel="0" collapsed="false">
      <c r="A3452" s="10" t="s">
        <v>5793</v>
      </c>
      <c r="B3452" s="10" t="s">
        <v>77</v>
      </c>
      <c r="C3452" s="10" t="s">
        <v>48</v>
      </c>
      <c r="D3452" s="10" t="s">
        <v>512</v>
      </c>
      <c r="E3452" s="10" t="s">
        <v>2345</v>
      </c>
      <c r="F3452" s="30" t="n">
        <v>42863</v>
      </c>
      <c r="G3452" s="30" t="n">
        <v>42953</v>
      </c>
      <c r="H3452" s="26" t="n">
        <f aca="false">G3452-F3452</f>
        <v>90</v>
      </c>
      <c r="I3452" s="10" t="n">
        <f aca="false">IF(E3452="Won",1,0)</f>
        <v>0</v>
      </c>
    </row>
    <row r="3453" customFormat="false" ht="15" hidden="false" customHeight="false" outlineLevel="0" collapsed="false">
      <c r="A3453" s="10" t="s">
        <v>5794</v>
      </c>
      <c r="B3453" s="10" t="s">
        <v>79</v>
      </c>
      <c r="C3453" s="10" t="s">
        <v>49</v>
      </c>
      <c r="D3453" s="10" t="s">
        <v>660</v>
      </c>
      <c r="E3453" s="10" t="s">
        <v>2345</v>
      </c>
      <c r="F3453" s="30" t="n">
        <v>42946</v>
      </c>
      <c r="G3453" s="30" t="n">
        <v>42953</v>
      </c>
      <c r="H3453" s="26" t="n">
        <f aca="false">G3453-F3453</f>
        <v>7</v>
      </c>
      <c r="I3453" s="10" t="n">
        <f aca="false">IF(E3453="Won",1,0)</f>
        <v>0</v>
      </c>
    </row>
    <row r="3454" customFormat="false" ht="15" hidden="false" customHeight="false" outlineLevel="0" collapsed="false">
      <c r="A3454" s="10" t="s">
        <v>5795</v>
      </c>
      <c r="B3454" s="10" t="s">
        <v>63</v>
      </c>
      <c r="C3454" s="10" t="s">
        <v>47</v>
      </c>
      <c r="D3454" s="10" t="s">
        <v>161</v>
      </c>
      <c r="E3454" s="10" t="s">
        <v>2345</v>
      </c>
      <c r="F3454" s="30" t="n">
        <v>42917</v>
      </c>
      <c r="G3454" s="30" t="n">
        <v>42953</v>
      </c>
      <c r="H3454" s="26" t="n">
        <f aca="false">G3454-F3454</f>
        <v>36</v>
      </c>
      <c r="I3454" s="10" t="n">
        <f aca="false">IF(E3454="Won",1,0)</f>
        <v>0</v>
      </c>
    </row>
    <row r="3455" customFormat="false" ht="15" hidden="false" customHeight="false" outlineLevel="0" collapsed="false">
      <c r="A3455" s="10" t="s">
        <v>5796</v>
      </c>
      <c r="B3455" s="10" t="s">
        <v>69</v>
      </c>
      <c r="C3455" s="10" t="s">
        <v>52</v>
      </c>
      <c r="D3455" s="10" t="s">
        <v>326</v>
      </c>
      <c r="E3455" s="10" t="s">
        <v>2345</v>
      </c>
      <c r="F3455" s="30" t="n">
        <v>42876</v>
      </c>
      <c r="G3455" s="30" t="n">
        <v>42953</v>
      </c>
      <c r="H3455" s="26" t="n">
        <f aca="false">G3455-F3455</f>
        <v>77</v>
      </c>
      <c r="I3455" s="10" t="n">
        <f aca="false">IF(E3455="Won",1,0)</f>
        <v>0</v>
      </c>
    </row>
    <row r="3456" customFormat="false" ht="15" hidden="false" customHeight="false" outlineLevel="0" collapsed="false">
      <c r="A3456" s="10" t="s">
        <v>5797</v>
      </c>
      <c r="B3456" s="10" t="s">
        <v>67</v>
      </c>
      <c r="C3456" s="10" t="s">
        <v>50</v>
      </c>
      <c r="D3456" s="10" t="s">
        <v>313</v>
      </c>
      <c r="E3456" s="10" t="s">
        <v>2342</v>
      </c>
      <c r="F3456" s="30" t="n">
        <v>42948</v>
      </c>
      <c r="G3456" s="30" t="n">
        <v>42953</v>
      </c>
      <c r="H3456" s="26" t="n">
        <f aca="false">G3456-F3456</f>
        <v>5</v>
      </c>
      <c r="I3456" s="10" t="n">
        <f aca="false">IF(E3456="Won",1,0)</f>
        <v>1</v>
      </c>
    </row>
    <row r="3457" customFormat="false" ht="15" hidden="false" customHeight="false" outlineLevel="0" collapsed="false">
      <c r="A3457" s="10" t="s">
        <v>5798</v>
      </c>
      <c r="B3457" s="10" t="s">
        <v>66</v>
      </c>
      <c r="C3457" s="10" t="s">
        <v>48</v>
      </c>
      <c r="D3457" s="10" t="s">
        <v>483</v>
      </c>
      <c r="E3457" s="10" t="s">
        <v>2342</v>
      </c>
      <c r="F3457" s="30" t="n">
        <v>42892</v>
      </c>
      <c r="G3457" s="30" t="n">
        <v>42953</v>
      </c>
      <c r="H3457" s="26" t="n">
        <f aca="false">G3457-F3457</f>
        <v>61</v>
      </c>
      <c r="I3457" s="10" t="n">
        <f aca="false">IF(E3457="Won",1,0)</f>
        <v>1</v>
      </c>
    </row>
    <row r="3458" customFormat="false" ht="15" hidden="false" customHeight="false" outlineLevel="0" collapsed="false">
      <c r="A3458" s="10" t="s">
        <v>5799</v>
      </c>
      <c r="B3458" s="10" t="s">
        <v>88</v>
      </c>
      <c r="C3458" s="10" t="s">
        <v>52</v>
      </c>
      <c r="D3458" s="10" t="s">
        <v>185</v>
      </c>
      <c r="E3458" s="10" t="s">
        <v>2345</v>
      </c>
      <c r="F3458" s="30" t="n">
        <v>42890</v>
      </c>
      <c r="G3458" s="30" t="n">
        <v>42953</v>
      </c>
      <c r="H3458" s="26" t="n">
        <f aca="false">G3458-F3458</f>
        <v>63</v>
      </c>
      <c r="I3458" s="10" t="n">
        <f aca="false">IF(E3458="Won",1,0)</f>
        <v>0</v>
      </c>
    </row>
    <row r="3459" customFormat="false" ht="15" hidden="false" customHeight="false" outlineLevel="0" collapsed="false">
      <c r="A3459" s="10" t="s">
        <v>5800</v>
      </c>
      <c r="B3459" s="10" t="s">
        <v>97</v>
      </c>
      <c r="C3459" s="10" t="s">
        <v>51</v>
      </c>
      <c r="D3459" s="10" t="s">
        <v>227</v>
      </c>
      <c r="E3459" s="10" t="s">
        <v>2342</v>
      </c>
      <c r="F3459" s="30" t="n">
        <v>42948</v>
      </c>
      <c r="G3459" s="30" t="n">
        <v>42953</v>
      </c>
      <c r="H3459" s="26" t="n">
        <f aca="false">G3459-F3459</f>
        <v>5</v>
      </c>
      <c r="I3459" s="10" t="n">
        <f aca="false">IF(E3459="Won",1,0)</f>
        <v>1</v>
      </c>
    </row>
    <row r="3460" customFormat="false" ht="15" hidden="false" customHeight="false" outlineLevel="0" collapsed="false">
      <c r="A3460" s="10" t="s">
        <v>5801</v>
      </c>
      <c r="B3460" s="10" t="s">
        <v>81</v>
      </c>
      <c r="C3460" s="10" t="s">
        <v>51</v>
      </c>
      <c r="D3460" s="10" t="s">
        <v>353</v>
      </c>
      <c r="E3460" s="10" t="s">
        <v>2345</v>
      </c>
      <c r="F3460" s="30" t="n">
        <v>42852</v>
      </c>
      <c r="G3460" s="30" t="n">
        <v>42953</v>
      </c>
      <c r="H3460" s="26" t="n">
        <f aca="false">G3460-F3460</f>
        <v>101</v>
      </c>
      <c r="I3460" s="10" t="n">
        <f aca="false">IF(E3460="Won",1,0)</f>
        <v>0</v>
      </c>
    </row>
    <row r="3461" customFormat="false" ht="15" hidden="false" customHeight="false" outlineLevel="0" collapsed="false">
      <c r="A3461" s="10" t="s">
        <v>5802</v>
      </c>
      <c r="B3461" s="10" t="s">
        <v>70</v>
      </c>
      <c r="C3461" s="10" t="s">
        <v>48</v>
      </c>
      <c r="D3461" s="10" t="s">
        <v>514</v>
      </c>
      <c r="E3461" s="10" t="s">
        <v>2345</v>
      </c>
      <c r="F3461" s="30" t="n">
        <v>42942</v>
      </c>
      <c r="G3461" s="30" t="n">
        <v>42953</v>
      </c>
      <c r="H3461" s="26" t="n">
        <f aca="false">G3461-F3461</f>
        <v>11</v>
      </c>
      <c r="I3461" s="10" t="n">
        <f aca="false">IF(E3461="Won",1,0)</f>
        <v>0</v>
      </c>
    </row>
    <row r="3462" customFormat="false" ht="15" hidden="false" customHeight="false" outlineLevel="0" collapsed="false">
      <c r="A3462" s="10" t="s">
        <v>5803</v>
      </c>
      <c r="B3462" s="10" t="s">
        <v>79</v>
      </c>
      <c r="C3462" s="10" t="s">
        <v>50</v>
      </c>
      <c r="D3462" s="10" t="s">
        <v>321</v>
      </c>
      <c r="E3462" s="10" t="s">
        <v>2342</v>
      </c>
      <c r="F3462" s="30" t="n">
        <v>42884</v>
      </c>
      <c r="G3462" s="30" t="n">
        <v>42953</v>
      </c>
      <c r="H3462" s="26" t="n">
        <f aca="false">G3462-F3462</f>
        <v>69</v>
      </c>
      <c r="I3462" s="10" t="n">
        <f aca="false">IF(E3462="Won",1,0)</f>
        <v>1</v>
      </c>
    </row>
    <row r="3463" customFormat="false" ht="15" hidden="false" customHeight="false" outlineLevel="0" collapsed="false">
      <c r="A3463" s="10" t="s">
        <v>5804</v>
      </c>
      <c r="B3463" s="10" t="s">
        <v>70</v>
      </c>
      <c r="C3463" s="10" t="s">
        <v>51</v>
      </c>
      <c r="D3463" s="10" t="s">
        <v>711</v>
      </c>
      <c r="E3463" s="10" t="s">
        <v>2342</v>
      </c>
      <c r="F3463" s="30" t="n">
        <v>42943</v>
      </c>
      <c r="G3463" s="30" t="n">
        <v>42953</v>
      </c>
      <c r="H3463" s="26" t="n">
        <f aca="false">G3463-F3463</f>
        <v>10</v>
      </c>
      <c r="I3463" s="10" t="n">
        <f aca="false">IF(E3463="Won",1,0)</f>
        <v>1</v>
      </c>
    </row>
    <row r="3464" customFormat="false" ht="15" hidden="false" customHeight="false" outlineLevel="0" collapsed="false">
      <c r="A3464" s="10" t="s">
        <v>5805</v>
      </c>
      <c r="B3464" s="10" t="s">
        <v>97</v>
      </c>
      <c r="C3464" s="10" t="s">
        <v>51</v>
      </c>
      <c r="D3464" s="10" t="s">
        <v>384</v>
      </c>
      <c r="E3464" s="10" t="s">
        <v>2342</v>
      </c>
      <c r="F3464" s="30" t="n">
        <v>42896</v>
      </c>
      <c r="G3464" s="30" t="n">
        <v>42953</v>
      </c>
      <c r="H3464" s="26" t="n">
        <f aca="false">G3464-F3464</f>
        <v>57</v>
      </c>
      <c r="I3464" s="10" t="n">
        <f aca="false">IF(E3464="Won",1,0)</f>
        <v>1</v>
      </c>
    </row>
    <row r="3465" customFormat="false" ht="15" hidden="false" customHeight="false" outlineLevel="0" collapsed="false">
      <c r="A3465" s="10" t="s">
        <v>5806</v>
      </c>
      <c r="B3465" s="10" t="s">
        <v>66</v>
      </c>
      <c r="C3465" s="10" t="s">
        <v>51</v>
      </c>
      <c r="D3465" s="10" t="s">
        <v>986</v>
      </c>
      <c r="E3465" s="10" t="s">
        <v>2342</v>
      </c>
      <c r="F3465" s="30" t="n">
        <v>42940</v>
      </c>
      <c r="G3465" s="30" t="n">
        <v>42953</v>
      </c>
      <c r="H3465" s="26" t="n">
        <f aca="false">G3465-F3465</f>
        <v>13</v>
      </c>
      <c r="I3465" s="10" t="n">
        <f aca="false">IF(E3465="Won",1,0)</f>
        <v>1</v>
      </c>
    </row>
    <row r="3466" customFormat="false" ht="15" hidden="false" customHeight="false" outlineLevel="0" collapsed="false">
      <c r="A3466" s="10" t="s">
        <v>5807</v>
      </c>
      <c r="B3466" s="10" t="s">
        <v>76</v>
      </c>
      <c r="C3466" s="10" t="s">
        <v>49</v>
      </c>
      <c r="D3466" s="10" t="s">
        <v>512</v>
      </c>
      <c r="E3466" s="10" t="s">
        <v>2345</v>
      </c>
      <c r="F3466" s="30" t="n">
        <v>42848</v>
      </c>
      <c r="G3466" s="30" t="n">
        <v>42953</v>
      </c>
      <c r="H3466" s="26" t="n">
        <f aca="false">G3466-F3466</f>
        <v>105</v>
      </c>
      <c r="I3466" s="10" t="n">
        <f aca="false">IF(E3466="Won",1,0)</f>
        <v>0</v>
      </c>
    </row>
    <row r="3467" customFormat="false" ht="15" hidden="false" customHeight="false" outlineLevel="0" collapsed="false">
      <c r="A3467" s="10" t="s">
        <v>5808</v>
      </c>
      <c r="B3467" s="10" t="s">
        <v>87</v>
      </c>
      <c r="C3467" s="10" t="s">
        <v>50</v>
      </c>
      <c r="D3467" s="10" t="s">
        <v>286</v>
      </c>
      <c r="E3467" s="10" t="s">
        <v>2342</v>
      </c>
      <c r="F3467" s="30" t="n">
        <v>42945</v>
      </c>
      <c r="G3467" s="30" t="n">
        <v>42953</v>
      </c>
      <c r="H3467" s="26" t="n">
        <f aca="false">G3467-F3467</f>
        <v>8</v>
      </c>
      <c r="I3467" s="10" t="n">
        <f aca="false">IF(E3467="Won",1,0)</f>
        <v>1</v>
      </c>
    </row>
    <row r="3468" customFormat="false" ht="15" hidden="false" customHeight="false" outlineLevel="0" collapsed="false">
      <c r="A3468" s="10" t="s">
        <v>5809</v>
      </c>
      <c r="B3468" s="10" t="s">
        <v>57</v>
      </c>
      <c r="C3468" s="10" t="s">
        <v>48</v>
      </c>
      <c r="D3468" s="10" t="s">
        <v>464</v>
      </c>
      <c r="E3468" s="10" t="s">
        <v>2342</v>
      </c>
      <c r="F3468" s="30" t="n">
        <v>42865</v>
      </c>
      <c r="G3468" s="30" t="n">
        <v>42953</v>
      </c>
      <c r="H3468" s="26" t="n">
        <f aca="false">G3468-F3468</f>
        <v>88</v>
      </c>
      <c r="I3468" s="10" t="n">
        <f aca="false">IF(E3468="Won",1,0)</f>
        <v>1</v>
      </c>
    </row>
    <row r="3469" customFormat="false" ht="15" hidden="false" customHeight="false" outlineLevel="0" collapsed="false">
      <c r="A3469" s="10" t="s">
        <v>5810</v>
      </c>
      <c r="B3469" s="10" t="s">
        <v>80</v>
      </c>
      <c r="C3469" s="10" t="s">
        <v>48</v>
      </c>
      <c r="D3469" s="10" t="s">
        <v>961</v>
      </c>
      <c r="E3469" s="10" t="s">
        <v>2345</v>
      </c>
      <c r="F3469" s="30" t="n">
        <v>42882</v>
      </c>
      <c r="G3469" s="30" t="n">
        <v>42953</v>
      </c>
      <c r="H3469" s="26" t="n">
        <f aca="false">G3469-F3469</f>
        <v>71</v>
      </c>
      <c r="I3469" s="10" t="n">
        <f aca="false">IF(E3469="Won",1,0)</f>
        <v>0</v>
      </c>
    </row>
    <row r="3470" customFormat="false" ht="15" hidden="false" customHeight="false" outlineLevel="0" collapsed="false">
      <c r="A3470" s="10" t="s">
        <v>5811</v>
      </c>
      <c r="B3470" s="10" t="s">
        <v>88</v>
      </c>
      <c r="C3470" s="10" t="s">
        <v>48</v>
      </c>
      <c r="D3470" s="10" t="s">
        <v>233</v>
      </c>
      <c r="E3470" s="10" t="s">
        <v>2345</v>
      </c>
      <c r="F3470" s="30" t="n">
        <v>42875</v>
      </c>
      <c r="G3470" s="30" t="n">
        <v>42953</v>
      </c>
      <c r="H3470" s="26" t="n">
        <f aca="false">G3470-F3470</f>
        <v>78</v>
      </c>
      <c r="I3470" s="10" t="n">
        <f aca="false">IF(E3470="Won",1,0)</f>
        <v>0</v>
      </c>
    </row>
    <row r="3471" customFormat="false" ht="15" hidden="false" customHeight="false" outlineLevel="0" collapsed="false">
      <c r="A3471" s="10" t="s">
        <v>5812</v>
      </c>
      <c r="B3471" s="10" t="s">
        <v>69</v>
      </c>
      <c r="C3471" s="10" t="s">
        <v>51</v>
      </c>
      <c r="D3471" s="10" t="s">
        <v>172</v>
      </c>
      <c r="E3471" s="10" t="s">
        <v>2342</v>
      </c>
      <c r="F3471" s="30" t="n">
        <v>42879</v>
      </c>
      <c r="G3471" s="30" t="n">
        <v>42953</v>
      </c>
      <c r="H3471" s="26" t="n">
        <f aca="false">G3471-F3471</f>
        <v>74</v>
      </c>
      <c r="I3471" s="10" t="n">
        <f aca="false">IF(E3471="Won",1,0)</f>
        <v>1</v>
      </c>
    </row>
    <row r="3472" customFormat="false" ht="15" hidden="false" customHeight="false" outlineLevel="0" collapsed="false">
      <c r="A3472" s="10" t="s">
        <v>5813</v>
      </c>
      <c r="B3472" s="10" t="s">
        <v>88</v>
      </c>
      <c r="C3472" s="10" t="s">
        <v>48</v>
      </c>
      <c r="D3472" s="10" t="s">
        <v>1334</v>
      </c>
      <c r="E3472" s="10" t="s">
        <v>2345</v>
      </c>
      <c r="F3472" s="30" t="n">
        <v>42944</v>
      </c>
      <c r="G3472" s="30" t="n">
        <v>42953</v>
      </c>
      <c r="H3472" s="26" t="n">
        <f aca="false">G3472-F3472</f>
        <v>9</v>
      </c>
      <c r="I3472" s="10" t="n">
        <f aca="false">IF(E3472="Won",1,0)</f>
        <v>0</v>
      </c>
    </row>
    <row r="3473" customFormat="false" ht="15" hidden="false" customHeight="false" outlineLevel="0" collapsed="false">
      <c r="A3473" s="10" t="s">
        <v>5814</v>
      </c>
      <c r="B3473" s="10" t="s">
        <v>75</v>
      </c>
      <c r="C3473" s="10" t="s">
        <v>52</v>
      </c>
      <c r="D3473" s="10" t="s">
        <v>869</v>
      </c>
      <c r="E3473" s="10" t="s">
        <v>2345</v>
      </c>
      <c r="F3473" s="30" t="n">
        <v>42939</v>
      </c>
      <c r="G3473" s="30" t="n">
        <v>42953</v>
      </c>
      <c r="H3473" s="26" t="n">
        <f aca="false">G3473-F3473</f>
        <v>14</v>
      </c>
      <c r="I3473" s="10" t="n">
        <f aca="false">IF(E3473="Won",1,0)</f>
        <v>0</v>
      </c>
    </row>
    <row r="3474" customFormat="false" ht="15" hidden="false" customHeight="false" outlineLevel="0" collapsed="false">
      <c r="A3474" s="10" t="s">
        <v>5815</v>
      </c>
      <c r="B3474" s="10" t="s">
        <v>62</v>
      </c>
      <c r="C3474" s="10" t="s">
        <v>48</v>
      </c>
      <c r="D3474" s="10" t="s">
        <v>1397</v>
      </c>
      <c r="E3474" s="10" t="s">
        <v>2345</v>
      </c>
      <c r="F3474" s="30" t="n">
        <v>42859</v>
      </c>
      <c r="G3474" s="30" t="n">
        <v>42953</v>
      </c>
      <c r="H3474" s="26" t="n">
        <f aca="false">G3474-F3474</f>
        <v>94</v>
      </c>
      <c r="I3474" s="10" t="n">
        <f aca="false">IF(E3474="Won",1,0)</f>
        <v>0</v>
      </c>
    </row>
    <row r="3475" customFormat="false" ht="15" hidden="false" customHeight="false" outlineLevel="0" collapsed="false">
      <c r="A3475" s="10" t="s">
        <v>5816</v>
      </c>
      <c r="B3475" s="10" t="s">
        <v>62</v>
      </c>
      <c r="C3475" s="10" t="s">
        <v>52</v>
      </c>
      <c r="D3475" s="10" t="s">
        <v>233</v>
      </c>
      <c r="E3475" s="10" t="s">
        <v>2342</v>
      </c>
      <c r="F3475" s="30" t="n">
        <v>42939</v>
      </c>
      <c r="G3475" s="30" t="n">
        <v>42953</v>
      </c>
      <c r="H3475" s="26" t="n">
        <f aca="false">G3475-F3475</f>
        <v>14</v>
      </c>
      <c r="I3475" s="10" t="n">
        <f aca="false">IF(E3475="Won",1,0)</f>
        <v>1</v>
      </c>
    </row>
    <row r="3476" customFormat="false" ht="15" hidden="false" customHeight="false" outlineLevel="0" collapsed="false">
      <c r="A3476" s="10" t="s">
        <v>5817</v>
      </c>
      <c r="B3476" s="10" t="s">
        <v>95</v>
      </c>
      <c r="C3476" s="10" t="s">
        <v>48</v>
      </c>
      <c r="D3476" s="10" t="s">
        <v>606</v>
      </c>
      <c r="E3476" s="10" t="s">
        <v>2342</v>
      </c>
      <c r="F3476" s="30" t="n">
        <v>42843</v>
      </c>
      <c r="G3476" s="30" t="n">
        <v>42953</v>
      </c>
      <c r="H3476" s="26" t="n">
        <f aca="false">G3476-F3476</f>
        <v>110</v>
      </c>
      <c r="I3476" s="10" t="n">
        <f aca="false">IF(E3476="Won",1,0)</f>
        <v>1</v>
      </c>
    </row>
    <row r="3477" customFormat="false" ht="15" hidden="false" customHeight="false" outlineLevel="0" collapsed="false">
      <c r="A3477" s="10" t="s">
        <v>5818</v>
      </c>
      <c r="B3477" s="10" t="s">
        <v>95</v>
      </c>
      <c r="C3477" s="10" t="s">
        <v>51</v>
      </c>
      <c r="D3477" s="10" t="s">
        <v>432</v>
      </c>
      <c r="E3477" s="10" t="s">
        <v>2345</v>
      </c>
      <c r="F3477" s="30" t="n">
        <v>42840</v>
      </c>
      <c r="G3477" s="30" t="n">
        <v>42954</v>
      </c>
      <c r="H3477" s="26" t="n">
        <f aca="false">G3477-F3477</f>
        <v>114</v>
      </c>
      <c r="I3477" s="10" t="n">
        <f aca="false">IF(E3477="Won",1,0)</f>
        <v>0</v>
      </c>
    </row>
    <row r="3478" customFormat="false" ht="15" hidden="false" customHeight="false" outlineLevel="0" collapsed="false">
      <c r="A3478" s="10" t="s">
        <v>5819</v>
      </c>
      <c r="B3478" s="10" t="s">
        <v>94</v>
      </c>
      <c r="C3478" s="10" t="s">
        <v>50</v>
      </c>
      <c r="D3478" s="10" t="s">
        <v>175</v>
      </c>
      <c r="E3478" s="10" t="s">
        <v>2345</v>
      </c>
      <c r="F3478" s="30" t="n">
        <v>42889</v>
      </c>
      <c r="G3478" s="30" t="n">
        <v>42954</v>
      </c>
      <c r="H3478" s="26" t="n">
        <f aca="false">G3478-F3478</f>
        <v>65</v>
      </c>
      <c r="I3478" s="10" t="n">
        <f aca="false">IF(E3478="Won",1,0)</f>
        <v>0</v>
      </c>
    </row>
    <row r="3479" customFormat="false" ht="15" hidden="false" customHeight="false" outlineLevel="0" collapsed="false">
      <c r="A3479" s="10" t="s">
        <v>5820</v>
      </c>
      <c r="B3479" s="10" t="s">
        <v>95</v>
      </c>
      <c r="C3479" s="10" t="s">
        <v>51</v>
      </c>
      <c r="D3479" s="10" t="s">
        <v>497</v>
      </c>
      <c r="E3479" s="10" t="s">
        <v>2342</v>
      </c>
      <c r="F3479" s="30" t="n">
        <v>42881</v>
      </c>
      <c r="G3479" s="30" t="n">
        <v>42954</v>
      </c>
      <c r="H3479" s="26" t="n">
        <f aca="false">G3479-F3479</f>
        <v>73</v>
      </c>
      <c r="I3479" s="10" t="n">
        <f aca="false">IF(E3479="Won",1,0)</f>
        <v>1</v>
      </c>
    </row>
    <row r="3480" customFormat="false" ht="15" hidden="false" customHeight="false" outlineLevel="0" collapsed="false">
      <c r="A3480" s="10" t="s">
        <v>5821</v>
      </c>
      <c r="B3480" s="10" t="s">
        <v>74</v>
      </c>
      <c r="C3480" s="10" t="s">
        <v>51</v>
      </c>
      <c r="D3480" s="10" t="s">
        <v>697</v>
      </c>
      <c r="E3480" s="10" t="s">
        <v>2345</v>
      </c>
      <c r="F3480" s="30" t="n">
        <v>42857</v>
      </c>
      <c r="G3480" s="30" t="n">
        <v>42954</v>
      </c>
      <c r="H3480" s="26" t="n">
        <f aca="false">G3480-F3480</f>
        <v>97</v>
      </c>
      <c r="I3480" s="10" t="n">
        <f aca="false">IF(E3480="Won",1,0)</f>
        <v>0</v>
      </c>
    </row>
    <row r="3481" customFormat="false" ht="15" hidden="false" customHeight="false" outlineLevel="0" collapsed="false">
      <c r="A3481" s="10" t="s">
        <v>5822</v>
      </c>
      <c r="B3481" s="10" t="s">
        <v>79</v>
      </c>
      <c r="C3481" s="10" t="s">
        <v>49</v>
      </c>
      <c r="D3481" s="10" t="s">
        <v>267</v>
      </c>
      <c r="E3481" s="10" t="s">
        <v>2342</v>
      </c>
      <c r="F3481" s="30" t="n">
        <v>42940</v>
      </c>
      <c r="G3481" s="30" t="n">
        <v>42954</v>
      </c>
      <c r="H3481" s="26" t="n">
        <f aca="false">G3481-F3481</f>
        <v>14</v>
      </c>
      <c r="I3481" s="10" t="n">
        <f aca="false">IF(E3481="Won",1,0)</f>
        <v>1</v>
      </c>
    </row>
    <row r="3482" customFormat="false" ht="15" hidden="false" customHeight="false" outlineLevel="0" collapsed="false">
      <c r="A3482" s="10" t="s">
        <v>5823</v>
      </c>
      <c r="B3482" s="10" t="s">
        <v>71</v>
      </c>
      <c r="C3482" s="10" t="s">
        <v>47</v>
      </c>
      <c r="D3482" s="10" t="s">
        <v>369</v>
      </c>
      <c r="E3482" s="10" t="s">
        <v>2345</v>
      </c>
      <c r="F3482" s="30" t="n">
        <v>42946</v>
      </c>
      <c r="G3482" s="30" t="n">
        <v>42954</v>
      </c>
      <c r="H3482" s="26" t="n">
        <f aca="false">G3482-F3482</f>
        <v>8</v>
      </c>
      <c r="I3482" s="10" t="n">
        <f aca="false">IF(E3482="Won",1,0)</f>
        <v>0</v>
      </c>
    </row>
    <row r="3483" customFormat="false" ht="15" hidden="false" customHeight="false" outlineLevel="0" collapsed="false">
      <c r="A3483" s="10" t="s">
        <v>5824</v>
      </c>
      <c r="B3483" s="10" t="s">
        <v>79</v>
      </c>
      <c r="C3483" s="10" t="s">
        <v>48</v>
      </c>
      <c r="D3483" s="10" t="s">
        <v>597</v>
      </c>
      <c r="E3483" s="10" t="s">
        <v>2345</v>
      </c>
      <c r="F3483" s="30" t="n">
        <v>42856</v>
      </c>
      <c r="G3483" s="30" t="n">
        <v>42954</v>
      </c>
      <c r="H3483" s="26" t="n">
        <f aca="false">G3483-F3483</f>
        <v>98</v>
      </c>
      <c r="I3483" s="10" t="n">
        <f aca="false">IF(E3483="Won",1,0)</f>
        <v>0</v>
      </c>
    </row>
    <row r="3484" customFormat="false" ht="15" hidden="false" customHeight="false" outlineLevel="0" collapsed="false">
      <c r="A3484" s="10" t="s">
        <v>5825</v>
      </c>
      <c r="B3484" s="10" t="s">
        <v>94</v>
      </c>
      <c r="C3484" s="10" t="s">
        <v>50</v>
      </c>
      <c r="D3484" s="10" t="s">
        <v>326</v>
      </c>
      <c r="E3484" s="10" t="s">
        <v>2342</v>
      </c>
      <c r="F3484" s="30" t="n">
        <v>42905</v>
      </c>
      <c r="G3484" s="30" t="n">
        <v>42954</v>
      </c>
      <c r="H3484" s="26" t="n">
        <f aca="false">G3484-F3484</f>
        <v>49</v>
      </c>
      <c r="I3484" s="10" t="n">
        <f aca="false">IF(E3484="Won",1,0)</f>
        <v>1</v>
      </c>
    </row>
    <row r="3485" customFormat="false" ht="15" hidden="false" customHeight="false" outlineLevel="0" collapsed="false">
      <c r="A3485" s="10" t="s">
        <v>5826</v>
      </c>
      <c r="B3485" s="10" t="s">
        <v>84</v>
      </c>
      <c r="C3485" s="10" t="s">
        <v>50</v>
      </c>
      <c r="D3485" s="10" t="s">
        <v>332</v>
      </c>
      <c r="E3485" s="10" t="s">
        <v>2345</v>
      </c>
      <c r="F3485" s="30" t="n">
        <v>42885</v>
      </c>
      <c r="G3485" s="30" t="n">
        <v>42954</v>
      </c>
      <c r="H3485" s="26" t="n">
        <f aca="false">G3485-F3485</f>
        <v>69</v>
      </c>
      <c r="I3485" s="10" t="n">
        <f aca="false">IF(E3485="Won",1,0)</f>
        <v>0</v>
      </c>
    </row>
    <row r="3486" customFormat="false" ht="15" hidden="false" customHeight="false" outlineLevel="0" collapsed="false">
      <c r="A3486" s="10" t="s">
        <v>5827</v>
      </c>
      <c r="B3486" s="10" t="s">
        <v>76</v>
      </c>
      <c r="C3486" s="10" t="s">
        <v>52</v>
      </c>
      <c r="D3486" s="10" t="s">
        <v>961</v>
      </c>
      <c r="E3486" s="10" t="s">
        <v>2345</v>
      </c>
      <c r="F3486" s="30" t="n">
        <v>42911</v>
      </c>
      <c r="G3486" s="30" t="n">
        <v>42954</v>
      </c>
      <c r="H3486" s="26" t="n">
        <f aca="false">G3486-F3486</f>
        <v>43</v>
      </c>
      <c r="I3486" s="10" t="n">
        <f aca="false">IF(E3486="Won",1,0)</f>
        <v>0</v>
      </c>
    </row>
    <row r="3487" customFormat="false" ht="15" hidden="false" customHeight="false" outlineLevel="0" collapsed="false">
      <c r="A3487" s="10" t="s">
        <v>5828</v>
      </c>
      <c r="B3487" s="10" t="s">
        <v>97</v>
      </c>
      <c r="C3487" s="10" t="s">
        <v>51</v>
      </c>
      <c r="D3487" s="10" t="s">
        <v>168</v>
      </c>
      <c r="E3487" s="10" t="s">
        <v>2345</v>
      </c>
      <c r="F3487" s="30" t="n">
        <v>42850</v>
      </c>
      <c r="G3487" s="30" t="n">
        <v>42954</v>
      </c>
      <c r="H3487" s="26" t="n">
        <f aca="false">G3487-F3487</f>
        <v>104</v>
      </c>
      <c r="I3487" s="10" t="n">
        <f aca="false">IF(E3487="Won",1,0)</f>
        <v>0</v>
      </c>
    </row>
    <row r="3488" customFormat="false" ht="15" hidden="false" customHeight="false" outlineLevel="0" collapsed="false">
      <c r="A3488" s="10" t="s">
        <v>5829</v>
      </c>
      <c r="B3488" s="10" t="s">
        <v>80</v>
      </c>
      <c r="C3488" s="10" t="s">
        <v>51</v>
      </c>
      <c r="D3488" s="10" t="s">
        <v>1948</v>
      </c>
      <c r="E3488" s="10" t="s">
        <v>2345</v>
      </c>
      <c r="F3488" s="30" t="n">
        <v>42830</v>
      </c>
      <c r="G3488" s="30" t="n">
        <v>42954</v>
      </c>
      <c r="H3488" s="26" t="n">
        <f aca="false">G3488-F3488</f>
        <v>124</v>
      </c>
      <c r="I3488" s="10" t="n">
        <f aca="false">IF(E3488="Won",1,0)</f>
        <v>0</v>
      </c>
    </row>
    <row r="3489" customFormat="false" ht="15" hidden="false" customHeight="false" outlineLevel="0" collapsed="false">
      <c r="A3489" s="10" t="s">
        <v>5830</v>
      </c>
      <c r="B3489" s="10" t="s">
        <v>94</v>
      </c>
      <c r="C3489" s="10" t="s">
        <v>52</v>
      </c>
      <c r="D3489" s="10" t="s">
        <v>199</v>
      </c>
      <c r="E3489" s="10" t="s">
        <v>2345</v>
      </c>
      <c r="F3489" s="30" t="n">
        <v>42896</v>
      </c>
      <c r="G3489" s="30" t="n">
        <v>42954</v>
      </c>
      <c r="H3489" s="26" t="n">
        <f aca="false">G3489-F3489</f>
        <v>58</v>
      </c>
      <c r="I3489" s="10" t="n">
        <f aca="false">IF(E3489="Won",1,0)</f>
        <v>0</v>
      </c>
    </row>
    <row r="3490" customFormat="false" ht="15" hidden="false" customHeight="false" outlineLevel="0" collapsed="false">
      <c r="A3490" s="10" t="s">
        <v>5831</v>
      </c>
      <c r="B3490" s="10" t="s">
        <v>81</v>
      </c>
      <c r="C3490" s="10" t="s">
        <v>50</v>
      </c>
      <c r="D3490" s="10" t="s">
        <v>1251</v>
      </c>
      <c r="E3490" s="10" t="s">
        <v>2342</v>
      </c>
      <c r="F3490" s="30" t="n">
        <v>42943</v>
      </c>
      <c r="G3490" s="30" t="n">
        <v>42954</v>
      </c>
      <c r="H3490" s="26" t="n">
        <f aca="false">G3490-F3490</f>
        <v>11</v>
      </c>
      <c r="I3490" s="10" t="n">
        <f aca="false">IF(E3490="Won",1,0)</f>
        <v>1</v>
      </c>
    </row>
    <row r="3491" customFormat="false" ht="15" hidden="false" customHeight="false" outlineLevel="0" collapsed="false">
      <c r="A3491" s="10" t="s">
        <v>5832</v>
      </c>
      <c r="B3491" s="10" t="s">
        <v>79</v>
      </c>
      <c r="C3491" s="10" t="s">
        <v>47</v>
      </c>
      <c r="D3491" s="10" t="s">
        <v>291</v>
      </c>
      <c r="E3491" s="10" t="s">
        <v>2345</v>
      </c>
      <c r="F3491" s="30" t="n">
        <v>42934</v>
      </c>
      <c r="G3491" s="30" t="n">
        <v>42954</v>
      </c>
      <c r="H3491" s="26" t="n">
        <f aca="false">G3491-F3491</f>
        <v>20</v>
      </c>
      <c r="I3491" s="10" t="n">
        <f aca="false">IF(E3491="Won",1,0)</f>
        <v>0</v>
      </c>
    </row>
    <row r="3492" customFormat="false" ht="15" hidden="false" customHeight="false" outlineLevel="0" collapsed="false">
      <c r="A3492" s="10" t="s">
        <v>5833</v>
      </c>
      <c r="B3492" s="10" t="s">
        <v>96</v>
      </c>
      <c r="C3492" s="10" t="s">
        <v>48</v>
      </c>
      <c r="D3492" s="10" t="s">
        <v>170</v>
      </c>
      <c r="E3492" s="10" t="s">
        <v>2342</v>
      </c>
      <c r="F3492" s="30" t="n">
        <v>42917</v>
      </c>
      <c r="G3492" s="30" t="n">
        <v>42954</v>
      </c>
      <c r="H3492" s="26" t="n">
        <f aca="false">G3492-F3492</f>
        <v>37</v>
      </c>
      <c r="I3492" s="10" t="n">
        <f aca="false">IF(E3492="Won",1,0)</f>
        <v>1</v>
      </c>
    </row>
    <row r="3493" customFormat="false" ht="15" hidden="false" customHeight="false" outlineLevel="0" collapsed="false">
      <c r="A3493" s="10" t="s">
        <v>5834</v>
      </c>
      <c r="B3493" s="10" t="s">
        <v>77</v>
      </c>
      <c r="C3493" s="10" t="s">
        <v>49</v>
      </c>
      <c r="D3493" s="10" t="s">
        <v>414</v>
      </c>
      <c r="E3493" s="10" t="s">
        <v>2345</v>
      </c>
      <c r="F3493" s="30" t="n">
        <v>42887</v>
      </c>
      <c r="G3493" s="30" t="n">
        <v>42954</v>
      </c>
      <c r="H3493" s="26" t="n">
        <f aca="false">G3493-F3493</f>
        <v>67</v>
      </c>
      <c r="I3493" s="10" t="n">
        <f aca="false">IF(E3493="Won",1,0)</f>
        <v>0</v>
      </c>
    </row>
    <row r="3494" customFormat="false" ht="15" hidden="false" customHeight="false" outlineLevel="0" collapsed="false">
      <c r="A3494" s="10" t="s">
        <v>5835</v>
      </c>
      <c r="B3494" s="10" t="s">
        <v>93</v>
      </c>
      <c r="C3494" s="10" t="s">
        <v>48</v>
      </c>
      <c r="D3494" s="10" t="s">
        <v>299</v>
      </c>
      <c r="E3494" s="10" t="s">
        <v>2342</v>
      </c>
      <c r="F3494" s="30" t="n">
        <v>42884</v>
      </c>
      <c r="G3494" s="30" t="n">
        <v>42954</v>
      </c>
      <c r="H3494" s="26" t="n">
        <f aca="false">G3494-F3494</f>
        <v>70</v>
      </c>
      <c r="I3494" s="10" t="n">
        <f aca="false">IF(E3494="Won",1,0)</f>
        <v>1</v>
      </c>
    </row>
    <row r="3495" customFormat="false" ht="15" hidden="false" customHeight="false" outlineLevel="0" collapsed="false">
      <c r="A3495" s="10" t="s">
        <v>5836</v>
      </c>
      <c r="B3495" s="10" t="s">
        <v>88</v>
      </c>
      <c r="C3495" s="10" t="s">
        <v>51</v>
      </c>
      <c r="D3495" s="10" t="s">
        <v>293</v>
      </c>
      <c r="E3495" s="10" t="s">
        <v>2345</v>
      </c>
      <c r="F3495" s="30" t="n">
        <v>42830</v>
      </c>
      <c r="G3495" s="30" t="n">
        <v>42954</v>
      </c>
      <c r="H3495" s="26" t="n">
        <f aca="false">G3495-F3495</f>
        <v>124</v>
      </c>
      <c r="I3495" s="10" t="n">
        <f aca="false">IF(E3495="Won",1,0)</f>
        <v>0</v>
      </c>
    </row>
    <row r="3496" customFormat="false" ht="15" hidden="false" customHeight="false" outlineLevel="0" collapsed="false">
      <c r="A3496" s="10" t="s">
        <v>5837</v>
      </c>
      <c r="B3496" s="10" t="s">
        <v>61</v>
      </c>
      <c r="C3496" s="10" t="s">
        <v>49</v>
      </c>
      <c r="D3496" s="10" t="s">
        <v>453</v>
      </c>
      <c r="E3496" s="10" t="s">
        <v>2342</v>
      </c>
      <c r="F3496" s="30" t="n">
        <v>42946</v>
      </c>
      <c r="G3496" s="30" t="n">
        <v>42954</v>
      </c>
      <c r="H3496" s="26" t="n">
        <f aca="false">G3496-F3496</f>
        <v>8</v>
      </c>
      <c r="I3496" s="10" t="n">
        <f aca="false">IF(E3496="Won",1,0)</f>
        <v>1</v>
      </c>
    </row>
    <row r="3497" customFormat="false" ht="15" hidden="false" customHeight="false" outlineLevel="0" collapsed="false">
      <c r="A3497" s="10" t="s">
        <v>5838</v>
      </c>
      <c r="B3497" s="10" t="s">
        <v>77</v>
      </c>
      <c r="C3497" s="10" t="s">
        <v>50</v>
      </c>
      <c r="D3497" s="10" t="s">
        <v>414</v>
      </c>
      <c r="E3497" s="10" t="s">
        <v>2342</v>
      </c>
      <c r="F3497" s="30" t="n">
        <v>42940</v>
      </c>
      <c r="G3497" s="30" t="n">
        <v>42954</v>
      </c>
      <c r="H3497" s="26" t="n">
        <f aca="false">G3497-F3497</f>
        <v>14</v>
      </c>
      <c r="I3497" s="10" t="n">
        <f aca="false">IF(E3497="Won",1,0)</f>
        <v>1</v>
      </c>
    </row>
    <row r="3498" customFormat="false" ht="15" hidden="false" customHeight="false" outlineLevel="0" collapsed="false">
      <c r="A3498" s="10" t="s">
        <v>5839</v>
      </c>
      <c r="B3498" s="10" t="s">
        <v>77</v>
      </c>
      <c r="C3498" s="10" t="s">
        <v>49</v>
      </c>
      <c r="D3498" s="10" t="s">
        <v>321</v>
      </c>
      <c r="E3498" s="10" t="s">
        <v>2345</v>
      </c>
      <c r="F3498" s="30" t="n">
        <v>42880</v>
      </c>
      <c r="G3498" s="30" t="n">
        <v>42954</v>
      </c>
      <c r="H3498" s="26" t="n">
        <f aca="false">G3498-F3498</f>
        <v>74</v>
      </c>
      <c r="I3498" s="10" t="n">
        <f aca="false">IF(E3498="Won",1,0)</f>
        <v>0</v>
      </c>
    </row>
    <row r="3499" customFormat="false" ht="15" hidden="false" customHeight="false" outlineLevel="0" collapsed="false">
      <c r="A3499" s="10" t="s">
        <v>5840</v>
      </c>
      <c r="B3499" s="10" t="s">
        <v>81</v>
      </c>
      <c r="C3499" s="10" t="s">
        <v>50</v>
      </c>
      <c r="D3499" s="10" t="s">
        <v>259</v>
      </c>
      <c r="E3499" s="10" t="s">
        <v>2342</v>
      </c>
      <c r="F3499" s="30" t="n">
        <v>42939</v>
      </c>
      <c r="G3499" s="30" t="n">
        <v>42954</v>
      </c>
      <c r="H3499" s="26" t="n">
        <f aca="false">G3499-F3499</f>
        <v>15</v>
      </c>
      <c r="I3499" s="10" t="n">
        <f aca="false">IF(E3499="Won",1,0)</f>
        <v>1</v>
      </c>
    </row>
    <row r="3500" customFormat="false" ht="15" hidden="false" customHeight="false" outlineLevel="0" collapsed="false">
      <c r="A3500" s="10" t="s">
        <v>5841</v>
      </c>
      <c r="B3500" s="10" t="s">
        <v>74</v>
      </c>
      <c r="C3500" s="10" t="s">
        <v>50</v>
      </c>
      <c r="D3500" s="10" t="s">
        <v>512</v>
      </c>
      <c r="E3500" s="10" t="s">
        <v>2342</v>
      </c>
      <c r="F3500" s="30" t="n">
        <v>42852</v>
      </c>
      <c r="G3500" s="30" t="n">
        <v>42954</v>
      </c>
      <c r="H3500" s="26" t="n">
        <f aca="false">G3500-F3500</f>
        <v>102</v>
      </c>
      <c r="I3500" s="10" t="n">
        <f aca="false">IF(E3500="Won",1,0)</f>
        <v>1</v>
      </c>
    </row>
    <row r="3501" customFormat="false" ht="15" hidden="false" customHeight="false" outlineLevel="0" collapsed="false">
      <c r="A3501" s="10" t="s">
        <v>5842</v>
      </c>
      <c r="B3501" s="10" t="s">
        <v>68</v>
      </c>
      <c r="C3501" s="10" t="s">
        <v>47</v>
      </c>
      <c r="D3501" s="10" t="s">
        <v>396</v>
      </c>
      <c r="E3501" s="10" t="s">
        <v>2345</v>
      </c>
      <c r="F3501" s="30" t="n">
        <v>42870</v>
      </c>
      <c r="G3501" s="30" t="n">
        <v>42954</v>
      </c>
      <c r="H3501" s="26" t="n">
        <f aca="false">G3501-F3501</f>
        <v>84</v>
      </c>
      <c r="I3501" s="10" t="n">
        <f aca="false">IF(E3501="Won",1,0)</f>
        <v>0</v>
      </c>
    </row>
    <row r="3502" customFormat="false" ht="15" hidden="false" customHeight="false" outlineLevel="0" collapsed="false">
      <c r="A3502" s="10" t="s">
        <v>5843</v>
      </c>
      <c r="B3502" s="10" t="s">
        <v>77</v>
      </c>
      <c r="C3502" s="10" t="s">
        <v>49</v>
      </c>
      <c r="D3502" s="10" t="s">
        <v>291</v>
      </c>
      <c r="E3502" s="10" t="s">
        <v>2345</v>
      </c>
      <c r="F3502" s="30" t="n">
        <v>42950</v>
      </c>
      <c r="G3502" s="30" t="n">
        <v>42955</v>
      </c>
      <c r="H3502" s="26" t="n">
        <f aca="false">G3502-F3502</f>
        <v>5</v>
      </c>
      <c r="I3502" s="10" t="n">
        <f aca="false">IF(E3502="Won",1,0)</f>
        <v>0</v>
      </c>
    </row>
    <row r="3503" customFormat="false" ht="15" hidden="false" customHeight="false" outlineLevel="0" collapsed="false">
      <c r="A3503" s="10" t="s">
        <v>5844</v>
      </c>
      <c r="B3503" s="10" t="s">
        <v>77</v>
      </c>
      <c r="C3503" s="10" t="s">
        <v>48</v>
      </c>
      <c r="D3503" s="10" t="s">
        <v>1948</v>
      </c>
      <c r="E3503" s="10" t="s">
        <v>2345</v>
      </c>
      <c r="F3503" s="30" t="n">
        <v>42941</v>
      </c>
      <c r="G3503" s="30" t="n">
        <v>42955</v>
      </c>
      <c r="H3503" s="26" t="n">
        <f aca="false">G3503-F3503</f>
        <v>14</v>
      </c>
      <c r="I3503" s="10" t="n">
        <f aca="false">IF(E3503="Won",1,0)</f>
        <v>0</v>
      </c>
    </row>
    <row r="3504" customFormat="false" ht="15" hidden="false" customHeight="false" outlineLevel="0" collapsed="false">
      <c r="A3504" s="10" t="s">
        <v>5845</v>
      </c>
      <c r="B3504" s="10" t="s">
        <v>97</v>
      </c>
      <c r="C3504" s="10" t="s">
        <v>50</v>
      </c>
      <c r="D3504" s="10" t="s">
        <v>344</v>
      </c>
      <c r="E3504" s="10" t="s">
        <v>2342</v>
      </c>
      <c r="F3504" s="30" t="n">
        <v>42877</v>
      </c>
      <c r="G3504" s="30" t="n">
        <v>42955</v>
      </c>
      <c r="H3504" s="26" t="n">
        <f aca="false">G3504-F3504</f>
        <v>78</v>
      </c>
      <c r="I3504" s="10" t="n">
        <f aca="false">IF(E3504="Won",1,0)</f>
        <v>1</v>
      </c>
    </row>
    <row r="3505" customFormat="false" ht="15" hidden="false" customHeight="false" outlineLevel="0" collapsed="false">
      <c r="A3505" s="10" t="s">
        <v>5846</v>
      </c>
      <c r="B3505" s="10" t="s">
        <v>95</v>
      </c>
      <c r="C3505" s="10" t="s">
        <v>51</v>
      </c>
      <c r="D3505" s="10" t="s">
        <v>233</v>
      </c>
      <c r="E3505" s="10" t="s">
        <v>2345</v>
      </c>
      <c r="F3505" s="30" t="n">
        <v>42864</v>
      </c>
      <c r="G3505" s="30" t="n">
        <v>42955</v>
      </c>
      <c r="H3505" s="26" t="n">
        <f aca="false">G3505-F3505</f>
        <v>91</v>
      </c>
      <c r="I3505" s="10" t="n">
        <f aca="false">IF(E3505="Won",1,0)</f>
        <v>0</v>
      </c>
    </row>
    <row r="3506" customFormat="false" ht="15" hidden="false" customHeight="false" outlineLevel="0" collapsed="false">
      <c r="A3506" s="10" t="s">
        <v>5847</v>
      </c>
      <c r="B3506" s="10" t="s">
        <v>57</v>
      </c>
      <c r="C3506" s="10" t="s">
        <v>51</v>
      </c>
      <c r="D3506" s="10" t="s">
        <v>427</v>
      </c>
      <c r="E3506" s="10" t="s">
        <v>2345</v>
      </c>
      <c r="F3506" s="30" t="n">
        <v>42868</v>
      </c>
      <c r="G3506" s="30" t="n">
        <v>42955</v>
      </c>
      <c r="H3506" s="26" t="n">
        <f aca="false">G3506-F3506</f>
        <v>87</v>
      </c>
      <c r="I3506" s="10" t="n">
        <f aca="false">IF(E3506="Won",1,0)</f>
        <v>0</v>
      </c>
    </row>
    <row r="3507" customFormat="false" ht="15" hidden="false" customHeight="false" outlineLevel="0" collapsed="false">
      <c r="A3507" s="10" t="s">
        <v>5848</v>
      </c>
      <c r="B3507" s="10" t="s">
        <v>95</v>
      </c>
      <c r="C3507" s="10" t="s">
        <v>50</v>
      </c>
      <c r="D3507" s="10" t="s">
        <v>168</v>
      </c>
      <c r="E3507" s="10" t="s">
        <v>2345</v>
      </c>
      <c r="F3507" s="30" t="n">
        <v>42951</v>
      </c>
      <c r="G3507" s="30" t="n">
        <v>42955</v>
      </c>
      <c r="H3507" s="26" t="n">
        <f aca="false">G3507-F3507</f>
        <v>4</v>
      </c>
      <c r="I3507" s="10" t="n">
        <f aca="false">IF(E3507="Won",1,0)</f>
        <v>0</v>
      </c>
    </row>
    <row r="3508" customFormat="false" ht="15" hidden="false" customHeight="false" outlineLevel="0" collapsed="false">
      <c r="A3508" s="10" t="s">
        <v>5849</v>
      </c>
      <c r="B3508" s="10" t="s">
        <v>96</v>
      </c>
      <c r="C3508" s="10" t="s">
        <v>50</v>
      </c>
      <c r="D3508" s="10" t="s">
        <v>172</v>
      </c>
      <c r="E3508" s="10" t="s">
        <v>2342</v>
      </c>
      <c r="F3508" s="30" t="n">
        <v>42948</v>
      </c>
      <c r="G3508" s="30" t="n">
        <v>42955</v>
      </c>
      <c r="H3508" s="26" t="n">
        <f aca="false">G3508-F3508</f>
        <v>7</v>
      </c>
      <c r="I3508" s="10" t="n">
        <f aca="false">IF(E3508="Won",1,0)</f>
        <v>1</v>
      </c>
    </row>
    <row r="3509" customFormat="false" ht="15" hidden="false" customHeight="false" outlineLevel="0" collapsed="false">
      <c r="A3509" s="10" t="s">
        <v>5850</v>
      </c>
      <c r="B3509" s="10" t="s">
        <v>95</v>
      </c>
      <c r="C3509" s="10" t="s">
        <v>48</v>
      </c>
      <c r="D3509" s="10" t="s">
        <v>168</v>
      </c>
      <c r="E3509" s="10" t="s">
        <v>2342</v>
      </c>
      <c r="F3509" s="30" t="n">
        <v>42851</v>
      </c>
      <c r="G3509" s="30" t="n">
        <v>42955</v>
      </c>
      <c r="H3509" s="26" t="n">
        <f aca="false">G3509-F3509</f>
        <v>104</v>
      </c>
      <c r="I3509" s="10" t="n">
        <f aca="false">IF(E3509="Won",1,0)</f>
        <v>1</v>
      </c>
    </row>
    <row r="3510" customFormat="false" ht="15" hidden="false" customHeight="false" outlineLevel="0" collapsed="false">
      <c r="A3510" s="10" t="s">
        <v>5851</v>
      </c>
      <c r="B3510" s="10" t="s">
        <v>69</v>
      </c>
      <c r="C3510" s="10" t="s">
        <v>52</v>
      </c>
      <c r="D3510" s="10" t="s">
        <v>487</v>
      </c>
      <c r="E3510" s="10" t="s">
        <v>2345</v>
      </c>
      <c r="F3510" s="30" t="n">
        <v>42876</v>
      </c>
      <c r="G3510" s="30" t="n">
        <v>42955</v>
      </c>
      <c r="H3510" s="26" t="n">
        <f aca="false">G3510-F3510</f>
        <v>79</v>
      </c>
      <c r="I3510" s="10" t="n">
        <f aca="false">IF(E3510="Won",1,0)</f>
        <v>0</v>
      </c>
    </row>
    <row r="3511" customFormat="false" ht="15" hidden="false" customHeight="false" outlineLevel="0" collapsed="false">
      <c r="A3511" s="10" t="s">
        <v>5852</v>
      </c>
      <c r="B3511" s="10" t="s">
        <v>79</v>
      </c>
      <c r="C3511" s="10" t="s">
        <v>52</v>
      </c>
      <c r="D3511" s="10" t="s">
        <v>597</v>
      </c>
      <c r="E3511" s="10" t="s">
        <v>2342</v>
      </c>
      <c r="F3511" s="30" t="n">
        <v>42884</v>
      </c>
      <c r="G3511" s="30" t="n">
        <v>42955</v>
      </c>
      <c r="H3511" s="26" t="n">
        <f aca="false">G3511-F3511</f>
        <v>71</v>
      </c>
      <c r="I3511" s="10" t="n">
        <f aca="false">IF(E3511="Won",1,0)</f>
        <v>1</v>
      </c>
    </row>
    <row r="3512" customFormat="false" ht="15" hidden="false" customHeight="false" outlineLevel="0" collapsed="false">
      <c r="A3512" s="10" t="s">
        <v>5853</v>
      </c>
      <c r="B3512" s="10" t="s">
        <v>95</v>
      </c>
      <c r="C3512" s="10" t="s">
        <v>51</v>
      </c>
      <c r="D3512" s="10" t="s">
        <v>172</v>
      </c>
      <c r="E3512" s="10" t="s">
        <v>2342</v>
      </c>
      <c r="F3512" s="30" t="n">
        <v>42935</v>
      </c>
      <c r="G3512" s="30" t="n">
        <v>42955</v>
      </c>
      <c r="H3512" s="26" t="n">
        <f aca="false">G3512-F3512</f>
        <v>20</v>
      </c>
      <c r="I3512" s="10" t="n">
        <f aca="false">IF(E3512="Won",1,0)</f>
        <v>1</v>
      </c>
    </row>
    <row r="3513" customFormat="false" ht="15" hidden="false" customHeight="false" outlineLevel="0" collapsed="false">
      <c r="A3513" s="10" t="s">
        <v>5854</v>
      </c>
      <c r="B3513" s="10" t="s">
        <v>81</v>
      </c>
      <c r="C3513" s="10" t="s">
        <v>49</v>
      </c>
      <c r="D3513" s="10" t="s">
        <v>961</v>
      </c>
      <c r="E3513" s="10" t="s">
        <v>2342</v>
      </c>
      <c r="F3513" s="30" t="n">
        <v>42921</v>
      </c>
      <c r="G3513" s="30" t="n">
        <v>42955</v>
      </c>
      <c r="H3513" s="26" t="n">
        <f aca="false">G3513-F3513</f>
        <v>34</v>
      </c>
      <c r="I3513" s="10" t="n">
        <f aca="false">IF(E3513="Won",1,0)</f>
        <v>1</v>
      </c>
    </row>
    <row r="3514" customFormat="false" ht="15" hidden="false" customHeight="false" outlineLevel="0" collapsed="false">
      <c r="A3514" s="10" t="s">
        <v>5855</v>
      </c>
      <c r="B3514" s="10" t="s">
        <v>90</v>
      </c>
      <c r="C3514" s="10" t="s">
        <v>47</v>
      </c>
      <c r="D3514" s="10" t="s">
        <v>215</v>
      </c>
      <c r="E3514" s="10" t="s">
        <v>2342</v>
      </c>
      <c r="F3514" s="30" t="n">
        <v>42946</v>
      </c>
      <c r="G3514" s="30" t="n">
        <v>42955</v>
      </c>
      <c r="H3514" s="26" t="n">
        <f aca="false">G3514-F3514</f>
        <v>9</v>
      </c>
      <c r="I3514" s="10" t="n">
        <f aca="false">IF(E3514="Won",1,0)</f>
        <v>1</v>
      </c>
    </row>
    <row r="3515" customFormat="false" ht="15" hidden="false" customHeight="false" outlineLevel="0" collapsed="false">
      <c r="A3515" s="10" t="s">
        <v>5856</v>
      </c>
      <c r="B3515" s="10" t="s">
        <v>74</v>
      </c>
      <c r="C3515" s="10" t="s">
        <v>47</v>
      </c>
      <c r="D3515" s="10" t="s">
        <v>267</v>
      </c>
      <c r="E3515" s="10" t="s">
        <v>2342</v>
      </c>
      <c r="F3515" s="30" t="n">
        <v>42854</v>
      </c>
      <c r="G3515" s="30" t="n">
        <v>42955</v>
      </c>
      <c r="H3515" s="26" t="n">
        <f aca="false">G3515-F3515</f>
        <v>101</v>
      </c>
      <c r="I3515" s="10" t="n">
        <f aca="false">IF(E3515="Won",1,0)</f>
        <v>1</v>
      </c>
    </row>
    <row r="3516" customFormat="false" ht="15" hidden="false" customHeight="false" outlineLevel="0" collapsed="false">
      <c r="A3516" s="10" t="s">
        <v>5857</v>
      </c>
      <c r="B3516" s="10" t="s">
        <v>86</v>
      </c>
      <c r="C3516" s="10" t="s">
        <v>48</v>
      </c>
      <c r="D3516" s="10" t="s">
        <v>286</v>
      </c>
      <c r="E3516" s="10" t="s">
        <v>2345</v>
      </c>
      <c r="F3516" s="30" t="n">
        <v>42906</v>
      </c>
      <c r="G3516" s="30" t="n">
        <v>42955</v>
      </c>
      <c r="H3516" s="26" t="n">
        <f aca="false">G3516-F3516</f>
        <v>49</v>
      </c>
      <c r="I3516" s="10" t="n">
        <f aca="false">IF(E3516="Won",1,0)</f>
        <v>0</v>
      </c>
    </row>
    <row r="3517" customFormat="false" ht="15" hidden="false" customHeight="false" outlineLevel="0" collapsed="false">
      <c r="A3517" s="10" t="s">
        <v>5858</v>
      </c>
      <c r="B3517" s="10" t="s">
        <v>77</v>
      </c>
      <c r="C3517" s="10" t="s">
        <v>48</v>
      </c>
      <c r="D3517" s="10" t="s">
        <v>961</v>
      </c>
      <c r="E3517" s="10" t="s">
        <v>2345</v>
      </c>
      <c r="F3517" s="30" t="n">
        <v>42858</v>
      </c>
      <c r="G3517" s="30" t="n">
        <v>42955</v>
      </c>
      <c r="H3517" s="26" t="n">
        <f aca="false">G3517-F3517</f>
        <v>97</v>
      </c>
      <c r="I3517" s="10" t="n">
        <f aca="false">IF(E3517="Won",1,0)</f>
        <v>0</v>
      </c>
    </row>
    <row r="3518" customFormat="false" ht="15" hidden="false" customHeight="false" outlineLevel="0" collapsed="false">
      <c r="A3518" s="10" t="s">
        <v>5859</v>
      </c>
      <c r="B3518" s="10" t="s">
        <v>74</v>
      </c>
      <c r="C3518" s="10" t="s">
        <v>52</v>
      </c>
      <c r="D3518" s="10" t="s">
        <v>1948</v>
      </c>
      <c r="E3518" s="10" t="s">
        <v>2345</v>
      </c>
      <c r="F3518" s="30" t="n">
        <v>42872</v>
      </c>
      <c r="G3518" s="30" t="n">
        <v>42955</v>
      </c>
      <c r="H3518" s="26" t="n">
        <f aca="false">G3518-F3518</f>
        <v>83</v>
      </c>
      <c r="I3518" s="10" t="n">
        <f aca="false">IF(E3518="Won",1,0)</f>
        <v>0</v>
      </c>
    </row>
    <row r="3519" customFormat="false" ht="15" hidden="false" customHeight="false" outlineLevel="0" collapsed="false">
      <c r="A3519" s="10" t="s">
        <v>5860</v>
      </c>
      <c r="B3519" s="10" t="s">
        <v>96</v>
      </c>
      <c r="C3519" s="10" t="s">
        <v>50</v>
      </c>
      <c r="D3519" s="10" t="s">
        <v>497</v>
      </c>
      <c r="E3519" s="10" t="s">
        <v>2342</v>
      </c>
      <c r="F3519" s="30" t="n">
        <v>42862</v>
      </c>
      <c r="G3519" s="30" t="n">
        <v>42955</v>
      </c>
      <c r="H3519" s="26" t="n">
        <f aca="false">G3519-F3519</f>
        <v>93</v>
      </c>
      <c r="I3519" s="10" t="n">
        <f aca="false">IF(E3519="Won",1,0)</f>
        <v>1</v>
      </c>
    </row>
    <row r="3520" customFormat="false" ht="15" hidden="false" customHeight="false" outlineLevel="0" collapsed="false">
      <c r="A3520" s="10" t="s">
        <v>5861</v>
      </c>
      <c r="B3520" s="10" t="s">
        <v>90</v>
      </c>
      <c r="C3520" s="10" t="s">
        <v>48</v>
      </c>
      <c r="D3520" s="10" t="s">
        <v>692</v>
      </c>
      <c r="E3520" s="10" t="s">
        <v>2342</v>
      </c>
      <c r="F3520" s="30" t="n">
        <v>42945</v>
      </c>
      <c r="G3520" s="30" t="n">
        <v>42955</v>
      </c>
      <c r="H3520" s="26" t="n">
        <f aca="false">G3520-F3520</f>
        <v>10</v>
      </c>
      <c r="I3520" s="10" t="n">
        <f aca="false">IF(E3520="Won",1,0)</f>
        <v>1</v>
      </c>
    </row>
    <row r="3521" customFormat="false" ht="15" hidden="false" customHeight="false" outlineLevel="0" collapsed="false">
      <c r="A3521" s="10" t="s">
        <v>5862</v>
      </c>
      <c r="B3521" s="10" t="s">
        <v>93</v>
      </c>
      <c r="C3521" s="10" t="s">
        <v>48</v>
      </c>
      <c r="D3521" s="10" t="s">
        <v>286</v>
      </c>
      <c r="E3521" s="10" t="s">
        <v>2342</v>
      </c>
      <c r="F3521" s="30" t="n">
        <v>42945</v>
      </c>
      <c r="G3521" s="30" t="n">
        <v>42955</v>
      </c>
      <c r="H3521" s="26" t="n">
        <f aca="false">G3521-F3521</f>
        <v>10</v>
      </c>
      <c r="I3521" s="10" t="n">
        <f aca="false">IF(E3521="Won",1,0)</f>
        <v>1</v>
      </c>
    </row>
    <row r="3522" customFormat="false" ht="15" hidden="false" customHeight="false" outlineLevel="0" collapsed="false">
      <c r="A3522" s="10" t="s">
        <v>5863</v>
      </c>
      <c r="B3522" s="10" t="s">
        <v>66</v>
      </c>
      <c r="C3522" s="10" t="s">
        <v>51</v>
      </c>
      <c r="D3522" s="10" t="s">
        <v>483</v>
      </c>
      <c r="E3522" s="10" t="s">
        <v>2342</v>
      </c>
      <c r="F3522" s="30" t="n">
        <v>42872</v>
      </c>
      <c r="G3522" s="30" t="n">
        <v>42955</v>
      </c>
      <c r="H3522" s="26" t="n">
        <f aca="false">G3522-F3522</f>
        <v>83</v>
      </c>
      <c r="I3522" s="10" t="n">
        <f aca="false">IF(E3522="Won",1,0)</f>
        <v>1</v>
      </c>
    </row>
    <row r="3523" customFormat="false" ht="15" hidden="false" customHeight="false" outlineLevel="0" collapsed="false">
      <c r="A3523" s="10" t="s">
        <v>5864</v>
      </c>
      <c r="B3523" s="10" t="s">
        <v>79</v>
      </c>
      <c r="C3523" s="10" t="s">
        <v>52</v>
      </c>
      <c r="D3523" s="10" t="s">
        <v>267</v>
      </c>
      <c r="E3523" s="10" t="s">
        <v>2342</v>
      </c>
      <c r="F3523" s="30" t="n">
        <v>42867</v>
      </c>
      <c r="G3523" s="30" t="n">
        <v>42956</v>
      </c>
      <c r="H3523" s="26" t="n">
        <f aca="false">G3523-F3523</f>
        <v>89</v>
      </c>
      <c r="I3523" s="10" t="n">
        <f aca="false">IF(E3523="Won",1,0)</f>
        <v>1</v>
      </c>
    </row>
    <row r="3524" customFormat="false" ht="15" hidden="false" customHeight="false" outlineLevel="0" collapsed="false">
      <c r="A3524" s="10" t="s">
        <v>5865</v>
      </c>
      <c r="B3524" s="10" t="s">
        <v>77</v>
      </c>
      <c r="C3524" s="10" t="s">
        <v>50</v>
      </c>
      <c r="D3524" s="10" t="s">
        <v>762</v>
      </c>
      <c r="E3524" s="10" t="s">
        <v>2345</v>
      </c>
      <c r="F3524" s="30" t="n">
        <v>42851</v>
      </c>
      <c r="G3524" s="30" t="n">
        <v>42956</v>
      </c>
      <c r="H3524" s="26" t="n">
        <f aca="false">G3524-F3524</f>
        <v>105</v>
      </c>
      <c r="I3524" s="10" t="n">
        <f aca="false">IF(E3524="Won",1,0)</f>
        <v>0</v>
      </c>
    </row>
    <row r="3525" customFormat="false" ht="15" hidden="false" customHeight="false" outlineLevel="0" collapsed="false">
      <c r="A3525" s="10" t="s">
        <v>5866</v>
      </c>
      <c r="B3525" s="10" t="s">
        <v>86</v>
      </c>
      <c r="C3525" s="10" t="s">
        <v>49</v>
      </c>
      <c r="D3525" s="10" t="s">
        <v>185</v>
      </c>
      <c r="E3525" s="10" t="s">
        <v>2342</v>
      </c>
      <c r="F3525" s="30" t="n">
        <v>42892</v>
      </c>
      <c r="G3525" s="30" t="n">
        <v>42956</v>
      </c>
      <c r="H3525" s="26" t="n">
        <f aca="false">G3525-F3525</f>
        <v>64</v>
      </c>
      <c r="I3525" s="10" t="n">
        <f aca="false">IF(E3525="Won",1,0)</f>
        <v>1</v>
      </c>
    </row>
    <row r="3526" customFormat="false" ht="15" hidden="false" customHeight="false" outlineLevel="0" collapsed="false">
      <c r="A3526" s="10" t="s">
        <v>5867</v>
      </c>
      <c r="B3526" s="10" t="s">
        <v>83</v>
      </c>
      <c r="C3526" s="10" t="s">
        <v>51</v>
      </c>
      <c r="D3526" s="10" t="s">
        <v>193</v>
      </c>
      <c r="E3526" s="10" t="s">
        <v>2342</v>
      </c>
      <c r="F3526" s="30" t="n">
        <v>42915</v>
      </c>
      <c r="G3526" s="30" t="n">
        <v>42956</v>
      </c>
      <c r="H3526" s="26" t="n">
        <f aca="false">G3526-F3526</f>
        <v>41</v>
      </c>
      <c r="I3526" s="10" t="n">
        <f aca="false">IF(E3526="Won",1,0)</f>
        <v>1</v>
      </c>
    </row>
    <row r="3527" customFormat="false" ht="15" hidden="false" customHeight="false" outlineLevel="0" collapsed="false">
      <c r="A3527" s="10" t="s">
        <v>5868</v>
      </c>
      <c r="B3527" s="10" t="s">
        <v>77</v>
      </c>
      <c r="C3527" s="10" t="s">
        <v>48</v>
      </c>
      <c r="D3527" s="10" t="s">
        <v>1948</v>
      </c>
      <c r="E3527" s="10" t="s">
        <v>2342</v>
      </c>
      <c r="F3527" s="30" t="n">
        <v>42943</v>
      </c>
      <c r="G3527" s="30" t="n">
        <v>42956</v>
      </c>
      <c r="H3527" s="26" t="n">
        <f aca="false">G3527-F3527</f>
        <v>13</v>
      </c>
      <c r="I3527" s="10" t="n">
        <f aca="false">IF(E3527="Won",1,0)</f>
        <v>1</v>
      </c>
    </row>
    <row r="3528" customFormat="false" ht="15" hidden="false" customHeight="false" outlineLevel="0" collapsed="false">
      <c r="A3528" s="10" t="s">
        <v>5869</v>
      </c>
      <c r="B3528" s="10" t="s">
        <v>86</v>
      </c>
      <c r="C3528" s="10" t="s">
        <v>49</v>
      </c>
      <c r="D3528" s="10" t="s">
        <v>637</v>
      </c>
      <c r="E3528" s="10" t="s">
        <v>2342</v>
      </c>
      <c r="F3528" s="30" t="n">
        <v>42948</v>
      </c>
      <c r="G3528" s="30" t="n">
        <v>42956</v>
      </c>
      <c r="H3528" s="26" t="n">
        <f aca="false">G3528-F3528</f>
        <v>8</v>
      </c>
      <c r="I3528" s="10" t="n">
        <f aca="false">IF(E3528="Won",1,0)</f>
        <v>1</v>
      </c>
    </row>
    <row r="3529" customFormat="false" ht="15" hidden="false" customHeight="false" outlineLevel="0" collapsed="false">
      <c r="A3529" s="10" t="s">
        <v>5870</v>
      </c>
      <c r="B3529" s="10" t="s">
        <v>74</v>
      </c>
      <c r="C3529" s="10" t="s">
        <v>51</v>
      </c>
      <c r="D3529" s="10" t="s">
        <v>660</v>
      </c>
      <c r="E3529" s="10" t="s">
        <v>2342</v>
      </c>
      <c r="F3529" s="30" t="n">
        <v>42946</v>
      </c>
      <c r="G3529" s="30" t="n">
        <v>42956</v>
      </c>
      <c r="H3529" s="26" t="n">
        <f aca="false">G3529-F3529</f>
        <v>10</v>
      </c>
      <c r="I3529" s="10" t="n">
        <f aca="false">IF(E3529="Won",1,0)</f>
        <v>1</v>
      </c>
    </row>
    <row r="3530" customFormat="false" ht="15" hidden="false" customHeight="false" outlineLevel="0" collapsed="false">
      <c r="A3530" s="10" t="s">
        <v>5871</v>
      </c>
      <c r="B3530" s="10" t="s">
        <v>86</v>
      </c>
      <c r="C3530" s="10" t="s">
        <v>48</v>
      </c>
      <c r="D3530" s="10" t="s">
        <v>1334</v>
      </c>
      <c r="E3530" s="10" t="s">
        <v>2345</v>
      </c>
      <c r="F3530" s="30" t="n">
        <v>42851</v>
      </c>
      <c r="G3530" s="30" t="n">
        <v>42956</v>
      </c>
      <c r="H3530" s="26" t="n">
        <f aca="false">G3530-F3530</f>
        <v>105</v>
      </c>
      <c r="I3530" s="10" t="n">
        <f aca="false">IF(E3530="Won",1,0)</f>
        <v>0</v>
      </c>
    </row>
    <row r="3531" customFormat="false" ht="15" hidden="false" customHeight="false" outlineLevel="0" collapsed="false">
      <c r="A3531" s="10" t="s">
        <v>5872</v>
      </c>
      <c r="B3531" s="10" t="s">
        <v>94</v>
      </c>
      <c r="C3531" s="10" t="s">
        <v>50</v>
      </c>
      <c r="D3531" s="10" t="s">
        <v>522</v>
      </c>
      <c r="E3531" s="10" t="s">
        <v>2342</v>
      </c>
      <c r="F3531" s="30" t="n">
        <v>42946</v>
      </c>
      <c r="G3531" s="30" t="n">
        <v>42956</v>
      </c>
      <c r="H3531" s="26" t="n">
        <f aca="false">G3531-F3531</f>
        <v>10</v>
      </c>
      <c r="I3531" s="10" t="n">
        <f aca="false">IF(E3531="Won",1,0)</f>
        <v>1</v>
      </c>
    </row>
    <row r="3532" customFormat="false" ht="15" hidden="false" customHeight="false" outlineLevel="0" collapsed="false">
      <c r="A3532" s="10" t="s">
        <v>5873</v>
      </c>
      <c r="B3532" s="10" t="s">
        <v>73</v>
      </c>
      <c r="C3532" s="10" t="s">
        <v>52</v>
      </c>
      <c r="D3532" s="10" t="s">
        <v>512</v>
      </c>
      <c r="E3532" s="10" t="s">
        <v>2342</v>
      </c>
      <c r="F3532" s="30" t="n">
        <v>42864</v>
      </c>
      <c r="G3532" s="30" t="n">
        <v>42956</v>
      </c>
      <c r="H3532" s="26" t="n">
        <f aca="false">G3532-F3532</f>
        <v>92</v>
      </c>
      <c r="I3532" s="10" t="n">
        <f aca="false">IF(E3532="Won",1,0)</f>
        <v>1</v>
      </c>
    </row>
    <row r="3533" customFormat="false" ht="15" hidden="false" customHeight="false" outlineLevel="0" collapsed="false">
      <c r="A3533" s="10" t="s">
        <v>5874</v>
      </c>
      <c r="B3533" s="10" t="s">
        <v>77</v>
      </c>
      <c r="C3533" s="10" t="s">
        <v>48</v>
      </c>
      <c r="D3533" s="10" t="s">
        <v>961</v>
      </c>
      <c r="E3533" s="10" t="s">
        <v>2342</v>
      </c>
      <c r="F3533" s="30" t="n">
        <v>42841</v>
      </c>
      <c r="G3533" s="30" t="n">
        <v>42956</v>
      </c>
      <c r="H3533" s="26" t="n">
        <f aca="false">G3533-F3533</f>
        <v>115</v>
      </c>
      <c r="I3533" s="10" t="n">
        <f aca="false">IF(E3533="Won",1,0)</f>
        <v>1</v>
      </c>
    </row>
    <row r="3534" customFormat="false" ht="15" hidden="false" customHeight="false" outlineLevel="0" collapsed="false">
      <c r="A3534" s="10" t="s">
        <v>5875</v>
      </c>
      <c r="B3534" s="10" t="s">
        <v>83</v>
      </c>
      <c r="C3534" s="10" t="s">
        <v>52</v>
      </c>
      <c r="D3534" s="10" t="s">
        <v>512</v>
      </c>
      <c r="E3534" s="10" t="s">
        <v>2342</v>
      </c>
      <c r="F3534" s="30" t="n">
        <v>42875</v>
      </c>
      <c r="G3534" s="30" t="n">
        <v>42956</v>
      </c>
      <c r="H3534" s="26" t="n">
        <f aca="false">G3534-F3534</f>
        <v>81</v>
      </c>
      <c r="I3534" s="10" t="n">
        <f aca="false">IF(E3534="Won",1,0)</f>
        <v>1</v>
      </c>
    </row>
    <row r="3535" customFormat="false" ht="15" hidden="false" customHeight="false" outlineLevel="0" collapsed="false">
      <c r="A3535" s="10" t="s">
        <v>5876</v>
      </c>
      <c r="B3535" s="10" t="s">
        <v>61</v>
      </c>
      <c r="C3535" s="10" t="s">
        <v>52</v>
      </c>
      <c r="D3535" s="10" t="s">
        <v>233</v>
      </c>
      <c r="E3535" s="10" t="s">
        <v>2342</v>
      </c>
      <c r="F3535" s="30" t="n">
        <v>42861</v>
      </c>
      <c r="G3535" s="30" t="n">
        <v>42956</v>
      </c>
      <c r="H3535" s="26" t="n">
        <f aca="false">G3535-F3535</f>
        <v>95</v>
      </c>
      <c r="I3535" s="10" t="n">
        <f aca="false">IF(E3535="Won",1,0)</f>
        <v>1</v>
      </c>
    </row>
    <row r="3536" customFormat="false" ht="15" hidden="false" customHeight="false" outlineLevel="0" collapsed="false">
      <c r="A3536" s="10" t="s">
        <v>5877</v>
      </c>
      <c r="B3536" s="10" t="s">
        <v>87</v>
      </c>
      <c r="C3536" s="10" t="s">
        <v>49</v>
      </c>
      <c r="D3536" s="10" t="s">
        <v>254</v>
      </c>
      <c r="E3536" s="10" t="s">
        <v>2345</v>
      </c>
      <c r="F3536" s="30" t="n">
        <v>42955</v>
      </c>
      <c r="G3536" s="30" t="n">
        <v>42956</v>
      </c>
      <c r="H3536" s="26" t="n">
        <f aca="false">G3536-F3536</f>
        <v>1</v>
      </c>
      <c r="I3536" s="10" t="n">
        <f aca="false">IF(E3536="Won",1,0)</f>
        <v>0</v>
      </c>
    </row>
    <row r="3537" customFormat="false" ht="15" hidden="false" customHeight="false" outlineLevel="0" collapsed="false">
      <c r="A3537" s="10" t="s">
        <v>5878</v>
      </c>
      <c r="B3537" s="10" t="s">
        <v>88</v>
      </c>
      <c r="C3537" s="10" t="s">
        <v>47</v>
      </c>
      <c r="D3537" s="10" t="s">
        <v>350</v>
      </c>
      <c r="E3537" s="10" t="s">
        <v>2345</v>
      </c>
      <c r="F3537" s="30" t="n">
        <v>42868</v>
      </c>
      <c r="G3537" s="30" t="n">
        <v>42956</v>
      </c>
      <c r="H3537" s="26" t="n">
        <f aca="false">G3537-F3537</f>
        <v>88</v>
      </c>
      <c r="I3537" s="10" t="n">
        <f aca="false">IF(E3537="Won",1,0)</f>
        <v>0</v>
      </c>
    </row>
    <row r="3538" customFormat="false" ht="15" hidden="false" customHeight="false" outlineLevel="0" collapsed="false">
      <c r="A3538" s="10" t="s">
        <v>5879</v>
      </c>
      <c r="B3538" s="10" t="s">
        <v>80</v>
      </c>
      <c r="C3538" s="10" t="s">
        <v>49</v>
      </c>
      <c r="D3538" s="10" t="s">
        <v>660</v>
      </c>
      <c r="E3538" s="10" t="s">
        <v>2342</v>
      </c>
      <c r="F3538" s="30" t="n">
        <v>42880</v>
      </c>
      <c r="G3538" s="30" t="n">
        <v>42956</v>
      </c>
      <c r="H3538" s="26" t="n">
        <f aca="false">G3538-F3538</f>
        <v>76</v>
      </c>
      <c r="I3538" s="10" t="n">
        <f aca="false">IF(E3538="Won",1,0)</f>
        <v>1</v>
      </c>
    </row>
    <row r="3539" customFormat="false" ht="15" hidden="false" customHeight="false" outlineLevel="0" collapsed="false">
      <c r="A3539" s="10" t="s">
        <v>5880</v>
      </c>
      <c r="B3539" s="10" t="s">
        <v>77</v>
      </c>
      <c r="C3539" s="10" t="s">
        <v>48</v>
      </c>
      <c r="D3539" s="10" t="s">
        <v>279</v>
      </c>
      <c r="E3539" s="10" t="s">
        <v>2342</v>
      </c>
      <c r="F3539" s="30" t="n">
        <v>42875</v>
      </c>
      <c r="G3539" s="30" t="n">
        <v>42956</v>
      </c>
      <c r="H3539" s="26" t="n">
        <f aca="false">G3539-F3539</f>
        <v>81</v>
      </c>
      <c r="I3539" s="10" t="n">
        <f aca="false">IF(E3539="Won",1,0)</f>
        <v>1</v>
      </c>
    </row>
    <row r="3540" customFormat="false" ht="15" hidden="false" customHeight="false" outlineLevel="0" collapsed="false">
      <c r="A3540" s="10" t="s">
        <v>5881</v>
      </c>
      <c r="B3540" s="10" t="s">
        <v>84</v>
      </c>
      <c r="C3540" s="10" t="s">
        <v>52</v>
      </c>
      <c r="D3540" s="10" t="s">
        <v>332</v>
      </c>
      <c r="E3540" s="10" t="s">
        <v>2342</v>
      </c>
      <c r="F3540" s="30" t="n">
        <v>42876</v>
      </c>
      <c r="G3540" s="30" t="n">
        <v>42956</v>
      </c>
      <c r="H3540" s="26" t="n">
        <f aca="false">G3540-F3540</f>
        <v>80</v>
      </c>
      <c r="I3540" s="10" t="n">
        <f aca="false">IF(E3540="Won",1,0)</f>
        <v>1</v>
      </c>
    </row>
    <row r="3541" customFormat="false" ht="15" hidden="false" customHeight="false" outlineLevel="0" collapsed="false">
      <c r="A3541" s="10" t="s">
        <v>5882</v>
      </c>
      <c r="B3541" s="10" t="s">
        <v>76</v>
      </c>
      <c r="C3541" s="10" t="s">
        <v>52</v>
      </c>
      <c r="D3541" s="10" t="s">
        <v>410</v>
      </c>
      <c r="E3541" s="10" t="s">
        <v>2342</v>
      </c>
      <c r="F3541" s="30" t="n">
        <v>42857</v>
      </c>
      <c r="G3541" s="30" t="n">
        <v>42956</v>
      </c>
      <c r="H3541" s="26" t="n">
        <f aca="false">G3541-F3541</f>
        <v>99</v>
      </c>
      <c r="I3541" s="10" t="n">
        <f aca="false">IF(E3541="Won",1,0)</f>
        <v>1</v>
      </c>
    </row>
    <row r="3542" customFormat="false" ht="15" hidden="false" customHeight="false" outlineLevel="0" collapsed="false">
      <c r="A3542" s="10" t="s">
        <v>5883</v>
      </c>
      <c r="B3542" s="10" t="s">
        <v>75</v>
      </c>
      <c r="C3542" s="10" t="s">
        <v>49</v>
      </c>
      <c r="D3542" s="10" t="s">
        <v>422</v>
      </c>
      <c r="E3542" s="10" t="s">
        <v>2345</v>
      </c>
      <c r="F3542" s="30" t="n">
        <v>42881</v>
      </c>
      <c r="G3542" s="30" t="n">
        <v>42956</v>
      </c>
      <c r="H3542" s="26" t="n">
        <f aca="false">G3542-F3542</f>
        <v>75</v>
      </c>
      <c r="I3542" s="10" t="n">
        <f aca="false">IF(E3542="Won",1,0)</f>
        <v>0</v>
      </c>
    </row>
    <row r="3543" customFormat="false" ht="15" hidden="false" customHeight="false" outlineLevel="0" collapsed="false">
      <c r="A3543" s="10" t="s">
        <v>5884</v>
      </c>
      <c r="B3543" s="10" t="s">
        <v>76</v>
      </c>
      <c r="C3543" s="10" t="s">
        <v>51</v>
      </c>
      <c r="D3543" s="10" t="s">
        <v>947</v>
      </c>
      <c r="E3543" s="10" t="s">
        <v>2342</v>
      </c>
      <c r="F3543" s="30" t="n">
        <v>42859</v>
      </c>
      <c r="G3543" s="30" t="n">
        <v>42956</v>
      </c>
      <c r="H3543" s="26" t="n">
        <f aca="false">G3543-F3543</f>
        <v>97</v>
      </c>
      <c r="I3543" s="10" t="n">
        <f aca="false">IF(E3543="Won",1,0)</f>
        <v>1</v>
      </c>
    </row>
    <row r="3544" customFormat="false" ht="15" hidden="false" customHeight="false" outlineLevel="0" collapsed="false">
      <c r="A3544" s="10" t="s">
        <v>5885</v>
      </c>
      <c r="B3544" s="10" t="s">
        <v>66</v>
      </c>
      <c r="C3544" s="10" t="s">
        <v>49</v>
      </c>
      <c r="D3544" s="10" t="s">
        <v>487</v>
      </c>
      <c r="E3544" s="10" t="s">
        <v>2345</v>
      </c>
      <c r="F3544" s="30" t="n">
        <v>42887</v>
      </c>
      <c r="G3544" s="30" t="n">
        <v>42956</v>
      </c>
      <c r="H3544" s="26" t="n">
        <f aca="false">G3544-F3544</f>
        <v>69</v>
      </c>
      <c r="I3544" s="10" t="n">
        <f aca="false">IF(E3544="Won",1,0)</f>
        <v>0</v>
      </c>
    </row>
    <row r="3545" customFormat="false" ht="15" hidden="false" customHeight="false" outlineLevel="0" collapsed="false">
      <c r="A3545" s="10" t="s">
        <v>5886</v>
      </c>
      <c r="B3545" s="10" t="s">
        <v>74</v>
      </c>
      <c r="C3545" s="10" t="s">
        <v>51</v>
      </c>
      <c r="D3545" s="10" t="s">
        <v>311</v>
      </c>
      <c r="E3545" s="10" t="s">
        <v>2342</v>
      </c>
      <c r="F3545" s="30" t="n">
        <v>42888</v>
      </c>
      <c r="G3545" s="30" t="n">
        <v>42956</v>
      </c>
      <c r="H3545" s="26" t="n">
        <f aca="false">G3545-F3545</f>
        <v>68</v>
      </c>
      <c r="I3545" s="10" t="n">
        <f aca="false">IF(E3545="Won",1,0)</f>
        <v>1</v>
      </c>
    </row>
    <row r="3546" customFormat="false" ht="15" hidden="false" customHeight="false" outlineLevel="0" collapsed="false">
      <c r="A3546" s="10" t="s">
        <v>5887</v>
      </c>
      <c r="B3546" s="10" t="s">
        <v>88</v>
      </c>
      <c r="C3546" s="10" t="s">
        <v>49</v>
      </c>
      <c r="D3546" s="10" t="s">
        <v>464</v>
      </c>
      <c r="E3546" s="10" t="s">
        <v>2342</v>
      </c>
      <c r="F3546" s="30" t="n">
        <v>42906</v>
      </c>
      <c r="G3546" s="30" t="n">
        <v>42956</v>
      </c>
      <c r="H3546" s="26" t="n">
        <f aca="false">G3546-F3546</f>
        <v>50</v>
      </c>
      <c r="I3546" s="10" t="n">
        <f aca="false">IF(E3546="Won",1,0)</f>
        <v>1</v>
      </c>
    </row>
    <row r="3547" customFormat="false" ht="15" hidden="false" customHeight="false" outlineLevel="0" collapsed="false">
      <c r="A3547" s="10" t="s">
        <v>5888</v>
      </c>
      <c r="B3547" s="10" t="s">
        <v>73</v>
      </c>
      <c r="C3547" s="10" t="s">
        <v>50</v>
      </c>
      <c r="D3547" s="10" t="s">
        <v>961</v>
      </c>
      <c r="E3547" s="10" t="s">
        <v>2342</v>
      </c>
      <c r="F3547" s="30" t="n">
        <v>42911</v>
      </c>
      <c r="G3547" s="30" t="n">
        <v>42956</v>
      </c>
      <c r="H3547" s="26" t="n">
        <f aca="false">G3547-F3547</f>
        <v>45</v>
      </c>
      <c r="I3547" s="10" t="n">
        <f aca="false">IF(E3547="Won",1,0)</f>
        <v>1</v>
      </c>
    </row>
    <row r="3548" customFormat="false" ht="15" hidden="false" customHeight="false" outlineLevel="0" collapsed="false">
      <c r="A3548" s="10" t="s">
        <v>5889</v>
      </c>
      <c r="B3548" s="10" t="s">
        <v>95</v>
      </c>
      <c r="C3548" s="10" t="s">
        <v>50</v>
      </c>
      <c r="D3548" s="10" t="s">
        <v>384</v>
      </c>
      <c r="E3548" s="10" t="s">
        <v>2342</v>
      </c>
      <c r="F3548" s="30" t="n">
        <v>42929</v>
      </c>
      <c r="G3548" s="30" t="n">
        <v>42956</v>
      </c>
      <c r="H3548" s="26" t="n">
        <f aca="false">G3548-F3548</f>
        <v>27</v>
      </c>
      <c r="I3548" s="10" t="n">
        <f aca="false">IF(E3548="Won",1,0)</f>
        <v>1</v>
      </c>
    </row>
    <row r="3549" customFormat="false" ht="15" hidden="false" customHeight="false" outlineLevel="0" collapsed="false">
      <c r="A3549" s="10" t="s">
        <v>5890</v>
      </c>
      <c r="B3549" s="10" t="s">
        <v>68</v>
      </c>
      <c r="C3549" s="10" t="s">
        <v>50</v>
      </c>
      <c r="D3549" s="10" t="s">
        <v>233</v>
      </c>
      <c r="E3549" s="10" t="s">
        <v>2342</v>
      </c>
      <c r="F3549" s="30" t="n">
        <v>42897</v>
      </c>
      <c r="G3549" s="30" t="n">
        <v>42957</v>
      </c>
      <c r="H3549" s="26" t="n">
        <f aca="false">G3549-F3549</f>
        <v>60</v>
      </c>
      <c r="I3549" s="10" t="n">
        <f aca="false">IF(E3549="Won",1,0)</f>
        <v>1</v>
      </c>
    </row>
    <row r="3550" customFormat="false" ht="15" hidden="false" customHeight="false" outlineLevel="0" collapsed="false">
      <c r="A3550" s="10" t="s">
        <v>5891</v>
      </c>
      <c r="B3550" s="10" t="s">
        <v>84</v>
      </c>
      <c r="C3550" s="10" t="s">
        <v>50</v>
      </c>
      <c r="D3550" s="10" t="s">
        <v>441</v>
      </c>
      <c r="E3550" s="10" t="s">
        <v>2342</v>
      </c>
      <c r="F3550" s="30" t="n">
        <v>42881</v>
      </c>
      <c r="G3550" s="30" t="n">
        <v>42957</v>
      </c>
      <c r="H3550" s="26" t="n">
        <f aca="false">G3550-F3550</f>
        <v>76</v>
      </c>
      <c r="I3550" s="10" t="n">
        <f aca="false">IF(E3550="Won",1,0)</f>
        <v>1</v>
      </c>
    </row>
    <row r="3551" customFormat="false" ht="15" hidden="false" customHeight="false" outlineLevel="0" collapsed="false">
      <c r="A3551" s="10" t="s">
        <v>5892</v>
      </c>
      <c r="B3551" s="10" t="s">
        <v>81</v>
      </c>
      <c r="C3551" s="10" t="s">
        <v>52</v>
      </c>
      <c r="D3551" s="10" t="s">
        <v>259</v>
      </c>
      <c r="E3551" s="10" t="s">
        <v>2345</v>
      </c>
      <c r="F3551" s="30" t="n">
        <v>42870</v>
      </c>
      <c r="G3551" s="30" t="n">
        <v>42957</v>
      </c>
      <c r="H3551" s="26" t="n">
        <f aca="false">G3551-F3551</f>
        <v>87</v>
      </c>
      <c r="I3551" s="10" t="n">
        <f aca="false">IF(E3551="Won",1,0)</f>
        <v>0</v>
      </c>
    </row>
    <row r="3552" customFormat="false" ht="15" hidden="false" customHeight="false" outlineLevel="0" collapsed="false">
      <c r="A3552" s="10" t="s">
        <v>5893</v>
      </c>
      <c r="B3552" s="10" t="s">
        <v>76</v>
      </c>
      <c r="C3552" s="10" t="s">
        <v>52</v>
      </c>
      <c r="D3552" s="10" t="s">
        <v>291</v>
      </c>
      <c r="E3552" s="10" t="s">
        <v>2345</v>
      </c>
      <c r="F3552" s="30" t="n">
        <v>42945</v>
      </c>
      <c r="G3552" s="30" t="n">
        <v>42957</v>
      </c>
      <c r="H3552" s="26" t="n">
        <f aca="false">G3552-F3552</f>
        <v>12</v>
      </c>
      <c r="I3552" s="10" t="n">
        <f aca="false">IF(E3552="Won",1,0)</f>
        <v>0</v>
      </c>
    </row>
    <row r="3553" customFormat="false" ht="15" hidden="false" customHeight="false" outlineLevel="0" collapsed="false">
      <c r="A3553" s="10" t="s">
        <v>5894</v>
      </c>
      <c r="B3553" s="10" t="s">
        <v>96</v>
      </c>
      <c r="C3553" s="10" t="s">
        <v>50</v>
      </c>
      <c r="D3553" s="10" t="s">
        <v>286</v>
      </c>
      <c r="E3553" s="10" t="s">
        <v>2342</v>
      </c>
      <c r="F3553" s="30" t="n">
        <v>42956</v>
      </c>
      <c r="G3553" s="30" t="n">
        <v>42957</v>
      </c>
      <c r="H3553" s="26" t="n">
        <f aca="false">G3553-F3553</f>
        <v>1</v>
      </c>
      <c r="I3553" s="10" t="n">
        <f aca="false">IF(E3553="Won",1,0)</f>
        <v>1</v>
      </c>
    </row>
    <row r="3554" customFormat="false" ht="15" hidden="false" customHeight="false" outlineLevel="0" collapsed="false">
      <c r="A3554" s="10" t="s">
        <v>5895</v>
      </c>
      <c r="B3554" s="10" t="s">
        <v>80</v>
      </c>
      <c r="C3554" s="10" t="s">
        <v>50</v>
      </c>
      <c r="D3554" s="10" t="s">
        <v>414</v>
      </c>
      <c r="E3554" s="10" t="s">
        <v>2342</v>
      </c>
      <c r="F3554" s="30" t="n">
        <v>42862</v>
      </c>
      <c r="G3554" s="30" t="n">
        <v>42957</v>
      </c>
      <c r="H3554" s="26" t="n">
        <f aca="false">G3554-F3554</f>
        <v>95</v>
      </c>
      <c r="I3554" s="10" t="n">
        <f aca="false">IF(E3554="Won",1,0)</f>
        <v>1</v>
      </c>
    </row>
    <row r="3555" customFormat="false" ht="15" hidden="false" customHeight="false" outlineLevel="0" collapsed="false">
      <c r="A3555" s="10" t="s">
        <v>5896</v>
      </c>
      <c r="B3555" s="10" t="s">
        <v>87</v>
      </c>
      <c r="C3555" s="10" t="s">
        <v>50</v>
      </c>
      <c r="D3555" s="10" t="s">
        <v>274</v>
      </c>
      <c r="E3555" s="10" t="s">
        <v>2342</v>
      </c>
      <c r="F3555" s="30" t="n">
        <v>42946</v>
      </c>
      <c r="G3555" s="30" t="n">
        <v>42957</v>
      </c>
      <c r="H3555" s="26" t="n">
        <f aca="false">G3555-F3555</f>
        <v>11</v>
      </c>
      <c r="I3555" s="10" t="n">
        <f aca="false">IF(E3555="Won",1,0)</f>
        <v>1</v>
      </c>
    </row>
    <row r="3556" customFormat="false" ht="15" hidden="false" customHeight="false" outlineLevel="0" collapsed="false">
      <c r="A3556" s="10" t="s">
        <v>5897</v>
      </c>
      <c r="B3556" s="10" t="s">
        <v>76</v>
      </c>
      <c r="C3556" s="10" t="s">
        <v>52</v>
      </c>
      <c r="D3556" s="10" t="s">
        <v>291</v>
      </c>
      <c r="E3556" s="10" t="s">
        <v>2342</v>
      </c>
      <c r="F3556" s="30" t="n">
        <v>42947</v>
      </c>
      <c r="G3556" s="30" t="n">
        <v>42957</v>
      </c>
      <c r="H3556" s="26" t="n">
        <f aca="false">G3556-F3556</f>
        <v>10</v>
      </c>
      <c r="I3556" s="10" t="n">
        <f aca="false">IF(E3556="Won",1,0)</f>
        <v>1</v>
      </c>
    </row>
    <row r="3557" customFormat="false" ht="15" hidden="false" customHeight="false" outlineLevel="0" collapsed="false">
      <c r="A3557" s="10" t="s">
        <v>5898</v>
      </c>
      <c r="B3557" s="10" t="s">
        <v>68</v>
      </c>
      <c r="C3557" s="10" t="s">
        <v>49</v>
      </c>
      <c r="D3557" s="10" t="s">
        <v>432</v>
      </c>
      <c r="E3557" s="10" t="s">
        <v>2342</v>
      </c>
      <c r="F3557" s="30" t="n">
        <v>42947</v>
      </c>
      <c r="G3557" s="30" t="n">
        <v>42957</v>
      </c>
      <c r="H3557" s="26" t="n">
        <f aca="false">G3557-F3557</f>
        <v>10</v>
      </c>
      <c r="I3557" s="10" t="n">
        <f aca="false">IF(E3557="Won",1,0)</f>
        <v>1</v>
      </c>
    </row>
    <row r="3558" customFormat="false" ht="15" hidden="false" customHeight="false" outlineLevel="0" collapsed="false">
      <c r="A3558" s="10" t="s">
        <v>5899</v>
      </c>
      <c r="B3558" s="10" t="s">
        <v>93</v>
      </c>
      <c r="C3558" s="10" t="s">
        <v>51</v>
      </c>
      <c r="D3558" s="10" t="s">
        <v>419</v>
      </c>
      <c r="E3558" s="10" t="s">
        <v>2342</v>
      </c>
      <c r="F3558" s="30" t="n">
        <v>42914</v>
      </c>
      <c r="G3558" s="30" t="n">
        <v>42957</v>
      </c>
      <c r="H3558" s="26" t="n">
        <f aca="false">G3558-F3558</f>
        <v>43</v>
      </c>
      <c r="I3558" s="10" t="n">
        <f aca="false">IF(E3558="Won",1,0)</f>
        <v>1</v>
      </c>
    </row>
    <row r="3559" customFormat="false" ht="15" hidden="false" customHeight="false" outlineLevel="0" collapsed="false">
      <c r="A3559" s="10" t="s">
        <v>5900</v>
      </c>
      <c r="B3559" s="10" t="s">
        <v>94</v>
      </c>
      <c r="C3559" s="10" t="s">
        <v>50</v>
      </c>
      <c r="D3559" s="10" t="s">
        <v>483</v>
      </c>
      <c r="E3559" s="10" t="s">
        <v>2342</v>
      </c>
      <c r="F3559" s="30" t="n">
        <v>42863</v>
      </c>
      <c r="G3559" s="30" t="n">
        <v>42957</v>
      </c>
      <c r="H3559" s="26" t="n">
        <f aca="false">G3559-F3559</f>
        <v>94</v>
      </c>
      <c r="I3559" s="10" t="n">
        <f aca="false">IF(E3559="Won",1,0)</f>
        <v>1</v>
      </c>
    </row>
    <row r="3560" customFormat="false" ht="15" hidden="false" customHeight="false" outlineLevel="0" collapsed="false">
      <c r="A3560" s="10" t="s">
        <v>5901</v>
      </c>
      <c r="B3560" s="10" t="s">
        <v>88</v>
      </c>
      <c r="C3560" s="10" t="s">
        <v>51</v>
      </c>
      <c r="D3560" s="10" t="s">
        <v>210</v>
      </c>
      <c r="E3560" s="10" t="s">
        <v>2342</v>
      </c>
      <c r="F3560" s="30" t="n">
        <v>42885</v>
      </c>
      <c r="G3560" s="30" t="n">
        <v>42957</v>
      </c>
      <c r="H3560" s="26" t="n">
        <f aca="false">G3560-F3560</f>
        <v>72</v>
      </c>
      <c r="I3560" s="10" t="n">
        <f aca="false">IF(E3560="Won",1,0)</f>
        <v>1</v>
      </c>
    </row>
    <row r="3561" customFormat="false" ht="15" hidden="false" customHeight="false" outlineLevel="0" collapsed="false">
      <c r="A3561" s="10" t="s">
        <v>5902</v>
      </c>
      <c r="B3561" s="10" t="s">
        <v>88</v>
      </c>
      <c r="C3561" s="10" t="s">
        <v>48</v>
      </c>
      <c r="D3561" s="10" t="s">
        <v>1118</v>
      </c>
      <c r="E3561" s="10" t="s">
        <v>2342</v>
      </c>
      <c r="F3561" s="30" t="n">
        <v>42873</v>
      </c>
      <c r="G3561" s="30" t="n">
        <v>42957</v>
      </c>
      <c r="H3561" s="26" t="n">
        <f aca="false">G3561-F3561</f>
        <v>84</v>
      </c>
      <c r="I3561" s="10" t="n">
        <f aca="false">IF(E3561="Won",1,0)</f>
        <v>1</v>
      </c>
    </row>
    <row r="3562" customFormat="false" ht="15" hidden="false" customHeight="false" outlineLevel="0" collapsed="false">
      <c r="A3562" s="10" t="s">
        <v>5903</v>
      </c>
      <c r="B3562" s="10" t="s">
        <v>86</v>
      </c>
      <c r="C3562" s="10" t="s">
        <v>50</v>
      </c>
      <c r="D3562" s="10" t="s">
        <v>405</v>
      </c>
      <c r="E3562" s="10" t="s">
        <v>2342</v>
      </c>
      <c r="F3562" s="30" t="n">
        <v>42845</v>
      </c>
      <c r="G3562" s="30" t="n">
        <v>42957</v>
      </c>
      <c r="H3562" s="26" t="n">
        <f aca="false">G3562-F3562</f>
        <v>112</v>
      </c>
      <c r="I3562" s="10" t="n">
        <f aca="false">IF(E3562="Won",1,0)</f>
        <v>1</v>
      </c>
    </row>
    <row r="3563" customFormat="false" ht="15" hidden="false" customHeight="false" outlineLevel="0" collapsed="false">
      <c r="A3563" s="10" t="s">
        <v>5904</v>
      </c>
      <c r="B3563" s="10" t="s">
        <v>79</v>
      </c>
      <c r="C3563" s="10" t="s">
        <v>48</v>
      </c>
      <c r="D3563" s="10" t="s">
        <v>410</v>
      </c>
      <c r="E3563" s="10" t="s">
        <v>2342</v>
      </c>
      <c r="F3563" s="30" t="n">
        <v>42865</v>
      </c>
      <c r="G3563" s="30" t="n">
        <v>42957</v>
      </c>
      <c r="H3563" s="26" t="n">
        <f aca="false">G3563-F3563</f>
        <v>92</v>
      </c>
      <c r="I3563" s="10" t="n">
        <f aca="false">IF(E3563="Won",1,0)</f>
        <v>1</v>
      </c>
    </row>
    <row r="3564" customFormat="false" ht="15" hidden="false" customHeight="false" outlineLevel="0" collapsed="false">
      <c r="A3564" s="10" t="s">
        <v>5905</v>
      </c>
      <c r="B3564" s="10" t="s">
        <v>75</v>
      </c>
      <c r="C3564" s="10" t="s">
        <v>47</v>
      </c>
      <c r="D3564" s="10" t="s">
        <v>1948</v>
      </c>
      <c r="E3564" s="10" t="s">
        <v>2345</v>
      </c>
      <c r="F3564" s="30" t="n">
        <v>42944</v>
      </c>
      <c r="G3564" s="30" t="n">
        <v>42957</v>
      </c>
      <c r="H3564" s="26" t="n">
        <f aca="false">G3564-F3564</f>
        <v>13</v>
      </c>
      <c r="I3564" s="10" t="n">
        <f aca="false">IF(E3564="Won",1,0)</f>
        <v>0</v>
      </c>
    </row>
    <row r="3565" customFormat="false" ht="15" hidden="false" customHeight="false" outlineLevel="0" collapsed="false">
      <c r="A3565" s="10" t="s">
        <v>5906</v>
      </c>
      <c r="B3565" s="10" t="s">
        <v>62</v>
      </c>
      <c r="C3565" s="10" t="s">
        <v>52</v>
      </c>
      <c r="D3565" s="10" t="s">
        <v>274</v>
      </c>
      <c r="E3565" s="10" t="s">
        <v>2342</v>
      </c>
      <c r="F3565" s="30" t="n">
        <v>42949</v>
      </c>
      <c r="G3565" s="30" t="n">
        <v>42957</v>
      </c>
      <c r="H3565" s="26" t="n">
        <f aca="false">G3565-F3565</f>
        <v>8</v>
      </c>
      <c r="I3565" s="10" t="n">
        <f aca="false">IF(E3565="Won",1,0)</f>
        <v>1</v>
      </c>
    </row>
    <row r="3566" customFormat="false" ht="15" hidden="false" customHeight="false" outlineLevel="0" collapsed="false">
      <c r="A3566" s="10" t="s">
        <v>5907</v>
      </c>
      <c r="B3566" s="10" t="s">
        <v>70</v>
      </c>
      <c r="C3566" s="10" t="s">
        <v>51</v>
      </c>
      <c r="D3566" s="10" t="s">
        <v>199</v>
      </c>
      <c r="E3566" s="10" t="s">
        <v>2345</v>
      </c>
      <c r="F3566" s="30" t="n">
        <v>42849</v>
      </c>
      <c r="G3566" s="30" t="n">
        <v>42957</v>
      </c>
      <c r="H3566" s="26" t="n">
        <f aca="false">G3566-F3566</f>
        <v>108</v>
      </c>
      <c r="I3566" s="10" t="n">
        <f aca="false">IF(E3566="Won",1,0)</f>
        <v>0</v>
      </c>
    </row>
    <row r="3567" customFormat="false" ht="15" hidden="false" customHeight="false" outlineLevel="0" collapsed="false">
      <c r="A3567" s="10" t="s">
        <v>5908</v>
      </c>
      <c r="B3567" s="10" t="s">
        <v>90</v>
      </c>
      <c r="C3567" s="10" t="s">
        <v>48</v>
      </c>
      <c r="D3567" s="10" t="s">
        <v>185</v>
      </c>
      <c r="E3567" s="10" t="s">
        <v>2345</v>
      </c>
      <c r="F3567" s="30" t="n">
        <v>42951</v>
      </c>
      <c r="G3567" s="30" t="n">
        <v>42957</v>
      </c>
      <c r="H3567" s="26" t="n">
        <f aca="false">G3567-F3567</f>
        <v>6</v>
      </c>
      <c r="I3567" s="10" t="n">
        <f aca="false">IF(E3567="Won",1,0)</f>
        <v>0</v>
      </c>
    </row>
    <row r="3568" customFormat="false" ht="15" hidden="false" customHeight="false" outlineLevel="0" collapsed="false">
      <c r="A3568" s="10" t="s">
        <v>5909</v>
      </c>
      <c r="B3568" s="10" t="s">
        <v>74</v>
      </c>
      <c r="C3568" s="10" t="s">
        <v>51</v>
      </c>
      <c r="D3568" s="10" t="s">
        <v>422</v>
      </c>
      <c r="E3568" s="10" t="s">
        <v>2345</v>
      </c>
      <c r="F3568" s="30" t="n">
        <v>42912</v>
      </c>
      <c r="G3568" s="30" t="n">
        <v>42957</v>
      </c>
      <c r="H3568" s="26" t="n">
        <f aca="false">G3568-F3568</f>
        <v>45</v>
      </c>
      <c r="I3568" s="10" t="n">
        <f aca="false">IF(E3568="Won",1,0)</f>
        <v>0</v>
      </c>
    </row>
    <row r="3569" customFormat="false" ht="15" hidden="false" customHeight="false" outlineLevel="0" collapsed="false">
      <c r="A3569" s="10" t="s">
        <v>5910</v>
      </c>
      <c r="B3569" s="10" t="s">
        <v>90</v>
      </c>
      <c r="C3569" s="10" t="s">
        <v>52</v>
      </c>
      <c r="D3569" s="10" t="s">
        <v>1334</v>
      </c>
      <c r="E3569" s="10" t="s">
        <v>2342</v>
      </c>
      <c r="F3569" s="30" t="n">
        <v>42944</v>
      </c>
      <c r="G3569" s="30" t="n">
        <v>42957</v>
      </c>
      <c r="H3569" s="26" t="n">
        <f aca="false">G3569-F3569</f>
        <v>13</v>
      </c>
      <c r="I3569" s="10" t="n">
        <f aca="false">IF(E3569="Won",1,0)</f>
        <v>1</v>
      </c>
    </row>
    <row r="3570" customFormat="false" ht="15" hidden="false" customHeight="false" outlineLevel="0" collapsed="false">
      <c r="A3570" s="10" t="s">
        <v>5911</v>
      </c>
      <c r="B3570" s="10" t="s">
        <v>67</v>
      </c>
      <c r="C3570" s="10" t="s">
        <v>49</v>
      </c>
      <c r="D3570" s="10" t="s">
        <v>168</v>
      </c>
      <c r="E3570" s="10" t="s">
        <v>2345</v>
      </c>
      <c r="F3570" s="30" t="n">
        <v>42949</v>
      </c>
      <c r="G3570" s="30" t="n">
        <v>42957</v>
      </c>
      <c r="H3570" s="26" t="n">
        <f aca="false">G3570-F3570</f>
        <v>8</v>
      </c>
      <c r="I3570" s="10" t="n">
        <f aca="false">IF(E3570="Won",1,0)</f>
        <v>0</v>
      </c>
    </row>
    <row r="3571" customFormat="false" ht="15" hidden="false" customHeight="false" outlineLevel="0" collapsed="false">
      <c r="A3571" s="10" t="s">
        <v>5912</v>
      </c>
      <c r="B3571" s="10" t="s">
        <v>93</v>
      </c>
      <c r="C3571" s="10" t="s">
        <v>51</v>
      </c>
      <c r="D3571" s="10" t="s">
        <v>337</v>
      </c>
      <c r="E3571" s="10" t="s">
        <v>2342</v>
      </c>
      <c r="F3571" s="30" t="n">
        <v>42897</v>
      </c>
      <c r="G3571" s="30" t="n">
        <v>42957</v>
      </c>
      <c r="H3571" s="26" t="n">
        <f aca="false">G3571-F3571</f>
        <v>60</v>
      </c>
      <c r="I3571" s="10" t="n">
        <f aca="false">IF(E3571="Won",1,0)</f>
        <v>1</v>
      </c>
    </row>
    <row r="3572" customFormat="false" ht="15" hidden="false" customHeight="false" outlineLevel="0" collapsed="false">
      <c r="A3572" s="10" t="s">
        <v>5913</v>
      </c>
      <c r="B3572" s="10" t="s">
        <v>94</v>
      </c>
      <c r="C3572" s="10" t="s">
        <v>51</v>
      </c>
      <c r="D3572" s="10" t="s">
        <v>396</v>
      </c>
      <c r="E3572" s="10" t="s">
        <v>2342</v>
      </c>
      <c r="F3572" s="30" t="n">
        <v>42943</v>
      </c>
      <c r="G3572" s="30" t="n">
        <v>42957</v>
      </c>
      <c r="H3572" s="26" t="n">
        <f aca="false">G3572-F3572</f>
        <v>14</v>
      </c>
      <c r="I3572" s="10" t="n">
        <f aca="false">IF(E3572="Won",1,0)</f>
        <v>1</v>
      </c>
    </row>
    <row r="3573" customFormat="false" ht="15" hidden="false" customHeight="false" outlineLevel="0" collapsed="false">
      <c r="A3573" s="10" t="s">
        <v>5914</v>
      </c>
      <c r="B3573" s="10" t="s">
        <v>73</v>
      </c>
      <c r="C3573" s="10" t="s">
        <v>49</v>
      </c>
      <c r="D3573" s="10" t="s">
        <v>388</v>
      </c>
      <c r="E3573" s="10" t="s">
        <v>2342</v>
      </c>
      <c r="F3573" s="30" t="n">
        <v>42855</v>
      </c>
      <c r="G3573" s="30" t="n">
        <v>42957</v>
      </c>
      <c r="H3573" s="26" t="n">
        <f aca="false">G3573-F3573</f>
        <v>102</v>
      </c>
      <c r="I3573" s="10" t="n">
        <f aca="false">IF(E3573="Won",1,0)</f>
        <v>1</v>
      </c>
    </row>
    <row r="3574" customFormat="false" ht="15" hidden="false" customHeight="false" outlineLevel="0" collapsed="false">
      <c r="A3574" s="10" t="s">
        <v>5915</v>
      </c>
      <c r="B3574" s="10" t="s">
        <v>95</v>
      </c>
      <c r="C3574" s="10" t="s">
        <v>52</v>
      </c>
      <c r="D3574" s="10" t="s">
        <v>396</v>
      </c>
      <c r="E3574" s="10" t="s">
        <v>2342</v>
      </c>
      <c r="F3574" s="30" t="n">
        <v>42942</v>
      </c>
      <c r="G3574" s="30" t="n">
        <v>42957</v>
      </c>
      <c r="H3574" s="26" t="n">
        <f aca="false">G3574-F3574</f>
        <v>15</v>
      </c>
      <c r="I3574" s="10" t="n">
        <f aca="false">IF(E3574="Won",1,0)</f>
        <v>1</v>
      </c>
    </row>
    <row r="3575" customFormat="false" ht="15" hidden="false" customHeight="false" outlineLevel="0" collapsed="false">
      <c r="A3575" s="10" t="s">
        <v>5916</v>
      </c>
      <c r="B3575" s="10" t="s">
        <v>77</v>
      </c>
      <c r="C3575" s="10" t="s">
        <v>48</v>
      </c>
      <c r="D3575" s="10" t="s">
        <v>311</v>
      </c>
      <c r="E3575" s="10" t="s">
        <v>2345</v>
      </c>
      <c r="F3575" s="30" t="n">
        <v>42846</v>
      </c>
      <c r="G3575" s="30" t="n">
        <v>42957</v>
      </c>
      <c r="H3575" s="26" t="n">
        <f aca="false">G3575-F3575</f>
        <v>111</v>
      </c>
      <c r="I3575" s="10" t="n">
        <f aca="false">IF(E3575="Won",1,0)</f>
        <v>0</v>
      </c>
    </row>
    <row r="3576" customFormat="false" ht="15" hidden="false" customHeight="false" outlineLevel="0" collapsed="false">
      <c r="A3576" s="10" t="s">
        <v>5917</v>
      </c>
      <c r="B3576" s="10" t="s">
        <v>88</v>
      </c>
      <c r="C3576" s="10" t="s">
        <v>48</v>
      </c>
      <c r="D3576" s="10" t="s">
        <v>1118</v>
      </c>
      <c r="E3576" s="10" t="s">
        <v>2342</v>
      </c>
      <c r="F3576" s="30" t="n">
        <v>42921</v>
      </c>
      <c r="G3576" s="30" t="n">
        <v>42957</v>
      </c>
      <c r="H3576" s="26" t="n">
        <f aca="false">G3576-F3576</f>
        <v>36</v>
      </c>
      <c r="I3576" s="10" t="n">
        <f aca="false">IF(E3576="Won",1,0)</f>
        <v>1</v>
      </c>
    </row>
    <row r="3577" customFormat="false" ht="15" hidden="false" customHeight="false" outlineLevel="0" collapsed="false">
      <c r="A3577" s="10" t="s">
        <v>5918</v>
      </c>
      <c r="B3577" s="10" t="s">
        <v>70</v>
      </c>
      <c r="C3577" s="10" t="s">
        <v>50</v>
      </c>
      <c r="D3577" s="10" t="s">
        <v>711</v>
      </c>
      <c r="E3577" s="10" t="s">
        <v>2342</v>
      </c>
      <c r="F3577" s="30" t="n">
        <v>42860</v>
      </c>
      <c r="G3577" s="30" t="n">
        <v>42957</v>
      </c>
      <c r="H3577" s="26" t="n">
        <f aca="false">G3577-F3577</f>
        <v>97</v>
      </c>
      <c r="I3577" s="10" t="n">
        <f aca="false">IF(E3577="Won",1,0)</f>
        <v>1</v>
      </c>
    </row>
    <row r="3578" customFormat="false" ht="15" hidden="false" customHeight="false" outlineLevel="0" collapsed="false">
      <c r="A3578" s="10" t="s">
        <v>5919</v>
      </c>
      <c r="B3578" s="10" t="s">
        <v>83</v>
      </c>
      <c r="C3578" s="10" t="s">
        <v>51</v>
      </c>
      <c r="D3578" s="10" t="s">
        <v>291</v>
      </c>
      <c r="E3578" s="10" t="s">
        <v>2345</v>
      </c>
      <c r="F3578" s="30" t="n">
        <v>42870</v>
      </c>
      <c r="G3578" s="30" t="n">
        <v>42958</v>
      </c>
      <c r="H3578" s="26" t="n">
        <f aca="false">G3578-F3578</f>
        <v>88</v>
      </c>
      <c r="I3578" s="10" t="n">
        <f aca="false">IF(E3578="Won",1,0)</f>
        <v>0</v>
      </c>
    </row>
    <row r="3579" customFormat="false" ht="15" hidden="false" customHeight="false" outlineLevel="0" collapsed="false">
      <c r="A3579" s="10" t="s">
        <v>5920</v>
      </c>
      <c r="B3579" s="10" t="s">
        <v>71</v>
      </c>
      <c r="C3579" s="10" t="s">
        <v>51</v>
      </c>
      <c r="D3579" s="10" t="s">
        <v>422</v>
      </c>
      <c r="E3579" s="10" t="s">
        <v>2342</v>
      </c>
      <c r="F3579" s="30" t="n">
        <v>42876</v>
      </c>
      <c r="G3579" s="30" t="n">
        <v>42958</v>
      </c>
      <c r="H3579" s="26" t="n">
        <f aca="false">G3579-F3579</f>
        <v>82</v>
      </c>
      <c r="I3579" s="10" t="n">
        <f aca="false">IF(E3579="Won",1,0)</f>
        <v>1</v>
      </c>
    </row>
    <row r="3580" customFormat="false" ht="15" hidden="false" customHeight="false" outlineLevel="0" collapsed="false">
      <c r="A3580" s="10" t="s">
        <v>5921</v>
      </c>
      <c r="B3580" s="10" t="s">
        <v>71</v>
      </c>
      <c r="C3580" s="10" t="s">
        <v>49</v>
      </c>
      <c r="D3580" s="10" t="s">
        <v>388</v>
      </c>
      <c r="E3580" s="10" t="s">
        <v>2345</v>
      </c>
      <c r="F3580" s="30" t="n">
        <v>42908</v>
      </c>
      <c r="G3580" s="30" t="n">
        <v>42958</v>
      </c>
      <c r="H3580" s="26" t="n">
        <f aca="false">G3580-F3580</f>
        <v>50</v>
      </c>
      <c r="I3580" s="10" t="n">
        <f aca="false">IF(E3580="Won",1,0)</f>
        <v>0</v>
      </c>
    </row>
    <row r="3581" customFormat="false" ht="15" hidden="false" customHeight="false" outlineLevel="0" collapsed="false">
      <c r="A3581" s="10" t="s">
        <v>5922</v>
      </c>
      <c r="B3581" s="10" t="s">
        <v>77</v>
      </c>
      <c r="C3581" s="10" t="s">
        <v>50</v>
      </c>
      <c r="D3581" s="10" t="s">
        <v>369</v>
      </c>
      <c r="E3581" s="10" t="s">
        <v>2342</v>
      </c>
      <c r="F3581" s="30" t="n">
        <v>42872</v>
      </c>
      <c r="G3581" s="30" t="n">
        <v>42958</v>
      </c>
      <c r="H3581" s="26" t="n">
        <f aca="false">G3581-F3581</f>
        <v>86</v>
      </c>
      <c r="I3581" s="10" t="n">
        <f aca="false">IF(E3581="Won",1,0)</f>
        <v>1</v>
      </c>
    </row>
    <row r="3582" customFormat="false" ht="15" hidden="false" customHeight="false" outlineLevel="0" collapsed="false">
      <c r="A3582" s="10" t="s">
        <v>5923</v>
      </c>
      <c r="B3582" s="10" t="s">
        <v>93</v>
      </c>
      <c r="C3582" s="10" t="s">
        <v>49</v>
      </c>
      <c r="D3582" s="10" t="s">
        <v>168</v>
      </c>
      <c r="E3582" s="10" t="s">
        <v>2345</v>
      </c>
      <c r="F3582" s="30" t="n">
        <v>42865</v>
      </c>
      <c r="G3582" s="30" t="n">
        <v>42958</v>
      </c>
      <c r="H3582" s="26" t="n">
        <f aca="false">G3582-F3582</f>
        <v>93</v>
      </c>
      <c r="I3582" s="10" t="n">
        <f aca="false">IF(E3582="Won",1,0)</f>
        <v>0</v>
      </c>
    </row>
    <row r="3583" customFormat="false" ht="15" hidden="false" customHeight="false" outlineLevel="0" collapsed="false">
      <c r="A3583" s="10" t="s">
        <v>5924</v>
      </c>
      <c r="B3583" s="10" t="s">
        <v>76</v>
      </c>
      <c r="C3583" s="10" t="s">
        <v>49</v>
      </c>
      <c r="D3583" s="10" t="s">
        <v>279</v>
      </c>
      <c r="E3583" s="10" t="s">
        <v>2342</v>
      </c>
      <c r="F3583" s="30" t="n">
        <v>42878</v>
      </c>
      <c r="G3583" s="30" t="n">
        <v>42958</v>
      </c>
      <c r="H3583" s="26" t="n">
        <f aca="false">G3583-F3583</f>
        <v>80</v>
      </c>
      <c r="I3583" s="10" t="n">
        <f aca="false">IF(E3583="Won",1,0)</f>
        <v>1</v>
      </c>
    </row>
    <row r="3584" customFormat="false" ht="15" hidden="false" customHeight="false" outlineLevel="0" collapsed="false">
      <c r="A3584" s="10" t="s">
        <v>5925</v>
      </c>
      <c r="B3584" s="10" t="s">
        <v>94</v>
      </c>
      <c r="C3584" s="10" t="s">
        <v>52</v>
      </c>
      <c r="D3584" s="10" t="s">
        <v>487</v>
      </c>
      <c r="E3584" s="10" t="s">
        <v>2342</v>
      </c>
      <c r="F3584" s="30" t="n">
        <v>42907</v>
      </c>
      <c r="G3584" s="30" t="n">
        <v>42958</v>
      </c>
      <c r="H3584" s="26" t="n">
        <f aca="false">G3584-F3584</f>
        <v>51</v>
      </c>
      <c r="I3584" s="10" t="n">
        <f aca="false">IF(E3584="Won",1,0)</f>
        <v>1</v>
      </c>
    </row>
    <row r="3585" customFormat="false" ht="15" hidden="false" customHeight="false" outlineLevel="0" collapsed="false">
      <c r="A3585" s="10" t="s">
        <v>5926</v>
      </c>
      <c r="B3585" s="10" t="s">
        <v>88</v>
      </c>
      <c r="C3585" s="10" t="s">
        <v>48</v>
      </c>
      <c r="D3585" s="10" t="s">
        <v>185</v>
      </c>
      <c r="E3585" s="10" t="s">
        <v>2345</v>
      </c>
      <c r="F3585" s="30" t="n">
        <v>42946</v>
      </c>
      <c r="G3585" s="30" t="n">
        <v>42958</v>
      </c>
      <c r="H3585" s="26" t="n">
        <f aca="false">G3585-F3585</f>
        <v>12</v>
      </c>
      <c r="I3585" s="10" t="n">
        <f aca="false">IF(E3585="Won",1,0)</f>
        <v>0</v>
      </c>
    </row>
    <row r="3586" customFormat="false" ht="15" hidden="false" customHeight="false" outlineLevel="0" collapsed="false">
      <c r="A3586" s="10" t="s">
        <v>5927</v>
      </c>
      <c r="B3586" s="10" t="s">
        <v>80</v>
      </c>
      <c r="C3586" s="10" t="s">
        <v>50</v>
      </c>
      <c r="D3586" s="10" t="s">
        <v>961</v>
      </c>
      <c r="E3586" s="10" t="s">
        <v>2342</v>
      </c>
      <c r="F3586" s="30" t="n">
        <v>42917</v>
      </c>
      <c r="G3586" s="30" t="n">
        <v>42958</v>
      </c>
      <c r="H3586" s="26" t="n">
        <f aca="false">G3586-F3586</f>
        <v>41</v>
      </c>
      <c r="I3586" s="10" t="n">
        <f aca="false">IF(E3586="Won",1,0)</f>
        <v>1</v>
      </c>
    </row>
    <row r="3587" customFormat="false" ht="15" hidden="false" customHeight="false" outlineLevel="0" collapsed="false">
      <c r="A3587" s="10" t="s">
        <v>5928</v>
      </c>
      <c r="B3587" s="10" t="s">
        <v>77</v>
      </c>
      <c r="C3587" s="10" t="s">
        <v>51</v>
      </c>
      <c r="D3587" s="10" t="s">
        <v>291</v>
      </c>
      <c r="E3587" s="10" t="s">
        <v>2342</v>
      </c>
      <c r="F3587" s="30" t="n">
        <v>42858</v>
      </c>
      <c r="G3587" s="30" t="n">
        <v>42958</v>
      </c>
      <c r="H3587" s="26" t="n">
        <f aca="false">G3587-F3587</f>
        <v>100</v>
      </c>
      <c r="I3587" s="10" t="n">
        <f aca="false">IF(E3587="Won",1,0)</f>
        <v>1</v>
      </c>
    </row>
    <row r="3588" customFormat="false" ht="15" hidden="false" customHeight="false" outlineLevel="0" collapsed="false">
      <c r="A3588" s="10" t="s">
        <v>5929</v>
      </c>
      <c r="B3588" s="10" t="s">
        <v>96</v>
      </c>
      <c r="C3588" s="10" t="s">
        <v>52</v>
      </c>
      <c r="D3588" s="10" t="s">
        <v>396</v>
      </c>
      <c r="E3588" s="10" t="s">
        <v>2342</v>
      </c>
      <c r="F3588" s="30" t="n">
        <v>42876</v>
      </c>
      <c r="G3588" s="30" t="n">
        <v>42958</v>
      </c>
      <c r="H3588" s="26" t="n">
        <f aca="false">G3588-F3588</f>
        <v>82</v>
      </c>
      <c r="I3588" s="10" t="n">
        <f aca="false">IF(E3588="Won",1,0)</f>
        <v>1</v>
      </c>
    </row>
    <row r="3589" customFormat="false" ht="15" hidden="false" customHeight="false" outlineLevel="0" collapsed="false">
      <c r="A3589" s="10" t="s">
        <v>5930</v>
      </c>
      <c r="B3589" s="10" t="s">
        <v>88</v>
      </c>
      <c r="C3589" s="10" t="s">
        <v>49</v>
      </c>
      <c r="D3589" s="10" t="s">
        <v>455</v>
      </c>
      <c r="E3589" s="10" t="s">
        <v>2342</v>
      </c>
      <c r="F3589" s="30" t="n">
        <v>42950</v>
      </c>
      <c r="G3589" s="30" t="n">
        <v>42958</v>
      </c>
      <c r="H3589" s="26" t="n">
        <f aca="false">G3589-F3589</f>
        <v>8</v>
      </c>
      <c r="I3589" s="10" t="n">
        <f aca="false">IF(E3589="Won",1,0)</f>
        <v>1</v>
      </c>
    </row>
    <row r="3590" customFormat="false" ht="15" hidden="false" customHeight="false" outlineLevel="0" collapsed="false">
      <c r="A3590" s="10" t="s">
        <v>5931</v>
      </c>
      <c r="B3590" s="10" t="s">
        <v>90</v>
      </c>
      <c r="C3590" s="10" t="s">
        <v>48</v>
      </c>
      <c r="D3590" s="10" t="s">
        <v>637</v>
      </c>
      <c r="E3590" s="10" t="s">
        <v>2342</v>
      </c>
      <c r="F3590" s="30" t="n">
        <v>42950</v>
      </c>
      <c r="G3590" s="30" t="n">
        <v>42958</v>
      </c>
      <c r="H3590" s="26" t="n">
        <f aca="false">G3590-F3590</f>
        <v>8</v>
      </c>
      <c r="I3590" s="10" t="n">
        <f aca="false">IF(E3590="Won",1,0)</f>
        <v>1</v>
      </c>
    </row>
    <row r="3591" customFormat="false" ht="15" hidden="false" customHeight="false" outlineLevel="0" collapsed="false">
      <c r="A3591" s="10" t="s">
        <v>5932</v>
      </c>
      <c r="B3591" s="10" t="s">
        <v>57</v>
      </c>
      <c r="C3591" s="10" t="s">
        <v>51</v>
      </c>
      <c r="D3591" s="10" t="s">
        <v>185</v>
      </c>
      <c r="E3591" s="10" t="s">
        <v>2342</v>
      </c>
      <c r="F3591" s="30" t="n">
        <v>42855</v>
      </c>
      <c r="G3591" s="30" t="n">
        <v>42958</v>
      </c>
      <c r="H3591" s="26" t="n">
        <f aca="false">G3591-F3591</f>
        <v>103</v>
      </c>
      <c r="I3591" s="10" t="n">
        <f aca="false">IF(E3591="Won",1,0)</f>
        <v>1</v>
      </c>
    </row>
    <row r="3592" customFormat="false" ht="15" hidden="false" customHeight="false" outlineLevel="0" collapsed="false">
      <c r="A3592" s="10" t="s">
        <v>5933</v>
      </c>
      <c r="B3592" s="10" t="s">
        <v>88</v>
      </c>
      <c r="C3592" s="10" t="s">
        <v>48</v>
      </c>
      <c r="D3592" s="10" t="s">
        <v>286</v>
      </c>
      <c r="E3592" s="10" t="s">
        <v>2342</v>
      </c>
      <c r="F3592" s="30" t="n">
        <v>42951</v>
      </c>
      <c r="G3592" s="30" t="n">
        <v>42958</v>
      </c>
      <c r="H3592" s="26" t="n">
        <f aca="false">G3592-F3592</f>
        <v>7</v>
      </c>
      <c r="I3592" s="10" t="n">
        <f aca="false">IF(E3592="Won",1,0)</f>
        <v>1</v>
      </c>
    </row>
    <row r="3593" customFormat="false" ht="15" hidden="false" customHeight="false" outlineLevel="0" collapsed="false">
      <c r="A3593" s="10" t="s">
        <v>5934</v>
      </c>
      <c r="B3593" s="10" t="s">
        <v>76</v>
      </c>
      <c r="C3593" s="10" t="s">
        <v>50</v>
      </c>
      <c r="D3593" s="10" t="s">
        <v>291</v>
      </c>
      <c r="E3593" s="10" t="s">
        <v>2342</v>
      </c>
      <c r="F3593" s="30" t="n">
        <v>42867</v>
      </c>
      <c r="G3593" s="30" t="n">
        <v>42958</v>
      </c>
      <c r="H3593" s="26" t="n">
        <f aca="false">G3593-F3593</f>
        <v>91</v>
      </c>
      <c r="I3593" s="10" t="n">
        <f aca="false">IF(E3593="Won",1,0)</f>
        <v>1</v>
      </c>
    </row>
    <row r="3594" customFormat="false" ht="15" hidden="false" customHeight="false" outlineLevel="0" collapsed="false">
      <c r="A3594" s="10" t="s">
        <v>5935</v>
      </c>
      <c r="B3594" s="10" t="s">
        <v>88</v>
      </c>
      <c r="C3594" s="10" t="s">
        <v>49</v>
      </c>
      <c r="D3594" s="10" t="s">
        <v>692</v>
      </c>
      <c r="E3594" s="10" t="s">
        <v>2342</v>
      </c>
      <c r="F3594" s="30" t="n">
        <v>42953</v>
      </c>
      <c r="G3594" s="30" t="n">
        <v>42958</v>
      </c>
      <c r="H3594" s="26" t="n">
        <f aca="false">G3594-F3594</f>
        <v>5</v>
      </c>
      <c r="I3594" s="10" t="n">
        <f aca="false">IF(E3594="Won",1,0)</f>
        <v>1</v>
      </c>
    </row>
    <row r="3595" customFormat="false" ht="15" hidden="false" customHeight="false" outlineLevel="0" collapsed="false">
      <c r="A3595" s="10" t="s">
        <v>5936</v>
      </c>
      <c r="B3595" s="10" t="s">
        <v>74</v>
      </c>
      <c r="C3595" s="10" t="s">
        <v>51</v>
      </c>
      <c r="D3595" s="10" t="s">
        <v>524</v>
      </c>
      <c r="E3595" s="10" t="s">
        <v>2342</v>
      </c>
      <c r="F3595" s="30" t="n">
        <v>42855</v>
      </c>
      <c r="G3595" s="30" t="n">
        <v>42958</v>
      </c>
      <c r="H3595" s="26" t="n">
        <f aca="false">G3595-F3595</f>
        <v>103</v>
      </c>
      <c r="I3595" s="10" t="n">
        <f aca="false">IF(E3595="Won",1,0)</f>
        <v>1</v>
      </c>
    </row>
    <row r="3596" customFormat="false" ht="15" hidden="false" customHeight="false" outlineLevel="0" collapsed="false">
      <c r="A3596" s="10" t="s">
        <v>5937</v>
      </c>
      <c r="B3596" s="10" t="s">
        <v>60</v>
      </c>
      <c r="C3596" s="10" t="s">
        <v>47</v>
      </c>
      <c r="D3596" s="10" t="s">
        <v>1397</v>
      </c>
      <c r="E3596" s="10" t="s">
        <v>2345</v>
      </c>
      <c r="F3596" s="30" t="n">
        <v>42852</v>
      </c>
      <c r="G3596" s="30" t="n">
        <v>42958</v>
      </c>
      <c r="H3596" s="26" t="n">
        <f aca="false">G3596-F3596</f>
        <v>106</v>
      </c>
      <c r="I3596" s="10" t="n">
        <f aca="false">IF(E3596="Won",1,0)</f>
        <v>0</v>
      </c>
    </row>
    <row r="3597" customFormat="false" ht="15" hidden="false" customHeight="false" outlineLevel="0" collapsed="false">
      <c r="A3597" s="10" t="s">
        <v>5938</v>
      </c>
      <c r="B3597" s="10" t="s">
        <v>88</v>
      </c>
      <c r="C3597" s="10" t="s">
        <v>48</v>
      </c>
      <c r="D3597" s="10" t="s">
        <v>185</v>
      </c>
      <c r="E3597" s="10" t="s">
        <v>2342</v>
      </c>
      <c r="F3597" s="30" t="n">
        <v>42955</v>
      </c>
      <c r="G3597" s="30" t="n">
        <v>42958</v>
      </c>
      <c r="H3597" s="26" t="n">
        <f aca="false">G3597-F3597</f>
        <v>3</v>
      </c>
      <c r="I3597" s="10" t="n">
        <f aca="false">IF(E3597="Won",1,0)</f>
        <v>1</v>
      </c>
    </row>
    <row r="3598" customFormat="false" ht="15" hidden="false" customHeight="false" outlineLevel="0" collapsed="false">
      <c r="A3598" s="10" t="s">
        <v>5939</v>
      </c>
      <c r="B3598" s="10" t="s">
        <v>73</v>
      </c>
      <c r="C3598" s="10" t="s">
        <v>51</v>
      </c>
      <c r="D3598" s="10" t="s">
        <v>483</v>
      </c>
      <c r="E3598" s="10" t="s">
        <v>2345</v>
      </c>
      <c r="F3598" s="30" t="n">
        <v>42914</v>
      </c>
      <c r="G3598" s="30" t="n">
        <v>42958</v>
      </c>
      <c r="H3598" s="26" t="n">
        <f aca="false">G3598-F3598</f>
        <v>44</v>
      </c>
      <c r="I3598" s="10" t="n">
        <f aca="false">IF(E3598="Won",1,0)</f>
        <v>0</v>
      </c>
    </row>
    <row r="3599" customFormat="false" ht="15" hidden="false" customHeight="false" outlineLevel="0" collapsed="false">
      <c r="A3599" s="10" t="s">
        <v>5940</v>
      </c>
      <c r="B3599" s="10" t="s">
        <v>77</v>
      </c>
      <c r="C3599" s="10" t="s">
        <v>48</v>
      </c>
      <c r="D3599" s="10" t="s">
        <v>422</v>
      </c>
      <c r="E3599" s="10" t="s">
        <v>2342</v>
      </c>
      <c r="F3599" s="30" t="n">
        <v>42866</v>
      </c>
      <c r="G3599" s="30" t="n">
        <v>42958</v>
      </c>
      <c r="H3599" s="26" t="n">
        <f aca="false">G3599-F3599</f>
        <v>92</v>
      </c>
      <c r="I3599" s="10" t="n">
        <f aca="false">IF(E3599="Won",1,0)</f>
        <v>1</v>
      </c>
    </row>
    <row r="3600" customFormat="false" ht="15" hidden="false" customHeight="false" outlineLevel="0" collapsed="false">
      <c r="A3600" s="10" t="s">
        <v>5941</v>
      </c>
      <c r="B3600" s="10" t="s">
        <v>80</v>
      </c>
      <c r="C3600" s="10" t="s">
        <v>51</v>
      </c>
      <c r="D3600" s="10" t="s">
        <v>483</v>
      </c>
      <c r="E3600" s="10" t="s">
        <v>2342</v>
      </c>
      <c r="F3600" s="30" t="n">
        <v>42856</v>
      </c>
      <c r="G3600" s="30" t="n">
        <v>42958</v>
      </c>
      <c r="H3600" s="26" t="n">
        <f aca="false">G3600-F3600</f>
        <v>102</v>
      </c>
      <c r="I3600" s="10" t="n">
        <f aca="false">IF(E3600="Won",1,0)</f>
        <v>1</v>
      </c>
    </row>
    <row r="3601" customFormat="false" ht="15" hidden="false" customHeight="false" outlineLevel="0" collapsed="false">
      <c r="A3601" s="10" t="s">
        <v>5942</v>
      </c>
      <c r="B3601" s="10" t="s">
        <v>74</v>
      </c>
      <c r="C3601" s="10" t="s">
        <v>52</v>
      </c>
      <c r="D3601" s="10" t="s">
        <v>414</v>
      </c>
      <c r="E3601" s="10" t="s">
        <v>2342</v>
      </c>
      <c r="F3601" s="30" t="n">
        <v>42848</v>
      </c>
      <c r="G3601" s="30" t="n">
        <v>42958</v>
      </c>
      <c r="H3601" s="26" t="n">
        <f aca="false">G3601-F3601</f>
        <v>110</v>
      </c>
      <c r="I3601" s="10" t="n">
        <f aca="false">IF(E3601="Won",1,0)</f>
        <v>1</v>
      </c>
    </row>
    <row r="3602" customFormat="false" ht="15" hidden="false" customHeight="false" outlineLevel="0" collapsed="false">
      <c r="A3602" s="10" t="s">
        <v>5943</v>
      </c>
      <c r="B3602" s="10" t="s">
        <v>57</v>
      </c>
      <c r="C3602" s="10" t="s">
        <v>48</v>
      </c>
      <c r="D3602" s="10" t="s">
        <v>674</v>
      </c>
      <c r="E3602" s="10" t="s">
        <v>2342</v>
      </c>
      <c r="F3602" s="30" t="n">
        <v>42892</v>
      </c>
      <c r="G3602" s="30" t="n">
        <v>42958</v>
      </c>
      <c r="H3602" s="26" t="n">
        <f aca="false">G3602-F3602</f>
        <v>66</v>
      </c>
      <c r="I3602" s="10" t="n">
        <f aca="false">IF(E3602="Won",1,0)</f>
        <v>1</v>
      </c>
    </row>
    <row r="3603" customFormat="false" ht="15" hidden="false" customHeight="false" outlineLevel="0" collapsed="false">
      <c r="A3603" s="10" t="s">
        <v>5944</v>
      </c>
      <c r="B3603" s="10" t="s">
        <v>71</v>
      </c>
      <c r="C3603" s="10" t="s">
        <v>50</v>
      </c>
      <c r="D3603" s="10" t="s">
        <v>388</v>
      </c>
      <c r="E3603" s="10" t="s">
        <v>2345</v>
      </c>
      <c r="F3603" s="30" t="n">
        <v>42948</v>
      </c>
      <c r="G3603" s="30" t="n">
        <v>42958</v>
      </c>
      <c r="H3603" s="26" t="n">
        <f aca="false">G3603-F3603</f>
        <v>10</v>
      </c>
      <c r="I3603" s="10" t="n">
        <f aca="false">IF(E3603="Won",1,0)</f>
        <v>0</v>
      </c>
    </row>
    <row r="3604" customFormat="false" ht="15" hidden="false" customHeight="false" outlineLevel="0" collapsed="false">
      <c r="A3604" s="10" t="s">
        <v>5945</v>
      </c>
      <c r="B3604" s="10" t="s">
        <v>60</v>
      </c>
      <c r="C3604" s="10" t="s">
        <v>49</v>
      </c>
      <c r="D3604" s="10" t="s">
        <v>359</v>
      </c>
      <c r="E3604" s="10" t="s">
        <v>2342</v>
      </c>
      <c r="F3604" s="30" t="n">
        <v>42866</v>
      </c>
      <c r="G3604" s="30" t="n">
        <v>42958</v>
      </c>
      <c r="H3604" s="26" t="n">
        <f aca="false">G3604-F3604</f>
        <v>92</v>
      </c>
      <c r="I3604" s="10" t="n">
        <f aca="false">IF(E3604="Won",1,0)</f>
        <v>1</v>
      </c>
    </row>
    <row r="3605" customFormat="false" ht="15" hidden="false" customHeight="false" outlineLevel="0" collapsed="false">
      <c r="A3605" s="10" t="s">
        <v>5946</v>
      </c>
      <c r="B3605" s="10" t="s">
        <v>94</v>
      </c>
      <c r="C3605" s="10" t="s">
        <v>51</v>
      </c>
      <c r="D3605" s="10" t="s">
        <v>175</v>
      </c>
      <c r="E3605" s="10" t="s">
        <v>2342</v>
      </c>
      <c r="F3605" s="30" t="n">
        <v>42918</v>
      </c>
      <c r="G3605" s="30" t="n">
        <v>42958</v>
      </c>
      <c r="H3605" s="26" t="n">
        <f aca="false">G3605-F3605</f>
        <v>40</v>
      </c>
      <c r="I3605" s="10" t="n">
        <f aca="false">IF(E3605="Won",1,0)</f>
        <v>1</v>
      </c>
    </row>
    <row r="3606" customFormat="false" ht="15" hidden="false" customHeight="false" outlineLevel="0" collapsed="false">
      <c r="A3606" s="10" t="s">
        <v>5947</v>
      </c>
      <c r="B3606" s="10" t="s">
        <v>94</v>
      </c>
      <c r="C3606" s="10" t="s">
        <v>50</v>
      </c>
      <c r="D3606" s="10" t="s">
        <v>514</v>
      </c>
      <c r="E3606" s="10" t="s">
        <v>2342</v>
      </c>
      <c r="F3606" s="30" t="n">
        <v>42876</v>
      </c>
      <c r="G3606" s="30" t="n">
        <v>42958</v>
      </c>
      <c r="H3606" s="26" t="n">
        <f aca="false">G3606-F3606</f>
        <v>82</v>
      </c>
      <c r="I3606" s="10" t="n">
        <f aca="false">IF(E3606="Won",1,0)</f>
        <v>1</v>
      </c>
    </row>
    <row r="3607" customFormat="false" ht="15" hidden="false" customHeight="false" outlineLevel="0" collapsed="false">
      <c r="A3607" s="10" t="s">
        <v>5948</v>
      </c>
      <c r="B3607" s="10" t="s">
        <v>76</v>
      </c>
      <c r="C3607" s="10" t="s">
        <v>52</v>
      </c>
      <c r="D3607" s="10" t="s">
        <v>321</v>
      </c>
      <c r="E3607" s="10" t="s">
        <v>2345</v>
      </c>
      <c r="F3607" s="30" t="n">
        <v>42900</v>
      </c>
      <c r="G3607" s="30" t="n">
        <v>42958</v>
      </c>
      <c r="H3607" s="26" t="n">
        <f aca="false">G3607-F3607</f>
        <v>58</v>
      </c>
      <c r="I3607" s="10" t="n">
        <f aca="false">IF(E3607="Won",1,0)</f>
        <v>0</v>
      </c>
    </row>
    <row r="3608" customFormat="false" ht="15" hidden="false" customHeight="false" outlineLevel="0" collapsed="false">
      <c r="A3608" s="10" t="s">
        <v>5949</v>
      </c>
      <c r="B3608" s="10" t="s">
        <v>88</v>
      </c>
      <c r="C3608" s="10" t="s">
        <v>47</v>
      </c>
      <c r="D3608" s="10" t="s">
        <v>674</v>
      </c>
      <c r="E3608" s="10" t="s">
        <v>2342</v>
      </c>
      <c r="F3608" s="30" t="n">
        <v>42883</v>
      </c>
      <c r="G3608" s="30" t="n">
        <v>42958</v>
      </c>
      <c r="H3608" s="26" t="n">
        <f aca="false">G3608-F3608</f>
        <v>75</v>
      </c>
      <c r="I3608" s="10" t="n">
        <f aca="false">IF(E3608="Won",1,0)</f>
        <v>1</v>
      </c>
    </row>
    <row r="3609" customFormat="false" ht="15" hidden="false" customHeight="false" outlineLevel="0" collapsed="false">
      <c r="A3609" s="10" t="s">
        <v>5950</v>
      </c>
      <c r="B3609" s="10" t="s">
        <v>74</v>
      </c>
      <c r="C3609" s="10" t="s">
        <v>51</v>
      </c>
      <c r="D3609" s="10" t="s">
        <v>369</v>
      </c>
      <c r="E3609" s="10" t="s">
        <v>2342</v>
      </c>
      <c r="F3609" s="30" t="n">
        <v>42914</v>
      </c>
      <c r="G3609" s="30" t="n">
        <v>42958</v>
      </c>
      <c r="H3609" s="26" t="n">
        <f aca="false">G3609-F3609</f>
        <v>44</v>
      </c>
      <c r="I3609" s="10" t="n">
        <f aca="false">IF(E3609="Won",1,0)</f>
        <v>1</v>
      </c>
    </row>
    <row r="3610" customFormat="false" ht="15" hidden="false" customHeight="false" outlineLevel="0" collapsed="false">
      <c r="A3610" s="10" t="s">
        <v>5951</v>
      </c>
      <c r="B3610" s="10" t="s">
        <v>77</v>
      </c>
      <c r="C3610" s="10" t="s">
        <v>48</v>
      </c>
      <c r="D3610" s="10" t="s">
        <v>353</v>
      </c>
      <c r="E3610" s="10" t="s">
        <v>2342</v>
      </c>
      <c r="F3610" s="30" t="n">
        <v>42902</v>
      </c>
      <c r="G3610" s="30" t="n">
        <v>42958</v>
      </c>
      <c r="H3610" s="26" t="n">
        <f aca="false">G3610-F3610</f>
        <v>56</v>
      </c>
      <c r="I3610" s="10" t="n">
        <f aca="false">IF(E3610="Won",1,0)</f>
        <v>1</v>
      </c>
    </row>
    <row r="3611" customFormat="false" ht="15" hidden="false" customHeight="false" outlineLevel="0" collapsed="false">
      <c r="A3611" s="10" t="s">
        <v>5952</v>
      </c>
      <c r="B3611" s="10" t="s">
        <v>80</v>
      </c>
      <c r="C3611" s="10" t="s">
        <v>50</v>
      </c>
      <c r="D3611" s="10" t="s">
        <v>762</v>
      </c>
      <c r="E3611" s="10" t="s">
        <v>2345</v>
      </c>
      <c r="F3611" s="30" t="n">
        <v>42894</v>
      </c>
      <c r="G3611" s="30" t="n">
        <v>42958</v>
      </c>
      <c r="H3611" s="26" t="n">
        <f aca="false">G3611-F3611</f>
        <v>64</v>
      </c>
      <c r="I3611" s="10" t="n">
        <f aca="false">IF(E3611="Won",1,0)</f>
        <v>0</v>
      </c>
    </row>
    <row r="3612" customFormat="false" ht="15" hidden="false" customHeight="false" outlineLevel="0" collapsed="false">
      <c r="A3612" s="10" t="s">
        <v>5953</v>
      </c>
      <c r="B3612" s="10" t="s">
        <v>80</v>
      </c>
      <c r="C3612" s="10" t="s">
        <v>51</v>
      </c>
      <c r="D3612" s="10" t="s">
        <v>291</v>
      </c>
      <c r="E3612" s="10" t="s">
        <v>2342</v>
      </c>
      <c r="F3612" s="30" t="n">
        <v>42860</v>
      </c>
      <c r="G3612" s="30" t="n">
        <v>42959</v>
      </c>
      <c r="H3612" s="26" t="n">
        <f aca="false">G3612-F3612</f>
        <v>99</v>
      </c>
      <c r="I3612" s="10" t="n">
        <f aca="false">IF(E3612="Won",1,0)</f>
        <v>1</v>
      </c>
    </row>
    <row r="3613" customFormat="false" ht="15" hidden="false" customHeight="false" outlineLevel="0" collapsed="false">
      <c r="A3613" s="10" t="s">
        <v>5954</v>
      </c>
      <c r="B3613" s="10" t="s">
        <v>95</v>
      </c>
      <c r="C3613" s="10" t="s">
        <v>48</v>
      </c>
      <c r="D3613" s="10" t="s">
        <v>326</v>
      </c>
      <c r="E3613" s="10" t="s">
        <v>2342</v>
      </c>
      <c r="F3613" s="30" t="n">
        <v>42919</v>
      </c>
      <c r="G3613" s="30" t="n">
        <v>42959</v>
      </c>
      <c r="H3613" s="26" t="n">
        <f aca="false">G3613-F3613</f>
        <v>40</v>
      </c>
      <c r="I3613" s="10" t="n">
        <f aca="false">IF(E3613="Won",1,0)</f>
        <v>1</v>
      </c>
    </row>
    <row r="3614" customFormat="false" ht="15" hidden="false" customHeight="false" outlineLevel="0" collapsed="false">
      <c r="A3614" s="10" t="s">
        <v>5955</v>
      </c>
      <c r="B3614" s="10" t="s">
        <v>67</v>
      </c>
      <c r="C3614" s="10" t="s">
        <v>52</v>
      </c>
      <c r="D3614" s="10" t="s">
        <v>711</v>
      </c>
      <c r="E3614" s="10" t="s">
        <v>2342</v>
      </c>
      <c r="F3614" s="30" t="n">
        <v>42855</v>
      </c>
      <c r="G3614" s="30" t="n">
        <v>42959</v>
      </c>
      <c r="H3614" s="26" t="n">
        <f aca="false">G3614-F3614</f>
        <v>104</v>
      </c>
      <c r="I3614" s="10" t="n">
        <f aca="false">IF(E3614="Won",1,0)</f>
        <v>1</v>
      </c>
    </row>
    <row r="3615" customFormat="false" ht="15" hidden="false" customHeight="false" outlineLevel="0" collapsed="false">
      <c r="A3615" s="10" t="s">
        <v>5956</v>
      </c>
      <c r="B3615" s="10" t="s">
        <v>57</v>
      </c>
      <c r="C3615" s="10" t="s">
        <v>51</v>
      </c>
      <c r="D3615" s="10" t="s">
        <v>350</v>
      </c>
      <c r="E3615" s="10" t="s">
        <v>2342</v>
      </c>
      <c r="F3615" s="30" t="n">
        <v>42894</v>
      </c>
      <c r="G3615" s="30" t="n">
        <v>42959</v>
      </c>
      <c r="H3615" s="26" t="n">
        <f aca="false">G3615-F3615</f>
        <v>65</v>
      </c>
      <c r="I3615" s="10" t="n">
        <f aca="false">IF(E3615="Won",1,0)</f>
        <v>1</v>
      </c>
    </row>
    <row r="3616" customFormat="false" ht="15" hidden="false" customHeight="false" outlineLevel="0" collapsed="false">
      <c r="A3616" s="10" t="s">
        <v>5957</v>
      </c>
      <c r="B3616" s="10" t="s">
        <v>70</v>
      </c>
      <c r="C3616" s="10" t="s">
        <v>52</v>
      </c>
      <c r="D3616" s="10" t="s">
        <v>175</v>
      </c>
      <c r="E3616" s="10" t="s">
        <v>2345</v>
      </c>
      <c r="F3616" s="30" t="n">
        <v>42878</v>
      </c>
      <c r="G3616" s="30" t="n">
        <v>42959</v>
      </c>
      <c r="H3616" s="26" t="n">
        <f aca="false">G3616-F3616</f>
        <v>81</v>
      </c>
      <c r="I3616" s="10" t="n">
        <f aca="false">IF(E3616="Won",1,0)</f>
        <v>0</v>
      </c>
    </row>
    <row r="3617" customFormat="false" ht="15" hidden="false" customHeight="false" outlineLevel="0" collapsed="false">
      <c r="A3617" s="10" t="s">
        <v>5958</v>
      </c>
      <c r="B3617" s="10" t="s">
        <v>61</v>
      </c>
      <c r="C3617" s="10" t="s">
        <v>48</v>
      </c>
      <c r="D3617" s="10" t="s">
        <v>453</v>
      </c>
      <c r="E3617" s="10" t="s">
        <v>2342</v>
      </c>
      <c r="F3617" s="30" t="n">
        <v>42855</v>
      </c>
      <c r="G3617" s="30" t="n">
        <v>42959</v>
      </c>
      <c r="H3617" s="26" t="n">
        <f aca="false">G3617-F3617</f>
        <v>104</v>
      </c>
      <c r="I3617" s="10" t="n">
        <f aca="false">IF(E3617="Won",1,0)</f>
        <v>1</v>
      </c>
    </row>
    <row r="3618" customFormat="false" ht="15" hidden="false" customHeight="false" outlineLevel="0" collapsed="false">
      <c r="A3618" s="10" t="s">
        <v>5959</v>
      </c>
      <c r="B3618" s="10" t="s">
        <v>67</v>
      </c>
      <c r="C3618" s="10" t="s">
        <v>47</v>
      </c>
      <c r="D3618" s="10" t="s">
        <v>168</v>
      </c>
      <c r="E3618" s="10" t="s">
        <v>2342</v>
      </c>
      <c r="F3618" s="30" t="n">
        <v>42855</v>
      </c>
      <c r="G3618" s="30" t="n">
        <v>42959</v>
      </c>
      <c r="H3618" s="26" t="n">
        <f aca="false">G3618-F3618</f>
        <v>104</v>
      </c>
      <c r="I3618" s="10" t="n">
        <f aca="false">IF(E3618="Won",1,0)</f>
        <v>1</v>
      </c>
    </row>
    <row r="3619" customFormat="false" ht="15" hidden="false" customHeight="false" outlineLevel="0" collapsed="false">
      <c r="A3619" s="10" t="s">
        <v>5960</v>
      </c>
      <c r="B3619" s="10" t="s">
        <v>77</v>
      </c>
      <c r="C3619" s="10" t="s">
        <v>48</v>
      </c>
      <c r="D3619" s="10" t="s">
        <v>512</v>
      </c>
      <c r="E3619" s="10" t="s">
        <v>2342</v>
      </c>
      <c r="F3619" s="30" t="n">
        <v>42859</v>
      </c>
      <c r="G3619" s="30" t="n">
        <v>42959</v>
      </c>
      <c r="H3619" s="26" t="n">
        <f aca="false">G3619-F3619</f>
        <v>100</v>
      </c>
      <c r="I3619" s="10" t="n">
        <f aca="false">IF(E3619="Won",1,0)</f>
        <v>1</v>
      </c>
    </row>
    <row r="3620" customFormat="false" ht="15" hidden="false" customHeight="false" outlineLevel="0" collapsed="false">
      <c r="A3620" s="10" t="s">
        <v>5961</v>
      </c>
      <c r="B3620" s="10" t="s">
        <v>95</v>
      </c>
      <c r="C3620" s="10" t="s">
        <v>50</v>
      </c>
      <c r="D3620" s="10" t="s">
        <v>606</v>
      </c>
      <c r="E3620" s="10" t="s">
        <v>2345</v>
      </c>
      <c r="F3620" s="30" t="n">
        <v>42834</v>
      </c>
      <c r="G3620" s="30" t="n">
        <v>42959</v>
      </c>
      <c r="H3620" s="26" t="n">
        <f aca="false">G3620-F3620</f>
        <v>125</v>
      </c>
      <c r="I3620" s="10" t="n">
        <f aca="false">IF(E3620="Won",1,0)</f>
        <v>0</v>
      </c>
    </row>
    <row r="3621" customFormat="false" ht="15" hidden="false" customHeight="false" outlineLevel="0" collapsed="false">
      <c r="A3621" s="10" t="s">
        <v>5962</v>
      </c>
      <c r="B3621" s="10" t="s">
        <v>76</v>
      </c>
      <c r="C3621" s="10" t="s">
        <v>52</v>
      </c>
      <c r="D3621" s="10" t="s">
        <v>410</v>
      </c>
      <c r="E3621" s="10" t="s">
        <v>2345</v>
      </c>
      <c r="F3621" s="30" t="n">
        <v>42889</v>
      </c>
      <c r="G3621" s="30" t="n">
        <v>42959</v>
      </c>
      <c r="H3621" s="26" t="n">
        <f aca="false">G3621-F3621</f>
        <v>70</v>
      </c>
      <c r="I3621" s="10" t="n">
        <f aca="false">IF(E3621="Won",1,0)</f>
        <v>0</v>
      </c>
    </row>
    <row r="3622" customFormat="false" ht="15" hidden="false" customHeight="false" outlineLevel="0" collapsed="false">
      <c r="A3622" s="10" t="s">
        <v>5963</v>
      </c>
      <c r="B3622" s="10" t="s">
        <v>57</v>
      </c>
      <c r="C3622" s="10" t="s">
        <v>48</v>
      </c>
      <c r="D3622" s="10" t="s">
        <v>185</v>
      </c>
      <c r="E3622" s="10" t="s">
        <v>2342</v>
      </c>
      <c r="F3622" s="30" t="n">
        <v>42949</v>
      </c>
      <c r="G3622" s="30" t="n">
        <v>42959</v>
      </c>
      <c r="H3622" s="26" t="n">
        <f aca="false">G3622-F3622</f>
        <v>10</v>
      </c>
      <c r="I3622" s="10" t="n">
        <f aca="false">IF(E3622="Won",1,0)</f>
        <v>1</v>
      </c>
    </row>
    <row r="3623" customFormat="false" ht="15" hidden="false" customHeight="false" outlineLevel="0" collapsed="false">
      <c r="A3623" s="10" t="s">
        <v>5964</v>
      </c>
      <c r="B3623" s="10" t="s">
        <v>74</v>
      </c>
      <c r="C3623" s="10" t="s">
        <v>51</v>
      </c>
      <c r="D3623" s="10" t="s">
        <v>527</v>
      </c>
      <c r="E3623" s="10" t="s">
        <v>2345</v>
      </c>
      <c r="F3623" s="30" t="n">
        <v>42881</v>
      </c>
      <c r="G3623" s="30" t="n">
        <v>42959</v>
      </c>
      <c r="H3623" s="26" t="n">
        <f aca="false">G3623-F3623</f>
        <v>78</v>
      </c>
      <c r="I3623" s="10" t="n">
        <f aca="false">IF(E3623="Won",1,0)</f>
        <v>0</v>
      </c>
    </row>
    <row r="3624" customFormat="false" ht="15" hidden="false" customHeight="false" outlineLevel="0" collapsed="false">
      <c r="A3624" s="10" t="s">
        <v>5965</v>
      </c>
      <c r="B3624" s="10" t="s">
        <v>93</v>
      </c>
      <c r="C3624" s="10" t="s">
        <v>51</v>
      </c>
      <c r="D3624" s="10" t="s">
        <v>175</v>
      </c>
      <c r="E3624" s="10" t="s">
        <v>2345</v>
      </c>
      <c r="F3624" s="30" t="n">
        <v>42889</v>
      </c>
      <c r="G3624" s="30" t="n">
        <v>42959</v>
      </c>
      <c r="H3624" s="26" t="n">
        <f aca="false">G3624-F3624</f>
        <v>70</v>
      </c>
      <c r="I3624" s="10" t="n">
        <f aca="false">IF(E3624="Won",1,0)</f>
        <v>0</v>
      </c>
    </row>
    <row r="3625" customFormat="false" ht="15" hidden="false" customHeight="false" outlineLevel="0" collapsed="false">
      <c r="A3625" s="10" t="s">
        <v>5966</v>
      </c>
      <c r="B3625" s="10" t="s">
        <v>95</v>
      </c>
      <c r="C3625" s="10" t="s">
        <v>49</v>
      </c>
      <c r="D3625" s="10" t="s">
        <v>286</v>
      </c>
      <c r="E3625" s="10" t="s">
        <v>2342</v>
      </c>
      <c r="F3625" s="30" t="n">
        <v>42881</v>
      </c>
      <c r="G3625" s="30" t="n">
        <v>42959</v>
      </c>
      <c r="H3625" s="26" t="n">
        <f aca="false">G3625-F3625</f>
        <v>78</v>
      </c>
      <c r="I3625" s="10" t="n">
        <f aca="false">IF(E3625="Won",1,0)</f>
        <v>1</v>
      </c>
    </row>
    <row r="3626" customFormat="false" ht="15" hidden="false" customHeight="false" outlineLevel="0" collapsed="false">
      <c r="A3626" s="10" t="s">
        <v>5967</v>
      </c>
      <c r="B3626" s="10" t="s">
        <v>70</v>
      </c>
      <c r="C3626" s="10" t="s">
        <v>49</v>
      </c>
      <c r="D3626" s="10" t="s">
        <v>348</v>
      </c>
      <c r="E3626" s="10" t="s">
        <v>2342</v>
      </c>
      <c r="F3626" s="30" t="n">
        <v>42947</v>
      </c>
      <c r="G3626" s="30" t="n">
        <v>42959</v>
      </c>
      <c r="H3626" s="26" t="n">
        <f aca="false">G3626-F3626</f>
        <v>12</v>
      </c>
      <c r="I3626" s="10" t="n">
        <f aca="false">IF(E3626="Won",1,0)</f>
        <v>1</v>
      </c>
    </row>
    <row r="3627" customFormat="false" ht="15" hidden="false" customHeight="false" outlineLevel="0" collapsed="false">
      <c r="A3627" s="10" t="s">
        <v>5968</v>
      </c>
      <c r="B3627" s="10" t="s">
        <v>73</v>
      </c>
      <c r="C3627" s="10" t="s">
        <v>49</v>
      </c>
      <c r="D3627" s="10" t="s">
        <v>697</v>
      </c>
      <c r="E3627" s="10" t="s">
        <v>2342</v>
      </c>
      <c r="F3627" s="30" t="n">
        <v>42932</v>
      </c>
      <c r="G3627" s="30" t="n">
        <v>42959</v>
      </c>
      <c r="H3627" s="26" t="n">
        <f aca="false">G3627-F3627</f>
        <v>27</v>
      </c>
      <c r="I3627" s="10" t="n">
        <f aca="false">IF(E3627="Won",1,0)</f>
        <v>1</v>
      </c>
    </row>
    <row r="3628" customFormat="false" ht="15" hidden="false" customHeight="false" outlineLevel="0" collapsed="false">
      <c r="A3628" s="10" t="s">
        <v>5969</v>
      </c>
      <c r="B3628" s="10" t="s">
        <v>68</v>
      </c>
      <c r="C3628" s="10" t="s">
        <v>48</v>
      </c>
      <c r="D3628" s="10" t="s">
        <v>286</v>
      </c>
      <c r="E3628" s="10" t="s">
        <v>2345</v>
      </c>
      <c r="F3628" s="30" t="n">
        <v>42872</v>
      </c>
      <c r="G3628" s="30" t="n">
        <v>42959</v>
      </c>
      <c r="H3628" s="26" t="n">
        <f aca="false">G3628-F3628</f>
        <v>87</v>
      </c>
      <c r="I3628" s="10" t="n">
        <f aca="false">IF(E3628="Won",1,0)</f>
        <v>0</v>
      </c>
    </row>
    <row r="3629" customFormat="false" ht="15" hidden="false" customHeight="false" outlineLevel="0" collapsed="false">
      <c r="A3629" s="10" t="s">
        <v>5970</v>
      </c>
      <c r="B3629" s="10" t="s">
        <v>61</v>
      </c>
      <c r="C3629" s="10" t="s">
        <v>52</v>
      </c>
      <c r="D3629" s="10" t="s">
        <v>453</v>
      </c>
      <c r="E3629" s="10" t="s">
        <v>2342</v>
      </c>
      <c r="F3629" s="30" t="n">
        <v>42953</v>
      </c>
      <c r="G3629" s="30" t="n">
        <v>42959</v>
      </c>
      <c r="H3629" s="26" t="n">
        <f aca="false">G3629-F3629</f>
        <v>6</v>
      </c>
      <c r="I3629" s="10" t="n">
        <f aca="false">IF(E3629="Won",1,0)</f>
        <v>1</v>
      </c>
    </row>
    <row r="3630" customFormat="false" ht="15" hidden="false" customHeight="false" outlineLevel="0" collapsed="false">
      <c r="A3630" s="10" t="s">
        <v>5971</v>
      </c>
      <c r="B3630" s="10" t="s">
        <v>93</v>
      </c>
      <c r="C3630" s="10" t="s">
        <v>49</v>
      </c>
      <c r="D3630" s="10" t="s">
        <v>497</v>
      </c>
      <c r="E3630" s="10" t="s">
        <v>2345</v>
      </c>
      <c r="F3630" s="30" t="n">
        <v>42842</v>
      </c>
      <c r="G3630" s="30" t="n">
        <v>42959</v>
      </c>
      <c r="H3630" s="26" t="n">
        <f aca="false">G3630-F3630</f>
        <v>117</v>
      </c>
      <c r="I3630" s="10" t="n">
        <f aca="false">IF(E3630="Won",1,0)</f>
        <v>0</v>
      </c>
    </row>
    <row r="3631" customFormat="false" ht="15" hidden="false" customHeight="false" outlineLevel="0" collapsed="false">
      <c r="A3631" s="10" t="s">
        <v>5972</v>
      </c>
      <c r="B3631" s="10" t="s">
        <v>81</v>
      </c>
      <c r="C3631" s="10" t="s">
        <v>47</v>
      </c>
      <c r="D3631" s="10" t="s">
        <v>961</v>
      </c>
      <c r="E3631" s="10" t="s">
        <v>2345</v>
      </c>
      <c r="F3631" s="30" t="n">
        <v>42867</v>
      </c>
      <c r="G3631" s="30" t="n">
        <v>42959</v>
      </c>
      <c r="H3631" s="26" t="n">
        <f aca="false">G3631-F3631</f>
        <v>92</v>
      </c>
      <c r="I3631" s="10" t="n">
        <f aca="false">IF(E3631="Won",1,0)</f>
        <v>0</v>
      </c>
    </row>
    <row r="3632" customFormat="false" ht="15" hidden="false" customHeight="false" outlineLevel="0" collapsed="false">
      <c r="A3632" s="10" t="s">
        <v>5973</v>
      </c>
      <c r="B3632" s="10" t="s">
        <v>90</v>
      </c>
      <c r="C3632" s="10" t="s">
        <v>48</v>
      </c>
      <c r="D3632" s="10" t="s">
        <v>350</v>
      </c>
      <c r="E3632" s="10" t="s">
        <v>2342</v>
      </c>
      <c r="F3632" s="30" t="n">
        <v>42888</v>
      </c>
      <c r="G3632" s="30" t="n">
        <v>42959</v>
      </c>
      <c r="H3632" s="26" t="n">
        <f aca="false">G3632-F3632</f>
        <v>71</v>
      </c>
      <c r="I3632" s="10" t="n">
        <f aca="false">IF(E3632="Won",1,0)</f>
        <v>1</v>
      </c>
    </row>
    <row r="3633" customFormat="false" ht="15" hidden="false" customHeight="false" outlineLevel="0" collapsed="false">
      <c r="A3633" s="10" t="s">
        <v>5974</v>
      </c>
      <c r="B3633" s="10" t="s">
        <v>80</v>
      </c>
      <c r="C3633" s="10" t="s">
        <v>51</v>
      </c>
      <c r="D3633" s="10" t="s">
        <v>291</v>
      </c>
      <c r="E3633" s="10" t="s">
        <v>2342</v>
      </c>
      <c r="F3633" s="30" t="n">
        <v>42847</v>
      </c>
      <c r="G3633" s="30" t="n">
        <v>42959</v>
      </c>
      <c r="H3633" s="26" t="n">
        <f aca="false">G3633-F3633</f>
        <v>112</v>
      </c>
      <c r="I3633" s="10" t="n">
        <f aca="false">IF(E3633="Won",1,0)</f>
        <v>1</v>
      </c>
    </row>
    <row r="3634" customFormat="false" ht="15" hidden="false" customHeight="false" outlineLevel="0" collapsed="false">
      <c r="A3634" s="10" t="s">
        <v>5975</v>
      </c>
      <c r="B3634" s="10" t="s">
        <v>62</v>
      </c>
      <c r="C3634" s="10" t="s">
        <v>50</v>
      </c>
      <c r="D3634" s="10" t="s">
        <v>359</v>
      </c>
      <c r="E3634" s="10" t="s">
        <v>2345</v>
      </c>
      <c r="F3634" s="30" t="n">
        <v>42874</v>
      </c>
      <c r="G3634" s="30" t="n">
        <v>42959</v>
      </c>
      <c r="H3634" s="26" t="n">
        <f aca="false">G3634-F3634</f>
        <v>85</v>
      </c>
      <c r="I3634" s="10" t="n">
        <f aca="false">IF(E3634="Won",1,0)</f>
        <v>0</v>
      </c>
    </row>
    <row r="3635" customFormat="false" ht="15" hidden="false" customHeight="false" outlineLevel="0" collapsed="false">
      <c r="A3635" s="10" t="s">
        <v>5976</v>
      </c>
      <c r="B3635" s="10" t="s">
        <v>70</v>
      </c>
      <c r="C3635" s="10" t="s">
        <v>48</v>
      </c>
      <c r="D3635" s="10" t="s">
        <v>175</v>
      </c>
      <c r="E3635" s="10" t="s">
        <v>2342</v>
      </c>
      <c r="F3635" s="30" t="n">
        <v>42846</v>
      </c>
      <c r="G3635" s="30" t="n">
        <v>42959</v>
      </c>
      <c r="H3635" s="26" t="n">
        <f aca="false">G3635-F3635</f>
        <v>113</v>
      </c>
      <c r="I3635" s="10" t="n">
        <f aca="false">IF(E3635="Won",1,0)</f>
        <v>1</v>
      </c>
    </row>
    <row r="3636" customFormat="false" ht="15" hidden="false" customHeight="false" outlineLevel="0" collapsed="false">
      <c r="A3636" s="10" t="s">
        <v>5977</v>
      </c>
      <c r="B3636" s="10" t="s">
        <v>77</v>
      </c>
      <c r="C3636" s="10" t="s">
        <v>49</v>
      </c>
      <c r="D3636" s="10" t="s">
        <v>961</v>
      </c>
      <c r="E3636" s="10" t="s">
        <v>2345</v>
      </c>
      <c r="F3636" s="30" t="n">
        <v>42957</v>
      </c>
      <c r="G3636" s="30" t="n">
        <v>42959</v>
      </c>
      <c r="H3636" s="26" t="n">
        <f aca="false">G3636-F3636</f>
        <v>2</v>
      </c>
      <c r="I3636" s="10" t="n">
        <f aca="false">IF(E3636="Won",1,0)</f>
        <v>0</v>
      </c>
    </row>
    <row r="3637" customFormat="false" ht="15" hidden="false" customHeight="false" outlineLevel="0" collapsed="false">
      <c r="A3637" s="10" t="s">
        <v>5978</v>
      </c>
      <c r="B3637" s="10" t="s">
        <v>66</v>
      </c>
      <c r="C3637" s="10" t="s">
        <v>51</v>
      </c>
      <c r="D3637" s="10" t="s">
        <v>606</v>
      </c>
      <c r="E3637" s="10" t="s">
        <v>2345</v>
      </c>
      <c r="F3637" s="30" t="n">
        <v>42956</v>
      </c>
      <c r="G3637" s="30" t="n">
        <v>42959</v>
      </c>
      <c r="H3637" s="26" t="n">
        <f aca="false">G3637-F3637</f>
        <v>3</v>
      </c>
      <c r="I3637" s="10" t="n">
        <f aca="false">IF(E3637="Won",1,0)</f>
        <v>0</v>
      </c>
    </row>
    <row r="3638" customFormat="false" ht="15" hidden="false" customHeight="false" outlineLevel="0" collapsed="false">
      <c r="A3638" s="10" t="s">
        <v>5979</v>
      </c>
      <c r="B3638" s="10" t="s">
        <v>97</v>
      </c>
      <c r="C3638" s="10" t="s">
        <v>52</v>
      </c>
      <c r="D3638" s="10" t="s">
        <v>313</v>
      </c>
      <c r="E3638" s="10" t="s">
        <v>2342</v>
      </c>
      <c r="F3638" s="30" t="n">
        <v>42886</v>
      </c>
      <c r="G3638" s="30" t="n">
        <v>42959</v>
      </c>
      <c r="H3638" s="26" t="n">
        <f aca="false">G3638-F3638</f>
        <v>73</v>
      </c>
      <c r="I3638" s="10" t="n">
        <f aca="false">IF(E3638="Won",1,0)</f>
        <v>1</v>
      </c>
    </row>
    <row r="3639" customFormat="false" ht="15" hidden="false" customHeight="false" outlineLevel="0" collapsed="false">
      <c r="A3639" s="10" t="s">
        <v>5980</v>
      </c>
      <c r="B3639" s="10" t="s">
        <v>57</v>
      </c>
      <c r="C3639" s="10" t="s">
        <v>48</v>
      </c>
      <c r="D3639" s="10" t="s">
        <v>1118</v>
      </c>
      <c r="E3639" s="10" t="s">
        <v>2345</v>
      </c>
      <c r="F3639" s="30" t="n">
        <v>42959</v>
      </c>
      <c r="G3639" s="30" t="n">
        <v>42960</v>
      </c>
      <c r="H3639" s="26" t="n">
        <f aca="false">G3639-F3639</f>
        <v>1</v>
      </c>
      <c r="I3639" s="10" t="n">
        <f aca="false">IF(E3639="Won",1,0)</f>
        <v>0</v>
      </c>
    </row>
    <row r="3640" customFormat="false" ht="15" hidden="false" customHeight="false" outlineLevel="0" collapsed="false">
      <c r="A3640" s="10" t="s">
        <v>5981</v>
      </c>
      <c r="B3640" s="10" t="s">
        <v>95</v>
      </c>
      <c r="C3640" s="10" t="s">
        <v>51</v>
      </c>
      <c r="D3640" s="10" t="s">
        <v>299</v>
      </c>
      <c r="E3640" s="10" t="s">
        <v>2342</v>
      </c>
      <c r="F3640" s="30" t="n">
        <v>42855</v>
      </c>
      <c r="G3640" s="30" t="n">
        <v>42960</v>
      </c>
      <c r="H3640" s="26" t="n">
        <f aca="false">G3640-F3640</f>
        <v>105</v>
      </c>
      <c r="I3640" s="10" t="n">
        <f aca="false">IF(E3640="Won",1,0)</f>
        <v>1</v>
      </c>
    </row>
    <row r="3641" customFormat="false" ht="15" hidden="false" customHeight="false" outlineLevel="0" collapsed="false">
      <c r="A3641" s="10" t="s">
        <v>5982</v>
      </c>
      <c r="B3641" s="10" t="s">
        <v>90</v>
      </c>
      <c r="C3641" s="10" t="s">
        <v>49</v>
      </c>
      <c r="D3641" s="10" t="s">
        <v>286</v>
      </c>
      <c r="E3641" s="10" t="s">
        <v>2345</v>
      </c>
      <c r="F3641" s="30" t="n">
        <v>42867</v>
      </c>
      <c r="G3641" s="30" t="n">
        <v>42960</v>
      </c>
      <c r="H3641" s="26" t="n">
        <f aca="false">G3641-F3641</f>
        <v>93</v>
      </c>
      <c r="I3641" s="10" t="n">
        <f aca="false">IF(E3641="Won",1,0)</f>
        <v>0</v>
      </c>
    </row>
    <row r="3642" customFormat="false" ht="15" hidden="false" customHeight="false" outlineLevel="0" collapsed="false">
      <c r="A3642" s="10" t="s">
        <v>5983</v>
      </c>
      <c r="B3642" s="10" t="s">
        <v>88</v>
      </c>
      <c r="C3642" s="10" t="s">
        <v>49</v>
      </c>
      <c r="D3642" s="10" t="s">
        <v>1334</v>
      </c>
      <c r="E3642" s="10" t="s">
        <v>2342</v>
      </c>
      <c r="F3642" s="30" t="n">
        <v>42871</v>
      </c>
      <c r="G3642" s="30" t="n">
        <v>42960</v>
      </c>
      <c r="H3642" s="26" t="n">
        <f aca="false">G3642-F3642</f>
        <v>89</v>
      </c>
      <c r="I3642" s="10" t="n">
        <f aca="false">IF(E3642="Won",1,0)</f>
        <v>1</v>
      </c>
    </row>
    <row r="3643" customFormat="false" ht="15" hidden="false" customHeight="false" outlineLevel="0" collapsed="false">
      <c r="A3643" s="10" t="s">
        <v>5984</v>
      </c>
      <c r="B3643" s="10" t="s">
        <v>74</v>
      </c>
      <c r="C3643" s="10" t="s">
        <v>49</v>
      </c>
      <c r="D3643" s="10" t="s">
        <v>536</v>
      </c>
      <c r="E3643" s="10" t="s">
        <v>2345</v>
      </c>
      <c r="F3643" s="30" t="n">
        <v>42949</v>
      </c>
      <c r="G3643" s="30" t="n">
        <v>42960</v>
      </c>
      <c r="H3643" s="26" t="n">
        <f aca="false">G3643-F3643</f>
        <v>11</v>
      </c>
      <c r="I3643" s="10" t="n">
        <f aca="false">IF(E3643="Won",1,0)</f>
        <v>0</v>
      </c>
    </row>
    <row r="3644" customFormat="false" ht="15" hidden="false" customHeight="false" outlineLevel="0" collapsed="false">
      <c r="A3644" s="10" t="s">
        <v>5985</v>
      </c>
      <c r="B3644" s="10" t="s">
        <v>71</v>
      </c>
      <c r="C3644" s="10" t="s">
        <v>52</v>
      </c>
      <c r="D3644" s="10" t="s">
        <v>1251</v>
      </c>
      <c r="E3644" s="10" t="s">
        <v>2345</v>
      </c>
      <c r="F3644" s="30" t="n">
        <v>42880</v>
      </c>
      <c r="G3644" s="30" t="n">
        <v>42960</v>
      </c>
      <c r="H3644" s="26" t="n">
        <f aca="false">G3644-F3644</f>
        <v>80</v>
      </c>
      <c r="I3644" s="10" t="n">
        <f aca="false">IF(E3644="Won",1,0)</f>
        <v>0</v>
      </c>
    </row>
    <row r="3645" customFormat="false" ht="15" hidden="false" customHeight="false" outlineLevel="0" collapsed="false">
      <c r="A3645" s="10" t="s">
        <v>5986</v>
      </c>
      <c r="B3645" s="10" t="s">
        <v>94</v>
      </c>
      <c r="C3645" s="10" t="s">
        <v>51</v>
      </c>
      <c r="D3645" s="10" t="s">
        <v>348</v>
      </c>
      <c r="E3645" s="10" t="s">
        <v>2345</v>
      </c>
      <c r="F3645" s="30" t="n">
        <v>42906</v>
      </c>
      <c r="G3645" s="30" t="n">
        <v>42960</v>
      </c>
      <c r="H3645" s="26" t="n">
        <f aca="false">G3645-F3645</f>
        <v>54</v>
      </c>
      <c r="I3645" s="10" t="n">
        <f aca="false">IF(E3645="Won",1,0)</f>
        <v>0</v>
      </c>
    </row>
    <row r="3646" customFormat="false" ht="15" hidden="false" customHeight="false" outlineLevel="0" collapsed="false">
      <c r="A3646" s="10" t="s">
        <v>5987</v>
      </c>
      <c r="B3646" s="10" t="s">
        <v>96</v>
      </c>
      <c r="C3646" s="10" t="s">
        <v>51</v>
      </c>
      <c r="D3646" s="10" t="s">
        <v>487</v>
      </c>
      <c r="E3646" s="10" t="s">
        <v>2345</v>
      </c>
      <c r="F3646" s="30" t="n">
        <v>42870</v>
      </c>
      <c r="G3646" s="30" t="n">
        <v>42960</v>
      </c>
      <c r="H3646" s="26" t="n">
        <f aca="false">G3646-F3646</f>
        <v>90</v>
      </c>
      <c r="I3646" s="10" t="n">
        <f aca="false">IF(E3646="Won",1,0)</f>
        <v>0</v>
      </c>
    </row>
    <row r="3647" customFormat="false" ht="15" hidden="false" customHeight="false" outlineLevel="0" collapsed="false">
      <c r="A3647" s="10" t="s">
        <v>5988</v>
      </c>
      <c r="B3647" s="10" t="s">
        <v>74</v>
      </c>
      <c r="C3647" s="10" t="s">
        <v>47</v>
      </c>
      <c r="D3647" s="10" t="s">
        <v>414</v>
      </c>
      <c r="E3647" s="10" t="s">
        <v>2345</v>
      </c>
      <c r="F3647" s="30" t="n">
        <v>42949</v>
      </c>
      <c r="G3647" s="30" t="n">
        <v>42960</v>
      </c>
      <c r="H3647" s="26" t="n">
        <f aca="false">G3647-F3647</f>
        <v>11</v>
      </c>
      <c r="I3647" s="10" t="n">
        <f aca="false">IF(E3647="Won",1,0)</f>
        <v>0</v>
      </c>
    </row>
    <row r="3648" customFormat="false" ht="15" hidden="false" customHeight="false" outlineLevel="0" collapsed="false">
      <c r="A3648" s="10" t="s">
        <v>5989</v>
      </c>
      <c r="B3648" s="10" t="s">
        <v>95</v>
      </c>
      <c r="C3648" s="10" t="s">
        <v>48</v>
      </c>
      <c r="D3648" s="10" t="s">
        <v>303</v>
      </c>
      <c r="E3648" s="10" t="s">
        <v>2345</v>
      </c>
      <c r="F3648" s="30" t="n">
        <v>42879</v>
      </c>
      <c r="G3648" s="30" t="n">
        <v>42960</v>
      </c>
      <c r="H3648" s="26" t="n">
        <f aca="false">G3648-F3648</f>
        <v>81</v>
      </c>
      <c r="I3648" s="10" t="n">
        <f aca="false">IF(E3648="Won",1,0)</f>
        <v>0</v>
      </c>
    </row>
    <row r="3649" customFormat="false" ht="15" hidden="false" customHeight="false" outlineLevel="0" collapsed="false">
      <c r="A3649" s="10" t="s">
        <v>5990</v>
      </c>
      <c r="B3649" s="10" t="s">
        <v>86</v>
      </c>
      <c r="C3649" s="10" t="s">
        <v>48</v>
      </c>
      <c r="D3649" s="10" t="s">
        <v>210</v>
      </c>
      <c r="E3649" s="10" t="s">
        <v>2345</v>
      </c>
      <c r="F3649" s="30" t="n">
        <v>42871</v>
      </c>
      <c r="G3649" s="30" t="n">
        <v>42960</v>
      </c>
      <c r="H3649" s="26" t="n">
        <f aca="false">G3649-F3649</f>
        <v>89</v>
      </c>
      <c r="I3649" s="10" t="n">
        <f aca="false">IF(E3649="Won",1,0)</f>
        <v>0</v>
      </c>
    </row>
    <row r="3650" customFormat="false" ht="15" hidden="false" customHeight="false" outlineLevel="0" collapsed="false">
      <c r="A3650" s="10" t="s">
        <v>5991</v>
      </c>
      <c r="B3650" s="10" t="s">
        <v>77</v>
      </c>
      <c r="C3650" s="10" t="s">
        <v>49</v>
      </c>
      <c r="D3650" s="10" t="s">
        <v>512</v>
      </c>
      <c r="E3650" s="10" t="s">
        <v>2342</v>
      </c>
      <c r="F3650" s="30" t="n">
        <v>42891</v>
      </c>
      <c r="G3650" s="30" t="n">
        <v>42960</v>
      </c>
      <c r="H3650" s="26" t="n">
        <f aca="false">G3650-F3650</f>
        <v>69</v>
      </c>
      <c r="I3650" s="10" t="n">
        <f aca="false">IF(E3650="Won",1,0)</f>
        <v>1</v>
      </c>
    </row>
    <row r="3651" customFormat="false" ht="15" hidden="false" customHeight="false" outlineLevel="0" collapsed="false">
      <c r="A3651" s="10" t="s">
        <v>5992</v>
      </c>
      <c r="B3651" s="10" t="s">
        <v>70</v>
      </c>
      <c r="C3651" s="10" t="s">
        <v>52</v>
      </c>
      <c r="D3651" s="10" t="s">
        <v>337</v>
      </c>
      <c r="E3651" s="10" t="s">
        <v>2345</v>
      </c>
      <c r="F3651" s="30" t="n">
        <v>42954</v>
      </c>
      <c r="G3651" s="30" t="n">
        <v>42960</v>
      </c>
      <c r="H3651" s="26" t="n">
        <f aca="false">G3651-F3651</f>
        <v>6</v>
      </c>
      <c r="I3651" s="10" t="n">
        <f aca="false">IF(E3651="Won",1,0)</f>
        <v>0</v>
      </c>
    </row>
    <row r="3652" customFormat="false" ht="15" hidden="false" customHeight="false" outlineLevel="0" collapsed="false">
      <c r="A3652" s="10" t="s">
        <v>5993</v>
      </c>
      <c r="B3652" s="10" t="s">
        <v>67</v>
      </c>
      <c r="C3652" s="10" t="s">
        <v>49</v>
      </c>
      <c r="D3652" s="10" t="s">
        <v>337</v>
      </c>
      <c r="E3652" s="10" t="s">
        <v>2342</v>
      </c>
      <c r="F3652" s="30" t="n">
        <v>42957</v>
      </c>
      <c r="G3652" s="30" t="n">
        <v>42960</v>
      </c>
      <c r="H3652" s="26" t="n">
        <f aca="false">G3652-F3652</f>
        <v>3</v>
      </c>
      <c r="I3652" s="10" t="n">
        <f aca="false">IF(E3652="Won",1,0)</f>
        <v>1</v>
      </c>
    </row>
    <row r="3653" customFormat="false" ht="15" hidden="false" customHeight="false" outlineLevel="0" collapsed="false">
      <c r="A3653" s="10" t="s">
        <v>5994</v>
      </c>
      <c r="B3653" s="10" t="s">
        <v>88</v>
      </c>
      <c r="C3653" s="10" t="s">
        <v>48</v>
      </c>
      <c r="D3653" s="10" t="s">
        <v>332</v>
      </c>
      <c r="E3653" s="10" t="s">
        <v>2345</v>
      </c>
      <c r="F3653" s="30" t="n">
        <v>42860</v>
      </c>
      <c r="G3653" s="30" t="n">
        <v>42960</v>
      </c>
      <c r="H3653" s="26" t="n">
        <f aca="false">G3653-F3653</f>
        <v>100</v>
      </c>
      <c r="I3653" s="10" t="n">
        <f aca="false">IF(E3653="Won",1,0)</f>
        <v>0</v>
      </c>
    </row>
    <row r="3654" customFormat="false" ht="15" hidden="false" customHeight="false" outlineLevel="0" collapsed="false">
      <c r="A3654" s="10" t="s">
        <v>5995</v>
      </c>
      <c r="B3654" s="10" t="s">
        <v>70</v>
      </c>
      <c r="C3654" s="10" t="s">
        <v>48</v>
      </c>
      <c r="D3654" s="10" t="s">
        <v>175</v>
      </c>
      <c r="E3654" s="10" t="s">
        <v>2345</v>
      </c>
      <c r="F3654" s="30" t="n">
        <v>42848</v>
      </c>
      <c r="G3654" s="30" t="n">
        <v>42960</v>
      </c>
      <c r="H3654" s="26" t="n">
        <f aca="false">G3654-F3654</f>
        <v>112</v>
      </c>
      <c r="I3654" s="10" t="n">
        <f aca="false">IF(E3654="Won",1,0)</f>
        <v>0</v>
      </c>
    </row>
    <row r="3655" customFormat="false" ht="15" hidden="false" customHeight="false" outlineLevel="0" collapsed="false">
      <c r="A3655" s="10" t="s">
        <v>5996</v>
      </c>
      <c r="B3655" s="10" t="s">
        <v>74</v>
      </c>
      <c r="C3655" s="10" t="s">
        <v>49</v>
      </c>
      <c r="D3655" s="10" t="s">
        <v>512</v>
      </c>
      <c r="E3655" s="10" t="s">
        <v>2345</v>
      </c>
      <c r="F3655" s="30" t="n">
        <v>42879</v>
      </c>
      <c r="G3655" s="30" t="n">
        <v>42961</v>
      </c>
      <c r="H3655" s="26" t="n">
        <f aca="false">G3655-F3655</f>
        <v>82</v>
      </c>
      <c r="I3655" s="10" t="n">
        <f aca="false">IF(E3655="Won",1,0)</f>
        <v>0</v>
      </c>
    </row>
    <row r="3656" customFormat="false" ht="15" hidden="false" customHeight="false" outlineLevel="0" collapsed="false">
      <c r="A3656" s="10" t="s">
        <v>5997</v>
      </c>
      <c r="B3656" s="10" t="s">
        <v>68</v>
      </c>
      <c r="C3656" s="10" t="s">
        <v>50</v>
      </c>
      <c r="D3656" s="10" t="s">
        <v>199</v>
      </c>
      <c r="E3656" s="10" t="s">
        <v>2342</v>
      </c>
      <c r="F3656" s="30" t="n">
        <v>42958</v>
      </c>
      <c r="G3656" s="30" t="n">
        <v>42961</v>
      </c>
      <c r="H3656" s="26" t="n">
        <f aca="false">G3656-F3656</f>
        <v>3</v>
      </c>
      <c r="I3656" s="10" t="n">
        <f aca="false">IF(E3656="Won",1,0)</f>
        <v>1</v>
      </c>
    </row>
    <row r="3657" customFormat="false" ht="15" hidden="false" customHeight="false" outlineLevel="0" collapsed="false">
      <c r="A3657" s="10" t="s">
        <v>5998</v>
      </c>
      <c r="B3657" s="10" t="s">
        <v>68</v>
      </c>
      <c r="C3657" s="10" t="s">
        <v>48</v>
      </c>
      <c r="D3657" s="10" t="s">
        <v>514</v>
      </c>
      <c r="E3657" s="10" t="s">
        <v>2342</v>
      </c>
      <c r="F3657" s="30" t="n">
        <v>42880</v>
      </c>
      <c r="G3657" s="30" t="n">
        <v>42961</v>
      </c>
      <c r="H3657" s="26" t="n">
        <f aca="false">G3657-F3657</f>
        <v>81</v>
      </c>
      <c r="I3657" s="10" t="n">
        <f aca="false">IF(E3657="Won",1,0)</f>
        <v>1</v>
      </c>
    </row>
    <row r="3658" customFormat="false" ht="15" hidden="false" customHeight="false" outlineLevel="0" collapsed="false">
      <c r="A3658" s="10" t="s">
        <v>5999</v>
      </c>
      <c r="B3658" s="10" t="s">
        <v>80</v>
      </c>
      <c r="C3658" s="10" t="s">
        <v>48</v>
      </c>
      <c r="D3658" s="10" t="s">
        <v>267</v>
      </c>
      <c r="E3658" s="10" t="s">
        <v>2342</v>
      </c>
      <c r="F3658" s="30" t="n">
        <v>42862</v>
      </c>
      <c r="G3658" s="30" t="n">
        <v>42961</v>
      </c>
      <c r="H3658" s="26" t="n">
        <f aca="false">G3658-F3658</f>
        <v>99</v>
      </c>
      <c r="I3658" s="10" t="n">
        <f aca="false">IF(E3658="Won",1,0)</f>
        <v>1</v>
      </c>
    </row>
    <row r="3659" customFormat="false" ht="15" hidden="false" customHeight="false" outlineLevel="0" collapsed="false">
      <c r="A3659" s="10" t="s">
        <v>6000</v>
      </c>
      <c r="B3659" s="10" t="s">
        <v>77</v>
      </c>
      <c r="C3659" s="10" t="s">
        <v>50</v>
      </c>
      <c r="D3659" s="10" t="s">
        <v>410</v>
      </c>
      <c r="E3659" s="10" t="s">
        <v>2345</v>
      </c>
      <c r="F3659" s="30" t="n">
        <v>42953</v>
      </c>
      <c r="G3659" s="30" t="n">
        <v>42961</v>
      </c>
      <c r="H3659" s="26" t="n">
        <f aca="false">G3659-F3659</f>
        <v>8</v>
      </c>
      <c r="I3659" s="10" t="n">
        <f aca="false">IF(E3659="Won",1,0)</f>
        <v>0</v>
      </c>
    </row>
    <row r="3660" customFormat="false" ht="15" hidden="false" customHeight="false" outlineLevel="0" collapsed="false">
      <c r="A3660" s="10" t="s">
        <v>6001</v>
      </c>
      <c r="B3660" s="10" t="s">
        <v>84</v>
      </c>
      <c r="C3660" s="10" t="s">
        <v>48</v>
      </c>
      <c r="D3660" s="10" t="s">
        <v>455</v>
      </c>
      <c r="E3660" s="10" t="s">
        <v>2345</v>
      </c>
      <c r="F3660" s="30" t="n">
        <v>42895</v>
      </c>
      <c r="G3660" s="30" t="n">
        <v>42961</v>
      </c>
      <c r="H3660" s="26" t="n">
        <f aca="false">G3660-F3660</f>
        <v>66</v>
      </c>
      <c r="I3660" s="10" t="n">
        <f aca="false">IF(E3660="Won",1,0)</f>
        <v>0</v>
      </c>
    </row>
    <row r="3661" customFormat="false" ht="15" hidden="false" customHeight="false" outlineLevel="0" collapsed="false">
      <c r="A3661" s="10" t="s">
        <v>6002</v>
      </c>
      <c r="B3661" s="10" t="s">
        <v>81</v>
      </c>
      <c r="C3661" s="10" t="s">
        <v>47</v>
      </c>
      <c r="D3661" s="10" t="s">
        <v>947</v>
      </c>
      <c r="E3661" s="10" t="s">
        <v>2345</v>
      </c>
      <c r="F3661" s="30" t="n">
        <v>42911</v>
      </c>
      <c r="G3661" s="30" t="n">
        <v>42961</v>
      </c>
      <c r="H3661" s="26" t="n">
        <f aca="false">G3661-F3661</f>
        <v>50</v>
      </c>
      <c r="I3661" s="10" t="n">
        <f aca="false">IF(E3661="Won",1,0)</f>
        <v>0</v>
      </c>
    </row>
    <row r="3662" customFormat="false" ht="15" hidden="false" customHeight="false" outlineLevel="0" collapsed="false">
      <c r="A3662" s="10" t="s">
        <v>6003</v>
      </c>
      <c r="B3662" s="10" t="s">
        <v>76</v>
      </c>
      <c r="C3662" s="10" t="s">
        <v>49</v>
      </c>
      <c r="D3662" s="10" t="s">
        <v>259</v>
      </c>
      <c r="E3662" s="10" t="s">
        <v>2345</v>
      </c>
      <c r="F3662" s="30" t="n">
        <v>42867</v>
      </c>
      <c r="G3662" s="30" t="n">
        <v>42961</v>
      </c>
      <c r="H3662" s="26" t="n">
        <f aca="false">G3662-F3662</f>
        <v>94</v>
      </c>
      <c r="I3662" s="10" t="n">
        <f aca="false">IF(E3662="Won",1,0)</f>
        <v>0</v>
      </c>
    </row>
    <row r="3663" customFormat="false" ht="15" hidden="false" customHeight="false" outlineLevel="0" collapsed="false">
      <c r="A3663" s="10" t="s">
        <v>6004</v>
      </c>
      <c r="B3663" s="10" t="s">
        <v>68</v>
      </c>
      <c r="C3663" s="10" t="s">
        <v>47</v>
      </c>
      <c r="D3663" s="10" t="s">
        <v>424</v>
      </c>
      <c r="E3663" s="10" t="s">
        <v>2342</v>
      </c>
      <c r="F3663" s="30" t="n">
        <v>42878</v>
      </c>
      <c r="G3663" s="30" t="n">
        <v>42961</v>
      </c>
      <c r="H3663" s="26" t="n">
        <f aca="false">G3663-F3663</f>
        <v>83</v>
      </c>
      <c r="I3663" s="10" t="n">
        <f aca="false">IF(E3663="Won",1,0)</f>
        <v>1</v>
      </c>
    </row>
    <row r="3664" customFormat="false" ht="15" hidden="false" customHeight="false" outlineLevel="0" collapsed="false">
      <c r="A3664" s="10" t="s">
        <v>6005</v>
      </c>
      <c r="B3664" s="10" t="s">
        <v>77</v>
      </c>
      <c r="C3664" s="10" t="s">
        <v>48</v>
      </c>
      <c r="D3664" s="10" t="s">
        <v>762</v>
      </c>
      <c r="E3664" s="10" t="s">
        <v>2342</v>
      </c>
      <c r="F3664" s="30" t="n">
        <v>42880</v>
      </c>
      <c r="G3664" s="30" t="n">
        <v>42961</v>
      </c>
      <c r="H3664" s="26" t="n">
        <f aca="false">G3664-F3664</f>
        <v>81</v>
      </c>
      <c r="I3664" s="10" t="n">
        <f aca="false">IF(E3664="Won",1,0)</f>
        <v>1</v>
      </c>
    </row>
    <row r="3665" customFormat="false" ht="15" hidden="false" customHeight="false" outlineLevel="0" collapsed="false">
      <c r="A3665" s="10" t="s">
        <v>6006</v>
      </c>
      <c r="B3665" s="10" t="s">
        <v>75</v>
      </c>
      <c r="C3665" s="10" t="s">
        <v>50</v>
      </c>
      <c r="D3665" s="10" t="s">
        <v>524</v>
      </c>
      <c r="E3665" s="10" t="s">
        <v>2345</v>
      </c>
      <c r="F3665" s="30" t="n">
        <v>42891</v>
      </c>
      <c r="G3665" s="30" t="n">
        <v>42961</v>
      </c>
      <c r="H3665" s="26" t="n">
        <f aca="false">G3665-F3665</f>
        <v>70</v>
      </c>
      <c r="I3665" s="10" t="n">
        <f aca="false">IF(E3665="Won",1,0)</f>
        <v>0</v>
      </c>
    </row>
    <row r="3666" customFormat="false" ht="15" hidden="false" customHeight="false" outlineLevel="0" collapsed="false">
      <c r="A3666" s="10" t="s">
        <v>6007</v>
      </c>
      <c r="B3666" s="10" t="s">
        <v>71</v>
      </c>
      <c r="C3666" s="10" t="s">
        <v>49</v>
      </c>
      <c r="D3666" s="10" t="s">
        <v>267</v>
      </c>
      <c r="E3666" s="10" t="s">
        <v>2342</v>
      </c>
      <c r="F3666" s="30" t="n">
        <v>42853</v>
      </c>
      <c r="G3666" s="30" t="n">
        <v>42961</v>
      </c>
      <c r="H3666" s="26" t="n">
        <f aca="false">G3666-F3666</f>
        <v>108</v>
      </c>
      <c r="I3666" s="10" t="n">
        <f aca="false">IF(E3666="Won",1,0)</f>
        <v>1</v>
      </c>
    </row>
    <row r="3667" customFormat="false" ht="15" hidden="false" customHeight="false" outlineLevel="0" collapsed="false">
      <c r="A3667" s="10" t="s">
        <v>6008</v>
      </c>
      <c r="B3667" s="10" t="s">
        <v>70</v>
      </c>
      <c r="C3667" s="10" t="s">
        <v>51</v>
      </c>
      <c r="D3667" s="10" t="s">
        <v>326</v>
      </c>
      <c r="E3667" s="10" t="s">
        <v>2342</v>
      </c>
      <c r="F3667" s="30" t="n">
        <v>42859</v>
      </c>
      <c r="G3667" s="30" t="n">
        <v>42961</v>
      </c>
      <c r="H3667" s="26" t="n">
        <f aca="false">G3667-F3667</f>
        <v>102</v>
      </c>
      <c r="I3667" s="10" t="n">
        <f aca="false">IF(E3667="Won",1,0)</f>
        <v>1</v>
      </c>
    </row>
    <row r="3668" customFormat="false" ht="15" hidden="false" customHeight="false" outlineLevel="0" collapsed="false">
      <c r="A3668" s="10" t="s">
        <v>6009</v>
      </c>
      <c r="B3668" s="10" t="s">
        <v>95</v>
      </c>
      <c r="C3668" s="10" t="s">
        <v>51</v>
      </c>
      <c r="D3668" s="10" t="s">
        <v>432</v>
      </c>
      <c r="E3668" s="10" t="s">
        <v>2345</v>
      </c>
      <c r="F3668" s="30" t="n">
        <v>42898</v>
      </c>
      <c r="G3668" s="30" t="n">
        <v>42961</v>
      </c>
      <c r="H3668" s="26" t="n">
        <f aca="false">G3668-F3668</f>
        <v>63</v>
      </c>
      <c r="I3668" s="10" t="n">
        <f aca="false">IF(E3668="Won",1,0)</f>
        <v>0</v>
      </c>
    </row>
    <row r="3669" customFormat="false" ht="15" hidden="false" customHeight="false" outlineLevel="0" collapsed="false">
      <c r="A3669" s="10" t="s">
        <v>6010</v>
      </c>
      <c r="B3669" s="10" t="s">
        <v>86</v>
      </c>
      <c r="C3669" s="10" t="s">
        <v>48</v>
      </c>
      <c r="D3669" s="10" t="s">
        <v>286</v>
      </c>
      <c r="E3669" s="10" t="s">
        <v>2345</v>
      </c>
      <c r="F3669" s="30" t="n">
        <v>42882</v>
      </c>
      <c r="G3669" s="30" t="n">
        <v>42961</v>
      </c>
      <c r="H3669" s="26" t="n">
        <f aca="false">G3669-F3669</f>
        <v>79</v>
      </c>
      <c r="I3669" s="10" t="n">
        <f aca="false">IF(E3669="Won",1,0)</f>
        <v>0</v>
      </c>
    </row>
    <row r="3670" customFormat="false" ht="15" hidden="false" customHeight="false" outlineLevel="0" collapsed="false">
      <c r="A3670" s="10" t="s">
        <v>6011</v>
      </c>
      <c r="B3670" s="10" t="s">
        <v>79</v>
      </c>
      <c r="C3670" s="10" t="s">
        <v>50</v>
      </c>
      <c r="D3670" s="10" t="s">
        <v>762</v>
      </c>
      <c r="E3670" s="10" t="s">
        <v>2342</v>
      </c>
      <c r="F3670" s="30" t="n">
        <v>42864</v>
      </c>
      <c r="G3670" s="30" t="n">
        <v>42961</v>
      </c>
      <c r="H3670" s="26" t="n">
        <f aca="false">G3670-F3670</f>
        <v>97</v>
      </c>
      <c r="I3670" s="10" t="n">
        <f aca="false">IF(E3670="Won",1,0)</f>
        <v>1</v>
      </c>
    </row>
    <row r="3671" customFormat="false" ht="15" hidden="false" customHeight="false" outlineLevel="0" collapsed="false">
      <c r="A3671" s="10" t="s">
        <v>6012</v>
      </c>
      <c r="B3671" s="10" t="s">
        <v>94</v>
      </c>
      <c r="C3671" s="10" t="s">
        <v>50</v>
      </c>
      <c r="D3671" s="10" t="s">
        <v>506</v>
      </c>
      <c r="E3671" s="10" t="s">
        <v>2345</v>
      </c>
      <c r="F3671" s="30" t="n">
        <v>42882</v>
      </c>
      <c r="G3671" s="30" t="n">
        <v>42961</v>
      </c>
      <c r="H3671" s="26" t="n">
        <f aca="false">G3671-F3671</f>
        <v>79</v>
      </c>
      <c r="I3671" s="10" t="n">
        <f aca="false">IF(E3671="Won",1,0)</f>
        <v>0</v>
      </c>
    </row>
    <row r="3672" customFormat="false" ht="15" hidden="false" customHeight="false" outlineLevel="0" collapsed="false">
      <c r="A3672" s="10" t="s">
        <v>6013</v>
      </c>
      <c r="B3672" s="10" t="s">
        <v>70</v>
      </c>
      <c r="C3672" s="10" t="s">
        <v>49</v>
      </c>
      <c r="D3672" s="10" t="s">
        <v>424</v>
      </c>
      <c r="E3672" s="10" t="s">
        <v>2345</v>
      </c>
      <c r="F3672" s="30" t="n">
        <v>42891</v>
      </c>
      <c r="G3672" s="30" t="n">
        <v>42961</v>
      </c>
      <c r="H3672" s="26" t="n">
        <f aca="false">G3672-F3672</f>
        <v>70</v>
      </c>
      <c r="I3672" s="10" t="n">
        <f aca="false">IF(E3672="Won",1,0)</f>
        <v>0</v>
      </c>
    </row>
    <row r="3673" customFormat="false" ht="15" hidden="false" customHeight="false" outlineLevel="0" collapsed="false">
      <c r="A3673" s="10" t="s">
        <v>6014</v>
      </c>
      <c r="B3673" s="10" t="s">
        <v>77</v>
      </c>
      <c r="C3673" s="10" t="s">
        <v>48</v>
      </c>
      <c r="D3673" s="10" t="s">
        <v>410</v>
      </c>
      <c r="E3673" s="10" t="s">
        <v>2342</v>
      </c>
      <c r="F3673" s="30" t="n">
        <v>42839</v>
      </c>
      <c r="G3673" s="30" t="n">
        <v>42961</v>
      </c>
      <c r="H3673" s="26" t="n">
        <f aca="false">G3673-F3673</f>
        <v>122</v>
      </c>
      <c r="I3673" s="10" t="n">
        <f aca="false">IF(E3673="Won",1,0)</f>
        <v>1</v>
      </c>
    </row>
    <row r="3674" customFormat="false" ht="15" hidden="false" customHeight="false" outlineLevel="0" collapsed="false">
      <c r="A3674" s="10" t="s">
        <v>6015</v>
      </c>
      <c r="B3674" s="10" t="s">
        <v>61</v>
      </c>
      <c r="C3674" s="10" t="s">
        <v>52</v>
      </c>
      <c r="D3674" s="10" t="s">
        <v>293</v>
      </c>
      <c r="E3674" s="10" t="s">
        <v>2345</v>
      </c>
      <c r="F3674" s="30" t="n">
        <v>42873</v>
      </c>
      <c r="G3674" s="30" t="n">
        <v>42961</v>
      </c>
      <c r="H3674" s="26" t="n">
        <f aca="false">G3674-F3674</f>
        <v>88</v>
      </c>
      <c r="I3674" s="10" t="n">
        <f aca="false">IF(E3674="Won",1,0)</f>
        <v>0</v>
      </c>
    </row>
    <row r="3675" customFormat="false" ht="15" hidden="false" customHeight="false" outlineLevel="0" collapsed="false">
      <c r="A3675" s="10" t="s">
        <v>6016</v>
      </c>
      <c r="B3675" s="10" t="s">
        <v>60</v>
      </c>
      <c r="C3675" s="10" t="s">
        <v>48</v>
      </c>
      <c r="D3675" s="10" t="s">
        <v>1334</v>
      </c>
      <c r="E3675" s="10" t="s">
        <v>2342</v>
      </c>
      <c r="F3675" s="30" t="n">
        <v>42873</v>
      </c>
      <c r="G3675" s="30" t="n">
        <v>42961</v>
      </c>
      <c r="H3675" s="26" t="n">
        <f aca="false">G3675-F3675</f>
        <v>88</v>
      </c>
      <c r="I3675" s="10" t="n">
        <f aca="false">IF(E3675="Won",1,0)</f>
        <v>1</v>
      </c>
    </row>
    <row r="3676" customFormat="false" ht="15" hidden="false" customHeight="false" outlineLevel="0" collapsed="false">
      <c r="A3676" s="10" t="s">
        <v>6017</v>
      </c>
      <c r="B3676" s="10" t="s">
        <v>90</v>
      </c>
      <c r="C3676" s="10" t="s">
        <v>48</v>
      </c>
      <c r="D3676" s="10" t="s">
        <v>359</v>
      </c>
      <c r="E3676" s="10" t="s">
        <v>2342</v>
      </c>
      <c r="F3676" s="30" t="n">
        <v>42950</v>
      </c>
      <c r="G3676" s="30" t="n">
        <v>42961</v>
      </c>
      <c r="H3676" s="26" t="n">
        <f aca="false">G3676-F3676</f>
        <v>11</v>
      </c>
      <c r="I3676" s="10" t="n">
        <f aca="false">IF(E3676="Won",1,0)</f>
        <v>1</v>
      </c>
    </row>
    <row r="3677" customFormat="false" ht="15" hidden="false" customHeight="false" outlineLevel="0" collapsed="false">
      <c r="A3677" s="10" t="s">
        <v>6018</v>
      </c>
      <c r="B3677" s="10" t="s">
        <v>87</v>
      </c>
      <c r="C3677" s="10" t="s">
        <v>48</v>
      </c>
      <c r="D3677" s="10" t="s">
        <v>1334</v>
      </c>
      <c r="E3677" s="10" t="s">
        <v>2345</v>
      </c>
      <c r="F3677" s="30" t="n">
        <v>42914</v>
      </c>
      <c r="G3677" s="30" t="n">
        <v>42961</v>
      </c>
      <c r="H3677" s="26" t="n">
        <f aca="false">G3677-F3677</f>
        <v>47</v>
      </c>
      <c r="I3677" s="10" t="n">
        <f aca="false">IF(E3677="Won",1,0)</f>
        <v>0</v>
      </c>
    </row>
    <row r="3678" customFormat="false" ht="15" hidden="false" customHeight="false" outlineLevel="0" collapsed="false">
      <c r="A3678" s="10" t="s">
        <v>6019</v>
      </c>
      <c r="B3678" s="10" t="s">
        <v>88</v>
      </c>
      <c r="C3678" s="10" t="s">
        <v>47</v>
      </c>
      <c r="D3678" s="10" t="s">
        <v>1118</v>
      </c>
      <c r="E3678" s="10" t="s">
        <v>2345</v>
      </c>
      <c r="F3678" s="30" t="n">
        <v>42869</v>
      </c>
      <c r="G3678" s="30" t="n">
        <v>42961</v>
      </c>
      <c r="H3678" s="26" t="n">
        <f aca="false">G3678-F3678</f>
        <v>92</v>
      </c>
      <c r="I3678" s="10" t="n">
        <f aca="false">IF(E3678="Won",1,0)</f>
        <v>0</v>
      </c>
    </row>
    <row r="3679" customFormat="false" ht="15" hidden="false" customHeight="false" outlineLevel="0" collapsed="false">
      <c r="A3679" s="10" t="s">
        <v>6020</v>
      </c>
      <c r="B3679" s="10" t="s">
        <v>87</v>
      </c>
      <c r="C3679" s="10" t="s">
        <v>47</v>
      </c>
      <c r="D3679" s="10" t="s">
        <v>1118</v>
      </c>
      <c r="E3679" s="10" t="s">
        <v>2342</v>
      </c>
      <c r="F3679" s="30" t="n">
        <v>42949</v>
      </c>
      <c r="G3679" s="30" t="n">
        <v>42961</v>
      </c>
      <c r="H3679" s="26" t="n">
        <f aca="false">G3679-F3679</f>
        <v>12</v>
      </c>
      <c r="I3679" s="10" t="n">
        <f aca="false">IF(E3679="Won",1,0)</f>
        <v>1</v>
      </c>
    </row>
    <row r="3680" customFormat="false" ht="15" hidden="false" customHeight="false" outlineLevel="0" collapsed="false">
      <c r="A3680" s="10" t="s">
        <v>6021</v>
      </c>
      <c r="B3680" s="10" t="s">
        <v>96</v>
      </c>
      <c r="C3680" s="10" t="s">
        <v>51</v>
      </c>
      <c r="D3680" s="10" t="s">
        <v>313</v>
      </c>
      <c r="E3680" s="10" t="s">
        <v>2345</v>
      </c>
      <c r="F3680" s="30" t="n">
        <v>42890</v>
      </c>
      <c r="G3680" s="30" t="n">
        <v>42961</v>
      </c>
      <c r="H3680" s="26" t="n">
        <f aca="false">G3680-F3680</f>
        <v>71</v>
      </c>
      <c r="I3680" s="10" t="n">
        <f aca="false">IF(E3680="Won",1,0)</f>
        <v>0</v>
      </c>
    </row>
    <row r="3681" customFormat="false" ht="15" hidden="false" customHeight="false" outlineLevel="0" collapsed="false">
      <c r="A3681" s="10" t="s">
        <v>6022</v>
      </c>
      <c r="B3681" s="10" t="s">
        <v>68</v>
      </c>
      <c r="C3681" s="10" t="s">
        <v>46</v>
      </c>
      <c r="D3681" s="10" t="s">
        <v>437</v>
      </c>
      <c r="E3681" s="10" t="s">
        <v>2342</v>
      </c>
      <c r="F3681" s="30" t="n">
        <v>42877</v>
      </c>
      <c r="G3681" s="30" t="n">
        <v>42961</v>
      </c>
      <c r="H3681" s="26" t="n">
        <f aca="false">G3681-F3681</f>
        <v>84</v>
      </c>
      <c r="I3681" s="10" t="n">
        <f aca="false">IF(E3681="Won",1,0)</f>
        <v>1</v>
      </c>
    </row>
    <row r="3682" customFormat="false" ht="15" hidden="false" customHeight="false" outlineLevel="0" collapsed="false">
      <c r="A3682" s="10" t="s">
        <v>6023</v>
      </c>
      <c r="B3682" s="10" t="s">
        <v>66</v>
      </c>
      <c r="C3682" s="10" t="s">
        <v>52</v>
      </c>
      <c r="D3682" s="10" t="s">
        <v>210</v>
      </c>
      <c r="E3682" s="10" t="s">
        <v>2345</v>
      </c>
      <c r="F3682" s="30" t="n">
        <v>42857</v>
      </c>
      <c r="G3682" s="30" t="n">
        <v>42961</v>
      </c>
      <c r="H3682" s="26" t="n">
        <f aca="false">G3682-F3682</f>
        <v>104</v>
      </c>
      <c r="I3682" s="10" t="n">
        <f aca="false">IF(E3682="Won",1,0)</f>
        <v>0</v>
      </c>
    </row>
    <row r="3683" customFormat="false" ht="15" hidden="false" customHeight="false" outlineLevel="0" collapsed="false">
      <c r="A3683" s="10" t="s">
        <v>6024</v>
      </c>
      <c r="B3683" s="10" t="s">
        <v>75</v>
      </c>
      <c r="C3683" s="10" t="s">
        <v>51</v>
      </c>
      <c r="D3683" s="10" t="s">
        <v>414</v>
      </c>
      <c r="E3683" s="10" t="s">
        <v>2342</v>
      </c>
      <c r="F3683" s="30" t="n">
        <v>42853</v>
      </c>
      <c r="G3683" s="30" t="n">
        <v>42961</v>
      </c>
      <c r="H3683" s="26" t="n">
        <f aca="false">G3683-F3683</f>
        <v>108</v>
      </c>
      <c r="I3683" s="10" t="n">
        <f aca="false">IF(E3683="Won",1,0)</f>
        <v>1</v>
      </c>
    </row>
    <row r="3684" customFormat="false" ht="15" hidden="false" customHeight="false" outlineLevel="0" collapsed="false">
      <c r="A3684" s="10" t="s">
        <v>6025</v>
      </c>
      <c r="B3684" s="10" t="s">
        <v>79</v>
      </c>
      <c r="C3684" s="10" t="s">
        <v>52</v>
      </c>
      <c r="D3684" s="10" t="s">
        <v>869</v>
      </c>
      <c r="E3684" s="10" t="s">
        <v>2342</v>
      </c>
      <c r="F3684" s="30" t="n">
        <v>42910</v>
      </c>
      <c r="G3684" s="30" t="n">
        <v>42961</v>
      </c>
      <c r="H3684" s="26" t="n">
        <f aca="false">G3684-F3684</f>
        <v>51</v>
      </c>
      <c r="I3684" s="10" t="n">
        <f aca="false">IF(E3684="Won",1,0)</f>
        <v>1</v>
      </c>
    </row>
    <row r="3685" customFormat="false" ht="15" hidden="false" customHeight="false" outlineLevel="0" collapsed="false">
      <c r="A3685" s="10" t="s">
        <v>6026</v>
      </c>
      <c r="B3685" s="10" t="s">
        <v>87</v>
      </c>
      <c r="C3685" s="10" t="s">
        <v>51</v>
      </c>
      <c r="D3685" s="10" t="s">
        <v>1397</v>
      </c>
      <c r="E3685" s="10" t="s">
        <v>2345</v>
      </c>
      <c r="F3685" s="30" t="n">
        <v>42948</v>
      </c>
      <c r="G3685" s="30" t="n">
        <v>42961</v>
      </c>
      <c r="H3685" s="26" t="n">
        <f aca="false">G3685-F3685</f>
        <v>13</v>
      </c>
      <c r="I3685" s="10" t="n">
        <f aca="false">IF(E3685="Won",1,0)</f>
        <v>0</v>
      </c>
    </row>
    <row r="3686" customFormat="false" ht="15" hidden="false" customHeight="false" outlineLevel="0" collapsed="false">
      <c r="A3686" s="10" t="s">
        <v>6027</v>
      </c>
      <c r="B3686" s="10" t="s">
        <v>94</v>
      </c>
      <c r="C3686" s="10" t="s">
        <v>50</v>
      </c>
      <c r="D3686" s="10" t="s">
        <v>326</v>
      </c>
      <c r="E3686" s="10" t="s">
        <v>2345</v>
      </c>
      <c r="F3686" s="30" t="n">
        <v>42919</v>
      </c>
      <c r="G3686" s="30" t="n">
        <v>42962</v>
      </c>
      <c r="H3686" s="26" t="n">
        <f aca="false">G3686-F3686</f>
        <v>43</v>
      </c>
      <c r="I3686" s="10" t="n">
        <f aca="false">IF(E3686="Won",1,0)</f>
        <v>0</v>
      </c>
    </row>
    <row r="3687" customFormat="false" ht="15" hidden="false" customHeight="false" outlineLevel="0" collapsed="false">
      <c r="A3687" s="10" t="s">
        <v>6028</v>
      </c>
      <c r="B3687" s="10" t="s">
        <v>62</v>
      </c>
      <c r="C3687" s="10" t="s">
        <v>52</v>
      </c>
      <c r="D3687" s="10" t="s">
        <v>286</v>
      </c>
      <c r="E3687" s="10" t="s">
        <v>2342</v>
      </c>
      <c r="F3687" s="30" t="n">
        <v>42909</v>
      </c>
      <c r="G3687" s="30" t="n">
        <v>42962</v>
      </c>
      <c r="H3687" s="26" t="n">
        <f aca="false">G3687-F3687</f>
        <v>53</v>
      </c>
      <c r="I3687" s="10" t="n">
        <f aca="false">IF(E3687="Won",1,0)</f>
        <v>1</v>
      </c>
    </row>
    <row r="3688" customFormat="false" ht="15" hidden="false" customHeight="false" outlineLevel="0" collapsed="false">
      <c r="A3688" s="10" t="s">
        <v>6029</v>
      </c>
      <c r="B3688" s="10" t="s">
        <v>71</v>
      </c>
      <c r="C3688" s="10" t="s">
        <v>49</v>
      </c>
      <c r="D3688" s="10" t="s">
        <v>422</v>
      </c>
      <c r="E3688" s="10" t="s">
        <v>2345</v>
      </c>
      <c r="F3688" s="30" t="n">
        <v>42860</v>
      </c>
      <c r="G3688" s="30" t="n">
        <v>42962</v>
      </c>
      <c r="H3688" s="26" t="n">
        <f aca="false">G3688-F3688</f>
        <v>102</v>
      </c>
      <c r="I3688" s="10" t="n">
        <f aca="false">IF(E3688="Won",1,0)</f>
        <v>0</v>
      </c>
    </row>
    <row r="3689" customFormat="false" ht="15" hidden="false" customHeight="false" outlineLevel="0" collapsed="false">
      <c r="A3689" s="10" t="s">
        <v>6030</v>
      </c>
      <c r="B3689" s="10" t="s">
        <v>74</v>
      </c>
      <c r="C3689" s="10" t="s">
        <v>51</v>
      </c>
      <c r="D3689" s="10" t="s">
        <v>524</v>
      </c>
      <c r="E3689" s="10" t="s">
        <v>2342</v>
      </c>
      <c r="F3689" s="30" t="n">
        <v>42874</v>
      </c>
      <c r="G3689" s="30" t="n">
        <v>42962</v>
      </c>
      <c r="H3689" s="26" t="n">
        <f aca="false">G3689-F3689</f>
        <v>88</v>
      </c>
      <c r="I3689" s="10" t="n">
        <f aca="false">IF(E3689="Won",1,0)</f>
        <v>1</v>
      </c>
    </row>
    <row r="3690" customFormat="false" ht="15" hidden="false" customHeight="false" outlineLevel="0" collapsed="false">
      <c r="A3690" s="10" t="s">
        <v>6031</v>
      </c>
      <c r="B3690" s="10" t="s">
        <v>61</v>
      </c>
      <c r="C3690" s="10" t="s">
        <v>48</v>
      </c>
      <c r="D3690" s="10" t="s">
        <v>254</v>
      </c>
      <c r="E3690" s="10" t="s">
        <v>2345</v>
      </c>
      <c r="F3690" s="30" t="n">
        <v>42906</v>
      </c>
      <c r="G3690" s="30" t="n">
        <v>42962</v>
      </c>
      <c r="H3690" s="26" t="n">
        <f aca="false">G3690-F3690</f>
        <v>56</v>
      </c>
      <c r="I3690" s="10" t="n">
        <f aca="false">IF(E3690="Won",1,0)</f>
        <v>0</v>
      </c>
    </row>
    <row r="3691" customFormat="false" ht="15" hidden="false" customHeight="false" outlineLevel="0" collapsed="false">
      <c r="A3691" s="10" t="s">
        <v>6032</v>
      </c>
      <c r="B3691" s="10" t="s">
        <v>71</v>
      </c>
      <c r="C3691" s="10" t="s">
        <v>50</v>
      </c>
      <c r="D3691" s="10" t="s">
        <v>512</v>
      </c>
      <c r="E3691" s="10" t="s">
        <v>2345</v>
      </c>
      <c r="F3691" s="30" t="n">
        <v>42881</v>
      </c>
      <c r="G3691" s="30" t="n">
        <v>42962</v>
      </c>
      <c r="H3691" s="26" t="n">
        <f aca="false">G3691-F3691</f>
        <v>81</v>
      </c>
      <c r="I3691" s="10" t="n">
        <f aca="false">IF(E3691="Won",1,0)</f>
        <v>0</v>
      </c>
    </row>
    <row r="3692" customFormat="false" ht="15" hidden="false" customHeight="false" outlineLevel="0" collapsed="false">
      <c r="A3692" s="10" t="s">
        <v>6033</v>
      </c>
      <c r="B3692" s="10" t="s">
        <v>77</v>
      </c>
      <c r="C3692" s="10" t="s">
        <v>49</v>
      </c>
      <c r="D3692" s="10" t="s">
        <v>512</v>
      </c>
      <c r="E3692" s="10" t="s">
        <v>2342</v>
      </c>
      <c r="F3692" s="30" t="n">
        <v>42868</v>
      </c>
      <c r="G3692" s="30" t="n">
        <v>42962</v>
      </c>
      <c r="H3692" s="26" t="n">
        <f aca="false">G3692-F3692</f>
        <v>94</v>
      </c>
      <c r="I3692" s="10" t="n">
        <f aca="false">IF(E3692="Won",1,0)</f>
        <v>1</v>
      </c>
    </row>
    <row r="3693" customFormat="false" ht="15" hidden="false" customHeight="false" outlineLevel="0" collapsed="false">
      <c r="A3693" s="10" t="s">
        <v>6034</v>
      </c>
      <c r="B3693" s="10" t="s">
        <v>80</v>
      </c>
      <c r="C3693" s="10" t="s">
        <v>51</v>
      </c>
      <c r="D3693" s="10" t="s">
        <v>179</v>
      </c>
      <c r="E3693" s="10" t="s">
        <v>2345</v>
      </c>
      <c r="F3693" s="30" t="n">
        <v>42853</v>
      </c>
      <c r="G3693" s="30" t="n">
        <v>42962</v>
      </c>
      <c r="H3693" s="26" t="n">
        <f aca="false">G3693-F3693</f>
        <v>109</v>
      </c>
      <c r="I3693" s="10" t="n">
        <f aca="false">IF(E3693="Won",1,0)</f>
        <v>0</v>
      </c>
    </row>
    <row r="3694" customFormat="false" ht="15" hidden="false" customHeight="false" outlineLevel="0" collapsed="false">
      <c r="A3694" s="10" t="s">
        <v>6035</v>
      </c>
      <c r="B3694" s="10" t="s">
        <v>76</v>
      </c>
      <c r="C3694" s="10" t="s">
        <v>52</v>
      </c>
      <c r="D3694" s="10" t="s">
        <v>279</v>
      </c>
      <c r="E3694" s="10" t="s">
        <v>2342</v>
      </c>
      <c r="F3694" s="30" t="n">
        <v>42852</v>
      </c>
      <c r="G3694" s="30" t="n">
        <v>42962</v>
      </c>
      <c r="H3694" s="26" t="n">
        <f aca="false">G3694-F3694</f>
        <v>110</v>
      </c>
      <c r="I3694" s="10" t="n">
        <f aca="false">IF(E3694="Won",1,0)</f>
        <v>1</v>
      </c>
    </row>
    <row r="3695" customFormat="false" ht="15" hidden="false" customHeight="false" outlineLevel="0" collapsed="false">
      <c r="A3695" s="10" t="s">
        <v>6036</v>
      </c>
      <c r="B3695" s="10" t="s">
        <v>96</v>
      </c>
      <c r="C3695" s="10" t="s">
        <v>49</v>
      </c>
      <c r="D3695" s="10" t="s">
        <v>175</v>
      </c>
      <c r="E3695" s="10" t="s">
        <v>2342</v>
      </c>
      <c r="F3695" s="30" t="n">
        <v>42905</v>
      </c>
      <c r="G3695" s="30" t="n">
        <v>42962</v>
      </c>
      <c r="H3695" s="26" t="n">
        <f aca="false">G3695-F3695</f>
        <v>57</v>
      </c>
      <c r="I3695" s="10" t="n">
        <f aca="false">IF(E3695="Won",1,0)</f>
        <v>1</v>
      </c>
    </row>
    <row r="3696" customFormat="false" ht="15" hidden="false" customHeight="false" outlineLevel="0" collapsed="false">
      <c r="A3696" s="10" t="s">
        <v>6037</v>
      </c>
      <c r="B3696" s="10" t="s">
        <v>79</v>
      </c>
      <c r="C3696" s="10" t="s">
        <v>48</v>
      </c>
      <c r="D3696" s="10" t="s">
        <v>527</v>
      </c>
      <c r="E3696" s="10" t="s">
        <v>2345</v>
      </c>
      <c r="F3696" s="30" t="n">
        <v>42950</v>
      </c>
      <c r="G3696" s="30" t="n">
        <v>42962</v>
      </c>
      <c r="H3696" s="26" t="n">
        <f aca="false">G3696-F3696</f>
        <v>12</v>
      </c>
      <c r="I3696" s="10" t="n">
        <f aca="false">IF(E3696="Won",1,0)</f>
        <v>0</v>
      </c>
    </row>
    <row r="3697" customFormat="false" ht="15" hidden="false" customHeight="false" outlineLevel="0" collapsed="false">
      <c r="A3697" s="10" t="s">
        <v>6038</v>
      </c>
      <c r="B3697" s="10" t="s">
        <v>63</v>
      </c>
      <c r="C3697" s="10" t="s">
        <v>51</v>
      </c>
      <c r="D3697" s="10" t="s">
        <v>233</v>
      </c>
      <c r="E3697" s="10" t="s">
        <v>2342</v>
      </c>
      <c r="F3697" s="30" t="n">
        <v>42946</v>
      </c>
      <c r="G3697" s="30" t="n">
        <v>42962</v>
      </c>
      <c r="H3697" s="26" t="n">
        <f aca="false">G3697-F3697</f>
        <v>16</v>
      </c>
      <c r="I3697" s="10" t="n">
        <f aca="false">IF(E3697="Won",1,0)</f>
        <v>1</v>
      </c>
    </row>
    <row r="3698" customFormat="false" ht="15" hidden="false" customHeight="false" outlineLevel="0" collapsed="false">
      <c r="A3698" s="10" t="s">
        <v>6039</v>
      </c>
      <c r="B3698" s="10" t="s">
        <v>68</v>
      </c>
      <c r="C3698" s="10" t="s">
        <v>46</v>
      </c>
      <c r="D3698" s="10" t="s">
        <v>286</v>
      </c>
      <c r="E3698" s="10" t="s">
        <v>2345</v>
      </c>
      <c r="F3698" s="30" t="n">
        <v>42903</v>
      </c>
      <c r="G3698" s="30" t="n">
        <v>42962</v>
      </c>
      <c r="H3698" s="26" t="n">
        <f aca="false">G3698-F3698</f>
        <v>59</v>
      </c>
      <c r="I3698" s="10" t="n">
        <f aca="false">IF(E3698="Won",1,0)</f>
        <v>0</v>
      </c>
    </row>
    <row r="3699" customFormat="false" ht="15" hidden="false" customHeight="false" outlineLevel="0" collapsed="false">
      <c r="A3699" s="10" t="s">
        <v>6040</v>
      </c>
      <c r="B3699" s="10" t="s">
        <v>87</v>
      </c>
      <c r="C3699" s="10" t="s">
        <v>50</v>
      </c>
      <c r="D3699" s="10" t="s">
        <v>185</v>
      </c>
      <c r="E3699" s="10" t="s">
        <v>2342</v>
      </c>
      <c r="F3699" s="30" t="n">
        <v>42892</v>
      </c>
      <c r="G3699" s="30" t="n">
        <v>42962</v>
      </c>
      <c r="H3699" s="26" t="n">
        <f aca="false">G3699-F3699</f>
        <v>70</v>
      </c>
      <c r="I3699" s="10" t="n">
        <f aca="false">IF(E3699="Won",1,0)</f>
        <v>1</v>
      </c>
    </row>
    <row r="3700" customFormat="false" ht="15" hidden="false" customHeight="false" outlineLevel="0" collapsed="false">
      <c r="A3700" s="10" t="s">
        <v>6041</v>
      </c>
      <c r="B3700" s="10" t="s">
        <v>77</v>
      </c>
      <c r="C3700" s="10" t="s">
        <v>49</v>
      </c>
      <c r="D3700" s="10" t="s">
        <v>697</v>
      </c>
      <c r="E3700" s="10" t="s">
        <v>2345</v>
      </c>
      <c r="F3700" s="30" t="n">
        <v>42904</v>
      </c>
      <c r="G3700" s="30" t="n">
        <v>42962</v>
      </c>
      <c r="H3700" s="26" t="n">
        <f aca="false">G3700-F3700</f>
        <v>58</v>
      </c>
      <c r="I3700" s="10" t="n">
        <f aca="false">IF(E3700="Won",1,0)</f>
        <v>0</v>
      </c>
    </row>
    <row r="3701" customFormat="false" ht="15" hidden="false" customHeight="false" outlineLevel="0" collapsed="false">
      <c r="A3701" s="10" t="s">
        <v>6042</v>
      </c>
      <c r="B3701" s="10" t="s">
        <v>95</v>
      </c>
      <c r="C3701" s="10" t="s">
        <v>52</v>
      </c>
      <c r="D3701" s="10" t="s">
        <v>168</v>
      </c>
      <c r="E3701" s="10" t="s">
        <v>2342</v>
      </c>
      <c r="F3701" s="30" t="n">
        <v>42886</v>
      </c>
      <c r="G3701" s="30" t="n">
        <v>42962</v>
      </c>
      <c r="H3701" s="26" t="n">
        <f aca="false">G3701-F3701</f>
        <v>76</v>
      </c>
      <c r="I3701" s="10" t="n">
        <f aca="false">IF(E3701="Won",1,0)</f>
        <v>1</v>
      </c>
    </row>
    <row r="3702" customFormat="false" ht="15" hidden="false" customHeight="false" outlineLevel="0" collapsed="false">
      <c r="A3702" s="10" t="s">
        <v>6043</v>
      </c>
      <c r="B3702" s="10" t="s">
        <v>75</v>
      </c>
      <c r="C3702" s="10" t="s">
        <v>52</v>
      </c>
      <c r="D3702" s="10" t="s">
        <v>321</v>
      </c>
      <c r="E3702" s="10" t="s">
        <v>2345</v>
      </c>
      <c r="F3702" s="30" t="n">
        <v>42952</v>
      </c>
      <c r="G3702" s="30" t="n">
        <v>42962</v>
      </c>
      <c r="H3702" s="26" t="n">
        <f aca="false">G3702-F3702</f>
        <v>10</v>
      </c>
      <c r="I3702" s="10" t="n">
        <f aca="false">IF(E3702="Won",1,0)</f>
        <v>0</v>
      </c>
    </row>
    <row r="3703" customFormat="false" ht="15" hidden="false" customHeight="false" outlineLevel="0" collapsed="false">
      <c r="A3703" s="10" t="s">
        <v>6044</v>
      </c>
      <c r="B3703" s="10" t="s">
        <v>70</v>
      </c>
      <c r="C3703" s="10" t="s">
        <v>47</v>
      </c>
      <c r="D3703" s="10" t="s">
        <v>497</v>
      </c>
      <c r="E3703" s="10" t="s">
        <v>2342</v>
      </c>
      <c r="F3703" s="30" t="n">
        <v>42885</v>
      </c>
      <c r="G3703" s="30" t="n">
        <v>42962</v>
      </c>
      <c r="H3703" s="26" t="n">
        <f aca="false">G3703-F3703</f>
        <v>77</v>
      </c>
      <c r="I3703" s="10" t="n">
        <f aca="false">IF(E3703="Won",1,0)</f>
        <v>1</v>
      </c>
    </row>
    <row r="3704" customFormat="false" ht="15" hidden="false" customHeight="false" outlineLevel="0" collapsed="false">
      <c r="A3704" s="10" t="s">
        <v>6045</v>
      </c>
      <c r="B3704" s="10" t="s">
        <v>77</v>
      </c>
      <c r="C3704" s="10" t="s">
        <v>48</v>
      </c>
      <c r="D3704" s="10" t="s">
        <v>321</v>
      </c>
      <c r="E3704" s="10" t="s">
        <v>2342</v>
      </c>
      <c r="F3704" s="30" t="n">
        <v>42849</v>
      </c>
      <c r="G3704" s="30" t="n">
        <v>42962</v>
      </c>
      <c r="H3704" s="26" t="n">
        <f aca="false">G3704-F3704</f>
        <v>113</v>
      </c>
      <c r="I3704" s="10" t="n">
        <f aca="false">IF(E3704="Won",1,0)</f>
        <v>1</v>
      </c>
    </row>
    <row r="3705" customFormat="false" ht="15" hidden="false" customHeight="false" outlineLevel="0" collapsed="false">
      <c r="A3705" s="10" t="s">
        <v>6046</v>
      </c>
      <c r="B3705" s="10" t="s">
        <v>71</v>
      </c>
      <c r="C3705" s="10" t="s">
        <v>49</v>
      </c>
      <c r="D3705" s="10" t="s">
        <v>697</v>
      </c>
      <c r="E3705" s="10" t="s">
        <v>2342</v>
      </c>
      <c r="F3705" s="30" t="n">
        <v>42895</v>
      </c>
      <c r="G3705" s="30" t="n">
        <v>42962</v>
      </c>
      <c r="H3705" s="26" t="n">
        <f aca="false">G3705-F3705</f>
        <v>67</v>
      </c>
      <c r="I3705" s="10" t="n">
        <f aca="false">IF(E3705="Won",1,0)</f>
        <v>1</v>
      </c>
    </row>
    <row r="3706" customFormat="false" ht="15" hidden="false" customHeight="false" outlineLevel="0" collapsed="false">
      <c r="A3706" s="10" t="s">
        <v>6047</v>
      </c>
      <c r="B3706" s="10" t="s">
        <v>76</v>
      </c>
      <c r="C3706" s="10" t="s">
        <v>52</v>
      </c>
      <c r="D3706" s="10" t="s">
        <v>321</v>
      </c>
      <c r="E3706" s="10" t="s">
        <v>2345</v>
      </c>
      <c r="F3706" s="30" t="n">
        <v>42955</v>
      </c>
      <c r="G3706" s="30" t="n">
        <v>42962</v>
      </c>
      <c r="H3706" s="26" t="n">
        <f aca="false">G3706-F3706</f>
        <v>7</v>
      </c>
      <c r="I3706" s="10" t="n">
        <f aca="false">IF(E3706="Won",1,0)</f>
        <v>0</v>
      </c>
    </row>
    <row r="3707" customFormat="false" ht="15" hidden="false" customHeight="false" outlineLevel="0" collapsed="false">
      <c r="A3707" s="10" t="s">
        <v>6048</v>
      </c>
      <c r="B3707" s="10" t="s">
        <v>70</v>
      </c>
      <c r="C3707" s="10" t="s">
        <v>51</v>
      </c>
      <c r="D3707" s="10" t="s">
        <v>497</v>
      </c>
      <c r="E3707" s="10" t="s">
        <v>2342</v>
      </c>
      <c r="F3707" s="30" t="n">
        <v>42885</v>
      </c>
      <c r="G3707" s="30" t="n">
        <v>42962</v>
      </c>
      <c r="H3707" s="26" t="n">
        <f aca="false">G3707-F3707</f>
        <v>77</v>
      </c>
      <c r="I3707" s="10" t="n">
        <f aca="false">IF(E3707="Won",1,0)</f>
        <v>1</v>
      </c>
    </row>
    <row r="3708" customFormat="false" ht="15" hidden="false" customHeight="false" outlineLevel="0" collapsed="false">
      <c r="A3708" s="10" t="s">
        <v>6049</v>
      </c>
      <c r="B3708" s="10" t="s">
        <v>84</v>
      </c>
      <c r="C3708" s="10" t="s">
        <v>50</v>
      </c>
      <c r="D3708" s="10" t="s">
        <v>405</v>
      </c>
      <c r="E3708" s="10" t="s">
        <v>2345</v>
      </c>
      <c r="F3708" s="30" t="n">
        <v>42917</v>
      </c>
      <c r="G3708" s="30" t="n">
        <v>42962</v>
      </c>
      <c r="H3708" s="26" t="n">
        <f aca="false">G3708-F3708</f>
        <v>45</v>
      </c>
      <c r="I3708" s="10" t="n">
        <f aca="false">IF(E3708="Won",1,0)</f>
        <v>0</v>
      </c>
    </row>
    <row r="3709" customFormat="false" ht="15" hidden="false" customHeight="false" outlineLevel="0" collapsed="false">
      <c r="A3709" s="10" t="s">
        <v>6050</v>
      </c>
      <c r="B3709" s="10" t="s">
        <v>77</v>
      </c>
      <c r="C3709" s="10" t="s">
        <v>47</v>
      </c>
      <c r="D3709" s="10" t="s">
        <v>947</v>
      </c>
      <c r="E3709" s="10" t="s">
        <v>2345</v>
      </c>
      <c r="F3709" s="30" t="n">
        <v>42899</v>
      </c>
      <c r="G3709" s="30" t="n">
        <v>42963</v>
      </c>
      <c r="H3709" s="26" t="n">
        <f aca="false">G3709-F3709</f>
        <v>64</v>
      </c>
      <c r="I3709" s="10" t="n">
        <f aca="false">IF(E3709="Won",1,0)</f>
        <v>0</v>
      </c>
    </row>
    <row r="3710" customFormat="false" ht="15" hidden="false" customHeight="false" outlineLevel="0" collapsed="false">
      <c r="A3710" s="10" t="s">
        <v>6051</v>
      </c>
      <c r="B3710" s="10" t="s">
        <v>94</v>
      </c>
      <c r="C3710" s="10" t="s">
        <v>51</v>
      </c>
      <c r="D3710" s="10" t="s">
        <v>497</v>
      </c>
      <c r="E3710" s="10" t="s">
        <v>2345</v>
      </c>
      <c r="F3710" s="30" t="n">
        <v>42844</v>
      </c>
      <c r="G3710" s="30" t="n">
        <v>42963</v>
      </c>
      <c r="H3710" s="26" t="n">
        <f aca="false">G3710-F3710</f>
        <v>119</v>
      </c>
      <c r="I3710" s="10" t="n">
        <f aca="false">IF(E3710="Won",1,0)</f>
        <v>0</v>
      </c>
    </row>
    <row r="3711" customFormat="false" ht="15" hidden="false" customHeight="false" outlineLevel="0" collapsed="false">
      <c r="A3711" s="10" t="s">
        <v>6052</v>
      </c>
      <c r="B3711" s="10" t="s">
        <v>75</v>
      </c>
      <c r="C3711" s="10" t="s">
        <v>49</v>
      </c>
      <c r="D3711" s="10" t="s">
        <v>193</v>
      </c>
      <c r="E3711" s="10" t="s">
        <v>2342</v>
      </c>
      <c r="F3711" s="30" t="n">
        <v>42851</v>
      </c>
      <c r="G3711" s="30" t="n">
        <v>42963</v>
      </c>
      <c r="H3711" s="26" t="n">
        <f aca="false">G3711-F3711</f>
        <v>112</v>
      </c>
      <c r="I3711" s="10" t="n">
        <f aca="false">IF(E3711="Won",1,0)</f>
        <v>1</v>
      </c>
    </row>
    <row r="3712" customFormat="false" ht="15" hidden="false" customHeight="false" outlineLevel="0" collapsed="false">
      <c r="A3712" s="10" t="s">
        <v>6053</v>
      </c>
      <c r="B3712" s="10" t="s">
        <v>74</v>
      </c>
      <c r="C3712" s="10" t="s">
        <v>51</v>
      </c>
      <c r="D3712" s="10" t="s">
        <v>483</v>
      </c>
      <c r="E3712" s="10" t="s">
        <v>2345</v>
      </c>
      <c r="F3712" s="30" t="n">
        <v>42850</v>
      </c>
      <c r="G3712" s="30" t="n">
        <v>42963</v>
      </c>
      <c r="H3712" s="26" t="n">
        <f aca="false">G3712-F3712</f>
        <v>113</v>
      </c>
      <c r="I3712" s="10" t="n">
        <f aca="false">IF(E3712="Won",1,0)</f>
        <v>0</v>
      </c>
    </row>
    <row r="3713" customFormat="false" ht="15" hidden="false" customHeight="false" outlineLevel="0" collapsed="false">
      <c r="A3713" s="10" t="s">
        <v>6054</v>
      </c>
      <c r="B3713" s="10" t="s">
        <v>75</v>
      </c>
      <c r="C3713" s="10" t="s">
        <v>52</v>
      </c>
      <c r="D3713" s="10" t="s">
        <v>414</v>
      </c>
      <c r="E3713" s="10" t="s">
        <v>2345</v>
      </c>
      <c r="F3713" s="30" t="n">
        <v>42838</v>
      </c>
      <c r="G3713" s="30" t="n">
        <v>42963</v>
      </c>
      <c r="H3713" s="26" t="n">
        <f aca="false">G3713-F3713</f>
        <v>125</v>
      </c>
      <c r="I3713" s="10" t="n">
        <f aca="false">IF(E3713="Won",1,0)</f>
        <v>0</v>
      </c>
    </row>
    <row r="3714" customFormat="false" ht="15" hidden="false" customHeight="false" outlineLevel="0" collapsed="false">
      <c r="A3714" s="10" t="s">
        <v>6055</v>
      </c>
      <c r="B3714" s="10" t="s">
        <v>93</v>
      </c>
      <c r="C3714" s="10" t="s">
        <v>47</v>
      </c>
      <c r="D3714" s="10" t="s">
        <v>487</v>
      </c>
      <c r="E3714" s="10" t="s">
        <v>2342</v>
      </c>
      <c r="F3714" s="30" t="n">
        <v>42887</v>
      </c>
      <c r="G3714" s="30" t="n">
        <v>42963</v>
      </c>
      <c r="H3714" s="26" t="n">
        <f aca="false">G3714-F3714</f>
        <v>76</v>
      </c>
      <c r="I3714" s="10" t="n">
        <f aca="false">IF(E3714="Won",1,0)</f>
        <v>1</v>
      </c>
    </row>
    <row r="3715" customFormat="false" ht="15" hidden="false" customHeight="false" outlineLevel="0" collapsed="false">
      <c r="A3715" s="10" t="s">
        <v>6056</v>
      </c>
      <c r="B3715" s="10" t="s">
        <v>68</v>
      </c>
      <c r="C3715" s="10" t="s">
        <v>50</v>
      </c>
      <c r="D3715" s="10" t="s">
        <v>344</v>
      </c>
      <c r="E3715" s="10" t="s">
        <v>2342</v>
      </c>
      <c r="F3715" s="30" t="n">
        <v>42893</v>
      </c>
      <c r="G3715" s="30" t="n">
        <v>42963</v>
      </c>
      <c r="H3715" s="26" t="n">
        <f aca="false">G3715-F3715</f>
        <v>70</v>
      </c>
      <c r="I3715" s="10" t="n">
        <f aca="false">IF(E3715="Won",1,0)</f>
        <v>1</v>
      </c>
    </row>
    <row r="3716" customFormat="false" ht="15" hidden="false" customHeight="false" outlineLevel="0" collapsed="false">
      <c r="A3716" s="10" t="s">
        <v>6057</v>
      </c>
      <c r="B3716" s="10" t="s">
        <v>60</v>
      </c>
      <c r="C3716" s="10" t="s">
        <v>48</v>
      </c>
      <c r="D3716" s="10" t="s">
        <v>1334</v>
      </c>
      <c r="E3716" s="10" t="s">
        <v>2342</v>
      </c>
      <c r="F3716" s="30" t="n">
        <v>42945</v>
      </c>
      <c r="G3716" s="30" t="n">
        <v>42963</v>
      </c>
      <c r="H3716" s="26" t="n">
        <f aca="false">G3716-F3716</f>
        <v>18</v>
      </c>
      <c r="I3716" s="10" t="n">
        <f aca="false">IF(E3716="Won",1,0)</f>
        <v>1</v>
      </c>
    </row>
    <row r="3717" customFormat="false" ht="15" hidden="false" customHeight="false" outlineLevel="0" collapsed="false">
      <c r="A3717" s="10" t="s">
        <v>6058</v>
      </c>
      <c r="B3717" s="10" t="s">
        <v>71</v>
      </c>
      <c r="C3717" s="10" t="s">
        <v>49</v>
      </c>
      <c r="D3717" s="10" t="s">
        <v>179</v>
      </c>
      <c r="E3717" s="10" t="s">
        <v>2342</v>
      </c>
      <c r="F3717" s="30" t="n">
        <v>42948</v>
      </c>
      <c r="G3717" s="30" t="n">
        <v>42963</v>
      </c>
      <c r="H3717" s="26" t="n">
        <f aca="false">G3717-F3717</f>
        <v>15</v>
      </c>
      <c r="I3717" s="10" t="n">
        <f aca="false">IF(E3717="Won",1,0)</f>
        <v>1</v>
      </c>
    </row>
    <row r="3718" customFormat="false" ht="15" hidden="false" customHeight="false" outlineLevel="0" collapsed="false">
      <c r="A3718" s="10" t="s">
        <v>6059</v>
      </c>
      <c r="B3718" s="10" t="s">
        <v>75</v>
      </c>
      <c r="C3718" s="10" t="s">
        <v>49</v>
      </c>
      <c r="D3718" s="10" t="s">
        <v>1251</v>
      </c>
      <c r="E3718" s="10" t="s">
        <v>2342</v>
      </c>
      <c r="F3718" s="30" t="n">
        <v>42908</v>
      </c>
      <c r="G3718" s="30" t="n">
        <v>42963</v>
      </c>
      <c r="H3718" s="26" t="n">
        <f aca="false">G3718-F3718</f>
        <v>55</v>
      </c>
      <c r="I3718" s="10" t="n">
        <f aca="false">IF(E3718="Won",1,0)</f>
        <v>1</v>
      </c>
    </row>
    <row r="3719" customFormat="false" ht="15" hidden="false" customHeight="false" outlineLevel="0" collapsed="false">
      <c r="A3719" s="10" t="s">
        <v>6060</v>
      </c>
      <c r="B3719" s="10" t="s">
        <v>66</v>
      </c>
      <c r="C3719" s="10" t="s">
        <v>52</v>
      </c>
      <c r="D3719" s="10" t="s">
        <v>396</v>
      </c>
      <c r="E3719" s="10" t="s">
        <v>2342</v>
      </c>
      <c r="F3719" s="30" t="n">
        <v>42957</v>
      </c>
      <c r="G3719" s="30" t="n">
        <v>42963</v>
      </c>
      <c r="H3719" s="26" t="n">
        <f aca="false">G3719-F3719</f>
        <v>6</v>
      </c>
      <c r="I3719" s="10" t="n">
        <f aca="false">IF(E3719="Won",1,0)</f>
        <v>1</v>
      </c>
    </row>
    <row r="3720" customFormat="false" ht="15" hidden="false" customHeight="false" outlineLevel="0" collapsed="false">
      <c r="A3720" s="10" t="s">
        <v>6061</v>
      </c>
      <c r="B3720" s="10" t="s">
        <v>77</v>
      </c>
      <c r="C3720" s="10" t="s">
        <v>48</v>
      </c>
      <c r="D3720" s="10" t="s">
        <v>660</v>
      </c>
      <c r="E3720" s="10" t="s">
        <v>2342</v>
      </c>
      <c r="F3720" s="30" t="n">
        <v>42904</v>
      </c>
      <c r="G3720" s="30" t="n">
        <v>42963</v>
      </c>
      <c r="H3720" s="26" t="n">
        <f aca="false">G3720-F3720</f>
        <v>59</v>
      </c>
      <c r="I3720" s="10" t="n">
        <f aca="false">IF(E3720="Won",1,0)</f>
        <v>1</v>
      </c>
    </row>
    <row r="3721" customFormat="false" ht="15" hidden="false" customHeight="false" outlineLevel="0" collapsed="false">
      <c r="A3721" s="10" t="s">
        <v>6062</v>
      </c>
      <c r="B3721" s="10" t="s">
        <v>93</v>
      </c>
      <c r="C3721" s="10" t="s">
        <v>51</v>
      </c>
      <c r="D3721" s="10" t="s">
        <v>172</v>
      </c>
      <c r="E3721" s="10" t="s">
        <v>2342</v>
      </c>
      <c r="F3721" s="30" t="n">
        <v>42892</v>
      </c>
      <c r="G3721" s="30" t="n">
        <v>42963</v>
      </c>
      <c r="H3721" s="26" t="n">
        <f aca="false">G3721-F3721</f>
        <v>71</v>
      </c>
      <c r="I3721" s="10" t="n">
        <f aca="false">IF(E3721="Won",1,0)</f>
        <v>1</v>
      </c>
    </row>
    <row r="3722" customFormat="false" ht="15" hidden="false" customHeight="false" outlineLevel="0" collapsed="false">
      <c r="A3722" s="10" t="s">
        <v>6063</v>
      </c>
      <c r="B3722" s="10" t="s">
        <v>73</v>
      </c>
      <c r="C3722" s="10" t="s">
        <v>50</v>
      </c>
      <c r="D3722" s="10" t="s">
        <v>483</v>
      </c>
      <c r="E3722" s="10" t="s">
        <v>2345</v>
      </c>
      <c r="F3722" s="30" t="n">
        <v>42890</v>
      </c>
      <c r="G3722" s="30" t="n">
        <v>42963</v>
      </c>
      <c r="H3722" s="26" t="n">
        <f aca="false">G3722-F3722</f>
        <v>73</v>
      </c>
      <c r="I3722" s="10" t="n">
        <f aca="false">IF(E3722="Won",1,0)</f>
        <v>0</v>
      </c>
    </row>
    <row r="3723" customFormat="false" ht="15" hidden="false" customHeight="false" outlineLevel="0" collapsed="false">
      <c r="A3723" s="10" t="s">
        <v>6064</v>
      </c>
      <c r="B3723" s="10" t="s">
        <v>94</v>
      </c>
      <c r="C3723" s="10" t="s">
        <v>51</v>
      </c>
      <c r="D3723" s="10" t="s">
        <v>313</v>
      </c>
      <c r="E3723" s="10" t="s">
        <v>2345</v>
      </c>
      <c r="F3723" s="30" t="n">
        <v>42918</v>
      </c>
      <c r="G3723" s="30" t="n">
        <v>42963</v>
      </c>
      <c r="H3723" s="26" t="n">
        <f aca="false">G3723-F3723</f>
        <v>45</v>
      </c>
      <c r="I3723" s="10" t="n">
        <f aca="false">IF(E3723="Won",1,0)</f>
        <v>0</v>
      </c>
    </row>
    <row r="3724" customFormat="false" ht="15" hidden="false" customHeight="false" outlineLevel="0" collapsed="false">
      <c r="A3724" s="10" t="s">
        <v>6065</v>
      </c>
      <c r="B3724" s="10" t="s">
        <v>93</v>
      </c>
      <c r="C3724" s="10" t="s">
        <v>47</v>
      </c>
      <c r="D3724" s="10" t="s">
        <v>313</v>
      </c>
      <c r="E3724" s="10" t="s">
        <v>2342</v>
      </c>
      <c r="F3724" s="30" t="n">
        <v>42895</v>
      </c>
      <c r="G3724" s="30" t="n">
        <v>42963</v>
      </c>
      <c r="H3724" s="26" t="n">
        <f aca="false">G3724-F3724</f>
        <v>68</v>
      </c>
      <c r="I3724" s="10" t="n">
        <f aca="false">IF(E3724="Won",1,0)</f>
        <v>1</v>
      </c>
    </row>
    <row r="3725" customFormat="false" ht="15" hidden="false" customHeight="false" outlineLevel="0" collapsed="false">
      <c r="A3725" s="10" t="s">
        <v>6066</v>
      </c>
      <c r="B3725" s="10" t="s">
        <v>70</v>
      </c>
      <c r="C3725" s="10" t="s">
        <v>52</v>
      </c>
      <c r="D3725" s="10" t="s">
        <v>432</v>
      </c>
      <c r="E3725" s="10" t="s">
        <v>2342</v>
      </c>
      <c r="F3725" s="30" t="n">
        <v>42958</v>
      </c>
      <c r="G3725" s="30" t="n">
        <v>42963</v>
      </c>
      <c r="H3725" s="26" t="n">
        <f aca="false">G3725-F3725</f>
        <v>5</v>
      </c>
      <c r="I3725" s="10" t="n">
        <f aca="false">IF(E3725="Won",1,0)</f>
        <v>1</v>
      </c>
    </row>
    <row r="3726" customFormat="false" ht="15" hidden="false" customHeight="false" outlineLevel="0" collapsed="false">
      <c r="A3726" s="10" t="s">
        <v>6067</v>
      </c>
      <c r="B3726" s="10" t="s">
        <v>70</v>
      </c>
      <c r="C3726" s="10" t="s">
        <v>51</v>
      </c>
      <c r="D3726" s="10" t="s">
        <v>487</v>
      </c>
      <c r="E3726" s="10" t="s">
        <v>2342</v>
      </c>
      <c r="F3726" s="30" t="n">
        <v>42869</v>
      </c>
      <c r="G3726" s="30" t="n">
        <v>42963</v>
      </c>
      <c r="H3726" s="26" t="n">
        <f aca="false">G3726-F3726</f>
        <v>94</v>
      </c>
      <c r="I3726" s="10" t="n">
        <f aca="false">IF(E3726="Won",1,0)</f>
        <v>1</v>
      </c>
    </row>
    <row r="3727" customFormat="false" ht="15" hidden="false" customHeight="false" outlineLevel="0" collapsed="false">
      <c r="A3727" s="10" t="s">
        <v>6068</v>
      </c>
      <c r="B3727" s="10" t="s">
        <v>71</v>
      </c>
      <c r="C3727" s="10" t="s">
        <v>52</v>
      </c>
      <c r="D3727" s="10" t="s">
        <v>410</v>
      </c>
      <c r="E3727" s="10" t="s">
        <v>2342</v>
      </c>
      <c r="F3727" s="30" t="n">
        <v>42950</v>
      </c>
      <c r="G3727" s="30" t="n">
        <v>42963</v>
      </c>
      <c r="H3727" s="26" t="n">
        <f aca="false">G3727-F3727</f>
        <v>13</v>
      </c>
      <c r="I3727" s="10" t="n">
        <f aca="false">IF(E3727="Won",1,0)</f>
        <v>1</v>
      </c>
    </row>
    <row r="3728" customFormat="false" ht="15" hidden="false" customHeight="false" outlineLevel="0" collapsed="false">
      <c r="A3728" s="10" t="s">
        <v>6069</v>
      </c>
      <c r="B3728" s="10" t="s">
        <v>94</v>
      </c>
      <c r="C3728" s="10" t="s">
        <v>48</v>
      </c>
      <c r="D3728" s="10" t="s">
        <v>384</v>
      </c>
      <c r="E3728" s="10" t="s">
        <v>2342</v>
      </c>
      <c r="F3728" s="30" t="n">
        <v>42860</v>
      </c>
      <c r="G3728" s="30" t="n">
        <v>42963</v>
      </c>
      <c r="H3728" s="26" t="n">
        <f aca="false">G3728-F3728</f>
        <v>103</v>
      </c>
      <c r="I3728" s="10" t="n">
        <f aca="false">IF(E3728="Won",1,0)</f>
        <v>1</v>
      </c>
    </row>
    <row r="3729" customFormat="false" ht="15" hidden="false" customHeight="false" outlineLevel="0" collapsed="false">
      <c r="A3729" s="10" t="s">
        <v>6070</v>
      </c>
      <c r="B3729" s="10" t="s">
        <v>75</v>
      </c>
      <c r="C3729" s="10" t="s">
        <v>47</v>
      </c>
      <c r="D3729" s="10" t="s">
        <v>422</v>
      </c>
      <c r="E3729" s="10" t="s">
        <v>2342</v>
      </c>
      <c r="F3729" s="30" t="n">
        <v>42903</v>
      </c>
      <c r="G3729" s="30" t="n">
        <v>42963</v>
      </c>
      <c r="H3729" s="26" t="n">
        <f aca="false">G3729-F3729</f>
        <v>60</v>
      </c>
      <c r="I3729" s="10" t="n">
        <f aca="false">IF(E3729="Won",1,0)</f>
        <v>1</v>
      </c>
    </row>
    <row r="3730" customFormat="false" ht="15" hidden="false" customHeight="false" outlineLevel="0" collapsed="false">
      <c r="A3730" s="10" t="s">
        <v>6071</v>
      </c>
      <c r="B3730" s="10" t="s">
        <v>62</v>
      </c>
      <c r="C3730" s="10" t="s">
        <v>52</v>
      </c>
      <c r="D3730" s="10" t="s">
        <v>405</v>
      </c>
      <c r="E3730" s="10" t="s">
        <v>2345</v>
      </c>
      <c r="F3730" s="30" t="n">
        <v>42871</v>
      </c>
      <c r="G3730" s="30" t="n">
        <v>42963</v>
      </c>
      <c r="H3730" s="26" t="n">
        <f aca="false">G3730-F3730</f>
        <v>92</v>
      </c>
      <c r="I3730" s="10" t="n">
        <f aca="false">IF(E3730="Won",1,0)</f>
        <v>0</v>
      </c>
    </row>
    <row r="3731" customFormat="false" ht="15" hidden="false" customHeight="false" outlineLevel="0" collapsed="false">
      <c r="A3731" s="10" t="s">
        <v>6072</v>
      </c>
      <c r="B3731" s="10" t="s">
        <v>77</v>
      </c>
      <c r="C3731" s="10" t="s">
        <v>48</v>
      </c>
      <c r="D3731" s="10" t="s">
        <v>193</v>
      </c>
      <c r="E3731" s="10" t="s">
        <v>2342</v>
      </c>
      <c r="F3731" s="30" t="n">
        <v>42936</v>
      </c>
      <c r="G3731" s="30" t="n">
        <v>42964</v>
      </c>
      <c r="H3731" s="26" t="n">
        <f aca="false">G3731-F3731</f>
        <v>28</v>
      </c>
      <c r="I3731" s="10" t="n">
        <f aca="false">IF(E3731="Won",1,0)</f>
        <v>1</v>
      </c>
    </row>
    <row r="3732" customFormat="false" ht="15" hidden="false" customHeight="false" outlineLevel="0" collapsed="false">
      <c r="A3732" s="10" t="s">
        <v>6073</v>
      </c>
      <c r="B3732" s="10" t="s">
        <v>96</v>
      </c>
      <c r="C3732" s="10" t="s">
        <v>52</v>
      </c>
      <c r="D3732" s="10" t="s">
        <v>606</v>
      </c>
      <c r="E3732" s="10" t="s">
        <v>2342</v>
      </c>
      <c r="F3732" s="30" t="n">
        <v>42888</v>
      </c>
      <c r="G3732" s="30" t="n">
        <v>42964</v>
      </c>
      <c r="H3732" s="26" t="n">
        <f aca="false">G3732-F3732</f>
        <v>76</v>
      </c>
      <c r="I3732" s="10" t="n">
        <f aca="false">IF(E3732="Won",1,0)</f>
        <v>1</v>
      </c>
    </row>
    <row r="3733" customFormat="false" ht="15" hidden="false" customHeight="false" outlineLevel="0" collapsed="false">
      <c r="A3733" s="10" t="s">
        <v>6074</v>
      </c>
      <c r="B3733" s="10" t="s">
        <v>67</v>
      </c>
      <c r="C3733" s="10" t="s">
        <v>49</v>
      </c>
      <c r="D3733" s="10" t="s">
        <v>432</v>
      </c>
      <c r="E3733" s="10" t="s">
        <v>2342</v>
      </c>
      <c r="F3733" s="30" t="n">
        <v>42887</v>
      </c>
      <c r="G3733" s="30" t="n">
        <v>42964</v>
      </c>
      <c r="H3733" s="26" t="n">
        <f aca="false">G3733-F3733</f>
        <v>77</v>
      </c>
      <c r="I3733" s="10" t="n">
        <f aca="false">IF(E3733="Won",1,0)</f>
        <v>1</v>
      </c>
    </row>
    <row r="3734" customFormat="false" ht="15" hidden="false" customHeight="false" outlineLevel="0" collapsed="false">
      <c r="A3734" s="10" t="s">
        <v>6075</v>
      </c>
      <c r="B3734" s="10" t="s">
        <v>77</v>
      </c>
      <c r="C3734" s="10" t="s">
        <v>51</v>
      </c>
      <c r="D3734" s="10" t="s">
        <v>660</v>
      </c>
      <c r="E3734" s="10" t="s">
        <v>2342</v>
      </c>
      <c r="F3734" s="30" t="n">
        <v>42861</v>
      </c>
      <c r="G3734" s="30" t="n">
        <v>42964</v>
      </c>
      <c r="H3734" s="26" t="n">
        <f aca="false">G3734-F3734</f>
        <v>103</v>
      </c>
      <c r="I3734" s="10" t="n">
        <f aca="false">IF(E3734="Won",1,0)</f>
        <v>1</v>
      </c>
    </row>
    <row r="3735" customFormat="false" ht="15" hidden="false" customHeight="false" outlineLevel="0" collapsed="false">
      <c r="A3735" s="10" t="s">
        <v>6076</v>
      </c>
      <c r="B3735" s="10" t="s">
        <v>97</v>
      </c>
      <c r="C3735" s="10" t="s">
        <v>50</v>
      </c>
      <c r="D3735" s="10" t="s">
        <v>299</v>
      </c>
      <c r="E3735" s="10" t="s">
        <v>2342</v>
      </c>
      <c r="F3735" s="30" t="n">
        <v>42866</v>
      </c>
      <c r="G3735" s="30" t="n">
        <v>42964</v>
      </c>
      <c r="H3735" s="26" t="n">
        <f aca="false">G3735-F3735</f>
        <v>98</v>
      </c>
      <c r="I3735" s="10" t="n">
        <f aca="false">IF(E3735="Won",1,0)</f>
        <v>1</v>
      </c>
    </row>
    <row r="3736" customFormat="false" ht="15" hidden="false" customHeight="false" outlineLevel="0" collapsed="false">
      <c r="A3736" s="10" t="s">
        <v>6077</v>
      </c>
      <c r="B3736" s="10" t="s">
        <v>87</v>
      </c>
      <c r="C3736" s="10" t="s">
        <v>50</v>
      </c>
      <c r="D3736" s="10" t="s">
        <v>215</v>
      </c>
      <c r="E3736" s="10" t="s">
        <v>2345</v>
      </c>
      <c r="F3736" s="30" t="n">
        <v>42864</v>
      </c>
      <c r="G3736" s="30" t="n">
        <v>42964</v>
      </c>
      <c r="H3736" s="26" t="n">
        <f aca="false">G3736-F3736</f>
        <v>100</v>
      </c>
      <c r="I3736" s="10" t="n">
        <f aca="false">IF(E3736="Won",1,0)</f>
        <v>0</v>
      </c>
    </row>
    <row r="3737" customFormat="false" ht="15" hidden="false" customHeight="false" outlineLevel="0" collapsed="false">
      <c r="A3737" s="10" t="s">
        <v>6078</v>
      </c>
      <c r="B3737" s="10" t="s">
        <v>62</v>
      </c>
      <c r="C3737" s="10" t="s">
        <v>52</v>
      </c>
      <c r="D3737" s="10" t="s">
        <v>1118</v>
      </c>
      <c r="E3737" s="10" t="s">
        <v>2342</v>
      </c>
      <c r="F3737" s="30" t="n">
        <v>42860</v>
      </c>
      <c r="G3737" s="30" t="n">
        <v>42964</v>
      </c>
      <c r="H3737" s="26" t="n">
        <f aca="false">G3737-F3737</f>
        <v>104</v>
      </c>
      <c r="I3737" s="10" t="n">
        <f aca="false">IF(E3737="Won",1,0)</f>
        <v>1</v>
      </c>
    </row>
    <row r="3738" customFormat="false" ht="15" hidden="false" customHeight="false" outlineLevel="0" collapsed="false">
      <c r="A3738" s="10" t="s">
        <v>6079</v>
      </c>
      <c r="B3738" s="10" t="s">
        <v>87</v>
      </c>
      <c r="C3738" s="10" t="s">
        <v>50</v>
      </c>
      <c r="D3738" s="10" t="s">
        <v>185</v>
      </c>
      <c r="E3738" s="10" t="s">
        <v>2342</v>
      </c>
      <c r="F3738" s="30" t="n">
        <v>42897</v>
      </c>
      <c r="G3738" s="30" t="n">
        <v>42964</v>
      </c>
      <c r="H3738" s="26" t="n">
        <f aca="false">G3738-F3738</f>
        <v>67</v>
      </c>
      <c r="I3738" s="10" t="n">
        <f aca="false">IF(E3738="Won",1,0)</f>
        <v>1</v>
      </c>
    </row>
    <row r="3739" customFormat="false" ht="15" hidden="false" customHeight="false" outlineLevel="0" collapsed="false">
      <c r="A3739" s="10" t="s">
        <v>6080</v>
      </c>
      <c r="B3739" s="10" t="s">
        <v>93</v>
      </c>
      <c r="C3739" s="10" t="s">
        <v>49</v>
      </c>
      <c r="D3739" s="10" t="s">
        <v>432</v>
      </c>
      <c r="E3739" s="10" t="s">
        <v>2342</v>
      </c>
      <c r="F3739" s="30" t="n">
        <v>42954</v>
      </c>
      <c r="G3739" s="30" t="n">
        <v>42964</v>
      </c>
      <c r="H3739" s="26" t="n">
        <f aca="false">G3739-F3739</f>
        <v>10</v>
      </c>
      <c r="I3739" s="10" t="n">
        <f aca="false">IF(E3739="Won",1,0)</f>
        <v>1</v>
      </c>
    </row>
    <row r="3740" customFormat="false" ht="15" hidden="false" customHeight="false" outlineLevel="0" collapsed="false">
      <c r="A3740" s="10" t="s">
        <v>6081</v>
      </c>
      <c r="B3740" s="10" t="s">
        <v>95</v>
      </c>
      <c r="C3740" s="10" t="s">
        <v>47</v>
      </c>
      <c r="D3740" s="10" t="s">
        <v>483</v>
      </c>
      <c r="E3740" s="10" t="s">
        <v>2342</v>
      </c>
      <c r="F3740" s="30" t="n">
        <v>42884</v>
      </c>
      <c r="G3740" s="30" t="n">
        <v>42964</v>
      </c>
      <c r="H3740" s="26" t="n">
        <f aca="false">G3740-F3740</f>
        <v>80</v>
      </c>
      <c r="I3740" s="10" t="n">
        <f aca="false">IF(E3740="Won",1,0)</f>
        <v>1</v>
      </c>
    </row>
    <row r="3741" customFormat="false" ht="15" hidden="false" customHeight="false" outlineLevel="0" collapsed="false">
      <c r="A3741" s="10" t="s">
        <v>6082</v>
      </c>
      <c r="B3741" s="10" t="s">
        <v>70</v>
      </c>
      <c r="C3741" s="10" t="s">
        <v>48</v>
      </c>
      <c r="D3741" s="10" t="s">
        <v>396</v>
      </c>
      <c r="E3741" s="10" t="s">
        <v>2345</v>
      </c>
      <c r="F3741" s="30" t="n">
        <v>42882</v>
      </c>
      <c r="G3741" s="30" t="n">
        <v>42964</v>
      </c>
      <c r="H3741" s="26" t="n">
        <f aca="false">G3741-F3741</f>
        <v>82</v>
      </c>
      <c r="I3741" s="10" t="n">
        <f aca="false">IF(E3741="Won",1,0)</f>
        <v>0</v>
      </c>
    </row>
    <row r="3742" customFormat="false" ht="15" hidden="false" customHeight="false" outlineLevel="0" collapsed="false">
      <c r="A3742" s="10" t="s">
        <v>6083</v>
      </c>
      <c r="B3742" s="10" t="s">
        <v>95</v>
      </c>
      <c r="C3742" s="10" t="s">
        <v>50</v>
      </c>
      <c r="D3742" s="10" t="s">
        <v>497</v>
      </c>
      <c r="E3742" s="10" t="s">
        <v>2342</v>
      </c>
      <c r="F3742" s="30" t="n">
        <v>42884</v>
      </c>
      <c r="G3742" s="30" t="n">
        <v>42964</v>
      </c>
      <c r="H3742" s="26" t="n">
        <f aca="false">G3742-F3742</f>
        <v>80</v>
      </c>
      <c r="I3742" s="10" t="n">
        <f aca="false">IF(E3742="Won",1,0)</f>
        <v>1</v>
      </c>
    </row>
    <row r="3743" customFormat="false" ht="15" hidden="false" customHeight="false" outlineLevel="0" collapsed="false">
      <c r="A3743" s="10" t="s">
        <v>6084</v>
      </c>
      <c r="B3743" s="10" t="s">
        <v>87</v>
      </c>
      <c r="C3743" s="10" t="s">
        <v>48</v>
      </c>
      <c r="D3743" s="10" t="s">
        <v>277</v>
      </c>
      <c r="E3743" s="10" t="s">
        <v>2345</v>
      </c>
      <c r="F3743" s="30" t="n">
        <v>42960</v>
      </c>
      <c r="G3743" s="30" t="n">
        <v>42964</v>
      </c>
      <c r="H3743" s="26" t="n">
        <f aca="false">G3743-F3743</f>
        <v>4</v>
      </c>
      <c r="I3743" s="10" t="n">
        <f aca="false">IF(E3743="Won",1,0)</f>
        <v>0</v>
      </c>
    </row>
    <row r="3744" customFormat="false" ht="15" hidden="false" customHeight="false" outlineLevel="0" collapsed="false">
      <c r="A3744" s="10" t="s">
        <v>6085</v>
      </c>
      <c r="B3744" s="10" t="s">
        <v>75</v>
      </c>
      <c r="C3744" s="10" t="s">
        <v>49</v>
      </c>
      <c r="D3744" s="10" t="s">
        <v>697</v>
      </c>
      <c r="E3744" s="10" t="s">
        <v>2345</v>
      </c>
      <c r="F3744" s="30" t="n">
        <v>42959</v>
      </c>
      <c r="G3744" s="30" t="n">
        <v>42964</v>
      </c>
      <c r="H3744" s="26" t="n">
        <f aca="false">G3744-F3744</f>
        <v>5</v>
      </c>
      <c r="I3744" s="10" t="n">
        <f aca="false">IF(E3744="Won",1,0)</f>
        <v>0</v>
      </c>
    </row>
    <row r="3745" customFormat="false" ht="15" hidden="false" customHeight="false" outlineLevel="0" collapsed="false">
      <c r="A3745" s="10" t="s">
        <v>6086</v>
      </c>
      <c r="B3745" s="10" t="s">
        <v>70</v>
      </c>
      <c r="C3745" s="10" t="s">
        <v>47</v>
      </c>
      <c r="D3745" s="10" t="s">
        <v>210</v>
      </c>
      <c r="E3745" s="10" t="s">
        <v>2342</v>
      </c>
      <c r="F3745" s="30" t="n">
        <v>42879</v>
      </c>
      <c r="G3745" s="30" t="n">
        <v>42964</v>
      </c>
      <c r="H3745" s="26" t="n">
        <f aca="false">G3745-F3745</f>
        <v>85</v>
      </c>
      <c r="I3745" s="10" t="n">
        <f aca="false">IF(E3745="Won",1,0)</f>
        <v>1</v>
      </c>
    </row>
    <row r="3746" customFormat="false" ht="15" hidden="false" customHeight="false" outlineLevel="0" collapsed="false">
      <c r="A3746" s="10" t="s">
        <v>6087</v>
      </c>
      <c r="B3746" s="10" t="s">
        <v>74</v>
      </c>
      <c r="C3746" s="10" t="s">
        <v>51</v>
      </c>
      <c r="D3746" s="10" t="s">
        <v>660</v>
      </c>
      <c r="E3746" s="10" t="s">
        <v>2342</v>
      </c>
      <c r="F3746" s="30" t="n">
        <v>42894</v>
      </c>
      <c r="G3746" s="30" t="n">
        <v>42964</v>
      </c>
      <c r="H3746" s="26" t="n">
        <f aca="false">G3746-F3746</f>
        <v>70</v>
      </c>
      <c r="I3746" s="10" t="n">
        <f aca="false">IF(E3746="Won",1,0)</f>
        <v>1</v>
      </c>
    </row>
    <row r="3747" customFormat="false" ht="15" hidden="false" customHeight="false" outlineLevel="0" collapsed="false">
      <c r="A3747" s="10" t="s">
        <v>6088</v>
      </c>
      <c r="B3747" s="10" t="s">
        <v>76</v>
      </c>
      <c r="C3747" s="10" t="s">
        <v>52</v>
      </c>
      <c r="D3747" s="10" t="s">
        <v>422</v>
      </c>
      <c r="E3747" s="10" t="s">
        <v>2345</v>
      </c>
      <c r="F3747" s="30" t="n">
        <v>42958</v>
      </c>
      <c r="G3747" s="30" t="n">
        <v>42964</v>
      </c>
      <c r="H3747" s="26" t="n">
        <f aca="false">G3747-F3747</f>
        <v>6</v>
      </c>
      <c r="I3747" s="10" t="n">
        <f aca="false">IF(E3747="Won",1,0)</f>
        <v>0</v>
      </c>
    </row>
    <row r="3748" customFormat="false" ht="15" hidden="false" customHeight="false" outlineLevel="0" collapsed="false">
      <c r="A3748" s="10" t="s">
        <v>6089</v>
      </c>
      <c r="B3748" s="10" t="s">
        <v>95</v>
      </c>
      <c r="C3748" s="10" t="s">
        <v>51</v>
      </c>
      <c r="D3748" s="10" t="s">
        <v>483</v>
      </c>
      <c r="E3748" s="10" t="s">
        <v>2342</v>
      </c>
      <c r="F3748" s="30" t="n">
        <v>42894</v>
      </c>
      <c r="G3748" s="30" t="n">
        <v>42964</v>
      </c>
      <c r="H3748" s="26" t="n">
        <f aca="false">G3748-F3748</f>
        <v>70</v>
      </c>
      <c r="I3748" s="10" t="n">
        <f aca="false">IF(E3748="Won",1,0)</f>
        <v>1</v>
      </c>
    </row>
    <row r="3749" customFormat="false" ht="15" hidden="false" customHeight="false" outlineLevel="0" collapsed="false">
      <c r="A3749" s="10" t="s">
        <v>6090</v>
      </c>
      <c r="B3749" s="10" t="s">
        <v>86</v>
      </c>
      <c r="C3749" s="10" t="s">
        <v>48</v>
      </c>
      <c r="D3749" s="10" t="s">
        <v>233</v>
      </c>
      <c r="E3749" s="10" t="s">
        <v>2342</v>
      </c>
      <c r="F3749" s="30" t="n">
        <v>42898</v>
      </c>
      <c r="G3749" s="30" t="n">
        <v>42964</v>
      </c>
      <c r="H3749" s="26" t="n">
        <f aca="false">G3749-F3749</f>
        <v>66</v>
      </c>
      <c r="I3749" s="10" t="n">
        <f aca="false">IF(E3749="Won",1,0)</f>
        <v>1</v>
      </c>
    </row>
    <row r="3750" customFormat="false" ht="15" hidden="false" customHeight="false" outlineLevel="0" collapsed="false">
      <c r="A3750" s="10" t="s">
        <v>6091</v>
      </c>
      <c r="B3750" s="10" t="s">
        <v>66</v>
      </c>
      <c r="C3750" s="10" t="s">
        <v>52</v>
      </c>
      <c r="D3750" s="10" t="s">
        <v>313</v>
      </c>
      <c r="E3750" s="10" t="s">
        <v>2342</v>
      </c>
      <c r="F3750" s="30" t="n">
        <v>42953</v>
      </c>
      <c r="G3750" s="30" t="n">
        <v>42964</v>
      </c>
      <c r="H3750" s="26" t="n">
        <f aca="false">G3750-F3750</f>
        <v>11</v>
      </c>
      <c r="I3750" s="10" t="n">
        <f aca="false">IF(E3750="Won",1,0)</f>
        <v>1</v>
      </c>
    </row>
    <row r="3751" customFormat="false" ht="15" hidden="false" customHeight="false" outlineLevel="0" collapsed="false">
      <c r="A3751" s="10" t="s">
        <v>6092</v>
      </c>
      <c r="B3751" s="10" t="s">
        <v>77</v>
      </c>
      <c r="C3751" s="10" t="s">
        <v>49</v>
      </c>
      <c r="D3751" s="10" t="s">
        <v>961</v>
      </c>
      <c r="E3751" s="10" t="s">
        <v>2342</v>
      </c>
      <c r="F3751" s="30" t="n">
        <v>42859</v>
      </c>
      <c r="G3751" s="30" t="n">
        <v>42964</v>
      </c>
      <c r="H3751" s="26" t="n">
        <f aca="false">G3751-F3751</f>
        <v>105</v>
      </c>
      <c r="I3751" s="10" t="n">
        <f aca="false">IF(E3751="Won",1,0)</f>
        <v>1</v>
      </c>
    </row>
    <row r="3752" customFormat="false" ht="15" hidden="false" customHeight="false" outlineLevel="0" collapsed="false">
      <c r="A3752" s="10" t="s">
        <v>6093</v>
      </c>
      <c r="B3752" s="10" t="s">
        <v>80</v>
      </c>
      <c r="C3752" s="10" t="s">
        <v>47</v>
      </c>
      <c r="D3752" s="10" t="s">
        <v>483</v>
      </c>
      <c r="E3752" s="10" t="s">
        <v>2342</v>
      </c>
      <c r="F3752" s="30" t="n">
        <v>42882</v>
      </c>
      <c r="G3752" s="30" t="n">
        <v>42964</v>
      </c>
      <c r="H3752" s="26" t="n">
        <f aca="false">G3752-F3752</f>
        <v>82</v>
      </c>
      <c r="I3752" s="10" t="n">
        <f aca="false">IF(E3752="Won",1,0)</f>
        <v>1</v>
      </c>
    </row>
    <row r="3753" customFormat="false" ht="15" hidden="false" customHeight="false" outlineLevel="0" collapsed="false">
      <c r="A3753" s="10" t="s">
        <v>6094</v>
      </c>
      <c r="B3753" s="10" t="s">
        <v>97</v>
      </c>
      <c r="C3753" s="10" t="s">
        <v>48</v>
      </c>
      <c r="D3753" s="10" t="s">
        <v>384</v>
      </c>
      <c r="E3753" s="10" t="s">
        <v>2342</v>
      </c>
      <c r="F3753" s="30" t="n">
        <v>42893</v>
      </c>
      <c r="G3753" s="30" t="n">
        <v>42964</v>
      </c>
      <c r="H3753" s="26" t="n">
        <f aca="false">G3753-F3753</f>
        <v>71</v>
      </c>
      <c r="I3753" s="10" t="n">
        <f aca="false">IF(E3753="Won",1,0)</f>
        <v>1</v>
      </c>
    </row>
    <row r="3754" customFormat="false" ht="15" hidden="false" customHeight="false" outlineLevel="0" collapsed="false">
      <c r="A3754" s="10" t="s">
        <v>6095</v>
      </c>
      <c r="B3754" s="10" t="s">
        <v>80</v>
      </c>
      <c r="C3754" s="10" t="s">
        <v>50</v>
      </c>
      <c r="D3754" s="10" t="s">
        <v>259</v>
      </c>
      <c r="E3754" s="10" t="s">
        <v>2342</v>
      </c>
      <c r="F3754" s="30" t="n">
        <v>42955</v>
      </c>
      <c r="G3754" s="30" t="n">
        <v>42964</v>
      </c>
      <c r="H3754" s="26" t="n">
        <f aca="false">G3754-F3754</f>
        <v>9</v>
      </c>
      <c r="I3754" s="10" t="n">
        <f aca="false">IF(E3754="Won",1,0)</f>
        <v>1</v>
      </c>
    </row>
    <row r="3755" customFormat="false" ht="15" hidden="false" customHeight="false" outlineLevel="0" collapsed="false">
      <c r="A3755" s="10" t="s">
        <v>6096</v>
      </c>
      <c r="B3755" s="10" t="s">
        <v>94</v>
      </c>
      <c r="C3755" s="10" t="s">
        <v>50</v>
      </c>
      <c r="D3755" s="10" t="s">
        <v>396</v>
      </c>
      <c r="E3755" s="10" t="s">
        <v>2342</v>
      </c>
      <c r="F3755" s="30" t="n">
        <v>42876</v>
      </c>
      <c r="G3755" s="30" t="n">
        <v>42965</v>
      </c>
      <c r="H3755" s="26" t="n">
        <f aca="false">G3755-F3755</f>
        <v>89</v>
      </c>
      <c r="I3755" s="10" t="n">
        <f aca="false">IF(E3755="Won",1,0)</f>
        <v>1</v>
      </c>
    </row>
    <row r="3756" customFormat="false" ht="15" hidden="false" customHeight="false" outlineLevel="0" collapsed="false">
      <c r="A3756" s="10" t="s">
        <v>6097</v>
      </c>
      <c r="B3756" s="10" t="s">
        <v>57</v>
      </c>
      <c r="C3756" s="10" t="s">
        <v>51</v>
      </c>
      <c r="D3756" s="10" t="s">
        <v>247</v>
      </c>
      <c r="E3756" s="10" t="s">
        <v>2345</v>
      </c>
      <c r="F3756" s="30" t="n">
        <v>42898</v>
      </c>
      <c r="G3756" s="30" t="n">
        <v>42965</v>
      </c>
      <c r="H3756" s="26" t="n">
        <f aca="false">G3756-F3756</f>
        <v>67</v>
      </c>
      <c r="I3756" s="10" t="n">
        <f aca="false">IF(E3756="Won",1,0)</f>
        <v>0</v>
      </c>
    </row>
    <row r="3757" customFormat="false" ht="15" hidden="false" customHeight="false" outlineLevel="0" collapsed="false">
      <c r="A3757" s="10" t="s">
        <v>6098</v>
      </c>
      <c r="B3757" s="10" t="s">
        <v>93</v>
      </c>
      <c r="C3757" s="10" t="s">
        <v>51</v>
      </c>
      <c r="D3757" s="10" t="s">
        <v>606</v>
      </c>
      <c r="E3757" s="10" t="s">
        <v>2345</v>
      </c>
      <c r="F3757" s="30" t="n">
        <v>42886</v>
      </c>
      <c r="G3757" s="30" t="n">
        <v>42965</v>
      </c>
      <c r="H3757" s="26" t="n">
        <f aca="false">G3757-F3757</f>
        <v>79</v>
      </c>
      <c r="I3757" s="10" t="n">
        <f aca="false">IF(E3757="Won",1,0)</f>
        <v>0</v>
      </c>
    </row>
    <row r="3758" customFormat="false" ht="15" hidden="false" customHeight="false" outlineLevel="0" collapsed="false">
      <c r="A3758" s="10" t="s">
        <v>6099</v>
      </c>
      <c r="B3758" s="10" t="s">
        <v>93</v>
      </c>
      <c r="C3758" s="10" t="s">
        <v>49</v>
      </c>
      <c r="D3758" s="10" t="s">
        <v>170</v>
      </c>
      <c r="E3758" s="10" t="s">
        <v>2345</v>
      </c>
      <c r="F3758" s="30" t="n">
        <v>42884</v>
      </c>
      <c r="G3758" s="30" t="n">
        <v>42965</v>
      </c>
      <c r="H3758" s="26" t="n">
        <f aca="false">G3758-F3758</f>
        <v>81</v>
      </c>
      <c r="I3758" s="10" t="n">
        <f aca="false">IF(E3758="Won",1,0)</f>
        <v>0</v>
      </c>
    </row>
    <row r="3759" customFormat="false" ht="15" hidden="false" customHeight="false" outlineLevel="0" collapsed="false">
      <c r="A3759" s="10" t="s">
        <v>6100</v>
      </c>
      <c r="B3759" s="10" t="s">
        <v>95</v>
      </c>
      <c r="C3759" s="10" t="s">
        <v>51</v>
      </c>
      <c r="D3759" s="10" t="s">
        <v>286</v>
      </c>
      <c r="E3759" s="10" t="s">
        <v>2342</v>
      </c>
      <c r="F3759" s="30" t="n">
        <v>42960</v>
      </c>
      <c r="G3759" s="30" t="n">
        <v>42965</v>
      </c>
      <c r="H3759" s="26" t="n">
        <f aca="false">G3759-F3759</f>
        <v>5</v>
      </c>
      <c r="I3759" s="10" t="n">
        <f aca="false">IF(E3759="Won",1,0)</f>
        <v>1</v>
      </c>
    </row>
    <row r="3760" customFormat="false" ht="15" hidden="false" customHeight="false" outlineLevel="0" collapsed="false">
      <c r="A3760" s="10" t="s">
        <v>6101</v>
      </c>
      <c r="B3760" s="10" t="s">
        <v>97</v>
      </c>
      <c r="C3760" s="10" t="s">
        <v>52</v>
      </c>
      <c r="D3760" s="10" t="s">
        <v>986</v>
      </c>
      <c r="E3760" s="10" t="s">
        <v>2342</v>
      </c>
      <c r="F3760" s="30" t="n">
        <v>42898</v>
      </c>
      <c r="G3760" s="30" t="n">
        <v>42965</v>
      </c>
      <c r="H3760" s="26" t="n">
        <f aca="false">G3760-F3760</f>
        <v>67</v>
      </c>
      <c r="I3760" s="10" t="n">
        <f aca="false">IF(E3760="Won",1,0)</f>
        <v>1</v>
      </c>
    </row>
    <row r="3761" customFormat="false" ht="15" hidden="false" customHeight="false" outlineLevel="0" collapsed="false">
      <c r="A3761" s="10" t="s">
        <v>6102</v>
      </c>
      <c r="B3761" s="10" t="s">
        <v>71</v>
      </c>
      <c r="C3761" s="10" t="s">
        <v>47</v>
      </c>
      <c r="D3761" s="10" t="s">
        <v>321</v>
      </c>
      <c r="E3761" s="10" t="s">
        <v>2345</v>
      </c>
      <c r="F3761" s="30" t="n">
        <v>42890</v>
      </c>
      <c r="G3761" s="30" t="n">
        <v>42965</v>
      </c>
      <c r="H3761" s="26" t="n">
        <f aca="false">G3761-F3761</f>
        <v>75</v>
      </c>
      <c r="I3761" s="10" t="n">
        <f aca="false">IF(E3761="Won",1,0)</f>
        <v>0</v>
      </c>
    </row>
    <row r="3762" customFormat="false" ht="15" hidden="false" customHeight="false" outlineLevel="0" collapsed="false">
      <c r="A3762" s="10" t="s">
        <v>6103</v>
      </c>
      <c r="B3762" s="10" t="s">
        <v>87</v>
      </c>
      <c r="C3762" s="10" t="s">
        <v>48</v>
      </c>
      <c r="D3762" s="10" t="s">
        <v>464</v>
      </c>
      <c r="E3762" s="10" t="s">
        <v>2345</v>
      </c>
      <c r="F3762" s="30" t="n">
        <v>42927</v>
      </c>
      <c r="G3762" s="30" t="n">
        <v>42965</v>
      </c>
      <c r="H3762" s="26" t="n">
        <f aca="false">G3762-F3762</f>
        <v>38</v>
      </c>
      <c r="I3762" s="10" t="n">
        <f aca="false">IF(E3762="Won",1,0)</f>
        <v>0</v>
      </c>
    </row>
    <row r="3763" customFormat="false" ht="15" hidden="false" customHeight="false" outlineLevel="0" collapsed="false">
      <c r="A3763" s="10" t="s">
        <v>6104</v>
      </c>
      <c r="B3763" s="10" t="s">
        <v>77</v>
      </c>
      <c r="C3763" s="10" t="s">
        <v>48</v>
      </c>
      <c r="D3763" s="10" t="s">
        <v>947</v>
      </c>
      <c r="E3763" s="10" t="s">
        <v>2345</v>
      </c>
      <c r="F3763" s="30" t="n">
        <v>42954</v>
      </c>
      <c r="G3763" s="30" t="n">
        <v>42965</v>
      </c>
      <c r="H3763" s="26" t="n">
        <f aca="false">G3763-F3763</f>
        <v>11</v>
      </c>
      <c r="I3763" s="10" t="n">
        <f aca="false">IF(E3763="Won",1,0)</f>
        <v>0</v>
      </c>
    </row>
    <row r="3764" customFormat="false" ht="15" hidden="false" customHeight="false" outlineLevel="0" collapsed="false">
      <c r="A3764" s="10" t="s">
        <v>6105</v>
      </c>
      <c r="B3764" s="10" t="s">
        <v>71</v>
      </c>
      <c r="C3764" s="10" t="s">
        <v>52</v>
      </c>
      <c r="D3764" s="10" t="s">
        <v>512</v>
      </c>
      <c r="E3764" s="10" t="s">
        <v>2342</v>
      </c>
      <c r="F3764" s="30" t="n">
        <v>42958</v>
      </c>
      <c r="G3764" s="30" t="n">
        <v>42965</v>
      </c>
      <c r="H3764" s="26" t="n">
        <f aca="false">G3764-F3764</f>
        <v>7</v>
      </c>
      <c r="I3764" s="10" t="n">
        <f aca="false">IF(E3764="Won",1,0)</f>
        <v>1</v>
      </c>
    </row>
    <row r="3765" customFormat="false" ht="15" hidden="false" customHeight="false" outlineLevel="0" collapsed="false">
      <c r="A3765" s="10" t="s">
        <v>6106</v>
      </c>
      <c r="B3765" s="10" t="s">
        <v>61</v>
      </c>
      <c r="C3765" s="10" t="s">
        <v>49</v>
      </c>
      <c r="D3765" s="10" t="s">
        <v>427</v>
      </c>
      <c r="E3765" s="10" t="s">
        <v>2342</v>
      </c>
      <c r="F3765" s="30" t="n">
        <v>42946</v>
      </c>
      <c r="G3765" s="30" t="n">
        <v>42965</v>
      </c>
      <c r="H3765" s="26" t="n">
        <f aca="false">G3765-F3765</f>
        <v>19</v>
      </c>
      <c r="I3765" s="10" t="n">
        <f aca="false">IF(E3765="Won",1,0)</f>
        <v>1</v>
      </c>
    </row>
    <row r="3766" customFormat="false" ht="15" hidden="false" customHeight="false" outlineLevel="0" collapsed="false">
      <c r="A3766" s="10" t="s">
        <v>6107</v>
      </c>
      <c r="B3766" s="10" t="s">
        <v>71</v>
      </c>
      <c r="C3766" s="10" t="s">
        <v>52</v>
      </c>
      <c r="D3766" s="10" t="s">
        <v>1948</v>
      </c>
      <c r="E3766" s="10" t="s">
        <v>2342</v>
      </c>
      <c r="F3766" s="30" t="n">
        <v>42955</v>
      </c>
      <c r="G3766" s="30" t="n">
        <v>42965</v>
      </c>
      <c r="H3766" s="26" t="n">
        <f aca="false">G3766-F3766</f>
        <v>10</v>
      </c>
      <c r="I3766" s="10" t="n">
        <f aca="false">IF(E3766="Won",1,0)</f>
        <v>1</v>
      </c>
    </row>
    <row r="3767" customFormat="false" ht="15" hidden="false" customHeight="false" outlineLevel="0" collapsed="false">
      <c r="A3767" s="10" t="s">
        <v>6108</v>
      </c>
      <c r="B3767" s="10" t="s">
        <v>76</v>
      </c>
      <c r="C3767" s="10" t="s">
        <v>52</v>
      </c>
      <c r="D3767" s="10" t="s">
        <v>660</v>
      </c>
      <c r="E3767" s="10" t="s">
        <v>2345</v>
      </c>
      <c r="F3767" s="30" t="n">
        <v>42894</v>
      </c>
      <c r="G3767" s="30" t="n">
        <v>42965</v>
      </c>
      <c r="H3767" s="26" t="n">
        <f aca="false">G3767-F3767</f>
        <v>71</v>
      </c>
      <c r="I3767" s="10" t="n">
        <f aca="false">IF(E3767="Won",1,0)</f>
        <v>0</v>
      </c>
    </row>
    <row r="3768" customFormat="false" ht="15" hidden="false" customHeight="false" outlineLevel="0" collapsed="false">
      <c r="A3768" s="10" t="s">
        <v>6109</v>
      </c>
      <c r="B3768" s="10" t="s">
        <v>60</v>
      </c>
      <c r="C3768" s="10" t="s">
        <v>51</v>
      </c>
      <c r="D3768" s="10" t="s">
        <v>233</v>
      </c>
      <c r="E3768" s="10" t="s">
        <v>2342</v>
      </c>
      <c r="F3768" s="30" t="n">
        <v>42875</v>
      </c>
      <c r="G3768" s="30" t="n">
        <v>42965</v>
      </c>
      <c r="H3768" s="26" t="n">
        <f aca="false">G3768-F3768</f>
        <v>90</v>
      </c>
      <c r="I3768" s="10" t="n">
        <f aca="false">IF(E3768="Won",1,0)</f>
        <v>1</v>
      </c>
    </row>
    <row r="3769" customFormat="false" ht="15" hidden="false" customHeight="false" outlineLevel="0" collapsed="false">
      <c r="A3769" s="10" t="s">
        <v>6110</v>
      </c>
      <c r="B3769" s="10" t="s">
        <v>68</v>
      </c>
      <c r="C3769" s="10" t="s">
        <v>52</v>
      </c>
      <c r="D3769" s="10" t="s">
        <v>711</v>
      </c>
      <c r="E3769" s="10" t="s">
        <v>2342</v>
      </c>
      <c r="F3769" s="30" t="n">
        <v>42884</v>
      </c>
      <c r="G3769" s="30" t="n">
        <v>42965</v>
      </c>
      <c r="H3769" s="26" t="n">
        <f aca="false">G3769-F3769</f>
        <v>81</v>
      </c>
      <c r="I3769" s="10" t="n">
        <f aca="false">IF(E3769="Won",1,0)</f>
        <v>1</v>
      </c>
    </row>
    <row r="3770" customFormat="false" ht="15" hidden="false" customHeight="false" outlineLevel="0" collapsed="false">
      <c r="A3770" s="10" t="s">
        <v>6111</v>
      </c>
      <c r="B3770" s="10" t="s">
        <v>77</v>
      </c>
      <c r="C3770" s="10" t="s">
        <v>48</v>
      </c>
      <c r="D3770" s="10" t="s">
        <v>961</v>
      </c>
      <c r="E3770" s="10" t="s">
        <v>2345</v>
      </c>
      <c r="F3770" s="30" t="n">
        <v>42882</v>
      </c>
      <c r="G3770" s="30" t="n">
        <v>42965</v>
      </c>
      <c r="H3770" s="26" t="n">
        <f aca="false">G3770-F3770</f>
        <v>83</v>
      </c>
      <c r="I3770" s="10" t="n">
        <f aca="false">IF(E3770="Won",1,0)</f>
        <v>0</v>
      </c>
    </row>
    <row r="3771" customFormat="false" ht="15" hidden="false" customHeight="false" outlineLevel="0" collapsed="false">
      <c r="A3771" s="10" t="s">
        <v>6112</v>
      </c>
      <c r="B3771" s="10" t="s">
        <v>77</v>
      </c>
      <c r="C3771" s="10" t="s">
        <v>52</v>
      </c>
      <c r="D3771" s="10" t="s">
        <v>259</v>
      </c>
      <c r="E3771" s="10" t="s">
        <v>2342</v>
      </c>
      <c r="F3771" s="30" t="n">
        <v>42875</v>
      </c>
      <c r="G3771" s="30" t="n">
        <v>42965</v>
      </c>
      <c r="H3771" s="26" t="n">
        <f aca="false">G3771-F3771</f>
        <v>90</v>
      </c>
      <c r="I3771" s="10" t="n">
        <f aca="false">IF(E3771="Won",1,0)</f>
        <v>1</v>
      </c>
    </row>
    <row r="3772" customFormat="false" ht="15" hidden="false" customHeight="false" outlineLevel="0" collapsed="false">
      <c r="A3772" s="10" t="s">
        <v>6113</v>
      </c>
      <c r="B3772" s="10" t="s">
        <v>68</v>
      </c>
      <c r="C3772" s="10" t="s">
        <v>52</v>
      </c>
      <c r="D3772" s="10" t="s">
        <v>337</v>
      </c>
      <c r="E3772" s="10" t="s">
        <v>2345</v>
      </c>
      <c r="F3772" s="30" t="n">
        <v>42872</v>
      </c>
      <c r="G3772" s="30" t="n">
        <v>42965</v>
      </c>
      <c r="H3772" s="26" t="n">
        <f aca="false">G3772-F3772</f>
        <v>93</v>
      </c>
      <c r="I3772" s="10" t="n">
        <f aca="false">IF(E3772="Won",1,0)</f>
        <v>0</v>
      </c>
    </row>
    <row r="3773" customFormat="false" ht="15" hidden="false" customHeight="false" outlineLevel="0" collapsed="false">
      <c r="A3773" s="10" t="s">
        <v>6114</v>
      </c>
      <c r="B3773" s="10" t="s">
        <v>66</v>
      </c>
      <c r="C3773" s="10" t="s">
        <v>52</v>
      </c>
      <c r="D3773" s="10" t="s">
        <v>344</v>
      </c>
      <c r="E3773" s="10" t="s">
        <v>2342</v>
      </c>
      <c r="F3773" s="30" t="n">
        <v>42863</v>
      </c>
      <c r="G3773" s="30" t="n">
        <v>42965</v>
      </c>
      <c r="H3773" s="26" t="n">
        <f aca="false">G3773-F3773</f>
        <v>102</v>
      </c>
      <c r="I3773" s="10" t="n">
        <f aca="false">IF(E3773="Won",1,0)</f>
        <v>1</v>
      </c>
    </row>
    <row r="3774" customFormat="false" ht="15" hidden="false" customHeight="false" outlineLevel="0" collapsed="false">
      <c r="A3774" s="10" t="s">
        <v>6115</v>
      </c>
      <c r="B3774" s="10" t="s">
        <v>68</v>
      </c>
      <c r="C3774" s="10" t="s">
        <v>48</v>
      </c>
      <c r="D3774" s="10" t="s">
        <v>175</v>
      </c>
      <c r="E3774" s="10" t="s">
        <v>2342</v>
      </c>
      <c r="F3774" s="30" t="n">
        <v>42872</v>
      </c>
      <c r="G3774" s="30" t="n">
        <v>42965</v>
      </c>
      <c r="H3774" s="26" t="n">
        <f aca="false">G3774-F3774</f>
        <v>93</v>
      </c>
      <c r="I3774" s="10" t="n">
        <f aca="false">IF(E3774="Won",1,0)</f>
        <v>1</v>
      </c>
    </row>
    <row r="3775" customFormat="false" ht="15" hidden="false" customHeight="false" outlineLevel="0" collapsed="false">
      <c r="A3775" s="10" t="s">
        <v>6116</v>
      </c>
      <c r="B3775" s="10" t="s">
        <v>70</v>
      </c>
      <c r="C3775" s="10" t="s">
        <v>49</v>
      </c>
      <c r="D3775" s="10" t="s">
        <v>210</v>
      </c>
      <c r="E3775" s="10" t="s">
        <v>2345</v>
      </c>
      <c r="F3775" s="30" t="n">
        <v>42964</v>
      </c>
      <c r="G3775" s="30" t="n">
        <v>42965</v>
      </c>
      <c r="H3775" s="26" t="n">
        <f aca="false">G3775-F3775</f>
        <v>1</v>
      </c>
      <c r="I3775" s="10" t="n">
        <f aca="false">IF(E3775="Won",1,0)</f>
        <v>0</v>
      </c>
    </row>
    <row r="3776" customFormat="false" ht="15" hidden="false" customHeight="false" outlineLevel="0" collapsed="false">
      <c r="A3776" s="10" t="s">
        <v>6117</v>
      </c>
      <c r="B3776" s="10" t="s">
        <v>97</v>
      </c>
      <c r="C3776" s="10" t="s">
        <v>52</v>
      </c>
      <c r="D3776" s="10" t="s">
        <v>506</v>
      </c>
      <c r="E3776" s="10" t="s">
        <v>2345</v>
      </c>
      <c r="F3776" s="30" t="n">
        <v>42961</v>
      </c>
      <c r="G3776" s="30" t="n">
        <v>42965</v>
      </c>
      <c r="H3776" s="26" t="n">
        <f aca="false">G3776-F3776</f>
        <v>4</v>
      </c>
      <c r="I3776" s="10" t="n">
        <f aca="false">IF(E3776="Won",1,0)</f>
        <v>0</v>
      </c>
    </row>
    <row r="3777" customFormat="false" ht="15" hidden="false" customHeight="false" outlineLevel="0" collapsed="false">
      <c r="A3777" s="10" t="s">
        <v>6118</v>
      </c>
      <c r="B3777" s="10" t="s">
        <v>88</v>
      </c>
      <c r="C3777" s="10" t="s">
        <v>48</v>
      </c>
      <c r="D3777" s="10" t="s">
        <v>1397</v>
      </c>
      <c r="E3777" s="10" t="s">
        <v>2345</v>
      </c>
      <c r="F3777" s="30" t="n">
        <v>42911</v>
      </c>
      <c r="G3777" s="30" t="n">
        <v>42966</v>
      </c>
      <c r="H3777" s="26" t="n">
        <f aca="false">G3777-F3777</f>
        <v>55</v>
      </c>
      <c r="I3777" s="10" t="n">
        <f aca="false">IF(E3777="Won",1,0)</f>
        <v>0</v>
      </c>
    </row>
    <row r="3778" customFormat="false" ht="15" hidden="false" customHeight="false" outlineLevel="0" collapsed="false">
      <c r="A3778" s="10" t="s">
        <v>6119</v>
      </c>
      <c r="B3778" s="10" t="s">
        <v>62</v>
      </c>
      <c r="C3778" s="10" t="s">
        <v>49</v>
      </c>
      <c r="D3778" s="10" t="s">
        <v>441</v>
      </c>
      <c r="E3778" s="10" t="s">
        <v>2342</v>
      </c>
      <c r="F3778" s="30" t="n">
        <v>42946</v>
      </c>
      <c r="G3778" s="30" t="n">
        <v>42966</v>
      </c>
      <c r="H3778" s="26" t="n">
        <f aca="false">G3778-F3778</f>
        <v>20</v>
      </c>
      <c r="I3778" s="10" t="n">
        <f aca="false">IF(E3778="Won",1,0)</f>
        <v>1</v>
      </c>
    </row>
    <row r="3779" customFormat="false" ht="15" hidden="false" customHeight="false" outlineLevel="0" collapsed="false">
      <c r="A3779" s="10" t="s">
        <v>6120</v>
      </c>
      <c r="B3779" s="10" t="s">
        <v>81</v>
      </c>
      <c r="C3779" s="10" t="s">
        <v>49</v>
      </c>
      <c r="D3779" s="10" t="s">
        <v>193</v>
      </c>
      <c r="E3779" s="10" t="s">
        <v>2342</v>
      </c>
      <c r="F3779" s="30" t="n">
        <v>42880</v>
      </c>
      <c r="G3779" s="30" t="n">
        <v>42966</v>
      </c>
      <c r="H3779" s="26" t="n">
        <f aca="false">G3779-F3779</f>
        <v>86</v>
      </c>
      <c r="I3779" s="10" t="n">
        <f aca="false">IF(E3779="Won",1,0)</f>
        <v>1</v>
      </c>
    </row>
    <row r="3780" customFormat="false" ht="15" hidden="false" customHeight="false" outlineLevel="0" collapsed="false">
      <c r="A3780" s="10" t="s">
        <v>6121</v>
      </c>
      <c r="B3780" s="10" t="s">
        <v>76</v>
      </c>
      <c r="C3780" s="10" t="s">
        <v>52</v>
      </c>
      <c r="D3780" s="10" t="s">
        <v>524</v>
      </c>
      <c r="E3780" s="10" t="s">
        <v>2345</v>
      </c>
      <c r="F3780" s="30" t="n">
        <v>42863</v>
      </c>
      <c r="G3780" s="30" t="n">
        <v>42966</v>
      </c>
      <c r="H3780" s="26" t="n">
        <f aca="false">G3780-F3780</f>
        <v>103</v>
      </c>
      <c r="I3780" s="10" t="n">
        <f aca="false">IF(E3780="Won",1,0)</f>
        <v>0</v>
      </c>
    </row>
    <row r="3781" customFormat="false" ht="15" hidden="false" customHeight="false" outlineLevel="0" collapsed="false">
      <c r="A3781" s="10" t="s">
        <v>6122</v>
      </c>
      <c r="B3781" s="10" t="s">
        <v>70</v>
      </c>
      <c r="C3781" s="10" t="s">
        <v>48</v>
      </c>
      <c r="D3781" s="10" t="s">
        <v>286</v>
      </c>
      <c r="E3781" s="10" t="s">
        <v>2342</v>
      </c>
      <c r="F3781" s="30" t="n">
        <v>42948</v>
      </c>
      <c r="G3781" s="30" t="n">
        <v>42966</v>
      </c>
      <c r="H3781" s="26" t="n">
        <f aca="false">G3781-F3781</f>
        <v>18</v>
      </c>
      <c r="I3781" s="10" t="n">
        <f aca="false">IF(E3781="Won",1,0)</f>
        <v>1</v>
      </c>
    </row>
    <row r="3782" customFormat="false" ht="15" hidden="false" customHeight="false" outlineLevel="0" collapsed="false">
      <c r="A3782" s="10" t="s">
        <v>6123</v>
      </c>
      <c r="B3782" s="10" t="s">
        <v>90</v>
      </c>
      <c r="C3782" s="10" t="s">
        <v>50</v>
      </c>
      <c r="D3782" s="10" t="s">
        <v>532</v>
      </c>
      <c r="E3782" s="10" t="s">
        <v>2345</v>
      </c>
      <c r="F3782" s="30" t="n">
        <v>42902</v>
      </c>
      <c r="G3782" s="30" t="n">
        <v>42966</v>
      </c>
      <c r="H3782" s="26" t="n">
        <f aca="false">G3782-F3782</f>
        <v>64</v>
      </c>
      <c r="I3782" s="10" t="n">
        <f aca="false">IF(E3782="Won",1,0)</f>
        <v>0</v>
      </c>
    </row>
    <row r="3783" customFormat="false" ht="15" hidden="false" customHeight="false" outlineLevel="0" collapsed="false">
      <c r="A3783" s="10" t="s">
        <v>6124</v>
      </c>
      <c r="B3783" s="10" t="s">
        <v>68</v>
      </c>
      <c r="C3783" s="10" t="s">
        <v>52</v>
      </c>
      <c r="D3783" s="10" t="s">
        <v>172</v>
      </c>
      <c r="E3783" s="10" t="s">
        <v>2342</v>
      </c>
      <c r="F3783" s="30" t="n">
        <v>42892</v>
      </c>
      <c r="G3783" s="30" t="n">
        <v>42966</v>
      </c>
      <c r="H3783" s="26" t="n">
        <f aca="false">G3783-F3783</f>
        <v>74</v>
      </c>
      <c r="I3783" s="10" t="n">
        <f aca="false">IF(E3783="Won",1,0)</f>
        <v>1</v>
      </c>
    </row>
    <row r="3784" customFormat="false" ht="15" hidden="false" customHeight="false" outlineLevel="0" collapsed="false">
      <c r="A3784" s="10" t="s">
        <v>6125</v>
      </c>
      <c r="B3784" s="10" t="s">
        <v>93</v>
      </c>
      <c r="C3784" s="10" t="s">
        <v>51</v>
      </c>
      <c r="D3784" s="10" t="s">
        <v>432</v>
      </c>
      <c r="E3784" s="10" t="s">
        <v>2342</v>
      </c>
      <c r="F3784" s="30" t="n">
        <v>42905</v>
      </c>
      <c r="G3784" s="30" t="n">
        <v>42966</v>
      </c>
      <c r="H3784" s="26" t="n">
        <f aca="false">G3784-F3784</f>
        <v>61</v>
      </c>
      <c r="I3784" s="10" t="n">
        <f aca="false">IF(E3784="Won",1,0)</f>
        <v>1</v>
      </c>
    </row>
    <row r="3785" customFormat="false" ht="15" hidden="false" customHeight="false" outlineLevel="0" collapsed="false">
      <c r="A3785" s="10" t="s">
        <v>6126</v>
      </c>
      <c r="B3785" s="10" t="s">
        <v>81</v>
      </c>
      <c r="C3785" s="10" t="s">
        <v>47</v>
      </c>
      <c r="D3785" s="10" t="s">
        <v>414</v>
      </c>
      <c r="E3785" s="10" t="s">
        <v>2342</v>
      </c>
      <c r="F3785" s="30" t="n">
        <v>42955</v>
      </c>
      <c r="G3785" s="30" t="n">
        <v>42966</v>
      </c>
      <c r="H3785" s="26" t="n">
        <f aca="false">G3785-F3785</f>
        <v>11</v>
      </c>
      <c r="I3785" s="10" t="n">
        <f aca="false">IF(E3785="Won",1,0)</f>
        <v>1</v>
      </c>
    </row>
    <row r="3786" customFormat="false" ht="15" hidden="false" customHeight="false" outlineLevel="0" collapsed="false">
      <c r="A3786" s="10" t="s">
        <v>6127</v>
      </c>
      <c r="B3786" s="10" t="s">
        <v>76</v>
      </c>
      <c r="C3786" s="10" t="s">
        <v>47</v>
      </c>
      <c r="D3786" s="10" t="s">
        <v>1948</v>
      </c>
      <c r="E3786" s="10" t="s">
        <v>2342</v>
      </c>
      <c r="F3786" s="30" t="n">
        <v>42857</v>
      </c>
      <c r="G3786" s="30" t="n">
        <v>42966</v>
      </c>
      <c r="H3786" s="26" t="n">
        <f aca="false">G3786-F3786</f>
        <v>109</v>
      </c>
      <c r="I3786" s="10" t="n">
        <f aca="false">IF(E3786="Won",1,0)</f>
        <v>1</v>
      </c>
    </row>
    <row r="3787" customFormat="false" ht="15" hidden="false" customHeight="false" outlineLevel="0" collapsed="false">
      <c r="A3787" s="10" t="s">
        <v>6128</v>
      </c>
      <c r="B3787" s="10" t="s">
        <v>63</v>
      </c>
      <c r="C3787" s="10" t="s">
        <v>49</v>
      </c>
      <c r="D3787" s="10" t="s">
        <v>254</v>
      </c>
      <c r="E3787" s="10" t="s">
        <v>2342</v>
      </c>
      <c r="F3787" s="30" t="n">
        <v>42879</v>
      </c>
      <c r="G3787" s="30" t="n">
        <v>42966</v>
      </c>
      <c r="H3787" s="26" t="n">
        <f aca="false">G3787-F3787</f>
        <v>87</v>
      </c>
      <c r="I3787" s="10" t="n">
        <f aca="false">IF(E3787="Won",1,0)</f>
        <v>1</v>
      </c>
    </row>
    <row r="3788" customFormat="false" ht="15" hidden="false" customHeight="false" outlineLevel="0" collapsed="false">
      <c r="A3788" s="10" t="s">
        <v>6129</v>
      </c>
      <c r="B3788" s="10" t="s">
        <v>81</v>
      </c>
      <c r="C3788" s="10" t="s">
        <v>51</v>
      </c>
      <c r="D3788" s="10" t="s">
        <v>414</v>
      </c>
      <c r="E3788" s="10" t="s">
        <v>2342</v>
      </c>
      <c r="F3788" s="30" t="n">
        <v>42894</v>
      </c>
      <c r="G3788" s="30" t="n">
        <v>42966</v>
      </c>
      <c r="H3788" s="26" t="n">
        <f aca="false">G3788-F3788</f>
        <v>72</v>
      </c>
      <c r="I3788" s="10" t="n">
        <f aca="false">IF(E3788="Won",1,0)</f>
        <v>1</v>
      </c>
    </row>
    <row r="3789" customFormat="false" ht="15" hidden="false" customHeight="false" outlineLevel="0" collapsed="false">
      <c r="A3789" s="10" t="s">
        <v>6130</v>
      </c>
      <c r="B3789" s="10" t="s">
        <v>86</v>
      </c>
      <c r="C3789" s="10" t="s">
        <v>50</v>
      </c>
      <c r="D3789" s="10" t="s">
        <v>161</v>
      </c>
      <c r="E3789" s="10" t="s">
        <v>2342</v>
      </c>
      <c r="F3789" s="30" t="n">
        <v>42874</v>
      </c>
      <c r="G3789" s="30" t="n">
        <v>42966</v>
      </c>
      <c r="H3789" s="26" t="n">
        <f aca="false">G3789-F3789</f>
        <v>92</v>
      </c>
      <c r="I3789" s="10" t="n">
        <f aca="false">IF(E3789="Won",1,0)</f>
        <v>1</v>
      </c>
    </row>
    <row r="3790" customFormat="false" ht="15" hidden="false" customHeight="false" outlineLevel="0" collapsed="false">
      <c r="A3790" s="10" t="s">
        <v>6131</v>
      </c>
      <c r="B3790" s="10" t="s">
        <v>96</v>
      </c>
      <c r="C3790" s="10" t="s">
        <v>52</v>
      </c>
      <c r="D3790" s="10" t="s">
        <v>210</v>
      </c>
      <c r="E3790" s="10" t="s">
        <v>2342</v>
      </c>
      <c r="F3790" s="30" t="n">
        <v>42906</v>
      </c>
      <c r="G3790" s="30" t="n">
        <v>42966</v>
      </c>
      <c r="H3790" s="26" t="n">
        <f aca="false">G3790-F3790</f>
        <v>60</v>
      </c>
      <c r="I3790" s="10" t="n">
        <f aca="false">IF(E3790="Won",1,0)</f>
        <v>1</v>
      </c>
    </row>
    <row r="3791" customFormat="false" ht="15" hidden="false" customHeight="false" outlineLevel="0" collapsed="false">
      <c r="A3791" s="10" t="s">
        <v>6132</v>
      </c>
      <c r="B3791" s="10" t="s">
        <v>71</v>
      </c>
      <c r="C3791" s="10" t="s">
        <v>49</v>
      </c>
      <c r="D3791" s="10" t="s">
        <v>267</v>
      </c>
      <c r="E3791" s="10" t="s">
        <v>2345</v>
      </c>
      <c r="F3791" s="30" t="n">
        <v>42881</v>
      </c>
      <c r="G3791" s="30" t="n">
        <v>42966</v>
      </c>
      <c r="H3791" s="26" t="n">
        <f aca="false">G3791-F3791</f>
        <v>85</v>
      </c>
      <c r="I3791" s="10" t="n">
        <f aca="false">IF(E3791="Won",1,0)</f>
        <v>0</v>
      </c>
    </row>
    <row r="3792" customFormat="false" ht="15" hidden="false" customHeight="false" outlineLevel="0" collapsed="false">
      <c r="A3792" s="10" t="s">
        <v>6133</v>
      </c>
      <c r="B3792" s="10" t="s">
        <v>70</v>
      </c>
      <c r="C3792" s="10" t="s">
        <v>51</v>
      </c>
      <c r="D3792" s="10" t="s">
        <v>175</v>
      </c>
      <c r="E3792" s="10" t="s">
        <v>2342</v>
      </c>
      <c r="F3792" s="30" t="n">
        <v>42961</v>
      </c>
      <c r="G3792" s="30" t="n">
        <v>42966</v>
      </c>
      <c r="H3792" s="26" t="n">
        <f aca="false">G3792-F3792</f>
        <v>5</v>
      </c>
      <c r="I3792" s="10" t="n">
        <f aca="false">IF(E3792="Won",1,0)</f>
        <v>1</v>
      </c>
    </row>
    <row r="3793" customFormat="false" ht="15" hidden="false" customHeight="false" outlineLevel="0" collapsed="false">
      <c r="A3793" s="10" t="s">
        <v>6134</v>
      </c>
      <c r="B3793" s="10" t="s">
        <v>95</v>
      </c>
      <c r="C3793" s="10" t="s">
        <v>48</v>
      </c>
      <c r="D3793" s="10" t="s">
        <v>522</v>
      </c>
      <c r="E3793" s="10" t="s">
        <v>2345</v>
      </c>
      <c r="F3793" s="30" t="n">
        <v>42895</v>
      </c>
      <c r="G3793" s="30" t="n">
        <v>42966</v>
      </c>
      <c r="H3793" s="26" t="n">
        <f aca="false">G3793-F3793</f>
        <v>71</v>
      </c>
      <c r="I3793" s="10" t="n">
        <f aca="false">IF(E3793="Won",1,0)</f>
        <v>0</v>
      </c>
    </row>
    <row r="3794" customFormat="false" ht="15" hidden="false" customHeight="false" outlineLevel="0" collapsed="false">
      <c r="A3794" s="10" t="s">
        <v>6135</v>
      </c>
      <c r="B3794" s="10" t="s">
        <v>70</v>
      </c>
      <c r="C3794" s="10" t="s">
        <v>48</v>
      </c>
      <c r="D3794" s="10" t="s">
        <v>172</v>
      </c>
      <c r="E3794" s="10" t="s">
        <v>2342</v>
      </c>
      <c r="F3794" s="30" t="n">
        <v>42870</v>
      </c>
      <c r="G3794" s="30" t="n">
        <v>42966</v>
      </c>
      <c r="H3794" s="26" t="n">
        <f aca="false">G3794-F3794</f>
        <v>96</v>
      </c>
      <c r="I3794" s="10" t="n">
        <f aca="false">IF(E3794="Won",1,0)</f>
        <v>1</v>
      </c>
    </row>
    <row r="3795" customFormat="false" ht="15" hidden="false" customHeight="false" outlineLevel="0" collapsed="false">
      <c r="A3795" s="10" t="s">
        <v>6136</v>
      </c>
      <c r="B3795" s="10" t="s">
        <v>69</v>
      </c>
      <c r="C3795" s="10" t="s">
        <v>48</v>
      </c>
      <c r="D3795" s="10" t="s">
        <v>227</v>
      </c>
      <c r="E3795" s="10" t="s">
        <v>2342</v>
      </c>
      <c r="F3795" s="30" t="n">
        <v>42915</v>
      </c>
      <c r="G3795" s="30" t="n">
        <v>42966</v>
      </c>
      <c r="H3795" s="26" t="n">
        <f aca="false">G3795-F3795</f>
        <v>51</v>
      </c>
      <c r="I3795" s="10" t="n">
        <f aca="false">IF(E3795="Won",1,0)</f>
        <v>1</v>
      </c>
    </row>
    <row r="3796" customFormat="false" ht="15" hidden="false" customHeight="false" outlineLevel="0" collapsed="false">
      <c r="A3796" s="10" t="s">
        <v>6137</v>
      </c>
      <c r="B3796" s="10" t="s">
        <v>76</v>
      </c>
      <c r="C3796" s="10" t="s">
        <v>52</v>
      </c>
      <c r="D3796" s="10" t="s">
        <v>422</v>
      </c>
      <c r="E3796" s="10" t="s">
        <v>2342</v>
      </c>
      <c r="F3796" s="30" t="n">
        <v>42944</v>
      </c>
      <c r="G3796" s="30" t="n">
        <v>42966</v>
      </c>
      <c r="H3796" s="26" t="n">
        <f aca="false">G3796-F3796</f>
        <v>22</v>
      </c>
      <c r="I3796" s="10" t="n">
        <f aca="false">IF(E3796="Won",1,0)</f>
        <v>1</v>
      </c>
    </row>
    <row r="3797" customFormat="false" ht="15" hidden="false" customHeight="false" outlineLevel="0" collapsed="false">
      <c r="A3797" s="10" t="s">
        <v>6138</v>
      </c>
      <c r="B3797" s="10" t="s">
        <v>83</v>
      </c>
      <c r="C3797" s="10" t="s">
        <v>50</v>
      </c>
      <c r="D3797" s="10" t="s">
        <v>597</v>
      </c>
      <c r="E3797" s="10" t="s">
        <v>2342</v>
      </c>
      <c r="F3797" s="30" t="n">
        <v>42928</v>
      </c>
      <c r="G3797" s="30" t="n">
        <v>42967</v>
      </c>
      <c r="H3797" s="26" t="n">
        <f aca="false">G3797-F3797</f>
        <v>39</v>
      </c>
      <c r="I3797" s="10" t="n">
        <f aca="false">IF(E3797="Won",1,0)</f>
        <v>1</v>
      </c>
    </row>
    <row r="3798" customFormat="false" ht="15" hidden="false" customHeight="false" outlineLevel="0" collapsed="false">
      <c r="A3798" s="10" t="s">
        <v>6139</v>
      </c>
      <c r="B3798" s="10" t="s">
        <v>95</v>
      </c>
      <c r="C3798" s="10" t="s">
        <v>48</v>
      </c>
      <c r="D3798" s="10" t="s">
        <v>396</v>
      </c>
      <c r="E3798" s="10" t="s">
        <v>2342</v>
      </c>
      <c r="F3798" s="30" t="n">
        <v>42888</v>
      </c>
      <c r="G3798" s="30" t="n">
        <v>42967</v>
      </c>
      <c r="H3798" s="26" t="n">
        <f aca="false">G3798-F3798</f>
        <v>79</v>
      </c>
      <c r="I3798" s="10" t="n">
        <f aca="false">IF(E3798="Won",1,0)</f>
        <v>1</v>
      </c>
    </row>
    <row r="3799" customFormat="false" ht="15" hidden="false" customHeight="false" outlineLevel="0" collapsed="false">
      <c r="A3799" s="10" t="s">
        <v>6140</v>
      </c>
      <c r="B3799" s="10" t="s">
        <v>69</v>
      </c>
      <c r="C3799" s="10" t="s">
        <v>52</v>
      </c>
      <c r="D3799" s="10" t="s">
        <v>172</v>
      </c>
      <c r="E3799" s="10" t="s">
        <v>2342</v>
      </c>
      <c r="F3799" s="30" t="n">
        <v>42871</v>
      </c>
      <c r="G3799" s="30" t="n">
        <v>42967</v>
      </c>
      <c r="H3799" s="26" t="n">
        <f aca="false">G3799-F3799</f>
        <v>96</v>
      </c>
      <c r="I3799" s="10" t="n">
        <f aca="false">IF(E3799="Won",1,0)</f>
        <v>1</v>
      </c>
    </row>
    <row r="3800" customFormat="false" ht="15" hidden="false" customHeight="false" outlineLevel="0" collapsed="false">
      <c r="A3800" s="10" t="s">
        <v>6141</v>
      </c>
      <c r="B3800" s="10" t="s">
        <v>74</v>
      </c>
      <c r="C3800" s="10" t="s">
        <v>49</v>
      </c>
      <c r="D3800" s="10" t="s">
        <v>512</v>
      </c>
      <c r="E3800" s="10" t="s">
        <v>2342</v>
      </c>
      <c r="F3800" s="30" t="n">
        <v>42876</v>
      </c>
      <c r="G3800" s="30" t="n">
        <v>42967</v>
      </c>
      <c r="H3800" s="26" t="n">
        <f aca="false">G3800-F3800</f>
        <v>91</v>
      </c>
      <c r="I3800" s="10" t="n">
        <f aca="false">IF(E3800="Won",1,0)</f>
        <v>1</v>
      </c>
    </row>
    <row r="3801" customFormat="false" ht="15" hidden="false" customHeight="false" outlineLevel="0" collapsed="false">
      <c r="A3801" s="10" t="s">
        <v>6142</v>
      </c>
      <c r="B3801" s="10" t="s">
        <v>96</v>
      </c>
      <c r="C3801" s="10" t="s">
        <v>50</v>
      </c>
      <c r="D3801" s="10" t="s">
        <v>168</v>
      </c>
      <c r="E3801" s="10" t="s">
        <v>2345</v>
      </c>
      <c r="F3801" s="30" t="n">
        <v>42956</v>
      </c>
      <c r="G3801" s="30" t="n">
        <v>42967</v>
      </c>
      <c r="H3801" s="26" t="n">
        <f aca="false">G3801-F3801</f>
        <v>11</v>
      </c>
      <c r="I3801" s="10" t="n">
        <f aca="false">IF(E3801="Won",1,0)</f>
        <v>0</v>
      </c>
    </row>
    <row r="3802" customFormat="false" ht="15" hidden="false" customHeight="false" outlineLevel="0" collapsed="false">
      <c r="A3802" s="10" t="s">
        <v>6143</v>
      </c>
      <c r="B3802" s="10" t="s">
        <v>57</v>
      </c>
      <c r="C3802" s="10" t="s">
        <v>50</v>
      </c>
      <c r="D3802" s="10" t="s">
        <v>359</v>
      </c>
      <c r="E3802" s="10" t="s">
        <v>2342</v>
      </c>
      <c r="F3802" s="30" t="n">
        <v>42957</v>
      </c>
      <c r="G3802" s="30" t="n">
        <v>42967</v>
      </c>
      <c r="H3802" s="26" t="n">
        <f aca="false">G3802-F3802</f>
        <v>10</v>
      </c>
      <c r="I3802" s="10" t="n">
        <f aca="false">IF(E3802="Won",1,0)</f>
        <v>1</v>
      </c>
    </row>
    <row r="3803" customFormat="false" ht="15" hidden="false" customHeight="false" outlineLevel="0" collapsed="false">
      <c r="A3803" s="10" t="s">
        <v>6144</v>
      </c>
      <c r="B3803" s="10" t="s">
        <v>80</v>
      </c>
      <c r="C3803" s="10" t="s">
        <v>50</v>
      </c>
      <c r="D3803" s="10" t="s">
        <v>483</v>
      </c>
      <c r="E3803" s="10" t="s">
        <v>2342</v>
      </c>
      <c r="F3803" s="30" t="n">
        <v>42906</v>
      </c>
      <c r="G3803" s="30" t="n">
        <v>42967</v>
      </c>
      <c r="H3803" s="26" t="n">
        <f aca="false">G3803-F3803</f>
        <v>61</v>
      </c>
      <c r="I3803" s="10" t="n">
        <f aca="false">IF(E3803="Won",1,0)</f>
        <v>1</v>
      </c>
    </row>
    <row r="3804" customFormat="false" ht="15" hidden="false" customHeight="false" outlineLevel="0" collapsed="false">
      <c r="A3804" s="10" t="s">
        <v>6145</v>
      </c>
      <c r="B3804" s="10" t="s">
        <v>76</v>
      </c>
      <c r="C3804" s="10" t="s">
        <v>52</v>
      </c>
      <c r="D3804" s="10" t="s">
        <v>259</v>
      </c>
      <c r="E3804" s="10" t="s">
        <v>2345</v>
      </c>
      <c r="F3804" s="30" t="n">
        <v>42964</v>
      </c>
      <c r="G3804" s="30" t="n">
        <v>42967</v>
      </c>
      <c r="H3804" s="26" t="n">
        <f aca="false">G3804-F3804</f>
        <v>3</v>
      </c>
      <c r="I3804" s="10" t="n">
        <f aca="false">IF(E3804="Won",1,0)</f>
        <v>0</v>
      </c>
    </row>
    <row r="3805" customFormat="false" ht="15" hidden="false" customHeight="false" outlineLevel="0" collapsed="false">
      <c r="A3805" s="10" t="s">
        <v>6146</v>
      </c>
      <c r="B3805" s="10" t="s">
        <v>90</v>
      </c>
      <c r="C3805" s="10" t="s">
        <v>47</v>
      </c>
      <c r="D3805" s="10" t="s">
        <v>218</v>
      </c>
      <c r="E3805" s="10" t="s">
        <v>2342</v>
      </c>
      <c r="F3805" s="30" t="n">
        <v>42869</v>
      </c>
      <c r="G3805" s="30" t="n">
        <v>42967</v>
      </c>
      <c r="H3805" s="26" t="n">
        <f aca="false">G3805-F3805</f>
        <v>98</v>
      </c>
      <c r="I3805" s="10" t="n">
        <f aca="false">IF(E3805="Won",1,0)</f>
        <v>1</v>
      </c>
    </row>
    <row r="3806" customFormat="false" ht="15" hidden="false" customHeight="false" outlineLevel="0" collapsed="false">
      <c r="A3806" s="10" t="s">
        <v>6147</v>
      </c>
      <c r="B3806" s="10" t="s">
        <v>96</v>
      </c>
      <c r="C3806" s="10" t="s">
        <v>50</v>
      </c>
      <c r="D3806" s="10" t="s">
        <v>348</v>
      </c>
      <c r="E3806" s="10" t="s">
        <v>2345</v>
      </c>
      <c r="F3806" s="30" t="n">
        <v>42910</v>
      </c>
      <c r="G3806" s="30" t="n">
        <v>42967</v>
      </c>
      <c r="H3806" s="26" t="n">
        <f aca="false">G3806-F3806</f>
        <v>57</v>
      </c>
      <c r="I3806" s="10" t="n">
        <f aca="false">IF(E3806="Won",1,0)</f>
        <v>0</v>
      </c>
    </row>
    <row r="3807" customFormat="false" ht="15" hidden="false" customHeight="false" outlineLevel="0" collapsed="false">
      <c r="A3807" s="10" t="s">
        <v>6148</v>
      </c>
      <c r="B3807" s="10" t="s">
        <v>67</v>
      </c>
      <c r="C3807" s="10" t="s">
        <v>47</v>
      </c>
      <c r="D3807" s="10" t="s">
        <v>199</v>
      </c>
      <c r="E3807" s="10" t="s">
        <v>2342</v>
      </c>
      <c r="F3807" s="30" t="n">
        <v>42965</v>
      </c>
      <c r="G3807" s="30" t="n">
        <v>42967</v>
      </c>
      <c r="H3807" s="26" t="n">
        <f aca="false">G3807-F3807</f>
        <v>2</v>
      </c>
      <c r="I3807" s="10" t="n">
        <f aca="false">IF(E3807="Won",1,0)</f>
        <v>1</v>
      </c>
    </row>
    <row r="3808" customFormat="false" ht="15" hidden="false" customHeight="false" outlineLevel="0" collapsed="false">
      <c r="A3808" s="10" t="s">
        <v>6149</v>
      </c>
      <c r="B3808" s="10" t="s">
        <v>71</v>
      </c>
      <c r="C3808" s="10" t="s">
        <v>51</v>
      </c>
      <c r="D3808" s="10" t="s">
        <v>369</v>
      </c>
      <c r="E3808" s="10" t="s">
        <v>2345</v>
      </c>
      <c r="F3808" s="30" t="n">
        <v>42883</v>
      </c>
      <c r="G3808" s="30" t="n">
        <v>42967</v>
      </c>
      <c r="H3808" s="26" t="n">
        <f aca="false">G3808-F3808</f>
        <v>84</v>
      </c>
      <c r="I3808" s="10" t="n">
        <f aca="false">IF(E3808="Won",1,0)</f>
        <v>0</v>
      </c>
    </row>
    <row r="3809" customFormat="false" ht="15" hidden="false" customHeight="false" outlineLevel="0" collapsed="false">
      <c r="A3809" s="10" t="s">
        <v>6150</v>
      </c>
      <c r="B3809" s="10" t="s">
        <v>62</v>
      </c>
      <c r="C3809" s="10" t="s">
        <v>52</v>
      </c>
      <c r="D3809" s="10" t="s">
        <v>1397</v>
      </c>
      <c r="E3809" s="10" t="s">
        <v>2342</v>
      </c>
      <c r="F3809" s="30" t="n">
        <v>42933</v>
      </c>
      <c r="G3809" s="30" t="n">
        <v>42967</v>
      </c>
      <c r="H3809" s="26" t="n">
        <f aca="false">G3809-F3809</f>
        <v>34</v>
      </c>
      <c r="I3809" s="10" t="n">
        <f aca="false">IF(E3809="Won",1,0)</f>
        <v>1</v>
      </c>
    </row>
    <row r="3810" customFormat="false" ht="15" hidden="false" customHeight="false" outlineLevel="0" collapsed="false">
      <c r="A3810" s="10" t="s">
        <v>6151</v>
      </c>
      <c r="B3810" s="10" t="s">
        <v>71</v>
      </c>
      <c r="C3810" s="10" t="s">
        <v>47</v>
      </c>
      <c r="D3810" s="10" t="s">
        <v>291</v>
      </c>
      <c r="E3810" s="10" t="s">
        <v>2345</v>
      </c>
      <c r="F3810" s="30" t="n">
        <v>42961</v>
      </c>
      <c r="G3810" s="30" t="n">
        <v>42967</v>
      </c>
      <c r="H3810" s="26" t="n">
        <f aca="false">G3810-F3810</f>
        <v>6</v>
      </c>
      <c r="I3810" s="10" t="n">
        <f aca="false">IF(E3810="Won",1,0)</f>
        <v>0</v>
      </c>
    </row>
    <row r="3811" customFormat="false" ht="15" hidden="false" customHeight="false" outlineLevel="0" collapsed="false">
      <c r="A3811" s="10" t="s">
        <v>6152</v>
      </c>
      <c r="B3811" s="10" t="s">
        <v>97</v>
      </c>
      <c r="C3811" s="10" t="s">
        <v>51</v>
      </c>
      <c r="D3811" s="10" t="s">
        <v>606</v>
      </c>
      <c r="E3811" s="10" t="s">
        <v>2345</v>
      </c>
      <c r="F3811" s="30" t="n">
        <v>42886</v>
      </c>
      <c r="G3811" s="30" t="n">
        <v>42967</v>
      </c>
      <c r="H3811" s="26" t="n">
        <f aca="false">G3811-F3811</f>
        <v>81</v>
      </c>
      <c r="I3811" s="10" t="n">
        <f aca="false">IF(E3811="Won",1,0)</f>
        <v>0</v>
      </c>
    </row>
    <row r="3812" customFormat="false" ht="15" hidden="false" customHeight="false" outlineLevel="0" collapsed="false">
      <c r="A3812" s="10" t="s">
        <v>6153</v>
      </c>
      <c r="B3812" s="10" t="s">
        <v>94</v>
      </c>
      <c r="C3812" s="10" t="s">
        <v>49</v>
      </c>
      <c r="D3812" s="10" t="s">
        <v>286</v>
      </c>
      <c r="E3812" s="10" t="s">
        <v>2342</v>
      </c>
      <c r="F3812" s="30" t="n">
        <v>42939</v>
      </c>
      <c r="G3812" s="30" t="n">
        <v>42967</v>
      </c>
      <c r="H3812" s="26" t="n">
        <f aca="false">G3812-F3812</f>
        <v>28</v>
      </c>
      <c r="I3812" s="10" t="n">
        <f aca="false">IF(E3812="Won",1,0)</f>
        <v>1</v>
      </c>
    </row>
    <row r="3813" customFormat="false" ht="15" hidden="false" customHeight="false" outlineLevel="0" collapsed="false">
      <c r="A3813" s="10" t="s">
        <v>6154</v>
      </c>
      <c r="B3813" s="10" t="s">
        <v>76</v>
      </c>
      <c r="C3813" s="10" t="s">
        <v>52</v>
      </c>
      <c r="D3813" s="10" t="s">
        <v>311</v>
      </c>
      <c r="E3813" s="10" t="s">
        <v>2342</v>
      </c>
      <c r="F3813" s="30" t="n">
        <v>42897</v>
      </c>
      <c r="G3813" s="30" t="n">
        <v>42967</v>
      </c>
      <c r="H3813" s="26" t="n">
        <f aca="false">G3813-F3813</f>
        <v>70</v>
      </c>
      <c r="I3813" s="10" t="n">
        <f aca="false">IF(E3813="Won",1,0)</f>
        <v>1</v>
      </c>
    </row>
    <row r="3814" customFormat="false" ht="15" hidden="false" customHeight="false" outlineLevel="0" collapsed="false">
      <c r="A3814" s="10" t="s">
        <v>6155</v>
      </c>
      <c r="B3814" s="10" t="s">
        <v>71</v>
      </c>
      <c r="C3814" s="10" t="s">
        <v>49</v>
      </c>
      <c r="D3814" s="10" t="s">
        <v>193</v>
      </c>
      <c r="E3814" s="10" t="s">
        <v>2345</v>
      </c>
      <c r="F3814" s="30" t="n">
        <v>42899</v>
      </c>
      <c r="G3814" s="30" t="n">
        <v>42967</v>
      </c>
      <c r="H3814" s="26" t="n">
        <f aca="false">G3814-F3814</f>
        <v>68</v>
      </c>
      <c r="I3814" s="10" t="n">
        <f aca="false">IF(E3814="Won",1,0)</f>
        <v>0</v>
      </c>
    </row>
    <row r="3815" customFormat="false" ht="15" hidden="false" customHeight="false" outlineLevel="0" collapsed="false">
      <c r="A3815" s="10" t="s">
        <v>6156</v>
      </c>
      <c r="B3815" s="10" t="s">
        <v>62</v>
      </c>
      <c r="C3815" s="10" t="s">
        <v>52</v>
      </c>
      <c r="D3815" s="10" t="s">
        <v>1397</v>
      </c>
      <c r="E3815" s="10" t="s">
        <v>2345</v>
      </c>
      <c r="F3815" s="30" t="n">
        <v>42900</v>
      </c>
      <c r="G3815" s="30" t="n">
        <v>42967</v>
      </c>
      <c r="H3815" s="26" t="n">
        <f aca="false">G3815-F3815</f>
        <v>67</v>
      </c>
      <c r="I3815" s="10" t="n">
        <f aca="false">IF(E3815="Won",1,0)</f>
        <v>0</v>
      </c>
    </row>
    <row r="3816" customFormat="false" ht="15" hidden="false" customHeight="false" outlineLevel="0" collapsed="false">
      <c r="A3816" s="10" t="s">
        <v>6157</v>
      </c>
      <c r="B3816" s="10" t="s">
        <v>97</v>
      </c>
      <c r="C3816" s="10" t="s">
        <v>48</v>
      </c>
      <c r="D3816" s="10" t="s">
        <v>286</v>
      </c>
      <c r="E3816" s="10" t="s">
        <v>2342</v>
      </c>
      <c r="F3816" s="30" t="n">
        <v>42947</v>
      </c>
      <c r="G3816" s="30" t="n">
        <v>42967</v>
      </c>
      <c r="H3816" s="26" t="n">
        <f aca="false">G3816-F3816</f>
        <v>20</v>
      </c>
      <c r="I3816" s="10" t="n">
        <f aca="false">IF(E3816="Won",1,0)</f>
        <v>1</v>
      </c>
    </row>
    <row r="3817" customFormat="false" ht="15" hidden="false" customHeight="false" outlineLevel="0" collapsed="false">
      <c r="A3817" s="10" t="s">
        <v>6158</v>
      </c>
      <c r="B3817" s="10" t="s">
        <v>93</v>
      </c>
      <c r="C3817" s="10" t="s">
        <v>52</v>
      </c>
      <c r="D3817" s="10" t="s">
        <v>606</v>
      </c>
      <c r="E3817" s="10" t="s">
        <v>2342</v>
      </c>
      <c r="F3817" s="30" t="n">
        <v>42856</v>
      </c>
      <c r="G3817" s="30" t="n">
        <v>42967</v>
      </c>
      <c r="H3817" s="26" t="n">
        <f aca="false">G3817-F3817</f>
        <v>111</v>
      </c>
      <c r="I3817" s="10" t="n">
        <f aca="false">IF(E3817="Won",1,0)</f>
        <v>1</v>
      </c>
    </row>
    <row r="3818" customFormat="false" ht="15" hidden="false" customHeight="false" outlineLevel="0" collapsed="false">
      <c r="A3818" s="10" t="s">
        <v>6159</v>
      </c>
      <c r="B3818" s="10" t="s">
        <v>74</v>
      </c>
      <c r="C3818" s="10" t="s">
        <v>50</v>
      </c>
      <c r="D3818" s="10" t="s">
        <v>947</v>
      </c>
      <c r="E3818" s="10" t="s">
        <v>2345</v>
      </c>
      <c r="F3818" s="30" t="n">
        <v>42859</v>
      </c>
      <c r="G3818" s="30" t="n">
        <v>42967</v>
      </c>
      <c r="H3818" s="26" t="n">
        <f aca="false">G3818-F3818</f>
        <v>108</v>
      </c>
      <c r="I3818" s="10" t="n">
        <f aca="false">IF(E3818="Won",1,0)</f>
        <v>0</v>
      </c>
    </row>
    <row r="3819" customFormat="false" ht="15" hidden="false" customHeight="false" outlineLevel="0" collapsed="false">
      <c r="A3819" s="10" t="s">
        <v>6160</v>
      </c>
      <c r="B3819" s="10" t="s">
        <v>79</v>
      </c>
      <c r="C3819" s="10" t="s">
        <v>49</v>
      </c>
      <c r="D3819" s="10" t="s">
        <v>1948</v>
      </c>
      <c r="E3819" s="10" t="s">
        <v>2345</v>
      </c>
      <c r="F3819" s="30" t="n">
        <v>42893</v>
      </c>
      <c r="G3819" s="30" t="n">
        <v>42967</v>
      </c>
      <c r="H3819" s="26" t="n">
        <f aca="false">G3819-F3819</f>
        <v>74</v>
      </c>
      <c r="I3819" s="10" t="n">
        <f aca="false">IF(E3819="Won",1,0)</f>
        <v>0</v>
      </c>
    </row>
    <row r="3820" customFormat="false" ht="15" hidden="false" customHeight="false" outlineLevel="0" collapsed="false">
      <c r="A3820" s="10" t="s">
        <v>6161</v>
      </c>
      <c r="B3820" s="10" t="s">
        <v>87</v>
      </c>
      <c r="C3820" s="10" t="s">
        <v>48</v>
      </c>
      <c r="D3820" s="10" t="s">
        <v>350</v>
      </c>
      <c r="E3820" s="10" t="s">
        <v>2342</v>
      </c>
      <c r="F3820" s="30" t="n">
        <v>42892</v>
      </c>
      <c r="G3820" s="30" t="n">
        <v>42967</v>
      </c>
      <c r="H3820" s="26" t="n">
        <f aca="false">G3820-F3820</f>
        <v>75</v>
      </c>
      <c r="I3820" s="10" t="n">
        <f aca="false">IF(E3820="Won",1,0)</f>
        <v>1</v>
      </c>
    </row>
    <row r="3821" customFormat="false" ht="15" hidden="false" customHeight="false" outlineLevel="0" collapsed="false">
      <c r="A3821" s="10" t="s">
        <v>6162</v>
      </c>
      <c r="B3821" s="10" t="s">
        <v>86</v>
      </c>
      <c r="C3821" s="10" t="s">
        <v>49</v>
      </c>
      <c r="D3821" s="10" t="s">
        <v>1118</v>
      </c>
      <c r="E3821" s="10" t="s">
        <v>2345</v>
      </c>
      <c r="F3821" s="30" t="n">
        <v>42848</v>
      </c>
      <c r="G3821" s="30" t="n">
        <v>42967</v>
      </c>
      <c r="H3821" s="26" t="n">
        <f aca="false">G3821-F3821</f>
        <v>119</v>
      </c>
      <c r="I3821" s="10" t="n">
        <f aca="false">IF(E3821="Won",1,0)</f>
        <v>0</v>
      </c>
    </row>
    <row r="3822" customFormat="false" ht="15" hidden="false" customHeight="false" outlineLevel="0" collapsed="false">
      <c r="A3822" s="10" t="s">
        <v>6163</v>
      </c>
      <c r="B3822" s="10" t="s">
        <v>71</v>
      </c>
      <c r="C3822" s="10" t="s">
        <v>52</v>
      </c>
      <c r="D3822" s="10" t="s">
        <v>414</v>
      </c>
      <c r="E3822" s="10" t="s">
        <v>2342</v>
      </c>
      <c r="F3822" s="30" t="n">
        <v>42893</v>
      </c>
      <c r="G3822" s="30" t="n">
        <v>42967</v>
      </c>
      <c r="H3822" s="26" t="n">
        <f aca="false">G3822-F3822</f>
        <v>74</v>
      </c>
      <c r="I3822" s="10" t="n">
        <f aca="false">IF(E3822="Won",1,0)</f>
        <v>1</v>
      </c>
    </row>
    <row r="3823" customFormat="false" ht="15" hidden="false" customHeight="false" outlineLevel="0" collapsed="false">
      <c r="A3823" s="10" t="s">
        <v>6164</v>
      </c>
      <c r="B3823" s="10" t="s">
        <v>57</v>
      </c>
      <c r="C3823" s="10" t="s">
        <v>50</v>
      </c>
      <c r="D3823" s="10" t="s">
        <v>453</v>
      </c>
      <c r="E3823" s="10" t="s">
        <v>2342</v>
      </c>
      <c r="F3823" s="30" t="n">
        <v>42868</v>
      </c>
      <c r="G3823" s="30" t="n">
        <v>42967</v>
      </c>
      <c r="H3823" s="26" t="n">
        <f aca="false">G3823-F3823</f>
        <v>99</v>
      </c>
      <c r="I3823" s="10" t="n">
        <f aca="false">IF(E3823="Won",1,0)</f>
        <v>1</v>
      </c>
    </row>
    <row r="3824" customFormat="false" ht="15" hidden="false" customHeight="false" outlineLevel="0" collapsed="false">
      <c r="A3824" s="10" t="s">
        <v>6165</v>
      </c>
      <c r="B3824" s="10" t="s">
        <v>74</v>
      </c>
      <c r="C3824" s="10" t="s">
        <v>51</v>
      </c>
      <c r="D3824" s="10" t="s">
        <v>179</v>
      </c>
      <c r="E3824" s="10" t="s">
        <v>2342</v>
      </c>
      <c r="F3824" s="30" t="n">
        <v>42863</v>
      </c>
      <c r="G3824" s="30" t="n">
        <v>42967</v>
      </c>
      <c r="H3824" s="26" t="n">
        <f aca="false">G3824-F3824</f>
        <v>104</v>
      </c>
      <c r="I3824" s="10" t="n">
        <f aca="false">IF(E3824="Won",1,0)</f>
        <v>1</v>
      </c>
    </row>
    <row r="3825" customFormat="false" ht="15" hidden="false" customHeight="false" outlineLevel="0" collapsed="false">
      <c r="A3825" s="10" t="s">
        <v>6166</v>
      </c>
      <c r="B3825" s="10" t="s">
        <v>61</v>
      </c>
      <c r="C3825" s="10" t="s">
        <v>49</v>
      </c>
      <c r="D3825" s="10" t="s">
        <v>464</v>
      </c>
      <c r="E3825" s="10" t="s">
        <v>2345</v>
      </c>
      <c r="F3825" s="30" t="n">
        <v>42950</v>
      </c>
      <c r="G3825" s="30" t="n">
        <v>42967</v>
      </c>
      <c r="H3825" s="26" t="n">
        <f aca="false">G3825-F3825</f>
        <v>17</v>
      </c>
      <c r="I3825" s="10" t="n">
        <f aca="false">IF(E3825="Won",1,0)</f>
        <v>0</v>
      </c>
    </row>
    <row r="3826" customFormat="false" ht="15" hidden="false" customHeight="false" outlineLevel="0" collapsed="false">
      <c r="A3826" s="10" t="s">
        <v>6167</v>
      </c>
      <c r="B3826" s="10" t="s">
        <v>80</v>
      </c>
      <c r="C3826" s="10" t="s">
        <v>48</v>
      </c>
      <c r="D3826" s="10" t="s">
        <v>660</v>
      </c>
      <c r="E3826" s="10" t="s">
        <v>2342</v>
      </c>
      <c r="F3826" s="30" t="n">
        <v>42878</v>
      </c>
      <c r="G3826" s="30" t="n">
        <v>42967</v>
      </c>
      <c r="H3826" s="26" t="n">
        <f aca="false">G3826-F3826</f>
        <v>89</v>
      </c>
      <c r="I3826" s="10" t="n">
        <f aca="false">IF(E3826="Won",1,0)</f>
        <v>1</v>
      </c>
    </row>
    <row r="3827" customFormat="false" ht="15" hidden="false" customHeight="false" outlineLevel="0" collapsed="false">
      <c r="A3827" s="10" t="s">
        <v>6168</v>
      </c>
      <c r="B3827" s="10" t="s">
        <v>67</v>
      </c>
      <c r="C3827" s="10" t="s">
        <v>52</v>
      </c>
      <c r="D3827" s="10" t="s">
        <v>487</v>
      </c>
      <c r="E3827" s="10" t="s">
        <v>2342</v>
      </c>
      <c r="F3827" s="30" t="n">
        <v>42898</v>
      </c>
      <c r="G3827" s="30" t="n">
        <v>42968</v>
      </c>
      <c r="H3827" s="26" t="n">
        <f aca="false">G3827-F3827</f>
        <v>70</v>
      </c>
      <c r="I3827" s="10" t="n">
        <f aca="false">IF(E3827="Won",1,0)</f>
        <v>1</v>
      </c>
    </row>
    <row r="3828" customFormat="false" ht="15" hidden="false" customHeight="false" outlineLevel="0" collapsed="false">
      <c r="A3828" s="10" t="s">
        <v>6169</v>
      </c>
      <c r="B3828" s="10" t="s">
        <v>86</v>
      </c>
      <c r="C3828" s="10" t="s">
        <v>50</v>
      </c>
      <c r="D3828" s="10" t="s">
        <v>616</v>
      </c>
      <c r="E3828" s="10" t="s">
        <v>2342</v>
      </c>
      <c r="F3828" s="30" t="n">
        <v>42846</v>
      </c>
      <c r="G3828" s="30" t="n">
        <v>42968</v>
      </c>
      <c r="H3828" s="26" t="n">
        <f aca="false">G3828-F3828</f>
        <v>122</v>
      </c>
      <c r="I3828" s="10" t="n">
        <f aca="false">IF(E3828="Won",1,0)</f>
        <v>1</v>
      </c>
    </row>
    <row r="3829" customFormat="false" ht="15" hidden="false" customHeight="false" outlineLevel="0" collapsed="false">
      <c r="A3829" s="10" t="s">
        <v>6170</v>
      </c>
      <c r="B3829" s="10" t="s">
        <v>71</v>
      </c>
      <c r="C3829" s="10" t="s">
        <v>52</v>
      </c>
      <c r="D3829" s="10" t="s">
        <v>1948</v>
      </c>
      <c r="E3829" s="10" t="s">
        <v>2345</v>
      </c>
      <c r="F3829" s="30" t="n">
        <v>42865</v>
      </c>
      <c r="G3829" s="30" t="n">
        <v>42968</v>
      </c>
      <c r="H3829" s="26" t="n">
        <f aca="false">G3829-F3829</f>
        <v>103</v>
      </c>
      <c r="I3829" s="10" t="n">
        <f aca="false">IF(E3829="Won",1,0)</f>
        <v>0</v>
      </c>
    </row>
    <row r="3830" customFormat="false" ht="15" hidden="false" customHeight="false" outlineLevel="0" collapsed="false">
      <c r="A3830" s="10" t="s">
        <v>6171</v>
      </c>
      <c r="B3830" s="10" t="s">
        <v>69</v>
      </c>
      <c r="C3830" s="10" t="s">
        <v>50</v>
      </c>
      <c r="D3830" s="10" t="s">
        <v>711</v>
      </c>
      <c r="E3830" s="10" t="s">
        <v>2342</v>
      </c>
      <c r="F3830" s="30" t="n">
        <v>42854</v>
      </c>
      <c r="G3830" s="30" t="n">
        <v>42968</v>
      </c>
      <c r="H3830" s="26" t="n">
        <f aca="false">G3830-F3830</f>
        <v>114</v>
      </c>
      <c r="I3830" s="10" t="n">
        <f aca="false">IF(E3830="Won",1,0)</f>
        <v>1</v>
      </c>
    </row>
    <row r="3831" customFormat="false" ht="15" hidden="false" customHeight="false" outlineLevel="0" collapsed="false">
      <c r="A3831" s="10" t="s">
        <v>6172</v>
      </c>
      <c r="B3831" s="10" t="s">
        <v>68</v>
      </c>
      <c r="C3831" s="10" t="s">
        <v>48</v>
      </c>
      <c r="D3831" s="10" t="s">
        <v>172</v>
      </c>
      <c r="E3831" s="10" t="s">
        <v>2345</v>
      </c>
      <c r="F3831" s="30" t="n">
        <v>42960</v>
      </c>
      <c r="G3831" s="30" t="n">
        <v>42968</v>
      </c>
      <c r="H3831" s="26" t="n">
        <f aca="false">G3831-F3831</f>
        <v>8</v>
      </c>
      <c r="I3831" s="10" t="n">
        <f aca="false">IF(E3831="Won",1,0)</f>
        <v>0</v>
      </c>
    </row>
    <row r="3832" customFormat="false" ht="15" hidden="false" customHeight="false" outlineLevel="0" collapsed="false">
      <c r="A3832" s="10" t="s">
        <v>6173</v>
      </c>
      <c r="B3832" s="10" t="s">
        <v>86</v>
      </c>
      <c r="C3832" s="10" t="s">
        <v>51</v>
      </c>
      <c r="D3832" s="10" t="s">
        <v>616</v>
      </c>
      <c r="E3832" s="10" t="s">
        <v>2342</v>
      </c>
      <c r="F3832" s="30" t="n">
        <v>42941</v>
      </c>
      <c r="G3832" s="30" t="n">
        <v>42968</v>
      </c>
      <c r="H3832" s="26" t="n">
        <f aca="false">G3832-F3832</f>
        <v>27</v>
      </c>
      <c r="I3832" s="10" t="n">
        <f aca="false">IF(E3832="Won",1,0)</f>
        <v>1</v>
      </c>
    </row>
    <row r="3833" customFormat="false" ht="15" hidden="false" customHeight="false" outlineLevel="0" collapsed="false">
      <c r="A3833" s="10" t="s">
        <v>6174</v>
      </c>
      <c r="B3833" s="10" t="s">
        <v>80</v>
      </c>
      <c r="C3833" s="10" t="s">
        <v>51</v>
      </c>
      <c r="D3833" s="10" t="s">
        <v>311</v>
      </c>
      <c r="E3833" s="10" t="s">
        <v>2345</v>
      </c>
      <c r="F3833" s="30" t="n">
        <v>42863</v>
      </c>
      <c r="G3833" s="30" t="n">
        <v>42968</v>
      </c>
      <c r="H3833" s="26" t="n">
        <f aca="false">G3833-F3833</f>
        <v>105</v>
      </c>
      <c r="I3833" s="10" t="n">
        <f aca="false">IF(E3833="Won",1,0)</f>
        <v>0</v>
      </c>
    </row>
    <row r="3834" customFormat="false" ht="15" hidden="false" customHeight="false" outlineLevel="0" collapsed="false">
      <c r="A3834" s="10" t="s">
        <v>6175</v>
      </c>
      <c r="B3834" s="10" t="s">
        <v>96</v>
      </c>
      <c r="C3834" s="10" t="s">
        <v>51</v>
      </c>
      <c r="D3834" s="10" t="s">
        <v>514</v>
      </c>
      <c r="E3834" s="10" t="s">
        <v>2342</v>
      </c>
      <c r="F3834" s="30" t="n">
        <v>42910</v>
      </c>
      <c r="G3834" s="30" t="n">
        <v>42968</v>
      </c>
      <c r="H3834" s="26" t="n">
        <f aca="false">G3834-F3834</f>
        <v>58</v>
      </c>
      <c r="I3834" s="10" t="n">
        <f aca="false">IF(E3834="Won",1,0)</f>
        <v>1</v>
      </c>
    </row>
    <row r="3835" customFormat="false" ht="15" hidden="false" customHeight="false" outlineLevel="0" collapsed="false">
      <c r="A3835" s="10" t="s">
        <v>6176</v>
      </c>
      <c r="B3835" s="10" t="s">
        <v>81</v>
      </c>
      <c r="C3835" s="10" t="s">
        <v>47</v>
      </c>
      <c r="D3835" s="10" t="s">
        <v>210</v>
      </c>
      <c r="E3835" s="10" t="s">
        <v>2342</v>
      </c>
      <c r="F3835" s="30" t="n">
        <v>42888</v>
      </c>
      <c r="G3835" s="30" t="n">
        <v>42968</v>
      </c>
      <c r="H3835" s="26" t="n">
        <f aca="false">G3835-F3835</f>
        <v>80</v>
      </c>
      <c r="I3835" s="10" t="n">
        <f aca="false">IF(E3835="Won",1,0)</f>
        <v>1</v>
      </c>
    </row>
    <row r="3836" customFormat="false" ht="15" hidden="false" customHeight="false" outlineLevel="0" collapsed="false">
      <c r="A3836" s="10" t="s">
        <v>6177</v>
      </c>
      <c r="B3836" s="10" t="s">
        <v>81</v>
      </c>
      <c r="C3836" s="10" t="s">
        <v>49</v>
      </c>
      <c r="D3836" s="10" t="s">
        <v>410</v>
      </c>
      <c r="E3836" s="10" t="s">
        <v>2345</v>
      </c>
      <c r="F3836" s="30" t="n">
        <v>42870</v>
      </c>
      <c r="G3836" s="30" t="n">
        <v>42968</v>
      </c>
      <c r="H3836" s="26" t="n">
        <f aca="false">G3836-F3836</f>
        <v>98</v>
      </c>
      <c r="I3836" s="10" t="n">
        <f aca="false">IF(E3836="Won",1,0)</f>
        <v>0</v>
      </c>
    </row>
    <row r="3837" customFormat="false" ht="15" hidden="false" customHeight="false" outlineLevel="0" collapsed="false">
      <c r="A3837" s="10" t="s">
        <v>6178</v>
      </c>
      <c r="B3837" s="10" t="s">
        <v>95</v>
      </c>
      <c r="C3837" s="10" t="s">
        <v>50</v>
      </c>
      <c r="D3837" s="10" t="s">
        <v>424</v>
      </c>
      <c r="E3837" s="10" t="s">
        <v>2345</v>
      </c>
      <c r="F3837" s="30" t="n">
        <v>42875</v>
      </c>
      <c r="G3837" s="30" t="n">
        <v>42968</v>
      </c>
      <c r="H3837" s="26" t="n">
        <f aca="false">G3837-F3837</f>
        <v>93</v>
      </c>
      <c r="I3837" s="10" t="n">
        <f aca="false">IF(E3837="Won",1,0)</f>
        <v>0</v>
      </c>
    </row>
    <row r="3838" customFormat="false" ht="15" hidden="false" customHeight="false" outlineLevel="0" collapsed="false">
      <c r="A3838" s="10" t="s">
        <v>6179</v>
      </c>
      <c r="B3838" s="10" t="s">
        <v>83</v>
      </c>
      <c r="C3838" s="10" t="s">
        <v>50</v>
      </c>
      <c r="D3838" s="10" t="s">
        <v>660</v>
      </c>
      <c r="E3838" s="10" t="s">
        <v>2345</v>
      </c>
      <c r="F3838" s="30" t="n">
        <v>42899</v>
      </c>
      <c r="G3838" s="30" t="n">
        <v>42968</v>
      </c>
      <c r="H3838" s="26" t="n">
        <f aca="false">G3838-F3838</f>
        <v>69</v>
      </c>
      <c r="I3838" s="10" t="n">
        <f aca="false">IF(E3838="Won",1,0)</f>
        <v>0</v>
      </c>
    </row>
    <row r="3839" customFormat="false" ht="15" hidden="false" customHeight="false" outlineLevel="0" collapsed="false">
      <c r="A3839" s="10" t="s">
        <v>6180</v>
      </c>
      <c r="B3839" s="10" t="s">
        <v>88</v>
      </c>
      <c r="C3839" s="10" t="s">
        <v>48</v>
      </c>
      <c r="D3839" s="10" t="s">
        <v>332</v>
      </c>
      <c r="E3839" s="10" t="s">
        <v>2345</v>
      </c>
      <c r="F3839" s="30" t="n">
        <v>42880</v>
      </c>
      <c r="G3839" s="30" t="n">
        <v>42968</v>
      </c>
      <c r="H3839" s="26" t="n">
        <f aca="false">G3839-F3839</f>
        <v>88</v>
      </c>
      <c r="I3839" s="10" t="n">
        <f aca="false">IF(E3839="Won",1,0)</f>
        <v>0</v>
      </c>
    </row>
    <row r="3840" customFormat="false" ht="15" hidden="false" customHeight="false" outlineLevel="0" collapsed="false">
      <c r="A3840" s="10" t="s">
        <v>6181</v>
      </c>
      <c r="B3840" s="10" t="s">
        <v>75</v>
      </c>
      <c r="C3840" s="10" t="s">
        <v>51</v>
      </c>
      <c r="D3840" s="10" t="s">
        <v>369</v>
      </c>
      <c r="E3840" s="10" t="s">
        <v>2342</v>
      </c>
      <c r="F3840" s="30" t="n">
        <v>42865</v>
      </c>
      <c r="G3840" s="30" t="n">
        <v>42968</v>
      </c>
      <c r="H3840" s="26" t="n">
        <f aca="false">G3840-F3840</f>
        <v>103</v>
      </c>
      <c r="I3840" s="10" t="n">
        <f aca="false">IF(E3840="Won",1,0)</f>
        <v>1</v>
      </c>
    </row>
    <row r="3841" customFormat="false" ht="15" hidden="false" customHeight="false" outlineLevel="0" collapsed="false">
      <c r="A3841" s="10" t="s">
        <v>6182</v>
      </c>
      <c r="B3841" s="10" t="s">
        <v>66</v>
      </c>
      <c r="C3841" s="10" t="s">
        <v>52</v>
      </c>
      <c r="D3841" s="10" t="s">
        <v>487</v>
      </c>
      <c r="E3841" s="10" t="s">
        <v>2342</v>
      </c>
      <c r="F3841" s="30" t="n">
        <v>42959</v>
      </c>
      <c r="G3841" s="30" t="n">
        <v>42968</v>
      </c>
      <c r="H3841" s="26" t="n">
        <f aca="false">G3841-F3841</f>
        <v>9</v>
      </c>
      <c r="I3841" s="10" t="n">
        <f aca="false">IF(E3841="Won",1,0)</f>
        <v>1</v>
      </c>
    </row>
    <row r="3842" customFormat="false" ht="15" hidden="false" customHeight="false" outlineLevel="0" collapsed="false">
      <c r="A3842" s="10" t="s">
        <v>6183</v>
      </c>
      <c r="B3842" s="10" t="s">
        <v>81</v>
      </c>
      <c r="C3842" s="10" t="s">
        <v>47</v>
      </c>
      <c r="D3842" s="10" t="s">
        <v>762</v>
      </c>
      <c r="E3842" s="10" t="s">
        <v>2342</v>
      </c>
      <c r="F3842" s="30" t="n">
        <v>42904</v>
      </c>
      <c r="G3842" s="30" t="n">
        <v>42968</v>
      </c>
      <c r="H3842" s="26" t="n">
        <f aca="false">G3842-F3842</f>
        <v>64</v>
      </c>
      <c r="I3842" s="10" t="n">
        <f aca="false">IF(E3842="Won",1,0)</f>
        <v>1</v>
      </c>
    </row>
    <row r="3843" customFormat="false" ht="15" hidden="false" customHeight="false" outlineLevel="0" collapsed="false">
      <c r="A3843" s="10" t="s">
        <v>6184</v>
      </c>
      <c r="B3843" s="10" t="s">
        <v>71</v>
      </c>
      <c r="C3843" s="10" t="s">
        <v>52</v>
      </c>
      <c r="D3843" s="10" t="s">
        <v>311</v>
      </c>
      <c r="E3843" s="10" t="s">
        <v>2342</v>
      </c>
      <c r="F3843" s="30" t="n">
        <v>42882</v>
      </c>
      <c r="G3843" s="30" t="n">
        <v>42968</v>
      </c>
      <c r="H3843" s="26" t="n">
        <f aca="false">G3843-F3843</f>
        <v>86</v>
      </c>
      <c r="I3843" s="10" t="n">
        <f aca="false">IF(E3843="Won",1,0)</f>
        <v>1</v>
      </c>
    </row>
    <row r="3844" customFormat="false" ht="15" hidden="false" customHeight="false" outlineLevel="0" collapsed="false">
      <c r="A3844" s="10" t="s">
        <v>6185</v>
      </c>
      <c r="B3844" s="10" t="s">
        <v>70</v>
      </c>
      <c r="C3844" s="10" t="s">
        <v>48</v>
      </c>
      <c r="D3844" s="10" t="s">
        <v>172</v>
      </c>
      <c r="E3844" s="10" t="s">
        <v>2342</v>
      </c>
      <c r="F3844" s="30" t="n">
        <v>42948</v>
      </c>
      <c r="G3844" s="30" t="n">
        <v>42968</v>
      </c>
      <c r="H3844" s="26" t="n">
        <f aca="false">G3844-F3844</f>
        <v>20</v>
      </c>
      <c r="I3844" s="10" t="n">
        <f aca="false">IF(E3844="Won",1,0)</f>
        <v>1</v>
      </c>
    </row>
    <row r="3845" customFormat="false" ht="15" hidden="false" customHeight="false" outlineLevel="0" collapsed="false">
      <c r="A3845" s="10" t="s">
        <v>6186</v>
      </c>
      <c r="B3845" s="10" t="s">
        <v>67</v>
      </c>
      <c r="C3845" s="10" t="s">
        <v>49</v>
      </c>
      <c r="D3845" s="10" t="s">
        <v>396</v>
      </c>
      <c r="E3845" s="10" t="s">
        <v>2342</v>
      </c>
      <c r="F3845" s="30" t="n">
        <v>42967</v>
      </c>
      <c r="G3845" s="30" t="n">
        <v>42968</v>
      </c>
      <c r="H3845" s="26" t="n">
        <f aca="false">G3845-F3845</f>
        <v>1</v>
      </c>
      <c r="I3845" s="10" t="n">
        <f aca="false">IF(E3845="Won",1,0)</f>
        <v>1</v>
      </c>
    </row>
    <row r="3846" customFormat="false" ht="15" hidden="false" customHeight="false" outlineLevel="0" collapsed="false">
      <c r="A3846" s="10" t="s">
        <v>6187</v>
      </c>
      <c r="B3846" s="10" t="s">
        <v>80</v>
      </c>
      <c r="C3846" s="10" t="s">
        <v>51</v>
      </c>
      <c r="D3846" s="10" t="s">
        <v>311</v>
      </c>
      <c r="E3846" s="10" t="s">
        <v>2345</v>
      </c>
      <c r="F3846" s="30" t="n">
        <v>42904</v>
      </c>
      <c r="G3846" s="30" t="n">
        <v>42968</v>
      </c>
      <c r="H3846" s="26" t="n">
        <f aca="false">G3846-F3846</f>
        <v>64</v>
      </c>
      <c r="I3846" s="10" t="n">
        <f aca="false">IF(E3846="Won",1,0)</f>
        <v>0</v>
      </c>
    </row>
    <row r="3847" customFormat="false" ht="15" hidden="false" customHeight="false" outlineLevel="0" collapsed="false">
      <c r="A3847" s="10" t="s">
        <v>6188</v>
      </c>
      <c r="B3847" s="10" t="s">
        <v>83</v>
      </c>
      <c r="C3847" s="10" t="s">
        <v>50</v>
      </c>
      <c r="D3847" s="10" t="s">
        <v>291</v>
      </c>
      <c r="E3847" s="10" t="s">
        <v>2342</v>
      </c>
      <c r="F3847" s="30" t="n">
        <v>42950</v>
      </c>
      <c r="G3847" s="30" t="n">
        <v>42968</v>
      </c>
      <c r="H3847" s="26" t="n">
        <f aca="false">G3847-F3847</f>
        <v>18</v>
      </c>
      <c r="I3847" s="10" t="n">
        <f aca="false">IF(E3847="Won",1,0)</f>
        <v>1</v>
      </c>
    </row>
    <row r="3848" customFormat="false" ht="15" hidden="false" customHeight="false" outlineLevel="0" collapsed="false">
      <c r="A3848" s="10" t="s">
        <v>6189</v>
      </c>
      <c r="B3848" s="10" t="s">
        <v>63</v>
      </c>
      <c r="C3848" s="10" t="s">
        <v>52</v>
      </c>
      <c r="D3848" s="10" t="s">
        <v>1397</v>
      </c>
      <c r="E3848" s="10" t="s">
        <v>2345</v>
      </c>
      <c r="F3848" s="30" t="n">
        <v>42896</v>
      </c>
      <c r="G3848" s="30" t="n">
        <v>42969</v>
      </c>
      <c r="H3848" s="26" t="n">
        <f aca="false">G3848-F3848</f>
        <v>73</v>
      </c>
      <c r="I3848" s="10" t="n">
        <f aca="false">IF(E3848="Won",1,0)</f>
        <v>0</v>
      </c>
    </row>
    <row r="3849" customFormat="false" ht="15" hidden="false" customHeight="false" outlineLevel="0" collapsed="false">
      <c r="A3849" s="10" t="s">
        <v>6190</v>
      </c>
      <c r="B3849" s="10" t="s">
        <v>93</v>
      </c>
      <c r="C3849" s="10" t="s">
        <v>47</v>
      </c>
      <c r="D3849" s="10" t="s">
        <v>326</v>
      </c>
      <c r="E3849" s="10" t="s">
        <v>2345</v>
      </c>
      <c r="F3849" s="30" t="n">
        <v>42882</v>
      </c>
      <c r="G3849" s="30" t="n">
        <v>42969</v>
      </c>
      <c r="H3849" s="26" t="n">
        <f aca="false">G3849-F3849</f>
        <v>87</v>
      </c>
      <c r="I3849" s="10" t="n">
        <f aca="false">IF(E3849="Won",1,0)</f>
        <v>0</v>
      </c>
    </row>
    <row r="3850" customFormat="false" ht="15" hidden="false" customHeight="false" outlineLevel="0" collapsed="false">
      <c r="A3850" s="10" t="s">
        <v>6191</v>
      </c>
      <c r="B3850" s="10" t="s">
        <v>70</v>
      </c>
      <c r="C3850" s="10" t="s">
        <v>49</v>
      </c>
      <c r="D3850" s="10" t="s">
        <v>299</v>
      </c>
      <c r="E3850" s="10" t="s">
        <v>2345</v>
      </c>
      <c r="F3850" s="30" t="n">
        <v>42887</v>
      </c>
      <c r="G3850" s="30" t="n">
        <v>42969</v>
      </c>
      <c r="H3850" s="26" t="n">
        <f aca="false">G3850-F3850</f>
        <v>82</v>
      </c>
      <c r="I3850" s="10" t="n">
        <f aca="false">IF(E3850="Won",1,0)</f>
        <v>0</v>
      </c>
    </row>
    <row r="3851" customFormat="false" ht="15" hidden="false" customHeight="false" outlineLevel="0" collapsed="false">
      <c r="A3851" s="10" t="s">
        <v>6192</v>
      </c>
      <c r="B3851" s="10" t="s">
        <v>95</v>
      </c>
      <c r="C3851" s="10" t="s">
        <v>51</v>
      </c>
      <c r="D3851" s="10" t="s">
        <v>396</v>
      </c>
      <c r="E3851" s="10" t="s">
        <v>2345</v>
      </c>
      <c r="F3851" s="30" t="n">
        <v>42879</v>
      </c>
      <c r="G3851" s="30" t="n">
        <v>42969</v>
      </c>
      <c r="H3851" s="26" t="n">
        <f aca="false">G3851-F3851</f>
        <v>90</v>
      </c>
      <c r="I3851" s="10" t="n">
        <f aca="false">IF(E3851="Won",1,0)</f>
        <v>0</v>
      </c>
    </row>
    <row r="3852" customFormat="false" ht="15" hidden="false" customHeight="false" outlineLevel="0" collapsed="false">
      <c r="A3852" s="10" t="s">
        <v>6193</v>
      </c>
      <c r="B3852" s="10" t="s">
        <v>77</v>
      </c>
      <c r="C3852" s="10" t="s">
        <v>51</v>
      </c>
      <c r="D3852" s="10" t="s">
        <v>369</v>
      </c>
      <c r="E3852" s="10" t="s">
        <v>2345</v>
      </c>
      <c r="F3852" s="30" t="n">
        <v>42966</v>
      </c>
      <c r="G3852" s="30" t="n">
        <v>42969</v>
      </c>
      <c r="H3852" s="26" t="n">
        <f aca="false">G3852-F3852</f>
        <v>3</v>
      </c>
      <c r="I3852" s="10" t="n">
        <f aca="false">IF(E3852="Won",1,0)</f>
        <v>0</v>
      </c>
    </row>
    <row r="3853" customFormat="false" ht="15" hidden="false" customHeight="false" outlineLevel="0" collapsed="false">
      <c r="A3853" s="10" t="s">
        <v>6194</v>
      </c>
      <c r="B3853" s="10" t="s">
        <v>96</v>
      </c>
      <c r="C3853" s="10" t="s">
        <v>52</v>
      </c>
      <c r="D3853" s="10" t="s">
        <v>711</v>
      </c>
      <c r="E3853" s="10" t="s">
        <v>2345</v>
      </c>
      <c r="F3853" s="30" t="n">
        <v>42881</v>
      </c>
      <c r="G3853" s="30" t="n">
        <v>42969</v>
      </c>
      <c r="H3853" s="26" t="n">
        <f aca="false">G3853-F3853</f>
        <v>88</v>
      </c>
      <c r="I3853" s="10" t="n">
        <f aca="false">IF(E3853="Won",1,0)</f>
        <v>0</v>
      </c>
    </row>
    <row r="3854" customFormat="false" ht="15" hidden="false" customHeight="false" outlineLevel="0" collapsed="false">
      <c r="A3854" s="10" t="s">
        <v>6195</v>
      </c>
      <c r="B3854" s="10" t="s">
        <v>87</v>
      </c>
      <c r="C3854" s="10" t="s">
        <v>49</v>
      </c>
      <c r="D3854" s="10" t="s">
        <v>378</v>
      </c>
      <c r="E3854" s="10" t="s">
        <v>2342</v>
      </c>
      <c r="F3854" s="30" t="n">
        <v>42962</v>
      </c>
      <c r="G3854" s="30" t="n">
        <v>42969</v>
      </c>
      <c r="H3854" s="26" t="n">
        <f aca="false">G3854-F3854</f>
        <v>7</v>
      </c>
      <c r="I3854" s="10" t="n">
        <f aca="false">IF(E3854="Won",1,0)</f>
        <v>1</v>
      </c>
    </row>
    <row r="3855" customFormat="false" ht="15" hidden="false" customHeight="false" outlineLevel="0" collapsed="false">
      <c r="A3855" s="10" t="s">
        <v>6196</v>
      </c>
      <c r="B3855" s="10" t="s">
        <v>86</v>
      </c>
      <c r="C3855" s="10" t="s">
        <v>50</v>
      </c>
      <c r="D3855" s="10" t="s">
        <v>218</v>
      </c>
      <c r="E3855" s="10" t="s">
        <v>2342</v>
      </c>
      <c r="F3855" s="30" t="n">
        <v>42895</v>
      </c>
      <c r="G3855" s="30" t="n">
        <v>42969</v>
      </c>
      <c r="H3855" s="26" t="n">
        <f aca="false">G3855-F3855</f>
        <v>74</v>
      </c>
      <c r="I3855" s="10" t="n">
        <f aca="false">IF(E3855="Won",1,0)</f>
        <v>1</v>
      </c>
    </row>
    <row r="3856" customFormat="false" ht="15" hidden="false" customHeight="false" outlineLevel="0" collapsed="false">
      <c r="A3856" s="10" t="s">
        <v>6197</v>
      </c>
      <c r="B3856" s="10" t="s">
        <v>97</v>
      </c>
      <c r="C3856" s="10" t="s">
        <v>48</v>
      </c>
      <c r="D3856" s="10" t="s">
        <v>344</v>
      </c>
      <c r="E3856" s="10" t="s">
        <v>2345</v>
      </c>
      <c r="F3856" s="30" t="n">
        <v>42893</v>
      </c>
      <c r="G3856" s="30" t="n">
        <v>42969</v>
      </c>
      <c r="H3856" s="26" t="n">
        <f aca="false">G3856-F3856</f>
        <v>76</v>
      </c>
      <c r="I3856" s="10" t="n">
        <f aca="false">IF(E3856="Won",1,0)</f>
        <v>0</v>
      </c>
    </row>
    <row r="3857" customFormat="false" ht="15" hidden="false" customHeight="false" outlineLevel="0" collapsed="false">
      <c r="A3857" s="10" t="s">
        <v>6198</v>
      </c>
      <c r="B3857" s="10" t="s">
        <v>97</v>
      </c>
      <c r="C3857" s="10" t="s">
        <v>52</v>
      </c>
      <c r="D3857" s="10" t="s">
        <v>326</v>
      </c>
      <c r="E3857" s="10" t="s">
        <v>2345</v>
      </c>
      <c r="F3857" s="30" t="n">
        <v>42919</v>
      </c>
      <c r="G3857" s="30" t="n">
        <v>42969</v>
      </c>
      <c r="H3857" s="26" t="n">
        <f aca="false">G3857-F3857</f>
        <v>50</v>
      </c>
      <c r="I3857" s="10" t="n">
        <f aca="false">IF(E3857="Won",1,0)</f>
        <v>0</v>
      </c>
    </row>
    <row r="3858" customFormat="false" ht="15" hidden="false" customHeight="false" outlineLevel="0" collapsed="false">
      <c r="A3858" s="10" t="s">
        <v>6199</v>
      </c>
      <c r="B3858" s="10" t="s">
        <v>66</v>
      </c>
      <c r="C3858" s="10" t="s">
        <v>51</v>
      </c>
      <c r="D3858" s="10" t="s">
        <v>606</v>
      </c>
      <c r="E3858" s="10" t="s">
        <v>2342</v>
      </c>
      <c r="F3858" s="30" t="n">
        <v>42898</v>
      </c>
      <c r="G3858" s="30" t="n">
        <v>42969</v>
      </c>
      <c r="H3858" s="26" t="n">
        <f aca="false">G3858-F3858</f>
        <v>71</v>
      </c>
      <c r="I3858" s="10" t="n">
        <f aca="false">IF(E3858="Won",1,0)</f>
        <v>1</v>
      </c>
    </row>
    <row r="3859" customFormat="false" ht="15" hidden="false" customHeight="false" outlineLevel="0" collapsed="false">
      <c r="A3859" s="10" t="s">
        <v>6200</v>
      </c>
      <c r="B3859" s="10" t="s">
        <v>93</v>
      </c>
      <c r="C3859" s="10" t="s">
        <v>51</v>
      </c>
      <c r="D3859" s="10" t="s">
        <v>199</v>
      </c>
      <c r="E3859" s="10" t="s">
        <v>2345</v>
      </c>
      <c r="F3859" s="30" t="n">
        <v>42868</v>
      </c>
      <c r="G3859" s="30" t="n">
        <v>42969</v>
      </c>
      <c r="H3859" s="26" t="n">
        <f aca="false">G3859-F3859</f>
        <v>101</v>
      </c>
      <c r="I3859" s="10" t="n">
        <f aca="false">IF(E3859="Won",1,0)</f>
        <v>0</v>
      </c>
    </row>
    <row r="3860" customFormat="false" ht="15" hidden="false" customHeight="false" outlineLevel="0" collapsed="false">
      <c r="A3860" s="10" t="s">
        <v>6201</v>
      </c>
      <c r="B3860" s="10" t="s">
        <v>79</v>
      </c>
      <c r="C3860" s="10" t="s">
        <v>48</v>
      </c>
      <c r="D3860" s="10" t="s">
        <v>193</v>
      </c>
      <c r="E3860" s="10" t="s">
        <v>2342</v>
      </c>
      <c r="F3860" s="30" t="n">
        <v>42880</v>
      </c>
      <c r="G3860" s="30" t="n">
        <v>42969</v>
      </c>
      <c r="H3860" s="26" t="n">
        <f aca="false">G3860-F3860</f>
        <v>89</v>
      </c>
      <c r="I3860" s="10" t="n">
        <f aca="false">IF(E3860="Won",1,0)</f>
        <v>1</v>
      </c>
    </row>
    <row r="3861" customFormat="false" ht="15" hidden="false" customHeight="false" outlineLevel="0" collapsed="false">
      <c r="A3861" s="10" t="s">
        <v>6202</v>
      </c>
      <c r="B3861" s="10" t="s">
        <v>84</v>
      </c>
      <c r="C3861" s="10" t="s">
        <v>50</v>
      </c>
      <c r="D3861" s="10" t="s">
        <v>254</v>
      </c>
      <c r="E3861" s="10" t="s">
        <v>2342</v>
      </c>
      <c r="F3861" s="30" t="n">
        <v>42957</v>
      </c>
      <c r="G3861" s="30" t="n">
        <v>42969</v>
      </c>
      <c r="H3861" s="26" t="n">
        <f aca="false">G3861-F3861</f>
        <v>12</v>
      </c>
      <c r="I3861" s="10" t="n">
        <f aca="false">IF(E3861="Won",1,0)</f>
        <v>1</v>
      </c>
    </row>
    <row r="3862" customFormat="false" ht="15" hidden="false" customHeight="false" outlineLevel="0" collapsed="false">
      <c r="A3862" s="10" t="s">
        <v>6203</v>
      </c>
      <c r="B3862" s="10" t="s">
        <v>57</v>
      </c>
      <c r="C3862" s="10" t="s">
        <v>51</v>
      </c>
      <c r="D3862" s="10" t="s">
        <v>637</v>
      </c>
      <c r="E3862" s="10" t="s">
        <v>2345</v>
      </c>
      <c r="F3862" s="30" t="n">
        <v>42957</v>
      </c>
      <c r="G3862" s="30" t="n">
        <v>42969</v>
      </c>
      <c r="H3862" s="26" t="n">
        <f aca="false">G3862-F3862</f>
        <v>12</v>
      </c>
      <c r="I3862" s="10" t="n">
        <f aca="false">IF(E3862="Won",1,0)</f>
        <v>0</v>
      </c>
    </row>
    <row r="3863" customFormat="false" ht="15" hidden="false" customHeight="false" outlineLevel="0" collapsed="false">
      <c r="A3863" s="10" t="s">
        <v>6204</v>
      </c>
      <c r="B3863" s="10" t="s">
        <v>84</v>
      </c>
      <c r="C3863" s="10" t="s">
        <v>50</v>
      </c>
      <c r="D3863" s="10" t="s">
        <v>1397</v>
      </c>
      <c r="E3863" s="10" t="s">
        <v>2342</v>
      </c>
      <c r="F3863" s="30" t="n">
        <v>42950</v>
      </c>
      <c r="G3863" s="30" t="n">
        <v>42969</v>
      </c>
      <c r="H3863" s="26" t="n">
        <f aca="false">G3863-F3863</f>
        <v>19</v>
      </c>
      <c r="I3863" s="10" t="n">
        <f aca="false">IF(E3863="Won",1,0)</f>
        <v>1</v>
      </c>
    </row>
    <row r="3864" customFormat="false" ht="15" hidden="false" customHeight="false" outlineLevel="0" collapsed="false">
      <c r="A3864" s="10" t="s">
        <v>6205</v>
      </c>
      <c r="B3864" s="10" t="s">
        <v>77</v>
      </c>
      <c r="C3864" s="10" t="s">
        <v>51</v>
      </c>
      <c r="D3864" s="10" t="s">
        <v>947</v>
      </c>
      <c r="E3864" s="10" t="s">
        <v>2342</v>
      </c>
      <c r="F3864" s="30" t="n">
        <v>42903</v>
      </c>
      <c r="G3864" s="30" t="n">
        <v>42969</v>
      </c>
      <c r="H3864" s="26" t="n">
        <f aca="false">G3864-F3864</f>
        <v>66</v>
      </c>
      <c r="I3864" s="10" t="n">
        <f aca="false">IF(E3864="Won",1,0)</f>
        <v>1</v>
      </c>
    </row>
    <row r="3865" customFormat="false" ht="15" hidden="false" customHeight="false" outlineLevel="0" collapsed="false">
      <c r="A3865" s="10" t="s">
        <v>6206</v>
      </c>
      <c r="B3865" s="10" t="s">
        <v>60</v>
      </c>
      <c r="C3865" s="10" t="s">
        <v>51</v>
      </c>
      <c r="D3865" s="10" t="s">
        <v>185</v>
      </c>
      <c r="E3865" s="10" t="s">
        <v>2345</v>
      </c>
      <c r="F3865" s="30" t="n">
        <v>42902</v>
      </c>
      <c r="G3865" s="30" t="n">
        <v>42969</v>
      </c>
      <c r="H3865" s="26" t="n">
        <f aca="false">G3865-F3865</f>
        <v>67</v>
      </c>
      <c r="I3865" s="10" t="n">
        <f aca="false">IF(E3865="Won",1,0)</f>
        <v>0</v>
      </c>
    </row>
    <row r="3866" customFormat="false" ht="15" hidden="false" customHeight="false" outlineLevel="0" collapsed="false">
      <c r="A3866" s="10" t="s">
        <v>6207</v>
      </c>
      <c r="B3866" s="10" t="s">
        <v>57</v>
      </c>
      <c r="C3866" s="10" t="s">
        <v>48</v>
      </c>
      <c r="D3866" s="10" t="s">
        <v>218</v>
      </c>
      <c r="E3866" s="10" t="s">
        <v>2342</v>
      </c>
      <c r="F3866" s="30" t="n">
        <v>42960</v>
      </c>
      <c r="G3866" s="30" t="n">
        <v>42969</v>
      </c>
      <c r="H3866" s="26" t="n">
        <f aca="false">G3866-F3866</f>
        <v>9</v>
      </c>
      <c r="I3866" s="10" t="n">
        <f aca="false">IF(E3866="Won",1,0)</f>
        <v>1</v>
      </c>
    </row>
    <row r="3867" customFormat="false" ht="15" hidden="false" customHeight="false" outlineLevel="0" collapsed="false">
      <c r="A3867" s="10" t="s">
        <v>6208</v>
      </c>
      <c r="B3867" s="10" t="s">
        <v>94</v>
      </c>
      <c r="C3867" s="10" t="s">
        <v>48</v>
      </c>
      <c r="D3867" s="10" t="s">
        <v>514</v>
      </c>
      <c r="E3867" s="10" t="s">
        <v>2345</v>
      </c>
      <c r="F3867" s="30" t="n">
        <v>42872</v>
      </c>
      <c r="G3867" s="30" t="n">
        <v>42969</v>
      </c>
      <c r="H3867" s="26" t="n">
        <f aca="false">G3867-F3867</f>
        <v>97</v>
      </c>
      <c r="I3867" s="10" t="n">
        <f aca="false">IF(E3867="Won",1,0)</f>
        <v>0</v>
      </c>
    </row>
    <row r="3868" customFormat="false" ht="15" hidden="false" customHeight="false" outlineLevel="0" collapsed="false">
      <c r="A3868" s="10" t="s">
        <v>6209</v>
      </c>
      <c r="B3868" s="10" t="s">
        <v>86</v>
      </c>
      <c r="C3868" s="10" t="s">
        <v>50</v>
      </c>
      <c r="D3868" s="10" t="s">
        <v>692</v>
      </c>
      <c r="E3868" s="10" t="s">
        <v>2345</v>
      </c>
      <c r="F3868" s="30" t="n">
        <v>42899</v>
      </c>
      <c r="G3868" s="30" t="n">
        <v>42969</v>
      </c>
      <c r="H3868" s="26" t="n">
        <f aca="false">G3868-F3868</f>
        <v>70</v>
      </c>
      <c r="I3868" s="10" t="n">
        <f aca="false">IF(E3868="Won",1,0)</f>
        <v>0</v>
      </c>
    </row>
    <row r="3869" customFormat="false" ht="15" hidden="false" customHeight="false" outlineLevel="0" collapsed="false">
      <c r="A3869" s="10" t="s">
        <v>6210</v>
      </c>
      <c r="B3869" s="10" t="s">
        <v>62</v>
      </c>
      <c r="C3869" s="10" t="s">
        <v>52</v>
      </c>
      <c r="D3869" s="10" t="s">
        <v>350</v>
      </c>
      <c r="E3869" s="10" t="s">
        <v>2342</v>
      </c>
      <c r="F3869" s="30" t="n">
        <v>42888</v>
      </c>
      <c r="G3869" s="30" t="n">
        <v>42969</v>
      </c>
      <c r="H3869" s="26" t="n">
        <f aca="false">G3869-F3869</f>
        <v>81</v>
      </c>
      <c r="I3869" s="10" t="n">
        <f aca="false">IF(E3869="Won",1,0)</f>
        <v>1</v>
      </c>
    </row>
    <row r="3870" customFormat="false" ht="15" hidden="false" customHeight="false" outlineLevel="0" collapsed="false">
      <c r="A3870" s="10" t="s">
        <v>6211</v>
      </c>
      <c r="B3870" s="10" t="s">
        <v>94</v>
      </c>
      <c r="C3870" s="10" t="s">
        <v>51</v>
      </c>
      <c r="D3870" s="10" t="s">
        <v>483</v>
      </c>
      <c r="E3870" s="10" t="s">
        <v>2345</v>
      </c>
      <c r="F3870" s="30" t="n">
        <v>42871</v>
      </c>
      <c r="G3870" s="30" t="n">
        <v>42969</v>
      </c>
      <c r="H3870" s="26" t="n">
        <f aca="false">G3870-F3870</f>
        <v>98</v>
      </c>
      <c r="I3870" s="10" t="n">
        <f aca="false">IF(E3870="Won",1,0)</f>
        <v>0</v>
      </c>
    </row>
    <row r="3871" customFormat="false" ht="15" hidden="false" customHeight="false" outlineLevel="0" collapsed="false">
      <c r="A3871" s="10" t="s">
        <v>6212</v>
      </c>
      <c r="B3871" s="10" t="s">
        <v>77</v>
      </c>
      <c r="C3871" s="10" t="s">
        <v>48</v>
      </c>
      <c r="D3871" s="10" t="s">
        <v>483</v>
      </c>
      <c r="E3871" s="10" t="s">
        <v>2342</v>
      </c>
      <c r="F3871" s="30" t="n">
        <v>42905</v>
      </c>
      <c r="G3871" s="30" t="n">
        <v>42969</v>
      </c>
      <c r="H3871" s="26" t="n">
        <f aca="false">G3871-F3871</f>
        <v>64</v>
      </c>
      <c r="I3871" s="10" t="n">
        <f aca="false">IF(E3871="Won",1,0)</f>
        <v>1</v>
      </c>
    </row>
    <row r="3872" customFormat="false" ht="15" hidden="false" customHeight="false" outlineLevel="0" collapsed="false">
      <c r="A3872" s="10" t="s">
        <v>6213</v>
      </c>
      <c r="B3872" s="10" t="s">
        <v>86</v>
      </c>
      <c r="C3872" s="10" t="s">
        <v>49</v>
      </c>
      <c r="D3872" s="10" t="s">
        <v>674</v>
      </c>
      <c r="E3872" s="10" t="s">
        <v>2345</v>
      </c>
      <c r="F3872" s="30" t="n">
        <v>42961</v>
      </c>
      <c r="G3872" s="30" t="n">
        <v>42969</v>
      </c>
      <c r="H3872" s="26" t="n">
        <f aca="false">G3872-F3872</f>
        <v>8</v>
      </c>
      <c r="I3872" s="10" t="n">
        <f aca="false">IF(E3872="Won",1,0)</f>
        <v>0</v>
      </c>
    </row>
    <row r="3873" customFormat="false" ht="15" hidden="false" customHeight="false" outlineLevel="0" collapsed="false">
      <c r="A3873" s="10" t="s">
        <v>6214</v>
      </c>
      <c r="B3873" s="10" t="s">
        <v>83</v>
      </c>
      <c r="C3873" s="10" t="s">
        <v>52</v>
      </c>
      <c r="D3873" s="10" t="s">
        <v>524</v>
      </c>
      <c r="E3873" s="10" t="s">
        <v>2345</v>
      </c>
      <c r="F3873" s="30" t="n">
        <v>42864</v>
      </c>
      <c r="G3873" s="30" t="n">
        <v>42969</v>
      </c>
      <c r="H3873" s="26" t="n">
        <f aca="false">G3873-F3873</f>
        <v>105</v>
      </c>
      <c r="I3873" s="10" t="n">
        <f aca="false">IF(E3873="Won",1,0)</f>
        <v>0</v>
      </c>
    </row>
    <row r="3874" customFormat="false" ht="15" hidden="false" customHeight="false" outlineLevel="0" collapsed="false">
      <c r="A3874" s="10" t="s">
        <v>6215</v>
      </c>
      <c r="B3874" s="10" t="s">
        <v>94</v>
      </c>
      <c r="C3874" s="10" t="s">
        <v>50</v>
      </c>
      <c r="D3874" s="10" t="s">
        <v>606</v>
      </c>
      <c r="E3874" s="10" t="s">
        <v>2345</v>
      </c>
      <c r="F3874" s="30" t="n">
        <v>42927</v>
      </c>
      <c r="G3874" s="30" t="n">
        <v>42969</v>
      </c>
      <c r="H3874" s="26" t="n">
        <f aca="false">G3874-F3874</f>
        <v>42</v>
      </c>
      <c r="I3874" s="10" t="n">
        <f aca="false">IF(E3874="Won",1,0)</f>
        <v>0</v>
      </c>
    </row>
    <row r="3875" customFormat="false" ht="15" hidden="false" customHeight="false" outlineLevel="0" collapsed="false">
      <c r="A3875" s="10" t="s">
        <v>6216</v>
      </c>
      <c r="B3875" s="10" t="s">
        <v>57</v>
      </c>
      <c r="C3875" s="10" t="s">
        <v>47</v>
      </c>
      <c r="D3875" s="10" t="s">
        <v>637</v>
      </c>
      <c r="E3875" s="10" t="s">
        <v>2342</v>
      </c>
      <c r="F3875" s="30" t="n">
        <v>42910</v>
      </c>
      <c r="G3875" s="30" t="n">
        <v>42969</v>
      </c>
      <c r="H3875" s="26" t="n">
        <f aca="false">G3875-F3875</f>
        <v>59</v>
      </c>
      <c r="I3875" s="10" t="n">
        <f aca="false">IF(E3875="Won",1,0)</f>
        <v>1</v>
      </c>
    </row>
    <row r="3876" customFormat="false" ht="15" hidden="false" customHeight="false" outlineLevel="0" collapsed="false">
      <c r="A3876" s="10" t="s">
        <v>6217</v>
      </c>
      <c r="B3876" s="10" t="s">
        <v>97</v>
      </c>
      <c r="C3876" s="10" t="s">
        <v>47</v>
      </c>
      <c r="D3876" s="10" t="s">
        <v>227</v>
      </c>
      <c r="E3876" s="10" t="s">
        <v>2342</v>
      </c>
      <c r="F3876" s="30" t="n">
        <v>42885</v>
      </c>
      <c r="G3876" s="30" t="n">
        <v>42969</v>
      </c>
      <c r="H3876" s="26" t="n">
        <f aca="false">G3876-F3876</f>
        <v>84</v>
      </c>
      <c r="I3876" s="10" t="n">
        <f aca="false">IF(E3876="Won",1,0)</f>
        <v>1</v>
      </c>
    </row>
    <row r="3877" customFormat="false" ht="15" hidden="false" customHeight="false" outlineLevel="0" collapsed="false">
      <c r="A3877" s="10" t="s">
        <v>6218</v>
      </c>
      <c r="B3877" s="10" t="s">
        <v>77</v>
      </c>
      <c r="C3877" s="10" t="s">
        <v>48</v>
      </c>
      <c r="D3877" s="10" t="s">
        <v>321</v>
      </c>
      <c r="E3877" s="10" t="s">
        <v>2342</v>
      </c>
      <c r="F3877" s="30" t="n">
        <v>42882</v>
      </c>
      <c r="G3877" s="30" t="n">
        <v>42969</v>
      </c>
      <c r="H3877" s="26" t="n">
        <f aca="false">G3877-F3877</f>
        <v>87</v>
      </c>
      <c r="I3877" s="10" t="n">
        <f aca="false">IF(E3877="Won",1,0)</f>
        <v>1</v>
      </c>
    </row>
    <row r="3878" customFormat="false" ht="15" hidden="false" customHeight="false" outlineLevel="0" collapsed="false">
      <c r="A3878" s="10" t="s">
        <v>6219</v>
      </c>
      <c r="B3878" s="10" t="s">
        <v>93</v>
      </c>
      <c r="C3878" s="10" t="s">
        <v>51</v>
      </c>
      <c r="D3878" s="10" t="s">
        <v>506</v>
      </c>
      <c r="E3878" s="10" t="s">
        <v>2342</v>
      </c>
      <c r="F3878" s="30" t="n">
        <v>42886</v>
      </c>
      <c r="G3878" s="30" t="n">
        <v>42970</v>
      </c>
      <c r="H3878" s="26" t="n">
        <f aca="false">G3878-F3878</f>
        <v>84</v>
      </c>
      <c r="I3878" s="10" t="n">
        <f aca="false">IF(E3878="Won",1,0)</f>
        <v>1</v>
      </c>
    </row>
    <row r="3879" customFormat="false" ht="15" hidden="false" customHeight="false" outlineLevel="0" collapsed="false">
      <c r="A3879" s="10" t="s">
        <v>6220</v>
      </c>
      <c r="B3879" s="10" t="s">
        <v>81</v>
      </c>
      <c r="C3879" s="10" t="s">
        <v>49</v>
      </c>
      <c r="D3879" s="10" t="s">
        <v>353</v>
      </c>
      <c r="E3879" s="10" t="s">
        <v>2342</v>
      </c>
      <c r="F3879" s="30" t="n">
        <v>42882</v>
      </c>
      <c r="G3879" s="30" t="n">
        <v>42970</v>
      </c>
      <c r="H3879" s="26" t="n">
        <f aca="false">G3879-F3879</f>
        <v>88</v>
      </c>
      <c r="I3879" s="10" t="n">
        <f aca="false">IF(E3879="Won",1,0)</f>
        <v>1</v>
      </c>
    </row>
    <row r="3880" customFormat="false" ht="15" hidden="false" customHeight="false" outlineLevel="0" collapsed="false">
      <c r="A3880" s="10" t="s">
        <v>6221</v>
      </c>
      <c r="B3880" s="10" t="s">
        <v>90</v>
      </c>
      <c r="C3880" s="10" t="s">
        <v>50</v>
      </c>
      <c r="D3880" s="10" t="s">
        <v>464</v>
      </c>
      <c r="E3880" s="10" t="s">
        <v>2342</v>
      </c>
      <c r="F3880" s="30" t="n">
        <v>42882</v>
      </c>
      <c r="G3880" s="30" t="n">
        <v>42970</v>
      </c>
      <c r="H3880" s="26" t="n">
        <f aca="false">G3880-F3880</f>
        <v>88</v>
      </c>
      <c r="I3880" s="10" t="n">
        <f aca="false">IF(E3880="Won",1,0)</f>
        <v>1</v>
      </c>
    </row>
    <row r="3881" customFormat="false" ht="15" hidden="false" customHeight="false" outlineLevel="0" collapsed="false">
      <c r="A3881" s="10" t="s">
        <v>6222</v>
      </c>
      <c r="B3881" s="10" t="s">
        <v>68</v>
      </c>
      <c r="C3881" s="10" t="s">
        <v>51</v>
      </c>
      <c r="D3881" s="10" t="s">
        <v>432</v>
      </c>
      <c r="E3881" s="10" t="s">
        <v>2342</v>
      </c>
      <c r="F3881" s="30" t="n">
        <v>42927</v>
      </c>
      <c r="G3881" s="30" t="n">
        <v>42970</v>
      </c>
      <c r="H3881" s="26" t="n">
        <f aca="false">G3881-F3881</f>
        <v>43</v>
      </c>
      <c r="I3881" s="10" t="n">
        <f aca="false">IF(E3881="Won",1,0)</f>
        <v>1</v>
      </c>
    </row>
    <row r="3882" customFormat="false" ht="15" hidden="false" customHeight="false" outlineLevel="0" collapsed="false">
      <c r="A3882" s="10" t="s">
        <v>6223</v>
      </c>
      <c r="B3882" s="10" t="s">
        <v>70</v>
      </c>
      <c r="C3882" s="10" t="s">
        <v>48</v>
      </c>
      <c r="D3882" s="10" t="s">
        <v>175</v>
      </c>
      <c r="E3882" s="10" t="s">
        <v>2345</v>
      </c>
      <c r="F3882" s="30" t="n">
        <v>42875</v>
      </c>
      <c r="G3882" s="30" t="n">
        <v>42970</v>
      </c>
      <c r="H3882" s="26" t="n">
        <f aca="false">G3882-F3882</f>
        <v>95</v>
      </c>
      <c r="I3882" s="10" t="n">
        <f aca="false">IF(E3882="Won",1,0)</f>
        <v>0</v>
      </c>
    </row>
    <row r="3883" customFormat="false" ht="15" hidden="false" customHeight="false" outlineLevel="0" collapsed="false">
      <c r="A3883" s="10" t="s">
        <v>6224</v>
      </c>
      <c r="B3883" s="10" t="s">
        <v>71</v>
      </c>
      <c r="C3883" s="10" t="s">
        <v>52</v>
      </c>
      <c r="D3883" s="10" t="s">
        <v>762</v>
      </c>
      <c r="E3883" s="10" t="s">
        <v>2345</v>
      </c>
      <c r="F3883" s="30" t="n">
        <v>42958</v>
      </c>
      <c r="G3883" s="30" t="n">
        <v>42970</v>
      </c>
      <c r="H3883" s="26" t="n">
        <f aca="false">G3883-F3883</f>
        <v>12</v>
      </c>
      <c r="I3883" s="10" t="n">
        <f aca="false">IF(E3883="Won",1,0)</f>
        <v>0</v>
      </c>
    </row>
    <row r="3884" customFormat="false" ht="15" hidden="false" customHeight="false" outlineLevel="0" collapsed="false">
      <c r="A3884" s="10" t="s">
        <v>6225</v>
      </c>
      <c r="B3884" s="10" t="s">
        <v>90</v>
      </c>
      <c r="C3884" s="10" t="s">
        <v>48</v>
      </c>
      <c r="D3884" s="10" t="s">
        <v>233</v>
      </c>
      <c r="E3884" s="10" t="s">
        <v>2342</v>
      </c>
      <c r="F3884" s="30" t="n">
        <v>42917</v>
      </c>
      <c r="G3884" s="30" t="n">
        <v>42970</v>
      </c>
      <c r="H3884" s="26" t="n">
        <f aca="false">G3884-F3884</f>
        <v>53</v>
      </c>
      <c r="I3884" s="10" t="n">
        <f aca="false">IF(E3884="Won",1,0)</f>
        <v>1</v>
      </c>
    </row>
    <row r="3885" customFormat="false" ht="15" hidden="false" customHeight="false" outlineLevel="0" collapsed="false">
      <c r="A3885" s="10" t="s">
        <v>6226</v>
      </c>
      <c r="B3885" s="10" t="s">
        <v>77</v>
      </c>
      <c r="C3885" s="10" t="s">
        <v>48</v>
      </c>
      <c r="D3885" s="10" t="s">
        <v>536</v>
      </c>
      <c r="E3885" s="10" t="s">
        <v>2342</v>
      </c>
      <c r="F3885" s="30" t="n">
        <v>42943</v>
      </c>
      <c r="G3885" s="30" t="n">
        <v>42970</v>
      </c>
      <c r="H3885" s="26" t="n">
        <f aca="false">G3885-F3885</f>
        <v>27</v>
      </c>
      <c r="I3885" s="10" t="n">
        <f aca="false">IF(E3885="Won",1,0)</f>
        <v>1</v>
      </c>
    </row>
    <row r="3886" customFormat="false" ht="15" hidden="false" customHeight="false" outlineLevel="0" collapsed="false">
      <c r="A3886" s="10" t="s">
        <v>6227</v>
      </c>
      <c r="B3886" s="10" t="s">
        <v>68</v>
      </c>
      <c r="C3886" s="10" t="s">
        <v>52</v>
      </c>
      <c r="D3886" s="10" t="s">
        <v>711</v>
      </c>
      <c r="E3886" s="10" t="s">
        <v>2345</v>
      </c>
      <c r="F3886" s="30" t="n">
        <v>42921</v>
      </c>
      <c r="G3886" s="30" t="n">
        <v>42970</v>
      </c>
      <c r="H3886" s="26" t="n">
        <f aca="false">G3886-F3886</f>
        <v>49</v>
      </c>
      <c r="I3886" s="10" t="n">
        <f aca="false">IF(E3886="Won",1,0)</f>
        <v>0</v>
      </c>
    </row>
    <row r="3887" customFormat="false" ht="15" hidden="false" customHeight="false" outlineLevel="0" collapsed="false">
      <c r="A3887" s="10" t="s">
        <v>6228</v>
      </c>
      <c r="B3887" s="10" t="s">
        <v>80</v>
      </c>
      <c r="C3887" s="10" t="s">
        <v>51</v>
      </c>
      <c r="D3887" s="10" t="s">
        <v>193</v>
      </c>
      <c r="E3887" s="10" t="s">
        <v>2345</v>
      </c>
      <c r="F3887" s="30" t="n">
        <v>42899</v>
      </c>
      <c r="G3887" s="30" t="n">
        <v>42970</v>
      </c>
      <c r="H3887" s="26" t="n">
        <f aca="false">G3887-F3887</f>
        <v>71</v>
      </c>
      <c r="I3887" s="10" t="n">
        <f aca="false">IF(E3887="Won",1,0)</f>
        <v>0</v>
      </c>
    </row>
    <row r="3888" customFormat="false" ht="15" hidden="false" customHeight="false" outlineLevel="0" collapsed="false">
      <c r="A3888" s="10" t="s">
        <v>6229</v>
      </c>
      <c r="B3888" s="10" t="s">
        <v>90</v>
      </c>
      <c r="C3888" s="10" t="s">
        <v>48</v>
      </c>
      <c r="D3888" s="10" t="s">
        <v>692</v>
      </c>
      <c r="E3888" s="10" t="s">
        <v>2342</v>
      </c>
      <c r="F3888" s="30" t="n">
        <v>42962</v>
      </c>
      <c r="G3888" s="30" t="n">
        <v>42970</v>
      </c>
      <c r="H3888" s="26" t="n">
        <f aca="false">G3888-F3888</f>
        <v>8</v>
      </c>
      <c r="I3888" s="10" t="n">
        <f aca="false">IF(E3888="Won",1,0)</f>
        <v>1</v>
      </c>
    </row>
    <row r="3889" customFormat="false" ht="15" hidden="false" customHeight="false" outlineLevel="0" collapsed="false">
      <c r="A3889" s="10" t="s">
        <v>6230</v>
      </c>
      <c r="B3889" s="10" t="s">
        <v>77</v>
      </c>
      <c r="C3889" s="10" t="s">
        <v>48</v>
      </c>
      <c r="D3889" s="10" t="s">
        <v>388</v>
      </c>
      <c r="E3889" s="10" t="s">
        <v>2342</v>
      </c>
      <c r="F3889" s="30" t="n">
        <v>42891</v>
      </c>
      <c r="G3889" s="30" t="n">
        <v>42970</v>
      </c>
      <c r="H3889" s="26" t="n">
        <f aca="false">G3889-F3889</f>
        <v>79</v>
      </c>
      <c r="I3889" s="10" t="n">
        <f aca="false">IF(E3889="Won",1,0)</f>
        <v>1</v>
      </c>
    </row>
    <row r="3890" customFormat="false" ht="15" hidden="false" customHeight="false" outlineLevel="0" collapsed="false">
      <c r="A3890" s="10" t="s">
        <v>6231</v>
      </c>
      <c r="B3890" s="10" t="s">
        <v>80</v>
      </c>
      <c r="C3890" s="10" t="s">
        <v>51</v>
      </c>
      <c r="D3890" s="10" t="s">
        <v>527</v>
      </c>
      <c r="E3890" s="10" t="s">
        <v>2342</v>
      </c>
      <c r="F3890" s="30" t="n">
        <v>42900</v>
      </c>
      <c r="G3890" s="30" t="n">
        <v>42970</v>
      </c>
      <c r="H3890" s="26" t="n">
        <f aca="false">G3890-F3890</f>
        <v>70</v>
      </c>
      <c r="I3890" s="10" t="n">
        <f aca="false">IF(E3890="Won",1,0)</f>
        <v>1</v>
      </c>
    </row>
    <row r="3891" customFormat="false" ht="15" hidden="false" customHeight="false" outlineLevel="0" collapsed="false">
      <c r="A3891" s="10" t="s">
        <v>6232</v>
      </c>
      <c r="B3891" s="10" t="s">
        <v>61</v>
      </c>
      <c r="C3891" s="10" t="s">
        <v>47</v>
      </c>
      <c r="D3891" s="10" t="s">
        <v>1118</v>
      </c>
      <c r="E3891" s="10" t="s">
        <v>2342</v>
      </c>
      <c r="F3891" s="30" t="n">
        <v>42937</v>
      </c>
      <c r="G3891" s="30" t="n">
        <v>42970</v>
      </c>
      <c r="H3891" s="26" t="n">
        <f aca="false">G3891-F3891</f>
        <v>33</v>
      </c>
      <c r="I3891" s="10" t="n">
        <f aca="false">IF(E3891="Won",1,0)</f>
        <v>1</v>
      </c>
    </row>
    <row r="3892" customFormat="false" ht="15" hidden="false" customHeight="false" outlineLevel="0" collapsed="false">
      <c r="A3892" s="10" t="s">
        <v>6233</v>
      </c>
      <c r="B3892" s="10" t="s">
        <v>96</v>
      </c>
      <c r="C3892" s="10" t="s">
        <v>50</v>
      </c>
      <c r="D3892" s="10" t="s">
        <v>299</v>
      </c>
      <c r="E3892" s="10" t="s">
        <v>2342</v>
      </c>
      <c r="F3892" s="30" t="n">
        <v>42867</v>
      </c>
      <c r="G3892" s="30" t="n">
        <v>42970</v>
      </c>
      <c r="H3892" s="26" t="n">
        <f aca="false">G3892-F3892</f>
        <v>103</v>
      </c>
      <c r="I3892" s="10" t="n">
        <f aca="false">IF(E3892="Won",1,0)</f>
        <v>1</v>
      </c>
    </row>
    <row r="3893" customFormat="false" ht="15" hidden="false" customHeight="false" outlineLevel="0" collapsed="false">
      <c r="A3893" s="10" t="s">
        <v>6234</v>
      </c>
      <c r="B3893" s="10" t="s">
        <v>70</v>
      </c>
      <c r="C3893" s="10" t="s">
        <v>47</v>
      </c>
      <c r="D3893" s="10" t="s">
        <v>210</v>
      </c>
      <c r="E3893" s="10" t="s">
        <v>2342</v>
      </c>
      <c r="F3893" s="30" t="n">
        <v>42867</v>
      </c>
      <c r="G3893" s="30" t="n">
        <v>42970</v>
      </c>
      <c r="H3893" s="26" t="n">
        <f aca="false">G3893-F3893</f>
        <v>103</v>
      </c>
      <c r="I3893" s="10" t="n">
        <f aca="false">IF(E3893="Won",1,0)</f>
        <v>1</v>
      </c>
    </row>
    <row r="3894" customFormat="false" ht="15" hidden="false" customHeight="false" outlineLevel="0" collapsed="false">
      <c r="A3894" s="10" t="s">
        <v>6235</v>
      </c>
      <c r="B3894" s="10" t="s">
        <v>88</v>
      </c>
      <c r="C3894" s="10" t="s">
        <v>50</v>
      </c>
      <c r="D3894" s="10" t="s">
        <v>378</v>
      </c>
      <c r="E3894" s="10" t="s">
        <v>2342</v>
      </c>
      <c r="F3894" s="30" t="n">
        <v>42892</v>
      </c>
      <c r="G3894" s="30" t="n">
        <v>42970</v>
      </c>
      <c r="H3894" s="26" t="n">
        <f aca="false">G3894-F3894</f>
        <v>78</v>
      </c>
      <c r="I3894" s="10" t="n">
        <f aca="false">IF(E3894="Won",1,0)</f>
        <v>1</v>
      </c>
    </row>
    <row r="3895" customFormat="false" ht="15" hidden="false" customHeight="false" outlineLevel="0" collapsed="false">
      <c r="A3895" s="10" t="s">
        <v>6236</v>
      </c>
      <c r="B3895" s="10" t="s">
        <v>71</v>
      </c>
      <c r="C3895" s="10" t="s">
        <v>47</v>
      </c>
      <c r="D3895" s="10" t="s">
        <v>311</v>
      </c>
      <c r="E3895" s="10" t="s">
        <v>2342</v>
      </c>
      <c r="F3895" s="30" t="n">
        <v>42936</v>
      </c>
      <c r="G3895" s="30" t="n">
        <v>42970</v>
      </c>
      <c r="H3895" s="26" t="n">
        <f aca="false">G3895-F3895</f>
        <v>34</v>
      </c>
      <c r="I3895" s="10" t="n">
        <f aca="false">IF(E3895="Won",1,0)</f>
        <v>1</v>
      </c>
    </row>
    <row r="3896" customFormat="false" ht="15" hidden="false" customHeight="false" outlineLevel="0" collapsed="false">
      <c r="A3896" s="10" t="s">
        <v>6237</v>
      </c>
      <c r="B3896" s="10" t="s">
        <v>70</v>
      </c>
      <c r="C3896" s="10" t="s">
        <v>47</v>
      </c>
      <c r="D3896" s="10" t="s">
        <v>344</v>
      </c>
      <c r="E3896" s="10" t="s">
        <v>2342</v>
      </c>
      <c r="F3896" s="30" t="n">
        <v>42896</v>
      </c>
      <c r="G3896" s="30" t="n">
        <v>42970</v>
      </c>
      <c r="H3896" s="26" t="n">
        <f aca="false">G3896-F3896</f>
        <v>74</v>
      </c>
      <c r="I3896" s="10" t="n">
        <f aca="false">IF(E3896="Won",1,0)</f>
        <v>1</v>
      </c>
    </row>
    <row r="3897" customFormat="false" ht="15" hidden="false" customHeight="false" outlineLevel="0" collapsed="false">
      <c r="A3897" s="10" t="s">
        <v>6238</v>
      </c>
      <c r="B3897" s="10" t="s">
        <v>68</v>
      </c>
      <c r="C3897" s="10" t="s">
        <v>52</v>
      </c>
      <c r="D3897" s="10" t="s">
        <v>606</v>
      </c>
      <c r="E3897" s="10" t="s">
        <v>2342</v>
      </c>
      <c r="F3897" s="30" t="n">
        <v>42868</v>
      </c>
      <c r="G3897" s="30" t="n">
        <v>42970</v>
      </c>
      <c r="H3897" s="26" t="n">
        <f aca="false">G3897-F3897</f>
        <v>102</v>
      </c>
      <c r="I3897" s="10" t="n">
        <f aca="false">IF(E3897="Won",1,0)</f>
        <v>1</v>
      </c>
    </row>
    <row r="3898" customFormat="false" ht="15" hidden="false" customHeight="false" outlineLevel="0" collapsed="false">
      <c r="A3898" s="10" t="s">
        <v>6239</v>
      </c>
      <c r="B3898" s="10" t="s">
        <v>77</v>
      </c>
      <c r="C3898" s="10" t="s">
        <v>48</v>
      </c>
      <c r="D3898" s="10" t="s">
        <v>193</v>
      </c>
      <c r="E3898" s="10" t="s">
        <v>2345</v>
      </c>
      <c r="F3898" s="30" t="n">
        <v>42909</v>
      </c>
      <c r="G3898" s="30" t="n">
        <v>42970</v>
      </c>
      <c r="H3898" s="26" t="n">
        <f aca="false">G3898-F3898</f>
        <v>61</v>
      </c>
      <c r="I3898" s="10" t="n">
        <f aca="false">IF(E3898="Won",1,0)</f>
        <v>0</v>
      </c>
    </row>
    <row r="3899" customFormat="false" ht="15" hidden="false" customHeight="false" outlineLevel="0" collapsed="false">
      <c r="A3899" s="10" t="s">
        <v>6240</v>
      </c>
      <c r="B3899" s="10" t="s">
        <v>77</v>
      </c>
      <c r="C3899" s="10" t="s">
        <v>50</v>
      </c>
      <c r="D3899" s="10" t="s">
        <v>414</v>
      </c>
      <c r="E3899" s="10" t="s">
        <v>2342</v>
      </c>
      <c r="F3899" s="30" t="n">
        <v>42856</v>
      </c>
      <c r="G3899" s="30" t="n">
        <v>42970</v>
      </c>
      <c r="H3899" s="26" t="n">
        <f aca="false">G3899-F3899</f>
        <v>114</v>
      </c>
      <c r="I3899" s="10" t="n">
        <f aca="false">IF(E3899="Won",1,0)</f>
        <v>1</v>
      </c>
    </row>
    <row r="3900" customFormat="false" ht="15" hidden="false" customHeight="false" outlineLevel="0" collapsed="false">
      <c r="A3900" s="10" t="s">
        <v>6241</v>
      </c>
      <c r="B3900" s="10" t="s">
        <v>94</v>
      </c>
      <c r="C3900" s="10" t="s">
        <v>51</v>
      </c>
      <c r="D3900" s="10" t="s">
        <v>396</v>
      </c>
      <c r="E3900" s="10" t="s">
        <v>2342</v>
      </c>
      <c r="F3900" s="30" t="n">
        <v>42962</v>
      </c>
      <c r="G3900" s="30" t="n">
        <v>42970</v>
      </c>
      <c r="H3900" s="26" t="n">
        <f aca="false">G3900-F3900</f>
        <v>8</v>
      </c>
      <c r="I3900" s="10" t="n">
        <f aca="false">IF(E3900="Won",1,0)</f>
        <v>1</v>
      </c>
    </row>
    <row r="3901" customFormat="false" ht="15" hidden="false" customHeight="false" outlineLevel="0" collapsed="false">
      <c r="A3901" s="10" t="s">
        <v>6242</v>
      </c>
      <c r="B3901" s="10" t="s">
        <v>84</v>
      </c>
      <c r="C3901" s="10" t="s">
        <v>52</v>
      </c>
      <c r="D3901" s="10" t="s">
        <v>378</v>
      </c>
      <c r="E3901" s="10" t="s">
        <v>2342</v>
      </c>
      <c r="F3901" s="30" t="n">
        <v>42905</v>
      </c>
      <c r="G3901" s="30" t="n">
        <v>42970</v>
      </c>
      <c r="H3901" s="26" t="n">
        <f aca="false">G3901-F3901</f>
        <v>65</v>
      </c>
      <c r="I3901" s="10" t="n">
        <f aca="false">IF(E3901="Won",1,0)</f>
        <v>1</v>
      </c>
    </row>
    <row r="3902" customFormat="false" ht="15" hidden="false" customHeight="false" outlineLevel="0" collapsed="false">
      <c r="A3902" s="10" t="s">
        <v>6243</v>
      </c>
      <c r="B3902" s="10" t="s">
        <v>94</v>
      </c>
      <c r="C3902" s="10" t="s">
        <v>51</v>
      </c>
      <c r="D3902" s="10" t="s">
        <v>506</v>
      </c>
      <c r="E3902" s="10" t="s">
        <v>2342</v>
      </c>
      <c r="F3902" s="30" t="n">
        <v>42963</v>
      </c>
      <c r="G3902" s="30" t="n">
        <v>42970</v>
      </c>
      <c r="H3902" s="26" t="n">
        <f aca="false">G3902-F3902</f>
        <v>7</v>
      </c>
      <c r="I3902" s="10" t="n">
        <f aca="false">IF(E3902="Won",1,0)</f>
        <v>1</v>
      </c>
    </row>
    <row r="3903" customFormat="false" ht="15" hidden="false" customHeight="false" outlineLevel="0" collapsed="false">
      <c r="A3903" s="10" t="s">
        <v>6244</v>
      </c>
      <c r="B3903" s="10" t="s">
        <v>70</v>
      </c>
      <c r="C3903" s="10" t="s">
        <v>48</v>
      </c>
      <c r="D3903" s="10" t="s">
        <v>514</v>
      </c>
      <c r="E3903" s="10" t="s">
        <v>2345</v>
      </c>
      <c r="F3903" s="30" t="n">
        <v>42962</v>
      </c>
      <c r="G3903" s="30" t="n">
        <v>42970</v>
      </c>
      <c r="H3903" s="26" t="n">
        <f aca="false">G3903-F3903</f>
        <v>8</v>
      </c>
      <c r="I3903" s="10" t="n">
        <f aca="false">IF(E3903="Won",1,0)</f>
        <v>0</v>
      </c>
    </row>
    <row r="3904" customFormat="false" ht="15" hidden="false" customHeight="false" outlineLevel="0" collapsed="false">
      <c r="A3904" s="10" t="s">
        <v>6245</v>
      </c>
      <c r="B3904" s="10" t="s">
        <v>88</v>
      </c>
      <c r="C3904" s="10" t="s">
        <v>47</v>
      </c>
      <c r="D3904" s="10" t="s">
        <v>453</v>
      </c>
      <c r="E3904" s="10" t="s">
        <v>2342</v>
      </c>
      <c r="F3904" s="30" t="n">
        <v>42937</v>
      </c>
      <c r="G3904" s="30" t="n">
        <v>42970</v>
      </c>
      <c r="H3904" s="26" t="n">
        <f aca="false">G3904-F3904</f>
        <v>33</v>
      </c>
      <c r="I3904" s="10" t="n">
        <f aca="false">IF(E3904="Won",1,0)</f>
        <v>1</v>
      </c>
    </row>
    <row r="3905" customFormat="false" ht="15" hidden="false" customHeight="false" outlineLevel="0" collapsed="false">
      <c r="A3905" s="10" t="s">
        <v>6246</v>
      </c>
      <c r="B3905" s="10" t="s">
        <v>77</v>
      </c>
      <c r="C3905" s="10" t="s">
        <v>51</v>
      </c>
      <c r="D3905" s="10" t="s">
        <v>353</v>
      </c>
      <c r="E3905" s="10" t="s">
        <v>2342</v>
      </c>
      <c r="F3905" s="30" t="n">
        <v>42944</v>
      </c>
      <c r="G3905" s="30" t="n">
        <v>42970</v>
      </c>
      <c r="H3905" s="26" t="n">
        <f aca="false">G3905-F3905</f>
        <v>26</v>
      </c>
      <c r="I3905" s="10" t="n">
        <f aca="false">IF(E3905="Won",1,0)</f>
        <v>1</v>
      </c>
    </row>
    <row r="3906" customFormat="false" ht="15" hidden="false" customHeight="false" outlineLevel="0" collapsed="false">
      <c r="A3906" s="10" t="s">
        <v>6247</v>
      </c>
      <c r="B3906" s="10" t="s">
        <v>79</v>
      </c>
      <c r="C3906" s="10" t="s">
        <v>47</v>
      </c>
      <c r="D3906" s="10" t="s">
        <v>311</v>
      </c>
      <c r="E3906" s="10" t="s">
        <v>2345</v>
      </c>
      <c r="F3906" s="30" t="n">
        <v>42918</v>
      </c>
      <c r="G3906" s="30" t="n">
        <v>42971</v>
      </c>
      <c r="H3906" s="26" t="n">
        <f aca="false">G3906-F3906</f>
        <v>53</v>
      </c>
      <c r="I3906" s="10" t="n">
        <f aca="false">IF(E3906="Won",1,0)</f>
        <v>0</v>
      </c>
    </row>
    <row r="3907" customFormat="false" ht="15" hidden="false" customHeight="false" outlineLevel="0" collapsed="false">
      <c r="A3907" s="10" t="s">
        <v>6248</v>
      </c>
      <c r="B3907" s="10" t="s">
        <v>75</v>
      </c>
      <c r="C3907" s="10" t="s">
        <v>47</v>
      </c>
      <c r="D3907" s="10" t="s">
        <v>947</v>
      </c>
      <c r="E3907" s="10" t="s">
        <v>2345</v>
      </c>
      <c r="F3907" s="30" t="n">
        <v>42914</v>
      </c>
      <c r="G3907" s="30" t="n">
        <v>42971</v>
      </c>
      <c r="H3907" s="26" t="n">
        <f aca="false">G3907-F3907</f>
        <v>57</v>
      </c>
      <c r="I3907" s="10" t="n">
        <f aca="false">IF(E3907="Won",1,0)</f>
        <v>0</v>
      </c>
    </row>
    <row r="3908" customFormat="false" ht="15" hidden="false" customHeight="false" outlineLevel="0" collapsed="false">
      <c r="A3908" s="10" t="s">
        <v>6249</v>
      </c>
      <c r="B3908" s="10" t="s">
        <v>68</v>
      </c>
      <c r="C3908" s="10" t="s">
        <v>52</v>
      </c>
      <c r="D3908" s="10" t="s">
        <v>227</v>
      </c>
      <c r="E3908" s="10" t="s">
        <v>2342</v>
      </c>
      <c r="F3908" s="30" t="n">
        <v>42901</v>
      </c>
      <c r="G3908" s="30" t="n">
        <v>42971</v>
      </c>
      <c r="H3908" s="26" t="n">
        <f aca="false">G3908-F3908</f>
        <v>70</v>
      </c>
      <c r="I3908" s="10" t="n">
        <f aca="false">IF(E3908="Won",1,0)</f>
        <v>1</v>
      </c>
    </row>
    <row r="3909" customFormat="false" ht="15" hidden="false" customHeight="false" outlineLevel="0" collapsed="false">
      <c r="A3909" s="10" t="s">
        <v>6250</v>
      </c>
      <c r="B3909" s="10" t="s">
        <v>96</v>
      </c>
      <c r="C3909" s="10" t="s">
        <v>50</v>
      </c>
      <c r="D3909" s="10" t="s">
        <v>348</v>
      </c>
      <c r="E3909" s="10" t="s">
        <v>2342</v>
      </c>
      <c r="F3909" s="30" t="n">
        <v>42960</v>
      </c>
      <c r="G3909" s="30" t="n">
        <v>42971</v>
      </c>
      <c r="H3909" s="26" t="n">
        <f aca="false">G3909-F3909</f>
        <v>11</v>
      </c>
      <c r="I3909" s="10" t="n">
        <f aca="false">IF(E3909="Won",1,0)</f>
        <v>1</v>
      </c>
    </row>
    <row r="3910" customFormat="false" ht="15" hidden="false" customHeight="false" outlineLevel="0" collapsed="false">
      <c r="A3910" s="10" t="s">
        <v>6251</v>
      </c>
      <c r="B3910" s="10" t="s">
        <v>86</v>
      </c>
      <c r="C3910" s="10" t="s">
        <v>48</v>
      </c>
      <c r="D3910" s="10" t="s">
        <v>215</v>
      </c>
      <c r="E3910" s="10" t="s">
        <v>2345</v>
      </c>
      <c r="F3910" s="30" t="n">
        <v>42913</v>
      </c>
      <c r="G3910" s="30" t="n">
        <v>42971</v>
      </c>
      <c r="H3910" s="26" t="n">
        <f aca="false">G3910-F3910</f>
        <v>58</v>
      </c>
      <c r="I3910" s="10" t="n">
        <f aca="false">IF(E3910="Won",1,0)</f>
        <v>0</v>
      </c>
    </row>
    <row r="3911" customFormat="false" ht="15" hidden="false" customHeight="false" outlineLevel="0" collapsed="false">
      <c r="A3911" s="10" t="s">
        <v>6252</v>
      </c>
      <c r="B3911" s="10" t="s">
        <v>68</v>
      </c>
      <c r="C3911" s="10" t="s">
        <v>49</v>
      </c>
      <c r="D3911" s="10" t="s">
        <v>497</v>
      </c>
      <c r="E3911" s="10" t="s">
        <v>2342</v>
      </c>
      <c r="F3911" s="30" t="n">
        <v>42912</v>
      </c>
      <c r="G3911" s="30" t="n">
        <v>42971</v>
      </c>
      <c r="H3911" s="26" t="n">
        <f aca="false">G3911-F3911</f>
        <v>59</v>
      </c>
      <c r="I3911" s="10" t="n">
        <f aca="false">IF(E3911="Won",1,0)</f>
        <v>1</v>
      </c>
    </row>
    <row r="3912" customFormat="false" ht="15" hidden="false" customHeight="false" outlineLevel="0" collapsed="false">
      <c r="A3912" s="10" t="s">
        <v>6253</v>
      </c>
      <c r="B3912" s="10" t="s">
        <v>71</v>
      </c>
      <c r="C3912" s="10" t="s">
        <v>47</v>
      </c>
      <c r="D3912" s="10" t="s">
        <v>483</v>
      </c>
      <c r="E3912" s="10" t="s">
        <v>2342</v>
      </c>
      <c r="F3912" s="30" t="n">
        <v>42905</v>
      </c>
      <c r="G3912" s="30" t="n">
        <v>42971</v>
      </c>
      <c r="H3912" s="26" t="n">
        <f aca="false">G3912-F3912</f>
        <v>66</v>
      </c>
      <c r="I3912" s="10" t="n">
        <f aca="false">IF(E3912="Won",1,0)</f>
        <v>1</v>
      </c>
    </row>
    <row r="3913" customFormat="false" ht="15" hidden="false" customHeight="false" outlineLevel="0" collapsed="false">
      <c r="A3913" s="10" t="s">
        <v>6254</v>
      </c>
      <c r="B3913" s="10" t="s">
        <v>95</v>
      </c>
      <c r="C3913" s="10" t="s">
        <v>52</v>
      </c>
      <c r="D3913" s="10" t="s">
        <v>337</v>
      </c>
      <c r="E3913" s="10" t="s">
        <v>2345</v>
      </c>
      <c r="F3913" s="30" t="n">
        <v>42960</v>
      </c>
      <c r="G3913" s="30" t="n">
        <v>42971</v>
      </c>
      <c r="H3913" s="26" t="n">
        <f aca="false">G3913-F3913</f>
        <v>11</v>
      </c>
      <c r="I3913" s="10" t="n">
        <f aca="false">IF(E3913="Won",1,0)</f>
        <v>0</v>
      </c>
    </row>
    <row r="3914" customFormat="false" ht="15" hidden="false" customHeight="false" outlineLevel="0" collapsed="false">
      <c r="A3914" s="10" t="s">
        <v>6255</v>
      </c>
      <c r="B3914" s="10" t="s">
        <v>76</v>
      </c>
      <c r="C3914" s="10" t="s">
        <v>51</v>
      </c>
      <c r="D3914" s="10" t="s">
        <v>869</v>
      </c>
      <c r="E3914" s="10" t="s">
        <v>2342</v>
      </c>
      <c r="F3914" s="30" t="n">
        <v>42905</v>
      </c>
      <c r="G3914" s="30" t="n">
        <v>42971</v>
      </c>
      <c r="H3914" s="26" t="n">
        <f aca="false">G3914-F3914</f>
        <v>66</v>
      </c>
      <c r="I3914" s="10" t="n">
        <f aca="false">IF(E3914="Won",1,0)</f>
        <v>1</v>
      </c>
    </row>
    <row r="3915" customFormat="false" ht="15" hidden="false" customHeight="false" outlineLevel="0" collapsed="false">
      <c r="A3915" s="10" t="s">
        <v>6256</v>
      </c>
      <c r="B3915" s="10" t="s">
        <v>95</v>
      </c>
      <c r="C3915" s="10" t="s">
        <v>50</v>
      </c>
      <c r="D3915" s="10" t="s">
        <v>175</v>
      </c>
      <c r="E3915" s="10" t="s">
        <v>2342</v>
      </c>
      <c r="F3915" s="30" t="n">
        <v>42961</v>
      </c>
      <c r="G3915" s="30" t="n">
        <v>42971</v>
      </c>
      <c r="H3915" s="26" t="n">
        <f aca="false">G3915-F3915</f>
        <v>10</v>
      </c>
      <c r="I3915" s="10" t="n">
        <f aca="false">IF(E3915="Won",1,0)</f>
        <v>1</v>
      </c>
    </row>
    <row r="3916" customFormat="false" ht="15" hidden="false" customHeight="false" outlineLevel="0" collapsed="false">
      <c r="A3916" s="10" t="s">
        <v>6257</v>
      </c>
      <c r="B3916" s="10" t="s">
        <v>77</v>
      </c>
      <c r="C3916" s="10" t="s">
        <v>52</v>
      </c>
      <c r="D3916" s="10" t="s">
        <v>369</v>
      </c>
      <c r="E3916" s="10" t="s">
        <v>2345</v>
      </c>
      <c r="F3916" s="30" t="n">
        <v>42887</v>
      </c>
      <c r="G3916" s="30" t="n">
        <v>42971</v>
      </c>
      <c r="H3916" s="26" t="n">
        <f aca="false">G3916-F3916</f>
        <v>84</v>
      </c>
      <c r="I3916" s="10" t="n">
        <f aca="false">IF(E3916="Won",1,0)</f>
        <v>0</v>
      </c>
    </row>
    <row r="3917" customFormat="false" ht="15" hidden="false" customHeight="false" outlineLevel="0" collapsed="false">
      <c r="A3917" s="10" t="s">
        <v>6258</v>
      </c>
      <c r="B3917" s="10" t="s">
        <v>76</v>
      </c>
      <c r="C3917" s="10" t="s">
        <v>51</v>
      </c>
      <c r="D3917" s="10" t="s">
        <v>536</v>
      </c>
      <c r="E3917" s="10" t="s">
        <v>2345</v>
      </c>
      <c r="F3917" s="30" t="n">
        <v>42964</v>
      </c>
      <c r="G3917" s="30" t="n">
        <v>42971</v>
      </c>
      <c r="H3917" s="26" t="n">
        <f aca="false">G3917-F3917</f>
        <v>7</v>
      </c>
      <c r="I3917" s="10" t="n">
        <f aca="false">IF(E3917="Won",1,0)</f>
        <v>0</v>
      </c>
    </row>
    <row r="3918" customFormat="false" ht="15" hidden="false" customHeight="false" outlineLevel="0" collapsed="false">
      <c r="A3918" s="10" t="s">
        <v>6259</v>
      </c>
      <c r="B3918" s="10" t="s">
        <v>73</v>
      </c>
      <c r="C3918" s="10" t="s">
        <v>49</v>
      </c>
      <c r="D3918" s="10" t="s">
        <v>1948</v>
      </c>
      <c r="E3918" s="10" t="s">
        <v>2345</v>
      </c>
      <c r="F3918" s="30" t="n">
        <v>42965</v>
      </c>
      <c r="G3918" s="30" t="n">
        <v>42971</v>
      </c>
      <c r="H3918" s="26" t="n">
        <f aca="false">G3918-F3918</f>
        <v>6</v>
      </c>
      <c r="I3918" s="10" t="n">
        <f aca="false">IF(E3918="Won",1,0)</f>
        <v>0</v>
      </c>
    </row>
    <row r="3919" customFormat="false" ht="15" hidden="false" customHeight="false" outlineLevel="0" collapsed="false">
      <c r="A3919" s="10" t="s">
        <v>6260</v>
      </c>
      <c r="B3919" s="10" t="s">
        <v>74</v>
      </c>
      <c r="C3919" s="10" t="s">
        <v>51</v>
      </c>
      <c r="D3919" s="10" t="s">
        <v>422</v>
      </c>
      <c r="E3919" s="10" t="s">
        <v>2345</v>
      </c>
      <c r="F3919" s="30" t="n">
        <v>42871</v>
      </c>
      <c r="G3919" s="30" t="n">
        <v>42971</v>
      </c>
      <c r="H3919" s="26" t="n">
        <f aca="false">G3919-F3919</f>
        <v>100</v>
      </c>
      <c r="I3919" s="10" t="n">
        <f aca="false">IF(E3919="Won",1,0)</f>
        <v>0</v>
      </c>
    </row>
    <row r="3920" customFormat="false" ht="15" hidden="false" customHeight="false" outlineLevel="0" collapsed="false">
      <c r="A3920" s="10" t="s">
        <v>6261</v>
      </c>
      <c r="B3920" s="10" t="s">
        <v>86</v>
      </c>
      <c r="C3920" s="10" t="s">
        <v>47</v>
      </c>
      <c r="D3920" s="10" t="s">
        <v>455</v>
      </c>
      <c r="E3920" s="10" t="s">
        <v>2345</v>
      </c>
      <c r="F3920" s="30" t="n">
        <v>42889</v>
      </c>
      <c r="G3920" s="30" t="n">
        <v>42971</v>
      </c>
      <c r="H3920" s="26" t="n">
        <f aca="false">G3920-F3920</f>
        <v>82</v>
      </c>
      <c r="I3920" s="10" t="n">
        <f aca="false">IF(E3920="Won",1,0)</f>
        <v>0</v>
      </c>
    </row>
    <row r="3921" customFormat="false" ht="15" hidden="false" customHeight="false" outlineLevel="0" collapsed="false">
      <c r="A3921" s="10" t="s">
        <v>6262</v>
      </c>
      <c r="B3921" s="10" t="s">
        <v>76</v>
      </c>
      <c r="C3921" s="10" t="s">
        <v>52</v>
      </c>
      <c r="D3921" s="10" t="s">
        <v>697</v>
      </c>
      <c r="E3921" s="10" t="s">
        <v>2345</v>
      </c>
      <c r="F3921" s="30" t="n">
        <v>42869</v>
      </c>
      <c r="G3921" s="30" t="n">
        <v>42971</v>
      </c>
      <c r="H3921" s="26" t="n">
        <f aca="false">G3921-F3921</f>
        <v>102</v>
      </c>
      <c r="I3921" s="10" t="n">
        <f aca="false">IF(E3921="Won",1,0)</f>
        <v>0</v>
      </c>
    </row>
    <row r="3922" customFormat="false" ht="15" hidden="false" customHeight="false" outlineLevel="0" collapsed="false">
      <c r="A3922" s="10" t="s">
        <v>6263</v>
      </c>
      <c r="B3922" s="10" t="s">
        <v>83</v>
      </c>
      <c r="C3922" s="10" t="s">
        <v>50</v>
      </c>
      <c r="D3922" s="10" t="s">
        <v>512</v>
      </c>
      <c r="E3922" s="10" t="s">
        <v>2345</v>
      </c>
      <c r="F3922" s="30" t="n">
        <v>42868</v>
      </c>
      <c r="G3922" s="30" t="n">
        <v>42971</v>
      </c>
      <c r="H3922" s="26" t="n">
        <f aca="false">G3922-F3922</f>
        <v>103</v>
      </c>
      <c r="I3922" s="10" t="n">
        <f aca="false">IF(E3922="Won",1,0)</f>
        <v>0</v>
      </c>
    </row>
    <row r="3923" customFormat="false" ht="15" hidden="false" customHeight="false" outlineLevel="0" collapsed="false">
      <c r="A3923" s="10" t="s">
        <v>6264</v>
      </c>
      <c r="B3923" s="10" t="s">
        <v>76</v>
      </c>
      <c r="C3923" s="10" t="s">
        <v>52</v>
      </c>
      <c r="D3923" s="10" t="s">
        <v>267</v>
      </c>
      <c r="E3923" s="10" t="s">
        <v>2342</v>
      </c>
      <c r="F3923" s="30" t="n">
        <v>42889</v>
      </c>
      <c r="G3923" s="30" t="n">
        <v>42971</v>
      </c>
      <c r="H3923" s="26" t="n">
        <f aca="false">G3923-F3923</f>
        <v>82</v>
      </c>
      <c r="I3923" s="10" t="n">
        <f aca="false">IF(E3923="Won",1,0)</f>
        <v>1</v>
      </c>
    </row>
    <row r="3924" customFormat="false" ht="15" hidden="false" customHeight="false" outlineLevel="0" collapsed="false">
      <c r="A3924" s="10" t="s">
        <v>6265</v>
      </c>
      <c r="B3924" s="10" t="s">
        <v>93</v>
      </c>
      <c r="C3924" s="10" t="s">
        <v>48</v>
      </c>
      <c r="D3924" s="10" t="s">
        <v>348</v>
      </c>
      <c r="E3924" s="10" t="s">
        <v>2345</v>
      </c>
      <c r="F3924" s="30" t="n">
        <v>42958</v>
      </c>
      <c r="G3924" s="30" t="n">
        <v>42971</v>
      </c>
      <c r="H3924" s="26" t="n">
        <f aca="false">G3924-F3924</f>
        <v>13</v>
      </c>
      <c r="I3924" s="10" t="n">
        <f aca="false">IF(E3924="Won",1,0)</f>
        <v>0</v>
      </c>
    </row>
    <row r="3925" customFormat="false" ht="15" hidden="false" customHeight="false" outlineLevel="0" collapsed="false">
      <c r="A3925" s="10" t="s">
        <v>6266</v>
      </c>
      <c r="B3925" s="10" t="s">
        <v>57</v>
      </c>
      <c r="C3925" s="10" t="s">
        <v>49</v>
      </c>
      <c r="D3925" s="10" t="s">
        <v>427</v>
      </c>
      <c r="E3925" s="10" t="s">
        <v>2345</v>
      </c>
      <c r="F3925" s="30" t="n">
        <v>42867</v>
      </c>
      <c r="G3925" s="30" t="n">
        <v>42971</v>
      </c>
      <c r="H3925" s="26" t="n">
        <f aca="false">G3925-F3925</f>
        <v>104</v>
      </c>
      <c r="I3925" s="10" t="n">
        <f aca="false">IF(E3925="Won",1,0)</f>
        <v>0</v>
      </c>
    </row>
    <row r="3926" customFormat="false" ht="15" hidden="false" customHeight="false" outlineLevel="0" collapsed="false">
      <c r="A3926" s="10" t="s">
        <v>6267</v>
      </c>
      <c r="B3926" s="10" t="s">
        <v>77</v>
      </c>
      <c r="C3926" s="10" t="s">
        <v>50</v>
      </c>
      <c r="D3926" s="10" t="s">
        <v>210</v>
      </c>
      <c r="E3926" s="10" t="s">
        <v>2342</v>
      </c>
      <c r="F3926" s="30" t="n">
        <v>42868</v>
      </c>
      <c r="G3926" s="30" t="n">
        <v>42971</v>
      </c>
      <c r="H3926" s="26" t="n">
        <f aca="false">G3926-F3926</f>
        <v>103</v>
      </c>
      <c r="I3926" s="10" t="n">
        <f aca="false">IF(E3926="Won",1,0)</f>
        <v>1</v>
      </c>
    </row>
    <row r="3927" customFormat="false" ht="15" hidden="false" customHeight="false" outlineLevel="0" collapsed="false">
      <c r="A3927" s="10" t="s">
        <v>6268</v>
      </c>
      <c r="B3927" s="10" t="s">
        <v>77</v>
      </c>
      <c r="C3927" s="10" t="s">
        <v>49</v>
      </c>
      <c r="D3927" s="10" t="s">
        <v>311</v>
      </c>
      <c r="E3927" s="10" t="s">
        <v>2342</v>
      </c>
      <c r="F3927" s="30" t="n">
        <v>42866</v>
      </c>
      <c r="G3927" s="30" t="n">
        <v>42971</v>
      </c>
      <c r="H3927" s="26" t="n">
        <f aca="false">G3927-F3927</f>
        <v>105</v>
      </c>
      <c r="I3927" s="10" t="n">
        <f aca="false">IF(E3927="Won",1,0)</f>
        <v>1</v>
      </c>
    </row>
    <row r="3928" customFormat="false" ht="15" hidden="false" customHeight="false" outlineLevel="0" collapsed="false">
      <c r="A3928" s="10" t="s">
        <v>6269</v>
      </c>
      <c r="B3928" s="10" t="s">
        <v>79</v>
      </c>
      <c r="C3928" s="10" t="s">
        <v>49</v>
      </c>
      <c r="D3928" s="10" t="s">
        <v>483</v>
      </c>
      <c r="E3928" s="10" t="s">
        <v>2342</v>
      </c>
      <c r="F3928" s="30" t="n">
        <v>42878</v>
      </c>
      <c r="G3928" s="30" t="n">
        <v>42971</v>
      </c>
      <c r="H3928" s="26" t="n">
        <f aca="false">G3928-F3928</f>
        <v>93</v>
      </c>
      <c r="I3928" s="10" t="n">
        <f aca="false">IF(E3928="Won",1,0)</f>
        <v>1</v>
      </c>
    </row>
    <row r="3929" customFormat="false" ht="15" hidden="false" customHeight="false" outlineLevel="0" collapsed="false">
      <c r="A3929" s="10" t="s">
        <v>6270</v>
      </c>
      <c r="B3929" s="10" t="s">
        <v>71</v>
      </c>
      <c r="C3929" s="10" t="s">
        <v>52</v>
      </c>
      <c r="D3929" s="10" t="s">
        <v>947</v>
      </c>
      <c r="E3929" s="10" t="s">
        <v>2345</v>
      </c>
      <c r="F3929" s="30" t="n">
        <v>42882</v>
      </c>
      <c r="G3929" s="30" t="n">
        <v>42971</v>
      </c>
      <c r="H3929" s="26" t="n">
        <f aca="false">G3929-F3929</f>
        <v>89</v>
      </c>
      <c r="I3929" s="10" t="n">
        <f aca="false">IF(E3929="Won",1,0)</f>
        <v>0</v>
      </c>
    </row>
    <row r="3930" customFormat="false" ht="15" hidden="false" customHeight="false" outlineLevel="0" collapsed="false">
      <c r="A3930" s="10" t="s">
        <v>6271</v>
      </c>
      <c r="B3930" s="10" t="s">
        <v>60</v>
      </c>
      <c r="C3930" s="10" t="s">
        <v>48</v>
      </c>
      <c r="D3930" s="10" t="s">
        <v>233</v>
      </c>
      <c r="E3930" s="10" t="s">
        <v>2345</v>
      </c>
      <c r="F3930" s="30" t="n">
        <v>42865</v>
      </c>
      <c r="G3930" s="30" t="n">
        <v>42971</v>
      </c>
      <c r="H3930" s="26" t="n">
        <f aca="false">G3930-F3930</f>
        <v>106</v>
      </c>
      <c r="I3930" s="10" t="n">
        <f aca="false">IF(E3930="Won",1,0)</f>
        <v>0</v>
      </c>
    </row>
    <row r="3931" customFormat="false" ht="15" hidden="false" customHeight="false" outlineLevel="0" collapsed="false">
      <c r="A3931" s="10" t="s">
        <v>6272</v>
      </c>
      <c r="B3931" s="10" t="s">
        <v>88</v>
      </c>
      <c r="C3931" s="10" t="s">
        <v>50</v>
      </c>
      <c r="D3931" s="10" t="s">
        <v>1397</v>
      </c>
      <c r="E3931" s="10" t="s">
        <v>2342</v>
      </c>
      <c r="F3931" s="30" t="n">
        <v>42878</v>
      </c>
      <c r="G3931" s="30" t="n">
        <v>42971</v>
      </c>
      <c r="H3931" s="26" t="n">
        <f aca="false">G3931-F3931</f>
        <v>93</v>
      </c>
      <c r="I3931" s="10" t="n">
        <f aca="false">IF(E3931="Won",1,0)</f>
        <v>1</v>
      </c>
    </row>
    <row r="3932" customFormat="false" ht="15" hidden="false" customHeight="false" outlineLevel="0" collapsed="false">
      <c r="A3932" s="10" t="s">
        <v>6273</v>
      </c>
      <c r="B3932" s="10" t="s">
        <v>86</v>
      </c>
      <c r="C3932" s="10" t="s">
        <v>51</v>
      </c>
      <c r="D3932" s="10" t="s">
        <v>441</v>
      </c>
      <c r="E3932" s="10" t="s">
        <v>2345</v>
      </c>
      <c r="F3932" s="30" t="n">
        <v>42959</v>
      </c>
      <c r="G3932" s="30" t="n">
        <v>42971</v>
      </c>
      <c r="H3932" s="26" t="n">
        <f aca="false">G3932-F3932</f>
        <v>12</v>
      </c>
      <c r="I3932" s="10" t="n">
        <f aca="false">IF(E3932="Won",1,0)</f>
        <v>0</v>
      </c>
    </row>
    <row r="3933" customFormat="false" ht="15" hidden="false" customHeight="false" outlineLevel="0" collapsed="false">
      <c r="A3933" s="10" t="s">
        <v>6274</v>
      </c>
      <c r="B3933" s="10" t="s">
        <v>94</v>
      </c>
      <c r="C3933" s="10" t="s">
        <v>51</v>
      </c>
      <c r="D3933" s="10" t="s">
        <v>606</v>
      </c>
      <c r="E3933" s="10" t="s">
        <v>2345</v>
      </c>
      <c r="F3933" s="30" t="n">
        <v>42966</v>
      </c>
      <c r="G3933" s="30" t="n">
        <v>42972</v>
      </c>
      <c r="H3933" s="26" t="n">
        <f aca="false">G3933-F3933</f>
        <v>6</v>
      </c>
      <c r="I3933" s="10" t="n">
        <f aca="false">IF(E3933="Won",1,0)</f>
        <v>0</v>
      </c>
    </row>
    <row r="3934" customFormat="false" ht="15" hidden="false" customHeight="false" outlineLevel="0" collapsed="false">
      <c r="A3934" s="10" t="s">
        <v>6275</v>
      </c>
      <c r="B3934" s="10" t="s">
        <v>86</v>
      </c>
      <c r="C3934" s="10" t="s">
        <v>51</v>
      </c>
      <c r="D3934" s="10" t="s">
        <v>1397</v>
      </c>
      <c r="E3934" s="10" t="s">
        <v>2342</v>
      </c>
      <c r="F3934" s="30" t="n">
        <v>42962</v>
      </c>
      <c r="G3934" s="30" t="n">
        <v>42972</v>
      </c>
      <c r="H3934" s="26" t="n">
        <f aca="false">G3934-F3934</f>
        <v>10</v>
      </c>
      <c r="I3934" s="10" t="n">
        <f aca="false">IF(E3934="Won",1,0)</f>
        <v>1</v>
      </c>
    </row>
    <row r="3935" customFormat="false" ht="15" hidden="false" customHeight="false" outlineLevel="0" collapsed="false">
      <c r="A3935" s="10" t="s">
        <v>6276</v>
      </c>
      <c r="B3935" s="10" t="s">
        <v>95</v>
      </c>
      <c r="C3935" s="10" t="s">
        <v>52</v>
      </c>
      <c r="D3935" s="10" t="s">
        <v>432</v>
      </c>
      <c r="E3935" s="10" t="s">
        <v>2342</v>
      </c>
      <c r="F3935" s="30" t="n">
        <v>42970</v>
      </c>
      <c r="G3935" s="30" t="n">
        <v>42972</v>
      </c>
      <c r="H3935" s="26" t="n">
        <f aca="false">G3935-F3935</f>
        <v>2</v>
      </c>
      <c r="I3935" s="10" t="n">
        <f aca="false">IF(E3935="Won",1,0)</f>
        <v>1</v>
      </c>
    </row>
    <row r="3936" customFormat="false" ht="15" hidden="false" customHeight="false" outlineLevel="0" collapsed="false">
      <c r="A3936" s="10" t="s">
        <v>6277</v>
      </c>
      <c r="B3936" s="10" t="s">
        <v>77</v>
      </c>
      <c r="C3936" s="10" t="s">
        <v>50</v>
      </c>
      <c r="D3936" s="10" t="s">
        <v>527</v>
      </c>
      <c r="E3936" s="10" t="s">
        <v>2342</v>
      </c>
      <c r="F3936" s="30" t="n">
        <v>42962</v>
      </c>
      <c r="G3936" s="30" t="n">
        <v>42972</v>
      </c>
      <c r="H3936" s="26" t="n">
        <f aca="false">G3936-F3936</f>
        <v>10</v>
      </c>
      <c r="I3936" s="10" t="n">
        <f aca="false">IF(E3936="Won",1,0)</f>
        <v>1</v>
      </c>
    </row>
    <row r="3937" customFormat="false" ht="15" hidden="false" customHeight="false" outlineLevel="0" collapsed="false">
      <c r="A3937" s="10" t="s">
        <v>6278</v>
      </c>
      <c r="B3937" s="10" t="s">
        <v>62</v>
      </c>
      <c r="C3937" s="10" t="s">
        <v>49</v>
      </c>
      <c r="D3937" s="10" t="s">
        <v>405</v>
      </c>
      <c r="E3937" s="10" t="s">
        <v>2342</v>
      </c>
      <c r="F3937" s="30" t="n">
        <v>42971</v>
      </c>
      <c r="G3937" s="30" t="n">
        <v>42972</v>
      </c>
      <c r="H3937" s="26" t="n">
        <f aca="false">G3937-F3937</f>
        <v>1</v>
      </c>
      <c r="I3937" s="10" t="n">
        <f aca="false">IF(E3937="Won",1,0)</f>
        <v>1</v>
      </c>
    </row>
    <row r="3938" customFormat="false" ht="15" hidden="false" customHeight="false" outlineLevel="0" collapsed="false">
      <c r="A3938" s="10" t="s">
        <v>6279</v>
      </c>
      <c r="B3938" s="10" t="s">
        <v>77</v>
      </c>
      <c r="C3938" s="10" t="s">
        <v>50</v>
      </c>
      <c r="D3938" s="10" t="s">
        <v>422</v>
      </c>
      <c r="E3938" s="10" t="s">
        <v>2342</v>
      </c>
      <c r="F3938" s="30" t="n">
        <v>42883</v>
      </c>
      <c r="G3938" s="30" t="n">
        <v>42972</v>
      </c>
      <c r="H3938" s="26" t="n">
        <f aca="false">G3938-F3938</f>
        <v>89</v>
      </c>
      <c r="I3938" s="10" t="n">
        <f aca="false">IF(E3938="Won",1,0)</f>
        <v>1</v>
      </c>
    </row>
    <row r="3939" customFormat="false" ht="15" hidden="false" customHeight="false" outlineLevel="0" collapsed="false">
      <c r="A3939" s="10" t="s">
        <v>6280</v>
      </c>
      <c r="B3939" s="10" t="s">
        <v>80</v>
      </c>
      <c r="C3939" s="10" t="s">
        <v>48</v>
      </c>
      <c r="D3939" s="10" t="s">
        <v>321</v>
      </c>
      <c r="E3939" s="10" t="s">
        <v>2345</v>
      </c>
      <c r="F3939" s="30" t="n">
        <v>42965</v>
      </c>
      <c r="G3939" s="30" t="n">
        <v>42972</v>
      </c>
      <c r="H3939" s="26" t="n">
        <f aca="false">G3939-F3939</f>
        <v>7</v>
      </c>
      <c r="I3939" s="10" t="n">
        <f aca="false">IF(E3939="Won",1,0)</f>
        <v>0</v>
      </c>
    </row>
    <row r="3940" customFormat="false" ht="15" hidden="false" customHeight="false" outlineLevel="0" collapsed="false">
      <c r="A3940" s="10" t="s">
        <v>6281</v>
      </c>
      <c r="B3940" s="10" t="s">
        <v>87</v>
      </c>
      <c r="C3940" s="10" t="s">
        <v>52</v>
      </c>
      <c r="D3940" s="10" t="s">
        <v>233</v>
      </c>
      <c r="E3940" s="10" t="s">
        <v>2342</v>
      </c>
      <c r="F3940" s="30" t="n">
        <v>42906</v>
      </c>
      <c r="G3940" s="30" t="n">
        <v>42972</v>
      </c>
      <c r="H3940" s="26" t="n">
        <f aca="false">G3940-F3940</f>
        <v>66</v>
      </c>
      <c r="I3940" s="10" t="n">
        <f aca="false">IF(E3940="Won",1,0)</f>
        <v>1</v>
      </c>
    </row>
    <row r="3941" customFormat="false" ht="15" hidden="false" customHeight="false" outlineLevel="0" collapsed="false">
      <c r="A3941" s="10" t="s">
        <v>6282</v>
      </c>
      <c r="B3941" s="10" t="s">
        <v>80</v>
      </c>
      <c r="C3941" s="10" t="s">
        <v>51</v>
      </c>
      <c r="D3941" s="10" t="s">
        <v>512</v>
      </c>
      <c r="E3941" s="10" t="s">
        <v>2345</v>
      </c>
      <c r="F3941" s="30" t="n">
        <v>42888</v>
      </c>
      <c r="G3941" s="30" t="n">
        <v>42972</v>
      </c>
      <c r="H3941" s="26" t="n">
        <f aca="false">G3941-F3941</f>
        <v>84</v>
      </c>
      <c r="I3941" s="10" t="n">
        <f aca="false">IF(E3941="Won",1,0)</f>
        <v>0</v>
      </c>
    </row>
    <row r="3942" customFormat="false" ht="15" hidden="false" customHeight="false" outlineLevel="0" collapsed="false">
      <c r="A3942" s="10" t="s">
        <v>6283</v>
      </c>
      <c r="B3942" s="10" t="s">
        <v>94</v>
      </c>
      <c r="C3942" s="10" t="s">
        <v>51</v>
      </c>
      <c r="D3942" s="10" t="s">
        <v>326</v>
      </c>
      <c r="E3942" s="10" t="s">
        <v>2345</v>
      </c>
      <c r="F3942" s="30" t="n">
        <v>42905</v>
      </c>
      <c r="G3942" s="30" t="n">
        <v>42972</v>
      </c>
      <c r="H3942" s="26" t="n">
        <f aca="false">G3942-F3942</f>
        <v>67</v>
      </c>
      <c r="I3942" s="10" t="n">
        <f aca="false">IF(E3942="Won",1,0)</f>
        <v>0</v>
      </c>
    </row>
    <row r="3943" customFormat="false" ht="15" hidden="false" customHeight="false" outlineLevel="0" collapsed="false">
      <c r="A3943" s="10" t="s">
        <v>6284</v>
      </c>
      <c r="B3943" s="10" t="s">
        <v>70</v>
      </c>
      <c r="C3943" s="10" t="s">
        <v>50</v>
      </c>
      <c r="D3943" s="10" t="s">
        <v>487</v>
      </c>
      <c r="E3943" s="10" t="s">
        <v>2342</v>
      </c>
      <c r="F3943" s="30" t="n">
        <v>42870</v>
      </c>
      <c r="G3943" s="30" t="n">
        <v>42972</v>
      </c>
      <c r="H3943" s="26" t="n">
        <f aca="false">G3943-F3943</f>
        <v>102</v>
      </c>
      <c r="I3943" s="10" t="n">
        <f aca="false">IF(E3943="Won",1,0)</f>
        <v>1</v>
      </c>
    </row>
    <row r="3944" customFormat="false" ht="15" hidden="false" customHeight="false" outlineLevel="0" collapsed="false">
      <c r="A3944" s="10" t="s">
        <v>6285</v>
      </c>
      <c r="B3944" s="10" t="s">
        <v>71</v>
      </c>
      <c r="C3944" s="10" t="s">
        <v>47</v>
      </c>
      <c r="D3944" s="10" t="s">
        <v>279</v>
      </c>
      <c r="E3944" s="10" t="s">
        <v>2345</v>
      </c>
      <c r="F3944" s="30" t="n">
        <v>42869</v>
      </c>
      <c r="G3944" s="30" t="n">
        <v>42972</v>
      </c>
      <c r="H3944" s="26" t="n">
        <f aca="false">G3944-F3944</f>
        <v>103</v>
      </c>
      <c r="I3944" s="10" t="n">
        <f aca="false">IF(E3944="Won",1,0)</f>
        <v>0</v>
      </c>
    </row>
    <row r="3945" customFormat="false" ht="15" hidden="false" customHeight="false" outlineLevel="0" collapsed="false">
      <c r="A3945" s="10" t="s">
        <v>6286</v>
      </c>
      <c r="B3945" s="10" t="s">
        <v>77</v>
      </c>
      <c r="C3945" s="10" t="s">
        <v>47</v>
      </c>
      <c r="D3945" s="10" t="s">
        <v>1948</v>
      </c>
      <c r="E3945" s="10" t="s">
        <v>2342</v>
      </c>
      <c r="F3945" s="30" t="n">
        <v>42891</v>
      </c>
      <c r="G3945" s="30" t="n">
        <v>42972</v>
      </c>
      <c r="H3945" s="26" t="n">
        <f aca="false">G3945-F3945</f>
        <v>81</v>
      </c>
      <c r="I3945" s="10" t="n">
        <f aca="false">IF(E3945="Won",1,0)</f>
        <v>1</v>
      </c>
    </row>
    <row r="3946" customFormat="false" ht="15" hidden="false" customHeight="false" outlineLevel="0" collapsed="false">
      <c r="A3946" s="10" t="s">
        <v>6287</v>
      </c>
      <c r="B3946" s="10" t="s">
        <v>94</v>
      </c>
      <c r="C3946" s="10" t="s">
        <v>51</v>
      </c>
      <c r="D3946" s="10" t="s">
        <v>172</v>
      </c>
      <c r="E3946" s="10" t="s">
        <v>2345</v>
      </c>
      <c r="F3946" s="30" t="n">
        <v>42865</v>
      </c>
      <c r="G3946" s="30" t="n">
        <v>42972</v>
      </c>
      <c r="H3946" s="26" t="n">
        <f aca="false">G3946-F3946</f>
        <v>107</v>
      </c>
      <c r="I3946" s="10" t="n">
        <f aca="false">IF(E3946="Won",1,0)</f>
        <v>0</v>
      </c>
    </row>
    <row r="3947" customFormat="false" ht="15" hidden="false" customHeight="false" outlineLevel="0" collapsed="false">
      <c r="A3947" s="10" t="s">
        <v>6288</v>
      </c>
      <c r="B3947" s="10" t="s">
        <v>62</v>
      </c>
      <c r="C3947" s="10" t="s">
        <v>50</v>
      </c>
      <c r="D3947" s="10" t="s">
        <v>254</v>
      </c>
      <c r="E3947" s="10" t="s">
        <v>2342</v>
      </c>
      <c r="F3947" s="30" t="n">
        <v>42860</v>
      </c>
      <c r="G3947" s="30" t="n">
        <v>42972</v>
      </c>
      <c r="H3947" s="26" t="n">
        <f aca="false">G3947-F3947</f>
        <v>112</v>
      </c>
      <c r="I3947" s="10" t="n">
        <f aca="false">IF(E3947="Won",1,0)</f>
        <v>1</v>
      </c>
    </row>
    <row r="3948" customFormat="false" ht="15" hidden="false" customHeight="false" outlineLevel="0" collapsed="false">
      <c r="A3948" s="10" t="s">
        <v>6289</v>
      </c>
      <c r="B3948" s="10" t="s">
        <v>83</v>
      </c>
      <c r="C3948" s="10" t="s">
        <v>47</v>
      </c>
      <c r="D3948" s="10" t="s">
        <v>291</v>
      </c>
      <c r="E3948" s="10" t="s">
        <v>2342</v>
      </c>
      <c r="F3948" s="30" t="n">
        <v>42957</v>
      </c>
      <c r="G3948" s="30" t="n">
        <v>42972</v>
      </c>
      <c r="H3948" s="26" t="n">
        <f aca="false">G3948-F3948</f>
        <v>15</v>
      </c>
      <c r="I3948" s="10" t="n">
        <f aca="false">IF(E3948="Won",1,0)</f>
        <v>1</v>
      </c>
    </row>
    <row r="3949" customFormat="false" ht="15" hidden="false" customHeight="false" outlineLevel="0" collapsed="false">
      <c r="A3949" s="10" t="s">
        <v>6290</v>
      </c>
      <c r="B3949" s="10" t="s">
        <v>83</v>
      </c>
      <c r="C3949" s="10" t="s">
        <v>50</v>
      </c>
      <c r="D3949" s="10" t="s">
        <v>311</v>
      </c>
      <c r="E3949" s="10" t="s">
        <v>2345</v>
      </c>
      <c r="F3949" s="30" t="n">
        <v>42859</v>
      </c>
      <c r="G3949" s="30" t="n">
        <v>42972</v>
      </c>
      <c r="H3949" s="26" t="n">
        <f aca="false">G3949-F3949</f>
        <v>113</v>
      </c>
      <c r="I3949" s="10" t="n">
        <f aca="false">IF(E3949="Won",1,0)</f>
        <v>0</v>
      </c>
    </row>
    <row r="3950" customFormat="false" ht="15" hidden="false" customHeight="false" outlineLevel="0" collapsed="false">
      <c r="A3950" s="10" t="s">
        <v>6291</v>
      </c>
      <c r="B3950" s="10" t="s">
        <v>77</v>
      </c>
      <c r="C3950" s="10" t="s">
        <v>48</v>
      </c>
      <c r="D3950" s="10" t="s">
        <v>597</v>
      </c>
      <c r="E3950" s="10" t="s">
        <v>2345</v>
      </c>
      <c r="F3950" s="30" t="n">
        <v>42894</v>
      </c>
      <c r="G3950" s="30" t="n">
        <v>42972</v>
      </c>
      <c r="H3950" s="26" t="n">
        <f aca="false">G3950-F3950</f>
        <v>78</v>
      </c>
      <c r="I3950" s="10" t="n">
        <f aca="false">IF(E3950="Won",1,0)</f>
        <v>0</v>
      </c>
    </row>
    <row r="3951" customFormat="false" ht="15" hidden="false" customHeight="false" outlineLevel="0" collapsed="false">
      <c r="A3951" s="10" t="s">
        <v>6292</v>
      </c>
      <c r="B3951" s="10" t="s">
        <v>77</v>
      </c>
      <c r="C3951" s="10" t="s">
        <v>49</v>
      </c>
      <c r="D3951" s="10" t="s">
        <v>697</v>
      </c>
      <c r="E3951" s="10" t="s">
        <v>2342</v>
      </c>
      <c r="F3951" s="30" t="n">
        <v>42900</v>
      </c>
      <c r="G3951" s="30" t="n">
        <v>42972</v>
      </c>
      <c r="H3951" s="26" t="n">
        <f aca="false">G3951-F3951</f>
        <v>72</v>
      </c>
      <c r="I3951" s="10" t="n">
        <f aca="false">IF(E3951="Won",1,0)</f>
        <v>1</v>
      </c>
    </row>
    <row r="3952" customFormat="false" ht="15" hidden="false" customHeight="false" outlineLevel="0" collapsed="false">
      <c r="A3952" s="10" t="s">
        <v>6293</v>
      </c>
      <c r="B3952" s="10" t="s">
        <v>84</v>
      </c>
      <c r="C3952" s="10" t="s">
        <v>47</v>
      </c>
      <c r="D3952" s="10" t="s">
        <v>286</v>
      </c>
      <c r="E3952" s="10" t="s">
        <v>2342</v>
      </c>
      <c r="F3952" s="30" t="n">
        <v>42858</v>
      </c>
      <c r="G3952" s="30" t="n">
        <v>42972</v>
      </c>
      <c r="H3952" s="26" t="n">
        <f aca="false">G3952-F3952</f>
        <v>114</v>
      </c>
      <c r="I3952" s="10" t="n">
        <f aca="false">IF(E3952="Won",1,0)</f>
        <v>1</v>
      </c>
    </row>
    <row r="3953" customFormat="false" ht="15" hidden="false" customHeight="false" outlineLevel="0" collapsed="false">
      <c r="A3953" s="10" t="s">
        <v>6294</v>
      </c>
      <c r="B3953" s="10" t="s">
        <v>77</v>
      </c>
      <c r="C3953" s="10" t="s">
        <v>47</v>
      </c>
      <c r="D3953" s="10" t="s">
        <v>762</v>
      </c>
      <c r="E3953" s="10" t="s">
        <v>2342</v>
      </c>
      <c r="F3953" s="30" t="n">
        <v>42903</v>
      </c>
      <c r="G3953" s="30" t="n">
        <v>42972</v>
      </c>
      <c r="H3953" s="26" t="n">
        <f aca="false">G3953-F3953</f>
        <v>69</v>
      </c>
      <c r="I3953" s="10" t="n">
        <f aca="false">IF(E3953="Won",1,0)</f>
        <v>1</v>
      </c>
    </row>
    <row r="3954" customFormat="false" ht="15" hidden="false" customHeight="false" outlineLevel="0" collapsed="false">
      <c r="A3954" s="10" t="s">
        <v>6295</v>
      </c>
      <c r="B3954" s="10" t="s">
        <v>80</v>
      </c>
      <c r="C3954" s="10" t="s">
        <v>48</v>
      </c>
      <c r="D3954" s="10" t="s">
        <v>869</v>
      </c>
      <c r="E3954" s="10" t="s">
        <v>2345</v>
      </c>
      <c r="F3954" s="30" t="n">
        <v>42859</v>
      </c>
      <c r="G3954" s="30" t="n">
        <v>42972</v>
      </c>
      <c r="H3954" s="26" t="n">
        <f aca="false">G3954-F3954</f>
        <v>113</v>
      </c>
      <c r="I3954" s="10" t="n">
        <f aca="false">IF(E3954="Won",1,0)</f>
        <v>0</v>
      </c>
    </row>
    <row r="3955" customFormat="false" ht="15" hidden="false" customHeight="false" outlineLevel="0" collapsed="false">
      <c r="A3955" s="10" t="s">
        <v>6296</v>
      </c>
      <c r="B3955" s="10" t="s">
        <v>67</v>
      </c>
      <c r="C3955" s="10" t="s">
        <v>50</v>
      </c>
      <c r="D3955" s="10" t="s">
        <v>313</v>
      </c>
      <c r="E3955" s="10" t="s">
        <v>2345</v>
      </c>
      <c r="F3955" s="30" t="n">
        <v>42954</v>
      </c>
      <c r="G3955" s="30" t="n">
        <v>42973</v>
      </c>
      <c r="H3955" s="26" t="n">
        <f aca="false">G3955-F3955</f>
        <v>19</v>
      </c>
      <c r="I3955" s="10" t="n">
        <f aca="false">IF(E3955="Won",1,0)</f>
        <v>0</v>
      </c>
    </row>
    <row r="3956" customFormat="false" ht="15" hidden="false" customHeight="false" outlineLevel="0" collapsed="false">
      <c r="A3956" s="10" t="s">
        <v>6297</v>
      </c>
      <c r="B3956" s="10" t="s">
        <v>73</v>
      </c>
      <c r="C3956" s="10" t="s">
        <v>52</v>
      </c>
      <c r="D3956" s="10" t="s">
        <v>697</v>
      </c>
      <c r="E3956" s="10" t="s">
        <v>2342</v>
      </c>
      <c r="F3956" s="30" t="n">
        <v>42970</v>
      </c>
      <c r="G3956" s="30" t="n">
        <v>42973</v>
      </c>
      <c r="H3956" s="26" t="n">
        <f aca="false">G3956-F3956</f>
        <v>3</v>
      </c>
      <c r="I3956" s="10" t="n">
        <f aca="false">IF(E3956="Won",1,0)</f>
        <v>1</v>
      </c>
    </row>
    <row r="3957" customFormat="false" ht="15" hidden="false" customHeight="false" outlineLevel="0" collapsed="false">
      <c r="A3957" s="10" t="s">
        <v>6298</v>
      </c>
      <c r="B3957" s="10" t="s">
        <v>62</v>
      </c>
      <c r="C3957" s="10" t="s">
        <v>51</v>
      </c>
      <c r="D3957" s="10" t="s">
        <v>674</v>
      </c>
      <c r="E3957" s="10" t="s">
        <v>2342</v>
      </c>
      <c r="F3957" s="30" t="n">
        <v>42968</v>
      </c>
      <c r="G3957" s="30" t="n">
        <v>42973</v>
      </c>
      <c r="H3957" s="26" t="n">
        <f aca="false">G3957-F3957</f>
        <v>5</v>
      </c>
      <c r="I3957" s="10" t="n">
        <f aca="false">IF(E3957="Won",1,0)</f>
        <v>1</v>
      </c>
    </row>
    <row r="3958" customFormat="false" ht="15" hidden="false" customHeight="false" outlineLevel="0" collapsed="false">
      <c r="A3958" s="10" t="s">
        <v>6299</v>
      </c>
      <c r="B3958" s="10" t="s">
        <v>71</v>
      </c>
      <c r="C3958" s="10" t="s">
        <v>52</v>
      </c>
      <c r="D3958" s="10" t="s">
        <v>762</v>
      </c>
      <c r="E3958" s="10" t="s">
        <v>2345</v>
      </c>
      <c r="F3958" s="30" t="n">
        <v>42848</v>
      </c>
      <c r="G3958" s="30" t="n">
        <v>42973</v>
      </c>
      <c r="H3958" s="26" t="n">
        <f aca="false">G3958-F3958</f>
        <v>125</v>
      </c>
      <c r="I3958" s="10" t="n">
        <f aca="false">IF(E3958="Won",1,0)</f>
        <v>0</v>
      </c>
    </row>
    <row r="3959" customFormat="false" ht="15" hidden="false" customHeight="false" outlineLevel="0" collapsed="false">
      <c r="A3959" s="10" t="s">
        <v>6300</v>
      </c>
      <c r="B3959" s="10" t="s">
        <v>77</v>
      </c>
      <c r="C3959" s="10" t="s">
        <v>49</v>
      </c>
      <c r="D3959" s="10" t="s">
        <v>512</v>
      </c>
      <c r="E3959" s="10" t="s">
        <v>2345</v>
      </c>
      <c r="F3959" s="30" t="n">
        <v>42966</v>
      </c>
      <c r="G3959" s="30" t="n">
        <v>42973</v>
      </c>
      <c r="H3959" s="26" t="n">
        <f aca="false">G3959-F3959</f>
        <v>7</v>
      </c>
      <c r="I3959" s="10" t="n">
        <f aca="false">IF(E3959="Won",1,0)</f>
        <v>0</v>
      </c>
    </row>
    <row r="3960" customFormat="false" ht="15" hidden="false" customHeight="false" outlineLevel="0" collapsed="false">
      <c r="A3960" s="10" t="s">
        <v>6301</v>
      </c>
      <c r="B3960" s="10" t="s">
        <v>88</v>
      </c>
      <c r="C3960" s="10" t="s">
        <v>50</v>
      </c>
      <c r="D3960" s="10" t="s">
        <v>674</v>
      </c>
      <c r="E3960" s="10" t="s">
        <v>2345</v>
      </c>
      <c r="F3960" s="30" t="n">
        <v>42848</v>
      </c>
      <c r="G3960" s="30" t="n">
        <v>42973</v>
      </c>
      <c r="H3960" s="26" t="n">
        <f aca="false">G3960-F3960</f>
        <v>125</v>
      </c>
      <c r="I3960" s="10" t="n">
        <f aca="false">IF(E3960="Won",1,0)</f>
        <v>0</v>
      </c>
    </row>
    <row r="3961" customFormat="false" ht="15" hidden="false" customHeight="false" outlineLevel="0" collapsed="false">
      <c r="A3961" s="10" t="s">
        <v>6302</v>
      </c>
      <c r="B3961" s="10" t="s">
        <v>90</v>
      </c>
      <c r="C3961" s="10" t="s">
        <v>49</v>
      </c>
      <c r="D3961" s="10" t="s">
        <v>332</v>
      </c>
      <c r="E3961" s="10" t="s">
        <v>2345</v>
      </c>
      <c r="F3961" s="30" t="n">
        <v>42862</v>
      </c>
      <c r="G3961" s="30" t="n">
        <v>42973</v>
      </c>
      <c r="H3961" s="26" t="n">
        <f aca="false">G3961-F3961</f>
        <v>111</v>
      </c>
      <c r="I3961" s="10" t="n">
        <f aca="false">IF(E3961="Won",1,0)</f>
        <v>0</v>
      </c>
    </row>
    <row r="3962" customFormat="false" ht="15" hidden="false" customHeight="false" outlineLevel="0" collapsed="false">
      <c r="A3962" s="10" t="s">
        <v>6303</v>
      </c>
      <c r="B3962" s="10" t="s">
        <v>83</v>
      </c>
      <c r="C3962" s="10" t="s">
        <v>48</v>
      </c>
      <c r="D3962" s="10" t="s">
        <v>1948</v>
      </c>
      <c r="E3962" s="10" t="s">
        <v>2345</v>
      </c>
      <c r="F3962" s="30" t="n">
        <v>42879</v>
      </c>
      <c r="G3962" s="30" t="n">
        <v>42973</v>
      </c>
      <c r="H3962" s="26" t="n">
        <f aca="false">G3962-F3962</f>
        <v>94</v>
      </c>
      <c r="I3962" s="10" t="n">
        <f aca="false">IF(E3962="Won",1,0)</f>
        <v>0</v>
      </c>
    </row>
    <row r="3963" customFormat="false" ht="15" hidden="false" customHeight="false" outlineLevel="0" collapsed="false">
      <c r="A3963" s="10" t="s">
        <v>6304</v>
      </c>
      <c r="B3963" s="10" t="s">
        <v>88</v>
      </c>
      <c r="C3963" s="10" t="s">
        <v>50</v>
      </c>
      <c r="D3963" s="10" t="s">
        <v>637</v>
      </c>
      <c r="E3963" s="10" t="s">
        <v>2342</v>
      </c>
      <c r="F3963" s="30" t="n">
        <v>42860</v>
      </c>
      <c r="G3963" s="30" t="n">
        <v>42973</v>
      </c>
      <c r="H3963" s="26" t="n">
        <f aca="false">G3963-F3963</f>
        <v>113</v>
      </c>
      <c r="I3963" s="10" t="n">
        <f aca="false">IF(E3963="Won",1,0)</f>
        <v>1</v>
      </c>
    </row>
    <row r="3964" customFormat="false" ht="15" hidden="false" customHeight="false" outlineLevel="0" collapsed="false">
      <c r="A3964" s="10" t="s">
        <v>6305</v>
      </c>
      <c r="B3964" s="10" t="s">
        <v>93</v>
      </c>
      <c r="C3964" s="10" t="s">
        <v>50</v>
      </c>
      <c r="D3964" s="10" t="s">
        <v>497</v>
      </c>
      <c r="E3964" s="10" t="s">
        <v>2345</v>
      </c>
      <c r="F3964" s="30" t="n">
        <v>42931</v>
      </c>
      <c r="G3964" s="30" t="n">
        <v>42973</v>
      </c>
      <c r="H3964" s="26" t="n">
        <f aca="false">G3964-F3964</f>
        <v>42</v>
      </c>
      <c r="I3964" s="10" t="n">
        <f aca="false">IF(E3964="Won",1,0)</f>
        <v>0</v>
      </c>
    </row>
    <row r="3965" customFormat="false" ht="15" hidden="false" customHeight="false" outlineLevel="0" collapsed="false">
      <c r="A3965" s="10" t="s">
        <v>6306</v>
      </c>
      <c r="B3965" s="10" t="s">
        <v>68</v>
      </c>
      <c r="C3965" s="10" t="s">
        <v>49</v>
      </c>
      <c r="D3965" s="10" t="s">
        <v>487</v>
      </c>
      <c r="E3965" s="10" t="s">
        <v>2342</v>
      </c>
      <c r="F3965" s="30" t="n">
        <v>42962</v>
      </c>
      <c r="G3965" s="30" t="n">
        <v>42973</v>
      </c>
      <c r="H3965" s="26" t="n">
        <f aca="false">G3965-F3965</f>
        <v>11</v>
      </c>
      <c r="I3965" s="10" t="n">
        <f aca="false">IF(E3965="Won",1,0)</f>
        <v>1</v>
      </c>
    </row>
    <row r="3966" customFormat="false" ht="15" hidden="false" customHeight="false" outlineLevel="0" collapsed="false">
      <c r="A3966" s="10" t="s">
        <v>6307</v>
      </c>
      <c r="B3966" s="10" t="s">
        <v>68</v>
      </c>
      <c r="C3966" s="10" t="s">
        <v>51</v>
      </c>
      <c r="D3966" s="10" t="s">
        <v>233</v>
      </c>
      <c r="E3966" s="10" t="s">
        <v>2345</v>
      </c>
      <c r="F3966" s="30" t="n">
        <v>42963</v>
      </c>
      <c r="G3966" s="30" t="n">
        <v>42973</v>
      </c>
      <c r="H3966" s="26" t="n">
        <f aca="false">G3966-F3966</f>
        <v>10</v>
      </c>
      <c r="I3966" s="10" t="n">
        <f aca="false">IF(E3966="Won",1,0)</f>
        <v>0</v>
      </c>
    </row>
    <row r="3967" customFormat="false" ht="15" hidden="false" customHeight="false" outlineLevel="0" collapsed="false">
      <c r="A3967" s="10" t="s">
        <v>6308</v>
      </c>
      <c r="B3967" s="10" t="s">
        <v>86</v>
      </c>
      <c r="C3967" s="10" t="s">
        <v>52</v>
      </c>
      <c r="D3967" s="10" t="s">
        <v>215</v>
      </c>
      <c r="E3967" s="10" t="s">
        <v>2345</v>
      </c>
      <c r="F3967" s="30" t="n">
        <v>42966</v>
      </c>
      <c r="G3967" s="30" t="n">
        <v>42973</v>
      </c>
      <c r="H3967" s="26" t="n">
        <f aca="false">G3967-F3967</f>
        <v>7</v>
      </c>
      <c r="I3967" s="10" t="n">
        <f aca="false">IF(E3967="Won",1,0)</f>
        <v>0</v>
      </c>
    </row>
    <row r="3968" customFormat="false" ht="15" hidden="false" customHeight="false" outlineLevel="0" collapsed="false">
      <c r="A3968" s="10" t="s">
        <v>6309</v>
      </c>
      <c r="B3968" s="10" t="s">
        <v>84</v>
      </c>
      <c r="C3968" s="10" t="s">
        <v>47</v>
      </c>
      <c r="D3968" s="10" t="s">
        <v>405</v>
      </c>
      <c r="E3968" s="10" t="s">
        <v>2345</v>
      </c>
      <c r="F3968" s="30" t="n">
        <v>42965</v>
      </c>
      <c r="G3968" s="30" t="n">
        <v>42973</v>
      </c>
      <c r="H3968" s="26" t="n">
        <f aca="false">G3968-F3968</f>
        <v>8</v>
      </c>
      <c r="I3968" s="10" t="n">
        <f aca="false">IF(E3968="Won",1,0)</f>
        <v>0</v>
      </c>
    </row>
    <row r="3969" customFormat="false" ht="15" hidden="false" customHeight="false" outlineLevel="0" collapsed="false">
      <c r="A3969" s="10" t="s">
        <v>6310</v>
      </c>
      <c r="B3969" s="10" t="s">
        <v>76</v>
      </c>
      <c r="C3969" s="10" t="s">
        <v>52</v>
      </c>
      <c r="D3969" s="10" t="s">
        <v>1251</v>
      </c>
      <c r="E3969" s="10" t="s">
        <v>2345</v>
      </c>
      <c r="F3969" s="30" t="n">
        <v>42908</v>
      </c>
      <c r="G3969" s="30" t="n">
        <v>42973</v>
      </c>
      <c r="H3969" s="26" t="n">
        <f aca="false">G3969-F3969</f>
        <v>65</v>
      </c>
      <c r="I3969" s="10" t="n">
        <f aca="false">IF(E3969="Won",1,0)</f>
        <v>0</v>
      </c>
    </row>
    <row r="3970" customFormat="false" ht="15" hidden="false" customHeight="false" outlineLevel="0" collapsed="false">
      <c r="A3970" s="10" t="s">
        <v>6311</v>
      </c>
      <c r="B3970" s="10" t="s">
        <v>66</v>
      </c>
      <c r="C3970" s="10" t="s">
        <v>49</v>
      </c>
      <c r="D3970" s="10" t="s">
        <v>506</v>
      </c>
      <c r="E3970" s="10" t="s">
        <v>2345</v>
      </c>
      <c r="F3970" s="30" t="n">
        <v>42886</v>
      </c>
      <c r="G3970" s="30" t="n">
        <v>42973</v>
      </c>
      <c r="H3970" s="26" t="n">
        <f aca="false">G3970-F3970</f>
        <v>87</v>
      </c>
      <c r="I3970" s="10" t="n">
        <f aca="false">IF(E3970="Won",1,0)</f>
        <v>0</v>
      </c>
    </row>
    <row r="3971" customFormat="false" ht="15" hidden="false" customHeight="false" outlineLevel="0" collapsed="false">
      <c r="A3971" s="10" t="s">
        <v>6312</v>
      </c>
      <c r="B3971" s="10" t="s">
        <v>77</v>
      </c>
      <c r="C3971" s="10" t="s">
        <v>50</v>
      </c>
      <c r="D3971" s="10" t="s">
        <v>193</v>
      </c>
      <c r="E3971" s="10" t="s">
        <v>2345</v>
      </c>
      <c r="F3971" s="30" t="n">
        <v>42895</v>
      </c>
      <c r="G3971" s="30" t="n">
        <v>42973</v>
      </c>
      <c r="H3971" s="26" t="n">
        <f aca="false">G3971-F3971</f>
        <v>78</v>
      </c>
      <c r="I3971" s="10" t="n">
        <f aca="false">IF(E3971="Won",1,0)</f>
        <v>0</v>
      </c>
    </row>
    <row r="3972" customFormat="false" ht="15" hidden="false" customHeight="false" outlineLevel="0" collapsed="false">
      <c r="A3972" s="10" t="s">
        <v>6313</v>
      </c>
      <c r="B3972" s="10" t="s">
        <v>96</v>
      </c>
      <c r="C3972" s="10" t="s">
        <v>48</v>
      </c>
      <c r="D3972" s="10" t="s">
        <v>437</v>
      </c>
      <c r="E3972" s="10" t="s">
        <v>2345</v>
      </c>
      <c r="F3972" s="30" t="n">
        <v>42894</v>
      </c>
      <c r="G3972" s="30" t="n">
        <v>42973</v>
      </c>
      <c r="H3972" s="26" t="n">
        <f aca="false">G3972-F3972</f>
        <v>79</v>
      </c>
      <c r="I3972" s="10" t="n">
        <f aca="false">IF(E3972="Won",1,0)</f>
        <v>0</v>
      </c>
    </row>
    <row r="3973" customFormat="false" ht="15" hidden="false" customHeight="false" outlineLevel="0" collapsed="false">
      <c r="A3973" s="10" t="s">
        <v>6314</v>
      </c>
      <c r="B3973" s="10" t="s">
        <v>81</v>
      </c>
      <c r="C3973" s="10" t="s">
        <v>47</v>
      </c>
      <c r="D3973" s="10" t="s">
        <v>321</v>
      </c>
      <c r="E3973" s="10" t="s">
        <v>2342</v>
      </c>
      <c r="F3973" s="30" t="n">
        <v>42912</v>
      </c>
      <c r="G3973" s="30" t="n">
        <v>42973</v>
      </c>
      <c r="H3973" s="26" t="n">
        <f aca="false">G3973-F3973</f>
        <v>61</v>
      </c>
      <c r="I3973" s="10" t="n">
        <f aca="false">IF(E3973="Won",1,0)</f>
        <v>1</v>
      </c>
    </row>
    <row r="3974" customFormat="false" ht="15" hidden="false" customHeight="false" outlineLevel="0" collapsed="false">
      <c r="A3974" s="10" t="s">
        <v>6315</v>
      </c>
      <c r="B3974" s="10" t="s">
        <v>97</v>
      </c>
      <c r="C3974" s="10" t="s">
        <v>48</v>
      </c>
      <c r="D3974" s="10" t="s">
        <v>986</v>
      </c>
      <c r="E3974" s="10" t="s">
        <v>2342</v>
      </c>
      <c r="F3974" s="30" t="n">
        <v>42918</v>
      </c>
      <c r="G3974" s="30" t="n">
        <v>42973</v>
      </c>
      <c r="H3974" s="26" t="n">
        <f aca="false">G3974-F3974</f>
        <v>55</v>
      </c>
      <c r="I3974" s="10" t="n">
        <f aca="false">IF(E3974="Won",1,0)</f>
        <v>1</v>
      </c>
    </row>
    <row r="3975" customFormat="false" ht="15" hidden="false" customHeight="false" outlineLevel="0" collapsed="false">
      <c r="A3975" s="10" t="s">
        <v>6316</v>
      </c>
      <c r="B3975" s="10" t="s">
        <v>84</v>
      </c>
      <c r="C3975" s="10" t="s">
        <v>48</v>
      </c>
      <c r="D3975" s="10" t="s">
        <v>1334</v>
      </c>
      <c r="E3975" s="10" t="s">
        <v>2342</v>
      </c>
      <c r="F3975" s="30" t="n">
        <v>42919</v>
      </c>
      <c r="G3975" s="30" t="n">
        <v>42973</v>
      </c>
      <c r="H3975" s="26" t="n">
        <f aca="false">G3975-F3975</f>
        <v>54</v>
      </c>
      <c r="I3975" s="10" t="n">
        <f aca="false">IF(E3975="Won",1,0)</f>
        <v>1</v>
      </c>
    </row>
    <row r="3976" customFormat="false" ht="15" hidden="false" customHeight="false" outlineLevel="0" collapsed="false">
      <c r="A3976" s="10" t="s">
        <v>6317</v>
      </c>
      <c r="B3976" s="10" t="s">
        <v>77</v>
      </c>
      <c r="C3976" s="10" t="s">
        <v>50</v>
      </c>
      <c r="D3976" s="10" t="s">
        <v>524</v>
      </c>
      <c r="E3976" s="10" t="s">
        <v>2342</v>
      </c>
      <c r="F3976" s="30" t="n">
        <v>42896</v>
      </c>
      <c r="G3976" s="30" t="n">
        <v>42973</v>
      </c>
      <c r="H3976" s="26" t="n">
        <f aca="false">G3976-F3976</f>
        <v>77</v>
      </c>
      <c r="I3976" s="10" t="n">
        <f aca="false">IF(E3976="Won",1,0)</f>
        <v>1</v>
      </c>
    </row>
    <row r="3977" customFormat="false" ht="15" hidden="false" customHeight="false" outlineLevel="0" collapsed="false">
      <c r="A3977" s="10" t="s">
        <v>6318</v>
      </c>
      <c r="B3977" s="10" t="s">
        <v>63</v>
      </c>
      <c r="C3977" s="10" t="s">
        <v>52</v>
      </c>
      <c r="D3977" s="10" t="s">
        <v>441</v>
      </c>
      <c r="E3977" s="10" t="s">
        <v>2342</v>
      </c>
      <c r="F3977" s="30" t="n">
        <v>42892</v>
      </c>
      <c r="G3977" s="30" t="n">
        <v>42973</v>
      </c>
      <c r="H3977" s="26" t="n">
        <f aca="false">G3977-F3977</f>
        <v>81</v>
      </c>
      <c r="I3977" s="10" t="n">
        <f aca="false">IF(E3977="Won",1,0)</f>
        <v>1</v>
      </c>
    </row>
    <row r="3978" customFormat="false" ht="15" hidden="false" customHeight="false" outlineLevel="0" collapsed="false">
      <c r="A3978" s="10" t="s">
        <v>6319</v>
      </c>
      <c r="B3978" s="10" t="s">
        <v>60</v>
      </c>
      <c r="C3978" s="10" t="s">
        <v>49</v>
      </c>
      <c r="D3978" s="10" t="s">
        <v>616</v>
      </c>
      <c r="E3978" s="10" t="s">
        <v>2342</v>
      </c>
      <c r="F3978" s="30" t="n">
        <v>42899</v>
      </c>
      <c r="G3978" s="30" t="n">
        <v>42974</v>
      </c>
      <c r="H3978" s="26" t="n">
        <f aca="false">G3978-F3978</f>
        <v>75</v>
      </c>
      <c r="I3978" s="10" t="n">
        <f aca="false">IF(E3978="Won",1,0)</f>
        <v>1</v>
      </c>
    </row>
    <row r="3979" customFormat="false" ht="15" hidden="false" customHeight="false" outlineLevel="0" collapsed="false">
      <c r="A3979" s="10" t="s">
        <v>6320</v>
      </c>
      <c r="B3979" s="10" t="s">
        <v>81</v>
      </c>
      <c r="C3979" s="10" t="s">
        <v>50</v>
      </c>
      <c r="D3979" s="10" t="s">
        <v>961</v>
      </c>
      <c r="E3979" s="10" t="s">
        <v>2342</v>
      </c>
      <c r="F3979" s="30" t="n">
        <v>42957</v>
      </c>
      <c r="G3979" s="30" t="n">
        <v>42974</v>
      </c>
      <c r="H3979" s="26" t="n">
        <f aca="false">G3979-F3979</f>
        <v>17</v>
      </c>
      <c r="I3979" s="10" t="n">
        <f aca="false">IF(E3979="Won",1,0)</f>
        <v>1</v>
      </c>
    </row>
    <row r="3980" customFormat="false" ht="15" hidden="false" customHeight="false" outlineLevel="0" collapsed="false">
      <c r="A3980" s="10" t="s">
        <v>6321</v>
      </c>
      <c r="B3980" s="10" t="s">
        <v>74</v>
      </c>
      <c r="C3980" s="10" t="s">
        <v>50</v>
      </c>
      <c r="D3980" s="10" t="s">
        <v>697</v>
      </c>
      <c r="E3980" s="10" t="s">
        <v>2345</v>
      </c>
      <c r="F3980" s="30" t="n">
        <v>42911</v>
      </c>
      <c r="G3980" s="30" t="n">
        <v>42974</v>
      </c>
      <c r="H3980" s="26" t="n">
        <f aca="false">G3980-F3980</f>
        <v>63</v>
      </c>
      <c r="I3980" s="10" t="n">
        <f aca="false">IF(E3980="Won",1,0)</f>
        <v>0</v>
      </c>
    </row>
    <row r="3981" customFormat="false" ht="15" hidden="false" customHeight="false" outlineLevel="0" collapsed="false">
      <c r="A3981" s="10" t="s">
        <v>6322</v>
      </c>
      <c r="B3981" s="10" t="s">
        <v>86</v>
      </c>
      <c r="C3981" s="10" t="s">
        <v>51</v>
      </c>
      <c r="D3981" s="10" t="s">
        <v>350</v>
      </c>
      <c r="E3981" s="10" t="s">
        <v>2342</v>
      </c>
      <c r="F3981" s="30" t="n">
        <v>42955</v>
      </c>
      <c r="G3981" s="30" t="n">
        <v>42974</v>
      </c>
      <c r="H3981" s="26" t="n">
        <f aca="false">G3981-F3981</f>
        <v>19</v>
      </c>
      <c r="I3981" s="10" t="n">
        <f aca="false">IF(E3981="Won",1,0)</f>
        <v>1</v>
      </c>
    </row>
    <row r="3982" customFormat="false" ht="15" hidden="false" customHeight="false" outlineLevel="0" collapsed="false">
      <c r="A3982" s="10" t="s">
        <v>6323</v>
      </c>
      <c r="B3982" s="10" t="s">
        <v>77</v>
      </c>
      <c r="C3982" s="10" t="s">
        <v>48</v>
      </c>
      <c r="D3982" s="10" t="s">
        <v>259</v>
      </c>
      <c r="E3982" s="10" t="s">
        <v>2345</v>
      </c>
      <c r="F3982" s="30" t="n">
        <v>42874</v>
      </c>
      <c r="G3982" s="30" t="n">
        <v>42974</v>
      </c>
      <c r="H3982" s="26" t="n">
        <f aca="false">G3982-F3982</f>
        <v>100</v>
      </c>
      <c r="I3982" s="10" t="n">
        <f aca="false">IF(E3982="Won",1,0)</f>
        <v>0</v>
      </c>
    </row>
    <row r="3983" customFormat="false" ht="15" hidden="false" customHeight="false" outlineLevel="0" collapsed="false">
      <c r="A3983" s="10" t="s">
        <v>6324</v>
      </c>
      <c r="B3983" s="10" t="s">
        <v>70</v>
      </c>
      <c r="C3983" s="10" t="s">
        <v>52</v>
      </c>
      <c r="D3983" s="10" t="s">
        <v>396</v>
      </c>
      <c r="E3983" s="10" t="s">
        <v>2345</v>
      </c>
      <c r="F3983" s="30" t="n">
        <v>42973</v>
      </c>
      <c r="G3983" s="30" t="n">
        <v>42974</v>
      </c>
      <c r="H3983" s="26" t="n">
        <f aca="false">G3983-F3983</f>
        <v>1</v>
      </c>
      <c r="I3983" s="10" t="n">
        <f aca="false">IF(E3983="Won",1,0)</f>
        <v>0</v>
      </c>
    </row>
    <row r="3984" customFormat="false" ht="15" hidden="false" customHeight="false" outlineLevel="0" collapsed="false">
      <c r="A3984" s="10" t="s">
        <v>6325</v>
      </c>
      <c r="B3984" s="10" t="s">
        <v>62</v>
      </c>
      <c r="C3984" s="10" t="s">
        <v>52</v>
      </c>
      <c r="D3984" s="10" t="s">
        <v>274</v>
      </c>
      <c r="E3984" s="10" t="s">
        <v>2345</v>
      </c>
      <c r="F3984" s="30" t="n">
        <v>42973</v>
      </c>
      <c r="G3984" s="30" t="n">
        <v>42974</v>
      </c>
      <c r="H3984" s="26" t="n">
        <f aca="false">G3984-F3984</f>
        <v>1</v>
      </c>
      <c r="I3984" s="10" t="n">
        <f aca="false">IF(E3984="Won",1,0)</f>
        <v>0</v>
      </c>
    </row>
    <row r="3985" customFormat="false" ht="15" hidden="false" customHeight="false" outlineLevel="0" collapsed="false">
      <c r="A3985" s="10" t="s">
        <v>6326</v>
      </c>
      <c r="B3985" s="10" t="s">
        <v>77</v>
      </c>
      <c r="C3985" s="10" t="s">
        <v>48</v>
      </c>
      <c r="D3985" s="10" t="s">
        <v>353</v>
      </c>
      <c r="E3985" s="10" t="s">
        <v>2345</v>
      </c>
      <c r="F3985" s="30" t="n">
        <v>42905</v>
      </c>
      <c r="G3985" s="30" t="n">
        <v>42974</v>
      </c>
      <c r="H3985" s="26" t="n">
        <f aca="false">G3985-F3985</f>
        <v>69</v>
      </c>
      <c r="I3985" s="10" t="n">
        <f aca="false">IF(E3985="Won",1,0)</f>
        <v>0</v>
      </c>
    </row>
    <row r="3986" customFormat="false" ht="15" hidden="false" customHeight="false" outlineLevel="0" collapsed="false">
      <c r="A3986" s="10" t="s">
        <v>6327</v>
      </c>
      <c r="B3986" s="10" t="s">
        <v>60</v>
      </c>
      <c r="C3986" s="10" t="s">
        <v>51</v>
      </c>
      <c r="D3986" s="10" t="s">
        <v>233</v>
      </c>
      <c r="E3986" s="10" t="s">
        <v>2342</v>
      </c>
      <c r="F3986" s="30" t="n">
        <v>42953</v>
      </c>
      <c r="G3986" s="30" t="n">
        <v>42974</v>
      </c>
      <c r="H3986" s="26" t="n">
        <f aca="false">G3986-F3986</f>
        <v>21</v>
      </c>
      <c r="I3986" s="10" t="n">
        <f aca="false">IF(E3986="Won",1,0)</f>
        <v>1</v>
      </c>
    </row>
    <row r="3987" customFormat="false" ht="15" hidden="false" customHeight="false" outlineLevel="0" collapsed="false">
      <c r="A3987" s="10" t="s">
        <v>6328</v>
      </c>
      <c r="B3987" s="10" t="s">
        <v>79</v>
      </c>
      <c r="C3987" s="10" t="s">
        <v>49</v>
      </c>
      <c r="D3987" s="10" t="s">
        <v>512</v>
      </c>
      <c r="E3987" s="10" t="s">
        <v>2342</v>
      </c>
      <c r="F3987" s="30" t="n">
        <v>42907</v>
      </c>
      <c r="G3987" s="30" t="n">
        <v>42974</v>
      </c>
      <c r="H3987" s="26" t="n">
        <f aca="false">G3987-F3987</f>
        <v>67</v>
      </c>
      <c r="I3987" s="10" t="n">
        <f aca="false">IF(E3987="Won",1,0)</f>
        <v>1</v>
      </c>
    </row>
    <row r="3988" customFormat="false" ht="15" hidden="false" customHeight="false" outlineLevel="0" collapsed="false">
      <c r="A3988" s="10" t="s">
        <v>6329</v>
      </c>
      <c r="B3988" s="10" t="s">
        <v>81</v>
      </c>
      <c r="C3988" s="10" t="s">
        <v>47</v>
      </c>
      <c r="D3988" s="10" t="s">
        <v>697</v>
      </c>
      <c r="E3988" s="10" t="s">
        <v>2345</v>
      </c>
      <c r="F3988" s="30" t="n">
        <v>42962</v>
      </c>
      <c r="G3988" s="30" t="n">
        <v>42974</v>
      </c>
      <c r="H3988" s="26" t="n">
        <f aca="false">G3988-F3988</f>
        <v>12</v>
      </c>
      <c r="I3988" s="10" t="n">
        <f aca="false">IF(E3988="Won",1,0)</f>
        <v>0</v>
      </c>
    </row>
    <row r="3989" customFormat="false" ht="15" hidden="false" customHeight="false" outlineLevel="0" collapsed="false">
      <c r="A3989" s="10" t="s">
        <v>6330</v>
      </c>
      <c r="B3989" s="10" t="s">
        <v>80</v>
      </c>
      <c r="C3989" s="10" t="s">
        <v>52</v>
      </c>
      <c r="D3989" s="10" t="s">
        <v>259</v>
      </c>
      <c r="E3989" s="10" t="s">
        <v>2345</v>
      </c>
      <c r="F3989" s="30" t="n">
        <v>42917</v>
      </c>
      <c r="G3989" s="30" t="n">
        <v>42974</v>
      </c>
      <c r="H3989" s="26" t="n">
        <f aca="false">G3989-F3989</f>
        <v>57</v>
      </c>
      <c r="I3989" s="10" t="n">
        <f aca="false">IF(E3989="Won",1,0)</f>
        <v>0</v>
      </c>
    </row>
    <row r="3990" customFormat="false" ht="15" hidden="false" customHeight="false" outlineLevel="0" collapsed="false">
      <c r="A3990" s="10" t="s">
        <v>6331</v>
      </c>
      <c r="B3990" s="10" t="s">
        <v>96</v>
      </c>
      <c r="C3990" s="10" t="s">
        <v>50</v>
      </c>
      <c r="D3990" s="10" t="s">
        <v>168</v>
      </c>
      <c r="E3990" s="10" t="s">
        <v>2342</v>
      </c>
      <c r="F3990" s="30" t="n">
        <v>42970</v>
      </c>
      <c r="G3990" s="30" t="n">
        <v>42974</v>
      </c>
      <c r="H3990" s="26" t="n">
        <f aca="false">G3990-F3990</f>
        <v>4</v>
      </c>
      <c r="I3990" s="10" t="n">
        <f aca="false">IF(E3990="Won",1,0)</f>
        <v>1</v>
      </c>
    </row>
    <row r="3991" customFormat="false" ht="15" hidden="false" customHeight="false" outlineLevel="0" collapsed="false">
      <c r="A3991" s="10" t="s">
        <v>6332</v>
      </c>
      <c r="B3991" s="10" t="s">
        <v>88</v>
      </c>
      <c r="C3991" s="10" t="s">
        <v>49</v>
      </c>
      <c r="D3991" s="10" t="s">
        <v>441</v>
      </c>
      <c r="E3991" s="10" t="s">
        <v>2345</v>
      </c>
      <c r="F3991" s="30" t="n">
        <v>42889</v>
      </c>
      <c r="G3991" s="30" t="n">
        <v>42974</v>
      </c>
      <c r="H3991" s="26" t="n">
        <f aca="false">G3991-F3991</f>
        <v>85</v>
      </c>
      <c r="I3991" s="10" t="n">
        <f aca="false">IF(E3991="Won",1,0)</f>
        <v>0</v>
      </c>
    </row>
    <row r="3992" customFormat="false" ht="15" hidden="false" customHeight="false" outlineLevel="0" collapsed="false">
      <c r="A3992" s="10" t="s">
        <v>6333</v>
      </c>
      <c r="B3992" s="10" t="s">
        <v>95</v>
      </c>
      <c r="C3992" s="10" t="s">
        <v>52</v>
      </c>
      <c r="D3992" s="10" t="s">
        <v>424</v>
      </c>
      <c r="E3992" s="10" t="s">
        <v>2345</v>
      </c>
      <c r="F3992" s="30" t="n">
        <v>42911</v>
      </c>
      <c r="G3992" s="30" t="n">
        <v>42974</v>
      </c>
      <c r="H3992" s="26" t="n">
        <f aca="false">G3992-F3992</f>
        <v>63</v>
      </c>
      <c r="I3992" s="10" t="n">
        <f aca="false">IF(E3992="Won",1,0)</f>
        <v>0</v>
      </c>
    </row>
    <row r="3993" customFormat="false" ht="15" hidden="false" customHeight="false" outlineLevel="0" collapsed="false">
      <c r="A3993" s="10" t="s">
        <v>6334</v>
      </c>
      <c r="B3993" s="10" t="s">
        <v>68</v>
      </c>
      <c r="C3993" s="10" t="s">
        <v>49</v>
      </c>
      <c r="D3993" s="10" t="s">
        <v>348</v>
      </c>
      <c r="E3993" s="10" t="s">
        <v>2342</v>
      </c>
      <c r="F3993" s="30" t="n">
        <v>42931</v>
      </c>
      <c r="G3993" s="30" t="n">
        <v>42974</v>
      </c>
      <c r="H3993" s="26" t="n">
        <f aca="false">G3993-F3993</f>
        <v>43</v>
      </c>
      <c r="I3993" s="10" t="n">
        <f aca="false">IF(E3993="Won",1,0)</f>
        <v>1</v>
      </c>
    </row>
    <row r="3994" customFormat="false" ht="15" hidden="false" customHeight="false" outlineLevel="0" collapsed="false">
      <c r="A3994" s="10" t="s">
        <v>6335</v>
      </c>
      <c r="B3994" s="10" t="s">
        <v>95</v>
      </c>
      <c r="C3994" s="10" t="s">
        <v>52</v>
      </c>
      <c r="D3994" s="10" t="s">
        <v>384</v>
      </c>
      <c r="E3994" s="10" t="s">
        <v>2342</v>
      </c>
      <c r="F3994" s="30" t="n">
        <v>42890</v>
      </c>
      <c r="G3994" s="30" t="n">
        <v>42974</v>
      </c>
      <c r="H3994" s="26" t="n">
        <f aca="false">G3994-F3994</f>
        <v>84</v>
      </c>
      <c r="I3994" s="10" t="n">
        <f aca="false">IF(E3994="Won",1,0)</f>
        <v>1</v>
      </c>
    </row>
    <row r="3995" customFormat="false" ht="15" hidden="false" customHeight="false" outlineLevel="0" collapsed="false">
      <c r="A3995" s="10" t="s">
        <v>6336</v>
      </c>
      <c r="B3995" s="10" t="s">
        <v>63</v>
      </c>
      <c r="C3995" s="10" t="s">
        <v>47</v>
      </c>
      <c r="D3995" s="10" t="s">
        <v>674</v>
      </c>
      <c r="E3995" s="10" t="s">
        <v>2342</v>
      </c>
      <c r="F3995" s="30" t="n">
        <v>42920</v>
      </c>
      <c r="G3995" s="30" t="n">
        <v>42974</v>
      </c>
      <c r="H3995" s="26" t="n">
        <f aca="false">G3995-F3995</f>
        <v>54</v>
      </c>
      <c r="I3995" s="10" t="n">
        <f aca="false">IF(E3995="Won",1,0)</f>
        <v>1</v>
      </c>
    </row>
    <row r="3996" customFormat="false" ht="15" hidden="false" customHeight="false" outlineLevel="0" collapsed="false">
      <c r="A3996" s="10" t="s">
        <v>6337</v>
      </c>
      <c r="B3996" s="10" t="s">
        <v>80</v>
      </c>
      <c r="C3996" s="10" t="s">
        <v>51</v>
      </c>
      <c r="D3996" s="10" t="s">
        <v>259</v>
      </c>
      <c r="E3996" s="10" t="s">
        <v>2342</v>
      </c>
      <c r="F3996" s="30" t="n">
        <v>42908</v>
      </c>
      <c r="G3996" s="30" t="n">
        <v>42974</v>
      </c>
      <c r="H3996" s="26" t="n">
        <f aca="false">G3996-F3996</f>
        <v>66</v>
      </c>
      <c r="I3996" s="10" t="n">
        <f aca="false">IF(E3996="Won",1,0)</f>
        <v>1</v>
      </c>
    </row>
    <row r="3997" customFormat="false" ht="15" hidden="false" customHeight="false" outlineLevel="0" collapsed="false">
      <c r="A3997" s="10" t="s">
        <v>6338</v>
      </c>
      <c r="B3997" s="10" t="s">
        <v>75</v>
      </c>
      <c r="C3997" s="10" t="s">
        <v>52</v>
      </c>
      <c r="D3997" s="10" t="s">
        <v>597</v>
      </c>
      <c r="E3997" s="10" t="s">
        <v>2342</v>
      </c>
      <c r="F3997" s="30" t="n">
        <v>42886</v>
      </c>
      <c r="G3997" s="30" t="n">
        <v>42974</v>
      </c>
      <c r="H3997" s="26" t="n">
        <f aca="false">G3997-F3997</f>
        <v>88</v>
      </c>
      <c r="I3997" s="10" t="n">
        <f aca="false">IF(E3997="Won",1,0)</f>
        <v>1</v>
      </c>
    </row>
    <row r="3998" customFormat="false" ht="15" hidden="false" customHeight="false" outlineLevel="0" collapsed="false">
      <c r="A3998" s="10" t="s">
        <v>6339</v>
      </c>
      <c r="B3998" s="10" t="s">
        <v>74</v>
      </c>
      <c r="C3998" s="10" t="s">
        <v>49</v>
      </c>
      <c r="D3998" s="10" t="s">
        <v>536</v>
      </c>
      <c r="E3998" s="10" t="s">
        <v>2345</v>
      </c>
      <c r="F3998" s="30" t="n">
        <v>42859</v>
      </c>
      <c r="G3998" s="30" t="n">
        <v>42974</v>
      </c>
      <c r="H3998" s="26" t="n">
        <f aca="false">G3998-F3998</f>
        <v>115</v>
      </c>
      <c r="I3998" s="10" t="n">
        <f aca="false">IF(E3998="Won",1,0)</f>
        <v>0</v>
      </c>
    </row>
    <row r="3999" customFormat="false" ht="15" hidden="false" customHeight="false" outlineLevel="0" collapsed="false">
      <c r="A3999" s="10" t="s">
        <v>6340</v>
      </c>
      <c r="B3999" s="10" t="s">
        <v>57</v>
      </c>
      <c r="C3999" s="10" t="s">
        <v>52</v>
      </c>
      <c r="D3999" s="10" t="s">
        <v>674</v>
      </c>
      <c r="E3999" s="10" t="s">
        <v>2345</v>
      </c>
      <c r="F3999" s="30" t="n">
        <v>42896</v>
      </c>
      <c r="G3999" s="30" t="n">
        <v>42974</v>
      </c>
      <c r="H3999" s="26" t="n">
        <f aca="false">G3999-F3999</f>
        <v>78</v>
      </c>
      <c r="I3999" s="10" t="n">
        <f aca="false">IF(E3999="Won",1,0)</f>
        <v>0</v>
      </c>
    </row>
    <row r="4000" customFormat="false" ht="15" hidden="false" customHeight="false" outlineLevel="0" collapsed="false">
      <c r="A4000" s="10" t="s">
        <v>6341</v>
      </c>
      <c r="B4000" s="10" t="s">
        <v>88</v>
      </c>
      <c r="C4000" s="10" t="s">
        <v>48</v>
      </c>
      <c r="D4000" s="10" t="s">
        <v>405</v>
      </c>
      <c r="E4000" s="10" t="s">
        <v>2345</v>
      </c>
      <c r="F4000" s="30" t="n">
        <v>42894</v>
      </c>
      <c r="G4000" s="30" t="n">
        <v>42974</v>
      </c>
      <c r="H4000" s="26" t="n">
        <f aca="false">G4000-F4000</f>
        <v>80</v>
      </c>
      <c r="I4000" s="10" t="n">
        <f aca="false">IF(E4000="Won",1,0)</f>
        <v>0</v>
      </c>
    </row>
    <row r="4001" customFormat="false" ht="15" hidden="false" customHeight="false" outlineLevel="0" collapsed="false">
      <c r="A4001" s="10" t="s">
        <v>6342</v>
      </c>
      <c r="B4001" s="10" t="s">
        <v>96</v>
      </c>
      <c r="C4001" s="10" t="s">
        <v>50</v>
      </c>
      <c r="D4001" s="10" t="s">
        <v>210</v>
      </c>
      <c r="E4001" s="10" t="s">
        <v>2345</v>
      </c>
      <c r="F4001" s="30" t="n">
        <v>42891</v>
      </c>
      <c r="G4001" s="30" t="n">
        <v>42974</v>
      </c>
      <c r="H4001" s="26" t="n">
        <f aca="false">G4001-F4001</f>
        <v>83</v>
      </c>
      <c r="I4001" s="10" t="n">
        <f aca="false">IF(E4001="Won",1,0)</f>
        <v>0</v>
      </c>
    </row>
    <row r="4002" customFormat="false" ht="15" hidden="false" customHeight="false" outlineLevel="0" collapsed="false">
      <c r="A4002" s="10" t="s">
        <v>6343</v>
      </c>
      <c r="B4002" s="10" t="s">
        <v>80</v>
      </c>
      <c r="C4002" s="10" t="s">
        <v>47</v>
      </c>
      <c r="D4002" s="10" t="s">
        <v>369</v>
      </c>
      <c r="E4002" s="10" t="s">
        <v>2342</v>
      </c>
      <c r="F4002" s="30" t="n">
        <v>42894</v>
      </c>
      <c r="G4002" s="30" t="n">
        <v>42974</v>
      </c>
      <c r="H4002" s="26" t="n">
        <f aca="false">G4002-F4002</f>
        <v>80</v>
      </c>
      <c r="I4002" s="10" t="n">
        <f aca="false">IF(E4002="Won",1,0)</f>
        <v>1</v>
      </c>
    </row>
    <row r="4003" customFormat="false" ht="15" hidden="false" customHeight="false" outlineLevel="0" collapsed="false">
      <c r="A4003" s="10" t="s">
        <v>6344</v>
      </c>
      <c r="B4003" s="10" t="s">
        <v>86</v>
      </c>
      <c r="C4003" s="10" t="s">
        <v>48</v>
      </c>
      <c r="D4003" s="10" t="s">
        <v>455</v>
      </c>
      <c r="E4003" s="10" t="s">
        <v>2342</v>
      </c>
      <c r="F4003" s="30" t="n">
        <v>42891</v>
      </c>
      <c r="G4003" s="30" t="n">
        <v>42974</v>
      </c>
      <c r="H4003" s="26" t="n">
        <f aca="false">G4003-F4003</f>
        <v>83</v>
      </c>
      <c r="I4003" s="10" t="n">
        <f aca="false">IF(E4003="Won",1,0)</f>
        <v>1</v>
      </c>
    </row>
    <row r="4004" customFormat="false" ht="15" hidden="false" customHeight="false" outlineLevel="0" collapsed="false">
      <c r="A4004" s="10" t="s">
        <v>6345</v>
      </c>
      <c r="B4004" s="10" t="s">
        <v>95</v>
      </c>
      <c r="C4004" s="10" t="s">
        <v>51</v>
      </c>
      <c r="D4004" s="10" t="s">
        <v>522</v>
      </c>
      <c r="E4004" s="10" t="s">
        <v>2342</v>
      </c>
      <c r="F4004" s="30" t="n">
        <v>42930</v>
      </c>
      <c r="G4004" s="30" t="n">
        <v>42974</v>
      </c>
      <c r="H4004" s="26" t="n">
        <f aca="false">G4004-F4004</f>
        <v>44</v>
      </c>
      <c r="I4004" s="10" t="n">
        <f aca="false">IF(E4004="Won",1,0)</f>
        <v>1</v>
      </c>
    </row>
    <row r="4005" customFormat="false" ht="15" hidden="false" customHeight="false" outlineLevel="0" collapsed="false">
      <c r="A4005" s="10" t="s">
        <v>6346</v>
      </c>
      <c r="B4005" s="10" t="s">
        <v>96</v>
      </c>
      <c r="C4005" s="10" t="s">
        <v>50</v>
      </c>
      <c r="D4005" s="10" t="s">
        <v>497</v>
      </c>
      <c r="E4005" s="10" t="s">
        <v>2345</v>
      </c>
      <c r="F4005" s="30" t="n">
        <v>42961</v>
      </c>
      <c r="G4005" s="30" t="n">
        <v>42975</v>
      </c>
      <c r="H4005" s="26" t="n">
        <f aca="false">G4005-F4005</f>
        <v>14</v>
      </c>
      <c r="I4005" s="10" t="n">
        <f aca="false">IF(E4005="Won",1,0)</f>
        <v>0</v>
      </c>
    </row>
    <row r="4006" customFormat="false" ht="15" hidden="false" customHeight="false" outlineLevel="0" collapsed="false">
      <c r="A4006" s="10" t="s">
        <v>6347</v>
      </c>
      <c r="B4006" s="10" t="s">
        <v>79</v>
      </c>
      <c r="C4006" s="10" t="s">
        <v>50</v>
      </c>
      <c r="D4006" s="10" t="s">
        <v>311</v>
      </c>
      <c r="E4006" s="10" t="s">
        <v>2342</v>
      </c>
      <c r="F4006" s="30" t="n">
        <v>42925</v>
      </c>
      <c r="G4006" s="30" t="n">
        <v>42975</v>
      </c>
      <c r="H4006" s="26" t="n">
        <f aca="false">G4006-F4006</f>
        <v>50</v>
      </c>
      <c r="I4006" s="10" t="n">
        <f aca="false">IF(E4006="Won",1,0)</f>
        <v>1</v>
      </c>
    </row>
    <row r="4007" customFormat="false" ht="15" hidden="false" customHeight="false" outlineLevel="0" collapsed="false">
      <c r="A4007" s="10" t="s">
        <v>6348</v>
      </c>
      <c r="B4007" s="10" t="s">
        <v>75</v>
      </c>
      <c r="C4007" s="10" t="s">
        <v>49</v>
      </c>
      <c r="D4007" s="10" t="s">
        <v>524</v>
      </c>
      <c r="E4007" s="10" t="s">
        <v>2345</v>
      </c>
      <c r="F4007" s="30" t="n">
        <v>42964</v>
      </c>
      <c r="G4007" s="30" t="n">
        <v>42975</v>
      </c>
      <c r="H4007" s="26" t="n">
        <f aca="false">G4007-F4007</f>
        <v>11</v>
      </c>
      <c r="I4007" s="10" t="n">
        <f aca="false">IF(E4007="Won",1,0)</f>
        <v>0</v>
      </c>
    </row>
    <row r="4008" customFormat="false" ht="15" hidden="false" customHeight="false" outlineLevel="0" collapsed="false">
      <c r="A4008" s="10" t="s">
        <v>6349</v>
      </c>
      <c r="B4008" s="10" t="s">
        <v>57</v>
      </c>
      <c r="C4008" s="10" t="s">
        <v>49</v>
      </c>
      <c r="D4008" s="10" t="s">
        <v>210</v>
      </c>
      <c r="E4008" s="10" t="s">
        <v>2345</v>
      </c>
      <c r="F4008" s="30" t="n">
        <v>42962</v>
      </c>
      <c r="G4008" s="30" t="n">
        <v>42975</v>
      </c>
      <c r="H4008" s="26" t="n">
        <f aca="false">G4008-F4008</f>
        <v>13</v>
      </c>
      <c r="I4008" s="10" t="n">
        <f aca="false">IF(E4008="Won",1,0)</f>
        <v>0</v>
      </c>
    </row>
    <row r="4009" customFormat="false" ht="15" hidden="false" customHeight="false" outlineLevel="0" collapsed="false">
      <c r="A4009" s="10" t="s">
        <v>6350</v>
      </c>
      <c r="B4009" s="10" t="s">
        <v>95</v>
      </c>
      <c r="C4009" s="10" t="s">
        <v>51</v>
      </c>
      <c r="D4009" s="10" t="s">
        <v>337</v>
      </c>
      <c r="E4009" s="10" t="s">
        <v>2345</v>
      </c>
      <c r="F4009" s="30" t="n">
        <v>42966</v>
      </c>
      <c r="G4009" s="30" t="n">
        <v>42975</v>
      </c>
      <c r="H4009" s="26" t="n">
        <f aca="false">G4009-F4009</f>
        <v>9</v>
      </c>
      <c r="I4009" s="10" t="n">
        <f aca="false">IF(E4009="Won",1,0)</f>
        <v>0</v>
      </c>
    </row>
    <row r="4010" customFormat="false" ht="15" hidden="false" customHeight="false" outlineLevel="0" collapsed="false">
      <c r="A4010" s="10" t="s">
        <v>6351</v>
      </c>
      <c r="B4010" s="10" t="s">
        <v>71</v>
      </c>
      <c r="C4010" s="10" t="s">
        <v>51</v>
      </c>
      <c r="D4010" s="10" t="s">
        <v>660</v>
      </c>
      <c r="E4010" s="10" t="s">
        <v>2345</v>
      </c>
      <c r="F4010" s="30" t="n">
        <v>42905</v>
      </c>
      <c r="G4010" s="30" t="n">
        <v>42975</v>
      </c>
      <c r="H4010" s="26" t="n">
        <f aca="false">G4010-F4010</f>
        <v>70</v>
      </c>
      <c r="I4010" s="10" t="n">
        <f aca="false">IF(E4010="Won",1,0)</f>
        <v>0</v>
      </c>
    </row>
    <row r="4011" customFormat="false" ht="15" hidden="false" customHeight="false" outlineLevel="0" collapsed="false">
      <c r="A4011" s="10" t="s">
        <v>6352</v>
      </c>
      <c r="B4011" s="10" t="s">
        <v>71</v>
      </c>
      <c r="C4011" s="10" t="s">
        <v>52</v>
      </c>
      <c r="D4011" s="10" t="s">
        <v>311</v>
      </c>
      <c r="E4011" s="10" t="s">
        <v>2342</v>
      </c>
      <c r="F4011" s="30" t="n">
        <v>42887</v>
      </c>
      <c r="G4011" s="30" t="n">
        <v>42975</v>
      </c>
      <c r="H4011" s="26" t="n">
        <f aca="false">G4011-F4011</f>
        <v>88</v>
      </c>
      <c r="I4011" s="10" t="n">
        <f aca="false">IF(E4011="Won",1,0)</f>
        <v>1</v>
      </c>
    </row>
    <row r="4012" customFormat="false" ht="15" hidden="false" customHeight="false" outlineLevel="0" collapsed="false">
      <c r="A4012" s="10" t="s">
        <v>6353</v>
      </c>
      <c r="B4012" s="10" t="s">
        <v>97</v>
      </c>
      <c r="C4012" s="10" t="s">
        <v>51</v>
      </c>
      <c r="D4012" s="10" t="s">
        <v>199</v>
      </c>
      <c r="E4012" s="10" t="s">
        <v>2342</v>
      </c>
      <c r="F4012" s="30" t="n">
        <v>42907</v>
      </c>
      <c r="G4012" s="30" t="n">
        <v>42975</v>
      </c>
      <c r="H4012" s="26" t="n">
        <f aca="false">G4012-F4012</f>
        <v>68</v>
      </c>
      <c r="I4012" s="10" t="n">
        <f aca="false">IF(E4012="Won",1,0)</f>
        <v>1</v>
      </c>
    </row>
    <row r="4013" customFormat="false" ht="15" hidden="false" customHeight="false" outlineLevel="0" collapsed="false">
      <c r="A4013" s="10" t="s">
        <v>6354</v>
      </c>
      <c r="B4013" s="10" t="s">
        <v>80</v>
      </c>
      <c r="C4013" s="10" t="s">
        <v>50</v>
      </c>
      <c r="D4013" s="10" t="s">
        <v>660</v>
      </c>
      <c r="E4013" s="10" t="s">
        <v>2345</v>
      </c>
      <c r="F4013" s="30" t="n">
        <v>42892</v>
      </c>
      <c r="G4013" s="30" t="n">
        <v>42975</v>
      </c>
      <c r="H4013" s="26" t="n">
        <f aca="false">G4013-F4013</f>
        <v>83</v>
      </c>
      <c r="I4013" s="10" t="n">
        <f aca="false">IF(E4013="Won",1,0)</f>
        <v>0</v>
      </c>
    </row>
    <row r="4014" customFormat="false" ht="15" hidden="false" customHeight="false" outlineLevel="0" collapsed="false">
      <c r="A4014" s="10" t="s">
        <v>6355</v>
      </c>
      <c r="B4014" s="10" t="s">
        <v>94</v>
      </c>
      <c r="C4014" s="10" t="s">
        <v>50</v>
      </c>
      <c r="D4014" s="10" t="s">
        <v>313</v>
      </c>
      <c r="E4014" s="10" t="s">
        <v>2342</v>
      </c>
      <c r="F4014" s="30" t="n">
        <v>42915</v>
      </c>
      <c r="G4014" s="30" t="n">
        <v>42975</v>
      </c>
      <c r="H4014" s="26" t="n">
        <f aca="false">G4014-F4014</f>
        <v>60</v>
      </c>
      <c r="I4014" s="10" t="n">
        <f aca="false">IF(E4014="Won",1,0)</f>
        <v>1</v>
      </c>
    </row>
    <row r="4015" customFormat="false" ht="15" hidden="false" customHeight="false" outlineLevel="0" collapsed="false">
      <c r="A4015" s="10" t="s">
        <v>6356</v>
      </c>
      <c r="B4015" s="10" t="s">
        <v>93</v>
      </c>
      <c r="C4015" s="10" t="s">
        <v>48</v>
      </c>
      <c r="D4015" s="10" t="s">
        <v>299</v>
      </c>
      <c r="E4015" s="10" t="s">
        <v>2342</v>
      </c>
      <c r="F4015" s="30" t="n">
        <v>42882</v>
      </c>
      <c r="G4015" s="30" t="n">
        <v>42975</v>
      </c>
      <c r="H4015" s="26" t="n">
        <f aca="false">G4015-F4015</f>
        <v>93</v>
      </c>
      <c r="I4015" s="10" t="n">
        <f aca="false">IF(E4015="Won",1,0)</f>
        <v>1</v>
      </c>
    </row>
    <row r="4016" customFormat="false" ht="15" hidden="false" customHeight="false" outlineLevel="0" collapsed="false">
      <c r="A4016" s="10" t="s">
        <v>6357</v>
      </c>
      <c r="B4016" s="10" t="s">
        <v>69</v>
      </c>
      <c r="C4016" s="10" t="s">
        <v>46</v>
      </c>
      <c r="D4016" s="10" t="s">
        <v>313</v>
      </c>
      <c r="E4016" s="10" t="s">
        <v>2342</v>
      </c>
      <c r="F4016" s="30" t="n">
        <v>42883</v>
      </c>
      <c r="G4016" s="30" t="n">
        <v>42975</v>
      </c>
      <c r="H4016" s="26" t="n">
        <f aca="false">G4016-F4016</f>
        <v>92</v>
      </c>
      <c r="I4016" s="10" t="n">
        <f aca="false">IF(E4016="Won",1,0)</f>
        <v>1</v>
      </c>
    </row>
    <row r="4017" customFormat="false" ht="15" hidden="false" customHeight="false" outlineLevel="0" collapsed="false">
      <c r="A4017" s="10" t="s">
        <v>6358</v>
      </c>
      <c r="B4017" s="10" t="s">
        <v>71</v>
      </c>
      <c r="C4017" s="10" t="s">
        <v>51</v>
      </c>
      <c r="D4017" s="10" t="s">
        <v>1251</v>
      </c>
      <c r="E4017" s="10" t="s">
        <v>2342</v>
      </c>
      <c r="F4017" s="30" t="n">
        <v>42921</v>
      </c>
      <c r="G4017" s="30" t="n">
        <v>42975</v>
      </c>
      <c r="H4017" s="26" t="n">
        <f aca="false">G4017-F4017</f>
        <v>54</v>
      </c>
      <c r="I4017" s="10" t="n">
        <f aca="false">IF(E4017="Won",1,0)</f>
        <v>1</v>
      </c>
    </row>
    <row r="4018" customFormat="false" ht="15" hidden="false" customHeight="false" outlineLevel="0" collapsed="false">
      <c r="A4018" s="10" t="s">
        <v>6359</v>
      </c>
      <c r="B4018" s="10" t="s">
        <v>80</v>
      </c>
      <c r="C4018" s="10" t="s">
        <v>51</v>
      </c>
      <c r="D4018" s="10" t="s">
        <v>869</v>
      </c>
      <c r="E4018" s="10" t="s">
        <v>2345</v>
      </c>
      <c r="F4018" s="30" t="n">
        <v>42880</v>
      </c>
      <c r="G4018" s="30" t="n">
        <v>42975</v>
      </c>
      <c r="H4018" s="26" t="n">
        <f aca="false">G4018-F4018</f>
        <v>95</v>
      </c>
      <c r="I4018" s="10" t="n">
        <f aca="false">IF(E4018="Won",1,0)</f>
        <v>0</v>
      </c>
    </row>
    <row r="4019" customFormat="false" ht="15" hidden="false" customHeight="false" outlineLevel="0" collapsed="false">
      <c r="A4019" s="10" t="s">
        <v>6360</v>
      </c>
      <c r="B4019" s="10" t="s">
        <v>67</v>
      </c>
      <c r="C4019" s="10" t="s">
        <v>49</v>
      </c>
      <c r="D4019" s="10" t="s">
        <v>606</v>
      </c>
      <c r="E4019" s="10" t="s">
        <v>2342</v>
      </c>
      <c r="F4019" s="30" t="n">
        <v>42883</v>
      </c>
      <c r="G4019" s="30" t="n">
        <v>42975</v>
      </c>
      <c r="H4019" s="26" t="n">
        <f aca="false">G4019-F4019</f>
        <v>92</v>
      </c>
      <c r="I4019" s="10" t="n">
        <f aca="false">IF(E4019="Won",1,0)</f>
        <v>1</v>
      </c>
    </row>
    <row r="4020" customFormat="false" ht="15" hidden="false" customHeight="false" outlineLevel="0" collapsed="false">
      <c r="A4020" s="10" t="s">
        <v>6361</v>
      </c>
      <c r="B4020" s="10" t="s">
        <v>79</v>
      </c>
      <c r="C4020" s="10" t="s">
        <v>52</v>
      </c>
      <c r="D4020" s="10" t="s">
        <v>869</v>
      </c>
      <c r="E4020" s="10" t="s">
        <v>2345</v>
      </c>
      <c r="F4020" s="30" t="n">
        <v>42916</v>
      </c>
      <c r="G4020" s="30" t="n">
        <v>42975</v>
      </c>
      <c r="H4020" s="26" t="n">
        <f aca="false">G4020-F4020</f>
        <v>59</v>
      </c>
      <c r="I4020" s="10" t="n">
        <f aca="false">IF(E4020="Won",1,0)</f>
        <v>0</v>
      </c>
    </row>
    <row r="4021" customFormat="false" ht="15" hidden="false" customHeight="false" outlineLevel="0" collapsed="false">
      <c r="A4021" s="10" t="s">
        <v>6362</v>
      </c>
      <c r="B4021" s="10" t="s">
        <v>74</v>
      </c>
      <c r="C4021" s="10" t="s">
        <v>52</v>
      </c>
      <c r="D4021" s="10" t="s">
        <v>210</v>
      </c>
      <c r="E4021" s="10" t="s">
        <v>2345</v>
      </c>
      <c r="F4021" s="30" t="n">
        <v>42940</v>
      </c>
      <c r="G4021" s="30" t="n">
        <v>42975</v>
      </c>
      <c r="H4021" s="26" t="n">
        <f aca="false">G4021-F4021</f>
        <v>35</v>
      </c>
      <c r="I4021" s="10" t="n">
        <f aca="false">IF(E4021="Won",1,0)</f>
        <v>0</v>
      </c>
    </row>
    <row r="4022" customFormat="false" ht="15" hidden="false" customHeight="false" outlineLevel="0" collapsed="false">
      <c r="A4022" s="10" t="s">
        <v>6363</v>
      </c>
      <c r="B4022" s="10" t="s">
        <v>88</v>
      </c>
      <c r="C4022" s="10" t="s">
        <v>48</v>
      </c>
      <c r="D4022" s="10" t="s">
        <v>453</v>
      </c>
      <c r="E4022" s="10" t="s">
        <v>2342</v>
      </c>
      <c r="F4022" s="30" t="n">
        <v>42894</v>
      </c>
      <c r="G4022" s="30" t="n">
        <v>42975</v>
      </c>
      <c r="H4022" s="26" t="n">
        <f aca="false">G4022-F4022</f>
        <v>81</v>
      </c>
      <c r="I4022" s="10" t="n">
        <f aca="false">IF(E4022="Won",1,0)</f>
        <v>1</v>
      </c>
    </row>
    <row r="4023" customFormat="false" ht="15" hidden="false" customHeight="false" outlineLevel="0" collapsed="false">
      <c r="A4023" s="10" t="s">
        <v>6364</v>
      </c>
      <c r="B4023" s="10" t="s">
        <v>70</v>
      </c>
      <c r="C4023" s="10" t="s">
        <v>49</v>
      </c>
      <c r="D4023" s="10" t="s">
        <v>233</v>
      </c>
      <c r="E4023" s="10" t="s">
        <v>2345</v>
      </c>
      <c r="F4023" s="30" t="n">
        <v>42929</v>
      </c>
      <c r="G4023" s="30" t="n">
        <v>42975</v>
      </c>
      <c r="H4023" s="26" t="n">
        <f aca="false">G4023-F4023</f>
        <v>46</v>
      </c>
      <c r="I4023" s="10" t="n">
        <f aca="false">IF(E4023="Won",1,0)</f>
        <v>0</v>
      </c>
    </row>
    <row r="4024" customFormat="false" ht="15" hidden="false" customHeight="false" outlineLevel="0" collapsed="false">
      <c r="A4024" s="10" t="s">
        <v>6365</v>
      </c>
      <c r="B4024" s="10" t="s">
        <v>88</v>
      </c>
      <c r="C4024" s="10" t="s">
        <v>51</v>
      </c>
      <c r="D4024" s="10" t="s">
        <v>359</v>
      </c>
      <c r="E4024" s="10" t="s">
        <v>2342</v>
      </c>
      <c r="F4024" s="30" t="n">
        <v>42899</v>
      </c>
      <c r="G4024" s="30" t="n">
        <v>42975</v>
      </c>
      <c r="H4024" s="26" t="n">
        <f aca="false">G4024-F4024</f>
        <v>76</v>
      </c>
      <c r="I4024" s="10" t="n">
        <f aca="false">IF(E4024="Won",1,0)</f>
        <v>1</v>
      </c>
    </row>
    <row r="4025" customFormat="false" ht="15" hidden="false" customHeight="false" outlineLevel="0" collapsed="false">
      <c r="A4025" s="10" t="s">
        <v>6366</v>
      </c>
      <c r="B4025" s="10" t="s">
        <v>79</v>
      </c>
      <c r="C4025" s="10" t="s">
        <v>51</v>
      </c>
      <c r="D4025" s="10" t="s">
        <v>762</v>
      </c>
      <c r="E4025" s="10" t="s">
        <v>2345</v>
      </c>
      <c r="F4025" s="30" t="n">
        <v>42891</v>
      </c>
      <c r="G4025" s="30" t="n">
        <v>42975</v>
      </c>
      <c r="H4025" s="26" t="n">
        <f aca="false">G4025-F4025</f>
        <v>84</v>
      </c>
      <c r="I4025" s="10" t="n">
        <f aca="false">IF(E4025="Won",1,0)</f>
        <v>0</v>
      </c>
    </row>
    <row r="4026" customFormat="false" ht="15" hidden="false" customHeight="false" outlineLevel="0" collapsed="false">
      <c r="A4026" s="10" t="s">
        <v>6367</v>
      </c>
      <c r="B4026" s="10" t="s">
        <v>71</v>
      </c>
      <c r="C4026" s="10" t="s">
        <v>52</v>
      </c>
      <c r="D4026" s="10" t="s">
        <v>762</v>
      </c>
      <c r="E4026" s="10" t="s">
        <v>2342</v>
      </c>
      <c r="F4026" s="30" t="n">
        <v>42856</v>
      </c>
      <c r="G4026" s="30" t="n">
        <v>42975</v>
      </c>
      <c r="H4026" s="26" t="n">
        <f aca="false">G4026-F4026</f>
        <v>119</v>
      </c>
      <c r="I4026" s="10" t="n">
        <f aca="false">IF(E4026="Won",1,0)</f>
        <v>1</v>
      </c>
    </row>
    <row r="4027" customFormat="false" ht="15" hidden="false" customHeight="false" outlineLevel="0" collapsed="false">
      <c r="A4027" s="10" t="s">
        <v>6368</v>
      </c>
      <c r="B4027" s="10" t="s">
        <v>70</v>
      </c>
      <c r="C4027" s="10" t="s">
        <v>48</v>
      </c>
      <c r="D4027" s="10" t="s">
        <v>606</v>
      </c>
      <c r="E4027" s="10" t="s">
        <v>2342</v>
      </c>
      <c r="F4027" s="30" t="n">
        <v>42974</v>
      </c>
      <c r="G4027" s="30" t="n">
        <v>42975</v>
      </c>
      <c r="H4027" s="26" t="n">
        <f aca="false">G4027-F4027</f>
        <v>1</v>
      </c>
      <c r="I4027" s="10" t="n">
        <f aca="false">IF(E4027="Won",1,0)</f>
        <v>1</v>
      </c>
    </row>
    <row r="4028" customFormat="false" ht="15" hidden="false" customHeight="false" outlineLevel="0" collapsed="false">
      <c r="A4028" s="10" t="s">
        <v>6369</v>
      </c>
      <c r="B4028" s="10" t="s">
        <v>69</v>
      </c>
      <c r="C4028" s="10" t="s">
        <v>52</v>
      </c>
      <c r="D4028" s="10" t="s">
        <v>344</v>
      </c>
      <c r="E4028" s="10" t="s">
        <v>2345</v>
      </c>
      <c r="F4028" s="30" t="n">
        <v>42880</v>
      </c>
      <c r="G4028" s="30" t="n">
        <v>42975</v>
      </c>
      <c r="H4028" s="26" t="n">
        <f aca="false">G4028-F4028</f>
        <v>95</v>
      </c>
      <c r="I4028" s="10" t="n">
        <f aca="false">IF(E4028="Won",1,0)</f>
        <v>0</v>
      </c>
    </row>
    <row r="4029" customFormat="false" ht="15" hidden="false" customHeight="false" outlineLevel="0" collapsed="false">
      <c r="A4029" s="10" t="s">
        <v>6370</v>
      </c>
      <c r="B4029" s="10" t="s">
        <v>96</v>
      </c>
      <c r="C4029" s="10" t="s">
        <v>50</v>
      </c>
      <c r="D4029" s="10" t="s">
        <v>497</v>
      </c>
      <c r="E4029" s="10" t="s">
        <v>2342</v>
      </c>
      <c r="F4029" s="30" t="n">
        <v>42888</v>
      </c>
      <c r="G4029" s="30" t="n">
        <v>42976</v>
      </c>
      <c r="H4029" s="26" t="n">
        <f aca="false">G4029-F4029</f>
        <v>88</v>
      </c>
      <c r="I4029" s="10" t="n">
        <f aca="false">IF(E4029="Won",1,0)</f>
        <v>1</v>
      </c>
    </row>
    <row r="4030" customFormat="false" ht="15" hidden="false" customHeight="false" outlineLevel="0" collapsed="false">
      <c r="A4030" s="10" t="s">
        <v>6371</v>
      </c>
      <c r="B4030" s="10" t="s">
        <v>77</v>
      </c>
      <c r="C4030" s="10" t="s">
        <v>48</v>
      </c>
      <c r="D4030" s="10" t="s">
        <v>483</v>
      </c>
      <c r="E4030" s="10" t="s">
        <v>2342</v>
      </c>
      <c r="F4030" s="30" t="n">
        <v>42921</v>
      </c>
      <c r="G4030" s="30" t="n">
        <v>42976</v>
      </c>
      <c r="H4030" s="26" t="n">
        <f aca="false">G4030-F4030</f>
        <v>55</v>
      </c>
      <c r="I4030" s="10" t="n">
        <f aca="false">IF(E4030="Won",1,0)</f>
        <v>1</v>
      </c>
    </row>
    <row r="4031" customFormat="false" ht="15" hidden="false" customHeight="false" outlineLevel="0" collapsed="false">
      <c r="A4031" s="10" t="s">
        <v>6372</v>
      </c>
      <c r="B4031" s="10" t="s">
        <v>76</v>
      </c>
      <c r="C4031" s="10" t="s">
        <v>50</v>
      </c>
      <c r="D4031" s="10" t="s">
        <v>267</v>
      </c>
      <c r="E4031" s="10" t="s">
        <v>2342</v>
      </c>
      <c r="F4031" s="30" t="n">
        <v>42963</v>
      </c>
      <c r="G4031" s="30" t="n">
        <v>42976</v>
      </c>
      <c r="H4031" s="26" t="n">
        <f aca="false">G4031-F4031</f>
        <v>13</v>
      </c>
      <c r="I4031" s="10" t="n">
        <f aca="false">IF(E4031="Won",1,0)</f>
        <v>1</v>
      </c>
    </row>
    <row r="4032" customFormat="false" ht="15" hidden="false" customHeight="false" outlineLevel="0" collapsed="false">
      <c r="A4032" s="10" t="s">
        <v>6373</v>
      </c>
      <c r="B4032" s="10" t="s">
        <v>71</v>
      </c>
      <c r="C4032" s="10" t="s">
        <v>52</v>
      </c>
      <c r="D4032" s="10" t="s">
        <v>193</v>
      </c>
      <c r="E4032" s="10" t="s">
        <v>2342</v>
      </c>
      <c r="F4032" s="30" t="n">
        <v>42963</v>
      </c>
      <c r="G4032" s="30" t="n">
        <v>42976</v>
      </c>
      <c r="H4032" s="26" t="n">
        <f aca="false">G4032-F4032</f>
        <v>13</v>
      </c>
      <c r="I4032" s="10" t="n">
        <f aca="false">IF(E4032="Won",1,0)</f>
        <v>1</v>
      </c>
    </row>
    <row r="4033" customFormat="false" ht="15" hidden="false" customHeight="false" outlineLevel="0" collapsed="false">
      <c r="A4033" s="10" t="s">
        <v>6374</v>
      </c>
      <c r="B4033" s="10" t="s">
        <v>74</v>
      </c>
      <c r="C4033" s="10" t="s">
        <v>47</v>
      </c>
      <c r="D4033" s="10" t="s">
        <v>869</v>
      </c>
      <c r="E4033" s="10" t="s">
        <v>2345</v>
      </c>
      <c r="F4033" s="30" t="n">
        <v>42887</v>
      </c>
      <c r="G4033" s="30" t="n">
        <v>42976</v>
      </c>
      <c r="H4033" s="26" t="n">
        <f aca="false">G4033-F4033</f>
        <v>89</v>
      </c>
      <c r="I4033" s="10" t="n">
        <f aca="false">IF(E4033="Won",1,0)</f>
        <v>0</v>
      </c>
    </row>
    <row r="4034" customFormat="false" ht="15" hidden="false" customHeight="false" outlineLevel="0" collapsed="false">
      <c r="A4034" s="10" t="s">
        <v>6375</v>
      </c>
      <c r="B4034" s="10" t="s">
        <v>73</v>
      </c>
      <c r="C4034" s="10" t="s">
        <v>47</v>
      </c>
      <c r="D4034" s="10" t="s">
        <v>597</v>
      </c>
      <c r="E4034" s="10" t="s">
        <v>2342</v>
      </c>
      <c r="F4034" s="30" t="n">
        <v>42898</v>
      </c>
      <c r="G4034" s="30" t="n">
        <v>42976</v>
      </c>
      <c r="H4034" s="26" t="n">
        <f aca="false">G4034-F4034</f>
        <v>78</v>
      </c>
      <c r="I4034" s="10" t="n">
        <f aca="false">IF(E4034="Won",1,0)</f>
        <v>1</v>
      </c>
    </row>
    <row r="4035" customFormat="false" ht="15" hidden="false" customHeight="false" outlineLevel="0" collapsed="false">
      <c r="A4035" s="10" t="s">
        <v>6376</v>
      </c>
      <c r="B4035" s="10" t="s">
        <v>74</v>
      </c>
      <c r="C4035" s="10" t="s">
        <v>50</v>
      </c>
      <c r="D4035" s="10" t="s">
        <v>697</v>
      </c>
      <c r="E4035" s="10" t="s">
        <v>2345</v>
      </c>
      <c r="F4035" s="30" t="n">
        <v>42902</v>
      </c>
      <c r="G4035" s="30" t="n">
        <v>42976</v>
      </c>
      <c r="H4035" s="26" t="n">
        <f aca="false">G4035-F4035</f>
        <v>74</v>
      </c>
      <c r="I4035" s="10" t="n">
        <f aca="false">IF(E4035="Won",1,0)</f>
        <v>0</v>
      </c>
    </row>
    <row r="4036" customFormat="false" ht="15" hidden="false" customHeight="false" outlineLevel="0" collapsed="false">
      <c r="A4036" s="10" t="s">
        <v>6377</v>
      </c>
      <c r="B4036" s="10" t="s">
        <v>90</v>
      </c>
      <c r="C4036" s="10" t="s">
        <v>49</v>
      </c>
      <c r="D4036" s="10" t="s">
        <v>453</v>
      </c>
      <c r="E4036" s="10" t="s">
        <v>2342</v>
      </c>
      <c r="F4036" s="30" t="n">
        <v>42960</v>
      </c>
      <c r="G4036" s="30" t="n">
        <v>42976</v>
      </c>
      <c r="H4036" s="26" t="n">
        <f aca="false">G4036-F4036</f>
        <v>16</v>
      </c>
      <c r="I4036" s="10" t="n">
        <f aca="false">IF(E4036="Won",1,0)</f>
        <v>1</v>
      </c>
    </row>
    <row r="4037" customFormat="false" ht="15" hidden="false" customHeight="false" outlineLevel="0" collapsed="false">
      <c r="A4037" s="10" t="s">
        <v>6378</v>
      </c>
      <c r="B4037" s="10" t="s">
        <v>68</v>
      </c>
      <c r="C4037" s="10" t="s">
        <v>52</v>
      </c>
      <c r="D4037" s="10" t="s">
        <v>986</v>
      </c>
      <c r="E4037" s="10" t="s">
        <v>2345</v>
      </c>
      <c r="F4037" s="30" t="n">
        <v>42898</v>
      </c>
      <c r="G4037" s="30" t="n">
        <v>42976</v>
      </c>
      <c r="H4037" s="26" t="n">
        <f aca="false">G4037-F4037</f>
        <v>78</v>
      </c>
      <c r="I4037" s="10" t="n">
        <f aca="false">IF(E4037="Won",1,0)</f>
        <v>0</v>
      </c>
    </row>
    <row r="4038" customFormat="false" ht="15" hidden="false" customHeight="false" outlineLevel="0" collapsed="false">
      <c r="A4038" s="10" t="s">
        <v>6379</v>
      </c>
      <c r="B4038" s="10" t="s">
        <v>96</v>
      </c>
      <c r="C4038" s="10" t="s">
        <v>50</v>
      </c>
      <c r="D4038" s="10" t="s">
        <v>348</v>
      </c>
      <c r="E4038" s="10" t="s">
        <v>2342</v>
      </c>
      <c r="F4038" s="30" t="n">
        <v>42898</v>
      </c>
      <c r="G4038" s="30" t="n">
        <v>42976</v>
      </c>
      <c r="H4038" s="26" t="n">
        <f aca="false">G4038-F4038</f>
        <v>78</v>
      </c>
      <c r="I4038" s="10" t="n">
        <f aca="false">IF(E4038="Won",1,0)</f>
        <v>1</v>
      </c>
    </row>
    <row r="4039" customFormat="false" ht="15" hidden="false" customHeight="false" outlineLevel="0" collapsed="false">
      <c r="A4039" s="10" t="s">
        <v>6380</v>
      </c>
      <c r="B4039" s="10" t="s">
        <v>68</v>
      </c>
      <c r="C4039" s="10" t="s">
        <v>50</v>
      </c>
      <c r="D4039" s="10" t="s">
        <v>299</v>
      </c>
      <c r="E4039" s="10" t="s">
        <v>2345</v>
      </c>
      <c r="F4039" s="30" t="n">
        <v>42968</v>
      </c>
      <c r="G4039" s="30" t="n">
        <v>42976</v>
      </c>
      <c r="H4039" s="26" t="n">
        <f aca="false">G4039-F4039</f>
        <v>8</v>
      </c>
      <c r="I4039" s="10" t="n">
        <f aca="false">IF(E4039="Won",1,0)</f>
        <v>0</v>
      </c>
    </row>
    <row r="4040" customFormat="false" ht="15" hidden="false" customHeight="false" outlineLevel="0" collapsed="false">
      <c r="A4040" s="10" t="s">
        <v>6381</v>
      </c>
      <c r="B4040" s="10" t="s">
        <v>63</v>
      </c>
      <c r="C4040" s="10" t="s">
        <v>51</v>
      </c>
      <c r="D4040" s="10" t="s">
        <v>293</v>
      </c>
      <c r="E4040" s="10" t="s">
        <v>2342</v>
      </c>
      <c r="F4040" s="30" t="n">
        <v>42901</v>
      </c>
      <c r="G4040" s="30" t="n">
        <v>42976</v>
      </c>
      <c r="H4040" s="26" t="n">
        <f aca="false">G4040-F4040</f>
        <v>75</v>
      </c>
      <c r="I4040" s="10" t="n">
        <f aca="false">IF(E4040="Won",1,0)</f>
        <v>1</v>
      </c>
    </row>
    <row r="4041" customFormat="false" ht="15" hidden="false" customHeight="false" outlineLevel="0" collapsed="false">
      <c r="A4041" s="10" t="s">
        <v>6382</v>
      </c>
      <c r="B4041" s="10" t="s">
        <v>93</v>
      </c>
      <c r="C4041" s="10" t="s">
        <v>51</v>
      </c>
      <c r="D4041" s="10" t="s">
        <v>303</v>
      </c>
      <c r="E4041" s="10" t="s">
        <v>2342</v>
      </c>
      <c r="F4041" s="30" t="n">
        <v>42924</v>
      </c>
      <c r="G4041" s="30" t="n">
        <v>42976</v>
      </c>
      <c r="H4041" s="26" t="n">
        <f aca="false">G4041-F4041</f>
        <v>52</v>
      </c>
      <c r="I4041" s="10" t="n">
        <f aca="false">IF(E4041="Won",1,0)</f>
        <v>1</v>
      </c>
    </row>
    <row r="4042" customFormat="false" ht="15" hidden="false" customHeight="false" outlineLevel="0" collapsed="false">
      <c r="A4042" s="10" t="s">
        <v>6383</v>
      </c>
      <c r="B4042" s="10" t="s">
        <v>70</v>
      </c>
      <c r="C4042" s="10" t="s">
        <v>51</v>
      </c>
      <c r="D4042" s="10" t="s">
        <v>487</v>
      </c>
      <c r="E4042" s="10" t="s">
        <v>2345</v>
      </c>
      <c r="F4042" s="30" t="n">
        <v>42904</v>
      </c>
      <c r="G4042" s="30" t="n">
        <v>42976</v>
      </c>
      <c r="H4042" s="26" t="n">
        <f aca="false">G4042-F4042</f>
        <v>72</v>
      </c>
      <c r="I4042" s="10" t="n">
        <f aca="false">IF(E4042="Won",1,0)</f>
        <v>0</v>
      </c>
    </row>
    <row r="4043" customFormat="false" ht="15" hidden="false" customHeight="false" outlineLevel="0" collapsed="false">
      <c r="A4043" s="10" t="s">
        <v>6384</v>
      </c>
      <c r="B4043" s="10" t="s">
        <v>71</v>
      </c>
      <c r="C4043" s="10" t="s">
        <v>52</v>
      </c>
      <c r="D4043" s="10" t="s">
        <v>527</v>
      </c>
      <c r="E4043" s="10" t="s">
        <v>2342</v>
      </c>
      <c r="F4043" s="30" t="n">
        <v>42904</v>
      </c>
      <c r="G4043" s="30" t="n">
        <v>42976</v>
      </c>
      <c r="H4043" s="26" t="n">
        <f aca="false">G4043-F4043</f>
        <v>72</v>
      </c>
      <c r="I4043" s="10" t="n">
        <f aca="false">IF(E4043="Won",1,0)</f>
        <v>1</v>
      </c>
    </row>
    <row r="4044" customFormat="false" ht="15" hidden="false" customHeight="false" outlineLevel="0" collapsed="false">
      <c r="A4044" s="10" t="s">
        <v>6385</v>
      </c>
      <c r="B4044" s="10" t="s">
        <v>88</v>
      </c>
      <c r="C4044" s="10" t="s">
        <v>51</v>
      </c>
      <c r="D4044" s="10" t="s">
        <v>274</v>
      </c>
      <c r="E4044" s="10" t="s">
        <v>2345</v>
      </c>
      <c r="F4044" s="30" t="n">
        <v>42897</v>
      </c>
      <c r="G4044" s="30" t="n">
        <v>42976</v>
      </c>
      <c r="H4044" s="26" t="n">
        <f aca="false">G4044-F4044</f>
        <v>79</v>
      </c>
      <c r="I4044" s="10" t="n">
        <f aca="false">IF(E4044="Won",1,0)</f>
        <v>0</v>
      </c>
    </row>
    <row r="4045" customFormat="false" ht="15" hidden="false" customHeight="false" outlineLevel="0" collapsed="false">
      <c r="A4045" s="10" t="s">
        <v>6386</v>
      </c>
      <c r="B4045" s="10" t="s">
        <v>77</v>
      </c>
      <c r="C4045" s="10" t="s">
        <v>48</v>
      </c>
      <c r="D4045" s="10" t="s">
        <v>961</v>
      </c>
      <c r="E4045" s="10" t="s">
        <v>2345</v>
      </c>
      <c r="F4045" s="30" t="n">
        <v>42889</v>
      </c>
      <c r="G4045" s="30" t="n">
        <v>42976</v>
      </c>
      <c r="H4045" s="26" t="n">
        <f aca="false">G4045-F4045</f>
        <v>87</v>
      </c>
      <c r="I4045" s="10" t="n">
        <f aca="false">IF(E4045="Won",1,0)</f>
        <v>0</v>
      </c>
    </row>
    <row r="4046" customFormat="false" ht="15" hidden="false" customHeight="false" outlineLevel="0" collapsed="false">
      <c r="A4046" s="10" t="s">
        <v>6387</v>
      </c>
      <c r="B4046" s="10" t="s">
        <v>79</v>
      </c>
      <c r="C4046" s="10" t="s">
        <v>50</v>
      </c>
      <c r="D4046" s="10" t="s">
        <v>179</v>
      </c>
      <c r="E4046" s="10" t="s">
        <v>2345</v>
      </c>
      <c r="F4046" s="30" t="n">
        <v>42914</v>
      </c>
      <c r="G4046" s="30" t="n">
        <v>42976</v>
      </c>
      <c r="H4046" s="26" t="n">
        <f aca="false">G4046-F4046</f>
        <v>62</v>
      </c>
      <c r="I4046" s="10" t="n">
        <f aca="false">IF(E4046="Won",1,0)</f>
        <v>0</v>
      </c>
    </row>
    <row r="4047" customFormat="false" ht="15" hidden="false" customHeight="false" outlineLevel="0" collapsed="false">
      <c r="A4047" s="10" t="s">
        <v>6388</v>
      </c>
      <c r="B4047" s="10" t="s">
        <v>68</v>
      </c>
      <c r="C4047" s="10" t="s">
        <v>51</v>
      </c>
      <c r="D4047" s="10" t="s">
        <v>168</v>
      </c>
      <c r="E4047" s="10" t="s">
        <v>2342</v>
      </c>
      <c r="F4047" s="30" t="n">
        <v>42974</v>
      </c>
      <c r="G4047" s="30" t="n">
        <v>42976</v>
      </c>
      <c r="H4047" s="26" t="n">
        <f aca="false">G4047-F4047</f>
        <v>2</v>
      </c>
      <c r="I4047" s="10" t="n">
        <f aca="false">IF(E4047="Won",1,0)</f>
        <v>1</v>
      </c>
    </row>
    <row r="4048" customFormat="false" ht="15" hidden="false" customHeight="false" outlineLevel="0" collapsed="false">
      <c r="A4048" s="10" t="s">
        <v>6389</v>
      </c>
      <c r="B4048" s="10" t="s">
        <v>80</v>
      </c>
      <c r="C4048" s="10" t="s">
        <v>50</v>
      </c>
      <c r="D4048" s="10" t="s">
        <v>422</v>
      </c>
      <c r="E4048" s="10" t="s">
        <v>2345</v>
      </c>
      <c r="F4048" s="30" t="n">
        <v>42884</v>
      </c>
      <c r="G4048" s="30" t="n">
        <v>42976</v>
      </c>
      <c r="H4048" s="26" t="n">
        <f aca="false">G4048-F4048</f>
        <v>92</v>
      </c>
      <c r="I4048" s="10" t="n">
        <f aca="false">IF(E4048="Won",1,0)</f>
        <v>0</v>
      </c>
    </row>
    <row r="4049" customFormat="false" ht="15" hidden="false" customHeight="false" outlineLevel="0" collapsed="false">
      <c r="A4049" s="10" t="s">
        <v>6390</v>
      </c>
      <c r="B4049" s="10" t="s">
        <v>69</v>
      </c>
      <c r="C4049" s="10" t="s">
        <v>46</v>
      </c>
      <c r="D4049" s="10" t="s">
        <v>233</v>
      </c>
      <c r="E4049" s="10" t="s">
        <v>2342</v>
      </c>
      <c r="F4049" s="30" t="n">
        <v>42884</v>
      </c>
      <c r="G4049" s="30" t="n">
        <v>42976</v>
      </c>
      <c r="H4049" s="26" t="n">
        <f aca="false">G4049-F4049</f>
        <v>92</v>
      </c>
      <c r="I4049" s="10" t="n">
        <f aca="false">IF(E4049="Won",1,0)</f>
        <v>1</v>
      </c>
    </row>
    <row r="4050" customFormat="false" ht="15" hidden="false" customHeight="false" outlineLevel="0" collapsed="false">
      <c r="A4050" s="10" t="s">
        <v>6391</v>
      </c>
      <c r="B4050" s="10" t="s">
        <v>73</v>
      </c>
      <c r="C4050" s="10" t="s">
        <v>51</v>
      </c>
      <c r="D4050" s="10" t="s">
        <v>422</v>
      </c>
      <c r="E4050" s="10" t="s">
        <v>2342</v>
      </c>
      <c r="F4050" s="30" t="n">
        <v>42884</v>
      </c>
      <c r="G4050" s="30" t="n">
        <v>42976</v>
      </c>
      <c r="H4050" s="26" t="n">
        <f aca="false">G4050-F4050</f>
        <v>92</v>
      </c>
      <c r="I4050" s="10" t="n">
        <f aca="false">IF(E4050="Won",1,0)</f>
        <v>1</v>
      </c>
    </row>
    <row r="4051" customFormat="false" ht="15" hidden="false" customHeight="false" outlineLevel="0" collapsed="false">
      <c r="A4051" s="10" t="s">
        <v>6392</v>
      </c>
      <c r="B4051" s="10" t="s">
        <v>83</v>
      </c>
      <c r="C4051" s="10" t="s">
        <v>50</v>
      </c>
      <c r="D4051" s="10" t="s">
        <v>321</v>
      </c>
      <c r="E4051" s="10" t="s">
        <v>2342</v>
      </c>
      <c r="F4051" s="30" t="n">
        <v>42929</v>
      </c>
      <c r="G4051" s="30" t="n">
        <v>42976</v>
      </c>
      <c r="H4051" s="26" t="n">
        <f aca="false">G4051-F4051</f>
        <v>47</v>
      </c>
      <c r="I4051" s="10" t="n">
        <f aca="false">IF(E4051="Won",1,0)</f>
        <v>1</v>
      </c>
    </row>
    <row r="4052" customFormat="false" ht="15" hidden="false" customHeight="false" outlineLevel="0" collapsed="false">
      <c r="A4052" s="10" t="s">
        <v>6393</v>
      </c>
      <c r="B4052" s="10" t="s">
        <v>62</v>
      </c>
      <c r="C4052" s="10" t="s">
        <v>50</v>
      </c>
      <c r="D4052" s="10" t="s">
        <v>350</v>
      </c>
      <c r="E4052" s="10" t="s">
        <v>2345</v>
      </c>
      <c r="F4052" s="30" t="n">
        <v>42878</v>
      </c>
      <c r="G4052" s="30" t="n">
        <v>42976</v>
      </c>
      <c r="H4052" s="26" t="n">
        <f aca="false">G4052-F4052</f>
        <v>98</v>
      </c>
      <c r="I4052" s="10" t="n">
        <f aca="false">IF(E4052="Won",1,0)</f>
        <v>0</v>
      </c>
    </row>
    <row r="4053" customFormat="false" ht="15" hidden="false" customHeight="false" outlineLevel="0" collapsed="false">
      <c r="A4053" s="10" t="s">
        <v>6394</v>
      </c>
      <c r="B4053" s="10" t="s">
        <v>68</v>
      </c>
      <c r="C4053" s="10" t="s">
        <v>47</v>
      </c>
      <c r="D4053" s="10" t="s">
        <v>424</v>
      </c>
      <c r="E4053" s="10" t="s">
        <v>2345</v>
      </c>
      <c r="F4053" s="30" t="n">
        <v>42926</v>
      </c>
      <c r="G4053" s="30" t="n">
        <v>42976</v>
      </c>
      <c r="H4053" s="26" t="n">
        <f aca="false">G4053-F4053</f>
        <v>50</v>
      </c>
      <c r="I4053" s="10" t="n">
        <f aca="false">IF(E4053="Won",1,0)</f>
        <v>0</v>
      </c>
    </row>
    <row r="4054" customFormat="false" ht="15" hidden="false" customHeight="false" outlineLevel="0" collapsed="false">
      <c r="A4054" s="10" t="s">
        <v>6395</v>
      </c>
      <c r="B4054" s="10" t="s">
        <v>87</v>
      </c>
      <c r="C4054" s="10" t="s">
        <v>49</v>
      </c>
      <c r="D4054" s="10" t="s">
        <v>637</v>
      </c>
      <c r="E4054" s="10" t="s">
        <v>2345</v>
      </c>
      <c r="F4054" s="30" t="n">
        <v>42909</v>
      </c>
      <c r="G4054" s="30" t="n">
        <v>42977</v>
      </c>
      <c r="H4054" s="26" t="n">
        <f aca="false">G4054-F4054</f>
        <v>68</v>
      </c>
      <c r="I4054" s="10" t="n">
        <f aca="false">IF(E4054="Won",1,0)</f>
        <v>0</v>
      </c>
    </row>
    <row r="4055" customFormat="false" ht="15" hidden="false" customHeight="false" outlineLevel="0" collapsed="false">
      <c r="A4055" s="10" t="s">
        <v>6396</v>
      </c>
      <c r="B4055" s="10" t="s">
        <v>79</v>
      </c>
      <c r="C4055" s="10" t="s">
        <v>47</v>
      </c>
      <c r="D4055" s="10" t="s">
        <v>414</v>
      </c>
      <c r="E4055" s="10" t="s">
        <v>2342</v>
      </c>
      <c r="F4055" s="30" t="n">
        <v>42890</v>
      </c>
      <c r="G4055" s="30" t="n">
        <v>42977</v>
      </c>
      <c r="H4055" s="26" t="n">
        <f aca="false">G4055-F4055</f>
        <v>87</v>
      </c>
      <c r="I4055" s="10" t="n">
        <f aca="false">IF(E4055="Won",1,0)</f>
        <v>1</v>
      </c>
    </row>
    <row r="4056" customFormat="false" ht="15" hidden="false" customHeight="false" outlineLevel="0" collapsed="false">
      <c r="A4056" s="10" t="s">
        <v>6397</v>
      </c>
      <c r="B4056" s="10" t="s">
        <v>80</v>
      </c>
      <c r="C4056" s="10" t="s">
        <v>48</v>
      </c>
      <c r="D4056" s="10" t="s">
        <v>483</v>
      </c>
      <c r="E4056" s="10" t="s">
        <v>2342</v>
      </c>
      <c r="F4056" s="30" t="n">
        <v>42876</v>
      </c>
      <c r="G4056" s="30" t="n">
        <v>42977</v>
      </c>
      <c r="H4056" s="26" t="n">
        <f aca="false">G4056-F4056</f>
        <v>101</v>
      </c>
      <c r="I4056" s="10" t="n">
        <f aca="false">IF(E4056="Won",1,0)</f>
        <v>1</v>
      </c>
    </row>
    <row r="4057" customFormat="false" ht="15" hidden="false" customHeight="false" outlineLevel="0" collapsed="false">
      <c r="A4057" s="10" t="s">
        <v>6398</v>
      </c>
      <c r="B4057" s="10" t="s">
        <v>62</v>
      </c>
      <c r="C4057" s="10" t="s">
        <v>49</v>
      </c>
      <c r="D4057" s="10" t="s">
        <v>674</v>
      </c>
      <c r="E4057" s="10" t="s">
        <v>2345</v>
      </c>
      <c r="F4057" s="30" t="n">
        <v>42972</v>
      </c>
      <c r="G4057" s="30" t="n">
        <v>42977</v>
      </c>
      <c r="H4057" s="26" t="n">
        <f aca="false">G4057-F4057</f>
        <v>5</v>
      </c>
      <c r="I4057" s="10" t="n">
        <f aca="false">IF(E4057="Won",1,0)</f>
        <v>0</v>
      </c>
    </row>
    <row r="4058" customFormat="false" ht="15" hidden="false" customHeight="false" outlineLevel="0" collapsed="false">
      <c r="A4058" s="10" t="s">
        <v>6399</v>
      </c>
      <c r="B4058" s="10" t="s">
        <v>93</v>
      </c>
      <c r="C4058" s="10" t="s">
        <v>52</v>
      </c>
      <c r="D4058" s="10" t="s">
        <v>522</v>
      </c>
      <c r="E4058" s="10" t="s">
        <v>2345</v>
      </c>
      <c r="F4058" s="30" t="n">
        <v>42935</v>
      </c>
      <c r="G4058" s="30" t="n">
        <v>42977</v>
      </c>
      <c r="H4058" s="26" t="n">
        <f aca="false">G4058-F4058</f>
        <v>42</v>
      </c>
      <c r="I4058" s="10" t="n">
        <f aca="false">IF(E4058="Won",1,0)</f>
        <v>0</v>
      </c>
    </row>
    <row r="4059" customFormat="false" ht="15" hidden="false" customHeight="false" outlineLevel="0" collapsed="false">
      <c r="A4059" s="10" t="s">
        <v>6400</v>
      </c>
      <c r="B4059" s="10" t="s">
        <v>62</v>
      </c>
      <c r="C4059" s="10" t="s">
        <v>52</v>
      </c>
      <c r="D4059" s="10" t="s">
        <v>210</v>
      </c>
      <c r="E4059" s="10" t="s">
        <v>2342</v>
      </c>
      <c r="F4059" s="30" t="n">
        <v>42888</v>
      </c>
      <c r="G4059" s="30" t="n">
        <v>42977</v>
      </c>
      <c r="H4059" s="26" t="n">
        <f aca="false">G4059-F4059</f>
        <v>89</v>
      </c>
      <c r="I4059" s="10" t="n">
        <f aca="false">IF(E4059="Won",1,0)</f>
        <v>1</v>
      </c>
    </row>
    <row r="4060" customFormat="false" ht="15" hidden="false" customHeight="false" outlineLevel="0" collapsed="false">
      <c r="A4060" s="10" t="s">
        <v>6401</v>
      </c>
      <c r="B4060" s="10" t="s">
        <v>77</v>
      </c>
      <c r="C4060" s="10" t="s">
        <v>49</v>
      </c>
      <c r="D4060" s="10" t="s">
        <v>597</v>
      </c>
      <c r="E4060" s="10" t="s">
        <v>2342</v>
      </c>
      <c r="F4060" s="30" t="n">
        <v>42903</v>
      </c>
      <c r="G4060" s="30" t="n">
        <v>42977</v>
      </c>
      <c r="H4060" s="26" t="n">
        <f aca="false">G4060-F4060</f>
        <v>74</v>
      </c>
      <c r="I4060" s="10" t="n">
        <f aca="false">IF(E4060="Won",1,0)</f>
        <v>1</v>
      </c>
    </row>
    <row r="4061" customFormat="false" ht="15" hidden="false" customHeight="false" outlineLevel="0" collapsed="false">
      <c r="A4061" s="10" t="s">
        <v>6402</v>
      </c>
      <c r="B4061" s="10" t="s">
        <v>77</v>
      </c>
      <c r="C4061" s="10" t="s">
        <v>48</v>
      </c>
      <c r="D4061" s="10" t="s">
        <v>527</v>
      </c>
      <c r="E4061" s="10" t="s">
        <v>2345</v>
      </c>
      <c r="F4061" s="30" t="n">
        <v>42934</v>
      </c>
      <c r="G4061" s="30" t="n">
        <v>42977</v>
      </c>
      <c r="H4061" s="26" t="n">
        <f aca="false">G4061-F4061</f>
        <v>43</v>
      </c>
      <c r="I4061" s="10" t="n">
        <f aca="false">IF(E4061="Won",1,0)</f>
        <v>0</v>
      </c>
    </row>
    <row r="4062" customFormat="false" ht="15" hidden="false" customHeight="false" outlineLevel="0" collapsed="false">
      <c r="A4062" s="10" t="s">
        <v>6403</v>
      </c>
      <c r="B4062" s="10" t="s">
        <v>69</v>
      </c>
      <c r="C4062" s="10" t="s">
        <v>52</v>
      </c>
      <c r="D4062" s="10" t="s">
        <v>210</v>
      </c>
      <c r="E4062" s="10" t="s">
        <v>2342</v>
      </c>
      <c r="F4062" s="30" t="n">
        <v>42971</v>
      </c>
      <c r="G4062" s="30" t="n">
        <v>42977</v>
      </c>
      <c r="H4062" s="26" t="n">
        <f aca="false">G4062-F4062</f>
        <v>6</v>
      </c>
      <c r="I4062" s="10" t="n">
        <f aca="false">IF(E4062="Won",1,0)</f>
        <v>1</v>
      </c>
    </row>
    <row r="4063" customFormat="false" ht="15" hidden="false" customHeight="false" outlineLevel="0" collapsed="false">
      <c r="A4063" s="10" t="s">
        <v>6404</v>
      </c>
      <c r="B4063" s="10" t="s">
        <v>68</v>
      </c>
      <c r="C4063" s="10" t="s">
        <v>50</v>
      </c>
      <c r="D4063" s="10" t="s">
        <v>514</v>
      </c>
      <c r="E4063" s="10" t="s">
        <v>2342</v>
      </c>
      <c r="F4063" s="30" t="n">
        <v>42891</v>
      </c>
      <c r="G4063" s="30" t="n">
        <v>42977</v>
      </c>
      <c r="H4063" s="26" t="n">
        <f aca="false">G4063-F4063</f>
        <v>86</v>
      </c>
      <c r="I4063" s="10" t="n">
        <f aca="false">IF(E4063="Won",1,0)</f>
        <v>1</v>
      </c>
    </row>
    <row r="4064" customFormat="false" ht="15" hidden="false" customHeight="false" outlineLevel="0" collapsed="false">
      <c r="A4064" s="10" t="s">
        <v>6405</v>
      </c>
      <c r="B4064" s="10" t="s">
        <v>86</v>
      </c>
      <c r="C4064" s="10" t="s">
        <v>50</v>
      </c>
      <c r="D4064" s="10" t="s">
        <v>233</v>
      </c>
      <c r="E4064" s="10" t="s">
        <v>2342</v>
      </c>
      <c r="F4064" s="30" t="n">
        <v>42961</v>
      </c>
      <c r="G4064" s="30" t="n">
        <v>42977</v>
      </c>
      <c r="H4064" s="26" t="n">
        <f aca="false">G4064-F4064</f>
        <v>16</v>
      </c>
      <c r="I4064" s="10" t="n">
        <f aca="false">IF(E4064="Won",1,0)</f>
        <v>1</v>
      </c>
    </row>
    <row r="4065" customFormat="false" ht="15" hidden="false" customHeight="false" outlineLevel="0" collapsed="false">
      <c r="A4065" s="10" t="s">
        <v>6406</v>
      </c>
      <c r="B4065" s="10" t="s">
        <v>77</v>
      </c>
      <c r="C4065" s="10" t="s">
        <v>51</v>
      </c>
      <c r="D4065" s="10" t="s">
        <v>259</v>
      </c>
      <c r="E4065" s="10" t="s">
        <v>2342</v>
      </c>
      <c r="F4065" s="30" t="n">
        <v>42967</v>
      </c>
      <c r="G4065" s="30" t="n">
        <v>42977</v>
      </c>
      <c r="H4065" s="26" t="n">
        <f aca="false">G4065-F4065</f>
        <v>10</v>
      </c>
      <c r="I4065" s="10" t="n">
        <f aca="false">IF(E4065="Won",1,0)</f>
        <v>1</v>
      </c>
    </row>
    <row r="4066" customFormat="false" ht="15" hidden="false" customHeight="false" outlineLevel="0" collapsed="false">
      <c r="A4066" s="10" t="s">
        <v>6407</v>
      </c>
      <c r="B4066" s="10" t="s">
        <v>93</v>
      </c>
      <c r="C4066" s="10" t="s">
        <v>51</v>
      </c>
      <c r="D4066" s="10" t="s">
        <v>483</v>
      </c>
      <c r="E4066" s="10" t="s">
        <v>2342</v>
      </c>
      <c r="F4066" s="30" t="n">
        <v>42971</v>
      </c>
      <c r="G4066" s="30" t="n">
        <v>42977</v>
      </c>
      <c r="H4066" s="26" t="n">
        <f aca="false">G4066-F4066</f>
        <v>6</v>
      </c>
      <c r="I4066" s="10" t="n">
        <f aca="false">IF(E4066="Won",1,0)</f>
        <v>1</v>
      </c>
    </row>
    <row r="4067" customFormat="false" ht="15" hidden="false" customHeight="false" outlineLevel="0" collapsed="false">
      <c r="A4067" s="10" t="s">
        <v>6408</v>
      </c>
      <c r="B4067" s="10" t="s">
        <v>86</v>
      </c>
      <c r="C4067" s="10" t="s">
        <v>51</v>
      </c>
      <c r="D4067" s="10" t="s">
        <v>277</v>
      </c>
      <c r="E4067" s="10" t="s">
        <v>2345</v>
      </c>
      <c r="F4067" s="30" t="n">
        <v>42907</v>
      </c>
      <c r="G4067" s="30" t="n">
        <v>42977</v>
      </c>
      <c r="H4067" s="26" t="n">
        <f aca="false">G4067-F4067</f>
        <v>70</v>
      </c>
      <c r="I4067" s="10" t="n">
        <f aca="false">IF(E4067="Won",1,0)</f>
        <v>0</v>
      </c>
    </row>
    <row r="4068" customFormat="false" ht="15" hidden="false" customHeight="false" outlineLevel="0" collapsed="false">
      <c r="A4068" s="10" t="s">
        <v>6409</v>
      </c>
      <c r="B4068" s="10" t="s">
        <v>60</v>
      </c>
      <c r="C4068" s="10" t="s">
        <v>48</v>
      </c>
      <c r="D4068" s="10" t="s">
        <v>453</v>
      </c>
      <c r="E4068" s="10" t="s">
        <v>2345</v>
      </c>
      <c r="F4068" s="30" t="n">
        <v>42883</v>
      </c>
      <c r="G4068" s="30" t="n">
        <v>42977</v>
      </c>
      <c r="H4068" s="26" t="n">
        <f aca="false">G4068-F4068</f>
        <v>94</v>
      </c>
      <c r="I4068" s="10" t="n">
        <f aca="false">IF(E4068="Won",1,0)</f>
        <v>0</v>
      </c>
    </row>
    <row r="4069" customFormat="false" ht="15" hidden="false" customHeight="false" outlineLevel="0" collapsed="false">
      <c r="A4069" s="10" t="s">
        <v>6410</v>
      </c>
      <c r="B4069" s="10" t="s">
        <v>71</v>
      </c>
      <c r="C4069" s="10" t="s">
        <v>50</v>
      </c>
      <c r="D4069" s="10" t="s">
        <v>1948</v>
      </c>
      <c r="E4069" s="10" t="s">
        <v>2345</v>
      </c>
      <c r="F4069" s="30" t="n">
        <v>42862</v>
      </c>
      <c r="G4069" s="30" t="n">
        <v>42977</v>
      </c>
      <c r="H4069" s="26" t="n">
        <f aca="false">G4069-F4069</f>
        <v>115</v>
      </c>
      <c r="I4069" s="10" t="n">
        <f aca="false">IF(E4069="Won",1,0)</f>
        <v>0</v>
      </c>
    </row>
    <row r="4070" customFormat="false" ht="15" hidden="false" customHeight="false" outlineLevel="0" collapsed="false">
      <c r="A4070" s="10" t="s">
        <v>6411</v>
      </c>
      <c r="B4070" s="10" t="s">
        <v>83</v>
      </c>
      <c r="C4070" s="10" t="s">
        <v>50</v>
      </c>
      <c r="D4070" s="10" t="s">
        <v>311</v>
      </c>
      <c r="E4070" s="10" t="s">
        <v>2345</v>
      </c>
      <c r="F4070" s="30" t="n">
        <v>42972</v>
      </c>
      <c r="G4070" s="30" t="n">
        <v>42977</v>
      </c>
      <c r="H4070" s="26" t="n">
        <f aca="false">G4070-F4070</f>
        <v>5</v>
      </c>
      <c r="I4070" s="10" t="n">
        <f aca="false">IF(E4070="Won",1,0)</f>
        <v>0</v>
      </c>
    </row>
    <row r="4071" customFormat="false" ht="15" hidden="false" customHeight="false" outlineLevel="0" collapsed="false">
      <c r="A4071" s="10" t="s">
        <v>6412</v>
      </c>
      <c r="B4071" s="10" t="s">
        <v>63</v>
      </c>
      <c r="C4071" s="10" t="s">
        <v>47</v>
      </c>
      <c r="D4071" s="10" t="s">
        <v>359</v>
      </c>
      <c r="E4071" s="10" t="s">
        <v>2345</v>
      </c>
      <c r="F4071" s="30" t="n">
        <v>42970</v>
      </c>
      <c r="G4071" s="30" t="n">
        <v>42978</v>
      </c>
      <c r="H4071" s="26" t="n">
        <f aca="false">G4071-F4071</f>
        <v>8</v>
      </c>
      <c r="I4071" s="10" t="n">
        <f aca="false">IF(E4071="Won",1,0)</f>
        <v>0</v>
      </c>
    </row>
    <row r="4072" customFormat="false" ht="15" hidden="false" customHeight="false" outlineLevel="0" collapsed="false">
      <c r="A4072" s="10" t="s">
        <v>6413</v>
      </c>
      <c r="B4072" s="10" t="s">
        <v>79</v>
      </c>
      <c r="C4072" s="10" t="s">
        <v>52</v>
      </c>
      <c r="D4072" s="10" t="s">
        <v>869</v>
      </c>
      <c r="E4072" s="10" t="s">
        <v>2342</v>
      </c>
      <c r="F4072" s="30" t="n">
        <v>42875</v>
      </c>
      <c r="G4072" s="30" t="n">
        <v>42978</v>
      </c>
      <c r="H4072" s="26" t="n">
        <f aca="false">G4072-F4072</f>
        <v>103</v>
      </c>
      <c r="I4072" s="10" t="n">
        <f aca="false">IF(E4072="Won",1,0)</f>
        <v>1</v>
      </c>
    </row>
    <row r="4073" customFormat="false" ht="15" hidden="false" customHeight="false" outlineLevel="0" collapsed="false">
      <c r="A4073" s="10" t="s">
        <v>6414</v>
      </c>
      <c r="B4073" s="10" t="s">
        <v>70</v>
      </c>
      <c r="C4073" s="10" t="s">
        <v>49</v>
      </c>
      <c r="D4073" s="10" t="s">
        <v>483</v>
      </c>
      <c r="E4073" s="10" t="s">
        <v>2342</v>
      </c>
      <c r="F4073" s="30" t="n">
        <v>42924</v>
      </c>
      <c r="G4073" s="30" t="n">
        <v>42978</v>
      </c>
      <c r="H4073" s="26" t="n">
        <f aca="false">G4073-F4073</f>
        <v>54</v>
      </c>
      <c r="I4073" s="10" t="n">
        <f aca="false">IF(E4073="Won",1,0)</f>
        <v>1</v>
      </c>
    </row>
    <row r="4074" customFormat="false" ht="15" hidden="false" customHeight="false" outlineLevel="0" collapsed="false">
      <c r="A4074" s="10" t="s">
        <v>6415</v>
      </c>
      <c r="B4074" s="10" t="s">
        <v>86</v>
      </c>
      <c r="C4074" s="10" t="s">
        <v>52</v>
      </c>
      <c r="D4074" s="10" t="s">
        <v>215</v>
      </c>
      <c r="E4074" s="10" t="s">
        <v>2342</v>
      </c>
      <c r="F4074" s="30" t="n">
        <v>42889</v>
      </c>
      <c r="G4074" s="30" t="n">
        <v>42978</v>
      </c>
      <c r="H4074" s="26" t="n">
        <f aca="false">G4074-F4074</f>
        <v>89</v>
      </c>
      <c r="I4074" s="10" t="n">
        <f aca="false">IF(E4074="Won",1,0)</f>
        <v>1</v>
      </c>
    </row>
    <row r="4075" customFormat="false" ht="15" hidden="false" customHeight="false" outlineLevel="0" collapsed="false">
      <c r="A4075" s="10" t="s">
        <v>6416</v>
      </c>
      <c r="B4075" s="10" t="s">
        <v>88</v>
      </c>
      <c r="C4075" s="10" t="s">
        <v>49</v>
      </c>
      <c r="D4075" s="10" t="s">
        <v>161</v>
      </c>
      <c r="E4075" s="10" t="s">
        <v>2345</v>
      </c>
      <c r="F4075" s="30" t="n">
        <v>42902</v>
      </c>
      <c r="G4075" s="30" t="n">
        <v>42978</v>
      </c>
      <c r="H4075" s="26" t="n">
        <f aca="false">G4075-F4075</f>
        <v>76</v>
      </c>
      <c r="I4075" s="10" t="n">
        <f aca="false">IF(E4075="Won",1,0)</f>
        <v>0</v>
      </c>
    </row>
    <row r="4076" customFormat="false" ht="15" hidden="false" customHeight="false" outlineLevel="0" collapsed="false">
      <c r="A4076" s="10" t="s">
        <v>6417</v>
      </c>
      <c r="B4076" s="10" t="s">
        <v>73</v>
      </c>
      <c r="C4076" s="10" t="s">
        <v>52</v>
      </c>
      <c r="D4076" s="10" t="s">
        <v>414</v>
      </c>
      <c r="E4076" s="10" t="s">
        <v>2342</v>
      </c>
      <c r="F4076" s="30" t="n">
        <v>42919</v>
      </c>
      <c r="G4076" s="30" t="n">
        <v>42978</v>
      </c>
      <c r="H4076" s="26" t="n">
        <f aca="false">G4076-F4076</f>
        <v>59</v>
      </c>
      <c r="I4076" s="10" t="n">
        <f aca="false">IF(E4076="Won",1,0)</f>
        <v>1</v>
      </c>
    </row>
    <row r="4077" customFormat="false" ht="15" hidden="false" customHeight="false" outlineLevel="0" collapsed="false">
      <c r="A4077" s="10" t="s">
        <v>6418</v>
      </c>
      <c r="B4077" s="10" t="s">
        <v>83</v>
      </c>
      <c r="C4077" s="10" t="s">
        <v>52</v>
      </c>
      <c r="D4077" s="10" t="s">
        <v>369</v>
      </c>
      <c r="E4077" s="10" t="s">
        <v>2345</v>
      </c>
      <c r="F4077" s="30" t="n">
        <v>42971</v>
      </c>
      <c r="G4077" s="30" t="n">
        <v>42978</v>
      </c>
      <c r="H4077" s="26" t="n">
        <f aca="false">G4077-F4077</f>
        <v>7</v>
      </c>
      <c r="I4077" s="10" t="n">
        <f aca="false">IF(E4077="Won",1,0)</f>
        <v>0</v>
      </c>
    </row>
    <row r="4078" customFormat="false" ht="15" hidden="false" customHeight="false" outlineLevel="0" collapsed="false">
      <c r="A4078" s="10" t="s">
        <v>6419</v>
      </c>
      <c r="B4078" s="10" t="s">
        <v>81</v>
      </c>
      <c r="C4078" s="10" t="s">
        <v>47</v>
      </c>
      <c r="D4078" s="10" t="s">
        <v>697</v>
      </c>
      <c r="E4078" s="10" t="s">
        <v>2345</v>
      </c>
      <c r="F4078" s="30" t="n">
        <v>42969</v>
      </c>
      <c r="G4078" s="30" t="n">
        <v>42978</v>
      </c>
      <c r="H4078" s="26" t="n">
        <f aca="false">G4078-F4078</f>
        <v>9</v>
      </c>
      <c r="I4078" s="10" t="n">
        <f aca="false">IF(E4078="Won",1,0)</f>
        <v>0</v>
      </c>
    </row>
    <row r="4079" customFormat="false" ht="15" hidden="false" customHeight="false" outlineLevel="0" collapsed="false">
      <c r="A4079" s="10" t="s">
        <v>6420</v>
      </c>
      <c r="B4079" s="10" t="s">
        <v>79</v>
      </c>
      <c r="C4079" s="10" t="s">
        <v>48</v>
      </c>
      <c r="D4079" s="10" t="s">
        <v>311</v>
      </c>
      <c r="E4079" s="10" t="s">
        <v>2345</v>
      </c>
      <c r="F4079" s="30" t="n">
        <v>42965</v>
      </c>
      <c r="G4079" s="30" t="n">
        <v>42978</v>
      </c>
      <c r="H4079" s="26" t="n">
        <f aca="false">G4079-F4079</f>
        <v>13</v>
      </c>
      <c r="I4079" s="10" t="n">
        <f aca="false">IF(E4079="Won",1,0)</f>
        <v>0</v>
      </c>
    </row>
    <row r="4080" customFormat="false" ht="15" hidden="false" customHeight="false" outlineLevel="0" collapsed="false">
      <c r="A4080" s="10" t="s">
        <v>6421</v>
      </c>
      <c r="B4080" s="10" t="s">
        <v>74</v>
      </c>
      <c r="C4080" s="10" t="s">
        <v>52</v>
      </c>
      <c r="D4080" s="10" t="s">
        <v>321</v>
      </c>
      <c r="E4080" s="10" t="s">
        <v>2345</v>
      </c>
      <c r="F4080" s="30" t="n">
        <v>42915</v>
      </c>
      <c r="G4080" s="30" t="n">
        <v>42978</v>
      </c>
      <c r="H4080" s="26" t="n">
        <f aca="false">G4080-F4080</f>
        <v>63</v>
      </c>
      <c r="I4080" s="10" t="n">
        <f aca="false">IF(E4080="Won",1,0)</f>
        <v>0</v>
      </c>
    </row>
    <row r="4081" customFormat="false" ht="15" hidden="false" customHeight="false" outlineLevel="0" collapsed="false">
      <c r="A4081" s="10" t="s">
        <v>6422</v>
      </c>
      <c r="B4081" s="10" t="s">
        <v>94</v>
      </c>
      <c r="C4081" s="10" t="s">
        <v>50</v>
      </c>
      <c r="D4081" s="10" t="s">
        <v>506</v>
      </c>
      <c r="E4081" s="10" t="s">
        <v>2345</v>
      </c>
      <c r="F4081" s="30" t="n">
        <v>42972</v>
      </c>
      <c r="G4081" s="30" t="n">
        <v>42978</v>
      </c>
      <c r="H4081" s="26" t="n">
        <f aca="false">G4081-F4081</f>
        <v>6</v>
      </c>
      <c r="I4081" s="10" t="n">
        <f aca="false">IF(E4081="Won",1,0)</f>
        <v>0</v>
      </c>
    </row>
    <row r="4082" customFormat="false" ht="15" hidden="false" customHeight="false" outlineLevel="0" collapsed="false">
      <c r="A4082" s="10" t="s">
        <v>6423</v>
      </c>
      <c r="B4082" s="10" t="s">
        <v>71</v>
      </c>
      <c r="C4082" s="10" t="s">
        <v>50</v>
      </c>
      <c r="D4082" s="10" t="s">
        <v>869</v>
      </c>
      <c r="E4082" s="10" t="s">
        <v>2342</v>
      </c>
      <c r="F4082" s="30" t="n">
        <v>42864</v>
      </c>
      <c r="G4082" s="30" t="n">
        <v>42978</v>
      </c>
      <c r="H4082" s="26" t="n">
        <f aca="false">G4082-F4082</f>
        <v>114</v>
      </c>
      <c r="I4082" s="10" t="n">
        <f aca="false">IF(E4082="Won",1,0)</f>
        <v>1</v>
      </c>
    </row>
    <row r="4083" customFormat="false" ht="15" hidden="false" customHeight="false" outlineLevel="0" collapsed="false">
      <c r="A4083" s="10" t="s">
        <v>6424</v>
      </c>
      <c r="B4083" s="10" t="s">
        <v>77</v>
      </c>
      <c r="C4083" s="10" t="s">
        <v>50</v>
      </c>
      <c r="D4083" s="10" t="s">
        <v>697</v>
      </c>
      <c r="E4083" s="10" t="s">
        <v>2342</v>
      </c>
      <c r="F4083" s="30" t="n">
        <v>42893</v>
      </c>
      <c r="G4083" s="30" t="n">
        <v>42978</v>
      </c>
      <c r="H4083" s="26" t="n">
        <f aca="false">G4083-F4083</f>
        <v>85</v>
      </c>
      <c r="I4083" s="10" t="n">
        <f aca="false">IF(E4083="Won",1,0)</f>
        <v>1</v>
      </c>
    </row>
    <row r="4084" customFormat="false" ht="15" hidden="false" customHeight="false" outlineLevel="0" collapsed="false">
      <c r="A4084" s="10" t="s">
        <v>6425</v>
      </c>
      <c r="B4084" s="10" t="s">
        <v>77</v>
      </c>
      <c r="C4084" s="10" t="s">
        <v>50</v>
      </c>
      <c r="D4084" s="10" t="s">
        <v>597</v>
      </c>
      <c r="E4084" s="10" t="s">
        <v>2342</v>
      </c>
      <c r="F4084" s="30" t="n">
        <v>42912</v>
      </c>
      <c r="G4084" s="30" t="n">
        <v>42978</v>
      </c>
      <c r="H4084" s="26" t="n">
        <f aca="false">G4084-F4084</f>
        <v>66</v>
      </c>
      <c r="I4084" s="10" t="n">
        <f aca="false">IF(E4084="Won",1,0)</f>
        <v>1</v>
      </c>
    </row>
    <row r="4085" customFormat="false" ht="15" hidden="false" customHeight="false" outlineLevel="0" collapsed="false">
      <c r="A4085" s="10" t="s">
        <v>6426</v>
      </c>
      <c r="B4085" s="10" t="s">
        <v>77</v>
      </c>
      <c r="C4085" s="10" t="s">
        <v>52</v>
      </c>
      <c r="D4085" s="10" t="s">
        <v>193</v>
      </c>
      <c r="E4085" s="10" t="s">
        <v>2345</v>
      </c>
      <c r="F4085" s="30" t="n">
        <v>42977</v>
      </c>
      <c r="G4085" s="30" t="n">
        <v>42978</v>
      </c>
      <c r="H4085" s="26" t="n">
        <f aca="false">G4085-F4085</f>
        <v>1</v>
      </c>
      <c r="I4085" s="10" t="n">
        <f aca="false">IF(E4085="Won",1,0)</f>
        <v>0</v>
      </c>
    </row>
    <row r="4086" customFormat="false" ht="15" hidden="false" customHeight="false" outlineLevel="0" collapsed="false">
      <c r="A4086" s="10" t="s">
        <v>6427</v>
      </c>
      <c r="B4086" s="10" t="s">
        <v>96</v>
      </c>
      <c r="C4086" s="10" t="s">
        <v>51</v>
      </c>
      <c r="D4086" s="10" t="s">
        <v>286</v>
      </c>
      <c r="E4086" s="10" t="s">
        <v>2345</v>
      </c>
      <c r="F4086" s="30" t="n">
        <v>42971</v>
      </c>
      <c r="G4086" s="30" t="n">
        <v>42978</v>
      </c>
      <c r="H4086" s="26" t="n">
        <f aca="false">G4086-F4086</f>
        <v>7</v>
      </c>
      <c r="I4086" s="10" t="n">
        <f aca="false">IF(E4086="Won",1,0)</f>
        <v>0</v>
      </c>
    </row>
    <row r="4087" customFormat="false" ht="15" hidden="false" customHeight="false" outlineLevel="0" collapsed="false">
      <c r="A4087" s="10" t="s">
        <v>6428</v>
      </c>
      <c r="B4087" s="10" t="s">
        <v>57</v>
      </c>
      <c r="C4087" s="10" t="s">
        <v>49</v>
      </c>
      <c r="D4087" s="10" t="s">
        <v>161</v>
      </c>
      <c r="E4087" s="10" t="s">
        <v>2345</v>
      </c>
      <c r="F4087" s="30" t="n">
        <v>42965</v>
      </c>
      <c r="G4087" s="30" t="n">
        <v>42978</v>
      </c>
      <c r="H4087" s="26" t="n">
        <f aca="false">G4087-F4087</f>
        <v>13</v>
      </c>
      <c r="I4087" s="10" t="n">
        <f aca="false">IF(E4087="Won",1,0)</f>
        <v>0</v>
      </c>
    </row>
    <row r="4088" customFormat="false" ht="15" hidden="false" customHeight="false" outlineLevel="0" collapsed="false">
      <c r="A4088" s="10" t="s">
        <v>6429</v>
      </c>
      <c r="B4088" s="10" t="s">
        <v>97</v>
      </c>
      <c r="C4088" s="10" t="s">
        <v>52</v>
      </c>
      <c r="D4088" s="10" t="s">
        <v>711</v>
      </c>
      <c r="E4088" s="10" t="s">
        <v>2342</v>
      </c>
      <c r="F4088" s="30" t="n">
        <v>42964</v>
      </c>
      <c r="G4088" s="30" t="n">
        <v>42978</v>
      </c>
      <c r="H4088" s="26" t="n">
        <f aca="false">G4088-F4088</f>
        <v>14</v>
      </c>
      <c r="I4088" s="10" t="n">
        <f aca="false">IF(E4088="Won",1,0)</f>
        <v>1</v>
      </c>
    </row>
    <row r="4089" customFormat="false" ht="15" hidden="false" customHeight="false" outlineLevel="0" collapsed="false">
      <c r="A4089" s="10" t="s">
        <v>6430</v>
      </c>
      <c r="B4089" s="10" t="s">
        <v>70</v>
      </c>
      <c r="C4089" s="10" t="s">
        <v>49</v>
      </c>
      <c r="D4089" s="10" t="s">
        <v>487</v>
      </c>
      <c r="E4089" s="10" t="s">
        <v>2345</v>
      </c>
      <c r="F4089" s="30" t="n">
        <v>42918</v>
      </c>
      <c r="G4089" s="30" t="n">
        <v>42978</v>
      </c>
      <c r="H4089" s="26" t="n">
        <f aca="false">G4089-F4089</f>
        <v>60</v>
      </c>
      <c r="I4089" s="10" t="n">
        <f aca="false">IF(E4089="Won",1,0)</f>
        <v>0</v>
      </c>
    </row>
    <row r="4090" customFormat="false" ht="15" hidden="false" customHeight="false" outlineLevel="0" collapsed="false">
      <c r="A4090" s="10" t="s">
        <v>6431</v>
      </c>
      <c r="B4090" s="10" t="s">
        <v>75</v>
      </c>
      <c r="C4090" s="10" t="s">
        <v>52</v>
      </c>
      <c r="D4090" s="10" t="s">
        <v>291</v>
      </c>
      <c r="E4090" s="10" t="s">
        <v>2342</v>
      </c>
      <c r="F4090" s="30" t="n">
        <v>42874</v>
      </c>
      <c r="G4090" s="30" t="n">
        <v>42978</v>
      </c>
      <c r="H4090" s="26" t="n">
        <f aca="false">G4090-F4090</f>
        <v>104</v>
      </c>
      <c r="I4090" s="10" t="n">
        <f aca="false">IF(E4090="Won",1,0)</f>
        <v>1</v>
      </c>
    </row>
    <row r="4091" customFormat="false" ht="15" hidden="false" customHeight="false" outlineLevel="0" collapsed="false">
      <c r="A4091" s="10" t="s">
        <v>6432</v>
      </c>
      <c r="B4091" s="10" t="s">
        <v>88</v>
      </c>
      <c r="C4091" s="10" t="s">
        <v>50</v>
      </c>
      <c r="D4091" s="10" t="s">
        <v>254</v>
      </c>
      <c r="E4091" s="10" t="s">
        <v>2342</v>
      </c>
      <c r="F4091" s="30" t="n">
        <v>42925</v>
      </c>
      <c r="G4091" s="30" t="n">
        <v>42978</v>
      </c>
      <c r="H4091" s="26" t="n">
        <f aca="false">G4091-F4091</f>
        <v>53</v>
      </c>
      <c r="I4091" s="10" t="n">
        <f aca="false">IF(E4091="Won",1,0)</f>
        <v>1</v>
      </c>
    </row>
    <row r="4092" customFormat="false" ht="15" hidden="false" customHeight="false" outlineLevel="0" collapsed="false">
      <c r="A4092" s="10" t="s">
        <v>6433</v>
      </c>
      <c r="B4092" s="10" t="s">
        <v>71</v>
      </c>
      <c r="C4092" s="10" t="s">
        <v>50</v>
      </c>
      <c r="D4092" s="10" t="s">
        <v>422</v>
      </c>
      <c r="E4092" s="10" t="s">
        <v>2345</v>
      </c>
      <c r="F4092" s="30" t="n">
        <v>42928</v>
      </c>
      <c r="G4092" s="30" t="n">
        <v>42978</v>
      </c>
      <c r="H4092" s="26" t="n">
        <f aca="false">G4092-F4092</f>
        <v>50</v>
      </c>
      <c r="I4092" s="10" t="n">
        <f aca="false">IF(E4092="Won",1,0)</f>
        <v>0</v>
      </c>
    </row>
    <row r="4093" customFormat="false" ht="15" hidden="false" customHeight="false" outlineLevel="0" collapsed="false">
      <c r="A4093" s="10" t="s">
        <v>6434</v>
      </c>
      <c r="B4093" s="10" t="s">
        <v>83</v>
      </c>
      <c r="C4093" s="10" t="s">
        <v>48</v>
      </c>
      <c r="D4093" s="10" t="s">
        <v>527</v>
      </c>
      <c r="E4093" s="10" t="s">
        <v>2342</v>
      </c>
      <c r="F4093" s="30" t="n">
        <v>42848</v>
      </c>
      <c r="G4093" s="30" t="n">
        <v>42979</v>
      </c>
      <c r="H4093" s="26" t="n">
        <f aca="false">G4093-F4093</f>
        <v>131</v>
      </c>
      <c r="I4093" s="10" t="n">
        <f aca="false">IF(E4093="Won",1,0)</f>
        <v>1</v>
      </c>
    </row>
    <row r="4094" customFormat="false" ht="15" hidden="false" customHeight="false" outlineLevel="0" collapsed="false">
      <c r="A4094" s="10" t="s">
        <v>6435</v>
      </c>
      <c r="B4094" s="10" t="s">
        <v>79</v>
      </c>
      <c r="C4094" s="10" t="s">
        <v>52</v>
      </c>
      <c r="D4094" s="10" t="s">
        <v>697</v>
      </c>
      <c r="E4094" s="10" t="s">
        <v>2345</v>
      </c>
      <c r="F4094" s="30" t="n">
        <v>42913</v>
      </c>
      <c r="G4094" s="30" t="n">
        <v>42979</v>
      </c>
      <c r="H4094" s="26" t="n">
        <f aca="false">G4094-F4094</f>
        <v>66</v>
      </c>
      <c r="I4094" s="10" t="n">
        <f aca="false">IF(E4094="Won",1,0)</f>
        <v>0</v>
      </c>
    </row>
    <row r="4095" customFormat="false" ht="15" hidden="false" customHeight="false" outlineLevel="0" collapsed="false">
      <c r="A4095" s="10" t="s">
        <v>6436</v>
      </c>
      <c r="B4095" s="10" t="s">
        <v>57</v>
      </c>
      <c r="C4095" s="10" t="s">
        <v>52</v>
      </c>
      <c r="D4095" s="10" t="s">
        <v>293</v>
      </c>
      <c r="E4095" s="10" t="s">
        <v>2342</v>
      </c>
      <c r="F4095" s="30" t="n">
        <v>42960</v>
      </c>
      <c r="G4095" s="30" t="n">
        <v>42979</v>
      </c>
      <c r="H4095" s="26" t="n">
        <f aca="false">G4095-F4095</f>
        <v>19</v>
      </c>
      <c r="I4095" s="10" t="n">
        <f aca="false">IF(E4095="Won",1,0)</f>
        <v>1</v>
      </c>
    </row>
    <row r="4096" customFormat="false" ht="15" hidden="false" customHeight="false" outlineLevel="0" collapsed="false">
      <c r="A4096" s="10" t="s">
        <v>6437</v>
      </c>
      <c r="B4096" s="10" t="s">
        <v>95</v>
      </c>
      <c r="C4096" s="10" t="s">
        <v>51</v>
      </c>
      <c r="D4096" s="10" t="s">
        <v>337</v>
      </c>
      <c r="E4096" s="10" t="s">
        <v>2342</v>
      </c>
      <c r="F4096" s="30" t="n">
        <v>42890</v>
      </c>
      <c r="G4096" s="30" t="n">
        <v>42979</v>
      </c>
      <c r="H4096" s="26" t="n">
        <f aca="false">G4096-F4096</f>
        <v>89</v>
      </c>
      <c r="I4096" s="10" t="n">
        <f aca="false">IF(E4096="Won",1,0)</f>
        <v>1</v>
      </c>
    </row>
    <row r="4097" customFormat="false" ht="15" hidden="false" customHeight="false" outlineLevel="0" collapsed="false">
      <c r="A4097" s="10" t="s">
        <v>6438</v>
      </c>
      <c r="B4097" s="10" t="s">
        <v>86</v>
      </c>
      <c r="C4097" s="10" t="s">
        <v>47</v>
      </c>
      <c r="D4097" s="10" t="s">
        <v>453</v>
      </c>
      <c r="E4097" s="10" t="s">
        <v>2342</v>
      </c>
      <c r="F4097" s="30" t="n">
        <v>42922</v>
      </c>
      <c r="G4097" s="30" t="n">
        <v>42979</v>
      </c>
      <c r="H4097" s="26" t="n">
        <f aca="false">G4097-F4097</f>
        <v>57</v>
      </c>
      <c r="I4097" s="10" t="n">
        <f aca="false">IF(E4097="Won",1,0)</f>
        <v>1</v>
      </c>
    </row>
    <row r="4098" customFormat="false" ht="15" hidden="false" customHeight="false" outlineLevel="0" collapsed="false">
      <c r="A4098" s="10" t="s">
        <v>6439</v>
      </c>
      <c r="B4098" s="10" t="s">
        <v>87</v>
      </c>
      <c r="C4098" s="10" t="s">
        <v>51</v>
      </c>
      <c r="D4098" s="10" t="s">
        <v>692</v>
      </c>
      <c r="E4098" s="10" t="s">
        <v>2342</v>
      </c>
      <c r="F4098" s="30" t="n">
        <v>42874</v>
      </c>
      <c r="G4098" s="30" t="n">
        <v>42979</v>
      </c>
      <c r="H4098" s="26" t="n">
        <f aca="false">G4098-F4098</f>
        <v>105</v>
      </c>
      <c r="I4098" s="10" t="n">
        <f aca="false">IF(E4098="Won",1,0)</f>
        <v>1</v>
      </c>
    </row>
    <row r="4099" customFormat="false" ht="15" hidden="false" customHeight="false" outlineLevel="0" collapsed="false">
      <c r="A4099" s="10" t="s">
        <v>6440</v>
      </c>
      <c r="B4099" s="10" t="s">
        <v>57</v>
      </c>
      <c r="C4099" s="10" t="s">
        <v>47</v>
      </c>
      <c r="D4099" s="10" t="s">
        <v>277</v>
      </c>
      <c r="E4099" s="10" t="s">
        <v>2342</v>
      </c>
      <c r="F4099" s="30" t="n">
        <v>42962</v>
      </c>
      <c r="G4099" s="30" t="n">
        <v>42979</v>
      </c>
      <c r="H4099" s="26" t="n">
        <f aca="false">G4099-F4099</f>
        <v>17</v>
      </c>
      <c r="I4099" s="10" t="n">
        <f aca="false">IF(E4099="Won",1,0)</f>
        <v>1</v>
      </c>
    </row>
    <row r="4100" customFormat="false" ht="15" hidden="false" customHeight="false" outlineLevel="0" collapsed="false">
      <c r="A4100" s="10" t="s">
        <v>6441</v>
      </c>
      <c r="B4100" s="10" t="s">
        <v>70</v>
      </c>
      <c r="C4100" s="10" t="s">
        <v>52</v>
      </c>
      <c r="D4100" s="10" t="s">
        <v>986</v>
      </c>
      <c r="E4100" s="10" t="s">
        <v>2342</v>
      </c>
      <c r="F4100" s="30" t="n">
        <v>42891</v>
      </c>
      <c r="G4100" s="30" t="n">
        <v>42979</v>
      </c>
      <c r="H4100" s="26" t="n">
        <f aca="false">G4100-F4100</f>
        <v>88</v>
      </c>
      <c r="I4100" s="10" t="n">
        <f aca="false">IF(E4100="Won",1,0)</f>
        <v>1</v>
      </c>
    </row>
    <row r="4101" customFormat="false" ht="15" hidden="false" customHeight="false" outlineLevel="0" collapsed="false">
      <c r="A4101" s="10" t="s">
        <v>6442</v>
      </c>
      <c r="B4101" s="10" t="s">
        <v>77</v>
      </c>
      <c r="C4101" s="10" t="s">
        <v>48</v>
      </c>
      <c r="D4101" s="10" t="s">
        <v>947</v>
      </c>
      <c r="E4101" s="10" t="s">
        <v>2342</v>
      </c>
      <c r="F4101" s="30" t="n">
        <v>42965</v>
      </c>
      <c r="G4101" s="30" t="n">
        <v>42979</v>
      </c>
      <c r="H4101" s="26" t="n">
        <f aca="false">G4101-F4101</f>
        <v>14</v>
      </c>
      <c r="I4101" s="10" t="n">
        <f aca="false">IF(E4101="Won",1,0)</f>
        <v>1</v>
      </c>
    </row>
    <row r="4102" customFormat="false" ht="15" hidden="false" customHeight="false" outlineLevel="0" collapsed="false">
      <c r="A4102" s="10" t="s">
        <v>6443</v>
      </c>
      <c r="B4102" s="10" t="s">
        <v>81</v>
      </c>
      <c r="C4102" s="10" t="s">
        <v>52</v>
      </c>
      <c r="D4102" s="10" t="s">
        <v>353</v>
      </c>
      <c r="E4102" s="10" t="s">
        <v>2342</v>
      </c>
      <c r="F4102" s="30" t="n">
        <v>42925</v>
      </c>
      <c r="G4102" s="30" t="n">
        <v>42979</v>
      </c>
      <c r="H4102" s="26" t="n">
        <f aca="false">G4102-F4102</f>
        <v>54</v>
      </c>
      <c r="I4102" s="10" t="n">
        <f aca="false">IF(E4102="Won",1,0)</f>
        <v>1</v>
      </c>
    </row>
    <row r="4103" customFormat="false" ht="15" hidden="false" customHeight="false" outlineLevel="0" collapsed="false">
      <c r="A4103" s="10" t="s">
        <v>6444</v>
      </c>
      <c r="B4103" s="10" t="s">
        <v>96</v>
      </c>
      <c r="C4103" s="10" t="s">
        <v>47</v>
      </c>
      <c r="D4103" s="10" t="s">
        <v>514</v>
      </c>
      <c r="E4103" s="10" t="s">
        <v>2342</v>
      </c>
      <c r="F4103" s="30" t="n">
        <v>42898</v>
      </c>
      <c r="G4103" s="30" t="n">
        <v>42979</v>
      </c>
      <c r="H4103" s="26" t="n">
        <f aca="false">G4103-F4103</f>
        <v>81</v>
      </c>
      <c r="I4103" s="10" t="n">
        <f aca="false">IF(E4103="Won",1,0)</f>
        <v>1</v>
      </c>
    </row>
    <row r="4104" customFormat="false" ht="15" hidden="false" customHeight="false" outlineLevel="0" collapsed="false">
      <c r="A4104" s="10" t="s">
        <v>6445</v>
      </c>
      <c r="B4104" s="10" t="s">
        <v>88</v>
      </c>
      <c r="C4104" s="10" t="s">
        <v>51</v>
      </c>
      <c r="D4104" s="10" t="s">
        <v>1118</v>
      </c>
      <c r="E4104" s="10" t="s">
        <v>2345</v>
      </c>
      <c r="F4104" s="30" t="n">
        <v>42969</v>
      </c>
      <c r="G4104" s="30" t="n">
        <v>42979</v>
      </c>
      <c r="H4104" s="26" t="n">
        <f aca="false">G4104-F4104</f>
        <v>10</v>
      </c>
      <c r="I4104" s="10" t="n">
        <f aca="false">IF(E4104="Won",1,0)</f>
        <v>0</v>
      </c>
    </row>
    <row r="4105" customFormat="false" ht="15" hidden="false" customHeight="false" outlineLevel="0" collapsed="false">
      <c r="A4105" s="10" t="s">
        <v>6446</v>
      </c>
      <c r="B4105" s="10" t="s">
        <v>62</v>
      </c>
      <c r="C4105" s="10" t="s">
        <v>52</v>
      </c>
      <c r="D4105" s="10" t="s">
        <v>185</v>
      </c>
      <c r="E4105" s="10" t="s">
        <v>2342</v>
      </c>
      <c r="F4105" s="30" t="n">
        <v>42939</v>
      </c>
      <c r="G4105" s="30" t="n">
        <v>42979</v>
      </c>
      <c r="H4105" s="26" t="n">
        <f aca="false">G4105-F4105</f>
        <v>40</v>
      </c>
      <c r="I4105" s="10" t="n">
        <f aca="false">IF(E4105="Won",1,0)</f>
        <v>1</v>
      </c>
    </row>
    <row r="4106" customFormat="false" ht="15" hidden="false" customHeight="false" outlineLevel="0" collapsed="false">
      <c r="A4106" s="10" t="s">
        <v>6447</v>
      </c>
      <c r="B4106" s="10" t="s">
        <v>86</v>
      </c>
      <c r="C4106" s="10" t="s">
        <v>48</v>
      </c>
      <c r="D4106" s="10" t="s">
        <v>277</v>
      </c>
      <c r="E4106" s="10" t="s">
        <v>2342</v>
      </c>
      <c r="F4106" s="30" t="n">
        <v>42901</v>
      </c>
      <c r="G4106" s="30" t="n">
        <v>42979</v>
      </c>
      <c r="H4106" s="26" t="n">
        <f aca="false">G4106-F4106</f>
        <v>78</v>
      </c>
      <c r="I4106" s="10" t="n">
        <f aca="false">IF(E4106="Won",1,0)</f>
        <v>1</v>
      </c>
    </row>
    <row r="4107" customFormat="false" ht="15" hidden="false" customHeight="false" outlineLevel="0" collapsed="false">
      <c r="A4107" s="10" t="s">
        <v>6448</v>
      </c>
      <c r="B4107" s="10" t="s">
        <v>61</v>
      </c>
      <c r="C4107" s="10" t="s">
        <v>48</v>
      </c>
      <c r="D4107" s="10" t="s">
        <v>1118</v>
      </c>
      <c r="E4107" s="10" t="s">
        <v>2342</v>
      </c>
      <c r="F4107" s="30" t="n">
        <v>42969</v>
      </c>
      <c r="G4107" s="30" t="n">
        <v>42979</v>
      </c>
      <c r="H4107" s="26" t="n">
        <f aca="false">G4107-F4107</f>
        <v>10</v>
      </c>
      <c r="I4107" s="10" t="n">
        <f aca="false">IF(E4107="Won",1,0)</f>
        <v>1</v>
      </c>
    </row>
    <row r="4108" customFormat="false" ht="15" hidden="false" customHeight="false" outlineLevel="0" collapsed="false">
      <c r="A4108" s="10" t="s">
        <v>6449</v>
      </c>
      <c r="B4108" s="10" t="s">
        <v>57</v>
      </c>
      <c r="C4108" s="10" t="s">
        <v>51</v>
      </c>
      <c r="D4108" s="10" t="s">
        <v>674</v>
      </c>
      <c r="E4108" s="10" t="s">
        <v>2342</v>
      </c>
      <c r="F4108" s="30" t="n">
        <v>42900</v>
      </c>
      <c r="G4108" s="30" t="n">
        <v>42980</v>
      </c>
      <c r="H4108" s="26" t="n">
        <f aca="false">G4108-F4108</f>
        <v>80</v>
      </c>
      <c r="I4108" s="10" t="n">
        <f aca="false">IF(E4108="Won",1,0)</f>
        <v>1</v>
      </c>
    </row>
    <row r="4109" customFormat="false" ht="15" hidden="false" customHeight="false" outlineLevel="0" collapsed="false">
      <c r="A4109" s="10" t="s">
        <v>6450</v>
      </c>
      <c r="B4109" s="10" t="s">
        <v>80</v>
      </c>
      <c r="C4109" s="10" t="s">
        <v>50</v>
      </c>
      <c r="D4109" s="10" t="s">
        <v>961</v>
      </c>
      <c r="E4109" s="10" t="s">
        <v>2342</v>
      </c>
      <c r="F4109" s="30" t="n">
        <v>42862</v>
      </c>
      <c r="G4109" s="30" t="n">
        <v>42980</v>
      </c>
      <c r="H4109" s="26" t="n">
        <f aca="false">G4109-F4109</f>
        <v>118</v>
      </c>
      <c r="I4109" s="10" t="n">
        <f aca="false">IF(E4109="Won",1,0)</f>
        <v>1</v>
      </c>
    </row>
    <row r="4110" customFormat="false" ht="15" hidden="false" customHeight="false" outlineLevel="0" collapsed="false">
      <c r="A4110" s="10" t="s">
        <v>6451</v>
      </c>
      <c r="B4110" s="10" t="s">
        <v>86</v>
      </c>
      <c r="C4110" s="10" t="s">
        <v>48</v>
      </c>
      <c r="D4110" s="10" t="s">
        <v>674</v>
      </c>
      <c r="E4110" s="10" t="s">
        <v>2342</v>
      </c>
      <c r="F4110" s="30" t="n">
        <v>42978</v>
      </c>
      <c r="G4110" s="30" t="n">
        <v>42980</v>
      </c>
      <c r="H4110" s="26" t="n">
        <f aca="false">G4110-F4110</f>
        <v>2</v>
      </c>
      <c r="I4110" s="10" t="n">
        <f aca="false">IF(E4110="Won",1,0)</f>
        <v>1</v>
      </c>
    </row>
    <row r="4111" customFormat="false" ht="15" hidden="false" customHeight="false" outlineLevel="0" collapsed="false">
      <c r="A4111" s="10" t="s">
        <v>6452</v>
      </c>
      <c r="B4111" s="10" t="s">
        <v>90</v>
      </c>
      <c r="C4111" s="10" t="s">
        <v>47</v>
      </c>
      <c r="D4111" s="10" t="s">
        <v>233</v>
      </c>
      <c r="E4111" s="10" t="s">
        <v>2342</v>
      </c>
      <c r="F4111" s="30" t="n">
        <v>42971</v>
      </c>
      <c r="G4111" s="30" t="n">
        <v>42980</v>
      </c>
      <c r="H4111" s="26" t="n">
        <f aca="false">G4111-F4111</f>
        <v>9</v>
      </c>
      <c r="I4111" s="10" t="n">
        <f aca="false">IF(E4111="Won",1,0)</f>
        <v>1</v>
      </c>
    </row>
    <row r="4112" customFormat="false" ht="15" hidden="false" customHeight="false" outlineLevel="0" collapsed="false">
      <c r="A4112" s="10" t="s">
        <v>6453</v>
      </c>
      <c r="B4112" s="10" t="s">
        <v>94</v>
      </c>
      <c r="C4112" s="10" t="s">
        <v>52</v>
      </c>
      <c r="D4112" s="10" t="s">
        <v>506</v>
      </c>
      <c r="E4112" s="10" t="s">
        <v>2345</v>
      </c>
      <c r="F4112" s="30" t="n">
        <v>42866</v>
      </c>
      <c r="G4112" s="30" t="n">
        <v>42980</v>
      </c>
      <c r="H4112" s="26" t="n">
        <f aca="false">G4112-F4112</f>
        <v>114</v>
      </c>
      <c r="I4112" s="10" t="n">
        <f aca="false">IF(E4112="Won",1,0)</f>
        <v>0</v>
      </c>
    </row>
    <row r="4113" customFormat="false" ht="15" hidden="false" customHeight="false" outlineLevel="0" collapsed="false">
      <c r="A4113" s="10" t="s">
        <v>6454</v>
      </c>
      <c r="B4113" s="10" t="s">
        <v>96</v>
      </c>
      <c r="C4113" s="10" t="s">
        <v>50</v>
      </c>
      <c r="D4113" s="10" t="s">
        <v>170</v>
      </c>
      <c r="E4113" s="10" t="s">
        <v>2342</v>
      </c>
      <c r="F4113" s="30" t="n">
        <v>42894</v>
      </c>
      <c r="G4113" s="30" t="n">
        <v>42980</v>
      </c>
      <c r="H4113" s="26" t="n">
        <f aca="false">G4113-F4113</f>
        <v>86</v>
      </c>
      <c r="I4113" s="10" t="n">
        <f aca="false">IF(E4113="Won",1,0)</f>
        <v>1</v>
      </c>
    </row>
    <row r="4114" customFormat="false" ht="15" hidden="false" customHeight="false" outlineLevel="0" collapsed="false">
      <c r="A4114" s="10" t="s">
        <v>6455</v>
      </c>
      <c r="B4114" s="10" t="s">
        <v>84</v>
      </c>
      <c r="C4114" s="10" t="s">
        <v>48</v>
      </c>
      <c r="D4114" s="10" t="s">
        <v>332</v>
      </c>
      <c r="E4114" s="10" t="s">
        <v>2345</v>
      </c>
      <c r="F4114" s="30" t="n">
        <v>42967</v>
      </c>
      <c r="G4114" s="30" t="n">
        <v>42980</v>
      </c>
      <c r="H4114" s="26" t="n">
        <f aca="false">G4114-F4114</f>
        <v>13</v>
      </c>
      <c r="I4114" s="10" t="n">
        <f aca="false">IF(E4114="Won",1,0)</f>
        <v>0</v>
      </c>
    </row>
    <row r="4115" customFormat="false" ht="15" hidden="false" customHeight="false" outlineLevel="0" collapsed="false">
      <c r="A4115" s="10" t="s">
        <v>6456</v>
      </c>
      <c r="B4115" s="10" t="s">
        <v>60</v>
      </c>
      <c r="C4115" s="10" t="s">
        <v>51</v>
      </c>
      <c r="D4115" s="10" t="s">
        <v>286</v>
      </c>
      <c r="E4115" s="10" t="s">
        <v>2342</v>
      </c>
      <c r="F4115" s="30" t="n">
        <v>42877</v>
      </c>
      <c r="G4115" s="30" t="n">
        <v>42980</v>
      </c>
      <c r="H4115" s="26" t="n">
        <f aca="false">G4115-F4115</f>
        <v>103</v>
      </c>
      <c r="I4115" s="10" t="n">
        <f aca="false">IF(E4115="Won",1,0)</f>
        <v>1</v>
      </c>
    </row>
    <row r="4116" customFormat="false" ht="15" hidden="false" customHeight="false" outlineLevel="0" collapsed="false">
      <c r="A4116" s="10" t="s">
        <v>6457</v>
      </c>
      <c r="B4116" s="10" t="s">
        <v>57</v>
      </c>
      <c r="C4116" s="10" t="s">
        <v>48</v>
      </c>
      <c r="D4116" s="10" t="s">
        <v>1397</v>
      </c>
      <c r="E4116" s="10" t="s">
        <v>2342</v>
      </c>
      <c r="F4116" s="30" t="n">
        <v>42969</v>
      </c>
      <c r="G4116" s="30" t="n">
        <v>42980</v>
      </c>
      <c r="H4116" s="26" t="n">
        <f aca="false">G4116-F4116</f>
        <v>11</v>
      </c>
      <c r="I4116" s="10" t="n">
        <f aca="false">IF(E4116="Won",1,0)</f>
        <v>1</v>
      </c>
    </row>
    <row r="4117" customFormat="false" ht="15" hidden="false" customHeight="false" outlineLevel="0" collapsed="false">
      <c r="A4117" s="10" t="s">
        <v>6458</v>
      </c>
      <c r="B4117" s="10" t="s">
        <v>95</v>
      </c>
      <c r="C4117" s="10" t="s">
        <v>48</v>
      </c>
      <c r="D4117" s="10" t="s">
        <v>326</v>
      </c>
      <c r="E4117" s="10" t="s">
        <v>2342</v>
      </c>
      <c r="F4117" s="30" t="n">
        <v>42886</v>
      </c>
      <c r="G4117" s="30" t="n">
        <v>42980</v>
      </c>
      <c r="H4117" s="26" t="n">
        <f aca="false">G4117-F4117</f>
        <v>94</v>
      </c>
      <c r="I4117" s="10" t="n">
        <f aca="false">IF(E4117="Won",1,0)</f>
        <v>1</v>
      </c>
    </row>
    <row r="4118" customFormat="false" ht="15" hidden="false" customHeight="false" outlineLevel="0" collapsed="false">
      <c r="A4118" s="10" t="s">
        <v>6459</v>
      </c>
      <c r="B4118" s="10" t="s">
        <v>80</v>
      </c>
      <c r="C4118" s="10" t="s">
        <v>48</v>
      </c>
      <c r="D4118" s="10" t="s">
        <v>762</v>
      </c>
      <c r="E4118" s="10" t="s">
        <v>2342</v>
      </c>
      <c r="F4118" s="30" t="n">
        <v>42882</v>
      </c>
      <c r="G4118" s="30" t="n">
        <v>42980</v>
      </c>
      <c r="H4118" s="26" t="n">
        <f aca="false">G4118-F4118</f>
        <v>98</v>
      </c>
      <c r="I4118" s="10" t="n">
        <f aca="false">IF(E4118="Won",1,0)</f>
        <v>1</v>
      </c>
    </row>
    <row r="4119" customFormat="false" ht="15" hidden="false" customHeight="false" outlineLevel="0" collapsed="false">
      <c r="A4119" s="10" t="s">
        <v>6460</v>
      </c>
      <c r="B4119" s="10" t="s">
        <v>88</v>
      </c>
      <c r="C4119" s="10" t="s">
        <v>51</v>
      </c>
      <c r="D4119" s="10" t="s">
        <v>637</v>
      </c>
      <c r="E4119" s="10" t="s">
        <v>2342</v>
      </c>
      <c r="F4119" s="30" t="n">
        <v>42882</v>
      </c>
      <c r="G4119" s="30" t="n">
        <v>42980</v>
      </c>
      <c r="H4119" s="26" t="n">
        <f aca="false">G4119-F4119</f>
        <v>98</v>
      </c>
      <c r="I4119" s="10" t="n">
        <f aca="false">IF(E4119="Won",1,0)</f>
        <v>1</v>
      </c>
    </row>
    <row r="4120" customFormat="false" ht="15" hidden="false" customHeight="false" outlineLevel="0" collapsed="false">
      <c r="A4120" s="10" t="s">
        <v>6461</v>
      </c>
      <c r="B4120" s="10" t="s">
        <v>80</v>
      </c>
      <c r="C4120" s="10" t="s">
        <v>51</v>
      </c>
      <c r="D4120" s="10" t="s">
        <v>524</v>
      </c>
      <c r="E4120" s="10" t="s">
        <v>2342</v>
      </c>
      <c r="F4120" s="30" t="n">
        <v>42914</v>
      </c>
      <c r="G4120" s="30" t="n">
        <v>42980</v>
      </c>
      <c r="H4120" s="26" t="n">
        <f aca="false">G4120-F4120</f>
        <v>66</v>
      </c>
      <c r="I4120" s="10" t="n">
        <f aca="false">IF(E4120="Won",1,0)</f>
        <v>1</v>
      </c>
    </row>
    <row r="4121" customFormat="false" ht="15" hidden="false" customHeight="false" outlineLevel="0" collapsed="false">
      <c r="A4121" s="10" t="s">
        <v>6462</v>
      </c>
      <c r="B4121" s="10" t="s">
        <v>74</v>
      </c>
      <c r="C4121" s="10" t="s">
        <v>49</v>
      </c>
      <c r="D4121" s="10" t="s">
        <v>512</v>
      </c>
      <c r="E4121" s="10" t="s">
        <v>2342</v>
      </c>
      <c r="F4121" s="30" t="n">
        <v>42919</v>
      </c>
      <c r="G4121" s="30" t="n">
        <v>42980</v>
      </c>
      <c r="H4121" s="26" t="n">
        <f aca="false">G4121-F4121</f>
        <v>61</v>
      </c>
      <c r="I4121" s="10" t="n">
        <f aca="false">IF(E4121="Won",1,0)</f>
        <v>1</v>
      </c>
    </row>
    <row r="4122" customFormat="false" ht="15" hidden="false" customHeight="false" outlineLevel="0" collapsed="false">
      <c r="A4122" s="10" t="s">
        <v>6463</v>
      </c>
      <c r="B4122" s="10" t="s">
        <v>62</v>
      </c>
      <c r="C4122" s="10" t="s">
        <v>52</v>
      </c>
      <c r="D4122" s="10" t="s">
        <v>215</v>
      </c>
      <c r="E4122" s="10" t="s">
        <v>2342</v>
      </c>
      <c r="F4122" s="30" t="n">
        <v>42887</v>
      </c>
      <c r="G4122" s="30" t="n">
        <v>42980</v>
      </c>
      <c r="H4122" s="26" t="n">
        <f aca="false">G4122-F4122</f>
        <v>93</v>
      </c>
      <c r="I4122" s="10" t="n">
        <f aca="false">IF(E4122="Won",1,0)</f>
        <v>1</v>
      </c>
    </row>
    <row r="4123" customFormat="false" ht="15" hidden="false" customHeight="false" outlineLevel="0" collapsed="false">
      <c r="A4123" s="10" t="s">
        <v>6464</v>
      </c>
      <c r="B4123" s="10" t="s">
        <v>90</v>
      </c>
      <c r="C4123" s="10" t="s">
        <v>48</v>
      </c>
      <c r="D4123" s="10" t="s">
        <v>674</v>
      </c>
      <c r="E4123" s="10" t="s">
        <v>2342</v>
      </c>
      <c r="F4123" s="30" t="n">
        <v>42969</v>
      </c>
      <c r="G4123" s="30" t="n">
        <v>42980</v>
      </c>
      <c r="H4123" s="26" t="n">
        <f aca="false">G4123-F4123</f>
        <v>11</v>
      </c>
      <c r="I4123" s="10" t="n">
        <f aca="false">IF(E4123="Won",1,0)</f>
        <v>1</v>
      </c>
    </row>
    <row r="4124" customFormat="false" ht="15" hidden="false" customHeight="false" outlineLevel="0" collapsed="false">
      <c r="A4124" s="10" t="s">
        <v>6465</v>
      </c>
      <c r="B4124" s="10" t="s">
        <v>83</v>
      </c>
      <c r="C4124" s="10" t="s">
        <v>49</v>
      </c>
      <c r="D4124" s="10" t="s">
        <v>410</v>
      </c>
      <c r="E4124" s="10" t="s">
        <v>2342</v>
      </c>
      <c r="F4124" s="30" t="n">
        <v>42931</v>
      </c>
      <c r="G4124" s="30" t="n">
        <v>42980</v>
      </c>
      <c r="H4124" s="26" t="n">
        <f aca="false">G4124-F4124</f>
        <v>49</v>
      </c>
      <c r="I4124" s="10" t="n">
        <f aca="false">IF(E4124="Won",1,0)</f>
        <v>1</v>
      </c>
    </row>
    <row r="4125" customFormat="false" ht="15" hidden="false" customHeight="false" outlineLevel="0" collapsed="false">
      <c r="A4125" s="10" t="s">
        <v>6466</v>
      </c>
      <c r="B4125" s="10" t="s">
        <v>76</v>
      </c>
      <c r="C4125" s="10" t="s">
        <v>52</v>
      </c>
      <c r="D4125" s="10" t="s">
        <v>512</v>
      </c>
      <c r="E4125" s="10" t="s">
        <v>2342</v>
      </c>
      <c r="F4125" s="30" t="n">
        <v>42963</v>
      </c>
      <c r="G4125" s="30" t="n">
        <v>42980</v>
      </c>
      <c r="H4125" s="26" t="n">
        <f aca="false">G4125-F4125</f>
        <v>17</v>
      </c>
      <c r="I4125" s="10" t="n">
        <f aca="false">IF(E4125="Won",1,0)</f>
        <v>1</v>
      </c>
    </row>
    <row r="4126" customFormat="false" ht="15" hidden="false" customHeight="false" outlineLevel="0" collapsed="false">
      <c r="A4126" s="10" t="s">
        <v>6467</v>
      </c>
      <c r="B4126" s="10" t="s">
        <v>94</v>
      </c>
      <c r="C4126" s="10" t="s">
        <v>52</v>
      </c>
      <c r="D4126" s="10" t="s">
        <v>424</v>
      </c>
      <c r="E4126" s="10" t="s">
        <v>2342</v>
      </c>
      <c r="F4126" s="30" t="n">
        <v>42919</v>
      </c>
      <c r="G4126" s="30" t="n">
        <v>42980</v>
      </c>
      <c r="H4126" s="26" t="n">
        <f aca="false">G4126-F4126</f>
        <v>61</v>
      </c>
      <c r="I4126" s="10" t="n">
        <f aca="false">IF(E4126="Won",1,0)</f>
        <v>1</v>
      </c>
    </row>
    <row r="4127" customFormat="false" ht="15" hidden="false" customHeight="false" outlineLevel="0" collapsed="false">
      <c r="A4127" s="10" t="s">
        <v>6468</v>
      </c>
      <c r="B4127" s="10" t="s">
        <v>80</v>
      </c>
      <c r="C4127" s="10" t="s">
        <v>50</v>
      </c>
      <c r="D4127" s="10" t="s">
        <v>524</v>
      </c>
      <c r="E4127" s="10" t="s">
        <v>2342</v>
      </c>
      <c r="F4127" s="30" t="n">
        <v>42915</v>
      </c>
      <c r="G4127" s="30" t="n">
        <v>42980</v>
      </c>
      <c r="H4127" s="26" t="n">
        <f aca="false">G4127-F4127</f>
        <v>65</v>
      </c>
      <c r="I4127" s="10" t="n">
        <f aca="false">IF(E4127="Won",1,0)</f>
        <v>1</v>
      </c>
    </row>
    <row r="4128" customFormat="false" ht="15" hidden="false" customHeight="false" outlineLevel="0" collapsed="false">
      <c r="A4128" s="10" t="s">
        <v>6469</v>
      </c>
      <c r="B4128" s="10" t="s">
        <v>79</v>
      </c>
      <c r="C4128" s="10" t="s">
        <v>47</v>
      </c>
      <c r="D4128" s="10" t="s">
        <v>321</v>
      </c>
      <c r="E4128" s="10" t="s">
        <v>2342</v>
      </c>
      <c r="F4128" s="30" t="n">
        <v>42887</v>
      </c>
      <c r="G4128" s="30" t="n">
        <v>42980</v>
      </c>
      <c r="H4128" s="26" t="n">
        <f aca="false">G4128-F4128</f>
        <v>93</v>
      </c>
      <c r="I4128" s="10" t="n">
        <f aca="false">IF(E4128="Won",1,0)</f>
        <v>1</v>
      </c>
    </row>
    <row r="4129" customFormat="false" ht="15" hidden="false" customHeight="false" outlineLevel="0" collapsed="false">
      <c r="A4129" s="10" t="s">
        <v>6470</v>
      </c>
      <c r="B4129" s="10" t="s">
        <v>81</v>
      </c>
      <c r="C4129" s="10" t="s">
        <v>51</v>
      </c>
      <c r="D4129" s="10" t="s">
        <v>267</v>
      </c>
      <c r="E4129" s="10" t="s">
        <v>2342</v>
      </c>
      <c r="F4129" s="30" t="n">
        <v>42855</v>
      </c>
      <c r="G4129" s="30" t="n">
        <v>42980</v>
      </c>
      <c r="H4129" s="26" t="n">
        <f aca="false">G4129-F4129</f>
        <v>125</v>
      </c>
      <c r="I4129" s="10" t="n">
        <f aca="false">IF(E4129="Won",1,0)</f>
        <v>1</v>
      </c>
    </row>
    <row r="4130" customFormat="false" ht="15" hidden="false" customHeight="false" outlineLevel="0" collapsed="false">
      <c r="A4130" s="10" t="s">
        <v>6471</v>
      </c>
      <c r="B4130" s="10" t="s">
        <v>77</v>
      </c>
      <c r="C4130" s="10" t="s">
        <v>49</v>
      </c>
      <c r="D4130" s="10" t="s">
        <v>179</v>
      </c>
      <c r="E4130" s="10" t="s">
        <v>2342</v>
      </c>
      <c r="F4130" s="30" t="n">
        <v>42897</v>
      </c>
      <c r="G4130" s="30" t="n">
        <v>42981</v>
      </c>
      <c r="H4130" s="26" t="n">
        <f aca="false">G4130-F4130</f>
        <v>84</v>
      </c>
      <c r="I4130" s="10" t="n">
        <f aca="false">IF(E4130="Won",1,0)</f>
        <v>1</v>
      </c>
    </row>
    <row r="4131" customFormat="false" ht="15" hidden="false" customHeight="false" outlineLevel="0" collapsed="false">
      <c r="A4131" s="10" t="s">
        <v>6472</v>
      </c>
      <c r="B4131" s="10" t="s">
        <v>76</v>
      </c>
      <c r="C4131" s="10" t="s">
        <v>52</v>
      </c>
      <c r="D4131" s="10" t="s">
        <v>259</v>
      </c>
      <c r="E4131" s="10" t="s">
        <v>2342</v>
      </c>
      <c r="F4131" s="30" t="n">
        <v>42978</v>
      </c>
      <c r="G4131" s="30" t="n">
        <v>42981</v>
      </c>
      <c r="H4131" s="26" t="n">
        <f aca="false">G4131-F4131</f>
        <v>3</v>
      </c>
      <c r="I4131" s="10" t="n">
        <f aca="false">IF(E4131="Won",1,0)</f>
        <v>1</v>
      </c>
    </row>
    <row r="4132" customFormat="false" ht="15" hidden="false" customHeight="false" outlineLevel="0" collapsed="false">
      <c r="A4132" s="10" t="s">
        <v>6473</v>
      </c>
      <c r="B4132" s="10" t="s">
        <v>69</v>
      </c>
      <c r="C4132" s="10" t="s">
        <v>52</v>
      </c>
      <c r="D4132" s="10" t="s">
        <v>711</v>
      </c>
      <c r="E4132" s="10" t="s">
        <v>2342</v>
      </c>
      <c r="F4132" s="30" t="n">
        <v>42915</v>
      </c>
      <c r="G4132" s="30" t="n">
        <v>42981</v>
      </c>
      <c r="H4132" s="26" t="n">
        <f aca="false">G4132-F4132</f>
        <v>66</v>
      </c>
      <c r="I4132" s="10" t="n">
        <f aca="false">IF(E4132="Won",1,0)</f>
        <v>1</v>
      </c>
    </row>
    <row r="4133" customFormat="false" ht="15" hidden="false" customHeight="false" outlineLevel="0" collapsed="false">
      <c r="A4133" s="10" t="s">
        <v>6474</v>
      </c>
      <c r="B4133" s="10" t="s">
        <v>95</v>
      </c>
      <c r="C4133" s="10" t="s">
        <v>51</v>
      </c>
      <c r="D4133" s="10" t="s">
        <v>384</v>
      </c>
      <c r="E4133" s="10" t="s">
        <v>2342</v>
      </c>
      <c r="F4133" s="30" t="n">
        <v>42849</v>
      </c>
      <c r="G4133" s="30" t="n">
        <v>42981</v>
      </c>
      <c r="H4133" s="26" t="n">
        <f aca="false">G4133-F4133</f>
        <v>132</v>
      </c>
      <c r="I4133" s="10" t="n">
        <f aca="false">IF(E4133="Won",1,0)</f>
        <v>1</v>
      </c>
    </row>
    <row r="4134" customFormat="false" ht="15" hidden="false" customHeight="false" outlineLevel="0" collapsed="false">
      <c r="A4134" s="10" t="s">
        <v>6475</v>
      </c>
      <c r="B4134" s="10" t="s">
        <v>77</v>
      </c>
      <c r="C4134" s="10" t="s">
        <v>49</v>
      </c>
      <c r="D4134" s="10" t="s">
        <v>1251</v>
      </c>
      <c r="E4134" s="10" t="s">
        <v>2342</v>
      </c>
      <c r="F4134" s="30" t="n">
        <v>42926</v>
      </c>
      <c r="G4134" s="30" t="n">
        <v>42981</v>
      </c>
      <c r="H4134" s="26" t="n">
        <f aca="false">G4134-F4134</f>
        <v>55</v>
      </c>
      <c r="I4134" s="10" t="n">
        <f aca="false">IF(E4134="Won",1,0)</f>
        <v>1</v>
      </c>
    </row>
    <row r="4135" customFormat="false" ht="15" hidden="false" customHeight="false" outlineLevel="0" collapsed="false">
      <c r="A4135" s="10" t="s">
        <v>6476</v>
      </c>
      <c r="B4135" s="10" t="s">
        <v>83</v>
      </c>
      <c r="C4135" s="10" t="s">
        <v>51</v>
      </c>
      <c r="D4135" s="10" t="s">
        <v>410</v>
      </c>
      <c r="E4135" s="10" t="s">
        <v>2342</v>
      </c>
      <c r="F4135" s="30" t="n">
        <v>42882</v>
      </c>
      <c r="G4135" s="30" t="n">
        <v>42981</v>
      </c>
      <c r="H4135" s="26" t="n">
        <f aca="false">G4135-F4135</f>
        <v>99</v>
      </c>
      <c r="I4135" s="10" t="n">
        <f aca="false">IF(E4135="Won",1,0)</f>
        <v>1</v>
      </c>
    </row>
    <row r="4136" customFormat="false" ht="15" hidden="false" customHeight="false" outlineLevel="0" collapsed="false">
      <c r="A4136" s="10" t="s">
        <v>6477</v>
      </c>
      <c r="B4136" s="10" t="s">
        <v>95</v>
      </c>
      <c r="C4136" s="10" t="s">
        <v>49</v>
      </c>
      <c r="D4136" s="10" t="s">
        <v>506</v>
      </c>
      <c r="E4136" s="10" t="s">
        <v>2342</v>
      </c>
      <c r="F4136" s="30" t="n">
        <v>42885</v>
      </c>
      <c r="G4136" s="30" t="n">
        <v>42981</v>
      </c>
      <c r="H4136" s="26" t="n">
        <f aca="false">G4136-F4136</f>
        <v>96</v>
      </c>
      <c r="I4136" s="10" t="n">
        <f aca="false">IF(E4136="Won",1,0)</f>
        <v>1</v>
      </c>
    </row>
    <row r="4137" customFormat="false" ht="15" hidden="false" customHeight="false" outlineLevel="0" collapsed="false">
      <c r="A4137" s="10" t="s">
        <v>6478</v>
      </c>
      <c r="B4137" s="10" t="s">
        <v>94</v>
      </c>
      <c r="C4137" s="10" t="s">
        <v>51</v>
      </c>
      <c r="D4137" s="10" t="s">
        <v>170</v>
      </c>
      <c r="E4137" s="10" t="s">
        <v>2342</v>
      </c>
      <c r="F4137" s="30" t="n">
        <v>42886</v>
      </c>
      <c r="G4137" s="30" t="n">
        <v>42981</v>
      </c>
      <c r="H4137" s="26" t="n">
        <f aca="false">G4137-F4137</f>
        <v>95</v>
      </c>
      <c r="I4137" s="10" t="n">
        <f aca="false">IF(E4137="Won",1,0)</f>
        <v>1</v>
      </c>
    </row>
    <row r="4138" customFormat="false" ht="15" hidden="false" customHeight="false" outlineLevel="0" collapsed="false">
      <c r="A4138" s="10" t="s">
        <v>6479</v>
      </c>
      <c r="B4138" s="10" t="s">
        <v>77</v>
      </c>
      <c r="C4138" s="10" t="s">
        <v>48</v>
      </c>
      <c r="D4138" s="10" t="s">
        <v>369</v>
      </c>
      <c r="E4138" s="10" t="s">
        <v>2342</v>
      </c>
      <c r="F4138" s="30" t="n">
        <v>42967</v>
      </c>
      <c r="G4138" s="30" t="n">
        <v>42981</v>
      </c>
      <c r="H4138" s="26" t="n">
        <f aca="false">G4138-F4138</f>
        <v>14</v>
      </c>
      <c r="I4138" s="10" t="n">
        <f aca="false">IF(E4138="Won",1,0)</f>
        <v>1</v>
      </c>
    </row>
    <row r="4139" customFormat="false" ht="15" hidden="false" customHeight="false" outlineLevel="0" collapsed="false">
      <c r="A4139" s="10" t="s">
        <v>6480</v>
      </c>
      <c r="B4139" s="10" t="s">
        <v>75</v>
      </c>
      <c r="C4139" s="10" t="s">
        <v>51</v>
      </c>
      <c r="D4139" s="10" t="s">
        <v>267</v>
      </c>
      <c r="E4139" s="10" t="s">
        <v>2342</v>
      </c>
      <c r="F4139" s="30" t="n">
        <v>42932</v>
      </c>
      <c r="G4139" s="30" t="n">
        <v>42981</v>
      </c>
      <c r="H4139" s="26" t="n">
        <f aca="false">G4139-F4139</f>
        <v>49</v>
      </c>
      <c r="I4139" s="10" t="n">
        <f aca="false">IF(E4139="Won",1,0)</f>
        <v>1</v>
      </c>
    </row>
    <row r="4140" customFormat="false" ht="15" hidden="false" customHeight="false" outlineLevel="0" collapsed="false">
      <c r="A4140" s="10" t="s">
        <v>6481</v>
      </c>
      <c r="B4140" s="10" t="s">
        <v>97</v>
      </c>
      <c r="C4140" s="10" t="s">
        <v>51</v>
      </c>
      <c r="D4140" s="10" t="s">
        <v>483</v>
      </c>
      <c r="E4140" s="10" t="s">
        <v>2342</v>
      </c>
      <c r="F4140" s="30" t="n">
        <v>42964</v>
      </c>
      <c r="G4140" s="30" t="n">
        <v>42981</v>
      </c>
      <c r="H4140" s="26" t="n">
        <f aca="false">G4140-F4140</f>
        <v>17</v>
      </c>
      <c r="I4140" s="10" t="n">
        <f aca="false">IF(E4140="Won",1,0)</f>
        <v>1</v>
      </c>
    </row>
    <row r="4141" customFormat="false" ht="15" hidden="false" customHeight="false" outlineLevel="0" collapsed="false">
      <c r="A4141" s="10" t="s">
        <v>6482</v>
      </c>
      <c r="B4141" s="10" t="s">
        <v>57</v>
      </c>
      <c r="C4141" s="10" t="s">
        <v>49</v>
      </c>
      <c r="D4141" s="10" t="s">
        <v>233</v>
      </c>
      <c r="E4141" s="10" t="s">
        <v>2342</v>
      </c>
      <c r="F4141" s="30" t="n">
        <v>42887</v>
      </c>
      <c r="G4141" s="30" t="n">
        <v>42981</v>
      </c>
      <c r="H4141" s="26" t="n">
        <f aca="false">G4141-F4141</f>
        <v>94</v>
      </c>
      <c r="I4141" s="10" t="n">
        <f aca="false">IF(E4141="Won",1,0)</f>
        <v>1</v>
      </c>
    </row>
    <row r="4142" customFormat="false" ht="15" hidden="false" customHeight="false" outlineLevel="0" collapsed="false">
      <c r="A4142" s="10" t="s">
        <v>6483</v>
      </c>
      <c r="B4142" s="10" t="s">
        <v>90</v>
      </c>
      <c r="C4142" s="10" t="s">
        <v>50</v>
      </c>
      <c r="D4142" s="10" t="s">
        <v>293</v>
      </c>
      <c r="E4142" s="10" t="s">
        <v>2342</v>
      </c>
      <c r="F4142" s="30" t="n">
        <v>42962</v>
      </c>
      <c r="G4142" s="30" t="n">
        <v>42981</v>
      </c>
      <c r="H4142" s="26" t="n">
        <f aca="false">G4142-F4142</f>
        <v>19</v>
      </c>
      <c r="I4142" s="10" t="n">
        <f aca="false">IF(E4142="Won",1,0)</f>
        <v>1</v>
      </c>
    </row>
    <row r="4143" customFormat="false" ht="15" hidden="false" customHeight="false" outlineLevel="0" collapsed="false">
      <c r="A4143" s="10" t="s">
        <v>6484</v>
      </c>
      <c r="B4143" s="10" t="s">
        <v>71</v>
      </c>
      <c r="C4143" s="10" t="s">
        <v>47</v>
      </c>
      <c r="D4143" s="10" t="s">
        <v>660</v>
      </c>
      <c r="E4143" s="10" t="s">
        <v>2345</v>
      </c>
      <c r="F4143" s="30" t="n">
        <v>42940</v>
      </c>
      <c r="G4143" s="30" t="n">
        <v>42981</v>
      </c>
      <c r="H4143" s="26" t="n">
        <f aca="false">G4143-F4143</f>
        <v>41</v>
      </c>
      <c r="I4143" s="10" t="n">
        <f aca="false">IF(E4143="Won",1,0)</f>
        <v>0</v>
      </c>
    </row>
    <row r="4144" customFormat="false" ht="15" hidden="false" customHeight="false" outlineLevel="0" collapsed="false">
      <c r="A4144" s="10" t="s">
        <v>6485</v>
      </c>
      <c r="B4144" s="10" t="s">
        <v>71</v>
      </c>
      <c r="C4144" s="10" t="s">
        <v>51</v>
      </c>
      <c r="D4144" s="10" t="s">
        <v>353</v>
      </c>
      <c r="E4144" s="10" t="s">
        <v>2342</v>
      </c>
      <c r="F4144" s="30" t="n">
        <v>42882</v>
      </c>
      <c r="G4144" s="30" t="n">
        <v>42981</v>
      </c>
      <c r="H4144" s="26" t="n">
        <f aca="false">G4144-F4144</f>
        <v>99</v>
      </c>
      <c r="I4144" s="10" t="n">
        <f aca="false">IF(E4144="Won",1,0)</f>
        <v>1</v>
      </c>
    </row>
    <row r="4145" customFormat="false" ht="15" hidden="false" customHeight="false" outlineLevel="0" collapsed="false">
      <c r="A4145" s="10" t="s">
        <v>6486</v>
      </c>
      <c r="B4145" s="10" t="s">
        <v>77</v>
      </c>
      <c r="C4145" s="10" t="s">
        <v>49</v>
      </c>
      <c r="D4145" s="10" t="s">
        <v>1948</v>
      </c>
      <c r="E4145" s="10" t="s">
        <v>2342</v>
      </c>
      <c r="F4145" s="30" t="n">
        <v>42931</v>
      </c>
      <c r="G4145" s="30" t="n">
        <v>42981</v>
      </c>
      <c r="H4145" s="26" t="n">
        <f aca="false">G4145-F4145</f>
        <v>50</v>
      </c>
      <c r="I4145" s="10" t="n">
        <f aca="false">IF(E4145="Won",1,0)</f>
        <v>1</v>
      </c>
    </row>
    <row r="4146" customFormat="false" ht="15" hidden="false" customHeight="false" outlineLevel="0" collapsed="false">
      <c r="A4146" s="10" t="s">
        <v>6487</v>
      </c>
      <c r="B4146" s="10" t="s">
        <v>93</v>
      </c>
      <c r="C4146" s="10" t="s">
        <v>47</v>
      </c>
      <c r="D4146" s="10" t="s">
        <v>522</v>
      </c>
      <c r="E4146" s="10" t="s">
        <v>2342</v>
      </c>
      <c r="F4146" s="30" t="n">
        <v>42962</v>
      </c>
      <c r="G4146" s="30" t="n">
        <v>42981</v>
      </c>
      <c r="H4146" s="26" t="n">
        <f aca="false">G4146-F4146</f>
        <v>19</v>
      </c>
      <c r="I4146" s="10" t="n">
        <f aca="false">IF(E4146="Won",1,0)</f>
        <v>1</v>
      </c>
    </row>
    <row r="4147" customFormat="false" ht="15" hidden="false" customHeight="false" outlineLevel="0" collapsed="false">
      <c r="A4147" s="10" t="s">
        <v>6488</v>
      </c>
      <c r="B4147" s="10" t="s">
        <v>77</v>
      </c>
      <c r="C4147" s="10" t="s">
        <v>48</v>
      </c>
      <c r="D4147" s="10" t="s">
        <v>388</v>
      </c>
      <c r="E4147" s="10" t="s">
        <v>2342</v>
      </c>
      <c r="F4147" s="30" t="n">
        <v>42911</v>
      </c>
      <c r="G4147" s="30" t="n">
        <v>42981</v>
      </c>
      <c r="H4147" s="26" t="n">
        <f aca="false">G4147-F4147</f>
        <v>70</v>
      </c>
      <c r="I4147" s="10" t="n">
        <f aca="false">IF(E4147="Won",1,0)</f>
        <v>1</v>
      </c>
    </row>
    <row r="4148" customFormat="false" ht="15" hidden="false" customHeight="false" outlineLevel="0" collapsed="false">
      <c r="A4148" s="10" t="s">
        <v>6489</v>
      </c>
      <c r="B4148" s="10" t="s">
        <v>81</v>
      </c>
      <c r="C4148" s="10" t="s">
        <v>51</v>
      </c>
      <c r="D4148" s="10" t="s">
        <v>414</v>
      </c>
      <c r="E4148" s="10" t="s">
        <v>2345</v>
      </c>
      <c r="F4148" s="30" t="n">
        <v>42904</v>
      </c>
      <c r="G4148" s="30" t="n">
        <v>42981</v>
      </c>
      <c r="H4148" s="26" t="n">
        <f aca="false">G4148-F4148</f>
        <v>77</v>
      </c>
      <c r="I4148" s="10" t="n">
        <f aca="false">IF(E4148="Won",1,0)</f>
        <v>0</v>
      </c>
    </row>
    <row r="4149" customFormat="false" ht="15" hidden="false" customHeight="false" outlineLevel="0" collapsed="false">
      <c r="A4149" s="10" t="s">
        <v>6490</v>
      </c>
      <c r="B4149" s="10" t="s">
        <v>57</v>
      </c>
      <c r="C4149" s="10" t="s">
        <v>51</v>
      </c>
      <c r="D4149" s="10" t="s">
        <v>441</v>
      </c>
      <c r="E4149" s="10" t="s">
        <v>2342</v>
      </c>
      <c r="F4149" s="30" t="n">
        <v>42959</v>
      </c>
      <c r="G4149" s="30" t="n">
        <v>42981</v>
      </c>
      <c r="H4149" s="26" t="n">
        <f aca="false">G4149-F4149</f>
        <v>22</v>
      </c>
      <c r="I4149" s="10" t="n">
        <f aca="false">IF(E4149="Won",1,0)</f>
        <v>1</v>
      </c>
    </row>
    <row r="4150" customFormat="false" ht="15" hidden="false" customHeight="false" outlineLevel="0" collapsed="false">
      <c r="A4150" s="10" t="s">
        <v>6491</v>
      </c>
      <c r="B4150" s="10" t="s">
        <v>62</v>
      </c>
      <c r="C4150" s="10" t="s">
        <v>52</v>
      </c>
      <c r="D4150" s="10" t="s">
        <v>254</v>
      </c>
      <c r="E4150" s="10" t="s">
        <v>2342</v>
      </c>
      <c r="F4150" s="30" t="n">
        <v>42971</v>
      </c>
      <c r="G4150" s="30" t="n">
        <v>42981</v>
      </c>
      <c r="H4150" s="26" t="n">
        <f aca="false">G4150-F4150</f>
        <v>10</v>
      </c>
      <c r="I4150" s="10" t="n">
        <f aca="false">IF(E4150="Won",1,0)</f>
        <v>1</v>
      </c>
    </row>
    <row r="4151" customFormat="false" ht="15" hidden="false" customHeight="false" outlineLevel="0" collapsed="false">
      <c r="A4151" s="10" t="s">
        <v>6492</v>
      </c>
      <c r="B4151" s="10" t="s">
        <v>94</v>
      </c>
      <c r="C4151" s="10" t="s">
        <v>51</v>
      </c>
      <c r="D4151" s="10" t="s">
        <v>606</v>
      </c>
      <c r="E4151" s="10" t="s">
        <v>2345</v>
      </c>
      <c r="F4151" s="30" t="n">
        <v>42891</v>
      </c>
      <c r="G4151" s="30" t="n">
        <v>42981</v>
      </c>
      <c r="H4151" s="26" t="n">
        <f aca="false">G4151-F4151</f>
        <v>90</v>
      </c>
      <c r="I4151" s="10" t="n">
        <f aca="false">IF(E4151="Won",1,0)</f>
        <v>0</v>
      </c>
    </row>
    <row r="4152" customFormat="false" ht="15" hidden="false" customHeight="false" outlineLevel="0" collapsed="false">
      <c r="A4152" s="10" t="s">
        <v>6493</v>
      </c>
      <c r="B4152" s="10" t="s">
        <v>96</v>
      </c>
      <c r="C4152" s="10" t="s">
        <v>52</v>
      </c>
      <c r="D4152" s="10" t="s">
        <v>210</v>
      </c>
      <c r="E4152" s="10" t="s">
        <v>2342</v>
      </c>
      <c r="F4152" s="30" t="n">
        <v>42905</v>
      </c>
      <c r="G4152" s="30" t="n">
        <v>42981</v>
      </c>
      <c r="H4152" s="26" t="n">
        <f aca="false">G4152-F4152</f>
        <v>76</v>
      </c>
      <c r="I4152" s="10" t="n">
        <f aca="false">IF(E4152="Won",1,0)</f>
        <v>1</v>
      </c>
    </row>
    <row r="4153" customFormat="false" ht="15" hidden="false" customHeight="false" outlineLevel="0" collapsed="false">
      <c r="A4153" s="10" t="s">
        <v>6494</v>
      </c>
      <c r="B4153" s="10" t="s">
        <v>87</v>
      </c>
      <c r="C4153" s="10" t="s">
        <v>49</v>
      </c>
      <c r="D4153" s="10" t="s">
        <v>453</v>
      </c>
      <c r="E4153" s="10" t="s">
        <v>2345</v>
      </c>
      <c r="F4153" s="30" t="n">
        <v>42865</v>
      </c>
      <c r="G4153" s="30" t="n">
        <v>42981</v>
      </c>
      <c r="H4153" s="26" t="n">
        <f aca="false">G4153-F4153</f>
        <v>116</v>
      </c>
      <c r="I4153" s="10" t="n">
        <f aca="false">IF(E4153="Won",1,0)</f>
        <v>0</v>
      </c>
    </row>
    <row r="4154" customFormat="false" ht="15" hidden="false" customHeight="false" outlineLevel="0" collapsed="false">
      <c r="A4154" s="10" t="s">
        <v>6495</v>
      </c>
      <c r="B4154" s="10" t="s">
        <v>77</v>
      </c>
      <c r="C4154" s="10" t="s">
        <v>49</v>
      </c>
      <c r="D4154" s="10" t="s">
        <v>869</v>
      </c>
      <c r="E4154" s="10" t="s">
        <v>2342</v>
      </c>
      <c r="F4154" s="30" t="n">
        <v>42934</v>
      </c>
      <c r="G4154" s="30" t="n">
        <v>42981</v>
      </c>
      <c r="H4154" s="26" t="n">
        <f aca="false">G4154-F4154</f>
        <v>47</v>
      </c>
      <c r="I4154" s="10" t="n">
        <f aca="false">IF(E4154="Won",1,0)</f>
        <v>1</v>
      </c>
    </row>
    <row r="4155" customFormat="false" ht="15" hidden="false" customHeight="false" outlineLevel="0" collapsed="false">
      <c r="A4155" s="10" t="s">
        <v>6496</v>
      </c>
      <c r="B4155" s="10" t="s">
        <v>76</v>
      </c>
      <c r="C4155" s="10" t="s">
        <v>52</v>
      </c>
      <c r="D4155" s="10" t="s">
        <v>527</v>
      </c>
      <c r="E4155" s="10" t="s">
        <v>2342</v>
      </c>
      <c r="F4155" s="30" t="n">
        <v>42971</v>
      </c>
      <c r="G4155" s="30" t="n">
        <v>42981</v>
      </c>
      <c r="H4155" s="26" t="n">
        <f aca="false">G4155-F4155</f>
        <v>10</v>
      </c>
      <c r="I4155" s="10" t="n">
        <f aca="false">IF(E4155="Won",1,0)</f>
        <v>1</v>
      </c>
    </row>
    <row r="4156" customFormat="false" ht="15" hidden="false" customHeight="false" outlineLevel="0" collapsed="false">
      <c r="A4156" s="10" t="s">
        <v>6497</v>
      </c>
      <c r="B4156" s="10" t="s">
        <v>84</v>
      </c>
      <c r="C4156" s="10" t="s">
        <v>48</v>
      </c>
      <c r="D4156" s="10" t="s">
        <v>218</v>
      </c>
      <c r="E4156" s="10" t="s">
        <v>2342</v>
      </c>
      <c r="F4156" s="30" t="n">
        <v>42977</v>
      </c>
      <c r="G4156" s="30" t="n">
        <v>42982</v>
      </c>
      <c r="H4156" s="26" t="n">
        <f aca="false">G4156-F4156</f>
        <v>5</v>
      </c>
      <c r="I4156" s="10" t="n">
        <f aca="false">IF(E4156="Won",1,0)</f>
        <v>1</v>
      </c>
    </row>
    <row r="4157" customFormat="false" ht="15" hidden="false" customHeight="false" outlineLevel="0" collapsed="false">
      <c r="A4157" s="10" t="s">
        <v>6498</v>
      </c>
      <c r="B4157" s="10" t="s">
        <v>77</v>
      </c>
      <c r="C4157" s="10" t="s">
        <v>51</v>
      </c>
      <c r="D4157" s="10" t="s">
        <v>179</v>
      </c>
      <c r="E4157" s="10" t="s">
        <v>2345</v>
      </c>
      <c r="F4157" s="30" t="n">
        <v>42899</v>
      </c>
      <c r="G4157" s="30" t="n">
        <v>42982</v>
      </c>
      <c r="H4157" s="26" t="n">
        <f aca="false">G4157-F4157</f>
        <v>83</v>
      </c>
      <c r="I4157" s="10" t="n">
        <f aca="false">IF(E4157="Won",1,0)</f>
        <v>0</v>
      </c>
    </row>
    <row r="4158" customFormat="false" ht="15" hidden="false" customHeight="false" outlineLevel="0" collapsed="false">
      <c r="A4158" s="10" t="s">
        <v>6499</v>
      </c>
      <c r="B4158" s="10" t="s">
        <v>97</v>
      </c>
      <c r="C4158" s="10" t="s">
        <v>49</v>
      </c>
      <c r="D4158" s="10" t="s">
        <v>348</v>
      </c>
      <c r="E4158" s="10" t="s">
        <v>2342</v>
      </c>
      <c r="F4158" s="30" t="n">
        <v>42898</v>
      </c>
      <c r="G4158" s="30" t="n">
        <v>42982</v>
      </c>
      <c r="H4158" s="26" t="n">
        <f aca="false">G4158-F4158</f>
        <v>84</v>
      </c>
      <c r="I4158" s="10" t="n">
        <f aca="false">IF(E4158="Won",1,0)</f>
        <v>1</v>
      </c>
    </row>
    <row r="4159" customFormat="false" ht="15" hidden="false" customHeight="false" outlineLevel="0" collapsed="false">
      <c r="A4159" s="10" t="s">
        <v>6500</v>
      </c>
      <c r="B4159" s="10" t="s">
        <v>68</v>
      </c>
      <c r="C4159" s="10" t="s">
        <v>51</v>
      </c>
      <c r="D4159" s="10" t="s">
        <v>396</v>
      </c>
      <c r="E4159" s="10" t="s">
        <v>2342</v>
      </c>
      <c r="F4159" s="30" t="n">
        <v>42865</v>
      </c>
      <c r="G4159" s="30" t="n">
        <v>42982</v>
      </c>
      <c r="H4159" s="26" t="n">
        <f aca="false">G4159-F4159</f>
        <v>117</v>
      </c>
      <c r="I4159" s="10" t="n">
        <f aca="false">IF(E4159="Won",1,0)</f>
        <v>1</v>
      </c>
    </row>
    <row r="4160" customFormat="false" ht="15" hidden="false" customHeight="false" outlineLevel="0" collapsed="false">
      <c r="A4160" s="10" t="s">
        <v>6501</v>
      </c>
      <c r="B4160" s="10" t="s">
        <v>90</v>
      </c>
      <c r="C4160" s="10" t="s">
        <v>50</v>
      </c>
      <c r="D4160" s="10" t="s">
        <v>405</v>
      </c>
      <c r="E4160" s="10" t="s">
        <v>2342</v>
      </c>
      <c r="F4160" s="30" t="n">
        <v>42882</v>
      </c>
      <c r="G4160" s="30" t="n">
        <v>42982</v>
      </c>
      <c r="H4160" s="26" t="n">
        <f aca="false">G4160-F4160</f>
        <v>100</v>
      </c>
      <c r="I4160" s="10" t="n">
        <f aca="false">IF(E4160="Won",1,0)</f>
        <v>1</v>
      </c>
    </row>
    <row r="4161" customFormat="false" ht="15" hidden="false" customHeight="false" outlineLevel="0" collapsed="false">
      <c r="A4161" s="10" t="s">
        <v>6502</v>
      </c>
      <c r="B4161" s="10" t="s">
        <v>88</v>
      </c>
      <c r="C4161" s="10" t="s">
        <v>49</v>
      </c>
      <c r="D4161" s="10" t="s">
        <v>1334</v>
      </c>
      <c r="E4161" s="10" t="s">
        <v>2342</v>
      </c>
      <c r="F4161" s="30" t="n">
        <v>42890</v>
      </c>
      <c r="G4161" s="30" t="n">
        <v>42982</v>
      </c>
      <c r="H4161" s="26" t="n">
        <f aca="false">G4161-F4161</f>
        <v>92</v>
      </c>
      <c r="I4161" s="10" t="n">
        <f aca="false">IF(E4161="Won",1,0)</f>
        <v>1</v>
      </c>
    </row>
    <row r="4162" customFormat="false" ht="15" hidden="false" customHeight="false" outlineLevel="0" collapsed="false">
      <c r="A4162" s="10" t="s">
        <v>6503</v>
      </c>
      <c r="B4162" s="10" t="s">
        <v>81</v>
      </c>
      <c r="C4162" s="10" t="s">
        <v>49</v>
      </c>
      <c r="D4162" s="10" t="s">
        <v>697</v>
      </c>
      <c r="E4162" s="10" t="s">
        <v>2345</v>
      </c>
      <c r="F4162" s="30" t="n">
        <v>42893</v>
      </c>
      <c r="G4162" s="30" t="n">
        <v>42982</v>
      </c>
      <c r="H4162" s="26" t="n">
        <f aca="false">G4162-F4162</f>
        <v>89</v>
      </c>
      <c r="I4162" s="10" t="n">
        <f aca="false">IF(E4162="Won",1,0)</f>
        <v>0</v>
      </c>
    </row>
    <row r="4163" customFormat="false" ht="15" hidden="false" customHeight="false" outlineLevel="0" collapsed="false">
      <c r="A4163" s="10" t="s">
        <v>6504</v>
      </c>
      <c r="B4163" s="10" t="s">
        <v>61</v>
      </c>
      <c r="C4163" s="10" t="s">
        <v>48</v>
      </c>
      <c r="D4163" s="10" t="s">
        <v>218</v>
      </c>
      <c r="E4163" s="10" t="s">
        <v>2342</v>
      </c>
      <c r="F4163" s="30" t="n">
        <v>42945</v>
      </c>
      <c r="G4163" s="30" t="n">
        <v>42982</v>
      </c>
      <c r="H4163" s="26" t="n">
        <f aca="false">G4163-F4163</f>
        <v>37</v>
      </c>
      <c r="I4163" s="10" t="n">
        <f aca="false">IF(E4163="Won",1,0)</f>
        <v>1</v>
      </c>
    </row>
    <row r="4164" customFormat="false" ht="15" hidden="false" customHeight="false" outlineLevel="0" collapsed="false">
      <c r="A4164" s="10" t="s">
        <v>6505</v>
      </c>
      <c r="B4164" s="10" t="s">
        <v>57</v>
      </c>
      <c r="C4164" s="10" t="s">
        <v>51</v>
      </c>
      <c r="D4164" s="10" t="s">
        <v>674</v>
      </c>
      <c r="E4164" s="10" t="s">
        <v>2342</v>
      </c>
      <c r="F4164" s="30" t="n">
        <v>42874</v>
      </c>
      <c r="G4164" s="30" t="n">
        <v>42982</v>
      </c>
      <c r="H4164" s="26" t="n">
        <f aca="false">G4164-F4164</f>
        <v>108</v>
      </c>
      <c r="I4164" s="10" t="n">
        <f aca="false">IF(E4164="Won",1,0)</f>
        <v>1</v>
      </c>
    </row>
    <row r="4165" customFormat="false" ht="15" hidden="false" customHeight="false" outlineLevel="0" collapsed="false">
      <c r="A4165" s="10" t="s">
        <v>6506</v>
      </c>
      <c r="B4165" s="10" t="s">
        <v>75</v>
      </c>
      <c r="C4165" s="10" t="s">
        <v>52</v>
      </c>
      <c r="D4165" s="10" t="s">
        <v>869</v>
      </c>
      <c r="E4165" s="10" t="s">
        <v>2342</v>
      </c>
      <c r="F4165" s="30" t="n">
        <v>42905</v>
      </c>
      <c r="G4165" s="30" t="n">
        <v>42982</v>
      </c>
      <c r="H4165" s="26" t="n">
        <f aca="false">G4165-F4165</f>
        <v>77</v>
      </c>
      <c r="I4165" s="10" t="n">
        <f aca="false">IF(E4165="Won",1,0)</f>
        <v>1</v>
      </c>
    </row>
    <row r="4166" customFormat="false" ht="15" hidden="false" customHeight="false" outlineLevel="0" collapsed="false">
      <c r="A4166" s="10" t="s">
        <v>6507</v>
      </c>
      <c r="B4166" s="10" t="s">
        <v>79</v>
      </c>
      <c r="C4166" s="10" t="s">
        <v>49</v>
      </c>
      <c r="D4166" s="10" t="s">
        <v>369</v>
      </c>
      <c r="E4166" s="10" t="s">
        <v>2342</v>
      </c>
      <c r="F4166" s="30" t="n">
        <v>42902</v>
      </c>
      <c r="G4166" s="30" t="n">
        <v>42982</v>
      </c>
      <c r="H4166" s="26" t="n">
        <f aca="false">G4166-F4166</f>
        <v>80</v>
      </c>
      <c r="I4166" s="10" t="n">
        <f aca="false">IF(E4166="Won",1,0)</f>
        <v>1</v>
      </c>
    </row>
    <row r="4167" customFormat="false" ht="15" hidden="false" customHeight="false" outlineLevel="0" collapsed="false">
      <c r="A4167" s="10" t="s">
        <v>6508</v>
      </c>
      <c r="B4167" s="10" t="s">
        <v>61</v>
      </c>
      <c r="C4167" s="10" t="s">
        <v>49</v>
      </c>
      <c r="D4167" s="10" t="s">
        <v>233</v>
      </c>
      <c r="E4167" s="10" t="s">
        <v>2342</v>
      </c>
      <c r="F4167" s="30" t="n">
        <v>42964</v>
      </c>
      <c r="G4167" s="30" t="n">
        <v>42982</v>
      </c>
      <c r="H4167" s="26" t="n">
        <f aca="false">G4167-F4167</f>
        <v>18</v>
      </c>
      <c r="I4167" s="10" t="n">
        <f aca="false">IF(E4167="Won",1,0)</f>
        <v>1</v>
      </c>
    </row>
    <row r="4168" customFormat="false" ht="15" hidden="false" customHeight="false" outlineLevel="0" collapsed="false">
      <c r="A4168" s="10" t="s">
        <v>6509</v>
      </c>
      <c r="B4168" s="10" t="s">
        <v>80</v>
      </c>
      <c r="C4168" s="10" t="s">
        <v>51</v>
      </c>
      <c r="D4168" s="10" t="s">
        <v>483</v>
      </c>
      <c r="E4168" s="10" t="s">
        <v>2342</v>
      </c>
      <c r="F4168" s="30" t="n">
        <v>42888</v>
      </c>
      <c r="G4168" s="30" t="n">
        <v>42982</v>
      </c>
      <c r="H4168" s="26" t="n">
        <f aca="false">G4168-F4168</f>
        <v>94</v>
      </c>
      <c r="I4168" s="10" t="n">
        <f aca="false">IF(E4168="Won",1,0)</f>
        <v>1</v>
      </c>
    </row>
    <row r="4169" customFormat="false" ht="15" hidden="false" customHeight="false" outlineLevel="0" collapsed="false">
      <c r="A4169" s="10" t="s">
        <v>6510</v>
      </c>
      <c r="B4169" s="10" t="s">
        <v>68</v>
      </c>
      <c r="C4169" s="10" t="s">
        <v>47</v>
      </c>
      <c r="D4169" s="10" t="s">
        <v>199</v>
      </c>
      <c r="E4169" s="10" t="s">
        <v>2342</v>
      </c>
      <c r="F4169" s="30" t="n">
        <v>42908</v>
      </c>
      <c r="G4169" s="30" t="n">
        <v>42982</v>
      </c>
      <c r="H4169" s="26" t="n">
        <f aca="false">G4169-F4169</f>
        <v>74</v>
      </c>
      <c r="I4169" s="10" t="n">
        <f aca="false">IF(E4169="Won",1,0)</f>
        <v>1</v>
      </c>
    </row>
    <row r="4170" customFormat="false" ht="15" hidden="false" customHeight="false" outlineLevel="0" collapsed="false">
      <c r="A4170" s="10" t="s">
        <v>6511</v>
      </c>
      <c r="B4170" s="10" t="s">
        <v>94</v>
      </c>
      <c r="C4170" s="10" t="s">
        <v>52</v>
      </c>
      <c r="D4170" s="10" t="s">
        <v>437</v>
      </c>
      <c r="E4170" s="10" t="s">
        <v>2342</v>
      </c>
      <c r="F4170" s="30" t="n">
        <v>42963</v>
      </c>
      <c r="G4170" s="30" t="n">
        <v>42982</v>
      </c>
      <c r="H4170" s="26" t="n">
        <f aca="false">G4170-F4170</f>
        <v>19</v>
      </c>
      <c r="I4170" s="10" t="n">
        <f aca="false">IF(E4170="Won",1,0)</f>
        <v>1</v>
      </c>
    </row>
    <row r="4171" customFormat="false" ht="15" hidden="false" customHeight="false" outlineLevel="0" collapsed="false">
      <c r="A4171" s="10" t="s">
        <v>6512</v>
      </c>
      <c r="B4171" s="10" t="s">
        <v>96</v>
      </c>
      <c r="C4171" s="10" t="s">
        <v>52</v>
      </c>
      <c r="D4171" s="10" t="s">
        <v>233</v>
      </c>
      <c r="E4171" s="10" t="s">
        <v>2342</v>
      </c>
      <c r="F4171" s="30" t="n">
        <v>42895</v>
      </c>
      <c r="G4171" s="30" t="n">
        <v>42983</v>
      </c>
      <c r="H4171" s="26" t="n">
        <f aca="false">G4171-F4171</f>
        <v>88</v>
      </c>
      <c r="I4171" s="10" t="n">
        <f aca="false">IF(E4171="Won",1,0)</f>
        <v>1</v>
      </c>
    </row>
    <row r="4172" customFormat="false" ht="15" hidden="false" customHeight="false" outlineLevel="0" collapsed="false">
      <c r="A4172" s="10" t="s">
        <v>6513</v>
      </c>
      <c r="B4172" s="10" t="s">
        <v>84</v>
      </c>
      <c r="C4172" s="10" t="s">
        <v>50</v>
      </c>
      <c r="D4172" s="10" t="s">
        <v>332</v>
      </c>
      <c r="E4172" s="10" t="s">
        <v>2342</v>
      </c>
      <c r="F4172" s="30" t="n">
        <v>42975</v>
      </c>
      <c r="G4172" s="30" t="n">
        <v>42983</v>
      </c>
      <c r="H4172" s="26" t="n">
        <f aca="false">G4172-F4172</f>
        <v>8</v>
      </c>
      <c r="I4172" s="10" t="n">
        <f aca="false">IF(E4172="Won",1,0)</f>
        <v>1</v>
      </c>
    </row>
    <row r="4173" customFormat="false" ht="15" hidden="false" customHeight="false" outlineLevel="0" collapsed="false">
      <c r="A4173" s="10" t="s">
        <v>6514</v>
      </c>
      <c r="B4173" s="10" t="s">
        <v>94</v>
      </c>
      <c r="C4173" s="10" t="s">
        <v>51</v>
      </c>
      <c r="D4173" s="10" t="s">
        <v>396</v>
      </c>
      <c r="E4173" s="10" t="s">
        <v>2342</v>
      </c>
      <c r="F4173" s="30" t="n">
        <v>42888</v>
      </c>
      <c r="G4173" s="30" t="n">
        <v>42983</v>
      </c>
      <c r="H4173" s="26" t="n">
        <f aca="false">G4173-F4173</f>
        <v>95</v>
      </c>
      <c r="I4173" s="10" t="n">
        <f aca="false">IF(E4173="Won",1,0)</f>
        <v>1</v>
      </c>
    </row>
    <row r="4174" customFormat="false" ht="15" hidden="false" customHeight="false" outlineLevel="0" collapsed="false">
      <c r="A4174" s="10" t="s">
        <v>6515</v>
      </c>
      <c r="B4174" s="10" t="s">
        <v>84</v>
      </c>
      <c r="C4174" s="10" t="s">
        <v>50</v>
      </c>
      <c r="D4174" s="10" t="s">
        <v>274</v>
      </c>
      <c r="E4174" s="10" t="s">
        <v>2342</v>
      </c>
      <c r="F4174" s="30" t="n">
        <v>42888</v>
      </c>
      <c r="G4174" s="30" t="n">
        <v>42983</v>
      </c>
      <c r="H4174" s="26" t="n">
        <f aca="false">G4174-F4174</f>
        <v>95</v>
      </c>
      <c r="I4174" s="10" t="n">
        <f aca="false">IF(E4174="Won",1,0)</f>
        <v>1</v>
      </c>
    </row>
    <row r="4175" customFormat="false" ht="15" hidden="false" customHeight="false" outlineLevel="0" collapsed="false">
      <c r="A4175" s="10" t="s">
        <v>6516</v>
      </c>
      <c r="B4175" s="10" t="s">
        <v>95</v>
      </c>
      <c r="C4175" s="10" t="s">
        <v>51</v>
      </c>
      <c r="D4175" s="10" t="s">
        <v>227</v>
      </c>
      <c r="E4175" s="10" t="s">
        <v>2342</v>
      </c>
      <c r="F4175" s="30" t="n">
        <v>42888</v>
      </c>
      <c r="G4175" s="30" t="n">
        <v>42983</v>
      </c>
      <c r="H4175" s="26" t="n">
        <f aca="false">G4175-F4175</f>
        <v>95</v>
      </c>
      <c r="I4175" s="10" t="n">
        <f aca="false">IF(E4175="Won",1,0)</f>
        <v>1</v>
      </c>
    </row>
    <row r="4176" customFormat="false" ht="15" hidden="false" customHeight="false" outlineLevel="0" collapsed="false">
      <c r="A4176" s="10" t="s">
        <v>6517</v>
      </c>
      <c r="B4176" s="10" t="s">
        <v>80</v>
      </c>
      <c r="C4176" s="10" t="s">
        <v>51</v>
      </c>
      <c r="D4176" s="10" t="s">
        <v>512</v>
      </c>
      <c r="E4176" s="10" t="s">
        <v>2342</v>
      </c>
      <c r="F4176" s="30" t="n">
        <v>42972</v>
      </c>
      <c r="G4176" s="30" t="n">
        <v>42983</v>
      </c>
      <c r="H4176" s="26" t="n">
        <f aca="false">G4176-F4176</f>
        <v>11</v>
      </c>
      <c r="I4176" s="10" t="n">
        <f aca="false">IF(E4176="Won",1,0)</f>
        <v>1</v>
      </c>
    </row>
    <row r="4177" customFormat="false" ht="15" hidden="false" customHeight="false" outlineLevel="0" collapsed="false">
      <c r="A4177" s="10" t="s">
        <v>6518</v>
      </c>
      <c r="B4177" s="10" t="s">
        <v>71</v>
      </c>
      <c r="C4177" s="10" t="s">
        <v>50</v>
      </c>
      <c r="D4177" s="10" t="s">
        <v>597</v>
      </c>
      <c r="E4177" s="10" t="s">
        <v>2345</v>
      </c>
      <c r="F4177" s="30" t="n">
        <v>42976</v>
      </c>
      <c r="G4177" s="30" t="n">
        <v>42983</v>
      </c>
      <c r="H4177" s="26" t="n">
        <f aca="false">G4177-F4177</f>
        <v>7</v>
      </c>
      <c r="I4177" s="10" t="n">
        <f aca="false">IF(E4177="Won",1,0)</f>
        <v>0</v>
      </c>
    </row>
    <row r="4178" customFormat="false" ht="15" hidden="false" customHeight="false" outlineLevel="0" collapsed="false">
      <c r="A4178" s="10" t="s">
        <v>6519</v>
      </c>
      <c r="B4178" s="10" t="s">
        <v>90</v>
      </c>
      <c r="C4178" s="10" t="s">
        <v>51</v>
      </c>
      <c r="D4178" s="10" t="s">
        <v>637</v>
      </c>
      <c r="E4178" s="10" t="s">
        <v>2342</v>
      </c>
      <c r="F4178" s="30" t="n">
        <v>42896</v>
      </c>
      <c r="G4178" s="30" t="n">
        <v>42983</v>
      </c>
      <c r="H4178" s="26" t="n">
        <f aca="false">G4178-F4178</f>
        <v>87</v>
      </c>
      <c r="I4178" s="10" t="n">
        <f aca="false">IF(E4178="Won",1,0)</f>
        <v>1</v>
      </c>
    </row>
    <row r="4179" customFormat="false" ht="15" hidden="false" customHeight="false" outlineLevel="0" collapsed="false">
      <c r="A4179" s="10" t="s">
        <v>6520</v>
      </c>
      <c r="B4179" s="10" t="s">
        <v>79</v>
      </c>
      <c r="C4179" s="10" t="s">
        <v>47</v>
      </c>
      <c r="D4179" s="10" t="s">
        <v>414</v>
      </c>
      <c r="E4179" s="10" t="s">
        <v>2345</v>
      </c>
      <c r="F4179" s="30" t="n">
        <v>42962</v>
      </c>
      <c r="G4179" s="30" t="n">
        <v>42983</v>
      </c>
      <c r="H4179" s="26" t="n">
        <f aca="false">G4179-F4179</f>
        <v>21</v>
      </c>
      <c r="I4179" s="10" t="n">
        <f aca="false">IF(E4179="Won",1,0)</f>
        <v>0</v>
      </c>
    </row>
    <row r="4180" customFormat="false" ht="15" hidden="false" customHeight="false" outlineLevel="0" collapsed="false">
      <c r="A4180" s="10" t="s">
        <v>6521</v>
      </c>
      <c r="B4180" s="10" t="s">
        <v>76</v>
      </c>
      <c r="C4180" s="10" t="s">
        <v>52</v>
      </c>
      <c r="D4180" s="10" t="s">
        <v>536</v>
      </c>
      <c r="E4180" s="10" t="s">
        <v>2345</v>
      </c>
      <c r="F4180" s="30" t="n">
        <v>42970</v>
      </c>
      <c r="G4180" s="30" t="n">
        <v>42983</v>
      </c>
      <c r="H4180" s="26" t="n">
        <f aca="false">G4180-F4180</f>
        <v>13</v>
      </c>
      <c r="I4180" s="10" t="n">
        <f aca="false">IF(E4180="Won",1,0)</f>
        <v>0</v>
      </c>
    </row>
    <row r="4181" customFormat="false" ht="15" hidden="false" customHeight="false" outlineLevel="0" collapsed="false">
      <c r="A4181" s="10" t="s">
        <v>6522</v>
      </c>
      <c r="B4181" s="10" t="s">
        <v>95</v>
      </c>
      <c r="C4181" s="10" t="s">
        <v>48</v>
      </c>
      <c r="D4181" s="10" t="s">
        <v>424</v>
      </c>
      <c r="E4181" s="10" t="s">
        <v>2342</v>
      </c>
      <c r="F4181" s="30" t="n">
        <v>42891</v>
      </c>
      <c r="G4181" s="30" t="n">
        <v>42983</v>
      </c>
      <c r="H4181" s="26" t="n">
        <f aca="false">G4181-F4181</f>
        <v>92</v>
      </c>
      <c r="I4181" s="10" t="n">
        <f aca="false">IF(E4181="Won",1,0)</f>
        <v>1</v>
      </c>
    </row>
    <row r="4182" customFormat="false" ht="15" hidden="false" customHeight="false" outlineLevel="0" collapsed="false">
      <c r="A4182" s="10" t="s">
        <v>6523</v>
      </c>
      <c r="B4182" s="10" t="s">
        <v>88</v>
      </c>
      <c r="C4182" s="10" t="s">
        <v>50</v>
      </c>
      <c r="D4182" s="10" t="s">
        <v>247</v>
      </c>
      <c r="E4182" s="10" t="s">
        <v>2342</v>
      </c>
      <c r="F4182" s="30" t="n">
        <v>42873</v>
      </c>
      <c r="G4182" s="30" t="n">
        <v>42983</v>
      </c>
      <c r="H4182" s="26" t="n">
        <f aca="false">G4182-F4182</f>
        <v>110</v>
      </c>
      <c r="I4182" s="10" t="n">
        <f aca="false">IF(E4182="Won",1,0)</f>
        <v>1</v>
      </c>
    </row>
    <row r="4183" customFormat="false" ht="15" hidden="false" customHeight="false" outlineLevel="0" collapsed="false">
      <c r="A4183" s="10" t="s">
        <v>6524</v>
      </c>
      <c r="B4183" s="10" t="s">
        <v>93</v>
      </c>
      <c r="C4183" s="10" t="s">
        <v>47</v>
      </c>
      <c r="D4183" s="10" t="s">
        <v>199</v>
      </c>
      <c r="E4183" s="10" t="s">
        <v>2342</v>
      </c>
      <c r="F4183" s="30" t="n">
        <v>42888</v>
      </c>
      <c r="G4183" s="30" t="n">
        <v>42983</v>
      </c>
      <c r="H4183" s="26" t="n">
        <f aca="false">G4183-F4183</f>
        <v>95</v>
      </c>
      <c r="I4183" s="10" t="n">
        <f aca="false">IF(E4183="Won",1,0)</f>
        <v>1</v>
      </c>
    </row>
    <row r="4184" customFormat="false" ht="15" hidden="false" customHeight="false" outlineLevel="0" collapsed="false">
      <c r="A4184" s="10" t="s">
        <v>6525</v>
      </c>
      <c r="B4184" s="10" t="s">
        <v>66</v>
      </c>
      <c r="C4184" s="10" t="s">
        <v>52</v>
      </c>
      <c r="D4184" s="10" t="s">
        <v>299</v>
      </c>
      <c r="E4184" s="10" t="s">
        <v>2342</v>
      </c>
      <c r="F4184" s="30" t="n">
        <v>42863</v>
      </c>
      <c r="G4184" s="30" t="n">
        <v>42983</v>
      </c>
      <c r="H4184" s="26" t="n">
        <f aca="false">G4184-F4184</f>
        <v>120</v>
      </c>
      <c r="I4184" s="10" t="n">
        <f aca="false">IF(E4184="Won",1,0)</f>
        <v>1</v>
      </c>
    </row>
    <row r="4185" customFormat="false" ht="15" hidden="false" customHeight="false" outlineLevel="0" collapsed="false">
      <c r="A4185" s="10" t="s">
        <v>6526</v>
      </c>
      <c r="B4185" s="10" t="s">
        <v>68</v>
      </c>
      <c r="C4185" s="10" t="s">
        <v>48</v>
      </c>
      <c r="D4185" s="10" t="s">
        <v>396</v>
      </c>
      <c r="E4185" s="10" t="s">
        <v>2342</v>
      </c>
      <c r="F4185" s="30" t="n">
        <v>42923</v>
      </c>
      <c r="G4185" s="30" t="n">
        <v>42983</v>
      </c>
      <c r="H4185" s="26" t="n">
        <f aca="false">G4185-F4185</f>
        <v>60</v>
      </c>
      <c r="I4185" s="10" t="n">
        <f aca="false">IF(E4185="Won",1,0)</f>
        <v>1</v>
      </c>
    </row>
    <row r="4186" customFormat="false" ht="15" hidden="false" customHeight="false" outlineLevel="0" collapsed="false">
      <c r="A4186" s="10" t="s">
        <v>6527</v>
      </c>
      <c r="B4186" s="10" t="s">
        <v>71</v>
      </c>
      <c r="C4186" s="10" t="s">
        <v>51</v>
      </c>
      <c r="D4186" s="10" t="s">
        <v>410</v>
      </c>
      <c r="E4186" s="10" t="s">
        <v>2342</v>
      </c>
      <c r="F4186" s="30" t="n">
        <v>42974</v>
      </c>
      <c r="G4186" s="30" t="n">
        <v>42983</v>
      </c>
      <c r="H4186" s="26" t="n">
        <f aca="false">G4186-F4186</f>
        <v>9</v>
      </c>
      <c r="I4186" s="10" t="n">
        <f aca="false">IF(E4186="Won",1,0)</f>
        <v>1</v>
      </c>
    </row>
    <row r="4187" customFormat="false" ht="15" hidden="false" customHeight="false" outlineLevel="0" collapsed="false">
      <c r="A4187" s="10" t="s">
        <v>6528</v>
      </c>
      <c r="B4187" s="10" t="s">
        <v>86</v>
      </c>
      <c r="C4187" s="10" t="s">
        <v>50</v>
      </c>
      <c r="D4187" s="10" t="s">
        <v>532</v>
      </c>
      <c r="E4187" s="10" t="s">
        <v>2342</v>
      </c>
      <c r="F4187" s="30" t="n">
        <v>42939</v>
      </c>
      <c r="G4187" s="30" t="n">
        <v>42983</v>
      </c>
      <c r="H4187" s="26" t="n">
        <f aca="false">G4187-F4187</f>
        <v>44</v>
      </c>
      <c r="I4187" s="10" t="n">
        <f aca="false">IF(E4187="Won",1,0)</f>
        <v>1</v>
      </c>
    </row>
    <row r="4188" customFormat="false" ht="15" hidden="false" customHeight="false" outlineLevel="0" collapsed="false">
      <c r="A4188" s="10" t="s">
        <v>6529</v>
      </c>
      <c r="B4188" s="10" t="s">
        <v>66</v>
      </c>
      <c r="C4188" s="10" t="s">
        <v>52</v>
      </c>
      <c r="D4188" s="10" t="s">
        <v>487</v>
      </c>
      <c r="E4188" s="10" t="s">
        <v>2345</v>
      </c>
      <c r="F4188" s="30" t="n">
        <v>42886</v>
      </c>
      <c r="G4188" s="30" t="n">
        <v>42983</v>
      </c>
      <c r="H4188" s="26" t="n">
        <f aca="false">G4188-F4188</f>
        <v>97</v>
      </c>
      <c r="I4188" s="10" t="n">
        <f aca="false">IF(E4188="Won",1,0)</f>
        <v>0</v>
      </c>
    </row>
    <row r="4189" customFormat="false" ht="15" hidden="false" customHeight="false" outlineLevel="0" collapsed="false">
      <c r="A4189" s="10" t="s">
        <v>6530</v>
      </c>
      <c r="B4189" s="10" t="s">
        <v>61</v>
      </c>
      <c r="C4189" s="10" t="s">
        <v>48</v>
      </c>
      <c r="D4189" s="10" t="s">
        <v>455</v>
      </c>
      <c r="E4189" s="10" t="s">
        <v>2342</v>
      </c>
      <c r="F4189" s="30" t="n">
        <v>42976</v>
      </c>
      <c r="G4189" s="30" t="n">
        <v>42983</v>
      </c>
      <c r="H4189" s="26" t="n">
        <f aca="false">G4189-F4189</f>
        <v>7</v>
      </c>
      <c r="I4189" s="10" t="n">
        <f aca="false">IF(E4189="Won",1,0)</f>
        <v>1</v>
      </c>
    </row>
    <row r="4190" customFormat="false" ht="15" hidden="false" customHeight="false" outlineLevel="0" collapsed="false">
      <c r="A4190" s="10" t="s">
        <v>6531</v>
      </c>
      <c r="B4190" s="10" t="s">
        <v>77</v>
      </c>
      <c r="C4190" s="10" t="s">
        <v>48</v>
      </c>
      <c r="D4190" s="10" t="s">
        <v>1948</v>
      </c>
      <c r="E4190" s="10" t="s">
        <v>2342</v>
      </c>
      <c r="F4190" s="30" t="n">
        <v>42938</v>
      </c>
      <c r="G4190" s="30" t="n">
        <v>42983</v>
      </c>
      <c r="H4190" s="26" t="n">
        <f aca="false">G4190-F4190</f>
        <v>45</v>
      </c>
      <c r="I4190" s="10" t="n">
        <f aca="false">IF(E4190="Won",1,0)</f>
        <v>1</v>
      </c>
    </row>
    <row r="4191" customFormat="false" ht="15" hidden="false" customHeight="false" outlineLevel="0" collapsed="false">
      <c r="A4191" s="10" t="s">
        <v>6532</v>
      </c>
      <c r="B4191" s="10" t="s">
        <v>77</v>
      </c>
      <c r="C4191" s="10" t="s">
        <v>50</v>
      </c>
      <c r="D4191" s="10" t="s">
        <v>524</v>
      </c>
      <c r="E4191" s="10" t="s">
        <v>2342</v>
      </c>
      <c r="F4191" s="30" t="n">
        <v>42920</v>
      </c>
      <c r="G4191" s="30" t="n">
        <v>42983</v>
      </c>
      <c r="H4191" s="26" t="n">
        <f aca="false">G4191-F4191</f>
        <v>63</v>
      </c>
      <c r="I4191" s="10" t="n">
        <f aca="false">IF(E4191="Won",1,0)</f>
        <v>1</v>
      </c>
    </row>
    <row r="4192" customFormat="false" ht="15" hidden="false" customHeight="false" outlineLevel="0" collapsed="false">
      <c r="A4192" s="10" t="s">
        <v>6533</v>
      </c>
      <c r="B4192" s="10" t="s">
        <v>73</v>
      </c>
      <c r="C4192" s="10" t="s">
        <v>51</v>
      </c>
      <c r="D4192" s="10" t="s">
        <v>369</v>
      </c>
      <c r="E4192" s="10" t="s">
        <v>2342</v>
      </c>
      <c r="F4192" s="30" t="n">
        <v>42945</v>
      </c>
      <c r="G4192" s="30" t="n">
        <v>42983</v>
      </c>
      <c r="H4192" s="26" t="n">
        <f aca="false">G4192-F4192</f>
        <v>38</v>
      </c>
      <c r="I4192" s="10" t="n">
        <f aca="false">IF(E4192="Won",1,0)</f>
        <v>1</v>
      </c>
    </row>
    <row r="4193" customFormat="false" ht="15" hidden="false" customHeight="false" outlineLevel="0" collapsed="false">
      <c r="A4193" s="10" t="s">
        <v>6534</v>
      </c>
      <c r="B4193" s="10" t="s">
        <v>76</v>
      </c>
      <c r="C4193" s="10" t="s">
        <v>49</v>
      </c>
      <c r="D4193" s="10" t="s">
        <v>536</v>
      </c>
      <c r="E4193" s="10" t="s">
        <v>2345</v>
      </c>
      <c r="F4193" s="30" t="n">
        <v>42939</v>
      </c>
      <c r="G4193" s="30" t="n">
        <v>42983</v>
      </c>
      <c r="H4193" s="26" t="n">
        <f aca="false">G4193-F4193</f>
        <v>44</v>
      </c>
      <c r="I4193" s="10" t="n">
        <f aca="false">IF(E4193="Won",1,0)</f>
        <v>0</v>
      </c>
    </row>
    <row r="4194" customFormat="false" ht="15" hidden="false" customHeight="false" outlineLevel="0" collapsed="false">
      <c r="A4194" s="10" t="s">
        <v>6535</v>
      </c>
      <c r="B4194" s="10" t="s">
        <v>63</v>
      </c>
      <c r="C4194" s="10" t="s">
        <v>48</v>
      </c>
      <c r="D4194" s="10" t="s">
        <v>359</v>
      </c>
      <c r="E4194" s="10" t="s">
        <v>2342</v>
      </c>
      <c r="F4194" s="30" t="n">
        <v>42892</v>
      </c>
      <c r="G4194" s="30" t="n">
        <v>42983</v>
      </c>
      <c r="H4194" s="26" t="n">
        <f aca="false">G4194-F4194</f>
        <v>91</v>
      </c>
      <c r="I4194" s="10" t="n">
        <f aca="false">IF(E4194="Won",1,0)</f>
        <v>1</v>
      </c>
    </row>
    <row r="4195" customFormat="false" ht="15" hidden="false" customHeight="false" outlineLevel="0" collapsed="false">
      <c r="A4195" s="10" t="s">
        <v>6536</v>
      </c>
      <c r="B4195" s="10" t="s">
        <v>79</v>
      </c>
      <c r="C4195" s="10" t="s">
        <v>52</v>
      </c>
      <c r="D4195" s="10" t="s">
        <v>869</v>
      </c>
      <c r="E4195" s="10" t="s">
        <v>2345</v>
      </c>
      <c r="F4195" s="30" t="n">
        <v>42973</v>
      </c>
      <c r="G4195" s="30" t="n">
        <v>42983</v>
      </c>
      <c r="H4195" s="26" t="n">
        <f aca="false">G4195-F4195</f>
        <v>10</v>
      </c>
      <c r="I4195" s="10" t="n">
        <f aca="false">IF(E4195="Won",1,0)</f>
        <v>0</v>
      </c>
    </row>
    <row r="4196" customFormat="false" ht="15" hidden="false" customHeight="false" outlineLevel="0" collapsed="false">
      <c r="A4196" s="10" t="s">
        <v>6537</v>
      </c>
      <c r="B4196" s="10" t="s">
        <v>84</v>
      </c>
      <c r="C4196" s="10" t="s">
        <v>48</v>
      </c>
      <c r="D4196" s="10" t="s">
        <v>210</v>
      </c>
      <c r="E4196" s="10" t="s">
        <v>2345</v>
      </c>
      <c r="F4196" s="30" t="n">
        <v>42890</v>
      </c>
      <c r="G4196" s="30" t="n">
        <v>42983</v>
      </c>
      <c r="H4196" s="26" t="n">
        <f aca="false">G4196-F4196</f>
        <v>93</v>
      </c>
      <c r="I4196" s="10" t="n">
        <f aca="false">IF(E4196="Won",1,0)</f>
        <v>0</v>
      </c>
    </row>
    <row r="4197" customFormat="false" ht="15" hidden="false" customHeight="false" outlineLevel="0" collapsed="false">
      <c r="A4197" s="10" t="s">
        <v>6538</v>
      </c>
      <c r="B4197" s="10" t="s">
        <v>81</v>
      </c>
      <c r="C4197" s="10" t="s">
        <v>49</v>
      </c>
      <c r="D4197" s="10" t="s">
        <v>193</v>
      </c>
      <c r="E4197" s="10" t="s">
        <v>2342</v>
      </c>
      <c r="F4197" s="30" t="n">
        <v>42876</v>
      </c>
      <c r="G4197" s="30" t="n">
        <v>42983</v>
      </c>
      <c r="H4197" s="26" t="n">
        <f aca="false">G4197-F4197</f>
        <v>107</v>
      </c>
      <c r="I4197" s="10" t="n">
        <f aca="false">IF(E4197="Won",1,0)</f>
        <v>1</v>
      </c>
    </row>
    <row r="4198" customFormat="false" ht="15" hidden="false" customHeight="false" outlineLevel="0" collapsed="false">
      <c r="A4198" s="10" t="s">
        <v>6539</v>
      </c>
      <c r="B4198" s="10" t="s">
        <v>83</v>
      </c>
      <c r="C4198" s="10" t="s">
        <v>51</v>
      </c>
      <c r="D4198" s="10" t="s">
        <v>291</v>
      </c>
      <c r="E4198" s="10" t="s">
        <v>2342</v>
      </c>
      <c r="F4198" s="30" t="n">
        <v>42870</v>
      </c>
      <c r="G4198" s="30" t="n">
        <v>42983</v>
      </c>
      <c r="H4198" s="26" t="n">
        <f aca="false">G4198-F4198</f>
        <v>113</v>
      </c>
      <c r="I4198" s="10" t="n">
        <f aca="false">IF(E4198="Won",1,0)</f>
        <v>1</v>
      </c>
    </row>
    <row r="4199" customFormat="false" ht="15" hidden="false" customHeight="false" outlineLevel="0" collapsed="false">
      <c r="A4199" s="10" t="s">
        <v>6540</v>
      </c>
      <c r="B4199" s="10" t="s">
        <v>83</v>
      </c>
      <c r="C4199" s="10" t="s">
        <v>51</v>
      </c>
      <c r="D4199" s="10" t="s">
        <v>697</v>
      </c>
      <c r="E4199" s="10" t="s">
        <v>2345</v>
      </c>
      <c r="F4199" s="30" t="n">
        <v>42970</v>
      </c>
      <c r="G4199" s="30" t="n">
        <v>42983</v>
      </c>
      <c r="H4199" s="26" t="n">
        <f aca="false">G4199-F4199</f>
        <v>13</v>
      </c>
      <c r="I4199" s="10" t="n">
        <f aca="false">IF(E4199="Won",1,0)</f>
        <v>0</v>
      </c>
    </row>
    <row r="4200" customFormat="false" ht="15" hidden="false" customHeight="false" outlineLevel="0" collapsed="false">
      <c r="A4200" s="10" t="s">
        <v>6541</v>
      </c>
      <c r="B4200" s="10" t="s">
        <v>62</v>
      </c>
      <c r="C4200" s="10" t="s">
        <v>49</v>
      </c>
      <c r="D4200" s="10" t="s">
        <v>455</v>
      </c>
      <c r="E4200" s="10" t="s">
        <v>2345</v>
      </c>
      <c r="F4200" s="30" t="n">
        <v>42967</v>
      </c>
      <c r="G4200" s="30" t="n">
        <v>42984</v>
      </c>
      <c r="H4200" s="26" t="n">
        <f aca="false">G4200-F4200</f>
        <v>17</v>
      </c>
      <c r="I4200" s="10" t="n">
        <f aca="false">IF(E4200="Won",1,0)</f>
        <v>0</v>
      </c>
    </row>
    <row r="4201" customFormat="false" ht="15" hidden="false" customHeight="false" outlineLevel="0" collapsed="false">
      <c r="A4201" s="10" t="s">
        <v>6542</v>
      </c>
      <c r="B4201" s="10" t="s">
        <v>97</v>
      </c>
      <c r="C4201" s="10" t="s">
        <v>47</v>
      </c>
      <c r="D4201" s="10" t="s">
        <v>514</v>
      </c>
      <c r="E4201" s="10" t="s">
        <v>2345</v>
      </c>
      <c r="F4201" s="30" t="n">
        <v>42881</v>
      </c>
      <c r="G4201" s="30" t="n">
        <v>42984</v>
      </c>
      <c r="H4201" s="26" t="n">
        <f aca="false">G4201-F4201</f>
        <v>103</v>
      </c>
      <c r="I4201" s="10" t="n">
        <f aca="false">IF(E4201="Won",1,0)</f>
        <v>0</v>
      </c>
    </row>
    <row r="4202" customFormat="false" ht="15" hidden="false" customHeight="false" outlineLevel="0" collapsed="false">
      <c r="A4202" s="10" t="s">
        <v>6543</v>
      </c>
      <c r="B4202" s="10" t="s">
        <v>79</v>
      </c>
      <c r="C4202" s="10" t="s">
        <v>48</v>
      </c>
      <c r="D4202" s="10" t="s">
        <v>660</v>
      </c>
      <c r="E4202" s="10" t="s">
        <v>2345</v>
      </c>
      <c r="F4202" s="30" t="n">
        <v>42885</v>
      </c>
      <c r="G4202" s="30" t="n">
        <v>42984</v>
      </c>
      <c r="H4202" s="26" t="n">
        <f aca="false">G4202-F4202</f>
        <v>99</v>
      </c>
      <c r="I4202" s="10" t="n">
        <f aca="false">IF(E4202="Won",1,0)</f>
        <v>0</v>
      </c>
    </row>
    <row r="4203" customFormat="false" ht="15" hidden="false" customHeight="false" outlineLevel="0" collapsed="false">
      <c r="A4203" s="10" t="s">
        <v>6544</v>
      </c>
      <c r="B4203" s="10" t="s">
        <v>71</v>
      </c>
      <c r="C4203" s="10" t="s">
        <v>49</v>
      </c>
      <c r="D4203" s="10" t="s">
        <v>961</v>
      </c>
      <c r="E4203" s="10" t="s">
        <v>2342</v>
      </c>
      <c r="F4203" s="30" t="n">
        <v>42907</v>
      </c>
      <c r="G4203" s="30" t="n">
        <v>42984</v>
      </c>
      <c r="H4203" s="26" t="n">
        <f aca="false">G4203-F4203</f>
        <v>77</v>
      </c>
      <c r="I4203" s="10" t="n">
        <f aca="false">IF(E4203="Won",1,0)</f>
        <v>1</v>
      </c>
    </row>
    <row r="4204" customFormat="false" ht="15" hidden="false" customHeight="false" outlineLevel="0" collapsed="false">
      <c r="A4204" s="10" t="s">
        <v>6545</v>
      </c>
      <c r="B4204" s="10" t="s">
        <v>67</v>
      </c>
      <c r="C4204" s="10" t="s">
        <v>50</v>
      </c>
      <c r="D4204" s="10" t="s">
        <v>344</v>
      </c>
      <c r="E4204" s="10" t="s">
        <v>2342</v>
      </c>
      <c r="F4204" s="30" t="n">
        <v>42977</v>
      </c>
      <c r="G4204" s="30" t="n">
        <v>42984</v>
      </c>
      <c r="H4204" s="26" t="n">
        <f aca="false">G4204-F4204</f>
        <v>7</v>
      </c>
      <c r="I4204" s="10" t="n">
        <f aca="false">IF(E4204="Won",1,0)</f>
        <v>1</v>
      </c>
    </row>
    <row r="4205" customFormat="false" ht="15" hidden="false" customHeight="false" outlineLevel="0" collapsed="false">
      <c r="A4205" s="10" t="s">
        <v>6546</v>
      </c>
      <c r="B4205" s="10" t="s">
        <v>70</v>
      </c>
      <c r="C4205" s="10" t="s">
        <v>48</v>
      </c>
      <c r="D4205" s="10" t="s">
        <v>606</v>
      </c>
      <c r="E4205" s="10" t="s">
        <v>2342</v>
      </c>
      <c r="F4205" s="30" t="n">
        <v>42926</v>
      </c>
      <c r="G4205" s="30" t="n">
        <v>42984</v>
      </c>
      <c r="H4205" s="26" t="n">
        <f aca="false">G4205-F4205</f>
        <v>58</v>
      </c>
      <c r="I4205" s="10" t="n">
        <f aca="false">IF(E4205="Won",1,0)</f>
        <v>1</v>
      </c>
    </row>
    <row r="4206" customFormat="false" ht="15" hidden="false" customHeight="false" outlineLevel="0" collapsed="false">
      <c r="A4206" s="10" t="s">
        <v>6547</v>
      </c>
      <c r="B4206" s="10" t="s">
        <v>75</v>
      </c>
      <c r="C4206" s="10" t="s">
        <v>51</v>
      </c>
      <c r="D4206" s="10" t="s">
        <v>353</v>
      </c>
      <c r="E4206" s="10" t="s">
        <v>2342</v>
      </c>
      <c r="F4206" s="30" t="n">
        <v>42919</v>
      </c>
      <c r="G4206" s="30" t="n">
        <v>42984</v>
      </c>
      <c r="H4206" s="26" t="n">
        <f aca="false">G4206-F4206</f>
        <v>65</v>
      </c>
      <c r="I4206" s="10" t="n">
        <f aca="false">IF(E4206="Won",1,0)</f>
        <v>1</v>
      </c>
    </row>
    <row r="4207" customFormat="false" ht="15" hidden="false" customHeight="false" outlineLevel="0" collapsed="false">
      <c r="A4207" s="10" t="s">
        <v>6548</v>
      </c>
      <c r="B4207" s="10" t="s">
        <v>96</v>
      </c>
      <c r="C4207" s="10" t="s">
        <v>51</v>
      </c>
      <c r="D4207" s="10" t="s">
        <v>344</v>
      </c>
      <c r="E4207" s="10" t="s">
        <v>2342</v>
      </c>
      <c r="F4207" s="30" t="n">
        <v>42911</v>
      </c>
      <c r="G4207" s="30" t="n">
        <v>42984</v>
      </c>
      <c r="H4207" s="26" t="n">
        <f aca="false">G4207-F4207</f>
        <v>73</v>
      </c>
      <c r="I4207" s="10" t="n">
        <f aca="false">IF(E4207="Won",1,0)</f>
        <v>1</v>
      </c>
    </row>
    <row r="4208" customFormat="false" ht="15" hidden="false" customHeight="false" outlineLevel="0" collapsed="false">
      <c r="A4208" s="10" t="s">
        <v>6549</v>
      </c>
      <c r="B4208" s="10" t="s">
        <v>77</v>
      </c>
      <c r="C4208" s="10" t="s">
        <v>48</v>
      </c>
      <c r="D4208" s="10" t="s">
        <v>259</v>
      </c>
      <c r="E4208" s="10" t="s">
        <v>2342</v>
      </c>
      <c r="F4208" s="30" t="n">
        <v>42891</v>
      </c>
      <c r="G4208" s="30" t="n">
        <v>42984</v>
      </c>
      <c r="H4208" s="26" t="n">
        <f aca="false">G4208-F4208</f>
        <v>93</v>
      </c>
      <c r="I4208" s="10" t="n">
        <f aca="false">IF(E4208="Won",1,0)</f>
        <v>1</v>
      </c>
    </row>
    <row r="4209" customFormat="false" ht="15" hidden="false" customHeight="false" outlineLevel="0" collapsed="false">
      <c r="A4209" s="10" t="s">
        <v>6550</v>
      </c>
      <c r="B4209" s="10" t="s">
        <v>90</v>
      </c>
      <c r="C4209" s="10" t="s">
        <v>49</v>
      </c>
      <c r="D4209" s="10" t="s">
        <v>247</v>
      </c>
      <c r="E4209" s="10" t="s">
        <v>2345</v>
      </c>
      <c r="F4209" s="30" t="n">
        <v>42913</v>
      </c>
      <c r="G4209" s="30" t="n">
        <v>42984</v>
      </c>
      <c r="H4209" s="26" t="n">
        <f aca="false">G4209-F4209</f>
        <v>71</v>
      </c>
      <c r="I4209" s="10" t="n">
        <f aca="false">IF(E4209="Won",1,0)</f>
        <v>0</v>
      </c>
    </row>
    <row r="4210" customFormat="false" ht="15" hidden="false" customHeight="false" outlineLevel="0" collapsed="false">
      <c r="A4210" s="10" t="s">
        <v>6551</v>
      </c>
      <c r="B4210" s="10" t="s">
        <v>71</v>
      </c>
      <c r="C4210" s="10" t="s">
        <v>52</v>
      </c>
      <c r="D4210" s="10" t="s">
        <v>422</v>
      </c>
      <c r="E4210" s="10" t="s">
        <v>2342</v>
      </c>
      <c r="F4210" s="30" t="n">
        <v>42981</v>
      </c>
      <c r="G4210" s="30" t="n">
        <v>42984</v>
      </c>
      <c r="H4210" s="26" t="n">
        <f aca="false">G4210-F4210</f>
        <v>3</v>
      </c>
      <c r="I4210" s="10" t="n">
        <f aca="false">IF(E4210="Won",1,0)</f>
        <v>1</v>
      </c>
    </row>
    <row r="4211" customFormat="false" ht="15" hidden="false" customHeight="false" outlineLevel="0" collapsed="false">
      <c r="A4211" s="10" t="s">
        <v>6552</v>
      </c>
      <c r="B4211" s="10" t="s">
        <v>86</v>
      </c>
      <c r="C4211" s="10" t="s">
        <v>48</v>
      </c>
      <c r="D4211" s="10" t="s">
        <v>210</v>
      </c>
      <c r="E4211" s="10" t="s">
        <v>2342</v>
      </c>
      <c r="F4211" s="30" t="n">
        <v>42982</v>
      </c>
      <c r="G4211" s="30" t="n">
        <v>42984</v>
      </c>
      <c r="H4211" s="26" t="n">
        <f aca="false">G4211-F4211</f>
        <v>2</v>
      </c>
      <c r="I4211" s="10" t="n">
        <f aca="false">IF(E4211="Won",1,0)</f>
        <v>1</v>
      </c>
    </row>
    <row r="4212" customFormat="false" ht="15" hidden="false" customHeight="false" outlineLevel="0" collapsed="false">
      <c r="A4212" s="10" t="s">
        <v>6553</v>
      </c>
      <c r="B4212" s="10" t="s">
        <v>97</v>
      </c>
      <c r="C4212" s="10" t="s">
        <v>48</v>
      </c>
      <c r="D4212" s="10" t="s">
        <v>303</v>
      </c>
      <c r="E4212" s="10" t="s">
        <v>2342</v>
      </c>
      <c r="F4212" s="30" t="n">
        <v>42908</v>
      </c>
      <c r="G4212" s="30" t="n">
        <v>42984</v>
      </c>
      <c r="H4212" s="26" t="n">
        <f aca="false">G4212-F4212</f>
        <v>76</v>
      </c>
      <c r="I4212" s="10" t="n">
        <f aca="false">IF(E4212="Won",1,0)</f>
        <v>1</v>
      </c>
    </row>
    <row r="4213" customFormat="false" ht="15" hidden="false" customHeight="false" outlineLevel="0" collapsed="false">
      <c r="A4213" s="10" t="s">
        <v>6554</v>
      </c>
      <c r="B4213" s="10" t="s">
        <v>95</v>
      </c>
      <c r="C4213" s="10" t="s">
        <v>48</v>
      </c>
      <c r="D4213" s="10" t="s">
        <v>233</v>
      </c>
      <c r="E4213" s="10" t="s">
        <v>2342</v>
      </c>
      <c r="F4213" s="30" t="n">
        <v>42922</v>
      </c>
      <c r="G4213" s="30" t="n">
        <v>42984</v>
      </c>
      <c r="H4213" s="26" t="n">
        <f aca="false">G4213-F4213</f>
        <v>62</v>
      </c>
      <c r="I4213" s="10" t="n">
        <f aca="false">IF(E4213="Won",1,0)</f>
        <v>1</v>
      </c>
    </row>
    <row r="4214" customFormat="false" ht="15" hidden="false" customHeight="false" outlineLevel="0" collapsed="false">
      <c r="A4214" s="10" t="s">
        <v>6555</v>
      </c>
      <c r="B4214" s="10" t="s">
        <v>93</v>
      </c>
      <c r="C4214" s="10" t="s">
        <v>47</v>
      </c>
      <c r="D4214" s="10" t="s">
        <v>396</v>
      </c>
      <c r="E4214" s="10" t="s">
        <v>2342</v>
      </c>
      <c r="F4214" s="30" t="n">
        <v>42973</v>
      </c>
      <c r="G4214" s="30" t="n">
        <v>42984</v>
      </c>
      <c r="H4214" s="26" t="n">
        <f aca="false">G4214-F4214</f>
        <v>11</v>
      </c>
      <c r="I4214" s="10" t="n">
        <f aca="false">IF(E4214="Won",1,0)</f>
        <v>1</v>
      </c>
    </row>
    <row r="4215" customFormat="false" ht="15" hidden="false" customHeight="false" outlineLevel="0" collapsed="false">
      <c r="A4215" s="10" t="s">
        <v>6556</v>
      </c>
      <c r="B4215" s="10" t="s">
        <v>80</v>
      </c>
      <c r="C4215" s="10" t="s">
        <v>48</v>
      </c>
      <c r="D4215" s="10" t="s">
        <v>961</v>
      </c>
      <c r="E4215" s="10" t="s">
        <v>2342</v>
      </c>
      <c r="F4215" s="30" t="n">
        <v>42868</v>
      </c>
      <c r="G4215" s="30" t="n">
        <v>42984</v>
      </c>
      <c r="H4215" s="26" t="n">
        <f aca="false">G4215-F4215</f>
        <v>116</v>
      </c>
      <c r="I4215" s="10" t="n">
        <f aca="false">IF(E4215="Won",1,0)</f>
        <v>1</v>
      </c>
    </row>
    <row r="4216" customFormat="false" ht="15" hidden="false" customHeight="false" outlineLevel="0" collapsed="false">
      <c r="A4216" s="10" t="s">
        <v>6557</v>
      </c>
      <c r="B4216" s="10" t="s">
        <v>71</v>
      </c>
      <c r="C4216" s="10" t="s">
        <v>50</v>
      </c>
      <c r="D4216" s="10" t="s">
        <v>321</v>
      </c>
      <c r="E4216" s="10" t="s">
        <v>2345</v>
      </c>
      <c r="F4216" s="30" t="n">
        <v>42853</v>
      </c>
      <c r="G4216" s="30" t="n">
        <v>42984</v>
      </c>
      <c r="H4216" s="26" t="n">
        <f aca="false">G4216-F4216</f>
        <v>131</v>
      </c>
      <c r="I4216" s="10" t="n">
        <f aca="false">IF(E4216="Won",1,0)</f>
        <v>0</v>
      </c>
    </row>
    <row r="4217" customFormat="false" ht="15" hidden="false" customHeight="false" outlineLevel="0" collapsed="false">
      <c r="A4217" s="10" t="s">
        <v>6558</v>
      </c>
      <c r="B4217" s="10" t="s">
        <v>95</v>
      </c>
      <c r="C4217" s="10" t="s">
        <v>48</v>
      </c>
      <c r="D4217" s="10" t="s">
        <v>497</v>
      </c>
      <c r="E4217" s="10" t="s">
        <v>2345</v>
      </c>
      <c r="F4217" s="30" t="n">
        <v>42903</v>
      </c>
      <c r="G4217" s="30" t="n">
        <v>42984</v>
      </c>
      <c r="H4217" s="26" t="n">
        <f aca="false">G4217-F4217</f>
        <v>81</v>
      </c>
      <c r="I4217" s="10" t="n">
        <f aca="false">IF(E4217="Won",1,0)</f>
        <v>0</v>
      </c>
    </row>
    <row r="4218" customFormat="false" ht="15" hidden="false" customHeight="false" outlineLevel="0" collapsed="false">
      <c r="A4218" s="10" t="s">
        <v>6559</v>
      </c>
      <c r="B4218" s="10" t="s">
        <v>97</v>
      </c>
      <c r="C4218" s="10" t="s">
        <v>48</v>
      </c>
      <c r="D4218" s="10" t="s">
        <v>483</v>
      </c>
      <c r="E4218" s="10" t="s">
        <v>2345</v>
      </c>
      <c r="F4218" s="30" t="n">
        <v>42877</v>
      </c>
      <c r="G4218" s="30" t="n">
        <v>42985</v>
      </c>
      <c r="H4218" s="26" t="n">
        <f aca="false">G4218-F4218</f>
        <v>108</v>
      </c>
      <c r="I4218" s="10" t="n">
        <f aca="false">IF(E4218="Won",1,0)</f>
        <v>0</v>
      </c>
    </row>
    <row r="4219" customFormat="false" ht="15" hidden="false" customHeight="false" outlineLevel="0" collapsed="false">
      <c r="A4219" s="10" t="s">
        <v>6560</v>
      </c>
      <c r="B4219" s="10" t="s">
        <v>66</v>
      </c>
      <c r="C4219" s="10" t="s">
        <v>49</v>
      </c>
      <c r="D4219" s="10" t="s">
        <v>424</v>
      </c>
      <c r="E4219" s="10" t="s">
        <v>2345</v>
      </c>
      <c r="F4219" s="30" t="n">
        <v>42923</v>
      </c>
      <c r="G4219" s="30" t="n">
        <v>42985</v>
      </c>
      <c r="H4219" s="26" t="n">
        <f aca="false">G4219-F4219</f>
        <v>62</v>
      </c>
      <c r="I4219" s="10" t="n">
        <f aca="false">IF(E4219="Won",1,0)</f>
        <v>0</v>
      </c>
    </row>
    <row r="4220" customFormat="false" ht="15" hidden="false" customHeight="false" outlineLevel="0" collapsed="false">
      <c r="A4220" s="10" t="s">
        <v>6561</v>
      </c>
      <c r="B4220" s="10" t="s">
        <v>74</v>
      </c>
      <c r="C4220" s="10" t="s">
        <v>52</v>
      </c>
      <c r="D4220" s="10" t="s">
        <v>597</v>
      </c>
      <c r="E4220" s="10" t="s">
        <v>2342</v>
      </c>
      <c r="F4220" s="30" t="n">
        <v>42870</v>
      </c>
      <c r="G4220" s="30" t="n">
        <v>42985</v>
      </c>
      <c r="H4220" s="26" t="n">
        <f aca="false">G4220-F4220</f>
        <v>115</v>
      </c>
      <c r="I4220" s="10" t="n">
        <f aca="false">IF(E4220="Won",1,0)</f>
        <v>1</v>
      </c>
    </row>
    <row r="4221" customFormat="false" ht="15" hidden="false" customHeight="false" outlineLevel="0" collapsed="false">
      <c r="A4221" s="10" t="s">
        <v>6562</v>
      </c>
      <c r="B4221" s="10" t="s">
        <v>70</v>
      </c>
      <c r="C4221" s="10" t="s">
        <v>50</v>
      </c>
      <c r="D4221" s="10" t="s">
        <v>506</v>
      </c>
      <c r="E4221" s="10" t="s">
        <v>2342</v>
      </c>
      <c r="F4221" s="30" t="n">
        <v>42914</v>
      </c>
      <c r="G4221" s="30" t="n">
        <v>42985</v>
      </c>
      <c r="H4221" s="26" t="n">
        <f aca="false">G4221-F4221</f>
        <v>71</v>
      </c>
      <c r="I4221" s="10" t="n">
        <f aca="false">IF(E4221="Won",1,0)</f>
        <v>1</v>
      </c>
    </row>
    <row r="4222" customFormat="false" ht="15" hidden="false" customHeight="false" outlineLevel="0" collapsed="false">
      <c r="A4222" s="10" t="s">
        <v>6563</v>
      </c>
      <c r="B4222" s="10" t="s">
        <v>87</v>
      </c>
      <c r="C4222" s="10" t="s">
        <v>50</v>
      </c>
      <c r="D4222" s="10" t="s">
        <v>161</v>
      </c>
      <c r="E4222" s="10" t="s">
        <v>2345</v>
      </c>
      <c r="F4222" s="30" t="n">
        <v>42899</v>
      </c>
      <c r="G4222" s="30" t="n">
        <v>42985</v>
      </c>
      <c r="H4222" s="26" t="n">
        <f aca="false">G4222-F4222</f>
        <v>86</v>
      </c>
      <c r="I4222" s="10" t="n">
        <f aca="false">IF(E4222="Won",1,0)</f>
        <v>0</v>
      </c>
    </row>
    <row r="4223" customFormat="false" ht="15" hidden="false" customHeight="false" outlineLevel="0" collapsed="false">
      <c r="A4223" s="10" t="s">
        <v>6564</v>
      </c>
      <c r="B4223" s="10" t="s">
        <v>60</v>
      </c>
      <c r="C4223" s="10" t="s">
        <v>52</v>
      </c>
      <c r="D4223" s="10" t="s">
        <v>692</v>
      </c>
      <c r="E4223" s="10" t="s">
        <v>2342</v>
      </c>
      <c r="F4223" s="30" t="n">
        <v>42915</v>
      </c>
      <c r="G4223" s="30" t="n">
        <v>42985</v>
      </c>
      <c r="H4223" s="26" t="n">
        <f aca="false">G4223-F4223</f>
        <v>70</v>
      </c>
      <c r="I4223" s="10" t="n">
        <f aca="false">IF(E4223="Won",1,0)</f>
        <v>1</v>
      </c>
    </row>
    <row r="4224" customFormat="false" ht="15" hidden="false" customHeight="false" outlineLevel="0" collapsed="false">
      <c r="A4224" s="10" t="s">
        <v>6565</v>
      </c>
      <c r="B4224" s="10" t="s">
        <v>63</v>
      </c>
      <c r="C4224" s="10" t="s">
        <v>49</v>
      </c>
      <c r="D4224" s="10" t="s">
        <v>359</v>
      </c>
      <c r="E4224" s="10" t="s">
        <v>2342</v>
      </c>
      <c r="F4224" s="30" t="n">
        <v>42919</v>
      </c>
      <c r="G4224" s="30" t="n">
        <v>42985</v>
      </c>
      <c r="H4224" s="26" t="n">
        <f aca="false">G4224-F4224</f>
        <v>66</v>
      </c>
      <c r="I4224" s="10" t="n">
        <f aca="false">IF(E4224="Won",1,0)</f>
        <v>1</v>
      </c>
    </row>
    <row r="4225" customFormat="false" ht="15" hidden="false" customHeight="false" outlineLevel="0" collapsed="false">
      <c r="A4225" s="10" t="s">
        <v>6566</v>
      </c>
      <c r="B4225" s="10" t="s">
        <v>84</v>
      </c>
      <c r="C4225" s="10" t="s">
        <v>47</v>
      </c>
      <c r="D4225" s="10" t="s">
        <v>532</v>
      </c>
      <c r="E4225" s="10" t="s">
        <v>2342</v>
      </c>
      <c r="F4225" s="30" t="n">
        <v>42887</v>
      </c>
      <c r="G4225" s="30" t="n">
        <v>42985</v>
      </c>
      <c r="H4225" s="26" t="n">
        <f aca="false">G4225-F4225</f>
        <v>98</v>
      </c>
      <c r="I4225" s="10" t="n">
        <f aca="false">IF(E4225="Won",1,0)</f>
        <v>1</v>
      </c>
    </row>
    <row r="4226" customFormat="false" ht="15" hidden="false" customHeight="false" outlineLevel="0" collapsed="false">
      <c r="A4226" s="10" t="s">
        <v>6567</v>
      </c>
      <c r="B4226" s="10" t="s">
        <v>86</v>
      </c>
      <c r="C4226" s="10" t="s">
        <v>52</v>
      </c>
      <c r="D4226" s="10" t="s">
        <v>215</v>
      </c>
      <c r="E4226" s="10" t="s">
        <v>2342</v>
      </c>
      <c r="F4226" s="30" t="n">
        <v>42923</v>
      </c>
      <c r="G4226" s="30" t="n">
        <v>42985</v>
      </c>
      <c r="H4226" s="26" t="n">
        <f aca="false">G4226-F4226</f>
        <v>62</v>
      </c>
      <c r="I4226" s="10" t="n">
        <f aca="false">IF(E4226="Won",1,0)</f>
        <v>1</v>
      </c>
    </row>
    <row r="4227" customFormat="false" ht="15" hidden="false" customHeight="false" outlineLevel="0" collapsed="false">
      <c r="A4227" s="10" t="s">
        <v>6568</v>
      </c>
      <c r="B4227" s="10" t="s">
        <v>69</v>
      </c>
      <c r="C4227" s="10" t="s">
        <v>48</v>
      </c>
      <c r="D4227" s="10" t="s">
        <v>711</v>
      </c>
      <c r="E4227" s="10" t="s">
        <v>2342</v>
      </c>
      <c r="F4227" s="30" t="n">
        <v>42933</v>
      </c>
      <c r="G4227" s="30" t="n">
        <v>42985</v>
      </c>
      <c r="H4227" s="26" t="n">
        <f aca="false">G4227-F4227</f>
        <v>52</v>
      </c>
      <c r="I4227" s="10" t="n">
        <f aca="false">IF(E4227="Won",1,0)</f>
        <v>1</v>
      </c>
    </row>
    <row r="4228" customFormat="false" ht="15" hidden="false" customHeight="false" outlineLevel="0" collapsed="false">
      <c r="A4228" s="10" t="s">
        <v>6569</v>
      </c>
      <c r="B4228" s="10" t="s">
        <v>77</v>
      </c>
      <c r="C4228" s="10" t="s">
        <v>50</v>
      </c>
      <c r="D4228" s="10" t="s">
        <v>961</v>
      </c>
      <c r="E4228" s="10" t="s">
        <v>2342</v>
      </c>
      <c r="F4228" s="30" t="n">
        <v>42975</v>
      </c>
      <c r="G4228" s="30" t="n">
        <v>42985</v>
      </c>
      <c r="H4228" s="26" t="n">
        <f aca="false">G4228-F4228</f>
        <v>10</v>
      </c>
      <c r="I4228" s="10" t="n">
        <f aca="false">IF(E4228="Won",1,0)</f>
        <v>1</v>
      </c>
    </row>
    <row r="4229" customFormat="false" ht="15" hidden="false" customHeight="false" outlineLevel="0" collapsed="false">
      <c r="A4229" s="10" t="s">
        <v>6570</v>
      </c>
      <c r="B4229" s="10" t="s">
        <v>83</v>
      </c>
      <c r="C4229" s="10" t="s">
        <v>51</v>
      </c>
      <c r="D4229" s="10" t="s">
        <v>597</v>
      </c>
      <c r="E4229" s="10" t="s">
        <v>2345</v>
      </c>
      <c r="F4229" s="30" t="n">
        <v>42896</v>
      </c>
      <c r="G4229" s="30" t="n">
        <v>42985</v>
      </c>
      <c r="H4229" s="26" t="n">
        <f aca="false">G4229-F4229</f>
        <v>89</v>
      </c>
      <c r="I4229" s="10" t="n">
        <f aca="false">IF(E4229="Won",1,0)</f>
        <v>0</v>
      </c>
    </row>
    <row r="4230" customFormat="false" ht="15" hidden="false" customHeight="false" outlineLevel="0" collapsed="false">
      <c r="A4230" s="10" t="s">
        <v>6571</v>
      </c>
      <c r="B4230" s="10" t="s">
        <v>69</v>
      </c>
      <c r="C4230" s="10" t="s">
        <v>51</v>
      </c>
      <c r="D4230" s="10" t="s">
        <v>711</v>
      </c>
      <c r="E4230" s="10" t="s">
        <v>2342</v>
      </c>
      <c r="F4230" s="30" t="n">
        <v>42937</v>
      </c>
      <c r="G4230" s="30" t="n">
        <v>42985</v>
      </c>
      <c r="H4230" s="26" t="n">
        <f aca="false">G4230-F4230</f>
        <v>48</v>
      </c>
      <c r="I4230" s="10" t="n">
        <f aca="false">IF(E4230="Won",1,0)</f>
        <v>1</v>
      </c>
    </row>
    <row r="4231" customFormat="false" ht="15" hidden="false" customHeight="false" outlineLevel="0" collapsed="false">
      <c r="A4231" s="10" t="s">
        <v>6572</v>
      </c>
      <c r="B4231" s="10" t="s">
        <v>87</v>
      </c>
      <c r="C4231" s="10" t="s">
        <v>48</v>
      </c>
      <c r="D4231" s="10" t="s">
        <v>1397</v>
      </c>
      <c r="E4231" s="10" t="s">
        <v>2342</v>
      </c>
      <c r="F4231" s="30" t="n">
        <v>42972</v>
      </c>
      <c r="G4231" s="30" t="n">
        <v>42985</v>
      </c>
      <c r="H4231" s="26" t="n">
        <f aca="false">G4231-F4231</f>
        <v>13</v>
      </c>
      <c r="I4231" s="10" t="n">
        <f aca="false">IF(E4231="Won",1,0)</f>
        <v>1</v>
      </c>
    </row>
    <row r="4232" customFormat="false" ht="15" hidden="false" customHeight="false" outlineLevel="0" collapsed="false">
      <c r="A4232" s="10" t="s">
        <v>6573</v>
      </c>
      <c r="B4232" s="10" t="s">
        <v>70</v>
      </c>
      <c r="C4232" s="10" t="s">
        <v>48</v>
      </c>
      <c r="D4232" s="10" t="s">
        <v>313</v>
      </c>
      <c r="E4232" s="10" t="s">
        <v>2342</v>
      </c>
      <c r="F4232" s="30" t="n">
        <v>42871</v>
      </c>
      <c r="G4232" s="30" t="n">
        <v>42985</v>
      </c>
      <c r="H4232" s="26" t="n">
        <f aca="false">G4232-F4232</f>
        <v>114</v>
      </c>
      <c r="I4232" s="10" t="n">
        <f aca="false">IF(E4232="Won",1,0)</f>
        <v>1</v>
      </c>
    </row>
    <row r="4233" customFormat="false" ht="15" hidden="false" customHeight="false" outlineLevel="0" collapsed="false">
      <c r="A4233" s="10" t="s">
        <v>6574</v>
      </c>
      <c r="B4233" s="10" t="s">
        <v>70</v>
      </c>
      <c r="C4233" s="10" t="s">
        <v>49</v>
      </c>
      <c r="D4233" s="10" t="s">
        <v>199</v>
      </c>
      <c r="E4233" s="10" t="s">
        <v>2342</v>
      </c>
      <c r="F4233" s="30" t="n">
        <v>42978</v>
      </c>
      <c r="G4233" s="30" t="n">
        <v>42985</v>
      </c>
      <c r="H4233" s="26" t="n">
        <f aca="false">G4233-F4233</f>
        <v>7</v>
      </c>
      <c r="I4233" s="10" t="n">
        <f aca="false">IF(E4233="Won",1,0)</f>
        <v>1</v>
      </c>
    </row>
    <row r="4234" customFormat="false" ht="15" hidden="false" customHeight="false" outlineLevel="0" collapsed="false">
      <c r="A4234" s="10" t="s">
        <v>6575</v>
      </c>
      <c r="B4234" s="10" t="s">
        <v>87</v>
      </c>
      <c r="C4234" s="10" t="s">
        <v>48</v>
      </c>
      <c r="D4234" s="10" t="s">
        <v>637</v>
      </c>
      <c r="E4234" s="10" t="s">
        <v>2342</v>
      </c>
      <c r="F4234" s="30" t="n">
        <v>42977</v>
      </c>
      <c r="G4234" s="30" t="n">
        <v>42985</v>
      </c>
      <c r="H4234" s="26" t="n">
        <f aca="false">G4234-F4234</f>
        <v>8</v>
      </c>
      <c r="I4234" s="10" t="n">
        <f aca="false">IF(E4234="Won",1,0)</f>
        <v>1</v>
      </c>
    </row>
    <row r="4235" customFormat="false" ht="15" hidden="false" customHeight="false" outlineLevel="0" collapsed="false">
      <c r="A4235" s="10" t="s">
        <v>6576</v>
      </c>
      <c r="B4235" s="10" t="s">
        <v>88</v>
      </c>
      <c r="C4235" s="10" t="s">
        <v>51</v>
      </c>
      <c r="D4235" s="10" t="s">
        <v>1397</v>
      </c>
      <c r="E4235" s="10" t="s">
        <v>2342</v>
      </c>
      <c r="F4235" s="30" t="n">
        <v>42981</v>
      </c>
      <c r="G4235" s="30" t="n">
        <v>42986</v>
      </c>
      <c r="H4235" s="26" t="n">
        <f aca="false">G4235-F4235</f>
        <v>5</v>
      </c>
      <c r="I4235" s="10" t="n">
        <f aca="false">IF(E4235="Won",1,0)</f>
        <v>1</v>
      </c>
    </row>
    <row r="4236" customFormat="false" ht="15" hidden="false" customHeight="false" outlineLevel="0" collapsed="false">
      <c r="A4236" s="10" t="s">
        <v>6577</v>
      </c>
      <c r="B4236" s="10" t="s">
        <v>97</v>
      </c>
      <c r="C4236" s="10" t="s">
        <v>51</v>
      </c>
      <c r="D4236" s="10" t="s">
        <v>437</v>
      </c>
      <c r="E4236" s="10" t="s">
        <v>2342</v>
      </c>
      <c r="F4236" s="30" t="n">
        <v>42894</v>
      </c>
      <c r="G4236" s="30" t="n">
        <v>42986</v>
      </c>
      <c r="H4236" s="26" t="n">
        <f aca="false">G4236-F4236</f>
        <v>92</v>
      </c>
      <c r="I4236" s="10" t="n">
        <f aca="false">IF(E4236="Won",1,0)</f>
        <v>1</v>
      </c>
    </row>
    <row r="4237" customFormat="false" ht="15" hidden="false" customHeight="false" outlineLevel="0" collapsed="false">
      <c r="A4237" s="10" t="s">
        <v>6578</v>
      </c>
      <c r="B4237" s="10" t="s">
        <v>97</v>
      </c>
      <c r="C4237" s="10" t="s">
        <v>48</v>
      </c>
      <c r="D4237" s="10" t="s">
        <v>227</v>
      </c>
      <c r="E4237" s="10" t="s">
        <v>2342</v>
      </c>
      <c r="F4237" s="30" t="n">
        <v>42905</v>
      </c>
      <c r="G4237" s="30" t="n">
        <v>42986</v>
      </c>
      <c r="H4237" s="26" t="n">
        <f aca="false">G4237-F4237</f>
        <v>81</v>
      </c>
      <c r="I4237" s="10" t="n">
        <f aca="false">IF(E4237="Won",1,0)</f>
        <v>1</v>
      </c>
    </row>
    <row r="4238" customFormat="false" ht="15" hidden="false" customHeight="false" outlineLevel="0" collapsed="false">
      <c r="A4238" s="10" t="s">
        <v>6579</v>
      </c>
      <c r="B4238" s="10" t="s">
        <v>80</v>
      </c>
      <c r="C4238" s="10" t="s">
        <v>51</v>
      </c>
      <c r="D4238" s="10" t="s">
        <v>762</v>
      </c>
      <c r="E4238" s="10" t="s">
        <v>2342</v>
      </c>
      <c r="F4238" s="30" t="n">
        <v>42977</v>
      </c>
      <c r="G4238" s="30" t="n">
        <v>42986</v>
      </c>
      <c r="H4238" s="26" t="n">
        <f aca="false">G4238-F4238</f>
        <v>9</v>
      </c>
      <c r="I4238" s="10" t="n">
        <f aca="false">IF(E4238="Won",1,0)</f>
        <v>1</v>
      </c>
    </row>
    <row r="4239" customFormat="false" ht="15" hidden="false" customHeight="false" outlineLevel="0" collapsed="false">
      <c r="A4239" s="10" t="s">
        <v>6580</v>
      </c>
      <c r="B4239" s="10" t="s">
        <v>86</v>
      </c>
      <c r="C4239" s="10" t="s">
        <v>52</v>
      </c>
      <c r="D4239" s="10" t="s">
        <v>247</v>
      </c>
      <c r="E4239" s="10" t="s">
        <v>2342</v>
      </c>
      <c r="F4239" s="30" t="n">
        <v>42977</v>
      </c>
      <c r="G4239" s="30" t="n">
        <v>42986</v>
      </c>
      <c r="H4239" s="26" t="n">
        <f aca="false">G4239-F4239</f>
        <v>9</v>
      </c>
      <c r="I4239" s="10" t="n">
        <f aca="false">IF(E4239="Won",1,0)</f>
        <v>1</v>
      </c>
    </row>
    <row r="4240" customFormat="false" ht="15" hidden="false" customHeight="false" outlineLevel="0" collapsed="false">
      <c r="A4240" s="10" t="s">
        <v>6581</v>
      </c>
      <c r="B4240" s="10" t="s">
        <v>86</v>
      </c>
      <c r="C4240" s="10" t="s">
        <v>49</v>
      </c>
      <c r="D4240" s="10" t="s">
        <v>616</v>
      </c>
      <c r="E4240" s="10" t="s">
        <v>2345</v>
      </c>
      <c r="F4240" s="30" t="n">
        <v>42893</v>
      </c>
      <c r="G4240" s="30" t="n">
        <v>42986</v>
      </c>
      <c r="H4240" s="26" t="n">
        <f aca="false">G4240-F4240</f>
        <v>93</v>
      </c>
      <c r="I4240" s="10" t="n">
        <f aca="false">IF(E4240="Won",1,0)</f>
        <v>0</v>
      </c>
    </row>
    <row r="4241" customFormat="false" ht="15" hidden="false" customHeight="false" outlineLevel="0" collapsed="false">
      <c r="A4241" s="10" t="s">
        <v>6582</v>
      </c>
      <c r="B4241" s="10" t="s">
        <v>95</v>
      </c>
      <c r="C4241" s="10" t="s">
        <v>50</v>
      </c>
      <c r="D4241" s="10" t="s">
        <v>199</v>
      </c>
      <c r="E4241" s="10" t="s">
        <v>2345</v>
      </c>
      <c r="F4241" s="30" t="n">
        <v>42910</v>
      </c>
      <c r="G4241" s="30" t="n">
        <v>42986</v>
      </c>
      <c r="H4241" s="26" t="n">
        <f aca="false">G4241-F4241</f>
        <v>76</v>
      </c>
      <c r="I4241" s="10" t="n">
        <f aca="false">IF(E4241="Won",1,0)</f>
        <v>0</v>
      </c>
    </row>
    <row r="4242" customFormat="false" ht="15" hidden="false" customHeight="false" outlineLevel="0" collapsed="false">
      <c r="A4242" s="10" t="s">
        <v>6583</v>
      </c>
      <c r="B4242" s="10" t="s">
        <v>76</v>
      </c>
      <c r="C4242" s="10" t="s">
        <v>52</v>
      </c>
      <c r="D4242" s="10" t="s">
        <v>193</v>
      </c>
      <c r="E4242" s="10" t="s">
        <v>2342</v>
      </c>
      <c r="F4242" s="30" t="n">
        <v>42968</v>
      </c>
      <c r="G4242" s="30" t="n">
        <v>42986</v>
      </c>
      <c r="H4242" s="26" t="n">
        <f aca="false">G4242-F4242</f>
        <v>18</v>
      </c>
      <c r="I4242" s="10" t="n">
        <f aca="false">IF(E4242="Won",1,0)</f>
        <v>1</v>
      </c>
    </row>
    <row r="4243" customFormat="false" ht="15" hidden="false" customHeight="false" outlineLevel="0" collapsed="false">
      <c r="A4243" s="10" t="s">
        <v>6584</v>
      </c>
      <c r="B4243" s="10" t="s">
        <v>88</v>
      </c>
      <c r="C4243" s="10" t="s">
        <v>47</v>
      </c>
      <c r="D4243" s="10" t="s">
        <v>218</v>
      </c>
      <c r="E4243" s="10" t="s">
        <v>2345</v>
      </c>
      <c r="F4243" s="30" t="n">
        <v>42913</v>
      </c>
      <c r="G4243" s="30" t="n">
        <v>42986</v>
      </c>
      <c r="H4243" s="26" t="n">
        <f aca="false">G4243-F4243</f>
        <v>73</v>
      </c>
      <c r="I4243" s="10" t="n">
        <f aca="false">IF(E4243="Won",1,0)</f>
        <v>0</v>
      </c>
    </row>
    <row r="4244" customFormat="false" ht="15" hidden="false" customHeight="false" outlineLevel="0" collapsed="false">
      <c r="A4244" s="10" t="s">
        <v>6585</v>
      </c>
      <c r="B4244" s="10" t="s">
        <v>95</v>
      </c>
      <c r="C4244" s="10" t="s">
        <v>48</v>
      </c>
      <c r="D4244" s="10" t="s">
        <v>419</v>
      </c>
      <c r="E4244" s="10" t="s">
        <v>2345</v>
      </c>
      <c r="F4244" s="30" t="n">
        <v>42913</v>
      </c>
      <c r="G4244" s="30" t="n">
        <v>42986</v>
      </c>
      <c r="H4244" s="26" t="n">
        <f aca="false">G4244-F4244</f>
        <v>73</v>
      </c>
      <c r="I4244" s="10" t="n">
        <f aca="false">IF(E4244="Won",1,0)</f>
        <v>0</v>
      </c>
    </row>
    <row r="4245" customFormat="false" ht="15" hidden="false" customHeight="false" outlineLevel="0" collapsed="false">
      <c r="A4245" s="10" t="s">
        <v>6586</v>
      </c>
      <c r="B4245" s="10" t="s">
        <v>71</v>
      </c>
      <c r="C4245" s="10" t="s">
        <v>52</v>
      </c>
      <c r="D4245" s="10" t="s">
        <v>869</v>
      </c>
      <c r="E4245" s="10" t="s">
        <v>2342</v>
      </c>
      <c r="F4245" s="30" t="n">
        <v>42977</v>
      </c>
      <c r="G4245" s="30" t="n">
        <v>42986</v>
      </c>
      <c r="H4245" s="26" t="n">
        <f aca="false">G4245-F4245</f>
        <v>9</v>
      </c>
      <c r="I4245" s="10" t="n">
        <f aca="false">IF(E4245="Won",1,0)</f>
        <v>1</v>
      </c>
    </row>
    <row r="4246" customFormat="false" ht="15" hidden="false" customHeight="false" outlineLevel="0" collapsed="false">
      <c r="A4246" s="10" t="s">
        <v>6587</v>
      </c>
      <c r="B4246" s="10" t="s">
        <v>86</v>
      </c>
      <c r="C4246" s="10" t="s">
        <v>51</v>
      </c>
      <c r="D4246" s="10" t="s">
        <v>378</v>
      </c>
      <c r="E4246" s="10" t="s">
        <v>2342</v>
      </c>
      <c r="F4246" s="30" t="n">
        <v>42973</v>
      </c>
      <c r="G4246" s="30" t="n">
        <v>42986</v>
      </c>
      <c r="H4246" s="26" t="n">
        <f aca="false">G4246-F4246</f>
        <v>13</v>
      </c>
      <c r="I4246" s="10" t="n">
        <f aca="false">IF(E4246="Won",1,0)</f>
        <v>1</v>
      </c>
    </row>
    <row r="4247" customFormat="false" ht="15" hidden="false" customHeight="false" outlineLevel="0" collapsed="false">
      <c r="A4247" s="10" t="s">
        <v>6588</v>
      </c>
      <c r="B4247" s="10" t="s">
        <v>88</v>
      </c>
      <c r="C4247" s="10" t="s">
        <v>51</v>
      </c>
      <c r="D4247" s="10" t="s">
        <v>427</v>
      </c>
      <c r="E4247" s="10" t="s">
        <v>2342</v>
      </c>
      <c r="F4247" s="30" t="n">
        <v>42976</v>
      </c>
      <c r="G4247" s="30" t="n">
        <v>42986</v>
      </c>
      <c r="H4247" s="26" t="n">
        <f aca="false">G4247-F4247</f>
        <v>10</v>
      </c>
      <c r="I4247" s="10" t="n">
        <f aca="false">IF(E4247="Won",1,0)</f>
        <v>1</v>
      </c>
    </row>
    <row r="4248" customFormat="false" ht="15" hidden="false" customHeight="false" outlineLevel="0" collapsed="false">
      <c r="A4248" s="10" t="s">
        <v>6589</v>
      </c>
      <c r="B4248" s="10" t="s">
        <v>70</v>
      </c>
      <c r="C4248" s="10" t="s">
        <v>48</v>
      </c>
      <c r="D4248" s="10" t="s">
        <v>497</v>
      </c>
      <c r="E4248" s="10" t="s">
        <v>2342</v>
      </c>
      <c r="F4248" s="30" t="n">
        <v>42872</v>
      </c>
      <c r="G4248" s="30" t="n">
        <v>42986</v>
      </c>
      <c r="H4248" s="26" t="n">
        <f aca="false">G4248-F4248</f>
        <v>114</v>
      </c>
      <c r="I4248" s="10" t="n">
        <f aca="false">IF(E4248="Won",1,0)</f>
        <v>1</v>
      </c>
    </row>
    <row r="4249" customFormat="false" ht="15" hidden="false" customHeight="false" outlineLevel="0" collapsed="false">
      <c r="A4249" s="10" t="s">
        <v>6590</v>
      </c>
      <c r="B4249" s="10" t="s">
        <v>83</v>
      </c>
      <c r="C4249" s="10" t="s">
        <v>51</v>
      </c>
      <c r="D4249" s="10" t="s">
        <v>762</v>
      </c>
      <c r="E4249" s="10" t="s">
        <v>2342</v>
      </c>
      <c r="F4249" s="30" t="n">
        <v>42878</v>
      </c>
      <c r="G4249" s="30" t="n">
        <v>42986</v>
      </c>
      <c r="H4249" s="26" t="n">
        <f aca="false">G4249-F4249</f>
        <v>108</v>
      </c>
      <c r="I4249" s="10" t="n">
        <f aca="false">IF(E4249="Won",1,0)</f>
        <v>1</v>
      </c>
    </row>
    <row r="4250" customFormat="false" ht="15" hidden="false" customHeight="false" outlineLevel="0" collapsed="false">
      <c r="A4250" s="10" t="s">
        <v>6591</v>
      </c>
      <c r="B4250" s="10" t="s">
        <v>96</v>
      </c>
      <c r="C4250" s="10" t="s">
        <v>51</v>
      </c>
      <c r="D4250" s="10" t="s">
        <v>497</v>
      </c>
      <c r="E4250" s="10" t="s">
        <v>2342</v>
      </c>
      <c r="F4250" s="30" t="n">
        <v>42891</v>
      </c>
      <c r="G4250" s="30" t="n">
        <v>42986</v>
      </c>
      <c r="H4250" s="26" t="n">
        <f aca="false">G4250-F4250</f>
        <v>95</v>
      </c>
      <c r="I4250" s="10" t="n">
        <f aca="false">IF(E4250="Won",1,0)</f>
        <v>1</v>
      </c>
    </row>
    <row r="4251" customFormat="false" ht="15" hidden="false" customHeight="false" outlineLevel="0" collapsed="false">
      <c r="A4251" s="10" t="s">
        <v>6592</v>
      </c>
      <c r="B4251" s="10" t="s">
        <v>77</v>
      </c>
      <c r="C4251" s="10" t="s">
        <v>49</v>
      </c>
      <c r="D4251" s="10" t="s">
        <v>353</v>
      </c>
      <c r="E4251" s="10" t="s">
        <v>2345</v>
      </c>
      <c r="F4251" s="30" t="n">
        <v>42877</v>
      </c>
      <c r="G4251" s="30" t="n">
        <v>42986</v>
      </c>
      <c r="H4251" s="26" t="n">
        <f aca="false">G4251-F4251</f>
        <v>109</v>
      </c>
      <c r="I4251" s="10" t="n">
        <f aca="false">IF(E4251="Won",1,0)</f>
        <v>0</v>
      </c>
    </row>
    <row r="4252" customFormat="false" ht="15" hidden="false" customHeight="false" outlineLevel="0" collapsed="false">
      <c r="A4252" s="10" t="s">
        <v>6593</v>
      </c>
      <c r="B4252" s="10" t="s">
        <v>88</v>
      </c>
      <c r="C4252" s="10" t="s">
        <v>51</v>
      </c>
      <c r="D4252" s="10" t="s">
        <v>332</v>
      </c>
      <c r="E4252" s="10" t="s">
        <v>2342</v>
      </c>
      <c r="F4252" s="30" t="n">
        <v>42923</v>
      </c>
      <c r="G4252" s="30" t="n">
        <v>42986</v>
      </c>
      <c r="H4252" s="26" t="n">
        <f aca="false">G4252-F4252</f>
        <v>63</v>
      </c>
      <c r="I4252" s="10" t="n">
        <f aca="false">IF(E4252="Won",1,0)</f>
        <v>1</v>
      </c>
    </row>
    <row r="4253" customFormat="false" ht="15" hidden="false" customHeight="false" outlineLevel="0" collapsed="false">
      <c r="A4253" s="10" t="s">
        <v>6594</v>
      </c>
      <c r="B4253" s="10" t="s">
        <v>88</v>
      </c>
      <c r="C4253" s="10" t="s">
        <v>47</v>
      </c>
      <c r="D4253" s="10" t="s">
        <v>1397</v>
      </c>
      <c r="E4253" s="10" t="s">
        <v>2342</v>
      </c>
      <c r="F4253" s="30" t="n">
        <v>42933</v>
      </c>
      <c r="G4253" s="30" t="n">
        <v>42986</v>
      </c>
      <c r="H4253" s="26" t="n">
        <f aca="false">G4253-F4253</f>
        <v>53</v>
      </c>
      <c r="I4253" s="10" t="n">
        <f aca="false">IF(E4253="Won",1,0)</f>
        <v>1</v>
      </c>
    </row>
    <row r="4254" customFormat="false" ht="15" hidden="false" customHeight="false" outlineLevel="0" collapsed="false">
      <c r="A4254" s="10" t="s">
        <v>6595</v>
      </c>
      <c r="B4254" s="10" t="s">
        <v>67</v>
      </c>
      <c r="C4254" s="10" t="s">
        <v>52</v>
      </c>
      <c r="D4254" s="10" t="s">
        <v>506</v>
      </c>
      <c r="E4254" s="10" t="s">
        <v>2345</v>
      </c>
      <c r="F4254" s="30" t="n">
        <v>42870</v>
      </c>
      <c r="G4254" s="30" t="n">
        <v>42986</v>
      </c>
      <c r="H4254" s="26" t="n">
        <f aca="false">G4254-F4254</f>
        <v>116</v>
      </c>
      <c r="I4254" s="10" t="n">
        <f aca="false">IF(E4254="Won",1,0)</f>
        <v>0</v>
      </c>
    </row>
    <row r="4255" customFormat="false" ht="15" hidden="false" customHeight="false" outlineLevel="0" collapsed="false">
      <c r="A4255" s="10" t="s">
        <v>6596</v>
      </c>
      <c r="B4255" s="10" t="s">
        <v>67</v>
      </c>
      <c r="C4255" s="10" t="s">
        <v>49</v>
      </c>
      <c r="D4255" s="10" t="s">
        <v>437</v>
      </c>
      <c r="E4255" s="10" t="s">
        <v>2342</v>
      </c>
      <c r="F4255" s="30" t="n">
        <v>42927</v>
      </c>
      <c r="G4255" s="30" t="n">
        <v>42986</v>
      </c>
      <c r="H4255" s="26" t="n">
        <f aca="false">G4255-F4255</f>
        <v>59</v>
      </c>
      <c r="I4255" s="10" t="n">
        <f aca="false">IF(E4255="Won",1,0)</f>
        <v>1</v>
      </c>
    </row>
    <row r="4256" customFormat="false" ht="15" hidden="false" customHeight="false" outlineLevel="0" collapsed="false">
      <c r="A4256" s="10" t="s">
        <v>6597</v>
      </c>
      <c r="B4256" s="10" t="s">
        <v>66</v>
      </c>
      <c r="C4256" s="10" t="s">
        <v>49</v>
      </c>
      <c r="D4256" s="10" t="s">
        <v>419</v>
      </c>
      <c r="E4256" s="10" t="s">
        <v>2345</v>
      </c>
      <c r="F4256" s="30" t="n">
        <v>42930</v>
      </c>
      <c r="G4256" s="30" t="n">
        <v>42986</v>
      </c>
      <c r="H4256" s="26" t="n">
        <f aca="false">G4256-F4256</f>
        <v>56</v>
      </c>
      <c r="I4256" s="10" t="n">
        <f aca="false">IF(E4256="Won",1,0)</f>
        <v>0</v>
      </c>
    </row>
    <row r="4257" customFormat="false" ht="15" hidden="false" customHeight="false" outlineLevel="0" collapsed="false">
      <c r="A4257" s="10" t="s">
        <v>6598</v>
      </c>
      <c r="B4257" s="10" t="s">
        <v>77</v>
      </c>
      <c r="C4257" s="10" t="s">
        <v>51</v>
      </c>
      <c r="D4257" s="10" t="s">
        <v>527</v>
      </c>
      <c r="E4257" s="10" t="s">
        <v>2342</v>
      </c>
      <c r="F4257" s="30" t="n">
        <v>42925</v>
      </c>
      <c r="G4257" s="30" t="n">
        <v>42986</v>
      </c>
      <c r="H4257" s="26" t="n">
        <f aca="false">G4257-F4257</f>
        <v>61</v>
      </c>
      <c r="I4257" s="10" t="n">
        <f aca="false">IF(E4257="Won",1,0)</f>
        <v>1</v>
      </c>
    </row>
    <row r="4258" customFormat="false" ht="15" hidden="false" customHeight="false" outlineLevel="0" collapsed="false">
      <c r="A4258" s="10" t="s">
        <v>6599</v>
      </c>
      <c r="B4258" s="10" t="s">
        <v>66</v>
      </c>
      <c r="C4258" s="10" t="s">
        <v>48</v>
      </c>
      <c r="D4258" s="10" t="s">
        <v>711</v>
      </c>
      <c r="E4258" s="10" t="s">
        <v>2342</v>
      </c>
      <c r="F4258" s="30" t="n">
        <v>42924</v>
      </c>
      <c r="G4258" s="30" t="n">
        <v>42987</v>
      </c>
      <c r="H4258" s="26" t="n">
        <f aca="false">G4258-F4258</f>
        <v>63</v>
      </c>
      <c r="I4258" s="10" t="n">
        <f aca="false">IF(E4258="Won",1,0)</f>
        <v>1</v>
      </c>
    </row>
    <row r="4259" customFormat="false" ht="15" hidden="false" customHeight="false" outlineLevel="0" collapsed="false">
      <c r="A4259" s="10" t="s">
        <v>6600</v>
      </c>
      <c r="B4259" s="10" t="s">
        <v>76</v>
      </c>
      <c r="C4259" s="10" t="s">
        <v>52</v>
      </c>
      <c r="D4259" s="10" t="s">
        <v>961</v>
      </c>
      <c r="E4259" s="10" t="s">
        <v>2345</v>
      </c>
      <c r="F4259" s="30" t="n">
        <v>42881</v>
      </c>
      <c r="G4259" s="30" t="n">
        <v>42987</v>
      </c>
      <c r="H4259" s="26" t="n">
        <f aca="false">G4259-F4259</f>
        <v>106</v>
      </c>
      <c r="I4259" s="10" t="n">
        <f aca="false">IF(E4259="Won",1,0)</f>
        <v>0</v>
      </c>
    </row>
    <row r="4260" customFormat="false" ht="15" hidden="false" customHeight="false" outlineLevel="0" collapsed="false">
      <c r="A4260" s="10" t="s">
        <v>6601</v>
      </c>
      <c r="B4260" s="10" t="s">
        <v>94</v>
      </c>
      <c r="C4260" s="10" t="s">
        <v>51</v>
      </c>
      <c r="D4260" s="10" t="s">
        <v>199</v>
      </c>
      <c r="E4260" s="10" t="s">
        <v>2342</v>
      </c>
      <c r="F4260" s="30" t="n">
        <v>42974</v>
      </c>
      <c r="G4260" s="30" t="n">
        <v>42987</v>
      </c>
      <c r="H4260" s="26" t="n">
        <f aca="false">G4260-F4260</f>
        <v>13</v>
      </c>
      <c r="I4260" s="10" t="n">
        <f aca="false">IF(E4260="Won",1,0)</f>
        <v>1</v>
      </c>
    </row>
    <row r="4261" customFormat="false" ht="15" hidden="false" customHeight="false" outlineLevel="0" collapsed="false">
      <c r="A4261" s="10" t="s">
        <v>6602</v>
      </c>
      <c r="B4261" s="10" t="s">
        <v>67</v>
      </c>
      <c r="C4261" s="10" t="s">
        <v>50</v>
      </c>
      <c r="D4261" s="10" t="s">
        <v>227</v>
      </c>
      <c r="E4261" s="10" t="s">
        <v>2342</v>
      </c>
      <c r="F4261" s="30" t="n">
        <v>42890</v>
      </c>
      <c r="G4261" s="30" t="n">
        <v>42987</v>
      </c>
      <c r="H4261" s="26" t="n">
        <f aca="false">G4261-F4261</f>
        <v>97</v>
      </c>
      <c r="I4261" s="10" t="n">
        <f aca="false">IF(E4261="Won",1,0)</f>
        <v>1</v>
      </c>
    </row>
    <row r="4262" customFormat="false" ht="15" hidden="false" customHeight="false" outlineLevel="0" collapsed="false">
      <c r="A4262" s="10" t="s">
        <v>6603</v>
      </c>
      <c r="B4262" s="10" t="s">
        <v>80</v>
      </c>
      <c r="C4262" s="10" t="s">
        <v>48</v>
      </c>
      <c r="D4262" s="10" t="s">
        <v>527</v>
      </c>
      <c r="E4262" s="10" t="s">
        <v>2345</v>
      </c>
      <c r="F4262" s="30" t="n">
        <v>42874</v>
      </c>
      <c r="G4262" s="30" t="n">
        <v>42987</v>
      </c>
      <c r="H4262" s="26" t="n">
        <f aca="false">G4262-F4262</f>
        <v>113</v>
      </c>
      <c r="I4262" s="10" t="n">
        <f aca="false">IF(E4262="Won",1,0)</f>
        <v>0</v>
      </c>
    </row>
    <row r="4263" customFormat="false" ht="15" hidden="false" customHeight="false" outlineLevel="0" collapsed="false">
      <c r="A4263" s="10" t="s">
        <v>6604</v>
      </c>
      <c r="B4263" s="10" t="s">
        <v>96</v>
      </c>
      <c r="C4263" s="10" t="s">
        <v>47</v>
      </c>
      <c r="D4263" s="10" t="s">
        <v>384</v>
      </c>
      <c r="E4263" s="10" t="s">
        <v>2342</v>
      </c>
      <c r="F4263" s="30" t="n">
        <v>42981</v>
      </c>
      <c r="G4263" s="30" t="n">
        <v>42987</v>
      </c>
      <c r="H4263" s="26" t="n">
        <f aca="false">G4263-F4263</f>
        <v>6</v>
      </c>
      <c r="I4263" s="10" t="n">
        <f aca="false">IF(E4263="Won",1,0)</f>
        <v>1</v>
      </c>
    </row>
    <row r="4264" customFormat="false" ht="15" hidden="false" customHeight="false" outlineLevel="0" collapsed="false">
      <c r="A4264" s="10" t="s">
        <v>6605</v>
      </c>
      <c r="B4264" s="10" t="s">
        <v>61</v>
      </c>
      <c r="C4264" s="10" t="s">
        <v>51</v>
      </c>
      <c r="D4264" s="10" t="s">
        <v>616</v>
      </c>
      <c r="E4264" s="10" t="s">
        <v>2345</v>
      </c>
      <c r="F4264" s="30" t="n">
        <v>42957</v>
      </c>
      <c r="G4264" s="30" t="n">
        <v>42987</v>
      </c>
      <c r="H4264" s="26" t="n">
        <f aca="false">G4264-F4264</f>
        <v>30</v>
      </c>
      <c r="I4264" s="10" t="n">
        <f aca="false">IF(E4264="Won",1,0)</f>
        <v>0</v>
      </c>
    </row>
    <row r="4265" customFormat="false" ht="15" hidden="false" customHeight="false" outlineLevel="0" collapsed="false">
      <c r="A4265" s="10" t="s">
        <v>6606</v>
      </c>
      <c r="B4265" s="10" t="s">
        <v>57</v>
      </c>
      <c r="C4265" s="10" t="s">
        <v>48</v>
      </c>
      <c r="D4265" s="10" t="s">
        <v>427</v>
      </c>
      <c r="E4265" s="10" t="s">
        <v>2342</v>
      </c>
      <c r="F4265" s="30" t="n">
        <v>42903</v>
      </c>
      <c r="G4265" s="30" t="n">
        <v>42987</v>
      </c>
      <c r="H4265" s="26" t="n">
        <f aca="false">G4265-F4265</f>
        <v>84</v>
      </c>
      <c r="I4265" s="10" t="n">
        <f aca="false">IF(E4265="Won",1,0)</f>
        <v>1</v>
      </c>
    </row>
    <row r="4266" customFormat="false" ht="15" hidden="false" customHeight="false" outlineLevel="0" collapsed="false">
      <c r="A4266" s="10" t="s">
        <v>6607</v>
      </c>
      <c r="B4266" s="10" t="s">
        <v>77</v>
      </c>
      <c r="C4266" s="10" t="s">
        <v>49</v>
      </c>
      <c r="D4266" s="10" t="s">
        <v>267</v>
      </c>
      <c r="E4266" s="10" t="s">
        <v>2342</v>
      </c>
      <c r="F4266" s="30" t="n">
        <v>42901</v>
      </c>
      <c r="G4266" s="30" t="n">
        <v>42987</v>
      </c>
      <c r="H4266" s="26" t="n">
        <f aca="false">G4266-F4266</f>
        <v>86</v>
      </c>
      <c r="I4266" s="10" t="n">
        <f aca="false">IF(E4266="Won",1,0)</f>
        <v>1</v>
      </c>
    </row>
    <row r="4267" customFormat="false" ht="15" hidden="false" customHeight="false" outlineLevel="0" collapsed="false">
      <c r="A4267" s="10" t="s">
        <v>6608</v>
      </c>
      <c r="B4267" s="10" t="s">
        <v>88</v>
      </c>
      <c r="C4267" s="10" t="s">
        <v>51</v>
      </c>
      <c r="D4267" s="10" t="s">
        <v>532</v>
      </c>
      <c r="E4267" s="10" t="s">
        <v>2342</v>
      </c>
      <c r="F4267" s="30" t="n">
        <v>42976</v>
      </c>
      <c r="G4267" s="30" t="n">
        <v>42987</v>
      </c>
      <c r="H4267" s="26" t="n">
        <f aca="false">G4267-F4267</f>
        <v>11</v>
      </c>
      <c r="I4267" s="10" t="n">
        <f aca="false">IF(E4267="Won",1,0)</f>
        <v>1</v>
      </c>
    </row>
    <row r="4268" customFormat="false" ht="15" hidden="false" customHeight="false" outlineLevel="0" collapsed="false">
      <c r="A4268" s="10" t="s">
        <v>6609</v>
      </c>
      <c r="B4268" s="10" t="s">
        <v>80</v>
      </c>
      <c r="C4268" s="10" t="s">
        <v>51</v>
      </c>
      <c r="D4268" s="10" t="s">
        <v>483</v>
      </c>
      <c r="E4268" s="10" t="s">
        <v>2342</v>
      </c>
      <c r="F4268" s="30" t="n">
        <v>42901</v>
      </c>
      <c r="G4268" s="30" t="n">
        <v>42987</v>
      </c>
      <c r="H4268" s="26" t="n">
        <f aca="false">G4268-F4268</f>
        <v>86</v>
      </c>
      <c r="I4268" s="10" t="n">
        <f aca="false">IF(E4268="Won",1,0)</f>
        <v>1</v>
      </c>
    </row>
    <row r="4269" customFormat="false" ht="15" hidden="false" customHeight="false" outlineLevel="0" collapsed="false">
      <c r="A4269" s="10" t="s">
        <v>6610</v>
      </c>
      <c r="B4269" s="10" t="s">
        <v>70</v>
      </c>
      <c r="C4269" s="10" t="s">
        <v>49</v>
      </c>
      <c r="D4269" s="10" t="s">
        <v>514</v>
      </c>
      <c r="E4269" s="10" t="s">
        <v>2342</v>
      </c>
      <c r="F4269" s="30" t="n">
        <v>42914</v>
      </c>
      <c r="G4269" s="30" t="n">
        <v>42987</v>
      </c>
      <c r="H4269" s="26" t="n">
        <f aca="false">G4269-F4269</f>
        <v>73</v>
      </c>
      <c r="I4269" s="10" t="n">
        <f aca="false">IF(E4269="Won",1,0)</f>
        <v>1</v>
      </c>
    </row>
    <row r="4270" customFormat="false" ht="15" hidden="false" customHeight="false" outlineLevel="0" collapsed="false">
      <c r="A4270" s="10" t="s">
        <v>6611</v>
      </c>
      <c r="B4270" s="10" t="s">
        <v>75</v>
      </c>
      <c r="C4270" s="10" t="s">
        <v>52</v>
      </c>
      <c r="D4270" s="10" t="s">
        <v>388</v>
      </c>
      <c r="E4270" s="10" t="s">
        <v>2342</v>
      </c>
      <c r="F4270" s="30" t="n">
        <v>42956</v>
      </c>
      <c r="G4270" s="30" t="n">
        <v>42987</v>
      </c>
      <c r="H4270" s="26" t="n">
        <f aca="false">G4270-F4270</f>
        <v>31</v>
      </c>
      <c r="I4270" s="10" t="n">
        <f aca="false">IF(E4270="Won",1,0)</f>
        <v>1</v>
      </c>
    </row>
    <row r="4271" customFormat="false" ht="15" hidden="false" customHeight="false" outlineLevel="0" collapsed="false">
      <c r="A4271" s="10" t="s">
        <v>6612</v>
      </c>
      <c r="B4271" s="10" t="s">
        <v>68</v>
      </c>
      <c r="C4271" s="10" t="s">
        <v>52</v>
      </c>
      <c r="D4271" s="10" t="s">
        <v>170</v>
      </c>
      <c r="E4271" s="10" t="s">
        <v>2345</v>
      </c>
      <c r="F4271" s="30" t="n">
        <v>42892</v>
      </c>
      <c r="G4271" s="30" t="n">
        <v>42987</v>
      </c>
      <c r="H4271" s="26" t="n">
        <f aca="false">G4271-F4271</f>
        <v>95</v>
      </c>
      <c r="I4271" s="10" t="n">
        <f aca="false">IF(E4271="Won",1,0)</f>
        <v>0</v>
      </c>
    </row>
    <row r="4272" customFormat="false" ht="15" hidden="false" customHeight="false" outlineLevel="0" collapsed="false">
      <c r="A4272" s="10" t="s">
        <v>6613</v>
      </c>
      <c r="B4272" s="10" t="s">
        <v>62</v>
      </c>
      <c r="C4272" s="10" t="s">
        <v>49</v>
      </c>
      <c r="D4272" s="10" t="s">
        <v>1334</v>
      </c>
      <c r="E4272" s="10" t="s">
        <v>2342</v>
      </c>
      <c r="F4272" s="30" t="n">
        <v>42879</v>
      </c>
      <c r="G4272" s="30" t="n">
        <v>42988</v>
      </c>
      <c r="H4272" s="26" t="n">
        <f aca="false">G4272-F4272</f>
        <v>109</v>
      </c>
      <c r="I4272" s="10" t="n">
        <f aca="false">IF(E4272="Won",1,0)</f>
        <v>1</v>
      </c>
    </row>
    <row r="4273" customFormat="false" ht="15" hidden="false" customHeight="false" outlineLevel="0" collapsed="false">
      <c r="A4273" s="10" t="s">
        <v>6614</v>
      </c>
      <c r="B4273" s="10" t="s">
        <v>77</v>
      </c>
      <c r="C4273" s="10" t="s">
        <v>47</v>
      </c>
      <c r="D4273" s="10" t="s">
        <v>369</v>
      </c>
      <c r="E4273" s="10" t="s">
        <v>2342</v>
      </c>
      <c r="F4273" s="30" t="n">
        <v>42978</v>
      </c>
      <c r="G4273" s="30" t="n">
        <v>42988</v>
      </c>
      <c r="H4273" s="26" t="n">
        <f aca="false">G4273-F4273</f>
        <v>10</v>
      </c>
      <c r="I4273" s="10" t="n">
        <f aca="false">IF(E4273="Won",1,0)</f>
        <v>1</v>
      </c>
    </row>
    <row r="4274" customFormat="false" ht="15" hidden="false" customHeight="false" outlineLevel="0" collapsed="false">
      <c r="A4274" s="10" t="s">
        <v>6615</v>
      </c>
      <c r="B4274" s="10" t="s">
        <v>77</v>
      </c>
      <c r="C4274" s="10" t="s">
        <v>49</v>
      </c>
      <c r="D4274" s="10" t="s">
        <v>660</v>
      </c>
      <c r="E4274" s="10" t="s">
        <v>2342</v>
      </c>
      <c r="F4274" s="30" t="n">
        <v>42986</v>
      </c>
      <c r="G4274" s="30" t="n">
        <v>42988</v>
      </c>
      <c r="H4274" s="26" t="n">
        <f aca="false">G4274-F4274</f>
        <v>2</v>
      </c>
      <c r="I4274" s="10" t="n">
        <f aca="false">IF(E4274="Won",1,0)</f>
        <v>1</v>
      </c>
    </row>
    <row r="4275" customFormat="false" ht="15" hidden="false" customHeight="false" outlineLevel="0" collapsed="false">
      <c r="A4275" s="10" t="s">
        <v>6616</v>
      </c>
      <c r="B4275" s="10" t="s">
        <v>67</v>
      </c>
      <c r="C4275" s="10" t="s">
        <v>49</v>
      </c>
      <c r="D4275" s="10" t="s">
        <v>606</v>
      </c>
      <c r="E4275" s="10" t="s">
        <v>2342</v>
      </c>
      <c r="F4275" s="30" t="n">
        <v>42973</v>
      </c>
      <c r="G4275" s="30" t="n">
        <v>42988</v>
      </c>
      <c r="H4275" s="26" t="n">
        <f aca="false">G4275-F4275</f>
        <v>15</v>
      </c>
      <c r="I4275" s="10" t="n">
        <f aca="false">IF(E4275="Won",1,0)</f>
        <v>1</v>
      </c>
    </row>
    <row r="4276" customFormat="false" ht="15" hidden="false" customHeight="false" outlineLevel="0" collapsed="false">
      <c r="A4276" s="10" t="s">
        <v>6617</v>
      </c>
      <c r="B4276" s="10" t="s">
        <v>69</v>
      </c>
      <c r="C4276" s="10" t="s">
        <v>52</v>
      </c>
      <c r="D4276" s="10" t="s">
        <v>337</v>
      </c>
      <c r="E4276" s="10" t="s">
        <v>2342</v>
      </c>
      <c r="F4276" s="30" t="n">
        <v>42890</v>
      </c>
      <c r="G4276" s="30" t="n">
        <v>42988</v>
      </c>
      <c r="H4276" s="26" t="n">
        <f aca="false">G4276-F4276</f>
        <v>98</v>
      </c>
      <c r="I4276" s="10" t="n">
        <f aca="false">IF(E4276="Won",1,0)</f>
        <v>1</v>
      </c>
    </row>
    <row r="4277" customFormat="false" ht="15" hidden="false" customHeight="false" outlineLevel="0" collapsed="false">
      <c r="A4277" s="10" t="s">
        <v>6618</v>
      </c>
      <c r="B4277" s="10" t="s">
        <v>88</v>
      </c>
      <c r="C4277" s="10" t="s">
        <v>49</v>
      </c>
      <c r="D4277" s="10" t="s">
        <v>616</v>
      </c>
      <c r="E4277" s="10" t="s">
        <v>2342</v>
      </c>
      <c r="F4277" s="30" t="n">
        <v>42879</v>
      </c>
      <c r="G4277" s="30" t="n">
        <v>42988</v>
      </c>
      <c r="H4277" s="26" t="n">
        <f aca="false">G4277-F4277</f>
        <v>109</v>
      </c>
      <c r="I4277" s="10" t="n">
        <f aca="false">IF(E4277="Won",1,0)</f>
        <v>1</v>
      </c>
    </row>
    <row r="4278" customFormat="false" ht="15" hidden="false" customHeight="false" outlineLevel="0" collapsed="false">
      <c r="A4278" s="10" t="s">
        <v>6619</v>
      </c>
      <c r="B4278" s="10" t="s">
        <v>77</v>
      </c>
      <c r="C4278" s="10" t="s">
        <v>48</v>
      </c>
      <c r="D4278" s="10" t="s">
        <v>193</v>
      </c>
      <c r="E4278" s="10" t="s">
        <v>2342</v>
      </c>
      <c r="F4278" s="30" t="n">
        <v>42899</v>
      </c>
      <c r="G4278" s="30" t="n">
        <v>42988</v>
      </c>
      <c r="H4278" s="26" t="n">
        <f aca="false">G4278-F4278</f>
        <v>89</v>
      </c>
      <c r="I4278" s="10" t="n">
        <f aca="false">IF(E4278="Won",1,0)</f>
        <v>1</v>
      </c>
    </row>
    <row r="4279" customFormat="false" ht="15" hidden="false" customHeight="false" outlineLevel="0" collapsed="false">
      <c r="A4279" s="10" t="s">
        <v>6620</v>
      </c>
      <c r="B4279" s="10" t="s">
        <v>96</v>
      </c>
      <c r="C4279" s="10" t="s">
        <v>50</v>
      </c>
      <c r="D4279" s="10" t="s">
        <v>326</v>
      </c>
      <c r="E4279" s="10" t="s">
        <v>2342</v>
      </c>
      <c r="F4279" s="30" t="n">
        <v>42970</v>
      </c>
      <c r="G4279" s="30" t="n">
        <v>42988</v>
      </c>
      <c r="H4279" s="26" t="n">
        <f aca="false">G4279-F4279</f>
        <v>18</v>
      </c>
      <c r="I4279" s="10" t="n">
        <f aca="false">IF(E4279="Won",1,0)</f>
        <v>1</v>
      </c>
    </row>
    <row r="4280" customFormat="false" ht="15" hidden="false" customHeight="false" outlineLevel="0" collapsed="false">
      <c r="A4280" s="10" t="s">
        <v>6621</v>
      </c>
      <c r="B4280" s="10" t="s">
        <v>94</v>
      </c>
      <c r="C4280" s="10" t="s">
        <v>51</v>
      </c>
      <c r="D4280" s="10" t="s">
        <v>606</v>
      </c>
      <c r="E4280" s="10" t="s">
        <v>2342</v>
      </c>
      <c r="F4280" s="30" t="n">
        <v>42971</v>
      </c>
      <c r="G4280" s="30" t="n">
        <v>42988</v>
      </c>
      <c r="H4280" s="26" t="n">
        <f aca="false">G4280-F4280</f>
        <v>17</v>
      </c>
      <c r="I4280" s="10" t="n">
        <f aca="false">IF(E4280="Won",1,0)</f>
        <v>1</v>
      </c>
    </row>
    <row r="4281" customFormat="false" ht="15" hidden="false" customHeight="false" outlineLevel="0" collapsed="false">
      <c r="A4281" s="10" t="s">
        <v>6622</v>
      </c>
      <c r="B4281" s="10" t="s">
        <v>90</v>
      </c>
      <c r="C4281" s="10" t="s">
        <v>48</v>
      </c>
      <c r="D4281" s="10" t="s">
        <v>359</v>
      </c>
      <c r="E4281" s="10" t="s">
        <v>2342</v>
      </c>
      <c r="F4281" s="30" t="n">
        <v>42981</v>
      </c>
      <c r="G4281" s="30" t="n">
        <v>42988</v>
      </c>
      <c r="H4281" s="26" t="n">
        <f aca="false">G4281-F4281</f>
        <v>7</v>
      </c>
      <c r="I4281" s="10" t="n">
        <f aca="false">IF(E4281="Won",1,0)</f>
        <v>1</v>
      </c>
    </row>
    <row r="4282" customFormat="false" ht="15" hidden="false" customHeight="false" outlineLevel="0" collapsed="false">
      <c r="A4282" s="10" t="s">
        <v>6623</v>
      </c>
      <c r="B4282" s="10" t="s">
        <v>96</v>
      </c>
      <c r="C4282" s="10" t="s">
        <v>50</v>
      </c>
      <c r="D4282" s="10" t="s">
        <v>506</v>
      </c>
      <c r="E4282" s="10" t="s">
        <v>2342</v>
      </c>
      <c r="F4282" s="30" t="n">
        <v>42870</v>
      </c>
      <c r="G4282" s="30" t="n">
        <v>42988</v>
      </c>
      <c r="H4282" s="26" t="n">
        <f aca="false">G4282-F4282</f>
        <v>118</v>
      </c>
      <c r="I4282" s="10" t="n">
        <f aca="false">IF(E4282="Won",1,0)</f>
        <v>1</v>
      </c>
    </row>
    <row r="4283" customFormat="false" ht="15" hidden="false" customHeight="false" outlineLevel="0" collapsed="false">
      <c r="A4283" s="10" t="s">
        <v>6624</v>
      </c>
      <c r="B4283" s="10" t="s">
        <v>88</v>
      </c>
      <c r="C4283" s="10" t="s">
        <v>47</v>
      </c>
      <c r="D4283" s="10" t="s">
        <v>453</v>
      </c>
      <c r="E4283" s="10" t="s">
        <v>2345</v>
      </c>
      <c r="F4283" s="30" t="n">
        <v>42919</v>
      </c>
      <c r="G4283" s="30" t="n">
        <v>42988</v>
      </c>
      <c r="H4283" s="26" t="n">
        <f aca="false">G4283-F4283</f>
        <v>69</v>
      </c>
      <c r="I4283" s="10" t="n">
        <f aca="false">IF(E4283="Won",1,0)</f>
        <v>0</v>
      </c>
    </row>
    <row r="4284" customFormat="false" ht="15" hidden="false" customHeight="false" outlineLevel="0" collapsed="false">
      <c r="A4284" s="10" t="s">
        <v>6625</v>
      </c>
      <c r="B4284" s="10" t="s">
        <v>93</v>
      </c>
      <c r="C4284" s="10" t="s">
        <v>48</v>
      </c>
      <c r="D4284" s="10" t="s">
        <v>348</v>
      </c>
      <c r="E4284" s="10" t="s">
        <v>2342</v>
      </c>
      <c r="F4284" s="30" t="n">
        <v>42946</v>
      </c>
      <c r="G4284" s="30" t="n">
        <v>42988</v>
      </c>
      <c r="H4284" s="26" t="n">
        <f aca="false">G4284-F4284</f>
        <v>42</v>
      </c>
      <c r="I4284" s="10" t="n">
        <f aca="false">IF(E4284="Won",1,0)</f>
        <v>1</v>
      </c>
    </row>
    <row r="4285" customFormat="false" ht="15" hidden="false" customHeight="false" outlineLevel="0" collapsed="false">
      <c r="A4285" s="10" t="s">
        <v>6626</v>
      </c>
      <c r="B4285" s="10" t="s">
        <v>63</v>
      </c>
      <c r="C4285" s="10" t="s">
        <v>49</v>
      </c>
      <c r="D4285" s="10" t="s">
        <v>637</v>
      </c>
      <c r="E4285" s="10" t="s">
        <v>2342</v>
      </c>
      <c r="F4285" s="30" t="n">
        <v>42915</v>
      </c>
      <c r="G4285" s="30" t="n">
        <v>42988</v>
      </c>
      <c r="H4285" s="26" t="n">
        <f aca="false">G4285-F4285</f>
        <v>73</v>
      </c>
      <c r="I4285" s="10" t="n">
        <f aca="false">IF(E4285="Won",1,0)</f>
        <v>1</v>
      </c>
    </row>
    <row r="4286" customFormat="false" ht="15" hidden="false" customHeight="false" outlineLevel="0" collapsed="false">
      <c r="A4286" s="10" t="s">
        <v>6627</v>
      </c>
      <c r="B4286" s="10" t="s">
        <v>77</v>
      </c>
      <c r="C4286" s="10" t="s">
        <v>50</v>
      </c>
      <c r="D4286" s="10" t="s">
        <v>660</v>
      </c>
      <c r="E4286" s="10" t="s">
        <v>2345</v>
      </c>
      <c r="F4286" s="30" t="n">
        <v>42861</v>
      </c>
      <c r="G4286" s="30" t="n">
        <v>42988</v>
      </c>
      <c r="H4286" s="26" t="n">
        <f aca="false">G4286-F4286</f>
        <v>127</v>
      </c>
      <c r="I4286" s="10" t="n">
        <f aca="false">IF(E4286="Won",1,0)</f>
        <v>0</v>
      </c>
    </row>
    <row r="4287" customFormat="false" ht="15" hidden="false" customHeight="false" outlineLevel="0" collapsed="false">
      <c r="A4287" s="10" t="s">
        <v>6628</v>
      </c>
      <c r="B4287" s="10" t="s">
        <v>75</v>
      </c>
      <c r="C4287" s="10" t="s">
        <v>52</v>
      </c>
      <c r="D4287" s="10" t="s">
        <v>961</v>
      </c>
      <c r="E4287" s="10" t="s">
        <v>2342</v>
      </c>
      <c r="F4287" s="30" t="n">
        <v>42910</v>
      </c>
      <c r="G4287" s="30" t="n">
        <v>42988</v>
      </c>
      <c r="H4287" s="26" t="n">
        <f aca="false">G4287-F4287</f>
        <v>78</v>
      </c>
      <c r="I4287" s="10" t="n">
        <f aca="false">IF(E4287="Won",1,0)</f>
        <v>1</v>
      </c>
    </row>
    <row r="4288" customFormat="false" ht="15" hidden="false" customHeight="false" outlineLevel="0" collapsed="false">
      <c r="A4288" s="10" t="s">
        <v>6629</v>
      </c>
      <c r="B4288" s="10" t="s">
        <v>77</v>
      </c>
      <c r="C4288" s="10" t="s">
        <v>48</v>
      </c>
      <c r="D4288" s="10" t="s">
        <v>353</v>
      </c>
      <c r="E4288" s="10" t="s">
        <v>2342</v>
      </c>
      <c r="F4288" s="30" t="n">
        <v>42977</v>
      </c>
      <c r="G4288" s="30" t="n">
        <v>42988</v>
      </c>
      <c r="H4288" s="26" t="n">
        <f aca="false">G4288-F4288</f>
        <v>11</v>
      </c>
      <c r="I4288" s="10" t="n">
        <f aca="false">IF(E4288="Won",1,0)</f>
        <v>1</v>
      </c>
    </row>
    <row r="4289" customFormat="false" ht="15" hidden="false" customHeight="false" outlineLevel="0" collapsed="false">
      <c r="A4289" s="10" t="s">
        <v>6630</v>
      </c>
      <c r="B4289" s="10" t="s">
        <v>83</v>
      </c>
      <c r="C4289" s="10" t="s">
        <v>52</v>
      </c>
      <c r="D4289" s="10" t="s">
        <v>1251</v>
      </c>
      <c r="E4289" s="10" t="s">
        <v>2342</v>
      </c>
      <c r="F4289" s="30" t="n">
        <v>42898</v>
      </c>
      <c r="G4289" s="30" t="n">
        <v>42988</v>
      </c>
      <c r="H4289" s="26" t="n">
        <f aca="false">G4289-F4289</f>
        <v>90</v>
      </c>
      <c r="I4289" s="10" t="n">
        <f aca="false">IF(E4289="Won",1,0)</f>
        <v>1</v>
      </c>
    </row>
    <row r="4290" customFormat="false" ht="15" hidden="false" customHeight="false" outlineLevel="0" collapsed="false">
      <c r="A4290" s="10" t="s">
        <v>6631</v>
      </c>
      <c r="B4290" s="10" t="s">
        <v>70</v>
      </c>
      <c r="C4290" s="10" t="s">
        <v>52</v>
      </c>
      <c r="D4290" s="10" t="s">
        <v>233</v>
      </c>
      <c r="E4290" s="10" t="s">
        <v>2342</v>
      </c>
      <c r="F4290" s="30" t="n">
        <v>42889</v>
      </c>
      <c r="G4290" s="30" t="n">
        <v>42988</v>
      </c>
      <c r="H4290" s="26" t="n">
        <f aca="false">G4290-F4290</f>
        <v>99</v>
      </c>
      <c r="I4290" s="10" t="n">
        <f aca="false">IF(E4290="Won",1,0)</f>
        <v>1</v>
      </c>
    </row>
    <row r="4291" customFormat="false" ht="15" hidden="false" customHeight="false" outlineLevel="0" collapsed="false">
      <c r="A4291" s="10" t="s">
        <v>6632</v>
      </c>
      <c r="B4291" s="10" t="s">
        <v>74</v>
      </c>
      <c r="C4291" s="10" t="s">
        <v>52</v>
      </c>
      <c r="D4291" s="10" t="s">
        <v>388</v>
      </c>
      <c r="E4291" s="10" t="s">
        <v>2345</v>
      </c>
      <c r="F4291" s="30" t="n">
        <v>42977</v>
      </c>
      <c r="G4291" s="30" t="n">
        <v>42988</v>
      </c>
      <c r="H4291" s="26" t="n">
        <f aca="false">G4291-F4291</f>
        <v>11</v>
      </c>
      <c r="I4291" s="10" t="n">
        <f aca="false">IF(E4291="Won",1,0)</f>
        <v>0</v>
      </c>
    </row>
    <row r="4292" customFormat="false" ht="15" hidden="false" customHeight="false" outlineLevel="0" collapsed="false">
      <c r="A4292" s="10" t="s">
        <v>6633</v>
      </c>
      <c r="B4292" s="10" t="s">
        <v>62</v>
      </c>
      <c r="C4292" s="10" t="s">
        <v>52</v>
      </c>
      <c r="D4292" s="10" t="s">
        <v>215</v>
      </c>
      <c r="E4292" s="10" t="s">
        <v>2342</v>
      </c>
      <c r="F4292" s="30" t="n">
        <v>42892</v>
      </c>
      <c r="G4292" s="30" t="n">
        <v>42988</v>
      </c>
      <c r="H4292" s="26" t="n">
        <f aca="false">G4292-F4292</f>
        <v>96</v>
      </c>
      <c r="I4292" s="10" t="n">
        <f aca="false">IF(E4292="Won",1,0)</f>
        <v>1</v>
      </c>
    </row>
    <row r="4293" customFormat="false" ht="15" hidden="false" customHeight="false" outlineLevel="0" collapsed="false">
      <c r="A4293" s="10" t="s">
        <v>6634</v>
      </c>
      <c r="B4293" s="10" t="s">
        <v>70</v>
      </c>
      <c r="C4293" s="10" t="s">
        <v>49</v>
      </c>
      <c r="D4293" s="10" t="s">
        <v>303</v>
      </c>
      <c r="E4293" s="10" t="s">
        <v>2345</v>
      </c>
      <c r="F4293" s="30" t="n">
        <v>42975</v>
      </c>
      <c r="G4293" s="30" t="n">
        <v>42988</v>
      </c>
      <c r="H4293" s="26" t="n">
        <f aca="false">G4293-F4293</f>
        <v>13</v>
      </c>
      <c r="I4293" s="10" t="n">
        <f aca="false">IF(E4293="Won",1,0)</f>
        <v>0</v>
      </c>
    </row>
    <row r="4294" customFormat="false" ht="15" hidden="false" customHeight="false" outlineLevel="0" collapsed="false">
      <c r="A4294" s="10" t="s">
        <v>6635</v>
      </c>
      <c r="B4294" s="10" t="s">
        <v>81</v>
      </c>
      <c r="C4294" s="10" t="s">
        <v>52</v>
      </c>
      <c r="D4294" s="10" t="s">
        <v>422</v>
      </c>
      <c r="E4294" s="10" t="s">
        <v>2345</v>
      </c>
      <c r="F4294" s="30" t="n">
        <v>42873</v>
      </c>
      <c r="G4294" s="30" t="n">
        <v>42988</v>
      </c>
      <c r="H4294" s="26" t="n">
        <f aca="false">G4294-F4294</f>
        <v>115</v>
      </c>
      <c r="I4294" s="10" t="n">
        <f aca="false">IF(E4294="Won",1,0)</f>
        <v>0</v>
      </c>
    </row>
    <row r="4295" customFormat="false" ht="15" hidden="false" customHeight="false" outlineLevel="0" collapsed="false">
      <c r="A4295" s="10" t="s">
        <v>6636</v>
      </c>
      <c r="B4295" s="10" t="s">
        <v>76</v>
      </c>
      <c r="C4295" s="10" t="s">
        <v>52</v>
      </c>
      <c r="D4295" s="10" t="s">
        <v>697</v>
      </c>
      <c r="E4295" s="10" t="s">
        <v>2342</v>
      </c>
      <c r="F4295" s="30" t="n">
        <v>42979</v>
      </c>
      <c r="G4295" s="30" t="n">
        <v>42989</v>
      </c>
      <c r="H4295" s="26" t="n">
        <f aca="false">G4295-F4295</f>
        <v>10</v>
      </c>
      <c r="I4295" s="10" t="n">
        <f aca="false">IF(E4295="Won",1,0)</f>
        <v>1</v>
      </c>
    </row>
    <row r="4296" customFormat="false" ht="15" hidden="false" customHeight="false" outlineLevel="0" collapsed="false">
      <c r="A4296" s="10" t="s">
        <v>6637</v>
      </c>
      <c r="B4296" s="10" t="s">
        <v>77</v>
      </c>
      <c r="C4296" s="10" t="s">
        <v>48</v>
      </c>
      <c r="D4296" s="10" t="s">
        <v>414</v>
      </c>
      <c r="E4296" s="10" t="s">
        <v>2342</v>
      </c>
      <c r="F4296" s="30" t="n">
        <v>42874</v>
      </c>
      <c r="G4296" s="30" t="n">
        <v>42989</v>
      </c>
      <c r="H4296" s="26" t="n">
        <f aca="false">G4296-F4296</f>
        <v>115</v>
      </c>
      <c r="I4296" s="10" t="n">
        <f aca="false">IF(E4296="Won",1,0)</f>
        <v>1</v>
      </c>
    </row>
    <row r="4297" customFormat="false" ht="15" hidden="false" customHeight="false" outlineLevel="0" collapsed="false">
      <c r="A4297" s="10" t="s">
        <v>6638</v>
      </c>
      <c r="B4297" s="10" t="s">
        <v>69</v>
      </c>
      <c r="C4297" s="10" t="s">
        <v>52</v>
      </c>
      <c r="D4297" s="10" t="s">
        <v>419</v>
      </c>
      <c r="E4297" s="10" t="s">
        <v>2342</v>
      </c>
      <c r="F4297" s="30" t="n">
        <v>42923</v>
      </c>
      <c r="G4297" s="30" t="n">
        <v>42989</v>
      </c>
      <c r="H4297" s="26" t="n">
        <f aca="false">G4297-F4297</f>
        <v>66</v>
      </c>
      <c r="I4297" s="10" t="n">
        <f aca="false">IF(E4297="Won",1,0)</f>
        <v>1</v>
      </c>
    </row>
    <row r="4298" customFormat="false" ht="15" hidden="false" customHeight="false" outlineLevel="0" collapsed="false">
      <c r="A4298" s="10" t="s">
        <v>6639</v>
      </c>
      <c r="B4298" s="10" t="s">
        <v>86</v>
      </c>
      <c r="C4298" s="10" t="s">
        <v>50</v>
      </c>
      <c r="D4298" s="10" t="s">
        <v>464</v>
      </c>
      <c r="E4298" s="10" t="s">
        <v>2345</v>
      </c>
      <c r="F4298" s="30" t="n">
        <v>42897</v>
      </c>
      <c r="G4298" s="30" t="n">
        <v>42989</v>
      </c>
      <c r="H4298" s="26" t="n">
        <f aca="false">G4298-F4298</f>
        <v>92</v>
      </c>
      <c r="I4298" s="10" t="n">
        <f aca="false">IF(E4298="Won",1,0)</f>
        <v>0</v>
      </c>
    </row>
    <row r="4299" customFormat="false" ht="15" hidden="false" customHeight="false" outlineLevel="0" collapsed="false">
      <c r="A4299" s="10" t="s">
        <v>6640</v>
      </c>
      <c r="B4299" s="10" t="s">
        <v>77</v>
      </c>
      <c r="C4299" s="10" t="s">
        <v>48</v>
      </c>
      <c r="D4299" s="10" t="s">
        <v>422</v>
      </c>
      <c r="E4299" s="10" t="s">
        <v>2345</v>
      </c>
      <c r="F4299" s="30" t="n">
        <v>42906</v>
      </c>
      <c r="G4299" s="30" t="n">
        <v>42989</v>
      </c>
      <c r="H4299" s="26" t="n">
        <f aca="false">G4299-F4299</f>
        <v>83</v>
      </c>
      <c r="I4299" s="10" t="n">
        <f aca="false">IF(E4299="Won",1,0)</f>
        <v>0</v>
      </c>
    </row>
    <row r="4300" customFormat="false" ht="15" hidden="false" customHeight="false" outlineLevel="0" collapsed="false">
      <c r="A4300" s="10" t="s">
        <v>6641</v>
      </c>
      <c r="B4300" s="10" t="s">
        <v>71</v>
      </c>
      <c r="C4300" s="10" t="s">
        <v>51</v>
      </c>
      <c r="D4300" s="10" t="s">
        <v>388</v>
      </c>
      <c r="E4300" s="10" t="s">
        <v>2342</v>
      </c>
      <c r="F4300" s="30" t="n">
        <v>42914</v>
      </c>
      <c r="G4300" s="30" t="n">
        <v>42989</v>
      </c>
      <c r="H4300" s="26" t="n">
        <f aca="false">G4300-F4300</f>
        <v>75</v>
      </c>
      <c r="I4300" s="10" t="n">
        <f aca="false">IF(E4300="Won",1,0)</f>
        <v>1</v>
      </c>
    </row>
    <row r="4301" customFormat="false" ht="15" hidden="false" customHeight="false" outlineLevel="0" collapsed="false">
      <c r="A4301" s="10" t="s">
        <v>6642</v>
      </c>
      <c r="B4301" s="10" t="s">
        <v>62</v>
      </c>
      <c r="C4301" s="10" t="s">
        <v>52</v>
      </c>
      <c r="D4301" s="10" t="s">
        <v>674</v>
      </c>
      <c r="E4301" s="10" t="s">
        <v>2342</v>
      </c>
      <c r="F4301" s="30" t="n">
        <v>42981</v>
      </c>
      <c r="G4301" s="30" t="n">
        <v>42989</v>
      </c>
      <c r="H4301" s="26" t="n">
        <f aca="false">G4301-F4301</f>
        <v>8</v>
      </c>
      <c r="I4301" s="10" t="n">
        <f aca="false">IF(E4301="Won",1,0)</f>
        <v>1</v>
      </c>
    </row>
    <row r="4302" customFormat="false" ht="15" hidden="false" customHeight="false" outlineLevel="0" collapsed="false">
      <c r="A4302" s="10" t="s">
        <v>6643</v>
      </c>
      <c r="B4302" s="10" t="s">
        <v>75</v>
      </c>
      <c r="C4302" s="10" t="s">
        <v>52</v>
      </c>
      <c r="D4302" s="10" t="s">
        <v>353</v>
      </c>
      <c r="E4302" s="10" t="s">
        <v>2345</v>
      </c>
      <c r="F4302" s="30" t="n">
        <v>42880</v>
      </c>
      <c r="G4302" s="30" t="n">
        <v>42989</v>
      </c>
      <c r="H4302" s="26" t="n">
        <f aca="false">G4302-F4302</f>
        <v>109</v>
      </c>
      <c r="I4302" s="10" t="n">
        <f aca="false">IF(E4302="Won",1,0)</f>
        <v>0</v>
      </c>
    </row>
    <row r="4303" customFormat="false" ht="15" hidden="false" customHeight="false" outlineLevel="0" collapsed="false">
      <c r="A4303" s="10" t="s">
        <v>6644</v>
      </c>
      <c r="B4303" s="10" t="s">
        <v>68</v>
      </c>
      <c r="C4303" s="10" t="s">
        <v>52</v>
      </c>
      <c r="D4303" s="10" t="s">
        <v>419</v>
      </c>
      <c r="E4303" s="10" t="s">
        <v>2345</v>
      </c>
      <c r="F4303" s="30" t="n">
        <v>42930</v>
      </c>
      <c r="G4303" s="30" t="n">
        <v>42989</v>
      </c>
      <c r="H4303" s="26" t="n">
        <f aca="false">G4303-F4303</f>
        <v>59</v>
      </c>
      <c r="I4303" s="10" t="n">
        <f aca="false">IF(E4303="Won",1,0)</f>
        <v>0</v>
      </c>
    </row>
    <row r="4304" customFormat="false" ht="15" hidden="false" customHeight="false" outlineLevel="0" collapsed="false">
      <c r="A4304" s="10" t="s">
        <v>6645</v>
      </c>
      <c r="B4304" s="10" t="s">
        <v>84</v>
      </c>
      <c r="C4304" s="10" t="s">
        <v>48</v>
      </c>
      <c r="D4304" s="10" t="s">
        <v>274</v>
      </c>
      <c r="E4304" s="10" t="s">
        <v>2342</v>
      </c>
      <c r="F4304" s="30" t="n">
        <v>42947</v>
      </c>
      <c r="G4304" s="30" t="n">
        <v>42989</v>
      </c>
      <c r="H4304" s="26" t="n">
        <f aca="false">G4304-F4304</f>
        <v>42</v>
      </c>
      <c r="I4304" s="10" t="n">
        <f aca="false">IF(E4304="Won",1,0)</f>
        <v>1</v>
      </c>
    </row>
    <row r="4305" customFormat="false" ht="15" hidden="false" customHeight="false" outlineLevel="0" collapsed="false">
      <c r="A4305" s="10" t="s">
        <v>6646</v>
      </c>
      <c r="B4305" s="10" t="s">
        <v>74</v>
      </c>
      <c r="C4305" s="10" t="s">
        <v>52</v>
      </c>
      <c r="D4305" s="10" t="s">
        <v>483</v>
      </c>
      <c r="E4305" s="10" t="s">
        <v>2342</v>
      </c>
      <c r="F4305" s="30" t="n">
        <v>42923</v>
      </c>
      <c r="G4305" s="30" t="n">
        <v>42989</v>
      </c>
      <c r="H4305" s="26" t="n">
        <f aca="false">G4305-F4305</f>
        <v>66</v>
      </c>
      <c r="I4305" s="10" t="n">
        <f aca="false">IF(E4305="Won",1,0)</f>
        <v>1</v>
      </c>
    </row>
    <row r="4306" customFormat="false" ht="15" hidden="false" customHeight="false" outlineLevel="0" collapsed="false">
      <c r="A4306" s="10" t="s">
        <v>6647</v>
      </c>
      <c r="B4306" s="10" t="s">
        <v>87</v>
      </c>
      <c r="C4306" s="10" t="s">
        <v>48</v>
      </c>
      <c r="D4306" s="10" t="s">
        <v>532</v>
      </c>
      <c r="E4306" s="10" t="s">
        <v>2342</v>
      </c>
      <c r="F4306" s="30" t="n">
        <v>42876</v>
      </c>
      <c r="G4306" s="30" t="n">
        <v>42989</v>
      </c>
      <c r="H4306" s="26" t="n">
        <f aca="false">G4306-F4306</f>
        <v>113</v>
      </c>
      <c r="I4306" s="10" t="n">
        <f aca="false">IF(E4306="Won",1,0)</f>
        <v>1</v>
      </c>
    </row>
    <row r="4307" customFormat="false" ht="15" hidden="false" customHeight="false" outlineLevel="0" collapsed="false">
      <c r="A4307" s="10" t="s">
        <v>6648</v>
      </c>
      <c r="B4307" s="10" t="s">
        <v>90</v>
      </c>
      <c r="C4307" s="10" t="s">
        <v>50</v>
      </c>
      <c r="D4307" s="10" t="s">
        <v>233</v>
      </c>
      <c r="E4307" s="10" t="s">
        <v>2342</v>
      </c>
      <c r="F4307" s="30" t="n">
        <v>42951</v>
      </c>
      <c r="G4307" s="30" t="n">
        <v>42989</v>
      </c>
      <c r="H4307" s="26" t="n">
        <f aca="false">G4307-F4307</f>
        <v>38</v>
      </c>
      <c r="I4307" s="10" t="n">
        <f aca="false">IF(E4307="Won",1,0)</f>
        <v>1</v>
      </c>
    </row>
    <row r="4308" customFormat="false" ht="15" hidden="false" customHeight="false" outlineLevel="0" collapsed="false">
      <c r="A4308" s="10" t="s">
        <v>6649</v>
      </c>
      <c r="B4308" s="10" t="s">
        <v>77</v>
      </c>
      <c r="C4308" s="10" t="s">
        <v>51</v>
      </c>
      <c r="D4308" s="10" t="s">
        <v>410</v>
      </c>
      <c r="E4308" s="10" t="s">
        <v>2342</v>
      </c>
      <c r="F4308" s="30" t="n">
        <v>42975</v>
      </c>
      <c r="G4308" s="30" t="n">
        <v>42989</v>
      </c>
      <c r="H4308" s="26" t="n">
        <f aca="false">G4308-F4308</f>
        <v>14</v>
      </c>
      <c r="I4308" s="10" t="n">
        <f aca="false">IF(E4308="Won",1,0)</f>
        <v>1</v>
      </c>
    </row>
    <row r="4309" customFormat="false" ht="15" hidden="false" customHeight="false" outlineLevel="0" collapsed="false">
      <c r="A4309" s="10" t="s">
        <v>6650</v>
      </c>
      <c r="B4309" s="10" t="s">
        <v>57</v>
      </c>
      <c r="C4309" s="10" t="s">
        <v>47</v>
      </c>
      <c r="D4309" s="10" t="s">
        <v>359</v>
      </c>
      <c r="E4309" s="10" t="s">
        <v>2342</v>
      </c>
      <c r="F4309" s="30" t="n">
        <v>42912</v>
      </c>
      <c r="G4309" s="30" t="n">
        <v>42989</v>
      </c>
      <c r="H4309" s="26" t="n">
        <f aca="false">G4309-F4309</f>
        <v>77</v>
      </c>
      <c r="I4309" s="10" t="n">
        <f aca="false">IF(E4309="Won",1,0)</f>
        <v>1</v>
      </c>
    </row>
    <row r="4310" customFormat="false" ht="15" hidden="false" customHeight="false" outlineLevel="0" collapsed="false">
      <c r="A4310" s="10" t="s">
        <v>6651</v>
      </c>
      <c r="B4310" s="10" t="s">
        <v>79</v>
      </c>
      <c r="C4310" s="10" t="s">
        <v>52</v>
      </c>
      <c r="D4310" s="10" t="s">
        <v>353</v>
      </c>
      <c r="E4310" s="10" t="s">
        <v>2342</v>
      </c>
      <c r="F4310" s="30" t="n">
        <v>42975</v>
      </c>
      <c r="G4310" s="30" t="n">
        <v>42989</v>
      </c>
      <c r="H4310" s="26" t="n">
        <f aca="false">G4310-F4310</f>
        <v>14</v>
      </c>
      <c r="I4310" s="10" t="n">
        <f aca="false">IF(E4310="Won",1,0)</f>
        <v>1</v>
      </c>
    </row>
    <row r="4311" customFormat="false" ht="15" hidden="false" customHeight="false" outlineLevel="0" collapsed="false">
      <c r="A4311" s="10" t="s">
        <v>6652</v>
      </c>
      <c r="B4311" s="10" t="s">
        <v>87</v>
      </c>
      <c r="C4311" s="10" t="s">
        <v>50</v>
      </c>
      <c r="D4311" s="10" t="s">
        <v>1118</v>
      </c>
      <c r="E4311" s="10" t="s">
        <v>2342</v>
      </c>
      <c r="F4311" s="30" t="n">
        <v>42908</v>
      </c>
      <c r="G4311" s="30" t="n">
        <v>42989</v>
      </c>
      <c r="H4311" s="26" t="n">
        <f aca="false">G4311-F4311</f>
        <v>81</v>
      </c>
      <c r="I4311" s="10" t="n">
        <f aca="false">IF(E4311="Won",1,0)</f>
        <v>1</v>
      </c>
    </row>
    <row r="4312" customFormat="false" ht="15" hidden="false" customHeight="false" outlineLevel="0" collapsed="false">
      <c r="A4312" s="10" t="s">
        <v>6653</v>
      </c>
      <c r="B4312" s="10" t="s">
        <v>67</v>
      </c>
      <c r="C4312" s="10" t="s">
        <v>47</v>
      </c>
      <c r="D4312" s="10" t="s">
        <v>396</v>
      </c>
      <c r="E4312" s="10" t="s">
        <v>2342</v>
      </c>
      <c r="F4312" s="30" t="n">
        <v>42900</v>
      </c>
      <c r="G4312" s="30" t="n">
        <v>42989</v>
      </c>
      <c r="H4312" s="26" t="n">
        <f aca="false">G4312-F4312</f>
        <v>89</v>
      </c>
      <c r="I4312" s="10" t="n">
        <f aca="false">IF(E4312="Won",1,0)</f>
        <v>1</v>
      </c>
    </row>
    <row r="4313" customFormat="false" ht="15" hidden="false" customHeight="false" outlineLevel="0" collapsed="false">
      <c r="A4313" s="10" t="s">
        <v>6654</v>
      </c>
      <c r="B4313" s="10" t="s">
        <v>86</v>
      </c>
      <c r="C4313" s="10" t="s">
        <v>51</v>
      </c>
      <c r="D4313" s="10" t="s">
        <v>215</v>
      </c>
      <c r="E4313" s="10" t="s">
        <v>2345</v>
      </c>
      <c r="F4313" s="30" t="n">
        <v>42920</v>
      </c>
      <c r="G4313" s="30" t="n">
        <v>42989</v>
      </c>
      <c r="H4313" s="26" t="n">
        <f aca="false">G4313-F4313</f>
        <v>69</v>
      </c>
      <c r="I4313" s="10" t="n">
        <f aca="false">IF(E4313="Won",1,0)</f>
        <v>0</v>
      </c>
    </row>
    <row r="4314" customFormat="false" ht="15" hidden="false" customHeight="false" outlineLevel="0" collapsed="false">
      <c r="A4314" s="10" t="s">
        <v>6655</v>
      </c>
      <c r="B4314" s="10" t="s">
        <v>86</v>
      </c>
      <c r="C4314" s="10" t="s">
        <v>51</v>
      </c>
      <c r="D4314" s="10" t="s">
        <v>274</v>
      </c>
      <c r="E4314" s="10" t="s">
        <v>2342</v>
      </c>
      <c r="F4314" s="30" t="n">
        <v>42967</v>
      </c>
      <c r="G4314" s="30" t="n">
        <v>42989</v>
      </c>
      <c r="H4314" s="26" t="n">
        <f aca="false">G4314-F4314</f>
        <v>22</v>
      </c>
      <c r="I4314" s="10" t="n">
        <f aca="false">IF(E4314="Won",1,0)</f>
        <v>1</v>
      </c>
    </row>
    <row r="4315" customFormat="false" ht="15" hidden="false" customHeight="false" outlineLevel="0" collapsed="false">
      <c r="A4315" s="10" t="s">
        <v>6656</v>
      </c>
      <c r="B4315" s="10" t="s">
        <v>95</v>
      </c>
      <c r="C4315" s="10" t="s">
        <v>49</v>
      </c>
      <c r="D4315" s="10" t="s">
        <v>483</v>
      </c>
      <c r="E4315" s="10" t="s">
        <v>2345</v>
      </c>
      <c r="F4315" s="30" t="n">
        <v>42887</v>
      </c>
      <c r="G4315" s="30" t="n">
        <v>42990</v>
      </c>
      <c r="H4315" s="26" t="n">
        <f aca="false">G4315-F4315</f>
        <v>103</v>
      </c>
      <c r="I4315" s="10" t="n">
        <f aca="false">IF(E4315="Won",1,0)</f>
        <v>0</v>
      </c>
    </row>
    <row r="4316" customFormat="false" ht="15" hidden="false" customHeight="false" outlineLevel="0" collapsed="false">
      <c r="A4316" s="10" t="s">
        <v>6657</v>
      </c>
      <c r="B4316" s="10" t="s">
        <v>77</v>
      </c>
      <c r="C4316" s="10" t="s">
        <v>47</v>
      </c>
      <c r="D4316" s="10" t="s">
        <v>961</v>
      </c>
      <c r="E4316" s="10" t="s">
        <v>2342</v>
      </c>
      <c r="F4316" s="30" t="n">
        <v>42912</v>
      </c>
      <c r="G4316" s="30" t="n">
        <v>42990</v>
      </c>
      <c r="H4316" s="26" t="n">
        <f aca="false">G4316-F4316</f>
        <v>78</v>
      </c>
      <c r="I4316" s="10" t="n">
        <f aca="false">IF(E4316="Won",1,0)</f>
        <v>1</v>
      </c>
    </row>
    <row r="4317" customFormat="false" ht="15" hidden="false" customHeight="false" outlineLevel="0" collapsed="false">
      <c r="A4317" s="10" t="s">
        <v>6658</v>
      </c>
      <c r="B4317" s="10" t="s">
        <v>71</v>
      </c>
      <c r="C4317" s="10" t="s">
        <v>47</v>
      </c>
      <c r="D4317" s="10" t="s">
        <v>311</v>
      </c>
      <c r="E4317" s="10" t="s">
        <v>2342</v>
      </c>
      <c r="F4317" s="30" t="n">
        <v>42908</v>
      </c>
      <c r="G4317" s="30" t="n">
        <v>42990</v>
      </c>
      <c r="H4317" s="26" t="n">
        <f aca="false">G4317-F4317</f>
        <v>82</v>
      </c>
      <c r="I4317" s="10" t="n">
        <f aca="false">IF(E4317="Won",1,0)</f>
        <v>1</v>
      </c>
    </row>
    <row r="4318" customFormat="false" ht="15" hidden="false" customHeight="false" outlineLevel="0" collapsed="false">
      <c r="A4318" s="10" t="s">
        <v>6659</v>
      </c>
      <c r="B4318" s="10" t="s">
        <v>62</v>
      </c>
      <c r="C4318" s="10" t="s">
        <v>49</v>
      </c>
      <c r="D4318" s="10" t="s">
        <v>254</v>
      </c>
      <c r="E4318" s="10" t="s">
        <v>2342</v>
      </c>
      <c r="F4318" s="30" t="n">
        <v>42939</v>
      </c>
      <c r="G4318" s="30" t="n">
        <v>42990</v>
      </c>
      <c r="H4318" s="26" t="n">
        <f aca="false">G4318-F4318</f>
        <v>51</v>
      </c>
      <c r="I4318" s="10" t="n">
        <f aca="false">IF(E4318="Won",1,0)</f>
        <v>1</v>
      </c>
    </row>
    <row r="4319" customFormat="false" ht="15" hidden="false" customHeight="false" outlineLevel="0" collapsed="false">
      <c r="A4319" s="10" t="s">
        <v>6660</v>
      </c>
      <c r="B4319" s="10" t="s">
        <v>80</v>
      </c>
      <c r="C4319" s="10" t="s">
        <v>51</v>
      </c>
      <c r="D4319" s="10" t="s">
        <v>414</v>
      </c>
      <c r="E4319" s="10" t="s">
        <v>2345</v>
      </c>
      <c r="F4319" s="30" t="n">
        <v>42924</v>
      </c>
      <c r="G4319" s="30" t="n">
        <v>42990</v>
      </c>
      <c r="H4319" s="26" t="n">
        <f aca="false">G4319-F4319</f>
        <v>66</v>
      </c>
      <c r="I4319" s="10" t="n">
        <f aca="false">IF(E4319="Won",1,0)</f>
        <v>0</v>
      </c>
    </row>
    <row r="4320" customFormat="false" ht="15" hidden="false" customHeight="false" outlineLevel="0" collapsed="false">
      <c r="A4320" s="10" t="s">
        <v>6661</v>
      </c>
      <c r="B4320" s="10" t="s">
        <v>96</v>
      </c>
      <c r="C4320" s="10" t="s">
        <v>50</v>
      </c>
      <c r="D4320" s="10" t="s">
        <v>487</v>
      </c>
      <c r="E4320" s="10" t="s">
        <v>2342</v>
      </c>
      <c r="F4320" s="30" t="n">
        <v>42897</v>
      </c>
      <c r="G4320" s="30" t="n">
        <v>42990</v>
      </c>
      <c r="H4320" s="26" t="n">
        <f aca="false">G4320-F4320</f>
        <v>93</v>
      </c>
      <c r="I4320" s="10" t="n">
        <f aca="false">IF(E4320="Won",1,0)</f>
        <v>1</v>
      </c>
    </row>
    <row r="4321" customFormat="false" ht="15" hidden="false" customHeight="false" outlineLevel="0" collapsed="false">
      <c r="A4321" s="10" t="s">
        <v>6662</v>
      </c>
      <c r="B4321" s="10" t="s">
        <v>67</v>
      </c>
      <c r="C4321" s="10" t="s">
        <v>50</v>
      </c>
      <c r="D4321" s="10" t="s">
        <v>522</v>
      </c>
      <c r="E4321" s="10" t="s">
        <v>2342</v>
      </c>
      <c r="F4321" s="30" t="n">
        <v>42909</v>
      </c>
      <c r="G4321" s="30" t="n">
        <v>42990</v>
      </c>
      <c r="H4321" s="26" t="n">
        <f aca="false">G4321-F4321</f>
        <v>81</v>
      </c>
      <c r="I4321" s="10" t="n">
        <f aca="false">IF(E4321="Won",1,0)</f>
        <v>1</v>
      </c>
    </row>
    <row r="4322" customFormat="false" ht="15" hidden="false" customHeight="false" outlineLevel="0" collapsed="false">
      <c r="A4322" s="10" t="s">
        <v>6663</v>
      </c>
      <c r="B4322" s="10" t="s">
        <v>86</v>
      </c>
      <c r="C4322" s="10" t="s">
        <v>50</v>
      </c>
      <c r="D4322" s="10" t="s">
        <v>350</v>
      </c>
      <c r="E4322" s="10" t="s">
        <v>2345</v>
      </c>
      <c r="F4322" s="30" t="n">
        <v>42938</v>
      </c>
      <c r="G4322" s="30" t="n">
        <v>42990</v>
      </c>
      <c r="H4322" s="26" t="n">
        <f aca="false">G4322-F4322</f>
        <v>52</v>
      </c>
      <c r="I4322" s="10" t="n">
        <f aca="false">IF(E4322="Won",1,0)</f>
        <v>0</v>
      </c>
    </row>
    <row r="4323" customFormat="false" ht="15" hidden="false" customHeight="false" outlineLevel="0" collapsed="false">
      <c r="A4323" s="10" t="s">
        <v>6664</v>
      </c>
      <c r="B4323" s="10" t="s">
        <v>73</v>
      </c>
      <c r="C4323" s="10" t="s">
        <v>49</v>
      </c>
      <c r="D4323" s="10" t="s">
        <v>483</v>
      </c>
      <c r="E4323" s="10" t="s">
        <v>2342</v>
      </c>
      <c r="F4323" s="30" t="n">
        <v>42908</v>
      </c>
      <c r="G4323" s="30" t="n">
        <v>42990</v>
      </c>
      <c r="H4323" s="26" t="n">
        <f aca="false">G4323-F4323</f>
        <v>82</v>
      </c>
      <c r="I4323" s="10" t="n">
        <f aca="false">IF(E4323="Won",1,0)</f>
        <v>1</v>
      </c>
    </row>
    <row r="4324" customFormat="false" ht="15" hidden="false" customHeight="false" outlineLevel="0" collapsed="false">
      <c r="A4324" s="10" t="s">
        <v>6665</v>
      </c>
      <c r="B4324" s="10" t="s">
        <v>96</v>
      </c>
      <c r="C4324" s="10" t="s">
        <v>47</v>
      </c>
      <c r="D4324" s="10" t="s">
        <v>227</v>
      </c>
      <c r="E4324" s="10" t="s">
        <v>2342</v>
      </c>
      <c r="F4324" s="30" t="n">
        <v>42905</v>
      </c>
      <c r="G4324" s="30" t="n">
        <v>42990</v>
      </c>
      <c r="H4324" s="26" t="n">
        <f aca="false">G4324-F4324</f>
        <v>85</v>
      </c>
      <c r="I4324" s="10" t="n">
        <f aca="false">IF(E4324="Won",1,0)</f>
        <v>1</v>
      </c>
    </row>
    <row r="4325" customFormat="false" ht="15" hidden="false" customHeight="false" outlineLevel="0" collapsed="false">
      <c r="A4325" s="10" t="s">
        <v>6666</v>
      </c>
      <c r="B4325" s="10" t="s">
        <v>77</v>
      </c>
      <c r="C4325" s="10" t="s">
        <v>49</v>
      </c>
      <c r="D4325" s="10" t="s">
        <v>961</v>
      </c>
      <c r="E4325" s="10" t="s">
        <v>2342</v>
      </c>
      <c r="F4325" s="30" t="n">
        <v>42985</v>
      </c>
      <c r="G4325" s="30" t="n">
        <v>42990</v>
      </c>
      <c r="H4325" s="26" t="n">
        <f aca="false">G4325-F4325</f>
        <v>5</v>
      </c>
      <c r="I4325" s="10" t="n">
        <f aca="false">IF(E4325="Won",1,0)</f>
        <v>1</v>
      </c>
    </row>
    <row r="4326" customFormat="false" ht="15" hidden="false" customHeight="false" outlineLevel="0" collapsed="false">
      <c r="A4326" s="10" t="s">
        <v>6667</v>
      </c>
      <c r="B4326" s="10" t="s">
        <v>94</v>
      </c>
      <c r="C4326" s="10" t="s">
        <v>48</v>
      </c>
      <c r="D4326" s="10" t="s">
        <v>606</v>
      </c>
      <c r="E4326" s="10" t="s">
        <v>2342</v>
      </c>
      <c r="F4326" s="30" t="n">
        <v>42863</v>
      </c>
      <c r="G4326" s="30" t="n">
        <v>42990</v>
      </c>
      <c r="H4326" s="26" t="n">
        <f aca="false">G4326-F4326</f>
        <v>127</v>
      </c>
      <c r="I4326" s="10" t="n">
        <f aca="false">IF(E4326="Won",1,0)</f>
        <v>1</v>
      </c>
    </row>
    <row r="4327" customFormat="false" ht="15" hidden="false" customHeight="false" outlineLevel="0" collapsed="false">
      <c r="A4327" s="10" t="s">
        <v>6668</v>
      </c>
      <c r="B4327" s="10" t="s">
        <v>94</v>
      </c>
      <c r="C4327" s="10" t="s">
        <v>49</v>
      </c>
      <c r="D4327" s="10" t="s">
        <v>233</v>
      </c>
      <c r="E4327" s="10" t="s">
        <v>2342</v>
      </c>
      <c r="F4327" s="30" t="n">
        <v>42915</v>
      </c>
      <c r="G4327" s="30" t="n">
        <v>42990</v>
      </c>
      <c r="H4327" s="26" t="n">
        <f aca="false">G4327-F4327</f>
        <v>75</v>
      </c>
      <c r="I4327" s="10" t="n">
        <f aca="false">IF(E4327="Won",1,0)</f>
        <v>1</v>
      </c>
    </row>
    <row r="4328" customFormat="false" ht="15" hidden="false" customHeight="false" outlineLevel="0" collapsed="false">
      <c r="A4328" s="10" t="s">
        <v>6669</v>
      </c>
      <c r="B4328" s="10" t="s">
        <v>76</v>
      </c>
      <c r="C4328" s="10" t="s">
        <v>49</v>
      </c>
      <c r="D4328" s="10" t="s">
        <v>267</v>
      </c>
      <c r="E4328" s="10" t="s">
        <v>2342</v>
      </c>
      <c r="F4328" s="30" t="n">
        <v>42913</v>
      </c>
      <c r="G4328" s="30" t="n">
        <v>42990</v>
      </c>
      <c r="H4328" s="26" t="n">
        <f aca="false">G4328-F4328</f>
        <v>77</v>
      </c>
      <c r="I4328" s="10" t="n">
        <f aca="false">IF(E4328="Won",1,0)</f>
        <v>1</v>
      </c>
    </row>
    <row r="4329" customFormat="false" ht="15" hidden="false" customHeight="false" outlineLevel="0" collapsed="false">
      <c r="A4329" s="10" t="s">
        <v>6670</v>
      </c>
      <c r="B4329" s="10" t="s">
        <v>62</v>
      </c>
      <c r="C4329" s="10" t="s">
        <v>51</v>
      </c>
      <c r="D4329" s="10" t="s">
        <v>464</v>
      </c>
      <c r="E4329" s="10" t="s">
        <v>2342</v>
      </c>
      <c r="F4329" s="30" t="n">
        <v>42888</v>
      </c>
      <c r="G4329" s="30" t="n">
        <v>42990</v>
      </c>
      <c r="H4329" s="26" t="n">
        <f aca="false">G4329-F4329</f>
        <v>102</v>
      </c>
      <c r="I4329" s="10" t="n">
        <f aca="false">IF(E4329="Won",1,0)</f>
        <v>1</v>
      </c>
    </row>
    <row r="4330" customFormat="false" ht="15" hidden="false" customHeight="false" outlineLevel="0" collapsed="false">
      <c r="A4330" s="10" t="s">
        <v>6671</v>
      </c>
      <c r="B4330" s="10" t="s">
        <v>76</v>
      </c>
      <c r="C4330" s="10" t="s">
        <v>52</v>
      </c>
      <c r="D4330" s="10" t="s">
        <v>410</v>
      </c>
      <c r="E4330" s="10" t="s">
        <v>2342</v>
      </c>
      <c r="F4330" s="30" t="n">
        <v>42984</v>
      </c>
      <c r="G4330" s="30" t="n">
        <v>42990</v>
      </c>
      <c r="H4330" s="26" t="n">
        <f aca="false">G4330-F4330</f>
        <v>6</v>
      </c>
      <c r="I4330" s="10" t="n">
        <f aca="false">IF(E4330="Won",1,0)</f>
        <v>1</v>
      </c>
    </row>
    <row r="4331" customFormat="false" ht="15" hidden="false" customHeight="false" outlineLevel="0" collapsed="false">
      <c r="A4331" s="10" t="s">
        <v>6672</v>
      </c>
      <c r="B4331" s="10" t="s">
        <v>80</v>
      </c>
      <c r="C4331" s="10" t="s">
        <v>48</v>
      </c>
      <c r="D4331" s="10" t="s">
        <v>369</v>
      </c>
      <c r="E4331" s="10" t="s">
        <v>2342</v>
      </c>
      <c r="F4331" s="30" t="n">
        <v>42889</v>
      </c>
      <c r="G4331" s="30" t="n">
        <v>42990</v>
      </c>
      <c r="H4331" s="26" t="n">
        <f aca="false">G4331-F4331</f>
        <v>101</v>
      </c>
      <c r="I4331" s="10" t="n">
        <f aca="false">IF(E4331="Won",1,0)</f>
        <v>1</v>
      </c>
    </row>
    <row r="4332" customFormat="false" ht="15" hidden="false" customHeight="false" outlineLevel="0" collapsed="false">
      <c r="A4332" s="10" t="s">
        <v>6673</v>
      </c>
      <c r="B4332" s="10" t="s">
        <v>77</v>
      </c>
      <c r="C4332" s="10" t="s">
        <v>48</v>
      </c>
      <c r="D4332" s="10" t="s">
        <v>597</v>
      </c>
      <c r="E4332" s="10" t="s">
        <v>2342</v>
      </c>
      <c r="F4332" s="30" t="n">
        <v>42922</v>
      </c>
      <c r="G4332" s="30" t="n">
        <v>42990</v>
      </c>
      <c r="H4332" s="26" t="n">
        <f aca="false">G4332-F4332</f>
        <v>68</v>
      </c>
      <c r="I4332" s="10" t="n">
        <f aca="false">IF(E4332="Won",1,0)</f>
        <v>1</v>
      </c>
    </row>
    <row r="4333" customFormat="false" ht="15" hidden="false" customHeight="false" outlineLevel="0" collapsed="false">
      <c r="A4333" s="10" t="s">
        <v>6674</v>
      </c>
      <c r="B4333" s="10" t="s">
        <v>62</v>
      </c>
      <c r="C4333" s="10" t="s">
        <v>51</v>
      </c>
      <c r="D4333" s="10" t="s">
        <v>427</v>
      </c>
      <c r="E4333" s="10" t="s">
        <v>2342</v>
      </c>
      <c r="F4333" s="30" t="n">
        <v>42906</v>
      </c>
      <c r="G4333" s="30" t="n">
        <v>42990</v>
      </c>
      <c r="H4333" s="26" t="n">
        <f aca="false">G4333-F4333</f>
        <v>84</v>
      </c>
      <c r="I4333" s="10" t="n">
        <f aca="false">IF(E4333="Won",1,0)</f>
        <v>1</v>
      </c>
    </row>
    <row r="4334" customFormat="false" ht="15" hidden="false" customHeight="false" outlineLevel="0" collapsed="false">
      <c r="A4334" s="10" t="s">
        <v>6675</v>
      </c>
      <c r="B4334" s="10" t="s">
        <v>74</v>
      </c>
      <c r="C4334" s="10" t="s">
        <v>51</v>
      </c>
      <c r="D4334" s="10" t="s">
        <v>311</v>
      </c>
      <c r="E4334" s="10" t="s">
        <v>2345</v>
      </c>
      <c r="F4334" s="30" t="n">
        <v>42959</v>
      </c>
      <c r="G4334" s="30" t="n">
        <v>42990</v>
      </c>
      <c r="H4334" s="26" t="n">
        <f aca="false">G4334-F4334</f>
        <v>31</v>
      </c>
      <c r="I4334" s="10" t="n">
        <f aca="false">IF(E4334="Won",1,0)</f>
        <v>0</v>
      </c>
    </row>
    <row r="4335" customFormat="false" ht="15" hidden="false" customHeight="false" outlineLevel="0" collapsed="false">
      <c r="A4335" s="10" t="s">
        <v>6676</v>
      </c>
      <c r="B4335" s="10" t="s">
        <v>77</v>
      </c>
      <c r="C4335" s="10" t="s">
        <v>48</v>
      </c>
      <c r="D4335" s="10" t="s">
        <v>410</v>
      </c>
      <c r="E4335" s="10" t="s">
        <v>2342</v>
      </c>
      <c r="F4335" s="30" t="n">
        <v>42979</v>
      </c>
      <c r="G4335" s="30" t="n">
        <v>42990</v>
      </c>
      <c r="H4335" s="26" t="n">
        <f aca="false">G4335-F4335</f>
        <v>11</v>
      </c>
      <c r="I4335" s="10" t="n">
        <f aca="false">IF(E4335="Won",1,0)</f>
        <v>1</v>
      </c>
    </row>
    <row r="4336" customFormat="false" ht="15" hidden="false" customHeight="false" outlineLevel="0" collapsed="false">
      <c r="A4336" s="10" t="s">
        <v>6677</v>
      </c>
      <c r="B4336" s="10" t="s">
        <v>77</v>
      </c>
      <c r="C4336" s="10" t="s">
        <v>52</v>
      </c>
      <c r="D4336" s="10" t="s">
        <v>961</v>
      </c>
      <c r="E4336" s="10" t="s">
        <v>2342</v>
      </c>
      <c r="F4336" s="30" t="n">
        <v>42984</v>
      </c>
      <c r="G4336" s="30" t="n">
        <v>42991</v>
      </c>
      <c r="H4336" s="26" t="n">
        <f aca="false">G4336-F4336</f>
        <v>7</v>
      </c>
      <c r="I4336" s="10" t="n">
        <f aca="false">IF(E4336="Won",1,0)</f>
        <v>1</v>
      </c>
    </row>
    <row r="4337" customFormat="false" ht="15" hidden="false" customHeight="false" outlineLevel="0" collapsed="false">
      <c r="A4337" s="10" t="s">
        <v>6678</v>
      </c>
      <c r="B4337" s="10" t="s">
        <v>66</v>
      </c>
      <c r="C4337" s="10" t="s">
        <v>52</v>
      </c>
      <c r="D4337" s="10" t="s">
        <v>514</v>
      </c>
      <c r="E4337" s="10" t="s">
        <v>2342</v>
      </c>
      <c r="F4337" s="30" t="n">
        <v>42868</v>
      </c>
      <c r="G4337" s="30" t="n">
        <v>42991</v>
      </c>
      <c r="H4337" s="26" t="n">
        <f aca="false">G4337-F4337</f>
        <v>123</v>
      </c>
      <c r="I4337" s="10" t="n">
        <f aca="false">IF(E4337="Won",1,0)</f>
        <v>1</v>
      </c>
    </row>
    <row r="4338" customFormat="false" ht="15" hidden="false" customHeight="false" outlineLevel="0" collapsed="false">
      <c r="A4338" s="10" t="s">
        <v>6679</v>
      </c>
      <c r="B4338" s="10" t="s">
        <v>60</v>
      </c>
      <c r="C4338" s="10" t="s">
        <v>51</v>
      </c>
      <c r="D4338" s="10" t="s">
        <v>427</v>
      </c>
      <c r="E4338" s="10" t="s">
        <v>2342</v>
      </c>
      <c r="F4338" s="30" t="n">
        <v>42985</v>
      </c>
      <c r="G4338" s="30" t="n">
        <v>42991</v>
      </c>
      <c r="H4338" s="26" t="n">
        <f aca="false">G4338-F4338</f>
        <v>6</v>
      </c>
      <c r="I4338" s="10" t="n">
        <f aca="false">IF(E4338="Won",1,0)</f>
        <v>1</v>
      </c>
    </row>
    <row r="4339" customFormat="false" ht="15" hidden="false" customHeight="false" outlineLevel="0" collapsed="false">
      <c r="A4339" s="10" t="s">
        <v>6680</v>
      </c>
      <c r="B4339" s="10" t="s">
        <v>71</v>
      </c>
      <c r="C4339" s="10" t="s">
        <v>52</v>
      </c>
      <c r="D4339" s="10" t="s">
        <v>267</v>
      </c>
      <c r="E4339" s="10" t="s">
        <v>2342</v>
      </c>
      <c r="F4339" s="30" t="n">
        <v>42897</v>
      </c>
      <c r="G4339" s="30" t="n">
        <v>42991</v>
      </c>
      <c r="H4339" s="26" t="n">
        <f aca="false">G4339-F4339</f>
        <v>94</v>
      </c>
      <c r="I4339" s="10" t="n">
        <f aca="false">IF(E4339="Won",1,0)</f>
        <v>1</v>
      </c>
    </row>
    <row r="4340" customFormat="false" ht="15" hidden="false" customHeight="false" outlineLevel="0" collapsed="false">
      <c r="A4340" s="10" t="s">
        <v>6681</v>
      </c>
      <c r="B4340" s="10" t="s">
        <v>84</v>
      </c>
      <c r="C4340" s="10" t="s">
        <v>47</v>
      </c>
      <c r="D4340" s="10" t="s">
        <v>637</v>
      </c>
      <c r="E4340" s="10" t="s">
        <v>2342</v>
      </c>
      <c r="F4340" s="30" t="n">
        <v>42982</v>
      </c>
      <c r="G4340" s="30" t="n">
        <v>42991</v>
      </c>
      <c r="H4340" s="26" t="n">
        <f aca="false">G4340-F4340</f>
        <v>9</v>
      </c>
      <c r="I4340" s="10" t="n">
        <f aca="false">IF(E4340="Won",1,0)</f>
        <v>1</v>
      </c>
    </row>
    <row r="4341" customFormat="false" ht="15" hidden="false" customHeight="false" outlineLevel="0" collapsed="false">
      <c r="A4341" s="10" t="s">
        <v>6682</v>
      </c>
      <c r="B4341" s="10" t="s">
        <v>69</v>
      </c>
      <c r="C4341" s="10" t="s">
        <v>47</v>
      </c>
      <c r="D4341" s="10" t="s">
        <v>424</v>
      </c>
      <c r="E4341" s="10" t="s">
        <v>2342</v>
      </c>
      <c r="F4341" s="30" t="n">
        <v>42972</v>
      </c>
      <c r="G4341" s="30" t="n">
        <v>42991</v>
      </c>
      <c r="H4341" s="26" t="n">
        <f aca="false">G4341-F4341</f>
        <v>19</v>
      </c>
      <c r="I4341" s="10" t="n">
        <f aca="false">IF(E4341="Won",1,0)</f>
        <v>1</v>
      </c>
    </row>
    <row r="4342" customFormat="false" ht="15" hidden="false" customHeight="false" outlineLevel="0" collapsed="false">
      <c r="A4342" s="10" t="s">
        <v>6683</v>
      </c>
      <c r="B4342" s="10" t="s">
        <v>76</v>
      </c>
      <c r="C4342" s="10" t="s">
        <v>52</v>
      </c>
      <c r="D4342" s="10" t="s">
        <v>597</v>
      </c>
      <c r="E4342" s="10" t="s">
        <v>2345</v>
      </c>
      <c r="F4342" s="30" t="n">
        <v>42984</v>
      </c>
      <c r="G4342" s="30" t="n">
        <v>42991</v>
      </c>
      <c r="H4342" s="26" t="n">
        <f aca="false">G4342-F4342</f>
        <v>7</v>
      </c>
      <c r="I4342" s="10" t="n">
        <f aca="false">IF(E4342="Won",1,0)</f>
        <v>0</v>
      </c>
    </row>
    <row r="4343" customFormat="false" ht="15" hidden="false" customHeight="false" outlineLevel="0" collapsed="false">
      <c r="A4343" s="10" t="s">
        <v>6684</v>
      </c>
      <c r="B4343" s="10" t="s">
        <v>80</v>
      </c>
      <c r="C4343" s="10" t="s">
        <v>51</v>
      </c>
      <c r="D4343" s="10" t="s">
        <v>267</v>
      </c>
      <c r="E4343" s="10" t="s">
        <v>2342</v>
      </c>
      <c r="F4343" s="30" t="n">
        <v>42894</v>
      </c>
      <c r="G4343" s="30" t="n">
        <v>42991</v>
      </c>
      <c r="H4343" s="26" t="n">
        <f aca="false">G4343-F4343</f>
        <v>97</v>
      </c>
      <c r="I4343" s="10" t="n">
        <f aca="false">IF(E4343="Won",1,0)</f>
        <v>1</v>
      </c>
    </row>
    <row r="4344" customFormat="false" ht="15" hidden="false" customHeight="false" outlineLevel="0" collapsed="false">
      <c r="A4344" s="10" t="s">
        <v>6685</v>
      </c>
      <c r="B4344" s="10" t="s">
        <v>73</v>
      </c>
      <c r="C4344" s="10" t="s">
        <v>52</v>
      </c>
      <c r="D4344" s="10" t="s">
        <v>369</v>
      </c>
      <c r="E4344" s="10" t="s">
        <v>2342</v>
      </c>
      <c r="F4344" s="30" t="n">
        <v>42894</v>
      </c>
      <c r="G4344" s="30" t="n">
        <v>42991</v>
      </c>
      <c r="H4344" s="26" t="n">
        <f aca="false">G4344-F4344</f>
        <v>97</v>
      </c>
      <c r="I4344" s="10" t="n">
        <f aca="false">IF(E4344="Won",1,0)</f>
        <v>1</v>
      </c>
    </row>
    <row r="4345" customFormat="false" ht="15" hidden="false" customHeight="false" outlineLevel="0" collapsed="false">
      <c r="A4345" s="10" t="s">
        <v>6686</v>
      </c>
      <c r="B4345" s="10" t="s">
        <v>73</v>
      </c>
      <c r="C4345" s="10" t="s">
        <v>47</v>
      </c>
      <c r="D4345" s="10" t="s">
        <v>193</v>
      </c>
      <c r="E4345" s="10" t="s">
        <v>2342</v>
      </c>
      <c r="F4345" s="30" t="n">
        <v>42976</v>
      </c>
      <c r="G4345" s="30" t="n">
        <v>42991</v>
      </c>
      <c r="H4345" s="26" t="n">
        <f aca="false">G4345-F4345</f>
        <v>15</v>
      </c>
      <c r="I4345" s="10" t="n">
        <f aca="false">IF(E4345="Won",1,0)</f>
        <v>1</v>
      </c>
    </row>
    <row r="4346" customFormat="false" ht="15" hidden="false" customHeight="false" outlineLevel="0" collapsed="false">
      <c r="A4346" s="10" t="s">
        <v>6687</v>
      </c>
      <c r="B4346" s="10" t="s">
        <v>79</v>
      </c>
      <c r="C4346" s="10" t="s">
        <v>49</v>
      </c>
      <c r="D4346" s="10" t="s">
        <v>483</v>
      </c>
      <c r="E4346" s="10" t="s">
        <v>2342</v>
      </c>
      <c r="F4346" s="30" t="n">
        <v>42892</v>
      </c>
      <c r="G4346" s="30" t="n">
        <v>42991</v>
      </c>
      <c r="H4346" s="26" t="n">
        <f aca="false">G4346-F4346</f>
        <v>99</v>
      </c>
      <c r="I4346" s="10" t="n">
        <f aca="false">IF(E4346="Won",1,0)</f>
        <v>1</v>
      </c>
    </row>
    <row r="4347" customFormat="false" ht="15" hidden="false" customHeight="false" outlineLevel="0" collapsed="false">
      <c r="A4347" s="10" t="s">
        <v>6688</v>
      </c>
      <c r="B4347" s="10" t="s">
        <v>66</v>
      </c>
      <c r="C4347" s="10" t="s">
        <v>52</v>
      </c>
      <c r="D4347" s="10" t="s">
        <v>337</v>
      </c>
      <c r="E4347" s="10" t="s">
        <v>2345</v>
      </c>
      <c r="F4347" s="30" t="n">
        <v>42911</v>
      </c>
      <c r="G4347" s="30" t="n">
        <v>42991</v>
      </c>
      <c r="H4347" s="26" t="n">
        <f aca="false">G4347-F4347</f>
        <v>80</v>
      </c>
      <c r="I4347" s="10" t="n">
        <f aca="false">IF(E4347="Won",1,0)</f>
        <v>0</v>
      </c>
    </row>
    <row r="4348" customFormat="false" ht="15" hidden="false" customHeight="false" outlineLevel="0" collapsed="false">
      <c r="A4348" s="10" t="s">
        <v>6689</v>
      </c>
      <c r="B4348" s="10" t="s">
        <v>83</v>
      </c>
      <c r="C4348" s="10" t="s">
        <v>50</v>
      </c>
      <c r="D4348" s="10" t="s">
        <v>527</v>
      </c>
      <c r="E4348" s="10" t="s">
        <v>2342</v>
      </c>
      <c r="F4348" s="30" t="n">
        <v>42975</v>
      </c>
      <c r="G4348" s="30" t="n">
        <v>42991</v>
      </c>
      <c r="H4348" s="26" t="n">
        <f aca="false">G4348-F4348</f>
        <v>16</v>
      </c>
      <c r="I4348" s="10" t="n">
        <f aca="false">IF(E4348="Won",1,0)</f>
        <v>1</v>
      </c>
    </row>
    <row r="4349" customFormat="false" ht="15" hidden="false" customHeight="false" outlineLevel="0" collapsed="false">
      <c r="A4349" s="10" t="s">
        <v>6690</v>
      </c>
      <c r="B4349" s="10" t="s">
        <v>70</v>
      </c>
      <c r="C4349" s="10" t="s">
        <v>49</v>
      </c>
      <c r="D4349" s="10" t="s">
        <v>172</v>
      </c>
      <c r="E4349" s="10" t="s">
        <v>2342</v>
      </c>
      <c r="F4349" s="30" t="n">
        <v>42906</v>
      </c>
      <c r="G4349" s="30" t="n">
        <v>42991</v>
      </c>
      <c r="H4349" s="26" t="n">
        <f aca="false">G4349-F4349</f>
        <v>85</v>
      </c>
      <c r="I4349" s="10" t="n">
        <f aca="false">IF(E4349="Won",1,0)</f>
        <v>1</v>
      </c>
    </row>
    <row r="4350" customFormat="false" ht="15" hidden="false" customHeight="false" outlineLevel="0" collapsed="false">
      <c r="A4350" s="10" t="s">
        <v>6691</v>
      </c>
      <c r="B4350" s="10" t="s">
        <v>94</v>
      </c>
      <c r="C4350" s="10" t="s">
        <v>50</v>
      </c>
      <c r="D4350" s="10" t="s">
        <v>522</v>
      </c>
      <c r="E4350" s="10" t="s">
        <v>2342</v>
      </c>
      <c r="F4350" s="30" t="n">
        <v>42875</v>
      </c>
      <c r="G4350" s="30" t="n">
        <v>42991</v>
      </c>
      <c r="H4350" s="26" t="n">
        <f aca="false">G4350-F4350</f>
        <v>116</v>
      </c>
      <c r="I4350" s="10" t="n">
        <f aca="false">IF(E4350="Won",1,0)</f>
        <v>1</v>
      </c>
    </row>
    <row r="4351" customFormat="false" ht="15" hidden="false" customHeight="false" outlineLevel="0" collapsed="false">
      <c r="A4351" s="10" t="s">
        <v>6692</v>
      </c>
      <c r="B4351" s="10" t="s">
        <v>73</v>
      </c>
      <c r="C4351" s="10" t="s">
        <v>52</v>
      </c>
      <c r="D4351" s="10" t="s">
        <v>597</v>
      </c>
      <c r="E4351" s="10" t="s">
        <v>2345</v>
      </c>
      <c r="F4351" s="30" t="n">
        <v>42978</v>
      </c>
      <c r="G4351" s="30" t="n">
        <v>42991</v>
      </c>
      <c r="H4351" s="26" t="n">
        <f aca="false">G4351-F4351</f>
        <v>13</v>
      </c>
      <c r="I4351" s="10" t="n">
        <f aca="false">IF(E4351="Won",1,0)</f>
        <v>0</v>
      </c>
    </row>
    <row r="4352" customFormat="false" ht="15" hidden="false" customHeight="false" outlineLevel="0" collapsed="false">
      <c r="A4352" s="10" t="s">
        <v>6693</v>
      </c>
      <c r="B4352" s="10" t="s">
        <v>94</v>
      </c>
      <c r="C4352" s="10" t="s">
        <v>47</v>
      </c>
      <c r="D4352" s="10" t="s">
        <v>506</v>
      </c>
      <c r="E4352" s="10" t="s">
        <v>2342</v>
      </c>
      <c r="F4352" s="30" t="n">
        <v>42864</v>
      </c>
      <c r="G4352" s="30" t="n">
        <v>42991</v>
      </c>
      <c r="H4352" s="26" t="n">
        <f aca="false">G4352-F4352</f>
        <v>127</v>
      </c>
      <c r="I4352" s="10" t="n">
        <f aca="false">IF(E4352="Won",1,0)</f>
        <v>1</v>
      </c>
    </row>
    <row r="4353" customFormat="false" ht="15" hidden="false" customHeight="false" outlineLevel="0" collapsed="false">
      <c r="A4353" s="10" t="s">
        <v>6694</v>
      </c>
      <c r="B4353" s="10" t="s">
        <v>88</v>
      </c>
      <c r="C4353" s="10" t="s">
        <v>48</v>
      </c>
      <c r="D4353" s="10" t="s">
        <v>359</v>
      </c>
      <c r="E4353" s="10" t="s">
        <v>2342</v>
      </c>
      <c r="F4353" s="30" t="n">
        <v>42981</v>
      </c>
      <c r="G4353" s="30" t="n">
        <v>42991</v>
      </c>
      <c r="H4353" s="26" t="n">
        <f aca="false">G4353-F4353</f>
        <v>10</v>
      </c>
      <c r="I4353" s="10" t="n">
        <f aca="false">IF(E4353="Won",1,0)</f>
        <v>1</v>
      </c>
    </row>
    <row r="4354" customFormat="false" ht="15" hidden="false" customHeight="false" outlineLevel="0" collapsed="false">
      <c r="A4354" s="10" t="s">
        <v>6695</v>
      </c>
      <c r="B4354" s="10" t="s">
        <v>80</v>
      </c>
      <c r="C4354" s="10" t="s">
        <v>50</v>
      </c>
      <c r="D4354" s="10" t="s">
        <v>291</v>
      </c>
      <c r="E4354" s="10" t="s">
        <v>2342</v>
      </c>
      <c r="F4354" s="30" t="n">
        <v>42908</v>
      </c>
      <c r="G4354" s="30" t="n">
        <v>42991</v>
      </c>
      <c r="H4354" s="26" t="n">
        <f aca="false">G4354-F4354</f>
        <v>83</v>
      </c>
      <c r="I4354" s="10" t="n">
        <f aca="false">IF(E4354="Won",1,0)</f>
        <v>1</v>
      </c>
    </row>
    <row r="4355" customFormat="false" ht="15" hidden="false" customHeight="false" outlineLevel="0" collapsed="false">
      <c r="A4355" s="10" t="s">
        <v>6696</v>
      </c>
      <c r="B4355" s="10" t="s">
        <v>81</v>
      </c>
      <c r="C4355" s="10" t="s">
        <v>49</v>
      </c>
      <c r="D4355" s="10" t="s">
        <v>414</v>
      </c>
      <c r="E4355" s="10" t="s">
        <v>2345</v>
      </c>
      <c r="F4355" s="30" t="n">
        <v>42878</v>
      </c>
      <c r="G4355" s="30" t="n">
        <v>42991</v>
      </c>
      <c r="H4355" s="26" t="n">
        <f aca="false">G4355-F4355</f>
        <v>113</v>
      </c>
      <c r="I4355" s="10" t="n">
        <f aca="false">IF(E4355="Won",1,0)</f>
        <v>0</v>
      </c>
    </row>
    <row r="4356" customFormat="false" ht="15" hidden="false" customHeight="false" outlineLevel="0" collapsed="false">
      <c r="A4356" s="10" t="s">
        <v>6697</v>
      </c>
      <c r="B4356" s="10" t="s">
        <v>77</v>
      </c>
      <c r="C4356" s="10" t="s">
        <v>48</v>
      </c>
      <c r="D4356" s="10" t="s">
        <v>947</v>
      </c>
      <c r="E4356" s="10" t="s">
        <v>2345</v>
      </c>
      <c r="F4356" s="30" t="n">
        <v>42983</v>
      </c>
      <c r="G4356" s="30" t="n">
        <v>42991</v>
      </c>
      <c r="H4356" s="26" t="n">
        <f aca="false">G4356-F4356</f>
        <v>8</v>
      </c>
      <c r="I4356" s="10" t="n">
        <f aca="false">IF(E4356="Won",1,0)</f>
        <v>0</v>
      </c>
    </row>
    <row r="4357" customFormat="false" ht="15" hidden="false" customHeight="false" outlineLevel="0" collapsed="false">
      <c r="A4357" s="10" t="s">
        <v>6698</v>
      </c>
      <c r="B4357" s="10" t="s">
        <v>88</v>
      </c>
      <c r="C4357" s="10" t="s">
        <v>50</v>
      </c>
      <c r="D4357" s="10" t="s">
        <v>378</v>
      </c>
      <c r="E4357" s="10" t="s">
        <v>2342</v>
      </c>
      <c r="F4357" s="30" t="n">
        <v>42950</v>
      </c>
      <c r="G4357" s="30" t="n">
        <v>42991</v>
      </c>
      <c r="H4357" s="26" t="n">
        <f aca="false">G4357-F4357</f>
        <v>41</v>
      </c>
      <c r="I4357" s="10" t="n">
        <f aca="false">IF(E4357="Won",1,0)</f>
        <v>1</v>
      </c>
    </row>
    <row r="4358" customFormat="false" ht="15" hidden="false" customHeight="false" outlineLevel="0" collapsed="false">
      <c r="A4358" s="10" t="s">
        <v>6699</v>
      </c>
      <c r="B4358" s="10" t="s">
        <v>95</v>
      </c>
      <c r="C4358" s="10" t="s">
        <v>48</v>
      </c>
      <c r="D4358" s="10" t="s">
        <v>384</v>
      </c>
      <c r="E4358" s="10" t="s">
        <v>2342</v>
      </c>
      <c r="F4358" s="30" t="n">
        <v>42914</v>
      </c>
      <c r="G4358" s="30" t="n">
        <v>42991</v>
      </c>
      <c r="H4358" s="26" t="n">
        <f aca="false">G4358-F4358</f>
        <v>77</v>
      </c>
      <c r="I4358" s="10" t="n">
        <f aca="false">IF(E4358="Won",1,0)</f>
        <v>1</v>
      </c>
    </row>
    <row r="4359" customFormat="false" ht="15" hidden="false" customHeight="false" outlineLevel="0" collapsed="false">
      <c r="A4359" s="10" t="s">
        <v>6700</v>
      </c>
      <c r="B4359" s="10" t="s">
        <v>61</v>
      </c>
      <c r="C4359" s="10" t="s">
        <v>51</v>
      </c>
      <c r="D4359" s="10" t="s">
        <v>350</v>
      </c>
      <c r="E4359" s="10" t="s">
        <v>2342</v>
      </c>
      <c r="F4359" s="30" t="n">
        <v>42901</v>
      </c>
      <c r="G4359" s="30" t="n">
        <v>42991</v>
      </c>
      <c r="H4359" s="26" t="n">
        <f aca="false">G4359-F4359</f>
        <v>90</v>
      </c>
      <c r="I4359" s="10" t="n">
        <f aca="false">IF(E4359="Won",1,0)</f>
        <v>1</v>
      </c>
    </row>
    <row r="4360" customFormat="false" ht="15" hidden="false" customHeight="false" outlineLevel="0" collapsed="false">
      <c r="A4360" s="10" t="s">
        <v>6701</v>
      </c>
      <c r="B4360" s="10" t="s">
        <v>95</v>
      </c>
      <c r="C4360" s="10" t="s">
        <v>50</v>
      </c>
      <c r="D4360" s="10" t="s">
        <v>337</v>
      </c>
      <c r="E4360" s="10" t="s">
        <v>2345</v>
      </c>
      <c r="F4360" s="30" t="n">
        <v>42970</v>
      </c>
      <c r="G4360" s="30" t="n">
        <v>42991</v>
      </c>
      <c r="H4360" s="26" t="n">
        <f aca="false">G4360-F4360</f>
        <v>21</v>
      </c>
      <c r="I4360" s="10" t="n">
        <f aca="false">IF(E4360="Won",1,0)</f>
        <v>0</v>
      </c>
    </row>
    <row r="4361" customFormat="false" ht="15" hidden="false" customHeight="false" outlineLevel="0" collapsed="false">
      <c r="A4361" s="10" t="s">
        <v>6702</v>
      </c>
      <c r="B4361" s="10" t="s">
        <v>71</v>
      </c>
      <c r="C4361" s="10" t="s">
        <v>52</v>
      </c>
      <c r="D4361" s="10" t="s">
        <v>512</v>
      </c>
      <c r="E4361" s="10" t="s">
        <v>2342</v>
      </c>
      <c r="F4361" s="30" t="n">
        <v>42974</v>
      </c>
      <c r="G4361" s="30" t="n">
        <v>42991</v>
      </c>
      <c r="H4361" s="26" t="n">
        <f aca="false">G4361-F4361</f>
        <v>17</v>
      </c>
      <c r="I4361" s="10" t="n">
        <f aca="false">IF(E4361="Won",1,0)</f>
        <v>1</v>
      </c>
    </row>
    <row r="4362" customFormat="false" ht="15" hidden="false" customHeight="false" outlineLevel="0" collapsed="false">
      <c r="A4362" s="10" t="s">
        <v>6703</v>
      </c>
      <c r="B4362" s="10" t="s">
        <v>76</v>
      </c>
      <c r="C4362" s="10" t="s">
        <v>52</v>
      </c>
      <c r="D4362" s="10" t="s">
        <v>961</v>
      </c>
      <c r="E4362" s="10" t="s">
        <v>2342</v>
      </c>
      <c r="F4362" s="30" t="n">
        <v>42894</v>
      </c>
      <c r="G4362" s="30" t="n">
        <v>42991</v>
      </c>
      <c r="H4362" s="26" t="n">
        <f aca="false">G4362-F4362</f>
        <v>97</v>
      </c>
      <c r="I4362" s="10" t="n">
        <f aca="false">IF(E4362="Won",1,0)</f>
        <v>1</v>
      </c>
    </row>
    <row r="4363" customFormat="false" ht="15" hidden="false" customHeight="false" outlineLevel="0" collapsed="false">
      <c r="A4363" s="10" t="s">
        <v>6704</v>
      </c>
      <c r="B4363" s="10" t="s">
        <v>57</v>
      </c>
      <c r="C4363" s="10" t="s">
        <v>48</v>
      </c>
      <c r="D4363" s="10" t="s">
        <v>286</v>
      </c>
      <c r="E4363" s="10" t="s">
        <v>2342</v>
      </c>
      <c r="F4363" s="30" t="n">
        <v>42987</v>
      </c>
      <c r="G4363" s="30" t="n">
        <v>42991</v>
      </c>
      <c r="H4363" s="26" t="n">
        <f aca="false">G4363-F4363</f>
        <v>4</v>
      </c>
      <c r="I4363" s="10" t="n">
        <f aca="false">IF(E4363="Won",1,0)</f>
        <v>1</v>
      </c>
    </row>
    <row r="4364" customFormat="false" ht="15" hidden="false" customHeight="false" outlineLevel="0" collapsed="false">
      <c r="A4364" s="10" t="s">
        <v>6705</v>
      </c>
      <c r="B4364" s="10" t="s">
        <v>84</v>
      </c>
      <c r="C4364" s="10" t="s">
        <v>47</v>
      </c>
      <c r="D4364" s="10" t="s">
        <v>293</v>
      </c>
      <c r="E4364" s="10" t="s">
        <v>2342</v>
      </c>
      <c r="F4364" s="30" t="n">
        <v>42884</v>
      </c>
      <c r="G4364" s="30" t="n">
        <v>42991</v>
      </c>
      <c r="H4364" s="26" t="n">
        <f aca="false">G4364-F4364</f>
        <v>107</v>
      </c>
      <c r="I4364" s="10" t="n">
        <f aca="false">IF(E4364="Won",1,0)</f>
        <v>1</v>
      </c>
    </row>
    <row r="4365" customFormat="false" ht="15" hidden="false" customHeight="false" outlineLevel="0" collapsed="false">
      <c r="A4365" s="10" t="s">
        <v>6706</v>
      </c>
      <c r="B4365" s="10" t="s">
        <v>86</v>
      </c>
      <c r="C4365" s="10" t="s">
        <v>47</v>
      </c>
      <c r="D4365" s="10" t="s">
        <v>616</v>
      </c>
      <c r="E4365" s="10" t="s">
        <v>2342</v>
      </c>
      <c r="F4365" s="30" t="n">
        <v>42879</v>
      </c>
      <c r="G4365" s="30" t="n">
        <v>42991</v>
      </c>
      <c r="H4365" s="26" t="n">
        <f aca="false">G4365-F4365</f>
        <v>112</v>
      </c>
      <c r="I4365" s="10" t="n">
        <f aca="false">IF(E4365="Won",1,0)</f>
        <v>1</v>
      </c>
    </row>
    <row r="4366" customFormat="false" ht="15" hidden="false" customHeight="false" outlineLevel="0" collapsed="false">
      <c r="A4366" s="10" t="s">
        <v>6707</v>
      </c>
      <c r="B4366" s="10" t="s">
        <v>71</v>
      </c>
      <c r="C4366" s="10" t="s">
        <v>51</v>
      </c>
      <c r="D4366" s="10" t="s">
        <v>369</v>
      </c>
      <c r="E4366" s="10" t="s">
        <v>2345</v>
      </c>
      <c r="F4366" s="30" t="n">
        <v>42989</v>
      </c>
      <c r="G4366" s="30" t="n">
        <v>42991</v>
      </c>
      <c r="H4366" s="26" t="n">
        <f aca="false">G4366-F4366</f>
        <v>2</v>
      </c>
      <c r="I4366" s="10" t="n">
        <f aca="false">IF(E4366="Won",1,0)</f>
        <v>0</v>
      </c>
    </row>
    <row r="4367" customFormat="false" ht="15" hidden="false" customHeight="false" outlineLevel="0" collapsed="false">
      <c r="A4367" s="10" t="s">
        <v>6708</v>
      </c>
      <c r="B4367" s="10" t="s">
        <v>67</v>
      </c>
      <c r="C4367" s="10" t="s">
        <v>49</v>
      </c>
      <c r="D4367" s="10" t="s">
        <v>711</v>
      </c>
      <c r="E4367" s="10" t="s">
        <v>2342</v>
      </c>
      <c r="F4367" s="30" t="n">
        <v>42875</v>
      </c>
      <c r="G4367" s="30" t="n">
        <v>42992</v>
      </c>
      <c r="H4367" s="26" t="n">
        <f aca="false">G4367-F4367</f>
        <v>117</v>
      </c>
      <c r="I4367" s="10" t="n">
        <f aca="false">IF(E4367="Won",1,0)</f>
        <v>1</v>
      </c>
    </row>
    <row r="4368" customFormat="false" ht="15" hidden="false" customHeight="false" outlineLevel="0" collapsed="false">
      <c r="A4368" s="10" t="s">
        <v>6709</v>
      </c>
      <c r="B4368" s="10" t="s">
        <v>90</v>
      </c>
      <c r="C4368" s="10" t="s">
        <v>51</v>
      </c>
      <c r="D4368" s="10" t="s">
        <v>1334</v>
      </c>
      <c r="E4368" s="10" t="s">
        <v>2342</v>
      </c>
      <c r="F4368" s="30" t="n">
        <v>42906</v>
      </c>
      <c r="G4368" s="30" t="n">
        <v>42992</v>
      </c>
      <c r="H4368" s="26" t="n">
        <f aca="false">G4368-F4368</f>
        <v>86</v>
      </c>
      <c r="I4368" s="10" t="n">
        <f aca="false">IF(E4368="Won",1,0)</f>
        <v>1</v>
      </c>
    </row>
    <row r="4369" customFormat="false" ht="15" hidden="false" customHeight="false" outlineLevel="0" collapsed="false">
      <c r="A4369" s="10" t="s">
        <v>6710</v>
      </c>
      <c r="B4369" s="10" t="s">
        <v>74</v>
      </c>
      <c r="C4369" s="10" t="s">
        <v>49</v>
      </c>
      <c r="D4369" s="10" t="s">
        <v>291</v>
      </c>
      <c r="E4369" s="10" t="s">
        <v>2342</v>
      </c>
      <c r="F4369" s="30" t="n">
        <v>42889</v>
      </c>
      <c r="G4369" s="30" t="n">
        <v>42992</v>
      </c>
      <c r="H4369" s="26" t="n">
        <f aca="false">G4369-F4369</f>
        <v>103</v>
      </c>
      <c r="I4369" s="10" t="n">
        <f aca="false">IF(E4369="Won",1,0)</f>
        <v>1</v>
      </c>
    </row>
    <row r="4370" customFormat="false" ht="15" hidden="false" customHeight="false" outlineLevel="0" collapsed="false">
      <c r="A4370" s="10" t="s">
        <v>6711</v>
      </c>
      <c r="B4370" s="10" t="s">
        <v>69</v>
      </c>
      <c r="C4370" s="10" t="s">
        <v>52</v>
      </c>
      <c r="D4370" s="10" t="s">
        <v>384</v>
      </c>
      <c r="E4370" s="10" t="s">
        <v>2345</v>
      </c>
      <c r="F4370" s="30" t="n">
        <v>42983</v>
      </c>
      <c r="G4370" s="30" t="n">
        <v>42992</v>
      </c>
      <c r="H4370" s="26" t="n">
        <f aca="false">G4370-F4370</f>
        <v>9</v>
      </c>
      <c r="I4370" s="10" t="n">
        <f aca="false">IF(E4370="Won",1,0)</f>
        <v>0</v>
      </c>
    </row>
    <row r="4371" customFormat="false" ht="15" hidden="false" customHeight="false" outlineLevel="0" collapsed="false">
      <c r="A4371" s="10" t="s">
        <v>6712</v>
      </c>
      <c r="B4371" s="10" t="s">
        <v>79</v>
      </c>
      <c r="C4371" s="10" t="s">
        <v>50</v>
      </c>
      <c r="D4371" s="10" t="s">
        <v>267</v>
      </c>
      <c r="E4371" s="10" t="s">
        <v>2342</v>
      </c>
      <c r="F4371" s="30" t="n">
        <v>42911</v>
      </c>
      <c r="G4371" s="30" t="n">
        <v>42992</v>
      </c>
      <c r="H4371" s="26" t="n">
        <f aca="false">G4371-F4371</f>
        <v>81</v>
      </c>
      <c r="I4371" s="10" t="n">
        <f aca="false">IF(E4371="Won",1,0)</f>
        <v>1</v>
      </c>
    </row>
    <row r="4372" customFormat="false" ht="15" hidden="false" customHeight="false" outlineLevel="0" collapsed="false">
      <c r="A4372" s="10" t="s">
        <v>6713</v>
      </c>
      <c r="B4372" s="10" t="s">
        <v>67</v>
      </c>
      <c r="C4372" s="10" t="s">
        <v>49</v>
      </c>
      <c r="D4372" s="10" t="s">
        <v>286</v>
      </c>
      <c r="E4372" s="10" t="s">
        <v>2345</v>
      </c>
      <c r="F4372" s="30" t="n">
        <v>42914</v>
      </c>
      <c r="G4372" s="30" t="n">
        <v>42992</v>
      </c>
      <c r="H4372" s="26" t="n">
        <f aca="false">G4372-F4372</f>
        <v>78</v>
      </c>
      <c r="I4372" s="10" t="n">
        <f aca="false">IF(E4372="Won",1,0)</f>
        <v>0</v>
      </c>
    </row>
    <row r="4373" customFormat="false" ht="15" hidden="false" customHeight="false" outlineLevel="0" collapsed="false">
      <c r="A4373" s="10" t="s">
        <v>6714</v>
      </c>
      <c r="B4373" s="10" t="s">
        <v>68</v>
      </c>
      <c r="C4373" s="10" t="s">
        <v>50</v>
      </c>
      <c r="D4373" s="10" t="s">
        <v>348</v>
      </c>
      <c r="E4373" s="10" t="s">
        <v>2342</v>
      </c>
      <c r="F4373" s="30" t="n">
        <v>42965</v>
      </c>
      <c r="G4373" s="30" t="n">
        <v>42992</v>
      </c>
      <c r="H4373" s="26" t="n">
        <f aca="false">G4373-F4373</f>
        <v>27</v>
      </c>
      <c r="I4373" s="10" t="n">
        <f aca="false">IF(E4373="Won",1,0)</f>
        <v>1</v>
      </c>
    </row>
    <row r="4374" customFormat="false" ht="15" hidden="false" customHeight="false" outlineLevel="0" collapsed="false">
      <c r="A4374" s="10" t="s">
        <v>6715</v>
      </c>
      <c r="B4374" s="10" t="s">
        <v>84</v>
      </c>
      <c r="C4374" s="10" t="s">
        <v>50</v>
      </c>
      <c r="D4374" s="10" t="s">
        <v>218</v>
      </c>
      <c r="E4374" s="10" t="s">
        <v>2342</v>
      </c>
      <c r="F4374" s="30" t="n">
        <v>42986</v>
      </c>
      <c r="G4374" s="30" t="n">
        <v>42992</v>
      </c>
      <c r="H4374" s="26" t="n">
        <f aca="false">G4374-F4374</f>
        <v>6</v>
      </c>
      <c r="I4374" s="10" t="n">
        <f aca="false">IF(E4374="Won",1,0)</f>
        <v>1</v>
      </c>
    </row>
    <row r="4375" customFormat="false" ht="15" hidden="false" customHeight="false" outlineLevel="0" collapsed="false">
      <c r="A4375" s="10" t="s">
        <v>6716</v>
      </c>
      <c r="B4375" s="10" t="s">
        <v>96</v>
      </c>
      <c r="C4375" s="10" t="s">
        <v>50</v>
      </c>
      <c r="D4375" s="10" t="s">
        <v>437</v>
      </c>
      <c r="E4375" s="10" t="s">
        <v>2342</v>
      </c>
      <c r="F4375" s="30" t="n">
        <v>42928</v>
      </c>
      <c r="G4375" s="30" t="n">
        <v>42992</v>
      </c>
      <c r="H4375" s="26" t="n">
        <f aca="false">G4375-F4375</f>
        <v>64</v>
      </c>
      <c r="I4375" s="10" t="n">
        <f aca="false">IF(E4375="Won",1,0)</f>
        <v>1</v>
      </c>
    </row>
    <row r="4376" customFormat="false" ht="15" hidden="false" customHeight="false" outlineLevel="0" collapsed="false">
      <c r="A4376" s="10" t="s">
        <v>6717</v>
      </c>
      <c r="B4376" s="10" t="s">
        <v>83</v>
      </c>
      <c r="C4376" s="10" t="s">
        <v>49</v>
      </c>
      <c r="D4376" s="10" t="s">
        <v>762</v>
      </c>
      <c r="E4376" s="10" t="s">
        <v>2342</v>
      </c>
      <c r="F4376" s="30" t="n">
        <v>42891</v>
      </c>
      <c r="G4376" s="30" t="n">
        <v>42992</v>
      </c>
      <c r="H4376" s="26" t="n">
        <f aca="false">G4376-F4376</f>
        <v>101</v>
      </c>
      <c r="I4376" s="10" t="n">
        <f aca="false">IF(E4376="Won",1,0)</f>
        <v>1</v>
      </c>
    </row>
    <row r="4377" customFormat="false" ht="15" hidden="false" customHeight="false" outlineLevel="0" collapsed="false">
      <c r="A4377" s="10" t="s">
        <v>6718</v>
      </c>
      <c r="B4377" s="10" t="s">
        <v>95</v>
      </c>
      <c r="C4377" s="10" t="s">
        <v>50</v>
      </c>
      <c r="D4377" s="10" t="s">
        <v>514</v>
      </c>
      <c r="E4377" s="10" t="s">
        <v>2342</v>
      </c>
      <c r="F4377" s="30" t="n">
        <v>42865</v>
      </c>
      <c r="G4377" s="30" t="n">
        <v>42992</v>
      </c>
      <c r="H4377" s="26" t="n">
        <f aca="false">G4377-F4377</f>
        <v>127</v>
      </c>
      <c r="I4377" s="10" t="n">
        <f aca="false">IF(E4377="Won",1,0)</f>
        <v>1</v>
      </c>
    </row>
    <row r="4378" customFormat="false" ht="15" hidden="false" customHeight="false" outlineLevel="0" collapsed="false">
      <c r="A4378" s="10" t="s">
        <v>6719</v>
      </c>
      <c r="B4378" s="10" t="s">
        <v>96</v>
      </c>
      <c r="C4378" s="10" t="s">
        <v>51</v>
      </c>
      <c r="D4378" s="10" t="s">
        <v>483</v>
      </c>
      <c r="E4378" s="10" t="s">
        <v>2342</v>
      </c>
      <c r="F4378" s="30" t="n">
        <v>42975</v>
      </c>
      <c r="G4378" s="30" t="n">
        <v>42992</v>
      </c>
      <c r="H4378" s="26" t="n">
        <f aca="false">G4378-F4378</f>
        <v>17</v>
      </c>
      <c r="I4378" s="10" t="n">
        <f aca="false">IF(E4378="Won",1,0)</f>
        <v>1</v>
      </c>
    </row>
    <row r="4379" customFormat="false" ht="15" hidden="false" customHeight="false" outlineLevel="0" collapsed="false">
      <c r="A4379" s="10" t="s">
        <v>6720</v>
      </c>
      <c r="B4379" s="10" t="s">
        <v>76</v>
      </c>
      <c r="C4379" s="10" t="s">
        <v>52</v>
      </c>
      <c r="D4379" s="10" t="s">
        <v>762</v>
      </c>
      <c r="E4379" s="10" t="s">
        <v>2342</v>
      </c>
      <c r="F4379" s="30" t="n">
        <v>42979</v>
      </c>
      <c r="G4379" s="30" t="n">
        <v>42992</v>
      </c>
      <c r="H4379" s="26" t="n">
        <f aca="false">G4379-F4379</f>
        <v>13</v>
      </c>
      <c r="I4379" s="10" t="n">
        <f aca="false">IF(E4379="Won",1,0)</f>
        <v>1</v>
      </c>
    </row>
    <row r="4380" customFormat="false" ht="15" hidden="false" customHeight="false" outlineLevel="0" collapsed="false">
      <c r="A4380" s="10" t="s">
        <v>6721</v>
      </c>
      <c r="B4380" s="10" t="s">
        <v>93</v>
      </c>
      <c r="C4380" s="10" t="s">
        <v>51</v>
      </c>
      <c r="D4380" s="10" t="s">
        <v>424</v>
      </c>
      <c r="E4380" s="10" t="s">
        <v>2342</v>
      </c>
      <c r="F4380" s="30" t="n">
        <v>42981</v>
      </c>
      <c r="G4380" s="30" t="n">
        <v>42992</v>
      </c>
      <c r="H4380" s="26" t="n">
        <f aca="false">G4380-F4380</f>
        <v>11</v>
      </c>
      <c r="I4380" s="10" t="n">
        <f aca="false">IF(E4380="Won",1,0)</f>
        <v>1</v>
      </c>
    </row>
    <row r="4381" customFormat="false" ht="15" hidden="false" customHeight="false" outlineLevel="0" collapsed="false">
      <c r="A4381" s="10" t="s">
        <v>6722</v>
      </c>
      <c r="B4381" s="10" t="s">
        <v>83</v>
      </c>
      <c r="C4381" s="10" t="s">
        <v>50</v>
      </c>
      <c r="D4381" s="10" t="s">
        <v>536</v>
      </c>
      <c r="E4381" s="10" t="s">
        <v>2342</v>
      </c>
      <c r="F4381" s="30" t="n">
        <v>42979</v>
      </c>
      <c r="G4381" s="30" t="n">
        <v>42992</v>
      </c>
      <c r="H4381" s="26" t="n">
        <f aca="false">G4381-F4381</f>
        <v>13</v>
      </c>
      <c r="I4381" s="10" t="n">
        <f aca="false">IF(E4381="Won",1,0)</f>
        <v>1</v>
      </c>
    </row>
    <row r="4382" customFormat="false" ht="15" hidden="false" customHeight="false" outlineLevel="0" collapsed="false">
      <c r="A4382" s="10" t="s">
        <v>6723</v>
      </c>
      <c r="B4382" s="10" t="s">
        <v>84</v>
      </c>
      <c r="C4382" s="10" t="s">
        <v>48</v>
      </c>
      <c r="D4382" s="10" t="s">
        <v>692</v>
      </c>
      <c r="E4382" s="10" t="s">
        <v>2342</v>
      </c>
      <c r="F4382" s="30" t="n">
        <v>42930</v>
      </c>
      <c r="G4382" s="30" t="n">
        <v>42992</v>
      </c>
      <c r="H4382" s="26" t="n">
        <f aca="false">G4382-F4382</f>
        <v>62</v>
      </c>
      <c r="I4382" s="10" t="n">
        <f aca="false">IF(E4382="Won",1,0)</f>
        <v>1</v>
      </c>
    </row>
    <row r="4383" customFormat="false" ht="15" hidden="false" customHeight="false" outlineLevel="0" collapsed="false">
      <c r="A4383" s="10" t="s">
        <v>6724</v>
      </c>
      <c r="B4383" s="10" t="s">
        <v>74</v>
      </c>
      <c r="C4383" s="10" t="s">
        <v>50</v>
      </c>
      <c r="D4383" s="10" t="s">
        <v>414</v>
      </c>
      <c r="E4383" s="10" t="s">
        <v>2345</v>
      </c>
      <c r="F4383" s="30" t="n">
        <v>42975</v>
      </c>
      <c r="G4383" s="30" t="n">
        <v>42992</v>
      </c>
      <c r="H4383" s="26" t="n">
        <f aca="false">G4383-F4383</f>
        <v>17</v>
      </c>
      <c r="I4383" s="10" t="n">
        <f aca="false">IF(E4383="Won",1,0)</f>
        <v>0</v>
      </c>
    </row>
    <row r="4384" customFormat="false" ht="15" hidden="false" customHeight="false" outlineLevel="0" collapsed="false">
      <c r="A4384" s="10" t="s">
        <v>6725</v>
      </c>
      <c r="B4384" s="10" t="s">
        <v>67</v>
      </c>
      <c r="C4384" s="10" t="s">
        <v>52</v>
      </c>
      <c r="D4384" s="10" t="s">
        <v>437</v>
      </c>
      <c r="E4384" s="10" t="s">
        <v>2342</v>
      </c>
      <c r="F4384" s="30" t="n">
        <v>42938</v>
      </c>
      <c r="G4384" s="30" t="n">
        <v>42992</v>
      </c>
      <c r="H4384" s="26" t="n">
        <f aca="false">G4384-F4384</f>
        <v>54</v>
      </c>
      <c r="I4384" s="10" t="n">
        <f aca="false">IF(E4384="Won",1,0)</f>
        <v>1</v>
      </c>
    </row>
    <row r="4385" customFormat="false" ht="15" hidden="false" customHeight="false" outlineLevel="0" collapsed="false">
      <c r="A4385" s="10" t="s">
        <v>6726</v>
      </c>
      <c r="B4385" s="10" t="s">
        <v>70</v>
      </c>
      <c r="C4385" s="10" t="s">
        <v>48</v>
      </c>
      <c r="D4385" s="10" t="s">
        <v>199</v>
      </c>
      <c r="E4385" s="10" t="s">
        <v>2342</v>
      </c>
      <c r="F4385" s="30" t="n">
        <v>42882</v>
      </c>
      <c r="G4385" s="30" t="n">
        <v>42992</v>
      </c>
      <c r="H4385" s="26" t="n">
        <f aca="false">G4385-F4385</f>
        <v>110</v>
      </c>
      <c r="I4385" s="10" t="n">
        <f aca="false">IF(E4385="Won",1,0)</f>
        <v>1</v>
      </c>
    </row>
    <row r="4386" customFormat="false" ht="15" hidden="false" customHeight="false" outlineLevel="0" collapsed="false">
      <c r="A4386" s="10" t="s">
        <v>6727</v>
      </c>
      <c r="B4386" s="10" t="s">
        <v>70</v>
      </c>
      <c r="C4386" s="10" t="s">
        <v>49</v>
      </c>
      <c r="D4386" s="10" t="s">
        <v>299</v>
      </c>
      <c r="E4386" s="10" t="s">
        <v>2342</v>
      </c>
      <c r="F4386" s="30" t="n">
        <v>42981</v>
      </c>
      <c r="G4386" s="30" t="n">
        <v>42992</v>
      </c>
      <c r="H4386" s="26" t="n">
        <f aca="false">G4386-F4386</f>
        <v>11</v>
      </c>
      <c r="I4386" s="10" t="n">
        <f aca="false">IF(E4386="Won",1,0)</f>
        <v>1</v>
      </c>
    </row>
    <row r="4387" customFormat="false" ht="15" hidden="false" customHeight="false" outlineLevel="0" collapsed="false">
      <c r="A4387" s="10" t="s">
        <v>6728</v>
      </c>
      <c r="B4387" s="10" t="s">
        <v>57</v>
      </c>
      <c r="C4387" s="10" t="s">
        <v>51</v>
      </c>
      <c r="D4387" s="10" t="s">
        <v>254</v>
      </c>
      <c r="E4387" s="10" t="s">
        <v>2342</v>
      </c>
      <c r="F4387" s="30" t="n">
        <v>42930</v>
      </c>
      <c r="G4387" s="30" t="n">
        <v>42993</v>
      </c>
      <c r="H4387" s="26" t="n">
        <f aca="false">G4387-F4387</f>
        <v>63</v>
      </c>
      <c r="I4387" s="10" t="n">
        <f aca="false">IF(E4387="Won",1,0)</f>
        <v>1</v>
      </c>
    </row>
    <row r="4388" customFormat="false" ht="15" hidden="false" customHeight="false" outlineLevel="0" collapsed="false">
      <c r="A4388" s="10" t="s">
        <v>6729</v>
      </c>
      <c r="B4388" s="10" t="s">
        <v>86</v>
      </c>
      <c r="C4388" s="10" t="s">
        <v>52</v>
      </c>
      <c r="D4388" s="10" t="s">
        <v>286</v>
      </c>
      <c r="E4388" s="10" t="s">
        <v>2342</v>
      </c>
      <c r="F4388" s="30" t="n">
        <v>42907</v>
      </c>
      <c r="G4388" s="30" t="n">
        <v>42993</v>
      </c>
      <c r="H4388" s="26" t="n">
        <f aca="false">G4388-F4388</f>
        <v>86</v>
      </c>
      <c r="I4388" s="10" t="n">
        <f aca="false">IF(E4388="Won",1,0)</f>
        <v>1</v>
      </c>
    </row>
    <row r="4389" customFormat="false" ht="15" hidden="false" customHeight="false" outlineLevel="0" collapsed="false">
      <c r="A4389" s="10" t="s">
        <v>6730</v>
      </c>
      <c r="B4389" s="10" t="s">
        <v>57</v>
      </c>
      <c r="C4389" s="10" t="s">
        <v>47</v>
      </c>
      <c r="D4389" s="10" t="s">
        <v>1118</v>
      </c>
      <c r="E4389" s="10" t="s">
        <v>2342</v>
      </c>
      <c r="F4389" s="30" t="n">
        <v>42988</v>
      </c>
      <c r="G4389" s="30" t="n">
        <v>42993</v>
      </c>
      <c r="H4389" s="26" t="n">
        <f aca="false">G4389-F4389</f>
        <v>5</v>
      </c>
      <c r="I4389" s="10" t="n">
        <f aca="false">IF(E4389="Won",1,0)</f>
        <v>1</v>
      </c>
    </row>
    <row r="4390" customFormat="false" ht="15" hidden="false" customHeight="false" outlineLevel="0" collapsed="false">
      <c r="A4390" s="10" t="s">
        <v>6731</v>
      </c>
      <c r="B4390" s="10" t="s">
        <v>70</v>
      </c>
      <c r="C4390" s="10" t="s">
        <v>48</v>
      </c>
      <c r="D4390" s="10" t="s">
        <v>326</v>
      </c>
      <c r="E4390" s="10" t="s">
        <v>2342</v>
      </c>
      <c r="F4390" s="30" t="n">
        <v>42984</v>
      </c>
      <c r="G4390" s="30" t="n">
        <v>42993</v>
      </c>
      <c r="H4390" s="26" t="n">
        <f aca="false">G4390-F4390</f>
        <v>9</v>
      </c>
      <c r="I4390" s="10" t="n">
        <f aca="false">IF(E4390="Won",1,0)</f>
        <v>1</v>
      </c>
    </row>
    <row r="4391" customFormat="false" ht="15" hidden="false" customHeight="false" outlineLevel="0" collapsed="false">
      <c r="A4391" s="10" t="s">
        <v>6732</v>
      </c>
      <c r="B4391" s="10" t="s">
        <v>93</v>
      </c>
      <c r="C4391" s="10" t="s">
        <v>48</v>
      </c>
      <c r="D4391" s="10" t="s">
        <v>337</v>
      </c>
      <c r="E4391" s="10" t="s">
        <v>2342</v>
      </c>
      <c r="F4391" s="30" t="n">
        <v>42912</v>
      </c>
      <c r="G4391" s="30" t="n">
        <v>42993</v>
      </c>
      <c r="H4391" s="26" t="n">
        <f aca="false">G4391-F4391</f>
        <v>81</v>
      </c>
      <c r="I4391" s="10" t="n">
        <f aca="false">IF(E4391="Won",1,0)</f>
        <v>1</v>
      </c>
    </row>
    <row r="4392" customFormat="false" ht="15" hidden="false" customHeight="false" outlineLevel="0" collapsed="false">
      <c r="A4392" s="10" t="s">
        <v>6733</v>
      </c>
      <c r="B4392" s="10" t="s">
        <v>75</v>
      </c>
      <c r="C4392" s="10" t="s">
        <v>51</v>
      </c>
      <c r="D4392" s="10" t="s">
        <v>422</v>
      </c>
      <c r="E4392" s="10" t="s">
        <v>2342</v>
      </c>
      <c r="F4392" s="30" t="n">
        <v>42876</v>
      </c>
      <c r="G4392" s="30" t="n">
        <v>42993</v>
      </c>
      <c r="H4392" s="26" t="n">
        <f aca="false">G4392-F4392</f>
        <v>117</v>
      </c>
      <c r="I4392" s="10" t="n">
        <f aca="false">IF(E4392="Won",1,0)</f>
        <v>1</v>
      </c>
    </row>
    <row r="4393" customFormat="false" ht="15" hidden="false" customHeight="false" outlineLevel="0" collapsed="false">
      <c r="A4393" s="10" t="s">
        <v>6734</v>
      </c>
      <c r="B4393" s="10" t="s">
        <v>75</v>
      </c>
      <c r="C4393" s="10" t="s">
        <v>52</v>
      </c>
      <c r="D4393" s="10" t="s">
        <v>369</v>
      </c>
      <c r="E4393" s="10" t="s">
        <v>2342</v>
      </c>
      <c r="F4393" s="30" t="n">
        <v>42867</v>
      </c>
      <c r="G4393" s="30" t="n">
        <v>42993</v>
      </c>
      <c r="H4393" s="26" t="n">
        <f aca="false">G4393-F4393</f>
        <v>126</v>
      </c>
      <c r="I4393" s="10" t="n">
        <f aca="false">IF(E4393="Won",1,0)</f>
        <v>1</v>
      </c>
    </row>
    <row r="4394" customFormat="false" ht="15" hidden="false" customHeight="false" outlineLevel="0" collapsed="false">
      <c r="A4394" s="10" t="s">
        <v>6735</v>
      </c>
      <c r="B4394" s="10" t="s">
        <v>87</v>
      </c>
      <c r="C4394" s="10" t="s">
        <v>51</v>
      </c>
      <c r="D4394" s="10" t="s">
        <v>1118</v>
      </c>
      <c r="E4394" s="10" t="s">
        <v>2342</v>
      </c>
      <c r="F4394" s="30" t="n">
        <v>42870</v>
      </c>
      <c r="G4394" s="30" t="n">
        <v>42993</v>
      </c>
      <c r="H4394" s="26" t="n">
        <f aca="false">G4394-F4394</f>
        <v>123</v>
      </c>
      <c r="I4394" s="10" t="n">
        <f aca="false">IF(E4394="Won",1,0)</f>
        <v>1</v>
      </c>
    </row>
    <row r="4395" customFormat="false" ht="15" hidden="false" customHeight="false" outlineLevel="0" collapsed="false">
      <c r="A4395" s="10" t="s">
        <v>6736</v>
      </c>
      <c r="B4395" s="10" t="s">
        <v>97</v>
      </c>
      <c r="C4395" s="10" t="s">
        <v>51</v>
      </c>
      <c r="D4395" s="10" t="s">
        <v>419</v>
      </c>
      <c r="E4395" s="10" t="s">
        <v>2342</v>
      </c>
      <c r="F4395" s="30" t="n">
        <v>42932</v>
      </c>
      <c r="G4395" s="30" t="n">
        <v>42993</v>
      </c>
      <c r="H4395" s="26" t="n">
        <f aca="false">G4395-F4395</f>
        <v>61</v>
      </c>
      <c r="I4395" s="10" t="n">
        <f aca="false">IF(E4395="Won",1,0)</f>
        <v>1</v>
      </c>
    </row>
    <row r="4396" customFormat="false" ht="15" hidden="false" customHeight="false" outlineLevel="0" collapsed="false">
      <c r="A4396" s="10" t="s">
        <v>6737</v>
      </c>
      <c r="B4396" s="10" t="s">
        <v>68</v>
      </c>
      <c r="C4396" s="10" t="s">
        <v>48</v>
      </c>
      <c r="D4396" s="10" t="s">
        <v>419</v>
      </c>
      <c r="E4396" s="10" t="s">
        <v>2342</v>
      </c>
      <c r="F4396" s="30" t="n">
        <v>42977</v>
      </c>
      <c r="G4396" s="30" t="n">
        <v>42993</v>
      </c>
      <c r="H4396" s="26" t="n">
        <f aca="false">G4396-F4396</f>
        <v>16</v>
      </c>
      <c r="I4396" s="10" t="n">
        <f aca="false">IF(E4396="Won",1,0)</f>
        <v>1</v>
      </c>
    </row>
    <row r="4397" customFormat="false" ht="15" hidden="false" customHeight="false" outlineLevel="0" collapsed="false">
      <c r="A4397" s="10" t="s">
        <v>6738</v>
      </c>
      <c r="B4397" s="10" t="s">
        <v>90</v>
      </c>
      <c r="C4397" s="10" t="s">
        <v>47</v>
      </c>
      <c r="D4397" s="10" t="s">
        <v>350</v>
      </c>
      <c r="E4397" s="10" t="s">
        <v>2345</v>
      </c>
      <c r="F4397" s="30" t="n">
        <v>42859</v>
      </c>
      <c r="G4397" s="30" t="n">
        <v>42993</v>
      </c>
      <c r="H4397" s="26" t="n">
        <f aca="false">G4397-F4397</f>
        <v>134</v>
      </c>
      <c r="I4397" s="10" t="n">
        <f aca="false">IF(E4397="Won",1,0)</f>
        <v>0</v>
      </c>
    </row>
    <row r="4398" customFormat="false" ht="15" hidden="false" customHeight="false" outlineLevel="0" collapsed="false">
      <c r="A4398" s="10" t="s">
        <v>6739</v>
      </c>
      <c r="B4398" s="10" t="s">
        <v>57</v>
      </c>
      <c r="C4398" s="10" t="s">
        <v>48</v>
      </c>
      <c r="D4398" s="10" t="s">
        <v>359</v>
      </c>
      <c r="E4398" s="10" t="s">
        <v>2342</v>
      </c>
      <c r="F4398" s="30" t="n">
        <v>42988</v>
      </c>
      <c r="G4398" s="30" t="n">
        <v>42993</v>
      </c>
      <c r="H4398" s="26" t="n">
        <f aca="false">G4398-F4398</f>
        <v>5</v>
      </c>
      <c r="I4398" s="10" t="n">
        <f aca="false">IF(E4398="Won",1,0)</f>
        <v>1</v>
      </c>
    </row>
    <row r="4399" customFormat="false" ht="15" hidden="false" customHeight="false" outlineLevel="0" collapsed="false">
      <c r="A4399" s="10" t="s">
        <v>6740</v>
      </c>
      <c r="B4399" s="10" t="s">
        <v>76</v>
      </c>
      <c r="C4399" s="10" t="s">
        <v>51</v>
      </c>
      <c r="D4399" s="10" t="s">
        <v>536</v>
      </c>
      <c r="E4399" s="10" t="s">
        <v>2342</v>
      </c>
      <c r="F4399" s="30" t="n">
        <v>42978</v>
      </c>
      <c r="G4399" s="30" t="n">
        <v>42993</v>
      </c>
      <c r="H4399" s="26" t="n">
        <f aca="false">G4399-F4399</f>
        <v>15</v>
      </c>
      <c r="I4399" s="10" t="n">
        <f aca="false">IF(E4399="Won",1,0)</f>
        <v>1</v>
      </c>
    </row>
    <row r="4400" customFormat="false" ht="15" hidden="false" customHeight="false" outlineLevel="0" collapsed="false">
      <c r="A4400" s="10" t="s">
        <v>6741</v>
      </c>
      <c r="B4400" s="10" t="s">
        <v>79</v>
      </c>
      <c r="C4400" s="10" t="s">
        <v>51</v>
      </c>
      <c r="D4400" s="10" t="s">
        <v>410</v>
      </c>
      <c r="E4400" s="10" t="s">
        <v>2345</v>
      </c>
      <c r="F4400" s="30" t="n">
        <v>42943</v>
      </c>
      <c r="G4400" s="30" t="n">
        <v>42993</v>
      </c>
      <c r="H4400" s="26" t="n">
        <f aca="false">G4400-F4400</f>
        <v>50</v>
      </c>
      <c r="I4400" s="10" t="n">
        <f aca="false">IF(E4400="Won",1,0)</f>
        <v>0</v>
      </c>
    </row>
    <row r="4401" customFormat="false" ht="15" hidden="false" customHeight="false" outlineLevel="0" collapsed="false">
      <c r="A4401" s="10" t="s">
        <v>6742</v>
      </c>
      <c r="B4401" s="10" t="s">
        <v>62</v>
      </c>
      <c r="C4401" s="10" t="s">
        <v>47</v>
      </c>
      <c r="D4401" s="10" t="s">
        <v>185</v>
      </c>
      <c r="E4401" s="10" t="s">
        <v>2345</v>
      </c>
      <c r="F4401" s="30" t="n">
        <v>42990</v>
      </c>
      <c r="G4401" s="30" t="n">
        <v>42993</v>
      </c>
      <c r="H4401" s="26" t="n">
        <f aca="false">G4401-F4401</f>
        <v>3</v>
      </c>
      <c r="I4401" s="10" t="n">
        <f aca="false">IF(E4401="Won",1,0)</f>
        <v>0</v>
      </c>
    </row>
    <row r="4402" customFormat="false" ht="15" hidden="false" customHeight="false" outlineLevel="0" collapsed="false">
      <c r="A4402" s="10" t="s">
        <v>6743</v>
      </c>
      <c r="B4402" s="10" t="s">
        <v>70</v>
      </c>
      <c r="C4402" s="10" t="s">
        <v>48</v>
      </c>
      <c r="D4402" s="10" t="s">
        <v>344</v>
      </c>
      <c r="E4402" s="10" t="s">
        <v>2342</v>
      </c>
      <c r="F4402" s="30" t="n">
        <v>42982</v>
      </c>
      <c r="G4402" s="30" t="n">
        <v>42993</v>
      </c>
      <c r="H4402" s="26" t="n">
        <f aca="false">G4402-F4402</f>
        <v>11</v>
      </c>
      <c r="I4402" s="10" t="n">
        <f aca="false">IF(E4402="Won",1,0)</f>
        <v>1</v>
      </c>
    </row>
    <row r="4403" customFormat="false" ht="15" hidden="false" customHeight="false" outlineLevel="0" collapsed="false">
      <c r="A4403" s="10" t="s">
        <v>6744</v>
      </c>
      <c r="B4403" s="10" t="s">
        <v>80</v>
      </c>
      <c r="C4403" s="10" t="s">
        <v>48</v>
      </c>
      <c r="D4403" s="10" t="s">
        <v>422</v>
      </c>
      <c r="E4403" s="10" t="s">
        <v>2342</v>
      </c>
      <c r="F4403" s="30" t="n">
        <v>42904</v>
      </c>
      <c r="G4403" s="30" t="n">
        <v>42993</v>
      </c>
      <c r="H4403" s="26" t="n">
        <f aca="false">G4403-F4403</f>
        <v>89</v>
      </c>
      <c r="I4403" s="10" t="n">
        <f aca="false">IF(E4403="Won",1,0)</f>
        <v>1</v>
      </c>
    </row>
    <row r="4404" customFormat="false" ht="15" hidden="false" customHeight="false" outlineLevel="0" collapsed="false">
      <c r="A4404" s="10" t="s">
        <v>6745</v>
      </c>
      <c r="B4404" s="10" t="s">
        <v>73</v>
      </c>
      <c r="C4404" s="10" t="s">
        <v>49</v>
      </c>
      <c r="D4404" s="10" t="s">
        <v>388</v>
      </c>
      <c r="E4404" s="10" t="s">
        <v>2342</v>
      </c>
      <c r="F4404" s="30" t="n">
        <v>42916</v>
      </c>
      <c r="G4404" s="30" t="n">
        <v>42993</v>
      </c>
      <c r="H4404" s="26" t="n">
        <f aca="false">G4404-F4404</f>
        <v>77</v>
      </c>
      <c r="I4404" s="10" t="n">
        <f aca="false">IF(E4404="Won",1,0)</f>
        <v>1</v>
      </c>
    </row>
    <row r="4405" customFormat="false" ht="15" hidden="false" customHeight="false" outlineLevel="0" collapsed="false">
      <c r="A4405" s="10" t="s">
        <v>6746</v>
      </c>
      <c r="B4405" s="10" t="s">
        <v>74</v>
      </c>
      <c r="C4405" s="10" t="s">
        <v>51</v>
      </c>
      <c r="D4405" s="10" t="s">
        <v>597</v>
      </c>
      <c r="E4405" s="10" t="s">
        <v>2342</v>
      </c>
      <c r="F4405" s="30" t="n">
        <v>42892</v>
      </c>
      <c r="G4405" s="30" t="n">
        <v>42993</v>
      </c>
      <c r="H4405" s="26" t="n">
        <f aca="false">G4405-F4405</f>
        <v>101</v>
      </c>
      <c r="I4405" s="10" t="n">
        <f aca="false">IF(E4405="Won",1,0)</f>
        <v>1</v>
      </c>
    </row>
    <row r="4406" customFormat="false" ht="15" hidden="false" customHeight="false" outlineLevel="0" collapsed="false">
      <c r="A4406" s="10" t="s">
        <v>6747</v>
      </c>
      <c r="B4406" s="10" t="s">
        <v>76</v>
      </c>
      <c r="C4406" s="10" t="s">
        <v>52</v>
      </c>
      <c r="D4406" s="10" t="s">
        <v>179</v>
      </c>
      <c r="E4406" s="10" t="s">
        <v>2345</v>
      </c>
      <c r="F4406" s="30" t="n">
        <v>42983</v>
      </c>
      <c r="G4406" s="30" t="n">
        <v>42993</v>
      </c>
      <c r="H4406" s="26" t="n">
        <f aca="false">G4406-F4406</f>
        <v>10</v>
      </c>
      <c r="I4406" s="10" t="n">
        <f aca="false">IF(E4406="Won",1,0)</f>
        <v>0</v>
      </c>
    </row>
    <row r="4407" customFormat="false" ht="15" hidden="false" customHeight="false" outlineLevel="0" collapsed="false">
      <c r="A4407" s="10" t="s">
        <v>6748</v>
      </c>
      <c r="B4407" s="10" t="s">
        <v>84</v>
      </c>
      <c r="C4407" s="10" t="s">
        <v>51</v>
      </c>
      <c r="D4407" s="10" t="s">
        <v>464</v>
      </c>
      <c r="E4407" s="10" t="s">
        <v>2342</v>
      </c>
      <c r="F4407" s="30" t="n">
        <v>42881</v>
      </c>
      <c r="G4407" s="30" t="n">
        <v>42993</v>
      </c>
      <c r="H4407" s="26" t="n">
        <f aca="false">G4407-F4407</f>
        <v>112</v>
      </c>
      <c r="I4407" s="10" t="n">
        <f aca="false">IF(E4407="Won",1,0)</f>
        <v>1</v>
      </c>
    </row>
    <row r="4408" customFormat="false" ht="15" hidden="false" customHeight="false" outlineLevel="0" collapsed="false">
      <c r="A4408" s="10" t="s">
        <v>6749</v>
      </c>
      <c r="B4408" s="10" t="s">
        <v>71</v>
      </c>
      <c r="C4408" s="10" t="s">
        <v>52</v>
      </c>
      <c r="D4408" s="10" t="s">
        <v>597</v>
      </c>
      <c r="E4408" s="10" t="s">
        <v>2342</v>
      </c>
      <c r="F4408" s="30" t="n">
        <v>42873</v>
      </c>
      <c r="G4408" s="30" t="n">
        <v>42993</v>
      </c>
      <c r="H4408" s="26" t="n">
        <f aca="false">G4408-F4408</f>
        <v>120</v>
      </c>
      <c r="I4408" s="10" t="n">
        <f aca="false">IF(E4408="Won",1,0)</f>
        <v>1</v>
      </c>
    </row>
    <row r="4409" customFormat="false" ht="15" hidden="false" customHeight="false" outlineLevel="0" collapsed="false">
      <c r="A4409" s="10" t="s">
        <v>6750</v>
      </c>
      <c r="B4409" s="10" t="s">
        <v>94</v>
      </c>
      <c r="C4409" s="10" t="s">
        <v>52</v>
      </c>
      <c r="D4409" s="10" t="s">
        <v>170</v>
      </c>
      <c r="E4409" s="10" t="s">
        <v>2342</v>
      </c>
      <c r="F4409" s="30" t="n">
        <v>42984</v>
      </c>
      <c r="G4409" s="30" t="n">
        <v>42993</v>
      </c>
      <c r="H4409" s="26" t="n">
        <f aca="false">G4409-F4409</f>
        <v>9</v>
      </c>
      <c r="I4409" s="10" t="n">
        <f aca="false">IF(E4409="Won",1,0)</f>
        <v>1</v>
      </c>
    </row>
    <row r="4410" customFormat="false" ht="15" hidden="false" customHeight="false" outlineLevel="0" collapsed="false">
      <c r="A4410" s="10" t="s">
        <v>6751</v>
      </c>
      <c r="B4410" s="10" t="s">
        <v>88</v>
      </c>
      <c r="C4410" s="10" t="s">
        <v>48</v>
      </c>
      <c r="D4410" s="10" t="s">
        <v>286</v>
      </c>
      <c r="E4410" s="10" t="s">
        <v>2342</v>
      </c>
      <c r="F4410" s="30" t="n">
        <v>42956</v>
      </c>
      <c r="G4410" s="30" t="n">
        <v>42993</v>
      </c>
      <c r="H4410" s="26" t="n">
        <f aca="false">G4410-F4410</f>
        <v>37</v>
      </c>
      <c r="I4410" s="10" t="n">
        <f aca="false">IF(E4410="Won",1,0)</f>
        <v>1</v>
      </c>
    </row>
    <row r="4411" customFormat="false" ht="15" hidden="false" customHeight="false" outlineLevel="0" collapsed="false">
      <c r="A4411" s="10" t="s">
        <v>6752</v>
      </c>
      <c r="B4411" s="10" t="s">
        <v>93</v>
      </c>
      <c r="C4411" s="10" t="s">
        <v>51</v>
      </c>
      <c r="D4411" s="10" t="s">
        <v>483</v>
      </c>
      <c r="E4411" s="10" t="s">
        <v>2342</v>
      </c>
      <c r="F4411" s="30" t="n">
        <v>42943</v>
      </c>
      <c r="G4411" s="30" t="n">
        <v>42993</v>
      </c>
      <c r="H4411" s="26" t="n">
        <f aca="false">G4411-F4411</f>
        <v>50</v>
      </c>
      <c r="I4411" s="10" t="n">
        <f aca="false">IF(E4411="Won",1,0)</f>
        <v>1</v>
      </c>
    </row>
    <row r="4412" customFormat="false" ht="15" hidden="false" customHeight="false" outlineLevel="0" collapsed="false">
      <c r="A4412" s="10" t="s">
        <v>6753</v>
      </c>
      <c r="B4412" s="10" t="s">
        <v>86</v>
      </c>
      <c r="C4412" s="10" t="s">
        <v>50</v>
      </c>
      <c r="D4412" s="10" t="s">
        <v>453</v>
      </c>
      <c r="E4412" s="10" t="s">
        <v>2342</v>
      </c>
      <c r="F4412" s="30" t="n">
        <v>42903</v>
      </c>
      <c r="G4412" s="30" t="n">
        <v>42994</v>
      </c>
      <c r="H4412" s="26" t="n">
        <f aca="false">G4412-F4412</f>
        <v>91</v>
      </c>
      <c r="I4412" s="10" t="n">
        <f aca="false">IF(E4412="Won",1,0)</f>
        <v>1</v>
      </c>
    </row>
    <row r="4413" customFormat="false" ht="15" hidden="false" customHeight="false" outlineLevel="0" collapsed="false">
      <c r="A4413" s="10" t="s">
        <v>6754</v>
      </c>
      <c r="B4413" s="10" t="s">
        <v>81</v>
      </c>
      <c r="C4413" s="10" t="s">
        <v>47</v>
      </c>
      <c r="D4413" s="10" t="s">
        <v>512</v>
      </c>
      <c r="E4413" s="10" t="s">
        <v>2342</v>
      </c>
      <c r="F4413" s="30" t="n">
        <v>42978</v>
      </c>
      <c r="G4413" s="30" t="n">
        <v>42994</v>
      </c>
      <c r="H4413" s="26" t="n">
        <f aca="false">G4413-F4413</f>
        <v>16</v>
      </c>
      <c r="I4413" s="10" t="n">
        <f aca="false">IF(E4413="Won",1,0)</f>
        <v>1</v>
      </c>
    </row>
    <row r="4414" customFormat="false" ht="15" hidden="false" customHeight="false" outlineLevel="0" collapsed="false">
      <c r="A4414" s="10" t="s">
        <v>6755</v>
      </c>
      <c r="B4414" s="10" t="s">
        <v>71</v>
      </c>
      <c r="C4414" s="10" t="s">
        <v>51</v>
      </c>
      <c r="D4414" s="10" t="s">
        <v>388</v>
      </c>
      <c r="E4414" s="10" t="s">
        <v>2342</v>
      </c>
      <c r="F4414" s="30" t="n">
        <v>42925</v>
      </c>
      <c r="G4414" s="30" t="n">
        <v>42994</v>
      </c>
      <c r="H4414" s="26" t="n">
        <f aca="false">G4414-F4414</f>
        <v>69</v>
      </c>
      <c r="I4414" s="10" t="n">
        <f aca="false">IF(E4414="Won",1,0)</f>
        <v>1</v>
      </c>
    </row>
    <row r="4415" customFormat="false" ht="15" hidden="false" customHeight="false" outlineLevel="0" collapsed="false">
      <c r="A4415" s="10" t="s">
        <v>6756</v>
      </c>
      <c r="B4415" s="10" t="s">
        <v>88</v>
      </c>
      <c r="C4415" s="10" t="s">
        <v>47</v>
      </c>
      <c r="D4415" s="10" t="s">
        <v>532</v>
      </c>
      <c r="E4415" s="10" t="s">
        <v>2342</v>
      </c>
      <c r="F4415" s="30" t="n">
        <v>42925</v>
      </c>
      <c r="G4415" s="30" t="n">
        <v>42994</v>
      </c>
      <c r="H4415" s="26" t="n">
        <f aca="false">G4415-F4415</f>
        <v>69</v>
      </c>
      <c r="I4415" s="10" t="n">
        <f aca="false">IF(E4415="Won",1,0)</f>
        <v>1</v>
      </c>
    </row>
    <row r="4416" customFormat="false" ht="15" hidden="false" customHeight="false" outlineLevel="0" collapsed="false">
      <c r="A4416" s="10" t="s">
        <v>6757</v>
      </c>
      <c r="B4416" s="10" t="s">
        <v>93</v>
      </c>
      <c r="C4416" s="10" t="s">
        <v>48</v>
      </c>
      <c r="D4416" s="10" t="s">
        <v>514</v>
      </c>
      <c r="E4416" s="10" t="s">
        <v>2342</v>
      </c>
      <c r="F4416" s="30" t="n">
        <v>42913</v>
      </c>
      <c r="G4416" s="30" t="n">
        <v>42994</v>
      </c>
      <c r="H4416" s="26" t="n">
        <f aca="false">G4416-F4416</f>
        <v>81</v>
      </c>
      <c r="I4416" s="10" t="n">
        <f aca="false">IF(E4416="Won",1,0)</f>
        <v>1</v>
      </c>
    </row>
    <row r="4417" customFormat="false" ht="15" hidden="false" customHeight="false" outlineLevel="0" collapsed="false">
      <c r="A4417" s="10" t="s">
        <v>6758</v>
      </c>
      <c r="B4417" s="10" t="s">
        <v>63</v>
      </c>
      <c r="C4417" s="10" t="s">
        <v>49</v>
      </c>
      <c r="D4417" s="10" t="s">
        <v>1397</v>
      </c>
      <c r="E4417" s="10" t="s">
        <v>2342</v>
      </c>
      <c r="F4417" s="30" t="n">
        <v>42871</v>
      </c>
      <c r="G4417" s="30" t="n">
        <v>42994</v>
      </c>
      <c r="H4417" s="26" t="n">
        <f aca="false">G4417-F4417</f>
        <v>123</v>
      </c>
      <c r="I4417" s="10" t="n">
        <f aca="false">IF(E4417="Won",1,0)</f>
        <v>1</v>
      </c>
    </row>
    <row r="4418" customFormat="false" ht="15" hidden="false" customHeight="false" outlineLevel="0" collapsed="false">
      <c r="A4418" s="10" t="s">
        <v>6759</v>
      </c>
      <c r="B4418" s="10" t="s">
        <v>95</v>
      </c>
      <c r="C4418" s="10" t="s">
        <v>51</v>
      </c>
      <c r="D4418" s="10" t="s">
        <v>396</v>
      </c>
      <c r="E4418" s="10" t="s">
        <v>2342</v>
      </c>
      <c r="F4418" s="30" t="n">
        <v>42951</v>
      </c>
      <c r="G4418" s="30" t="n">
        <v>42994</v>
      </c>
      <c r="H4418" s="26" t="n">
        <f aca="false">G4418-F4418</f>
        <v>43</v>
      </c>
      <c r="I4418" s="10" t="n">
        <f aca="false">IF(E4418="Won",1,0)</f>
        <v>1</v>
      </c>
    </row>
    <row r="4419" customFormat="false" ht="15" hidden="false" customHeight="false" outlineLevel="0" collapsed="false">
      <c r="A4419" s="10" t="s">
        <v>6760</v>
      </c>
      <c r="B4419" s="10" t="s">
        <v>70</v>
      </c>
      <c r="C4419" s="10" t="s">
        <v>51</v>
      </c>
      <c r="D4419" s="10" t="s">
        <v>170</v>
      </c>
      <c r="E4419" s="10" t="s">
        <v>2342</v>
      </c>
      <c r="F4419" s="30" t="n">
        <v>42980</v>
      </c>
      <c r="G4419" s="30" t="n">
        <v>42994</v>
      </c>
      <c r="H4419" s="26" t="n">
        <f aca="false">G4419-F4419</f>
        <v>14</v>
      </c>
      <c r="I4419" s="10" t="n">
        <f aca="false">IF(E4419="Won",1,0)</f>
        <v>1</v>
      </c>
    </row>
    <row r="4420" customFormat="false" ht="15" hidden="false" customHeight="false" outlineLevel="0" collapsed="false">
      <c r="A4420" s="10" t="s">
        <v>6761</v>
      </c>
      <c r="B4420" s="10" t="s">
        <v>94</v>
      </c>
      <c r="C4420" s="10" t="s">
        <v>48</v>
      </c>
      <c r="D4420" s="10" t="s">
        <v>487</v>
      </c>
      <c r="E4420" s="10" t="s">
        <v>2342</v>
      </c>
      <c r="F4420" s="30" t="n">
        <v>42992</v>
      </c>
      <c r="G4420" s="30" t="n">
        <v>42994</v>
      </c>
      <c r="H4420" s="26" t="n">
        <f aca="false">G4420-F4420</f>
        <v>2</v>
      </c>
      <c r="I4420" s="10" t="n">
        <f aca="false">IF(E4420="Won",1,0)</f>
        <v>1</v>
      </c>
    </row>
    <row r="4421" customFormat="false" ht="15" hidden="false" customHeight="false" outlineLevel="0" collapsed="false">
      <c r="A4421" s="10" t="s">
        <v>6762</v>
      </c>
      <c r="B4421" s="10" t="s">
        <v>97</v>
      </c>
      <c r="C4421" s="10" t="s">
        <v>48</v>
      </c>
      <c r="D4421" s="10" t="s">
        <v>172</v>
      </c>
      <c r="E4421" s="10" t="s">
        <v>2342</v>
      </c>
      <c r="F4421" s="30" t="n">
        <v>42934</v>
      </c>
      <c r="G4421" s="30" t="n">
        <v>42994</v>
      </c>
      <c r="H4421" s="26" t="n">
        <f aca="false">G4421-F4421</f>
        <v>60</v>
      </c>
      <c r="I4421" s="10" t="n">
        <f aca="false">IF(E4421="Won",1,0)</f>
        <v>1</v>
      </c>
    </row>
    <row r="4422" customFormat="false" ht="15" hidden="false" customHeight="false" outlineLevel="0" collapsed="false">
      <c r="A4422" s="10" t="s">
        <v>6763</v>
      </c>
      <c r="B4422" s="10" t="s">
        <v>93</v>
      </c>
      <c r="C4422" s="10" t="s">
        <v>47</v>
      </c>
      <c r="D4422" s="10" t="s">
        <v>424</v>
      </c>
      <c r="E4422" s="10" t="s">
        <v>2342</v>
      </c>
      <c r="F4422" s="30" t="n">
        <v>42918</v>
      </c>
      <c r="G4422" s="30" t="n">
        <v>42994</v>
      </c>
      <c r="H4422" s="26" t="n">
        <f aca="false">G4422-F4422</f>
        <v>76</v>
      </c>
      <c r="I4422" s="10" t="n">
        <f aca="false">IF(E4422="Won",1,0)</f>
        <v>1</v>
      </c>
    </row>
    <row r="4423" customFormat="false" ht="15" hidden="false" customHeight="false" outlineLevel="0" collapsed="false">
      <c r="A4423" s="10" t="s">
        <v>6764</v>
      </c>
      <c r="B4423" s="10" t="s">
        <v>88</v>
      </c>
      <c r="C4423" s="10" t="s">
        <v>49</v>
      </c>
      <c r="D4423" s="10" t="s">
        <v>332</v>
      </c>
      <c r="E4423" s="10" t="s">
        <v>2345</v>
      </c>
      <c r="F4423" s="30" t="n">
        <v>42986</v>
      </c>
      <c r="G4423" s="30" t="n">
        <v>42994</v>
      </c>
      <c r="H4423" s="26" t="n">
        <f aca="false">G4423-F4423</f>
        <v>8</v>
      </c>
      <c r="I4423" s="10" t="n">
        <f aca="false">IF(E4423="Won",1,0)</f>
        <v>0</v>
      </c>
    </row>
    <row r="4424" customFormat="false" ht="15" hidden="false" customHeight="false" outlineLevel="0" collapsed="false">
      <c r="A4424" s="10" t="s">
        <v>6765</v>
      </c>
      <c r="B4424" s="10" t="s">
        <v>83</v>
      </c>
      <c r="C4424" s="10" t="s">
        <v>51</v>
      </c>
      <c r="D4424" s="10" t="s">
        <v>311</v>
      </c>
      <c r="E4424" s="10" t="s">
        <v>2345</v>
      </c>
      <c r="F4424" s="30" t="n">
        <v>42957</v>
      </c>
      <c r="G4424" s="30" t="n">
        <v>42994</v>
      </c>
      <c r="H4424" s="26" t="n">
        <f aca="false">G4424-F4424</f>
        <v>37</v>
      </c>
      <c r="I4424" s="10" t="n">
        <f aca="false">IF(E4424="Won",1,0)</f>
        <v>0</v>
      </c>
    </row>
    <row r="4425" customFormat="false" ht="15" hidden="false" customHeight="false" outlineLevel="0" collapsed="false">
      <c r="A4425" s="10" t="s">
        <v>6766</v>
      </c>
      <c r="B4425" s="10" t="s">
        <v>77</v>
      </c>
      <c r="C4425" s="10" t="s">
        <v>50</v>
      </c>
      <c r="D4425" s="10" t="s">
        <v>321</v>
      </c>
      <c r="E4425" s="10" t="s">
        <v>2342</v>
      </c>
      <c r="F4425" s="30" t="n">
        <v>42933</v>
      </c>
      <c r="G4425" s="30" t="n">
        <v>42994</v>
      </c>
      <c r="H4425" s="26" t="n">
        <f aca="false">G4425-F4425</f>
        <v>61</v>
      </c>
      <c r="I4425" s="10" t="n">
        <f aca="false">IF(E4425="Won",1,0)</f>
        <v>1</v>
      </c>
    </row>
    <row r="4426" customFormat="false" ht="15" hidden="false" customHeight="false" outlineLevel="0" collapsed="false">
      <c r="A4426" s="10" t="s">
        <v>6767</v>
      </c>
      <c r="B4426" s="10" t="s">
        <v>83</v>
      </c>
      <c r="C4426" s="10" t="s">
        <v>50</v>
      </c>
      <c r="D4426" s="10" t="s">
        <v>512</v>
      </c>
      <c r="E4426" s="10" t="s">
        <v>2342</v>
      </c>
      <c r="F4426" s="30" t="n">
        <v>42983</v>
      </c>
      <c r="G4426" s="30" t="n">
        <v>42994</v>
      </c>
      <c r="H4426" s="26" t="n">
        <f aca="false">G4426-F4426</f>
        <v>11</v>
      </c>
      <c r="I4426" s="10" t="n">
        <f aca="false">IF(E4426="Won",1,0)</f>
        <v>1</v>
      </c>
    </row>
    <row r="4427" customFormat="false" ht="15" hidden="false" customHeight="false" outlineLevel="0" collapsed="false">
      <c r="A4427" s="10" t="s">
        <v>6768</v>
      </c>
      <c r="B4427" s="10" t="s">
        <v>71</v>
      </c>
      <c r="C4427" s="10" t="s">
        <v>49</v>
      </c>
      <c r="D4427" s="10" t="s">
        <v>267</v>
      </c>
      <c r="E4427" s="10" t="s">
        <v>2345</v>
      </c>
      <c r="F4427" s="30" t="n">
        <v>42890</v>
      </c>
      <c r="G4427" s="30" t="n">
        <v>42994</v>
      </c>
      <c r="H4427" s="26" t="n">
        <f aca="false">G4427-F4427</f>
        <v>104</v>
      </c>
      <c r="I4427" s="10" t="n">
        <f aca="false">IF(E4427="Won",1,0)</f>
        <v>0</v>
      </c>
    </row>
    <row r="4428" customFormat="false" ht="15" hidden="false" customHeight="false" outlineLevel="0" collapsed="false">
      <c r="A4428" s="10" t="s">
        <v>6769</v>
      </c>
      <c r="B4428" s="10" t="s">
        <v>70</v>
      </c>
      <c r="C4428" s="10" t="s">
        <v>52</v>
      </c>
      <c r="D4428" s="10" t="s">
        <v>522</v>
      </c>
      <c r="E4428" s="10" t="s">
        <v>2342</v>
      </c>
      <c r="F4428" s="30" t="n">
        <v>42892</v>
      </c>
      <c r="G4428" s="30" t="n">
        <v>42994</v>
      </c>
      <c r="H4428" s="26" t="n">
        <f aca="false">G4428-F4428</f>
        <v>102</v>
      </c>
      <c r="I4428" s="10" t="n">
        <f aca="false">IF(E4428="Won",1,0)</f>
        <v>1</v>
      </c>
    </row>
    <row r="4429" customFormat="false" ht="15" hidden="false" customHeight="false" outlineLevel="0" collapsed="false">
      <c r="A4429" s="10" t="s">
        <v>6770</v>
      </c>
      <c r="B4429" s="10" t="s">
        <v>73</v>
      </c>
      <c r="C4429" s="10" t="s">
        <v>51</v>
      </c>
      <c r="D4429" s="10" t="s">
        <v>321</v>
      </c>
      <c r="E4429" s="10" t="s">
        <v>2345</v>
      </c>
      <c r="F4429" s="30" t="n">
        <v>42927</v>
      </c>
      <c r="G4429" s="30" t="n">
        <v>42994</v>
      </c>
      <c r="H4429" s="26" t="n">
        <f aca="false">G4429-F4429</f>
        <v>67</v>
      </c>
      <c r="I4429" s="10" t="n">
        <f aca="false">IF(E4429="Won",1,0)</f>
        <v>0</v>
      </c>
    </row>
    <row r="4430" customFormat="false" ht="15" hidden="false" customHeight="false" outlineLevel="0" collapsed="false">
      <c r="A4430" s="10" t="s">
        <v>6771</v>
      </c>
      <c r="B4430" s="10" t="s">
        <v>94</v>
      </c>
      <c r="C4430" s="10" t="s">
        <v>52</v>
      </c>
      <c r="D4430" s="10" t="s">
        <v>170</v>
      </c>
      <c r="E4430" s="10" t="s">
        <v>2342</v>
      </c>
      <c r="F4430" s="30" t="n">
        <v>42890</v>
      </c>
      <c r="G4430" s="30" t="n">
        <v>42994</v>
      </c>
      <c r="H4430" s="26" t="n">
        <f aca="false">G4430-F4430</f>
        <v>104</v>
      </c>
      <c r="I4430" s="10" t="n">
        <f aca="false">IF(E4430="Won",1,0)</f>
        <v>1</v>
      </c>
    </row>
    <row r="4431" customFormat="false" ht="15" hidden="false" customHeight="false" outlineLevel="0" collapsed="false">
      <c r="A4431" s="10" t="s">
        <v>6772</v>
      </c>
      <c r="B4431" s="10" t="s">
        <v>60</v>
      </c>
      <c r="C4431" s="10" t="s">
        <v>50</v>
      </c>
      <c r="D4431" s="10" t="s">
        <v>218</v>
      </c>
      <c r="E4431" s="10" t="s">
        <v>2342</v>
      </c>
      <c r="F4431" s="30" t="n">
        <v>42945</v>
      </c>
      <c r="G4431" s="30" t="n">
        <v>42994</v>
      </c>
      <c r="H4431" s="26" t="n">
        <f aca="false">G4431-F4431</f>
        <v>49</v>
      </c>
      <c r="I4431" s="10" t="n">
        <f aca="false">IF(E4431="Won",1,0)</f>
        <v>1</v>
      </c>
    </row>
    <row r="4432" customFormat="false" ht="15" hidden="false" customHeight="false" outlineLevel="0" collapsed="false">
      <c r="A4432" s="10" t="s">
        <v>6773</v>
      </c>
      <c r="B4432" s="10" t="s">
        <v>80</v>
      </c>
      <c r="C4432" s="10" t="s">
        <v>48</v>
      </c>
      <c r="D4432" s="10" t="s">
        <v>660</v>
      </c>
      <c r="E4432" s="10" t="s">
        <v>2342</v>
      </c>
      <c r="F4432" s="30" t="n">
        <v>42981</v>
      </c>
      <c r="G4432" s="30" t="n">
        <v>42994</v>
      </c>
      <c r="H4432" s="26" t="n">
        <f aca="false">G4432-F4432</f>
        <v>13</v>
      </c>
      <c r="I4432" s="10" t="n">
        <f aca="false">IF(E4432="Won",1,0)</f>
        <v>1</v>
      </c>
    </row>
    <row r="4433" customFormat="false" ht="15" hidden="false" customHeight="false" outlineLevel="0" collapsed="false">
      <c r="A4433" s="10" t="s">
        <v>6774</v>
      </c>
      <c r="B4433" s="10" t="s">
        <v>60</v>
      </c>
      <c r="C4433" s="10" t="s">
        <v>52</v>
      </c>
      <c r="D4433" s="10" t="s">
        <v>161</v>
      </c>
      <c r="E4433" s="10" t="s">
        <v>2345</v>
      </c>
      <c r="F4433" s="30" t="n">
        <v>42917</v>
      </c>
      <c r="G4433" s="30" t="n">
        <v>42994</v>
      </c>
      <c r="H4433" s="26" t="n">
        <f aca="false">G4433-F4433</f>
        <v>77</v>
      </c>
      <c r="I4433" s="10" t="n">
        <f aca="false">IF(E4433="Won",1,0)</f>
        <v>0</v>
      </c>
    </row>
    <row r="4434" customFormat="false" ht="15" hidden="false" customHeight="false" outlineLevel="0" collapsed="false">
      <c r="A4434" s="10" t="s">
        <v>6775</v>
      </c>
      <c r="B4434" s="10" t="s">
        <v>71</v>
      </c>
      <c r="C4434" s="10" t="s">
        <v>51</v>
      </c>
      <c r="D4434" s="10" t="s">
        <v>762</v>
      </c>
      <c r="E4434" s="10" t="s">
        <v>2345</v>
      </c>
      <c r="F4434" s="30" t="n">
        <v>42897</v>
      </c>
      <c r="G4434" s="30" t="n">
        <v>42994</v>
      </c>
      <c r="H4434" s="26" t="n">
        <f aca="false">G4434-F4434</f>
        <v>97</v>
      </c>
      <c r="I4434" s="10" t="n">
        <f aca="false">IF(E4434="Won",1,0)</f>
        <v>0</v>
      </c>
    </row>
    <row r="4435" customFormat="false" ht="15" hidden="false" customHeight="false" outlineLevel="0" collapsed="false">
      <c r="A4435" s="10" t="s">
        <v>6776</v>
      </c>
      <c r="B4435" s="10" t="s">
        <v>57</v>
      </c>
      <c r="C4435" s="10" t="s">
        <v>49</v>
      </c>
      <c r="D4435" s="10" t="s">
        <v>277</v>
      </c>
      <c r="E4435" s="10" t="s">
        <v>2342</v>
      </c>
      <c r="F4435" s="30" t="n">
        <v>42897</v>
      </c>
      <c r="G4435" s="30" t="n">
        <v>42994</v>
      </c>
      <c r="H4435" s="26" t="n">
        <f aca="false">G4435-F4435</f>
        <v>97</v>
      </c>
      <c r="I4435" s="10" t="n">
        <f aca="false">IF(E4435="Won",1,0)</f>
        <v>1</v>
      </c>
    </row>
    <row r="4436" customFormat="false" ht="15" hidden="false" customHeight="false" outlineLevel="0" collapsed="false">
      <c r="A4436" s="10" t="s">
        <v>6777</v>
      </c>
      <c r="B4436" s="10" t="s">
        <v>74</v>
      </c>
      <c r="C4436" s="10" t="s">
        <v>49</v>
      </c>
      <c r="D4436" s="10" t="s">
        <v>414</v>
      </c>
      <c r="E4436" s="10" t="s">
        <v>2342</v>
      </c>
      <c r="F4436" s="30" t="n">
        <v>42880</v>
      </c>
      <c r="G4436" s="30" t="n">
        <v>42994</v>
      </c>
      <c r="H4436" s="26" t="n">
        <f aca="false">G4436-F4436</f>
        <v>114</v>
      </c>
      <c r="I4436" s="10" t="n">
        <f aca="false">IF(E4436="Won",1,0)</f>
        <v>1</v>
      </c>
    </row>
    <row r="4437" customFormat="false" ht="15" hidden="false" customHeight="false" outlineLevel="0" collapsed="false">
      <c r="A4437" s="10" t="s">
        <v>6778</v>
      </c>
      <c r="B4437" s="10" t="s">
        <v>60</v>
      </c>
      <c r="C4437" s="10" t="s">
        <v>52</v>
      </c>
      <c r="D4437" s="10" t="s">
        <v>405</v>
      </c>
      <c r="E4437" s="10" t="s">
        <v>2342</v>
      </c>
      <c r="F4437" s="30" t="n">
        <v>42980</v>
      </c>
      <c r="G4437" s="30" t="n">
        <v>42995</v>
      </c>
      <c r="H4437" s="26" t="n">
        <f aca="false">G4437-F4437</f>
        <v>15</v>
      </c>
      <c r="I4437" s="10" t="n">
        <f aca="false">IF(E4437="Won",1,0)</f>
        <v>1</v>
      </c>
    </row>
    <row r="4438" customFormat="false" ht="15" hidden="false" customHeight="false" outlineLevel="0" collapsed="false">
      <c r="A4438" s="10" t="s">
        <v>6779</v>
      </c>
      <c r="B4438" s="10" t="s">
        <v>70</v>
      </c>
      <c r="C4438" s="10" t="s">
        <v>49</v>
      </c>
      <c r="D4438" s="10" t="s">
        <v>711</v>
      </c>
      <c r="E4438" s="10" t="s">
        <v>2342</v>
      </c>
      <c r="F4438" s="30" t="n">
        <v>42903</v>
      </c>
      <c r="G4438" s="30" t="n">
        <v>42995</v>
      </c>
      <c r="H4438" s="26" t="n">
        <f aca="false">G4438-F4438</f>
        <v>92</v>
      </c>
      <c r="I4438" s="10" t="n">
        <f aca="false">IF(E4438="Won",1,0)</f>
        <v>1</v>
      </c>
    </row>
    <row r="4439" customFormat="false" ht="15" hidden="false" customHeight="false" outlineLevel="0" collapsed="false">
      <c r="A4439" s="10" t="s">
        <v>6780</v>
      </c>
      <c r="B4439" s="10" t="s">
        <v>70</v>
      </c>
      <c r="C4439" s="10" t="s">
        <v>48</v>
      </c>
      <c r="D4439" s="10" t="s">
        <v>170</v>
      </c>
      <c r="E4439" s="10" t="s">
        <v>2342</v>
      </c>
      <c r="F4439" s="30" t="n">
        <v>42933</v>
      </c>
      <c r="G4439" s="30" t="n">
        <v>42995</v>
      </c>
      <c r="H4439" s="26" t="n">
        <f aca="false">G4439-F4439</f>
        <v>62</v>
      </c>
      <c r="I4439" s="10" t="n">
        <f aca="false">IF(E4439="Won",1,0)</f>
        <v>1</v>
      </c>
    </row>
    <row r="4440" customFormat="false" ht="15" hidden="false" customHeight="false" outlineLevel="0" collapsed="false">
      <c r="A4440" s="10" t="s">
        <v>6781</v>
      </c>
      <c r="B4440" s="10" t="s">
        <v>94</v>
      </c>
      <c r="C4440" s="10" t="s">
        <v>52</v>
      </c>
      <c r="D4440" s="10" t="s">
        <v>210</v>
      </c>
      <c r="E4440" s="10" t="s">
        <v>2342</v>
      </c>
      <c r="F4440" s="30" t="n">
        <v>42892</v>
      </c>
      <c r="G4440" s="30" t="n">
        <v>42995</v>
      </c>
      <c r="H4440" s="26" t="n">
        <f aca="false">G4440-F4440</f>
        <v>103</v>
      </c>
      <c r="I4440" s="10" t="n">
        <f aca="false">IF(E4440="Won",1,0)</f>
        <v>1</v>
      </c>
    </row>
    <row r="4441" customFormat="false" ht="15" hidden="false" customHeight="false" outlineLevel="0" collapsed="false">
      <c r="A4441" s="10" t="s">
        <v>6782</v>
      </c>
      <c r="B4441" s="10" t="s">
        <v>90</v>
      </c>
      <c r="C4441" s="10" t="s">
        <v>50</v>
      </c>
      <c r="D4441" s="10" t="s">
        <v>350</v>
      </c>
      <c r="E4441" s="10" t="s">
        <v>2345</v>
      </c>
      <c r="F4441" s="30" t="n">
        <v>42923</v>
      </c>
      <c r="G4441" s="30" t="n">
        <v>42995</v>
      </c>
      <c r="H4441" s="26" t="n">
        <f aca="false">G4441-F4441</f>
        <v>72</v>
      </c>
      <c r="I4441" s="10" t="n">
        <f aca="false">IF(E4441="Won",1,0)</f>
        <v>0</v>
      </c>
    </row>
    <row r="4442" customFormat="false" ht="15" hidden="false" customHeight="false" outlineLevel="0" collapsed="false">
      <c r="A4442" s="10" t="s">
        <v>6783</v>
      </c>
      <c r="B4442" s="10" t="s">
        <v>68</v>
      </c>
      <c r="C4442" s="10" t="s">
        <v>49</v>
      </c>
      <c r="D4442" s="10" t="s">
        <v>483</v>
      </c>
      <c r="E4442" s="10" t="s">
        <v>2342</v>
      </c>
      <c r="F4442" s="30" t="n">
        <v>42893</v>
      </c>
      <c r="G4442" s="30" t="n">
        <v>42995</v>
      </c>
      <c r="H4442" s="26" t="n">
        <f aca="false">G4442-F4442</f>
        <v>102</v>
      </c>
      <c r="I4442" s="10" t="n">
        <f aca="false">IF(E4442="Won",1,0)</f>
        <v>1</v>
      </c>
    </row>
    <row r="4443" customFormat="false" ht="15" hidden="false" customHeight="false" outlineLevel="0" collapsed="false">
      <c r="A4443" s="10" t="s">
        <v>6784</v>
      </c>
      <c r="B4443" s="10" t="s">
        <v>79</v>
      </c>
      <c r="C4443" s="10" t="s">
        <v>47</v>
      </c>
      <c r="D4443" s="10" t="s">
        <v>193</v>
      </c>
      <c r="E4443" s="10" t="s">
        <v>2342</v>
      </c>
      <c r="F4443" s="30" t="n">
        <v>42913</v>
      </c>
      <c r="G4443" s="30" t="n">
        <v>42995</v>
      </c>
      <c r="H4443" s="26" t="n">
        <f aca="false">G4443-F4443</f>
        <v>82</v>
      </c>
      <c r="I4443" s="10" t="n">
        <f aca="false">IF(E4443="Won",1,0)</f>
        <v>1</v>
      </c>
    </row>
    <row r="4444" customFormat="false" ht="15" hidden="false" customHeight="false" outlineLevel="0" collapsed="false">
      <c r="A4444" s="10" t="s">
        <v>6785</v>
      </c>
      <c r="B4444" s="10" t="s">
        <v>71</v>
      </c>
      <c r="C4444" s="10" t="s">
        <v>47</v>
      </c>
      <c r="D4444" s="10" t="s">
        <v>527</v>
      </c>
      <c r="E4444" s="10" t="s">
        <v>2342</v>
      </c>
      <c r="F4444" s="30" t="n">
        <v>42888</v>
      </c>
      <c r="G4444" s="30" t="n">
        <v>42995</v>
      </c>
      <c r="H4444" s="26" t="n">
        <f aca="false">G4444-F4444</f>
        <v>107</v>
      </c>
      <c r="I4444" s="10" t="n">
        <f aca="false">IF(E4444="Won",1,0)</f>
        <v>1</v>
      </c>
    </row>
    <row r="4445" customFormat="false" ht="15" hidden="false" customHeight="false" outlineLevel="0" collapsed="false">
      <c r="A4445" s="10" t="s">
        <v>6786</v>
      </c>
      <c r="B4445" s="10" t="s">
        <v>62</v>
      </c>
      <c r="C4445" s="10" t="s">
        <v>52</v>
      </c>
      <c r="D4445" s="10" t="s">
        <v>1334</v>
      </c>
      <c r="E4445" s="10" t="s">
        <v>2342</v>
      </c>
      <c r="F4445" s="30" t="n">
        <v>42910</v>
      </c>
      <c r="G4445" s="30" t="n">
        <v>42995</v>
      </c>
      <c r="H4445" s="26" t="n">
        <f aca="false">G4445-F4445</f>
        <v>85</v>
      </c>
      <c r="I4445" s="10" t="n">
        <f aca="false">IF(E4445="Won",1,0)</f>
        <v>1</v>
      </c>
    </row>
    <row r="4446" customFormat="false" ht="15" hidden="false" customHeight="false" outlineLevel="0" collapsed="false">
      <c r="A4446" s="10" t="s">
        <v>6787</v>
      </c>
      <c r="B4446" s="10" t="s">
        <v>83</v>
      </c>
      <c r="C4446" s="10" t="s">
        <v>50</v>
      </c>
      <c r="D4446" s="10" t="s">
        <v>422</v>
      </c>
      <c r="E4446" s="10" t="s">
        <v>2342</v>
      </c>
      <c r="F4446" s="30" t="n">
        <v>42902</v>
      </c>
      <c r="G4446" s="30" t="n">
        <v>42995</v>
      </c>
      <c r="H4446" s="26" t="n">
        <f aca="false">G4446-F4446</f>
        <v>93</v>
      </c>
      <c r="I4446" s="10" t="n">
        <f aca="false">IF(E4446="Won",1,0)</f>
        <v>1</v>
      </c>
    </row>
    <row r="4447" customFormat="false" ht="15" hidden="false" customHeight="false" outlineLevel="0" collapsed="false">
      <c r="A4447" s="10" t="s">
        <v>6788</v>
      </c>
      <c r="B4447" s="10" t="s">
        <v>86</v>
      </c>
      <c r="C4447" s="10" t="s">
        <v>51</v>
      </c>
      <c r="D4447" s="10" t="s">
        <v>616</v>
      </c>
      <c r="E4447" s="10" t="s">
        <v>2345</v>
      </c>
      <c r="F4447" s="30" t="n">
        <v>42900</v>
      </c>
      <c r="G4447" s="30" t="n">
        <v>42995</v>
      </c>
      <c r="H4447" s="26" t="n">
        <f aca="false">G4447-F4447</f>
        <v>95</v>
      </c>
      <c r="I4447" s="10" t="n">
        <f aca="false">IF(E4447="Won",1,0)</f>
        <v>0</v>
      </c>
    </row>
    <row r="4448" customFormat="false" ht="15" hidden="false" customHeight="false" outlineLevel="0" collapsed="false">
      <c r="A4448" s="10" t="s">
        <v>6789</v>
      </c>
      <c r="B4448" s="10" t="s">
        <v>77</v>
      </c>
      <c r="C4448" s="10" t="s">
        <v>50</v>
      </c>
      <c r="D4448" s="10" t="s">
        <v>422</v>
      </c>
      <c r="E4448" s="10" t="s">
        <v>2342</v>
      </c>
      <c r="F4448" s="30" t="n">
        <v>42988</v>
      </c>
      <c r="G4448" s="30" t="n">
        <v>42995</v>
      </c>
      <c r="H4448" s="26" t="n">
        <f aca="false">G4448-F4448</f>
        <v>7</v>
      </c>
      <c r="I4448" s="10" t="n">
        <f aca="false">IF(E4448="Won",1,0)</f>
        <v>1</v>
      </c>
    </row>
    <row r="4449" customFormat="false" ht="15" hidden="false" customHeight="false" outlineLevel="0" collapsed="false">
      <c r="A4449" s="10" t="s">
        <v>6790</v>
      </c>
      <c r="B4449" s="10" t="s">
        <v>77</v>
      </c>
      <c r="C4449" s="10" t="s">
        <v>47</v>
      </c>
      <c r="D4449" s="10" t="s">
        <v>291</v>
      </c>
      <c r="E4449" s="10" t="s">
        <v>2342</v>
      </c>
      <c r="F4449" s="30" t="n">
        <v>42954</v>
      </c>
      <c r="G4449" s="30" t="n">
        <v>42995</v>
      </c>
      <c r="H4449" s="26" t="n">
        <f aca="false">G4449-F4449</f>
        <v>41</v>
      </c>
      <c r="I4449" s="10" t="n">
        <f aca="false">IF(E4449="Won",1,0)</f>
        <v>1</v>
      </c>
    </row>
    <row r="4450" customFormat="false" ht="15" hidden="false" customHeight="false" outlineLevel="0" collapsed="false">
      <c r="A4450" s="10" t="s">
        <v>6791</v>
      </c>
      <c r="B4450" s="10" t="s">
        <v>57</v>
      </c>
      <c r="C4450" s="10" t="s">
        <v>52</v>
      </c>
      <c r="D4450" s="10" t="s">
        <v>1118</v>
      </c>
      <c r="E4450" s="10" t="s">
        <v>2342</v>
      </c>
      <c r="F4450" s="30" t="n">
        <v>42985</v>
      </c>
      <c r="G4450" s="30" t="n">
        <v>42995</v>
      </c>
      <c r="H4450" s="26" t="n">
        <f aca="false">G4450-F4450</f>
        <v>10</v>
      </c>
      <c r="I4450" s="10" t="n">
        <f aca="false">IF(E4450="Won",1,0)</f>
        <v>1</v>
      </c>
    </row>
    <row r="4451" customFormat="false" ht="15" hidden="false" customHeight="false" outlineLevel="0" collapsed="false">
      <c r="A4451" s="10" t="s">
        <v>6792</v>
      </c>
      <c r="B4451" s="10" t="s">
        <v>84</v>
      </c>
      <c r="C4451" s="10" t="s">
        <v>47</v>
      </c>
      <c r="D4451" s="10" t="s">
        <v>455</v>
      </c>
      <c r="E4451" s="10" t="s">
        <v>2345</v>
      </c>
      <c r="F4451" s="30" t="n">
        <v>42918</v>
      </c>
      <c r="G4451" s="30" t="n">
        <v>42995</v>
      </c>
      <c r="H4451" s="26" t="n">
        <f aca="false">G4451-F4451</f>
        <v>77</v>
      </c>
      <c r="I4451" s="10" t="n">
        <f aca="false">IF(E4451="Won",1,0)</f>
        <v>0</v>
      </c>
    </row>
    <row r="4452" customFormat="false" ht="15" hidden="false" customHeight="false" outlineLevel="0" collapsed="false">
      <c r="A4452" s="10" t="s">
        <v>6793</v>
      </c>
      <c r="B4452" s="10" t="s">
        <v>75</v>
      </c>
      <c r="C4452" s="10" t="s">
        <v>51</v>
      </c>
      <c r="D4452" s="10" t="s">
        <v>597</v>
      </c>
      <c r="E4452" s="10" t="s">
        <v>2342</v>
      </c>
      <c r="F4452" s="30" t="n">
        <v>42912</v>
      </c>
      <c r="G4452" s="30" t="n">
        <v>42995</v>
      </c>
      <c r="H4452" s="26" t="n">
        <f aca="false">G4452-F4452</f>
        <v>83</v>
      </c>
      <c r="I4452" s="10" t="n">
        <f aca="false">IF(E4452="Won",1,0)</f>
        <v>1</v>
      </c>
    </row>
    <row r="4453" customFormat="false" ht="15" hidden="false" customHeight="false" outlineLevel="0" collapsed="false">
      <c r="A4453" s="10" t="s">
        <v>6794</v>
      </c>
      <c r="B4453" s="10" t="s">
        <v>94</v>
      </c>
      <c r="C4453" s="10" t="s">
        <v>47</v>
      </c>
      <c r="D4453" s="10" t="s">
        <v>432</v>
      </c>
      <c r="E4453" s="10" t="s">
        <v>2342</v>
      </c>
      <c r="F4453" s="30" t="n">
        <v>42979</v>
      </c>
      <c r="G4453" s="30" t="n">
        <v>42995</v>
      </c>
      <c r="H4453" s="26" t="n">
        <f aca="false">G4453-F4453</f>
        <v>16</v>
      </c>
      <c r="I4453" s="10" t="n">
        <f aca="false">IF(E4453="Won",1,0)</f>
        <v>1</v>
      </c>
    </row>
    <row r="4454" customFormat="false" ht="15" hidden="false" customHeight="false" outlineLevel="0" collapsed="false">
      <c r="A4454" s="10" t="s">
        <v>6795</v>
      </c>
      <c r="B4454" s="10" t="s">
        <v>88</v>
      </c>
      <c r="C4454" s="10" t="s">
        <v>51</v>
      </c>
      <c r="D4454" s="10" t="s">
        <v>332</v>
      </c>
      <c r="E4454" s="10" t="s">
        <v>2342</v>
      </c>
      <c r="F4454" s="30" t="n">
        <v>42902</v>
      </c>
      <c r="G4454" s="30" t="n">
        <v>42995</v>
      </c>
      <c r="H4454" s="26" t="n">
        <f aca="false">G4454-F4454</f>
        <v>93</v>
      </c>
      <c r="I4454" s="10" t="n">
        <f aca="false">IF(E4454="Won",1,0)</f>
        <v>1</v>
      </c>
    </row>
    <row r="4455" customFormat="false" ht="15" hidden="false" customHeight="false" outlineLevel="0" collapsed="false">
      <c r="A4455" s="10" t="s">
        <v>6796</v>
      </c>
      <c r="B4455" s="10" t="s">
        <v>95</v>
      </c>
      <c r="C4455" s="10" t="s">
        <v>50</v>
      </c>
      <c r="D4455" s="10" t="s">
        <v>606</v>
      </c>
      <c r="E4455" s="10" t="s">
        <v>2345</v>
      </c>
      <c r="F4455" s="30" t="n">
        <v>42890</v>
      </c>
      <c r="G4455" s="30" t="n">
        <v>42995</v>
      </c>
      <c r="H4455" s="26" t="n">
        <f aca="false">G4455-F4455</f>
        <v>105</v>
      </c>
      <c r="I4455" s="10" t="n">
        <f aca="false">IF(E4455="Won",1,0)</f>
        <v>0</v>
      </c>
    </row>
    <row r="4456" customFormat="false" ht="15" hidden="false" customHeight="false" outlineLevel="0" collapsed="false">
      <c r="A4456" s="10" t="s">
        <v>6797</v>
      </c>
      <c r="B4456" s="10" t="s">
        <v>77</v>
      </c>
      <c r="C4456" s="10" t="s">
        <v>48</v>
      </c>
      <c r="D4456" s="10" t="s">
        <v>388</v>
      </c>
      <c r="E4456" s="10" t="s">
        <v>2342</v>
      </c>
      <c r="F4456" s="30" t="n">
        <v>42902</v>
      </c>
      <c r="G4456" s="30" t="n">
        <v>42995</v>
      </c>
      <c r="H4456" s="26" t="n">
        <f aca="false">G4456-F4456</f>
        <v>93</v>
      </c>
      <c r="I4456" s="10" t="n">
        <f aca="false">IF(E4456="Won",1,0)</f>
        <v>1</v>
      </c>
    </row>
    <row r="4457" customFormat="false" ht="15" hidden="false" customHeight="false" outlineLevel="0" collapsed="false">
      <c r="A4457" s="10" t="s">
        <v>6798</v>
      </c>
      <c r="B4457" s="10" t="s">
        <v>57</v>
      </c>
      <c r="C4457" s="10" t="s">
        <v>47</v>
      </c>
      <c r="D4457" s="10" t="s">
        <v>233</v>
      </c>
      <c r="E4457" s="10" t="s">
        <v>2342</v>
      </c>
      <c r="F4457" s="30" t="n">
        <v>42923</v>
      </c>
      <c r="G4457" s="30" t="n">
        <v>42995</v>
      </c>
      <c r="H4457" s="26" t="n">
        <f aca="false">G4457-F4457</f>
        <v>72</v>
      </c>
      <c r="I4457" s="10" t="n">
        <f aca="false">IF(E4457="Won",1,0)</f>
        <v>1</v>
      </c>
    </row>
    <row r="4458" customFormat="false" ht="15" hidden="false" customHeight="false" outlineLevel="0" collapsed="false">
      <c r="A4458" s="10" t="s">
        <v>6799</v>
      </c>
      <c r="B4458" s="10" t="s">
        <v>77</v>
      </c>
      <c r="C4458" s="10" t="s">
        <v>48</v>
      </c>
      <c r="D4458" s="10" t="s">
        <v>697</v>
      </c>
      <c r="E4458" s="10" t="s">
        <v>2345</v>
      </c>
      <c r="F4458" s="30" t="n">
        <v>42979</v>
      </c>
      <c r="G4458" s="30" t="n">
        <v>42995</v>
      </c>
      <c r="H4458" s="26" t="n">
        <f aca="false">G4458-F4458</f>
        <v>16</v>
      </c>
      <c r="I4458" s="10" t="n">
        <f aca="false">IF(E4458="Won",1,0)</f>
        <v>0</v>
      </c>
    </row>
    <row r="4459" customFormat="false" ht="15" hidden="false" customHeight="false" outlineLevel="0" collapsed="false">
      <c r="A4459" s="10" t="s">
        <v>6800</v>
      </c>
      <c r="B4459" s="10" t="s">
        <v>88</v>
      </c>
      <c r="C4459" s="10" t="s">
        <v>50</v>
      </c>
      <c r="D4459" s="10" t="s">
        <v>1397</v>
      </c>
      <c r="E4459" s="10" t="s">
        <v>2342</v>
      </c>
      <c r="F4459" s="30" t="n">
        <v>42925</v>
      </c>
      <c r="G4459" s="30" t="n">
        <v>42996</v>
      </c>
      <c r="H4459" s="26" t="n">
        <f aca="false">G4459-F4459</f>
        <v>71</v>
      </c>
      <c r="I4459" s="10" t="n">
        <f aca="false">IF(E4459="Won",1,0)</f>
        <v>1</v>
      </c>
    </row>
    <row r="4460" customFormat="false" ht="15" hidden="false" customHeight="false" outlineLevel="0" collapsed="false">
      <c r="A4460" s="10" t="s">
        <v>6801</v>
      </c>
      <c r="B4460" s="10" t="s">
        <v>96</v>
      </c>
      <c r="C4460" s="10" t="s">
        <v>47</v>
      </c>
      <c r="D4460" s="10" t="s">
        <v>303</v>
      </c>
      <c r="E4460" s="10" t="s">
        <v>2342</v>
      </c>
      <c r="F4460" s="30" t="n">
        <v>42863</v>
      </c>
      <c r="G4460" s="30" t="n">
        <v>42996</v>
      </c>
      <c r="H4460" s="26" t="n">
        <f aca="false">G4460-F4460</f>
        <v>133</v>
      </c>
      <c r="I4460" s="10" t="n">
        <f aca="false">IF(E4460="Won",1,0)</f>
        <v>1</v>
      </c>
    </row>
    <row r="4461" customFormat="false" ht="15" hidden="false" customHeight="false" outlineLevel="0" collapsed="false">
      <c r="A4461" s="10" t="s">
        <v>6802</v>
      </c>
      <c r="B4461" s="10" t="s">
        <v>93</v>
      </c>
      <c r="C4461" s="10" t="s">
        <v>47</v>
      </c>
      <c r="D4461" s="10" t="s">
        <v>170</v>
      </c>
      <c r="E4461" s="10" t="s">
        <v>2342</v>
      </c>
      <c r="F4461" s="30" t="n">
        <v>42879</v>
      </c>
      <c r="G4461" s="30" t="n">
        <v>42996</v>
      </c>
      <c r="H4461" s="26" t="n">
        <f aca="false">G4461-F4461</f>
        <v>117</v>
      </c>
      <c r="I4461" s="10" t="n">
        <f aca="false">IF(E4461="Won",1,0)</f>
        <v>1</v>
      </c>
    </row>
    <row r="4462" customFormat="false" ht="15" hidden="false" customHeight="false" outlineLevel="0" collapsed="false">
      <c r="A4462" s="10" t="s">
        <v>6803</v>
      </c>
      <c r="B4462" s="10" t="s">
        <v>73</v>
      </c>
      <c r="C4462" s="10" t="s">
        <v>47</v>
      </c>
      <c r="D4462" s="10" t="s">
        <v>961</v>
      </c>
      <c r="E4462" s="10" t="s">
        <v>2342</v>
      </c>
      <c r="F4462" s="30" t="n">
        <v>42923</v>
      </c>
      <c r="G4462" s="30" t="n">
        <v>42996</v>
      </c>
      <c r="H4462" s="26" t="n">
        <f aca="false">G4462-F4462</f>
        <v>73</v>
      </c>
      <c r="I4462" s="10" t="n">
        <f aca="false">IF(E4462="Won",1,0)</f>
        <v>1</v>
      </c>
    </row>
    <row r="4463" customFormat="false" ht="15" hidden="false" customHeight="false" outlineLevel="0" collapsed="false">
      <c r="A4463" s="10" t="s">
        <v>6804</v>
      </c>
      <c r="B4463" s="10" t="s">
        <v>88</v>
      </c>
      <c r="C4463" s="10" t="s">
        <v>51</v>
      </c>
      <c r="D4463" s="10" t="s">
        <v>233</v>
      </c>
      <c r="E4463" s="10" t="s">
        <v>2345</v>
      </c>
      <c r="F4463" s="30" t="n">
        <v>42986</v>
      </c>
      <c r="G4463" s="30" t="n">
        <v>42996</v>
      </c>
      <c r="H4463" s="26" t="n">
        <f aca="false">G4463-F4463</f>
        <v>10</v>
      </c>
      <c r="I4463" s="10" t="n">
        <f aca="false">IF(E4463="Won",1,0)</f>
        <v>0</v>
      </c>
    </row>
    <row r="4464" customFormat="false" ht="15" hidden="false" customHeight="false" outlineLevel="0" collapsed="false">
      <c r="A4464" s="10" t="s">
        <v>6805</v>
      </c>
      <c r="B4464" s="10" t="s">
        <v>86</v>
      </c>
      <c r="C4464" s="10" t="s">
        <v>49</v>
      </c>
      <c r="D4464" s="10" t="s">
        <v>359</v>
      </c>
      <c r="E4464" s="10" t="s">
        <v>2342</v>
      </c>
      <c r="F4464" s="30" t="n">
        <v>42928</v>
      </c>
      <c r="G4464" s="30" t="n">
        <v>42996</v>
      </c>
      <c r="H4464" s="26" t="n">
        <f aca="false">G4464-F4464</f>
        <v>68</v>
      </c>
      <c r="I4464" s="10" t="n">
        <f aca="false">IF(E4464="Won",1,0)</f>
        <v>1</v>
      </c>
    </row>
    <row r="4465" customFormat="false" ht="15" hidden="false" customHeight="false" outlineLevel="0" collapsed="false">
      <c r="A4465" s="10" t="s">
        <v>6806</v>
      </c>
      <c r="B4465" s="10" t="s">
        <v>90</v>
      </c>
      <c r="C4465" s="10" t="s">
        <v>52</v>
      </c>
      <c r="D4465" s="10" t="s">
        <v>274</v>
      </c>
      <c r="E4465" s="10" t="s">
        <v>2342</v>
      </c>
      <c r="F4465" s="30" t="n">
        <v>42916</v>
      </c>
      <c r="G4465" s="30" t="n">
        <v>42996</v>
      </c>
      <c r="H4465" s="26" t="n">
        <f aca="false">G4465-F4465</f>
        <v>80</v>
      </c>
      <c r="I4465" s="10" t="n">
        <f aca="false">IF(E4465="Won",1,0)</f>
        <v>1</v>
      </c>
    </row>
    <row r="4466" customFormat="false" ht="15" hidden="false" customHeight="false" outlineLevel="0" collapsed="false">
      <c r="A4466" s="10" t="s">
        <v>6807</v>
      </c>
      <c r="B4466" s="10" t="s">
        <v>57</v>
      </c>
      <c r="C4466" s="10" t="s">
        <v>48</v>
      </c>
      <c r="D4466" s="10" t="s">
        <v>637</v>
      </c>
      <c r="E4466" s="10" t="s">
        <v>2342</v>
      </c>
      <c r="F4466" s="30" t="n">
        <v>42991</v>
      </c>
      <c r="G4466" s="30" t="n">
        <v>42996</v>
      </c>
      <c r="H4466" s="26" t="n">
        <f aca="false">G4466-F4466</f>
        <v>5</v>
      </c>
      <c r="I4466" s="10" t="n">
        <f aca="false">IF(E4466="Won",1,0)</f>
        <v>1</v>
      </c>
    </row>
    <row r="4467" customFormat="false" ht="15" hidden="false" customHeight="false" outlineLevel="0" collapsed="false">
      <c r="A4467" s="10" t="s">
        <v>6808</v>
      </c>
      <c r="B4467" s="10" t="s">
        <v>57</v>
      </c>
      <c r="C4467" s="10" t="s">
        <v>51</v>
      </c>
      <c r="D4467" s="10" t="s">
        <v>692</v>
      </c>
      <c r="E4467" s="10" t="s">
        <v>2342</v>
      </c>
      <c r="F4467" s="30" t="n">
        <v>42881</v>
      </c>
      <c r="G4467" s="30" t="n">
        <v>42996</v>
      </c>
      <c r="H4467" s="26" t="n">
        <f aca="false">G4467-F4467</f>
        <v>115</v>
      </c>
      <c r="I4467" s="10" t="n">
        <f aca="false">IF(E4467="Won",1,0)</f>
        <v>1</v>
      </c>
    </row>
    <row r="4468" customFormat="false" ht="15" hidden="false" customHeight="false" outlineLevel="0" collapsed="false">
      <c r="A4468" s="10" t="s">
        <v>6809</v>
      </c>
      <c r="B4468" s="10" t="s">
        <v>71</v>
      </c>
      <c r="C4468" s="10" t="s">
        <v>47</v>
      </c>
      <c r="D4468" s="10" t="s">
        <v>311</v>
      </c>
      <c r="E4468" s="10" t="s">
        <v>2342</v>
      </c>
      <c r="F4468" s="30" t="n">
        <v>42992</v>
      </c>
      <c r="G4468" s="30" t="n">
        <v>42996</v>
      </c>
      <c r="H4468" s="26" t="n">
        <f aca="false">G4468-F4468</f>
        <v>4</v>
      </c>
      <c r="I4468" s="10" t="n">
        <f aca="false">IF(E4468="Won",1,0)</f>
        <v>1</v>
      </c>
    </row>
    <row r="4469" customFormat="false" ht="15" hidden="false" customHeight="false" outlineLevel="0" collapsed="false">
      <c r="A4469" s="10" t="s">
        <v>6810</v>
      </c>
      <c r="B4469" s="10" t="s">
        <v>93</v>
      </c>
      <c r="C4469" s="10" t="s">
        <v>47</v>
      </c>
      <c r="D4469" s="10" t="s">
        <v>172</v>
      </c>
      <c r="E4469" s="10" t="s">
        <v>2342</v>
      </c>
      <c r="F4469" s="30" t="n">
        <v>42994</v>
      </c>
      <c r="G4469" s="30" t="n">
        <v>42996</v>
      </c>
      <c r="H4469" s="26" t="n">
        <f aca="false">G4469-F4469</f>
        <v>2</v>
      </c>
      <c r="I4469" s="10" t="n">
        <f aca="false">IF(E4469="Won",1,0)</f>
        <v>1</v>
      </c>
    </row>
    <row r="4470" customFormat="false" ht="15" hidden="false" customHeight="false" outlineLevel="0" collapsed="false">
      <c r="A4470" s="10" t="s">
        <v>6811</v>
      </c>
      <c r="B4470" s="10" t="s">
        <v>90</v>
      </c>
      <c r="C4470" s="10" t="s">
        <v>48</v>
      </c>
      <c r="D4470" s="10" t="s">
        <v>674</v>
      </c>
      <c r="E4470" s="10" t="s">
        <v>2342</v>
      </c>
      <c r="F4470" s="30" t="n">
        <v>42909</v>
      </c>
      <c r="G4470" s="30" t="n">
        <v>42996</v>
      </c>
      <c r="H4470" s="26" t="n">
        <f aca="false">G4470-F4470</f>
        <v>87</v>
      </c>
      <c r="I4470" s="10" t="n">
        <f aca="false">IF(E4470="Won",1,0)</f>
        <v>1</v>
      </c>
    </row>
    <row r="4471" customFormat="false" ht="15" hidden="false" customHeight="false" outlineLevel="0" collapsed="false">
      <c r="A4471" s="10" t="s">
        <v>6812</v>
      </c>
      <c r="B4471" s="10" t="s">
        <v>57</v>
      </c>
      <c r="C4471" s="10" t="s">
        <v>48</v>
      </c>
      <c r="D4471" s="10" t="s">
        <v>254</v>
      </c>
      <c r="E4471" s="10" t="s">
        <v>2342</v>
      </c>
      <c r="F4471" s="30" t="n">
        <v>42985</v>
      </c>
      <c r="G4471" s="30" t="n">
        <v>42996</v>
      </c>
      <c r="H4471" s="26" t="n">
        <f aca="false">G4471-F4471</f>
        <v>11</v>
      </c>
      <c r="I4471" s="10" t="n">
        <f aca="false">IF(E4471="Won",1,0)</f>
        <v>1</v>
      </c>
    </row>
    <row r="4472" customFormat="false" ht="15" hidden="false" customHeight="false" outlineLevel="0" collapsed="false">
      <c r="A4472" s="10" t="s">
        <v>6813</v>
      </c>
      <c r="B4472" s="10" t="s">
        <v>80</v>
      </c>
      <c r="C4472" s="10" t="s">
        <v>51</v>
      </c>
      <c r="D4472" s="10" t="s">
        <v>947</v>
      </c>
      <c r="E4472" s="10" t="s">
        <v>2342</v>
      </c>
      <c r="F4472" s="30" t="n">
        <v>42985</v>
      </c>
      <c r="G4472" s="30" t="n">
        <v>42996</v>
      </c>
      <c r="H4472" s="26" t="n">
        <f aca="false">G4472-F4472</f>
        <v>11</v>
      </c>
      <c r="I4472" s="10" t="n">
        <f aca="false">IF(E4472="Won",1,0)</f>
        <v>1</v>
      </c>
    </row>
    <row r="4473" customFormat="false" ht="15" hidden="false" customHeight="false" outlineLevel="0" collapsed="false">
      <c r="A4473" s="10" t="s">
        <v>6814</v>
      </c>
      <c r="B4473" s="10" t="s">
        <v>60</v>
      </c>
      <c r="C4473" s="10" t="s">
        <v>48</v>
      </c>
      <c r="D4473" s="10" t="s">
        <v>455</v>
      </c>
      <c r="E4473" s="10" t="s">
        <v>2342</v>
      </c>
      <c r="F4473" s="30" t="n">
        <v>42902</v>
      </c>
      <c r="G4473" s="30" t="n">
        <v>42996</v>
      </c>
      <c r="H4473" s="26" t="n">
        <f aca="false">G4473-F4473</f>
        <v>94</v>
      </c>
      <c r="I4473" s="10" t="n">
        <f aca="false">IF(E4473="Won",1,0)</f>
        <v>1</v>
      </c>
    </row>
    <row r="4474" customFormat="false" ht="15" hidden="false" customHeight="false" outlineLevel="0" collapsed="false">
      <c r="A4474" s="10" t="s">
        <v>6815</v>
      </c>
      <c r="B4474" s="10" t="s">
        <v>83</v>
      </c>
      <c r="C4474" s="10" t="s">
        <v>50</v>
      </c>
      <c r="D4474" s="10" t="s">
        <v>660</v>
      </c>
      <c r="E4474" s="10" t="s">
        <v>2342</v>
      </c>
      <c r="F4474" s="30" t="n">
        <v>42860</v>
      </c>
      <c r="G4474" s="30" t="n">
        <v>42996</v>
      </c>
      <c r="H4474" s="26" t="n">
        <f aca="false">G4474-F4474</f>
        <v>136</v>
      </c>
      <c r="I4474" s="10" t="n">
        <f aca="false">IF(E4474="Won",1,0)</f>
        <v>1</v>
      </c>
    </row>
    <row r="4475" customFormat="false" ht="15" hidden="false" customHeight="false" outlineLevel="0" collapsed="false">
      <c r="A4475" s="10" t="s">
        <v>6816</v>
      </c>
      <c r="B4475" s="10" t="s">
        <v>84</v>
      </c>
      <c r="C4475" s="10" t="s">
        <v>49</v>
      </c>
      <c r="D4475" s="10" t="s">
        <v>692</v>
      </c>
      <c r="E4475" s="10" t="s">
        <v>2342</v>
      </c>
      <c r="F4475" s="30" t="n">
        <v>42937</v>
      </c>
      <c r="G4475" s="30" t="n">
        <v>42996</v>
      </c>
      <c r="H4475" s="26" t="n">
        <f aca="false">G4475-F4475</f>
        <v>59</v>
      </c>
      <c r="I4475" s="10" t="n">
        <f aca="false">IF(E4475="Won",1,0)</f>
        <v>1</v>
      </c>
    </row>
    <row r="4476" customFormat="false" ht="15" hidden="false" customHeight="false" outlineLevel="0" collapsed="false">
      <c r="A4476" s="10" t="s">
        <v>6817</v>
      </c>
      <c r="B4476" s="10" t="s">
        <v>94</v>
      </c>
      <c r="C4476" s="10" t="s">
        <v>50</v>
      </c>
      <c r="D4476" s="10" t="s">
        <v>337</v>
      </c>
      <c r="E4476" s="10" t="s">
        <v>2342</v>
      </c>
      <c r="F4476" s="30" t="n">
        <v>42979</v>
      </c>
      <c r="G4476" s="30" t="n">
        <v>42996</v>
      </c>
      <c r="H4476" s="26" t="n">
        <f aca="false">G4476-F4476</f>
        <v>17</v>
      </c>
      <c r="I4476" s="10" t="n">
        <f aca="false">IF(E4476="Won",1,0)</f>
        <v>1</v>
      </c>
    </row>
    <row r="4477" customFormat="false" ht="15" hidden="false" customHeight="false" outlineLevel="0" collapsed="false">
      <c r="A4477" s="10" t="s">
        <v>6818</v>
      </c>
      <c r="B4477" s="10" t="s">
        <v>88</v>
      </c>
      <c r="C4477" s="10" t="s">
        <v>50</v>
      </c>
      <c r="D4477" s="10" t="s">
        <v>359</v>
      </c>
      <c r="E4477" s="10" t="s">
        <v>2345</v>
      </c>
      <c r="F4477" s="30" t="n">
        <v>42912</v>
      </c>
      <c r="G4477" s="30" t="n">
        <v>42996</v>
      </c>
      <c r="H4477" s="26" t="n">
        <f aca="false">G4477-F4477</f>
        <v>84</v>
      </c>
      <c r="I4477" s="10" t="n">
        <f aca="false">IF(E4477="Won",1,0)</f>
        <v>0</v>
      </c>
    </row>
    <row r="4478" customFormat="false" ht="15" hidden="false" customHeight="false" outlineLevel="0" collapsed="false">
      <c r="A4478" s="10" t="s">
        <v>6819</v>
      </c>
      <c r="B4478" s="10" t="s">
        <v>77</v>
      </c>
      <c r="C4478" s="10" t="s">
        <v>50</v>
      </c>
      <c r="D4478" s="10" t="s">
        <v>947</v>
      </c>
      <c r="E4478" s="10" t="s">
        <v>2342</v>
      </c>
      <c r="F4478" s="30" t="n">
        <v>42932</v>
      </c>
      <c r="G4478" s="30" t="n">
        <v>42996</v>
      </c>
      <c r="H4478" s="26" t="n">
        <f aca="false">G4478-F4478</f>
        <v>64</v>
      </c>
      <c r="I4478" s="10" t="n">
        <f aca="false">IF(E4478="Won",1,0)</f>
        <v>1</v>
      </c>
    </row>
    <row r="4479" customFormat="false" ht="15" hidden="false" customHeight="false" outlineLevel="0" collapsed="false">
      <c r="A4479" s="10" t="s">
        <v>6820</v>
      </c>
      <c r="B4479" s="10" t="s">
        <v>77</v>
      </c>
      <c r="C4479" s="10" t="s">
        <v>48</v>
      </c>
      <c r="D4479" s="10" t="s">
        <v>210</v>
      </c>
      <c r="E4479" s="10" t="s">
        <v>2342</v>
      </c>
      <c r="F4479" s="30" t="n">
        <v>42977</v>
      </c>
      <c r="G4479" s="30" t="n">
        <v>42996</v>
      </c>
      <c r="H4479" s="26" t="n">
        <f aca="false">G4479-F4479</f>
        <v>19</v>
      </c>
      <c r="I4479" s="10" t="n">
        <f aca="false">IF(E4479="Won",1,0)</f>
        <v>1</v>
      </c>
    </row>
    <row r="4480" customFormat="false" ht="15" hidden="false" customHeight="false" outlineLevel="0" collapsed="false">
      <c r="A4480" s="10" t="s">
        <v>6821</v>
      </c>
      <c r="B4480" s="10" t="s">
        <v>86</v>
      </c>
      <c r="C4480" s="10" t="s">
        <v>52</v>
      </c>
      <c r="D4480" s="10" t="s">
        <v>277</v>
      </c>
      <c r="E4480" s="10" t="s">
        <v>2342</v>
      </c>
      <c r="F4480" s="30" t="n">
        <v>42881</v>
      </c>
      <c r="G4480" s="30" t="n">
        <v>42996</v>
      </c>
      <c r="H4480" s="26" t="n">
        <f aca="false">G4480-F4480</f>
        <v>115</v>
      </c>
      <c r="I4480" s="10" t="n">
        <f aca="false">IF(E4480="Won",1,0)</f>
        <v>1</v>
      </c>
    </row>
    <row r="4481" customFormat="false" ht="15" hidden="false" customHeight="false" outlineLevel="0" collapsed="false">
      <c r="A4481" s="10" t="s">
        <v>6822</v>
      </c>
      <c r="B4481" s="10" t="s">
        <v>81</v>
      </c>
      <c r="C4481" s="10" t="s">
        <v>48</v>
      </c>
      <c r="D4481" s="10" t="s">
        <v>259</v>
      </c>
      <c r="E4481" s="10" t="s">
        <v>2342</v>
      </c>
      <c r="F4481" s="30" t="n">
        <v>42891</v>
      </c>
      <c r="G4481" s="30" t="n">
        <v>42997</v>
      </c>
      <c r="H4481" s="26" t="n">
        <f aca="false">G4481-F4481</f>
        <v>106</v>
      </c>
      <c r="I4481" s="10" t="n">
        <f aca="false">IF(E4481="Won",1,0)</f>
        <v>1</v>
      </c>
    </row>
    <row r="4482" customFormat="false" ht="15" hidden="false" customHeight="false" outlineLevel="0" collapsed="false">
      <c r="A4482" s="10" t="s">
        <v>6823</v>
      </c>
      <c r="B4482" s="10" t="s">
        <v>96</v>
      </c>
      <c r="C4482" s="10" t="s">
        <v>50</v>
      </c>
      <c r="D4482" s="10" t="s">
        <v>303</v>
      </c>
      <c r="E4482" s="10" t="s">
        <v>2342</v>
      </c>
      <c r="F4482" s="30" t="n">
        <v>42927</v>
      </c>
      <c r="G4482" s="30" t="n">
        <v>42997</v>
      </c>
      <c r="H4482" s="26" t="n">
        <f aca="false">G4482-F4482</f>
        <v>70</v>
      </c>
      <c r="I4482" s="10" t="n">
        <f aca="false">IF(E4482="Won",1,0)</f>
        <v>1</v>
      </c>
    </row>
    <row r="4483" customFormat="false" ht="15" hidden="false" customHeight="false" outlineLevel="0" collapsed="false">
      <c r="A4483" s="10" t="s">
        <v>6824</v>
      </c>
      <c r="B4483" s="10" t="s">
        <v>68</v>
      </c>
      <c r="C4483" s="10" t="s">
        <v>51</v>
      </c>
      <c r="D4483" s="10" t="s">
        <v>168</v>
      </c>
      <c r="E4483" s="10" t="s">
        <v>2345</v>
      </c>
      <c r="F4483" s="30" t="n">
        <v>42977</v>
      </c>
      <c r="G4483" s="30" t="n">
        <v>42997</v>
      </c>
      <c r="H4483" s="26" t="n">
        <f aca="false">G4483-F4483</f>
        <v>20</v>
      </c>
      <c r="I4483" s="10" t="n">
        <f aca="false">IF(E4483="Won",1,0)</f>
        <v>0</v>
      </c>
    </row>
    <row r="4484" customFormat="false" ht="15" hidden="false" customHeight="false" outlineLevel="0" collapsed="false">
      <c r="A4484" s="10" t="s">
        <v>6825</v>
      </c>
      <c r="B4484" s="10" t="s">
        <v>87</v>
      </c>
      <c r="C4484" s="10" t="s">
        <v>48</v>
      </c>
      <c r="D4484" s="10" t="s">
        <v>332</v>
      </c>
      <c r="E4484" s="10" t="s">
        <v>2342</v>
      </c>
      <c r="F4484" s="30" t="n">
        <v>42952</v>
      </c>
      <c r="G4484" s="30" t="n">
        <v>42997</v>
      </c>
      <c r="H4484" s="26" t="n">
        <f aca="false">G4484-F4484</f>
        <v>45</v>
      </c>
      <c r="I4484" s="10" t="n">
        <f aca="false">IF(E4484="Won",1,0)</f>
        <v>1</v>
      </c>
    </row>
    <row r="4485" customFormat="false" ht="15" hidden="false" customHeight="false" outlineLevel="0" collapsed="false">
      <c r="A4485" s="10" t="s">
        <v>6826</v>
      </c>
      <c r="B4485" s="10" t="s">
        <v>68</v>
      </c>
      <c r="C4485" s="10" t="s">
        <v>51</v>
      </c>
      <c r="D4485" s="10" t="s">
        <v>175</v>
      </c>
      <c r="E4485" s="10" t="s">
        <v>2345</v>
      </c>
      <c r="F4485" s="30" t="n">
        <v>42920</v>
      </c>
      <c r="G4485" s="30" t="n">
        <v>42997</v>
      </c>
      <c r="H4485" s="26" t="n">
        <f aca="false">G4485-F4485</f>
        <v>77</v>
      </c>
      <c r="I4485" s="10" t="n">
        <f aca="false">IF(E4485="Won",1,0)</f>
        <v>0</v>
      </c>
    </row>
    <row r="4486" customFormat="false" ht="15" hidden="false" customHeight="false" outlineLevel="0" collapsed="false">
      <c r="A4486" s="10" t="s">
        <v>6827</v>
      </c>
      <c r="B4486" s="10" t="s">
        <v>66</v>
      </c>
      <c r="C4486" s="10" t="s">
        <v>52</v>
      </c>
      <c r="D4486" s="10" t="s">
        <v>344</v>
      </c>
      <c r="E4486" s="10" t="s">
        <v>2345</v>
      </c>
      <c r="F4486" s="30" t="n">
        <v>42991</v>
      </c>
      <c r="G4486" s="30" t="n">
        <v>42997</v>
      </c>
      <c r="H4486" s="26" t="n">
        <f aca="false">G4486-F4486</f>
        <v>6</v>
      </c>
      <c r="I4486" s="10" t="n">
        <f aca="false">IF(E4486="Won",1,0)</f>
        <v>0</v>
      </c>
    </row>
    <row r="4487" customFormat="false" ht="15" hidden="false" customHeight="false" outlineLevel="0" collapsed="false">
      <c r="A4487" s="10" t="s">
        <v>6828</v>
      </c>
      <c r="B4487" s="10" t="s">
        <v>96</v>
      </c>
      <c r="C4487" s="10" t="s">
        <v>48</v>
      </c>
      <c r="D4487" s="10" t="s">
        <v>437</v>
      </c>
      <c r="E4487" s="10" t="s">
        <v>2342</v>
      </c>
      <c r="F4487" s="30" t="n">
        <v>42924</v>
      </c>
      <c r="G4487" s="30" t="n">
        <v>42997</v>
      </c>
      <c r="H4487" s="26" t="n">
        <f aca="false">G4487-F4487</f>
        <v>73</v>
      </c>
      <c r="I4487" s="10" t="n">
        <f aca="false">IF(E4487="Won",1,0)</f>
        <v>1</v>
      </c>
    </row>
    <row r="4488" customFormat="false" ht="15" hidden="false" customHeight="false" outlineLevel="0" collapsed="false">
      <c r="A4488" s="10" t="s">
        <v>6829</v>
      </c>
      <c r="B4488" s="10" t="s">
        <v>57</v>
      </c>
      <c r="C4488" s="10" t="s">
        <v>51</v>
      </c>
      <c r="D4488" s="10" t="s">
        <v>674</v>
      </c>
      <c r="E4488" s="10" t="s">
        <v>2342</v>
      </c>
      <c r="F4488" s="30" t="n">
        <v>42888</v>
      </c>
      <c r="G4488" s="30" t="n">
        <v>42997</v>
      </c>
      <c r="H4488" s="26" t="n">
        <f aca="false">G4488-F4488</f>
        <v>109</v>
      </c>
      <c r="I4488" s="10" t="n">
        <f aca="false">IF(E4488="Won",1,0)</f>
        <v>1</v>
      </c>
    </row>
    <row r="4489" customFormat="false" ht="15" hidden="false" customHeight="false" outlineLevel="0" collapsed="false">
      <c r="A4489" s="10" t="s">
        <v>6830</v>
      </c>
      <c r="B4489" s="10" t="s">
        <v>74</v>
      </c>
      <c r="C4489" s="10" t="s">
        <v>52</v>
      </c>
      <c r="D4489" s="10" t="s">
        <v>291</v>
      </c>
      <c r="E4489" s="10" t="s">
        <v>2342</v>
      </c>
      <c r="F4489" s="30" t="n">
        <v>42903</v>
      </c>
      <c r="G4489" s="30" t="n">
        <v>42997</v>
      </c>
      <c r="H4489" s="26" t="n">
        <f aca="false">G4489-F4489</f>
        <v>94</v>
      </c>
      <c r="I4489" s="10" t="n">
        <f aca="false">IF(E4489="Won",1,0)</f>
        <v>1</v>
      </c>
    </row>
    <row r="4490" customFormat="false" ht="15" hidden="false" customHeight="false" outlineLevel="0" collapsed="false">
      <c r="A4490" s="10" t="s">
        <v>6831</v>
      </c>
      <c r="B4490" s="10" t="s">
        <v>69</v>
      </c>
      <c r="C4490" s="10" t="s">
        <v>49</v>
      </c>
      <c r="D4490" s="10" t="s">
        <v>606</v>
      </c>
      <c r="E4490" s="10" t="s">
        <v>2342</v>
      </c>
      <c r="F4490" s="30" t="n">
        <v>42889</v>
      </c>
      <c r="G4490" s="30" t="n">
        <v>42997</v>
      </c>
      <c r="H4490" s="26" t="n">
        <f aca="false">G4490-F4490</f>
        <v>108</v>
      </c>
      <c r="I4490" s="10" t="n">
        <f aca="false">IF(E4490="Won",1,0)</f>
        <v>1</v>
      </c>
    </row>
    <row r="4491" customFormat="false" ht="15" hidden="false" customHeight="false" outlineLevel="0" collapsed="false">
      <c r="A4491" s="10" t="s">
        <v>6832</v>
      </c>
      <c r="B4491" s="10" t="s">
        <v>76</v>
      </c>
      <c r="C4491" s="10" t="s">
        <v>50</v>
      </c>
      <c r="D4491" s="10" t="s">
        <v>597</v>
      </c>
      <c r="E4491" s="10" t="s">
        <v>2342</v>
      </c>
      <c r="F4491" s="30" t="n">
        <v>42884</v>
      </c>
      <c r="G4491" s="30" t="n">
        <v>42997</v>
      </c>
      <c r="H4491" s="26" t="n">
        <f aca="false">G4491-F4491</f>
        <v>113</v>
      </c>
      <c r="I4491" s="10" t="n">
        <f aca="false">IF(E4491="Won",1,0)</f>
        <v>1</v>
      </c>
    </row>
    <row r="4492" customFormat="false" ht="15" hidden="false" customHeight="false" outlineLevel="0" collapsed="false">
      <c r="A4492" s="10" t="s">
        <v>6833</v>
      </c>
      <c r="B4492" s="10" t="s">
        <v>74</v>
      </c>
      <c r="C4492" s="10" t="s">
        <v>51</v>
      </c>
      <c r="D4492" s="10" t="s">
        <v>291</v>
      </c>
      <c r="E4492" s="10" t="s">
        <v>2342</v>
      </c>
      <c r="F4492" s="30" t="n">
        <v>42948</v>
      </c>
      <c r="G4492" s="30" t="n">
        <v>42997</v>
      </c>
      <c r="H4492" s="26" t="n">
        <f aca="false">G4492-F4492</f>
        <v>49</v>
      </c>
      <c r="I4492" s="10" t="n">
        <f aca="false">IF(E4492="Won",1,0)</f>
        <v>1</v>
      </c>
    </row>
    <row r="4493" customFormat="false" ht="15" hidden="false" customHeight="false" outlineLevel="0" collapsed="false">
      <c r="A4493" s="10" t="s">
        <v>6834</v>
      </c>
      <c r="B4493" s="10" t="s">
        <v>83</v>
      </c>
      <c r="C4493" s="10" t="s">
        <v>50</v>
      </c>
      <c r="D4493" s="10" t="s">
        <v>259</v>
      </c>
      <c r="E4493" s="10" t="s">
        <v>2345</v>
      </c>
      <c r="F4493" s="30" t="n">
        <v>42865</v>
      </c>
      <c r="G4493" s="30" t="n">
        <v>42997</v>
      </c>
      <c r="H4493" s="26" t="n">
        <f aca="false">G4493-F4493</f>
        <v>132</v>
      </c>
      <c r="I4493" s="10" t="n">
        <f aca="false">IF(E4493="Won",1,0)</f>
        <v>0</v>
      </c>
    </row>
    <row r="4494" customFormat="false" ht="15" hidden="false" customHeight="false" outlineLevel="0" collapsed="false">
      <c r="A4494" s="10" t="s">
        <v>6835</v>
      </c>
      <c r="B4494" s="10" t="s">
        <v>97</v>
      </c>
      <c r="C4494" s="10" t="s">
        <v>51</v>
      </c>
      <c r="D4494" s="10" t="s">
        <v>299</v>
      </c>
      <c r="E4494" s="10" t="s">
        <v>2342</v>
      </c>
      <c r="F4494" s="30" t="n">
        <v>42989</v>
      </c>
      <c r="G4494" s="30" t="n">
        <v>42997</v>
      </c>
      <c r="H4494" s="26" t="n">
        <f aca="false">G4494-F4494</f>
        <v>8</v>
      </c>
      <c r="I4494" s="10" t="n">
        <f aca="false">IF(E4494="Won",1,0)</f>
        <v>1</v>
      </c>
    </row>
    <row r="4495" customFormat="false" ht="15" hidden="false" customHeight="false" outlineLevel="0" collapsed="false">
      <c r="A4495" s="10" t="s">
        <v>6836</v>
      </c>
      <c r="B4495" s="10" t="s">
        <v>84</v>
      </c>
      <c r="C4495" s="10" t="s">
        <v>50</v>
      </c>
      <c r="D4495" s="10" t="s">
        <v>453</v>
      </c>
      <c r="E4495" s="10" t="s">
        <v>2345</v>
      </c>
      <c r="F4495" s="30" t="n">
        <v>42990</v>
      </c>
      <c r="G4495" s="30" t="n">
        <v>42997</v>
      </c>
      <c r="H4495" s="26" t="n">
        <f aca="false">G4495-F4495</f>
        <v>7</v>
      </c>
      <c r="I4495" s="10" t="n">
        <f aca="false">IF(E4495="Won",1,0)</f>
        <v>0</v>
      </c>
    </row>
    <row r="4496" customFormat="false" ht="15" hidden="false" customHeight="false" outlineLevel="0" collapsed="false">
      <c r="A4496" s="10" t="s">
        <v>6837</v>
      </c>
      <c r="B4496" s="10" t="s">
        <v>81</v>
      </c>
      <c r="C4496" s="10" t="s">
        <v>49</v>
      </c>
      <c r="D4496" s="10" t="s">
        <v>259</v>
      </c>
      <c r="E4496" s="10" t="s">
        <v>2345</v>
      </c>
      <c r="F4496" s="30" t="n">
        <v>42896</v>
      </c>
      <c r="G4496" s="30" t="n">
        <v>42997</v>
      </c>
      <c r="H4496" s="26" t="n">
        <f aca="false">G4496-F4496</f>
        <v>101</v>
      </c>
      <c r="I4496" s="10" t="n">
        <f aca="false">IF(E4496="Won",1,0)</f>
        <v>0</v>
      </c>
    </row>
    <row r="4497" customFormat="false" ht="15" hidden="false" customHeight="false" outlineLevel="0" collapsed="false">
      <c r="A4497" s="10" t="s">
        <v>6838</v>
      </c>
      <c r="B4497" s="10" t="s">
        <v>83</v>
      </c>
      <c r="C4497" s="10" t="s">
        <v>52</v>
      </c>
      <c r="D4497" s="10" t="s">
        <v>524</v>
      </c>
      <c r="E4497" s="10" t="s">
        <v>2342</v>
      </c>
      <c r="F4497" s="30" t="n">
        <v>42900</v>
      </c>
      <c r="G4497" s="30" t="n">
        <v>42997</v>
      </c>
      <c r="H4497" s="26" t="n">
        <f aca="false">G4497-F4497</f>
        <v>97</v>
      </c>
      <c r="I4497" s="10" t="n">
        <f aca="false">IF(E4497="Won",1,0)</f>
        <v>1</v>
      </c>
    </row>
    <row r="4498" customFormat="false" ht="15" hidden="false" customHeight="false" outlineLevel="0" collapsed="false">
      <c r="A4498" s="10" t="s">
        <v>6839</v>
      </c>
      <c r="B4498" s="10" t="s">
        <v>87</v>
      </c>
      <c r="C4498" s="10" t="s">
        <v>48</v>
      </c>
      <c r="D4498" s="10" t="s">
        <v>161</v>
      </c>
      <c r="E4498" s="10" t="s">
        <v>2345</v>
      </c>
      <c r="F4498" s="30" t="n">
        <v>42986</v>
      </c>
      <c r="G4498" s="30" t="n">
        <v>42997</v>
      </c>
      <c r="H4498" s="26" t="n">
        <f aca="false">G4498-F4498</f>
        <v>11</v>
      </c>
      <c r="I4498" s="10" t="n">
        <f aca="false">IF(E4498="Won",1,0)</f>
        <v>0</v>
      </c>
    </row>
    <row r="4499" customFormat="false" ht="15" hidden="false" customHeight="false" outlineLevel="0" collapsed="false">
      <c r="A4499" s="10" t="s">
        <v>6840</v>
      </c>
      <c r="B4499" s="10" t="s">
        <v>90</v>
      </c>
      <c r="C4499" s="10" t="s">
        <v>47</v>
      </c>
      <c r="D4499" s="10" t="s">
        <v>1334</v>
      </c>
      <c r="E4499" s="10" t="s">
        <v>2342</v>
      </c>
      <c r="F4499" s="30" t="n">
        <v>42916</v>
      </c>
      <c r="G4499" s="30" t="n">
        <v>42997</v>
      </c>
      <c r="H4499" s="26" t="n">
        <f aca="false">G4499-F4499</f>
        <v>81</v>
      </c>
      <c r="I4499" s="10" t="n">
        <f aca="false">IF(E4499="Won",1,0)</f>
        <v>1</v>
      </c>
    </row>
    <row r="4500" customFormat="false" ht="15" hidden="false" customHeight="false" outlineLevel="0" collapsed="false">
      <c r="A4500" s="10" t="s">
        <v>6841</v>
      </c>
      <c r="B4500" s="10" t="s">
        <v>80</v>
      </c>
      <c r="C4500" s="10" t="s">
        <v>51</v>
      </c>
      <c r="D4500" s="10" t="s">
        <v>353</v>
      </c>
      <c r="E4500" s="10" t="s">
        <v>2342</v>
      </c>
      <c r="F4500" s="30" t="n">
        <v>42990</v>
      </c>
      <c r="G4500" s="30" t="n">
        <v>42997</v>
      </c>
      <c r="H4500" s="26" t="n">
        <f aca="false">G4500-F4500</f>
        <v>7</v>
      </c>
      <c r="I4500" s="10" t="n">
        <f aca="false">IF(E4500="Won",1,0)</f>
        <v>1</v>
      </c>
    </row>
    <row r="4501" customFormat="false" ht="15" hidden="false" customHeight="false" outlineLevel="0" collapsed="false">
      <c r="A4501" s="10" t="s">
        <v>6842</v>
      </c>
      <c r="B4501" s="10" t="s">
        <v>57</v>
      </c>
      <c r="C4501" s="10" t="s">
        <v>50</v>
      </c>
      <c r="D4501" s="10" t="s">
        <v>441</v>
      </c>
      <c r="E4501" s="10" t="s">
        <v>2345</v>
      </c>
      <c r="F4501" s="30" t="n">
        <v>42901</v>
      </c>
      <c r="G4501" s="30" t="n">
        <v>42997</v>
      </c>
      <c r="H4501" s="26" t="n">
        <f aca="false">G4501-F4501</f>
        <v>96</v>
      </c>
      <c r="I4501" s="10" t="n">
        <f aca="false">IF(E4501="Won",1,0)</f>
        <v>0</v>
      </c>
    </row>
    <row r="4502" customFormat="false" ht="15" hidden="false" customHeight="false" outlineLevel="0" collapsed="false">
      <c r="A4502" s="10" t="s">
        <v>6843</v>
      </c>
      <c r="B4502" s="10" t="s">
        <v>75</v>
      </c>
      <c r="C4502" s="10" t="s">
        <v>49</v>
      </c>
      <c r="D4502" s="10" t="s">
        <v>527</v>
      </c>
      <c r="E4502" s="10" t="s">
        <v>2342</v>
      </c>
      <c r="F4502" s="30" t="n">
        <v>42946</v>
      </c>
      <c r="G4502" s="30" t="n">
        <v>42997</v>
      </c>
      <c r="H4502" s="26" t="n">
        <f aca="false">G4502-F4502</f>
        <v>51</v>
      </c>
      <c r="I4502" s="10" t="n">
        <f aca="false">IF(E4502="Won",1,0)</f>
        <v>1</v>
      </c>
    </row>
    <row r="4503" customFormat="false" ht="15" hidden="false" customHeight="false" outlineLevel="0" collapsed="false">
      <c r="A4503" s="10" t="s">
        <v>6844</v>
      </c>
      <c r="B4503" s="10" t="s">
        <v>60</v>
      </c>
      <c r="C4503" s="10" t="s">
        <v>49</v>
      </c>
      <c r="D4503" s="10" t="s">
        <v>286</v>
      </c>
      <c r="E4503" s="10" t="s">
        <v>2342</v>
      </c>
      <c r="F4503" s="30" t="n">
        <v>42953</v>
      </c>
      <c r="G4503" s="30" t="n">
        <v>42998</v>
      </c>
      <c r="H4503" s="26" t="n">
        <f aca="false">G4503-F4503</f>
        <v>45</v>
      </c>
      <c r="I4503" s="10" t="n">
        <f aca="false">IF(E4503="Won",1,0)</f>
        <v>1</v>
      </c>
    </row>
    <row r="4504" customFormat="false" ht="15" hidden="false" customHeight="false" outlineLevel="0" collapsed="false">
      <c r="A4504" s="10" t="s">
        <v>6845</v>
      </c>
      <c r="B4504" s="10" t="s">
        <v>76</v>
      </c>
      <c r="C4504" s="10" t="s">
        <v>52</v>
      </c>
      <c r="D4504" s="10" t="s">
        <v>961</v>
      </c>
      <c r="E4504" s="10" t="s">
        <v>2342</v>
      </c>
      <c r="F4504" s="30" t="n">
        <v>42872</v>
      </c>
      <c r="G4504" s="30" t="n">
        <v>42998</v>
      </c>
      <c r="H4504" s="26" t="n">
        <f aca="false">G4504-F4504</f>
        <v>126</v>
      </c>
      <c r="I4504" s="10" t="n">
        <f aca="false">IF(E4504="Won",1,0)</f>
        <v>1</v>
      </c>
    </row>
    <row r="4505" customFormat="false" ht="15" hidden="false" customHeight="false" outlineLevel="0" collapsed="false">
      <c r="A4505" s="10" t="s">
        <v>6846</v>
      </c>
      <c r="B4505" s="10" t="s">
        <v>75</v>
      </c>
      <c r="C4505" s="10" t="s">
        <v>52</v>
      </c>
      <c r="D4505" s="10" t="s">
        <v>483</v>
      </c>
      <c r="E4505" s="10" t="s">
        <v>2342</v>
      </c>
      <c r="F4505" s="30" t="n">
        <v>42891</v>
      </c>
      <c r="G4505" s="30" t="n">
        <v>42998</v>
      </c>
      <c r="H4505" s="26" t="n">
        <f aca="false">G4505-F4505</f>
        <v>107</v>
      </c>
      <c r="I4505" s="10" t="n">
        <f aca="false">IF(E4505="Won",1,0)</f>
        <v>1</v>
      </c>
    </row>
    <row r="4506" customFormat="false" ht="15" hidden="false" customHeight="false" outlineLevel="0" collapsed="false">
      <c r="A4506" s="10" t="s">
        <v>6847</v>
      </c>
      <c r="B4506" s="10" t="s">
        <v>90</v>
      </c>
      <c r="C4506" s="10" t="s">
        <v>50</v>
      </c>
      <c r="D4506" s="10" t="s">
        <v>185</v>
      </c>
      <c r="E4506" s="10" t="s">
        <v>2345</v>
      </c>
      <c r="F4506" s="30" t="n">
        <v>42990</v>
      </c>
      <c r="G4506" s="30" t="n">
        <v>42998</v>
      </c>
      <c r="H4506" s="26" t="n">
        <f aca="false">G4506-F4506</f>
        <v>8</v>
      </c>
      <c r="I4506" s="10" t="n">
        <f aca="false">IF(E4506="Won",1,0)</f>
        <v>0</v>
      </c>
    </row>
    <row r="4507" customFormat="false" ht="15" hidden="false" customHeight="false" outlineLevel="0" collapsed="false">
      <c r="A4507" s="10" t="s">
        <v>6848</v>
      </c>
      <c r="B4507" s="10" t="s">
        <v>70</v>
      </c>
      <c r="C4507" s="10" t="s">
        <v>52</v>
      </c>
      <c r="D4507" s="10" t="s">
        <v>396</v>
      </c>
      <c r="E4507" s="10" t="s">
        <v>2342</v>
      </c>
      <c r="F4507" s="30" t="n">
        <v>42898</v>
      </c>
      <c r="G4507" s="30" t="n">
        <v>42998</v>
      </c>
      <c r="H4507" s="26" t="n">
        <f aca="false">G4507-F4507</f>
        <v>100</v>
      </c>
      <c r="I4507" s="10" t="n">
        <f aca="false">IF(E4507="Won",1,0)</f>
        <v>1</v>
      </c>
    </row>
    <row r="4508" customFormat="false" ht="15" hidden="false" customHeight="false" outlineLevel="0" collapsed="false">
      <c r="A4508" s="10" t="s">
        <v>6849</v>
      </c>
      <c r="B4508" s="10" t="s">
        <v>80</v>
      </c>
      <c r="C4508" s="10" t="s">
        <v>50</v>
      </c>
      <c r="D4508" s="10" t="s">
        <v>536</v>
      </c>
      <c r="E4508" s="10" t="s">
        <v>2342</v>
      </c>
      <c r="F4508" s="30" t="n">
        <v>42897</v>
      </c>
      <c r="G4508" s="30" t="n">
        <v>42998</v>
      </c>
      <c r="H4508" s="26" t="n">
        <f aca="false">G4508-F4508</f>
        <v>101</v>
      </c>
      <c r="I4508" s="10" t="n">
        <f aca="false">IF(E4508="Won",1,0)</f>
        <v>1</v>
      </c>
    </row>
    <row r="4509" customFormat="false" ht="15" hidden="false" customHeight="false" outlineLevel="0" collapsed="false">
      <c r="A4509" s="10" t="s">
        <v>6850</v>
      </c>
      <c r="B4509" s="10" t="s">
        <v>88</v>
      </c>
      <c r="C4509" s="10" t="s">
        <v>49</v>
      </c>
      <c r="D4509" s="10" t="s">
        <v>350</v>
      </c>
      <c r="E4509" s="10" t="s">
        <v>2342</v>
      </c>
      <c r="F4509" s="30" t="n">
        <v>42984</v>
      </c>
      <c r="G4509" s="30" t="n">
        <v>42998</v>
      </c>
      <c r="H4509" s="26" t="n">
        <f aca="false">G4509-F4509</f>
        <v>14</v>
      </c>
      <c r="I4509" s="10" t="n">
        <f aca="false">IF(E4509="Won",1,0)</f>
        <v>1</v>
      </c>
    </row>
    <row r="4510" customFormat="false" ht="15" hidden="false" customHeight="false" outlineLevel="0" collapsed="false">
      <c r="A4510" s="10" t="s">
        <v>6851</v>
      </c>
      <c r="B4510" s="10" t="s">
        <v>79</v>
      </c>
      <c r="C4510" s="10" t="s">
        <v>50</v>
      </c>
      <c r="D4510" s="10" t="s">
        <v>291</v>
      </c>
      <c r="E4510" s="10" t="s">
        <v>2342</v>
      </c>
      <c r="F4510" s="30" t="n">
        <v>42898</v>
      </c>
      <c r="G4510" s="30" t="n">
        <v>42998</v>
      </c>
      <c r="H4510" s="26" t="n">
        <f aca="false">G4510-F4510</f>
        <v>100</v>
      </c>
      <c r="I4510" s="10" t="n">
        <f aca="false">IF(E4510="Won",1,0)</f>
        <v>1</v>
      </c>
    </row>
    <row r="4511" customFormat="false" ht="15" hidden="false" customHeight="false" outlineLevel="0" collapsed="false">
      <c r="A4511" s="10" t="s">
        <v>6852</v>
      </c>
      <c r="B4511" s="10" t="s">
        <v>84</v>
      </c>
      <c r="C4511" s="10" t="s">
        <v>50</v>
      </c>
      <c r="D4511" s="10" t="s">
        <v>532</v>
      </c>
      <c r="E4511" s="10" t="s">
        <v>2342</v>
      </c>
      <c r="F4511" s="30" t="n">
        <v>42936</v>
      </c>
      <c r="G4511" s="30" t="n">
        <v>42998</v>
      </c>
      <c r="H4511" s="26" t="n">
        <f aca="false">G4511-F4511</f>
        <v>62</v>
      </c>
      <c r="I4511" s="10" t="n">
        <f aca="false">IF(E4511="Won",1,0)</f>
        <v>1</v>
      </c>
    </row>
    <row r="4512" customFormat="false" ht="15" hidden="false" customHeight="false" outlineLevel="0" collapsed="false">
      <c r="A4512" s="10" t="s">
        <v>6853</v>
      </c>
      <c r="B4512" s="10" t="s">
        <v>97</v>
      </c>
      <c r="C4512" s="10" t="s">
        <v>50</v>
      </c>
      <c r="D4512" s="10" t="s">
        <v>286</v>
      </c>
      <c r="E4512" s="10" t="s">
        <v>2342</v>
      </c>
      <c r="F4512" s="30" t="n">
        <v>42905</v>
      </c>
      <c r="G4512" s="30" t="n">
        <v>42998</v>
      </c>
      <c r="H4512" s="26" t="n">
        <f aca="false">G4512-F4512</f>
        <v>93</v>
      </c>
      <c r="I4512" s="10" t="n">
        <f aca="false">IF(E4512="Won",1,0)</f>
        <v>1</v>
      </c>
    </row>
    <row r="4513" customFormat="false" ht="15" hidden="false" customHeight="false" outlineLevel="0" collapsed="false">
      <c r="A4513" s="10" t="s">
        <v>6854</v>
      </c>
      <c r="B4513" s="10" t="s">
        <v>63</v>
      </c>
      <c r="C4513" s="10" t="s">
        <v>51</v>
      </c>
      <c r="D4513" s="10" t="s">
        <v>218</v>
      </c>
      <c r="E4513" s="10" t="s">
        <v>2342</v>
      </c>
      <c r="F4513" s="30" t="n">
        <v>42906</v>
      </c>
      <c r="G4513" s="30" t="n">
        <v>42998</v>
      </c>
      <c r="H4513" s="26" t="n">
        <f aca="false">G4513-F4513</f>
        <v>92</v>
      </c>
      <c r="I4513" s="10" t="n">
        <f aca="false">IF(E4513="Won",1,0)</f>
        <v>1</v>
      </c>
    </row>
    <row r="4514" customFormat="false" ht="15" hidden="false" customHeight="false" outlineLevel="0" collapsed="false">
      <c r="A4514" s="10" t="s">
        <v>6855</v>
      </c>
      <c r="B4514" s="10" t="s">
        <v>97</v>
      </c>
      <c r="C4514" s="10" t="s">
        <v>51</v>
      </c>
      <c r="D4514" s="10" t="s">
        <v>326</v>
      </c>
      <c r="E4514" s="10" t="s">
        <v>2342</v>
      </c>
      <c r="F4514" s="30" t="n">
        <v>42921</v>
      </c>
      <c r="G4514" s="30" t="n">
        <v>42998</v>
      </c>
      <c r="H4514" s="26" t="n">
        <f aca="false">G4514-F4514</f>
        <v>77</v>
      </c>
      <c r="I4514" s="10" t="n">
        <f aca="false">IF(E4514="Won",1,0)</f>
        <v>1</v>
      </c>
    </row>
    <row r="4515" customFormat="false" ht="15" hidden="false" customHeight="false" outlineLevel="0" collapsed="false">
      <c r="A4515" s="10" t="s">
        <v>6856</v>
      </c>
      <c r="B4515" s="10" t="s">
        <v>60</v>
      </c>
      <c r="C4515" s="10" t="s">
        <v>50</v>
      </c>
      <c r="D4515" s="10" t="s">
        <v>441</v>
      </c>
      <c r="E4515" s="10" t="s">
        <v>2342</v>
      </c>
      <c r="F4515" s="30" t="n">
        <v>42898</v>
      </c>
      <c r="G4515" s="30" t="n">
        <v>42998</v>
      </c>
      <c r="H4515" s="26" t="n">
        <f aca="false">G4515-F4515</f>
        <v>100</v>
      </c>
      <c r="I4515" s="10" t="n">
        <f aca="false">IF(E4515="Won",1,0)</f>
        <v>1</v>
      </c>
    </row>
    <row r="4516" customFormat="false" ht="15" hidden="false" customHeight="false" outlineLevel="0" collapsed="false">
      <c r="A4516" s="10" t="s">
        <v>6857</v>
      </c>
      <c r="B4516" s="10" t="s">
        <v>79</v>
      </c>
      <c r="C4516" s="10" t="s">
        <v>52</v>
      </c>
      <c r="D4516" s="10" t="s">
        <v>597</v>
      </c>
      <c r="E4516" s="10" t="s">
        <v>2342</v>
      </c>
      <c r="F4516" s="30" t="n">
        <v>42989</v>
      </c>
      <c r="G4516" s="30" t="n">
        <v>42998</v>
      </c>
      <c r="H4516" s="26" t="n">
        <f aca="false">G4516-F4516</f>
        <v>9</v>
      </c>
      <c r="I4516" s="10" t="n">
        <f aca="false">IF(E4516="Won",1,0)</f>
        <v>1</v>
      </c>
    </row>
    <row r="4517" customFormat="false" ht="15" hidden="false" customHeight="false" outlineLevel="0" collapsed="false">
      <c r="A4517" s="10" t="s">
        <v>6858</v>
      </c>
      <c r="B4517" s="10" t="s">
        <v>96</v>
      </c>
      <c r="C4517" s="10" t="s">
        <v>47</v>
      </c>
      <c r="D4517" s="10" t="s">
        <v>233</v>
      </c>
      <c r="E4517" s="10" t="s">
        <v>2342</v>
      </c>
      <c r="F4517" s="30" t="n">
        <v>42990</v>
      </c>
      <c r="G4517" s="30" t="n">
        <v>42998</v>
      </c>
      <c r="H4517" s="26" t="n">
        <f aca="false">G4517-F4517</f>
        <v>8</v>
      </c>
      <c r="I4517" s="10" t="n">
        <f aca="false">IF(E4517="Won",1,0)</f>
        <v>1</v>
      </c>
    </row>
    <row r="4518" customFormat="false" ht="15" hidden="false" customHeight="false" outlineLevel="0" collapsed="false">
      <c r="A4518" s="10" t="s">
        <v>6859</v>
      </c>
      <c r="B4518" s="10" t="s">
        <v>60</v>
      </c>
      <c r="C4518" s="10" t="s">
        <v>51</v>
      </c>
      <c r="D4518" s="10" t="s">
        <v>247</v>
      </c>
      <c r="E4518" s="10" t="s">
        <v>2342</v>
      </c>
      <c r="F4518" s="30" t="n">
        <v>42913</v>
      </c>
      <c r="G4518" s="30" t="n">
        <v>42998</v>
      </c>
      <c r="H4518" s="26" t="n">
        <f aca="false">G4518-F4518</f>
        <v>85</v>
      </c>
      <c r="I4518" s="10" t="n">
        <f aca="false">IF(E4518="Won",1,0)</f>
        <v>1</v>
      </c>
    </row>
    <row r="4519" customFormat="false" ht="15" hidden="false" customHeight="false" outlineLevel="0" collapsed="false">
      <c r="A4519" s="10" t="s">
        <v>6860</v>
      </c>
      <c r="B4519" s="10" t="s">
        <v>69</v>
      </c>
      <c r="C4519" s="10" t="s">
        <v>52</v>
      </c>
      <c r="D4519" s="10" t="s">
        <v>344</v>
      </c>
      <c r="E4519" s="10" t="s">
        <v>2345</v>
      </c>
      <c r="F4519" s="30" t="n">
        <v>42927</v>
      </c>
      <c r="G4519" s="30" t="n">
        <v>42999</v>
      </c>
      <c r="H4519" s="26" t="n">
        <f aca="false">G4519-F4519</f>
        <v>72</v>
      </c>
      <c r="I4519" s="10" t="n">
        <f aca="false">IF(E4519="Won",1,0)</f>
        <v>0</v>
      </c>
    </row>
    <row r="4520" customFormat="false" ht="15" hidden="false" customHeight="false" outlineLevel="0" collapsed="false">
      <c r="A4520" s="10" t="s">
        <v>6861</v>
      </c>
      <c r="B4520" s="10" t="s">
        <v>81</v>
      </c>
      <c r="C4520" s="10" t="s">
        <v>52</v>
      </c>
      <c r="D4520" s="10" t="s">
        <v>947</v>
      </c>
      <c r="E4520" s="10" t="s">
        <v>2342</v>
      </c>
      <c r="F4520" s="30" t="n">
        <v>42990</v>
      </c>
      <c r="G4520" s="30" t="n">
        <v>42999</v>
      </c>
      <c r="H4520" s="26" t="n">
        <f aca="false">G4520-F4520</f>
        <v>9</v>
      </c>
      <c r="I4520" s="10" t="n">
        <f aca="false">IF(E4520="Won",1,0)</f>
        <v>1</v>
      </c>
    </row>
    <row r="4521" customFormat="false" ht="15" hidden="false" customHeight="false" outlineLevel="0" collapsed="false">
      <c r="A4521" s="10" t="s">
        <v>6862</v>
      </c>
      <c r="B4521" s="10" t="s">
        <v>69</v>
      </c>
      <c r="C4521" s="10" t="s">
        <v>49</v>
      </c>
      <c r="D4521" s="10" t="s">
        <v>313</v>
      </c>
      <c r="E4521" s="10" t="s">
        <v>2342</v>
      </c>
      <c r="F4521" s="30" t="n">
        <v>42883</v>
      </c>
      <c r="G4521" s="30" t="n">
        <v>42999</v>
      </c>
      <c r="H4521" s="26" t="n">
        <f aca="false">G4521-F4521</f>
        <v>116</v>
      </c>
      <c r="I4521" s="10" t="n">
        <f aca="false">IF(E4521="Won",1,0)</f>
        <v>1</v>
      </c>
    </row>
    <row r="4522" customFormat="false" ht="15" hidden="false" customHeight="false" outlineLevel="0" collapsed="false">
      <c r="A4522" s="10" t="s">
        <v>6863</v>
      </c>
      <c r="B4522" s="10" t="s">
        <v>57</v>
      </c>
      <c r="C4522" s="10" t="s">
        <v>51</v>
      </c>
      <c r="D4522" s="10" t="s">
        <v>350</v>
      </c>
      <c r="E4522" s="10" t="s">
        <v>2345</v>
      </c>
      <c r="F4522" s="30" t="n">
        <v>42906</v>
      </c>
      <c r="G4522" s="30" t="n">
        <v>42999</v>
      </c>
      <c r="H4522" s="26" t="n">
        <f aca="false">G4522-F4522</f>
        <v>93</v>
      </c>
      <c r="I4522" s="10" t="n">
        <f aca="false">IF(E4522="Won",1,0)</f>
        <v>0</v>
      </c>
    </row>
    <row r="4523" customFormat="false" ht="15" hidden="false" customHeight="false" outlineLevel="0" collapsed="false">
      <c r="A4523" s="10" t="s">
        <v>6864</v>
      </c>
      <c r="B4523" s="10" t="s">
        <v>90</v>
      </c>
      <c r="C4523" s="10" t="s">
        <v>50</v>
      </c>
      <c r="D4523" s="10" t="s">
        <v>277</v>
      </c>
      <c r="E4523" s="10" t="s">
        <v>2342</v>
      </c>
      <c r="F4523" s="30" t="n">
        <v>42975</v>
      </c>
      <c r="G4523" s="30" t="n">
        <v>42999</v>
      </c>
      <c r="H4523" s="26" t="n">
        <f aca="false">G4523-F4523</f>
        <v>24</v>
      </c>
      <c r="I4523" s="10" t="n">
        <f aca="false">IF(E4523="Won",1,0)</f>
        <v>1</v>
      </c>
    </row>
    <row r="4524" customFormat="false" ht="15" hidden="false" customHeight="false" outlineLevel="0" collapsed="false">
      <c r="A4524" s="10" t="s">
        <v>6865</v>
      </c>
      <c r="B4524" s="10" t="s">
        <v>88</v>
      </c>
      <c r="C4524" s="10" t="s">
        <v>50</v>
      </c>
      <c r="D4524" s="10" t="s">
        <v>1397</v>
      </c>
      <c r="E4524" s="10" t="s">
        <v>2345</v>
      </c>
      <c r="F4524" s="30" t="n">
        <v>42936</v>
      </c>
      <c r="G4524" s="30" t="n">
        <v>42999</v>
      </c>
      <c r="H4524" s="26" t="n">
        <f aca="false">G4524-F4524</f>
        <v>63</v>
      </c>
      <c r="I4524" s="10" t="n">
        <f aca="false">IF(E4524="Won",1,0)</f>
        <v>0</v>
      </c>
    </row>
    <row r="4525" customFormat="false" ht="15" hidden="false" customHeight="false" outlineLevel="0" collapsed="false">
      <c r="A4525" s="10" t="s">
        <v>6866</v>
      </c>
      <c r="B4525" s="10" t="s">
        <v>76</v>
      </c>
      <c r="C4525" s="10" t="s">
        <v>49</v>
      </c>
      <c r="D4525" s="10" t="s">
        <v>311</v>
      </c>
      <c r="E4525" s="10" t="s">
        <v>2342</v>
      </c>
      <c r="F4525" s="30" t="n">
        <v>42909</v>
      </c>
      <c r="G4525" s="30" t="n">
        <v>42999</v>
      </c>
      <c r="H4525" s="26" t="n">
        <f aca="false">G4525-F4525</f>
        <v>90</v>
      </c>
      <c r="I4525" s="10" t="n">
        <f aca="false">IF(E4525="Won",1,0)</f>
        <v>1</v>
      </c>
    </row>
    <row r="4526" customFormat="false" ht="15" hidden="false" customHeight="false" outlineLevel="0" collapsed="false">
      <c r="A4526" s="10" t="s">
        <v>6867</v>
      </c>
      <c r="B4526" s="10" t="s">
        <v>97</v>
      </c>
      <c r="C4526" s="10" t="s">
        <v>52</v>
      </c>
      <c r="D4526" s="10" t="s">
        <v>175</v>
      </c>
      <c r="E4526" s="10" t="s">
        <v>2342</v>
      </c>
      <c r="F4526" s="30" t="n">
        <v>42920</v>
      </c>
      <c r="G4526" s="30" t="n">
        <v>42999</v>
      </c>
      <c r="H4526" s="26" t="n">
        <f aca="false">G4526-F4526</f>
        <v>79</v>
      </c>
      <c r="I4526" s="10" t="n">
        <f aca="false">IF(E4526="Won",1,0)</f>
        <v>1</v>
      </c>
    </row>
    <row r="4527" customFormat="false" ht="15" hidden="false" customHeight="false" outlineLevel="0" collapsed="false">
      <c r="A4527" s="10" t="s">
        <v>6868</v>
      </c>
      <c r="B4527" s="10" t="s">
        <v>83</v>
      </c>
      <c r="C4527" s="10" t="s">
        <v>51</v>
      </c>
      <c r="D4527" s="10" t="s">
        <v>1251</v>
      </c>
      <c r="E4527" s="10" t="s">
        <v>2345</v>
      </c>
      <c r="F4527" s="30" t="n">
        <v>42887</v>
      </c>
      <c r="G4527" s="30" t="n">
        <v>42999</v>
      </c>
      <c r="H4527" s="26" t="n">
        <f aca="false">G4527-F4527</f>
        <v>112</v>
      </c>
      <c r="I4527" s="10" t="n">
        <f aca="false">IF(E4527="Won",1,0)</f>
        <v>0</v>
      </c>
    </row>
    <row r="4528" customFormat="false" ht="15" hidden="false" customHeight="false" outlineLevel="0" collapsed="false">
      <c r="A4528" s="10" t="s">
        <v>6869</v>
      </c>
      <c r="B4528" s="10" t="s">
        <v>68</v>
      </c>
      <c r="C4528" s="10" t="s">
        <v>49</v>
      </c>
      <c r="D4528" s="10" t="s">
        <v>424</v>
      </c>
      <c r="E4528" s="10" t="s">
        <v>2342</v>
      </c>
      <c r="F4528" s="30" t="n">
        <v>42989</v>
      </c>
      <c r="G4528" s="30" t="n">
        <v>42999</v>
      </c>
      <c r="H4528" s="26" t="n">
        <f aca="false">G4528-F4528</f>
        <v>10</v>
      </c>
      <c r="I4528" s="10" t="n">
        <f aca="false">IF(E4528="Won",1,0)</f>
        <v>1</v>
      </c>
    </row>
    <row r="4529" customFormat="false" ht="15" hidden="false" customHeight="false" outlineLevel="0" collapsed="false">
      <c r="A4529" s="10" t="s">
        <v>6870</v>
      </c>
      <c r="B4529" s="10" t="s">
        <v>62</v>
      </c>
      <c r="C4529" s="10" t="s">
        <v>52</v>
      </c>
      <c r="D4529" s="10" t="s">
        <v>441</v>
      </c>
      <c r="E4529" s="10" t="s">
        <v>2342</v>
      </c>
      <c r="F4529" s="30" t="n">
        <v>42898</v>
      </c>
      <c r="G4529" s="30" t="n">
        <v>42999</v>
      </c>
      <c r="H4529" s="26" t="n">
        <f aca="false">G4529-F4529</f>
        <v>101</v>
      </c>
      <c r="I4529" s="10" t="n">
        <f aca="false">IF(E4529="Won",1,0)</f>
        <v>1</v>
      </c>
    </row>
    <row r="4530" customFormat="false" ht="15" hidden="false" customHeight="false" outlineLevel="0" collapsed="false">
      <c r="A4530" s="10" t="s">
        <v>6871</v>
      </c>
      <c r="B4530" s="10" t="s">
        <v>97</v>
      </c>
      <c r="C4530" s="10" t="s">
        <v>51</v>
      </c>
      <c r="D4530" s="10" t="s">
        <v>168</v>
      </c>
      <c r="E4530" s="10" t="s">
        <v>2342</v>
      </c>
      <c r="F4530" s="30" t="n">
        <v>42991</v>
      </c>
      <c r="G4530" s="30" t="n">
        <v>42999</v>
      </c>
      <c r="H4530" s="26" t="n">
        <f aca="false">G4530-F4530</f>
        <v>8</v>
      </c>
      <c r="I4530" s="10" t="n">
        <f aca="false">IF(E4530="Won",1,0)</f>
        <v>1</v>
      </c>
    </row>
    <row r="4531" customFormat="false" ht="15" hidden="false" customHeight="false" outlineLevel="0" collapsed="false">
      <c r="A4531" s="10" t="s">
        <v>6872</v>
      </c>
      <c r="B4531" s="10" t="s">
        <v>86</v>
      </c>
      <c r="C4531" s="10" t="s">
        <v>47</v>
      </c>
      <c r="D4531" s="10" t="s">
        <v>293</v>
      </c>
      <c r="E4531" s="10" t="s">
        <v>2342</v>
      </c>
      <c r="F4531" s="30" t="n">
        <v>42989</v>
      </c>
      <c r="G4531" s="30" t="n">
        <v>42999</v>
      </c>
      <c r="H4531" s="26" t="n">
        <f aca="false">G4531-F4531</f>
        <v>10</v>
      </c>
      <c r="I4531" s="10" t="n">
        <f aca="false">IF(E4531="Won",1,0)</f>
        <v>1</v>
      </c>
    </row>
    <row r="4532" customFormat="false" ht="15" hidden="false" customHeight="false" outlineLevel="0" collapsed="false">
      <c r="A4532" s="10" t="s">
        <v>6873</v>
      </c>
      <c r="B4532" s="10" t="s">
        <v>88</v>
      </c>
      <c r="C4532" s="10" t="s">
        <v>47</v>
      </c>
      <c r="D4532" s="10" t="s">
        <v>637</v>
      </c>
      <c r="E4532" s="10" t="s">
        <v>2342</v>
      </c>
      <c r="F4532" s="30" t="n">
        <v>42896</v>
      </c>
      <c r="G4532" s="30" t="n">
        <v>42999</v>
      </c>
      <c r="H4532" s="26" t="n">
        <f aca="false">G4532-F4532</f>
        <v>103</v>
      </c>
      <c r="I4532" s="10" t="n">
        <f aca="false">IF(E4532="Won",1,0)</f>
        <v>1</v>
      </c>
    </row>
    <row r="4533" customFormat="false" ht="15" hidden="false" customHeight="false" outlineLevel="0" collapsed="false">
      <c r="A4533" s="10" t="s">
        <v>6874</v>
      </c>
      <c r="B4533" s="10" t="s">
        <v>70</v>
      </c>
      <c r="C4533" s="10" t="s">
        <v>48</v>
      </c>
      <c r="D4533" s="10" t="s">
        <v>233</v>
      </c>
      <c r="E4533" s="10" t="s">
        <v>2342</v>
      </c>
      <c r="F4533" s="30" t="n">
        <v>42881</v>
      </c>
      <c r="G4533" s="30" t="n">
        <v>42999</v>
      </c>
      <c r="H4533" s="26" t="n">
        <f aca="false">G4533-F4533</f>
        <v>118</v>
      </c>
      <c r="I4533" s="10" t="n">
        <f aca="false">IF(E4533="Won",1,0)</f>
        <v>1</v>
      </c>
    </row>
    <row r="4534" customFormat="false" ht="15" hidden="false" customHeight="false" outlineLevel="0" collapsed="false">
      <c r="A4534" s="10" t="s">
        <v>6875</v>
      </c>
      <c r="B4534" s="10" t="s">
        <v>75</v>
      </c>
      <c r="C4534" s="10" t="s">
        <v>49</v>
      </c>
      <c r="D4534" s="10" t="s">
        <v>536</v>
      </c>
      <c r="E4534" s="10" t="s">
        <v>2342</v>
      </c>
      <c r="F4534" s="30" t="n">
        <v>42908</v>
      </c>
      <c r="G4534" s="30" t="n">
        <v>42999</v>
      </c>
      <c r="H4534" s="26" t="n">
        <f aca="false">G4534-F4534</f>
        <v>91</v>
      </c>
      <c r="I4534" s="10" t="n">
        <f aca="false">IF(E4534="Won",1,0)</f>
        <v>1</v>
      </c>
    </row>
    <row r="4535" customFormat="false" ht="15" hidden="false" customHeight="false" outlineLevel="0" collapsed="false">
      <c r="A4535" s="10" t="s">
        <v>6876</v>
      </c>
      <c r="B4535" s="10" t="s">
        <v>60</v>
      </c>
      <c r="C4535" s="10" t="s">
        <v>47</v>
      </c>
      <c r="D4535" s="10" t="s">
        <v>637</v>
      </c>
      <c r="E4535" s="10" t="s">
        <v>2345</v>
      </c>
      <c r="F4535" s="30" t="n">
        <v>42879</v>
      </c>
      <c r="G4535" s="30" t="n">
        <v>42999</v>
      </c>
      <c r="H4535" s="26" t="n">
        <f aca="false">G4535-F4535</f>
        <v>120</v>
      </c>
      <c r="I4535" s="10" t="n">
        <f aca="false">IF(E4535="Won",1,0)</f>
        <v>0</v>
      </c>
    </row>
    <row r="4536" customFormat="false" ht="15" hidden="false" customHeight="false" outlineLevel="0" collapsed="false">
      <c r="A4536" s="10" t="s">
        <v>6877</v>
      </c>
      <c r="B4536" s="10" t="s">
        <v>96</v>
      </c>
      <c r="C4536" s="10" t="s">
        <v>47</v>
      </c>
      <c r="D4536" s="10" t="s">
        <v>506</v>
      </c>
      <c r="E4536" s="10" t="s">
        <v>2342</v>
      </c>
      <c r="F4536" s="30" t="n">
        <v>42988</v>
      </c>
      <c r="G4536" s="30" t="n">
        <v>42999</v>
      </c>
      <c r="H4536" s="26" t="n">
        <f aca="false">G4536-F4536</f>
        <v>11</v>
      </c>
      <c r="I4536" s="10" t="n">
        <f aca="false">IF(E4536="Won",1,0)</f>
        <v>1</v>
      </c>
    </row>
    <row r="4537" customFormat="false" ht="15" hidden="false" customHeight="false" outlineLevel="0" collapsed="false">
      <c r="A4537" s="10" t="s">
        <v>6878</v>
      </c>
      <c r="B4537" s="10" t="s">
        <v>88</v>
      </c>
      <c r="C4537" s="10" t="s">
        <v>50</v>
      </c>
      <c r="D4537" s="10" t="s">
        <v>674</v>
      </c>
      <c r="E4537" s="10" t="s">
        <v>2342</v>
      </c>
      <c r="F4537" s="30" t="n">
        <v>42994</v>
      </c>
      <c r="G4537" s="30" t="n">
        <v>42999</v>
      </c>
      <c r="H4537" s="26" t="n">
        <f aca="false">G4537-F4537</f>
        <v>5</v>
      </c>
      <c r="I4537" s="10" t="n">
        <f aca="false">IF(E4537="Won",1,0)</f>
        <v>1</v>
      </c>
    </row>
    <row r="4538" customFormat="false" ht="15" hidden="false" customHeight="false" outlineLevel="0" collapsed="false">
      <c r="A4538" s="10" t="s">
        <v>6879</v>
      </c>
      <c r="B4538" s="10" t="s">
        <v>61</v>
      </c>
      <c r="C4538" s="10" t="s">
        <v>48</v>
      </c>
      <c r="D4538" s="10" t="s">
        <v>210</v>
      </c>
      <c r="E4538" s="10" t="s">
        <v>2342</v>
      </c>
      <c r="F4538" s="30" t="n">
        <v>42905</v>
      </c>
      <c r="G4538" s="30" t="n">
        <v>42999</v>
      </c>
      <c r="H4538" s="26" t="n">
        <f aca="false">G4538-F4538</f>
        <v>94</v>
      </c>
      <c r="I4538" s="10" t="n">
        <f aca="false">IF(E4538="Won",1,0)</f>
        <v>1</v>
      </c>
    </row>
    <row r="4539" customFormat="false" ht="15" hidden="false" customHeight="false" outlineLevel="0" collapsed="false">
      <c r="A4539" s="10" t="s">
        <v>6880</v>
      </c>
      <c r="B4539" s="10" t="s">
        <v>90</v>
      </c>
      <c r="C4539" s="10" t="s">
        <v>51</v>
      </c>
      <c r="D4539" s="10" t="s">
        <v>1118</v>
      </c>
      <c r="E4539" s="10" t="s">
        <v>2342</v>
      </c>
      <c r="F4539" s="30" t="n">
        <v>42974</v>
      </c>
      <c r="G4539" s="30" t="n">
        <v>42999</v>
      </c>
      <c r="H4539" s="26" t="n">
        <f aca="false">G4539-F4539</f>
        <v>25</v>
      </c>
      <c r="I4539" s="10" t="n">
        <f aca="false">IF(E4539="Won",1,0)</f>
        <v>1</v>
      </c>
    </row>
    <row r="4540" customFormat="false" ht="15" hidden="false" customHeight="false" outlineLevel="0" collapsed="false">
      <c r="A4540" s="10" t="s">
        <v>6881</v>
      </c>
      <c r="B4540" s="10" t="s">
        <v>84</v>
      </c>
      <c r="C4540" s="10" t="s">
        <v>48</v>
      </c>
      <c r="D4540" s="10" t="s">
        <v>1397</v>
      </c>
      <c r="E4540" s="10" t="s">
        <v>2342</v>
      </c>
      <c r="F4540" s="30" t="n">
        <v>42909</v>
      </c>
      <c r="G4540" s="30" t="n">
        <v>42999</v>
      </c>
      <c r="H4540" s="26" t="n">
        <f aca="false">G4540-F4540</f>
        <v>90</v>
      </c>
      <c r="I4540" s="10" t="n">
        <f aca="false">IF(E4540="Won",1,0)</f>
        <v>1</v>
      </c>
    </row>
    <row r="4541" customFormat="false" ht="15" hidden="false" customHeight="false" outlineLevel="0" collapsed="false">
      <c r="A4541" s="10" t="s">
        <v>6882</v>
      </c>
      <c r="B4541" s="10" t="s">
        <v>97</v>
      </c>
      <c r="C4541" s="10" t="s">
        <v>50</v>
      </c>
      <c r="D4541" s="10" t="s">
        <v>606</v>
      </c>
      <c r="E4541" s="10" t="s">
        <v>2342</v>
      </c>
      <c r="F4541" s="30" t="n">
        <v>42933</v>
      </c>
      <c r="G4541" s="30" t="n">
        <v>42999</v>
      </c>
      <c r="H4541" s="26" t="n">
        <f aca="false">G4541-F4541</f>
        <v>66</v>
      </c>
      <c r="I4541" s="10" t="n">
        <f aca="false">IF(E4541="Won",1,0)</f>
        <v>1</v>
      </c>
    </row>
    <row r="4542" customFormat="false" ht="15" hidden="false" customHeight="false" outlineLevel="0" collapsed="false">
      <c r="A4542" s="10" t="s">
        <v>6883</v>
      </c>
      <c r="B4542" s="10" t="s">
        <v>57</v>
      </c>
      <c r="C4542" s="10" t="s">
        <v>50</v>
      </c>
      <c r="D4542" s="10" t="s">
        <v>185</v>
      </c>
      <c r="E4542" s="10" t="s">
        <v>2342</v>
      </c>
      <c r="F4542" s="30" t="n">
        <v>42905</v>
      </c>
      <c r="G4542" s="30" t="n">
        <v>42999</v>
      </c>
      <c r="H4542" s="26" t="n">
        <f aca="false">G4542-F4542</f>
        <v>94</v>
      </c>
      <c r="I4542" s="10" t="n">
        <f aca="false">IF(E4542="Won",1,0)</f>
        <v>1</v>
      </c>
    </row>
    <row r="4543" customFormat="false" ht="15" hidden="false" customHeight="false" outlineLevel="0" collapsed="false">
      <c r="A4543" s="10" t="s">
        <v>6884</v>
      </c>
      <c r="B4543" s="10" t="s">
        <v>76</v>
      </c>
      <c r="C4543" s="10" t="s">
        <v>52</v>
      </c>
      <c r="D4543" s="10" t="s">
        <v>267</v>
      </c>
      <c r="E4543" s="10" t="s">
        <v>2345</v>
      </c>
      <c r="F4543" s="30" t="n">
        <v>42997</v>
      </c>
      <c r="G4543" s="30" t="n">
        <v>43000</v>
      </c>
      <c r="H4543" s="26" t="n">
        <f aca="false">G4543-F4543</f>
        <v>3</v>
      </c>
      <c r="I4543" s="10" t="n">
        <f aca="false">IF(E4543="Won",1,0)</f>
        <v>0</v>
      </c>
    </row>
    <row r="4544" customFormat="false" ht="15" hidden="false" customHeight="false" outlineLevel="0" collapsed="false">
      <c r="A4544" s="10" t="s">
        <v>6885</v>
      </c>
      <c r="B4544" s="10" t="s">
        <v>95</v>
      </c>
      <c r="C4544" s="10" t="s">
        <v>52</v>
      </c>
      <c r="D4544" s="10" t="s">
        <v>348</v>
      </c>
      <c r="E4544" s="10" t="s">
        <v>2342</v>
      </c>
      <c r="F4544" s="30" t="n">
        <v>42897</v>
      </c>
      <c r="G4544" s="30" t="n">
        <v>43000</v>
      </c>
      <c r="H4544" s="26" t="n">
        <f aca="false">G4544-F4544</f>
        <v>103</v>
      </c>
      <c r="I4544" s="10" t="n">
        <f aca="false">IF(E4544="Won",1,0)</f>
        <v>1</v>
      </c>
    </row>
    <row r="4545" customFormat="false" ht="15" hidden="false" customHeight="false" outlineLevel="0" collapsed="false">
      <c r="A4545" s="10" t="s">
        <v>6886</v>
      </c>
      <c r="B4545" s="10" t="s">
        <v>73</v>
      </c>
      <c r="C4545" s="10" t="s">
        <v>51</v>
      </c>
      <c r="D4545" s="10" t="s">
        <v>422</v>
      </c>
      <c r="E4545" s="10" t="s">
        <v>2342</v>
      </c>
      <c r="F4545" s="30" t="n">
        <v>42987</v>
      </c>
      <c r="G4545" s="30" t="n">
        <v>43000</v>
      </c>
      <c r="H4545" s="26" t="n">
        <f aca="false">G4545-F4545</f>
        <v>13</v>
      </c>
      <c r="I4545" s="10" t="n">
        <f aca="false">IF(E4545="Won",1,0)</f>
        <v>1</v>
      </c>
    </row>
    <row r="4546" customFormat="false" ht="15" hidden="false" customHeight="false" outlineLevel="0" collapsed="false">
      <c r="A4546" s="10" t="s">
        <v>6887</v>
      </c>
      <c r="B4546" s="10" t="s">
        <v>96</v>
      </c>
      <c r="C4546" s="10" t="s">
        <v>51</v>
      </c>
      <c r="D4546" s="10" t="s">
        <v>483</v>
      </c>
      <c r="E4546" s="10" t="s">
        <v>2342</v>
      </c>
      <c r="F4546" s="30" t="n">
        <v>42959</v>
      </c>
      <c r="G4546" s="30" t="n">
        <v>43000</v>
      </c>
      <c r="H4546" s="26" t="n">
        <f aca="false">G4546-F4546</f>
        <v>41</v>
      </c>
      <c r="I4546" s="10" t="n">
        <f aca="false">IF(E4546="Won",1,0)</f>
        <v>1</v>
      </c>
    </row>
    <row r="4547" customFormat="false" ht="15" hidden="false" customHeight="false" outlineLevel="0" collapsed="false">
      <c r="A4547" s="10" t="s">
        <v>6888</v>
      </c>
      <c r="B4547" s="10" t="s">
        <v>84</v>
      </c>
      <c r="C4547" s="10" t="s">
        <v>48</v>
      </c>
      <c r="D4547" s="10" t="s">
        <v>692</v>
      </c>
      <c r="E4547" s="10" t="s">
        <v>2342</v>
      </c>
      <c r="F4547" s="30" t="n">
        <v>42987</v>
      </c>
      <c r="G4547" s="30" t="n">
        <v>43000</v>
      </c>
      <c r="H4547" s="26" t="n">
        <f aca="false">G4547-F4547</f>
        <v>13</v>
      </c>
      <c r="I4547" s="10" t="n">
        <f aca="false">IF(E4547="Won",1,0)</f>
        <v>1</v>
      </c>
    </row>
    <row r="4548" customFormat="false" ht="15" hidden="false" customHeight="false" outlineLevel="0" collapsed="false">
      <c r="A4548" s="10" t="s">
        <v>6889</v>
      </c>
      <c r="B4548" s="10" t="s">
        <v>96</v>
      </c>
      <c r="C4548" s="10" t="s">
        <v>50</v>
      </c>
      <c r="D4548" s="10" t="s">
        <v>233</v>
      </c>
      <c r="E4548" s="10" t="s">
        <v>2342</v>
      </c>
      <c r="F4548" s="30" t="n">
        <v>42907</v>
      </c>
      <c r="G4548" s="30" t="n">
        <v>43000</v>
      </c>
      <c r="H4548" s="26" t="n">
        <f aca="false">G4548-F4548</f>
        <v>93</v>
      </c>
      <c r="I4548" s="10" t="n">
        <f aca="false">IF(E4548="Won",1,0)</f>
        <v>1</v>
      </c>
    </row>
    <row r="4549" customFormat="false" ht="15" hidden="false" customHeight="false" outlineLevel="0" collapsed="false">
      <c r="A4549" s="10" t="s">
        <v>6890</v>
      </c>
      <c r="B4549" s="10" t="s">
        <v>94</v>
      </c>
      <c r="C4549" s="10" t="s">
        <v>47</v>
      </c>
      <c r="D4549" s="10" t="s">
        <v>424</v>
      </c>
      <c r="E4549" s="10" t="s">
        <v>2342</v>
      </c>
      <c r="F4549" s="30" t="n">
        <v>42926</v>
      </c>
      <c r="G4549" s="30" t="n">
        <v>43000</v>
      </c>
      <c r="H4549" s="26" t="n">
        <f aca="false">G4549-F4549</f>
        <v>74</v>
      </c>
      <c r="I4549" s="10" t="n">
        <f aca="false">IF(E4549="Won",1,0)</f>
        <v>1</v>
      </c>
    </row>
    <row r="4550" customFormat="false" ht="15" hidden="false" customHeight="false" outlineLevel="0" collapsed="false">
      <c r="A4550" s="10" t="s">
        <v>6891</v>
      </c>
      <c r="B4550" s="10" t="s">
        <v>70</v>
      </c>
      <c r="C4550" s="10" t="s">
        <v>48</v>
      </c>
      <c r="D4550" s="10" t="s">
        <v>233</v>
      </c>
      <c r="E4550" s="10" t="s">
        <v>2345</v>
      </c>
      <c r="F4550" s="30" t="n">
        <v>42933</v>
      </c>
      <c r="G4550" s="30" t="n">
        <v>43000</v>
      </c>
      <c r="H4550" s="26" t="n">
        <f aca="false">G4550-F4550</f>
        <v>67</v>
      </c>
      <c r="I4550" s="10" t="n">
        <f aca="false">IF(E4550="Won",1,0)</f>
        <v>0</v>
      </c>
    </row>
    <row r="4551" customFormat="false" ht="15" hidden="false" customHeight="false" outlineLevel="0" collapsed="false">
      <c r="A4551" s="10" t="s">
        <v>6892</v>
      </c>
      <c r="B4551" s="10" t="s">
        <v>94</v>
      </c>
      <c r="C4551" s="10" t="s">
        <v>51</v>
      </c>
      <c r="D4551" s="10" t="s">
        <v>172</v>
      </c>
      <c r="E4551" s="10" t="s">
        <v>2342</v>
      </c>
      <c r="F4551" s="30" t="n">
        <v>42911</v>
      </c>
      <c r="G4551" s="30" t="n">
        <v>43000</v>
      </c>
      <c r="H4551" s="26" t="n">
        <f aca="false">G4551-F4551</f>
        <v>89</v>
      </c>
      <c r="I4551" s="10" t="n">
        <f aca="false">IF(E4551="Won",1,0)</f>
        <v>1</v>
      </c>
    </row>
    <row r="4552" customFormat="false" ht="15" hidden="false" customHeight="false" outlineLevel="0" collapsed="false">
      <c r="A4552" s="10" t="s">
        <v>6893</v>
      </c>
      <c r="B4552" s="10" t="s">
        <v>79</v>
      </c>
      <c r="C4552" s="10" t="s">
        <v>48</v>
      </c>
      <c r="D4552" s="10" t="s">
        <v>291</v>
      </c>
      <c r="E4552" s="10" t="s">
        <v>2342</v>
      </c>
      <c r="F4552" s="30" t="n">
        <v>42954</v>
      </c>
      <c r="G4552" s="30" t="n">
        <v>43000</v>
      </c>
      <c r="H4552" s="26" t="n">
        <f aca="false">G4552-F4552</f>
        <v>46</v>
      </c>
      <c r="I4552" s="10" t="n">
        <f aca="false">IF(E4552="Won",1,0)</f>
        <v>1</v>
      </c>
    </row>
    <row r="4553" customFormat="false" ht="15" hidden="false" customHeight="false" outlineLevel="0" collapsed="false">
      <c r="A4553" s="10" t="s">
        <v>6894</v>
      </c>
      <c r="B4553" s="10" t="s">
        <v>88</v>
      </c>
      <c r="C4553" s="10" t="s">
        <v>51</v>
      </c>
      <c r="D4553" s="10" t="s">
        <v>233</v>
      </c>
      <c r="E4553" s="10" t="s">
        <v>2345</v>
      </c>
      <c r="F4553" s="30" t="n">
        <v>42986</v>
      </c>
      <c r="G4553" s="30" t="n">
        <v>43000</v>
      </c>
      <c r="H4553" s="26" t="n">
        <f aca="false">G4553-F4553</f>
        <v>14</v>
      </c>
      <c r="I4553" s="10" t="n">
        <f aca="false">IF(E4553="Won",1,0)</f>
        <v>0</v>
      </c>
    </row>
    <row r="4554" customFormat="false" ht="15" hidden="false" customHeight="false" outlineLevel="0" collapsed="false">
      <c r="A4554" s="10" t="s">
        <v>6895</v>
      </c>
      <c r="B4554" s="10" t="s">
        <v>81</v>
      </c>
      <c r="C4554" s="10" t="s">
        <v>49</v>
      </c>
      <c r="D4554" s="10" t="s">
        <v>179</v>
      </c>
      <c r="E4554" s="10" t="s">
        <v>2345</v>
      </c>
      <c r="F4554" s="30" t="n">
        <v>42909</v>
      </c>
      <c r="G4554" s="30" t="n">
        <v>43000</v>
      </c>
      <c r="H4554" s="26" t="n">
        <f aca="false">G4554-F4554</f>
        <v>91</v>
      </c>
      <c r="I4554" s="10" t="n">
        <f aca="false">IF(E4554="Won",1,0)</f>
        <v>0</v>
      </c>
    </row>
    <row r="4555" customFormat="false" ht="15" hidden="false" customHeight="false" outlineLevel="0" collapsed="false">
      <c r="A4555" s="10" t="s">
        <v>6896</v>
      </c>
      <c r="B4555" s="10" t="s">
        <v>95</v>
      </c>
      <c r="C4555" s="10" t="s">
        <v>51</v>
      </c>
      <c r="D4555" s="10" t="s">
        <v>326</v>
      </c>
      <c r="E4555" s="10" t="s">
        <v>2342</v>
      </c>
      <c r="F4555" s="30" t="n">
        <v>42908</v>
      </c>
      <c r="G4555" s="30" t="n">
        <v>43000</v>
      </c>
      <c r="H4555" s="26" t="n">
        <f aca="false">G4555-F4555</f>
        <v>92</v>
      </c>
      <c r="I4555" s="10" t="n">
        <f aca="false">IF(E4555="Won",1,0)</f>
        <v>1</v>
      </c>
    </row>
    <row r="4556" customFormat="false" ht="15" hidden="false" customHeight="false" outlineLevel="0" collapsed="false">
      <c r="A4556" s="10" t="s">
        <v>6897</v>
      </c>
      <c r="B4556" s="10" t="s">
        <v>90</v>
      </c>
      <c r="C4556" s="10" t="s">
        <v>49</v>
      </c>
      <c r="D4556" s="10" t="s">
        <v>185</v>
      </c>
      <c r="E4556" s="10" t="s">
        <v>2342</v>
      </c>
      <c r="F4556" s="30" t="n">
        <v>42886</v>
      </c>
      <c r="G4556" s="30" t="n">
        <v>43000</v>
      </c>
      <c r="H4556" s="26" t="n">
        <f aca="false">G4556-F4556</f>
        <v>114</v>
      </c>
      <c r="I4556" s="10" t="n">
        <f aca="false">IF(E4556="Won",1,0)</f>
        <v>1</v>
      </c>
    </row>
    <row r="4557" customFormat="false" ht="15" hidden="false" customHeight="false" outlineLevel="0" collapsed="false">
      <c r="A4557" s="10" t="s">
        <v>6898</v>
      </c>
      <c r="B4557" s="10" t="s">
        <v>95</v>
      </c>
      <c r="C4557" s="10" t="s">
        <v>48</v>
      </c>
      <c r="D4557" s="10" t="s">
        <v>506</v>
      </c>
      <c r="E4557" s="10" t="s">
        <v>2342</v>
      </c>
      <c r="F4557" s="30" t="n">
        <v>42905</v>
      </c>
      <c r="G4557" s="30" t="n">
        <v>43000</v>
      </c>
      <c r="H4557" s="26" t="n">
        <f aca="false">G4557-F4557</f>
        <v>95</v>
      </c>
      <c r="I4557" s="10" t="n">
        <f aca="false">IF(E4557="Won",1,0)</f>
        <v>1</v>
      </c>
    </row>
    <row r="4558" customFormat="false" ht="15" hidden="false" customHeight="false" outlineLevel="0" collapsed="false">
      <c r="A4558" s="10" t="s">
        <v>6899</v>
      </c>
      <c r="B4558" s="10" t="s">
        <v>90</v>
      </c>
      <c r="C4558" s="10" t="s">
        <v>48</v>
      </c>
      <c r="D4558" s="10" t="s">
        <v>692</v>
      </c>
      <c r="E4558" s="10" t="s">
        <v>2342</v>
      </c>
      <c r="F4558" s="30" t="n">
        <v>42895</v>
      </c>
      <c r="G4558" s="30" t="n">
        <v>43000</v>
      </c>
      <c r="H4558" s="26" t="n">
        <f aca="false">G4558-F4558</f>
        <v>105</v>
      </c>
      <c r="I4558" s="10" t="n">
        <f aca="false">IF(E4558="Won",1,0)</f>
        <v>1</v>
      </c>
    </row>
    <row r="4559" customFormat="false" ht="15" hidden="false" customHeight="false" outlineLevel="0" collapsed="false">
      <c r="A4559" s="10" t="s">
        <v>6900</v>
      </c>
      <c r="B4559" s="10" t="s">
        <v>62</v>
      </c>
      <c r="C4559" s="10" t="s">
        <v>52</v>
      </c>
      <c r="D4559" s="10" t="s">
        <v>532</v>
      </c>
      <c r="E4559" s="10" t="s">
        <v>2342</v>
      </c>
      <c r="F4559" s="30" t="n">
        <v>42978</v>
      </c>
      <c r="G4559" s="30" t="n">
        <v>43000</v>
      </c>
      <c r="H4559" s="26" t="n">
        <f aca="false">G4559-F4559</f>
        <v>22</v>
      </c>
      <c r="I4559" s="10" t="n">
        <f aca="false">IF(E4559="Won",1,0)</f>
        <v>1</v>
      </c>
    </row>
    <row r="4560" customFormat="false" ht="15" hidden="false" customHeight="false" outlineLevel="0" collapsed="false">
      <c r="A4560" s="10" t="s">
        <v>6901</v>
      </c>
      <c r="B4560" s="10" t="s">
        <v>87</v>
      </c>
      <c r="C4560" s="10" t="s">
        <v>48</v>
      </c>
      <c r="D4560" s="10" t="s">
        <v>332</v>
      </c>
      <c r="E4560" s="10" t="s">
        <v>2342</v>
      </c>
      <c r="F4560" s="30" t="n">
        <v>42898</v>
      </c>
      <c r="G4560" s="30" t="n">
        <v>43001</v>
      </c>
      <c r="H4560" s="26" t="n">
        <f aca="false">G4560-F4560</f>
        <v>103</v>
      </c>
      <c r="I4560" s="10" t="n">
        <f aca="false">IF(E4560="Won",1,0)</f>
        <v>1</v>
      </c>
    </row>
    <row r="4561" customFormat="false" ht="15" hidden="false" customHeight="false" outlineLevel="0" collapsed="false">
      <c r="A4561" s="10" t="s">
        <v>6902</v>
      </c>
      <c r="B4561" s="10" t="s">
        <v>70</v>
      </c>
      <c r="C4561" s="10" t="s">
        <v>52</v>
      </c>
      <c r="D4561" s="10" t="s">
        <v>483</v>
      </c>
      <c r="E4561" s="10" t="s">
        <v>2342</v>
      </c>
      <c r="F4561" s="30" t="n">
        <v>42938</v>
      </c>
      <c r="G4561" s="30" t="n">
        <v>43001</v>
      </c>
      <c r="H4561" s="26" t="n">
        <f aca="false">G4561-F4561</f>
        <v>63</v>
      </c>
      <c r="I4561" s="10" t="n">
        <f aca="false">IF(E4561="Won",1,0)</f>
        <v>1</v>
      </c>
    </row>
    <row r="4562" customFormat="false" ht="15" hidden="false" customHeight="false" outlineLevel="0" collapsed="false">
      <c r="A4562" s="10" t="s">
        <v>6903</v>
      </c>
      <c r="B4562" s="10" t="s">
        <v>74</v>
      </c>
      <c r="C4562" s="10" t="s">
        <v>51</v>
      </c>
      <c r="D4562" s="10" t="s">
        <v>527</v>
      </c>
      <c r="E4562" s="10" t="s">
        <v>2342</v>
      </c>
      <c r="F4562" s="30" t="n">
        <v>42880</v>
      </c>
      <c r="G4562" s="30" t="n">
        <v>43001</v>
      </c>
      <c r="H4562" s="26" t="n">
        <f aca="false">G4562-F4562</f>
        <v>121</v>
      </c>
      <c r="I4562" s="10" t="n">
        <f aca="false">IF(E4562="Won",1,0)</f>
        <v>1</v>
      </c>
    </row>
    <row r="4563" customFormat="false" ht="15" hidden="false" customHeight="false" outlineLevel="0" collapsed="false">
      <c r="A4563" s="10" t="s">
        <v>6904</v>
      </c>
      <c r="B4563" s="10" t="s">
        <v>83</v>
      </c>
      <c r="C4563" s="10" t="s">
        <v>50</v>
      </c>
      <c r="D4563" s="10" t="s">
        <v>660</v>
      </c>
      <c r="E4563" s="10" t="s">
        <v>2342</v>
      </c>
      <c r="F4563" s="30" t="n">
        <v>42918</v>
      </c>
      <c r="G4563" s="30" t="n">
        <v>43001</v>
      </c>
      <c r="H4563" s="26" t="n">
        <f aca="false">G4563-F4563</f>
        <v>83</v>
      </c>
      <c r="I4563" s="10" t="n">
        <f aca="false">IF(E4563="Won",1,0)</f>
        <v>1</v>
      </c>
    </row>
    <row r="4564" customFormat="false" ht="15" hidden="false" customHeight="false" outlineLevel="0" collapsed="false">
      <c r="A4564" s="10" t="s">
        <v>6905</v>
      </c>
      <c r="B4564" s="10" t="s">
        <v>63</v>
      </c>
      <c r="C4564" s="10" t="s">
        <v>47</v>
      </c>
      <c r="D4564" s="10" t="s">
        <v>455</v>
      </c>
      <c r="E4564" s="10" t="s">
        <v>2342</v>
      </c>
      <c r="F4564" s="30" t="n">
        <v>42881</v>
      </c>
      <c r="G4564" s="30" t="n">
        <v>43001</v>
      </c>
      <c r="H4564" s="26" t="n">
        <f aca="false">G4564-F4564</f>
        <v>120</v>
      </c>
      <c r="I4564" s="10" t="n">
        <f aca="false">IF(E4564="Won",1,0)</f>
        <v>1</v>
      </c>
    </row>
    <row r="4565" customFormat="false" ht="15" hidden="false" customHeight="false" outlineLevel="0" collapsed="false">
      <c r="A4565" s="10" t="s">
        <v>6906</v>
      </c>
      <c r="B4565" s="10" t="s">
        <v>97</v>
      </c>
      <c r="C4565" s="10" t="s">
        <v>47</v>
      </c>
      <c r="D4565" s="10" t="s">
        <v>299</v>
      </c>
      <c r="E4565" s="10" t="s">
        <v>2342</v>
      </c>
      <c r="F4565" s="30" t="n">
        <v>42910</v>
      </c>
      <c r="G4565" s="30" t="n">
        <v>43001</v>
      </c>
      <c r="H4565" s="26" t="n">
        <f aca="false">G4565-F4565</f>
        <v>91</v>
      </c>
      <c r="I4565" s="10" t="n">
        <f aca="false">IF(E4565="Won",1,0)</f>
        <v>1</v>
      </c>
    </row>
    <row r="4566" customFormat="false" ht="15" hidden="false" customHeight="false" outlineLevel="0" collapsed="false">
      <c r="A4566" s="10" t="s">
        <v>6907</v>
      </c>
      <c r="B4566" s="10" t="s">
        <v>88</v>
      </c>
      <c r="C4566" s="10" t="s">
        <v>51</v>
      </c>
      <c r="D4566" s="10" t="s">
        <v>161</v>
      </c>
      <c r="E4566" s="10" t="s">
        <v>2342</v>
      </c>
      <c r="F4566" s="30" t="n">
        <v>42920</v>
      </c>
      <c r="G4566" s="30" t="n">
        <v>43001</v>
      </c>
      <c r="H4566" s="26" t="n">
        <f aca="false">G4566-F4566</f>
        <v>81</v>
      </c>
      <c r="I4566" s="10" t="n">
        <f aca="false">IF(E4566="Won",1,0)</f>
        <v>1</v>
      </c>
    </row>
    <row r="4567" customFormat="false" ht="15" hidden="false" customHeight="false" outlineLevel="0" collapsed="false">
      <c r="A4567" s="10" t="s">
        <v>6908</v>
      </c>
      <c r="B4567" s="10" t="s">
        <v>86</v>
      </c>
      <c r="C4567" s="10" t="s">
        <v>52</v>
      </c>
      <c r="D4567" s="10" t="s">
        <v>441</v>
      </c>
      <c r="E4567" s="10" t="s">
        <v>2342</v>
      </c>
      <c r="F4567" s="30" t="n">
        <v>42904</v>
      </c>
      <c r="G4567" s="30" t="n">
        <v>43001</v>
      </c>
      <c r="H4567" s="26" t="n">
        <f aca="false">G4567-F4567</f>
        <v>97</v>
      </c>
      <c r="I4567" s="10" t="n">
        <f aca="false">IF(E4567="Won",1,0)</f>
        <v>1</v>
      </c>
    </row>
    <row r="4568" customFormat="false" ht="15" hidden="false" customHeight="false" outlineLevel="0" collapsed="false">
      <c r="A4568" s="10" t="s">
        <v>6909</v>
      </c>
      <c r="B4568" s="10" t="s">
        <v>68</v>
      </c>
      <c r="C4568" s="10" t="s">
        <v>51</v>
      </c>
      <c r="D4568" s="10" t="s">
        <v>227</v>
      </c>
      <c r="E4568" s="10" t="s">
        <v>2342</v>
      </c>
      <c r="F4568" s="30" t="n">
        <v>42886</v>
      </c>
      <c r="G4568" s="30" t="n">
        <v>43001</v>
      </c>
      <c r="H4568" s="26" t="n">
        <f aca="false">G4568-F4568</f>
        <v>115</v>
      </c>
      <c r="I4568" s="10" t="n">
        <f aca="false">IF(E4568="Won",1,0)</f>
        <v>1</v>
      </c>
    </row>
    <row r="4569" customFormat="false" ht="15" hidden="false" customHeight="false" outlineLevel="0" collapsed="false">
      <c r="A4569" s="10" t="s">
        <v>6910</v>
      </c>
      <c r="B4569" s="10" t="s">
        <v>57</v>
      </c>
      <c r="C4569" s="10" t="s">
        <v>47</v>
      </c>
      <c r="D4569" s="10" t="s">
        <v>286</v>
      </c>
      <c r="E4569" s="10" t="s">
        <v>2342</v>
      </c>
      <c r="F4569" s="30" t="n">
        <v>42930</v>
      </c>
      <c r="G4569" s="30" t="n">
        <v>43001</v>
      </c>
      <c r="H4569" s="26" t="n">
        <f aca="false">G4569-F4569</f>
        <v>71</v>
      </c>
      <c r="I4569" s="10" t="n">
        <f aca="false">IF(E4569="Won",1,0)</f>
        <v>1</v>
      </c>
    </row>
    <row r="4570" customFormat="false" ht="15" hidden="false" customHeight="false" outlineLevel="0" collapsed="false">
      <c r="A4570" s="10" t="s">
        <v>6911</v>
      </c>
      <c r="B4570" s="10" t="s">
        <v>94</v>
      </c>
      <c r="C4570" s="10" t="s">
        <v>48</v>
      </c>
      <c r="D4570" s="10" t="s">
        <v>514</v>
      </c>
      <c r="E4570" s="10" t="s">
        <v>2342</v>
      </c>
      <c r="F4570" s="30" t="n">
        <v>42881</v>
      </c>
      <c r="G4570" s="30" t="n">
        <v>43001</v>
      </c>
      <c r="H4570" s="26" t="n">
        <f aca="false">G4570-F4570</f>
        <v>120</v>
      </c>
      <c r="I4570" s="10" t="n">
        <f aca="false">IF(E4570="Won",1,0)</f>
        <v>1</v>
      </c>
    </row>
    <row r="4571" customFormat="false" ht="15" hidden="false" customHeight="false" outlineLevel="0" collapsed="false">
      <c r="A4571" s="10" t="s">
        <v>6912</v>
      </c>
      <c r="B4571" s="10" t="s">
        <v>70</v>
      </c>
      <c r="C4571" s="10" t="s">
        <v>52</v>
      </c>
      <c r="D4571" s="10" t="s">
        <v>286</v>
      </c>
      <c r="E4571" s="10" t="s">
        <v>2342</v>
      </c>
      <c r="F4571" s="30" t="n">
        <v>42980</v>
      </c>
      <c r="G4571" s="30" t="n">
        <v>43001</v>
      </c>
      <c r="H4571" s="26" t="n">
        <f aca="false">G4571-F4571</f>
        <v>21</v>
      </c>
      <c r="I4571" s="10" t="n">
        <f aca="false">IF(E4571="Won",1,0)</f>
        <v>1</v>
      </c>
    </row>
    <row r="4572" customFormat="false" ht="15" hidden="false" customHeight="false" outlineLevel="0" collapsed="false">
      <c r="A4572" s="10" t="s">
        <v>6913</v>
      </c>
      <c r="B4572" s="10" t="s">
        <v>71</v>
      </c>
      <c r="C4572" s="10" t="s">
        <v>52</v>
      </c>
      <c r="D4572" s="10" t="s">
        <v>869</v>
      </c>
      <c r="E4572" s="10" t="s">
        <v>2342</v>
      </c>
      <c r="F4572" s="30" t="n">
        <v>42994</v>
      </c>
      <c r="G4572" s="30" t="n">
        <v>43001</v>
      </c>
      <c r="H4572" s="26" t="n">
        <f aca="false">G4572-F4572</f>
        <v>7</v>
      </c>
      <c r="I4572" s="10" t="n">
        <f aca="false">IF(E4572="Won",1,0)</f>
        <v>1</v>
      </c>
    </row>
    <row r="4573" customFormat="false" ht="15" hidden="false" customHeight="false" outlineLevel="0" collapsed="false">
      <c r="A4573" s="10" t="s">
        <v>6914</v>
      </c>
      <c r="B4573" s="10" t="s">
        <v>70</v>
      </c>
      <c r="C4573" s="10" t="s">
        <v>50</v>
      </c>
      <c r="D4573" s="10" t="s">
        <v>419</v>
      </c>
      <c r="E4573" s="10" t="s">
        <v>2342</v>
      </c>
      <c r="F4573" s="30" t="n">
        <v>42907</v>
      </c>
      <c r="G4573" s="30" t="n">
        <v>43001</v>
      </c>
      <c r="H4573" s="26" t="n">
        <f aca="false">G4573-F4573</f>
        <v>94</v>
      </c>
      <c r="I4573" s="10" t="n">
        <f aca="false">IF(E4573="Won",1,0)</f>
        <v>1</v>
      </c>
    </row>
    <row r="4574" customFormat="false" ht="15" hidden="false" customHeight="false" outlineLevel="0" collapsed="false">
      <c r="A4574" s="10" t="s">
        <v>6915</v>
      </c>
      <c r="B4574" s="10" t="s">
        <v>74</v>
      </c>
      <c r="C4574" s="10" t="s">
        <v>49</v>
      </c>
      <c r="D4574" s="10" t="s">
        <v>422</v>
      </c>
      <c r="E4574" s="10" t="s">
        <v>2342</v>
      </c>
      <c r="F4574" s="30" t="n">
        <v>42919</v>
      </c>
      <c r="G4574" s="30" t="n">
        <v>43001</v>
      </c>
      <c r="H4574" s="26" t="n">
        <f aca="false">G4574-F4574</f>
        <v>82</v>
      </c>
      <c r="I4574" s="10" t="n">
        <f aca="false">IF(E4574="Won",1,0)</f>
        <v>1</v>
      </c>
    </row>
    <row r="4575" customFormat="false" ht="15" hidden="false" customHeight="false" outlineLevel="0" collapsed="false">
      <c r="A4575" s="10" t="s">
        <v>6916</v>
      </c>
      <c r="B4575" s="10" t="s">
        <v>94</v>
      </c>
      <c r="C4575" s="10" t="s">
        <v>49</v>
      </c>
      <c r="D4575" s="10" t="s">
        <v>168</v>
      </c>
      <c r="E4575" s="10" t="s">
        <v>2342</v>
      </c>
      <c r="F4575" s="30" t="n">
        <v>42992</v>
      </c>
      <c r="G4575" s="30" t="n">
        <v>43001</v>
      </c>
      <c r="H4575" s="26" t="n">
        <f aca="false">G4575-F4575</f>
        <v>9</v>
      </c>
      <c r="I4575" s="10" t="n">
        <f aca="false">IF(E4575="Won",1,0)</f>
        <v>1</v>
      </c>
    </row>
    <row r="4576" customFormat="false" ht="15" hidden="false" customHeight="false" outlineLevel="0" collapsed="false">
      <c r="A4576" s="10" t="s">
        <v>6917</v>
      </c>
      <c r="B4576" s="10" t="s">
        <v>68</v>
      </c>
      <c r="C4576" s="10" t="s">
        <v>49</v>
      </c>
      <c r="D4576" s="10" t="s">
        <v>303</v>
      </c>
      <c r="E4576" s="10" t="s">
        <v>2342</v>
      </c>
      <c r="F4576" s="30" t="n">
        <v>42886</v>
      </c>
      <c r="G4576" s="30" t="n">
        <v>43001</v>
      </c>
      <c r="H4576" s="26" t="n">
        <f aca="false">G4576-F4576</f>
        <v>115</v>
      </c>
      <c r="I4576" s="10" t="n">
        <f aca="false">IF(E4576="Won",1,0)</f>
        <v>1</v>
      </c>
    </row>
    <row r="4577" customFormat="false" ht="15" hidden="false" customHeight="false" outlineLevel="0" collapsed="false">
      <c r="A4577" s="10" t="s">
        <v>6918</v>
      </c>
      <c r="B4577" s="10" t="s">
        <v>73</v>
      </c>
      <c r="C4577" s="10" t="s">
        <v>52</v>
      </c>
      <c r="D4577" s="10" t="s">
        <v>210</v>
      </c>
      <c r="E4577" s="10" t="s">
        <v>2342</v>
      </c>
      <c r="F4577" s="30" t="n">
        <v>42919</v>
      </c>
      <c r="G4577" s="30" t="n">
        <v>43001</v>
      </c>
      <c r="H4577" s="26" t="n">
        <f aca="false">G4577-F4577</f>
        <v>82</v>
      </c>
      <c r="I4577" s="10" t="n">
        <f aca="false">IF(E4577="Won",1,0)</f>
        <v>1</v>
      </c>
    </row>
    <row r="4578" customFormat="false" ht="15" hidden="false" customHeight="false" outlineLevel="0" collapsed="false">
      <c r="A4578" s="10" t="s">
        <v>6919</v>
      </c>
      <c r="B4578" s="10" t="s">
        <v>77</v>
      </c>
      <c r="C4578" s="10" t="s">
        <v>48</v>
      </c>
      <c r="D4578" s="10" t="s">
        <v>267</v>
      </c>
      <c r="E4578" s="10" t="s">
        <v>2342</v>
      </c>
      <c r="F4578" s="30" t="n">
        <v>42917</v>
      </c>
      <c r="G4578" s="30" t="n">
        <v>43001</v>
      </c>
      <c r="H4578" s="26" t="n">
        <f aca="false">G4578-F4578</f>
        <v>84</v>
      </c>
      <c r="I4578" s="10" t="n">
        <f aca="false">IF(E4578="Won",1,0)</f>
        <v>1</v>
      </c>
    </row>
    <row r="4579" customFormat="false" ht="15" hidden="false" customHeight="false" outlineLevel="0" collapsed="false">
      <c r="A4579" s="10" t="s">
        <v>6920</v>
      </c>
      <c r="B4579" s="10" t="s">
        <v>80</v>
      </c>
      <c r="C4579" s="10" t="s">
        <v>51</v>
      </c>
      <c r="D4579" s="10" t="s">
        <v>961</v>
      </c>
      <c r="E4579" s="10" t="s">
        <v>2342</v>
      </c>
      <c r="F4579" s="30" t="n">
        <v>42933</v>
      </c>
      <c r="G4579" s="30" t="n">
        <v>43001</v>
      </c>
      <c r="H4579" s="26" t="n">
        <f aca="false">G4579-F4579</f>
        <v>68</v>
      </c>
      <c r="I4579" s="10" t="n">
        <f aca="false">IF(E4579="Won",1,0)</f>
        <v>1</v>
      </c>
    </row>
    <row r="4580" customFormat="false" ht="15" hidden="false" customHeight="false" outlineLevel="0" collapsed="false">
      <c r="A4580" s="10" t="s">
        <v>6921</v>
      </c>
      <c r="B4580" s="10" t="s">
        <v>74</v>
      </c>
      <c r="C4580" s="10" t="s">
        <v>52</v>
      </c>
      <c r="D4580" s="10" t="s">
        <v>660</v>
      </c>
      <c r="E4580" s="10" t="s">
        <v>2342</v>
      </c>
      <c r="F4580" s="30" t="n">
        <v>42889</v>
      </c>
      <c r="G4580" s="30" t="n">
        <v>43001</v>
      </c>
      <c r="H4580" s="26" t="n">
        <f aca="false">G4580-F4580</f>
        <v>112</v>
      </c>
      <c r="I4580" s="10" t="n">
        <f aca="false">IF(E4580="Won",1,0)</f>
        <v>1</v>
      </c>
    </row>
    <row r="4581" customFormat="false" ht="15" hidden="false" customHeight="false" outlineLevel="0" collapsed="false">
      <c r="A4581" s="10" t="s">
        <v>6922</v>
      </c>
      <c r="B4581" s="10" t="s">
        <v>62</v>
      </c>
      <c r="C4581" s="10" t="s">
        <v>51</v>
      </c>
      <c r="D4581" s="10" t="s">
        <v>405</v>
      </c>
      <c r="E4581" s="10" t="s">
        <v>2345</v>
      </c>
      <c r="F4581" s="30" t="n">
        <v>42916</v>
      </c>
      <c r="G4581" s="30" t="n">
        <v>43001</v>
      </c>
      <c r="H4581" s="26" t="n">
        <f aca="false">G4581-F4581</f>
        <v>85</v>
      </c>
      <c r="I4581" s="10" t="n">
        <f aca="false">IF(E4581="Won",1,0)</f>
        <v>0</v>
      </c>
    </row>
    <row r="4582" customFormat="false" ht="15" hidden="false" customHeight="false" outlineLevel="0" collapsed="false">
      <c r="A4582" s="10" t="s">
        <v>6923</v>
      </c>
      <c r="B4582" s="10" t="s">
        <v>79</v>
      </c>
      <c r="C4582" s="10" t="s">
        <v>47</v>
      </c>
      <c r="D4582" s="10" t="s">
        <v>1948</v>
      </c>
      <c r="E4582" s="10" t="s">
        <v>2342</v>
      </c>
      <c r="F4582" s="30" t="n">
        <v>42942</v>
      </c>
      <c r="G4582" s="30" t="n">
        <v>43001</v>
      </c>
      <c r="H4582" s="26" t="n">
        <f aca="false">G4582-F4582</f>
        <v>59</v>
      </c>
      <c r="I4582" s="10" t="n">
        <f aca="false">IF(E4582="Won",1,0)</f>
        <v>1</v>
      </c>
    </row>
    <row r="4583" customFormat="false" ht="15" hidden="false" customHeight="false" outlineLevel="0" collapsed="false">
      <c r="A4583" s="10" t="s">
        <v>6924</v>
      </c>
      <c r="B4583" s="10" t="s">
        <v>83</v>
      </c>
      <c r="C4583" s="10" t="s">
        <v>51</v>
      </c>
      <c r="D4583" s="10" t="s">
        <v>1251</v>
      </c>
      <c r="E4583" s="10" t="s">
        <v>2342</v>
      </c>
      <c r="F4583" s="30" t="n">
        <v>42987</v>
      </c>
      <c r="G4583" s="30" t="n">
        <v>43002</v>
      </c>
      <c r="H4583" s="26" t="n">
        <f aca="false">G4583-F4583</f>
        <v>15</v>
      </c>
      <c r="I4583" s="10" t="n">
        <f aca="false">IF(E4583="Won",1,0)</f>
        <v>1</v>
      </c>
    </row>
    <row r="4584" customFormat="false" ht="15" hidden="false" customHeight="false" outlineLevel="0" collapsed="false">
      <c r="A4584" s="10" t="s">
        <v>6925</v>
      </c>
      <c r="B4584" s="10" t="s">
        <v>76</v>
      </c>
      <c r="C4584" s="10" t="s">
        <v>51</v>
      </c>
      <c r="D4584" s="10" t="s">
        <v>422</v>
      </c>
      <c r="E4584" s="10" t="s">
        <v>2342</v>
      </c>
      <c r="F4584" s="30" t="n">
        <v>42957</v>
      </c>
      <c r="G4584" s="30" t="n">
        <v>43002</v>
      </c>
      <c r="H4584" s="26" t="n">
        <f aca="false">G4584-F4584</f>
        <v>45</v>
      </c>
      <c r="I4584" s="10" t="n">
        <f aca="false">IF(E4584="Won",1,0)</f>
        <v>1</v>
      </c>
    </row>
    <row r="4585" customFormat="false" ht="15" hidden="false" customHeight="false" outlineLevel="0" collapsed="false">
      <c r="A4585" s="10" t="s">
        <v>6926</v>
      </c>
      <c r="B4585" s="10" t="s">
        <v>77</v>
      </c>
      <c r="C4585" s="10" t="s">
        <v>51</v>
      </c>
      <c r="D4585" s="10" t="s">
        <v>279</v>
      </c>
      <c r="E4585" s="10" t="s">
        <v>2345</v>
      </c>
      <c r="F4585" s="30" t="n">
        <v>42996</v>
      </c>
      <c r="G4585" s="30" t="n">
        <v>43002</v>
      </c>
      <c r="H4585" s="26" t="n">
        <f aca="false">G4585-F4585</f>
        <v>6</v>
      </c>
      <c r="I4585" s="10" t="n">
        <f aca="false">IF(E4585="Won",1,0)</f>
        <v>0</v>
      </c>
    </row>
    <row r="4586" customFormat="false" ht="15" hidden="false" customHeight="false" outlineLevel="0" collapsed="false">
      <c r="A4586" s="10" t="s">
        <v>6927</v>
      </c>
      <c r="B4586" s="10" t="s">
        <v>96</v>
      </c>
      <c r="C4586" s="10" t="s">
        <v>49</v>
      </c>
      <c r="D4586" s="10" t="s">
        <v>326</v>
      </c>
      <c r="E4586" s="10" t="s">
        <v>2342</v>
      </c>
      <c r="F4586" s="30" t="n">
        <v>42928</v>
      </c>
      <c r="G4586" s="30" t="n">
        <v>43002</v>
      </c>
      <c r="H4586" s="26" t="n">
        <f aca="false">G4586-F4586</f>
        <v>74</v>
      </c>
      <c r="I4586" s="10" t="n">
        <f aca="false">IF(E4586="Won",1,0)</f>
        <v>1</v>
      </c>
    </row>
    <row r="4587" customFormat="false" ht="15" hidden="false" customHeight="false" outlineLevel="0" collapsed="false">
      <c r="A4587" s="10" t="s">
        <v>6928</v>
      </c>
      <c r="B4587" s="10" t="s">
        <v>86</v>
      </c>
      <c r="C4587" s="10" t="s">
        <v>51</v>
      </c>
      <c r="D4587" s="10" t="s">
        <v>247</v>
      </c>
      <c r="E4587" s="10" t="s">
        <v>2342</v>
      </c>
      <c r="F4587" s="30" t="n">
        <v>42991</v>
      </c>
      <c r="G4587" s="30" t="n">
        <v>43002</v>
      </c>
      <c r="H4587" s="26" t="n">
        <f aca="false">G4587-F4587</f>
        <v>11</v>
      </c>
      <c r="I4587" s="10" t="n">
        <f aca="false">IF(E4587="Won",1,0)</f>
        <v>1</v>
      </c>
    </row>
    <row r="4588" customFormat="false" ht="15" hidden="false" customHeight="false" outlineLevel="0" collapsed="false">
      <c r="A4588" s="10" t="s">
        <v>6929</v>
      </c>
      <c r="B4588" s="10" t="s">
        <v>90</v>
      </c>
      <c r="C4588" s="10" t="s">
        <v>48</v>
      </c>
      <c r="D4588" s="10" t="s">
        <v>1334</v>
      </c>
      <c r="E4588" s="10" t="s">
        <v>2342</v>
      </c>
      <c r="F4588" s="30" t="n">
        <v>42997</v>
      </c>
      <c r="G4588" s="30" t="n">
        <v>43002</v>
      </c>
      <c r="H4588" s="26" t="n">
        <f aca="false">G4588-F4588</f>
        <v>5</v>
      </c>
      <c r="I4588" s="10" t="n">
        <f aca="false">IF(E4588="Won",1,0)</f>
        <v>1</v>
      </c>
    </row>
    <row r="4589" customFormat="false" ht="15" hidden="false" customHeight="false" outlineLevel="0" collapsed="false">
      <c r="A4589" s="10" t="s">
        <v>6930</v>
      </c>
      <c r="B4589" s="10" t="s">
        <v>86</v>
      </c>
      <c r="C4589" s="10" t="s">
        <v>51</v>
      </c>
      <c r="D4589" s="10" t="s">
        <v>254</v>
      </c>
      <c r="E4589" s="10" t="s">
        <v>2342</v>
      </c>
      <c r="F4589" s="30" t="n">
        <v>42879</v>
      </c>
      <c r="G4589" s="30" t="n">
        <v>43002</v>
      </c>
      <c r="H4589" s="26" t="n">
        <f aca="false">G4589-F4589</f>
        <v>123</v>
      </c>
      <c r="I4589" s="10" t="n">
        <f aca="false">IF(E4589="Won",1,0)</f>
        <v>1</v>
      </c>
    </row>
    <row r="4590" customFormat="false" ht="15" hidden="false" customHeight="false" outlineLevel="0" collapsed="false">
      <c r="A4590" s="10" t="s">
        <v>6931</v>
      </c>
      <c r="B4590" s="10" t="s">
        <v>61</v>
      </c>
      <c r="C4590" s="10" t="s">
        <v>51</v>
      </c>
      <c r="D4590" s="10" t="s">
        <v>233</v>
      </c>
      <c r="E4590" s="10" t="s">
        <v>2342</v>
      </c>
      <c r="F4590" s="30" t="n">
        <v>42963</v>
      </c>
      <c r="G4590" s="30" t="n">
        <v>43002</v>
      </c>
      <c r="H4590" s="26" t="n">
        <f aca="false">G4590-F4590</f>
        <v>39</v>
      </c>
      <c r="I4590" s="10" t="n">
        <f aca="false">IF(E4590="Won",1,0)</f>
        <v>1</v>
      </c>
    </row>
    <row r="4591" customFormat="false" ht="15" hidden="false" customHeight="false" outlineLevel="0" collapsed="false">
      <c r="A4591" s="10" t="s">
        <v>6932</v>
      </c>
      <c r="B4591" s="10" t="s">
        <v>83</v>
      </c>
      <c r="C4591" s="10" t="s">
        <v>47</v>
      </c>
      <c r="D4591" s="10" t="s">
        <v>947</v>
      </c>
      <c r="E4591" s="10" t="s">
        <v>2342</v>
      </c>
      <c r="F4591" s="30" t="n">
        <v>42925</v>
      </c>
      <c r="G4591" s="30" t="n">
        <v>43002</v>
      </c>
      <c r="H4591" s="26" t="n">
        <f aca="false">G4591-F4591</f>
        <v>77</v>
      </c>
      <c r="I4591" s="10" t="n">
        <f aca="false">IF(E4591="Won",1,0)</f>
        <v>1</v>
      </c>
    </row>
    <row r="4592" customFormat="false" ht="15" hidden="false" customHeight="false" outlineLevel="0" collapsed="false">
      <c r="A4592" s="10" t="s">
        <v>6933</v>
      </c>
      <c r="B4592" s="10" t="s">
        <v>57</v>
      </c>
      <c r="C4592" s="10" t="s">
        <v>47</v>
      </c>
      <c r="D4592" s="10" t="s">
        <v>233</v>
      </c>
      <c r="E4592" s="10" t="s">
        <v>2342</v>
      </c>
      <c r="F4592" s="30" t="n">
        <v>42994</v>
      </c>
      <c r="G4592" s="30" t="n">
        <v>43002</v>
      </c>
      <c r="H4592" s="26" t="n">
        <f aca="false">G4592-F4592</f>
        <v>8</v>
      </c>
      <c r="I4592" s="10" t="n">
        <f aca="false">IF(E4592="Won",1,0)</f>
        <v>1</v>
      </c>
    </row>
    <row r="4593" customFormat="false" ht="15" hidden="false" customHeight="false" outlineLevel="0" collapsed="false">
      <c r="A4593" s="10" t="s">
        <v>6934</v>
      </c>
      <c r="B4593" s="10" t="s">
        <v>71</v>
      </c>
      <c r="C4593" s="10" t="s">
        <v>47</v>
      </c>
      <c r="D4593" s="10" t="s">
        <v>660</v>
      </c>
      <c r="E4593" s="10" t="s">
        <v>2342</v>
      </c>
      <c r="F4593" s="30" t="n">
        <v>42986</v>
      </c>
      <c r="G4593" s="30" t="n">
        <v>43002</v>
      </c>
      <c r="H4593" s="26" t="n">
        <f aca="false">G4593-F4593</f>
        <v>16</v>
      </c>
      <c r="I4593" s="10" t="n">
        <f aca="false">IF(E4593="Won",1,0)</f>
        <v>1</v>
      </c>
    </row>
    <row r="4594" customFormat="false" ht="15" hidden="false" customHeight="false" outlineLevel="0" collapsed="false">
      <c r="A4594" s="10" t="s">
        <v>6935</v>
      </c>
      <c r="B4594" s="10" t="s">
        <v>75</v>
      </c>
      <c r="C4594" s="10" t="s">
        <v>49</v>
      </c>
      <c r="D4594" s="10" t="s">
        <v>267</v>
      </c>
      <c r="E4594" s="10" t="s">
        <v>2342</v>
      </c>
      <c r="F4594" s="30" t="n">
        <v>42911</v>
      </c>
      <c r="G4594" s="30" t="n">
        <v>43002</v>
      </c>
      <c r="H4594" s="26" t="n">
        <f aca="false">G4594-F4594</f>
        <v>91</v>
      </c>
      <c r="I4594" s="10" t="n">
        <f aca="false">IF(E4594="Won",1,0)</f>
        <v>1</v>
      </c>
    </row>
    <row r="4595" customFormat="false" ht="15" hidden="false" customHeight="false" outlineLevel="0" collapsed="false">
      <c r="A4595" s="10" t="s">
        <v>6936</v>
      </c>
      <c r="B4595" s="10" t="s">
        <v>95</v>
      </c>
      <c r="C4595" s="10" t="s">
        <v>52</v>
      </c>
      <c r="D4595" s="10" t="s">
        <v>606</v>
      </c>
      <c r="E4595" s="10" t="s">
        <v>2345</v>
      </c>
      <c r="F4595" s="30" t="n">
        <v>42955</v>
      </c>
      <c r="G4595" s="30" t="n">
        <v>43002</v>
      </c>
      <c r="H4595" s="26" t="n">
        <f aca="false">G4595-F4595</f>
        <v>47</v>
      </c>
      <c r="I4595" s="10" t="n">
        <f aca="false">IF(E4595="Won",1,0)</f>
        <v>0</v>
      </c>
    </row>
    <row r="4596" customFormat="false" ht="15" hidden="false" customHeight="false" outlineLevel="0" collapsed="false">
      <c r="A4596" s="10" t="s">
        <v>6937</v>
      </c>
      <c r="B4596" s="10" t="s">
        <v>70</v>
      </c>
      <c r="C4596" s="10" t="s">
        <v>49</v>
      </c>
      <c r="D4596" s="10" t="s">
        <v>419</v>
      </c>
      <c r="E4596" s="10" t="s">
        <v>2342</v>
      </c>
      <c r="F4596" s="30" t="n">
        <v>42937</v>
      </c>
      <c r="G4596" s="30" t="n">
        <v>43002</v>
      </c>
      <c r="H4596" s="26" t="n">
        <f aca="false">G4596-F4596</f>
        <v>65</v>
      </c>
      <c r="I4596" s="10" t="n">
        <f aca="false">IF(E4596="Won",1,0)</f>
        <v>1</v>
      </c>
    </row>
    <row r="4597" customFormat="false" ht="15" hidden="false" customHeight="false" outlineLevel="0" collapsed="false">
      <c r="A4597" s="10" t="s">
        <v>6938</v>
      </c>
      <c r="B4597" s="10" t="s">
        <v>90</v>
      </c>
      <c r="C4597" s="10" t="s">
        <v>52</v>
      </c>
      <c r="D4597" s="10" t="s">
        <v>1334</v>
      </c>
      <c r="E4597" s="10" t="s">
        <v>2342</v>
      </c>
      <c r="F4597" s="30" t="n">
        <v>42891</v>
      </c>
      <c r="G4597" s="30" t="n">
        <v>43002</v>
      </c>
      <c r="H4597" s="26" t="n">
        <f aca="false">G4597-F4597</f>
        <v>111</v>
      </c>
      <c r="I4597" s="10" t="n">
        <f aca="false">IF(E4597="Won",1,0)</f>
        <v>1</v>
      </c>
    </row>
    <row r="4598" customFormat="false" ht="15" hidden="false" customHeight="false" outlineLevel="0" collapsed="false">
      <c r="A4598" s="10" t="s">
        <v>6939</v>
      </c>
      <c r="B4598" s="10" t="s">
        <v>87</v>
      </c>
      <c r="C4598" s="10" t="s">
        <v>50</v>
      </c>
      <c r="D4598" s="10" t="s">
        <v>453</v>
      </c>
      <c r="E4598" s="10" t="s">
        <v>2342</v>
      </c>
      <c r="F4598" s="30" t="n">
        <v>42956</v>
      </c>
      <c r="G4598" s="30" t="n">
        <v>43002</v>
      </c>
      <c r="H4598" s="26" t="n">
        <f aca="false">G4598-F4598</f>
        <v>46</v>
      </c>
      <c r="I4598" s="10" t="n">
        <f aca="false">IF(E4598="Won",1,0)</f>
        <v>1</v>
      </c>
    </row>
    <row r="4599" customFormat="false" ht="15" hidden="false" customHeight="false" outlineLevel="0" collapsed="false">
      <c r="A4599" s="10" t="s">
        <v>6940</v>
      </c>
      <c r="B4599" s="10" t="s">
        <v>67</v>
      </c>
      <c r="C4599" s="10" t="s">
        <v>49</v>
      </c>
      <c r="D4599" s="10" t="s">
        <v>437</v>
      </c>
      <c r="E4599" s="10" t="s">
        <v>2342</v>
      </c>
      <c r="F4599" s="30" t="n">
        <v>43001</v>
      </c>
      <c r="G4599" s="30" t="n">
        <v>43003</v>
      </c>
      <c r="H4599" s="26" t="n">
        <f aca="false">G4599-F4599</f>
        <v>2</v>
      </c>
      <c r="I4599" s="10" t="n">
        <f aca="false">IF(E4599="Won",1,0)</f>
        <v>1</v>
      </c>
    </row>
    <row r="4600" customFormat="false" ht="15" hidden="false" customHeight="false" outlineLevel="0" collapsed="false">
      <c r="A4600" s="10" t="s">
        <v>6941</v>
      </c>
      <c r="B4600" s="10" t="s">
        <v>95</v>
      </c>
      <c r="C4600" s="10" t="s">
        <v>51</v>
      </c>
      <c r="D4600" s="10" t="s">
        <v>210</v>
      </c>
      <c r="E4600" s="10" t="s">
        <v>2342</v>
      </c>
      <c r="F4600" s="30" t="n">
        <v>42877</v>
      </c>
      <c r="G4600" s="30" t="n">
        <v>43003</v>
      </c>
      <c r="H4600" s="26" t="n">
        <f aca="false">G4600-F4600</f>
        <v>126</v>
      </c>
      <c r="I4600" s="10" t="n">
        <f aca="false">IF(E4600="Won",1,0)</f>
        <v>1</v>
      </c>
    </row>
    <row r="4601" customFormat="false" ht="15" hidden="false" customHeight="false" outlineLevel="0" collapsed="false">
      <c r="A4601" s="10" t="s">
        <v>6942</v>
      </c>
      <c r="B4601" s="10" t="s">
        <v>83</v>
      </c>
      <c r="C4601" s="10" t="s">
        <v>51</v>
      </c>
      <c r="D4601" s="10" t="s">
        <v>524</v>
      </c>
      <c r="E4601" s="10" t="s">
        <v>2345</v>
      </c>
      <c r="F4601" s="30" t="n">
        <v>42887</v>
      </c>
      <c r="G4601" s="30" t="n">
        <v>43003</v>
      </c>
      <c r="H4601" s="26" t="n">
        <f aca="false">G4601-F4601</f>
        <v>116</v>
      </c>
      <c r="I4601" s="10" t="n">
        <f aca="false">IF(E4601="Won",1,0)</f>
        <v>0</v>
      </c>
    </row>
    <row r="4602" customFormat="false" ht="15" hidden="false" customHeight="false" outlineLevel="0" collapsed="false">
      <c r="A4602" s="10" t="s">
        <v>6943</v>
      </c>
      <c r="B4602" s="10" t="s">
        <v>97</v>
      </c>
      <c r="C4602" s="10" t="s">
        <v>48</v>
      </c>
      <c r="D4602" s="10" t="s">
        <v>396</v>
      </c>
      <c r="E4602" s="10" t="s">
        <v>2342</v>
      </c>
      <c r="F4602" s="30" t="n">
        <v>42992</v>
      </c>
      <c r="G4602" s="30" t="n">
        <v>43003</v>
      </c>
      <c r="H4602" s="26" t="n">
        <f aca="false">G4602-F4602</f>
        <v>11</v>
      </c>
      <c r="I4602" s="10" t="n">
        <f aca="false">IF(E4602="Won",1,0)</f>
        <v>1</v>
      </c>
    </row>
    <row r="4603" customFormat="false" ht="15" hidden="false" customHeight="false" outlineLevel="0" collapsed="false">
      <c r="A4603" s="10" t="s">
        <v>6944</v>
      </c>
      <c r="B4603" s="10" t="s">
        <v>88</v>
      </c>
      <c r="C4603" s="10" t="s">
        <v>51</v>
      </c>
      <c r="D4603" s="10" t="s">
        <v>210</v>
      </c>
      <c r="E4603" s="10" t="s">
        <v>2342</v>
      </c>
      <c r="F4603" s="30" t="n">
        <v>42917</v>
      </c>
      <c r="G4603" s="30" t="n">
        <v>43003</v>
      </c>
      <c r="H4603" s="26" t="n">
        <f aca="false">G4603-F4603</f>
        <v>86</v>
      </c>
      <c r="I4603" s="10" t="n">
        <f aca="false">IF(E4603="Won",1,0)</f>
        <v>1</v>
      </c>
    </row>
    <row r="4604" customFormat="false" ht="15" hidden="false" customHeight="false" outlineLevel="0" collapsed="false">
      <c r="A4604" s="10" t="s">
        <v>6945</v>
      </c>
      <c r="B4604" s="10" t="s">
        <v>80</v>
      </c>
      <c r="C4604" s="10" t="s">
        <v>48</v>
      </c>
      <c r="D4604" s="10" t="s">
        <v>291</v>
      </c>
      <c r="E4604" s="10" t="s">
        <v>2342</v>
      </c>
      <c r="F4604" s="30" t="n">
        <v>42997</v>
      </c>
      <c r="G4604" s="30" t="n">
        <v>43003</v>
      </c>
      <c r="H4604" s="26" t="n">
        <f aca="false">G4604-F4604</f>
        <v>6</v>
      </c>
      <c r="I4604" s="10" t="n">
        <f aca="false">IF(E4604="Won",1,0)</f>
        <v>1</v>
      </c>
    </row>
    <row r="4605" customFormat="false" ht="15" hidden="false" customHeight="false" outlineLevel="0" collapsed="false">
      <c r="A4605" s="10" t="s">
        <v>6946</v>
      </c>
      <c r="B4605" s="10" t="s">
        <v>94</v>
      </c>
      <c r="C4605" s="10" t="s">
        <v>50</v>
      </c>
      <c r="D4605" s="10" t="s">
        <v>337</v>
      </c>
      <c r="E4605" s="10" t="s">
        <v>2342</v>
      </c>
      <c r="F4605" s="30" t="n">
        <v>42987</v>
      </c>
      <c r="G4605" s="30" t="n">
        <v>43003</v>
      </c>
      <c r="H4605" s="26" t="n">
        <f aca="false">G4605-F4605</f>
        <v>16</v>
      </c>
      <c r="I4605" s="10" t="n">
        <f aca="false">IF(E4605="Won",1,0)</f>
        <v>1</v>
      </c>
    </row>
    <row r="4606" customFormat="false" ht="15" hidden="false" customHeight="false" outlineLevel="0" collapsed="false">
      <c r="A4606" s="10" t="s">
        <v>6947</v>
      </c>
      <c r="B4606" s="10" t="s">
        <v>57</v>
      </c>
      <c r="C4606" s="10" t="s">
        <v>48</v>
      </c>
      <c r="D4606" s="10" t="s">
        <v>233</v>
      </c>
      <c r="E4606" s="10" t="s">
        <v>2345</v>
      </c>
      <c r="F4606" s="30" t="n">
        <v>42999</v>
      </c>
      <c r="G4606" s="30" t="n">
        <v>43003</v>
      </c>
      <c r="H4606" s="26" t="n">
        <f aca="false">G4606-F4606</f>
        <v>4</v>
      </c>
      <c r="I4606" s="10" t="n">
        <f aca="false">IF(E4606="Won",1,0)</f>
        <v>0</v>
      </c>
    </row>
    <row r="4607" customFormat="false" ht="15" hidden="false" customHeight="false" outlineLevel="0" collapsed="false">
      <c r="A4607" s="10" t="s">
        <v>6948</v>
      </c>
      <c r="B4607" s="10" t="s">
        <v>80</v>
      </c>
      <c r="C4607" s="10" t="s">
        <v>50</v>
      </c>
      <c r="D4607" s="10" t="s">
        <v>353</v>
      </c>
      <c r="E4607" s="10" t="s">
        <v>2342</v>
      </c>
      <c r="F4607" s="30" t="n">
        <v>42901</v>
      </c>
      <c r="G4607" s="30" t="n">
        <v>43003</v>
      </c>
      <c r="H4607" s="26" t="n">
        <f aca="false">G4607-F4607</f>
        <v>102</v>
      </c>
      <c r="I4607" s="10" t="n">
        <f aca="false">IF(E4607="Won",1,0)</f>
        <v>1</v>
      </c>
    </row>
    <row r="4608" customFormat="false" ht="15" hidden="false" customHeight="false" outlineLevel="0" collapsed="false">
      <c r="A4608" s="10" t="s">
        <v>6949</v>
      </c>
      <c r="B4608" s="10" t="s">
        <v>81</v>
      </c>
      <c r="C4608" s="10" t="s">
        <v>51</v>
      </c>
      <c r="D4608" s="10" t="s">
        <v>267</v>
      </c>
      <c r="E4608" s="10" t="s">
        <v>2342</v>
      </c>
      <c r="F4608" s="30" t="n">
        <v>42935</v>
      </c>
      <c r="G4608" s="30" t="n">
        <v>43003</v>
      </c>
      <c r="H4608" s="26" t="n">
        <f aca="false">G4608-F4608</f>
        <v>68</v>
      </c>
      <c r="I4608" s="10" t="n">
        <f aca="false">IF(E4608="Won",1,0)</f>
        <v>1</v>
      </c>
    </row>
    <row r="4609" customFormat="false" ht="15" hidden="false" customHeight="false" outlineLevel="0" collapsed="false">
      <c r="A4609" s="10" t="s">
        <v>6950</v>
      </c>
      <c r="B4609" s="10" t="s">
        <v>71</v>
      </c>
      <c r="C4609" s="10" t="s">
        <v>52</v>
      </c>
      <c r="D4609" s="10" t="s">
        <v>388</v>
      </c>
      <c r="E4609" s="10" t="s">
        <v>2342</v>
      </c>
      <c r="F4609" s="30" t="n">
        <v>42899</v>
      </c>
      <c r="G4609" s="30" t="n">
        <v>43003</v>
      </c>
      <c r="H4609" s="26" t="n">
        <f aca="false">G4609-F4609</f>
        <v>104</v>
      </c>
      <c r="I4609" s="10" t="n">
        <f aca="false">IF(E4609="Won",1,0)</f>
        <v>1</v>
      </c>
    </row>
    <row r="4610" customFormat="false" ht="15" hidden="false" customHeight="false" outlineLevel="0" collapsed="false">
      <c r="A4610" s="10" t="s">
        <v>6951</v>
      </c>
      <c r="B4610" s="10" t="s">
        <v>57</v>
      </c>
      <c r="C4610" s="10" t="s">
        <v>51</v>
      </c>
      <c r="D4610" s="10" t="s">
        <v>286</v>
      </c>
      <c r="E4610" s="10" t="s">
        <v>2342</v>
      </c>
      <c r="F4610" s="30" t="n">
        <v>42880</v>
      </c>
      <c r="G4610" s="30" t="n">
        <v>43003</v>
      </c>
      <c r="H4610" s="26" t="n">
        <f aca="false">G4610-F4610</f>
        <v>123</v>
      </c>
      <c r="I4610" s="10" t="n">
        <f aca="false">IF(E4610="Won",1,0)</f>
        <v>1</v>
      </c>
    </row>
    <row r="4611" customFormat="false" ht="15" hidden="false" customHeight="false" outlineLevel="0" collapsed="false">
      <c r="A4611" s="10" t="s">
        <v>6952</v>
      </c>
      <c r="B4611" s="10" t="s">
        <v>97</v>
      </c>
      <c r="C4611" s="10" t="s">
        <v>51</v>
      </c>
      <c r="D4611" s="10" t="s">
        <v>168</v>
      </c>
      <c r="E4611" s="10" t="s">
        <v>2345</v>
      </c>
      <c r="F4611" s="30" t="n">
        <v>42906</v>
      </c>
      <c r="G4611" s="30" t="n">
        <v>43003</v>
      </c>
      <c r="H4611" s="26" t="n">
        <f aca="false">G4611-F4611</f>
        <v>97</v>
      </c>
      <c r="I4611" s="10" t="n">
        <f aca="false">IF(E4611="Won",1,0)</f>
        <v>0</v>
      </c>
    </row>
    <row r="4612" customFormat="false" ht="15" hidden="false" customHeight="false" outlineLevel="0" collapsed="false">
      <c r="A4612" s="10" t="s">
        <v>6953</v>
      </c>
      <c r="B4612" s="10" t="s">
        <v>73</v>
      </c>
      <c r="C4612" s="10" t="s">
        <v>50</v>
      </c>
      <c r="D4612" s="10" t="s">
        <v>597</v>
      </c>
      <c r="E4612" s="10" t="s">
        <v>2342</v>
      </c>
      <c r="F4612" s="30" t="n">
        <v>42897</v>
      </c>
      <c r="G4612" s="30" t="n">
        <v>43003</v>
      </c>
      <c r="H4612" s="26" t="n">
        <f aca="false">G4612-F4612</f>
        <v>106</v>
      </c>
      <c r="I4612" s="10" t="n">
        <f aca="false">IF(E4612="Won",1,0)</f>
        <v>1</v>
      </c>
    </row>
    <row r="4613" customFormat="false" ht="15" hidden="false" customHeight="false" outlineLevel="0" collapsed="false">
      <c r="A4613" s="10" t="s">
        <v>6954</v>
      </c>
      <c r="B4613" s="10" t="s">
        <v>75</v>
      </c>
      <c r="C4613" s="10" t="s">
        <v>51</v>
      </c>
      <c r="D4613" s="10" t="s">
        <v>1251</v>
      </c>
      <c r="E4613" s="10" t="s">
        <v>2342</v>
      </c>
      <c r="F4613" s="30" t="n">
        <v>42920</v>
      </c>
      <c r="G4613" s="30" t="n">
        <v>43003</v>
      </c>
      <c r="H4613" s="26" t="n">
        <f aca="false">G4613-F4613</f>
        <v>83</v>
      </c>
      <c r="I4613" s="10" t="n">
        <f aca="false">IF(E4613="Won",1,0)</f>
        <v>1</v>
      </c>
    </row>
    <row r="4614" customFormat="false" ht="15" hidden="false" customHeight="false" outlineLevel="0" collapsed="false">
      <c r="A4614" s="10" t="s">
        <v>6955</v>
      </c>
      <c r="B4614" s="10" t="s">
        <v>88</v>
      </c>
      <c r="C4614" s="10" t="s">
        <v>51</v>
      </c>
      <c r="D4614" s="10" t="s">
        <v>185</v>
      </c>
      <c r="E4614" s="10" t="s">
        <v>2345</v>
      </c>
      <c r="F4614" s="30" t="n">
        <v>42919</v>
      </c>
      <c r="G4614" s="30" t="n">
        <v>43003</v>
      </c>
      <c r="H4614" s="26" t="n">
        <f aca="false">G4614-F4614</f>
        <v>84</v>
      </c>
      <c r="I4614" s="10" t="n">
        <f aca="false">IF(E4614="Won",1,0)</f>
        <v>0</v>
      </c>
    </row>
    <row r="4615" customFormat="false" ht="15" hidden="false" customHeight="false" outlineLevel="0" collapsed="false">
      <c r="A4615" s="10" t="s">
        <v>6956</v>
      </c>
      <c r="B4615" s="10" t="s">
        <v>90</v>
      </c>
      <c r="C4615" s="10" t="s">
        <v>52</v>
      </c>
      <c r="D4615" s="10" t="s">
        <v>1118</v>
      </c>
      <c r="E4615" s="10" t="s">
        <v>2342</v>
      </c>
      <c r="F4615" s="30" t="n">
        <v>42888</v>
      </c>
      <c r="G4615" s="30" t="n">
        <v>43004</v>
      </c>
      <c r="H4615" s="26" t="n">
        <f aca="false">G4615-F4615</f>
        <v>116</v>
      </c>
      <c r="I4615" s="10" t="n">
        <f aca="false">IF(E4615="Won",1,0)</f>
        <v>1</v>
      </c>
    </row>
    <row r="4616" customFormat="false" ht="15" hidden="false" customHeight="false" outlineLevel="0" collapsed="false">
      <c r="A4616" s="10" t="s">
        <v>6957</v>
      </c>
      <c r="B4616" s="10" t="s">
        <v>62</v>
      </c>
      <c r="C4616" s="10" t="s">
        <v>49</v>
      </c>
      <c r="D4616" s="10" t="s">
        <v>218</v>
      </c>
      <c r="E4616" s="10" t="s">
        <v>2342</v>
      </c>
      <c r="F4616" s="30" t="n">
        <v>42870</v>
      </c>
      <c r="G4616" s="30" t="n">
        <v>43004</v>
      </c>
      <c r="H4616" s="26" t="n">
        <f aca="false">G4616-F4616</f>
        <v>134</v>
      </c>
      <c r="I4616" s="10" t="n">
        <f aca="false">IF(E4616="Won",1,0)</f>
        <v>1</v>
      </c>
    </row>
    <row r="4617" customFormat="false" ht="15" hidden="false" customHeight="false" outlineLevel="0" collapsed="false">
      <c r="A4617" s="10" t="s">
        <v>6958</v>
      </c>
      <c r="B4617" s="10" t="s">
        <v>77</v>
      </c>
      <c r="C4617" s="10" t="s">
        <v>50</v>
      </c>
      <c r="D4617" s="10" t="s">
        <v>267</v>
      </c>
      <c r="E4617" s="10" t="s">
        <v>2342</v>
      </c>
      <c r="F4617" s="30" t="n">
        <v>42994</v>
      </c>
      <c r="G4617" s="30" t="n">
        <v>43004</v>
      </c>
      <c r="H4617" s="26" t="n">
        <f aca="false">G4617-F4617</f>
        <v>10</v>
      </c>
      <c r="I4617" s="10" t="n">
        <f aca="false">IF(E4617="Won",1,0)</f>
        <v>1</v>
      </c>
    </row>
    <row r="4618" customFormat="false" ht="15" hidden="false" customHeight="false" outlineLevel="0" collapsed="false">
      <c r="A4618" s="10" t="s">
        <v>6959</v>
      </c>
      <c r="B4618" s="10" t="s">
        <v>70</v>
      </c>
      <c r="C4618" s="10" t="s">
        <v>50</v>
      </c>
      <c r="D4618" s="10" t="s">
        <v>313</v>
      </c>
      <c r="E4618" s="10" t="s">
        <v>2342</v>
      </c>
      <c r="F4618" s="30" t="n">
        <v>42948</v>
      </c>
      <c r="G4618" s="30" t="n">
        <v>43004</v>
      </c>
      <c r="H4618" s="26" t="n">
        <f aca="false">G4618-F4618</f>
        <v>56</v>
      </c>
      <c r="I4618" s="10" t="n">
        <f aca="false">IF(E4618="Won",1,0)</f>
        <v>1</v>
      </c>
    </row>
    <row r="4619" customFormat="false" ht="15" hidden="false" customHeight="false" outlineLevel="0" collapsed="false">
      <c r="A4619" s="10" t="s">
        <v>6960</v>
      </c>
      <c r="B4619" s="10" t="s">
        <v>90</v>
      </c>
      <c r="C4619" s="10" t="s">
        <v>51</v>
      </c>
      <c r="D4619" s="10" t="s">
        <v>405</v>
      </c>
      <c r="E4619" s="10" t="s">
        <v>2345</v>
      </c>
      <c r="F4619" s="30" t="n">
        <v>42994</v>
      </c>
      <c r="G4619" s="30" t="n">
        <v>43004</v>
      </c>
      <c r="H4619" s="26" t="n">
        <f aca="false">G4619-F4619</f>
        <v>10</v>
      </c>
      <c r="I4619" s="10" t="n">
        <f aca="false">IF(E4619="Won",1,0)</f>
        <v>0</v>
      </c>
    </row>
    <row r="4620" customFormat="false" ht="15" hidden="false" customHeight="false" outlineLevel="0" collapsed="false">
      <c r="A4620" s="10" t="s">
        <v>6961</v>
      </c>
      <c r="B4620" s="10" t="s">
        <v>88</v>
      </c>
      <c r="C4620" s="10" t="s">
        <v>51</v>
      </c>
      <c r="D4620" s="10" t="s">
        <v>453</v>
      </c>
      <c r="E4620" s="10" t="s">
        <v>2345</v>
      </c>
      <c r="F4620" s="30" t="n">
        <v>42920</v>
      </c>
      <c r="G4620" s="30" t="n">
        <v>43004</v>
      </c>
      <c r="H4620" s="26" t="n">
        <f aca="false">G4620-F4620</f>
        <v>84</v>
      </c>
      <c r="I4620" s="10" t="n">
        <f aca="false">IF(E4620="Won",1,0)</f>
        <v>0</v>
      </c>
    </row>
    <row r="4621" customFormat="false" ht="15" hidden="false" customHeight="false" outlineLevel="0" collapsed="false">
      <c r="A4621" s="10" t="s">
        <v>6962</v>
      </c>
      <c r="B4621" s="10" t="s">
        <v>88</v>
      </c>
      <c r="C4621" s="10" t="s">
        <v>48</v>
      </c>
      <c r="D4621" s="10" t="s">
        <v>161</v>
      </c>
      <c r="E4621" s="10" t="s">
        <v>2342</v>
      </c>
      <c r="F4621" s="30" t="n">
        <v>42995</v>
      </c>
      <c r="G4621" s="30" t="n">
        <v>43004</v>
      </c>
      <c r="H4621" s="26" t="n">
        <f aca="false">G4621-F4621</f>
        <v>9</v>
      </c>
      <c r="I4621" s="10" t="n">
        <f aca="false">IF(E4621="Won",1,0)</f>
        <v>1</v>
      </c>
    </row>
    <row r="4622" customFormat="false" ht="15" hidden="false" customHeight="false" outlineLevel="0" collapsed="false">
      <c r="A4622" s="10" t="s">
        <v>6963</v>
      </c>
      <c r="B4622" s="10" t="s">
        <v>76</v>
      </c>
      <c r="C4622" s="10" t="s">
        <v>52</v>
      </c>
      <c r="D4622" s="10" t="s">
        <v>179</v>
      </c>
      <c r="E4622" s="10" t="s">
        <v>2342</v>
      </c>
      <c r="F4622" s="30" t="n">
        <v>42990</v>
      </c>
      <c r="G4622" s="30" t="n">
        <v>43004</v>
      </c>
      <c r="H4622" s="26" t="n">
        <f aca="false">G4622-F4622</f>
        <v>14</v>
      </c>
      <c r="I4622" s="10" t="n">
        <f aca="false">IF(E4622="Won",1,0)</f>
        <v>1</v>
      </c>
    </row>
    <row r="4623" customFormat="false" ht="15" hidden="false" customHeight="false" outlineLevel="0" collapsed="false">
      <c r="A4623" s="10" t="s">
        <v>6964</v>
      </c>
      <c r="B4623" s="10" t="s">
        <v>83</v>
      </c>
      <c r="C4623" s="10" t="s">
        <v>51</v>
      </c>
      <c r="D4623" s="10" t="s">
        <v>291</v>
      </c>
      <c r="E4623" s="10" t="s">
        <v>2342</v>
      </c>
      <c r="F4623" s="30" t="n">
        <v>42891</v>
      </c>
      <c r="G4623" s="30" t="n">
        <v>43004</v>
      </c>
      <c r="H4623" s="26" t="n">
        <f aca="false">G4623-F4623</f>
        <v>113</v>
      </c>
      <c r="I4623" s="10" t="n">
        <f aca="false">IF(E4623="Won",1,0)</f>
        <v>1</v>
      </c>
    </row>
    <row r="4624" customFormat="false" ht="15" hidden="false" customHeight="false" outlineLevel="0" collapsed="false">
      <c r="A4624" s="10" t="s">
        <v>6965</v>
      </c>
      <c r="B4624" s="10" t="s">
        <v>86</v>
      </c>
      <c r="C4624" s="10" t="s">
        <v>51</v>
      </c>
      <c r="D4624" s="10" t="s">
        <v>254</v>
      </c>
      <c r="E4624" s="10" t="s">
        <v>2342</v>
      </c>
      <c r="F4624" s="30" t="n">
        <v>42891</v>
      </c>
      <c r="G4624" s="30" t="n">
        <v>43004</v>
      </c>
      <c r="H4624" s="26" t="n">
        <f aca="false">G4624-F4624</f>
        <v>113</v>
      </c>
      <c r="I4624" s="10" t="n">
        <f aca="false">IF(E4624="Won",1,0)</f>
        <v>1</v>
      </c>
    </row>
    <row r="4625" customFormat="false" ht="15" hidden="false" customHeight="false" outlineLevel="0" collapsed="false">
      <c r="A4625" s="10" t="s">
        <v>6966</v>
      </c>
      <c r="B4625" s="10" t="s">
        <v>67</v>
      </c>
      <c r="C4625" s="10" t="s">
        <v>52</v>
      </c>
      <c r="D4625" s="10" t="s">
        <v>344</v>
      </c>
      <c r="E4625" s="10" t="s">
        <v>2342</v>
      </c>
      <c r="F4625" s="30" t="n">
        <v>42998</v>
      </c>
      <c r="G4625" s="30" t="n">
        <v>43004</v>
      </c>
      <c r="H4625" s="26" t="n">
        <f aca="false">G4625-F4625</f>
        <v>6</v>
      </c>
      <c r="I4625" s="10" t="n">
        <f aca="false">IF(E4625="Won",1,0)</f>
        <v>1</v>
      </c>
    </row>
    <row r="4626" customFormat="false" ht="15" hidden="false" customHeight="false" outlineLevel="0" collapsed="false">
      <c r="A4626" s="10" t="s">
        <v>6967</v>
      </c>
      <c r="B4626" s="10" t="s">
        <v>86</v>
      </c>
      <c r="C4626" s="10" t="s">
        <v>49</v>
      </c>
      <c r="D4626" s="10" t="s">
        <v>161</v>
      </c>
      <c r="E4626" s="10" t="s">
        <v>2342</v>
      </c>
      <c r="F4626" s="30" t="n">
        <v>42916</v>
      </c>
      <c r="G4626" s="30" t="n">
        <v>43004</v>
      </c>
      <c r="H4626" s="26" t="n">
        <f aca="false">G4626-F4626</f>
        <v>88</v>
      </c>
      <c r="I4626" s="10" t="n">
        <f aca="false">IF(E4626="Won",1,0)</f>
        <v>1</v>
      </c>
    </row>
    <row r="4627" customFormat="false" ht="15" hidden="false" customHeight="false" outlineLevel="0" collapsed="false">
      <c r="A4627" s="10" t="s">
        <v>6968</v>
      </c>
      <c r="B4627" s="10" t="s">
        <v>88</v>
      </c>
      <c r="C4627" s="10" t="s">
        <v>48</v>
      </c>
      <c r="D4627" s="10" t="s">
        <v>233</v>
      </c>
      <c r="E4627" s="10" t="s">
        <v>2345</v>
      </c>
      <c r="F4627" s="30" t="n">
        <v>42942</v>
      </c>
      <c r="G4627" s="30" t="n">
        <v>43004</v>
      </c>
      <c r="H4627" s="26" t="n">
        <f aca="false">G4627-F4627</f>
        <v>62</v>
      </c>
      <c r="I4627" s="10" t="n">
        <f aca="false">IF(E4627="Won",1,0)</f>
        <v>0</v>
      </c>
    </row>
    <row r="4628" customFormat="false" ht="15" hidden="false" customHeight="false" outlineLevel="0" collapsed="false">
      <c r="A4628" s="10" t="s">
        <v>6969</v>
      </c>
      <c r="B4628" s="10" t="s">
        <v>77</v>
      </c>
      <c r="C4628" s="10" t="s">
        <v>48</v>
      </c>
      <c r="D4628" s="10" t="s">
        <v>660</v>
      </c>
      <c r="E4628" s="10" t="s">
        <v>2342</v>
      </c>
      <c r="F4628" s="30" t="n">
        <v>42905</v>
      </c>
      <c r="G4628" s="30" t="n">
        <v>43004</v>
      </c>
      <c r="H4628" s="26" t="n">
        <f aca="false">G4628-F4628</f>
        <v>99</v>
      </c>
      <c r="I4628" s="10" t="n">
        <f aca="false">IF(E4628="Won",1,0)</f>
        <v>1</v>
      </c>
    </row>
    <row r="4629" customFormat="false" ht="15" hidden="false" customHeight="false" outlineLevel="0" collapsed="false">
      <c r="A4629" s="10" t="s">
        <v>6970</v>
      </c>
      <c r="B4629" s="10" t="s">
        <v>95</v>
      </c>
      <c r="C4629" s="10" t="s">
        <v>50</v>
      </c>
      <c r="D4629" s="10" t="s">
        <v>303</v>
      </c>
      <c r="E4629" s="10" t="s">
        <v>2342</v>
      </c>
      <c r="F4629" s="30" t="n">
        <v>42921</v>
      </c>
      <c r="G4629" s="30" t="n">
        <v>43004</v>
      </c>
      <c r="H4629" s="26" t="n">
        <f aca="false">G4629-F4629</f>
        <v>83</v>
      </c>
      <c r="I4629" s="10" t="n">
        <f aca="false">IF(E4629="Won",1,0)</f>
        <v>1</v>
      </c>
    </row>
    <row r="4630" customFormat="false" ht="15" hidden="false" customHeight="false" outlineLevel="0" collapsed="false">
      <c r="A4630" s="10" t="s">
        <v>6971</v>
      </c>
      <c r="B4630" s="10" t="s">
        <v>68</v>
      </c>
      <c r="C4630" s="10" t="s">
        <v>46</v>
      </c>
      <c r="D4630" s="10" t="s">
        <v>348</v>
      </c>
      <c r="E4630" s="10" t="s">
        <v>2342</v>
      </c>
      <c r="F4630" s="30" t="n">
        <v>42897</v>
      </c>
      <c r="G4630" s="30" t="n">
        <v>43004</v>
      </c>
      <c r="H4630" s="26" t="n">
        <f aca="false">G4630-F4630</f>
        <v>107</v>
      </c>
      <c r="I4630" s="10" t="n">
        <f aca="false">IF(E4630="Won",1,0)</f>
        <v>1</v>
      </c>
    </row>
    <row r="4631" customFormat="false" ht="15" hidden="false" customHeight="false" outlineLevel="0" collapsed="false">
      <c r="A4631" s="10" t="s">
        <v>6972</v>
      </c>
      <c r="B4631" s="10" t="s">
        <v>97</v>
      </c>
      <c r="C4631" s="10" t="s">
        <v>48</v>
      </c>
      <c r="D4631" s="10" t="s">
        <v>175</v>
      </c>
      <c r="E4631" s="10" t="s">
        <v>2342</v>
      </c>
      <c r="F4631" s="30" t="n">
        <v>42942</v>
      </c>
      <c r="G4631" s="30" t="n">
        <v>43004</v>
      </c>
      <c r="H4631" s="26" t="n">
        <f aca="false">G4631-F4631</f>
        <v>62</v>
      </c>
      <c r="I4631" s="10" t="n">
        <f aca="false">IF(E4631="Won",1,0)</f>
        <v>1</v>
      </c>
    </row>
    <row r="4632" customFormat="false" ht="15" hidden="false" customHeight="false" outlineLevel="0" collapsed="false">
      <c r="A4632" s="10" t="s">
        <v>6973</v>
      </c>
      <c r="B4632" s="10" t="s">
        <v>86</v>
      </c>
      <c r="C4632" s="10" t="s">
        <v>51</v>
      </c>
      <c r="D4632" s="10" t="s">
        <v>332</v>
      </c>
      <c r="E4632" s="10" t="s">
        <v>2342</v>
      </c>
      <c r="F4632" s="30" t="n">
        <v>42994</v>
      </c>
      <c r="G4632" s="30" t="n">
        <v>43005</v>
      </c>
      <c r="H4632" s="26" t="n">
        <f aca="false">G4632-F4632</f>
        <v>11</v>
      </c>
      <c r="I4632" s="10" t="n">
        <f aca="false">IF(E4632="Won",1,0)</f>
        <v>1</v>
      </c>
    </row>
    <row r="4633" customFormat="false" ht="15" hidden="false" customHeight="false" outlineLevel="0" collapsed="false">
      <c r="A4633" s="10" t="s">
        <v>6974</v>
      </c>
      <c r="B4633" s="10" t="s">
        <v>71</v>
      </c>
      <c r="C4633" s="10" t="s">
        <v>52</v>
      </c>
      <c r="D4633" s="10" t="s">
        <v>597</v>
      </c>
      <c r="E4633" s="10" t="s">
        <v>2342</v>
      </c>
      <c r="F4633" s="30" t="n">
        <v>42892</v>
      </c>
      <c r="G4633" s="30" t="n">
        <v>43005</v>
      </c>
      <c r="H4633" s="26" t="n">
        <f aca="false">G4633-F4633</f>
        <v>113</v>
      </c>
      <c r="I4633" s="10" t="n">
        <f aca="false">IF(E4633="Won",1,0)</f>
        <v>1</v>
      </c>
    </row>
    <row r="4634" customFormat="false" ht="15" hidden="false" customHeight="false" outlineLevel="0" collapsed="false">
      <c r="A4634" s="10" t="s">
        <v>6975</v>
      </c>
      <c r="B4634" s="10" t="s">
        <v>97</v>
      </c>
      <c r="C4634" s="10" t="s">
        <v>48</v>
      </c>
      <c r="D4634" s="10" t="s">
        <v>286</v>
      </c>
      <c r="E4634" s="10" t="s">
        <v>2342</v>
      </c>
      <c r="F4634" s="30" t="n">
        <v>42994</v>
      </c>
      <c r="G4634" s="30" t="n">
        <v>43005</v>
      </c>
      <c r="H4634" s="26" t="n">
        <f aca="false">G4634-F4634</f>
        <v>11</v>
      </c>
      <c r="I4634" s="10" t="n">
        <f aca="false">IF(E4634="Won",1,0)</f>
        <v>1</v>
      </c>
    </row>
    <row r="4635" customFormat="false" ht="15" hidden="false" customHeight="false" outlineLevel="0" collapsed="false">
      <c r="A4635" s="10" t="s">
        <v>6976</v>
      </c>
      <c r="B4635" s="10" t="s">
        <v>86</v>
      </c>
      <c r="C4635" s="10" t="s">
        <v>51</v>
      </c>
      <c r="D4635" s="10" t="s">
        <v>692</v>
      </c>
      <c r="E4635" s="10" t="s">
        <v>2345</v>
      </c>
      <c r="F4635" s="30" t="n">
        <v>42912</v>
      </c>
      <c r="G4635" s="30" t="n">
        <v>43005</v>
      </c>
      <c r="H4635" s="26" t="n">
        <f aca="false">G4635-F4635</f>
        <v>93</v>
      </c>
      <c r="I4635" s="10" t="n">
        <f aca="false">IF(E4635="Won",1,0)</f>
        <v>0</v>
      </c>
    </row>
    <row r="4636" customFormat="false" ht="15" hidden="false" customHeight="false" outlineLevel="0" collapsed="false">
      <c r="A4636" s="10" t="s">
        <v>6977</v>
      </c>
      <c r="B4636" s="10" t="s">
        <v>88</v>
      </c>
      <c r="C4636" s="10" t="s">
        <v>50</v>
      </c>
      <c r="D4636" s="10" t="s">
        <v>332</v>
      </c>
      <c r="E4636" s="10" t="s">
        <v>2345</v>
      </c>
      <c r="F4636" s="30" t="n">
        <v>42928</v>
      </c>
      <c r="G4636" s="30" t="n">
        <v>43005</v>
      </c>
      <c r="H4636" s="26" t="n">
        <f aca="false">G4636-F4636</f>
        <v>77</v>
      </c>
      <c r="I4636" s="10" t="n">
        <f aca="false">IF(E4636="Won",1,0)</f>
        <v>0</v>
      </c>
    </row>
    <row r="4637" customFormat="false" ht="15" hidden="false" customHeight="false" outlineLevel="0" collapsed="false">
      <c r="A4637" s="10" t="s">
        <v>6978</v>
      </c>
      <c r="B4637" s="10" t="s">
        <v>79</v>
      </c>
      <c r="C4637" s="10" t="s">
        <v>50</v>
      </c>
      <c r="D4637" s="10" t="s">
        <v>353</v>
      </c>
      <c r="E4637" s="10" t="s">
        <v>2342</v>
      </c>
      <c r="F4637" s="30" t="n">
        <v>43001</v>
      </c>
      <c r="G4637" s="30" t="n">
        <v>43005</v>
      </c>
      <c r="H4637" s="26" t="n">
        <f aca="false">G4637-F4637</f>
        <v>4</v>
      </c>
      <c r="I4637" s="10" t="n">
        <f aca="false">IF(E4637="Won",1,0)</f>
        <v>1</v>
      </c>
    </row>
    <row r="4638" customFormat="false" ht="15" hidden="false" customHeight="false" outlineLevel="0" collapsed="false">
      <c r="A4638" s="10" t="s">
        <v>6979</v>
      </c>
      <c r="B4638" s="10" t="s">
        <v>97</v>
      </c>
      <c r="C4638" s="10" t="s">
        <v>48</v>
      </c>
      <c r="D4638" s="10" t="s">
        <v>286</v>
      </c>
      <c r="E4638" s="10" t="s">
        <v>2342</v>
      </c>
      <c r="F4638" s="30" t="n">
        <v>42995</v>
      </c>
      <c r="G4638" s="30" t="n">
        <v>43005</v>
      </c>
      <c r="H4638" s="26" t="n">
        <f aca="false">G4638-F4638</f>
        <v>10</v>
      </c>
      <c r="I4638" s="10" t="n">
        <f aca="false">IF(E4638="Won",1,0)</f>
        <v>1</v>
      </c>
    </row>
    <row r="4639" customFormat="false" ht="15" hidden="false" customHeight="false" outlineLevel="0" collapsed="false">
      <c r="A4639" s="10" t="s">
        <v>6980</v>
      </c>
      <c r="B4639" s="10" t="s">
        <v>77</v>
      </c>
      <c r="C4639" s="10" t="s">
        <v>48</v>
      </c>
      <c r="D4639" s="10" t="s">
        <v>410</v>
      </c>
      <c r="E4639" s="10" t="s">
        <v>2342</v>
      </c>
      <c r="F4639" s="30" t="n">
        <v>42875</v>
      </c>
      <c r="G4639" s="30" t="n">
        <v>43005</v>
      </c>
      <c r="H4639" s="26" t="n">
        <f aca="false">G4639-F4639</f>
        <v>130</v>
      </c>
      <c r="I4639" s="10" t="n">
        <f aca="false">IF(E4639="Won",1,0)</f>
        <v>1</v>
      </c>
    </row>
    <row r="4640" customFormat="false" ht="15" hidden="false" customHeight="false" outlineLevel="0" collapsed="false">
      <c r="A4640" s="10" t="s">
        <v>6981</v>
      </c>
      <c r="B4640" s="10" t="s">
        <v>87</v>
      </c>
      <c r="C4640" s="10" t="s">
        <v>48</v>
      </c>
      <c r="D4640" s="10" t="s">
        <v>692</v>
      </c>
      <c r="E4640" s="10" t="s">
        <v>2342</v>
      </c>
      <c r="F4640" s="30" t="n">
        <v>42909</v>
      </c>
      <c r="G4640" s="30" t="n">
        <v>43005</v>
      </c>
      <c r="H4640" s="26" t="n">
        <f aca="false">G4640-F4640</f>
        <v>96</v>
      </c>
      <c r="I4640" s="10" t="n">
        <f aca="false">IF(E4640="Won",1,0)</f>
        <v>1</v>
      </c>
    </row>
    <row r="4641" customFormat="false" ht="15" hidden="false" customHeight="false" outlineLevel="0" collapsed="false">
      <c r="A4641" s="10" t="s">
        <v>6982</v>
      </c>
      <c r="B4641" s="10" t="s">
        <v>79</v>
      </c>
      <c r="C4641" s="10" t="s">
        <v>49</v>
      </c>
      <c r="D4641" s="10" t="s">
        <v>210</v>
      </c>
      <c r="E4641" s="10" t="s">
        <v>2342</v>
      </c>
      <c r="F4641" s="30" t="n">
        <v>42934</v>
      </c>
      <c r="G4641" s="30" t="n">
        <v>43005</v>
      </c>
      <c r="H4641" s="26" t="n">
        <f aca="false">G4641-F4641</f>
        <v>71</v>
      </c>
      <c r="I4641" s="10" t="n">
        <f aca="false">IF(E4641="Won",1,0)</f>
        <v>1</v>
      </c>
    </row>
    <row r="4642" customFormat="false" ht="15" hidden="false" customHeight="false" outlineLevel="0" collapsed="false">
      <c r="A4642" s="10" t="s">
        <v>6983</v>
      </c>
      <c r="B4642" s="10" t="s">
        <v>80</v>
      </c>
      <c r="C4642" s="10" t="s">
        <v>48</v>
      </c>
      <c r="D4642" s="10" t="s">
        <v>369</v>
      </c>
      <c r="E4642" s="10" t="s">
        <v>2342</v>
      </c>
      <c r="F4642" s="30" t="n">
        <v>42996</v>
      </c>
      <c r="G4642" s="30" t="n">
        <v>43005</v>
      </c>
      <c r="H4642" s="26" t="n">
        <f aca="false">G4642-F4642</f>
        <v>9</v>
      </c>
      <c r="I4642" s="10" t="n">
        <f aca="false">IF(E4642="Won",1,0)</f>
        <v>1</v>
      </c>
    </row>
    <row r="4643" customFormat="false" ht="15" hidden="false" customHeight="false" outlineLevel="0" collapsed="false">
      <c r="A4643" s="10" t="s">
        <v>6984</v>
      </c>
      <c r="B4643" s="10" t="s">
        <v>68</v>
      </c>
      <c r="C4643" s="10" t="s">
        <v>50</v>
      </c>
      <c r="D4643" s="10" t="s">
        <v>233</v>
      </c>
      <c r="E4643" s="10" t="s">
        <v>2342</v>
      </c>
      <c r="F4643" s="30" t="n">
        <v>42975</v>
      </c>
      <c r="G4643" s="30" t="n">
        <v>43005</v>
      </c>
      <c r="H4643" s="26" t="n">
        <f aca="false">G4643-F4643</f>
        <v>30</v>
      </c>
      <c r="I4643" s="10" t="n">
        <f aca="false">IF(E4643="Won",1,0)</f>
        <v>1</v>
      </c>
    </row>
    <row r="4644" customFormat="false" ht="15" hidden="false" customHeight="false" outlineLevel="0" collapsed="false">
      <c r="A4644" s="10" t="s">
        <v>6985</v>
      </c>
      <c r="B4644" s="10" t="s">
        <v>71</v>
      </c>
      <c r="C4644" s="10" t="s">
        <v>50</v>
      </c>
      <c r="D4644" s="10" t="s">
        <v>947</v>
      </c>
      <c r="E4644" s="10" t="s">
        <v>2345</v>
      </c>
      <c r="F4644" s="30" t="n">
        <v>42962</v>
      </c>
      <c r="G4644" s="30" t="n">
        <v>43005</v>
      </c>
      <c r="H4644" s="26" t="n">
        <f aca="false">G4644-F4644</f>
        <v>43</v>
      </c>
      <c r="I4644" s="10" t="n">
        <f aca="false">IF(E4644="Won",1,0)</f>
        <v>0</v>
      </c>
    </row>
    <row r="4645" customFormat="false" ht="15" hidden="false" customHeight="false" outlineLevel="0" collapsed="false">
      <c r="A4645" s="10" t="s">
        <v>6986</v>
      </c>
      <c r="B4645" s="10" t="s">
        <v>86</v>
      </c>
      <c r="C4645" s="10" t="s">
        <v>47</v>
      </c>
      <c r="D4645" s="10" t="s">
        <v>185</v>
      </c>
      <c r="E4645" s="10" t="s">
        <v>2342</v>
      </c>
      <c r="F4645" s="30" t="n">
        <v>42942</v>
      </c>
      <c r="G4645" s="30" t="n">
        <v>43005</v>
      </c>
      <c r="H4645" s="26" t="n">
        <f aca="false">G4645-F4645</f>
        <v>63</v>
      </c>
      <c r="I4645" s="10" t="n">
        <f aca="false">IF(E4645="Won",1,0)</f>
        <v>1</v>
      </c>
    </row>
    <row r="4646" customFormat="false" ht="15" hidden="false" customHeight="false" outlineLevel="0" collapsed="false">
      <c r="A4646" s="10" t="s">
        <v>6987</v>
      </c>
      <c r="B4646" s="10" t="s">
        <v>95</v>
      </c>
      <c r="C4646" s="10" t="s">
        <v>51</v>
      </c>
      <c r="D4646" s="10" t="s">
        <v>337</v>
      </c>
      <c r="E4646" s="10" t="s">
        <v>2342</v>
      </c>
      <c r="F4646" s="30" t="n">
        <v>42914</v>
      </c>
      <c r="G4646" s="30" t="n">
        <v>43005</v>
      </c>
      <c r="H4646" s="26" t="n">
        <f aca="false">G4646-F4646</f>
        <v>91</v>
      </c>
      <c r="I4646" s="10" t="n">
        <f aca="false">IF(E4646="Won",1,0)</f>
        <v>1</v>
      </c>
    </row>
    <row r="4647" customFormat="false" ht="15" hidden="false" customHeight="false" outlineLevel="0" collapsed="false">
      <c r="A4647" s="10" t="s">
        <v>6988</v>
      </c>
      <c r="B4647" s="10" t="s">
        <v>88</v>
      </c>
      <c r="C4647" s="10" t="s">
        <v>48</v>
      </c>
      <c r="D4647" s="10" t="s">
        <v>464</v>
      </c>
      <c r="E4647" s="10" t="s">
        <v>2345</v>
      </c>
      <c r="F4647" s="30" t="n">
        <v>42936</v>
      </c>
      <c r="G4647" s="30" t="n">
        <v>43005</v>
      </c>
      <c r="H4647" s="26" t="n">
        <f aca="false">G4647-F4647</f>
        <v>69</v>
      </c>
      <c r="I4647" s="10" t="n">
        <f aca="false">IF(E4647="Won",1,0)</f>
        <v>0</v>
      </c>
    </row>
    <row r="4648" customFormat="false" ht="15" hidden="false" customHeight="false" outlineLevel="0" collapsed="false">
      <c r="A4648" s="10" t="s">
        <v>6989</v>
      </c>
      <c r="B4648" s="10" t="s">
        <v>79</v>
      </c>
      <c r="C4648" s="10" t="s">
        <v>48</v>
      </c>
      <c r="D4648" s="10" t="s">
        <v>210</v>
      </c>
      <c r="E4648" s="10" t="s">
        <v>2342</v>
      </c>
      <c r="F4648" s="30" t="n">
        <v>42940</v>
      </c>
      <c r="G4648" s="30" t="n">
        <v>43005</v>
      </c>
      <c r="H4648" s="26" t="n">
        <f aca="false">G4648-F4648</f>
        <v>65</v>
      </c>
      <c r="I4648" s="10" t="n">
        <f aca="false">IF(E4648="Won",1,0)</f>
        <v>1</v>
      </c>
    </row>
    <row r="4649" customFormat="false" ht="15" hidden="false" customHeight="false" outlineLevel="0" collapsed="false">
      <c r="A4649" s="10" t="s">
        <v>6990</v>
      </c>
      <c r="B4649" s="10" t="s">
        <v>87</v>
      </c>
      <c r="C4649" s="10" t="s">
        <v>50</v>
      </c>
      <c r="D4649" s="10" t="s">
        <v>247</v>
      </c>
      <c r="E4649" s="10" t="s">
        <v>2342</v>
      </c>
      <c r="F4649" s="30" t="n">
        <v>42916</v>
      </c>
      <c r="G4649" s="30" t="n">
        <v>43005</v>
      </c>
      <c r="H4649" s="26" t="n">
        <f aca="false">G4649-F4649</f>
        <v>89</v>
      </c>
      <c r="I4649" s="10" t="n">
        <f aca="false">IF(E4649="Won",1,0)</f>
        <v>1</v>
      </c>
    </row>
    <row r="4650" customFormat="false" ht="15" hidden="false" customHeight="false" outlineLevel="0" collapsed="false">
      <c r="A4650" s="10" t="s">
        <v>6991</v>
      </c>
      <c r="B4650" s="10" t="s">
        <v>71</v>
      </c>
      <c r="C4650" s="10" t="s">
        <v>51</v>
      </c>
      <c r="D4650" s="10" t="s">
        <v>947</v>
      </c>
      <c r="E4650" s="10" t="s">
        <v>2342</v>
      </c>
      <c r="F4650" s="30" t="n">
        <v>42916</v>
      </c>
      <c r="G4650" s="30" t="n">
        <v>43005</v>
      </c>
      <c r="H4650" s="26" t="n">
        <f aca="false">G4650-F4650</f>
        <v>89</v>
      </c>
      <c r="I4650" s="10" t="n">
        <f aca="false">IF(E4650="Won",1,0)</f>
        <v>1</v>
      </c>
    </row>
    <row r="4651" customFormat="false" ht="15" hidden="false" customHeight="false" outlineLevel="0" collapsed="false">
      <c r="A4651" s="10" t="s">
        <v>6992</v>
      </c>
      <c r="B4651" s="10" t="s">
        <v>97</v>
      </c>
      <c r="C4651" s="10" t="s">
        <v>51</v>
      </c>
      <c r="D4651" s="10" t="s">
        <v>337</v>
      </c>
      <c r="E4651" s="10" t="s">
        <v>2342</v>
      </c>
      <c r="F4651" s="30" t="n">
        <v>42922</v>
      </c>
      <c r="G4651" s="30" t="n">
        <v>43005</v>
      </c>
      <c r="H4651" s="26" t="n">
        <f aca="false">G4651-F4651</f>
        <v>83</v>
      </c>
      <c r="I4651" s="10" t="n">
        <f aca="false">IF(E4651="Won",1,0)</f>
        <v>1</v>
      </c>
    </row>
    <row r="4652" customFormat="false" ht="15" hidden="false" customHeight="false" outlineLevel="0" collapsed="false">
      <c r="A4652" s="10" t="s">
        <v>6993</v>
      </c>
      <c r="B4652" s="10" t="s">
        <v>96</v>
      </c>
      <c r="C4652" s="10" t="s">
        <v>50</v>
      </c>
      <c r="D4652" s="10" t="s">
        <v>172</v>
      </c>
      <c r="E4652" s="10" t="s">
        <v>2342</v>
      </c>
      <c r="F4652" s="30" t="n">
        <v>42879</v>
      </c>
      <c r="G4652" s="30" t="n">
        <v>43005</v>
      </c>
      <c r="H4652" s="26" t="n">
        <f aca="false">G4652-F4652</f>
        <v>126</v>
      </c>
      <c r="I4652" s="10" t="n">
        <f aca="false">IF(E4652="Won",1,0)</f>
        <v>1</v>
      </c>
    </row>
    <row r="4653" customFormat="false" ht="15" hidden="false" customHeight="false" outlineLevel="0" collapsed="false">
      <c r="A4653" s="10" t="s">
        <v>6994</v>
      </c>
      <c r="B4653" s="10" t="s">
        <v>86</v>
      </c>
      <c r="C4653" s="10" t="s">
        <v>48</v>
      </c>
      <c r="D4653" s="10" t="s">
        <v>1334</v>
      </c>
      <c r="E4653" s="10" t="s">
        <v>2342</v>
      </c>
      <c r="F4653" s="30" t="n">
        <v>43003</v>
      </c>
      <c r="G4653" s="30" t="n">
        <v>43005</v>
      </c>
      <c r="H4653" s="26" t="n">
        <f aca="false">G4653-F4653</f>
        <v>2</v>
      </c>
      <c r="I4653" s="10" t="n">
        <f aca="false">IF(E4653="Won",1,0)</f>
        <v>1</v>
      </c>
    </row>
    <row r="4654" customFormat="false" ht="15" hidden="false" customHeight="false" outlineLevel="0" collapsed="false">
      <c r="A4654" s="10" t="s">
        <v>6995</v>
      </c>
      <c r="B4654" s="10" t="s">
        <v>93</v>
      </c>
      <c r="C4654" s="10" t="s">
        <v>47</v>
      </c>
      <c r="D4654" s="10" t="s">
        <v>170</v>
      </c>
      <c r="E4654" s="10" t="s">
        <v>2342</v>
      </c>
      <c r="F4654" s="30" t="n">
        <v>42919</v>
      </c>
      <c r="G4654" s="30" t="n">
        <v>43005</v>
      </c>
      <c r="H4654" s="26" t="n">
        <f aca="false">G4654-F4654</f>
        <v>86</v>
      </c>
      <c r="I4654" s="10" t="n">
        <f aca="false">IF(E4654="Won",1,0)</f>
        <v>1</v>
      </c>
    </row>
    <row r="4655" customFormat="false" ht="15" hidden="false" customHeight="false" outlineLevel="0" collapsed="false">
      <c r="A4655" s="10" t="s">
        <v>6996</v>
      </c>
      <c r="B4655" s="10" t="s">
        <v>76</v>
      </c>
      <c r="C4655" s="10" t="s">
        <v>49</v>
      </c>
      <c r="D4655" s="10" t="s">
        <v>762</v>
      </c>
      <c r="E4655" s="10" t="s">
        <v>2342</v>
      </c>
      <c r="F4655" s="30" t="n">
        <v>42937</v>
      </c>
      <c r="G4655" s="30" t="n">
        <v>43005</v>
      </c>
      <c r="H4655" s="26" t="n">
        <f aca="false">G4655-F4655</f>
        <v>68</v>
      </c>
      <c r="I4655" s="10" t="n">
        <f aca="false">IF(E4655="Won",1,0)</f>
        <v>1</v>
      </c>
    </row>
    <row r="4656" customFormat="false" ht="15" hidden="false" customHeight="false" outlineLevel="0" collapsed="false">
      <c r="A4656" s="10" t="s">
        <v>6997</v>
      </c>
      <c r="B4656" s="10" t="s">
        <v>60</v>
      </c>
      <c r="C4656" s="10" t="s">
        <v>47</v>
      </c>
      <c r="D4656" s="10" t="s">
        <v>453</v>
      </c>
      <c r="E4656" s="10" t="s">
        <v>2345</v>
      </c>
      <c r="F4656" s="30" t="n">
        <v>42987</v>
      </c>
      <c r="G4656" s="30" t="n">
        <v>43005</v>
      </c>
      <c r="H4656" s="26" t="n">
        <f aca="false">G4656-F4656</f>
        <v>18</v>
      </c>
      <c r="I4656" s="10" t="n">
        <f aca="false">IF(E4656="Won",1,0)</f>
        <v>0</v>
      </c>
    </row>
    <row r="4657" customFormat="false" ht="15" hidden="false" customHeight="false" outlineLevel="0" collapsed="false">
      <c r="A4657" s="10" t="s">
        <v>6998</v>
      </c>
      <c r="B4657" s="10" t="s">
        <v>81</v>
      </c>
      <c r="C4657" s="10" t="s">
        <v>52</v>
      </c>
      <c r="D4657" s="10" t="s">
        <v>414</v>
      </c>
      <c r="E4657" s="10" t="s">
        <v>2342</v>
      </c>
      <c r="F4657" s="30" t="n">
        <v>42999</v>
      </c>
      <c r="G4657" s="30" t="n">
        <v>43005</v>
      </c>
      <c r="H4657" s="26" t="n">
        <f aca="false">G4657-F4657</f>
        <v>6</v>
      </c>
      <c r="I4657" s="10" t="n">
        <f aca="false">IF(E4657="Won",1,0)</f>
        <v>1</v>
      </c>
    </row>
    <row r="4658" customFormat="false" ht="15" hidden="false" customHeight="false" outlineLevel="0" collapsed="false">
      <c r="A4658" s="10" t="s">
        <v>6999</v>
      </c>
      <c r="B4658" s="10" t="s">
        <v>97</v>
      </c>
      <c r="C4658" s="10" t="s">
        <v>51</v>
      </c>
      <c r="D4658" s="10" t="s">
        <v>437</v>
      </c>
      <c r="E4658" s="10" t="s">
        <v>2345</v>
      </c>
      <c r="F4658" s="30" t="n">
        <v>42891</v>
      </c>
      <c r="G4658" s="30" t="n">
        <v>43005</v>
      </c>
      <c r="H4658" s="26" t="n">
        <f aca="false">G4658-F4658</f>
        <v>114</v>
      </c>
      <c r="I4658" s="10" t="n">
        <f aca="false">IF(E4658="Won",1,0)</f>
        <v>0</v>
      </c>
    </row>
    <row r="4659" customFormat="false" ht="15" hidden="false" customHeight="false" outlineLevel="0" collapsed="false">
      <c r="A4659" s="10" t="s">
        <v>7000</v>
      </c>
      <c r="B4659" s="10" t="s">
        <v>62</v>
      </c>
      <c r="C4659" s="10" t="s">
        <v>52</v>
      </c>
      <c r="D4659" s="10" t="s">
        <v>692</v>
      </c>
      <c r="E4659" s="10" t="s">
        <v>2342</v>
      </c>
      <c r="F4659" s="30" t="n">
        <v>42988</v>
      </c>
      <c r="G4659" s="30" t="n">
        <v>43005</v>
      </c>
      <c r="H4659" s="26" t="n">
        <f aca="false">G4659-F4659</f>
        <v>17</v>
      </c>
      <c r="I4659" s="10" t="n">
        <f aca="false">IF(E4659="Won",1,0)</f>
        <v>1</v>
      </c>
    </row>
    <row r="4660" customFormat="false" ht="15" hidden="false" customHeight="false" outlineLevel="0" collapsed="false">
      <c r="A4660" s="10" t="s">
        <v>7001</v>
      </c>
      <c r="B4660" s="10" t="s">
        <v>86</v>
      </c>
      <c r="C4660" s="10" t="s">
        <v>49</v>
      </c>
      <c r="D4660" s="10" t="s">
        <v>218</v>
      </c>
      <c r="E4660" s="10" t="s">
        <v>2345</v>
      </c>
      <c r="F4660" s="30" t="n">
        <v>42935</v>
      </c>
      <c r="G4660" s="30" t="n">
        <v>43005</v>
      </c>
      <c r="H4660" s="26" t="n">
        <f aca="false">G4660-F4660</f>
        <v>70</v>
      </c>
      <c r="I4660" s="10" t="n">
        <f aca="false">IF(E4660="Won",1,0)</f>
        <v>0</v>
      </c>
    </row>
    <row r="4661" customFormat="false" ht="15" hidden="false" customHeight="false" outlineLevel="0" collapsed="false">
      <c r="A4661" s="10" t="s">
        <v>7002</v>
      </c>
      <c r="B4661" s="10" t="s">
        <v>94</v>
      </c>
      <c r="C4661" s="10" t="s">
        <v>47</v>
      </c>
      <c r="D4661" s="10" t="s">
        <v>313</v>
      </c>
      <c r="E4661" s="10" t="s">
        <v>2345</v>
      </c>
      <c r="F4661" s="30" t="n">
        <v>42988</v>
      </c>
      <c r="G4661" s="30" t="n">
        <v>43005</v>
      </c>
      <c r="H4661" s="26" t="n">
        <f aca="false">G4661-F4661</f>
        <v>17</v>
      </c>
      <c r="I4661" s="10" t="n">
        <f aca="false">IF(E4661="Won",1,0)</f>
        <v>0</v>
      </c>
    </row>
    <row r="4662" customFormat="false" ht="15" hidden="false" customHeight="false" outlineLevel="0" collapsed="false">
      <c r="A4662" s="10" t="s">
        <v>7003</v>
      </c>
      <c r="B4662" s="10" t="s">
        <v>79</v>
      </c>
      <c r="C4662" s="10" t="s">
        <v>52</v>
      </c>
      <c r="D4662" s="10" t="s">
        <v>321</v>
      </c>
      <c r="E4662" s="10" t="s">
        <v>2345</v>
      </c>
      <c r="F4662" s="30" t="n">
        <v>42899</v>
      </c>
      <c r="G4662" s="30" t="n">
        <v>43006</v>
      </c>
      <c r="H4662" s="26" t="n">
        <f aca="false">G4662-F4662</f>
        <v>107</v>
      </c>
      <c r="I4662" s="10" t="n">
        <f aca="false">IF(E4662="Won",1,0)</f>
        <v>0</v>
      </c>
    </row>
    <row r="4663" customFormat="false" ht="15" hidden="false" customHeight="false" outlineLevel="0" collapsed="false">
      <c r="A4663" s="10" t="s">
        <v>7004</v>
      </c>
      <c r="B4663" s="10" t="s">
        <v>83</v>
      </c>
      <c r="C4663" s="10" t="s">
        <v>51</v>
      </c>
      <c r="D4663" s="10" t="s">
        <v>279</v>
      </c>
      <c r="E4663" s="10" t="s">
        <v>2342</v>
      </c>
      <c r="F4663" s="30" t="n">
        <v>42929</v>
      </c>
      <c r="G4663" s="30" t="n">
        <v>43006</v>
      </c>
      <c r="H4663" s="26" t="n">
        <f aca="false">G4663-F4663</f>
        <v>77</v>
      </c>
      <c r="I4663" s="10" t="n">
        <f aca="false">IF(E4663="Won",1,0)</f>
        <v>1</v>
      </c>
    </row>
    <row r="4664" customFormat="false" ht="15" hidden="false" customHeight="false" outlineLevel="0" collapsed="false">
      <c r="A4664" s="10" t="s">
        <v>7005</v>
      </c>
      <c r="B4664" s="10" t="s">
        <v>81</v>
      </c>
      <c r="C4664" s="10" t="s">
        <v>49</v>
      </c>
      <c r="D4664" s="10" t="s">
        <v>311</v>
      </c>
      <c r="E4664" s="10" t="s">
        <v>2342</v>
      </c>
      <c r="F4664" s="30" t="n">
        <v>42908</v>
      </c>
      <c r="G4664" s="30" t="n">
        <v>43006</v>
      </c>
      <c r="H4664" s="26" t="n">
        <f aca="false">G4664-F4664</f>
        <v>98</v>
      </c>
      <c r="I4664" s="10" t="n">
        <f aca="false">IF(E4664="Won",1,0)</f>
        <v>1</v>
      </c>
    </row>
    <row r="4665" customFormat="false" ht="15" hidden="false" customHeight="false" outlineLevel="0" collapsed="false">
      <c r="A4665" s="10" t="s">
        <v>7006</v>
      </c>
      <c r="B4665" s="10" t="s">
        <v>88</v>
      </c>
      <c r="C4665" s="10" t="s">
        <v>47</v>
      </c>
      <c r="D4665" s="10" t="s">
        <v>692</v>
      </c>
      <c r="E4665" s="10" t="s">
        <v>2345</v>
      </c>
      <c r="F4665" s="30" t="n">
        <v>42996</v>
      </c>
      <c r="G4665" s="30" t="n">
        <v>43006</v>
      </c>
      <c r="H4665" s="26" t="n">
        <f aca="false">G4665-F4665</f>
        <v>10</v>
      </c>
      <c r="I4665" s="10" t="n">
        <f aca="false">IF(E4665="Won",1,0)</f>
        <v>0</v>
      </c>
    </row>
    <row r="4666" customFormat="false" ht="15" hidden="false" customHeight="false" outlineLevel="0" collapsed="false">
      <c r="A4666" s="10" t="s">
        <v>7007</v>
      </c>
      <c r="B4666" s="10" t="s">
        <v>96</v>
      </c>
      <c r="C4666" s="10" t="s">
        <v>51</v>
      </c>
      <c r="D4666" s="10" t="s">
        <v>437</v>
      </c>
      <c r="E4666" s="10" t="s">
        <v>2345</v>
      </c>
      <c r="F4666" s="30" t="n">
        <v>42989</v>
      </c>
      <c r="G4666" s="30" t="n">
        <v>43006</v>
      </c>
      <c r="H4666" s="26" t="n">
        <f aca="false">G4666-F4666</f>
        <v>17</v>
      </c>
      <c r="I4666" s="10" t="n">
        <f aca="false">IF(E4666="Won",1,0)</f>
        <v>0</v>
      </c>
    </row>
    <row r="4667" customFormat="false" ht="15" hidden="false" customHeight="false" outlineLevel="0" collapsed="false">
      <c r="A4667" s="10" t="s">
        <v>7008</v>
      </c>
      <c r="B4667" s="10" t="s">
        <v>66</v>
      </c>
      <c r="C4667" s="10" t="s">
        <v>51</v>
      </c>
      <c r="D4667" s="10" t="s">
        <v>483</v>
      </c>
      <c r="E4667" s="10" t="s">
        <v>2342</v>
      </c>
      <c r="F4667" s="30" t="n">
        <v>42932</v>
      </c>
      <c r="G4667" s="30" t="n">
        <v>43006</v>
      </c>
      <c r="H4667" s="26" t="n">
        <f aca="false">G4667-F4667</f>
        <v>74</v>
      </c>
      <c r="I4667" s="10" t="n">
        <f aca="false">IF(E4667="Won",1,0)</f>
        <v>1</v>
      </c>
    </row>
    <row r="4668" customFormat="false" ht="15" hidden="false" customHeight="false" outlineLevel="0" collapsed="false">
      <c r="A4668" s="10" t="s">
        <v>7009</v>
      </c>
      <c r="B4668" s="10" t="s">
        <v>88</v>
      </c>
      <c r="C4668" s="10" t="s">
        <v>50</v>
      </c>
      <c r="D4668" s="10" t="s">
        <v>532</v>
      </c>
      <c r="E4668" s="10" t="s">
        <v>2342</v>
      </c>
      <c r="F4668" s="30" t="n">
        <v>42924</v>
      </c>
      <c r="G4668" s="30" t="n">
        <v>43006</v>
      </c>
      <c r="H4668" s="26" t="n">
        <f aca="false">G4668-F4668</f>
        <v>82</v>
      </c>
      <c r="I4668" s="10" t="n">
        <f aca="false">IF(E4668="Won",1,0)</f>
        <v>1</v>
      </c>
    </row>
    <row r="4669" customFormat="false" ht="15" hidden="false" customHeight="false" outlineLevel="0" collapsed="false">
      <c r="A4669" s="10" t="s">
        <v>7010</v>
      </c>
      <c r="B4669" s="10" t="s">
        <v>90</v>
      </c>
      <c r="C4669" s="10" t="s">
        <v>47</v>
      </c>
      <c r="D4669" s="10" t="s">
        <v>218</v>
      </c>
      <c r="E4669" s="10" t="s">
        <v>2342</v>
      </c>
      <c r="F4669" s="30" t="n">
        <v>42947</v>
      </c>
      <c r="G4669" s="30" t="n">
        <v>43006</v>
      </c>
      <c r="H4669" s="26" t="n">
        <f aca="false">G4669-F4669</f>
        <v>59</v>
      </c>
      <c r="I4669" s="10" t="n">
        <f aca="false">IF(E4669="Won",1,0)</f>
        <v>1</v>
      </c>
    </row>
    <row r="4670" customFormat="false" ht="15" hidden="false" customHeight="false" outlineLevel="0" collapsed="false">
      <c r="A4670" s="10" t="s">
        <v>7011</v>
      </c>
      <c r="B4670" s="10" t="s">
        <v>83</v>
      </c>
      <c r="C4670" s="10" t="s">
        <v>49</v>
      </c>
      <c r="D4670" s="10" t="s">
        <v>267</v>
      </c>
      <c r="E4670" s="10" t="s">
        <v>2342</v>
      </c>
      <c r="F4670" s="30" t="n">
        <v>42938</v>
      </c>
      <c r="G4670" s="30" t="n">
        <v>43006</v>
      </c>
      <c r="H4670" s="26" t="n">
        <f aca="false">G4670-F4670</f>
        <v>68</v>
      </c>
      <c r="I4670" s="10" t="n">
        <f aca="false">IF(E4670="Won",1,0)</f>
        <v>1</v>
      </c>
    </row>
    <row r="4671" customFormat="false" ht="15" hidden="false" customHeight="false" outlineLevel="0" collapsed="false">
      <c r="A4671" s="10" t="s">
        <v>7012</v>
      </c>
      <c r="B4671" s="10" t="s">
        <v>68</v>
      </c>
      <c r="C4671" s="10" t="s">
        <v>51</v>
      </c>
      <c r="D4671" s="10" t="s">
        <v>348</v>
      </c>
      <c r="E4671" s="10" t="s">
        <v>2342</v>
      </c>
      <c r="F4671" s="30" t="n">
        <v>42904</v>
      </c>
      <c r="G4671" s="30" t="n">
        <v>43006</v>
      </c>
      <c r="H4671" s="26" t="n">
        <f aca="false">G4671-F4671</f>
        <v>102</v>
      </c>
      <c r="I4671" s="10" t="n">
        <f aca="false">IF(E4671="Won",1,0)</f>
        <v>1</v>
      </c>
    </row>
    <row r="4672" customFormat="false" ht="15" hidden="false" customHeight="false" outlineLevel="0" collapsed="false">
      <c r="A4672" s="10" t="s">
        <v>7013</v>
      </c>
      <c r="B4672" s="10" t="s">
        <v>88</v>
      </c>
      <c r="C4672" s="10" t="s">
        <v>47</v>
      </c>
      <c r="D4672" s="10" t="s">
        <v>1334</v>
      </c>
      <c r="E4672" s="10" t="s">
        <v>2345</v>
      </c>
      <c r="F4672" s="30" t="n">
        <v>42928</v>
      </c>
      <c r="G4672" s="30" t="n">
        <v>43006</v>
      </c>
      <c r="H4672" s="26" t="n">
        <f aca="false">G4672-F4672</f>
        <v>78</v>
      </c>
      <c r="I4672" s="10" t="n">
        <f aca="false">IF(E4672="Won",1,0)</f>
        <v>0</v>
      </c>
    </row>
    <row r="4673" customFormat="false" ht="15" hidden="false" customHeight="false" outlineLevel="0" collapsed="false">
      <c r="A4673" s="10" t="s">
        <v>7014</v>
      </c>
      <c r="B4673" s="10" t="s">
        <v>84</v>
      </c>
      <c r="C4673" s="10" t="s">
        <v>50</v>
      </c>
      <c r="D4673" s="10" t="s">
        <v>453</v>
      </c>
      <c r="E4673" s="10" t="s">
        <v>2342</v>
      </c>
      <c r="F4673" s="30" t="n">
        <v>42928</v>
      </c>
      <c r="G4673" s="30" t="n">
        <v>43006</v>
      </c>
      <c r="H4673" s="26" t="n">
        <f aca="false">G4673-F4673</f>
        <v>78</v>
      </c>
      <c r="I4673" s="10" t="n">
        <f aca="false">IF(E4673="Won",1,0)</f>
        <v>1</v>
      </c>
    </row>
    <row r="4674" customFormat="false" ht="15" hidden="false" customHeight="false" outlineLevel="0" collapsed="false">
      <c r="A4674" s="10" t="s">
        <v>7015</v>
      </c>
      <c r="B4674" s="10" t="s">
        <v>87</v>
      </c>
      <c r="C4674" s="10" t="s">
        <v>50</v>
      </c>
      <c r="D4674" s="10" t="s">
        <v>233</v>
      </c>
      <c r="E4674" s="10" t="s">
        <v>2342</v>
      </c>
      <c r="F4674" s="30" t="n">
        <v>42909</v>
      </c>
      <c r="G4674" s="30" t="n">
        <v>43006</v>
      </c>
      <c r="H4674" s="26" t="n">
        <f aca="false">G4674-F4674</f>
        <v>97</v>
      </c>
      <c r="I4674" s="10" t="n">
        <f aca="false">IF(E4674="Won",1,0)</f>
        <v>1</v>
      </c>
    </row>
    <row r="4675" customFormat="false" ht="15" hidden="false" customHeight="false" outlineLevel="0" collapsed="false">
      <c r="A4675" s="10" t="s">
        <v>7016</v>
      </c>
      <c r="B4675" s="10" t="s">
        <v>86</v>
      </c>
      <c r="C4675" s="10" t="s">
        <v>49</v>
      </c>
      <c r="D4675" s="10" t="s">
        <v>247</v>
      </c>
      <c r="E4675" s="10" t="s">
        <v>2345</v>
      </c>
      <c r="F4675" s="30" t="n">
        <v>43004</v>
      </c>
      <c r="G4675" s="30" t="n">
        <v>43006</v>
      </c>
      <c r="H4675" s="26" t="n">
        <f aca="false">G4675-F4675</f>
        <v>2</v>
      </c>
      <c r="I4675" s="10" t="n">
        <f aca="false">IF(E4675="Won",1,0)</f>
        <v>0</v>
      </c>
    </row>
    <row r="4676" customFormat="false" ht="15" hidden="false" customHeight="false" outlineLevel="0" collapsed="false">
      <c r="A4676" s="10" t="s">
        <v>7017</v>
      </c>
      <c r="B4676" s="10" t="s">
        <v>95</v>
      </c>
      <c r="C4676" s="10" t="s">
        <v>49</v>
      </c>
      <c r="D4676" s="10" t="s">
        <v>326</v>
      </c>
      <c r="E4676" s="10" t="s">
        <v>2345</v>
      </c>
      <c r="F4676" s="30" t="n">
        <v>42924</v>
      </c>
      <c r="G4676" s="30" t="n">
        <v>43006</v>
      </c>
      <c r="H4676" s="26" t="n">
        <f aca="false">G4676-F4676</f>
        <v>82</v>
      </c>
      <c r="I4676" s="10" t="n">
        <f aca="false">IF(E4676="Won",1,0)</f>
        <v>0</v>
      </c>
    </row>
    <row r="4677" customFormat="false" ht="15" hidden="false" customHeight="false" outlineLevel="0" collapsed="false">
      <c r="A4677" s="10" t="s">
        <v>7018</v>
      </c>
      <c r="B4677" s="10" t="s">
        <v>90</v>
      </c>
      <c r="C4677" s="10" t="s">
        <v>51</v>
      </c>
      <c r="D4677" s="10" t="s">
        <v>405</v>
      </c>
      <c r="E4677" s="10" t="s">
        <v>2345</v>
      </c>
      <c r="F4677" s="30" t="n">
        <v>42992</v>
      </c>
      <c r="G4677" s="30" t="n">
        <v>43006</v>
      </c>
      <c r="H4677" s="26" t="n">
        <f aca="false">G4677-F4677</f>
        <v>14</v>
      </c>
      <c r="I4677" s="10" t="n">
        <f aca="false">IF(E4677="Won",1,0)</f>
        <v>0</v>
      </c>
    </row>
    <row r="4678" customFormat="false" ht="15" hidden="false" customHeight="false" outlineLevel="0" collapsed="false">
      <c r="A4678" s="10" t="s">
        <v>7019</v>
      </c>
      <c r="B4678" s="10" t="s">
        <v>96</v>
      </c>
      <c r="C4678" s="10" t="s">
        <v>50</v>
      </c>
      <c r="D4678" s="10" t="s">
        <v>437</v>
      </c>
      <c r="E4678" s="10" t="s">
        <v>2345</v>
      </c>
      <c r="F4678" s="30" t="n">
        <v>42933</v>
      </c>
      <c r="G4678" s="30" t="n">
        <v>43006</v>
      </c>
      <c r="H4678" s="26" t="n">
        <f aca="false">G4678-F4678</f>
        <v>73</v>
      </c>
      <c r="I4678" s="10" t="n">
        <f aca="false">IF(E4678="Won",1,0)</f>
        <v>0</v>
      </c>
    </row>
    <row r="4679" customFormat="false" ht="15" hidden="false" customHeight="false" outlineLevel="0" collapsed="false">
      <c r="A4679" s="10" t="s">
        <v>7020</v>
      </c>
      <c r="B4679" s="10" t="s">
        <v>94</v>
      </c>
      <c r="C4679" s="10" t="s">
        <v>51</v>
      </c>
      <c r="D4679" s="10" t="s">
        <v>487</v>
      </c>
      <c r="E4679" s="10" t="s">
        <v>2342</v>
      </c>
      <c r="F4679" s="30" t="n">
        <v>43000</v>
      </c>
      <c r="G4679" s="30" t="n">
        <v>43006</v>
      </c>
      <c r="H4679" s="26" t="n">
        <f aca="false">G4679-F4679</f>
        <v>6</v>
      </c>
      <c r="I4679" s="10" t="n">
        <f aca="false">IF(E4679="Won",1,0)</f>
        <v>1</v>
      </c>
    </row>
    <row r="4680" customFormat="false" ht="15" hidden="false" customHeight="false" outlineLevel="0" collapsed="false">
      <c r="A4680" s="10" t="s">
        <v>7021</v>
      </c>
      <c r="B4680" s="10" t="s">
        <v>70</v>
      </c>
      <c r="C4680" s="10" t="s">
        <v>49</v>
      </c>
      <c r="D4680" s="10" t="s">
        <v>986</v>
      </c>
      <c r="E4680" s="10" t="s">
        <v>2342</v>
      </c>
      <c r="F4680" s="30" t="n">
        <v>42957</v>
      </c>
      <c r="G4680" s="30" t="n">
        <v>43006</v>
      </c>
      <c r="H4680" s="26" t="n">
        <f aca="false">G4680-F4680</f>
        <v>49</v>
      </c>
      <c r="I4680" s="10" t="n">
        <f aca="false">IF(E4680="Won",1,0)</f>
        <v>1</v>
      </c>
    </row>
    <row r="4681" customFormat="false" ht="15" hidden="false" customHeight="false" outlineLevel="0" collapsed="false">
      <c r="A4681" s="10" t="s">
        <v>7022</v>
      </c>
      <c r="B4681" s="10" t="s">
        <v>86</v>
      </c>
      <c r="C4681" s="10" t="s">
        <v>48</v>
      </c>
      <c r="D4681" s="10" t="s">
        <v>453</v>
      </c>
      <c r="E4681" s="10" t="s">
        <v>2342</v>
      </c>
      <c r="F4681" s="30" t="n">
        <v>43003</v>
      </c>
      <c r="G4681" s="30" t="n">
        <v>43006</v>
      </c>
      <c r="H4681" s="26" t="n">
        <f aca="false">G4681-F4681</f>
        <v>3</v>
      </c>
      <c r="I4681" s="10" t="n">
        <f aca="false">IF(E4681="Won",1,0)</f>
        <v>1</v>
      </c>
    </row>
    <row r="4682" customFormat="false" ht="15" hidden="false" customHeight="false" outlineLevel="0" collapsed="false">
      <c r="A4682" s="10" t="s">
        <v>7023</v>
      </c>
      <c r="B4682" s="10" t="s">
        <v>68</v>
      </c>
      <c r="C4682" s="10" t="s">
        <v>51</v>
      </c>
      <c r="D4682" s="10" t="s">
        <v>172</v>
      </c>
      <c r="E4682" s="10" t="s">
        <v>2342</v>
      </c>
      <c r="F4682" s="30" t="n">
        <v>42998</v>
      </c>
      <c r="G4682" s="30" t="n">
        <v>43007</v>
      </c>
      <c r="H4682" s="26" t="n">
        <f aca="false">G4682-F4682</f>
        <v>9</v>
      </c>
      <c r="I4682" s="10" t="n">
        <f aca="false">IF(E4682="Won",1,0)</f>
        <v>1</v>
      </c>
    </row>
    <row r="4683" customFormat="false" ht="15" hidden="false" customHeight="false" outlineLevel="0" collapsed="false">
      <c r="A4683" s="10" t="s">
        <v>7024</v>
      </c>
      <c r="B4683" s="10" t="s">
        <v>67</v>
      </c>
      <c r="C4683" s="10" t="s">
        <v>50</v>
      </c>
      <c r="D4683" s="10" t="s">
        <v>396</v>
      </c>
      <c r="E4683" s="10" t="s">
        <v>2345</v>
      </c>
      <c r="F4683" s="30" t="n">
        <v>42890</v>
      </c>
      <c r="G4683" s="30" t="n">
        <v>43007</v>
      </c>
      <c r="H4683" s="26" t="n">
        <f aca="false">G4683-F4683</f>
        <v>117</v>
      </c>
      <c r="I4683" s="10" t="n">
        <f aca="false">IF(E4683="Won",1,0)</f>
        <v>0</v>
      </c>
    </row>
    <row r="4684" customFormat="false" ht="15" hidden="false" customHeight="false" outlineLevel="0" collapsed="false">
      <c r="A4684" s="10" t="s">
        <v>7025</v>
      </c>
      <c r="B4684" s="10" t="s">
        <v>70</v>
      </c>
      <c r="C4684" s="10" t="s">
        <v>52</v>
      </c>
      <c r="D4684" s="10" t="s">
        <v>396</v>
      </c>
      <c r="E4684" s="10" t="s">
        <v>2342</v>
      </c>
      <c r="F4684" s="30" t="n">
        <v>43000</v>
      </c>
      <c r="G4684" s="30" t="n">
        <v>43007</v>
      </c>
      <c r="H4684" s="26" t="n">
        <f aca="false">G4684-F4684</f>
        <v>7</v>
      </c>
      <c r="I4684" s="10" t="n">
        <f aca="false">IF(E4684="Won",1,0)</f>
        <v>1</v>
      </c>
    </row>
    <row r="4685" customFormat="false" ht="15" hidden="false" customHeight="false" outlineLevel="0" collapsed="false">
      <c r="A4685" s="10" t="s">
        <v>7026</v>
      </c>
      <c r="B4685" s="10" t="s">
        <v>57</v>
      </c>
      <c r="C4685" s="10" t="s">
        <v>48</v>
      </c>
      <c r="D4685" s="10" t="s">
        <v>1397</v>
      </c>
      <c r="E4685" s="10" t="s">
        <v>2342</v>
      </c>
      <c r="F4685" s="30" t="n">
        <v>42998</v>
      </c>
      <c r="G4685" s="30" t="n">
        <v>43007</v>
      </c>
      <c r="H4685" s="26" t="n">
        <f aca="false">G4685-F4685</f>
        <v>9</v>
      </c>
      <c r="I4685" s="10" t="n">
        <f aca="false">IF(E4685="Won",1,0)</f>
        <v>1</v>
      </c>
    </row>
    <row r="4686" customFormat="false" ht="15" hidden="false" customHeight="false" outlineLevel="0" collapsed="false">
      <c r="A4686" s="10" t="s">
        <v>7027</v>
      </c>
      <c r="B4686" s="10" t="s">
        <v>94</v>
      </c>
      <c r="C4686" s="10" t="s">
        <v>49</v>
      </c>
      <c r="D4686" s="10" t="s">
        <v>506</v>
      </c>
      <c r="E4686" s="10" t="s">
        <v>2342</v>
      </c>
      <c r="F4686" s="30" t="n">
        <v>42945</v>
      </c>
      <c r="G4686" s="30" t="n">
        <v>43007</v>
      </c>
      <c r="H4686" s="26" t="n">
        <f aca="false">G4686-F4686</f>
        <v>62</v>
      </c>
      <c r="I4686" s="10" t="n">
        <f aca="false">IF(E4686="Won",1,0)</f>
        <v>1</v>
      </c>
    </row>
    <row r="4687" customFormat="false" ht="15" hidden="false" customHeight="false" outlineLevel="0" collapsed="false">
      <c r="A4687" s="10" t="s">
        <v>7028</v>
      </c>
      <c r="B4687" s="10" t="s">
        <v>96</v>
      </c>
      <c r="C4687" s="10" t="s">
        <v>49</v>
      </c>
      <c r="D4687" s="10" t="s">
        <v>348</v>
      </c>
      <c r="E4687" s="10" t="s">
        <v>2342</v>
      </c>
      <c r="F4687" s="30" t="n">
        <v>42935</v>
      </c>
      <c r="G4687" s="30" t="n">
        <v>43007</v>
      </c>
      <c r="H4687" s="26" t="n">
        <f aca="false">G4687-F4687</f>
        <v>72</v>
      </c>
      <c r="I4687" s="10" t="n">
        <f aca="false">IF(E4687="Won",1,0)</f>
        <v>1</v>
      </c>
    </row>
    <row r="4688" customFormat="false" ht="15" hidden="false" customHeight="false" outlineLevel="0" collapsed="false">
      <c r="A4688" s="10" t="s">
        <v>7029</v>
      </c>
      <c r="B4688" s="10" t="s">
        <v>76</v>
      </c>
      <c r="C4688" s="10" t="s">
        <v>52</v>
      </c>
      <c r="D4688" s="10" t="s">
        <v>388</v>
      </c>
      <c r="E4688" s="10" t="s">
        <v>2342</v>
      </c>
      <c r="F4688" s="30" t="n">
        <v>43005</v>
      </c>
      <c r="G4688" s="30" t="n">
        <v>43007</v>
      </c>
      <c r="H4688" s="26" t="n">
        <f aca="false">G4688-F4688</f>
        <v>2</v>
      </c>
      <c r="I4688" s="10" t="n">
        <f aca="false">IF(E4688="Won",1,0)</f>
        <v>1</v>
      </c>
    </row>
    <row r="4689" customFormat="false" ht="15" hidden="false" customHeight="false" outlineLevel="0" collapsed="false">
      <c r="A4689" s="10" t="s">
        <v>7030</v>
      </c>
      <c r="B4689" s="10" t="s">
        <v>60</v>
      </c>
      <c r="C4689" s="10" t="s">
        <v>50</v>
      </c>
      <c r="D4689" s="10" t="s">
        <v>455</v>
      </c>
      <c r="E4689" s="10" t="s">
        <v>2342</v>
      </c>
      <c r="F4689" s="30" t="n">
        <v>42921</v>
      </c>
      <c r="G4689" s="30" t="n">
        <v>43007</v>
      </c>
      <c r="H4689" s="26" t="n">
        <f aca="false">G4689-F4689</f>
        <v>86</v>
      </c>
      <c r="I4689" s="10" t="n">
        <f aca="false">IF(E4689="Won",1,0)</f>
        <v>1</v>
      </c>
    </row>
    <row r="4690" customFormat="false" ht="15" hidden="false" customHeight="false" outlineLevel="0" collapsed="false">
      <c r="A4690" s="10" t="s">
        <v>7031</v>
      </c>
      <c r="B4690" s="10" t="s">
        <v>77</v>
      </c>
      <c r="C4690" s="10" t="s">
        <v>47</v>
      </c>
      <c r="D4690" s="10" t="s">
        <v>259</v>
      </c>
      <c r="E4690" s="10" t="s">
        <v>2342</v>
      </c>
      <c r="F4690" s="30" t="n">
        <v>42941</v>
      </c>
      <c r="G4690" s="30" t="n">
        <v>43007</v>
      </c>
      <c r="H4690" s="26" t="n">
        <f aca="false">G4690-F4690</f>
        <v>66</v>
      </c>
      <c r="I4690" s="10" t="n">
        <f aca="false">IF(E4690="Won",1,0)</f>
        <v>1</v>
      </c>
    </row>
    <row r="4691" customFormat="false" ht="15" hidden="false" customHeight="false" outlineLevel="0" collapsed="false">
      <c r="A4691" s="10" t="s">
        <v>7032</v>
      </c>
      <c r="B4691" s="10" t="s">
        <v>70</v>
      </c>
      <c r="C4691" s="10" t="s">
        <v>51</v>
      </c>
      <c r="D4691" s="10" t="s">
        <v>172</v>
      </c>
      <c r="E4691" s="10" t="s">
        <v>2342</v>
      </c>
      <c r="F4691" s="30" t="n">
        <v>42930</v>
      </c>
      <c r="G4691" s="30" t="n">
        <v>43007</v>
      </c>
      <c r="H4691" s="26" t="n">
        <f aca="false">G4691-F4691</f>
        <v>77</v>
      </c>
      <c r="I4691" s="10" t="n">
        <f aca="false">IF(E4691="Won",1,0)</f>
        <v>1</v>
      </c>
    </row>
    <row r="4692" customFormat="false" ht="15" hidden="false" customHeight="false" outlineLevel="0" collapsed="false">
      <c r="A4692" s="10" t="s">
        <v>7033</v>
      </c>
      <c r="B4692" s="10" t="s">
        <v>94</v>
      </c>
      <c r="C4692" s="10" t="s">
        <v>48</v>
      </c>
      <c r="D4692" s="10" t="s">
        <v>299</v>
      </c>
      <c r="E4692" s="10" t="s">
        <v>2345</v>
      </c>
      <c r="F4692" s="30" t="n">
        <v>42997</v>
      </c>
      <c r="G4692" s="30" t="n">
        <v>43007</v>
      </c>
      <c r="H4692" s="26" t="n">
        <f aca="false">G4692-F4692</f>
        <v>10</v>
      </c>
      <c r="I4692" s="10" t="n">
        <f aca="false">IF(E4692="Won",1,0)</f>
        <v>0</v>
      </c>
    </row>
    <row r="4693" customFormat="false" ht="15" hidden="false" customHeight="false" outlineLevel="0" collapsed="false">
      <c r="A4693" s="10" t="s">
        <v>7034</v>
      </c>
      <c r="B4693" s="10" t="s">
        <v>88</v>
      </c>
      <c r="C4693" s="10" t="s">
        <v>50</v>
      </c>
      <c r="D4693" s="10" t="s">
        <v>405</v>
      </c>
      <c r="E4693" s="10" t="s">
        <v>2345</v>
      </c>
      <c r="F4693" s="30" t="n">
        <v>42942</v>
      </c>
      <c r="G4693" s="30" t="n">
        <v>43007</v>
      </c>
      <c r="H4693" s="26" t="n">
        <f aca="false">G4693-F4693</f>
        <v>65</v>
      </c>
      <c r="I4693" s="10" t="n">
        <f aca="false">IF(E4693="Won",1,0)</f>
        <v>0</v>
      </c>
    </row>
    <row r="4694" customFormat="false" ht="15" hidden="false" customHeight="false" outlineLevel="0" collapsed="false">
      <c r="A4694" s="10" t="s">
        <v>7035</v>
      </c>
      <c r="B4694" s="10" t="s">
        <v>77</v>
      </c>
      <c r="C4694" s="10" t="s">
        <v>48</v>
      </c>
      <c r="D4694" s="10" t="s">
        <v>1251</v>
      </c>
      <c r="E4694" s="10" t="s">
        <v>2342</v>
      </c>
      <c r="F4694" s="30" t="n">
        <v>42997</v>
      </c>
      <c r="G4694" s="30" t="n">
        <v>43007</v>
      </c>
      <c r="H4694" s="26" t="n">
        <f aca="false">G4694-F4694</f>
        <v>10</v>
      </c>
      <c r="I4694" s="10" t="n">
        <f aca="false">IF(E4694="Won",1,0)</f>
        <v>1</v>
      </c>
    </row>
    <row r="4695" customFormat="false" ht="15" hidden="false" customHeight="false" outlineLevel="0" collapsed="false">
      <c r="A4695" s="10" t="s">
        <v>7036</v>
      </c>
      <c r="B4695" s="10" t="s">
        <v>77</v>
      </c>
      <c r="C4695" s="10" t="s">
        <v>51</v>
      </c>
      <c r="D4695" s="10" t="s">
        <v>414</v>
      </c>
      <c r="E4695" s="10" t="s">
        <v>2342</v>
      </c>
      <c r="F4695" s="30" t="n">
        <v>42916</v>
      </c>
      <c r="G4695" s="30" t="n">
        <v>43007</v>
      </c>
      <c r="H4695" s="26" t="n">
        <f aca="false">G4695-F4695</f>
        <v>91</v>
      </c>
      <c r="I4695" s="10" t="n">
        <f aca="false">IF(E4695="Won",1,0)</f>
        <v>1</v>
      </c>
    </row>
    <row r="4696" customFormat="false" ht="15" hidden="false" customHeight="false" outlineLevel="0" collapsed="false">
      <c r="A4696" s="10" t="s">
        <v>7037</v>
      </c>
      <c r="B4696" s="10" t="s">
        <v>95</v>
      </c>
      <c r="C4696" s="10" t="s">
        <v>51</v>
      </c>
      <c r="D4696" s="10" t="s">
        <v>986</v>
      </c>
      <c r="E4696" s="10" t="s">
        <v>2345</v>
      </c>
      <c r="F4696" s="30" t="n">
        <v>42927</v>
      </c>
      <c r="G4696" s="30" t="n">
        <v>43007</v>
      </c>
      <c r="H4696" s="26" t="n">
        <f aca="false">G4696-F4696</f>
        <v>80</v>
      </c>
      <c r="I4696" s="10" t="n">
        <f aca="false">IF(E4696="Won",1,0)</f>
        <v>0</v>
      </c>
    </row>
    <row r="4697" customFormat="false" ht="15" hidden="false" customHeight="false" outlineLevel="0" collapsed="false">
      <c r="A4697" s="10" t="s">
        <v>7038</v>
      </c>
      <c r="B4697" s="10" t="s">
        <v>97</v>
      </c>
      <c r="C4697" s="10" t="s">
        <v>47</v>
      </c>
      <c r="D4697" s="10" t="s">
        <v>337</v>
      </c>
      <c r="E4697" s="10" t="s">
        <v>2345</v>
      </c>
      <c r="F4697" s="30" t="n">
        <v>42939</v>
      </c>
      <c r="G4697" s="30" t="n">
        <v>43007</v>
      </c>
      <c r="H4697" s="26" t="n">
        <f aca="false">G4697-F4697</f>
        <v>68</v>
      </c>
      <c r="I4697" s="10" t="n">
        <f aca="false">IF(E4697="Won",1,0)</f>
        <v>0</v>
      </c>
    </row>
    <row r="4698" customFormat="false" ht="15" hidden="false" customHeight="false" outlineLevel="0" collapsed="false">
      <c r="A4698" s="10" t="s">
        <v>7039</v>
      </c>
      <c r="B4698" s="10" t="s">
        <v>94</v>
      </c>
      <c r="C4698" s="10" t="s">
        <v>47</v>
      </c>
      <c r="D4698" s="10" t="s">
        <v>175</v>
      </c>
      <c r="E4698" s="10" t="s">
        <v>2342</v>
      </c>
      <c r="F4698" s="30" t="n">
        <v>42905</v>
      </c>
      <c r="G4698" s="30" t="n">
        <v>43007</v>
      </c>
      <c r="H4698" s="26" t="n">
        <f aca="false">G4698-F4698</f>
        <v>102</v>
      </c>
      <c r="I4698" s="10" t="n">
        <f aca="false">IF(E4698="Won",1,0)</f>
        <v>1</v>
      </c>
    </row>
    <row r="4699" customFormat="false" ht="15" hidden="false" customHeight="false" outlineLevel="0" collapsed="false">
      <c r="A4699" s="10" t="s">
        <v>7040</v>
      </c>
      <c r="B4699" s="10" t="s">
        <v>87</v>
      </c>
      <c r="C4699" s="10" t="s">
        <v>50</v>
      </c>
      <c r="D4699" s="10" t="s">
        <v>455</v>
      </c>
      <c r="E4699" s="10" t="s">
        <v>2342</v>
      </c>
      <c r="F4699" s="30" t="n">
        <v>42993</v>
      </c>
      <c r="G4699" s="30" t="n">
        <v>43007</v>
      </c>
      <c r="H4699" s="26" t="n">
        <f aca="false">G4699-F4699</f>
        <v>14</v>
      </c>
      <c r="I4699" s="10" t="n">
        <f aca="false">IF(E4699="Won",1,0)</f>
        <v>1</v>
      </c>
    </row>
    <row r="4700" customFormat="false" ht="15" hidden="false" customHeight="false" outlineLevel="0" collapsed="false">
      <c r="A4700" s="10" t="s">
        <v>7041</v>
      </c>
      <c r="B4700" s="10" t="s">
        <v>77</v>
      </c>
      <c r="C4700" s="10" t="s">
        <v>52</v>
      </c>
      <c r="D4700" s="10" t="s">
        <v>259</v>
      </c>
      <c r="E4700" s="10" t="s">
        <v>2342</v>
      </c>
      <c r="F4700" s="30" t="n">
        <v>42914</v>
      </c>
      <c r="G4700" s="30" t="n">
        <v>43007</v>
      </c>
      <c r="H4700" s="26" t="n">
        <f aca="false">G4700-F4700</f>
        <v>93</v>
      </c>
      <c r="I4700" s="10" t="n">
        <f aca="false">IF(E4700="Won",1,0)</f>
        <v>1</v>
      </c>
    </row>
    <row r="4701" customFormat="false" ht="15" hidden="false" customHeight="false" outlineLevel="0" collapsed="false">
      <c r="A4701" s="10" t="s">
        <v>7042</v>
      </c>
      <c r="B4701" s="10" t="s">
        <v>76</v>
      </c>
      <c r="C4701" s="10" t="s">
        <v>52</v>
      </c>
      <c r="D4701" s="10" t="s">
        <v>524</v>
      </c>
      <c r="E4701" s="10" t="s">
        <v>2342</v>
      </c>
      <c r="F4701" s="30" t="n">
        <v>42909</v>
      </c>
      <c r="G4701" s="30" t="n">
        <v>43007</v>
      </c>
      <c r="H4701" s="26" t="n">
        <f aca="false">G4701-F4701</f>
        <v>98</v>
      </c>
      <c r="I4701" s="10" t="n">
        <f aca="false">IF(E4701="Won",1,0)</f>
        <v>1</v>
      </c>
    </row>
    <row r="4702" customFormat="false" ht="15" hidden="false" customHeight="false" outlineLevel="0" collapsed="false">
      <c r="A4702" s="10" t="s">
        <v>7043</v>
      </c>
      <c r="B4702" s="10" t="s">
        <v>67</v>
      </c>
      <c r="C4702" s="10" t="s">
        <v>52</v>
      </c>
      <c r="D4702" s="10" t="s">
        <v>487</v>
      </c>
      <c r="E4702" s="10" t="s">
        <v>2342</v>
      </c>
      <c r="F4702" s="30" t="n">
        <v>42905</v>
      </c>
      <c r="G4702" s="30" t="n">
        <v>43007</v>
      </c>
      <c r="H4702" s="26" t="n">
        <f aca="false">G4702-F4702</f>
        <v>102</v>
      </c>
      <c r="I4702" s="10" t="n">
        <f aca="false">IF(E4702="Won",1,0)</f>
        <v>1</v>
      </c>
    </row>
    <row r="4703" customFormat="false" ht="15" hidden="false" customHeight="false" outlineLevel="0" collapsed="false">
      <c r="A4703" s="10" t="s">
        <v>7044</v>
      </c>
      <c r="B4703" s="10" t="s">
        <v>79</v>
      </c>
      <c r="C4703" s="10" t="s">
        <v>48</v>
      </c>
      <c r="D4703" s="10" t="s">
        <v>353</v>
      </c>
      <c r="E4703" s="10" t="s">
        <v>2342</v>
      </c>
      <c r="F4703" s="30" t="n">
        <v>42991</v>
      </c>
      <c r="G4703" s="30" t="n">
        <v>43007</v>
      </c>
      <c r="H4703" s="26" t="n">
        <f aca="false">G4703-F4703</f>
        <v>16</v>
      </c>
      <c r="I4703" s="10" t="n">
        <f aca="false">IF(E4703="Won",1,0)</f>
        <v>1</v>
      </c>
    </row>
    <row r="4704" customFormat="false" ht="15" hidden="false" customHeight="false" outlineLevel="0" collapsed="false">
      <c r="A4704" s="10" t="s">
        <v>7045</v>
      </c>
      <c r="B4704" s="10" t="s">
        <v>76</v>
      </c>
      <c r="C4704" s="10" t="s">
        <v>47</v>
      </c>
      <c r="D4704" s="10" t="s">
        <v>291</v>
      </c>
      <c r="E4704" s="10" t="s">
        <v>2345</v>
      </c>
      <c r="F4704" s="30" t="n">
        <v>42988</v>
      </c>
      <c r="G4704" s="30" t="n">
        <v>43008</v>
      </c>
      <c r="H4704" s="26" t="n">
        <f aca="false">G4704-F4704</f>
        <v>20</v>
      </c>
      <c r="I4704" s="10" t="n">
        <f aca="false">IF(E4704="Won",1,0)</f>
        <v>0</v>
      </c>
    </row>
    <row r="4705" customFormat="false" ht="15" hidden="false" customHeight="false" outlineLevel="0" collapsed="false">
      <c r="A4705" s="10" t="s">
        <v>7046</v>
      </c>
      <c r="B4705" s="10" t="s">
        <v>77</v>
      </c>
      <c r="C4705" s="10" t="s">
        <v>48</v>
      </c>
      <c r="D4705" s="10" t="s">
        <v>422</v>
      </c>
      <c r="E4705" s="10" t="s">
        <v>2342</v>
      </c>
      <c r="F4705" s="30" t="n">
        <v>43001</v>
      </c>
      <c r="G4705" s="30" t="n">
        <v>43008</v>
      </c>
      <c r="H4705" s="26" t="n">
        <f aca="false">G4705-F4705</f>
        <v>7</v>
      </c>
      <c r="I4705" s="10" t="n">
        <f aca="false">IF(E4705="Won",1,0)</f>
        <v>1</v>
      </c>
    </row>
    <row r="4706" customFormat="false" ht="15" hidden="false" customHeight="false" outlineLevel="0" collapsed="false">
      <c r="A4706" s="10" t="s">
        <v>7047</v>
      </c>
      <c r="B4706" s="10" t="s">
        <v>95</v>
      </c>
      <c r="C4706" s="10" t="s">
        <v>47</v>
      </c>
      <c r="D4706" s="10" t="s">
        <v>170</v>
      </c>
      <c r="E4706" s="10" t="s">
        <v>2342</v>
      </c>
      <c r="F4706" s="30" t="n">
        <v>42910</v>
      </c>
      <c r="G4706" s="30" t="n">
        <v>43008</v>
      </c>
      <c r="H4706" s="26" t="n">
        <f aca="false">G4706-F4706</f>
        <v>98</v>
      </c>
      <c r="I4706" s="10" t="n">
        <f aca="false">IF(E4706="Won",1,0)</f>
        <v>1</v>
      </c>
    </row>
    <row r="4707" customFormat="false" ht="15" hidden="false" customHeight="false" outlineLevel="0" collapsed="false">
      <c r="A4707" s="10" t="s">
        <v>7048</v>
      </c>
      <c r="B4707" s="10" t="s">
        <v>71</v>
      </c>
      <c r="C4707" s="10" t="s">
        <v>50</v>
      </c>
      <c r="D4707" s="10" t="s">
        <v>660</v>
      </c>
      <c r="E4707" s="10" t="s">
        <v>2345</v>
      </c>
      <c r="F4707" s="30" t="n">
        <v>42997</v>
      </c>
      <c r="G4707" s="30" t="n">
        <v>43008</v>
      </c>
      <c r="H4707" s="26" t="n">
        <f aca="false">G4707-F4707</f>
        <v>11</v>
      </c>
      <c r="I4707" s="10" t="n">
        <f aca="false">IF(E4707="Won",1,0)</f>
        <v>0</v>
      </c>
    </row>
    <row r="4708" customFormat="false" ht="15" hidden="false" customHeight="false" outlineLevel="0" collapsed="false">
      <c r="A4708" s="10" t="s">
        <v>7049</v>
      </c>
      <c r="B4708" s="10" t="s">
        <v>68</v>
      </c>
      <c r="C4708" s="10" t="s">
        <v>49</v>
      </c>
      <c r="D4708" s="10" t="s">
        <v>506</v>
      </c>
      <c r="E4708" s="10" t="s">
        <v>2342</v>
      </c>
      <c r="F4708" s="30" t="n">
        <v>42938</v>
      </c>
      <c r="G4708" s="30" t="n">
        <v>43008</v>
      </c>
      <c r="H4708" s="26" t="n">
        <f aca="false">G4708-F4708</f>
        <v>70</v>
      </c>
      <c r="I4708" s="10" t="n">
        <f aca="false">IF(E4708="Won",1,0)</f>
        <v>1</v>
      </c>
    </row>
    <row r="4709" customFormat="false" ht="15" hidden="false" customHeight="false" outlineLevel="0" collapsed="false">
      <c r="A4709" s="10" t="s">
        <v>7050</v>
      </c>
      <c r="B4709" s="10" t="s">
        <v>73</v>
      </c>
      <c r="C4709" s="10" t="s">
        <v>47</v>
      </c>
      <c r="D4709" s="10" t="s">
        <v>414</v>
      </c>
      <c r="E4709" s="10" t="s">
        <v>2342</v>
      </c>
      <c r="F4709" s="30" t="n">
        <v>42976</v>
      </c>
      <c r="G4709" s="30" t="n">
        <v>43008</v>
      </c>
      <c r="H4709" s="26" t="n">
        <f aca="false">G4709-F4709</f>
        <v>32</v>
      </c>
      <c r="I4709" s="10" t="n">
        <f aca="false">IF(E4709="Won",1,0)</f>
        <v>1</v>
      </c>
    </row>
    <row r="4710" customFormat="false" ht="15" hidden="false" customHeight="false" outlineLevel="0" collapsed="false">
      <c r="A4710" s="10" t="s">
        <v>7051</v>
      </c>
      <c r="B4710" s="10" t="s">
        <v>66</v>
      </c>
      <c r="C4710" s="10" t="s">
        <v>52</v>
      </c>
      <c r="D4710" s="10" t="s">
        <v>199</v>
      </c>
      <c r="E4710" s="10" t="s">
        <v>2342</v>
      </c>
      <c r="F4710" s="30" t="n">
        <v>42907</v>
      </c>
      <c r="G4710" s="30" t="n">
        <v>43008</v>
      </c>
      <c r="H4710" s="26" t="n">
        <f aca="false">G4710-F4710</f>
        <v>101</v>
      </c>
      <c r="I4710" s="10" t="n">
        <f aca="false">IF(E4710="Won",1,0)</f>
        <v>1</v>
      </c>
    </row>
    <row r="4711" customFormat="false" ht="15" hidden="false" customHeight="false" outlineLevel="0" collapsed="false">
      <c r="A4711" s="10" t="s">
        <v>7052</v>
      </c>
      <c r="B4711" s="10" t="s">
        <v>62</v>
      </c>
      <c r="C4711" s="10" t="s">
        <v>48</v>
      </c>
      <c r="D4711" s="10" t="s">
        <v>286</v>
      </c>
      <c r="E4711" s="10" t="s">
        <v>2342</v>
      </c>
      <c r="F4711" s="30" t="n">
        <v>42994</v>
      </c>
      <c r="G4711" s="30" t="n">
        <v>43008</v>
      </c>
      <c r="H4711" s="26" t="n">
        <f aca="false">G4711-F4711</f>
        <v>14</v>
      </c>
      <c r="I4711" s="10" t="n">
        <f aca="false">IF(E4711="Won",1,0)</f>
        <v>1</v>
      </c>
    </row>
    <row r="4712" customFormat="false" ht="15" hidden="false" customHeight="false" outlineLevel="0" collapsed="false">
      <c r="A4712" s="10" t="s">
        <v>7053</v>
      </c>
      <c r="B4712" s="10" t="s">
        <v>73</v>
      </c>
      <c r="C4712" s="10" t="s">
        <v>47</v>
      </c>
      <c r="D4712" s="10" t="s">
        <v>353</v>
      </c>
      <c r="E4712" s="10" t="s">
        <v>2342</v>
      </c>
      <c r="F4712" s="30" t="n">
        <v>42932</v>
      </c>
      <c r="G4712" s="30" t="n">
        <v>43008</v>
      </c>
      <c r="H4712" s="26" t="n">
        <f aca="false">G4712-F4712</f>
        <v>76</v>
      </c>
      <c r="I4712" s="10" t="n">
        <f aca="false">IF(E4712="Won",1,0)</f>
        <v>1</v>
      </c>
    </row>
    <row r="4713" customFormat="false" ht="15" hidden="false" customHeight="false" outlineLevel="0" collapsed="false">
      <c r="A4713" s="10" t="s">
        <v>7054</v>
      </c>
      <c r="B4713" s="10" t="s">
        <v>68</v>
      </c>
      <c r="C4713" s="10" t="s">
        <v>49</v>
      </c>
      <c r="D4713" s="10" t="s">
        <v>286</v>
      </c>
      <c r="E4713" s="10" t="s">
        <v>2342</v>
      </c>
      <c r="F4713" s="30" t="n">
        <v>42917</v>
      </c>
      <c r="G4713" s="30" t="n">
        <v>43008</v>
      </c>
      <c r="H4713" s="26" t="n">
        <f aca="false">G4713-F4713</f>
        <v>91</v>
      </c>
      <c r="I4713" s="10" t="n">
        <f aca="false">IF(E4713="Won",1,0)</f>
        <v>1</v>
      </c>
    </row>
    <row r="4714" customFormat="false" ht="15" hidden="false" customHeight="false" outlineLevel="0" collapsed="false">
      <c r="A4714" s="10" t="s">
        <v>7055</v>
      </c>
      <c r="B4714" s="10" t="s">
        <v>60</v>
      </c>
      <c r="C4714" s="10" t="s">
        <v>49</v>
      </c>
      <c r="D4714" s="10" t="s">
        <v>692</v>
      </c>
      <c r="E4714" s="10" t="s">
        <v>2342</v>
      </c>
      <c r="F4714" s="30" t="n">
        <v>42929</v>
      </c>
      <c r="G4714" s="30" t="n">
        <v>43008</v>
      </c>
      <c r="H4714" s="26" t="n">
        <f aca="false">G4714-F4714</f>
        <v>79</v>
      </c>
      <c r="I4714" s="10" t="n">
        <f aca="false">IF(E4714="Won",1,0)</f>
        <v>1</v>
      </c>
    </row>
    <row r="4715" customFormat="false" ht="15" hidden="false" customHeight="false" outlineLevel="0" collapsed="false">
      <c r="A4715" s="10" t="s">
        <v>7056</v>
      </c>
      <c r="B4715" s="10" t="s">
        <v>80</v>
      </c>
      <c r="C4715" s="10" t="s">
        <v>48</v>
      </c>
      <c r="D4715" s="10" t="s">
        <v>524</v>
      </c>
      <c r="E4715" s="10" t="s">
        <v>2342</v>
      </c>
      <c r="F4715" s="30" t="n">
        <v>42998</v>
      </c>
      <c r="G4715" s="30" t="n">
        <v>43008</v>
      </c>
      <c r="H4715" s="26" t="n">
        <f aca="false">G4715-F4715</f>
        <v>10</v>
      </c>
      <c r="I4715" s="10" t="n">
        <f aca="false">IF(E4715="Won",1,0)</f>
        <v>1</v>
      </c>
    </row>
    <row r="4716" customFormat="false" ht="15" hidden="false" customHeight="false" outlineLevel="0" collapsed="false">
      <c r="A4716" s="10" t="s">
        <v>7057</v>
      </c>
      <c r="B4716" s="10" t="s">
        <v>86</v>
      </c>
      <c r="C4716" s="10" t="s">
        <v>49</v>
      </c>
      <c r="D4716" s="10" t="s">
        <v>1118</v>
      </c>
      <c r="E4716" s="10" t="s">
        <v>2342</v>
      </c>
      <c r="F4716" s="30" t="n">
        <v>42899</v>
      </c>
      <c r="G4716" s="30" t="n">
        <v>43008</v>
      </c>
      <c r="H4716" s="26" t="n">
        <f aca="false">G4716-F4716</f>
        <v>109</v>
      </c>
      <c r="I4716" s="10" t="n">
        <f aca="false">IF(E4716="Won",1,0)</f>
        <v>1</v>
      </c>
    </row>
    <row r="4717" customFormat="false" ht="15" hidden="false" customHeight="false" outlineLevel="0" collapsed="false">
      <c r="A4717" s="10" t="s">
        <v>7058</v>
      </c>
      <c r="B4717" s="10" t="s">
        <v>96</v>
      </c>
      <c r="C4717" s="10" t="s">
        <v>48</v>
      </c>
      <c r="D4717" s="10" t="s">
        <v>711</v>
      </c>
      <c r="E4717" s="10" t="s">
        <v>2342</v>
      </c>
      <c r="F4717" s="30" t="n">
        <v>42993</v>
      </c>
      <c r="G4717" s="30" t="n">
        <v>43008</v>
      </c>
      <c r="H4717" s="26" t="n">
        <f aca="false">G4717-F4717</f>
        <v>15</v>
      </c>
      <c r="I4717" s="10" t="n">
        <f aca="false">IF(E4717="Won",1,0)</f>
        <v>1</v>
      </c>
    </row>
    <row r="4718" customFormat="false" ht="15" hidden="false" customHeight="false" outlineLevel="0" collapsed="false">
      <c r="A4718" s="10" t="s">
        <v>7059</v>
      </c>
      <c r="B4718" s="10" t="s">
        <v>71</v>
      </c>
      <c r="C4718" s="10" t="s">
        <v>52</v>
      </c>
      <c r="D4718" s="10" t="s">
        <v>259</v>
      </c>
      <c r="E4718" s="10" t="s">
        <v>2342</v>
      </c>
      <c r="F4718" s="30" t="n">
        <v>42999</v>
      </c>
      <c r="G4718" s="30" t="n">
        <v>43008</v>
      </c>
      <c r="H4718" s="26" t="n">
        <f aca="false">G4718-F4718</f>
        <v>9</v>
      </c>
      <c r="I4718" s="10" t="n">
        <f aca="false">IF(E4718="Won",1,0)</f>
        <v>1</v>
      </c>
    </row>
    <row r="4719" customFormat="false" ht="15" hidden="false" customHeight="false" outlineLevel="0" collapsed="false">
      <c r="A4719" s="10" t="s">
        <v>7060</v>
      </c>
      <c r="B4719" s="10" t="s">
        <v>75</v>
      </c>
      <c r="C4719" s="10" t="s">
        <v>51</v>
      </c>
      <c r="D4719" s="10" t="s">
        <v>697</v>
      </c>
      <c r="E4719" s="10" t="s">
        <v>2342</v>
      </c>
      <c r="F4719" s="30" t="n">
        <v>42914</v>
      </c>
      <c r="G4719" s="30" t="n">
        <v>43008</v>
      </c>
      <c r="H4719" s="26" t="n">
        <f aca="false">G4719-F4719</f>
        <v>94</v>
      </c>
      <c r="I4719" s="10" t="n">
        <f aca="false">IF(E4719="Won",1,0)</f>
        <v>1</v>
      </c>
    </row>
    <row r="4720" customFormat="false" ht="15" hidden="false" customHeight="false" outlineLevel="0" collapsed="false">
      <c r="A4720" s="10" t="s">
        <v>7061</v>
      </c>
      <c r="B4720" s="10" t="s">
        <v>83</v>
      </c>
      <c r="C4720" s="10" t="s">
        <v>51</v>
      </c>
      <c r="D4720" s="10" t="s">
        <v>414</v>
      </c>
      <c r="E4720" s="10" t="s">
        <v>2342</v>
      </c>
      <c r="F4720" s="30" t="n">
        <v>42907</v>
      </c>
      <c r="G4720" s="30" t="n">
        <v>43008</v>
      </c>
      <c r="H4720" s="26" t="n">
        <f aca="false">G4720-F4720</f>
        <v>101</v>
      </c>
      <c r="I4720" s="10" t="n">
        <f aca="false">IF(E4720="Won",1,0)</f>
        <v>1</v>
      </c>
    </row>
    <row r="4721" customFormat="false" ht="15" hidden="false" customHeight="false" outlineLevel="0" collapsed="false">
      <c r="A4721" s="10" t="s">
        <v>7062</v>
      </c>
      <c r="B4721" s="10" t="s">
        <v>88</v>
      </c>
      <c r="C4721" s="10" t="s">
        <v>49</v>
      </c>
      <c r="D4721" s="10" t="s">
        <v>233</v>
      </c>
      <c r="E4721" s="10" t="s">
        <v>2342</v>
      </c>
      <c r="F4721" s="30" t="n">
        <v>42932</v>
      </c>
      <c r="G4721" s="30" t="n">
        <v>43008</v>
      </c>
      <c r="H4721" s="26" t="n">
        <f aca="false">G4721-F4721</f>
        <v>76</v>
      </c>
      <c r="I4721" s="10" t="n">
        <f aca="false">IF(E4721="Won",1,0)</f>
        <v>1</v>
      </c>
    </row>
    <row r="4722" customFormat="false" ht="15" hidden="false" customHeight="false" outlineLevel="0" collapsed="false">
      <c r="A4722" s="10" t="s">
        <v>7063</v>
      </c>
      <c r="B4722" s="10" t="s">
        <v>79</v>
      </c>
      <c r="C4722" s="10" t="s">
        <v>49</v>
      </c>
      <c r="D4722" s="10" t="s">
        <v>410</v>
      </c>
      <c r="E4722" s="10" t="s">
        <v>2342</v>
      </c>
      <c r="F4722" s="30" t="n">
        <v>43005</v>
      </c>
      <c r="G4722" s="30" t="n">
        <v>43008</v>
      </c>
      <c r="H4722" s="26" t="n">
        <f aca="false">G4722-F4722</f>
        <v>3</v>
      </c>
      <c r="I4722" s="10" t="n">
        <f aca="false">IF(E4722="Won",1,0)</f>
        <v>1</v>
      </c>
    </row>
    <row r="4723" customFormat="false" ht="15" hidden="false" customHeight="false" outlineLevel="0" collapsed="false">
      <c r="A4723" s="10" t="s">
        <v>7064</v>
      </c>
      <c r="B4723" s="10" t="s">
        <v>67</v>
      </c>
      <c r="C4723" s="10" t="s">
        <v>50</v>
      </c>
      <c r="D4723" s="10" t="s">
        <v>432</v>
      </c>
      <c r="E4723" s="10" t="s">
        <v>2342</v>
      </c>
      <c r="F4723" s="30" t="n">
        <v>42935</v>
      </c>
      <c r="G4723" s="30" t="n">
        <v>43008</v>
      </c>
      <c r="H4723" s="26" t="n">
        <f aca="false">G4723-F4723</f>
        <v>73</v>
      </c>
      <c r="I4723" s="10" t="n">
        <f aca="false">IF(E4723="Won",1,0)</f>
        <v>1</v>
      </c>
    </row>
    <row r="4724" customFormat="false" ht="15" hidden="false" customHeight="false" outlineLevel="0" collapsed="false">
      <c r="A4724" s="10" t="s">
        <v>7065</v>
      </c>
      <c r="B4724" s="10" t="s">
        <v>76</v>
      </c>
      <c r="C4724" s="10" t="s">
        <v>49</v>
      </c>
      <c r="D4724" s="10" t="s">
        <v>947</v>
      </c>
      <c r="E4724" s="10" t="s">
        <v>2342</v>
      </c>
      <c r="F4724" s="30" t="n">
        <v>42978</v>
      </c>
      <c r="G4724" s="30" t="n">
        <v>43008</v>
      </c>
      <c r="H4724" s="26" t="n">
        <f aca="false">G4724-F4724</f>
        <v>30</v>
      </c>
      <c r="I4724" s="10" t="n">
        <f aca="false">IF(E4724="Won",1,0)</f>
        <v>1</v>
      </c>
    </row>
    <row r="4725" customFormat="false" ht="15" hidden="false" customHeight="false" outlineLevel="0" collapsed="false">
      <c r="A4725" s="10" t="s">
        <v>7066</v>
      </c>
      <c r="B4725" s="10" t="s">
        <v>62</v>
      </c>
      <c r="C4725" s="10" t="s">
        <v>52</v>
      </c>
      <c r="D4725" s="10" t="s">
        <v>1397</v>
      </c>
      <c r="E4725" s="10" t="s">
        <v>2342</v>
      </c>
      <c r="F4725" s="30" t="n">
        <v>42914</v>
      </c>
      <c r="G4725" s="30" t="n">
        <v>43008</v>
      </c>
      <c r="H4725" s="26" t="n">
        <f aca="false">G4725-F4725</f>
        <v>94</v>
      </c>
      <c r="I4725" s="10" t="n">
        <f aca="false">IF(E4725="Won",1,0)</f>
        <v>1</v>
      </c>
    </row>
    <row r="4726" customFormat="false" ht="15" hidden="false" customHeight="false" outlineLevel="0" collapsed="false">
      <c r="A4726" s="10" t="s">
        <v>7067</v>
      </c>
      <c r="B4726" s="10" t="s">
        <v>68</v>
      </c>
      <c r="C4726" s="10" t="s">
        <v>48</v>
      </c>
      <c r="D4726" s="10" t="s">
        <v>483</v>
      </c>
      <c r="E4726" s="10" t="s">
        <v>2342</v>
      </c>
      <c r="F4726" s="30" t="n">
        <v>42894</v>
      </c>
      <c r="G4726" s="30" t="n">
        <v>43008</v>
      </c>
      <c r="H4726" s="26" t="n">
        <f aca="false">G4726-F4726</f>
        <v>114</v>
      </c>
      <c r="I4726" s="10" t="n">
        <f aca="false">IF(E4726="Won",1,0)</f>
        <v>1</v>
      </c>
    </row>
    <row r="4727" customFormat="false" ht="15" hidden="false" customHeight="false" outlineLevel="0" collapsed="false">
      <c r="A4727" s="10" t="s">
        <v>7068</v>
      </c>
      <c r="B4727" s="10" t="s">
        <v>95</v>
      </c>
      <c r="C4727" s="10" t="s">
        <v>48</v>
      </c>
      <c r="D4727" s="10" t="s">
        <v>175</v>
      </c>
      <c r="E4727" s="10" t="s">
        <v>2345</v>
      </c>
      <c r="F4727" s="30" t="n">
        <v>42992</v>
      </c>
      <c r="G4727" s="30" t="n">
        <v>43008</v>
      </c>
      <c r="H4727" s="26" t="n">
        <f aca="false">G4727-F4727</f>
        <v>16</v>
      </c>
      <c r="I4727" s="10" t="n">
        <f aca="false">IF(E4727="Won",1,0)</f>
        <v>0</v>
      </c>
    </row>
    <row r="4728" customFormat="false" ht="15" hidden="false" customHeight="false" outlineLevel="0" collapsed="false">
      <c r="A4728" s="10" t="s">
        <v>7069</v>
      </c>
      <c r="B4728" s="10" t="s">
        <v>95</v>
      </c>
      <c r="C4728" s="10" t="s">
        <v>52</v>
      </c>
      <c r="D4728" s="10" t="s">
        <v>437</v>
      </c>
      <c r="E4728" s="10" t="s">
        <v>2342</v>
      </c>
      <c r="F4728" s="30" t="n">
        <v>43001</v>
      </c>
      <c r="G4728" s="30" t="n">
        <v>43009</v>
      </c>
      <c r="H4728" s="26" t="n">
        <f aca="false">G4728-F4728</f>
        <v>8</v>
      </c>
      <c r="I4728" s="10" t="n">
        <f aca="false">IF(E4728="Won",1,0)</f>
        <v>1</v>
      </c>
    </row>
    <row r="4729" customFormat="false" ht="15" hidden="false" customHeight="false" outlineLevel="0" collapsed="false">
      <c r="A4729" s="10" t="s">
        <v>7070</v>
      </c>
      <c r="B4729" s="10" t="s">
        <v>71</v>
      </c>
      <c r="C4729" s="10" t="s">
        <v>47</v>
      </c>
      <c r="D4729" s="10" t="s">
        <v>259</v>
      </c>
      <c r="E4729" s="10" t="s">
        <v>2345</v>
      </c>
      <c r="F4729" s="30" t="n">
        <v>43008</v>
      </c>
      <c r="G4729" s="30" t="n">
        <v>43009</v>
      </c>
      <c r="H4729" s="26" t="n">
        <f aca="false">G4729-F4729</f>
        <v>1</v>
      </c>
      <c r="I4729" s="10" t="n">
        <f aca="false">IF(E4729="Won",1,0)</f>
        <v>0</v>
      </c>
    </row>
    <row r="4730" customFormat="false" ht="15" hidden="false" customHeight="false" outlineLevel="0" collapsed="false">
      <c r="A4730" s="10" t="s">
        <v>7071</v>
      </c>
      <c r="B4730" s="10" t="s">
        <v>79</v>
      </c>
      <c r="C4730" s="10" t="s">
        <v>52</v>
      </c>
      <c r="D4730" s="10" t="s">
        <v>422</v>
      </c>
      <c r="E4730" s="10" t="s">
        <v>2345</v>
      </c>
      <c r="F4730" s="30" t="n">
        <v>43001</v>
      </c>
      <c r="G4730" s="30" t="n">
        <v>43009</v>
      </c>
      <c r="H4730" s="26" t="n">
        <f aca="false">G4730-F4730</f>
        <v>8</v>
      </c>
      <c r="I4730" s="10" t="n">
        <f aca="false">IF(E4730="Won",1,0)</f>
        <v>0</v>
      </c>
    </row>
    <row r="4731" customFormat="false" ht="15" hidden="false" customHeight="false" outlineLevel="0" collapsed="false">
      <c r="A4731" s="10" t="s">
        <v>7072</v>
      </c>
      <c r="B4731" s="10" t="s">
        <v>61</v>
      </c>
      <c r="C4731" s="10" t="s">
        <v>51</v>
      </c>
      <c r="D4731" s="10" t="s">
        <v>378</v>
      </c>
      <c r="E4731" s="10" t="s">
        <v>2342</v>
      </c>
      <c r="F4731" s="30" t="n">
        <v>43004</v>
      </c>
      <c r="G4731" s="30" t="n">
        <v>43009</v>
      </c>
      <c r="H4731" s="26" t="n">
        <f aca="false">G4731-F4731</f>
        <v>5</v>
      </c>
      <c r="I4731" s="10" t="n">
        <f aca="false">IF(E4731="Won",1,0)</f>
        <v>1</v>
      </c>
    </row>
    <row r="4732" customFormat="false" ht="15" hidden="false" customHeight="false" outlineLevel="0" collapsed="false">
      <c r="A4732" s="10" t="s">
        <v>7073</v>
      </c>
      <c r="B4732" s="10" t="s">
        <v>66</v>
      </c>
      <c r="C4732" s="10" t="s">
        <v>48</v>
      </c>
      <c r="D4732" s="10" t="s">
        <v>606</v>
      </c>
      <c r="E4732" s="10" t="s">
        <v>2342</v>
      </c>
      <c r="F4732" s="30" t="n">
        <v>43007</v>
      </c>
      <c r="G4732" s="30" t="n">
        <v>43009</v>
      </c>
      <c r="H4732" s="26" t="n">
        <f aca="false">G4732-F4732</f>
        <v>2</v>
      </c>
      <c r="I4732" s="10" t="n">
        <f aca="false">IF(E4732="Won",1,0)</f>
        <v>1</v>
      </c>
    </row>
    <row r="4733" customFormat="false" ht="15" hidden="false" customHeight="false" outlineLevel="0" collapsed="false">
      <c r="A4733" s="10" t="s">
        <v>7074</v>
      </c>
      <c r="B4733" s="10" t="s">
        <v>97</v>
      </c>
      <c r="C4733" s="10" t="s">
        <v>47</v>
      </c>
      <c r="D4733" s="10" t="s">
        <v>199</v>
      </c>
      <c r="E4733" s="10" t="s">
        <v>2342</v>
      </c>
      <c r="F4733" s="30" t="n">
        <v>43001</v>
      </c>
      <c r="G4733" s="30" t="n">
        <v>43009</v>
      </c>
      <c r="H4733" s="26" t="n">
        <f aca="false">G4733-F4733</f>
        <v>8</v>
      </c>
      <c r="I4733" s="10" t="n">
        <f aca="false">IF(E4733="Won",1,0)</f>
        <v>1</v>
      </c>
    </row>
    <row r="4734" customFormat="false" ht="15" hidden="false" customHeight="false" outlineLevel="0" collapsed="false">
      <c r="A4734" s="10" t="s">
        <v>7075</v>
      </c>
      <c r="B4734" s="10" t="s">
        <v>68</v>
      </c>
      <c r="C4734" s="10" t="s">
        <v>51</v>
      </c>
      <c r="D4734" s="10" t="s">
        <v>337</v>
      </c>
      <c r="E4734" s="10" t="s">
        <v>2342</v>
      </c>
      <c r="F4734" s="30" t="n">
        <v>42999</v>
      </c>
      <c r="G4734" s="30" t="n">
        <v>43009</v>
      </c>
      <c r="H4734" s="26" t="n">
        <f aca="false">G4734-F4734</f>
        <v>10</v>
      </c>
      <c r="I4734" s="10" t="n">
        <f aca="false">IF(E4734="Won",1,0)</f>
        <v>1</v>
      </c>
    </row>
    <row r="4735" customFormat="false" ht="15" hidden="false" customHeight="false" outlineLevel="0" collapsed="false">
      <c r="A4735" s="10" t="s">
        <v>7076</v>
      </c>
      <c r="B4735" s="10" t="s">
        <v>76</v>
      </c>
      <c r="C4735" s="10" t="s">
        <v>47</v>
      </c>
      <c r="D4735" s="10" t="s">
        <v>291</v>
      </c>
      <c r="E4735" s="10" t="s">
        <v>2342</v>
      </c>
      <c r="F4735" s="30" t="n">
        <v>43000</v>
      </c>
      <c r="G4735" s="30" t="n">
        <v>43009</v>
      </c>
      <c r="H4735" s="26" t="n">
        <f aca="false">G4735-F4735</f>
        <v>9</v>
      </c>
      <c r="I4735" s="10" t="n">
        <f aca="false">IF(E4735="Won",1,0)</f>
        <v>1</v>
      </c>
    </row>
    <row r="4736" customFormat="false" ht="15" hidden="false" customHeight="false" outlineLevel="0" collapsed="false">
      <c r="A4736" s="10" t="s">
        <v>7077</v>
      </c>
      <c r="B4736" s="10" t="s">
        <v>69</v>
      </c>
      <c r="C4736" s="10" t="s">
        <v>52</v>
      </c>
      <c r="D4736" s="10" t="s">
        <v>299</v>
      </c>
      <c r="E4736" s="10" t="s">
        <v>2342</v>
      </c>
      <c r="F4736" s="30" t="n">
        <v>43000</v>
      </c>
      <c r="G4736" s="30" t="n">
        <v>43009</v>
      </c>
      <c r="H4736" s="26" t="n">
        <f aca="false">G4736-F4736</f>
        <v>9</v>
      </c>
      <c r="I4736" s="10" t="n">
        <f aca="false">IF(E4736="Won",1,0)</f>
        <v>1</v>
      </c>
    </row>
    <row r="4737" customFormat="false" ht="15" hidden="false" customHeight="false" outlineLevel="0" collapsed="false">
      <c r="A4737" s="10" t="s">
        <v>7078</v>
      </c>
      <c r="B4737" s="10" t="s">
        <v>70</v>
      </c>
      <c r="C4737" s="10" t="s">
        <v>51</v>
      </c>
      <c r="D4737" s="10" t="s">
        <v>497</v>
      </c>
      <c r="E4737" s="10" t="s">
        <v>2342</v>
      </c>
      <c r="F4737" s="30" t="n">
        <v>42998</v>
      </c>
      <c r="G4737" s="30" t="n">
        <v>43009</v>
      </c>
      <c r="H4737" s="26" t="n">
        <f aca="false">G4737-F4737</f>
        <v>11</v>
      </c>
      <c r="I4737" s="10" t="n">
        <f aca="false">IF(E4737="Won",1,0)</f>
        <v>1</v>
      </c>
    </row>
    <row r="4738" customFormat="false" ht="15" hidden="false" customHeight="false" outlineLevel="0" collapsed="false">
      <c r="A4738" s="10" t="s">
        <v>7079</v>
      </c>
      <c r="B4738" s="10" t="s">
        <v>93</v>
      </c>
      <c r="C4738" s="10" t="s">
        <v>47</v>
      </c>
      <c r="D4738" s="10" t="s">
        <v>172</v>
      </c>
      <c r="E4738" s="10" t="s">
        <v>2345</v>
      </c>
      <c r="F4738" s="30" t="n">
        <v>42998</v>
      </c>
      <c r="G4738" s="30" t="n">
        <v>43009</v>
      </c>
      <c r="H4738" s="26" t="n">
        <f aca="false">G4738-F4738</f>
        <v>11</v>
      </c>
      <c r="I4738" s="10" t="n">
        <f aca="false">IF(E4738="Won",1,0)</f>
        <v>0</v>
      </c>
    </row>
    <row r="4739" customFormat="false" ht="15" hidden="false" customHeight="false" outlineLevel="0" collapsed="false">
      <c r="A4739" s="10" t="s">
        <v>7080</v>
      </c>
      <c r="B4739" s="10" t="s">
        <v>68</v>
      </c>
      <c r="C4739" s="10" t="s">
        <v>50</v>
      </c>
      <c r="D4739" s="10" t="s">
        <v>986</v>
      </c>
      <c r="E4739" s="10" t="s">
        <v>2345</v>
      </c>
      <c r="F4739" s="30" t="n">
        <v>43005</v>
      </c>
      <c r="G4739" s="30" t="n">
        <v>43009</v>
      </c>
      <c r="H4739" s="26" t="n">
        <f aca="false">G4739-F4739</f>
        <v>4</v>
      </c>
      <c r="I4739" s="10" t="n">
        <f aca="false">IF(E4739="Won",1,0)</f>
        <v>0</v>
      </c>
    </row>
    <row r="4740" customFormat="false" ht="15" hidden="false" customHeight="false" outlineLevel="0" collapsed="false">
      <c r="A4740" s="10" t="s">
        <v>7081</v>
      </c>
      <c r="B4740" s="10" t="s">
        <v>94</v>
      </c>
      <c r="C4740" s="10" t="s">
        <v>50</v>
      </c>
      <c r="D4740" s="10" t="s">
        <v>432</v>
      </c>
      <c r="E4740" s="10" t="s">
        <v>2345</v>
      </c>
      <c r="F4740" s="30" t="n">
        <v>42999</v>
      </c>
      <c r="G4740" s="30" t="n">
        <v>43010</v>
      </c>
      <c r="H4740" s="26" t="n">
        <f aca="false">G4740-F4740</f>
        <v>11</v>
      </c>
      <c r="I4740" s="10" t="n">
        <f aca="false">IF(E4740="Won",1,0)</f>
        <v>0</v>
      </c>
    </row>
    <row r="4741" customFormat="false" ht="15" hidden="false" customHeight="false" outlineLevel="0" collapsed="false">
      <c r="A4741" s="10" t="s">
        <v>7082</v>
      </c>
      <c r="B4741" s="10" t="s">
        <v>62</v>
      </c>
      <c r="C4741" s="10" t="s">
        <v>52</v>
      </c>
      <c r="D4741" s="10" t="s">
        <v>378</v>
      </c>
      <c r="E4741" s="10" t="s">
        <v>2342</v>
      </c>
      <c r="F4741" s="30" t="n">
        <v>43001</v>
      </c>
      <c r="G4741" s="30" t="n">
        <v>43010</v>
      </c>
      <c r="H4741" s="26" t="n">
        <f aca="false">G4741-F4741</f>
        <v>9</v>
      </c>
      <c r="I4741" s="10" t="n">
        <f aca="false">IF(E4741="Won",1,0)</f>
        <v>1</v>
      </c>
    </row>
    <row r="4742" customFormat="false" ht="15" hidden="false" customHeight="false" outlineLevel="0" collapsed="false">
      <c r="A4742" s="10" t="s">
        <v>7083</v>
      </c>
      <c r="B4742" s="10" t="s">
        <v>77</v>
      </c>
      <c r="C4742" s="10" t="s">
        <v>52</v>
      </c>
      <c r="D4742" s="10" t="s">
        <v>597</v>
      </c>
      <c r="E4742" s="10" t="s">
        <v>2345</v>
      </c>
      <c r="F4742" s="30" t="n">
        <v>43004</v>
      </c>
      <c r="G4742" s="30" t="n">
        <v>43010</v>
      </c>
      <c r="H4742" s="26" t="n">
        <f aca="false">G4742-F4742</f>
        <v>6</v>
      </c>
      <c r="I4742" s="10" t="n">
        <f aca="false">IF(E4742="Won",1,0)</f>
        <v>0</v>
      </c>
    </row>
    <row r="4743" customFormat="false" ht="15" hidden="false" customHeight="false" outlineLevel="0" collapsed="false">
      <c r="A4743" s="10" t="s">
        <v>7084</v>
      </c>
      <c r="B4743" s="10" t="s">
        <v>77</v>
      </c>
      <c r="C4743" s="10" t="s">
        <v>48</v>
      </c>
      <c r="D4743" s="10" t="s">
        <v>483</v>
      </c>
      <c r="E4743" s="10" t="s">
        <v>2342</v>
      </c>
      <c r="F4743" s="30" t="n">
        <v>43001</v>
      </c>
      <c r="G4743" s="30" t="n">
        <v>43010</v>
      </c>
      <c r="H4743" s="26" t="n">
        <f aca="false">G4743-F4743</f>
        <v>9</v>
      </c>
      <c r="I4743" s="10" t="n">
        <f aca="false">IF(E4743="Won",1,0)</f>
        <v>1</v>
      </c>
    </row>
    <row r="4744" customFormat="false" ht="15" hidden="false" customHeight="false" outlineLevel="0" collapsed="false">
      <c r="A4744" s="10" t="s">
        <v>7085</v>
      </c>
      <c r="B4744" s="10" t="s">
        <v>74</v>
      </c>
      <c r="C4744" s="10" t="s">
        <v>51</v>
      </c>
      <c r="D4744" s="10" t="s">
        <v>483</v>
      </c>
      <c r="E4744" s="10" t="s">
        <v>2345</v>
      </c>
      <c r="F4744" s="30" t="n">
        <v>43002</v>
      </c>
      <c r="G4744" s="30" t="n">
        <v>43010</v>
      </c>
      <c r="H4744" s="26" t="n">
        <f aca="false">G4744-F4744</f>
        <v>8</v>
      </c>
      <c r="I4744" s="10" t="n">
        <f aca="false">IF(E4744="Won",1,0)</f>
        <v>0</v>
      </c>
    </row>
    <row r="4745" customFormat="false" ht="15" hidden="false" customHeight="false" outlineLevel="0" collapsed="false">
      <c r="A4745" s="10" t="s">
        <v>7086</v>
      </c>
      <c r="B4745" s="10" t="s">
        <v>68</v>
      </c>
      <c r="C4745" s="10" t="s">
        <v>51</v>
      </c>
      <c r="D4745" s="10" t="s">
        <v>419</v>
      </c>
      <c r="E4745" s="10" t="s">
        <v>2345</v>
      </c>
      <c r="F4745" s="30" t="n">
        <v>43001</v>
      </c>
      <c r="G4745" s="30" t="n">
        <v>43010</v>
      </c>
      <c r="H4745" s="26" t="n">
        <f aca="false">G4745-F4745</f>
        <v>9</v>
      </c>
      <c r="I4745" s="10" t="n">
        <f aca="false">IF(E4745="Won",1,0)</f>
        <v>0</v>
      </c>
    </row>
    <row r="4746" customFormat="false" ht="15" hidden="false" customHeight="false" outlineLevel="0" collapsed="false">
      <c r="A4746" s="10" t="s">
        <v>7087</v>
      </c>
      <c r="B4746" s="10" t="s">
        <v>80</v>
      </c>
      <c r="C4746" s="10" t="s">
        <v>48</v>
      </c>
      <c r="D4746" s="10" t="s">
        <v>353</v>
      </c>
      <c r="E4746" s="10" t="s">
        <v>2342</v>
      </c>
      <c r="F4746" s="30" t="n">
        <v>43000</v>
      </c>
      <c r="G4746" s="30" t="n">
        <v>43010</v>
      </c>
      <c r="H4746" s="26" t="n">
        <f aca="false">G4746-F4746</f>
        <v>10</v>
      </c>
      <c r="I4746" s="10" t="n">
        <f aca="false">IF(E4746="Won",1,0)</f>
        <v>1</v>
      </c>
    </row>
    <row r="4747" customFormat="false" ht="15" hidden="false" customHeight="false" outlineLevel="0" collapsed="false">
      <c r="A4747" s="10" t="s">
        <v>7088</v>
      </c>
      <c r="B4747" s="10" t="s">
        <v>95</v>
      </c>
      <c r="C4747" s="10" t="s">
        <v>52</v>
      </c>
      <c r="D4747" s="10" t="s">
        <v>432</v>
      </c>
      <c r="E4747" s="10" t="s">
        <v>2342</v>
      </c>
      <c r="F4747" s="30" t="n">
        <v>43004</v>
      </c>
      <c r="G4747" s="30" t="n">
        <v>43010</v>
      </c>
      <c r="H4747" s="26" t="n">
        <f aca="false">G4747-F4747</f>
        <v>6</v>
      </c>
      <c r="I4747" s="10" t="n">
        <f aca="false">IF(E4747="Won",1,0)</f>
        <v>1</v>
      </c>
    </row>
    <row r="4748" customFormat="false" ht="15" hidden="false" customHeight="false" outlineLevel="0" collapsed="false">
      <c r="A4748" s="10" t="s">
        <v>7089</v>
      </c>
      <c r="B4748" s="10" t="s">
        <v>81</v>
      </c>
      <c r="C4748" s="10" t="s">
        <v>50</v>
      </c>
      <c r="D4748" s="10" t="s">
        <v>512</v>
      </c>
      <c r="E4748" s="10" t="s">
        <v>2345</v>
      </c>
      <c r="F4748" s="30" t="n">
        <v>43005</v>
      </c>
      <c r="G4748" s="30" t="n">
        <v>43010</v>
      </c>
      <c r="H4748" s="26" t="n">
        <f aca="false">G4748-F4748</f>
        <v>5</v>
      </c>
      <c r="I4748" s="10" t="n">
        <f aca="false">IF(E4748="Won",1,0)</f>
        <v>0</v>
      </c>
    </row>
    <row r="4749" customFormat="false" ht="15" hidden="false" customHeight="false" outlineLevel="0" collapsed="false">
      <c r="A4749" s="10" t="s">
        <v>7090</v>
      </c>
      <c r="B4749" s="10" t="s">
        <v>68</v>
      </c>
      <c r="C4749" s="10" t="s">
        <v>51</v>
      </c>
      <c r="D4749" s="10" t="s">
        <v>348</v>
      </c>
      <c r="E4749" s="10" t="s">
        <v>2345</v>
      </c>
      <c r="F4749" s="30" t="n">
        <v>43009</v>
      </c>
      <c r="G4749" s="30" t="n">
        <v>43010</v>
      </c>
      <c r="H4749" s="26" t="n">
        <f aca="false">G4749-F4749</f>
        <v>1</v>
      </c>
      <c r="I4749" s="10" t="n">
        <f aca="false">IF(E4749="Won",1,0)</f>
        <v>0</v>
      </c>
    </row>
    <row r="4750" customFormat="false" ht="15" hidden="false" customHeight="false" outlineLevel="0" collapsed="false">
      <c r="A4750" s="10" t="s">
        <v>7091</v>
      </c>
      <c r="B4750" s="10" t="s">
        <v>80</v>
      </c>
      <c r="C4750" s="10" t="s">
        <v>50</v>
      </c>
      <c r="D4750" s="10" t="s">
        <v>536</v>
      </c>
      <c r="E4750" s="10" t="s">
        <v>2342</v>
      </c>
      <c r="F4750" s="30" t="n">
        <v>43001</v>
      </c>
      <c r="G4750" s="30" t="n">
        <v>43010</v>
      </c>
      <c r="H4750" s="26" t="n">
        <f aca="false">G4750-F4750</f>
        <v>9</v>
      </c>
      <c r="I4750" s="10" t="n">
        <f aca="false">IF(E4750="Won",1,0)</f>
        <v>1</v>
      </c>
    </row>
    <row r="4751" customFormat="false" ht="15" hidden="false" customHeight="false" outlineLevel="0" collapsed="false">
      <c r="A4751" s="10" t="s">
        <v>7092</v>
      </c>
      <c r="B4751" s="10" t="s">
        <v>73</v>
      </c>
      <c r="C4751" s="10" t="s">
        <v>52</v>
      </c>
      <c r="D4751" s="10" t="s">
        <v>527</v>
      </c>
      <c r="E4751" s="10" t="s">
        <v>2342</v>
      </c>
      <c r="F4751" s="30" t="n">
        <v>43002</v>
      </c>
      <c r="G4751" s="30" t="n">
        <v>43010</v>
      </c>
      <c r="H4751" s="26" t="n">
        <f aca="false">G4751-F4751</f>
        <v>8</v>
      </c>
      <c r="I4751" s="10" t="n">
        <f aca="false">IF(E4751="Won",1,0)</f>
        <v>1</v>
      </c>
    </row>
    <row r="4752" customFormat="false" ht="15" hidden="false" customHeight="false" outlineLevel="0" collapsed="false">
      <c r="A4752" s="10" t="s">
        <v>7093</v>
      </c>
      <c r="B4752" s="10" t="s">
        <v>77</v>
      </c>
      <c r="C4752" s="10" t="s">
        <v>48</v>
      </c>
      <c r="D4752" s="10" t="s">
        <v>524</v>
      </c>
      <c r="E4752" s="10" t="s">
        <v>2345</v>
      </c>
      <c r="F4752" s="30" t="n">
        <v>43005</v>
      </c>
      <c r="G4752" s="30" t="n">
        <v>43010</v>
      </c>
      <c r="H4752" s="26" t="n">
        <f aca="false">G4752-F4752</f>
        <v>5</v>
      </c>
      <c r="I4752" s="10" t="n">
        <f aca="false">IF(E4752="Won",1,0)</f>
        <v>0</v>
      </c>
    </row>
    <row r="4753" customFormat="false" ht="15" hidden="false" customHeight="false" outlineLevel="0" collapsed="false">
      <c r="A4753" s="10" t="s">
        <v>7094</v>
      </c>
      <c r="B4753" s="10" t="s">
        <v>93</v>
      </c>
      <c r="C4753" s="10" t="s">
        <v>47</v>
      </c>
      <c r="D4753" s="10" t="s">
        <v>348</v>
      </c>
      <c r="E4753" s="10" t="s">
        <v>2342</v>
      </c>
      <c r="F4753" s="30" t="n">
        <v>43000</v>
      </c>
      <c r="G4753" s="30" t="n">
        <v>43010</v>
      </c>
      <c r="H4753" s="26" t="n">
        <f aca="false">G4753-F4753</f>
        <v>10</v>
      </c>
      <c r="I4753" s="10" t="n">
        <f aca="false">IF(E4753="Won",1,0)</f>
        <v>1</v>
      </c>
    </row>
    <row r="4754" customFormat="false" ht="15" hidden="false" customHeight="false" outlineLevel="0" collapsed="false">
      <c r="A4754" s="10" t="s">
        <v>7095</v>
      </c>
      <c r="B4754" s="10" t="s">
        <v>74</v>
      </c>
      <c r="C4754" s="10" t="s">
        <v>47</v>
      </c>
      <c r="D4754" s="10" t="s">
        <v>291</v>
      </c>
      <c r="E4754" s="10" t="s">
        <v>2345</v>
      </c>
      <c r="F4754" s="30" t="n">
        <v>43005</v>
      </c>
      <c r="G4754" s="30" t="n">
        <v>43010</v>
      </c>
      <c r="H4754" s="26" t="n">
        <f aca="false">G4754-F4754</f>
        <v>5</v>
      </c>
      <c r="I4754" s="10" t="n">
        <f aca="false">IF(E4754="Won",1,0)</f>
        <v>0</v>
      </c>
    </row>
    <row r="4755" customFormat="false" ht="15" hidden="false" customHeight="false" outlineLevel="0" collapsed="false">
      <c r="A4755" s="10" t="s">
        <v>7096</v>
      </c>
      <c r="B4755" s="10" t="s">
        <v>77</v>
      </c>
      <c r="C4755" s="10" t="s">
        <v>48</v>
      </c>
      <c r="D4755" s="10" t="s">
        <v>483</v>
      </c>
      <c r="E4755" s="10" t="s">
        <v>2345</v>
      </c>
      <c r="F4755" s="30" t="n">
        <v>43004</v>
      </c>
      <c r="G4755" s="30" t="n">
        <v>43011</v>
      </c>
      <c r="H4755" s="26" t="n">
        <f aca="false">G4755-F4755</f>
        <v>7</v>
      </c>
      <c r="I4755" s="10" t="n">
        <f aca="false">IF(E4755="Won",1,0)</f>
        <v>0</v>
      </c>
    </row>
    <row r="4756" customFormat="false" ht="15" hidden="false" customHeight="false" outlineLevel="0" collapsed="false">
      <c r="A4756" s="10" t="s">
        <v>7097</v>
      </c>
      <c r="B4756" s="10" t="s">
        <v>73</v>
      </c>
      <c r="C4756" s="10" t="s">
        <v>52</v>
      </c>
      <c r="D4756" s="10" t="s">
        <v>869</v>
      </c>
      <c r="E4756" s="10" t="s">
        <v>2342</v>
      </c>
      <c r="F4756" s="30" t="n">
        <v>43004</v>
      </c>
      <c r="G4756" s="30" t="n">
        <v>43011</v>
      </c>
      <c r="H4756" s="26" t="n">
        <f aca="false">G4756-F4756</f>
        <v>7</v>
      </c>
      <c r="I4756" s="10" t="n">
        <f aca="false">IF(E4756="Won",1,0)</f>
        <v>1</v>
      </c>
    </row>
    <row r="4757" customFormat="false" ht="15" hidden="false" customHeight="false" outlineLevel="0" collapsed="false">
      <c r="A4757" s="10" t="s">
        <v>7098</v>
      </c>
      <c r="B4757" s="10" t="s">
        <v>94</v>
      </c>
      <c r="C4757" s="10" t="s">
        <v>50</v>
      </c>
      <c r="D4757" s="10" t="s">
        <v>432</v>
      </c>
      <c r="E4757" s="10" t="s">
        <v>2342</v>
      </c>
      <c r="F4757" s="30" t="n">
        <v>43010</v>
      </c>
      <c r="G4757" s="30" t="n">
        <v>43011</v>
      </c>
      <c r="H4757" s="26" t="n">
        <f aca="false">G4757-F4757</f>
        <v>1</v>
      </c>
      <c r="I4757" s="10" t="n">
        <f aca="false">IF(E4757="Won",1,0)</f>
        <v>1</v>
      </c>
    </row>
    <row r="4758" customFormat="false" ht="15" hidden="false" customHeight="false" outlineLevel="0" collapsed="false">
      <c r="A4758" s="10" t="s">
        <v>7099</v>
      </c>
      <c r="B4758" s="10" t="s">
        <v>90</v>
      </c>
      <c r="C4758" s="10" t="s">
        <v>49</v>
      </c>
      <c r="D4758" s="10" t="s">
        <v>254</v>
      </c>
      <c r="E4758" s="10" t="s">
        <v>2342</v>
      </c>
      <c r="F4758" s="30" t="n">
        <v>43004</v>
      </c>
      <c r="G4758" s="30" t="n">
        <v>43011</v>
      </c>
      <c r="H4758" s="26" t="n">
        <f aca="false">G4758-F4758</f>
        <v>7</v>
      </c>
      <c r="I4758" s="10" t="n">
        <f aca="false">IF(E4758="Won",1,0)</f>
        <v>1</v>
      </c>
    </row>
    <row r="4759" customFormat="false" ht="15" hidden="false" customHeight="false" outlineLevel="0" collapsed="false">
      <c r="A4759" s="10" t="s">
        <v>7100</v>
      </c>
      <c r="B4759" s="10" t="s">
        <v>57</v>
      </c>
      <c r="C4759" s="10" t="s">
        <v>50</v>
      </c>
      <c r="D4759" s="10" t="s">
        <v>359</v>
      </c>
      <c r="E4759" s="10" t="s">
        <v>2342</v>
      </c>
      <c r="F4759" s="30" t="n">
        <v>43009</v>
      </c>
      <c r="G4759" s="30" t="n">
        <v>43011</v>
      </c>
      <c r="H4759" s="26" t="n">
        <f aca="false">G4759-F4759</f>
        <v>2</v>
      </c>
      <c r="I4759" s="10" t="n">
        <f aca="false">IF(E4759="Won",1,0)</f>
        <v>1</v>
      </c>
    </row>
    <row r="4760" customFormat="false" ht="15" hidden="false" customHeight="false" outlineLevel="0" collapsed="false">
      <c r="A4760" s="10" t="s">
        <v>7101</v>
      </c>
      <c r="B4760" s="10" t="s">
        <v>93</v>
      </c>
      <c r="C4760" s="10" t="s">
        <v>47</v>
      </c>
      <c r="D4760" s="10" t="s">
        <v>522</v>
      </c>
      <c r="E4760" s="10" t="s">
        <v>2342</v>
      </c>
      <c r="F4760" s="30" t="n">
        <v>43002</v>
      </c>
      <c r="G4760" s="30" t="n">
        <v>43011</v>
      </c>
      <c r="H4760" s="26" t="n">
        <f aca="false">G4760-F4760</f>
        <v>9</v>
      </c>
      <c r="I4760" s="10" t="n">
        <f aca="false">IF(E4760="Won",1,0)</f>
        <v>1</v>
      </c>
    </row>
    <row r="4761" customFormat="false" ht="15" hidden="false" customHeight="false" outlineLevel="0" collapsed="false">
      <c r="A4761" s="10" t="s">
        <v>7102</v>
      </c>
      <c r="B4761" s="10" t="s">
        <v>73</v>
      </c>
      <c r="C4761" s="10" t="s">
        <v>49</v>
      </c>
      <c r="D4761" s="10" t="s">
        <v>321</v>
      </c>
      <c r="E4761" s="10" t="s">
        <v>2345</v>
      </c>
      <c r="F4761" s="30" t="n">
        <v>43010</v>
      </c>
      <c r="G4761" s="30" t="n">
        <v>43011</v>
      </c>
      <c r="H4761" s="26" t="n">
        <f aca="false">G4761-F4761</f>
        <v>1</v>
      </c>
      <c r="I4761" s="10" t="n">
        <f aca="false">IF(E4761="Won",1,0)</f>
        <v>0</v>
      </c>
    </row>
    <row r="4762" customFormat="false" ht="15" hidden="false" customHeight="false" outlineLevel="0" collapsed="false">
      <c r="A4762" s="10" t="s">
        <v>7103</v>
      </c>
      <c r="B4762" s="10" t="s">
        <v>97</v>
      </c>
      <c r="C4762" s="10" t="s">
        <v>51</v>
      </c>
      <c r="D4762" s="10" t="s">
        <v>483</v>
      </c>
      <c r="E4762" s="10" t="s">
        <v>2345</v>
      </c>
      <c r="F4762" s="30" t="n">
        <v>43010</v>
      </c>
      <c r="G4762" s="30" t="n">
        <v>43011</v>
      </c>
      <c r="H4762" s="26" t="n">
        <f aca="false">G4762-F4762</f>
        <v>1</v>
      </c>
      <c r="I4762" s="10" t="n">
        <f aca="false">IF(E4762="Won",1,0)</f>
        <v>0</v>
      </c>
    </row>
    <row r="4763" customFormat="false" ht="15" hidden="false" customHeight="false" outlineLevel="0" collapsed="false">
      <c r="A4763" s="10" t="s">
        <v>7104</v>
      </c>
      <c r="B4763" s="10" t="s">
        <v>96</v>
      </c>
      <c r="C4763" s="10" t="s">
        <v>51</v>
      </c>
      <c r="D4763" s="10" t="s">
        <v>326</v>
      </c>
      <c r="E4763" s="10" t="s">
        <v>2345</v>
      </c>
      <c r="F4763" s="30" t="n">
        <v>43003</v>
      </c>
      <c r="G4763" s="30" t="n">
        <v>43011</v>
      </c>
      <c r="H4763" s="26" t="n">
        <f aca="false">G4763-F4763</f>
        <v>8</v>
      </c>
      <c r="I4763" s="10" t="n">
        <f aca="false">IF(E4763="Won",1,0)</f>
        <v>0</v>
      </c>
    </row>
    <row r="4764" customFormat="false" ht="15" hidden="false" customHeight="false" outlineLevel="0" collapsed="false">
      <c r="A4764" s="10" t="s">
        <v>7105</v>
      </c>
      <c r="B4764" s="10" t="s">
        <v>76</v>
      </c>
      <c r="C4764" s="10" t="s">
        <v>49</v>
      </c>
      <c r="D4764" s="10" t="s">
        <v>512</v>
      </c>
      <c r="E4764" s="10" t="s">
        <v>2345</v>
      </c>
      <c r="F4764" s="30" t="n">
        <v>43007</v>
      </c>
      <c r="G4764" s="30" t="n">
        <v>43011</v>
      </c>
      <c r="H4764" s="26" t="n">
        <f aca="false">G4764-F4764</f>
        <v>4</v>
      </c>
      <c r="I4764" s="10" t="n">
        <f aca="false">IF(E4764="Won",1,0)</f>
        <v>0</v>
      </c>
    </row>
    <row r="4765" customFormat="false" ht="15" hidden="false" customHeight="false" outlineLevel="0" collapsed="false">
      <c r="A4765" s="10" t="s">
        <v>7106</v>
      </c>
      <c r="B4765" s="10" t="s">
        <v>87</v>
      </c>
      <c r="C4765" s="10" t="s">
        <v>50</v>
      </c>
      <c r="D4765" s="10" t="s">
        <v>637</v>
      </c>
      <c r="E4765" s="10" t="s">
        <v>2345</v>
      </c>
      <c r="F4765" s="30" t="n">
        <v>43003</v>
      </c>
      <c r="G4765" s="30" t="n">
        <v>43011</v>
      </c>
      <c r="H4765" s="26" t="n">
        <f aca="false">G4765-F4765</f>
        <v>8</v>
      </c>
      <c r="I4765" s="10" t="n">
        <f aca="false">IF(E4765="Won",1,0)</f>
        <v>0</v>
      </c>
    </row>
    <row r="4766" customFormat="false" ht="15" hidden="false" customHeight="false" outlineLevel="0" collapsed="false">
      <c r="A4766" s="10" t="s">
        <v>7107</v>
      </c>
      <c r="B4766" s="10" t="s">
        <v>81</v>
      </c>
      <c r="C4766" s="10" t="s">
        <v>50</v>
      </c>
      <c r="D4766" s="10" t="s">
        <v>1251</v>
      </c>
      <c r="E4766" s="10" t="s">
        <v>2345</v>
      </c>
      <c r="F4766" s="30" t="n">
        <v>43004</v>
      </c>
      <c r="G4766" s="30" t="n">
        <v>43011</v>
      </c>
      <c r="H4766" s="26" t="n">
        <f aca="false">G4766-F4766</f>
        <v>7</v>
      </c>
      <c r="I4766" s="10" t="n">
        <f aca="false">IF(E4766="Won",1,0)</f>
        <v>0</v>
      </c>
    </row>
    <row r="4767" customFormat="false" ht="15" hidden="false" customHeight="false" outlineLevel="0" collapsed="false">
      <c r="A4767" s="10" t="s">
        <v>7108</v>
      </c>
      <c r="B4767" s="10" t="s">
        <v>68</v>
      </c>
      <c r="C4767" s="10" t="s">
        <v>52</v>
      </c>
      <c r="D4767" s="10" t="s">
        <v>175</v>
      </c>
      <c r="E4767" s="10" t="s">
        <v>2345</v>
      </c>
      <c r="F4767" s="30" t="n">
        <v>43004</v>
      </c>
      <c r="G4767" s="30" t="n">
        <v>43011</v>
      </c>
      <c r="H4767" s="26" t="n">
        <f aca="false">G4767-F4767</f>
        <v>7</v>
      </c>
      <c r="I4767" s="10" t="n">
        <f aca="false">IF(E4767="Won",1,0)</f>
        <v>0</v>
      </c>
    </row>
    <row r="4768" customFormat="false" ht="15" hidden="false" customHeight="false" outlineLevel="0" collapsed="false">
      <c r="A4768" s="10" t="s">
        <v>7109</v>
      </c>
      <c r="B4768" s="10" t="s">
        <v>80</v>
      </c>
      <c r="C4768" s="10" t="s">
        <v>51</v>
      </c>
      <c r="D4768" s="10" t="s">
        <v>279</v>
      </c>
      <c r="E4768" s="10" t="s">
        <v>2345</v>
      </c>
      <c r="F4768" s="30" t="n">
        <v>43003</v>
      </c>
      <c r="G4768" s="30" t="n">
        <v>43011</v>
      </c>
      <c r="H4768" s="26" t="n">
        <f aca="false">G4768-F4768</f>
        <v>8</v>
      </c>
      <c r="I4768" s="10" t="n">
        <f aca="false">IF(E4768="Won",1,0)</f>
        <v>0</v>
      </c>
    </row>
    <row r="4769" customFormat="false" ht="15" hidden="false" customHeight="false" outlineLevel="0" collapsed="false">
      <c r="A4769" s="10" t="s">
        <v>7110</v>
      </c>
      <c r="B4769" s="10" t="s">
        <v>76</v>
      </c>
      <c r="C4769" s="10" t="s">
        <v>50</v>
      </c>
      <c r="D4769" s="10" t="s">
        <v>512</v>
      </c>
      <c r="E4769" s="10" t="s">
        <v>2345</v>
      </c>
      <c r="F4769" s="30" t="n">
        <v>43003</v>
      </c>
      <c r="G4769" s="30" t="n">
        <v>43011</v>
      </c>
      <c r="H4769" s="26" t="n">
        <f aca="false">G4769-F4769</f>
        <v>8</v>
      </c>
      <c r="I4769" s="10" t="n">
        <f aca="false">IF(E4769="Won",1,0)</f>
        <v>0</v>
      </c>
    </row>
    <row r="4770" customFormat="false" ht="15" hidden="false" customHeight="false" outlineLevel="0" collapsed="false">
      <c r="A4770" s="10" t="s">
        <v>7111</v>
      </c>
      <c r="B4770" s="10" t="s">
        <v>69</v>
      </c>
      <c r="C4770" s="10" t="s">
        <v>49</v>
      </c>
      <c r="D4770" s="10" t="s">
        <v>419</v>
      </c>
      <c r="E4770" s="10" t="s">
        <v>2345</v>
      </c>
      <c r="F4770" s="30" t="n">
        <v>43003</v>
      </c>
      <c r="G4770" s="30" t="n">
        <v>43011</v>
      </c>
      <c r="H4770" s="26" t="n">
        <f aca="false">G4770-F4770</f>
        <v>8</v>
      </c>
      <c r="I4770" s="10" t="n">
        <f aca="false">IF(E4770="Won",1,0)</f>
        <v>0</v>
      </c>
    </row>
    <row r="4771" customFormat="false" ht="15" hidden="false" customHeight="false" outlineLevel="0" collapsed="false">
      <c r="A4771" s="10" t="s">
        <v>7112</v>
      </c>
      <c r="B4771" s="10" t="s">
        <v>77</v>
      </c>
      <c r="C4771" s="10" t="s">
        <v>47</v>
      </c>
      <c r="D4771" s="10" t="s">
        <v>353</v>
      </c>
      <c r="E4771" s="10" t="s">
        <v>2342</v>
      </c>
      <c r="F4771" s="30" t="n">
        <v>43002</v>
      </c>
      <c r="G4771" s="30" t="n">
        <v>43011</v>
      </c>
      <c r="H4771" s="26" t="n">
        <f aca="false">G4771-F4771</f>
        <v>9</v>
      </c>
      <c r="I4771" s="10" t="n">
        <f aca="false">IF(E4771="Won",1,0)</f>
        <v>1</v>
      </c>
    </row>
    <row r="4772" customFormat="false" ht="15" hidden="false" customHeight="false" outlineLevel="0" collapsed="false">
      <c r="A4772" s="10" t="s">
        <v>7113</v>
      </c>
      <c r="B4772" s="10" t="s">
        <v>63</v>
      </c>
      <c r="C4772" s="10" t="s">
        <v>49</v>
      </c>
      <c r="D4772" s="10" t="s">
        <v>674</v>
      </c>
      <c r="E4772" s="10" t="s">
        <v>2342</v>
      </c>
      <c r="F4772" s="30" t="n">
        <v>43005</v>
      </c>
      <c r="G4772" s="30" t="n">
        <v>43011</v>
      </c>
      <c r="H4772" s="26" t="n">
        <f aca="false">G4772-F4772</f>
        <v>6</v>
      </c>
      <c r="I4772" s="10" t="n">
        <f aca="false">IF(E4772="Won",1,0)</f>
        <v>1</v>
      </c>
    </row>
    <row r="4773" customFormat="false" ht="15" hidden="false" customHeight="false" outlineLevel="0" collapsed="false">
      <c r="A4773" s="10" t="s">
        <v>7114</v>
      </c>
      <c r="B4773" s="10" t="s">
        <v>96</v>
      </c>
      <c r="C4773" s="10" t="s">
        <v>51</v>
      </c>
      <c r="D4773" s="10" t="s">
        <v>233</v>
      </c>
      <c r="E4773" s="10" t="s">
        <v>2345</v>
      </c>
      <c r="F4773" s="30" t="n">
        <v>42999</v>
      </c>
      <c r="G4773" s="30" t="n">
        <v>43011</v>
      </c>
      <c r="H4773" s="26" t="n">
        <f aca="false">G4773-F4773</f>
        <v>12</v>
      </c>
      <c r="I4773" s="10" t="n">
        <f aca="false">IF(E4773="Won",1,0)</f>
        <v>0</v>
      </c>
    </row>
    <row r="4774" customFormat="false" ht="15" hidden="false" customHeight="false" outlineLevel="0" collapsed="false">
      <c r="A4774" s="10" t="s">
        <v>7115</v>
      </c>
      <c r="B4774" s="10" t="s">
        <v>77</v>
      </c>
      <c r="C4774" s="10" t="s">
        <v>48</v>
      </c>
      <c r="D4774" s="10" t="s">
        <v>279</v>
      </c>
      <c r="E4774" s="10" t="s">
        <v>2345</v>
      </c>
      <c r="F4774" s="30" t="n">
        <v>43000</v>
      </c>
      <c r="G4774" s="30" t="n">
        <v>43011</v>
      </c>
      <c r="H4774" s="26" t="n">
        <f aca="false">G4774-F4774</f>
        <v>11</v>
      </c>
      <c r="I4774" s="10" t="n">
        <f aca="false">IF(E4774="Won",1,0)</f>
        <v>0</v>
      </c>
    </row>
    <row r="4775" customFormat="false" ht="15" hidden="false" customHeight="false" outlineLevel="0" collapsed="false">
      <c r="A4775" s="10" t="s">
        <v>7116</v>
      </c>
      <c r="B4775" s="10" t="s">
        <v>81</v>
      </c>
      <c r="C4775" s="10" t="s">
        <v>49</v>
      </c>
      <c r="D4775" s="10" t="s">
        <v>483</v>
      </c>
      <c r="E4775" s="10" t="s">
        <v>2345</v>
      </c>
      <c r="F4775" s="30" t="n">
        <v>43006</v>
      </c>
      <c r="G4775" s="30" t="n">
        <v>43011</v>
      </c>
      <c r="H4775" s="26" t="n">
        <f aca="false">G4775-F4775</f>
        <v>5</v>
      </c>
      <c r="I4775" s="10" t="n">
        <f aca="false">IF(E4775="Won",1,0)</f>
        <v>0</v>
      </c>
    </row>
    <row r="4776" customFormat="false" ht="15" hidden="false" customHeight="false" outlineLevel="0" collapsed="false">
      <c r="A4776" s="10" t="s">
        <v>7117</v>
      </c>
      <c r="B4776" s="10" t="s">
        <v>70</v>
      </c>
      <c r="C4776" s="10" t="s">
        <v>49</v>
      </c>
      <c r="D4776" s="10" t="s">
        <v>233</v>
      </c>
      <c r="E4776" s="10" t="s">
        <v>2342</v>
      </c>
      <c r="F4776" s="30" t="n">
        <v>43005</v>
      </c>
      <c r="G4776" s="30" t="n">
        <v>43011</v>
      </c>
      <c r="H4776" s="26" t="n">
        <f aca="false">G4776-F4776</f>
        <v>6</v>
      </c>
      <c r="I4776" s="10" t="n">
        <f aca="false">IF(E4776="Won",1,0)</f>
        <v>1</v>
      </c>
    </row>
    <row r="4777" customFormat="false" ht="15" hidden="false" customHeight="false" outlineLevel="0" collapsed="false">
      <c r="A4777" s="10" t="s">
        <v>7118</v>
      </c>
      <c r="B4777" s="10" t="s">
        <v>60</v>
      </c>
      <c r="C4777" s="10" t="s">
        <v>51</v>
      </c>
      <c r="D4777" s="10" t="s">
        <v>455</v>
      </c>
      <c r="E4777" s="10" t="s">
        <v>2345</v>
      </c>
      <c r="F4777" s="30" t="n">
        <v>43007</v>
      </c>
      <c r="G4777" s="30" t="n">
        <v>43011</v>
      </c>
      <c r="H4777" s="26" t="n">
        <f aca="false">G4777-F4777</f>
        <v>4</v>
      </c>
      <c r="I4777" s="10" t="n">
        <f aca="false">IF(E4777="Won",1,0)</f>
        <v>0</v>
      </c>
    </row>
    <row r="4778" customFormat="false" ht="15" hidden="false" customHeight="false" outlineLevel="0" collapsed="false">
      <c r="A4778" s="10" t="s">
        <v>7119</v>
      </c>
      <c r="B4778" s="10" t="s">
        <v>75</v>
      </c>
      <c r="C4778" s="10" t="s">
        <v>51</v>
      </c>
      <c r="D4778" s="10" t="s">
        <v>369</v>
      </c>
      <c r="E4778" s="10" t="s">
        <v>2345</v>
      </c>
      <c r="F4778" s="30" t="n">
        <v>43003</v>
      </c>
      <c r="G4778" s="30" t="n">
        <v>43012</v>
      </c>
      <c r="H4778" s="26" t="n">
        <f aca="false">G4778-F4778</f>
        <v>9</v>
      </c>
      <c r="I4778" s="10" t="n">
        <f aca="false">IF(E4778="Won",1,0)</f>
        <v>0</v>
      </c>
    </row>
    <row r="4779" customFormat="false" ht="15" hidden="false" customHeight="false" outlineLevel="0" collapsed="false">
      <c r="A4779" s="10" t="s">
        <v>7120</v>
      </c>
      <c r="B4779" s="10" t="s">
        <v>81</v>
      </c>
      <c r="C4779" s="10" t="s">
        <v>50</v>
      </c>
      <c r="D4779" s="10" t="s">
        <v>512</v>
      </c>
      <c r="E4779" s="10" t="s">
        <v>2345</v>
      </c>
      <c r="F4779" s="30" t="n">
        <v>43003</v>
      </c>
      <c r="G4779" s="30" t="n">
        <v>43012</v>
      </c>
      <c r="H4779" s="26" t="n">
        <f aca="false">G4779-F4779</f>
        <v>9</v>
      </c>
      <c r="I4779" s="10" t="n">
        <f aca="false">IF(E4779="Won",1,0)</f>
        <v>0</v>
      </c>
    </row>
    <row r="4780" customFormat="false" ht="15" hidden="false" customHeight="false" outlineLevel="0" collapsed="false">
      <c r="A4780" s="10" t="s">
        <v>7121</v>
      </c>
      <c r="B4780" s="10" t="s">
        <v>84</v>
      </c>
      <c r="C4780" s="10" t="s">
        <v>50</v>
      </c>
      <c r="D4780" s="10" t="s">
        <v>286</v>
      </c>
      <c r="E4780" s="10" t="s">
        <v>2345</v>
      </c>
      <c r="F4780" s="30" t="n">
        <v>43010</v>
      </c>
      <c r="G4780" s="30" t="n">
        <v>43012</v>
      </c>
      <c r="H4780" s="26" t="n">
        <f aca="false">G4780-F4780</f>
        <v>2</v>
      </c>
      <c r="I4780" s="10" t="n">
        <f aca="false">IF(E4780="Won",1,0)</f>
        <v>0</v>
      </c>
    </row>
    <row r="4781" customFormat="false" ht="15" hidden="false" customHeight="false" outlineLevel="0" collapsed="false">
      <c r="A4781" s="10" t="s">
        <v>7122</v>
      </c>
      <c r="B4781" s="10" t="s">
        <v>83</v>
      </c>
      <c r="C4781" s="10" t="s">
        <v>50</v>
      </c>
      <c r="D4781" s="10" t="s">
        <v>536</v>
      </c>
      <c r="E4781" s="10" t="s">
        <v>2342</v>
      </c>
      <c r="F4781" s="30" t="n">
        <v>43003</v>
      </c>
      <c r="G4781" s="30" t="n">
        <v>43012</v>
      </c>
      <c r="H4781" s="26" t="n">
        <f aca="false">G4781-F4781</f>
        <v>9</v>
      </c>
      <c r="I4781" s="10" t="n">
        <f aca="false">IF(E4781="Won",1,0)</f>
        <v>1</v>
      </c>
    </row>
    <row r="4782" customFormat="false" ht="15" hidden="false" customHeight="false" outlineLevel="0" collapsed="false">
      <c r="A4782" s="10" t="s">
        <v>7123</v>
      </c>
      <c r="B4782" s="10" t="s">
        <v>87</v>
      </c>
      <c r="C4782" s="10" t="s">
        <v>50</v>
      </c>
      <c r="D4782" s="10" t="s">
        <v>247</v>
      </c>
      <c r="E4782" s="10" t="s">
        <v>2342</v>
      </c>
      <c r="F4782" s="30" t="n">
        <v>43005</v>
      </c>
      <c r="G4782" s="30" t="n">
        <v>43012</v>
      </c>
      <c r="H4782" s="26" t="n">
        <f aca="false">G4782-F4782</f>
        <v>7</v>
      </c>
      <c r="I4782" s="10" t="n">
        <f aca="false">IF(E4782="Won",1,0)</f>
        <v>1</v>
      </c>
    </row>
    <row r="4783" customFormat="false" ht="15" hidden="false" customHeight="false" outlineLevel="0" collapsed="false">
      <c r="A4783" s="10" t="s">
        <v>7124</v>
      </c>
      <c r="B4783" s="10" t="s">
        <v>57</v>
      </c>
      <c r="C4783" s="10" t="s">
        <v>51</v>
      </c>
      <c r="D4783" s="10" t="s">
        <v>616</v>
      </c>
      <c r="E4783" s="10" t="s">
        <v>2342</v>
      </c>
      <c r="F4783" s="30" t="n">
        <v>43011</v>
      </c>
      <c r="G4783" s="30" t="n">
        <v>43012</v>
      </c>
      <c r="H4783" s="26" t="n">
        <f aca="false">G4783-F4783</f>
        <v>1</v>
      </c>
      <c r="I4783" s="10" t="n">
        <f aca="false">IF(E4783="Won",1,0)</f>
        <v>1</v>
      </c>
    </row>
    <row r="4784" customFormat="false" ht="15" hidden="false" customHeight="false" outlineLevel="0" collapsed="false">
      <c r="A4784" s="10" t="s">
        <v>7125</v>
      </c>
      <c r="B4784" s="10" t="s">
        <v>93</v>
      </c>
      <c r="C4784" s="10" t="s">
        <v>47</v>
      </c>
      <c r="D4784" s="10" t="s">
        <v>419</v>
      </c>
      <c r="E4784" s="10" t="s">
        <v>2345</v>
      </c>
      <c r="F4784" s="30" t="n">
        <v>43004</v>
      </c>
      <c r="G4784" s="30" t="n">
        <v>43012</v>
      </c>
      <c r="H4784" s="26" t="n">
        <f aca="false">G4784-F4784</f>
        <v>8</v>
      </c>
      <c r="I4784" s="10" t="n">
        <f aca="false">IF(E4784="Won",1,0)</f>
        <v>0</v>
      </c>
    </row>
    <row r="4785" customFormat="false" ht="15" hidden="false" customHeight="false" outlineLevel="0" collapsed="false">
      <c r="A4785" s="10" t="s">
        <v>7126</v>
      </c>
      <c r="B4785" s="10" t="s">
        <v>66</v>
      </c>
      <c r="C4785" s="10" t="s">
        <v>52</v>
      </c>
      <c r="D4785" s="10" t="s">
        <v>986</v>
      </c>
      <c r="E4785" s="10" t="s">
        <v>2345</v>
      </c>
      <c r="F4785" s="30" t="n">
        <v>43003</v>
      </c>
      <c r="G4785" s="30" t="n">
        <v>43012</v>
      </c>
      <c r="H4785" s="26" t="n">
        <f aca="false">G4785-F4785</f>
        <v>9</v>
      </c>
      <c r="I4785" s="10" t="n">
        <f aca="false">IF(E4785="Won",1,0)</f>
        <v>0</v>
      </c>
    </row>
    <row r="4786" customFormat="false" ht="15" hidden="false" customHeight="false" outlineLevel="0" collapsed="false">
      <c r="A4786" s="10" t="s">
        <v>7127</v>
      </c>
      <c r="B4786" s="10" t="s">
        <v>77</v>
      </c>
      <c r="C4786" s="10" t="s">
        <v>50</v>
      </c>
      <c r="D4786" s="10" t="s">
        <v>1251</v>
      </c>
      <c r="E4786" s="10" t="s">
        <v>2345</v>
      </c>
      <c r="F4786" s="30" t="n">
        <v>43002</v>
      </c>
      <c r="G4786" s="30" t="n">
        <v>43012</v>
      </c>
      <c r="H4786" s="26" t="n">
        <f aca="false">G4786-F4786</f>
        <v>10</v>
      </c>
      <c r="I4786" s="10" t="n">
        <f aca="false">IF(E4786="Won",1,0)</f>
        <v>0</v>
      </c>
    </row>
    <row r="4787" customFormat="false" ht="15" hidden="false" customHeight="false" outlineLevel="0" collapsed="false">
      <c r="A4787" s="10" t="s">
        <v>7128</v>
      </c>
      <c r="B4787" s="10" t="s">
        <v>76</v>
      </c>
      <c r="C4787" s="10" t="s">
        <v>52</v>
      </c>
      <c r="D4787" s="10" t="s">
        <v>1948</v>
      </c>
      <c r="E4787" s="10" t="s">
        <v>2342</v>
      </c>
      <c r="F4787" s="30" t="n">
        <v>43003</v>
      </c>
      <c r="G4787" s="30" t="n">
        <v>43012</v>
      </c>
      <c r="H4787" s="26" t="n">
        <f aca="false">G4787-F4787</f>
        <v>9</v>
      </c>
      <c r="I4787" s="10" t="n">
        <f aca="false">IF(E4787="Won",1,0)</f>
        <v>1</v>
      </c>
    </row>
    <row r="4788" customFormat="false" ht="15" hidden="false" customHeight="false" outlineLevel="0" collapsed="false">
      <c r="A4788" s="10" t="s">
        <v>7129</v>
      </c>
      <c r="B4788" s="10" t="s">
        <v>76</v>
      </c>
      <c r="C4788" s="10" t="s">
        <v>52</v>
      </c>
      <c r="D4788" s="10" t="s">
        <v>660</v>
      </c>
      <c r="E4788" s="10" t="s">
        <v>2345</v>
      </c>
      <c r="F4788" s="30" t="n">
        <v>43010</v>
      </c>
      <c r="G4788" s="30" t="n">
        <v>43012</v>
      </c>
      <c r="H4788" s="26" t="n">
        <f aca="false">G4788-F4788</f>
        <v>2</v>
      </c>
      <c r="I4788" s="10" t="n">
        <f aca="false">IF(E4788="Won",1,0)</f>
        <v>0</v>
      </c>
    </row>
    <row r="4789" customFormat="false" ht="15" hidden="false" customHeight="false" outlineLevel="0" collapsed="false">
      <c r="A4789" s="10" t="s">
        <v>7130</v>
      </c>
      <c r="B4789" s="10" t="s">
        <v>67</v>
      </c>
      <c r="C4789" s="10" t="s">
        <v>49</v>
      </c>
      <c r="D4789" s="10" t="s">
        <v>424</v>
      </c>
      <c r="E4789" s="10" t="s">
        <v>2342</v>
      </c>
      <c r="F4789" s="30" t="n">
        <v>43005</v>
      </c>
      <c r="G4789" s="30" t="n">
        <v>43012</v>
      </c>
      <c r="H4789" s="26" t="n">
        <f aca="false">G4789-F4789</f>
        <v>7</v>
      </c>
      <c r="I4789" s="10" t="n">
        <f aca="false">IF(E4789="Won",1,0)</f>
        <v>1</v>
      </c>
    </row>
    <row r="4790" customFormat="false" ht="15" hidden="false" customHeight="false" outlineLevel="0" collapsed="false">
      <c r="A4790" s="10" t="s">
        <v>7131</v>
      </c>
      <c r="B4790" s="10" t="s">
        <v>94</v>
      </c>
      <c r="C4790" s="10" t="s">
        <v>48</v>
      </c>
      <c r="D4790" s="10" t="s">
        <v>711</v>
      </c>
      <c r="E4790" s="10" t="s">
        <v>2345</v>
      </c>
      <c r="F4790" s="30" t="n">
        <v>43010</v>
      </c>
      <c r="G4790" s="30" t="n">
        <v>43012</v>
      </c>
      <c r="H4790" s="26" t="n">
        <f aca="false">G4790-F4790</f>
        <v>2</v>
      </c>
      <c r="I4790" s="10" t="n">
        <f aca="false">IF(E4790="Won",1,0)</f>
        <v>0</v>
      </c>
    </row>
    <row r="4791" customFormat="false" ht="15" hidden="false" customHeight="false" outlineLevel="0" collapsed="false">
      <c r="A4791" s="10" t="s">
        <v>7132</v>
      </c>
      <c r="B4791" s="10" t="s">
        <v>77</v>
      </c>
      <c r="C4791" s="10" t="s">
        <v>47</v>
      </c>
      <c r="D4791" s="10" t="s">
        <v>483</v>
      </c>
      <c r="E4791" s="10" t="s">
        <v>2345</v>
      </c>
      <c r="F4791" s="30" t="n">
        <v>43003</v>
      </c>
      <c r="G4791" s="30" t="n">
        <v>43012</v>
      </c>
      <c r="H4791" s="26" t="n">
        <f aca="false">G4791-F4791</f>
        <v>9</v>
      </c>
      <c r="I4791" s="10" t="n">
        <f aca="false">IF(E4791="Won",1,0)</f>
        <v>0</v>
      </c>
    </row>
    <row r="4792" customFormat="false" ht="15" hidden="false" customHeight="false" outlineLevel="0" collapsed="false">
      <c r="A4792" s="10" t="s">
        <v>7133</v>
      </c>
      <c r="B4792" s="10" t="s">
        <v>88</v>
      </c>
      <c r="C4792" s="10" t="s">
        <v>48</v>
      </c>
      <c r="D4792" s="10" t="s">
        <v>455</v>
      </c>
      <c r="E4792" s="10" t="s">
        <v>2342</v>
      </c>
      <c r="F4792" s="30" t="n">
        <v>43000</v>
      </c>
      <c r="G4792" s="30" t="n">
        <v>43012</v>
      </c>
      <c r="H4792" s="26" t="n">
        <f aca="false">G4792-F4792</f>
        <v>12</v>
      </c>
      <c r="I4792" s="10" t="n">
        <f aca="false">IF(E4792="Won",1,0)</f>
        <v>1</v>
      </c>
    </row>
    <row r="4793" customFormat="false" ht="15" hidden="false" customHeight="false" outlineLevel="0" collapsed="false">
      <c r="A4793" s="10" t="s">
        <v>7134</v>
      </c>
      <c r="B4793" s="10" t="s">
        <v>97</v>
      </c>
      <c r="C4793" s="10" t="s">
        <v>49</v>
      </c>
      <c r="D4793" s="10" t="s">
        <v>711</v>
      </c>
      <c r="E4793" s="10" t="s">
        <v>2342</v>
      </c>
      <c r="F4793" s="30" t="n">
        <v>43003</v>
      </c>
      <c r="G4793" s="30" t="n">
        <v>43012</v>
      </c>
      <c r="H4793" s="26" t="n">
        <f aca="false">G4793-F4793</f>
        <v>9</v>
      </c>
      <c r="I4793" s="10" t="n">
        <f aca="false">IF(E4793="Won",1,0)</f>
        <v>1</v>
      </c>
    </row>
    <row r="4794" customFormat="false" ht="15" hidden="false" customHeight="false" outlineLevel="0" collapsed="false">
      <c r="A4794" s="10" t="s">
        <v>7135</v>
      </c>
      <c r="B4794" s="10" t="s">
        <v>79</v>
      </c>
      <c r="C4794" s="10" t="s">
        <v>51</v>
      </c>
      <c r="D4794" s="10" t="s">
        <v>483</v>
      </c>
      <c r="E4794" s="10" t="s">
        <v>2345</v>
      </c>
      <c r="F4794" s="30" t="n">
        <v>43011</v>
      </c>
      <c r="G4794" s="30" t="n">
        <v>43012</v>
      </c>
      <c r="H4794" s="26" t="n">
        <f aca="false">G4794-F4794</f>
        <v>1</v>
      </c>
      <c r="I4794" s="10" t="n">
        <f aca="false">IF(E4794="Won",1,0)</f>
        <v>0</v>
      </c>
    </row>
    <row r="4795" customFormat="false" ht="15" hidden="false" customHeight="false" outlineLevel="0" collapsed="false">
      <c r="A4795" s="10" t="s">
        <v>7136</v>
      </c>
      <c r="B4795" s="10" t="s">
        <v>81</v>
      </c>
      <c r="C4795" s="10" t="s">
        <v>50</v>
      </c>
      <c r="D4795" s="10" t="s">
        <v>524</v>
      </c>
      <c r="E4795" s="10" t="s">
        <v>2345</v>
      </c>
      <c r="F4795" s="30" t="n">
        <v>43010</v>
      </c>
      <c r="G4795" s="30" t="n">
        <v>43012</v>
      </c>
      <c r="H4795" s="26" t="n">
        <f aca="false">G4795-F4795</f>
        <v>2</v>
      </c>
      <c r="I4795" s="10" t="n">
        <f aca="false">IF(E4795="Won",1,0)</f>
        <v>0</v>
      </c>
    </row>
    <row r="4796" customFormat="false" ht="15" hidden="false" customHeight="false" outlineLevel="0" collapsed="false">
      <c r="A4796" s="10" t="s">
        <v>7137</v>
      </c>
      <c r="B4796" s="10" t="s">
        <v>73</v>
      </c>
      <c r="C4796" s="10" t="s">
        <v>49</v>
      </c>
      <c r="D4796" s="10" t="s">
        <v>762</v>
      </c>
      <c r="E4796" s="10" t="s">
        <v>2345</v>
      </c>
      <c r="F4796" s="30" t="n">
        <v>43002</v>
      </c>
      <c r="G4796" s="30" t="n">
        <v>43012</v>
      </c>
      <c r="H4796" s="26" t="n">
        <f aca="false">G4796-F4796</f>
        <v>10</v>
      </c>
      <c r="I4796" s="10" t="n">
        <f aca="false">IF(E4796="Won",1,0)</f>
        <v>0</v>
      </c>
    </row>
    <row r="4797" customFormat="false" ht="15" hidden="false" customHeight="false" outlineLevel="0" collapsed="false">
      <c r="A4797" s="10" t="s">
        <v>7138</v>
      </c>
      <c r="B4797" s="10" t="s">
        <v>77</v>
      </c>
      <c r="C4797" s="10" t="s">
        <v>47</v>
      </c>
      <c r="D4797" s="10" t="s">
        <v>961</v>
      </c>
      <c r="E4797" s="10" t="s">
        <v>2342</v>
      </c>
      <c r="F4797" s="30" t="n">
        <v>43010</v>
      </c>
      <c r="G4797" s="30" t="n">
        <v>43012</v>
      </c>
      <c r="H4797" s="26" t="n">
        <f aca="false">G4797-F4797</f>
        <v>2</v>
      </c>
      <c r="I4797" s="10" t="n">
        <f aca="false">IF(E4797="Won",1,0)</f>
        <v>1</v>
      </c>
    </row>
    <row r="4798" customFormat="false" ht="15" hidden="false" customHeight="false" outlineLevel="0" collapsed="false">
      <c r="A4798" s="10" t="s">
        <v>7139</v>
      </c>
      <c r="B4798" s="10" t="s">
        <v>88</v>
      </c>
      <c r="C4798" s="10" t="s">
        <v>51</v>
      </c>
      <c r="D4798" s="10" t="s">
        <v>378</v>
      </c>
      <c r="E4798" s="10" t="s">
        <v>2345</v>
      </c>
      <c r="F4798" s="30" t="n">
        <v>43000</v>
      </c>
      <c r="G4798" s="30" t="n">
        <v>43012</v>
      </c>
      <c r="H4798" s="26" t="n">
        <f aca="false">G4798-F4798</f>
        <v>12</v>
      </c>
      <c r="I4798" s="10" t="n">
        <f aca="false">IF(E4798="Won",1,0)</f>
        <v>0</v>
      </c>
    </row>
    <row r="4799" customFormat="false" ht="15" hidden="false" customHeight="false" outlineLevel="0" collapsed="false">
      <c r="A4799" s="10" t="s">
        <v>7140</v>
      </c>
      <c r="B4799" s="10" t="s">
        <v>71</v>
      </c>
      <c r="C4799" s="10" t="s">
        <v>51</v>
      </c>
      <c r="D4799" s="10" t="s">
        <v>291</v>
      </c>
      <c r="E4799" s="10" t="s">
        <v>2345</v>
      </c>
      <c r="F4799" s="30" t="n">
        <v>43003</v>
      </c>
      <c r="G4799" s="30" t="n">
        <v>43012</v>
      </c>
      <c r="H4799" s="26" t="n">
        <f aca="false">G4799-F4799</f>
        <v>9</v>
      </c>
      <c r="I4799" s="10" t="n">
        <f aca="false">IF(E4799="Won",1,0)</f>
        <v>0</v>
      </c>
    </row>
    <row r="4800" customFormat="false" ht="15" hidden="false" customHeight="false" outlineLevel="0" collapsed="false">
      <c r="A4800" s="10" t="s">
        <v>7141</v>
      </c>
      <c r="B4800" s="10" t="s">
        <v>81</v>
      </c>
      <c r="C4800" s="10" t="s">
        <v>49</v>
      </c>
      <c r="D4800" s="10" t="s">
        <v>267</v>
      </c>
      <c r="E4800" s="10" t="s">
        <v>2345</v>
      </c>
      <c r="F4800" s="30" t="n">
        <v>43004</v>
      </c>
      <c r="G4800" s="30" t="n">
        <v>43012</v>
      </c>
      <c r="H4800" s="26" t="n">
        <f aca="false">G4800-F4800</f>
        <v>8</v>
      </c>
      <c r="I4800" s="10" t="n">
        <f aca="false">IF(E4800="Won",1,0)</f>
        <v>0</v>
      </c>
    </row>
    <row r="4801" customFormat="false" ht="15" hidden="false" customHeight="false" outlineLevel="0" collapsed="false">
      <c r="A4801" s="10" t="s">
        <v>7142</v>
      </c>
      <c r="B4801" s="10" t="s">
        <v>61</v>
      </c>
      <c r="C4801" s="10" t="s">
        <v>48</v>
      </c>
      <c r="D4801" s="10" t="s">
        <v>1334</v>
      </c>
      <c r="E4801" s="10" t="s">
        <v>2345</v>
      </c>
      <c r="F4801" s="30" t="n">
        <v>43001</v>
      </c>
      <c r="G4801" s="30" t="n">
        <v>43013</v>
      </c>
      <c r="H4801" s="26" t="n">
        <f aca="false">G4801-F4801</f>
        <v>12</v>
      </c>
      <c r="I4801" s="10" t="n">
        <f aca="false">IF(E4801="Won",1,0)</f>
        <v>0</v>
      </c>
    </row>
    <row r="4802" customFormat="false" ht="15" hidden="false" customHeight="false" outlineLevel="0" collapsed="false">
      <c r="A4802" s="10" t="s">
        <v>7143</v>
      </c>
      <c r="B4802" s="10" t="s">
        <v>87</v>
      </c>
      <c r="C4802" s="10" t="s">
        <v>48</v>
      </c>
      <c r="D4802" s="10" t="s">
        <v>616</v>
      </c>
      <c r="E4802" s="10" t="s">
        <v>2342</v>
      </c>
      <c r="F4802" s="30" t="n">
        <v>43007</v>
      </c>
      <c r="G4802" s="30" t="n">
        <v>43013</v>
      </c>
      <c r="H4802" s="26" t="n">
        <f aca="false">G4802-F4802</f>
        <v>6</v>
      </c>
      <c r="I4802" s="10" t="n">
        <f aca="false">IF(E4802="Won",1,0)</f>
        <v>1</v>
      </c>
    </row>
    <row r="4803" customFormat="false" ht="15" hidden="false" customHeight="false" outlineLevel="0" collapsed="false">
      <c r="A4803" s="10" t="s">
        <v>7144</v>
      </c>
      <c r="B4803" s="10" t="s">
        <v>67</v>
      </c>
      <c r="C4803" s="10" t="s">
        <v>49</v>
      </c>
      <c r="D4803" s="10" t="s">
        <v>348</v>
      </c>
      <c r="E4803" s="10" t="s">
        <v>2342</v>
      </c>
      <c r="F4803" s="30" t="n">
        <v>43009</v>
      </c>
      <c r="G4803" s="30" t="n">
        <v>43013</v>
      </c>
      <c r="H4803" s="26" t="n">
        <f aca="false">G4803-F4803</f>
        <v>4</v>
      </c>
      <c r="I4803" s="10" t="n">
        <f aca="false">IF(E4803="Won",1,0)</f>
        <v>1</v>
      </c>
    </row>
    <row r="4804" customFormat="false" ht="15" hidden="false" customHeight="false" outlineLevel="0" collapsed="false">
      <c r="A4804" s="10" t="s">
        <v>7145</v>
      </c>
      <c r="B4804" s="10" t="s">
        <v>57</v>
      </c>
      <c r="C4804" s="10" t="s">
        <v>51</v>
      </c>
      <c r="D4804" s="10" t="s">
        <v>637</v>
      </c>
      <c r="E4804" s="10" t="s">
        <v>2342</v>
      </c>
      <c r="F4804" s="30" t="n">
        <v>43005</v>
      </c>
      <c r="G4804" s="30" t="n">
        <v>43013</v>
      </c>
      <c r="H4804" s="26" t="n">
        <f aca="false">G4804-F4804</f>
        <v>8</v>
      </c>
      <c r="I4804" s="10" t="n">
        <f aca="false">IF(E4804="Won",1,0)</f>
        <v>1</v>
      </c>
    </row>
    <row r="4805" customFormat="false" ht="15" hidden="false" customHeight="false" outlineLevel="0" collapsed="false">
      <c r="A4805" s="10" t="s">
        <v>7146</v>
      </c>
      <c r="B4805" s="10" t="s">
        <v>79</v>
      </c>
      <c r="C4805" s="10" t="s">
        <v>47</v>
      </c>
      <c r="D4805" s="10" t="s">
        <v>660</v>
      </c>
      <c r="E4805" s="10" t="s">
        <v>2345</v>
      </c>
      <c r="F4805" s="30" t="n">
        <v>43011</v>
      </c>
      <c r="G4805" s="30" t="n">
        <v>43013</v>
      </c>
      <c r="H4805" s="26" t="n">
        <f aca="false">G4805-F4805</f>
        <v>2</v>
      </c>
      <c r="I4805" s="10" t="n">
        <f aca="false">IF(E4805="Won",1,0)</f>
        <v>0</v>
      </c>
    </row>
    <row r="4806" customFormat="false" ht="15" hidden="false" customHeight="false" outlineLevel="0" collapsed="false">
      <c r="A4806" s="10" t="s">
        <v>7147</v>
      </c>
      <c r="B4806" s="10" t="s">
        <v>77</v>
      </c>
      <c r="C4806" s="10" t="s">
        <v>50</v>
      </c>
      <c r="D4806" s="10" t="s">
        <v>597</v>
      </c>
      <c r="E4806" s="10" t="s">
        <v>2345</v>
      </c>
      <c r="F4806" s="30" t="n">
        <v>43007</v>
      </c>
      <c r="G4806" s="30" t="n">
        <v>43013</v>
      </c>
      <c r="H4806" s="26" t="n">
        <f aca="false">G4806-F4806</f>
        <v>6</v>
      </c>
      <c r="I4806" s="10" t="n">
        <f aca="false">IF(E4806="Won",1,0)</f>
        <v>0</v>
      </c>
    </row>
    <row r="4807" customFormat="false" ht="15" hidden="false" customHeight="false" outlineLevel="0" collapsed="false">
      <c r="A4807" s="10" t="s">
        <v>7148</v>
      </c>
      <c r="B4807" s="10" t="s">
        <v>57</v>
      </c>
      <c r="C4807" s="10" t="s">
        <v>50</v>
      </c>
      <c r="D4807" s="10" t="s">
        <v>378</v>
      </c>
      <c r="E4807" s="10" t="s">
        <v>2342</v>
      </c>
      <c r="F4807" s="30" t="n">
        <v>43005</v>
      </c>
      <c r="G4807" s="30" t="n">
        <v>43013</v>
      </c>
      <c r="H4807" s="26" t="n">
        <f aca="false">G4807-F4807</f>
        <v>8</v>
      </c>
      <c r="I4807" s="10" t="n">
        <f aca="false">IF(E4807="Won",1,0)</f>
        <v>1</v>
      </c>
    </row>
    <row r="4808" customFormat="false" ht="15" hidden="false" customHeight="false" outlineLevel="0" collapsed="false">
      <c r="A4808" s="10" t="s">
        <v>7149</v>
      </c>
      <c r="B4808" s="10" t="s">
        <v>84</v>
      </c>
      <c r="C4808" s="10" t="s">
        <v>50</v>
      </c>
      <c r="D4808" s="10" t="s">
        <v>455</v>
      </c>
      <c r="E4808" s="10" t="s">
        <v>2345</v>
      </c>
      <c r="F4808" s="30" t="n">
        <v>43001</v>
      </c>
      <c r="G4808" s="30" t="n">
        <v>43013</v>
      </c>
      <c r="H4808" s="26" t="n">
        <f aca="false">G4808-F4808</f>
        <v>12</v>
      </c>
      <c r="I4808" s="10" t="n">
        <f aca="false">IF(E4808="Won",1,0)</f>
        <v>0</v>
      </c>
    </row>
    <row r="4809" customFormat="false" ht="15" hidden="false" customHeight="false" outlineLevel="0" collapsed="false">
      <c r="A4809" s="10" t="s">
        <v>7150</v>
      </c>
      <c r="B4809" s="10" t="s">
        <v>68</v>
      </c>
      <c r="C4809" s="10" t="s">
        <v>49</v>
      </c>
      <c r="D4809" s="10" t="s">
        <v>233</v>
      </c>
      <c r="E4809" s="10" t="s">
        <v>2345</v>
      </c>
      <c r="F4809" s="30" t="n">
        <v>43002</v>
      </c>
      <c r="G4809" s="30" t="n">
        <v>43013</v>
      </c>
      <c r="H4809" s="26" t="n">
        <f aca="false">G4809-F4809</f>
        <v>11</v>
      </c>
      <c r="I4809" s="10" t="n">
        <f aca="false">IF(E4809="Won",1,0)</f>
        <v>0</v>
      </c>
    </row>
    <row r="4810" customFormat="false" ht="15" hidden="false" customHeight="false" outlineLevel="0" collapsed="false">
      <c r="A4810" s="10" t="s">
        <v>7151</v>
      </c>
      <c r="B4810" s="10" t="s">
        <v>81</v>
      </c>
      <c r="C4810" s="10" t="s">
        <v>47</v>
      </c>
      <c r="D4810" s="10" t="s">
        <v>193</v>
      </c>
      <c r="E4810" s="10" t="s">
        <v>2342</v>
      </c>
      <c r="F4810" s="30" t="n">
        <v>43005</v>
      </c>
      <c r="G4810" s="30" t="n">
        <v>43013</v>
      </c>
      <c r="H4810" s="26" t="n">
        <f aca="false">G4810-F4810</f>
        <v>8</v>
      </c>
      <c r="I4810" s="10" t="n">
        <f aca="false">IF(E4810="Won",1,0)</f>
        <v>1</v>
      </c>
    </row>
    <row r="4811" customFormat="false" ht="15" hidden="false" customHeight="false" outlineLevel="0" collapsed="false">
      <c r="A4811" s="10" t="s">
        <v>7152</v>
      </c>
      <c r="B4811" s="10" t="s">
        <v>95</v>
      </c>
      <c r="C4811" s="10" t="s">
        <v>48</v>
      </c>
      <c r="D4811" s="10" t="s">
        <v>337</v>
      </c>
      <c r="E4811" s="10" t="s">
        <v>2342</v>
      </c>
      <c r="F4811" s="30" t="n">
        <v>43004</v>
      </c>
      <c r="G4811" s="30" t="n">
        <v>43013</v>
      </c>
      <c r="H4811" s="26" t="n">
        <f aca="false">G4811-F4811</f>
        <v>9</v>
      </c>
      <c r="I4811" s="10" t="n">
        <f aca="false">IF(E4811="Won",1,0)</f>
        <v>1</v>
      </c>
    </row>
    <row r="4812" customFormat="false" ht="15" hidden="false" customHeight="false" outlineLevel="0" collapsed="false">
      <c r="A4812" s="10" t="s">
        <v>7153</v>
      </c>
      <c r="B4812" s="10" t="s">
        <v>96</v>
      </c>
      <c r="C4812" s="10" t="s">
        <v>52</v>
      </c>
      <c r="D4812" s="10" t="s">
        <v>483</v>
      </c>
      <c r="E4812" s="10" t="s">
        <v>2345</v>
      </c>
      <c r="F4812" s="30" t="n">
        <v>43004</v>
      </c>
      <c r="G4812" s="30" t="n">
        <v>43013</v>
      </c>
      <c r="H4812" s="26" t="n">
        <f aca="false">G4812-F4812</f>
        <v>9</v>
      </c>
      <c r="I4812" s="10" t="n">
        <f aca="false">IF(E4812="Won",1,0)</f>
        <v>0</v>
      </c>
    </row>
    <row r="4813" customFormat="false" ht="15" hidden="false" customHeight="false" outlineLevel="0" collapsed="false">
      <c r="A4813" s="10" t="s">
        <v>7154</v>
      </c>
      <c r="B4813" s="10" t="s">
        <v>88</v>
      </c>
      <c r="C4813" s="10" t="s">
        <v>49</v>
      </c>
      <c r="D4813" s="10" t="s">
        <v>218</v>
      </c>
      <c r="E4813" s="10" t="s">
        <v>2342</v>
      </c>
      <c r="F4813" s="30" t="n">
        <v>43011</v>
      </c>
      <c r="G4813" s="30" t="n">
        <v>43013</v>
      </c>
      <c r="H4813" s="26" t="n">
        <f aca="false">G4813-F4813</f>
        <v>2</v>
      </c>
      <c r="I4813" s="10" t="n">
        <f aca="false">IF(E4813="Won",1,0)</f>
        <v>1</v>
      </c>
    </row>
    <row r="4814" customFormat="false" ht="15" hidden="false" customHeight="false" outlineLevel="0" collapsed="false">
      <c r="A4814" s="10" t="s">
        <v>7155</v>
      </c>
      <c r="B4814" s="10" t="s">
        <v>76</v>
      </c>
      <c r="C4814" s="10" t="s">
        <v>52</v>
      </c>
      <c r="D4814" s="10" t="s">
        <v>961</v>
      </c>
      <c r="E4814" s="10" t="s">
        <v>2342</v>
      </c>
      <c r="F4814" s="30" t="n">
        <v>43006</v>
      </c>
      <c r="G4814" s="30" t="n">
        <v>43013</v>
      </c>
      <c r="H4814" s="26" t="n">
        <f aca="false">G4814-F4814</f>
        <v>7</v>
      </c>
      <c r="I4814" s="10" t="n">
        <f aca="false">IF(E4814="Won",1,0)</f>
        <v>1</v>
      </c>
    </row>
    <row r="4815" customFormat="false" ht="15" hidden="false" customHeight="false" outlineLevel="0" collapsed="false">
      <c r="A4815" s="10" t="s">
        <v>7156</v>
      </c>
      <c r="B4815" s="10" t="s">
        <v>79</v>
      </c>
      <c r="C4815" s="10" t="s">
        <v>49</v>
      </c>
      <c r="D4815" s="10" t="s">
        <v>311</v>
      </c>
      <c r="E4815" s="10" t="s">
        <v>2342</v>
      </c>
      <c r="F4815" s="30" t="n">
        <v>43005</v>
      </c>
      <c r="G4815" s="30" t="n">
        <v>43013</v>
      </c>
      <c r="H4815" s="26" t="n">
        <f aca="false">G4815-F4815</f>
        <v>8</v>
      </c>
      <c r="I4815" s="10" t="n">
        <f aca="false">IF(E4815="Won",1,0)</f>
        <v>1</v>
      </c>
    </row>
    <row r="4816" customFormat="false" ht="15" hidden="false" customHeight="false" outlineLevel="0" collapsed="false">
      <c r="A4816" s="10" t="s">
        <v>7157</v>
      </c>
      <c r="B4816" s="10" t="s">
        <v>60</v>
      </c>
      <c r="C4816" s="10" t="s">
        <v>49</v>
      </c>
      <c r="D4816" s="10" t="s">
        <v>233</v>
      </c>
      <c r="E4816" s="10" t="s">
        <v>2345</v>
      </c>
      <c r="F4816" s="30" t="n">
        <v>43005</v>
      </c>
      <c r="G4816" s="30" t="n">
        <v>43013</v>
      </c>
      <c r="H4816" s="26" t="n">
        <f aca="false">G4816-F4816</f>
        <v>8</v>
      </c>
      <c r="I4816" s="10" t="n">
        <f aca="false">IF(E4816="Won",1,0)</f>
        <v>0</v>
      </c>
    </row>
    <row r="4817" customFormat="false" ht="15" hidden="false" customHeight="false" outlineLevel="0" collapsed="false">
      <c r="A4817" s="10" t="s">
        <v>7158</v>
      </c>
      <c r="B4817" s="10" t="s">
        <v>77</v>
      </c>
      <c r="C4817" s="10" t="s">
        <v>48</v>
      </c>
      <c r="D4817" s="10" t="s">
        <v>697</v>
      </c>
      <c r="E4817" s="10" t="s">
        <v>2345</v>
      </c>
      <c r="F4817" s="30" t="n">
        <v>43008</v>
      </c>
      <c r="G4817" s="30" t="n">
        <v>43013</v>
      </c>
      <c r="H4817" s="26" t="n">
        <f aca="false">G4817-F4817</f>
        <v>5</v>
      </c>
      <c r="I4817" s="10" t="n">
        <f aca="false">IF(E4817="Won",1,0)</f>
        <v>0</v>
      </c>
    </row>
    <row r="4818" customFormat="false" ht="15" hidden="false" customHeight="false" outlineLevel="0" collapsed="false">
      <c r="A4818" s="10" t="s">
        <v>7159</v>
      </c>
      <c r="B4818" s="10" t="s">
        <v>70</v>
      </c>
      <c r="C4818" s="10" t="s">
        <v>52</v>
      </c>
      <c r="D4818" s="10" t="s">
        <v>522</v>
      </c>
      <c r="E4818" s="10" t="s">
        <v>2345</v>
      </c>
      <c r="F4818" s="30" t="n">
        <v>43003</v>
      </c>
      <c r="G4818" s="30" t="n">
        <v>43013</v>
      </c>
      <c r="H4818" s="26" t="n">
        <f aca="false">G4818-F4818</f>
        <v>10</v>
      </c>
      <c r="I4818" s="10" t="n">
        <f aca="false">IF(E4818="Won",1,0)</f>
        <v>0</v>
      </c>
    </row>
    <row r="4819" customFormat="false" ht="15" hidden="false" customHeight="false" outlineLevel="0" collapsed="false">
      <c r="A4819" s="10" t="s">
        <v>7160</v>
      </c>
      <c r="B4819" s="10" t="s">
        <v>87</v>
      </c>
      <c r="C4819" s="10" t="s">
        <v>47</v>
      </c>
      <c r="D4819" s="10" t="s">
        <v>286</v>
      </c>
      <c r="E4819" s="10" t="s">
        <v>2342</v>
      </c>
      <c r="F4819" s="30" t="n">
        <v>43002</v>
      </c>
      <c r="G4819" s="30" t="n">
        <v>43013</v>
      </c>
      <c r="H4819" s="26" t="n">
        <f aca="false">G4819-F4819</f>
        <v>11</v>
      </c>
      <c r="I4819" s="10" t="n">
        <f aca="false">IF(E4819="Won",1,0)</f>
        <v>1</v>
      </c>
    </row>
    <row r="4820" customFormat="false" ht="15" hidden="false" customHeight="false" outlineLevel="0" collapsed="false">
      <c r="A4820" s="10" t="s">
        <v>7161</v>
      </c>
      <c r="B4820" s="10" t="s">
        <v>80</v>
      </c>
      <c r="C4820" s="10" t="s">
        <v>50</v>
      </c>
      <c r="D4820" s="10" t="s">
        <v>291</v>
      </c>
      <c r="E4820" s="10" t="s">
        <v>2345</v>
      </c>
      <c r="F4820" s="30" t="n">
        <v>43001</v>
      </c>
      <c r="G4820" s="30" t="n">
        <v>43013</v>
      </c>
      <c r="H4820" s="26" t="n">
        <f aca="false">G4820-F4820</f>
        <v>12</v>
      </c>
      <c r="I4820" s="10" t="n">
        <f aca="false">IF(E4820="Won",1,0)</f>
        <v>0</v>
      </c>
    </row>
    <row r="4821" customFormat="false" ht="15" hidden="false" customHeight="false" outlineLevel="0" collapsed="false">
      <c r="A4821" s="10" t="s">
        <v>7162</v>
      </c>
      <c r="B4821" s="10" t="s">
        <v>97</v>
      </c>
      <c r="C4821" s="10" t="s">
        <v>51</v>
      </c>
      <c r="D4821" s="10" t="s">
        <v>337</v>
      </c>
      <c r="E4821" s="10" t="s">
        <v>2342</v>
      </c>
      <c r="F4821" s="30" t="n">
        <v>43007</v>
      </c>
      <c r="G4821" s="30" t="n">
        <v>43013</v>
      </c>
      <c r="H4821" s="26" t="n">
        <f aca="false">G4821-F4821</f>
        <v>6</v>
      </c>
      <c r="I4821" s="10" t="n">
        <f aca="false">IF(E4821="Won",1,0)</f>
        <v>1</v>
      </c>
    </row>
    <row r="4822" customFormat="false" ht="15" hidden="false" customHeight="false" outlineLevel="0" collapsed="false">
      <c r="A4822" s="10" t="s">
        <v>7163</v>
      </c>
      <c r="B4822" s="10" t="s">
        <v>86</v>
      </c>
      <c r="C4822" s="10" t="s">
        <v>51</v>
      </c>
      <c r="D4822" s="10" t="s">
        <v>637</v>
      </c>
      <c r="E4822" s="10" t="s">
        <v>2345</v>
      </c>
      <c r="F4822" s="30" t="n">
        <v>43004</v>
      </c>
      <c r="G4822" s="30" t="n">
        <v>43013</v>
      </c>
      <c r="H4822" s="26" t="n">
        <f aca="false">G4822-F4822</f>
        <v>9</v>
      </c>
      <c r="I4822" s="10" t="n">
        <f aca="false">IF(E4822="Won",1,0)</f>
        <v>0</v>
      </c>
    </row>
    <row r="4823" customFormat="false" ht="15" hidden="false" customHeight="false" outlineLevel="0" collapsed="false">
      <c r="A4823" s="10" t="s">
        <v>7164</v>
      </c>
      <c r="B4823" s="10" t="s">
        <v>81</v>
      </c>
      <c r="C4823" s="10" t="s">
        <v>49</v>
      </c>
      <c r="D4823" s="10" t="s">
        <v>259</v>
      </c>
      <c r="E4823" s="10" t="s">
        <v>2342</v>
      </c>
      <c r="F4823" s="30" t="n">
        <v>43007</v>
      </c>
      <c r="G4823" s="30" t="n">
        <v>43013</v>
      </c>
      <c r="H4823" s="26" t="n">
        <f aca="false">G4823-F4823</f>
        <v>6</v>
      </c>
      <c r="I4823" s="10" t="n">
        <f aca="false">IF(E4823="Won",1,0)</f>
        <v>1</v>
      </c>
    </row>
    <row r="4824" customFormat="false" ht="15" hidden="false" customHeight="false" outlineLevel="0" collapsed="false">
      <c r="A4824" s="10" t="s">
        <v>7165</v>
      </c>
      <c r="B4824" s="10" t="s">
        <v>68</v>
      </c>
      <c r="C4824" s="10" t="s">
        <v>48</v>
      </c>
      <c r="D4824" s="10" t="s">
        <v>711</v>
      </c>
      <c r="E4824" s="10" t="s">
        <v>2345</v>
      </c>
      <c r="F4824" s="30" t="n">
        <v>43009</v>
      </c>
      <c r="G4824" s="30" t="n">
        <v>43013</v>
      </c>
      <c r="H4824" s="26" t="n">
        <f aca="false">G4824-F4824</f>
        <v>4</v>
      </c>
      <c r="I4824" s="10" t="n">
        <f aca="false">IF(E4824="Won",1,0)</f>
        <v>0</v>
      </c>
    </row>
    <row r="4825" customFormat="false" ht="15" hidden="false" customHeight="false" outlineLevel="0" collapsed="false">
      <c r="A4825" s="10" t="s">
        <v>7166</v>
      </c>
      <c r="B4825" s="10" t="s">
        <v>97</v>
      </c>
      <c r="C4825" s="10" t="s">
        <v>51</v>
      </c>
      <c r="D4825" s="10" t="s">
        <v>348</v>
      </c>
      <c r="E4825" s="10" t="s">
        <v>2342</v>
      </c>
      <c r="F4825" s="30" t="n">
        <v>43006</v>
      </c>
      <c r="G4825" s="30" t="n">
        <v>43013</v>
      </c>
      <c r="H4825" s="26" t="n">
        <f aca="false">G4825-F4825</f>
        <v>7</v>
      </c>
      <c r="I4825" s="10" t="n">
        <f aca="false">IF(E4825="Won",1,0)</f>
        <v>1</v>
      </c>
    </row>
    <row r="4826" customFormat="false" ht="15" hidden="false" customHeight="false" outlineLevel="0" collapsed="false">
      <c r="A4826" s="10" t="s">
        <v>7167</v>
      </c>
      <c r="B4826" s="10" t="s">
        <v>90</v>
      </c>
      <c r="C4826" s="10" t="s">
        <v>48</v>
      </c>
      <c r="D4826" s="10" t="s">
        <v>616</v>
      </c>
      <c r="E4826" s="10" t="s">
        <v>2345</v>
      </c>
      <c r="F4826" s="30" t="n">
        <v>43007</v>
      </c>
      <c r="G4826" s="30" t="n">
        <v>43014</v>
      </c>
      <c r="H4826" s="26" t="n">
        <f aca="false">G4826-F4826</f>
        <v>7</v>
      </c>
      <c r="I4826" s="10" t="n">
        <f aca="false">IF(E4826="Won",1,0)</f>
        <v>0</v>
      </c>
    </row>
    <row r="4827" customFormat="false" ht="15" hidden="false" customHeight="false" outlineLevel="0" collapsed="false">
      <c r="A4827" s="10" t="s">
        <v>7168</v>
      </c>
      <c r="B4827" s="10" t="s">
        <v>74</v>
      </c>
      <c r="C4827" s="10" t="s">
        <v>49</v>
      </c>
      <c r="D4827" s="10" t="s">
        <v>422</v>
      </c>
      <c r="E4827" s="10" t="s">
        <v>2342</v>
      </c>
      <c r="F4827" s="30" t="n">
        <v>43005</v>
      </c>
      <c r="G4827" s="30" t="n">
        <v>43014</v>
      </c>
      <c r="H4827" s="26" t="n">
        <f aca="false">G4827-F4827</f>
        <v>9</v>
      </c>
      <c r="I4827" s="10" t="n">
        <f aca="false">IF(E4827="Won",1,0)</f>
        <v>1</v>
      </c>
    </row>
    <row r="4828" customFormat="false" ht="15" hidden="false" customHeight="false" outlineLevel="0" collapsed="false">
      <c r="A4828" s="10" t="s">
        <v>7169</v>
      </c>
      <c r="B4828" s="10" t="s">
        <v>88</v>
      </c>
      <c r="C4828" s="10" t="s">
        <v>48</v>
      </c>
      <c r="D4828" s="10" t="s">
        <v>464</v>
      </c>
      <c r="E4828" s="10" t="s">
        <v>2345</v>
      </c>
      <c r="F4828" s="30" t="n">
        <v>43005</v>
      </c>
      <c r="G4828" s="30" t="n">
        <v>43014</v>
      </c>
      <c r="H4828" s="26" t="n">
        <f aca="false">G4828-F4828</f>
        <v>9</v>
      </c>
      <c r="I4828" s="10" t="n">
        <f aca="false">IF(E4828="Won",1,0)</f>
        <v>0</v>
      </c>
    </row>
    <row r="4829" customFormat="false" ht="15" hidden="false" customHeight="false" outlineLevel="0" collapsed="false">
      <c r="A4829" s="10" t="s">
        <v>7170</v>
      </c>
      <c r="B4829" s="10" t="s">
        <v>71</v>
      </c>
      <c r="C4829" s="10" t="s">
        <v>52</v>
      </c>
      <c r="D4829" s="10" t="s">
        <v>410</v>
      </c>
      <c r="E4829" s="10" t="s">
        <v>2345</v>
      </c>
      <c r="F4829" s="30" t="n">
        <v>43004</v>
      </c>
      <c r="G4829" s="30" t="n">
        <v>43014</v>
      </c>
      <c r="H4829" s="26" t="n">
        <f aca="false">G4829-F4829</f>
        <v>10</v>
      </c>
      <c r="I4829" s="10" t="n">
        <f aca="false">IF(E4829="Won",1,0)</f>
        <v>0</v>
      </c>
    </row>
    <row r="4830" customFormat="false" ht="15" hidden="false" customHeight="false" outlineLevel="0" collapsed="false">
      <c r="A4830" s="10" t="s">
        <v>7171</v>
      </c>
      <c r="B4830" s="10" t="s">
        <v>73</v>
      </c>
      <c r="C4830" s="10" t="s">
        <v>47</v>
      </c>
      <c r="D4830" s="10" t="s">
        <v>259</v>
      </c>
      <c r="E4830" s="10" t="s">
        <v>2345</v>
      </c>
      <c r="F4830" s="30" t="n">
        <v>43004</v>
      </c>
      <c r="G4830" s="30" t="n">
        <v>43014</v>
      </c>
      <c r="H4830" s="26" t="n">
        <f aca="false">G4830-F4830</f>
        <v>10</v>
      </c>
      <c r="I4830" s="10" t="n">
        <f aca="false">IF(E4830="Won",1,0)</f>
        <v>0</v>
      </c>
    </row>
    <row r="4831" customFormat="false" ht="15" hidden="false" customHeight="false" outlineLevel="0" collapsed="false">
      <c r="A4831" s="10" t="s">
        <v>7172</v>
      </c>
      <c r="B4831" s="10" t="s">
        <v>74</v>
      </c>
      <c r="C4831" s="10" t="s">
        <v>49</v>
      </c>
      <c r="D4831" s="10" t="s">
        <v>321</v>
      </c>
      <c r="E4831" s="10" t="s">
        <v>2342</v>
      </c>
      <c r="F4831" s="30" t="n">
        <v>43006</v>
      </c>
      <c r="G4831" s="30" t="n">
        <v>43014</v>
      </c>
      <c r="H4831" s="26" t="n">
        <f aca="false">G4831-F4831</f>
        <v>8</v>
      </c>
      <c r="I4831" s="10" t="n">
        <f aca="false">IF(E4831="Won",1,0)</f>
        <v>1</v>
      </c>
    </row>
    <row r="4832" customFormat="false" ht="15" hidden="false" customHeight="false" outlineLevel="0" collapsed="false">
      <c r="A4832" s="10" t="s">
        <v>7173</v>
      </c>
      <c r="B4832" s="10" t="s">
        <v>84</v>
      </c>
      <c r="C4832" s="10" t="s">
        <v>49</v>
      </c>
      <c r="D4832" s="10" t="s">
        <v>277</v>
      </c>
      <c r="E4832" s="10" t="s">
        <v>2345</v>
      </c>
      <c r="F4832" s="30" t="n">
        <v>43009</v>
      </c>
      <c r="G4832" s="30" t="n">
        <v>43014</v>
      </c>
      <c r="H4832" s="26" t="n">
        <f aca="false">G4832-F4832</f>
        <v>5</v>
      </c>
      <c r="I4832" s="10" t="n">
        <f aca="false">IF(E4832="Won",1,0)</f>
        <v>0</v>
      </c>
    </row>
    <row r="4833" customFormat="false" ht="15" hidden="false" customHeight="false" outlineLevel="0" collapsed="false">
      <c r="A4833" s="10" t="s">
        <v>7174</v>
      </c>
      <c r="B4833" s="10" t="s">
        <v>69</v>
      </c>
      <c r="C4833" s="10" t="s">
        <v>52</v>
      </c>
      <c r="D4833" s="10" t="s">
        <v>326</v>
      </c>
      <c r="E4833" s="10" t="s">
        <v>2345</v>
      </c>
      <c r="F4833" s="30" t="n">
        <v>43011</v>
      </c>
      <c r="G4833" s="30" t="n">
        <v>43014</v>
      </c>
      <c r="H4833" s="26" t="n">
        <f aca="false">G4833-F4833</f>
        <v>3</v>
      </c>
      <c r="I4833" s="10" t="n">
        <f aca="false">IF(E4833="Won",1,0)</f>
        <v>0</v>
      </c>
    </row>
    <row r="4834" customFormat="false" ht="15" hidden="false" customHeight="false" outlineLevel="0" collapsed="false">
      <c r="A4834" s="10" t="s">
        <v>7175</v>
      </c>
      <c r="B4834" s="10" t="s">
        <v>68</v>
      </c>
      <c r="C4834" s="10" t="s">
        <v>47</v>
      </c>
      <c r="D4834" s="10" t="s">
        <v>606</v>
      </c>
      <c r="E4834" s="10" t="s">
        <v>2345</v>
      </c>
      <c r="F4834" s="30" t="n">
        <v>43007</v>
      </c>
      <c r="G4834" s="30" t="n">
        <v>43014</v>
      </c>
      <c r="H4834" s="26" t="n">
        <f aca="false">G4834-F4834</f>
        <v>7</v>
      </c>
      <c r="I4834" s="10" t="n">
        <f aca="false">IF(E4834="Won",1,0)</f>
        <v>0</v>
      </c>
    </row>
    <row r="4835" customFormat="false" ht="15" hidden="false" customHeight="false" outlineLevel="0" collapsed="false">
      <c r="A4835" s="10" t="s">
        <v>7176</v>
      </c>
      <c r="B4835" s="10" t="s">
        <v>80</v>
      </c>
      <c r="C4835" s="10" t="s">
        <v>52</v>
      </c>
      <c r="D4835" s="10" t="s">
        <v>291</v>
      </c>
      <c r="E4835" s="10" t="s">
        <v>2342</v>
      </c>
      <c r="F4835" s="30" t="n">
        <v>43012</v>
      </c>
      <c r="G4835" s="30" t="n">
        <v>43014</v>
      </c>
      <c r="H4835" s="26" t="n">
        <f aca="false">G4835-F4835</f>
        <v>2</v>
      </c>
      <c r="I4835" s="10" t="n">
        <f aca="false">IF(E4835="Won",1,0)</f>
        <v>1</v>
      </c>
    </row>
    <row r="4836" customFormat="false" ht="15" hidden="false" customHeight="false" outlineLevel="0" collapsed="false">
      <c r="A4836" s="10" t="s">
        <v>7177</v>
      </c>
      <c r="B4836" s="10" t="s">
        <v>77</v>
      </c>
      <c r="C4836" s="10" t="s">
        <v>50</v>
      </c>
      <c r="D4836" s="10" t="s">
        <v>697</v>
      </c>
      <c r="E4836" s="10" t="s">
        <v>2345</v>
      </c>
      <c r="F4836" s="30" t="n">
        <v>43008</v>
      </c>
      <c r="G4836" s="30" t="n">
        <v>43014</v>
      </c>
      <c r="H4836" s="26" t="n">
        <f aca="false">G4836-F4836</f>
        <v>6</v>
      </c>
      <c r="I4836" s="10" t="n">
        <f aca="false">IF(E4836="Won",1,0)</f>
        <v>0</v>
      </c>
    </row>
    <row r="4837" customFormat="false" ht="15" hidden="false" customHeight="false" outlineLevel="0" collapsed="false">
      <c r="A4837" s="10" t="s">
        <v>7178</v>
      </c>
      <c r="B4837" s="10" t="s">
        <v>70</v>
      </c>
      <c r="C4837" s="10" t="s">
        <v>51</v>
      </c>
      <c r="D4837" s="10" t="s">
        <v>170</v>
      </c>
      <c r="E4837" s="10" t="s">
        <v>2345</v>
      </c>
      <c r="F4837" s="30" t="n">
        <v>43007</v>
      </c>
      <c r="G4837" s="30" t="n">
        <v>43014</v>
      </c>
      <c r="H4837" s="26" t="n">
        <f aca="false">G4837-F4837</f>
        <v>7</v>
      </c>
      <c r="I4837" s="10" t="n">
        <f aca="false">IF(E4837="Won",1,0)</f>
        <v>0</v>
      </c>
    </row>
    <row r="4838" customFormat="false" ht="15" hidden="false" customHeight="false" outlineLevel="0" collapsed="false">
      <c r="A4838" s="10" t="s">
        <v>7179</v>
      </c>
      <c r="B4838" s="10" t="s">
        <v>80</v>
      </c>
      <c r="C4838" s="10" t="s">
        <v>51</v>
      </c>
      <c r="D4838" s="10" t="s">
        <v>414</v>
      </c>
      <c r="E4838" s="10" t="s">
        <v>2345</v>
      </c>
      <c r="F4838" s="30" t="n">
        <v>43010</v>
      </c>
      <c r="G4838" s="30" t="n">
        <v>43015</v>
      </c>
      <c r="H4838" s="26" t="n">
        <f aca="false">G4838-F4838</f>
        <v>5</v>
      </c>
      <c r="I4838" s="10" t="n">
        <f aca="false">IF(E4838="Won",1,0)</f>
        <v>0</v>
      </c>
    </row>
    <row r="4839" customFormat="false" ht="15" hidden="false" customHeight="false" outlineLevel="0" collapsed="false">
      <c r="A4839" s="10" t="s">
        <v>7180</v>
      </c>
      <c r="B4839" s="10" t="s">
        <v>74</v>
      </c>
      <c r="C4839" s="10" t="s">
        <v>51</v>
      </c>
      <c r="D4839" s="10" t="s">
        <v>369</v>
      </c>
      <c r="E4839" s="10" t="s">
        <v>2345</v>
      </c>
      <c r="F4839" s="30" t="n">
        <v>43008</v>
      </c>
      <c r="G4839" s="30" t="n">
        <v>43015</v>
      </c>
      <c r="H4839" s="26" t="n">
        <f aca="false">G4839-F4839</f>
        <v>7</v>
      </c>
      <c r="I4839" s="10" t="n">
        <f aca="false">IF(E4839="Won",1,0)</f>
        <v>0</v>
      </c>
    </row>
    <row r="4840" customFormat="false" ht="15" hidden="false" customHeight="false" outlineLevel="0" collapsed="false">
      <c r="A4840" s="10" t="s">
        <v>7181</v>
      </c>
      <c r="B4840" s="10" t="s">
        <v>88</v>
      </c>
      <c r="C4840" s="10" t="s">
        <v>51</v>
      </c>
      <c r="D4840" s="10" t="s">
        <v>637</v>
      </c>
      <c r="E4840" s="10" t="s">
        <v>2345</v>
      </c>
      <c r="F4840" s="30" t="n">
        <v>43009</v>
      </c>
      <c r="G4840" s="30" t="n">
        <v>43015</v>
      </c>
      <c r="H4840" s="26" t="n">
        <f aca="false">G4840-F4840</f>
        <v>6</v>
      </c>
      <c r="I4840" s="10" t="n">
        <f aca="false">IF(E4840="Won",1,0)</f>
        <v>0</v>
      </c>
    </row>
    <row r="4841" customFormat="false" ht="15" hidden="false" customHeight="false" outlineLevel="0" collapsed="false">
      <c r="A4841" s="10" t="s">
        <v>7182</v>
      </c>
      <c r="B4841" s="10" t="s">
        <v>97</v>
      </c>
      <c r="C4841" s="10" t="s">
        <v>52</v>
      </c>
      <c r="D4841" s="10" t="s">
        <v>419</v>
      </c>
      <c r="E4841" s="10" t="s">
        <v>2345</v>
      </c>
      <c r="F4841" s="30" t="n">
        <v>43013</v>
      </c>
      <c r="G4841" s="30" t="n">
        <v>43015</v>
      </c>
      <c r="H4841" s="26" t="n">
        <f aca="false">G4841-F4841</f>
        <v>2</v>
      </c>
      <c r="I4841" s="10" t="n">
        <f aca="false">IF(E4841="Won",1,0)</f>
        <v>0</v>
      </c>
    </row>
    <row r="4842" customFormat="false" ht="15" hidden="false" customHeight="false" outlineLevel="0" collapsed="false">
      <c r="A4842" s="10" t="s">
        <v>7183</v>
      </c>
      <c r="B4842" s="10" t="s">
        <v>81</v>
      </c>
      <c r="C4842" s="10" t="s">
        <v>49</v>
      </c>
      <c r="D4842" s="10" t="s">
        <v>410</v>
      </c>
      <c r="E4842" s="10" t="s">
        <v>2345</v>
      </c>
      <c r="F4842" s="30" t="n">
        <v>43004</v>
      </c>
      <c r="G4842" s="30" t="n">
        <v>43015</v>
      </c>
      <c r="H4842" s="26" t="n">
        <f aca="false">G4842-F4842</f>
        <v>11</v>
      </c>
      <c r="I4842" s="10" t="n">
        <f aca="false">IF(E4842="Won",1,0)</f>
        <v>0</v>
      </c>
    </row>
    <row r="4843" customFormat="false" ht="15" hidden="false" customHeight="false" outlineLevel="0" collapsed="false">
      <c r="A4843" s="10" t="s">
        <v>7184</v>
      </c>
      <c r="B4843" s="10" t="s">
        <v>76</v>
      </c>
      <c r="C4843" s="10" t="s">
        <v>52</v>
      </c>
      <c r="D4843" s="10" t="s">
        <v>353</v>
      </c>
      <c r="E4843" s="10" t="s">
        <v>2342</v>
      </c>
      <c r="F4843" s="30" t="n">
        <v>43013</v>
      </c>
      <c r="G4843" s="30" t="n">
        <v>43015</v>
      </c>
      <c r="H4843" s="26" t="n">
        <f aca="false">G4843-F4843</f>
        <v>2</v>
      </c>
      <c r="I4843" s="10" t="n">
        <f aca="false">IF(E4843="Won",1,0)</f>
        <v>1</v>
      </c>
    </row>
    <row r="4844" customFormat="false" ht="15" hidden="false" customHeight="false" outlineLevel="0" collapsed="false">
      <c r="A4844" s="10" t="s">
        <v>7185</v>
      </c>
      <c r="B4844" s="10" t="s">
        <v>79</v>
      </c>
      <c r="C4844" s="10" t="s">
        <v>52</v>
      </c>
      <c r="D4844" s="10" t="s">
        <v>210</v>
      </c>
      <c r="E4844" s="10" t="s">
        <v>2345</v>
      </c>
      <c r="F4844" s="30" t="n">
        <v>43008</v>
      </c>
      <c r="G4844" s="30" t="n">
        <v>43015</v>
      </c>
      <c r="H4844" s="26" t="n">
        <f aca="false">G4844-F4844</f>
        <v>7</v>
      </c>
      <c r="I4844" s="10" t="n">
        <f aca="false">IF(E4844="Won",1,0)</f>
        <v>0</v>
      </c>
    </row>
    <row r="4845" customFormat="false" ht="15" hidden="false" customHeight="false" outlineLevel="0" collapsed="false">
      <c r="A4845" s="10" t="s">
        <v>7186</v>
      </c>
      <c r="B4845" s="10" t="s">
        <v>75</v>
      </c>
      <c r="C4845" s="10" t="s">
        <v>51</v>
      </c>
      <c r="D4845" s="10" t="s">
        <v>410</v>
      </c>
      <c r="E4845" s="10" t="s">
        <v>2342</v>
      </c>
      <c r="F4845" s="30" t="n">
        <v>43008</v>
      </c>
      <c r="G4845" s="30" t="n">
        <v>43015</v>
      </c>
      <c r="H4845" s="26" t="n">
        <f aca="false">G4845-F4845</f>
        <v>7</v>
      </c>
      <c r="I4845" s="10" t="n">
        <f aca="false">IF(E4845="Won",1,0)</f>
        <v>1</v>
      </c>
    </row>
    <row r="4846" customFormat="false" ht="15" hidden="false" customHeight="false" outlineLevel="0" collapsed="false">
      <c r="A4846" s="10" t="s">
        <v>7187</v>
      </c>
      <c r="B4846" s="10" t="s">
        <v>75</v>
      </c>
      <c r="C4846" s="10" t="s">
        <v>51</v>
      </c>
      <c r="D4846" s="10" t="s">
        <v>1948</v>
      </c>
      <c r="E4846" s="10" t="s">
        <v>2342</v>
      </c>
      <c r="F4846" s="30" t="n">
        <v>43014</v>
      </c>
      <c r="G4846" s="30" t="n">
        <v>43015</v>
      </c>
      <c r="H4846" s="26" t="n">
        <f aca="false">G4846-F4846</f>
        <v>1</v>
      </c>
      <c r="I4846" s="10" t="n">
        <f aca="false">IF(E4846="Won",1,0)</f>
        <v>1</v>
      </c>
    </row>
    <row r="4847" customFormat="false" ht="15" hidden="false" customHeight="false" outlineLevel="0" collapsed="false">
      <c r="A4847" s="10" t="s">
        <v>7188</v>
      </c>
      <c r="B4847" s="10" t="s">
        <v>67</v>
      </c>
      <c r="C4847" s="10" t="s">
        <v>50</v>
      </c>
      <c r="D4847" s="10" t="s">
        <v>175</v>
      </c>
      <c r="E4847" s="10" t="s">
        <v>2342</v>
      </c>
      <c r="F4847" s="30" t="n">
        <v>43005</v>
      </c>
      <c r="G4847" s="30" t="n">
        <v>43015</v>
      </c>
      <c r="H4847" s="26" t="n">
        <f aca="false">G4847-F4847</f>
        <v>10</v>
      </c>
      <c r="I4847" s="10" t="n">
        <f aca="false">IF(E4847="Won",1,0)</f>
        <v>1</v>
      </c>
    </row>
    <row r="4848" customFormat="false" ht="15" hidden="false" customHeight="false" outlineLevel="0" collapsed="false">
      <c r="A4848" s="10" t="s">
        <v>7189</v>
      </c>
      <c r="B4848" s="10" t="s">
        <v>90</v>
      </c>
      <c r="C4848" s="10" t="s">
        <v>49</v>
      </c>
      <c r="D4848" s="10" t="s">
        <v>293</v>
      </c>
      <c r="E4848" s="10" t="s">
        <v>2342</v>
      </c>
      <c r="F4848" s="30" t="n">
        <v>43014</v>
      </c>
      <c r="G4848" s="30" t="n">
        <v>43015</v>
      </c>
      <c r="H4848" s="26" t="n">
        <f aca="false">G4848-F4848</f>
        <v>1</v>
      </c>
      <c r="I4848" s="10" t="n">
        <f aca="false">IF(E4848="Won",1,0)</f>
        <v>1</v>
      </c>
    </row>
    <row r="4849" customFormat="false" ht="15" hidden="false" customHeight="false" outlineLevel="0" collapsed="false">
      <c r="A4849" s="10" t="s">
        <v>7190</v>
      </c>
      <c r="B4849" s="10" t="s">
        <v>60</v>
      </c>
      <c r="C4849" s="10" t="s">
        <v>48</v>
      </c>
      <c r="D4849" s="10" t="s">
        <v>233</v>
      </c>
      <c r="E4849" s="10" t="s">
        <v>2342</v>
      </c>
      <c r="F4849" s="30" t="n">
        <v>43008</v>
      </c>
      <c r="G4849" s="30" t="n">
        <v>43015</v>
      </c>
      <c r="H4849" s="26" t="n">
        <f aca="false">G4849-F4849</f>
        <v>7</v>
      </c>
      <c r="I4849" s="10" t="n">
        <f aca="false">IF(E4849="Won",1,0)</f>
        <v>1</v>
      </c>
    </row>
    <row r="4850" customFormat="false" ht="15" hidden="false" customHeight="false" outlineLevel="0" collapsed="false">
      <c r="A4850" s="10" t="s">
        <v>7191</v>
      </c>
      <c r="B4850" s="10" t="s">
        <v>73</v>
      </c>
      <c r="C4850" s="10" t="s">
        <v>52</v>
      </c>
      <c r="D4850" s="10" t="s">
        <v>697</v>
      </c>
      <c r="E4850" s="10" t="s">
        <v>2345</v>
      </c>
      <c r="F4850" s="30" t="n">
        <v>43004</v>
      </c>
      <c r="G4850" s="30" t="n">
        <v>43015</v>
      </c>
      <c r="H4850" s="26" t="n">
        <f aca="false">G4850-F4850</f>
        <v>11</v>
      </c>
      <c r="I4850" s="10" t="n">
        <f aca="false">IF(E4850="Won",1,0)</f>
        <v>0</v>
      </c>
    </row>
    <row r="4851" customFormat="false" ht="15" hidden="false" customHeight="false" outlineLevel="0" collapsed="false">
      <c r="A4851" s="10" t="s">
        <v>7192</v>
      </c>
      <c r="B4851" s="10" t="s">
        <v>84</v>
      </c>
      <c r="C4851" s="10" t="s">
        <v>48</v>
      </c>
      <c r="D4851" s="10" t="s">
        <v>350</v>
      </c>
      <c r="E4851" s="10" t="s">
        <v>2342</v>
      </c>
      <c r="F4851" s="30" t="n">
        <v>43014</v>
      </c>
      <c r="G4851" s="30" t="n">
        <v>43015</v>
      </c>
      <c r="H4851" s="26" t="n">
        <f aca="false">G4851-F4851</f>
        <v>1</v>
      </c>
      <c r="I4851" s="10" t="n">
        <f aca="false">IF(E4851="Won",1,0)</f>
        <v>1</v>
      </c>
    </row>
    <row r="4852" customFormat="false" ht="15" hidden="false" customHeight="false" outlineLevel="0" collapsed="false">
      <c r="A4852" s="10" t="s">
        <v>7193</v>
      </c>
      <c r="B4852" s="10" t="s">
        <v>60</v>
      </c>
      <c r="C4852" s="10" t="s">
        <v>47</v>
      </c>
      <c r="D4852" s="10" t="s">
        <v>405</v>
      </c>
      <c r="E4852" s="10" t="s">
        <v>2342</v>
      </c>
      <c r="F4852" s="30" t="n">
        <v>43013</v>
      </c>
      <c r="G4852" s="30" t="n">
        <v>43015</v>
      </c>
      <c r="H4852" s="26" t="n">
        <f aca="false">G4852-F4852</f>
        <v>2</v>
      </c>
      <c r="I4852" s="10" t="n">
        <f aca="false">IF(E4852="Won",1,0)</f>
        <v>1</v>
      </c>
    </row>
    <row r="4853" customFormat="false" ht="15" hidden="false" customHeight="false" outlineLevel="0" collapsed="false">
      <c r="A4853" s="10" t="s">
        <v>7194</v>
      </c>
      <c r="B4853" s="10" t="s">
        <v>81</v>
      </c>
      <c r="C4853" s="10" t="s">
        <v>47</v>
      </c>
      <c r="D4853" s="10" t="s">
        <v>179</v>
      </c>
      <c r="E4853" s="10" t="s">
        <v>2342</v>
      </c>
      <c r="F4853" s="30" t="n">
        <v>43004</v>
      </c>
      <c r="G4853" s="30" t="n">
        <v>43015</v>
      </c>
      <c r="H4853" s="26" t="n">
        <f aca="false">G4853-F4853</f>
        <v>11</v>
      </c>
      <c r="I4853" s="10" t="n">
        <f aca="false">IF(E4853="Won",1,0)</f>
        <v>1</v>
      </c>
    </row>
    <row r="4854" customFormat="false" ht="15" hidden="false" customHeight="false" outlineLevel="0" collapsed="false">
      <c r="A4854" s="10" t="s">
        <v>7195</v>
      </c>
      <c r="B4854" s="10" t="s">
        <v>57</v>
      </c>
      <c r="C4854" s="10" t="s">
        <v>47</v>
      </c>
      <c r="D4854" s="10" t="s">
        <v>286</v>
      </c>
      <c r="E4854" s="10" t="s">
        <v>2345</v>
      </c>
      <c r="F4854" s="30" t="n">
        <v>43009</v>
      </c>
      <c r="G4854" s="30" t="n">
        <v>43015</v>
      </c>
      <c r="H4854" s="26" t="n">
        <f aca="false">G4854-F4854</f>
        <v>6</v>
      </c>
      <c r="I4854" s="10" t="n">
        <f aca="false">IF(E4854="Won",1,0)</f>
        <v>0</v>
      </c>
    </row>
    <row r="4855" customFormat="false" ht="15" hidden="false" customHeight="false" outlineLevel="0" collapsed="false">
      <c r="A4855" s="10" t="s">
        <v>7196</v>
      </c>
      <c r="B4855" s="10" t="s">
        <v>86</v>
      </c>
      <c r="C4855" s="10" t="s">
        <v>50</v>
      </c>
      <c r="D4855" s="10" t="s">
        <v>210</v>
      </c>
      <c r="E4855" s="10" t="s">
        <v>2345</v>
      </c>
      <c r="F4855" s="30" t="n">
        <v>43006</v>
      </c>
      <c r="G4855" s="30" t="n">
        <v>43015</v>
      </c>
      <c r="H4855" s="26" t="n">
        <f aca="false">G4855-F4855</f>
        <v>9</v>
      </c>
      <c r="I4855" s="10" t="n">
        <f aca="false">IF(E4855="Won",1,0)</f>
        <v>0</v>
      </c>
    </row>
    <row r="4856" customFormat="false" ht="15" hidden="false" customHeight="false" outlineLevel="0" collapsed="false">
      <c r="A4856" s="10" t="s">
        <v>7197</v>
      </c>
      <c r="B4856" s="10" t="s">
        <v>88</v>
      </c>
      <c r="C4856" s="10" t="s">
        <v>48</v>
      </c>
      <c r="D4856" s="10" t="s">
        <v>692</v>
      </c>
      <c r="E4856" s="10" t="s">
        <v>2342</v>
      </c>
      <c r="F4856" s="30" t="n">
        <v>43006</v>
      </c>
      <c r="G4856" s="30" t="n">
        <v>43015</v>
      </c>
      <c r="H4856" s="26" t="n">
        <f aca="false">G4856-F4856</f>
        <v>9</v>
      </c>
      <c r="I4856" s="10" t="n">
        <f aca="false">IF(E4856="Won",1,0)</f>
        <v>1</v>
      </c>
    </row>
    <row r="4857" customFormat="false" ht="15" hidden="false" customHeight="false" outlineLevel="0" collapsed="false">
      <c r="A4857" s="10" t="s">
        <v>7198</v>
      </c>
      <c r="B4857" s="10" t="s">
        <v>77</v>
      </c>
      <c r="C4857" s="10" t="s">
        <v>48</v>
      </c>
      <c r="D4857" s="10" t="s">
        <v>369</v>
      </c>
      <c r="E4857" s="10" t="s">
        <v>2342</v>
      </c>
      <c r="F4857" s="30" t="n">
        <v>43014</v>
      </c>
      <c r="G4857" s="30" t="n">
        <v>43016</v>
      </c>
      <c r="H4857" s="26" t="n">
        <f aca="false">G4857-F4857</f>
        <v>2</v>
      </c>
      <c r="I4857" s="10" t="n">
        <f aca="false">IF(E4857="Won",1,0)</f>
        <v>1</v>
      </c>
    </row>
    <row r="4858" customFormat="false" ht="15" hidden="false" customHeight="false" outlineLevel="0" collapsed="false">
      <c r="A4858" s="10" t="s">
        <v>7199</v>
      </c>
      <c r="B4858" s="10" t="s">
        <v>60</v>
      </c>
      <c r="C4858" s="10" t="s">
        <v>49</v>
      </c>
      <c r="D4858" s="10" t="s">
        <v>218</v>
      </c>
      <c r="E4858" s="10" t="s">
        <v>2345</v>
      </c>
      <c r="F4858" s="30" t="n">
        <v>43007</v>
      </c>
      <c r="G4858" s="30" t="n">
        <v>43016</v>
      </c>
      <c r="H4858" s="26" t="n">
        <f aca="false">G4858-F4858</f>
        <v>9</v>
      </c>
      <c r="I4858" s="10" t="n">
        <f aca="false">IF(E4858="Won",1,0)</f>
        <v>0</v>
      </c>
    </row>
    <row r="4859" customFormat="false" ht="15" hidden="false" customHeight="false" outlineLevel="0" collapsed="false">
      <c r="A4859" s="10" t="s">
        <v>7200</v>
      </c>
      <c r="B4859" s="10" t="s">
        <v>93</v>
      </c>
      <c r="C4859" s="10" t="s">
        <v>51</v>
      </c>
      <c r="D4859" s="10" t="s">
        <v>313</v>
      </c>
      <c r="E4859" s="10" t="s">
        <v>2345</v>
      </c>
      <c r="F4859" s="30" t="n">
        <v>43007</v>
      </c>
      <c r="G4859" s="30" t="n">
        <v>43016</v>
      </c>
      <c r="H4859" s="26" t="n">
        <f aca="false">G4859-F4859</f>
        <v>9</v>
      </c>
      <c r="I4859" s="10" t="n">
        <f aca="false">IF(E4859="Won",1,0)</f>
        <v>0</v>
      </c>
    </row>
    <row r="4860" customFormat="false" ht="15" hidden="false" customHeight="false" outlineLevel="0" collapsed="false">
      <c r="A4860" s="10" t="s">
        <v>7201</v>
      </c>
      <c r="B4860" s="10" t="s">
        <v>79</v>
      </c>
      <c r="C4860" s="10" t="s">
        <v>49</v>
      </c>
      <c r="D4860" s="10" t="s">
        <v>311</v>
      </c>
      <c r="E4860" s="10" t="s">
        <v>2342</v>
      </c>
      <c r="F4860" s="30" t="n">
        <v>43014</v>
      </c>
      <c r="G4860" s="30" t="n">
        <v>43016</v>
      </c>
      <c r="H4860" s="26" t="n">
        <f aca="false">G4860-F4860</f>
        <v>2</v>
      </c>
      <c r="I4860" s="10" t="n">
        <f aca="false">IF(E4860="Won",1,0)</f>
        <v>1</v>
      </c>
    </row>
    <row r="4861" customFormat="false" ht="15" hidden="false" customHeight="false" outlineLevel="0" collapsed="false">
      <c r="A4861" s="10" t="s">
        <v>7202</v>
      </c>
      <c r="B4861" s="10" t="s">
        <v>62</v>
      </c>
      <c r="C4861" s="10" t="s">
        <v>52</v>
      </c>
      <c r="D4861" s="10" t="s">
        <v>637</v>
      </c>
      <c r="E4861" s="10" t="s">
        <v>2345</v>
      </c>
      <c r="F4861" s="30" t="n">
        <v>43007</v>
      </c>
      <c r="G4861" s="30" t="n">
        <v>43016</v>
      </c>
      <c r="H4861" s="26" t="n">
        <f aca="false">G4861-F4861</f>
        <v>9</v>
      </c>
      <c r="I4861" s="10" t="n">
        <f aca="false">IF(E4861="Won",1,0)</f>
        <v>0</v>
      </c>
    </row>
    <row r="4862" customFormat="false" ht="15" hidden="false" customHeight="false" outlineLevel="0" collapsed="false">
      <c r="A4862" s="10" t="s">
        <v>7203</v>
      </c>
      <c r="B4862" s="10" t="s">
        <v>95</v>
      </c>
      <c r="C4862" s="10" t="s">
        <v>51</v>
      </c>
      <c r="D4862" s="10" t="s">
        <v>313</v>
      </c>
      <c r="E4862" s="10" t="s">
        <v>2345</v>
      </c>
      <c r="F4862" s="30" t="n">
        <v>43008</v>
      </c>
      <c r="G4862" s="30" t="n">
        <v>43016</v>
      </c>
      <c r="H4862" s="26" t="n">
        <f aca="false">G4862-F4862</f>
        <v>8</v>
      </c>
      <c r="I4862" s="10" t="n">
        <f aca="false">IF(E4862="Won",1,0)</f>
        <v>0</v>
      </c>
    </row>
    <row r="4863" customFormat="false" ht="15" hidden="false" customHeight="false" outlineLevel="0" collapsed="false">
      <c r="A4863" s="10" t="s">
        <v>7204</v>
      </c>
      <c r="B4863" s="10" t="s">
        <v>70</v>
      </c>
      <c r="C4863" s="10" t="s">
        <v>48</v>
      </c>
      <c r="D4863" s="10" t="s">
        <v>483</v>
      </c>
      <c r="E4863" s="10" t="s">
        <v>2345</v>
      </c>
      <c r="F4863" s="30" t="n">
        <v>43011</v>
      </c>
      <c r="G4863" s="30" t="n">
        <v>43016</v>
      </c>
      <c r="H4863" s="26" t="n">
        <f aca="false">G4863-F4863</f>
        <v>5</v>
      </c>
      <c r="I4863" s="10" t="n">
        <f aca="false">IF(E4863="Won",1,0)</f>
        <v>0</v>
      </c>
    </row>
    <row r="4864" customFormat="false" ht="15" hidden="false" customHeight="false" outlineLevel="0" collapsed="false">
      <c r="A4864" s="10" t="s">
        <v>7205</v>
      </c>
      <c r="B4864" s="10" t="s">
        <v>69</v>
      </c>
      <c r="C4864" s="10" t="s">
        <v>52</v>
      </c>
      <c r="D4864" s="10" t="s">
        <v>337</v>
      </c>
      <c r="E4864" s="10" t="s">
        <v>2342</v>
      </c>
      <c r="F4864" s="30" t="n">
        <v>43009</v>
      </c>
      <c r="G4864" s="30" t="n">
        <v>43016</v>
      </c>
      <c r="H4864" s="26" t="n">
        <f aca="false">G4864-F4864</f>
        <v>7</v>
      </c>
      <c r="I4864" s="10" t="n">
        <f aca="false">IF(E4864="Won",1,0)</f>
        <v>1</v>
      </c>
    </row>
    <row r="4865" customFormat="false" ht="15" hidden="false" customHeight="false" outlineLevel="0" collapsed="false">
      <c r="A4865" s="10" t="s">
        <v>7206</v>
      </c>
      <c r="B4865" s="10" t="s">
        <v>63</v>
      </c>
      <c r="C4865" s="10" t="s">
        <v>48</v>
      </c>
      <c r="D4865" s="10" t="s">
        <v>692</v>
      </c>
      <c r="E4865" s="10" t="s">
        <v>2345</v>
      </c>
      <c r="F4865" s="30" t="n">
        <v>43014</v>
      </c>
      <c r="G4865" s="30" t="n">
        <v>43016</v>
      </c>
      <c r="H4865" s="26" t="n">
        <f aca="false">G4865-F4865</f>
        <v>2</v>
      </c>
      <c r="I4865" s="10" t="n">
        <f aca="false">IF(E4865="Won",1,0)</f>
        <v>0</v>
      </c>
    </row>
    <row r="4866" customFormat="false" ht="15" hidden="false" customHeight="false" outlineLevel="0" collapsed="false">
      <c r="A4866" s="10" t="s">
        <v>7207</v>
      </c>
      <c r="B4866" s="10" t="s">
        <v>97</v>
      </c>
      <c r="C4866" s="10" t="s">
        <v>50</v>
      </c>
      <c r="D4866" s="10" t="s">
        <v>313</v>
      </c>
      <c r="E4866" s="10" t="s">
        <v>2342</v>
      </c>
      <c r="F4866" s="30" t="n">
        <v>43008</v>
      </c>
      <c r="G4866" s="30" t="n">
        <v>43016</v>
      </c>
      <c r="H4866" s="26" t="n">
        <f aca="false">G4866-F4866</f>
        <v>8</v>
      </c>
      <c r="I4866" s="10" t="n">
        <f aca="false">IF(E4866="Won",1,0)</f>
        <v>1</v>
      </c>
    </row>
    <row r="4867" customFormat="false" ht="15" hidden="false" customHeight="false" outlineLevel="0" collapsed="false">
      <c r="A4867" s="10" t="s">
        <v>7208</v>
      </c>
      <c r="B4867" s="10" t="s">
        <v>81</v>
      </c>
      <c r="C4867" s="10" t="s">
        <v>51</v>
      </c>
      <c r="D4867" s="10" t="s">
        <v>597</v>
      </c>
      <c r="E4867" s="10" t="s">
        <v>2342</v>
      </c>
      <c r="F4867" s="30" t="n">
        <v>43015</v>
      </c>
      <c r="G4867" s="30" t="n">
        <v>43016</v>
      </c>
      <c r="H4867" s="26" t="n">
        <f aca="false">G4867-F4867</f>
        <v>1</v>
      </c>
      <c r="I4867" s="10" t="n">
        <f aca="false">IF(E4867="Won",1,0)</f>
        <v>1</v>
      </c>
    </row>
    <row r="4868" customFormat="false" ht="15" hidden="false" customHeight="false" outlineLevel="0" collapsed="false">
      <c r="A4868" s="10" t="s">
        <v>7209</v>
      </c>
      <c r="B4868" s="10" t="s">
        <v>70</v>
      </c>
      <c r="C4868" s="10" t="s">
        <v>49</v>
      </c>
      <c r="D4868" s="10" t="s">
        <v>986</v>
      </c>
      <c r="E4868" s="10" t="s">
        <v>2342</v>
      </c>
      <c r="F4868" s="30" t="n">
        <v>43013</v>
      </c>
      <c r="G4868" s="30" t="n">
        <v>43016</v>
      </c>
      <c r="H4868" s="26" t="n">
        <f aca="false">G4868-F4868</f>
        <v>3</v>
      </c>
      <c r="I4868" s="10" t="n">
        <f aca="false">IF(E4868="Won",1,0)</f>
        <v>1</v>
      </c>
    </row>
    <row r="4869" customFormat="false" ht="15" hidden="false" customHeight="false" outlineLevel="0" collapsed="false">
      <c r="A4869" s="10" t="s">
        <v>7210</v>
      </c>
      <c r="B4869" s="10" t="s">
        <v>62</v>
      </c>
      <c r="C4869" s="10" t="s">
        <v>52</v>
      </c>
      <c r="D4869" s="10" t="s">
        <v>405</v>
      </c>
      <c r="E4869" s="10" t="s">
        <v>2345</v>
      </c>
      <c r="F4869" s="30" t="n">
        <v>43008</v>
      </c>
      <c r="G4869" s="30" t="n">
        <v>43016</v>
      </c>
      <c r="H4869" s="26" t="n">
        <f aca="false">G4869-F4869</f>
        <v>8</v>
      </c>
      <c r="I4869" s="10" t="n">
        <f aca="false">IF(E4869="Won",1,0)</f>
        <v>0</v>
      </c>
    </row>
    <row r="4870" customFormat="false" ht="15" hidden="false" customHeight="false" outlineLevel="0" collapsed="false">
      <c r="A4870" s="10" t="s">
        <v>7211</v>
      </c>
      <c r="B4870" s="10" t="s">
        <v>87</v>
      </c>
      <c r="C4870" s="10" t="s">
        <v>50</v>
      </c>
      <c r="D4870" s="10" t="s">
        <v>254</v>
      </c>
      <c r="E4870" s="10" t="s">
        <v>2342</v>
      </c>
      <c r="F4870" s="30" t="n">
        <v>43011</v>
      </c>
      <c r="G4870" s="30" t="n">
        <v>43016</v>
      </c>
      <c r="H4870" s="26" t="n">
        <f aca="false">G4870-F4870</f>
        <v>5</v>
      </c>
      <c r="I4870" s="10" t="n">
        <f aca="false">IF(E4870="Won",1,0)</f>
        <v>1</v>
      </c>
    </row>
    <row r="4871" customFormat="false" ht="15" hidden="false" customHeight="false" outlineLevel="0" collapsed="false">
      <c r="A4871" s="10" t="s">
        <v>7212</v>
      </c>
      <c r="B4871" s="10" t="s">
        <v>77</v>
      </c>
      <c r="C4871" s="10" t="s">
        <v>48</v>
      </c>
      <c r="D4871" s="10" t="s">
        <v>527</v>
      </c>
      <c r="E4871" s="10" t="s">
        <v>2345</v>
      </c>
      <c r="F4871" s="30" t="n">
        <v>43009</v>
      </c>
      <c r="G4871" s="30" t="n">
        <v>43016</v>
      </c>
      <c r="H4871" s="26" t="n">
        <f aca="false">G4871-F4871</f>
        <v>7</v>
      </c>
      <c r="I4871" s="10" t="n">
        <f aca="false">IF(E4871="Won",1,0)</f>
        <v>0</v>
      </c>
    </row>
    <row r="4872" customFormat="false" ht="15" hidden="false" customHeight="false" outlineLevel="0" collapsed="false">
      <c r="A4872" s="10" t="s">
        <v>7213</v>
      </c>
      <c r="B4872" s="10" t="s">
        <v>70</v>
      </c>
      <c r="C4872" s="10" t="s">
        <v>52</v>
      </c>
      <c r="D4872" s="10" t="s">
        <v>303</v>
      </c>
      <c r="E4872" s="10" t="s">
        <v>2345</v>
      </c>
      <c r="F4872" s="30" t="n">
        <v>43013</v>
      </c>
      <c r="G4872" s="30" t="n">
        <v>43016</v>
      </c>
      <c r="H4872" s="26" t="n">
        <f aca="false">G4872-F4872</f>
        <v>3</v>
      </c>
      <c r="I4872" s="10" t="n">
        <f aca="false">IF(E4872="Won",1,0)</f>
        <v>0</v>
      </c>
    </row>
    <row r="4873" customFormat="false" ht="15" hidden="false" customHeight="false" outlineLevel="0" collapsed="false">
      <c r="A4873" s="10" t="s">
        <v>7214</v>
      </c>
      <c r="B4873" s="10" t="s">
        <v>76</v>
      </c>
      <c r="C4873" s="10" t="s">
        <v>52</v>
      </c>
      <c r="D4873" s="10" t="s">
        <v>311</v>
      </c>
      <c r="E4873" s="10" t="s">
        <v>2342</v>
      </c>
      <c r="F4873" s="30" t="n">
        <v>43008</v>
      </c>
      <c r="G4873" s="30" t="n">
        <v>43016</v>
      </c>
      <c r="H4873" s="26" t="n">
        <f aca="false">G4873-F4873</f>
        <v>8</v>
      </c>
      <c r="I4873" s="10" t="n">
        <f aca="false">IF(E4873="Won",1,0)</f>
        <v>1</v>
      </c>
    </row>
    <row r="4874" customFormat="false" ht="15" hidden="false" customHeight="false" outlineLevel="0" collapsed="false">
      <c r="A4874" s="10" t="s">
        <v>7215</v>
      </c>
      <c r="B4874" s="10" t="s">
        <v>86</v>
      </c>
      <c r="C4874" s="10" t="s">
        <v>51</v>
      </c>
      <c r="D4874" s="10" t="s">
        <v>218</v>
      </c>
      <c r="E4874" s="10" t="s">
        <v>2345</v>
      </c>
      <c r="F4874" s="30" t="n">
        <v>43015</v>
      </c>
      <c r="G4874" s="30" t="n">
        <v>43016</v>
      </c>
      <c r="H4874" s="26" t="n">
        <f aca="false">G4874-F4874</f>
        <v>1</v>
      </c>
      <c r="I4874" s="10" t="n">
        <f aca="false">IF(E4874="Won",1,0)</f>
        <v>0</v>
      </c>
    </row>
    <row r="4875" customFormat="false" ht="15" hidden="false" customHeight="false" outlineLevel="0" collapsed="false">
      <c r="A4875" s="10" t="s">
        <v>7216</v>
      </c>
      <c r="B4875" s="10" t="s">
        <v>76</v>
      </c>
      <c r="C4875" s="10" t="s">
        <v>52</v>
      </c>
      <c r="D4875" s="10" t="s">
        <v>483</v>
      </c>
      <c r="E4875" s="10" t="s">
        <v>2345</v>
      </c>
      <c r="F4875" s="30" t="n">
        <v>43007</v>
      </c>
      <c r="G4875" s="30" t="n">
        <v>43016</v>
      </c>
      <c r="H4875" s="26" t="n">
        <f aca="false">G4875-F4875</f>
        <v>9</v>
      </c>
      <c r="I4875" s="10" t="n">
        <f aca="false">IF(E4875="Won",1,0)</f>
        <v>0</v>
      </c>
    </row>
    <row r="4876" customFormat="false" ht="15" hidden="false" customHeight="false" outlineLevel="0" collapsed="false">
      <c r="A4876" s="10" t="s">
        <v>7217</v>
      </c>
      <c r="B4876" s="10" t="s">
        <v>94</v>
      </c>
      <c r="C4876" s="10" t="s">
        <v>50</v>
      </c>
      <c r="D4876" s="10" t="s">
        <v>337</v>
      </c>
      <c r="E4876" s="10" t="s">
        <v>2342</v>
      </c>
      <c r="F4876" s="30" t="n">
        <v>43011</v>
      </c>
      <c r="G4876" s="30" t="n">
        <v>43016</v>
      </c>
      <c r="H4876" s="26" t="n">
        <f aca="false">G4876-F4876</f>
        <v>5</v>
      </c>
      <c r="I4876" s="10" t="n">
        <f aca="false">IF(E4876="Won",1,0)</f>
        <v>1</v>
      </c>
    </row>
    <row r="4877" customFormat="false" ht="15" hidden="false" customHeight="false" outlineLevel="0" collapsed="false">
      <c r="A4877" s="10" t="s">
        <v>7218</v>
      </c>
      <c r="B4877" s="10" t="s">
        <v>66</v>
      </c>
      <c r="C4877" s="10" t="s">
        <v>52</v>
      </c>
      <c r="D4877" s="10" t="s">
        <v>199</v>
      </c>
      <c r="E4877" s="10" t="s">
        <v>2342</v>
      </c>
      <c r="F4877" s="30" t="n">
        <v>43006</v>
      </c>
      <c r="G4877" s="30" t="n">
        <v>43016</v>
      </c>
      <c r="H4877" s="26" t="n">
        <f aca="false">G4877-F4877</f>
        <v>10</v>
      </c>
      <c r="I4877" s="10" t="n">
        <f aca="false">IF(E4877="Won",1,0)</f>
        <v>1</v>
      </c>
    </row>
    <row r="4878" customFormat="false" ht="15" hidden="false" customHeight="false" outlineLevel="0" collapsed="false">
      <c r="A4878" s="10" t="s">
        <v>7219</v>
      </c>
      <c r="B4878" s="10" t="s">
        <v>88</v>
      </c>
      <c r="C4878" s="10" t="s">
        <v>49</v>
      </c>
      <c r="D4878" s="10" t="s">
        <v>286</v>
      </c>
      <c r="E4878" s="10" t="s">
        <v>2342</v>
      </c>
      <c r="F4878" s="30" t="n">
        <v>43006</v>
      </c>
      <c r="G4878" s="30" t="n">
        <v>43016</v>
      </c>
      <c r="H4878" s="26" t="n">
        <f aca="false">G4878-F4878</f>
        <v>10</v>
      </c>
      <c r="I4878" s="10" t="n">
        <f aca="false">IF(E4878="Won",1,0)</f>
        <v>1</v>
      </c>
    </row>
    <row r="4879" customFormat="false" ht="15" hidden="false" customHeight="false" outlineLevel="0" collapsed="false">
      <c r="A4879" s="10" t="s">
        <v>7220</v>
      </c>
      <c r="B4879" s="10" t="s">
        <v>67</v>
      </c>
      <c r="C4879" s="10" t="s">
        <v>50</v>
      </c>
      <c r="D4879" s="10" t="s">
        <v>419</v>
      </c>
      <c r="E4879" s="10" t="s">
        <v>2345</v>
      </c>
      <c r="F4879" s="30" t="n">
        <v>43009</v>
      </c>
      <c r="G4879" s="30" t="n">
        <v>43016</v>
      </c>
      <c r="H4879" s="26" t="n">
        <f aca="false">G4879-F4879</f>
        <v>7</v>
      </c>
      <c r="I4879" s="10" t="n">
        <f aca="false">IF(E4879="Won",1,0)</f>
        <v>0</v>
      </c>
    </row>
    <row r="4880" customFormat="false" ht="15" hidden="false" customHeight="false" outlineLevel="0" collapsed="false">
      <c r="A4880" s="10" t="s">
        <v>7221</v>
      </c>
      <c r="B4880" s="10" t="s">
        <v>71</v>
      </c>
      <c r="C4880" s="10" t="s">
        <v>49</v>
      </c>
      <c r="D4880" s="10" t="s">
        <v>524</v>
      </c>
      <c r="E4880" s="10" t="s">
        <v>2345</v>
      </c>
      <c r="F4880" s="30" t="n">
        <v>43014</v>
      </c>
      <c r="G4880" s="30" t="n">
        <v>43016</v>
      </c>
      <c r="H4880" s="26" t="n">
        <f aca="false">G4880-F4880</f>
        <v>2</v>
      </c>
      <c r="I4880" s="10" t="n">
        <f aca="false">IF(E4880="Won",1,0)</f>
        <v>0</v>
      </c>
    </row>
    <row r="4881" customFormat="false" ht="15" hidden="false" customHeight="false" outlineLevel="0" collapsed="false">
      <c r="A4881" s="10" t="s">
        <v>7222</v>
      </c>
      <c r="B4881" s="10" t="s">
        <v>94</v>
      </c>
      <c r="C4881" s="10" t="s">
        <v>51</v>
      </c>
      <c r="D4881" s="10" t="s">
        <v>432</v>
      </c>
      <c r="E4881" s="10" t="s">
        <v>2345</v>
      </c>
      <c r="F4881" s="30" t="n">
        <v>43016</v>
      </c>
      <c r="G4881" s="30" t="n">
        <v>43017</v>
      </c>
      <c r="H4881" s="26" t="n">
        <f aca="false">G4881-F4881</f>
        <v>1</v>
      </c>
      <c r="I4881" s="10" t="n">
        <f aca="false">IF(E4881="Won",1,0)</f>
        <v>0</v>
      </c>
    </row>
    <row r="4882" customFormat="false" ht="15" hidden="false" customHeight="false" outlineLevel="0" collapsed="false">
      <c r="A4882" s="10" t="s">
        <v>7223</v>
      </c>
      <c r="B4882" s="10" t="s">
        <v>81</v>
      </c>
      <c r="C4882" s="10" t="s">
        <v>48</v>
      </c>
      <c r="D4882" s="10" t="s">
        <v>414</v>
      </c>
      <c r="E4882" s="10" t="s">
        <v>2342</v>
      </c>
      <c r="F4882" s="30" t="n">
        <v>43008</v>
      </c>
      <c r="G4882" s="30" t="n">
        <v>43017</v>
      </c>
      <c r="H4882" s="26" t="n">
        <f aca="false">G4882-F4882</f>
        <v>9</v>
      </c>
      <c r="I4882" s="10" t="n">
        <f aca="false">IF(E4882="Won",1,0)</f>
        <v>1</v>
      </c>
    </row>
    <row r="4883" customFormat="false" ht="15" hidden="false" customHeight="false" outlineLevel="0" collapsed="false">
      <c r="A4883" s="10" t="s">
        <v>7224</v>
      </c>
      <c r="B4883" s="10" t="s">
        <v>80</v>
      </c>
      <c r="C4883" s="10" t="s">
        <v>48</v>
      </c>
      <c r="D4883" s="10" t="s">
        <v>536</v>
      </c>
      <c r="E4883" s="10" t="s">
        <v>2342</v>
      </c>
      <c r="F4883" s="30" t="n">
        <v>43015</v>
      </c>
      <c r="G4883" s="30" t="n">
        <v>43017</v>
      </c>
      <c r="H4883" s="26" t="n">
        <f aca="false">G4883-F4883</f>
        <v>2</v>
      </c>
      <c r="I4883" s="10" t="n">
        <f aca="false">IF(E4883="Won",1,0)</f>
        <v>1</v>
      </c>
    </row>
    <row r="4884" customFormat="false" ht="15" hidden="false" customHeight="false" outlineLevel="0" collapsed="false">
      <c r="A4884" s="10" t="s">
        <v>7225</v>
      </c>
      <c r="B4884" s="10" t="s">
        <v>77</v>
      </c>
      <c r="C4884" s="10" t="s">
        <v>48</v>
      </c>
      <c r="D4884" s="10" t="s">
        <v>259</v>
      </c>
      <c r="E4884" s="10" t="s">
        <v>2342</v>
      </c>
      <c r="F4884" s="30" t="n">
        <v>43010</v>
      </c>
      <c r="G4884" s="30" t="n">
        <v>43017</v>
      </c>
      <c r="H4884" s="26" t="n">
        <f aca="false">G4884-F4884</f>
        <v>7</v>
      </c>
      <c r="I4884" s="10" t="n">
        <f aca="false">IF(E4884="Won",1,0)</f>
        <v>1</v>
      </c>
    </row>
    <row r="4885" customFormat="false" ht="15" hidden="false" customHeight="false" outlineLevel="0" collapsed="false">
      <c r="A4885" s="10" t="s">
        <v>7226</v>
      </c>
      <c r="B4885" s="10" t="s">
        <v>77</v>
      </c>
      <c r="C4885" s="10" t="s">
        <v>49</v>
      </c>
      <c r="D4885" s="10" t="s">
        <v>388</v>
      </c>
      <c r="E4885" s="10" t="s">
        <v>2345</v>
      </c>
      <c r="F4885" s="30" t="n">
        <v>43010</v>
      </c>
      <c r="G4885" s="30" t="n">
        <v>43017</v>
      </c>
      <c r="H4885" s="26" t="n">
        <f aca="false">G4885-F4885</f>
        <v>7</v>
      </c>
      <c r="I4885" s="10" t="n">
        <f aca="false">IF(E4885="Won",1,0)</f>
        <v>0</v>
      </c>
    </row>
    <row r="4886" customFormat="false" ht="15" hidden="false" customHeight="false" outlineLevel="0" collapsed="false">
      <c r="A4886" s="10" t="s">
        <v>7227</v>
      </c>
      <c r="B4886" s="10" t="s">
        <v>68</v>
      </c>
      <c r="C4886" s="10" t="s">
        <v>50</v>
      </c>
      <c r="D4886" s="10" t="s">
        <v>286</v>
      </c>
      <c r="E4886" s="10" t="s">
        <v>2345</v>
      </c>
      <c r="F4886" s="30" t="n">
        <v>43007</v>
      </c>
      <c r="G4886" s="30" t="n">
        <v>43017</v>
      </c>
      <c r="H4886" s="26" t="n">
        <f aca="false">G4886-F4886</f>
        <v>10</v>
      </c>
      <c r="I4886" s="10" t="n">
        <f aca="false">IF(E4886="Won",1,0)</f>
        <v>0</v>
      </c>
    </row>
    <row r="4887" customFormat="false" ht="15" hidden="false" customHeight="false" outlineLevel="0" collapsed="false">
      <c r="A4887" s="10" t="s">
        <v>7228</v>
      </c>
      <c r="B4887" s="10" t="s">
        <v>70</v>
      </c>
      <c r="C4887" s="10" t="s">
        <v>49</v>
      </c>
      <c r="D4887" s="10" t="s">
        <v>299</v>
      </c>
      <c r="E4887" s="10" t="s">
        <v>2342</v>
      </c>
      <c r="F4887" s="30" t="n">
        <v>43016</v>
      </c>
      <c r="G4887" s="30" t="n">
        <v>43017</v>
      </c>
      <c r="H4887" s="26" t="n">
        <f aca="false">G4887-F4887</f>
        <v>1</v>
      </c>
      <c r="I4887" s="10" t="n">
        <f aca="false">IF(E4887="Won",1,0)</f>
        <v>1</v>
      </c>
    </row>
    <row r="4888" customFormat="false" ht="15" hidden="false" customHeight="false" outlineLevel="0" collapsed="false">
      <c r="A4888" s="10" t="s">
        <v>7229</v>
      </c>
      <c r="B4888" s="10" t="s">
        <v>76</v>
      </c>
      <c r="C4888" s="10" t="s">
        <v>49</v>
      </c>
      <c r="D4888" s="10" t="s">
        <v>267</v>
      </c>
      <c r="E4888" s="10" t="s">
        <v>2342</v>
      </c>
      <c r="F4888" s="30" t="n">
        <v>43011</v>
      </c>
      <c r="G4888" s="30" t="n">
        <v>43017</v>
      </c>
      <c r="H4888" s="26" t="n">
        <f aca="false">G4888-F4888</f>
        <v>6</v>
      </c>
      <c r="I4888" s="10" t="n">
        <f aca="false">IF(E4888="Won",1,0)</f>
        <v>1</v>
      </c>
    </row>
    <row r="4889" customFormat="false" ht="15" hidden="false" customHeight="false" outlineLevel="0" collapsed="false">
      <c r="A4889" s="10" t="s">
        <v>7230</v>
      </c>
      <c r="B4889" s="10" t="s">
        <v>77</v>
      </c>
      <c r="C4889" s="10" t="s">
        <v>49</v>
      </c>
      <c r="D4889" s="10" t="s">
        <v>527</v>
      </c>
      <c r="E4889" s="10" t="s">
        <v>2342</v>
      </c>
      <c r="F4889" s="30" t="n">
        <v>43008</v>
      </c>
      <c r="G4889" s="30" t="n">
        <v>43017</v>
      </c>
      <c r="H4889" s="26" t="n">
        <f aca="false">G4889-F4889</f>
        <v>9</v>
      </c>
      <c r="I4889" s="10" t="n">
        <f aca="false">IF(E4889="Won",1,0)</f>
        <v>1</v>
      </c>
    </row>
    <row r="4890" customFormat="false" ht="15" hidden="false" customHeight="false" outlineLevel="0" collapsed="false">
      <c r="A4890" s="10" t="s">
        <v>7231</v>
      </c>
      <c r="B4890" s="10" t="s">
        <v>71</v>
      </c>
      <c r="C4890" s="10" t="s">
        <v>47</v>
      </c>
      <c r="D4890" s="10" t="s">
        <v>527</v>
      </c>
      <c r="E4890" s="10" t="s">
        <v>2345</v>
      </c>
      <c r="F4890" s="30" t="n">
        <v>43011</v>
      </c>
      <c r="G4890" s="30" t="n">
        <v>43017</v>
      </c>
      <c r="H4890" s="26" t="n">
        <f aca="false">G4890-F4890</f>
        <v>6</v>
      </c>
      <c r="I4890" s="10" t="n">
        <f aca="false">IF(E4890="Won",1,0)</f>
        <v>0</v>
      </c>
    </row>
    <row r="4891" customFormat="false" ht="15" hidden="false" customHeight="false" outlineLevel="0" collapsed="false">
      <c r="A4891" s="10" t="s">
        <v>7232</v>
      </c>
      <c r="B4891" s="10" t="s">
        <v>81</v>
      </c>
      <c r="C4891" s="10" t="s">
        <v>52</v>
      </c>
      <c r="D4891" s="10" t="s">
        <v>410</v>
      </c>
      <c r="E4891" s="10" t="s">
        <v>2342</v>
      </c>
      <c r="F4891" s="30" t="n">
        <v>43010</v>
      </c>
      <c r="G4891" s="30" t="n">
        <v>43017</v>
      </c>
      <c r="H4891" s="26" t="n">
        <f aca="false">G4891-F4891</f>
        <v>7</v>
      </c>
      <c r="I4891" s="10" t="n">
        <f aca="false">IF(E4891="Won",1,0)</f>
        <v>1</v>
      </c>
    </row>
    <row r="4892" customFormat="false" ht="15" hidden="false" customHeight="false" outlineLevel="0" collapsed="false">
      <c r="A4892" s="10" t="s">
        <v>7233</v>
      </c>
      <c r="B4892" s="10" t="s">
        <v>66</v>
      </c>
      <c r="C4892" s="10" t="s">
        <v>48</v>
      </c>
      <c r="D4892" s="10" t="s">
        <v>227</v>
      </c>
      <c r="E4892" s="10" t="s">
        <v>2345</v>
      </c>
      <c r="F4892" s="30" t="n">
        <v>43004</v>
      </c>
      <c r="G4892" s="30" t="n">
        <v>43017</v>
      </c>
      <c r="H4892" s="26" t="n">
        <f aca="false">G4892-F4892</f>
        <v>13</v>
      </c>
      <c r="I4892" s="10" t="n">
        <f aca="false">IF(E4892="Won",1,0)</f>
        <v>0</v>
      </c>
    </row>
    <row r="4893" customFormat="false" ht="15" hidden="false" customHeight="false" outlineLevel="0" collapsed="false">
      <c r="A4893" s="10" t="s">
        <v>7234</v>
      </c>
      <c r="B4893" s="10" t="s">
        <v>79</v>
      </c>
      <c r="C4893" s="10" t="s">
        <v>48</v>
      </c>
      <c r="D4893" s="10" t="s">
        <v>259</v>
      </c>
      <c r="E4893" s="10" t="s">
        <v>2345</v>
      </c>
      <c r="F4893" s="30" t="n">
        <v>43016</v>
      </c>
      <c r="G4893" s="30" t="n">
        <v>43017</v>
      </c>
      <c r="H4893" s="26" t="n">
        <f aca="false">G4893-F4893</f>
        <v>1</v>
      </c>
      <c r="I4893" s="10" t="n">
        <f aca="false">IF(E4893="Won",1,0)</f>
        <v>0</v>
      </c>
    </row>
    <row r="4894" customFormat="false" ht="15" hidden="false" customHeight="false" outlineLevel="0" collapsed="false">
      <c r="A4894" s="10" t="s">
        <v>7235</v>
      </c>
      <c r="B4894" s="10" t="s">
        <v>70</v>
      </c>
      <c r="C4894" s="10" t="s">
        <v>51</v>
      </c>
      <c r="D4894" s="10" t="s">
        <v>170</v>
      </c>
      <c r="E4894" s="10" t="s">
        <v>2345</v>
      </c>
      <c r="F4894" s="30" t="n">
        <v>43008</v>
      </c>
      <c r="G4894" s="30" t="n">
        <v>43017</v>
      </c>
      <c r="H4894" s="26" t="n">
        <f aca="false">G4894-F4894</f>
        <v>9</v>
      </c>
      <c r="I4894" s="10" t="n">
        <f aca="false">IF(E4894="Won",1,0)</f>
        <v>0</v>
      </c>
    </row>
    <row r="4895" customFormat="false" ht="15" hidden="false" customHeight="false" outlineLevel="0" collapsed="false">
      <c r="A4895" s="10" t="s">
        <v>7236</v>
      </c>
      <c r="B4895" s="10" t="s">
        <v>79</v>
      </c>
      <c r="C4895" s="10" t="s">
        <v>47</v>
      </c>
      <c r="D4895" s="10" t="s">
        <v>697</v>
      </c>
      <c r="E4895" s="10" t="s">
        <v>2342</v>
      </c>
      <c r="F4895" s="30" t="n">
        <v>43007</v>
      </c>
      <c r="G4895" s="30" t="n">
        <v>43017</v>
      </c>
      <c r="H4895" s="26" t="n">
        <f aca="false">G4895-F4895</f>
        <v>10</v>
      </c>
      <c r="I4895" s="10" t="n">
        <f aca="false">IF(E4895="Won",1,0)</f>
        <v>1</v>
      </c>
    </row>
    <row r="4896" customFormat="false" ht="15" hidden="false" customHeight="false" outlineLevel="0" collapsed="false">
      <c r="A4896" s="10" t="s">
        <v>7237</v>
      </c>
      <c r="B4896" s="10" t="s">
        <v>77</v>
      </c>
      <c r="C4896" s="10" t="s">
        <v>48</v>
      </c>
      <c r="D4896" s="10" t="s">
        <v>762</v>
      </c>
      <c r="E4896" s="10" t="s">
        <v>2342</v>
      </c>
      <c r="F4896" s="30" t="n">
        <v>43009</v>
      </c>
      <c r="G4896" s="30" t="n">
        <v>43017</v>
      </c>
      <c r="H4896" s="26" t="n">
        <f aca="false">G4896-F4896</f>
        <v>8</v>
      </c>
      <c r="I4896" s="10" t="n">
        <f aca="false">IF(E4896="Won",1,0)</f>
        <v>1</v>
      </c>
    </row>
    <row r="4897" customFormat="false" ht="15" hidden="false" customHeight="false" outlineLevel="0" collapsed="false">
      <c r="A4897" s="10" t="s">
        <v>7238</v>
      </c>
      <c r="B4897" s="10" t="s">
        <v>70</v>
      </c>
      <c r="C4897" s="10" t="s">
        <v>50</v>
      </c>
      <c r="D4897" s="10" t="s">
        <v>437</v>
      </c>
      <c r="E4897" s="10" t="s">
        <v>2342</v>
      </c>
      <c r="F4897" s="30" t="n">
        <v>43015</v>
      </c>
      <c r="G4897" s="30" t="n">
        <v>43017</v>
      </c>
      <c r="H4897" s="26" t="n">
        <f aca="false">G4897-F4897</f>
        <v>2</v>
      </c>
      <c r="I4897" s="10" t="n">
        <f aca="false">IF(E4897="Won",1,0)</f>
        <v>1</v>
      </c>
    </row>
    <row r="4898" customFormat="false" ht="15" hidden="false" customHeight="false" outlineLevel="0" collapsed="false">
      <c r="A4898" s="10" t="s">
        <v>7239</v>
      </c>
      <c r="B4898" s="10" t="s">
        <v>80</v>
      </c>
      <c r="C4898" s="10" t="s">
        <v>50</v>
      </c>
      <c r="D4898" s="10" t="s">
        <v>512</v>
      </c>
      <c r="E4898" s="10" t="s">
        <v>2345</v>
      </c>
      <c r="F4898" s="30" t="n">
        <v>43010</v>
      </c>
      <c r="G4898" s="30" t="n">
        <v>43018</v>
      </c>
      <c r="H4898" s="26" t="n">
        <f aca="false">G4898-F4898</f>
        <v>8</v>
      </c>
      <c r="I4898" s="10" t="n">
        <f aca="false">IF(E4898="Won",1,0)</f>
        <v>0</v>
      </c>
    </row>
    <row r="4899" customFormat="false" ht="15" hidden="false" customHeight="false" outlineLevel="0" collapsed="false">
      <c r="A4899" s="10" t="s">
        <v>7240</v>
      </c>
      <c r="B4899" s="10" t="s">
        <v>79</v>
      </c>
      <c r="C4899" s="10" t="s">
        <v>49</v>
      </c>
      <c r="D4899" s="10" t="s">
        <v>524</v>
      </c>
      <c r="E4899" s="10" t="s">
        <v>2345</v>
      </c>
      <c r="F4899" s="30" t="n">
        <v>43011</v>
      </c>
      <c r="G4899" s="30" t="n">
        <v>43018</v>
      </c>
      <c r="H4899" s="26" t="n">
        <f aca="false">G4899-F4899</f>
        <v>7</v>
      </c>
      <c r="I4899" s="10" t="n">
        <f aca="false">IF(E4899="Won",1,0)</f>
        <v>0</v>
      </c>
    </row>
    <row r="4900" customFormat="false" ht="15" hidden="false" customHeight="false" outlineLevel="0" collapsed="false">
      <c r="A4900" s="10" t="s">
        <v>7241</v>
      </c>
      <c r="B4900" s="10" t="s">
        <v>68</v>
      </c>
      <c r="C4900" s="10" t="s">
        <v>49</v>
      </c>
      <c r="D4900" s="10" t="s">
        <v>172</v>
      </c>
      <c r="E4900" s="10" t="s">
        <v>2345</v>
      </c>
      <c r="F4900" s="30" t="n">
        <v>43007</v>
      </c>
      <c r="G4900" s="30" t="n">
        <v>43018</v>
      </c>
      <c r="H4900" s="26" t="n">
        <f aca="false">G4900-F4900</f>
        <v>11</v>
      </c>
      <c r="I4900" s="10" t="n">
        <f aca="false">IF(E4900="Won",1,0)</f>
        <v>0</v>
      </c>
    </row>
    <row r="4901" customFormat="false" ht="15" hidden="false" customHeight="false" outlineLevel="0" collapsed="false">
      <c r="A4901" s="10" t="s">
        <v>7242</v>
      </c>
      <c r="B4901" s="10" t="s">
        <v>77</v>
      </c>
      <c r="C4901" s="10" t="s">
        <v>52</v>
      </c>
      <c r="D4901" s="10" t="s">
        <v>1251</v>
      </c>
      <c r="E4901" s="10" t="s">
        <v>2345</v>
      </c>
      <c r="F4901" s="30" t="n">
        <v>43016</v>
      </c>
      <c r="G4901" s="30" t="n">
        <v>43018</v>
      </c>
      <c r="H4901" s="26" t="n">
        <f aca="false">G4901-F4901</f>
        <v>2</v>
      </c>
      <c r="I4901" s="10" t="n">
        <f aca="false">IF(E4901="Won",1,0)</f>
        <v>0</v>
      </c>
    </row>
    <row r="4902" customFormat="false" ht="15" hidden="false" customHeight="false" outlineLevel="0" collapsed="false">
      <c r="A4902" s="10" t="s">
        <v>7243</v>
      </c>
      <c r="B4902" s="10" t="s">
        <v>80</v>
      </c>
      <c r="C4902" s="10" t="s">
        <v>51</v>
      </c>
      <c r="D4902" s="10" t="s">
        <v>291</v>
      </c>
      <c r="E4902" s="10" t="s">
        <v>2342</v>
      </c>
      <c r="F4902" s="30" t="n">
        <v>43013</v>
      </c>
      <c r="G4902" s="30" t="n">
        <v>43018</v>
      </c>
      <c r="H4902" s="26" t="n">
        <f aca="false">G4902-F4902</f>
        <v>5</v>
      </c>
      <c r="I4902" s="10" t="n">
        <f aca="false">IF(E4902="Won",1,0)</f>
        <v>1</v>
      </c>
    </row>
    <row r="4903" customFormat="false" ht="15" hidden="false" customHeight="false" outlineLevel="0" collapsed="false">
      <c r="A4903" s="10" t="s">
        <v>7244</v>
      </c>
      <c r="B4903" s="10" t="s">
        <v>73</v>
      </c>
      <c r="C4903" s="10" t="s">
        <v>49</v>
      </c>
      <c r="D4903" s="10" t="s">
        <v>512</v>
      </c>
      <c r="E4903" s="10" t="s">
        <v>2342</v>
      </c>
      <c r="F4903" s="30" t="n">
        <v>43008</v>
      </c>
      <c r="G4903" s="30" t="n">
        <v>43018</v>
      </c>
      <c r="H4903" s="26" t="n">
        <f aca="false">G4903-F4903</f>
        <v>10</v>
      </c>
      <c r="I4903" s="10" t="n">
        <f aca="false">IF(E4903="Won",1,0)</f>
        <v>1</v>
      </c>
    </row>
    <row r="4904" customFormat="false" ht="15" hidden="false" customHeight="false" outlineLevel="0" collapsed="false">
      <c r="A4904" s="10" t="s">
        <v>7245</v>
      </c>
      <c r="B4904" s="10" t="s">
        <v>88</v>
      </c>
      <c r="C4904" s="10" t="s">
        <v>49</v>
      </c>
      <c r="D4904" s="10" t="s">
        <v>441</v>
      </c>
      <c r="E4904" s="10" t="s">
        <v>2345</v>
      </c>
      <c r="F4904" s="30" t="n">
        <v>43013</v>
      </c>
      <c r="G4904" s="30" t="n">
        <v>43018</v>
      </c>
      <c r="H4904" s="26" t="n">
        <f aca="false">G4904-F4904</f>
        <v>5</v>
      </c>
      <c r="I4904" s="10" t="n">
        <f aca="false">IF(E4904="Won",1,0)</f>
        <v>0</v>
      </c>
    </row>
    <row r="4905" customFormat="false" ht="15" hidden="false" customHeight="false" outlineLevel="0" collapsed="false">
      <c r="A4905" s="10" t="s">
        <v>7246</v>
      </c>
      <c r="B4905" s="10" t="s">
        <v>69</v>
      </c>
      <c r="C4905" s="10" t="s">
        <v>52</v>
      </c>
      <c r="D4905" s="10" t="s">
        <v>432</v>
      </c>
      <c r="E4905" s="10" t="s">
        <v>2342</v>
      </c>
      <c r="F4905" s="30" t="n">
        <v>43017</v>
      </c>
      <c r="G4905" s="30" t="n">
        <v>43018</v>
      </c>
      <c r="H4905" s="26" t="n">
        <f aca="false">G4905-F4905</f>
        <v>1</v>
      </c>
      <c r="I4905" s="10" t="n">
        <f aca="false">IF(E4905="Won",1,0)</f>
        <v>1</v>
      </c>
    </row>
    <row r="4906" customFormat="false" ht="15" hidden="false" customHeight="false" outlineLevel="0" collapsed="false">
      <c r="A4906" s="10" t="s">
        <v>7247</v>
      </c>
      <c r="B4906" s="10" t="s">
        <v>94</v>
      </c>
      <c r="C4906" s="10" t="s">
        <v>51</v>
      </c>
      <c r="D4906" s="10" t="s">
        <v>419</v>
      </c>
      <c r="E4906" s="10" t="s">
        <v>2342</v>
      </c>
      <c r="F4906" s="30" t="n">
        <v>43016</v>
      </c>
      <c r="G4906" s="30" t="n">
        <v>43018</v>
      </c>
      <c r="H4906" s="26" t="n">
        <f aca="false">G4906-F4906</f>
        <v>2</v>
      </c>
      <c r="I4906" s="10" t="n">
        <f aca="false">IF(E4906="Won",1,0)</f>
        <v>1</v>
      </c>
    </row>
    <row r="4907" customFormat="false" ht="15" hidden="false" customHeight="false" outlineLevel="0" collapsed="false">
      <c r="A4907" s="10" t="s">
        <v>7248</v>
      </c>
      <c r="B4907" s="10" t="s">
        <v>94</v>
      </c>
      <c r="C4907" s="10" t="s">
        <v>51</v>
      </c>
      <c r="D4907" s="10" t="s">
        <v>286</v>
      </c>
      <c r="E4907" s="10" t="s">
        <v>2342</v>
      </c>
      <c r="F4907" s="30" t="n">
        <v>43017</v>
      </c>
      <c r="G4907" s="30" t="n">
        <v>43018</v>
      </c>
      <c r="H4907" s="26" t="n">
        <f aca="false">G4907-F4907</f>
        <v>1</v>
      </c>
      <c r="I4907" s="10" t="n">
        <f aca="false">IF(E4907="Won",1,0)</f>
        <v>1</v>
      </c>
    </row>
    <row r="4908" customFormat="false" ht="15" hidden="false" customHeight="false" outlineLevel="0" collapsed="false">
      <c r="A4908" s="10" t="s">
        <v>7249</v>
      </c>
      <c r="B4908" s="10" t="s">
        <v>60</v>
      </c>
      <c r="C4908" s="10" t="s">
        <v>51</v>
      </c>
      <c r="D4908" s="10" t="s">
        <v>218</v>
      </c>
      <c r="E4908" s="10" t="s">
        <v>2342</v>
      </c>
      <c r="F4908" s="30" t="n">
        <v>43017</v>
      </c>
      <c r="G4908" s="30" t="n">
        <v>43018</v>
      </c>
      <c r="H4908" s="26" t="n">
        <f aca="false">G4908-F4908</f>
        <v>1</v>
      </c>
      <c r="I4908" s="10" t="n">
        <f aca="false">IF(E4908="Won",1,0)</f>
        <v>1</v>
      </c>
    </row>
    <row r="4909" customFormat="false" ht="15" hidden="false" customHeight="false" outlineLevel="0" collapsed="false">
      <c r="A4909" s="10" t="s">
        <v>7250</v>
      </c>
      <c r="B4909" s="10" t="s">
        <v>77</v>
      </c>
      <c r="C4909" s="10" t="s">
        <v>48</v>
      </c>
      <c r="D4909" s="10" t="s">
        <v>869</v>
      </c>
      <c r="E4909" s="10" t="s">
        <v>2345</v>
      </c>
      <c r="F4909" s="30" t="n">
        <v>43017</v>
      </c>
      <c r="G4909" s="30" t="n">
        <v>43018</v>
      </c>
      <c r="H4909" s="26" t="n">
        <f aca="false">G4909-F4909</f>
        <v>1</v>
      </c>
      <c r="I4909" s="10" t="n">
        <f aca="false">IF(E4909="Won",1,0)</f>
        <v>0</v>
      </c>
    </row>
    <row r="4910" customFormat="false" ht="15" hidden="false" customHeight="false" outlineLevel="0" collapsed="false">
      <c r="A4910" s="10" t="s">
        <v>7251</v>
      </c>
      <c r="B4910" s="10" t="s">
        <v>73</v>
      </c>
      <c r="C4910" s="10" t="s">
        <v>49</v>
      </c>
      <c r="D4910" s="10" t="s">
        <v>311</v>
      </c>
      <c r="E4910" s="10" t="s">
        <v>2342</v>
      </c>
      <c r="F4910" s="30" t="n">
        <v>43011</v>
      </c>
      <c r="G4910" s="30" t="n">
        <v>43018</v>
      </c>
      <c r="H4910" s="26" t="n">
        <f aca="false">G4910-F4910</f>
        <v>7</v>
      </c>
      <c r="I4910" s="10" t="n">
        <f aca="false">IF(E4910="Won",1,0)</f>
        <v>1</v>
      </c>
    </row>
    <row r="4911" customFormat="false" ht="15" hidden="false" customHeight="false" outlineLevel="0" collapsed="false">
      <c r="A4911" s="10" t="s">
        <v>7252</v>
      </c>
      <c r="B4911" s="10" t="s">
        <v>83</v>
      </c>
      <c r="C4911" s="10" t="s">
        <v>50</v>
      </c>
      <c r="D4911" s="10" t="s">
        <v>311</v>
      </c>
      <c r="E4911" s="10" t="s">
        <v>2342</v>
      </c>
      <c r="F4911" s="30" t="n">
        <v>43017</v>
      </c>
      <c r="G4911" s="30" t="n">
        <v>43018</v>
      </c>
      <c r="H4911" s="26" t="n">
        <f aca="false">G4911-F4911</f>
        <v>1</v>
      </c>
      <c r="I4911" s="10" t="n">
        <f aca="false">IF(E4911="Won",1,0)</f>
        <v>1</v>
      </c>
    </row>
    <row r="4912" customFormat="false" ht="15" hidden="false" customHeight="false" outlineLevel="0" collapsed="false">
      <c r="A4912" s="10" t="s">
        <v>7253</v>
      </c>
      <c r="B4912" s="10" t="s">
        <v>63</v>
      </c>
      <c r="C4912" s="10" t="s">
        <v>48</v>
      </c>
      <c r="D4912" s="10" t="s">
        <v>455</v>
      </c>
      <c r="E4912" s="10" t="s">
        <v>2342</v>
      </c>
      <c r="F4912" s="30" t="n">
        <v>43011</v>
      </c>
      <c r="G4912" s="30" t="n">
        <v>43018</v>
      </c>
      <c r="H4912" s="26" t="n">
        <f aca="false">G4912-F4912</f>
        <v>7</v>
      </c>
      <c r="I4912" s="10" t="n">
        <f aca="false">IF(E4912="Won",1,0)</f>
        <v>1</v>
      </c>
    </row>
    <row r="4913" customFormat="false" ht="15" hidden="false" customHeight="false" outlineLevel="0" collapsed="false">
      <c r="A4913" s="10" t="s">
        <v>7254</v>
      </c>
      <c r="B4913" s="10" t="s">
        <v>68</v>
      </c>
      <c r="C4913" s="10" t="s">
        <v>50</v>
      </c>
      <c r="D4913" s="10" t="s">
        <v>506</v>
      </c>
      <c r="E4913" s="10" t="s">
        <v>2345</v>
      </c>
      <c r="F4913" s="30" t="n">
        <v>43016</v>
      </c>
      <c r="G4913" s="30" t="n">
        <v>43018</v>
      </c>
      <c r="H4913" s="26" t="n">
        <f aca="false">G4913-F4913</f>
        <v>2</v>
      </c>
      <c r="I4913" s="10" t="n">
        <f aca="false">IF(E4913="Won",1,0)</f>
        <v>0</v>
      </c>
    </row>
    <row r="4914" customFormat="false" ht="15" hidden="false" customHeight="false" outlineLevel="0" collapsed="false">
      <c r="A4914" s="10" t="s">
        <v>7255</v>
      </c>
      <c r="B4914" s="10" t="s">
        <v>77</v>
      </c>
      <c r="C4914" s="10" t="s">
        <v>48</v>
      </c>
      <c r="D4914" s="10" t="s">
        <v>267</v>
      </c>
      <c r="E4914" s="10" t="s">
        <v>2342</v>
      </c>
      <c r="F4914" s="30" t="n">
        <v>43012</v>
      </c>
      <c r="G4914" s="30" t="n">
        <v>43018</v>
      </c>
      <c r="H4914" s="26" t="n">
        <f aca="false">G4914-F4914</f>
        <v>6</v>
      </c>
      <c r="I4914" s="10" t="n">
        <f aca="false">IF(E4914="Won",1,0)</f>
        <v>1</v>
      </c>
    </row>
    <row r="4915" customFormat="false" ht="15" hidden="false" customHeight="false" outlineLevel="0" collapsed="false">
      <c r="A4915" s="10" t="s">
        <v>7256</v>
      </c>
      <c r="B4915" s="10" t="s">
        <v>87</v>
      </c>
      <c r="C4915" s="10" t="s">
        <v>50</v>
      </c>
      <c r="D4915" s="10" t="s">
        <v>185</v>
      </c>
      <c r="E4915" s="10" t="s">
        <v>2345</v>
      </c>
      <c r="F4915" s="30" t="n">
        <v>43009</v>
      </c>
      <c r="G4915" s="30" t="n">
        <v>43018</v>
      </c>
      <c r="H4915" s="26" t="n">
        <f aca="false">G4915-F4915</f>
        <v>9</v>
      </c>
      <c r="I4915" s="10" t="n">
        <f aca="false">IF(E4915="Won",1,0)</f>
        <v>0</v>
      </c>
    </row>
    <row r="4916" customFormat="false" ht="15" hidden="false" customHeight="false" outlineLevel="0" collapsed="false">
      <c r="A4916" s="10" t="s">
        <v>7257</v>
      </c>
      <c r="B4916" s="10" t="s">
        <v>77</v>
      </c>
      <c r="C4916" s="10" t="s">
        <v>52</v>
      </c>
      <c r="D4916" s="10" t="s">
        <v>259</v>
      </c>
      <c r="E4916" s="10" t="s">
        <v>2342</v>
      </c>
      <c r="F4916" s="30" t="n">
        <v>43011</v>
      </c>
      <c r="G4916" s="30" t="n">
        <v>43018</v>
      </c>
      <c r="H4916" s="26" t="n">
        <f aca="false">G4916-F4916</f>
        <v>7</v>
      </c>
      <c r="I4916" s="10" t="n">
        <f aca="false">IF(E4916="Won",1,0)</f>
        <v>1</v>
      </c>
    </row>
    <row r="4917" customFormat="false" ht="15" hidden="false" customHeight="false" outlineLevel="0" collapsed="false">
      <c r="A4917" s="10" t="s">
        <v>7258</v>
      </c>
      <c r="B4917" s="10" t="s">
        <v>90</v>
      </c>
      <c r="C4917" s="10" t="s">
        <v>48</v>
      </c>
      <c r="D4917" s="10" t="s">
        <v>274</v>
      </c>
      <c r="E4917" s="10" t="s">
        <v>2342</v>
      </c>
      <c r="F4917" s="30" t="n">
        <v>43010</v>
      </c>
      <c r="G4917" s="30" t="n">
        <v>43018</v>
      </c>
      <c r="H4917" s="26" t="n">
        <f aca="false">G4917-F4917</f>
        <v>8</v>
      </c>
      <c r="I4917" s="10" t="n">
        <f aca="false">IF(E4917="Won",1,0)</f>
        <v>1</v>
      </c>
    </row>
    <row r="4918" customFormat="false" ht="15" hidden="false" customHeight="false" outlineLevel="0" collapsed="false">
      <c r="A4918" s="10" t="s">
        <v>7259</v>
      </c>
      <c r="B4918" s="10" t="s">
        <v>77</v>
      </c>
      <c r="C4918" s="10" t="s">
        <v>50</v>
      </c>
      <c r="D4918" s="10" t="s">
        <v>267</v>
      </c>
      <c r="E4918" s="10" t="s">
        <v>2342</v>
      </c>
      <c r="F4918" s="30" t="n">
        <v>43013</v>
      </c>
      <c r="G4918" s="30" t="n">
        <v>43018</v>
      </c>
      <c r="H4918" s="26" t="n">
        <f aca="false">G4918-F4918</f>
        <v>5</v>
      </c>
      <c r="I4918" s="10" t="n">
        <f aca="false">IF(E4918="Won",1,0)</f>
        <v>1</v>
      </c>
    </row>
    <row r="4919" customFormat="false" ht="15" hidden="false" customHeight="false" outlineLevel="0" collapsed="false">
      <c r="A4919" s="10" t="s">
        <v>7260</v>
      </c>
      <c r="B4919" s="10" t="s">
        <v>93</v>
      </c>
      <c r="C4919" s="10" t="s">
        <v>51</v>
      </c>
      <c r="D4919" s="10" t="s">
        <v>711</v>
      </c>
      <c r="E4919" s="10" t="s">
        <v>2345</v>
      </c>
      <c r="F4919" s="30" t="n">
        <v>43013</v>
      </c>
      <c r="G4919" s="30" t="n">
        <v>43018</v>
      </c>
      <c r="H4919" s="26" t="n">
        <f aca="false">G4919-F4919</f>
        <v>5</v>
      </c>
      <c r="I4919" s="10" t="n">
        <f aca="false">IF(E4919="Won",1,0)</f>
        <v>0</v>
      </c>
    </row>
    <row r="4920" customFormat="false" ht="15" hidden="false" customHeight="false" outlineLevel="0" collapsed="false">
      <c r="A4920" s="10" t="s">
        <v>7261</v>
      </c>
      <c r="B4920" s="10" t="s">
        <v>76</v>
      </c>
      <c r="C4920" s="10" t="s">
        <v>52</v>
      </c>
      <c r="D4920" s="10" t="s">
        <v>1948</v>
      </c>
      <c r="E4920" s="10" t="s">
        <v>2342</v>
      </c>
      <c r="F4920" s="30" t="n">
        <v>43014</v>
      </c>
      <c r="G4920" s="30" t="n">
        <v>43019</v>
      </c>
      <c r="H4920" s="26" t="n">
        <f aca="false">G4920-F4920</f>
        <v>5</v>
      </c>
      <c r="I4920" s="10" t="n">
        <f aca="false">IF(E4920="Won",1,0)</f>
        <v>1</v>
      </c>
    </row>
    <row r="4921" customFormat="false" ht="15" hidden="false" customHeight="false" outlineLevel="0" collapsed="false">
      <c r="A4921" s="10" t="s">
        <v>7262</v>
      </c>
      <c r="B4921" s="10" t="s">
        <v>84</v>
      </c>
      <c r="C4921" s="10" t="s">
        <v>52</v>
      </c>
      <c r="D4921" s="10" t="s">
        <v>616</v>
      </c>
      <c r="E4921" s="10" t="s">
        <v>2342</v>
      </c>
      <c r="F4921" s="30" t="n">
        <v>43012</v>
      </c>
      <c r="G4921" s="30" t="n">
        <v>43019</v>
      </c>
      <c r="H4921" s="26" t="n">
        <f aca="false">G4921-F4921</f>
        <v>7</v>
      </c>
      <c r="I4921" s="10" t="n">
        <f aca="false">IF(E4921="Won",1,0)</f>
        <v>1</v>
      </c>
    </row>
    <row r="4922" customFormat="false" ht="15" hidden="false" customHeight="false" outlineLevel="0" collapsed="false">
      <c r="A4922" s="10" t="s">
        <v>7263</v>
      </c>
      <c r="B4922" s="10" t="s">
        <v>63</v>
      </c>
      <c r="C4922" s="10" t="s">
        <v>52</v>
      </c>
      <c r="D4922" s="10" t="s">
        <v>210</v>
      </c>
      <c r="E4922" s="10" t="s">
        <v>2342</v>
      </c>
      <c r="F4922" s="30" t="n">
        <v>43009</v>
      </c>
      <c r="G4922" s="30" t="n">
        <v>43019</v>
      </c>
      <c r="H4922" s="26" t="n">
        <f aca="false">G4922-F4922</f>
        <v>10</v>
      </c>
      <c r="I4922" s="10" t="n">
        <f aca="false">IF(E4922="Won",1,0)</f>
        <v>1</v>
      </c>
    </row>
    <row r="4923" customFormat="false" ht="15" hidden="false" customHeight="false" outlineLevel="0" collapsed="false">
      <c r="A4923" s="10" t="s">
        <v>7264</v>
      </c>
      <c r="B4923" s="10" t="s">
        <v>93</v>
      </c>
      <c r="C4923" s="10" t="s">
        <v>52</v>
      </c>
      <c r="D4923" s="10" t="s">
        <v>170</v>
      </c>
      <c r="E4923" s="10" t="s">
        <v>2345</v>
      </c>
      <c r="F4923" s="30" t="n">
        <v>43007</v>
      </c>
      <c r="G4923" s="30" t="n">
        <v>43019</v>
      </c>
      <c r="H4923" s="26" t="n">
        <f aca="false">G4923-F4923</f>
        <v>12</v>
      </c>
      <c r="I4923" s="10" t="n">
        <f aca="false">IF(E4923="Won",1,0)</f>
        <v>0</v>
      </c>
    </row>
    <row r="4924" customFormat="false" ht="15" hidden="false" customHeight="false" outlineLevel="0" collapsed="false">
      <c r="A4924" s="10" t="s">
        <v>7265</v>
      </c>
      <c r="B4924" s="10" t="s">
        <v>61</v>
      </c>
      <c r="C4924" s="10" t="s">
        <v>48</v>
      </c>
      <c r="D4924" s="10" t="s">
        <v>293</v>
      </c>
      <c r="E4924" s="10" t="s">
        <v>2342</v>
      </c>
      <c r="F4924" s="30" t="n">
        <v>43018</v>
      </c>
      <c r="G4924" s="30" t="n">
        <v>43019</v>
      </c>
      <c r="H4924" s="26" t="n">
        <f aca="false">G4924-F4924</f>
        <v>1</v>
      </c>
      <c r="I4924" s="10" t="n">
        <f aca="false">IF(E4924="Won",1,0)</f>
        <v>1</v>
      </c>
    </row>
    <row r="4925" customFormat="false" ht="15" hidden="false" customHeight="false" outlineLevel="0" collapsed="false">
      <c r="A4925" s="10" t="s">
        <v>7266</v>
      </c>
      <c r="B4925" s="10" t="s">
        <v>95</v>
      </c>
      <c r="C4925" s="10" t="s">
        <v>50</v>
      </c>
      <c r="D4925" s="10" t="s">
        <v>396</v>
      </c>
      <c r="E4925" s="10" t="s">
        <v>2345</v>
      </c>
      <c r="F4925" s="30" t="n">
        <v>43018</v>
      </c>
      <c r="G4925" s="30" t="n">
        <v>43019</v>
      </c>
      <c r="H4925" s="26" t="n">
        <f aca="false">G4925-F4925</f>
        <v>1</v>
      </c>
      <c r="I4925" s="10" t="n">
        <f aca="false">IF(E4925="Won",1,0)</f>
        <v>0</v>
      </c>
    </row>
    <row r="4926" customFormat="false" ht="15" hidden="false" customHeight="false" outlineLevel="0" collapsed="false">
      <c r="A4926" s="10" t="s">
        <v>7267</v>
      </c>
      <c r="B4926" s="10" t="s">
        <v>94</v>
      </c>
      <c r="C4926" s="10" t="s">
        <v>51</v>
      </c>
      <c r="D4926" s="10" t="s">
        <v>344</v>
      </c>
      <c r="E4926" s="10" t="s">
        <v>2342</v>
      </c>
      <c r="F4926" s="30" t="n">
        <v>43018</v>
      </c>
      <c r="G4926" s="30" t="n">
        <v>43019</v>
      </c>
      <c r="H4926" s="26" t="n">
        <f aca="false">G4926-F4926</f>
        <v>1</v>
      </c>
      <c r="I4926" s="10" t="n">
        <f aca="false">IF(E4926="Won",1,0)</f>
        <v>1</v>
      </c>
    </row>
    <row r="4927" customFormat="false" ht="15" hidden="false" customHeight="false" outlineLevel="0" collapsed="false">
      <c r="A4927" s="10" t="s">
        <v>7268</v>
      </c>
      <c r="B4927" s="10" t="s">
        <v>74</v>
      </c>
      <c r="C4927" s="10" t="s">
        <v>47</v>
      </c>
      <c r="D4927" s="10" t="s">
        <v>947</v>
      </c>
      <c r="E4927" s="10" t="s">
        <v>2342</v>
      </c>
      <c r="F4927" s="30" t="n">
        <v>43008</v>
      </c>
      <c r="G4927" s="30" t="n">
        <v>43019</v>
      </c>
      <c r="H4927" s="26" t="n">
        <f aca="false">G4927-F4927</f>
        <v>11</v>
      </c>
      <c r="I4927" s="10" t="n">
        <f aca="false">IF(E4927="Won",1,0)</f>
        <v>1</v>
      </c>
    </row>
    <row r="4928" customFormat="false" ht="15" hidden="false" customHeight="false" outlineLevel="0" collapsed="false">
      <c r="A4928" s="10" t="s">
        <v>7269</v>
      </c>
      <c r="B4928" s="10" t="s">
        <v>73</v>
      </c>
      <c r="C4928" s="10" t="s">
        <v>51</v>
      </c>
      <c r="D4928" s="10" t="s">
        <v>311</v>
      </c>
      <c r="E4928" s="10" t="s">
        <v>2342</v>
      </c>
      <c r="F4928" s="30" t="n">
        <v>43013</v>
      </c>
      <c r="G4928" s="30" t="n">
        <v>43019</v>
      </c>
      <c r="H4928" s="26" t="n">
        <f aca="false">G4928-F4928</f>
        <v>6</v>
      </c>
      <c r="I4928" s="10" t="n">
        <f aca="false">IF(E4928="Won",1,0)</f>
        <v>1</v>
      </c>
    </row>
    <row r="4929" customFormat="false" ht="15" hidden="false" customHeight="false" outlineLevel="0" collapsed="false">
      <c r="A4929" s="10" t="s">
        <v>7270</v>
      </c>
      <c r="B4929" s="10" t="s">
        <v>97</v>
      </c>
      <c r="C4929" s="10" t="s">
        <v>48</v>
      </c>
      <c r="D4929" s="10" t="s">
        <v>606</v>
      </c>
      <c r="E4929" s="10" t="s">
        <v>2342</v>
      </c>
      <c r="F4929" s="30" t="n">
        <v>43011</v>
      </c>
      <c r="G4929" s="30" t="n">
        <v>43019</v>
      </c>
      <c r="H4929" s="26" t="n">
        <f aca="false">G4929-F4929</f>
        <v>8</v>
      </c>
      <c r="I4929" s="10" t="n">
        <f aca="false">IF(E4929="Won",1,0)</f>
        <v>1</v>
      </c>
    </row>
    <row r="4930" customFormat="false" ht="15" hidden="false" customHeight="false" outlineLevel="0" collapsed="false">
      <c r="A4930" s="10" t="s">
        <v>7271</v>
      </c>
      <c r="B4930" s="10" t="s">
        <v>97</v>
      </c>
      <c r="C4930" s="10" t="s">
        <v>51</v>
      </c>
      <c r="D4930" s="10" t="s">
        <v>286</v>
      </c>
      <c r="E4930" s="10" t="s">
        <v>2345</v>
      </c>
      <c r="F4930" s="30" t="n">
        <v>43018</v>
      </c>
      <c r="G4930" s="30" t="n">
        <v>43019</v>
      </c>
      <c r="H4930" s="26" t="n">
        <f aca="false">G4930-F4930</f>
        <v>1</v>
      </c>
      <c r="I4930" s="10" t="n">
        <f aca="false">IF(E4930="Won",1,0)</f>
        <v>0</v>
      </c>
    </row>
    <row r="4931" customFormat="false" ht="15" hidden="false" customHeight="false" outlineLevel="0" collapsed="false">
      <c r="A4931" s="10" t="s">
        <v>7272</v>
      </c>
      <c r="B4931" s="10" t="s">
        <v>84</v>
      </c>
      <c r="C4931" s="10" t="s">
        <v>49</v>
      </c>
      <c r="D4931" s="10" t="s">
        <v>405</v>
      </c>
      <c r="E4931" s="10" t="s">
        <v>2345</v>
      </c>
      <c r="F4931" s="30" t="n">
        <v>43012</v>
      </c>
      <c r="G4931" s="30" t="n">
        <v>43019</v>
      </c>
      <c r="H4931" s="26" t="n">
        <f aca="false">G4931-F4931</f>
        <v>7</v>
      </c>
      <c r="I4931" s="10" t="n">
        <f aca="false">IF(E4931="Won",1,0)</f>
        <v>0</v>
      </c>
    </row>
    <row r="4932" customFormat="false" ht="15" hidden="false" customHeight="false" outlineLevel="0" collapsed="false">
      <c r="A4932" s="10" t="s">
        <v>7273</v>
      </c>
      <c r="B4932" s="10" t="s">
        <v>97</v>
      </c>
      <c r="C4932" s="10" t="s">
        <v>49</v>
      </c>
      <c r="D4932" s="10" t="s">
        <v>210</v>
      </c>
      <c r="E4932" s="10" t="s">
        <v>2345</v>
      </c>
      <c r="F4932" s="30" t="n">
        <v>43017</v>
      </c>
      <c r="G4932" s="30" t="n">
        <v>43019</v>
      </c>
      <c r="H4932" s="26" t="n">
        <f aca="false">G4932-F4932</f>
        <v>2</v>
      </c>
      <c r="I4932" s="10" t="n">
        <f aca="false">IF(E4932="Won",1,0)</f>
        <v>0</v>
      </c>
    </row>
    <row r="4933" customFormat="false" ht="15" hidden="false" customHeight="false" outlineLevel="0" collapsed="false">
      <c r="A4933" s="10" t="s">
        <v>7274</v>
      </c>
      <c r="B4933" s="10" t="s">
        <v>93</v>
      </c>
      <c r="C4933" s="10" t="s">
        <v>47</v>
      </c>
      <c r="D4933" s="10" t="s">
        <v>506</v>
      </c>
      <c r="E4933" s="10" t="s">
        <v>2342</v>
      </c>
      <c r="F4933" s="30" t="n">
        <v>43013</v>
      </c>
      <c r="G4933" s="30" t="n">
        <v>43019</v>
      </c>
      <c r="H4933" s="26" t="n">
        <f aca="false">G4933-F4933</f>
        <v>6</v>
      </c>
      <c r="I4933" s="10" t="n">
        <f aca="false">IF(E4933="Won",1,0)</f>
        <v>1</v>
      </c>
    </row>
    <row r="4934" customFormat="false" ht="15" hidden="false" customHeight="false" outlineLevel="0" collapsed="false">
      <c r="A4934" s="10" t="s">
        <v>7275</v>
      </c>
      <c r="B4934" s="10" t="s">
        <v>69</v>
      </c>
      <c r="C4934" s="10" t="s">
        <v>49</v>
      </c>
      <c r="D4934" s="10" t="s">
        <v>606</v>
      </c>
      <c r="E4934" s="10" t="s">
        <v>2342</v>
      </c>
      <c r="F4934" s="30" t="n">
        <v>43017</v>
      </c>
      <c r="G4934" s="30" t="n">
        <v>43019</v>
      </c>
      <c r="H4934" s="26" t="n">
        <f aca="false">G4934-F4934</f>
        <v>2</v>
      </c>
      <c r="I4934" s="10" t="n">
        <f aca="false">IF(E4934="Won",1,0)</f>
        <v>1</v>
      </c>
    </row>
    <row r="4935" customFormat="false" ht="15" hidden="false" customHeight="false" outlineLevel="0" collapsed="false">
      <c r="A4935" s="10" t="s">
        <v>7276</v>
      </c>
      <c r="B4935" s="10" t="s">
        <v>71</v>
      </c>
      <c r="C4935" s="10" t="s">
        <v>50</v>
      </c>
      <c r="D4935" s="10" t="s">
        <v>279</v>
      </c>
      <c r="E4935" s="10" t="s">
        <v>2342</v>
      </c>
      <c r="F4935" s="30" t="n">
        <v>43018</v>
      </c>
      <c r="G4935" s="30" t="n">
        <v>43019</v>
      </c>
      <c r="H4935" s="26" t="n">
        <f aca="false">G4935-F4935</f>
        <v>1</v>
      </c>
      <c r="I4935" s="10" t="n">
        <f aca="false">IF(E4935="Won",1,0)</f>
        <v>1</v>
      </c>
    </row>
    <row r="4936" customFormat="false" ht="15" hidden="false" customHeight="false" outlineLevel="0" collapsed="false">
      <c r="A4936" s="10" t="s">
        <v>7277</v>
      </c>
      <c r="B4936" s="10" t="s">
        <v>62</v>
      </c>
      <c r="C4936" s="10" t="s">
        <v>52</v>
      </c>
      <c r="D4936" s="10" t="s">
        <v>637</v>
      </c>
      <c r="E4936" s="10" t="s">
        <v>2342</v>
      </c>
      <c r="F4936" s="30" t="n">
        <v>43010</v>
      </c>
      <c r="G4936" s="30" t="n">
        <v>43019</v>
      </c>
      <c r="H4936" s="26" t="n">
        <f aca="false">G4936-F4936</f>
        <v>9</v>
      </c>
      <c r="I4936" s="10" t="n">
        <f aca="false">IF(E4936="Won",1,0)</f>
        <v>1</v>
      </c>
    </row>
    <row r="4937" customFormat="false" ht="15" hidden="false" customHeight="false" outlineLevel="0" collapsed="false">
      <c r="A4937" s="10" t="s">
        <v>7278</v>
      </c>
      <c r="B4937" s="10" t="s">
        <v>97</v>
      </c>
      <c r="C4937" s="10" t="s">
        <v>48</v>
      </c>
      <c r="D4937" s="10" t="s">
        <v>711</v>
      </c>
      <c r="E4937" s="10" t="s">
        <v>2345</v>
      </c>
      <c r="F4937" s="30" t="n">
        <v>43010</v>
      </c>
      <c r="G4937" s="30" t="n">
        <v>43019</v>
      </c>
      <c r="H4937" s="26" t="n">
        <f aca="false">G4937-F4937</f>
        <v>9</v>
      </c>
      <c r="I4937" s="10" t="n">
        <f aca="false">IF(E4937="Won",1,0)</f>
        <v>0</v>
      </c>
    </row>
    <row r="4938" customFormat="false" ht="15" hidden="false" customHeight="false" outlineLevel="0" collapsed="false">
      <c r="A4938" s="10" t="s">
        <v>7279</v>
      </c>
      <c r="B4938" s="10" t="s">
        <v>61</v>
      </c>
      <c r="C4938" s="10" t="s">
        <v>49</v>
      </c>
      <c r="D4938" s="10" t="s">
        <v>1118</v>
      </c>
      <c r="E4938" s="10" t="s">
        <v>2342</v>
      </c>
      <c r="F4938" s="30" t="n">
        <v>43013</v>
      </c>
      <c r="G4938" s="30" t="n">
        <v>43019</v>
      </c>
      <c r="H4938" s="26" t="n">
        <f aca="false">G4938-F4938</f>
        <v>6</v>
      </c>
      <c r="I4938" s="10" t="n">
        <f aca="false">IF(E4938="Won",1,0)</f>
        <v>1</v>
      </c>
    </row>
    <row r="4939" customFormat="false" ht="15" hidden="false" customHeight="false" outlineLevel="0" collapsed="false">
      <c r="A4939" s="10" t="s">
        <v>7280</v>
      </c>
      <c r="B4939" s="10" t="s">
        <v>71</v>
      </c>
      <c r="C4939" s="10" t="s">
        <v>51</v>
      </c>
      <c r="D4939" s="10" t="s">
        <v>369</v>
      </c>
      <c r="E4939" s="10" t="s">
        <v>2345</v>
      </c>
      <c r="F4939" s="30" t="n">
        <v>43009</v>
      </c>
      <c r="G4939" s="30" t="n">
        <v>43019</v>
      </c>
      <c r="H4939" s="26" t="n">
        <f aca="false">G4939-F4939</f>
        <v>10</v>
      </c>
      <c r="I4939" s="10" t="n">
        <f aca="false">IF(E4939="Won",1,0)</f>
        <v>0</v>
      </c>
    </row>
    <row r="4940" customFormat="false" ht="15" hidden="false" customHeight="false" outlineLevel="0" collapsed="false">
      <c r="A4940" s="10" t="s">
        <v>7281</v>
      </c>
      <c r="B4940" s="10" t="s">
        <v>69</v>
      </c>
      <c r="C4940" s="10" t="s">
        <v>51</v>
      </c>
      <c r="D4940" s="10" t="s">
        <v>514</v>
      </c>
      <c r="E4940" s="10" t="s">
        <v>2345</v>
      </c>
      <c r="F4940" s="30" t="n">
        <v>43013</v>
      </c>
      <c r="G4940" s="30" t="n">
        <v>43019</v>
      </c>
      <c r="H4940" s="26" t="n">
        <f aca="false">G4940-F4940</f>
        <v>6</v>
      </c>
      <c r="I4940" s="10" t="n">
        <f aca="false">IF(E4940="Won",1,0)</f>
        <v>0</v>
      </c>
    </row>
    <row r="4941" customFormat="false" ht="15" hidden="false" customHeight="false" outlineLevel="0" collapsed="false">
      <c r="A4941" s="10" t="s">
        <v>7282</v>
      </c>
      <c r="B4941" s="10" t="s">
        <v>97</v>
      </c>
      <c r="C4941" s="10" t="s">
        <v>51</v>
      </c>
      <c r="D4941" s="10" t="s">
        <v>210</v>
      </c>
      <c r="E4941" s="10" t="s">
        <v>2342</v>
      </c>
      <c r="F4941" s="30" t="n">
        <v>43010</v>
      </c>
      <c r="G4941" s="30" t="n">
        <v>43020</v>
      </c>
      <c r="H4941" s="26" t="n">
        <f aca="false">G4941-F4941</f>
        <v>10</v>
      </c>
      <c r="I4941" s="10" t="n">
        <f aca="false">IF(E4941="Won",1,0)</f>
        <v>1</v>
      </c>
    </row>
    <row r="4942" customFormat="false" ht="15" hidden="false" customHeight="false" outlineLevel="0" collapsed="false">
      <c r="A4942" s="10" t="s">
        <v>7283</v>
      </c>
      <c r="B4942" s="10" t="s">
        <v>77</v>
      </c>
      <c r="C4942" s="10" t="s">
        <v>48</v>
      </c>
      <c r="D4942" s="10" t="s">
        <v>422</v>
      </c>
      <c r="E4942" s="10" t="s">
        <v>2345</v>
      </c>
      <c r="F4942" s="30" t="n">
        <v>43008</v>
      </c>
      <c r="G4942" s="30" t="n">
        <v>43020</v>
      </c>
      <c r="H4942" s="26" t="n">
        <f aca="false">G4942-F4942</f>
        <v>12</v>
      </c>
      <c r="I4942" s="10" t="n">
        <f aca="false">IF(E4942="Won",1,0)</f>
        <v>0</v>
      </c>
    </row>
    <row r="4943" customFormat="false" ht="15" hidden="false" customHeight="false" outlineLevel="0" collapsed="false">
      <c r="A4943" s="10" t="s">
        <v>7284</v>
      </c>
      <c r="B4943" s="10" t="s">
        <v>74</v>
      </c>
      <c r="C4943" s="10" t="s">
        <v>50</v>
      </c>
      <c r="D4943" s="10" t="s">
        <v>869</v>
      </c>
      <c r="E4943" s="10" t="s">
        <v>2345</v>
      </c>
      <c r="F4943" s="30" t="n">
        <v>43014</v>
      </c>
      <c r="G4943" s="30" t="n">
        <v>43020</v>
      </c>
      <c r="H4943" s="26" t="n">
        <f aca="false">G4943-F4943</f>
        <v>6</v>
      </c>
      <c r="I4943" s="10" t="n">
        <f aca="false">IF(E4943="Won",1,0)</f>
        <v>0</v>
      </c>
    </row>
    <row r="4944" customFormat="false" ht="15" hidden="false" customHeight="false" outlineLevel="0" collapsed="false">
      <c r="A4944" s="10" t="s">
        <v>7285</v>
      </c>
      <c r="B4944" s="10" t="s">
        <v>70</v>
      </c>
      <c r="C4944" s="10" t="s">
        <v>48</v>
      </c>
      <c r="D4944" s="10" t="s">
        <v>522</v>
      </c>
      <c r="E4944" s="10" t="s">
        <v>2342</v>
      </c>
      <c r="F4944" s="30" t="n">
        <v>43018</v>
      </c>
      <c r="G4944" s="30" t="n">
        <v>43020</v>
      </c>
      <c r="H4944" s="26" t="n">
        <f aca="false">G4944-F4944</f>
        <v>2</v>
      </c>
      <c r="I4944" s="10" t="n">
        <f aca="false">IF(E4944="Won",1,0)</f>
        <v>1</v>
      </c>
    </row>
    <row r="4945" customFormat="false" ht="15" hidden="false" customHeight="false" outlineLevel="0" collapsed="false">
      <c r="A4945" s="10" t="s">
        <v>7286</v>
      </c>
      <c r="B4945" s="10" t="s">
        <v>95</v>
      </c>
      <c r="C4945" s="10" t="s">
        <v>51</v>
      </c>
      <c r="D4945" s="10" t="s">
        <v>483</v>
      </c>
      <c r="E4945" s="10" t="s">
        <v>2342</v>
      </c>
      <c r="F4945" s="30" t="n">
        <v>43018</v>
      </c>
      <c r="G4945" s="30" t="n">
        <v>43020</v>
      </c>
      <c r="H4945" s="26" t="n">
        <f aca="false">G4945-F4945</f>
        <v>2</v>
      </c>
      <c r="I4945" s="10" t="n">
        <f aca="false">IF(E4945="Won",1,0)</f>
        <v>1</v>
      </c>
    </row>
    <row r="4946" customFormat="false" ht="15" hidden="false" customHeight="false" outlineLevel="0" collapsed="false">
      <c r="A4946" s="10" t="s">
        <v>7287</v>
      </c>
      <c r="B4946" s="10" t="s">
        <v>60</v>
      </c>
      <c r="C4946" s="10" t="s">
        <v>52</v>
      </c>
      <c r="D4946" s="10" t="s">
        <v>674</v>
      </c>
      <c r="E4946" s="10" t="s">
        <v>2345</v>
      </c>
      <c r="F4946" s="30" t="n">
        <v>43019</v>
      </c>
      <c r="G4946" s="30" t="n">
        <v>43020</v>
      </c>
      <c r="H4946" s="26" t="n">
        <f aca="false">G4946-F4946</f>
        <v>1</v>
      </c>
      <c r="I4946" s="10" t="n">
        <f aca="false">IF(E4946="Won",1,0)</f>
        <v>0</v>
      </c>
    </row>
    <row r="4947" customFormat="false" ht="15" hidden="false" customHeight="false" outlineLevel="0" collapsed="false">
      <c r="A4947" s="10" t="s">
        <v>7288</v>
      </c>
      <c r="B4947" s="10" t="s">
        <v>71</v>
      </c>
      <c r="C4947" s="10" t="s">
        <v>52</v>
      </c>
      <c r="D4947" s="10" t="s">
        <v>483</v>
      </c>
      <c r="E4947" s="10" t="s">
        <v>2345</v>
      </c>
      <c r="F4947" s="30" t="n">
        <v>43013</v>
      </c>
      <c r="G4947" s="30" t="n">
        <v>43020</v>
      </c>
      <c r="H4947" s="26" t="n">
        <f aca="false">G4947-F4947</f>
        <v>7</v>
      </c>
      <c r="I4947" s="10" t="n">
        <f aca="false">IF(E4947="Won",1,0)</f>
        <v>0</v>
      </c>
    </row>
    <row r="4948" customFormat="false" ht="15" hidden="false" customHeight="false" outlineLevel="0" collapsed="false">
      <c r="A4948" s="10" t="s">
        <v>7289</v>
      </c>
      <c r="B4948" s="10" t="s">
        <v>81</v>
      </c>
      <c r="C4948" s="10" t="s">
        <v>51</v>
      </c>
      <c r="D4948" s="10" t="s">
        <v>869</v>
      </c>
      <c r="E4948" s="10" t="s">
        <v>2345</v>
      </c>
      <c r="F4948" s="30" t="n">
        <v>43009</v>
      </c>
      <c r="G4948" s="30" t="n">
        <v>43020</v>
      </c>
      <c r="H4948" s="26" t="n">
        <f aca="false">G4948-F4948</f>
        <v>11</v>
      </c>
      <c r="I4948" s="10" t="n">
        <f aca="false">IF(E4948="Won",1,0)</f>
        <v>0</v>
      </c>
    </row>
    <row r="4949" customFormat="false" ht="15" hidden="false" customHeight="false" outlineLevel="0" collapsed="false">
      <c r="A4949" s="10" t="s">
        <v>7290</v>
      </c>
      <c r="B4949" s="10" t="s">
        <v>74</v>
      </c>
      <c r="C4949" s="10" t="s">
        <v>51</v>
      </c>
      <c r="D4949" s="10" t="s">
        <v>947</v>
      </c>
      <c r="E4949" s="10" t="s">
        <v>2342</v>
      </c>
      <c r="F4949" s="30" t="n">
        <v>43010</v>
      </c>
      <c r="G4949" s="30" t="n">
        <v>43020</v>
      </c>
      <c r="H4949" s="26" t="n">
        <f aca="false">G4949-F4949</f>
        <v>10</v>
      </c>
      <c r="I4949" s="10" t="n">
        <f aca="false">IF(E4949="Won",1,0)</f>
        <v>1</v>
      </c>
    </row>
    <row r="4950" customFormat="false" ht="15" hidden="false" customHeight="false" outlineLevel="0" collapsed="false">
      <c r="A4950" s="10" t="s">
        <v>7291</v>
      </c>
      <c r="B4950" s="10" t="s">
        <v>90</v>
      </c>
      <c r="C4950" s="10" t="s">
        <v>49</v>
      </c>
      <c r="D4950" s="10" t="s">
        <v>286</v>
      </c>
      <c r="E4950" s="10" t="s">
        <v>2342</v>
      </c>
      <c r="F4950" s="30" t="n">
        <v>43010</v>
      </c>
      <c r="G4950" s="30" t="n">
        <v>43020</v>
      </c>
      <c r="H4950" s="26" t="n">
        <f aca="false">G4950-F4950</f>
        <v>10</v>
      </c>
      <c r="I4950" s="10" t="n">
        <f aca="false">IF(E4950="Won",1,0)</f>
        <v>1</v>
      </c>
    </row>
    <row r="4951" customFormat="false" ht="15" hidden="false" customHeight="false" outlineLevel="0" collapsed="false">
      <c r="A4951" s="10" t="s">
        <v>7292</v>
      </c>
      <c r="B4951" s="10" t="s">
        <v>77</v>
      </c>
      <c r="C4951" s="10" t="s">
        <v>50</v>
      </c>
      <c r="D4951" s="10" t="s">
        <v>410</v>
      </c>
      <c r="E4951" s="10" t="s">
        <v>2345</v>
      </c>
      <c r="F4951" s="30" t="n">
        <v>43010</v>
      </c>
      <c r="G4951" s="30" t="n">
        <v>43020</v>
      </c>
      <c r="H4951" s="26" t="n">
        <f aca="false">G4951-F4951</f>
        <v>10</v>
      </c>
      <c r="I4951" s="10" t="n">
        <f aca="false">IF(E4951="Won",1,0)</f>
        <v>0</v>
      </c>
    </row>
    <row r="4952" customFormat="false" ht="15" hidden="false" customHeight="false" outlineLevel="0" collapsed="false">
      <c r="A4952" s="10" t="s">
        <v>7293</v>
      </c>
      <c r="B4952" s="10" t="s">
        <v>77</v>
      </c>
      <c r="C4952" s="10" t="s">
        <v>48</v>
      </c>
      <c r="D4952" s="10" t="s">
        <v>947</v>
      </c>
      <c r="E4952" s="10" t="s">
        <v>2345</v>
      </c>
      <c r="F4952" s="30" t="n">
        <v>43012</v>
      </c>
      <c r="G4952" s="30" t="n">
        <v>43020</v>
      </c>
      <c r="H4952" s="26" t="n">
        <f aca="false">G4952-F4952</f>
        <v>8</v>
      </c>
      <c r="I4952" s="10" t="n">
        <f aca="false">IF(E4952="Won",1,0)</f>
        <v>0</v>
      </c>
    </row>
    <row r="4953" customFormat="false" ht="15" hidden="false" customHeight="false" outlineLevel="0" collapsed="false">
      <c r="A4953" s="10" t="s">
        <v>7294</v>
      </c>
      <c r="B4953" s="10" t="s">
        <v>94</v>
      </c>
      <c r="C4953" s="10" t="s">
        <v>52</v>
      </c>
      <c r="D4953" s="10" t="s">
        <v>344</v>
      </c>
      <c r="E4953" s="10" t="s">
        <v>2342</v>
      </c>
      <c r="F4953" s="30" t="n">
        <v>43019</v>
      </c>
      <c r="G4953" s="30" t="n">
        <v>43020</v>
      </c>
      <c r="H4953" s="26" t="n">
        <f aca="false">G4953-F4953</f>
        <v>1</v>
      </c>
      <c r="I4953" s="10" t="n">
        <f aca="false">IF(E4953="Won",1,0)</f>
        <v>1</v>
      </c>
    </row>
    <row r="4954" customFormat="false" ht="15" hidden="false" customHeight="false" outlineLevel="0" collapsed="false">
      <c r="A4954" s="10" t="s">
        <v>7295</v>
      </c>
      <c r="B4954" s="10" t="s">
        <v>61</v>
      </c>
      <c r="C4954" s="10" t="s">
        <v>50</v>
      </c>
      <c r="D4954" s="10" t="s">
        <v>1397</v>
      </c>
      <c r="E4954" s="10" t="s">
        <v>2345</v>
      </c>
      <c r="F4954" s="30" t="n">
        <v>43010</v>
      </c>
      <c r="G4954" s="30" t="n">
        <v>43020</v>
      </c>
      <c r="H4954" s="26" t="n">
        <f aca="false">G4954-F4954</f>
        <v>10</v>
      </c>
      <c r="I4954" s="10" t="n">
        <f aca="false">IF(E4954="Won",1,0)</f>
        <v>0</v>
      </c>
    </row>
    <row r="4955" customFormat="false" ht="15" hidden="false" customHeight="false" outlineLevel="0" collapsed="false">
      <c r="A4955" s="10" t="s">
        <v>7296</v>
      </c>
      <c r="B4955" s="10" t="s">
        <v>90</v>
      </c>
      <c r="C4955" s="10" t="s">
        <v>49</v>
      </c>
      <c r="D4955" s="10" t="s">
        <v>1118</v>
      </c>
      <c r="E4955" s="10" t="s">
        <v>2342</v>
      </c>
      <c r="F4955" s="30" t="n">
        <v>43010</v>
      </c>
      <c r="G4955" s="30" t="n">
        <v>43020</v>
      </c>
      <c r="H4955" s="26" t="n">
        <f aca="false">G4955-F4955</f>
        <v>10</v>
      </c>
      <c r="I4955" s="10" t="n">
        <f aca="false">IF(E4955="Won",1,0)</f>
        <v>1</v>
      </c>
    </row>
    <row r="4956" customFormat="false" ht="15" hidden="false" customHeight="false" outlineLevel="0" collapsed="false">
      <c r="A4956" s="10" t="s">
        <v>7297</v>
      </c>
      <c r="B4956" s="10" t="s">
        <v>88</v>
      </c>
      <c r="C4956" s="10" t="s">
        <v>48</v>
      </c>
      <c r="D4956" s="10" t="s">
        <v>616</v>
      </c>
      <c r="E4956" s="10" t="s">
        <v>2342</v>
      </c>
      <c r="F4956" s="30" t="n">
        <v>43019</v>
      </c>
      <c r="G4956" s="30" t="n">
        <v>43020</v>
      </c>
      <c r="H4956" s="26" t="n">
        <f aca="false">G4956-F4956</f>
        <v>1</v>
      </c>
      <c r="I4956" s="10" t="n">
        <f aca="false">IF(E4956="Won",1,0)</f>
        <v>1</v>
      </c>
    </row>
    <row r="4957" customFormat="false" ht="15" hidden="false" customHeight="false" outlineLevel="0" collapsed="false">
      <c r="A4957" s="10" t="s">
        <v>7298</v>
      </c>
      <c r="B4957" s="10" t="s">
        <v>80</v>
      </c>
      <c r="C4957" s="10" t="s">
        <v>52</v>
      </c>
      <c r="D4957" s="10" t="s">
        <v>279</v>
      </c>
      <c r="E4957" s="10" t="s">
        <v>2342</v>
      </c>
      <c r="F4957" s="30" t="n">
        <v>43013</v>
      </c>
      <c r="G4957" s="30" t="n">
        <v>43020</v>
      </c>
      <c r="H4957" s="26" t="n">
        <f aca="false">G4957-F4957</f>
        <v>7</v>
      </c>
      <c r="I4957" s="10" t="n">
        <f aca="false">IF(E4957="Won",1,0)</f>
        <v>1</v>
      </c>
    </row>
    <row r="4958" customFormat="false" ht="15" hidden="false" customHeight="false" outlineLevel="0" collapsed="false">
      <c r="A4958" s="10" t="s">
        <v>7299</v>
      </c>
      <c r="B4958" s="10" t="s">
        <v>93</v>
      </c>
      <c r="C4958" s="10" t="s">
        <v>51</v>
      </c>
      <c r="D4958" s="10" t="s">
        <v>199</v>
      </c>
      <c r="E4958" s="10" t="s">
        <v>2345</v>
      </c>
      <c r="F4958" s="30" t="n">
        <v>43019</v>
      </c>
      <c r="G4958" s="30" t="n">
        <v>43021</v>
      </c>
      <c r="H4958" s="26" t="n">
        <f aca="false">G4958-F4958</f>
        <v>2</v>
      </c>
      <c r="I4958" s="10" t="n">
        <f aca="false">IF(E4958="Won",1,0)</f>
        <v>0</v>
      </c>
    </row>
    <row r="4959" customFormat="false" ht="15" hidden="false" customHeight="false" outlineLevel="0" collapsed="false">
      <c r="A4959" s="10" t="s">
        <v>7300</v>
      </c>
      <c r="B4959" s="10" t="s">
        <v>77</v>
      </c>
      <c r="C4959" s="10" t="s">
        <v>47</v>
      </c>
      <c r="D4959" s="10" t="s">
        <v>527</v>
      </c>
      <c r="E4959" s="10" t="s">
        <v>2345</v>
      </c>
      <c r="F4959" s="30" t="n">
        <v>43019</v>
      </c>
      <c r="G4959" s="30" t="n">
        <v>43021</v>
      </c>
      <c r="H4959" s="26" t="n">
        <f aca="false">G4959-F4959</f>
        <v>2</v>
      </c>
      <c r="I4959" s="10" t="n">
        <f aca="false">IF(E4959="Won",1,0)</f>
        <v>0</v>
      </c>
    </row>
    <row r="4960" customFormat="false" ht="15" hidden="false" customHeight="false" outlineLevel="0" collapsed="false">
      <c r="A4960" s="10" t="s">
        <v>7301</v>
      </c>
      <c r="B4960" s="10" t="s">
        <v>74</v>
      </c>
      <c r="C4960" s="10" t="s">
        <v>51</v>
      </c>
      <c r="D4960" s="10" t="s">
        <v>762</v>
      </c>
      <c r="E4960" s="10" t="s">
        <v>2342</v>
      </c>
      <c r="F4960" s="30" t="n">
        <v>43015</v>
      </c>
      <c r="G4960" s="30" t="n">
        <v>43021</v>
      </c>
      <c r="H4960" s="26" t="n">
        <f aca="false">G4960-F4960</f>
        <v>6</v>
      </c>
      <c r="I4960" s="10" t="n">
        <f aca="false">IF(E4960="Won",1,0)</f>
        <v>1</v>
      </c>
    </row>
    <row r="4961" customFormat="false" ht="15" hidden="false" customHeight="false" outlineLevel="0" collapsed="false">
      <c r="A4961" s="10" t="s">
        <v>7302</v>
      </c>
      <c r="B4961" s="10" t="s">
        <v>87</v>
      </c>
      <c r="C4961" s="10" t="s">
        <v>50</v>
      </c>
      <c r="D4961" s="10" t="s">
        <v>185</v>
      </c>
      <c r="E4961" s="10" t="s">
        <v>2342</v>
      </c>
      <c r="F4961" s="30" t="n">
        <v>43015</v>
      </c>
      <c r="G4961" s="30" t="n">
        <v>43021</v>
      </c>
      <c r="H4961" s="26" t="n">
        <f aca="false">G4961-F4961</f>
        <v>6</v>
      </c>
      <c r="I4961" s="10" t="n">
        <f aca="false">IF(E4961="Won",1,0)</f>
        <v>1</v>
      </c>
    </row>
    <row r="4962" customFormat="false" ht="15" hidden="false" customHeight="false" outlineLevel="0" collapsed="false">
      <c r="A4962" s="10" t="s">
        <v>7303</v>
      </c>
      <c r="B4962" s="10" t="s">
        <v>71</v>
      </c>
      <c r="C4962" s="10" t="s">
        <v>52</v>
      </c>
      <c r="D4962" s="10" t="s">
        <v>410</v>
      </c>
      <c r="E4962" s="10" t="s">
        <v>2345</v>
      </c>
      <c r="F4962" s="30" t="n">
        <v>43012</v>
      </c>
      <c r="G4962" s="30" t="n">
        <v>43021</v>
      </c>
      <c r="H4962" s="26" t="n">
        <f aca="false">G4962-F4962</f>
        <v>9</v>
      </c>
      <c r="I4962" s="10" t="n">
        <f aca="false">IF(E4962="Won",1,0)</f>
        <v>0</v>
      </c>
    </row>
    <row r="4963" customFormat="false" ht="15" hidden="false" customHeight="false" outlineLevel="0" collapsed="false">
      <c r="A4963" s="10" t="s">
        <v>7304</v>
      </c>
      <c r="B4963" s="10" t="s">
        <v>70</v>
      </c>
      <c r="C4963" s="10" t="s">
        <v>52</v>
      </c>
      <c r="D4963" s="10" t="s">
        <v>384</v>
      </c>
      <c r="E4963" s="10" t="s">
        <v>2345</v>
      </c>
      <c r="F4963" s="30" t="n">
        <v>43012</v>
      </c>
      <c r="G4963" s="30" t="n">
        <v>43021</v>
      </c>
      <c r="H4963" s="26" t="n">
        <f aca="false">G4963-F4963</f>
        <v>9</v>
      </c>
      <c r="I4963" s="10" t="n">
        <f aca="false">IF(E4963="Won",1,0)</f>
        <v>0</v>
      </c>
    </row>
    <row r="4964" customFormat="false" ht="15" hidden="false" customHeight="false" outlineLevel="0" collapsed="false">
      <c r="A4964" s="10" t="s">
        <v>7305</v>
      </c>
      <c r="B4964" s="10" t="s">
        <v>71</v>
      </c>
      <c r="C4964" s="10" t="s">
        <v>47</v>
      </c>
      <c r="D4964" s="10" t="s">
        <v>597</v>
      </c>
      <c r="E4964" s="10" t="s">
        <v>2342</v>
      </c>
      <c r="F4964" s="30" t="n">
        <v>43015</v>
      </c>
      <c r="G4964" s="30" t="n">
        <v>43021</v>
      </c>
      <c r="H4964" s="26" t="n">
        <f aca="false">G4964-F4964</f>
        <v>6</v>
      </c>
      <c r="I4964" s="10" t="n">
        <f aca="false">IF(E4964="Won",1,0)</f>
        <v>1</v>
      </c>
    </row>
    <row r="4965" customFormat="false" ht="15" hidden="false" customHeight="false" outlineLevel="0" collapsed="false">
      <c r="A4965" s="10" t="s">
        <v>7306</v>
      </c>
      <c r="B4965" s="10" t="s">
        <v>80</v>
      </c>
      <c r="C4965" s="10" t="s">
        <v>49</v>
      </c>
      <c r="D4965" s="10" t="s">
        <v>524</v>
      </c>
      <c r="E4965" s="10" t="s">
        <v>2345</v>
      </c>
      <c r="F4965" s="30" t="n">
        <v>43020</v>
      </c>
      <c r="G4965" s="30" t="n">
        <v>43021</v>
      </c>
      <c r="H4965" s="26" t="n">
        <f aca="false">G4965-F4965</f>
        <v>1</v>
      </c>
      <c r="I4965" s="10" t="n">
        <f aca="false">IF(E4965="Won",1,0)</f>
        <v>0</v>
      </c>
    </row>
    <row r="4966" customFormat="false" ht="15" hidden="false" customHeight="false" outlineLevel="0" collapsed="false">
      <c r="A4966" s="10" t="s">
        <v>7307</v>
      </c>
      <c r="B4966" s="10" t="s">
        <v>66</v>
      </c>
      <c r="C4966" s="10" t="s">
        <v>52</v>
      </c>
      <c r="D4966" s="10" t="s">
        <v>210</v>
      </c>
      <c r="E4966" s="10" t="s">
        <v>2345</v>
      </c>
      <c r="F4966" s="30" t="n">
        <v>43011</v>
      </c>
      <c r="G4966" s="30" t="n">
        <v>43021</v>
      </c>
      <c r="H4966" s="26" t="n">
        <f aca="false">G4966-F4966</f>
        <v>10</v>
      </c>
      <c r="I4966" s="10" t="n">
        <f aca="false">IF(E4966="Won",1,0)</f>
        <v>0</v>
      </c>
    </row>
    <row r="4967" customFormat="false" ht="15" hidden="false" customHeight="false" outlineLevel="0" collapsed="false">
      <c r="A4967" s="10" t="s">
        <v>7308</v>
      </c>
      <c r="B4967" s="10" t="s">
        <v>95</v>
      </c>
      <c r="C4967" s="10" t="s">
        <v>51</v>
      </c>
      <c r="D4967" s="10" t="s">
        <v>286</v>
      </c>
      <c r="E4967" s="10" t="s">
        <v>2345</v>
      </c>
      <c r="F4967" s="30" t="n">
        <v>43019</v>
      </c>
      <c r="G4967" s="30" t="n">
        <v>43021</v>
      </c>
      <c r="H4967" s="26" t="n">
        <f aca="false">G4967-F4967</f>
        <v>2</v>
      </c>
      <c r="I4967" s="10" t="n">
        <f aca="false">IF(E4967="Won",1,0)</f>
        <v>0</v>
      </c>
    </row>
    <row r="4968" customFormat="false" ht="15" hidden="false" customHeight="false" outlineLevel="0" collapsed="false">
      <c r="A4968" s="10" t="s">
        <v>7309</v>
      </c>
      <c r="B4968" s="10" t="s">
        <v>75</v>
      </c>
      <c r="C4968" s="10" t="s">
        <v>49</v>
      </c>
      <c r="D4968" s="10" t="s">
        <v>414</v>
      </c>
      <c r="E4968" s="10" t="s">
        <v>2342</v>
      </c>
      <c r="F4968" s="30" t="n">
        <v>43020</v>
      </c>
      <c r="G4968" s="30" t="n">
        <v>43021</v>
      </c>
      <c r="H4968" s="26" t="n">
        <f aca="false">G4968-F4968</f>
        <v>1</v>
      </c>
      <c r="I4968" s="10" t="n">
        <f aca="false">IF(E4968="Won",1,0)</f>
        <v>1</v>
      </c>
    </row>
    <row r="4969" customFormat="false" ht="15" hidden="false" customHeight="false" outlineLevel="0" collapsed="false">
      <c r="A4969" s="10" t="s">
        <v>7310</v>
      </c>
      <c r="B4969" s="10" t="s">
        <v>83</v>
      </c>
      <c r="C4969" s="10" t="s">
        <v>50</v>
      </c>
      <c r="D4969" s="10" t="s">
        <v>512</v>
      </c>
      <c r="E4969" s="10" t="s">
        <v>2345</v>
      </c>
      <c r="F4969" s="30" t="n">
        <v>43013</v>
      </c>
      <c r="G4969" s="30" t="n">
        <v>43021</v>
      </c>
      <c r="H4969" s="26" t="n">
        <f aca="false">G4969-F4969</f>
        <v>8</v>
      </c>
      <c r="I4969" s="10" t="n">
        <f aca="false">IF(E4969="Won",1,0)</f>
        <v>0</v>
      </c>
    </row>
    <row r="4970" customFormat="false" ht="15" hidden="false" customHeight="false" outlineLevel="0" collapsed="false">
      <c r="A4970" s="10" t="s">
        <v>7311</v>
      </c>
      <c r="B4970" s="10" t="s">
        <v>57</v>
      </c>
      <c r="C4970" s="10" t="s">
        <v>48</v>
      </c>
      <c r="D4970" s="10" t="s">
        <v>218</v>
      </c>
      <c r="E4970" s="10" t="s">
        <v>2345</v>
      </c>
      <c r="F4970" s="30" t="n">
        <v>43013</v>
      </c>
      <c r="G4970" s="30" t="n">
        <v>43021</v>
      </c>
      <c r="H4970" s="26" t="n">
        <f aca="false">G4970-F4970</f>
        <v>8</v>
      </c>
      <c r="I4970" s="10" t="n">
        <f aca="false">IF(E4970="Won",1,0)</f>
        <v>0</v>
      </c>
    </row>
    <row r="4971" customFormat="false" ht="15" hidden="false" customHeight="false" outlineLevel="0" collapsed="false">
      <c r="A4971" s="10" t="s">
        <v>7312</v>
      </c>
      <c r="B4971" s="10" t="s">
        <v>74</v>
      </c>
      <c r="C4971" s="10" t="s">
        <v>49</v>
      </c>
      <c r="D4971" s="10" t="s">
        <v>483</v>
      </c>
      <c r="E4971" s="10" t="s">
        <v>2345</v>
      </c>
      <c r="F4971" s="30" t="n">
        <v>43010</v>
      </c>
      <c r="G4971" s="30" t="n">
        <v>43021</v>
      </c>
      <c r="H4971" s="26" t="n">
        <f aca="false">G4971-F4971</f>
        <v>11</v>
      </c>
      <c r="I4971" s="10" t="n">
        <f aca="false">IF(E4971="Won",1,0)</f>
        <v>0</v>
      </c>
    </row>
    <row r="4972" customFormat="false" ht="15" hidden="false" customHeight="false" outlineLevel="0" collapsed="false">
      <c r="A4972" s="10" t="s">
        <v>7313</v>
      </c>
      <c r="B4972" s="10" t="s">
        <v>94</v>
      </c>
      <c r="C4972" s="10" t="s">
        <v>47</v>
      </c>
      <c r="D4972" s="10" t="s">
        <v>199</v>
      </c>
      <c r="E4972" s="10" t="s">
        <v>2342</v>
      </c>
      <c r="F4972" s="30" t="n">
        <v>43009</v>
      </c>
      <c r="G4972" s="30" t="n">
        <v>43021</v>
      </c>
      <c r="H4972" s="26" t="n">
        <f aca="false">G4972-F4972</f>
        <v>12</v>
      </c>
      <c r="I4972" s="10" t="n">
        <f aca="false">IF(E4972="Won",1,0)</f>
        <v>1</v>
      </c>
    </row>
    <row r="4973" customFormat="false" ht="15" hidden="false" customHeight="false" outlineLevel="0" collapsed="false">
      <c r="A4973" s="10" t="s">
        <v>7314</v>
      </c>
      <c r="B4973" s="10" t="s">
        <v>71</v>
      </c>
      <c r="C4973" s="10" t="s">
        <v>49</v>
      </c>
      <c r="D4973" s="10" t="s">
        <v>869</v>
      </c>
      <c r="E4973" s="10" t="s">
        <v>2345</v>
      </c>
      <c r="F4973" s="30" t="n">
        <v>43019</v>
      </c>
      <c r="G4973" s="30" t="n">
        <v>43021</v>
      </c>
      <c r="H4973" s="26" t="n">
        <f aca="false">G4973-F4973</f>
        <v>2</v>
      </c>
      <c r="I4973" s="10" t="n">
        <f aca="false">IF(E4973="Won",1,0)</f>
        <v>0</v>
      </c>
    </row>
    <row r="4974" customFormat="false" ht="15" hidden="false" customHeight="false" outlineLevel="0" collapsed="false">
      <c r="A4974" s="10" t="s">
        <v>7315</v>
      </c>
      <c r="B4974" s="10" t="s">
        <v>77</v>
      </c>
      <c r="C4974" s="10" t="s">
        <v>49</v>
      </c>
      <c r="D4974" s="10" t="s">
        <v>524</v>
      </c>
      <c r="E4974" s="10" t="s">
        <v>2342</v>
      </c>
      <c r="F4974" s="30" t="n">
        <v>43021</v>
      </c>
      <c r="G4974" s="30" t="n">
        <v>43022</v>
      </c>
      <c r="H4974" s="26" t="n">
        <f aca="false">G4974-F4974</f>
        <v>1</v>
      </c>
      <c r="I4974" s="10" t="n">
        <f aca="false">IF(E4974="Won",1,0)</f>
        <v>1</v>
      </c>
    </row>
    <row r="4975" customFormat="false" ht="15" hidden="false" customHeight="false" outlineLevel="0" collapsed="false">
      <c r="A4975" s="10" t="s">
        <v>7316</v>
      </c>
      <c r="B4975" s="10" t="s">
        <v>95</v>
      </c>
      <c r="C4975" s="10" t="s">
        <v>51</v>
      </c>
      <c r="D4975" s="10" t="s">
        <v>432</v>
      </c>
      <c r="E4975" s="10" t="s">
        <v>2342</v>
      </c>
      <c r="F4975" s="30" t="n">
        <v>43018</v>
      </c>
      <c r="G4975" s="30" t="n">
        <v>43022</v>
      </c>
      <c r="H4975" s="26" t="n">
        <f aca="false">G4975-F4975</f>
        <v>4</v>
      </c>
      <c r="I4975" s="10" t="n">
        <f aca="false">IF(E4975="Won",1,0)</f>
        <v>1</v>
      </c>
    </row>
    <row r="4976" customFormat="false" ht="15" hidden="false" customHeight="false" outlineLevel="0" collapsed="false">
      <c r="A4976" s="10" t="s">
        <v>7317</v>
      </c>
      <c r="B4976" s="10" t="s">
        <v>79</v>
      </c>
      <c r="C4976" s="10" t="s">
        <v>50</v>
      </c>
      <c r="D4976" s="10" t="s">
        <v>762</v>
      </c>
      <c r="E4976" s="10" t="s">
        <v>2345</v>
      </c>
      <c r="F4976" s="30" t="n">
        <v>43016</v>
      </c>
      <c r="G4976" s="30" t="n">
        <v>43022</v>
      </c>
      <c r="H4976" s="26" t="n">
        <f aca="false">G4976-F4976</f>
        <v>6</v>
      </c>
      <c r="I4976" s="10" t="n">
        <f aca="false">IF(E4976="Won",1,0)</f>
        <v>0</v>
      </c>
    </row>
    <row r="4977" customFormat="false" ht="15" hidden="false" customHeight="false" outlineLevel="0" collapsed="false">
      <c r="A4977" s="10" t="s">
        <v>7318</v>
      </c>
      <c r="B4977" s="10" t="s">
        <v>71</v>
      </c>
      <c r="C4977" s="10" t="s">
        <v>47</v>
      </c>
      <c r="D4977" s="10" t="s">
        <v>414</v>
      </c>
      <c r="E4977" s="10" t="s">
        <v>2345</v>
      </c>
      <c r="F4977" s="30" t="n">
        <v>43010</v>
      </c>
      <c r="G4977" s="30" t="n">
        <v>43022</v>
      </c>
      <c r="H4977" s="26" t="n">
        <f aca="false">G4977-F4977</f>
        <v>12</v>
      </c>
      <c r="I4977" s="10" t="n">
        <f aca="false">IF(E4977="Won",1,0)</f>
        <v>0</v>
      </c>
    </row>
    <row r="4978" customFormat="false" ht="15" hidden="false" customHeight="false" outlineLevel="0" collapsed="false">
      <c r="A4978" s="10" t="s">
        <v>7319</v>
      </c>
      <c r="B4978" s="10" t="s">
        <v>75</v>
      </c>
      <c r="C4978" s="10" t="s">
        <v>51</v>
      </c>
      <c r="D4978" s="10" t="s">
        <v>279</v>
      </c>
      <c r="E4978" s="10" t="s">
        <v>2342</v>
      </c>
      <c r="F4978" s="30" t="n">
        <v>43014</v>
      </c>
      <c r="G4978" s="30" t="n">
        <v>43022</v>
      </c>
      <c r="H4978" s="26" t="n">
        <f aca="false">G4978-F4978</f>
        <v>8</v>
      </c>
      <c r="I4978" s="10" t="n">
        <f aca="false">IF(E4978="Won",1,0)</f>
        <v>1</v>
      </c>
    </row>
    <row r="4979" customFormat="false" ht="15" hidden="false" customHeight="false" outlineLevel="0" collapsed="false">
      <c r="A4979" s="10" t="s">
        <v>7320</v>
      </c>
      <c r="B4979" s="10" t="s">
        <v>95</v>
      </c>
      <c r="C4979" s="10" t="s">
        <v>51</v>
      </c>
      <c r="D4979" s="10" t="s">
        <v>711</v>
      </c>
      <c r="E4979" s="10" t="s">
        <v>2345</v>
      </c>
      <c r="F4979" s="30" t="n">
        <v>43018</v>
      </c>
      <c r="G4979" s="30" t="n">
        <v>43022</v>
      </c>
      <c r="H4979" s="26" t="n">
        <f aca="false">G4979-F4979</f>
        <v>4</v>
      </c>
      <c r="I4979" s="10" t="n">
        <f aca="false">IF(E4979="Won",1,0)</f>
        <v>0</v>
      </c>
    </row>
    <row r="4980" customFormat="false" ht="15" hidden="false" customHeight="false" outlineLevel="0" collapsed="false">
      <c r="A4980" s="10" t="s">
        <v>7321</v>
      </c>
      <c r="B4980" s="10" t="s">
        <v>76</v>
      </c>
      <c r="C4980" s="10" t="s">
        <v>49</v>
      </c>
      <c r="D4980" s="10" t="s">
        <v>267</v>
      </c>
      <c r="E4980" s="10" t="s">
        <v>2342</v>
      </c>
      <c r="F4980" s="30" t="n">
        <v>43017</v>
      </c>
      <c r="G4980" s="30" t="n">
        <v>43022</v>
      </c>
      <c r="H4980" s="26" t="n">
        <f aca="false">G4980-F4980</f>
        <v>5</v>
      </c>
      <c r="I4980" s="10" t="n">
        <f aca="false">IF(E4980="Won",1,0)</f>
        <v>1</v>
      </c>
    </row>
    <row r="4981" customFormat="false" ht="15" hidden="false" customHeight="false" outlineLevel="0" collapsed="false">
      <c r="A4981" s="10" t="s">
        <v>7322</v>
      </c>
      <c r="B4981" s="10" t="s">
        <v>68</v>
      </c>
      <c r="C4981" s="10" t="s">
        <v>52</v>
      </c>
      <c r="D4981" s="10" t="s">
        <v>168</v>
      </c>
      <c r="E4981" s="10" t="s">
        <v>2345</v>
      </c>
      <c r="F4981" s="30" t="n">
        <v>43016</v>
      </c>
      <c r="G4981" s="30" t="n">
        <v>43022</v>
      </c>
      <c r="H4981" s="26" t="n">
        <f aca="false">G4981-F4981</f>
        <v>6</v>
      </c>
      <c r="I4981" s="10" t="n">
        <f aca="false">IF(E4981="Won",1,0)</f>
        <v>0</v>
      </c>
    </row>
    <row r="4982" customFormat="false" ht="15" hidden="false" customHeight="false" outlineLevel="0" collapsed="false">
      <c r="A4982" s="10" t="s">
        <v>7323</v>
      </c>
      <c r="B4982" s="10" t="s">
        <v>84</v>
      </c>
      <c r="C4982" s="10" t="s">
        <v>48</v>
      </c>
      <c r="D4982" s="10" t="s">
        <v>1118</v>
      </c>
      <c r="E4982" s="10" t="s">
        <v>2342</v>
      </c>
      <c r="F4982" s="30" t="n">
        <v>43016</v>
      </c>
      <c r="G4982" s="30" t="n">
        <v>43022</v>
      </c>
      <c r="H4982" s="26" t="n">
        <f aca="false">G4982-F4982</f>
        <v>6</v>
      </c>
      <c r="I4982" s="10" t="n">
        <f aca="false">IF(E4982="Won",1,0)</f>
        <v>1</v>
      </c>
    </row>
    <row r="4983" customFormat="false" ht="15" hidden="false" customHeight="false" outlineLevel="0" collapsed="false">
      <c r="A4983" s="10" t="s">
        <v>7324</v>
      </c>
      <c r="B4983" s="10" t="s">
        <v>67</v>
      </c>
      <c r="C4983" s="10" t="s">
        <v>49</v>
      </c>
      <c r="D4983" s="10" t="s">
        <v>233</v>
      </c>
      <c r="E4983" s="10" t="s">
        <v>2342</v>
      </c>
      <c r="F4983" s="30" t="n">
        <v>43021</v>
      </c>
      <c r="G4983" s="30" t="n">
        <v>43022</v>
      </c>
      <c r="H4983" s="26" t="n">
        <f aca="false">G4983-F4983</f>
        <v>1</v>
      </c>
      <c r="I4983" s="10" t="n">
        <f aca="false">IF(E4983="Won",1,0)</f>
        <v>1</v>
      </c>
    </row>
    <row r="4984" customFormat="false" ht="15" hidden="false" customHeight="false" outlineLevel="0" collapsed="false">
      <c r="A4984" s="10" t="s">
        <v>7325</v>
      </c>
      <c r="B4984" s="10" t="s">
        <v>77</v>
      </c>
      <c r="C4984" s="10" t="s">
        <v>48</v>
      </c>
      <c r="D4984" s="10" t="s">
        <v>291</v>
      </c>
      <c r="E4984" s="10" t="s">
        <v>2342</v>
      </c>
      <c r="F4984" s="30" t="n">
        <v>43013</v>
      </c>
      <c r="G4984" s="30" t="n">
        <v>43022</v>
      </c>
      <c r="H4984" s="26" t="n">
        <f aca="false">G4984-F4984</f>
        <v>9</v>
      </c>
      <c r="I4984" s="10" t="n">
        <f aca="false">IF(E4984="Won",1,0)</f>
        <v>1</v>
      </c>
    </row>
    <row r="4985" customFormat="false" ht="15" hidden="false" customHeight="false" outlineLevel="0" collapsed="false">
      <c r="A4985" s="10" t="s">
        <v>7326</v>
      </c>
      <c r="B4985" s="10" t="s">
        <v>90</v>
      </c>
      <c r="C4985" s="10" t="s">
        <v>52</v>
      </c>
      <c r="D4985" s="10" t="s">
        <v>293</v>
      </c>
      <c r="E4985" s="10" t="s">
        <v>2342</v>
      </c>
      <c r="F4985" s="30" t="n">
        <v>43020</v>
      </c>
      <c r="G4985" s="30" t="n">
        <v>43022</v>
      </c>
      <c r="H4985" s="26" t="n">
        <f aca="false">G4985-F4985</f>
        <v>2</v>
      </c>
      <c r="I4985" s="10" t="n">
        <f aca="false">IF(E4985="Won",1,0)</f>
        <v>1</v>
      </c>
    </row>
    <row r="4986" customFormat="false" ht="15" hidden="false" customHeight="false" outlineLevel="0" collapsed="false">
      <c r="A4986" s="10" t="s">
        <v>7327</v>
      </c>
      <c r="B4986" s="10" t="s">
        <v>61</v>
      </c>
      <c r="C4986" s="10" t="s">
        <v>47</v>
      </c>
      <c r="D4986" s="10" t="s">
        <v>277</v>
      </c>
      <c r="E4986" s="10" t="s">
        <v>2342</v>
      </c>
      <c r="F4986" s="30" t="n">
        <v>43014</v>
      </c>
      <c r="G4986" s="30" t="n">
        <v>43022</v>
      </c>
      <c r="H4986" s="26" t="n">
        <f aca="false">G4986-F4986</f>
        <v>8</v>
      </c>
      <c r="I4986" s="10" t="n">
        <f aca="false">IF(E4986="Won",1,0)</f>
        <v>1</v>
      </c>
    </row>
    <row r="4987" customFormat="false" ht="15" hidden="false" customHeight="false" outlineLevel="0" collapsed="false">
      <c r="A4987" s="10" t="s">
        <v>7328</v>
      </c>
      <c r="B4987" s="10" t="s">
        <v>81</v>
      </c>
      <c r="C4987" s="10" t="s">
        <v>50</v>
      </c>
      <c r="D4987" s="10" t="s">
        <v>388</v>
      </c>
      <c r="E4987" s="10" t="s">
        <v>2342</v>
      </c>
      <c r="F4987" s="30" t="n">
        <v>43015</v>
      </c>
      <c r="G4987" s="30" t="n">
        <v>43022</v>
      </c>
      <c r="H4987" s="26" t="n">
        <f aca="false">G4987-F4987</f>
        <v>7</v>
      </c>
      <c r="I4987" s="10" t="n">
        <f aca="false">IF(E4987="Won",1,0)</f>
        <v>1</v>
      </c>
    </row>
    <row r="4988" customFormat="false" ht="15" hidden="false" customHeight="false" outlineLevel="0" collapsed="false">
      <c r="A4988" s="10" t="s">
        <v>7329</v>
      </c>
      <c r="B4988" s="10" t="s">
        <v>77</v>
      </c>
      <c r="C4988" s="10" t="s">
        <v>48</v>
      </c>
      <c r="D4988" s="10" t="s">
        <v>414</v>
      </c>
      <c r="E4988" s="10" t="s">
        <v>2345</v>
      </c>
      <c r="F4988" s="30" t="n">
        <v>43018</v>
      </c>
      <c r="G4988" s="30" t="n">
        <v>43022</v>
      </c>
      <c r="H4988" s="26" t="n">
        <f aca="false">G4988-F4988</f>
        <v>4</v>
      </c>
      <c r="I4988" s="10" t="n">
        <f aca="false">IF(E4988="Won",1,0)</f>
        <v>0</v>
      </c>
    </row>
    <row r="4989" customFormat="false" ht="15" hidden="false" customHeight="false" outlineLevel="0" collapsed="false">
      <c r="A4989" s="10" t="s">
        <v>7330</v>
      </c>
      <c r="B4989" s="10" t="s">
        <v>86</v>
      </c>
      <c r="C4989" s="10" t="s">
        <v>47</v>
      </c>
      <c r="D4989" s="10" t="s">
        <v>453</v>
      </c>
      <c r="E4989" s="10" t="s">
        <v>2342</v>
      </c>
      <c r="F4989" s="30" t="n">
        <v>43012</v>
      </c>
      <c r="G4989" s="30" t="n">
        <v>43022</v>
      </c>
      <c r="H4989" s="26" t="n">
        <f aca="false">G4989-F4989</f>
        <v>10</v>
      </c>
      <c r="I4989" s="10" t="n">
        <f aca="false">IF(E4989="Won",1,0)</f>
        <v>1</v>
      </c>
    </row>
    <row r="4990" customFormat="false" ht="15" hidden="false" customHeight="false" outlineLevel="0" collapsed="false">
      <c r="A4990" s="10" t="s">
        <v>7331</v>
      </c>
      <c r="B4990" s="10" t="s">
        <v>87</v>
      </c>
      <c r="C4990" s="10" t="s">
        <v>48</v>
      </c>
      <c r="D4990" s="10" t="s">
        <v>464</v>
      </c>
      <c r="E4990" s="10" t="s">
        <v>2345</v>
      </c>
      <c r="F4990" s="30" t="n">
        <v>43012</v>
      </c>
      <c r="G4990" s="30" t="n">
        <v>43023</v>
      </c>
      <c r="H4990" s="26" t="n">
        <f aca="false">G4990-F4990</f>
        <v>11</v>
      </c>
      <c r="I4990" s="10" t="n">
        <f aca="false">IF(E4990="Won",1,0)</f>
        <v>0</v>
      </c>
    </row>
    <row r="4991" customFormat="false" ht="15" hidden="false" customHeight="false" outlineLevel="0" collapsed="false">
      <c r="A4991" s="10" t="s">
        <v>7332</v>
      </c>
      <c r="B4991" s="10" t="s">
        <v>69</v>
      </c>
      <c r="C4991" s="10" t="s">
        <v>52</v>
      </c>
      <c r="D4991" s="10" t="s">
        <v>233</v>
      </c>
      <c r="E4991" s="10" t="s">
        <v>2345</v>
      </c>
      <c r="F4991" s="30" t="n">
        <v>43015</v>
      </c>
      <c r="G4991" s="30" t="n">
        <v>43023</v>
      </c>
      <c r="H4991" s="26" t="n">
        <f aca="false">G4991-F4991</f>
        <v>8</v>
      </c>
      <c r="I4991" s="10" t="n">
        <f aca="false">IF(E4991="Won",1,0)</f>
        <v>0</v>
      </c>
    </row>
    <row r="4992" customFormat="false" ht="15" hidden="false" customHeight="false" outlineLevel="0" collapsed="false">
      <c r="A4992" s="10" t="s">
        <v>7333</v>
      </c>
      <c r="B4992" s="10" t="s">
        <v>68</v>
      </c>
      <c r="C4992" s="10" t="s">
        <v>48</v>
      </c>
      <c r="D4992" s="10" t="s">
        <v>424</v>
      </c>
      <c r="E4992" s="10" t="s">
        <v>2345</v>
      </c>
      <c r="F4992" s="30" t="n">
        <v>43014</v>
      </c>
      <c r="G4992" s="30" t="n">
        <v>43023</v>
      </c>
      <c r="H4992" s="26" t="n">
        <f aca="false">G4992-F4992</f>
        <v>9</v>
      </c>
      <c r="I4992" s="10" t="n">
        <f aca="false">IF(E4992="Won",1,0)</f>
        <v>0</v>
      </c>
    </row>
    <row r="4993" customFormat="false" ht="15" hidden="false" customHeight="false" outlineLevel="0" collapsed="false">
      <c r="A4993" s="10" t="s">
        <v>7334</v>
      </c>
      <c r="B4993" s="10" t="s">
        <v>60</v>
      </c>
      <c r="C4993" s="10" t="s">
        <v>50</v>
      </c>
      <c r="D4993" s="10" t="s">
        <v>359</v>
      </c>
      <c r="E4993" s="10" t="s">
        <v>2345</v>
      </c>
      <c r="F4993" s="30" t="n">
        <v>43022</v>
      </c>
      <c r="G4993" s="30" t="n">
        <v>43023</v>
      </c>
      <c r="H4993" s="26" t="n">
        <f aca="false">G4993-F4993</f>
        <v>1</v>
      </c>
      <c r="I4993" s="10" t="n">
        <f aca="false">IF(E4993="Won",1,0)</f>
        <v>0</v>
      </c>
    </row>
    <row r="4994" customFormat="false" ht="15" hidden="false" customHeight="false" outlineLevel="0" collapsed="false">
      <c r="A4994" s="10" t="s">
        <v>7335</v>
      </c>
      <c r="B4994" s="10" t="s">
        <v>97</v>
      </c>
      <c r="C4994" s="10" t="s">
        <v>50</v>
      </c>
      <c r="D4994" s="10" t="s">
        <v>326</v>
      </c>
      <c r="E4994" s="10" t="s">
        <v>2342</v>
      </c>
      <c r="F4994" s="30" t="n">
        <v>43018</v>
      </c>
      <c r="G4994" s="30" t="n">
        <v>43023</v>
      </c>
      <c r="H4994" s="26" t="n">
        <f aca="false">G4994-F4994</f>
        <v>5</v>
      </c>
      <c r="I4994" s="10" t="n">
        <f aca="false">IF(E4994="Won",1,0)</f>
        <v>1</v>
      </c>
    </row>
    <row r="4995" customFormat="false" ht="15" hidden="false" customHeight="false" outlineLevel="0" collapsed="false">
      <c r="A4995" s="10" t="s">
        <v>7336</v>
      </c>
      <c r="B4995" s="10" t="s">
        <v>88</v>
      </c>
      <c r="C4995" s="10" t="s">
        <v>51</v>
      </c>
      <c r="D4995" s="10" t="s">
        <v>185</v>
      </c>
      <c r="E4995" s="10" t="s">
        <v>2345</v>
      </c>
      <c r="F4995" s="30" t="n">
        <v>43021</v>
      </c>
      <c r="G4995" s="30" t="n">
        <v>43023</v>
      </c>
      <c r="H4995" s="26" t="n">
        <f aca="false">G4995-F4995</f>
        <v>2</v>
      </c>
      <c r="I4995" s="10" t="n">
        <f aca="false">IF(E4995="Won",1,0)</f>
        <v>0</v>
      </c>
    </row>
    <row r="4996" customFormat="false" ht="15" hidden="false" customHeight="false" outlineLevel="0" collapsed="false">
      <c r="A4996" s="10" t="s">
        <v>7337</v>
      </c>
      <c r="B4996" s="10" t="s">
        <v>57</v>
      </c>
      <c r="C4996" s="10" t="s">
        <v>47</v>
      </c>
      <c r="D4996" s="10" t="s">
        <v>637</v>
      </c>
      <c r="E4996" s="10" t="s">
        <v>2342</v>
      </c>
      <c r="F4996" s="30" t="n">
        <v>43017</v>
      </c>
      <c r="G4996" s="30" t="n">
        <v>43023</v>
      </c>
      <c r="H4996" s="26" t="n">
        <f aca="false">G4996-F4996</f>
        <v>6</v>
      </c>
      <c r="I4996" s="10" t="n">
        <f aca="false">IF(E4996="Won",1,0)</f>
        <v>1</v>
      </c>
    </row>
    <row r="4997" customFormat="false" ht="15" hidden="false" customHeight="false" outlineLevel="0" collapsed="false">
      <c r="A4997" s="10" t="s">
        <v>7338</v>
      </c>
      <c r="B4997" s="10" t="s">
        <v>62</v>
      </c>
      <c r="C4997" s="10" t="s">
        <v>52</v>
      </c>
      <c r="D4997" s="10" t="s">
        <v>254</v>
      </c>
      <c r="E4997" s="10" t="s">
        <v>2345</v>
      </c>
      <c r="F4997" s="30" t="n">
        <v>43021</v>
      </c>
      <c r="G4997" s="30" t="n">
        <v>43023</v>
      </c>
      <c r="H4997" s="26" t="n">
        <f aca="false">G4997-F4997</f>
        <v>2</v>
      </c>
      <c r="I4997" s="10" t="n">
        <f aca="false">IF(E4997="Won",1,0)</f>
        <v>0</v>
      </c>
    </row>
    <row r="4998" customFormat="false" ht="15" hidden="false" customHeight="false" outlineLevel="0" collapsed="false">
      <c r="A4998" s="10" t="s">
        <v>7339</v>
      </c>
      <c r="B4998" s="10" t="s">
        <v>77</v>
      </c>
      <c r="C4998" s="10" t="s">
        <v>48</v>
      </c>
      <c r="D4998" s="10" t="s">
        <v>311</v>
      </c>
      <c r="E4998" s="10" t="s">
        <v>2345</v>
      </c>
      <c r="F4998" s="30" t="n">
        <v>43022</v>
      </c>
      <c r="G4998" s="30" t="n">
        <v>43023</v>
      </c>
      <c r="H4998" s="26" t="n">
        <f aca="false">G4998-F4998</f>
        <v>1</v>
      </c>
      <c r="I4998" s="10" t="n">
        <f aca="false">IF(E4998="Won",1,0)</f>
        <v>0</v>
      </c>
    </row>
    <row r="4999" customFormat="false" ht="15" hidden="false" customHeight="false" outlineLevel="0" collapsed="false">
      <c r="A4999" s="10" t="s">
        <v>7340</v>
      </c>
      <c r="B4999" s="10" t="s">
        <v>83</v>
      </c>
      <c r="C4999" s="10" t="s">
        <v>50</v>
      </c>
      <c r="D4999" s="10" t="s">
        <v>512</v>
      </c>
      <c r="E4999" s="10" t="s">
        <v>2345</v>
      </c>
      <c r="F4999" s="30" t="n">
        <v>43013</v>
      </c>
      <c r="G4999" s="30" t="n">
        <v>43023</v>
      </c>
      <c r="H4999" s="26" t="n">
        <f aca="false">G4999-F4999</f>
        <v>10</v>
      </c>
      <c r="I4999" s="10" t="n">
        <f aca="false">IF(E4999="Won",1,0)</f>
        <v>0</v>
      </c>
    </row>
    <row r="5000" customFormat="false" ht="15" hidden="false" customHeight="false" outlineLevel="0" collapsed="false">
      <c r="A5000" s="10" t="s">
        <v>7341</v>
      </c>
      <c r="B5000" s="10" t="s">
        <v>97</v>
      </c>
      <c r="C5000" s="10" t="s">
        <v>48</v>
      </c>
      <c r="D5000" s="10" t="s">
        <v>419</v>
      </c>
      <c r="E5000" s="10" t="s">
        <v>2342</v>
      </c>
      <c r="F5000" s="30" t="n">
        <v>43022</v>
      </c>
      <c r="G5000" s="30" t="n">
        <v>43023</v>
      </c>
      <c r="H5000" s="26" t="n">
        <f aca="false">G5000-F5000</f>
        <v>1</v>
      </c>
      <c r="I5000" s="10" t="n">
        <f aca="false">IF(E5000="Won",1,0)</f>
        <v>1</v>
      </c>
    </row>
    <row r="5001" customFormat="false" ht="15" hidden="false" customHeight="false" outlineLevel="0" collapsed="false">
      <c r="A5001" s="10" t="s">
        <v>7342</v>
      </c>
      <c r="B5001" s="10" t="s">
        <v>94</v>
      </c>
      <c r="C5001" s="10" t="s">
        <v>52</v>
      </c>
      <c r="D5001" s="10" t="s">
        <v>986</v>
      </c>
      <c r="E5001" s="10" t="s">
        <v>2342</v>
      </c>
      <c r="F5001" s="30" t="n">
        <v>43011</v>
      </c>
      <c r="G5001" s="30" t="n">
        <v>43023</v>
      </c>
      <c r="H5001" s="26" t="n">
        <f aca="false">G5001-F5001</f>
        <v>12</v>
      </c>
      <c r="I5001" s="10" t="n">
        <f aca="false">IF(E5001="Won",1,0)</f>
        <v>1</v>
      </c>
    </row>
    <row r="5002" customFormat="false" ht="15" hidden="false" customHeight="false" outlineLevel="0" collapsed="false">
      <c r="A5002" s="10" t="s">
        <v>7343</v>
      </c>
      <c r="B5002" s="10" t="s">
        <v>80</v>
      </c>
      <c r="C5002" s="10" t="s">
        <v>48</v>
      </c>
      <c r="D5002" s="10" t="s">
        <v>321</v>
      </c>
      <c r="E5002" s="10" t="s">
        <v>2345</v>
      </c>
      <c r="F5002" s="30" t="n">
        <v>43012</v>
      </c>
      <c r="G5002" s="30" t="n">
        <v>43023</v>
      </c>
      <c r="H5002" s="26" t="n">
        <f aca="false">G5002-F5002</f>
        <v>11</v>
      </c>
      <c r="I5002" s="10" t="n">
        <f aca="false">IF(E5002="Won",1,0)</f>
        <v>0</v>
      </c>
    </row>
    <row r="5003" customFormat="false" ht="15" hidden="false" customHeight="false" outlineLevel="0" collapsed="false">
      <c r="A5003" s="10" t="s">
        <v>7344</v>
      </c>
      <c r="B5003" s="10" t="s">
        <v>73</v>
      </c>
      <c r="C5003" s="10" t="s">
        <v>50</v>
      </c>
      <c r="D5003" s="10" t="s">
        <v>267</v>
      </c>
      <c r="E5003" s="10" t="s">
        <v>2342</v>
      </c>
      <c r="F5003" s="30" t="n">
        <v>43016</v>
      </c>
      <c r="G5003" s="30" t="n">
        <v>43023</v>
      </c>
      <c r="H5003" s="26" t="n">
        <f aca="false">G5003-F5003</f>
        <v>7</v>
      </c>
      <c r="I5003" s="10" t="n">
        <f aca="false">IF(E5003="Won",1,0)</f>
        <v>1</v>
      </c>
    </row>
    <row r="5004" customFormat="false" ht="15" hidden="false" customHeight="false" outlineLevel="0" collapsed="false">
      <c r="A5004" s="10" t="s">
        <v>7345</v>
      </c>
      <c r="B5004" s="10" t="s">
        <v>57</v>
      </c>
      <c r="C5004" s="10" t="s">
        <v>50</v>
      </c>
      <c r="D5004" s="10" t="s">
        <v>233</v>
      </c>
      <c r="E5004" s="10" t="s">
        <v>2345</v>
      </c>
      <c r="F5004" s="30" t="n">
        <v>43018</v>
      </c>
      <c r="G5004" s="30" t="n">
        <v>43023</v>
      </c>
      <c r="H5004" s="26" t="n">
        <f aca="false">G5004-F5004</f>
        <v>5</v>
      </c>
      <c r="I5004" s="10" t="n">
        <f aca="false">IF(E5004="Won",1,0)</f>
        <v>0</v>
      </c>
    </row>
    <row r="5005" customFormat="false" ht="15" hidden="false" customHeight="false" outlineLevel="0" collapsed="false">
      <c r="A5005" s="10" t="s">
        <v>7346</v>
      </c>
      <c r="B5005" s="10" t="s">
        <v>83</v>
      </c>
      <c r="C5005" s="10" t="s">
        <v>48</v>
      </c>
      <c r="D5005" s="10" t="s">
        <v>660</v>
      </c>
      <c r="E5005" s="10" t="s">
        <v>2345</v>
      </c>
      <c r="F5005" s="30" t="n">
        <v>43013</v>
      </c>
      <c r="G5005" s="30" t="n">
        <v>43023</v>
      </c>
      <c r="H5005" s="26" t="n">
        <f aca="false">G5005-F5005</f>
        <v>10</v>
      </c>
      <c r="I5005" s="10" t="n">
        <f aca="false">IF(E5005="Won",1,0)</f>
        <v>0</v>
      </c>
    </row>
    <row r="5006" customFormat="false" ht="15" hidden="false" customHeight="false" outlineLevel="0" collapsed="false">
      <c r="A5006" s="10" t="s">
        <v>7347</v>
      </c>
      <c r="B5006" s="10" t="s">
        <v>67</v>
      </c>
      <c r="C5006" s="10" t="s">
        <v>50</v>
      </c>
      <c r="D5006" s="10" t="s">
        <v>424</v>
      </c>
      <c r="E5006" s="10" t="s">
        <v>2342</v>
      </c>
      <c r="F5006" s="30" t="n">
        <v>43022</v>
      </c>
      <c r="G5006" s="30" t="n">
        <v>43023</v>
      </c>
      <c r="H5006" s="26" t="n">
        <f aca="false">G5006-F5006</f>
        <v>1</v>
      </c>
      <c r="I5006" s="10" t="n">
        <f aca="false">IF(E5006="Won",1,0)</f>
        <v>1</v>
      </c>
    </row>
    <row r="5007" customFormat="false" ht="15" hidden="false" customHeight="false" outlineLevel="0" collapsed="false">
      <c r="A5007" s="10" t="s">
        <v>7348</v>
      </c>
      <c r="B5007" s="10" t="s">
        <v>67</v>
      </c>
      <c r="C5007" s="10" t="s">
        <v>49</v>
      </c>
      <c r="D5007" s="10" t="s">
        <v>170</v>
      </c>
      <c r="E5007" s="10" t="s">
        <v>2345</v>
      </c>
      <c r="F5007" s="30" t="n">
        <v>43018</v>
      </c>
      <c r="G5007" s="30" t="n">
        <v>43023</v>
      </c>
      <c r="H5007" s="26" t="n">
        <f aca="false">G5007-F5007</f>
        <v>5</v>
      </c>
      <c r="I5007" s="10" t="n">
        <f aca="false">IF(E5007="Won",1,0)</f>
        <v>0</v>
      </c>
    </row>
    <row r="5008" customFormat="false" ht="15" hidden="false" customHeight="false" outlineLevel="0" collapsed="false">
      <c r="A5008" s="10" t="s">
        <v>7349</v>
      </c>
      <c r="B5008" s="10" t="s">
        <v>81</v>
      </c>
      <c r="C5008" s="10" t="s">
        <v>50</v>
      </c>
      <c r="D5008" s="10" t="s">
        <v>369</v>
      </c>
      <c r="E5008" s="10" t="s">
        <v>2345</v>
      </c>
      <c r="F5008" s="30" t="n">
        <v>43015</v>
      </c>
      <c r="G5008" s="30" t="n">
        <v>43023</v>
      </c>
      <c r="H5008" s="26" t="n">
        <f aca="false">G5008-F5008</f>
        <v>8</v>
      </c>
      <c r="I5008" s="10" t="n">
        <f aca="false">IF(E5008="Won",1,0)</f>
        <v>0</v>
      </c>
    </row>
    <row r="5009" customFormat="false" ht="15" hidden="false" customHeight="false" outlineLevel="0" collapsed="false">
      <c r="A5009" s="10" t="s">
        <v>7350</v>
      </c>
      <c r="B5009" s="10" t="s">
        <v>76</v>
      </c>
      <c r="C5009" s="10" t="s">
        <v>51</v>
      </c>
      <c r="D5009" s="10" t="s">
        <v>947</v>
      </c>
      <c r="E5009" s="10" t="s">
        <v>2345</v>
      </c>
      <c r="F5009" s="30" t="n">
        <v>43013</v>
      </c>
      <c r="G5009" s="30" t="n">
        <v>43024</v>
      </c>
      <c r="H5009" s="26" t="n">
        <f aca="false">G5009-F5009</f>
        <v>11</v>
      </c>
      <c r="I5009" s="10" t="n">
        <f aca="false">IF(E5009="Won",1,0)</f>
        <v>0</v>
      </c>
    </row>
    <row r="5010" customFormat="false" ht="15" hidden="false" customHeight="false" outlineLevel="0" collapsed="false">
      <c r="A5010" s="10" t="s">
        <v>7351</v>
      </c>
      <c r="B5010" s="10" t="s">
        <v>71</v>
      </c>
      <c r="C5010" s="10" t="s">
        <v>49</v>
      </c>
      <c r="D5010" s="10" t="s">
        <v>321</v>
      </c>
      <c r="E5010" s="10" t="s">
        <v>2342</v>
      </c>
      <c r="F5010" s="30" t="n">
        <v>43019</v>
      </c>
      <c r="G5010" s="30" t="n">
        <v>43024</v>
      </c>
      <c r="H5010" s="26" t="n">
        <f aca="false">G5010-F5010</f>
        <v>5</v>
      </c>
      <c r="I5010" s="10" t="n">
        <f aca="false">IF(E5010="Won",1,0)</f>
        <v>1</v>
      </c>
    </row>
    <row r="5011" customFormat="false" ht="15" hidden="false" customHeight="false" outlineLevel="0" collapsed="false">
      <c r="A5011" s="10" t="s">
        <v>7352</v>
      </c>
      <c r="B5011" s="10" t="s">
        <v>95</v>
      </c>
      <c r="C5011" s="10" t="s">
        <v>48</v>
      </c>
      <c r="D5011" s="10" t="s">
        <v>487</v>
      </c>
      <c r="E5011" s="10" t="s">
        <v>2342</v>
      </c>
      <c r="F5011" s="30" t="n">
        <v>43023</v>
      </c>
      <c r="G5011" s="30" t="n">
        <v>43024</v>
      </c>
      <c r="H5011" s="26" t="n">
        <f aca="false">G5011-F5011</f>
        <v>1</v>
      </c>
      <c r="I5011" s="10" t="n">
        <f aca="false">IF(E5011="Won",1,0)</f>
        <v>1</v>
      </c>
    </row>
    <row r="5012" customFormat="false" ht="15" hidden="false" customHeight="false" outlineLevel="0" collapsed="false">
      <c r="A5012" s="10" t="s">
        <v>7353</v>
      </c>
      <c r="B5012" s="10" t="s">
        <v>77</v>
      </c>
      <c r="C5012" s="10" t="s">
        <v>48</v>
      </c>
      <c r="D5012" s="10" t="s">
        <v>597</v>
      </c>
      <c r="E5012" s="10" t="s">
        <v>2342</v>
      </c>
      <c r="F5012" s="30" t="n">
        <v>43023</v>
      </c>
      <c r="G5012" s="30" t="n">
        <v>43024</v>
      </c>
      <c r="H5012" s="26" t="n">
        <f aca="false">G5012-F5012</f>
        <v>1</v>
      </c>
      <c r="I5012" s="10" t="n">
        <f aca="false">IF(E5012="Won",1,0)</f>
        <v>1</v>
      </c>
    </row>
    <row r="5013" customFormat="false" ht="15" hidden="false" customHeight="false" outlineLevel="0" collapsed="false">
      <c r="A5013" s="10" t="s">
        <v>7354</v>
      </c>
      <c r="B5013" s="10" t="s">
        <v>77</v>
      </c>
      <c r="C5013" s="10" t="s">
        <v>48</v>
      </c>
      <c r="D5013" s="10" t="s">
        <v>512</v>
      </c>
      <c r="E5013" s="10" t="s">
        <v>2342</v>
      </c>
      <c r="F5013" s="30" t="n">
        <v>43023</v>
      </c>
      <c r="G5013" s="30" t="n">
        <v>43024</v>
      </c>
      <c r="H5013" s="26" t="n">
        <f aca="false">G5013-F5013</f>
        <v>1</v>
      </c>
      <c r="I5013" s="10" t="n">
        <f aca="false">IF(E5013="Won",1,0)</f>
        <v>1</v>
      </c>
    </row>
    <row r="5014" customFormat="false" ht="15" hidden="false" customHeight="false" outlineLevel="0" collapsed="false">
      <c r="A5014" s="10" t="s">
        <v>7355</v>
      </c>
      <c r="B5014" s="10" t="s">
        <v>77</v>
      </c>
      <c r="C5014" s="10" t="s">
        <v>50</v>
      </c>
      <c r="D5014" s="10" t="s">
        <v>524</v>
      </c>
      <c r="E5014" s="10" t="s">
        <v>2342</v>
      </c>
      <c r="F5014" s="30" t="n">
        <v>43023</v>
      </c>
      <c r="G5014" s="30" t="n">
        <v>43024</v>
      </c>
      <c r="H5014" s="26" t="n">
        <f aca="false">G5014-F5014</f>
        <v>1</v>
      </c>
      <c r="I5014" s="10" t="n">
        <f aca="false">IF(E5014="Won",1,0)</f>
        <v>1</v>
      </c>
    </row>
    <row r="5015" customFormat="false" ht="15" hidden="false" customHeight="false" outlineLevel="0" collapsed="false">
      <c r="A5015" s="10" t="s">
        <v>7356</v>
      </c>
      <c r="B5015" s="10" t="s">
        <v>73</v>
      </c>
      <c r="C5015" s="10" t="s">
        <v>49</v>
      </c>
      <c r="D5015" s="10" t="s">
        <v>597</v>
      </c>
      <c r="E5015" s="10" t="s">
        <v>2345</v>
      </c>
      <c r="F5015" s="30" t="n">
        <v>43023</v>
      </c>
      <c r="G5015" s="30" t="n">
        <v>43024</v>
      </c>
      <c r="H5015" s="26" t="n">
        <f aca="false">G5015-F5015</f>
        <v>1</v>
      </c>
      <c r="I5015" s="10" t="n">
        <f aca="false">IF(E5015="Won",1,0)</f>
        <v>0</v>
      </c>
    </row>
    <row r="5016" customFormat="false" ht="15" hidden="false" customHeight="false" outlineLevel="0" collapsed="false">
      <c r="A5016" s="10" t="s">
        <v>7357</v>
      </c>
      <c r="B5016" s="10" t="s">
        <v>57</v>
      </c>
      <c r="C5016" s="10" t="s">
        <v>50</v>
      </c>
      <c r="D5016" s="10" t="s">
        <v>254</v>
      </c>
      <c r="E5016" s="10" t="s">
        <v>2342</v>
      </c>
      <c r="F5016" s="30" t="n">
        <v>43014</v>
      </c>
      <c r="G5016" s="30" t="n">
        <v>43024</v>
      </c>
      <c r="H5016" s="26" t="n">
        <f aca="false">G5016-F5016</f>
        <v>10</v>
      </c>
      <c r="I5016" s="10" t="n">
        <f aca="false">IF(E5016="Won",1,0)</f>
        <v>1</v>
      </c>
    </row>
    <row r="5017" customFormat="false" ht="15" hidden="false" customHeight="false" outlineLevel="0" collapsed="false">
      <c r="A5017" s="10" t="s">
        <v>7358</v>
      </c>
      <c r="B5017" s="10" t="s">
        <v>74</v>
      </c>
      <c r="C5017" s="10" t="s">
        <v>52</v>
      </c>
      <c r="D5017" s="10" t="s">
        <v>259</v>
      </c>
      <c r="E5017" s="10" t="s">
        <v>2342</v>
      </c>
      <c r="F5017" s="30" t="n">
        <v>43022</v>
      </c>
      <c r="G5017" s="30" t="n">
        <v>43024</v>
      </c>
      <c r="H5017" s="26" t="n">
        <f aca="false">G5017-F5017</f>
        <v>2</v>
      </c>
      <c r="I5017" s="10" t="n">
        <f aca="false">IF(E5017="Won",1,0)</f>
        <v>1</v>
      </c>
    </row>
    <row r="5018" customFormat="false" ht="15" hidden="false" customHeight="false" outlineLevel="0" collapsed="false">
      <c r="A5018" s="10" t="s">
        <v>7359</v>
      </c>
      <c r="B5018" s="10" t="s">
        <v>95</v>
      </c>
      <c r="C5018" s="10" t="s">
        <v>47</v>
      </c>
      <c r="D5018" s="10" t="s">
        <v>487</v>
      </c>
      <c r="E5018" s="10" t="s">
        <v>2342</v>
      </c>
      <c r="F5018" s="30" t="n">
        <v>43016</v>
      </c>
      <c r="G5018" s="30" t="n">
        <v>43024</v>
      </c>
      <c r="H5018" s="26" t="n">
        <f aca="false">G5018-F5018</f>
        <v>8</v>
      </c>
      <c r="I5018" s="10" t="n">
        <f aca="false">IF(E5018="Won",1,0)</f>
        <v>1</v>
      </c>
    </row>
    <row r="5019" customFormat="false" ht="15" hidden="false" customHeight="false" outlineLevel="0" collapsed="false">
      <c r="A5019" s="10" t="s">
        <v>7360</v>
      </c>
      <c r="B5019" s="10" t="s">
        <v>88</v>
      </c>
      <c r="C5019" s="10" t="s">
        <v>50</v>
      </c>
      <c r="D5019" s="10" t="s">
        <v>532</v>
      </c>
      <c r="E5019" s="10" t="s">
        <v>2345</v>
      </c>
      <c r="F5019" s="30" t="n">
        <v>43014</v>
      </c>
      <c r="G5019" s="30" t="n">
        <v>43024</v>
      </c>
      <c r="H5019" s="26" t="n">
        <f aca="false">G5019-F5019</f>
        <v>10</v>
      </c>
      <c r="I5019" s="10" t="n">
        <f aca="false">IF(E5019="Won",1,0)</f>
        <v>0</v>
      </c>
    </row>
    <row r="5020" customFormat="false" ht="15" hidden="false" customHeight="false" outlineLevel="0" collapsed="false">
      <c r="A5020" s="10" t="s">
        <v>7361</v>
      </c>
      <c r="B5020" s="10" t="s">
        <v>95</v>
      </c>
      <c r="C5020" s="10" t="s">
        <v>50</v>
      </c>
      <c r="D5020" s="10" t="s">
        <v>419</v>
      </c>
      <c r="E5020" s="10" t="s">
        <v>2342</v>
      </c>
      <c r="F5020" s="30" t="n">
        <v>43023</v>
      </c>
      <c r="G5020" s="30" t="n">
        <v>43024</v>
      </c>
      <c r="H5020" s="26" t="n">
        <f aca="false">G5020-F5020</f>
        <v>1</v>
      </c>
      <c r="I5020" s="10" t="n">
        <f aca="false">IF(E5020="Won",1,0)</f>
        <v>1</v>
      </c>
    </row>
    <row r="5021" customFormat="false" ht="15" hidden="false" customHeight="false" outlineLevel="0" collapsed="false">
      <c r="A5021" s="10" t="s">
        <v>7362</v>
      </c>
      <c r="B5021" s="10" t="s">
        <v>57</v>
      </c>
      <c r="C5021" s="10" t="s">
        <v>51</v>
      </c>
      <c r="D5021" s="10" t="s">
        <v>218</v>
      </c>
      <c r="E5021" s="10" t="s">
        <v>2345</v>
      </c>
      <c r="F5021" s="30" t="n">
        <v>43016</v>
      </c>
      <c r="G5021" s="30" t="n">
        <v>43024</v>
      </c>
      <c r="H5021" s="26" t="n">
        <f aca="false">G5021-F5021</f>
        <v>8</v>
      </c>
      <c r="I5021" s="10" t="n">
        <f aca="false">IF(E5021="Won",1,0)</f>
        <v>0</v>
      </c>
    </row>
    <row r="5022" customFormat="false" ht="15" hidden="false" customHeight="false" outlineLevel="0" collapsed="false">
      <c r="A5022" s="10" t="s">
        <v>7363</v>
      </c>
      <c r="B5022" s="10" t="s">
        <v>77</v>
      </c>
      <c r="C5022" s="10" t="s">
        <v>52</v>
      </c>
      <c r="D5022" s="10" t="s">
        <v>536</v>
      </c>
      <c r="E5022" s="10" t="s">
        <v>2345</v>
      </c>
      <c r="F5022" s="30" t="n">
        <v>43020</v>
      </c>
      <c r="G5022" s="30" t="n">
        <v>43025</v>
      </c>
      <c r="H5022" s="26" t="n">
        <f aca="false">G5022-F5022</f>
        <v>5</v>
      </c>
      <c r="I5022" s="10" t="n">
        <f aca="false">IF(E5022="Won",1,0)</f>
        <v>0</v>
      </c>
    </row>
    <row r="5023" customFormat="false" ht="15" hidden="false" customHeight="false" outlineLevel="0" collapsed="false">
      <c r="A5023" s="10" t="s">
        <v>7364</v>
      </c>
      <c r="B5023" s="10" t="s">
        <v>96</v>
      </c>
      <c r="C5023" s="10" t="s">
        <v>48</v>
      </c>
      <c r="D5023" s="10" t="s">
        <v>487</v>
      </c>
      <c r="E5023" s="10" t="s">
        <v>2342</v>
      </c>
      <c r="F5023" s="30" t="n">
        <v>43020</v>
      </c>
      <c r="G5023" s="30" t="n">
        <v>43025</v>
      </c>
      <c r="H5023" s="26" t="n">
        <f aca="false">G5023-F5023</f>
        <v>5</v>
      </c>
      <c r="I5023" s="10" t="n">
        <f aca="false">IF(E5023="Won",1,0)</f>
        <v>1</v>
      </c>
    </row>
    <row r="5024" customFormat="false" ht="15" hidden="false" customHeight="false" outlineLevel="0" collapsed="false">
      <c r="A5024" s="10" t="s">
        <v>7365</v>
      </c>
      <c r="B5024" s="10" t="s">
        <v>62</v>
      </c>
      <c r="C5024" s="10" t="s">
        <v>50</v>
      </c>
      <c r="D5024" s="10" t="s">
        <v>1397</v>
      </c>
      <c r="E5024" s="10" t="s">
        <v>2342</v>
      </c>
      <c r="F5024" s="30" t="n">
        <v>43020</v>
      </c>
      <c r="G5024" s="30" t="n">
        <v>43025</v>
      </c>
      <c r="H5024" s="26" t="n">
        <f aca="false">G5024-F5024</f>
        <v>5</v>
      </c>
      <c r="I5024" s="10" t="n">
        <f aca="false">IF(E5024="Won",1,0)</f>
        <v>1</v>
      </c>
    </row>
    <row r="5025" customFormat="false" ht="15" hidden="false" customHeight="false" outlineLevel="0" collapsed="false">
      <c r="A5025" s="10" t="s">
        <v>7366</v>
      </c>
      <c r="B5025" s="10" t="s">
        <v>81</v>
      </c>
      <c r="C5025" s="10" t="s">
        <v>49</v>
      </c>
      <c r="D5025" s="10" t="s">
        <v>762</v>
      </c>
      <c r="E5025" s="10" t="s">
        <v>2342</v>
      </c>
      <c r="F5025" s="30" t="n">
        <v>43018</v>
      </c>
      <c r="G5025" s="30" t="n">
        <v>43025</v>
      </c>
      <c r="H5025" s="26" t="n">
        <f aca="false">G5025-F5025</f>
        <v>7</v>
      </c>
      <c r="I5025" s="10" t="n">
        <f aca="false">IF(E5025="Won",1,0)</f>
        <v>1</v>
      </c>
    </row>
    <row r="5026" customFormat="false" ht="15" hidden="false" customHeight="false" outlineLevel="0" collapsed="false">
      <c r="A5026" s="10" t="s">
        <v>7367</v>
      </c>
      <c r="B5026" s="10" t="s">
        <v>86</v>
      </c>
      <c r="C5026" s="10" t="s">
        <v>49</v>
      </c>
      <c r="D5026" s="10" t="s">
        <v>161</v>
      </c>
      <c r="E5026" s="10" t="s">
        <v>2342</v>
      </c>
      <c r="F5026" s="30" t="n">
        <v>43016</v>
      </c>
      <c r="G5026" s="30" t="n">
        <v>43025</v>
      </c>
      <c r="H5026" s="26" t="n">
        <f aca="false">G5026-F5026</f>
        <v>9</v>
      </c>
      <c r="I5026" s="10" t="n">
        <f aca="false">IF(E5026="Won",1,0)</f>
        <v>1</v>
      </c>
    </row>
    <row r="5027" customFormat="false" ht="15" hidden="false" customHeight="false" outlineLevel="0" collapsed="false">
      <c r="A5027" s="10" t="s">
        <v>7368</v>
      </c>
      <c r="B5027" s="10" t="s">
        <v>77</v>
      </c>
      <c r="C5027" s="10" t="s">
        <v>49</v>
      </c>
      <c r="D5027" s="10" t="s">
        <v>353</v>
      </c>
      <c r="E5027" s="10" t="s">
        <v>2342</v>
      </c>
      <c r="F5027" s="30" t="n">
        <v>43024</v>
      </c>
      <c r="G5027" s="30" t="n">
        <v>43025</v>
      </c>
      <c r="H5027" s="26" t="n">
        <f aca="false">G5027-F5027</f>
        <v>1</v>
      </c>
      <c r="I5027" s="10" t="n">
        <f aca="false">IF(E5027="Won",1,0)</f>
        <v>1</v>
      </c>
    </row>
    <row r="5028" customFormat="false" ht="15" hidden="false" customHeight="false" outlineLevel="0" collapsed="false">
      <c r="A5028" s="10" t="s">
        <v>7369</v>
      </c>
      <c r="B5028" s="10" t="s">
        <v>77</v>
      </c>
      <c r="C5028" s="10" t="s">
        <v>52</v>
      </c>
      <c r="D5028" s="10" t="s">
        <v>536</v>
      </c>
      <c r="E5028" s="10" t="s">
        <v>2345</v>
      </c>
      <c r="F5028" s="30" t="n">
        <v>43024</v>
      </c>
      <c r="G5028" s="30" t="n">
        <v>43025</v>
      </c>
      <c r="H5028" s="26" t="n">
        <f aca="false">G5028-F5028</f>
        <v>1</v>
      </c>
      <c r="I5028" s="10" t="n">
        <f aca="false">IF(E5028="Won",1,0)</f>
        <v>0</v>
      </c>
    </row>
    <row r="5029" customFormat="false" ht="15" hidden="false" customHeight="false" outlineLevel="0" collapsed="false">
      <c r="A5029" s="10" t="s">
        <v>7370</v>
      </c>
      <c r="B5029" s="10" t="s">
        <v>97</v>
      </c>
      <c r="C5029" s="10" t="s">
        <v>51</v>
      </c>
      <c r="D5029" s="10" t="s">
        <v>483</v>
      </c>
      <c r="E5029" s="10" t="s">
        <v>2345</v>
      </c>
      <c r="F5029" s="30" t="n">
        <v>43017</v>
      </c>
      <c r="G5029" s="30" t="n">
        <v>43025</v>
      </c>
      <c r="H5029" s="26" t="n">
        <f aca="false">G5029-F5029</f>
        <v>8</v>
      </c>
      <c r="I5029" s="10" t="n">
        <f aca="false">IF(E5029="Won",1,0)</f>
        <v>0</v>
      </c>
    </row>
    <row r="5030" customFormat="false" ht="15" hidden="false" customHeight="false" outlineLevel="0" collapsed="false">
      <c r="A5030" s="10" t="s">
        <v>7371</v>
      </c>
      <c r="B5030" s="10" t="s">
        <v>57</v>
      </c>
      <c r="C5030" s="10" t="s">
        <v>48</v>
      </c>
      <c r="D5030" s="10" t="s">
        <v>293</v>
      </c>
      <c r="E5030" s="10" t="s">
        <v>2342</v>
      </c>
      <c r="F5030" s="30" t="n">
        <v>43024</v>
      </c>
      <c r="G5030" s="30" t="n">
        <v>43025</v>
      </c>
      <c r="H5030" s="26" t="n">
        <f aca="false">G5030-F5030</f>
        <v>1</v>
      </c>
      <c r="I5030" s="10" t="n">
        <f aca="false">IF(E5030="Won",1,0)</f>
        <v>1</v>
      </c>
    </row>
    <row r="5031" customFormat="false" ht="15" hidden="false" customHeight="false" outlineLevel="0" collapsed="false">
      <c r="A5031" s="10" t="s">
        <v>7372</v>
      </c>
      <c r="B5031" s="10" t="s">
        <v>80</v>
      </c>
      <c r="C5031" s="10" t="s">
        <v>50</v>
      </c>
      <c r="D5031" s="10" t="s">
        <v>210</v>
      </c>
      <c r="E5031" s="10" t="s">
        <v>2345</v>
      </c>
      <c r="F5031" s="30" t="n">
        <v>43014</v>
      </c>
      <c r="G5031" s="30" t="n">
        <v>43025</v>
      </c>
      <c r="H5031" s="26" t="n">
        <f aca="false">G5031-F5031</f>
        <v>11</v>
      </c>
      <c r="I5031" s="10" t="n">
        <f aca="false">IF(E5031="Won",1,0)</f>
        <v>0</v>
      </c>
    </row>
    <row r="5032" customFormat="false" ht="15" hidden="false" customHeight="false" outlineLevel="0" collapsed="false">
      <c r="A5032" s="10" t="s">
        <v>7373</v>
      </c>
      <c r="B5032" s="10" t="s">
        <v>71</v>
      </c>
      <c r="C5032" s="10" t="s">
        <v>47</v>
      </c>
      <c r="D5032" s="10" t="s">
        <v>353</v>
      </c>
      <c r="E5032" s="10" t="s">
        <v>2345</v>
      </c>
      <c r="F5032" s="30" t="n">
        <v>43017</v>
      </c>
      <c r="G5032" s="30" t="n">
        <v>43025</v>
      </c>
      <c r="H5032" s="26" t="n">
        <f aca="false">G5032-F5032</f>
        <v>8</v>
      </c>
      <c r="I5032" s="10" t="n">
        <f aca="false">IF(E5032="Won",1,0)</f>
        <v>0</v>
      </c>
    </row>
    <row r="5033" customFormat="false" ht="15" hidden="false" customHeight="false" outlineLevel="0" collapsed="false">
      <c r="A5033" s="10" t="s">
        <v>7374</v>
      </c>
      <c r="B5033" s="10" t="s">
        <v>76</v>
      </c>
      <c r="C5033" s="10" t="s">
        <v>52</v>
      </c>
      <c r="D5033" s="10" t="s">
        <v>697</v>
      </c>
      <c r="E5033" s="10" t="s">
        <v>2342</v>
      </c>
      <c r="F5033" s="30" t="n">
        <v>43024</v>
      </c>
      <c r="G5033" s="30" t="n">
        <v>43025</v>
      </c>
      <c r="H5033" s="26" t="n">
        <f aca="false">G5033-F5033</f>
        <v>1</v>
      </c>
      <c r="I5033" s="10" t="n">
        <f aca="false">IF(E5033="Won",1,0)</f>
        <v>1</v>
      </c>
    </row>
    <row r="5034" customFormat="false" ht="15" hidden="false" customHeight="false" outlineLevel="0" collapsed="false">
      <c r="A5034" s="10" t="s">
        <v>7375</v>
      </c>
      <c r="B5034" s="10" t="s">
        <v>97</v>
      </c>
      <c r="C5034" s="10" t="s">
        <v>51</v>
      </c>
      <c r="D5034" s="10" t="s">
        <v>514</v>
      </c>
      <c r="E5034" s="10" t="s">
        <v>2342</v>
      </c>
      <c r="F5034" s="30" t="n">
        <v>43018</v>
      </c>
      <c r="G5034" s="30" t="n">
        <v>43026</v>
      </c>
      <c r="H5034" s="26" t="n">
        <f aca="false">G5034-F5034</f>
        <v>8</v>
      </c>
      <c r="I5034" s="10" t="n">
        <f aca="false">IF(E5034="Won",1,0)</f>
        <v>1</v>
      </c>
    </row>
    <row r="5035" customFormat="false" ht="15" hidden="false" customHeight="false" outlineLevel="0" collapsed="false">
      <c r="A5035" s="10" t="s">
        <v>7376</v>
      </c>
      <c r="B5035" s="10" t="s">
        <v>62</v>
      </c>
      <c r="C5035" s="10" t="s">
        <v>52</v>
      </c>
      <c r="D5035" s="10" t="s">
        <v>277</v>
      </c>
      <c r="E5035" s="10" t="s">
        <v>2345</v>
      </c>
      <c r="F5035" s="30" t="n">
        <v>43025</v>
      </c>
      <c r="G5035" s="30" t="n">
        <v>43026</v>
      </c>
      <c r="H5035" s="26" t="n">
        <f aca="false">G5035-F5035</f>
        <v>1</v>
      </c>
      <c r="I5035" s="10" t="n">
        <f aca="false">IF(E5035="Won",1,0)</f>
        <v>0</v>
      </c>
    </row>
    <row r="5036" customFormat="false" ht="15" hidden="false" customHeight="false" outlineLevel="0" collapsed="false">
      <c r="A5036" s="10" t="s">
        <v>7377</v>
      </c>
      <c r="B5036" s="10" t="s">
        <v>95</v>
      </c>
      <c r="C5036" s="10" t="s">
        <v>51</v>
      </c>
      <c r="D5036" s="10" t="s">
        <v>606</v>
      </c>
      <c r="E5036" s="10" t="s">
        <v>2345</v>
      </c>
      <c r="F5036" s="30" t="n">
        <v>43017</v>
      </c>
      <c r="G5036" s="30" t="n">
        <v>43026</v>
      </c>
      <c r="H5036" s="26" t="n">
        <f aca="false">G5036-F5036</f>
        <v>9</v>
      </c>
      <c r="I5036" s="10" t="n">
        <f aca="false">IF(E5036="Won",1,0)</f>
        <v>0</v>
      </c>
    </row>
    <row r="5037" customFormat="false" ht="15" hidden="false" customHeight="false" outlineLevel="0" collapsed="false">
      <c r="A5037" s="10" t="s">
        <v>7378</v>
      </c>
      <c r="B5037" s="10" t="s">
        <v>62</v>
      </c>
      <c r="C5037" s="10" t="s">
        <v>50</v>
      </c>
      <c r="D5037" s="10" t="s">
        <v>161</v>
      </c>
      <c r="E5037" s="10" t="s">
        <v>2345</v>
      </c>
      <c r="F5037" s="30" t="n">
        <v>43025</v>
      </c>
      <c r="G5037" s="30" t="n">
        <v>43026</v>
      </c>
      <c r="H5037" s="26" t="n">
        <f aca="false">G5037-F5037</f>
        <v>1</v>
      </c>
      <c r="I5037" s="10" t="n">
        <f aca="false">IF(E5037="Won",1,0)</f>
        <v>0</v>
      </c>
    </row>
    <row r="5038" customFormat="false" ht="15" hidden="false" customHeight="false" outlineLevel="0" collapsed="false">
      <c r="A5038" s="10" t="s">
        <v>7379</v>
      </c>
      <c r="B5038" s="10" t="s">
        <v>84</v>
      </c>
      <c r="C5038" s="10" t="s">
        <v>52</v>
      </c>
      <c r="D5038" s="10" t="s">
        <v>637</v>
      </c>
      <c r="E5038" s="10" t="s">
        <v>2345</v>
      </c>
      <c r="F5038" s="30" t="n">
        <v>43018</v>
      </c>
      <c r="G5038" s="30" t="n">
        <v>43026</v>
      </c>
      <c r="H5038" s="26" t="n">
        <f aca="false">G5038-F5038</f>
        <v>8</v>
      </c>
      <c r="I5038" s="10" t="n">
        <f aca="false">IF(E5038="Won",1,0)</f>
        <v>0</v>
      </c>
    </row>
    <row r="5039" customFormat="false" ht="15" hidden="false" customHeight="false" outlineLevel="0" collapsed="false">
      <c r="A5039" s="10" t="s">
        <v>7380</v>
      </c>
      <c r="B5039" s="10" t="s">
        <v>61</v>
      </c>
      <c r="C5039" s="10" t="s">
        <v>48</v>
      </c>
      <c r="D5039" s="10" t="s">
        <v>455</v>
      </c>
      <c r="E5039" s="10" t="s">
        <v>2345</v>
      </c>
      <c r="F5039" s="30" t="n">
        <v>43024</v>
      </c>
      <c r="G5039" s="30" t="n">
        <v>43026</v>
      </c>
      <c r="H5039" s="26" t="n">
        <f aca="false">G5039-F5039</f>
        <v>2</v>
      </c>
      <c r="I5039" s="10" t="n">
        <f aca="false">IF(E5039="Won",1,0)</f>
        <v>0</v>
      </c>
    </row>
    <row r="5040" customFormat="false" ht="15" hidden="false" customHeight="false" outlineLevel="0" collapsed="false">
      <c r="A5040" s="10" t="s">
        <v>7381</v>
      </c>
      <c r="B5040" s="10" t="s">
        <v>66</v>
      </c>
      <c r="C5040" s="10" t="s">
        <v>46</v>
      </c>
      <c r="D5040" s="10" t="s">
        <v>286</v>
      </c>
      <c r="E5040" s="10" t="s">
        <v>2345</v>
      </c>
      <c r="F5040" s="30" t="n">
        <v>43013</v>
      </c>
      <c r="G5040" s="30" t="n">
        <v>43026</v>
      </c>
      <c r="H5040" s="26" t="n">
        <f aca="false">G5040-F5040</f>
        <v>13</v>
      </c>
      <c r="I5040" s="10" t="n">
        <f aca="false">IF(E5040="Won",1,0)</f>
        <v>0</v>
      </c>
    </row>
    <row r="5041" customFormat="false" ht="15" hidden="false" customHeight="false" outlineLevel="0" collapsed="false">
      <c r="A5041" s="10" t="s">
        <v>7382</v>
      </c>
      <c r="B5041" s="10" t="s">
        <v>87</v>
      </c>
      <c r="C5041" s="10" t="s">
        <v>52</v>
      </c>
      <c r="D5041" s="10" t="s">
        <v>332</v>
      </c>
      <c r="E5041" s="10" t="s">
        <v>2342</v>
      </c>
      <c r="F5041" s="30" t="n">
        <v>43017</v>
      </c>
      <c r="G5041" s="30" t="n">
        <v>43026</v>
      </c>
      <c r="H5041" s="26" t="n">
        <f aca="false">G5041-F5041</f>
        <v>9</v>
      </c>
      <c r="I5041" s="10" t="n">
        <f aca="false">IF(E5041="Won",1,0)</f>
        <v>1</v>
      </c>
    </row>
    <row r="5042" customFormat="false" ht="15" hidden="false" customHeight="false" outlineLevel="0" collapsed="false">
      <c r="A5042" s="10" t="s">
        <v>7383</v>
      </c>
      <c r="B5042" s="10" t="s">
        <v>93</v>
      </c>
      <c r="C5042" s="10" t="s">
        <v>50</v>
      </c>
      <c r="D5042" s="10" t="s">
        <v>424</v>
      </c>
      <c r="E5042" s="10" t="s">
        <v>2342</v>
      </c>
      <c r="F5042" s="30" t="n">
        <v>43013</v>
      </c>
      <c r="G5042" s="30" t="n">
        <v>43026</v>
      </c>
      <c r="H5042" s="26" t="n">
        <f aca="false">G5042-F5042</f>
        <v>13</v>
      </c>
      <c r="I5042" s="10" t="n">
        <f aca="false">IF(E5042="Won",1,0)</f>
        <v>1</v>
      </c>
    </row>
    <row r="5043" customFormat="false" ht="15" hidden="false" customHeight="false" outlineLevel="0" collapsed="false">
      <c r="A5043" s="10" t="s">
        <v>7384</v>
      </c>
      <c r="B5043" s="10" t="s">
        <v>81</v>
      </c>
      <c r="C5043" s="10" t="s">
        <v>48</v>
      </c>
      <c r="D5043" s="10" t="s">
        <v>597</v>
      </c>
      <c r="E5043" s="10" t="s">
        <v>2345</v>
      </c>
      <c r="F5043" s="30" t="n">
        <v>43022</v>
      </c>
      <c r="G5043" s="30" t="n">
        <v>43026</v>
      </c>
      <c r="H5043" s="26" t="n">
        <f aca="false">G5043-F5043</f>
        <v>4</v>
      </c>
      <c r="I5043" s="10" t="n">
        <f aca="false">IF(E5043="Won",1,0)</f>
        <v>0</v>
      </c>
    </row>
    <row r="5044" customFormat="false" ht="15" hidden="false" customHeight="false" outlineLevel="0" collapsed="false">
      <c r="A5044" s="10" t="s">
        <v>7385</v>
      </c>
      <c r="B5044" s="10" t="s">
        <v>73</v>
      </c>
      <c r="C5044" s="10" t="s">
        <v>49</v>
      </c>
      <c r="D5044" s="10" t="s">
        <v>414</v>
      </c>
      <c r="E5044" s="10" t="s">
        <v>2345</v>
      </c>
      <c r="F5044" s="30" t="n">
        <v>43021</v>
      </c>
      <c r="G5044" s="30" t="n">
        <v>43026</v>
      </c>
      <c r="H5044" s="26" t="n">
        <f aca="false">G5044-F5044</f>
        <v>5</v>
      </c>
      <c r="I5044" s="10" t="n">
        <f aca="false">IF(E5044="Won",1,0)</f>
        <v>0</v>
      </c>
    </row>
    <row r="5045" customFormat="false" ht="15" hidden="false" customHeight="false" outlineLevel="0" collapsed="false">
      <c r="A5045" s="10" t="s">
        <v>7386</v>
      </c>
      <c r="B5045" s="10" t="s">
        <v>93</v>
      </c>
      <c r="C5045" s="10" t="s">
        <v>52</v>
      </c>
      <c r="D5045" s="10" t="s">
        <v>172</v>
      </c>
      <c r="E5045" s="10" t="s">
        <v>2342</v>
      </c>
      <c r="F5045" s="30" t="n">
        <v>43019</v>
      </c>
      <c r="G5045" s="30" t="n">
        <v>43026</v>
      </c>
      <c r="H5045" s="26" t="n">
        <f aca="false">G5045-F5045</f>
        <v>7</v>
      </c>
      <c r="I5045" s="10" t="n">
        <f aca="false">IF(E5045="Won",1,0)</f>
        <v>1</v>
      </c>
    </row>
    <row r="5046" customFormat="false" ht="15" hidden="false" customHeight="false" outlineLevel="0" collapsed="false">
      <c r="A5046" s="10" t="s">
        <v>7387</v>
      </c>
      <c r="B5046" s="10" t="s">
        <v>60</v>
      </c>
      <c r="C5046" s="10" t="s">
        <v>51</v>
      </c>
      <c r="D5046" s="10" t="s">
        <v>215</v>
      </c>
      <c r="E5046" s="10" t="s">
        <v>2345</v>
      </c>
      <c r="F5046" s="30" t="n">
        <v>43022</v>
      </c>
      <c r="G5046" s="30" t="n">
        <v>43026</v>
      </c>
      <c r="H5046" s="26" t="n">
        <f aca="false">G5046-F5046</f>
        <v>4</v>
      </c>
      <c r="I5046" s="10" t="n">
        <f aca="false">IF(E5046="Won",1,0)</f>
        <v>0</v>
      </c>
    </row>
    <row r="5047" customFormat="false" ht="15" hidden="false" customHeight="false" outlineLevel="0" collapsed="false">
      <c r="A5047" s="10" t="s">
        <v>7388</v>
      </c>
      <c r="B5047" s="10" t="s">
        <v>68</v>
      </c>
      <c r="C5047" s="10" t="s">
        <v>49</v>
      </c>
      <c r="D5047" s="10" t="s">
        <v>384</v>
      </c>
      <c r="E5047" s="10" t="s">
        <v>2345</v>
      </c>
      <c r="F5047" s="30" t="n">
        <v>43021</v>
      </c>
      <c r="G5047" s="30" t="n">
        <v>43026</v>
      </c>
      <c r="H5047" s="26" t="n">
        <f aca="false">G5047-F5047</f>
        <v>5</v>
      </c>
      <c r="I5047" s="10" t="n">
        <f aca="false">IF(E5047="Won",1,0)</f>
        <v>0</v>
      </c>
    </row>
    <row r="5048" customFormat="false" ht="15" hidden="false" customHeight="false" outlineLevel="0" collapsed="false">
      <c r="A5048" s="10" t="s">
        <v>7389</v>
      </c>
      <c r="B5048" s="10" t="s">
        <v>77</v>
      </c>
      <c r="C5048" s="10" t="s">
        <v>48</v>
      </c>
      <c r="D5048" s="10" t="s">
        <v>512</v>
      </c>
      <c r="E5048" s="10" t="s">
        <v>2342</v>
      </c>
      <c r="F5048" s="30" t="n">
        <v>43022</v>
      </c>
      <c r="G5048" s="30" t="n">
        <v>43026</v>
      </c>
      <c r="H5048" s="26" t="n">
        <f aca="false">G5048-F5048</f>
        <v>4</v>
      </c>
      <c r="I5048" s="10" t="n">
        <f aca="false">IF(E5048="Won",1,0)</f>
        <v>1</v>
      </c>
    </row>
    <row r="5049" customFormat="false" ht="15" hidden="false" customHeight="false" outlineLevel="0" collapsed="false">
      <c r="A5049" s="10" t="s">
        <v>7390</v>
      </c>
      <c r="B5049" s="10" t="s">
        <v>70</v>
      </c>
      <c r="C5049" s="10" t="s">
        <v>52</v>
      </c>
      <c r="D5049" s="10" t="s">
        <v>170</v>
      </c>
      <c r="E5049" s="10" t="s">
        <v>2342</v>
      </c>
      <c r="F5049" s="30" t="n">
        <v>43024</v>
      </c>
      <c r="G5049" s="30" t="n">
        <v>43026</v>
      </c>
      <c r="H5049" s="26" t="n">
        <f aca="false">G5049-F5049</f>
        <v>2</v>
      </c>
      <c r="I5049" s="10" t="n">
        <f aca="false">IF(E5049="Won",1,0)</f>
        <v>1</v>
      </c>
    </row>
    <row r="5050" customFormat="false" ht="15" hidden="false" customHeight="false" outlineLevel="0" collapsed="false">
      <c r="A5050" s="10" t="s">
        <v>7391</v>
      </c>
      <c r="B5050" s="10" t="s">
        <v>96</v>
      </c>
      <c r="C5050" s="10" t="s">
        <v>51</v>
      </c>
      <c r="D5050" s="10" t="s">
        <v>432</v>
      </c>
      <c r="E5050" s="10" t="s">
        <v>2345</v>
      </c>
      <c r="F5050" s="30" t="n">
        <v>43017</v>
      </c>
      <c r="G5050" s="30" t="n">
        <v>43027</v>
      </c>
      <c r="H5050" s="26" t="n">
        <f aca="false">G5050-F5050</f>
        <v>10</v>
      </c>
      <c r="I5050" s="10" t="n">
        <f aca="false">IF(E5050="Won",1,0)</f>
        <v>0</v>
      </c>
    </row>
    <row r="5051" customFormat="false" ht="15" hidden="false" customHeight="false" outlineLevel="0" collapsed="false">
      <c r="A5051" s="10" t="s">
        <v>7392</v>
      </c>
      <c r="B5051" s="10" t="s">
        <v>90</v>
      </c>
      <c r="C5051" s="10" t="s">
        <v>52</v>
      </c>
      <c r="D5051" s="10" t="s">
        <v>1397</v>
      </c>
      <c r="E5051" s="10" t="s">
        <v>2342</v>
      </c>
      <c r="F5051" s="30" t="n">
        <v>43026</v>
      </c>
      <c r="G5051" s="30" t="n">
        <v>43027</v>
      </c>
      <c r="H5051" s="26" t="n">
        <f aca="false">G5051-F5051</f>
        <v>1</v>
      </c>
      <c r="I5051" s="10" t="n">
        <f aca="false">IF(E5051="Won",1,0)</f>
        <v>1</v>
      </c>
    </row>
    <row r="5052" customFormat="false" ht="15" hidden="false" customHeight="false" outlineLevel="0" collapsed="false">
      <c r="A5052" s="10" t="s">
        <v>7393</v>
      </c>
      <c r="B5052" s="10" t="s">
        <v>74</v>
      </c>
      <c r="C5052" s="10" t="s">
        <v>49</v>
      </c>
      <c r="D5052" s="10" t="s">
        <v>193</v>
      </c>
      <c r="E5052" s="10" t="s">
        <v>2345</v>
      </c>
      <c r="F5052" s="30" t="n">
        <v>43019</v>
      </c>
      <c r="G5052" s="30" t="n">
        <v>43027</v>
      </c>
      <c r="H5052" s="26" t="n">
        <f aca="false">G5052-F5052</f>
        <v>8</v>
      </c>
      <c r="I5052" s="10" t="n">
        <f aca="false">IF(E5052="Won",1,0)</f>
        <v>0</v>
      </c>
    </row>
    <row r="5053" customFormat="false" ht="15" hidden="false" customHeight="false" outlineLevel="0" collapsed="false">
      <c r="A5053" s="10" t="s">
        <v>7394</v>
      </c>
      <c r="B5053" s="10" t="s">
        <v>75</v>
      </c>
      <c r="C5053" s="10" t="s">
        <v>51</v>
      </c>
      <c r="D5053" s="10" t="s">
        <v>267</v>
      </c>
      <c r="E5053" s="10" t="s">
        <v>2342</v>
      </c>
      <c r="F5053" s="30" t="n">
        <v>43015</v>
      </c>
      <c r="G5053" s="30" t="n">
        <v>43027</v>
      </c>
      <c r="H5053" s="26" t="n">
        <f aca="false">G5053-F5053</f>
        <v>12</v>
      </c>
      <c r="I5053" s="10" t="n">
        <f aca="false">IF(E5053="Won",1,0)</f>
        <v>1</v>
      </c>
    </row>
    <row r="5054" customFormat="false" ht="15" hidden="false" customHeight="false" outlineLevel="0" collapsed="false">
      <c r="A5054" s="10" t="s">
        <v>7395</v>
      </c>
      <c r="B5054" s="10" t="s">
        <v>71</v>
      </c>
      <c r="C5054" s="10" t="s">
        <v>52</v>
      </c>
      <c r="D5054" s="10" t="s">
        <v>961</v>
      </c>
      <c r="E5054" s="10" t="s">
        <v>2345</v>
      </c>
      <c r="F5054" s="30" t="n">
        <v>43018</v>
      </c>
      <c r="G5054" s="30" t="n">
        <v>43027</v>
      </c>
      <c r="H5054" s="26" t="n">
        <f aca="false">G5054-F5054</f>
        <v>9</v>
      </c>
      <c r="I5054" s="10" t="n">
        <f aca="false">IF(E5054="Won",1,0)</f>
        <v>0</v>
      </c>
    </row>
    <row r="5055" customFormat="false" ht="15" hidden="false" customHeight="false" outlineLevel="0" collapsed="false">
      <c r="A5055" s="10" t="s">
        <v>7396</v>
      </c>
      <c r="B5055" s="10" t="s">
        <v>97</v>
      </c>
      <c r="C5055" s="10" t="s">
        <v>49</v>
      </c>
      <c r="D5055" s="10" t="s">
        <v>483</v>
      </c>
      <c r="E5055" s="10" t="s">
        <v>2345</v>
      </c>
      <c r="F5055" s="30" t="n">
        <v>43020</v>
      </c>
      <c r="G5055" s="30" t="n">
        <v>43027</v>
      </c>
      <c r="H5055" s="26" t="n">
        <f aca="false">G5055-F5055</f>
        <v>7</v>
      </c>
      <c r="I5055" s="10" t="n">
        <f aca="false">IF(E5055="Won",1,0)</f>
        <v>0</v>
      </c>
    </row>
    <row r="5056" customFormat="false" ht="15" hidden="false" customHeight="false" outlineLevel="0" collapsed="false">
      <c r="A5056" s="10" t="s">
        <v>7397</v>
      </c>
      <c r="B5056" s="10" t="s">
        <v>84</v>
      </c>
      <c r="C5056" s="10" t="s">
        <v>50</v>
      </c>
      <c r="D5056" s="10" t="s">
        <v>1118</v>
      </c>
      <c r="E5056" s="10" t="s">
        <v>2345</v>
      </c>
      <c r="F5056" s="30" t="n">
        <v>43020</v>
      </c>
      <c r="G5056" s="30" t="n">
        <v>43027</v>
      </c>
      <c r="H5056" s="26" t="n">
        <f aca="false">G5056-F5056</f>
        <v>7</v>
      </c>
      <c r="I5056" s="10" t="n">
        <f aca="false">IF(E5056="Won",1,0)</f>
        <v>0</v>
      </c>
    </row>
    <row r="5057" customFormat="false" ht="15" hidden="false" customHeight="false" outlineLevel="0" collapsed="false">
      <c r="A5057" s="10" t="s">
        <v>7398</v>
      </c>
      <c r="B5057" s="10" t="s">
        <v>93</v>
      </c>
      <c r="C5057" s="10" t="s">
        <v>47</v>
      </c>
      <c r="D5057" s="10" t="s">
        <v>172</v>
      </c>
      <c r="E5057" s="10" t="s">
        <v>2342</v>
      </c>
      <c r="F5057" s="30" t="n">
        <v>43019</v>
      </c>
      <c r="G5057" s="30" t="n">
        <v>43027</v>
      </c>
      <c r="H5057" s="26" t="n">
        <f aca="false">G5057-F5057</f>
        <v>8</v>
      </c>
      <c r="I5057" s="10" t="n">
        <f aca="false">IF(E5057="Won",1,0)</f>
        <v>1</v>
      </c>
    </row>
    <row r="5058" customFormat="false" ht="15" hidden="false" customHeight="false" outlineLevel="0" collapsed="false">
      <c r="A5058" s="10" t="s">
        <v>7399</v>
      </c>
      <c r="B5058" s="10" t="s">
        <v>79</v>
      </c>
      <c r="C5058" s="10" t="s">
        <v>48</v>
      </c>
      <c r="D5058" s="10" t="s">
        <v>961</v>
      </c>
      <c r="E5058" s="10" t="s">
        <v>2345</v>
      </c>
      <c r="F5058" s="30" t="n">
        <v>43023</v>
      </c>
      <c r="G5058" s="30" t="n">
        <v>43027</v>
      </c>
      <c r="H5058" s="26" t="n">
        <f aca="false">G5058-F5058</f>
        <v>4</v>
      </c>
      <c r="I5058" s="10" t="n">
        <f aca="false">IF(E5058="Won",1,0)</f>
        <v>0</v>
      </c>
    </row>
    <row r="5059" customFormat="false" ht="15" hidden="false" customHeight="false" outlineLevel="0" collapsed="false">
      <c r="A5059" s="10" t="s">
        <v>7400</v>
      </c>
      <c r="B5059" s="10" t="s">
        <v>80</v>
      </c>
      <c r="C5059" s="10" t="s">
        <v>48</v>
      </c>
      <c r="D5059" s="10" t="s">
        <v>311</v>
      </c>
      <c r="E5059" s="10" t="s">
        <v>2342</v>
      </c>
      <c r="F5059" s="30" t="n">
        <v>43025</v>
      </c>
      <c r="G5059" s="30" t="n">
        <v>43027</v>
      </c>
      <c r="H5059" s="26" t="n">
        <f aca="false">G5059-F5059</f>
        <v>2</v>
      </c>
      <c r="I5059" s="10" t="n">
        <f aca="false">IF(E5059="Won",1,0)</f>
        <v>1</v>
      </c>
    </row>
    <row r="5060" customFormat="false" ht="15" hidden="false" customHeight="false" outlineLevel="0" collapsed="false">
      <c r="A5060" s="10" t="s">
        <v>7401</v>
      </c>
      <c r="B5060" s="10" t="s">
        <v>74</v>
      </c>
      <c r="C5060" s="10" t="s">
        <v>52</v>
      </c>
      <c r="D5060" s="10" t="s">
        <v>279</v>
      </c>
      <c r="E5060" s="10" t="s">
        <v>2345</v>
      </c>
      <c r="F5060" s="30" t="n">
        <v>43018</v>
      </c>
      <c r="G5060" s="30" t="n">
        <v>43027</v>
      </c>
      <c r="H5060" s="26" t="n">
        <f aca="false">G5060-F5060</f>
        <v>9</v>
      </c>
      <c r="I5060" s="10" t="n">
        <f aca="false">IF(E5060="Won",1,0)</f>
        <v>0</v>
      </c>
    </row>
    <row r="5061" customFormat="false" ht="15" hidden="false" customHeight="false" outlineLevel="0" collapsed="false">
      <c r="A5061" s="10" t="s">
        <v>7402</v>
      </c>
      <c r="B5061" s="10" t="s">
        <v>77</v>
      </c>
      <c r="C5061" s="10" t="s">
        <v>48</v>
      </c>
      <c r="D5061" s="10" t="s">
        <v>311</v>
      </c>
      <c r="E5061" s="10" t="s">
        <v>2345</v>
      </c>
      <c r="F5061" s="30" t="n">
        <v>43024</v>
      </c>
      <c r="G5061" s="30" t="n">
        <v>43027</v>
      </c>
      <c r="H5061" s="26" t="n">
        <f aca="false">G5061-F5061</f>
        <v>3</v>
      </c>
      <c r="I5061" s="10" t="n">
        <f aca="false">IF(E5061="Won",1,0)</f>
        <v>0</v>
      </c>
    </row>
    <row r="5062" customFormat="false" ht="15" hidden="false" customHeight="false" outlineLevel="0" collapsed="false">
      <c r="A5062" s="10" t="s">
        <v>7403</v>
      </c>
      <c r="B5062" s="10" t="s">
        <v>77</v>
      </c>
      <c r="C5062" s="10" t="s">
        <v>50</v>
      </c>
      <c r="D5062" s="10" t="s">
        <v>762</v>
      </c>
      <c r="E5062" s="10" t="s">
        <v>2345</v>
      </c>
      <c r="F5062" s="30" t="n">
        <v>43019</v>
      </c>
      <c r="G5062" s="30" t="n">
        <v>43027</v>
      </c>
      <c r="H5062" s="26" t="n">
        <f aca="false">G5062-F5062</f>
        <v>8</v>
      </c>
      <c r="I5062" s="10" t="n">
        <f aca="false">IF(E5062="Won",1,0)</f>
        <v>0</v>
      </c>
    </row>
    <row r="5063" customFormat="false" ht="15" hidden="false" customHeight="false" outlineLevel="0" collapsed="false">
      <c r="A5063" s="10" t="s">
        <v>7404</v>
      </c>
      <c r="B5063" s="10" t="s">
        <v>86</v>
      </c>
      <c r="C5063" s="10" t="s">
        <v>49</v>
      </c>
      <c r="D5063" s="10" t="s">
        <v>277</v>
      </c>
      <c r="E5063" s="10" t="s">
        <v>2345</v>
      </c>
      <c r="F5063" s="30" t="n">
        <v>43026</v>
      </c>
      <c r="G5063" s="30" t="n">
        <v>43027</v>
      </c>
      <c r="H5063" s="26" t="n">
        <f aca="false">G5063-F5063</f>
        <v>1</v>
      </c>
      <c r="I5063" s="10" t="n">
        <f aca="false">IF(E5063="Won",1,0)</f>
        <v>0</v>
      </c>
    </row>
    <row r="5064" customFormat="false" ht="15" hidden="false" customHeight="false" outlineLevel="0" collapsed="false">
      <c r="A5064" s="10" t="s">
        <v>7405</v>
      </c>
      <c r="B5064" s="10" t="s">
        <v>73</v>
      </c>
      <c r="C5064" s="10" t="s">
        <v>52</v>
      </c>
      <c r="D5064" s="10" t="s">
        <v>259</v>
      </c>
      <c r="E5064" s="10" t="s">
        <v>2342</v>
      </c>
      <c r="F5064" s="30" t="n">
        <v>43015</v>
      </c>
      <c r="G5064" s="30" t="n">
        <v>43027</v>
      </c>
      <c r="H5064" s="26" t="n">
        <f aca="false">G5064-F5064</f>
        <v>12</v>
      </c>
      <c r="I5064" s="10" t="n">
        <f aca="false">IF(E5064="Won",1,0)</f>
        <v>1</v>
      </c>
    </row>
    <row r="5065" customFormat="false" ht="15" hidden="false" customHeight="false" outlineLevel="0" collapsed="false">
      <c r="A5065" s="10" t="s">
        <v>7406</v>
      </c>
      <c r="B5065" s="10" t="s">
        <v>81</v>
      </c>
      <c r="C5065" s="10" t="s">
        <v>51</v>
      </c>
      <c r="D5065" s="10" t="s">
        <v>321</v>
      </c>
      <c r="E5065" s="10" t="s">
        <v>2345</v>
      </c>
      <c r="F5065" s="30" t="n">
        <v>43018</v>
      </c>
      <c r="G5065" s="30" t="n">
        <v>43027</v>
      </c>
      <c r="H5065" s="26" t="n">
        <f aca="false">G5065-F5065</f>
        <v>9</v>
      </c>
      <c r="I5065" s="10" t="n">
        <f aca="false">IF(E5065="Won",1,0)</f>
        <v>0</v>
      </c>
    </row>
    <row r="5066" customFormat="false" ht="15" hidden="false" customHeight="false" outlineLevel="0" collapsed="false">
      <c r="A5066" s="10" t="s">
        <v>7407</v>
      </c>
      <c r="B5066" s="10" t="s">
        <v>63</v>
      </c>
      <c r="C5066" s="10" t="s">
        <v>52</v>
      </c>
      <c r="D5066" s="10" t="s">
        <v>1334</v>
      </c>
      <c r="E5066" s="10" t="s">
        <v>2345</v>
      </c>
      <c r="F5066" s="30" t="n">
        <v>43025</v>
      </c>
      <c r="G5066" s="30" t="n">
        <v>43027</v>
      </c>
      <c r="H5066" s="26" t="n">
        <f aca="false">G5066-F5066</f>
        <v>2</v>
      </c>
      <c r="I5066" s="10" t="n">
        <f aca="false">IF(E5066="Won",1,0)</f>
        <v>0</v>
      </c>
    </row>
    <row r="5067" customFormat="false" ht="15" hidden="false" customHeight="false" outlineLevel="0" collapsed="false">
      <c r="A5067" s="10" t="s">
        <v>7408</v>
      </c>
      <c r="B5067" s="10" t="s">
        <v>67</v>
      </c>
      <c r="C5067" s="10" t="s">
        <v>49</v>
      </c>
      <c r="D5067" s="10" t="s">
        <v>199</v>
      </c>
      <c r="E5067" s="10" t="s">
        <v>2345</v>
      </c>
      <c r="F5067" s="30" t="n">
        <v>43026</v>
      </c>
      <c r="G5067" s="30" t="n">
        <v>43027</v>
      </c>
      <c r="H5067" s="26" t="n">
        <f aca="false">G5067-F5067</f>
        <v>1</v>
      </c>
      <c r="I5067" s="10" t="n">
        <f aca="false">IF(E5067="Won",1,0)</f>
        <v>0</v>
      </c>
    </row>
    <row r="5068" customFormat="false" ht="15" hidden="false" customHeight="false" outlineLevel="0" collapsed="false">
      <c r="A5068" s="10" t="s">
        <v>7409</v>
      </c>
      <c r="B5068" s="10" t="s">
        <v>77</v>
      </c>
      <c r="C5068" s="10" t="s">
        <v>48</v>
      </c>
      <c r="D5068" s="10" t="s">
        <v>267</v>
      </c>
      <c r="E5068" s="10" t="s">
        <v>2342</v>
      </c>
      <c r="F5068" s="30" t="n">
        <v>43026</v>
      </c>
      <c r="G5068" s="30" t="n">
        <v>43028</v>
      </c>
      <c r="H5068" s="26" t="n">
        <f aca="false">G5068-F5068</f>
        <v>2</v>
      </c>
      <c r="I5068" s="10" t="n">
        <f aca="false">IF(E5068="Won",1,0)</f>
        <v>1</v>
      </c>
    </row>
    <row r="5069" customFormat="false" ht="15" hidden="false" customHeight="false" outlineLevel="0" collapsed="false">
      <c r="A5069" s="10" t="s">
        <v>7410</v>
      </c>
      <c r="B5069" s="10" t="s">
        <v>76</v>
      </c>
      <c r="C5069" s="10" t="s">
        <v>49</v>
      </c>
      <c r="D5069" s="10" t="s">
        <v>869</v>
      </c>
      <c r="E5069" s="10" t="s">
        <v>2342</v>
      </c>
      <c r="F5069" s="30" t="n">
        <v>43027</v>
      </c>
      <c r="G5069" s="30" t="n">
        <v>43028</v>
      </c>
      <c r="H5069" s="26" t="n">
        <f aca="false">G5069-F5069</f>
        <v>1</v>
      </c>
      <c r="I5069" s="10" t="n">
        <f aca="false">IF(E5069="Won",1,0)</f>
        <v>1</v>
      </c>
    </row>
    <row r="5070" customFormat="false" ht="15" hidden="false" customHeight="false" outlineLevel="0" collapsed="false">
      <c r="A5070" s="10" t="s">
        <v>7411</v>
      </c>
      <c r="B5070" s="10" t="s">
        <v>67</v>
      </c>
      <c r="C5070" s="10" t="s">
        <v>49</v>
      </c>
      <c r="D5070" s="10" t="s">
        <v>348</v>
      </c>
      <c r="E5070" s="10" t="s">
        <v>2342</v>
      </c>
      <c r="F5070" s="30" t="n">
        <v>43024</v>
      </c>
      <c r="G5070" s="30" t="n">
        <v>43028</v>
      </c>
      <c r="H5070" s="26" t="n">
        <f aca="false">G5070-F5070</f>
        <v>4</v>
      </c>
      <c r="I5070" s="10" t="n">
        <f aca="false">IF(E5070="Won",1,0)</f>
        <v>1</v>
      </c>
    </row>
    <row r="5071" customFormat="false" ht="15" hidden="false" customHeight="false" outlineLevel="0" collapsed="false">
      <c r="A5071" s="10" t="s">
        <v>7412</v>
      </c>
      <c r="B5071" s="10" t="s">
        <v>57</v>
      </c>
      <c r="C5071" s="10" t="s">
        <v>50</v>
      </c>
      <c r="D5071" s="10" t="s">
        <v>441</v>
      </c>
      <c r="E5071" s="10" t="s">
        <v>2345</v>
      </c>
      <c r="F5071" s="30" t="n">
        <v>43021</v>
      </c>
      <c r="G5071" s="30" t="n">
        <v>43028</v>
      </c>
      <c r="H5071" s="26" t="n">
        <f aca="false">G5071-F5071</f>
        <v>7</v>
      </c>
      <c r="I5071" s="10" t="n">
        <f aca="false">IF(E5071="Won",1,0)</f>
        <v>0</v>
      </c>
    </row>
    <row r="5072" customFormat="false" ht="15" hidden="false" customHeight="false" outlineLevel="0" collapsed="false">
      <c r="A5072" s="10" t="s">
        <v>7413</v>
      </c>
      <c r="B5072" s="10" t="s">
        <v>80</v>
      </c>
      <c r="C5072" s="10" t="s">
        <v>49</v>
      </c>
      <c r="D5072" s="10" t="s">
        <v>193</v>
      </c>
      <c r="E5072" s="10" t="s">
        <v>2342</v>
      </c>
      <c r="F5072" s="30" t="n">
        <v>43018</v>
      </c>
      <c r="G5072" s="30" t="n">
        <v>43028</v>
      </c>
      <c r="H5072" s="26" t="n">
        <f aca="false">G5072-F5072</f>
        <v>10</v>
      </c>
      <c r="I5072" s="10" t="n">
        <f aca="false">IF(E5072="Won",1,0)</f>
        <v>1</v>
      </c>
    </row>
    <row r="5073" customFormat="false" ht="15" hidden="false" customHeight="false" outlineLevel="0" collapsed="false">
      <c r="A5073" s="10" t="s">
        <v>7414</v>
      </c>
      <c r="B5073" s="10" t="s">
        <v>67</v>
      </c>
      <c r="C5073" s="10" t="s">
        <v>50</v>
      </c>
      <c r="D5073" s="10" t="s">
        <v>313</v>
      </c>
      <c r="E5073" s="10" t="s">
        <v>2345</v>
      </c>
      <c r="F5073" s="30" t="n">
        <v>43021</v>
      </c>
      <c r="G5073" s="30" t="n">
        <v>43028</v>
      </c>
      <c r="H5073" s="26" t="n">
        <f aca="false">G5073-F5073</f>
        <v>7</v>
      </c>
      <c r="I5073" s="10" t="n">
        <f aca="false">IF(E5073="Won",1,0)</f>
        <v>0</v>
      </c>
    </row>
    <row r="5074" customFormat="false" ht="15" hidden="false" customHeight="false" outlineLevel="0" collapsed="false">
      <c r="A5074" s="10" t="s">
        <v>7415</v>
      </c>
      <c r="B5074" s="10" t="s">
        <v>60</v>
      </c>
      <c r="C5074" s="10" t="s">
        <v>49</v>
      </c>
      <c r="D5074" s="10" t="s">
        <v>277</v>
      </c>
      <c r="E5074" s="10" t="s">
        <v>2342</v>
      </c>
      <c r="F5074" s="30" t="n">
        <v>43017</v>
      </c>
      <c r="G5074" s="30" t="n">
        <v>43028</v>
      </c>
      <c r="H5074" s="26" t="n">
        <f aca="false">G5074-F5074</f>
        <v>11</v>
      </c>
      <c r="I5074" s="10" t="n">
        <f aca="false">IF(E5074="Won",1,0)</f>
        <v>1</v>
      </c>
    </row>
    <row r="5075" customFormat="false" ht="15" hidden="false" customHeight="false" outlineLevel="0" collapsed="false">
      <c r="A5075" s="10" t="s">
        <v>7416</v>
      </c>
      <c r="B5075" s="10" t="s">
        <v>74</v>
      </c>
      <c r="C5075" s="10" t="s">
        <v>51</v>
      </c>
      <c r="D5075" s="10" t="s">
        <v>660</v>
      </c>
      <c r="E5075" s="10" t="s">
        <v>2342</v>
      </c>
      <c r="F5075" s="30" t="n">
        <v>43026</v>
      </c>
      <c r="G5075" s="30" t="n">
        <v>43028</v>
      </c>
      <c r="H5075" s="26" t="n">
        <f aca="false">G5075-F5075</f>
        <v>2</v>
      </c>
      <c r="I5075" s="10" t="n">
        <f aca="false">IF(E5075="Won",1,0)</f>
        <v>1</v>
      </c>
    </row>
    <row r="5076" customFormat="false" ht="15" hidden="false" customHeight="false" outlineLevel="0" collapsed="false">
      <c r="A5076" s="10" t="s">
        <v>7417</v>
      </c>
      <c r="B5076" s="10" t="s">
        <v>69</v>
      </c>
      <c r="C5076" s="10" t="s">
        <v>52</v>
      </c>
      <c r="D5076" s="10" t="s">
        <v>303</v>
      </c>
      <c r="E5076" s="10" t="s">
        <v>2345</v>
      </c>
      <c r="F5076" s="30" t="n">
        <v>43016</v>
      </c>
      <c r="G5076" s="30" t="n">
        <v>43028</v>
      </c>
      <c r="H5076" s="26" t="n">
        <f aca="false">G5076-F5076</f>
        <v>12</v>
      </c>
      <c r="I5076" s="10" t="n">
        <f aca="false">IF(E5076="Won",1,0)</f>
        <v>0</v>
      </c>
    </row>
    <row r="5077" customFormat="false" ht="15" hidden="false" customHeight="false" outlineLevel="0" collapsed="false">
      <c r="A5077" s="10" t="s">
        <v>7418</v>
      </c>
      <c r="B5077" s="10" t="s">
        <v>71</v>
      </c>
      <c r="C5077" s="10" t="s">
        <v>49</v>
      </c>
      <c r="D5077" s="10" t="s">
        <v>524</v>
      </c>
      <c r="E5077" s="10" t="s">
        <v>2342</v>
      </c>
      <c r="F5077" s="30" t="n">
        <v>43017</v>
      </c>
      <c r="G5077" s="30" t="n">
        <v>43028</v>
      </c>
      <c r="H5077" s="26" t="n">
        <f aca="false">G5077-F5077</f>
        <v>11</v>
      </c>
      <c r="I5077" s="10" t="n">
        <f aca="false">IF(E5077="Won",1,0)</f>
        <v>1</v>
      </c>
    </row>
    <row r="5078" customFormat="false" ht="15" hidden="false" customHeight="false" outlineLevel="0" collapsed="false">
      <c r="A5078" s="10" t="s">
        <v>7419</v>
      </c>
      <c r="B5078" s="10" t="s">
        <v>74</v>
      </c>
      <c r="C5078" s="10" t="s">
        <v>51</v>
      </c>
      <c r="D5078" s="10" t="s">
        <v>353</v>
      </c>
      <c r="E5078" s="10" t="s">
        <v>2345</v>
      </c>
      <c r="F5078" s="30" t="n">
        <v>43022</v>
      </c>
      <c r="G5078" s="30" t="n">
        <v>43028</v>
      </c>
      <c r="H5078" s="26" t="n">
        <f aca="false">G5078-F5078</f>
        <v>6</v>
      </c>
      <c r="I5078" s="10" t="n">
        <f aca="false">IF(E5078="Won",1,0)</f>
        <v>0</v>
      </c>
    </row>
    <row r="5079" customFormat="false" ht="15" hidden="false" customHeight="false" outlineLevel="0" collapsed="false">
      <c r="A5079" s="10" t="s">
        <v>7420</v>
      </c>
      <c r="B5079" s="10" t="s">
        <v>93</v>
      </c>
      <c r="C5079" s="10" t="s">
        <v>48</v>
      </c>
      <c r="D5079" s="10" t="s">
        <v>487</v>
      </c>
      <c r="E5079" s="10" t="s">
        <v>2342</v>
      </c>
      <c r="F5079" s="30" t="n">
        <v>43027</v>
      </c>
      <c r="G5079" s="30" t="n">
        <v>43028</v>
      </c>
      <c r="H5079" s="26" t="n">
        <f aca="false">G5079-F5079</f>
        <v>1</v>
      </c>
      <c r="I5079" s="10" t="n">
        <f aca="false">IF(E5079="Won",1,0)</f>
        <v>1</v>
      </c>
    </row>
    <row r="5080" customFormat="false" ht="15" hidden="false" customHeight="false" outlineLevel="0" collapsed="false">
      <c r="A5080" s="10" t="s">
        <v>7421</v>
      </c>
      <c r="B5080" s="10" t="s">
        <v>70</v>
      </c>
      <c r="C5080" s="10" t="s">
        <v>47</v>
      </c>
      <c r="D5080" s="10" t="s">
        <v>711</v>
      </c>
      <c r="E5080" s="10" t="s">
        <v>2342</v>
      </c>
      <c r="F5080" s="30" t="n">
        <v>43027</v>
      </c>
      <c r="G5080" s="30" t="n">
        <v>43028</v>
      </c>
      <c r="H5080" s="26" t="n">
        <f aca="false">G5080-F5080</f>
        <v>1</v>
      </c>
      <c r="I5080" s="10" t="n">
        <f aca="false">IF(E5080="Won",1,0)</f>
        <v>1</v>
      </c>
    </row>
    <row r="5081" customFormat="false" ht="15" hidden="false" customHeight="false" outlineLevel="0" collapsed="false">
      <c r="A5081" s="10" t="s">
        <v>7422</v>
      </c>
      <c r="B5081" s="10" t="s">
        <v>60</v>
      </c>
      <c r="C5081" s="10" t="s">
        <v>49</v>
      </c>
      <c r="D5081" s="10" t="s">
        <v>455</v>
      </c>
      <c r="E5081" s="10" t="s">
        <v>2342</v>
      </c>
      <c r="F5081" s="30" t="n">
        <v>43016</v>
      </c>
      <c r="G5081" s="30" t="n">
        <v>43028</v>
      </c>
      <c r="H5081" s="26" t="n">
        <f aca="false">G5081-F5081</f>
        <v>12</v>
      </c>
      <c r="I5081" s="10" t="n">
        <f aca="false">IF(E5081="Won",1,0)</f>
        <v>1</v>
      </c>
    </row>
    <row r="5082" customFormat="false" ht="15" hidden="false" customHeight="false" outlineLevel="0" collapsed="false">
      <c r="A5082" s="10" t="s">
        <v>7423</v>
      </c>
      <c r="B5082" s="10" t="s">
        <v>88</v>
      </c>
      <c r="C5082" s="10" t="s">
        <v>49</v>
      </c>
      <c r="D5082" s="10" t="s">
        <v>1397</v>
      </c>
      <c r="E5082" s="10" t="s">
        <v>2342</v>
      </c>
      <c r="F5082" s="30" t="n">
        <v>43019</v>
      </c>
      <c r="G5082" s="30" t="n">
        <v>43028</v>
      </c>
      <c r="H5082" s="26" t="n">
        <f aca="false">G5082-F5082</f>
        <v>9</v>
      </c>
      <c r="I5082" s="10" t="n">
        <f aca="false">IF(E5082="Won",1,0)</f>
        <v>1</v>
      </c>
    </row>
    <row r="5083" customFormat="false" ht="15" hidden="false" customHeight="false" outlineLevel="0" collapsed="false">
      <c r="A5083" s="10" t="s">
        <v>7424</v>
      </c>
      <c r="B5083" s="10" t="s">
        <v>73</v>
      </c>
      <c r="C5083" s="10" t="s">
        <v>50</v>
      </c>
      <c r="D5083" s="10" t="s">
        <v>291</v>
      </c>
      <c r="E5083" s="10" t="s">
        <v>2342</v>
      </c>
      <c r="F5083" s="30" t="n">
        <v>43026</v>
      </c>
      <c r="G5083" s="30" t="n">
        <v>43028</v>
      </c>
      <c r="H5083" s="26" t="n">
        <f aca="false">G5083-F5083</f>
        <v>2</v>
      </c>
      <c r="I5083" s="10" t="n">
        <f aca="false">IF(E5083="Won",1,0)</f>
        <v>1</v>
      </c>
    </row>
    <row r="5084" customFormat="false" ht="15" hidden="false" customHeight="false" outlineLevel="0" collapsed="false">
      <c r="A5084" s="10" t="s">
        <v>7425</v>
      </c>
      <c r="B5084" s="10" t="s">
        <v>66</v>
      </c>
      <c r="C5084" s="10" t="s">
        <v>52</v>
      </c>
      <c r="D5084" s="10" t="s">
        <v>606</v>
      </c>
      <c r="E5084" s="10" t="s">
        <v>2342</v>
      </c>
      <c r="F5084" s="30" t="n">
        <v>43026</v>
      </c>
      <c r="G5084" s="30" t="n">
        <v>43028</v>
      </c>
      <c r="H5084" s="26" t="n">
        <f aca="false">G5084-F5084</f>
        <v>2</v>
      </c>
      <c r="I5084" s="10" t="n">
        <f aca="false">IF(E5084="Won",1,0)</f>
        <v>1</v>
      </c>
    </row>
    <row r="5085" customFormat="false" ht="15" hidden="false" customHeight="false" outlineLevel="0" collapsed="false">
      <c r="A5085" s="10" t="s">
        <v>7426</v>
      </c>
      <c r="B5085" s="10" t="s">
        <v>97</v>
      </c>
      <c r="C5085" s="10" t="s">
        <v>51</v>
      </c>
      <c r="D5085" s="10" t="s">
        <v>487</v>
      </c>
      <c r="E5085" s="10" t="s">
        <v>2345</v>
      </c>
      <c r="F5085" s="30" t="n">
        <v>43019</v>
      </c>
      <c r="G5085" s="30" t="n">
        <v>43028</v>
      </c>
      <c r="H5085" s="26" t="n">
        <f aca="false">G5085-F5085</f>
        <v>9</v>
      </c>
      <c r="I5085" s="10" t="n">
        <f aca="false">IF(E5085="Won",1,0)</f>
        <v>0</v>
      </c>
    </row>
    <row r="5086" customFormat="false" ht="15" hidden="false" customHeight="false" outlineLevel="0" collapsed="false">
      <c r="A5086" s="10" t="s">
        <v>7427</v>
      </c>
      <c r="B5086" s="10" t="s">
        <v>79</v>
      </c>
      <c r="C5086" s="10" t="s">
        <v>52</v>
      </c>
      <c r="D5086" s="10" t="s">
        <v>483</v>
      </c>
      <c r="E5086" s="10" t="s">
        <v>2345</v>
      </c>
      <c r="F5086" s="30" t="n">
        <v>43027</v>
      </c>
      <c r="G5086" s="30" t="n">
        <v>43028</v>
      </c>
      <c r="H5086" s="26" t="n">
        <f aca="false">G5086-F5086</f>
        <v>1</v>
      </c>
      <c r="I5086" s="10" t="n">
        <f aca="false">IF(E5086="Won",1,0)</f>
        <v>0</v>
      </c>
    </row>
    <row r="5087" customFormat="false" ht="15" hidden="false" customHeight="false" outlineLevel="0" collapsed="false">
      <c r="A5087" s="10" t="s">
        <v>7428</v>
      </c>
      <c r="B5087" s="10" t="s">
        <v>67</v>
      </c>
      <c r="C5087" s="10" t="s">
        <v>47</v>
      </c>
      <c r="D5087" s="10" t="s">
        <v>424</v>
      </c>
      <c r="E5087" s="10" t="s">
        <v>2342</v>
      </c>
      <c r="F5087" s="30" t="n">
        <v>43028</v>
      </c>
      <c r="G5087" s="30" t="n">
        <v>43029</v>
      </c>
      <c r="H5087" s="26" t="n">
        <f aca="false">G5087-F5087</f>
        <v>1</v>
      </c>
      <c r="I5087" s="10" t="n">
        <f aca="false">IF(E5087="Won",1,0)</f>
        <v>1</v>
      </c>
    </row>
    <row r="5088" customFormat="false" ht="15" hidden="false" customHeight="false" outlineLevel="0" collapsed="false">
      <c r="A5088" s="10" t="s">
        <v>7429</v>
      </c>
      <c r="B5088" s="10" t="s">
        <v>80</v>
      </c>
      <c r="C5088" s="10" t="s">
        <v>51</v>
      </c>
      <c r="D5088" s="10" t="s">
        <v>321</v>
      </c>
      <c r="E5088" s="10" t="s">
        <v>2342</v>
      </c>
      <c r="F5088" s="30" t="n">
        <v>43020</v>
      </c>
      <c r="G5088" s="30" t="n">
        <v>43029</v>
      </c>
      <c r="H5088" s="26" t="n">
        <f aca="false">G5088-F5088</f>
        <v>9</v>
      </c>
      <c r="I5088" s="10" t="n">
        <f aca="false">IF(E5088="Won",1,0)</f>
        <v>1</v>
      </c>
    </row>
    <row r="5089" customFormat="false" ht="15" hidden="false" customHeight="false" outlineLevel="0" collapsed="false">
      <c r="A5089" s="10" t="s">
        <v>7430</v>
      </c>
      <c r="B5089" s="10" t="s">
        <v>74</v>
      </c>
      <c r="C5089" s="10" t="s">
        <v>51</v>
      </c>
      <c r="D5089" s="10" t="s">
        <v>762</v>
      </c>
      <c r="E5089" s="10" t="s">
        <v>2345</v>
      </c>
      <c r="F5089" s="30" t="n">
        <v>43020</v>
      </c>
      <c r="G5089" s="30" t="n">
        <v>43029</v>
      </c>
      <c r="H5089" s="26" t="n">
        <f aca="false">G5089-F5089</f>
        <v>9</v>
      </c>
      <c r="I5089" s="10" t="n">
        <f aca="false">IF(E5089="Won",1,0)</f>
        <v>0</v>
      </c>
    </row>
    <row r="5090" customFormat="false" ht="15" hidden="false" customHeight="false" outlineLevel="0" collapsed="false">
      <c r="A5090" s="10" t="s">
        <v>7431</v>
      </c>
      <c r="B5090" s="10" t="s">
        <v>81</v>
      </c>
      <c r="C5090" s="10" t="s">
        <v>50</v>
      </c>
      <c r="D5090" s="10" t="s">
        <v>483</v>
      </c>
      <c r="E5090" s="10" t="s">
        <v>2345</v>
      </c>
      <c r="F5090" s="30" t="n">
        <v>43024</v>
      </c>
      <c r="G5090" s="30" t="n">
        <v>43029</v>
      </c>
      <c r="H5090" s="26" t="n">
        <f aca="false">G5090-F5090</f>
        <v>5</v>
      </c>
      <c r="I5090" s="10" t="n">
        <f aca="false">IF(E5090="Won",1,0)</f>
        <v>0</v>
      </c>
    </row>
    <row r="5091" customFormat="false" ht="15" hidden="false" customHeight="false" outlineLevel="0" collapsed="false">
      <c r="A5091" s="10" t="s">
        <v>7432</v>
      </c>
      <c r="B5091" s="10" t="s">
        <v>95</v>
      </c>
      <c r="C5091" s="10" t="s">
        <v>51</v>
      </c>
      <c r="D5091" s="10" t="s">
        <v>606</v>
      </c>
      <c r="E5091" s="10" t="s">
        <v>2345</v>
      </c>
      <c r="F5091" s="30" t="n">
        <v>43024</v>
      </c>
      <c r="G5091" s="30" t="n">
        <v>43029</v>
      </c>
      <c r="H5091" s="26" t="n">
        <f aca="false">G5091-F5091</f>
        <v>5</v>
      </c>
      <c r="I5091" s="10" t="n">
        <f aca="false">IF(E5091="Won",1,0)</f>
        <v>0</v>
      </c>
    </row>
    <row r="5092" customFormat="false" ht="15" hidden="false" customHeight="false" outlineLevel="0" collapsed="false">
      <c r="A5092" s="10" t="s">
        <v>7433</v>
      </c>
      <c r="B5092" s="10" t="s">
        <v>84</v>
      </c>
      <c r="C5092" s="10" t="s">
        <v>50</v>
      </c>
      <c r="D5092" s="10" t="s">
        <v>674</v>
      </c>
      <c r="E5092" s="10" t="s">
        <v>2342</v>
      </c>
      <c r="F5092" s="30" t="n">
        <v>43019</v>
      </c>
      <c r="G5092" s="30" t="n">
        <v>43029</v>
      </c>
      <c r="H5092" s="26" t="n">
        <f aca="false">G5092-F5092</f>
        <v>10</v>
      </c>
      <c r="I5092" s="10" t="n">
        <f aca="false">IF(E5092="Won",1,0)</f>
        <v>1</v>
      </c>
    </row>
    <row r="5093" customFormat="false" ht="15" hidden="false" customHeight="false" outlineLevel="0" collapsed="false">
      <c r="A5093" s="10" t="s">
        <v>7434</v>
      </c>
      <c r="B5093" s="10" t="s">
        <v>67</v>
      </c>
      <c r="C5093" s="10" t="s">
        <v>52</v>
      </c>
      <c r="D5093" s="10" t="s">
        <v>514</v>
      </c>
      <c r="E5093" s="10" t="s">
        <v>2345</v>
      </c>
      <c r="F5093" s="30" t="n">
        <v>43023</v>
      </c>
      <c r="G5093" s="30" t="n">
        <v>43029</v>
      </c>
      <c r="H5093" s="26" t="n">
        <f aca="false">G5093-F5093</f>
        <v>6</v>
      </c>
      <c r="I5093" s="10" t="n">
        <f aca="false">IF(E5093="Won",1,0)</f>
        <v>0</v>
      </c>
    </row>
    <row r="5094" customFormat="false" ht="15" hidden="false" customHeight="false" outlineLevel="0" collapsed="false">
      <c r="A5094" s="10" t="s">
        <v>7435</v>
      </c>
      <c r="B5094" s="10" t="s">
        <v>97</v>
      </c>
      <c r="C5094" s="10" t="s">
        <v>51</v>
      </c>
      <c r="D5094" s="10" t="s">
        <v>337</v>
      </c>
      <c r="E5094" s="10" t="s">
        <v>2342</v>
      </c>
      <c r="F5094" s="30" t="n">
        <v>43020</v>
      </c>
      <c r="G5094" s="30" t="n">
        <v>43029</v>
      </c>
      <c r="H5094" s="26" t="n">
        <f aca="false">G5094-F5094</f>
        <v>9</v>
      </c>
      <c r="I5094" s="10" t="n">
        <f aca="false">IF(E5094="Won",1,0)</f>
        <v>1</v>
      </c>
    </row>
    <row r="5095" customFormat="false" ht="15" hidden="false" customHeight="false" outlineLevel="0" collapsed="false">
      <c r="A5095" s="10" t="s">
        <v>7436</v>
      </c>
      <c r="B5095" s="10" t="s">
        <v>70</v>
      </c>
      <c r="C5095" s="10" t="s">
        <v>48</v>
      </c>
      <c r="D5095" s="10" t="s">
        <v>313</v>
      </c>
      <c r="E5095" s="10" t="s">
        <v>2345</v>
      </c>
      <c r="F5095" s="30" t="n">
        <v>43027</v>
      </c>
      <c r="G5095" s="30" t="n">
        <v>43029</v>
      </c>
      <c r="H5095" s="26" t="n">
        <f aca="false">G5095-F5095</f>
        <v>2</v>
      </c>
      <c r="I5095" s="10" t="n">
        <f aca="false">IF(E5095="Won",1,0)</f>
        <v>0</v>
      </c>
    </row>
    <row r="5096" customFormat="false" ht="15" hidden="false" customHeight="false" outlineLevel="0" collapsed="false">
      <c r="A5096" s="10" t="s">
        <v>7437</v>
      </c>
      <c r="B5096" s="10" t="s">
        <v>90</v>
      </c>
      <c r="C5096" s="10" t="s">
        <v>49</v>
      </c>
      <c r="D5096" s="10" t="s">
        <v>453</v>
      </c>
      <c r="E5096" s="10" t="s">
        <v>2345</v>
      </c>
      <c r="F5096" s="30" t="n">
        <v>43027</v>
      </c>
      <c r="G5096" s="30" t="n">
        <v>43029</v>
      </c>
      <c r="H5096" s="26" t="n">
        <f aca="false">G5096-F5096</f>
        <v>2</v>
      </c>
      <c r="I5096" s="10" t="n">
        <f aca="false">IF(E5096="Won",1,0)</f>
        <v>0</v>
      </c>
    </row>
    <row r="5097" customFormat="false" ht="15" hidden="false" customHeight="false" outlineLevel="0" collapsed="false">
      <c r="A5097" s="10" t="s">
        <v>7438</v>
      </c>
      <c r="B5097" s="10" t="s">
        <v>74</v>
      </c>
      <c r="C5097" s="10" t="s">
        <v>49</v>
      </c>
      <c r="D5097" s="10" t="s">
        <v>762</v>
      </c>
      <c r="E5097" s="10" t="s">
        <v>2345</v>
      </c>
      <c r="F5097" s="30" t="n">
        <v>43027</v>
      </c>
      <c r="G5097" s="30" t="n">
        <v>43029</v>
      </c>
      <c r="H5097" s="26" t="n">
        <f aca="false">G5097-F5097</f>
        <v>2</v>
      </c>
      <c r="I5097" s="10" t="n">
        <f aca="false">IF(E5097="Won",1,0)</f>
        <v>0</v>
      </c>
    </row>
    <row r="5098" customFormat="false" ht="15" hidden="false" customHeight="false" outlineLevel="0" collapsed="false">
      <c r="A5098" s="10" t="s">
        <v>7439</v>
      </c>
      <c r="B5098" s="10" t="s">
        <v>57</v>
      </c>
      <c r="C5098" s="10" t="s">
        <v>50</v>
      </c>
      <c r="D5098" s="10" t="s">
        <v>286</v>
      </c>
      <c r="E5098" s="10" t="s">
        <v>2342</v>
      </c>
      <c r="F5098" s="30" t="n">
        <v>43027</v>
      </c>
      <c r="G5098" s="30" t="n">
        <v>43029</v>
      </c>
      <c r="H5098" s="26" t="n">
        <f aca="false">G5098-F5098</f>
        <v>2</v>
      </c>
      <c r="I5098" s="10" t="n">
        <f aca="false">IF(E5098="Won",1,0)</f>
        <v>1</v>
      </c>
    </row>
    <row r="5099" customFormat="false" ht="15" hidden="false" customHeight="false" outlineLevel="0" collapsed="false">
      <c r="A5099" s="10" t="s">
        <v>7440</v>
      </c>
      <c r="B5099" s="10" t="s">
        <v>62</v>
      </c>
      <c r="C5099" s="10" t="s">
        <v>50</v>
      </c>
      <c r="D5099" s="10" t="s">
        <v>1118</v>
      </c>
      <c r="E5099" s="10" t="s">
        <v>2345</v>
      </c>
      <c r="F5099" s="30" t="n">
        <v>43021</v>
      </c>
      <c r="G5099" s="30" t="n">
        <v>43029</v>
      </c>
      <c r="H5099" s="26" t="n">
        <f aca="false">G5099-F5099</f>
        <v>8</v>
      </c>
      <c r="I5099" s="10" t="n">
        <f aca="false">IF(E5099="Won",1,0)</f>
        <v>0</v>
      </c>
    </row>
    <row r="5100" customFormat="false" ht="15" hidden="false" customHeight="false" outlineLevel="0" collapsed="false">
      <c r="A5100" s="10" t="s">
        <v>7441</v>
      </c>
      <c r="B5100" s="10" t="s">
        <v>86</v>
      </c>
      <c r="C5100" s="10" t="s">
        <v>50</v>
      </c>
      <c r="D5100" s="10" t="s">
        <v>405</v>
      </c>
      <c r="E5100" s="10" t="s">
        <v>2342</v>
      </c>
      <c r="F5100" s="30" t="n">
        <v>43027</v>
      </c>
      <c r="G5100" s="30" t="n">
        <v>43029</v>
      </c>
      <c r="H5100" s="26" t="n">
        <f aca="false">G5100-F5100</f>
        <v>2</v>
      </c>
      <c r="I5100" s="10" t="n">
        <f aca="false">IF(E5100="Won",1,0)</f>
        <v>1</v>
      </c>
    </row>
    <row r="5101" customFormat="false" ht="15" hidden="false" customHeight="false" outlineLevel="0" collapsed="false">
      <c r="A5101" s="10" t="s">
        <v>7442</v>
      </c>
      <c r="B5101" s="10" t="s">
        <v>77</v>
      </c>
      <c r="C5101" s="10" t="s">
        <v>52</v>
      </c>
      <c r="D5101" s="10" t="s">
        <v>422</v>
      </c>
      <c r="E5101" s="10" t="s">
        <v>2345</v>
      </c>
      <c r="F5101" s="30" t="n">
        <v>43022</v>
      </c>
      <c r="G5101" s="30" t="n">
        <v>43029</v>
      </c>
      <c r="H5101" s="26" t="n">
        <f aca="false">G5101-F5101</f>
        <v>7</v>
      </c>
      <c r="I5101" s="10" t="n">
        <f aca="false">IF(E5101="Won",1,0)</f>
        <v>0</v>
      </c>
    </row>
    <row r="5102" customFormat="false" ht="15" hidden="false" customHeight="false" outlineLevel="0" collapsed="false">
      <c r="A5102" s="10" t="s">
        <v>7443</v>
      </c>
      <c r="B5102" s="10" t="s">
        <v>74</v>
      </c>
      <c r="C5102" s="10" t="s">
        <v>52</v>
      </c>
      <c r="D5102" s="10" t="s">
        <v>1948</v>
      </c>
      <c r="E5102" s="10" t="s">
        <v>2345</v>
      </c>
      <c r="F5102" s="30" t="n">
        <v>43023</v>
      </c>
      <c r="G5102" s="30" t="n">
        <v>43029</v>
      </c>
      <c r="H5102" s="26" t="n">
        <f aca="false">G5102-F5102</f>
        <v>6</v>
      </c>
      <c r="I5102" s="10" t="n">
        <f aca="false">IF(E5102="Won",1,0)</f>
        <v>0</v>
      </c>
    </row>
    <row r="5103" customFormat="false" ht="15" hidden="false" customHeight="false" outlineLevel="0" collapsed="false">
      <c r="A5103" s="10" t="s">
        <v>7444</v>
      </c>
      <c r="B5103" s="10" t="s">
        <v>71</v>
      </c>
      <c r="C5103" s="10" t="s">
        <v>49</v>
      </c>
      <c r="D5103" s="10" t="s">
        <v>512</v>
      </c>
      <c r="E5103" s="10" t="s">
        <v>2345</v>
      </c>
      <c r="F5103" s="30" t="n">
        <v>43028</v>
      </c>
      <c r="G5103" s="30" t="n">
        <v>43029</v>
      </c>
      <c r="H5103" s="26" t="n">
        <f aca="false">G5103-F5103</f>
        <v>1</v>
      </c>
      <c r="I5103" s="10" t="n">
        <f aca="false">IF(E5103="Won",1,0)</f>
        <v>0</v>
      </c>
    </row>
    <row r="5104" customFormat="false" ht="15" hidden="false" customHeight="false" outlineLevel="0" collapsed="false">
      <c r="A5104" s="10" t="s">
        <v>7445</v>
      </c>
      <c r="B5104" s="10" t="s">
        <v>68</v>
      </c>
      <c r="C5104" s="10" t="s">
        <v>51</v>
      </c>
      <c r="D5104" s="10" t="s">
        <v>172</v>
      </c>
      <c r="E5104" s="10" t="s">
        <v>2342</v>
      </c>
      <c r="F5104" s="30" t="n">
        <v>43027</v>
      </c>
      <c r="G5104" s="30" t="n">
        <v>43029</v>
      </c>
      <c r="H5104" s="26" t="n">
        <f aca="false">G5104-F5104</f>
        <v>2</v>
      </c>
      <c r="I5104" s="10" t="n">
        <f aca="false">IF(E5104="Won",1,0)</f>
        <v>1</v>
      </c>
    </row>
    <row r="5105" customFormat="false" ht="15" hidden="false" customHeight="false" outlineLevel="0" collapsed="false">
      <c r="A5105" s="10" t="s">
        <v>7446</v>
      </c>
      <c r="B5105" s="10" t="s">
        <v>95</v>
      </c>
      <c r="C5105" s="10" t="s">
        <v>47</v>
      </c>
      <c r="D5105" s="10" t="s">
        <v>424</v>
      </c>
      <c r="E5105" s="10" t="s">
        <v>2342</v>
      </c>
      <c r="F5105" s="30" t="n">
        <v>43019</v>
      </c>
      <c r="G5105" s="30" t="n">
        <v>43029</v>
      </c>
      <c r="H5105" s="26" t="n">
        <f aca="false">G5105-F5105</f>
        <v>10</v>
      </c>
      <c r="I5105" s="10" t="n">
        <f aca="false">IF(E5105="Won",1,0)</f>
        <v>1</v>
      </c>
    </row>
    <row r="5106" customFormat="false" ht="15" hidden="false" customHeight="false" outlineLevel="0" collapsed="false">
      <c r="A5106" s="10" t="s">
        <v>7447</v>
      </c>
      <c r="B5106" s="10" t="s">
        <v>83</v>
      </c>
      <c r="C5106" s="10" t="s">
        <v>51</v>
      </c>
      <c r="D5106" s="10" t="s">
        <v>869</v>
      </c>
      <c r="E5106" s="10" t="s">
        <v>2345</v>
      </c>
      <c r="F5106" s="30" t="n">
        <v>43017</v>
      </c>
      <c r="G5106" s="30" t="n">
        <v>43029</v>
      </c>
      <c r="H5106" s="26" t="n">
        <f aca="false">G5106-F5106</f>
        <v>12</v>
      </c>
      <c r="I5106" s="10" t="n">
        <f aca="false">IF(E5106="Won",1,0)</f>
        <v>0</v>
      </c>
    </row>
    <row r="5107" customFormat="false" ht="15" hidden="false" customHeight="false" outlineLevel="0" collapsed="false">
      <c r="A5107" s="10" t="s">
        <v>7448</v>
      </c>
      <c r="B5107" s="10" t="s">
        <v>80</v>
      </c>
      <c r="C5107" s="10" t="s">
        <v>51</v>
      </c>
      <c r="D5107" s="10" t="s">
        <v>311</v>
      </c>
      <c r="E5107" s="10" t="s">
        <v>2345</v>
      </c>
      <c r="F5107" s="30" t="n">
        <v>43017</v>
      </c>
      <c r="G5107" s="30" t="n">
        <v>43029</v>
      </c>
      <c r="H5107" s="26" t="n">
        <f aca="false">G5107-F5107</f>
        <v>12</v>
      </c>
      <c r="I5107" s="10" t="n">
        <f aca="false">IF(E5107="Won",1,0)</f>
        <v>0</v>
      </c>
    </row>
    <row r="5108" customFormat="false" ht="15" hidden="false" customHeight="false" outlineLevel="0" collapsed="false">
      <c r="A5108" s="10" t="s">
        <v>7449</v>
      </c>
      <c r="B5108" s="10" t="s">
        <v>80</v>
      </c>
      <c r="C5108" s="10" t="s">
        <v>51</v>
      </c>
      <c r="D5108" s="10" t="s">
        <v>353</v>
      </c>
      <c r="E5108" s="10" t="s">
        <v>2342</v>
      </c>
      <c r="F5108" s="30" t="n">
        <v>43022</v>
      </c>
      <c r="G5108" s="30" t="n">
        <v>43030</v>
      </c>
      <c r="H5108" s="26" t="n">
        <f aca="false">G5108-F5108</f>
        <v>8</v>
      </c>
      <c r="I5108" s="10" t="n">
        <f aca="false">IF(E5108="Won",1,0)</f>
        <v>1</v>
      </c>
    </row>
    <row r="5109" customFormat="false" ht="15" hidden="false" customHeight="false" outlineLevel="0" collapsed="false">
      <c r="A5109" s="10" t="s">
        <v>7450</v>
      </c>
      <c r="B5109" s="10" t="s">
        <v>95</v>
      </c>
      <c r="C5109" s="10" t="s">
        <v>51</v>
      </c>
      <c r="D5109" s="10" t="s">
        <v>168</v>
      </c>
      <c r="E5109" s="10" t="s">
        <v>2342</v>
      </c>
      <c r="F5109" s="30" t="n">
        <v>43018</v>
      </c>
      <c r="G5109" s="30" t="n">
        <v>43030</v>
      </c>
      <c r="H5109" s="26" t="n">
        <f aca="false">G5109-F5109</f>
        <v>12</v>
      </c>
      <c r="I5109" s="10" t="n">
        <f aca="false">IF(E5109="Won",1,0)</f>
        <v>1</v>
      </c>
    </row>
    <row r="5110" customFormat="false" ht="15" hidden="false" customHeight="false" outlineLevel="0" collapsed="false">
      <c r="A5110" s="10" t="s">
        <v>7451</v>
      </c>
      <c r="B5110" s="10" t="s">
        <v>71</v>
      </c>
      <c r="C5110" s="10" t="s">
        <v>52</v>
      </c>
      <c r="D5110" s="10" t="s">
        <v>193</v>
      </c>
      <c r="E5110" s="10" t="s">
        <v>2345</v>
      </c>
      <c r="F5110" s="30" t="n">
        <v>43021</v>
      </c>
      <c r="G5110" s="30" t="n">
        <v>43030</v>
      </c>
      <c r="H5110" s="26" t="n">
        <f aca="false">G5110-F5110</f>
        <v>9</v>
      </c>
      <c r="I5110" s="10" t="n">
        <f aca="false">IF(E5110="Won",1,0)</f>
        <v>0</v>
      </c>
    </row>
    <row r="5111" customFormat="false" ht="15" hidden="false" customHeight="false" outlineLevel="0" collapsed="false">
      <c r="A5111" s="10" t="s">
        <v>7452</v>
      </c>
      <c r="B5111" s="10" t="s">
        <v>74</v>
      </c>
      <c r="C5111" s="10" t="s">
        <v>51</v>
      </c>
      <c r="D5111" s="10" t="s">
        <v>762</v>
      </c>
      <c r="E5111" s="10" t="s">
        <v>2345</v>
      </c>
      <c r="F5111" s="30" t="n">
        <v>43020</v>
      </c>
      <c r="G5111" s="30" t="n">
        <v>43030</v>
      </c>
      <c r="H5111" s="26" t="n">
        <f aca="false">G5111-F5111</f>
        <v>10</v>
      </c>
      <c r="I5111" s="10" t="n">
        <f aca="false">IF(E5111="Won",1,0)</f>
        <v>0</v>
      </c>
    </row>
    <row r="5112" customFormat="false" ht="15" hidden="false" customHeight="false" outlineLevel="0" collapsed="false">
      <c r="A5112" s="10" t="s">
        <v>7453</v>
      </c>
      <c r="B5112" s="10" t="s">
        <v>80</v>
      </c>
      <c r="C5112" s="10" t="s">
        <v>50</v>
      </c>
      <c r="D5112" s="10" t="s">
        <v>410</v>
      </c>
      <c r="E5112" s="10" t="s">
        <v>2342</v>
      </c>
      <c r="F5112" s="30" t="n">
        <v>43019</v>
      </c>
      <c r="G5112" s="30" t="n">
        <v>43030</v>
      </c>
      <c r="H5112" s="26" t="n">
        <f aca="false">G5112-F5112</f>
        <v>11</v>
      </c>
      <c r="I5112" s="10" t="n">
        <f aca="false">IF(E5112="Won",1,0)</f>
        <v>1</v>
      </c>
    </row>
    <row r="5113" customFormat="false" ht="15" hidden="false" customHeight="false" outlineLevel="0" collapsed="false">
      <c r="A5113" s="10" t="s">
        <v>7454</v>
      </c>
      <c r="B5113" s="10" t="s">
        <v>87</v>
      </c>
      <c r="C5113" s="10" t="s">
        <v>48</v>
      </c>
      <c r="D5113" s="10" t="s">
        <v>286</v>
      </c>
      <c r="E5113" s="10" t="s">
        <v>2345</v>
      </c>
      <c r="F5113" s="30" t="n">
        <v>43021</v>
      </c>
      <c r="G5113" s="30" t="n">
        <v>43030</v>
      </c>
      <c r="H5113" s="26" t="n">
        <f aca="false">G5113-F5113</f>
        <v>9</v>
      </c>
      <c r="I5113" s="10" t="n">
        <f aca="false">IF(E5113="Won",1,0)</f>
        <v>0</v>
      </c>
    </row>
    <row r="5114" customFormat="false" ht="15" hidden="false" customHeight="false" outlineLevel="0" collapsed="false">
      <c r="A5114" s="10" t="s">
        <v>7455</v>
      </c>
      <c r="B5114" s="10" t="s">
        <v>70</v>
      </c>
      <c r="C5114" s="10" t="s">
        <v>47</v>
      </c>
      <c r="D5114" s="10" t="s">
        <v>419</v>
      </c>
      <c r="E5114" s="10" t="s">
        <v>2345</v>
      </c>
      <c r="F5114" s="30" t="n">
        <v>43021</v>
      </c>
      <c r="G5114" s="30" t="n">
        <v>43030</v>
      </c>
      <c r="H5114" s="26" t="n">
        <f aca="false">G5114-F5114</f>
        <v>9</v>
      </c>
      <c r="I5114" s="10" t="n">
        <f aca="false">IF(E5114="Won",1,0)</f>
        <v>0</v>
      </c>
    </row>
    <row r="5115" customFormat="false" ht="15" hidden="false" customHeight="false" outlineLevel="0" collapsed="false">
      <c r="A5115" s="10" t="s">
        <v>7456</v>
      </c>
      <c r="B5115" s="10" t="s">
        <v>79</v>
      </c>
      <c r="C5115" s="10" t="s">
        <v>52</v>
      </c>
      <c r="D5115" s="10" t="s">
        <v>388</v>
      </c>
      <c r="E5115" s="10" t="s">
        <v>2345</v>
      </c>
      <c r="F5115" s="30" t="n">
        <v>43028</v>
      </c>
      <c r="G5115" s="30" t="n">
        <v>43030</v>
      </c>
      <c r="H5115" s="26" t="n">
        <f aca="false">G5115-F5115</f>
        <v>2</v>
      </c>
      <c r="I5115" s="10" t="n">
        <f aca="false">IF(E5115="Won",1,0)</f>
        <v>0</v>
      </c>
    </row>
    <row r="5116" customFormat="false" ht="15" hidden="false" customHeight="false" outlineLevel="0" collapsed="false">
      <c r="A5116" s="10" t="s">
        <v>7457</v>
      </c>
      <c r="B5116" s="10" t="s">
        <v>94</v>
      </c>
      <c r="C5116" s="10" t="s">
        <v>48</v>
      </c>
      <c r="D5116" s="10" t="s">
        <v>227</v>
      </c>
      <c r="E5116" s="10" t="s">
        <v>2345</v>
      </c>
      <c r="F5116" s="30" t="n">
        <v>43024</v>
      </c>
      <c r="G5116" s="30" t="n">
        <v>43030</v>
      </c>
      <c r="H5116" s="26" t="n">
        <f aca="false">G5116-F5116</f>
        <v>6</v>
      </c>
      <c r="I5116" s="10" t="n">
        <f aca="false">IF(E5116="Won",1,0)</f>
        <v>0</v>
      </c>
    </row>
    <row r="5117" customFormat="false" ht="15" hidden="false" customHeight="false" outlineLevel="0" collapsed="false">
      <c r="A5117" s="10" t="s">
        <v>7458</v>
      </c>
      <c r="B5117" s="10" t="s">
        <v>67</v>
      </c>
      <c r="C5117" s="10" t="s">
        <v>49</v>
      </c>
      <c r="D5117" s="10" t="s">
        <v>606</v>
      </c>
      <c r="E5117" s="10" t="s">
        <v>2342</v>
      </c>
      <c r="F5117" s="30" t="n">
        <v>43026</v>
      </c>
      <c r="G5117" s="30" t="n">
        <v>43030</v>
      </c>
      <c r="H5117" s="26" t="n">
        <f aca="false">G5117-F5117</f>
        <v>4</v>
      </c>
      <c r="I5117" s="10" t="n">
        <f aca="false">IF(E5117="Won",1,0)</f>
        <v>1</v>
      </c>
    </row>
    <row r="5118" customFormat="false" ht="15" hidden="false" customHeight="false" outlineLevel="0" collapsed="false">
      <c r="A5118" s="10" t="s">
        <v>7459</v>
      </c>
      <c r="B5118" s="10" t="s">
        <v>80</v>
      </c>
      <c r="C5118" s="10" t="s">
        <v>51</v>
      </c>
      <c r="D5118" s="10" t="s">
        <v>388</v>
      </c>
      <c r="E5118" s="10" t="s">
        <v>2345</v>
      </c>
      <c r="F5118" s="30" t="n">
        <v>43029</v>
      </c>
      <c r="G5118" s="30" t="n">
        <v>43030</v>
      </c>
      <c r="H5118" s="26" t="n">
        <f aca="false">G5118-F5118</f>
        <v>1</v>
      </c>
      <c r="I5118" s="10" t="n">
        <f aca="false">IF(E5118="Won",1,0)</f>
        <v>0</v>
      </c>
    </row>
    <row r="5119" customFormat="false" ht="15" hidden="false" customHeight="false" outlineLevel="0" collapsed="false">
      <c r="A5119" s="10" t="s">
        <v>7460</v>
      </c>
      <c r="B5119" s="10" t="s">
        <v>76</v>
      </c>
      <c r="C5119" s="10" t="s">
        <v>52</v>
      </c>
      <c r="D5119" s="10" t="s">
        <v>321</v>
      </c>
      <c r="E5119" s="10" t="s">
        <v>2342</v>
      </c>
      <c r="F5119" s="30" t="n">
        <v>43022</v>
      </c>
      <c r="G5119" s="30" t="n">
        <v>43030</v>
      </c>
      <c r="H5119" s="26" t="n">
        <f aca="false">G5119-F5119</f>
        <v>8</v>
      </c>
      <c r="I5119" s="10" t="n">
        <f aca="false">IF(E5119="Won",1,0)</f>
        <v>1</v>
      </c>
    </row>
    <row r="5120" customFormat="false" ht="15" hidden="false" customHeight="false" outlineLevel="0" collapsed="false">
      <c r="A5120" s="10" t="s">
        <v>7461</v>
      </c>
      <c r="B5120" s="10" t="s">
        <v>81</v>
      </c>
      <c r="C5120" s="10" t="s">
        <v>48</v>
      </c>
      <c r="D5120" s="10" t="s">
        <v>597</v>
      </c>
      <c r="E5120" s="10" t="s">
        <v>2345</v>
      </c>
      <c r="F5120" s="30" t="n">
        <v>43023</v>
      </c>
      <c r="G5120" s="30" t="n">
        <v>43031</v>
      </c>
      <c r="H5120" s="26" t="n">
        <f aca="false">G5120-F5120</f>
        <v>8</v>
      </c>
      <c r="I5120" s="10" t="n">
        <f aca="false">IF(E5120="Won",1,0)</f>
        <v>0</v>
      </c>
    </row>
    <row r="5121" customFormat="false" ht="15" hidden="false" customHeight="false" outlineLevel="0" collapsed="false">
      <c r="A5121" s="10" t="s">
        <v>7462</v>
      </c>
      <c r="B5121" s="10" t="s">
        <v>68</v>
      </c>
      <c r="C5121" s="10" t="s">
        <v>50</v>
      </c>
      <c r="D5121" s="10" t="s">
        <v>497</v>
      </c>
      <c r="E5121" s="10" t="s">
        <v>2342</v>
      </c>
      <c r="F5121" s="30" t="n">
        <v>43024</v>
      </c>
      <c r="G5121" s="30" t="n">
        <v>43031</v>
      </c>
      <c r="H5121" s="26" t="n">
        <f aca="false">G5121-F5121</f>
        <v>7</v>
      </c>
      <c r="I5121" s="10" t="n">
        <f aca="false">IF(E5121="Won",1,0)</f>
        <v>1</v>
      </c>
    </row>
    <row r="5122" customFormat="false" ht="15" hidden="false" customHeight="false" outlineLevel="0" collapsed="false">
      <c r="A5122" s="10" t="s">
        <v>7463</v>
      </c>
      <c r="B5122" s="10" t="s">
        <v>69</v>
      </c>
      <c r="C5122" s="10" t="s">
        <v>49</v>
      </c>
      <c r="D5122" s="10" t="s">
        <v>299</v>
      </c>
      <c r="E5122" s="10" t="s">
        <v>2345</v>
      </c>
      <c r="F5122" s="30" t="n">
        <v>43022</v>
      </c>
      <c r="G5122" s="30" t="n">
        <v>43031</v>
      </c>
      <c r="H5122" s="26" t="n">
        <f aca="false">G5122-F5122</f>
        <v>9</v>
      </c>
      <c r="I5122" s="10" t="n">
        <f aca="false">IF(E5122="Won",1,0)</f>
        <v>0</v>
      </c>
    </row>
    <row r="5123" customFormat="false" ht="15" hidden="false" customHeight="false" outlineLevel="0" collapsed="false">
      <c r="A5123" s="10" t="s">
        <v>7464</v>
      </c>
      <c r="B5123" s="10" t="s">
        <v>95</v>
      </c>
      <c r="C5123" s="10" t="s">
        <v>51</v>
      </c>
      <c r="D5123" s="10" t="s">
        <v>437</v>
      </c>
      <c r="E5123" s="10" t="s">
        <v>2345</v>
      </c>
      <c r="F5123" s="30" t="n">
        <v>43023</v>
      </c>
      <c r="G5123" s="30" t="n">
        <v>43031</v>
      </c>
      <c r="H5123" s="26" t="n">
        <f aca="false">G5123-F5123</f>
        <v>8</v>
      </c>
      <c r="I5123" s="10" t="n">
        <f aca="false">IF(E5123="Won",1,0)</f>
        <v>0</v>
      </c>
    </row>
    <row r="5124" customFormat="false" ht="15" hidden="false" customHeight="false" outlineLevel="0" collapsed="false">
      <c r="A5124" s="10" t="s">
        <v>7465</v>
      </c>
      <c r="B5124" s="10" t="s">
        <v>79</v>
      </c>
      <c r="C5124" s="10" t="s">
        <v>48</v>
      </c>
      <c r="D5124" s="10" t="s">
        <v>527</v>
      </c>
      <c r="E5124" s="10" t="s">
        <v>2345</v>
      </c>
      <c r="F5124" s="30" t="n">
        <v>43025</v>
      </c>
      <c r="G5124" s="30" t="n">
        <v>43031</v>
      </c>
      <c r="H5124" s="26" t="n">
        <f aca="false">G5124-F5124</f>
        <v>6</v>
      </c>
      <c r="I5124" s="10" t="n">
        <f aca="false">IF(E5124="Won",1,0)</f>
        <v>0</v>
      </c>
    </row>
    <row r="5125" customFormat="false" ht="15" hidden="false" customHeight="false" outlineLevel="0" collapsed="false">
      <c r="A5125" s="10" t="s">
        <v>7466</v>
      </c>
      <c r="B5125" s="10" t="s">
        <v>86</v>
      </c>
      <c r="C5125" s="10" t="s">
        <v>50</v>
      </c>
      <c r="D5125" s="10" t="s">
        <v>215</v>
      </c>
      <c r="E5125" s="10" t="s">
        <v>2342</v>
      </c>
      <c r="F5125" s="30" t="n">
        <v>43021</v>
      </c>
      <c r="G5125" s="30" t="n">
        <v>43031</v>
      </c>
      <c r="H5125" s="26" t="n">
        <f aca="false">G5125-F5125</f>
        <v>10</v>
      </c>
      <c r="I5125" s="10" t="n">
        <f aca="false">IF(E5125="Won",1,0)</f>
        <v>1</v>
      </c>
    </row>
    <row r="5126" customFormat="false" ht="15" hidden="false" customHeight="false" outlineLevel="0" collapsed="false">
      <c r="A5126" s="10" t="s">
        <v>7467</v>
      </c>
      <c r="B5126" s="10" t="s">
        <v>95</v>
      </c>
      <c r="C5126" s="10" t="s">
        <v>51</v>
      </c>
      <c r="D5126" s="10" t="s">
        <v>348</v>
      </c>
      <c r="E5126" s="10" t="s">
        <v>2345</v>
      </c>
      <c r="F5126" s="30" t="n">
        <v>43029</v>
      </c>
      <c r="G5126" s="30" t="n">
        <v>43031</v>
      </c>
      <c r="H5126" s="26" t="n">
        <f aca="false">G5126-F5126</f>
        <v>2</v>
      </c>
      <c r="I5126" s="10" t="n">
        <f aca="false">IF(E5126="Won",1,0)</f>
        <v>0</v>
      </c>
    </row>
    <row r="5127" customFormat="false" ht="15" hidden="false" customHeight="false" outlineLevel="0" collapsed="false">
      <c r="A5127" s="10" t="s">
        <v>7468</v>
      </c>
      <c r="B5127" s="10" t="s">
        <v>97</v>
      </c>
      <c r="C5127" s="10" t="s">
        <v>47</v>
      </c>
      <c r="D5127" s="10" t="s">
        <v>172</v>
      </c>
      <c r="E5127" s="10" t="s">
        <v>2342</v>
      </c>
      <c r="F5127" s="30" t="n">
        <v>43024</v>
      </c>
      <c r="G5127" s="30" t="n">
        <v>43031</v>
      </c>
      <c r="H5127" s="26" t="n">
        <f aca="false">G5127-F5127</f>
        <v>7</v>
      </c>
      <c r="I5127" s="10" t="n">
        <f aca="false">IF(E5127="Won",1,0)</f>
        <v>1</v>
      </c>
    </row>
    <row r="5128" customFormat="false" ht="15" hidden="false" customHeight="false" outlineLevel="0" collapsed="false">
      <c r="A5128" s="10" t="s">
        <v>7469</v>
      </c>
      <c r="B5128" s="10" t="s">
        <v>75</v>
      </c>
      <c r="C5128" s="10" t="s">
        <v>47</v>
      </c>
      <c r="D5128" s="10" t="s">
        <v>961</v>
      </c>
      <c r="E5128" s="10" t="s">
        <v>2342</v>
      </c>
      <c r="F5128" s="30" t="n">
        <v>43023</v>
      </c>
      <c r="G5128" s="30" t="n">
        <v>43031</v>
      </c>
      <c r="H5128" s="26" t="n">
        <f aca="false">G5128-F5128</f>
        <v>8</v>
      </c>
      <c r="I5128" s="10" t="n">
        <f aca="false">IF(E5128="Won",1,0)</f>
        <v>1</v>
      </c>
    </row>
    <row r="5129" customFormat="false" ht="15" hidden="false" customHeight="false" outlineLevel="0" collapsed="false">
      <c r="A5129" s="10" t="s">
        <v>7470</v>
      </c>
      <c r="B5129" s="10" t="s">
        <v>71</v>
      </c>
      <c r="C5129" s="10" t="s">
        <v>52</v>
      </c>
      <c r="D5129" s="10" t="s">
        <v>1948</v>
      </c>
      <c r="E5129" s="10" t="s">
        <v>2342</v>
      </c>
      <c r="F5129" s="30" t="n">
        <v>43025</v>
      </c>
      <c r="G5129" s="30" t="n">
        <v>43031</v>
      </c>
      <c r="H5129" s="26" t="n">
        <f aca="false">G5129-F5129</f>
        <v>6</v>
      </c>
      <c r="I5129" s="10" t="n">
        <f aca="false">IF(E5129="Won",1,0)</f>
        <v>1</v>
      </c>
    </row>
    <row r="5130" customFormat="false" ht="15" hidden="false" customHeight="false" outlineLevel="0" collapsed="false">
      <c r="A5130" s="10" t="s">
        <v>7471</v>
      </c>
      <c r="B5130" s="10" t="s">
        <v>77</v>
      </c>
      <c r="C5130" s="10" t="s">
        <v>48</v>
      </c>
      <c r="D5130" s="10" t="s">
        <v>410</v>
      </c>
      <c r="E5130" s="10" t="s">
        <v>2342</v>
      </c>
      <c r="F5130" s="30" t="n">
        <v>43025</v>
      </c>
      <c r="G5130" s="30" t="n">
        <v>43031</v>
      </c>
      <c r="H5130" s="26" t="n">
        <f aca="false">G5130-F5130</f>
        <v>6</v>
      </c>
      <c r="I5130" s="10" t="n">
        <f aca="false">IF(E5130="Won",1,0)</f>
        <v>1</v>
      </c>
    </row>
    <row r="5131" customFormat="false" ht="15" hidden="false" customHeight="false" outlineLevel="0" collapsed="false">
      <c r="A5131" s="10" t="s">
        <v>7472</v>
      </c>
      <c r="B5131" s="10" t="s">
        <v>68</v>
      </c>
      <c r="C5131" s="10" t="s">
        <v>51</v>
      </c>
      <c r="D5131" s="10" t="s">
        <v>424</v>
      </c>
      <c r="E5131" s="10" t="s">
        <v>2345</v>
      </c>
      <c r="F5131" s="30" t="n">
        <v>43025</v>
      </c>
      <c r="G5131" s="30" t="n">
        <v>43031</v>
      </c>
      <c r="H5131" s="26" t="n">
        <f aca="false">G5131-F5131</f>
        <v>6</v>
      </c>
      <c r="I5131" s="10" t="n">
        <f aca="false">IF(E5131="Won",1,0)</f>
        <v>0</v>
      </c>
    </row>
    <row r="5132" customFormat="false" ht="15" hidden="false" customHeight="false" outlineLevel="0" collapsed="false">
      <c r="A5132" s="10" t="s">
        <v>7473</v>
      </c>
      <c r="B5132" s="10" t="s">
        <v>97</v>
      </c>
      <c r="C5132" s="10" t="s">
        <v>47</v>
      </c>
      <c r="D5132" s="10" t="s">
        <v>424</v>
      </c>
      <c r="E5132" s="10" t="s">
        <v>2345</v>
      </c>
      <c r="F5132" s="30" t="n">
        <v>43022</v>
      </c>
      <c r="G5132" s="30" t="n">
        <v>43031</v>
      </c>
      <c r="H5132" s="26" t="n">
        <f aca="false">G5132-F5132</f>
        <v>9</v>
      </c>
      <c r="I5132" s="10" t="n">
        <f aca="false">IF(E5132="Won",1,0)</f>
        <v>0</v>
      </c>
    </row>
    <row r="5133" customFormat="false" ht="15" hidden="false" customHeight="false" outlineLevel="0" collapsed="false">
      <c r="A5133" s="10" t="s">
        <v>7474</v>
      </c>
      <c r="B5133" s="10" t="s">
        <v>97</v>
      </c>
      <c r="C5133" s="10" t="s">
        <v>47</v>
      </c>
      <c r="D5133" s="10" t="s">
        <v>344</v>
      </c>
      <c r="E5133" s="10" t="s">
        <v>2342</v>
      </c>
      <c r="F5133" s="30" t="n">
        <v>43023</v>
      </c>
      <c r="G5133" s="30" t="n">
        <v>43031</v>
      </c>
      <c r="H5133" s="26" t="n">
        <f aca="false">G5133-F5133</f>
        <v>8</v>
      </c>
      <c r="I5133" s="10" t="n">
        <f aca="false">IF(E5133="Won",1,0)</f>
        <v>1</v>
      </c>
    </row>
    <row r="5134" customFormat="false" ht="15" hidden="false" customHeight="false" outlineLevel="0" collapsed="false">
      <c r="A5134" s="10" t="s">
        <v>7475</v>
      </c>
      <c r="B5134" s="10" t="s">
        <v>71</v>
      </c>
      <c r="C5134" s="10" t="s">
        <v>50</v>
      </c>
      <c r="D5134" s="10" t="s">
        <v>1948</v>
      </c>
      <c r="E5134" s="10" t="s">
        <v>2345</v>
      </c>
      <c r="F5134" s="30" t="n">
        <v>43029</v>
      </c>
      <c r="G5134" s="30" t="n">
        <v>43031</v>
      </c>
      <c r="H5134" s="26" t="n">
        <f aca="false">G5134-F5134</f>
        <v>2</v>
      </c>
      <c r="I5134" s="10" t="n">
        <f aca="false">IF(E5134="Won",1,0)</f>
        <v>0</v>
      </c>
    </row>
    <row r="5135" customFormat="false" ht="15" hidden="false" customHeight="false" outlineLevel="0" collapsed="false">
      <c r="A5135" s="10" t="s">
        <v>7476</v>
      </c>
      <c r="B5135" s="10" t="s">
        <v>81</v>
      </c>
      <c r="C5135" s="10" t="s">
        <v>47</v>
      </c>
      <c r="D5135" s="10" t="s">
        <v>597</v>
      </c>
      <c r="E5135" s="10" t="s">
        <v>2342</v>
      </c>
      <c r="F5135" s="30" t="n">
        <v>43030</v>
      </c>
      <c r="G5135" s="30" t="n">
        <v>43031</v>
      </c>
      <c r="H5135" s="26" t="n">
        <f aca="false">G5135-F5135</f>
        <v>1</v>
      </c>
      <c r="I5135" s="10" t="n">
        <f aca="false">IF(E5135="Won",1,0)</f>
        <v>1</v>
      </c>
    </row>
    <row r="5136" customFormat="false" ht="15" hidden="false" customHeight="false" outlineLevel="0" collapsed="false">
      <c r="A5136" s="10" t="s">
        <v>7477</v>
      </c>
      <c r="B5136" s="10" t="s">
        <v>95</v>
      </c>
      <c r="C5136" s="10" t="s">
        <v>51</v>
      </c>
      <c r="D5136" s="10" t="s">
        <v>344</v>
      </c>
      <c r="E5136" s="10" t="s">
        <v>2342</v>
      </c>
      <c r="F5136" s="30" t="n">
        <v>43020</v>
      </c>
      <c r="G5136" s="30" t="n">
        <v>43031</v>
      </c>
      <c r="H5136" s="26" t="n">
        <f aca="false">G5136-F5136</f>
        <v>11</v>
      </c>
      <c r="I5136" s="10" t="n">
        <f aca="false">IF(E5136="Won",1,0)</f>
        <v>1</v>
      </c>
    </row>
    <row r="5137" customFormat="false" ht="15" hidden="false" customHeight="false" outlineLevel="0" collapsed="false">
      <c r="A5137" s="10" t="s">
        <v>7478</v>
      </c>
      <c r="B5137" s="10" t="s">
        <v>63</v>
      </c>
      <c r="C5137" s="10" t="s">
        <v>52</v>
      </c>
      <c r="D5137" s="10" t="s">
        <v>427</v>
      </c>
      <c r="E5137" s="10" t="s">
        <v>2342</v>
      </c>
      <c r="F5137" s="30" t="n">
        <v>43023</v>
      </c>
      <c r="G5137" s="30" t="n">
        <v>43031</v>
      </c>
      <c r="H5137" s="26" t="n">
        <f aca="false">G5137-F5137</f>
        <v>8</v>
      </c>
      <c r="I5137" s="10" t="n">
        <f aca="false">IF(E5137="Won",1,0)</f>
        <v>1</v>
      </c>
    </row>
    <row r="5138" customFormat="false" ht="15" hidden="false" customHeight="false" outlineLevel="0" collapsed="false">
      <c r="A5138" s="10" t="s">
        <v>7479</v>
      </c>
      <c r="B5138" s="10" t="s">
        <v>86</v>
      </c>
      <c r="C5138" s="10" t="s">
        <v>47</v>
      </c>
      <c r="D5138" s="10" t="s">
        <v>218</v>
      </c>
      <c r="E5138" s="10" t="s">
        <v>2345</v>
      </c>
      <c r="F5138" s="30" t="n">
        <v>43023</v>
      </c>
      <c r="G5138" s="30" t="n">
        <v>43032</v>
      </c>
      <c r="H5138" s="26" t="n">
        <f aca="false">G5138-F5138</f>
        <v>9</v>
      </c>
      <c r="I5138" s="10" t="n">
        <f aca="false">IF(E5138="Won",1,0)</f>
        <v>0</v>
      </c>
    </row>
    <row r="5139" customFormat="false" ht="15" hidden="false" customHeight="false" outlineLevel="0" collapsed="false">
      <c r="A5139" s="10" t="s">
        <v>7480</v>
      </c>
      <c r="B5139" s="10" t="s">
        <v>76</v>
      </c>
      <c r="C5139" s="10" t="s">
        <v>52</v>
      </c>
      <c r="D5139" s="10" t="s">
        <v>311</v>
      </c>
      <c r="E5139" s="10" t="s">
        <v>2342</v>
      </c>
      <c r="F5139" s="30" t="n">
        <v>43021</v>
      </c>
      <c r="G5139" s="30" t="n">
        <v>43032</v>
      </c>
      <c r="H5139" s="26" t="n">
        <f aca="false">G5139-F5139</f>
        <v>11</v>
      </c>
      <c r="I5139" s="10" t="n">
        <f aca="false">IF(E5139="Won",1,0)</f>
        <v>1</v>
      </c>
    </row>
    <row r="5140" customFormat="false" ht="15" hidden="false" customHeight="false" outlineLevel="0" collapsed="false">
      <c r="A5140" s="10" t="s">
        <v>7481</v>
      </c>
      <c r="B5140" s="10" t="s">
        <v>77</v>
      </c>
      <c r="C5140" s="10" t="s">
        <v>48</v>
      </c>
      <c r="D5140" s="10" t="s">
        <v>527</v>
      </c>
      <c r="E5140" s="10" t="s">
        <v>2345</v>
      </c>
      <c r="F5140" s="30" t="n">
        <v>43025</v>
      </c>
      <c r="G5140" s="30" t="n">
        <v>43032</v>
      </c>
      <c r="H5140" s="26" t="n">
        <f aca="false">G5140-F5140</f>
        <v>7</v>
      </c>
      <c r="I5140" s="10" t="n">
        <f aca="false">IF(E5140="Won",1,0)</f>
        <v>0</v>
      </c>
    </row>
    <row r="5141" customFormat="false" ht="15" hidden="false" customHeight="false" outlineLevel="0" collapsed="false">
      <c r="A5141" s="10" t="s">
        <v>7482</v>
      </c>
      <c r="B5141" s="10" t="s">
        <v>70</v>
      </c>
      <c r="C5141" s="10" t="s">
        <v>48</v>
      </c>
      <c r="D5141" s="10" t="s">
        <v>313</v>
      </c>
      <c r="E5141" s="10" t="s">
        <v>2345</v>
      </c>
      <c r="F5141" s="30" t="n">
        <v>43031</v>
      </c>
      <c r="G5141" s="30" t="n">
        <v>43032</v>
      </c>
      <c r="H5141" s="26" t="n">
        <f aca="false">G5141-F5141</f>
        <v>1</v>
      </c>
      <c r="I5141" s="10" t="n">
        <f aca="false">IF(E5141="Won",1,0)</f>
        <v>0</v>
      </c>
    </row>
    <row r="5142" customFormat="false" ht="15" hidden="false" customHeight="false" outlineLevel="0" collapsed="false">
      <c r="A5142" s="10" t="s">
        <v>7483</v>
      </c>
      <c r="B5142" s="10" t="s">
        <v>79</v>
      </c>
      <c r="C5142" s="10" t="s">
        <v>49</v>
      </c>
      <c r="D5142" s="10" t="s">
        <v>311</v>
      </c>
      <c r="E5142" s="10" t="s">
        <v>2345</v>
      </c>
      <c r="F5142" s="30" t="n">
        <v>43031</v>
      </c>
      <c r="G5142" s="30" t="n">
        <v>43032</v>
      </c>
      <c r="H5142" s="26" t="n">
        <f aca="false">G5142-F5142</f>
        <v>1</v>
      </c>
      <c r="I5142" s="10" t="n">
        <f aca="false">IF(E5142="Won",1,0)</f>
        <v>0</v>
      </c>
    </row>
    <row r="5143" customFormat="false" ht="15" hidden="false" customHeight="false" outlineLevel="0" collapsed="false">
      <c r="A5143" s="10" t="s">
        <v>7484</v>
      </c>
      <c r="B5143" s="10" t="s">
        <v>62</v>
      </c>
      <c r="C5143" s="10" t="s">
        <v>52</v>
      </c>
      <c r="D5143" s="10" t="s">
        <v>293</v>
      </c>
      <c r="E5143" s="10" t="s">
        <v>2342</v>
      </c>
      <c r="F5143" s="30" t="n">
        <v>43021</v>
      </c>
      <c r="G5143" s="30" t="n">
        <v>43032</v>
      </c>
      <c r="H5143" s="26" t="n">
        <f aca="false">G5143-F5143</f>
        <v>11</v>
      </c>
      <c r="I5143" s="10" t="n">
        <f aca="false">IF(E5143="Won",1,0)</f>
        <v>1</v>
      </c>
    </row>
    <row r="5144" customFormat="false" ht="15" hidden="false" customHeight="false" outlineLevel="0" collapsed="false">
      <c r="A5144" s="10" t="s">
        <v>7485</v>
      </c>
      <c r="B5144" s="10" t="s">
        <v>77</v>
      </c>
      <c r="C5144" s="10" t="s">
        <v>48</v>
      </c>
      <c r="D5144" s="10" t="s">
        <v>279</v>
      </c>
      <c r="E5144" s="10" t="s">
        <v>2342</v>
      </c>
      <c r="F5144" s="30" t="n">
        <v>43021</v>
      </c>
      <c r="G5144" s="30" t="n">
        <v>43032</v>
      </c>
      <c r="H5144" s="26" t="n">
        <f aca="false">G5144-F5144</f>
        <v>11</v>
      </c>
      <c r="I5144" s="10" t="n">
        <f aca="false">IF(E5144="Won",1,0)</f>
        <v>1</v>
      </c>
    </row>
    <row r="5145" customFormat="false" ht="15" hidden="false" customHeight="false" outlineLevel="0" collapsed="false">
      <c r="A5145" s="10" t="s">
        <v>7486</v>
      </c>
      <c r="B5145" s="10" t="s">
        <v>86</v>
      </c>
      <c r="C5145" s="10" t="s">
        <v>47</v>
      </c>
      <c r="D5145" s="10" t="s">
        <v>453</v>
      </c>
      <c r="E5145" s="10" t="s">
        <v>2342</v>
      </c>
      <c r="F5145" s="30" t="n">
        <v>43030</v>
      </c>
      <c r="G5145" s="30" t="n">
        <v>43032</v>
      </c>
      <c r="H5145" s="26" t="n">
        <f aca="false">G5145-F5145</f>
        <v>2</v>
      </c>
      <c r="I5145" s="10" t="n">
        <f aca="false">IF(E5145="Won",1,0)</f>
        <v>1</v>
      </c>
    </row>
    <row r="5146" customFormat="false" ht="15" hidden="false" customHeight="false" outlineLevel="0" collapsed="false">
      <c r="A5146" s="10" t="s">
        <v>7487</v>
      </c>
      <c r="B5146" s="10" t="s">
        <v>79</v>
      </c>
      <c r="C5146" s="10" t="s">
        <v>47</v>
      </c>
      <c r="D5146" s="10" t="s">
        <v>410</v>
      </c>
      <c r="E5146" s="10" t="s">
        <v>2345</v>
      </c>
      <c r="F5146" s="30" t="n">
        <v>43028</v>
      </c>
      <c r="G5146" s="30" t="n">
        <v>43032</v>
      </c>
      <c r="H5146" s="26" t="n">
        <f aca="false">G5146-F5146</f>
        <v>4</v>
      </c>
      <c r="I5146" s="10" t="n">
        <f aca="false">IF(E5146="Won",1,0)</f>
        <v>0</v>
      </c>
    </row>
    <row r="5147" customFormat="false" ht="15" hidden="false" customHeight="false" outlineLevel="0" collapsed="false">
      <c r="A5147" s="10" t="s">
        <v>7488</v>
      </c>
      <c r="B5147" s="10" t="s">
        <v>71</v>
      </c>
      <c r="C5147" s="10" t="s">
        <v>52</v>
      </c>
      <c r="D5147" s="10" t="s">
        <v>697</v>
      </c>
      <c r="E5147" s="10" t="s">
        <v>2345</v>
      </c>
      <c r="F5147" s="30" t="n">
        <v>43023</v>
      </c>
      <c r="G5147" s="30" t="n">
        <v>43032</v>
      </c>
      <c r="H5147" s="26" t="n">
        <f aca="false">G5147-F5147</f>
        <v>9</v>
      </c>
      <c r="I5147" s="10" t="n">
        <f aca="false">IF(E5147="Won",1,0)</f>
        <v>0</v>
      </c>
    </row>
    <row r="5148" customFormat="false" ht="15" hidden="false" customHeight="false" outlineLevel="0" collapsed="false">
      <c r="A5148" s="10" t="s">
        <v>7489</v>
      </c>
      <c r="B5148" s="10" t="s">
        <v>94</v>
      </c>
      <c r="C5148" s="10" t="s">
        <v>49</v>
      </c>
      <c r="D5148" s="10" t="s">
        <v>711</v>
      </c>
      <c r="E5148" s="10" t="s">
        <v>2342</v>
      </c>
      <c r="F5148" s="30" t="n">
        <v>43026</v>
      </c>
      <c r="G5148" s="30" t="n">
        <v>43032</v>
      </c>
      <c r="H5148" s="26" t="n">
        <f aca="false">G5148-F5148</f>
        <v>6</v>
      </c>
      <c r="I5148" s="10" t="n">
        <f aca="false">IF(E5148="Won",1,0)</f>
        <v>1</v>
      </c>
    </row>
    <row r="5149" customFormat="false" ht="15" hidden="false" customHeight="false" outlineLevel="0" collapsed="false">
      <c r="A5149" s="10" t="s">
        <v>7490</v>
      </c>
      <c r="B5149" s="10" t="s">
        <v>77</v>
      </c>
      <c r="C5149" s="10" t="s">
        <v>48</v>
      </c>
      <c r="D5149" s="10" t="s">
        <v>697</v>
      </c>
      <c r="E5149" s="10" t="s">
        <v>2342</v>
      </c>
      <c r="F5149" s="30" t="n">
        <v>43031</v>
      </c>
      <c r="G5149" s="30" t="n">
        <v>43032</v>
      </c>
      <c r="H5149" s="26" t="n">
        <f aca="false">G5149-F5149</f>
        <v>1</v>
      </c>
      <c r="I5149" s="10" t="n">
        <f aca="false">IF(E5149="Won",1,0)</f>
        <v>1</v>
      </c>
    </row>
    <row r="5150" customFormat="false" ht="15" hidden="false" customHeight="false" outlineLevel="0" collapsed="false">
      <c r="A5150" s="10" t="s">
        <v>7491</v>
      </c>
      <c r="B5150" s="10" t="s">
        <v>87</v>
      </c>
      <c r="C5150" s="10" t="s">
        <v>48</v>
      </c>
      <c r="D5150" s="10" t="s">
        <v>378</v>
      </c>
      <c r="E5150" s="10" t="s">
        <v>2342</v>
      </c>
      <c r="F5150" s="30" t="n">
        <v>43027</v>
      </c>
      <c r="G5150" s="30" t="n">
        <v>43032</v>
      </c>
      <c r="H5150" s="26" t="n">
        <f aca="false">G5150-F5150</f>
        <v>5</v>
      </c>
      <c r="I5150" s="10" t="n">
        <f aca="false">IF(E5150="Won",1,0)</f>
        <v>1</v>
      </c>
    </row>
    <row r="5151" customFormat="false" ht="15" hidden="false" customHeight="false" outlineLevel="0" collapsed="false">
      <c r="A5151" s="10" t="s">
        <v>7492</v>
      </c>
      <c r="B5151" s="10" t="s">
        <v>88</v>
      </c>
      <c r="C5151" s="10" t="s">
        <v>48</v>
      </c>
      <c r="D5151" s="10" t="s">
        <v>464</v>
      </c>
      <c r="E5151" s="10" t="s">
        <v>2342</v>
      </c>
      <c r="F5151" s="30" t="n">
        <v>43022</v>
      </c>
      <c r="G5151" s="30" t="n">
        <v>43032</v>
      </c>
      <c r="H5151" s="26" t="n">
        <f aca="false">G5151-F5151</f>
        <v>10</v>
      </c>
      <c r="I5151" s="10" t="n">
        <f aca="false">IF(E5151="Won",1,0)</f>
        <v>1</v>
      </c>
    </row>
    <row r="5152" customFormat="false" ht="15" hidden="false" customHeight="false" outlineLevel="0" collapsed="false">
      <c r="A5152" s="10" t="s">
        <v>7493</v>
      </c>
      <c r="B5152" s="10" t="s">
        <v>79</v>
      </c>
      <c r="C5152" s="10" t="s">
        <v>49</v>
      </c>
      <c r="D5152" s="10" t="s">
        <v>179</v>
      </c>
      <c r="E5152" s="10" t="s">
        <v>2345</v>
      </c>
      <c r="F5152" s="30" t="n">
        <v>43026</v>
      </c>
      <c r="G5152" s="30" t="n">
        <v>43032</v>
      </c>
      <c r="H5152" s="26" t="n">
        <f aca="false">G5152-F5152</f>
        <v>6</v>
      </c>
      <c r="I5152" s="10" t="n">
        <f aca="false">IF(E5152="Won",1,0)</f>
        <v>0</v>
      </c>
    </row>
    <row r="5153" customFormat="false" ht="15" hidden="false" customHeight="false" outlineLevel="0" collapsed="false">
      <c r="A5153" s="10" t="s">
        <v>7494</v>
      </c>
      <c r="B5153" s="10" t="s">
        <v>66</v>
      </c>
      <c r="C5153" s="10" t="s">
        <v>49</v>
      </c>
      <c r="D5153" s="10" t="s">
        <v>483</v>
      </c>
      <c r="E5153" s="10" t="s">
        <v>2342</v>
      </c>
      <c r="F5153" s="30" t="n">
        <v>43030</v>
      </c>
      <c r="G5153" s="30" t="n">
        <v>43032</v>
      </c>
      <c r="H5153" s="26" t="n">
        <f aca="false">G5153-F5153</f>
        <v>2</v>
      </c>
      <c r="I5153" s="10" t="n">
        <f aca="false">IF(E5153="Won",1,0)</f>
        <v>1</v>
      </c>
    </row>
    <row r="5154" customFormat="false" ht="15" hidden="false" customHeight="false" outlineLevel="0" collapsed="false">
      <c r="A5154" s="10" t="s">
        <v>7495</v>
      </c>
      <c r="B5154" s="10" t="s">
        <v>70</v>
      </c>
      <c r="C5154" s="10" t="s">
        <v>49</v>
      </c>
      <c r="D5154" s="10" t="s">
        <v>483</v>
      </c>
      <c r="E5154" s="10" t="s">
        <v>2345</v>
      </c>
      <c r="F5154" s="30" t="n">
        <v>43026</v>
      </c>
      <c r="G5154" s="30" t="n">
        <v>43032</v>
      </c>
      <c r="H5154" s="26" t="n">
        <f aca="false">G5154-F5154</f>
        <v>6</v>
      </c>
      <c r="I5154" s="10" t="n">
        <f aca="false">IF(E5154="Won",1,0)</f>
        <v>0</v>
      </c>
    </row>
    <row r="5155" customFormat="false" ht="15" hidden="false" customHeight="false" outlineLevel="0" collapsed="false">
      <c r="A5155" s="10" t="s">
        <v>7496</v>
      </c>
      <c r="B5155" s="10" t="s">
        <v>88</v>
      </c>
      <c r="C5155" s="10" t="s">
        <v>51</v>
      </c>
      <c r="D5155" s="10" t="s">
        <v>274</v>
      </c>
      <c r="E5155" s="10" t="s">
        <v>2345</v>
      </c>
      <c r="F5155" s="30" t="n">
        <v>43026</v>
      </c>
      <c r="G5155" s="30" t="n">
        <v>43032</v>
      </c>
      <c r="H5155" s="26" t="n">
        <f aca="false">G5155-F5155</f>
        <v>6</v>
      </c>
      <c r="I5155" s="10" t="n">
        <f aca="false">IF(E5155="Won",1,0)</f>
        <v>0</v>
      </c>
    </row>
    <row r="5156" customFormat="false" ht="15" hidden="false" customHeight="false" outlineLevel="0" collapsed="false">
      <c r="A5156" s="10" t="s">
        <v>7497</v>
      </c>
      <c r="B5156" s="10" t="s">
        <v>81</v>
      </c>
      <c r="C5156" s="10" t="s">
        <v>47</v>
      </c>
      <c r="D5156" s="10" t="s">
        <v>762</v>
      </c>
      <c r="E5156" s="10" t="s">
        <v>2345</v>
      </c>
      <c r="F5156" s="30" t="n">
        <v>43023</v>
      </c>
      <c r="G5156" s="30" t="n">
        <v>43032</v>
      </c>
      <c r="H5156" s="26" t="n">
        <f aca="false">G5156-F5156</f>
        <v>9</v>
      </c>
      <c r="I5156" s="10" t="n">
        <f aca="false">IF(E5156="Won",1,0)</f>
        <v>0</v>
      </c>
    </row>
    <row r="5157" customFormat="false" ht="15" hidden="false" customHeight="false" outlineLevel="0" collapsed="false">
      <c r="A5157" s="10" t="s">
        <v>7498</v>
      </c>
      <c r="B5157" s="10" t="s">
        <v>73</v>
      </c>
      <c r="C5157" s="10" t="s">
        <v>49</v>
      </c>
      <c r="D5157" s="10" t="s">
        <v>1251</v>
      </c>
      <c r="E5157" s="10" t="s">
        <v>2342</v>
      </c>
      <c r="F5157" s="30" t="n">
        <v>43030</v>
      </c>
      <c r="G5157" s="30" t="n">
        <v>43032</v>
      </c>
      <c r="H5157" s="26" t="n">
        <f aca="false">G5157-F5157</f>
        <v>2</v>
      </c>
      <c r="I5157" s="10" t="n">
        <f aca="false">IF(E5157="Won",1,0)</f>
        <v>1</v>
      </c>
    </row>
    <row r="5158" customFormat="false" ht="15" hidden="false" customHeight="false" outlineLevel="0" collapsed="false">
      <c r="A5158" s="10" t="s">
        <v>7499</v>
      </c>
      <c r="B5158" s="10" t="s">
        <v>95</v>
      </c>
      <c r="C5158" s="10" t="s">
        <v>52</v>
      </c>
      <c r="D5158" s="10" t="s">
        <v>344</v>
      </c>
      <c r="E5158" s="10" t="s">
        <v>2342</v>
      </c>
      <c r="F5158" s="30" t="n">
        <v>43024</v>
      </c>
      <c r="G5158" s="30" t="n">
        <v>43032</v>
      </c>
      <c r="H5158" s="26" t="n">
        <f aca="false">G5158-F5158</f>
        <v>8</v>
      </c>
      <c r="I5158" s="10" t="n">
        <f aca="false">IF(E5158="Won",1,0)</f>
        <v>1</v>
      </c>
    </row>
    <row r="5159" customFormat="false" ht="15" hidden="false" customHeight="false" outlineLevel="0" collapsed="false">
      <c r="A5159" s="10" t="s">
        <v>7500</v>
      </c>
      <c r="B5159" s="10" t="s">
        <v>79</v>
      </c>
      <c r="C5159" s="10" t="s">
        <v>52</v>
      </c>
      <c r="D5159" s="10" t="s">
        <v>961</v>
      </c>
      <c r="E5159" s="10" t="s">
        <v>2345</v>
      </c>
      <c r="F5159" s="30" t="n">
        <v>43024</v>
      </c>
      <c r="G5159" s="30" t="n">
        <v>43032</v>
      </c>
      <c r="H5159" s="26" t="n">
        <f aca="false">G5159-F5159</f>
        <v>8</v>
      </c>
      <c r="I5159" s="10" t="n">
        <f aca="false">IF(E5159="Won",1,0)</f>
        <v>0</v>
      </c>
    </row>
    <row r="5160" customFormat="false" ht="15" hidden="false" customHeight="false" outlineLevel="0" collapsed="false">
      <c r="A5160" s="10" t="s">
        <v>7501</v>
      </c>
      <c r="B5160" s="10" t="s">
        <v>80</v>
      </c>
      <c r="C5160" s="10" t="s">
        <v>50</v>
      </c>
      <c r="D5160" s="10" t="s">
        <v>947</v>
      </c>
      <c r="E5160" s="10" t="s">
        <v>2342</v>
      </c>
      <c r="F5160" s="30" t="n">
        <v>43032</v>
      </c>
      <c r="G5160" s="30" t="n">
        <v>43033</v>
      </c>
      <c r="H5160" s="26" t="n">
        <f aca="false">G5160-F5160</f>
        <v>1</v>
      </c>
      <c r="I5160" s="10" t="n">
        <f aca="false">IF(E5160="Won",1,0)</f>
        <v>1</v>
      </c>
    </row>
    <row r="5161" customFormat="false" ht="15" hidden="false" customHeight="false" outlineLevel="0" collapsed="false">
      <c r="A5161" s="10" t="s">
        <v>7502</v>
      </c>
      <c r="B5161" s="10" t="s">
        <v>96</v>
      </c>
      <c r="C5161" s="10" t="s">
        <v>49</v>
      </c>
      <c r="D5161" s="10" t="s">
        <v>348</v>
      </c>
      <c r="E5161" s="10" t="s">
        <v>2345</v>
      </c>
      <c r="F5161" s="30" t="n">
        <v>43021</v>
      </c>
      <c r="G5161" s="30" t="n">
        <v>43033</v>
      </c>
      <c r="H5161" s="26" t="n">
        <f aca="false">G5161-F5161</f>
        <v>12</v>
      </c>
      <c r="I5161" s="10" t="n">
        <f aca="false">IF(E5161="Won",1,0)</f>
        <v>0</v>
      </c>
    </row>
    <row r="5162" customFormat="false" ht="15" hidden="false" customHeight="false" outlineLevel="0" collapsed="false">
      <c r="A5162" s="10" t="s">
        <v>7503</v>
      </c>
      <c r="B5162" s="10" t="s">
        <v>84</v>
      </c>
      <c r="C5162" s="10" t="s">
        <v>47</v>
      </c>
      <c r="D5162" s="10" t="s">
        <v>532</v>
      </c>
      <c r="E5162" s="10" t="s">
        <v>2345</v>
      </c>
      <c r="F5162" s="30" t="n">
        <v>43025</v>
      </c>
      <c r="G5162" s="30" t="n">
        <v>43033</v>
      </c>
      <c r="H5162" s="26" t="n">
        <f aca="false">G5162-F5162</f>
        <v>8</v>
      </c>
      <c r="I5162" s="10" t="n">
        <f aca="false">IF(E5162="Won",1,0)</f>
        <v>0</v>
      </c>
    </row>
    <row r="5163" customFormat="false" ht="15" hidden="false" customHeight="false" outlineLevel="0" collapsed="false">
      <c r="A5163" s="10" t="s">
        <v>7504</v>
      </c>
      <c r="B5163" s="10" t="s">
        <v>67</v>
      </c>
      <c r="C5163" s="10" t="s">
        <v>47</v>
      </c>
      <c r="D5163" s="10" t="s">
        <v>337</v>
      </c>
      <c r="E5163" s="10" t="s">
        <v>2342</v>
      </c>
      <c r="F5163" s="30" t="n">
        <v>43027</v>
      </c>
      <c r="G5163" s="30" t="n">
        <v>43033</v>
      </c>
      <c r="H5163" s="26" t="n">
        <f aca="false">G5163-F5163</f>
        <v>6</v>
      </c>
      <c r="I5163" s="10" t="n">
        <f aca="false">IF(E5163="Won",1,0)</f>
        <v>1</v>
      </c>
    </row>
    <row r="5164" customFormat="false" ht="15" hidden="false" customHeight="false" outlineLevel="0" collapsed="false">
      <c r="A5164" s="10" t="s">
        <v>7505</v>
      </c>
      <c r="B5164" s="10" t="s">
        <v>61</v>
      </c>
      <c r="C5164" s="10" t="s">
        <v>50</v>
      </c>
      <c r="D5164" s="10" t="s">
        <v>1118</v>
      </c>
      <c r="E5164" s="10" t="s">
        <v>2345</v>
      </c>
      <c r="F5164" s="30" t="n">
        <v>43026</v>
      </c>
      <c r="G5164" s="30" t="n">
        <v>43033</v>
      </c>
      <c r="H5164" s="26" t="n">
        <f aca="false">G5164-F5164</f>
        <v>7</v>
      </c>
      <c r="I5164" s="10" t="n">
        <f aca="false">IF(E5164="Won",1,0)</f>
        <v>0</v>
      </c>
    </row>
    <row r="5165" customFormat="false" ht="15" hidden="false" customHeight="false" outlineLevel="0" collapsed="false">
      <c r="A5165" s="10" t="s">
        <v>7506</v>
      </c>
      <c r="B5165" s="10" t="s">
        <v>57</v>
      </c>
      <c r="C5165" s="10" t="s">
        <v>50</v>
      </c>
      <c r="D5165" s="10" t="s">
        <v>286</v>
      </c>
      <c r="E5165" s="10" t="s">
        <v>2345</v>
      </c>
      <c r="F5165" s="30" t="n">
        <v>43026</v>
      </c>
      <c r="G5165" s="30" t="n">
        <v>43033</v>
      </c>
      <c r="H5165" s="26" t="n">
        <f aca="false">G5165-F5165</f>
        <v>7</v>
      </c>
      <c r="I5165" s="10" t="n">
        <f aca="false">IF(E5165="Won",1,0)</f>
        <v>0</v>
      </c>
    </row>
    <row r="5166" customFormat="false" ht="15" hidden="false" customHeight="false" outlineLevel="0" collapsed="false">
      <c r="A5166" s="10" t="s">
        <v>7507</v>
      </c>
      <c r="B5166" s="10" t="s">
        <v>62</v>
      </c>
      <c r="C5166" s="10" t="s">
        <v>52</v>
      </c>
      <c r="D5166" s="10" t="s">
        <v>441</v>
      </c>
      <c r="E5166" s="10" t="s">
        <v>2345</v>
      </c>
      <c r="F5166" s="30" t="n">
        <v>43029</v>
      </c>
      <c r="G5166" s="30" t="n">
        <v>43033</v>
      </c>
      <c r="H5166" s="26" t="n">
        <f aca="false">G5166-F5166</f>
        <v>4</v>
      </c>
      <c r="I5166" s="10" t="n">
        <f aca="false">IF(E5166="Won",1,0)</f>
        <v>0</v>
      </c>
    </row>
    <row r="5167" customFormat="false" ht="15" hidden="false" customHeight="false" outlineLevel="0" collapsed="false">
      <c r="A5167" s="10" t="s">
        <v>7508</v>
      </c>
      <c r="B5167" s="10" t="s">
        <v>77</v>
      </c>
      <c r="C5167" s="10" t="s">
        <v>48</v>
      </c>
      <c r="D5167" s="10" t="s">
        <v>524</v>
      </c>
      <c r="E5167" s="10" t="s">
        <v>2342</v>
      </c>
      <c r="F5167" s="30" t="n">
        <v>43024</v>
      </c>
      <c r="G5167" s="30" t="n">
        <v>43033</v>
      </c>
      <c r="H5167" s="26" t="n">
        <f aca="false">G5167-F5167</f>
        <v>9</v>
      </c>
      <c r="I5167" s="10" t="n">
        <f aca="false">IF(E5167="Won",1,0)</f>
        <v>1</v>
      </c>
    </row>
    <row r="5168" customFormat="false" ht="15" hidden="false" customHeight="false" outlineLevel="0" collapsed="false">
      <c r="A5168" s="10" t="s">
        <v>7509</v>
      </c>
      <c r="B5168" s="10" t="s">
        <v>70</v>
      </c>
      <c r="C5168" s="10" t="s">
        <v>48</v>
      </c>
      <c r="D5168" s="10" t="s">
        <v>210</v>
      </c>
      <c r="E5168" s="10" t="s">
        <v>2342</v>
      </c>
      <c r="F5168" s="30" t="n">
        <v>43024</v>
      </c>
      <c r="G5168" s="30" t="n">
        <v>43033</v>
      </c>
      <c r="H5168" s="26" t="n">
        <f aca="false">G5168-F5168</f>
        <v>9</v>
      </c>
      <c r="I5168" s="10" t="n">
        <f aca="false">IF(E5168="Won",1,0)</f>
        <v>1</v>
      </c>
    </row>
    <row r="5169" customFormat="false" ht="15" hidden="false" customHeight="false" outlineLevel="0" collapsed="false">
      <c r="A5169" s="10" t="s">
        <v>7510</v>
      </c>
      <c r="B5169" s="10" t="s">
        <v>86</v>
      </c>
      <c r="C5169" s="10" t="s">
        <v>47</v>
      </c>
      <c r="D5169" s="10" t="s">
        <v>464</v>
      </c>
      <c r="E5169" s="10" t="s">
        <v>2345</v>
      </c>
      <c r="F5169" s="30" t="n">
        <v>43032</v>
      </c>
      <c r="G5169" s="30" t="n">
        <v>43033</v>
      </c>
      <c r="H5169" s="26" t="n">
        <f aca="false">G5169-F5169</f>
        <v>1</v>
      </c>
      <c r="I5169" s="10" t="n">
        <f aca="false">IF(E5169="Won",1,0)</f>
        <v>0</v>
      </c>
    </row>
    <row r="5170" customFormat="false" ht="15" hidden="false" customHeight="false" outlineLevel="0" collapsed="false">
      <c r="A5170" s="10" t="s">
        <v>7511</v>
      </c>
      <c r="B5170" s="10" t="s">
        <v>87</v>
      </c>
      <c r="C5170" s="10" t="s">
        <v>47</v>
      </c>
      <c r="D5170" s="10" t="s">
        <v>674</v>
      </c>
      <c r="E5170" s="10" t="s">
        <v>2345</v>
      </c>
      <c r="F5170" s="30" t="n">
        <v>43023</v>
      </c>
      <c r="G5170" s="30" t="n">
        <v>43033</v>
      </c>
      <c r="H5170" s="26" t="n">
        <f aca="false">G5170-F5170</f>
        <v>10</v>
      </c>
      <c r="I5170" s="10" t="n">
        <f aca="false">IF(E5170="Won",1,0)</f>
        <v>0</v>
      </c>
    </row>
    <row r="5171" customFormat="false" ht="15" hidden="false" customHeight="false" outlineLevel="0" collapsed="false">
      <c r="A5171" s="10" t="s">
        <v>7512</v>
      </c>
      <c r="B5171" s="10" t="s">
        <v>60</v>
      </c>
      <c r="C5171" s="10" t="s">
        <v>47</v>
      </c>
      <c r="D5171" s="10" t="s">
        <v>286</v>
      </c>
      <c r="E5171" s="10" t="s">
        <v>2342</v>
      </c>
      <c r="F5171" s="30" t="n">
        <v>43026</v>
      </c>
      <c r="G5171" s="30" t="n">
        <v>43033</v>
      </c>
      <c r="H5171" s="26" t="n">
        <f aca="false">G5171-F5171</f>
        <v>7</v>
      </c>
      <c r="I5171" s="10" t="n">
        <f aca="false">IF(E5171="Won",1,0)</f>
        <v>1</v>
      </c>
    </row>
    <row r="5172" customFormat="false" ht="15" hidden="false" customHeight="false" outlineLevel="0" collapsed="false">
      <c r="A5172" s="10" t="s">
        <v>7513</v>
      </c>
      <c r="B5172" s="10" t="s">
        <v>76</v>
      </c>
      <c r="C5172" s="10" t="s">
        <v>52</v>
      </c>
      <c r="D5172" s="10" t="s">
        <v>291</v>
      </c>
      <c r="E5172" s="10" t="s">
        <v>2345</v>
      </c>
      <c r="F5172" s="30" t="n">
        <v>43023</v>
      </c>
      <c r="G5172" s="30" t="n">
        <v>43033</v>
      </c>
      <c r="H5172" s="26" t="n">
        <f aca="false">G5172-F5172</f>
        <v>10</v>
      </c>
      <c r="I5172" s="10" t="n">
        <f aca="false">IF(E5172="Won",1,0)</f>
        <v>0</v>
      </c>
    </row>
    <row r="5173" customFormat="false" ht="15" hidden="false" customHeight="false" outlineLevel="0" collapsed="false">
      <c r="A5173" s="10" t="s">
        <v>7514</v>
      </c>
      <c r="B5173" s="10" t="s">
        <v>80</v>
      </c>
      <c r="C5173" s="10" t="s">
        <v>50</v>
      </c>
      <c r="D5173" s="10" t="s">
        <v>1251</v>
      </c>
      <c r="E5173" s="10" t="s">
        <v>2345</v>
      </c>
      <c r="F5173" s="30" t="n">
        <v>43032</v>
      </c>
      <c r="G5173" s="30" t="n">
        <v>43033</v>
      </c>
      <c r="H5173" s="26" t="n">
        <f aca="false">G5173-F5173</f>
        <v>1</v>
      </c>
      <c r="I5173" s="10" t="n">
        <f aca="false">IF(E5173="Won",1,0)</f>
        <v>0</v>
      </c>
    </row>
    <row r="5174" customFormat="false" ht="15" hidden="false" customHeight="false" outlineLevel="0" collapsed="false">
      <c r="A5174" s="10" t="s">
        <v>7515</v>
      </c>
      <c r="B5174" s="10" t="s">
        <v>86</v>
      </c>
      <c r="C5174" s="10" t="s">
        <v>49</v>
      </c>
      <c r="D5174" s="10" t="s">
        <v>185</v>
      </c>
      <c r="E5174" s="10" t="s">
        <v>2345</v>
      </c>
      <c r="F5174" s="30" t="n">
        <v>43031</v>
      </c>
      <c r="G5174" s="30" t="n">
        <v>43033</v>
      </c>
      <c r="H5174" s="26" t="n">
        <f aca="false">G5174-F5174</f>
        <v>2</v>
      </c>
      <c r="I5174" s="10" t="n">
        <f aca="false">IF(E5174="Won",1,0)</f>
        <v>0</v>
      </c>
    </row>
    <row r="5175" customFormat="false" ht="15" hidden="false" customHeight="false" outlineLevel="0" collapsed="false">
      <c r="A5175" s="10" t="s">
        <v>7516</v>
      </c>
      <c r="B5175" s="10" t="s">
        <v>81</v>
      </c>
      <c r="C5175" s="10" t="s">
        <v>52</v>
      </c>
      <c r="D5175" s="10" t="s">
        <v>1948</v>
      </c>
      <c r="E5175" s="10" t="s">
        <v>2342</v>
      </c>
      <c r="F5175" s="30" t="n">
        <v>43025</v>
      </c>
      <c r="G5175" s="30" t="n">
        <v>43034</v>
      </c>
      <c r="H5175" s="26" t="n">
        <f aca="false">G5175-F5175</f>
        <v>9</v>
      </c>
      <c r="I5175" s="10" t="n">
        <f aca="false">IF(E5175="Won",1,0)</f>
        <v>1</v>
      </c>
    </row>
    <row r="5176" customFormat="false" ht="15" hidden="false" customHeight="false" outlineLevel="0" collapsed="false">
      <c r="A5176" s="10" t="s">
        <v>7517</v>
      </c>
      <c r="B5176" s="10" t="s">
        <v>70</v>
      </c>
      <c r="C5176" s="10" t="s">
        <v>52</v>
      </c>
      <c r="D5176" s="10" t="s">
        <v>419</v>
      </c>
      <c r="E5176" s="10" t="s">
        <v>2342</v>
      </c>
      <c r="F5176" s="30" t="n">
        <v>43025</v>
      </c>
      <c r="G5176" s="30" t="n">
        <v>43034</v>
      </c>
      <c r="H5176" s="26" t="n">
        <f aca="false">G5176-F5176</f>
        <v>9</v>
      </c>
      <c r="I5176" s="10" t="n">
        <f aca="false">IF(E5176="Won",1,0)</f>
        <v>1</v>
      </c>
    </row>
    <row r="5177" customFormat="false" ht="15" hidden="false" customHeight="false" outlineLevel="0" collapsed="false">
      <c r="A5177" s="10" t="s">
        <v>7518</v>
      </c>
      <c r="B5177" s="10" t="s">
        <v>73</v>
      </c>
      <c r="C5177" s="10" t="s">
        <v>50</v>
      </c>
      <c r="D5177" s="10" t="s">
        <v>267</v>
      </c>
      <c r="E5177" s="10" t="s">
        <v>2342</v>
      </c>
      <c r="F5177" s="30" t="n">
        <v>43022</v>
      </c>
      <c r="G5177" s="30" t="n">
        <v>43034</v>
      </c>
      <c r="H5177" s="26" t="n">
        <f aca="false">G5177-F5177</f>
        <v>12</v>
      </c>
      <c r="I5177" s="10" t="n">
        <f aca="false">IF(E5177="Won",1,0)</f>
        <v>1</v>
      </c>
    </row>
    <row r="5178" customFormat="false" ht="15" hidden="false" customHeight="false" outlineLevel="0" collapsed="false">
      <c r="A5178" s="10" t="s">
        <v>7519</v>
      </c>
      <c r="B5178" s="10" t="s">
        <v>68</v>
      </c>
      <c r="C5178" s="10" t="s">
        <v>52</v>
      </c>
      <c r="D5178" s="10" t="s">
        <v>384</v>
      </c>
      <c r="E5178" s="10" t="s">
        <v>2345</v>
      </c>
      <c r="F5178" s="30" t="n">
        <v>43025</v>
      </c>
      <c r="G5178" s="30" t="n">
        <v>43034</v>
      </c>
      <c r="H5178" s="26" t="n">
        <f aca="false">G5178-F5178</f>
        <v>9</v>
      </c>
      <c r="I5178" s="10" t="n">
        <f aca="false">IF(E5178="Won",1,0)</f>
        <v>0</v>
      </c>
    </row>
    <row r="5179" customFormat="false" ht="15" hidden="false" customHeight="false" outlineLevel="0" collapsed="false">
      <c r="A5179" s="10" t="s">
        <v>7520</v>
      </c>
      <c r="B5179" s="10" t="s">
        <v>68</v>
      </c>
      <c r="C5179" s="10" t="s">
        <v>52</v>
      </c>
      <c r="D5179" s="10" t="s">
        <v>172</v>
      </c>
      <c r="E5179" s="10" t="s">
        <v>2345</v>
      </c>
      <c r="F5179" s="30" t="n">
        <v>43025</v>
      </c>
      <c r="G5179" s="30" t="n">
        <v>43034</v>
      </c>
      <c r="H5179" s="26" t="n">
        <f aca="false">G5179-F5179</f>
        <v>9</v>
      </c>
      <c r="I5179" s="10" t="n">
        <f aca="false">IF(E5179="Won",1,0)</f>
        <v>0</v>
      </c>
    </row>
    <row r="5180" customFormat="false" ht="15" hidden="false" customHeight="false" outlineLevel="0" collapsed="false">
      <c r="A5180" s="10" t="s">
        <v>7521</v>
      </c>
      <c r="B5180" s="10" t="s">
        <v>94</v>
      </c>
      <c r="C5180" s="10" t="s">
        <v>49</v>
      </c>
      <c r="D5180" s="10" t="s">
        <v>487</v>
      </c>
      <c r="E5180" s="10" t="s">
        <v>2345</v>
      </c>
      <c r="F5180" s="30" t="n">
        <v>43032</v>
      </c>
      <c r="G5180" s="30" t="n">
        <v>43034</v>
      </c>
      <c r="H5180" s="26" t="n">
        <f aca="false">G5180-F5180</f>
        <v>2</v>
      </c>
      <c r="I5180" s="10" t="n">
        <f aca="false">IF(E5180="Won",1,0)</f>
        <v>0</v>
      </c>
    </row>
    <row r="5181" customFormat="false" ht="15" hidden="false" customHeight="false" outlineLevel="0" collapsed="false">
      <c r="A5181" s="10" t="s">
        <v>7522</v>
      </c>
      <c r="B5181" s="10" t="s">
        <v>93</v>
      </c>
      <c r="C5181" s="10" t="s">
        <v>47</v>
      </c>
      <c r="D5181" s="10" t="s">
        <v>419</v>
      </c>
      <c r="E5181" s="10" t="s">
        <v>2342</v>
      </c>
      <c r="F5181" s="30" t="n">
        <v>43027</v>
      </c>
      <c r="G5181" s="30" t="n">
        <v>43034</v>
      </c>
      <c r="H5181" s="26" t="n">
        <f aca="false">G5181-F5181</f>
        <v>7</v>
      </c>
      <c r="I5181" s="10" t="n">
        <f aca="false">IF(E5181="Won",1,0)</f>
        <v>1</v>
      </c>
    </row>
    <row r="5182" customFormat="false" ht="15" hidden="false" customHeight="false" outlineLevel="0" collapsed="false">
      <c r="A5182" s="10" t="s">
        <v>7523</v>
      </c>
      <c r="B5182" s="10" t="s">
        <v>87</v>
      </c>
      <c r="C5182" s="10" t="s">
        <v>49</v>
      </c>
      <c r="D5182" s="10" t="s">
        <v>692</v>
      </c>
      <c r="E5182" s="10" t="s">
        <v>2345</v>
      </c>
      <c r="F5182" s="30" t="n">
        <v>43030</v>
      </c>
      <c r="G5182" s="30" t="n">
        <v>43034</v>
      </c>
      <c r="H5182" s="26" t="n">
        <f aca="false">G5182-F5182</f>
        <v>4</v>
      </c>
      <c r="I5182" s="10" t="n">
        <f aca="false">IF(E5182="Won",1,0)</f>
        <v>0</v>
      </c>
    </row>
    <row r="5183" customFormat="false" ht="15" hidden="false" customHeight="false" outlineLevel="0" collapsed="false">
      <c r="A5183" s="10" t="s">
        <v>7524</v>
      </c>
      <c r="B5183" s="10" t="s">
        <v>70</v>
      </c>
      <c r="C5183" s="10" t="s">
        <v>51</v>
      </c>
      <c r="D5183" s="10" t="s">
        <v>348</v>
      </c>
      <c r="E5183" s="10" t="s">
        <v>2342</v>
      </c>
      <c r="F5183" s="30" t="n">
        <v>43032</v>
      </c>
      <c r="G5183" s="30" t="n">
        <v>43034</v>
      </c>
      <c r="H5183" s="26" t="n">
        <f aca="false">G5183-F5183</f>
        <v>2</v>
      </c>
      <c r="I5183" s="10" t="n">
        <f aca="false">IF(E5183="Won",1,0)</f>
        <v>1</v>
      </c>
    </row>
    <row r="5184" customFormat="false" ht="15" hidden="false" customHeight="false" outlineLevel="0" collapsed="false">
      <c r="A5184" s="10" t="s">
        <v>7525</v>
      </c>
      <c r="B5184" s="10" t="s">
        <v>70</v>
      </c>
      <c r="C5184" s="10" t="s">
        <v>48</v>
      </c>
      <c r="D5184" s="10" t="s">
        <v>337</v>
      </c>
      <c r="E5184" s="10" t="s">
        <v>2345</v>
      </c>
      <c r="F5184" s="30" t="n">
        <v>43027</v>
      </c>
      <c r="G5184" s="30" t="n">
        <v>43034</v>
      </c>
      <c r="H5184" s="26" t="n">
        <f aca="false">G5184-F5184</f>
        <v>7</v>
      </c>
      <c r="I5184" s="10" t="n">
        <f aca="false">IF(E5184="Won",1,0)</f>
        <v>0</v>
      </c>
    </row>
    <row r="5185" customFormat="false" ht="15" hidden="false" customHeight="false" outlineLevel="0" collapsed="false">
      <c r="A5185" s="10" t="s">
        <v>7526</v>
      </c>
      <c r="B5185" s="10" t="s">
        <v>95</v>
      </c>
      <c r="C5185" s="10" t="s">
        <v>51</v>
      </c>
      <c r="D5185" s="10" t="s">
        <v>286</v>
      </c>
      <c r="E5185" s="10" t="s">
        <v>2345</v>
      </c>
      <c r="F5185" s="30" t="n">
        <v>43023</v>
      </c>
      <c r="G5185" s="30" t="n">
        <v>43034</v>
      </c>
      <c r="H5185" s="26" t="n">
        <f aca="false">G5185-F5185</f>
        <v>11</v>
      </c>
      <c r="I5185" s="10" t="n">
        <f aca="false">IF(E5185="Won",1,0)</f>
        <v>0</v>
      </c>
    </row>
    <row r="5186" customFormat="false" ht="15" hidden="false" customHeight="false" outlineLevel="0" collapsed="false">
      <c r="A5186" s="10" t="s">
        <v>7527</v>
      </c>
      <c r="B5186" s="10" t="s">
        <v>94</v>
      </c>
      <c r="C5186" s="10" t="s">
        <v>48</v>
      </c>
      <c r="D5186" s="10" t="s">
        <v>175</v>
      </c>
      <c r="E5186" s="10" t="s">
        <v>2345</v>
      </c>
      <c r="F5186" s="30" t="n">
        <v>43026</v>
      </c>
      <c r="G5186" s="30" t="n">
        <v>43034</v>
      </c>
      <c r="H5186" s="26" t="n">
        <f aca="false">G5186-F5186</f>
        <v>8</v>
      </c>
      <c r="I5186" s="10" t="n">
        <f aca="false">IF(E5186="Won",1,0)</f>
        <v>0</v>
      </c>
    </row>
    <row r="5187" customFormat="false" ht="15" hidden="false" customHeight="false" outlineLevel="0" collapsed="false">
      <c r="A5187" s="10" t="s">
        <v>7528</v>
      </c>
      <c r="B5187" s="10" t="s">
        <v>57</v>
      </c>
      <c r="C5187" s="10" t="s">
        <v>48</v>
      </c>
      <c r="D5187" s="10" t="s">
        <v>185</v>
      </c>
      <c r="E5187" s="10" t="s">
        <v>2342</v>
      </c>
      <c r="F5187" s="30" t="n">
        <v>43028</v>
      </c>
      <c r="G5187" s="30" t="n">
        <v>43034</v>
      </c>
      <c r="H5187" s="26" t="n">
        <f aca="false">G5187-F5187</f>
        <v>6</v>
      </c>
      <c r="I5187" s="10" t="n">
        <f aca="false">IF(E5187="Won",1,0)</f>
        <v>1</v>
      </c>
    </row>
    <row r="5188" customFormat="false" ht="15" hidden="false" customHeight="false" outlineLevel="0" collapsed="false">
      <c r="A5188" s="10" t="s">
        <v>7529</v>
      </c>
      <c r="B5188" s="10" t="s">
        <v>88</v>
      </c>
      <c r="C5188" s="10" t="s">
        <v>51</v>
      </c>
      <c r="D5188" s="10" t="s">
        <v>185</v>
      </c>
      <c r="E5188" s="10" t="s">
        <v>2345</v>
      </c>
      <c r="F5188" s="30" t="n">
        <v>43024</v>
      </c>
      <c r="G5188" s="30" t="n">
        <v>43034</v>
      </c>
      <c r="H5188" s="26" t="n">
        <f aca="false">G5188-F5188</f>
        <v>10</v>
      </c>
      <c r="I5188" s="10" t="n">
        <f aca="false">IF(E5188="Won",1,0)</f>
        <v>0</v>
      </c>
    </row>
    <row r="5189" customFormat="false" ht="15" hidden="false" customHeight="false" outlineLevel="0" collapsed="false">
      <c r="A5189" s="10" t="s">
        <v>7530</v>
      </c>
      <c r="B5189" s="10" t="s">
        <v>77</v>
      </c>
      <c r="C5189" s="10" t="s">
        <v>48</v>
      </c>
      <c r="D5189" s="10" t="s">
        <v>527</v>
      </c>
      <c r="E5189" s="10" t="s">
        <v>2342</v>
      </c>
      <c r="F5189" s="30" t="n">
        <v>43031</v>
      </c>
      <c r="G5189" s="30" t="n">
        <v>43034</v>
      </c>
      <c r="H5189" s="26" t="n">
        <f aca="false">G5189-F5189</f>
        <v>3</v>
      </c>
      <c r="I5189" s="10" t="n">
        <f aca="false">IF(E5189="Won",1,0)</f>
        <v>1</v>
      </c>
    </row>
    <row r="5190" customFormat="false" ht="15" hidden="false" customHeight="false" outlineLevel="0" collapsed="false">
      <c r="A5190" s="10" t="s">
        <v>7531</v>
      </c>
      <c r="B5190" s="10" t="s">
        <v>84</v>
      </c>
      <c r="C5190" s="10" t="s">
        <v>50</v>
      </c>
      <c r="D5190" s="10" t="s">
        <v>692</v>
      </c>
      <c r="E5190" s="10" t="s">
        <v>2345</v>
      </c>
      <c r="F5190" s="30" t="n">
        <v>43032</v>
      </c>
      <c r="G5190" s="30" t="n">
        <v>43034</v>
      </c>
      <c r="H5190" s="26" t="n">
        <f aca="false">G5190-F5190</f>
        <v>2</v>
      </c>
      <c r="I5190" s="10" t="n">
        <f aca="false">IF(E5190="Won",1,0)</f>
        <v>0</v>
      </c>
    </row>
    <row r="5191" customFormat="false" ht="15" hidden="false" customHeight="false" outlineLevel="0" collapsed="false">
      <c r="A5191" s="10" t="s">
        <v>7532</v>
      </c>
      <c r="B5191" s="10" t="s">
        <v>74</v>
      </c>
      <c r="C5191" s="10" t="s">
        <v>51</v>
      </c>
      <c r="D5191" s="10" t="s">
        <v>524</v>
      </c>
      <c r="E5191" s="10" t="s">
        <v>2342</v>
      </c>
      <c r="F5191" s="30" t="n">
        <v>43027</v>
      </c>
      <c r="G5191" s="30" t="n">
        <v>43034</v>
      </c>
      <c r="H5191" s="26" t="n">
        <f aca="false">G5191-F5191</f>
        <v>7</v>
      </c>
      <c r="I5191" s="10" t="n">
        <f aca="false">IF(E5191="Won",1,0)</f>
        <v>1</v>
      </c>
    </row>
    <row r="5192" customFormat="false" ht="15" hidden="false" customHeight="false" outlineLevel="0" collapsed="false">
      <c r="A5192" s="10" t="s">
        <v>7533</v>
      </c>
      <c r="B5192" s="10" t="s">
        <v>57</v>
      </c>
      <c r="C5192" s="10" t="s">
        <v>49</v>
      </c>
      <c r="D5192" s="10" t="s">
        <v>218</v>
      </c>
      <c r="E5192" s="10" t="s">
        <v>2342</v>
      </c>
      <c r="F5192" s="30" t="n">
        <v>43026</v>
      </c>
      <c r="G5192" s="30" t="n">
        <v>43034</v>
      </c>
      <c r="H5192" s="26" t="n">
        <f aca="false">G5192-F5192</f>
        <v>8</v>
      </c>
      <c r="I5192" s="10" t="n">
        <f aca="false">IF(E5192="Won",1,0)</f>
        <v>1</v>
      </c>
    </row>
    <row r="5193" customFormat="false" ht="15" hidden="false" customHeight="false" outlineLevel="0" collapsed="false">
      <c r="A5193" s="10" t="s">
        <v>7534</v>
      </c>
      <c r="B5193" s="10" t="s">
        <v>68</v>
      </c>
      <c r="C5193" s="10" t="s">
        <v>51</v>
      </c>
      <c r="D5193" s="10" t="s">
        <v>210</v>
      </c>
      <c r="E5193" s="10" t="s">
        <v>2342</v>
      </c>
      <c r="F5193" s="30" t="n">
        <v>43033</v>
      </c>
      <c r="G5193" s="30" t="n">
        <v>43034</v>
      </c>
      <c r="H5193" s="26" t="n">
        <f aca="false">G5193-F5193</f>
        <v>1</v>
      </c>
      <c r="I5193" s="10" t="n">
        <f aca="false">IF(E5193="Won",1,0)</f>
        <v>1</v>
      </c>
    </row>
    <row r="5194" customFormat="false" ht="15" hidden="false" customHeight="false" outlineLevel="0" collapsed="false">
      <c r="A5194" s="10" t="s">
        <v>7535</v>
      </c>
      <c r="B5194" s="10" t="s">
        <v>60</v>
      </c>
      <c r="C5194" s="10" t="s">
        <v>51</v>
      </c>
      <c r="D5194" s="10" t="s">
        <v>332</v>
      </c>
      <c r="E5194" s="10" t="s">
        <v>2345</v>
      </c>
      <c r="F5194" s="30" t="n">
        <v>43027</v>
      </c>
      <c r="G5194" s="30" t="n">
        <v>43034</v>
      </c>
      <c r="H5194" s="26" t="n">
        <f aca="false">G5194-F5194</f>
        <v>7</v>
      </c>
      <c r="I5194" s="10" t="n">
        <f aca="false">IF(E5194="Won",1,0)</f>
        <v>0</v>
      </c>
    </row>
    <row r="5195" customFormat="false" ht="15" hidden="false" customHeight="false" outlineLevel="0" collapsed="false">
      <c r="A5195" s="10" t="s">
        <v>7536</v>
      </c>
      <c r="B5195" s="10" t="s">
        <v>75</v>
      </c>
      <c r="C5195" s="10" t="s">
        <v>50</v>
      </c>
      <c r="D5195" s="10" t="s">
        <v>267</v>
      </c>
      <c r="E5195" s="10" t="s">
        <v>2342</v>
      </c>
      <c r="F5195" s="30" t="n">
        <v>43021</v>
      </c>
      <c r="G5195" s="30" t="n">
        <v>43034</v>
      </c>
      <c r="H5195" s="26" t="n">
        <f aca="false">G5195-F5195</f>
        <v>13</v>
      </c>
      <c r="I5195" s="10" t="n">
        <f aca="false">IF(E5195="Won",1,0)</f>
        <v>1</v>
      </c>
    </row>
    <row r="5196" customFormat="false" ht="15" hidden="false" customHeight="false" outlineLevel="0" collapsed="false">
      <c r="A5196" s="10" t="s">
        <v>7537</v>
      </c>
      <c r="B5196" s="10" t="s">
        <v>95</v>
      </c>
      <c r="C5196" s="10" t="s">
        <v>51</v>
      </c>
      <c r="D5196" s="10" t="s">
        <v>514</v>
      </c>
      <c r="E5196" s="10" t="s">
        <v>2345</v>
      </c>
      <c r="F5196" s="30" t="n">
        <v>43024</v>
      </c>
      <c r="G5196" s="30" t="n">
        <v>43034</v>
      </c>
      <c r="H5196" s="26" t="n">
        <f aca="false">G5196-F5196</f>
        <v>10</v>
      </c>
      <c r="I5196" s="10" t="n">
        <f aca="false">IF(E5196="Won",1,0)</f>
        <v>0</v>
      </c>
    </row>
    <row r="5197" customFormat="false" ht="15" hidden="false" customHeight="false" outlineLevel="0" collapsed="false">
      <c r="A5197" s="10" t="s">
        <v>7538</v>
      </c>
      <c r="B5197" s="10" t="s">
        <v>83</v>
      </c>
      <c r="C5197" s="10" t="s">
        <v>51</v>
      </c>
      <c r="D5197" s="10" t="s">
        <v>524</v>
      </c>
      <c r="E5197" s="10" t="s">
        <v>2342</v>
      </c>
      <c r="F5197" s="30" t="n">
        <v>43026</v>
      </c>
      <c r="G5197" s="30" t="n">
        <v>43035</v>
      </c>
      <c r="H5197" s="26" t="n">
        <f aca="false">G5197-F5197</f>
        <v>9</v>
      </c>
      <c r="I5197" s="10" t="n">
        <f aca="false">IF(E5197="Won",1,0)</f>
        <v>1</v>
      </c>
    </row>
    <row r="5198" customFormat="false" ht="15" hidden="false" customHeight="false" outlineLevel="0" collapsed="false">
      <c r="A5198" s="10" t="s">
        <v>7539</v>
      </c>
      <c r="B5198" s="10" t="s">
        <v>71</v>
      </c>
      <c r="C5198" s="10" t="s">
        <v>50</v>
      </c>
      <c r="D5198" s="10" t="s">
        <v>1251</v>
      </c>
      <c r="E5198" s="10" t="s">
        <v>2342</v>
      </c>
      <c r="F5198" s="30" t="n">
        <v>43034</v>
      </c>
      <c r="G5198" s="30" t="n">
        <v>43035</v>
      </c>
      <c r="H5198" s="26" t="n">
        <f aca="false">G5198-F5198</f>
        <v>1</v>
      </c>
      <c r="I5198" s="10" t="n">
        <f aca="false">IF(E5198="Won",1,0)</f>
        <v>1</v>
      </c>
    </row>
    <row r="5199" customFormat="false" ht="15" hidden="false" customHeight="false" outlineLevel="0" collapsed="false">
      <c r="A5199" s="10" t="s">
        <v>7540</v>
      </c>
      <c r="B5199" s="10" t="s">
        <v>70</v>
      </c>
      <c r="C5199" s="10" t="s">
        <v>51</v>
      </c>
      <c r="D5199" s="10" t="s">
        <v>711</v>
      </c>
      <c r="E5199" s="10" t="s">
        <v>2345</v>
      </c>
      <c r="F5199" s="30" t="n">
        <v>43034</v>
      </c>
      <c r="G5199" s="30" t="n">
        <v>43035</v>
      </c>
      <c r="H5199" s="26" t="n">
        <f aca="false">G5199-F5199</f>
        <v>1</v>
      </c>
      <c r="I5199" s="10" t="n">
        <f aca="false">IF(E5199="Won",1,0)</f>
        <v>0</v>
      </c>
    </row>
    <row r="5200" customFormat="false" ht="15" hidden="false" customHeight="false" outlineLevel="0" collapsed="false">
      <c r="A5200" s="10" t="s">
        <v>7541</v>
      </c>
      <c r="B5200" s="10" t="s">
        <v>71</v>
      </c>
      <c r="C5200" s="10" t="s">
        <v>52</v>
      </c>
      <c r="D5200" s="10" t="s">
        <v>524</v>
      </c>
      <c r="E5200" s="10" t="s">
        <v>2345</v>
      </c>
      <c r="F5200" s="30" t="n">
        <v>43029</v>
      </c>
      <c r="G5200" s="30" t="n">
        <v>43035</v>
      </c>
      <c r="H5200" s="26" t="n">
        <f aca="false">G5200-F5200</f>
        <v>6</v>
      </c>
      <c r="I5200" s="10" t="n">
        <f aca="false">IF(E5200="Won",1,0)</f>
        <v>0</v>
      </c>
    </row>
    <row r="5201" customFormat="false" ht="15" hidden="false" customHeight="false" outlineLevel="0" collapsed="false">
      <c r="A5201" s="10" t="s">
        <v>7542</v>
      </c>
      <c r="B5201" s="10" t="s">
        <v>76</v>
      </c>
      <c r="C5201" s="10" t="s">
        <v>52</v>
      </c>
      <c r="D5201" s="10" t="s">
        <v>947</v>
      </c>
      <c r="E5201" s="10" t="s">
        <v>2342</v>
      </c>
      <c r="F5201" s="30" t="n">
        <v>43025</v>
      </c>
      <c r="G5201" s="30" t="n">
        <v>43035</v>
      </c>
      <c r="H5201" s="26" t="n">
        <f aca="false">G5201-F5201</f>
        <v>10</v>
      </c>
      <c r="I5201" s="10" t="n">
        <f aca="false">IF(E5201="Won",1,0)</f>
        <v>1</v>
      </c>
    </row>
    <row r="5202" customFormat="false" ht="15" hidden="false" customHeight="false" outlineLevel="0" collapsed="false">
      <c r="A5202" s="10" t="s">
        <v>7543</v>
      </c>
      <c r="B5202" s="10" t="s">
        <v>87</v>
      </c>
      <c r="C5202" s="10" t="s">
        <v>51</v>
      </c>
      <c r="D5202" s="10" t="s">
        <v>210</v>
      </c>
      <c r="E5202" s="10" t="s">
        <v>2342</v>
      </c>
      <c r="F5202" s="30" t="n">
        <v>43033</v>
      </c>
      <c r="G5202" s="30" t="n">
        <v>43035</v>
      </c>
      <c r="H5202" s="26" t="n">
        <f aca="false">G5202-F5202</f>
        <v>2</v>
      </c>
      <c r="I5202" s="10" t="n">
        <f aca="false">IF(E5202="Won",1,0)</f>
        <v>1</v>
      </c>
    </row>
    <row r="5203" customFormat="false" ht="15" hidden="false" customHeight="false" outlineLevel="0" collapsed="false">
      <c r="A5203" s="10" t="s">
        <v>7544</v>
      </c>
      <c r="B5203" s="10" t="s">
        <v>86</v>
      </c>
      <c r="C5203" s="10" t="s">
        <v>48</v>
      </c>
      <c r="D5203" s="10" t="s">
        <v>464</v>
      </c>
      <c r="E5203" s="10" t="s">
        <v>2342</v>
      </c>
      <c r="F5203" s="30" t="n">
        <v>43028</v>
      </c>
      <c r="G5203" s="30" t="n">
        <v>43035</v>
      </c>
      <c r="H5203" s="26" t="n">
        <f aca="false">G5203-F5203</f>
        <v>7</v>
      </c>
      <c r="I5203" s="10" t="n">
        <f aca="false">IF(E5203="Won",1,0)</f>
        <v>1</v>
      </c>
    </row>
    <row r="5204" customFormat="false" ht="15" hidden="false" customHeight="false" outlineLevel="0" collapsed="false">
      <c r="A5204" s="10" t="s">
        <v>7545</v>
      </c>
      <c r="B5204" s="10" t="s">
        <v>77</v>
      </c>
      <c r="C5204" s="10" t="s">
        <v>48</v>
      </c>
      <c r="D5204" s="10" t="s">
        <v>536</v>
      </c>
      <c r="E5204" s="10" t="s">
        <v>2345</v>
      </c>
      <c r="F5204" s="30" t="n">
        <v>43034</v>
      </c>
      <c r="G5204" s="30" t="n">
        <v>43035</v>
      </c>
      <c r="H5204" s="26" t="n">
        <f aca="false">G5204-F5204</f>
        <v>1</v>
      </c>
      <c r="I5204" s="10" t="n">
        <f aca="false">IF(E5204="Won",1,0)</f>
        <v>0</v>
      </c>
    </row>
    <row r="5205" customFormat="false" ht="15" hidden="false" customHeight="false" outlineLevel="0" collapsed="false">
      <c r="A5205" s="10" t="s">
        <v>7546</v>
      </c>
      <c r="B5205" s="10" t="s">
        <v>73</v>
      </c>
      <c r="C5205" s="10" t="s">
        <v>49</v>
      </c>
      <c r="D5205" s="10" t="s">
        <v>414</v>
      </c>
      <c r="E5205" s="10" t="s">
        <v>2342</v>
      </c>
      <c r="F5205" s="30" t="n">
        <v>43028</v>
      </c>
      <c r="G5205" s="30" t="n">
        <v>43035</v>
      </c>
      <c r="H5205" s="26" t="n">
        <f aca="false">G5205-F5205</f>
        <v>7</v>
      </c>
      <c r="I5205" s="10" t="n">
        <f aca="false">IF(E5205="Won",1,0)</f>
        <v>1</v>
      </c>
    </row>
    <row r="5206" customFormat="false" ht="15" hidden="false" customHeight="false" outlineLevel="0" collapsed="false">
      <c r="A5206" s="10" t="s">
        <v>7547</v>
      </c>
      <c r="B5206" s="10" t="s">
        <v>73</v>
      </c>
      <c r="C5206" s="10" t="s">
        <v>49</v>
      </c>
      <c r="D5206" s="10" t="s">
        <v>388</v>
      </c>
      <c r="E5206" s="10" t="s">
        <v>2345</v>
      </c>
      <c r="F5206" s="30" t="n">
        <v>43029</v>
      </c>
      <c r="G5206" s="30" t="n">
        <v>43035</v>
      </c>
      <c r="H5206" s="26" t="n">
        <f aca="false">G5206-F5206</f>
        <v>6</v>
      </c>
      <c r="I5206" s="10" t="n">
        <f aca="false">IF(E5206="Won",1,0)</f>
        <v>0</v>
      </c>
    </row>
    <row r="5207" customFormat="false" ht="15" hidden="false" customHeight="false" outlineLevel="0" collapsed="false">
      <c r="A5207" s="10" t="s">
        <v>7548</v>
      </c>
      <c r="B5207" s="10" t="s">
        <v>76</v>
      </c>
      <c r="C5207" s="10" t="s">
        <v>52</v>
      </c>
      <c r="D5207" s="10" t="s">
        <v>291</v>
      </c>
      <c r="E5207" s="10" t="s">
        <v>2342</v>
      </c>
      <c r="F5207" s="30" t="n">
        <v>43027</v>
      </c>
      <c r="G5207" s="30" t="n">
        <v>43035</v>
      </c>
      <c r="H5207" s="26" t="n">
        <f aca="false">G5207-F5207</f>
        <v>8</v>
      </c>
      <c r="I5207" s="10" t="n">
        <f aca="false">IF(E5207="Won",1,0)</f>
        <v>1</v>
      </c>
    </row>
    <row r="5208" customFormat="false" ht="15" hidden="false" customHeight="false" outlineLevel="0" collapsed="false">
      <c r="A5208" s="10" t="s">
        <v>7549</v>
      </c>
      <c r="B5208" s="10" t="s">
        <v>77</v>
      </c>
      <c r="C5208" s="10" t="s">
        <v>48</v>
      </c>
      <c r="D5208" s="10" t="s">
        <v>961</v>
      </c>
      <c r="E5208" s="10" t="s">
        <v>2342</v>
      </c>
      <c r="F5208" s="30" t="n">
        <v>43028</v>
      </c>
      <c r="G5208" s="30" t="n">
        <v>43035</v>
      </c>
      <c r="H5208" s="26" t="n">
        <f aca="false">G5208-F5208</f>
        <v>7</v>
      </c>
      <c r="I5208" s="10" t="n">
        <f aca="false">IF(E5208="Won",1,0)</f>
        <v>1</v>
      </c>
    </row>
    <row r="5209" customFormat="false" ht="15" hidden="false" customHeight="false" outlineLevel="0" collapsed="false">
      <c r="A5209" s="10" t="s">
        <v>7550</v>
      </c>
      <c r="B5209" s="10" t="s">
        <v>81</v>
      </c>
      <c r="C5209" s="10" t="s">
        <v>49</v>
      </c>
      <c r="D5209" s="10" t="s">
        <v>947</v>
      </c>
      <c r="E5209" s="10" t="s">
        <v>2342</v>
      </c>
      <c r="F5209" s="30" t="n">
        <v>43034</v>
      </c>
      <c r="G5209" s="30" t="n">
        <v>43035</v>
      </c>
      <c r="H5209" s="26" t="n">
        <f aca="false">G5209-F5209</f>
        <v>1</v>
      </c>
      <c r="I5209" s="10" t="n">
        <f aca="false">IF(E5209="Won",1,0)</f>
        <v>1</v>
      </c>
    </row>
    <row r="5210" customFormat="false" ht="15" hidden="false" customHeight="false" outlineLevel="0" collapsed="false">
      <c r="A5210" s="10" t="s">
        <v>7551</v>
      </c>
      <c r="B5210" s="10" t="s">
        <v>79</v>
      </c>
      <c r="C5210" s="10" t="s">
        <v>49</v>
      </c>
      <c r="D5210" s="10" t="s">
        <v>321</v>
      </c>
      <c r="E5210" s="10" t="s">
        <v>2345</v>
      </c>
      <c r="F5210" s="30" t="n">
        <v>43033</v>
      </c>
      <c r="G5210" s="30" t="n">
        <v>43035</v>
      </c>
      <c r="H5210" s="26" t="n">
        <f aca="false">G5210-F5210</f>
        <v>2</v>
      </c>
      <c r="I5210" s="10" t="n">
        <f aca="false">IF(E5210="Won",1,0)</f>
        <v>0</v>
      </c>
    </row>
    <row r="5211" customFormat="false" ht="15" hidden="false" customHeight="false" outlineLevel="0" collapsed="false">
      <c r="A5211" s="10" t="s">
        <v>7552</v>
      </c>
      <c r="B5211" s="10" t="s">
        <v>79</v>
      </c>
      <c r="C5211" s="10" t="s">
        <v>48</v>
      </c>
      <c r="D5211" s="10" t="s">
        <v>512</v>
      </c>
      <c r="E5211" s="10" t="s">
        <v>2345</v>
      </c>
      <c r="F5211" s="30" t="n">
        <v>43034</v>
      </c>
      <c r="G5211" s="30" t="n">
        <v>43035</v>
      </c>
      <c r="H5211" s="26" t="n">
        <f aca="false">G5211-F5211</f>
        <v>1</v>
      </c>
      <c r="I5211" s="10" t="n">
        <f aca="false">IF(E5211="Won",1,0)</f>
        <v>0</v>
      </c>
    </row>
    <row r="5212" customFormat="false" ht="15" hidden="false" customHeight="false" outlineLevel="0" collapsed="false">
      <c r="A5212" s="10" t="s">
        <v>7553</v>
      </c>
      <c r="B5212" s="10" t="s">
        <v>77</v>
      </c>
      <c r="C5212" s="10" t="s">
        <v>47</v>
      </c>
      <c r="D5212" s="10" t="s">
        <v>414</v>
      </c>
      <c r="E5212" s="10" t="s">
        <v>2342</v>
      </c>
      <c r="F5212" s="30" t="n">
        <v>43027</v>
      </c>
      <c r="G5212" s="30" t="n">
        <v>43035</v>
      </c>
      <c r="H5212" s="26" t="n">
        <f aca="false">G5212-F5212</f>
        <v>8</v>
      </c>
      <c r="I5212" s="10" t="n">
        <f aca="false">IF(E5212="Won",1,0)</f>
        <v>1</v>
      </c>
    </row>
    <row r="5213" customFormat="false" ht="15" hidden="false" customHeight="false" outlineLevel="0" collapsed="false">
      <c r="A5213" s="10" t="s">
        <v>7554</v>
      </c>
      <c r="B5213" s="10" t="s">
        <v>97</v>
      </c>
      <c r="C5213" s="10" t="s">
        <v>48</v>
      </c>
      <c r="D5213" s="10" t="s">
        <v>175</v>
      </c>
      <c r="E5213" s="10" t="s">
        <v>2342</v>
      </c>
      <c r="F5213" s="30" t="n">
        <v>43028</v>
      </c>
      <c r="G5213" s="30" t="n">
        <v>43035</v>
      </c>
      <c r="H5213" s="26" t="n">
        <f aca="false">G5213-F5213</f>
        <v>7</v>
      </c>
      <c r="I5213" s="10" t="n">
        <f aca="false">IF(E5213="Won",1,0)</f>
        <v>1</v>
      </c>
    </row>
    <row r="5214" customFormat="false" ht="15" hidden="false" customHeight="false" outlineLevel="0" collapsed="false">
      <c r="A5214" s="10" t="s">
        <v>7555</v>
      </c>
      <c r="B5214" s="10" t="s">
        <v>70</v>
      </c>
      <c r="C5214" s="10" t="s">
        <v>52</v>
      </c>
      <c r="D5214" s="10" t="s">
        <v>199</v>
      </c>
      <c r="E5214" s="10" t="s">
        <v>2345</v>
      </c>
      <c r="F5214" s="30" t="n">
        <v>43028</v>
      </c>
      <c r="G5214" s="30" t="n">
        <v>43035</v>
      </c>
      <c r="H5214" s="26" t="n">
        <f aca="false">G5214-F5214</f>
        <v>7</v>
      </c>
      <c r="I5214" s="10" t="n">
        <f aca="false">IF(E5214="Won",1,0)</f>
        <v>0</v>
      </c>
    </row>
    <row r="5215" customFormat="false" ht="15" hidden="false" customHeight="false" outlineLevel="0" collapsed="false">
      <c r="A5215" s="10" t="s">
        <v>7556</v>
      </c>
      <c r="B5215" s="10" t="s">
        <v>95</v>
      </c>
      <c r="C5215" s="10" t="s">
        <v>51</v>
      </c>
      <c r="D5215" s="10" t="s">
        <v>168</v>
      </c>
      <c r="E5215" s="10" t="s">
        <v>2342</v>
      </c>
      <c r="F5215" s="30" t="n">
        <v>43029</v>
      </c>
      <c r="G5215" s="30" t="n">
        <v>43035</v>
      </c>
      <c r="H5215" s="26" t="n">
        <f aca="false">G5215-F5215</f>
        <v>6</v>
      </c>
      <c r="I5215" s="10" t="n">
        <f aca="false">IF(E5215="Won",1,0)</f>
        <v>1</v>
      </c>
    </row>
    <row r="5216" customFormat="false" ht="15" hidden="false" customHeight="false" outlineLevel="0" collapsed="false">
      <c r="A5216" s="10" t="s">
        <v>7557</v>
      </c>
      <c r="B5216" s="10" t="s">
        <v>70</v>
      </c>
      <c r="C5216" s="10" t="s">
        <v>49</v>
      </c>
      <c r="D5216" s="10" t="s">
        <v>313</v>
      </c>
      <c r="E5216" s="10" t="s">
        <v>2342</v>
      </c>
      <c r="F5216" s="30" t="n">
        <v>43026</v>
      </c>
      <c r="G5216" s="30" t="n">
        <v>43035</v>
      </c>
      <c r="H5216" s="26" t="n">
        <f aca="false">G5216-F5216</f>
        <v>9</v>
      </c>
      <c r="I5216" s="10" t="n">
        <f aca="false">IF(E5216="Won",1,0)</f>
        <v>1</v>
      </c>
    </row>
    <row r="5217" customFormat="false" ht="15" hidden="false" customHeight="false" outlineLevel="0" collapsed="false">
      <c r="A5217" s="10" t="s">
        <v>7558</v>
      </c>
      <c r="B5217" s="10" t="s">
        <v>77</v>
      </c>
      <c r="C5217" s="10" t="s">
        <v>48</v>
      </c>
      <c r="D5217" s="10" t="s">
        <v>947</v>
      </c>
      <c r="E5217" s="10" t="s">
        <v>2342</v>
      </c>
      <c r="F5217" s="30" t="n">
        <v>43027</v>
      </c>
      <c r="G5217" s="30" t="n">
        <v>43035</v>
      </c>
      <c r="H5217" s="26" t="n">
        <f aca="false">G5217-F5217</f>
        <v>8</v>
      </c>
      <c r="I5217" s="10" t="n">
        <f aca="false">IF(E5217="Won",1,0)</f>
        <v>1</v>
      </c>
    </row>
    <row r="5218" customFormat="false" ht="15" hidden="false" customHeight="false" outlineLevel="0" collapsed="false">
      <c r="A5218" s="10" t="s">
        <v>7559</v>
      </c>
      <c r="B5218" s="10" t="s">
        <v>93</v>
      </c>
      <c r="C5218" s="10" t="s">
        <v>47</v>
      </c>
      <c r="D5218" s="10" t="s">
        <v>497</v>
      </c>
      <c r="E5218" s="10" t="s">
        <v>2345</v>
      </c>
      <c r="F5218" s="30" t="n">
        <v>43028</v>
      </c>
      <c r="G5218" s="30" t="n">
        <v>43035</v>
      </c>
      <c r="H5218" s="26" t="n">
        <f aca="false">G5218-F5218</f>
        <v>7</v>
      </c>
      <c r="I5218" s="10" t="n">
        <f aca="false">IF(E5218="Won",1,0)</f>
        <v>0</v>
      </c>
    </row>
    <row r="5219" customFormat="false" ht="15" hidden="false" customHeight="false" outlineLevel="0" collapsed="false">
      <c r="A5219" s="10" t="s">
        <v>7560</v>
      </c>
      <c r="B5219" s="10" t="s">
        <v>70</v>
      </c>
      <c r="C5219" s="10" t="s">
        <v>51</v>
      </c>
      <c r="D5219" s="10" t="s">
        <v>506</v>
      </c>
      <c r="E5219" s="10" t="s">
        <v>2345</v>
      </c>
      <c r="F5219" s="30" t="n">
        <v>43034</v>
      </c>
      <c r="G5219" s="30" t="n">
        <v>43036</v>
      </c>
      <c r="H5219" s="26" t="n">
        <f aca="false">G5219-F5219</f>
        <v>2</v>
      </c>
      <c r="I5219" s="10" t="n">
        <f aca="false">IF(E5219="Won",1,0)</f>
        <v>0</v>
      </c>
    </row>
    <row r="5220" customFormat="false" ht="15" hidden="false" customHeight="false" outlineLevel="0" collapsed="false">
      <c r="A5220" s="10" t="s">
        <v>7561</v>
      </c>
      <c r="B5220" s="10" t="s">
        <v>88</v>
      </c>
      <c r="C5220" s="10" t="s">
        <v>50</v>
      </c>
      <c r="D5220" s="10" t="s">
        <v>210</v>
      </c>
      <c r="E5220" s="10" t="s">
        <v>2342</v>
      </c>
      <c r="F5220" s="30" t="n">
        <v>43023</v>
      </c>
      <c r="G5220" s="30" t="n">
        <v>43036</v>
      </c>
      <c r="H5220" s="26" t="n">
        <f aca="false">G5220-F5220</f>
        <v>13</v>
      </c>
      <c r="I5220" s="10" t="n">
        <f aca="false">IF(E5220="Won",1,0)</f>
        <v>1</v>
      </c>
    </row>
    <row r="5221" customFormat="false" ht="15" hidden="false" customHeight="false" outlineLevel="0" collapsed="false">
      <c r="A5221" s="10" t="s">
        <v>7562</v>
      </c>
      <c r="B5221" s="10" t="s">
        <v>75</v>
      </c>
      <c r="C5221" s="10" t="s">
        <v>51</v>
      </c>
      <c r="D5221" s="10" t="s">
        <v>947</v>
      </c>
      <c r="E5221" s="10" t="s">
        <v>2342</v>
      </c>
      <c r="F5221" s="30" t="n">
        <v>43024</v>
      </c>
      <c r="G5221" s="30" t="n">
        <v>43036</v>
      </c>
      <c r="H5221" s="26" t="n">
        <f aca="false">G5221-F5221</f>
        <v>12</v>
      </c>
      <c r="I5221" s="10" t="n">
        <f aca="false">IF(E5221="Won",1,0)</f>
        <v>1</v>
      </c>
    </row>
    <row r="5222" customFormat="false" ht="15" hidden="false" customHeight="false" outlineLevel="0" collapsed="false">
      <c r="A5222" s="10" t="s">
        <v>7563</v>
      </c>
      <c r="B5222" s="10" t="s">
        <v>62</v>
      </c>
      <c r="C5222" s="10" t="s">
        <v>51</v>
      </c>
      <c r="D5222" s="10" t="s">
        <v>293</v>
      </c>
      <c r="E5222" s="10" t="s">
        <v>2345</v>
      </c>
      <c r="F5222" s="30" t="n">
        <v>43034</v>
      </c>
      <c r="G5222" s="30" t="n">
        <v>43036</v>
      </c>
      <c r="H5222" s="26" t="n">
        <f aca="false">G5222-F5222</f>
        <v>2</v>
      </c>
      <c r="I5222" s="10" t="n">
        <f aca="false">IF(E5222="Won",1,0)</f>
        <v>0</v>
      </c>
    </row>
    <row r="5223" customFormat="false" ht="15" hidden="false" customHeight="false" outlineLevel="0" collapsed="false">
      <c r="A5223" s="10" t="s">
        <v>7564</v>
      </c>
      <c r="B5223" s="10" t="s">
        <v>84</v>
      </c>
      <c r="C5223" s="10" t="s">
        <v>48</v>
      </c>
      <c r="D5223" s="10" t="s">
        <v>378</v>
      </c>
      <c r="E5223" s="10" t="s">
        <v>2342</v>
      </c>
      <c r="F5223" s="30" t="n">
        <v>43035</v>
      </c>
      <c r="G5223" s="30" t="n">
        <v>43036</v>
      </c>
      <c r="H5223" s="26" t="n">
        <f aca="false">G5223-F5223</f>
        <v>1</v>
      </c>
      <c r="I5223" s="10" t="n">
        <f aca="false">IF(E5223="Won",1,0)</f>
        <v>1</v>
      </c>
    </row>
    <row r="5224" customFormat="false" ht="15" hidden="false" customHeight="false" outlineLevel="0" collapsed="false">
      <c r="A5224" s="10" t="s">
        <v>7565</v>
      </c>
      <c r="B5224" s="10" t="s">
        <v>83</v>
      </c>
      <c r="C5224" s="10" t="s">
        <v>52</v>
      </c>
      <c r="D5224" s="10" t="s">
        <v>762</v>
      </c>
      <c r="E5224" s="10" t="s">
        <v>2345</v>
      </c>
      <c r="F5224" s="30" t="n">
        <v>43030</v>
      </c>
      <c r="G5224" s="30" t="n">
        <v>43036</v>
      </c>
      <c r="H5224" s="26" t="n">
        <f aca="false">G5224-F5224</f>
        <v>6</v>
      </c>
      <c r="I5224" s="10" t="n">
        <f aca="false">IF(E5224="Won",1,0)</f>
        <v>0</v>
      </c>
    </row>
    <row r="5225" customFormat="false" ht="15" hidden="false" customHeight="false" outlineLevel="0" collapsed="false">
      <c r="A5225" s="10" t="s">
        <v>7566</v>
      </c>
      <c r="B5225" s="10" t="s">
        <v>76</v>
      </c>
      <c r="C5225" s="10" t="s">
        <v>52</v>
      </c>
      <c r="D5225" s="10" t="s">
        <v>869</v>
      </c>
      <c r="E5225" s="10" t="s">
        <v>2342</v>
      </c>
      <c r="F5225" s="30" t="n">
        <v>43035</v>
      </c>
      <c r="G5225" s="30" t="n">
        <v>43036</v>
      </c>
      <c r="H5225" s="26" t="n">
        <f aca="false">G5225-F5225</f>
        <v>1</v>
      </c>
      <c r="I5225" s="10" t="n">
        <f aca="false">IF(E5225="Won",1,0)</f>
        <v>1</v>
      </c>
    </row>
    <row r="5226" customFormat="false" ht="15" hidden="false" customHeight="false" outlineLevel="0" collapsed="false">
      <c r="A5226" s="10" t="s">
        <v>7567</v>
      </c>
      <c r="B5226" s="10" t="s">
        <v>77</v>
      </c>
      <c r="C5226" s="10" t="s">
        <v>48</v>
      </c>
      <c r="D5226" s="10" t="s">
        <v>369</v>
      </c>
      <c r="E5226" s="10" t="s">
        <v>2345</v>
      </c>
      <c r="F5226" s="30" t="n">
        <v>43027</v>
      </c>
      <c r="G5226" s="30" t="n">
        <v>43036</v>
      </c>
      <c r="H5226" s="26" t="n">
        <f aca="false">G5226-F5226</f>
        <v>9</v>
      </c>
      <c r="I5226" s="10" t="n">
        <f aca="false">IF(E5226="Won",1,0)</f>
        <v>0</v>
      </c>
    </row>
    <row r="5227" customFormat="false" ht="15" hidden="false" customHeight="false" outlineLevel="0" collapsed="false">
      <c r="A5227" s="10" t="s">
        <v>7568</v>
      </c>
      <c r="B5227" s="10" t="s">
        <v>66</v>
      </c>
      <c r="C5227" s="10" t="s">
        <v>51</v>
      </c>
      <c r="D5227" s="10" t="s">
        <v>487</v>
      </c>
      <c r="E5227" s="10" t="s">
        <v>2342</v>
      </c>
      <c r="F5227" s="30" t="n">
        <v>43034</v>
      </c>
      <c r="G5227" s="30" t="n">
        <v>43036</v>
      </c>
      <c r="H5227" s="26" t="n">
        <f aca="false">G5227-F5227</f>
        <v>2</v>
      </c>
      <c r="I5227" s="10" t="n">
        <f aca="false">IF(E5227="Won",1,0)</f>
        <v>1</v>
      </c>
    </row>
    <row r="5228" customFormat="false" ht="15" hidden="false" customHeight="false" outlineLevel="0" collapsed="false">
      <c r="A5228" s="10" t="s">
        <v>7569</v>
      </c>
      <c r="B5228" s="10" t="s">
        <v>97</v>
      </c>
      <c r="C5228" s="10" t="s">
        <v>50</v>
      </c>
      <c r="D5228" s="10" t="s">
        <v>711</v>
      </c>
      <c r="E5228" s="10" t="s">
        <v>2345</v>
      </c>
      <c r="F5228" s="30" t="n">
        <v>43031</v>
      </c>
      <c r="G5228" s="30" t="n">
        <v>43036</v>
      </c>
      <c r="H5228" s="26" t="n">
        <f aca="false">G5228-F5228</f>
        <v>5</v>
      </c>
      <c r="I5228" s="10" t="n">
        <f aca="false">IF(E5228="Won",1,0)</f>
        <v>0</v>
      </c>
    </row>
    <row r="5229" customFormat="false" ht="15" hidden="false" customHeight="false" outlineLevel="0" collapsed="false">
      <c r="A5229" s="10" t="s">
        <v>7570</v>
      </c>
      <c r="B5229" s="10" t="s">
        <v>68</v>
      </c>
      <c r="C5229" s="10" t="s">
        <v>51</v>
      </c>
      <c r="D5229" s="10" t="s">
        <v>986</v>
      </c>
      <c r="E5229" s="10" t="s">
        <v>2345</v>
      </c>
      <c r="F5229" s="30" t="n">
        <v>43035</v>
      </c>
      <c r="G5229" s="30" t="n">
        <v>43036</v>
      </c>
      <c r="H5229" s="26" t="n">
        <f aca="false">G5229-F5229</f>
        <v>1</v>
      </c>
      <c r="I5229" s="10" t="n">
        <f aca="false">IF(E5229="Won",1,0)</f>
        <v>0</v>
      </c>
    </row>
    <row r="5230" customFormat="false" ht="15" hidden="false" customHeight="false" outlineLevel="0" collapsed="false">
      <c r="A5230" s="10" t="s">
        <v>7571</v>
      </c>
      <c r="B5230" s="10" t="s">
        <v>61</v>
      </c>
      <c r="C5230" s="10" t="s">
        <v>52</v>
      </c>
      <c r="D5230" s="10" t="s">
        <v>185</v>
      </c>
      <c r="E5230" s="10" t="s">
        <v>2345</v>
      </c>
      <c r="F5230" s="30" t="n">
        <v>43026</v>
      </c>
      <c r="G5230" s="30" t="n">
        <v>43036</v>
      </c>
      <c r="H5230" s="26" t="n">
        <f aca="false">G5230-F5230</f>
        <v>10</v>
      </c>
      <c r="I5230" s="10" t="n">
        <f aca="false">IF(E5230="Won",1,0)</f>
        <v>0</v>
      </c>
    </row>
    <row r="5231" customFormat="false" ht="15" hidden="false" customHeight="false" outlineLevel="0" collapsed="false">
      <c r="A5231" s="10" t="s">
        <v>7572</v>
      </c>
      <c r="B5231" s="10" t="s">
        <v>77</v>
      </c>
      <c r="C5231" s="10" t="s">
        <v>48</v>
      </c>
      <c r="D5231" s="10" t="s">
        <v>311</v>
      </c>
      <c r="E5231" s="10" t="s">
        <v>2342</v>
      </c>
      <c r="F5231" s="30" t="n">
        <v>43028</v>
      </c>
      <c r="G5231" s="30" t="n">
        <v>43036</v>
      </c>
      <c r="H5231" s="26" t="n">
        <f aca="false">G5231-F5231</f>
        <v>8</v>
      </c>
      <c r="I5231" s="10" t="n">
        <f aca="false">IF(E5231="Won",1,0)</f>
        <v>1</v>
      </c>
    </row>
    <row r="5232" customFormat="false" ht="15" hidden="false" customHeight="false" outlineLevel="0" collapsed="false">
      <c r="A5232" s="10" t="s">
        <v>7573</v>
      </c>
      <c r="B5232" s="10" t="s">
        <v>73</v>
      </c>
      <c r="C5232" s="10" t="s">
        <v>50</v>
      </c>
      <c r="D5232" s="10" t="s">
        <v>597</v>
      </c>
      <c r="E5232" s="10" t="s">
        <v>2345</v>
      </c>
      <c r="F5232" s="30" t="n">
        <v>43029</v>
      </c>
      <c r="G5232" s="30" t="n">
        <v>43036</v>
      </c>
      <c r="H5232" s="26" t="n">
        <f aca="false">G5232-F5232</f>
        <v>7</v>
      </c>
      <c r="I5232" s="10" t="n">
        <f aca="false">IF(E5232="Won",1,0)</f>
        <v>0</v>
      </c>
    </row>
    <row r="5233" customFormat="false" ht="15" hidden="false" customHeight="false" outlineLevel="0" collapsed="false">
      <c r="A5233" s="10" t="s">
        <v>7574</v>
      </c>
      <c r="B5233" s="10" t="s">
        <v>87</v>
      </c>
      <c r="C5233" s="10" t="s">
        <v>48</v>
      </c>
      <c r="D5233" s="10" t="s">
        <v>274</v>
      </c>
      <c r="E5233" s="10" t="s">
        <v>2345</v>
      </c>
      <c r="F5233" s="30" t="n">
        <v>43027</v>
      </c>
      <c r="G5233" s="30" t="n">
        <v>43036</v>
      </c>
      <c r="H5233" s="26" t="n">
        <f aca="false">G5233-F5233</f>
        <v>9</v>
      </c>
      <c r="I5233" s="10" t="n">
        <f aca="false">IF(E5233="Won",1,0)</f>
        <v>0</v>
      </c>
    </row>
    <row r="5234" customFormat="false" ht="15" hidden="false" customHeight="false" outlineLevel="0" collapsed="false">
      <c r="A5234" s="10" t="s">
        <v>7575</v>
      </c>
      <c r="B5234" s="10" t="s">
        <v>67</v>
      </c>
      <c r="C5234" s="10" t="s">
        <v>50</v>
      </c>
      <c r="D5234" s="10" t="s">
        <v>483</v>
      </c>
      <c r="E5234" s="10" t="s">
        <v>2342</v>
      </c>
      <c r="F5234" s="30" t="n">
        <v>43027</v>
      </c>
      <c r="G5234" s="30" t="n">
        <v>43036</v>
      </c>
      <c r="H5234" s="26" t="n">
        <f aca="false">G5234-F5234</f>
        <v>9</v>
      </c>
      <c r="I5234" s="10" t="n">
        <f aca="false">IF(E5234="Won",1,0)</f>
        <v>1</v>
      </c>
    </row>
    <row r="5235" customFormat="false" ht="15" hidden="false" customHeight="false" outlineLevel="0" collapsed="false">
      <c r="A5235" s="10" t="s">
        <v>7576</v>
      </c>
      <c r="B5235" s="10" t="s">
        <v>70</v>
      </c>
      <c r="C5235" s="10" t="s">
        <v>52</v>
      </c>
      <c r="D5235" s="10" t="s">
        <v>170</v>
      </c>
      <c r="E5235" s="10" t="s">
        <v>2345</v>
      </c>
      <c r="F5235" s="30" t="n">
        <v>43028</v>
      </c>
      <c r="G5235" s="30" t="n">
        <v>43036</v>
      </c>
      <c r="H5235" s="26" t="n">
        <f aca="false">G5235-F5235</f>
        <v>8</v>
      </c>
      <c r="I5235" s="10" t="n">
        <f aca="false">IF(E5235="Won",1,0)</f>
        <v>0</v>
      </c>
    </row>
    <row r="5236" customFormat="false" ht="15" hidden="false" customHeight="false" outlineLevel="0" collapsed="false">
      <c r="A5236" s="10" t="s">
        <v>7577</v>
      </c>
      <c r="B5236" s="10" t="s">
        <v>70</v>
      </c>
      <c r="C5236" s="10" t="s">
        <v>48</v>
      </c>
      <c r="D5236" s="10" t="s">
        <v>424</v>
      </c>
      <c r="E5236" s="10" t="s">
        <v>2342</v>
      </c>
      <c r="F5236" s="30" t="n">
        <v>43030</v>
      </c>
      <c r="G5236" s="30" t="n">
        <v>43036</v>
      </c>
      <c r="H5236" s="26" t="n">
        <f aca="false">G5236-F5236</f>
        <v>6</v>
      </c>
      <c r="I5236" s="10" t="n">
        <f aca="false">IF(E5236="Won",1,0)</f>
        <v>1</v>
      </c>
    </row>
    <row r="5237" customFormat="false" ht="15" hidden="false" customHeight="false" outlineLevel="0" collapsed="false">
      <c r="A5237" s="10" t="s">
        <v>7578</v>
      </c>
      <c r="B5237" s="10" t="s">
        <v>93</v>
      </c>
      <c r="C5237" s="10" t="s">
        <v>48</v>
      </c>
      <c r="D5237" s="10" t="s">
        <v>424</v>
      </c>
      <c r="E5237" s="10" t="s">
        <v>2345</v>
      </c>
      <c r="F5237" s="30" t="n">
        <v>43035</v>
      </c>
      <c r="G5237" s="30" t="n">
        <v>43037</v>
      </c>
      <c r="H5237" s="26" t="n">
        <f aca="false">G5237-F5237</f>
        <v>2</v>
      </c>
      <c r="I5237" s="10" t="n">
        <f aca="false">IF(E5237="Won",1,0)</f>
        <v>0</v>
      </c>
    </row>
    <row r="5238" customFormat="false" ht="15" hidden="false" customHeight="false" outlineLevel="0" collapsed="false">
      <c r="A5238" s="10" t="s">
        <v>7579</v>
      </c>
      <c r="B5238" s="10" t="s">
        <v>87</v>
      </c>
      <c r="C5238" s="10" t="s">
        <v>50</v>
      </c>
      <c r="D5238" s="10" t="s">
        <v>1334</v>
      </c>
      <c r="E5238" s="10" t="s">
        <v>2345</v>
      </c>
      <c r="F5238" s="30" t="n">
        <v>43032</v>
      </c>
      <c r="G5238" s="30" t="n">
        <v>43037</v>
      </c>
      <c r="H5238" s="26" t="n">
        <f aca="false">G5238-F5238</f>
        <v>5</v>
      </c>
      <c r="I5238" s="10" t="n">
        <f aca="false">IF(E5238="Won",1,0)</f>
        <v>0</v>
      </c>
    </row>
    <row r="5239" customFormat="false" ht="15" hidden="false" customHeight="false" outlineLevel="0" collapsed="false">
      <c r="A5239" s="10" t="s">
        <v>7580</v>
      </c>
      <c r="B5239" s="10" t="s">
        <v>70</v>
      </c>
      <c r="C5239" s="10" t="s">
        <v>48</v>
      </c>
      <c r="D5239" s="10" t="s">
        <v>337</v>
      </c>
      <c r="E5239" s="10" t="s">
        <v>2345</v>
      </c>
      <c r="F5239" s="30" t="n">
        <v>43036</v>
      </c>
      <c r="G5239" s="30" t="n">
        <v>43037</v>
      </c>
      <c r="H5239" s="26" t="n">
        <f aca="false">G5239-F5239</f>
        <v>1</v>
      </c>
      <c r="I5239" s="10" t="n">
        <f aca="false">IF(E5239="Won",1,0)</f>
        <v>0</v>
      </c>
    </row>
    <row r="5240" customFormat="false" ht="15" hidden="false" customHeight="false" outlineLevel="0" collapsed="false">
      <c r="A5240" s="10" t="s">
        <v>7581</v>
      </c>
      <c r="B5240" s="10" t="s">
        <v>90</v>
      </c>
      <c r="C5240" s="10" t="s">
        <v>49</v>
      </c>
      <c r="D5240" s="10" t="s">
        <v>453</v>
      </c>
      <c r="E5240" s="10" t="s">
        <v>2342</v>
      </c>
      <c r="F5240" s="30" t="n">
        <v>43029</v>
      </c>
      <c r="G5240" s="30" t="n">
        <v>43037</v>
      </c>
      <c r="H5240" s="26" t="n">
        <f aca="false">G5240-F5240</f>
        <v>8</v>
      </c>
      <c r="I5240" s="10" t="n">
        <f aca="false">IF(E5240="Won",1,0)</f>
        <v>1</v>
      </c>
    </row>
    <row r="5241" customFormat="false" ht="15" hidden="false" customHeight="false" outlineLevel="0" collapsed="false">
      <c r="A5241" s="10" t="s">
        <v>7582</v>
      </c>
      <c r="B5241" s="10" t="s">
        <v>76</v>
      </c>
      <c r="C5241" s="10" t="s">
        <v>52</v>
      </c>
      <c r="D5241" s="10" t="s">
        <v>869</v>
      </c>
      <c r="E5241" s="10" t="s">
        <v>2345</v>
      </c>
      <c r="F5241" s="30" t="n">
        <v>43036</v>
      </c>
      <c r="G5241" s="30" t="n">
        <v>43037</v>
      </c>
      <c r="H5241" s="26" t="n">
        <f aca="false">G5241-F5241</f>
        <v>1</v>
      </c>
      <c r="I5241" s="10" t="n">
        <f aca="false">IF(E5241="Won",1,0)</f>
        <v>0</v>
      </c>
    </row>
    <row r="5242" customFormat="false" ht="15" hidden="false" customHeight="false" outlineLevel="0" collapsed="false">
      <c r="A5242" s="10" t="s">
        <v>7583</v>
      </c>
      <c r="B5242" s="10" t="s">
        <v>86</v>
      </c>
      <c r="C5242" s="10" t="s">
        <v>48</v>
      </c>
      <c r="D5242" s="10" t="s">
        <v>350</v>
      </c>
      <c r="E5242" s="10" t="s">
        <v>2342</v>
      </c>
      <c r="F5242" s="30" t="n">
        <v>43025</v>
      </c>
      <c r="G5242" s="30" t="n">
        <v>43037</v>
      </c>
      <c r="H5242" s="26" t="n">
        <f aca="false">G5242-F5242</f>
        <v>12</v>
      </c>
      <c r="I5242" s="10" t="n">
        <f aca="false">IF(E5242="Won",1,0)</f>
        <v>1</v>
      </c>
    </row>
    <row r="5243" customFormat="false" ht="15" hidden="false" customHeight="false" outlineLevel="0" collapsed="false">
      <c r="A5243" s="10" t="s">
        <v>7584</v>
      </c>
      <c r="B5243" s="10" t="s">
        <v>88</v>
      </c>
      <c r="C5243" s="10" t="s">
        <v>47</v>
      </c>
      <c r="D5243" s="10" t="s">
        <v>277</v>
      </c>
      <c r="E5243" s="10" t="s">
        <v>2345</v>
      </c>
      <c r="F5243" s="30" t="n">
        <v>43029</v>
      </c>
      <c r="G5243" s="30" t="n">
        <v>43037</v>
      </c>
      <c r="H5243" s="26" t="n">
        <f aca="false">G5243-F5243</f>
        <v>8</v>
      </c>
      <c r="I5243" s="10" t="n">
        <f aca="false">IF(E5243="Won",1,0)</f>
        <v>0</v>
      </c>
    </row>
    <row r="5244" customFormat="false" ht="15" hidden="false" customHeight="false" outlineLevel="0" collapsed="false">
      <c r="A5244" s="10" t="s">
        <v>7585</v>
      </c>
      <c r="B5244" s="10" t="s">
        <v>57</v>
      </c>
      <c r="C5244" s="10" t="s">
        <v>51</v>
      </c>
      <c r="D5244" s="10" t="s">
        <v>692</v>
      </c>
      <c r="E5244" s="10" t="s">
        <v>2342</v>
      </c>
      <c r="F5244" s="30" t="n">
        <v>43035</v>
      </c>
      <c r="G5244" s="30" t="n">
        <v>43037</v>
      </c>
      <c r="H5244" s="26" t="n">
        <f aca="false">G5244-F5244</f>
        <v>2</v>
      </c>
      <c r="I5244" s="10" t="n">
        <f aca="false">IF(E5244="Won",1,0)</f>
        <v>1</v>
      </c>
    </row>
    <row r="5245" customFormat="false" ht="15" hidden="false" customHeight="false" outlineLevel="0" collapsed="false">
      <c r="A5245" s="10" t="s">
        <v>7586</v>
      </c>
      <c r="B5245" s="10" t="s">
        <v>60</v>
      </c>
      <c r="C5245" s="10" t="s">
        <v>48</v>
      </c>
      <c r="D5245" s="10" t="s">
        <v>233</v>
      </c>
      <c r="E5245" s="10" t="s">
        <v>2342</v>
      </c>
      <c r="F5245" s="30" t="n">
        <v>43030</v>
      </c>
      <c r="G5245" s="30" t="n">
        <v>43037</v>
      </c>
      <c r="H5245" s="26" t="n">
        <f aca="false">G5245-F5245</f>
        <v>7</v>
      </c>
      <c r="I5245" s="10" t="n">
        <f aca="false">IF(E5245="Won",1,0)</f>
        <v>1</v>
      </c>
    </row>
    <row r="5246" customFormat="false" ht="15" hidden="false" customHeight="false" outlineLevel="0" collapsed="false">
      <c r="A5246" s="10" t="s">
        <v>7587</v>
      </c>
      <c r="B5246" s="10" t="s">
        <v>81</v>
      </c>
      <c r="C5246" s="10" t="s">
        <v>48</v>
      </c>
      <c r="D5246" s="10" t="s">
        <v>321</v>
      </c>
      <c r="E5246" s="10" t="s">
        <v>2345</v>
      </c>
      <c r="F5246" s="30" t="n">
        <v>43027</v>
      </c>
      <c r="G5246" s="30" t="n">
        <v>43037</v>
      </c>
      <c r="H5246" s="26" t="n">
        <f aca="false">G5246-F5246</f>
        <v>10</v>
      </c>
      <c r="I5246" s="10" t="n">
        <f aca="false">IF(E5246="Won",1,0)</f>
        <v>0</v>
      </c>
    </row>
    <row r="5247" customFormat="false" ht="15" hidden="false" customHeight="false" outlineLevel="0" collapsed="false">
      <c r="A5247" s="10" t="s">
        <v>7588</v>
      </c>
      <c r="B5247" s="10" t="s">
        <v>77</v>
      </c>
      <c r="C5247" s="10" t="s">
        <v>48</v>
      </c>
      <c r="D5247" s="10" t="s">
        <v>869</v>
      </c>
      <c r="E5247" s="10" t="s">
        <v>2342</v>
      </c>
      <c r="F5247" s="30" t="n">
        <v>43029</v>
      </c>
      <c r="G5247" s="30" t="n">
        <v>43037</v>
      </c>
      <c r="H5247" s="26" t="n">
        <f aca="false">G5247-F5247</f>
        <v>8</v>
      </c>
      <c r="I5247" s="10" t="n">
        <f aca="false">IF(E5247="Won",1,0)</f>
        <v>1</v>
      </c>
    </row>
    <row r="5248" customFormat="false" ht="15" hidden="false" customHeight="false" outlineLevel="0" collapsed="false">
      <c r="A5248" s="10" t="s">
        <v>7589</v>
      </c>
      <c r="B5248" s="10" t="s">
        <v>86</v>
      </c>
      <c r="C5248" s="10" t="s">
        <v>47</v>
      </c>
      <c r="D5248" s="10" t="s">
        <v>350</v>
      </c>
      <c r="E5248" s="10" t="s">
        <v>2345</v>
      </c>
      <c r="F5248" s="30" t="n">
        <v>43035</v>
      </c>
      <c r="G5248" s="30" t="n">
        <v>43037</v>
      </c>
      <c r="H5248" s="26" t="n">
        <f aca="false">G5248-F5248</f>
        <v>2</v>
      </c>
      <c r="I5248" s="10" t="n">
        <f aca="false">IF(E5248="Won",1,0)</f>
        <v>0</v>
      </c>
    </row>
    <row r="5249" customFormat="false" ht="15" hidden="false" customHeight="false" outlineLevel="0" collapsed="false">
      <c r="A5249" s="10" t="s">
        <v>7590</v>
      </c>
      <c r="B5249" s="10" t="s">
        <v>80</v>
      </c>
      <c r="C5249" s="10" t="s">
        <v>51</v>
      </c>
      <c r="D5249" s="10" t="s">
        <v>947</v>
      </c>
      <c r="E5249" s="10" t="s">
        <v>2342</v>
      </c>
      <c r="F5249" s="30" t="n">
        <v>43032</v>
      </c>
      <c r="G5249" s="30" t="n">
        <v>43037</v>
      </c>
      <c r="H5249" s="26" t="n">
        <f aca="false">G5249-F5249</f>
        <v>5</v>
      </c>
      <c r="I5249" s="10" t="n">
        <f aca="false">IF(E5249="Won",1,0)</f>
        <v>1</v>
      </c>
    </row>
    <row r="5250" customFormat="false" ht="15" hidden="false" customHeight="false" outlineLevel="0" collapsed="false">
      <c r="A5250" s="10" t="s">
        <v>7591</v>
      </c>
      <c r="B5250" s="10" t="s">
        <v>73</v>
      </c>
      <c r="C5250" s="10" t="s">
        <v>52</v>
      </c>
      <c r="D5250" s="10" t="s">
        <v>524</v>
      </c>
      <c r="E5250" s="10" t="s">
        <v>2342</v>
      </c>
      <c r="F5250" s="30" t="n">
        <v>43027</v>
      </c>
      <c r="G5250" s="30" t="n">
        <v>43037</v>
      </c>
      <c r="H5250" s="26" t="n">
        <f aca="false">G5250-F5250</f>
        <v>10</v>
      </c>
      <c r="I5250" s="10" t="n">
        <f aca="false">IF(E5250="Won",1,0)</f>
        <v>1</v>
      </c>
    </row>
    <row r="5251" customFormat="false" ht="15" hidden="false" customHeight="false" outlineLevel="0" collapsed="false">
      <c r="A5251" s="10" t="s">
        <v>7592</v>
      </c>
      <c r="B5251" s="10" t="s">
        <v>66</v>
      </c>
      <c r="C5251" s="10" t="s">
        <v>46</v>
      </c>
      <c r="D5251" s="10" t="s">
        <v>348</v>
      </c>
      <c r="E5251" s="10" t="s">
        <v>2342</v>
      </c>
      <c r="F5251" s="30" t="n">
        <v>43036</v>
      </c>
      <c r="G5251" s="30" t="n">
        <v>43037</v>
      </c>
      <c r="H5251" s="26" t="n">
        <f aca="false">G5251-F5251</f>
        <v>1</v>
      </c>
      <c r="I5251" s="10" t="n">
        <f aca="false">IF(E5251="Won",1,0)</f>
        <v>1</v>
      </c>
    </row>
    <row r="5252" customFormat="false" ht="15" hidden="false" customHeight="false" outlineLevel="0" collapsed="false">
      <c r="A5252" s="10" t="s">
        <v>7593</v>
      </c>
      <c r="B5252" s="10" t="s">
        <v>70</v>
      </c>
      <c r="C5252" s="10" t="s">
        <v>51</v>
      </c>
      <c r="D5252" s="10" t="s">
        <v>170</v>
      </c>
      <c r="E5252" s="10" t="s">
        <v>2345</v>
      </c>
      <c r="F5252" s="30" t="n">
        <v>43035</v>
      </c>
      <c r="G5252" s="30" t="n">
        <v>43037</v>
      </c>
      <c r="H5252" s="26" t="n">
        <f aca="false">G5252-F5252</f>
        <v>2</v>
      </c>
      <c r="I5252" s="10" t="n">
        <f aca="false">IF(E5252="Won",1,0)</f>
        <v>0</v>
      </c>
    </row>
    <row r="5253" customFormat="false" ht="15" hidden="false" customHeight="false" outlineLevel="0" collapsed="false">
      <c r="A5253" s="10" t="s">
        <v>7594</v>
      </c>
      <c r="B5253" s="10" t="s">
        <v>69</v>
      </c>
      <c r="C5253" s="10" t="s">
        <v>52</v>
      </c>
      <c r="D5253" s="10" t="s">
        <v>497</v>
      </c>
      <c r="E5253" s="10" t="s">
        <v>2345</v>
      </c>
      <c r="F5253" s="30" t="n">
        <v>43030</v>
      </c>
      <c r="G5253" s="30" t="n">
        <v>43037</v>
      </c>
      <c r="H5253" s="26" t="n">
        <f aca="false">G5253-F5253</f>
        <v>7</v>
      </c>
      <c r="I5253" s="10" t="n">
        <f aca="false">IF(E5253="Won",1,0)</f>
        <v>0</v>
      </c>
    </row>
    <row r="5254" customFormat="false" ht="15" hidden="false" customHeight="false" outlineLevel="0" collapsed="false">
      <c r="A5254" s="10" t="s">
        <v>7595</v>
      </c>
      <c r="B5254" s="10" t="s">
        <v>66</v>
      </c>
      <c r="C5254" s="10" t="s">
        <v>51</v>
      </c>
      <c r="D5254" s="10" t="s">
        <v>437</v>
      </c>
      <c r="E5254" s="10" t="s">
        <v>2342</v>
      </c>
      <c r="F5254" s="30" t="n">
        <v>43030</v>
      </c>
      <c r="G5254" s="30" t="n">
        <v>43037</v>
      </c>
      <c r="H5254" s="26" t="n">
        <f aca="false">G5254-F5254</f>
        <v>7</v>
      </c>
      <c r="I5254" s="10" t="n">
        <f aca="false">IF(E5254="Won",1,0)</f>
        <v>1</v>
      </c>
    </row>
    <row r="5255" customFormat="false" ht="15" hidden="false" customHeight="false" outlineLevel="0" collapsed="false">
      <c r="A5255" s="10" t="s">
        <v>7596</v>
      </c>
      <c r="B5255" s="10" t="s">
        <v>66</v>
      </c>
      <c r="C5255" s="10" t="s">
        <v>49</v>
      </c>
      <c r="D5255" s="10" t="s">
        <v>344</v>
      </c>
      <c r="E5255" s="10" t="s">
        <v>2342</v>
      </c>
      <c r="F5255" s="30" t="n">
        <v>43030</v>
      </c>
      <c r="G5255" s="30" t="n">
        <v>43037</v>
      </c>
      <c r="H5255" s="26" t="n">
        <f aca="false">G5255-F5255</f>
        <v>7</v>
      </c>
      <c r="I5255" s="10" t="n">
        <f aca="false">IF(E5255="Won",1,0)</f>
        <v>1</v>
      </c>
    </row>
    <row r="5256" customFormat="false" ht="15" hidden="false" customHeight="false" outlineLevel="0" collapsed="false">
      <c r="A5256" s="10" t="s">
        <v>7597</v>
      </c>
      <c r="B5256" s="10" t="s">
        <v>80</v>
      </c>
      <c r="C5256" s="10" t="s">
        <v>51</v>
      </c>
      <c r="D5256" s="10" t="s">
        <v>193</v>
      </c>
      <c r="E5256" s="10" t="s">
        <v>2342</v>
      </c>
      <c r="F5256" s="30" t="n">
        <v>43035</v>
      </c>
      <c r="G5256" s="30" t="n">
        <v>43037</v>
      </c>
      <c r="H5256" s="26" t="n">
        <f aca="false">G5256-F5256</f>
        <v>2</v>
      </c>
      <c r="I5256" s="10" t="n">
        <f aca="false">IF(E5256="Won",1,0)</f>
        <v>1</v>
      </c>
    </row>
    <row r="5257" customFormat="false" ht="15" hidden="false" customHeight="false" outlineLevel="0" collapsed="false">
      <c r="A5257" s="10" t="s">
        <v>7598</v>
      </c>
      <c r="B5257" s="10" t="s">
        <v>83</v>
      </c>
      <c r="C5257" s="10" t="s">
        <v>51</v>
      </c>
      <c r="D5257" s="10" t="s">
        <v>193</v>
      </c>
      <c r="E5257" s="10" t="s">
        <v>2345</v>
      </c>
      <c r="F5257" s="30" t="n">
        <v>43026</v>
      </c>
      <c r="G5257" s="30" t="n">
        <v>43037</v>
      </c>
      <c r="H5257" s="26" t="n">
        <f aca="false">G5257-F5257</f>
        <v>11</v>
      </c>
      <c r="I5257" s="10" t="n">
        <f aca="false">IF(E5257="Won",1,0)</f>
        <v>0</v>
      </c>
    </row>
    <row r="5258" customFormat="false" ht="15" hidden="false" customHeight="false" outlineLevel="0" collapsed="false">
      <c r="A5258" s="10" t="s">
        <v>7599</v>
      </c>
      <c r="B5258" s="10" t="s">
        <v>77</v>
      </c>
      <c r="C5258" s="10" t="s">
        <v>50</v>
      </c>
      <c r="D5258" s="10" t="s">
        <v>597</v>
      </c>
      <c r="E5258" s="10" t="s">
        <v>2342</v>
      </c>
      <c r="F5258" s="30" t="n">
        <v>43031</v>
      </c>
      <c r="G5258" s="30" t="n">
        <v>43037</v>
      </c>
      <c r="H5258" s="26" t="n">
        <f aca="false">G5258-F5258</f>
        <v>6</v>
      </c>
      <c r="I5258" s="10" t="n">
        <f aca="false">IF(E5258="Won",1,0)</f>
        <v>1</v>
      </c>
    </row>
    <row r="5259" customFormat="false" ht="15" hidden="false" customHeight="false" outlineLevel="0" collapsed="false">
      <c r="A5259" s="10" t="s">
        <v>7600</v>
      </c>
      <c r="B5259" s="10" t="s">
        <v>77</v>
      </c>
      <c r="C5259" s="10" t="s">
        <v>49</v>
      </c>
      <c r="D5259" s="10" t="s">
        <v>353</v>
      </c>
      <c r="E5259" s="10" t="s">
        <v>2345</v>
      </c>
      <c r="F5259" s="30" t="n">
        <v>43036</v>
      </c>
      <c r="G5259" s="30" t="n">
        <v>43037</v>
      </c>
      <c r="H5259" s="26" t="n">
        <f aca="false">G5259-F5259</f>
        <v>1</v>
      </c>
      <c r="I5259" s="10" t="n">
        <f aca="false">IF(E5259="Won",1,0)</f>
        <v>0</v>
      </c>
    </row>
    <row r="5260" customFormat="false" ht="15" hidden="false" customHeight="false" outlineLevel="0" collapsed="false">
      <c r="A5260" s="10" t="s">
        <v>7601</v>
      </c>
      <c r="B5260" s="10" t="s">
        <v>71</v>
      </c>
      <c r="C5260" s="10" t="s">
        <v>52</v>
      </c>
      <c r="D5260" s="10" t="s">
        <v>1948</v>
      </c>
      <c r="E5260" s="10" t="s">
        <v>2342</v>
      </c>
      <c r="F5260" s="30" t="n">
        <v>43036</v>
      </c>
      <c r="G5260" s="30" t="n">
        <v>43037</v>
      </c>
      <c r="H5260" s="26" t="n">
        <f aca="false">G5260-F5260</f>
        <v>1</v>
      </c>
      <c r="I5260" s="10" t="n">
        <f aca="false">IF(E5260="Won",1,0)</f>
        <v>1</v>
      </c>
    </row>
    <row r="5261" customFormat="false" ht="15" hidden="false" customHeight="false" outlineLevel="0" collapsed="false">
      <c r="A5261" s="10" t="s">
        <v>7602</v>
      </c>
      <c r="B5261" s="10" t="s">
        <v>97</v>
      </c>
      <c r="C5261" s="10" t="s">
        <v>47</v>
      </c>
      <c r="D5261" s="10" t="s">
        <v>424</v>
      </c>
      <c r="E5261" s="10" t="s">
        <v>2342</v>
      </c>
      <c r="F5261" s="30" t="n">
        <v>43028</v>
      </c>
      <c r="G5261" s="30" t="n">
        <v>43038</v>
      </c>
      <c r="H5261" s="26" t="n">
        <f aca="false">G5261-F5261</f>
        <v>10</v>
      </c>
      <c r="I5261" s="10" t="n">
        <f aca="false">IF(E5261="Won",1,0)</f>
        <v>1</v>
      </c>
    </row>
    <row r="5262" customFormat="false" ht="15" hidden="false" customHeight="false" outlineLevel="0" collapsed="false">
      <c r="A5262" s="10" t="s">
        <v>7603</v>
      </c>
      <c r="B5262" s="10" t="s">
        <v>77</v>
      </c>
      <c r="C5262" s="10" t="s">
        <v>48</v>
      </c>
      <c r="D5262" s="10" t="s">
        <v>961</v>
      </c>
      <c r="E5262" s="10" t="s">
        <v>2342</v>
      </c>
      <c r="F5262" s="30" t="n">
        <v>43037</v>
      </c>
      <c r="G5262" s="30" t="n">
        <v>43038</v>
      </c>
      <c r="H5262" s="26" t="n">
        <f aca="false">G5262-F5262</f>
        <v>1</v>
      </c>
      <c r="I5262" s="10" t="n">
        <f aca="false">IF(E5262="Won",1,0)</f>
        <v>1</v>
      </c>
    </row>
    <row r="5263" customFormat="false" ht="15" hidden="false" customHeight="false" outlineLevel="0" collapsed="false">
      <c r="A5263" s="10" t="s">
        <v>7604</v>
      </c>
      <c r="B5263" s="10" t="s">
        <v>76</v>
      </c>
      <c r="C5263" s="10" t="s">
        <v>49</v>
      </c>
      <c r="D5263" s="10" t="s">
        <v>193</v>
      </c>
      <c r="E5263" s="10" t="s">
        <v>2345</v>
      </c>
      <c r="F5263" s="30" t="n">
        <v>43032</v>
      </c>
      <c r="G5263" s="30" t="n">
        <v>43038</v>
      </c>
      <c r="H5263" s="26" t="n">
        <f aca="false">G5263-F5263</f>
        <v>6</v>
      </c>
      <c r="I5263" s="10" t="n">
        <f aca="false">IF(E5263="Won",1,0)</f>
        <v>0</v>
      </c>
    </row>
    <row r="5264" customFormat="false" ht="15" hidden="false" customHeight="false" outlineLevel="0" collapsed="false">
      <c r="A5264" s="10" t="s">
        <v>7605</v>
      </c>
      <c r="B5264" s="10" t="s">
        <v>83</v>
      </c>
      <c r="C5264" s="10" t="s">
        <v>51</v>
      </c>
      <c r="D5264" s="10" t="s">
        <v>353</v>
      </c>
      <c r="E5264" s="10" t="s">
        <v>2345</v>
      </c>
      <c r="F5264" s="30" t="n">
        <v>43034</v>
      </c>
      <c r="G5264" s="30" t="n">
        <v>43038</v>
      </c>
      <c r="H5264" s="26" t="n">
        <f aca="false">G5264-F5264</f>
        <v>4</v>
      </c>
      <c r="I5264" s="10" t="n">
        <f aca="false">IF(E5264="Won",1,0)</f>
        <v>0</v>
      </c>
    </row>
    <row r="5265" customFormat="false" ht="15" hidden="false" customHeight="false" outlineLevel="0" collapsed="false">
      <c r="A5265" s="10" t="s">
        <v>7606</v>
      </c>
      <c r="B5265" s="10" t="s">
        <v>77</v>
      </c>
      <c r="C5265" s="10" t="s">
        <v>48</v>
      </c>
      <c r="D5265" s="10" t="s">
        <v>291</v>
      </c>
      <c r="E5265" s="10" t="s">
        <v>2342</v>
      </c>
      <c r="F5265" s="30" t="n">
        <v>43030</v>
      </c>
      <c r="G5265" s="30" t="n">
        <v>43038</v>
      </c>
      <c r="H5265" s="26" t="n">
        <f aca="false">G5265-F5265</f>
        <v>8</v>
      </c>
      <c r="I5265" s="10" t="n">
        <f aca="false">IF(E5265="Won",1,0)</f>
        <v>1</v>
      </c>
    </row>
    <row r="5266" customFormat="false" ht="15" hidden="false" customHeight="false" outlineLevel="0" collapsed="false">
      <c r="A5266" s="10" t="s">
        <v>7607</v>
      </c>
      <c r="B5266" s="10" t="s">
        <v>71</v>
      </c>
      <c r="C5266" s="10" t="s">
        <v>50</v>
      </c>
      <c r="D5266" s="10" t="s">
        <v>483</v>
      </c>
      <c r="E5266" s="10" t="s">
        <v>2342</v>
      </c>
      <c r="F5266" s="30" t="n">
        <v>43027</v>
      </c>
      <c r="G5266" s="30" t="n">
        <v>43038</v>
      </c>
      <c r="H5266" s="26" t="n">
        <f aca="false">G5266-F5266</f>
        <v>11</v>
      </c>
      <c r="I5266" s="10" t="n">
        <f aca="false">IF(E5266="Won",1,0)</f>
        <v>1</v>
      </c>
    </row>
    <row r="5267" customFormat="false" ht="15" hidden="false" customHeight="false" outlineLevel="0" collapsed="false">
      <c r="A5267" s="10" t="s">
        <v>7608</v>
      </c>
      <c r="B5267" s="10" t="s">
        <v>88</v>
      </c>
      <c r="C5267" s="10" t="s">
        <v>51</v>
      </c>
      <c r="D5267" s="10" t="s">
        <v>350</v>
      </c>
      <c r="E5267" s="10" t="s">
        <v>2345</v>
      </c>
      <c r="F5267" s="30" t="n">
        <v>43029</v>
      </c>
      <c r="G5267" s="30" t="n">
        <v>43038</v>
      </c>
      <c r="H5267" s="26" t="n">
        <f aca="false">G5267-F5267</f>
        <v>9</v>
      </c>
      <c r="I5267" s="10" t="n">
        <f aca="false">IF(E5267="Won",1,0)</f>
        <v>0</v>
      </c>
    </row>
    <row r="5268" customFormat="false" ht="15" hidden="false" customHeight="false" outlineLevel="0" collapsed="false">
      <c r="A5268" s="10" t="s">
        <v>7609</v>
      </c>
      <c r="B5268" s="10" t="s">
        <v>66</v>
      </c>
      <c r="C5268" s="10" t="s">
        <v>47</v>
      </c>
      <c r="D5268" s="10" t="s">
        <v>227</v>
      </c>
      <c r="E5268" s="10" t="s">
        <v>2345</v>
      </c>
      <c r="F5268" s="30" t="n">
        <v>43031</v>
      </c>
      <c r="G5268" s="30" t="n">
        <v>43038</v>
      </c>
      <c r="H5268" s="26" t="n">
        <f aca="false">G5268-F5268</f>
        <v>7</v>
      </c>
      <c r="I5268" s="10" t="n">
        <f aca="false">IF(E5268="Won",1,0)</f>
        <v>0</v>
      </c>
    </row>
    <row r="5269" customFormat="false" ht="15" hidden="false" customHeight="false" outlineLevel="0" collapsed="false">
      <c r="A5269" s="10" t="s">
        <v>7610</v>
      </c>
      <c r="B5269" s="10" t="s">
        <v>81</v>
      </c>
      <c r="C5269" s="10" t="s">
        <v>52</v>
      </c>
      <c r="D5269" s="10" t="s">
        <v>422</v>
      </c>
      <c r="E5269" s="10" t="s">
        <v>2342</v>
      </c>
      <c r="F5269" s="30" t="n">
        <v>43026</v>
      </c>
      <c r="G5269" s="30" t="n">
        <v>43038</v>
      </c>
      <c r="H5269" s="26" t="n">
        <f aca="false">G5269-F5269</f>
        <v>12</v>
      </c>
      <c r="I5269" s="10" t="n">
        <f aca="false">IF(E5269="Won",1,0)</f>
        <v>1</v>
      </c>
    </row>
    <row r="5270" customFormat="false" ht="15" hidden="false" customHeight="false" outlineLevel="0" collapsed="false">
      <c r="A5270" s="10" t="s">
        <v>7611</v>
      </c>
      <c r="B5270" s="10" t="s">
        <v>77</v>
      </c>
      <c r="C5270" s="10" t="s">
        <v>48</v>
      </c>
      <c r="D5270" s="10" t="s">
        <v>697</v>
      </c>
      <c r="E5270" s="10" t="s">
        <v>2345</v>
      </c>
      <c r="F5270" s="30" t="n">
        <v>43034</v>
      </c>
      <c r="G5270" s="30" t="n">
        <v>43038</v>
      </c>
      <c r="H5270" s="26" t="n">
        <f aca="false">G5270-F5270</f>
        <v>4</v>
      </c>
      <c r="I5270" s="10" t="n">
        <f aca="false">IF(E5270="Won",1,0)</f>
        <v>0</v>
      </c>
    </row>
    <row r="5271" customFormat="false" ht="15" hidden="false" customHeight="false" outlineLevel="0" collapsed="false">
      <c r="A5271" s="10" t="s">
        <v>7612</v>
      </c>
      <c r="B5271" s="10" t="s">
        <v>71</v>
      </c>
      <c r="C5271" s="10" t="s">
        <v>52</v>
      </c>
      <c r="D5271" s="10" t="s">
        <v>279</v>
      </c>
      <c r="E5271" s="10" t="s">
        <v>2342</v>
      </c>
      <c r="F5271" s="30" t="n">
        <v>43028</v>
      </c>
      <c r="G5271" s="30" t="n">
        <v>43038</v>
      </c>
      <c r="H5271" s="26" t="n">
        <f aca="false">G5271-F5271</f>
        <v>10</v>
      </c>
      <c r="I5271" s="10" t="n">
        <f aca="false">IF(E5271="Won",1,0)</f>
        <v>1</v>
      </c>
    </row>
    <row r="5272" customFormat="false" ht="15" hidden="false" customHeight="false" outlineLevel="0" collapsed="false">
      <c r="A5272" s="10" t="s">
        <v>7613</v>
      </c>
      <c r="B5272" s="10" t="s">
        <v>96</v>
      </c>
      <c r="C5272" s="10" t="s">
        <v>51</v>
      </c>
      <c r="D5272" s="10" t="s">
        <v>199</v>
      </c>
      <c r="E5272" s="10" t="s">
        <v>2345</v>
      </c>
      <c r="F5272" s="30" t="n">
        <v>43029</v>
      </c>
      <c r="G5272" s="30" t="n">
        <v>43038</v>
      </c>
      <c r="H5272" s="26" t="n">
        <f aca="false">G5272-F5272</f>
        <v>9</v>
      </c>
      <c r="I5272" s="10" t="n">
        <f aca="false">IF(E5272="Won",1,0)</f>
        <v>0</v>
      </c>
    </row>
    <row r="5273" customFormat="false" ht="15" hidden="false" customHeight="false" outlineLevel="0" collapsed="false">
      <c r="A5273" s="10" t="s">
        <v>7614</v>
      </c>
      <c r="B5273" s="10" t="s">
        <v>81</v>
      </c>
      <c r="C5273" s="10" t="s">
        <v>47</v>
      </c>
      <c r="D5273" s="10" t="s">
        <v>193</v>
      </c>
      <c r="E5273" s="10" t="s">
        <v>2342</v>
      </c>
      <c r="F5273" s="30" t="n">
        <v>43031</v>
      </c>
      <c r="G5273" s="30" t="n">
        <v>43038</v>
      </c>
      <c r="H5273" s="26" t="n">
        <f aca="false">G5273-F5273</f>
        <v>7</v>
      </c>
      <c r="I5273" s="10" t="n">
        <f aca="false">IF(E5273="Won",1,0)</f>
        <v>1</v>
      </c>
    </row>
    <row r="5274" customFormat="false" ht="15" hidden="false" customHeight="false" outlineLevel="0" collapsed="false">
      <c r="A5274" s="10" t="s">
        <v>7615</v>
      </c>
      <c r="B5274" s="10" t="s">
        <v>79</v>
      </c>
      <c r="C5274" s="10" t="s">
        <v>52</v>
      </c>
      <c r="D5274" s="10" t="s">
        <v>311</v>
      </c>
      <c r="E5274" s="10" t="s">
        <v>2342</v>
      </c>
      <c r="F5274" s="30" t="n">
        <v>43028</v>
      </c>
      <c r="G5274" s="30" t="n">
        <v>43038</v>
      </c>
      <c r="H5274" s="26" t="n">
        <f aca="false">G5274-F5274</f>
        <v>10</v>
      </c>
      <c r="I5274" s="10" t="n">
        <f aca="false">IF(E5274="Won",1,0)</f>
        <v>1</v>
      </c>
    </row>
    <row r="5275" customFormat="false" ht="15" hidden="false" customHeight="false" outlineLevel="0" collapsed="false">
      <c r="A5275" s="10" t="s">
        <v>7616</v>
      </c>
      <c r="B5275" s="10" t="s">
        <v>79</v>
      </c>
      <c r="C5275" s="10" t="s">
        <v>52</v>
      </c>
      <c r="D5275" s="10" t="s">
        <v>179</v>
      </c>
      <c r="E5275" s="10" t="s">
        <v>2342</v>
      </c>
      <c r="F5275" s="30" t="n">
        <v>43029</v>
      </c>
      <c r="G5275" s="30" t="n">
        <v>43038</v>
      </c>
      <c r="H5275" s="26" t="n">
        <f aca="false">G5275-F5275</f>
        <v>9</v>
      </c>
      <c r="I5275" s="10" t="n">
        <f aca="false">IF(E5275="Won",1,0)</f>
        <v>1</v>
      </c>
    </row>
    <row r="5276" customFormat="false" ht="15" hidden="false" customHeight="false" outlineLevel="0" collapsed="false">
      <c r="A5276" s="10" t="s">
        <v>7617</v>
      </c>
      <c r="B5276" s="10" t="s">
        <v>80</v>
      </c>
      <c r="C5276" s="10" t="s">
        <v>50</v>
      </c>
      <c r="D5276" s="10" t="s">
        <v>353</v>
      </c>
      <c r="E5276" s="10" t="s">
        <v>2345</v>
      </c>
      <c r="F5276" s="30" t="n">
        <v>43030</v>
      </c>
      <c r="G5276" s="30" t="n">
        <v>43038</v>
      </c>
      <c r="H5276" s="26" t="n">
        <f aca="false">G5276-F5276</f>
        <v>8</v>
      </c>
      <c r="I5276" s="10" t="n">
        <f aca="false">IF(E5276="Won",1,0)</f>
        <v>0</v>
      </c>
    </row>
    <row r="5277" customFormat="false" ht="15" hidden="false" customHeight="false" outlineLevel="0" collapsed="false">
      <c r="A5277" s="10" t="s">
        <v>7618</v>
      </c>
      <c r="B5277" s="10" t="s">
        <v>93</v>
      </c>
      <c r="C5277" s="10" t="s">
        <v>49</v>
      </c>
      <c r="D5277" s="10" t="s">
        <v>348</v>
      </c>
      <c r="E5277" s="10" t="s">
        <v>2342</v>
      </c>
      <c r="F5277" s="30" t="n">
        <v>43030</v>
      </c>
      <c r="G5277" s="30" t="n">
        <v>43038</v>
      </c>
      <c r="H5277" s="26" t="n">
        <f aca="false">G5277-F5277</f>
        <v>8</v>
      </c>
      <c r="I5277" s="10" t="n">
        <f aca="false">IF(E5277="Won",1,0)</f>
        <v>1</v>
      </c>
    </row>
    <row r="5278" customFormat="false" ht="15" hidden="false" customHeight="false" outlineLevel="0" collapsed="false">
      <c r="A5278" s="10" t="s">
        <v>7619</v>
      </c>
      <c r="B5278" s="10" t="s">
        <v>77</v>
      </c>
      <c r="C5278" s="10" t="s">
        <v>50</v>
      </c>
      <c r="D5278" s="10" t="s">
        <v>512</v>
      </c>
      <c r="E5278" s="10" t="s">
        <v>2342</v>
      </c>
      <c r="F5278" s="30" t="n">
        <v>43031</v>
      </c>
      <c r="G5278" s="30" t="n">
        <v>43039</v>
      </c>
      <c r="H5278" s="26" t="n">
        <f aca="false">G5278-F5278</f>
        <v>8</v>
      </c>
      <c r="I5278" s="10" t="n">
        <f aca="false">IF(E5278="Won",1,0)</f>
        <v>1</v>
      </c>
    </row>
    <row r="5279" customFormat="false" ht="15" hidden="false" customHeight="false" outlineLevel="0" collapsed="false">
      <c r="A5279" s="10" t="s">
        <v>7620</v>
      </c>
      <c r="B5279" s="10" t="s">
        <v>68</v>
      </c>
      <c r="C5279" s="10" t="s">
        <v>50</v>
      </c>
      <c r="D5279" s="10" t="s">
        <v>313</v>
      </c>
      <c r="E5279" s="10" t="s">
        <v>2342</v>
      </c>
      <c r="F5279" s="30" t="n">
        <v>43030</v>
      </c>
      <c r="G5279" s="30" t="n">
        <v>43039</v>
      </c>
      <c r="H5279" s="26" t="n">
        <f aca="false">G5279-F5279</f>
        <v>9</v>
      </c>
      <c r="I5279" s="10" t="n">
        <f aca="false">IF(E5279="Won",1,0)</f>
        <v>1</v>
      </c>
    </row>
    <row r="5280" customFormat="false" ht="15" hidden="false" customHeight="false" outlineLevel="0" collapsed="false">
      <c r="A5280" s="10" t="s">
        <v>7621</v>
      </c>
      <c r="B5280" s="10" t="s">
        <v>81</v>
      </c>
      <c r="C5280" s="10" t="s">
        <v>48</v>
      </c>
      <c r="D5280" s="10" t="s">
        <v>321</v>
      </c>
      <c r="E5280" s="10" t="s">
        <v>2342</v>
      </c>
      <c r="F5280" s="30" t="n">
        <v>43034</v>
      </c>
      <c r="G5280" s="30" t="n">
        <v>43039</v>
      </c>
      <c r="H5280" s="26" t="n">
        <f aca="false">G5280-F5280</f>
        <v>5</v>
      </c>
      <c r="I5280" s="10" t="n">
        <f aca="false">IF(E5280="Won",1,0)</f>
        <v>1</v>
      </c>
    </row>
    <row r="5281" customFormat="false" ht="15" hidden="false" customHeight="false" outlineLevel="0" collapsed="false">
      <c r="A5281" s="10" t="s">
        <v>7622</v>
      </c>
      <c r="B5281" s="10" t="s">
        <v>76</v>
      </c>
      <c r="C5281" s="10" t="s">
        <v>50</v>
      </c>
      <c r="D5281" s="10" t="s">
        <v>524</v>
      </c>
      <c r="E5281" s="10" t="s">
        <v>2345</v>
      </c>
      <c r="F5281" s="30" t="n">
        <v>43027</v>
      </c>
      <c r="G5281" s="30" t="n">
        <v>43039</v>
      </c>
      <c r="H5281" s="26" t="n">
        <f aca="false">G5281-F5281</f>
        <v>12</v>
      </c>
      <c r="I5281" s="10" t="n">
        <f aca="false">IF(E5281="Won",1,0)</f>
        <v>0</v>
      </c>
    </row>
    <row r="5282" customFormat="false" ht="15" hidden="false" customHeight="false" outlineLevel="0" collapsed="false">
      <c r="A5282" s="10" t="s">
        <v>7623</v>
      </c>
      <c r="B5282" s="10" t="s">
        <v>63</v>
      </c>
      <c r="C5282" s="10" t="s">
        <v>49</v>
      </c>
      <c r="D5282" s="10" t="s">
        <v>674</v>
      </c>
      <c r="E5282" s="10" t="s">
        <v>2342</v>
      </c>
      <c r="F5282" s="30" t="n">
        <v>43029</v>
      </c>
      <c r="G5282" s="30" t="n">
        <v>43039</v>
      </c>
      <c r="H5282" s="26" t="n">
        <f aca="false">G5282-F5282</f>
        <v>10</v>
      </c>
      <c r="I5282" s="10" t="n">
        <f aca="false">IF(E5282="Won",1,0)</f>
        <v>1</v>
      </c>
    </row>
    <row r="5283" customFormat="false" ht="15" hidden="false" customHeight="false" outlineLevel="0" collapsed="false">
      <c r="A5283" s="10" t="s">
        <v>7624</v>
      </c>
      <c r="B5283" s="10" t="s">
        <v>97</v>
      </c>
      <c r="C5283" s="10" t="s">
        <v>50</v>
      </c>
      <c r="D5283" s="10" t="s">
        <v>233</v>
      </c>
      <c r="E5283" s="10" t="s">
        <v>2342</v>
      </c>
      <c r="F5283" s="30" t="n">
        <v>43031</v>
      </c>
      <c r="G5283" s="30" t="n">
        <v>43039</v>
      </c>
      <c r="H5283" s="26" t="n">
        <f aca="false">G5283-F5283</f>
        <v>8</v>
      </c>
      <c r="I5283" s="10" t="n">
        <f aca="false">IF(E5283="Won",1,0)</f>
        <v>1</v>
      </c>
    </row>
    <row r="5284" customFormat="false" ht="15" hidden="false" customHeight="false" outlineLevel="0" collapsed="false">
      <c r="A5284" s="10" t="s">
        <v>7625</v>
      </c>
      <c r="B5284" s="10" t="s">
        <v>97</v>
      </c>
      <c r="C5284" s="10" t="s">
        <v>48</v>
      </c>
      <c r="D5284" s="10" t="s">
        <v>199</v>
      </c>
      <c r="E5284" s="10" t="s">
        <v>2342</v>
      </c>
      <c r="F5284" s="30" t="n">
        <v>43037</v>
      </c>
      <c r="G5284" s="30" t="n">
        <v>43039</v>
      </c>
      <c r="H5284" s="26" t="n">
        <f aca="false">G5284-F5284</f>
        <v>2</v>
      </c>
      <c r="I5284" s="10" t="n">
        <f aca="false">IF(E5284="Won",1,0)</f>
        <v>1</v>
      </c>
    </row>
    <row r="5285" customFormat="false" ht="15" hidden="false" customHeight="false" outlineLevel="0" collapsed="false">
      <c r="A5285" s="10" t="s">
        <v>7626</v>
      </c>
      <c r="B5285" s="10" t="s">
        <v>96</v>
      </c>
      <c r="C5285" s="10" t="s">
        <v>47</v>
      </c>
      <c r="D5285" s="10" t="s">
        <v>233</v>
      </c>
      <c r="E5285" s="10" t="s">
        <v>2345</v>
      </c>
      <c r="F5285" s="30" t="n">
        <v>43034</v>
      </c>
      <c r="G5285" s="30" t="n">
        <v>43039</v>
      </c>
      <c r="H5285" s="26" t="n">
        <f aca="false">G5285-F5285</f>
        <v>5</v>
      </c>
      <c r="I5285" s="10" t="n">
        <f aca="false">IF(E5285="Won",1,0)</f>
        <v>0</v>
      </c>
    </row>
    <row r="5286" customFormat="false" ht="15" hidden="false" customHeight="false" outlineLevel="0" collapsed="false">
      <c r="A5286" s="10" t="s">
        <v>7627</v>
      </c>
      <c r="B5286" s="10" t="s">
        <v>77</v>
      </c>
      <c r="C5286" s="10" t="s">
        <v>48</v>
      </c>
      <c r="D5286" s="10" t="s">
        <v>422</v>
      </c>
      <c r="E5286" s="10" t="s">
        <v>2345</v>
      </c>
      <c r="F5286" s="30" t="n">
        <v>43029</v>
      </c>
      <c r="G5286" s="30" t="n">
        <v>43039</v>
      </c>
      <c r="H5286" s="26" t="n">
        <f aca="false">G5286-F5286</f>
        <v>10</v>
      </c>
      <c r="I5286" s="10" t="n">
        <f aca="false">IF(E5286="Won",1,0)</f>
        <v>0</v>
      </c>
    </row>
    <row r="5287" customFormat="false" ht="15" hidden="false" customHeight="false" outlineLevel="0" collapsed="false">
      <c r="A5287" s="10" t="s">
        <v>7628</v>
      </c>
      <c r="B5287" s="10" t="s">
        <v>86</v>
      </c>
      <c r="C5287" s="10" t="s">
        <v>48</v>
      </c>
      <c r="D5287" s="10" t="s">
        <v>215</v>
      </c>
      <c r="E5287" s="10" t="s">
        <v>2345</v>
      </c>
      <c r="F5287" s="30" t="n">
        <v>43027</v>
      </c>
      <c r="G5287" s="30" t="n">
        <v>43039</v>
      </c>
      <c r="H5287" s="26" t="n">
        <f aca="false">G5287-F5287</f>
        <v>12</v>
      </c>
      <c r="I5287" s="10" t="n">
        <f aca="false">IF(E5287="Won",1,0)</f>
        <v>0</v>
      </c>
    </row>
    <row r="5288" customFormat="false" ht="15" hidden="false" customHeight="false" outlineLevel="0" collapsed="false">
      <c r="A5288" s="10" t="s">
        <v>7629</v>
      </c>
      <c r="B5288" s="10" t="s">
        <v>62</v>
      </c>
      <c r="C5288" s="10" t="s">
        <v>51</v>
      </c>
      <c r="D5288" s="10" t="s">
        <v>674</v>
      </c>
      <c r="E5288" s="10" t="s">
        <v>2345</v>
      </c>
      <c r="F5288" s="30" t="n">
        <v>43034</v>
      </c>
      <c r="G5288" s="30" t="n">
        <v>43039</v>
      </c>
      <c r="H5288" s="26" t="n">
        <f aca="false">G5288-F5288</f>
        <v>5</v>
      </c>
      <c r="I5288" s="10" t="n">
        <f aca="false">IF(E5288="Won",1,0)</f>
        <v>0</v>
      </c>
    </row>
    <row r="5289" customFormat="false" ht="15" hidden="false" customHeight="false" outlineLevel="0" collapsed="false">
      <c r="A5289" s="10" t="s">
        <v>7630</v>
      </c>
      <c r="B5289" s="10" t="s">
        <v>80</v>
      </c>
      <c r="C5289" s="10" t="s">
        <v>50</v>
      </c>
      <c r="D5289" s="10" t="s">
        <v>267</v>
      </c>
      <c r="E5289" s="10" t="s">
        <v>2342</v>
      </c>
      <c r="F5289" s="30" t="n">
        <v>43038</v>
      </c>
      <c r="G5289" s="30" t="n">
        <v>43039</v>
      </c>
      <c r="H5289" s="26" t="n">
        <f aca="false">G5289-F5289</f>
        <v>1</v>
      </c>
      <c r="I5289" s="10" t="n">
        <f aca="false">IF(E5289="Won",1,0)</f>
        <v>1</v>
      </c>
    </row>
    <row r="5290" customFormat="false" ht="15" hidden="false" customHeight="false" outlineLevel="0" collapsed="false">
      <c r="A5290" s="10" t="s">
        <v>7631</v>
      </c>
      <c r="B5290" s="10" t="s">
        <v>90</v>
      </c>
      <c r="C5290" s="10" t="s">
        <v>47</v>
      </c>
      <c r="D5290" s="10" t="s">
        <v>674</v>
      </c>
      <c r="E5290" s="10" t="s">
        <v>2345</v>
      </c>
      <c r="F5290" s="30" t="n">
        <v>43038</v>
      </c>
      <c r="G5290" s="30" t="n">
        <v>43039</v>
      </c>
      <c r="H5290" s="26" t="n">
        <f aca="false">G5290-F5290</f>
        <v>1</v>
      </c>
      <c r="I5290" s="10" t="n">
        <f aca="false">IF(E5290="Won",1,0)</f>
        <v>0</v>
      </c>
    </row>
    <row r="5291" customFormat="false" ht="15" hidden="false" customHeight="false" outlineLevel="0" collapsed="false">
      <c r="A5291" s="10" t="s">
        <v>7632</v>
      </c>
      <c r="B5291" s="10" t="s">
        <v>80</v>
      </c>
      <c r="C5291" s="10" t="s">
        <v>52</v>
      </c>
      <c r="D5291" s="10" t="s">
        <v>422</v>
      </c>
      <c r="E5291" s="10" t="s">
        <v>2342</v>
      </c>
      <c r="F5291" s="30" t="n">
        <v>43037</v>
      </c>
      <c r="G5291" s="30" t="n">
        <v>43039</v>
      </c>
      <c r="H5291" s="26" t="n">
        <f aca="false">G5291-F5291</f>
        <v>2</v>
      </c>
      <c r="I5291" s="10" t="n">
        <f aca="false">IF(E5291="Won",1,0)</f>
        <v>1</v>
      </c>
    </row>
    <row r="5292" customFormat="false" ht="15" hidden="false" customHeight="false" outlineLevel="0" collapsed="false">
      <c r="A5292" s="10" t="s">
        <v>7633</v>
      </c>
      <c r="B5292" s="10" t="s">
        <v>74</v>
      </c>
      <c r="C5292" s="10" t="s">
        <v>50</v>
      </c>
      <c r="D5292" s="10" t="s">
        <v>524</v>
      </c>
      <c r="E5292" s="10" t="s">
        <v>2342</v>
      </c>
      <c r="F5292" s="30" t="n">
        <v>43032</v>
      </c>
      <c r="G5292" s="30" t="n">
        <v>43039</v>
      </c>
      <c r="H5292" s="26" t="n">
        <f aca="false">G5292-F5292</f>
        <v>7</v>
      </c>
      <c r="I5292" s="10" t="n">
        <f aca="false">IF(E5292="Won",1,0)</f>
        <v>1</v>
      </c>
    </row>
    <row r="5293" customFormat="false" ht="15" hidden="false" customHeight="false" outlineLevel="0" collapsed="false">
      <c r="A5293" s="10" t="s">
        <v>7634</v>
      </c>
      <c r="B5293" s="10" t="s">
        <v>74</v>
      </c>
      <c r="C5293" s="10" t="s">
        <v>52</v>
      </c>
      <c r="D5293" s="10" t="s">
        <v>869</v>
      </c>
      <c r="E5293" s="10" t="s">
        <v>2345</v>
      </c>
      <c r="F5293" s="30" t="n">
        <v>43038</v>
      </c>
      <c r="G5293" s="30" t="n">
        <v>43039</v>
      </c>
      <c r="H5293" s="26" t="n">
        <f aca="false">G5293-F5293</f>
        <v>1</v>
      </c>
      <c r="I5293" s="10" t="n">
        <f aca="false">IF(E5293="Won",1,0)</f>
        <v>0</v>
      </c>
    </row>
    <row r="5294" customFormat="false" ht="15" hidden="false" customHeight="false" outlineLevel="0" collapsed="false">
      <c r="A5294" s="10" t="s">
        <v>7635</v>
      </c>
      <c r="B5294" s="10" t="s">
        <v>87</v>
      </c>
      <c r="C5294" s="10" t="s">
        <v>48</v>
      </c>
      <c r="D5294" s="10" t="s">
        <v>637</v>
      </c>
      <c r="E5294" s="10" t="s">
        <v>2342</v>
      </c>
      <c r="F5294" s="30" t="n">
        <v>43023</v>
      </c>
      <c r="G5294" s="30" t="n">
        <v>43040</v>
      </c>
      <c r="H5294" s="26" t="n">
        <f aca="false">G5294-F5294</f>
        <v>17</v>
      </c>
      <c r="I5294" s="10" t="n">
        <f aca="false">IF(E5294="Won",1,0)</f>
        <v>1</v>
      </c>
    </row>
    <row r="5295" customFormat="false" ht="15" hidden="false" customHeight="false" outlineLevel="0" collapsed="false">
      <c r="A5295" s="10" t="s">
        <v>7636</v>
      </c>
      <c r="B5295" s="10" t="s">
        <v>68</v>
      </c>
      <c r="C5295" s="10" t="s">
        <v>51</v>
      </c>
      <c r="D5295" s="10" t="s">
        <v>168</v>
      </c>
      <c r="E5295" s="10" t="s">
        <v>2342</v>
      </c>
      <c r="F5295" s="30" t="n">
        <v>43020</v>
      </c>
      <c r="G5295" s="30" t="n">
        <v>43040</v>
      </c>
      <c r="H5295" s="26" t="n">
        <f aca="false">G5295-F5295</f>
        <v>20</v>
      </c>
      <c r="I5295" s="10" t="n">
        <f aca="false">IF(E5295="Won",1,0)</f>
        <v>1</v>
      </c>
    </row>
    <row r="5296" customFormat="false" ht="15" hidden="false" customHeight="false" outlineLevel="0" collapsed="false">
      <c r="A5296" s="10" t="s">
        <v>7637</v>
      </c>
      <c r="B5296" s="10" t="s">
        <v>70</v>
      </c>
      <c r="C5296" s="10" t="s">
        <v>52</v>
      </c>
      <c r="D5296" s="10" t="s">
        <v>199</v>
      </c>
      <c r="E5296" s="10" t="s">
        <v>2345</v>
      </c>
      <c r="F5296" s="30" t="n">
        <v>43022</v>
      </c>
      <c r="G5296" s="30" t="n">
        <v>43040</v>
      </c>
      <c r="H5296" s="26" t="n">
        <f aca="false">G5296-F5296</f>
        <v>18</v>
      </c>
      <c r="I5296" s="10" t="n">
        <f aca="false">IF(E5296="Won",1,0)</f>
        <v>0</v>
      </c>
    </row>
    <row r="5297" customFormat="false" ht="15" hidden="false" customHeight="false" outlineLevel="0" collapsed="false">
      <c r="A5297" s="10" t="s">
        <v>7638</v>
      </c>
      <c r="B5297" s="10" t="s">
        <v>76</v>
      </c>
      <c r="C5297" s="10" t="s">
        <v>51</v>
      </c>
      <c r="D5297" s="10" t="s">
        <v>483</v>
      </c>
      <c r="E5297" s="10" t="s">
        <v>2342</v>
      </c>
      <c r="F5297" s="30" t="n">
        <v>42950</v>
      </c>
      <c r="G5297" s="30" t="n">
        <v>43040</v>
      </c>
      <c r="H5297" s="26" t="n">
        <f aca="false">G5297-F5297</f>
        <v>90</v>
      </c>
      <c r="I5297" s="10" t="n">
        <f aca="false">IF(E5297="Won",1,0)</f>
        <v>1</v>
      </c>
    </row>
    <row r="5298" customFormat="false" ht="15" hidden="false" customHeight="false" outlineLevel="0" collapsed="false">
      <c r="A5298" s="10" t="s">
        <v>7639</v>
      </c>
      <c r="B5298" s="10" t="s">
        <v>84</v>
      </c>
      <c r="C5298" s="10" t="s">
        <v>47</v>
      </c>
      <c r="D5298" s="10" t="s">
        <v>274</v>
      </c>
      <c r="E5298" s="10" t="s">
        <v>2345</v>
      </c>
      <c r="F5298" s="30" t="n">
        <v>43012</v>
      </c>
      <c r="G5298" s="30" t="n">
        <v>43040</v>
      </c>
      <c r="H5298" s="26" t="n">
        <f aca="false">G5298-F5298</f>
        <v>28</v>
      </c>
      <c r="I5298" s="10" t="n">
        <f aca="false">IF(E5298="Won",1,0)</f>
        <v>0</v>
      </c>
    </row>
    <row r="5299" customFormat="false" ht="15" hidden="false" customHeight="false" outlineLevel="0" collapsed="false">
      <c r="A5299" s="10" t="s">
        <v>7640</v>
      </c>
      <c r="B5299" s="10" t="s">
        <v>87</v>
      </c>
      <c r="C5299" s="10" t="s">
        <v>51</v>
      </c>
      <c r="D5299" s="10" t="s">
        <v>532</v>
      </c>
      <c r="E5299" s="10" t="s">
        <v>2342</v>
      </c>
      <c r="F5299" s="30" t="n">
        <v>42949</v>
      </c>
      <c r="G5299" s="30" t="n">
        <v>43040</v>
      </c>
      <c r="H5299" s="26" t="n">
        <f aca="false">G5299-F5299</f>
        <v>91</v>
      </c>
      <c r="I5299" s="10" t="n">
        <f aca="false">IF(E5299="Won",1,0)</f>
        <v>1</v>
      </c>
    </row>
    <row r="5300" customFormat="false" ht="15" hidden="false" customHeight="false" outlineLevel="0" collapsed="false">
      <c r="A5300" s="10" t="s">
        <v>7641</v>
      </c>
      <c r="B5300" s="10" t="s">
        <v>86</v>
      </c>
      <c r="C5300" s="10" t="s">
        <v>50</v>
      </c>
      <c r="D5300" s="10" t="s">
        <v>1397</v>
      </c>
      <c r="E5300" s="10" t="s">
        <v>2342</v>
      </c>
      <c r="F5300" s="30" t="n">
        <v>43031</v>
      </c>
      <c r="G5300" s="30" t="n">
        <v>43040</v>
      </c>
      <c r="H5300" s="26" t="n">
        <f aca="false">G5300-F5300</f>
        <v>9</v>
      </c>
      <c r="I5300" s="10" t="n">
        <f aca="false">IF(E5300="Won",1,0)</f>
        <v>1</v>
      </c>
    </row>
    <row r="5301" customFormat="false" ht="15" hidden="false" customHeight="false" outlineLevel="0" collapsed="false">
      <c r="A5301" s="10" t="s">
        <v>7642</v>
      </c>
      <c r="B5301" s="10" t="s">
        <v>79</v>
      </c>
      <c r="C5301" s="10" t="s">
        <v>48</v>
      </c>
      <c r="D5301" s="10" t="s">
        <v>1948</v>
      </c>
      <c r="E5301" s="10" t="s">
        <v>2345</v>
      </c>
      <c r="F5301" s="30" t="n">
        <v>42962</v>
      </c>
      <c r="G5301" s="30" t="n">
        <v>43040</v>
      </c>
      <c r="H5301" s="26" t="n">
        <f aca="false">G5301-F5301</f>
        <v>78</v>
      </c>
      <c r="I5301" s="10" t="n">
        <f aca="false">IF(E5301="Won",1,0)</f>
        <v>0</v>
      </c>
    </row>
    <row r="5302" customFormat="false" ht="15" hidden="false" customHeight="false" outlineLevel="0" collapsed="false">
      <c r="A5302" s="10" t="s">
        <v>7643</v>
      </c>
      <c r="B5302" s="10" t="s">
        <v>79</v>
      </c>
      <c r="C5302" s="10" t="s">
        <v>48</v>
      </c>
      <c r="D5302" s="10" t="s">
        <v>961</v>
      </c>
      <c r="E5302" s="10" t="s">
        <v>2345</v>
      </c>
      <c r="F5302" s="30" t="n">
        <v>42976</v>
      </c>
      <c r="G5302" s="30" t="n">
        <v>43040</v>
      </c>
      <c r="H5302" s="26" t="n">
        <f aca="false">G5302-F5302</f>
        <v>64</v>
      </c>
      <c r="I5302" s="10" t="n">
        <f aca="false">IF(E5302="Won",1,0)</f>
        <v>0</v>
      </c>
    </row>
    <row r="5303" customFormat="false" ht="15" hidden="false" customHeight="false" outlineLevel="0" collapsed="false">
      <c r="A5303" s="10" t="s">
        <v>7644</v>
      </c>
      <c r="B5303" s="10" t="s">
        <v>90</v>
      </c>
      <c r="C5303" s="10" t="s">
        <v>51</v>
      </c>
      <c r="D5303" s="10" t="s">
        <v>210</v>
      </c>
      <c r="E5303" s="10" t="s">
        <v>2342</v>
      </c>
      <c r="F5303" s="30" t="n">
        <v>43039</v>
      </c>
      <c r="G5303" s="30" t="n">
        <v>43040</v>
      </c>
      <c r="H5303" s="26" t="n">
        <f aca="false">G5303-F5303</f>
        <v>1</v>
      </c>
      <c r="I5303" s="10" t="n">
        <f aca="false">IF(E5303="Won",1,0)</f>
        <v>1</v>
      </c>
    </row>
    <row r="5304" customFormat="false" ht="15" hidden="false" customHeight="false" outlineLevel="0" collapsed="false">
      <c r="A5304" s="10" t="s">
        <v>7645</v>
      </c>
      <c r="B5304" s="10" t="s">
        <v>88</v>
      </c>
      <c r="C5304" s="10" t="s">
        <v>52</v>
      </c>
      <c r="D5304" s="10" t="s">
        <v>254</v>
      </c>
      <c r="E5304" s="10" t="s">
        <v>2345</v>
      </c>
      <c r="F5304" s="30" t="n">
        <v>43022</v>
      </c>
      <c r="G5304" s="30" t="n">
        <v>43040</v>
      </c>
      <c r="H5304" s="26" t="n">
        <f aca="false">G5304-F5304</f>
        <v>18</v>
      </c>
      <c r="I5304" s="10" t="n">
        <f aca="false">IF(E5304="Won",1,0)</f>
        <v>0</v>
      </c>
    </row>
    <row r="5305" customFormat="false" ht="15" hidden="false" customHeight="false" outlineLevel="0" collapsed="false">
      <c r="A5305" s="10" t="s">
        <v>7646</v>
      </c>
      <c r="B5305" s="10" t="s">
        <v>93</v>
      </c>
      <c r="C5305" s="10" t="s">
        <v>48</v>
      </c>
      <c r="D5305" s="10" t="s">
        <v>348</v>
      </c>
      <c r="E5305" s="10" t="s">
        <v>2342</v>
      </c>
      <c r="F5305" s="30" t="n">
        <v>43030</v>
      </c>
      <c r="G5305" s="30" t="n">
        <v>43040</v>
      </c>
      <c r="H5305" s="26" t="n">
        <f aca="false">G5305-F5305</f>
        <v>10</v>
      </c>
      <c r="I5305" s="10" t="n">
        <f aca="false">IF(E5305="Won",1,0)</f>
        <v>1</v>
      </c>
    </row>
    <row r="5306" customFormat="false" ht="15" hidden="false" customHeight="false" outlineLevel="0" collapsed="false">
      <c r="A5306" s="10" t="s">
        <v>7647</v>
      </c>
      <c r="B5306" s="10" t="s">
        <v>87</v>
      </c>
      <c r="C5306" s="10" t="s">
        <v>47</v>
      </c>
      <c r="D5306" s="10" t="s">
        <v>210</v>
      </c>
      <c r="E5306" s="10" t="s">
        <v>2342</v>
      </c>
      <c r="F5306" s="30" t="n">
        <v>42982</v>
      </c>
      <c r="G5306" s="30" t="n">
        <v>43040</v>
      </c>
      <c r="H5306" s="26" t="n">
        <f aca="false">G5306-F5306</f>
        <v>58</v>
      </c>
      <c r="I5306" s="10" t="n">
        <f aca="false">IF(E5306="Won",1,0)</f>
        <v>1</v>
      </c>
    </row>
    <row r="5307" customFormat="false" ht="15" hidden="false" customHeight="false" outlineLevel="0" collapsed="false">
      <c r="A5307" s="10" t="s">
        <v>7648</v>
      </c>
      <c r="B5307" s="10" t="s">
        <v>73</v>
      </c>
      <c r="C5307" s="10" t="s">
        <v>47</v>
      </c>
      <c r="D5307" s="10" t="s">
        <v>410</v>
      </c>
      <c r="E5307" s="10" t="s">
        <v>2345</v>
      </c>
      <c r="F5307" s="30" t="n">
        <v>42955</v>
      </c>
      <c r="G5307" s="30" t="n">
        <v>43040</v>
      </c>
      <c r="H5307" s="26" t="n">
        <f aca="false">G5307-F5307</f>
        <v>85</v>
      </c>
      <c r="I5307" s="10" t="n">
        <f aca="false">IF(E5307="Won",1,0)</f>
        <v>0</v>
      </c>
    </row>
    <row r="5308" customFormat="false" ht="15" hidden="false" customHeight="false" outlineLevel="0" collapsed="false">
      <c r="A5308" s="10" t="s">
        <v>7649</v>
      </c>
      <c r="B5308" s="10" t="s">
        <v>83</v>
      </c>
      <c r="C5308" s="10" t="s">
        <v>52</v>
      </c>
      <c r="D5308" s="10" t="s">
        <v>1251</v>
      </c>
      <c r="E5308" s="10" t="s">
        <v>2345</v>
      </c>
      <c r="F5308" s="30" t="n">
        <v>43029</v>
      </c>
      <c r="G5308" s="30" t="n">
        <v>43040</v>
      </c>
      <c r="H5308" s="26" t="n">
        <f aca="false">G5308-F5308</f>
        <v>11</v>
      </c>
      <c r="I5308" s="10" t="n">
        <f aca="false">IF(E5308="Won",1,0)</f>
        <v>0</v>
      </c>
    </row>
    <row r="5309" customFormat="false" ht="15" hidden="false" customHeight="false" outlineLevel="0" collapsed="false">
      <c r="A5309" s="10" t="s">
        <v>7650</v>
      </c>
      <c r="B5309" s="10" t="s">
        <v>77</v>
      </c>
      <c r="C5309" s="10" t="s">
        <v>48</v>
      </c>
      <c r="D5309" s="10" t="s">
        <v>524</v>
      </c>
      <c r="E5309" s="10" t="s">
        <v>2345</v>
      </c>
      <c r="F5309" s="30" t="n">
        <v>42959</v>
      </c>
      <c r="G5309" s="30" t="n">
        <v>43040</v>
      </c>
      <c r="H5309" s="26" t="n">
        <f aca="false">G5309-F5309</f>
        <v>81</v>
      </c>
      <c r="I5309" s="10" t="n">
        <f aca="false">IF(E5309="Won",1,0)</f>
        <v>0</v>
      </c>
    </row>
    <row r="5310" customFormat="false" ht="15" hidden="false" customHeight="false" outlineLevel="0" collapsed="false">
      <c r="A5310" s="10" t="s">
        <v>7651</v>
      </c>
      <c r="B5310" s="10" t="s">
        <v>75</v>
      </c>
      <c r="C5310" s="10" t="s">
        <v>51</v>
      </c>
      <c r="D5310" s="10" t="s">
        <v>210</v>
      </c>
      <c r="E5310" s="10" t="s">
        <v>2345</v>
      </c>
      <c r="F5310" s="30" t="n">
        <v>42916</v>
      </c>
      <c r="G5310" s="30" t="n">
        <v>43040</v>
      </c>
      <c r="H5310" s="26" t="n">
        <f aca="false">G5310-F5310</f>
        <v>124</v>
      </c>
      <c r="I5310" s="10" t="n">
        <f aca="false">IF(E5310="Won",1,0)</f>
        <v>0</v>
      </c>
    </row>
    <row r="5311" customFormat="false" ht="15" hidden="false" customHeight="false" outlineLevel="0" collapsed="false">
      <c r="A5311" s="10" t="s">
        <v>7652</v>
      </c>
      <c r="B5311" s="10" t="s">
        <v>60</v>
      </c>
      <c r="C5311" s="10" t="s">
        <v>47</v>
      </c>
      <c r="D5311" s="10" t="s">
        <v>616</v>
      </c>
      <c r="E5311" s="10" t="s">
        <v>2345</v>
      </c>
      <c r="F5311" s="30" t="n">
        <v>42988</v>
      </c>
      <c r="G5311" s="30" t="n">
        <v>43040</v>
      </c>
      <c r="H5311" s="26" t="n">
        <f aca="false">G5311-F5311</f>
        <v>52</v>
      </c>
      <c r="I5311" s="10" t="n">
        <f aca="false">IF(E5311="Won",1,0)</f>
        <v>0</v>
      </c>
    </row>
    <row r="5312" customFormat="false" ht="15" hidden="false" customHeight="false" outlineLevel="0" collapsed="false">
      <c r="A5312" s="10" t="s">
        <v>7653</v>
      </c>
      <c r="B5312" s="10" t="s">
        <v>95</v>
      </c>
      <c r="C5312" s="10" t="s">
        <v>48</v>
      </c>
      <c r="D5312" s="10" t="s">
        <v>396</v>
      </c>
      <c r="E5312" s="10" t="s">
        <v>2342</v>
      </c>
      <c r="F5312" s="30" t="n">
        <v>42992</v>
      </c>
      <c r="G5312" s="30" t="n">
        <v>43040</v>
      </c>
      <c r="H5312" s="26" t="n">
        <f aca="false">G5312-F5312</f>
        <v>48</v>
      </c>
      <c r="I5312" s="10" t="n">
        <f aca="false">IF(E5312="Won",1,0)</f>
        <v>1</v>
      </c>
    </row>
    <row r="5313" customFormat="false" ht="15" hidden="false" customHeight="false" outlineLevel="0" collapsed="false">
      <c r="A5313" s="10" t="s">
        <v>7654</v>
      </c>
      <c r="B5313" s="10" t="s">
        <v>97</v>
      </c>
      <c r="C5313" s="10" t="s">
        <v>51</v>
      </c>
      <c r="D5313" s="10" t="s">
        <v>497</v>
      </c>
      <c r="E5313" s="10" t="s">
        <v>2345</v>
      </c>
      <c r="F5313" s="30" t="n">
        <v>42981</v>
      </c>
      <c r="G5313" s="30" t="n">
        <v>43040</v>
      </c>
      <c r="H5313" s="26" t="n">
        <f aca="false">G5313-F5313</f>
        <v>59</v>
      </c>
      <c r="I5313" s="10" t="n">
        <f aca="false">IF(E5313="Won",1,0)</f>
        <v>0</v>
      </c>
    </row>
    <row r="5314" customFormat="false" ht="15" hidden="false" customHeight="false" outlineLevel="0" collapsed="false">
      <c r="A5314" s="10" t="s">
        <v>7655</v>
      </c>
      <c r="B5314" s="10" t="s">
        <v>87</v>
      </c>
      <c r="C5314" s="10" t="s">
        <v>51</v>
      </c>
      <c r="D5314" s="10" t="s">
        <v>674</v>
      </c>
      <c r="E5314" s="10" t="s">
        <v>2345</v>
      </c>
      <c r="F5314" s="30" t="n">
        <v>42970</v>
      </c>
      <c r="G5314" s="30" t="n">
        <v>43040</v>
      </c>
      <c r="H5314" s="26" t="n">
        <f aca="false">G5314-F5314</f>
        <v>70</v>
      </c>
      <c r="I5314" s="10" t="n">
        <f aca="false">IF(E5314="Won",1,0)</f>
        <v>0</v>
      </c>
    </row>
    <row r="5315" customFormat="false" ht="15" hidden="false" customHeight="false" outlineLevel="0" collapsed="false">
      <c r="A5315" s="10" t="s">
        <v>7656</v>
      </c>
      <c r="B5315" s="10" t="s">
        <v>93</v>
      </c>
      <c r="C5315" s="10" t="s">
        <v>48</v>
      </c>
      <c r="D5315" s="10" t="s">
        <v>233</v>
      </c>
      <c r="E5315" s="10" t="s">
        <v>2345</v>
      </c>
      <c r="F5315" s="30" t="n">
        <v>42933</v>
      </c>
      <c r="G5315" s="30" t="n">
        <v>43040</v>
      </c>
      <c r="H5315" s="26" t="n">
        <f aca="false">G5315-F5315</f>
        <v>107</v>
      </c>
      <c r="I5315" s="10" t="n">
        <f aca="false">IF(E5315="Won",1,0)</f>
        <v>0</v>
      </c>
    </row>
    <row r="5316" customFormat="false" ht="15" hidden="false" customHeight="false" outlineLevel="0" collapsed="false">
      <c r="A5316" s="10" t="s">
        <v>7657</v>
      </c>
      <c r="B5316" s="10" t="s">
        <v>60</v>
      </c>
      <c r="C5316" s="10" t="s">
        <v>49</v>
      </c>
      <c r="D5316" s="10" t="s">
        <v>215</v>
      </c>
      <c r="E5316" s="10" t="s">
        <v>2342</v>
      </c>
      <c r="F5316" s="30" t="n">
        <v>43027</v>
      </c>
      <c r="G5316" s="30" t="n">
        <v>43040</v>
      </c>
      <c r="H5316" s="26" t="n">
        <f aca="false">G5316-F5316</f>
        <v>13</v>
      </c>
      <c r="I5316" s="10" t="n">
        <f aca="false">IF(E5316="Won",1,0)</f>
        <v>1</v>
      </c>
    </row>
    <row r="5317" customFormat="false" ht="15" hidden="false" customHeight="false" outlineLevel="0" collapsed="false">
      <c r="A5317" s="10" t="s">
        <v>7658</v>
      </c>
      <c r="B5317" s="10" t="s">
        <v>76</v>
      </c>
      <c r="C5317" s="10" t="s">
        <v>52</v>
      </c>
      <c r="D5317" s="10" t="s">
        <v>291</v>
      </c>
      <c r="E5317" s="10" t="s">
        <v>2342</v>
      </c>
      <c r="F5317" s="30" t="n">
        <v>42944</v>
      </c>
      <c r="G5317" s="30" t="n">
        <v>43040</v>
      </c>
      <c r="H5317" s="26" t="n">
        <f aca="false">G5317-F5317</f>
        <v>96</v>
      </c>
      <c r="I5317" s="10" t="n">
        <f aca="false">IF(E5317="Won",1,0)</f>
        <v>1</v>
      </c>
    </row>
    <row r="5318" customFormat="false" ht="15" hidden="false" customHeight="false" outlineLevel="0" collapsed="false">
      <c r="A5318" s="10" t="s">
        <v>7659</v>
      </c>
      <c r="B5318" s="10" t="s">
        <v>80</v>
      </c>
      <c r="C5318" s="10" t="s">
        <v>47</v>
      </c>
      <c r="D5318" s="10" t="s">
        <v>483</v>
      </c>
      <c r="E5318" s="10" t="s">
        <v>2345</v>
      </c>
      <c r="F5318" s="30" t="n">
        <v>43027</v>
      </c>
      <c r="G5318" s="30" t="n">
        <v>43040</v>
      </c>
      <c r="H5318" s="26" t="n">
        <f aca="false">G5318-F5318</f>
        <v>13</v>
      </c>
      <c r="I5318" s="10" t="n">
        <f aca="false">IF(E5318="Won",1,0)</f>
        <v>0</v>
      </c>
    </row>
    <row r="5319" customFormat="false" ht="15" hidden="false" customHeight="false" outlineLevel="0" collapsed="false">
      <c r="A5319" s="10" t="s">
        <v>7660</v>
      </c>
      <c r="B5319" s="10" t="s">
        <v>88</v>
      </c>
      <c r="C5319" s="10" t="s">
        <v>48</v>
      </c>
      <c r="D5319" s="10" t="s">
        <v>218</v>
      </c>
      <c r="E5319" s="10" t="s">
        <v>2345</v>
      </c>
      <c r="F5319" s="30" t="n">
        <v>42969</v>
      </c>
      <c r="G5319" s="30" t="n">
        <v>43040</v>
      </c>
      <c r="H5319" s="26" t="n">
        <f aca="false">G5319-F5319</f>
        <v>71</v>
      </c>
      <c r="I5319" s="10" t="n">
        <f aca="false">IF(E5319="Won",1,0)</f>
        <v>0</v>
      </c>
    </row>
    <row r="5320" customFormat="false" ht="15" hidden="false" customHeight="false" outlineLevel="0" collapsed="false">
      <c r="A5320" s="10" t="s">
        <v>7661</v>
      </c>
      <c r="B5320" s="10" t="s">
        <v>68</v>
      </c>
      <c r="C5320" s="10" t="s">
        <v>48</v>
      </c>
      <c r="D5320" s="10" t="s">
        <v>313</v>
      </c>
      <c r="E5320" s="10" t="s">
        <v>2345</v>
      </c>
      <c r="F5320" s="30" t="n">
        <v>42935</v>
      </c>
      <c r="G5320" s="30" t="n">
        <v>43040</v>
      </c>
      <c r="H5320" s="26" t="n">
        <f aca="false">G5320-F5320</f>
        <v>105</v>
      </c>
      <c r="I5320" s="10" t="n">
        <f aca="false">IF(E5320="Won",1,0)</f>
        <v>0</v>
      </c>
    </row>
    <row r="5321" customFormat="false" ht="15" hidden="false" customHeight="false" outlineLevel="0" collapsed="false">
      <c r="A5321" s="10" t="s">
        <v>7662</v>
      </c>
      <c r="B5321" s="10" t="s">
        <v>70</v>
      </c>
      <c r="C5321" s="10" t="s">
        <v>52</v>
      </c>
      <c r="D5321" s="10" t="s">
        <v>419</v>
      </c>
      <c r="E5321" s="10" t="s">
        <v>2345</v>
      </c>
      <c r="F5321" s="30" t="n">
        <v>42990</v>
      </c>
      <c r="G5321" s="30" t="n">
        <v>43040</v>
      </c>
      <c r="H5321" s="26" t="n">
        <f aca="false">G5321-F5321</f>
        <v>50</v>
      </c>
      <c r="I5321" s="10" t="n">
        <f aca="false">IF(E5321="Won",1,0)</f>
        <v>0</v>
      </c>
    </row>
    <row r="5322" customFormat="false" ht="15" hidden="false" customHeight="false" outlineLevel="0" collapsed="false">
      <c r="A5322" s="10" t="s">
        <v>7663</v>
      </c>
      <c r="B5322" s="10" t="s">
        <v>96</v>
      </c>
      <c r="C5322" s="10" t="s">
        <v>51</v>
      </c>
      <c r="D5322" s="10" t="s">
        <v>506</v>
      </c>
      <c r="E5322" s="10" t="s">
        <v>2342</v>
      </c>
      <c r="F5322" s="30" t="n">
        <v>43027</v>
      </c>
      <c r="G5322" s="30" t="n">
        <v>43040</v>
      </c>
      <c r="H5322" s="26" t="n">
        <f aca="false">G5322-F5322</f>
        <v>13</v>
      </c>
      <c r="I5322" s="10" t="n">
        <f aca="false">IF(E5322="Won",1,0)</f>
        <v>1</v>
      </c>
    </row>
    <row r="5323" customFormat="false" ht="15" hidden="false" customHeight="false" outlineLevel="0" collapsed="false">
      <c r="A5323" s="10" t="s">
        <v>7664</v>
      </c>
      <c r="B5323" s="10" t="s">
        <v>80</v>
      </c>
      <c r="C5323" s="10" t="s">
        <v>50</v>
      </c>
      <c r="D5323" s="10" t="s">
        <v>527</v>
      </c>
      <c r="E5323" s="10" t="s">
        <v>2342</v>
      </c>
      <c r="F5323" s="30" t="n">
        <v>42954</v>
      </c>
      <c r="G5323" s="30" t="n">
        <v>43040</v>
      </c>
      <c r="H5323" s="26" t="n">
        <f aca="false">G5323-F5323</f>
        <v>86</v>
      </c>
      <c r="I5323" s="10" t="n">
        <f aca="false">IF(E5323="Won",1,0)</f>
        <v>1</v>
      </c>
    </row>
    <row r="5324" customFormat="false" ht="15" hidden="false" customHeight="false" outlineLevel="0" collapsed="false">
      <c r="A5324" s="10" t="s">
        <v>7665</v>
      </c>
      <c r="B5324" s="10" t="s">
        <v>88</v>
      </c>
      <c r="C5324" s="10" t="s">
        <v>49</v>
      </c>
      <c r="D5324" s="10" t="s">
        <v>1397</v>
      </c>
      <c r="E5324" s="10" t="s">
        <v>2342</v>
      </c>
      <c r="F5324" s="30" t="n">
        <v>42940</v>
      </c>
      <c r="G5324" s="30" t="n">
        <v>43041</v>
      </c>
      <c r="H5324" s="26" t="n">
        <f aca="false">G5324-F5324</f>
        <v>101</v>
      </c>
      <c r="I5324" s="10" t="n">
        <f aca="false">IF(E5324="Won",1,0)</f>
        <v>1</v>
      </c>
    </row>
    <row r="5325" customFormat="false" ht="15" hidden="false" customHeight="false" outlineLevel="0" collapsed="false">
      <c r="A5325" s="10" t="s">
        <v>7666</v>
      </c>
      <c r="B5325" s="10" t="s">
        <v>75</v>
      </c>
      <c r="C5325" s="10" t="s">
        <v>52</v>
      </c>
      <c r="D5325" s="10" t="s">
        <v>410</v>
      </c>
      <c r="E5325" s="10" t="s">
        <v>2345</v>
      </c>
      <c r="F5325" s="30" t="n">
        <v>42947</v>
      </c>
      <c r="G5325" s="30" t="n">
        <v>43041</v>
      </c>
      <c r="H5325" s="26" t="n">
        <f aca="false">G5325-F5325</f>
        <v>94</v>
      </c>
      <c r="I5325" s="10" t="n">
        <f aca="false">IF(E5325="Won",1,0)</f>
        <v>0</v>
      </c>
    </row>
    <row r="5326" customFormat="false" ht="15" hidden="false" customHeight="false" outlineLevel="0" collapsed="false">
      <c r="A5326" s="10" t="s">
        <v>7667</v>
      </c>
      <c r="B5326" s="10" t="s">
        <v>69</v>
      </c>
      <c r="C5326" s="10" t="s">
        <v>50</v>
      </c>
      <c r="D5326" s="10" t="s">
        <v>986</v>
      </c>
      <c r="E5326" s="10" t="s">
        <v>2345</v>
      </c>
      <c r="F5326" s="30" t="n">
        <v>43000</v>
      </c>
      <c r="G5326" s="30" t="n">
        <v>43041</v>
      </c>
      <c r="H5326" s="26" t="n">
        <f aca="false">G5326-F5326</f>
        <v>41</v>
      </c>
      <c r="I5326" s="10" t="n">
        <f aca="false">IF(E5326="Won",1,0)</f>
        <v>0</v>
      </c>
    </row>
    <row r="5327" customFormat="false" ht="15" hidden="false" customHeight="false" outlineLevel="0" collapsed="false">
      <c r="A5327" s="10" t="s">
        <v>7668</v>
      </c>
      <c r="B5327" s="10" t="s">
        <v>93</v>
      </c>
      <c r="C5327" s="10" t="s">
        <v>48</v>
      </c>
      <c r="D5327" s="10" t="s">
        <v>170</v>
      </c>
      <c r="E5327" s="10" t="s">
        <v>2345</v>
      </c>
      <c r="F5327" s="30" t="n">
        <v>42949</v>
      </c>
      <c r="G5327" s="30" t="n">
        <v>43041</v>
      </c>
      <c r="H5327" s="26" t="n">
        <f aca="false">G5327-F5327</f>
        <v>92</v>
      </c>
      <c r="I5327" s="10" t="n">
        <f aca="false">IF(E5327="Won",1,0)</f>
        <v>0</v>
      </c>
    </row>
    <row r="5328" customFormat="false" ht="15" hidden="false" customHeight="false" outlineLevel="0" collapsed="false">
      <c r="A5328" s="10" t="s">
        <v>7669</v>
      </c>
      <c r="B5328" s="10" t="s">
        <v>77</v>
      </c>
      <c r="C5328" s="10" t="s">
        <v>48</v>
      </c>
      <c r="D5328" s="10" t="s">
        <v>597</v>
      </c>
      <c r="E5328" s="10" t="s">
        <v>2342</v>
      </c>
      <c r="F5328" s="30" t="n">
        <v>42956</v>
      </c>
      <c r="G5328" s="30" t="n">
        <v>43041</v>
      </c>
      <c r="H5328" s="26" t="n">
        <f aca="false">G5328-F5328</f>
        <v>85</v>
      </c>
      <c r="I5328" s="10" t="n">
        <f aca="false">IF(E5328="Won",1,0)</f>
        <v>1</v>
      </c>
    </row>
    <row r="5329" customFormat="false" ht="15" hidden="false" customHeight="false" outlineLevel="0" collapsed="false">
      <c r="A5329" s="10" t="s">
        <v>7670</v>
      </c>
      <c r="B5329" s="10" t="s">
        <v>67</v>
      </c>
      <c r="C5329" s="10" t="s">
        <v>50</v>
      </c>
      <c r="D5329" s="10" t="s">
        <v>303</v>
      </c>
      <c r="E5329" s="10" t="s">
        <v>2345</v>
      </c>
      <c r="F5329" s="30" t="n">
        <v>42974</v>
      </c>
      <c r="G5329" s="30" t="n">
        <v>43041</v>
      </c>
      <c r="H5329" s="26" t="n">
        <f aca="false">G5329-F5329</f>
        <v>67</v>
      </c>
      <c r="I5329" s="10" t="n">
        <f aca="false">IF(E5329="Won",1,0)</f>
        <v>0</v>
      </c>
    </row>
    <row r="5330" customFormat="false" ht="15" hidden="false" customHeight="false" outlineLevel="0" collapsed="false">
      <c r="A5330" s="10" t="s">
        <v>7671</v>
      </c>
      <c r="B5330" s="10" t="s">
        <v>95</v>
      </c>
      <c r="C5330" s="10" t="s">
        <v>51</v>
      </c>
      <c r="D5330" s="10" t="s">
        <v>326</v>
      </c>
      <c r="E5330" s="10" t="s">
        <v>2342</v>
      </c>
      <c r="F5330" s="30" t="n">
        <v>43039</v>
      </c>
      <c r="G5330" s="30" t="n">
        <v>43041</v>
      </c>
      <c r="H5330" s="26" t="n">
        <f aca="false">G5330-F5330</f>
        <v>2</v>
      </c>
      <c r="I5330" s="10" t="n">
        <f aca="false">IF(E5330="Won",1,0)</f>
        <v>1</v>
      </c>
    </row>
    <row r="5331" customFormat="false" ht="15" hidden="false" customHeight="false" outlineLevel="0" collapsed="false">
      <c r="A5331" s="10" t="s">
        <v>7672</v>
      </c>
      <c r="B5331" s="10" t="s">
        <v>76</v>
      </c>
      <c r="C5331" s="10" t="s">
        <v>51</v>
      </c>
      <c r="D5331" s="10" t="s">
        <v>259</v>
      </c>
      <c r="E5331" s="10" t="s">
        <v>2342</v>
      </c>
      <c r="F5331" s="30" t="n">
        <v>42919</v>
      </c>
      <c r="G5331" s="30" t="n">
        <v>43041</v>
      </c>
      <c r="H5331" s="26" t="n">
        <f aca="false">G5331-F5331</f>
        <v>122</v>
      </c>
      <c r="I5331" s="10" t="n">
        <f aca="false">IF(E5331="Won",1,0)</f>
        <v>1</v>
      </c>
    </row>
    <row r="5332" customFormat="false" ht="15" hidden="false" customHeight="false" outlineLevel="0" collapsed="false">
      <c r="A5332" s="10" t="s">
        <v>7673</v>
      </c>
      <c r="B5332" s="10" t="s">
        <v>90</v>
      </c>
      <c r="C5332" s="10" t="s">
        <v>48</v>
      </c>
      <c r="D5332" s="10" t="s">
        <v>218</v>
      </c>
      <c r="E5332" s="10" t="s">
        <v>2342</v>
      </c>
      <c r="F5332" s="30" t="n">
        <v>42960</v>
      </c>
      <c r="G5332" s="30" t="n">
        <v>43041</v>
      </c>
      <c r="H5332" s="26" t="n">
        <f aca="false">G5332-F5332</f>
        <v>81</v>
      </c>
      <c r="I5332" s="10" t="n">
        <f aca="false">IF(E5332="Won",1,0)</f>
        <v>1</v>
      </c>
    </row>
    <row r="5333" customFormat="false" ht="15" hidden="false" customHeight="false" outlineLevel="0" collapsed="false">
      <c r="A5333" s="10" t="s">
        <v>7674</v>
      </c>
      <c r="B5333" s="10" t="s">
        <v>71</v>
      </c>
      <c r="C5333" s="10" t="s">
        <v>52</v>
      </c>
      <c r="D5333" s="10" t="s">
        <v>597</v>
      </c>
      <c r="E5333" s="10" t="s">
        <v>2342</v>
      </c>
      <c r="F5333" s="30" t="n">
        <v>42960</v>
      </c>
      <c r="G5333" s="30" t="n">
        <v>43041</v>
      </c>
      <c r="H5333" s="26" t="n">
        <f aca="false">G5333-F5333</f>
        <v>81</v>
      </c>
      <c r="I5333" s="10" t="n">
        <f aca="false">IF(E5333="Won",1,0)</f>
        <v>1</v>
      </c>
    </row>
    <row r="5334" customFormat="false" ht="15" hidden="false" customHeight="false" outlineLevel="0" collapsed="false">
      <c r="A5334" s="10" t="s">
        <v>7675</v>
      </c>
      <c r="B5334" s="10" t="s">
        <v>86</v>
      </c>
      <c r="C5334" s="10" t="s">
        <v>51</v>
      </c>
      <c r="D5334" s="10" t="s">
        <v>359</v>
      </c>
      <c r="E5334" s="10" t="s">
        <v>2342</v>
      </c>
      <c r="F5334" s="30" t="n">
        <v>42967</v>
      </c>
      <c r="G5334" s="30" t="n">
        <v>43041</v>
      </c>
      <c r="H5334" s="26" t="n">
        <f aca="false">G5334-F5334</f>
        <v>74</v>
      </c>
      <c r="I5334" s="10" t="n">
        <f aca="false">IF(E5334="Won",1,0)</f>
        <v>1</v>
      </c>
    </row>
    <row r="5335" customFormat="false" ht="15" hidden="false" customHeight="false" outlineLevel="0" collapsed="false">
      <c r="A5335" s="10" t="s">
        <v>7676</v>
      </c>
      <c r="B5335" s="10" t="s">
        <v>74</v>
      </c>
      <c r="C5335" s="10" t="s">
        <v>50</v>
      </c>
      <c r="D5335" s="10" t="s">
        <v>210</v>
      </c>
      <c r="E5335" s="10" t="s">
        <v>2342</v>
      </c>
      <c r="F5335" s="30" t="n">
        <v>42952</v>
      </c>
      <c r="G5335" s="30" t="n">
        <v>43041</v>
      </c>
      <c r="H5335" s="26" t="n">
        <f aca="false">G5335-F5335</f>
        <v>89</v>
      </c>
      <c r="I5335" s="10" t="n">
        <f aca="false">IF(E5335="Won",1,0)</f>
        <v>1</v>
      </c>
    </row>
    <row r="5336" customFormat="false" ht="15" hidden="false" customHeight="false" outlineLevel="0" collapsed="false">
      <c r="A5336" s="10" t="s">
        <v>7677</v>
      </c>
      <c r="B5336" s="10" t="s">
        <v>76</v>
      </c>
      <c r="C5336" s="10" t="s">
        <v>52</v>
      </c>
      <c r="D5336" s="10" t="s">
        <v>660</v>
      </c>
      <c r="E5336" s="10" t="s">
        <v>2342</v>
      </c>
      <c r="F5336" s="30" t="n">
        <v>42985</v>
      </c>
      <c r="G5336" s="30" t="n">
        <v>43041</v>
      </c>
      <c r="H5336" s="26" t="n">
        <f aca="false">G5336-F5336</f>
        <v>56</v>
      </c>
      <c r="I5336" s="10" t="n">
        <f aca="false">IF(E5336="Won",1,0)</f>
        <v>1</v>
      </c>
    </row>
    <row r="5337" customFormat="false" ht="15" hidden="false" customHeight="false" outlineLevel="0" collapsed="false">
      <c r="A5337" s="10" t="s">
        <v>7678</v>
      </c>
      <c r="B5337" s="10" t="s">
        <v>74</v>
      </c>
      <c r="C5337" s="10" t="s">
        <v>49</v>
      </c>
      <c r="D5337" s="10" t="s">
        <v>267</v>
      </c>
      <c r="E5337" s="10" t="s">
        <v>2342</v>
      </c>
      <c r="F5337" s="30" t="n">
        <v>42966</v>
      </c>
      <c r="G5337" s="30" t="n">
        <v>43041</v>
      </c>
      <c r="H5337" s="26" t="n">
        <f aca="false">G5337-F5337</f>
        <v>75</v>
      </c>
      <c r="I5337" s="10" t="n">
        <f aca="false">IF(E5337="Won",1,0)</f>
        <v>1</v>
      </c>
    </row>
    <row r="5338" customFormat="false" ht="15" hidden="false" customHeight="false" outlineLevel="0" collapsed="false">
      <c r="A5338" s="10" t="s">
        <v>7679</v>
      </c>
      <c r="B5338" s="10" t="s">
        <v>71</v>
      </c>
      <c r="C5338" s="10" t="s">
        <v>47</v>
      </c>
      <c r="D5338" s="10" t="s">
        <v>422</v>
      </c>
      <c r="E5338" s="10" t="s">
        <v>2342</v>
      </c>
      <c r="F5338" s="30" t="n">
        <v>42973</v>
      </c>
      <c r="G5338" s="30" t="n">
        <v>43041</v>
      </c>
      <c r="H5338" s="26" t="n">
        <f aca="false">G5338-F5338</f>
        <v>68</v>
      </c>
      <c r="I5338" s="10" t="n">
        <f aca="false">IF(E5338="Won",1,0)</f>
        <v>1</v>
      </c>
    </row>
    <row r="5339" customFormat="false" ht="15" hidden="false" customHeight="false" outlineLevel="0" collapsed="false">
      <c r="A5339" s="10" t="s">
        <v>7680</v>
      </c>
      <c r="B5339" s="10" t="s">
        <v>94</v>
      </c>
      <c r="C5339" s="10" t="s">
        <v>51</v>
      </c>
      <c r="D5339" s="10" t="s">
        <v>396</v>
      </c>
      <c r="E5339" s="10" t="s">
        <v>2342</v>
      </c>
      <c r="F5339" s="30" t="n">
        <v>43020</v>
      </c>
      <c r="G5339" s="30" t="n">
        <v>43041</v>
      </c>
      <c r="H5339" s="26" t="n">
        <f aca="false">G5339-F5339</f>
        <v>21</v>
      </c>
      <c r="I5339" s="10" t="n">
        <f aca="false">IF(E5339="Won",1,0)</f>
        <v>1</v>
      </c>
    </row>
    <row r="5340" customFormat="false" ht="15" hidden="false" customHeight="false" outlineLevel="0" collapsed="false">
      <c r="A5340" s="10" t="s">
        <v>7681</v>
      </c>
      <c r="B5340" s="10" t="s">
        <v>70</v>
      </c>
      <c r="C5340" s="10" t="s">
        <v>52</v>
      </c>
      <c r="D5340" s="10" t="s">
        <v>384</v>
      </c>
      <c r="E5340" s="10" t="s">
        <v>2342</v>
      </c>
      <c r="F5340" s="30" t="n">
        <v>43040</v>
      </c>
      <c r="G5340" s="30" t="n">
        <v>43041</v>
      </c>
      <c r="H5340" s="26" t="n">
        <f aca="false">G5340-F5340</f>
        <v>1</v>
      </c>
      <c r="I5340" s="10" t="n">
        <f aca="false">IF(E5340="Won",1,0)</f>
        <v>1</v>
      </c>
    </row>
    <row r="5341" customFormat="false" ht="15" hidden="false" customHeight="false" outlineLevel="0" collapsed="false">
      <c r="A5341" s="10" t="s">
        <v>7682</v>
      </c>
      <c r="B5341" s="10" t="s">
        <v>66</v>
      </c>
      <c r="C5341" s="10" t="s">
        <v>52</v>
      </c>
      <c r="D5341" s="10" t="s">
        <v>227</v>
      </c>
      <c r="E5341" s="10" t="s">
        <v>2342</v>
      </c>
      <c r="F5341" s="30" t="n">
        <v>42945</v>
      </c>
      <c r="G5341" s="30" t="n">
        <v>43041</v>
      </c>
      <c r="H5341" s="26" t="n">
        <f aca="false">G5341-F5341</f>
        <v>96</v>
      </c>
      <c r="I5341" s="10" t="n">
        <f aca="false">IF(E5341="Won",1,0)</f>
        <v>1</v>
      </c>
    </row>
    <row r="5342" customFormat="false" ht="15" hidden="false" customHeight="false" outlineLevel="0" collapsed="false">
      <c r="A5342" s="10" t="s">
        <v>7683</v>
      </c>
      <c r="B5342" s="10" t="s">
        <v>57</v>
      </c>
      <c r="C5342" s="10" t="s">
        <v>50</v>
      </c>
      <c r="D5342" s="10" t="s">
        <v>532</v>
      </c>
      <c r="E5342" s="10" t="s">
        <v>2342</v>
      </c>
      <c r="F5342" s="30" t="n">
        <v>42972</v>
      </c>
      <c r="G5342" s="30" t="n">
        <v>43041</v>
      </c>
      <c r="H5342" s="26" t="n">
        <f aca="false">G5342-F5342</f>
        <v>69</v>
      </c>
      <c r="I5342" s="10" t="n">
        <f aca="false">IF(E5342="Won",1,0)</f>
        <v>1</v>
      </c>
    </row>
    <row r="5343" customFormat="false" ht="15" hidden="false" customHeight="false" outlineLevel="0" collapsed="false">
      <c r="A5343" s="10" t="s">
        <v>7684</v>
      </c>
      <c r="B5343" s="10" t="s">
        <v>76</v>
      </c>
      <c r="C5343" s="10" t="s">
        <v>51</v>
      </c>
      <c r="D5343" s="10" t="s">
        <v>410</v>
      </c>
      <c r="E5343" s="10" t="s">
        <v>2342</v>
      </c>
      <c r="F5343" s="30" t="n">
        <v>42976</v>
      </c>
      <c r="G5343" s="30" t="n">
        <v>43041</v>
      </c>
      <c r="H5343" s="26" t="n">
        <f aca="false">G5343-F5343</f>
        <v>65</v>
      </c>
      <c r="I5343" s="10" t="n">
        <f aca="false">IF(E5343="Won",1,0)</f>
        <v>1</v>
      </c>
    </row>
    <row r="5344" customFormat="false" ht="15" hidden="false" customHeight="false" outlineLevel="0" collapsed="false">
      <c r="A5344" s="10" t="s">
        <v>7685</v>
      </c>
      <c r="B5344" s="10" t="s">
        <v>86</v>
      </c>
      <c r="C5344" s="10" t="s">
        <v>49</v>
      </c>
      <c r="D5344" s="10" t="s">
        <v>637</v>
      </c>
      <c r="E5344" s="10" t="s">
        <v>2342</v>
      </c>
      <c r="F5344" s="30" t="n">
        <v>43032</v>
      </c>
      <c r="G5344" s="30" t="n">
        <v>43041</v>
      </c>
      <c r="H5344" s="26" t="n">
        <f aca="false">G5344-F5344</f>
        <v>9</v>
      </c>
      <c r="I5344" s="10" t="n">
        <f aca="false">IF(E5344="Won",1,0)</f>
        <v>1</v>
      </c>
    </row>
    <row r="5345" customFormat="false" ht="15" hidden="false" customHeight="false" outlineLevel="0" collapsed="false">
      <c r="A5345" s="10" t="s">
        <v>7686</v>
      </c>
      <c r="B5345" s="10" t="s">
        <v>96</v>
      </c>
      <c r="C5345" s="10" t="s">
        <v>52</v>
      </c>
      <c r="D5345" s="10" t="s">
        <v>487</v>
      </c>
      <c r="E5345" s="10" t="s">
        <v>2342</v>
      </c>
      <c r="F5345" s="30" t="n">
        <v>43034</v>
      </c>
      <c r="G5345" s="30" t="n">
        <v>43042</v>
      </c>
      <c r="H5345" s="26" t="n">
        <f aca="false">G5345-F5345</f>
        <v>8</v>
      </c>
      <c r="I5345" s="10" t="n">
        <f aca="false">IF(E5345="Won",1,0)</f>
        <v>1</v>
      </c>
    </row>
    <row r="5346" customFormat="false" ht="15" hidden="false" customHeight="false" outlineLevel="0" collapsed="false">
      <c r="A5346" s="10" t="s">
        <v>7687</v>
      </c>
      <c r="B5346" s="10" t="s">
        <v>71</v>
      </c>
      <c r="C5346" s="10" t="s">
        <v>52</v>
      </c>
      <c r="D5346" s="10" t="s">
        <v>311</v>
      </c>
      <c r="E5346" s="10" t="s">
        <v>2342</v>
      </c>
      <c r="F5346" s="30" t="n">
        <v>42972</v>
      </c>
      <c r="G5346" s="30" t="n">
        <v>43042</v>
      </c>
      <c r="H5346" s="26" t="n">
        <f aca="false">G5346-F5346</f>
        <v>70</v>
      </c>
      <c r="I5346" s="10" t="n">
        <f aca="false">IF(E5346="Won",1,0)</f>
        <v>1</v>
      </c>
    </row>
    <row r="5347" customFormat="false" ht="15" hidden="false" customHeight="false" outlineLevel="0" collapsed="false">
      <c r="A5347" s="10" t="s">
        <v>7688</v>
      </c>
      <c r="B5347" s="10" t="s">
        <v>67</v>
      </c>
      <c r="C5347" s="10" t="s">
        <v>49</v>
      </c>
      <c r="D5347" s="10" t="s">
        <v>286</v>
      </c>
      <c r="E5347" s="10" t="s">
        <v>2342</v>
      </c>
      <c r="F5347" s="30" t="n">
        <v>42933</v>
      </c>
      <c r="G5347" s="30" t="n">
        <v>43042</v>
      </c>
      <c r="H5347" s="26" t="n">
        <f aca="false">G5347-F5347</f>
        <v>109</v>
      </c>
      <c r="I5347" s="10" t="n">
        <f aca="false">IF(E5347="Won",1,0)</f>
        <v>1</v>
      </c>
    </row>
    <row r="5348" customFormat="false" ht="15" hidden="false" customHeight="false" outlineLevel="0" collapsed="false">
      <c r="A5348" s="10" t="s">
        <v>7689</v>
      </c>
      <c r="B5348" s="10" t="s">
        <v>90</v>
      </c>
      <c r="C5348" s="10" t="s">
        <v>49</v>
      </c>
      <c r="D5348" s="10" t="s">
        <v>161</v>
      </c>
      <c r="E5348" s="10" t="s">
        <v>2342</v>
      </c>
      <c r="F5348" s="30" t="n">
        <v>42938</v>
      </c>
      <c r="G5348" s="30" t="n">
        <v>43042</v>
      </c>
      <c r="H5348" s="26" t="n">
        <f aca="false">G5348-F5348</f>
        <v>104</v>
      </c>
      <c r="I5348" s="10" t="n">
        <f aca="false">IF(E5348="Won",1,0)</f>
        <v>1</v>
      </c>
    </row>
    <row r="5349" customFormat="false" ht="15" hidden="false" customHeight="false" outlineLevel="0" collapsed="false">
      <c r="A5349" s="10" t="s">
        <v>7690</v>
      </c>
      <c r="B5349" s="10" t="s">
        <v>79</v>
      </c>
      <c r="C5349" s="10" t="s">
        <v>52</v>
      </c>
      <c r="D5349" s="10" t="s">
        <v>291</v>
      </c>
      <c r="E5349" s="10" t="s">
        <v>2345</v>
      </c>
      <c r="F5349" s="30" t="n">
        <v>42920</v>
      </c>
      <c r="G5349" s="30" t="n">
        <v>43042</v>
      </c>
      <c r="H5349" s="26" t="n">
        <f aca="false">G5349-F5349</f>
        <v>122</v>
      </c>
      <c r="I5349" s="10" t="n">
        <f aca="false">IF(E5349="Won",1,0)</f>
        <v>0</v>
      </c>
    </row>
    <row r="5350" customFormat="false" ht="15" hidden="false" customHeight="false" outlineLevel="0" collapsed="false">
      <c r="A5350" s="10" t="s">
        <v>7691</v>
      </c>
      <c r="B5350" s="10" t="s">
        <v>63</v>
      </c>
      <c r="C5350" s="10" t="s">
        <v>51</v>
      </c>
      <c r="D5350" s="10" t="s">
        <v>247</v>
      </c>
      <c r="E5350" s="10" t="s">
        <v>2345</v>
      </c>
      <c r="F5350" s="30" t="n">
        <v>42956</v>
      </c>
      <c r="G5350" s="30" t="n">
        <v>43042</v>
      </c>
      <c r="H5350" s="26" t="n">
        <f aca="false">G5350-F5350</f>
        <v>86</v>
      </c>
      <c r="I5350" s="10" t="n">
        <f aca="false">IF(E5350="Won",1,0)</f>
        <v>0</v>
      </c>
    </row>
    <row r="5351" customFormat="false" ht="15" hidden="false" customHeight="false" outlineLevel="0" collapsed="false">
      <c r="A5351" s="10" t="s">
        <v>7692</v>
      </c>
      <c r="B5351" s="10" t="s">
        <v>60</v>
      </c>
      <c r="C5351" s="10" t="s">
        <v>49</v>
      </c>
      <c r="D5351" s="10" t="s">
        <v>453</v>
      </c>
      <c r="E5351" s="10" t="s">
        <v>2345</v>
      </c>
      <c r="F5351" s="30" t="n">
        <v>42970</v>
      </c>
      <c r="G5351" s="30" t="n">
        <v>43042</v>
      </c>
      <c r="H5351" s="26" t="n">
        <f aca="false">G5351-F5351</f>
        <v>72</v>
      </c>
      <c r="I5351" s="10" t="n">
        <f aca="false">IF(E5351="Won",1,0)</f>
        <v>0</v>
      </c>
    </row>
    <row r="5352" customFormat="false" ht="15" hidden="false" customHeight="false" outlineLevel="0" collapsed="false">
      <c r="A5352" s="10" t="s">
        <v>7693</v>
      </c>
      <c r="B5352" s="10" t="s">
        <v>74</v>
      </c>
      <c r="C5352" s="10" t="s">
        <v>49</v>
      </c>
      <c r="D5352" s="10" t="s">
        <v>512</v>
      </c>
      <c r="E5352" s="10" t="s">
        <v>2342</v>
      </c>
      <c r="F5352" s="30" t="n">
        <v>43035</v>
      </c>
      <c r="G5352" s="30" t="n">
        <v>43042</v>
      </c>
      <c r="H5352" s="26" t="n">
        <f aca="false">G5352-F5352</f>
        <v>7</v>
      </c>
      <c r="I5352" s="10" t="n">
        <f aca="false">IF(E5352="Won",1,0)</f>
        <v>1</v>
      </c>
    </row>
    <row r="5353" customFormat="false" ht="15" hidden="false" customHeight="false" outlineLevel="0" collapsed="false">
      <c r="A5353" s="10" t="s">
        <v>7694</v>
      </c>
      <c r="B5353" s="10" t="s">
        <v>73</v>
      </c>
      <c r="C5353" s="10" t="s">
        <v>52</v>
      </c>
      <c r="D5353" s="10" t="s">
        <v>660</v>
      </c>
      <c r="E5353" s="10" t="s">
        <v>2342</v>
      </c>
      <c r="F5353" s="30" t="n">
        <v>42933</v>
      </c>
      <c r="G5353" s="30" t="n">
        <v>43042</v>
      </c>
      <c r="H5353" s="26" t="n">
        <f aca="false">G5353-F5353</f>
        <v>109</v>
      </c>
      <c r="I5353" s="10" t="n">
        <f aca="false">IF(E5353="Won",1,0)</f>
        <v>1</v>
      </c>
    </row>
    <row r="5354" customFormat="false" ht="15" hidden="false" customHeight="false" outlineLevel="0" collapsed="false">
      <c r="A5354" s="10" t="s">
        <v>7695</v>
      </c>
      <c r="B5354" s="10" t="s">
        <v>88</v>
      </c>
      <c r="C5354" s="10" t="s">
        <v>49</v>
      </c>
      <c r="D5354" s="10" t="s">
        <v>359</v>
      </c>
      <c r="E5354" s="10" t="s">
        <v>2345</v>
      </c>
      <c r="F5354" s="30" t="n">
        <v>43036</v>
      </c>
      <c r="G5354" s="30" t="n">
        <v>43042</v>
      </c>
      <c r="H5354" s="26" t="n">
        <f aca="false">G5354-F5354</f>
        <v>6</v>
      </c>
      <c r="I5354" s="10" t="n">
        <f aca="false">IF(E5354="Won",1,0)</f>
        <v>0</v>
      </c>
    </row>
    <row r="5355" customFormat="false" ht="15" hidden="false" customHeight="false" outlineLevel="0" collapsed="false">
      <c r="A5355" s="10" t="s">
        <v>7696</v>
      </c>
      <c r="B5355" s="10" t="s">
        <v>86</v>
      </c>
      <c r="C5355" s="10" t="s">
        <v>51</v>
      </c>
      <c r="D5355" s="10" t="s">
        <v>233</v>
      </c>
      <c r="E5355" s="10" t="s">
        <v>2345</v>
      </c>
      <c r="F5355" s="30" t="n">
        <v>42972</v>
      </c>
      <c r="G5355" s="30" t="n">
        <v>43042</v>
      </c>
      <c r="H5355" s="26" t="n">
        <f aca="false">G5355-F5355</f>
        <v>70</v>
      </c>
      <c r="I5355" s="10" t="n">
        <f aca="false">IF(E5355="Won",1,0)</f>
        <v>0</v>
      </c>
    </row>
    <row r="5356" customFormat="false" ht="15" hidden="false" customHeight="false" outlineLevel="0" collapsed="false">
      <c r="A5356" s="10" t="s">
        <v>7697</v>
      </c>
      <c r="B5356" s="10" t="s">
        <v>71</v>
      </c>
      <c r="C5356" s="10" t="s">
        <v>49</v>
      </c>
      <c r="D5356" s="10" t="s">
        <v>869</v>
      </c>
      <c r="E5356" s="10" t="s">
        <v>2345</v>
      </c>
      <c r="F5356" s="30" t="n">
        <v>42938</v>
      </c>
      <c r="G5356" s="30" t="n">
        <v>43042</v>
      </c>
      <c r="H5356" s="26" t="n">
        <f aca="false">G5356-F5356</f>
        <v>104</v>
      </c>
      <c r="I5356" s="10" t="n">
        <f aca="false">IF(E5356="Won",1,0)</f>
        <v>0</v>
      </c>
    </row>
    <row r="5357" customFormat="false" ht="15" hidden="false" customHeight="false" outlineLevel="0" collapsed="false">
      <c r="A5357" s="10" t="s">
        <v>7698</v>
      </c>
      <c r="B5357" s="10" t="s">
        <v>73</v>
      </c>
      <c r="C5357" s="10" t="s">
        <v>50</v>
      </c>
      <c r="D5357" s="10" t="s">
        <v>869</v>
      </c>
      <c r="E5357" s="10" t="s">
        <v>2342</v>
      </c>
      <c r="F5357" s="30" t="n">
        <v>43024</v>
      </c>
      <c r="G5357" s="30" t="n">
        <v>43042</v>
      </c>
      <c r="H5357" s="26" t="n">
        <f aca="false">G5357-F5357</f>
        <v>18</v>
      </c>
      <c r="I5357" s="10" t="n">
        <f aca="false">IF(E5357="Won",1,0)</f>
        <v>1</v>
      </c>
    </row>
    <row r="5358" customFormat="false" ht="15" hidden="false" customHeight="false" outlineLevel="0" collapsed="false">
      <c r="A5358" s="10" t="s">
        <v>7699</v>
      </c>
      <c r="B5358" s="10" t="s">
        <v>77</v>
      </c>
      <c r="C5358" s="10" t="s">
        <v>47</v>
      </c>
      <c r="D5358" s="10" t="s">
        <v>193</v>
      </c>
      <c r="E5358" s="10" t="s">
        <v>2342</v>
      </c>
      <c r="F5358" s="30" t="n">
        <v>43019</v>
      </c>
      <c r="G5358" s="30" t="n">
        <v>43042</v>
      </c>
      <c r="H5358" s="26" t="n">
        <f aca="false">G5358-F5358</f>
        <v>23</v>
      </c>
      <c r="I5358" s="10" t="n">
        <f aca="false">IF(E5358="Won",1,0)</f>
        <v>1</v>
      </c>
    </row>
    <row r="5359" customFormat="false" ht="15" hidden="false" customHeight="false" outlineLevel="0" collapsed="false">
      <c r="A5359" s="10" t="s">
        <v>7700</v>
      </c>
      <c r="B5359" s="10" t="s">
        <v>71</v>
      </c>
      <c r="C5359" s="10" t="s">
        <v>52</v>
      </c>
      <c r="D5359" s="10" t="s">
        <v>762</v>
      </c>
      <c r="E5359" s="10" t="s">
        <v>2342</v>
      </c>
      <c r="F5359" s="30" t="n">
        <v>43004</v>
      </c>
      <c r="G5359" s="30" t="n">
        <v>43042</v>
      </c>
      <c r="H5359" s="26" t="n">
        <f aca="false">G5359-F5359</f>
        <v>38</v>
      </c>
      <c r="I5359" s="10" t="n">
        <f aca="false">IF(E5359="Won",1,0)</f>
        <v>1</v>
      </c>
    </row>
    <row r="5360" customFormat="false" ht="15" hidden="false" customHeight="false" outlineLevel="0" collapsed="false">
      <c r="A5360" s="10" t="s">
        <v>7701</v>
      </c>
      <c r="B5360" s="10" t="s">
        <v>70</v>
      </c>
      <c r="C5360" s="10" t="s">
        <v>52</v>
      </c>
      <c r="D5360" s="10" t="s">
        <v>344</v>
      </c>
      <c r="E5360" s="10" t="s">
        <v>2342</v>
      </c>
      <c r="F5360" s="30" t="n">
        <v>43028</v>
      </c>
      <c r="G5360" s="30" t="n">
        <v>43042</v>
      </c>
      <c r="H5360" s="26" t="n">
        <f aca="false">G5360-F5360</f>
        <v>14</v>
      </c>
      <c r="I5360" s="10" t="n">
        <f aca="false">IF(E5360="Won",1,0)</f>
        <v>1</v>
      </c>
    </row>
    <row r="5361" customFormat="false" ht="15" hidden="false" customHeight="false" outlineLevel="0" collapsed="false">
      <c r="A5361" s="10" t="s">
        <v>7702</v>
      </c>
      <c r="B5361" s="10" t="s">
        <v>80</v>
      </c>
      <c r="C5361" s="10" t="s">
        <v>51</v>
      </c>
      <c r="D5361" s="10" t="s">
        <v>410</v>
      </c>
      <c r="E5361" s="10" t="s">
        <v>2342</v>
      </c>
      <c r="F5361" s="30" t="n">
        <v>43041</v>
      </c>
      <c r="G5361" s="30" t="n">
        <v>43042</v>
      </c>
      <c r="H5361" s="26" t="n">
        <f aca="false">G5361-F5361</f>
        <v>1</v>
      </c>
      <c r="I5361" s="10" t="n">
        <f aca="false">IF(E5361="Won",1,0)</f>
        <v>1</v>
      </c>
    </row>
    <row r="5362" customFormat="false" ht="15" hidden="false" customHeight="false" outlineLevel="0" collapsed="false">
      <c r="A5362" s="10" t="s">
        <v>7703</v>
      </c>
      <c r="B5362" s="10" t="s">
        <v>81</v>
      </c>
      <c r="C5362" s="10" t="s">
        <v>50</v>
      </c>
      <c r="D5362" s="10" t="s">
        <v>697</v>
      </c>
      <c r="E5362" s="10" t="s">
        <v>2345</v>
      </c>
      <c r="F5362" s="30" t="n">
        <v>43030</v>
      </c>
      <c r="G5362" s="30" t="n">
        <v>43042</v>
      </c>
      <c r="H5362" s="26" t="n">
        <f aca="false">G5362-F5362</f>
        <v>12</v>
      </c>
      <c r="I5362" s="10" t="n">
        <f aca="false">IF(E5362="Won",1,0)</f>
        <v>0</v>
      </c>
    </row>
    <row r="5363" customFormat="false" ht="15" hidden="false" customHeight="false" outlineLevel="0" collapsed="false">
      <c r="A5363" s="10" t="s">
        <v>7704</v>
      </c>
      <c r="B5363" s="10" t="s">
        <v>97</v>
      </c>
      <c r="C5363" s="10" t="s">
        <v>51</v>
      </c>
      <c r="D5363" s="10" t="s">
        <v>210</v>
      </c>
      <c r="E5363" s="10" t="s">
        <v>2342</v>
      </c>
      <c r="F5363" s="30" t="n">
        <v>43033</v>
      </c>
      <c r="G5363" s="30" t="n">
        <v>43042</v>
      </c>
      <c r="H5363" s="26" t="n">
        <f aca="false">G5363-F5363</f>
        <v>9</v>
      </c>
      <c r="I5363" s="10" t="n">
        <f aca="false">IF(E5363="Won",1,0)</f>
        <v>1</v>
      </c>
    </row>
    <row r="5364" customFormat="false" ht="15" hidden="false" customHeight="false" outlineLevel="0" collapsed="false">
      <c r="A5364" s="10" t="s">
        <v>7705</v>
      </c>
      <c r="B5364" s="10" t="s">
        <v>77</v>
      </c>
      <c r="C5364" s="10" t="s">
        <v>48</v>
      </c>
      <c r="D5364" s="10" t="s">
        <v>291</v>
      </c>
      <c r="E5364" s="10" t="s">
        <v>2342</v>
      </c>
      <c r="F5364" s="30" t="n">
        <v>43031</v>
      </c>
      <c r="G5364" s="30" t="n">
        <v>43042</v>
      </c>
      <c r="H5364" s="26" t="n">
        <f aca="false">G5364-F5364</f>
        <v>11</v>
      </c>
      <c r="I5364" s="10" t="n">
        <f aca="false">IF(E5364="Won",1,0)</f>
        <v>1</v>
      </c>
    </row>
    <row r="5365" customFormat="false" ht="15" hidden="false" customHeight="false" outlineLevel="0" collapsed="false">
      <c r="A5365" s="10" t="s">
        <v>7706</v>
      </c>
      <c r="B5365" s="10" t="s">
        <v>71</v>
      </c>
      <c r="C5365" s="10" t="s">
        <v>52</v>
      </c>
      <c r="D5365" s="10" t="s">
        <v>1251</v>
      </c>
      <c r="E5365" s="10" t="s">
        <v>2342</v>
      </c>
      <c r="F5365" s="30" t="n">
        <v>42968</v>
      </c>
      <c r="G5365" s="30" t="n">
        <v>43042</v>
      </c>
      <c r="H5365" s="26" t="n">
        <f aca="false">G5365-F5365</f>
        <v>74</v>
      </c>
      <c r="I5365" s="10" t="n">
        <f aca="false">IF(E5365="Won",1,0)</f>
        <v>1</v>
      </c>
    </row>
    <row r="5366" customFormat="false" ht="15" hidden="false" customHeight="false" outlineLevel="0" collapsed="false">
      <c r="A5366" s="10" t="s">
        <v>7707</v>
      </c>
      <c r="B5366" s="10" t="s">
        <v>66</v>
      </c>
      <c r="C5366" s="10" t="s">
        <v>47</v>
      </c>
      <c r="D5366" s="10" t="s">
        <v>344</v>
      </c>
      <c r="E5366" s="10" t="s">
        <v>2345</v>
      </c>
      <c r="F5366" s="30" t="n">
        <v>42917</v>
      </c>
      <c r="G5366" s="30" t="n">
        <v>43042</v>
      </c>
      <c r="H5366" s="26" t="n">
        <f aca="false">G5366-F5366</f>
        <v>125</v>
      </c>
      <c r="I5366" s="10" t="n">
        <f aca="false">IF(E5366="Won",1,0)</f>
        <v>0</v>
      </c>
    </row>
    <row r="5367" customFormat="false" ht="15" hidden="false" customHeight="false" outlineLevel="0" collapsed="false">
      <c r="A5367" s="10" t="s">
        <v>7708</v>
      </c>
      <c r="B5367" s="10" t="s">
        <v>93</v>
      </c>
      <c r="C5367" s="10" t="s">
        <v>49</v>
      </c>
      <c r="D5367" s="10" t="s">
        <v>168</v>
      </c>
      <c r="E5367" s="10" t="s">
        <v>2342</v>
      </c>
      <c r="F5367" s="30" t="n">
        <v>42926</v>
      </c>
      <c r="G5367" s="30" t="n">
        <v>43042</v>
      </c>
      <c r="H5367" s="26" t="n">
        <f aca="false">G5367-F5367</f>
        <v>116</v>
      </c>
      <c r="I5367" s="10" t="n">
        <f aca="false">IF(E5367="Won",1,0)</f>
        <v>1</v>
      </c>
    </row>
    <row r="5368" customFormat="false" ht="15" hidden="false" customHeight="false" outlineLevel="0" collapsed="false">
      <c r="A5368" s="10" t="s">
        <v>7709</v>
      </c>
      <c r="B5368" s="10" t="s">
        <v>70</v>
      </c>
      <c r="C5368" s="10" t="s">
        <v>51</v>
      </c>
      <c r="D5368" s="10" t="s">
        <v>210</v>
      </c>
      <c r="E5368" s="10" t="s">
        <v>2342</v>
      </c>
      <c r="F5368" s="30" t="n">
        <v>42985</v>
      </c>
      <c r="G5368" s="30" t="n">
        <v>43042</v>
      </c>
      <c r="H5368" s="26" t="n">
        <f aca="false">G5368-F5368</f>
        <v>57</v>
      </c>
      <c r="I5368" s="10" t="n">
        <f aca="false">IF(E5368="Won",1,0)</f>
        <v>1</v>
      </c>
    </row>
    <row r="5369" customFormat="false" ht="15" hidden="false" customHeight="false" outlineLevel="0" collapsed="false">
      <c r="A5369" s="10" t="s">
        <v>7710</v>
      </c>
      <c r="B5369" s="10" t="s">
        <v>96</v>
      </c>
      <c r="C5369" s="10" t="s">
        <v>52</v>
      </c>
      <c r="D5369" s="10" t="s">
        <v>711</v>
      </c>
      <c r="E5369" s="10" t="s">
        <v>2345</v>
      </c>
      <c r="F5369" s="30" t="n">
        <v>42957</v>
      </c>
      <c r="G5369" s="30" t="n">
        <v>43042</v>
      </c>
      <c r="H5369" s="26" t="n">
        <f aca="false">G5369-F5369</f>
        <v>85</v>
      </c>
      <c r="I5369" s="10" t="n">
        <f aca="false">IF(E5369="Won",1,0)</f>
        <v>0</v>
      </c>
    </row>
    <row r="5370" customFormat="false" ht="15" hidden="false" customHeight="false" outlineLevel="0" collapsed="false">
      <c r="A5370" s="10" t="s">
        <v>7711</v>
      </c>
      <c r="B5370" s="10" t="s">
        <v>70</v>
      </c>
      <c r="C5370" s="10" t="s">
        <v>52</v>
      </c>
      <c r="D5370" s="10" t="s">
        <v>233</v>
      </c>
      <c r="E5370" s="10" t="s">
        <v>2345</v>
      </c>
      <c r="F5370" s="30" t="n">
        <v>43039</v>
      </c>
      <c r="G5370" s="30" t="n">
        <v>43042</v>
      </c>
      <c r="H5370" s="26" t="n">
        <f aca="false">G5370-F5370</f>
        <v>3</v>
      </c>
      <c r="I5370" s="10" t="n">
        <f aca="false">IF(E5370="Won",1,0)</f>
        <v>0</v>
      </c>
    </row>
    <row r="5371" customFormat="false" ht="15" hidden="false" customHeight="false" outlineLevel="0" collapsed="false">
      <c r="A5371" s="10" t="s">
        <v>7712</v>
      </c>
      <c r="B5371" s="10" t="s">
        <v>81</v>
      </c>
      <c r="C5371" s="10" t="s">
        <v>47</v>
      </c>
      <c r="D5371" s="10" t="s">
        <v>1948</v>
      </c>
      <c r="E5371" s="10" t="s">
        <v>2342</v>
      </c>
      <c r="F5371" s="30" t="n">
        <v>42971</v>
      </c>
      <c r="G5371" s="30" t="n">
        <v>43042</v>
      </c>
      <c r="H5371" s="26" t="n">
        <f aca="false">G5371-F5371</f>
        <v>71</v>
      </c>
      <c r="I5371" s="10" t="n">
        <f aca="false">IF(E5371="Won",1,0)</f>
        <v>1</v>
      </c>
    </row>
    <row r="5372" customFormat="false" ht="15" hidden="false" customHeight="false" outlineLevel="0" collapsed="false">
      <c r="A5372" s="10" t="s">
        <v>7713</v>
      </c>
      <c r="B5372" s="10" t="s">
        <v>81</v>
      </c>
      <c r="C5372" s="10" t="s">
        <v>50</v>
      </c>
      <c r="D5372" s="10" t="s">
        <v>279</v>
      </c>
      <c r="E5372" s="10" t="s">
        <v>2345</v>
      </c>
      <c r="F5372" s="30" t="n">
        <v>43006</v>
      </c>
      <c r="G5372" s="30" t="n">
        <v>43042</v>
      </c>
      <c r="H5372" s="26" t="n">
        <f aca="false">G5372-F5372</f>
        <v>36</v>
      </c>
      <c r="I5372" s="10" t="n">
        <f aca="false">IF(E5372="Won",1,0)</f>
        <v>0</v>
      </c>
    </row>
    <row r="5373" customFormat="false" ht="15" hidden="false" customHeight="false" outlineLevel="0" collapsed="false">
      <c r="A5373" s="10" t="s">
        <v>7714</v>
      </c>
      <c r="B5373" s="10" t="s">
        <v>88</v>
      </c>
      <c r="C5373" s="10" t="s">
        <v>48</v>
      </c>
      <c r="D5373" s="10" t="s">
        <v>453</v>
      </c>
      <c r="E5373" s="10" t="s">
        <v>2345</v>
      </c>
      <c r="F5373" s="30" t="n">
        <v>42984</v>
      </c>
      <c r="G5373" s="30" t="n">
        <v>43042</v>
      </c>
      <c r="H5373" s="26" t="n">
        <f aca="false">G5373-F5373</f>
        <v>58</v>
      </c>
      <c r="I5373" s="10" t="n">
        <f aca="false">IF(E5373="Won",1,0)</f>
        <v>0</v>
      </c>
    </row>
    <row r="5374" customFormat="false" ht="15" hidden="false" customHeight="false" outlineLevel="0" collapsed="false">
      <c r="A5374" s="10" t="s">
        <v>7715</v>
      </c>
      <c r="B5374" s="10" t="s">
        <v>75</v>
      </c>
      <c r="C5374" s="10" t="s">
        <v>50</v>
      </c>
      <c r="D5374" s="10" t="s">
        <v>961</v>
      </c>
      <c r="E5374" s="10" t="s">
        <v>2345</v>
      </c>
      <c r="F5374" s="30" t="n">
        <v>42968</v>
      </c>
      <c r="G5374" s="30" t="n">
        <v>43042</v>
      </c>
      <c r="H5374" s="26" t="n">
        <f aca="false">G5374-F5374</f>
        <v>74</v>
      </c>
      <c r="I5374" s="10" t="n">
        <f aca="false">IF(E5374="Won",1,0)</f>
        <v>0</v>
      </c>
    </row>
    <row r="5375" customFormat="false" ht="15" hidden="false" customHeight="false" outlineLevel="0" collapsed="false">
      <c r="A5375" s="10" t="s">
        <v>7716</v>
      </c>
      <c r="B5375" s="10" t="s">
        <v>61</v>
      </c>
      <c r="C5375" s="10" t="s">
        <v>49</v>
      </c>
      <c r="D5375" s="10" t="s">
        <v>286</v>
      </c>
      <c r="E5375" s="10" t="s">
        <v>2345</v>
      </c>
      <c r="F5375" s="30" t="n">
        <v>43037</v>
      </c>
      <c r="G5375" s="30" t="n">
        <v>43042</v>
      </c>
      <c r="H5375" s="26" t="n">
        <f aca="false">G5375-F5375</f>
        <v>5</v>
      </c>
      <c r="I5375" s="10" t="n">
        <f aca="false">IF(E5375="Won",1,0)</f>
        <v>0</v>
      </c>
    </row>
    <row r="5376" customFormat="false" ht="15" hidden="false" customHeight="false" outlineLevel="0" collapsed="false">
      <c r="A5376" s="10" t="s">
        <v>7717</v>
      </c>
      <c r="B5376" s="10" t="s">
        <v>83</v>
      </c>
      <c r="C5376" s="10" t="s">
        <v>50</v>
      </c>
      <c r="D5376" s="10" t="s">
        <v>1948</v>
      </c>
      <c r="E5376" s="10" t="s">
        <v>2342</v>
      </c>
      <c r="F5376" s="30" t="n">
        <v>42941</v>
      </c>
      <c r="G5376" s="30" t="n">
        <v>43042</v>
      </c>
      <c r="H5376" s="26" t="n">
        <f aca="false">G5376-F5376</f>
        <v>101</v>
      </c>
      <c r="I5376" s="10" t="n">
        <f aca="false">IF(E5376="Won",1,0)</f>
        <v>1</v>
      </c>
    </row>
    <row r="5377" customFormat="false" ht="15" hidden="false" customHeight="false" outlineLevel="0" collapsed="false">
      <c r="A5377" s="10" t="s">
        <v>7718</v>
      </c>
      <c r="B5377" s="10" t="s">
        <v>57</v>
      </c>
      <c r="C5377" s="10" t="s">
        <v>51</v>
      </c>
      <c r="D5377" s="10" t="s">
        <v>286</v>
      </c>
      <c r="E5377" s="10" t="s">
        <v>2345</v>
      </c>
      <c r="F5377" s="30" t="n">
        <v>42991</v>
      </c>
      <c r="G5377" s="30" t="n">
        <v>43042</v>
      </c>
      <c r="H5377" s="26" t="n">
        <f aca="false">G5377-F5377</f>
        <v>51</v>
      </c>
      <c r="I5377" s="10" t="n">
        <f aca="false">IF(E5377="Won",1,0)</f>
        <v>0</v>
      </c>
    </row>
    <row r="5378" customFormat="false" ht="15" hidden="false" customHeight="false" outlineLevel="0" collapsed="false">
      <c r="A5378" s="10" t="s">
        <v>7719</v>
      </c>
      <c r="B5378" s="10" t="s">
        <v>79</v>
      </c>
      <c r="C5378" s="10" t="s">
        <v>48</v>
      </c>
      <c r="D5378" s="10" t="s">
        <v>193</v>
      </c>
      <c r="E5378" s="10" t="s">
        <v>2345</v>
      </c>
      <c r="F5378" s="30" t="n">
        <v>42981</v>
      </c>
      <c r="G5378" s="30" t="n">
        <v>43043</v>
      </c>
      <c r="H5378" s="26" t="n">
        <f aca="false">G5378-F5378</f>
        <v>62</v>
      </c>
      <c r="I5378" s="10" t="n">
        <f aca="false">IF(E5378="Won",1,0)</f>
        <v>0</v>
      </c>
    </row>
    <row r="5379" customFormat="false" ht="15" hidden="false" customHeight="false" outlineLevel="0" collapsed="false">
      <c r="A5379" s="10" t="s">
        <v>7720</v>
      </c>
      <c r="B5379" s="10" t="s">
        <v>70</v>
      </c>
      <c r="C5379" s="10" t="s">
        <v>49</v>
      </c>
      <c r="D5379" s="10" t="s">
        <v>432</v>
      </c>
      <c r="E5379" s="10" t="s">
        <v>2342</v>
      </c>
      <c r="F5379" s="30" t="n">
        <v>42973</v>
      </c>
      <c r="G5379" s="30" t="n">
        <v>43043</v>
      </c>
      <c r="H5379" s="26" t="n">
        <f aca="false">G5379-F5379</f>
        <v>70</v>
      </c>
      <c r="I5379" s="10" t="n">
        <f aca="false">IF(E5379="Won",1,0)</f>
        <v>1</v>
      </c>
    </row>
    <row r="5380" customFormat="false" ht="15" hidden="false" customHeight="false" outlineLevel="0" collapsed="false">
      <c r="A5380" s="10" t="s">
        <v>7721</v>
      </c>
      <c r="B5380" s="10" t="s">
        <v>87</v>
      </c>
      <c r="C5380" s="10" t="s">
        <v>50</v>
      </c>
      <c r="D5380" s="10" t="s">
        <v>1397</v>
      </c>
      <c r="E5380" s="10" t="s">
        <v>2342</v>
      </c>
      <c r="F5380" s="30" t="n">
        <v>43015</v>
      </c>
      <c r="G5380" s="30" t="n">
        <v>43043</v>
      </c>
      <c r="H5380" s="26" t="n">
        <f aca="false">G5380-F5380</f>
        <v>28</v>
      </c>
      <c r="I5380" s="10" t="n">
        <f aca="false">IF(E5380="Won",1,0)</f>
        <v>1</v>
      </c>
    </row>
    <row r="5381" customFormat="false" ht="15" hidden="false" customHeight="false" outlineLevel="0" collapsed="false">
      <c r="A5381" s="10" t="s">
        <v>7722</v>
      </c>
      <c r="B5381" s="10" t="s">
        <v>70</v>
      </c>
      <c r="C5381" s="10" t="s">
        <v>49</v>
      </c>
      <c r="D5381" s="10" t="s">
        <v>432</v>
      </c>
      <c r="E5381" s="10" t="s">
        <v>2345</v>
      </c>
      <c r="F5381" s="30" t="n">
        <v>43034</v>
      </c>
      <c r="G5381" s="30" t="n">
        <v>43043</v>
      </c>
      <c r="H5381" s="26" t="n">
        <f aca="false">G5381-F5381</f>
        <v>9</v>
      </c>
      <c r="I5381" s="10" t="n">
        <f aca="false">IF(E5381="Won",1,0)</f>
        <v>0</v>
      </c>
    </row>
    <row r="5382" customFormat="false" ht="15" hidden="false" customHeight="false" outlineLevel="0" collapsed="false">
      <c r="A5382" s="10" t="s">
        <v>7723</v>
      </c>
      <c r="B5382" s="10" t="s">
        <v>94</v>
      </c>
      <c r="C5382" s="10" t="s">
        <v>50</v>
      </c>
      <c r="D5382" s="10" t="s">
        <v>514</v>
      </c>
      <c r="E5382" s="10" t="s">
        <v>2345</v>
      </c>
      <c r="F5382" s="30" t="n">
        <v>42953</v>
      </c>
      <c r="G5382" s="30" t="n">
        <v>43043</v>
      </c>
      <c r="H5382" s="26" t="n">
        <f aca="false">G5382-F5382</f>
        <v>90</v>
      </c>
      <c r="I5382" s="10" t="n">
        <f aca="false">IF(E5382="Won",1,0)</f>
        <v>0</v>
      </c>
    </row>
    <row r="5383" customFormat="false" ht="15" hidden="false" customHeight="false" outlineLevel="0" collapsed="false">
      <c r="A5383" s="10" t="s">
        <v>7724</v>
      </c>
      <c r="B5383" s="10" t="s">
        <v>94</v>
      </c>
      <c r="C5383" s="10" t="s">
        <v>51</v>
      </c>
      <c r="D5383" s="10" t="s">
        <v>233</v>
      </c>
      <c r="E5383" s="10" t="s">
        <v>2345</v>
      </c>
      <c r="F5383" s="30" t="n">
        <v>42935</v>
      </c>
      <c r="G5383" s="30" t="n">
        <v>43043</v>
      </c>
      <c r="H5383" s="26" t="n">
        <f aca="false">G5383-F5383</f>
        <v>108</v>
      </c>
      <c r="I5383" s="10" t="n">
        <f aca="false">IF(E5383="Won",1,0)</f>
        <v>0</v>
      </c>
    </row>
    <row r="5384" customFormat="false" ht="15" hidden="false" customHeight="false" outlineLevel="0" collapsed="false">
      <c r="A5384" s="10" t="s">
        <v>7725</v>
      </c>
      <c r="B5384" s="10" t="s">
        <v>76</v>
      </c>
      <c r="C5384" s="10" t="s">
        <v>52</v>
      </c>
      <c r="D5384" s="10" t="s">
        <v>388</v>
      </c>
      <c r="E5384" s="10" t="s">
        <v>2345</v>
      </c>
      <c r="F5384" s="30" t="n">
        <v>42938</v>
      </c>
      <c r="G5384" s="30" t="n">
        <v>43043</v>
      </c>
      <c r="H5384" s="26" t="n">
        <f aca="false">G5384-F5384</f>
        <v>105</v>
      </c>
      <c r="I5384" s="10" t="n">
        <f aca="false">IF(E5384="Won",1,0)</f>
        <v>0</v>
      </c>
    </row>
    <row r="5385" customFormat="false" ht="15" hidden="false" customHeight="false" outlineLevel="0" collapsed="false">
      <c r="A5385" s="10" t="s">
        <v>7726</v>
      </c>
      <c r="B5385" s="10" t="s">
        <v>95</v>
      </c>
      <c r="C5385" s="10" t="s">
        <v>51</v>
      </c>
      <c r="D5385" s="10" t="s">
        <v>424</v>
      </c>
      <c r="E5385" s="10" t="s">
        <v>2342</v>
      </c>
      <c r="F5385" s="30" t="n">
        <v>43010</v>
      </c>
      <c r="G5385" s="30" t="n">
        <v>43043</v>
      </c>
      <c r="H5385" s="26" t="n">
        <f aca="false">G5385-F5385</f>
        <v>33</v>
      </c>
      <c r="I5385" s="10" t="n">
        <f aca="false">IF(E5385="Won",1,0)</f>
        <v>1</v>
      </c>
    </row>
    <row r="5386" customFormat="false" ht="15" hidden="false" customHeight="false" outlineLevel="0" collapsed="false">
      <c r="A5386" s="10" t="s">
        <v>7727</v>
      </c>
      <c r="B5386" s="10" t="s">
        <v>97</v>
      </c>
      <c r="C5386" s="10" t="s">
        <v>52</v>
      </c>
      <c r="D5386" s="10" t="s">
        <v>487</v>
      </c>
      <c r="E5386" s="10" t="s">
        <v>2345</v>
      </c>
      <c r="F5386" s="30" t="n">
        <v>42986</v>
      </c>
      <c r="G5386" s="30" t="n">
        <v>43043</v>
      </c>
      <c r="H5386" s="26" t="n">
        <f aca="false">G5386-F5386</f>
        <v>57</v>
      </c>
      <c r="I5386" s="10" t="n">
        <f aca="false">IF(E5386="Won",1,0)</f>
        <v>0</v>
      </c>
    </row>
    <row r="5387" customFormat="false" ht="15" hidden="false" customHeight="false" outlineLevel="0" collapsed="false">
      <c r="A5387" s="10" t="s">
        <v>7728</v>
      </c>
      <c r="B5387" s="10" t="s">
        <v>80</v>
      </c>
      <c r="C5387" s="10" t="s">
        <v>52</v>
      </c>
      <c r="D5387" s="10" t="s">
        <v>527</v>
      </c>
      <c r="E5387" s="10" t="s">
        <v>2345</v>
      </c>
      <c r="F5387" s="30" t="n">
        <v>42931</v>
      </c>
      <c r="G5387" s="30" t="n">
        <v>43043</v>
      </c>
      <c r="H5387" s="26" t="n">
        <f aca="false">G5387-F5387</f>
        <v>112</v>
      </c>
      <c r="I5387" s="10" t="n">
        <f aca="false">IF(E5387="Won",1,0)</f>
        <v>0</v>
      </c>
    </row>
    <row r="5388" customFormat="false" ht="15" hidden="false" customHeight="false" outlineLevel="0" collapsed="false">
      <c r="A5388" s="10" t="s">
        <v>7729</v>
      </c>
      <c r="B5388" s="10" t="s">
        <v>86</v>
      </c>
      <c r="C5388" s="10" t="s">
        <v>48</v>
      </c>
      <c r="D5388" s="10" t="s">
        <v>637</v>
      </c>
      <c r="E5388" s="10" t="s">
        <v>2342</v>
      </c>
      <c r="F5388" s="30" t="n">
        <v>43038</v>
      </c>
      <c r="G5388" s="30" t="n">
        <v>43043</v>
      </c>
      <c r="H5388" s="26" t="n">
        <f aca="false">G5388-F5388</f>
        <v>5</v>
      </c>
      <c r="I5388" s="10" t="n">
        <f aca="false">IF(E5388="Won",1,0)</f>
        <v>1</v>
      </c>
    </row>
    <row r="5389" customFormat="false" ht="15" hidden="false" customHeight="false" outlineLevel="0" collapsed="false">
      <c r="A5389" s="10" t="s">
        <v>7730</v>
      </c>
      <c r="B5389" s="10" t="s">
        <v>93</v>
      </c>
      <c r="C5389" s="10" t="s">
        <v>52</v>
      </c>
      <c r="D5389" s="10" t="s">
        <v>419</v>
      </c>
      <c r="E5389" s="10" t="s">
        <v>2345</v>
      </c>
      <c r="F5389" s="30" t="n">
        <v>42977</v>
      </c>
      <c r="G5389" s="30" t="n">
        <v>43043</v>
      </c>
      <c r="H5389" s="26" t="n">
        <f aca="false">G5389-F5389</f>
        <v>66</v>
      </c>
      <c r="I5389" s="10" t="n">
        <f aca="false">IF(E5389="Won",1,0)</f>
        <v>0</v>
      </c>
    </row>
    <row r="5390" customFormat="false" ht="15" hidden="false" customHeight="false" outlineLevel="0" collapsed="false">
      <c r="A5390" s="10" t="s">
        <v>7731</v>
      </c>
      <c r="B5390" s="10" t="s">
        <v>77</v>
      </c>
      <c r="C5390" s="10" t="s">
        <v>48</v>
      </c>
      <c r="D5390" s="10" t="s">
        <v>527</v>
      </c>
      <c r="E5390" s="10" t="s">
        <v>2342</v>
      </c>
      <c r="F5390" s="30" t="n">
        <v>42961</v>
      </c>
      <c r="G5390" s="30" t="n">
        <v>43043</v>
      </c>
      <c r="H5390" s="26" t="n">
        <f aca="false">G5390-F5390</f>
        <v>82</v>
      </c>
      <c r="I5390" s="10" t="n">
        <f aca="false">IF(E5390="Won",1,0)</f>
        <v>1</v>
      </c>
    </row>
    <row r="5391" customFormat="false" ht="15" hidden="false" customHeight="false" outlineLevel="0" collapsed="false">
      <c r="A5391" s="10" t="s">
        <v>7732</v>
      </c>
      <c r="B5391" s="10" t="s">
        <v>57</v>
      </c>
      <c r="C5391" s="10" t="s">
        <v>48</v>
      </c>
      <c r="D5391" s="10" t="s">
        <v>332</v>
      </c>
      <c r="E5391" s="10" t="s">
        <v>2342</v>
      </c>
      <c r="F5391" s="30" t="n">
        <v>43034</v>
      </c>
      <c r="G5391" s="30" t="n">
        <v>43043</v>
      </c>
      <c r="H5391" s="26" t="n">
        <f aca="false">G5391-F5391</f>
        <v>9</v>
      </c>
      <c r="I5391" s="10" t="n">
        <f aca="false">IF(E5391="Won",1,0)</f>
        <v>1</v>
      </c>
    </row>
    <row r="5392" customFormat="false" ht="15" hidden="false" customHeight="false" outlineLevel="0" collapsed="false">
      <c r="A5392" s="10" t="s">
        <v>7733</v>
      </c>
      <c r="B5392" s="10" t="s">
        <v>79</v>
      </c>
      <c r="C5392" s="10" t="s">
        <v>48</v>
      </c>
      <c r="D5392" s="10" t="s">
        <v>311</v>
      </c>
      <c r="E5392" s="10" t="s">
        <v>2342</v>
      </c>
      <c r="F5392" s="30" t="n">
        <v>42979</v>
      </c>
      <c r="G5392" s="30" t="n">
        <v>43043</v>
      </c>
      <c r="H5392" s="26" t="n">
        <f aca="false">G5392-F5392</f>
        <v>64</v>
      </c>
      <c r="I5392" s="10" t="n">
        <f aca="false">IF(E5392="Won",1,0)</f>
        <v>1</v>
      </c>
    </row>
    <row r="5393" customFormat="false" ht="15" hidden="false" customHeight="false" outlineLevel="0" collapsed="false">
      <c r="A5393" s="10" t="s">
        <v>7734</v>
      </c>
      <c r="B5393" s="10" t="s">
        <v>62</v>
      </c>
      <c r="C5393" s="10" t="s">
        <v>52</v>
      </c>
      <c r="D5393" s="10" t="s">
        <v>405</v>
      </c>
      <c r="E5393" s="10" t="s">
        <v>2342</v>
      </c>
      <c r="F5393" s="30" t="n">
        <v>42954</v>
      </c>
      <c r="G5393" s="30" t="n">
        <v>43043</v>
      </c>
      <c r="H5393" s="26" t="n">
        <f aca="false">G5393-F5393</f>
        <v>89</v>
      </c>
      <c r="I5393" s="10" t="n">
        <f aca="false">IF(E5393="Won",1,0)</f>
        <v>1</v>
      </c>
    </row>
    <row r="5394" customFormat="false" ht="15" hidden="false" customHeight="false" outlineLevel="0" collapsed="false">
      <c r="A5394" s="10" t="s">
        <v>7735</v>
      </c>
      <c r="B5394" s="10" t="s">
        <v>68</v>
      </c>
      <c r="C5394" s="10" t="s">
        <v>52</v>
      </c>
      <c r="D5394" s="10" t="s">
        <v>199</v>
      </c>
      <c r="E5394" s="10" t="s">
        <v>2342</v>
      </c>
      <c r="F5394" s="30" t="n">
        <v>42965</v>
      </c>
      <c r="G5394" s="30" t="n">
        <v>43043</v>
      </c>
      <c r="H5394" s="26" t="n">
        <f aca="false">G5394-F5394</f>
        <v>78</v>
      </c>
      <c r="I5394" s="10" t="n">
        <f aca="false">IF(E5394="Won",1,0)</f>
        <v>1</v>
      </c>
    </row>
    <row r="5395" customFormat="false" ht="15" hidden="false" customHeight="false" outlineLevel="0" collapsed="false">
      <c r="A5395" s="10" t="s">
        <v>7736</v>
      </c>
      <c r="B5395" s="10" t="s">
        <v>76</v>
      </c>
      <c r="C5395" s="10" t="s">
        <v>49</v>
      </c>
      <c r="D5395" s="10" t="s">
        <v>512</v>
      </c>
      <c r="E5395" s="10" t="s">
        <v>2342</v>
      </c>
      <c r="F5395" s="30" t="n">
        <v>42941</v>
      </c>
      <c r="G5395" s="30" t="n">
        <v>43043</v>
      </c>
      <c r="H5395" s="26" t="n">
        <f aca="false">G5395-F5395</f>
        <v>102</v>
      </c>
      <c r="I5395" s="10" t="n">
        <f aca="false">IF(E5395="Won",1,0)</f>
        <v>1</v>
      </c>
    </row>
    <row r="5396" customFormat="false" ht="15" hidden="false" customHeight="false" outlineLevel="0" collapsed="false">
      <c r="A5396" s="10" t="s">
        <v>7737</v>
      </c>
      <c r="B5396" s="10" t="s">
        <v>70</v>
      </c>
      <c r="C5396" s="10" t="s">
        <v>51</v>
      </c>
      <c r="D5396" s="10" t="s">
        <v>286</v>
      </c>
      <c r="E5396" s="10" t="s">
        <v>2342</v>
      </c>
      <c r="F5396" s="30" t="n">
        <v>43038</v>
      </c>
      <c r="G5396" s="30" t="n">
        <v>43043</v>
      </c>
      <c r="H5396" s="26" t="n">
        <f aca="false">G5396-F5396</f>
        <v>5</v>
      </c>
      <c r="I5396" s="10" t="n">
        <f aca="false">IF(E5396="Won",1,0)</f>
        <v>1</v>
      </c>
    </row>
    <row r="5397" customFormat="false" ht="15" hidden="false" customHeight="false" outlineLevel="0" collapsed="false">
      <c r="A5397" s="10" t="s">
        <v>7738</v>
      </c>
      <c r="B5397" s="10" t="s">
        <v>60</v>
      </c>
      <c r="C5397" s="10" t="s">
        <v>48</v>
      </c>
      <c r="D5397" s="10" t="s">
        <v>332</v>
      </c>
      <c r="E5397" s="10" t="s">
        <v>2345</v>
      </c>
      <c r="F5397" s="30" t="n">
        <v>43031</v>
      </c>
      <c r="G5397" s="30" t="n">
        <v>43043</v>
      </c>
      <c r="H5397" s="26" t="n">
        <f aca="false">G5397-F5397</f>
        <v>12</v>
      </c>
      <c r="I5397" s="10" t="n">
        <f aca="false">IF(E5397="Won",1,0)</f>
        <v>0</v>
      </c>
    </row>
    <row r="5398" customFormat="false" ht="15" hidden="false" customHeight="false" outlineLevel="0" collapsed="false">
      <c r="A5398" s="10" t="s">
        <v>7739</v>
      </c>
      <c r="B5398" s="10" t="s">
        <v>77</v>
      </c>
      <c r="C5398" s="10" t="s">
        <v>49</v>
      </c>
      <c r="D5398" s="10" t="s">
        <v>961</v>
      </c>
      <c r="E5398" s="10" t="s">
        <v>2345</v>
      </c>
      <c r="F5398" s="30" t="n">
        <v>43037</v>
      </c>
      <c r="G5398" s="30" t="n">
        <v>43043</v>
      </c>
      <c r="H5398" s="26" t="n">
        <f aca="false">G5398-F5398</f>
        <v>6</v>
      </c>
      <c r="I5398" s="10" t="n">
        <f aca="false">IF(E5398="Won",1,0)</f>
        <v>0</v>
      </c>
    </row>
    <row r="5399" customFormat="false" ht="15" hidden="false" customHeight="false" outlineLevel="0" collapsed="false">
      <c r="A5399" s="10" t="s">
        <v>7740</v>
      </c>
      <c r="B5399" s="10" t="s">
        <v>80</v>
      </c>
      <c r="C5399" s="10" t="s">
        <v>51</v>
      </c>
      <c r="D5399" s="10" t="s">
        <v>422</v>
      </c>
      <c r="E5399" s="10" t="s">
        <v>2345</v>
      </c>
      <c r="F5399" s="30" t="n">
        <v>42986</v>
      </c>
      <c r="G5399" s="30" t="n">
        <v>43043</v>
      </c>
      <c r="H5399" s="26" t="n">
        <f aca="false">G5399-F5399</f>
        <v>57</v>
      </c>
      <c r="I5399" s="10" t="n">
        <f aca="false">IF(E5399="Won",1,0)</f>
        <v>0</v>
      </c>
    </row>
    <row r="5400" customFormat="false" ht="15" hidden="false" customHeight="false" outlineLevel="0" collapsed="false">
      <c r="A5400" s="10" t="s">
        <v>7741</v>
      </c>
      <c r="B5400" s="10" t="s">
        <v>93</v>
      </c>
      <c r="C5400" s="10" t="s">
        <v>51</v>
      </c>
      <c r="D5400" s="10" t="s">
        <v>299</v>
      </c>
      <c r="E5400" s="10" t="s">
        <v>2342</v>
      </c>
      <c r="F5400" s="30" t="n">
        <v>42986</v>
      </c>
      <c r="G5400" s="30" t="n">
        <v>43043</v>
      </c>
      <c r="H5400" s="26" t="n">
        <f aca="false">G5400-F5400</f>
        <v>57</v>
      </c>
      <c r="I5400" s="10" t="n">
        <f aca="false">IF(E5400="Won",1,0)</f>
        <v>1</v>
      </c>
    </row>
    <row r="5401" customFormat="false" ht="15" hidden="false" customHeight="false" outlineLevel="0" collapsed="false">
      <c r="A5401" s="10" t="s">
        <v>7742</v>
      </c>
      <c r="B5401" s="10" t="s">
        <v>95</v>
      </c>
      <c r="C5401" s="10" t="s">
        <v>51</v>
      </c>
      <c r="D5401" s="10" t="s">
        <v>606</v>
      </c>
      <c r="E5401" s="10" t="s">
        <v>2342</v>
      </c>
      <c r="F5401" s="30" t="n">
        <v>42974</v>
      </c>
      <c r="G5401" s="30" t="n">
        <v>43043</v>
      </c>
      <c r="H5401" s="26" t="n">
        <f aca="false">G5401-F5401</f>
        <v>69</v>
      </c>
      <c r="I5401" s="10" t="n">
        <f aca="false">IF(E5401="Won",1,0)</f>
        <v>1</v>
      </c>
    </row>
    <row r="5402" customFormat="false" ht="15" hidden="false" customHeight="false" outlineLevel="0" collapsed="false">
      <c r="A5402" s="10" t="s">
        <v>7743</v>
      </c>
      <c r="B5402" s="10" t="s">
        <v>77</v>
      </c>
      <c r="C5402" s="10" t="s">
        <v>48</v>
      </c>
      <c r="D5402" s="10" t="s">
        <v>961</v>
      </c>
      <c r="E5402" s="10" t="s">
        <v>2342</v>
      </c>
      <c r="F5402" s="30" t="n">
        <v>42959</v>
      </c>
      <c r="G5402" s="30" t="n">
        <v>43043</v>
      </c>
      <c r="H5402" s="26" t="n">
        <f aca="false">G5402-F5402</f>
        <v>84</v>
      </c>
      <c r="I5402" s="10" t="n">
        <f aca="false">IF(E5402="Won",1,0)</f>
        <v>1</v>
      </c>
    </row>
    <row r="5403" customFormat="false" ht="15" hidden="false" customHeight="false" outlineLevel="0" collapsed="false">
      <c r="A5403" s="10" t="s">
        <v>7744</v>
      </c>
      <c r="B5403" s="10" t="s">
        <v>57</v>
      </c>
      <c r="C5403" s="10" t="s">
        <v>47</v>
      </c>
      <c r="D5403" s="10" t="s">
        <v>464</v>
      </c>
      <c r="E5403" s="10" t="s">
        <v>2342</v>
      </c>
      <c r="F5403" s="30" t="n">
        <v>42965</v>
      </c>
      <c r="G5403" s="30" t="n">
        <v>43043</v>
      </c>
      <c r="H5403" s="26" t="n">
        <f aca="false">G5403-F5403</f>
        <v>78</v>
      </c>
      <c r="I5403" s="10" t="n">
        <f aca="false">IF(E5403="Won",1,0)</f>
        <v>1</v>
      </c>
    </row>
    <row r="5404" customFormat="false" ht="15" hidden="false" customHeight="false" outlineLevel="0" collapsed="false">
      <c r="A5404" s="10" t="s">
        <v>7745</v>
      </c>
      <c r="B5404" s="10" t="s">
        <v>66</v>
      </c>
      <c r="C5404" s="10" t="s">
        <v>49</v>
      </c>
      <c r="D5404" s="10" t="s">
        <v>337</v>
      </c>
      <c r="E5404" s="10" t="s">
        <v>2342</v>
      </c>
      <c r="F5404" s="30" t="n">
        <v>42951</v>
      </c>
      <c r="G5404" s="30" t="n">
        <v>43043</v>
      </c>
      <c r="H5404" s="26" t="n">
        <f aca="false">G5404-F5404</f>
        <v>92</v>
      </c>
      <c r="I5404" s="10" t="n">
        <f aca="false">IF(E5404="Won",1,0)</f>
        <v>1</v>
      </c>
    </row>
    <row r="5405" customFormat="false" ht="15" hidden="false" customHeight="false" outlineLevel="0" collapsed="false">
      <c r="A5405" s="10" t="s">
        <v>7746</v>
      </c>
      <c r="B5405" s="10" t="s">
        <v>71</v>
      </c>
      <c r="C5405" s="10" t="s">
        <v>52</v>
      </c>
      <c r="D5405" s="10" t="s">
        <v>279</v>
      </c>
      <c r="E5405" s="10" t="s">
        <v>2345</v>
      </c>
      <c r="F5405" s="30" t="n">
        <v>42980</v>
      </c>
      <c r="G5405" s="30" t="n">
        <v>43043</v>
      </c>
      <c r="H5405" s="26" t="n">
        <f aca="false">G5405-F5405</f>
        <v>63</v>
      </c>
      <c r="I5405" s="10" t="n">
        <f aca="false">IF(E5405="Won",1,0)</f>
        <v>0</v>
      </c>
    </row>
    <row r="5406" customFormat="false" ht="15" hidden="false" customHeight="false" outlineLevel="0" collapsed="false">
      <c r="A5406" s="10" t="s">
        <v>7747</v>
      </c>
      <c r="B5406" s="10" t="s">
        <v>57</v>
      </c>
      <c r="C5406" s="10" t="s">
        <v>50</v>
      </c>
      <c r="D5406" s="10" t="s">
        <v>286</v>
      </c>
      <c r="E5406" s="10" t="s">
        <v>2345</v>
      </c>
      <c r="F5406" s="30" t="n">
        <v>42953</v>
      </c>
      <c r="G5406" s="30" t="n">
        <v>43043</v>
      </c>
      <c r="H5406" s="26" t="n">
        <f aca="false">G5406-F5406</f>
        <v>90</v>
      </c>
      <c r="I5406" s="10" t="n">
        <f aca="false">IF(E5406="Won",1,0)</f>
        <v>0</v>
      </c>
    </row>
    <row r="5407" customFormat="false" ht="15" hidden="false" customHeight="false" outlineLevel="0" collapsed="false">
      <c r="A5407" s="10" t="s">
        <v>7748</v>
      </c>
      <c r="B5407" s="10" t="s">
        <v>80</v>
      </c>
      <c r="C5407" s="10" t="s">
        <v>51</v>
      </c>
      <c r="D5407" s="10" t="s">
        <v>527</v>
      </c>
      <c r="E5407" s="10" t="s">
        <v>2345</v>
      </c>
      <c r="F5407" s="30" t="n">
        <v>42938</v>
      </c>
      <c r="G5407" s="30" t="n">
        <v>43044</v>
      </c>
      <c r="H5407" s="26" t="n">
        <f aca="false">G5407-F5407</f>
        <v>106</v>
      </c>
      <c r="I5407" s="10" t="n">
        <f aca="false">IF(E5407="Won",1,0)</f>
        <v>0</v>
      </c>
    </row>
    <row r="5408" customFormat="false" ht="15" hidden="false" customHeight="false" outlineLevel="0" collapsed="false">
      <c r="A5408" s="10" t="s">
        <v>7749</v>
      </c>
      <c r="B5408" s="10" t="s">
        <v>70</v>
      </c>
      <c r="C5408" s="10" t="s">
        <v>49</v>
      </c>
      <c r="D5408" s="10" t="s">
        <v>348</v>
      </c>
      <c r="E5408" s="10" t="s">
        <v>2345</v>
      </c>
      <c r="F5408" s="30" t="n">
        <v>42927</v>
      </c>
      <c r="G5408" s="30" t="n">
        <v>43044</v>
      </c>
      <c r="H5408" s="26" t="n">
        <f aca="false">G5408-F5408</f>
        <v>117</v>
      </c>
      <c r="I5408" s="10" t="n">
        <f aca="false">IF(E5408="Won",1,0)</f>
        <v>0</v>
      </c>
    </row>
    <row r="5409" customFormat="false" ht="15" hidden="false" customHeight="false" outlineLevel="0" collapsed="false">
      <c r="A5409" s="10" t="s">
        <v>7750</v>
      </c>
      <c r="B5409" s="10" t="s">
        <v>88</v>
      </c>
      <c r="C5409" s="10" t="s">
        <v>51</v>
      </c>
      <c r="D5409" s="10" t="s">
        <v>405</v>
      </c>
      <c r="E5409" s="10" t="s">
        <v>2342</v>
      </c>
      <c r="F5409" s="30" t="n">
        <v>43033</v>
      </c>
      <c r="G5409" s="30" t="n">
        <v>43044</v>
      </c>
      <c r="H5409" s="26" t="n">
        <f aca="false">G5409-F5409</f>
        <v>11</v>
      </c>
      <c r="I5409" s="10" t="n">
        <f aca="false">IF(E5409="Won",1,0)</f>
        <v>1</v>
      </c>
    </row>
    <row r="5410" customFormat="false" ht="15" hidden="false" customHeight="false" outlineLevel="0" collapsed="false">
      <c r="A5410" s="10" t="s">
        <v>7751</v>
      </c>
      <c r="B5410" s="10" t="s">
        <v>90</v>
      </c>
      <c r="C5410" s="10" t="s">
        <v>49</v>
      </c>
      <c r="D5410" s="10" t="s">
        <v>359</v>
      </c>
      <c r="E5410" s="10" t="s">
        <v>2342</v>
      </c>
      <c r="F5410" s="30" t="n">
        <v>43035</v>
      </c>
      <c r="G5410" s="30" t="n">
        <v>43044</v>
      </c>
      <c r="H5410" s="26" t="n">
        <f aca="false">G5410-F5410</f>
        <v>9</v>
      </c>
      <c r="I5410" s="10" t="n">
        <f aca="false">IF(E5410="Won",1,0)</f>
        <v>1</v>
      </c>
    </row>
    <row r="5411" customFormat="false" ht="15" hidden="false" customHeight="false" outlineLevel="0" collapsed="false">
      <c r="A5411" s="10" t="s">
        <v>7752</v>
      </c>
      <c r="B5411" s="10" t="s">
        <v>70</v>
      </c>
      <c r="C5411" s="10" t="s">
        <v>51</v>
      </c>
      <c r="D5411" s="10" t="s">
        <v>344</v>
      </c>
      <c r="E5411" s="10" t="s">
        <v>2345</v>
      </c>
      <c r="F5411" s="30" t="n">
        <v>42996</v>
      </c>
      <c r="G5411" s="30" t="n">
        <v>43044</v>
      </c>
      <c r="H5411" s="26" t="n">
        <f aca="false">G5411-F5411</f>
        <v>48</v>
      </c>
      <c r="I5411" s="10" t="n">
        <f aca="false">IF(E5411="Won",1,0)</f>
        <v>0</v>
      </c>
    </row>
    <row r="5412" customFormat="false" ht="15" hidden="false" customHeight="false" outlineLevel="0" collapsed="false">
      <c r="A5412" s="10" t="s">
        <v>7753</v>
      </c>
      <c r="B5412" s="10" t="s">
        <v>87</v>
      </c>
      <c r="C5412" s="10" t="s">
        <v>50</v>
      </c>
      <c r="D5412" s="10" t="s">
        <v>210</v>
      </c>
      <c r="E5412" s="10" t="s">
        <v>2345</v>
      </c>
      <c r="F5412" s="30" t="n">
        <v>43041</v>
      </c>
      <c r="G5412" s="30" t="n">
        <v>43044</v>
      </c>
      <c r="H5412" s="26" t="n">
        <f aca="false">G5412-F5412</f>
        <v>3</v>
      </c>
      <c r="I5412" s="10" t="n">
        <f aca="false">IF(E5412="Won",1,0)</f>
        <v>0</v>
      </c>
    </row>
    <row r="5413" customFormat="false" ht="15" hidden="false" customHeight="false" outlineLevel="0" collapsed="false">
      <c r="A5413" s="10" t="s">
        <v>7754</v>
      </c>
      <c r="B5413" s="10" t="s">
        <v>71</v>
      </c>
      <c r="C5413" s="10" t="s">
        <v>52</v>
      </c>
      <c r="D5413" s="10" t="s">
        <v>762</v>
      </c>
      <c r="E5413" s="10" t="s">
        <v>2342</v>
      </c>
      <c r="F5413" s="30" t="n">
        <v>42962</v>
      </c>
      <c r="G5413" s="30" t="n">
        <v>43044</v>
      </c>
      <c r="H5413" s="26" t="n">
        <f aca="false">G5413-F5413</f>
        <v>82</v>
      </c>
      <c r="I5413" s="10" t="n">
        <f aca="false">IF(E5413="Won",1,0)</f>
        <v>1</v>
      </c>
    </row>
    <row r="5414" customFormat="false" ht="15" hidden="false" customHeight="false" outlineLevel="0" collapsed="false">
      <c r="A5414" s="10" t="s">
        <v>7755</v>
      </c>
      <c r="B5414" s="10" t="s">
        <v>97</v>
      </c>
      <c r="C5414" s="10" t="s">
        <v>48</v>
      </c>
      <c r="D5414" s="10" t="s">
        <v>437</v>
      </c>
      <c r="E5414" s="10" t="s">
        <v>2342</v>
      </c>
      <c r="F5414" s="30" t="n">
        <v>42992</v>
      </c>
      <c r="G5414" s="30" t="n">
        <v>43044</v>
      </c>
      <c r="H5414" s="26" t="n">
        <f aca="false">G5414-F5414</f>
        <v>52</v>
      </c>
      <c r="I5414" s="10" t="n">
        <f aca="false">IF(E5414="Won",1,0)</f>
        <v>1</v>
      </c>
    </row>
    <row r="5415" customFormat="false" ht="15" hidden="false" customHeight="false" outlineLevel="0" collapsed="false">
      <c r="A5415" s="10" t="s">
        <v>7756</v>
      </c>
      <c r="B5415" s="10" t="s">
        <v>93</v>
      </c>
      <c r="C5415" s="10" t="s">
        <v>47</v>
      </c>
      <c r="D5415" s="10" t="s">
        <v>424</v>
      </c>
      <c r="E5415" s="10" t="s">
        <v>2345</v>
      </c>
      <c r="F5415" s="30" t="n">
        <v>42980</v>
      </c>
      <c r="G5415" s="30" t="n">
        <v>43044</v>
      </c>
      <c r="H5415" s="26" t="n">
        <f aca="false">G5415-F5415</f>
        <v>64</v>
      </c>
      <c r="I5415" s="10" t="n">
        <f aca="false">IF(E5415="Won",1,0)</f>
        <v>0</v>
      </c>
    </row>
    <row r="5416" customFormat="false" ht="15" hidden="false" customHeight="false" outlineLevel="0" collapsed="false">
      <c r="A5416" s="10" t="s">
        <v>7757</v>
      </c>
      <c r="B5416" s="10" t="s">
        <v>61</v>
      </c>
      <c r="C5416" s="10" t="s">
        <v>52</v>
      </c>
      <c r="D5416" s="10" t="s">
        <v>453</v>
      </c>
      <c r="E5416" s="10" t="s">
        <v>2342</v>
      </c>
      <c r="F5416" s="30" t="n">
        <v>42979</v>
      </c>
      <c r="G5416" s="30" t="n">
        <v>43044</v>
      </c>
      <c r="H5416" s="26" t="n">
        <f aca="false">G5416-F5416</f>
        <v>65</v>
      </c>
      <c r="I5416" s="10" t="n">
        <f aca="false">IF(E5416="Won",1,0)</f>
        <v>1</v>
      </c>
    </row>
    <row r="5417" customFormat="false" ht="15" hidden="false" customHeight="false" outlineLevel="0" collapsed="false">
      <c r="A5417" s="10" t="s">
        <v>7758</v>
      </c>
      <c r="B5417" s="10" t="s">
        <v>81</v>
      </c>
      <c r="C5417" s="10" t="s">
        <v>48</v>
      </c>
      <c r="D5417" s="10" t="s">
        <v>267</v>
      </c>
      <c r="E5417" s="10" t="s">
        <v>2345</v>
      </c>
      <c r="F5417" s="30" t="n">
        <v>43043</v>
      </c>
      <c r="G5417" s="30" t="n">
        <v>43044</v>
      </c>
      <c r="H5417" s="26" t="n">
        <f aca="false">G5417-F5417</f>
        <v>1</v>
      </c>
      <c r="I5417" s="10" t="n">
        <f aca="false">IF(E5417="Won",1,0)</f>
        <v>0</v>
      </c>
    </row>
    <row r="5418" customFormat="false" ht="15" hidden="false" customHeight="false" outlineLevel="0" collapsed="false">
      <c r="A5418" s="10" t="s">
        <v>7759</v>
      </c>
      <c r="B5418" s="10" t="s">
        <v>95</v>
      </c>
      <c r="C5418" s="10" t="s">
        <v>48</v>
      </c>
      <c r="D5418" s="10" t="s">
        <v>326</v>
      </c>
      <c r="E5418" s="10" t="s">
        <v>2342</v>
      </c>
      <c r="F5418" s="30" t="n">
        <v>43031</v>
      </c>
      <c r="G5418" s="30" t="n">
        <v>43044</v>
      </c>
      <c r="H5418" s="26" t="n">
        <f aca="false">G5418-F5418</f>
        <v>13</v>
      </c>
      <c r="I5418" s="10" t="n">
        <f aca="false">IF(E5418="Won",1,0)</f>
        <v>1</v>
      </c>
    </row>
    <row r="5419" customFormat="false" ht="15" hidden="false" customHeight="false" outlineLevel="0" collapsed="false">
      <c r="A5419" s="10" t="s">
        <v>7760</v>
      </c>
      <c r="B5419" s="10" t="s">
        <v>77</v>
      </c>
      <c r="C5419" s="10" t="s">
        <v>48</v>
      </c>
      <c r="D5419" s="10" t="s">
        <v>414</v>
      </c>
      <c r="E5419" s="10" t="s">
        <v>2342</v>
      </c>
      <c r="F5419" s="30" t="n">
        <v>42996</v>
      </c>
      <c r="G5419" s="30" t="n">
        <v>43044</v>
      </c>
      <c r="H5419" s="26" t="n">
        <f aca="false">G5419-F5419</f>
        <v>48</v>
      </c>
      <c r="I5419" s="10" t="n">
        <f aca="false">IF(E5419="Won",1,0)</f>
        <v>1</v>
      </c>
    </row>
    <row r="5420" customFormat="false" ht="15" hidden="false" customHeight="false" outlineLevel="0" collapsed="false">
      <c r="A5420" s="10" t="s">
        <v>7761</v>
      </c>
      <c r="B5420" s="10" t="s">
        <v>77</v>
      </c>
      <c r="C5420" s="10" t="s">
        <v>48</v>
      </c>
      <c r="D5420" s="10" t="s">
        <v>512</v>
      </c>
      <c r="E5420" s="10" t="s">
        <v>2342</v>
      </c>
      <c r="F5420" s="30" t="n">
        <v>42960</v>
      </c>
      <c r="G5420" s="30" t="n">
        <v>43044</v>
      </c>
      <c r="H5420" s="26" t="n">
        <f aca="false">G5420-F5420</f>
        <v>84</v>
      </c>
      <c r="I5420" s="10" t="n">
        <f aca="false">IF(E5420="Won",1,0)</f>
        <v>1</v>
      </c>
    </row>
    <row r="5421" customFormat="false" ht="15" hidden="false" customHeight="false" outlineLevel="0" collapsed="false">
      <c r="A5421" s="10" t="s">
        <v>7762</v>
      </c>
      <c r="B5421" s="10" t="s">
        <v>79</v>
      </c>
      <c r="C5421" s="10" t="s">
        <v>48</v>
      </c>
      <c r="D5421" s="10" t="s">
        <v>697</v>
      </c>
      <c r="E5421" s="10" t="s">
        <v>2345</v>
      </c>
      <c r="F5421" s="30" t="n">
        <v>42941</v>
      </c>
      <c r="G5421" s="30" t="n">
        <v>43044</v>
      </c>
      <c r="H5421" s="26" t="n">
        <f aca="false">G5421-F5421</f>
        <v>103</v>
      </c>
      <c r="I5421" s="10" t="n">
        <f aca="false">IF(E5421="Won",1,0)</f>
        <v>0</v>
      </c>
    </row>
    <row r="5422" customFormat="false" ht="15" hidden="false" customHeight="false" outlineLevel="0" collapsed="false">
      <c r="A5422" s="10" t="s">
        <v>7763</v>
      </c>
      <c r="B5422" s="10" t="s">
        <v>95</v>
      </c>
      <c r="C5422" s="10" t="s">
        <v>52</v>
      </c>
      <c r="D5422" s="10" t="s">
        <v>384</v>
      </c>
      <c r="E5422" s="10" t="s">
        <v>2345</v>
      </c>
      <c r="F5422" s="30" t="n">
        <v>43026</v>
      </c>
      <c r="G5422" s="30" t="n">
        <v>43044</v>
      </c>
      <c r="H5422" s="26" t="n">
        <f aca="false">G5422-F5422</f>
        <v>18</v>
      </c>
      <c r="I5422" s="10" t="n">
        <f aca="false">IF(E5422="Won",1,0)</f>
        <v>0</v>
      </c>
    </row>
    <row r="5423" customFormat="false" ht="15" hidden="false" customHeight="false" outlineLevel="0" collapsed="false">
      <c r="A5423" s="10" t="s">
        <v>7764</v>
      </c>
      <c r="B5423" s="10" t="s">
        <v>79</v>
      </c>
      <c r="C5423" s="10" t="s">
        <v>52</v>
      </c>
      <c r="D5423" s="10" t="s">
        <v>947</v>
      </c>
      <c r="E5423" s="10" t="s">
        <v>2342</v>
      </c>
      <c r="F5423" s="30" t="n">
        <v>43040</v>
      </c>
      <c r="G5423" s="30" t="n">
        <v>43044</v>
      </c>
      <c r="H5423" s="26" t="n">
        <f aca="false">G5423-F5423</f>
        <v>4</v>
      </c>
      <c r="I5423" s="10" t="n">
        <f aca="false">IF(E5423="Won",1,0)</f>
        <v>1</v>
      </c>
    </row>
    <row r="5424" customFormat="false" ht="15" hidden="false" customHeight="false" outlineLevel="0" collapsed="false">
      <c r="A5424" s="10" t="s">
        <v>7765</v>
      </c>
      <c r="B5424" s="10" t="s">
        <v>57</v>
      </c>
      <c r="C5424" s="10" t="s">
        <v>50</v>
      </c>
      <c r="D5424" s="10" t="s">
        <v>1397</v>
      </c>
      <c r="E5424" s="10" t="s">
        <v>2345</v>
      </c>
      <c r="F5424" s="30" t="n">
        <v>42964</v>
      </c>
      <c r="G5424" s="30" t="n">
        <v>43044</v>
      </c>
      <c r="H5424" s="26" t="n">
        <f aca="false">G5424-F5424</f>
        <v>80</v>
      </c>
      <c r="I5424" s="10" t="n">
        <f aca="false">IF(E5424="Won",1,0)</f>
        <v>0</v>
      </c>
    </row>
    <row r="5425" customFormat="false" ht="15" hidden="false" customHeight="false" outlineLevel="0" collapsed="false">
      <c r="A5425" s="10" t="s">
        <v>7766</v>
      </c>
      <c r="B5425" s="10" t="s">
        <v>95</v>
      </c>
      <c r="C5425" s="10" t="s">
        <v>52</v>
      </c>
      <c r="D5425" s="10" t="s">
        <v>175</v>
      </c>
      <c r="E5425" s="10" t="s">
        <v>2345</v>
      </c>
      <c r="F5425" s="30" t="n">
        <v>42977</v>
      </c>
      <c r="G5425" s="30" t="n">
        <v>43044</v>
      </c>
      <c r="H5425" s="26" t="n">
        <f aca="false">G5425-F5425</f>
        <v>67</v>
      </c>
      <c r="I5425" s="10" t="n">
        <f aca="false">IF(E5425="Won",1,0)</f>
        <v>0</v>
      </c>
    </row>
    <row r="5426" customFormat="false" ht="15" hidden="false" customHeight="false" outlineLevel="0" collapsed="false">
      <c r="A5426" s="10" t="s">
        <v>7767</v>
      </c>
      <c r="B5426" s="10" t="s">
        <v>87</v>
      </c>
      <c r="C5426" s="10" t="s">
        <v>50</v>
      </c>
      <c r="D5426" s="10" t="s">
        <v>1334</v>
      </c>
      <c r="E5426" s="10" t="s">
        <v>2345</v>
      </c>
      <c r="F5426" s="30" t="n">
        <v>43026</v>
      </c>
      <c r="G5426" s="30" t="n">
        <v>43044</v>
      </c>
      <c r="H5426" s="26" t="n">
        <f aca="false">G5426-F5426</f>
        <v>18</v>
      </c>
      <c r="I5426" s="10" t="n">
        <f aca="false">IF(E5426="Won",1,0)</f>
        <v>0</v>
      </c>
    </row>
    <row r="5427" customFormat="false" ht="15" hidden="false" customHeight="false" outlineLevel="0" collapsed="false">
      <c r="A5427" s="10" t="s">
        <v>7768</v>
      </c>
      <c r="B5427" s="10" t="s">
        <v>60</v>
      </c>
      <c r="C5427" s="10" t="s">
        <v>47</v>
      </c>
      <c r="D5427" s="10" t="s">
        <v>616</v>
      </c>
      <c r="E5427" s="10" t="s">
        <v>2345</v>
      </c>
      <c r="F5427" s="30" t="n">
        <v>42957</v>
      </c>
      <c r="G5427" s="30" t="n">
        <v>43045</v>
      </c>
      <c r="H5427" s="26" t="n">
        <f aca="false">G5427-F5427</f>
        <v>88</v>
      </c>
      <c r="I5427" s="10" t="n">
        <f aca="false">IF(E5427="Won",1,0)</f>
        <v>0</v>
      </c>
    </row>
    <row r="5428" customFormat="false" ht="15" hidden="false" customHeight="false" outlineLevel="0" collapsed="false">
      <c r="A5428" s="10" t="s">
        <v>7769</v>
      </c>
      <c r="B5428" s="10" t="s">
        <v>96</v>
      </c>
      <c r="C5428" s="10" t="s">
        <v>49</v>
      </c>
      <c r="D5428" s="10" t="s">
        <v>337</v>
      </c>
      <c r="E5428" s="10" t="s">
        <v>2342</v>
      </c>
      <c r="F5428" s="30" t="n">
        <v>42955</v>
      </c>
      <c r="G5428" s="30" t="n">
        <v>43045</v>
      </c>
      <c r="H5428" s="26" t="n">
        <f aca="false">G5428-F5428</f>
        <v>90</v>
      </c>
      <c r="I5428" s="10" t="n">
        <f aca="false">IF(E5428="Won",1,0)</f>
        <v>1</v>
      </c>
    </row>
    <row r="5429" customFormat="false" ht="15" hidden="false" customHeight="false" outlineLevel="0" collapsed="false">
      <c r="A5429" s="10" t="s">
        <v>7770</v>
      </c>
      <c r="B5429" s="10" t="s">
        <v>71</v>
      </c>
      <c r="C5429" s="10" t="s">
        <v>52</v>
      </c>
      <c r="D5429" s="10" t="s">
        <v>762</v>
      </c>
      <c r="E5429" s="10" t="s">
        <v>2345</v>
      </c>
      <c r="F5429" s="30" t="n">
        <v>42958</v>
      </c>
      <c r="G5429" s="30" t="n">
        <v>43045</v>
      </c>
      <c r="H5429" s="26" t="n">
        <f aca="false">G5429-F5429</f>
        <v>87</v>
      </c>
      <c r="I5429" s="10" t="n">
        <f aca="false">IF(E5429="Won",1,0)</f>
        <v>0</v>
      </c>
    </row>
    <row r="5430" customFormat="false" ht="15" hidden="false" customHeight="false" outlineLevel="0" collapsed="false">
      <c r="A5430" s="10" t="s">
        <v>7771</v>
      </c>
      <c r="B5430" s="10" t="s">
        <v>62</v>
      </c>
      <c r="C5430" s="10" t="s">
        <v>51</v>
      </c>
      <c r="D5430" s="10" t="s">
        <v>218</v>
      </c>
      <c r="E5430" s="10" t="s">
        <v>2345</v>
      </c>
      <c r="F5430" s="30" t="n">
        <v>42957</v>
      </c>
      <c r="G5430" s="30" t="n">
        <v>43045</v>
      </c>
      <c r="H5430" s="26" t="n">
        <f aca="false">G5430-F5430</f>
        <v>88</v>
      </c>
      <c r="I5430" s="10" t="n">
        <f aca="false">IF(E5430="Won",1,0)</f>
        <v>0</v>
      </c>
    </row>
    <row r="5431" customFormat="false" ht="15" hidden="false" customHeight="false" outlineLevel="0" collapsed="false">
      <c r="A5431" s="10" t="s">
        <v>7772</v>
      </c>
      <c r="B5431" s="10" t="s">
        <v>70</v>
      </c>
      <c r="C5431" s="10" t="s">
        <v>51</v>
      </c>
      <c r="D5431" s="10" t="s">
        <v>227</v>
      </c>
      <c r="E5431" s="10" t="s">
        <v>2342</v>
      </c>
      <c r="F5431" s="30" t="n">
        <v>43041</v>
      </c>
      <c r="G5431" s="30" t="n">
        <v>43045</v>
      </c>
      <c r="H5431" s="26" t="n">
        <f aca="false">G5431-F5431</f>
        <v>4</v>
      </c>
      <c r="I5431" s="10" t="n">
        <f aca="false">IF(E5431="Won",1,0)</f>
        <v>1</v>
      </c>
    </row>
    <row r="5432" customFormat="false" ht="15" hidden="false" customHeight="false" outlineLevel="0" collapsed="false">
      <c r="A5432" s="10" t="s">
        <v>7773</v>
      </c>
      <c r="B5432" s="10" t="s">
        <v>94</v>
      </c>
      <c r="C5432" s="10" t="s">
        <v>49</v>
      </c>
      <c r="D5432" s="10" t="s">
        <v>487</v>
      </c>
      <c r="E5432" s="10" t="s">
        <v>2342</v>
      </c>
      <c r="F5432" s="30" t="n">
        <v>43040</v>
      </c>
      <c r="G5432" s="30" t="n">
        <v>43045</v>
      </c>
      <c r="H5432" s="26" t="n">
        <f aca="false">G5432-F5432</f>
        <v>5</v>
      </c>
      <c r="I5432" s="10" t="n">
        <f aca="false">IF(E5432="Won",1,0)</f>
        <v>1</v>
      </c>
    </row>
    <row r="5433" customFormat="false" ht="15" hidden="false" customHeight="false" outlineLevel="0" collapsed="false">
      <c r="A5433" s="10" t="s">
        <v>7774</v>
      </c>
      <c r="B5433" s="10" t="s">
        <v>84</v>
      </c>
      <c r="C5433" s="10" t="s">
        <v>50</v>
      </c>
      <c r="D5433" s="10" t="s">
        <v>286</v>
      </c>
      <c r="E5433" s="10" t="s">
        <v>2345</v>
      </c>
      <c r="F5433" s="30" t="n">
        <v>43004</v>
      </c>
      <c r="G5433" s="30" t="n">
        <v>43045</v>
      </c>
      <c r="H5433" s="26" t="n">
        <f aca="false">G5433-F5433</f>
        <v>41</v>
      </c>
      <c r="I5433" s="10" t="n">
        <f aca="false">IF(E5433="Won",1,0)</f>
        <v>0</v>
      </c>
    </row>
    <row r="5434" customFormat="false" ht="15" hidden="false" customHeight="false" outlineLevel="0" collapsed="false">
      <c r="A5434" s="10" t="s">
        <v>7775</v>
      </c>
      <c r="B5434" s="10" t="s">
        <v>96</v>
      </c>
      <c r="C5434" s="10" t="s">
        <v>52</v>
      </c>
      <c r="D5434" s="10" t="s">
        <v>497</v>
      </c>
      <c r="E5434" s="10" t="s">
        <v>2345</v>
      </c>
      <c r="F5434" s="30" t="n">
        <v>43001</v>
      </c>
      <c r="G5434" s="30" t="n">
        <v>43045</v>
      </c>
      <c r="H5434" s="26" t="n">
        <f aca="false">G5434-F5434</f>
        <v>44</v>
      </c>
      <c r="I5434" s="10" t="n">
        <f aca="false">IF(E5434="Won",1,0)</f>
        <v>0</v>
      </c>
    </row>
    <row r="5435" customFormat="false" ht="15" hidden="false" customHeight="false" outlineLevel="0" collapsed="false">
      <c r="A5435" s="10" t="s">
        <v>7776</v>
      </c>
      <c r="B5435" s="10" t="s">
        <v>70</v>
      </c>
      <c r="C5435" s="10" t="s">
        <v>51</v>
      </c>
      <c r="D5435" s="10" t="s">
        <v>172</v>
      </c>
      <c r="E5435" s="10" t="s">
        <v>2345</v>
      </c>
      <c r="F5435" s="30" t="n">
        <v>43040</v>
      </c>
      <c r="G5435" s="30" t="n">
        <v>43045</v>
      </c>
      <c r="H5435" s="26" t="n">
        <f aca="false">G5435-F5435</f>
        <v>5</v>
      </c>
      <c r="I5435" s="10" t="n">
        <f aca="false">IF(E5435="Won",1,0)</f>
        <v>0</v>
      </c>
    </row>
    <row r="5436" customFormat="false" ht="15" hidden="false" customHeight="false" outlineLevel="0" collapsed="false">
      <c r="A5436" s="10" t="s">
        <v>7777</v>
      </c>
      <c r="B5436" s="10" t="s">
        <v>86</v>
      </c>
      <c r="C5436" s="10" t="s">
        <v>51</v>
      </c>
      <c r="D5436" s="10" t="s">
        <v>359</v>
      </c>
      <c r="E5436" s="10" t="s">
        <v>2342</v>
      </c>
      <c r="F5436" s="30" t="n">
        <v>43043</v>
      </c>
      <c r="G5436" s="30" t="n">
        <v>43045</v>
      </c>
      <c r="H5436" s="26" t="n">
        <f aca="false">G5436-F5436</f>
        <v>2</v>
      </c>
      <c r="I5436" s="10" t="n">
        <f aca="false">IF(E5436="Won",1,0)</f>
        <v>1</v>
      </c>
    </row>
    <row r="5437" customFormat="false" ht="15" hidden="false" customHeight="false" outlineLevel="0" collapsed="false">
      <c r="A5437" s="10" t="s">
        <v>7778</v>
      </c>
      <c r="B5437" s="10" t="s">
        <v>86</v>
      </c>
      <c r="C5437" s="10" t="s">
        <v>51</v>
      </c>
      <c r="D5437" s="10" t="s">
        <v>161</v>
      </c>
      <c r="E5437" s="10" t="s">
        <v>2345</v>
      </c>
      <c r="F5437" s="30" t="n">
        <v>43034</v>
      </c>
      <c r="G5437" s="30" t="n">
        <v>43045</v>
      </c>
      <c r="H5437" s="26" t="n">
        <f aca="false">G5437-F5437</f>
        <v>11</v>
      </c>
      <c r="I5437" s="10" t="n">
        <f aca="false">IF(E5437="Won",1,0)</f>
        <v>0</v>
      </c>
    </row>
    <row r="5438" customFormat="false" ht="15" hidden="false" customHeight="false" outlineLevel="0" collapsed="false">
      <c r="A5438" s="10" t="s">
        <v>7779</v>
      </c>
      <c r="B5438" s="10" t="s">
        <v>71</v>
      </c>
      <c r="C5438" s="10" t="s">
        <v>51</v>
      </c>
      <c r="D5438" s="10" t="s">
        <v>193</v>
      </c>
      <c r="E5438" s="10" t="s">
        <v>2345</v>
      </c>
      <c r="F5438" s="30" t="n">
        <v>42937</v>
      </c>
      <c r="G5438" s="30" t="n">
        <v>43045</v>
      </c>
      <c r="H5438" s="26" t="n">
        <f aca="false">G5438-F5438</f>
        <v>108</v>
      </c>
      <c r="I5438" s="10" t="n">
        <f aca="false">IF(E5438="Won",1,0)</f>
        <v>0</v>
      </c>
    </row>
    <row r="5439" customFormat="false" ht="15" hidden="false" customHeight="false" outlineLevel="0" collapsed="false">
      <c r="A5439" s="10" t="s">
        <v>7780</v>
      </c>
      <c r="B5439" s="10" t="s">
        <v>83</v>
      </c>
      <c r="C5439" s="10" t="s">
        <v>51</v>
      </c>
      <c r="D5439" s="10" t="s">
        <v>597</v>
      </c>
      <c r="E5439" s="10" t="s">
        <v>2345</v>
      </c>
      <c r="F5439" s="30" t="n">
        <v>42940</v>
      </c>
      <c r="G5439" s="30" t="n">
        <v>43045</v>
      </c>
      <c r="H5439" s="26" t="n">
        <f aca="false">G5439-F5439</f>
        <v>105</v>
      </c>
      <c r="I5439" s="10" t="n">
        <f aca="false">IF(E5439="Won",1,0)</f>
        <v>0</v>
      </c>
    </row>
    <row r="5440" customFormat="false" ht="15" hidden="false" customHeight="false" outlineLevel="0" collapsed="false">
      <c r="A5440" s="10" t="s">
        <v>7781</v>
      </c>
      <c r="B5440" s="10" t="s">
        <v>77</v>
      </c>
      <c r="C5440" s="10" t="s">
        <v>49</v>
      </c>
      <c r="D5440" s="10" t="s">
        <v>267</v>
      </c>
      <c r="E5440" s="10" t="s">
        <v>2342</v>
      </c>
      <c r="F5440" s="30" t="n">
        <v>42988</v>
      </c>
      <c r="G5440" s="30" t="n">
        <v>43045</v>
      </c>
      <c r="H5440" s="26" t="n">
        <f aca="false">G5440-F5440</f>
        <v>57</v>
      </c>
      <c r="I5440" s="10" t="n">
        <f aca="false">IF(E5440="Won",1,0)</f>
        <v>1</v>
      </c>
    </row>
    <row r="5441" customFormat="false" ht="15" hidden="false" customHeight="false" outlineLevel="0" collapsed="false">
      <c r="A5441" s="10" t="s">
        <v>7782</v>
      </c>
      <c r="B5441" s="10" t="s">
        <v>63</v>
      </c>
      <c r="C5441" s="10" t="s">
        <v>47</v>
      </c>
      <c r="D5441" s="10" t="s">
        <v>286</v>
      </c>
      <c r="E5441" s="10" t="s">
        <v>2342</v>
      </c>
      <c r="F5441" s="30" t="n">
        <v>42934</v>
      </c>
      <c r="G5441" s="30" t="n">
        <v>43045</v>
      </c>
      <c r="H5441" s="26" t="n">
        <f aca="false">G5441-F5441</f>
        <v>111</v>
      </c>
      <c r="I5441" s="10" t="n">
        <f aca="false">IF(E5441="Won",1,0)</f>
        <v>1</v>
      </c>
    </row>
    <row r="5442" customFormat="false" ht="15" hidden="false" customHeight="false" outlineLevel="0" collapsed="false">
      <c r="A5442" s="10" t="s">
        <v>7783</v>
      </c>
      <c r="B5442" s="10" t="s">
        <v>96</v>
      </c>
      <c r="C5442" s="10" t="s">
        <v>47</v>
      </c>
      <c r="D5442" s="10" t="s">
        <v>606</v>
      </c>
      <c r="E5442" s="10" t="s">
        <v>2342</v>
      </c>
      <c r="F5442" s="30" t="n">
        <v>43035</v>
      </c>
      <c r="G5442" s="30" t="n">
        <v>43045</v>
      </c>
      <c r="H5442" s="26" t="n">
        <f aca="false">G5442-F5442</f>
        <v>10</v>
      </c>
      <c r="I5442" s="10" t="n">
        <f aca="false">IF(E5442="Won",1,0)</f>
        <v>1</v>
      </c>
    </row>
    <row r="5443" customFormat="false" ht="15" hidden="false" customHeight="false" outlineLevel="0" collapsed="false">
      <c r="A5443" s="10" t="s">
        <v>7784</v>
      </c>
      <c r="B5443" s="10" t="s">
        <v>57</v>
      </c>
      <c r="C5443" s="10" t="s">
        <v>47</v>
      </c>
      <c r="D5443" s="10" t="s">
        <v>277</v>
      </c>
      <c r="E5443" s="10" t="s">
        <v>2342</v>
      </c>
      <c r="F5443" s="30" t="n">
        <v>42969</v>
      </c>
      <c r="G5443" s="30" t="n">
        <v>43045</v>
      </c>
      <c r="H5443" s="26" t="n">
        <f aca="false">G5443-F5443</f>
        <v>76</v>
      </c>
      <c r="I5443" s="10" t="n">
        <f aca="false">IF(E5443="Won",1,0)</f>
        <v>1</v>
      </c>
    </row>
    <row r="5444" customFormat="false" ht="15" hidden="false" customHeight="false" outlineLevel="0" collapsed="false">
      <c r="A5444" s="10" t="s">
        <v>7785</v>
      </c>
      <c r="B5444" s="10" t="s">
        <v>71</v>
      </c>
      <c r="C5444" s="10" t="s">
        <v>52</v>
      </c>
      <c r="D5444" s="10" t="s">
        <v>279</v>
      </c>
      <c r="E5444" s="10" t="s">
        <v>2342</v>
      </c>
      <c r="F5444" s="30" t="n">
        <v>42924</v>
      </c>
      <c r="G5444" s="30" t="n">
        <v>43045</v>
      </c>
      <c r="H5444" s="26" t="n">
        <f aca="false">G5444-F5444</f>
        <v>121</v>
      </c>
      <c r="I5444" s="10" t="n">
        <f aca="false">IF(E5444="Won",1,0)</f>
        <v>1</v>
      </c>
    </row>
    <row r="5445" customFormat="false" ht="15" hidden="false" customHeight="false" outlineLevel="0" collapsed="false">
      <c r="A5445" s="10" t="s">
        <v>7786</v>
      </c>
      <c r="B5445" s="10" t="s">
        <v>96</v>
      </c>
      <c r="C5445" s="10" t="s">
        <v>47</v>
      </c>
      <c r="D5445" s="10" t="s">
        <v>337</v>
      </c>
      <c r="E5445" s="10" t="s">
        <v>2342</v>
      </c>
      <c r="F5445" s="30" t="n">
        <v>42948</v>
      </c>
      <c r="G5445" s="30" t="n">
        <v>43045</v>
      </c>
      <c r="H5445" s="26" t="n">
        <f aca="false">G5445-F5445</f>
        <v>97</v>
      </c>
      <c r="I5445" s="10" t="n">
        <f aca="false">IF(E5445="Won",1,0)</f>
        <v>1</v>
      </c>
    </row>
    <row r="5446" customFormat="false" ht="15" hidden="false" customHeight="false" outlineLevel="0" collapsed="false">
      <c r="A5446" s="10" t="s">
        <v>7787</v>
      </c>
      <c r="B5446" s="10" t="s">
        <v>69</v>
      </c>
      <c r="C5446" s="10" t="s">
        <v>49</v>
      </c>
      <c r="D5446" s="10" t="s">
        <v>170</v>
      </c>
      <c r="E5446" s="10" t="s">
        <v>2342</v>
      </c>
      <c r="F5446" s="30" t="n">
        <v>42982</v>
      </c>
      <c r="G5446" s="30" t="n">
        <v>43045</v>
      </c>
      <c r="H5446" s="26" t="n">
        <f aca="false">G5446-F5446</f>
        <v>63</v>
      </c>
      <c r="I5446" s="10" t="n">
        <f aca="false">IF(E5446="Won",1,0)</f>
        <v>1</v>
      </c>
    </row>
    <row r="5447" customFormat="false" ht="15" hidden="false" customHeight="false" outlineLevel="0" collapsed="false">
      <c r="A5447" s="10" t="s">
        <v>7788</v>
      </c>
      <c r="B5447" s="10" t="s">
        <v>97</v>
      </c>
      <c r="C5447" s="10" t="s">
        <v>48</v>
      </c>
      <c r="D5447" s="10" t="s">
        <v>199</v>
      </c>
      <c r="E5447" s="10" t="s">
        <v>2342</v>
      </c>
      <c r="F5447" s="30" t="n">
        <v>43011</v>
      </c>
      <c r="G5447" s="30" t="n">
        <v>43045</v>
      </c>
      <c r="H5447" s="26" t="n">
        <f aca="false">G5447-F5447</f>
        <v>34</v>
      </c>
      <c r="I5447" s="10" t="n">
        <f aca="false">IF(E5447="Won",1,0)</f>
        <v>1</v>
      </c>
    </row>
    <row r="5448" customFormat="false" ht="15" hidden="false" customHeight="false" outlineLevel="0" collapsed="false">
      <c r="A5448" s="10" t="s">
        <v>7789</v>
      </c>
      <c r="B5448" s="10" t="s">
        <v>68</v>
      </c>
      <c r="C5448" s="10" t="s">
        <v>50</v>
      </c>
      <c r="D5448" s="10" t="s">
        <v>483</v>
      </c>
      <c r="E5448" s="10" t="s">
        <v>2345</v>
      </c>
      <c r="F5448" s="30" t="n">
        <v>42983</v>
      </c>
      <c r="G5448" s="30" t="n">
        <v>43045</v>
      </c>
      <c r="H5448" s="26" t="n">
        <f aca="false">G5448-F5448</f>
        <v>62</v>
      </c>
      <c r="I5448" s="10" t="n">
        <f aca="false">IF(E5448="Won",1,0)</f>
        <v>0</v>
      </c>
    </row>
    <row r="5449" customFormat="false" ht="15" hidden="false" customHeight="false" outlineLevel="0" collapsed="false">
      <c r="A5449" s="10" t="s">
        <v>7790</v>
      </c>
      <c r="B5449" s="10" t="s">
        <v>79</v>
      </c>
      <c r="C5449" s="10" t="s">
        <v>49</v>
      </c>
      <c r="D5449" s="10" t="s">
        <v>414</v>
      </c>
      <c r="E5449" s="10" t="s">
        <v>2342</v>
      </c>
      <c r="F5449" s="30" t="n">
        <v>42979</v>
      </c>
      <c r="G5449" s="30" t="n">
        <v>43045</v>
      </c>
      <c r="H5449" s="26" t="n">
        <f aca="false">G5449-F5449</f>
        <v>66</v>
      </c>
      <c r="I5449" s="10" t="n">
        <f aca="false">IF(E5449="Won",1,0)</f>
        <v>1</v>
      </c>
    </row>
    <row r="5450" customFormat="false" ht="15" hidden="false" customHeight="false" outlineLevel="0" collapsed="false">
      <c r="A5450" s="10" t="s">
        <v>7791</v>
      </c>
      <c r="B5450" s="10" t="s">
        <v>76</v>
      </c>
      <c r="C5450" s="10" t="s">
        <v>47</v>
      </c>
      <c r="D5450" s="10" t="s">
        <v>369</v>
      </c>
      <c r="E5450" s="10" t="s">
        <v>2345</v>
      </c>
      <c r="F5450" s="30" t="n">
        <v>43031</v>
      </c>
      <c r="G5450" s="30" t="n">
        <v>43045</v>
      </c>
      <c r="H5450" s="26" t="n">
        <f aca="false">G5450-F5450</f>
        <v>14</v>
      </c>
      <c r="I5450" s="10" t="n">
        <f aca="false">IF(E5450="Won",1,0)</f>
        <v>0</v>
      </c>
    </row>
    <row r="5451" customFormat="false" ht="15" hidden="false" customHeight="false" outlineLevel="0" collapsed="false">
      <c r="A5451" s="10" t="s">
        <v>7792</v>
      </c>
      <c r="B5451" s="10" t="s">
        <v>87</v>
      </c>
      <c r="C5451" s="10" t="s">
        <v>47</v>
      </c>
      <c r="D5451" s="10" t="s">
        <v>692</v>
      </c>
      <c r="E5451" s="10" t="s">
        <v>2345</v>
      </c>
      <c r="F5451" s="30" t="n">
        <v>42978</v>
      </c>
      <c r="G5451" s="30" t="n">
        <v>43045</v>
      </c>
      <c r="H5451" s="26" t="n">
        <f aca="false">G5451-F5451</f>
        <v>67</v>
      </c>
      <c r="I5451" s="10" t="n">
        <f aca="false">IF(E5451="Won",1,0)</f>
        <v>0</v>
      </c>
    </row>
    <row r="5452" customFormat="false" ht="15" hidden="false" customHeight="false" outlineLevel="0" collapsed="false">
      <c r="A5452" s="10" t="s">
        <v>7793</v>
      </c>
      <c r="B5452" s="10" t="s">
        <v>73</v>
      </c>
      <c r="C5452" s="10" t="s">
        <v>49</v>
      </c>
      <c r="D5452" s="10" t="s">
        <v>353</v>
      </c>
      <c r="E5452" s="10" t="s">
        <v>2345</v>
      </c>
      <c r="F5452" s="30" t="n">
        <v>43035</v>
      </c>
      <c r="G5452" s="30" t="n">
        <v>43046</v>
      </c>
      <c r="H5452" s="26" t="n">
        <f aca="false">G5452-F5452</f>
        <v>11</v>
      </c>
      <c r="I5452" s="10" t="n">
        <f aca="false">IF(E5452="Won",1,0)</f>
        <v>0</v>
      </c>
    </row>
    <row r="5453" customFormat="false" ht="15" hidden="false" customHeight="false" outlineLevel="0" collapsed="false">
      <c r="A5453" s="10" t="s">
        <v>7794</v>
      </c>
      <c r="B5453" s="10" t="s">
        <v>97</v>
      </c>
      <c r="C5453" s="10" t="s">
        <v>49</v>
      </c>
      <c r="D5453" s="10" t="s">
        <v>303</v>
      </c>
      <c r="E5453" s="10" t="s">
        <v>2345</v>
      </c>
      <c r="F5453" s="30" t="n">
        <v>43032</v>
      </c>
      <c r="G5453" s="30" t="n">
        <v>43046</v>
      </c>
      <c r="H5453" s="26" t="n">
        <f aca="false">G5453-F5453</f>
        <v>14</v>
      </c>
      <c r="I5453" s="10" t="n">
        <f aca="false">IF(E5453="Won",1,0)</f>
        <v>0</v>
      </c>
    </row>
    <row r="5454" customFormat="false" ht="15" hidden="false" customHeight="false" outlineLevel="0" collapsed="false">
      <c r="A5454" s="10" t="s">
        <v>7795</v>
      </c>
      <c r="B5454" s="10" t="s">
        <v>84</v>
      </c>
      <c r="C5454" s="10" t="s">
        <v>48</v>
      </c>
      <c r="D5454" s="10" t="s">
        <v>359</v>
      </c>
      <c r="E5454" s="10" t="s">
        <v>2342</v>
      </c>
      <c r="F5454" s="30" t="n">
        <v>43041</v>
      </c>
      <c r="G5454" s="30" t="n">
        <v>43046</v>
      </c>
      <c r="H5454" s="26" t="n">
        <f aca="false">G5454-F5454</f>
        <v>5</v>
      </c>
      <c r="I5454" s="10" t="n">
        <f aca="false">IF(E5454="Won",1,0)</f>
        <v>1</v>
      </c>
    </row>
    <row r="5455" customFormat="false" ht="15" hidden="false" customHeight="false" outlineLevel="0" collapsed="false">
      <c r="A5455" s="10" t="s">
        <v>7796</v>
      </c>
      <c r="B5455" s="10" t="s">
        <v>68</v>
      </c>
      <c r="C5455" s="10" t="s">
        <v>48</v>
      </c>
      <c r="D5455" s="10" t="s">
        <v>233</v>
      </c>
      <c r="E5455" s="10" t="s">
        <v>2345</v>
      </c>
      <c r="F5455" s="30" t="n">
        <v>42939</v>
      </c>
      <c r="G5455" s="30" t="n">
        <v>43046</v>
      </c>
      <c r="H5455" s="26" t="n">
        <f aca="false">G5455-F5455</f>
        <v>107</v>
      </c>
      <c r="I5455" s="10" t="n">
        <f aca="false">IF(E5455="Won",1,0)</f>
        <v>0</v>
      </c>
    </row>
    <row r="5456" customFormat="false" ht="15" hidden="false" customHeight="false" outlineLevel="0" collapsed="false">
      <c r="A5456" s="10" t="s">
        <v>7797</v>
      </c>
      <c r="B5456" s="10" t="s">
        <v>66</v>
      </c>
      <c r="C5456" s="10" t="s">
        <v>50</v>
      </c>
      <c r="D5456" s="10" t="s">
        <v>514</v>
      </c>
      <c r="E5456" s="10" t="s">
        <v>2345</v>
      </c>
      <c r="F5456" s="30" t="n">
        <v>43045</v>
      </c>
      <c r="G5456" s="30" t="n">
        <v>43046</v>
      </c>
      <c r="H5456" s="26" t="n">
        <f aca="false">G5456-F5456</f>
        <v>1</v>
      </c>
      <c r="I5456" s="10" t="n">
        <f aca="false">IF(E5456="Won",1,0)</f>
        <v>0</v>
      </c>
    </row>
    <row r="5457" customFormat="false" ht="15" hidden="false" customHeight="false" outlineLevel="0" collapsed="false">
      <c r="A5457" s="10" t="s">
        <v>7798</v>
      </c>
      <c r="B5457" s="10" t="s">
        <v>93</v>
      </c>
      <c r="C5457" s="10" t="s">
        <v>49</v>
      </c>
      <c r="D5457" s="10" t="s">
        <v>233</v>
      </c>
      <c r="E5457" s="10" t="s">
        <v>2342</v>
      </c>
      <c r="F5457" s="30" t="n">
        <v>42960</v>
      </c>
      <c r="G5457" s="30" t="n">
        <v>43046</v>
      </c>
      <c r="H5457" s="26" t="n">
        <f aca="false">G5457-F5457</f>
        <v>86</v>
      </c>
      <c r="I5457" s="10" t="n">
        <f aca="false">IF(E5457="Won",1,0)</f>
        <v>1</v>
      </c>
    </row>
    <row r="5458" customFormat="false" ht="15" hidden="false" customHeight="false" outlineLevel="0" collapsed="false">
      <c r="A5458" s="10" t="s">
        <v>7799</v>
      </c>
      <c r="B5458" s="10" t="s">
        <v>68</v>
      </c>
      <c r="C5458" s="10" t="s">
        <v>52</v>
      </c>
      <c r="D5458" s="10" t="s">
        <v>227</v>
      </c>
      <c r="E5458" s="10" t="s">
        <v>2342</v>
      </c>
      <c r="F5458" s="30" t="n">
        <v>42975</v>
      </c>
      <c r="G5458" s="30" t="n">
        <v>43046</v>
      </c>
      <c r="H5458" s="26" t="n">
        <f aca="false">G5458-F5458</f>
        <v>71</v>
      </c>
      <c r="I5458" s="10" t="n">
        <f aca="false">IF(E5458="Won",1,0)</f>
        <v>1</v>
      </c>
    </row>
    <row r="5459" customFormat="false" ht="15" hidden="false" customHeight="false" outlineLevel="0" collapsed="false">
      <c r="A5459" s="10" t="s">
        <v>7800</v>
      </c>
      <c r="B5459" s="10" t="s">
        <v>97</v>
      </c>
      <c r="C5459" s="10" t="s">
        <v>51</v>
      </c>
      <c r="D5459" s="10" t="s">
        <v>313</v>
      </c>
      <c r="E5459" s="10" t="s">
        <v>2345</v>
      </c>
      <c r="F5459" s="30" t="n">
        <v>43036</v>
      </c>
      <c r="G5459" s="30" t="n">
        <v>43046</v>
      </c>
      <c r="H5459" s="26" t="n">
        <f aca="false">G5459-F5459</f>
        <v>10</v>
      </c>
      <c r="I5459" s="10" t="n">
        <f aca="false">IF(E5459="Won",1,0)</f>
        <v>0</v>
      </c>
    </row>
    <row r="5460" customFormat="false" ht="15" hidden="false" customHeight="false" outlineLevel="0" collapsed="false">
      <c r="A5460" s="10" t="s">
        <v>7801</v>
      </c>
      <c r="B5460" s="10" t="s">
        <v>74</v>
      </c>
      <c r="C5460" s="10" t="s">
        <v>49</v>
      </c>
      <c r="D5460" s="10" t="s">
        <v>483</v>
      </c>
      <c r="E5460" s="10" t="s">
        <v>2345</v>
      </c>
      <c r="F5460" s="30" t="n">
        <v>42970</v>
      </c>
      <c r="G5460" s="30" t="n">
        <v>43046</v>
      </c>
      <c r="H5460" s="26" t="n">
        <f aca="false">G5460-F5460</f>
        <v>76</v>
      </c>
      <c r="I5460" s="10" t="n">
        <f aca="false">IF(E5460="Won",1,0)</f>
        <v>0</v>
      </c>
    </row>
    <row r="5461" customFormat="false" ht="15" hidden="false" customHeight="false" outlineLevel="0" collapsed="false">
      <c r="A5461" s="10" t="s">
        <v>7802</v>
      </c>
      <c r="B5461" s="10" t="s">
        <v>80</v>
      </c>
      <c r="C5461" s="10" t="s">
        <v>51</v>
      </c>
      <c r="D5461" s="10" t="s">
        <v>597</v>
      </c>
      <c r="E5461" s="10" t="s">
        <v>2342</v>
      </c>
      <c r="F5461" s="30" t="n">
        <v>42984</v>
      </c>
      <c r="G5461" s="30" t="n">
        <v>43046</v>
      </c>
      <c r="H5461" s="26" t="n">
        <f aca="false">G5461-F5461</f>
        <v>62</v>
      </c>
      <c r="I5461" s="10" t="n">
        <f aca="false">IF(E5461="Won",1,0)</f>
        <v>1</v>
      </c>
    </row>
    <row r="5462" customFormat="false" ht="15" hidden="false" customHeight="false" outlineLevel="0" collapsed="false">
      <c r="A5462" s="10" t="s">
        <v>7803</v>
      </c>
      <c r="B5462" s="10" t="s">
        <v>77</v>
      </c>
      <c r="C5462" s="10" t="s">
        <v>52</v>
      </c>
      <c r="D5462" s="10" t="s">
        <v>961</v>
      </c>
      <c r="E5462" s="10" t="s">
        <v>2342</v>
      </c>
      <c r="F5462" s="30" t="n">
        <v>43029</v>
      </c>
      <c r="G5462" s="30" t="n">
        <v>43046</v>
      </c>
      <c r="H5462" s="26" t="n">
        <f aca="false">G5462-F5462</f>
        <v>17</v>
      </c>
      <c r="I5462" s="10" t="n">
        <f aca="false">IF(E5462="Won",1,0)</f>
        <v>1</v>
      </c>
    </row>
    <row r="5463" customFormat="false" ht="15" hidden="false" customHeight="false" outlineLevel="0" collapsed="false">
      <c r="A5463" s="10" t="s">
        <v>7804</v>
      </c>
      <c r="B5463" s="10" t="s">
        <v>57</v>
      </c>
      <c r="C5463" s="10" t="s">
        <v>47</v>
      </c>
      <c r="D5463" s="10" t="s">
        <v>405</v>
      </c>
      <c r="E5463" s="10" t="s">
        <v>2345</v>
      </c>
      <c r="F5463" s="30" t="n">
        <v>42975</v>
      </c>
      <c r="G5463" s="30" t="n">
        <v>43046</v>
      </c>
      <c r="H5463" s="26" t="n">
        <f aca="false">G5463-F5463</f>
        <v>71</v>
      </c>
      <c r="I5463" s="10" t="n">
        <f aca="false">IF(E5463="Won",1,0)</f>
        <v>0</v>
      </c>
    </row>
    <row r="5464" customFormat="false" ht="15" hidden="false" customHeight="false" outlineLevel="0" collapsed="false">
      <c r="A5464" s="10" t="s">
        <v>7805</v>
      </c>
      <c r="B5464" s="10" t="s">
        <v>90</v>
      </c>
      <c r="C5464" s="10" t="s">
        <v>47</v>
      </c>
      <c r="D5464" s="10" t="s">
        <v>286</v>
      </c>
      <c r="E5464" s="10" t="s">
        <v>2342</v>
      </c>
      <c r="F5464" s="30" t="n">
        <v>43044</v>
      </c>
      <c r="G5464" s="30" t="n">
        <v>43046</v>
      </c>
      <c r="H5464" s="26" t="n">
        <f aca="false">G5464-F5464</f>
        <v>2</v>
      </c>
      <c r="I5464" s="10" t="n">
        <f aca="false">IF(E5464="Won",1,0)</f>
        <v>1</v>
      </c>
    </row>
    <row r="5465" customFormat="false" ht="15" hidden="false" customHeight="false" outlineLevel="0" collapsed="false">
      <c r="A5465" s="10" t="s">
        <v>7806</v>
      </c>
      <c r="B5465" s="10" t="s">
        <v>94</v>
      </c>
      <c r="C5465" s="10" t="s">
        <v>51</v>
      </c>
      <c r="D5465" s="10" t="s">
        <v>419</v>
      </c>
      <c r="E5465" s="10" t="s">
        <v>2345</v>
      </c>
      <c r="F5465" s="30" t="n">
        <v>43041</v>
      </c>
      <c r="G5465" s="30" t="n">
        <v>43046</v>
      </c>
      <c r="H5465" s="26" t="n">
        <f aca="false">G5465-F5465</f>
        <v>5</v>
      </c>
      <c r="I5465" s="10" t="n">
        <f aca="false">IF(E5465="Won",1,0)</f>
        <v>0</v>
      </c>
    </row>
    <row r="5466" customFormat="false" ht="15" hidden="false" customHeight="false" outlineLevel="0" collapsed="false">
      <c r="A5466" s="10" t="s">
        <v>7807</v>
      </c>
      <c r="B5466" s="10" t="s">
        <v>70</v>
      </c>
      <c r="C5466" s="10" t="s">
        <v>47</v>
      </c>
      <c r="D5466" s="10" t="s">
        <v>199</v>
      </c>
      <c r="E5466" s="10" t="s">
        <v>2342</v>
      </c>
      <c r="F5466" s="30" t="n">
        <v>42983</v>
      </c>
      <c r="G5466" s="30" t="n">
        <v>43046</v>
      </c>
      <c r="H5466" s="26" t="n">
        <f aca="false">G5466-F5466</f>
        <v>63</v>
      </c>
      <c r="I5466" s="10" t="n">
        <f aca="false">IF(E5466="Won",1,0)</f>
        <v>1</v>
      </c>
    </row>
    <row r="5467" customFormat="false" ht="15" hidden="false" customHeight="false" outlineLevel="0" collapsed="false">
      <c r="A5467" s="10" t="s">
        <v>7808</v>
      </c>
      <c r="B5467" s="10" t="s">
        <v>81</v>
      </c>
      <c r="C5467" s="10" t="s">
        <v>49</v>
      </c>
      <c r="D5467" s="10" t="s">
        <v>697</v>
      </c>
      <c r="E5467" s="10" t="s">
        <v>2342</v>
      </c>
      <c r="F5467" s="30" t="n">
        <v>43035</v>
      </c>
      <c r="G5467" s="30" t="n">
        <v>43046</v>
      </c>
      <c r="H5467" s="26" t="n">
        <f aca="false">G5467-F5467</f>
        <v>11</v>
      </c>
      <c r="I5467" s="10" t="n">
        <f aca="false">IF(E5467="Won",1,0)</f>
        <v>1</v>
      </c>
    </row>
    <row r="5468" customFormat="false" ht="15" hidden="false" customHeight="false" outlineLevel="0" collapsed="false">
      <c r="A5468" s="10" t="s">
        <v>7809</v>
      </c>
      <c r="B5468" s="10" t="s">
        <v>70</v>
      </c>
      <c r="C5468" s="10" t="s">
        <v>51</v>
      </c>
      <c r="D5468" s="10" t="s">
        <v>432</v>
      </c>
      <c r="E5468" s="10" t="s">
        <v>2345</v>
      </c>
      <c r="F5468" s="30" t="n">
        <v>43041</v>
      </c>
      <c r="G5468" s="30" t="n">
        <v>43046</v>
      </c>
      <c r="H5468" s="26" t="n">
        <f aca="false">G5468-F5468</f>
        <v>5</v>
      </c>
      <c r="I5468" s="10" t="n">
        <f aca="false">IF(E5468="Won",1,0)</f>
        <v>0</v>
      </c>
    </row>
    <row r="5469" customFormat="false" ht="15" hidden="false" customHeight="false" outlineLevel="0" collapsed="false">
      <c r="A5469" s="10" t="s">
        <v>7810</v>
      </c>
      <c r="B5469" s="10" t="s">
        <v>81</v>
      </c>
      <c r="C5469" s="10" t="s">
        <v>50</v>
      </c>
      <c r="D5469" s="10" t="s">
        <v>536</v>
      </c>
      <c r="E5469" s="10" t="s">
        <v>2342</v>
      </c>
      <c r="F5469" s="30" t="n">
        <v>42955</v>
      </c>
      <c r="G5469" s="30" t="n">
        <v>43046</v>
      </c>
      <c r="H5469" s="26" t="n">
        <f aca="false">G5469-F5469</f>
        <v>91</v>
      </c>
      <c r="I5469" s="10" t="n">
        <f aca="false">IF(E5469="Won",1,0)</f>
        <v>1</v>
      </c>
    </row>
    <row r="5470" customFormat="false" ht="15" hidden="false" customHeight="false" outlineLevel="0" collapsed="false">
      <c r="A5470" s="10" t="s">
        <v>7811</v>
      </c>
      <c r="B5470" s="10" t="s">
        <v>62</v>
      </c>
      <c r="C5470" s="10" t="s">
        <v>52</v>
      </c>
      <c r="D5470" s="10" t="s">
        <v>692</v>
      </c>
      <c r="E5470" s="10" t="s">
        <v>2342</v>
      </c>
      <c r="F5470" s="30" t="n">
        <v>42982</v>
      </c>
      <c r="G5470" s="30" t="n">
        <v>43046</v>
      </c>
      <c r="H5470" s="26" t="n">
        <f aca="false">G5470-F5470</f>
        <v>64</v>
      </c>
      <c r="I5470" s="10" t="n">
        <f aca="false">IF(E5470="Won",1,0)</f>
        <v>1</v>
      </c>
    </row>
    <row r="5471" customFormat="false" ht="15" hidden="false" customHeight="false" outlineLevel="0" collapsed="false">
      <c r="A5471" s="10" t="s">
        <v>7812</v>
      </c>
      <c r="B5471" s="10" t="s">
        <v>96</v>
      </c>
      <c r="C5471" s="10" t="s">
        <v>52</v>
      </c>
      <c r="D5471" s="10" t="s">
        <v>497</v>
      </c>
      <c r="E5471" s="10" t="s">
        <v>2345</v>
      </c>
      <c r="F5471" s="30" t="n">
        <v>42957</v>
      </c>
      <c r="G5471" s="30" t="n">
        <v>43046</v>
      </c>
      <c r="H5471" s="26" t="n">
        <f aca="false">G5471-F5471</f>
        <v>89</v>
      </c>
      <c r="I5471" s="10" t="n">
        <f aca="false">IF(E5471="Won",1,0)</f>
        <v>0</v>
      </c>
    </row>
    <row r="5472" customFormat="false" ht="15" hidden="false" customHeight="false" outlineLevel="0" collapsed="false">
      <c r="A5472" s="10" t="s">
        <v>7813</v>
      </c>
      <c r="B5472" s="10" t="s">
        <v>90</v>
      </c>
      <c r="C5472" s="10" t="s">
        <v>51</v>
      </c>
      <c r="D5472" s="10" t="s">
        <v>161</v>
      </c>
      <c r="E5472" s="10" t="s">
        <v>2342</v>
      </c>
      <c r="F5472" s="30" t="n">
        <v>42973</v>
      </c>
      <c r="G5472" s="30" t="n">
        <v>43046</v>
      </c>
      <c r="H5472" s="26" t="n">
        <f aca="false">G5472-F5472</f>
        <v>73</v>
      </c>
      <c r="I5472" s="10" t="n">
        <f aca="false">IF(E5472="Won",1,0)</f>
        <v>1</v>
      </c>
    </row>
    <row r="5473" customFormat="false" ht="15" hidden="false" customHeight="false" outlineLevel="0" collapsed="false">
      <c r="A5473" s="10" t="s">
        <v>7814</v>
      </c>
      <c r="B5473" s="10" t="s">
        <v>71</v>
      </c>
      <c r="C5473" s="10" t="s">
        <v>52</v>
      </c>
      <c r="D5473" s="10" t="s">
        <v>597</v>
      </c>
      <c r="E5473" s="10" t="s">
        <v>2342</v>
      </c>
      <c r="F5473" s="30" t="n">
        <v>42958</v>
      </c>
      <c r="G5473" s="30" t="n">
        <v>43046</v>
      </c>
      <c r="H5473" s="26" t="n">
        <f aca="false">G5473-F5473</f>
        <v>88</v>
      </c>
      <c r="I5473" s="10" t="n">
        <f aca="false">IF(E5473="Won",1,0)</f>
        <v>1</v>
      </c>
    </row>
    <row r="5474" customFormat="false" ht="15" hidden="false" customHeight="false" outlineLevel="0" collapsed="false">
      <c r="A5474" s="10" t="s">
        <v>7815</v>
      </c>
      <c r="B5474" s="10" t="s">
        <v>77</v>
      </c>
      <c r="C5474" s="10" t="s">
        <v>48</v>
      </c>
      <c r="D5474" s="10" t="s">
        <v>947</v>
      </c>
      <c r="E5474" s="10" t="s">
        <v>2345</v>
      </c>
      <c r="F5474" s="30" t="n">
        <v>43045</v>
      </c>
      <c r="G5474" s="30" t="n">
        <v>43046</v>
      </c>
      <c r="H5474" s="26" t="n">
        <f aca="false">G5474-F5474</f>
        <v>1</v>
      </c>
      <c r="I5474" s="10" t="n">
        <f aca="false">IF(E5474="Won",1,0)</f>
        <v>0</v>
      </c>
    </row>
    <row r="5475" customFormat="false" ht="15" hidden="false" customHeight="false" outlineLevel="0" collapsed="false">
      <c r="A5475" s="10" t="s">
        <v>7816</v>
      </c>
      <c r="B5475" s="10" t="s">
        <v>97</v>
      </c>
      <c r="C5475" s="10" t="s">
        <v>48</v>
      </c>
      <c r="D5475" s="10" t="s">
        <v>172</v>
      </c>
      <c r="E5475" s="10" t="s">
        <v>2345</v>
      </c>
      <c r="F5475" s="30" t="n">
        <v>42960</v>
      </c>
      <c r="G5475" s="30" t="n">
        <v>43046</v>
      </c>
      <c r="H5475" s="26" t="n">
        <f aca="false">G5475-F5475</f>
        <v>86</v>
      </c>
      <c r="I5475" s="10" t="n">
        <f aca="false">IF(E5475="Won",1,0)</f>
        <v>0</v>
      </c>
    </row>
    <row r="5476" customFormat="false" ht="15" hidden="false" customHeight="false" outlineLevel="0" collapsed="false">
      <c r="A5476" s="10" t="s">
        <v>7817</v>
      </c>
      <c r="B5476" s="10" t="s">
        <v>97</v>
      </c>
      <c r="C5476" s="10" t="s">
        <v>48</v>
      </c>
      <c r="D5476" s="10" t="s">
        <v>175</v>
      </c>
      <c r="E5476" s="10" t="s">
        <v>2345</v>
      </c>
      <c r="F5476" s="30" t="n">
        <v>42952</v>
      </c>
      <c r="G5476" s="30" t="n">
        <v>43046</v>
      </c>
      <c r="H5476" s="26" t="n">
        <f aca="false">G5476-F5476</f>
        <v>94</v>
      </c>
      <c r="I5476" s="10" t="n">
        <f aca="false">IF(E5476="Won",1,0)</f>
        <v>0</v>
      </c>
    </row>
    <row r="5477" customFormat="false" ht="15" hidden="false" customHeight="false" outlineLevel="0" collapsed="false">
      <c r="A5477" s="10" t="s">
        <v>7818</v>
      </c>
      <c r="B5477" s="10" t="s">
        <v>60</v>
      </c>
      <c r="C5477" s="10" t="s">
        <v>49</v>
      </c>
      <c r="D5477" s="10" t="s">
        <v>453</v>
      </c>
      <c r="E5477" s="10" t="s">
        <v>2342</v>
      </c>
      <c r="F5477" s="30" t="n">
        <v>42956</v>
      </c>
      <c r="G5477" s="30" t="n">
        <v>43046</v>
      </c>
      <c r="H5477" s="26" t="n">
        <f aca="false">G5477-F5477</f>
        <v>90</v>
      </c>
      <c r="I5477" s="10" t="n">
        <f aca="false">IF(E5477="Won",1,0)</f>
        <v>1</v>
      </c>
    </row>
    <row r="5478" customFormat="false" ht="15" hidden="false" customHeight="false" outlineLevel="0" collapsed="false">
      <c r="A5478" s="10" t="s">
        <v>7819</v>
      </c>
      <c r="B5478" s="10" t="s">
        <v>94</v>
      </c>
      <c r="C5478" s="10" t="s">
        <v>47</v>
      </c>
      <c r="D5478" s="10" t="s">
        <v>233</v>
      </c>
      <c r="E5478" s="10" t="s">
        <v>2342</v>
      </c>
      <c r="F5478" s="30" t="n">
        <v>43039</v>
      </c>
      <c r="G5478" s="30" t="n">
        <v>43046</v>
      </c>
      <c r="H5478" s="26" t="n">
        <f aca="false">G5478-F5478</f>
        <v>7</v>
      </c>
      <c r="I5478" s="10" t="n">
        <f aca="false">IF(E5478="Won",1,0)</f>
        <v>1</v>
      </c>
    </row>
    <row r="5479" customFormat="false" ht="15" hidden="false" customHeight="false" outlineLevel="0" collapsed="false">
      <c r="A5479" s="10" t="s">
        <v>7820</v>
      </c>
      <c r="B5479" s="10" t="s">
        <v>79</v>
      </c>
      <c r="C5479" s="10" t="s">
        <v>52</v>
      </c>
      <c r="D5479" s="10" t="s">
        <v>414</v>
      </c>
      <c r="E5479" s="10" t="s">
        <v>2345</v>
      </c>
      <c r="F5479" s="30" t="n">
        <v>42949</v>
      </c>
      <c r="G5479" s="30" t="n">
        <v>43046</v>
      </c>
      <c r="H5479" s="26" t="n">
        <f aca="false">G5479-F5479</f>
        <v>97</v>
      </c>
      <c r="I5479" s="10" t="n">
        <f aca="false">IF(E5479="Won",1,0)</f>
        <v>0</v>
      </c>
    </row>
    <row r="5480" customFormat="false" ht="15" hidden="false" customHeight="false" outlineLevel="0" collapsed="false">
      <c r="A5480" s="10" t="s">
        <v>7821</v>
      </c>
      <c r="B5480" s="10" t="s">
        <v>74</v>
      </c>
      <c r="C5480" s="10" t="s">
        <v>52</v>
      </c>
      <c r="D5480" s="10" t="s">
        <v>536</v>
      </c>
      <c r="E5480" s="10" t="s">
        <v>2345</v>
      </c>
      <c r="F5480" s="30" t="n">
        <v>43001</v>
      </c>
      <c r="G5480" s="30" t="n">
        <v>43046</v>
      </c>
      <c r="H5480" s="26" t="n">
        <f aca="false">G5480-F5480</f>
        <v>45</v>
      </c>
      <c r="I5480" s="10" t="n">
        <f aca="false">IF(E5480="Won",1,0)</f>
        <v>0</v>
      </c>
    </row>
    <row r="5481" customFormat="false" ht="15" hidden="false" customHeight="false" outlineLevel="0" collapsed="false">
      <c r="A5481" s="10" t="s">
        <v>7822</v>
      </c>
      <c r="B5481" s="10" t="s">
        <v>97</v>
      </c>
      <c r="C5481" s="10" t="s">
        <v>49</v>
      </c>
      <c r="D5481" s="10" t="s">
        <v>313</v>
      </c>
      <c r="E5481" s="10" t="s">
        <v>2342</v>
      </c>
      <c r="F5481" s="30" t="n">
        <v>42993</v>
      </c>
      <c r="G5481" s="30" t="n">
        <v>43046</v>
      </c>
      <c r="H5481" s="26" t="n">
        <f aca="false">G5481-F5481</f>
        <v>53</v>
      </c>
      <c r="I5481" s="10" t="n">
        <f aca="false">IF(E5481="Won",1,0)</f>
        <v>1</v>
      </c>
    </row>
    <row r="5482" customFormat="false" ht="15" hidden="false" customHeight="false" outlineLevel="0" collapsed="false">
      <c r="A5482" s="10" t="s">
        <v>7823</v>
      </c>
      <c r="B5482" s="10" t="s">
        <v>86</v>
      </c>
      <c r="C5482" s="10" t="s">
        <v>50</v>
      </c>
      <c r="D5482" s="10" t="s">
        <v>1118</v>
      </c>
      <c r="E5482" s="10" t="s">
        <v>2345</v>
      </c>
      <c r="F5482" s="30" t="n">
        <v>42944</v>
      </c>
      <c r="G5482" s="30" t="n">
        <v>43046</v>
      </c>
      <c r="H5482" s="26" t="n">
        <f aca="false">G5482-F5482</f>
        <v>102</v>
      </c>
      <c r="I5482" s="10" t="n">
        <f aca="false">IF(E5482="Won",1,0)</f>
        <v>0</v>
      </c>
    </row>
    <row r="5483" customFormat="false" ht="15" hidden="false" customHeight="false" outlineLevel="0" collapsed="false">
      <c r="A5483" s="10" t="s">
        <v>7824</v>
      </c>
      <c r="B5483" s="10" t="s">
        <v>61</v>
      </c>
      <c r="C5483" s="10" t="s">
        <v>47</v>
      </c>
      <c r="D5483" s="10" t="s">
        <v>350</v>
      </c>
      <c r="E5483" s="10" t="s">
        <v>2345</v>
      </c>
      <c r="F5483" s="30" t="n">
        <v>43039</v>
      </c>
      <c r="G5483" s="30" t="n">
        <v>43046</v>
      </c>
      <c r="H5483" s="26" t="n">
        <f aca="false">G5483-F5483</f>
        <v>7</v>
      </c>
      <c r="I5483" s="10" t="n">
        <f aca="false">IF(E5483="Won",1,0)</f>
        <v>0</v>
      </c>
    </row>
    <row r="5484" customFormat="false" ht="15" hidden="false" customHeight="false" outlineLevel="0" collapsed="false">
      <c r="A5484" s="10" t="s">
        <v>7825</v>
      </c>
      <c r="B5484" s="10" t="s">
        <v>84</v>
      </c>
      <c r="C5484" s="10" t="s">
        <v>49</v>
      </c>
      <c r="D5484" s="10" t="s">
        <v>210</v>
      </c>
      <c r="E5484" s="10" t="s">
        <v>2342</v>
      </c>
      <c r="F5484" s="30" t="n">
        <v>43039</v>
      </c>
      <c r="G5484" s="30" t="n">
        <v>43046</v>
      </c>
      <c r="H5484" s="26" t="n">
        <f aca="false">G5484-F5484</f>
        <v>7</v>
      </c>
      <c r="I5484" s="10" t="n">
        <f aca="false">IF(E5484="Won",1,0)</f>
        <v>1</v>
      </c>
    </row>
    <row r="5485" customFormat="false" ht="15" hidden="false" customHeight="false" outlineLevel="0" collapsed="false">
      <c r="A5485" s="10" t="s">
        <v>7826</v>
      </c>
      <c r="B5485" s="10" t="s">
        <v>76</v>
      </c>
      <c r="C5485" s="10" t="s">
        <v>49</v>
      </c>
      <c r="D5485" s="10" t="s">
        <v>279</v>
      </c>
      <c r="E5485" s="10" t="s">
        <v>2345</v>
      </c>
      <c r="F5485" s="30" t="n">
        <v>42952</v>
      </c>
      <c r="G5485" s="30" t="n">
        <v>43047</v>
      </c>
      <c r="H5485" s="26" t="n">
        <f aca="false">G5485-F5485</f>
        <v>95</v>
      </c>
      <c r="I5485" s="10" t="n">
        <f aca="false">IF(E5485="Won",1,0)</f>
        <v>0</v>
      </c>
    </row>
    <row r="5486" customFormat="false" ht="15" hidden="false" customHeight="false" outlineLevel="0" collapsed="false">
      <c r="A5486" s="10" t="s">
        <v>7827</v>
      </c>
      <c r="B5486" s="10" t="s">
        <v>79</v>
      </c>
      <c r="C5486" s="10" t="s">
        <v>49</v>
      </c>
      <c r="D5486" s="10" t="s">
        <v>291</v>
      </c>
      <c r="E5486" s="10" t="s">
        <v>2342</v>
      </c>
      <c r="F5486" s="30" t="n">
        <v>43011</v>
      </c>
      <c r="G5486" s="30" t="n">
        <v>43047</v>
      </c>
      <c r="H5486" s="26" t="n">
        <f aca="false">G5486-F5486</f>
        <v>36</v>
      </c>
      <c r="I5486" s="10" t="n">
        <f aca="false">IF(E5486="Won",1,0)</f>
        <v>1</v>
      </c>
    </row>
    <row r="5487" customFormat="false" ht="15" hidden="false" customHeight="false" outlineLevel="0" collapsed="false">
      <c r="A5487" s="10" t="s">
        <v>7828</v>
      </c>
      <c r="B5487" s="10" t="s">
        <v>63</v>
      </c>
      <c r="C5487" s="10" t="s">
        <v>52</v>
      </c>
      <c r="D5487" s="10" t="s">
        <v>464</v>
      </c>
      <c r="E5487" s="10" t="s">
        <v>2342</v>
      </c>
      <c r="F5487" s="30" t="n">
        <v>43000</v>
      </c>
      <c r="G5487" s="30" t="n">
        <v>43047</v>
      </c>
      <c r="H5487" s="26" t="n">
        <f aca="false">G5487-F5487</f>
        <v>47</v>
      </c>
      <c r="I5487" s="10" t="n">
        <f aca="false">IF(E5487="Won",1,0)</f>
        <v>1</v>
      </c>
    </row>
    <row r="5488" customFormat="false" ht="15" hidden="false" customHeight="false" outlineLevel="0" collapsed="false">
      <c r="A5488" s="10" t="s">
        <v>7829</v>
      </c>
      <c r="B5488" s="10" t="s">
        <v>60</v>
      </c>
      <c r="C5488" s="10" t="s">
        <v>47</v>
      </c>
      <c r="D5488" s="10" t="s">
        <v>332</v>
      </c>
      <c r="E5488" s="10" t="s">
        <v>2342</v>
      </c>
      <c r="F5488" s="30" t="n">
        <v>43039</v>
      </c>
      <c r="G5488" s="30" t="n">
        <v>43047</v>
      </c>
      <c r="H5488" s="26" t="n">
        <f aca="false">G5488-F5488</f>
        <v>8</v>
      </c>
      <c r="I5488" s="10" t="n">
        <f aca="false">IF(E5488="Won",1,0)</f>
        <v>1</v>
      </c>
    </row>
    <row r="5489" customFormat="false" ht="15" hidden="false" customHeight="false" outlineLevel="0" collapsed="false">
      <c r="A5489" s="10" t="s">
        <v>7830</v>
      </c>
      <c r="B5489" s="10" t="s">
        <v>73</v>
      </c>
      <c r="C5489" s="10" t="s">
        <v>49</v>
      </c>
      <c r="D5489" s="10" t="s">
        <v>414</v>
      </c>
      <c r="E5489" s="10" t="s">
        <v>2342</v>
      </c>
      <c r="F5489" s="30" t="n">
        <v>42955</v>
      </c>
      <c r="G5489" s="30" t="n">
        <v>43047</v>
      </c>
      <c r="H5489" s="26" t="n">
        <f aca="false">G5489-F5489</f>
        <v>92</v>
      </c>
      <c r="I5489" s="10" t="n">
        <f aca="false">IF(E5489="Won",1,0)</f>
        <v>1</v>
      </c>
    </row>
    <row r="5490" customFormat="false" ht="15" hidden="false" customHeight="false" outlineLevel="0" collapsed="false">
      <c r="A5490" s="10" t="s">
        <v>7831</v>
      </c>
      <c r="B5490" s="10" t="s">
        <v>95</v>
      </c>
      <c r="C5490" s="10" t="s">
        <v>51</v>
      </c>
      <c r="D5490" s="10" t="s">
        <v>522</v>
      </c>
      <c r="E5490" s="10" t="s">
        <v>2342</v>
      </c>
      <c r="F5490" s="30" t="n">
        <v>42980</v>
      </c>
      <c r="G5490" s="30" t="n">
        <v>43047</v>
      </c>
      <c r="H5490" s="26" t="n">
        <f aca="false">G5490-F5490</f>
        <v>67</v>
      </c>
      <c r="I5490" s="10" t="n">
        <f aca="false">IF(E5490="Won",1,0)</f>
        <v>1</v>
      </c>
    </row>
    <row r="5491" customFormat="false" ht="15" hidden="false" customHeight="false" outlineLevel="0" collapsed="false">
      <c r="A5491" s="10" t="s">
        <v>7832</v>
      </c>
      <c r="B5491" s="10" t="s">
        <v>73</v>
      </c>
      <c r="C5491" s="10" t="s">
        <v>50</v>
      </c>
      <c r="D5491" s="10" t="s">
        <v>524</v>
      </c>
      <c r="E5491" s="10" t="s">
        <v>2345</v>
      </c>
      <c r="F5491" s="30" t="n">
        <v>42997</v>
      </c>
      <c r="G5491" s="30" t="n">
        <v>43047</v>
      </c>
      <c r="H5491" s="26" t="n">
        <f aca="false">G5491-F5491</f>
        <v>50</v>
      </c>
      <c r="I5491" s="10" t="n">
        <f aca="false">IF(E5491="Won",1,0)</f>
        <v>0</v>
      </c>
    </row>
    <row r="5492" customFormat="false" ht="15" hidden="false" customHeight="false" outlineLevel="0" collapsed="false">
      <c r="A5492" s="10" t="s">
        <v>7833</v>
      </c>
      <c r="B5492" s="10" t="s">
        <v>87</v>
      </c>
      <c r="C5492" s="10" t="s">
        <v>49</v>
      </c>
      <c r="D5492" s="10" t="s">
        <v>359</v>
      </c>
      <c r="E5492" s="10" t="s">
        <v>2345</v>
      </c>
      <c r="F5492" s="30" t="n">
        <v>42953</v>
      </c>
      <c r="G5492" s="30" t="n">
        <v>43047</v>
      </c>
      <c r="H5492" s="26" t="n">
        <f aca="false">G5492-F5492</f>
        <v>94</v>
      </c>
      <c r="I5492" s="10" t="n">
        <f aca="false">IF(E5492="Won",1,0)</f>
        <v>0</v>
      </c>
    </row>
    <row r="5493" customFormat="false" ht="15" hidden="false" customHeight="false" outlineLevel="0" collapsed="false">
      <c r="A5493" s="10" t="s">
        <v>7834</v>
      </c>
      <c r="B5493" s="10" t="s">
        <v>77</v>
      </c>
      <c r="C5493" s="10" t="s">
        <v>48</v>
      </c>
      <c r="D5493" s="10" t="s">
        <v>483</v>
      </c>
      <c r="E5493" s="10" t="s">
        <v>2345</v>
      </c>
      <c r="F5493" s="30" t="n">
        <v>43043</v>
      </c>
      <c r="G5493" s="30" t="n">
        <v>43047</v>
      </c>
      <c r="H5493" s="26" t="n">
        <f aca="false">G5493-F5493</f>
        <v>4</v>
      </c>
      <c r="I5493" s="10" t="n">
        <f aca="false">IF(E5493="Won",1,0)</f>
        <v>0</v>
      </c>
    </row>
    <row r="5494" customFormat="false" ht="15" hidden="false" customHeight="false" outlineLevel="0" collapsed="false">
      <c r="A5494" s="10" t="s">
        <v>7835</v>
      </c>
      <c r="B5494" s="10" t="s">
        <v>77</v>
      </c>
      <c r="C5494" s="10" t="s">
        <v>50</v>
      </c>
      <c r="D5494" s="10" t="s">
        <v>961</v>
      </c>
      <c r="E5494" s="10" t="s">
        <v>2345</v>
      </c>
      <c r="F5494" s="30" t="n">
        <v>43032</v>
      </c>
      <c r="G5494" s="30" t="n">
        <v>43047</v>
      </c>
      <c r="H5494" s="26" t="n">
        <f aca="false">G5494-F5494</f>
        <v>15</v>
      </c>
      <c r="I5494" s="10" t="n">
        <f aca="false">IF(E5494="Won",1,0)</f>
        <v>0</v>
      </c>
    </row>
    <row r="5495" customFormat="false" ht="15" hidden="false" customHeight="false" outlineLevel="0" collapsed="false">
      <c r="A5495" s="10" t="s">
        <v>7836</v>
      </c>
      <c r="B5495" s="10" t="s">
        <v>71</v>
      </c>
      <c r="C5495" s="10" t="s">
        <v>52</v>
      </c>
      <c r="D5495" s="10" t="s">
        <v>193</v>
      </c>
      <c r="E5495" s="10" t="s">
        <v>2342</v>
      </c>
      <c r="F5495" s="30" t="n">
        <v>42979</v>
      </c>
      <c r="G5495" s="30" t="n">
        <v>43047</v>
      </c>
      <c r="H5495" s="26" t="n">
        <f aca="false">G5495-F5495</f>
        <v>68</v>
      </c>
      <c r="I5495" s="10" t="n">
        <f aca="false">IF(E5495="Won",1,0)</f>
        <v>1</v>
      </c>
    </row>
    <row r="5496" customFormat="false" ht="15" hidden="false" customHeight="false" outlineLevel="0" collapsed="false">
      <c r="A5496" s="10" t="s">
        <v>7837</v>
      </c>
      <c r="B5496" s="10" t="s">
        <v>95</v>
      </c>
      <c r="C5496" s="10" t="s">
        <v>51</v>
      </c>
      <c r="D5496" s="10" t="s">
        <v>487</v>
      </c>
      <c r="E5496" s="10" t="s">
        <v>2342</v>
      </c>
      <c r="F5496" s="30" t="n">
        <v>42964</v>
      </c>
      <c r="G5496" s="30" t="n">
        <v>43047</v>
      </c>
      <c r="H5496" s="26" t="n">
        <f aca="false">G5496-F5496</f>
        <v>83</v>
      </c>
      <c r="I5496" s="10" t="n">
        <f aca="false">IF(E5496="Won",1,0)</f>
        <v>1</v>
      </c>
    </row>
    <row r="5497" customFormat="false" ht="15" hidden="false" customHeight="false" outlineLevel="0" collapsed="false">
      <c r="A5497" s="10" t="s">
        <v>7838</v>
      </c>
      <c r="B5497" s="10" t="s">
        <v>75</v>
      </c>
      <c r="C5497" s="10" t="s">
        <v>52</v>
      </c>
      <c r="D5497" s="10" t="s">
        <v>321</v>
      </c>
      <c r="E5497" s="10" t="s">
        <v>2342</v>
      </c>
      <c r="F5497" s="30" t="n">
        <v>42978</v>
      </c>
      <c r="G5497" s="30" t="n">
        <v>43047</v>
      </c>
      <c r="H5497" s="26" t="n">
        <f aca="false">G5497-F5497</f>
        <v>69</v>
      </c>
      <c r="I5497" s="10" t="n">
        <f aca="false">IF(E5497="Won",1,0)</f>
        <v>1</v>
      </c>
    </row>
    <row r="5498" customFormat="false" ht="15" hidden="false" customHeight="false" outlineLevel="0" collapsed="false">
      <c r="A5498" s="10" t="s">
        <v>7839</v>
      </c>
      <c r="B5498" s="10" t="s">
        <v>95</v>
      </c>
      <c r="C5498" s="10" t="s">
        <v>48</v>
      </c>
      <c r="D5498" s="10" t="s">
        <v>487</v>
      </c>
      <c r="E5498" s="10" t="s">
        <v>2345</v>
      </c>
      <c r="F5498" s="30" t="n">
        <v>42973</v>
      </c>
      <c r="G5498" s="30" t="n">
        <v>43047</v>
      </c>
      <c r="H5498" s="26" t="n">
        <f aca="false">G5498-F5498</f>
        <v>74</v>
      </c>
      <c r="I5498" s="10" t="n">
        <f aca="false">IF(E5498="Won",1,0)</f>
        <v>0</v>
      </c>
    </row>
    <row r="5499" customFormat="false" ht="15" hidden="false" customHeight="false" outlineLevel="0" collapsed="false">
      <c r="A5499" s="10" t="s">
        <v>7840</v>
      </c>
      <c r="B5499" s="10" t="s">
        <v>88</v>
      </c>
      <c r="C5499" s="10" t="s">
        <v>51</v>
      </c>
      <c r="D5499" s="10" t="s">
        <v>453</v>
      </c>
      <c r="E5499" s="10" t="s">
        <v>2342</v>
      </c>
      <c r="F5499" s="30" t="n">
        <v>43039</v>
      </c>
      <c r="G5499" s="30" t="n">
        <v>43047</v>
      </c>
      <c r="H5499" s="26" t="n">
        <f aca="false">G5499-F5499</f>
        <v>8</v>
      </c>
      <c r="I5499" s="10" t="n">
        <f aca="false">IF(E5499="Won",1,0)</f>
        <v>1</v>
      </c>
    </row>
    <row r="5500" customFormat="false" ht="15" hidden="false" customHeight="false" outlineLevel="0" collapsed="false">
      <c r="A5500" s="10" t="s">
        <v>7841</v>
      </c>
      <c r="B5500" s="10" t="s">
        <v>74</v>
      </c>
      <c r="C5500" s="10" t="s">
        <v>49</v>
      </c>
      <c r="D5500" s="10" t="s">
        <v>267</v>
      </c>
      <c r="E5500" s="10" t="s">
        <v>2342</v>
      </c>
      <c r="F5500" s="30" t="n">
        <v>42992</v>
      </c>
      <c r="G5500" s="30" t="n">
        <v>43047</v>
      </c>
      <c r="H5500" s="26" t="n">
        <f aca="false">G5500-F5500</f>
        <v>55</v>
      </c>
      <c r="I5500" s="10" t="n">
        <f aca="false">IF(E5500="Won",1,0)</f>
        <v>1</v>
      </c>
    </row>
    <row r="5501" customFormat="false" ht="15" hidden="false" customHeight="false" outlineLevel="0" collapsed="false">
      <c r="A5501" s="10" t="s">
        <v>7842</v>
      </c>
      <c r="B5501" s="10" t="s">
        <v>79</v>
      </c>
      <c r="C5501" s="10" t="s">
        <v>52</v>
      </c>
      <c r="D5501" s="10" t="s">
        <v>422</v>
      </c>
      <c r="E5501" s="10" t="s">
        <v>2342</v>
      </c>
      <c r="F5501" s="30" t="n">
        <v>42988</v>
      </c>
      <c r="G5501" s="30" t="n">
        <v>43047</v>
      </c>
      <c r="H5501" s="26" t="n">
        <f aca="false">G5501-F5501</f>
        <v>59</v>
      </c>
      <c r="I5501" s="10" t="n">
        <f aca="false">IF(E5501="Won",1,0)</f>
        <v>1</v>
      </c>
    </row>
    <row r="5502" customFormat="false" ht="15" hidden="false" customHeight="false" outlineLevel="0" collapsed="false">
      <c r="A5502" s="10" t="s">
        <v>7843</v>
      </c>
      <c r="B5502" s="10" t="s">
        <v>95</v>
      </c>
      <c r="C5502" s="10" t="s">
        <v>52</v>
      </c>
      <c r="D5502" s="10" t="s">
        <v>986</v>
      </c>
      <c r="E5502" s="10" t="s">
        <v>2342</v>
      </c>
      <c r="F5502" s="30" t="n">
        <v>42968</v>
      </c>
      <c r="G5502" s="30" t="n">
        <v>43047</v>
      </c>
      <c r="H5502" s="26" t="n">
        <f aca="false">G5502-F5502</f>
        <v>79</v>
      </c>
      <c r="I5502" s="10" t="n">
        <f aca="false">IF(E5502="Won",1,0)</f>
        <v>1</v>
      </c>
    </row>
    <row r="5503" customFormat="false" ht="15" hidden="false" customHeight="false" outlineLevel="0" collapsed="false">
      <c r="A5503" s="10" t="s">
        <v>7844</v>
      </c>
      <c r="B5503" s="10" t="s">
        <v>61</v>
      </c>
      <c r="C5503" s="10" t="s">
        <v>48</v>
      </c>
      <c r="D5503" s="10" t="s">
        <v>455</v>
      </c>
      <c r="E5503" s="10" t="s">
        <v>2342</v>
      </c>
      <c r="F5503" s="30" t="n">
        <v>42987</v>
      </c>
      <c r="G5503" s="30" t="n">
        <v>43047</v>
      </c>
      <c r="H5503" s="26" t="n">
        <f aca="false">G5503-F5503</f>
        <v>60</v>
      </c>
      <c r="I5503" s="10" t="n">
        <f aca="false">IF(E5503="Won",1,0)</f>
        <v>1</v>
      </c>
    </row>
    <row r="5504" customFormat="false" ht="15" hidden="false" customHeight="false" outlineLevel="0" collapsed="false">
      <c r="A5504" s="10" t="s">
        <v>7845</v>
      </c>
      <c r="B5504" s="10" t="s">
        <v>67</v>
      </c>
      <c r="C5504" s="10" t="s">
        <v>47</v>
      </c>
      <c r="D5504" s="10" t="s">
        <v>233</v>
      </c>
      <c r="E5504" s="10" t="s">
        <v>2342</v>
      </c>
      <c r="F5504" s="30" t="n">
        <v>42936</v>
      </c>
      <c r="G5504" s="30" t="n">
        <v>43047</v>
      </c>
      <c r="H5504" s="26" t="n">
        <f aca="false">G5504-F5504</f>
        <v>111</v>
      </c>
      <c r="I5504" s="10" t="n">
        <f aca="false">IF(E5504="Won",1,0)</f>
        <v>1</v>
      </c>
    </row>
    <row r="5505" customFormat="false" ht="15" hidden="false" customHeight="false" outlineLevel="0" collapsed="false">
      <c r="A5505" s="10" t="s">
        <v>7846</v>
      </c>
      <c r="B5505" s="10" t="s">
        <v>71</v>
      </c>
      <c r="C5505" s="10" t="s">
        <v>49</v>
      </c>
      <c r="D5505" s="10" t="s">
        <v>660</v>
      </c>
      <c r="E5505" s="10" t="s">
        <v>2345</v>
      </c>
      <c r="F5505" s="30" t="n">
        <v>42970</v>
      </c>
      <c r="G5505" s="30" t="n">
        <v>43047</v>
      </c>
      <c r="H5505" s="26" t="n">
        <f aca="false">G5505-F5505</f>
        <v>77</v>
      </c>
      <c r="I5505" s="10" t="n">
        <f aca="false">IF(E5505="Won",1,0)</f>
        <v>0</v>
      </c>
    </row>
    <row r="5506" customFormat="false" ht="15" hidden="false" customHeight="false" outlineLevel="0" collapsed="false">
      <c r="A5506" s="10" t="s">
        <v>7847</v>
      </c>
      <c r="B5506" s="10" t="s">
        <v>60</v>
      </c>
      <c r="C5506" s="10" t="s">
        <v>51</v>
      </c>
      <c r="D5506" s="10" t="s">
        <v>254</v>
      </c>
      <c r="E5506" s="10" t="s">
        <v>2345</v>
      </c>
      <c r="F5506" s="30" t="n">
        <v>42953</v>
      </c>
      <c r="G5506" s="30" t="n">
        <v>43047</v>
      </c>
      <c r="H5506" s="26" t="n">
        <f aca="false">G5506-F5506</f>
        <v>94</v>
      </c>
      <c r="I5506" s="10" t="n">
        <f aca="false">IF(E5506="Won",1,0)</f>
        <v>0</v>
      </c>
    </row>
    <row r="5507" customFormat="false" ht="15" hidden="false" customHeight="false" outlineLevel="0" collapsed="false">
      <c r="A5507" s="10" t="s">
        <v>7848</v>
      </c>
      <c r="B5507" s="10" t="s">
        <v>73</v>
      </c>
      <c r="C5507" s="10" t="s">
        <v>47</v>
      </c>
      <c r="D5507" s="10" t="s">
        <v>947</v>
      </c>
      <c r="E5507" s="10" t="s">
        <v>2345</v>
      </c>
      <c r="F5507" s="30" t="n">
        <v>42961</v>
      </c>
      <c r="G5507" s="30" t="n">
        <v>43048</v>
      </c>
      <c r="H5507" s="26" t="n">
        <f aca="false">G5507-F5507</f>
        <v>87</v>
      </c>
      <c r="I5507" s="10" t="n">
        <f aca="false">IF(E5507="Won",1,0)</f>
        <v>0</v>
      </c>
    </row>
    <row r="5508" customFormat="false" ht="15" hidden="false" customHeight="false" outlineLevel="0" collapsed="false">
      <c r="A5508" s="10" t="s">
        <v>7849</v>
      </c>
      <c r="B5508" s="10" t="s">
        <v>57</v>
      </c>
      <c r="C5508" s="10" t="s">
        <v>50</v>
      </c>
      <c r="D5508" s="10" t="s">
        <v>210</v>
      </c>
      <c r="E5508" s="10" t="s">
        <v>2342</v>
      </c>
      <c r="F5508" s="30" t="n">
        <v>42949</v>
      </c>
      <c r="G5508" s="30" t="n">
        <v>43048</v>
      </c>
      <c r="H5508" s="26" t="n">
        <f aca="false">G5508-F5508</f>
        <v>99</v>
      </c>
      <c r="I5508" s="10" t="n">
        <f aca="false">IF(E5508="Won",1,0)</f>
        <v>1</v>
      </c>
    </row>
    <row r="5509" customFormat="false" ht="15" hidden="false" customHeight="false" outlineLevel="0" collapsed="false">
      <c r="A5509" s="10" t="s">
        <v>7850</v>
      </c>
      <c r="B5509" s="10" t="s">
        <v>95</v>
      </c>
      <c r="C5509" s="10" t="s">
        <v>50</v>
      </c>
      <c r="D5509" s="10" t="s">
        <v>286</v>
      </c>
      <c r="E5509" s="10" t="s">
        <v>2345</v>
      </c>
      <c r="F5509" s="30" t="n">
        <v>42950</v>
      </c>
      <c r="G5509" s="30" t="n">
        <v>43048</v>
      </c>
      <c r="H5509" s="26" t="n">
        <f aca="false">G5509-F5509</f>
        <v>98</v>
      </c>
      <c r="I5509" s="10" t="n">
        <f aca="false">IF(E5509="Won",1,0)</f>
        <v>0</v>
      </c>
    </row>
    <row r="5510" customFormat="false" ht="15" hidden="false" customHeight="false" outlineLevel="0" collapsed="false">
      <c r="A5510" s="10" t="s">
        <v>7851</v>
      </c>
      <c r="B5510" s="10" t="s">
        <v>77</v>
      </c>
      <c r="C5510" s="10" t="s">
        <v>48</v>
      </c>
      <c r="D5510" s="10" t="s">
        <v>762</v>
      </c>
      <c r="E5510" s="10" t="s">
        <v>2342</v>
      </c>
      <c r="F5510" s="30" t="n">
        <v>42962</v>
      </c>
      <c r="G5510" s="30" t="n">
        <v>43048</v>
      </c>
      <c r="H5510" s="26" t="n">
        <f aca="false">G5510-F5510</f>
        <v>86</v>
      </c>
      <c r="I5510" s="10" t="n">
        <f aca="false">IF(E5510="Won",1,0)</f>
        <v>1</v>
      </c>
    </row>
    <row r="5511" customFormat="false" ht="15" hidden="false" customHeight="false" outlineLevel="0" collapsed="false">
      <c r="A5511" s="10" t="s">
        <v>7852</v>
      </c>
      <c r="B5511" s="10" t="s">
        <v>62</v>
      </c>
      <c r="C5511" s="10" t="s">
        <v>50</v>
      </c>
      <c r="D5511" s="10" t="s">
        <v>247</v>
      </c>
      <c r="E5511" s="10" t="s">
        <v>2345</v>
      </c>
      <c r="F5511" s="30" t="n">
        <v>42958</v>
      </c>
      <c r="G5511" s="30" t="n">
        <v>43048</v>
      </c>
      <c r="H5511" s="26" t="n">
        <f aca="false">G5511-F5511</f>
        <v>90</v>
      </c>
      <c r="I5511" s="10" t="n">
        <f aca="false">IF(E5511="Won",1,0)</f>
        <v>0</v>
      </c>
    </row>
    <row r="5512" customFormat="false" ht="15" hidden="false" customHeight="false" outlineLevel="0" collapsed="false">
      <c r="A5512" s="10" t="s">
        <v>7853</v>
      </c>
      <c r="B5512" s="10" t="s">
        <v>62</v>
      </c>
      <c r="C5512" s="10" t="s">
        <v>52</v>
      </c>
      <c r="D5512" s="10" t="s">
        <v>1397</v>
      </c>
      <c r="E5512" s="10" t="s">
        <v>2342</v>
      </c>
      <c r="F5512" s="30" t="n">
        <v>42981</v>
      </c>
      <c r="G5512" s="30" t="n">
        <v>43048</v>
      </c>
      <c r="H5512" s="26" t="n">
        <f aca="false">G5512-F5512</f>
        <v>67</v>
      </c>
      <c r="I5512" s="10" t="n">
        <f aca="false">IF(E5512="Won",1,0)</f>
        <v>1</v>
      </c>
    </row>
    <row r="5513" customFormat="false" ht="15" hidden="false" customHeight="false" outlineLevel="0" collapsed="false">
      <c r="A5513" s="10" t="s">
        <v>7854</v>
      </c>
      <c r="B5513" s="10" t="s">
        <v>77</v>
      </c>
      <c r="C5513" s="10" t="s">
        <v>48</v>
      </c>
      <c r="D5513" s="10" t="s">
        <v>961</v>
      </c>
      <c r="E5513" s="10" t="s">
        <v>2345</v>
      </c>
      <c r="F5513" s="30" t="n">
        <v>43042</v>
      </c>
      <c r="G5513" s="30" t="n">
        <v>43048</v>
      </c>
      <c r="H5513" s="26" t="n">
        <f aca="false">G5513-F5513</f>
        <v>6</v>
      </c>
      <c r="I5513" s="10" t="n">
        <f aca="false">IF(E5513="Won",1,0)</f>
        <v>0</v>
      </c>
    </row>
    <row r="5514" customFormat="false" ht="15" hidden="false" customHeight="false" outlineLevel="0" collapsed="false">
      <c r="A5514" s="10" t="s">
        <v>7855</v>
      </c>
      <c r="B5514" s="10" t="s">
        <v>83</v>
      </c>
      <c r="C5514" s="10" t="s">
        <v>49</v>
      </c>
      <c r="D5514" s="10" t="s">
        <v>524</v>
      </c>
      <c r="E5514" s="10" t="s">
        <v>2345</v>
      </c>
      <c r="F5514" s="30" t="n">
        <v>42930</v>
      </c>
      <c r="G5514" s="30" t="n">
        <v>43048</v>
      </c>
      <c r="H5514" s="26" t="n">
        <f aca="false">G5514-F5514</f>
        <v>118</v>
      </c>
      <c r="I5514" s="10" t="n">
        <f aca="false">IF(E5514="Won",1,0)</f>
        <v>0</v>
      </c>
    </row>
    <row r="5515" customFormat="false" ht="15" hidden="false" customHeight="false" outlineLevel="0" collapsed="false">
      <c r="A5515" s="10" t="s">
        <v>7856</v>
      </c>
      <c r="B5515" s="10" t="s">
        <v>76</v>
      </c>
      <c r="C5515" s="10" t="s">
        <v>52</v>
      </c>
      <c r="D5515" s="10" t="s">
        <v>388</v>
      </c>
      <c r="E5515" s="10" t="s">
        <v>2345</v>
      </c>
      <c r="F5515" s="30" t="n">
        <v>43002</v>
      </c>
      <c r="G5515" s="30" t="n">
        <v>43048</v>
      </c>
      <c r="H5515" s="26" t="n">
        <f aca="false">G5515-F5515</f>
        <v>46</v>
      </c>
      <c r="I5515" s="10" t="n">
        <f aca="false">IF(E5515="Won",1,0)</f>
        <v>0</v>
      </c>
    </row>
    <row r="5516" customFormat="false" ht="15" hidden="false" customHeight="false" outlineLevel="0" collapsed="false">
      <c r="A5516" s="10" t="s">
        <v>7857</v>
      </c>
      <c r="B5516" s="10" t="s">
        <v>76</v>
      </c>
      <c r="C5516" s="10" t="s">
        <v>51</v>
      </c>
      <c r="D5516" s="10" t="s">
        <v>527</v>
      </c>
      <c r="E5516" s="10" t="s">
        <v>2342</v>
      </c>
      <c r="F5516" s="30" t="n">
        <v>42952</v>
      </c>
      <c r="G5516" s="30" t="n">
        <v>43048</v>
      </c>
      <c r="H5516" s="26" t="n">
        <f aca="false">G5516-F5516</f>
        <v>96</v>
      </c>
      <c r="I5516" s="10" t="n">
        <f aca="false">IF(E5516="Won",1,0)</f>
        <v>1</v>
      </c>
    </row>
    <row r="5517" customFormat="false" ht="15" hidden="false" customHeight="false" outlineLevel="0" collapsed="false">
      <c r="A5517" s="10" t="s">
        <v>7858</v>
      </c>
      <c r="B5517" s="10" t="s">
        <v>88</v>
      </c>
      <c r="C5517" s="10" t="s">
        <v>51</v>
      </c>
      <c r="D5517" s="10" t="s">
        <v>674</v>
      </c>
      <c r="E5517" s="10" t="s">
        <v>2342</v>
      </c>
      <c r="F5517" s="30" t="n">
        <v>43039</v>
      </c>
      <c r="G5517" s="30" t="n">
        <v>43048</v>
      </c>
      <c r="H5517" s="26" t="n">
        <f aca="false">G5517-F5517</f>
        <v>9</v>
      </c>
      <c r="I5517" s="10" t="n">
        <f aca="false">IF(E5517="Won",1,0)</f>
        <v>1</v>
      </c>
    </row>
    <row r="5518" customFormat="false" ht="15" hidden="false" customHeight="false" outlineLevel="0" collapsed="false">
      <c r="A5518" s="10" t="s">
        <v>7859</v>
      </c>
      <c r="B5518" s="10" t="s">
        <v>87</v>
      </c>
      <c r="C5518" s="10" t="s">
        <v>49</v>
      </c>
      <c r="D5518" s="10" t="s">
        <v>286</v>
      </c>
      <c r="E5518" s="10" t="s">
        <v>2345</v>
      </c>
      <c r="F5518" s="30" t="n">
        <v>42936</v>
      </c>
      <c r="G5518" s="30" t="n">
        <v>43048</v>
      </c>
      <c r="H5518" s="26" t="n">
        <f aca="false">G5518-F5518</f>
        <v>112</v>
      </c>
      <c r="I5518" s="10" t="n">
        <f aca="false">IF(E5518="Won",1,0)</f>
        <v>0</v>
      </c>
    </row>
    <row r="5519" customFormat="false" ht="15" hidden="false" customHeight="false" outlineLevel="0" collapsed="false">
      <c r="A5519" s="10" t="s">
        <v>7860</v>
      </c>
      <c r="B5519" s="10" t="s">
        <v>94</v>
      </c>
      <c r="C5519" s="10" t="s">
        <v>47</v>
      </c>
      <c r="D5519" s="10" t="s">
        <v>172</v>
      </c>
      <c r="E5519" s="10" t="s">
        <v>2342</v>
      </c>
      <c r="F5519" s="30" t="n">
        <v>43039</v>
      </c>
      <c r="G5519" s="30" t="n">
        <v>43048</v>
      </c>
      <c r="H5519" s="26" t="n">
        <f aca="false">G5519-F5519</f>
        <v>9</v>
      </c>
      <c r="I5519" s="10" t="n">
        <f aca="false">IF(E5519="Won",1,0)</f>
        <v>1</v>
      </c>
    </row>
    <row r="5520" customFormat="false" ht="15" hidden="false" customHeight="false" outlineLevel="0" collapsed="false">
      <c r="A5520" s="10" t="s">
        <v>7861</v>
      </c>
      <c r="B5520" s="10" t="s">
        <v>66</v>
      </c>
      <c r="C5520" s="10" t="s">
        <v>52</v>
      </c>
      <c r="D5520" s="10" t="s">
        <v>437</v>
      </c>
      <c r="E5520" s="10" t="s">
        <v>2345</v>
      </c>
      <c r="F5520" s="30" t="n">
        <v>43039</v>
      </c>
      <c r="G5520" s="30" t="n">
        <v>43048</v>
      </c>
      <c r="H5520" s="26" t="n">
        <f aca="false">G5520-F5520</f>
        <v>9</v>
      </c>
      <c r="I5520" s="10" t="n">
        <f aca="false">IF(E5520="Won",1,0)</f>
        <v>0</v>
      </c>
    </row>
    <row r="5521" customFormat="false" ht="15" hidden="false" customHeight="false" outlineLevel="0" collapsed="false">
      <c r="A5521" s="10" t="s">
        <v>7862</v>
      </c>
      <c r="B5521" s="10" t="s">
        <v>77</v>
      </c>
      <c r="C5521" s="10" t="s">
        <v>48</v>
      </c>
      <c r="D5521" s="10" t="s">
        <v>524</v>
      </c>
      <c r="E5521" s="10" t="s">
        <v>2342</v>
      </c>
      <c r="F5521" s="30" t="n">
        <v>42985</v>
      </c>
      <c r="G5521" s="30" t="n">
        <v>43048</v>
      </c>
      <c r="H5521" s="26" t="n">
        <f aca="false">G5521-F5521</f>
        <v>63</v>
      </c>
      <c r="I5521" s="10" t="n">
        <f aca="false">IF(E5521="Won",1,0)</f>
        <v>1</v>
      </c>
    </row>
    <row r="5522" customFormat="false" ht="15" hidden="false" customHeight="false" outlineLevel="0" collapsed="false">
      <c r="A5522" s="10" t="s">
        <v>7863</v>
      </c>
      <c r="B5522" s="10" t="s">
        <v>62</v>
      </c>
      <c r="C5522" s="10" t="s">
        <v>52</v>
      </c>
      <c r="D5522" s="10" t="s">
        <v>274</v>
      </c>
      <c r="E5522" s="10" t="s">
        <v>2342</v>
      </c>
      <c r="F5522" s="30" t="n">
        <v>42954</v>
      </c>
      <c r="G5522" s="30" t="n">
        <v>43048</v>
      </c>
      <c r="H5522" s="26" t="n">
        <f aca="false">G5522-F5522</f>
        <v>94</v>
      </c>
      <c r="I5522" s="10" t="n">
        <f aca="false">IF(E5522="Won",1,0)</f>
        <v>1</v>
      </c>
    </row>
    <row r="5523" customFormat="false" ht="15" hidden="false" customHeight="false" outlineLevel="0" collapsed="false">
      <c r="A5523" s="10" t="s">
        <v>7864</v>
      </c>
      <c r="B5523" s="10" t="s">
        <v>77</v>
      </c>
      <c r="C5523" s="10" t="s">
        <v>51</v>
      </c>
      <c r="D5523" s="10" t="s">
        <v>422</v>
      </c>
      <c r="E5523" s="10" t="s">
        <v>2345</v>
      </c>
      <c r="F5523" s="30" t="n">
        <v>42927</v>
      </c>
      <c r="G5523" s="30" t="n">
        <v>43048</v>
      </c>
      <c r="H5523" s="26" t="n">
        <f aca="false">G5523-F5523</f>
        <v>121</v>
      </c>
      <c r="I5523" s="10" t="n">
        <f aca="false">IF(E5523="Won",1,0)</f>
        <v>0</v>
      </c>
    </row>
    <row r="5524" customFormat="false" ht="15" hidden="false" customHeight="false" outlineLevel="0" collapsed="false">
      <c r="A5524" s="10" t="s">
        <v>7865</v>
      </c>
      <c r="B5524" s="10" t="s">
        <v>97</v>
      </c>
      <c r="C5524" s="10" t="s">
        <v>48</v>
      </c>
      <c r="D5524" s="10" t="s">
        <v>424</v>
      </c>
      <c r="E5524" s="10" t="s">
        <v>2345</v>
      </c>
      <c r="F5524" s="30" t="n">
        <v>42924</v>
      </c>
      <c r="G5524" s="30" t="n">
        <v>43048</v>
      </c>
      <c r="H5524" s="26" t="n">
        <f aca="false">G5524-F5524</f>
        <v>124</v>
      </c>
      <c r="I5524" s="10" t="n">
        <f aca="false">IF(E5524="Won",1,0)</f>
        <v>0</v>
      </c>
    </row>
    <row r="5525" customFormat="false" ht="15" hidden="false" customHeight="false" outlineLevel="0" collapsed="false">
      <c r="A5525" s="10" t="s">
        <v>7866</v>
      </c>
      <c r="B5525" s="10" t="s">
        <v>71</v>
      </c>
      <c r="C5525" s="10" t="s">
        <v>51</v>
      </c>
      <c r="D5525" s="10" t="s">
        <v>947</v>
      </c>
      <c r="E5525" s="10" t="s">
        <v>2342</v>
      </c>
      <c r="F5525" s="30" t="n">
        <v>43044</v>
      </c>
      <c r="G5525" s="30" t="n">
        <v>43048</v>
      </c>
      <c r="H5525" s="26" t="n">
        <f aca="false">G5525-F5525</f>
        <v>4</v>
      </c>
      <c r="I5525" s="10" t="n">
        <f aca="false">IF(E5525="Won",1,0)</f>
        <v>1</v>
      </c>
    </row>
    <row r="5526" customFormat="false" ht="15" hidden="false" customHeight="false" outlineLevel="0" collapsed="false">
      <c r="A5526" s="10" t="s">
        <v>7867</v>
      </c>
      <c r="B5526" s="10" t="s">
        <v>57</v>
      </c>
      <c r="C5526" s="10" t="s">
        <v>48</v>
      </c>
      <c r="D5526" s="10" t="s">
        <v>1118</v>
      </c>
      <c r="E5526" s="10" t="s">
        <v>2342</v>
      </c>
      <c r="F5526" s="30" t="n">
        <v>42962</v>
      </c>
      <c r="G5526" s="30" t="n">
        <v>43048</v>
      </c>
      <c r="H5526" s="26" t="n">
        <f aca="false">G5526-F5526</f>
        <v>86</v>
      </c>
      <c r="I5526" s="10" t="n">
        <f aca="false">IF(E5526="Won",1,0)</f>
        <v>1</v>
      </c>
    </row>
    <row r="5527" customFormat="false" ht="15" hidden="false" customHeight="false" outlineLevel="0" collapsed="false">
      <c r="A5527" s="10" t="s">
        <v>7868</v>
      </c>
      <c r="B5527" s="10" t="s">
        <v>80</v>
      </c>
      <c r="C5527" s="10" t="s">
        <v>48</v>
      </c>
      <c r="D5527" s="10" t="s">
        <v>527</v>
      </c>
      <c r="E5527" s="10" t="s">
        <v>2342</v>
      </c>
      <c r="F5527" s="30" t="n">
        <v>43033</v>
      </c>
      <c r="G5527" s="30" t="n">
        <v>43049</v>
      </c>
      <c r="H5527" s="26" t="n">
        <f aca="false">G5527-F5527</f>
        <v>16</v>
      </c>
      <c r="I5527" s="10" t="n">
        <f aca="false">IF(E5527="Won",1,0)</f>
        <v>1</v>
      </c>
    </row>
    <row r="5528" customFormat="false" ht="15" hidden="false" customHeight="false" outlineLevel="0" collapsed="false">
      <c r="A5528" s="10" t="s">
        <v>7869</v>
      </c>
      <c r="B5528" s="10" t="s">
        <v>96</v>
      </c>
      <c r="C5528" s="10" t="s">
        <v>47</v>
      </c>
      <c r="D5528" s="10" t="s">
        <v>344</v>
      </c>
      <c r="E5528" s="10" t="s">
        <v>2342</v>
      </c>
      <c r="F5528" s="30" t="n">
        <v>43032</v>
      </c>
      <c r="G5528" s="30" t="n">
        <v>43049</v>
      </c>
      <c r="H5528" s="26" t="n">
        <f aca="false">G5528-F5528</f>
        <v>17</v>
      </c>
      <c r="I5528" s="10" t="n">
        <f aca="false">IF(E5528="Won",1,0)</f>
        <v>1</v>
      </c>
    </row>
    <row r="5529" customFormat="false" ht="15" hidden="false" customHeight="false" outlineLevel="0" collapsed="false">
      <c r="A5529" s="10" t="s">
        <v>7870</v>
      </c>
      <c r="B5529" s="10" t="s">
        <v>70</v>
      </c>
      <c r="C5529" s="10" t="s">
        <v>47</v>
      </c>
      <c r="D5529" s="10" t="s">
        <v>419</v>
      </c>
      <c r="E5529" s="10" t="s">
        <v>2345</v>
      </c>
      <c r="F5529" s="30" t="n">
        <v>43040</v>
      </c>
      <c r="G5529" s="30" t="n">
        <v>43049</v>
      </c>
      <c r="H5529" s="26" t="n">
        <f aca="false">G5529-F5529</f>
        <v>9</v>
      </c>
      <c r="I5529" s="10" t="n">
        <f aca="false">IF(E5529="Won",1,0)</f>
        <v>0</v>
      </c>
    </row>
    <row r="5530" customFormat="false" ht="15" hidden="false" customHeight="false" outlineLevel="0" collapsed="false">
      <c r="A5530" s="10" t="s">
        <v>7871</v>
      </c>
      <c r="B5530" s="10" t="s">
        <v>93</v>
      </c>
      <c r="C5530" s="10" t="s">
        <v>47</v>
      </c>
      <c r="D5530" s="10" t="s">
        <v>432</v>
      </c>
      <c r="E5530" s="10" t="s">
        <v>2342</v>
      </c>
      <c r="F5530" s="30" t="n">
        <v>43043</v>
      </c>
      <c r="G5530" s="30" t="n">
        <v>43049</v>
      </c>
      <c r="H5530" s="26" t="n">
        <f aca="false">G5530-F5530</f>
        <v>6</v>
      </c>
      <c r="I5530" s="10" t="n">
        <f aca="false">IF(E5530="Won",1,0)</f>
        <v>1</v>
      </c>
    </row>
    <row r="5531" customFormat="false" ht="15" hidden="false" customHeight="false" outlineLevel="0" collapsed="false">
      <c r="A5531" s="10" t="s">
        <v>7872</v>
      </c>
      <c r="B5531" s="10" t="s">
        <v>90</v>
      </c>
      <c r="C5531" s="10" t="s">
        <v>47</v>
      </c>
      <c r="D5531" s="10" t="s">
        <v>616</v>
      </c>
      <c r="E5531" s="10" t="s">
        <v>2345</v>
      </c>
      <c r="F5531" s="30" t="n">
        <v>42969</v>
      </c>
      <c r="G5531" s="30" t="n">
        <v>43049</v>
      </c>
      <c r="H5531" s="26" t="n">
        <f aca="false">G5531-F5531</f>
        <v>80</v>
      </c>
      <c r="I5531" s="10" t="n">
        <f aca="false">IF(E5531="Won",1,0)</f>
        <v>0</v>
      </c>
    </row>
    <row r="5532" customFormat="false" ht="15" hidden="false" customHeight="false" outlineLevel="0" collapsed="false">
      <c r="A5532" s="10" t="s">
        <v>7873</v>
      </c>
      <c r="B5532" s="10" t="s">
        <v>70</v>
      </c>
      <c r="C5532" s="10" t="s">
        <v>50</v>
      </c>
      <c r="D5532" s="10" t="s">
        <v>170</v>
      </c>
      <c r="E5532" s="10" t="s">
        <v>2342</v>
      </c>
      <c r="F5532" s="30" t="n">
        <v>43040</v>
      </c>
      <c r="G5532" s="30" t="n">
        <v>43049</v>
      </c>
      <c r="H5532" s="26" t="n">
        <f aca="false">G5532-F5532</f>
        <v>9</v>
      </c>
      <c r="I5532" s="10" t="n">
        <f aca="false">IF(E5532="Won",1,0)</f>
        <v>1</v>
      </c>
    </row>
    <row r="5533" customFormat="false" ht="15" hidden="false" customHeight="false" outlineLevel="0" collapsed="false">
      <c r="A5533" s="10" t="s">
        <v>7874</v>
      </c>
      <c r="B5533" s="10" t="s">
        <v>81</v>
      </c>
      <c r="C5533" s="10" t="s">
        <v>50</v>
      </c>
      <c r="D5533" s="10" t="s">
        <v>414</v>
      </c>
      <c r="E5533" s="10" t="s">
        <v>2345</v>
      </c>
      <c r="F5533" s="30" t="n">
        <v>42997</v>
      </c>
      <c r="G5533" s="30" t="n">
        <v>43049</v>
      </c>
      <c r="H5533" s="26" t="n">
        <f aca="false">G5533-F5533</f>
        <v>52</v>
      </c>
      <c r="I5533" s="10" t="n">
        <f aca="false">IF(E5533="Won",1,0)</f>
        <v>0</v>
      </c>
    </row>
    <row r="5534" customFormat="false" ht="15" hidden="false" customHeight="false" outlineLevel="0" collapsed="false">
      <c r="A5534" s="10" t="s">
        <v>7875</v>
      </c>
      <c r="B5534" s="10" t="s">
        <v>96</v>
      </c>
      <c r="C5534" s="10" t="s">
        <v>51</v>
      </c>
      <c r="D5534" s="10" t="s">
        <v>437</v>
      </c>
      <c r="E5534" s="10" t="s">
        <v>2345</v>
      </c>
      <c r="F5534" s="30" t="n">
        <v>42939</v>
      </c>
      <c r="G5534" s="30" t="n">
        <v>43049</v>
      </c>
      <c r="H5534" s="26" t="n">
        <f aca="false">G5534-F5534</f>
        <v>110</v>
      </c>
      <c r="I5534" s="10" t="n">
        <f aca="false">IF(E5534="Won",1,0)</f>
        <v>0</v>
      </c>
    </row>
    <row r="5535" customFormat="false" ht="15" hidden="false" customHeight="false" outlineLevel="0" collapsed="false">
      <c r="A5535" s="10" t="s">
        <v>7876</v>
      </c>
      <c r="B5535" s="10" t="s">
        <v>69</v>
      </c>
      <c r="C5535" s="10" t="s">
        <v>46</v>
      </c>
      <c r="D5535" s="10" t="s">
        <v>419</v>
      </c>
      <c r="E5535" s="10" t="s">
        <v>2342</v>
      </c>
      <c r="F5535" s="30" t="n">
        <v>42981</v>
      </c>
      <c r="G5535" s="30" t="n">
        <v>43049</v>
      </c>
      <c r="H5535" s="26" t="n">
        <f aca="false">G5535-F5535</f>
        <v>68</v>
      </c>
      <c r="I5535" s="10" t="n">
        <f aca="false">IF(E5535="Won",1,0)</f>
        <v>1</v>
      </c>
    </row>
    <row r="5536" customFormat="false" ht="15" hidden="false" customHeight="false" outlineLevel="0" collapsed="false">
      <c r="A5536" s="10" t="s">
        <v>7877</v>
      </c>
      <c r="B5536" s="10" t="s">
        <v>86</v>
      </c>
      <c r="C5536" s="10" t="s">
        <v>48</v>
      </c>
      <c r="D5536" s="10" t="s">
        <v>674</v>
      </c>
      <c r="E5536" s="10" t="s">
        <v>2342</v>
      </c>
      <c r="F5536" s="30" t="n">
        <v>42959</v>
      </c>
      <c r="G5536" s="30" t="n">
        <v>43049</v>
      </c>
      <c r="H5536" s="26" t="n">
        <f aca="false">G5536-F5536</f>
        <v>90</v>
      </c>
      <c r="I5536" s="10" t="n">
        <f aca="false">IF(E5536="Won",1,0)</f>
        <v>1</v>
      </c>
    </row>
    <row r="5537" customFormat="false" ht="15" hidden="false" customHeight="false" outlineLevel="0" collapsed="false">
      <c r="A5537" s="10" t="s">
        <v>7878</v>
      </c>
      <c r="B5537" s="10" t="s">
        <v>94</v>
      </c>
      <c r="C5537" s="10" t="s">
        <v>47</v>
      </c>
      <c r="D5537" s="10" t="s">
        <v>172</v>
      </c>
      <c r="E5537" s="10" t="s">
        <v>2342</v>
      </c>
      <c r="F5537" s="30" t="n">
        <v>42961</v>
      </c>
      <c r="G5537" s="30" t="n">
        <v>43049</v>
      </c>
      <c r="H5537" s="26" t="n">
        <f aca="false">G5537-F5537</f>
        <v>88</v>
      </c>
      <c r="I5537" s="10" t="n">
        <f aca="false">IF(E5537="Won",1,0)</f>
        <v>1</v>
      </c>
    </row>
    <row r="5538" customFormat="false" ht="15" hidden="false" customHeight="false" outlineLevel="0" collapsed="false">
      <c r="A5538" s="10" t="s">
        <v>7879</v>
      </c>
      <c r="B5538" s="10" t="s">
        <v>93</v>
      </c>
      <c r="C5538" s="10" t="s">
        <v>47</v>
      </c>
      <c r="D5538" s="10" t="s">
        <v>711</v>
      </c>
      <c r="E5538" s="10" t="s">
        <v>2342</v>
      </c>
      <c r="F5538" s="30" t="n">
        <v>42994</v>
      </c>
      <c r="G5538" s="30" t="n">
        <v>43049</v>
      </c>
      <c r="H5538" s="26" t="n">
        <f aca="false">G5538-F5538</f>
        <v>55</v>
      </c>
      <c r="I5538" s="10" t="n">
        <f aca="false">IF(E5538="Won",1,0)</f>
        <v>1</v>
      </c>
    </row>
    <row r="5539" customFormat="false" ht="15" hidden="false" customHeight="false" outlineLevel="0" collapsed="false">
      <c r="A5539" s="10" t="s">
        <v>7880</v>
      </c>
      <c r="B5539" s="10" t="s">
        <v>75</v>
      </c>
      <c r="C5539" s="10" t="s">
        <v>52</v>
      </c>
      <c r="D5539" s="10" t="s">
        <v>961</v>
      </c>
      <c r="E5539" s="10" t="s">
        <v>2345</v>
      </c>
      <c r="F5539" s="30" t="n">
        <v>42962</v>
      </c>
      <c r="G5539" s="30" t="n">
        <v>43049</v>
      </c>
      <c r="H5539" s="26" t="n">
        <f aca="false">G5539-F5539</f>
        <v>87</v>
      </c>
      <c r="I5539" s="10" t="n">
        <f aca="false">IF(E5539="Won",1,0)</f>
        <v>0</v>
      </c>
    </row>
    <row r="5540" customFormat="false" ht="15" hidden="false" customHeight="false" outlineLevel="0" collapsed="false">
      <c r="A5540" s="10" t="s">
        <v>7881</v>
      </c>
      <c r="B5540" s="10" t="s">
        <v>71</v>
      </c>
      <c r="C5540" s="10" t="s">
        <v>52</v>
      </c>
      <c r="D5540" s="10" t="s">
        <v>697</v>
      </c>
      <c r="E5540" s="10" t="s">
        <v>2345</v>
      </c>
      <c r="F5540" s="30" t="n">
        <v>43039</v>
      </c>
      <c r="G5540" s="30" t="n">
        <v>43049</v>
      </c>
      <c r="H5540" s="26" t="n">
        <f aca="false">G5540-F5540</f>
        <v>10</v>
      </c>
      <c r="I5540" s="10" t="n">
        <f aca="false">IF(E5540="Won",1,0)</f>
        <v>0</v>
      </c>
    </row>
    <row r="5541" customFormat="false" ht="15" hidden="false" customHeight="false" outlineLevel="0" collapsed="false">
      <c r="A5541" s="10" t="s">
        <v>7882</v>
      </c>
      <c r="B5541" s="10" t="s">
        <v>77</v>
      </c>
      <c r="C5541" s="10" t="s">
        <v>46</v>
      </c>
      <c r="D5541" s="10" t="s">
        <v>193</v>
      </c>
      <c r="E5541" s="10" t="s">
        <v>2345</v>
      </c>
      <c r="F5541" s="30" t="n">
        <v>43035</v>
      </c>
      <c r="G5541" s="30" t="n">
        <v>43049</v>
      </c>
      <c r="H5541" s="26" t="n">
        <f aca="false">G5541-F5541</f>
        <v>14</v>
      </c>
      <c r="I5541" s="10" t="n">
        <f aca="false">IF(E5541="Won",1,0)</f>
        <v>0</v>
      </c>
    </row>
    <row r="5542" customFormat="false" ht="15" hidden="false" customHeight="false" outlineLevel="0" collapsed="false">
      <c r="A5542" s="10" t="s">
        <v>7883</v>
      </c>
      <c r="B5542" s="10" t="s">
        <v>75</v>
      </c>
      <c r="C5542" s="10" t="s">
        <v>47</v>
      </c>
      <c r="D5542" s="10" t="s">
        <v>267</v>
      </c>
      <c r="E5542" s="10" t="s">
        <v>2342</v>
      </c>
      <c r="F5542" s="30" t="n">
        <v>42947</v>
      </c>
      <c r="G5542" s="30" t="n">
        <v>43049</v>
      </c>
      <c r="H5542" s="26" t="n">
        <f aca="false">G5542-F5542</f>
        <v>102</v>
      </c>
      <c r="I5542" s="10" t="n">
        <f aca="false">IF(E5542="Won",1,0)</f>
        <v>1</v>
      </c>
    </row>
    <row r="5543" customFormat="false" ht="15" hidden="false" customHeight="false" outlineLevel="0" collapsed="false">
      <c r="A5543" s="10" t="s">
        <v>7884</v>
      </c>
      <c r="B5543" s="10" t="s">
        <v>74</v>
      </c>
      <c r="C5543" s="10" t="s">
        <v>50</v>
      </c>
      <c r="D5543" s="10" t="s">
        <v>353</v>
      </c>
      <c r="E5543" s="10" t="s">
        <v>2345</v>
      </c>
      <c r="F5543" s="30" t="n">
        <v>43039</v>
      </c>
      <c r="G5543" s="30" t="n">
        <v>43049</v>
      </c>
      <c r="H5543" s="26" t="n">
        <f aca="false">G5543-F5543</f>
        <v>10</v>
      </c>
      <c r="I5543" s="10" t="n">
        <f aca="false">IF(E5543="Won",1,0)</f>
        <v>0</v>
      </c>
    </row>
    <row r="5544" customFormat="false" ht="15" hidden="false" customHeight="false" outlineLevel="0" collapsed="false">
      <c r="A5544" s="10" t="s">
        <v>7885</v>
      </c>
      <c r="B5544" s="10" t="s">
        <v>80</v>
      </c>
      <c r="C5544" s="10" t="s">
        <v>48</v>
      </c>
      <c r="D5544" s="10" t="s">
        <v>388</v>
      </c>
      <c r="E5544" s="10" t="s">
        <v>2342</v>
      </c>
      <c r="F5544" s="30" t="n">
        <v>42958</v>
      </c>
      <c r="G5544" s="30" t="n">
        <v>43049</v>
      </c>
      <c r="H5544" s="26" t="n">
        <f aca="false">G5544-F5544</f>
        <v>91</v>
      </c>
      <c r="I5544" s="10" t="n">
        <f aca="false">IF(E5544="Won",1,0)</f>
        <v>1</v>
      </c>
    </row>
    <row r="5545" customFormat="false" ht="15" hidden="false" customHeight="false" outlineLevel="0" collapsed="false">
      <c r="A5545" s="10" t="s">
        <v>7886</v>
      </c>
      <c r="B5545" s="10" t="s">
        <v>77</v>
      </c>
      <c r="C5545" s="10" t="s">
        <v>48</v>
      </c>
      <c r="D5545" s="10" t="s">
        <v>353</v>
      </c>
      <c r="E5545" s="10" t="s">
        <v>2345</v>
      </c>
      <c r="F5545" s="30" t="n">
        <v>43039</v>
      </c>
      <c r="G5545" s="30" t="n">
        <v>43049</v>
      </c>
      <c r="H5545" s="26" t="n">
        <f aca="false">G5545-F5545</f>
        <v>10</v>
      </c>
      <c r="I5545" s="10" t="n">
        <f aca="false">IF(E5545="Won",1,0)</f>
        <v>0</v>
      </c>
    </row>
    <row r="5546" customFormat="false" ht="15" hidden="false" customHeight="false" outlineLevel="0" collapsed="false">
      <c r="A5546" s="10" t="s">
        <v>7887</v>
      </c>
      <c r="B5546" s="10" t="s">
        <v>66</v>
      </c>
      <c r="C5546" s="10" t="s">
        <v>52</v>
      </c>
      <c r="D5546" s="10" t="s">
        <v>711</v>
      </c>
      <c r="E5546" s="10" t="s">
        <v>2342</v>
      </c>
      <c r="F5546" s="30" t="n">
        <v>43035</v>
      </c>
      <c r="G5546" s="30" t="n">
        <v>43049</v>
      </c>
      <c r="H5546" s="26" t="n">
        <f aca="false">G5546-F5546</f>
        <v>14</v>
      </c>
      <c r="I5546" s="10" t="n">
        <f aca="false">IF(E5546="Won",1,0)</f>
        <v>1</v>
      </c>
    </row>
    <row r="5547" customFormat="false" ht="15" hidden="false" customHeight="false" outlineLevel="0" collapsed="false">
      <c r="A5547" s="10" t="s">
        <v>7888</v>
      </c>
      <c r="B5547" s="10" t="s">
        <v>77</v>
      </c>
      <c r="C5547" s="10" t="s">
        <v>47</v>
      </c>
      <c r="D5547" s="10" t="s">
        <v>311</v>
      </c>
      <c r="E5547" s="10" t="s">
        <v>2342</v>
      </c>
      <c r="F5547" s="30" t="n">
        <v>42931</v>
      </c>
      <c r="G5547" s="30" t="n">
        <v>43050</v>
      </c>
      <c r="H5547" s="26" t="n">
        <f aca="false">G5547-F5547</f>
        <v>119</v>
      </c>
      <c r="I5547" s="10" t="n">
        <f aca="false">IF(E5547="Won",1,0)</f>
        <v>1</v>
      </c>
    </row>
    <row r="5548" customFormat="false" ht="15" hidden="false" customHeight="false" outlineLevel="0" collapsed="false">
      <c r="A5548" s="10" t="s">
        <v>7889</v>
      </c>
      <c r="B5548" s="10" t="s">
        <v>57</v>
      </c>
      <c r="C5548" s="10" t="s">
        <v>51</v>
      </c>
      <c r="D5548" s="10" t="s">
        <v>674</v>
      </c>
      <c r="E5548" s="10" t="s">
        <v>2342</v>
      </c>
      <c r="F5548" s="30" t="n">
        <v>42944</v>
      </c>
      <c r="G5548" s="30" t="n">
        <v>43050</v>
      </c>
      <c r="H5548" s="26" t="n">
        <f aca="false">G5548-F5548</f>
        <v>106</v>
      </c>
      <c r="I5548" s="10" t="n">
        <f aca="false">IF(E5548="Won",1,0)</f>
        <v>1</v>
      </c>
    </row>
    <row r="5549" customFormat="false" ht="15" hidden="false" customHeight="false" outlineLevel="0" collapsed="false">
      <c r="A5549" s="10" t="s">
        <v>7890</v>
      </c>
      <c r="B5549" s="10" t="s">
        <v>62</v>
      </c>
      <c r="C5549" s="10" t="s">
        <v>48</v>
      </c>
      <c r="D5549" s="10" t="s">
        <v>350</v>
      </c>
      <c r="E5549" s="10" t="s">
        <v>2345</v>
      </c>
      <c r="F5549" s="30" t="n">
        <v>42948</v>
      </c>
      <c r="G5549" s="30" t="n">
        <v>43050</v>
      </c>
      <c r="H5549" s="26" t="n">
        <f aca="false">G5549-F5549</f>
        <v>102</v>
      </c>
      <c r="I5549" s="10" t="n">
        <f aca="false">IF(E5549="Won",1,0)</f>
        <v>0</v>
      </c>
    </row>
    <row r="5550" customFormat="false" ht="15" hidden="false" customHeight="false" outlineLevel="0" collapsed="false">
      <c r="A5550" s="10" t="s">
        <v>7891</v>
      </c>
      <c r="B5550" s="10" t="s">
        <v>75</v>
      </c>
      <c r="C5550" s="10" t="s">
        <v>51</v>
      </c>
      <c r="D5550" s="10" t="s">
        <v>422</v>
      </c>
      <c r="E5550" s="10" t="s">
        <v>2345</v>
      </c>
      <c r="F5550" s="30" t="n">
        <v>42952</v>
      </c>
      <c r="G5550" s="30" t="n">
        <v>43050</v>
      </c>
      <c r="H5550" s="26" t="n">
        <f aca="false">G5550-F5550</f>
        <v>98</v>
      </c>
      <c r="I5550" s="10" t="n">
        <f aca="false">IF(E5550="Won",1,0)</f>
        <v>0</v>
      </c>
    </row>
    <row r="5551" customFormat="false" ht="15" hidden="false" customHeight="false" outlineLevel="0" collapsed="false">
      <c r="A5551" s="10" t="s">
        <v>7892</v>
      </c>
      <c r="B5551" s="10" t="s">
        <v>76</v>
      </c>
      <c r="C5551" s="10" t="s">
        <v>52</v>
      </c>
      <c r="D5551" s="10" t="s">
        <v>410</v>
      </c>
      <c r="E5551" s="10" t="s">
        <v>2342</v>
      </c>
      <c r="F5551" s="30" t="n">
        <v>43044</v>
      </c>
      <c r="G5551" s="30" t="n">
        <v>43050</v>
      </c>
      <c r="H5551" s="26" t="n">
        <f aca="false">G5551-F5551</f>
        <v>6</v>
      </c>
      <c r="I5551" s="10" t="n">
        <f aca="false">IF(E5551="Won",1,0)</f>
        <v>1</v>
      </c>
    </row>
    <row r="5552" customFormat="false" ht="15" hidden="false" customHeight="false" outlineLevel="0" collapsed="false">
      <c r="A5552" s="10" t="s">
        <v>7893</v>
      </c>
      <c r="B5552" s="10" t="s">
        <v>95</v>
      </c>
      <c r="C5552" s="10" t="s">
        <v>50</v>
      </c>
      <c r="D5552" s="10" t="s">
        <v>175</v>
      </c>
      <c r="E5552" s="10" t="s">
        <v>2342</v>
      </c>
      <c r="F5552" s="30" t="n">
        <v>43047</v>
      </c>
      <c r="G5552" s="30" t="n">
        <v>43050</v>
      </c>
      <c r="H5552" s="26" t="n">
        <f aca="false">G5552-F5552</f>
        <v>3</v>
      </c>
      <c r="I5552" s="10" t="n">
        <f aca="false">IF(E5552="Won",1,0)</f>
        <v>1</v>
      </c>
    </row>
    <row r="5553" customFormat="false" ht="15" hidden="false" customHeight="false" outlineLevel="0" collapsed="false">
      <c r="A5553" s="10" t="s">
        <v>7894</v>
      </c>
      <c r="B5553" s="10" t="s">
        <v>79</v>
      </c>
      <c r="C5553" s="10" t="s">
        <v>51</v>
      </c>
      <c r="D5553" s="10" t="s">
        <v>353</v>
      </c>
      <c r="E5553" s="10" t="s">
        <v>2345</v>
      </c>
      <c r="F5553" s="30" t="n">
        <v>43006</v>
      </c>
      <c r="G5553" s="30" t="n">
        <v>43050</v>
      </c>
      <c r="H5553" s="26" t="n">
        <f aca="false">G5553-F5553</f>
        <v>44</v>
      </c>
      <c r="I5553" s="10" t="n">
        <f aca="false">IF(E5553="Won",1,0)</f>
        <v>0</v>
      </c>
    </row>
    <row r="5554" customFormat="false" ht="15" hidden="false" customHeight="false" outlineLevel="0" collapsed="false">
      <c r="A5554" s="10" t="s">
        <v>7895</v>
      </c>
      <c r="B5554" s="10" t="s">
        <v>94</v>
      </c>
      <c r="C5554" s="10" t="s">
        <v>50</v>
      </c>
      <c r="D5554" s="10" t="s">
        <v>168</v>
      </c>
      <c r="E5554" s="10" t="s">
        <v>2345</v>
      </c>
      <c r="F5554" s="30" t="n">
        <v>42926</v>
      </c>
      <c r="G5554" s="30" t="n">
        <v>43050</v>
      </c>
      <c r="H5554" s="26" t="n">
        <f aca="false">G5554-F5554</f>
        <v>124</v>
      </c>
      <c r="I5554" s="10" t="n">
        <f aca="false">IF(E5554="Won",1,0)</f>
        <v>0</v>
      </c>
    </row>
    <row r="5555" customFormat="false" ht="15" hidden="false" customHeight="false" outlineLevel="0" collapsed="false">
      <c r="A5555" s="10" t="s">
        <v>7896</v>
      </c>
      <c r="B5555" s="10" t="s">
        <v>71</v>
      </c>
      <c r="C5555" s="10" t="s">
        <v>50</v>
      </c>
      <c r="D5555" s="10" t="s">
        <v>524</v>
      </c>
      <c r="E5555" s="10" t="s">
        <v>2345</v>
      </c>
      <c r="F5555" s="30" t="n">
        <v>42936</v>
      </c>
      <c r="G5555" s="30" t="n">
        <v>43050</v>
      </c>
      <c r="H5555" s="26" t="n">
        <f aca="false">G5555-F5555</f>
        <v>114</v>
      </c>
      <c r="I5555" s="10" t="n">
        <f aca="false">IF(E5555="Won",1,0)</f>
        <v>0</v>
      </c>
    </row>
    <row r="5556" customFormat="false" ht="15" hidden="false" customHeight="false" outlineLevel="0" collapsed="false">
      <c r="A5556" s="10" t="s">
        <v>7897</v>
      </c>
      <c r="B5556" s="10" t="s">
        <v>88</v>
      </c>
      <c r="C5556" s="10" t="s">
        <v>48</v>
      </c>
      <c r="D5556" s="10" t="s">
        <v>233</v>
      </c>
      <c r="E5556" s="10" t="s">
        <v>2345</v>
      </c>
      <c r="F5556" s="30" t="n">
        <v>42966</v>
      </c>
      <c r="G5556" s="30" t="n">
        <v>43050</v>
      </c>
      <c r="H5556" s="26" t="n">
        <f aca="false">G5556-F5556</f>
        <v>84</v>
      </c>
      <c r="I5556" s="10" t="n">
        <f aca="false">IF(E5556="Won",1,0)</f>
        <v>0</v>
      </c>
    </row>
    <row r="5557" customFormat="false" ht="15" hidden="false" customHeight="false" outlineLevel="0" collapsed="false">
      <c r="A5557" s="10" t="s">
        <v>7898</v>
      </c>
      <c r="B5557" s="10" t="s">
        <v>88</v>
      </c>
      <c r="C5557" s="10" t="s">
        <v>51</v>
      </c>
      <c r="D5557" s="10" t="s">
        <v>1397</v>
      </c>
      <c r="E5557" s="10" t="s">
        <v>2342</v>
      </c>
      <c r="F5557" s="30" t="n">
        <v>42976</v>
      </c>
      <c r="G5557" s="30" t="n">
        <v>43050</v>
      </c>
      <c r="H5557" s="26" t="n">
        <f aca="false">G5557-F5557</f>
        <v>74</v>
      </c>
      <c r="I5557" s="10" t="n">
        <f aca="false">IF(E5557="Won",1,0)</f>
        <v>1</v>
      </c>
    </row>
    <row r="5558" customFormat="false" ht="15" hidden="false" customHeight="false" outlineLevel="0" collapsed="false">
      <c r="A5558" s="10" t="s">
        <v>7899</v>
      </c>
      <c r="B5558" s="10" t="s">
        <v>66</v>
      </c>
      <c r="C5558" s="10" t="s">
        <v>52</v>
      </c>
      <c r="D5558" s="10" t="s">
        <v>711</v>
      </c>
      <c r="E5558" s="10" t="s">
        <v>2342</v>
      </c>
      <c r="F5558" s="30" t="n">
        <v>42997</v>
      </c>
      <c r="G5558" s="30" t="n">
        <v>43050</v>
      </c>
      <c r="H5558" s="26" t="n">
        <f aca="false">G5558-F5558</f>
        <v>53</v>
      </c>
      <c r="I5558" s="10" t="n">
        <f aca="false">IF(E5558="Won",1,0)</f>
        <v>1</v>
      </c>
    </row>
    <row r="5559" customFormat="false" ht="15" hidden="false" customHeight="false" outlineLevel="0" collapsed="false">
      <c r="A5559" s="10" t="s">
        <v>7900</v>
      </c>
      <c r="B5559" s="10" t="s">
        <v>84</v>
      </c>
      <c r="C5559" s="10" t="s">
        <v>50</v>
      </c>
      <c r="D5559" s="10" t="s">
        <v>254</v>
      </c>
      <c r="E5559" s="10" t="s">
        <v>2342</v>
      </c>
      <c r="F5559" s="30" t="n">
        <v>42982</v>
      </c>
      <c r="G5559" s="30" t="n">
        <v>43050</v>
      </c>
      <c r="H5559" s="26" t="n">
        <f aca="false">G5559-F5559</f>
        <v>68</v>
      </c>
      <c r="I5559" s="10" t="n">
        <f aca="false">IF(E5559="Won",1,0)</f>
        <v>1</v>
      </c>
    </row>
    <row r="5560" customFormat="false" ht="15" hidden="false" customHeight="false" outlineLevel="0" collapsed="false">
      <c r="A5560" s="10" t="s">
        <v>7901</v>
      </c>
      <c r="B5560" s="10" t="s">
        <v>77</v>
      </c>
      <c r="C5560" s="10" t="s">
        <v>51</v>
      </c>
      <c r="D5560" s="10" t="s">
        <v>193</v>
      </c>
      <c r="E5560" s="10" t="s">
        <v>2342</v>
      </c>
      <c r="F5560" s="30" t="n">
        <v>42959</v>
      </c>
      <c r="G5560" s="30" t="n">
        <v>43050</v>
      </c>
      <c r="H5560" s="26" t="n">
        <f aca="false">G5560-F5560</f>
        <v>91</v>
      </c>
      <c r="I5560" s="10" t="n">
        <f aca="false">IF(E5560="Won",1,0)</f>
        <v>1</v>
      </c>
    </row>
    <row r="5561" customFormat="false" ht="15" hidden="false" customHeight="false" outlineLevel="0" collapsed="false">
      <c r="A5561" s="10" t="s">
        <v>7902</v>
      </c>
      <c r="B5561" s="10" t="s">
        <v>74</v>
      </c>
      <c r="C5561" s="10" t="s">
        <v>51</v>
      </c>
      <c r="D5561" s="10" t="s">
        <v>524</v>
      </c>
      <c r="E5561" s="10" t="s">
        <v>2345</v>
      </c>
      <c r="F5561" s="30" t="n">
        <v>42996</v>
      </c>
      <c r="G5561" s="30" t="n">
        <v>43050</v>
      </c>
      <c r="H5561" s="26" t="n">
        <f aca="false">G5561-F5561</f>
        <v>54</v>
      </c>
      <c r="I5561" s="10" t="n">
        <f aca="false">IF(E5561="Won",1,0)</f>
        <v>0</v>
      </c>
    </row>
    <row r="5562" customFormat="false" ht="15" hidden="false" customHeight="false" outlineLevel="0" collapsed="false">
      <c r="A5562" s="10" t="s">
        <v>7903</v>
      </c>
      <c r="B5562" s="10" t="s">
        <v>68</v>
      </c>
      <c r="C5562" s="10" t="s">
        <v>49</v>
      </c>
      <c r="D5562" s="10" t="s">
        <v>344</v>
      </c>
      <c r="E5562" s="10" t="s">
        <v>2342</v>
      </c>
      <c r="F5562" s="30" t="n">
        <v>43039</v>
      </c>
      <c r="G5562" s="30" t="n">
        <v>43050</v>
      </c>
      <c r="H5562" s="26" t="n">
        <f aca="false">G5562-F5562</f>
        <v>11</v>
      </c>
      <c r="I5562" s="10" t="n">
        <f aca="false">IF(E5562="Won",1,0)</f>
        <v>1</v>
      </c>
    </row>
    <row r="5563" customFormat="false" ht="15" hidden="false" customHeight="false" outlineLevel="0" collapsed="false">
      <c r="A5563" s="10" t="s">
        <v>7904</v>
      </c>
      <c r="B5563" s="10" t="s">
        <v>80</v>
      </c>
      <c r="C5563" s="10" t="s">
        <v>51</v>
      </c>
      <c r="D5563" s="10" t="s">
        <v>267</v>
      </c>
      <c r="E5563" s="10" t="s">
        <v>2342</v>
      </c>
      <c r="F5563" s="30" t="n">
        <v>42958</v>
      </c>
      <c r="G5563" s="30" t="n">
        <v>43050</v>
      </c>
      <c r="H5563" s="26" t="n">
        <f aca="false">G5563-F5563</f>
        <v>92</v>
      </c>
      <c r="I5563" s="10" t="n">
        <f aca="false">IF(E5563="Won",1,0)</f>
        <v>1</v>
      </c>
    </row>
    <row r="5564" customFormat="false" ht="15" hidden="false" customHeight="false" outlineLevel="0" collapsed="false">
      <c r="A5564" s="10" t="s">
        <v>7905</v>
      </c>
      <c r="B5564" s="10" t="s">
        <v>57</v>
      </c>
      <c r="C5564" s="10" t="s">
        <v>47</v>
      </c>
      <c r="D5564" s="10" t="s">
        <v>332</v>
      </c>
      <c r="E5564" s="10" t="s">
        <v>2342</v>
      </c>
      <c r="F5564" s="30" t="n">
        <v>43037</v>
      </c>
      <c r="G5564" s="30" t="n">
        <v>43050</v>
      </c>
      <c r="H5564" s="26" t="n">
        <f aca="false">G5564-F5564</f>
        <v>13</v>
      </c>
      <c r="I5564" s="10" t="n">
        <f aca="false">IF(E5564="Won",1,0)</f>
        <v>1</v>
      </c>
    </row>
    <row r="5565" customFormat="false" ht="15" hidden="false" customHeight="false" outlineLevel="0" collapsed="false">
      <c r="A5565" s="10" t="s">
        <v>7906</v>
      </c>
      <c r="B5565" s="10" t="s">
        <v>93</v>
      </c>
      <c r="C5565" s="10" t="s">
        <v>47</v>
      </c>
      <c r="D5565" s="10" t="s">
        <v>606</v>
      </c>
      <c r="E5565" s="10" t="s">
        <v>2345</v>
      </c>
      <c r="F5565" s="30" t="n">
        <v>42980</v>
      </c>
      <c r="G5565" s="30" t="n">
        <v>43050</v>
      </c>
      <c r="H5565" s="26" t="n">
        <f aca="false">G5565-F5565</f>
        <v>70</v>
      </c>
      <c r="I5565" s="10" t="n">
        <f aca="false">IF(E5565="Won",1,0)</f>
        <v>0</v>
      </c>
    </row>
    <row r="5566" customFormat="false" ht="15" hidden="false" customHeight="false" outlineLevel="0" collapsed="false">
      <c r="A5566" s="10" t="s">
        <v>7907</v>
      </c>
      <c r="B5566" s="10" t="s">
        <v>75</v>
      </c>
      <c r="C5566" s="10" t="s">
        <v>47</v>
      </c>
      <c r="D5566" s="10" t="s">
        <v>414</v>
      </c>
      <c r="E5566" s="10" t="s">
        <v>2342</v>
      </c>
      <c r="F5566" s="30" t="n">
        <v>42969</v>
      </c>
      <c r="G5566" s="30" t="n">
        <v>43050</v>
      </c>
      <c r="H5566" s="26" t="n">
        <f aca="false">G5566-F5566</f>
        <v>81</v>
      </c>
      <c r="I5566" s="10" t="n">
        <f aca="false">IF(E5566="Won",1,0)</f>
        <v>1</v>
      </c>
    </row>
    <row r="5567" customFormat="false" ht="15" hidden="false" customHeight="false" outlineLevel="0" collapsed="false">
      <c r="A5567" s="10" t="s">
        <v>7908</v>
      </c>
      <c r="B5567" s="10" t="s">
        <v>76</v>
      </c>
      <c r="C5567" s="10" t="s">
        <v>51</v>
      </c>
      <c r="D5567" s="10" t="s">
        <v>762</v>
      </c>
      <c r="E5567" s="10" t="s">
        <v>2345</v>
      </c>
      <c r="F5567" s="30" t="n">
        <v>42980</v>
      </c>
      <c r="G5567" s="30" t="n">
        <v>43050</v>
      </c>
      <c r="H5567" s="26" t="n">
        <f aca="false">G5567-F5567</f>
        <v>70</v>
      </c>
      <c r="I5567" s="10" t="n">
        <f aca="false">IF(E5567="Won",1,0)</f>
        <v>0</v>
      </c>
    </row>
    <row r="5568" customFormat="false" ht="15" hidden="false" customHeight="false" outlineLevel="0" collapsed="false">
      <c r="A5568" s="10" t="s">
        <v>7909</v>
      </c>
      <c r="B5568" s="10" t="s">
        <v>70</v>
      </c>
      <c r="C5568" s="10" t="s">
        <v>49</v>
      </c>
      <c r="D5568" s="10" t="s">
        <v>175</v>
      </c>
      <c r="E5568" s="10" t="s">
        <v>2345</v>
      </c>
      <c r="F5568" s="30" t="n">
        <v>42964</v>
      </c>
      <c r="G5568" s="30" t="n">
        <v>43050</v>
      </c>
      <c r="H5568" s="26" t="n">
        <f aca="false">G5568-F5568</f>
        <v>86</v>
      </c>
      <c r="I5568" s="10" t="n">
        <f aca="false">IF(E5568="Won",1,0)</f>
        <v>0</v>
      </c>
    </row>
    <row r="5569" customFormat="false" ht="15" hidden="false" customHeight="false" outlineLevel="0" collapsed="false">
      <c r="A5569" s="10" t="s">
        <v>7910</v>
      </c>
      <c r="B5569" s="10" t="s">
        <v>67</v>
      </c>
      <c r="C5569" s="10" t="s">
        <v>52</v>
      </c>
      <c r="D5569" s="10" t="s">
        <v>337</v>
      </c>
      <c r="E5569" s="10" t="s">
        <v>2345</v>
      </c>
      <c r="F5569" s="30" t="n">
        <v>42975</v>
      </c>
      <c r="G5569" s="30" t="n">
        <v>43050</v>
      </c>
      <c r="H5569" s="26" t="n">
        <f aca="false">G5569-F5569</f>
        <v>75</v>
      </c>
      <c r="I5569" s="10" t="n">
        <f aca="false">IF(E5569="Won",1,0)</f>
        <v>0</v>
      </c>
    </row>
    <row r="5570" customFormat="false" ht="15" hidden="false" customHeight="false" outlineLevel="0" collapsed="false">
      <c r="A5570" s="10" t="s">
        <v>7911</v>
      </c>
      <c r="B5570" s="10" t="s">
        <v>61</v>
      </c>
      <c r="C5570" s="10" t="s">
        <v>52</v>
      </c>
      <c r="D5570" s="10" t="s">
        <v>350</v>
      </c>
      <c r="E5570" s="10" t="s">
        <v>2345</v>
      </c>
      <c r="F5570" s="30" t="n">
        <v>42966</v>
      </c>
      <c r="G5570" s="30" t="n">
        <v>43050</v>
      </c>
      <c r="H5570" s="26" t="n">
        <f aca="false">G5570-F5570</f>
        <v>84</v>
      </c>
      <c r="I5570" s="10" t="n">
        <f aca="false">IF(E5570="Won",1,0)</f>
        <v>0</v>
      </c>
    </row>
    <row r="5571" customFormat="false" ht="15" hidden="false" customHeight="false" outlineLevel="0" collapsed="false">
      <c r="A5571" s="10" t="s">
        <v>7912</v>
      </c>
      <c r="B5571" s="10" t="s">
        <v>79</v>
      </c>
      <c r="C5571" s="10" t="s">
        <v>51</v>
      </c>
      <c r="D5571" s="10" t="s">
        <v>193</v>
      </c>
      <c r="E5571" s="10" t="s">
        <v>2342</v>
      </c>
      <c r="F5571" s="30" t="n">
        <v>43038</v>
      </c>
      <c r="G5571" s="30" t="n">
        <v>43050</v>
      </c>
      <c r="H5571" s="26" t="n">
        <f aca="false">G5571-F5571</f>
        <v>12</v>
      </c>
      <c r="I5571" s="10" t="n">
        <f aca="false">IF(E5571="Won",1,0)</f>
        <v>1</v>
      </c>
    </row>
    <row r="5572" customFormat="false" ht="15" hidden="false" customHeight="false" outlineLevel="0" collapsed="false">
      <c r="A5572" s="10" t="s">
        <v>7913</v>
      </c>
      <c r="B5572" s="10" t="s">
        <v>62</v>
      </c>
      <c r="C5572" s="10" t="s">
        <v>52</v>
      </c>
      <c r="D5572" s="10" t="s">
        <v>274</v>
      </c>
      <c r="E5572" s="10" t="s">
        <v>2345</v>
      </c>
      <c r="F5572" s="30" t="n">
        <v>42975</v>
      </c>
      <c r="G5572" s="30" t="n">
        <v>43050</v>
      </c>
      <c r="H5572" s="26" t="n">
        <f aca="false">G5572-F5572</f>
        <v>75</v>
      </c>
      <c r="I5572" s="10" t="n">
        <f aca="false">IF(E5572="Won",1,0)</f>
        <v>0</v>
      </c>
    </row>
    <row r="5573" customFormat="false" ht="15" hidden="false" customHeight="false" outlineLevel="0" collapsed="false">
      <c r="A5573" s="10" t="s">
        <v>7914</v>
      </c>
      <c r="B5573" s="10" t="s">
        <v>68</v>
      </c>
      <c r="C5573" s="10" t="s">
        <v>51</v>
      </c>
      <c r="D5573" s="10" t="s">
        <v>326</v>
      </c>
      <c r="E5573" s="10" t="s">
        <v>2342</v>
      </c>
      <c r="F5573" s="30" t="n">
        <v>43036</v>
      </c>
      <c r="G5573" s="30" t="n">
        <v>43050</v>
      </c>
      <c r="H5573" s="26" t="n">
        <f aca="false">G5573-F5573</f>
        <v>14</v>
      </c>
      <c r="I5573" s="10" t="n">
        <f aca="false">IF(E5573="Won",1,0)</f>
        <v>1</v>
      </c>
    </row>
    <row r="5574" customFormat="false" ht="15" hidden="false" customHeight="false" outlineLevel="0" collapsed="false">
      <c r="A5574" s="10" t="s">
        <v>7915</v>
      </c>
      <c r="B5574" s="10" t="s">
        <v>77</v>
      </c>
      <c r="C5574" s="10" t="s">
        <v>51</v>
      </c>
      <c r="D5574" s="10" t="s">
        <v>660</v>
      </c>
      <c r="E5574" s="10" t="s">
        <v>2342</v>
      </c>
      <c r="F5574" s="30" t="n">
        <v>42968</v>
      </c>
      <c r="G5574" s="30" t="n">
        <v>43051</v>
      </c>
      <c r="H5574" s="26" t="n">
        <f aca="false">G5574-F5574</f>
        <v>83</v>
      </c>
      <c r="I5574" s="10" t="n">
        <f aca="false">IF(E5574="Won",1,0)</f>
        <v>1</v>
      </c>
    </row>
    <row r="5575" customFormat="false" ht="15" hidden="false" customHeight="false" outlineLevel="0" collapsed="false">
      <c r="A5575" s="10" t="s">
        <v>7916</v>
      </c>
      <c r="B5575" s="10" t="s">
        <v>80</v>
      </c>
      <c r="C5575" s="10" t="s">
        <v>52</v>
      </c>
      <c r="D5575" s="10" t="s">
        <v>869</v>
      </c>
      <c r="E5575" s="10" t="s">
        <v>2342</v>
      </c>
      <c r="F5575" s="30" t="n">
        <v>42962</v>
      </c>
      <c r="G5575" s="30" t="n">
        <v>43051</v>
      </c>
      <c r="H5575" s="26" t="n">
        <f aca="false">G5575-F5575</f>
        <v>89</v>
      </c>
      <c r="I5575" s="10" t="n">
        <f aca="false">IF(E5575="Won",1,0)</f>
        <v>1</v>
      </c>
    </row>
    <row r="5576" customFormat="false" ht="15" hidden="false" customHeight="false" outlineLevel="0" collapsed="false">
      <c r="A5576" s="10" t="s">
        <v>7917</v>
      </c>
      <c r="B5576" s="10" t="s">
        <v>68</v>
      </c>
      <c r="C5576" s="10" t="s">
        <v>50</v>
      </c>
      <c r="D5576" s="10" t="s">
        <v>396</v>
      </c>
      <c r="E5576" s="10" t="s">
        <v>2345</v>
      </c>
      <c r="F5576" s="30" t="n">
        <v>42962</v>
      </c>
      <c r="G5576" s="30" t="n">
        <v>43051</v>
      </c>
      <c r="H5576" s="26" t="n">
        <f aca="false">G5576-F5576</f>
        <v>89</v>
      </c>
      <c r="I5576" s="10" t="n">
        <f aca="false">IF(E5576="Won",1,0)</f>
        <v>0</v>
      </c>
    </row>
    <row r="5577" customFormat="false" ht="15" hidden="false" customHeight="false" outlineLevel="0" collapsed="false">
      <c r="A5577" s="10" t="s">
        <v>7918</v>
      </c>
      <c r="B5577" s="10" t="s">
        <v>80</v>
      </c>
      <c r="C5577" s="10" t="s">
        <v>48</v>
      </c>
      <c r="D5577" s="10" t="s">
        <v>483</v>
      </c>
      <c r="E5577" s="10" t="s">
        <v>2345</v>
      </c>
      <c r="F5577" s="30" t="n">
        <v>42938</v>
      </c>
      <c r="G5577" s="30" t="n">
        <v>43051</v>
      </c>
      <c r="H5577" s="26" t="n">
        <f aca="false">G5577-F5577</f>
        <v>113</v>
      </c>
      <c r="I5577" s="10" t="n">
        <f aca="false">IF(E5577="Won",1,0)</f>
        <v>0</v>
      </c>
    </row>
    <row r="5578" customFormat="false" ht="15" hidden="false" customHeight="false" outlineLevel="0" collapsed="false">
      <c r="A5578" s="10" t="s">
        <v>7919</v>
      </c>
      <c r="B5578" s="10" t="s">
        <v>86</v>
      </c>
      <c r="C5578" s="10" t="s">
        <v>51</v>
      </c>
      <c r="D5578" s="10" t="s">
        <v>441</v>
      </c>
      <c r="E5578" s="10" t="s">
        <v>2342</v>
      </c>
      <c r="F5578" s="30" t="n">
        <v>43019</v>
      </c>
      <c r="G5578" s="30" t="n">
        <v>43051</v>
      </c>
      <c r="H5578" s="26" t="n">
        <f aca="false">G5578-F5578</f>
        <v>32</v>
      </c>
      <c r="I5578" s="10" t="n">
        <f aca="false">IF(E5578="Won",1,0)</f>
        <v>1</v>
      </c>
    </row>
    <row r="5579" customFormat="false" ht="15" hidden="false" customHeight="false" outlineLevel="0" collapsed="false">
      <c r="A5579" s="10" t="s">
        <v>7920</v>
      </c>
      <c r="B5579" s="10" t="s">
        <v>57</v>
      </c>
      <c r="C5579" s="10" t="s">
        <v>50</v>
      </c>
      <c r="D5579" s="10" t="s">
        <v>1397</v>
      </c>
      <c r="E5579" s="10" t="s">
        <v>2342</v>
      </c>
      <c r="F5579" s="30" t="n">
        <v>43036</v>
      </c>
      <c r="G5579" s="30" t="n">
        <v>43051</v>
      </c>
      <c r="H5579" s="26" t="n">
        <f aca="false">G5579-F5579</f>
        <v>15</v>
      </c>
      <c r="I5579" s="10" t="n">
        <f aca="false">IF(E5579="Won",1,0)</f>
        <v>1</v>
      </c>
    </row>
    <row r="5580" customFormat="false" ht="15" hidden="false" customHeight="false" outlineLevel="0" collapsed="false">
      <c r="A5580" s="10" t="s">
        <v>7921</v>
      </c>
      <c r="B5580" s="10" t="s">
        <v>71</v>
      </c>
      <c r="C5580" s="10" t="s">
        <v>49</v>
      </c>
      <c r="D5580" s="10" t="s">
        <v>311</v>
      </c>
      <c r="E5580" s="10" t="s">
        <v>2345</v>
      </c>
      <c r="F5580" s="30" t="n">
        <v>42982</v>
      </c>
      <c r="G5580" s="30" t="n">
        <v>43051</v>
      </c>
      <c r="H5580" s="26" t="n">
        <f aca="false">G5580-F5580</f>
        <v>69</v>
      </c>
      <c r="I5580" s="10" t="n">
        <f aca="false">IF(E5580="Won",1,0)</f>
        <v>0</v>
      </c>
    </row>
    <row r="5581" customFormat="false" ht="15" hidden="false" customHeight="false" outlineLevel="0" collapsed="false">
      <c r="A5581" s="10" t="s">
        <v>7922</v>
      </c>
      <c r="B5581" s="10" t="s">
        <v>90</v>
      </c>
      <c r="C5581" s="10" t="s">
        <v>47</v>
      </c>
      <c r="D5581" s="10" t="s">
        <v>161</v>
      </c>
      <c r="E5581" s="10" t="s">
        <v>2345</v>
      </c>
      <c r="F5581" s="30" t="n">
        <v>42995</v>
      </c>
      <c r="G5581" s="30" t="n">
        <v>43051</v>
      </c>
      <c r="H5581" s="26" t="n">
        <f aca="false">G5581-F5581</f>
        <v>56</v>
      </c>
      <c r="I5581" s="10" t="n">
        <f aca="false">IF(E5581="Won",1,0)</f>
        <v>0</v>
      </c>
    </row>
    <row r="5582" customFormat="false" ht="15" hidden="false" customHeight="false" outlineLevel="0" collapsed="false">
      <c r="A5582" s="10" t="s">
        <v>7923</v>
      </c>
      <c r="B5582" s="10" t="s">
        <v>69</v>
      </c>
      <c r="C5582" s="10" t="s">
        <v>51</v>
      </c>
      <c r="D5582" s="10" t="s">
        <v>172</v>
      </c>
      <c r="E5582" s="10" t="s">
        <v>2342</v>
      </c>
      <c r="F5582" s="30" t="n">
        <v>43035</v>
      </c>
      <c r="G5582" s="30" t="n">
        <v>43051</v>
      </c>
      <c r="H5582" s="26" t="n">
        <f aca="false">G5582-F5582</f>
        <v>16</v>
      </c>
      <c r="I5582" s="10" t="n">
        <f aca="false">IF(E5582="Won",1,0)</f>
        <v>1</v>
      </c>
    </row>
    <row r="5583" customFormat="false" ht="15" hidden="false" customHeight="false" outlineLevel="0" collapsed="false">
      <c r="A5583" s="10" t="s">
        <v>7924</v>
      </c>
      <c r="B5583" s="10" t="s">
        <v>95</v>
      </c>
      <c r="C5583" s="10" t="s">
        <v>51</v>
      </c>
      <c r="D5583" s="10" t="s">
        <v>384</v>
      </c>
      <c r="E5583" s="10" t="s">
        <v>2342</v>
      </c>
      <c r="F5583" s="30" t="n">
        <v>43024</v>
      </c>
      <c r="G5583" s="30" t="n">
        <v>43051</v>
      </c>
      <c r="H5583" s="26" t="n">
        <f aca="false">G5583-F5583</f>
        <v>27</v>
      </c>
      <c r="I5583" s="10" t="n">
        <f aca="false">IF(E5583="Won",1,0)</f>
        <v>1</v>
      </c>
    </row>
    <row r="5584" customFormat="false" ht="15" hidden="false" customHeight="false" outlineLevel="0" collapsed="false">
      <c r="A5584" s="10" t="s">
        <v>7925</v>
      </c>
      <c r="B5584" s="10" t="s">
        <v>86</v>
      </c>
      <c r="C5584" s="10" t="s">
        <v>49</v>
      </c>
      <c r="D5584" s="10" t="s">
        <v>616</v>
      </c>
      <c r="E5584" s="10" t="s">
        <v>2342</v>
      </c>
      <c r="F5584" s="30" t="n">
        <v>43014</v>
      </c>
      <c r="G5584" s="30" t="n">
        <v>43051</v>
      </c>
      <c r="H5584" s="26" t="n">
        <f aca="false">G5584-F5584</f>
        <v>37</v>
      </c>
      <c r="I5584" s="10" t="n">
        <f aca="false">IF(E5584="Won",1,0)</f>
        <v>1</v>
      </c>
    </row>
    <row r="5585" customFormat="false" ht="15" hidden="false" customHeight="false" outlineLevel="0" collapsed="false">
      <c r="A5585" s="10" t="s">
        <v>7926</v>
      </c>
      <c r="B5585" s="10" t="s">
        <v>95</v>
      </c>
      <c r="C5585" s="10" t="s">
        <v>47</v>
      </c>
      <c r="D5585" s="10" t="s">
        <v>522</v>
      </c>
      <c r="E5585" s="10" t="s">
        <v>2342</v>
      </c>
      <c r="F5585" s="30" t="n">
        <v>43044</v>
      </c>
      <c r="G5585" s="30" t="n">
        <v>43051</v>
      </c>
      <c r="H5585" s="26" t="n">
        <f aca="false">G5585-F5585</f>
        <v>7</v>
      </c>
      <c r="I5585" s="10" t="n">
        <f aca="false">IF(E5585="Won",1,0)</f>
        <v>1</v>
      </c>
    </row>
    <row r="5586" customFormat="false" ht="15" hidden="false" customHeight="false" outlineLevel="0" collapsed="false">
      <c r="A5586" s="10" t="s">
        <v>7927</v>
      </c>
      <c r="B5586" s="10" t="s">
        <v>97</v>
      </c>
      <c r="C5586" s="10" t="s">
        <v>50</v>
      </c>
      <c r="D5586" s="10" t="s">
        <v>424</v>
      </c>
      <c r="E5586" s="10" t="s">
        <v>2345</v>
      </c>
      <c r="F5586" s="30" t="n">
        <v>42994</v>
      </c>
      <c r="G5586" s="30" t="n">
        <v>43051</v>
      </c>
      <c r="H5586" s="26" t="n">
        <f aca="false">G5586-F5586</f>
        <v>57</v>
      </c>
      <c r="I5586" s="10" t="n">
        <f aca="false">IF(E5586="Won",1,0)</f>
        <v>0</v>
      </c>
    </row>
    <row r="5587" customFormat="false" ht="15" hidden="false" customHeight="false" outlineLevel="0" collapsed="false">
      <c r="A5587" s="10" t="s">
        <v>7928</v>
      </c>
      <c r="B5587" s="10" t="s">
        <v>74</v>
      </c>
      <c r="C5587" s="10" t="s">
        <v>50</v>
      </c>
      <c r="D5587" s="10" t="s">
        <v>1948</v>
      </c>
      <c r="E5587" s="10" t="s">
        <v>2342</v>
      </c>
      <c r="F5587" s="30" t="n">
        <v>42975</v>
      </c>
      <c r="G5587" s="30" t="n">
        <v>43051</v>
      </c>
      <c r="H5587" s="26" t="n">
        <f aca="false">G5587-F5587</f>
        <v>76</v>
      </c>
      <c r="I5587" s="10" t="n">
        <f aca="false">IF(E5587="Won",1,0)</f>
        <v>1</v>
      </c>
    </row>
    <row r="5588" customFormat="false" ht="15" hidden="false" customHeight="false" outlineLevel="0" collapsed="false">
      <c r="A5588" s="10" t="s">
        <v>7929</v>
      </c>
      <c r="B5588" s="10" t="s">
        <v>87</v>
      </c>
      <c r="C5588" s="10" t="s">
        <v>50</v>
      </c>
      <c r="D5588" s="10" t="s">
        <v>455</v>
      </c>
      <c r="E5588" s="10" t="s">
        <v>2345</v>
      </c>
      <c r="F5588" s="30" t="n">
        <v>42956</v>
      </c>
      <c r="G5588" s="30" t="n">
        <v>43051</v>
      </c>
      <c r="H5588" s="26" t="n">
        <f aca="false">G5588-F5588</f>
        <v>95</v>
      </c>
      <c r="I5588" s="10" t="n">
        <f aca="false">IF(E5588="Won",1,0)</f>
        <v>0</v>
      </c>
    </row>
    <row r="5589" customFormat="false" ht="15" hidden="false" customHeight="false" outlineLevel="0" collapsed="false">
      <c r="A5589" s="10" t="s">
        <v>7930</v>
      </c>
      <c r="B5589" s="10" t="s">
        <v>86</v>
      </c>
      <c r="C5589" s="10" t="s">
        <v>51</v>
      </c>
      <c r="D5589" s="10" t="s">
        <v>1397</v>
      </c>
      <c r="E5589" s="10" t="s">
        <v>2345</v>
      </c>
      <c r="F5589" s="30" t="n">
        <v>43037</v>
      </c>
      <c r="G5589" s="30" t="n">
        <v>43051</v>
      </c>
      <c r="H5589" s="26" t="n">
        <f aca="false">G5589-F5589</f>
        <v>14</v>
      </c>
      <c r="I5589" s="10" t="n">
        <f aca="false">IF(E5589="Won",1,0)</f>
        <v>0</v>
      </c>
    </row>
    <row r="5590" customFormat="false" ht="15" hidden="false" customHeight="false" outlineLevel="0" collapsed="false">
      <c r="A5590" s="10" t="s">
        <v>7931</v>
      </c>
      <c r="B5590" s="10" t="s">
        <v>62</v>
      </c>
      <c r="C5590" s="10" t="s">
        <v>52</v>
      </c>
      <c r="D5590" s="10" t="s">
        <v>359</v>
      </c>
      <c r="E5590" s="10" t="s">
        <v>2342</v>
      </c>
      <c r="F5590" s="30" t="n">
        <v>42959</v>
      </c>
      <c r="G5590" s="30" t="n">
        <v>43051</v>
      </c>
      <c r="H5590" s="26" t="n">
        <f aca="false">G5590-F5590</f>
        <v>92</v>
      </c>
      <c r="I5590" s="10" t="n">
        <f aca="false">IF(E5590="Won",1,0)</f>
        <v>1</v>
      </c>
    </row>
    <row r="5591" customFormat="false" ht="15" hidden="false" customHeight="false" outlineLevel="0" collapsed="false">
      <c r="A5591" s="10" t="s">
        <v>7932</v>
      </c>
      <c r="B5591" s="10" t="s">
        <v>94</v>
      </c>
      <c r="C5591" s="10" t="s">
        <v>48</v>
      </c>
      <c r="D5591" s="10" t="s">
        <v>337</v>
      </c>
      <c r="E5591" s="10" t="s">
        <v>2342</v>
      </c>
      <c r="F5591" s="30" t="n">
        <v>42988</v>
      </c>
      <c r="G5591" s="30" t="n">
        <v>43051</v>
      </c>
      <c r="H5591" s="26" t="n">
        <f aca="false">G5591-F5591</f>
        <v>63</v>
      </c>
      <c r="I5591" s="10" t="n">
        <f aca="false">IF(E5591="Won",1,0)</f>
        <v>1</v>
      </c>
    </row>
    <row r="5592" customFormat="false" ht="15" hidden="false" customHeight="false" outlineLevel="0" collapsed="false">
      <c r="A5592" s="10" t="s">
        <v>7933</v>
      </c>
      <c r="B5592" s="10" t="s">
        <v>74</v>
      </c>
      <c r="C5592" s="10" t="s">
        <v>51</v>
      </c>
      <c r="D5592" s="10" t="s">
        <v>961</v>
      </c>
      <c r="E5592" s="10" t="s">
        <v>2342</v>
      </c>
      <c r="F5592" s="30" t="n">
        <v>42988</v>
      </c>
      <c r="G5592" s="30" t="n">
        <v>43051</v>
      </c>
      <c r="H5592" s="26" t="n">
        <f aca="false">G5592-F5592</f>
        <v>63</v>
      </c>
      <c r="I5592" s="10" t="n">
        <f aca="false">IF(E5592="Won",1,0)</f>
        <v>1</v>
      </c>
    </row>
    <row r="5593" customFormat="false" ht="15" hidden="false" customHeight="false" outlineLevel="0" collapsed="false">
      <c r="A5593" s="10" t="s">
        <v>7934</v>
      </c>
      <c r="B5593" s="10" t="s">
        <v>95</v>
      </c>
      <c r="C5593" s="10" t="s">
        <v>48</v>
      </c>
      <c r="D5593" s="10" t="s">
        <v>986</v>
      </c>
      <c r="E5593" s="10" t="s">
        <v>2342</v>
      </c>
      <c r="F5593" s="30" t="n">
        <v>43003</v>
      </c>
      <c r="G5593" s="30" t="n">
        <v>43051</v>
      </c>
      <c r="H5593" s="26" t="n">
        <f aca="false">G5593-F5593</f>
        <v>48</v>
      </c>
      <c r="I5593" s="10" t="n">
        <f aca="false">IF(E5593="Won",1,0)</f>
        <v>1</v>
      </c>
    </row>
    <row r="5594" customFormat="false" ht="15" hidden="false" customHeight="false" outlineLevel="0" collapsed="false">
      <c r="A5594" s="10" t="s">
        <v>7935</v>
      </c>
      <c r="B5594" s="10" t="s">
        <v>97</v>
      </c>
      <c r="C5594" s="10" t="s">
        <v>49</v>
      </c>
      <c r="D5594" s="10" t="s">
        <v>522</v>
      </c>
      <c r="E5594" s="10" t="s">
        <v>2342</v>
      </c>
      <c r="F5594" s="30" t="n">
        <v>43036</v>
      </c>
      <c r="G5594" s="30" t="n">
        <v>43051</v>
      </c>
      <c r="H5594" s="26" t="n">
        <f aca="false">G5594-F5594</f>
        <v>15</v>
      </c>
      <c r="I5594" s="10" t="n">
        <f aca="false">IF(E5594="Won",1,0)</f>
        <v>1</v>
      </c>
    </row>
    <row r="5595" customFormat="false" ht="15" hidden="false" customHeight="false" outlineLevel="0" collapsed="false">
      <c r="A5595" s="10" t="s">
        <v>7936</v>
      </c>
      <c r="B5595" s="10" t="s">
        <v>75</v>
      </c>
      <c r="C5595" s="10" t="s">
        <v>52</v>
      </c>
      <c r="D5595" s="10" t="s">
        <v>321</v>
      </c>
      <c r="E5595" s="10" t="s">
        <v>2345</v>
      </c>
      <c r="F5595" s="30" t="n">
        <v>42973</v>
      </c>
      <c r="G5595" s="30" t="n">
        <v>43051</v>
      </c>
      <c r="H5595" s="26" t="n">
        <f aca="false">G5595-F5595</f>
        <v>78</v>
      </c>
      <c r="I5595" s="10" t="n">
        <f aca="false">IF(E5595="Won",1,0)</f>
        <v>0</v>
      </c>
    </row>
    <row r="5596" customFormat="false" ht="15" hidden="false" customHeight="false" outlineLevel="0" collapsed="false">
      <c r="A5596" s="10" t="s">
        <v>7937</v>
      </c>
      <c r="B5596" s="10" t="s">
        <v>93</v>
      </c>
      <c r="C5596" s="10" t="s">
        <v>52</v>
      </c>
      <c r="D5596" s="10" t="s">
        <v>168</v>
      </c>
      <c r="E5596" s="10" t="s">
        <v>2345</v>
      </c>
      <c r="F5596" s="30" t="n">
        <v>42994</v>
      </c>
      <c r="G5596" s="30" t="n">
        <v>43052</v>
      </c>
      <c r="H5596" s="26" t="n">
        <f aca="false">G5596-F5596</f>
        <v>58</v>
      </c>
      <c r="I5596" s="10" t="n">
        <f aca="false">IF(E5596="Won",1,0)</f>
        <v>0</v>
      </c>
    </row>
    <row r="5597" customFormat="false" ht="15" hidden="false" customHeight="false" outlineLevel="0" collapsed="false">
      <c r="A5597" s="10" t="s">
        <v>7938</v>
      </c>
      <c r="B5597" s="10" t="s">
        <v>73</v>
      </c>
      <c r="C5597" s="10" t="s">
        <v>50</v>
      </c>
      <c r="D5597" s="10" t="s">
        <v>947</v>
      </c>
      <c r="E5597" s="10" t="s">
        <v>2342</v>
      </c>
      <c r="F5597" s="30" t="n">
        <v>42970</v>
      </c>
      <c r="G5597" s="30" t="n">
        <v>43052</v>
      </c>
      <c r="H5597" s="26" t="n">
        <f aca="false">G5597-F5597</f>
        <v>82</v>
      </c>
      <c r="I5597" s="10" t="n">
        <f aca="false">IF(E5597="Won",1,0)</f>
        <v>1</v>
      </c>
    </row>
    <row r="5598" customFormat="false" ht="15" hidden="false" customHeight="false" outlineLevel="0" collapsed="false">
      <c r="A5598" s="10" t="s">
        <v>7939</v>
      </c>
      <c r="B5598" s="10" t="s">
        <v>77</v>
      </c>
      <c r="C5598" s="10" t="s">
        <v>50</v>
      </c>
      <c r="D5598" s="10" t="s">
        <v>414</v>
      </c>
      <c r="E5598" s="10" t="s">
        <v>2342</v>
      </c>
      <c r="F5598" s="30" t="n">
        <v>42965</v>
      </c>
      <c r="G5598" s="30" t="n">
        <v>43052</v>
      </c>
      <c r="H5598" s="26" t="n">
        <f aca="false">G5598-F5598</f>
        <v>87</v>
      </c>
      <c r="I5598" s="10" t="n">
        <f aca="false">IF(E5598="Won",1,0)</f>
        <v>1</v>
      </c>
    </row>
    <row r="5599" customFormat="false" ht="15" hidden="false" customHeight="false" outlineLevel="0" collapsed="false">
      <c r="A5599" s="10" t="s">
        <v>7940</v>
      </c>
      <c r="B5599" s="10" t="s">
        <v>88</v>
      </c>
      <c r="C5599" s="10" t="s">
        <v>51</v>
      </c>
      <c r="D5599" s="10" t="s">
        <v>293</v>
      </c>
      <c r="E5599" s="10" t="s">
        <v>2345</v>
      </c>
      <c r="F5599" s="30" t="n">
        <v>43048</v>
      </c>
      <c r="G5599" s="30" t="n">
        <v>43052</v>
      </c>
      <c r="H5599" s="26" t="n">
        <f aca="false">G5599-F5599</f>
        <v>4</v>
      </c>
      <c r="I5599" s="10" t="n">
        <f aca="false">IF(E5599="Won",1,0)</f>
        <v>0</v>
      </c>
    </row>
    <row r="5600" customFormat="false" ht="15" hidden="false" customHeight="false" outlineLevel="0" collapsed="false">
      <c r="A5600" s="10" t="s">
        <v>7941</v>
      </c>
      <c r="B5600" s="10" t="s">
        <v>97</v>
      </c>
      <c r="C5600" s="10" t="s">
        <v>51</v>
      </c>
      <c r="D5600" s="10" t="s">
        <v>606</v>
      </c>
      <c r="E5600" s="10" t="s">
        <v>2345</v>
      </c>
      <c r="F5600" s="30" t="n">
        <v>42963</v>
      </c>
      <c r="G5600" s="30" t="n">
        <v>43052</v>
      </c>
      <c r="H5600" s="26" t="n">
        <f aca="false">G5600-F5600</f>
        <v>89</v>
      </c>
      <c r="I5600" s="10" t="n">
        <f aca="false">IF(E5600="Won",1,0)</f>
        <v>0</v>
      </c>
    </row>
    <row r="5601" customFormat="false" ht="15" hidden="false" customHeight="false" outlineLevel="0" collapsed="false">
      <c r="A5601" s="10" t="s">
        <v>7942</v>
      </c>
      <c r="B5601" s="10" t="s">
        <v>62</v>
      </c>
      <c r="C5601" s="10" t="s">
        <v>52</v>
      </c>
      <c r="D5601" s="10" t="s">
        <v>378</v>
      </c>
      <c r="E5601" s="10" t="s">
        <v>2342</v>
      </c>
      <c r="F5601" s="30" t="n">
        <v>43050</v>
      </c>
      <c r="G5601" s="30" t="n">
        <v>43052</v>
      </c>
      <c r="H5601" s="26" t="n">
        <f aca="false">G5601-F5601</f>
        <v>2</v>
      </c>
      <c r="I5601" s="10" t="n">
        <f aca="false">IF(E5601="Won",1,0)</f>
        <v>1</v>
      </c>
    </row>
    <row r="5602" customFormat="false" ht="15" hidden="false" customHeight="false" outlineLevel="0" collapsed="false">
      <c r="A5602" s="10" t="s">
        <v>7943</v>
      </c>
      <c r="B5602" s="10" t="s">
        <v>57</v>
      </c>
      <c r="C5602" s="10" t="s">
        <v>50</v>
      </c>
      <c r="D5602" s="10" t="s">
        <v>1118</v>
      </c>
      <c r="E5602" s="10" t="s">
        <v>2342</v>
      </c>
      <c r="F5602" s="30" t="n">
        <v>43051</v>
      </c>
      <c r="G5602" s="30" t="n">
        <v>43052</v>
      </c>
      <c r="H5602" s="26" t="n">
        <f aca="false">G5602-F5602</f>
        <v>1</v>
      </c>
      <c r="I5602" s="10" t="n">
        <f aca="false">IF(E5602="Won",1,0)</f>
        <v>1</v>
      </c>
    </row>
    <row r="5603" customFormat="false" ht="15" hidden="false" customHeight="false" outlineLevel="0" collapsed="false">
      <c r="A5603" s="10" t="s">
        <v>7944</v>
      </c>
      <c r="B5603" s="10" t="s">
        <v>86</v>
      </c>
      <c r="C5603" s="10" t="s">
        <v>50</v>
      </c>
      <c r="D5603" s="10" t="s">
        <v>233</v>
      </c>
      <c r="E5603" s="10" t="s">
        <v>2345</v>
      </c>
      <c r="F5603" s="30" t="n">
        <v>43040</v>
      </c>
      <c r="G5603" s="30" t="n">
        <v>43052</v>
      </c>
      <c r="H5603" s="26" t="n">
        <f aca="false">G5603-F5603</f>
        <v>12</v>
      </c>
      <c r="I5603" s="10" t="n">
        <f aca="false">IF(E5603="Won",1,0)</f>
        <v>0</v>
      </c>
    </row>
    <row r="5604" customFormat="false" ht="15" hidden="false" customHeight="false" outlineLevel="0" collapsed="false">
      <c r="A5604" s="10" t="s">
        <v>7945</v>
      </c>
      <c r="B5604" s="10" t="s">
        <v>95</v>
      </c>
      <c r="C5604" s="10" t="s">
        <v>50</v>
      </c>
      <c r="D5604" s="10" t="s">
        <v>170</v>
      </c>
      <c r="E5604" s="10" t="s">
        <v>2342</v>
      </c>
      <c r="F5604" s="30" t="n">
        <v>42971</v>
      </c>
      <c r="G5604" s="30" t="n">
        <v>43052</v>
      </c>
      <c r="H5604" s="26" t="n">
        <f aca="false">G5604-F5604</f>
        <v>81</v>
      </c>
      <c r="I5604" s="10" t="n">
        <f aca="false">IF(E5604="Won",1,0)</f>
        <v>1</v>
      </c>
    </row>
    <row r="5605" customFormat="false" ht="15" hidden="false" customHeight="false" outlineLevel="0" collapsed="false">
      <c r="A5605" s="10" t="s">
        <v>7946</v>
      </c>
      <c r="B5605" s="10" t="s">
        <v>70</v>
      </c>
      <c r="C5605" s="10" t="s">
        <v>49</v>
      </c>
      <c r="D5605" s="10" t="s">
        <v>168</v>
      </c>
      <c r="E5605" s="10" t="s">
        <v>2342</v>
      </c>
      <c r="F5605" s="30" t="n">
        <v>42946</v>
      </c>
      <c r="G5605" s="30" t="n">
        <v>43052</v>
      </c>
      <c r="H5605" s="26" t="n">
        <f aca="false">G5605-F5605</f>
        <v>106</v>
      </c>
      <c r="I5605" s="10" t="n">
        <f aca="false">IF(E5605="Won",1,0)</f>
        <v>1</v>
      </c>
    </row>
    <row r="5606" customFormat="false" ht="15" hidden="false" customHeight="false" outlineLevel="0" collapsed="false">
      <c r="A5606" s="10" t="s">
        <v>7947</v>
      </c>
      <c r="B5606" s="10" t="s">
        <v>73</v>
      </c>
      <c r="C5606" s="10" t="s">
        <v>52</v>
      </c>
      <c r="D5606" s="10" t="s">
        <v>947</v>
      </c>
      <c r="E5606" s="10" t="s">
        <v>2345</v>
      </c>
      <c r="F5606" s="30" t="n">
        <v>42995</v>
      </c>
      <c r="G5606" s="30" t="n">
        <v>43052</v>
      </c>
      <c r="H5606" s="26" t="n">
        <f aca="false">G5606-F5606</f>
        <v>57</v>
      </c>
      <c r="I5606" s="10" t="n">
        <f aca="false">IF(E5606="Won",1,0)</f>
        <v>0</v>
      </c>
    </row>
    <row r="5607" customFormat="false" ht="15" hidden="false" customHeight="false" outlineLevel="0" collapsed="false">
      <c r="A5607" s="10" t="s">
        <v>7948</v>
      </c>
      <c r="B5607" s="10" t="s">
        <v>88</v>
      </c>
      <c r="C5607" s="10" t="s">
        <v>48</v>
      </c>
      <c r="D5607" s="10" t="s">
        <v>674</v>
      </c>
      <c r="E5607" s="10" t="s">
        <v>2345</v>
      </c>
      <c r="F5607" s="30" t="n">
        <v>43004</v>
      </c>
      <c r="G5607" s="30" t="n">
        <v>43052</v>
      </c>
      <c r="H5607" s="26" t="n">
        <f aca="false">G5607-F5607</f>
        <v>48</v>
      </c>
      <c r="I5607" s="10" t="n">
        <f aca="false">IF(E5607="Won",1,0)</f>
        <v>0</v>
      </c>
    </row>
    <row r="5608" customFormat="false" ht="15" hidden="false" customHeight="false" outlineLevel="0" collapsed="false">
      <c r="A5608" s="10" t="s">
        <v>7949</v>
      </c>
      <c r="B5608" s="10" t="s">
        <v>57</v>
      </c>
      <c r="C5608" s="10" t="s">
        <v>49</v>
      </c>
      <c r="D5608" s="10" t="s">
        <v>453</v>
      </c>
      <c r="E5608" s="10" t="s">
        <v>2345</v>
      </c>
      <c r="F5608" s="30" t="n">
        <v>42978</v>
      </c>
      <c r="G5608" s="30" t="n">
        <v>43052</v>
      </c>
      <c r="H5608" s="26" t="n">
        <f aca="false">G5608-F5608</f>
        <v>74</v>
      </c>
      <c r="I5608" s="10" t="n">
        <f aca="false">IF(E5608="Won",1,0)</f>
        <v>0</v>
      </c>
    </row>
    <row r="5609" customFormat="false" ht="15" hidden="false" customHeight="false" outlineLevel="0" collapsed="false">
      <c r="A5609" s="10" t="s">
        <v>7950</v>
      </c>
      <c r="B5609" s="10" t="s">
        <v>74</v>
      </c>
      <c r="C5609" s="10" t="s">
        <v>51</v>
      </c>
      <c r="D5609" s="10" t="s">
        <v>369</v>
      </c>
      <c r="E5609" s="10" t="s">
        <v>2345</v>
      </c>
      <c r="F5609" s="30" t="n">
        <v>42955</v>
      </c>
      <c r="G5609" s="30" t="n">
        <v>43052</v>
      </c>
      <c r="H5609" s="26" t="n">
        <f aca="false">G5609-F5609</f>
        <v>97</v>
      </c>
      <c r="I5609" s="10" t="n">
        <f aca="false">IF(E5609="Won",1,0)</f>
        <v>0</v>
      </c>
    </row>
    <row r="5610" customFormat="false" ht="15" hidden="false" customHeight="false" outlineLevel="0" collapsed="false">
      <c r="A5610" s="10" t="s">
        <v>7951</v>
      </c>
      <c r="B5610" s="10" t="s">
        <v>71</v>
      </c>
      <c r="C5610" s="10" t="s">
        <v>50</v>
      </c>
      <c r="D5610" s="10" t="s">
        <v>597</v>
      </c>
      <c r="E5610" s="10" t="s">
        <v>2342</v>
      </c>
      <c r="F5610" s="30" t="n">
        <v>42979</v>
      </c>
      <c r="G5610" s="30" t="n">
        <v>43052</v>
      </c>
      <c r="H5610" s="26" t="n">
        <f aca="false">G5610-F5610</f>
        <v>73</v>
      </c>
      <c r="I5610" s="10" t="n">
        <f aca="false">IF(E5610="Won",1,0)</f>
        <v>1</v>
      </c>
    </row>
    <row r="5611" customFormat="false" ht="15" hidden="false" customHeight="false" outlineLevel="0" collapsed="false">
      <c r="A5611" s="10" t="s">
        <v>7952</v>
      </c>
      <c r="B5611" s="10" t="s">
        <v>77</v>
      </c>
      <c r="C5611" s="10" t="s">
        <v>48</v>
      </c>
      <c r="D5611" s="10" t="s">
        <v>414</v>
      </c>
      <c r="E5611" s="10" t="s">
        <v>2342</v>
      </c>
      <c r="F5611" s="30" t="n">
        <v>43005</v>
      </c>
      <c r="G5611" s="30" t="n">
        <v>43052</v>
      </c>
      <c r="H5611" s="26" t="n">
        <f aca="false">G5611-F5611</f>
        <v>47</v>
      </c>
      <c r="I5611" s="10" t="n">
        <f aca="false">IF(E5611="Won",1,0)</f>
        <v>1</v>
      </c>
    </row>
    <row r="5612" customFormat="false" ht="15" hidden="false" customHeight="false" outlineLevel="0" collapsed="false">
      <c r="A5612" s="10" t="s">
        <v>7953</v>
      </c>
      <c r="B5612" s="10" t="s">
        <v>93</v>
      </c>
      <c r="C5612" s="10" t="s">
        <v>47</v>
      </c>
      <c r="D5612" s="10" t="s">
        <v>986</v>
      </c>
      <c r="E5612" s="10" t="s">
        <v>2342</v>
      </c>
      <c r="F5612" s="30" t="n">
        <v>42979</v>
      </c>
      <c r="G5612" s="30" t="n">
        <v>43052</v>
      </c>
      <c r="H5612" s="26" t="n">
        <f aca="false">G5612-F5612</f>
        <v>73</v>
      </c>
      <c r="I5612" s="10" t="n">
        <f aca="false">IF(E5612="Won",1,0)</f>
        <v>1</v>
      </c>
    </row>
    <row r="5613" customFormat="false" ht="15" hidden="false" customHeight="false" outlineLevel="0" collapsed="false">
      <c r="A5613" s="10" t="s">
        <v>7954</v>
      </c>
      <c r="B5613" s="10" t="s">
        <v>87</v>
      </c>
      <c r="C5613" s="10" t="s">
        <v>50</v>
      </c>
      <c r="D5613" s="10" t="s">
        <v>532</v>
      </c>
      <c r="E5613" s="10" t="s">
        <v>2345</v>
      </c>
      <c r="F5613" s="30" t="n">
        <v>43018</v>
      </c>
      <c r="G5613" s="30" t="n">
        <v>43052</v>
      </c>
      <c r="H5613" s="26" t="n">
        <f aca="false">G5613-F5613</f>
        <v>34</v>
      </c>
      <c r="I5613" s="10" t="n">
        <f aca="false">IF(E5613="Won",1,0)</f>
        <v>0</v>
      </c>
    </row>
    <row r="5614" customFormat="false" ht="15" hidden="false" customHeight="false" outlineLevel="0" collapsed="false">
      <c r="A5614" s="10" t="s">
        <v>7955</v>
      </c>
      <c r="B5614" s="10" t="s">
        <v>95</v>
      </c>
      <c r="C5614" s="10" t="s">
        <v>51</v>
      </c>
      <c r="D5614" s="10" t="s">
        <v>419</v>
      </c>
      <c r="E5614" s="10" t="s">
        <v>2342</v>
      </c>
      <c r="F5614" s="30" t="n">
        <v>43003</v>
      </c>
      <c r="G5614" s="30" t="n">
        <v>43052</v>
      </c>
      <c r="H5614" s="26" t="n">
        <f aca="false">G5614-F5614</f>
        <v>49</v>
      </c>
      <c r="I5614" s="10" t="n">
        <f aca="false">IF(E5614="Won",1,0)</f>
        <v>1</v>
      </c>
    </row>
    <row r="5615" customFormat="false" ht="15" hidden="false" customHeight="false" outlineLevel="0" collapsed="false">
      <c r="A5615" s="10" t="s">
        <v>7956</v>
      </c>
      <c r="B5615" s="10" t="s">
        <v>83</v>
      </c>
      <c r="C5615" s="10" t="s">
        <v>48</v>
      </c>
      <c r="D5615" s="10" t="s">
        <v>660</v>
      </c>
      <c r="E5615" s="10" t="s">
        <v>2345</v>
      </c>
      <c r="F5615" s="30" t="n">
        <v>43045</v>
      </c>
      <c r="G5615" s="30" t="n">
        <v>43052</v>
      </c>
      <c r="H5615" s="26" t="n">
        <f aca="false">G5615-F5615</f>
        <v>7</v>
      </c>
      <c r="I5615" s="10" t="n">
        <f aca="false">IF(E5615="Won",1,0)</f>
        <v>0</v>
      </c>
    </row>
    <row r="5616" customFormat="false" ht="15" hidden="false" customHeight="false" outlineLevel="0" collapsed="false">
      <c r="A5616" s="10" t="s">
        <v>7957</v>
      </c>
      <c r="B5616" s="10" t="s">
        <v>94</v>
      </c>
      <c r="C5616" s="10" t="s">
        <v>50</v>
      </c>
      <c r="D5616" s="10" t="s">
        <v>210</v>
      </c>
      <c r="E5616" s="10" t="s">
        <v>2342</v>
      </c>
      <c r="F5616" s="30" t="n">
        <v>42972</v>
      </c>
      <c r="G5616" s="30" t="n">
        <v>43052</v>
      </c>
      <c r="H5616" s="26" t="n">
        <f aca="false">G5616-F5616</f>
        <v>80</v>
      </c>
      <c r="I5616" s="10" t="n">
        <f aca="false">IF(E5616="Won",1,0)</f>
        <v>1</v>
      </c>
    </row>
    <row r="5617" customFormat="false" ht="15" hidden="false" customHeight="false" outlineLevel="0" collapsed="false">
      <c r="A5617" s="10" t="s">
        <v>7958</v>
      </c>
      <c r="B5617" s="10" t="s">
        <v>96</v>
      </c>
      <c r="C5617" s="10" t="s">
        <v>50</v>
      </c>
      <c r="D5617" s="10" t="s">
        <v>606</v>
      </c>
      <c r="E5617" s="10" t="s">
        <v>2342</v>
      </c>
      <c r="F5617" s="30" t="n">
        <v>42933</v>
      </c>
      <c r="G5617" s="30" t="n">
        <v>43052</v>
      </c>
      <c r="H5617" s="26" t="n">
        <f aca="false">G5617-F5617</f>
        <v>119</v>
      </c>
      <c r="I5617" s="10" t="n">
        <f aca="false">IF(E5617="Won",1,0)</f>
        <v>1</v>
      </c>
    </row>
    <row r="5618" customFormat="false" ht="15" hidden="false" customHeight="false" outlineLevel="0" collapsed="false">
      <c r="A5618" s="10" t="s">
        <v>7959</v>
      </c>
      <c r="B5618" s="10" t="s">
        <v>95</v>
      </c>
      <c r="C5618" s="10" t="s">
        <v>51</v>
      </c>
      <c r="D5618" s="10" t="s">
        <v>286</v>
      </c>
      <c r="E5618" s="10" t="s">
        <v>2345</v>
      </c>
      <c r="F5618" s="30" t="n">
        <v>42983</v>
      </c>
      <c r="G5618" s="30" t="n">
        <v>43052</v>
      </c>
      <c r="H5618" s="26" t="n">
        <f aca="false">G5618-F5618</f>
        <v>69</v>
      </c>
      <c r="I5618" s="10" t="n">
        <f aca="false">IF(E5618="Won",1,0)</f>
        <v>0</v>
      </c>
    </row>
    <row r="5619" customFormat="false" ht="15" hidden="false" customHeight="false" outlineLevel="0" collapsed="false">
      <c r="A5619" s="10" t="s">
        <v>7960</v>
      </c>
      <c r="B5619" s="10" t="s">
        <v>75</v>
      </c>
      <c r="C5619" s="10" t="s">
        <v>50</v>
      </c>
      <c r="D5619" s="10" t="s">
        <v>697</v>
      </c>
      <c r="E5619" s="10" t="s">
        <v>2342</v>
      </c>
      <c r="F5619" s="30" t="n">
        <v>42973</v>
      </c>
      <c r="G5619" s="30" t="n">
        <v>43052</v>
      </c>
      <c r="H5619" s="26" t="n">
        <f aca="false">G5619-F5619</f>
        <v>79</v>
      </c>
      <c r="I5619" s="10" t="n">
        <f aca="false">IF(E5619="Won",1,0)</f>
        <v>1</v>
      </c>
    </row>
    <row r="5620" customFormat="false" ht="15" hidden="false" customHeight="false" outlineLevel="0" collapsed="false">
      <c r="A5620" s="10" t="s">
        <v>7961</v>
      </c>
      <c r="B5620" s="10" t="s">
        <v>77</v>
      </c>
      <c r="C5620" s="10" t="s">
        <v>50</v>
      </c>
      <c r="D5620" s="10" t="s">
        <v>697</v>
      </c>
      <c r="E5620" s="10" t="s">
        <v>2345</v>
      </c>
      <c r="F5620" s="30" t="n">
        <v>42941</v>
      </c>
      <c r="G5620" s="30" t="n">
        <v>43052</v>
      </c>
      <c r="H5620" s="26" t="n">
        <f aca="false">G5620-F5620</f>
        <v>111</v>
      </c>
      <c r="I5620" s="10" t="n">
        <f aca="false">IF(E5620="Won",1,0)</f>
        <v>0</v>
      </c>
    </row>
    <row r="5621" customFormat="false" ht="15" hidden="false" customHeight="false" outlineLevel="0" collapsed="false">
      <c r="A5621" s="10" t="s">
        <v>7962</v>
      </c>
      <c r="B5621" s="10" t="s">
        <v>81</v>
      </c>
      <c r="C5621" s="10" t="s">
        <v>47</v>
      </c>
      <c r="D5621" s="10" t="s">
        <v>267</v>
      </c>
      <c r="E5621" s="10" t="s">
        <v>2342</v>
      </c>
      <c r="F5621" s="30" t="n">
        <v>43051</v>
      </c>
      <c r="G5621" s="30" t="n">
        <v>43053</v>
      </c>
      <c r="H5621" s="26" t="n">
        <f aca="false">G5621-F5621</f>
        <v>2</v>
      </c>
      <c r="I5621" s="10" t="n">
        <f aca="false">IF(E5621="Won",1,0)</f>
        <v>1</v>
      </c>
    </row>
    <row r="5622" customFormat="false" ht="15" hidden="false" customHeight="false" outlineLevel="0" collapsed="false">
      <c r="A5622" s="10" t="s">
        <v>7963</v>
      </c>
      <c r="B5622" s="10" t="s">
        <v>95</v>
      </c>
      <c r="C5622" s="10" t="s">
        <v>51</v>
      </c>
      <c r="D5622" s="10" t="s">
        <v>483</v>
      </c>
      <c r="E5622" s="10" t="s">
        <v>2345</v>
      </c>
      <c r="F5622" s="30" t="n">
        <v>42965</v>
      </c>
      <c r="G5622" s="30" t="n">
        <v>43053</v>
      </c>
      <c r="H5622" s="26" t="n">
        <f aca="false">G5622-F5622</f>
        <v>88</v>
      </c>
      <c r="I5622" s="10" t="n">
        <f aca="false">IF(E5622="Won",1,0)</f>
        <v>0</v>
      </c>
    </row>
    <row r="5623" customFormat="false" ht="15" hidden="false" customHeight="false" outlineLevel="0" collapsed="false">
      <c r="A5623" s="10" t="s">
        <v>7964</v>
      </c>
      <c r="B5623" s="10" t="s">
        <v>57</v>
      </c>
      <c r="C5623" s="10" t="s">
        <v>48</v>
      </c>
      <c r="D5623" s="10" t="s">
        <v>674</v>
      </c>
      <c r="E5623" s="10" t="s">
        <v>2345</v>
      </c>
      <c r="F5623" s="30" t="n">
        <v>42995</v>
      </c>
      <c r="G5623" s="30" t="n">
        <v>43053</v>
      </c>
      <c r="H5623" s="26" t="n">
        <f aca="false">G5623-F5623</f>
        <v>58</v>
      </c>
      <c r="I5623" s="10" t="n">
        <f aca="false">IF(E5623="Won",1,0)</f>
        <v>0</v>
      </c>
    </row>
    <row r="5624" customFormat="false" ht="15" hidden="false" customHeight="false" outlineLevel="0" collapsed="false">
      <c r="A5624" s="10" t="s">
        <v>7965</v>
      </c>
      <c r="B5624" s="10" t="s">
        <v>95</v>
      </c>
      <c r="C5624" s="10" t="s">
        <v>47</v>
      </c>
      <c r="D5624" s="10" t="s">
        <v>210</v>
      </c>
      <c r="E5624" s="10" t="s">
        <v>2342</v>
      </c>
      <c r="F5624" s="30" t="n">
        <v>42965</v>
      </c>
      <c r="G5624" s="30" t="n">
        <v>43053</v>
      </c>
      <c r="H5624" s="26" t="n">
        <f aca="false">G5624-F5624</f>
        <v>88</v>
      </c>
      <c r="I5624" s="10" t="n">
        <f aca="false">IF(E5624="Won",1,0)</f>
        <v>1</v>
      </c>
    </row>
    <row r="5625" customFormat="false" ht="15" hidden="false" customHeight="false" outlineLevel="0" collapsed="false">
      <c r="A5625" s="10" t="s">
        <v>7966</v>
      </c>
      <c r="B5625" s="10" t="s">
        <v>97</v>
      </c>
      <c r="C5625" s="10" t="s">
        <v>48</v>
      </c>
      <c r="D5625" s="10" t="s">
        <v>170</v>
      </c>
      <c r="E5625" s="10" t="s">
        <v>2345</v>
      </c>
      <c r="F5625" s="30" t="n">
        <v>42989</v>
      </c>
      <c r="G5625" s="30" t="n">
        <v>43053</v>
      </c>
      <c r="H5625" s="26" t="n">
        <f aca="false">G5625-F5625</f>
        <v>64</v>
      </c>
      <c r="I5625" s="10" t="n">
        <f aca="false">IF(E5625="Won",1,0)</f>
        <v>0</v>
      </c>
    </row>
    <row r="5626" customFormat="false" ht="15" hidden="false" customHeight="false" outlineLevel="0" collapsed="false">
      <c r="A5626" s="10" t="s">
        <v>7967</v>
      </c>
      <c r="B5626" s="10" t="s">
        <v>95</v>
      </c>
      <c r="C5626" s="10" t="s">
        <v>50</v>
      </c>
      <c r="D5626" s="10" t="s">
        <v>170</v>
      </c>
      <c r="E5626" s="10" t="s">
        <v>2342</v>
      </c>
      <c r="F5626" s="30" t="n">
        <v>42995</v>
      </c>
      <c r="G5626" s="30" t="n">
        <v>43053</v>
      </c>
      <c r="H5626" s="26" t="n">
        <f aca="false">G5626-F5626</f>
        <v>58</v>
      </c>
      <c r="I5626" s="10" t="n">
        <f aca="false">IF(E5626="Won",1,0)</f>
        <v>1</v>
      </c>
    </row>
    <row r="5627" customFormat="false" ht="15" hidden="false" customHeight="false" outlineLevel="0" collapsed="false">
      <c r="A5627" s="10" t="s">
        <v>7968</v>
      </c>
      <c r="B5627" s="10" t="s">
        <v>86</v>
      </c>
      <c r="C5627" s="10" t="s">
        <v>48</v>
      </c>
      <c r="D5627" s="10" t="s">
        <v>1118</v>
      </c>
      <c r="E5627" s="10" t="s">
        <v>2342</v>
      </c>
      <c r="F5627" s="30" t="n">
        <v>43039</v>
      </c>
      <c r="G5627" s="30" t="n">
        <v>43053</v>
      </c>
      <c r="H5627" s="26" t="n">
        <f aca="false">G5627-F5627</f>
        <v>14</v>
      </c>
      <c r="I5627" s="10" t="n">
        <f aca="false">IF(E5627="Won",1,0)</f>
        <v>1</v>
      </c>
    </row>
    <row r="5628" customFormat="false" ht="15" hidden="false" customHeight="false" outlineLevel="0" collapsed="false">
      <c r="A5628" s="10" t="s">
        <v>7969</v>
      </c>
      <c r="B5628" s="10" t="s">
        <v>71</v>
      </c>
      <c r="C5628" s="10" t="s">
        <v>52</v>
      </c>
      <c r="D5628" s="10" t="s">
        <v>210</v>
      </c>
      <c r="E5628" s="10" t="s">
        <v>2342</v>
      </c>
      <c r="F5628" s="30" t="n">
        <v>42974</v>
      </c>
      <c r="G5628" s="30" t="n">
        <v>43053</v>
      </c>
      <c r="H5628" s="26" t="n">
        <f aca="false">G5628-F5628</f>
        <v>79</v>
      </c>
      <c r="I5628" s="10" t="n">
        <f aca="false">IF(E5628="Won",1,0)</f>
        <v>1</v>
      </c>
    </row>
    <row r="5629" customFormat="false" ht="15" hidden="false" customHeight="false" outlineLevel="0" collapsed="false">
      <c r="A5629" s="10" t="s">
        <v>7970</v>
      </c>
      <c r="B5629" s="10" t="s">
        <v>71</v>
      </c>
      <c r="C5629" s="10" t="s">
        <v>47</v>
      </c>
      <c r="D5629" s="10" t="s">
        <v>259</v>
      </c>
      <c r="E5629" s="10" t="s">
        <v>2345</v>
      </c>
      <c r="F5629" s="30" t="n">
        <v>42989</v>
      </c>
      <c r="G5629" s="30" t="n">
        <v>43053</v>
      </c>
      <c r="H5629" s="26" t="n">
        <f aca="false">G5629-F5629</f>
        <v>64</v>
      </c>
      <c r="I5629" s="10" t="n">
        <f aca="false">IF(E5629="Won",1,0)</f>
        <v>0</v>
      </c>
    </row>
    <row r="5630" customFormat="false" ht="15" hidden="false" customHeight="false" outlineLevel="0" collapsed="false">
      <c r="A5630" s="10" t="s">
        <v>7971</v>
      </c>
      <c r="B5630" s="10" t="s">
        <v>61</v>
      </c>
      <c r="C5630" s="10" t="s">
        <v>47</v>
      </c>
      <c r="D5630" s="10" t="s">
        <v>286</v>
      </c>
      <c r="E5630" s="10" t="s">
        <v>2345</v>
      </c>
      <c r="F5630" s="30" t="n">
        <v>43043</v>
      </c>
      <c r="G5630" s="30" t="n">
        <v>43053</v>
      </c>
      <c r="H5630" s="26" t="n">
        <f aca="false">G5630-F5630</f>
        <v>10</v>
      </c>
      <c r="I5630" s="10" t="n">
        <f aca="false">IF(E5630="Won",1,0)</f>
        <v>0</v>
      </c>
    </row>
    <row r="5631" customFormat="false" ht="15" hidden="false" customHeight="false" outlineLevel="0" collapsed="false">
      <c r="A5631" s="10" t="s">
        <v>7972</v>
      </c>
      <c r="B5631" s="10" t="s">
        <v>81</v>
      </c>
      <c r="C5631" s="10" t="s">
        <v>49</v>
      </c>
      <c r="D5631" s="10" t="s">
        <v>512</v>
      </c>
      <c r="E5631" s="10" t="s">
        <v>2342</v>
      </c>
      <c r="F5631" s="30" t="n">
        <v>42977</v>
      </c>
      <c r="G5631" s="30" t="n">
        <v>43053</v>
      </c>
      <c r="H5631" s="26" t="n">
        <f aca="false">G5631-F5631</f>
        <v>76</v>
      </c>
      <c r="I5631" s="10" t="n">
        <f aca="false">IF(E5631="Won",1,0)</f>
        <v>1</v>
      </c>
    </row>
    <row r="5632" customFormat="false" ht="15" hidden="false" customHeight="false" outlineLevel="0" collapsed="false">
      <c r="A5632" s="10" t="s">
        <v>7973</v>
      </c>
      <c r="B5632" s="10" t="s">
        <v>70</v>
      </c>
      <c r="C5632" s="10" t="s">
        <v>49</v>
      </c>
      <c r="D5632" s="10" t="s">
        <v>506</v>
      </c>
      <c r="E5632" s="10" t="s">
        <v>2342</v>
      </c>
      <c r="F5632" s="30" t="n">
        <v>42959</v>
      </c>
      <c r="G5632" s="30" t="n">
        <v>43053</v>
      </c>
      <c r="H5632" s="26" t="n">
        <f aca="false">G5632-F5632</f>
        <v>94</v>
      </c>
      <c r="I5632" s="10" t="n">
        <f aca="false">IF(E5632="Won",1,0)</f>
        <v>1</v>
      </c>
    </row>
    <row r="5633" customFormat="false" ht="15" hidden="false" customHeight="false" outlineLevel="0" collapsed="false">
      <c r="A5633" s="10" t="s">
        <v>7974</v>
      </c>
      <c r="B5633" s="10" t="s">
        <v>96</v>
      </c>
      <c r="C5633" s="10" t="s">
        <v>51</v>
      </c>
      <c r="D5633" s="10" t="s">
        <v>303</v>
      </c>
      <c r="E5633" s="10" t="s">
        <v>2345</v>
      </c>
      <c r="F5633" s="30" t="n">
        <v>43001</v>
      </c>
      <c r="G5633" s="30" t="n">
        <v>43053</v>
      </c>
      <c r="H5633" s="26" t="n">
        <f aca="false">G5633-F5633</f>
        <v>52</v>
      </c>
      <c r="I5633" s="10" t="n">
        <f aca="false">IF(E5633="Won",1,0)</f>
        <v>0</v>
      </c>
    </row>
    <row r="5634" customFormat="false" ht="15" hidden="false" customHeight="false" outlineLevel="0" collapsed="false">
      <c r="A5634" s="10" t="s">
        <v>7975</v>
      </c>
      <c r="B5634" s="10" t="s">
        <v>61</v>
      </c>
      <c r="C5634" s="10" t="s">
        <v>49</v>
      </c>
      <c r="D5634" s="10" t="s">
        <v>274</v>
      </c>
      <c r="E5634" s="10" t="s">
        <v>2342</v>
      </c>
      <c r="F5634" s="30" t="n">
        <v>43046</v>
      </c>
      <c r="G5634" s="30" t="n">
        <v>43053</v>
      </c>
      <c r="H5634" s="26" t="n">
        <f aca="false">G5634-F5634</f>
        <v>7</v>
      </c>
      <c r="I5634" s="10" t="n">
        <f aca="false">IF(E5634="Won",1,0)</f>
        <v>1</v>
      </c>
    </row>
    <row r="5635" customFormat="false" ht="15" hidden="false" customHeight="false" outlineLevel="0" collapsed="false">
      <c r="A5635" s="10" t="s">
        <v>7976</v>
      </c>
      <c r="B5635" s="10" t="s">
        <v>70</v>
      </c>
      <c r="C5635" s="10" t="s">
        <v>49</v>
      </c>
      <c r="D5635" s="10" t="s">
        <v>506</v>
      </c>
      <c r="E5635" s="10" t="s">
        <v>2342</v>
      </c>
      <c r="F5635" s="30" t="n">
        <v>42983</v>
      </c>
      <c r="G5635" s="30" t="n">
        <v>43053</v>
      </c>
      <c r="H5635" s="26" t="n">
        <f aca="false">G5635-F5635</f>
        <v>70</v>
      </c>
      <c r="I5635" s="10" t="n">
        <f aca="false">IF(E5635="Won",1,0)</f>
        <v>1</v>
      </c>
    </row>
    <row r="5636" customFormat="false" ht="15" hidden="false" customHeight="false" outlineLevel="0" collapsed="false">
      <c r="A5636" s="10" t="s">
        <v>7977</v>
      </c>
      <c r="B5636" s="10" t="s">
        <v>77</v>
      </c>
      <c r="C5636" s="10" t="s">
        <v>48</v>
      </c>
      <c r="D5636" s="10" t="s">
        <v>524</v>
      </c>
      <c r="E5636" s="10" t="s">
        <v>2345</v>
      </c>
      <c r="F5636" s="30" t="n">
        <v>42989</v>
      </c>
      <c r="G5636" s="30" t="n">
        <v>43053</v>
      </c>
      <c r="H5636" s="26" t="n">
        <f aca="false">G5636-F5636</f>
        <v>64</v>
      </c>
      <c r="I5636" s="10" t="n">
        <f aca="false">IF(E5636="Won",1,0)</f>
        <v>0</v>
      </c>
    </row>
    <row r="5637" customFormat="false" ht="15" hidden="false" customHeight="false" outlineLevel="0" collapsed="false">
      <c r="A5637" s="10" t="s">
        <v>7978</v>
      </c>
      <c r="B5637" s="10" t="s">
        <v>96</v>
      </c>
      <c r="C5637" s="10" t="s">
        <v>49</v>
      </c>
      <c r="D5637" s="10" t="s">
        <v>313</v>
      </c>
      <c r="E5637" s="10" t="s">
        <v>2342</v>
      </c>
      <c r="F5637" s="30" t="n">
        <v>43040</v>
      </c>
      <c r="G5637" s="30" t="n">
        <v>43053</v>
      </c>
      <c r="H5637" s="26" t="n">
        <f aca="false">G5637-F5637</f>
        <v>13</v>
      </c>
      <c r="I5637" s="10" t="n">
        <f aca="false">IF(E5637="Won",1,0)</f>
        <v>1</v>
      </c>
    </row>
    <row r="5638" customFormat="false" ht="15" hidden="false" customHeight="false" outlineLevel="0" collapsed="false">
      <c r="A5638" s="10" t="s">
        <v>7979</v>
      </c>
      <c r="B5638" s="10" t="s">
        <v>57</v>
      </c>
      <c r="C5638" s="10" t="s">
        <v>52</v>
      </c>
      <c r="D5638" s="10" t="s">
        <v>359</v>
      </c>
      <c r="E5638" s="10" t="s">
        <v>2342</v>
      </c>
      <c r="F5638" s="30" t="n">
        <v>42953</v>
      </c>
      <c r="G5638" s="30" t="n">
        <v>43053</v>
      </c>
      <c r="H5638" s="26" t="n">
        <f aca="false">G5638-F5638</f>
        <v>100</v>
      </c>
      <c r="I5638" s="10" t="n">
        <f aca="false">IF(E5638="Won",1,0)</f>
        <v>1</v>
      </c>
    </row>
    <row r="5639" customFormat="false" ht="15" hidden="false" customHeight="false" outlineLevel="0" collapsed="false">
      <c r="A5639" s="10" t="s">
        <v>7980</v>
      </c>
      <c r="B5639" s="10" t="s">
        <v>79</v>
      </c>
      <c r="C5639" s="10" t="s">
        <v>49</v>
      </c>
      <c r="D5639" s="10" t="s">
        <v>267</v>
      </c>
      <c r="E5639" s="10" t="s">
        <v>2342</v>
      </c>
      <c r="F5639" s="30" t="n">
        <v>42936</v>
      </c>
      <c r="G5639" s="30" t="n">
        <v>43053</v>
      </c>
      <c r="H5639" s="26" t="n">
        <f aca="false">G5639-F5639</f>
        <v>117</v>
      </c>
      <c r="I5639" s="10" t="n">
        <f aca="false">IF(E5639="Won",1,0)</f>
        <v>1</v>
      </c>
    </row>
    <row r="5640" customFormat="false" ht="15" hidden="false" customHeight="false" outlineLevel="0" collapsed="false">
      <c r="A5640" s="10" t="s">
        <v>7981</v>
      </c>
      <c r="B5640" s="10" t="s">
        <v>94</v>
      </c>
      <c r="C5640" s="10" t="s">
        <v>51</v>
      </c>
      <c r="D5640" s="10" t="s">
        <v>286</v>
      </c>
      <c r="E5640" s="10" t="s">
        <v>2345</v>
      </c>
      <c r="F5640" s="30" t="n">
        <v>43052</v>
      </c>
      <c r="G5640" s="30" t="n">
        <v>43053</v>
      </c>
      <c r="H5640" s="26" t="n">
        <f aca="false">G5640-F5640</f>
        <v>1</v>
      </c>
      <c r="I5640" s="10" t="n">
        <f aca="false">IF(E5640="Won",1,0)</f>
        <v>0</v>
      </c>
    </row>
    <row r="5641" customFormat="false" ht="15" hidden="false" customHeight="false" outlineLevel="0" collapsed="false">
      <c r="A5641" s="10" t="s">
        <v>7982</v>
      </c>
      <c r="B5641" s="10" t="s">
        <v>95</v>
      </c>
      <c r="C5641" s="10" t="s">
        <v>48</v>
      </c>
      <c r="D5641" s="10" t="s">
        <v>175</v>
      </c>
      <c r="E5641" s="10" t="s">
        <v>2342</v>
      </c>
      <c r="F5641" s="30" t="n">
        <v>42999</v>
      </c>
      <c r="G5641" s="30" t="n">
        <v>43053</v>
      </c>
      <c r="H5641" s="26" t="n">
        <f aca="false">G5641-F5641</f>
        <v>54</v>
      </c>
      <c r="I5641" s="10" t="n">
        <f aca="false">IF(E5641="Won",1,0)</f>
        <v>1</v>
      </c>
    </row>
    <row r="5642" customFormat="false" ht="15" hidden="false" customHeight="false" outlineLevel="0" collapsed="false">
      <c r="A5642" s="10" t="s">
        <v>7983</v>
      </c>
      <c r="B5642" s="10" t="s">
        <v>62</v>
      </c>
      <c r="C5642" s="10" t="s">
        <v>52</v>
      </c>
      <c r="D5642" s="10" t="s">
        <v>274</v>
      </c>
      <c r="E5642" s="10" t="s">
        <v>2342</v>
      </c>
      <c r="F5642" s="30" t="n">
        <v>43036</v>
      </c>
      <c r="G5642" s="30" t="n">
        <v>43053</v>
      </c>
      <c r="H5642" s="26" t="n">
        <f aca="false">G5642-F5642</f>
        <v>17</v>
      </c>
      <c r="I5642" s="10" t="n">
        <f aca="false">IF(E5642="Won",1,0)</f>
        <v>1</v>
      </c>
    </row>
    <row r="5643" customFormat="false" ht="15" hidden="false" customHeight="false" outlineLevel="0" collapsed="false">
      <c r="A5643" s="10" t="s">
        <v>7984</v>
      </c>
      <c r="B5643" s="10" t="s">
        <v>77</v>
      </c>
      <c r="C5643" s="10" t="s">
        <v>47</v>
      </c>
      <c r="D5643" s="10" t="s">
        <v>947</v>
      </c>
      <c r="E5643" s="10" t="s">
        <v>2345</v>
      </c>
      <c r="F5643" s="30" t="n">
        <v>43050</v>
      </c>
      <c r="G5643" s="30" t="n">
        <v>43053</v>
      </c>
      <c r="H5643" s="26" t="n">
        <f aca="false">G5643-F5643</f>
        <v>3</v>
      </c>
      <c r="I5643" s="10" t="n">
        <f aca="false">IF(E5643="Won",1,0)</f>
        <v>0</v>
      </c>
    </row>
    <row r="5644" customFormat="false" ht="15" hidden="false" customHeight="false" outlineLevel="0" collapsed="false">
      <c r="A5644" s="10" t="s">
        <v>7985</v>
      </c>
      <c r="B5644" s="10" t="s">
        <v>71</v>
      </c>
      <c r="C5644" s="10" t="s">
        <v>52</v>
      </c>
      <c r="D5644" s="10" t="s">
        <v>210</v>
      </c>
      <c r="E5644" s="10" t="s">
        <v>2342</v>
      </c>
      <c r="F5644" s="30" t="n">
        <v>42970</v>
      </c>
      <c r="G5644" s="30" t="n">
        <v>43053</v>
      </c>
      <c r="H5644" s="26" t="n">
        <f aca="false">G5644-F5644</f>
        <v>83</v>
      </c>
      <c r="I5644" s="10" t="n">
        <f aca="false">IF(E5644="Won",1,0)</f>
        <v>1</v>
      </c>
    </row>
    <row r="5645" customFormat="false" ht="15" hidden="false" customHeight="false" outlineLevel="0" collapsed="false">
      <c r="A5645" s="10" t="s">
        <v>7986</v>
      </c>
      <c r="B5645" s="10" t="s">
        <v>95</v>
      </c>
      <c r="C5645" s="10" t="s">
        <v>51</v>
      </c>
      <c r="D5645" s="10" t="s">
        <v>233</v>
      </c>
      <c r="E5645" s="10" t="s">
        <v>2342</v>
      </c>
      <c r="F5645" s="30" t="n">
        <v>43048</v>
      </c>
      <c r="G5645" s="30" t="n">
        <v>43053</v>
      </c>
      <c r="H5645" s="26" t="n">
        <f aca="false">G5645-F5645</f>
        <v>5</v>
      </c>
      <c r="I5645" s="10" t="n">
        <f aca="false">IF(E5645="Won",1,0)</f>
        <v>1</v>
      </c>
    </row>
    <row r="5646" customFormat="false" ht="15" hidden="false" customHeight="false" outlineLevel="0" collapsed="false">
      <c r="A5646" s="10" t="s">
        <v>7987</v>
      </c>
      <c r="B5646" s="10" t="s">
        <v>94</v>
      </c>
      <c r="C5646" s="10" t="s">
        <v>51</v>
      </c>
      <c r="D5646" s="10" t="s">
        <v>348</v>
      </c>
      <c r="E5646" s="10" t="s">
        <v>2345</v>
      </c>
      <c r="F5646" s="30" t="n">
        <v>42986</v>
      </c>
      <c r="G5646" s="30" t="n">
        <v>43053</v>
      </c>
      <c r="H5646" s="26" t="n">
        <f aca="false">G5646-F5646</f>
        <v>67</v>
      </c>
      <c r="I5646" s="10" t="n">
        <f aca="false">IF(E5646="Won",1,0)</f>
        <v>0</v>
      </c>
    </row>
    <row r="5647" customFormat="false" ht="15" hidden="false" customHeight="false" outlineLevel="0" collapsed="false">
      <c r="A5647" s="10" t="s">
        <v>7988</v>
      </c>
      <c r="B5647" s="10" t="s">
        <v>77</v>
      </c>
      <c r="C5647" s="10" t="s">
        <v>48</v>
      </c>
      <c r="D5647" s="10" t="s">
        <v>947</v>
      </c>
      <c r="E5647" s="10" t="s">
        <v>2342</v>
      </c>
      <c r="F5647" s="30" t="n">
        <v>42970</v>
      </c>
      <c r="G5647" s="30" t="n">
        <v>43053</v>
      </c>
      <c r="H5647" s="26" t="n">
        <f aca="false">G5647-F5647</f>
        <v>83</v>
      </c>
      <c r="I5647" s="10" t="n">
        <f aca="false">IF(E5647="Won",1,0)</f>
        <v>1</v>
      </c>
    </row>
    <row r="5648" customFormat="false" ht="15" hidden="false" customHeight="false" outlineLevel="0" collapsed="false">
      <c r="A5648" s="10" t="s">
        <v>7989</v>
      </c>
      <c r="B5648" s="10" t="s">
        <v>86</v>
      </c>
      <c r="C5648" s="10" t="s">
        <v>48</v>
      </c>
      <c r="D5648" s="10" t="s">
        <v>215</v>
      </c>
      <c r="E5648" s="10" t="s">
        <v>2342</v>
      </c>
      <c r="F5648" s="30" t="n">
        <v>42976</v>
      </c>
      <c r="G5648" s="30" t="n">
        <v>43054</v>
      </c>
      <c r="H5648" s="26" t="n">
        <f aca="false">G5648-F5648</f>
        <v>78</v>
      </c>
      <c r="I5648" s="10" t="n">
        <f aca="false">IF(E5648="Won",1,0)</f>
        <v>1</v>
      </c>
    </row>
    <row r="5649" customFormat="false" ht="15" hidden="false" customHeight="false" outlineLevel="0" collapsed="false">
      <c r="A5649" s="10" t="s">
        <v>7990</v>
      </c>
      <c r="B5649" s="10" t="s">
        <v>77</v>
      </c>
      <c r="C5649" s="10" t="s">
        <v>48</v>
      </c>
      <c r="D5649" s="10" t="s">
        <v>414</v>
      </c>
      <c r="E5649" s="10" t="s">
        <v>2345</v>
      </c>
      <c r="F5649" s="30" t="n">
        <v>42977</v>
      </c>
      <c r="G5649" s="30" t="n">
        <v>43054</v>
      </c>
      <c r="H5649" s="26" t="n">
        <f aca="false">G5649-F5649</f>
        <v>77</v>
      </c>
      <c r="I5649" s="10" t="n">
        <f aca="false">IF(E5649="Won",1,0)</f>
        <v>0</v>
      </c>
    </row>
    <row r="5650" customFormat="false" ht="15" hidden="false" customHeight="false" outlineLevel="0" collapsed="false">
      <c r="A5650" s="10" t="s">
        <v>7991</v>
      </c>
      <c r="B5650" s="10" t="s">
        <v>95</v>
      </c>
      <c r="C5650" s="10" t="s">
        <v>48</v>
      </c>
      <c r="D5650" s="10" t="s">
        <v>396</v>
      </c>
      <c r="E5650" s="10" t="s">
        <v>2342</v>
      </c>
      <c r="F5650" s="30" t="n">
        <v>42970</v>
      </c>
      <c r="G5650" s="30" t="n">
        <v>43054</v>
      </c>
      <c r="H5650" s="26" t="n">
        <f aca="false">G5650-F5650</f>
        <v>84</v>
      </c>
      <c r="I5650" s="10" t="n">
        <f aca="false">IF(E5650="Won",1,0)</f>
        <v>1</v>
      </c>
    </row>
    <row r="5651" customFormat="false" ht="15" hidden="false" customHeight="false" outlineLevel="0" collapsed="false">
      <c r="A5651" s="10" t="s">
        <v>7992</v>
      </c>
      <c r="B5651" s="10" t="s">
        <v>83</v>
      </c>
      <c r="C5651" s="10" t="s">
        <v>48</v>
      </c>
      <c r="D5651" s="10" t="s">
        <v>369</v>
      </c>
      <c r="E5651" s="10" t="s">
        <v>2345</v>
      </c>
      <c r="F5651" s="30" t="n">
        <v>42987</v>
      </c>
      <c r="G5651" s="30" t="n">
        <v>43054</v>
      </c>
      <c r="H5651" s="26" t="n">
        <f aca="false">G5651-F5651</f>
        <v>67</v>
      </c>
      <c r="I5651" s="10" t="n">
        <f aca="false">IF(E5651="Won",1,0)</f>
        <v>0</v>
      </c>
    </row>
    <row r="5652" customFormat="false" ht="15" hidden="false" customHeight="false" outlineLevel="0" collapsed="false">
      <c r="A5652" s="10" t="s">
        <v>7993</v>
      </c>
      <c r="B5652" s="10" t="s">
        <v>62</v>
      </c>
      <c r="C5652" s="10" t="s">
        <v>51</v>
      </c>
      <c r="D5652" s="10" t="s">
        <v>1118</v>
      </c>
      <c r="E5652" s="10" t="s">
        <v>2342</v>
      </c>
      <c r="F5652" s="30" t="n">
        <v>42934</v>
      </c>
      <c r="G5652" s="30" t="n">
        <v>43054</v>
      </c>
      <c r="H5652" s="26" t="n">
        <f aca="false">G5652-F5652</f>
        <v>120</v>
      </c>
      <c r="I5652" s="10" t="n">
        <f aca="false">IF(E5652="Won",1,0)</f>
        <v>1</v>
      </c>
    </row>
    <row r="5653" customFormat="false" ht="15" hidden="false" customHeight="false" outlineLevel="0" collapsed="false">
      <c r="A5653" s="10" t="s">
        <v>7994</v>
      </c>
      <c r="B5653" s="10" t="s">
        <v>97</v>
      </c>
      <c r="C5653" s="10" t="s">
        <v>50</v>
      </c>
      <c r="D5653" s="10" t="s">
        <v>432</v>
      </c>
      <c r="E5653" s="10" t="s">
        <v>2345</v>
      </c>
      <c r="F5653" s="30" t="n">
        <v>43038</v>
      </c>
      <c r="G5653" s="30" t="n">
        <v>43054</v>
      </c>
      <c r="H5653" s="26" t="n">
        <f aca="false">G5653-F5653</f>
        <v>16</v>
      </c>
      <c r="I5653" s="10" t="n">
        <f aca="false">IF(E5653="Won",1,0)</f>
        <v>0</v>
      </c>
    </row>
    <row r="5654" customFormat="false" ht="15" hidden="false" customHeight="false" outlineLevel="0" collapsed="false">
      <c r="A5654" s="10" t="s">
        <v>7995</v>
      </c>
      <c r="B5654" s="10" t="s">
        <v>77</v>
      </c>
      <c r="C5654" s="10" t="s">
        <v>48</v>
      </c>
      <c r="D5654" s="10" t="s">
        <v>291</v>
      </c>
      <c r="E5654" s="10" t="s">
        <v>2345</v>
      </c>
      <c r="F5654" s="30" t="n">
        <v>42990</v>
      </c>
      <c r="G5654" s="30" t="n">
        <v>43054</v>
      </c>
      <c r="H5654" s="26" t="n">
        <f aca="false">G5654-F5654</f>
        <v>64</v>
      </c>
      <c r="I5654" s="10" t="n">
        <f aca="false">IF(E5654="Won",1,0)</f>
        <v>0</v>
      </c>
    </row>
    <row r="5655" customFormat="false" ht="15" hidden="false" customHeight="false" outlineLevel="0" collapsed="false">
      <c r="A5655" s="10" t="s">
        <v>7996</v>
      </c>
      <c r="B5655" s="10" t="s">
        <v>94</v>
      </c>
      <c r="C5655" s="10" t="s">
        <v>51</v>
      </c>
      <c r="D5655" s="10" t="s">
        <v>606</v>
      </c>
      <c r="E5655" s="10" t="s">
        <v>2342</v>
      </c>
      <c r="F5655" s="30" t="n">
        <v>42944</v>
      </c>
      <c r="G5655" s="30" t="n">
        <v>43054</v>
      </c>
      <c r="H5655" s="26" t="n">
        <f aca="false">G5655-F5655</f>
        <v>110</v>
      </c>
      <c r="I5655" s="10" t="n">
        <f aca="false">IF(E5655="Won",1,0)</f>
        <v>1</v>
      </c>
    </row>
    <row r="5656" customFormat="false" ht="15" hidden="false" customHeight="false" outlineLevel="0" collapsed="false">
      <c r="A5656" s="10" t="s">
        <v>7997</v>
      </c>
      <c r="B5656" s="10" t="s">
        <v>71</v>
      </c>
      <c r="C5656" s="10" t="s">
        <v>47</v>
      </c>
      <c r="D5656" s="10" t="s">
        <v>193</v>
      </c>
      <c r="E5656" s="10" t="s">
        <v>2342</v>
      </c>
      <c r="F5656" s="30" t="n">
        <v>43053</v>
      </c>
      <c r="G5656" s="30" t="n">
        <v>43054</v>
      </c>
      <c r="H5656" s="26" t="n">
        <f aca="false">G5656-F5656</f>
        <v>1</v>
      </c>
      <c r="I5656" s="10" t="n">
        <f aca="false">IF(E5656="Won",1,0)</f>
        <v>1</v>
      </c>
    </row>
    <row r="5657" customFormat="false" ht="15" hidden="false" customHeight="false" outlineLevel="0" collapsed="false">
      <c r="A5657" s="10" t="s">
        <v>7998</v>
      </c>
      <c r="B5657" s="10" t="s">
        <v>75</v>
      </c>
      <c r="C5657" s="10" t="s">
        <v>51</v>
      </c>
      <c r="D5657" s="10" t="s">
        <v>422</v>
      </c>
      <c r="E5657" s="10" t="s">
        <v>2342</v>
      </c>
      <c r="F5657" s="30" t="n">
        <v>43004</v>
      </c>
      <c r="G5657" s="30" t="n">
        <v>43054</v>
      </c>
      <c r="H5657" s="26" t="n">
        <f aca="false">G5657-F5657</f>
        <v>50</v>
      </c>
      <c r="I5657" s="10" t="n">
        <f aca="false">IF(E5657="Won",1,0)</f>
        <v>1</v>
      </c>
    </row>
    <row r="5658" customFormat="false" ht="15" hidden="false" customHeight="false" outlineLevel="0" collapsed="false">
      <c r="A5658" s="10" t="s">
        <v>7999</v>
      </c>
      <c r="B5658" s="10" t="s">
        <v>70</v>
      </c>
      <c r="C5658" s="10" t="s">
        <v>48</v>
      </c>
      <c r="D5658" s="10" t="s">
        <v>286</v>
      </c>
      <c r="E5658" s="10" t="s">
        <v>2342</v>
      </c>
      <c r="F5658" s="30" t="n">
        <v>42992</v>
      </c>
      <c r="G5658" s="30" t="n">
        <v>43054</v>
      </c>
      <c r="H5658" s="26" t="n">
        <f aca="false">G5658-F5658</f>
        <v>62</v>
      </c>
      <c r="I5658" s="10" t="n">
        <f aca="false">IF(E5658="Won",1,0)</f>
        <v>1</v>
      </c>
    </row>
    <row r="5659" customFormat="false" ht="15" hidden="false" customHeight="false" outlineLevel="0" collapsed="false">
      <c r="A5659" s="10" t="s">
        <v>8000</v>
      </c>
      <c r="B5659" s="10" t="s">
        <v>71</v>
      </c>
      <c r="C5659" s="10" t="s">
        <v>47</v>
      </c>
      <c r="D5659" s="10" t="s">
        <v>291</v>
      </c>
      <c r="E5659" s="10" t="s">
        <v>2345</v>
      </c>
      <c r="F5659" s="30" t="n">
        <v>42962</v>
      </c>
      <c r="G5659" s="30" t="n">
        <v>43054</v>
      </c>
      <c r="H5659" s="26" t="n">
        <f aca="false">G5659-F5659</f>
        <v>92</v>
      </c>
      <c r="I5659" s="10" t="n">
        <f aca="false">IF(E5659="Won",1,0)</f>
        <v>0</v>
      </c>
    </row>
    <row r="5660" customFormat="false" ht="15" hidden="false" customHeight="false" outlineLevel="0" collapsed="false">
      <c r="A5660" s="10" t="s">
        <v>8001</v>
      </c>
      <c r="B5660" s="10" t="s">
        <v>61</v>
      </c>
      <c r="C5660" s="10" t="s">
        <v>48</v>
      </c>
      <c r="D5660" s="10" t="s">
        <v>359</v>
      </c>
      <c r="E5660" s="10" t="s">
        <v>2342</v>
      </c>
      <c r="F5660" s="30" t="n">
        <v>42996</v>
      </c>
      <c r="G5660" s="30" t="n">
        <v>43054</v>
      </c>
      <c r="H5660" s="26" t="n">
        <f aca="false">G5660-F5660</f>
        <v>58</v>
      </c>
      <c r="I5660" s="10" t="n">
        <f aca="false">IF(E5660="Won",1,0)</f>
        <v>1</v>
      </c>
    </row>
    <row r="5661" customFormat="false" ht="15" hidden="false" customHeight="false" outlineLevel="0" collapsed="false">
      <c r="A5661" s="10" t="s">
        <v>8002</v>
      </c>
      <c r="B5661" s="10" t="s">
        <v>96</v>
      </c>
      <c r="C5661" s="10" t="s">
        <v>50</v>
      </c>
      <c r="D5661" s="10" t="s">
        <v>233</v>
      </c>
      <c r="E5661" s="10" t="s">
        <v>2342</v>
      </c>
      <c r="F5661" s="30" t="n">
        <v>43051</v>
      </c>
      <c r="G5661" s="30" t="n">
        <v>43054</v>
      </c>
      <c r="H5661" s="26" t="n">
        <f aca="false">G5661-F5661</f>
        <v>3</v>
      </c>
      <c r="I5661" s="10" t="n">
        <f aca="false">IF(E5661="Won",1,0)</f>
        <v>1</v>
      </c>
    </row>
    <row r="5662" customFormat="false" ht="15" hidden="false" customHeight="false" outlineLevel="0" collapsed="false">
      <c r="A5662" s="10" t="s">
        <v>8003</v>
      </c>
      <c r="B5662" s="10" t="s">
        <v>73</v>
      </c>
      <c r="C5662" s="10" t="s">
        <v>47</v>
      </c>
      <c r="D5662" s="10" t="s">
        <v>762</v>
      </c>
      <c r="E5662" s="10" t="s">
        <v>2345</v>
      </c>
      <c r="F5662" s="30" t="n">
        <v>43040</v>
      </c>
      <c r="G5662" s="30" t="n">
        <v>43054</v>
      </c>
      <c r="H5662" s="26" t="n">
        <f aca="false">G5662-F5662</f>
        <v>14</v>
      </c>
      <c r="I5662" s="10" t="n">
        <f aca="false">IF(E5662="Won",1,0)</f>
        <v>0</v>
      </c>
    </row>
    <row r="5663" customFormat="false" ht="15" hidden="false" customHeight="false" outlineLevel="0" collapsed="false">
      <c r="A5663" s="10" t="s">
        <v>8004</v>
      </c>
      <c r="B5663" s="10" t="s">
        <v>97</v>
      </c>
      <c r="C5663" s="10" t="s">
        <v>51</v>
      </c>
      <c r="D5663" s="10" t="s">
        <v>286</v>
      </c>
      <c r="E5663" s="10" t="s">
        <v>2342</v>
      </c>
      <c r="F5663" s="30" t="n">
        <v>42960</v>
      </c>
      <c r="G5663" s="30" t="n">
        <v>43054</v>
      </c>
      <c r="H5663" s="26" t="n">
        <f aca="false">G5663-F5663</f>
        <v>94</v>
      </c>
      <c r="I5663" s="10" t="n">
        <f aca="false">IF(E5663="Won",1,0)</f>
        <v>1</v>
      </c>
    </row>
    <row r="5664" customFormat="false" ht="15" hidden="false" customHeight="false" outlineLevel="0" collapsed="false">
      <c r="A5664" s="10" t="s">
        <v>8005</v>
      </c>
      <c r="B5664" s="10" t="s">
        <v>97</v>
      </c>
      <c r="C5664" s="10" t="s">
        <v>50</v>
      </c>
      <c r="D5664" s="10" t="s">
        <v>424</v>
      </c>
      <c r="E5664" s="10" t="s">
        <v>2345</v>
      </c>
      <c r="F5664" s="30" t="n">
        <v>43051</v>
      </c>
      <c r="G5664" s="30" t="n">
        <v>43054</v>
      </c>
      <c r="H5664" s="26" t="n">
        <f aca="false">G5664-F5664</f>
        <v>3</v>
      </c>
      <c r="I5664" s="10" t="n">
        <f aca="false">IF(E5664="Won",1,0)</f>
        <v>0</v>
      </c>
    </row>
    <row r="5665" customFormat="false" ht="15" hidden="false" customHeight="false" outlineLevel="0" collapsed="false">
      <c r="A5665" s="10" t="s">
        <v>8006</v>
      </c>
      <c r="B5665" s="10" t="s">
        <v>94</v>
      </c>
      <c r="C5665" s="10" t="s">
        <v>51</v>
      </c>
      <c r="D5665" s="10" t="s">
        <v>233</v>
      </c>
      <c r="E5665" s="10" t="s">
        <v>2345</v>
      </c>
      <c r="F5665" s="30" t="n">
        <v>42974</v>
      </c>
      <c r="G5665" s="30" t="n">
        <v>43055</v>
      </c>
      <c r="H5665" s="26" t="n">
        <f aca="false">G5665-F5665</f>
        <v>81</v>
      </c>
      <c r="I5665" s="10" t="n">
        <f aca="false">IF(E5665="Won",1,0)</f>
        <v>0</v>
      </c>
    </row>
    <row r="5666" customFormat="false" ht="15" hidden="false" customHeight="false" outlineLevel="0" collapsed="false">
      <c r="A5666" s="10" t="s">
        <v>8007</v>
      </c>
      <c r="B5666" s="10" t="s">
        <v>96</v>
      </c>
      <c r="C5666" s="10" t="s">
        <v>47</v>
      </c>
      <c r="D5666" s="10" t="s">
        <v>170</v>
      </c>
      <c r="E5666" s="10" t="s">
        <v>2342</v>
      </c>
      <c r="F5666" s="30" t="n">
        <v>42991</v>
      </c>
      <c r="G5666" s="30" t="n">
        <v>43055</v>
      </c>
      <c r="H5666" s="26" t="n">
        <f aca="false">G5666-F5666</f>
        <v>64</v>
      </c>
      <c r="I5666" s="10" t="n">
        <f aca="false">IF(E5666="Won",1,0)</f>
        <v>1</v>
      </c>
    </row>
    <row r="5667" customFormat="false" ht="15" hidden="false" customHeight="false" outlineLevel="0" collapsed="false">
      <c r="A5667" s="10" t="s">
        <v>8008</v>
      </c>
      <c r="B5667" s="10" t="s">
        <v>80</v>
      </c>
      <c r="C5667" s="10" t="s">
        <v>52</v>
      </c>
      <c r="D5667" s="10" t="s">
        <v>527</v>
      </c>
      <c r="E5667" s="10" t="s">
        <v>2345</v>
      </c>
      <c r="F5667" s="30" t="n">
        <v>43011</v>
      </c>
      <c r="G5667" s="30" t="n">
        <v>43055</v>
      </c>
      <c r="H5667" s="26" t="n">
        <f aca="false">G5667-F5667</f>
        <v>44</v>
      </c>
      <c r="I5667" s="10" t="n">
        <f aca="false">IF(E5667="Won",1,0)</f>
        <v>0</v>
      </c>
    </row>
    <row r="5668" customFormat="false" ht="15" hidden="false" customHeight="false" outlineLevel="0" collapsed="false">
      <c r="A5668" s="10" t="s">
        <v>8009</v>
      </c>
      <c r="B5668" s="10" t="s">
        <v>61</v>
      </c>
      <c r="C5668" s="10" t="s">
        <v>50</v>
      </c>
      <c r="D5668" s="10" t="s">
        <v>1118</v>
      </c>
      <c r="E5668" s="10" t="s">
        <v>2342</v>
      </c>
      <c r="F5668" s="30" t="n">
        <v>42979</v>
      </c>
      <c r="G5668" s="30" t="n">
        <v>43055</v>
      </c>
      <c r="H5668" s="26" t="n">
        <f aca="false">G5668-F5668</f>
        <v>76</v>
      </c>
      <c r="I5668" s="10" t="n">
        <f aca="false">IF(E5668="Won",1,0)</f>
        <v>1</v>
      </c>
    </row>
    <row r="5669" customFormat="false" ht="15" hidden="false" customHeight="false" outlineLevel="0" collapsed="false">
      <c r="A5669" s="10" t="s">
        <v>8010</v>
      </c>
      <c r="B5669" s="10" t="s">
        <v>60</v>
      </c>
      <c r="C5669" s="10" t="s">
        <v>49</v>
      </c>
      <c r="D5669" s="10" t="s">
        <v>215</v>
      </c>
      <c r="E5669" s="10" t="s">
        <v>2342</v>
      </c>
      <c r="F5669" s="30" t="n">
        <v>42990</v>
      </c>
      <c r="G5669" s="30" t="n">
        <v>43055</v>
      </c>
      <c r="H5669" s="26" t="n">
        <f aca="false">G5669-F5669</f>
        <v>65</v>
      </c>
      <c r="I5669" s="10" t="n">
        <f aca="false">IF(E5669="Won",1,0)</f>
        <v>1</v>
      </c>
    </row>
    <row r="5670" customFormat="false" ht="15" hidden="false" customHeight="false" outlineLevel="0" collapsed="false">
      <c r="A5670" s="10" t="s">
        <v>8011</v>
      </c>
      <c r="B5670" s="10" t="s">
        <v>93</v>
      </c>
      <c r="C5670" s="10" t="s">
        <v>51</v>
      </c>
      <c r="D5670" s="10" t="s">
        <v>606</v>
      </c>
      <c r="E5670" s="10" t="s">
        <v>2342</v>
      </c>
      <c r="F5670" s="30" t="n">
        <v>42988</v>
      </c>
      <c r="G5670" s="30" t="n">
        <v>43055</v>
      </c>
      <c r="H5670" s="26" t="n">
        <f aca="false">G5670-F5670</f>
        <v>67</v>
      </c>
      <c r="I5670" s="10" t="n">
        <f aca="false">IF(E5670="Won",1,0)</f>
        <v>1</v>
      </c>
    </row>
    <row r="5671" customFormat="false" ht="15" hidden="false" customHeight="false" outlineLevel="0" collapsed="false">
      <c r="A5671" s="10" t="s">
        <v>8012</v>
      </c>
      <c r="B5671" s="10" t="s">
        <v>90</v>
      </c>
      <c r="C5671" s="10" t="s">
        <v>51</v>
      </c>
      <c r="D5671" s="10" t="s">
        <v>674</v>
      </c>
      <c r="E5671" s="10" t="s">
        <v>2342</v>
      </c>
      <c r="F5671" s="30" t="n">
        <v>43041</v>
      </c>
      <c r="G5671" s="30" t="n">
        <v>43055</v>
      </c>
      <c r="H5671" s="26" t="n">
        <f aca="false">G5671-F5671</f>
        <v>14</v>
      </c>
      <c r="I5671" s="10" t="n">
        <f aca="false">IF(E5671="Won",1,0)</f>
        <v>1</v>
      </c>
    </row>
    <row r="5672" customFormat="false" ht="15" hidden="false" customHeight="false" outlineLevel="0" collapsed="false">
      <c r="A5672" s="10" t="s">
        <v>8013</v>
      </c>
      <c r="B5672" s="10" t="s">
        <v>68</v>
      </c>
      <c r="C5672" s="10" t="s">
        <v>48</v>
      </c>
      <c r="D5672" s="10" t="s">
        <v>396</v>
      </c>
      <c r="E5672" s="10" t="s">
        <v>2342</v>
      </c>
      <c r="F5672" s="30" t="n">
        <v>42985</v>
      </c>
      <c r="G5672" s="30" t="n">
        <v>43055</v>
      </c>
      <c r="H5672" s="26" t="n">
        <f aca="false">G5672-F5672</f>
        <v>70</v>
      </c>
      <c r="I5672" s="10" t="n">
        <f aca="false">IF(E5672="Won",1,0)</f>
        <v>1</v>
      </c>
    </row>
    <row r="5673" customFormat="false" ht="15" hidden="false" customHeight="false" outlineLevel="0" collapsed="false">
      <c r="A5673" s="10" t="s">
        <v>8014</v>
      </c>
      <c r="B5673" s="10" t="s">
        <v>88</v>
      </c>
      <c r="C5673" s="10" t="s">
        <v>47</v>
      </c>
      <c r="D5673" s="10" t="s">
        <v>254</v>
      </c>
      <c r="E5673" s="10" t="s">
        <v>2345</v>
      </c>
      <c r="F5673" s="30" t="n">
        <v>43002</v>
      </c>
      <c r="G5673" s="30" t="n">
        <v>43055</v>
      </c>
      <c r="H5673" s="26" t="n">
        <f aca="false">G5673-F5673</f>
        <v>53</v>
      </c>
      <c r="I5673" s="10" t="n">
        <f aca="false">IF(E5673="Won",1,0)</f>
        <v>0</v>
      </c>
    </row>
    <row r="5674" customFormat="false" ht="15" hidden="false" customHeight="false" outlineLevel="0" collapsed="false">
      <c r="A5674" s="10" t="s">
        <v>8015</v>
      </c>
      <c r="B5674" s="10" t="s">
        <v>69</v>
      </c>
      <c r="C5674" s="10" t="s">
        <v>52</v>
      </c>
      <c r="D5674" s="10" t="s">
        <v>233</v>
      </c>
      <c r="E5674" s="10" t="s">
        <v>2342</v>
      </c>
      <c r="F5674" s="30" t="n">
        <v>42973</v>
      </c>
      <c r="G5674" s="30" t="n">
        <v>43055</v>
      </c>
      <c r="H5674" s="26" t="n">
        <f aca="false">G5674-F5674</f>
        <v>82</v>
      </c>
      <c r="I5674" s="10" t="n">
        <f aca="false">IF(E5674="Won",1,0)</f>
        <v>1</v>
      </c>
    </row>
    <row r="5675" customFormat="false" ht="15" hidden="false" customHeight="false" outlineLevel="0" collapsed="false">
      <c r="A5675" s="10" t="s">
        <v>8016</v>
      </c>
      <c r="B5675" s="10" t="s">
        <v>87</v>
      </c>
      <c r="C5675" s="10" t="s">
        <v>50</v>
      </c>
      <c r="D5675" s="10" t="s">
        <v>1334</v>
      </c>
      <c r="E5675" s="10" t="s">
        <v>2345</v>
      </c>
      <c r="F5675" s="30" t="n">
        <v>43049</v>
      </c>
      <c r="G5675" s="30" t="n">
        <v>43055</v>
      </c>
      <c r="H5675" s="26" t="n">
        <f aca="false">G5675-F5675</f>
        <v>6</v>
      </c>
      <c r="I5675" s="10" t="n">
        <f aca="false">IF(E5675="Won",1,0)</f>
        <v>0</v>
      </c>
    </row>
    <row r="5676" customFormat="false" ht="15" hidden="false" customHeight="false" outlineLevel="0" collapsed="false">
      <c r="A5676" s="10" t="s">
        <v>8017</v>
      </c>
      <c r="B5676" s="10" t="s">
        <v>86</v>
      </c>
      <c r="C5676" s="10" t="s">
        <v>51</v>
      </c>
      <c r="D5676" s="10" t="s">
        <v>293</v>
      </c>
      <c r="E5676" s="10" t="s">
        <v>2342</v>
      </c>
      <c r="F5676" s="30" t="n">
        <v>42963</v>
      </c>
      <c r="G5676" s="30" t="n">
        <v>43055</v>
      </c>
      <c r="H5676" s="26" t="n">
        <f aca="false">G5676-F5676</f>
        <v>92</v>
      </c>
      <c r="I5676" s="10" t="n">
        <f aca="false">IF(E5676="Won",1,0)</f>
        <v>1</v>
      </c>
    </row>
    <row r="5677" customFormat="false" ht="15" hidden="false" customHeight="false" outlineLevel="0" collapsed="false">
      <c r="A5677" s="10" t="s">
        <v>8018</v>
      </c>
      <c r="B5677" s="10" t="s">
        <v>66</v>
      </c>
      <c r="C5677" s="10" t="s">
        <v>52</v>
      </c>
      <c r="D5677" s="10" t="s">
        <v>384</v>
      </c>
      <c r="E5677" s="10" t="s">
        <v>2342</v>
      </c>
      <c r="F5677" s="30" t="n">
        <v>43044</v>
      </c>
      <c r="G5677" s="30" t="n">
        <v>43055</v>
      </c>
      <c r="H5677" s="26" t="n">
        <f aca="false">G5677-F5677</f>
        <v>11</v>
      </c>
      <c r="I5677" s="10" t="n">
        <f aca="false">IF(E5677="Won",1,0)</f>
        <v>1</v>
      </c>
    </row>
    <row r="5678" customFormat="false" ht="15" hidden="false" customHeight="false" outlineLevel="0" collapsed="false">
      <c r="A5678" s="10" t="s">
        <v>8019</v>
      </c>
      <c r="B5678" s="10" t="s">
        <v>93</v>
      </c>
      <c r="C5678" s="10" t="s">
        <v>51</v>
      </c>
      <c r="D5678" s="10" t="s">
        <v>326</v>
      </c>
      <c r="E5678" s="10" t="s">
        <v>2345</v>
      </c>
      <c r="F5678" s="30" t="n">
        <v>43053</v>
      </c>
      <c r="G5678" s="30" t="n">
        <v>43055</v>
      </c>
      <c r="H5678" s="26" t="n">
        <f aca="false">G5678-F5678</f>
        <v>2</v>
      </c>
      <c r="I5678" s="10" t="n">
        <f aca="false">IF(E5678="Won",1,0)</f>
        <v>0</v>
      </c>
    </row>
    <row r="5679" customFormat="false" ht="15" hidden="false" customHeight="false" outlineLevel="0" collapsed="false">
      <c r="A5679" s="10" t="s">
        <v>8020</v>
      </c>
      <c r="B5679" s="10" t="s">
        <v>75</v>
      </c>
      <c r="C5679" s="10" t="s">
        <v>52</v>
      </c>
      <c r="D5679" s="10" t="s">
        <v>524</v>
      </c>
      <c r="E5679" s="10" t="s">
        <v>2345</v>
      </c>
      <c r="F5679" s="30" t="n">
        <v>42976</v>
      </c>
      <c r="G5679" s="30" t="n">
        <v>43055</v>
      </c>
      <c r="H5679" s="26" t="n">
        <f aca="false">G5679-F5679</f>
        <v>79</v>
      </c>
      <c r="I5679" s="10" t="n">
        <f aca="false">IF(E5679="Won",1,0)</f>
        <v>0</v>
      </c>
    </row>
    <row r="5680" customFormat="false" ht="15" hidden="false" customHeight="false" outlineLevel="0" collapsed="false">
      <c r="A5680" s="10" t="s">
        <v>8021</v>
      </c>
      <c r="B5680" s="10" t="s">
        <v>76</v>
      </c>
      <c r="C5680" s="10" t="s">
        <v>52</v>
      </c>
      <c r="D5680" s="10" t="s">
        <v>353</v>
      </c>
      <c r="E5680" s="10" t="s">
        <v>2342</v>
      </c>
      <c r="F5680" s="30" t="n">
        <v>42977</v>
      </c>
      <c r="G5680" s="30" t="n">
        <v>43055</v>
      </c>
      <c r="H5680" s="26" t="n">
        <f aca="false">G5680-F5680</f>
        <v>78</v>
      </c>
      <c r="I5680" s="10" t="n">
        <f aca="false">IF(E5680="Won",1,0)</f>
        <v>1</v>
      </c>
    </row>
    <row r="5681" customFormat="false" ht="15" hidden="false" customHeight="false" outlineLevel="0" collapsed="false">
      <c r="A5681" s="10" t="s">
        <v>8022</v>
      </c>
      <c r="B5681" s="10" t="s">
        <v>80</v>
      </c>
      <c r="C5681" s="10" t="s">
        <v>48</v>
      </c>
      <c r="D5681" s="10" t="s">
        <v>193</v>
      </c>
      <c r="E5681" s="10" t="s">
        <v>2345</v>
      </c>
      <c r="F5681" s="30" t="n">
        <v>43047</v>
      </c>
      <c r="G5681" s="30" t="n">
        <v>43055</v>
      </c>
      <c r="H5681" s="26" t="n">
        <f aca="false">G5681-F5681</f>
        <v>8</v>
      </c>
      <c r="I5681" s="10" t="n">
        <f aca="false">IF(E5681="Won",1,0)</f>
        <v>0</v>
      </c>
    </row>
    <row r="5682" customFormat="false" ht="15" hidden="false" customHeight="false" outlineLevel="0" collapsed="false">
      <c r="A5682" s="10" t="s">
        <v>8023</v>
      </c>
      <c r="B5682" s="10" t="s">
        <v>77</v>
      </c>
      <c r="C5682" s="10" t="s">
        <v>49</v>
      </c>
      <c r="D5682" s="10" t="s">
        <v>259</v>
      </c>
      <c r="E5682" s="10" t="s">
        <v>2345</v>
      </c>
      <c r="F5682" s="30" t="n">
        <v>42993</v>
      </c>
      <c r="G5682" s="30" t="n">
        <v>43055</v>
      </c>
      <c r="H5682" s="26" t="n">
        <f aca="false">G5682-F5682</f>
        <v>62</v>
      </c>
      <c r="I5682" s="10" t="n">
        <f aca="false">IF(E5682="Won",1,0)</f>
        <v>0</v>
      </c>
    </row>
    <row r="5683" customFormat="false" ht="15" hidden="false" customHeight="false" outlineLevel="0" collapsed="false">
      <c r="A5683" s="10" t="s">
        <v>8024</v>
      </c>
      <c r="B5683" s="10" t="s">
        <v>95</v>
      </c>
      <c r="C5683" s="10" t="s">
        <v>48</v>
      </c>
      <c r="D5683" s="10" t="s">
        <v>233</v>
      </c>
      <c r="E5683" s="10" t="s">
        <v>2345</v>
      </c>
      <c r="F5683" s="30" t="n">
        <v>42977</v>
      </c>
      <c r="G5683" s="30" t="n">
        <v>43055</v>
      </c>
      <c r="H5683" s="26" t="n">
        <f aca="false">G5683-F5683</f>
        <v>78</v>
      </c>
      <c r="I5683" s="10" t="n">
        <f aca="false">IF(E5683="Won",1,0)</f>
        <v>0</v>
      </c>
    </row>
    <row r="5684" customFormat="false" ht="15" hidden="false" customHeight="false" outlineLevel="0" collapsed="false">
      <c r="A5684" s="10" t="s">
        <v>8025</v>
      </c>
      <c r="B5684" s="10" t="s">
        <v>79</v>
      </c>
      <c r="C5684" s="10" t="s">
        <v>51</v>
      </c>
      <c r="D5684" s="10" t="s">
        <v>410</v>
      </c>
      <c r="E5684" s="10" t="s">
        <v>2345</v>
      </c>
      <c r="F5684" s="30" t="n">
        <v>43044</v>
      </c>
      <c r="G5684" s="30" t="n">
        <v>43055</v>
      </c>
      <c r="H5684" s="26" t="n">
        <f aca="false">G5684-F5684</f>
        <v>11</v>
      </c>
      <c r="I5684" s="10" t="n">
        <f aca="false">IF(E5684="Won",1,0)</f>
        <v>0</v>
      </c>
    </row>
    <row r="5685" customFormat="false" ht="15" hidden="false" customHeight="false" outlineLevel="0" collapsed="false">
      <c r="A5685" s="10" t="s">
        <v>8026</v>
      </c>
      <c r="B5685" s="10" t="s">
        <v>90</v>
      </c>
      <c r="C5685" s="10" t="s">
        <v>48</v>
      </c>
      <c r="D5685" s="10" t="s">
        <v>161</v>
      </c>
      <c r="E5685" s="10" t="s">
        <v>2342</v>
      </c>
      <c r="F5685" s="30" t="n">
        <v>42933</v>
      </c>
      <c r="G5685" s="30" t="n">
        <v>43056</v>
      </c>
      <c r="H5685" s="26" t="n">
        <f aca="false">G5685-F5685</f>
        <v>123</v>
      </c>
      <c r="I5685" s="10" t="n">
        <f aca="false">IF(E5685="Won",1,0)</f>
        <v>1</v>
      </c>
    </row>
    <row r="5686" customFormat="false" ht="15" hidden="false" customHeight="false" outlineLevel="0" collapsed="false">
      <c r="A5686" s="10" t="s">
        <v>8027</v>
      </c>
      <c r="B5686" s="10" t="s">
        <v>80</v>
      </c>
      <c r="C5686" s="10" t="s">
        <v>51</v>
      </c>
      <c r="D5686" s="10" t="s">
        <v>1948</v>
      </c>
      <c r="E5686" s="10" t="s">
        <v>2345</v>
      </c>
      <c r="F5686" s="30" t="n">
        <v>42988</v>
      </c>
      <c r="G5686" s="30" t="n">
        <v>43056</v>
      </c>
      <c r="H5686" s="26" t="n">
        <f aca="false">G5686-F5686</f>
        <v>68</v>
      </c>
      <c r="I5686" s="10" t="n">
        <f aca="false">IF(E5686="Won",1,0)</f>
        <v>0</v>
      </c>
    </row>
    <row r="5687" customFormat="false" ht="15" hidden="false" customHeight="false" outlineLevel="0" collapsed="false">
      <c r="A5687" s="10" t="s">
        <v>8028</v>
      </c>
      <c r="B5687" s="10" t="s">
        <v>63</v>
      </c>
      <c r="C5687" s="10" t="s">
        <v>47</v>
      </c>
      <c r="D5687" s="10" t="s">
        <v>218</v>
      </c>
      <c r="E5687" s="10" t="s">
        <v>2345</v>
      </c>
      <c r="F5687" s="30" t="n">
        <v>42985</v>
      </c>
      <c r="G5687" s="30" t="n">
        <v>43056</v>
      </c>
      <c r="H5687" s="26" t="n">
        <f aca="false">G5687-F5687</f>
        <v>71</v>
      </c>
      <c r="I5687" s="10" t="n">
        <f aca="false">IF(E5687="Won",1,0)</f>
        <v>0</v>
      </c>
    </row>
    <row r="5688" customFormat="false" ht="15" hidden="false" customHeight="false" outlineLevel="0" collapsed="false">
      <c r="A5688" s="10" t="s">
        <v>8029</v>
      </c>
      <c r="B5688" s="10" t="s">
        <v>73</v>
      </c>
      <c r="C5688" s="10" t="s">
        <v>49</v>
      </c>
      <c r="D5688" s="10" t="s">
        <v>762</v>
      </c>
      <c r="E5688" s="10" t="s">
        <v>2342</v>
      </c>
      <c r="F5688" s="30" t="n">
        <v>42954</v>
      </c>
      <c r="G5688" s="30" t="n">
        <v>43056</v>
      </c>
      <c r="H5688" s="26" t="n">
        <f aca="false">G5688-F5688</f>
        <v>102</v>
      </c>
      <c r="I5688" s="10" t="n">
        <f aca="false">IF(E5688="Won",1,0)</f>
        <v>1</v>
      </c>
    </row>
    <row r="5689" customFormat="false" ht="15" hidden="false" customHeight="false" outlineLevel="0" collapsed="false">
      <c r="A5689" s="10" t="s">
        <v>8030</v>
      </c>
      <c r="B5689" s="10" t="s">
        <v>61</v>
      </c>
      <c r="C5689" s="10" t="s">
        <v>52</v>
      </c>
      <c r="D5689" s="10" t="s">
        <v>405</v>
      </c>
      <c r="E5689" s="10" t="s">
        <v>2345</v>
      </c>
      <c r="F5689" s="30" t="n">
        <v>42962</v>
      </c>
      <c r="G5689" s="30" t="n">
        <v>43056</v>
      </c>
      <c r="H5689" s="26" t="n">
        <f aca="false">G5689-F5689</f>
        <v>94</v>
      </c>
      <c r="I5689" s="10" t="n">
        <f aca="false">IF(E5689="Won",1,0)</f>
        <v>0</v>
      </c>
    </row>
    <row r="5690" customFormat="false" ht="15" hidden="false" customHeight="false" outlineLevel="0" collapsed="false">
      <c r="A5690" s="10" t="s">
        <v>8031</v>
      </c>
      <c r="B5690" s="10" t="s">
        <v>80</v>
      </c>
      <c r="C5690" s="10" t="s">
        <v>51</v>
      </c>
      <c r="D5690" s="10" t="s">
        <v>193</v>
      </c>
      <c r="E5690" s="10" t="s">
        <v>2345</v>
      </c>
      <c r="F5690" s="30" t="n">
        <v>43040</v>
      </c>
      <c r="G5690" s="30" t="n">
        <v>43056</v>
      </c>
      <c r="H5690" s="26" t="n">
        <f aca="false">G5690-F5690</f>
        <v>16</v>
      </c>
      <c r="I5690" s="10" t="n">
        <f aca="false">IF(E5690="Won",1,0)</f>
        <v>0</v>
      </c>
    </row>
    <row r="5691" customFormat="false" ht="15" hidden="false" customHeight="false" outlineLevel="0" collapsed="false">
      <c r="A5691" s="10" t="s">
        <v>8032</v>
      </c>
      <c r="B5691" s="10" t="s">
        <v>81</v>
      </c>
      <c r="C5691" s="10" t="s">
        <v>50</v>
      </c>
      <c r="D5691" s="10" t="s">
        <v>414</v>
      </c>
      <c r="E5691" s="10" t="s">
        <v>2342</v>
      </c>
      <c r="F5691" s="30" t="n">
        <v>43047</v>
      </c>
      <c r="G5691" s="30" t="n">
        <v>43056</v>
      </c>
      <c r="H5691" s="26" t="n">
        <f aca="false">G5691-F5691</f>
        <v>9</v>
      </c>
      <c r="I5691" s="10" t="n">
        <f aca="false">IF(E5691="Won",1,0)</f>
        <v>1</v>
      </c>
    </row>
    <row r="5692" customFormat="false" ht="15" hidden="false" customHeight="false" outlineLevel="0" collapsed="false">
      <c r="A5692" s="10" t="s">
        <v>8033</v>
      </c>
      <c r="B5692" s="10" t="s">
        <v>96</v>
      </c>
      <c r="C5692" s="10" t="s">
        <v>48</v>
      </c>
      <c r="D5692" s="10" t="s">
        <v>233</v>
      </c>
      <c r="E5692" s="10" t="s">
        <v>2342</v>
      </c>
      <c r="F5692" s="30" t="n">
        <v>42964</v>
      </c>
      <c r="G5692" s="30" t="n">
        <v>43056</v>
      </c>
      <c r="H5692" s="26" t="n">
        <f aca="false">G5692-F5692</f>
        <v>92</v>
      </c>
      <c r="I5692" s="10" t="n">
        <f aca="false">IF(E5692="Won",1,0)</f>
        <v>1</v>
      </c>
    </row>
    <row r="5693" customFormat="false" ht="15" hidden="false" customHeight="false" outlineLevel="0" collapsed="false">
      <c r="A5693" s="10" t="s">
        <v>8034</v>
      </c>
      <c r="B5693" s="10" t="s">
        <v>69</v>
      </c>
      <c r="C5693" s="10" t="s">
        <v>51</v>
      </c>
      <c r="D5693" s="10" t="s">
        <v>227</v>
      </c>
      <c r="E5693" s="10" t="s">
        <v>2342</v>
      </c>
      <c r="F5693" s="30" t="n">
        <v>42971</v>
      </c>
      <c r="G5693" s="30" t="n">
        <v>43056</v>
      </c>
      <c r="H5693" s="26" t="n">
        <f aca="false">G5693-F5693</f>
        <v>85</v>
      </c>
      <c r="I5693" s="10" t="n">
        <f aca="false">IF(E5693="Won",1,0)</f>
        <v>1</v>
      </c>
    </row>
    <row r="5694" customFormat="false" ht="15" hidden="false" customHeight="false" outlineLevel="0" collapsed="false">
      <c r="A5694" s="10" t="s">
        <v>8035</v>
      </c>
      <c r="B5694" s="10" t="s">
        <v>90</v>
      </c>
      <c r="C5694" s="10" t="s">
        <v>49</v>
      </c>
      <c r="D5694" s="10" t="s">
        <v>233</v>
      </c>
      <c r="E5694" s="10" t="s">
        <v>2345</v>
      </c>
      <c r="F5694" s="30" t="n">
        <v>42986</v>
      </c>
      <c r="G5694" s="30" t="n">
        <v>43056</v>
      </c>
      <c r="H5694" s="26" t="n">
        <f aca="false">G5694-F5694</f>
        <v>70</v>
      </c>
      <c r="I5694" s="10" t="n">
        <f aca="false">IF(E5694="Won",1,0)</f>
        <v>0</v>
      </c>
    </row>
    <row r="5695" customFormat="false" ht="15" hidden="false" customHeight="false" outlineLevel="0" collapsed="false">
      <c r="A5695" s="10" t="s">
        <v>8036</v>
      </c>
      <c r="B5695" s="10" t="s">
        <v>73</v>
      </c>
      <c r="C5695" s="10" t="s">
        <v>52</v>
      </c>
      <c r="D5695" s="10" t="s">
        <v>321</v>
      </c>
      <c r="E5695" s="10" t="s">
        <v>2345</v>
      </c>
      <c r="F5695" s="30" t="n">
        <v>42986</v>
      </c>
      <c r="G5695" s="30" t="n">
        <v>43056</v>
      </c>
      <c r="H5695" s="26" t="n">
        <f aca="false">G5695-F5695</f>
        <v>70</v>
      </c>
      <c r="I5695" s="10" t="n">
        <f aca="false">IF(E5695="Won",1,0)</f>
        <v>0</v>
      </c>
    </row>
    <row r="5696" customFormat="false" ht="15" hidden="false" customHeight="false" outlineLevel="0" collapsed="false">
      <c r="A5696" s="10" t="s">
        <v>8037</v>
      </c>
      <c r="B5696" s="10" t="s">
        <v>57</v>
      </c>
      <c r="C5696" s="10" t="s">
        <v>50</v>
      </c>
      <c r="D5696" s="10" t="s">
        <v>247</v>
      </c>
      <c r="E5696" s="10" t="s">
        <v>2342</v>
      </c>
      <c r="F5696" s="30" t="n">
        <v>42983</v>
      </c>
      <c r="G5696" s="30" t="n">
        <v>43056</v>
      </c>
      <c r="H5696" s="26" t="n">
        <f aca="false">G5696-F5696</f>
        <v>73</v>
      </c>
      <c r="I5696" s="10" t="n">
        <f aca="false">IF(E5696="Won",1,0)</f>
        <v>1</v>
      </c>
    </row>
    <row r="5697" customFormat="false" ht="15" hidden="false" customHeight="false" outlineLevel="0" collapsed="false">
      <c r="A5697" s="10" t="s">
        <v>8038</v>
      </c>
      <c r="B5697" s="10" t="s">
        <v>97</v>
      </c>
      <c r="C5697" s="10" t="s">
        <v>52</v>
      </c>
      <c r="D5697" s="10" t="s">
        <v>396</v>
      </c>
      <c r="E5697" s="10" t="s">
        <v>2342</v>
      </c>
      <c r="F5697" s="30" t="n">
        <v>43044</v>
      </c>
      <c r="G5697" s="30" t="n">
        <v>43056</v>
      </c>
      <c r="H5697" s="26" t="n">
        <f aca="false">G5697-F5697</f>
        <v>12</v>
      </c>
      <c r="I5697" s="10" t="n">
        <f aca="false">IF(E5697="Won",1,0)</f>
        <v>1</v>
      </c>
    </row>
    <row r="5698" customFormat="false" ht="15" hidden="false" customHeight="false" outlineLevel="0" collapsed="false">
      <c r="A5698" s="10" t="s">
        <v>8039</v>
      </c>
      <c r="B5698" s="10" t="s">
        <v>79</v>
      </c>
      <c r="C5698" s="10" t="s">
        <v>51</v>
      </c>
      <c r="D5698" s="10" t="s">
        <v>597</v>
      </c>
      <c r="E5698" s="10" t="s">
        <v>2345</v>
      </c>
      <c r="F5698" s="30" t="n">
        <v>42937</v>
      </c>
      <c r="G5698" s="30" t="n">
        <v>43056</v>
      </c>
      <c r="H5698" s="26" t="n">
        <f aca="false">G5698-F5698</f>
        <v>119</v>
      </c>
      <c r="I5698" s="10" t="n">
        <f aca="false">IF(E5698="Won",1,0)</f>
        <v>0</v>
      </c>
    </row>
    <row r="5699" customFormat="false" ht="15" hidden="false" customHeight="false" outlineLevel="0" collapsed="false">
      <c r="A5699" s="10" t="s">
        <v>8040</v>
      </c>
      <c r="B5699" s="10" t="s">
        <v>90</v>
      </c>
      <c r="C5699" s="10" t="s">
        <v>52</v>
      </c>
      <c r="D5699" s="10" t="s">
        <v>1334</v>
      </c>
      <c r="E5699" s="10" t="s">
        <v>2345</v>
      </c>
      <c r="F5699" s="30" t="n">
        <v>43044</v>
      </c>
      <c r="G5699" s="30" t="n">
        <v>43056</v>
      </c>
      <c r="H5699" s="26" t="n">
        <f aca="false">G5699-F5699</f>
        <v>12</v>
      </c>
      <c r="I5699" s="10" t="n">
        <f aca="false">IF(E5699="Won",1,0)</f>
        <v>0</v>
      </c>
    </row>
    <row r="5700" customFormat="false" ht="15" hidden="false" customHeight="false" outlineLevel="0" collapsed="false">
      <c r="A5700" s="10" t="s">
        <v>8041</v>
      </c>
      <c r="B5700" s="10" t="s">
        <v>97</v>
      </c>
      <c r="C5700" s="10" t="s">
        <v>48</v>
      </c>
      <c r="D5700" s="10" t="s">
        <v>522</v>
      </c>
      <c r="E5700" s="10" t="s">
        <v>2342</v>
      </c>
      <c r="F5700" s="30" t="n">
        <v>43051</v>
      </c>
      <c r="G5700" s="30" t="n">
        <v>43056</v>
      </c>
      <c r="H5700" s="26" t="n">
        <f aca="false">G5700-F5700</f>
        <v>5</v>
      </c>
      <c r="I5700" s="10" t="n">
        <f aca="false">IF(E5700="Won",1,0)</f>
        <v>1</v>
      </c>
    </row>
    <row r="5701" customFormat="false" ht="15" hidden="false" customHeight="false" outlineLevel="0" collapsed="false">
      <c r="A5701" s="10" t="s">
        <v>8042</v>
      </c>
      <c r="B5701" s="10" t="s">
        <v>60</v>
      </c>
      <c r="C5701" s="10" t="s">
        <v>47</v>
      </c>
      <c r="D5701" s="10" t="s">
        <v>427</v>
      </c>
      <c r="E5701" s="10" t="s">
        <v>2345</v>
      </c>
      <c r="F5701" s="30" t="n">
        <v>43009</v>
      </c>
      <c r="G5701" s="30" t="n">
        <v>43056</v>
      </c>
      <c r="H5701" s="26" t="n">
        <f aca="false">G5701-F5701</f>
        <v>47</v>
      </c>
      <c r="I5701" s="10" t="n">
        <f aca="false">IF(E5701="Won",1,0)</f>
        <v>0</v>
      </c>
    </row>
    <row r="5702" customFormat="false" ht="15" hidden="false" customHeight="false" outlineLevel="0" collapsed="false">
      <c r="A5702" s="10" t="s">
        <v>8043</v>
      </c>
      <c r="B5702" s="10" t="s">
        <v>77</v>
      </c>
      <c r="C5702" s="10" t="s">
        <v>48</v>
      </c>
      <c r="D5702" s="10" t="s">
        <v>597</v>
      </c>
      <c r="E5702" s="10" t="s">
        <v>2345</v>
      </c>
      <c r="F5702" s="30" t="n">
        <v>42942</v>
      </c>
      <c r="G5702" s="30" t="n">
        <v>43056</v>
      </c>
      <c r="H5702" s="26" t="n">
        <f aca="false">G5702-F5702</f>
        <v>114</v>
      </c>
      <c r="I5702" s="10" t="n">
        <f aca="false">IF(E5702="Won",1,0)</f>
        <v>0</v>
      </c>
    </row>
    <row r="5703" customFormat="false" ht="15" hidden="false" customHeight="false" outlineLevel="0" collapsed="false">
      <c r="A5703" s="10" t="s">
        <v>8044</v>
      </c>
      <c r="B5703" s="10" t="s">
        <v>94</v>
      </c>
      <c r="C5703" s="10" t="s">
        <v>48</v>
      </c>
      <c r="D5703" s="10" t="s">
        <v>233</v>
      </c>
      <c r="E5703" s="10" t="s">
        <v>2345</v>
      </c>
      <c r="F5703" s="30" t="n">
        <v>42991</v>
      </c>
      <c r="G5703" s="30" t="n">
        <v>43056</v>
      </c>
      <c r="H5703" s="26" t="n">
        <f aca="false">G5703-F5703</f>
        <v>65</v>
      </c>
      <c r="I5703" s="10" t="n">
        <f aca="false">IF(E5703="Won",1,0)</f>
        <v>0</v>
      </c>
    </row>
    <row r="5704" customFormat="false" ht="15" hidden="false" customHeight="false" outlineLevel="0" collapsed="false">
      <c r="A5704" s="10" t="s">
        <v>8045</v>
      </c>
      <c r="B5704" s="10" t="s">
        <v>69</v>
      </c>
      <c r="C5704" s="10" t="s">
        <v>52</v>
      </c>
      <c r="D5704" s="10" t="s">
        <v>432</v>
      </c>
      <c r="E5704" s="10" t="s">
        <v>2342</v>
      </c>
      <c r="F5704" s="30" t="n">
        <v>42977</v>
      </c>
      <c r="G5704" s="30" t="n">
        <v>43056</v>
      </c>
      <c r="H5704" s="26" t="n">
        <f aca="false">G5704-F5704</f>
        <v>79</v>
      </c>
      <c r="I5704" s="10" t="n">
        <f aca="false">IF(E5704="Won",1,0)</f>
        <v>1</v>
      </c>
    </row>
    <row r="5705" customFormat="false" ht="15" hidden="false" customHeight="false" outlineLevel="0" collapsed="false">
      <c r="A5705" s="10" t="s">
        <v>8046</v>
      </c>
      <c r="B5705" s="10" t="s">
        <v>74</v>
      </c>
      <c r="C5705" s="10" t="s">
        <v>51</v>
      </c>
      <c r="D5705" s="10" t="s">
        <v>179</v>
      </c>
      <c r="E5705" s="10" t="s">
        <v>2342</v>
      </c>
      <c r="F5705" s="30" t="n">
        <v>42996</v>
      </c>
      <c r="G5705" s="30" t="n">
        <v>43056</v>
      </c>
      <c r="H5705" s="26" t="n">
        <f aca="false">G5705-F5705</f>
        <v>60</v>
      </c>
      <c r="I5705" s="10" t="n">
        <f aca="false">IF(E5705="Won",1,0)</f>
        <v>1</v>
      </c>
    </row>
    <row r="5706" customFormat="false" ht="15" hidden="false" customHeight="false" outlineLevel="0" collapsed="false">
      <c r="A5706" s="10" t="s">
        <v>8047</v>
      </c>
      <c r="B5706" s="10" t="s">
        <v>74</v>
      </c>
      <c r="C5706" s="10" t="s">
        <v>49</v>
      </c>
      <c r="D5706" s="10" t="s">
        <v>369</v>
      </c>
      <c r="E5706" s="10" t="s">
        <v>2345</v>
      </c>
      <c r="F5706" s="30" t="n">
        <v>42968</v>
      </c>
      <c r="G5706" s="30" t="n">
        <v>43056</v>
      </c>
      <c r="H5706" s="26" t="n">
        <f aca="false">G5706-F5706</f>
        <v>88</v>
      </c>
      <c r="I5706" s="10" t="n">
        <f aca="false">IF(E5706="Won",1,0)</f>
        <v>0</v>
      </c>
    </row>
    <row r="5707" customFormat="false" ht="15" hidden="false" customHeight="false" outlineLevel="0" collapsed="false">
      <c r="A5707" s="10" t="s">
        <v>8048</v>
      </c>
      <c r="B5707" s="10" t="s">
        <v>57</v>
      </c>
      <c r="C5707" s="10" t="s">
        <v>51</v>
      </c>
      <c r="D5707" s="10" t="s">
        <v>277</v>
      </c>
      <c r="E5707" s="10" t="s">
        <v>2342</v>
      </c>
      <c r="F5707" s="30" t="n">
        <v>43022</v>
      </c>
      <c r="G5707" s="30" t="n">
        <v>43056</v>
      </c>
      <c r="H5707" s="26" t="n">
        <f aca="false">G5707-F5707</f>
        <v>34</v>
      </c>
      <c r="I5707" s="10" t="n">
        <f aca="false">IF(E5707="Won",1,0)</f>
        <v>1</v>
      </c>
    </row>
    <row r="5708" customFormat="false" ht="15" hidden="false" customHeight="false" outlineLevel="0" collapsed="false">
      <c r="A5708" s="10" t="s">
        <v>8049</v>
      </c>
      <c r="B5708" s="10" t="s">
        <v>81</v>
      </c>
      <c r="C5708" s="10" t="s">
        <v>51</v>
      </c>
      <c r="D5708" s="10" t="s">
        <v>279</v>
      </c>
      <c r="E5708" s="10" t="s">
        <v>2342</v>
      </c>
      <c r="F5708" s="30" t="n">
        <v>42997</v>
      </c>
      <c r="G5708" s="30" t="n">
        <v>43056</v>
      </c>
      <c r="H5708" s="26" t="n">
        <f aca="false">G5708-F5708</f>
        <v>59</v>
      </c>
      <c r="I5708" s="10" t="n">
        <f aca="false">IF(E5708="Won",1,0)</f>
        <v>1</v>
      </c>
    </row>
    <row r="5709" customFormat="false" ht="15" hidden="false" customHeight="false" outlineLevel="0" collapsed="false">
      <c r="A5709" s="10" t="s">
        <v>8050</v>
      </c>
      <c r="B5709" s="10" t="s">
        <v>71</v>
      </c>
      <c r="C5709" s="10" t="s">
        <v>52</v>
      </c>
      <c r="D5709" s="10" t="s">
        <v>410</v>
      </c>
      <c r="E5709" s="10" t="s">
        <v>2342</v>
      </c>
      <c r="F5709" s="30" t="n">
        <v>42989</v>
      </c>
      <c r="G5709" s="30" t="n">
        <v>43056</v>
      </c>
      <c r="H5709" s="26" t="n">
        <f aca="false">G5709-F5709</f>
        <v>67</v>
      </c>
      <c r="I5709" s="10" t="n">
        <f aca="false">IF(E5709="Won",1,0)</f>
        <v>1</v>
      </c>
    </row>
    <row r="5710" customFormat="false" ht="15" hidden="false" customHeight="false" outlineLevel="0" collapsed="false">
      <c r="A5710" s="10" t="s">
        <v>8051</v>
      </c>
      <c r="B5710" s="10" t="s">
        <v>81</v>
      </c>
      <c r="C5710" s="10" t="s">
        <v>49</v>
      </c>
      <c r="D5710" s="10" t="s">
        <v>512</v>
      </c>
      <c r="E5710" s="10" t="s">
        <v>2345</v>
      </c>
      <c r="F5710" s="30" t="n">
        <v>43044</v>
      </c>
      <c r="G5710" s="30" t="n">
        <v>43056</v>
      </c>
      <c r="H5710" s="26" t="n">
        <f aca="false">G5710-F5710</f>
        <v>12</v>
      </c>
      <c r="I5710" s="10" t="n">
        <f aca="false">IF(E5710="Won",1,0)</f>
        <v>0</v>
      </c>
    </row>
    <row r="5711" customFormat="false" ht="15" hidden="false" customHeight="false" outlineLevel="0" collapsed="false">
      <c r="A5711" s="10" t="s">
        <v>8052</v>
      </c>
      <c r="B5711" s="10" t="s">
        <v>75</v>
      </c>
      <c r="C5711" s="10" t="s">
        <v>47</v>
      </c>
      <c r="D5711" s="10" t="s">
        <v>422</v>
      </c>
      <c r="E5711" s="10" t="s">
        <v>2345</v>
      </c>
      <c r="F5711" s="30" t="n">
        <v>43055</v>
      </c>
      <c r="G5711" s="30" t="n">
        <v>43056</v>
      </c>
      <c r="H5711" s="26" t="n">
        <f aca="false">G5711-F5711</f>
        <v>1</v>
      </c>
      <c r="I5711" s="10" t="n">
        <f aca="false">IF(E5711="Won",1,0)</f>
        <v>0</v>
      </c>
    </row>
    <row r="5712" customFormat="false" ht="15" hidden="false" customHeight="false" outlineLevel="0" collapsed="false">
      <c r="A5712" s="10" t="s">
        <v>8053</v>
      </c>
      <c r="B5712" s="10" t="s">
        <v>68</v>
      </c>
      <c r="C5712" s="10" t="s">
        <v>51</v>
      </c>
      <c r="D5712" s="10" t="s">
        <v>286</v>
      </c>
      <c r="E5712" s="10" t="s">
        <v>2345</v>
      </c>
      <c r="F5712" s="30" t="n">
        <v>42954</v>
      </c>
      <c r="G5712" s="30" t="n">
        <v>43056</v>
      </c>
      <c r="H5712" s="26" t="n">
        <f aca="false">G5712-F5712</f>
        <v>102</v>
      </c>
      <c r="I5712" s="10" t="n">
        <f aca="false">IF(E5712="Won",1,0)</f>
        <v>0</v>
      </c>
    </row>
    <row r="5713" customFormat="false" ht="15" hidden="false" customHeight="false" outlineLevel="0" collapsed="false">
      <c r="A5713" s="10" t="s">
        <v>8054</v>
      </c>
      <c r="B5713" s="10" t="s">
        <v>95</v>
      </c>
      <c r="C5713" s="10" t="s">
        <v>51</v>
      </c>
      <c r="D5713" s="10" t="s">
        <v>337</v>
      </c>
      <c r="E5713" s="10" t="s">
        <v>2345</v>
      </c>
      <c r="F5713" s="30" t="n">
        <v>43012</v>
      </c>
      <c r="G5713" s="30" t="n">
        <v>43056</v>
      </c>
      <c r="H5713" s="26" t="n">
        <f aca="false">G5713-F5713</f>
        <v>44</v>
      </c>
      <c r="I5713" s="10" t="n">
        <f aca="false">IF(E5713="Won",1,0)</f>
        <v>0</v>
      </c>
    </row>
    <row r="5714" customFormat="false" ht="15" hidden="false" customHeight="false" outlineLevel="0" collapsed="false">
      <c r="A5714" s="10" t="s">
        <v>8055</v>
      </c>
      <c r="B5714" s="10" t="s">
        <v>66</v>
      </c>
      <c r="C5714" s="10" t="s">
        <v>49</v>
      </c>
      <c r="D5714" s="10" t="s">
        <v>348</v>
      </c>
      <c r="E5714" s="10" t="s">
        <v>2345</v>
      </c>
      <c r="F5714" s="30" t="n">
        <v>42956</v>
      </c>
      <c r="G5714" s="30" t="n">
        <v>43057</v>
      </c>
      <c r="H5714" s="26" t="n">
        <f aca="false">G5714-F5714</f>
        <v>101</v>
      </c>
      <c r="I5714" s="10" t="n">
        <f aca="false">IF(E5714="Won",1,0)</f>
        <v>0</v>
      </c>
    </row>
    <row r="5715" customFormat="false" ht="15" hidden="false" customHeight="false" outlineLevel="0" collapsed="false">
      <c r="A5715" s="10" t="s">
        <v>8056</v>
      </c>
      <c r="B5715" s="10" t="s">
        <v>87</v>
      </c>
      <c r="C5715" s="10" t="s">
        <v>52</v>
      </c>
      <c r="D5715" s="10" t="s">
        <v>350</v>
      </c>
      <c r="E5715" s="10" t="s">
        <v>2345</v>
      </c>
      <c r="F5715" s="30" t="n">
        <v>42977</v>
      </c>
      <c r="G5715" s="30" t="n">
        <v>43057</v>
      </c>
      <c r="H5715" s="26" t="n">
        <f aca="false">G5715-F5715</f>
        <v>80</v>
      </c>
      <c r="I5715" s="10" t="n">
        <f aca="false">IF(E5715="Won",1,0)</f>
        <v>0</v>
      </c>
    </row>
    <row r="5716" customFormat="false" ht="15" hidden="false" customHeight="false" outlineLevel="0" collapsed="false">
      <c r="A5716" s="10" t="s">
        <v>8057</v>
      </c>
      <c r="B5716" s="10" t="s">
        <v>57</v>
      </c>
      <c r="C5716" s="10" t="s">
        <v>48</v>
      </c>
      <c r="D5716" s="10" t="s">
        <v>453</v>
      </c>
      <c r="E5716" s="10" t="s">
        <v>2345</v>
      </c>
      <c r="F5716" s="30" t="n">
        <v>42985</v>
      </c>
      <c r="G5716" s="30" t="n">
        <v>43057</v>
      </c>
      <c r="H5716" s="26" t="n">
        <f aca="false">G5716-F5716</f>
        <v>72</v>
      </c>
      <c r="I5716" s="10" t="n">
        <f aca="false">IF(E5716="Won",1,0)</f>
        <v>0</v>
      </c>
    </row>
    <row r="5717" customFormat="false" ht="15" hidden="false" customHeight="false" outlineLevel="0" collapsed="false">
      <c r="A5717" s="10" t="s">
        <v>8058</v>
      </c>
      <c r="B5717" s="10" t="s">
        <v>94</v>
      </c>
      <c r="C5717" s="10" t="s">
        <v>51</v>
      </c>
      <c r="D5717" s="10" t="s">
        <v>419</v>
      </c>
      <c r="E5717" s="10" t="s">
        <v>2345</v>
      </c>
      <c r="F5717" s="30" t="n">
        <v>42982</v>
      </c>
      <c r="G5717" s="30" t="n">
        <v>43057</v>
      </c>
      <c r="H5717" s="26" t="n">
        <f aca="false">G5717-F5717</f>
        <v>75</v>
      </c>
      <c r="I5717" s="10" t="n">
        <f aca="false">IF(E5717="Won",1,0)</f>
        <v>0</v>
      </c>
    </row>
    <row r="5718" customFormat="false" ht="15" hidden="false" customHeight="false" outlineLevel="0" collapsed="false">
      <c r="A5718" s="10" t="s">
        <v>8059</v>
      </c>
      <c r="B5718" s="10" t="s">
        <v>80</v>
      </c>
      <c r="C5718" s="10" t="s">
        <v>48</v>
      </c>
      <c r="D5718" s="10" t="s">
        <v>762</v>
      </c>
      <c r="E5718" s="10" t="s">
        <v>2345</v>
      </c>
      <c r="F5718" s="30" t="n">
        <v>42978</v>
      </c>
      <c r="G5718" s="30" t="n">
        <v>43057</v>
      </c>
      <c r="H5718" s="26" t="n">
        <f aca="false">G5718-F5718</f>
        <v>79</v>
      </c>
      <c r="I5718" s="10" t="n">
        <f aca="false">IF(E5718="Won",1,0)</f>
        <v>0</v>
      </c>
    </row>
    <row r="5719" customFormat="false" ht="15" hidden="false" customHeight="false" outlineLevel="0" collapsed="false">
      <c r="A5719" s="10" t="s">
        <v>8060</v>
      </c>
      <c r="B5719" s="10" t="s">
        <v>86</v>
      </c>
      <c r="C5719" s="10" t="s">
        <v>50</v>
      </c>
      <c r="D5719" s="10" t="s">
        <v>616</v>
      </c>
      <c r="E5719" s="10" t="s">
        <v>2342</v>
      </c>
      <c r="F5719" s="30" t="n">
        <v>42985</v>
      </c>
      <c r="G5719" s="30" t="n">
        <v>43057</v>
      </c>
      <c r="H5719" s="26" t="n">
        <f aca="false">G5719-F5719</f>
        <v>72</v>
      </c>
      <c r="I5719" s="10" t="n">
        <f aca="false">IF(E5719="Won",1,0)</f>
        <v>1</v>
      </c>
    </row>
    <row r="5720" customFormat="false" ht="15" hidden="false" customHeight="false" outlineLevel="0" collapsed="false">
      <c r="A5720" s="10" t="s">
        <v>8061</v>
      </c>
      <c r="B5720" s="10" t="s">
        <v>68</v>
      </c>
      <c r="C5720" s="10" t="s">
        <v>47</v>
      </c>
      <c r="D5720" s="10" t="s">
        <v>487</v>
      </c>
      <c r="E5720" s="10" t="s">
        <v>2345</v>
      </c>
      <c r="F5720" s="30" t="n">
        <v>42960</v>
      </c>
      <c r="G5720" s="30" t="n">
        <v>43057</v>
      </c>
      <c r="H5720" s="26" t="n">
        <f aca="false">G5720-F5720</f>
        <v>97</v>
      </c>
      <c r="I5720" s="10" t="n">
        <f aca="false">IF(E5720="Won",1,0)</f>
        <v>0</v>
      </c>
    </row>
    <row r="5721" customFormat="false" ht="15" hidden="false" customHeight="false" outlineLevel="0" collapsed="false">
      <c r="A5721" s="10" t="s">
        <v>8062</v>
      </c>
      <c r="B5721" s="10" t="s">
        <v>96</v>
      </c>
      <c r="C5721" s="10" t="s">
        <v>51</v>
      </c>
      <c r="D5721" s="10" t="s">
        <v>711</v>
      </c>
      <c r="E5721" s="10" t="s">
        <v>2342</v>
      </c>
      <c r="F5721" s="30" t="n">
        <v>43042</v>
      </c>
      <c r="G5721" s="30" t="n">
        <v>43057</v>
      </c>
      <c r="H5721" s="26" t="n">
        <f aca="false">G5721-F5721</f>
        <v>15</v>
      </c>
      <c r="I5721" s="10" t="n">
        <f aca="false">IF(E5721="Won",1,0)</f>
        <v>1</v>
      </c>
    </row>
    <row r="5722" customFormat="false" ht="15" hidden="false" customHeight="false" outlineLevel="0" collapsed="false">
      <c r="A5722" s="10" t="s">
        <v>8063</v>
      </c>
      <c r="B5722" s="10" t="s">
        <v>88</v>
      </c>
      <c r="C5722" s="10" t="s">
        <v>50</v>
      </c>
      <c r="D5722" s="10" t="s">
        <v>359</v>
      </c>
      <c r="E5722" s="10" t="s">
        <v>2345</v>
      </c>
      <c r="F5722" s="30" t="n">
        <v>42972</v>
      </c>
      <c r="G5722" s="30" t="n">
        <v>43057</v>
      </c>
      <c r="H5722" s="26" t="n">
        <f aca="false">G5722-F5722</f>
        <v>85</v>
      </c>
      <c r="I5722" s="10" t="n">
        <f aca="false">IF(E5722="Won",1,0)</f>
        <v>0</v>
      </c>
    </row>
    <row r="5723" customFormat="false" ht="15" hidden="false" customHeight="false" outlineLevel="0" collapsed="false">
      <c r="A5723" s="10" t="s">
        <v>8064</v>
      </c>
      <c r="B5723" s="10" t="s">
        <v>73</v>
      </c>
      <c r="C5723" s="10" t="s">
        <v>50</v>
      </c>
      <c r="D5723" s="10" t="s">
        <v>311</v>
      </c>
      <c r="E5723" s="10" t="s">
        <v>2342</v>
      </c>
      <c r="F5723" s="30" t="n">
        <v>43046</v>
      </c>
      <c r="G5723" s="30" t="n">
        <v>43057</v>
      </c>
      <c r="H5723" s="26" t="n">
        <f aca="false">G5723-F5723</f>
        <v>11</v>
      </c>
      <c r="I5723" s="10" t="n">
        <f aca="false">IF(E5723="Won",1,0)</f>
        <v>1</v>
      </c>
    </row>
    <row r="5724" customFormat="false" ht="15" hidden="false" customHeight="false" outlineLevel="0" collapsed="false">
      <c r="A5724" s="10" t="s">
        <v>8065</v>
      </c>
      <c r="B5724" s="10" t="s">
        <v>67</v>
      </c>
      <c r="C5724" s="10" t="s">
        <v>50</v>
      </c>
      <c r="D5724" s="10" t="s">
        <v>299</v>
      </c>
      <c r="E5724" s="10" t="s">
        <v>2345</v>
      </c>
      <c r="F5724" s="30" t="n">
        <v>42978</v>
      </c>
      <c r="G5724" s="30" t="n">
        <v>43057</v>
      </c>
      <c r="H5724" s="26" t="n">
        <f aca="false">G5724-F5724</f>
        <v>79</v>
      </c>
      <c r="I5724" s="10" t="n">
        <f aca="false">IF(E5724="Won",1,0)</f>
        <v>0</v>
      </c>
    </row>
    <row r="5725" customFormat="false" ht="15" hidden="false" customHeight="false" outlineLevel="0" collapsed="false">
      <c r="A5725" s="10" t="s">
        <v>8066</v>
      </c>
      <c r="B5725" s="10" t="s">
        <v>71</v>
      </c>
      <c r="C5725" s="10" t="s">
        <v>52</v>
      </c>
      <c r="D5725" s="10" t="s">
        <v>869</v>
      </c>
      <c r="E5725" s="10" t="s">
        <v>2345</v>
      </c>
      <c r="F5725" s="30" t="n">
        <v>42985</v>
      </c>
      <c r="G5725" s="30" t="n">
        <v>43057</v>
      </c>
      <c r="H5725" s="26" t="n">
        <f aca="false">G5725-F5725</f>
        <v>72</v>
      </c>
      <c r="I5725" s="10" t="n">
        <f aca="false">IF(E5725="Won",1,0)</f>
        <v>0</v>
      </c>
    </row>
    <row r="5726" customFormat="false" ht="15" hidden="false" customHeight="false" outlineLevel="0" collapsed="false">
      <c r="A5726" s="10" t="s">
        <v>8067</v>
      </c>
      <c r="B5726" s="10" t="s">
        <v>57</v>
      </c>
      <c r="C5726" s="10" t="s">
        <v>49</v>
      </c>
      <c r="D5726" s="10" t="s">
        <v>1118</v>
      </c>
      <c r="E5726" s="10" t="s">
        <v>2342</v>
      </c>
      <c r="F5726" s="30" t="n">
        <v>42946</v>
      </c>
      <c r="G5726" s="30" t="n">
        <v>43057</v>
      </c>
      <c r="H5726" s="26" t="n">
        <f aca="false">G5726-F5726</f>
        <v>111</v>
      </c>
      <c r="I5726" s="10" t="n">
        <f aca="false">IF(E5726="Won",1,0)</f>
        <v>1</v>
      </c>
    </row>
    <row r="5727" customFormat="false" ht="15" hidden="false" customHeight="false" outlineLevel="0" collapsed="false">
      <c r="A5727" s="10" t="s">
        <v>8068</v>
      </c>
      <c r="B5727" s="10" t="s">
        <v>70</v>
      </c>
      <c r="C5727" s="10" t="s">
        <v>51</v>
      </c>
      <c r="D5727" s="10" t="s">
        <v>483</v>
      </c>
      <c r="E5727" s="10" t="s">
        <v>2342</v>
      </c>
      <c r="F5727" s="30" t="n">
        <v>43000</v>
      </c>
      <c r="G5727" s="30" t="n">
        <v>43057</v>
      </c>
      <c r="H5727" s="26" t="n">
        <f aca="false">G5727-F5727</f>
        <v>57</v>
      </c>
      <c r="I5727" s="10" t="n">
        <f aca="false">IF(E5727="Won",1,0)</f>
        <v>1</v>
      </c>
    </row>
    <row r="5728" customFormat="false" ht="15" hidden="false" customHeight="false" outlineLevel="0" collapsed="false">
      <c r="A5728" s="10" t="s">
        <v>8069</v>
      </c>
      <c r="B5728" s="10" t="s">
        <v>68</v>
      </c>
      <c r="C5728" s="10" t="s">
        <v>52</v>
      </c>
      <c r="D5728" s="10" t="s">
        <v>344</v>
      </c>
      <c r="E5728" s="10" t="s">
        <v>2342</v>
      </c>
      <c r="F5728" s="30" t="n">
        <v>42969</v>
      </c>
      <c r="G5728" s="30" t="n">
        <v>43057</v>
      </c>
      <c r="H5728" s="26" t="n">
        <f aca="false">G5728-F5728</f>
        <v>88</v>
      </c>
      <c r="I5728" s="10" t="n">
        <f aca="false">IF(E5728="Won",1,0)</f>
        <v>1</v>
      </c>
    </row>
    <row r="5729" customFormat="false" ht="15" hidden="false" customHeight="false" outlineLevel="0" collapsed="false">
      <c r="A5729" s="10" t="s">
        <v>8070</v>
      </c>
      <c r="B5729" s="10" t="s">
        <v>88</v>
      </c>
      <c r="C5729" s="10" t="s">
        <v>50</v>
      </c>
      <c r="D5729" s="10" t="s">
        <v>215</v>
      </c>
      <c r="E5729" s="10" t="s">
        <v>2345</v>
      </c>
      <c r="F5729" s="30" t="n">
        <v>43050</v>
      </c>
      <c r="G5729" s="30" t="n">
        <v>43057</v>
      </c>
      <c r="H5729" s="26" t="n">
        <f aca="false">G5729-F5729</f>
        <v>7</v>
      </c>
      <c r="I5729" s="10" t="n">
        <f aca="false">IF(E5729="Won",1,0)</f>
        <v>0</v>
      </c>
    </row>
    <row r="5730" customFormat="false" ht="15" hidden="false" customHeight="false" outlineLevel="0" collapsed="false">
      <c r="A5730" s="10" t="s">
        <v>8071</v>
      </c>
      <c r="B5730" s="10" t="s">
        <v>57</v>
      </c>
      <c r="C5730" s="10" t="s">
        <v>51</v>
      </c>
      <c r="D5730" s="10" t="s">
        <v>405</v>
      </c>
      <c r="E5730" s="10" t="s">
        <v>2342</v>
      </c>
      <c r="F5730" s="30" t="n">
        <v>43049</v>
      </c>
      <c r="G5730" s="30" t="n">
        <v>43057</v>
      </c>
      <c r="H5730" s="26" t="n">
        <f aca="false">G5730-F5730</f>
        <v>8</v>
      </c>
      <c r="I5730" s="10" t="n">
        <f aca="false">IF(E5730="Won",1,0)</f>
        <v>1</v>
      </c>
    </row>
    <row r="5731" customFormat="false" ht="15" hidden="false" customHeight="false" outlineLevel="0" collapsed="false">
      <c r="A5731" s="10" t="s">
        <v>8072</v>
      </c>
      <c r="B5731" s="10" t="s">
        <v>68</v>
      </c>
      <c r="C5731" s="10" t="s">
        <v>50</v>
      </c>
      <c r="D5731" s="10" t="s">
        <v>303</v>
      </c>
      <c r="E5731" s="10" t="s">
        <v>2342</v>
      </c>
      <c r="F5731" s="30" t="n">
        <v>42948</v>
      </c>
      <c r="G5731" s="30" t="n">
        <v>43057</v>
      </c>
      <c r="H5731" s="26" t="n">
        <f aca="false">G5731-F5731</f>
        <v>109</v>
      </c>
      <c r="I5731" s="10" t="n">
        <f aca="false">IF(E5731="Won",1,0)</f>
        <v>1</v>
      </c>
    </row>
    <row r="5732" customFormat="false" ht="15" hidden="false" customHeight="false" outlineLevel="0" collapsed="false">
      <c r="A5732" s="10" t="s">
        <v>8073</v>
      </c>
      <c r="B5732" s="10" t="s">
        <v>97</v>
      </c>
      <c r="C5732" s="10" t="s">
        <v>51</v>
      </c>
      <c r="D5732" s="10" t="s">
        <v>344</v>
      </c>
      <c r="E5732" s="10" t="s">
        <v>2345</v>
      </c>
      <c r="F5732" s="30" t="n">
        <v>42937</v>
      </c>
      <c r="G5732" s="30" t="n">
        <v>43057</v>
      </c>
      <c r="H5732" s="26" t="n">
        <f aca="false">G5732-F5732</f>
        <v>120</v>
      </c>
      <c r="I5732" s="10" t="n">
        <f aca="false">IF(E5732="Won",1,0)</f>
        <v>0</v>
      </c>
    </row>
    <row r="5733" customFormat="false" ht="15" hidden="false" customHeight="false" outlineLevel="0" collapsed="false">
      <c r="A5733" s="10" t="s">
        <v>8074</v>
      </c>
      <c r="B5733" s="10" t="s">
        <v>74</v>
      </c>
      <c r="C5733" s="10" t="s">
        <v>50</v>
      </c>
      <c r="D5733" s="10" t="s">
        <v>660</v>
      </c>
      <c r="E5733" s="10" t="s">
        <v>2342</v>
      </c>
      <c r="F5733" s="30" t="n">
        <v>42995</v>
      </c>
      <c r="G5733" s="30" t="n">
        <v>43057</v>
      </c>
      <c r="H5733" s="26" t="n">
        <f aca="false">G5733-F5733</f>
        <v>62</v>
      </c>
      <c r="I5733" s="10" t="n">
        <f aca="false">IF(E5733="Won",1,0)</f>
        <v>1</v>
      </c>
    </row>
    <row r="5734" customFormat="false" ht="15" hidden="false" customHeight="false" outlineLevel="0" collapsed="false">
      <c r="A5734" s="10" t="s">
        <v>8075</v>
      </c>
      <c r="B5734" s="10" t="s">
        <v>76</v>
      </c>
      <c r="C5734" s="10" t="s">
        <v>47</v>
      </c>
      <c r="D5734" s="10" t="s">
        <v>1251</v>
      </c>
      <c r="E5734" s="10" t="s">
        <v>2342</v>
      </c>
      <c r="F5734" s="30" t="n">
        <v>43056</v>
      </c>
      <c r="G5734" s="30" t="n">
        <v>43057</v>
      </c>
      <c r="H5734" s="26" t="n">
        <f aca="false">G5734-F5734</f>
        <v>1</v>
      </c>
      <c r="I5734" s="10" t="n">
        <f aca="false">IF(E5734="Won",1,0)</f>
        <v>1</v>
      </c>
    </row>
    <row r="5735" customFormat="false" ht="15" hidden="false" customHeight="false" outlineLevel="0" collapsed="false">
      <c r="A5735" s="10" t="s">
        <v>8076</v>
      </c>
      <c r="B5735" s="10" t="s">
        <v>95</v>
      </c>
      <c r="C5735" s="10" t="s">
        <v>51</v>
      </c>
      <c r="D5735" s="10" t="s">
        <v>487</v>
      </c>
      <c r="E5735" s="10" t="s">
        <v>2342</v>
      </c>
      <c r="F5735" s="30" t="n">
        <v>42997</v>
      </c>
      <c r="G5735" s="30" t="n">
        <v>43057</v>
      </c>
      <c r="H5735" s="26" t="n">
        <f aca="false">G5735-F5735</f>
        <v>60</v>
      </c>
      <c r="I5735" s="10" t="n">
        <f aca="false">IF(E5735="Won",1,0)</f>
        <v>1</v>
      </c>
    </row>
    <row r="5736" customFormat="false" ht="15" hidden="false" customHeight="false" outlineLevel="0" collapsed="false">
      <c r="A5736" s="10" t="s">
        <v>8077</v>
      </c>
      <c r="B5736" s="10" t="s">
        <v>97</v>
      </c>
      <c r="C5736" s="10" t="s">
        <v>50</v>
      </c>
      <c r="D5736" s="10" t="s">
        <v>344</v>
      </c>
      <c r="E5736" s="10" t="s">
        <v>2345</v>
      </c>
      <c r="F5736" s="30" t="n">
        <v>42994</v>
      </c>
      <c r="G5736" s="30" t="n">
        <v>43057</v>
      </c>
      <c r="H5736" s="26" t="n">
        <f aca="false">G5736-F5736</f>
        <v>63</v>
      </c>
      <c r="I5736" s="10" t="n">
        <f aca="false">IF(E5736="Won",1,0)</f>
        <v>0</v>
      </c>
    </row>
    <row r="5737" customFormat="false" ht="15" hidden="false" customHeight="false" outlineLevel="0" collapsed="false">
      <c r="A5737" s="10" t="s">
        <v>8078</v>
      </c>
      <c r="B5737" s="10" t="s">
        <v>70</v>
      </c>
      <c r="C5737" s="10" t="s">
        <v>51</v>
      </c>
      <c r="D5737" s="10" t="s">
        <v>175</v>
      </c>
      <c r="E5737" s="10" t="s">
        <v>2345</v>
      </c>
      <c r="F5737" s="30" t="n">
        <v>42994</v>
      </c>
      <c r="G5737" s="30" t="n">
        <v>43058</v>
      </c>
      <c r="H5737" s="26" t="n">
        <f aca="false">G5737-F5737</f>
        <v>64</v>
      </c>
      <c r="I5737" s="10" t="n">
        <f aca="false">IF(E5737="Won",1,0)</f>
        <v>0</v>
      </c>
    </row>
    <row r="5738" customFormat="false" ht="15" hidden="false" customHeight="false" outlineLevel="0" collapsed="false">
      <c r="A5738" s="10" t="s">
        <v>8079</v>
      </c>
      <c r="B5738" s="10" t="s">
        <v>71</v>
      </c>
      <c r="C5738" s="10" t="s">
        <v>52</v>
      </c>
      <c r="D5738" s="10" t="s">
        <v>660</v>
      </c>
      <c r="E5738" s="10" t="s">
        <v>2345</v>
      </c>
      <c r="F5738" s="30" t="n">
        <v>42977</v>
      </c>
      <c r="G5738" s="30" t="n">
        <v>43058</v>
      </c>
      <c r="H5738" s="26" t="n">
        <f aca="false">G5738-F5738</f>
        <v>81</v>
      </c>
      <c r="I5738" s="10" t="n">
        <f aca="false">IF(E5738="Won",1,0)</f>
        <v>0</v>
      </c>
    </row>
    <row r="5739" customFormat="false" ht="15" hidden="false" customHeight="false" outlineLevel="0" collapsed="false">
      <c r="A5739" s="10" t="s">
        <v>8080</v>
      </c>
      <c r="B5739" s="10" t="s">
        <v>90</v>
      </c>
      <c r="C5739" s="10" t="s">
        <v>48</v>
      </c>
      <c r="D5739" s="10" t="s">
        <v>378</v>
      </c>
      <c r="E5739" s="10" t="s">
        <v>2342</v>
      </c>
      <c r="F5739" s="30" t="n">
        <v>42995</v>
      </c>
      <c r="G5739" s="30" t="n">
        <v>43058</v>
      </c>
      <c r="H5739" s="26" t="n">
        <f aca="false">G5739-F5739</f>
        <v>63</v>
      </c>
      <c r="I5739" s="10" t="n">
        <f aca="false">IF(E5739="Won",1,0)</f>
        <v>1</v>
      </c>
    </row>
    <row r="5740" customFormat="false" ht="15" hidden="false" customHeight="false" outlineLevel="0" collapsed="false">
      <c r="A5740" s="10" t="s">
        <v>8081</v>
      </c>
      <c r="B5740" s="10" t="s">
        <v>83</v>
      </c>
      <c r="C5740" s="10" t="s">
        <v>50</v>
      </c>
      <c r="D5740" s="10" t="s">
        <v>483</v>
      </c>
      <c r="E5740" s="10" t="s">
        <v>2345</v>
      </c>
      <c r="F5740" s="30" t="n">
        <v>43024</v>
      </c>
      <c r="G5740" s="30" t="n">
        <v>43058</v>
      </c>
      <c r="H5740" s="26" t="n">
        <f aca="false">G5740-F5740</f>
        <v>34</v>
      </c>
      <c r="I5740" s="10" t="n">
        <f aca="false">IF(E5740="Won",1,0)</f>
        <v>0</v>
      </c>
    </row>
    <row r="5741" customFormat="false" ht="15" hidden="false" customHeight="false" outlineLevel="0" collapsed="false">
      <c r="A5741" s="10" t="s">
        <v>8082</v>
      </c>
      <c r="B5741" s="10" t="s">
        <v>81</v>
      </c>
      <c r="C5741" s="10" t="s">
        <v>50</v>
      </c>
      <c r="D5741" s="10" t="s">
        <v>660</v>
      </c>
      <c r="E5741" s="10" t="s">
        <v>2345</v>
      </c>
      <c r="F5741" s="30" t="n">
        <v>43031</v>
      </c>
      <c r="G5741" s="30" t="n">
        <v>43058</v>
      </c>
      <c r="H5741" s="26" t="n">
        <f aca="false">G5741-F5741</f>
        <v>27</v>
      </c>
      <c r="I5741" s="10" t="n">
        <f aca="false">IF(E5741="Won",1,0)</f>
        <v>0</v>
      </c>
    </row>
    <row r="5742" customFormat="false" ht="15" hidden="false" customHeight="false" outlineLevel="0" collapsed="false">
      <c r="A5742" s="10" t="s">
        <v>8083</v>
      </c>
      <c r="B5742" s="10" t="s">
        <v>57</v>
      </c>
      <c r="C5742" s="10" t="s">
        <v>50</v>
      </c>
      <c r="D5742" s="10" t="s">
        <v>350</v>
      </c>
      <c r="E5742" s="10" t="s">
        <v>2345</v>
      </c>
      <c r="F5742" s="30" t="n">
        <v>43004</v>
      </c>
      <c r="G5742" s="30" t="n">
        <v>43058</v>
      </c>
      <c r="H5742" s="26" t="n">
        <f aca="false">G5742-F5742</f>
        <v>54</v>
      </c>
      <c r="I5742" s="10" t="n">
        <f aca="false">IF(E5742="Won",1,0)</f>
        <v>0</v>
      </c>
    </row>
    <row r="5743" customFormat="false" ht="15" hidden="false" customHeight="false" outlineLevel="0" collapsed="false">
      <c r="A5743" s="10" t="s">
        <v>8084</v>
      </c>
      <c r="B5743" s="10" t="s">
        <v>97</v>
      </c>
      <c r="C5743" s="10" t="s">
        <v>50</v>
      </c>
      <c r="D5743" s="10" t="s">
        <v>506</v>
      </c>
      <c r="E5743" s="10" t="s">
        <v>2342</v>
      </c>
      <c r="F5743" s="30" t="n">
        <v>42978</v>
      </c>
      <c r="G5743" s="30" t="n">
        <v>43058</v>
      </c>
      <c r="H5743" s="26" t="n">
        <f aca="false">G5743-F5743</f>
        <v>80</v>
      </c>
      <c r="I5743" s="10" t="n">
        <f aca="false">IF(E5743="Won",1,0)</f>
        <v>1</v>
      </c>
    </row>
    <row r="5744" customFormat="false" ht="15" hidden="false" customHeight="false" outlineLevel="0" collapsed="false">
      <c r="A5744" s="10" t="s">
        <v>8085</v>
      </c>
      <c r="B5744" s="10" t="s">
        <v>94</v>
      </c>
      <c r="C5744" s="10" t="s">
        <v>50</v>
      </c>
      <c r="D5744" s="10" t="s">
        <v>419</v>
      </c>
      <c r="E5744" s="10" t="s">
        <v>2342</v>
      </c>
      <c r="F5744" s="30" t="n">
        <v>42975</v>
      </c>
      <c r="G5744" s="30" t="n">
        <v>43058</v>
      </c>
      <c r="H5744" s="26" t="n">
        <f aca="false">G5744-F5744</f>
        <v>83</v>
      </c>
      <c r="I5744" s="10" t="n">
        <f aca="false">IF(E5744="Won",1,0)</f>
        <v>1</v>
      </c>
    </row>
    <row r="5745" customFormat="false" ht="15" hidden="false" customHeight="false" outlineLevel="0" collapsed="false">
      <c r="A5745" s="10" t="s">
        <v>8086</v>
      </c>
      <c r="B5745" s="10" t="s">
        <v>83</v>
      </c>
      <c r="C5745" s="10" t="s">
        <v>51</v>
      </c>
      <c r="D5745" s="10" t="s">
        <v>193</v>
      </c>
      <c r="E5745" s="10" t="s">
        <v>2342</v>
      </c>
      <c r="F5745" s="30" t="n">
        <v>42994</v>
      </c>
      <c r="G5745" s="30" t="n">
        <v>43058</v>
      </c>
      <c r="H5745" s="26" t="n">
        <f aca="false">G5745-F5745</f>
        <v>64</v>
      </c>
      <c r="I5745" s="10" t="n">
        <f aca="false">IF(E5745="Won",1,0)</f>
        <v>1</v>
      </c>
    </row>
    <row r="5746" customFormat="false" ht="15" hidden="false" customHeight="false" outlineLevel="0" collapsed="false">
      <c r="A5746" s="10" t="s">
        <v>8087</v>
      </c>
      <c r="B5746" s="10" t="s">
        <v>74</v>
      </c>
      <c r="C5746" s="10" t="s">
        <v>51</v>
      </c>
      <c r="D5746" s="10" t="s">
        <v>597</v>
      </c>
      <c r="E5746" s="10" t="s">
        <v>2345</v>
      </c>
      <c r="F5746" s="30" t="n">
        <v>43052</v>
      </c>
      <c r="G5746" s="30" t="n">
        <v>43058</v>
      </c>
      <c r="H5746" s="26" t="n">
        <f aca="false">G5746-F5746</f>
        <v>6</v>
      </c>
      <c r="I5746" s="10" t="n">
        <f aca="false">IF(E5746="Won",1,0)</f>
        <v>0</v>
      </c>
    </row>
    <row r="5747" customFormat="false" ht="15" hidden="false" customHeight="false" outlineLevel="0" collapsed="false">
      <c r="A5747" s="10" t="s">
        <v>8088</v>
      </c>
      <c r="B5747" s="10" t="s">
        <v>87</v>
      </c>
      <c r="C5747" s="10" t="s">
        <v>50</v>
      </c>
      <c r="D5747" s="10" t="s">
        <v>286</v>
      </c>
      <c r="E5747" s="10" t="s">
        <v>2345</v>
      </c>
      <c r="F5747" s="30" t="n">
        <v>43004</v>
      </c>
      <c r="G5747" s="30" t="n">
        <v>43058</v>
      </c>
      <c r="H5747" s="26" t="n">
        <f aca="false">G5747-F5747</f>
        <v>54</v>
      </c>
      <c r="I5747" s="10" t="n">
        <f aca="false">IF(E5747="Won",1,0)</f>
        <v>0</v>
      </c>
    </row>
    <row r="5748" customFormat="false" ht="15" hidden="false" customHeight="false" outlineLevel="0" collapsed="false">
      <c r="A5748" s="10" t="s">
        <v>8089</v>
      </c>
      <c r="B5748" s="10" t="s">
        <v>80</v>
      </c>
      <c r="C5748" s="10" t="s">
        <v>51</v>
      </c>
      <c r="D5748" s="10" t="s">
        <v>311</v>
      </c>
      <c r="E5748" s="10" t="s">
        <v>2345</v>
      </c>
      <c r="F5748" s="30" t="n">
        <v>42994</v>
      </c>
      <c r="G5748" s="30" t="n">
        <v>43058</v>
      </c>
      <c r="H5748" s="26" t="n">
        <f aca="false">G5748-F5748</f>
        <v>64</v>
      </c>
      <c r="I5748" s="10" t="n">
        <f aca="false">IF(E5748="Won",1,0)</f>
        <v>0</v>
      </c>
    </row>
    <row r="5749" customFormat="false" ht="15" hidden="false" customHeight="false" outlineLevel="0" collapsed="false">
      <c r="A5749" s="10" t="s">
        <v>8090</v>
      </c>
      <c r="B5749" s="10" t="s">
        <v>67</v>
      </c>
      <c r="C5749" s="10" t="s">
        <v>50</v>
      </c>
      <c r="D5749" s="10" t="s">
        <v>424</v>
      </c>
      <c r="E5749" s="10" t="s">
        <v>2345</v>
      </c>
      <c r="F5749" s="30" t="n">
        <v>42956</v>
      </c>
      <c r="G5749" s="30" t="n">
        <v>43058</v>
      </c>
      <c r="H5749" s="26" t="n">
        <f aca="false">G5749-F5749</f>
        <v>102</v>
      </c>
      <c r="I5749" s="10" t="n">
        <f aca="false">IF(E5749="Won",1,0)</f>
        <v>0</v>
      </c>
    </row>
    <row r="5750" customFormat="false" ht="15" hidden="false" customHeight="false" outlineLevel="0" collapsed="false">
      <c r="A5750" s="10" t="s">
        <v>8091</v>
      </c>
      <c r="B5750" s="10" t="s">
        <v>63</v>
      </c>
      <c r="C5750" s="10" t="s">
        <v>49</v>
      </c>
      <c r="D5750" s="10" t="s">
        <v>692</v>
      </c>
      <c r="E5750" s="10" t="s">
        <v>2342</v>
      </c>
      <c r="F5750" s="30" t="n">
        <v>43051</v>
      </c>
      <c r="G5750" s="30" t="n">
        <v>43058</v>
      </c>
      <c r="H5750" s="26" t="n">
        <f aca="false">G5750-F5750</f>
        <v>7</v>
      </c>
      <c r="I5750" s="10" t="n">
        <f aca="false">IF(E5750="Won",1,0)</f>
        <v>1</v>
      </c>
    </row>
    <row r="5751" customFormat="false" ht="15" hidden="false" customHeight="false" outlineLevel="0" collapsed="false">
      <c r="A5751" s="10" t="s">
        <v>8092</v>
      </c>
      <c r="B5751" s="10" t="s">
        <v>94</v>
      </c>
      <c r="C5751" s="10" t="s">
        <v>49</v>
      </c>
      <c r="D5751" s="10" t="s">
        <v>419</v>
      </c>
      <c r="E5751" s="10" t="s">
        <v>2342</v>
      </c>
      <c r="F5751" s="30" t="n">
        <v>42967</v>
      </c>
      <c r="G5751" s="30" t="n">
        <v>43058</v>
      </c>
      <c r="H5751" s="26" t="n">
        <f aca="false">G5751-F5751</f>
        <v>91</v>
      </c>
      <c r="I5751" s="10" t="n">
        <f aca="false">IF(E5751="Won",1,0)</f>
        <v>1</v>
      </c>
    </row>
    <row r="5752" customFormat="false" ht="15" hidden="false" customHeight="false" outlineLevel="0" collapsed="false">
      <c r="A5752" s="10" t="s">
        <v>8093</v>
      </c>
      <c r="B5752" s="10" t="s">
        <v>74</v>
      </c>
      <c r="C5752" s="10" t="s">
        <v>51</v>
      </c>
      <c r="D5752" s="10" t="s">
        <v>527</v>
      </c>
      <c r="E5752" s="10" t="s">
        <v>2342</v>
      </c>
      <c r="F5752" s="30" t="n">
        <v>42995</v>
      </c>
      <c r="G5752" s="30" t="n">
        <v>43058</v>
      </c>
      <c r="H5752" s="26" t="n">
        <f aca="false">G5752-F5752</f>
        <v>63</v>
      </c>
      <c r="I5752" s="10" t="n">
        <f aca="false">IF(E5752="Won",1,0)</f>
        <v>1</v>
      </c>
    </row>
    <row r="5753" customFormat="false" ht="15" hidden="false" customHeight="false" outlineLevel="0" collapsed="false">
      <c r="A5753" s="10" t="s">
        <v>8094</v>
      </c>
      <c r="B5753" s="10" t="s">
        <v>84</v>
      </c>
      <c r="C5753" s="10" t="s">
        <v>50</v>
      </c>
      <c r="D5753" s="10" t="s">
        <v>1118</v>
      </c>
      <c r="E5753" s="10" t="s">
        <v>2342</v>
      </c>
      <c r="F5753" s="30" t="n">
        <v>43015</v>
      </c>
      <c r="G5753" s="30" t="n">
        <v>43058</v>
      </c>
      <c r="H5753" s="26" t="n">
        <f aca="false">G5753-F5753</f>
        <v>43</v>
      </c>
      <c r="I5753" s="10" t="n">
        <f aca="false">IF(E5753="Won",1,0)</f>
        <v>1</v>
      </c>
    </row>
    <row r="5754" customFormat="false" ht="15" hidden="false" customHeight="false" outlineLevel="0" collapsed="false">
      <c r="A5754" s="10" t="s">
        <v>8095</v>
      </c>
      <c r="B5754" s="10" t="s">
        <v>84</v>
      </c>
      <c r="C5754" s="10" t="s">
        <v>47</v>
      </c>
      <c r="D5754" s="10" t="s">
        <v>1118</v>
      </c>
      <c r="E5754" s="10" t="s">
        <v>2345</v>
      </c>
      <c r="F5754" s="30" t="n">
        <v>42986</v>
      </c>
      <c r="G5754" s="30" t="n">
        <v>43058</v>
      </c>
      <c r="H5754" s="26" t="n">
        <f aca="false">G5754-F5754</f>
        <v>72</v>
      </c>
      <c r="I5754" s="10" t="n">
        <f aca="false">IF(E5754="Won",1,0)</f>
        <v>0</v>
      </c>
    </row>
    <row r="5755" customFormat="false" ht="15" hidden="false" customHeight="false" outlineLevel="0" collapsed="false">
      <c r="A5755" s="10" t="s">
        <v>8096</v>
      </c>
      <c r="B5755" s="10" t="s">
        <v>97</v>
      </c>
      <c r="C5755" s="10" t="s">
        <v>51</v>
      </c>
      <c r="D5755" s="10" t="s">
        <v>424</v>
      </c>
      <c r="E5755" s="10" t="s">
        <v>2342</v>
      </c>
      <c r="F5755" s="30" t="n">
        <v>42972</v>
      </c>
      <c r="G5755" s="30" t="n">
        <v>43058</v>
      </c>
      <c r="H5755" s="26" t="n">
        <f aca="false">G5755-F5755</f>
        <v>86</v>
      </c>
      <c r="I5755" s="10" t="n">
        <f aca="false">IF(E5755="Won",1,0)</f>
        <v>1</v>
      </c>
    </row>
    <row r="5756" customFormat="false" ht="15" hidden="false" customHeight="false" outlineLevel="0" collapsed="false">
      <c r="A5756" s="10" t="s">
        <v>8097</v>
      </c>
      <c r="B5756" s="10" t="s">
        <v>94</v>
      </c>
      <c r="C5756" s="10" t="s">
        <v>52</v>
      </c>
      <c r="D5756" s="10" t="s">
        <v>313</v>
      </c>
      <c r="E5756" s="10" t="s">
        <v>2342</v>
      </c>
      <c r="F5756" s="30" t="n">
        <v>43001</v>
      </c>
      <c r="G5756" s="30" t="n">
        <v>43058</v>
      </c>
      <c r="H5756" s="26" t="n">
        <f aca="false">G5756-F5756</f>
        <v>57</v>
      </c>
      <c r="I5756" s="10" t="n">
        <f aca="false">IF(E5756="Won",1,0)</f>
        <v>1</v>
      </c>
    </row>
    <row r="5757" customFormat="false" ht="15" hidden="false" customHeight="false" outlineLevel="0" collapsed="false">
      <c r="A5757" s="10" t="s">
        <v>8098</v>
      </c>
      <c r="B5757" s="10" t="s">
        <v>80</v>
      </c>
      <c r="C5757" s="10" t="s">
        <v>52</v>
      </c>
      <c r="D5757" s="10" t="s">
        <v>279</v>
      </c>
      <c r="E5757" s="10" t="s">
        <v>2342</v>
      </c>
      <c r="F5757" s="30" t="n">
        <v>42970</v>
      </c>
      <c r="G5757" s="30" t="n">
        <v>43058</v>
      </c>
      <c r="H5757" s="26" t="n">
        <f aca="false">G5757-F5757</f>
        <v>88</v>
      </c>
      <c r="I5757" s="10" t="n">
        <f aca="false">IF(E5757="Won",1,0)</f>
        <v>1</v>
      </c>
    </row>
    <row r="5758" customFormat="false" ht="15" hidden="false" customHeight="false" outlineLevel="0" collapsed="false">
      <c r="A5758" s="10" t="s">
        <v>8099</v>
      </c>
      <c r="B5758" s="10" t="s">
        <v>86</v>
      </c>
      <c r="C5758" s="10" t="s">
        <v>51</v>
      </c>
      <c r="D5758" s="10" t="s">
        <v>293</v>
      </c>
      <c r="E5758" s="10" t="s">
        <v>2342</v>
      </c>
      <c r="F5758" s="30" t="n">
        <v>42964</v>
      </c>
      <c r="G5758" s="30" t="n">
        <v>43058</v>
      </c>
      <c r="H5758" s="26" t="n">
        <f aca="false">G5758-F5758</f>
        <v>94</v>
      </c>
      <c r="I5758" s="10" t="n">
        <f aca="false">IF(E5758="Won",1,0)</f>
        <v>1</v>
      </c>
    </row>
    <row r="5759" customFormat="false" ht="15" hidden="false" customHeight="false" outlineLevel="0" collapsed="false">
      <c r="A5759" s="10" t="s">
        <v>8100</v>
      </c>
      <c r="B5759" s="10" t="s">
        <v>77</v>
      </c>
      <c r="C5759" s="10" t="s">
        <v>50</v>
      </c>
      <c r="D5759" s="10" t="s">
        <v>512</v>
      </c>
      <c r="E5759" s="10" t="s">
        <v>2342</v>
      </c>
      <c r="F5759" s="30" t="n">
        <v>42964</v>
      </c>
      <c r="G5759" s="30" t="n">
        <v>43058</v>
      </c>
      <c r="H5759" s="26" t="n">
        <f aca="false">G5759-F5759</f>
        <v>94</v>
      </c>
      <c r="I5759" s="10" t="n">
        <f aca="false">IF(E5759="Won",1,0)</f>
        <v>1</v>
      </c>
    </row>
    <row r="5760" customFormat="false" ht="15" hidden="false" customHeight="false" outlineLevel="0" collapsed="false">
      <c r="A5760" s="10" t="s">
        <v>8101</v>
      </c>
      <c r="B5760" s="10" t="s">
        <v>80</v>
      </c>
      <c r="C5760" s="10" t="s">
        <v>51</v>
      </c>
      <c r="D5760" s="10" t="s">
        <v>869</v>
      </c>
      <c r="E5760" s="10" t="s">
        <v>2345</v>
      </c>
      <c r="F5760" s="30" t="n">
        <v>42984</v>
      </c>
      <c r="G5760" s="30" t="n">
        <v>43058</v>
      </c>
      <c r="H5760" s="26" t="n">
        <f aca="false">G5760-F5760</f>
        <v>74</v>
      </c>
      <c r="I5760" s="10" t="n">
        <f aca="false">IF(E5760="Won",1,0)</f>
        <v>0</v>
      </c>
    </row>
    <row r="5761" customFormat="false" ht="15" hidden="false" customHeight="false" outlineLevel="0" collapsed="false">
      <c r="A5761" s="10" t="s">
        <v>8102</v>
      </c>
      <c r="B5761" s="10" t="s">
        <v>77</v>
      </c>
      <c r="C5761" s="10" t="s">
        <v>48</v>
      </c>
      <c r="D5761" s="10" t="s">
        <v>961</v>
      </c>
      <c r="E5761" s="10" t="s">
        <v>2342</v>
      </c>
      <c r="F5761" s="30" t="n">
        <v>42984</v>
      </c>
      <c r="G5761" s="30" t="n">
        <v>43058</v>
      </c>
      <c r="H5761" s="26" t="n">
        <f aca="false">G5761-F5761</f>
        <v>74</v>
      </c>
      <c r="I5761" s="10" t="n">
        <f aca="false">IF(E5761="Won",1,0)</f>
        <v>1</v>
      </c>
    </row>
    <row r="5762" customFormat="false" ht="15" hidden="false" customHeight="false" outlineLevel="0" collapsed="false">
      <c r="A5762" s="10" t="s">
        <v>8103</v>
      </c>
      <c r="B5762" s="10" t="s">
        <v>94</v>
      </c>
      <c r="C5762" s="10" t="s">
        <v>49</v>
      </c>
      <c r="D5762" s="10" t="s">
        <v>396</v>
      </c>
      <c r="E5762" s="10" t="s">
        <v>2342</v>
      </c>
      <c r="F5762" s="30" t="n">
        <v>42953</v>
      </c>
      <c r="G5762" s="30" t="n">
        <v>43058</v>
      </c>
      <c r="H5762" s="26" t="n">
        <f aca="false">G5762-F5762</f>
        <v>105</v>
      </c>
      <c r="I5762" s="10" t="n">
        <f aca="false">IF(E5762="Won",1,0)</f>
        <v>1</v>
      </c>
    </row>
    <row r="5763" customFormat="false" ht="15" hidden="false" customHeight="false" outlineLevel="0" collapsed="false">
      <c r="A5763" s="10" t="s">
        <v>8104</v>
      </c>
      <c r="B5763" s="10" t="s">
        <v>57</v>
      </c>
      <c r="C5763" s="10" t="s">
        <v>50</v>
      </c>
      <c r="D5763" s="10" t="s">
        <v>616</v>
      </c>
      <c r="E5763" s="10" t="s">
        <v>2342</v>
      </c>
      <c r="F5763" s="30" t="n">
        <v>42973</v>
      </c>
      <c r="G5763" s="30" t="n">
        <v>43058</v>
      </c>
      <c r="H5763" s="26" t="n">
        <f aca="false">G5763-F5763</f>
        <v>85</v>
      </c>
      <c r="I5763" s="10" t="n">
        <f aca="false">IF(E5763="Won",1,0)</f>
        <v>1</v>
      </c>
    </row>
    <row r="5764" customFormat="false" ht="15" hidden="false" customHeight="false" outlineLevel="0" collapsed="false">
      <c r="A5764" s="10" t="s">
        <v>8105</v>
      </c>
      <c r="B5764" s="10" t="s">
        <v>80</v>
      </c>
      <c r="C5764" s="10" t="s">
        <v>47</v>
      </c>
      <c r="D5764" s="10" t="s">
        <v>597</v>
      </c>
      <c r="E5764" s="10" t="s">
        <v>2342</v>
      </c>
      <c r="F5764" s="30" t="n">
        <v>42939</v>
      </c>
      <c r="G5764" s="30" t="n">
        <v>43058</v>
      </c>
      <c r="H5764" s="26" t="n">
        <f aca="false">G5764-F5764</f>
        <v>119</v>
      </c>
      <c r="I5764" s="10" t="n">
        <f aca="false">IF(E5764="Won",1,0)</f>
        <v>1</v>
      </c>
    </row>
    <row r="5765" customFormat="false" ht="15" hidden="false" customHeight="false" outlineLevel="0" collapsed="false">
      <c r="A5765" s="10" t="s">
        <v>8106</v>
      </c>
      <c r="B5765" s="10" t="s">
        <v>97</v>
      </c>
      <c r="C5765" s="10" t="s">
        <v>49</v>
      </c>
      <c r="D5765" s="10" t="s">
        <v>384</v>
      </c>
      <c r="E5765" s="10" t="s">
        <v>2342</v>
      </c>
      <c r="F5765" s="30" t="n">
        <v>42997</v>
      </c>
      <c r="G5765" s="30" t="n">
        <v>43058</v>
      </c>
      <c r="H5765" s="26" t="n">
        <f aca="false">G5765-F5765</f>
        <v>61</v>
      </c>
      <c r="I5765" s="10" t="n">
        <f aca="false">IF(E5765="Won",1,0)</f>
        <v>1</v>
      </c>
    </row>
    <row r="5766" customFormat="false" ht="15" hidden="false" customHeight="false" outlineLevel="0" collapsed="false">
      <c r="A5766" s="10" t="s">
        <v>8107</v>
      </c>
      <c r="B5766" s="10" t="s">
        <v>79</v>
      </c>
      <c r="C5766" s="10" t="s">
        <v>50</v>
      </c>
      <c r="D5766" s="10" t="s">
        <v>388</v>
      </c>
      <c r="E5766" s="10" t="s">
        <v>2342</v>
      </c>
      <c r="F5766" s="30" t="n">
        <v>43047</v>
      </c>
      <c r="G5766" s="30" t="n">
        <v>43058</v>
      </c>
      <c r="H5766" s="26" t="n">
        <f aca="false">G5766-F5766</f>
        <v>11</v>
      </c>
      <c r="I5766" s="10" t="n">
        <f aca="false">IF(E5766="Won",1,0)</f>
        <v>1</v>
      </c>
    </row>
    <row r="5767" customFormat="false" ht="15" hidden="false" customHeight="false" outlineLevel="0" collapsed="false">
      <c r="A5767" s="10" t="s">
        <v>8108</v>
      </c>
      <c r="B5767" s="10" t="s">
        <v>77</v>
      </c>
      <c r="C5767" s="10" t="s">
        <v>47</v>
      </c>
      <c r="D5767" s="10" t="s">
        <v>291</v>
      </c>
      <c r="E5767" s="10" t="s">
        <v>2345</v>
      </c>
      <c r="F5767" s="30" t="n">
        <v>42989</v>
      </c>
      <c r="G5767" s="30" t="n">
        <v>43058</v>
      </c>
      <c r="H5767" s="26" t="n">
        <f aca="false">G5767-F5767</f>
        <v>69</v>
      </c>
      <c r="I5767" s="10" t="n">
        <f aca="false">IF(E5767="Won",1,0)</f>
        <v>0</v>
      </c>
    </row>
    <row r="5768" customFormat="false" ht="15" hidden="false" customHeight="false" outlineLevel="0" collapsed="false">
      <c r="A5768" s="10" t="s">
        <v>8109</v>
      </c>
      <c r="B5768" s="10" t="s">
        <v>70</v>
      </c>
      <c r="C5768" s="10" t="s">
        <v>47</v>
      </c>
      <c r="D5768" s="10" t="s">
        <v>344</v>
      </c>
      <c r="E5768" s="10" t="s">
        <v>2342</v>
      </c>
      <c r="F5768" s="30" t="n">
        <v>42982</v>
      </c>
      <c r="G5768" s="30" t="n">
        <v>43058</v>
      </c>
      <c r="H5768" s="26" t="n">
        <f aca="false">G5768-F5768</f>
        <v>76</v>
      </c>
      <c r="I5768" s="10" t="n">
        <f aca="false">IF(E5768="Won",1,0)</f>
        <v>1</v>
      </c>
    </row>
    <row r="5769" customFormat="false" ht="15" hidden="false" customHeight="false" outlineLevel="0" collapsed="false">
      <c r="A5769" s="10" t="s">
        <v>8110</v>
      </c>
      <c r="B5769" s="10" t="s">
        <v>80</v>
      </c>
      <c r="C5769" s="10" t="s">
        <v>48</v>
      </c>
      <c r="D5769" s="10" t="s">
        <v>947</v>
      </c>
      <c r="E5769" s="10" t="s">
        <v>2345</v>
      </c>
      <c r="F5769" s="30" t="n">
        <v>42982</v>
      </c>
      <c r="G5769" s="30" t="n">
        <v>43058</v>
      </c>
      <c r="H5769" s="26" t="n">
        <f aca="false">G5769-F5769</f>
        <v>76</v>
      </c>
      <c r="I5769" s="10" t="n">
        <f aca="false">IF(E5769="Won",1,0)</f>
        <v>0</v>
      </c>
    </row>
    <row r="5770" customFormat="false" ht="15" hidden="false" customHeight="false" outlineLevel="0" collapsed="false">
      <c r="A5770" s="10" t="s">
        <v>8111</v>
      </c>
      <c r="B5770" s="10" t="s">
        <v>57</v>
      </c>
      <c r="C5770" s="10" t="s">
        <v>47</v>
      </c>
      <c r="D5770" s="10" t="s">
        <v>218</v>
      </c>
      <c r="E5770" s="10" t="s">
        <v>2342</v>
      </c>
      <c r="F5770" s="30" t="n">
        <v>42954</v>
      </c>
      <c r="G5770" s="30" t="n">
        <v>43058</v>
      </c>
      <c r="H5770" s="26" t="n">
        <f aca="false">G5770-F5770</f>
        <v>104</v>
      </c>
      <c r="I5770" s="10" t="n">
        <f aca="false">IF(E5770="Won",1,0)</f>
        <v>1</v>
      </c>
    </row>
    <row r="5771" customFormat="false" ht="15" hidden="false" customHeight="false" outlineLevel="0" collapsed="false">
      <c r="A5771" s="10" t="s">
        <v>8112</v>
      </c>
      <c r="B5771" s="10" t="s">
        <v>79</v>
      </c>
      <c r="C5771" s="10" t="s">
        <v>50</v>
      </c>
      <c r="D5771" s="10" t="s">
        <v>179</v>
      </c>
      <c r="E5771" s="10" t="s">
        <v>2345</v>
      </c>
      <c r="F5771" s="30" t="n">
        <v>43053</v>
      </c>
      <c r="G5771" s="30" t="n">
        <v>43059</v>
      </c>
      <c r="H5771" s="26" t="n">
        <f aca="false">G5771-F5771</f>
        <v>6</v>
      </c>
      <c r="I5771" s="10" t="n">
        <f aca="false">IF(E5771="Won",1,0)</f>
        <v>0</v>
      </c>
    </row>
    <row r="5772" customFormat="false" ht="15" hidden="false" customHeight="false" outlineLevel="0" collapsed="false">
      <c r="A5772" s="10" t="s">
        <v>8113</v>
      </c>
      <c r="B5772" s="10" t="s">
        <v>87</v>
      </c>
      <c r="C5772" s="10" t="s">
        <v>51</v>
      </c>
      <c r="D5772" s="10" t="s">
        <v>1397</v>
      </c>
      <c r="E5772" s="10" t="s">
        <v>2342</v>
      </c>
      <c r="F5772" s="30" t="n">
        <v>43058</v>
      </c>
      <c r="G5772" s="30" t="n">
        <v>43059</v>
      </c>
      <c r="H5772" s="26" t="n">
        <f aca="false">G5772-F5772</f>
        <v>1</v>
      </c>
      <c r="I5772" s="10" t="n">
        <f aca="false">IF(E5772="Won",1,0)</f>
        <v>1</v>
      </c>
    </row>
    <row r="5773" customFormat="false" ht="15" hidden="false" customHeight="false" outlineLevel="0" collapsed="false">
      <c r="A5773" s="10" t="s">
        <v>8114</v>
      </c>
      <c r="B5773" s="10" t="s">
        <v>87</v>
      </c>
      <c r="C5773" s="10" t="s">
        <v>50</v>
      </c>
      <c r="D5773" s="10" t="s">
        <v>637</v>
      </c>
      <c r="E5773" s="10" t="s">
        <v>2342</v>
      </c>
      <c r="F5773" s="30" t="n">
        <v>43052</v>
      </c>
      <c r="G5773" s="30" t="n">
        <v>43059</v>
      </c>
      <c r="H5773" s="26" t="n">
        <f aca="false">G5773-F5773</f>
        <v>7</v>
      </c>
      <c r="I5773" s="10" t="n">
        <f aca="false">IF(E5773="Won",1,0)</f>
        <v>1</v>
      </c>
    </row>
    <row r="5774" customFormat="false" ht="15" hidden="false" customHeight="false" outlineLevel="0" collapsed="false">
      <c r="A5774" s="10" t="s">
        <v>8115</v>
      </c>
      <c r="B5774" s="10" t="s">
        <v>84</v>
      </c>
      <c r="C5774" s="10" t="s">
        <v>50</v>
      </c>
      <c r="D5774" s="10" t="s">
        <v>692</v>
      </c>
      <c r="E5774" s="10" t="s">
        <v>2342</v>
      </c>
      <c r="F5774" s="30" t="n">
        <v>43058</v>
      </c>
      <c r="G5774" s="30" t="n">
        <v>43059</v>
      </c>
      <c r="H5774" s="26" t="n">
        <f aca="false">G5774-F5774</f>
        <v>1</v>
      </c>
      <c r="I5774" s="10" t="n">
        <f aca="false">IF(E5774="Won",1,0)</f>
        <v>1</v>
      </c>
    </row>
    <row r="5775" customFormat="false" ht="15" hidden="false" customHeight="false" outlineLevel="0" collapsed="false">
      <c r="A5775" s="10" t="s">
        <v>8116</v>
      </c>
      <c r="B5775" s="10" t="s">
        <v>93</v>
      </c>
      <c r="C5775" s="10" t="s">
        <v>47</v>
      </c>
      <c r="D5775" s="10" t="s">
        <v>286</v>
      </c>
      <c r="E5775" s="10" t="s">
        <v>2345</v>
      </c>
      <c r="F5775" s="30" t="n">
        <v>43055</v>
      </c>
      <c r="G5775" s="30" t="n">
        <v>43059</v>
      </c>
      <c r="H5775" s="26" t="n">
        <f aca="false">G5775-F5775</f>
        <v>4</v>
      </c>
      <c r="I5775" s="10" t="n">
        <f aca="false">IF(E5775="Won",1,0)</f>
        <v>0</v>
      </c>
    </row>
    <row r="5776" customFormat="false" ht="15" hidden="false" customHeight="false" outlineLevel="0" collapsed="false">
      <c r="A5776" s="10" t="s">
        <v>8117</v>
      </c>
      <c r="B5776" s="10" t="s">
        <v>83</v>
      </c>
      <c r="C5776" s="10" t="s">
        <v>50</v>
      </c>
      <c r="D5776" s="10" t="s">
        <v>321</v>
      </c>
      <c r="E5776" s="10" t="s">
        <v>2342</v>
      </c>
      <c r="F5776" s="30" t="n">
        <v>43047</v>
      </c>
      <c r="G5776" s="30" t="n">
        <v>43059</v>
      </c>
      <c r="H5776" s="26" t="n">
        <f aca="false">G5776-F5776</f>
        <v>12</v>
      </c>
      <c r="I5776" s="10" t="n">
        <f aca="false">IF(E5776="Won",1,0)</f>
        <v>1</v>
      </c>
    </row>
    <row r="5777" customFormat="false" ht="15" hidden="false" customHeight="false" outlineLevel="0" collapsed="false">
      <c r="A5777" s="10" t="s">
        <v>8118</v>
      </c>
      <c r="B5777" s="10" t="s">
        <v>67</v>
      </c>
      <c r="C5777" s="10" t="s">
        <v>49</v>
      </c>
      <c r="D5777" s="10" t="s">
        <v>286</v>
      </c>
      <c r="E5777" s="10" t="s">
        <v>2342</v>
      </c>
      <c r="F5777" s="30" t="n">
        <v>43055</v>
      </c>
      <c r="G5777" s="30" t="n">
        <v>43059</v>
      </c>
      <c r="H5777" s="26" t="n">
        <f aca="false">G5777-F5777</f>
        <v>4</v>
      </c>
      <c r="I5777" s="10" t="n">
        <f aca="false">IF(E5777="Won",1,0)</f>
        <v>1</v>
      </c>
    </row>
    <row r="5778" customFormat="false" ht="15" hidden="false" customHeight="false" outlineLevel="0" collapsed="false">
      <c r="A5778" s="10" t="s">
        <v>8119</v>
      </c>
      <c r="B5778" s="10" t="s">
        <v>77</v>
      </c>
      <c r="C5778" s="10" t="s">
        <v>51</v>
      </c>
      <c r="D5778" s="10" t="s">
        <v>660</v>
      </c>
      <c r="E5778" s="10" t="s">
        <v>2342</v>
      </c>
      <c r="F5778" s="30" t="n">
        <v>43058</v>
      </c>
      <c r="G5778" s="30" t="n">
        <v>43059</v>
      </c>
      <c r="H5778" s="26" t="n">
        <f aca="false">G5778-F5778</f>
        <v>1</v>
      </c>
      <c r="I5778" s="10" t="n">
        <f aca="false">IF(E5778="Won",1,0)</f>
        <v>1</v>
      </c>
    </row>
    <row r="5779" customFormat="false" ht="15" hidden="false" customHeight="false" outlineLevel="0" collapsed="false">
      <c r="A5779" s="10" t="s">
        <v>8120</v>
      </c>
      <c r="B5779" s="10" t="s">
        <v>57</v>
      </c>
      <c r="C5779" s="10" t="s">
        <v>50</v>
      </c>
      <c r="D5779" s="10" t="s">
        <v>637</v>
      </c>
      <c r="E5779" s="10" t="s">
        <v>2342</v>
      </c>
      <c r="F5779" s="30" t="n">
        <v>43050</v>
      </c>
      <c r="G5779" s="30" t="n">
        <v>43059</v>
      </c>
      <c r="H5779" s="26" t="n">
        <f aca="false">G5779-F5779</f>
        <v>9</v>
      </c>
      <c r="I5779" s="10" t="n">
        <f aca="false">IF(E5779="Won",1,0)</f>
        <v>1</v>
      </c>
    </row>
    <row r="5780" customFormat="false" ht="15" hidden="false" customHeight="false" outlineLevel="0" collapsed="false">
      <c r="A5780" s="10" t="s">
        <v>8121</v>
      </c>
      <c r="B5780" s="10" t="s">
        <v>77</v>
      </c>
      <c r="C5780" s="10" t="s">
        <v>48</v>
      </c>
      <c r="D5780" s="10" t="s">
        <v>524</v>
      </c>
      <c r="E5780" s="10" t="s">
        <v>2342</v>
      </c>
      <c r="F5780" s="30" t="n">
        <v>43049</v>
      </c>
      <c r="G5780" s="30" t="n">
        <v>43059</v>
      </c>
      <c r="H5780" s="26" t="n">
        <f aca="false">G5780-F5780</f>
        <v>10</v>
      </c>
      <c r="I5780" s="10" t="n">
        <f aca="false">IF(E5780="Won",1,0)</f>
        <v>1</v>
      </c>
    </row>
    <row r="5781" customFormat="false" ht="15" hidden="false" customHeight="false" outlineLevel="0" collapsed="false">
      <c r="A5781" s="10" t="s">
        <v>8122</v>
      </c>
      <c r="B5781" s="10" t="s">
        <v>77</v>
      </c>
      <c r="C5781" s="10" t="s">
        <v>48</v>
      </c>
      <c r="D5781" s="10" t="s">
        <v>414</v>
      </c>
      <c r="E5781" s="10" t="s">
        <v>2345</v>
      </c>
      <c r="F5781" s="30" t="n">
        <v>43054</v>
      </c>
      <c r="G5781" s="30" t="n">
        <v>43059</v>
      </c>
      <c r="H5781" s="26" t="n">
        <f aca="false">G5781-F5781</f>
        <v>5</v>
      </c>
      <c r="I5781" s="10" t="n">
        <f aca="false">IF(E5781="Won",1,0)</f>
        <v>0</v>
      </c>
    </row>
    <row r="5782" customFormat="false" ht="15" hidden="false" customHeight="false" outlineLevel="0" collapsed="false">
      <c r="A5782" s="10" t="s">
        <v>8123</v>
      </c>
      <c r="B5782" s="10" t="s">
        <v>79</v>
      </c>
      <c r="C5782" s="10" t="s">
        <v>51</v>
      </c>
      <c r="D5782" s="10" t="s">
        <v>597</v>
      </c>
      <c r="E5782" s="10" t="s">
        <v>2342</v>
      </c>
      <c r="F5782" s="30" t="n">
        <v>43014</v>
      </c>
      <c r="G5782" s="30" t="n">
        <v>43059</v>
      </c>
      <c r="H5782" s="26" t="n">
        <f aca="false">G5782-F5782</f>
        <v>45</v>
      </c>
      <c r="I5782" s="10" t="n">
        <f aca="false">IF(E5782="Won",1,0)</f>
        <v>1</v>
      </c>
    </row>
    <row r="5783" customFormat="false" ht="15" hidden="false" customHeight="false" outlineLevel="0" collapsed="false">
      <c r="A5783" s="10" t="s">
        <v>8124</v>
      </c>
      <c r="B5783" s="10" t="s">
        <v>95</v>
      </c>
      <c r="C5783" s="10" t="s">
        <v>51</v>
      </c>
      <c r="D5783" s="10" t="s">
        <v>514</v>
      </c>
      <c r="E5783" s="10" t="s">
        <v>2342</v>
      </c>
      <c r="F5783" s="30" t="n">
        <v>43018</v>
      </c>
      <c r="G5783" s="30" t="n">
        <v>43059</v>
      </c>
      <c r="H5783" s="26" t="n">
        <f aca="false">G5783-F5783</f>
        <v>41</v>
      </c>
      <c r="I5783" s="10" t="n">
        <f aca="false">IF(E5783="Won",1,0)</f>
        <v>1</v>
      </c>
    </row>
    <row r="5784" customFormat="false" ht="15" hidden="false" customHeight="false" outlineLevel="0" collapsed="false">
      <c r="A5784" s="10" t="s">
        <v>8125</v>
      </c>
      <c r="B5784" s="10" t="s">
        <v>87</v>
      </c>
      <c r="C5784" s="10" t="s">
        <v>51</v>
      </c>
      <c r="D5784" s="10" t="s">
        <v>453</v>
      </c>
      <c r="E5784" s="10" t="s">
        <v>2342</v>
      </c>
      <c r="F5784" s="30" t="n">
        <v>42983</v>
      </c>
      <c r="G5784" s="30" t="n">
        <v>43059</v>
      </c>
      <c r="H5784" s="26" t="n">
        <f aca="false">G5784-F5784</f>
        <v>76</v>
      </c>
      <c r="I5784" s="10" t="n">
        <f aca="false">IF(E5784="Won",1,0)</f>
        <v>1</v>
      </c>
    </row>
    <row r="5785" customFormat="false" ht="15" hidden="false" customHeight="false" outlineLevel="0" collapsed="false">
      <c r="A5785" s="10" t="s">
        <v>8126</v>
      </c>
      <c r="B5785" s="10" t="s">
        <v>75</v>
      </c>
      <c r="C5785" s="10" t="s">
        <v>49</v>
      </c>
      <c r="D5785" s="10" t="s">
        <v>660</v>
      </c>
      <c r="E5785" s="10" t="s">
        <v>2345</v>
      </c>
      <c r="F5785" s="30" t="n">
        <v>42966</v>
      </c>
      <c r="G5785" s="30" t="n">
        <v>43059</v>
      </c>
      <c r="H5785" s="26" t="n">
        <f aca="false">G5785-F5785</f>
        <v>93</v>
      </c>
      <c r="I5785" s="10" t="n">
        <f aca="false">IF(E5785="Won",1,0)</f>
        <v>0</v>
      </c>
    </row>
    <row r="5786" customFormat="false" ht="15" hidden="false" customHeight="false" outlineLevel="0" collapsed="false">
      <c r="A5786" s="10" t="s">
        <v>8127</v>
      </c>
      <c r="B5786" s="10" t="s">
        <v>77</v>
      </c>
      <c r="C5786" s="10" t="s">
        <v>51</v>
      </c>
      <c r="D5786" s="10" t="s">
        <v>291</v>
      </c>
      <c r="E5786" s="10" t="s">
        <v>2342</v>
      </c>
      <c r="F5786" s="30" t="n">
        <v>42959</v>
      </c>
      <c r="G5786" s="30" t="n">
        <v>43059</v>
      </c>
      <c r="H5786" s="26" t="n">
        <f aca="false">G5786-F5786</f>
        <v>100</v>
      </c>
      <c r="I5786" s="10" t="n">
        <f aca="false">IF(E5786="Won",1,0)</f>
        <v>1</v>
      </c>
    </row>
    <row r="5787" customFormat="false" ht="15" hidden="false" customHeight="false" outlineLevel="0" collapsed="false">
      <c r="A5787" s="10" t="s">
        <v>8128</v>
      </c>
      <c r="B5787" s="10" t="s">
        <v>77</v>
      </c>
      <c r="C5787" s="10" t="s">
        <v>48</v>
      </c>
      <c r="D5787" s="10" t="s">
        <v>524</v>
      </c>
      <c r="E5787" s="10" t="s">
        <v>2345</v>
      </c>
      <c r="F5787" s="30" t="n">
        <v>42962</v>
      </c>
      <c r="G5787" s="30" t="n">
        <v>43059</v>
      </c>
      <c r="H5787" s="26" t="n">
        <f aca="false">G5787-F5787</f>
        <v>97</v>
      </c>
      <c r="I5787" s="10" t="n">
        <f aca="false">IF(E5787="Won",1,0)</f>
        <v>0</v>
      </c>
    </row>
    <row r="5788" customFormat="false" ht="15" hidden="false" customHeight="false" outlineLevel="0" collapsed="false">
      <c r="A5788" s="10" t="s">
        <v>8129</v>
      </c>
      <c r="B5788" s="10" t="s">
        <v>77</v>
      </c>
      <c r="C5788" s="10" t="s">
        <v>48</v>
      </c>
      <c r="D5788" s="10" t="s">
        <v>353</v>
      </c>
      <c r="E5788" s="10" t="s">
        <v>2345</v>
      </c>
      <c r="F5788" s="30" t="n">
        <v>42992</v>
      </c>
      <c r="G5788" s="30" t="n">
        <v>43059</v>
      </c>
      <c r="H5788" s="26" t="n">
        <f aca="false">G5788-F5788</f>
        <v>67</v>
      </c>
      <c r="I5788" s="10" t="n">
        <f aca="false">IF(E5788="Won",1,0)</f>
        <v>0</v>
      </c>
    </row>
    <row r="5789" customFormat="false" ht="15" hidden="false" customHeight="false" outlineLevel="0" collapsed="false">
      <c r="A5789" s="10" t="s">
        <v>8130</v>
      </c>
      <c r="B5789" s="10" t="s">
        <v>77</v>
      </c>
      <c r="C5789" s="10" t="s">
        <v>51</v>
      </c>
      <c r="D5789" s="10" t="s">
        <v>1251</v>
      </c>
      <c r="E5789" s="10" t="s">
        <v>2342</v>
      </c>
      <c r="F5789" s="30" t="n">
        <v>42939</v>
      </c>
      <c r="G5789" s="30" t="n">
        <v>43059</v>
      </c>
      <c r="H5789" s="26" t="n">
        <f aca="false">G5789-F5789</f>
        <v>120</v>
      </c>
      <c r="I5789" s="10" t="n">
        <f aca="false">IF(E5789="Won",1,0)</f>
        <v>1</v>
      </c>
    </row>
    <row r="5790" customFormat="false" ht="15" hidden="false" customHeight="false" outlineLevel="0" collapsed="false">
      <c r="A5790" s="10" t="s">
        <v>8131</v>
      </c>
      <c r="B5790" s="10" t="s">
        <v>60</v>
      </c>
      <c r="C5790" s="10" t="s">
        <v>48</v>
      </c>
      <c r="D5790" s="10" t="s">
        <v>350</v>
      </c>
      <c r="E5790" s="10" t="s">
        <v>2345</v>
      </c>
      <c r="F5790" s="30" t="n">
        <v>42956</v>
      </c>
      <c r="G5790" s="30" t="n">
        <v>43059</v>
      </c>
      <c r="H5790" s="26" t="n">
        <f aca="false">G5790-F5790</f>
        <v>103</v>
      </c>
      <c r="I5790" s="10" t="n">
        <f aca="false">IF(E5790="Won",1,0)</f>
        <v>0</v>
      </c>
    </row>
    <row r="5791" customFormat="false" ht="15" hidden="false" customHeight="false" outlineLevel="0" collapsed="false">
      <c r="A5791" s="10" t="s">
        <v>8132</v>
      </c>
      <c r="B5791" s="10" t="s">
        <v>84</v>
      </c>
      <c r="C5791" s="10" t="s">
        <v>48</v>
      </c>
      <c r="D5791" s="10" t="s">
        <v>1397</v>
      </c>
      <c r="E5791" s="10" t="s">
        <v>2342</v>
      </c>
      <c r="F5791" s="30" t="n">
        <v>42937</v>
      </c>
      <c r="G5791" s="30" t="n">
        <v>43059</v>
      </c>
      <c r="H5791" s="26" t="n">
        <f aca="false">G5791-F5791</f>
        <v>122</v>
      </c>
      <c r="I5791" s="10" t="n">
        <f aca="false">IF(E5791="Won",1,0)</f>
        <v>1</v>
      </c>
    </row>
    <row r="5792" customFormat="false" ht="15" hidden="false" customHeight="false" outlineLevel="0" collapsed="false">
      <c r="A5792" s="10" t="s">
        <v>8133</v>
      </c>
      <c r="B5792" s="10" t="s">
        <v>88</v>
      </c>
      <c r="C5792" s="10" t="s">
        <v>50</v>
      </c>
      <c r="D5792" s="10" t="s">
        <v>233</v>
      </c>
      <c r="E5792" s="10" t="s">
        <v>2345</v>
      </c>
      <c r="F5792" s="30" t="n">
        <v>42974</v>
      </c>
      <c r="G5792" s="30" t="n">
        <v>43059</v>
      </c>
      <c r="H5792" s="26" t="n">
        <f aca="false">G5792-F5792</f>
        <v>85</v>
      </c>
      <c r="I5792" s="10" t="n">
        <f aca="false">IF(E5792="Won",1,0)</f>
        <v>0</v>
      </c>
    </row>
    <row r="5793" customFormat="false" ht="15" hidden="false" customHeight="false" outlineLevel="0" collapsed="false">
      <c r="A5793" s="10" t="s">
        <v>8134</v>
      </c>
      <c r="B5793" s="10" t="s">
        <v>76</v>
      </c>
      <c r="C5793" s="10" t="s">
        <v>52</v>
      </c>
      <c r="D5793" s="10" t="s">
        <v>210</v>
      </c>
      <c r="E5793" s="10" t="s">
        <v>2342</v>
      </c>
      <c r="F5793" s="30" t="n">
        <v>43003</v>
      </c>
      <c r="G5793" s="30" t="n">
        <v>43059</v>
      </c>
      <c r="H5793" s="26" t="n">
        <f aca="false">G5793-F5793</f>
        <v>56</v>
      </c>
      <c r="I5793" s="10" t="n">
        <f aca="false">IF(E5793="Won",1,0)</f>
        <v>1</v>
      </c>
    </row>
    <row r="5794" customFormat="false" ht="15" hidden="false" customHeight="false" outlineLevel="0" collapsed="false">
      <c r="A5794" s="10" t="s">
        <v>8135</v>
      </c>
      <c r="B5794" s="10" t="s">
        <v>83</v>
      </c>
      <c r="C5794" s="10" t="s">
        <v>48</v>
      </c>
      <c r="D5794" s="10" t="s">
        <v>410</v>
      </c>
      <c r="E5794" s="10" t="s">
        <v>2345</v>
      </c>
      <c r="F5794" s="30" t="n">
        <v>42977</v>
      </c>
      <c r="G5794" s="30" t="n">
        <v>43059</v>
      </c>
      <c r="H5794" s="26" t="n">
        <f aca="false">G5794-F5794</f>
        <v>82</v>
      </c>
      <c r="I5794" s="10" t="n">
        <f aca="false">IF(E5794="Won",1,0)</f>
        <v>0</v>
      </c>
    </row>
    <row r="5795" customFormat="false" ht="15" hidden="false" customHeight="false" outlineLevel="0" collapsed="false">
      <c r="A5795" s="10" t="s">
        <v>8136</v>
      </c>
      <c r="B5795" s="10" t="s">
        <v>95</v>
      </c>
      <c r="C5795" s="10" t="s">
        <v>48</v>
      </c>
      <c r="D5795" s="10" t="s">
        <v>326</v>
      </c>
      <c r="E5795" s="10" t="s">
        <v>2345</v>
      </c>
      <c r="F5795" s="30" t="n">
        <v>42957</v>
      </c>
      <c r="G5795" s="30" t="n">
        <v>43059</v>
      </c>
      <c r="H5795" s="26" t="n">
        <f aca="false">G5795-F5795</f>
        <v>102</v>
      </c>
      <c r="I5795" s="10" t="n">
        <f aca="false">IF(E5795="Won",1,0)</f>
        <v>0</v>
      </c>
    </row>
    <row r="5796" customFormat="false" ht="15" hidden="false" customHeight="false" outlineLevel="0" collapsed="false">
      <c r="A5796" s="10" t="s">
        <v>8137</v>
      </c>
      <c r="B5796" s="10" t="s">
        <v>97</v>
      </c>
      <c r="C5796" s="10" t="s">
        <v>50</v>
      </c>
      <c r="D5796" s="10" t="s">
        <v>286</v>
      </c>
      <c r="E5796" s="10" t="s">
        <v>2342</v>
      </c>
      <c r="F5796" s="30" t="n">
        <v>42990</v>
      </c>
      <c r="G5796" s="30" t="n">
        <v>43059</v>
      </c>
      <c r="H5796" s="26" t="n">
        <f aca="false">G5796-F5796</f>
        <v>69</v>
      </c>
      <c r="I5796" s="10" t="n">
        <f aca="false">IF(E5796="Won",1,0)</f>
        <v>1</v>
      </c>
    </row>
    <row r="5797" customFormat="false" ht="15" hidden="false" customHeight="false" outlineLevel="0" collapsed="false">
      <c r="A5797" s="10" t="s">
        <v>8138</v>
      </c>
      <c r="B5797" s="10" t="s">
        <v>70</v>
      </c>
      <c r="C5797" s="10" t="s">
        <v>49</v>
      </c>
      <c r="D5797" s="10" t="s">
        <v>606</v>
      </c>
      <c r="E5797" s="10" t="s">
        <v>2342</v>
      </c>
      <c r="F5797" s="30" t="n">
        <v>42948</v>
      </c>
      <c r="G5797" s="30" t="n">
        <v>43059</v>
      </c>
      <c r="H5797" s="26" t="n">
        <f aca="false">G5797-F5797</f>
        <v>111</v>
      </c>
      <c r="I5797" s="10" t="n">
        <f aca="false">IF(E5797="Won",1,0)</f>
        <v>1</v>
      </c>
    </row>
    <row r="5798" customFormat="false" ht="15" hidden="false" customHeight="false" outlineLevel="0" collapsed="false">
      <c r="A5798" s="10" t="s">
        <v>8139</v>
      </c>
      <c r="B5798" s="10" t="s">
        <v>95</v>
      </c>
      <c r="C5798" s="10" t="s">
        <v>51</v>
      </c>
      <c r="D5798" s="10" t="s">
        <v>337</v>
      </c>
      <c r="E5798" s="10" t="s">
        <v>2345</v>
      </c>
      <c r="F5798" s="30" t="n">
        <v>42946</v>
      </c>
      <c r="G5798" s="30" t="n">
        <v>43059</v>
      </c>
      <c r="H5798" s="26" t="n">
        <f aca="false">G5798-F5798</f>
        <v>113</v>
      </c>
      <c r="I5798" s="10" t="n">
        <f aca="false">IF(E5798="Won",1,0)</f>
        <v>0</v>
      </c>
    </row>
    <row r="5799" customFormat="false" ht="15" hidden="false" customHeight="false" outlineLevel="0" collapsed="false">
      <c r="A5799" s="10" t="s">
        <v>8140</v>
      </c>
      <c r="B5799" s="10" t="s">
        <v>80</v>
      </c>
      <c r="C5799" s="10" t="s">
        <v>51</v>
      </c>
      <c r="D5799" s="10" t="s">
        <v>697</v>
      </c>
      <c r="E5799" s="10" t="s">
        <v>2345</v>
      </c>
      <c r="F5799" s="30" t="n">
        <v>43052</v>
      </c>
      <c r="G5799" s="30" t="n">
        <v>43060</v>
      </c>
      <c r="H5799" s="26" t="n">
        <f aca="false">G5799-F5799</f>
        <v>8</v>
      </c>
      <c r="I5799" s="10" t="n">
        <f aca="false">IF(E5799="Won",1,0)</f>
        <v>0</v>
      </c>
    </row>
    <row r="5800" customFormat="false" ht="15" hidden="false" customHeight="false" outlineLevel="0" collapsed="false">
      <c r="A5800" s="10" t="s">
        <v>8141</v>
      </c>
      <c r="B5800" s="10" t="s">
        <v>70</v>
      </c>
      <c r="C5800" s="10" t="s">
        <v>47</v>
      </c>
      <c r="D5800" s="10" t="s">
        <v>424</v>
      </c>
      <c r="E5800" s="10" t="s">
        <v>2345</v>
      </c>
      <c r="F5800" s="30" t="n">
        <v>42940</v>
      </c>
      <c r="G5800" s="30" t="n">
        <v>43060</v>
      </c>
      <c r="H5800" s="26" t="n">
        <f aca="false">G5800-F5800</f>
        <v>120</v>
      </c>
      <c r="I5800" s="10" t="n">
        <f aca="false">IF(E5800="Won",1,0)</f>
        <v>0</v>
      </c>
    </row>
    <row r="5801" customFormat="false" ht="15" hidden="false" customHeight="false" outlineLevel="0" collapsed="false">
      <c r="A5801" s="10" t="s">
        <v>8142</v>
      </c>
      <c r="B5801" s="10" t="s">
        <v>81</v>
      </c>
      <c r="C5801" s="10" t="s">
        <v>51</v>
      </c>
      <c r="D5801" s="10" t="s">
        <v>410</v>
      </c>
      <c r="E5801" s="10" t="s">
        <v>2342</v>
      </c>
      <c r="F5801" s="30" t="n">
        <v>42991</v>
      </c>
      <c r="G5801" s="30" t="n">
        <v>43060</v>
      </c>
      <c r="H5801" s="26" t="n">
        <f aca="false">G5801-F5801</f>
        <v>69</v>
      </c>
      <c r="I5801" s="10" t="n">
        <f aca="false">IF(E5801="Won",1,0)</f>
        <v>1</v>
      </c>
    </row>
    <row r="5802" customFormat="false" ht="15" hidden="false" customHeight="false" outlineLevel="0" collapsed="false">
      <c r="A5802" s="10" t="s">
        <v>8143</v>
      </c>
      <c r="B5802" s="10" t="s">
        <v>95</v>
      </c>
      <c r="C5802" s="10" t="s">
        <v>48</v>
      </c>
      <c r="D5802" s="10" t="s">
        <v>432</v>
      </c>
      <c r="E5802" s="10" t="s">
        <v>2342</v>
      </c>
      <c r="F5802" s="30" t="n">
        <v>42990</v>
      </c>
      <c r="G5802" s="30" t="n">
        <v>43060</v>
      </c>
      <c r="H5802" s="26" t="n">
        <f aca="false">G5802-F5802</f>
        <v>70</v>
      </c>
      <c r="I5802" s="10" t="n">
        <f aca="false">IF(E5802="Won",1,0)</f>
        <v>1</v>
      </c>
    </row>
    <row r="5803" customFormat="false" ht="15" hidden="false" customHeight="false" outlineLevel="0" collapsed="false">
      <c r="A5803" s="10" t="s">
        <v>8144</v>
      </c>
      <c r="B5803" s="10" t="s">
        <v>90</v>
      </c>
      <c r="C5803" s="10" t="s">
        <v>48</v>
      </c>
      <c r="D5803" s="10" t="s">
        <v>453</v>
      </c>
      <c r="E5803" s="10" t="s">
        <v>2342</v>
      </c>
      <c r="F5803" s="30" t="n">
        <v>43043</v>
      </c>
      <c r="G5803" s="30" t="n">
        <v>43060</v>
      </c>
      <c r="H5803" s="26" t="n">
        <f aca="false">G5803-F5803</f>
        <v>17</v>
      </c>
      <c r="I5803" s="10" t="n">
        <f aca="false">IF(E5803="Won",1,0)</f>
        <v>1</v>
      </c>
    </row>
    <row r="5804" customFormat="false" ht="15" hidden="false" customHeight="false" outlineLevel="0" collapsed="false">
      <c r="A5804" s="10" t="s">
        <v>8145</v>
      </c>
      <c r="B5804" s="10" t="s">
        <v>88</v>
      </c>
      <c r="C5804" s="10" t="s">
        <v>50</v>
      </c>
      <c r="D5804" s="10" t="s">
        <v>1334</v>
      </c>
      <c r="E5804" s="10" t="s">
        <v>2345</v>
      </c>
      <c r="F5804" s="30" t="n">
        <v>43016</v>
      </c>
      <c r="G5804" s="30" t="n">
        <v>43060</v>
      </c>
      <c r="H5804" s="26" t="n">
        <f aca="false">G5804-F5804</f>
        <v>44</v>
      </c>
      <c r="I5804" s="10" t="n">
        <f aca="false">IF(E5804="Won",1,0)</f>
        <v>0</v>
      </c>
    </row>
    <row r="5805" customFormat="false" ht="15" hidden="false" customHeight="false" outlineLevel="0" collapsed="false">
      <c r="A5805" s="10" t="s">
        <v>8146</v>
      </c>
      <c r="B5805" s="10" t="s">
        <v>86</v>
      </c>
      <c r="C5805" s="10" t="s">
        <v>48</v>
      </c>
      <c r="D5805" s="10" t="s">
        <v>1334</v>
      </c>
      <c r="E5805" s="10" t="s">
        <v>2342</v>
      </c>
      <c r="F5805" s="30" t="n">
        <v>43057</v>
      </c>
      <c r="G5805" s="30" t="n">
        <v>43060</v>
      </c>
      <c r="H5805" s="26" t="n">
        <f aca="false">G5805-F5805</f>
        <v>3</v>
      </c>
      <c r="I5805" s="10" t="n">
        <f aca="false">IF(E5805="Won",1,0)</f>
        <v>1</v>
      </c>
    </row>
    <row r="5806" customFormat="false" ht="15" hidden="false" customHeight="false" outlineLevel="0" collapsed="false">
      <c r="A5806" s="10" t="s">
        <v>8147</v>
      </c>
      <c r="B5806" s="10" t="s">
        <v>74</v>
      </c>
      <c r="C5806" s="10" t="s">
        <v>51</v>
      </c>
      <c r="D5806" s="10" t="s">
        <v>291</v>
      </c>
      <c r="E5806" s="10" t="s">
        <v>2342</v>
      </c>
      <c r="F5806" s="30" t="n">
        <v>42970</v>
      </c>
      <c r="G5806" s="30" t="n">
        <v>43060</v>
      </c>
      <c r="H5806" s="26" t="n">
        <f aca="false">G5806-F5806</f>
        <v>90</v>
      </c>
      <c r="I5806" s="10" t="n">
        <f aca="false">IF(E5806="Won",1,0)</f>
        <v>1</v>
      </c>
    </row>
    <row r="5807" customFormat="false" ht="15" hidden="false" customHeight="false" outlineLevel="0" collapsed="false">
      <c r="A5807" s="10" t="s">
        <v>8148</v>
      </c>
      <c r="B5807" s="10" t="s">
        <v>95</v>
      </c>
      <c r="C5807" s="10" t="s">
        <v>51</v>
      </c>
      <c r="D5807" s="10" t="s">
        <v>396</v>
      </c>
      <c r="E5807" s="10" t="s">
        <v>2345</v>
      </c>
      <c r="F5807" s="30" t="n">
        <v>43057</v>
      </c>
      <c r="G5807" s="30" t="n">
        <v>43060</v>
      </c>
      <c r="H5807" s="26" t="n">
        <f aca="false">G5807-F5807</f>
        <v>3</v>
      </c>
      <c r="I5807" s="10" t="n">
        <f aca="false">IF(E5807="Won",1,0)</f>
        <v>0</v>
      </c>
    </row>
    <row r="5808" customFormat="false" ht="15" hidden="false" customHeight="false" outlineLevel="0" collapsed="false">
      <c r="A5808" s="10" t="s">
        <v>8149</v>
      </c>
      <c r="B5808" s="10" t="s">
        <v>84</v>
      </c>
      <c r="C5808" s="10" t="s">
        <v>49</v>
      </c>
      <c r="D5808" s="10" t="s">
        <v>286</v>
      </c>
      <c r="E5808" s="10" t="s">
        <v>2342</v>
      </c>
      <c r="F5808" s="30" t="n">
        <v>43016</v>
      </c>
      <c r="G5808" s="30" t="n">
        <v>43060</v>
      </c>
      <c r="H5808" s="26" t="n">
        <f aca="false">G5808-F5808</f>
        <v>44</v>
      </c>
      <c r="I5808" s="10" t="n">
        <f aca="false">IF(E5808="Won",1,0)</f>
        <v>1</v>
      </c>
    </row>
    <row r="5809" customFormat="false" ht="15" hidden="false" customHeight="false" outlineLevel="0" collapsed="false">
      <c r="A5809" s="10" t="s">
        <v>8150</v>
      </c>
      <c r="B5809" s="10" t="s">
        <v>62</v>
      </c>
      <c r="C5809" s="10" t="s">
        <v>52</v>
      </c>
      <c r="D5809" s="10" t="s">
        <v>215</v>
      </c>
      <c r="E5809" s="10" t="s">
        <v>2345</v>
      </c>
      <c r="F5809" s="30" t="n">
        <v>43044</v>
      </c>
      <c r="G5809" s="30" t="n">
        <v>43060</v>
      </c>
      <c r="H5809" s="26" t="n">
        <f aca="false">G5809-F5809</f>
        <v>16</v>
      </c>
      <c r="I5809" s="10" t="n">
        <f aca="false">IF(E5809="Won",1,0)</f>
        <v>0</v>
      </c>
    </row>
    <row r="5810" customFormat="false" ht="15" hidden="false" customHeight="false" outlineLevel="0" collapsed="false">
      <c r="A5810" s="10" t="s">
        <v>8151</v>
      </c>
      <c r="B5810" s="10" t="s">
        <v>86</v>
      </c>
      <c r="C5810" s="10" t="s">
        <v>50</v>
      </c>
      <c r="D5810" s="10" t="s">
        <v>441</v>
      </c>
      <c r="E5810" s="10" t="s">
        <v>2345</v>
      </c>
      <c r="F5810" s="30" t="n">
        <v>42987</v>
      </c>
      <c r="G5810" s="30" t="n">
        <v>43060</v>
      </c>
      <c r="H5810" s="26" t="n">
        <f aca="false">G5810-F5810</f>
        <v>73</v>
      </c>
      <c r="I5810" s="10" t="n">
        <f aca="false">IF(E5810="Won",1,0)</f>
        <v>0</v>
      </c>
    </row>
    <row r="5811" customFormat="false" ht="15" hidden="false" customHeight="false" outlineLevel="0" collapsed="false">
      <c r="A5811" s="10" t="s">
        <v>8152</v>
      </c>
      <c r="B5811" s="10" t="s">
        <v>80</v>
      </c>
      <c r="C5811" s="10" t="s">
        <v>51</v>
      </c>
      <c r="D5811" s="10" t="s">
        <v>259</v>
      </c>
      <c r="E5811" s="10" t="s">
        <v>2345</v>
      </c>
      <c r="F5811" s="30" t="n">
        <v>43058</v>
      </c>
      <c r="G5811" s="30" t="n">
        <v>43060</v>
      </c>
      <c r="H5811" s="26" t="n">
        <f aca="false">G5811-F5811</f>
        <v>2</v>
      </c>
      <c r="I5811" s="10" t="n">
        <f aca="false">IF(E5811="Won",1,0)</f>
        <v>0</v>
      </c>
    </row>
    <row r="5812" customFormat="false" ht="15" hidden="false" customHeight="false" outlineLevel="0" collapsed="false">
      <c r="A5812" s="10" t="s">
        <v>8153</v>
      </c>
      <c r="B5812" s="10" t="s">
        <v>63</v>
      </c>
      <c r="C5812" s="10" t="s">
        <v>52</v>
      </c>
      <c r="D5812" s="10" t="s">
        <v>1334</v>
      </c>
      <c r="E5812" s="10" t="s">
        <v>2342</v>
      </c>
      <c r="F5812" s="30" t="n">
        <v>42950</v>
      </c>
      <c r="G5812" s="30" t="n">
        <v>43060</v>
      </c>
      <c r="H5812" s="26" t="n">
        <f aca="false">G5812-F5812</f>
        <v>110</v>
      </c>
      <c r="I5812" s="10" t="n">
        <f aca="false">IF(E5812="Won",1,0)</f>
        <v>1</v>
      </c>
    </row>
    <row r="5813" customFormat="false" ht="15" hidden="false" customHeight="false" outlineLevel="0" collapsed="false">
      <c r="A5813" s="10" t="s">
        <v>8154</v>
      </c>
      <c r="B5813" s="10" t="s">
        <v>70</v>
      </c>
      <c r="C5813" s="10" t="s">
        <v>47</v>
      </c>
      <c r="D5813" s="10" t="s">
        <v>313</v>
      </c>
      <c r="E5813" s="10" t="s">
        <v>2342</v>
      </c>
      <c r="F5813" s="30" t="n">
        <v>42972</v>
      </c>
      <c r="G5813" s="30" t="n">
        <v>43060</v>
      </c>
      <c r="H5813" s="26" t="n">
        <f aca="false">G5813-F5813</f>
        <v>88</v>
      </c>
      <c r="I5813" s="10" t="n">
        <f aca="false">IF(E5813="Won",1,0)</f>
        <v>1</v>
      </c>
    </row>
    <row r="5814" customFormat="false" ht="15" hidden="false" customHeight="false" outlineLevel="0" collapsed="false">
      <c r="A5814" s="10" t="s">
        <v>8155</v>
      </c>
      <c r="B5814" s="10" t="s">
        <v>70</v>
      </c>
      <c r="C5814" s="10" t="s">
        <v>49</v>
      </c>
      <c r="D5814" s="10" t="s">
        <v>168</v>
      </c>
      <c r="E5814" s="10" t="s">
        <v>2342</v>
      </c>
      <c r="F5814" s="30" t="n">
        <v>42983</v>
      </c>
      <c r="G5814" s="30" t="n">
        <v>43060</v>
      </c>
      <c r="H5814" s="26" t="n">
        <f aca="false">G5814-F5814</f>
        <v>77</v>
      </c>
      <c r="I5814" s="10" t="n">
        <f aca="false">IF(E5814="Won",1,0)</f>
        <v>1</v>
      </c>
    </row>
    <row r="5815" customFormat="false" ht="15" hidden="false" customHeight="false" outlineLevel="0" collapsed="false">
      <c r="A5815" s="10" t="s">
        <v>8156</v>
      </c>
      <c r="B5815" s="10" t="s">
        <v>60</v>
      </c>
      <c r="C5815" s="10" t="s">
        <v>49</v>
      </c>
      <c r="D5815" s="10" t="s">
        <v>427</v>
      </c>
      <c r="E5815" s="10" t="s">
        <v>2345</v>
      </c>
      <c r="F5815" s="30" t="n">
        <v>43051</v>
      </c>
      <c r="G5815" s="30" t="n">
        <v>43060</v>
      </c>
      <c r="H5815" s="26" t="n">
        <f aca="false">G5815-F5815</f>
        <v>9</v>
      </c>
      <c r="I5815" s="10" t="n">
        <f aca="false">IF(E5815="Won",1,0)</f>
        <v>0</v>
      </c>
    </row>
    <row r="5816" customFormat="false" ht="15" hidden="false" customHeight="false" outlineLevel="0" collapsed="false">
      <c r="A5816" s="10" t="s">
        <v>8157</v>
      </c>
      <c r="B5816" s="10" t="s">
        <v>95</v>
      </c>
      <c r="C5816" s="10" t="s">
        <v>47</v>
      </c>
      <c r="D5816" s="10" t="s">
        <v>606</v>
      </c>
      <c r="E5816" s="10" t="s">
        <v>2345</v>
      </c>
      <c r="F5816" s="30" t="n">
        <v>42996</v>
      </c>
      <c r="G5816" s="30" t="n">
        <v>43060</v>
      </c>
      <c r="H5816" s="26" t="n">
        <f aca="false">G5816-F5816</f>
        <v>64</v>
      </c>
      <c r="I5816" s="10" t="n">
        <f aca="false">IF(E5816="Won",1,0)</f>
        <v>0</v>
      </c>
    </row>
    <row r="5817" customFormat="false" ht="15" hidden="false" customHeight="false" outlineLevel="0" collapsed="false">
      <c r="A5817" s="10" t="s">
        <v>8158</v>
      </c>
      <c r="B5817" s="10" t="s">
        <v>71</v>
      </c>
      <c r="C5817" s="10" t="s">
        <v>52</v>
      </c>
      <c r="D5817" s="10" t="s">
        <v>321</v>
      </c>
      <c r="E5817" s="10" t="s">
        <v>2342</v>
      </c>
      <c r="F5817" s="30" t="n">
        <v>42982</v>
      </c>
      <c r="G5817" s="30" t="n">
        <v>43060</v>
      </c>
      <c r="H5817" s="26" t="n">
        <f aca="false">G5817-F5817</f>
        <v>78</v>
      </c>
      <c r="I5817" s="10" t="n">
        <f aca="false">IF(E5817="Won",1,0)</f>
        <v>1</v>
      </c>
    </row>
    <row r="5818" customFormat="false" ht="15" hidden="false" customHeight="false" outlineLevel="0" collapsed="false">
      <c r="A5818" s="10" t="s">
        <v>8159</v>
      </c>
      <c r="B5818" s="10" t="s">
        <v>71</v>
      </c>
      <c r="C5818" s="10" t="s">
        <v>52</v>
      </c>
      <c r="D5818" s="10" t="s">
        <v>291</v>
      </c>
      <c r="E5818" s="10" t="s">
        <v>2342</v>
      </c>
      <c r="F5818" s="30" t="n">
        <v>42981</v>
      </c>
      <c r="G5818" s="30" t="n">
        <v>43060</v>
      </c>
      <c r="H5818" s="26" t="n">
        <f aca="false">G5818-F5818</f>
        <v>79</v>
      </c>
      <c r="I5818" s="10" t="n">
        <f aca="false">IF(E5818="Won",1,0)</f>
        <v>1</v>
      </c>
    </row>
    <row r="5819" customFormat="false" ht="15" hidden="false" customHeight="false" outlineLevel="0" collapsed="false">
      <c r="A5819" s="10" t="s">
        <v>8160</v>
      </c>
      <c r="B5819" s="10" t="s">
        <v>94</v>
      </c>
      <c r="C5819" s="10" t="s">
        <v>51</v>
      </c>
      <c r="D5819" s="10" t="s">
        <v>711</v>
      </c>
      <c r="E5819" s="10" t="s">
        <v>2342</v>
      </c>
      <c r="F5819" s="30" t="n">
        <v>43048</v>
      </c>
      <c r="G5819" s="30" t="n">
        <v>43060</v>
      </c>
      <c r="H5819" s="26" t="n">
        <f aca="false">G5819-F5819</f>
        <v>12</v>
      </c>
      <c r="I5819" s="10" t="n">
        <f aca="false">IF(E5819="Won",1,0)</f>
        <v>1</v>
      </c>
    </row>
    <row r="5820" customFormat="false" ht="15" hidden="false" customHeight="false" outlineLevel="0" collapsed="false">
      <c r="A5820" s="10" t="s">
        <v>8161</v>
      </c>
      <c r="B5820" s="10" t="s">
        <v>74</v>
      </c>
      <c r="C5820" s="10" t="s">
        <v>52</v>
      </c>
      <c r="D5820" s="10" t="s">
        <v>660</v>
      </c>
      <c r="E5820" s="10" t="s">
        <v>2345</v>
      </c>
      <c r="F5820" s="30" t="n">
        <v>42987</v>
      </c>
      <c r="G5820" s="30" t="n">
        <v>43060</v>
      </c>
      <c r="H5820" s="26" t="n">
        <f aca="false">G5820-F5820</f>
        <v>73</v>
      </c>
      <c r="I5820" s="10" t="n">
        <f aca="false">IF(E5820="Won",1,0)</f>
        <v>0</v>
      </c>
    </row>
    <row r="5821" customFormat="false" ht="15" hidden="false" customHeight="false" outlineLevel="0" collapsed="false">
      <c r="A5821" s="10" t="s">
        <v>8162</v>
      </c>
      <c r="B5821" s="10" t="s">
        <v>57</v>
      </c>
      <c r="C5821" s="10" t="s">
        <v>47</v>
      </c>
      <c r="D5821" s="10" t="s">
        <v>532</v>
      </c>
      <c r="E5821" s="10" t="s">
        <v>2345</v>
      </c>
      <c r="F5821" s="30" t="n">
        <v>43021</v>
      </c>
      <c r="G5821" s="30" t="n">
        <v>43060</v>
      </c>
      <c r="H5821" s="26" t="n">
        <f aca="false">G5821-F5821</f>
        <v>39</v>
      </c>
      <c r="I5821" s="10" t="n">
        <f aca="false">IF(E5821="Won",1,0)</f>
        <v>0</v>
      </c>
    </row>
    <row r="5822" customFormat="false" ht="15" hidden="false" customHeight="false" outlineLevel="0" collapsed="false">
      <c r="A5822" s="10" t="s">
        <v>8163</v>
      </c>
      <c r="B5822" s="10" t="s">
        <v>67</v>
      </c>
      <c r="C5822" s="10" t="s">
        <v>49</v>
      </c>
      <c r="D5822" s="10" t="s">
        <v>286</v>
      </c>
      <c r="E5822" s="10" t="s">
        <v>2342</v>
      </c>
      <c r="F5822" s="30" t="n">
        <v>43011</v>
      </c>
      <c r="G5822" s="30" t="n">
        <v>43060</v>
      </c>
      <c r="H5822" s="26" t="n">
        <f aca="false">G5822-F5822</f>
        <v>49</v>
      </c>
      <c r="I5822" s="10" t="n">
        <f aca="false">IF(E5822="Won",1,0)</f>
        <v>1</v>
      </c>
    </row>
    <row r="5823" customFormat="false" ht="15" hidden="false" customHeight="false" outlineLevel="0" collapsed="false">
      <c r="A5823" s="10" t="s">
        <v>8164</v>
      </c>
      <c r="B5823" s="10" t="s">
        <v>86</v>
      </c>
      <c r="C5823" s="10" t="s">
        <v>50</v>
      </c>
      <c r="D5823" s="10" t="s">
        <v>1334</v>
      </c>
      <c r="E5823" s="10" t="s">
        <v>2342</v>
      </c>
      <c r="F5823" s="30" t="n">
        <v>42999</v>
      </c>
      <c r="G5823" s="30" t="n">
        <v>43060</v>
      </c>
      <c r="H5823" s="26" t="n">
        <f aca="false">G5823-F5823</f>
        <v>61</v>
      </c>
      <c r="I5823" s="10" t="n">
        <f aca="false">IF(E5823="Won",1,0)</f>
        <v>1</v>
      </c>
    </row>
    <row r="5824" customFormat="false" ht="15" hidden="false" customHeight="false" outlineLevel="0" collapsed="false">
      <c r="A5824" s="10" t="s">
        <v>8165</v>
      </c>
      <c r="B5824" s="10" t="s">
        <v>75</v>
      </c>
      <c r="C5824" s="10" t="s">
        <v>52</v>
      </c>
      <c r="D5824" s="10" t="s">
        <v>1948</v>
      </c>
      <c r="E5824" s="10" t="s">
        <v>2345</v>
      </c>
      <c r="F5824" s="30" t="n">
        <v>42994</v>
      </c>
      <c r="G5824" s="30" t="n">
        <v>43060</v>
      </c>
      <c r="H5824" s="26" t="n">
        <f aca="false">G5824-F5824</f>
        <v>66</v>
      </c>
      <c r="I5824" s="10" t="n">
        <f aca="false">IF(E5824="Won",1,0)</f>
        <v>0</v>
      </c>
    </row>
    <row r="5825" customFormat="false" ht="15" hidden="false" customHeight="false" outlineLevel="0" collapsed="false">
      <c r="A5825" s="10" t="s">
        <v>8166</v>
      </c>
      <c r="B5825" s="10" t="s">
        <v>75</v>
      </c>
      <c r="C5825" s="10" t="s">
        <v>52</v>
      </c>
      <c r="D5825" s="10" t="s">
        <v>414</v>
      </c>
      <c r="E5825" s="10" t="s">
        <v>2342</v>
      </c>
      <c r="F5825" s="30" t="n">
        <v>43048</v>
      </c>
      <c r="G5825" s="30" t="n">
        <v>43060</v>
      </c>
      <c r="H5825" s="26" t="n">
        <f aca="false">G5825-F5825</f>
        <v>12</v>
      </c>
      <c r="I5825" s="10" t="n">
        <f aca="false">IF(E5825="Won",1,0)</f>
        <v>1</v>
      </c>
    </row>
    <row r="5826" customFormat="false" ht="15" hidden="false" customHeight="false" outlineLevel="0" collapsed="false">
      <c r="A5826" s="10" t="s">
        <v>8167</v>
      </c>
      <c r="B5826" s="10" t="s">
        <v>80</v>
      </c>
      <c r="C5826" s="10" t="s">
        <v>51</v>
      </c>
      <c r="D5826" s="10" t="s">
        <v>311</v>
      </c>
      <c r="E5826" s="10" t="s">
        <v>2342</v>
      </c>
      <c r="F5826" s="30" t="n">
        <v>43055</v>
      </c>
      <c r="G5826" s="30" t="n">
        <v>43061</v>
      </c>
      <c r="H5826" s="26" t="n">
        <f aca="false">G5826-F5826</f>
        <v>6</v>
      </c>
      <c r="I5826" s="10" t="n">
        <f aca="false">IF(E5826="Won",1,0)</f>
        <v>1</v>
      </c>
    </row>
    <row r="5827" customFormat="false" ht="15" hidden="false" customHeight="false" outlineLevel="0" collapsed="false">
      <c r="A5827" s="10" t="s">
        <v>8168</v>
      </c>
      <c r="B5827" s="10" t="s">
        <v>93</v>
      </c>
      <c r="C5827" s="10" t="s">
        <v>50</v>
      </c>
      <c r="D5827" s="10" t="s">
        <v>432</v>
      </c>
      <c r="E5827" s="10" t="s">
        <v>2342</v>
      </c>
      <c r="F5827" s="30" t="n">
        <v>43044</v>
      </c>
      <c r="G5827" s="30" t="n">
        <v>43061</v>
      </c>
      <c r="H5827" s="26" t="n">
        <f aca="false">G5827-F5827</f>
        <v>17</v>
      </c>
      <c r="I5827" s="10" t="n">
        <f aca="false">IF(E5827="Won",1,0)</f>
        <v>1</v>
      </c>
    </row>
    <row r="5828" customFormat="false" ht="15" hidden="false" customHeight="false" outlineLevel="0" collapsed="false">
      <c r="A5828" s="10" t="s">
        <v>8169</v>
      </c>
      <c r="B5828" s="10" t="s">
        <v>83</v>
      </c>
      <c r="C5828" s="10" t="s">
        <v>50</v>
      </c>
      <c r="D5828" s="10" t="s">
        <v>388</v>
      </c>
      <c r="E5828" s="10" t="s">
        <v>2345</v>
      </c>
      <c r="F5828" s="30" t="n">
        <v>43050</v>
      </c>
      <c r="G5828" s="30" t="n">
        <v>43061</v>
      </c>
      <c r="H5828" s="26" t="n">
        <f aca="false">G5828-F5828</f>
        <v>11</v>
      </c>
      <c r="I5828" s="10" t="n">
        <f aca="false">IF(E5828="Won",1,0)</f>
        <v>0</v>
      </c>
    </row>
    <row r="5829" customFormat="false" ht="15" hidden="false" customHeight="false" outlineLevel="0" collapsed="false">
      <c r="A5829" s="10" t="s">
        <v>8170</v>
      </c>
      <c r="B5829" s="10" t="s">
        <v>93</v>
      </c>
      <c r="C5829" s="10" t="s">
        <v>51</v>
      </c>
      <c r="D5829" s="10" t="s">
        <v>233</v>
      </c>
      <c r="E5829" s="10" t="s">
        <v>2342</v>
      </c>
      <c r="F5829" s="30" t="n">
        <v>43048</v>
      </c>
      <c r="G5829" s="30" t="n">
        <v>43061</v>
      </c>
      <c r="H5829" s="26" t="n">
        <f aca="false">G5829-F5829</f>
        <v>13</v>
      </c>
      <c r="I5829" s="10" t="n">
        <f aca="false">IF(E5829="Won",1,0)</f>
        <v>1</v>
      </c>
    </row>
    <row r="5830" customFormat="false" ht="15" hidden="false" customHeight="false" outlineLevel="0" collapsed="false">
      <c r="A5830" s="10" t="s">
        <v>8171</v>
      </c>
      <c r="B5830" s="10" t="s">
        <v>96</v>
      </c>
      <c r="C5830" s="10" t="s">
        <v>50</v>
      </c>
      <c r="D5830" s="10" t="s">
        <v>348</v>
      </c>
      <c r="E5830" s="10" t="s">
        <v>2342</v>
      </c>
      <c r="F5830" s="30" t="n">
        <v>43051</v>
      </c>
      <c r="G5830" s="30" t="n">
        <v>43061</v>
      </c>
      <c r="H5830" s="26" t="n">
        <f aca="false">G5830-F5830</f>
        <v>10</v>
      </c>
      <c r="I5830" s="10" t="n">
        <f aca="false">IF(E5830="Won",1,0)</f>
        <v>1</v>
      </c>
    </row>
    <row r="5831" customFormat="false" ht="15" hidden="false" customHeight="false" outlineLevel="0" collapsed="false">
      <c r="A5831" s="10" t="s">
        <v>8172</v>
      </c>
      <c r="B5831" s="10" t="s">
        <v>81</v>
      </c>
      <c r="C5831" s="10" t="s">
        <v>47</v>
      </c>
      <c r="D5831" s="10" t="s">
        <v>259</v>
      </c>
      <c r="E5831" s="10" t="s">
        <v>2345</v>
      </c>
      <c r="F5831" s="30" t="n">
        <v>43050</v>
      </c>
      <c r="G5831" s="30" t="n">
        <v>43061</v>
      </c>
      <c r="H5831" s="26" t="n">
        <f aca="false">G5831-F5831</f>
        <v>11</v>
      </c>
      <c r="I5831" s="10" t="n">
        <f aca="false">IF(E5831="Won",1,0)</f>
        <v>0</v>
      </c>
    </row>
    <row r="5832" customFormat="false" ht="15" hidden="false" customHeight="false" outlineLevel="0" collapsed="false">
      <c r="A5832" s="10" t="s">
        <v>8173</v>
      </c>
      <c r="B5832" s="10" t="s">
        <v>94</v>
      </c>
      <c r="C5832" s="10" t="s">
        <v>48</v>
      </c>
      <c r="D5832" s="10" t="s">
        <v>233</v>
      </c>
      <c r="E5832" s="10" t="s">
        <v>2345</v>
      </c>
      <c r="F5832" s="30" t="n">
        <v>43054</v>
      </c>
      <c r="G5832" s="30" t="n">
        <v>43061</v>
      </c>
      <c r="H5832" s="26" t="n">
        <f aca="false">G5832-F5832</f>
        <v>7</v>
      </c>
      <c r="I5832" s="10" t="n">
        <f aca="false">IF(E5832="Won",1,0)</f>
        <v>0</v>
      </c>
    </row>
    <row r="5833" customFormat="false" ht="15" hidden="false" customHeight="false" outlineLevel="0" collapsed="false">
      <c r="A5833" s="10" t="s">
        <v>8174</v>
      </c>
      <c r="B5833" s="10" t="s">
        <v>93</v>
      </c>
      <c r="C5833" s="10" t="s">
        <v>50</v>
      </c>
      <c r="D5833" s="10" t="s">
        <v>175</v>
      </c>
      <c r="E5833" s="10" t="s">
        <v>2342</v>
      </c>
      <c r="F5833" s="30" t="n">
        <v>42948</v>
      </c>
      <c r="G5833" s="30" t="n">
        <v>43061</v>
      </c>
      <c r="H5833" s="26" t="n">
        <f aca="false">G5833-F5833</f>
        <v>113</v>
      </c>
      <c r="I5833" s="10" t="n">
        <f aca="false">IF(E5833="Won",1,0)</f>
        <v>1</v>
      </c>
    </row>
    <row r="5834" customFormat="false" ht="15" hidden="false" customHeight="false" outlineLevel="0" collapsed="false">
      <c r="A5834" s="10" t="s">
        <v>8175</v>
      </c>
      <c r="B5834" s="10" t="s">
        <v>95</v>
      </c>
      <c r="C5834" s="10" t="s">
        <v>51</v>
      </c>
      <c r="D5834" s="10" t="s">
        <v>344</v>
      </c>
      <c r="E5834" s="10" t="s">
        <v>2345</v>
      </c>
      <c r="F5834" s="30" t="n">
        <v>43026</v>
      </c>
      <c r="G5834" s="30" t="n">
        <v>43061</v>
      </c>
      <c r="H5834" s="26" t="n">
        <f aca="false">G5834-F5834</f>
        <v>35</v>
      </c>
      <c r="I5834" s="10" t="n">
        <f aca="false">IF(E5834="Won",1,0)</f>
        <v>0</v>
      </c>
    </row>
    <row r="5835" customFormat="false" ht="15" hidden="false" customHeight="false" outlineLevel="0" collapsed="false">
      <c r="A5835" s="10" t="s">
        <v>8176</v>
      </c>
      <c r="B5835" s="10" t="s">
        <v>84</v>
      </c>
      <c r="C5835" s="10" t="s">
        <v>52</v>
      </c>
      <c r="D5835" s="10" t="s">
        <v>1118</v>
      </c>
      <c r="E5835" s="10" t="s">
        <v>2345</v>
      </c>
      <c r="F5835" s="30" t="n">
        <v>42960</v>
      </c>
      <c r="G5835" s="30" t="n">
        <v>43061</v>
      </c>
      <c r="H5835" s="26" t="n">
        <f aca="false">G5835-F5835</f>
        <v>101</v>
      </c>
      <c r="I5835" s="10" t="n">
        <f aca="false">IF(E5835="Won",1,0)</f>
        <v>0</v>
      </c>
    </row>
    <row r="5836" customFormat="false" ht="15" hidden="false" customHeight="false" outlineLevel="0" collapsed="false">
      <c r="A5836" s="10" t="s">
        <v>8177</v>
      </c>
      <c r="B5836" s="10" t="s">
        <v>71</v>
      </c>
      <c r="C5836" s="10" t="s">
        <v>47</v>
      </c>
      <c r="D5836" s="10" t="s">
        <v>483</v>
      </c>
      <c r="E5836" s="10" t="s">
        <v>2342</v>
      </c>
      <c r="F5836" s="30" t="n">
        <v>42964</v>
      </c>
      <c r="G5836" s="30" t="n">
        <v>43061</v>
      </c>
      <c r="H5836" s="26" t="n">
        <f aca="false">G5836-F5836</f>
        <v>97</v>
      </c>
      <c r="I5836" s="10" t="n">
        <f aca="false">IF(E5836="Won",1,0)</f>
        <v>1</v>
      </c>
    </row>
    <row r="5837" customFormat="false" ht="15" hidden="false" customHeight="false" outlineLevel="0" collapsed="false">
      <c r="A5837" s="10" t="s">
        <v>8178</v>
      </c>
      <c r="B5837" s="10" t="s">
        <v>70</v>
      </c>
      <c r="C5837" s="10" t="s">
        <v>51</v>
      </c>
      <c r="D5837" s="10" t="s">
        <v>396</v>
      </c>
      <c r="E5837" s="10" t="s">
        <v>2342</v>
      </c>
      <c r="F5837" s="30" t="n">
        <v>43000</v>
      </c>
      <c r="G5837" s="30" t="n">
        <v>43061</v>
      </c>
      <c r="H5837" s="26" t="n">
        <f aca="false">G5837-F5837</f>
        <v>61</v>
      </c>
      <c r="I5837" s="10" t="n">
        <f aca="false">IF(E5837="Won",1,0)</f>
        <v>1</v>
      </c>
    </row>
    <row r="5838" customFormat="false" ht="15" hidden="false" customHeight="false" outlineLevel="0" collapsed="false">
      <c r="A5838" s="10" t="s">
        <v>8179</v>
      </c>
      <c r="B5838" s="10" t="s">
        <v>61</v>
      </c>
      <c r="C5838" s="10" t="s">
        <v>52</v>
      </c>
      <c r="D5838" s="10" t="s">
        <v>233</v>
      </c>
      <c r="E5838" s="10" t="s">
        <v>2345</v>
      </c>
      <c r="F5838" s="30" t="n">
        <v>43019</v>
      </c>
      <c r="G5838" s="30" t="n">
        <v>43061</v>
      </c>
      <c r="H5838" s="26" t="n">
        <f aca="false">G5838-F5838</f>
        <v>42</v>
      </c>
      <c r="I5838" s="10" t="n">
        <f aca="false">IF(E5838="Won",1,0)</f>
        <v>0</v>
      </c>
    </row>
    <row r="5839" customFormat="false" ht="15" hidden="false" customHeight="false" outlineLevel="0" collapsed="false">
      <c r="A5839" s="10" t="s">
        <v>8180</v>
      </c>
      <c r="B5839" s="10" t="s">
        <v>88</v>
      </c>
      <c r="C5839" s="10" t="s">
        <v>50</v>
      </c>
      <c r="D5839" s="10" t="s">
        <v>441</v>
      </c>
      <c r="E5839" s="10" t="s">
        <v>2342</v>
      </c>
      <c r="F5839" s="30" t="n">
        <v>42994</v>
      </c>
      <c r="G5839" s="30" t="n">
        <v>43061</v>
      </c>
      <c r="H5839" s="26" t="n">
        <f aca="false">G5839-F5839</f>
        <v>67</v>
      </c>
      <c r="I5839" s="10" t="n">
        <f aca="false">IF(E5839="Won",1,0)</f>
        <v>1</v>
      </c>
    </row>
    <row r="5840" customFormat="false" ht="15" hidden="false" customHeight="false" outlineLevel="0" collapsed="false">
      <c r="A5840" s="10" t="s">
        <v>8181</v>
      </c>
      <c r="B5840" s="10" t="s">
        <v>83</v>
      </c>
      <c r="C5840" s="10" t="s">
        <v>52</v>
      </c>
      <c r="D5840" s="10" t="s">
        <v>267</v>
      </c>
      <c r="E5840" s="10" t="s">
        <v>2342</v>
      </c>
      <c r="F5840" s="30" t="n">
        <v>42972</v>
      </c>
      <c r="G5840" s="30" t="n">
        <v>43061</v>
      </c>
      <c r="H5840" s="26" t="n">
        <f aca="false">G5840-F5840</f>
        <v>89</v>
      </c>
      <c r="I5840" s="10" t="n">
        <f aca="false">IF(E5840="Won",1,0)</f>
        <v>1</v>
      </c>
    </row>
    <row r="5841" customFormat="false" ht="15" hidden="false" customHeight="false" outlineLevel="0" collapsed="false">
      <c r="A5841" s="10" t="s">
        <v>8182</v>
      </c>
      <c r="B5841" s="10" t="s">
        <v>57</v>
      </c>
      <c r="C5841" s="10" t="s">
        <v>50</v>
      </c>
      <c r="D5841" s="10" t="s">
        <v>453</v>
      </c>
      <c r="E5841" s="10" t="s">
        <v>2345</v>
      </c>
      <c r="F5841" s="30" t="n">
        <v>42999</v>
      </c>
      <c r="G5841" s="30" t="n">
        <v>43061</v>
      </c>
      <c r="H5841" s="26" t="n">
        <f aca="false">G5841-F5841</f>
        <v>62</v>
      </c>
      <c r="I5841" s="10" t="n">
        <f aca="false">IF(E5841="Won",1,0)</f>
        <v>0</v>
      </c>
    </row>
    <row r="5842" customFormat="false" ht="15" hidden="false" customHeight="false" outlineLevel="0" collapsed="false">
      <c r="A5842" s="10" t="s">
        <v>8183</v>
      </c>
      <c r="B5842" s="10" t="s">
        <v>70</v>
      </c>
      <c r="C5842" s="10" t="s">
        <v>47</v>
      </c>
      <c r="D5842" s="10" t="s">
        <v>175</v>
      </c>
      <c r="E5842" s="10" t="s">
        <v>2345</v>
      </c>
      <c r="F5842" s="30" t="n">
        <v>42972</v>
      </c>
      <c r="G5842" s="30" t="n">
        <v>43061</v>
      </c>
      <c r="H5842" s="26" t="n">
        <f aca="false">G5842-F5842</f>
        <v>89</v>
      </c>
      <c r="I5842" s="10" t="n">
        <f aca="false">IF(E5842="Won",1,0)</f>
        <v>0</v>
      </c>
    </row>
    <row r="5843" customFormat="false" ht="15" hidden="false" customHeight="false" outlineLevel="0" collapsed="false">
      <c r="A5843" s="10" t="s">
        <v>8184</v>
      </c>
      <c r="B5843" s="10" t="s">
        <v>70</v>
      </c>
      <c r="C5843" s="10" t="s">
        <v>52</v>
      </c>
      <c r="D5843" s="10" t="s">
        <v>175</v>
      </c>
      <c r="E5843" s="10" t="s">
        <v>2342</v>
      </c>
      <c r="F5843" s="30" t="n">
        <v>42988</v>
      </c>
      <c r="G5843" s="30" t="n">
        <v>43061</v>
      </c>
      <c r="H5843" s="26" t="n">
        <f aca="false">G5843-F5843</f>
        <v>73</v>
      </c>
      <c r="I5843" s="10" t="n">
        <f aca="false">IF(E5843="Won",1,0)</f>
        <v>1</v>
      </c>
    </row>
    <row r="5844" customFormat="false" ht="15" hidden="false" customHeight="false" outlineLevel="0" collapsed="false">
      <c r="A5844" s="10" t="s">
        <v>8185</v>
      </c>
      <c r="B5844" s="10" t="s">
        <v>77</v>
      </c>
      <c r="C5844" s="10" t="s">
        <v>47</v>
      </c>
      <c r="D5844" s="10" t="s">
        <v>1948</v>
      </c>
      <c r="E5844" s="10" t="s">
        <v>2342</v>
      </c>
      <c r="F5844" s="30" t="n">
        <v>43014</v>
      </c>
      <c r="G5844" s="30" t="n">
        <v>43061</v>
      </c>
      <c r="H5844" s="26" t="n">
        <f aca="false">G5844-F5844</f>
        <v>47</v>
      </c>
      <c r="I5844" s="10" t="n">
        <f aca="false">IF(E5844="Won",1,0)</f>
        <v>1</v>
      </c>
    </row>
    <row r="5845" customFormat="false" ht="15" hidden="false" customHeight="false" outlineLevel="0" collapsed="false">
      <c r="A5845" s="10" t="s">
        <v>8186</v>
      </c>
      <c r="B5845" s="10" t="s">
        <v>79</v>
      </c>
      <c r="C5845" s="10" t="s">
        <v>48</v>
      </c>
      <c r="D5845" s="10" t="s">
        <v>179</v>
      </c>
      <c r="E5845" s="10" t="s">
        <v>2342</v>
      </c>
      <c r="F5845" s="30" t="n">
        <v>42984</v>
      </c>
      <c r="G5845" s="30" t="n">
        <v>43061</v>
      </c>
      <c r="H5845" s="26" t="n">
        <f aca="false">G5845-F5845</f>
        <v>77</v>
      </c>
      <c r="I5845" s="10" t="n">
        <f aca="false">IF(E5845="Won",1,0)</f>
        <v>1</v>
      </c>
    </row>
    <row r="5846" customFormat="false" ht="15" hidden="false" customHeight="false" outlineLevel="0" collapsed="false">
      <c r="A5846" s="10" t="s">
        <v>8187</v>
      </c>
      <c r="B5846" s="10" t="s">
        <v>94</v>
      </c>
      <c r="C5846" s="10" t="s">
        <v>51</v>
      </c>
      <c r="D5846" s="10" t="s">
        <v>424</v>
      </c>
      <c r="E5846" s="10" t="s">
        <v>2342</v>
      </c>
      <c r="F5846" s="30" t="n">
        <v>42996</v>
      </c>
      <c r="G5846" s="30" t="n">
        <v>43061</v>
      </c>
      <c r="H5846" s="26" t="n">
        <f aca="false">G5846-F5846</f>
        <v>65</v>
      </c>
      <c r="I5846" s="10" t="n">
        <f aca="false">IF(E5846="Won",1,0)</f>
        <v>1</v>
      </c>
    </row>
    <row r="5847" customFormat="false" ht="15" hidden="false" customHeight="false" outlineLevel="0" collapsed="false">
      <c r="A5847" s="10" t="s">
        <v>8188</v>
      </c>
      <c r="B5847" s="10" t="s">
        <v>90</v>
      </c>
      <c r="C5847" s="10" t="s">
        <v>49</v>
      </c>
      <c r="D5847" s="10" t="s">
        <v>637</v>
      </c>
      <c r="E5847" s="10" t="s">
        <v>2345</v>
      </c>
      <c r="F5847" s="30" t="n">
        <v>42949</v>
      </c>
      <c r="G5847" s="30" t="n">
        <v>43062</v>
      </c>
      <c r="H5847" s="26" t="n">
        <f aca="false">G5847-F5847</f>
        <v>113</v>
      </c>
      <c r="I5847" s="10" t="n">
        <f aca="false">IF(E5847="Won",1,0)</f>
        <v>0</v>
      </c>
    </row>
    <row r="5848" customFormat="false" ht="15" hidden="false" customHeight="false" outlineLevel="0" collapsed="false">
      <c r="A5848" s="10" t="s">
        <v>8189</v>
      </c>
      <c r="B5848" s="10" t="s">
        <v>80</v>
      </c>
      <c r="C5848" s="10" t="s">
        <v>48</v>
      </c>
      <c r="D5848" s="10" t="s">
        <v>961</v>
      </c>
      <c r="E5848" s="10" t="s">
        <v>2345</v>
      </c>
      <c r="F5848" s="30" t="n">
        <v>42957</v>
      </c>
      <c r="G5848" s="30" t="n">
        <v>43062</v>
      </c>
      <c r="H5848" s="26" t="n">
        <f aca="false">G5848-F5848</f>
        <v>105</v>
      </c>
      <c r="I5848" s="10" t="n">
        <f aca="false">IF(E5848="Won",1,0)</f>
        <v>0</v>
      </c>
    </row>
    <row r="5849" customFormat="false" ht="15" hidden="false" customHeight="false" outlineLevel="0" collapsed="false">
      <c r="A5849" s="10" t="s">
        <v>8190</v>
      </c>
      <c r="B5849" s="10" t="s">
        <v>86</v>
      </c>
      <c r="C5849" s="10" t="s">
        <v>48</v>
      </c>
      <c r="D5849" s="10" t="s">
        <v>233</v>
      </c>
      <c r="E5849" s="10" t="s">
        <v>2342</v>
      </c>
      <c r="F5849" s="30" t="n">
        <v>42992</v>
      </c>
      <c r="G5849" s="30" t="n">
        <v>43062</v>
      </c>
      <c r="H5849" s="26" t="n">
        <f aca="false">G5849-F5849</f>
        <v>70</v>
      </c>
      <c r="I5849" s="10" t="n">
        <f aca="false">IF(E5849="Won",1,0)</f>
        <v>1</v>
      </c>
    </row>
    <row r="5850" customFormat="false" ht="15" hidden="false" customHeight="false" outlineLevel="0" collapsed="false">
      <c r="A5850" s="10" t="s">
        <v>8191</v>
      </c>
      <c r="B5850" s="10" t="s">
        <v>81</v>
      </c>
      <c r="C5850" s="10" t="s">
        <v>50</v>
      </c>
      <c r="D5850" s="10" t="s">
        <v>961</v>
      </c>
      <c r="E5850" s="10" t="s">
        <v>2345</v>
      </c>
      <c r="F5850" s="30" t="n">
        <v>42997</v>
      </c>
      <c r="G5850" s="30" t="n">
        <v>43062</v>
      </c>
      <c r="H5850" s="26" t="n">
        <f aca="false">G5850-F5850</f>
        <v>65</v>
      </c>
      <c r="I5850" s="10" t="n">
        <f aca="false">IF(E5850="Won",1,0)</f>
        <v>0</v>
      </c>
    </row>
    <row r="5851" customFormat="false" ht="15" hidden="false" customHeight="false" outlineLevel="0" collapsed="false">
      <c r="A5851" s="10" t="s">
        <v>8192</v>
      </c>
      <c r="B5851" s="10" t="s">
        <v>63</v>
      </c>
      <c r="C5851" s="10" t="s">
        <v>51</v>
      </c>
      <c r="D5851" s="10" t="s">
        <v>1118</v>
      </c>
      <c r="E5851" s="10" t="s">
        <v>2342</v>
      </c>
      <c r="F5851" s="30" t="n">
        <v>42973</v>
      </c>
      <c r="G5851" s="30" t="n">
        <v>43062</v>
      </c>
      <c r="H5851" s="26" t="n">
        <f aca="false">G5851-F5851</f>
        <v>89</v>
      </c>
      <c r="I5851" s="10" t="n">
        <f aca="false">IF(E5851="Won",1,0)</f>
        <v>1</v>
      </c>
    </row>
    <row r="5852" customFormat="false" ht="15" hidden="false" customHeight="false" outlineLevel="0" collapsed="false">
      <c r="A5852" s="10" t="s">
        <v>8193</v>
      </c>
      <c r="B5852" s="10" t="s">
        <v>57</v>
      </c>
      <c r="C5852" s="10" t="s">
        <v>52</v>
      </c>
      <c r="D5852" s="10" t="s">
        <v>1397</v>
      </c>
      <c r="E5852" s="10" t="s">
        <v>2342</v>
      </c>
      <c r="F5852" s="30" t="n">
        <v>42977</v>
      </c>
      <c r="G5852" s="30" t="n">
        <v>43062</v>
      </c>
      <c r="H5852" s="26" t="n">
        <f aca="false">G5852-F5852</f>
        <v>85</v>
      </c>
      <c r="I5852" s="10" t="n">
        <f aca="false">IF(E5852="Won",1,0)</f>
        <v>1</v>
      </c>
    </row>
    <row r="5853" customFormat="false" ht="15" hidden="false" customHeight="false" outlineLevel="0" collapsed="false">
      <c r="A5853" s="10" t="s">
        <v>8194</v>
      </c>
      <c r="B5853" s="10" t="s">
        <v>63</v>
      </c>
      <c r="C5853" s="10" t="s">
        <v>48</v>
      </c>
      <c r="D5853" s="10" t="s">
        <v>405</v>
      </c>
      <c r="E5853" s="10" t="s">
        <v>2345</v>
      </c>
      <c r="F5853" s="30" t="n">
        <v>43048</v>
      </c>
      <c r="G5853" s="30" t="n">
        <v>43062</v>
      </c>
      <c r="H5853" s="26" t="n">
        <f aca="false">G5853-F5853</f>
        <v>14</v>
      </c>
      <c r="I5853" s="10" t="n">
        <f aca="false">IF(E5853="Won",1,0)</f>
        <v>0</v>
      </c>
    </row>
    <row r="5854" customFormat="false" ht="15" hidden="false" customHeight="false" outlineLevel="0" collapsed="false">
      <c r="A5854" s="10" t="s">
        <v>8195</v>
      </c>
      <c r="B5854" s="10" t="s">
        <v>73</v>
      </c>
      <c r="C5854" s="10" t="s">
        <v>52</v>
      </c>
      <c r="D5854" s="10" t="s">
        <v>961</v>
      </c>
      <c r="E5854" s="10" t="s">
        <v>2342</v>
      </c>
      <c r="F5854" s="30" t="n">
        <v>42959</v>
      </c>
      <c r="G5854" s="30" t="n">
        <v>43062</v>
      </c>
      <c r="H5854" s="26" t="n">
        <f aca="false">G5854-F5854</f>
        <v>103</v>
      </c>
      <c r="I5854" s="10" t="n">
        <f aca="false">IF(E5854="Won",1,0)</f>
        <v>1</v>
      </c>
    </row>
    <row r="5855" customFormat="false" ht="15" hidden="false" customHeight="false" outlineLevel="0" collapsed="false">
      <c r="A5855" s="10" t="s">
        <v>8196</v>
      </c>
      <c r="B5855" s="10" t="s">
        <v>95</v>
      </c>
      <c r="C5855" s="10" t="s">
        <v>49</v>
      </c>
      <c r="D5855" s="10" t="s">
        <v>313</v>
      </c>
      <c r="E5855" s="10" t="s">
        <v>2345</v>
      </c>
      <c r="F5855" s="30" t="n">
        <v>43048</v>
      </c>
      <c r="G5855" s="30" t="n">
        <v>43062</v>
      </c>
      <c r="H5855" s="26" t="n">
        <f aca="false">G5855-F5855</f>
        <v>14</v>
      </c>
      <c r="I5855" s="10" t="n">
        <f aca="false">IF(E5855="Won",1,0)</f>
        <v>0</v>
      </c>
    </row>
    <row r="5856" customFormat="false" ht="15" hidden="false" customHeight="false" outlineLevel="0" collapsed="false">
      <c r="A5856" s="10" t="s">
        <v>8197</v>
      </c>
      <c r="B5856" s="10" t="s">
        <v>93</v>
      </c>
      <c r="C5856" s="10" t="s">
        <v>50</v>
      </c>
      <c r="D5856" s="10" t="s">
        <v>437</v>
      </c>
      <c r="E5856" s="10" t="s">
        <v>2342</v>
      </c>
      <c r="F5856" s="30" t="n">
        <v>43017</v>
      </c>
      <c r="G5856" s="30" t="n">
        <v>43062</v>
      </c>
      <c r="H5856" s="26" t="n">
        <f aca="false">G5856-F5856</f>
        <v>45</v>
      </c>
      <c r="I5856" s="10" t="n">
        <f aca="false">IF(E5856="Won",1,0)</f>
        <v>1</v>
      </c>
    </row>
    <row r="5857" customFormat="false" ht="15" hidden="false" customHeight="false" outlineLevel="0" collapsed="false">
      <c r="A5857" s="10" t="s">
        <v>8198</v>
      </c>
      <c r="B5857" s="10" t="s">
        <v>94</v>
      </c>
      <c r="C5857" s="10" t="s">
        <v>51</v>
      </c>
      <c r="D5857" s="10" t="s">
        <v>172</v>
      </c>
      <c r="E5857" s="10" t="s">
        <v>2342</v>
      </c>
      <c r="F5857" s="30" t="n">
        <v>43048</v>
      </c>
      <c r="G5857" s="30" t="n">
        <v>43062</v>
      </c>
      <c r="H5857" s="26" t="n">
        <f aca="false">G5857-F5857</f>
        <v>14</v>
      </c>
      <c r="I5857" s="10" t="n">
        <f aca="false">IF(E5857="Won",1,0)</f>
        <v>1</v>
      </c>
    </row>
    <row r="5858" customFormat="false" ht="15" hidden="false" customHeight="false" outlineLevel="0" collapsed="false">
      <c r="A5858" s="10" t="s">
        <v>8199</v>
      </c>
      <c r="B5858" s="10" t="s">
        <v>94</v>
      </c>
      <c r="C5858" s="10" t="s">
        <v>47</v>
      </c>
      <c r="D5858" s="10" t="s">
        <v>606</v>
      </c>
      <c r="E5858" s="10" t="s">
        <v>2342</v>
      </c>
      <c r="F5858" s="30" t="n">
        <v>42972</v>
      </c>
      <c r="G5858" s="30" t="n">
        <v>43062</v>
      </c>
      <c r="H5858" s="26" t="n">
        <f aca="false">G5858-F5858</f>
        <v>90</v>
      </c>
      <c r="I5858" s="10" t="n">
        <f aca="false">IF(E5858="Won",1,0)</f>
        <v>1</v>
      </c>
    </row>
    <row r="5859" customFormat="false" ht="15" hidden="false" customHeight="false" outlineLevel="0" collapsed="false">
      <c r="A5859" s="10" t="s">
        <v>8200</v>
      </c>
      <c r="B5859" s="10" t="s">
        <v>71</v>
      </c>
      <c r="C5859" s="10" t="s">
        <v>47</v>
      </c>
      <c r="D5859" s="10" t="s">
        <v>193</v>
      </c>
      <c r="E5859" s="10" t="s">
        <v>2345</v>
      </c>
      <c r="F5859" s="30" t="n">
        <v>43002</v>
      </c>
      <c r="G5859" s="30" t="n">
        <v>43062</v>
      </c>
      <c r="H5859" s="26" t="n">
        <f aca="false">G5859-F5859</f>
        <v>60</v>
      </c>
      <c r="I5859" s="10" t="n">
        <f aca="false">IF(E5859="Won",1,0)</f>
        <v>0</v>
      </c>
    </row>
    <row r="5860" customFormat="false" ht="15" hidden="false" customHeight="false" outlineLevel="0" collapsed="false">
      <c r="A5860" s="10" t="s">
        <v>8201</v>
      </c>
      <c r="B5860" s="10" t="s">
        <v>95</v>
      </c>
      <c r="C5860" s="10" t="s">
        <v>48</v>
      </c>
      <c r="D5860" s="10" t="s">
        <v>299</v>
      </c>
      <c r="E5860" s="10" t="s">
        <v>2342</v>
      </c>
      <c r="F5860" s="30" t="n">
        <v>43016</v>
      </c>
      <c r="G5860" s="30" t="n">
        <v>43062</v>
      </c>
      <c r="H5860" s="26" t="n">
        <f aca="false">G5860-F5860</f>
        <v>46</v>
      </c>
      <c r="I5860" s="10" t="n">
        <f aca="false">IF(E5860="Won",1,0)</f>
        <v>1</v>
      </c>
    </row>
    <row r="5861" customFormat="false" ht="15" hidden="false" customHeight="false" outlineLevel="0" collapsed="false">
      <c r="A5861" s="10" t="s">
        <v>8202</v>
      </c>
      <c r="B5861" s="10" t="s">
        <v>93</v>
      </c>
      <c r="C5861" s="10" t="s">
        <v>48</v>
      </c>
      <c r="D5861" s="10" t="s">
        <v>168</v>
      </c>
      <c r="E5861" s="10" t="s">
        <v>2345</v>
      </c>
      <c r="F5861" s="30" t="n">
        <v>43013</v>
      </c>
      <c r="G5861" s="30" t="n">
        <v>43062</v>
      </c>
      <c r="H5861" s="26" t="n">
        <f aca="false">G5861-F5861</f>
        <v>49</v>
      </c>
      <c r="I5861" s="10" t="n">
        <f aca="false">IF(E5861="Won",1,0)</f>
        <v>0</v>
      </c>
    </row>
    <row r="5862" customFormat="false" ht="15" hidden="false" customHeight="false" outlineLevel="0" collapsed="false">
      <c r="A5862" s="10" t="s">
        <v>8203</v>
      </c>
      <c r="B5862" s="10" t="s">
        <v>62</v>
      </c>
      <c r="C5862" s="10" t="s">
        <v>52</v>
      </c>
      <c r="D5862" s="10" t="s">
        <v>359</v>
      </c>
      <c r="E5862" s="10" t="s">
        <v>2342</v>
      </c>
      <c r="F5862" s="30" t="n">
        <v>42962</v>
      </c>
      <c r="G5862" s="30" t="n">
        <v>43062</v>
      </c>
      <c r="H5862" s="26" t="n">
        <f aca="false">G5862-F5862</f>
        <v>100</v>
      </c>
      <c r="I5862" s="10" t="n">
        <f aca="false">IF(E5862="Won",1,0)</f>
        <v>1</v>
      </c>
    </row>
    <row r="5863" customFormat="false" ht="15" hidden="false" customHeight="false" outlineLevel="0" collapsed="false">
      <c r="A5863" s="10" t="s">
        <v>8204</v>
      </c>
      <c r="B5863" s="10" t="s">
        <v>86</v>
      </c>
      <c r="C5863" s="10" t="s">
        <v>49</v>
      </c>
      <c r="D5863" s="10" t="s">
        <v>464</v>
      </c>
      <c r="E5863" s="10" t="s">
        <v>2342</v>
      </c>
      <c r="F5863" s="30" t="n">
        <v>42938</v>
      </c>
      <c r="G5863" s="30" t="n">
        <v>43062</v>
      </c>
      <c r="H5863" s="26" t="n">
        <f aca="false">G5863-F5863</f>
        <v>124</v>
      </c>
      <c r="I5863" s="10" t="n">
        <f aca="false">IF(E5863="Won",1,0)</f>
        <v>1</v>
      </c>
    </row>
    <row r="5864" customFormat="false" ht="15" hidden="false" customHeight="false" outlineLevel="0" collapsed="false">
      <c r="A5864" s="10" t="s">
        <v>8205</v>
      </c>
      <c r="B5864" s="10" t="s">
        <v>68</v>
      </c>
      <c r="C5864" s="10" t="s">
        <v>48</v>
      </c>
      <c r="D5864" s="10" t="s">
        <v>326</v>
      </c>
      <c r="E5864" s="10" t="s">
        <v>2345</v>
      </c>
      <c r="F5864" s="30" t="n">
        <v>42947</v>
      </c>
      <c r="G5864" s="30" t="n">
        <v>43062</v>
      </c>
      <c r="H5864" s="26" t="n">
        <f aca="false">G5864-F5864</f>
        <v>115</v>
      </c>
      <c r="I5864" s="10" t="n">
        <f aca="false">IF(E5864="Won",1,0)</f>
        <v>0</v>
      </c>
    </row>
    <row r="5865" customFormat="false" ht="15" hidden="false" customHeight="false" outlineLevel="0" collapsed="false">
      <c r="A5865" s="10" t="s">
        <v>8206</v>
      </c>
      <c r="B5865" s="10" t="s">
        <v>86</v>
      </c>
      <c r="C5865" s="10" t="s">
        <v>51</v>
      </c>
      <c r="D5865" s="10" t="s">
        <v>637</v>
      </c>
      <c r="E5865" s="10" t="s">
        <v>2345</v>
      </c>
      <c r="F5865" s="30" t="n">
        <v>43052</v>
      </c>
      <c r="G5865" s="30" t="n">
        <v>43062</v>
      </c>
      <c r="H5865" s="26" t="n">
        <f aca="false">G5865-F5865</f>
        <v>10</v>
      </c>
      <c r="I5865" s="10" t="n">
        <f aca="false">IF(E5865="Won",1,0)</f>
        <v>0</v>
      </c>
    </row>
    <row r="5866" customFormat="false" ht="15" hidden="false" customHeight="false" outlineLevel="0" collapsed="false">
      <c r="A5866" s="10" t="s">
        <v>8207</v>
      </c>
      <c r="B5866" s="10" t="s">
        <v>77</v>
      </c>
      <c r="C5866" s="10" t="s">
        <v>49</v>
      </c>
      <c r="D5866" s="10" t="s">
        <v>869</v>
      </c>
      <c r="E5866" s="10" t="s">
        <v>2345</v>
      </c>
      <c r="F5866" s="30" t="n">
        <v>42948</v>
      </c>
      <c r="G5866" s="30" t="n">
        <v>43062</v>
      </c>
      <c r="H5866" s="26" t="n">
        <f aca="false">G5866-F5866</f>
        <v>114</v>
      </c>
      <c r="I5866" s="10" t="n">
        <f aca="false">IF(E5866="Won",1,0)</f>
        <v>0</v>
      </c>
    </row>
    <row r="5867" customFormat="false" ht="15" hidden="false" customHeight="false" outlineLevel="0" collapsed="false">
      <c r="A5867" s="10" t="s">
        <v>8208</v>
      </c>
      <c r="B5867" s="10" t="s">
        <v>90</v>
      </c>
      <c r="C5867" s="10" t="s">
        <v>47</v>
      </c>
      <c r="D5867" s="10" t="s">
        <v>286</v>
      </c>
      <c r="E5867" s="10" t="s">
        <v>2345</v>
      </c>
      <c r="F5867" s="30" t="n">
        <v>43053</v>
      </c>
      <c r="G5867" s="30" t="n">
        <v>43062</v>
      </c>
      <c r="H5867" s="26" t="n">
        <f aca="false">G5867-F5867</f>
        <v>9</v>
      </c>
      <c r="I5867" s="10" t="n">
        <f aca="false">IF(E5867="Won",1,0)</f>
        <v>0</v>
      </c>
    </row>
    <row r="5868" customFormat="false" ht="15" hidden="false" customHeight="false" outlineLevel="0" collapsed="false">
      <c r="A5868" s="10" t="s">
        <v>8209</v>
      </c>
      <c r="B5868" s="10" t="s">
        <v>81</v>
      </c>
      <c r="C5868" s="10" t="s">
        <v>50</v>
      </c>
      <c r="D5868" s="10" t="s">
        <v>524</v>
      </c>
      <c r="E5868" s="10" t="s">
        <v>2342</v>
      </c>
      <c r="F5868" s="30" t="n">
        <v>43053</v>
      </c>
      <c r="G5868" s="30" t="n">
        <v>43062</v>
      </c>
      <c r="H5868" s="26" t="n">
        <f aca="false">G5868-F5868</f>
        <v>9</v>
      </c>
      <c r="I5868" s="10" t="n">
        <f aca="false">IF(E5868="Won",1,0)</f>
        <v>1</v>
      </c>
    </row>
    <row r="5869" customFormat="false" ht="15" hidden="false" customHeight="false" outlineLevel="0" collapsed="false">
      <c r="A5869" s="10" t="s">
        <v>8210</v>
      </c>
      <c r="B5869" s="10" t="s">
        <v>68</v>
      </c>
      <c r="C5869" s="10" t="s">
        <v>52</v>
      </c>
      <c r="D5869" s="10" t="s">
        <v>506</v>
      </c>
      <c r="E5869" s="10" t="s">
        <v>2345</v>
      </c>
      <c r="F5869" s="30" t="n">
        <v>43055</v>
      </c>
      <c r="G5869" s="30" t="n">
        <v>43062</v>
      </c>
      <c r="H5869" s="26" t="n">
        <f aca="false">G5869-F5869</f>
        <v>7</v>
      </c>
      <c r="I5869" s="10" t="n">
        <f aca="false">IF(E5869="Won",1,0)</f>
        <v>0</v>
      </c>
    </row>
    <row r="5870" customFormat="false" ht="15" hidden="false" customHeight="false" outlineLevel="0" collapsed="false">
      <c r="A5870" s="10" t="s">
        <v>8211</v>
      </c>
      <c r="B5870" s="10" t="s">
        <v>67</v>
      </c>
      <c r="C5870" s="10" t="s">
        <v>49</v>
      </c>
      <c r="D5870" s="10" t="s">
        <v>396</v>
      </c>
      <c r="E5870" s="10" t="s">
        <v>2345</v>
      </c>
      <c r="F5870" s="30" t="n">
        <v>43053</v>
      </c>
      <c r="G5870" s="30" t="n">
        <v>43062</v>
      </c>
      <c r="H5870" s="26" t="n">
        <f aca="false">G5870-F5870</f>
        <v>9</v>
      </c>
      <c r="I5870" s="10" t="n">
        <f aca="false">IF(E5870="Won",1,0)</f>
        <v>0</v>
      </c>
    </row>
    <row r="5871" customFormat="false" ht="15" hidden="false" customHeight="false" outlineLevel="0" collapsed="false">
      <c r="A5871" s="10" t="s">
        <v>8212</v>
      </c>
      <c r="B5871" s="10" t="s">
        <v>75</v>
      </c>
      <c r="C5871" s="10" t="s">
        <v>49</v>
      </c>
      <c r="D5871" s="10" t="s">
        <v>597</v>
      </c>
      <c r="E5871" s="10" t="s">
        <v>2342</v>
      </c>
      <c r="F5871" s="30" t="n">
        <v>43059</v>
      </c>
      <c r="G5871" s="30" t="n">
        <v>43062</v>
      </c>
      <c r="H5871" s="26" t="n">
        <f aca="false">G5871-F5871</f>
        <v>3</v>
      </c>
      <c r="I5871" s="10" t="n">
        <f aca="false">IF(E5871="Won",1,0)</f>
        <v>1</v>
      </c>
    </row>
    <row r="5872" customFormat="false" ht="15" hidden="false" customHeight="false" outlineLevel="0" collapsed="false">
      <c r="A5872" s="10" t="s">
        <v>8213</v>
      </c>
      <c r="B5872" s="10" t="s">
        <v>81</v>
      </c>
      <c r="C5872" s="10" t="s">
        <v>48</v>
      </c>
      <c r="D5872" s="10" t="s">
        <v>267</v>
      </c>
      <c r="E5872" s="10" t="s">
        <v>2345</v>
      </c>
      <c r="F5872" s="30" t="n">
        <v>43011</v>
      </c>
      <c r="G5872" s="30" t="n">
        <v>43063</v>
      </c>
      <c r="H5872" s="26" t="n">
        <f aca="false">G5872-F5872</f>
        <v>52</v>
      </c>
      <c r="I5872" s="10" t="n">
        <f aca="false">IF(E5872="Won",1,0)</f>
        <v>0</v>
      </c>
    </row>
    <row r="5873" customFormat="false" ht="15" hidden="false" customHeight="false" outlineLevel="0" collapsed="false">
      <c r="A5873" s="10" t="s">
        <v>8214</v>
      </c>
      <c r="B5873" s="10" t="s">
        <v>94</v>
      </c>
      <c r="C5873" s="10" t="s">
        <v>51</v>
      </c>
      <c r="D5873" s="10" t="s">
        <v>437</v>
      </c>
      <c r="E5873" s="10" t="s">
        <v>2342</v>
      </c>
      <c r="F5873" s="30" t="n">
        <v>42986</v>
      </c>
      <c r="G5873" s="30" t="n">
        <v>43063</v>
      </c>
      <c r="H5873" s="26" t="n">
        <f aca="false">G5873-F5873</f>
        <v>77</v>
      </c>
      <c r="I5873" s="10" t="n">
        <f aca="false">IF(E5873="Won",1,0)</f>
        <v>1</v>
      </c>
    </row>
    <row r="5874" customFormat="false" ht="15" hidden="false" customHeight="false" outlineLevel="0" collapsed="false">
      <c r="A5874" s="10" t="s">
        <v>8215</v>
      </c>
      <c r="B5874" s="10" t="s">
        <v>93</v>
      </c>
      <c r="C5874" s="10" t="s">
        <v>52</v>
      </c>
      <c r="D5874" s="10" t="s">
        <v>506</v>
      </c>
      <c r="E5874" s="10" t="s">
        <v>2342</v>
      </c>
      <c r="F5874" s="30" t="n">
        <v>42998</v>
      </c>
      <c r="G5874" s="30" t="n">
        <v>43063</v>
      </c>
      <c r="H5874" s="26" t="n">
        <f aca="false">G5874-F5874</f>
        <v>65</v>
      </c>
      <c r="I5874" s="10" t="n">
        <f aca="false">IF(E5874="Won",1,0)</f>
        <v>1</v>
      </c>
    </row>
    <row r="5875" customFormat="false" ht="15" hidden="false" customHeight="false" outlineLevel="0" collapsed="false">
      <c r="A5875" s="10" t="s">
        <v>8216</v>
      </c>
      <c r="B5875" s="10" t="s">
        <v>71</v>
      </c>
      <c r="C5875" s="10" t="s">
        <v>51</v>
      </c>
      <c r="D5875" s="10" t="s">
        <v>536</v>
      </c>
      <c r="E5875" s="10" t="s">
        <v>2342</v>
      </c>
      <c r="F5875" s="30" t="n">
        <v>42978</v>
      </c>
      <c r="G5875" s="30" t="n">
        <v>43063</v>
      </c>
      <c r="H5875" s="26" t="n">
        <f aca="false">G5875-F5875</f>
        <v>85</v>
      </c>
      <c r="I5875" s="10" t="n">
        <f aca="false">IF(E5875="Won",1,0)</f>
        <v>1</v>
      </c>
    </row>
    <row r="5876" customFormat="false" ht="15" hidden="false" customHeight="false" outlineLevel="0" collapsed="false">
      <c r="A5876" s="10" t="s">
        <v>8217</v>
      </c>
      <c r="B5876" s="10" t="s">
        <v>94</v>
      </c>
      <c r="C5876" s="10" t="s">
        <v>50</v>
      </c>
      <c r="D5876" s="10" t="s">
        <v>506</v>
      </c>
      <c r="E5876" s="10" t="s">
        <v>2345</v>
      </c>
      <c r="F5876" s="30" t="n">
        <v>42954</v>
      </c>
      <c r="G5876" s="30" t="n">
        <v>43063</v>
      </c>
      <c r="H5876" s="26" t="n">
        <f aca="false">G5876-F5876</f>
        <v>109</v>
      </c>
      <c r="I5876" s="10" t="n">
        <f aca="false">IF(E5876="Won",1,0)</f>
        <v>0</v>
      </c>
    </row>
    <row r="5877" customFormat="false" ht="15" hidden="false" customHeight="false" outlineLevel="0" collapsed="false">
      <c r="A5877" s="10" t="s">
        <v>8218</v>
      </c>
      <c r="B5877" s="10" t="s">
        <v>79</v>
      </c>
      <c r="C5877" s="10" t="s">
        <v>47</v>
      </c>
      <c r="D5877" s="10" t="s">
        <v>1251</v>
      </c>
      <c r="E5877" s="10" t="s">
        <v>2345</v>
      </c>
      <c r="F5877" s="30" t="n">
        <v>43060</v>
      </c>
      <c r="G5877" s="30" t="n">
        <v>43063</v>
      </c>
      <c r="H5877" s="26" t="n">
        <f aca="false">G5877-F5877</f>
        <v>3</v>
      </c>
      <c r="I5877" s="10" t="n">
        <f aca="false">IF(E5877="Won",1,0)</f>
        <v>0</v>
      </c>
    </row>
    <row r="5878" customFormat="false" ht="15" hidden="false" customHeight="false" outlineLevel="0" collapsed="false">
      <c r="A5878" s="10" t="s">
        <v>8219</v>
      </c>
      <c r="B5878" s="10" t="s">
        <v>95</v>
      </c>
      <c r="C5878" s="10" t="s">
        <v>49</v>
      </c>
      <c r="D5878" s="10" t="s">
        <v>506</v>
      </c>
      <c r="E5878" s="10" t="s">
        <v>2345</v>
      </c>
      <c r="F5878" s="30" t="n">
        <v>42980</v>
      </c>
      <c r="G5878" s="30" t="n">
        <v>43063</v>
      </c>
      <c r="H5878" s="26" t="n">
        <f aca="false">G5878-F5878</f>
        <v>83</v>
      </c>
      <c r="I5878" s="10" t="n">
        <f aca="false">IF(E5878="Won",1,0)</f>
        <v>0</v>
      </c>
    </row>
    <row r="5879" customFormat="false" ht="15" hidden="false" customHeight="false" outlineLevel="0" collapsed="false">
      <c r="A5879" s="10" t="s">
        <v>8220</v>
      </c>
      <c r="B5879" s="10" t="s">
        <v>68</v>
      </c>
      <c r="C5879" s="10" t="s">
        <v>48</v>
      </c>
      <c r="D5879" s="10" t="s">
        <v>326</v>
      </c>
      <c r="E5879" s="10" t="s">
        <v>2342</v>
      </c>
      <c r="F5879" s="30" t="n">
        <v>42998</v>
      </c>
      <c r="G5879" s="30" t="n">
        <v>43063</v>
      </c>
      <c r="H5879" s="26" t="n">
        <f aca="false">G5879-F5879</f>
        <v>65</v>
      </c>
      <c r="I5879" s="10" t="n">
        <f aca="false">IF(E5879="Won",1,0)</f>
        <v>1</v>
      </c>
    </row>
    <row r="5880" customFormat="false" ht="15" hidden="false" customHeight="false" outlineLevel="0" collapsed="false">
      <c r="A5880" s="10" t="s">
        <v>8221</v>
      </c>
      <c r="B5880" s="10" t="s">
        <v>67</v>
      </c>
      <c r="C5880" s="10" t="s">
        <v>50</v>
      </c>
      <c r="D5880" s="10" t="s">
        <v>483</v>
      </c>
      <c r="E5880" s="10" t="s">
        <v>2345</v>
      </c>
      <c r="F5880" s="30" t="n">
        <v>43004</v>
      </c>
      <c r="G5880" s="30" t="n">
        <v>43063</v>
      </c>
      <c r="H5880" s="26" t="n">
        <f aca="false">G5880-F5880</f>
        <v>59</v>
      </c>
      <c r="I5880" s="10" t="n">
        <f aca="false">IF(E5880="Won",1,0)</f>
        <v>0</v>
      </c>
    </row>
    <row r="5881" customFormat="false" ht="15" hidden="false" customHeight="false" outlineLevel="0" collapsed="false">
      <c r="A5881" s="10" t="s">
        <v>8222</v>
      </c>
      <c r="B5881" s="10" t="s">
        <v>86</v>
      </c>
      <c r="C5881" s="10" t="s">
        <v>49</v>
      </c>
      <c r="D5881" s="10" t="s">
        <v>350</v>
      </c>
      <c r="E5881" s="10" t="s">
        <v>2345</v>
      </c>
      <c r="F5881" s="30" t="n">
        <v>42960</v>
      </c>
      <c r="G5881" s="30" t="n">
        <v>43063</v>
      </c>
      <c r="H5881" s="26" t="n">
        <f aca="false">G5881-F5881</f>
        <v>103</v>
      </c>
      <c r="I5881" s="10" t="n">
        <f aca="false">IF(E5881="Won",1,0)</f>
        <v>0</v>
      </c>
    </row>
    <row r="5882" customFormat="false" ht="15" hidden="false" customHeight="false" outlineLevel="0" collapsed="false">
      <c r="A5882" s="10" t="s">
        <v>8223</v>
      </c>
      <c r="B5882" s="10" t="s">
        <v>90</v>
      </c>
      <c r="C5882" s="10" t="s">
        <v>50</v>
      </c>
      <c r="D5882" s="10" t="s">
        <v>692</v>
      </c>
      <c r="E5882" s="10" t="s">
        <v>2342</v>
      </c>
      <c r="F5882" s="30" t="n">
        <v>43055</v>
      </c>
      <c r="G5882" s="30" t="n">
        <v>43063</v>
      </c>
      <c r="H5882" s="26" t="n">
        <f aca="false">G5882-F5882</f>
        <v>8</v>
      </c>
      <c r="I5882" s="10" t="n">
        <f aca="false">IF(E5882="Won",1,0)</f>
        <v>1</v>
      </c>
    </row>
    <row r="5883" customFormat="false" ht="15" hidden="false" customHeight="false" outlineLevel="0" collapsed="false">
      <c r="A5883" s="10" t="s">
        <v>8224</v>
      </c>
      <c r="B5883" s="10" t="s">
        <v>77</v>
      </c>
      <c r="C5883" s="10" t="s">
        <v>47</v>
      </c>
      <c r="D5883" s="10" t="s">
        <v>291</v>
      </c>
      <c r="E5883" s="10" t="s">
        <v>2342</v>
      </c>
      <c r="F5883" s="30" t="n">
        <v>43056</v>
      </c>
      <c r="G5883" s="30" t="n">
        <v>43063</v>
      </c>
      <c r="H5883" s="26" t="n">
        <f aca="false">G5883-F5883</f>
        <v>7</v>
      </c>
      <c r="I5883" s="10" t="n">
        <f aca="false">IF(E5883="Won",1,0)</f>
        <v>1</v>
      </c>
    </row>
    <row r="5884" customFormat="false" ht="15" hidden="false" customHeight="false" outlineLevel="0" collapsed="false">
      <c r="A5884" s="10" t="s">
        <v>8225</v>
      </c>
      <c r="B5884" s="10" t="s">
        <v>77</v>
      </c>
      <c r="C5884" s="10" t="s">
        <v>47</v>
      </c>
      <c r="D5884" s="10" t="s">
        <v>1948</v>
      </c>
      <c r="E5884" s="10" t="s">
        <v>2345</v>
      </c>
      <c r="F5884" s="30" t="n">
        <v>42983</v>
      </c>
      <c r="G5884" s="30" t="n">
        <v>43063</v>
      </c>
      <c r="H5884" s="26" t="n">
        <f aca="false">G5884-F5884</f>
        <v>80</v>
      </c>
      <c r="I5884" s="10" t="n">
        <f aca="false">IF(E5884="Won",1,0)</f>
        <v>0</v>
      </c>
    </row>
    <row r="5885" customFormat="false" ht="15" hidden="false" customHeight="false" outlineLevel="0" collapsed="false">
      <c r="A5885" s="10" t="s">
        <v>8226</v>
      </c>
      <c r="B5885" s="10" t="s">
        <v>93</v>
      </c>
      <c r="C5885" s="10" t="s">
        <v>51</v>
      </c>
      <c r="D5885" s="10" t="s">
        <v>522</v>
      </c>
      <c r="E5885" s="10" t="s">
        <v>2342</v>
      </c>
      <c r="F5885" s="30" t="n">
        <v>42980</v>
      </c>
      <c r="G5885" s="30" t="n">
        <v>43063</v>
      </c>
      <c r="H5885" s="26" t="n">
        <f aca="false">G5885-F5885</f>
        <v>83</v>
      </c>
      <c r="I5885" s="10" t="n">
        <f aca="false">IF(E5885="Won",1,0)</f>
        <v>1</v>
      </c>
    </row>
    <row r="5886" customFormat="false" ht="15" hidden="false" customHeight="false" outlineLevel="0" collapsed="false">
      <c r="A5886" s="10" t="s">
        <v>8227</v>
      </c>
      <c r="B5886" s="10" t="s">
        <v>86</v>
      </c>
      <c r="C5886" s="10" t="s">
        <v>47</v>
      </c>
      <c r="D5886" s="10" t="s">
        <v>254</v>
      </c>
      <c r="E5886" s="10" t="s">
        <v>2345</v>
      </c>
      <c r="F5886" s="30" t="n">
        <v>43000</v>
      </c>
      <c r="G5886" s="30" t="n">
        <v>43063</v>
      </c>
      <c r="H5886" s="26" t="n">
        <f aca="false">G5886-F5886</f>
        <v>63</v>
      </c>
      <c r="I5886" s="10" t="n">
        <f aca="false">IF(E5886="Won",1,0)</f>
        <v>0</v>
      </c>
    </row>
    <row r="5887" customFormat="false" ht="15" hidden="false" customHeight="false" outlineLevel="0" collapsed="false">
      <c r="A5887" s="10" t="s">
        <v>8228</v>
      </c>
      <c r="B5887" s="10" t="s">
        <v>80</v>
      </c>
      <c r="C5887" s="10" t="s">
        <v>51</v>
      </c>
      <c r="D5887" s="10" t="s">
        <v>193</v>
      </c>
      <c r="E5887" s="10" t="s">
        <v>2342</v>
      </c>
      <c r="F5887" s="30" t="n">
        <v>43009</v>
      </c>
      <c r="G5887" s="30" t="n">
        <v>43063</v>
      </c>
      <c r="H5887" s="26" t="n">
        <f aca="false">G5887-F5887</f>
        <v>54</v>
      </c>
      <c r="I5887" s="10" t="n">
        <f aca="false">IF(E5887="Won",1,0)</f>
        <v>1</v>
      </c>
    </row>
    <row r="5888" customFormat="false" ht="15" hidden="false" customHeight="false" outlineLevel="0" collapsed="false">
      <c r="A5888" s="10" t="s">
        <v>8229</v>
      </c>
      <c r="B5888" s="10" t="s">
        <v>76</v>
      </c>
      <c r="C5888" s="10" t="s">
        <v>49</v>
      </c>
      <c r="D5888" s="10" t="s">
        <v>353</v>
      </c>
      <c r="E5888" s="10" t="s">
        <v>2345</v>
      </c>
      <c r="F5888" s="30" t="n">
        <v>42988</v>
      </c>
      <c r="G5888" s="30" t="n">
        <v>43063</v>
      </c>
      <c r="H5888" s="26" t="n">
        <f aca="false">G5888-F5888</f>
        <v>75</v>
      </c>
      <c r="I5888" s="10" t="n">
        <f aca="false">IF(E5888="Won",1,0)</f>
        <v>0</v>
      </c>
    </row>
    <row r="5889" customFormat="false" ht="15" hidden="false" customHeight="false" outlineLevel="0" collapsed="false">
      <c r="A5889" s="10" t="s">
        <v>8230</v>
      </c>
      <c r="B5889" s="10" t="s">
        <v>71</v>
      </c>
      <c r="C5889" s="10" t="s">
        <v>52</v>
      </c>
      <c r="D5889" s="10" t="s">
        <v>660</v>
      </c>
      <c r="E5889" s="10" t="s">
        <v>2345</v>
      </c>
      <c r="F5889" s="30" t="n">
        <v>43014</v>
      </c>
      <c r="G5889" s="30" t="n">
        <v>43063</v>
      </c>
      <c r="H5889" s="26" t="n">
        <f aca="false">G5889-F5889</f>
        <v>49</v>
      </c>
      <c r="I5889" s="10" t="n">
        <f aca="false">IF(E5889="Won",1,0)</f>
        <v>0</v>
      </c>
    </row>
    <row r="5890" customFormat="false" ht="15" hidden="false" customHeight="false" outlineLevel="0" collapsed="false">
      <c r="A5890" s="10" t="s">
        <v>8231</v>
      </c>
      <c r="B5890" s="10" t="s">
        <v>79</v>
      </c>
      <c r="C5890" s="10" t="s">
        <v>48</v>
      </c>
      <c r="D5890" s="10" t="s">
        <v>422</v>
      </c>
      <c r="E5890" s="10" t="s">
        <v>2342</v>
      </c>
      <c r="F5890" s="30" t="n">
        <v>43000</v>
      </c>
      <c r="G5890" s="30" t="n">
        <v>43063</v>
      </c>
      <c r="H5890" s="26" t="n">
        <f aca="false">G5890-F5890</f>
        <v>63</v>
      </c>
      <c r="I5890" s="10" t="n">
        <f aca="false">IF(E5890="Won",1,0)</f>
        <v>1</v>
      </c>
    </row>
    <row r="5891" customFormat="false" ht="15" hidden="false" customHeight="false" outlineLevel="0" collapsed="false">
      <c r="A5891" s="10" t="s">
        <v>8232</v>
      </c>
      <c r="B5891" s="10" t="s">
        <v>84</v>
      </c>
      <c r="C5891" s="10" t="s">
        <v>51</v>
      </c>
      <c r="D5891" s="10" t="s">
        <v>218</v>
      </c>
      <c r="E5891" s="10" t="s">
        <v>2342</v>
      </c>
      <c r="F5891" s="30" t="n">
        <v>43052</v>
      </c>
      <c r="G5891" s="30" t="n">
        <v>43063</v>
      </c>
      <c r="H5891" s="26" t="n">
        <f aca="false">G5891-F5891</f>
        <v>11</v>
      </c>
      <c r="I5891" s="10" t="n">
        <f aca="false">IF(E5891="Won",1,0)</f>
        <v>1</v>
      </c>
    </row>
    <row r="5892" customFormat="false" ht="15" hidden="false" customHeight="false" outlineLevel="0" collapsed="false">
      <c r="A5892" s="10" t="s">
        <v>8233</v>
      </c>
      <c r="B5892" s="10" t="s">
        <v>70</v>
      </c>
      <c r="C5892" s="10" t="s">
        <v>49</v>
      </c>
      <c r="D5892" s="10" t="s">
        <v>396</v>
      </c>
      <c r="E5892" s="10" t="s">
        <v>2345</v>
      </c>
      <c r="F5892" s="30" t="n">
        <v>42988</v>
      </c>
      <c r="G5892" s="30" t="n">
        <v>43063</v>
      </c>
      <c r="H5892" s="26" t="n">
        <f aca="false">G5892-F5892</f>
        <v>75</v>
      </c>
      <c r="I5892" s="10" t="n">
        <f aca="false">IF(E5892="Won",1,0)</f>
        <v>0</v>
      </c>
    </row>
    <row r="5893" customFormat="false" ht="15" hidden="false" customHeight="false" outlineLevel="0" collapsed="false">
      <c r="A5893" s="10" t="s">
        <v>8234</v>
      </c>
      <c r="B5893" s="10" t="s">
        <v>62</v>
      </c>
      <c r="C5893" s="10" t="s">
        <v>51</v>
      </c>
      <c r="D5893" s="10" t="s">
        <v>1118</v>
      </c>
      <c r="E5893" s="10" t="s">
        <v>2345</v>
      </c>
      <c r="F5893" s="30" t="n">
        <v>42988</v>
      </c>
      <c r="G5893" s="30" t="n">
        <v>43063</v>
      </c>
      <c r="H5893" s="26" t="n">
        <f aca="false">G5893-F5893</f>
        <v>75</v>
      </c>
      <c r="I5893" s="10" t="n">
        <f aca="false">IF(E5893="Won",1,0)</f>
        <v>0</v>
      </c>
    </row>
    <row r="5894" customFormat="false" ht="15" hidden="false" customHeight="false" outlineLevel="0" collapsed="false">
      <c r="A5894" s="10" t="s">
        <v>8235</v>
      </c>
      <c r="B5894" s="10" t="s">
        <v>95</v>
      </c>
      <c r="C5894" s="10" t="s">
        <v>51</v>
      </c>
      <c r="D5894" s="10" t="s">
        <v>986</v>
      </c>
      <c r="E5894" s="10" t="s">
        <v>2345</v>
      </c>
      <c r="F5894" s="30" t="n">
        <v>42989</v>
      </c>
      <c r="G5894" s="30" t="n">
        <v>43063</v>
      </c>
      <c r="H5894" s="26" t="n">
        <f aca="false">G5894-F5894</f>
        <v>74</v>
      </c>
      <c r="I5894" s="10" t="n">
        <f aca="false">IF(E5894="Won",1,0)</f>
        <v>0</v>
      </c>
    </row>
    <row r="5895" customFormat="false" ht="15" hidden="false" customHeight="false" outlineLevel="0" collapsed="false">
      <c r="A5895" s="10" t="s">
        <v>8236</v>
      </c>
      <c r="B5895" s="10" t="s">
        <v>94</v>
      </c>
      <c r="C5895" s="10" t="s">
        <v>48</v>
      </c>
      <c r="D5895" s="10" t="s">
        <v>437</v>
      </c>
      <c r="E5895" s="10" t="s">
        <v>2342</v>
      </c>
      <c r="F5895" s="30" t="n">
        <v>43013</v>
      </c>
      <c r="G5895" s="30" t="n">
        <v>43063</v>
      </c>
      <c r="H5895" s="26" t="n">
        <f aca="false">G5895-F5895</f>
        <v>50</v>
      </c>
      <c r="I5895" s="10" t="n">
        <f aca="false">IF(E5895="Won",1,0)</f>
        <v>1</v>
      </c>
    </row>
    <row r="5896" customFormat="false" ht="15" hidden="false" customHeight="false" outlineLevel="0" collapsed="false">
      <c r="A5896" s="10" t="s">
        <v>8237</v>
      </c>
      <c r="B5896" s="10" t="s">
        <v>60</v>
      </c>
      <c r="C5896" s="10" t="s">
        <v>51</v>
      </c>
      <c r="D5896" s="10" t="s">
        <v>350</v>
      </c>
      <c r="E5896" s="10" t="s">
        <v>2342</v>
      </c>
      <c r="F5896" s="30" t="n">
        <v>42994</v>
      </c>
      <c r="G5896" s="30" t="n">
        <v>43063</v>
      </c>
      <c r="H5896" s="26" t="n">
        <f aca="false">G5896-F5896</f>
        <v>69</v>
      </c>
      <c r="I5896" s="10" t="n">
        <f aca="false">IF(E5896="Won",1,0)</f>
        <v>1</v>
      </c>
    </row>
    <row r="5897" customFormat="false" ht="15" hidden="false" customHeight="false" outlineLevel="0" collapsed="false">
      <c r="A5897" s="10" t="s">
        <v>8238</v>
      </c>
      <c r="B5897" s="10" t="s">
        <v>63</v>
      </c>
      <c r="C5897" s="10" t="s">
        <v>47</v>
      </c>
      <c r="D5897" s="10" t="s">
        <v>350</v>
      </c>
      <c r="E5897" s="10" t="s">
        <v>2345</v>
      </c>
      <c r="F5897" s="30" t="n">
        <v>42998</v>
      </c>
      <c r="G5897" s="30" t="n">
        <v>43063</v>
      </c>
      <c r="H5897" s="26" t="n">
        <f aca="false">G5897-F5897</f>
        <v>65</v>
      </c>
      <c r="I5897" s="10" t="n">
        <f aca="false">IF(E5897="Won",1,0)</f>
        <v>0</v>
      </c>
    </row>
    <row r="5898" customFormat="false" ht="15" hidden="false" customHeight="false" outlineLevel="0" collapsed="false">
      <c r="A5898" s="10" t="s">
        <v>8239</v>
      </c>
      <c r="B5898" s="10" t="s">
        <v>70</v>
      </c>
      <c r="C5898" s="10" t="s">
        <v>48</v>
      </c>
      <c r="D5898" s="10" t="s">
        <v>437</v>
      </c>
      <c r="E5898" s="10" t="s">
        <v>2342</v>
      </c>
      <c r="F5898" s="30" t="n">
        <v>43058</v>
      </c>
      <c r="G5898" s="30" t="n">
        <v>43063</v>
      </c>
      <c r="H5898" s="26" t="n">
        <f aca="false">G5898-F5898</f>
        <v>5</v>
      </c>
      <c r="I5898" s="10" t="n">
        <f aca="false">IF(E5898="Won",1,0)</f>
        <v>1</v>
      </c>
    </row>
    <row r="5899" customFormat="false" ht="15" hidden="false" customHeight="false" outlineLevel="0" collapsed="false">
      <c r="A5899" s="10" t="s">
        <v>8240</v>
      </c>
      <c r="B5899" s="10" t="s">
        <v>73</v>
      </c>
      <c r="C5899" s="10" t="s">
        <v>47</v>
      </c>
      <c r="D5899" s="10" t="s">
        <v>483</v>
      </c>
      <c r="E5899" s="10" t="s">
        <v>2345</v>
      </c>
      <c r="F5899" s="30" t="n">
        <v>43034</v>
      </c>
      <c r="G5899" s="30" t="n">
        <v>43063</v>
      </c>
      <c r="H5899" s="26" t="n">
        <f aca="false">G5899-F5899</f>
        <v>29</v>
      </c>
      <c r="I5899" s="10" t="n">
        <f aca="false">IF(E5899="Won",1,0)</f>
        <v>0</v>
      </c>
    </row>
    <row r="5900" customFormat="false" ht="15" hidden="false" customHeight="false" outlineLevel="0" collapsed="false">
      <c r="A5900" s="10" t="s">
        <v>8241</v>
      </c>
      <c r="B5900" s="10" t="s">
        <v>88</v>
      </c>
      <c r="C5900" s="10" t="s">
        <v>48</v>
      </c>
      <c r="D5900" s="10" t="s">
        <v>218</v>
      </c>
      <c r="E5900" s="10" t="s">
        <v>2342</v>
      </c>
      <c r="F5900" s="30" t="n">
        <v>42974</v>
      </c>
      <c r="G5900" s="30" t="n">
        <v>43064</v>
      </c>
      <c r="H5900" s="26" t="n">
        <f aca="false">G5900-F5900</f>
        <v>90</v>
      </c>
      <c r="I5900" s="10" t="n">
        <f aca="false">IF(E5900="Won",1,0)</f>
        <v>1</v>
      </c>
    </row>
    <row r="5901" customFormat="false" ht="15" hidden="false" customHeight="false" outlineLevel="0" collapsed="false">
      <c r="A5901" s="10" t="s">
        <v>8242</v>
      </c>
      <c r="B5901" s="10" t="s">
        <v>87</v>
      </c>
      <c r="C5901" s="10" t="s">
        <v>49</v>
      </c>
      <c r="D5901" s="10" t="s">
        <v>616</v>
      </c>
      <c r="E5901" s="10" t="s">
        <v>2345</v>
      </c>
      <c r="F5901" s="30" t="n">
        <v>42972</v>
      </c>
      <c r="G5901" s="30" t="n">
        <v>43064</v>
      </c>
      <c r="H5901" s="26" t="n">
        <f aca="false">G5901-F5901</f>
        <v>92</v>
      </c>
      <c r="I5901" s="10" t="n">
        <f aca="false">IF(E5901="Won",1,0)</f>
        <v>0</v>
      </c>
    </row>
    <row r="5902" customFormat="false" ht="15" hidden="false" customHeight="false" outlineLevel="0" collapsed="false">
      <c r="A5902" s="10" t="s">
        <v>8243</v>
      </c>
      <c r="B5902" s="10" t="s">
        <v>74</v>
      </c>
      <c r="C5902" s="10" t="s">
        <v>52</v>
      </c>
      <c r="D5902" s="10" t="s">
        <v>1948</v>
      </c>
      <c r="E5902" s="10" t="s">
        <v>2345</v>
      </c>
      <c r="F5902" s="30" t="n">
        <v>42972</v>
      </c>
      <c r="G5902" s="30" t="n">
        <v>43064</v>
      </c>
      <c r="H5902" s="26" t="n">
        <f aca="false">G5902-F5902</f>
        <v>92</v>
      </c>
      <c r="I5902" s="10" t="n">
        <f aca="false">IF(E5902="Won",1,0)</f>
        <v>0</v>
      </c>
    </row>
    <row r="5903" customFormat="false" ht="15" hidden="false" customHeight="false" outlineLevel="0" collapsed="false">
      <c r="A5903" s="10" t="s">
        <v>8244</v>
      </c>
      <c r="B5903" s="10" t="s">
        <v>79</v>
      </c>
      <c r="C5903" s="10" t="s">
        <v>49</v>
      </c>
      <c r="D5903" s="10" t="s">
        <v>179</v>
      </c>
      <c r="E5903" s="10" t="s">
        <v>2342</v>
      </c>
      <c r="F5903" s="30" t="n">
        <v>42982</v>
      </c>
      <c r="G5903" s="30" t="n">
        <v>43064</v>
      </c>
      <c r="H5903" s="26" t="n">
        <f aca="false">G5903-F5903</f>
        <v>82</v>
      </c>
      <c r="I5903" s="10" t="n">
        <f aca="false">IF(E5903="Won",1,0)</f>
        <v>1</v>
      </c>
    </row>
    <row r="5904" customFormat="false" ht="15" hidden="false" customHeight="false" outlineLevel="0" collapsed="false">
      <c r="A5904" s="10" t="s">
        <v>8245</v>
      </c>
      <c r="B5904" s="10" t="s">
        <v>81</v>
      </c>
      <c r="C5904" s="10" t="s">
        <v>52</v>
      </c>
      <c r="D5904" s="10" t="s">
        <v>179</v>
      </c>
      <c r="E5904" s="10" t="s">
        <v>2345</v>
      </c>
      <c r="F5904" s="30" t="n">
        <v>42960</v>
      </c>
      <c r="G5904" s="30" t="n">
        <v>43064</v>
      </c>
      <c r="H5904" s="26" t="n">
        <f aca="false">G5904-F5904</f>
        <v>104</v>
      </c>
      <c r="I5904" s="10" t="n">
        <f aca="false">IF(E5904="Won",1,0)</f>
        <v>0</v>
      </c>
    </row>
    <row r="5905" customFormat="false" ht="15" hidden="false" customHeight="false" outlineLevel="0" collapsed="false">
      <c r="A5905" s="10" t="s">
        <v>8246</v>
      </c>
      <c r="B5905" s="10" t="s">
        <v>88</v>
      </c>
      <c r="C5905" s="10" t="s">
        <v>51</v>
      </c>
      <c r="D5905" s="10" t="s">
        <v>332</v>
      </c>
      <c r="E5905" s="10" t="s">
        <v>2342</v>
      </c>
      <c r="F5905" s="30" t="n">
        <v>42962</v>
      </c>
      <c r="G5905" s="30" t="n">
        <v>43064</v>
      </c>
      <c r="H5905" s="26" t="n">
        <f aca="false">G5905-F5905</f>
        <v>102</v>
      </c>
      <c r="I5905" s="10" t="n">
        <f aca="false">IF(E5905="Won",1,0)</f>
        <v>1</v>
      </c>
    </row>
    <row r="5906" customFormat="false" ht="15" hidden="false" customHeight="false" outlineLevel="0" collapsed="false">
      <c r="A5906" s="10" t="s">
        <v>8247</v>
      </c>
      <c r="B5906" s="10" t="s">
        <v>77</v>
      </c>
      <c r="C5906" s="10" t="s">
        <v>48</v>
      </c>
      <c r="D5906" s="10" t="s">
        <v>267</v>
      </c>
      <c r="E5906" s="10" t="s">
        <v>2345</v>
      </c>
      <c r="F5906" s="30" t="n">
        <v>42999</v>
      </c>
      <c r="G5906" s="30" t="n">
        <v>43064</v>
      </c>
      <c r="H5906" s="26" t="n">
        <f aca="false">G5906-F5906</f>
        <v>65</v>
      </c>
      <c r="I5906" s="10" t="n">
        <f aca="false">IF(E5906="Won",1,0)</f>
        <v>0</v>
      </c>
    </row>
    <row r="5907" customFormat="false" ht="15" hidden="false" customHeight="false" outlineLevel="0" collapsed="false">
      <c r="A5907" s="10" t="s">
        <v>8248</v>
      </c>
      <c r="B5907" s="10" t="s">
        <v>79</v>
      </c>
      <c r="C5907" s="10" t="s">
        <v>49</v>
      </c>
      <c r="D5907" s="10" t="s">
        <v>1948</v>
      </c>
      <c r="E5907" s="10" t="s">
        <v>2345</v>
      </c>
      <c r="F5907" s="30" t="n">
        <v>42975</v>
      </c>
      <c r="G5907" s="30" t="n">
        <v>43064</v>
      </c>
      <c r="H5907" s="26" t="n">
        <f aca="false">G5907-F5907</f>
        <v>89</v>
      </c>
      <c r="I5907" s="10" t="n">
        <f aca="false">IF(E5907="Won",1,0)</f>
        <v>0</v>
      </c>
    </row>
    <row r="5908" customFormat="false" ht="15" hidden="false" customHeight="false" outlineLevel="0" collapsed="false">
      <c r="A5908" s="10" t="s">
        <v>8249</v>
      </c>
      <c r="B5908" s="10" t="s">
        <v>94</v>
      </c>
      <c r="C5908" s="10" t="s">
        <v>52</v>
      </c>
      <c r="D5908" s="10" t="s">
        <v>286</v>
      </c>
      <c r="E5908" s="10" t="s">
        <v>2342</v>
      </c>
      <c r="F5908" s="30" t="n">
        <v>42979</v>
      </c>
      <c r="G5908" s="30" t="n">
        <v>43064</v>
      </c>
      <c r="H5908" s="26" t="n">
        <f aca="false">G5908-F5908</f>
        <v>85</v>
      </c>
      <c r="I5908" s="10" t="n">
        <f aca="false">IF(E5908="Won",1,0)</f>
        <v>1</v>
      </c>
    </row>
    <row r="5909" customFormat="false" ht="15" hidden="false" customHeight="false" outlineLevel="0" collapsed="false">
      <c r="A5909" s="10" t="s">
        <v>8250</v>
      </c>
      <c r="B5909" s="10" t="s">
        <v>62</v>
      </c>
      <c r="C5909" s="10" t="s">
        <v>52</v>
      </c>
      <c r="D5909" s="10" t="s">
        <v>378</v>
      </c>
      <c r="E5909" s="10" t="s">
        <v>2345</v>
      </c>
      <c r="F5909" s="30" t="n">
        <v>43056</v>
      </c>
      <c r="G5909" s="30" t="n">
        <v>43064</v>
      </c>
      <c r="H5909" s="26" t="n">
        <f aca="false">G5909-F5909</f>
        <v>8</v>
      </c>
      <c r="I5909" s="10" t="n">
        <f aca="false">IF(E5909="Won",1,0)</f>
        <v>0</v>
      </c>
    </row>
    <row r="5910" customFormat="false" ht="15" hidden="false" customHeight="false" outlineLevel="0" collapsed="false">
      <c r="A5910" s="10" t="s">
        <v>8251</v>
      </c>
      <c r="B5910" s="10" t="s">
        <v>86</v>
      </c>
      <c r="C5910" s="10" t="s">
        <v>49</v>
      </c>
      <c r="D5910" s="10" t="s">
        <v>233</v>
      </c>
      <c r="E5910" s="10" t="s">
        <v>2345</v>
      </c>
      <c r="F5910" s="30" t="n">
        <v>43060</v>
      </c>
      <c r="G5910" s="30" t="n">
        <v>43064</v>
      </c>
      <c r="H5910" s="26" t="n">
        <f aca="false">G5910-F5910</f>
        <v>4</v>
      </c>
      <c r="I5910" s="10" t="n">
        <f aca="false">IF(E5910="Won",1,0)</f>
        <v>0</v>
      </c>
    </row>
    <row r="5911" customFormat="false" ht="15" hidden="false" customHeight="false" outlineLevel="0" collapsed="false">
      <c r="A5911" s="10" t="s">
        <v>8252</v>
      </c>
      <c r="B5911" s="10" t="s">
        <v>97</v>
      </c>
      <c r="C5911" s="10" t="s">
        <v>51</v>
      </c>
      <c r="D5911" s="10" t="s">
        <v>348</v>
      </c>
      <c r="E5911" s="10" t="s">
        <v>2345</v>
      </c>
      <c r="F5911" s="30" t="n">
        <v>42966</v>
      </c>
      <c r="G5911" s="30" t="n">
        <v>43064</v>
      </c>
      <c r="H5911" s="26" t="n">
        <f aca="false">G5911-F5911</f>
        <v>98</v>
      </c>
      <c r="I5911" s="10" t="n">
        <f aca="false">IF(E5911="Won",1,0)</f>
        <v>0</v>
      </c>
    </row>
    <row r="5912" customFormat="false" ht="15" hidden="false" customHeight="false" outlineLevel="0" collapsed="false">
      <c r="A5912" s="10" t="s">
        <v>8253</v>
      </c>
      <c r="B5912" s="10" t="s">
        <v>93</v>
      </c>
      <c r="C5912" s="10" t="s">
        <v>47</v>
      </c>
      <c r="D5912" s="10" t="s">
        <v>170</v>
      </c>
      <c r="E5912" s="10" t="s">
        <v>2342</v>
      </c>
      <c r="F5912" s="30" t="n">
        <v>43060</v>
      </c>
      <c r="G5912" s="30" t="n">
        <v>43064</v>
      </c>
      <c r="H5912" s="26" t="n">
        <f aca="false">G5912-F5912</f>
        <v>4</v>
      </c>
      <c r="I5912" s="10" t="n">
        <f aca="false">IF(E5912="Won",1,0)</f>
        <v>1</v>
      </c>
    </row>
    <row r="5913" customFormat="false" ht="15" hidden="false" customHeight="false" outlineLevel="0" collapsed="false">
      <c r="A5913" s="10" t="s">
        <v>8254</v>
      </c>
      <c r="B5913" s="10" t="s">
        <v>66</v>
      </c>
      <c r="C5913" s="10" t="s">
        <v>52</v>
      </c>
      <c r="D5913" s="10" t="s">
        <v>227</v>
      </c>
      <c r="E5913" s="10" t="s">
        <v>2345</v>
      </c>
      <c r="F5913" s="30" t="n">
        <v>42976</v>
      </c>
      <c r="G5913" s="30" t="n">
        <v>43064</v>
      </c>
      <c r="H5913" s="26" t="n">
        <f aca="false">G5913-F5913</f>
        <v>88</v>
      </c>
      <c r="I5913" s="10" t="n">
        <f aca="false">IF(E5913="Won",1,0)</f>
        <v>0</v>
      </c>
    </row>
    <row r="5914" customFormat="false" ht="15" hidden="false" customHeight="false" outlineLevel="0" collapsed="false">
      <c r="A5914" s="10" t="s">
        <v>8255</v>
      </c>
      <c r="B5914" s="10" t="s">
        <v>81</v>
      </c>
      <c r="C5914" s="10" t="s">
        <v>49</v>
      </c>
      <c r="D5914" s="10" t="s">
        <v>524</v>
      </c>
      <c r="E5914" s="10" t="s">
        <v>2345</v>
      </c>
      <c r="F5914" s="30" t="n">
        <v>43062</v>
      </c>
      <c r="G5914" s="30" t="n">
        <v>43064</v>
      </c>
      <c r="H5914" s="26" t="n">
        <f aca="false">G5914-F5914</f>
        <v>2</v>
      </c>
      <c r="I5914" s="10" t="n">
        <f aca="false">IF(E5914="Won",1,0)</f>
        <v>0</v>
      </c>
    </row>
    <row r="5915" customFormat="false" ht="15" hidden="false" customHeight="false" outlineLevel="0" collapsed="false">
      <c r="A5915" s="10" t="s">
        <v>8256</v>
      </c>
      <c r="B5915" s="10" t="s">
        <v>94</v>
      </c>
      <c r="C5915" s="10" t="s">
        <v>51</v>
      </c>
      <c r="D5915" s="10" t="s">
        <v>175</v>
      </c>
      <c r="E5915" s="10" t="s">
        <v>2345</v>
      </c>
      <c r="F5915" s="30" t="n">
        <v>43015</v>
      </c>
      <c r="G5915" s="30" t="n">
        <v>43064</v>
      </c>
      <c r="H5915" s="26" t="n">
        <f aca="false">G5915-F5915</f>
        <v>49</v>
      </c>
      <c r="I5915" s="10" t="n">
        <f aca="false">IF(E5915="Won",1,0)</f>
        <v>0</v>
      </c>
    </row>
    <row r="5916" customFormat="false" ht="15" hidden="false" customHeight="false" outlineLevel="0" collapsed="false">
      <c r="A5916" s="10" t="s">
        <v>8257</v>
      </c>
      <c r="B5916" s="10" t="s">
        <v>86</v>
      </c>
      <c r="C5916" s="10" t="s">
        <v>50</v>
      </c>
      <c r="D5916" s="10" t="s">
        <v>359</v>
      </c>
      <c r="E5916" s="10" t="s">
        <v>2345</v>
      </c>
      <c r="F5916" s="30" t="n">
        <v>42986</v>
      </c>
      <c r="G5916" s="30" t="n">
        <v>43064</v>
      </c>
      <c r="H5916" s="26" t="n">
        <f aca="false">G5916-F5916</f>
        <v>78</v>
      </c>
      <c r="I5916" s="10" t="n">
        <f aca="false">IF(E5916="Won",1,0)</f>
        <v>0</v>
      </c>
    </row>
    <row r="5917" customFormat="false" ht="15" hidden="false" customHeight="false" outlineLevel="0" collapsed="false">
      <c r="A5917" s="10" t="s">
        <v>8258</v>
      </c>
      <c r="B5917" s="10" t="s">
        <v>97</v>
      </c>
      <c r="C5917" s="10" t="s">
        <v>51</v>
      </c>
      <c r="D5917" s="10" t="s">
        <v>233</v>
      </c>
      <c r="E5917" s="10" t="s">
        <v>2342</v>
      </c>
      <c r="F5917" s="30" t="n">
        <v>43054</v>
      </c>
      <c r="G5917" s="30" t="n">
        <v>43064</v>
      </c>
      <c r="H5917" s="26" t="n">
        <f aca="false">G5917-F5917</f>
        <v>10</v>
      </c>
      <c r="I5917" s="10" t="n">
        <f aca="false">IF(E5917="Won",1,0)</f>
        <v>1</v>
      </c>
    </row>
    <row r="5918" customFormat="false" ht="15" hidden="false" customHeight="false" outlineLevel="0" collapsed="false">
      <c r="A5918" s="10" t="s">
        <v>8259</v>
      </c>
      <c r="B5918" s="10" t="s">
        <v>80</v>
      </c>
      <c r="C5918" s="10" t="s">
        <v>50</v>
      </c>
      <c r="D5918" s="10" t="s">
        <v>414</v>
      </c>
      <c r="E5918" s="10" t="s">
        <v>2342</v>
      </c>
      <c r="F5918" s="30" t="n">
        <v>43017</v>
      </c>
      <c r="G5918" s="30" t="n">
        <v>43064</v>
      </c>
      <c r="H5918" s="26" t="n">
        <f aca="false">G5918-F5918</f>
        <v>47</v>
      </c>
      <c r="I5918" s="10" t="n">
        <f aca="false">IF(E5918="Won",1,0)</f>
        <v>1</v>
      </c>
    </row>
    <row r="5919" customFormat="false" ht="15" hidden="false" customHeight="false" outlineLevel="0" collapsed="false">
      <c r="A5919" s="10" t="s">
        <v>8260</v>
      </c>
      <c r="B5919" s="10" t="s">
        <v>84</v>
      </c>
      <c r="C5919" s="10" t="s">
        <v>52</v>
      </c>
      <c r="D5919" s="10" t="s">
        <v>637</v>
      </c>
      <c r="E5919" s="10" t="s">
        <v>2342</v>
      </c>
      <c r="F5919" s="30" t="n">
        <v>42986</v>
      </c>
      <c r="G5919" s="30" t="n">
        <v>43064</v>
      </c>
      <c r="H5919" s="26" t="n">
        <f aca="false">G5919-F5919</f>
        <v>78</v>
      </c>
      <c r="I5919" s="10" t="n">
        <f aca="false">IF(E5919="Won",1,0)</f>
        <v>1</v>
      </c>
    </row>
    <row r="5920" customFormat="false" ht="15" hidden="false" customHeight="false" outlineLevel="0" collapsed="false">
      <c r="A5920" s="10" t="s">
        <v>8261</v>
      </c>
      <c r="B5920" s="10" t="s">
        <v>83</v>
      </c>
      <c r="C5920" s="10" t="s">
        <v>47</v>
      </c>
      <c r="D5920" s="10" t="s">
        <v>1251</v>
      </c>
      <c r="E5920" s="10" t="s">
        <v>2345</v>
      </c>
      <c r="F5920" s="30" t="n">
        <v>42956</v>
      </c>
      <c r="G5920" s="30" t="n">
        <v>43064</v>
      </c>
      <c r="H5920" s="26" t="n">
        <f aca="false">G5920-F5920</f>
        <v>108</v>
      </c>
      <c r="I5920" s="10" t="n">
        <f aca="false">IF(E5920="Won",1,0)</f>
        <v>0</v>
      </c>
    </row>
    <row r="5921" customFormat="false" ht="15" hidden="false" customHeight="false" outlineLevel="0" collapsed="false">
      <c r="A5921" s="10" t="s">
        <v>8262</v>
      </c>
      <c r="B5921" s="10" t="s">
        <v>93</v>
      </c>
      <c r="C5921" s="10" t="s">
        <v>51</v>
      </c>
      <c r="D5921" s="10" t="s">
        <v>497</v>
      </c>
      <c r="E5921" s="10" t="s">
        <v>2342</v>
      </c>
      <c r="F5921" s="30" t="n">
        <v>42988</v>
      </c>
      <c r="G5921" s="30" t="n">
        <v>43064</v>
      </c>
      <c r="H5921" s="26" t="n">
        <f aca="false">G5921-F5921</f>
        <v>76</v>
      </c>
      <c r="I5921" s="10" t="n">
        <f aca="false">IF(E5921="Won",1,0)</f>
        <v>1</v>
      </c>
    </row>
    <row r="5922" customFormat="false" ht="15" hidden="false" customHeight="false" outlineLevel="0" collapsed="false">
      <c r="A5922" s="10" t="s">
        <v>8263</v>
      </c>
      <c r="B5922" s="10" t="s">
        <v>66</v>
      </c>
      <c r="C5922" s="10" t="s">
        <v>51</v>
      </c>
      <c r="D5922" s="10" t="s">
        <v>199</v>
      </c>
      <c r="E5922" s="10" t="s">
        <v>2345</v>
      </c>
      <c r="F5922" s="30" t="n">
        <v>42986</v>
      </c>
      <c r="G5922" s="30" t="n">
        <v>43064</v>
      </c>
      <c r="H5922" s="26" t="n">
        <f aca="false">G5922-F5922</f>
        <v>78</v>
      </c>
      <c r="I5922" s="10" t="n">
        <f aca="false">IF(E5922="Won",1,0)</f>
        <v>0</v>
      </c>
    </row>
    <row r="5923" customFormat="false" ht="15" hidden="false" customHeight="false" outlineLevel="0" collapsed="false">
      <c r="A5923" s="10" t="s">
        <v>8264</v>
      </c>
      <c r="B5923" s="10" t="s">
        <v>71</v>
      </c>
      <c r="C5923" s="10" t="s">
        <v>52</v>
      </c>
      <c r="D5923" s="10" t="s">
        <v>291</v>
      </c>
      <c r="E5923" s="10" t="s">
        <v>2345</v>
      </c>
      <c r="F5923" s="30" t="n">
        <v>43051</v>
      </c>
      <c r="G5923" s="30" t="n">
        <v>43064</v>
      </c>
      <c r="H5923" s="26" t="n">
        <f aca="false">G5923-F5923</f>
        <v>13</v>
      </c>
      <c r="I5923" s="10" t="n">
        <f aca="false">IF(E5923="Won",1,0)</f>
        <v>0</v>
      </c>
    </row>
    <row r="5924" customFormat="false" ht="15" hidden="false" customHeight="false" outlineLevel="0" collapsed="false">
      <c r="A5924" s="10" t="s">
        <v>8265</v>
      </c>
      <c r="B5924" s="10" t="s">
        <v>77</v>
      </c>
      <c r="C5924" s="10" t="s">
        <v>50</v>
      </c>
      <c r="D5924" s="10" t="s">
        <v>961</v>
      </c>
      <c r="E5924" s="10" t="s">
        <v>2342</v>
      </c>
      <c r="F5924" s="30" t="n">
        <v>42994</v>
      </c>
      <c r="G5924" s="30" t="n">
        <v>43064</v>
      </c>
      <c r="H5924" s="26" t="n">
        <f aca="false">G5924-F5924</f>
        <v>70</v>
      </c>
      <c r="I5924" s="10" t="n">
        <f aca="false">IF(E5924="Won",1,0)</f>
        <v>1</v>
      </c>
    </row>
    <row r="5925" customFormat="false" ht="15" hidden="false" customHeight="false" outlineLevel="0" collapsed="false">
      <c r="A5925" s="10" t="s">
        <v>8266</v>
      </c>
      <c r="B5925" s="10" t="s">
        <v>71</v>
      </c>
      <c r="C5925" s="10" t="s">
        <v>51</v>
      </c>
      <c r="D5925" s="10" t="s">
        <v>410</v>
      </c>
      <c r="E5925" s="10" t="s">
        <v>2342</v>
      </c>
      <c r="F5925" s="30" t="n">
        <v>42991</v>
      </c>
      <c r="G5925" s="30" t="n">
        <v>43064</v>
      </c>
      <c r="H5925" s="26" t="n">
        <f aca="false">G5925-F5925</f>
        <v>73</v>
      </c>
      <c r="I5925" s="10" t="n">
        <f aca="false">IF(E5925="Won",1,0)</f>
        <v>1</v>
      </c>
    </row>
    <row r="5926" customFormat="false" ht="15" hidden="false" customHeight="false" outlineLevel="0" collapsed="false">
      <c r="A5926" s="10" t="s">
        <v>8267</v>
      </c>
      <c r="B5926" s="10" t="s">
        <v>95</v>
      </c>
      <c r="C5926" s="10" t="s">
        <v>47</v>
      </c>
      <c r="D5926" s="10" t="s">
        <v>986</v>
      </c>
      <c r="E5926" s="10" t="s">
        <v>2342</v>
      </c>
      <c r="F5926" s="30" t="n">
        <v>43023</v>
      </c>
      <c r="G5926" s="30" t="n">
        <v>43065</v>
      </c>
      <c r="H5926" s="26" t="n">
        <f aca="false">G5926-F5926</f>
        <v>42</v>
      </c>
      <c r="I5926" s="10" t="n">
        <f aca="false">IF(E5926="Won",1,0)</f>
        <v>1</v>
      </c>
    </row>
    <row r="5927" customFormat="false" ht="15" hidden="false" customHeight="false" outlineLevel="0" collapsed="false">
      <c r="A5927" s="10" t="s">
        <v>8268</v>
      </c>
      <c r="B5927" s="10" t="s">
        <v>80</v>
      </c>
      <c r="C5927" s="10" t="s">
        <v>51</v>
      </c>
      <c r="D5927" s="10" t="s">
        <v>597</v>
      </c>
      <c r="E5927" s="10" t="s">
        <v>2345</v>
      </c>
      <c r="F5927" s="30" t="n">
        <v>42994</v>
      </c>
      <c r="G5927" s="30" t="n">
        <v>43065</v>
      </c>
      <c r="H5927" s="26" t="n">
        <f aca="false">G5927-F5927</f>
        <v>71</v>
      </c>
      <c r="I5927" s="10" t="n">
        <f aca="false">IF(E5927="Won",1,0)</f>
        <v>0</v>
      </c>
    </row>
    <row r="5928" customFormat="false" ht="15" hidden="false" customHeight="false" outlineLevel="0" collapsed="false">
      <c r="A5928" s="10" t="s">
        <v>8269</v>
      </c>
      <c r="B5928" s="10" t="s">
        <v>93</v>
      </c>
      <c r="C5928" s="10" t="s">
        <v>47</v>
      </c>
      <c r="D5928" s="10" t="s">
        <v>432</v>
      </c>
      <c r="E5928" s="10" t="s">
        <v>2345</v>
      </c>
      <c r="F5928" s="30" t="n">
        <v>42995</v>
      </c>
      <c r="G5928" s="30" t="n">
        <v>43065</v>
      </c>
      <c r="H5928" s="26" t="n">
        <f aca="false">G5928-F5928</f>
        <v>70</v>
      </c>
      <c r="I5928" s="10" t="n">
        <f aca="false">IF(E5928="Won",1,0)</f>
        <v>0</v>
      </c>
    </row>
    <row r="5929" customFormat="false" ht="15" hidden="false" customHeight="false" outlineLevel="0" collapsed="false">
      <c r="A5929" s="10" t="s">
        <v>8270</v>
      </c>
      <c r="B5929" s="10" t="s">
        <v>68</v>
      </c>
      <c r="C5929" s="10" t="s">
        <v>46</v>
      </c>
      <c r="D5929" s="10" t="s">
        <v>419</v>
      </c>
      <c r="E5929" s="10" t="s">
        <v>2345</v>
      </c>
      <c r="F5929" s="30" t="n">
        <v>43049</v>
      </c>
      <c r="G5929" s="30" t="n">
        <v>43065</v>
      </c>
      <c r="H5929" s="26" t="n">
        <f aca="false">G5929-F5929</f>
        <v>16</v>
      </c>
      <c r="I5929" s="10" t="n">
        <f aca="false">IF(E5929="Won",1,0)</f>
        <v>0</v>
      </c>
    </row>
    <row r="5930" customFormat="false" ht="15" hidden="false" customHeight="false" outlineLevel="0" collapsed="false">
      <c r="A5930" s="10" t="s">
        <v>8271</v>
      </c>
      <c r="B5930" s="10" t="s">
        <v>67</v>
      </c>
      <c r="C5930" s="10" t="s">
        <v>49</v>
      </c>
      <c r="D5930" s="10" t="s">
        <v>168</v>
      </c>
      <c r="E5930" s="10" t="s">
        <v>2342</v>
      </c>
      <c r="F5930" s="30" t="n">
        <v>42990</v>
      </c>
      <c r="G5930" s="30" t="n">
        <v>43065</v>
      </c>
      <c r="H5930" s="26" t="n">
        <f aca="false">G5930-F5930</f>
        <v>75</v>
      </c>
      <c r="I5930" s="10" t="n">
        <f aca="false">IF(E5930="Won",1,0)</f>
        <v>1</v>
      </c>
    </row>
    <row r="5931" customFormat="false" ht="15" hidden="false" customHeight="false" outlineLevel="0" collapsed="false">
      <c r="A5931" s="10" t="s">
        <v>8272</v>
      </c>
      <c r="B5931" s="10" t="s">
        <v>71</v>
      </c>
      <c r="C5931" s="10" t="s">
        <v>52</v>
      </c>
      <c r="D5931" s="10" t="s">
        <v>410</v>
      </c>
      <c r="E5931" s="10" t="s">
        <v>2342</v>
      </c>
      <c r="F5931" s="30" t="n">
        <v>43033</v>
      </c>
      <c r="G5931" s="30" t="n">
        <v>43065</v>
      </c>
      <c r="H5931" s="26" t="n">
        <f aca="false">G5931-F5931</f>
        <v>32</v>
      </c>
      <c r="I5931" s="10" t="n">
        <f aca="false">IF(E5931="Won",1,0)</f>
        <v>1</v>
      </c>
    </row>
    <row r="5932" customFormat="false" ht="15" hidden="false" customHeight="false" outlineLevel="0" collapsed="false">
      <c r="A5932" s="10" t="s">
        <v>8273</v>
      </c>
      <c r="B5932" s="10" t="s">
        <v>97</v>
      </c>
      <c r="C5932" s="10" t="s">
        <v>50</v>
      </c>
      <c r="D5932" s="10" t="s">
        <v>522</v>
      </c>
      <c r="E5932" s="10" t="s">
        <v>2345</v>
      </c>
      <c r="F5932" s="30" t="n">
        <v>42994</v>
      </c>
      <c r="G5932" s="30" t="n">
        <v>43065</v>
      </c>
      <c r="H5932" s="26" t="n">
        <f aca="false">G5932-F5932</f>
        <v>71</v>
      </c>
      <c r="I5932" s="10" t="n">
        <f aca="false">IF(E5932="Won",1,0)</f>
        <v>0</v>
      </c>
    </row>
    <row r="5933" customFormat="false" ht="15" hidden="false" customHeight="false" outlineLevel="0" collapsed="false">
      <c r="A5933" s="10" t="s">
        <v>8274</v>
      </c>
      <c r="B5933" s="10" t="s">
        <v>62</v>
      </c>
      <c r="C5933" s="10" t="s">
        <v>52</v>
      </c>
      <c r="D5933" s="10" t="s">
        <v>359</v>
      </c>
      <c r="E5933" s="10" t="s">
        <v>2342</v>
      </c>
      <c r="F5933" s="30" t="n">
        <v>43056</v>
      </c>
      <c r="G5933" s="30" t="n">
        <v>43065</v>
      </c>
      <c r="H5933" s="26" t="n">
        <f aca="false">G5933-F5933</f>
        <v>9</v>
      </c>
      <c r="I5933" s="10" t="n">
        <f aca="false">IF(E5933="Won",1,0)</f>
        <v>1</v>
      </c>
    </row>
    <row r="5934" customFormat="false" ht="15" hidden="false" customHeight="false" outlineLevel="0" collapsed="false">
      <c r="A5934" s="10" t="s">
        <v>8275</v>
      </c>
      <c r="B5934" s="10" t="s">
        <v>63</v>
      </c>
      <c r="C5934" s="10" t="s">
        <v>48</v>
      </c>
      <c r="D5934" s="10" t="s">
        <v>427</v>
      </c>
      <c r="E5934" s="10" t="s">
        <v>2345</v>
      </c>
      <c r="F5934" s="30" t="n">
        <v>43060</v>
      </c>
      <c r="G5934" s="30" t="n">
        <v>43065</v>
      </c>
      <c r="H5934" s="26" t="n">
        <f aca="false">G5934-F5934</f>
        <v>5</v>
      </c>
      <c r="I5934" s="10" t="n">
        <f aca="false">IF(E5934="Won",1,0)</f>
        <v>0</v>
      </c>
    </row>
    <row r="5935" customFormat="false" ht="15" hidden="false" customHeight="false" outlineLevel="0" collapsed="false">
      <c r="A5935" s="10" t="s">
        <v>8276</v>
      </c>
      <c r="B5935" s="10" t="s">
        <v>71</v>
      </c>
      <c r="C5935" s="10" t="s">
        <v>49</v>
      </c>
      <c r="D5935" s="10" t="s">
        <v>410</v>
      </c>
      <c r="E5935" s="10" t="s">
        <v>2345</v>
      </c>
      <c r="F5935" s="30" t="n">
        <v>42952</v>
      </c>
      <c r="G5935" s="30" t="n">
        <v>43065</v>
      </c>
      <c r="H5935" s="26" t="n">
        <f aca="false">G5935-F5935</f>
        <v>113</v>
      </c>
      <c r="I5935" s="10" t="n">
        <f aca="false">IF(E5935="Won",1,0)</f>
        <v>0</v>
      </c>
    </row>
    <row r="5936" customFormat="false" ht="15" hidden="false" customHeight="false" outlineLevel="0" collapsed="false">
      <c r="A5936" s="10" t="s">
        <v>8277</v>
      </c>
      <c r="B5936" s="10" t="s">
        <v>76</v>
      </c>
      <c r="C5936" s="10" t="s">
        <v>52</v>
      </c>
      <c r="D5936" s="10" t="s">
        <v>267</v>
      </c>
      <c r="E5936" s="10" t="s">
        <v>2345</v>
      </c>
      <c r="F5936" s="30" t="n">
        <v>42983</v>
      </c>
      <c r="G5936" s="30" t="n">
        <v>43065</v>
      </c>
      <c r="H5936" s="26" t="n">
        <f aca="false">G5936-F5936</f>
        <v>82</v>
      </c>
      <c r="I5936" s="10" t="n">
        <f aca="false">IF(E5936="Won",1,0)</f>
        <v>0</v>
      </c>
    </row>
    <row r="5937" customFormat="false" ht="15" hidden="false" customHeight="false" outlineLevel="0" collapsed="false">
      <c r="A5937" s="10" t="s">
        <v>8278</v>
      </c>
      <c r="B5937" s="10" t="s">
        <v>95</v>
      </c>
      <c r="C5937" s="10" t="s">
        <v>50</v>
      </c>
      <c r="D5937" s="10" t="s">
        <v>711</v>
      </c>
      <c r="E5937" s="10" t="s">
        <v>2345</v>
      </c>
      <c r="F5937" s="30" t="n">
        <v>42966</v>
      </c>
      <c r="G5937" s="30" t="n">
        <v>43065</v>
      </c>
      <c r="H5937" s="26" t="n">
        <f aca="false">G5937-F5937</f>
        <v>99</v>
      </c>
      <c r="I5937" s="10" t="n">
        <f aca="false">IF(E5937="Won",1,0)</f>
        <v>0</v>
      </c>
    </row>
    <row r="5938" customFormat="false" ht="15" hidden="false" customHeight="false" outlineLevel="0" collapsed="false">
      <c r="A5938" s="10" t="s">
        <v>8279</v>
      </c>
      <c r="B5938" s="10" t="s">
        <v>88</v>
      </c>
      <c r="C5938" s="10" t="s">
        <v>49</v>
      </c>
      <c r="D5938" s="10" t="s">
        <v>674</v>
      </c>
      <c r="E5938" s="10" t="s">
        <v>2342</v>
      </c>
      <c r="F5938" s="30" t="n">
        <v>42978</v>
      </c>
      <c r="G5938" s="30" t="n">
        <v>43065</v>
      </c>
      <c r="H5938" s="26" t="n">
        <f aca="false">G5938-F5938</f>
        <v>87</v>
      </c>
      <c r="I5938" s="10" t="n">
        <f aca="false">IF(E5938="Won",1,0)</f>
        <v>1</v>
      </c>
    </row>
    <row r="5939" customFormat="false" ht="15" hidden="false" customHeight="false" outlineLevel="0" collapsed="false">
      <c r="A5939" s="10" t="s">
        <v>8280</v>
      </c>
      <c r="B5939" s="10" t="s">
        <v>83</v>
      </c>
      <c r="C5939" s="10" t="s">
        <v>50</v>
      </c>
      <c r="D5939" s="10" t="s">
        <v>527</v>
      </c>
      <c r="E5939" s="10" t="s">
        <v>2345</v>
      </c>
      <c r="F5939" s="30" t="n">
        <v>42983</v>
      </c>
      <c r="G5939" s="30" t="n">
        <v>43065</v>
      </c>
      <c r="H5939" s="26" t="n">
        <f aca="false">G5939-F5939</f>
        <v>82</v>
      </c>
      <c r="I5939" s="10" t="n">
        <f aca="false">IF(E5939="Won",1,0)</f>
        <v>0</v>
      </c>
    </row>
    <row r="5940" customFormat="false" ht="15" hidden="false" customHeight="false" outlineLevel="0" collapsed="false">
      <c r="A5940" s="10" t="s">
        <v>8281</v>
      </c>
      <c r="B5940" s="10" t="s">
        <v>88</v>
      </c>
      <c r="C5940" s="10" t="s">
        <v>47</v>
      </c>
      <c r="D5940" s="10" t="s">
        <v>350</v>
      </c>
      <c r="E5940" s="10" t="s">
        <v>2345</v>
      </c>
      <c r="F5940" s="30" t="n">
        <v>42996</v>
      </c>
      <c r="G5940" s="30" t="n">
        <v>43065</v>
      </c>
      <c r="H5940" s="26" t="n">
        <f aca="false">G5940-F5940</f>
        <v>69</v>
      </c>
      <c r="I5940" s="10" t="n">
        <f aca="false">IF(E5940="Won",1,0)</f>
        <v>0</v>
      </c>
    </row>
    <row r="5941" customFormat="false" ht="15" hidden="false" customHeight="false" outlineLevel="0" collapsed="false">
      <c r="A5941" s="10" t="s">
        <v>8282</v>
      </c>
      <c r="B5941" s="10" t="s">
        <v>83</v>
      </c>
      <c r="C5941" s="10" t="s">
        <v>50</v>
      </c>
      <c r="D5941" s="10" t="s">
        <v>410</v>
      </c>
      <c r="E5941" s="10" t="s">
        <v>2345</v>
      </c>
      <c r="F5941" s="30" t="n">
        <v>43055</v>
      </c>
      <c r="G5941" s="30" t="n">
        <v>43065</v>
      </c>
      <c r="H5941" s="26" t="n">
        <f aca="false">G5941-F5941</f>
        <v>10</v>
      </c>
      <c r="I5941" s="10" t="n">
        <f aca="false">IF(E5941="Won",1,0)</f>
        <v>0</v>
      </c>
    </row>
    <row r="5942" customFormat="false" ht="15" hidden="false" customHeight="false" outlineLevel="0" collapsed="false">
      <c r="A5942" s="10" t="s">
        <v>8283</v>
      </c>
      <c r="B5942" s="10" t="s">
        <v>70</v>
      </c>
      <c r="C5942" s="10" t="s">
        <v>47</v>
      </c>
      <c r="D5942" s="10" t="s">
        <v>506</v>
      </c>
      <c r="E5942" s="10" t="s">
        <v>2342</v>
      </c>
      <c r="F5942" s="30" t="n">
        <v>43002</v>
      </c>
      <c r="G5942" s="30" t="n">
        <v>43065</v>
      </c>
      <c r="H5942" s="26" t="n">
        <f aca="false">G5942-F5942</f>
        <v>63</v>
      </c>
      <c r="I5942" s="10" t="n">
        <f aca="false">IF(E5942="Won",1,0)</f>
        <v>1</v>
      </c>
    </row>
    <row r="5943" customFormat="false" ht="15" hidden="false" customHeight="false" outlineLevel="0" collapsed="false">
      <c r="A5943" s="10" t="s">
        <v>8284</v>
      </c>
      <c r="B5943" s="10" t="s">
        <v>94</v>
      </c>
      <c r="C5943" s="10" t="s">
        <v>47</v>
      </c>
      <c r="D5943" s="10" t="s">
        <v>432</v>
      </c>
      <c r="E5943" s="10" t="s">
        <v>2345</v>
      </c>
      <c r="F5943" s="30" t="n">
        <v>43047</v>
      </c>
      <c r="G5943" s="30" t="n">
        <v>43065</v>
      </c>
      <c r="H5943" s="26" t="n">
        <f aca="false">G5943-F5943</f>
        <v>18</v>
      </c>
      <c r="I5943" s="10" t="n">
        <f aca="false">IF(E5943="Won",1,0)</f>
        <v>0</v>
      </c>
    </row>
    <row r="5944" customFormat="false" ht="15" hidden="false" customHeight="false" outlineLevel="0" collapsed="false">
      <c r="A5944" s="10" t="s">
        <v>8285</v>
      </c>
      <c r="B5944" s="10" t="s">
        <v>97</v>
      </c>
      <c r="C5944" s="10" t="s">
        <v>51</v>
      </c>
      <c r="D5944" s="10" t="s">
        <v>514</v>
      </c>
      <c r="E5944" s="10" t="s">
        <v>2342</v>
      </c>
      <c r="F5944" s="30" t="n">
        <v>42985</v>
      </c>
      <c r="G5944" s="30" t="n">
        <v>43065</v>
      </c>
      <c r="H5944" s="26" t="n">
        <f aca="false">G5944-F5944</f>
        <v>80</v>
      </c>
      <c r="I5944" s="10" t="n">
        <f aca="false">IF(E5944="Won",1,0)</f>
        <v>1</v>
      </c>
    </row>
    <row r="5945" customFormat="false" ht="15" hidden="false" customHeight="false" outlineLevel="0" collapsed="false">
      <c r="A5945" s="10" t="s">
        <v>8286</v>
      </c>
      <c r="B5945" s="10" t="s">
        <v>74</v>
      </c>
      <c r="C5945" s="10" t="s">
        <v>47</v>
      </c>
      <c r="D5945" s="10" t="s">
        <v>210</v>
      </c>
      <c r="E5945" s="10" t="s">
        <v>2342</v>
      </c>
      <c r="F5945" s="30" t="n">
        <v>42999</v>
      </c>
      <c r="G5945" s="30" t="n">
        <v>43065</v>
      </c>
      <c r="H5945" s="26" t="n">
        <f aca="false">G5945-F5945</f>
        <v>66</v>
      </c>
      <c r="I5945" s="10" t="n">
        <f aca="false">IF(E5945="Won",1,0)</f>
        <v>1</v>
      </c>
    </row>
    <row r="5946" customFormat="false" ht="15" hidden="false" customHeight="false" outlineLevel="0" collapsed="false">
      <c r="A5946" s="10" t="s">
        <v>8287</v>
      </c>
      <c r="B5946" s="10" t="s">
        <v>61</v>
      </c>
      <c r="C5946" s="10" t="s">
        <v>48</v>
      </c>
      <c r="D5946" s="10" t="s">
        <v>254</v>
      </c>
      <c r="E5946" s="10" t="s">
        <v>2342</v>
      </c>
      <c r="F5946" s="30" t="n">
        <v>43056</v>
      </c>
      <c r="G5946" s="30" t="n">
        <v>43065</v>
      </c>
      <c r="H5946" s="26" t="n">
        <f aca="false">G5946-F5946</f>
        <v>9</v>
      </c>
      <c r="I5946" s="10" t="n">
        <f aca="false">IF(E5946="Won",1,0)</f>
        <v>1</v>
      </c>
    </row>
    <row r="5947" customFormat="false" ht="15" hidden="false" customHeight="false" outlineLevel="0" collapsed="false">
      <c r="A5947" s="10" t="s">
        <v>8288</v>
      </c>
      <c r="B5947" s="10" t="s">
        <v>73</v>
      </c>
      <c r="C5947" s="10" t="s">
        <v>49</v>
      </c>
      <c r="D5947" s="10" t="s">
        <v>660</v>
      </c>
      <c r="E5947" s="10" t="s">
        <v>2342</v>
      </c>
      <c r="F5947" s="30" t="n">
        <v>43047</v>
      </c>
      <c r="G5947" s="30" t="n">
        <v>43065</v>
      </c>
      <c r="H5947" s="26" t="n">
        <f aca="false">G5947-F5947</f>
        <v>18</v>
      </c>
      <c r="I5947" s="10" t="n">
        <f aca="false">IF(E5947="Won",1,0)</f>
        <v>1</v>
      </c>
    </row>
    <row r="5948" customFormat="false" ht="15" hidden="false" customHeight="false" outlineLevel="0" collapsed="false">
      <c r="A5948" s="10" t="s">
        <v>8289</v>
      </c>
      <c r="B5948" s="10" t="s">
        <v>84</v>
      </c>
      <c r="C5948" s="10" t="s">
        <v>48</v>
      </c>
      <c r="D5948" s="10" t="s">
        <v>233</v>
      </c>
      <c r="E5948" s="10" t="s">
        <v>2342</v>
      </c>
      <c r="F5948" s="30" t="n">
        <v>42963</v>
      </c>
      <c r="G5948" s="30" t="n">
        <v>43065</v>
      </c>
      <c r="H5948" s="26" t="n">
        <f aca="false">G5948-F5948</f>
        <v>102</v>
      </c>
      <c r="I5948" s="10" t="n">
        <f aca="false">IF(E5948="Won",1,0)</f>
        <v>1</v>
      </c>
    </row>
    <row r="5949" customFormat="false" ht="15" hidden="false" customHeight="false" outlineLevel="0" collapsed="false">
      <c r="A5949" s="10" t="s">
        <v>8290</v>
      </c>
      <c r="B5949" s="10" t="s">
        <v>70</v>
      </c>
      <c r="C5949" s="10" t="s">
        <v>52</v>
      </c>
      <c r="D5949" s="10" t="s">
        <v>437</v>
      </c>
      <c r="E5949" s="10" t="s">
        <v>2342</v>
      </c>
      <c r="F5949" s="30" t="n">
        <v>42960</v>
      </c>
      <c r="G5949" s="30" t="n">
        <v>43065</v>
      </c>
      <c r="H5949" s="26" t="n">
        <f aca="false">G5949-F5949</f>
        <v>105</v>
      </c>
      <c r="I5949" s="10" t="n">
        <f aca="false">IF(E5949="Won",1,0)</f>
        <v>1</v>
      </c>
    </row>
    <row r="5950" customFormat="false" ht="15" hidden="false" customHeight="false" outlineLevel="0" collapsed="false">
      <c r="A5950" s="10" t="s">
        <v>8291</v>
      </c>
      <c r="B5950" s="10" t="s">
        <v>90</v>
      </c>
      <c r="C5950" s="10" t="s">
        <v>51</v>
      </c>
      <c r="D5950" s="10" t="s">
        <v>161</v>
      </c>
      <c r="E5950" s="10" t="s">
        <v>2345</v>
      </c>
      <c r="F5950" s="30" t="n">
        <v>42995</v>
      </c>
      <c r="G5950" s="30" t="n">
        <v>43066</v>
      </c>
      <c r="H5950" s="26" t="n">
        <f aca="false">G5950-F5950</f>
        <v>71</v>
      </c>
      <c r="I5950" s="10" t="n">
        <f aca="false">IF(E5950="Won",1,0)</f>
        <v>0</v>
      </c>
    </row>
    <row r="5951" customFormat="false" ht="15" hidden="false" customHeight="false" outlineLevel="0" collapsed="false">
      <c r="A5951" s="10" t="s">
        <v>8292</v>
      </c>
      <c r="B5951" s="10" t="s">
        <v>68</v>
      </c>
      <c r="C5951" s="10" t="s">
        <v>49</v>
      </c>
      <c r="D5951" s="10" t="s">
        <v>199</v>
      </c>
      <c r="E5951" s="10" t="s">
        <v>2345</v>
      </c>
      <c r="F5951" s="30" t="n">
        <v>43060</v>
      </c>
      <c r="G5951" s="30" t="n">
        <v>43066</v>
      </c>
      <c r="H5951" s="26" t="n">
        <f aca="false">G5951-F5951</f>
        <v>6</v>
      </c>
      <c r="I5951" s="10" t="n">
        <f aca="false">IF(E5951="Won",1,0)</f>
        <v>0</v>
      </c>
    </row>
    <row r="5952" customFormat="false" ht="15" hidden="false" customHeight="false" outlineLevel="0" collapsed="false">
      <c r="A5952" s="10" t="s">
        <v>8293</v>
      </c>
      <c r="B5952" s="10" t="s">
        <v>75</v>
      </c>
      <c r="C5952" s="10" t="s">
        <v>49</v>
      </c>
      <c r="D5952" s="10" t="s">
        <v>388</v>
      </c>
      <c r="E5952" s="10" t="s">
        <v>2345</v>
      </c>
      <c r="F5952" s="30" t="n">
        <v>42975</v>
      </c>
      <c r="G5952" s="30" t="n">
        <v>43066</v>
      </c>
      <c r="H5952" s="26" t="n">
        <f aca="false">G5952-F5952</f>
        <v>91</v>
      </c>
      <c r="I5952" s="10" t="n">
        <f aca="false">IF(E5952="Won",1,0)</f>
        <v>0</v>
      </c>
    </row>
    <row r="5953" customFormat="false" ht="15" hidden="false" customHeight="false" outlineLevel="0" collapsed="false">
      <c r="A5953" s="10" t="s">
        <v>8294</v>
      </c>
      <c r="B5953" s="10" t="s">
        <v>90</v>
      </c>
      <c r="C5953" s="10" t="s">
        <v>47</v>
      </c>
      <c r="D5953" s="10" t="s">
        <v>464</v>
      </c>
      <c r="E5953" s="10" t="s">
        <v>2345</v>
      </c>
      <c r="F5953" s="30" t="n">
        <v>42985</v>
      </c>
      <c r="G5953" s="30" t="n">
        <v>43066</v>
      </c>
      <c r="H5953" s="26" t="n">
        <f aca="false">G5953-F5953</f>
        <v>81</v>
      </c>
      <c r="I5953" s="10" t="n">
        <f aca="false">IF(E5953="Won",1,0)</f>
        <v>0</v>
      </c>
    </row>
    <row r="5954" customFormat="false" ht="15" hidden="false" customHeight="false" outlineLevel="0" collapsed="false">
      <c r="A5954" s="10" t="s">
        <v>8295</v>
      </c>
      <c r="B5954" s="10" t="s">
        <v>61</v>
      </c>
      <c r="C5954" s="10" t="s">
        <v>52</v>
      </c>
      <c r="D5954" s="10" t="s">
        <v>1397</v>
      </c>
      <c r="E5954" s="10" t="s">
        <v>2342</v>
      </c>
      <c r="F5954" s="30" t="n">
        <v>42994</v>
      </c>
      <c r="G5954" s="30" t="n">
        <v>43066</v>
      </c>
      <c r="H5954" s="26" t="n">
        <f aca="false">G5954-F5954</f>
        <v>72</v>
      </c>
      <c r="I5954" s="10" t="n">
        <f aca="false">IF(E5954="Won",1,0)</f>
        <v>1</v>
      </c>
    </row>
    <row r="5955" customFormat="false" ht="15" hidden="false" customHeight="false" outlineLevel="0" collapsed="false">
      <c r="A5955" s="10" t="s">
        <v>8296</v>
      </c>
      <c r="B5955" s="10" t="s">
        <v>57</v>
      </c>
      <c r="C5955" s="10" t="s">
        <v>48</v>
      </c>
      <c r="D5955" s="10" t="s">
        <v>532</v>
      </c>
      <c r="E5955" s="10" t="s">
        <v>2345</v>
      </c>
      <c r="F5955" s="30" t="n">
        <v>43059</v>
      </c>
      <c r="G5955" s="30" t="n">
        <v>43066</v>
      </c>
      <c r="H5955" s="26" t="n">
        <f aca="false">G5955-F5955</f>
        <v>7</v>
      </c>
      <c r="I5955" s="10" t="n">
        <f aca="false">IF(E5955="Won",1,0)</f>
        <v>0</v>
      </c>
    </row>
    <row r="5956" customFormat="false" ht="15" hidden="false" customHeight="false" outlineLevel="0" collapsed="false">
      <c r="A5956" s="10" t="s">
        <v>8297</v>
      </c>
      <c r="B5956" s="10" t="s">
        <v>94</v>
      </c>
      <c r="C5956" s="10" t="s">
        <v>49</v>
      </c>
      <c r="D5956" s="10" t="s">
        <v>384</v>
      </c>
      <c r="E5956" s="10" t="s">
        <v>2345</v>
      </c>
      <c r="F5956" s="30" t="n">
        <v>42997</v>
      </c>
      <c r="G5956" s="30" t="n">
        <v>43066</v>
      </c>
      <c r="H5956" s="26" t="n">
        <f aca="false">G5956-F5956</f>
        <v>69</v>
      </c>
      <c r="I5956" s="10" t="n">
        <f aca="false">IF(E5956="Won",1,0)</f>
        <v>0</v>
      </c>
    </row>
    <row r="5957" customFormat="false" ht="15" hidden="false" customHeight="false" outlineLevel="0" collapsed="false">
      <c r="A5957" s="10" t="s">
        <v>8298</v>
      </c>
      <c r="B5957" s="10" t="s">
        <v>71</v>
      </c>
      <c r="C5957" s="10" t="s">
        <v>49</v>
      </c>
      <c r="D5957" s="10" t="s">
        <v>869</v>
      </c>
      <c r="E5957" s="10" t="s">
        <v>2345</v>
      </c>
      <c r="F5957" s="30" t="n">
        <v>42990</v>
      </c>
      <c r="G5957" s="30" t="n">
        <v>43066</v>
      </c>
      <c r="H5957" s="26" t="n">
        <f aca="false">G5957-F5957</f>
        <v>76</v>
      </c>
      <c r="I5957" s="10" t="n">
        <f aca="false">IF(E5957="Won",1,0)</f>
        <v>0</v>
      </c>
    </row>
    <row r="5958" customFormat="false" ht="15" hidden="false" customHeight="false" outlineLevel="0" collapsed="false">
      <c r="A5958" s="10" t="s">
        <v>8299</v>
      </c>
      <c r="B5958" s="10" t="s">
        <v>83</v>
      </c>
      <c r="C5958" s="10" t="s">
        <v>47</v>
      </c>
      <c r="D5958" s="10" t="s">
        <v>291</v>
      </c>
      <c r="E5958" s="10" t="s">
        <v>2342</v>
      </c>
      <c r="F5958" s="30" t="n">
        <v>42987</v>
      </c>
      <c r="G5958" s="30" t="n">
        <v>43066</v>
      </c>
      <c r="H5958" s="26" t="n">
        <f aca="false">G5958-F5958</f>
        <v>79</v>
      </c>
      <c r="I5958" s="10" t="n">
        <f aca="false">IF(E5958="Won",1,0)</f>
        <v>1</v>
      </c>
    </row>
    <row r="5959" customFormat="false" ht="15" hidden="false" customHeight="false" outlineLevel="0" collapsed="false">
      <c r="A5959" s="10" t="s">
        <v>8300</v>
      </c>
      <c r="B5959" s="10" t="s">
        <v>96</v>
      </c>
      <c r="C5959" s="10" t="s">
        <v>50</v>
      </c>
      <c r="D5959" s="10" t="s">
        <v>313</v>
      </c>
      <c r="E5959" s="10" t="s">
        <v>2345</v>
      </c>
      <c r="F5959" s="30" t="n">
        <v>43061</v>
      </c>
      <c r="G5959" s="30" t="n">
        <v>43066</v>
      </c>
      <c r="H5959" s="26" t="n">
        <f aca="false">G5959-F5959</f>
        <v>5</v>
      </c>
      <c r="I5959" s="10" t="n">
        <f aca="false">IF(E5959="Won",1,0)</f>
        <v>0</v>
      </c>
    </row>
    <row r="5960" customFormat="false" ht="15" hidden="false" customHeight="false" outlineLevel="0" collapsed="false">
      <c r="A5960" s="10" t="s">
        <v>8301</v>
      </c>
      <c r="B5960" s="10" t="s">
        <v>62</v>
      </c>
      <c r="C5960" s="10" t="s">
        <v>49</v>
      </c>
      <c r="D5960" s="10" t="s">
        <v>1334</v>
      </c>
      <c r="E5960" s="10" t="s">
        <v>2345</v>
      </c>
      <c r="F5960" s="30" t="n">
        <v>43065</v>
      </c>
      <c r="G5960" s="30" t="n">
        <v>43066</v>
      </c>
      <c r="H5960" s="26" t="n">
        <f aca="false">G5960-F5960</f>
        <v>1</v>
      </c>
      <c r="I5960" s="10" t="n">
        <f aca="false">IF(E5960="Won",1,0)</f>
        <v>0</v>
      </c>
    </row>
    <row r="5961" customFormat="false" ht="15" hidden="false" customHeight="false" outlineLevel="0" collapsed="false">
      <c r="A5961" s="10" t="s">
        <v>8302</v>
      </c>
      <c r="B5961" s="10" t="s">
        <v>76</v>
      </c>
      <c r="C5961" s="10" t="s">
        <v>52</v>
      </c>
      <c r="D5961" s="10" t="s">
        <v>414</v>
      </c>
      <c r="E5961" s="10" t="s">
        <v>2342</v>
      </c>
      <c r="F5961" s="30" t="n">
        <v>42988</v>
      </c>
      <c r="G5961" s="30" t="n">
        <v>43066</v>
      </c>
      <c r="H5961" s="26" t="n">
        <f aca="false">G5961-F5961</f>
        <v>78</v>
      </c>
      <c r="I5961" s="10" t="n">
        <f aca="false">IF(E5961="Won",1,0)</f>
        <v>1</v>
      </c>
    </row>
    <row r="5962" customFormat="false" ht="15" hidden="false" customHeight="false" outlineLevel="0" collapsed="false">
      <c r="A5962" s="10" t="s">
        <v>8303</v>
      </c>
      <c r="B5962" s="10" t="s">
        <v>67</v>
      </c>
      <c r="C5962" s="10" t="s">
        <v>52</v>
      </c>
      <c r="D5962" s="10" t="s">
        <v>303</v>
      </c>
      <c r="E5962" s="10" t="s">
        <v>2345</v>
      </c>
      <c r="F5962" s="30" t="n">
        <v>42992</v>
      </c>
      <c r="G5962" s="30" t="n">
        <v>43066</v>
      </c>
      <c r="H5962" s="26" t="n">
        <f aca="false">G5962-F5962</f>
        <v>74</v>
      </c>
      <c r="I5962" s="10" t="n">
        <f aca="false">IF(E5962="Won",1,0)</f>
        <v>0</v>
      </c>
    </row>
    <row r="5963" customFormat="false" ht="15" hidden="false" customHeight="false" outlineLevel="0" collapsed="false">
      <c r="A5963" s="10" t="s">
        <v>8304</v>
      </c>
      <c r="B5963" s="10" t="s">
        <v>70</v>
      </c>
      <c r="C5963" s="10" t="s">
        <v>48</v>
      </c>
      <c r="D5963" s="10" t="s">
        <v>986</v>
      </c>
      <c r="E5963" s="10" t="s">
        <v>2342</v>
      </c>
      <c r="F5963" s="30" t="n">
        <v>42966</v>
      </c>
      <c r="G5963" s="30" t="n">
        <v>43066</v>
      </c>
      <c r="H5963" s="26" t="n">
        <f aca="false">G5963-F5963</f>
        <v>100</v>
      </c>
      <c r="I5963" s="10" t="n">
        <f aca="false">IF(E5963="Won",1,0)</f>
        <v>1</v>
      </c>
    </row>
    <row r="5964" customFormat="false" ht="15" hidden="false" customHeight="false" outlineLevel="0" collapsed="false">
      <c r="A5964" s="10" t="s">
        <v>8305</v>
      </c>
      <c r="B5964" s="10" t="s">
        <v>86</v>
      </c>
      <c r="C5964" s="10" t="s">
        <v>50</v>
      </c>
      <c r="D5964" s="10" t="s">
        <v>453</v>
      </c>
      <c r="E5964" s="10" t="s">
        <v>2345</v>
      </c>
      <c r="F5964" s="30" t="n">
        <v>43000</v>
      </c>
      <c r="G5964" s="30" t="n">
        <v>43066</v>
      </c>
      <c r="H5964" s="26" t="n">
        <f aca="false">G5964-F5964</f>
        <v>66</v>
      </c>
      <c r="I5964" s="10" t="n">
        <f aca="false">IF(E5964="Won",1,0)</f>
        <v>0</v>
      </c>
    </row>
    <row r="5965" customFormat="false" ht="15" hidden="false" customHeight="false" outlineLevel="0" collapsed="false">
      <c r="A5965" s="10" t="s">
        <v>8306</v>
      </c>
      <c r="B5965" s="10" t="s">
        <v>74</v>
      </c>
      <c r="C5965" s="10" t="s">
        <v>50</v>
      </c>
      <c r="D5965" s="10" t="s">
        <v>267</v>
      </c>
      <c r="E5965" s="10" t="s">
        <v>2342</v>
      </c>
      <c r="F5965" s="30" t="n">
        <v>43001</v>
      </c>
      <c r="G5965" s="30" t="n">
        <v>43066</v>
      </c>
      <c r="H5965" s="26" t="n">
        <f aca="false">G5965-F5965</f>
        <v>65</v>
      </c>
      <c r="I5965" s="10" t="n">
        <f aca="false">IF(E5965="Won",1,0)</f>
        <v>1</v>
      </c>
    </row>
    <row r="5966" customFormat="false" ht="15" hidden="false" customHeight="false" outlineLevel="0" collapsed="false">
      <c r="A5966" s="10" t="s">
        <v>8307</v>
      </c>
      <c r="B5966" s="10" t="s">
        <v>79</v>
      </c>
      <c r="C5966" s="10" t="s">
        <v>51</v>
      </c>
      <c r="D5966" s="10" t="s">
        <v>179</v>
      </c>
      <c r="E5966" s="10" t="s">
        <v>2345</v>
      </c>
      <c r="F5966" s="30" t="n">
        <v>43017</v>
      </c>
      <c r="G5966" s="30" t="n">
        <v>43066</v>
      </c>
      <c r="H5966" s="26" t="n">
        <f aca="false">G5966-F5966</f>
        <v>49</v>
      </c>
      <c r="I5966" s="10" t="n">
        <f aca="false">IF(E5966="Won",1,0)</f>
        <v>0</v>
      </c>
    </row>
    <row r="5967" customFormat="false" ht="15" hidden="false" customHeight="false" outlineLevel="0" collapsed="false">
      <c r="A5967" s="10" t="s">
        <v>8308</v>
      </c>
      <c r="B5967" s="10" t="s">
        <v>67</v>
      </c>
      <c r="C5967" s="10" t="s">
        <v>49</v>
      </c>
      <c r="D5967" s="10" t="s">
        <v>522</v>
      </c>
      <c r="E5967" s="10" t="s">
        <v>2342</v>
      </c>
      <c r="F5967" s="30" t="n">
        <v>42968</v>
      </c>
      <c r="G5967" s="30" t="n">
        <v>43066</v>
      </c>
      <c r="H5967" s="26" t="n">
        <f aca="false">G5967-F5967</f>
        <v>98</v>
      </c>
      <c r="I5967" s="10" t="n">
        <f aca="false">IF(E5967="Won",1,0)</f>
        <v>1</v>
      </c>
    </row>
    <row r="5968" customFormat="false" ht="15" hidden="false" customHeight="false" outlineLevel="0" collapsed="false">
      <c r="A5968" s="10" t="s">
        <v>8309</v>
      </c>
      <c r="B5968" s="10" t="s">
        <v>75</v>
      </c>
      <c r="C5968" s="10" t="s">
        <v>52</v>
      </c>
      <c r="D5968" s="10" t="s">
        <v>512</v>
      </c>
      <c r="E5968" s="10" t="s">
        <v>2345</v>
      </c>
      <c r="F5968" s="30" t="n">
        <v>43001</v>
      </c>
      <c r="G5968" s="30" t="n">
        <v>43066</v>
      </c>
      <c r="H5968" s="26" t="n">
        <f aca="false">G5968-F5968</f>
        <v>65</v>
      </c>
      <c r="I5968" s="10" t="n">
        <f aca="false">IF(E5968="Won",1,0)</f>
        <v>0</v>
      </c>
    </row>
    <row r="5969" customFormat="false" ht="15" hidden="false" customHeight="false" outlineLevel="0" collapsed="false">
      <c r="A5969" s="10" t="s">
        <v>8310</v>
      </c>
      <c r="B5969" s="10" t="s">
        <v>69</v>
      </c>
      <c r="C5969" s="10" t="s">
        <v>52</v>
      </c>
      <c r="D5969" s="10" t="s">
        <v>437</v>
      </c>
      <c r="E5969" s="10" t="s">
        <v>2342</v>
      </c>
      <c r="F5969" s="30" t="n">
        <v>43005</v>
      </c>
      <c r="G5969" s="30" t="n">
        <v>43066</v>
      </c>
      <c r="H5969" s="26" t="n">
        <f aca="false">G5969-F5969</f>
        <v>61</v>
      </c>
      <c r="I5969" s="10" t="n">
        <f aca="false">IF(E5969="Won",1,0)</f>
        <v>1</v>
      </c>
    </row>
    <row r="5970" customFormat="false" ht="15" hidden="false" customHeight="false" outlineLevel="0" collapsed="false">
      <c r="A5970" s="10" t="s">
        <v>8311</v>
      </c>
      <c r="B5970" s="10" t="s">
        <v>83</v>
      </c>
      <c r="C5970" s="10" t="s">
        <v>50</v>
      </c>
      <c r="D5970" s="10" t="s">
        <v>697</v>
      </c>
      <c r="E5970" s="10" t="s">
        <v>2342</v>
      </c>
      <c r="F5970" s="30" t="n">
        <v>43008</v>
      </c>
      <c r="G5970" s="30" t="n">
        <v>43066</v>
      </c>
      <c r="H5970" s="26" t="n">
        <f aca="false">G5970-F5970</f>
        <v>58</v>
      </c>
      <c r="I5970" s="10" t="n">
        <f aca="false">IF(E5970="Won",1,0)</f>
        <v>1</v>
      </c>
    </row>
    <row r="5971" customFormat="false" ht="15" hidden="false" customHeight="false" outlineLevel="0" collapsed="false">
      <c r="A5971" s="10" t="s">
        <v>8312</v>
      </c>
      <c r="B5971" s="10" t="s">
        <v>60</v>
      </c>
      <c r="C5971" s="10" t="s">
        <v>47</v>
      </c>
      <c r="D5971" s="10" t="s">
        <v>427</v>
      </c>
      <c r="E5971" s="10" t="s">
        <v>2342</v>
      </c>
      <c r="F5971" s="30" t="n">
        <v>43048</v>
      </c>
      <c r="G5971" s="30" t="n">
        <v>43066</v>
      </c>
      <c r="H5971" s="26" t="n">
        <f aca="false">G5971-F5971</f>
        <v>18</v>
      </c>
      <c r="I5971" s="10" t="n">
        <f aca="false">IF(E5971="Won",1,0)</f>
        <v>1</v>
      </c>
    </row>
    <row r="5972" customFormat="false" ht="15" hidden="false" customHeight="false" outlineLevel="0" collapsed="false">
      <c r="A5972" s="10" t="s">
        <v>8313</v>
      </c>
      <c r="B5972" s="10" t="s">
        <v>71</v>
      </c>
      <c r="C5972" s="10" t="s">
        <v>52</v>
      </c>
      <c r="D5972" s="10" t="s">
        <v>961</v>
      </c>
      <c r="E5972" s="10" t="s">
        <v>2345</v>
      </c>
      <c r="F5972" s="30" t="n">
        <v>43002</v>
      </c>
      <c r="G5972" s="30" t="n">
        <v>43066</v>
      </c>
      <c r="H5972" s="26" t="n">
        <f aca="false">G5972-F5972</f>
        <v>64</v>
      </c>
      <c r="I5972" s="10" t="n">
        <f aca="false">IF(E5972="Won",1,0)</f>
        <v>0</v>
      </c>
    </row>
    <row r="5973" customFormat="false" ht="15" hidden="false" customHeight="false" outlineLevel="0" collapsed="false">
      <c r="A5973" s="10" t="s">
        <v>8314</v>
      </c>
      <c r="B5973" s="10" t="s">
        <v>95</v>
      </c>
      <c r="C5973" s="10" t="s">
        <v>51</v>
      </c>
      <c r="D5973" s="10" t="s">
        <v>172</v>
      </c>
      <c r="E5973" s="10" t="s">
        <v>2345</v>
      </c>
      <c r="F5973" s="30" t="n">
        <v>43056</v>
      </c>
      <c r="G5973" s="30" t="n">
        <v>43066</v>
      </c>
      <c r="H5973" s="26" t="n">
        <f aca="false">G5973-F5973</f>
        <v>10</v>
      </c>
      <c r="I5973" s="10" t="n">
        <f aca="false">IF(E5973="Won",1,0)</f>
        <v>0</v>
      </c>
    </row>
    <row r="5974" customFormat="false" ht="15" hidden="false" customHeight="false" outlineLevel="0" collapsed="false">
      <c r="A5974" s="10" t="s">
        <v>8315</v>
      </c>
      <c r="B5974" s="10" t="s">
        <v>77</v>
      </c>
      <c r="C5974" s="10" t="s">
        <v>50</v>
      </c>
      <c r="D5974" s="10" t="s">
        <v>961</v>
      </c>
      <c r="E5974" s="10" t="s">
        <v>2345</v>
      </c>
      <c r="F5974" s="30" t="n">
        <v>42968</v>
      </c>
      <c r="G5974" s="30" t="n">
        <v>43066</v>
      </c>
      <c r="H5974" s="26" t="n">
        <f aca="false">G5974-F5974</f>
        <v>98</v>
      </c>
      <c r="I5974" s="10" t="n">
        <f aca="false">IF(E5974="Won",1,0)</f>
        <v>0</v>
      </c>
    </row>
    <row r="5975" customFormat="false" ht="15" hidden="false" customHeight="false" outlineLevel="0" collapsed="false">
      <c r="A5975" s="10" t="s">
        <v>8316</v>
      </c>
      <c r="B5975" s="10" t="s">
        <v>68</v>
      </c>
      <c r="C5975" s="10" t="s">
        <v>52</v>
      </c>
      <c r="D5975" s="10" t="s">
        <v>506</v>
      </c>
      <c r="E5975" s="10" t="s">
        <v>2345</v>
      </c>
      <c r="F5975" s="30" t="n">
        <v>43007</v>
      </c>
      <c r="G5975" s="30" t="n">
        <v>43066</v>
      </c>
      <c r="H5975" s="26" t="n">
        <f aca="false">G5975-F5975</f>
        <v>59</v>
      </c>
      <c r="I5975" s="10" t="n">
        <f aca="false">IF(E5975="Won",1,0)</f>
        <v>0</v>
      </c>
    </row>
    <row r="5976" customFormat="false" ht="15" hidden="false" customHeight="false" outlineLevel="0" collapsed="false">
      <c r="A5976" s="10" t="s">
        <v>8317</v>
      </c>
      <c r="B5976" s="10" t="s">
        <v>61</v>
      </c>
      <c r="C5976" s="10" t="s">
        <v>49</v>
      </c>
      <c r="D5976" s="10" t="s">
        <v>1397</v>
      </c>
      <c r="E5976" s="10" t="s">
        <v>2345</v>
      </c>
      <c r="F5976" s="30" t="n">
        <v>42944</v>
      </c>
      <c r="G5976" s="30" t="n">
        <v>43066</v>
      </c>
      <c r="H5976" s="26" t="n">
        <f aca="false">G5976-F5976</f>
        <v>122</v>
      </c>
      <c r="I5976" s="10" t="n">
        <f aca="false">IF(E5976="Won",1,0)</f>
        <v>0</v>
      </c>
    </row>
    <row r="5977" customFormat="false" ht="15" hidden="false" customHeight="false" outlineLevel="0" collapsed="false">
      <c r="A5977" s="10" t="s">
        <v>8318</v>
      </c>
      <c r="B5977" s="10" t="s">
        <v>94</v>
      </c>
      <c r="C5977" s="10" t="s">
        <v>50</v>
      </c>
      <c r="D5977" s="10" t="s">
        <v>348</v>
      </c>
      <c r="E5977" s="10" t="s">
        <v>2345</v>
      </c>
      <c r="F5977" s="30" t="n">
        <v>43056</v>
      </c>
      <c r="G5977" s="30" t="n">
        <v>43066</v>
      </c>
      <c r="H5977" s="26" t="n">
        <f aca="false">G5977-F5977</f>
        <v>10</v>
      </c>
      <c r="I5977" s="10" t="n">
        <f aca="false">IF(E5977="Won",1,0)</f>
        <v>0</v>
      </c>
    </row>
    <row r="5978" customFormat="false" ht="15" hidden="false" customHeight="false" outlineLevel="0" collapsed="false">
      <c r="A5978" s="10" t="s">
        <v>8319</v>
      </c>
      <c r="B5978" s="10" t="s">
        <v>97</v>
      </c>
      <c r="C5978" s="10" t="s">
        <v>48</v>
      </c>
      <c r="D5978" s="10" t="s">
        <v>210</v>
      </c>
      <c r="E5978" s="10" t="s">
        <v>2342</v>
      </c>
      <c r="F5978" s="30" t="n">
        <v>42954</v>
      </c>
      <c r="G5978" s="30" t="n">
        <v>43066</v>
      </c>
      <c r="H5978" s="26" t="n">
        <f aca="false">G5978-F5978</f>
        <v>112</v>
      </c>
      <c r="I5978" s="10" t="n">
        <f aca="false">IF(E5978="Won",1,0)</f>
        <v>1</v>
      </c>
    </row>
    <row r="5979" customFormat="false" ht="15" hidden="false" customHeight="false" outlineLevel="0" collapsed="false">
      <c r="A5979" s="10" t="s">
        <v>8320</v>
      </c>
      <c r="B5979" s="10" t="s">
        <v>68</v>
      </c>
      <c r="C5979" s="10" t="s">
        <v>50</v>
      </c>
      <c r="D5979" s="10" t="s">
        <v>506</v>
      </c>
      <c r="E5979" s="10" t="s">
        <v>2345</v>
      </c>
      <c r="F5979" s="30" t="n">
        <v>42941</v>
      </c>
      <c r="G5979" s="30" t="n">
        <v>43066</v>
      </c>
      <c r="H5979" s="26" t="n">
        <f aca="false">G5979-F5979</f>
        <v>125</v>
      </c>
      <c r="I5979" s="10" t="n">
        <f aca="false">IF(E5979="Won",1,0)</f>
        <v>0</v>
      </c>
    </row>
    <row r="5980" customFormat="false" ht="15" hidden="false" customHeight="false" outlineLevel="0" collapsed="false">
      <c r="A5980" s="10" t="s">
        <v>8321</v>
      </c>
      <c r="B5980" s="10" t="s">
        <v>94</v>
      </c>
      <c r="C5980" s="10" t="s">
        <v>47</v>
      </c>
      <c r="D5980" s="10" t="s">
        <v>168</v>
      </c>
      <c r="E5980" s="10" t="s">
        <v>2342</v>
      </c>
      <c r="F5980" s="30" t="n">
        <v>43003</v>
      </c>
      <c r="G5980" s="30" t="n">
        <v>43066</v>
      </c>
      <c r="H5980" s="26" t="n">
        <f aca="false">G5980-F5980</f>
        <v>63</v>
      </c>
      <c r="I5980" s="10" t="n">
        <f aca="false">IF(E5980="Won",1,0)</f>
        <v>1</v>
      </c>
    </row>
    <row r="5981" customFormat="false" ht="15" hidden="false" customHeight="false" outlineLevel="0" collapsed="false">
      <c r="A5981" s="10" t="s">
        <v>8322</v>
      </c>
      <c r="B5981" s="10" t="s">
        <v>66</v>
      </c>
      <c r="C5981" s="10" t="s">
        <v>52</v>
      </c>
      <c r="D5981" s="10" t="s">
        <v>227</v>
      </c>
      <c r="E5981" s="10" t="s">
        <v>2342</v>
      </c>
      <c r="F5981" s="30" t="n">
        <v>43004</v>
      </c>
      <c r="G5981" s="30" t="n">
        <v>43066</v>
      </c>
      <c r="H5981" s="26" t="n">
        <f aca="false">G5981-F5981</f>
        <v>62</v>
      </c>
      <c r="I5981" s="10" t="n">
        <f aca="false">IF(E5981="Won",1,0)</f>
        <v>1</v>
      </c>
    </row>
    <row r="5982" customFormat="false" ht="15" hidden="false" customHeight="false" outlineLevel="0" collapsed="false">
      <c r="A5982" s="10" t="s">
        <v>8323</v>
      </c>
      <c r="B5982" s="10" t="s">
        <v>96</v>
      </c>
      <c r="C5982" s="10" t="s">
        <v>49</v>
      </c>
      <c r="D5982" s="10" t="s">
        <v>432</v>
      </c>
      <c r="E5982" s="10" t="s">
        <v>2345</v>
      </c>
      <c r="F5982" s="30" t="n">
        <v>43048</v>
      </c>
      <c r="G5982" s="30" t="n">
        <v>43066</v>
      </c>
      <c r="H5982" s="26" t="n">
        <f aca="false">G5982-F5982</f>
        <v>18</v>
      </c>
      <c r="I5982" s="10" t="n">
        <f aca="false">IF(E5982="Won",1,0)</f>
        <v>0</v>
      </c>
    </row>
    <row r="5983" customFormat="false" ht="15" hidden="false" customHeight="false" outlineLevel="0" collapsed="false">
      <c r="A5983" s="10" t="s">
        <v>8324</v>
      </c>
      <c r="B5983" s="10" t="s">
        <v>68</v>
      </c>
      <c r="C5983" s="10" t="s">
        <v>49</v>
      </c>
      <c r="D5983" s="10" t="s">
        <v>175</v>
      </c>
      <c r="E5983" s="10" t="s">
        <v>2345</v>
      </c>
      <c r="F5983" s="30" t="n">
        <v>43027</v>
      </c>
      <c r="G5983" s="30" t="n">
        <v>43067</v>
      </c>
      <c r="H5983" s="26" t="n">
        <f aca="false">G5983-F5983</f>
        <v>40</v>
      </c>
      <c r="I5983" s="10" t="n">
        <f aca="false">IF(E5983="Won",1,0)</f>
        <v>0</v>
      </c>
    </row>
    <row r="5984" customFormat="false" ht="15" hidden="false" customHeight="false" outlineLevel="0" collapsed="false">
      <c r="A5984" s="10" t="s">
        <v>8325</v>
      </c>
      <c r="B5984" s="10" t="s">
        <v>83</v>
      </c>
      <c r="C5984" s="10" t="s">
        <v>52</v>
      </c>
      <c r="D5984" s="10" t="s">
        <v>259</v>
      </c>
      <c r="E5984" s="10" t="s">
        <v>2345</v>
      </c>
      <c r="F5984" s="30" t="n">
        <v>43062</v>
      </c>
      <c r="G5984" s="30" t="n">
        <v>43067</v>
      </c>
      <c r="H5984" s="26" t="n">
        <f aca="false">G5984-F5984</f>
        <v>5</v>
      </c>
      <c r="I5984" s="10" t="n">
        <f aca="false">IF(E5984="Won",1,0)</f>
        <v>0</v>
      </c>
    </row>
    <row r="5985" customFormat="false" ht="15" hidden="false" customHeight="false" outlineLevel="0" collapsed="false">
      <c r="A5985" s="10" t="s">
        <v>8326</v>
      </c>
      <c r="B5985" s="10" t="s">
        <v>68</v>
      </c>
      <c r="C5985" s="10" t="s">
        <v>48</v>
      </c>
      <c r="D5985" s="10" t="s">
        <v>303</v>
      </c>
      <c r="E5985" s="10" t="s">
        <v>2342</v>
      </c>
      <c r="F5985" s="30" t="n">
        <v>42960</v>
      </c>
      <c r="G5985" s="30" t="n">
        <v>43067</v>
      </c>
      <c r="H5985" s="26" t="n">
        <f aca="false">G5985-F5985</f>
        <v>107</v>
      </c>
      <c r="I5985" s="10" t="n">
        <f aca="false">IF(E5985="Won",1,0)</f>
        <v>1</v>
      </c>
    </row>
    <row r="5986" customFormat="false" ht="15" hidden="false" customHeight="false" outlineLevel="0" collapsed="false">
      <c r="A5986" s="10" t="s">
        <v>8327</v>
      </c>
      <c r="B5986" s="10" t="s">
        <v>77</v>
      </c>
      <c r="C5986" s="10" t="s">
        <v>47</v>
      </c>
      <c r="D5986" s="10" t="s">
        <v>353</v>
      </c>
      <c r="E5986" s="10" t="s">
        <v>2342</v>
      </c>
      <c r="F5986" s="30" t="n">
        <v>42995</v>
      </c>
      <c r="G5986" s="30" t="n">
        <v>43067</v>
      </c>
      <c r="H5986" s="26" t="n">
        <f aca="false">G5986-F5986</f>
        <v>72</v>
      </c>
      <c r="I5986" s="10" t="n">
        <f aca="false">IF(E5986="Won",1,0)</f>
        <v>1</v>
      </c>
    </row>
    <row r="5987" customFormat="false" ht="15" hidden="false" customHeight="false" outlineLevel="0" collapsed="false">
      <c r="A5987" s="10" t="s">
        <v>8328</v>
      </c>
      <c r="B5987" s="10" t="s">
        <v>95</v>
      </c>
      <c r="C5987" s="10" t="s">
        <v>51</v>
      </c>
      <c r="D5987" s="10" t="s">
        <v>286</v>
      </c>
      <c r="E5987" s="10" t="s">
        <v>2345</v>
      </c>
      <c r="F5987" s="30" t="n">
        <v>43054</v>
      </c>
      <c r="G5987" s="30" t="n">
        <v>43067</v>
      </c>
      <c r="H5987" s="26" t="n">
        <f aca="false">G5987-F5987</f>
        <v>13</v>
      </c>
      <c r="I5987" s="10" t="n">
        <f aca="false">IF(E5987="Won",1,0)</f>
        <v>0</v>
      </c>
    </row>
    <row r="5988" customFormat="false" ht="15" hidden="false" customHeight="false" outlineLevel="0" collapsed="false">
      <c r="A5988" s="10" t="s">
        <v>8329</v>
      </c>
      <c r="B5988" s="10" t="s">
        <v>88</v>
      </c>
      <c r="C5988" s="10" t="s">
        <v>51</v>
      </c>
      <c r="D5988" s="10" t="s">
        <v>616</v>
      </c>
      <c r="E5988" s="10" t="s">
        <v>2342</v>
      </c>
      <c r="F5988" s="30" t="n">
        <v>43041</v>
      </c>
      <c r="G5988" s="30" t="n">
        <v>43067</v>
      </c>
      <c r="H5988" s="26" t="n">
        <f aca="false">G5988-F5988</f>
        <v>26</v>
      </c>
      <c r="I5988" s="10" t="n">
        <f aca="false">IF(E5988="Won",1,0)</f>
        <v>1</v>
      </c>
    </row>
    <row r="5989" customFormat="false" ht="15" hidden="false" customHeight="false" outlineLevel="0" collapsed="false">
      <c r="A5989" s="10" t="s">
        <v>8330</v>
      </c>
      <c r="B5989" s="10" t="s">
        <v>81</v>
      </c>
      <c r="C5989" s="10" t="s">
        <v>52</v>
      </c>
      <c r="D5989" s="10" t="s">
        <v>1251</v>
      </c>
      <c r="E5989" s="10" t="s">
        <v>2342</v>
      </c>
      <c r="F5989" s="30" t="n">
        <v>43030</v>
      </c>
      <c r="G5989" s="30" t="n">
        <v>43067</v>
      </c>
      <c r="H5989" s="26" t="n">
        <f aca="false">G5989-F5989</f>
        <v>37</v>
      </c>
      <c r="I5989" s="10" t="n">
        <f aca="false">IF(E5989="Won",1,0)</f>
        <v>1</v>
      </c>
    </row>
    <row r="5990" customFormat="false" ht="15" hidden="false" customHeight="false" outlineLevel="0" collapsed="false">
      <c r="A5990" s="10" t="s">
        <v>8331</v>
      </c>
      <c r="B5990" s="10" t="s">
        <v>83</v>
      </c>
      <c r="C5990" s="10" t="s">
        <v>52</v>
      </c>
      <c r="D5990" s="10" t="s">
        <v>483</v>
      </c>
      <c r="E5990" s="10" t="s">
        <v>2342</v>
      </c>
      <c r="F5990" s="30" t="n">
        <v>43003</v>
      </c>
      <c r="G5990" s="30" t="n">
        <v>43067</v>
      </c>
      <c r="H5990" s="26" t="n">
        <f aca="false">G5990-F5990</f>
        <v>64</v>
      </c>
      <c r="I5990" s="10" t="n">
        <f aca="false">IF(E5990="Won",1,0)</f>
        <v>1</v>
      </c>
    </row>
    <row r="5991" customFormat="false" ht="15" hidden="false" customHeight="false" outlineLevel="0" collapsed="false">
      <c r="A5991" s="10" t="s">
        <v>8332</v>
      </c>
      <c r="B5991" s="10" t="s">
        <v>83</v>
      </c>
      <c r="C5991" s="10" t="s">
        <v>49</v>
      </c>
      <c r="D5991" s="10" t="s">
        <v>536</v>
      </c>
      <c r="E5991" s="10" t="s">
        <v>2345</v>
      </c>
      <c r="F5991" s="30" t="n">
        <v>42976</v>
      </c>
      <c r="G5991" s="30" t="n">
        <v>43067</v>
      </c>
      <c r="H5991" s="26" t="n">
        <f aca="false">G5991-F5991</f>
        <v>91</v>
      </c>
      <c r="I5991" s="10" t="n">
        <f aca="false">IF(E5991="Won",1,0)</f>
        <v>0</v>
      </c>
    </row>
    <row r="5992" customFormat="false" ht="15" hidden="false" customHeight="false" outlineLevel="0" collapsed="false">
      <c r="A5992" s="10" t="s">
        <v>8333</v>
      </c>
      <c r="B5992" s="10" t="s">
        <v>73</v>
      </c>
      <c r="C5992" s="10" t="s">
        <v>49</v>
      </c>
      <c r="D5992" s="10" t="s">
        <v>267</v>
      </c>
      <c r="E5992" s="10" t="s">
        <v>2342</v>
      </c>
      <c r="F5992" s="30" t="n">
        <v>43058</v>
      </c>
      <c r="G5992" s="30" t="n">
        <v>43067</v>
      </c>
      <c r="H5992" s="26" t="n">
        <f aca="false">G5992-F5992</f>
        <v>9</v>
      </c>
      <c r="I5992" s="10" t="n">
        <f aca="false">IF(E5992="Won",1,0)</f>
        <v>1</v>
      </c>
    </row>
    <row r="5993" customFormat="false" ht="15" hidden="false" customHeight="false" outlineLevel="0" collapsed="false">
      <c r="A5993" s="10" t="s">
        <v>8334</v>
      </c>
      <c r="B5993" s="10" t="s">
        <v>88</v>
      </c>
      <c r="C5993" s="10" t="s">
        <v>47</v>
      </c>
      <c r="D5993" s="10" t="s">
        <v>233</v>
      </c>
      <c r="E5993" s="10" t="s">
        <v>2342</v>
      </c>
      <c r="F5993" s="30" t="n">
        <v>43058</v>
      </c>
      <c r="G5993" s="30" t="n">
        <v>43067</v>
      </c>
      <c r="H5993" s="26" t="n">
        <f aca="false">G5993-F5993</f>
        <v>9</v>
      </c>
      <c r="I5993" s="10" t="n">
        <f aca="false">IF(E5993="Won",1,0)</f>
        <v>1</v>
      </c>
    </row>
    <row r="5994" customFormat="false" ht="15" hidden="false" customHeight="false" outlineLevel="0" collapsed="false">
      <c r="A5994" s="10" t="s">
        <v>8335</v>
      </c>
      <c r="B5994" s="10" t="s">
        <v>83</v>
      </c>
      <c r="C5994" s="10" t="s">
        <v>51</v>
      </c>
      <c r="D5994" s="10" t="s">
        <v>697</v>
      </c>
      <c r="E5994" s="10" t="s">
        <v>2342</v>
      </c>
      <c r="F5994" s="30" t="n">
        <v>43058</v>
      </c>
      <c r="G5994" s="30" t="n">
        <v>43067</v>
      </c>
      <c r="H5994" s="26" t="n">
        <f aca="false">G5994-F5994</f>
        <v>9</v>
      </c>
      <c r="I5994" s="10" t="n">
        <f aca="false">IF(E5994="Won",1,0)</f>
        <v>1</v>
      </c>
    </row>
    <row r="5995" customFormat="false" ht="15" hidden="false" customHeight="false" outlineLevel="0" collapsed="false">
      <c r="A5995" s="10" t="s">
        <v>8336</v>
      </c>
      <c r="B5995" s="10" t="s">
        <v>76</v>
      </c>
      <c r="C5995" s="10" t="s">
        <v>52</v>
      </c>
      <c r="D5995" s="10" t="s">
        <v>279</v>
      </c>
      <c r="E5995" s="10" t="s">
        <v>2342</v>
      </c>
      <c r="F5995" s="30" t="n">
        <v>42973</v>
      </c>
      <c r="G5995" s="30" t="n">
        <v>43067</v>
      </c>
      <c r="H5995" s="26" t="n">
        <f aca="false">G5995-F5995</f>
        <v>94</v>
      </c>
      <c r="I5995" s="10" t="n">
        <f aca="false">IF(E5995="Won",1,0)</f>
        <v>1</v>
      </c>
    </row>
    <row r="5996" customFormat="false" ht="15" hidden="false" customHeight="false" outlineLevel="0" collapsed="false">
      <c r="A5996" s="10" t="s">
        <v>8337</v>
      </c>
      <c r="B5996" s="10" t="s">
        <v>75</v>
      </c>
      <c r="C5996" s="10" t="s">
        <v>52</v>
      </c>
      <c r="D5996" s="10" t="s">
        <v>660</v>
      </c>
      <c r="E5996" s="10" t="s">
        <v>2345</v>
      </c>
      <c r="F5996" s="30" t="n">
        <v>43057</v>
      </c>
      <c r="G5996" s="30" t="n">
        <v>43067</v>
      </c>
      <c r="H5996" s="26" t="n">
        <f aca="false">G5996-F5996</f>
        <v>10</v>
      </c>
      <c r="I5996" s="10" t="n">
        <f aca="false">IF(E5996="Won",1,0)</f>
        <v>0</v>
      </c>
    </row>
    <row r="5997" customFormat="false" ht="15" hidden="false" customHeight="false" outlineLevel="0" collapsed="false">
      <c r="A5997" s="10" t="s">
        <v>8338</v>
      </c>
      <c r="B5997" s="10" t="s">
        <v>93</v>
      </c>
      <c r="C5997" s="10" t="s">
        <v>51</v>
      </c>
      <c r="D5997" s="10" t="s">
        <v>424</v>
      </c>
      <c r="E5997" s="10" t="s">
        <v>2345</v>
      </c>
      <c r="F5997" s="30" t="n">
        <v>42967</v>
      </c>
      <c r="G5997" s="30" t="n">
        <v>43067</v>
      </c>
      <c r="H5997" s="26" t="n">
        <f aca="false">G5997-F5997</f>
        <v>100</v>
      </c>
      <c r="I5997" s="10" t="n">
        <f aca="false">IF(E5997="Won",1,0)</f>
        <v>0</v>
      </c>
    </row>
    <row r="5998" customFormat="false" ht="15" hidden="false" customHeight="false" outlineLevel="0" collapsed="false">
      <c r="A5998" s="10" t="s">
        <v>8339</v>
      </c>
      <c r="B5998" s="10" t="s">
        <v>61</v>
      </c>
      <c r="C5998" s="10" t="s">
        <v>49</v>
      </c>
      <c r="D5998" s="10" t="s">
        <v>464</v>
      </c>
      <c r="E5998" s="10" t="s">
        <v>2345</v>
      </c>
      <c r="F5998" s="30" t="n">
        <v>42970</v>
      </c>
      <c r="G5998" s="30" t="n">
        <v>43067</v>
      </c>
      <c r="H5998" s="26" t="n">
        <f aca="false">G5998-F5998</f>
        <v>97</v>
      </c>
      <c r="I5998" s="10" t="n">
        <f aca="false">IF(E5998="Won",1,0)</f>
        <v>0</v>
      </c>
    </row>
    <row r="5999" customFormat="false" ht="15" hidden="false" customHeight="false" outlineLevel="0" collapsed="false">
      <c r="A5999" s="10" t="s">
        <v>8340</v>
      </c>
      <c r="B5999" s="10" t="s">
        <v>60</v>
      </c>
      <c r="C5999" s="10" t="s">
        <v>47</v>
      </c>
      <c r="D5999" s="10" t="s">
        <v>378</v>
      </c>
      <c r="E5999" s="10" t="s">
        <v>2345</v>
      </c>
      <c r="F5999" s="30" t="n">
        <v>43053</v>
      </c>
      <c r="G5999" s="30" t="n">
        <v>43067</v>
      </c>
      <c r="H5999" s="26" t="n">
        <f aca="false">G5999-F5999</f>
        <v>14</v>
      </c>
      <c r="I5999" s="10" t="n">
        <f aca="false">IF(E5999="Won",1,0)</f>
        <v>0</v>
      </c>
    </row>
    <row r="6000" customFormat="false" ht="15" hidden="false" customHeight="false" outlineLevel="0" collapsed="false">
      <c r="A6000" s="10" t="s">
        <v>8341</v>
      </c>
      <c r="B6000" s="10" t="s">
        <v>88</v>
      </c>
      <c r="C6000" s="10" t="s">
        <v>48</v>
      </c>
      <c r="D6000" s="10" t="s">
        <v>218</v>
      </c>
      <c r="E6000" s="10" t="s">
        <v>2345</v>
      </c>
      <c r="F6000" s="30" t="n">
        <v>42971</v>
      </c>
      <c r="G6000" s="30" t="n">
        <v>43067</v>
      </c>
      <c r="H6000" s="26" t="n">
        <f aca="false">G6000-F6000</f>
        <v>96</v>
      </c>
      <c r="I6000" s="10" t="n">
        <f aca="false">IF(E6000="Won",1,0)</f>
        <v>0</v>
      </c>
    </row>
    <row r="6001" customFormat="false" ht="15" hidden="false" customHeight="false" outlineLevel="0" collapsed="false">
      <c r="A6001" s="10" t="s">
        <v>8342</v>
      </c>
      <c r="B6001" s="10" t="s">
        <v>90</v>
      </c>
      <c r="C6001" s="10" t="s">
        <v>47</v>
      </c>
      <c r="D6001" s="10" t="s">
        <v>185</v>
      </c>
      <c r="E6001" s="10" t="s">
        <v>2342</v>
      </c>
      <c r="F6001" s="30" t="n">
        <v>43023</v>
      </c>
      <c r="G6001" s="30" t="n">
        <v>43067</v>
      </c>
      <c r="H6001" s="26" t="n">
        <f aca="false">G6001-F6001</f>
        <v>44</v>
      </c>
      <c r="I6001" s="10" t="n">
        <f aca="false">IF(E6001="Won",1,0)</f>
        <v>1</v>
      </c>
    </row>
    <row r="6002" customFormat="false" ht="15" hidden="false" customHeight="false" outlineLevel="0" collapsed="false">
      <c r="A6002" s="10" t="s">
        <v>8343</v>
      </c>
      <c r="B6002" s="10" t="s">
        <v>95</v>
      </c>
      <c r="C6002" s="10" t="s">
        <v>51</v>
      </c>
      <c r="D6002" s="10" t="s">
        <v>227</v>
      </c>
      <c r="E6002" s="10" t="s">
        <v>2345</v>
      </c>
      <c r="F6002" s="30" t="n">
        <v>43000</v>
      </c>
      <c r="G6002" s="30" t="n">
        <v>43067</v>
      </c>
      <c r="H6002" s="26" t="n">
        <f aca="false">G6002-F6002</f>
        <v>67</v>
      </c>
      <c r="I6002" s="10" t="n">
        <f aca="false">IF(E6002="Won",1,0)</f>
        <v>0</v>
      </c>
    </row>
    <row r="6003" customFormat="false" ht="15" hidden="false" customHeight="false" outlineLevel="0" collapsed="false">
      <c r="A6003" s="10" t="s">
        <v>8344</v>
      </c>
      <c r="B6003" s="10" t="s">
        <v>96</v>
      </c>
      <c r="C6003" s="10" t="s">
        <v>52</v>
      </c>
      <c r="D6003" s="10" t="s">
        <v>522</v>
      </c>
      <c r="E6003" s="10" t="s">
        <v>2345</v>
      </c>
      <c r="F6003" s="30" t="n">
        <v>43000</v>
      </c>
      <c r="G6003" s="30" t="n">
        <v>43067</v>
      </c>
      <c r="H6003" s="26" t="n">
        <f aca="false">G6003-F6003</f>
        <v>67</v>
      </c>
      <c r="I6003" s="10" t="n">
        <f aca="false">IF(E6003="Won",1,0)</f>
        <v>0</v>
      </c>
    </row>
    <row r="6004" customFormat="false" ht="15" hidden="false" customHeight="false" outlineLevel="0" collapsed="false">
      <c r="A6004" s="10" t="s">
        <v>8345</v>
      </c>
      <c r="B6004" s="10" t="s">
        <v>73</v>
      </c>
      <c r="C6004" s="10" t="s">
        <v>50</v>
      </c>
      <c r="D6004" s="10" t="s">
        <v>193</v>
      </c>
      <c r="E6004" s="10" t="s">
        <v>2342</v>
      </c>
      <c r="F6004" s="30" t="n">
        <v>42988</v>
      </c>
      <c r="G6004" s="30" t="n">
        <v>43068</v>
      </c>
      <c r="H6004" s="26" t="n">
        <f aca="false">G6004-F6004</f>
        <v>80</v>
      </c>
      <c r="I6004" s="10" t="n">
        <f aca="false">IF(E6004="Won",1,0)</f>
        <v>1</v>
      </c>
    </row>
    <row r="6005" customFormat="false" ht="15" hidden="false" customHeight="false" outlineLevel="0" collapsed="false">
      <c r="A6005" s="10" t="s">
        <v>8346</v>
      </c>
      <c r="B6005" s="10" t="s">
        <v>97</v>
      </c>
      <c r="C6005" s="10" t="s">
        <v>48</v>
      </c>
      <c r="D6005" s="10" t="s">
        <v>424</v>
      </c>
      <c r="E6005" s="10" t="s">
        <v>2345</v>
      </c>
      <c r="F6005" s="30" t="n">
        <v>42958</v>
      </c>
      <c r="G6005" s="30" t="n">
        <v>43068</v>
      </c>
      <c r="H6005" s="26" t="n">
        <f aca="false">G6005-F6005</f>
        <v>110</v>
      </c>
      <c r="I6005" s="10" t="n">
        <f aca="false">IF(E6005="Won",1,0)</f>
        <v>0</v>
      </c>
    </row>
    <row r="6006" customFormat="false" ht="15" hidden="false" customHeight="false" outlineLevel="0" collapsed="false">
      <c r="A6006" s="10" t="s">
        <v>8347</v>
      </c>
      <c r="B6006" s="10" t="s">
        <v>86</v>
      </c>
      <c r="C6006" s="10" t="s">
        <v>50</v>
      </c>
      <c r="D6006" s="10" t="s">
        <v>254</v>
      </c>
      <c r="E6006" s="10" t="s">
        <v>2345</v>
      </c>
      <c r="F6006" s="30" t="n">
        <v>43029</v>
      </c>
      <c r="G6006" s="30" t="n">
        <v>43068</v>
      </c>
      <c r="H6006" s="26" t="n">
        <f aca="false">G6006-F6006</f>
        <v>39</v>
      </c>
      <c r="I6006" s="10" t="n">
        <f aca="false">IF(E6006="Won",1,0)</f>
        <v>0</v>
      </c>
    </row>
    <row r="6007" customFormat="false" ht="15" hidden="false" customHeight="false" outlineLevel="0" collapsed="false">
      <c r="A6007" s="10" t="s">
        <v>8348</v>
      </c>
      <c r="B6007" s="10" t="s">
        <v>79</v>
      </c>
      <c r="C6007" s="10" t="s">
        <v>48</v>
      </c>
      <c r="D6007" s="10" t="s">
        <v>697</v>
      </c>
      <c r="E6007" s="10" t="s">
        <v>2345</v>
      </c>
      <c r="F6007" s="30" t="n">
        <v>42985</v>
      </c>
      <c r="G6007" s="30" t="n">
        <v>43068</v>
      </c>
      <c r="H6007" s="26" t="n">
        <f aca="false">G6007-F6007</f>
        <v>83</v>
      </c>
      <c r="I6007" s="10" t="n">
        <f aca="false">IF(E6007="Won",1,0)</f>
        <v>0</v>
      </c>
    </row>
    <row r="6008" customFormat="false" ht="15" hidden="false" customHeight="false" outlineLevel="0" collapsed="false">
      <c r="A6008" s="10" t="s">
        <v>8349</v>
      </c>
      <c r="B6008" s="10" t="s">
        <v>70</v>
      </c>
      <c r="C6008" s="10" t="s">
        <v>52</v>
      </c>
      <c r="D6008" s="10" t="s">
        <v>344</v>
      </c>
      <c r="E6008" s="10" t="s">
        <v>2342</v>
      </c>
      <c r="F6008" s="30" t="n">
        <v>42991</v>
      </c>
      <c r="G6008" s="30" t="n">
        <v>43068</v>
      </c>
      <c r="H6008" s="26" t="n">
        <f aca="false">G6008-F6008</f>
        <v>77</v>
      </c>
      <c r="I6008" s="10" t="n">
        <f aca="false">IF(E6008="Won",1,0)</f>
        <v>1</v>
      </c>
    </row>
    <row r="6009" customFormat="false" ht="15" hidden="false" customHeight="false" outlineLevel="0" collapsed="false">
      <c r="A6009" s="10" t="s">
        <v>8350</v>
      </c>
      <c r="B6009" s="10" t="s">
        <v>62</v>
      </c>
      <c r="C6009" s="10" t="s">
        <v>49</v>
      </c>
      <c r="D6009" s="10" t="s">
        <v>637</v>
      </c>
      <c r="E6009" s="10" t="s">
        <v>2342</v>
      </c>
      <c r="F6009" s="30" t="n">
        <v>43053</v>
      </c>
      <c r="G6009" s="30" t="n">
        <v>43068</v>
      </c>
      <c r="H6009" s="26" t="n">
        <f aca="false">G6009-F6009</f>
        <v>15</v>
      </c>
      <c r="I6009" s="10" t="n">
        <f aca="false">IF(E6009="Won",1,0)</f>
        <v>1</v>
      </c>
    </row>
    <row r="6010" customFormat="false" ht="15" hidden="false" customHeight="false" outlineLevel="0" collapsed="false">
      <c r="A6010" s="10" t="s">
        <v>8351</v>
      </c>
      <c r="B6010" s="10" t="s">
        <v>63</v>
      </c>
      <c r="C6010" s="10" t="s">
        <v>48</v>
      </c>
      <c r="D6010" s="10" t="s">
        <v>293</v>
      </c>
      <c r="E6010" s="10" t="s">
        <v>2342</v>
      </c>
      <c r="F6010" s="30" t="n">
        <v>43063</v>
      </c>
      <c r="G6010" s="30" t="n">
        <v>43068</v>
      </c>
      <c r="H6010" s="26" t="n">
        <f aca="false">G6010-F6010</f>
        <v>5</v>
      </c>
      <c r="I6010" s="10" t="n">
        <f aca="false">IF(E6010="Won",1,0)</f>
        <v>1</v>
      </c>
    </row>
    <row r="6011" customFormat="false" ht="15" hidden="false" customHeight="false" outlineLevel="0" collapsed="false">
      <c r="A6011" s="10" t="s">
        <v>8352</v>
      </c>
      <c r="B6011" s="10" t="s">
        <v>76</v>
      </c>
      <c r="C6011" s="10" t="s">
        <v>52</v>
      </c>
      <c r="D6011" s="10" t="s">
        <v>179</v>
      </c>
      <c r="E6011" s="10" t="s">
        <v>2345</v>
      </c>
      <c r="F6011" s="30" t="n">
        <v>42992</v>
      </c>
      <c r="G6011" s="30" t="n">
        <v>43068</v>
      </c>
      <c r="H6011" s="26" t="n">
        <f aca="false">G6011-F6011</f>
        <v>76</v>
      </c>
      <c r="I6011" s="10" t="n">
        <f aca="false">IF(E6011="Won",1,0)</f>
        <v>0</v>
      </c>
    </row>
    <row r="6012" customFormat="false" ht="15" hidden="false" customHeight="false" outlineLevel="0" collapsed="false">
      <c r="A6012" s="10" t="s">
        <v>8353</v>
      </c>
      <c r="B6012" s="10" t="s">
        <v>62</v>
      </c>
      <c r="C6012" s="10" t="s">
        <v>50</v>
      </c>
      <c r="D6012" s="10" t="s">
        <v>532</v>
      </c>
      <c r="E6012" s="10" t="s">
        <v>2345</v>
      </c>
      <c r="F6012" s="30" t="n">
        <v>43064</v>
      </c>
      <c r="G6012" s="30" t="n">
        <v>43068</v>
      </c>
      <c r="H6012" s="26" t="n">
        <f aca="false">G6012-F6012</f>
        <v>4</v>
      </c>
      <c r="I6012" s="10" t="n">
        <f aca="false">IF(E6012="Won",1,0)</f>
        <v>0</v>
      </c>
    </row>
    <row r="6013" customFormat="false" ht="15" hidden="false" customHeight="false" outlineLevel="0" collapsed="false">
      <c r="A6013" s="10" t="s">
        <v>8354</v>
      </c>
      <c r="B6013" s="10" t="s">
        <v>88</v>
      </c>
      <c r="C6013" s="10" t="s">
        <v>49</v>
      </c>
      <c r="D6013" s="10" t="s">
        <v>332</v>
      </c>
      <c r="E6013" s="10" t="s">
        <v>2345</v>
      </c>
      <c r="F6013" s="30" t="n">
        <v>42991</v>
      </c>
      <c r="G6013" s="30" t="n">
        <v>43068</v>
      </c>
      <c r="H6013" s="26" t="n">
        <f aca="false">G6013-F6013</f>
        <v>77</v>
      </c>
      <c r="I6013" s="10" t="n">
        <f aca="false">IF(E6013="Won",1,0)</f>
        <v>0</v>
      </c>
    </row>
    <row r="6014" customFormat="false" ht="15" hidden="false" customHeight="false" outlineLevel="0" collapsed="false">
      <c r="A6014" s="10" t="s">
        <v>8355</v>
      </c>
      <c r="B6014" s="10" t="s">
        <v>75</v>
      </c>
      <c r="C6014" s="10" t="s">
        <v>50</v>
      </c>
      <c r="D6014" s="10" t="s">
        <v>179</v>
      </c>
      <c r="E6014" s="10" t="s">
        <v>2342</v>
      </c>
      <c r="F6014" s="30" t="n">
        <v>43064</v>
      </c>
      <c r="G6014" s="30" t="n">
        <v>43068</v>
      </c>
      <c r="H6014" s="26" t="n">
        <f aca="false">G6014-F6014</f>
        <v>4</v>
      </c>
      <c r="I6014" s="10" t="n">
        <f aca="false">IF(E6014="Won",1,0)</f>
        <v>1</v>
      </c>
    </row>
    <row r="6015" customFormat="false" ht="15" hidden="false" customHeight="false" outlineLevel="0" collapsed="false">
      <c r="A6015" s="10" t="s">
        <v>8356</v>
      </c>
      <c r="B6015" s="10" t="s">
        <v>63</v>
      </c>
      <c r="C6015" s="10" t="s">
        <v>48</v>
      </c>
      <c r="D6015" s="10" t="s">
        <v>1118</v>
      </c>
      <c r="E6015" s="10" t="s">
        <v>2342</v>
      </c>
      <c r="F6015" s="30" t="n">
        <v>43064</v>
      </c>
      <c r="G6015" s="30" t="n">
        <v>43068</v>
      </c>
      <c r="H6015" s="26" t="n">
        <f aca="false">G6015-F6015</f>
        <v>4</v>
      </c>
      <c r="I6015" s="10" t="n">
        <f aca="false">IF(E6015="Won",1,0)</f>
        <v>1</v>
      </c>
    </row>
    <row r="6016" customFormat="false" ht="15" hidden="false" customHeight="false" outlineLevel="0" collapsed="false">
      <c r="A6016" s="10" t="s">
        <v>8357</v>
      </c>
      <c r="B6016" s="10" t="s">
        <v>66</v>
      </c>
      <c r="C6016" s="10" t="s">
        <v>49</v>
      </c>
      <c r="D6016" s="10" t="s">
        <v>487</v>
      </c>
      <c r="E6016" s="10" t="s">
        <v>2345</v>
      </c>
      <c r="F6016" s="30" t="n">
        <v>42952</v>
      </c>
      <c r="G6016" s="30" t="n">
        <v>43068</v>
      </c>
      <c r="H6016" s="26" t="n">
        <f aca="false">G6016-F6016</f>
        <v>116</v>
      </c>
      <c r="I6016" s="10" t="n">
        <f aca="false">IF(E6016="Won",1,0)</f>
        <v>0</v>
      </c>
    </row>
    <row r="6017" customFormat="false" ht="15" hidden="false" customHeight="false" outlineLevel="0" collapsed="false">
      <c r="A6017" s="10" t="s">
        <v>8358</v>
      </c>
      <c r="B6017" s="10" t="s">
        <v>88</v>
      </c>
      <c r="C6017" s="10" t="s">
        <v>48</v>
      </c>
      <c r="D6017" s="10" t="s">
        <v>254</v>
      </c>
      <c r="E6017" s="10" t="s">
        <v>2345</v>
      </c>
      <c r="F6017" s="30" t="n">
        <v>43026</v>
      </c>
      <c r="G6017" s="30" t="n">
        <v>43068</v>
      </c>
      <c r="H6017" s="26" t="n">
        <f aca="false">G6017-F6017</f>
        <v>42</v>
      </c>
      <c r="I6017" s="10" t="n">
        <f aca="false">IF(E6017="Won",1,0)</f>
        <v>0</v>
      </c>
    </row>
    <row r="6018" customFormat="false" ht="15" hidden="false" customHeight="false" outlineLevel="0" collapsed="false">
      <c r="A6018" s="10" t="s">
        <v>8359</v>
      </c>
      <c r="B6018" s="10" t="s">
        <v>68</v>
      </c>
      <c r="C6018" s="10" t="s">
        <v>49</v>
      </c>
      <c r="D6018" s="10" t="s">
        <v>497</v>
      </c>
      <c r="E6018" s="10" t="s">
        <v>2345</v>
      </c>
      <c r="F6018" s="30" t="n">
        <v>43063</v>
      </c>
      <c r="G6018" s="30" t="n">
        <v>43068</v>
      </c>
      <c r="H6018" s="26" t="n">
        <f aca="false">G6018-F6018</f>
        <v>5</v>
      </c>
      <c r="I6018" s="10" t="n">
        <f aca="false">IF(E6018="Won",1,0)</f>
        <v>0</v>
      </c>
    </row>
    <row r="6019" customFormat="false" ht="15" hidden="false" customHeight="false" outlineLevel="0" collapsed="false">
      <c r="A6019" s="10" t="s">
        <v>8360</v>
      </c>
      <c r="B6019" s="10" t="s">
        <v>71</v>
      </c>
      <c r="C6019" s="10" t="s">
        <v>52</v>
      </c>
      <c r="D6019" s="10" t="s">
        <v>947</v>
      </c>
      <c r="E6019" s="10" t="s">
        <v>2345</v>
      </c>
      <c r="F6019" s="30" t="n">
        <v>42953</v>
      </c>
      <c r="G6019" s="30" t="n">
        <v>43068</v>
      </c>
      <c r="H6019" s="26" t="n">
        <f aca="false">G6019-F6019</f>
        <v>115</v>
      </c>
      <c r="I6019" s="10" t="n">
        <f aca="false">IF(E6019="Won",1,0)</f>
        <v>0</v>
      </c>
    </row>
    <row r="6020" customFormat="false" ht="15" hidden="false" customHeight="false" outlineLevel="0" collapsed="false">
      <c r="A6020" s="10" t="s">
        <v>8361</v>
      </c>
      <c r="B6020" s="10" t="s">
        <v>88</v>
      </c>
      <c r="C6020" s="10" t="s">
        <v>49</v>
      </c>
      <c r="D6020" s="10" t="s">
        <v>532</v>
      </c>
      <c r="E6020" s="10" t="s">
        <v>2342</v>
      </c>
      <c r="F6020" s="30" t="n">
        <v>43056</v>
      </c>
      <c r="G6020" s="30" t="n">
        <v>43068</v>
      </c>
      <c r="H6020" s="26" t="n">
        <f aca="false">G6020-F6020</f>
        <v>12</v>
      </c>
      <c r="I6020" s="10" t="n">
        <f aca="false">IF(E6020="Won",1,0)</f>
        <v>1</v>
      </c>
    </row>
    <row r="6021" customFormat="false" ht="15" hidden="false" customHeight="false" outlineLevel="0" collapsed="false">
      <c r="A6021" s="10" t="s">
        <v>8362</v>
      </c>
      <c r="B6021" s="10" t="s">
        <v>63</v>
      </c>
      <c r="C6021" s="10" t="s">
        <v>49</v>
      </c>
      <c r="D6021" s="10" t="s">
        <v>350</v>
      </c>
      <c r="E6021" s="10" t="s">
        <v>2345</v>
      </c>
      <c r="F6021" s="30" t="n">
        <v>42999</v>
      </c>
      <c r="G6021" s="30" t="n">
        <v>43068</v>
      </c>
      <c r="H6021" s="26" t="n">
        <f aca="false">G6021-F6021</f>
        <v>69</v>
      </c>
      <c r="I6021" s="10" t="n">
        <f aca="false">IF(E6021="Won",1,0)</f>
        <v>0</v>
      </c>
    </row>
    <row r="6022" customFormat="false" ht="15" hidden="false" customHeight="false" outlineLevel="0" collapsed="false">
      <c r="A6022" s="10" t="s">
        <v>8363</v>
      </c>
      <c r="B6022" s="10" t="s">
        <v>77</v>
      </c>
      <c r="C6022" s="10" t="s">
        <v>48</v>
      </c>
      <c r="D6022" s="10" t="s">
        <v>410</v>
      </c>
      <c r="E6022" s="10" t="s">
        <v>2342</v>
      </c>
      <c r="F6022" s="30" t="n">
        <v>43057</v>
      </c>
      <c r="G6022" s="30" t="n">
        <v>43068</v>
      </c>
      <c r="H6022" s="26" t="n">
        <f aca="false">G6022-F6022</f>
        <v>11</v>
      </c>
      <c r="I6022" s="10" t="n">
        <f aca="false">IF(E6022="Won",1,0)</f>
        <v>1</v>
      </c>
    </row>
    <row r="6023" customFormat="false" ht="15" hidden="false" customHeight="false" outlineLevel="0" collapsed="false">
      <c r="A6023" s="10" t="s">
        <v>8364</v>
      </c>
      <c r="B6023" s="10" t="s">
        <v>75</v>
      </c>
      <c r="C6023" s="10" t="s">
        <v>49</v>
      </c>
      <c r="D6023" s="10" t="s">
        <v>291</v>
      </c>
      <c r="E6023" s="10" t="s">
        <v>2345</v>
      </c>
      <c r="F6023" s="30" t="n">
        <v>43021</v>
      </c>
      <c r="G6023" s="30" t="n">
        <v>43068</v>
      </c>
      <c r="H6023" s="26" t="n">
        <f aca="false">G6023-F6023</f>
        <v>47</v>
      </c>
      <c r="I6023" s="10" t="n">
        <f aca="false">IF(E6023="Won",1,0)</f>
        <v>0</v>
      </c>
    </row>
    <row r="6024" customFormat="false" ht="15" hidden="false" customHeight="false" outlineLevel="0" collapsed="false">
      <c r="A6024" s="10" t="s">
        <v>8365</v>
      </c>
      <c r="B6024" s="10" t="s">
        <v>93</v>
      </c>
      <c r="C6024" s="10" t="s">
        <v>51</v>
      </c>
      <c r="D6024" s="10" t="s">
        <v>168</v>
      </c>
      <c r="E6024" s="10" t="s">
        <v>2342</v>
      </c>
      <c r="F6024" s="30" t="n">
        <v>42970</v>
      </c>
      <c r="G6024" s="30" t="n">
        <v>43068</v>
      </c>
      <c r="H6024" s="26" t="n">
        <f aca="false">G6024-F6024</f>
        <v>98</v>
      </c>
      <c r="I6024" s="10" t="n">
        <f aca="false">IF(E6024="Won",1,0)</f>
        <v>1</v>
      </c>
    </row>
    <row r="6025" customFormat="false" ht="15" hidden="false" customHeight="false" outlineLevel="0" collapsed="false">
      <c r="A6025" s="10" t="s">
        <v>8366</v>
      </c>
      <c r="B6025" s="10" t="s">
        <v>95</v>
      </c>
      <c r="C6025" s="10" t="s">
        <v>52</v>
      </c>
      <c r="D6025" s="10" t="s">
        <v>303</v>
      </c>
      <c r="E6025" s="10" t="s">
        <v>2342</v>
      </c>
      <c r="F6025" s="30" t="n">
        <v>42979</v>
      </c>
      <c r="G6025" s="30" t="n">
        <v>43068</v>
      </c>
      <c r="H6025" s="26" t="n">
        <f aca="false">G6025-F6025</f>
        <v>89</v>
      </c>
      <c r="I6025" s="10" t="n">
        <f aca="false">IF(E6025="Won",1,0)</f>
        <v>1</v>
      </c>
    </row>
    <row r="6026" customFormat="false" ht="15" hidden="false" customHeight="false" outlineLevel="0" collapsed="false">
      <c r="A6026" s="10" t="s">
        <v>8367</v>
      </c>
      <c r="B6026" s="10" t="s">
        <v>81</v>
      </c>
      <c r="C6026" s="10" t="s">
        <v>50</v>
      </c>
      <c r="D6026" s="10" t="s">
        <v>311</v>
      </c>
      <c r="E6026" s="10" t="s">
        <v>2345</v>
      </c>
      <c r="F6026" s="30" t="n">
        <v>42980</v>
      </c>
      <c r="G6026" s="30" t="n">
        <v>43068</v>
      </c>
      <c r="H6026" s="26" t="n">
        <f aca="false">G6026-F6026</f>
        <v>88</v>
      </c>
      <c r="I6026" s="10" t="n">
        <f aca="false">IF(E6026="Won",1,0)</f>
        <v>0</v>
      </c>
    </row>
    <row r="6027" customFormat="false" ht="15" hidden="false" customHeight="false" outlineLevel="0" collapsed="false">
      <c r="A6027" s="10" t="s">
        <v>8368</v>
      </c>
      <c r="B6027" s="10" t="s">
        <v>57</v>
      </c>
      <c r="C6027" s="10" t="s">
        <v>51</v>
      </c>
      <c r="D6027" s="10" t="s">
        <v>218</v>
      </c>
      <c r="E6027" s="10" t="s">
        <v>2345</v>
      </c>
      <c r="F6027" s="30" t="n">
        <v>43000</v>
      </c>
      <c r="G6027" s="30" t="n">
        <v>43068</v>
      </c>
      <c r="H6027" s="26" t="n">
        <f aca="false">G6027-F6027</f>
        <v>68</v>
      </c>
      <c r="I6027" s="10" t="n">
        <f aca="false">IF(E6027="Won",1,0)</f>
        <v>0</v>
      </c>
    </row>
    <row r="6028" customFormat="false" ht="15" hidden="false" customHeight="false" outlineLevel="0" collapsed="false">
      <c r="A6028" s="10" t="s">
        <v>8369</v>
      </c>
      <c r="B6028" s="10" t="s">
        <v>67</v>
      </c>
      <c r="C6028" s="10" t="s">
        <v>49</v>
      </c>
      <c r="D6028" s="10" t="s">
        <v>326</v>
      </c>
      <c r="E6028" s="10" t="s">
        <v>2345</v>
      </c>
      <c r="F6028" s="30" t="n">
        <v>42961</v>
      </c>
      <c r="G6028" s="30" t="n">
        <v>43068</v>
      </c>
      <c r="H6028" s="26" t="n">
        <f aca="false">G6028-F6028</f>
        <v>107</v>
      </c>
      <c r="I6028" s="10" t="n">
        <f aca="false">IF(E6028="Won",1,0)</f>
        <v>0</v>
      </c>
    </row>
    <row r="6029" customFormat="false" ht="15" hidden="false" customHeight="false" outlineLevel="0" collapsed="false">
      <c r="A6029" s="10" t="s">
        <v>8370</v>
      </c>
      <c r="B6029" s="10" t="s">
        <v>71</v>
      </c>
      <c r="C6029" s="10" t="s">
        <v>52</v>
      </c>
      <c r="D6029" s="10" t="s">
        <v>527</v>
      </c>
      <c r="E6029" s="10" t="s">
        <v>2342</v>
      </c>
      <c r="F6029" s="30" t="n">
        <v>43059</v>
      </c>
      <c r="G6029" s="30" t="n">
        <v>43068</v>
      </c>
      <c r="H6029" s="26" t="n">
        <f aca="false">G6029-F6029</f>
        <v>9</v>
      </c>
      <c r="I6029" s="10" t="n">
        <f aca="false">IF(E6029="Won",1,0)</f>
        <v>1</v>
      </c>
    </row>
    <row r="6030" customFormat="false" ht="15" hidden="false" customHeight="false" outlineLevel="0" collapsed="false">
      <c r="A6030" s="10" t="s">
        <v>8371</v>
      </c>
      <c r="B6030" s="10" t="s">
        <v>97</v>
      </c>
      <c r="C6030" s="10" t="s">
        <v>51</v>
      </c>
      <c r="D6030" s="10" t="s">
        <v>522</v>
      </c>
      <c r="E6030" s="10" t="s">
        <v>2342</v>
      </c>
      <c r="F6030" s="30" t="n">
        <v>42974</v>
      </c>
      <c r="G6030" s="30" t="n">
        <v>43068</v>
      </c>
      <c r="H6030" s="26" t="n">
        <f aca="false">G6030-F6030</f>
        <v>94</v>
      </c>
      <c r="I6030" s="10" t="n">
        <f aca="false">IF(E6030="Won",1,0)</f>
        <v>1</v>
      </c>
    </row>
    <row r="6031" customFormat="false" ht="15" hidden="false" customHeight="false" outlineLevel="0" collapsed="false">
      <c r="A6031" s="10" t="s">
        <v>8372</v>
      </c>
      <c r="B6031" s="10" t="s">
        <v>76</v>
      </c>
      <c r="C6031" s="10" t="s">
        <v>49</v>
      </c>
      <c r="D6031" s="10" t="s">
        <v>193</v>
      </c>
      <c r="E6031" s="10" t="s">
        <v>2342</v>
      </c>
      <c r="F6031" s="30" t="n">
        <v>42959</v>
      </c>
      <c r="G6031" s="30" t="n">
        <v>43068</v>
      </c>
      <c r="H6031" s="26" t="n">
        <f aca="false">G6031-F6031</f>
        <v>109</v>
      </c>
      <c r="I6031" s="10" t="n">
        <f aca="false">IF(E6031="Won",1,0)</f>
        <v>1</v>
      </c>
    </row>
    <row r="6032" customFormat="false" ht="15" hidden="false" customHeight="false" outlineLevel="0" collapsed="false">
      <c r="A6032" s="10" t="s">
        <v>8373</v>
      </c>
      <c r="B6032" s="10" t="s">
        <v>68</v>
      </c>
      <c r="C6032" s="10" t="s">
        <v>48</v>
      </c>
      <c r="D6032" s="10" t="s">
        <v>419</v>
      </c>
      <c r="E6032" s="10" t="s">
        <v>2342</v>
      </c>
      <c r="F6032" s="30" t="n">
        <v>43041</v>
      </c>
      <c r="G6032" s="30" t="n">
        <v>43068</v>
      </c>
      <c r="H6032" s="26" t="n">
        <f aca="false">G6032-F6032</f>
        <v>27</v>
      </c>
      <c r="I6032" s="10" t="n">
        <f aca="false">IF(E6032="Won",1,0)</f>
        <v>1</v>
      </c>
    </row>
    <row r="6033" customFormat="false" ht="15" hidden="false" customHeight="false" outlineLevel="0" collapsed="false">
      <c r="A6033" s="10" t="s">
        <v>8374</v>
      </c>
      <c r="B6033" s="10" t="s">
        <v>76</v>
      </c>
      <c r="C6033" s="10" t="s">
        <v>47</v>
      </c>
      <c r="D6033" s="10" t="s">
        <v>410</v>
      </c>
      <c r="E6033" s="10" t="s">
        <v>2342</v>
      </c>
      <c r="F6033" s="30" t="n">
        <v>43019</v>
      </c>
      <c r="G6033" s="30" t="n">
        <v>43068</v>
      </c>
      <c r="H6033" s="26" t="n">
        <f aca="false">G6033-F6033</f>
        <v>49</v>
      </c>
      <c r="I6033" s="10" t="n">
        <f aca="false">IF(E6033="Won",1,0)</f>
        <v>1</v>
      </c>
    </row>
    <row r="6034" customFormat="false" ht="15" hidden="false" customHeight="false" outlineLevel="0" collapsed="false">
      <c r="A6034" s="10" t="s">
        <v>8375</v>
      </c>
      <c r="B6034" s="10" t="s">
        <v>66</v>
      </c>
      <c r="C6034" s="10" t="s">
        <v>52</v>
      </c>
      <c r="D6034" s="10" t="s">
        <v>168</v>
      </c>
      <c r="E6034" s="10" t="s">
        <v>2342</v>
      </c>
      <c r="F6034" s="30" t="n">
        <v>42984</v>
      </c>
      <c r="G6034" s="30" t="n">
        <v>43068</v>
      </c>
      <c r="H6034" s="26" t="n">
        <f aca="false">G6034-F6034</f>
        <v>84</v>
      </c>
      <c r="I6034" s="10" t="n">
        <f aca="false">IF(E6034="Won",1,0)</f>
        <v>1</v>
      </c>
    </row>
    <row r="6035" customFormat="false" ht="15" hidden="false" customHeight="false" outlineLevel="0" collapsed="false">
      <c r="A6035" s="10" t="s">
        <v>8376</v>
      </c>
      <c r="B6035" s="10" t="s">
        <v>95</v>
      </c>
      <c r="C6035" s="10" t="s">
        <v>50</v>
      </c>
      <c r="D6035" s="10" t="s">
        <v>172</v>
      </c>
      <c r="E6035" s="10" t="s">
        <v>2342</v>
      </c>
      <c r="F6035" s="30" t="n">
        <v>42990</v>
      </c>
      <c r="G6035" s="30" t="n">
        <v>43069</v>
      </c>
      <c r="H6035" s="26" t="n">
        <f aca="false">G6035-F6035</f>
        <v>79</v>
      </c>
      <c r="I6035" s="10" t="n">
        <f aca="false">IF(E6035="Won",1,0)</f>
        <v>1</v>
      </c>
    </row>
    <row r="6036" customFormat="false" ht="15" hidden="false" customHeight="false" outlineLevel="0" collapsed="false">
      <c r="A6036" s="10" t="s">
        <v>8377</v>
      </c>
      <c r="B6036" s="10" t="s">
        <v>88</v>
      </c>
      <c r="C6036" s="10" t="s">
        <v>48</v>
      </c>
      <c r="D6036" s="10" t="s">
        <v>161</v>
      </c>
      <c r="E6036" s="10" t="s">
        <v>2345</v>
      </c>
      <c r="F6036" s="30" t="n">
        <v>42999</v>
      </c>
      <c r="G6036" s="30" t="n">
        <v>43069</v>
      </c>
      <c r="H6036" s="26" t="n">
        <f aca="false">G6036-F6036</f>
        <v>70</v>
      </c>
      <c r="I6036" s="10" t="n">
        <f aca="false">IF(E6036="Won",1,0)</f>
        <v>0</v>
      </c>
    </row>
    <row r="6037" customFormat="false" ht="15" hidden="false" customHeight="false" outlineLevel="0" collapsed="false">
      <c r="A6037" s="10" t="s">
        <v>8378</v>
      </c>
      <c r="B6037" s="10" t="s">
        <v>81</v>
      </c>
      <c r="C6037" s="10" t="s">
        <v>50</v>
      </c>
      <c r="D6037" s="10" t="s">
        <v>524</v>
      </c>
      <c r="E6037" s="10" t="s">
        <v>2342</v>
      </c>
      <c r="F6037" s="30" t="n">
        <v>43006</v>
      </c>
      <c r="G6037" s="30" t="n">
        <v>43069</v>
      </c>
      <c r="H6037" s="26" t="n">
        <f aca="false">G6037-F6037</f>
        <v>63</v>
      </c>
      <c r="I6037" s="10" t="n">
        <f aca="false">IF(E6037="Won",1,0)</f>
        <v>1</v>
      </c>
    </row>
    <row r="6038" customFormat="false" ht="15" hidden="false" customHeight="false" outlineLevel="0" collapsed="false">
      <c r="A6038" s="10" t="s">
        <v>8379</v>
      </c>
      <c r="B6038" s="10" t="s">
        <v>87</v>
      </c>
      <c r="C6038" s="10" t="s">
        <v>47</v>
      </c>
      <c r="D6038" s="10" t="s">
        <v>254</v>
      </c>
      <c r="E6038" s="10" t="s">
        <v>2345</v>
      </c>
      <c r="F6038" s="30" t="n">
        <v>42994</v>
      </c>
      <c r="G6038" s="30" t="n">
        <v>43069</v>
      </c>
      <c r="H6038" s="26" t="n">
        <f aca="false">G6038-F6038</f>
        <v>75</v>
      </c>
      <c r="I6038" s="10" t="n">
        <f aca="false">IF(E6038="Won",1,0)</f>
        <v>0</v>
      </c>
    </row>
    <row r="6039" customFormat="false" ht="15" hidden="false" customHeight="false" outlineLevel="0" collapsed="false">
      <c r="A6039" s="10" t="s">
        <v>8380</v>
      </c>
      <c r="B6039" s="10" t="s">
        <v>80</v>
      </c>
      <c r="C6039" s="10" t="s">
        <v>50</v>
      </c>
      <c r="D6039" s="10" t="s">
        <v>660</v>
      </c>
      <c r="E6039" s="10" t="s">
        <v>2345</v>
      </c>
      <c r="F6039" s="30" t="n">
        <v>43057</v>
      </c>
      <c r="G6039" s="30" t="n">
        <v>43069</v>
      </c>
      <c r="H6039" s="26" t="n">
        <f aca="false">G6039-F6039</f>
        <v>12</v>
      </c>
      <c r="I6039" s="10" t="n">
        <f aca="false">IF(E6039="Won",1,0)</f>
        <v>0</v>
      </c>
    </row>
    <row r="6040" customFormat="false" ht="15" hidden="false" customHeight="false" outlineLevel="0" collapsed="false">
      <c r="A6040" s="10" t="s">
        <v>8381</v>
      </c>
      <c r="B6040" s="10" t="s">
        <v>69</v>
      </c>
      <c r="C6040" s="10" t="s">
        <v>49</v>
      </c>
      <c r="D6040" s="10" t="s">
        <v>175</v>
      </c>
      <c r="E6040" s="10" t="s">
        <v>2342</v>
      </c>
      <c r="F6040" s="30" t="n">
        <v>43007</v>
      </c>
      <c r="G6040" s="30" t="n">
        <v>43069</v>
      </c>
      <c r="H6040" s="26" t="n">
        <f aca="false">G6040-F6040</f>
        <v>62</v>
      </c>
      <c r="I6040" s="10" t="n">
        <f aca="false">IF(E6040="Won",1,0)</f>
        <v>1</v>
      </c>
    </row>
    <row r="6041" customFormat="false" ht="15" hidden="false" customHeight="false" outlineLevel="0" collapsed="false">
      <c r="A6041" s="10" t="s">
        <v>8382</v>
      </c>
      <c r="B6041" s="10" t="s">
        <v>83</v>
      </c>
      <c r="C6041" s="10" t="s">
        <v>49</v>
      </c>
      <c r="D6041" s="10" t="s">
        <v>193</v>
      </c>
      <c r="E6041" s="10" t="s">
        <v>2342</v>
      </c>
      <c r="F6041" s="30" t="n">
        <v>42991</v>
      </c>
      <c r="G6041" s="30" t="n">
        <v>43069</v>
      </c>
      <c r="H6041" s="26" t="n">
        <f aca="false">G6041-F6041</f>
        <v>78</v>
      </c>
      <c r="I6041" s="10" t="n">
        <f aca="false">IF(E6041="Won",1,0)</f>
        <v>1</v>
      </c>
    </row>
    <row r="6042" customFormat="false" ht="15" hidden="false" customHeight="false" outlineLevel="0" collapsed="false">
      <c r="A6042" s="10" t="s">
        <v>8383</v>
      </c>
      <c r="B6042" s="10" t="s">
        <v>69</v>
      </c>
      <c r="C6042" s="10" t="s">
        <v>52</v>
      </c>
      <c r="D6042" s="10" t="s">
        <v>497</v>
      </c>
      <c r="E6042" s="10" t="s">
        <v>2342</v>
      </c>
      <c r="F6042" s="30" t="n">
        <v>42991</v>
      </c>
      <c r="G6042" s="30" t="n">
        <v>43069</v>
      </c>
      <c r="H6042" s="26" t="n">
        <f aca="false">G6042-F6042</f>
        <v>78</v>
      </c>
      <c r="I6042" s="10" t="n">
        <f aca="false">IF(E6042="Won",1,0)</f>
        <v>1</v>
      </c>
    </row>
    <row r="6043" customFormat="false" ht="15" hidden="false" customHeight="false" outlineLevel="0" collapsed="false">
      <c r="A6043" s="10" t="s">
        <v>8384</v>
      </c>
      <c r="B6043" s="10" t="s">
        <v>77</v>
      </c>
      <c r="C6043" s="10" t="s">
        <v>48</v>
      </c>
      <c r="D6043" s="10" t="s">
        <v>388</v>
      </c>
      <c r="E6043" s="10" t="s">
        <v>2342</v>
      </c>
      <c r="F6043" s="30" t="n">
        <v>43066</v>
      </c>
      <c r="G6043" s="30" t="n">
        <v>43069</v>
      </c>
      <c r="H6043" s="26" t="n">
        <f aca="false">G6043-F6043</f>
        <v>3</v>
      </c>
      <c r="I6043" s="10" t="n">
        <f aca="false">IF(E6043="Won",1,0)</f>
        <v>1</v>
      </c>
    </row>
    <row r="6044" customFormat="false" ht="15" hidden="false" customHeight="false" outlineLevel="0" collapsed="false">
      <c r="A6044" s="10" t="s">
        <v>8385</v>
      </c>
      <c r="B6044" s="10" t="s">
        <v>75</v>
      </c>
      <c r="C6044" s="10" t="s">
        <v>50</v>
      </c>
      <c r="D6044" s="10" t="s">
        <v>527</v>
      </c>
      <c r="E6044" s="10" t="s">
        <v>2345</v>
      </c>
      <c r="F6044" s="30" t="n">
        <v>42975</v>
      </c>
      <c r="G6044" s="30" t="n">
        <v>43069</v>
      </c>
      <c r="H6044" s="26" t="n">
        <f aca="false">G6044-F6044</f>
        <v>94</v>
      </c>
      <c r="I6044" s="10" t="n">
        <f aca="false">IF(E6044="Won",1,0)</f>
        <v>0</v>
      </c>
    </row>
    <row r="6045" customFormat="false" ht="15" hidden="false" customHeight="false" outlineLevel="0" collapsed="false">
      <c r="A6045" s="10" t="s">
        <v>8386</v>
      </c>
      <c r="B6045" s="10" t="s">
        <v>96</v>
      </c>
      <c r="C6045" s="10" t="s">
        <v>51</v>
      </c>
      <c r="D6045" s="10" t="s">
        <v>606</v>
      </c>
      <c r="E6045" s="10" t="s">
        <v>2342</v>
      </c>
      <c r="F6045" s="30" t="n">
        <v>42969</v>
      </c>
      <c r="G6045" s="30" t="n">
        <v>43069</v>
      </c>
      <c r="H6045" s="26" t="n">
        <f aca="false">G6045-F6045</f>
        <v>100</v>
      </c>
      <c r="I6045" s="10" t="n">
        <f aca="false">IF(E6045="Won",1,0)</f>
        <v>1</v>
      </c>
    </row>
    <row r="6046" customFormat="false" ht="15" hidden="false" customHeight="false" outlineLevel="0" collapsed="false">
      <c r="A6046" s="10" t="s">
        <v>8387</v>
      </c>
      <c r="B6046" s="10" t="s">
        <v>94</v>
      </c>
      <c r="C6046" s="10" t="s">
        <v>48</v>
      </c>
      <c r="D6046" s="10" t="s">
        <v>483</v>
      </c>
      <c r="E6046" s="10" t="s">
        <v>2345</v>
      </c>
      <c r="F6046" s="30" t="n">
        <v>43052</v>
      </c>
      <c r="G6046" s="30" t="n">
        <v>43069</v>
      </c>
      <c r="H6046" s="26" t="n">
        <f aca="false">G6046-F6046</f>
        <v>17</v>
      </c>
      <c r="I6046" s="10" t="n">
        <f aca="false">IF(E6046="Won",1,0)</f>
        <v>0</v>
      </c>
    </row>
    <row r="6047" customFormat="false" ht="15" hidden="false" customHeight="false" outlineLevel="0" collapsed="false">
      <c r="A6047" s="10" t="s">
        <v>8388</v>
      </c>
      <c r="B6047" s="10" t="s">
        <v>75</v>
      </c>
      <c r="C6047" s="10" t="s">
        <v>52</v>
      </c>
      <c r="D6047" s="10" t="s">
        <v>536</v>
      </c>
      <c r="E6047" s="10" t="s">
        <v>2345</v>
      </c>
      <c r="F6047" s="30" t="n">
        <v>43003</v>
      </c>
      <c r="G6047" s="30" t="n">
        <v>43069</v>
      </c>
      <c r="H6047" s="26" t="n">
        <f aca="false">G6047-F6047</f>
        <v>66</v>
      </c>
      <c r="I6047" s="10" t="n">
        <f aca="false">IF(E6047="Won",1,0)</f>
        <v>0</v>
      </c>
    </row>
    <row r="6048" customFormat="false" ht="15" hidden="false" customHeight="false" outlineLevel="0" collapsed="false">
      <c r="A6048" s="10" t="s">
        <v>8389</v>
      </c>
      <c r="B6048" s="10" t="s">
        <v>77</v>
      </c>
      <c r="C6048" s="10" t="s">
        <v>50</v>
      </c>
      <c r="D6048" s="10" t="s">
        <v>483</v>
      </c>
      <c r="E6048" s="10" t="s">
        <v>2345</v>
      </c>
      <c r="F6048" s="30" t="n">
        <v>42982</v>
      </c>
      <c r="G6048" s="30" t="n">
        <v>43069</v>
      </c>
      <c r="H6048" s="26" t="n">
        <f aca="false">G6048-F6048</f>
        <v>87</v>
      </c>
      <c r="I6048" s="10" t="n">
        <f aca="false">IF(E6048="Won",1,0)</f>
        <v>0</v>
      </c>
    </row>
    <row r="6049" customFormat="false" ht="15" hidden="false" customHeight="false" outlineLevel="0" collapsed="false">
      <c r="A6049" s="10" t="s">
        <v>8390</v>
      </c>
      <c r="B6049" s="10" t="s">
        <v>81</v>
      </c>
      <c r="C6049" s="10" t="s">
        <v>50</v>
      </c>
      <c r="D6049" s="10" t="s">
        <v>388</v>
      </c>
      <c r="E6049" s="10" t="s">
        <v>2345</v>
      </c>
      <c r="F6049" s="30" t="n">
        <v>43017</v>
      </c>
      <c r="G6049" s="30" t="n">
        <v>43069</v>
      </c>
      <c r="H6049" s="26" t="n">
        <f aca="false">G6049-F6049</f>
        <v>52</v>
      </c>
      <c r="I6049" s="10" t="n">
        <f aca="false">IF(E6049="Won",1,0)</f>
        <v>0</v>
      </c>
    </row>
    <row r="6050" customFormat="false" ht="15" hidden="false" customHeight="false" outlineLevel="0" collapsed="false">
      <c r="A6050" s="10" t="s">
        <v>8391</v>
      </c>
      <c r="B6050" s="10" t="s">
        <v>57</v>
      </c>
      <c r="C6050" s="10" t="s">
        <v>46</v>
      </c>
      <c r="D6050" s="10" t="s">
        <v>233</v>
      </c>
      <c r="E6050" s="10" t="s">
        <v>2345</v>
      </c>
      <c r="F6050" s="30" t="n">
        <v>43030</v>
      </c>
      <c r="G6050" s="30" t="n">
        <v>43069</v>
      </c>
      <c r="H6050" s="26" t="n">
        <f aca="false">G6050-F6050</f>
        <v>39</v>
      </c>
      <c r="I6050" s="10" t="n">
        <f aca="false">IF(E6050="Won",1,0)</f>
        <v>0</v>
      </c>
    </row>
    <row r="6051" customFormat="false" ht="15" hidden="false" customHeight="false" outlineLevel="0" collapsed="false">
      <c r="A6051" s="10" t="s">
        <v>8392</v>
      </c>
      <c r="B6051" s="10" t="s">
        <v>94</v>
      </c>
      <c r="C6051" s="10" t="s">
        <v>49</v>
      </c>
      <c r="D6051" s="10" t="s">
        <v>514</v>
      </c>
      <c r="E6051" s="10" t="s">
        <v>2345</v>
      </c>
      <c r="F6051" s="30" t="n">
        <v>42987</v>
      </c>
      <c r="G6051" s="30" t="n">
        <v>43069</v>
      </c>
      <c r="H6051" s="26" t="n">
        <f aca="false">G6051-F6051</f>
        <v>82</v>
      </c>
      <c r="I6051" s="10" t="n">
        <f aca="false">IF(E6051="Won",1,0)</f>
        <v>0</v>
      </c>
    </row>
    <row r="6052" customFormat="false" ht="15" hidden="false" customHeight="false" outlineLevel="0" collapsed="false">
      <c r="A6052" s="10" t="s">
        <v>8393</v>
      </c>
      <c r="B6052" s="10" t="s">
        <v>95</v>
      </c>
      <c r="C6052" s="10" t="s">
        <v>51</v>
      </c>
      <c r="D6052" s="10" t="s">
        <v>606</v>
      </c>
      <c r="E6052" s="10" t="s">
        <v>2342</v>
      </c>
      <c r="F6052" s="30" t="n">
        <v>42996</v>
      </c>
      <c r="G6052" s="30" t="n">
        <v>43069</v>
      </c>
      <c r="H6052" s="26" t="n">
        <f aca="false">G6052-F6052</f>
        <v>73</v>
      </c>
      <c r="I6052" s="10" t="n">
        <f aca="false">IF(E6052="Won",1,0)</f>
        <v>1</v>
      </c>
    </row>
    <row r="6053" customFormat="false" ht="15" hidden="false" customHeight="false" outlineLevel="0" collapsed="false">
      <c r="A6053" s="10" t="s">
        <v>8394</v>
      </c>
      <c r="B6053" s="10" t="s">
        <v>76</v>
      </c>
      <c r="C6053" s="10" t="s">
        <v>52</v>
      </c>
      <c r="D6053" s="10" t="s">
        <v>267</v>
      </c>
      <c r="E6053" s="10" t="s">
        <v>2342</v>
      </c>
      <c r="F6053" s="30" t="n">
        <v>42961</v>
      </c>
      <c r="G6053" s="30" t="n">
        <v>43069</v>
      </c>
      <c r="H6053" s="26" t="n">
        <f aca="false">G6053-F6053</f>
        <v>108</v>
      </c>
      <c r="I6053" s="10" t="n">
        <f aca="false">IF(E6053="Won",1,0)</f>
        <v>1</v>
      </c>
    </row>
    <row r="6054" customFormat="false" ht="15" hidden="false" customHeight="false" outlineLevel="0" collapsed="false">
      <c r="A6054" s="10" t="s">
        <v>8395</v>
      </c>
      <c r="B6054" s="10" t="s">
        <v>76</v>
      </c>
      <c r="C6054" s="10" t="s">
        <v>52</v>
      </c>
      <c r="D6054" s="10" t="s">
        <v>483</v>
      </c>
      <c r="E6054" s="10" t="s">
        <v>2345</v>
      </c>
      <c r="F6054" s="30" t="n">
        <v>42980</v>
      </c>
      <c r="G6054" s="30" t="n">
        <v>43069</v>
      </c>
      <c r="H6054" s="26" t="n">
        <f aca="false">G6054-F6054</f>
        <v>89</v>
      </c>
      <c r="I6054" s="10" t="n">
        <f aca="false">IF(E6054="Won",1,0)</f>
        <v>0</v>
      </c>
    </row>
    <row r="6055" customFormat="false" ht="15" hidden="false" customHeight="false" outlineLevel="0" collapsed="false">
      <c r="A6055" s="10" t="s">
        <v>8396</v>
      </c>
      <c r="B6055" s="10" t="s">
        <v>97</v>
      </c>
      <c r="C6055" s="10" t="s">
        <v>52</v>
      </c>
      <c r="D6055" s="10" t="s">
        <v>210</v>
      </c>
      <c r="E6055" s="10" t="s">
        <v>2342</v>
      </c>
      <c r="F6055" s="30" t="n">
        <v>42985</v>
      </c>
      <c r="G6055" s="30" t="n">
        <v>43069</v>
      </c>
      <c r="H6055" s="26" t="n">
        <f aca="false">G6055-F6055</f>
        <v>84</v>
      </c>
      <c r="I6055" s="10" t="n">
        <f aca="false">IF(E6055="Won",1,0)</f>
        <v>1</v>
      </c>
    </row>
    <row r="6056" customFormat="false" ht="15" hidden="false" customHeight="false" outlineLevel="0" collapsed="false">
      <c r="A6056" s="10" t="s">
        <v>8397</v>
      </c>
      <c r="B6056" s="10" t="s">
        <v>62</v>
      </c>
      <c r="C6056" s="10" t="s">
        <v>52</v>
      </c>
      <c r="D6056" s="10" t="s">
        <v>185</v>
      </c>
      <c r="E6056" s="10" t="s">
        <v>2342</v>
      </c>
      <c r="F6056" s="30" t="n">
        <v>43004</v>
      </c>
      <c r="G6056" s="30" t="n">
        <v>43069</v>
      </c>
      <c r="H6056" s="26" t="n">
        <f aca="false">G6056-F6056</f>
        <v>65</v>
      </c>
      <c r="I6056" s="10" t="n">
        <f aca="false">IF(E6056="Won",1,0)</f>
        <v>1</v>
      </c>
    </row>
    <row r="6057" customFormat="false" ht="15" hidden="false" customHeight="false" outlineLevel="0" collapsed="false">
      <c r="A6057" s="10" t="s">
        <v>8398</v>
      </c>
      <c r="B6057" s="10" t="s">
        <v>77</v>
      </c>
      <c r="C6057" s="10" t="s">
        <v>48</v>
      </c>
      <c r="D6057" s="10" t="s">
        <v>1948</v>
      </c>
      <c r="E6057" s="10" t="s">
        <v>2342</v>
      </c>
      <c r="F6057" s="30" t="n">
        <v>43054</v>
      </c>
      <c r="G6057" s="30" t="n">
        <v>43069</v>
      </c>
      <c r="H6057" s="26" t="n">
        <f aca="false">G6057-F6057</f>
        <v>15</v>
      </c>
      <c r="I6057" s="10" t="n">
        <f aca="false">IF(E6057="Won",1,0)</f>
        <v>1</v>
      </c>
    </row>
    <row r="6058" customFormat="false" ht="15" hidden="false" customHeight="false" outlineLevel="0" collapsed="false">
      <c r="A6058" s="10" t="s">
        <v>8399</v>
      </c>
      <c r="B6058" s="10" t="s">
        <v>86</v>
      </c>
      <c r="C6058" s="10" t="s">
        <v>48</v>
      </c>
      <c r="D6058" s="10" t="s">
        <v>692</v>
      </c>
      <c r="E6058" s="10" t="s">
        <v>2342</v>
      </c>
      <c r="F6058" s="30" t="n">
        <v>42978</v>
      </c>
      <c r="G6058" s="30" t="n">
        <v>43069</v>
      </c>
      <c r="H6058" s="26" t="n">
        <f aca="false">G6058-F6058</f>
        <v>91</v>
      </c>
      <c r="I6058" s="10" t="n">
        <f aca="false">IF(E6058="Won",1,0)</f>
        <v>1</v>
      </c>
    </row>
    <row r="6059" customFormat="false" ht="15" hidden="false" customHeight="false" outlineLevel="0" collapsed="false">
      <c r="A6059" s="10" t="s">
        <v>8400</v>
      </c>
      <c r="B6059" s="10" t="s">
        <v>86</v>
      </c>
      <c r="C6059" s="10" t="s">
        <v>51</v>
      </c>
      <c r="D6059" s="10" t="s">
        <v>359</v>
      </c>
      <c r="E6059" s="10" t="s">
        <v>2342</v>
      </c>
      <c r="F6059" s="30" t="n">
        <v>43054</v>
      </c>
      <c r="G6059" s="30" t="n">
        <v>43069</v>
      </c>
      <c r="H6059" s="26" t="n">
        <f aca="false">G6059-F6059</f>
        <v>15</v>
      </c>
      <c r="I6059" s="10" t="n">
        <f aca="false">IF(E6059="Won",1,0)</f>
        <v>1</v>
      </c>
    </row>
    <row r="6060" customFormat="false" ht="15" hidden="false" customHeight="false" outlineLevel="0" collapsed="false">
      <c r="A6060" s="10" t="s">
        <v>8401</v>
      </c>
      <c r="B6060" s="10" t="s">
        <v>93</v>
      </c>
      <c r="C6060" s="10" t="s">
        <v>51</v>
      </c>
      <c r="D6060" s="10" t="s">
        <v>437</v>
      </c>
      <c r="E6060" s="10" t="s">
        <v>2345</v>
      </c>
      <c r="F6060" s="30" t="n">
        <v>43022</v>
      </c>
      <c r="G6060" s="30" t="n">
        <v>43069</v>
      </c>
      <c r="H6060" s="26" t="n">
        <f aca="false">G6060-F6060</f>
        <v>47</v>
      </c>
      <c r="I6060" s="10" t="n">
        <f aca="false">IF(E6060="Won",1,0)</f>
        <v>0</v>
      </c>
    </row>
    <row r="6061" customFormat="false" ht="15" hidden="false" customHeight="false" outlineLevel="0" collapsed="false">
      <c r="A6061" s="10" t="s">
        <v>8402</v>
      </c>
      <c r="B6061" s="10" t="s">
        <v>61</v>
      </c>
      <c r="C6061" s="10" t="s">
        <v>48</v>
      </c>
      <c r="D6061" s="10" t="s">
        <v>274</v>
      </c>
      <c r="E6061" s="10" t="s">
        <v>2342</v>
      </c>
      <c r="F6061" s="30" t="n">
        <v>43009</v>
      </c>
      <c r="G6061" s="30" t="n">
        <v>43069</v>
      </c>
      <c r="H6061" s="26" t="n">
        <f aca="false">G6061-F6061</f>
        <v>60</v>
      </c>
      <c r="I6061" s="10" t="n">
        <f aca="false">IF(E6061="Won",1,0)</f>
        <v>1</v>
      </c>
    </row>
    <row r="6062" customFormat="false" ht="15" hidden="false" customHeight="false" outlineLevel="0" collapsed="false">
      <c r="A6062" s="10" t="s">
        <v>8403</v>
      </c>
      <c r="B6062" s="10" t="s">
        <v>70</v>
      </c>
      <c r="C6062" s="10" t="s">
        <v>49</v>
      </c>
      <c r="D6062" s="10" t="s">
        <v>514</v>
      </c>
      <c r="E6062" s="10" t="s">
        <v>2342</v>
      </c>
      <c r="F6062" s="30" t="n">
        <v>43060</v>
      </c>
      <c r="G6062" s="30" t="n">
        <v>43070</v>
      </c>
      <c r="H6062" s="26" t="n">
        <f aca="false">G6062-F6062</f>
        <v>10</v>
      </c>
      <c r="I6062" s="10" t="n">
        <f aca="false">IF(E6062="Won",1,0)</f>
        <v>1</v>
      </c>
    </row>
    <row r="6063" customFormat="false" ht="15" hidden="false" customHeight="false" outlineLevel="0" collapsed="false">
      <c r="A6063" s="10" t="s">
        <v>8404</v>
      </c>
      <c r="B6063" s="10" t="s">
        <v>96</v>
      </c>
      <c r="C6063" s="10" t="s">
        <v>49</v>
      </c>
      <c r="D6063" s="10" t="s">
        <v>337</v>
      </c>
      <c r="E6063" s="10" t="s">
        <v>2342</v>
      </c>
      <c r="F6063" s="30" t="n">
        <v>43055</v>
      </c>
      <c r="G6063" s="30" t="n">
        <v>43070</v>
      </c>
      <c r="H6063" s="26" t="n">
        <f aca="false">G6063-F6063</f>
        <v>15</v>
      </c>
      <c r="I6063" s="10" t="n">
        <f aca="false">IF(E6063="Won",1,0)</f>
        <v>1</v>
      </c>
    </row>
    <row r="6064" customFormat="false" ht="15" hidden="false" customHeight="false" outlineLevel="0" collapsed="false">
      <c r="A6064" s="10" t="s">
        <v>8405</v>
      </c>
      <c r="B6064" s="10" t="s">
        <v>67</v>
      </c>
      <c r="C6064" s="10" t="s">
        <v>49</v>
      </c>
      <c r="D6064" s="10" t="s">
        <v>168</v>
      </c>
      <c r="E6064" s="10" t="s">
        <v>2342</v>
      </c>
      <c r="F6064" s="30" t="n">
        <v>42972</v>
      </c>
      <c r="G6064" s="30" t="n">
        <v>43070</v>
      </c>
      <c r="H6064" s="26" t="n">
        <f aca="false">G6064-F6064</f>
        <v>98</v>
      </c>
      <c r="I6064" s="10" t="n">
        <f aca="false">IF(E6064="Won",1,0)</f>
        <v>1</v>
      </c>
    </row>
    <row r="6065" customFormat="false" ht="15" hidden="false" customHeight="false" outlineLevel="0" collapsed="false">
      <c r="A6065" s="10" t="s">
        <v>8406</v>
      </c>
      <c r="B6065" s="10" t="s">
        <v>88</v>
      </c>
      <c r="C6065" s="10" t="s">
        <v>49</v>
      </c>
      <c r="D6065" s="10" t="s">
        <v>1397</v>
      </c>
      <c r="E6065" s="10" t="s">
        <v>2342</v>
      </c>
      <c r="F6065" s="30" t="n">
        <v>42973</v>
      </c>
      <c r="G6065" s="30" t="n">
        <v>43070</v>
      </c>
      <c r="H6065" s="26" t="n">
        <f aca="false">G6065-F6065</f>
        <v>97</v>
      </c>
      <c r="I6065" s="10" t="n">
        <f aca="false">IF(E6065="Won",1,0)</f>
        <v>1</v>
      </c>
    </row>
    <row r="6066" customFormat="false" ht="15" hidden="false" customHeight="false" outlineLevel="0" collapsed="false">
      <c r="A6066" s="10" t="s">
        <v>8407</v>
      </c>
      <c r="B6066" s="10" t="s">
        <v>77</v>
      </c>
      <c r="C6066" s="10" t="s">
        <v>48</v>
      </c>
      <c r="D6066" s="10" t="s">
        <v>311</v>
      </c>
      <c r="E6066" s="10" t="s">
        <v>2342</v>
      </c>
      <c r="F6066" s="30" t="n">
        <v>43032</v>
      </c>
      <c r="G6066" s="30" t="n">
        <v>43070</v>
      </c>
      <c r="H6066" s="26" t="n">
        <f aca="false">G6066-F6066</f>
        <v>38</v>
      </c>
      <c r="I6066" s="10" t="n">
        <f aca="false">IF(E6066="Won",1,0)</f>
        <v>1</v>
      </c>
    </row>
    <row r="6067" customFormat="false" ht="15" hidden="false" customHeight="false" outlineLevel="0" collapsed="false">
      <c r="A6067" s="10" t="s">
        <v>8408</v>
      </c>
      <c r="B6067" s="10" t="s">
        <v>57</v>
      </c>
      <c r="C6067" s="10" t="s">
        <v>52</v>
      </c>
      <c r="D6067" s="10" t="s">
        <v>274</v>
      </c>
      <c r="E6067" s="10" t="s">
        <v>2342</v>
      </c>
      <c r="F6067" s="30" t="n">
        <v>42953</v>
      </c>
      <c r="G6067" s="30" t="n">
        <v>43070</v>
      </c>
      <c r="H6067" s="26" t="n">
        <f aca="false">G6067-F6067</f>
        <v>117</v>
      </c>
      <c r="I6067" s="10" t="n">
        <f aca="false">IF(E6067="Won",1,0)</f>
        <v>1</v>
      </c>
    </row>
    <row r="6068" customFormat="false" ht="15" hidden="false" customHeight="false" outlineLevel="0" collapsed="false">
      <c r="A6068" s="10" t="s">
        <v>8409</v>
      </c>
      <c r="B6068" s="10" t="s">
        <v>80</v>
      </c>
      <c r="C6068" s="10" t="s">
        <v>50</v>
      </c>
      <c r="D6068" s="10" t="s">
        <v>660</v>
      </c>
      <c r="E6068" s="10" t="s">
        <v>2342</v>
      </c>
      <c r="F6068" s="30" t="n">
        <v>42966</v>
      </c>
      <c r="G6068" s="30" t="n">
        <v>43070</v>
      </c>
      <c r="H6068" s="26" t="n">
        <f aca="false">G6068-F6068</f>
        <v>104</v>
      </c>
      <c r="I6068" s="10" t="n">
        <f aca="false">IF(E6068="Won",1,0)</f>
        <v>1</v>
      </c>
    </row>
    <row r="6069" customFormat="false" ht="15" hidden="false" customHeight="false" outlineLevel="0" collapsed="false">
      <c r="A6069" s="10" t="s">
        <v>8410</v>
      </c>
      <c r="B6069" s="10" t="s">
        <v>57</v>
      </c>
      <c r="C6069" s="10" t="s">
        <v>52</v>
      </c>
      <c r="D6069" s="10" t="s">
        <v>233</v>
      </c>
      <c r="E6069" s="10" t="s">
        <v>2345</v>
      </c>
      <c r="F6069" s="30" t="n">
        <v>42990</v>
      </c>
      <c r="G6069" s="30" t="n">
        <v>43070</v>
      </c>
      <c r="H6069" s="26" t="n">
        <f aca="false">G6069-F6069</f>
        <v>80</v>
      </c>
      <c r="I6069" s="10" t="n">
        <f aca="false">IF(E6069="Won",1,0)</f>
        <v>0</v>
      </c>
    </row>
    <row r="6070" customFormat="false" ht="15" hidden="false" customHeight="false" outlineLevel="0" collapsed="false">
      <c r="A6070" s="10" t="s">
        <v>8411</v>
      </c>
      <c r="B6070" s="10" t="s">
        <v>97</v>
      </c>
      <c r="C6070" s="10" t="s">
        <v>50</v>
      </c>
      <c r="D6070" s="10" t="s">
        <v>606</v>
      </c>
      <c r="E6070" s="10" t="s">
        <v>2342</v>
      </c>
      <c r="F6070" s="30" t="n">
        <v>42942</v>
      </c>
      <c r="G6070" s="30" t="n">
        <v>43070</v>
      </c>
      <c r="H6070" s="26" t="n">
        <f aca="false">G6070-F6070</f>
        <v>128</v>
      </c>
      <c r="I6070" s="10" t="n">
        <f aca="false">IF(E6070="Won",1,0)</f>
        <v>1</v>
      </c>
    </row>
    <row r="6071" customFormat="false" ht="15" hidden="false" customHeight="false" outlineLevel="0" collapsed="false">
      <c r="A6071" s="10" t="s">
        <v>8412</v>
      </c>
      <c r="B6071" s="10" t="s">
        <v>95</v>
      </c>
      <c r="C6071" s="10" t="s">
        <v>48</v>
      </c>
      <c r="D6071" s="10" t="s">
        <v>210</v>
      </c>
      <c r="E6071" s="10" t="s">
        <v>2342</v>
      </c>
      <c r="F6071" s="30" t="n">
        <v>43049</v>
      </c>
      <c r="G6071" s="30" t="n">
        <v>43070</v>
      </c>
      <c r="H6071" s="26" t="n">
        <f aca="false">G6071-F6071</f>
        <v>21</v>
      </c>
      <c r="I6071" s="10" t="n">
        <f aca="false">IF(E6071="Won",1,0)</f>
        <v>1</v>
      </c>
    </row>
    <row r="6072" customFormat="false" ht="15" hidden="false" customHeight="false" outlineLevel="0" collapsed="false">
      <c r="A6072" s="10" t="s">
        <v>8413</v>
      </c>
      <c r="B6072" s="10" t="s">
        <v>96</v>
      </c>
      <c r="C6072" s="10" t="s">
        <v>50</v>
      </c>
      <c r="D6072" s="10" t="s">
        <v>286</v>
      </c>
      <c r="E6072" s="10" t="s">
        <v>2345</v>
      </c>
      <c r="F6072" s="30" t="n">
        <v>42969</v>
      </c>
      <c r="G6072" s="30" t="n">
        <v>43070</v>
      </c>
      <c r="H6072" s="26" t="n">
        <f aca="false">G6072-F6072</f>
        <v>101</v>
      </c>
      <c r="I6072" s="10" t="n">
        <f aca="false">IF(E6072="Won",1,0)</f>
        <v>0</v>
      </c>
    </row>
    <row r="6073" customFormat="false" ht="15" hidden="false" customHeight="false" outlineLevel="0" collapsed="false">
      <c r="A6073" s="10" t="s">
        <v>8414</v>
      </c>
      <c r="B6073" s="10" t="s">
        <v>57</v>
      </c>
      <c r="C6073" s="10" t="s">
        <v>50</v>
      </c>
      <c r="D6073" s="10" t="s">
        <v>359</v>
      </c>
      <c r="E6073" s="10" t="s">
        <v>2342</v>
      </c>
      <c r="F6073" s="30" t="n">
        <v>42976</v>
      </c>
      <c r="G6073" s="30" t="n">
        <v>43070</v>
      </c>
      <c r="H6073" s="26" t="n">
        <f aca="false">G6073-F6073</f>
        <v>94</v>
      </c>
      <c r="I6073" s="10" t="n">
        <f aca="false">IF(E6073="Won",1,0)</f>
        <v>1</v>
      </c>
    </row>
    <row r="6074" customFormat="false" ht="15" hidden="false" customHeight="false" outlineLevel="0" collapsed="false">
      <c r="A6074" s="10" t="s">
        <v>8415</v>
      </c>
      <c r="B6074" s="10" t="s">
        <v>94</v>
      </c>
      <c r="C6074" s="10" t="s">
        <v>51</v>
      </c>
      <c r="D6074" s="10" t="s">
        <v>432</v>
      </c>
      <c r="E6074" s="10" t="s">
        <v>2342</v>
      </c>
      <c r="F6074" s="30" t="n">
        <v>43065</v>
      </c>
      <c r="G6074" s="30" t="n">
        <v>43070</v>
      </c>
      <c r="H6074" s="26" t="n">
        <f aca="false">G6074-F6074</f>
        <v>5</v>
      </c>
      <c r="I6074" s="10" t="n">
        <f aca="false">IF(E6074="Won",1,0)</f>
        <v>1</v>
      </c>
    </row>
    <row r="6075" customFormat="false" ht="15" hidden="false" customHeight="false" outlineLevel="0" collapsed="false">
      <c r="A6075" s="10" t="s">
        <v>8416</v>
      </c>
      <c r="B6075" s="10" t="s">
        <v>76</v>
      </c>
      <c r="C6075" s="10" t="s">
        <v>52</v>
      </c>
      <c r="D6075" s="10" t="s">
        <v>279</v>
      </c>
      <c r="E6075" s="10" t="s">
        <v>2342</v>
      </c>
      <c r="F6075" s="30" t="n">
        <v>43051</v>
      </c>
      <c r="G6075" s="30" t="n">
        <v>43070</v>
      </c>
      <c r="H6075" s="26" t="n">
        <f aca="false">G6075-F6075</f>
        <v>19</v>
      </c>
      <c r="I6075" s="10" t="n">
        <f aca="false">IF(E6075="Won",1,0)</f>
        <v>1</v>
      </c>
    </row>
    <row r="6076" customFormat="false" ht="15" hidden="false" customHeight="false" outlineLevel="0" collapsed="false">
      <c r="A6076" s="10" t="s">
        <v>8417</v>
      </c>
      <c r="B6076" s="10" t="s">
        <v>73</v>
      </c>
      <c r="C6076" s="10" t="s">
        <v>49</v>
      </c>
      <c r="D6076" s="10" t="s">
        <v>697</v>
      </c>
      <c r="E6076" s="10" t="s">
        <v>2345</v>
      </c>
      <c r="F6076" s="30" t="n">
        <v>42979</v>
      </c>
      <c r="G6076" s="30" t="n">
        <v>43070</v>
      </c>
      <c r="H6076" s="26" t="n">
        <f aca="false">G6076-F6076</f>
        <v>91</v>
      </c>
      <c r="I6076" s="10" t="n">
        <f aca="false">IF(E6076="Won",1,0)</f>
        <v>0</v>
      </c>
    </row>
    <row r="6077" customFormat="false" ht="15" hidden="false" customHeight="false" outlineLevel="0" collapsed="false">
      <c r="A6077" s="10" t="s">
        <v>8418</v>
      </c>
      <c r="B6077" s="10" t="s">
        <v>86</v>
      </c>
      <c r="C6077" s="10" t="s">
        <v>51</v>
      </c>
      <c r="D6077" s="10" t="s">
        <v>286</v>
      </c>
      <c r="E6077" s="10" t="s">
        <v>2345</v>
      </c>
      <c r="F6077" s="30" t="n">
        <v>43009</v>
      </c>
      <c r="G6077" s="30" t="n">
        <v>43070</v>
      </c>
      <c r="H6077" s="26" t="n">
        <f aca="false">G6077-F6077</f>
        <v>61</v>
      </c>
      <c r="I6077" s="10" t="n">
        <f aca="false">IF(E6077="Won",1,0)</f>
        <v>0</v>
      </c>
    </row>
    <row r="6078" customFormat="false" ht="15" hidden="false" customHeight="false" outlineLevel="0" collapsed="false">
      <c r="A6078" s="10" t="s">
        <v>8419</v>
      </c>
      <c r="B6078" s="10" t="s">
        <v>68</v>
      </c>
      <c r="C6078" s="10" t="s">
        <v>49</v>
      </c>
      <c r="D6078" s="10" t="s">
        <v>175</v>
      </c>
      <c r="E6078" s="10" t="s">
        <v>2342</v>
      </c>
      <c r="F6078" s="30" t="n">
        <v>42993</v>
      </c>
      <c r="G6078" s="30" t="n">
        <v>43070</v>
      </c>
      <c r="H6078" s="26" t="n">
        <f aca="false">G6078-F6078</f>
        <v>77</v>
      </c>
      <c r="I6078" s="10" t="n">
        <f aca="false">IF(E6078="Won",1,0)</f>
        <v>1</v>
      </c>
    </row>
    <row r="6079" customFormat="false" ht="15" hidden="false" customHeight="false" outlineLevel="0" collapsed="false">
      <c r="A6079" s="10" t="s">
        <v>8420</v>
      </c>
      <c r="B6079" s="10" t="s">
        <v>87</v>
      </c>
      <c r="C6079" s="10" t="s">
        <v>48</v>
      </c>
      <c r="D6079" s="10" t="s">
        <v>532</v>
      </c>
      <c r="E6079" s="10" t="s">
        <v>2345</v>
      </c>
      <c r="F6079" s="30" t="n">
        <v>43009</v>
      </c>
      <c r="G6079" s="30" t="n">
        <v>43070</v>
      </c>
      <c r="H6079" s="26" t="n">
        <f aca="false">G6079-F6079</f>
        <v>61</v>
      </c>
      <c r="I6079" s="10" t="n">
        <f aca="false">IF(E6079="Won",1,0)</f>
        <v>0</v>
      </c>
    </row>
    <row r="6080" customFormat="false" ht="15" hidden="false" customHeight="false" outlineLevel="0" collapsed="false">
      <c r="A6080" s="10" t="s">
        <v>8421</v>
      </c>
      <c r="B6080" s="10" t="s">
        <v>69</v>
      </c>
      <c r="C6080" s="10" t="s">
        <v>52</v>
      </c>
      <c r="D6080" s="10" t="s">
        <v>522</v>
      </c>
      <c r="E6080" s="10" t="s">
        <v>2345</v>
      </c>
      <c r="F6080" s="30" t="n">
        <v>43026</v>
      </c>
      <c r="G6080" s="30" t="n">
        <v>43071</v>
      </c>
      <c r="H6080" s="26" t="n">
        <f aca="false">G6080-F6080</f>
        <v>45</v>
      </c>
      <c r="I6080" s="10" t="n">
        <f aca="false">IF(E6080="Won",1,0)</f>
        <v>0</v>
      </c>
    </row>
    <row r="6081" customFormat="false" ht="15" hidden="false" customHeight="false" outlineLevel="0" collapsed="false">
      <c r="A6081" s="10" t="s">
        <v>8422</v>
      </c>
      <c r="B6081" s="10" t="s">
        <v>80</v>
      </c>
      <c r="C6081" s="10" t="s">
        <v>51</v>
      </c>
      <c r="D6081" s="10" t="s">
        <v>388</v>
      </c>
      <c r="E6081" s="10" t="s">
        <v>2342</v>
      </c>
      <c r="F6081" s="30" t="n">
        <v>43042</v>
      </c>
      <c r="G6081" s="30" t="n">
        <v>43071</v>
      </c>
      <c r="H6081" s="26" t="n">
        <f aca="false">G6081-F6081</f>
        <v>29</v>
      </c>
      <c r="I6081" s="10" t="n">
        <f aca="false">IF(E6081="Won",1,0)</f>
        <v>1</v>
      </c>
    </row>
    <row r="6082" customFormat="false" ht="15" hidden="false" customHeight="false" outlineLevel="0" collapsed="false">
      <c r="A6082" s="10" t="s">
        <v>8423</v>
      </c>
      <c r="B6082" s="10" t="s">
        <v>94</v>
      </c>
      <c r="C6082" s="10" t="s">
        <v>51</v>
      </c>
      <c r="D6082" s="10" t="s">
        <v>199</v>
      </c>
      <c r="E6082" s="10" t="s">
        <v>2342</v>
      </c>
      <c r="F6082" s="30" t="n">
        <v>42941</v>
      </c>
      <c r="G6082" s="30" t="n">
        <v>43071</v>
      </c>
      <c r="H6082" s="26" t="n">
        <f aca="false">G6082-F6082</f>
        <v>130</v>
      </c>
      <c r="I6082" s="10" t="n">
        <f aca="false">IF(E6082="Won",1,0)</f>
        <v>1</v>
      </c>
    </row>
    <row r="6083" customFormat="false" ht="15" hidden="false" customHeight="false" outlineLevel="0" collapsed="false">
      <c r="A6083" s="10" t="s">
        <v>8424</v>
      </c>
      <c r="B6083" s="10" t="s">
        <v>57</v>
      </c>
      <c r="C6083" s="10" t="s">
        <v>51</v>
      </c>
      <c r="D6083" s="10" t="s">
        <v>359</v>
      </c>
      <c r="E6083" s="10" t="s">
        <v>2345</v>
      </c>
      <c r="F6083" s="30" t="n">
        <v>43062</v>
      </c>
      <c r="G6083" s="30" t="n">
        <v>43071</v>
      </c>
      <c r="H6083" s="26" t="n">
        <f aca="false">G6083-F6083</f>
        <v>9</v>
      </c>
      <c r="I6083" s="10" t="n">
        <f aca="false">IF(E6083="Won",1,0)</f>
        <v>0</v>
      </c>
    </row>
    <row r="6084" customFormat="false" ht="15" hidden="false" customHeight="false" outlineLevel="0" collapsed="false">
      <c r="A6084" s="10" t="s">
        <v>8425</v>
      </c>
      <c r="B6084" s="10" t="s">
        <v>77</v>
      </c>
      <c r="C6084" s="10" t="s">
        <v>48</v>
      </c>
      <c r="D6084" s="10" t="s">
        <v>410</v>
      </c>
      <c r="E6084" s="10" t="s">
        <v>2345</v>
      </c>
      <c r="F6084" s="30" t="n">
        <v>42995</v>
      </c>
      <c r="G6084" s="30" t="n">
        <v>43071</v>
      </c>
      <c r="H6084" s="26" t="n">
        <f aca="false">G6084-F6084</f>
        <v>76</v>
      </c>
      <c r="I6084" s="10" t="n">
        <f aca="false">IF(E6084="Won",1,0)</f>
        <v>0</v>
      </c>
    </row>
    <row r="6085" customFormat="false" ht="15" hidden="false" customHeight="false" outlineLevel="0" collapsed="false">
      <c r="A6085" s="10" t="s">
        <v>8426</v>
      </c>
      <c r="B6085" s="10" t="s">
        <v>93</v>
      </c>
      <c r="C6085" s="10" t="s">
        <v>49</v>
      </c>
      <c r="D6085" s="10" t="s">
        <v>168</v>
      </c>
      <c r="E6085" s="10" t="s">
        <v>2342</v>
      </c>
      <c r="F6085" s="30" t="n">
        <v>42999</v>
      </c>
      <c r="G6085" s="30" t="n">
        <v>43071</v>
      </c>
      <c r="H6085" s="26" t="n">
        <f aca="false">G6085-F6085</f>
        <v>72</v>
      </c>
      <c r="I6085" s="10" t="n">
        <f aca="false">IF(E6085="Won",1,0)</f>
        <v>1</v>
      </c>
    </row>
    <row r="6086" customFormat="false" ht="15" hidden="false" customHeight="false" outlineLevel="0" collapsed="false">
      <c r="A6086" s="10" t="s">
        <v>8427</v>
      </c>
      <c r="B6086" s="10" t="s">
        <v>61</v>
      </c>
      <c r="C6086" s="10" t="s">
        <v>47</v>
      </c>
      <c r="D6086" s="10" t="s">
        <v>359</v>
      </c>
      <c r="E6086" s="10" t="s">
        <v>2345</v>
      </c>
      <c r="F6086" s="30" t="n">
        <v>42986</v>
      </c>
      <c r="G6086" s="30" t="n">
        <v>43071</v>
      </c>
      <c r="H6086" s="26" t="n">
        <f aca="false">G6086-F6086</f>
        <v>85</v>
      </c>
      <c r="I6086" s="10" t="n">
        <f aca="false">IF(E6086="Won",1,0)</f>
        <v>0</v>
      </c>
    </row>
    <row r="6087" customFormat="false" ht="15" hidden="false" customHeight="false" outlineLevel="0" collapsed="false">
      <c r="A6087" s="10" t="s">
        <v>8428</v>
      </c>
      <c r="B6087" s="10" t="s">
        <v>63</v>
      </c>
      <c r="C6087" s="10" t="s">
        <v>52</v>
      </c>
      <c r="D6087" s="10" t="s">
        <v>441</v>
      </c>
      <c r="E6087" s="10" t="s">
        <v>2345</v>
      </c>
      <c r="F6087" s="30" t="n">
        <v>42944</v>
      </c>
      <c r="G6087" s="30" t="n">
        <v>43071</v>
      </c>
      <c r="H6087" s="26" t="n">
        <f aca="false">G6087-F6087</f>
        <v>127</v>
      </c>
      <c r="I6087" s="10" t="n">
        <f aca="false">IF(E6087="Won",1,0)</f>
        <v>0</v>
      </c>
    </row>
    <row r="6088" customFormat="false" ht="15" hidden="false" customHeight="false" outlineLevel="0" collapsed="false">
      <c r="A6088" s="10" t="s">
        <v>8429</v>
      </c>
      <c r="B6088" s="10" t="s">
        <v>70</v>
      </c>
      <c r="C6088" s="10" t="s">
        <v>49</v>
      </c>
      <c r="D6088" s="10" t="s">
        <v>424</v>
      </c>
      <c r="E6088" s="10" t="s">
        <v>2345</v>
      </c>
      <c r="F6088" s="30" t="n">
        <v>43067</v>
      </c>
      <c r="G6088" s="30" t="n">
        <v>43071</v>
      </c>
      <c r="H6088" s="26" t="n">
        <f aca="false">G6088-F6088</f>
        <v>4</v>
      </c>
      <c r="I6088" s="10" t="n">
        <f aca="false">IF(E6088="Won",1,0)</f>
        <v>0</v>
      </c>
    </row>
    <row r="6089" customFormat="false" ht="15" hidden="false" customHeight="false" outlineLevel="0" collapsed="false">
      <c r="A6089" s="10" t="s">
        <v>8430</v>
      </c>
      <c r="B6089" s="10" t="s">
        <v>61</v>
      </c>
      <c r="C6089" s="10" t="s">
        <v>50</v>
      </c>
      <c r="D6089" s="10" t="s">
        <v>464</v>
      </c>
      <c r="E6089" s="10" t="s">
        <v>2342</v>
      </c>
      <c r="F6089" s="30" t="n">
        <v>42950</v>
      </c>
      <c r="G6089" s="30" t="n">
        <v>43071</v>
      </c>
      <c r="H6089" s="26" t="n">
        <f aca="false">G6089-F6089</f>
        <v>121</v>
      </c>
      <c r="I6089" s="10" t="n">
        <f aca="false">IF(E6089="Won",1,0)</f>
        <v>1</v>
      </c>
    </row>
    <row r="6090" customFormat="false" ht="15" hidden="false" customHeight="false" outlineLevel="0" collapsed="false">
      <c r="A6090" s="10" t="s">
        <v>8431</v>
      </c>
      <c r="B6090" s="10" t="s">
        <v>69</v>
      </c>
      <c r="C6090" s="10" t="s">
        <v>52</v>
      </c>
      <c r="D6090" s="10" t="s">
        <v>286</v>
      </c>
      <c r="E6090" s="10" t="s">
        <v>2342</v>
      </c>
      <c r="F6090" s="30" t="n">
        <v>42995</v>
      </c>
      <c r="G6090" s="30" t="n">
        <v>43071</v>
      </c>
      <c r="H6090" s="26" t="n">
        <f aca="false">G6090-F6090</f>
        <v>76</v>
      </c>
      <c r="I6090" s="10" t="n">
        <f aca="false">IF(E6090="Won",1,0)</f>
        <v>1</v>
      </c>
    </row>
    <row r="6091" customFormat="false" ht="15" hidden="false" customHeight="false" outlineLevel="0" collapsed="false">
      <c r="A6091" s="10" t="s">
        <v>8432</v>
      </c>
      <c r="B6091" s="10" t="s">
        <v>61</v>
      </c>
      <c r="C6091" s="10" t="s">
        <v>52</v>
      </c>
      <c r="D6091" s="10" t="s">
        <v>210</v>
      </c>
      <c r="E6091" s="10" t="s">
        <v>2342</v>
      </c>
      <c r="F6091" s="30" t="n">
        <v>43004</v>
      </c>
      <c r="G6091" s="30" t="n">
        <v>43071</v>
      </c>
      <c r="H6091" s="26" t="n">
        <f aca="false">G6091-F6091</f>
        <v>67</v>
      </c>
      <c r="I6091" s="10" t="n">
        <f aca="false">IF(E6091="Won",1,0)</f>
        <v>1</v>
      </c>
    </row>
    <row r="6092" customFormat="false" ht="15" hidden="false" customHeight="false" outlineLevel="0" collapsed="false">
      <c r="A6092" s="10" t="s">
        <v>8433</v>
      </c>
      <c r="B6092" s="10" t="s">
        <v>67</v>
      </c>
      <c r="C6092" s="10" t="s">
        <v>49</v>
      </c>
      <c r="D6092" s="10" t="s">
        <v>514</v>
      </c>
      <c r="E6092" s="10" t="s">
        <v>2342</v>
      </c>
      <c r="F6092" s="30" t="n">
        <v>42996</v>
      </c>
      <c r="G6092" s="30" t="n">
        <v>43071</v>
      </c>
      <c r="H6092" s="26" t="n">
        <f aca="false">G6092-F6092</f>
        <v>75</v>
      </c>
      <c r="I6092" s="10" t="n">
        <f aca="false">IF(E6092="Won",1,0)</f>
        <v>1</v>
      </c>
    </row>
    <row r="6093" customFormat="false" ht="15" hidden="false" customHeight="false" outlineLevel="0" collapsed="false">
      <c r="A6093" s="10" t="s">
        <v>8434</v>
      </c>
      <c r="B6093" s="10" t="s">
        <v>79</v>
      </c>
      <c r="C6093" s="10" t="s">
        <v>48</v>
      </c>
      <c r="D6093" s="10" t="s">
        <v>291</v>
      </c>
      <c r="E6093" s="10" t="s">
        <v>2342</v>
      </c>
      <c r="F6093" s="30" t="n">
        <v>42981</v>
      </c>
      <c r="G6093" s="30" t="n">
        <v>43071</v>
      </c>
      <c r="H6093" s="26" t="n">
        <f aca="false">G6093-F6093</f>
        <v>90</v>
      </c>
      <c r="I6093" s="10" t="n">
        <f aca="false">IF(E6093="Won",1,0)</f>
        <v>1</v>
      </c>
    </row>
    <row r="6094" customFormat="false" ht="15" hidden="false" customHeight="false" outlineLevel="0" collapsed="false">
      <c r="A6094" s="10" t="s">
        <v>8435</v>
      </c>
      <c r="B6094" s="10" t="s">
        <v>71</v>
      </c>
      <c r="C6094" s="10" t="s">
        <v>52</v>
      </c>
      <c r="D6094" s="10" t="s">
        <v>597</v>
      </c>
      <c r="E6094" s="10" t="s">
        <v>2342</v>
      </c>
      <c r="F6094" s="30" t="n">
        <v>42942</v>
      </c>
      <c r="G6094" s="30" t="n">
        <v>43071</v>
      </c>
      <c r="H6094" s="26" t="n">
        <f aca="false">G6094-F6094</f>
        <v>129</v>
      </c>
      <c r="I6094" s="10" t="n">
        <f aca="false">IF(E6094="Won",1,0)</f>
        <v>1</v>
      </c>
    </row>
    <row r="6095" customFormat="false" ht="15" hidden="false" customHeight="false" outlineLevel="0" collapsed="false">
      <c r="A6095" s="10" t="s">
        <v>8436</v>
      </c>
      <c r="B6095" s="10" t="s">
        <v>84</v>
      </c>
      <c r="C6095" s="10" t="s">
        <v>48</v>
      </c>
      <c r="D6095" s="10" t="s">
        <v>532</v>
      </c>
      <c r="E6095" s="10" t="s">
        <v>2345</v>
      </c>
      <c r="F6095" s="30" t="n">
        <v>42999</v>
      </c>
      <c r="G6095" s="30" t="n">
        <v>43071</v>
      </c>
      <c r="H6095" s="26" t="n">
        <f aca="false">G6095-F6095</f>
        <v>72</v>
      </c>
      <c r="I6095" s="10" t="n">
        <f aca="false">IF(E6095="Won",1,0)</f>
        <v>0</v>
      </c>
    </row>
    <row r="6096" customFormat="false" ht="15" hidden="false" customHeight="false" outlineLevel="0" collapsed="false">
      <c r="A6096" s="10" t="s">
        <v>8437</v>
      </c>
      <c r="B6096" s="10" t="s">
        <v>94</v>
      </c>
      <c r="C6096" s="10" t="s">
        <v>51</v>
      </c>
      <c r="D6096" s="10" t="s">
        <v>299</v>
      </c>
      <c r="E6096" s="10" t="s">
        <v>2342</v>
      </c>
      <c r="F6096" s="30" t="n">
        <v>43022</v>
      </c>
      <c r="G6096" s="30" t="n">
        <v>43072</v>
      </c>
      <c r="H6096" s="26" t="n">
        <f aca="false">G6096-F6096</f>
        <v>50</v>
      </c>
      <c r="I6096" s="10" t="n">
        <f aca="false">IF(E6096="Won",1,0)</f>
        <v>1</v>
      </c>
    </row>
    <row r="6097" customFormat="false" ht="15" hidden="false" customHeight="false" outlineLevel="0" collapsed="false">
      <c r="A6097" s="10" t="s">
        <v>8438</v>
      </c>
      <c r="B6097" s="10" t="s">
        <v>90</v>
      </c>
      <c r="C6097" s="10" t="s">
        <v>48</v>
      </c>
      <c r="D6097" s="10" t="s">
        <v>616</v>
      </c>
      <c r="E6097" s="10" t="s">
        <v>2342</v>
      </c>
      <c r="F6097" s="30" t="n">
        <v>42987</v>
      </c>
      <c r="G6097" s="30" t="n">
        <v>43072</v>
      </c>
      <c r="H6097" s="26" t="n">
        <f aca="false">G6097-F6097</f>
        <v>85</v>
      </c>
      <c r="I6097" s="10" t="n">
        <f aca="false">IF(E6097="Won",1,0)</f>
        <v>1</v>
      </c>
    </row>
    <row r="6098" customFormat="false" ht="15" hidden="false" customHeight="false" outlineLevel="0" collapsed="false">
      <c r="A6098" s="10" t="s">
        <v>8439</v>
      </c>
      <c r="B6098" s="10" t="s">
        <v>93</v>
      </c>
      <c r="C6098" s="10" t="s">
        <v>47</v>
      </c>
      <c r="D6098" s="10" t="s">
        <v>606</v>
      </c>
      <c r="E6098" s="10" t="s">
        <v>2345</v>
      </c>
      <c r="F6098" s="30" t="n">
        <v>43021</v>
      </c>
      <c r="G6098" s="30" t="n">
        <v>43072</v>
      </c>
      <c r="H6098" s="26" t="n">
        <f aca="false">G6098-F6098</f>
        <v>51</v>
      </c>
      <c r="I6098" s="10" t="n">
        <f aca="false">IF(E6098="Won",1,0)</f>
        <v>0</v>
      </c>
    </row>
    <row r="6099" customFormat="false" ht="15" hidden="false" customHeight="false" outlineLevel="0" collapsed="false">
      <c r="A6099" s="10" t="s">
        <v>8440</v>
      </c>
      <c r="B6099" s="10" t="s">
        <v>81</v>
      </c>
      <c r="C6099" s="10" t="s">
        <v>50</v>
      </c>
      <c r="D6099" s="10" t="s">
        <v>762</v>
      </c>
      <c r="E6099" s="10" t="s">
        <v>2342</v>
      </c>
      <c r="F6099" s="30" t="n">
        <v>42986</v>
      </c>
      <c r="G6099" s="30" t="n">
        <v>43072</v>
      </c>
      <c r="H6099" s="26" t="n">
        <f aca="false">G6099-F6099</f>
        <v>86</v>
      </c>
      <c r="I6099" s="10" t="n">
        <f aca="false">IF(E6099="Won",1,0)</f>
        <v>1</v>
      </c>
    </row>
    <row r="6100" customFormat="false" ht="15" hidden="false" customHeight="false" outlineLevel="0" collapsed="false">
      <c r="A6100" s="10" t="s">
        <v>8441</v>
      </c>
      <c r="B6100" s="10" t="s">
        <v>95</v>
      </c>
      <c r="C6100" s="10" t="s">
        <v>50</v>
      </c>
      <c r="D6100" s="10" t="s">
        <v>168</v>
      </c>
      <c r="E6100" s="10" t="s">
        <v>2345</v>
      </c>
      <c r="F6100" s="30" t="n">
        <v>42959</v>
      </c>
      <c r="G6100" s="30" t="n">
        <v>43072</v>
      </c>
      <c r="H6100" s="26" t="n">
        <f aca="false">G6100-F6100</f>
        <v>113</v>
      </c>
      <c r="I6100" s="10" t="n">
        <f aca="false">IF(E6100="Won",1,0)</f>
        <v>0</v>
      </c>
    </row>
    <row r="6101" customFormat="false" ht="15" hidden="false" customHeight="false" outlineLevel="0" collapsed="false">
      <c r="A6101" s="10" t="s">
        <v>8442</v>
      </c>
      <c r="B6101" s="10" t="s">
        <v>77</v>
      </c>
      <c r="C6101" s="10" t="s">
        <v>50</v>
      </c>
      <c r="D6101" s="10" t="s">
        <v>512</v>
      </c>
      <c r="E6101" s="10" t="s">
        <v>2345</v>
      </c>
      <c r="F6101" s="30" t="n">
        <v>42962</v>
      </c>
      <c r="G6101" s="30" t="n">
        <v>43072</v>
      </c>
      <c r="H6101" s="26" t="n">
        <f aca="false">G6101-F6101</f>
        <v>110</v>
      </c>
      <c r="I6101" s="10" t="n">
        <f aca="false">IF(E6101="Won",1,0)</f>
        <v>0</v>
      </c>
    </row>
    <row r="6102" customFormat="false" ht="15" hidden="false" customHeight="false" outlineLevel="0" collapsed="false">
      <c r="A6102" s="10" t="s">
        <v>8443</v>
      </c>
      <c r="B6102" s="10" t="s">
        <v>84</v>
      </c>
      <c r="C6102" s="10" t="s">
        <v>50</v>
      </c>
      <c r="D6102" s="10" t="s">
        <v>427</v>
      </c>
      <c r="E6102" s="10" t="s">
        <v>2342</v>
      </c>
      <c r="F6102" s="30" t="n">
        <v>42985</v>
      </c>
      <c r="G6102" s="30" t="n">
        <v>43072</v>
      </c>
      <c r="H6102" s="26" t="n">
        <f aca="false">G6102-F6102</f>
        <v>87</v>
      </c>
      <c r="I6102" s="10" t="n">
        <f aca="false">IF(E6102="Won",1,0)</f>
        <v>1</v>
      </c>
    </row>
    <row r="6103" customFormat="false" ht="15" hidden="false" customHeight="false" outlineLevel="0" collapsed="false">
      <c r="A6103" s="10" t="s">
        <v>8444</v>
      </c>
      <c r="B6103" s="10" t="s">
        <v>84</v>
      </c>
      <c r="C6103" s="10" t="s">
        <v>47</v>
      </c>
      <c r="D6103" s="10" t="s">
        <v>692</v>
      </c>
      <c r="E6103" s="10" t="s">
        <v>2342</v>
      </c>
      <c r="F6103" s="30" t="n">
        <v>42966</v>
      </c>
      <c r="G6103" s="30" t="n">
        <v>43072</v>
      </c>
      <c r="H6103" s="26" t="n">
        <f aca="false">G6103-F6103</f>
        <v>106</v>
      </c>
      <c r="I6103" s="10" t="n">
        <f aca="false">IF(E6103="Won",1,0)</f>
        <v>1</v>
      </c>
    </row>
    <row r="6104" customFormat="false" ht="15" hidden="false" customHeight="false" outlineLevel="0" collapsed="false">
      <c r="A6104" s="10" t="s">
        <v>8445</v>
      </c>
      <c r="B6104" s="10" t="s">
        <v>87</v>
      </c>
      <c r="C6104" s="10" t="s">
        <v>50</v>
      </c>
      <c r="D6104" s="10" t="s">
        <v>674</v>
      </c>
      <c r="E6104" s="10" t="s">
        <v>2342</v>
      </c>
      <c r="F6104" s="30" t="n">
        <v>42970</v>
      </c>
      <c r="G6104" s="30" t="n">
        <v>43072</v>
      </c>
      <c r="H6104" s="26" t="n">
        <f aca="false">G6104-F6104</f>
        <v>102</v>
      </c>
      <c r="I6104" s="10" t="n">
        <f aca="false">IF(E6104="Won",1,0)</f>
        <v>1</v>
      </c>
    </row>
    <row r="6105" customFormat="false" ht="15" hidden="false" customHeight="false" outlineLevel="0" collapsed="false">
      <c r="A6105" s="10" t="s">
        <v>8446</v>
      </c>
      <c r="B6105" s="10" t="s">
        <v>96</v>
      </c>
      <c r="C6105" s="10" t="s">
        <v>47</v>
      </c>
      <c r="D6105" s="10" t="s">
        <v>514</v>
      </c>
      <c r="E6105" s="10" t="s">
        <v>2342</v>
      </c>
      <c r="F6105" s="30" t="n">
        <v>42970</v>
      </c>
      <c r="G6105" s="30" t="n">
        <v>43072</v>
      </c>
      <c r="H6105" s="26" t="n">
        <f aca="false">G6105-F6105</f>
        <v>102</v>
      </c>
      <c r="I6105" s="10" t="n">
        <f aca="false">IF(E6105="Won",1,0)</f>
        <v>1</v>
      </c>
    </row>
    <row r="6106" customFormat="false" ht="15" hidden="false" customHeight="false" outlineLevel="0" collapsed="false">
      <c r="A6106" s="10" t="s">
        <v>8447</v>
      </c>
      <c r="B6106" s="10" t="s">
        <v>75</v>
      </c>
      <c r="C6106" s="10" t="s">
        <v>51</v>
      </c>
      <c r="D6106" s="10" t="s">
        <v>422</v>
      </c>
      <c r="E6106" s="10" t="s">
        <v>2342</v>
      </c>
      <c r="F6106" s="30" t="n">
        <v>42989</v>
      </c>
      <c r="G6106" s="30" t="n">
        <v>43072</v>
      </c>
      <c r="H6106" s="26" t="n">
        <f aca="false">G6106-F6106</f>
        <v>83</v>
      </c>
      <c r="I6106" s="10" t="n">
        <f aca="false">IF(E6106="Won",1,0)</f>
        <v>1</v>
      </c>
    </row>
    <row r="6107" customFormat="false" ht="15" hidden="false" customHeight="false" outlineLevel="0" collapsed="false">
      <c r="A6107" s="10" t="s">
        <v>8448</v>
      </c>
      <c r="B6107" s="10" t="s">
        <v>94</v>
      </c>
      <c r="C6107" s="10" t="s">
        <v>51</v>
      </c>
      <c r="D6107" s="10" t="s">
        <v>172</v>
      </c>
      <c r="E6107" s="10" t="s">
        <v>2345</v>
      </c>
      <c r="F6107" s="30" t="n">
        <v>43009</v>
      </c>
      <c r="G6107" s="30" t="n">
        <v>43072</v>
      </c>
      <c r="H6107" s="26" t="n">
        <f aca="false">G6107-F6107</f>
        <v>63</v>
      </c>
      <c r="I6107" s="10" t="n">
        <f aca="false">IF(E6107="Won",1,0)</f>
        <v>0</v>
      </c>
    </row>
    <row r="6108" customFormat="false" ht="15" hidden="false" customHeight="false" outlineLevel="0" collapsed="false">
      <c r="A6108" s="10" t="s">
        <v>8449</v>
      </c>
      <c r="B6108" s="10" t="s">
        <v>94</v>
      </c>
      <c r="C6108" s="10" t="s">
        <v>49</v>
      </c>
      <c r="D6108" s="10" t="s">
        <v>348</v>
      </c>
      <c r="E6108" s="10" t="s">
        <v>2345</v>
      </c>
      <c r="F6108" s="30" t="n">
        <v>43005</v>
      </c>
      <c r="G6108" s="30" t="n">
        <v>43072</v>
      </c>
      <c r="H6108" s="26" t="n">
        <f aca="false">G6108-F6108</f>
        <v>67</v>
      </c>
      <c r="I6108" s="10" t="n">
        <f aca="false">IF(E6108="Won",1,0)</f>
        <v>0</v>
      </c>
    </row>
    <row r="6109" customFormat="false" ht="15" hidden="false" customHeight="false" outlineLevel="0" collapsed="false">
      <c r="A6109" s="10" t="s">
        <v>8450</v>
      </c>
      <c r="B6109" s="10" t="s">
        <v>97</v>
      </c>
      <c r="C6109" s="10" t="s">
        <v>51</v>
      </c>
      <c r="D6109" s="10" t="s">
        <v>168</v>
      </c>
      <c r="E6109" s="10" t="s">
        <v>2342</v>
      </c>
      <c r="F6109" s="30" t="n">
        <v>42979</v>
      </c>
      <c r="G6109" s="30" t="n">
        <v>43072</v>
      </c>
      <c r="H6109" s="26" t="n">
        <f aca="false">G6109-F6109</f>
        <v>93</v>
      </c>
      <c r="I6109" s="10" t="n">
        <f aca="false">IF(E6109="Won",1,0)</f>
        <v>1</v>
      </c>
    </row>
    <row r="6110" customFormat="false" ht="15" hidden="false" customHeight="false" outlineLevel="0" collapsed="false">
      <c r="A6110" s="10" t="s">
        <v>8451</v>
      </c>
      <c r="B6110" s="10" t="s">
        <v>77</v>
      </c>
      <c r="C6110" s="10" t="s">
        <v>48</v>
      </c>
      <c r="D6110" s="10" t="s">
        <v>259</v>
      </c>
      <c r="E6110" s="10" t="s">
        <v>2342</v>
      </c>
      <c r="F6110" s="30" t="n">
        <v>42990</v>
      </c>
      <c r="G6110" s="30" t="n">
        <v>43072</v>
      </c>
      <c r="H6110" s="26" t="n">
        <f aca="false">G6110-F6110</f>
        <v>82</v>
      </c>
      <c r="I6110" s="10" t="n">
        <f aca="false">IF(E6110="Won",1,0)</f>
        <v>1</v>
      </c>
    </row>
    <row r="6111" customFormat="false" ht="15" hidden="false" customHeight="false" outlineLevel="0" collapsed="false">
      <c r="A6111" s="10" t="s">
        <v>8452</v>
      </c>
      <c r="B6111" s="10" t="s">
        <v>71</v>
      </c>
      <c r="C6111" s="10" t="s">
        <v>51</v>
      </c>
      <c r="D6111" s="10" t="s">
        <v>311</v>
      </c>
      <c r="E6111" s="10" t="s">
        <v>2342</v>
      </c>
      <c r="F6111" s="30" t="n">
        <v>42979</v>
      </c>
      <c r="G6111" s="30" t="n">
        <v>43072</v>
      </c>
      <c r="H6111" s="26" t="n">
        <f aca="false">G6111-F6111</f>
        <v>93</v>
      </c>
      <c r="I6111" s="10" t="n">
        <f aca="false">IF(E6111="Won",1,0)</f>
        <v>1</v>
      </c>
    </row>
    <row r="6112" customFormat="false" ht="15" hidden="false" customHeight="false" outlineLevel="0" collapsed="false">
      <c r="A6112" s="10" t="s">
        <v>8453</v>
      </c>
      <c r="B6112" s="10" t="s">
        <v>71</v>
      </c>
      <c r="C6112" s="10" t="s">
        <v>52</v>
      </c>
      <c r="D6112" s="10" t="s">
        <v>279</v>
      </c>
      <c r="E6112" s="10" t="s">
        <v>2342</v>
      </c>
      <c r="F6112" s="30" t="n">
        <v>42976</v>
      </c>
      <c r="G6112" s="30" t="n">
        <v>43072</v>
      </c>
      <c r="H6112" s="26" t="n">
        <f aca="false">G6112-F6112</f>
        <v>96</v>
      </c>
      <c r="I6112" s="10" t="n">
        <f aca="false">IF(E6112="Won",1,0)</f>
        <v>1</v>
      </c>
    </row>
    <row r="6113" customFormat="false" ht="15" hidden="false" customHeight="false" outlineLevel="0" collapsed="false">
      <c r="A6113" s="10" t="s">
        <v>8454</v>
      </c>
      <c r="B6113" s="10" t="s">
        <v>70</v>
      </c>
      <c r="C6113" s="10" t="s">
        <v>52</v>
      </c>
      <c r="D6113" s="10" t="s">
        <v>711</v>
      </c>
      <c r="E6113" s="10" t="s">
        <v>2345</v>
      </c>
      <c r="F6113" s="30" t="n">
        <v>42999</v>
      </c>
      <c r="G6113" s="30" t="n">
        <v>43072</v>
      </c>
      <c r="H6113" s="26" t="n">
        <f aca="false">G6113-F6113</f>
        <v>73</v>
      </c>
      <c r="I6113" s="10" t="n">
        <f aca="false">IF(E6113="Won",1,0)</f>
        <v>0</v>
      </c>
    </row>
    <row r="6114" customFormat="false" ht="15" hidden="false" customHeight="false" outlineLevel="0" collapsed="false">
      <c r="A6114" s="10" t="s">
        <v>8455</v>
      </c>
      <c r="B6114" s="10" t="s">
        <v>68</v>
      </c>
      <c r="C6114" s="10" t="s">
        <v>52</v>
      </c>
      <c r="D6114" s="10" t="s">
        <v>313</v>
      </c>
      <c r="E6114" s="10" t="s">
        <v>2342</v>
      </c>
      <c r="F6114" s="30" t="n">
        <v>43012</v>
      </c>
      <c r="G6114" s="30" t="n">
        <v>43072</v>
      </c>
      <c r="H6114" s="26" t="n">
        <f aca="false">G6114-F6114</f>
        <v>60</v>
      </c>
      <c r="I6114" s="10" t="n">
        <f aca="false">IF(E6114="Won",1,0)</f>
        <v>1</v>
      </c>
    </row>
    <row r="6115" customFormat="false" ht="15" hidden="false" customHeight="false" outlineLevel="0" collapsed="false">
      <c r="A6115" s="10" t="s">
        <v>8456</v>
      </c>
      <c r="B6115" s="10" t="s">
        <v>66</v>
      </c>
      <c r="C6115" s="10" t="s">
        <v>46</v>
      </c>
      <c r="D6115" s="10" t="s">
        <v>419</v>
      </c>
      <c r="E6115" s="10" t="s">
        <v>2342</v>
      </c>
      <c r="F6115" s="30" t="n">
        <v>43057</v>
      </c>
      <c r="G6115" s="30" t="n">
        <v>43073</v>
      </c>
      <c r="H6115" s="26" t="n">
        <f aca="false">G6115-F6115</f>
        <v>16</v>
      </c>
      <c r="I6115" s="10" t="n">
        <f aca="false">IF(E6115="Won",1,0)</f>
        <v>1</v>
      </c>
    </row>
    <row r="6116" customFormat="false" ht="15" hidden="false" customHeight="false" outlineLevel="0" collapsed="false">
      <c r="A6116" s="10" t="s">
        <v>8457</v>
      </c>
      <c r="B6116" s="10" t="s">
        <v>90</v>
      </c>
      <c r="C6116" s="10" t="s">
        <v>50</v>
      </c>
      <c r="D6116" s="10" t="s">
        <v>692</v>
      </c>
      <c r="E6116" s="10" t="s">
        <v>2345</v>
      </c>
      <c r="F6116" s="30" t="n">
        <v>42996</v>
      </c>
      <c r="G6116" s="30" t="n">
        <v>43073</v>
      </c>
      <c r="H6116" s="26" t="n">
        <f aca="false">G6116-F6116</f>
        <v>77</v>
      </c>
      <c r="I6116" s="10" t="n">
        <f aca="false">IF(E6116="Won",1,0)</f>
        <v>0</v>
      </c>
    </row>
    <row r="6117" customFormat="false" ht="15" hidden="false" customHeight="false" outlineLevel="0" collapsed="false">
      <c r="A6117" s="10" t="s">
        <v>8458</v>
      </c>
      <c r="B6117" s="10" t="s">
        <v>96</v>
      </c>
      <c r="C6117" s="10" t="s">
        <v>52</v>
      </c>
      <c r="D6117" s="10" t="s">
        <v>233</v>
      </c>
      <c r="E6117" s="10" t="s">
        <v>2342</v>
      </c>
      <c r="F6117" s="30" t="n">
        <v>42956</v>
      </c>
      <c r="G6117" s="30" t="n">
        <v>43073</v>
      </c>
      <c r="H6117" s="26" t="n">
        <f aca="false">G6117-F6117</f>
        <v>117</v>
      </c>
      <c r="I6117" s="10" t="n">
        <f aca="false">IF(E6117="Won",1,0)</f>
        <v>1</v>
      </c>
    </row>
    <row r="6118" customFormat="false" ht="15" hidden="false" customHeight="false" outlineLevel="0" collapsed="false">
      <c r="A6118" s="10" t="s">
        <v>8459</v>
      </c>
      <c r="B6118" s="10" t="s">
        <v>84</v>
      </c>
      <c r="C6118" s="10" t="s">
        <v>52</v>
      </c>
      <c r="D6118" s="10" t="s">
        <v>453</v>
      </c>
      <c r="E6118" s="10" t="s">
        <v>2345</v>
      </c>
      <c r="F6118" s="30" t="n">
        <v>43056</v>
      </c>
      <c r="G6118" s="30" t="n">
        <v>43073</v>
      </c>
      <c r="H6118" s="26" t="n">
        <f aca="false">G6118-F6118</f>
        <v>17</v>
      </c>
      <c r="I6118" s="10" t="n">
        <f aca="false">IF(E6118="Won",1,0)</f>
        <v>0</v>
      </c>
    </row>
    <row r="6119" customFormat="false" ht="15" hidden="false" customHeight="false" outlineLevel="0" collapsed="false">
      <c r="A6119" s="10" t="s">
        <v>8460</v>
      </c>
      <c r="B6119" s="10" t="s">
        <v>70</v>
      </c>
      <c r="C6119" s="10" t="s">
        <v>51</v>
      </c>
      <c r="D6119" s="10" t="s">
        <v>175</v>
      </c>
      <c r="E6119" s="10" t="s">
        <v>2342</v>
      </c>
      <c r="F6119" s="30" t="n">
        <v>42994</v>
      </c>
      <c r="G6119" s="30" t="n">
        <v>43073</v>
      </c>
      <c r="H6119" s="26" t="n">
        <f aca="false">G6119-F6119</f>
        <v>79</v>
      </c>
      <c r="I6119" s="10" t="n">
        <f aca="false">IF(E6119="Won",1,0)</f>
        <v>1</v>
      </c>
    </row>
    <row r="6120" customFormat="false" ht="15" hidden="false" customHeight="false" outlineLevel="0" collapsed="false">
      <c r="A6120" s="10" t="s">
        <v>8461</v>
      </c>
      <c r="B6120" s="10" t="s">
        <v>76</v>
      </c>
      <c r="C6120" s="10" t="s">
        <v>52</v>
      </c>
      <c r="D6120" s="10" t="s">
        <v>369</v>
      </c>
      <c r="E6120" s="10" t="s">
        <v>2342</v>
      </c>
      <c r="F6120" s="30" t="n">
        <v>42972</v>
      </c>
      <c r="G6120" s="30" t="n">
        <v>43073</v>
      </c>
      <c r="H6120" s="26" t="n">
        <f aca="false">G6120-F6120</f>
        <v>101</v>
      </c>
      <c r="I6120" s="10" t="n">
        <f aca="false">IF(E6120="Won",1,0)</f>
        <v>1</v>
      </c>
    </row>
    <row r="6121" customFormat="false" ht="15" hidden="false" customHeight="false" outlineLevel="0" collapsed="false">
      <c r="A6121" s="10" t="s">
        <v>8462</v>
      </c>
      <c r="B6121" s="10" t="s">
        <v>70</v>
      </c>
      <c r="C6121" s="10" t="s">
        <v>51</v>
      </c>
      <c r="D6121" s="10" t="s">
        <v>170</v>
      </c>
      <c r="E6121" s="10" t="s">
        <v>2342</v>
      </c>
      <c r="F6121" s="30" t="n">
        <v>42983</v>
      </c>
      <c r="G6121" s="30" t="n">
        <v>43073</v>
      </c>
      <c r="H6121" s="26" t="n">
        <f aca="false">G6121-F6121</f>
        <v>90</v>
      </c>
      <c r="I6121" s="10" t="n">
        <f aca="false">IF(E6121="Won",1,0)</f>
        <v>1</v>
      </c>
    </row>
    <row r="6122" customFormat="false" ht="15" hidden="false" customHeight="false" outlineLevel="0" collapsed="false">
      <c r="A6122" s="10" t="s">
        <v>8463</v>
      </c>
      <c r="B6122" s="10" t="s">
        <v>94</v>
      </c>
      <c r="C6122" s="10" t="s">
        <v>51</v>
      </c>
      <c r="D6122" s="10" t="s">
        <v>437</v>
      </c>
      <c r="E6122" s="10" t="s">
        <v>2342</v>
      </c>
      <c r="F6122" s="30" t="n">
        <v>42973</v>
      </c>
      <c r="G6122" s="30" t="n">
        <v>43073</v>
      </c>
      <c r="H6122" s="26" t="n">
        <f aca="false">G6122-F6122</f>
        <v>100</v>
      </c>
      <c r="I6122" s="10" t="n">
        <f aca="false">IF(E6122="Won",1,0)</f>
        <v>1</v>
      </c>
    </row>
    <row r="6123" customFormat="false" ht="15" hidden="false" customHeight="false" outlineLevel="0" collapsed="false">
      <c r="A6123" s="10" t="s">
        <v>8464</v>
      </c>
      <c r="B6123" s="10" t="s">
        <v>97</v>
      </c>
      <c r="C6123" s="10" t="s">
        <v>51</v>
      </c>
      <c r="D6123" s="10" t="s">
        <v>437</v>
      </c>
      <c r="E6123" s="10" t="s">
        <v>2342</v>
      </c>
      <c r="F6123" s="30" t="n">
        <v>42980</v>
      </c>
      <c r="G6123" s="30" t="n">
        <v>43073</v>
      </c>
      <c r="H6123" s="26" t="n">
        <f aca="false">G6123-F6123</f>
        <v>93</v>
      </c>
      <c r="I6123" s="10" t="n">
        <f aca="false">IF(E6123="Won",1,0)</f>
        <v>1</v>
      </c>
    </row>
    <row r="6124" customFormat="false" ht="15" hidden="false" customHeight="false" outlineLevel="0" collapsed="false">
      <c r="A6124" s="10" t="s">
        <v>8465</v>
      </c>
      <c r="B6124" s="10" t="s">
        <v>94</v>
      </c>
      <c r="C6124" s="10" t="s">
        <v>51</v>
      </c>
      <c r="D6124" s="10" t="s">
        <v>286</v>
      </c>
      <c r="E6124" s="10" t="s">
        <v>2342</v>
      </c>
      <c r="F6124" s="30" t="n">
        <v>43057</v>
      </c>
      <c r="G6124" s="30" t="n">
        <v>43073</v>
      </c>
      <c r="H6124" s="26" t="n">
        <f aca="false">G6124-F6124</f>
        <v>16</v>
      </c>
      <c r="I6124" s="10" t="n">
        <f aca="false">IF(E6124="Won",1,0)</f>
        <v>1</v>
      </c>
    </row>
    <row r="6125" customFormat="false" ht="15" hidden="false" customHeight="false" outlineLevel="0" collapsed="false">
      <c r="A6125" s="10" t="s">
        <v>8466</v>
      </c>
      <c r="B6125" s="10" t="s">
        <v>97</v>
      </c>
      <c r="C6125" s="10" t="s">
        <v>51</v>
      </c>
      <c r="D6125" s="10" t="s">
        <v>313</v>
      </c>
      <c r="E6125" s="10" t="s">
        <v>2342</v>
      </c>
      <c r="F6125" s="30" t="n">
        <v>43067</v>
      </c>
      <c r="G6125" s="30" t="n">
        <v>43073</v>
      </c>
      <c r="H6125" s="26" t="n">
        <f aca="false">G6125-F6125</f>
        <v>6</v>
      </c>
      <c r="I6125" s="10" t="n">
        <f aca="false">IF(E6125="Won",1,0)</f>
        <v>1</v>
      </c>
    </row>
    <row r="6126" customFormat="false" ht="15" hidden="false" customHeight="false" outlineLevel="0" collapsed="false">
      <c r="A6126" s="10" t="s">
        <v>8467</v>
      </c>
      <c r="B6126" s="10" t="s">
        <v>77</v>
      </c>
      <c r="C6126" s="10" t="s">
        <v>50</v>
      </c>
      <c r="D6126" s="10" t="s">
        <v>210</v>
      </c>
      <c r="E6126" s="10" t="s">
        <v>2342</v>
      </c>
      <c r="F6126" s="30" t="n">
        <v>42946</v>
      </c>
      <c r="G6126" s="30" t="n">
        <v>43073</v>
      </c>
      <c r="H6126" s="26" t="n">
        <f aca="false">G6126-F6126</f>
        <v>127</v>
      </c>
      <c r="I6126" s="10" t="n">
        <f aca="false">IF(E6126="Won",1,0)</f>
        <v>1</v>
      </c>
    </row>
    <row r="6127" customFormat="false" ht="15" hidden="false" customHeight="false" outlineLevel="0" collapsed="false">
      <c r="A6127" s="10" t="s">
        <v>8468</v>
      </c>
      <c r="B6127" s="10" t="s">
        <v>60</v>
      </c>
      <c r="C6127" s="10" t="s">
        <v>50</v>
      </c>
      <c r="D6127" s="10" t="s">
        <v>405</v>
      </c>
      <c r="E6127" s="10" t="s">
        <v>2345</v>
      </c>
      <c r="F6127" s="30" t="n">
        <v>42984</v>
      </c>
      <c r="G6127" s="30" t="n">
        <v>43073</v>
      </c>
      <c r="H6127" s="26" t="n">
        <f aca="false">G6127-F6127</f>
        <v>89</v>
      </c>
      <c r="I6127" s="10" t="n">
        <f aca="false">IF(E6127="Won",1,0)</f>
        <v>0</v>
      </c>
    </row>
    <row r="6128" customFormat="false" ht="15" hidden="false" customHeight="false" outlineLevel="0" collapsed="false">
      <c r="A6128" s="10" t="s">
        <v>8469</v>
      </c>
      <c r="B6128" s="10" t="s">
        <v>71</v>
      </c>
      <c r="C6128" s="10" t="s">
        <v>51</v>
      </c>
      <c r="D6128" s="10" t="s">
        <v>267</v>
      </c>
      <c r="E6128" s="10" t="s">
        <v>2345</v>
      </c>
      <c r="F6128" s="30" t="n">
        <v>43008</v>
      </c>
      <c r="G6128" s="30" t="n">
        <v>43073</v>
      </c>
      <c r="H6128" s="26" t="n">
        <f aca="false">G6128-F6128</f>
        <v>65</v>
      </c>
      <c r="I6128" s="10" t="n">
        <f aca="false">IF(E6128="Won",1,0)</f>
        <v>0</v>
      </c>
    </row>
    <row r="6129" customFormat="false" ht="15" hidden="false" customHeight="false" outlineLevel="0" collapsed="false">
      <c r="A6129" s="10" t="s">
        <v>8470</v>
      </c>
      <c r="B6129" s="10" t="s">
        <v>77</v>
      </c>
      <c r="C6129" s="10" t="s">
        <v>48</v>
      </c>
      <c r="D6129" s="10" t="s">
        <v>527</v>
      </c>
      <c r="E6129" s="10" t="s">
        <v>2342</v>
      </c>
      <c r="F6129" s="30" t="n">
        <v>42979</v>
      </c>
      <c r="G6129" s="30" t="n">
        <v>43073</v>
      </c>
      <c r="H6129" s="26" t="n">
        <f aca="false">G6129-F6129</f>
        <v>94</v>
      </c>
      <c r="I6129" s="10" t="n">
        <f aca="false">IF(E6129="Won",1,0)</f>
        <v>1</v>
      </c>
    </row>
    <row r="6130" customFormat="false" ht="15" hidden="false" customHeight="false" outlineLevel="0" collapsed="false">
      <c r="A6130" s="10" t="s">
        <v>8471</v>
      </c>
      <c r="B6130" s="10" t="s">
        <v>80</v>
      </c>
      <c r="C6130" s="10" t="s">
        <v>52</v>
      </c>
      <c r="D6130" s="10" t="s">
        <v>193</v>
      </c>
      <c r="E6130" s="10" t="s">
        <v>2342</v>
      </c>
      <c r="F6130" s="30" t="n">
        <v>43050</v>
      </c>
      <c r="G6130" s="30" t="n">
        <v>43073</v>
      </c>
      <c r="H6130" s="26" t="n">
        <f aca="false">G6130-F6130</f>
        <v>23</v>
      </c>
      <c r="I6130" s="10" t="n">
        <f aca="false">IF(E6130="Won",1,0)</f>
        <v>1</v>
      </c>
    </row>
    <row r="6131" customFormat="false" ht="15" hidden="false" customHeight="false" outlineLevel="0" collapsed="false">
      <c r="A6131" s="10" t="s">
        <v>8472</v>
      </c>
      <c r="B6131" s="10" t="s">
        <v>69</v>
      </c>
      <c r="C6131" s="10" t="s">
        <v>49</v>
      </c>
      <c r="D6131" s="10" t="s">
        <v>522</v>
      </c>
      <c r="E6131" s="10" t="s">
        <v>2342</v>
      </c>
      <c r="F6131" s="30" t="n">
        <v>43006</v>
      </c>
      <c r="G6131" s="30" t="n">
        <v>43073</v>
      </c>
      <c r="H6131" s="26" t="n">
        <f aca="false">G6131-F6131</f>
        <v>67</v>
      </c>
      <c r="I6131" s="10" t="n">
        <f aca="false">IF(E6131="Won",1,0)</f>
        <v>1</v>
      </c>
    </row>
    <row r="6132" customFormat="false" ht="15" hidden="false" customHeight="false" outlineLevel="0" collapsed="false">
      <c r="A6132" s="10" t="s">
        <v>8473</v>
      </c>
      <c r="B6132" s="10" t="s">
        <v>94</v>
      </c>
      <c r="C6132" s="10" t="s">
        <v>50</v>
      </c>
      <c r="D6132" s="10" t="s">
        <v>522</v>
      </c>
      <c r="E6132" s="10" t="s">
        <v>2342</v>
      </c>
      <c r="F6132" s="30" t="n">
        <v>43047</v>
      </c>
      <c r="G6132" s="30" t="n">
        <v>43073</v>
      </c>
      <c r="H6132" s="26" t="n">
        <f aca="false">G6132-F6132</f>
        <v>26</v>
      </c>
      <c r="I6132" s="10" t="n">
        <f aca="false">IF(E6132="Won",1,0)</f>
        <v>1</v>
      </c>
    </row>
    <row r="6133" customFormat="false" ht="15" hidden="false" customHeight="false" outlineLevel="0" collapsed="false">
      <c r="A6133" s="10" t="s">
        <v>8474</v>
      </c>
      <c r="B6133" s="10" t="s">
        <v>79</v>
      </c>
      <c r="C6133" s="10" t="s">
        <v>52</v>
      </c>
      <c r="D6133" s="10" t="s">
        <v>1251</v>
      </c>
      <c r="E6133" s="10" t="s">
        <v>2342</v>
      </c>
      <c r="F6133" s="30" t="n">
        <v>42980</v>
      </c>
      <c r="G6133" s="30" t="n">
        <v>43073</v>
      </c>
      <c r="H6133" s="26" t="n">
        <f aca="false">G6133-F6133</f>
        <v>93</v>
      </c>
      <c r="I6133" s="10" t="n">
        <f aca="false">IF(E6133="Won",1,0)</f>
        <v>1</v>
      </c>
    </row>
    <row r="6134" customFormat="false" ht="15" hidden="false" customHeight="false" outlineLevel="0" collapsed="false">
      <c r="A6134" s="10" t="s">
        <v>8475</v>
      </c>
      <c r="B6134" s="10" t="s">
        <v>86</v>
      </c>
      <c r="C6134" s="10" t="s">
        <v>49</v>
      </c>
      <c r="D6134" s="10" t="s">
        <v>674</v>
      </c>
      <c r="E6134" s="10" t="s">
        <v>2342</v>
      </c>
      <c r="F6134" s="30" t="n">
        <v>42972</v>
      </c>
      <c r="G6134" s="30" t="n">
        <v>43073</v>
      </c>
      <c r="H6134" s="26" t="n">
        <f aca="false">G6134-F6134</f>
        <v>101</v>
      </c>
      <c r="I6134" s="10" t="n">
        <f aca="false">IF(E6134="Won",1,0)</f>
        <v>1</v>
      </c>
    </row>
    <row r="6135" customFormat="false" ht="15" hidden="false" customHeight="false" outlineLevel="0" collapsed="false">
      <c r="A6135" s="10" t="s">
        <v>8476</v>
      </c>
      <c r="B6135" s="10" t="s">
        <v>96</v>
      </c>
      <c r="C6135" s="10" t="s">
        <v>49</v>
      </c>
      <c r="D6135" s="10" t="s">
        <v>170</v>
      </c>
      <c r="E6135" s="10" t="s">
        <v>2345</v>
      </c>
      <c r="F6135" s="30" t="n">
        <v>43058</v>
      </c>
      <c r="G6135" s="30" t="n">
        <v>43073</v>
      </c>
      <c r="H6135" s="26" t="n">
        <f aca="false">G6135-F6135</f>
        <v>15</v>
      </c>
      <c r="I6135" s="10" t="n">
        <f aca="false">IF(E6135="Won",1,0)</f>
        <v>0</v>
      </c>
    </row>
    <row r="6136" customFormat="false" ht="15" hidden="false" customHeight="false" outlineLevel="0" collapsed="false">
      <c r="A6136" s="10" t="s">
        <v>8477</v>
      </c>
      <c r="B6136" s="10" t="s">
        <v>73</v>
      </c>
      <c r="C6136" s="10" t="s">
        <v>47</v>
      </c>
      <c r="D6136" s="10" t="s">
        <v>279</v>
      </c>
      <c r="E6136" s="10" t="s">
        <v>2342</v>
      </c>
      <c r="F6136" s="30" t="n">
        <v>42989</v>
      </c>
      <c r="G6136" s="30" t="n">
        <v>43073</v>
      </c>
      <c r="H6136" s="26" t="n">
        <f aca="false">G6136-F6136</f>
        <v>84</v>
      </c>
      <c r="I6136" s="10" t="n">
        <f aca="false">IF(E6136="Won",1,0)</f>
        <v>1</v>
      </c>
    </row>
    <row r="6137" customFormat="false" ht="15" hidden="false" customHeight="false" outlineLevel="0" collapsed="false">
      <c r="A6137" s="10" t="s">
        <v>8478</v>
      </c>
      <c r="B6137" s="10" t="s">
        <v>80</v>
      </c>
      <c r="C6137" s="10" t="s">
        <v>51</v>
      </c>
      <c r="D6137" s="10" t="s">
        <v>483</v>
      </c>
      <c r="E6137" s="10" t="s">
        <v>2345</v>
      </c>
      <c r="F6137" s="30" t="n">
        <v>42988</v>
      </c>
      <c r="G6137" s="30" t="n">
        <v>43073</v>
      </c>
      <c r="H6137" s="26" t="n">
        <f aca="false">G6137-F6137</f>
        <v>85</v>
      </c>
      <c r="I6137" s="10" t="n">
        <f aca="false">IF(E6137="Won",1,0)</f>
        <v>0</v>
      </c>
    </row>
    <row r="6138" customFormat="false" ht="15" hidden="false" customHeight="false" outlineLevel="0" collapsed="false">
      <c r="A6138" s="10" t="s">
        <v>8479</v>
      </c>
      <c r="B6138" s="10" t="s">
        <v>77</v>
      </c>
      <c r="C6138" s="10" t="s">
        <v>48</v>
      </c>
      <c r="D6138" s="10" t="s">
        <v>961</v>
      </c>
      <c r="E6138" s="10" t="s">
        <v>2342</v>
      </c>
      <c r="F6138" s="30" t="n">
        <v>43063</v>
      </c>
      <c r="G6138" s="30" t="n">
        <v>43073</v>
      </c>
      <c r="H6138" s="26" t="n">
        <f aca="false">G6138-F6138</f>
        <v>10</v>
      </c>
      <c r="I6138" s="10" t="n">
        <f aca="false">IF(E6138="Won",1,0)</f>
        <v>1</v>
      </c>
    </row>
    <row r="6139" customFormat="false" ht="15" hidden="false" customHeight="false" outlineLevel="0" collapsed="false">
      <c r="A6139" s="10" t="s">
        <v>8480</v>
      </c>
      <c r="B6139" s="10" t="s">
        <v>88</v>
      </c>
      <c r="C6139" s="10" t="s">
        <v>51</v>
      </c>
      <c r="D6139" s="10" t="s">
        <v>441</v>
      </c>
      <c r="E6139" s="10" t="s">
        <v>2342</v>
      </c>
      <c r="F6139" s="30" t="n">
        <v>42952</v>
      </c>
      <c r="G6139" s="30" t="n">
        <v>43073</v>
      </c>
      <c r="H6139" s="26" t="n">
        <f aca="false">G6139-F6139</f>
        <v>121</v>
      </c>
      <c r="I6139" s="10" t="n">
        <f aca="false">IF(E6139="Won",1,0)</f>
        <v>1</v>
      </c>
    </row>
    <row r="6140" customFormat="false" ht="15" hidden="false" customHeight="false" outlineLevel="0" collapsed="false">
      <c r="A6140" s="10" t="s">
        <v>8481</v>
      </c>
      <c r="B6140" s="10" t="s">
        <v>83</v>
      </c>
      <c r="C6140" s="10" t="s">
        <v>49</v>
      </c>
      <c r="D6140" s="10" t="s">
        <v>210</v>
      </c>
      <c r="E6140" s="10" t="s">
        <v>2342</v>
      </c>
      <c r="F6140" s="30" t="n">
        <v>42997</v>
      </c>
      <c r="G6140" s="30" t="n">
        <v>43073</v>
      </c>
      <c r="H6140" s="26" t="n">
        <f aca="false">G6140-F6140</f>
        <v>76</v>
      </c>
      <c r="I6140" s="10" t="n">
        <f aca="false">IF(E6140="Won",1,0)</f>
        <v>1</v>
      </c>
    </row>
    <row r="6141" customFormat="false" ht="15" hidden="false" customHeight="false" outlineLevel="0" collapsed="false">
      <c r="A6141" s="10" t="s">
        <v>8482</v>
      </c>
      <c r="B6141" s="10" t="s">
        <v>87</v>
      </c>
      <c r="C6141" s="10" t="s">
        <v>48</v>
      </c>
      <c r="D6141" s="10" t="s">
        <v>692</v>
      </c>
      <c r="E6141" s="10" t="s">
        <v>2342</v>
      </c>
      <c r="F6141" s="30" t="n">
        <v>43002</v>
      </c>
      <c r="G6141" s="30" t="n">
        <v>43073</v>
      </c>
      <c r="H6141" s="26" t="n">
        <f aca="false">G6141-F6141</f>
        <v>71</v>
      </c>
      <c r="I6141" s="10" t="n">
        <f aca="false">IF(E6141="Won",1,0)</f>
        <v>1</v>
      </c>
    </row>
    <row r="6142" customFormat="false" ht="15" hidden="false" customHeight="false" outlineLevel="0" collapsed="false">
      <c r="A6142" s="10" t="s">
        <v>8483</v>
      </c>
      <c r="B6142" s="10" t="s">
        <v>95</v>
      </c>
      <c r="C6142" s="10" t="s">
        <v>51</v>
      </c>
      <c r="D6142" s="10" t="s">
        <v>233</v>
      </c>
      <c r="E6142" s="10" t="s">
        <v>2342</v>
      </c>
      <c r="F6142" s="30" t="n">
        <v>43059</v>
      </c>
      <c r="G6142" s="30" t="n">
        <v>43073</v>
      </c>
      <c r="H6142" s="26" t="n">
        <f aca="false">G6142-F6142</f>
        <v>14</v>
      </c>
      <c r="I6142" s="10" t="n">
        <f aca="false">IF(E6142="Won",1,0)</f>
        <v>1</v>
      </c>
    </row>
    <row r="6143" customFormat="false" ht="15" hidden="false" customHeight="false" outlineLevel="0" collapsed="false">
      <c r="A6143" s="10" t="s">
        <v>8484</v>
      </c>
      <c r="B6143" s="10" t="s">
        <v>77</v>
      </c>
      <c r="C6143" s="10" t="s">
        <v>48</v>
      </c>
      <c r="D6143" s="10" t="s">
        <v>321</v>
      </c>
      <c r="E6143" s="10" t="s">
        <v>2342</v>
      </c>
      <c r="F6143" s="30" t="n">
        <v>42987</v>
      </c>
      <c r="G6143" s="30" t="n">
        <v>43074</v>
      </c>
      <c r="H6143" s="26" t="n">
        <f aca="false">G6143-F6143</f>
        <v>87</v>
      </c>
      <c r="I6143" s="10" t="n">
        <f aca="false">IF(E6143="Won",1,0)</f>
        <v>1</v>
      </c>
    </row>
    <row r="6144" customFormat="false" ht="15" hidden="false" customHeight="false" outlineLevel="0" collapsed="false">
      <c r="A6144" s="10" t="s">
        <v>8485</v>
      </c>
      <c r="B6144" s="10" t="s">
        <v>83</v>
      </c>
      <c r="C6144" s="10" t="s">
        <v>51</v>
      </c>
      <c r="D6144" s="10" t="s">
        <v>1251</v>
      </c>
      <c r="E6144" s="10" t="s">
        <v>2345</v>
      </c>
      <c r="F6144" s="30" t="n">
        <v>43067</v>
      </c>
      <c r="G6144" s="30" t="n">
        <v>43074</v>
      </c>
      <c r="H6144" s="26" t="n">
        <f aca="false">G6144-F6144</f>
        <v>7</v>
      </c>
      <c r="I6144" s="10" t="n">
        <f aca="false">IF(E6144="Won",1,0)</f>
        <v>0</v>
      </c>
    </row>
    <row r="6145" customFormat="false" ht="15" hidden="false" customHeight="false" outlineLevel="0" collapsed="false">
      <c r="A6145" s="10" t="s">
        <v>8486</v>
      </c>
      <c r="B6145" s="10" t="s">
        <v>80</v>
      </c>
      <c r="C6145" s="10" t="s">
        <v>50</v>
      </c>
      <c r="D6145" s="10" t="s">
        <v>660</v>
      </c>
      <c r="E6145" s="10" t="s">
        <v>2345</v>
      </c>
      <c r="F6145" s="30" t="n">
        <v>42996</v>
      </c>
      <c r="G6145" s="30" t="n">
        <v>43074</v>
      </c>
      <c r="H6145" s="26" t="n">
        <f aca="false">G6145-F6145</f>
        <v>78</v>
      </c>
      <c r="I6145" s="10" t="n">
        <f aca="false">IF(E6145="Won",1,0)</f>
        <v>0</v>
      </c>
    </row>
    <row r="6146" customFormat="false" ht="15" hidden="false" customHeight="false" outlineLevel="0" collapsed="false">
      <c r="A6146" s="10" t="s">
        <v>8487</v>
      </c>
      <c r="B6146" s="10" t="s">
        <v>95</v>
      </c>
      <c r="C6146" s="10" t="s">
        <v>51</v>
      </c>
      <c r="D6146" s="10" t="s">
        <v>348</v>
      </c>
      <c r="E6146" s="10" t="s">
        <v>2342</v>
      </c>
      <c r="F6146" s="30" t="n">
        <v>42988</v>
      </c>
      <c r="G6146" s="30" t="n">
        <v>43074</v>
      </c>
      <c r="H6146" s="26" t="n">
        <f aca="false">G6146-F6146</f>
        <v>86</v>
      </c>
      <c r="I6146" s="10" t="n">
        <f aca="false">IF(E6146="Won",1,0)</f>
        <v>1</v>
      </c>
    </row>
    <row r="6147" customFormat="false" ht="15" hidden="false" customHeight="false" outlineLevel="0" collapsed="false">
      <c r="A6147" s="10" t="s">
        <v>8488</v>
      </c>
      <c r="B6147" s="10" t="s">
        <v>79</v>
      </c>
      <c r="C6147" s="10" t="s">
        <v>47</v>
      </c>
      <c r="D6147" s="10" t="s">
        <v>210</v>
      </c>
      <c r="E6147" s="10" t="s">
        <v>2342</v>
      </c>
      <c r="F6147" s="30" t="n">
        <v>42999</v>
      </c>
      <c r="G6147" s="30" t="n">
        <v>43074</v>
      </c>
      <c r="H6147" s="26" t="n">
        <f aca="false">G6147-F6147</f>
        <v>75</v>
      </c>
      <c r="I6147" s="10" t="n">
        <f aca="false">IF(E6147="Won",1,0)</f>
        <v>1</v>
      </c>
    </row>
    <row r="6148" customFormat="false" ht="15" hidden="false" customHeight="false" outlineLevel="0" collapsed="false">
      <c r="A6148" s="10" t="s">
        <v>8489</v>
      </c>
      <c r="B6148" s="10" t="s">
        <v>93</v>
      </c>
      <c r="C6148" s="10" t="s">
        <v>47</v>
      </c>
      <c r="D6148" s="10" t="s">
        <v>487</v>
      </c>
      <c r="E6148" s="10" t="s">
        <v>2342</v>
      </c>
      <c r="F6148" s="30" t="n">
        <v>43012</v>
      </c>
      <c r="G6148" s="30" t="n">
        <v>43074</v>
      </c>
      <c r="H6148" s="26" t="n">
        <f aca="false">G6148-F6148</f>
        <v>62</v>
      </c>
      <c r="I6148" s="10" t="n">
        <f aca="false">IF(E6148="Won",1,0)</f>
        <v>1</v>
      </c>
    </row>
    <row r="6149" customFormat="false" ht="15" hidden="false" customHeight="false" outlineLevel="0" collapsed="false">
      <c r="A6149" s="10" t="s">
        <v>8490</v>
      </c>
      <c r="B6149" s="10" t="s">
        <v>84</v>
      </c>
      <c r="C6149" s="10" t="s">
        <v>51</v>
      </c>
      <c r="D6149" s="10" t="s">
        <v>464</v>
      </c>
      <c r="E6149" s="10" t="s">
        <v>2342</v>
      </c>
      <c r="F6149" s="30" t="n">
        <v>43008</v>
      </c>
      <c r="G6149" s="30" t="n">
        <v>43074</v>
      </c>
      <c r="H6149" s="26" t="n">
        <f aca="false">G6149-F6149</f>
        <v>66</v>
      </c>
      <c r="I6149" s="10" t="n">
        <f aca="false">IF(E6149="Won",1,0)</f>
        <v>1</v>
      </c>
    </row>
    <row r="6150" customFormat="false" ht="15" hidden="false" customHeight="false" outlineLevel="0" collapsed="false">
      <c r="A6150" s="10" t="s">
        <v>8491</v>
      </c>
      <c r="B6150" s="10" t="s">
        <v>60</v>
      </c>
      <c r="C6150" s="10" t="s">
        <v>49</v>
      </c>
      <c r="D6150" s="10" t="s">
        <v>286</v>
      </c>
      <c r="E6150" s="10" t="s">
        <v>2342</v>
      </c>
      <c r="F6150" s="30" t="n">
        <v>42990</v>
      </c>
      <c r="G6150" s="30" t="n">
        <v>43074</v>
      </c>
      <c r="H6150" s="26" t="n">
        <f aca="false">G6150-F6150</f>
        <v>84</v>
      </c>
      <c r="I6150" s="10" t="n">
        <f aca="false">IF(E6150="Won",1,0)</f>
        <v>1</v>
      </c>
    </row>
    <row r="6151" customFormat="false" ht="15" hidden="false" customHeight="false" outlineLevel="0" collapsed="false">
      <c r="A6151" s="10" t="s">
        <v>8492</v>
      </c>
      <c r="B6151" s="10" t="s">
        <v>57</v>
      </c>
      <c r="C6151" s="10" t="s">
        <v>48</v>
      </c>
      <c r="D6151" s="10" t="s">
        <v>1397</v>
      </c>
      <c r="E6151" s="10" t="s">
        <v>2342</v>
      </c>
      <c r="F6151" s="30" t="n">
        <v>42954</v>
      </c>
      <c r="G6151" s="30" t="n">
        <v>43074</v>
      </c>
      <c r="H6151" s="26" t="n">
        <f aca="false">G6151-F6151</f>
        <v>120</v>
      </c>
      <c r="I6151" s="10" t="n">
        <f aca="false">IF(E6151="Won",1,0)</f>
        <v>1</v>
      </c>
    </row>
    <row r="6152" customFormat="false" ht="15" hidden="false" customHeight="false" outlineLevel="0" collapsed="false">
      <c r="A6152" s="10" t="s">
        <v>8493</v>
      </c>
      <c r="B6152" s="10" t="s">
        <v>62</v>
      </c>
      <c r="C6152" s="10" t="s">
        <v>52</v>
      </c>
      <c r="D6152" s="10" t="s">
        <v>233</v>
      </c>
      <c r="E6152" s="10" t="s">
        <v>2342</v>
      </c>
      <c r="F6152" s="30" t="n">
        <v>43061</v>
      </c>
      <c r="G6152" s="30" t="n">
        <v>43074</v>
      </c>
      <c r="H6152" s="26" t="n">
        <f aca="false">G6152-F6152</f>
        <v>13</v>
      </c>
      <c r="I6152" s="10" t="n">
        <f aca="false">IF(E6152="Won",1,0)</f>
        <v>1</v>
      </c>
    </row>
    <row r="6153" customFormat="false" ht="15" hidden="false" customHeight="false" outlineLevel="0" collapsed="false">
      <c r="A6153" s="10" t="s">
        <v>8494</v>
      </c>
      <c r="B6153" s="10" t="s">
        <v>86</v>
      </c>
      <c r="C6153" s="10" t="s">
        <v>49</v>
      </c>
      <c r="D6153" s="10" t="s">
        <v>674</v>
      </c>
      <c r="E6153" s="10" t="s">
        <v>2345</v>
      </c>
      <c r="F6153" s="30" t="n">
        <v>42969</v>
      </c>
      <c r="G6153" s="30" t="n">
        <v>43074</v>
      </c>
      <c r="H6153" s="26" t="n">
        <f aca="false">G6153-F6153</f>
        <v>105</v>
      </c>
      <c r="I6153" s="10" t="n">
        <f aca="false">IF(E6153="Won",1,0)</f>
        <v>0</v>
      </c>
    </row>
    <row r="6154" customFormat="false" ht="15" hidden="false" customHeight="false" outlineLevel="0" collapsed="false">
      <c r="A6154" s="10" t="s">
        <v>8495</v>
      </c>
      <c r="B6154" s="10" t="s">
        <v>96</v>
      </c>
      <c r="C6154" s="10" t="s">
        <v>51</v>
      </c>
      <c r="D6154" s="10" t="s">
        <v>210</v>
      </c>
      <c r="E6154" s="10" t="s">
        <v>2342</v>
      </c>
      <c r="F6154" s="30" t="n">
        <v>43015</v>
      </c>
      <c r="G6154" s="30" t="n">
        <v>43074</v>
      </c>
      <c r="H6154" s="26" t="n">
        <f aca="false">G6154-F6154</f>
        <v>59</v>
      </c>
      <c r="I6154" s="10" t="n">
        <f aca="false">IF(E6154="Won",1,0)</f>
        <v>1</v>
      </c>
    </row>
    <row r="6155" customFormat="false" ht="15" hidden="false" customHeight="false" outlineLevel="0" collapsed="false">
      <c r="A6155" s="10" t="s">
        <v>8496</v>
      </c>
      <c r="B6155" s="10" t="s">
        <v>86</v>
      </c>
      <c r="C6155" s="10" t="s">
        <v>51</v>
      </c>
      <c r="D6155" s="10" t="s">
        <v>637</v>
      </c>
      <c r="E6155" s="10" t="s">
        <v>2345</v>
      </c>
      <c r="F6155" s="30" t="n">
        <v>42956</v>
      </c>
      <c r="G6155" s="30" t="n">
        <v>43074</v>
      </c>
      <c r="H6155" s="26" t="n">
        <f aca="false">G6155-F6155</f>
        <v>118</v>
      </c>
      <c r="I6155" s="10" t="n">
        <f aca="false">IF(E6155="Won",1,0)</f>
        <v>0</v>
      </c>
    </row>
    <row r="6156" customFormat="false" ht="15" hidden="false" customHeight="false" outlineLevel="0" collapsed="false">
      <c r="A6156" s="10" t="s">
        <v>8497</v>
      </c>
      <c r="B6156" s="10" t="s">
        <v>70</v>
      </c>
      <c r="C6156" s="10" t="s">
        <v>47</v>
      </c>
      <c r="D6156" s="10" t="s">
        <v>233</v>
      </c>
      <c r="E6156" s="10" t="s">
        <v>2345</v>
      </c>
      <c r="F6156" s="30" t="n">
        <v>43064</v>
      </c>
      <c r="G6156" s="30" t="n">
        <v>43074</v>
      </c>
      <c r="H6156" s="26" t="n">
        <f aca="false">G6156-F6156</f>
        <v>10</v>
      </c>
      <c r="I6156" s="10" t="n">
        <f aca="false">IF(E6156="Won",1,0)</f>
        <v>0</v>
      </c>
    </row>
    <row r="6157" customFormat="false" ht="15" hidden="false" customHeight="false" outlineLevel="0" collapsed="false">
      <c r="A6157" s="10" t="s">
        <v>8498</v>
      </c>
      <c r="B6157" s="10" t="s">
        <v>94</v>
      </c>
      <c r="C6157" s="10" t="s">
        <v>50</v>
      </c>
      <c r="D6157" s="10" t="s">
        <v>168</v>
      </c>
      <c r="E6157" s="10" t="s">
        <v>2342</v>
      </c>
      <c r="F6157" s="30" t="n">
        <v>43063</v>
      </c>
      <c r="G6157" s="30" t="n">
        <v>43074</v>
      </c>
      <c r="H6157" s="26" t="n">
        <f aca="false">G6157-F6157</f>
        <v>11</v>
      </c>
      <c r="I6157" s="10" t="n">
        <f aca="false">IF(E6157="Won",1,0)</f>
        <v>1</v>
      </c>
    </row>
    <row r="6158" customFormat="false" ht="15" hidden="false" customHeight="false" outlineLevel="0" collapsed="false">
      <c r="A6158" s="10" t="s">
        <v>8499</v>
      </c>
      <c r="B6158" s="10" t="s">
        <v>62</v>
      </c>
      <c r="C6158" s="10" t="s">
        <v>49</v>
      </c>
      <c r="D6158" s="10" t="s">
        <v>1397</v>
      </c>
      <c r="E6158" s="10" t="s">
        <v>2342</v>
      </c>
      <c r="F6158" s="30" t="n">
        <v>43063</v>
      </c>
      <c r="G6158" s="30" t="n">
        <v>43074</v>
      </c>
      <c r="H6158" s="26" t="n">
        <f aca="false">G6158-F6158</f>
        <v>11</v>
      </c>
      <c r="I6158" s="10" t="n">
        <f aca="false">IF(E6158="Won",1,0)</f>
        <v>1</v>
      </c>
    </row>
    <row r="6159" customFormat="false" ht="15" hidden="false" customHeight="false" outlineLevel="0" collapsed="false">
      <c r="A6159" s="10" t="s">
        <v>8500</v>
      </c>
      <c r="B6159" s="10" t="s">
        <v>96</v>
      </c>
      <c r="C6159" s="10" t="s">
        <v>47</v>
      </c>
      <c r="D6159" s="10" t="s">
        <v>506</v>
      </c>
      <c r="E6159" s="10" t="s">
        <v>2345</v>
      </c>
      <c r="F6159" s="30" t="n">
        <v>43057</v>
      </c>
      <c r="G6159" s="30" t="n">
        <v>43074</v>
      </c>
      <c r="H6159" s="26" t="n">
        <f aca="false">G6159-F6159</f>
        <v>17</v>
      </c>
      <c r="I6159" s="10" t="n">
        <f aca="false">IF(E6159="Won",1,0)</f>
        <v>0</v>
      </c>
    </row>
    <row r="6160" customFormat="false" ht="15" hidden="false" customHeight="false" outlineLevel="0" collapsed="false">
      <c r="A6160" s="10" t="s">
        <v>8501</v>
      </c>
      <c r="B6160" s="10" t="s">
        <v>86</v>
      </c>
      <c r="C6160" s="10" t="s">
        <v>50</v>
      </c>
      <c r="D6160" s="10" t="s">
        <v>674</v>
      </c>
      <c r="E6160" s="10" t="s">
        <v>2342</v>
      </c>
      <c r="F6160" s="30" t="n">
        <v>43063</v>
      </c>
      <c r="G6160" s="30" t="n">
        <v>43074</v>
      </c>
      <c r="H6160" s="26" t="n">
        <f aca="false">G6160-F6160</f>
        <v>11</v>
      </c>
      <c r="I6160" s="10" t="n">
        <f aca="false">IF(E6160="Won",1,0)</f>
        <v>1</v>
      </c>
    </row>
    <row r="6161" customFormat="false" ht="15" hidden="false" customHeight="false" outlineLevel="0" collapsed="false">
      <c r="A6161" s="10" t="s">
        <v>8502</v>
      </c>
      <c r="B6161" s="10" t="s">
        <v>86</v>
      </c>
      <c r="C6161" s="10" t="s">
        <v>47</v>
      </c>
      <c r="D6161" s="10" t="s">
        <v>378</v>
      </c>
      <c r="E6161" s="10" t="s">
        <v>2342</v>
      </c>
      <c r="F6161" s="30" t="n">
        <v>43010</v>
      </c>
      <c r="G6161" s="30" t="n">
        <v>43074</v>
      </c>
      <c r="H6161" s="26" t="n">
        <f aca="false">G6161-F6161</f>
        <v>64</v>
      </c>
      <c r="I6161" s="10" t="n">
        <f aca="false">IF(E6161="Won",1,0)</f>
        <v>1</v>
      </c>
    </row>
    <row r="6162" customFormat="false" ht="15" hidden="false" customHeight="false" outlineLevel="0" collapsed="false">
      <c r="A6162" s="10" t="s">
        <v>8503</v>
      </c>
      <c r="B6162" s="10" t="s">
        <v>86</v>
      </c>
      <c r="C6162" s="10" t="s">
        <v>49</v>
      </c>
      <c r="D6162" s="10" t="s">
        <v>350</v>
      </c>
      <c r="E6162" s="10" t="s">
        <v>2342</v>
      </c>
      <c r="F6162" s="30" t="n">
        <v>42988</v>
      </c>
      <c r="G6162" s="30" t="n">
        <v>43074</v>
      </c>
      <c r="H6162" s="26" t="n">
        <f aca="false">G6162-F6162</f>
        <v>86</v>
      </c>
      <c r="I6162" s="10" t="n">
        <f aca="false">IF(E6162="Won",1,0)</f>
        <v>1</v>
      </c>
    </row>
    <row r="6163" customFormat="false" ht="15" hidden="false" customHeight="false" outlineLevel="0" collapsed="false">
      <c r="A6163" s="10" t="s">
        <v>8504</v>
      </c>
      <c r="B6163" s="10" t="s">
        <v>97</v>
      </c>
      <c r="C6163" s="10" t="s">
        <v>51</v>
      </c>
      <c r="D6163" s="10" t="s">
        <v>299</v>
      </c>
      <c r="E6163" s="10" t="s">
        <v>2342</v>
      </c>
      <c r="F6163" s="30" t="n">
        <v>43056</v>
      </c>
      <c r="G6163" s="30" t="n">
        <v>43074</v>
      </c>
      <c r="H6163" s="26" t="n">
        <f aca="false">G6163-F6163</f>
        <v>18</v>
      </c>
      <c r="I6163" s="10" t="n">
        <f aca="false">IF(E6163="Won",1,0)</f>
        <v>1</v>
      </c>
    </row>
    <row r="6164" customFormat="false" ht="15" hidden="false" customHeight="false" outlineLevel="0" collapsed="false">
      <c r="A6164" s="10" t="s">
        <v>8505</v>
      </c>
      <c r="B6164" s="10" t="s">
        <v>75</v>
      </c>
      <c r="C6164" s="10" t="s">
        <v>49</v>
      </c>
      <c r="D6164" s="10" t="s">
        <v>311</v>
      </c>
      <c r="E6164" s="10" t="s">
        <v>2342</v>
      </c>
      <c r="F6164" s="30" t="n">
        <v>42994</v>
      </c>
      <c r="G6164" s="30" t="n">
        <v>43074</v>
      </c>
      <c r="H6164" s="26" t="n">
        <f aca="false">G6164-F6164</f>
        <v>80</v>
      </c>
      <c r="I6164" s="10" t="n">
        <f aca="false">IF(E6164="Won",1,0)</f>
        <v>1</v>
      </c>
    </row>
    <row r="6165" customFormat="false" ht="15" hidden="false" customHeight="false" outlineLevel="0" collapsed="false">
      <c r="A6165" s="10" t="s">
        <v>8506</v>
      </c>
      <c r="B6165" s="10" t="s">
        <v>79</v>
      </c>
      <c r="C6165" s="10" t="s">
        <v>50</v>
      </c>
      <c r="D6165" s="10" t="s">
        <v>524</v>
      </c>
      <c r="E6165" s="10" t="s">
        <v>2345</v>
      </c>
      <c r="F6165" s="30" t="n">
        <v>42977</v>
      </c>
      <c r="G6165" s="30" t="n">
        <v>43075</v>
      </c>
      <c r="H6165" s="26" t="n">
        <f aca="false">G6165-F6165</f>
        <v>98</v>
      </c>
      <c r="I6165" s="10" t="n">
        <f aca="false">IF(E6165="Won",1,0)</f>
        <v>0</v>
      </c>
    </row>
    <row r="6166" customFormat="false" ht="15" hidden="false" customHeight="false" outlineLevel="0" collapsed="false">
      <c r="A6166" s="10" t="s">
        <v>8507</v>
      </c>
      <c r="B6166" s="10" t="s">
        <v>93</v>
      </c>
      <c r="C6166" s="10" t="s">
        <v>52</v>
      </c>
      <c r="D6166" s="10" t="s">
        <v>384</v>
      </c>
      <c r="E6166" s="10" t="s">
        <v>2342</v>
      </c>
      <c r="F6166" s="30" t="n">
        <v>42981</v>
      </c>
      <c r="G6166" s="30" t="n">
        <v>43075</v>
      </c>
      <c r="H6166" s="26" t="n">
        <f aca="false">G6166-F6166</f>
        <v>94</v>
      </c>
      <c r="I6166" s="10" t="n">
        <f aca="false">IF(E6166="Won",1,0)</f>
        <v>1</v>
      </c>
    </row>
    <row r="6167" customFormat="false" ht="15" hidden="false" customHeight="false" outlineLevel="0" collapsed="false">
      <c r="A6167" s="10" t="s">
        <v>8508</v>
      </c>
      <c r="B6167" s="10" t="s">
        <v>71</v>
      </c>
      <c r="C6167" s="10" t="s">
        <v>47</v>
      </c>
      <c r="D6167" s="10" t="s">
        <v>193</v>
      </c>
      <c r="E6167" s="10" t="s">
        <v>2345</v>
      </c>
      <c r="F6167" s="30" t="n">
        <v>42990</v>
      </c>
      <c r="G6167" s="30" t="n">
        <v>43075</v>
      </c>
      <c r="H6167" s="26" t="n">
        <f aca="false">G6167-F6167</f>
        <v>85</v>
      </c>
      <c r="I6167" s="10" t="n">
        <f aca="false">IF(E6167="Won",1,0)</f>
        <v>0</v>
      </c>
    </row>
    <row r="6168" customFormat="false" ht="15" hidden="false" customHeight="false" outlineLevel="0" collapsed="false">
      <c r="A6168" s="10" t="s">
        <v>8509</v>
      </c>
      <c r="B6168" s="10" t="s">
        <v>63</v>
      </c>
      <c r="C6168" s="10" t="s">
        <v>50</v>
      </c>
      <c r="D6168" s="10" t="s">
        <v>441</v>
      </c>
      <c r="E6168" s="10" t="s">
        <v>2342</v>
      </c>
      <c r="F6168" s="30" t="n">
        <v>42984</v>
      </c>
      <c r="G6168" s="30" t="n">
        <v>43075</v>
      </c>
      <c r="H6168" s="26" t="n">
        <f aca="false">G6168-F6168</f>
        <v>91</v>
      </c>
      <c r="I6168" s="10" t="n">
        <f aca="false">IF(E6168="Won",1,0)</f>
        <v>1</v>
      </c>
    </row>
    <row r="6169" customFormat="false" ht="15" hidden="false" customHeight="false" outlineLevel="0" collapsed="false">
      <c r="A6169" s="10" t="s">
        <v>8510</v>
      </c>
      <c r="B6169" s="10" t="s">
        <v>77</v>
      </c>
      <c r="C6169" s="10" t="s">
        <v>48</v>
      </c>
      <c r="D6169" s="10" t="s">
        <v>311</v>
      </c>
      <c r="E6169" s="10" t="s">
        <v>2342</v>
      </c>
      <c r="F6169" s="30" t="n">
        <v>42996</v>
      </c>
      <c r="G6169" s="30" t="n">
        <v>43075</v>
      </c>
      <c r="H6169" s="26" t="n">
        <f aca="false">G6169-F6169</f>
        <v>79</v>
      </c>
      <c r="I6169" s="10" t="n">
        <f aca="false">IF(E6169="Won",1,0)</f>
        <v>1</v>
      </c>
    </row>
    <row r="6170" customFormat="false" ht="15" hidden="false" customHeight="false" outlineLevel="0" collapsed="false">
      <c r="A6170" s="10" t="s">
        <v>8511</v>
      </c>
      <c r="B6170" s="10" t="s">
        <v>90</v>
      </c>
      <c r="C6170" s="10" t="s">
        <v>48</v>
      </c>
      <c r="D6170" s="10" t="s">
        <v>532</v>
      </c>
      <c r="E6170" s="10" t="s">
        <v>2345</v>
      </c>
      <c r="F6170" s="30" t="n">
        <v>43061</v>
      </c>
      <c r="G6170" s="30" t="n">
        <v>43075</v>
      </c>
      <c r="H6170" s="26" t="n">
        <f aca="false">G6170-F6170</f>
        <v>14</v>
      </c>
      <c r="I6170" s="10" t="n">
        <f aca="false">IF(E6170="Won",1,0)</f>
        <v>0</v>
      </c>
    </row>
    <row r="6171" customFormat="false" ht="15" hidden="false" customHeight="false" outlineLevel="0" collapsed="false">
      <c r="A6171" s="10" t="s">
        <v>8512</v>
      </c>
      <c r="B6171" s="10" t="s">
        <v>57</v>
      </c>
      <c r="C6171" s="10" t="s">
        <v>48</v>
      </c>
      <c r="D6171" s="10" t="s">
        <v>286</v>
      </c>
      <c r="E6171" s="10" t="s">
        <v>2342</v>
      </c>
      <c r="F6171" s="30" t="n">
        <v>43061</v>
      </c>
      <c r="G6171" s="30" t="n">
        <v>43075</v>
      </c>
      <c r="H6171" s="26" t="n">
        <f aca="false">G6171-F6171</f>
        <v>14</v>
      </c>
      <c r="I6171" s="10" t="n">
        <f aca="false">IF(E6171="Won",1,0)</f>
        <v>1</v>
      </c>
    </row>
    <row r="6172" customFormat="false" ht="15" hidden="false" customHeight="false" outlineLevel="0" collapsed="false">
      <c r="A6172" s="10" t="s">
        <v>8513</v>
      </c>
      <c r="B6172" s="10" t="s">
        <v>87</v>
      </c>
      <c r="C6172" s="10" t="s">
        <v>50</v>
      </c>
      <c r="D6172" s="10" t="s">
        <v>215</v>
      </c>
      <c r="E6172" s="10" t="s">
        <v>2345</v>
      </c>
      <c r="F6172" s="30" t="n">
        <v>43057</v>
      </c>
      <c r="G6172" s="30" t="n">
        <v>43075</v>
      </c>
      <c r="H6172" s="26" t="n">
        <f aca="false">G6172-F6172</f>
        <v>18</v>
      </c>
      <c r="I6172" s="10" t="n">
        <f aca="false">IF(E6172="Won",1,0)</f>
        <v>0</v>
      </c>
    </row>
    <row r="6173" customFormat="false" ht="15" hidden="false" customHeight="false" outlineLevel="0" collapsed="false">
      <c r="A6173" s="10" t="s">
        <v>8514</v>
      </c>
      <c r="B6173" s="10" t="s">
        <v>61</v>
      </c>
      <c r="C6173" s="10" t="s">
        <v>50</v>
      </c>
      <c r="D6173" s="10" t="s">
        <v>1118</v>
      </c>
      <c r="E6173" s="10" t="s">
        <v>2345</v>
      </c>
      <c r="F6173" s="30" t="n">
        <v>43030</v>
      </c>
      <c r="G6173" s="30" t="n">
        <v>43075</v>
      </c>
      <c r="H6173" s="26" t="n">
        <f aca="false">G6173-F6173</f>
        <v>45</v>
      </c>
      <c r="I6173" s="10" t="n">
        <f aca="false">IF(E6173="Won",1,0)</f>
        <v>0</v>
      </c>
    </row>
    <row r="6174" customFormat="false" ht="15" hidden="false" customHeight="false" outlineLevel="0" collapsed="false">
      <c r="A6174" s="10" t="s">
        <v>8515</v>
      </c>
      <c r="B6174" s="10" t="s">
        <v>80</v>
      </c>
      <c r="C6174" s="10" t="s">
        <v>49</v>
      </c>
      <c r="D6174" s="10" t="s">
        <v>353</v>
      </c>
      <c r="E6174" s="10" t="s">
        <v>2342</v>
      </c>
      <c r="F6174" s="30" t="n">
        <v>43020</v>
      </c>
      <c r="G6174" s="30" t="n">
        <v>43075</v>
      </c>
      <c r="H6174" s="26" t="n">
        <f aca="false">G6174-F6174</f>
        <v>55</v>
      </c>
      <c r="I6174" s="10" t="n">
        <f aca="false">IF(E6174="Won",1,0)</f>
        <v>1</v>
      </c>
    </row>
    <row r="6175" customFormat="false" ht="15" hidden="false" customHeight="false" outlineLevel="0" collapsed="false">
      <c r="A6175" s="10" t="s">
        <v>8516</v>
      </c>
      <c r="B6175" s="10" t="s">
        <v>70</v>
      </c>
      <c r="C6175" s="10" t="s">
        <v>52</v>
      </c>
      <c r="D6175" s="10" t="s">
        <v>497</v>
      </c>
      <c r="E6175" s="10" t="s">
        <v>2342</v>
      </c>
      <c r="F6175" s="30" t="n">
        <v>42957</v>
      </c>
      <c r="G6175" s="30" t="n">
        <v>43075</v>
      </c>
      <c r="H6175" s="26" t="n">
        <f aca="false">G6175-F6175</f>
        <v>118</v>
      </c>
      <c r="I6175" s="10" t="n">
        <f aca="false">IF(E6175="Won",1,0)</f>
        <v>1</v>
      </c>
    </row>
    <row r="6176" customFormat="false" ht="15" hidden="false" customHeight="false" outlineLevel="0" collapsed="false">
      <c r="A6176" s="10" t="s">
        <v>8517</v>
      </c>
      <c r="B6176" s="10" t="s">
        <v>96</v>
      </c>
      <c r="C6176" s="10" t="s">
        <v>52</v>
      </c>
      <c r="D6176" s="10" t="s">
        <v>396</v>
      </c>
      <c r="E6176" s="10" t="s">
        <v>2342</v>
      </c>
      <c r="F6176" s="30" t="n">
        <v>43008</v>
      </c>
      <c r="G6176" s="30" t="n">
        <v>43075</v>
      </c>
      <c r="H6176" s="26" t="n">
        <f aca="false">G6176-F6176</f>
        <v>67</v>
      </c>
      <c r="I6176" s="10" t="n">
        <f aca="false">IF(E6176="Won",1,0)</f>
        <v>1</v>
      </c>
    </row>
    <row r="6177" customFormat="false" ht="15" hidden="false" customHeight="false" outlineLevel="0" collapsed="false">
      <c r="A6177" s="10" t="s">
        <v>8518</v>
      </c>
      <c r="B6177" s="10" t="s">
        <v>90</v>
      </c>
      <c r="C6177" s="10" t="s">
        <v>48</v>
      </c>
      <c r="D6177" s="10" t="s">
        <v>616</v>
      </c>
      <c r="E6177" s="10" t="s">
        <v>2342</v>
      </c>
      <c r="F6177" s="30" t="n">
        <v>43056</v>
      </c>
      <c r="G6177" s="30" t="n">
        <v>43075</v>
      </c>
      <c r="H6177" s="26" t="n">
        <f aca="false">G6177-F6177</f>
        <v>19</v>
      </c>
      <c r="I6177" s="10" t="n">
        <f aca="false">IF(E6177="Won",1,0)</f>
        <v>1</v>
      </c>
    </row>
    <row r="6178" customFormat="false" ht="15" hidden="false" customHeight="false" outlineLevel="0" collapsed="false">
      <c r="A6178" s="10" t="s">
        <v>8519</v>
      </c>
      <c r="B6178" s="10" t="s">
        <v>77</v>
      </c>
      <c r="C6178" s="10" t="s">
        <v>48</v>
      </c>
      <c r="D6178" s="10" t="s">
        <v>321</v>
      </c>
      <c r="E6178" s="10" t="s">
        <v>2342</v>
      </c>
      <c r="F6178" s="30" t="n">
        <v>43009</v>
      </c>
      <c r="G6178" s="30" t="n">
        <v>43075</v>
      </c>
      <c r="H6178" s="26" t="n">
        <f aca="false">G6178-F6178</f>
        <v>66</v>
      </c>
      <c r="I6178" s="10" t="n">
        <f aca="false">IF(E6178="Won",1,0)</f>
        <v>1</v>
      </c>
    </row>
    <row r="6179" customFormat="false" ht="15" hidden="false" customHeight="false" outlineLevel="0" collapsed="false">
      <c r="A6179" s="10" t="s">
        <v>8520</v>
      </c>
      <c r="B6179" s="10" t="s">
        <v>79</v>
      </c>
      <c r="C6179" s="10" t="s">
        <v>49</v>
      </c>
      <c r="D6179" s="10" t="s">
        <v>193</v>
      </c>
      <c r="E6179" s="10" t="s">
        <v>2342</v>
      </c>
      <c r="F6179" s="30" t="n">
        <v>42968</v>
      </c>
      <c r="G6179" s="30" t="n">
        <v>43075</v>
      </c>
      <c r="H6179" s="26" t="n">
        <f aca="false">G6179-F6179</f>
        <v>107</v>
      </c>
      <c r="I6179" s="10" t="n">
        <f aca="false">IF(E6179="Won",1,0)</f>
        <v>1</v>
      </c>
    </row>
    <row r="6180" customFormat="false" ht="15" hidden="false" customHeight="false" outlineLevel="0" collapsed="false">
      <c r="A6180" s="10" t="s">
        <v>8521</v>
      </c>
      <c r="B6180" s="10" t="s">
        <v>74</v>
      </c>
      <c r="C6180" s="10" t="s">
        <v>49</v>
      </c>
      <c r="D6180" s="10" t="s">
        <v>410</v>
      </c>
      <c r="E6180" s="10" t="s">
        <v>2345</v>
      </c>
      <c r="F6180" s="30" t="n">
        <v>42994</v>
      </c>
      <c r="G6180" s="30" t="n">
        <v>43075</v>
      </c>
      <c r="H6180" s="26" t="n">
        <f aca="false">G6180-F6180</f>
        <v>81</v>
      </c>
      <c r="I6180" s="10" t="n">
        <f aca="false">IF(E6180="Won",1,0)</f>
        <v>0</v>
      </c>
    </row>
    <row r="6181" customFormat="false" ht="15" hidden="false" customHeight="false" outlineLevel="0" collapsed="false">
      <c r="A6181" s="10" t="s">
        <v>8522</v>
      </c>
      <c r="B6181" s="10" t="s">
        <v>97</v>
      </c>
      <c r="C6181" s="10" t="s">
        <v>51</v>
      </c>
      <c r="D6181" s="10" t="s">
        <v>227</v>
      </c>
      <c r="E6181" s="10" t="s">
        <v>2342</v>
      </c>
      <c r="F6181" s="30" t="n">
        <v>42991</v>
      </c>
      <c r="G6181" s="30" t="n">
        <v>43075</v>
      </c>
      <c r="H6181" s="26" t="n">
        <f aca="false">G6181-F6181</f>
        <v>84</v>
      </c>
      <c r="I6181" s="10" t="n">
        <f aca="false">IF(E6181="Won",1,0)</f>
        <v>1</v>
      </c>
    </row>
    <row r="6182" customFormat="false" ht="15" hidden="false" customHeight="false" outlineLevel="0" collapsed="false">
      <c r="A6182" s="10" t="s">
        <v>8523</v>
      </c>
      <c r="B6182" s="10" t="s">
        <v>77</v>
      </c>
      <c r="C6182" s="10" t="s">
        <v>48</v>
      </c>
      <c r="D6182" s="10" t="s">
        <v>1948</v>
      </c>
      <c r="E6182" s="10" t="s">
        <v>2342</v>
      </c>
      <c r="F6182" s="30" t="n">
        <v>42997</v>
      </c>
      <c r="G6182" s="30" t="n">
        <v>43076</v>
      </c>
      <c r="H6182" s="26" t="n">
        <f aca="false">G6182-F6182</f>
        <v>79</v>
      </c>
      <c r="I6182" s="10" t="n">
        <f aca="false">IF(E6182="Won",1,0)</f>
        <v>1</v>
      </c>
    </row>
    <row r="6183" customFormat="false" ht="15" hidden="false" customHeight="false" outlineLevel="0" collapsed="false">
      <c r="A6183" s="10" t="s">
        <v>8524</v>
      </c>
      <c r="B6183" s="10" t="s">
        <v>62</v>
      </c>
      <c r="C6183" s="10" t="s">
        <v>52</v>
      </c>
      <c r="D6183" s="10" t="s">
        <v>455</v>
      </c>
      <c r="E6183" s="10" t="s">
        <v>2342</v>
      </c>
      <c r="F6183" s="30" t="n">
        <v>42965</v>
      </c>
      <c r="G6183" s="30" t="n">
        <v>43076</v>
      </c>
      <c r="H6183" s="26" t="n">
        <f aca="false">G6183-F6183</f>
        <v>111</v>
      </c>
      <c r="I6183" s="10" t="n">
        <f aca="false">IF(E6183="Won",1,0)</f>
        <v>1</v>
      </c>
    </row>
    <row r="6184" customFormat="false" ht="15" hidden="false" customHeight="false" outlineLevel="0" collapsed="false">
      <c r="A6184" s="10" t="s">
        <v>8525</v>
      </c>
      <c r="B6184" s="10" t="s">
        <v>71</v>
      </c>
      <c r="C6184" s="10" t="s">
        <v>47</v>
      </c>
      <c r="D6184" s="10" t="s">
        <v>527</v>
      </c>
      <c r="E6184" s="10" t="s">
        <v>2342</v>
      </c>
      <c r="F6184" s="30" t="n">
        <v>43035</v>
      </c>
      <c r="G6184" s="30" t="n">
        <v>43076</v>
      </c>
      <c r="H6184" s="26" t="n">
        <f aca="false">G6184-F6184</f>
        <v>41</v>
      </c>
      <c r="I6184" s="10" t="n">
        <f aca="false">IF(E6184="Won",1,0)</f>
        <v>1</v>
      </c>
    </row>
    <row r="6185" customFormat="false" ht="15" hidden="false" customHeight="false" outlineLevel="0" collapsed="false">
      <c r="A6185" s="10" t="s">
        <v>8526</v>
      </c>
      <c r="B6185" s="10" t="s">
        <v>87</v>
      </c>
      <c r="C6185" s="10" t="s">
        <v>48</v>
      </c>
      <c r="D6185" s="10" t="s">
        <v>233</v>
      </c>
      <c r="E6185" s="10" t="s">
        <v>2342</v>
      </c>
      <c r="F6185" s="30" t="n">
        <v>42957</v>
      </c>
      <c r="G6185" s="30" t="n">
        <v>43076</v>
      </c>
      <c r="H6185" s="26" t="n">
        <f aca="false">G6185-F6185</f>
        <v>119</v>
      </c>
      <c r="I6185" s="10" t="n">
        <f aca="false">IF(E6185="Won",1,0)</f>
        <v>1</v>
      </c>
    </row>
    <row r="6186" customFormat="false" ht="15" hidden="false" customHeight="false" outlineLevel="0" collapsed="false">
      <c r="A6186" s="10" t="s">
        <v>8527</v>
      </c>
      <c r="B6186" s="10" t="s">
        <v>73</v>
      </c>
      <c r="C6186" s="10" t="s">
        <v>51</v>
      </c>
      <c r="D6186" s="10" t="s">
        <v>536</v>
      </c>
      <c r="E6186" s="10" t="s">
        <v>2342</v>
      </c>
      <c r="F6186" s="30" t="n">
        <v>43010</v>
      </c>
      <c r="G6186" s="30" t="n">
        <v>43076</v>
      </c>
      <c r="H6186" s="26" t="n">
        <f aca="false">G6186-F6186</f>
        <v>66</v>
      </c>
      <c r="I6186" s="10" t="n">
        <f aca="false">IF(E6186="Won",1,0)</f>
        <v>1</v>
      </c>
    </row>
    <row r="6187" customFormat="false" ht="15" hidden="false" customHeight="false" outlineLevel="0" collapsed="false">
      <c r="A6187" s="10" t="s">
        <v>8528</v>
      </c>
      <c r="B6187" s="10" t="s">
        <v>71</v>
      </c>
      <c r="C6187" s="10" t="s">
        <v>52</v>
      </c>
      <c r="D6187" s="10" t="s">
        <v>524</v>
      </c>
      <c r="E6187" s="10" t="s">
        <v>2342</v>
      </c>
      <c r="F6187" s="30" t="n">
        <v>42994</v>
      </c>
      <c r="G6187" s="30" t="n">
        <v>43076</v>
      </c>
      <c r="H6187" s="26" t="n">
        <f aca="false">G6187-F6187</f>
        <v>82</v>
      </c>
      <c r="I6187" s="10" t="n">
        <f aca="false">IF(E6187="Won",1,0)</f>
        <v>1</v>
      </c>
    </row>
    <row r="6188" customFormat="false" ht="15" hidden="false" customHeight="false" outlineLevel="0" collapsed="false">
      <c r="A6188" s="10" t="s">
        <v>8529</v>
      </c>
      <c r="B6188" s="10" t="s">
        <v>86</v>
      </c>
      <c r="C6188" s="10" t="s">
        <v>51</v>
      </c>
      <c r="D6188" s="10" t="s">
        <v>532</v>
      </c>
      <c r="E6188" s="10" t="s">
        <v>2342</v>
      </c>
      <c r="F6188" s="30" t="n">
        <v>43061</v>
      </c>
      <c r="G6188" s="30" t="n">
        <v>43076</v>
      </c>
      <c r="H6188" s="26" t="n">
        <f aca="false">G6188-F6188</f>
        <v>15</v>
      </c>
      <c r="I6188" s="10" t="n">
        <f aca="false">IF(E6188="Won",1,0)</f>
        <v>1</v>
      </c>
    </row>
    <row r="6189" customFormat="false" ht="15" hidden="false" customHeight="false" outlineLevel="0" collapsed="false">
      <c r="A6189" s="10" t="s">
        <v>8530</v>
      </c>
      <c r="B6189" s="10" t="s">
        <v>71</v>
      </c>
      <c r="C6189" s="10" t="s">
        <v>49</v>
      </c>
      <c r="D6189" s="10" t="s">
        <v>1948</v>
      </c>
      <c r="E6189" s="10" t="s">
        <v>2342</v>
      </c>
      <c r="F6189" s="30" t="n">
        <v>43065</v>
      </c>
      <c r="G6189" s="30" t="n">
        <v>43076</v>
      </c>
      <c r="H6189" s="26" t="n">
        <f aca="false">G6189-F6189</f>
        <v>11</v>
      </c>
      <c r="I6189" s="10" t="n">
        <f aca="false">IF(E6189="Won",1,0)</f>
        <v>1</v>
      </c>
    </row>
    <row r="6190" customFormat="false" ht="15" hidden="false" customHeight="false" outlineLevel="0" collapsed="false">
      <c r="A6190" s="10" t="s">
        <v>8531</v>
      </c>
      <c r="B6190" s="10" t="s">
        <v>79</v>
      </c>
      <c r="C6190" s="10" t="s">
        <v>51</v>
      </c>
      <c r="D6190" s="10" t="s">
        <v>311</v>
      </c>
      <c r="E6190" s="10" t="s">
        <v>2342</v>
      </c>
      <c r="F6190" s="30" t="n">
        <v>43065</v>
      </c>
      <c r="G6190" s="30" t="n">
        <v>43076</v>
      </c>
      <c r="H6190" s="26" t="n">
        <f aca="false">G6190-F6190</f>
        <v>11</v>
      </c>
      <c r="I6190" s="10" t="n">
        <f aca="false">IF(E6190="Won",1,0)</f>
        <v>1</v>
      </c>
    </row>
    <row r="6191" customFormat="false" ht="15" hidden="false" customHeight="false" outlineLevel="0" collapsed="false">
      <c r="A6191" s="10" t="s">
        <v>8532</v>
      </c>
      <c r="B6191" s="10" t="s">
        <v>87</v>
      </c>
      <c r="C6191" s="10" t="s">
        <v>50</v>
      </c>
      <c r="D6191" s="10" t="s">
        <v>616</v>
      </c>
      <c r="E6191" s="10" t="s">
        <v>2345</v>
      </c>
      <c r="F6191" s="30" t="n">
        <v>42993</v>
      </c>
      <c r="G6191" s="30" t="n">
        <v>43076</v>
      </c>
      <c r="H6191" s="26" t="n">
        <f aca="false">G6191-F6191</f>
        <v>83</v>
      </c>
      <c r="I6191" s="10" t="n">
        <f aca="false">IF(E6191="Won",1,0)</f>
        <v>0</v>
      </c>
    </row>
    <row r="6192" customFormat="false" ht="15" hidden="false" customHeight="false" outlineLevel="0" collapsed="false">
      <c r="A6192" s="10" t="s">
        <v>8533</v>
      </c>
      <c r="B6192" s="10" t="s">
        <v>93</v>
      </c>
      <c r="C6192" s="10" t="s">
        <v>50</v>
      </c>
      <c r="D6192" s="10" t="s">
        <v>170</v>
      </c>
      <c r="E6192" s="10" t="s">
        <v>2342</v>
      </c>
      <c r="F6192" s="30" t="n">
        <v>43005</v>
      </c>
      <c r="G6192" s="30" t="n">
        <v>43076</v>
      </c>
      <c r="H6192" s="26" t="n">
        <f aca="false">G6192-F6192</f>
        <v>71</v>
      </c>
      <c r="I6192" s="10" t="n">
        <f aca="false">IF(E6192="Won",1,0)</f>
        <v>1</v>
      </c>
    </row>
    <row r="6193" customFormat="false" ht="15" hidden="false" customHeight="false" outlineLevel="0" collapsed="false">
      <c r="A6193" s="10" t="s">
        <v>8534</v>
      </c>
      <c r="B6193" s="10" t="s">
        <v>76</v>
      </c>
      <c r="C6193" s="10" t="s">
        <v>52</v>
      </c>
      <c r="D6193" s="10" t="s">
        <v>527</v>
      </c>
      <c r="E6193" s="10" t="s">
        <v>2342</v>
      </c>
      <c r="F6193" s="30" t="n">
        <v>42987</v>
      </c>
      <c r="G6193" s="30" t="n">
        <v>43076</v>
      </c>
      <c r="H6193" s="26" t="n">
        <f aca="false">G6193-F6193</f>
        <v>89</v>
      </c>
      <c r="I6193" s="10" t="n">
        <f aca="false">IF(E6193="Won",1,0)</f>
        <v>1</v>
      </c>
    </row>
    <row r="6194" customFormat="false" ht="15" hidden="false" customHeight="false" outlineLevel="0" collapsed="false">
      <c r="A6194" s="10" t="s">
        <v>8535</v>
      </c>
      <c r="B6194" s="10" t="s">
        <v>69</v>
      </c>
      <c r="C6194" s="10" t="s">
        <v>52</v>
      </c>
      <c r="D6194" s="10" t="s">
        <v>344</v>
      </c>
      <c r="E6194" s="10" t="s">
        <v>2342</v>
      </c>
      <c r="F6194" s="30" t="n">
        <v>43062</v>
      </c>
      <c r="G6194" s="30" t="n">
        <v>43076</v>
      </c>
      <c r="H6194" s="26" t="n">
        <f aca="false">G6194-F6194</f>
        <v>14</v>
      </c>
      <c r="I6194" s="10" t="n">
        <f aca="false">IF(E6194="Won",1,0)</f>
        <v>1</v>
      </c>
    </row>
    <row r="6195" customFormat="false" ht="15" hidden="false" customHeight="false" outlineLevel="0" collapsed="false">
      <c r="A6195" s="10" t="s">
        <v>8536</v>
      </c>
      <c r="B6195" s="10" t="s">
        <v>88</v>
      </c>
      <c r="C6195" s="10" t="s">
        <v>52</v>
      </c>
      <c r="D6195" s="10" t="s">
        <v>378</v>
      </c>
      <c r="E6195" s="10" t="s">
        <v>2345</v>
      </c>
      <c r="F6195" s="30" t="n">
        <v>43007</v>
      </c>
      <c r="G6195" s="30" t="n">
        <v>43076</v>
      </c>
      <c r="H6195" s="26" t="n">
        <f aca="false">G6195-F6195</f>
        <v>69</v>
      </c>
      <c r="I6195" s="10" t="n">
        <f aca="false">IF(E6195="Won",1,0)</f>
        <v>0</v>
      </c>
    </row>
    <row r="6196" customFormat="false" ht="15" hidden="false" customHeight="false" outlineLevel="0" collapsed="false">
      <c r="A6196" s="10" t="s">
        <v>8537</v>
      </c>
      <c r="B6196" s="10" t="s">
        <v>84</v>
      </c>
      <c r="C6196" s="10" t="s">
        <v>48</v>
      </c>
      <c r="D6196" s="10" t="s">
        <v>427</v>
      </c>
      <c r="E6196" s="10" t="s">
        <v>2342</v>
      </c>
      <c r="F6196" s="30" t="n">
        <v>43057</v>
      </c>
      <c r="G6196" s="30" t="n">
        <v>43076</v>
      </c>
      <c r="H6196" s="26" t="n">
        <f aca="false">G6196-F6196</f>
        <v>19</v>
      </c>
      <c r="I6196" s="10" t="n">
        <f aca="false">IF(E6196="Won",1,0)</f>
        <v>1</v>
      </c>
    </row>
    <row r="6197" customFormat="false" ht="15" hidden="false" customHeight="false" outlineLevel="0" collapsed="false">
      <c r="A6197" s="10" t="s">
        <v>8538</v>
      </c>
      <c r="B6197" s="10" t="s">
        <v>79</v>
      </c>
      <c r="C6197" s="10" t="s">
        <v>49</v>
      </c>
      <c r="D6197" s="10" t="s">
        <v>388</v>
      </c>
      <c r="E6197" s="10" t="s">
        <v>2345</v>
      </c>
      <c r="F6197" s="30" t="n">
        <v>42988</v>
      </c>
      <c r="G6197" s="30" t="n">
        <v>43076</v>
      </c>
      <c r="H6197" s="26" t="n">
        <f aca="false">G6197-F6197</f>
        <v>88</v>
      </c>
      <c r="I6197" s="10" t="n">
        <f aca="false">IF(E6197="Won",1,0)</f>
        <v>0</v>
      </c>
    </row>
    <row r="6198" customFormat="false" ht="15" hidden="false" customHeight="false" outlineLevel="0" collapsed="false">
      <c r="A6198" s="10" t="s">
        <v>8539</v>
      </c>
      <c r="B6198" s="10" t="s">
        <v>79</v>
      </c>
      <c r="C6198" s="10" t="s">
        <v>49</v>
      </c>
      <c r="D6198" s="10" t="s">
        <v>369</v>
      </c>
      <c r="E6198" s="10" t="s">
        <v>2342</v>
      </c>
      <c r="F6198" s="30" t="n">
        <v>42951</v>
      </c>
      <c r="G6198" s="30" t="n">
        <v>43076</v>
      </c>
      <c r="H6198" s="26" t="n">
        <f aca="false">G6198-F6198</f>
        <v>125</v>
      </c>
      <c r="I6198" s="10" t="n">
        <f aca="false">IF(E6198="Won",1,0)</f>
        <v>1</v>
      </c>
    </row>
    <row r="6199" customFormat="false" ht="15" hidden="false" customHeight="false" outlineLevel="0" collapsed="false">
      <c r="A6199" s="10" t="s">
        <v>8540</v>
      </c>
      <c r="B6199" s="10" t="s">
        <v>84</v>
      </c>
      <c r="C6199" s="10" t="s">
        <v>47</v>
      </c>
      <c r="D6199" s="10" t="s">
        <v>218</v>
      </c>
      <c r="E6199" s="10" t="s">
        <v>2342</v>
      </c>
      <c r="F6199" s="30" t="n">
        <v>43074</v>
      </c>
      <c r="G6199" s="30" t="n">
        <v>43076</v>
      </c>
      <c r="H6199" s="26" t="n">
        <f aca="false">G6199-F6199</f>
        <v>2</v>
      </c>
      <c r="I6199" s="10" t="n">
        <f aca="false">IF(E6199="Won",1,0)</f>
        <v>1</v>
      </c>
    </row>
    <row r="6200" customFormat="false" ht="15" hidden="false" customHeight="false" outlineLevel="0" collapsed="false">
      <c r="A6200" s="10" t="s">
        <v>8541</v>
      </c>
      <c r="B6200" s="10" t="s">
        <v>93</v>
      </c>
      <c r="C6200" s="10" t="s">
        <v>48</v>
      </c>
      <c r="D6200" s="10" t="s">
        <v>170</v>
      </c>
      <c r="E6200" s="10" t="s">
        <v>2342</v>
      </c>
      <c r="F6200" s="30" t="n">
        <v>42992</v>
      </c>
      <c r="G6200" s="30" t="n">
        <v>43076</v>
      </c>
      <c r="H6200" s="26" t="n">
        <f aca="false">G6200-F6200</f>
        <v>84</v>
      </c>
      <c r="I6200" s="10" t="n">
        <f aca="false">IF(E6200="Won",1,0)</f>
        <v>1</v>
      </c>
    </row>
    <row r="6201" customFormat="false" ht="15" hidden="false" customHeight="false" outlineLevel="0" collapsed="false">
      <c r="A6201" s="10" t="s">
        <v>8542</v>
      </c>
      <c r="B6201" s="10" t="s">
        <v>63</v>
      </c>
      <c r="C6201" s="10" t="s">
        <v>47</v>
      </c>
      <c r="D6201" s="10" t="s">
        <v>1118</v>
      </c>
      <c r="E6201" s="10" t="s">
        <v>2342</v>
      </c>
      <c r="F6201" s="30" t="n">
        <v>43059</v>
      </c>
      <c r="G6201" s="30" t="n">
        <v>43077</v>
      </c>
      <c r="H6201" s="26" t="n">
        <f aca="false">G6201-F6201</f>
        <v>18</v>
      </c>
      <c r="I6201" s="10" t="n">
        <f aca="false">IF(E6201="Won",1,0)</f>
        <v>1</v>
      </c>
    </row>
    <row r="6202" customFormat="false" ht="15" hidden="false" customHeight="false" outlineLevel="0" collapsed="false">
      <c r="A6202" s="10" t="s">
        <v>8543</v>
      </c>
      <c r="B6202" s="10" t="s">
        <v>95</v>
      </c>
      <c r="C6202" s="10" t="s">
        <v>51</v>
      </c>
      <c r="D6202" s="10" t="s">
        <v>227</v>
      </c>
      <c r="E6202" s="10" t="s">
        <v>2342</v>
      </c>
      <c r="F6202" s="30" t="n">
        <v>43062</v>
      </c>
      <c r="G6202" s="30" t="n">
        <v>43077</v>
      </c>
      <c r="H6202" s="26" t="n">
        <f aca="false">G6202-F6202</f>
        <v>15</v>
      </c>
      <c r="I6202" s="10" t="n">
        <f aca="false">IF(E6202="Won",1,0)</f>
        <v>1</v>
      </c>
    </row>
    <row r="6203" customFormat="false" ht="15" hidden="false" customHeight="false" outlineLevel="0" collapsed="false">
      <c r="A6203" s="10" t="s">
        <v>8544</v>
      </c>
      <c r="B6203" s="10" t="s">
        <v>62</v>
      </c>
      <c r="C6203" s="10" t="s">
        <v>49</v>
      </c>
      <c r="D6203" s="10" t="s">
        <v>532</v>
      </c>
      <c r="E6203" s="10" t="s">
        <v>2345</v>
      </c>
      <c r="F6203" s="30" t="n">
        <v>42968</v>
      </c>
      <c r="G6203" s="30" t="n">
        <v>43077</v>
      </c>
      <c r="H6203" s="26" t="n">
        <f aca="false">G6203-F6203</f>
        <v>109</v>
      </c>
      <c r="I6203" s="10" t="n">
        <f aca="false">IF(E6203="Won",1,0)</f>
        <v>0</v>
      </c>
    </row>
    <row r="6204" customFormat="false" ht="15" hidden="false" customHeight="false" outlineLevel="0" collapsed="false">
      <c r="A6204" s="10" t="s">
        <v>8545</v>
      </c>
      <c r="B6204" s="10" t="s">
        <v>79</v>
      </c>
      <c r="C6204" s="10" t="s">
        <v>51</v>
      </c>
      <c r="D6204" s="10" t="s">
        <v>422</v>
      </c>
      <c r="E6204" s="10" t="s">
        <v>2342</v>
      </c>
      <c r="F6204" s="30" t="n">
        <v>43005</v>
      </c>
      <c r="G6204" s="30" t="n">
        <v>43077</v>
      </c>
      <c r="H6204" s="26" t="n">
        <f aca="false">G6204-F6204</f>
        <v>72</v>
      </c>
      <c r="I6204" s="10" t="n">
        <f aca="false">IF(E6204="Won",1,0)</f>
        <v>1</v>
      </c>
    </row>
    <row r="6205" customFormat="false" ht="15" hidden="false" customHeight="false" outlineLevel="0" collapsed="false">
      <c r="A6205" s="10" t="s">
        <v>8546</v>
      </c>
      <c r="B6205" s="10" t="s">
        <v>94</v>
      </c>
      <c r="C6205" s="10" t="s">
        <v>51</v>
      </c>
      <c r="D6205" s="10" t="s">
        <v>172</v>
      </c>
      <c r="E6205" s="10" t="s">
        <v>2342</v>
      </c>
      <c r="F6205" s="30" t="n">
        <v>43059</v>
      </c>
      <c r="G6205" s="30" t="n">
        <v>43077</v>
      </c>
      <c r="H6205" s="26" t="n">
        <f aca="false">G6205-F6205</f>
        <v>18</v>
      </c>
      <c r="I6205" s="10" t="n">
        <f aca="false">IF(E6205="Won",1,0)</f>
        <v>1</v>
      </c>
    </row>
    <row r="6206" customFormat="false" ht="15" hidden="false" customHeight="false" outlineLevel="0" collapsed="false">
      <c r="A6206" s="10" t="s">
        <v>8547</v>
      </c>
      <c r="B6206" s="10" t="s">
        <v>86</v>
      </c>
      <c r="C6206" s="10" t="s">
        <v>51</v>
      </c>
      <c r="D6206" s="10" t="s">
        <v>616</v>
      </c>
      <c r="E6206" s="10" t="s">
        <v>2342</v>
      </c>
      <c r="F6206" s="30" t="n">
        <v>42974</v>
      </c>
      <c r="G6206" s="30" t="n">
        <v>43077</v>
      </c>
      <c r="H6206" s="26" t="n">
        <f aca="false">G6206-F6206</f>
        <v>103</v>
      </c>
      <c r="I6206" s="10" t="n">
        <f aca="false">IF(E6206="Won",1,0)</f>
        <v>1</v>
      </c>
    </row>
    <row r="6207" customFormat="false" ht="15" hidden="false" customHeight="false" outlineLevel="0" collapsed="false">
      <c r="A6207" s="10" t="s">
        <v>8548</v>
      </c>
      <c r="B6207" s="10" t="s">
        <v>90</v>
      </c>
      <c r="C6207" s="10" t="s">
        <v>49</v>
      </c>
      <c r="D6207" s="10" t="s">
        <v>453</v>
      </c>
      <c r="E6207" s="10" t="s">
        <v>2342</v>
      </c>
      <c r="F6207" s="30" t="n">
        <v>43068</v>
      </c>
      <c r="G6207" s="30" t="n">
        <v>43077</v>
      </c>
      <c r="H6207" s="26" t="n">
        <f aca="false">G6207-F6207</f>
        <v>9</v>
      </c>
      <c r="I6207" s="10" t="n">
        <f aca="false">IF(E6207="Won",1,0)</f>
        <v>1</v>
      </c>
    </row>
    <row r="6208" customFormat="false" ht="15" hidden="false" customHeight="false" outlineLevel="0" collapsed="false">
      <c r="A6208" s="10" t="s">
        <v>8549</v>
      </c>
      <c r="B6208" s="10" t="s">
        <v>76</v>
      </c>
      <c r="C6208" s="10" t="s">
        <v>52</v>
      </c>
      <c r="D6208" s="10" t="s">
        <v>422</v>
      </c>
      <c r="E6208" s="10" t="s">
        <v>2342</v>
      </c>
      <c r="F6208" s="30" t="n">
        <v>42976</v>
      </c>
      <c r="G6208" s="30" t="n">
        <v>43077</v>
      </c>
      <c r="H6208" s="26" t="n">
        <f aca="false">G6208-F6208</f>
        <v>101</v>
      </c>
      <c r="I6208" s="10" t="n">
        <f aca="false">IF(E6208="Won",1,0)</f>
        <v>1</v>
      </c>
    </row>
    <row r="6209" customFormat="false" ht="15" hidden="false" customHeight="false" outlineLevel="0" collapsed="false">
      <c r="A6209" s="10" t="s">
        <v>8550</v>
      </c>
      <c r="B6209" s="10" t="s">
        <v>76</v>
      </c>
      <c r="C6209" s="10" t="s">
        <v>52</v>
      </c>
      <c r="D6209" s="10" t="s">
        <v>527</v>
      </c>
      <c r="E6209" s="10" t="s">
        <v>2342</v>
      </c>
      <c r="F6209" s="30" t="n">
        <v>43073</v>
      </c>
      <c r="G6209" s="30" t="n">
        <v>43077</v>
      </c>
      <c r="H6209" s="26" t="n">
        <f aca="false">G6209-F6209</f>
        <v>4</v>
      </c>
      <c r="I6209" s="10" t="n">
        <f aca="false">IF(E6209="Won",1,0)</f>
        <v>1</v>
      </c>
    </row>
    <row r="6210" customFormat="false" ht="15" hidden="false" customHeight="false" outlineLevel="0" collapsed="false">
      <c r="A6210" s="10" t="s">
        <v>8551</v>
      </c>
      <c r="B6210" s="10" t="s">
        <v>96</v>
      </c>
      <c r="C6210" s="10" t="s">
        <v>47</v>
      </c>
      <c r="D6210" s="10" t="s">
        <v>711</v>
      </c>
      <c r="E6210" s="10" t="s">
        <v>2342</v>
      </c>
      <c r="F6210" s="30" t="n">
        <v>42977</v>
      </c>
      <c r="G6210" s="30" t="n">
        <v>43077</v>
      </c>
      <c r="H6210" s="26" t="n">
        <f aca="false">G6210-F6210</f>
        <v>100</v>
      </c>
      <c r="I6210" s="10" t="n">
        <f aca="false">IF(E6210="Won",1,0)</f>
        <v>1</v>
      </c>
    </row>
    <row r="6211" customFormat="false" ht="15" hidden="false" customHeight="false" outlineLevel="0" collapsed="false">
      <c r="A6211" s="10" t="s">
        <v>8552</v>
      </c>
      <c r="B6211" s="10" t="s">
        <v>62</v>
      </c>
      <c r="C6211" s="10" t="s">
        <v>51</v>
      </c>
      <c r="D6211" s="10" t="s">
        <v>674</v>
      </c>
      <c r="E6211" s="10" t="s">
        <v>2342</v>
      </c>
      <c r="F6211" s="30" t="n">
        <v>42970</v>
      </c>
      <c r="G6211" s="30" t="n">
        <v>43077</v>
      </c>
      <c r="H6211" s="26" t="n">
        <f aca="false">G6211-F6211</f>
        <v>107</v>
      </c>
      <c r="I6211" s="10" t="n">
        <f aca="false">IF(E6211="Won",1,0)</f>
        <v>1</v>
      </c>
    </row>
    <row r="6212" customFormat="false" ht="15" hidden="false" customHeight="false" outlineLevel="0" collapsed="false">
      <c r="A6212" s="10" t="s">
        <v>8553</v>
      </c>
      <c r="B6212" s="10" t="s">
        <v>68</v>
      </c>
      <c r="C6212" s="10" t="s">
        <v>49</v>
      </c>
      <c r="D6212" s="10" t="s">
        <v>396</v>
      </c>
      <c r="E6212" s="10" t="s">
        <v>2342</v>
      </c>
      <c r="F6212" s="30" t="n">
        <v>42971</v>
      </c>
      <c r="G6212" s="30" t="n">
        <v>43077</v>
      </c>
      <c r="H6212" s="26" t="n">
        <f aca="false">G6212-F6212</f>
        <v>106</v>
      </c>
      <c r="I6212" s="10" t="n">
        <f aca="false">IF(E6212="Won",1,0)</f>
        <v>1</v>
      </c>
    </row>
    <row r="6213" customFormat="false" ht="15" hidden="false" customHeight="false" outlineLevel="0" collapsed="false">
      <c r="A6213" s="10" t="s">
        <v>8554</v>
      </c>
      <c r="B6213" s="10" t="s">
        <v>73</v>
      </c>
      <c r="C6213" s="10" t="s">
        <v>52</v>
      </c>
      <c r="D6213" s="10" t="s">
        <v>1948</v>
      </c>
      <c r="E6213" s="10" t="s">
        <v>2342</v>
      </c>
      <c r="F6213" s="30" t="n">
        <v>43060</v>
      </c>
      <c r="G6213" s="30" t="n">
        <v>43077</v>
      </c>
      <c r="H6213" s="26" t="n">
        <f aca="false">G6213-F6213</f>
        <v>17</v>
      </c>
      <c r="I6213" s="10" t="n">
        <f aca="false">IF(E6213="Won",1,0)</f>
        <v>1</v>
      </c>
    </row>
    <row r="6214" customFormat="false" ht="15" hidden="false" customHeight="false" outlineLevel="0" collapsed="false">
      <c r="A6214" s="10" t="s">
        <v>8555</v>
      </c>
      <c r="B6214" s="10" t="s">
        <v>61</v>
      </c>
      <c r="C6214" s="10" t="s">
        <v>48</v>
      </c>
      <c r="D6214" s="10" t="s">
        <v>616</v>
      </c>
      <c r="E6214" s="10" t="s">
        <v>2342</v>
      </c>
      <c r="F6214" s="30" t="n">
        <v>42977</v>
      </c>
      <c r="G6214" s="30" t="n">
        <v>43077</v>
      </c>
      <c r="H6214" s="26" t="n">
        <f aca="false">G6214-F6214</f>
        <v>100</v>
      </c>
      <c r="I6214" s="10" t="n">
        <f aca="false">IF(E6214="Won",1,0)</f>
        <v>1</v>
      </c>
    </row>
    <row r="6215" customFormat="false" ht="15" hidden="false" customHeight="false" outlineLevel="0" collapsed="false">
      <c r="A6215" s="10" t="s">
        <v>8556</v>
      </c>
      <c r="B6215" s="10" t="s">
        <v>69</v>
      </c>
      <c r="C6215" s="10" t="s">
        <v>48</v>
      </c>
      <c r="D6215" s="10" t="s">
        <v>303</v>
      </c>
      <c r="E6215" s="10" t="s">
        <v>2342</v>
      </c>
      <c r="F6215" s="30" t="n">
        <v>42994</v>
      </c>
      <c r="G6215" s="30" t="n">
        <v>43077</v>
      </c>
      <c r="H6215" s="26" t="n">
        <f aca="false">G6215-F6215</f>
        <v>83</v>
      </c>
      <c r="I6215" s="10" t="n">
        <f aca="false">IF(E6215="Won",1,0)</f>
        <v>1</v>
      </c>
    </row>
    <row r="6216" customFormat="false" ht="15" hidden="false" customHeight="false" outlineLevel="0" collapsed="false">
      <c r="A6216" s="10" t="s">
        <v>8557</v>
      </c>
      <c r="B6216" s="10" t="s">
        <v>80</v>
      </c>
      <c r="C6216" s="10" t="s">
        <v>47</v>
      </c>
      <c r="D6216" s="10" t="s">
        <v>512</v>
      </c>
      <c r="E6216" s="10" t="s">
        <v>2345</v>
      </c>
      <c r="F6216" s="30" t="n">
        <v>43003</v>
      </c>
      <c r="G6216" s="30" t="n">
        <v>43077</v>
      </c>
      <c r="H6216" s="26" t="n">
        <f aca="false">G6216-F6216</f>
        <v>74</v>
      </c>
      <c r="I6216" s="10" t="n">
        <f aca="false">IF(E6216="Won",1,0)</f>
        <v>0</v>
      </c>
    </row>
    <row r="6217" customFormat="false" ht="15" hidden="false" customHeight="false" outlineLevel="0" collapsed="false">
      <c r="A6217" s="10" t="s">
        <v>8558</v>
      </c>
      <c r="B6217" s="10" t="s">
        <v>95</v>
      </c>
      <c r="C6217" s="10" t="s">
        <v>50</v>
      </c>
      <c r="D6217" s="10" t="s">
        <v>487</v>
      </c>
      <c r="E6217" s="10" t="s">
        <v>2342</v>
      </c>
      <c r="F6217" s="30" t="n">
        <v>42986</v>
      </c>
      <c r="G6217" s="30" t="n">
        <v>43077</v>
      </c>
      <c r="H6217" s="26" t="n">
        <f aca="false">G6217-F6217</f>
        <v>91</v>
      </c>
      <c r="I6217" s="10" t="n">
        <f aca="false">IF(E6217="Won",1,0)</f>
        <v>1</v>
      </c>
    </row>
    <row r="6218" customFormat="false" ht="15" hidden="false" customHeight="false" outlineLevel="0" collapsed="false">
      <c r="A6218" s="10" t="s">
        <v>8559</v>
      </c>
      <c r="B6218" s="10" t="s">
        <v>95</v>
      </c>
      <c r="C6218" s="10" t="s">
        <v>51</v>
      </c>
      <c r="D6218" s="10" t="s">
        <v>344</v>
      </c>
      <c r="E6218" s="10" t="s">
        <v>2342</v>
      </c>
      <c r="F6218" s="30" t="n">
        <v>43015</v>
      </c>
      <c r="G6218" s="30" t="n">
        <v>43077</v>
      </c>
      <c r="H6218" s="26" t="n">
        <f aca="false">G6218-F6218</f>
        <v>62</v>
      </c>
      <c r="I6218" s="10" t="n">
        <f aca="false">IF(E6218="Won",1,0)</f>
        <v>1</v>
      </c>
    </row>
    <row r="6219" customFormat="false" ht="15" hidden="false" customHeight="false" outlineLevel="0" collapsed="false">
      <c r="A6219" s="10" t="s">
        <v>8560</v>
      </c>
      <c r="B6219" s="10" t="s">
        <v>62</v>
      </c>
      <c r="C6219" s="10" t="s">
        <v>52</v>
      </c>
      <c r="D6219" s="10" t="s">
        <v>464</v>
      </c>
      <c r="E6219" s="10" t="s">
        <v>2342</v>
      </c>
      <c r="F6219" s="30" t="n">
        <v>42982</v>
      </c>
      <c r="G6219" s="30" t="n">
        <v>43077</v>
      </c>
      <c r="H6219" s="26" t="n">
        <f aca="false">G6219-F6219</f>
        <v>95</v>
      </c>
      <c r="I6219" s="10" t="n">
        <f aca="false">IF(E6219="Won",1,0)</f>
        <v>1</v>
      </c>
    </row>
    <row r="6220" customFormat="false" ht="15" hidden="false" customHeight="false" outlineLevel="0" collapsed="false">
      <c r="A6220" s="10" t="s">
        <v>8561</v>
      </c>
      <c r="B6220" s="10" t="s">
        <v>84</v>
      </c>
      <c r="C6220" s="10" t="s">
        <v>49</v>
      </c>
      <c r="D6220" s="10" t="s">
        <v>427</v>
      </c>
      <c r="E6220" s="10" t="s">
        <v>2345</v>
      </c>
      <c r="F6220" s="30" t="n">
        <v>42954</v>
      </c>
      <c r="G6220" s="30" t="n">
        <v>43077</v>
      </c>
      <c r="H6220" s="26" t="n">
        <f aca="false">G6220-F6220</f>
        <v>123</v>
      </c>
      <c r="I6220" s="10" t="n">
        <f aca="false">IF(E6220="Won",1,0)</f>
        <v>0</v>
      </c>
    </row>
    <row r="6221" customFormat="false" ht="15" hidden="false" customHeight="false" outlineLevel="0" collapsed="false">
      <c r="A6221" s="10" t="s">
        <v>8562</v>
      </c>
      <c r="B6221" s="10" t="s">
        <v>84</v>
      </c>
      <c r="C6221" s="10" t="s">
        <v>47</v>
      </c>
      <c r="D6221" s="10" t="s">
        <v>453</v>
      </c>
      <c r="E6221" s="10" t="s">
        <v>2342</v>
      </c>
      <c r="F6221" s="30" t="n">
        <v>43043</v>
      </c>
      <c r="G6221" s="30" t="n">
        <v>43077</v>
      </c>
      <c r="H6221" s="26" t="n">
        <f aca="false">G6221-F6221</f>
        <v>34</v>
      </c>
      <c r="I6221" s="10" t="n">
        <f aca="false">IF(E6221="Won",1,0)</f>
        <v>1</v>
      </c>
    </row>
    <row r="6222" customFormat="false" ht="15" hidden="false" customHeight="false" outlineLevel="0" collapsed="false">
      <c r="A6222" s="10" t="s">
        <v>8563</v>
      </c>
      <c r="B6222" s="10" t="s">
        <v>70</v>
      </c>
      <c r="C6222" s="10" t="s">
        <v>52</v>
      </c>
      <c r="D6222" s="10" t="s">
        <v>227</v>
      </c>
      <c r="E6222" s="10" t="s">
        <v>2342</v>
      </c>
      <c r="F6222" s="30" t="n">
        <v>43007</v>
      </c>
      <c r="G6222" s="30" t="n">
        <v>43077</v>
      </c>
      <c r="H6222" s="26" t="n">
        <f aca="false">G6222-F6222</f>
        <v>70</v>
      </c>
      <c r="I6222" s="10" t="n">
        <f aca="false">IF(E6222="Won",1,0)</f>
        <v>1</v>
      </c>
    </row>
    <row r="6223" customFormat="false" ht="15" hidden="false" customHeight="false" outlineLevel="0" collapsed="false">
      <c r="A6223" s="10" t="s">
        <v>8564</v>
      </c>
      <c r="B6223" s="10" t="s">
        <v>68</v>
      </c>
      <c r="C6223" s="10" t="s">
        <v>50</v>
      </c>
      <c r="D6223" s="10" t="s">
        <v>172</v>
      </c>
      <c r="E6223" s="10" t="s">
        <v>2342</v>
      </c>
      <c r="F6223" s="30" t="n">
        <v>42956</v>
      </c>
      <c r="G6223" s="30" t="n">
        <v>43077</v>
      </c>
      <c r="H6223" s="26" t="n">
        <f aca="false">G6223-F6223</f>
        <v>121</v>
      </c>
      <c r="I6223" s="10" t="n">
        <f aca="false">IF(E6223="Won",1,0)</f>
        <v>1</v>
      </c>
    </row>
    <row r="6224" customFormat="false" ht="15" hidden="false" customHeight="false" outlineLevel="0" collapsed="false">
      <c r="A6224" s="10" t="s">
        <v>8565</v>
      </c>
      <c r="B6224" s="10" t="s">
        <v>68</v>
      </c>
      <c r="C6224" s="10" t="s">
        <v>52</v>
      </c>
      <c r="D6224" s="10" t="s">
        <v>303</v>
      </c>
      <c r="E6224" s="10" t="s">
        <v>2342</v>
      </c>
      <c r="F6224" s="30" t="n">
        <v>42993</v>
      </c>
      <c r="G6224" s="30" t="n">
        <v>43078</v>
      </c>
      <c r="H6224" s="26" t="n">
        <f aca="false">G6224-F6224</f>
        <v>85</v>
      </c>
      <c r="I6224" s="10" t="n">
        <f aca="false">IF(E6224="Won",1,0)</f>
        <v>1</v>
      </c>
    </row>
    <row r="6225" customFormat="false" ht="15" hidden="false" customHeight="false" outlineLevel="0" collapsed="false">
      <c r="A6225" s="10" t="s">
        <v>8566</v>
      </c>
      <c r="B6225" s="10" t="s">
        <v>88</v>
      </c>
      <c r="C6225" s="10" t="s">
        <v>50</v>
      </c>
      <c r="D6225" s="10" t="s">
        <v>1397</v>
      </c>
      <c r="E6225" s="10" t="s">
        <v>2342</v>
      </c>
      <c r="F6225" s="30" t="n">
        <v>43067</v>
      </c>
      <c r="G6225" s="30" t="n">
        <v>43078</v>
      </c>
      <c r="H6225" s="26" t="n">
        <f aca="false">G6225-F6225</f>
        <v>11</v>
      </c>
      <c r="I6225" s="10" t="n">
        <f aca="false">IF(E6225="Won",1,0)</f>
        <v>1</v>
      </c>
    </row>
    <row r="6226" customFormat="false" ht="15" hidden="false" customHeight="false" outlineLevel="0" collapsed="false">
      <c r="A6226" s="10" t="s">
        <v>8567</v>
      </c>
      <c r="B6226" s="10" t="s">
        <v>77</v>
      </c>
      <c r="C6226" s="10" t="s">
        <v>47</v>
      </c>
      <c r="D6226" s="10" t="s">
        <v>414</v>
      </c>
      <c r="E6226" s="10" t="s">
        <v>2342</v>
      </c>
      <c r="F6226" s="30" t="n">
        <v>42993</v>
      </c>
      <c r="G6226" s="30" t="n">
        <v>43078</v>
      </c>
      <c r="H6226" s="26" t="n">
        <f aca="false">G6226-F6226</f>
        <v>85</v>
      </c>
      <c r="I6226" s="10" t="n">
        <f aca="false">IF(E6226="Won",1,0)</f>
        <v>1</v>
      </c>
    </row>
    <row r="6227" customFormat="false" ht="15" hidden="false" customHeight="false" outlineLevel="0" collapsed="false">
      <c r="A6227" s="10" t="s">
        <v>8568</v>
      </c>
      <c r="B6227" s="10" t="s">
        <v>75</v>
      </c>
      <c r="C6227" s="10" t="s">
        <v>47</v>
      </c>
      <c r="D6227" s="10" t="s">
        <v>388</v>
      </c>
      <c r="E6227" s="10" t="s">
        <v>2342</v>
      </c>
      <c r="F6227" s="30" t="n">
        <v>43070</v>
      </c>
      <c r="G6227" s="30" t="n">
        <v>43078</v>
      </c>
      <c r="H6227" s="26" t="n">
        <f aca="false">G6227-F6227</f>
        <v>8</v>
      </c>
      <c r="I6227" s="10" t="n">
        <f aca="false">IF(E6227="Won",1,0)</f>
        <v>1</v>
      </c>
    </row>
    <row r="6228" customFormat="false" ht="15" hidden="false" customHeight="false" outlineLevel="0" collapsed="false">
      <c r="A6228" s="10" t="s">
        <v>8569</v>
      </c>
      <c r="B6228" s="10" t="s">
        <v>76</v>
      </c>
      <c r="C6228" s="10" t="s">
        <v>52</v>
      </c>
      <c r="D6228" s="10" t="s">
        <v>259</v>
      </c>
      <c r="E6228" s="10" t="s">
        <v>2342</v>
      </c>
      <c r="F6228" s="30" t="n">
        <v>42990</v>
      </c>
      <c r="G6228" s="30" t="n">
        <v>43078</v>
      </c>
      <c r="H6228" s="26" t="n">
        <f aca="false">G6228-F6228</f>
        <v>88</v>
      </c>
      <c r="I6228" s="10" t="n">
        <f aca="false">IF(E6228="Won",1,0)</f>
        <v>1</v>
      </c>
    </row>
    <row r="6229" customFormat="false" ht="15" hidden="false" customHeight="false" outlineLevel="0" collapsed="false">
      <c r="A6229" s="10" t="s">
        <v>8570</v>
      </c>
      <c r="B6229" s="10" t="s">
        <v>94</v>
      </c>
      <c r="C6229" s="10" t="s">
        <v>47</v>
      </c>
      <c r="D6229" s="10" t="s">
        <v>170</v>
      </c>
      <c r="E6229" s="10" t="s">
        <v>2342</v>
      </c>
      <c r="F6229" s="30" t="n">
        <v>42998</v>
      </c>
      <c r="G6229" s="30" t="n">
        <v>43078</v>
      </c>
      <c r="H6229" s="26" t="n">
        <f aca="false">G6229-F6229</f>
        <v>80</v>
      </c>
      <c r="I6229" s="10" t="n">
        <f aca="false">IF(E6229="Won",1,0)</f>
        <v>1</v>
      </c>
    </row>
    <row r="6230" customFormat="false" ht="15" hidden="false" customHeight="false" outlineLevel="0" collapsed="false">
      <c r="A6230" s="10" t="s">
        <v>8571</v>
      </c>
      <c r="B6230" s="10" t="s">
        <v>88</v>
      </c>
      <c r="C6230" s="10" t="s">
        <v>52</v>
      </c>
      <c r="D6230" s="10" t="s">
        <v>254</v>
      </c>
      <c r="E6230" s="10" t="s">
        <v>2345</v>
      </c>
      <c r="F6230" s="30" t="n">
        <v>43021</v>
      </c>
      <c r="G6230" s="30" t="n">
        <v>43078</v>
      </c>
      <c r="H6230" s="26" t="n">
        <f aca="false">G6230-F6230</f>
        <v>57</v>
      </c>
      <c r="I6230" s="10" t="n">
        <f aca="false">IF(E6230="Won",1,0)</f>
        <v>0</v>
      </c>
    </row>
    <row r="6231" customFormat="false" ht="15" hidden="false" customHeight="false" outlineLevel="0" collapsed="false">
      <c r="A6231" s="10" t="s">
        <v>8572</v>
      </c>
      <c r="B6231" s="10" t="s">
        <v>77</v>
      </c>
      <c r="C6231" s="10" t="s">
        <v>48</v>
      </c>
      <c r="D6231" s="10" t="s">
        <v>869</v>
      </c>
      <c r="E6231" s="10" t="s">
        <v>2342</v>
      </c>
      <c r="F6231" s="30" t="n">
        <v>42977</v>
      </c>
      <c r="G6231" s="30" t="n">
        <v>43078</v>
      </c>
      <c r="H6231" s="26" t="n">
        <f aca="false">G6231-F6231</f>
        <v>101</v>
      </c>
      <c r="I6231" s="10" t="n">
        <f aca="false">IF(E6231="Won",1,0)</f>
        <v>1</v>
      </c>
    </row>
    <row r="6232" customFormat="false" ht="15" hidden="false" customHeight="false" outlineLevel="0" collapsed="false">
      <c r="A6232" s="10" t="s">
        <v>8573</v>
      </c>
      <c r="B6232" s="10" t="s">
        <v>96</v>
      </c>
      <c r="C6232" s="10" t="s">
        <v>50</v>
      </c>
      <c r="D6232" s="10" t="s">
        <v>286</v>
      </c>
      <c r="E6232" s="10" t="s">
        <v>2342</v>
      </c>
      <c r="F6232" s="30" t="n">
        <v>43006</v>
      </c>
      <c r="G6232" s="30" t="n">
        <v>43078</v>
      </c>
      <c r="H6232" s="26" t="n">
        <f aca="false">G6232-F6232</f>
        <v>72</v>
      </c>
      <c r="I6232" s="10" t="n">
        <f aca="false">IF(E6232="Won",1,0)</f>
        <v>1</v>
      </c>
    </row>
    <row r="6233" customFormat="false" ht="15" hidden="false" customHeight="false" outlineLevel="0" collapsed="false">
      <c r="A6233" s="10" t="s">
        <v>8574</v>
      </c>
      <c r="B6233" s="10" t="s">
        <v>68</v>
      </c>
      <c r="C6233" s="10" t="s">
        <v>50</v>
      </c>
      <c r="D6233" s="10" t="s">
        <v>396</v>
      </c>
      <c r="E6233" s="10" t="s">
        <v>2342</v>
      </c>
      <c r="F6233" s="30" t="n">
        <v>42984</v>
      </c>
      <c r="G6233" s="30" t="n">
        <v>43078</v>
      </c>
      <c r="H6233" s="26" t="n">
        <f aca="false">G6233-F6233</f>
        <v>94</v>
      </c>
      <c r="I6233" s="10" t="n">
        <f aca="false">IF(E6233="Won",1,0)</f>
        <v>1</v>
      </c>
    </row>
    <row r="6234" customFormat="false" ht="15" hidden="false" customHeight="false" outlineLevel="0" collapsed="false">
      <c r="A6234" s="10" t="s">
        <v>8575</v>
      </c>
      <c r="B6234" s="10" t="s">
        <v>86</v>
      </c>
      <c r="C6234" s="10" t="s">
        <v>49</v>
      </c>
      <c r="D6234" s="10" t="s">
        <v>453</v>
      </c>
      <c r="E6234" s="10" t="s">
        <v>2342</v>
      </c>
      <c r="F6234" s="30" t="n">
        <v>43003</v>
      </c>
      <c r="G6234" s="30" t="n">
        <v>43078</v>
      </c>
      <c r="H6234" s="26" t="n">
        <f aca="false">G6234-F6234</f>
        <v>75</v>
      </c>
      <c r="I6234" s="10" t="n">
        <f aca="false">IF(E6234="Won",1,0)</f>
        <v>1</v>
      </c>
    </row>
    <row r="6235" customFormat="false" ht="15" hidden="false" customHeight="false" outlineLevel="0" collapsed="false">
      <c r="A6235" s="10" t="s">
        <v>8576</v>
      </c>
      <c r="B6235" s="10" t="s">
        <v>68</v>
      </c>
      <c r="C6235" s="10" t="s">
        <v>47</v>
      </c>
      <c r="D6235" s="10" t="s">
        <v>286</v>
      </c>
      <c r="E6235" s="10" t="s">
        <v>2345</v>
      </c>
      <c r="F6235" s="30" t="n">
        <v>42994</v>
      </c>
      <c r="G6235" s="30" t="n">
        <v>43078</v>
      </c>
      <c r="H6235" s="26" t="n">
        <f aca="false">G6235-F6235</f>
        <v>84</v>
      </c>
      <c r="I6235" s="10" t="n">
        <f aca="false">IF(E6235="Won",1,0)</f>
        <v>0</v>
      </c>
    </row>
    <row r="6236" customFormat="false" ht="15" hidden="false" customHeight="false" outlineLevel="0" collapsed="false">
      <c r="A6236" s="10" t="s">
        <v>8577</v>
      </c>
      <c r="B6236" s="10" t="s">
        <v>76</v>
      </c>
      <c r="C6236" s="10" t="s">
        <v>52</v>
      </c>
      <c r="D6236" s="10" t="s">
        <v>597</v>
      </c>
      <c r="E6236" s="10" t="s">
        <v>2342</v>
      </c>
      <c r="F6236" s="30" t="n">
        <v>42971</v>
      </c>
      <c r="G6236" s="30" t="n">
        <v>43078</v>
      </c>
      <c r="H6236" s="26" t="n">
        <f aca="false">G6236-F6236</f>
        <v>107</v>
      </c>
      <c r="I6236" s="10" t="n">
        <f aca="false">IF(E6236="Won",1,0)</f>
        <v>1</v>
      </c>
    </row>
    <row r="6237" customFormat="false" ht="15" hidden="false" customHeight="false" outlineLevel="0" collapsed="false">
      <c r="A6237" s="10" t="s">
        <v>8578</v>
      </c>
      <c r="B6237" s="10" t="s">
        <v>75</v>
      </c>
      <c r="C6237" s="10" t="s">
        <v>47</v>
      </c>
      <c r="D6237" s="10" t="s">
        <v>311</v>
      </c>
      <c r="E6237" s="10" t="s">
        <v>2342</v>
      </c>
      <c r="F6237" s="30" t="n">
        <v>43059</v>
      </c>
      <c r="G6237" s="30" t="n">
        <v>43078</v>
      </c>
      <c r="H6237" s="26" t="n">
        <f aca="false">G6237-F6237</f>
        <v>19</v>
      </c>
      <c r="I6237" s="10" t="n">
        <f aca="false">IF(E6237="Won",1,0)</f>
        <v>1</v>
      </c>
    </row>
    <row r="6238" customFormat="false" ht="15" hidden="false" customHeight="false" outlineLevel="0" collapsed="false">
      <c r="A6238" s="10" t="s">
        <v>8579</v>
      </c>
      <c r="B6238" s="10" t="s">
        <v>87</v>
      </c>
      <c r="C6238" s="10" t="s">
        <v>48</v>
      </c>
      <c r="D6238" s="10" t="s">
        <v>405</v>
      </c>
      <c r="E6238" s="10" t="s">
        <v>2342</v>
      </c>
      <c r="F6238" s="30" t="n">
        <v>43063</v>
      </c>
      <c r="G6238" s="30" t="n">
        <v>43078</v>
      </c>
      <c r="H6238" s="26" t="n">
        <f aca="false">G6238-F6238</f>
        <v>15</v>
      </c>
      <c r="I6238" s="10" t="n">
        <f aca="false">IF(E6238="Won",1,0)</f>
        <v>1</v>
      </c>
    </row>
    <row r="6239" customFormat="false" ht="15" hidden="false" customHeight="false" outlineLevel="0" collapsed="false">
      <c r="A6239" s="10" t="s">
        <v>8580</v>
      </c>
      <c r="B6239" s="10" t="s">
        <v>96</v>
      </c>
      <c r="C6239" s="10" t="s">
        <v>48</v>
      </c>
      <c r="D6239" s="10" t="s">
        <v>437</v>
      </c>
      <c r="E6239" s="10" t="s">
        <v>2342</v>
      </c>
      <c r="F6239" s="30" t="n">
        <v>42997</v>
      </c>
      <c r="G6239" s="30" t="n">
        <v>43078</v>
      </c>
      <c r="H6239" s="26" t="n">
        <f aca="false">G6239-F6239</f>
        <v>81</v>
      </c>
      <c r="I6239" s="10" t="n">
        <f aca="false">IF(E6239="Won",1,0)</f>
        <v>1</v>
      </c>
    </row>
    <row r="6240" customFormat="false" ht="15" hidden="false" customHeight="false" outlineLevel="0" collapsed="false">
      <c r="A6240" s="10" t="s">
        <v>8581</v>
      </c>
      <c r="B6240" s="10" t="s">
        <v>83</v>
      </c>
      <c r="C6240" s="10" t="s">
        <v>51</v>
      </c>
      <c r="D6240" s="10" t="s">
        <v>483</v>
      </c>
      <c r="E6240" s="10" t="s">
        <v>2342</v>
      </c>
      <c r="F6240" s="30" t="n">
        <v>42956</v>
      </c>
      <c r="G6240" s="30" t="n">
        <v>43078</v>
      </c>
      <c r="H6240" s="26" t="n">
        <f aca="false">G6240-F6240</f>
        <v>122</v>
      </c>
      <c r="I6240" s="10" t="n">
        <f aca="false">IF(E6240="Won",1,0)</f>
        <v>1</v>
      </c>
    </row>
    <row r="6241" customFormat="false" ht="15" hidden="false" customHeight="false" outlineLevel="0" collapsed="false">
      <c r="A6241" s="10" t="s">
        <v>8582</v>
      </c>
      <c r="B6241" s="10" t="s">
        <v>63</v>
      </c>
      <c r="C6241" s="10" t="s">
        <v>47</v>
      </c>
      <c r="D6241" s="10" t="s">
        <v>359</v>
      </c>
      <c r="E6241" s="10" t="s">
        <v>2342</v>
      </c>
      <c r="F6241" s="30" t="n">
        <v>43003</v>
      </c>
      <c r="G6241" s="30" t="n">
        <v>43078</v>
      </c>
      <c r="H6241" s="26" t="n">
        <f aca="false">G6241-F6241</f>
        <v>75</v>
      </c>
      <c r="I6241" s="10" t="n">
        <f aca="false">IF(E6241="Won",1,0)</f>
        <v>1</v>
      </c>
    </row>
    <row r="6242" customFormat="false" ht="15" hidden="false" customHeight="false" outlineLevel="0" collapsed="false">
      <c r="A6242" s="10" t="s">
        <v>8583</v>
      </c>
      <c r="B6242" s="10" t="s">
        <v>90</v>
      </c>
      <c r="C6242" s="10" t="s">
        <v>50</v>
      </c>
      <c r="D6242" s="10" t="s">
        <v>274</v>
      </c>
      <c r="E6242" s="10" t="s">
        <v>2342</v>
      </c>
      <c r="F6242" s="30" t="n">
        <v>43011</v>
      </c>
      <c r="G6242" s="30" t="n">
        <v>43078</v>
      </c>
      <c r="H6242" s="26" t="n">
        <f aca="false">G6242-F6242</f>
        <v>67</v>
      </c>
      <c r="I6242" s="10" t="n">
        <f aca="false">IF(E6242="Won",1,0)</f>
        <v>1</v>
      </c>
    </row>
    <row r="6243" customFormat="false" ht="15" hidden="false" customHeight="false" outlineLevel="0" collapsed="false">
      <c r="A6243" s="10" t="s">
        <v>8584</v>
      </c>
      <c r="B6243" s="10" t="s">
        <v>79</v>
      </c>
      <c r="C6243" s="10" t="s">
        <v>48</v>
      </c>
      <c r="D6243" s="10" t="s">
        <v>291</v>
      </c>
      <c r="E6243" s="10" t="s">
        <v>2342</v>
      </c>
      <c r="F6243" s="30" t="n">
        <v>43027</v>
      </c>
      <c r="G6243" s="30" t="n">
        <v>43078</v>
      </c>
      <c r="H6243" s="26" t="n">
        <f aca="false">G6243-F6243</f>
        <v>51</v>
      </c>
      <c r="I6243" s="10" t="n">
        <f aca="false">IF(E6243="Won",1,0)</f>
        <v>1</v>
      </c>
    </row>
    <row r="6244" customFormat="false" ht="15" hidden="false" customHeight="false" outlineLevel="0" collapsed="false">
      <c r="A6244" s="10" t="s">
        <v>8585</v>
      </c>
      <c r="B6244" s="10" t="s">
        <v>61</v>
      </c>
      <c r="C6244" s="10" t="s">
        <v>51</v>
      </c>
      <c r="D6244" s="10" t="s">
        <v>532</v>
      </c>
      <c r="E6244" s="10" t="s">
        <v>2342</v>
      </c>
      <c r="F6244" s="30" t="n">
        <v>43019</v>
      </c>
      <c r="G6244" s="30" t="n">
        <v>43079</v>
      </c>
      <c r="H6244" s="26" t="n">
        <f aca="false">G6244-F6244</f>
        <v>60</v>
      </c>
      <c r="I6244" s="10" t="n">
        <f aca="false">IF(E6244="Won",1,0)</f>
        <v>1</v>
      </c>
    </row>
    <row r="6245" customFormat="false" ht="15" hidden="false" customHeight="false" outlineLevel="0" collapsed="false">
      <c r="A6245" s="10" t="s">
        <v>8586</v>
      </c>
      <c r="B6245" s="10" t="s">
        <v>88</v>
      </c>
      <c r="C6245" s="10" t="s">
        <v>49</v>
      </c>
      <c r="D6245" s="10" t="s">
        <v>233</v>
      </c>
      <c r="E6245" s="10" t="s">
        <v>2345</v>
      </c>
      <c r="F6245" s="30" t="n">
        <v>43021</v>
      </c>
      <c r="G6245" s="30" t="n">
        <v>43079</v>
      </c>
      <c r="H6245" s="26" t="n">
        <f aca="false">G6245-F6245</f>
        <v>58</v>
      </c>
      <c r="I6245" s="10" t="n">
        <f aca="false">IF(E6245="Won",1,0)</f>
        <v>0</v>
      </c>
    </row>
    <row r="6246" customFormat="false" ht="15" hidden="false" customHeight="false" outlineLevel="0" collapsed="false">
      <c r="A6246" s="10" t="s">
        <v>8587</v>
      </c>
      <c r="B6246" s="10" t="s">
        <v>68</v>
      </c>
      <c r="C6246" s="10" t="s">
        <v>52</v>
      </c>
      <c r="D6246" s="10" t="s">
        <v>227</v>
      </c>
      <c r="E6246" s="10" t="s">
        <v>2342</v>
      </c>
      <c r="F6246" s="30" t="n">
        <v>43048</v>
      </c>
      <c r="G6246" s="30" t="n">
        <v>43079</v>
      </c>
      <c r="H6246" s="26" t="n">
        <f aca="false">G6246-F6246</f>
        <v>31</v>
      </c>
      <c r="I6246" s="10" t="n">
        <f aca="false">IF(E6246="Won",1,0)</f>
        <v>1</v>
      </c>
    </row>
    <row r="6247" customFormat="false" ht="15" hidden="false" customHeight="false" outlineLevel="0" collapsed="false">
      <c r="A6247" s="10" t="s">
        <v>8588</v>
      </c>
      <c r="B6247" s="10" t="s">
        <v>86</v>
      </c>
      <c r="C6247" s="10" t="s">
        <v>49</v>
      </c>
      <c r="D6247" s="10" t="s">
        <v>286</v>
      </c>
      <c r="E6247" s="10" t="s">
        <v>2342</v>
      </c>
      <c r="F6247" s="30" t="n">
        <v>43039</v>
      </c>
      <c r="G6247" s="30" t="n">
        <v>43079</v>
      </c>
      <c r="H6247" s="26" t="n">
        <f aca="false">G6247-F6247</f>
        <v>40</v>
      </c>
      <c r="I6247" s="10" t="n">
        <f aca="false">IF(E6247="Won",1,0)</f>
        <v>1</v>
      </c>
    </row>
    <row r="6248" customFormat="false" ht="15" hidden="false" customHeight="false" outlineLevel="0" collapsed="false">
      <c r="A6248" s="10" t="s">
        <v>8589</v>
      </c>
      <c r="B6248" s="10" t="s">
        <v>74</v>
      </c>
      <c r="C6248" s="10" t="s">
        <v>51</v>
      </c>
      <c r="D6248" s="10" t="s">
        <v>512</v>
      </c>
      <c r="E6248" s="10" t="s">
        <v>2345</v>
      </c>
      <c r="F6248" s="30" t="n">
        <v>42953</v>
      </c>
      <c r="G6248" s="30" t="n">
        <v>43079</v>
      </c>
      <c r="H6248" s="26" t="n">
        <f aca="false">G6248-F6248</f>
        <v>126</v>
      </c>
      <c r="I6248" s="10" t="n">
        <f aca="false">IF(E6248="Won",1,0)</f>
        <v>0</v>
      </c>
    </row>
    <row r="6249" customFormat="false" ht="15" hidden="false" customHeight="false" outlineLevel="0" collapsed="false">
      <c r="A6249" s="10" t="s">
        <v>8590</v>
      </c>
      <c r="B6249" s="10" t="s">
        <v>93</v>
      </c>
      <c r="C6249" s="10" t="s">
        <v>52</v>
      </c>
      <c r="D6249" s="10" t="s">
        <v>986</v>
      </c>
      <c r="E6249" s="10" t="s">
        <v>2342</v>
      </c>
      <c r="F6249" s="30" t="n">
        <v>43072</v>
      </c>
      <c r="G6249" s="30" t="n">
        <v>43079</v>
      </c>
      <c r="H6249" s="26" t="n">
        <f aca="false">G6249-F6249</f>
        <v>7</v>
      </c>
      <c r="I6249" s="10" t="n">
        <f aca="false">IF(E6249="Won",1,0)</f>
        <v>1</v>
      </c>
    </row>
    <row r="6250" customFormat="false" ht="15" hidden="false" customHeight="false" outlineLevel="0" collapsed="false">
      <c r="A6250" s="10" t="s">
        <v>8591</v>
      </c>
      <c r="B6250" s="10" t="s">
        <v>74</v>
      </c>
      <c r="C6250" s="10" t="s">
        <v>49</v>
      </c>
      <c r="D6250" s="10" t="s">
        <v>267</v>
      </c>
      <c r="E6250" s="10" t="s">
        <v>2342</v>
      </c>
      <c r="F6250" s="30" t="n">
        <v>43007</v>
      </c>
      <c r="G6250" s="30" t="n">
        <v>43079</v>
      </c>
      <c r="H6250" s="26" t="n">
        <f aca="false">G6250-F6250</f>
        <v>72</v>
      </c>
      <c r="I6250" s="10" t="n">
        <f aca="false">IF(E6250="Won",1,0)</f>
        <v>1</v>
      </c>
    </row>
    <row r="6251" customFormat="false" ht="15" hidden="false" customHeight="false" outlineLevel="0" collapsed="false">
      <c r="A6251" s="10" t="s">
        <v>8592</v>
      </c>
      <c r="B6251" s="10" t="s">
        <v>93</v>
      </c>
      <c r="C6251" s="10" t="s">
        <v>47</v>
      </c>
      <c r="D6251" s="10" t="s">
        <v>424</v>
      </c>
      <c r="E6251" s="10" t="s">
        <v>2342</v>
      </c>
      <c r="F6251" s="30" t="n">
        <v>43064</v>
      </c>
      <c r="G6251" s="30" t="n">
        <v>43079</v>
      </c>
      <c r="H6251" s="26" t="n">
        <f aca="false">G6251-F6251</f>
        <v>15</v>
      </c>
      <c r="I6251" s="10" t="n">
        <f aca="false">IF(E6251="Won",1,0)</f>
        <v>1</v>
      </c>
    </row>
    <row r="6252" customFormat="false" ht="15" hidden="false" customHeight="false" outlineLevel="0" collapsed="false">
      <c r="A6252" s="10" t="s">
        <v>8593</v>
      </c>
      <c r="B6252" s="10" t="s">
        <v>67</v>
      </c>
      <c r="C6252" s="10" t="s">
        <v>49</v>
      </c>
      <c r="D6252" s="10" t="s">
        <v>419</v>
      </c>
      <c r="E6252" s="10" t="s">
        <v>2342</v>
      </c>
      <c r="F6252" s="30" t="n">
        <v>43008</v>
      </c>
      <c r="G6252" s="30" t="n">
        <v>43079</v>
      </c>
      <c r="H6252" s="26" t="n">
        <f aca="false">G6252-F6252</f>
        <v>71</v>
      </c>
      <c r="I6252" s="10" t="n">
        <f aca="false">IF(E6252="Won",1,0)</f>
        <v>1</v>
      </c>
    </row>
    <row r="6253" customFormat="false" ht="15" hidden="false" customHeight="false" outlineLevel="0" collapsed="false">
      <c r="A6253" s="10" t="s">
        <v>8594</v>
      </c>
      <c r="B6253" s="10" t="s">
        <v>73</v>
      </c>
      <c r="C6253" s="10" t="s">
        <v>47</v>
      </c>
      <c r="D6253" s="10" t="s">
        <v>597</v>
      </c>
      <c r="E6253" s="10" t="s">
        <v>2342</v>
      </c>
      <c r="F6253" s="30" t="n">
        <v>43009</v>
      </c>
      <c r="G6253" s="30" t="n">
        <v>43079</v>
      </c>
      <c r="H6253" s="26" t="n">
        <f aca="false">G6253-F6253</f>
        <v>70</v>
      </c>
      <c r="I6253" s="10" t="n">
        <f aca="false">IF(E6253="Won",1,0)</f>
        <v>1</v>
      </c>
    </row>
    <row r="6254" customFormat="false" ht="15" hidden="false" customHeight="false" outlineLevel="0" collapsed="false">
      <c r="A6254" s="10" t="s">
        <v>8595</v>
      </c>
      <c r="B6254" s="10" t="s">
        <v>57</v>
      </c>
      <c r="C6254" s="10" t="s">
        <v>47</v>
      </c>
      <c r="D6254" s="10" t="s">
        <v>427</v>
      </c>
      <c r="E6254" s="10" t="s">
        <v>2345</v>
      </c>
      <c r="F6254" s="30" t="n">
        <v>43065</v>
      </c>
      <c r="G6254" s="30" t="n">
        <v>43079</v>
      </c>
      <c r="H6254" s="26" t="n">
        <f aca="false">G6254-F6254</f>
        <v>14</v>
      </c>
      <c r="I6254" s="10" t="n">
        <f aca="false">IF(E6254="Won",1,0)</f>
        <v>0</v>
      </c>
    </row>
    <row r="6255" customFormat="false" ht="15" hidden="false" customHeight="false" outlineLevel="0" collapsed="false">
      <c r="A6255" s="10" t="s">
        <v>8596</v>
      </c>
      <c r="B6255" s="10" t="s">
        <v>86</v>
      </c>
      <c r="C6255" s="10" t="s">
        <v>52</v>
      </c>
      <c r="D6255" s="10" t="s">
        <v>359</v>
      </c>
      <c r="E6255" s="10" t="s">
        <v>2345</v>
      </c>
      <c r="F6255" s="30" t="n">
        <v>43064</v>
      </c>
      <c r="G6255" s="30" t="n">
        <v>43079</v>
      </c>
      <c r="H6255" s="26" t="n">
        <f aca="false">G6255-F6255</f>
        <v>15</v>
      </c>
      <c r="I6255" s="10" t="n">
        <f aca="false">IF(E6255="Won",1,0)</f>
        <v>0</v>
      </c>
    </row>
    <row r="6256" customFormat="false" ht="15" hidden="false" customHeight="false" outlineLevel="0" collapsed="false">
      <c r="A6256" s="10" t="s">
        <v>8597</v>
      </c>
      <c r="B6256" s="10" t="s">
        <v>88</v>
      </c>
      <c r="C6256" s="10" t="s">
        <v>48</v>
      </c>
      <c r="D6256" s="10" t="s">
        <v>616</v>
      </c>
      <c r="E6256" s="10" t="s">
        <v>2342</v>
      </c>
      <c r="F6256" s="30" t="n">
        <v>43060</v>
      </c>
      <c r="G6256" s="30" t="n">
        <v>43079</v>
      </c>
      <c r="H6256" s="26" t="n">
        <f aca="false">G6256-F6256</f>
        <v>19</v>
      </c>
      <c r="I6256" s="10" t="n">
        <f aca="false">IF(E6256="Won",1,0)</f>
        <v>1</v>
      </c>
    </row>
    <row r="6257" customFormat="false" ht="15" hidden="false" customHeight="false" outlineLevel="0" collapsed="false">
      <c r="A6257" s="10" t="s">
        <v>8598</v>
      </c>
      <c r="B6257" s="10" t="s">
        <v>97</v>
      </c>
      <c r="C6257" s="10" t="s">
        <v>50</v>
      </c>
      <c r="D6257" s="10" t="s">
        <v>326</v>
      </c>
      <c r="E6257" s="10" t="s">
        <v>2342</v>
      </c>
      <c r="F6257" s="30" t="n">
        <v>43008</v>
      </c>
      <c r="G6257" s="30" t="n">
        <v>43079</v>
      </c>
      <c r="H6257" s="26" t="n">
        <f aca="false">G6257-F6257</f>
        <v>71</v>
      </c>
      <c r="I6257" s="10" t="n">
        <f aca="false">IF(E6257="Won",1,0)</f>
        <v>1</v>
      </c>
    </row>
    <row r="6258" customFormat="false" ht="15" hidden="false" customHeight="false" outlineLevel="0" collapsed="false">
      <c r="A6258" s="10" t="s">
        <v>8599</v>
      </c>
      <c r="B6258" s="10" t="s">
        <v>93</v>
      </c>
      <c r="C6258" s="10" t="s">
        <v>50</v>
      </c>
      <c r="D6258" s="10" t="s">
        <v>175</v>
      </c>
      <c r="E6258" s="10" t="s">
        <v>2342</v>
      </c>
      <c r="F6258" s="30" t="n">
        <v>42992</v>
      </c>
      <c r="G6258" s="30" t="n">
        <v>43079</v>
      </c>
      <c r="H6258" s="26" t="n">
        <f aca="false">G6258-F6258</f>
        <v>87</v>
      </c>
      <c r="I6258" s="10" t="n">
        <f aca="false">IF(E6258="Won",1,0)</f>
        <v>1</v>
      </c>
    </row>
    <row r="6259" customFormat="false" ht="15" hidden="false" customHeight="false" outlineLevel="0" collapsed="false">
      <c r="A6259" s="10" t="s">
        <v>8600</v>
      </c>
      <c r="B6259" s="10" t="s">
        <v>83</v>
      </c>
      <c r="C6259" s="10" t="s">
        <v>47</v>
      </c>
      <c r="D6259" s="10" t="s">
        <v>353</v>
      </c>
      <c r="E6259" s="10" t="s">
        <v>2342</v>
      </c>
      <c r="F6259" s="30" t="n">
        <v>43030</v>
      </c>
      <c r="G6259" s="30" t="n">
        <v>43079</v>
      </c>
      <c r="H6259" s="26" t="n">
        <f aca="false">G6259-F6259</f>
        <v>49</v>
      </c>
      <c r="I6259" s="10" t="n">
        <f aca="false">IF(E6259="Won",1,0)</f>
        <v>1</v>
      </c>
    </row>
    <row r="6260" customFormat="false" ht="15" hidden="false" customHeight="false" outlineLevel="0" collapsed="false">
      <c r="A6260" s="10" t="s">
        <v>8601</v>
      </c>
      <c r="B6260" s="10" t="s">
        <v>70</v>
      </c>
      <c r="C6260" s="10" t="s">
        <v>51</v>
      </c>
      <c r="D6260" s="10" t="s">
        <v>483</v>
      </c>
      <c r="E6260" s="10" t="s">
        <v>2342</v>
      </c>
      <c r="F6260" s="30" t="n">
        <v>43021</v>
      </c>
      <c r="G6260" s="30" t="n">
        <v>43079</v>
      </c>
      <c r="H6260" s="26" t="n">
        <f aca="false">G6260-F6260</f>
        <v>58</v>
      </c>
      <c r="I6260" s="10" t="n">
        <f aca="false">IF(E6260="Won",1,0)</f>
        <v>1</v>
      </c>
    </row>
    <row r="6261" customFormat="false" ht="15" hidden="false" customHeight="false" outlineLevel="0" collapsed="false">
      <c r="A6261" s="10" t="s">
        <v>8602</v>
      </c>
      <c r="B6261" s="10" t="s">
        <v>97</v>
      </c>
      <c r="C6261" s="10" t="s">
        <v>50</v>
      </c>
      <c r="D6261" s="10" t="s">
        <v>233</v>
      </c>
      <c r="E6261" s="10" t="s">
        <v>2342</v>
      </c>
      <c r="F6261" s="30" t="n">
        <v>43025</v>
      </c>
      <c r="G6261" s="30" t="n">
        <v>43079</v>
      </c>
      <c r="H6261" s="26" t="n">
        <f aca="false">G6261-F6261</f>
        <v>54</v>
      </c>
      <c r="I6261" s="10" t="n">
        <f aca="false">IF(E6261="Won",1,0)</f>
        <v>1</v>
      </c>
    </row>
    <row r="6262" customFormat="false" ht="15" hidden="false" customHeight="false" outlineLevel="0" collapsed="false">
      <c r="A6262" s="10" t="s">
        <v>8603</v>
      </c>
      <c r="B6262" s="10" t="s">
        <v>79</v>
      </c>
      <c r="C6262" s="10" t="s">
        <v>52</v>
      </c>
      <c r="D6262" s="10" t="s">
        <v>947</v>
      </c>
      <c r="E6262" s="10" t="s">
        <v>2345</v>
      </c>
      <c r="F6262" s="30" t="n">
        <v>42983</v>
      </c>
      <c r="G6262" s="30" t="n">
        <v>43079</v>
      </c>
      <c r="H6262" s="26" t="n">
        <f aca="false">G6262-F6262</f>
        <v>96</v>
      </c>
      <c r="I6262" s="10" t="n">
        <f aca="false">IF(E6262="Won",1,0)</f>
        <v>0</v>
      </c>
    </row>
    <row r="6263" customFormat="false" ht="15" hidden="false" customHeight="false" outlineLevel="0" collapsed="false">
      <c r="A6263" s="10" t="s">
        <v>8604</v>
      </c>
      <c r="B6263" s="10" t="s">
        <v>94</v>
      </c>
      <c r="C6263" s="10" t="s">
        <v>47</v>
      </c>
      <c r="D6263" s="10" t="s">
        <v>522</v>
      </c>
      <c r="E6263" s="10" t="s">
        <v>2342</v>
      </c>
      <c r="F6263" s="30" t="n">
        <v>42989</v>
      </c>
      <c r="G6263" s="30" t="n">
        <v>43079</v>
      </c>
      <c r="H6263" s="26" t="n">
        <f aca="false">G6263-F6263</f>
        <v>90</v>
      </c>
      <c r="I6263" s="10" t="n">
        <f aca="false">IF(E6263="Won",1,0)</f>
        <v>1</v>
      </c>
    </row>
    <row r="6264" customFormat="false" ht="15" hidden="false" customHeight="false" outlineLevel="0" collapsed="false">
      <c r="A6264" s="10" t="s">
        <v>8605</v>
      </c>
      <c r="B6264" s="10" t="s">
        <v>76</v>
      </c>
      <c r="C6264" s="10" t="s">
        <v>52</v>
      </c>
      <c r="D6264" s="10" t="s">
        <v>527</v>
      </c>
      <c r="E6264" s="10" t="s">
        <v>2342</v>
      </c>
      <c r="F6264" s="30" t="n">
        <v>43065</v>
      </c>
      <c r="G6264" s="30" t="n">
        <v>43080</v>
      </c>
      <c r="H6264" s="26" t="n">
        <f aca="false">G6264-F6264</f>
        <v>15</v>
      </c>
      <c r="I6264" s="10" t="n">
        <f aca="false">IF(E6264="Won",1,0)</f>
        <v>1</v>
      </c>
    </row>
    <row r="6265" customFormat="false" ht="15" hidden="false" customHeight="false" outlineLevel="0" collapsed="false">
      <c r="A6265" s="10" t="s">
        <v>8606</v>
      </c>
      <c r="B6265" s="10" t="s">
        <v>88</v>
      </c>
      <c r="C6265" s="10" t="s">
        <v>50</v>
      </c>
      <c r="D6265" s="10" t="s">
        <v>254</v>
      </c>
      <c r="E6265" s="10" t="s">
        <v>2345</v>
      </c>
      <c r="F6265" s="30" t="n">
        <v>43071</v>
      </c>
      <c r="G6265" s="30" t="n">
        <v>43080</v>
      </c>
      <c r="H6265" s="26" t="n">
        <f aca="false">G6265-F6265</f>
        <v>9</v>
      </c>
      <c r="I6265" s="10" t="n">
        <f aca="false">IF(E6265="Won",1,0)</f>
        <v>0</v>
      </c>
    </row>
    <row r="6266" customFormat="false" ht="15" hidden="false" customHeight="false" outlineLevel="0" collapsed="false">
      <c r="A6266" s="10" t="s">
        <v>8607</v>
      </c>
      <c r="B6266" s="10" t="s">
        <v>63</v>
      </c>
      <c r="C6266" s="10" t="s">
        <v>49</v>
      </c>
      <c r="D6266" s="10" t="s">
        <v>277</v>
      </c>
      <c r="E6266" s="10" t="s">
        <v>2345</v>
      </c>
      <c r="F6266" s="30" t="n">
        <v>42968</v>
      </c>
      <c r="G6266" s="30" t="n">
        <v>43080</v>
      </c>
      <c r="H6266" s="26" t="n">
        <f aca="false">G6266-F6266</f>
        <v>112</v>
      </c>
      <c r="I6266" s="10" t="n">
        <f aca="false">IF(E6266="Won",1,0)</f>
        <v>0</v>
      </c>
    </row>
    <row r="6267" customFormat="false" ht="15" hidden="false" customHeight="false" outlineLevel="0" collapsed="false">
      <c r="A6267" s="10" t="s">
        <v>8608</v>
      </c>
      <c r="B6267" s="10" t="s">
        <v>75</v>
      </c>
      <c r="C6267" s="10" t="s">
        <v>51</v>
      </c>
      <c r="D6267" s="10" t="s">
        <v>369</v>
      </c>
      <c r="E6267" s="10" t="s">
        <v>2342</v>
      </c>
      <c r="F6267" s="30" t="n">
        <v>43020</v>
      </c>
      <c r="G6267" s="30" t="n">
        <v>43080</v>
      </c>
      <c r="H6267" s="26" t="n">
        <f aca="false">G6267-F6267</f>
        <v>60</v>
      </c>
      <c r="I6267" s="10" t="n">
        <f aca="false">IF(E6267="Won",1,0)</f>
        <v>1</v>
      </c>
    </row>
    <row r="6268" customFormat="false" ht="15" hidden="false" customHeight="false" outlineLevel="0" collapsed="false">
      <c r="A6268" s="10" t="s">
        <v>8609</v>
      </c>
      <c r="B6268" s="10" t="s">
        <v>96</v>
      </c>
      <c r="C6268" s="10" t="s">
        <v>47</v>
      </c>
      <c r="D6268" s="10" t="s">
        <v>419</v>
      </c>
      <c r="E6268" s="10" t="s">
        <v>2342</v>
      </c>
      <c r="F6268" s="30" t="n">
        <v>43067</v>
      </c>
      <c r="G6268" s="30" t="n">
        <v>43080</v>
      </c>
      <c r="H6268" s="26" t="n">
        <f aca="false">G6268-F6268</f>
        <v>13</v>
      </c>
      <c r="I6268" s="10" t="n">
        <f aca="false">IF(E6268="Won",1,0)</f>
        <v>1</v>
      </c>
    </row>
    <row r="6269" customFormat="false" ht="15" hidden="false" customHeight="false" outlineLevel="0" collapsed="false">
      <c r="A6269" s="10" t="s">
        <v>8610</v>
      </c>
      <c r="B6269" s="10" t="s">
        <v>88</v>
      </c>
      <c r="C6269" s="10" t="s">
        <v>47</v>
      </c>
      <c r="D6269" s="10" t="s">
        <v>453</v>
      </c>
      <c r="E6269" s="10" t="s">
        <v>2342</v>
      </c>
      <c r="F6269" s="30" t="n">
        <v>42962</v>
      </c>
      <c r="G6269" s="30" t="n">
        <v>43080</v>
      </c>
      <c r="H6269" s="26" t="n">
        <f aca="false">G6269-F6269</f>
        <v>118</v>
      </c>
      <c r="I6269" s="10" t="n">
        <f aca="false">IF(E6269="Won",1,0)</f>
        <v>1</v>
      </c>
    </row>
    <row r="6270" customFormat="false" ht="15" hidden="false" customHeight="false" outlineLevel="0" collapsed="false">
      <c r="A6270" s="10" t="s">
        <v>8611</v>
      </c>
      <c r="B6270" s="10" t="s">
        <v>70</v>
      </c>
      <c r="C6270" s="10" t="s">
        <v>51</v>
      </c>
      <c r="D6270" s="10" t="s">
        <v>326</v>
      </c>
      <c r="E6270" s="10" t="s">
        <v>2342</v>
      </c>
      <c r="F6270" s="30" t="n">
        <v>43019</v>
      </c>
      <c r="G6270" s="30" t="n">
        <v>43080</v>
      </c>
      <c r="H6270" s="26" t="n">
        <f aca="false">G6270-F6270</f>
        <v>61</v>
      </c>
      <c r="I6270" s="10" t="n">
        <f aca="false">IF(E6270="Won",1,0)</f>
        <v>1</v>
      </c>
    </row>
    <row r="6271" customFormat="false" ht="15" hidden="false" customHeight="false" outlineLevel="0" collapsed="false">
      <c r="A6271" s="10" t="s">
        <v>8612</v>
      </c>
      <c r="B6271" s="10" t="s">
        <v>77</v>
      </c>
      <c r="C6271" s="10" t="s">
        <v>49</v>
      </c>
      <c r="D6271" s="10" t="s">
        <v>697</v>
      </c>
      <c r="E6271" s="10" t="s">
        <v>2345</v>
      </c>
      <c r="F6271" s="30" t="n">
        <v>43065</v>
      </c>
      <c r="G6271" s="30" t="n">
        <v>43080</v>
      </c>
      <c r="H6271" s="26" t="n">
        <f aca="false">G6271-F6271</f>
        <v>15</v>
      </c>
      <c r="I6271" s="10" t="n">
        <f aca="false">IF(E6271="Won",1,0)</f>
        <v>0</v>
      </c>
    </row>
    <row r="6272" customFormat="false" ht="15" hidden="false" customHeight="false" outlineLevel="0" collapsed="false">
      <c r="A6272" s="10" t="s">
        <v>8613</v>
      </c>
      <c r="B6272" s="10" t="s">
        <v>77</v>
      </c>
      <c r="C6272" s="10" t="s">
        <v>51</v>
      </c>
      <c r="D6272" s="10" t="s">
        <v>414</v>
      </c>
      <c r="E6272" s="10" t="s">
        <v>2342</v>
      </c>
      <c r="F6272" s="30" t="n">
        <v>43064</v>
      </c>
      <c r="G6272" s="30" t="n">
        <v>43080</v>
      </c>
      <c r="H6272" s="26" t="n">
        <f aca="false">G6272-F6272</f>
        <v>16</v>
      </c>
      <c r="I6272" s="10" t="n">
        <f aca="false">IF(E6272="Won",1,0)</f>
        <v>1</v>
      </c>
    </row>
    <row r="6273" customFormat="false" ht="15" hidden="false" customHeight="false" outlineLevel="0" collapsed="false">
      <c r="A6273" s="10" t="s">
        <v>8614</v>
      </c>
      <c r="B6273" s="10" t="s">
        <v>93</v>
      </c>
      <c r="C6273" s="10" t="s">
        <v>50</v>
      </c>
      <c r="D6273" s="10" t="s">
        <v>286</v>
      </c>
      <c r="E6273" s="10" t="s">
        <v>2342</v>
      </c>
      <c r="F6273" s="30" t="n">
        <v>43063</v>
      </c>
      <c r="G6273" s="30" t="n">
        <v>43080</v>
      </c>
      <c r="H6273" s="26" t="n">
        <f aca="false">G6273-F6273</f>
        <v>17</v>
      </c>
      <c r="I6273" s="10" t="n">
        <f aca="false">IF(E6273="Won",1,0)</f>
        <v>1</v>
      </c>
    </row>
    <row r="6274" customFormat="false" ht="15" hidden="false" customHeight="false" outlineLevel="0" collapsed="false">
      <c r="A6274" s="10" t="s">
        <v>8615</v>
      </c>
      <c r="B6274" s="10" t="s">
        <v>79</v>
      </c>
      <c r="C6274" s="10" t="s">
        <v>50</v>
      </c>
      <c r="D6274" s="10" t="s">
        <v>291</v>
      </c>
      <c r="E6274" s="10" t="s">
        <v>2342</v>
      </c>
      <c r="F6274" s="30" t="n">
        <v>43073</v>
      </c>
      <c r="G6274" s="30" t="n">
        <v>43080</v>
      </c>
      <c r="H6274" s="26" t="n">
        <f aca="false">G6274-F6274</f>
        <v>7</v>
      </c>
      <c r="I6274" s="10" t="n">
        <f aca="false">IF(E6274="Won",1,0)</f>
        <v>1</v>
      </c>
    </row>
    <row r="6275" customFormat="false" ht="15" hidden="false" customHeight="false" outlineLevel="0" collapsed="false">
      <c r="A6275" s="10" t="s">
        <v>8616</v>
      </c>
      <c r="B6275" s="10" t="s">
        <v>77</v>
      </c>
      <c r="C6275" s="10" t="s">
        <v>48</v>
      </c>
      <c r="D6275" s="10" t="s">
        <v>414</v>
      </c>
      <c r="E6275" s="10" t="s">
        <v>2342</v>
      </c>
      <c r="F6275" s="30" t="n">
        <v>42995</v>
      </c>
      <c r="G6275" s="30" t="n">
        <v>43080</v>
      </c>
      <c r="H6275" s="26" t="n">
        <f aca="false">G6275-F6275</f>
        <v>85</v>
      </c>
      <c r="I6275" s="10" t="n">
        <f aca="false">IF(E6275="Won",1,0)</f>
        <v>1</v>
      </c>
    </row>
    <row r="6276" customFormat="false" ht="15" hidden="false" customHeight="false" outlineLevel="0" collapsed="false">
      <c r="A6276" s="10" t="s">
        <v>8617</v>
      </c>
      <c r="B6276" s="10" t="s">
        <v>90</v>
      </c>
      <c r="C6276" s="10" t="s">
        <v>50</v>
      </c>
      <c r="D6276" s="10" t="s">
        <v>350</v>
      </c>
      <c r="E6276" s="10" t="s">
        <v>2345</v>
      </c>
      <c r="F6276" s="30" t="n">
        <v>43026</v>
      </c>
      <c r="G6276" s="30" t="n">
        <v>43080</v>
      </c>
      <c r="H6276" s="26" t="n">
        <f aca="false">G6276-F6276</f>
        <v>54</v>
      </c>
      <c r="I6276" s="10" t="n">
        <f aca="false">IF(E6276="Won",1,0)</f>
        <v>0</v>
      </c>
    </row>
    <row r="6277" customFormat="false" ht="15" hidden="false" customHeight="false" outlineLevel="0" collapsed="false">
      <c r="A6277" s="10" t="s">
        <v>8618</v>
      </c>
      <c r="B6277" s="10" t="s">
        <v>75</v>
      </c>
      <c r="C6277" s="10" t="s">
        <v>50</v>
      </c>
      <c r="D6277" s="10" t="s">
        <v>210</v>
      </c>
      <c r="E6277" s="10" t="s">
        <v>2342</v>
      </c>
      <c r="F6277" s="30" t="n">
        <v>42985</v>
      </c>
      <c r="G6277" s="30" t="n">
        <v>43080</v>
      </c>
      <c r="H6277" s="26" t="n">
        <f aca="false">G6277-F6277</f>
        <v>95</v>
      </c>
      <c r="I6277" s="10" t="n">
        <f aca="false">IF(E6277="Won",1,0)</f>
        <v>1</v>
      </c>
    </row>
    <row r="6278" customFormat="false" ht="15" hidden="false" customHeight="false" outlineLevel="0" collapsed="false">
      <c r="A6278" s="10" t="s">
        <v>8619</v>
      </c>
      <c r="B6278" s="10" t="s">
        <v>71</v>
      </c>
      <c r="C6278" s="10" t="s">
        <v>50</v>
      </c>
      <c r="D6278" s="10" t="s">
        <v>524</v>
      </c>
      <c r="E6278" s="10" t="s">
        <v>2342</v>
      </c>
      <c r="F6278" s="30" t="n">
        <v>42985</v>
      </c>
      <c r="G6278" s="30" t="n">
        <v>43081</v>
      </c>
      <c r="H6278" s="26" t="n">
        <f aca="false">G6278-F6278</f>
        <v>96</v>
      </c>
      <c r="I6278" s="10" t="n">
        <f aca="false">IF(E6278="Won",1,0)</f>
        <v>1</v>
      </c>
    </row>
    <row r="6279" customFormat="false" ht="15" hidden="false" customHeight="false" outlineLevel="0" collapsed="false">
      <c r="A6279" s="10" t="s">
        <v>8620</v>
      </c>
      <c r="B6279" s="10" t="s">
        <v>76</v>
      </c>
      <c r="C6279" s="10" t="s">
        <v>52</v>
      </c>
      <c r="D6279" s="10" t="s">
        <v>1948</v>
      </c>
      <c r="E6279" s="10" t="s">
        <v>2342</v>
      </c>
      <c r="F6279" s="30" t="n">
        <v>42999</v>
      </c>
      <c r="G6279" s="30" t="n">
        <v>43081</v>
      </c>
      <c r="H6279" s="26" t="n">
        <f aca="false">G6279-F6279</f>
        <v>82</v>
      </c>
      <c r="I6279" s="10" t="n">
        <f aca="false">IF(E6279="Won",1,0)</f>
        <v>1</v>
      </c>
    </row>
    <row r="6280" customFormat="false" ht="15" hidden="false" customHeight="false" outlineLevel="0" collapsed="false">
      <c r="A6280" s="10" t="s">
        <v>8621</v>
      </c>
      <c r="B6280" s="10" t="s">
        <v>74</v>
      </c>
      <c r="C6280" s="10" t="s">
        <v>51</v>
      </c>
      <c r="D6280" s="10" t="s">
        <v>1948</v>
      </c>
      <c r="E6280" s="10" t="s">
        <v>2342</v>
      </c>
      <c r="F6280" s="30" t="n">
        <v>42992</v>
      </c>
      <c r="G6280" s="30" t="n">
        <v>43081</v>
      </c>
      <c r="H6280" s="26" t="n">
        <f aca="false">G6280-F6280</f>
        <v>89</v>
      </c>
      <c r="I6280" s="10" t="n">
        <f aca="false">IF(E6280="Won",1,0)</f>
        <v>1</v>
      </c>
    </row>
    <row r="6281" customFormat="false" ht="15" hidden="false" customHeight="false" outlineLevel="0" collapsed="false">
      <c r="A6281" s="10" t="s">
        <v>8622</v>
      </c>
      <c r="B6281" s="10" t="s">
        <v>68</v>
      </c>
      <c r="C6281" s="10" t="s">
        <v>52</v>
      </c>
      <c r="D6281" s="10" t="s">
        <v>396</v>
      </c>
      <c r="E6281" s="10" t="s">
        <v>2342</v>
      </c>
      <c r="F6281" s="30" t="n">
        <v>42981</v>
      </c>
      <c r="G6281" s="30" t="n">
        <v>43081</v>
      </c>
      <c r="H6281" s="26" t="n">
        <f aca="false">G6281-F6281</f>
        <v>100</v>
      </c>
      <c r="I6281" s="10" t="n">
        <f aca="false">IF(E6281="Won",1,0)</f>
        <v>1</v>
      </c>
    </row>
    <row r="6282" customFormat="false" ht="15" hidden="false" customHeight="false" outlineLevel="0" collapsed="false">
      <c r="A6282" s="10" t="s">
        <v>8623</v>
      </c>
      <c r="B6282" s="10" t="s">
        <v>88</v>
      </c>
      <c r="C6282" s="10" t="s">
        <v>50</v>
      </c>
      <c r="D6282" s="10" t="s">
        <v>161</v>
      </c>
      <c r="E6282" s="10" t="s">
        <v>2345</v>
      </c>
      <c r="F6282" s="30" t="n">
        <v>43071</v>
      </c>
      <c r="G6282" s="30" t="n">
        <v>43081</v>
      </c>
      <c r="H6282" s="26" t="n">
        <f aca="false">G6282-F6282</f>
        <v>10</v>
      </c>
      <c r="I6282" s="10" t="n">
        <f aca="false">IF(E6282="Won",1,0)</f>
        <v>0</v>
      </c>
    </row>
    <row r="6283" customFormat="false" ht="15" hidden="false" customHeight="false" outlineLevel="0" collapsed="false">
      <c r="A6283" s="10" t="s">
        <v>8624</v>
      </c>
      <c r="B6283" s="10" t="s">
        <v>76</v>
      </c>
      <c r="C6283" s="10" t="s">
        <v>49</v>
      </c>
      <c r="D6283" s="10" t="s">
        <v>179</v>
      </c>
      <c r="E6283" s="10" t="s">
        <v>2342</v>
      </c>
      <c r="F6283" s="30" t="n">
        <v>42987</v>
      </c>
      <c r="G6283" s="30" t="n">
        <v>43081</v>
      </c>
      <c r="H6283" s="26" t="n">
        <f aca="false">G6283-F6283</f>
        <v>94</v>
      </c>
      <c r="I6283" s="10" t="n">
        <f aca="false">IF(E6283="Won",1,0)</f>
        <v>1</v>
      </c>
    </row>
    <row r="6284" customFormat="false" ht="15" hidden="false" customHeight="false" outlineLevel="0" collapsed="false">
      <c r="A6284" s="10" t="s">
        <v>8625</v>
      </c>
      <c r="B6284" s="10" t="s">
        <v>73</v>
      </c>
      <c r="C6284" s="10" t="s">
        <v>51</v>
      </c>
      <c r="D6284" s="10" t="s">
        <v>512</v>
      </c>
      <c r="E6284" s="10" t="s">
        <v>2342</v>
      </c>
      <c r="F6284" s="30" t="n">
        <v>43075</v>
      </c>
      <c r="G6284" s="30" t="n">
        <v>43081</v>
      </c>
      <c r="H6284" s="26" t="n">
        <f aca="false">G6284-F6284</f>
        <v>6</v>
      </c>
      <c r="I6284" s="10" t="n">
        <f aca="false">IF(E6284="Won",1,0)</f>
        <v>1</v>
      </c>
    </row>
    <row r="6285" customFormat="false" ht="15" hidden="false" customHeight="false" outlineLevel="0" collapsed="false">
      <c r="A6285" s="10" t="s">
        <v>8626</v>
      </c>
      <c r="B6285" s="10" t="s">
        <v>76</v>
      </c>
      <c r="C6285" s="10" t="s">
        <v>49</v>
      </c>
      <c r="D6285" s="10" t="s">
        <v>267</v>
      </c>
      <c r="E6285" s="10" t="s">
        <v>2345</v>
      </c>
      <c r="F6285" s="30" t="n">
        <v>43000</v>
      </c>
      <c r="G6285" s="30" t="n">
        <v>43081</v>
      </c>
      <c r="H6285" s="26" t="n">
        <f aca="false">G6285-F6285</f>
        <v>81</v>
      </c>
      <c r="I6285" s="10" t="n">
        <f aca="false">IF(E6285="Won",1,0)</f>
        <v>0</v>
      </c>
    </row>
    <row r="6286" customFormat="false" ht="15" hidden="false" customHeight="false" outlineLevel="0" collapsed="false">
      <c r="A6286" s="10" t="s">
        <v>8627</v>
      </c>
      <c r="B6286" s="10" t="s">
        <v>88</v>
      </c>
      <c r="C6286" s="10" t="s">
        <v>51</v>
      </c>
      <c r="D6286" s="10" t="s">
        <v>464</v>
      </c>
      <c r="E6286" s="10" t="s">
        <v>2342</v>
      </c>
      <c r="F6286" s="30" t="n">
        <v>43031</v>
      </c>
      <c r="G6286" s="30" t="n">
        <v>43081</v>
      </c>
      <c r="H6286" s="26" t="n">
        <f aca="false">G6286-F6286</f>
        <v>50</v>
      </c>
      <c r="I6286" s="10" t="n">
        <f aca="false">IF(E6286="Won",1,0)</f>
        <v>1</v>
      </c>
    </row>
    <row r="6287" customFormat="false" ht="15" hidden="false" customHeight="false" outlineLevel="0" collapsed="false">
      <c r="A6287" s="10" t="s">
        <v>8628</v>
      </c>
      <c r="B6287" s="10" t="s">
        <v>77</v>
      </c>
      <c r="C6287" s="10" t="s">
        <v>48</v>
      </c>
      <c r="D6287" s="10" t="s">
        <v>267</v>
      </c>
      <c r="E6287" s="10" t="s">
        <v>2345</v>
      </c>
      <c r="F6287" s="30" t="n">
        <v>43001</v>
      </c>
      <c r="G6287" s="30" t="n">
        <v>43081</v>
      </c>
      <c r="H6287" s="26" t="n">
        <f aca="false">G6287-F6287</f>
        <v>80</v>
      </c>
      <c r="I6287" s="10" t="n">
        <f aca="false">IF(E6287="Won",1,0)</f>
        <v>0</v>
      </c>
    </row>
    <row r="6288" customFormat="false" ht="15" hidden="false" customHeight="false" outlineLevel="0" collapsed="false">
      <c r="A6288" s="10" t="s">
        <v>8629</v>
      </c>
      <c r="B6288" s="10" t="s">
        <v>84</v>
      </c>
      <c r="C6288" s="10" t="s">
        <v>48</v>
      </c>
      <c r="D6288" s="10" t="s">
        <v>218</v>
      </c>
      <c r="E6288" s="10" t="s">
        <v>2342</v>
      </c>
      <c r="F6288" s="30" t="n">
        <v>43005</v>
      </c>
      <c r="G6288" s="30" t="n">
        <v>43081</v>
      </c>
      <c r="H6288" s="26" t="n">
        <f aca="false">G6288-F6288</f>
        <v>76</v>
      </c>
      <c r="I6288" s="10" t="n">
        <f aca="false">IF(E6288="Won",1,0)</f>
        <v>1</v>
      </c>
    </row>
    <row r="6289" customFormat="false" ht="15" hidden="false" customHeight="false" outlineLevel="0" collapsed="false">
      <c r="A6289" s="10" t="s">
        <v>8630</v>
      </c>
      <c r="B6289" s="10" t="s">
        <v>67</v>
      </c>
      <c r="C6289" s="10" t="s">
        <v>47</v>
      </c>
      <c r="D6289" s="10" t="s">
        <v>172</v>
      </c>
      <c r="E6289" s="10" t="s">
        <v>2342</v>
      </c>
      <c r="F6289" s="30" t="n">
        <v>43067</v>
      </c>
      <c r="G6289" s="30" t="n">
        <v>43081</v>
      </c>
      <c r="H6289" s="26" t="n">
        <f aca="false">G6289-F6289</f>
        <v>14</v>
      </c>
      <c r="I6289" s="10" t="n">
        <f aca="false">IF(E6289="Won",1,0)</f>
        <v>1</v>
      </c>
    </row>
    <row r="6290" customFormat="false" ht="15" hidden="false" customHeight="false" outlineLevel="0" collapsed="false">
      <c r="A6290" s="10" t="s">
        <v>8631</v>
      </c>
      <c r="B6290" s="10" t="s">
        <v>95</v>
      </c>
      <c r="C6290" s="10" t="s">
        <v>47</v>
      </c>
      <c r="D6290" s="10" t="s">
        <v>168</v>
      </c>
      <c r="E6290" s="10" t="s">
        <v>2342</v>
      </c>
      <c r="F6290" s="30" t="n">
        <v>42991</v>
      </c>
      <c r="G6290" s="30" t="n">
        <v>43081</v>
      </c>
      <c r="H6290" s="26" t="n">
        <f aca="false">G6290-F6290</f>
        <v>90</v>
      </c>
      <c r="I6290" s="10" t="n">
        <f aca="false">IF(E6290="Won",1,0)</f>
        <v>1</v>
      </c>
    </row>
    <row r="6291" customFormat="false" ht="15" hidden="false" customHeight="false" outlineLevel="0" collapsed="false">
      <c r="A6291" s="10" t="s">
        <v>8632</v>
      </c>
      <c r="B6291" s="10" t="s">
        <v>70</v>
      </c>
      <c r="C6291" s="10" t="s">
        <v>51</v>
      </c>
      <c r="D6291" s="10" t="s">
        <v>483</v>
      </c>
      <c r="E6291" s="10" t="s">
        <v>2342</v>
      </c>
      <c r="F6291" s="30" t="n">
        <v>42987</v>
      </c>
      <c r="G6291" s="30" t="n">
        <v>43081</v>
      </c>
      <c r="H6291" s="26" t="n">
        <f aca="false">G6291-F6291</f>
        <v>94</v>
      </c>
      <c r="I6291" s="10" t="n">
        <f aca="false">IF(E6291="Won",1,0)</f>
        <v>1</v>
      </c>
    </row>
    <row r="6292" customFormat="false" ht="15" hidden="false" customHeight="false" outlineLevel="0" collapsed="false">
      <c r="A6292" s="10" t="s">
        <v>8633</v>
      </c>
      <c r="B6292" s="10" t="s">
        <v>67</v>
      </c>
      <c r="C6292" s="10" t="s">
        <v>50</v>
      </c>
      <c r="D6292" s="10" t="s">
        <v>337</v>
      </c>
      <c r="E6292" s="10" t="s">
        <v>2342</v>
      </c>
      <c r="F6292" s="30" t="n">
        <v>43066</v>
      </c>
      <c r="G6292" s="30" t="n">
        <v>43081</v>
      </c>
      <c r="H6292" s="26" t="n">
        <f aca="false">G6292-F6292</f>
        <v>15</v>
      </c>
      <c r="I6292" s="10" t="n">
        <f aca="false">IF(E6292="Won",1,0)</f>
        <v>1</v>
      </c>
    </row>
    <row r="6293" customFormat="false" ht="15" hidden="false" customHeight="false" outlineLevel="0" collapsed="false">
      <c r="A6293" s="10" t="s">
        <v>8634</v>
      </c>
      <c r="B6293" s="10" t="s">
        <v>97</v>
      </c>
      <c r="C6293" s="10" t="s">
        <v>51</v>
      </c>
      <c r="D6293" s="10" t="s">
        <v>487</v>
      </c>
      <c r="E6293" s="10" t="s">
        <v>2342</v>
      </c>
      <c r="F6293" s="30" t="n">
        <v>43043</v>
      </c>
      <c r="G6293" s="30" t="n">
        <v>43081</v>
      </c>
      <c r="H6293" s="26" t="n">
        <f aca="false">G6293-F6293</f>
        <v>38</v>
      </c>
      <c r="I6293" s="10" t="n">
        <f aca="false">IF(E6293="Won",1,0)</f>
        <v>1</v>
      </c>
    </row>
    <row r="6294" customFormat="false" ht="15" hidden="false" customHeight="false" outlineLevel="0" collapsed="false">
      <c r="A6294" s="10" t="s">
        <v>8635</v>
      </c>
      <c r="B6294" s="10" t="s">
        <v>95</v>
      </c>
      <c r="C6294" s="10" t="s">
        <v>49</v>
      </c>
      <c r="D6294" s="10" t="s">
        <v>326</v>
      </c>
      <c r="E6294" s="10" t="s">
        <v>2342</v>
      </c>
      <c r="F6294" s="30" t="n">
        <v>42988</v>
      </c>
      <c r="G6294" s="30" t="n">
        <v>43081</v>
      </c>
      <c r="H6294" s="26" t="n">
        <f aca="false">G6294-F6294</f>
        <v>93</v>
      </c>
      <c r="I6294" s="10" t="n">
        <f aca="false">IF(E6294="Won",1,0)</f>
        <v>1</v>
      </c>
    </row>
    <row r="6295" customFormat="false" ht="15" hidden="false" customHeight="false" outlineLevel="0" collapsed="false">
      <c r="A6295" s="10" t="s">
        <v>8636</v>
      </c>
      <c r="B6295" s="10" t="s">
        <v>90</v>
      </c>
      <c r="C6295" s="10" t="s">
        <v>49</v>
      </c>
      <c r="D6295" s="10" t="s">
        <v>274</v>
      </c>
      <c r="E6295" s="10" t="s">
        <v>2345</v>
      </c>
      <c r="F6295" s="30" t="n">
        <v>43066</v>
      </c>
      <c r="G6295" s="30" t="n">
        <v>43081</v>
      </c>
      <c r="H6295" s="26" t="n">
        <f aca="false">G6295-F6295</f>
        <v>15</v>
      </c>
      <c r="I6295" s="10" t="n">
        <f aca="false">IF(E6295="Won",1,0)</f>
        <v>0</v>
      </c>
    </row>
    <row r="6296" customFormat="false" ht="15" hidden="false" customHeight="false" outlineLevel="0" collapsed="false">
      <c r="A6296" s="10" t="s">
        <v>8637</v>
      </c>
      <c r="B6296" s="10" t="s">
        <v>83</v>
      </c>
      <c r="C6296" s="10" t="s">
        <v>50</v>
      </c>
      <c r="D6296" s="10" t="s">
        <v>660</v>
      </c>
      <c r="E6296" s="10" t="s">
        <v>2342</v>
      </c>
      <c r="F6296" s="30" t="n">
        <v>43028</v>
      </c>
      <c r="G6296" s="30" t="n">
        <v>43081</v>
      </c>
      <c r="H6296" s="26" t="n">
        <f aca="false">G6296-F6296</f>
        <v>53</v>
      </c>
      <c r="I6296" s="10" t="n">
        <f aca="false">IF(E6296="Won",1,0)</f>
        <v>1</v>
      </c>
    </row>
    <row r="6297" customFormat="false" ht="15" hidden="false" customHeight="false" outlineLevel="0" collapsed="false">
      <c r="A6297" s="10" t="s">
        <v>8638</v>
      </c>
      <c r="B6297" s="10" t="s">
        <v>86</v>
      </c>
      <c r="C6297" s="10" t="s">
        <v>49</v>
      </c>
      <c r="D6297" s="10" t="s">
        <v>455</v>
      </c>
      <c r="E6297" s="10" t="s">
        <v>2345</v>
      </c>
      <c r="F6297" s="30" t="n">
        <v>42943</v>
      </c>
      <c r="G6297" s="30" t="n">
        <v>43081</v>
      </c>
      <c r="H6297" s="26" t="n">
        <f aca="false">G6297-F6297</f>
        <v>138</v>
      </c>
      <c r="I6297" s="10" t="n">
        <f aca="false">IF(E6297="Won",1,0)</f>
        <v>0</v>
      </c>
    </row>
    <row r="6298" customFormat="false" ht="15" hidden="false" customHeight="false" outlineLevel="0" collapsed="false">
      <c r="A6298" s="10" t="s">
        <v>8639</v>
      </c>
      <c r="B6298" s="10" t="s">
        <v>76</v>
      </c>
      <c r="C6298" s="10" t="s">
        <v>52</v>
      </c>
      <c r="D6298" s="10" t="s">
        <v>179</v>
      </c>
      <c r="E6298" s="10" t="s">
        <v>2342</v>
      </c>
      <c r="F6298" s="30" t="n">
        <v>42985</v>
      </c>
      <c r="G6298" s="30" t="n">
        <v>43081</v>
      </c>
      <c r="H6298" s="26" t="n">
        <f aca="false">G6298-F6298</f>
        <v>96</v>
      </c>
      <c r="I6298" s="10" t="n">
        <f aca="false">IF(E6298="Won",1,0)</f>
        <v>1</v>
      </c>
    </row>
    <row r="6299" customFormat="false" ht="15" hidden="false" customHeight="false" outlineLevel="0" collapsed="false">
      <c r="A6299" s="10" t="s">
        <v>8640</v>
      </c>
      <c r="B6299" s="10" t="s">
        <v>76</v>
      </c>
      <c r="C6299" s="10" t="s">
        <v>49</v>
      </c>
      <c r="D6299" s="10" t="s">
        <v>410</v>
      </c>
      <c r="E6299" s="10" t="s">
        <v>2342</v>
      </c>
      <c r="F6299" s="30" t="n">
        <v>43065</v>
      </c>
      <c r="G6299" s="30" t="n">
        <v>43081</v>
      </c>
      <c r="H6299" s="26" t="n">
        <f aca="false">G6299-F6299</f>
        <v>16</v>
      </c>
      <c r="I6299" s="10" t="n">
        <f aca="false">IF(E6299="Won",1,0)</f>
        <v>1</v>
      </c>
    </row>
    <row r="6300" customFormat="false" ht="15" hidden="false" customHeight="false" outlineLevel="0" collapsed="false">
      <c r="A6300" s="10" t="s">
        <v>8641</v>
      </c>
      <c r="B6300" s="10" t="s">
        <v>87</v>
      </c>
      <c r="C6300" s="10" t="s">
        <v>50</v>
      </c>
      <c r="D6300" s="10" t="s">
        <v>247</v>
      </c>
      <c r="E6300" s="10" t="s">
        <v>2342</v>
      </c>
      <c r="F6300" s="30" t="n">
        <v>42988</v>
      </c>
      <c r="G6300" s="30" t="n">
        <v>43082</v>
      </c>
      <c r="H6300" s="26" t="n">
        <f aca="false">G6300-F6300</f>
        <v>94</v>
      </c>
      <c r="I6300" s="10" t="n">
        <f aca="false">IF(E6300="Won",1,0)</f>
        <v>1</v>
      </c>
    </row>
    <row r="6301" customFormat="false" ht="15" hidden="false" customHeight="false" outlineLevel="0" collapsed="false">
      <c r="A6301" s="10" t="s">
        <v>8642</v>
      </c>
      <c r="B6301" s="10" t="s">
        <v>57</v>
      </c>
      <c r="C6301" s="10" t="s">
        <v>49</v>
      </c>
      <c r="D6301" s="10" t="s">
        <v>453</v>
      </c>
      <c r="E6301" s="10" t="s">
        <v>2345</v>
      </c>
      <c r="F6301" s="30" t="n">
        <v>43025</v>
      </c>
      <c r="G6301" s="30" t="n">
        <v>43082</v>
      </c>
      <c r="H6301" s="26" t="n">
        <f aca="false">G6301-F6301</f>
        <v>57</v>
      </c>
      <c r="I6301" s="10" t="n">
        <f aca="false">IF(E6301="Won",1,0)</f>
        <v>0</v>
      </c>
    </row>
    <row r="6302" customFormat="false" ht="15" hidden="false" customHeight="false" outlineLevel="0" collapsed="false">
      <c r="A6302" s="10" t="s">
        <v>8643</v>
      </c>
      <c r="B6302" s="10" t="s">
        <v>74</v>
      </c>
      <c r="C6302" s="10" t="s">
        <v>51</v>
      </c>
      <c r="D6302" s="10" t="s">
        <v>597</v>
      </c>
      <c r="E6302" s="10" t="s">
        <v>2342</v>
      </c>
      <c r="F6302" s="30" t="n">
        <v>42968</v>
      </c>
      <c r="G6302" s="30" t="n">
        <v>43082</v>
      </c>
      <c r="H6302" s="26" t="n">
        <f aca="false">G6302-F6302</f>
        <v>114</v>
      </c>
      <c r="I6302" s="10" t="n">
        <f aca="false">IF(E6302="Won",1,0)</f>
        <v>1</v>
      </c>
    </row>
    <row r="6303" customFormat="false" ht="15" hidden="false" customHeight="false" outlineLevel="0" collapsed="false">
      <c r="A6303" s="10" t="s">
        <v>8644</v>
      </c>
      <c r="B6303" s="10" t="s">
        <v>66</v>
      </c>
      <c r="C6303" s="10" t="s">
        <v>49</v>
      </c>
      <c r="D6303" s="10" t="s">
        <v>522</v>
      </c>
      <c r="E6303" s="10" t="s">
        <v>2342</v>
      </c>
      <c r="F6303" s="30" t="n">
        <v>43056</v>
      </c>
      <c r="G6303" s="30" t="n">
        <v>43082</v>
      </c>
      <c r="H6303" s="26" t="n">
        <f aca="false">G6303-F6303</f>
        <v>26</v>
      </c>
      <c r="I6303" s="10" t="n">
        <f aca="false">IF(E6303="Won",1,0)</f>
        <v>1</v>
      </c>
    </row>
    <row r="6304" customFormat="false" ht="15" hidden="false" customHeight="false" outlineLevel="0" collapsed="false">
      <c r="A6304" s="10" t="s">
        <v>8645</v>
      </c>
      <c r="B6304" s="10" t="s">
        <v>86</v>
      </c>
      <c r="C6304" s="10" t="s">
        <v>51</v>
      </c>
      <c r="D6304" s="10" t="s">
        <v>350</v>
      </c>
      <c r="E6304" s="10" t="s">
        <v>2345</v>
      </c>
      <c r="F6304" s="30" t="n">
        <v>42995</v>
      </c>
      <c r="G6304" s="30" t="n">
        <v>43082</v>
      </c>
      <c r="H6304" s="26" t="n">
        <f aca="false">G6304-F6304</f>
        <v>87</v>
      </c>
      <c r="I6304" s="10" t="n">
        <f aca="false">IF(E6304="Won",1,0)</f>
        <v>0</v>
      </c>
    </row>
    <row r="6305" customFormat="false" ht="15" hidden="false" customHeight="false" outlineLevel="0" collapsed="false">
      <c r="A6305" s="10" t="s">
        <v>8646</v>
      </c>
      <c r="B6305" s="10" t="s">
        <v>90</v>
      </c>
      <c r="C6305" s="10" t="s">
        <v>51</v>
      </c>
      <c r="D6305" s="10" t="s">
        <v>350</v>
      </c>
      <c r="E6305" s="10" t="s">
        <v>2342</v>
      </c>
      <c r="F6305" s="30" t="n">
        <v>42956</v>
      </c>
      <c r="G6305" s="30" t="n">
        <v>43082</v>
      </c>
      <c r="H6305" s="26" t="n">
        <f aca="false">G6305-F6305</f>
        <v>126</v>
      </c>
      <c r="I6305" s="10" t="n">
        <f aca="false">IF(E6305="Won",1,0)</f>
        <v>1</v>
      </c>
    </row>
    <row r="6306" customFormat="false" ht="15" hidden="false" customHeight="false" outlineLevel="0" collapsed="false">
      <c r="A6306" s="10" t="s">
        <v>8647</v>
      </c>
      <c r="B6306" s="10" t="s">
        <v>75</v>
      </c>
      <c r="C6306" s="10" t="s">
        <v>52</v>
      </c>
      <c r="D6306" s="10" t="s">
        <v>353</v>
      </c>
      <c r="E6306" s="10" t="s">
        <v>2342</v>
      </c>
      <c r="F6306" s="30" t="n">
        <v>42970</v>
      </c>
      <c r="G6306" s="30" t="n">
        <v>43082</v>
      </c>
      <c r="H6306" s="26" t="n">
        <f aca="false">G6306-F6306</f>
        <v>112</v>
      </c>
      <c r="I6306" s="10" t="n">
        <f aca="false">IF(E6306="Won",1,0)</f>
        <v>1</v>
      </c>
    </row>
    <row r="6307" customFormat="false" ht="15" hidden="false" customHeight="false" outlineLevel="0" collapsed="false">
      <c r="A6307" s="10" t="s">
        <v>8648</v>
      </c>
      <c r="B6307" s="10" t="s">
        <v>94</v>
      </c>
      <c r="C6307" s="10" t="s">
        <v>51</v>
      </c>
      <c r="D6307" s="10" t="s">
        <v>348</v>
      </c>
      <c r="E6307" s="10" t="s">
        <v>2342</v>
      </c>
      <c r="F6307" s="30" t="n">
        <v>43067</v>
      </c>
      <c r="G6307" s="30" t="n">
        <v>43082</v>
      </c>
      <c r="H6307" s="26" t="n">
        <f aca="false">G6307-F6307</f>
        <v>15</v>
      </c>
      <c r="I6307" s="10" t="n">
        <f aca="false">IF(E6307="Won",1,0)</f>
        <v>1</v>
      </c>
    </row>
    <row r="6308" customFormat="false" ht="15" hidden="false" customHeight="false" outlineLevel="0" collapsed="false">
      <c r="A6308" s="10" t="s">
        <v>8649</v>
      </c>
      <c r="B6308" s="10" t="s">
        <v>71</v>
      </c>
      <c r="C6308" s="10" t="s">
        <v>52</v>
      </c>
      <c r="D6308" s="10" t="s">
        <v>311</v>
      </c>
      <c r="E6308" s="10" t="s">
        <v>2342</v>
      </c>
      <c r="F6308" s="30" t="n">
        <v>43024</v>
      </c>
      <c r="G6308" s="30" t="n">
        <v>43082</v>
      </c>
      <c r="H6308" s="26" t="n">
        <f aca="false">G6308-F6308</f>
        <v>58</v>
      </c>
      <c r="I6308" s="10" t="n">
        <f aca="false">IF(E6308="Won",1,0)</f>
        <v>1</v>
      </c>
    </row>
    <row r="6309" customFormat="false" ht="15" hidden="false" customHeight="false" outlineLevel="0" collapsed="false">
      <c r="A6309" s="10" t="s">
        <v>8650</v>
      </c>
      <c r="B6309" s="10" t="s">
        <v>71</v>
      </c>
      <c r="C6309" s="10" t="s">
        <v>52</v>
      </c>
      <c r="D6309" s="10" t="s">
        <v>483</v>
      </c>
      <c r="E6309" s="10" t="s">
        <v>2342</v>
      </c>
      <c r="F6309" s="30" t="n">
        <v>43073</v>
      </c>
      <c r="G6309" s="30" t="n">
        <v>43082</v>
      </c>
      <c r="H6309" s="26" t="n">
        <f aca="false">G6309-F6309</f>
        <v>9</v>
      </c>
      <c r="I6309" s="10" t="n">
        <f aca="false">IF(E6309="Won",1,0)</f>
        <v>1</v>
      </c>
    </row>
    <row r="6310" customFormat="false" ht="15" hidden="false" customHeight="false" outlineLevel="0" collapsed="false">
      <c r="A6310" s="10" t="s">
        <v>8651</v>
      </c>
      <c r="B6310" s="10" t="s">
        <v>67</v>
      </c>
      <c r="C6310" s="10" t="s">
        <v>49</v>
      </c>
      <c r="D6310" s="10" t="s">
        <v>199</v>
      </c>
      <c r="E6310" s="10" t="s">
        <v>2342</v>
      </c>
      <c r="F6310" s="30" t="n">
        <v>43015</v>
      </c>
      <c r="G6310" s="30" t="n">
        <v>43082</v>
      </c>
      <c r="H6310" s="26" t="n">
        <f aca="false">G6310-F6310</f>
        <v>67</v>
      </c>
      <c r="I6310" s="10" t="n">
        <f aca="false">IF(E6310="Won",1,0)</f>
        <v>1</v>
      </c>
    </row>
    <row r="6311" customFormat="false" ht="15" hidden="false" customHeight="false" outlineLevel="0" collapsed="false">
      <c r="A6311" s="10" t="s">
        <v>8652</v>
      </c>
      <c r="B6311" s="10" t="s">
        <v>74</v>
      </c>
      <c r="C6311" s="10" t="s">
        <v>49</v>
      </c>
      <c r="D6311" s="10" t="s">
        <v>762</v>
      </c>
      <c r="E6311" s="10" t="s">
        <v>2342</v>
      </c>
      <c r="F6311" s="30" t="n">
        <v>42954</v>
      </c>
      <c r="G6311" s="30" t="n">
        <v>43082</v>
      </c>
      <c r="H6311" s="26" t="n">
        <f aca="false">G6311-F6311</f>
        <v>128</v>
      </c>
      <c r="I6311" s="10" t="n">
        <f aca="false">IF(E6311="Won",1,0)</f>
        <v>1</v>
      </c>
    </row>
    <row r="6312" customFormat="false" ht="15" hidden="false" customHeight="false" outlineLevel="0" collapsed="false">
      <c r="A6312" s="10" t="s">
        <v>8653</v>
      </c>
      <c r="B6312" s="10" t="s">
        <v>63</v>
      </c>
      <c r="C6312" s="10" t="s">
        <v>49</v>
      </c>
      <c r="D6312" s="10" t="s">
        <v>674</v>
      </c>
      <c r="E6312" s="10" t="s">
        <v>2345</v>
      </c>
      <c r="F6312" s="30" t="n">
        <v>43009</v>
      </c>
      <c r="G6312" s="30" t="n">
        <v>43082</v>
      </c>
      <c r="H6312" s="26" t="n">
        <f aca="false">G6312-F6312</f>
        <v>73</v>
      </c>
      <c r="I6312" s="10" t="n">
        <f aca="false">IF(E6312="Won",1,0)</f>
        <v>0</v>
      </c>
    </row>
    <row r="6313" customFormat="false" ht="15" hidden="false" customHeight="false" outlineLevel="0" collapsed="false">
      <c r="A6313" s="10" t="s">
        <v>8654</v>
      </c>
      <c r="B6313" s="10" t="s">
        <v>75</v>
      </c>
      <c r="C6313" s="10" t="s">
        <v>50</v>
      </c>
      <c r="D6313" s="10" t="s">
        <v>660</v>
      </c>
      <c r="E6313" s="10" t="s">
        <v>2342</v>
      </c>
      <c r="F6313" s="30" t="n">
        <v>42982</v>
      </c>
      <c r="G6313" s="30" t="n">
        <v>43082</v>
      </c>
      <c r="H6313" s="26" t="n">
        <f aca="false">G6313-F6313</f>
        <v>100</v>
      </c>
      <c r="I6313" s="10" t="n">
        <f aca="false">IF(E6313="Won",1,0)</f>
        <v>1</v>
      </c>
    </row>
    <row r="6314" customFormat="false" ht="15" hidden="false" customHeight="false" outlineLevel="0" collapsed="false">
      <c r="A6314" s="10" t="s">
        <v>8655</v>
      </c>
      <c r="B6314" s="10" t="s">
        <v>68</v>
      </c>
      <c r="C6314" s="10" t="s">
        <v>52</v>
      </c>
      <c r="D6314" s="10" t="s">
        <v>348</v>
      </c>
      <c r="E6314" s="10" t="s">
        <v>2342</v>
      </c>
      <c r="F6314" s="30" t="n">
        <v>43015</v>
      </c>
      <c r="G6314" s="30" t="n">
        <v>43082</v>
      </c>
      <c r="H6314" s="26" t="n">
        <f aca="false">G6314-F6314</f>
        <v>67</v>
      </c>
      <c r="I6314" s="10" t="n">
        <f aca="false">IF(E6314="Won",1,0)</f>
        <v>1</v>
      </c>
    </row>
    <row r="6315" customFormat="false" ht="15" hidden="false" customHeight="false" outlineLevel="0" collapsed="false">
      <c r="A6315" s="10" t="s">
        <v>8656</v>
      </c>
      <c r="B6315" s="10" t="s">
        <v>96</v>
      </c>
      <c r="C6315" s="10" t="s">
        <v>50</v>
      </c>
      <c r="D6315" s="10" t="s">
        <v>396</v>
      </c>
      <c r="E6315" s="10" t="s">
        <v>2342</v>
      </c>
      <c r="F6315" s="30" t="n">
        <v>42977</v>
      </c>
      <c r="G6315" s="30" t="n">
        <v>43082</v>
      </c>
      <c r="H6315" s="26" t="n">
        <f aca="false">G6315-F6315</f>
        <v>105</v>
      </c>
      <c r="I6315" s="10" t="n">
        <f aca="false">IF(E6315="Won",1,0)</f>
        <v>1</v>
      </c>
    </row>
    <row r="6316" customFormat="false" ht="15" hidden="false" customHeight="false" outlineLevel="0" collapsed="false">
      <c r="A6316" s="10" t="s">
        <v>8657</v>
      </c>
      <c r="B6316" s="10" t="s">
        <v>77</v>
      </c>
      <c r="C6316" s="10" t="s">
        <v>48</v>
      </c>
      <c r="D6316" s="10" t="s">
        <v>947</v>
      </c>
      <c r="E6316" s="10" t="s">
        <v>2345</v>
      </c>
      <c r="F6316" s="30" t="n">
        <v>42980</v>
      </c>
      <c r="G6316" s="30" t="n">
        <v>43082</v>
      </c>
      <c r="H6316" s="26" t="n">
        <f aca="false">G6316-F6316</f>
        <v>102</v>
      </c>
      <c r="I6316" s="10" t="n">
        <f aca="false">IF(E6316="Won",1,0)</f>
        <v>0</v>
      </c>
    </row>
    <row r="6317" customFormat="false" ht="15" hidden="false" customHeight="false" outlineLevel="0" collapsed="false">
      <c r="A6317" s="10" t="s">
        <v>8658</v>
      </c>
      <c r="B6317" s="10" t="s">
        <v>67</v>
      </c>
      <c r="C6317" s="10" t="s">
        <v>49</v>
      </c>
      <c r="D6317" s="10" t="s">
        <v>396</v>
      </c>
      <c r="E6317" s="10" t="s">
        <v>2345</v>
      </c>
      <c r="F6317" s="30" t="n">
        <v>43013</v>
      </c>
      <c r="G6317" s="30" t="n">
        <v>43082</v>
      </c>
      <c r="H6317" s="26" t="n">
        <f aca="false">G6317-F6317</f>
        <v>69</v>
      </c>
      <c r="I6317" s="10" t="n">
        <f aca="false">IF(E6317="Won",1,0)</f>
        <v>0</v>
      </c>
    </row>
    <row r="6318" customFormat="false" ht="15" hidden="false" customHeight="false" outlineLevel="0" collapsed="false">
      <c r="A6318" s="10" t="s">
        <v>8659</v>
      </c>
      <c r="B6318" s="10" t="s">
        <v>81</v>
      </c>
      <c r="C6318" s="10" t="s">
        <v>50</v>
      </c>
      <c r="D6318" s="10" t="s">
        <v>422</v>
      </c>
      <c r="E6318" s="10" t="s">
        <v>2345</v>
      </c>
      <c r="F6318" s="30" t="n">
        <v>42980</v>
      </c>
      <c r="G6318" s="30" t="n">
        <v>43082</v>
      </c>
      <c r="H6318" s="26" t="n">
        <f aca="false">G6318-F6318</f>
        <v>102</v>
      </c>
      <c r="I6318" s="10" t="n">
        <f aca="false">IF(E6318="Won",1,0)</f>
        <v>0</v>
      </c>
    </row>
    <row r="6319" customFormat="false" ht="15" hidden="false" customHeight="false" outlineLevel="0" collapsed="false">
      <c r="A6319" s="10" t="s">
        <v>8660</v>
      </c>
      <c r="B6319" s="10" t="s">
        <v>94</v>
      </c>
      <c r="C6319" s="10" t="s">
        <v>52</v>
      </c>
      <c r="D6319" s="10" t="s">
        <v>483</v>
      </c>
      <c r="E6319" s="10" t="s">
        <v>2342</v>
      </c>
      <c r="F6319" s="30" t="n">
        <v>42979</v>
      </c>
      <c r="G6319" s="30" t="n">
        <v>43082</v>
      </c>
      <c r="H6319" s="26" t="n">
        <f aca="false">G6319-F6319</f>
        <v>103</v>
      </c>
      <c r="I6319" s="10" t="n">
        <f aca="false">IF(E6319="Won",1,0)</f>
        <v>1</v>
      </c>
    </row>
    <row r="6320" customFormat="false" ht="15" hidden="false" customHeight="false" outlineLevel="0" collapsed="false">
      <c r="A6320" s="10" t="s">
        <v>8661</v>
      </c>
      <c r="B6320" s="10" t="s">
        <v>94</v>
      </c>
      <c r="C6320" s="10" t="s">
        <v>51</v>
      </c>
      <c r="D6320" s="10" t="s">
        <v>986</v>
      </c>
      <c r="E6320" s="10" t="s">
        <v>2345</v>
      </c>
      <c r="F6320" s="30" t="n">
        <v>43029</v>
      </c>
      <c r="G6320" s="30" t="n">
        <v>43083</v>
      </c>
      <c r="H6320" s="26" t="n">
        <f aca="false">G6320-F6320</f>
        <v>54</v>
      </c>
      <c r="I6320" s="10" t="n">
        <f aca="false">IF(E6320="Won",1,0)</f>
        <v>0</v>
      </c>
    </row>
    <row r="6321" customFormat="false" ht="15" hidden="false" customHeight="false" outlineLevel="0" collapsed="false">
      <c r="A6321" s="10" t="s">
        <v>8662</v>
      </c>
      <c r="B6321" s="10" t="s">
        <v>79</v>
      </c>
      <c r="C6321" s="10" t="s">
        <v>49</v>
      </c>
      <c r="D6321" s="10" t="s">
        <v>524</v>
      </c>
      <c r="E6321" s="10" t="s">
        <v>2342</v>
      </c>
      <c r="F6321" s="30" t="n">
        <v>43000</v>
      </c>
      <c r="G6321" s="30" t="n">
        <v>43083</v>
      </c>
      <c r="H6321" s="26" t="n">
        <f aca="false">G6321-F6321</f>
        <v>83</v>
      </c>
      <c r="I6321" s="10" t="n">
        <f aca="false">IF(E6321="Won",1,0)</f>
        <v>1</v>
      </c>
    </row>
    <row r="6322" customFormat="false" ht="15" hidden="false" customHeight="false" outlineLevel="0" collapsed="false">
      <c r="A6322" s="10" t="s">
        <v>8663</v>
      </c>
      <c r="B6322" s="10" t="s">
        <v>79</v>
      </c>
      <c r="C6322" s="10" t="s">
        <v>51</v>
      </c>
      <c r="D6322" s="10" t="s">
        <v>536</v>
      </c>
      <c r="E6322" s="10" t="s">
        <v>2342</v>
      </c>
      <c r="F6322" s="30" t="n">
        <v>42982</v>
      </c>
      <c r="G6322" s="30" t="n">
        <v>43083</v>
      </c>
      <c r="H6322" s="26" t="n">
        <f aca="false">G6322-F6322</f>
        <v>101</v>
      </c>
      <c r="I6322" s="10" t="n">
        <f aca="false">IF(E6322="Won",1,0)</f>
        <v>1</v>
      </c>
    </row>
    <row r="6323" customFormat="false" ht="15" hidden="false" customHeight="false" outlineLevel="0" collapsed="false">
      <c r="A6323" s="10" t="s">
        <v>8664</v>
      </c>
      <c r="B6323" s="10" t="s">
        <v>67</v>
      </c>
      <c r="C6323" s="10" t="s">
        <v>52</v>
      </c>
      <c r="D6323" s="10" t="s">
        <v>506</v>
      </c>
      <c r="E6323" s="10" t="s">
        <v>2342</v>
      </c>
      <c r="F6323" s="30" t="n">
        <v>43068</v>
      </c>
      <c r="G6323" s="30" t="n">
        <v>43083</v>
      </c>
      <c r="H6323" s="26" t="n">
        <f aca="false">G6323-F6323</f>
        <v>15</v>
      </c>
      <c r="I6323" s="10" t="n">
        <f aca="false">IF(E6323="Won",1,0)</f>
        <v>1</v>
      </c>
    </row>
    <row r="6324" customFormat="false" ht="15" hidden="false" customHeight="false" outlineLevel="0" collapsed="false">
      <c r="A6324" s="10" t="s">
        <v>8665</v>
      </c>
      <c r="B6324" s="10" t="s">
        <v>90</v>
      </c>
      <c r="C6324" s="10" t="s">
        <v>48</v>
      </c>
      <c r="D6324" s="10" t="s">
        <v>532</v>
      </c>
      <c r="E6324" s="10" t="s">
        <v>2342</v>
      </c>
      <c r="F6324" s="30" t="n">
        <v>42991</v>
      </c>
      <c r="G6324" s="30" t="n">
        <v>43083</v>
      </c>
      <c r="H6324" s="26" t="n">
        <f aca="false">G6324-F6324</f>
        <v>92</v>
      </c>
      <c r="I6324" s="10" t="n">
        <f aca="false">IF(E6324="Won",1,0)</f>
        <v>1</v>
      </c>
    </row>
    <row r="6325" customFormat="false" ht="15" hidden="false" customHeight="false" outlineLevel="0" collapsed="false">
      <c r="A6325" s="10" t="s">
        <v>8666</v>
      </c>
      <c r="B6325" s="10" t="s">
        <v>90</v>
      </c>
      <c r="C6325" s="10" t="s">
        <v>50</v>
      </c>
      <c r="D6325" s="10" t="s">
        <v>453</v>
      </c>
      <c r="E6325" s="10" t="s">
        <v>2342</v>
      </c>
      <c r="F6325" s="30" t="n">
        <v>42991</v>
      </c>
      <c r="G6325" s="30" t="n">
        <v>43083</v>
      </c>
      <c r="H6325" s="26" t="n">
        <f aca="false">G6325-F6325</f>
        <v>92</v>
      </c>
      <c r="I6325" s="10" t="n">
        <f aca="false">IF(E6325="Won",1,0)</f>
        <v>1</v>
      </c>
    </row>
    <row r="6326" customFormat="false" ht="15" hidden="false" customHeight="false" outlineLevel="0" collapsed="false">
      <c r="A6326" s="10" t="s">
        <v>8667</v>
      </c>
      <c r="B6326" s="10" t="s">
        <v>90</v>
      </c>
      <c r="C6326" s="10" t="s">
        <v>52</v>
      </c>
      <c r="D6326" s="10" t="s">
        <v>616</v>
      </c>
      <c r="E6326" s="10" t="s">
        <v>2342</v>
      </c>
      <c r="F6326" s="30" t="n">
        <v>43021</v>
      </c>
      <c r="G6326" s="30" t="n">
        <v>43083</v>
      </c>
      <c r="H6326" s="26" t="n">
        <f aca="false">G6326-F6326</f>
        <v>62</v>
      </c>
      <c r="I6326" s="10" t="n">
        <f aca="false">IF(E6326="Won",1,0)</f>
        <v>1</v>
      </c>
    </row>
    <row r="6327" customFormat="false" ht="15" hidden="false" customHeight="false" outlineLevel="0" collapsed="false">
      <c r="A6327" s="10" t="s">
        <v>8668</v>
      </c>
      <c r="B6327" s="10" t="s">
        <v>76</v>
      </c>
      <c r="C6327" s="10" t="s">
        <v>52</v>
      </c>
      <c r="D6327" s="10" t="s">
        <v>267</v>
      </c>
      <c r="E6327" s="10" t="s">
        <v>2342</v>
      </c>
      <c r="F6327" s="30" t="n">
        <v>43075</v>
      </c>
      <c r="G6327" s="30" t="n">
        <v>43083</v>
      </c>
      <c r="H6327" s="26" t="n">
        <f aca="false">G6327-F6327</f>
        <v>8</v>
      </c>
      <c r="I6327" s="10" t="n">
        <f aca="false">IF(E6327="Won",1,0)</f>
        <v>1</v>
      </c>
    </row>
    <row r="6328" customFormat="false" ht="15" hidden="false" customHeight="false" outlineLevel="0" collapsed="false">
      <c r="A6328" s="10" t="s">
        <v>8669</v>
      </c>
      <c r="B6328" s="10" t="s">
        <v>77</v>
      </c>
      <c r="C6328" s="10" t="s">
        <v>47</v>
      </c>
      <c r="D6328" s="10" t="s">
        <v>210</v>
      </c>
      <c r="E6328" s="10" t="s">
        <v>2342</v>
      </c>
      <c r="F6328" s="30" t="n">
        <v>43013</v>
      </c>
      <c r="G6328" s="30" t="n">
        <v>43083</v>
      </c>
      <c r="H6328" s="26" t="n">
        <f aca="false">G6328-F6328</f>
        <v>70</v>
      </c>
      <c r="I6328" s="10" t="n">
        <f aca="false">IF(E6328="Won",1,0)</f>
        <v>1</v>
      </c>
    </row>
    <row r="6329" customFormat="false" ht="15" hidden="false" customHeight="false" outlineLevel="0" collapsed="false">
      <c r="A6329" s="10" t="s">
        <v>8670</v>
      </c>
      <c r="B6329" s="10" t="s">
        <v>96</v>
      </c>
      <c r="C6329" s="10" t="s">
        <v>52</v>
      </c>
      <c r="D6329" s="10" t="s">
        <v>424</v>
      </c>
      <c r="E6329" s="10" t="s">
        <v>2342</v>
      </c>
      <c r="F6329" s="30" t="n">
        <v>43015</v>
      </c>
      <c r="G6329" s="30" t="n">
        <v>43083</v>
      </c>
      <c r="H6329" s="26" t="n">
        <f aca="false">G6329-F6329</f>
        <v>68</v>
      </c>
      <c r="I6329" s="10" t="n">
        <f aca="false">IF(E6329="Won",1,0)</f>
        <v>1</v>
      </c>
    </row>
    <row r="6330" customFormat="false" ht="15" hidden="false" customHeight="false" outlineLevel="0" collapsed="false">
      <c r="A6330" s="10" t="s">
        <v>8671</v>
      </c>
      <c r="B6330" s="10" t="s">
        <v>67</v>
      </c>
      <c r="C6330" s="10" t="s">
        <v>49</v>
      </c>
      <c r="D6330" s="10" t="s">
        <v>437</v>
      </c>
      <c r="E6330" s="10" t="s">
        <v>2342</v>
      </c>
      <c r="F6330" s="30" t="n">
        <v>43068</v>
      </c>
      <c r="G6330" s="30" t="n">
        <v>43083</v>
      </c>
      <c r="H6330" s="26" t="n">
        <f aca="false">G6330-F6330</f>
        <v>15</v>
      </c>
      <c r="I6330" s="10" t="n">
        <f aca="false">IF(E6330="Won",1,0)</f>
        <v>1</v>
      </c>
    </row>
    <row r="6331" customFormat="false" ht="15" hidden="false" customHeight="false" outlineLevel="0" collapsed="false">
      <c r="A6331" s="10" t="s">
        <v>8672</v>
      </c>
      <c r="B6331" s="10" t="s">
        <v>57</v>
      </c>
      <c r="C6331" s="10" t="s">
        <v>50</v>
      </c>
      <c r="D6331" s="10" t="s">
        <v>215</v>
      </c>
      <c r="E6331" s="10" t="s">
        <v>2342</v>
      </c>
      <c r="F6331" s="30" t="n">
        <v>43065</v>
      </c>
      <c r="G6331" s="30" t="n">
        <v>43083</v>
      </c>
      <c r="H6331" s="26" t="n">
        <f aca="false">G6331-F6331</f>
        <v>18</v>
      </c>
      <c r="I6331" s="10" t="n">
        <f aca="false">IF(E6331="Won",1,0)</f>
        <v>1</v>
      </c>
    </row>
    <row r="6332" customFormat="false" ht="15" hidden="false" customHeight="false" outlineLevel="0" collapsed="false">
      <c r="A6332" s="10" t="s">
        <v>8673</v>
      </c>
      <c r="B6332" s="10" t="s">
        <v>67</v>
      </c>
      <c r="C6332" s="10" t="s">
        <v>49</v>
      </c>
      <c r="D6332" s="10" t="s">
        <v>437</v>
      </c>
      <c r="E6332" s="10" t="s">
        <v>2342</v>
      </c>
      <c r="F6332" s="30" t="n">
        <v>43004</v>
      </c>
      <c r="G6332" s="30" t="n">
        <v>43083</v>
      </c>
      <c r="H6332" s="26" t="n">
        <f aca="false">G6332-F6332</f>
        <v>79</v>
      </c>
      <c r="I6332" s="10" t="n">
        <f aca="false">IF(E6332="Won",1,0)</f>
        <v>1</v>
      </c>
    </row>
    <row r="6333" customFormat="false" ht="15" hidden="false" customHeight="false" outlineLevel="0" collapsed="false">
      <c r="A6333" s="10" t="s">
        <v>8674</v>
      </c>
      <c r="B6333" s="10" t="s">
        <v>84</v>
      </c>
      <c r="C6333" s="10" t="s">
        <v>51</v>
      </c>
      <c r="D6333" s="10" t="s">
        <v>286</v>
      </c>
      <c r="E6333" s="10" t="s">
        <v>2342</v>
      </c>
      <c r="F6333" s="30" t="n">
        <v>43014</v>
      </c>
      <c r="G6333" s="30" t="n">
        <v>43083</v>
      </c>
      <c r="H6333" s="26" t="n">
        <f aca="false">G6333-F6333</f>
        <v>69</v>
      </c>
      <c r="I6333" s="10" t="n">
        <f aca="false">IF(E6333="Won",1,0)</f>
        <v>1</v>
      </c>
    </row>
    <row r="6334" customFormat="false" ht="15" hidden="false" customHeight="false" outlineLevel="0" collapsed="false">
      <c r="A6334" s="10" t="s">
        <v>8675</v>
      </c>
      <c r="B6334" s="10" t="s">
        <v>81</v>
      </c>
      <c r="C6334" s="10" t="s">
        <v>51</v>
      </c>
      <c r="D6334" s="10" t="s">
        <v>369</v>
      </c>
      <c r="E6334" s="10" t="s">
        <v>2342</v>
      </c>
      <c r="F6334" s="30" t="n">
        <v>42952</v>
      </c>
      <c r="G6334" s="30" t="n">
        <v>43083</v>
      </c>
      <c r="H6334" s="26" t="n">
        <f aca="false">G6334-F6334</f>
        <v>131</v>
      </c>
      <c r="I6334" s="10" t="n">
        <f aca="false">IF(E6334="Won",1,0)</f>
        <v>1</v>
      </c>
    </row>
    <row r="6335" customFormat="false" ht="15" hidden="false" customHeight="false" outlineLevel="0" collapsed="false">
      <c r="A6335" s="10" t="s">
        <v>8676</v>
      </c>
      <c r="B6335" s="10" t="s">
        <v>94</v>
      </c>
      <c r="C6335" s="10" t="s">
        <v>51</v>
      </c>
      <c r="D6335" s="10" t="s">
        <v>514</v>
      </c>
      <c r="E6335" s="10" t="s">
        <v>2342</v>
      </c>
      <c r="F6335" s="30" t="n">
        <v>42987</v>
      </c>
      <c r="G6335" s="30" t="n">
        <v>43083</v>
      </c>
      <c r="H6335" s="26" t="n">
        <f aca="false">G6335-F6335</f>
        <v>96</v>
      </c>
      <c r="I6335" s="10" t="n">
        <f aca="false">IF(E6335="Won",1,0)</f>
        <v>1</v>
      </c>
    </row>
    <row r="6336" customFormat="false" ht="15" hidden="false" customHeight="false" outlineLevel="0" collapsed="false">
      <c r="A6336" s="10" t="s">
        <v>8677</v>
      </c>
      <c r="B6336" s="10" t="s">
        <v>97</v>
      </c>
      <c r="C6336" s="10" t="s">
        <v>49</v>
      </c>
      <c r="D6336" s="10" t="s">
        <v>233</v>
      </c>
      <c r="E6336" s="10" t="s">
        <v>2345</v>
      </c>
      <c r="F6336" s="30" t="n">
        <v>42986</v>
      </c>
      <c r="G6336" s="30" t="n">
        <v>43083</v>
      </c>
      <c r="H6336" s="26" t="n">
        <f aca="false">G6336-F6336</f>
        <v>97</v>
      </c>
      <c r="I6336" s="10" t="n">
        <f aca="false">IF(E6336="Won",1,0)</f>
        <v>0</v>
      </c>
    </row>
    <row r="6337" customFormat="false" ht="15" hidden="false" customHeight="false" outlineLevel="0" collapsed="false">
      <c r="A6337" s="10" t="s">
        <v>8678</v>
      </c>
      <c r="B6337" s="10" t="s">
        <v>87</v>
      </c>
      <c r="C6337" s="10" t="s">
        <v>48</v>
      </c>
      <c r="D6337" s="10" t="s">
        <v>427</v>
      </c>
      <c r="E6337" s="10" t="s">
        <v>2342</v>
      </c>
      <c r="F6337" s="30" t="n">
        <v>43016</v>
      </c>
      <c r="G6337" s="30" t="n">
        <v>43083</v>
      </c>
      <c r="H6337" s="26" t="n">
        <f aca="false">G6337-F6337</f>
        <v>67</v>
      </c>
      <c r="I6337" s="10" t="n">
        <f aca="false">IF(E6337="Won",1,0)</f>
        <v>1</v>
      </c>
    </row>
    <row r="6338" customFormat="false" ht="15" hidden="false" customHeight="false" outlineLevel="0" collapsed="false">
      <c r="A6338" s="10" t="s">
        <v>8679</v>
      </c>
      <c r="B6338" s="10" t="s">
        <v>70</v>
      </c>
      <c r="C6338" s="10" t="s">
        <v>51</v>
      </c>
      <c r="D6338" s="10" t="s">
        <v>437</v>
      </c>
      <c r="E6338" s="10" t="s">
        <v>2342</v>
      </c>
      <c r="F6338" s="30" t="n">
        <v>42977</v>
      </c>
      <c r="G6338" s="30" t="n">
        <v>43083</v>
      </c>
      <c r="H6338" s="26" t="n">
        <f aca="false">G6338-F6338</f>
        <v>106</v>
      </c>
      <c r="I6338" s="10" t="n">
        <f aca="false">IF(E6338="Won",1,0)</f>
        <v>1</v>
      </c>
    </row>
    <row r="6339" customFormat="false" ht="15" hidden="false" customHeight="false" outlineLevel="0" collapsed="false">
      <c r="A6339" s="10" t="s">
        <v>8680</v>
      </c>
      <c r="B6339" s="10" t="s">
        <v>62</v>
      </c>
      <c r="C6339" s="10" t="s">
        <v>51</v>
      </c>
      <c r="D6339" s="10" t="s">
        <v>616</v>
      </c>
      <c r="E6339" s="10" t="s">
        <v>2342</v>
      </c>
      <c r="F6339" s="30" t="n">
        <v>42998</v>
      </c>
      <c r="G6339" s="30" t="n">
        <v>43083</v>
      </c>
      <c r="H6339" s="26" t="n">
        <f aca="false">G6339-F6339</f>
        <v>85</v>
      </c>
      <c r="I6339" s="10" t="n">
        <f aca="false">IF(E6339="Won",1,0)</f>
        <v>1</v>
      </c>
    </row>
    <row r="6340" customFormat="false" ht="15" hidden="false" customHeight="false" outlineLevel="0" collapsed="false">
      <c r="A6340" s="10" t="s">
        <v>8681</v>
      </c>
      <c r="B6340" s="10" t="s">
        <v>77</v>
      </c>
      <c r="C6340" s="10" t="s">
        <v>49</v>
      </c>
      <c r="D6340" s="10" t="s">
        <v>369</v>
      </c>
      <c r="E6340" s="10" t="s">
        <v>2345</v>
      </c>
      <c r="F6340" s="30" t="n">
        <v>43069</v>
      </c>
      <c r="G6340" s="30" t="n">
        <v>43083</v>
      </c>
      <c r="H6340" s="26" t="n">
        <f aca="false">G6340-F6340</f>
        <v>14</v>
      </c>
      <c r="I6340" s="10" t="n">
        <f aca="false">IF(E6340="Won",1,0)</f>
        <v>0</v>
      </c>
    </row>
    <row r="6341" customFormat="false" ht="15" hidden="false" customHeight="false" outlineLevel="0" collapsed="false">
      <c r="A6341" s="10" t="s">
        <v>8682</v>
      </c>
      <c r="B6341" s="10" t="s">
        <v>84</v>
      </c>
      <c r="C6341" s="10" t="s">
        <v>50</v>
      </c>
      <c r="D6341" s="10" t="s">
        <v>233</v>
      </c>
      <c r="E6341" s="10" t="s">
        <v>2345</v>
      </c>
      <c r="F6341" s="30" t="n">
        <v>43002</v>
      </c>
      <c r="G6341" s="30" t="n">
        <v>43083</v>
      </c>
      <c r="H6341" s="26" t="n">
        <f aca="false">G6341-F6341</f>
        <v>81</v>
      </c>
      <c r="I6341" s="10" t="n">
        <f aca="false">IF(E6341="Won",1,0)</f>
        <v>0</v>
      </c>
    </row>
    <row r="6342" customFormat="false" ht="15" hidden="false" customHeight="false" outlineLevel="0" collapsed="false">
      <c r="A6342" s="10" t="s">
        <v>8683</v>
      </c>
      <c r="B6342" s="10" t="s">
        <v>71</v>
      </c>
      <c r="C6342" s="10" t="s">
        <v>52</v>
      </c>
      <c r="D6342" s="10" t="s">
        <v>869</v>
      </c>
      <c r="E6342" s="10" t="s">
        <v>2342</v>
      </c>
      <c r="F6342" s="30" t="n">
        <v>43075</v>
      </c>
      <c r="G6342" s="30" t="n">
        <v>43083</v>
      </c>
      <c r="H6342" s="26" t="n">
        <f aca="false">G6342-F6342</f>
        <v>8</v>
      </c>
      <c r="I6342" s="10" t="n">
        <f aca="false">IF(E6342="Won",1,0)</f>
        <v>1</v>
      </c>
    </row>
    <row r="6343" customFormat="false" ht="15" hidden="false" customHeight="false" outlineLevel="0" collapsed="false">
      <c r="A6343" s="10" t="s">
        <v>8684</v>
      </c>
      <c r="B6343" s="10" t="s">
        <v>75</v>
      </c>
      <c r="C6343" s="10" t="s">
        <v>51</v>
      </c>
      <c r="D6343" s="10" t="s">
        <v>1251</v>
      </c>
      <c r="E6343" s="10" t="s">
        <v>2342</v>
      </c>
      <c r="F6343" s="30" t="n">
        <v>43035</v>
      </c>
      <c r="G6343" s="30" t="n">
        <v>43083</v>
      </c>
      <c r="H6343" s="26" t="n">
        <f aca="false">G6343-F6343</f>
        <v>48</v>
      </c>
      <c r="I6343" s="10" t="n">
        <f aca="false">IF(E6343="Won",1,0)</f>
        <v>1</v>
      </c>
    </row>
    <row r="6344" customFormat="false" ht="15" hidden="false" customHeight="false" outlineLevel="0" collapsed="false">
      <c r="A6344" s="10" t="s">
        <v>8685</v>
      </c>
      <c r="B6344" s="10" t="s">
        <v>95</v>
      </c>
      <c r="C6344" s="10" t="s">
        <v>50</v>
      </c>
      <c r="D6344" s="10" t="s">
        <v>348</v>
      </c>
      <c r="E6344" s="10" t="s">
        <v>2342</v>
      </c>
      <c r="F6344" s="30" t="n">
        <v>43069</v>
      </c>
      <c r="G6344" s="30" t="n">
        <v>43083</v>
      </c>
      <c r="H6344" s="26" t="n">
        <f aca="false">G6344-F6344</f>
        <v>14</v>
      </c>
      <c r="I6344" s="10" t="n">
        <f aca="false">IF(E6344="Won",1,0)</f>
        <v>1</v>
      </c>
    </row>
    <row r="6345" customFormat="false" ht="15" hidden="false" customHeight="false" outlineLevel="0" collapsed="false">
      <c r="A6345" s="10" t="s">
        <v>8686</v>
      </c>
      <c r="B6345" s="10" t="s">
        <v>88</v>
      </c>
      <c r="C6345" s="10" t="s">
        <v>49</v>
      </c>
      <c r="D6345" s="10" t="s">
        <v>350</v>
      </c>
      <c r="E6345" s="10" t="s">
        <v>2342</v>
      </c>
      <c r="F6345" s="30" t="n">
        <v>42981</v>
      </c>
      <c r="G6345" s="30" t="n">
        <v>43083</v>
      </c>
      <c r="H6345" s="26" t="n">
        <f aca="false">G6345-F6345</f>
        <v>102</v>
      </c>
      <c r="I6345" s="10" t="n">
        <f aca="false">IF(E6345="Won",1,0)</f>
        <v>1</v>
      </c>
    </row>
    <row r="6346" customFormat="false" ht="15" hidden="false" customHeight="false" outlineLevel="0" collapsed="false">
      <c r="A6346" s="10" t="s">
        <v>8687</v>
      </c>
      <c r="B6346" s="10" t="s">
        <v>88</v>
      </c>
      <c r="C6346" s="10" t="s">
        <v>47</v>
      </c>
      <c r="D6346" s="10" t="s">
        <v>185</v>
      </c>
      <c r="E6346" s="10" t="s">
        <v>2342</v>
      </c>
      <c r="F6346" s="30" t="n">
        <v>43069</v>
      </c>
      <c r="G6346" s="30" t="n">
        <v>43083</v>
      </c>
      <c r="H6346" s="26" t="n">
        <f aca="false">G6346-F6346</f>
        <v>14</v>
      </c>
      <c r="I6346" s="10" t="n">
        <f aca="false">IF(E6346="Won",1,0)</f>
        <v>1</v>
      </c>
    </row>
    <row r="6347" customFormat="false" ht="15" hidden="false" customHeight="false" outlineLevel="0" collapsed="false">
      <c r="A6347" s="10" t="s">
        <v>8688</v>
      </c>
      <c r="B6347" s="10" t="s">
        <v>81</v>
      </c>
      <c r="C6347" s="10" t="s">
        <v>50</v>
      </c>
      <c r="D6347" s="10" t="s">
        <v>422</v>
      </c>
      <c r="E6347" s="10" t="s">
        <v>2342</v>
      </c>
      <c r="F6347" s="30" t="n">
        <v>42992</v>
      </c>
      <c r="G6347" s="30" t="n">
        <v>43083</v>
      </c>
      <c r="H6347" s="26" t="n">
        <f aca="false">G6347-F6347</f>
        <v>91</v>
      </c>
      <c r="I6347" s="10" t="n">
        <f aca="false">IF(E6347="Won",1,0)</f>
        <v>1</v>
      </c>
    </row>
    <row r="6348" customFormat="false" ht="15" hidden="false" customHeight="false" outlineLevel="0" collapsed="false">
      <c r="A6348" s="10" t="s">
        <v>8689</v>
      </c>
      <c r="B6348" s="10" t="s">
        <v>67</v>
      </c>
      <c r="C6348" s="10" t="s">
        <v>49</v>
      </c>
      <c r="D6348" s="10" t="s">
        <v>172</v>
      </c>
      <c r="E6348" s="10" t="s">
        <v>2342</v>
      </c>
      <c r="F6348" s="30" t="n">
        <v>42980</v>
      </c>
      <c r="G6348" s="30" t="n">
        <v>43084</v>
      </c>
      <c r="H6348" s="26" t="n">
        <f aca="false">G6348-F6348</f>
        <v>104</v>
      </c>
      <c r="I6348" s="10" t="n">
        <f aca="false">IF(E6348="Won",1,0)</f>
        <v>1</v>
      </c>
    </row>
    <row r="6349" customFormat="false" ht="15" hidden="false" customHeight="false" outlineLevel="0" collapsed="false">
      <c r="A6349" s="10" t="s">
        <v>8690</v>
      </c>
      <c r="B6349" s="10" t="s">
        <v>70</v>
      </c>
      <c r="C6349" s="10" t="s">
        <v>49</v>
      </c>
      <c r="D6349" s="10" t="s">
        <v>337</v>
      </c>
      <c r="E6349" s="10" t="s">
        <v>2342</v>
      </c>
      <c r="F6349" s="30" t="n">
        <v>43002</v>
      </c>
      <c r="G6349" s="30" t="n">
        <v>43084</v>
      </c>
      <c r="H6349" s="26" t="n">
        <f aca="false">G6349-F6349</f>
        <v>82</v>
      </c>
      <c r="I6349" s="10" t="n">
        <f aca="false">IF(E6349="Won",1,0)</f>
        <v>1</v>
      </c>
    </row>
    <row r="6350" customFormat="false" ht="15" hidden="false" customHeight="false" outlineLevel="0" collapsed="false">
      <c r="A6350" s="10" t="s">
        <v>8691</v>
      </c>
      <c r="B6350" s="10" t="s">
        <v>63</v>
      </c>
      <c r="C6350" s="10" t="s">
        <v>48</v>
      </c>
      <c r="D6350" s="10" t="s">
        <v>247</v>
      </c>
      <c r="E6350" s="10" t="s">
        <v>2342</v>
      </c>
      <c r="F6350" s="30" t="n">
        <v>43029</v>
      </c>
      <c r="G6350" s="30" t="n">
        <v>43084</v>
      </c>
      <c r="H6350" s="26" t="n">
        <f aca="false">G6350-F6350</f>
        <v>55</v>
      </c>
      <c r="I6350" s="10" t="n">
        <f aca="false">IF(E6350="Won",1,0)</f>
        <v>1</v>
      </c>
    </row>
    <row r="6351" customFormat="false" ht="15" hidden="false" customHeight="false" outlineLevel="0" collapsed="false">
      <c r="A6351" s="10" t="s">
        <v>8692</v>
      </c>
      <c r="B6351" s="10" t="s">
        <v>83</v>
      </c>
      <c r="C6351" s="10" t="s">
        <v>49</v>
      </c>
      <c r="D6351" s="10" t="s">
        <v>267</v>
      </c>
      <c r="E6351" s="10" t="s">
        <v>2342</v>
      </c>
      <c r="F6351" s="30" t="n">
        <v>42982</v>
      </c>
      <c r="G6351" s="30" t="n">
        <v>43084</v>
      </c>
      <c r="H6351" s="26" t="n">
        <f aca="false">G6351-F6351</f>
        <v>102</v>
      </c>
      <c r="I6351" s="10" t="n">
        <f aca="false">IF(E6351="Won",1,0)</f>
        <v>1</v>
      </c>
    </row>
    <row r="6352" customFormat="false" ht="15" hidden="false" customHeight="false" outlineLevel="0" collapsed="false">
      <c r="A6352" s="10" t="s">
        <v>8693</v>
      </c>
      <c r="B6352" s="10" t="s">
        <v>79</v>
      </c>
      <c r="C6352" s="10" t="s">
        <v>49</v>
      </c>
      <c r="D6352" s="10" t="s">
        <v>388</v>
      </c>
      <c r="E6352" s="10" t="s">
        <v>2345</v>
      </c>
      <c r="F6352" s="30" t="n">
        <v>42990</v>
      </c>
      <c r="G6352" s="30" t="n">
        <v>43084</v>
      </c>
      <c r="H6352" s="26" t="n">
        <f aca="false">G6352-F6352</f>
        <v>94</v>
      </c>
      <c r="I6352" s="10" t="n">
        <f aca="false">IF(E6352="Won",1,0)</f>
        <v>0</v>
      </c>
    </row>
    <row r="6353" customFormat="false" ht="15" hidden="false" customHeight="false" outlineLevel="0" collapsed="false">
      <c r="A6353" s="10" t="s">
        <v>8694</v>
      </c>
      <c r="B6353" s="10" t="s">
        <v>94</v>
      </c>
      <c r="C6353" s="10" t="s">
        <v>48</v>
      </c>
      <c r="D6353" s="10" t="s">
        <v>199</v>
      </c>
      <c r="E6353" s="10" t="s">
        <v>2342</v>
      </c>
      <c r="F6353" s="30" t="n">
        <v>43071</v>
      </c>
      <c r="G6353" s="30" t="n">
        <v>43084</v>
      </c>
      <c r="H6353" s="26" t="n">
        <f aca="false">G6353-F6353</f>
        <v>13</v>
      </c>
      <c r="I6353" s="10" t="n">
        <f aca="false">IF(E6353="Won",1,0)</f>
        <v>1</v>
      </c>
    </row>
    <row r="6354" customFormat="false" ht="15" hidden="false" customHeight="false" outlineLevel="0" collapsed="false">
      <c r="A6354" s="10" t="s">
        <v>8695</v>
      </c>
      <c r="B6354" s="10" t="s">
        <v>97</v>
      </c>
      <c r="C6354" s="10" t="s">
        <v>52</v>
      </c>
      <c r="D6354" s="10" t="s">
        <v>384</v>
      </c>
      <c r="E6354" s="10" t="s">
        <v>2342</v>
      </c>
      <c r="F6354" s="30" t="n">
        <v>43073</v>
      </c>
      <c r="G6354" s="30" t="n">
        <v>43084</v>
      </c>
      <c r="H6354" s="26" t="n">
        <f aca="false">G6354-F6354</f>
        <v>11</v>
      </c>
      <c r="I6354" s="10" t="n">
        <f aca="false">IF(E6354="Won",1,0)</f>
        <v>1</v>
      </c>
    </row>
    <row r="6355" customFormat="false" ht="15" hidden="false" customHeight="false" outlineLevel="0" collapsed="false">
      <c r="A6355" s="10" t="s">
        <v>8696</v>
      </c>
      <c r="B6355" s="10" t="s">
        <v>96</v>
      </c>
      <c r="C6355" s="10" t="s">
        <v>51</v>
      </c>
      <c r="D6355" s="10" t="s">
        <v>483</v>
      </c>
      <c r="E6355" s="10" t="s">
        <v>2345</v>
      </c>
      <c r="F6355" s="30" t="n">
        <v>43010</v>
      </c>
      <c r="G6355" s="30" t="n">
        <v>43084</v>
      </c>
      <c r="H6355" s="26" t="n">
        <f aca="false">G6355-F6355</f>
        <v>74</v>
      </c>
      <c r="I6355" s="10" t="n">
        <f aca="false">IF(E6355="Won",1,0)</f>
        <v>0</v>
      </c>
    </row>
    <row r="6356" customFormat="false" ht="15" hidden="false" customHeight="false" outlineLevel="0" collapsed="false">
      <c r="A6356" s="10" t="s">
        <v>8697</v>
      </c>
      <c r="B6356" s="10" t="s">
        <v>81</v>
      </c>
      <c r="C6356" s="10" t="s">
        <v>47</v>
      </c>
      <c r="D6356" s="10" t="s">
        <v>422</v>
      </c>
      <c r="E6356" s="10" t="s">
        <v>2342</v>
      </c>
      <c r="F6356" s="30" t="n">
        <v>43019</v>
      </c>
      <c r="G6356" s="30" t="n">
        <v>43084</v>
      </c>
      <c r="H6356" s="26" t="n">
        <f aca="false">G6356-F6356</f>
        <v>65</v>
      </c>
      <c r="I6356" s="10" t="n">
        <f aca="false">IF(E6356="Won",1,0)</f>
        <v>1</v>
      </c>
    </row>
    <row r="6357" customFormat="false" ht="15" hidden="false" customHeight="false" outlineLevel="0" collapsed="false">
      <c r="A6357" s="10" t="s">
        <v>8698</v>
      </c>
      <c r="B6357" s="10" t="s">
        <v>68</v>
      </c>
      <c r="C6357" s="10" t="s">
        <v>50</v>
      </c>
      <c r="D6357" s="10" t="s">
        <v>606</v>
      </c>
      <c r="E6357" s="10" t="s">
        <v>2342</v>
      </c>
      <c r="F6357" s="30" t="n">
        <v>42994</v>
      </c>
      <c r="G6357" s="30" t="n">
        <v>43084</v>
      </c>
      <c r="H6357" s="26" t="n">
        <f aca="false">G6357-F6357</f>
        <v>90</v>
      </c>
      <c r="I6357" s="10" t="n">
        <f aca="false">IF(E6357="Won",1,0)</f>
        <v>1</v>
      </c>
    </row>
    <row r="6358" customFormat="false" ht="15" hidden="false" customHeight="false" outlineLevel="0" collapsed="false">
      <c r="A6358" s="10" t="s">
        <v>8699</v>
      </c>
      <c r="B6358" s="10" t="s">
        <v>74</v>
      </c>
      <c r="C6358" s="10" t="s">
        <v>51</v>
      </c>
      <c r="D6358" s="10" t="s">
        <v>259</v>
      </c>
      <c r="E6358" s="10" t="s">
        <v>2345</v>
      </c>
      <c r="F6358" s="30" t="n">
        <v>43081</v>
      </c>
      <c r="G6358" s="30" t="n">
        <v>43084</v>
      </c>
      <c r="H6358" s="26" t="n">
        <f aca="false">G6358-F6358</f>
        <v>3</v>
      </c>
      <c r="I6358" s="10" t="n">
        <f aca="false">IF(E6358="Won",1,0)</f>
        <v>0</v>
      </c>
    </row>
    <row r="6359" customFormat="false" ht="15" hidden="false" customHeight="false" outlineLevel="0" collapsed="false">
      <c r="A6359" s="10" t="s">
        <v>8700</v>
      </c>
      <c r="B6359" s="10" t="s">
        <v>81</v>
      </c>
      <c r="C6359" s="10" t="s">
        <v>48</v>
      </c>
      <c r="D6359" s="10" t="s">
        <v>210</v>
      </c>
      <c r="E6359" s="10" t="s">
        <v>2342</v>
      </c>
      <c r="F6359" s="30" t="n">
        <v>43009</v>
      </c>
      <c r="G6359" s="30" t="n">
        <v>43084</v>
      </c>
      <c r="H6359" s="26" t="n">
        <f aca="false">G6359-F6359</f>
        <v>75</v>
      </c>
      <c r="I6359" s="10" t="n">
        <f aca="false">IF(E6359="Won",1,0)</f>
        <v>1</v>
      </c>
    </row>
    <row r="6360" customFormat="false" ht="15" hidden="false" customHeight="false" outlineLevel="0" collapsed="false">
      <c r="A6360" s="10" t="s">
        <v>8701</v>
      </c>
      <c r="B6360" s="10" t="s">
        <v>86</v>
      </c>
      <c r="C6360" s="10" t="s">
        <v>49</v>
      </c>
      <c r="D6360" s="10" t="s">
        <v>210</v>
      </c>
      <c r="E6360" s="10" t="s">
        <v>2345</v>
      </c>
      <c r="F6360" s="30" t="n">
        <v>43054</v>
      </c>
      <c r="G6360" s="30" t="n">
        <v>43084</v>
      </c>
      <c r="H6360" s="26" t="n">
        <f aca="false">G6360-F6360</f>
        <v>30</v>
      </c>
      <c r="I6360" s="10" t="n">
        <f aca="false">IF(E6360="Won",1,0)</f>
        <v>0</v>
      </c>
    </row>
    <row r="6361" customFormat="false" ht="15" hidden="false" customHeight="false" outlineLevel="0" collapsed="false">
      <c r="A6361" s="10" t="s">
        <v>8702</v>
      </c>
      <c r="B6361" s="10" t="s">
        <v>61</v>
      </c>
      <c r="C6361" s="10" t="s">
        <v>52</v>
      </c>
      <c r="D6361" s="10" t="s">
        <v>254</v>
      </c>
      <c r="E6361" s="10" t="s">
        <v>2342</v>
      </c>
      <c r="F6361" s="30" t="n">
        <v>42972</v>
      </c>
      <c r="G6361" s="30" t="n">
        <v>43084</v>
      </c>
      <c r="H6361" s="26" t="n">
        <f aca="false">G6361-F6361</f>
        <v>112</v>
      </c>
      <c r="I6361" s="10" t="n">
        <f aca="false">IF(E6361="Won",1,0)</f>
        <v>1</v>
      </c>
    </row>
    <row r="6362" customFormat="false" ht="15" hidden="false" customHeight="false" outlineLevel="0" collapsed="false">
      <c r="A6362" s="10" t="s">
        <v>8703</v>
      </c>
      <c r="B6362" s="10" t="s">
        <v>70</v>
      </c>
      <c r="C6362" s="10" t="s">
        <v>52</v>
      </c>
      <c r="D6362" s="10" t="s">
        <v>168</v>
      </c>
      <c r="E6362" s="10" t="s">
        <v>2342</v>
      </c>
      <c r="F6362" s="30" t="n">
        <v>42998</v>
      </c>
      <c r="G6362" s="30" t="n">
        <v>43084</v>
      </c>
      <c r="H6362" s="26" t="n">
        <f aca="false">G6362-F6362</f>
        <v>86</v>
      </c>
      <c r="I6362" s="10" t="n">
        <f aca="false">IF(E6362="Won",1,0)</f>
        <v>1</v>
      </c>
    </row>
    <row r="6363" customFormat="false" ht="15" hidden="false" customHeight="false" outlineLevel="0" collapsed="false">
      <c r="A6363" s="10" t="s">
        <v>8704</v>
      </c>
      <c r="B6363" s="10" t="s">
        <v>94</v>
      </c>
      <c r="C6363" s="10" t="s">
        <v>52</v>
      </c>
      <c r="D6363" s="10" t="s">
        <v>175</v>
      </c>
      <c r="E6363" s="10" t="s">
        <v>2342</v>
      </c>
      <c r="F6363" s="30" t="n">
        <v>43035</v>
      </c>
      <c r="G6363" s="30" t="n">
        <v>43084</v>
      </c>
      <c r="H6363" s="26" t="n">
        <f aca="false">G6363-F6363</f>
        <v>49</v>
      </c>
      <c r="I6363" s="10" t="n">
        <f aca="false">IF(E6363="Won",1,0)</f>
        <v>1</v>
      </c>
    </row>
    <row r="6364" customFormat="false" ht="15" hidden="false" customHeight="false" outlineLevel="0" collapsed="false">
      <c r="A6364" s="10" t="s">
        <v>8705</v>
      </c>
      <c r="B6364" s="10" t="s">
        <v>66</v>
      </c>
      <c r="C6364" s="10" t="s">
        <v>50</v>
      </c>
      <c r="D6364" s="10" t="s">
        <v>303</v>
      </c>
      <c r="E6364" s="10" t="s">
        <v>2342</v>
      </c>
      <c r="F6364" s="30" t="n">
        <v>43070</v>
      </c>
      <c r="G6364" s="30" t="n">
        <v>43084</v>
      </c>
      <c r="H6364" s="26" t="n">
        <f aca="false">G6364-F6364</f>
        <v>14</v>
      </c>
      <c r="I6364" s="10" t="n">
        <f aca="false">IF(E6364="Won",1,0)</f>
        <v>1</v>
      </c>
    </row>
    <row r="6365" customFormat="false" ht="15" hidden="false" customHeight="false" outlineLevel="0" collapsed="false">
      <c r="A6365" s="10" t="s">
        <v>8706</v>
      </c>
      <c r="B6365" s="10" t="s">
        <v>81</v>
      </c>
      <c r="C6365" s="10" t="s">
        <v>49</v>
      </c>
      <c r="D6365" s="10" t="s">
        <v>369</v>
      </c>
      <c r="E6365" s="10" t="s">
        <v>2345</v>
      </c>
      <c r="F6365" s="30" t="n">
        <v>42974</v>
      </c>
      <c r="G6365" s="30" t="n">
        <v>43084</v>
      </c>
      <c r="H6365" s="26" t="n">
        <f aca="false">G6365-F6365</f>
        <v>110</v>
      </c>
      <c r="I6365" s="10" t="n">
        <f aca="false">IF(E6365="Won",1,0)</f>
        <v>0</v>
      </c>
    </row>
    <row r="6366" customFormat="false" ht="15" hidden="false" customHeight="false" outlineLevel="0" collapsed="false">
      <c r="A6366" s="10" t="s">
        <v>8707</v>
      </c>
      <c r="B6366" s="10" t="s">
        <v>60</v>
      </c>
      <c r="C6366" s="10" t="s">
        <v>51</v>
      </c>
      <c r="D6366" s="10" t="s">
        <v>277</v>
      </c>
      <c r="E6366" s="10" t="s">
        <v>2342</v>
      </c>
      <c r="F6366" s="30" t="n">
        <v>43069</v>
      </c>
      <c r="G6366" s="30" t="n">
        <v>43084</v>
      </c>
      <c r="H6366" s="26" t="n">
        <f aca="false">G6366-F6366</f>
        <v>15</v>
      </c>
      <c r="I6366" s="10" t="n">
        <f aca="false">IF(E6366="Won",1,0)</f>
        <v>1</v>
      </c>
    </row>
    <row r="6367" customFormat="false" ht="15" hidden="false" customHeight="false" outlineLevel="0" collapsed="false">
      <c r="A6367" s="10" t="s">
        <v>8708</v>
      </c>
      <c r="B6367" s="10" t="s">
        <v>77</v>
      </c>
      <c r="C6367" s="10" t="s">
        <v>51</v>
      </c>
      <c r="D6367" s="10" t="s">
        <v>369</v>
      </c>
      <c r="E6367" s="10" t="s">
        <v>2342</v>
      </c>
      <c r="F6367" s="30" t="n">
        <v>42990</v>
      </c>
      <c r="G6367" s="30" t="n">
        <v>43085</v>
      </c>
      <c r="H6367" s="26" t="n">
        <f aca="false">G6367-F6367</f>
        <v>95</v>
      </c>
      <c r="I6367" s="10" t="n">
        <f aca="false">IF(E6367="Won",1,0)</f>
        <v>1</v>
      </c>
    </row>
    <row r="6368" customFormat="false" ht="15" hidden="false" customHeight="false" outlineLevel="0" collapsed="false">
      <c r="A6368" s="10" t="s">
        <v>8709</v>
      </c>
      <c r="B6368" s="10" t="s">
        <v>71</v>
      </c>
      <c r="C6368" s="10" t="s">
        <v>52</v>
      </c>
      <c r="D6368" s="10" t="s">
        <v>279</v>
      </c>
      <c r="E6368" s="10" t="s">
        <v>2342</v>
      </c>
      <c r="F6368" s="30" t="n">
        <v>43012</v>
      </c>
      <c r="G6368" s="30" t="n">
        <v>43085</v>
      </c>
      <c r="H6368" s="26" t="n">
        <f aca="false">G6368-F6368</f>
        <v>73</v>
      </c>
      <c r="I6368" s="10" t="n">
        <f aca="false">IF(E6368="Won",1,0)</f>
        <v>1</v>
      </c>
    </row>
    <row r="6369" customFormat="false" ht="15" hidden="false" customHeight="false" outlineLevel="0" collapsed="false">
      <c r="A6369" s="10" t="s">
        <v>8710</v>
      </c>
      <c r="B6369" s="10" t="s">
        <v>71</v>
      </c>
      <c r="C6369" s="10" t="s">
        <v>47</v>
      </c>
      <c r="D6369" s="10" t="s">
        <v>961</v>
      </c>
      <c r="E6369" s="10" t="s">
        <v>2342</v>
      </c>
      <c r="F6369" s="30" t="n">
        <v>43029</v>
      </c>
      <c r="G6369" s="30" t="n">
        <v>43085</v>
      </c>
      <c r="H6369" s="26" t="n">
        <f aca="false">G6369-F6369</f>
        <v>56</v>
      </c>
      <c r="I6369" s="10" t="n">
        <f aca="false">IF(E6369="Won",1,0)</f>
        <v>1</v>
      </c>
    </row>
    <row r="6370" customFormat="false" ht="15" hidden="false" customHeight="false" outlineLevel="0" collapsed="false">
      <c r="A6370" s="10" t="s">
        <v>8711</v>
      </c>
      <c r="B6370" s="10" t="s">
        <v>70</v>
      </c>
      <c r="C6370" s="10" t="s">
        <v>48</v>
      </c>
      <c r="D6370" s="10" t="s">
        <v>396</v>
      </c>
      <c r="E6370" s="10" t="s">
        <v>2342</v>
      </c>
      <c r="F6370" s="30" t="n">
        <v>42984</v>
      </c>
      <c r="G6370" s="30" t="n">
        <v>43085</v>
      </c>
      <c r="H6370" s="26" t="n">
        <f aca="false">G6370-F6370</f>
        <v>101</v>
      </c>
      <c r="I6370" s="10" t="n">
        <f aca="false">IF(E6370="Won",1,0)</f>
        <v>1</v>
      </c>
    </row>
    <row r="6371" customFormat="false" ht="15" hidden="false" customHeight="false" outlineLevel="0" collapsed="false">
      <c r="A6371" s="10" t="s">
        <v>8712</v>
      </c>
      <c r="B6371" s="10" t="s">
        <v>80</v>
      </c>
      <c r="C6371" s="10" t="s">
        <v>50</v>
      </c>
      <c r="D6371" s="10" t="s">
        <v>279</v>
      </c>
      <c r="E6371" s="10" t="s">
        <v>2342</v>
      </c>
      <c r="F6371" s="30" t="n">
        <v>42990</v>
      </c>
      <c r="G6371" s="30" t="n">
        <v>43085</v>
      </c>
      <c r="H6371" s="26" t="n">
        <f aca="false">G6371-F6371</f>
        <v>95</v>
      </c>
      <c r="I6371" s="10" t="n">
        <f aca="false">IF(E6371="Won",1,0)</f>
        <v>1</v>
      </c>
    </row>
    <row r="6372" customFormat="false" ht="15" hidden="false" customHeight="false" outlineLevel="0" collapsed="false">
      <c r="A6372" s="10" t="s">
        <v>8713</v>
      </c>
      <c r="B6372" s="10" t="s">
        <v>69</v>
      </c>
      <c r="C6372" s="10" t="s">
        <v>52</v>
      </c>
      <c r="D6372" s="10" t="s">
        <v>337</v>
      </c>
      <c r="E6372" s="10" t="s">
        <v>2342</v>
      </c>
      <c r="F6372" s="30" t="n">
        <v>43076</v>
      </c>
      <c r="G6372" s="30" t="n">
        <v>43085</v>
      </c>
      <c r="H6372" s="26" t="n">
        <f aca="false">G6372-F6372</f>
        <v>9</v>
      </c>
      <c r="I6372" s="10" t="n">
        <f aca="false">IF(E6372="Won",1,0)</f>
        <v>1</v>
      </c>
    </row>
    <row r="6373" customFormat="false" ht="15" hidden="false" customHeight="false" outlineLevel="0" collapsed="false">
      <c r="A6373" s="10" t="s">
        <v>8714</v>
      </c>
      <c r="B6373" s="10" t="s">
        <v>94</v>
      </c>
      <c r="C6373" s="10" t="s">
        <v>51</v>
      </c>
      <c r="D6373" s="10" t="s">
        <v>432</v>
      </c>
      <c r="E6373" s="10" t="s">
        <v>2342</v>
      </c>
      <c r="F6373" s="30" t="n">
        <v>43028</v>
      </c>
      <c r="G6373" s="30" t="n">
        <v>43085</v>
      </c>
      <c r="H6373" s="26" t="n">
        <f aca="false">G6373-F6373</f>
        <v>57</v>
      </c>
      <c r="I6373" s="10" t="n">
        <f aca="false">IF(E6373="Won",1,0)</f>
        <v>1</v>
      </c>
    </row>
    <row r="6374" customFormat="false" ht="15" hidden="false" customHeight="false" outlineLevel="0" collapsed="false">
      <c r="A6374" s="10" t="s">
        <v>8715</v>
      </c>
      <c r="B6374" s="10" t="s">
        <v>90</v>
      </c>
      <c r="C6374" s="10" t="s">
        <v>47</v>
      </c>
      <c r="D6374" s="10" t="s">
        <v>378</v>
      </c>
      <c r="E6374" s="10" t="s">
        <v>2342</v>
      </c>
      <c r="F6374" s="30" t="n">
        <v>42951</v>
      </c>
      <c r="G6374" s="30" t="n">
        <v>43085</v>
      </c>
      <c r="H6374" s="26" t="n">
        <f aca="false">G6374-F6374</f>
        <v>134</v>
      </c>
      <c r="I6374" s="10" t="n">
        <f aca="false">IF(E6374="Won",1,0)</f>
        <v>1</v>
      </c>
    </row>
    <row r="6375" customFormat="false" ht="15" hidden="false" customHeight="false" outlineLevel="0" collapsed="false">
      <c r="A6375" s="10" t="s">
        <v>8716</v>
      </c>
      <c r="B6375" s="10" t="s">
        <v>73</v>
      </c>
      <c r="C6375" s="10" t="s">
        <v>49</v>
      </c>
      <c r="D6375" s="10" t="s">
        <v>259</v>
      </c>
      <c r="E6375" s="10" t="s">
        <v>2342</v>
      </c>
      <c r="F6375" s="30" t="n">
        <v>43078</v>
      </c>
      <c r="G6375" s="30" t="n">
        <v>43085</v>
      </c>
      <c r="H6375" s="26" t="n">
        <f aca="false">G6375-F6375</f>
        <v>7</v>
      </c>
      <c r="I6375" s="10" t="n">
        <f aca="false">IF(E6375="Won",1,0)</f>
        <v>1</v>
      </c>
    </row>
    <row r="6376" customFormat="false" ht="15" hidden="false" customHeight="false" outlineLevel="0" collapsed="false">
      <c r="A6376" s="10" t="s">
        <v>8717</v>
      </c>
      <c r="B6376" s="10" t="s">
        <v>70</v>
      </c>
      <c r="C6376" s="10" t="s">
        <v>49</v>
      </c>
      <c r="D6376" s="10" t="s">
        <v>172</v>
      </c>
      <c r="E6376" s="10" t="s">
        <v>2342</v>
      </c>
      <c r="F6376" s="30" t="n">
        <v>43009</v>
      </c>
      <c r="G6376" s="30" t="n">
        <v>43085</v>
      </c>
      <c r="H6376" s="26" t="n">
        <f aca="false">G6376-F6376</f>
        <v>76</v>
      </c>
      <c r="I6376" s="10" t="n">
        <f aca="false">IF(E6376="Won",1,0)</f>
        <v>1</v>
      </c>
    </row>
    <row r="6377" customFormat="false" ht="15" hidden="false" customHeight="false" outlineLevel="0" collapsed="false">
      <c r="A6377" s="10" t="s">
        <v>8718</v>
      </c>
      <c r="B6377" s="10" t="s">
        <v>74</v>
      </c>
      <c r="C6377" s="10" t="s">
        <v>51</v>
      </c>
      <c r="D6377" s="10" t="s">
        <v>267</v>
      </c>
      <c r="E6377" s="10" t="s">
        <v>2342</v>
      </c>
      <c r="F6377" s="30" t="n">
        <v>42997</v>
      </c>
      <c r="G6377" s="30" t="n">
        <v>43085</v>
      </c>
      <c r="H6377" s="26" t="n">
        <f aca="false">G6377-F6377</f>
        <v>88</v>
      </c>
      <c r="I6377" s="10" t="n">
        <f aca="false">IF(E6377="Won",1,0)</f>
        <v>1</v>
      </c>
    </row>
    <row r="6378" customFormat="false" ht="15" hidden="false" customHeight="false" outlineLevel="0" collapsed="false">
      <c r="A6378" s="10" t="s">
        <v>8719</v>
      </c>
      <c r="B6378" s="10" t="s">
        <v>76</v>
      </c>
      <c r="C6378" s="10" t="s">
        <v>52</v>
      </c>
      <c r="D6378" s="10" t="s">
        <v>259</v>
      </c>
      <c r="E6378" s="10" t="s">
        <v>2345</v>
      </c>
      <c r="F6378" s="30" t="n">
        <v>43000</v>
      </c>
      <c r="G6378" s="30" t="n">
        <v>43085</v>
      </c>
      <c r="H6378" s="26" t="n">
        <f aca="false">G6378-F6378</f>
        <v>85</v>
      </c>
      <c r="I6378" s="10" t="n">
        <f aca="false">IF(E6378="Won",1,0)</f>
        <v>0</v>
      </c>
    </row>
    <row r="6379" customFormat="false" ht="15" hidden="false" customHeight="false" outlineLevel="0" collapsed="false">
      <c r="A6379" s="10" t="s">
        <v>8720</v>
      </c>
      <c r="B6379" s="10" t="s">
        <v>63</v>
      </c>
      <c r="C6379" s="10" t="s">
        <v>49</v>
      </c>
      <c r="D6379" s="10" t="s">
        <v>210</v>
      </c>
      <c r="E6379" s="10" t="s">
        <v>2342</v>
      </c>
      <c r="F6379" s="30" t="n">
        <v>43027</v>
      </c>
      <c r="G6379" s="30" t="n">
        <v>43085</v>
      </c>
      <c r="H6379" s="26" t="n">
        <f aca="false">G6379-F6379</f>
        <v>58</v>
      </c>
      <c r="I6379" s="10" t="n">
        <f aca="false">IF(E6379="Won",1,0)</f>
        <v>1</v>
      </c>
    </row>
    <row r="6380" customFormat="false" ht="15" hidden="false" customHeight="false" outlineLevel="0" collapsed="false">
      <c r="A6380" s="10" t="s">
        <v>8721</v>
      </c>
      <c r="B6380" s="10" t="s">
        <v>68</v>
      </c>
      <c r="C6380" s="10" t="s">
        <v>52</v>
      </c>
      <c r="D6380" s="10" t="s">
        <v>606</v>
      </c>
      <c r="E6380" s="10" t="s">
        <v>2342</v>
      </c>
      <c r="F6380" s="30" t="n">
        <v>42995</v>
      </c>
      <c r="G6380" s="30" t="n">
        <v>43085</v>
      </c>
      <c r="H6380" s="26" t="n">
        <f aca="false">G6380-F6380</f>
        <v>90</v>
      </c>
      <c r="I6380" s="10" t="n">
        <f aca="false">IF(E6380="Won",1,0)</f>
        <v>1</v>
      </c>
    </row>
    <row r="6381" customFormat="false" ht="15" hidden="false" customHeight="false" outlineLevel="0" collapsed="false">
      <c r="A6381" s="10" t="s">
        <v>8722</v>
      </c>
      <c r="B6381" s="10" t="s">
        <v>87</v>
      </c>
      <c r="C6381" s="10" t="s">
        <v>48</v>
      </c>
      <c r="D6381" s="10" t="s">
        <v>233</v>
      </c>
      <c r="E6381" s="10" t="s">
        <v>2342</v>
      </c>
      <c r="F6381" s="30" t="n">
        <v>42998</v>
      </c>
      <c r="G6381" s="30" t="n">
        <v>43085</v>
      </c>
      <c r="H6381" s="26" t="n">
        <f aca="false">G6381-F6381</f>
        <v>87</v>
      </c>
      <c r="I6381" s="10" t="n">
        <f aca="false">IF(E6381="Won",1,0)</f>
        <v>1</v>
      </c>
    </row>
    <row r="6382" customFormat="false" ht="15" hidden="false" customHeight="false" outlineLevel="0" collapsed="false">
      <c r="A6382" s="10" t="s">
        <v>8723</v>
      </c>
      <c r="B6382" s="10" t="s">
        <v>62</v>
      </c>
      <c r="C6382" s="10" t="s">
        <v>50</v>
      </c>
      <c r="D6382" s="10" t="s">
        <v>1334</v>
      </c>
      <c r="E6382" s="10" t="s">
        <v>2342</v>
      </c>
      <c r="F6382" s="30" t="n">
        <v>43083</v>
      </c>
      <c r="G6382" s="30" t="n">
        <v>43085</v>
      </c>
      <c r="H6382" s="26" t="n">
        <f aca="false">G6382-F6382</f>
        <v>2</v>
      </c>
      <c r="I6382" s="10" t="n">
        <f aca="false">IF(E6382="Won",1,0)</f>
        <v>1</v>
      </c>
    </row>
    <row r="6383" customFormat="false" ht="15" hidden="false" customHeight="false" outlineLevel="0" collapsed="false">
      <c r="A6383" s="10" t="s">
        <v>8724</v>
      </c>
      <c r="B6383" s="10" t="s">
        <v>80</v>
      </c>
      <c r="C6383" s="10" t="s">
        <v>52</v>
      </c>
      <c r="D6383" s="10" t="s">
        <v>597</v>
      </c>
      <c r="E6383" s="10" t="s">
        <v>2342</v>
      </c>
      <c r="F6383" s="30" t="n">
        <v>42948</v>
      </c>
      <c r="G6383" s="30" t="n">
        <v>43085</v>
      </c>
      <c r="H6383" s="26" t="n">
        <f aca="false">G6383-F6383</f>
        <v>137</v>
      </c>
      <c r="I6383" s="10" t="n">
        <f aca="false">IF(E6383="Won",1,0)</f>
        <v>1</v>
      </c>
    </row>
    <row r="6384" customFormat="false" ht="15" hidden="false" customHeight="false" outlineLevel="0" collapsed="false">
      <c r="A6384" s="10" t="s">
        <v>8725</v>
      </c>
      <c r="B6384" s="10" t="s">
        <v>97</v>
      </c>
      <c r="C6384" s="10" t="s">
        <v>51</v>
      </c>
      <c r="D6384" s="10" t="s">
        <v>326</v>
      </c>
      <c r="E6384" s="10" t="s">
        <v>2342</v>
      </c>
      <c r="F6384" s="30" t="n">
        <v>43017</v>
      </c>
      <c r="G6384" s="30" t="n">
        <v>43086</v>
      </c>
      <c r="H6384" s="26" t="n">
        <f aca="false">G6384-F6384</f>
        <v>69</v>
      </c>
      <c r="I6384" s="10" t="n">
        <f aca="false">IF(E6384="Won",1,0)</f>
        <v>1</v>
      </c>
    </row>
    <row r="6385" customFormat="false" ht="15" hidden="false" customHeight="false" outlineLevel="0" collapsed="false">
      <c r="A6385" s="10" t="s">
        <v>8726</v>
      </c>
      <c r="B6385" s="10" t="s">
        <v>90</v>
      </c>
      <c r="C6385" s="10" t="s">
        <v>49</v>
      </c>
      <c r="D6385" s="10" t="s">
        <v>1118</v>
      </c>
      <c r="E6385" s="10" t="s">
        <v>2342</v>
      </c>
      <c r="F6385" s="30" t="n">
        <v>43013</v>
      </c>
      <c r="G6385" s="30" t="n">
        <v>43086</v>
      </c>
      <c r="H6385" s="26" t="n">
        <f aca="false">G6385-F6385</f>
        <v>73</v>
      </c>
      <c r="I6385" s="10" t="n">
        <f aca="false">IF(E6385="Won",1,0)</f>
        <v>1</v>
      </c>
    </row>
    <row r="6386" customFormat="false" ht="15" hidden="false" customHeight="false" outlineLevel="0" collapsed="false">
      <c r="A6386" s="10" t="s">
        <v>8727</v>
      </c>
      <c r="B6386" s="10" t="s">
        <v>95</v>
      </c>
      <c r="C6386" s="10" t="s">
        <v>52</v>
      </c>
      <c r="D6386" s="10" t="s">
        <v>522</v>
      </c>
      <c r="E6386" s="10" t="s">
        <v>2342</v>
      </c>
      <c r="F6386" s="30" t="n">
        <v>43026</v>
      </c>
      <c r="G6386" s="30" t="n">
        <v>43086</v>
      </c>
      <c r="H6386" s="26" t="n">
        <f aca="false">G6386-F6386</f>
        <v>60</v>
      </c>
      <c r="I6386" s="10" t="n">
        <f aca="false">IF(E6386="Won",1,0)</f>
        <v>1</v>
      </c>
    </row>
    <row r="6387" customFormat="false" ht="15" hidden="false" customHeight="false" outlineLevel="0" collapsed="false">
      <c r="A6387" s="10" t="s">
        <v>8728</v>
      </c>
      <c r="B6387" s="10" t="s">
        <v>70</v>
      </c>
      <c r="C6387" s="10" t="s">
        <v>52</v>
      </c>
      <c r="D6387" s="10" t="s">
        <v>437</v>
      </c>
      <c r="E6387" s="10" t="s">
        <v>2342</v>
      </c>
      <c r="F6387" s="30" t="n">
        <v>43082</v>
      </c>
      <c r="G6387" s="30" t="n">
        <v>43086</v>
      </c>
      <c r="H6387" s="26" t="n">
        <f aca="false">G6387-F6387</f>
        <v>4</v>
      </c>
      <c r="I6387" s="10" t="n">
        <f aca="false">IF(E6387="Won",1,0)</f>
        <v>1</v>
      </c>
    </row>
    <row r="6388" customFormat="false" ht="15" hidden="false" customHeight="false" outlineLevel="0" collapsed="false">
      <c r="A6388" s="10" t="s">
        <v>8729</v>
      </c>
      <c r="B6388" s="10" t="s">
        <v>75</v>
      </c>
      <c r="C6388" s="10" t="s">
        <v>49</v>
      </c>
      <c r="D6388" s="10" t="s">
        <v>311</v>
      </c>
      <c r="E6388" s="10" t="s">
        <v>2342</v>
      </c>
      <c r="F6388" s="30" t="n">
        <v>42967</v>
      </c>
      <c r="G6388" s="30" t="n">
        <v>43086</v>
      </c>
      <c r="H6388" s="26" t="n">
        <f aca="false">G6388-F6388</f>
        <v>119</v>
      </c>
      <c r="I6388" s="10" t="n">
        <f aca="false">IF(E6388="Won",1,0)</f>
        <v>1</v>
      </c>
    </row>
    <row r="6389" customFormat="false" ht="15" hidden="false" customHeight="false" outlineLevel="0" collapsed="false">
      <c r="A6389" s="10" t="s">
        <v>8730</v>
      </c>
      <c r="B6389" s="10" t="s">
        <v>75</v>
      </c>
      <c r="C6389" s="10" t="s">
        <v>50</v>
      </c>
      <c r="D6389" s="10" t="s">
        <v>414</v>
      </c>
      <c r="E6389" s="10" t="s">
        <v>2342</v>
      </c>
      <c r="F6389" s="30" t="n">
        <v>42978</v>
      </c>
      <c r="G6389" s="30" t="n">
        <v>43086</v>
      </c>
      <c r="H6389" s="26" t="n">
        <f aca="false">G6389-F6389</f>
        <v>108</v>
      </c>
      <c r="I6389" s="10" t="n">
        <f aca="false">IF(E6389="Won",1,0)</f>
        <v>1</v>
      </c>
    </row>
    <row r="6390" customFormat="false" ht="15" hidden="false" customHeight="false" outlineLevel="0" collapsed="false">
      <c r="A6390" s="10" t="s">
        <v>8731</v>
      </c>
      <c r="B6390" s="10" t="s">
        <v>80</v>
      </c>
      <c r="C6390" s="10" t="s">
        <v>50</v>
      </c>
      <c r="D6390" s="10" t="s">
        <v>1948</v>
      </c>
      <c r="E6390" s="10" t="s">
        <v>2345</v>
      </c>
      <c r="F6390" s="30" t="n">
        <v>43010</v>
      </c>
      <c r="G6390" s="30" t="n">
        <v>43086</v>
      </c>
      <c r="H6390" s="26" t="n">
        <f aca="false">G6390-F6390</f>
        <v>76</v>
      </c>
      <c r="I6390" s="10" t="n">
        <f aca="false">IF(E6390="Won",1,0)</f>
        <v>0</v>
      </c>
    </row>
    <row r="6391" customFormat="false" ht="15" hidden="false" customHeight="false" outlineLevel="0" collapsed="false">
      <c r="A6391" s="10" t="s">
        <v>8732</v>
      </c>
      <c r="B6391" s="10" t="s">
        <v>95</v>
      </c>
      <c r="C6391" s="10" t="s">
        <v>51</v>
      </c>
      <c r="D6391" s="10" t="s">
        <v>175</v>
      </c>
      <c r="E6391" s="10" t="s">
        <v>2342</v>
      </c>
      <c r="F6391" s="30" t="n">
        <v>42985</v>
      </c>
      <c r="G6391" s="30" t="n">
        <v>43086</v>
      </c>
      <c r="H6391" s="26" t="n">
        <f aca="false">G6391-F6391</f>
        <v>101</v>
      </c>
      <c r="I6391" s="10" t="n">
        <f aca="false">IF(E6391="Won",1,0)</f>
        <v>1</v>
      </c>
    </row>
    <row r="6392" customFormat="false" ht="15" hidden="false" customHeight="false" outlineLevel="0" collapsed="false">
      <c r="A6392" s="10" t="s">
        <v>8733</v>
      </c>
      <c r="B6392" s="10" t="s">
        <v>71</v>
      </c>
      <c r="C6392" s="10" t="s">
        <v>52</v>
      </c>
      <c r="D6392" s="10" t="s">
        <v>193</v>
      </c>
      <c r="E6392" s="10" t="s">
        <v>2345</v>
      </c>
      <c r="F6392" s="30" t="n">
        <v>42986</v>
      </c>
      <c r="G6392" s="30" t="n">
        <v>43086</v>
      </c>
      <c r="H6392" s="26" t="n">
        <f aca="false">G6392-F6392</f>
        <v>100</v>
      </c>
      <c r="I6392" s="10" t="n">
        <f aca="false">IF(E6392="Won",1,0)</f>
        <v>0</v>
      </c>
    </row>
    <row r="6393" customFormat="false" ht="15" hidden="false" customHeight="false" outlineLevel="0" collapsed="false">
      <c r="A6393" s="10" t="s">
        <v>8734</v>
      </c>
      <c r="B6393" s="10" t="s">
        <v>77</v>
      </c>
      <c r="C6393" s="10" t="s">
        <v>48</v>
      </c>
      <c r="D6393" s="10" t="s">
        <v>291</v>
      </c>
      <c r="E6393" s="10" t="s">
        <v>2342</v>
      </c>
      <c r="F6393" s="30" t="n">
        <v>43079</v>
      </c>
      <c r="G6393" s="30" t="n">
        <v>43086</v>
      </c>
      <c r="H6393" s="26" t="n">
        <f aca="false">G6393-F6393</f>
        <v>7</v>
      </c>
      <c r="I6393" s="10" t="n">
        <f aca="false">IF(E6393="Won",1,0)</f>
        <v>1</v>
      </c>
    </row>
    <row r="6394" customFormat="false" ht="15" hidden="false" customHeight="false" outlineLevel="0" collapsed="false">
      <c r="A6394" s="10" t="s">
        <v>8735</v>
      </c>
      <c r="B6394" s="10" t="s">
        <v>88</v>
      </c>
      <c r="C6394" s="10" t="s">
        <v>49</v>
      </c>
      <c r="D6394" s="10" t="s">
        <v>332</v>
      </c>
      <c r="E6394" s="10" t="s">
        <v>2342</v>
      </c>
      <c r="F6394" s="30" t="n">
        <v>42992</v>
      </c>
      <c r="G6394" s="30" t="n">
        <v>43086</v>
      </c>
      <c r="H6394" s="26" t="n">
        <f aca="false">G6394-F6394</f>
        <v>94</v>
      </c>
      <c r="I6394" s="10" t="n">
        <f aca="false">IF(E6394="Won",1,0)</f>
        <v>1</v>
      </c>
    </row>
    <row r="6395" customFormat="false" ht="15" hidden="false" customHeight="false" outlineLevel="0" collapsed="false">
      <c r="A6395" s="10" t="s">
        <v>8736</v>
      </c>
      <c r="B6395" s="10" t="s">
        <v>84</v>
      </c>
      <c r="C6395" s="10" t="s">
        <v>50</v>
      </c>
      <c r="D6395" s="10" t="s">
        <v>218</v>
      </c>
      <c r="E6395" s="10" t="s">
        <v>2342</v>
      </c>
      <c r="F6395" s="30" t="n">
        <v>42986</v>
      </c>
      <c r="G6395" s="30" t="n">
        <v>43086</v>
      </c>
      <c r="H6395" s="26" t="n">
        <f aca="false">G6395-F6395</f>
        <v>100</v>
      </c>
      <c r="I6395" s="10" t="n">
        <f aca="false">IF(E6395="Won",1,0)</f>
        <v>1</v>
      </c>
    </row>
    <row r="6396" customFormat="false" ht="15" hidden="false" customHeight="false" outlineLevel="0" collapsed="false">
      <c r="A6396" s="10" t="s">
        <v>8737</v>
      </c>
      <c r="B6396" s="10" t="s">
        <v>70</v>
      </c>
      <c r="C6396" s="10" t="s">
        <v>48</v>
      </c>
      <c r="D6396" s="10" t="s">
        <v>483</v>
      </c>
      <c r="E6396" s="10" t="s">
        <v>2342</v>
      </c>
      <c r="F6396" s="30" t="n">
        <v>43001</v>
      </c>
      <c r="G6396" s="30" t="n">
        <v>43086</v>
      </c>
      <c r="H6396" s="26" t="n">
        <f aca="false">G6396-F6396</f>
        <v>85</v>
      </c>
      <c r="I6396" s="10" t="n">
        <f aca="false">IF(E6396="Won",1,0)</f>
        <v>1</v>
      </c>
    </row>
    <row r="6397" customFormat="false" ht="15" hidden="false" customHeight="false" outlineLevel="0" collapsed="false">
      <c r="A6397" s="10" t="s">
        <v>8738</v>
      </c>
      <c r="B6397" s="10" t="s">
        <v>90</v>
      </c>
      <c r="C6397" s="10" t="s">
        <v>47</v>
      </c>
      <c r="D6397" s="10" t="s">
        <v>233</v>
      </c>
      <c r="E6397" s="10" t="s">
        <v>2342</v>
      </c>
      <c r="F6397" s="30" t="n">
        <v>43078</v>
      </c>
      <c r="G6397" s="30" t="n">
        <v>43086</v>
      </c>
      <c r="H6397" s="26" t="n">
        <f aca="false">G6397-F6397</f>
        <v>8</v>
      </c>
      <c r="I6397" s="10" t="n">
        <f aca="false">IF(E6397="Won",1,0)</f>
        <v>1</v>
      </c>
    </row>
    <row r="6398" customFormat="false" ht="15" hidden="false" customHeight="false" outlineLevel="0" collapsed="false">
      <c r="A6398" s="10" t="s">
        <v>8739</v>
      </c>
      <c r="B6398" s="10" t="s">
        <v>57</v>
      </c>
      <c r="C6398" s="10" t="s">
        <v>47</v>
      </c>
      <c r="D6398" s="10" t="s">
        <v>1397</v>
      </c>
      <c r="E6398" s="10" t="s">
        <v>2342</v>
      </c>
      <c r="F6398" s="30" t="n">
        <v>43078</v>
      </c>
      <c r="G6398" s="30" t="n">
        <v>43086</v>
      </c>
      <c r="H6398" s="26" t="n">
        <f aca="false">G6398-F6398</f>
        <v>8</v>
      </c>
      <c r="I6398" s="10" t="n">
        <f aca="false">IF(E6398="Won",1,0)</f>
        <v>1</v>
      </c>
    </row>
    <row r="6399" customFormat="false" ht="15" hidden="false" customHeight="false" outlineLevel="0" collapsed="false">
      <c r="A6399" s="10" t="s">
        <v>8740</v>
      </c>
      <c r="B6399" s="10" t="s">
        <v>70</v>
      </c>
      <c r="C6399" s="10" t="s">
        <v>49</v>
      </c>
      <c r="D6399" s="10" t="s">
        <v>514</v>
      </c>
      <c r="E6399" s="10" t="s">
        <v>2342</v>
      </c>
      <c r="F6399" s="30" t="n">
        <v>43079</v>
      </c>
      <c r="G6399" s="30" t="n">
        <v>43087</v>
      </c>
      <c r="H6399" s="26" t="n">
        <f aca="false">G6399-F6399</f>
        <v>8</v>
      </c>
      <c r="I6399" s="10" t="n">
        <f aca="false">IF(E6399="Won",1,0)</f>
        <v>1</v>
      </c>
    </row>
    <row r="6400" customFormat="false" ht="15" hidden="false" customHeight="false" outlineLevel="0" collapsed="false">
      <c r="A6400" s="10" t="s">
        <v>8741</v>
      </c>
      <c r="B6400" s="10" t="s">
        <v>79</v>
      </c>
      <c r="C6400" s="10" t="s">
        <v>50</v>
      </c>
      <c r="D6400" s="10" t="s">
        <v>483</v>
      </c>
      <c r="E6400" s="10" t="s">
        <v>2342</v>
      </c>
      <c r="F6400" s="30" t="n">
        <v>43080</v>
      </c>
      <c r="G6400" s="30" t="n">
        <v>43087</v>
      </c>
      <c r="H6400" s="26" t="n">
        <f aca="false">G6400-F6400</f>
        <v>7</v>
      </c>
      <c r="I6400" s="10" t="n">
        <f aca="false">IF(E6400="Won",1,0)</f>
        <v>1</v>
      </c>
    </row>
    <row r="6401" customFormat="false" ht="15" hidden="false" customHeight="false" outlineLevel="0" collapsed="false">
      <c r="A6401" s="10" t="s">
        <v>8742</v>
      </c>
      <c r="B6401" s="10" t="s">
        <v>90</v>
      </c>
      <c r="C6401" s="10" t="s">
        <v>52</v>
      </c>
      <c r="D6401" s="10" t="s">
        <v>274</v>
      </c>
      <c r="E6401" s="10" t="s">
        <v>2342</v>
      </c>
      <c r="F6401" s="30" t="n">
        <v>43009</v>
      </c>
      <c r="G6401" s="30" t="n">
        <v>43087</v>
      </c>
      <c r="H6401" s="26" t="n">
        <f aca="false">G6401-F6401</f>
        <v>78</v>
      </c>
      <c r="I6401" s="10" t="n">
        <f aca="false">IF(E6401="Won",1,0)</f>
        <v>1</v>
      </c>
    </row>
    <row r="6402" customFormat="false" ht="15" hidden="false" customHeight="false" outlineLevel="0" collapsed="false">
      <c r="A6402" s="10" t="s">
        <v>8743</v>
      </c>
      <c r="B6402" s="10" t="s">
        <v>94</v>
      </c>
      <c r="C6402" s="10" t="s">
        <v>51</v>
      </c>
      <c r="D6402" s="10" t="s">
        <v>286</v>
      </c>
      <c r="E6402" s="10" t="s">
        <v>2342</v>
      </c>
      <c r="F6402" s="30" t="n">
        <v>42953</v>
      </c>
      <c r="G6402" s="30" t="n">
        <v>43087</v>
      </c>
      <c r="H6402" s="26" t="n">
        <f aca="false">G6402-F6402</f>
        <v>134</v>
      </c>
      <c r="I6402" s="10" t="n">
        <f aca="false">IF(E6402="Won",1,0)</f>
        <v>1</v>
      </c>
    </row>
    <row r="6403" customFormat="false" ht="15" hidden="false" customHeight="false" outlineLevel="0" collapsed="false">
      <c r="A6403" s="10" t="s">
        <v>8744</v>
      </c>
      <c r="B6403" s="10" t="s">
        <v>94</v>
      </c>
      <c r="C6403" s="10" t="s">
        <v>52</v>
      </c>
      <c r="D6403" s="10" t="s">
        <v>432</v>
      </c>
      <c r="E6403" s="10" t="s">
        <v>2342</v>
      </c>
      <c r="F6403" s="30" t="n">
        <v>43078</v>
      </c>
      <c r="G6403" s="30" t="n">
        <v>43087</v>
      </c>
      <c r="H6403" s="26" t="n">
        <f aca="false">G6403-F6403</f>
        <v>9</v>
      </c>
      <c r="I6403" s="10" t="n">
        <f aca="false">IF(E6403="Won",1,0)</f>
        <v>1</v>
      </c>
    </row>
    <row r="6404" customFormat="false" ht="15" hidden="false" customHeight="false" outlineLevel="0" collapsed="false">
      <c r="A6404" s="10" t="s">
        <v>8745</v>
      </c>
      <c r="B6404" s="10" t="s">
        <v>70</v>
      </c>
      <c r="C6404" s="10" t="s">
        <v>51</v>
      </c>
      <c r="D6404" s="10" t="s">
        <v>497</v>
      </c>
      <c r="E6404" s="10" t="s">
        <v>2342</v>
      </c>
      <c r="F6404" s="30" t="n">
        <v>43009</v>
      </c>
      <c r="G6404" s="30" t="n">
        <v>43087</v>
      </c>
      <c r="H6404" s="26" t="n">
        <f aca="false">G6404-F6404</f>
        <v>78</v>
      </c>
      <c r="I6404" s="10" t="n">
        <f aca="false">IF(E6404="Won",1,0)</f>
        <v>1</v>
      </c>
    </row>
    <row r="6405" customFormat="false" ht="15" hidden="false" customHeight="false" outlineLevel="0" collapsed="false">
      <c r="A6405" s="10" t="s">
        <v>8746</v>
      </c>
      <c r="B6405" s="10" t="s">
        <v>74</v>
      </c>
      <c r="C6405" s="10" t="s">
        <v>50</v>
      </c>
      <c r="D6405" s="10" t="s">
        <v>388</v>
      </c>
      <c r="E6405" s="10" t="s">
        <v>2342</v>
      </c>
      <c r="F6405" s="30" t="n">
        <v>43010</v>
      </c>
      <c r="G6405" s="30" t="n">
        <v>43087</v>
      </c>
      <c r="H6405" s="26" t="n">
        <f aca="false">G6405-F6405</f>
        <v>77</v>
      </c>
      <c r="I6405" s="10" t="n">
        <f aca="false">IF(E6405="Won",1,0)</f>
        <v>1</v>
      </c>
    </row>
    <row r="6406" customFormat="false" ht="15" hidden="false" customHeight="false" outlineLevel="0" collapsed="false">
      <c r="A6406" s="10" t="s">
        <v>8747</v>
      </c>
      <c r="B6406" s="10" t="s">
        <v>80</v>
      </c>
      <c r="C6406" s="10" t="s">
        <v>50</v>
      </c>
      <c r="D6406" s="10" t="s">
        <v>697</v>
      </c>
      <c r="E6406" s="10" t="s">
        <v>2345</v>
      </c>
      <c r="F6406" s="30" t="n">
        <v>43010</v>
      </c>
      <c r="G6406" s="30" t="n">
        <v>43087</v>
      </c>
      <c r="H6406" s="26" t="n">
        <f aca="false">G6406-F6406</f>
        <v>77</v>
      </c>
      <c r="I6406" s="10" t="n">
        <f aca="false">IF(E6406="Won",1,0)</f>
        <v>0</v>
      </c>
    </row>
    <row r="6407" customFormat="false" ht="15" hidden="false" customHeight="false" outlineLevel="0" collapsed="false">
      <c r="A6407" s="10" t="s">
        <v>8748</v>
      </c>
      <c r="B6407" s="10" t="s">
        <v>66</v>
      </c>
      <c r="C6407" s="10" t="s">
        <v>49</v>
      </c>
      <c r="D6407" s="10" t="s">
        <v>199</v>
      </c>
      <c r="E6407" s="10" t="s">
        <v>2342</v>
      </c>
      <c r="F6407" s="30" t="n">
        <v>43005</v>
      </c>
      <c r="G6407" s="30" t="n">
        <v>43087</v>
      </c>
      <c r="H6407" s="26" t="n">
        <f aca="false">G6407-F6407</f>
        <v>82</v>
      </c>
      <c r="I6407" s="10" t="n">
        <f aca="false">IF(E6407="Won",1,0)</f>
        <v>1</v>
      </c>
    </row>
    <row r="6408" customFormat="false" ht="15" hidden="false" customHeight="false" outlineLevel="0" collapsed="false">
      <c r="A6408" s="10" t="s">
        <v>8749</v>
      </c>
      <c r="B6408" s="10" t="s">
        <v>80</v>
      </c>
      <c r="C6408" s="10" t="s">
        <v>52</v>
      </c>
      <c r="D6408" s="10" t="s">
        <v>410</v>
      </c>
      <c r="E6408" s="10" t="s">
        <v>2342</v>
      </c>
      <c r="F6408" s="30" t="n">
        <v>42990</v>
      </c>
      <c r="G6408" s="30" t="n">
        <v>43087</v>
      </c>
      <c r="H6408" s="26" t="n">
        <f aca="false">G6408-F6408</f>
        <v>97</v>
      </c>
      <c r="I6408" s="10" t="n">
        <f aca="false">IF(E6408="Won",1,0)</f>
        <v>1</v>
      </c>
    </row>
    <row r="6409" customFormat="false" ht="15" hidden="false" customHeight="false" outlineLevel="0" collapsed="false">
      <c r="A6409" s="10" t="s">
        <v>8750</v>
      </c>
      <c r="B6409" s="10" t="s">
        <v>66</v>
      </c>
      <c r="C6409" s="10" t="s">
        <v>52</v>
      </c>
      <c r="D6409" s="10" t="s">
        <v>227</v>
      </c>
      <c r="E6409" s="10" t="s">
        <v>2342</v>
      </c>
      <c r="F6409" s="30" t="n">
        <v>43068</v>
      </c>
      <c r="G6409" s="30" t="n">
        <v>43087</v>
      </c>
      <c r="H6409" s="26" t="n">
        <f aca="false">G6409-F6409</f>
        <v>19</v>
      </c>
      <c r="I6409" s="10" t="n">
        <f aca="false">IF(E6409="Won",1,0)</f>
        <v>1</v>
      </c>
    </row>
    <row r="6410" customFormat="false" ht="15" hidden="false" customHeight="false" outlineLevel="0" collapsed="false">
      <c r="A6410" s="10" t="s">
        <v>8751</v>
      </c>
      <c r="B6410" s="10" t="s">
        <v>71</v>
      </c>
      <c r="C6410" s="10" t="s">
        <v>52</v>
      </c>
      <c r="D6410" s="10" t="s">
        <v>961</v>
      </c>
      <c r="E6410" s="10" t="s">
        <v>2342</v>
      </c>
      <c r="F6410" s="30" t="n">
        <v>43003</v>
      </c>
      <c r="G6410" s="30" t="n">
        <v>43087</v>
      </c>
      <c r="H6410" s="26" t="n">
        <f aca="false">G6410-F6410</f>
        <v>84</v>
      </c>
      <c r="I6410" s="10" t="n">
        <f aca="false">IF(E6410="Won",1,0)</f>
        <v>1</v>
      </c>
    </row>
    <row r="6411" customFormat="false" ht="15" hidden="false" customHeight="false" outlineLevel="0" collapsed="false">
      <c r="A6411" s="10" t="s">
        <v>8752</v>
      </c>
      <c r="B6411" s="10" t="s">
        <v>80</v>
      </c>
      <c r="C6411" s="10" t="s">
        <v>51</v>
      </c>
      <c r="D6411" s="10" t="s">
        <v>388</v>
      </c>
      <c r="E6411" s="10" t="s">
        <v>2342</v>
      </c>
      <c r="F6411" s="30" t="n">
        <v>43081</v>
      </c>
      <c r="G6411" s="30" t="n">
        <v>43087</v>
      </c>
      <c r="H6411" s="26" t="n">
        <f aca="false">G6411-F6411</f>
        <v>6</v>
      </c>
      <c r="I6411" s="10" t="n">
        <f aca="false">IF(E6411="Won",1,0)</f>
        <v>1</v>
      </c>
    </row>
    <row r="6412" customFormat="false" ht="15" hidden="false" customHeight="false" outlineLevel="0" collapsed="false">
      <c r="A6412" s="10" t="s">
        <v>8753</v>
      </c>
      <c r="B6412" s="10" t="s">
        <v>76</v>
      </c>
      <c r="C6412" s="10" t="s">
        <v>52</v>
      </c>
      <c r="D6412" s="10" t="s">
        <v>321</v>
      </c>
      <c r="E6412" s="10" t="s">
        <v>2342</v>
      </c>
      <c r="F6412" s="30" t="n">
        <v>43080</v>
      </c>
      <c r="G6412" s="30" t="n">
        <v>43087</v>
      </c>
      <c r="H6412" s="26" t="n">
        <f aca="false">G6412-F6412</f>
        <v>7</v>
      </c>
      <c r="I6412" s="10" t="n">
        <f aca="false">IF(E6412="Won",1,0)</f>
        <v>1</v>
      </c>
    </row>
    <row r="6413" customFormat="false" ht="15" hidden="false" customHeight="false" outlineLevel="0" collapsed="false">
      <c r="A6413" s="10" t="s">
        <v>8754</v>
      </c>
      <c r="B6413" s="10" t="s">
        <v>90</v>
      </c>
      <c r="C6413" s="10" t="s">
        <v>48</v>
      </c>
      <c r="D6413" s="10" t="s">
        <v>293</v>
      </c>
      <c r="E6413" s="10" t="s">
        <v>2345</v>
      </c>
      <c r="F6413" s="30" t="n">
        <v>42990</v>
      </c>
      <c r="G6413" s="30" t="n">
        <v>43087</v>
      </c>
      <c r="H6413" s="26" t="n">
        <f aca="false">G6413-F6413</f>
        <v>97</v>
      </c>
      <c r="I6413" s="10" t="n">
        <f aca="false">IF(E6413="Won",1,0)</f>
        <v>0</v>
      </c>
    </row>
    <row r="6414" customFormat="false" ht="15" hidden="false" customHeight="false" outlineLevel="0" collapsed="false">
      <c r="A6414" s="10" t="s">
        <v>8755</v>
      </c>
      <c r="B6414" s="10" t="s">
        <v>79</v>
      </c>
      <c r="C6414" s="10" t="s">
        <v>50</v>
      </c>
      <c r="D6414" s="10" t="s">
        <v>961</v>
      </c>
      <c r="E6414" s="10" t="s">
        <v>2342</v>
      </c>
      <c r="F6414" s="30" t="n">
        <v>42988</v>
      </c>
      <c r="G6414" s="30" t="n">
        <v>43087</v>
      </c>
      <c r="H6414" s="26" t="n">
        <f aca="false">G6414-F6414</f>
        <v>99</v>
      </c>
      <c r="I6414" s="10" t="n">
        <f aca="false">IF(E6414="Won",1,0)</f>
        <v>1</v>
      </c>
    </row>
    <row r="6415" customFormat="false" ht="15" hidden="false" customHeight="false" outlineLevel="0" collapsed="false">
      <c r="A6415" s="10" t="s">
        <v>8756</v>
      </c>
      <c r="B6415" s="10" t="s">
        <v>71</v>
      </c>
      <c r="C6415" s="10" t="s">
        <v>52</v>
      </c>
      <c r="D6415" s="10" t="s">
        <v>410</v>
      </c>
      <c r="E6415" s="10" t="s">
        <v>2342</v>
      </c>
      <c r="F6415" s="30" t="n">
        <v>43077</v>
      </c>
      <c r="G6415" s="30" t="n">
        <v>43087</v>
      </c>
      <c r="H6415" s="26" t="n">
        <f aca="false">G6415-F6415</f>
        <v>10</v>
      </c>
      <c r="I6415" s="10" t="n">
        <f aca="false">IF(E6415="Won",1,0)</f>
        <v>1</v>
      </c>
    </row>
    <row r="6416" customFormat="false" ht="15" hidden="false" customHeight="false" outlineLevel="0" collapsed="false">
      <c r="A6416" s="10" t="s">
        <v>8757</v>
      </c>
      <c r="B6416" s="10" t="s">
        <v>74</v>
      </c>
      <c r="C6416" s="10" t="s">
        <v>51</v>
      </c>
      <c r="D6416" s="10" t="s">
        <v>210</v>
      </c>
      <c r="E6416" s="10" t="s">
        <v>2342</v>
      </c>
      <c r="F6416" s="30" t="n">
        <v>43005</v>
      </c>
      <c r="G6416" s="30" t="n">
        <v>43087</v>
      </c>
      <c r="H6416" s="26" t="n">
        <f aca="false">G6416-F6416</f>
        <v>82</v>
      </c>
      <c r="I6416" s="10" t="n">
        <f aca="false">IF(E6416="Won",1,0)</f>
        <v>1</v>
      </c>
    </row>
    <row r="6417" customFormat="false" ht="15" hidden="false" customHeight="false" outlineLevel="0" collapsed="false">
      <c r="A6417" s="10" t="s">
        <v>8758</v>
      </c>
      <c r="B6417" s="10" t="s">
        <v>77</v>
      </c>
      <c r="C6417" s="10" t="s">
        <v>48</v>
      </c>
      <c r="D6417" s="10" t="s">
        <v>414</v>
      </c>
      <c r="E6417" s="10" t="s">
        <v>2342</v>
      </c>
      <c r="F6417" s="30" t="n">
        <v>42998</v>
      </c>
      <c r="G6417" s="30" t="n">
        <v>43087</v>
      </c>
      <c r="H6417" s="26" t="n">
        <f aca="false">G6417-F6417</f>
        <v>89</v>
      </c>
      <c r="I6417" s="10" t="n">
        <f aca="false">IF(E6417="Won",1,0)</f>
        <v>1</v>
      </c>
    </row>
    <row r="6418" customFormat="false" ht="15" hidden="false" customHeight="false" outlineLevel="0" collapsed="false">
      <c r="A6418" s="10" t="s">
        <v>8759</v>
      </c>
      <c r="B6418" s="10" t="s">
        <v>57</v>
      </c>
      <c r="C6418" s="10" t="s">
        <v>47</v>
      </c>
      <c r="D6418" s="10" t="s">
        <v>692</v>
      </c>
      <c r="E6418" s="10" t="s">
        <v>2342</v>
      </c>
      <c r="F6418" s="30" t="n">
        <v>43009</v>
      </c>
      <c r="G6418" s="30" t="n">
        <v>43087</v>
      </c>
      <c r="H6418" s="26" t="n">
        <f aca="false">G6418-F6418</f>
        <v>78</v>
      </c>
      <c r="I6418" s="10" t="n">
        <f aca="false">IF(E6418="Won",1,0)</f>
        <v>1</v>
      </c>
    </row>
    <row r="6419" customFormat="false" ht="15" hidden="false" customHeight="false" outlineLevel="0" collapsed="false">
      <c r="A6419" s="10" t="s">
        <v>8760</v>
      </c>
      <c r="B6419" s="10" t="s">
        <v>95</v>
      </c>
      <c r="C6419" s="10" t="s">
        <v>52</v>
      </c>
      <c r="D6419" s="10" t="s">
        <v>303</v>
      </c>
      <c r="E6419" s="10" t="s">
        <v>2342</v>
      </c>
      <c r="F6419" s="30" t="n">
        <v>42971</v>
      </c>
      <c r="G6419" s="30" t="n">
        <v>43087</v>
      </c>
      <c r="H6419" s="26" t="n">
        <f aca="false">G6419-F6419</f>
        <v>116</v>
      </c>
      <c r="I6419" s="10" t="n">
        <f aca="false">IF(E6419="Won",1,0)</f>
        <v>1</v>
      </c>
    </row>
    <row r="6420" customFormat="false" ht="15" hidden="false" customHeight="false" outlineLevel="0" collapsed="false">
      <c r="A6420" s="10" t="s">
        <v>8761</v>
      </c>
      <c r="B6420" s="10" t="s">
        <v>95</v>
      </c>
      <c r="C6420" s="10" t="s">
        <v>50</v>
      </c>
      <c r="D6420" s="10" t="s">
        <v>419</v>
      </c>
      <c r="E6420" s="10" t="s">
        <v>2342</v>
      </c>
      <c r="F6420" s="30" t="n">
        <v>43076</v>
      </c>
      <c r="G6420" s="30" t="n">
        <v>43087</v>
      </c>
      <c r="H6420" s="26" t="n">
        <f aca="false">G6420-F6420</f>
        <v>11</v>
      </c>
      <c r="I6420" s="10" t="n">
        <f aca="false">IF(E6420="Won",1,0)</f>
        <v>1</v>
      </c>
    </row>
    <row r="6421" customFormat="false" ht="15" hidden="false" customHeight="false" outlineLevel="0" collapsed="false">
      <c r="A6421" s="10" t="s">
        <v>8762</v>
      </c>
      <c r="B6421" s="10" t="s">
        <v>87</v>
      </c>
      <c r="C6421" s="10" t="s">
        <v>48</v>
      </c>
      <c r="D6421" s="10" t="s">
        <v>293</v>
      </c>
      <c r="E6421" s="10" t="s">
        <v>2342</v>
      </c>
      <c r="F6421" s="30" t="n">
        <v>43018</v>
      </c>
      <c r="G6421" s="30" t="n">
        <v>43087</v>
      </c>
      <c r="H6421" s="26" t="n">
        <f aca="false">G6421-F6421</f>
        <v>69</v>
      </c>
      <c r="I6421" s="10" t="n">
        <f aca="false">IF(E6421="Won",1,0)</f>
        <v>1</v>
      </c>
    </row>
    <row r="6422" customFormat="false" ht="15" hidden="false" customHeight="false" outlineLevel="0" collapsed="false">
      <c r="A6422" s="10" t="s">
        <v>8763</v>
      </c>
      <c r="B6422" s="10" t="s">
        <v>62</v>
      </c>
      <c r="C6422" s="10" t="s">
        <v>52</v>
      </c>
      <c r="D6422" s="10" t="s">
        <v>1397</v>
      </c>
      <c r="E6422" s="10" t="s">
        <v>2342</v>
      </c>
      <c r="F6422" s="30" t="n">
        <v>43077</v>
      </c>
      <c r="G6422" s="30" t="n">
        <v>43087</v>
      </c>
      <c r="H6422" s="26" t="n">
        <f aca="false">G6422-F6422</f>
        <v>10</v>
      </c>
      <c r="I6422" s="10" t="n">
        <f aca="false">IF(E6422="Won",1,0)</f>
        <v>1</v>
      </c>
    </row>
    <row r="6423" customFormat="false" ht="15" hidden="false" customHeight="false" outlineLevel="0" collapsed="false">
      <c r="A6423" s="10" t="s">
        <v>8764</v>
      </c>
      <c r="B6423" s="10" t="s">
        <v>81</v>
      </c>
      <c r="C6423" s="10" t="s">
        <v>48</v>
      </c>
      <c r="D6423" s="10" t="s">
        <v>193</v>
      </c>
      <c r="E6423" s="10" t="s">
        <v>2342</v>
      </c>
      <c r="F6423" s="30" t="n">
        <v>43042</v>
      </c>
      <c r="G6423" s="30" t="n">
        <v>43087</v>
      </c>
      <c r="H6423" s="26" t="n">
        <f aca="false">G6423-F6423</f>
        <v>45</v>
      </c>
      <c r="I6423" s="10" t="n">
        <f aca="false">IF(E6423="Won",1,0)</f>
        <v>1</v>
      </c>
    </row>
    <row r="6424" customFormat="false" ht="15" hidden="false" customHeight="false" outlineLevel="0" collapsed="false">
      <c r="A6424" s="10" t="s">
        <v>8765</v>
      </c>
      <c r="B6424" s="10" t="s">
        <v>75</v>
      </c>
      <c r="C6424" s="10" t="s">
        <v>51</v>
      </c>
      <c r="D6424" s="10" t="s">
        <v>321</v>
      </c>
      <c r="E6424" s="10" t="s">
        <v>2342</v>
      </c>
      <c r="F6424" s="30" t="n">
        <v>42962</v>
      </c>
      <c r="G6424" s="30" t="n">
        <v>43087</v>
      </c>
      <c r="H6424" s="26" t="n">
        <f aca="false">G6424-F6424</f>
        <v>125</v>
      </c>
      <c r="I6424" s="10" t="n">
        <f aca="false">IF(E6424="Won",1,0)</f>
        <v>1</v>
      </c>
    </row>
    <row r="6425" customFormat="false" ht="15" hidden="false" customHeight="false" outlineLevel="0" collapsed="false">
      <c r="A6425" s="10" t="s">
        <v>8766</v>
      </c>
      <c r="B6425" s="10" t="s">
        <v>62</v>
      </c>
      <c r="C6425" s="10" t="s">
        <v>51</v>
      </c>
      <c r="D6425" s="10" t="s">
        <v>233</v>
      </c>
      <c r="E6425" s="10" t="s">
        <v>2342</v>
      </c>
      <c r="F6425" s="30" t="n">
        <v>42989</v>
      </c>
      <c r="G6425" s="30" t="n">
        <v>43087</v>
      </c>
      <c r="H6425" s="26" t="n">
        <f aca="false">G6425-F6425</f>
        <v>98</v>
      </c>
      <c r="I6425" s="10" t="n">
        <f aca="false">IF(E6425="Won",1,0)</f>
        <v>1</v>
      </c>
    </row>
    <row r="6426" customFormat="false" ht="15" hidden="false" customHeight="false" outlineLevel="0" collapsed="false">
      <c r="A6426" s="10" t="s">
        <v>8767</v>
      </c>
      <c r="B6426" s="10" t="s">
        <v>66</v>
      </c>
      <c r="C6426" s="10" t="s">
        <v>52</v>
      </c>
      <c r="D6426" s="10" t="s">
        <v>506</v>
      </c>
      <c r="E6426" s="10" t="s">
        <v>2342</v>
      </c>
      <c r="F6426" s="30" t="n">
        <v>43063</v>
      </c>
      <c r="G6426" s="30" t="n">
        <v>43087</v>
      </c>
      <c r="H6426" s="26" t="n">
        <f aca="false">G6426-F6426</f>
        <v>24</v>
      </c>
      <c r="I6426" s="10" t="n">
        <f aca="false">IF(E6426="Won",1,0)</f>
        <v>1</v>
      </c>
    </row>
    <row r="6427" customFormat="false" ht="15" hidden="false" customHeight="false" outlineLevel="0" collapsed="false">
      <c r="A6427" s="10" t="s">
        <v>8768</v>
      </c>
      <c r="B6427" s="10" t="s">
        <v>68</v>
      </c>
      <c r="C6427" s="10" t="s">
        <v>52</v>
      </c>
      <c r="D6427" s="10" t="s">
        <v>514</v>
      </c>
      <c r="E6427" s="10" t="s">
        <v>2345</v>
      </c>
      <c r="F6427" s="30" t="n">
        <v>43074</v>
      </c>
      <c r="G6427" s="30" t="n">
        <v>43088</v>
      </c>
      <c r="H6427" s="26" t="n">
        <f aca="false">G6427-F6427</f>
        <v>14</v>
      </c>
      <c r="I6427" s="10" t="n">
        <f aca="false">IF(E6427="Won",1,0)</f>
        <v>0</v>
      </c>
    </row>
    <row r="6428" customFormat="false" ht="15" hidden="false" customHeight="false" outlineLevel="0" collapsed="false">
      <c r="A6428" s="10" t="s">
        <v>8769</v>
      </c>
      <c r="B6428" s="10" t="s">
        <v>71</v>
      </c>
      <c r="C6428" s="10" t="s">
        <v>51</v>
      </c>
      <c r="D6428" s="10" t="s">
        <v>524</v>
      </c>
      <c r="E6428" s="10" t="s">
        <v>2345</v>
      </c>
      <c r="F6428" s="30" t="n">
        <v>43079</v>
      </c>
      <c r="G6428" s="30" t="n">
        <v>43088</v>
      </c>
      <c r="H6428" s="26" t="n">
        <f aca="false">G6428-F6428</f>
        <v>9</v>
      </c>
      <c r="I6428" s="10" t="n">
        <f aca="false">IF(E6428="Won",1,0)</f>
        <v>0</v>
      </c>
    </row>
    <row r="6429" customFormat="false" ht="15" hidden="false" customHeight="false" outlineLevel="0" collapsed="false">
      <c r="A6429" s="10" t="s">
        <v>8770</v>
      </c>
      <c r="B6429" s="10" t="s">
        <v>62</v>
      </c>
      <c r="C6429" s="10" t="s">
        <v>48</v>
      </c>
      <c r="D6429" s="10" t="s">
        <v>692</v>
      </c>
      <c r="E6429" s="10" t="s">
        <v>2345</v>
      </c>
      <c r="F6429" s="30" t="n">
        <v>42987</v>
      </c>
      <c r="G6429" s="30" t="n">
        <v>43088</v>
      </c>
      <c r="H6429" s="26" t="n">
        <f aca="false">G6429-F6429</f>
        <v>101</v>
      </c>
      <c r="I6429" s="10" t="n">
        <f aca="false">IF(E6429="Won",1,0)</f>
        <v>0</v>
      </c>
    </row>
    <row r="6430" customFormat="false" ht="15" hidden="false" customHeight="false" outlineLevel="0" collapsed="false">
      <c r="A6430" s="10" t="s">
        <v>8771</v>
      </c>
      <c r="B6430" s="10" t="s">
        <v>86</v>
      </c>
      <c r="C6430" s="10" t="s">
        <v>47</v>
      </c>
      <c r="D6430" s="10" t="s">
        <v>332</v>
      </c>
      <c r="E6430" s="10" t="s">
        <v>2342</v>
      </c>
      <c r="F6430" s="30" t="n">
        <v>43008</v>
      </c>
      <c r="G6430" s="30" t="n">
        <v>43088</v>
      </c>
      <c r="H6430" s="26" t="n">
        <f aca="false">G6430-F6430</f>
        <v>80</v>
      </c>
      <c r="I6430" s="10" t="n">
        <f aca="false">IF(E6430="Won",1,0)</f>
        <v>1</v>
      </c>
    </row>
    <row r="6431" customFormat="false" ht="15" hidden="false" customHeight="false" outlineLevel="0" collapsed="false">
      <c r="A6431" s="10" t="s">
        <v>8772</v>
      </c>
      <c r="B6431" s="10" t="s">
        <v>77</v>
      </c>
      <c r="C6431" s="10" t="s">
        <v>48</v>
      </c>
      <c r="D6431" s="10" t="s">
        <v>1251</v>
      </c>
      <c r="E6431" s="10" t="s">
        <v>2342</v>
      </c>
      <c r="F6431" s="30" t="n">
        <v>43083</v>
      </c>
      <c r="G6431" s="30" t="n">
        <v>43088</v>
      </c>
      <c r="H6431" s="26" t="n">
        <f aca="false">G6431-F6431</f>
        <v>5</v>
      </c>
      <c r="I6431" s="10" t="n">
        <f aca="false">IF(E6431="Won",1,0)</f>
        <v>1</v>
      </c>
    </row>
    <row r="6432" customFormat="false" ht="15" hidden="false" customHeight="false" outlineLevel="0" collapsed="false">
      <c r="A6432" s="10" t="s">
        <v>8773</v>
      </c>
      <c r="B6432" s="10" t="s">
        <v>83</v>
      </c>
      <c r="C6432" s="10" t="s">
        <v>51</v>
      </c>
      <c r="D6432" s="10" t="s">
        <v>512</v>
      </c>
      <c r="E6432" s="10" t="s">
        <v>2342</v>
      </c>
      <c r="F6432" s="30" t="n">
        <v>42985</v>
      </c>
      <c r="G6432" s="30" t="n">
        <v>43088</v>
      </c>
      <c r="H6432" s="26" t="n">
        <f aca="false">G6432-F6432</f>
        <v>103</v>
      </c>
      <c r="I6432" s="10" t="n">
        <f aca="false">IF(E6432="Won",1,0)</f>
        <v>1</v>
      </c>
    </row>
    <row r="6433" customFormat="false" ht="15" hidden="false" customHeight="false" outlineLevel="0" collapsed="false">
      <c r="A6433" s="10" t="s">
        <v>8774</v>
      </c>
      <c r="B6433" s="10" t="s">
        <v>95</v>
      </c>
      <c r="C6433" s="10" t="s">
        <v>49</v>
      </c>
      <c r="D6433" s="10" t="s">
        <v>384</v>
      </c>
      <c r="E6433" s="10" t="s">
        <v>2345</v>
      </c>
      <c r="F6433" s="30" t="n">
        <v>43002</v>
      </c>
      <c r="G6433" s="30" t="n">
        <v>43088</v>
      </c>
      <c r="H6433" s="26" t="n">
        <f aca="false">G6433-F6433</f>
        <v>86</v>
      </c>
      <c r="I6433" s="10" t="n">
        <f aca="false">IF(E6433="Won",1,0)</f>
        <v>0</v>
      </c>
    </row>
    <row r="6434" customFormat="false" ht="15" hidden="false" customHeight="false" outlineLevel="0" collapsed="false">
      <c r="A6434" s="10" t="s">
        <v>8775</v>
      </c>
      <c r="B6434" s="10" t="s">
        <v>57</v>
      </c>
      <c r="C6434" s="10" t="s">
        <v>51</v>
      </c>
      <c r="D6434" s="10" t="s">
        <v>427</v>
      </c>
      <c r="E6434" s="10" t="s">
        <v>2342</v>
      </c>
      <c r="F6434" s="30" t="n">
        <v>42995</v>
      </c>
      <c r="G6434" s="30" t="n">
        <v>43088</v>
      </c>
      <c r="H6434" s="26" t="n">
        <f aca="false">G6434-F6434</f>
        <v>93</v>
      </c>
      <c r="I6434" s="10" t="n">
        <f aca="false">IF(E6434="Won",1,0)</f>
        <v>1</v>
      </c>
    </row>
    <row r="6435" customFormat="false" ht="15" hidden="false" customHeight="false" outlineLevel="0" collapsed="false">
      <c r="A6435" s="10" t="s">
        <v>8776</v>
      </c>
      <c r="B6435" s="10" t="s">
        <v>96</v>
      </c>
      <c r="C6435" s="10" t="s">
        <v>50</v>
      </c>
      <c r="D6435" s="10" t="s">
        <v>348</v>
      </c>
      <c r="E6435" s="10" t="s">
        <v>2342</v>
      </c>
      <c r="F6435" s="30" t="n">
        <v>43084</v>
      </c>
      <c r="G6435" s="30" t="n">
        <v>43088</v>
      </c>
      <c r="H6435" s="26" t="n">
        <f aca="false">G6435-F6435</f>
        <v>4</v>
      </c>
      <c r="I6435" s="10" t="n">
        <f aca="false">IF(E6435="Won",1,0)</f>
        <v>1</v>
      </c>
    </row>
    <row r="6436" customFormat="false" ht="15" hidden="false" customHeight="false" outlineLevel="0" collapsed="false">
      <c r="A6436" s="10" t="s">
        <v>8777</v>
      </c>
      <c r="B6436" s="10" t="s">
        <v>60</v>
      </c>
      <c r="C6436" s="10" t="s">
        <v>52</v>
      </c>
      <c r="D6436" s="10" t="s">
        <v>692</v>
      </c>
      <c r="E6436" s="10" t="s">
        <v>2345</v>
      </c>
      <c r="F6436" s="30" t="n">
        <v>43008</v>
      </c>
      <c r="G6436" s="30" t="n">
        <v>43088</v>
      </c>
      <c r="H6436" s="26" t="n">
        <f aca="false">G6436-F6436</f>
        <v>80</v>
      </c>
      <c r="I6436" s="10" t="n">
        <f aca="false">IF(E6436="Won",1,0)</f>
        <v>0</v>
      </c>
    </row>
    <row r="6437" customFormat="false" ht="15" hidden="false" customHeight="false" outlineLevel="0" collapsed="false">
      <c r="A6437" s="10" t="s">
        <v>8778</v>
      </c>
      <c r="B6437" s="10" t="s">
        <v>79</v>
      </c>
      <c r="C6437" s="10" t="s">
        <v>47</v>
      </c>
      <c r="D6437" s="10" t="s">
        <v>369</v>
      </c>
      <c r="E6437" s="10" t="s">
        <v>2342</v>
      </c>
      <c r="F6437" s="30" t="n">
        <v>42993</v>
      </c>
      <c r="G6437" s="30" t="n">
        <v>43088</v>
      </c>
      <c r="H6437" s="26" t="n">
        <f aca="false">G6437-F6437</f>
        <v>95</v>
      </c>
      <c r="I6437" s="10" t="n">
        <f aca="false">IF(E6437="Won",1,0)</f>
        <v>1</v>
      </c>
    </row>
    <row r="6438" customFormat="false" ht="15" hidden="false" customHeight="false" outlineLevel="0" collapsed="false">
      <c r="A6438" s="10" t="s">
        <v>8779</v>
      </c>
      <c r="B6438" s="10" t="s">
        <v>88</v>
      </c>
      <c r="C6438" s="10" t="s">
        <v>49</v>
      </c>
      <c r="D6438" s="10" t="s">
        <v>453</v>
      </c>
      <c r="E6438" s="10" t="s">
        <v>2345</v>
      </c>
      <c r="F6438" s="30" t="n">
        <v>43006</v>
      </c>
      <c r="G6438" s="30" t="n">
        <v>43088</v>
      </c>
      <c r="H6438" s="26" t="n">
        <f aca="false">G6438-F6438</f>
        <v>82</v>
      </c>
      <c r="I6438" s="10" t="n">
        <f aca="false">IF(E6438="Won",1,0)</f>
        <v>0</v>
      </c>
    </row>
    <row r="6439" customFormat="false" ht="15" hidden="false" customHeight="false" outlineLevel="0" collapsed="false">
      <c r="A6439" s="10" t="s">
        <v>8780</v>
      </c>
      <c r="B6439" s="10" t="s">
        <v>57</v>
      </c>
      <c r="C6439" s="10" t="s">
        <v>50</v>
      </c>
      <c r="D6439" s="10" t="s">
        <v>427</v>
      </c>
      <c r="E6439" s="10" t="s">
        <v>2345</v>
      </c>
      <c r="F6439" s="30" t="n">
        <v>42954</v>
      </c>
      <c r="G6439" s="30" t="n">
        <v>43088</v>
      </c>
      <c r="H6439" s="26" t="n">
        <f aca="false">G6439-F6439</f>
        <v>134</v>
      </c>
      <c r="I6439" s="10" t="n">
        <f aca="false">IF(E6439="Won",1,0)</f>
        <v>0</v>
      </c>
    </row>
    <row r="6440" customFormat="false" ht="15" hidden="false" customHeight="false" outlineLevel="0" collapsed="false">
      <c r="A6440" s="10" t="s">
        <v>8781</v>
      </c>
      <c r="B6440" s="10" t="s">
        <v>81</v>
      </c>
      <c r="C6440" s="10" t="s">
        <v>52</v>
      </c>
      <c r="D6440" s="10" t="s">
        <v>483</v>
      </c>
      <c r="E6440" s="10" t="s">
        <v>2342</v>
      </c>
      <c r="F6440" s="30" t="n">
        <v>43026</v>
      </c>
      <c r="G6440" s="30" t="n">
        <v>43088</v>
      </c>
      <c r="H6440" s="26" t="n">
        <f aca="false">G6440-F6440</f>
        <v>62</v>
      </c>
      <c r="I6440" s="10" t="n">
        <f aca="false">IF(E6440="Won",1,0)</f>
        <v>1</v>
      </c>
    </row>
    <row r="6441" customFormat="false" ht="15" hidden="false" customHeight="false" outlineLevel="0" collapsed="false">
      <c r="A6441" s="10" t="s">
        <v>8782</v>
      </c>
      <c r="B6441" s="10" t="s">
        <v>66</v>
      </c>
      <c r="C6441" s="10" t="s">
        <v>50</v>
      </c>
      <c r="D6441" s="10" t="s">
        <v>606</v>
      </c>
      <c r="E6441" s="10" t="s">
        <v>2345</v>
      </c>
      <c r="F6441" s="30" t="n">
        <v>42954</v>
      </c>
      <c r="G6441" s="30" t="n">
        <v>43088</v>
      </c>
      <c r="H6441" s="26" t="n">
        <f aca="false">G6441-F6441</f>
        <v>134</v>
      </c>
      <c r="I6441" s="10" t="n">
        <f aca="false">IF(E6441="Won",1,0)</f>
        <v>0</v>
      </c>
    </row>
    <row r="6442" customFormat="false" ht="15" hidden="false" customHeight="false" outlineLevel="0" collapsed="false">
      <c r="A6442" s="10" t="s">
        <v>8783</v>
      </c>
      <c r="B6442" s="10" t="s">
        <v>73</v>
      </c>
      <c r="C6442" s="10" t="s">
        <v>49</v>
      </c>
      <c r="D6442" s="10" t="s">
        <v>762</v>
      </c>
      <c r="E6442" s="10" t="s">
        <v>2342</v>
      </c>
      <c r="F6442" s="30" t="n">
        <v>43026</v>
      </c>
      <c r="G6442" s="30" t="n">
        <v>43088</v>
      </c>
      <c r="H6442" s="26" t="n">
        <f aca="false">G6442-F6442</f>
        <v>62</v>
      </c>
      <c r="I6442" s="10" t="n">
        <f aca="false">IF(E6442="Won",1,0)</f>
        <v>1</v>
      </c>
    </row>
    <row r="6443" customFormat="false" ht="15" hidden="false" customHeight="false" outlineLevel="0" collapsed="false">
      <c r="A6443" s="10" t="s">
        <v>8784</v>
      </c>
      <c r="B6443" s="10" t="s">
        <v>83</v>
      </c>
      <c r="C6443" s="10" t="s">
        <v>47</v>
      </c>
      <c r="D6443" s="10" t="s">
        <v>660</v>
      </c>
      <c r="E6443" s="10" t="s">
        <v>2342</v>
      </c>
      <c r="F6443" s="30" t="n">
        <v>43074</v>
      </c>
      <c r="G6443" s="30" t="n">
        <v>43088</v>
      </c>
      <c r="H6443" s="26" t="n">
        <f aca="false">G6443-F6443</f>
        <v>14</v>
      </c>
      <c r="I6443" s="10" t="n">
        <f aca="false">IF(E6443="Won",1,0)</f>
        <v>1</v>
      </c>
    </row>
    <row r="6444" customFormat="false" ht="15" hidden="false" customHeight="false" outlineLevel="0" collapsed="false">
      <c r="A6444" s="10" t="s">
        <v>8785</v>
      </c>
      <c r="B6444" s="10" t="s">
        <v>93</v>
      </c>
      <c r="C6444" s="10" t="s">
        <v>51</v>
      </c>
      <c r="D6444" s="10" t="s">
        <v>483</v>
      </c>
      <c r="E6444" s="10" t="s">
        <v>2342</v>
      </c>
      <c r="F6444" s="30" t="n">
        <v>42956</v>
      </c>
      <c r="G6444" s="30" t="n">
        <v>43088</v>
      </c>
      <c r="H6444" s="26" t="n">
        <f aca="false">G6444-F6444</f>
        <v>132</v>
      </c>
      <c r="I6444" s="10" t="n">
        <f aca="false">IF(E6444="Won",1,0)</f>
        <v>1</v>
      </c>
    </row>
    <row r="6445" customFormat="false" ht="15" hidden="false" customHeight="false" outlineLevel="0" collapsed="false">
      <c r="A6445" s="10" t="s">
        <v>8786</v>
      </c>
      <c r="B6445" s="10" t="s">
        <v>70</v>
      </c>
      <c r="C6445" s="10" t="s">
        <v>48</v>
      </c>
      <c r="D6445" s="10" t="s">
        <v>487</v>
      </c>
      <c r="E6445" s="10" t="s">
        <v>2342</v>
      </c>
      <c r="F6445" s="30" t="n">
        <v>42976</v>
      </c>
      <c r="G6445" s="30" t="n">
        <v>43088</v>
      </c>
      <c r="H6445" s="26" t="n">
        <f aca="false">G6445-F6445</f>
        <v>112</v>
      </c>
      <c r="I6445" s="10" t="n">
        <f aca="false">IF(E6445="Won",1,0)</f>
        <v>1</v>
      </c>
    </row>
    <row r="6446" customFormat="false" ht="15" hidden="false" customHeight="false" outlineLevel="0" collapsed="false">
      <c r="A6446" s="10" t="s">
        <v>8787</v>
      </c>
      <c r="B6446" s="10" t="s">
        <v>63</v>
      </c>
      <c r="C6446" s="10" t="s">
        <v>50</v>
      </c>
      <c r="D6446" s="10" t="s">
        <v>441</v>
      </c>
      <c r="E6446" s="10" t="s">
        <v>2342</v>
      </c>
      <c r="F6446" s="30" t="n">
        <v>43069</v>
      </c>
      <c r="G6446" s="30" t="n">
        <v>43088</v>
      </c>
      <c r="H6446" s="26" t="n">
        <f aca="false">G6446-F6446</f>
        <v>19</v>
      </c>
      <c r="I6446" s="10" t="n">
        <f aca="false">IF(E6446="Won",1,0)</f>
        <v>1</v>
      </c>
    </row>
    <row r="6447" customFormat="false" ht="15" hidden="false" customHeight="false" outlineLevel="0" collapsed="false">
      <c r="A6447" s="10" t="s">
        <v>8788</v>
      </c>
      <c r="B6447" s="10" t="s">
        <v>79</v>
      </c>
      <c r="C6447" s="10" t="s">
        <v>52</v>
      </c>
      <c r="D6447" s="10" t="s">
        <v>179</v>
      </c>
      <c r="E6447" s="10" t="s">
        <v>2342</v>
      </c>
      <c r="F6447" s="30" t="n">
        <v>43045</v>
      </c>
      <c r="G6447" s="30" t="n">
        <v>43088</v>
      </c>
      <c r="H6447" s="26" t="n">
        <f aca="false">G6447-F6447</f>
        <v>43</v>
      </c>
      <c r="I6447" s="10" t="n">
        <f aca="false">IF(E6447="Won",1,0)</f>
        <v>1</v>
      </c>
    </row>
    <row r="6448" customFormat="false" ht="15" hidden="false" customHeight="false" outlineLevel="0" collapsed="false">
      <c r="A6448" s="10" t="s">
        <v>8789</v>
      </c>
      <c r="B6448" s="10" t="s">
        <v>84</v>
      </c>
      <c r="C6448" s="10" t="s">
        <v>50</v>
      </c>
      <c r="D6448" s="10" t="s">
        <v>1397</v>
      </c>
      <c r="E6448" s="10" t="s">
        <v>2342</v>
      </c>
      <c r="F6448" s="30" t="n">
        <v>43030</v>
      </c>
      <c r="G6448" s="30" t="n">
        <v>43089</v>
      </c>
      <c r="H6448" s="26" t="n">
        <f aca="false">G6448-F6448</f>
        <v>59</v>
      </c>
      <c r="I6448" s="10" t="n">
        <f aca="false">IF(E6448="Won",1,0)</f>
        <v>1</v>
      </c>
    </row>
    <row r="6449" customFormat="false" ht="15" hidden="false" customHeight="false" outlineLevel="0" collapsed="false">
      <c r="A6449" s="10" t="s">
        <v>8790</v>
      </c>
      <c r="B6449" s="10" t="s">
        <v>57</v>
      </c>
      <c r="C6449" s="10" t="s">
        <v>48</v>
      </c>
      <c r="D6449" s="10" t="s">
        <v>185</v>
      </c>
      <c r="E6449" s="10" t="s">
        <v>2342</v>
      </c>
      <c r="F6449" s="30" t="n">
        <v>43019</v>
      </c>
      <c r="G6449" s="30" t="n">
        <v>43089</v>
      </c>
      <c r="H6449" s="26" t="n">
        <f aca="false">G6449-F6449</f>
        <v>70</v>
      </c>
      <c r="I6449" s="10" t="n">
        <f aca="false">IF(E6449="Won",1,0)</f>
        <v>1</v>
      </c>
    </row>
    <row r="6450" customFormat="false" ht="15" hidden="false" customHeight="false" outlineLevel="0" collapsed="false">
      <c r="A6450" s="10" t="s">
        <v>8791</v>
      </c>
      <c r="B6450" s="10" t="s">
        <v>93</v>
      </c>
      <c r="C6450" s="10" t="s">
        <v>51</v>
      </c>
      <c r="D6450" s="10" t="s">
        <v>199</v>
      </c>
      <c r="E6450" s="10" t="s">
        <v>2342</v>
      </c>
      <c r="F6450" s="30" t="n">
        <v>42969</v>
      </c>
      <c r="G6450" s="30" t="n">
        <v>43089</v>
      </c>
      <c r="H6450" s="26" t="n">
        <f aca="false">G6450-F6450</f>
        <v>120</v>
      </c>
      <c r="I6450" s="10" t="n">
        <f aca="false">IF(E6450="Won",1,0)</f>
        <v>1</v>
      </c>
    </row>
    <row r="6451" customFormat="false" ht="15" hidden="false" customHeight="false" outlineLevel="0" collapsed="false">
      <c r="A6451" s="10" t="s">
        <v>8792</v>
      </c>
      <c r="B6451" s="10" t="s">
        <v>67</v>
      </c>
      <c r="C6451" s="10" t="s">
        <v>49</v>
      </c>
      <c r="D6451" s="10" t="s">
        <v>175</v>
      </c>
      <c r="E6451" s="10" t="s">
        <v>2342</v>
      </c>
      <c r="F6451" s="30" t="n">
        <v>43071</v>
      </c>
      <c r="G6451" s="30" t="n">
        <v>43089</v>
      </c>
      <c r="H6451" s="26" t="n">
        <f aca="false">G6451-F6451</f>
        <v>18</v>
      </c>
      <c r="I6451" s="10" t="n">
        <f aca="false">IF(E6451="Won",1,0)</f>
        <v>1</v>
      </c>
    </row>
    <row r="6452" customFormat="false" ht="15" hidden="false" customHeight="false" outlineLevel="0" collapsed="false">
      <c r="A6452" s="10" t="s">
        <v>8793</v>
      </c>
      <c r="B6452" s="10" t="s">
        <v>81</v>
      </c>
      <c r="C6452" s="10" t="s">
        <v>49</v>
      </c>
      <c r="D6452" s="10" t="s">
        <v>697</v>
      </c>
      <c r="E6452" s="10" t="s">
        <v>2342</v>
      </c>
      <c r="F6452" s="30" t="n">
        <v>43015</v>
      </c>
      <c r="G6452" s="30" t="n">
        <v>43089</v>
      </c>
      <c r="H6452" s="26" t="n">
        <f aca="false">G6452-F6452</f>
        <v>74</v>
      </c>
      <c r="I6452" s="10" t="n">
        <f aca="false">IF(E6452="Won",1,0)</f>
        <v>1</v>
      </c>
    </row>
    <row r="6453" customFormat="false" ht="15" hidden="false" customHeight="false" outlineLevel="0" collapsed="false">
      <c r="A6453" s="10" t="s">
        <v>8794</v>
      </c>
      <c r="B6453" s="10" t="s">
        <v>67</v>
      </c>
      <c r="C6453" s="10" t="s">
        <v>52</v>
      </c>
      <c r="D6453" s="10" t="s">
        <v>326</v>
      </c>
      <c r="E6453" s="10" t="s">
        <v>2342</v>
      </c>
      <c r="F6453" s="30" t="n">
        <v>43026</v>
      </c>
      <c r="G6453" s="30" t="n">
        <v>43089</v>
      </c>
      <c r="H6453" s="26" t="n">
        <f aca="false">G6453-F6453</f>
        <v>63</v>
      </c>
      <c r="I6453" s="10" t="n">
        <f aca="false">IF(E6453="Won",1,0)</f>
        <v>1</v>
      </c>
    </row>
    <row r="6454" customFormat="false" ht="15" hidden="false" customHeight="false" outlineLevel="0" collapsed="false">
      <c r="A6454" s="10" t="s">
        <v>8795</v>
      </c>
      <c r="B6454" s="10" t="s">
        <v>74</v>
      </c>
      <c r="C6454" s="10" t="s">
        <v>49</v>
      </c>
      <c r="D6454" s="10" t="s">
        <v>697</v>
      </c>
      <c r="E6454" s="10" t="s">
        <v>2345</v>
      </c>
      <c r="F6454" s="30" t="n">
        <v>43008</v>
      </c>
      <c r="G6454" s="30" t="n">
        <v>43089</v>
      </c>
      <c r="H6454" s="26" t="n">
        <f aca="false">G6454-F6454</f>
        <v>81</v>
      </c>
      <c r="I6454" s="10" t="n">
        <f aca="false">IF(E6454="Won",1,0)</f>
        <v>0</v>
      </c>
    </row>
    <row r="6455" customFormat="false" ht="15" hidden="false" customHeight="false" outlineLevel="0" collapsed="false">
      <c r="A6455" s="10" t="s">
        <v>8796</v>
      </c>
      <c r="B6455" s="10" t="s">
        <v>93</v>
      </c>
      <c r="C6455" s="10" t="s">
        <v>51</v>
      </c>
      <c r="D6455" s="10" t="s">
        <v>299</v>
      </c>
      <c r="E6455" s="10" t="s">
        <v>2342</v>
      </c>
      <c r="F6455" s="30" t="n">
        <v>42992</v>
      </c>
      <c r="G6455" s="30" t="n">
        <v>43089</v>
      </c>
      <c r="H6455" s="26" t="n">
        <f aca="false">G6455-F6455</f>
        <v>97</v>
      </c>
      <c r="I6455" s="10" t="n">
        <f aca="false">IF(E6455="Won",1,0)</f>
        <v>1</v>
      </c>
    </row>
    <row r="6456" customFormat="false" ht="15" hidden="false" customHeight="false" outlineLevel="0" collapsed="false">
      <c r="A6456" s="10" t="s">
        <v>8797</v>
      </c>
      <c r="B6456" s="10" t="s">
        <v>97</v>
      </c>
      <c r="C6456" s="10" t="s">
        <v>48</v>
      </c>
      <c r="D6456" s="10" t="s">
        <v>437</v>
      </c>
      <c r="E6456" s="10" t="s">
        <v>2345</v>
      </c>
      <c r="F6456" s="30" t="n">
        <v>43073</v>
      </c>
      <c r="G6456" s="30" t="n">
        <v>43089</v>
      </c>
      <c r="H6456" s="26" t="n">
        <f aca="false">G6456-F6456</f>
        <v>16</v>
      </c>
      <c r="I6456" s="10" t="n">
        <f aca="false">IF(E6456="Won",1,0)</f>
        <v>0</v>
      </c>
    </row>
    <row r="6457" customFormat="false" ht="15" hidden="false" customHeight="false" outlineLevel="0" collapsed="false">
      <c r="A6457" s="10" t="s">
        <v>8798</v>
      </c>
      <c r="B6457" s="10" t="s">
        <v>77</v>
      </c>
      <c r="C6457" s="10" t="s">
        <v>48</v>
      </c>
      <c r="D6457" s="10" t="s">
        <v>483</v>
      </c>
      <c r="E6457" s="10" t="s">
        <v>2342</v>
      </c>
      <c r="F6457" s="30" t="n">
        <v>43021</v>
      </c>
      <c r="G6457" s="30" t="n">
        <v>43089</v>
      </c>
      <c r="H6457" s="26" t="n">
        <f aca="false">G6457-F6457</f>
        <v>68</v>
      </c>
      <c r="I6457" s="10" t="n">
        <f aca="false">IF(E6457="Won",1,0)</f>
        <v>1</v>
      </c>
    </row>
    <row r="6458" customFormat="false" ht="15" hidden="false" customHeight="false" outlineLevel="0" collapsed="false">
      <c r="A6458" s="10" t="s">
        <v>8799</v>
      </c>
      <c r="B6458" s="10" t="s">
        <v>95</v>
      </c>
      <c r="C6458" s="10" t="s">
        <v>50</v>
      </c>
      <c r="D6458" s="10" t="s">
        <v>606</v>
      </c>
      <c r="E6458" s="10" t="s">
        <v>2342</v>
      </c>
      <c r="F6458" s="30" t="n">
        <v>43071</v>
      </c>
      <c r="G6458" s="30" t="n">
        <v>43089</v>
      </c>
      <c r="H6458" s="26" t="n">
        <f aca="false">G6458-F6458</f>
        <v>18</v>
      </c>
      <c r="I6458" s="10" t="n">
        <f aca="false">IF(E6458="Won",1,0)</f>
        <v>1</v>
      </c>
    </row>
    <row r="6459" customFormat="false" ht="15" hidden="false" customHeight="false" outlineLevel="0" collapsed="false">
      <c r="A6459" s="10" t="s">
        <v>8800</v>
      </c>
      <c r="B6459" s="10" t="s">
        <v>67</v>
      </c>
      <c r="C6459" s="10" t="s">
        <v>50</v>
      </c>
      <c r="D6459" s="10" t="s">
        <v>424</v>
      </c>
      <c r="E6459" s="10" t="s">
        <v>2345</v>
      </c>
      <c r="F6459" s="30" t="n">
        <v>42980</v>
      </c>
      <c r="G6459" s="30" t="n">
        <v>43089</v>
      </c>
      <c r="H6459" s="26" t="n">
        <f aca="false">G6459-F6459</f>
        <v>109</v>
      </c>
      <c r="I6459" s="10" t="n">
        <f aca="false">IF(E6459="Won",1,0)</f>
        <v>0</v>
      </c>
    </row>
    <row r="6460" customFormat="false" ht="15" hidden="false" customHeight="false" outlineLevel="0" collapsed="false">
      <c r="A6460" s="10" t="s">
        <v>8801</v>
      </c>
      <c r="B6460" s="10" t="s">
        <v>73</v>
      </c>
      <c r="C6460" s="10" t="s">
        <v>49</v>
      </c>
      <c r="D6460" s="10" t="s">
        <v>193</v>
      </c>
      <c r="E6460" s="10" t="s">
        <v>2345</v>
      </c>
      <c r="F6460" s="30" t="n">
        <v>43010</v>
      </c>
      <c r="G6460" s="30" t="n">
        <v>43089</v>
      </c>
      <c r="H6460" s="26" t="n">
        <f aca="false">G6460-F6460</f>
        <v>79</v>
      </c>
      <c r="I6460" s="10" t="n">
        <f aca="false">IF(E6460="Won",1,0)</f>
        <v>0</v>
      </c>
    </row>
    <row r="6461" customFormat="false" ht="15" hidden="false" customHeight="false" outlineLevel="0" collapsed="false">
      <c r="A6461" s="10" t="s">
        <v>8802</v>
      </c>
      <c r="B6461" s="10" t="s">
        <v>67</v>
      </c>
      <c r="C6461" s="10" t="s">
        <v>50</v>
      </c>
      <c r="D6461" s="10" t="s">
        <v>711</v>
      </c>
      <c r="E6461" s="10" t="s">
        <v>2342</v>
      </c>
      <c r="F6461" s="30" t="n">
        <v>43023</v>
      </c>
      <c r="G6461" s="30" t="n">
        <v>43089</v>
      </c>
      <c r="H6461" s="26" t="n">
        <f aca="false">G6461-F6461</f>
        <v>66</v>
      </c>
      <c r="I6461" s="10" t="n">
        <f aca="false">IF(E6461="Won",1,0)</f>
        <v>1</v>
      </c>
    </row>
    <row r="6462" customFormat="false" ht="15" hidden="false" customHeight="false" outlineLevel="0" collapsed="false">
      <c r="A6462" s="10" t="s">
        <v>8803</v>
      </c>
      <c r="B6462" s="10" t="s">
        <v>77</v>
      </c>
      <c r="C6462" s="10" t="s">
        <v>50</v>
      </c>
      <c r="D6462" s="10" t="s">
        <v>321</v>
      </c>
      <c r="E6462" s="10" t="s">
        <v>2342</v>
      </c>
      <c r="F6462" s="30" t="n">
        <v>42952</v>
      </c>
      <c r="G6462" s="30" t="n">
        <v>43089</v>
      </c>
      <c r="H6462" s="26" t="n">
        <f aca="false">G6462-F6462</f>
        <v>137</v>
      </c>
      <c r="I6462" s="10" t="n">
        <f aca="false">IF(E6462="Won",1,0)</f>
        <v>1</v>
      </c>
    </row>
    <row r="6463" customFormat="false" ht="15" hidden="false" customHeight="false" outlineLevel="0" collapsed="false">
      <c r="A6463" s="10" t="s">
        <v>8804</v>
      </c>
      <c r="B6463" s="10" t="s">
        <v>96</v>
      </c>
      <c r="C6463" s="10" t="s">
        <v>48</v>
      </c>
      <c r="D6463" s="10" t="s">
        <v>506</v>
      </c>
      <c r="E6463" s="10" t="s">
        <v>2342</v>
      </c>
      <c r="F6463" s="30" t="n">
        <v>43012</v>
      </c>
      <c r="G6463" s="30" t="n">
        <v>43089</v>
      </c>
      <c r="H6463" s="26" t="n">
        <f aca="false">G6463-F6463</f>
        <v>77</v>
      </c>
      <c r="I6463" s="10" t="n">
        <f aca="false">IF(E6463="Won",1,0)</f>
        <v>1</v>
      </c>
    </row>
    <row r="6464" customFormat="false" ht="15" hidden="false" customHeight="false" outlineLevel="0" collapsed="false">
      <c r="A6464" s="10" t="s">
        <v>8805</v>
      </c>
      <c r="B6464" s="10" t="s">
        <v>80</v>
      </c>
      <c r="C6464" s="10" t="s">
        <v>50</v>
      </c>
      <c r="D6464" s="10" t="s">
        <v>961</v>
      </c>
      <c r="E6464" s="10" t="s">
        <v>2345</v>
      </c>
      <c r="F6464" s="30" t="n">
        <v>43072</v>
      </c>
      <c r="G6464" s="30" t="n">
        <v>43089</v>
      </c>
      <c r="H6464" s="26" t="n">
        <f aca="false">G6464-F6464</f>
        <v>17</v>
      </c>
      <c r="I6464" s="10" t="n">
        <f aca="false">IF(E6464="Won",1,0)</f>
        <v>0</v>
      </c>
    </row>
    <row r="6465" customFormat="false" ht="15" hidden="false" customHeight="false" outlineLevel="0" collapsed="false">
      <c r="A6465" s="10" t="s">
        <v>8806</v>
      </c>
      <c r="B6465" s="10" t="s">
        <v>88</v>
      </c>
      <c r="C6465" s="10" t="s">
        <v>51</v>
      </c>
      <c r="D6465" s="10" t="s">
        <v>532</v>
      </c>
      <c r="E6465" s="10" t="s">
        <v>2342</v>
      </c>
      <c r="F6465" s="30" t="n">
        <v>42952</v>
      </c>
      <c r="G6465" s="30" t="n">
        <v>43089</v>
      </c>
      <c r="H6465" s="26" t="n">
        <f aca="false">G6465-F6465</f>
        <v>137</v>
      </c>
      <c r="I6465" s="10" t="n">
        <f aca="false">IF(E6465="Won",1,0)</f>
        <v>1</v>
      </c>
    </row>
    <row r="6466" customFormat="false" ht="15" hidden="false" customHeight="false" outlineLevel="0" collapsed="false">
      <c r="A6466" s="10" t="s">
        <v>8807</v>
      </c>
      <c r="B6466" s="10" t="s">
        <v>80</v>
      </c>
      <c r="C6466" s="10" t="s">
        <v>51</v>
      </c>
      <c r="D6466" s="10" t="s">
        <v>762</v>
      </c>
      <c r="E6466" s="10" t="s">
        <v>2342</v>
      </c>
      <c r="F6466" s="30" t="n">
        <v>42978</v>
      </c>
      <c r="G6466" s="30" t="n">
        <v>43089</v>
      </c>
      <c r="H6466" s="26" t="n">
        <f aca="false">G6466-F6466</f>
        <v>111</v>
      </c>
      <c r="I6466" s="10" t="n">
        <f aca="false">IF(E6466="Won",1,0)</f>
        <v>1</v>
      </c>
    </row>
    <row r="6467" customFormat="false" ht="15" hidden="false" customHeight="false" outlineLevel="0" collapsed="false">
      <c r="A6467" s="10" t="s">
        <v>8808</v>
      </c>
      <c r="B6467" s="10" t="s">
        <v>90</v>
      </c>
      <c r="C6467" s="10" t="s">
        <v>49</v>
      </c>
      <c r="D6467" s="10" t="s">
        <v>532</v>
      </c>
      <c r="E6467" s="10" t="s">
        <v>2345</v>
      </c>
      <c r="F6467" s="30" t="n">
        <v>42996</v>
      </c>
      <c r="G6467" s="30" t="n">
        <v>43089</v>
      </c>
      <c r="H6467" s="26" t="n">
        <f aca="false">G6467-F6467</f>
        <v>93</v>
      </c>
      <c r="I6467" s="10" t="n">
        <f aca="false">IF(E6467="Won",1,0)</f>
        <v>0</v>
      </c>
    </row>
    <row r="6468" customFormat="false" ht="15" hidden="false" customHeight="false" outlineLevel="0" collapsed="false">
      <c r="A6468" s="10" t="s">
        <v>8809</v>
      </c>
      <c r="B6468" s="10" t="s">
        <v>70</v>
      </c>
      <c r="C6468" s="10" t="s">
        <v>52</v>
      </c>
      <c r="D6468" s="10" t="s">
        <v>313</v>
      </c>
      <c r="E6468" s="10" t="s">
        <v>2342</v>
      </c>
      <c r="F6468" s="30" t="n">
        <v>42978</v>
      </c>
      <c r="G6468" s="30" t="n">
        <v>43089</v>
      </c>
      <c r="H6468" s="26" t="n">
        <f aca="false">G6468-F6468</f>
        <v>111</v>
      </c>
      <c r="I6468" s="10" t="n">
        <f aca="false">IF(E6468="Won",1,0)</f>
        <v>1</v>
      </c>
    </row>
    <row r="6469" customFormat="false" ht="15" hidden="false" customHeight="false" outlineLevel="0" collapsed="false">
      <c r="A6469" s="10" t="s">
        <v>8810</v>
      </c>
      <c r="B6469" s="10" t="s">
        <v>77</v>
      </c>
      <c r="C6469" s="10" t="s">
        <v>48</v>
      </c>
      <c r="D6469" s="10" t="s">
        <v>512</v>
      </c>
      <c r="E6469" s="10" t="s">
        <v>2342</v>
      </c>
      <c r="F6469" s="30" t="n">
        <v>42970</v>
      </c>
      <c r="G6469" s="30" t="n">
        <v>43089</v>
      </c>
      <c r="H6469" s="26" t="n">
        <f aca="false">G6469-F6469</f>
        <v>119</v>
      </c>
      <c r="I6469" s="10" t="n">
        <f aca="false">IF(E6469="Won",1,0)</f>
        <v>1</v>
      </c>
    </row>
    <row r="6470" customFormat="false" ht="15" hidden="false" customHeight="false" outlineLevel="0" collapsed="false">
      <c r="A6470" s="10" t="s">
        <v>8811</v>
      </c>
      <c r="B6470" s="10" t="s">
        <v>76</v>
      </c>
      <c r="C6470" s="10" t="s">
        <v>52</v>
      </c>
      <c r="D6470" s="10" t="s">
        <v>961</v>
      </c>
      <c r="E6470" s="10" t="s">
        <v>2342</v>
      </c>
      <c r="F6470" s="30" t="n">
        <v>43050</v>
      </c>
      <c r="G6470" s="30" t="n">
        <v>43089</v>
      </c>
      <c r="H6470" s="26" t="n">
        <f aca="false">G6470-F6470</f>
        <v>39</v>
      </c>
      <c r="I6470" s="10" t="n">
        <f aca="false">IF(E6470="Won",1,0)</f>
        <v>1</v>
      </c>
    </row>
    <row r="6471" customFormat="false" ht="15" hidden="false" customHeight="false" outlineLevel="0" collapsed="false">
      <c r="A6471" s="10" t="s">
        <v>8812</v>
      </c>
      <c r="B6471" s="10" t="s">
        <v>81</v>
      </c>
      <c r="C6471" s="10" t="s">
        <v>47</v>
      </c>
      <c r="D6471" s="10" t="s">
        <v>660</v>
      </c>
      <c r="E6471" s="10" t="s">
        <v>2342</v>
      </c>
      <c r="F6471" s="30" t="n">
        <v>42984</v>
      </c>
      <c r="G6471" s="30" t="n">
        <v>43089</v>
      </c>
      <c r="H6471" s="26" t="n">
        <f aca="false">G6471-F6471</f>
        <v>105</v>
      </c>
      <c r="I6471" s="10" t="n">
        <f aca="false">IF(E6471="Won",1,0)</f>
        <v>1</v>
      </c>
    </row>
    <row r="6472" customFormat="false" ht="15" hidden="false" customHeight="false" outlineLevel="0" collapsed="false">
      <c r="A6472" s="10" t="s">
        <v>8813</v>
      </c>
      <c r="B6472" s="10" t="s">
        <v>77</v>
      </c>
      <c r="C6472" s="10" t="s">
        <v>48</v>
      </c>
      <c r="D6472" s="10" t="s">
        <v>179</v>
      </c>
      <c r="E6472" s="10" t="s">
        <v>2342</v>
      </c>
      <c r="F6472" s="30" t="n">
        <v>43046</v>
      </c>
      <c r="G6472" s="30" t="n">
        <v>43089</v>
      </c>
      <c r="H6472" s="26" t="n">
        <f aca="false">G6472-F6472</f>
        <v>43</v>
      </c>
      <c r="I6472" s="10" t="n">
        <f aca="false">IF(E6472="Won",1,0)</f>
        <v>1</v>
      </c>
    </row>
    <row r="6473" customFormat="false" ht="15" hidden="false" customHeight="false" outlineLevel="0" collapsed="false">
      <c r="A6473" s="10" t="s">
        <v>8814</v>
      </c>
      <c r="B6473" s="10" t="s">
        <v>70</v>
      </c>
      <c r="C6473" s="10" t="s">
        <v>51</v>
      </c>
      <c r="D6473" s="10" t="s">
        <v>326</v>
      </c>
      <c r="E6473" s="10" t="s">
        <v>2342</v>
      </c>
      <c r="F6473" s="30" t="n">
        <v>43012</v>
      </c>
      <c r="G6473" s="30" t="n">
        <v>43089</v>
      </c>
      <c r="H6473" s="26" t="n">
        <f aca="false">G6473-F6473</f>
        <v>77</v>
      </c>
      <c r="I6473" s="10" t="n">
        <f aca="false">IF(E6473="Won",1,0)</f>
        <v>1</v>
      </c>
    </row>
    <row r="6474" customFormat="false" ht="15" hidden="false" customHeight="false" outlineLevel="0" collapsed="false">
      <c r="A6474" s="10" t="s">
        <v>8815</v>
      </c>
      <c r="B6474" s="10" t="s">
        <v>69</v>
      </c>
      <c r="C6474" s="10" t="s">
        <v>52</v>
      </c>
      <c r="D6474" s="10" t="s">
        <v>299</v>
      </c>
      <c r="E6474" s="10" t="s">
        <v>2345</v>
      </c>
      <c r="F6474" s="30" t="n">
        <v>43085</v>
      </c>
      <c r="G6474" s="30" t="n">
        <v>43090</v>
      </c>
      <c r="H6474" s="26" t="n">
        <f aca="false">G6474-F6474</f>
        <v>5</v>
      </c>
      <c r="I6474" s="10" t="n">
        <f aca="false">IF(E6474="Won",1,0)</f>
        <v>0</v>
      </c>
    </row>
    <row r="6475" customFormat="false" ht="15" hidden="false" customHeight="false" outlineLevel="0" collapsed="false">
      <c r="A6475" s="10" t="s">
        <v>8816</v>
      </c>
      <c r="B6475" s="10" t="s">
        <v>68</v>
      </c>
      <c r="C6475" s="10" t="s">
        <v>52</v>
      </c>
      <c r="D6475" s="10" t="s">
        <v>437</v>
      </c>
      <c r="E6475" s="10" t="s">
        <v>2342</v>
      </c>
      <c r="F6475" s="30" t="n">
        <v>43080</v>
      </c>
      <c r="G6475" s="30" t="n">
        <v>43090</v>
      </c>
      <c r="H6475" s="26" t="n">
        <f aca="false">G6475-F6475</f>
        <v>10</v>
      </c>
      <c r="I6475" s="10" t="n">
        <f aca="false">IF(E6475="Won",1,0)</f>
        <v>1</v>
      </c>
    </row>
    <row r="6476" customFormat="false" ht="15" hidden="false" customHeight="false" outlineLevel="0" collapsed="false">
      <c r="A6476" s="10" t="s">
        <v>8817</v>
      </c>
      <c r="B6476" s="10" t="s">
        <v>95</v>
      </c>
      <c r="C6476" s="10" t="s">
        <v>50</v>
      </c>
      <c r="D6476" s="10" t="s">
        <v>227</v>
      </c>
      <c r="E6476" s="10" t="s">
        <v>2345</v>
      </c>
      <c r="F6476" s="30" t="n">
        <v>42986</v>
      </c>
      <c r="G6476" s="30" t="n">
        <v>43090</v>
      </c>
      <c r="H6476" s="26" t="n">
        <f aca="false">G6476-F6476</f>
        <v>104</v>
      </c>
      <c r="I6476" s="10" t="n">
        <f aca="false">IF(E6476="Won",1,0)</f>
        <v>0</v>
      </c>
    </row>
    <row r="6477" customFormat="false" ht="15" hidden="false" customHeight="false" outlineLevel="0" collapsed="false">
      <c r="A6477" s="10" t="s">
        <v>8818</v>
      </c>
      <c r="B6477" s="10" t="s">
        <v>70</v>
      </c>
      <c r="C6477" s="10" t="s">
        <v>51</v>
      </c>
      <c r="D6477" s="10" t="s">
        <v>199</v>
      </c>
      <c r="E6477" s="10" t="s">
        <v>2342</v>
      </c>
      <c r="F6477" s="30" t="n">
        <v>43024</v>
      </c>
      <c r="G6477" s="30" t="n">
        <v>43090</v>
      </c>
      <c r="H6477" s="26" t="n">
        <f aca="false">G6477-F6477</f>
        <v>66</v>
      </c>
      <c r="I6477" s="10" t="n">
        <f aca="false">IF(E6477="Won",1,0)</f>
        <v>1</v>
      </c>
    </row>
    <row r="6478" customFormat="false" ht="15" hidden="false" customHeight="false" outlineLevel="0" collapsed="false">
      <c r="A6478" s="10" t="s">
        <v>8819</v>
      </c>
      <c r="B6478" s="10" t="s">
        <v>57</v>
      </c>
      <c r="C6478" s="10" t="s">
        <v>52</v>
      </c>
      <c r="D6478" s="10" t="s">
        <v>1334</v>
      </c>
      <c r="E6478" s="10" t="s">
        <v>2342</v>
      </c>
      <c r="F6478" s="30" t="n">
        <v>43060</v>
      </c>
      <c r="G6478" s="30" t="n">
        <v>43090</v>
      </c>
      <c r="H6478" s="26" t="n">
        <f aca="false">G6478-F6478</f>
        <v>30</v>
      </c>
      <c r="I6478" s="10" t="n">
        <f aca="false">IF(E6478="Won",1,0)</f>
        <v>1</v>
      </c>
    </row>
    <row r="6479" customFormat="false" ht="15" hidden="false" customHeight="false" outlineLevel="0" collapsed="false">
      <c r="A6479" s="10" t="s">
        <v>8820</v>
      </c>
      <c r="B6479" s="10" t="s">
        <v>77</v>
      </c>
      <c r="C6479" s="10" t="s">
        <v>47</v>
      </c>
      <c r="D6479" s="10" t="s">
        <v>369</v>
      </c>
      <c r="E6479" s="10" t="s">
        <v>2342</v>
      </c>
      <c r="F6479" s="30" t="n">
        <v>43012</v>
      </c>
      <c r="G6479" s="30" t="n">
        <v>43090</v>
      </c>
      <c r="H6479" s="26" t="n">
        <f aca="false">G6479-F6479</f>
        <v>78</v>
      </c>
      <c r="I6479" s="10" t="n">
        <f aca="false">IF(E6479="Won",1,0)</f>
        <v>1</v>
      </c>
    </row>
    <row r="6480" customFormat="false" ht="15" hidden="false" customHeight="false" outlineLevel="0" collapsed="false">
      <c r="A6480" s="10" t="s">
        <v>8821</v>
      </c>
      <c r="B6480" s="10" t="s">
        <v>74</v>
      </c>
      <c r="C6480" s="10" t="s">
        <v>51</v>
      </c>
      <c r="D6480" s="10" t="s">
        <v>762</v>
      </c>
      <c r="E6480" s="10" t="s">
        <v>2342</v>
      </c>
      <c r="F6480" s="30" t="n">
        <v>43014</v>
      </c>
      <c r="G6480" s="30" t="n">
        <v>43090</v>
      </c>
      <c r="H6480" s="26" t="n">
        <f aca="false">G6480-F6480</f>
        <v>76</v>
      </c>
      <c r="I6480" s="10" t="n">
        <f aca="false">IF(E6480="Won",1,0)</f>
        <v>1</v>
      </c>
    </row>
    <row r="6481" customFormat="false" ht="15" hidden="false" customHeight="false" outlineLevel="0" collapsed="false">
      <c r="A6481" s="10" t="s">
        <v>8822</v>
      </c>
      <c r="B6481" s="10" t="s">
        <v>97</v>
      </c>
      <c r="C6481" s="10" t="s">
        <v>51</v>
      </c>
      <c r="D6481" s="10" t="s">
        <v>344</v>
      </c>
      <c r="E6481" s="10" t="s">
        <v>2342</v>
      </c>
      <c r="F6481" s="30" t="n">
        <v>42977</v>
      </c>
      <c r="G6481" s="30" t="n">
        <v>43090</v>
      </c>
      <c r="H6481" s="26" t="n">
        <f aca="false">G6481-F6481</f>
        <v>113</v>
      </c>
      <c r="I6481" s="10" t="n">
        <f aca="false">IF(E6481="Won",1,0)</f>
        <v>1</v>
      </c>
    </row>
    <row r="6482" customFormat="false" ht="15" hidden="false" customHeight="false" outlineLevel="0" collapsed="false">
      <c r="A6482" s="10" t="s">
        <v>8823</v>
      </c>
      <c r="B6482" s="10" t="s">
        <v>83</v>
      </c>
      <c r="C6482" s="10" t="s">
        <v>50</v>
      </c>
      <c r="D6482" s="10" t="s">
        <v>193</v>
      </c>
      <c r="E6482" s="10" t="s">
        <v>2342</v>
      </c>
      <c r="F6482" s="30" t="n">
        <v>43007</v>
      </c>
      <c r="G6482" s="30" t="n">
        <v>43090</v>
      </c>
      <c r="H6482" s="26" t="n">
        <f aca="false">G6482-F6482</f>
        <v>83</v>
      </c>
      <c r="I6482" s="10" t="n">
        <f aca="false">IF(E6482="Won",1,0)</f>
        <v>1</v>
      </c>
    </row>
    <row r="6483" customFormat="false" ht="15" hidden="false" customHeight="false" outlineLevel="0" collapsed="false">
      <c r="A6483" s="10" t="s">
        <v>8824</v>
      </c>
      <c r="B6483" s="10" t="s">
        <v>74</v>
      </c>
      <c r="C6483" s="10" t="s">
        <v>51</v>
      </c>
      <c r="D6483" s="10" t="s">
        <v>1948</v>
      </c>
      <c r="E6483" s="10" t="s">
        <v>2342</v>
      </c>
      <c r="F6483" s="30" t="n">
        <v>43002</v>
      </c>
      <c r="G6483" s="30" t="n">
        <v>43090</v>
      </c>
      <c r="H6483" s="26" t="n">
        <f aca="false">G6483-F6483</f>
        <v>88</v>
      </c>
      <c r="I6483" s="10" t="n">
        <f aca="false">IF(E6483="Won",1,0)</f>
        <v>1</v>
      </c>
    </row>
    <row r="6484" customFormat="false" ht="15" hidden="false" customHeight="false" outlineLevel="0" collapsed="false">
      <c r="A6484" s="10" t="s">
        <v>8825</v>
      </c>
      <c r="B6484" s="10" t="s">
        <v>57</v>
      </c>
      <c r="C6484" s="10" t="s">
        <v>51</v>
      </c>
      <c r="D6484" s="10" t="s">
        <v>274</v>
      </c>
      <c r="E6484" s="10" t="s">
        <v>2342</v>
      </c>
      <c r="F6484" s="30" t="n">
        <v>42999</v>
      </c>
      <c r="G6484" s="30" t="n">
        <v>43090</v>
      </c>
      <c r="H6484" s="26" t="n">
        <f aca="false">G6484-F6484</f>
        <v>91</v>
      </c>
      <c r="I6484" s="10" t="n">
        <f aca="false">IF(E6484="Won",1,0)</f>
        <v>1</v>
      </c>
    </row>
    <row r="6485" customFormat="false" ht="15" hidden="false" customHeight="false" outlineLevel="0" collapsed="false">
      <c r="A6485" s="10" t="s">
        <v>8826</v>
      </c>
      <c r="B6485" s="10" t="s">
        <v>90</v>
      </c>
      <c r="C6485" s="10" t="s">
        <v>50</v>
      </c>
      <c r="D6485" s="10" t="s">
        <v>286</v>
      </c>
      <c r="E6485" s="10" t="s">
        <v>2342</v>
      </c>
      <c r="F6485" s="30" t="n">
        <v>43028</v>
      </c>
      <c r="G6485" s="30" t="n">
        <v>43090</v>
      </c>
      <c r="H6485" s="26" t="n">
        <f aca="false">G6485-F6485</f>
        <v>62</v>
      </c>
      <c r="I6485" s="10" t="n">
        <f aca="false">IF(E6485="Won",1,0)</f>
        <v>1</v>
      </c>
    </row>
    <row r="6486" customFormat="false" ht="15" hidden="false" customHeight="false" outlineLevel="0" collapsed="false">
      <c r="A6486" s="10" t="s">
        <v>8827</v>
      </c>
      <c r="B6486" s="10" t="s">
        <v>79</v>
      </c>
      <c r="C6486" s="10" t="s">
        <v>50</v>
      </c>
      <c r="D6486" s="10" t="s">
        <v>697</v>
      </c>
      <c r="E6486" s="10" t="s">
        <v>2345</v>
      </c>
      <c r="F6486" s="30" t="n">
        <v>43000</v>
      </c>
      <c r="G6486" s="30" t="n">
        <v>43090</v>
      </c>
      <c r="H6486" s="26" t="n">
        <f aca="false">G6486-F6486</f>
        <v>90</v>
      </c>
      <c r="I6486" s="10" t="n">
        <f aca="false">IF(E6486="Won",1,0)</f>
        <v>0</v>
      </c>
    </row>
    <row r="6487" customFormat="false" ht="15" hidden="false" customHeight="false" outlineLevel="0" collapsed="false">
      <c r="A6487" s="10" t="s">
        <v>8828</v>
      </c>
      <c r="B6487" s="10" t="s">
        <v>84</v>
      </c>
      <c r="C6487" s="10" t="s">
        <v>51</v>
      </c>
      <c r="D6487" s="10" t="s">
        <v>210</v>
      </c>
      <c r="E6487" s="10" t="s">
        <v>2342</v>
      </c>
      <c r="F6487" s="30" t="n">
        <v>42975</v>
      </c>
      <c r="G6487" s="30" t="n">
        <v>43090</v>
      </c>
      <c r="H6487" s="26" t="n">
        <f aca="false">G6487-F6487</f>
        <v>115</v>
      </c>
      <c r="I6487" s="10" t="n">
        <f aca="false">IF(E6487="Won",1,0)</f>
        <v>1</v>
      </c>
    </row>
    <row r="6488" customFormat="false" ht="15" hidden="false" customHeight="false" outlineLevel="0" collapsed="false">
      <c r="A6488" s="10" t="s">
        <v>8829</v>
      </c>
      <c r="B6488" s="10" t="s">
        <v>86</v>
      </c>
      <c r="C6488" s="10" t="s">
        <v>47</v>
      </c>
      <c r="D6488" s="10" t="s">
        <v>405</v>
      </c>
      <c r="E6488" s="10" t="s">
        <v>2342</v>
      </c>
      <c r="F6488" s="30" t="n">
        <v>42961</v>
      </c>
      <c r="G6488" s="30" t="n">
        <v>43090</v>
      </c>
      <c r="H6488" s="26" t="n">
        <f aca="false">G6488-F6488</f>
        <v>129</v>
      </c>
      <c r="I6488" s="10" t="n">
        <f aca="false">IF(E6488="Won",1,0)</f>
        <v>1</v>
      </c>
    </row>
    <row r="6489" customFormat="false" ht="15" hidden="false" customHeight="false" outlineLevel="0" collapsed="false">
      <c r="A6489" s="10" t="s">
        <v>8830</v>
      </c>
      <c r="B6489" s="10" t="s">
        <v>90</v>
      </c>
      <c r="C6489" s="10" t="s">
        <v>50</v>
      </c>
      <c r="D6489" s="10" t="s">
        <v>185</v>
      </c>
      <c r="E6489" s="10" t="s">
        <v>2345</v>
      </c>
      <c r="F6489" s="30" t="n">
        <v>42995</v>
      </c>
      <c r="G6489" s="30" t="n">
        <v>43090</v>
      </c>
      <c r="H6489" s="26" t="n">
        <f aca="false">G6489-F6489</f>
        <v>95</v>
      </c>
      <c r="I6489" s="10" t="n">
        <f aca="false">IF(E6489="Won",1,0)</f>
        <v>0</v>
      </c>
    </row>
    <row r="6490" customFormat="false" ht="15" hidden="false" customHeight="false" outlineLevel="0" collapsed="false">
      <c r="A6490" s="10" t="s">
        <v>8831</v>
      </c>
      <c r="B6490" s="10" t="s">
        <v>77</v>
      </c>
      <c r="C6490" s="10" t="s">
        <v>52</v>
      </c>
      <c r="D6490" s="10" t="s">
        <v>597</v>
      </c>
      <c r="E6490" s="10" t="s">
        <v>2342</v>
      </c>
      <c r="F6490" s="30" t="n">
        <v>43051</v>
      </c>
      <c r="G6490" s="30" t="n">
        <v>43090</v>
      </c>
      <c r="H6490" s="26" t="n">
        <f aca="false">G6490-F6490</f>
        <v>39</v>
      </c>
      <c r="I6490" s="10" t="n">
        <f aca="false">IF(E6490="Won",1,0)</f>
        <v>1</v>
      </c>
    </row>
    <row r="6491" customFormat="false" ht="15" hidden="false" customHeight="false" outlineLevel="0" collapsed="false">
      <c r="A6491" s="10" t="s">
        <v>8832</v>
      </c>
      <c r="B6491" s="10" t="s">
        <v>62</v>
      </c>
      <c r="C6491" s="10" t="s">
        <v>52</v>
      </c>
      <c r="D6491" s="10" t="s">
        <v>277</v>
      </c>
      <c r="E6491" s="10" t="s">
        <v>2342</v>
      </c>
      <c r="F6491" s="30" t="n">
        <v>43033</v>
      </c>
      <c r="G6491" s="30" t="n">
        <v>43090</v>
      </c>
      <c r="H6491" s="26" t="n">
        <f aca="false">G6491-F6491</f>
        <v>57</v>
      </c>
      <c r="I6491" s="10" t="n">
        <f aca="false">IF(E6491="Won",1,0)</f>
        <v>1</v>
      </c>
    </row>
    <row r="6492" customFormat="false" ht="15" hidden="false" customHeight="false" outlineLevel="0" collapsed="false">
      <c r="A6492" s="10" t="s">
        <v>8833</v>
      </c>
      <c r="B6492" s="10" t="s">
        <v>84</v>
      </c>
      <c r="C6492" s="10" t="s">
        <v>48</v>
      </c>
      <c r="D6492" s="10" t="s">
        <v>674</v>
      </c>
      <c r="E6492" s="10" t="s">
        <v>2342</v>
      </c>
      <c r="F6492" s="30" t="n">
        <v>42977</v>
      </c>
      <c r="G6492" s="30" t="n">
        <v>43090</v>
      </c>
      <c r="H6492" s="26" t="n">
        <f aca="false">G6492-F6492</f>
        <v>113</v>
      </c>
      <c r="I6492" s="10" t="n">
        <f aca="false">IF(E6492="Won",1,0)</f>
        <v>1</v>
      </c>
    </row>
    <row r="6493" customFormat="false" ht="15" hidden="false" customHeight="false" outlineLevel="0" collapsed="false">
      <c r="A6493" s="10" t="s">
        <v>8834</v>
      </c>
      <c r="B6493" s="10" t="s">
        <v>62</v>
      </c>
      <c r="C6493" s="10" t="s">
        <v>51</v>
      </c>
      <c r="D6493" s="10" t="s">
        <v>532</v>
      </c>
      <c r="E6493" s="10" t="s">
        <v>2342</v>
      </c>
      <c r="F6493" s="30" t="n">
        <v>42970</v>
      </c>
      <c r="G6493" s="30" t="n">
        <v>43090</v>
      </c>
      <c r="H6493" s="26" t="n">
        <f aca="false">G6493-F6493</f>
        <v>120</v>
      </c>
      <c r="I6493" s="10" t="n">
        <f aca="false">IF(E6493="Won",1,0)</f>
        <v>1</v>
      </c>
    </row>
    <row r="6494" customFormat="false" ht="15" hidden="false" customHeight="false" outlineLevel="0" collapsed="false">
      <c r="A6494" s="10" t="s">
        <v>8835</v>
      </c>
      <c r="B6494" s="10" t="s">
        <v>79</v>
      </c>
      <c r="C6494" s="10" t="s">
        <v>49</v>
      </c>
      <c r="D6494" s="10" t="s">
        <v>210</v>
      </c>
      <c r="E6494" s="10" t="s">
        <v>2342</v>
      </c>
      <c r="F6494" s="30" t="n">
        <v>43039</v>
      </c>
      <c r="G6494" s="30" t="n">
        <v>43090</v>
      </c>
      <c r="H6494" s="26" t="n">
        <f aca="false">G6494-F6494</f>
        <v>51</v>
      </c>
      <c r="I6494" s="10" t="n">
        <f aca="false">IF(E6494="Won",1,0)</f>
        <v>1</v>
      </c>
    </row>
    <row r="6495" customFormat="false" ht="15" hidden="false" customHeight="false" outlineLevel="0" collapsed="false">
      <c r="A6495" s="10" t="s">
        <v>8836</v>
      </c>
      <c r="B6495" s="10" t="s">
        <v>90</v>
      </c>
      <c r="C6495" s="10" t="s">
        <v>48</v>
      </c>
      <c r="D6495" s="10" t="s">
        <v>277</v>
      </c>
      <c r="E6495" s="10" t="s">
        <v>2342</v>
      </c>
      <c r="F6495" s="30" t="n">
        <v>42999</v>
      </c>
      <c r="G6495" s="30" t="n">
        <v>43091</v>
      </c>
      <c r="H6495" s="26" t="n">
        <f aca="false">G6495-F6495</f>
        <v>92</v>
      </c>
      <c r="I6495" s="10" t="n">
        <f aca="false">IF(E6495="Won",1,0)</f>
        <v>1</v>
      </c>
    </row>
    <row r="6496" customFormat="false" ht="15" hidden="false" customHeight="false" outlineLevel="0" collapsed="false">
      <c r="A6496" s="10" t="s">
        <v>8837</v>
      </c>
      <c r="B6496" s="10" t="s">
        <v>95</v>
      </c>
      <c r="C6496" s="10" t="s">
        <v>51</v>
      </c>
      <c r="D6496" s="10" t="s">
        <v>299</v>
      </c>
      <c r="E6496" s="10" t="s">
        <v>2342</v>
      </c>
      <c r="F6496" s="30" t="n">
        <v>43060</v>
      </c>
      <c r="G6496" s="30" t="n">
        <v>43091</v>
      </c>
      <c r="H6496" s="26" t="n">
        <f aca="false">G6496-F6496</f>
        <v>31</v>
      </c>
      <c r="I6496" s="10" t="n">
        <f aca="false">IF(E6496="Won",1,0)</f>
        <v>1</v>
      </c>
    </row>
    <row r="6497" customFormat="false" ht="15" hidden="false" customHeight="false" outlineLevel="0" collapsed="false">
      <c r="A6497" s="10" t="s">
        <v>8838</v>
      </c>
      <c r="B6497" s="10" t="s">
        <v>87</v>
      </c>
      <c r="C6497" s="10" t="s">
        <v>50</v>
      </c>
      <c r="D6497" s="10" t="s">
        <v>286</v>
      </c>
      <c r="E6497" s="10" t="s">
        <v>2342</v>
      </c>
      <c r="F6497" s="30" t="n">
        <v>42955</v>
      </c>
      <c r="G6497" s="30" t="n">
        <v>43091</v>
      </c>
      <c r="H6497" s="26" t="n">
        <f aca="false">G6497-F6497</f>
        <v>136</v>
      </c>
      <c r="I6497" s="10" t="n">
        <f aca="false">IF(E6497="Won",1,0)</f>
        <v>1</v>
      </c>
    </row>
    <row r="6498" customFormat="false" ht="15" hidden="false" customHeight="false" outlineLevel="0" collapsed="false">
      <c r="A6498" s="10" t="s">
        <v>8839</v>
      </c>
      <c r="B6498" s="10" t="s">
        <v>95</v>
      </c>
      <c r="C6498" s="10" t="s">
        <v>47</v>
      </c>
      <c r="D6498" s="10" t="s">
        <v>170</v>
      </c>
      <c r="E6498" s="10" t="s">
        <v>2342</v>
      </c>
      <c r="F6498" s="30" t="n">
        <v>43049</v>
      </c>
      <c r="G6498" s="30" t="n">
        <v>43091</v>
      </c>
      <c r="H6498" s="26" t="n">
        <f aca="false">G6498-F6498</f>
        <v>42</v>
      </c>
      <c r="I6498" s="10" t="n">
        <f aca="false">IF(E6498="Won",1,0)</f>
        <v>1</v>
      </c>
    </row>
    <row r="6499" customFormat="false" ht="15" hidden="false" customHeight="false" outlineLevel="0" collapsed="false">
      <c r="A6499" s="10" t="s">
        <v>8840</v>
      </c>
      <c r="B6499" s="10" t="s">
        <v>69</v>
      </c>
      <c r="C6499" s="10" t="s">
        <v>50</v>
      </c>
      <c r="D6499" s="10" t="s">
        <v>175</v>
      </c>
      <c r="E6499" s="10" t="s">
        <v>2342</v>
      </c>
      <c r="F6499" s="30" t="n">
        <v>42998</v>
      </c>
      <c r="G6499" s="30" t="n">
        <v>43091</v>
      </c>
      <c r="H6499" s="26" t="n">
        <f aca="false">G6499-F6499</f>
        <v>93</v>
      </c>
      <c r="I6499" s="10" t="n">
        <f aca="false">IF(E6499="Won",1,0)</f>
        <v>1</v>
      </c>
    </row>
    <row r="6500" customFormat="false" ht="15" hidden="false" customHeight="false" outlineLevel="0" collapsed="false">
      <c r="A6500" s="10" t="s">
        <v>8841</v>
      </c>
      <c r="B6500" s="10" t="s">
        <v>96</v>
      </c>
      <c r="C6500" s="10" t="s">
        <v>47</v>
      </c>
      <c r="D6500" s="10" t="s">
        <v>326</v>
      </c>
      <c r="E6500" s="10" t="s">
        <v>2342</v>
      </c>
      <c r="F6500" s="30" t="n">
        <v>43028</v>
      </c>
      <c r="G6500" s="30" t="n">
        <v>43091</v>
      </c>
      <c r="H6500" s="26" t="n">
        <f aca="false">G6500-F6500</f>
        <v>63</v>
      </c>
      <c r="I6500" s="10" t="n">
        <f aca="false">IF(E6500="Won",1,0)</f>
        <v>1</v>
      </c>
    </row>
    <row r="6501" customFormat="false" ht="15" hidden="false" customHeight="false" outlineLevel="0" collapsed="false">
      <c r="A6501" s="10" t="s">
        <v>8842</v>
      </c>
      <c r="B6501" s="10" t="s">
        <v>88</v>
      </c>
      <c r="C6501" s="10" t="s">
        <v>48</v>
      </c>
      <c r="D6501" s="10" t="s">
        <v>453</v>
      </c>
      <c r="E6501" s="10" t="s">
        <v>2345</v>
      </c>
      <c r="F6501" s="30" t="n">
        <v>43077</v>
      </c>
      <c r="G6501" s="30" t="n">
        <v>43091</v>
      </c>
      <c r="H6501" s="26" t="n">
        <f aca="false">G6501-F6501</f>
        <v>14</v>
      </c>
      <c r="I6501" s="10" t="n">
        <f aca="false">IF(E6501="Won",1,0)</f>
        <v>0</v>
      </c>
    </row>
    <row r="6502" customFormat="false" ht="15" hidden="false" customHeight="false" outlineLevel="0" collapsed="false">
      <c r="A6502" s="10" t="s">
        <v>8843</v>
      </c>
      <c r="B6502" s="10" t="s">
        <v>74</v>
      </c>
      <c r="C6502" s="10" t="s">
        <v>51</v>
      </c>
      <c r="D6502" s="10" t="s">
        <v>1948</v>
      </c>
      <c r="E6502" s="10" t="s">
        <v>2342</v>
      </c>
      <c r="F6502" s="30" t="n">
        <v>43046</v>
      </c>
      <c r="G6502" s="30" t="n">
        <v>43091</v>
      </c>
      <c r="H6502" s="26" t="n">
        <f aca="false">G6502-F6502</f>
        <v>45</v>
      </c>
      <c r="I6502" s="10" t="n">
        <f aca="false">IF(E6502="Won",1,0)</f>
        <v>1</v>
      </c>
    </row>
    <row r="6503" customFormat="false" ht="15" hidden="false" customHeight="false" outlineLevel="0" collapsed="false">
      <c r="A6503" s="10" t="s">
        <v>8844</v>
      </c>
      <c r="B6503" s="10" t="s">
        <v>80</v>
      </c>
      <c r="C6503" s="10" t="s">
        <v>48</v>
      </c>
      <c r="D6503" s="10" t="s">
        <v>193</v>
      </c>
      <c r="E6503" s="10" t="s">
        <v>2342</v>
      </c>
      <c r="F6503" s="30" t="n">
        <v>43005</v>
      </c>
      <c r="G6503" s="30" t="n">
        <v>43091</v>
      </c>
      <c r="H6503" s="26" t="n">
        <f aca="false">G6503-F6503</f>
        <v>86</v>
      </c>
      <c r="I6503" s="10" t="n">
        <f aca="false">IF(E6503="Won",1,0)</f>
        <v>1</v>
      </c>
    </row>
    <row r="6504" customFormat="false" ht="15" hidden="false" customHeight="false" outlineLevel="0" collapsed="false">
      <c r="A6504" s="10" t="s">
        <v>8845</v>
      </c>
      <c r="B6504" s="10" t="s">
        <v>95</v>
      </c>
      <c r="C6504" s="10" t="s">
        <v>48</v>
      </c>
      <c r="D6504" s="10" t="s">
        <v>514</v>
      </c>
      <c r="E6504" s="10" t="s">
        <v>2345</v>
      </c>
      <c r="F6504" s="30" t="n">
        <v>43075</v>
      </c>
      <c r="G6504" s="30" t="n">
        <v>43091</v>
      </c>
      <c r="H6504" s="26" t="n">
        <f aca="false">G6504-F6504</f>
        <v>16</v>
      </c>
      <c r="I6504" s="10" t="n">
        <f aca="false">IF(E6504="Won",1,0)</f>
        <v>0</v>
      </c>
    </row>
    <row r="6505" customFormat="false" ht="15" hidden="false" customHeight="false" outlineLevel="0" collapsed="false">
      <c r="A6505" s="10" t="s">
        <v>8846</v>
      </c>
      <c r="B6505" s="10" t="s">
        <v>67</v>
      </c>
      <c r="C6505" s="10" t="s">
        <v>49</v>
      </c>
      <c r="D6505" s="10" t="s">
        <v>506</v>
      </c>
      <c r="E6505" s="10" t="s">
        <v>2342</v>
      </c>
      <c r="F6505" s="30" t="n">
        <v>43016</v>
      </c>
      <c r="G6505" s="30" t="n">
        <v>43091</v>
      </c>
      <c r="H6505" s="26" t="n">
        <f aca="false">G6505-F6505</f>
        <v>75</v>
      </c>
      <c r="I6505" s="10" t="n">
        <f aca="false">IF(E6505="Won",1,0)</f>
        <v>1</v>
      </c>
    </row>
    <row r="6506" customFormat="false" ht="15" hidden="false" customHeight="false" outlineLevel="0" collapsed="false">
      <c r="A6506" s="10" t="s">
        <v>8847</v>
      </c>
      <c r="B6506" s="10" t="s">
        <v>70</v>
      </c>
      <c r="C6506" s="10" t="s">
        <v>52</v>
      </c>
      <c r="D6506" s="10" t="s">
        <v>986</v>
      </c>
      <c r="E6506" s="10" t="s">
        <v>2345</v>
      </c>
      <c r="F6506" s="30" t="n">
        <v>43083</v>
      </c>
      <c r="G6506" s="30" t="n">
        <v>43091</v>
      </c>
      <c r="H6506" s="26" t="n">
        <f aca="false">G6506-F6506</f>
        <v>8</v>
      </c>
      <c r="I6506" s="10" t="n">
        <f aca="false">IF(E6506="Won",1,0)</f>
        <v>0</v>
      </c>
    </row>
    <row r="6507" customFormat="false" ht="15" hidden="false" customHeight="false" outlineLevel="0" collapsed="false">
      <c r="A6507" s="10" t="s">
        <v>8848</v>
      </c>
      <c r="B6507" s="10" t="s">
        <v>94</v>
      </c>
      <c r="C6507" s="10" t="s">
        <v>51</v>
      </c>
      <c r="D6507" s="10" t="s">
        <v>437</v>
      </c>
      <c r="E6507" s="10" t="s">
        <v>2342</v>
      </c>
      <c r="F6507" s="30" t="n">
        <v>43017</v>
      </c>
      <c r="G6507" s="30" t="n">
        <v>43091</v>
      </c>
      <c r="H6507" s="26" t="n">
        <f aca="false">G6507-F6507</f>
        <v>74</v>
      </c>
      <c r="I6507" s="10" t="n">
        <f aca="false">IF(E6507="Won",1,0)</f>
        <v>1</v>
      </c>
    </row>
    <row r="6508" customFormat="false" ht="15" hidden="false" customHeight="false" outlineLevel="0" collapsed="false">
      <c r="A6508" s="10" t="s">
        <v>8849</v>
      </c>
      <c r="B6508" s="10" t="s">
        <v>62</v>
      </c>
      <c r="C6508" s="10" t="s">
        <v>52</v>
      </c>
      <c r="D6508" s="10" t="s">
        <v>1118</v>
      </c>
      <c r="E6508" s="10" t="s">
        <v>2342</v>
      </c>
      <c r="F6508" s="30" t="n">
        <v>43008</v>
      </c>
      <c r="G6508" s="30" t="n">
        <v>43091</v>
      </c>
      <c r="H6508" s="26" t="n">
        <f aca="false">G6508-F6508</f>
        <v>83</v>
      </c>
      <c r="I6508" s="10" t="n">
        <f aca="false">IF(E6508="Won",1,0)</f>
        <v>1</v>
      </c>
    </row>
    <row r="6509" customFormat="false" ht="15" hidden="false" customHeight="false" outlineLevel="0" collapsed="false">
      <c r="A6509" s="10" t="s">
        <v>8850</v>
      </c>
      <c r="B6509" s="10" t="s">
        <v>63</v>
      </c>
      <c r="C6509" s="10" t="s">
        <v>49</v>
      </c>
      <c r="D6509" s="10" t="s">
        <v>277</v>
      </c>
      <c r="E6509" s="10" t="s">
        <v>2342</v>
      </c>
      <c r="F6509" s="30" t="n">
        <v>42969</v>
      </c>
      <c r="G6509" s="30" t="n">
        <v>43091</v>
      </c>
      <c r="H6509" s="26" t="n">
        <f aca="false">G6509-F6509</f>
        <v>122</v>
      </c>
      <c r="I6509" s="10" t="n">
        <f aca="false">IF(E6509="Won",1,0)</f>
        <v>1</v>
      </c>
    </row>
    <row r="6510" customFormat="false" ht="15" hidden="false" customHeight="false" outlineLevel="0" collapsed="false">
      <c r="A6510" s="10" t="s">
        <v>8851</v>
      </c>
      <c r="B6510" s="10" t="s">
        <v>71</v>
      </c>
      <c r="C6510" s="10" t="s">
        <v>50</v>
      </c>
      <c r="D6510" s="10" t="s">
        <v>210</v>
      </c>
      <c r="E6510" s="10" t="s">
        <v>2342</v>
      </c>
      <c r="F6510" s="30" t="n">
        <v>43070</v>
      </c>
      <c r="G6510" s="30" t="n">
        <v>43091</v>
      </c>
      <c r="H6510" s="26" t="n">
        <f aca="false">G6510-F6510</f>
        <v>21</v>
      </c>
      <c r="I6510" s="10" t="n">
        <f aca="false">IF(E6510="Won",1,0)</f>
        <v>1</v>
      </c>
    </row>
    <row r="6511" customFormat="false" ht="15" hidden="false" customHeight="false" outlineLevel="0" collapsed="false">
      <c r="A6511" s="10" t="s">
        <v>8852</v>
      </c>
      <c r="B6511" s="10" t="s">
        <v>70</v>
      </c>
      <c r="C6511" s="10" t="s">
        <v>49</v>
      </c>
      <c r="D6511" s="10" t="s">
        <v>313</v>
      </c>
      <c r="E6511" s="10" t="s">
        <v>2342</v>
      </c>
      <c r="F6511" s="30" t="n">
        <v>42967</v>
      </c>
      <c r="G6511" s="30" t="n">
        <v>43091</v>
      </c>
      <c r="H6511" s="26" t="n">
        <f aca="false">G6511-F6511</f>
        <v>124</v>
      </c>
      <c r="I6511" s="10" t="n">
        <f aca="false">IF(E6511="Won",1,0)</f>
        <v>1</v>
      </c>
    </row>
    <row r="6512" customFormat="false" ht="15" hidden="false" customHeight="false" outlineLevel="0" collapsed="false">
      <c r="A6512" s="10" t="s">
        <v>8853</v>
      </c>
      <c r="B6512" s="10" t="s">
        <v>77</v>
      </c>
      <c r="C6512" s="10" t="s">
        <v>48</v>
      </c>
      <c r="D6512" s="10" t="s">
        <v>410</v>
      </c>
      <c r="E6512" s="10" t="s">
        <v>2345</v>
      </c>
      <c r="F6512" s="30" t="n">
        <v>43039</v>
      </c>
      <c r="G6512" s="30" t="n">
        <v>43091</v>
      </c>
      <c r="H6512" s="26" t="n">
        <f aca="false">G6512-F6512</f>
        <v>52</v>
      </c>
      <c r="I6512" s="10" t="n">
        <f aca="false">IF(E6512="Won",1,0)</f>
        <v>0</v>
      </c>
    </row>
    <row r="6513" customFormat="false" ht="15" hidden="false" customHeight="false" outlineLevel="0" collapsed="false">
      <c r="A6513" s="10" t="s">
        <v>8854</v>
      </c>
      <c r="B6513" s="10" t="s">
        <v>97</v>
      </c>
      <c r="C6513" s="10" t="s">
        <v>48</v>
      </c>
      <c r="D6513" s="10" t="s">
        <v>606</v>
      </c>
      <c r="E6513" s="10" t="s">
        <v>2342</v>
      </c>
      <c r="F6513" s="30" t="n">
        <v>43019</v>
      </c>
      <c r="G6513" s="30" t="n">
        <v>43091</v>
      </c>
      <c r="H6513" s="26" t="n">
        <f aca="false">G6513-F6513</f>
        <v>72</v>
      </c>
      <c r="I6513" s="10" t="n">
        <f aca="false">IF(E6513="Won",1,0)</f>
        <v>1</v>
      </c>
    </row>
    <row r="6514" customFormat="false" ht="15" hidden="false" customHeight="false" outlineLevel="0" collapsed="false">
      <c r="A6514" s="10" t="s">
        <v>8855</v>
      </c>
      <c r="B6514" s="10" t="s">
        <v>80</v>
      </c>
      <c r="C6514" s="10" t="s">
        <v>48</v>
      </c>
      <c r="D6514" s="10" t="s">
        <v>527</v>
      </c>
      <c r="E6514" s="10" t="s">
        <v>2342</v>
      </c>
      <c r="F6514" s="30" t="n">
        <v>43015</v>
      </c>
      <c r="G6514" s="30" t="n">
        <v>43091</v>
      </c>
      <c r="H6514" s="26" t="n">
        <f aca="false">G6514-F6514</f>
        <v>76</v>
      </c>
      <c r="I6514" s="10" t="n">
        <f aca="false">IF(E6514="Won",1,0)</f>
        <v>1</v>
      </c>
    </row>
    <row r="6515" customFormat="false" ht="15" hidden="false" customHeight="false" outlineLevel="0" collapsed="false">
      <c r="A6515" s="10" t="s">
        <v>8856</v>
      </c>
      <c r="B6515" s="10" t="s">
        <v>77</v>
      </c>
      <c r="C6515" s="10" t="s">
        <v>48</v>
      </c>
      <c r="D6515" s="10" t="s">
        <v>311</v>
      </c>
      <c r="E6515" s="10" t="s">
        <v>2342</v>
      </c>
      <c r="F6515" s="30" t="n">
        <v>43013</v>
      </c>
      <c r="G6515" s="30" t="n">
        <v>43091</v>
      </c>
      <c r="H6515" s="26" t="n">
        <f aca="false">G6515-F6515</f>
        <v>78</v>
      </c>
      <c r="I6515" s="10" t="n">
        <f aca="false">IF(E6515="Won",1,0)</f>
        <v>1</v>
      </c>
    </row>
    <row r="6516" customFormat="false" ht="15" hidden="false" customHeight="false" outlineLevel="0" collapsed="false">
      <c r="A6516" s="10" t="s">
        <v>8857</v>
      </c>
      <c r="B6516" s="10" t="s">
        <v>73</v>
      </c>
      <c r="C6516" s="10" t="s">
        <v>47</v>
      </c>
      <c r="D6516" s="10" t="s">
        <v>697</v>
      </c>
      <c r="E6516" s="10" t="s">
        <v>2342</v>
      </c>
      <c r="F6516" s="30" t="n">
        <v>43040</v>
      </c>
      <c r="G6516" s="30" t="n">
        <v>43091</v>
      </c>
      <c r="H6516" s="26" t="n">
        <f aca="false">G6516-F6516</f>
        <v>51</v>
      </c>
      <c r="I6516" s="10" t="n">
        <f aca="false">IF(E6516="Won",1,0)</f>
        <v>1</v>
      </c>
    </row>
    <row r="6517" customFormat="false" ht="15" hidden="false" customHeight="false" outlineLevel="0" collapsed="false">
      <c r="A6517" s="10" t="s">
        <v>8858</v>
      </c>
      <c r="B6517" s="10" t="s">
        <v>81</v>
      </c>
      <c r="C6517" s="10" t="s">
        <v>51</v>
      </c>
      <c r="D6517" s="10" t="s">
        <v>210</v>
      </c>
      <c r="E6517" s="10" t="s">
        <v>2342</v>
      </c>
      <c r="F6517" s="30" t="n">
        <v>42977</v>
      </c>
      <c r="G6517" s="30" t="n">
        <v>43091</v>
      </c>
      <c r="H6517" s="26" t="n">
        <f aca="false">G6517-F6517</f>
        <v>114</v>
      </c>
      <c r="I6517" s="10" t="n">
        <f aca="false">IF(E6517="Won",1,0)</f>
        <v>1</v>
      </c>
    </row>
    <row r="6518" customFormat="false" ht="15" hidden="false" customHeight="false" outlineLevel="0" collapsed="false">
      <c r="A6518" s="10" t="s">
        <v>8859</v>
      </c>
      <c r="B6518" s="10" t="s">
        <v>80</v>
      </c>
      <c r="C6518" s="10" t="s">
        <v>48</v>
      </c>
      <c r="D6518" s="10" t="s">
        <v>414</v>
      </c>
      <c r="E6518" s="10" t="s">
        <v>2345</v>
      </c>
      <c r="F6518" s="30" t="n">
        <v>42994</v>
      </c>
      <c r="G6518" s="30" t="n">
        <v>43091</v>
      </c>
      <c r="H6518" s="26" t="n">
        <f aca="false">G6518-F6518</f>
        <v>97</v>
      </c>
      <c r="I6518" s="10" t="n">
        <f aca="false">IF(E6518="Won",1,0)</f>
        <v>0</v>
      </c>
    </row>
    <row r="6519" customFormat="false" ht="15" hidden="false" customHeight="false" outlineLevel="0" collapsed="false">
      <c r="A6519" s="10" t="s">
        <v>8860</v>
      </c>
      <c r="B6519" s="10" t="s">
        <v>62</v>
      </c>
      <c r="C6519" s="10" t="s">
        <v>52</v>
      </c>
      <c r="D6519" s="10" t="s">
        <v>350</v>
      </c>
      <c r="E6519" s="10" t="s">
        <v>2345</v>
      </c>
      <c r="F6519" s="30" t="n">
        <v>43011</v>
      </c>
      <c r="G6519" s="30" t="n">
        <v>43092</v>
      </c>
      <c r="H6519" s="26" t="n">
        <f aca="false">G6519-F6519</f>
        <v>81</v>
      </c>
      <c r="I6519" s="10" t="n">
        <f aca="false">IF(E6519="Won",1,0)</f>
        <v>0</v>
      </c>
    </row>
    <row r="6520" customFormat="false" ht="15" hidden="false" customHeight="false" outlineLevel="0" collapsed="false">
      <c r="A6520" s="10" t="s">
        <v>8861</v>
      </c>
      <c r="B6520" s="10" t="s">
        <v>62</v>
      </c>
      <c r="C6520" s="10" t="s">
        <v>52</v>
      </c>
      <c r="D6520" s="10" t="s">
        <v>532</v>
      </c>
      <c r="E6520" s="10" t="s">
        <v>2345</v>
      </c>
      <c r="F6520" s="30" t="n">
        <v>43017</v>
      </c>
      <c r="G6520" s="30" t="n">
        <v>43092</v>
      </c>
      <c r="H6520" s="26" t="n">
        <f aca="false">G6520-F6520</f>
        <v>75</v>
      </c>
      <c r="I6520" s="10" t="n">
        <f aca="false">IF(E6520="Won",1,0)</f>
        <v>0</v>
      </c>
    </row>
    <row r="6521" customFormat="false" ht="15" hidden="false" customHeight="false" outlineLevel="0" collapsed="false">
      <c r="A6521" s="10" t="s">
        <v>8862</v>
      </c>
      <c r="B6521" s="10" t="s">
        <v>88</v>
      </c>
      <c r="C6521" s="10" t="s">
        <v>50</v>
      </c>
      <c r="D6521" s="10" t="s">
        <v>233</v>
      </c>
      <c r="E6521" s="10" t="s">
        <v>2345</v>
      </c>
      <c r="F6521" s="30" t="n">
        <v>42998</v>
      </c>
      <c r="G6521" s="30" t="n">
        <v>43092</v>
      </c>
      <c r="H6521" s="26" t="n">
        <f aca="false">G6521-F6521</f>
        <v>94</v>
      </c>
      <c r="I6521" s="10" t="n">
        <f aca="false">IF(E6521="Won",1,0)</f>
        <v>0</v>
      </c>
    </row>
    <row r="6522" customFormat="false" ht="15" hidden="false" customHeight="false" outlineLevel="0" collapsed="false">
      <c r="A6522" s="10" t="s">
        <v>8863</v>
      </c>
      <c r="B6522" s="10" t="s">
        <v>88</v>
      </c>
      <c r="C6522" s="10" t="s">
        <v>51</v>
      </c>
      <c r="D6522" s="10" t="s">
        <v>254</v>
      </c>
      <c r="E6522" s="10" t="s">
        <v>2342</v>
      </c>
      <c r="F6522" s="30" t="n">
        <v>43075</v>
      </c>
      <c r="G6522" s="30" t="n">
        <v>43092</v>
      </c>
      <c r="H6522" s="26" t="n">
        <f aca="false">G6522-F6522</f>
        <v>17</v>
      </c>
      <c r="I6522" s="10" t="n">
        <f aca="false">IF(E6522="Won",1,0)</f>
        <v>1</v>
      </c>
    </row>
    <row r="6523" customFormat="false" ht="15" hidden="false" customHeight="false" outlineLevel="0" collapsed="false">
      <c r="A6523" s="10" t="s">
        <v>8864</v>
      </c>
      <c r="B6523" s="10" t="s">
        <v>80</v>
      </c>
      <c r="C6523" s="10" t="s">
        <v>51</v>
      </c>
      <c r="D6523" s="10" t="s">
        <v>1948</v>
      </c>
      <c r="E6523" s="10" t="s">
        <v>2345</v>
      </c>
      <c r="F6523" s="30" t="n">
        <v>43012</v>
      </c>
      <c r="G6523" s="30" t="n">
        <v>43092</v>
      </c>
      <c r="H6523" s="26" t="n">
        <f aca="false">G6523-F6523</f>
        <v>80</v>
      </c>
      <c r="I6523" s="10" t="n">
        <f aca="false">IF(E6523="Won",1,0)</f>
        <v>0</v>
      </c>
    </row>
    <row r="6524" customFormat="false" ht="15" hidden="false" customHeight="false" outlineLevel="0" collapsed="false">
      <c r="A6524" s="10" t="s">
        <v>8865</v>
      </c>
      <c r="B6524" s="10" t="s">
        <v>60</v>
      </c>
      <c r="C6524" s="10" t="s">
        <v>52</v>
      </c>
      <c r="D6524" s="10" t="s">
        <v>532</v>
      </c>
      <c r="E6524" s="10" t="s">
        <v>2345</v>
      </c>
      <c r="F6524" s="30" t="n">
        <v>42989</v>
      </c>
      <c r="G6524" s="30" t="n">
        <v>43092</v>
      </c>
      <c r="H6524" s="26" t="n">
        <f aca="false">G6524-F6524</f>
        <v>103</v>
      </c>
      <c r="I6524" s="10" t="n">
        <f aca="false">IF(E6524="Won",1,0)</f>
        <v>0</v>
      </c>
    </row>
    <row r="6525" customFormat="false" ht="15" hidden="false" customHeight="false" outlineLevel="0" collapsed="false">
      <c r="A6525" s="10" t="s">
        <v>8866</v>
      </c>
      <c r="B6525" s="10" t="s">
        <v>80</v>
      </c>
      <c r="C6525" s="10" t="s">
        <v>51</v>
      </c>
      <c r="D6525" s="10" t="s">
        <v>388</v>
      </c>
      <c r="E6525" s="10" t="s">
        <v>2342</v>
      </c>
      <c r="F6525" s="30" t="n">
        <v>42977</v>
      </c>
      <c r="G6525" s="30" t="n">
        <v>43092</v>
      </c>
      <c r="H6525" s="26" t="n">
        <f aca="false">G6525-F6525</f>
        <v>115</v>
      </c>
      <c r="I6525" s="10" t="n">
        <f aca="false">IF(E6525="Won",1,0)</f>
        <v>1</v>
      </c>
    </row>
    <row r="6526" customFormat="false" ht="15" hidden="false" customHeight="false" outlineLevel="0" collapsed="false">
      <c r="A6526" s="10" t="s">
        <v>8867</v>
      </c>
      <c r="B6526" s="10" t="s">
        <v>70</v>
      </c>
      <c r="C6526" s="10" t="s">
        <v>51</v>
      </c>
      <c r="D6526" s="10" t="s">
        <v>384</v>
      </c>
      <c r="E6526" s="10" t="s">
        <v>2342</v>
      </c>
      <c r="F6526" s="30" t="n">
        <v>42968</v>
      </c>
      <c r="G6526" s="30" t="n">
        <v>43092</v>
      </c>
      <c r="H6526" s="26" t="n">
        <f aca="false">G6526-F6526</f>
        <v>124</v>
      </c>
      <c r="I6526" s="10" t="n">
        <f aca="false">IF(E6526="Won",1,0)</f>
        <v>1</v>
      </c>
    </row>
    <row r="6527" customFormat="false" ht="15" hidden="false" customHeight="false" outlineLevel="0" collapsed="false">
      <c r="A6527" s="10" t="s">
        <v>8868</v>
      </c>
      <c r="B6527" s="10" t="s">
        <v>97</v>
      </c>
      <c r="C6527" s="10" t="s">
        <v>51</v>
      </c>
      <c r="D6527" s="10" t="s">
        <v>506</v>
      </c>
      <c r="E6527" s="10" t="s">
        <v>2342</v>
      </c>
      <c r="F6527" s="30" t="n">
        <v>43018</v>
      </c>
      <c r="G6527" s="30" t="n">
        <v>43092</v>
      </c>
      <c r="H6527" s="26" t="n">
        <f aca="false">G6527-F6527</f>
        <v>74</v>
      </c>
      <c r="I6527" s="10" t="n">
        <f aca="false">IF(E6527="Won",1,0)</f>
        <v>1</v>
      </c>
    </row>
    <row r="6528" customFormat="false" ht="15" hidden="false" customHeight="false" outlineLevel="0" collapsed="false">
      <c r="A6528" s="10" t="s">
        <v>8869</v>
      </c>
      <c r="B6528" s="10" t="s">
        <v>83</v>
      </c>
      <c r="C6528" s="10" t="s">
        <v>50</v>
      </c>
      <c r="D6528" s="10" t="s">
        <v>512</v>
      </c>
      <c r="E6528" s="10" t="s">
        <v>2342</v>
      </c>
      <c r="F6528" s="30" t="n">
        <v>42996</v>
      </c>
      <c r="G6528" s="30" t="n">
        <v>43092</v>
      </c>
      <c r="H6528" s="26" t="n">
        <f aca="false">G6528-F6528</f>
        <v>96</v>
      </c>
      <c r="I6528" s="10" t="n">
        <f aca="false">IF(E6528="Won",1,0)</f>
        <v>1</v>
      </c>
    </row>
    <row r="6529" customFormat="false" ht="15" hidden="false" customHeight="false" outlineLevel="0" collapsed="false">
      <c r="A6529" s="10" t="s">
        <v>8870</v>
      </c>
      <c r="B6529" s="10" t="s">
        <v>95</v>
      </c>
      <c r="C6529" s="10" t="s">
        <v>50</v>
      </c>
      <c r="D6529" s="10" t="s">
        <v>168</v>
      </c>
      <c r="E6529" s="10" t="s">
        <v>2345</v>
      </c>
      <c r="F6529" s="30" t="n">
        <v>43019</v>
      </c>
      <c r="G6529" s="30" t="n">
        <v>43092</v>
      </c>
      <c r="H6529" s="26" t="n">
        <f aca="false">G6529-F6529</f>
        <v>73</v>
      </c>
      <c r="I6529" s="10" t="n">
        <f aca="false">IF(E6529="Won",1,0)</f>
        <v>0</v>
      </c>
    </row>
    <row r="6530" customFormat="false" ht="15" hidden="false" customHeight="false" outlineLevel="0" collapsed="false">
      <c r="A6530" s="10" t="s">
        <v>8871</v>
      </c>
      <c r="B6530" s="10" t="s">
        <v>87</v>
      </c>
      <c r="C6530" s="10" t="s">
        <v>48</v>
      </c>
      <c r="D6530" s="10" t="s">
        <v>277</v>
      </c>
      <c r="E6530" s="10" t="s">
        <v>2342</v>
      </c>
      <c r="F6530" s="30" t="n">
        <v>43000</v>
      </c>
      <c r="G6530" s="30" t="n">
        <v>43092</v>
      </c>
      <c r="H6530" s="26" t="n">
        <f aca="false">G6530-F6530</f>
        <v>92</v>
      </c>
      <c r="I6530" s="10" t="n">
        <f aca="false">IF(E6530="Won",1,0)</f>
        <v>1</v>
      </c>
    </row>
    <row r="6531" customFormat="false" ht="15" hidden="false" customHeight="false" outlineLevel="0" collapsed="false">
      <c r="A6531" s="10" t="s">
        <v>8872</v>
      </c>
      <c r="B6531" s="10" t="s">
        <v>70</v>
      </c>
      <c r="C6531" s="10" t="s">
        <v>51</v>
      </c>
      <c r="D6531" s="10" t="s">
        <v>437</v>
      </c>
      <c r="E6531" s="10" t="s">
        <v>2342</v>
      </c>
      <c r="F6531" s="30" t="n">
        <v>43006</v>
      </c>
      <c r="G6531" s="30" t="n">
        <v>43092</v>
      </c>
      <c r="H6531" s="26" t="n">
        <f aca="false">G6531-F6531</f>
        <v>86</v>
      </c>
      <c r="I6531" s="10" t="n">
        <f aca="false">IF(E6531="Won",1,0)</f>
        <v>1</v>
      </c>
    </row>
    <row r="6532" customFormat="false" ht="15" hidden="false" customHeight="false" outlineLevel="0" collapsed="false">
      <c r="A6532" s="10" t="s">
        <v>8873</v>
      </c>
      <c r="B6532" s="10" t="s">
        <v>93</v>
      </c>
      <c r="C6532" s="10" t="s">
        <v>47</v>
      </c>
      <c r="D6532" s="10" t="s">
        <v>396</v>
      </c>
      <c r="E6532" s="10" t="s">
        <v>2342</v>
      </c>
      <c r="F6532" s="30" t="n">
        <v>43078</v>
      </c>
      <c r="G6532" s="30" t="n">
        <v>43092</v>
      </c>
      <c r="H6532" s="26" t="n">
        <f aca="false">G6532-F6532</f>
        <v>14</v>
      </c>
      <c r="I6532" s="10" t="n">
        <f aca="false">IF(E6532="Won",1,0)</f>
        <v>1</v>
      </c>
    </row>
    <row r="6533" customFormat="false" ht="15" hidden="false" customHeight="false" outlineLevel="0" collapsed="false">
      <c r="A6533" s="10" t="s">
        <v>8874</v>
      </c>
      <c r="B6533" s="10" t="s">
        <v>77</v>
      </c>
      <c r="C6533" s="10" t="s">
        <v>49</v>
      </c>
      <c r="D6533" s="10" t="s">
        <v>483</v>
      </c>
      <c r="E6533" s="10" t="s">
        <v>2345</v>
      </c>
      <c r="F6533" s="30" t="n">
        <v>43015</v>
      </c>
      <c r="G6533" s="30" t="n">
        <v>43092</v>
      </c>
      <c r="H6533" s="26" t="n">
        <f aca="false">G6533-F6533</f>
        <v>77</v>
      </c>
      <c r="I6533" s="10" t="n">
        <f aca="false">IF(E6533="Won",1,0)</f>
        <v>0</v>
      </c>
    </row>
    <row r="6534" customFormat="false" ht="15" hidden="false" customHeight="false" outlineLevel="0" collapsed="false">
      <c r="A6534" s="10" t="s">
        <v>8875</v>
      </c>
      <c r="B6534" s="10" t="s">
        <v>97</v>
      </c>
      <c r="C6534" s="10" t="s">
        <v>47</v>
      </c>
      <c r="D6534" s="10" t="s">
        <v>986</v>
      </c>
      <c r="E6534" s="10" t="s">
        <v>2342</v>
      </c>
      <c r="F6534" s="30" t="n">
        <v>43009</v>
      </c>
      <c r="G6534" s="30" t="n">
        <v>43092</v>
      </c>
      <c r="H6534" s="26" t="n">
        <f aca="false">G6534-F6534</f>
        <v>83</v>
      </c>
      <c r="I6534" s="10" t="n">
        <f aca="false">IF(E6534="Won",1,0)</f>
        <v>1</v>
      </c>
    </row>
    <row r="6535" customFormat="false" ht="15" hidden="false" customHeight="false" outlineLevel="0" collapsed="false">
      <c r="A6535" s="10" t="s">
        <v>8876</v>
      </c>
      <c r="B6535" s="10" t="s">
        <v>97</v>
      </c>
      <c r="C6535" s="10" t="s">
        <v>50</v>
      </c>
      <c r="D6535" s="10" t="s">
        <v>210</v>
      </c>
      <c r="E6535" s="10" t="s">
        <v>2342</v>
      </c>
      <c r="F6535" s="30" t="n">
        <v>43014</v>
      </c>
      <c r="G6535" s="30" t="n">
        <v>43092</v>
      </c>
      <c r="H6535" s="26" t="n">
        <f aca="false">G6535-F6535</f>
        <v>78</v>
      </c>
      <c r="I6535" s="10" t="n">
        <f aca="false">IF(E6535="Won",1,0)</f>
        <v>1</v>
      </c>
    </row>
    <row r="6536" customFormat="false" ht="15" hidden="false" customHeight="false" outlineLevel="0" collapsed="false">
      <c r="A6536" s="10" t="s">
        <v>8877</v>
      </c>
      <c r="B6536" s="10" t="s">
        <v>94</v>
      </c>
      <c r="C6536" s="10" t="s">
        <v>51</v>
      </c>
      <c r="D6536" s="10" t="s">
        <v>175</v>
      </c>
      <c r="E6536" s="10" t="s">
        <v>2342</v>
      </c>
      <c r="F6536" s="30" t="n">
        <v>43001</v>
      </c>
      <c r="G6536" s="30" t="n">
        <v>43093</v>
      </c>
      <c r="H6536" s="26" t="n">
        <f aca="false">G6536-F6536</f>
        <v>92</v>
      </c>
      <c r="I6536" s="10" t="n">
        <f aca="false">IF(E6536="Won",1,0)</f>
        <v>1</v>
      </c>
    </row>
    <row r="6537" customFormat="false" ht="15" hidden="false" customHeight="false" outlineLevel="0" collapsed="false">
      <c r="A6537" s="10" t="s">
        <v>8878</v>
      </c>
      <c r="B6537" s="10" t="s">
        <v>81</v>
      </c>
      <c r="C6537" s="10" t="s">
        <v>51</v>
      </c>
      <c r="D6537" s="10" t="s">
        <v>483</v>
      </c>
      <c r="E6537" s="10" t="s">
        <v>2345</v>
      </c>
      <c r="F6537" s="30" t="n">
        <v>43032</v>
      </c>
      <c r="G6537" s="30" t="n">
        <v>43093</v>
      </c>
      <c r="H6537" s="26" t="n">
        <f aca="false">G6537-F6537</f>
        <v>61</v>
      </c>
      <c r="I6537" s="10" t="n">
        <f aca="false">IF(E6537="Won",1,0)</f>
        <v>0</v>
      </c>
    </row>
    <row r="6538" customFormat="false" ht="15" hidden="false" customHeight="false" outlineLevel="0" collapsed="false">
      <c r="A6538" s="10" t="s">
        <v>8879</v>
      </c>
      <c r="B6538" s="10" t="s">
        <v>81</v>
      </c>
      <c r="C6538" s="10" t="s">
        <v>51</v>
      </c>
      <c r="D6538" s="10" t="s">
        <v>414</v>
      </c>
      <c r="E6538" s="10" t="s">
        <v>2342</v>
      </c>
      <c r="F6538" s="30" t="n">
        <v>43013</v>
      </c>
      <c r="G6538" s="30" t="n">
        <v>43093</v>
      </c>
      <c r="H6538" s="26" t="n">
        <f aca="false">G6538-F6538</f>
        <v>80</v>
      </c>
      <c r="I6538" s="10" t="n">
        <f aca="false">IF(E6538="Won",1,0)</f>
        <v>1</v>
      </c>
    </row>
    <row r="6539" customFormat="false" ht="15" hidden="false" customHeight="false" outlineLevel="0" collapsed="false">
      <c r="A6539" s="10" t="s">
        <v>8880</v>
      </c>
      <c r="B6539" s="10" t="s">
        <v>61</v>
      </c>
      <c r="C6539" s="10" t="s">
        <v>52</v>
      </c>
      <c r="D6539" s="10" t="s">
        <v>185</v>
      </c>
      <c r="E6539" s="10" t="s">
        <v>2342</v>
      </c>
      <c r="F6539" s="30" t="n">
        <v>43072</v>
      </c>
      <c r="G6539" s="30" t="n">
        <v>43093</v>
      </c>
      <c r="H6539" s="26" t="n">
        <f aca="false">G6539-F6539</f>
        <v>21</v>
      </c>
      <c r="I6539" s="10" t="n">
        <f aca="false">IF(E6539="Won",1,0)</f>
        <v>1</v>
      </c>
    </row>
    <row r="6540" customFormat="false" ht="15" hidden="false" customHeight="false" outlineLevel="0" collapsed="false">
      <c r="A6540" s="10" t="s">
        <v>8881</v>
      </c>
      <c r="B6540" s="10" t="s">
        <v>95</v>
      </c>
      <c r="C6540" s="10" t="s">
        <v>48</v>
      </c>
      <c r="D6540" s="10" t="s">
        <v>483</v>
      </c>
      <c r="E6540" s="10" t="s">
        <v>2342</v>
      </c>
      <c r="F6540" s="30" t="n">
        <v>42966</v>
      </c>
      <c r="G6540" s="30" t="n">
        <v>43093</v>
      </c>
      <c r="H6540" s="26" t="n">
        <f aca="false">G6540-F6540</f>
        <v>127</v>
      </c>
      <c r="I6540" s="10" t="n">
        <f aca="false">IF(E6540="Won",1,0)</f>
        <v>1</v>
      </c>
    </row>
    <row r="6541" customFormat="false" ht="15" hidden="false" customHeight="false" outlineLevel="0" collapsed="false">
      <c r="A6541" s="10" t="s">
        <v>8882</v>
      </c>
      <c r="B6541" s="10" t="s">
        <v>93</v>
      </c>
      <c r="C6541" s="10" t="s">
        <v>51</v>
      </c>
      <c r="D6541" s="10" t="s">
        <v>303</v>
      </c>
      <c r="E6541" s="10" t="s">
        <v>2345</v>
      </c>
      <c r="F6541" s="30" t="n">
        <v>42971</v>
      </c>
      <c r="G6541" s="30" t="n">
        <v>43093</v>
      </c>
      <c r="H6541" s="26" t="n">
        <f aca="false">G6541-F6541</f>
        <v>122</v>
      </c>
      <c r="I6541" s="10" t="n">
        <f aca="false">IF(E6541="Won",1,0)</f>
        <v>0</v>
      </c>
    </row>
    <row r="6542" customFormat="false" ht="15" hidden="false" customHeight="false" outlineLevel="0" collapsed="false">
      <c r="A6542" s="10" t="s">
        <v>8883</v>
      </c>
      <c r="B6542" s="10" t="s">
        <v>73</v>
      </c>
      <c r="C6542" s="10" t="s">
        <v>50</v>
      </c>
      <c r="D6542" s="10" t="s">
        <v>410</v>
      </c>
      <c r="E6542" s="10" t="s">
        <v>2342</v>
      </c>
      <c r="F6542" s="30" t="n">
        <v>43078</v>
      </c>
      <c r="G6542" s="30" t="n">
        <v>43093</v>
      </c>
      <c r="H6542" s="26" t="n">
        <f aca="false">G6542-F6542</f>
        <v>15</v>
      </c>
      <c r="I6542" s="10" t="n">
        <f aca="false">IF(E6542="Won",1,0)</f>
        <v>1</v>
      </c>
    </row>
    <row r="6543" customFormat="false" ht="15" hidden="false" customHeight="false" outlineLevel="0" collapsed="false">
      <c r="A6543" s="10" t="s">
        <v>8884</v>
      </c>
      <c r="B6543" s="10" t="s">
        <v>79</v>
      </c>
      <c r="C6543" s="10" t="s">
        <v>52</v>
      </c>
      <c r="D6543" s="10" t="s">
        <v>961</v>
      </c>
      <c r="E6543" s="10" t="s">
        <v>2342</v>
      </c>
      <c r="F6543" s="30" t="n">
        <v>43078</v>
      </c>
      <c r="G6543" s="30" t="n">
        <v>43093</v>
      </c>
      <c r="H6543" s="26" t="n">
        <f aca="false">G6543-F6543</f>
        <v>15</v>
      </c>
      <c r="I6543" s="10" t="n">
        <f aca="false">IF(E6543="Won",1,0)</f>
        <v>1</v>
      </c>
    </row>
    <row r="6544" customFormat="false" ht="15" hidden="false" customHeight="false" outlineLevel="0" collapsed="false">
      <c r="A6544" s="10" t="s">
        <v>8885</v>
      </c>
      <c r="B6544" s="10" t="s">
        <v>75</v>
      </c>
      <c r="C6544" s="10" t="s">
        <v>51</v>
      </c>
      <c r="D6544" s="10" t="s">
        <v>321</v>
      </c>
      <c r="E6544" s="10" t="s">
        <v>2342</v>
      </c>
      <c r="F6544" s="30" t="n">
        <v>43004</v>
      </c>
      <c r="G6544" s="30" t="n">
        <v>43093</v>
      </c>
      <c r="H6544" s="26" t="n">
        <f aca="false">G6544-F6544</f>
        <v>89</v>
      </c>
      <c r="I6544" s="10" t="n">
        <f aca="false">IF(E6544="Won",1,0)</f>
        <v>1</v>
      </c>
    </row>
    <row r="6545" customFormat="false" ht="15" hidden="false" customHeight="false" outlineLevel="0" collapsed="false">
      <c r="A6545" s="10" t="s">
        <v>8886</v>
      </c>
      <c r="B6545" s="10" t="s">
        <v>83</v>
      </c>
      <c r="C6545" s="10" t="s">
        <v>50</v>
      </c>
      <c r="D6545" s="10" t="s">
        <v>353</v>
      </c>
      <c r="E6545" s="10" t="s">
        <v>2342</v>
      </c>
      <c r="F6545" s="30" t="n">
        <v>43078</v>
      </c>
      <c r="G6545" s="30" t="n">
        <v>43093</v>
      </c>
      <c r="H6545" s="26" t="n">
        <f aca="false">G6545-F6545</f>
        <v>15</v>
      </c>
      <c r="I6545" s="10" t="n">
        <f aca="false">IF(E6545="Won",1,0)</f>
        <v>1</v>
      </c>
    </row>
    <row r="6546" customFormat="false" ht="15" hidden="false" customHeight="false" outlineLevel="0" collapsed="false">
      <c r="A6546" s="10" t="s">
        <v>8887</v>
      </c>
      <c r="B6546" s="10" t="s">
        <v>70</v>
      </c>
      <c r="C6546" s="10" t="s">
        <v>52</v>
      </c>
      <c r="D6546" s="10" t="s">
        <v>514</v>
      </c>
      <c r="E6546" s="10" t="s">
        <v>2345</v>
      </c>
      <c r="F6546" s="30" t="n">
        <v>43051</v>
      </c>
      <c r="G6546" s="30" t="n">
        <v>43093</v>
      </c>
      <c r="H6546" s="26" t="n">
        <f aca="false">G6546-F6546</f>
        <v>42</v>
      </c>
      <c r="I6546" s="10" t="n">
        <f aca="false">IF(E6546="Won",1,0)</f>
        <v>0</v>
      </c>
    </row>
    <row r="6547" customFormat="false" ht="15" hidden="false" customHeight="false" outlineLevel="0" collapsed="false">
      <c r="A6547" s="10" t="s">
        <v>8888</v>
      </c>
      <c r="B6547" s="10" t="s">
        <v>62</v>
      </c>
      <c r="C6547" s="10" t="s">
        <v>52</v>
      </c>
      <c r="D6547" s="10" t="s">
        <v>286</v>
      </c>
      <c r="E6547" s="10" t="s">
        <v>2342</v>
      </c>
      <c r="F6547" s="30" t="n">
        <v>43086</v>
      </c>
      <c r="G6547" s="30" t="n">
        <v>43093</v>
      </c>
      <c r="H6547" s="26" t="n">
        <f aca="false">G6547-F6547</f>
        <v>7</v>
      </c>
      <c r="I6547" s="10" t="n">
        <f aca="false">IF(E6547="Won",1,0)</f>
        <v>1</v>
      </c>
    </row>
    <row r="6548" customFormat="false" ht="15" hidden="false" customHeight="false" outlineLevel="0" collapsed="false">
      <c r="A6548" s="10" t="s">
        <v>8889</v>
      </c>
      <c r="B6548" s="10" t="s">
        <v>77</v>
      </c>
      <c r="C6548" s="10" t="s">
        <v>48</v>
      </c>
      <c r="D6548" s="10" t="s">
        <v>291</v>
      </c>
      <c r="E6548" s="10" t="s">
        <v>2342</v>
      </c>
      <c r="F6548" s="30" t="n">
        <v>43000</v>
      </c>
      <c r="G6548" s="30" t="n">
        <v>43093</v>
      </c>
      <c r="H6548" s="26" t="n">
        <f aca="false">G6548-F6548</f>
        <v>93</v>
      </c>
      <c r="I6548" s="10" t="n">
        <f aca="false">IF(E6548="Won",1,0)</f>
        <v>1</v>
      </c>
    </row>
    <row r="6549" customFormat="false" ht="15" hidden="false" customHeight="false" outlineLevel="0" collapsed="false">
      <c r="A6549" s="10" t="s">
        <v>8890</v>
      </c>
      <c r="B6549" s="10" t="s">
        <v>87</v>
      </c>
      <c r="C6549" s="10" t="s">
        <v>48</v>
      </c>
      <c r="D6549" s="10" t="s">
        <v>185</v>
      </c>
      <c r="E6549" s="10" t="s">
        <v>2342</v>
      </c>
      <c r="F6549" s="30" t="n">
        <v>42996</v>
      </c>
      <c r="G6549" s="30" t="n">
        <v>43093</v>
      </c>
      <c r="H6549" s="26" t="n">
        <f aca="false">G6549-F6549</f>
        <v>97</v>
      </c>
      <c r="I6549" s="10" t="n">
        <f aca="false">IF(E6549="Won",1,0)</f>
        <v>1</v>
      </c>
    </row>
    <row r="6550" customFormat="false" ht="15" hidden="false" customHeight="false" outlineLevel="0" collapsed="false">
      <c r="A6550" s="10" t="s">
        <v>8891</v>
      </c>
      <c r="B6550" s="10" t="s">
        <v>62</v>
      </c>
      <c r="C6550" s="10" t="s">
        <v>52</v>
      </c>
      <c r="D6550" s="10" t="s">
        <v>464</v>
      </c>
      <c r="E6550" s="10" t="s">
        <v>2342</v>
      </c>
      <c r="F6550" s="30" t="n">
        <v>43008</v>
      </c>
      <c r="G6550" s="30" t="n">
        <v>43093</v>
      </c>
      <c r="H6550" s="26" t="n">
        <f aca="false">G6550-F6550</f>
        <v>85</v>
      </c>
      <c r="I6550" s="10" t="n">
        <f aca="false">IF(E6550="Won",1,0)</f>
        <v>1</v>
      </c>
    </row>
    <row r="6551" customFormat="false" ht="15" hidden="false" customHeight="false" outlineLevel="0" collapsed="false">
      <c r="A6551" s="10" t="s">
        <v>8892</v>
      </c>
      <c r="B6551" s="10" t="s">
        <v>90</v>
      </c>
      <c r="C6551" s="10" t="s">
        <v>50</v>
      </c>
      <c r="D6551" s="10" t="s">
        <v>692</v>
      </c>
      <c r="E6551" s="10" t="s">
        <v>2345</v>
      </c>
      <c r="F6551" s="30" t="n">
        <v>43003</v>
      </c>
      <c r="G6551" s="30" t="n">
        <v>43093</v>
      </c>
      <c r="H6551" s="26" t="n">
        <f aca="false">G6551-F6551</f>
        <v>90</v>
      </c>
      <c r="I6551" s="10" t="n">
        <f aca="false">IF(E6551="Won",1,0)</f>
        <v>0</v>
      </c>
    </row>
    <row r="6552" customFormat="false" ht="15" hidden="false" customHeight="false" outlineLevel="0" collapsed="false">
      <c r="A6552" s="10" t="s">
        <v>8893</v>
      </c>
      <c r="B6552" s="10" t="s">
        <v>63</v>
      </c>
      <c r="C6552" s="10" t="s">
        <v>49</v>
      </c>
      <c r="D6552" s="10" t="s">
        <v>218</v>
      </c>
      <c r="E6552" s="10" t="s">
        <v>2342</v>
      </c>
      <c r="F6552" s="30" t="n">
        <v>43087</v>
      </c>
      <c r="G6552" s="30" t="n">
        <v>43093</v>
      </c>
      <c r="H6552" s="26" t="n">
        <f aca="false">G6552-F6552</f>
        <v>6</v>
      </c>
      <c r="I6552" s="10" t="n">
        <f aca="false">IF(E6552="Won",1,0)</f>
        <v>1</v>
      </c>
    </row>
    <row r="6553" customFormat="false" ht="15" hidden="false" customHeight="false" outlineLevel="0" collapsed="false">
      <c r="A6553" s="10" t="s">
        <v>8894</v>
      </c>
      <c r="B6553" s="10" t="s">
        <v>79</v>
      </c>
      <c r="C6553" s="10" t="s">
        <v>52</v>
      </c>
      <c r="D6553" s="10" t="s">
        <v>597</v>
      </c>
      <c r="E6553" s="10" t="s">
        <v>2345</v>
      </c>
      <c r="F6553" s="30" t="n">
        <v>43073</v>
      </c>
      <c r="G6553" s="30" t="n">
        <v>43093</v>
      </c>
      <c r="H6553" s="26" t="n">
        <f aca="false">G6553-F6553</f>
        <v>20</v>
      </c>
      <c r="I6553" s="10" t="n">
        <f aca="false">IF(E6553="Won",1,0)</f>
        <v>0</v>
      </c>
    </row>
    <row r="6554" customFormat="false" ht="15" hidden="false" customHeight="false" outlineLevel="0" collapsed="false">
      <c r="A6554" s="10" t="s">
        <v>8895</v>
      </c>
      <c r="B6554" s="10" t="s">
        <v>69</v>
      </c>
      <c r="C6554" s="10" t="s">
        <v>49</v>
      </c>
      <c r="D6554" s="10" t="s">
        <v>337</v>
      </c>
      <c r="E6554" s="10" t="s">
        <v>2342</v>
      </c>
      <c r="F6554" s="30" t="n">
        <v>43085</v>
      </c>
      <c r="G6554" s="30" t="n">
        <v>43093</v>
      </c>
      <c r="H6554" s="26" t="n">
        <f aca="false">G6554-F6554</f>
        <v>8</v>
      </c>
      <c r="I6554" s="10" t="n">
        <f aca="false">IF(E6554="Won",1,0)</f>
        <v>1</v>
      </c>
    </row>
    <row r="6555" customFormat="false" ht="15" hidden="false" customHeight="false" outlineLevel="0" collapsed="false">
      <c r="A6555" s="10" t="s">
        <v>8896</v>
      </c>
      <c r="B6555" s="10" t="s">
        <v>63</v>
      </c>
      <c r="C6555" s="10" t="s">
        <v>48</v>
      </c>
      <c r="D6555" s="10" t="s">
        <v>233</v>
      </c>
      <c r="E6555" s="10" t="s">
        <v>2342</v>
      </c>
      <c r="F6555" s="30" t="n">
        <v>43027</v>
      </c>
      <c r="G6555" s="30" t="n">
        <v>43094</v>
      </c>
      <c r="H6555" s="26" t="n">
        <f aca="false">G6555-F6555</f>
        <v>67</v>
      </c>
      <c r="I6555" s="10" t="n">
        <f aca="false">IF(E6555="Won",1,0)</f>
        <v>1</v>
      </c>
    </row>
    <row r="6556" customFormat="false" ht="15" hidden="false" customHeight="false" outlineLevel="0" collapsed="false">
      <c r="A6556" s="10" t="s">
        <v>8897</v>
      </c>
      <c r="B6556" s="10" t="s">
        <v>74</v>
      </c>
      <c r="C6556" s="10" t="s">
        <v>51</v>
      </c>
      <c r="D6556" s="10" t="s">
        <v>527</v>
      </c>
      <c r="E6556" s="10" t="s">
        <v>2345</v>
      </c>
      <c r="F6556" s="30" t="n">
        <v>43018</v>
      </c>
      <c r="G6556" s="30" t="n">
        <v>43094</v>
      </c>
      <c r="H6556" s="26" t="n">
        <f aca="false">G6556-F6556</f>
        <v>76</v>
      </c>
      <c r="I6556" s="10" t="n">
        <f aca="false">IF(E6556="Won",1,0)</f>
        <v>0</v>
      </c>
    </row>
    <row r="6557" customFormat="false" ht="15" hidden="false" customHeight="false" outlineLevel="0" collapsed="false">
      <c r="A6557" s="10" t="s">
        <v>8898</v>
      </c>
      <c r="B6557" s="10" t="s">
        <v>94</v>
      </c>
      <c r="C6557" s="10" t="s">
        <v>50</v>
      </c>
      <c r="D6557" s="10" t="s">
        <v>514</v>
      </c>
      <c r="E6557" s="10" t="s">
        <v>2345</v>
      </c>
      <c r="F6557" s="30" t="n">
        <v>43065</v>
      </c>
      <c r="G6557" s="30" t="n">
        <v>43094</v>
      </c>
      <c r="H6557" s="26" t="n">
        <f aca="false">G6557-F6557</f>
        <v>29</v>
      </c>
      <c r="I6557" s="10" t="n">
        <f aca="false">IF(E6557="Won",1,0)</f>
        <v>0</v>
      </c>
    </row>
    <row r="6558" customFormat="false" ht="15" hidden="false" customHeight="false" outlineLevel="0" collapsed="false">
      <c r="A6558" s="10" t="s">
        <v>8899</v>
      </c>
      <c r="B6558" s="10" t="s">
        <v>95</v>
      </c>
      <c r="C6558" s="10" t="s">
        <v>51</v>
      </c>
      <c r="D6558" s="10" t="s">
        <v>497</v>
      </c>
      <c r="E6558" s="10" t="s">
        <v>2345</v>
      </c>
      <c r="F6558" s="30" t="n">
        <v>43074</v>
      </c>
      <c r="G6558" s="30" t="n">
        <v>43094</v>
      </c>
      <c r="H6558" s="26" t="n">
        <f aca="false">G6558-F6558</f>
        <v>20</v>
      </c>
      <c r="I6558" s="10" t="n">
        <f aca="false">IF(E6558="Won",1,0)</f>
        <v>0</v>
      </c>
    </row>
    <row r="6559" customFormat="false" ht="15" hidden="false" customHeight="false" outlineLevel="0" collapsed="false">
      <c r="A6559" s="10" t="s">
        <v>8900</v>
      </c>
      <c r="B6559" s="10" t="s">
        <v>68</v>
      </c>
      <c r="C6559" s="10" t="s">
        <v>50</v>
      </c>
      <c r="D6559" s="10" t="s">
        <v>170</v>
      </c>
      <c r="E6559" s="10" t="s">
        <v>2342</v>
      </c>
      <c r="F6559" s="30" t="n">
        <v>43078</v>
      </c>
      <c r="G6559" s="30" t="n">
        <v>43094</v>
      </c>
      <c r="H6559" s="26" t="n">
        <f aca="false">G6559-F6559</f>
        <v>16</v>
      </c>
      <c r="I6559" s="10" t="n">
        <f aca="false">IF(E6559="Won",1,0)</f>
        <v>1</v>
      </c>
    </row>
    <row r="6560" customFormat="false" ht="15" hidden="false" customHeight="false" outlineLevel="0" collapsed="false">
      <c r="A6560" s="10" t="s">
        <v>8901</v>
      </c>
      <c r="B6560" s="10" t="s">
        <v>90</v>
      </c>
      <c r="C6560" s="10" t="s">
        <v>47</v>
      </c>
      <c r="D6560" s="10" t="s">
        <v>405</v>
      </c>
      <c r="E6560" s="10" t="s">
        <v>2342</v>
      </c>
      <c r="F6560" s="30" t="n">
        <v>42976</v>
      </c>
      <c r="G6560" s="30" t="n">
        <v>43094</v>
      </c>
      <c r="H6560" s="26" t="n">
        <f aca="false">G6560-F6560</f>
        <v>118</v>
      </c>
      <c r="I6560" s="10" t="n">
        <f aca="false">IF(E6560="Won",1,0)</f>
        <v>1</v>
      </c>
    </row>
    <row r="6561" customFormat="false" ht="15" hidden="false" customHeight="false" outlineLevel="0" collapsed="false">
      <c r="A6561" s="10" t="s">
        <v>8902</v>
      </c>
      <c r="B6561" s="10" t="s">
        <v>68</v>
      </c>
      <c r="C6561" s="10" t="s">
        <v>49</v>
      </c>
      <c r="D6561" s="10" t="s">
        <v>299</v>
      </c>
      <c r="E6561" s="10" t="s">
        <v>2342</v>
      </c>
      <c r="F6561" s="30" t="n">
        <v>43051</v>
      </c>
      <c r="G6561" s="30" t="n">
        <v>43094</v>
      </c>
      <c r="H6561" s="26" t="n">
        <f aca="false">G6561-F6561</f>
        <v>43</v>
      </c>
      <c r="I6561" s="10" t="n">
        <f aca="false">IF(E6561="Won",1,0)</f>
        <v>1</v>
      </c>
    </row>
    <row r="6562" customFormat="false" ht="15" hidden="false" customHeight="false" outlineLevel="0" collapsed="false">
      <c r="A6562" s="10" t="s">
        <v>8903</v>
      </c>
      <c r="B6562" s="10" t="s">
        <v>96</v>
      </c>
      <c r="C6562" s="10" t="s">
        <v>52</v>
      </c>
      <c r="D6562" s="10" t="s">
        <v>326</v>
      </c>
      <c r="E6562" s="10" t="s">
        <v>2342</v>
      </c>
      <c r="F6562" s="30" t="n">
        <v>43079</v>
      </c>
      <c r="G6562" s="30" t="n">
        <v>43094</v>
      </c>
      <c r="H6562" s="26" t="n">
        <f aca="false">G6562-F6562</f>
        <v>15</v>
      </c>
      <c r="I6562" s="10" t="n">
        <f aca="false">IF(E6562="Won",1,0)</f>
        <v>1</v>
      </c>
    </row>
    <row r="6563" customFormat="false" ht="15" hidden="false" customHeight="false" outlineLevel="0" collapsed="false">
      <c r="A6563" s="10" t="s">
        <v>8904</v>
      </c>
      <c r="B6563" s="10" t="s">
        <v>80</v>
      </c>
      <c r="C6563" s="10" t="s">
        <v>52</v>
      </c>
      <c r="D6563" s="10" t="s">
        <v>267</v>
      </c>
      <c r="E6563" s="10" t="s">
        <v>2342</v>
      </c>
      <c r="F6563" s="30" t="n">
        <v>42990</v>
      </c>
      <c r="G6563" s="30" t="n">
        <v>43094</v>
      </c>
      <c r="H6563" s="26" t="n">
        <f aca="false">G6563-F6563</f>
        <v>104</v>
      </c>
      <c r="I6563" s="10" t="n">
        <f aca="false">IF(E6563="Won",1,0)</f>
        <v>1</v>
      </c>
    </row>
    <row r="6564" customFormat="false" ht="15" hidden="false" customHeight="false" outlineLevel="0" collapsed="false">
      <c r="A6564" s="10" t="s">
        <v>8905</v>
      </c>
      <c r="B6564" s="10" t="s">
        <v>80</v>
      </c>
      <c r="C6564" s="10" t="s">
        <v>51</v>
      </c>
      <c r="D6564" s="10" t="s">
        <v>311</v>
      </c>
      <c r="E6564" s="10" t="s">
        <v>2342</v>
      </c>
      <c r="F6564" s="30" t="n">
        <v>43019</v>
      </c>
      <c r="G6564" s="30" t="n">
        <v>43094</v>
      </c>
      <c r="H6564" s="26" t="n">
        <f aca="false">G6564-F6564</f>
        <v>75</v>
      </c>
      <c r="I6564" s="10" t="n">
        <f aca="false">IF(E6564="Won",1,0)</f>
        <v>1</v>
      </c>
    </row>
    <row r="6565" customFormat="false" ht="15" hidden="false" customHeight="false" outlineLevel="0" collapsed="false">
      <c r="A6565" s="10" t="s">
        <v>8906</v>
      </c>
      <c r="B6565" s="10" t="s">
        <v>96</v>
      </c>
      <c r="C6565" s="10" t="s">
        <v>48</v>
      </c>
      <c r="D6565" s="10" t="s">
        <v>233</v>
      </c>
      <c r="E6565" s="10" t="s">
        <v>2342</v>
      </c>
      <c r="F6565" s="30" t="n">
        <v>42967</v>
      </c>
      <c r="G6565" s="30" t="n">
        <v>43094</v>
      </c>
      <c r="H6565" s="26" t="n">
        <f aca="false">G6565-F6565</f>
        <v>127</v>
      </c>
      <c r="I6565" s="10" t="n">
        <f aca="false">IF(E6565="Won",1,0)</f>
        <v>1</v>
      </c>
    </row>
    <row r="6566" customFormat="false" ht="15" hidden="false" customHeight="false" outlineLevel="0" collapsed="false">
      <c r="A6566" s="10" t="s">
        <v>8907</v>
      </c>
      <c r="B6566" s="10" t="s">
        <v>74</v>
      </c>
      <c r="C6566" s="10" t="s">
        <v>51</v>
      </c>
      <c r="D6566" s="10" t="s">
        <v>267</v>
      </c>
      <c r="E6566" s="10" t="s">
        <v>2342</v>
      </c>
      <c r="F6566" s="30" t="n">
        <v>43004</v>
      </c>
      <c r="G6566" s="30" t="n">
        <v>43094</v>
      </c>
      <c r="H6566" s="26" t="n">
        <f aca="false">G6566-F6566</f>
        <v>90</v>
      </c>
      <c r="I6566" s="10" t="n">
        <f aca="false">IF(E6566="Won",1,0)</f>
        <v>1</v>
      </c>
    </row>
    <row r="6567" customFormat="false" ht="15" hidden="false" customHeight="false" outlineLevel="0" collapsed="false">
      <c r="A6567" s="10" t="s">
        <v>8908</v>
      </c>
      <c r="B6567" s="10" t="s">
        <v>73</v>
      </c>
      <c r="C6567" s="10" t="s">
        <v>49</v>
      </c>
      <c r="D6567" s="10" t="s">
        <v>321</v>
      </c>
      <c r="E6567" s="10" t="s">
        <v>2342</v>
      </c>
      <c r="F6567" s="30" t="n">
        <v>42988</v>
      </c>
      <c r="G6567" s="30" t="n">
        <v>43094</v>
      </c>
      <c r="H6567" s="26" t="n">
        <f aca="false">G6567-F6567</f>
        <v>106</v>
      </c>
      <c r="I6567" s="10" t="n">
        <f aca="false">IF(E6567="Won",1,0)</f>
        <v>1</v>
      </c>
    </row>
    <row r="6568" customFormat="false" ht="15" hidden="false" customHeight="false" outlineLevel="0" collapsed="false">
      <c r="A6568" s="10" t="s">
        <v>8909</v>
      </c>
      <c r="B6568" s="10" t="s">
        <v>93</v>
      </c>
      <c r="C6568" s="10" t="s">
        <v>47</v>
      </c>
      <c r="D6568" s="10" t="s">
        <v>299</v>
      </c>
      <c r="E6568" s="10" t="s">
        <v>2342</v>
      </c>
      <c r="F6568" s="30" t="n">
        <v>43028</v>
      </c>
      <c r="G6568" s="30" t="n">
        <v>43094</v>
      </c>
      <c r="H6568" s="26" t="n">
        <f aca="false">G6568-F6568</f>
        <v>66</v>
      </c>
      <c r="I6568" s="10" t="n">
        <f aca="false">IF(E6568="Won",1,0)</f>
        <v>1</v>
      </c>
    </row>
    <row r="6569" customFormat="false" ht="15" hidden="false" customHeight="false" outlineLevel="0" collapsed="false">
      <c r="A6569" s="10" t="s">
        <v>8910</v>
      </c>
      <c r="B6569" s="10" t="s">
        <v>87</v>
      </c>
      <c r="C6569" s="10" t="s">
        <v>50</v>
      </c>
      <c r="D6569" s="10" t="s">
        <v>427</v>
      </c>
      <c r="E6569" s="10" t="s">
        <v>2342</v>
      </c>
      <c r="F6569" s="30" t="n">
        <v>43024</v>
      </c>
      <c r="G6569" s="30" t="n">
        <v>43094</v>
      </c>
      <c r="H6569" s="26" t="n">
        <f aca="false">G6569-F6569</f>
        <v>70</v>
      </c>
      <c r="I6569" s="10" t="n">
        <f aca="false">IF(E6569="Won",1,0)</f>
        <v>1</v>
      </c>
    </row>
    <row r="6570" customFormat="false" ht="15" hidden="false" customHeight="false" outlineLevel="0" collapsed="false">
      <c r="A6570" s="10" t="s">
        <v>8911</v>
      </c>
      <c r="B6570" s="10" t="s">
        <v>68</v>
      </c>
      <c r="C6570" s="10" t="s">
        <v>48</v>
      </c>
      <c r="D6570" s="10" t="s">
        <v>606</v>
      </c>
      <c r="E6570" s="10" t="s">
        <v>2342</v>
      </c>
      <c r="F6570" s="30" t="n">
        <v>43017</v>
      </c>
      <c r="G6570" s="30" t="n">
        <v>43094</v>
      </c>
      <c r="H6570" s="26" t="n">
        <f aca="false">G6570-F6570</f>
        <v>77</v>
      </c>
      <c r="I6570" s="10" t="n">
        <f aca="false">IF(E6570="Won",1,0)</f>
        <v>1</v>
      </c>
    </row>
    <row r="6571" customFormat="false" ht="15" hidden="false" customHeight="false" outlineLevel="0" collapsed="false">
      <c r="A6571" s="10" t="s">
        <v>8912</v>
      </c>
      <c r="B6571" s="10" t="s">
        <v>75</v>
      </c>
      <c r="C6571" s="10" t="s">
        <v>51</v>
      </c>
      <c r="D6571" s="10" t="s">
        <v>527</v>
      </c>
      <c r="E6571" s="10" t="s">
        <v>2342</v>
      </c>
      <c r="F6571" s="30" t="n">
        <v>42996</v>
      </c>
      <c r="G6571" s="30" t="n">
        <v>43094</v>
      </c>
      <c r="H6571" s="26" t="n">
        <f aca="false">G6571-F6571</f>
        <v>98</v>
      </c>
      <c r="I6571" s="10" t="n">
        <f aca="false">IF(E6571="Won",1,0)</f>
        <v>1</v>
      </c>
    </row>
    <row r="6572" customFormat="false" ht="15" hidden="false" customHeight="false" outlineLevel="0" collapsed="false">
      <c r="A6572" s="10" t="s">
        <v>8913</v>
      </c>
      <c r="B6572" s="10" t="s">
        <v>69</v>
      </c>
      <c r="C6572" s="10" t="s">
        <v>52</v>
      </c>
      <c r="D6572" s="10" t="s">
        <v>497</v>
      </c>
      <c r="E6572" s="10" t="s">
        <v>2342</v>
      </c>
      <c r="F6572" s="30" t="n">
        <v>43086</v>
      </c>
      <c r="G6572" s="30" t="n">
        <v>43094</v>
      </c>
      <c r="H6572" s="26" t="n">
        <f aca="false">G6572-F6572</f>
        <v>8</v>
      </c>
      <c r="I6572" s="10" t="n">
        <f aca="false">IF(E6572="Won",1,0)</f>
        <v>1</v>
      </c>
    </row>
    <row r="6573" customFormat="false" ht="15" hidden="false" customHeight="false" outlineLevel="0" collapsed="false">
      <c r="A6573" s="10" t="s">
        <v>8914</v>
      </c>
      <c r="B6573" s="10" t="s">
        <v>90</v>
      </c>
      <c r="C6573" s="10" t="s">
        <v>50</v>
      </c>
      <c r="D6573" s="10" t="s">
        <v>674</v>
      </c>
      <c r="E6573" s="10" t="s">
        <v>2345</v>
      </c>
      <c r="F6573" s="30" t="n">
        <v>43081</v>
      </c>
      <c r="G6573" s="30" t="n">
        <v>43094</v>
      </c>
      <c r="H6573" s="26" t="n">
        <f aca="false">G6573-F6573</f>
        <v>13</v>
      </c>
      <c r="I6573" s="10" t="n">
        <f aca="false">IF(E6573="Won",1,0)</f>
        <v>0</v>
      </c>
    </row>
    <row r="6574" customFormat="false" ht="15" hidden="false" customHeight="false" outlineLevel="0" collapsed="false">
      <c r="A6574" s="10" t="s">
        <v>8915</v>
      </c>
      <c r="B6574" s="10" t="s">
        <v>77</v>
      </c>
      <c r="C6574" s="10" t="s">
        <v>51</v>
      </c>
      <c r="D6574" s="10" t="s">
        <v>353</v>
      </c>
      <c r="E6574" s="10" t="s">
        <v>2342</v>
      </c>
      <c r="F6574" s="30" t="n">
        <v>43005</v>
      </c>
      <c r="G6574" s="30" t="n">
        <v>43094</v>
      </c>
      <c r="H6574" s="26" t="n">
        <f aca="false">G6574-F6574</f>
        <v>89</v>
      </c>
      <c r="I6574" s="10" t="n">
        <f aca="false">IF(E6574="Won",1,0)</f>
        <v>1</v>
      </c>
    </row>
    <row r="6575" customFormat="false" ht="15" hidden="false" customHeight="false" outlineLevel="0" collapsed="false">
      <c r="A6575" s="10" t="s">
        <v>8916</v>
      </c>
      <c r="B6575" s="10" t="s">
        <v>88</v>
      </c>
      <c r="C6575" s="10" t="s">
        <v>49</v>
      </c>
      <c r="D6575" s="10" t="s">
        <v>453</v>
      </c>
      <c r="E6575" s="10" t="s">
        <v>2342</v>
      </c>
      <c r="F6575" s="30" t="n">
        <v>42994</v>
      </c>
      <c r="G6575" s="30" t="n">
        <v>43094</v>
      </c>
      <c r="H6575" s="26" t="n">
        <f aca="false">G6575-F6575</f>
        <v>100</v>
      </c>
      <c r="I6575" s="10" t="n">
        <f aca="false">IF(E6575="Won",1,0)</f>
        <v>1</v>
      </c>
    </row>
    <row r="6576" customFormat="false" ht="15" hidden="false" customHeight="false" outlineLevel="0" collapsed="false">
      <c r="A6576" s="10" t="s">
        <v>8917</v>
      </c>
      <c r="B6576" s="10" t="s">
        <v>81</v>
      </c>
      <c r="C6576" s="10" t="s">
        <v>51</v>
      </c>
      <c r="D6576" s="10" t="s">
        <v>512</v>
      </c>
      <c r="E6576" s="10" t="s">
        <v>2342</v>
      </c>
      <c r="F6576" s="30" t="n">
        <v>43022</v>
      </c>
      <c r="G6576" s="30" t="n">
        <v>43095</v>
      </c>
      <c r="H6576" s="26" t="n">
        <f aca="false">G6576-F6576</f>
        <v>73</v>
      </c>
      <c r="I6576" s="10" t="n">
        <f aca="false">IF(E6576="Won",1,0)</f>
        <v>1</v>
      </c>
    </row>
    <row r="6577" customFormat="false" ht="15" hidden="false" customHeight="false" outlineLevel="0" collapsed="false">
      <c r="A6577" s="10" t="s">
        <v>8918</v>
      </c>
      <c r="B6577" s="10" t="s">
        <v>71</v>
      </c>
      <c r="C6577" s="10" t="s">
        <v>51</v>
      </c>
      <c r="D6577" s="10" t="s">
        <v>483</v>
      </c>
      <c r="E6577" s="10" t="s">
        <v>2342</v>
      </c>
      <c r="F6577" s="30" t="n">
        <v>43005</v>
      </c>
      <c r="G6577" s="30" t="n">
        <v>43095</v>
      </c>
      <c r="H6577" s="26" t="n">
        <f aca="false">G6577-F6577</f>
        <v>90</v>
      </c>
      <c r="I6577" s="10" t="n">
        <f aca="false">IF(E6577="Won",1,0)</f>
        <v>1</v>
      </c>
    </row>
    <row r="6578" customFormat="false" ht="15" hidden="false" customHeight="false" outlineLevel="0" collapsed="false">
      <c r="A6578" s="10" t="s">
        <v>8919</v>
      </c>
      <c r="B6578" s="10" t="s">
        <v>80</v>
      </c>
      <c r="C6578" s="10" t="s">
        <v>48</v>
      </c>
      <c r="D6578" s="10" t="s">
        <v>1948</v>
      </c>
      <c r="E6578" s="10" t="s">
        <v>2345</v>
      </c>
      <c r="F6578" s="30" t="n">
        <v>43016</v>
      </c>
      <c r="G6578" s="30" t="n">
        <v>43095</v>
      </c>
      <c r="H6578" s="26" t="n">
        <f aca="false">G6578-F6578</f>
        <v>79</v>
      </c>
      <c r="I6578" s="10" t="n">
        <f aca="false">IF(E6578="Won",1,0)</f>
        <v>0</v>
      </c>
    </row>
    <row r="6579" customFormat="false" ht="15" hidden="false" customHeight="false" outlineLevel="0" collapsed="false">
      <c r="A6579" s="10" t="s">
        <v>8920</v>
      </c>
      <c r="B6579" s="10" t="s">
        <v>93</v>
      </c>
      <c r="C6579" s="10" t="s">
        <v>51</v>
      </c>
      <c r="D6579" s="10" t="s">
        <v>606</v>
      </c>
      <c r="E6579" s="10" t="s">
        <v>2342</v>
      </c>
      <c r="F6579" s="30" t="n">
        <v>43093</v>
      </c>
      <c r="G6579" s="30" t="n">
        <v>43095</v>
      </c>
      <c r="H6579" s="26" t="n">
        <f aca="false">G6579-F6579</f>
        <v>2</v>
      </c>
      <c r="I6579" s="10" t="n">
        <f aca="false">IF(E6579="Won",1,0)</f>
        <v>1</v>
      </c>
    </row>
    <row r="6580" customFormat="false" ht="15" hidden="false" customHeight="false" outlineLevel="0" collapsed="false">
      <c r="A6580" s="10" t="s">
        <v>8921</v>
      </c>
      <c r="B6580" s="10" t="s">
        <v>86</v>
      </c>
      <c r="C6580" s="10" t="s">
        <v>52</v>
      </c>
      <c r="D6580" s="10" t="s">
        <v>441</v>
      </c>
      <c r="E6580" s="10" t="s">
        <v>2342</v>
      </c>
      <c r="F6580" s="30" t="n">
        <v>43014</v>
      </c>
      <c r="G6580" s="30" t="n">
        <v>43095</v>
      </c>
      <c r="H6580" s="26" t="n">
        <f aca="false">G6580-F6580</f>
        <v>81</v>
      </c>
      <c r="I6580" s="10" t="n">
        <f aca="false">IF(E6580="Won",1,0)</f>
        <v>1</v>
      </c>
    </row>
    <row r="6581" customFormat="false" ht="15" hidden="false" customHeight="false" outlineLevel="0" collapsed="false">
      <c r="A6581" s="10" t="s">
        <v>8922</v>
      </c>
      <c r="B6581" s="10" t="s">
        <v>97</v>
      </c>
      <c r="C6581" s="10" t="s">
        <v>48</v>
      </c>
      <c r="D6581" s="10" t="s">
        <v>506</v>
      </c>
      <c r="E6581" s="10" t="s">
        <v>2342</v>
      </c>
      <c r="F6581" s="30" t="n">
        <v>43086</v>
      </c>
      <c r="G6581" s="30" t="n">
        <v>43095</v>
      </c>
      <c r="H6581" s="26" t="n">
        <f aca="false">G6581-F6581</f>
        <v>9</v>
      </c>
      <c r="I6581" s="10" t="n">
        <f aca="false">IF(E6581="Won",1,0)</f>
        <v>1</v>
      </c>
    </row>
    <row r="6582" customFormat="false" ht="15" hidden="false" customHeight="false" outlineLevel="0" collapsed="false">
      <c r="A6582" s="10" t="s">
        <v>8923</v>
      </c>
      <c r="B6582" s="10" t="s">
        <v>88</v>
      </c>
      <c r="C6582" s="10" t="s">
        <v>51</v>
      </c>
      <c r="D6582" s="10" t="s">
        <v>674</v>
      </c>
      <c r="E6582" s="10" t="s">
        <v>2342</v>
      </c>
      <c r="F6582" s="30" t="n">
        <v>42987</v>
      </c>
      <c r="G6582" s="30" t="n">
        <v>43095</v>
      </c>
      <c r="H6582" s="26" t="n">
        <f aca="false">G6582-F6582</f>
        <v>108</v>
      </c>
      <c r="I6582" s="10" t="n">
        <f aca="false">IF(E6582="Won",1,0)</f>
        <v>1</v>
      </c>
    </row>
    <row r="6583" customFormat="false" ht="15" hidden="false" customHeight="false" outlineLevel="0" collapsed="false">
      <c r="A6583" s="10" t="s">
        <v>8924</v>
      </c>
      <c r="B6583" s="10" t="s">
        <v>57</v>
      </c>
      <c r="C6583" s="10" t="s">
        <v>49</v>
      </c>
      <c r="D6583" s="10" t="s">
        <v>233</v>
      </c>
      <c r="E6583" s="10" t="s">
        <v>2345</v>
      </c>
      <c r="F6583" s="30" t="n">
        <v>43027</v>
      </c>
      <c r="G6583" s="30" t="n">
        <v>43095</v>
      </c>
      <c r="H6583" s="26" t="n">
        <f aca="false">G6583-F6583</f>
        <v>68</v>
      </c>
      <c r="I6583" s="10" t="n">
        <f aca="false">IF(E6583="Won",1,0)</f>
        <v>0</v>
      </c>
    </row>
    <row r="6584" customFormat="false" ht="15" hidden="false" customHeight="false" outlineLevel="0" collapsed="false">
      <c r="A6584" s="10" t="s">
        <v>8925</v>
      </c>
      <c r="B6584" s="10" t="s">
        <v>71</v>
      </c>
      <c r="C6584" s="10" t="s">
        <v>50</v>
      </c>
      <c r="D6584" s="10" t="s">
        <v>414</v>
      </c>
      <c r="E6584" s="10" t="s">
        <v>2342</v>
      </c>
      <c r="F6584" s="30" t="n">
        <v>42977</v>
      </c>
      <c r="G6584" s="30" t="n">
        <v>43095</v>
      </c>
      <c r="H6584" s="26" t="n">
        <f aca="false">G6584-F6584</f>
        <v>118</v>
      </c>
      <c r="I6584" s="10" t="n">
        <f aca="false">IF(E6584="Won",1,0)</f>
        <v>1</v>
      </c>
    </row>
    <row r="6585" customFormat="false" ht="15" hidden="false" customHeight="false" outlineLevel="0" collapsed="false">
      <c r="A6585" s="10" t="s">
        <v>8926</v>
      </c>
      <c r="B6585" s="10" t="s">
        <v>96</v>
      </c>
      <c r="C6585" s="10" t="s">
        <v>50</v>
      </c>
      <c r="D6585" s="10" t="s">
        <v>483</v>
      </c>
      <c r="E6585" s="10" t="s">
        <v>2342</v>
      </c>
      <c r="F6585" s="30" t="n">
        <v>43081</v>
      </c>
      <c r="G6585" s="30" t="n">
        <v>43095</v>
      </c>
      <c r="H6585" s="26" t="n">
        <f aca="false">G6585-F6585</f>
        <v>14</v>
      </c>
      <c r="I6585" s="10" t="n">
        <f aca="false">IF(E6585="Won",1,0)</f>
        <v>1</v>
      </c>
    </row>
    <row r="6586" customFormat="false" ht="15" hidden="false" customHeight="false" outlineLevel="0" collapsed="false">
      <c r="A6586" s="10" t="s">
        <v>8927</v>
      </c>
      <c r="B6586" s="10" t="s">
        <v>57</v>
      </c>
      <c r="C6586" s="10" t="s">
        <v>47</v>
      </c>
      <c r="D6586" s="10" t="s">
        <v>350</v>
      </c>
      <c r="E6586" s="10" t="s">
        <v>2342</v>
      </c>
      <c r="F6586" s="30" t="n">
        <v>42982</v>
      </c>
      <c r="G6586" s="30" t="n">
        <v>43095</v>
      </c>
      <c r="H6586" s="26" t="n">
        <f aca="false">G6586-F6586</f>
        <v>113</v>
      </c>
      <c r="I6586" s="10" t="n">
        <f aca="false">IF(E6586="Won",1,0)</f>
        <v>1</v>
      </c>
    </row>
    <row r="6587" customFormat="false" ht="15" hidden="false" customHeight="false" outlineLevel="0" collapsed="false">
      <c r="A6587" s="10" t="s">
        <v>8928</v>
      </c>
      <c r="B6587" s="10" t="s">
        <v>71</v>
      </c>
      <c r="C6587" s="10" t="s">
        <v>49</v>
      </c>
      <c r="D6587" s="10" t="s">
        <v>1251</v>
      </c>
      <c r="E6587" s="10" t="s">
        <v>2342</v>
      </c>
      <c r="F6587" s="30" t="n">
        <v>43086</v>
      </c>
      <c r="G6587" s="30" t="n">
        <v>43095</v>
      </c>
      <c r="H6587" s="26" t="n">
        <f aca="false">G6587-F6587</f>
        <v>9</v>
      </c>
      <c r="I6587" s="10" t="n">
        <f aca="false">IF(E6587="Won",1,0)</f>
        <v>1</v>
      </c>
    </row>
    <row r="6588" customFormat="false" ht="15" hidden="false" customHeight="false" outlineLevel="0" collapsed="false">
      <c r="A6588" s="10" t="s">
        <v>8929</v>
      </c>
      <c r="B6588" s="10" t="s">
        <v>70</v>
      </c>
      <c r="C6588" s="10" t="s">
        <v>52</v>
      </c>
      <c r="D6588" s="10" t="s">
        <v>303</v>
      </c>
      <c r="E6588" s="10" t="s">
        <v>2342</v>
      </c>
      <c r="F6588" s="30" t="n">
        <v>42994</v>
      </c>
      <c r="G6588" s="30" t="n">
        <v>43095</v>
      </c>
      <c r="H6588" s="26" t="n">
        <f aca="false">G6588-F6588</f>
        <v>101</v>
      </c>
      <c r="I6588" s="10" t="n">
        <f aca="false">IF(E6588="Won",1,0)</f>
        <v>1</v>
      </c>
    </row>
    <row r="6589" customFormat="false" ht="15" hidden="false" customHeight="false" outlineLevel="0" collapsed="false">
      <c r="A6589" s="10" t="s">
        <v>8930</v>
      </c>
      <c r="B6589" s="10" t="s">
        <v>95</v>
      </c>
      <c r="C6589" s="10" t="s">
        <v>50</v>
      </c>
      <c r="D6589" s="10" t="s">
        <v>424</v>
      </c>
      <c r="E6589" s="10" t="s">
        <v>2342</v>
      </c>
      <c r="F6589" s="30" t="n">
        <v>43082</v>
      </c>
      <c r="G6589" s="30" t="n">
        <v>43095</v>
      </c>
      <c r="H6589" s="26" t="n">
        <f aca="false">G6589-F6589</f>
        <v>13</v>
      </c>
      <c r="I6589" s="10" t="n">
        <f aca="false">IF(E6589="Won",1,0)</f>
        <v>1</v>
      </c>
    </row>
    <row r="6590" customFormat="false" ht="15" hidden="false" customHeight="false" outlineLevel="0" collapsed="false">
      <c r="A6590" s="10" t="s">
        <v>8931</v>
      </c>
      <c r="B6590" s="10" t="s">
        <v>66</v>
      </c>
      <c r="C6590" s="10" t="s">
        <v>48</v>
      </c>
      <c r="D6590" s="10" t="s">
        <v>986</v>
      </c>
      <c r="E6590" s="10" t="s">
        <v>2342</v>
      </c>
      <c r="F6590" s="30" t="n">
        <v>43087</v>
      </c>
      <c r="G6590" s="30" t="n">
        <v>43095</v>
      </c>
      <c r="H6590" s="26" t="n">
        <f aca="false">G6590-F6590</f>
        <v>8</v>
      </c>
      <c r="I6590" s="10" t="n">
        <f aca="false">IF(E6590="Won",1,0)</f>
        <v>1</v>
      </c>
    </row>
    <row r="6591" customFormat="false" ht="15" hidden="false" customHeight="false" outlineLevel="0" collapsed="false">
      <c r="A6591" s="10" t="s">
        <v>8932</v>
      </c>
      <c r="B6591" s="10" t="s">
        <v>71</v>
      </c>
      <c r="C6591" s="10" t="s">
        <v>50</v>
      </c>
      <c r="D6591" s="10" t="s">
        <v>1948</v>
      </c>
      <c r="E6591" s="10" t="s">
        <v>2342</v>
      </c>
      <c r="F6591" s="30" t="n">
        <v>42990</v>
      </c>
      <c r="G6591" s="30" t="n">
        <v>43095</v>
      </c>
      <c r="H6591" s="26" t="n">
        <f aca="false">G6591-F6591</f>
        <v>105</v>
      </c>
      <c r="I6591" s="10" t="n">
        <f aca="false">IF(E6591="Won",1,0)</f>
        <v>1</v>
      </c>
    </row>
    <row r="6592" customFormat="false" ht="15" hidden="false" customHeight="false" outlineLevel="0" collapsed="false">
      <c r="A6592" s="10" t="s">
        <v>8933</v>
      </c>
      <c r="B6592" s="10" t="s">
        <v>70</v>
      </c>
      <c r="C6592" s="10" t="s">
        <v>47</v>
      </c>
      <c r="D6592" s="10" t="s">
        <v>514</v>
      </c>
      <c r="E6592" s="10" t="s">
        <v>2342</v>
      </c>
      <c r="F6592" s="30" t="n">
        <v>43002</v>
      </c>
      <c r="G6592" s="30" t="n">
        <v>43095</v>
      </c>
      <c r="H6592" s="26" t="n">
        <f aca="false">G6592-F6592</f>
        <v>93</v>
      </c>
      <c r="I6592" s="10" t="n">
        <f aca="false">IF(E6592="Won",1,0)</f>
        <v>1</v>
      </c>
    </row>
    <row r="6593" customFormat="false" ht="15" hidden="false" customHeight="false" outlineLevel="0" collapsed="false">
      <c r="A6593" s="10" t="s">
        <v>8934</v>
      </c>
      <c r="B6593" s="10" t="s">
        <v>76</v>
      </c>
      <c r="C6593" s="10" t="s">
        <v>49</v>
      </c>
      <c r="D6593" s="10" t="s">
        <v>660</v>
      </c>
      <c r="E6593" s="10" t="s">
        <v>2345</v>
      </c>
      <c r="F6593" s="30" t="n">
        <v>43084</v>
      </c>
      <c r="G6593" s="30" t="n">
        <v>43095</v>
      </c>
      <c r="H6593" s="26" t="n">
        <f aca="false">G6593-F6593</f>
        <v>11</v>
      </c>
      <c r="I6593" s="10" t="n">
        <f aca="false">IF(E6593="Won",1,0)</f>
        <v>0</v>
      </c>
    </row>
    <row r="6594" customFormat="false" ht="15" hidden="false" customHeight="false" outlineLevel="0" collapsed="false">
      <c r="A6594" s="10" t="s">
        <v>8935</v>
      </c>
      <c r="B6594" s="10" t="s">
        <v>77</v>
      </c>
      <c r="C6594" s="10" t="s">
        <v>50</v>
      </c>
      <c r="D6594" s="10" t="s">
        <v>259</v>
      </c>
      <c r="E6594" s="10" t="s">
        <v>2345</v>
      </c>
      <c r="F6594" s="30" t="n">
        <v>43018</v>
      </c>
      <c r="G6594" s="30" t="n">
        <v>43095</v>
      </c>
      <c r="H6594" s="26" t="n">
        <f aca="false">G6594-F6594</f>
        <v>77</v>
      </c>
      <c r="I6594" s="10" t="n">
        <f aca="false">IF(E6594="Won",1,0)</f>
        <v>0</v>
      </c>
    </row>
    <row r="6595" customFormat="false" ht="15" hidden="false" customHeight="false" outlineLevel="0" collapsed="false">
      <c r="A6595" s="10" t="s">
        <v>8936</v>
      </c>
      <c r="B6595" s="10" t="s">
        <v>76</v>
      </c>
      <c r="C6595" s="10" t="s">
        <v>52</v>
      </c>
      <c r="D6595" s="10" t="s">
        <v>947</v>
      </c>
      <c r="E6595" s="10" t="s">
        <v>2342</v>
      </c>
      <c r="F6595" s="30" t="n">
        <v>42982</v>
      </c>
      <c r="G6595" s="30" t="n">
        <v>43095</v>
      </c>
      <c r="H6595" s="26" t="n">
        <f aca="false">G6595-F6595</f>
        <v>113</v>
      </c>
      <c r="I6595" s="10" t="n">
        <f aca="false">IF(E6595="Won",1,0)</f>
        <v>1</v>
      </c>
    </row>
    <row r="6596" customFormat="false" ht="15" hidden="false" customHeight="false" outlineLevel="0" collapsed="false">
      <c r="A6596" s="10" t="s">
        <v>8937</v>
      </c>
      <c r="B6596" s="10" t="s">
        <v>74</v>
      </c>
      <c r="C6596" s="10" t="s">
        <v>51</v>
      </c>
      <c r="D6596" s="10" t="s">
        <v>353</v>
      </c>
      <c r="E6596" s="10" t="s">
        <v>2342</v>
      </c>
      <c r="F6596" s="30" t="n">
        <v>43093</v>
      </c>
      <c r="G6596" s="30" t="n">
        <v>43095</v>
      </c>
      <c r="H6596" s="26" t="n">
        <f aca="false">G6596-F6596</f>
        <v>2</v>
      </c>
      <c r="I6596" s="10" t="n">
        <f aca="false">IF(E6596="Won",1,0)</f>
        <v>1</v>
      </c>
    </row>
    <row r="6597" customFormat="false" ht="15" hidden="false" customHeight="false" outlineLevel="0" collapsed="false">
      <c r="A6597" s="10" t="s">
        <v>8938</v>
      </c>
      <c r="B6597" s="10" t="s">
        <v>84</v>
      </c>
      <c r="C6597" s="10" t="s">
        <v>51</v>
      </c>
      <c r="D6597" s="10" t="s">
        <v>161</v>
      </c>
      <c r="E6597" s="10" t="s">
        <v>2342</v>
      </c>
      <c r="F6597" s="30" t="n">
        <v>42998</v>
      </c>
      <c r="G6597" s="30" t="n">
        <v>43095</v>
      </c>
      <c r="H6597" s="26" t="n">
        <f aca="false">G6597-F6597</f>
        <v>97</v>
      </c>
      <c r="I6597" s="10" t="n">
        <f aca="false">IF(E6597="Won",1,0)</f>
        <v>1</v>
      </c>
    </row>
    <row r="6598" customFormat="false" ht="15" hidden="false" customHeight="false" outlineLevel="0" collapsed="false">
      <c r="A6598" s="10" t="s">
        <v>8939</v>
      </c>
      <c r="B6598" s="10" t="s">
        <v>76</v>
      </c>
      <c r="C6598" s="10" t="s">
        <v>49</v>
      </c>
      <c r="D6598" s="10" t="s">
        <v>536</v>
      </c>
      <c r="E6598" s="10" t="s">
        <v>2342</v>
      </c>
      <c r="F6598" s="30" t="n">
        <v>43082</v>
      </c>
      <c r="G6598" s="30" t="n">
        <v>43096</v>
      </c>
      <c r="H6598" s="26" t="n">
        <f aca="false">G6598-F6598</f>
        <v>14</v>
      </c>
      <c r="I6598" s="10" t="n">
        <f aca="false">IF(E6598="Won",1,0)</f>
        <v>1</v>
      </c>
    </row>
    <row r="6599" customFormat="false" ht="15" hidden="false" customHeight="false" outlineLevel="0" collapsed="false">
      <c r="A6599" s="10" t="s">
        <v>8940</v>
      </c>
      <c r="B6599" s="10" t="s">
        <v>68</v>
      </c>
      <c r="C6599" s="10" t="s">
        <v>49</v>
      </c>
      <c r="D6599" s="10" t="s">
        <v>514</v>
      </c>
      <c r="E6599" s="10" t="s">
        <v>2342</v>
      </c>
      <c r="F6599" s="30" t="n">
        <v>43082</v>
      </c>
      <c r="G6599" s="30" t="n">
        <v>43096</v>
      </c>
      <c r="H6599" s="26" t="n">
        <f aca="false">G6599-F6599</f>
        <v>14</v>
      </c>
      <c r="I6599" s="10" t="n">
        <f aca="false">IF(E6599="Won",1,0)</f>
        <v>1</v>
      </c>
    </row>
    <row r="6600" customFormat="false" ht="15" hidden="false" customHeight="false" outlineLevel="0" collapsed="false">
      <c r="A6600" s="10" t="s">
        <v>8941</v>
      </c>
      <c r="B6600" s="10" t="s">
        <v>96</v>
      </c>
      <c r="C6600" s="10" t="s">
        <v>48</v>
      </c>
      <c r="D6600" s="10" t="s">
        <v>233</v>
      </c>
      <c r="E6600" s="10" t="s">
        <v>2342</v>
      </c>
      <c r="F6600" s="30" t="n">
        <v>42995</v>
      </c>
      <c r="G6600" s="30" t="n">
        <v>43096</v>
      </c>
      <c r="H6600" s="26" t="n">
        <f aca="false">G6600-F6600</f>
        <v>101</v>
      </c>
      <c r="I6600" s="10" t="n">
        <f aca="false">IF(E6600="Won",1,0)</f>
        <v>1</v>
      </c>
    </row>
    <row r="6601" customFormat="false" ht="15" hidden="false" customHeight="false" outlineLevel="0" collapsed="false">
      <c r="A6601" s="10" t="s">
        <v>8942</v>
      </c>
      <c r="B6601" s="10" t="s">
        <v>62</v>
      </c>
      <c r="C6601" s="10" t="s">
        <v>52</v>
      </c>
      <c r="D6601" s="10" t="s">
        <v>616</v>
      </c>
      <c r="E6601" s="10" t="s">
        <v>2342</v>
      </c>
      <c r="F6601" s="30" t="n">
        <v>43047</v>
      </c>
      <c r="G6601" s="30" t="n">
        <v>43096</v>
      </c>
      <c r="H6601" s="26" t="n">
        <f aca="false">G6601-F6601</f>
        <v>49</v>
      </c>
      <c r="I6601" s="10" t="n">
        <f aca="false">IF(E6601="Won",1,0)</f>
        <v>1</v>
      </c>
    </row>
    <row r="6602" customFormat="false" ht="15" hidden="false" customHeight="false" outlineLevel="0" collapsed="false">
      <c r="A6602" s="10" t="s">
        <v>8943</v>
      </c>
      <c r="B6602" s="10" t="s">
        <v>84</v>
      </c>
      <c r="C6602" s="10" t="s">
        <v>51</v>
      </c>
      <c r="D6602" s="10" t="s">
        <v>210</v>
      </c>
      <c r="E6602" s="10" t="s">
        <v>2342</v>
      </c>
      <c r="F6602" s="30" t="n">
        <v>43019</v>
      </c>
      <c r="G6602" s="30" t="n">
        <v>43096</v>
      </c>
      <c r="H6602" s="26" t="n">
        <f aca="false">G6602-F6602</f>
        <v>77</v>
      </c>
      <c r="I6602" s="10" t="n">
        <f aca="false">IF(E6602="Won",1,0)</f>
        <v>1</v>
      </c>
    </row>
    <row r="6603" customFormat="false" ht="15" hidden="false" customHeight="false" outlineLevel="0" collapsed="false">
      <c r="A6603" s="10" t="s">
        <v>8944</v>
      </c>
      <c r="B6603" s="10" t="s">
        <v>68</v>
      </c>
      <c r="C6603" s="10" t="s">
        <v>51</v>
      </c>
      <c r="D6603" s="10" t="s">
        <v>227</v>
      </c>
      <c r="E6603" s="10" t="s">
        <v>2342</v>
      </c>
      <c r="F6603" s="30" t="n">
        <v>42980</v>
      </c>
      <c r="G6603" s="30" t="n">
        <v>43096</v>
      </c>
      <c r="H6603" s="26" t="n">
        <f aca="false">G6603-F6603</f>
        <v>116</v>
      </c>
      <c r="I6603" s="10" t="n">
        <f aca="false">IF(E6603="Won",1,0)</f>
        <v>1</v>
      </c>
    </row>
    <row r="6604" customFormat="false" ht="15" hidden="false" customHeight="false" outlineLevel="0" collapsed="false">
      <c r="A6604" s="10" t="s">
        <v>8945</v>
      </c>
      <c r="B6604" s="10" t="s">
        <v>57</v>
      </c>
      <c r="C6604" s="10" t="s">
        <v>48</v>
      </c>
      <c r="D6604" s="10" t="s">
        <v>215</v>
      </c>
      <c r="E6604" s="10" t="s">
        <v>2342</v>
      </c>
      <c r="F6604" s="30" t="n">
        <v>43002</v>
      </c>
      <c r="G6604" s="30" t="n">
        <v>43096</v>
      </c>
      <c r="H6604" s="26" t="n">
        <f aca="false">G6604-F6604</f>
        <v>94</v>
      </c>
      <c r="I6604" s="10" t="n">
        <f aca="false">IF(E6604="Won",1,0)</f>
        <v>1</v>
      </c>
    </row>
    <row r="6605" customFormat="false" ht="15" hidden="false" customHeight="false" outlineLevel="0" collapsed="false">
      <c r="A6605" s="10" t="s">
        <v>8946</v>
      </c>
      <c r="B6605" s="10" t="s">
        <v>57</v>
      </c>
      <c r="C6605" s="10" t="s">
        <v>50</v>
      </c>
      <c r="D6605" s="10" t="s">
        <v>218</v>
      </c>
      <c r="E6605" s="10" t="s">
        <v>2345</v>
      </c>
      <c r="F6605" s="30" t="n">
        <v>43074</v>
      </c>
      <c r="G6605" s="30" t="n">
        <v>43096</v>
      </c>
      <c r="H6605" s="26" t="n">
        <f aca="false">G6605-F6605</f>
        <v>22</v>
      </c>
      <c r="I6605" s="10" t="n">
        <f aca="false">IF(E6605="Won",1,0)</f>
        <v>0</v>
      </c>
    </row>
    <row r="6606" customFormat="false" ht="15" hidden="false" customHeight="false" outlineLevel="0" collapsed="false">
      <c r="A6606" s="10" t="s">
        <v>8947</v>
      </c>
      <c r="B6606" s="10" t="s">
        <v>68</v>
      </c>
      <c r="C6606" s="10" t="s">
        <v>51</v>
      </c>
      <c r="D6606" s="10" t="s">
        <v>483</v>
      </c>
      <c r="E6606" s="10" t="s">
        <v>2345</v>
      </c>
      <c r="F6606" s="30" t="n">
        <v>42993</v>
      </c>
      <c r="G6606" s="30" t="n">
        <v>43096</v>
      </c>
      <c r="H6606" s="26" t="n">
        <f aca="false">G6606-F6606</f>
        <v>103</v>
      </c>
      <c r="I6606" s="10" t="n">
        <f aca="false">IF(E6606="Won",1,0)</f>
        <v>0</v>
      </c>
    </row>
    <row r="6607" customFormat="false" ht="15" hidden="false" customHeight="false" outlineLevel="0" collapsed="false">
      <c r="A6607" s="10" t="s">
        <v>8948</v>
      </c>
      <c r="B6607" s="10" t="s">
        <v>95</v>
      </c>
      <c r="C6607" s="10" t="s">
        <v>48</v>
      </c>
      <c r="D6607" s="10" t="s">
        <v>337</v>
      </c>
      <c r="E6607" s="10" t="s">
        <v>2342</v>
      </c>
      <c r="F6607" s="30" t="n">
        <v>43078</v>
      </c>
      <c r="G6607" s="30" t="n">
        <v>43096</v>
      </c>
      <c r="H6607" s="26" t="n">
        <f aca="false">G6607-F6607</f>
        <v>18</v>
      </c>
      <c r="I6607" s="10" t="n">
        <f aca="false">IF(E6607="Won",1,0)</f>
        <v>1</v>
      </c>
    </row>
    <row r="6608" customFormat="false" ht="15" hidden="false" customHeight="false" outlineLevel="0" collapsed="false">
      <c r="A6608" s="10" t="s">
        <v>8949</v>
      </c>
      <c r="B6608" s="10" t="s">
        <v>95</v>
      </c>
      <c r="C6608" s="10" t="s">
        <v>48</v>
      </c>
      <c r="D6608" s="10" t="s">
        <v>168</v>
      </c>
      <c r="E6608" s="10" t="s">
        <v>2342</v>
      </c>
      <c r="F6608" s="30" t="n">
        <v>42983</v>
      </c>
      <c r="G6608" s="30" t="n">
        <v>43096</v>
      </c>
      <c r="H6608" s="26" t="n">
        <f aca="false">G6608-F6608</f>
        <v>113</v>
      </c>
      <c r="I6608" s="10" t="n">
        <f aca="false">IF(E6608="Won",1,0)</f>
        <v>1</v>
      </c>
    </row>
    <row r="6609" customFormat="false" ht="15" hidden="false" customHeight="false" outlineLevel="0" collapsed="false">
      <c r="A6609" s="10" t="s">
        <v>8950</v>
      </c>
      <c r="B6609" s="10" t="s">
        <v>90</v>
      </c>
      <c r="C6609" s="10" t="s">
        <v>49</v>
      </c>
      <c r="D6609" s="10" t="s">
        <v>277</v>
      </c>
      <c r="E6609" s="10" t="s">
        <v>2345</v>
      </c>
      <c r="F6609" s="30" t="n">
        <v>43023</v>
      </c>
      <c r="G6609" s="30" t="n">
        <v>43096</v>
      </c>
      <c r="H6609" s="26" t="n">
        <f aca="false">G6609-F6609</f>
        <v>73</v>
      </c>
      <c r="I6609" s="10" t="n">
        <f aca="false">IF(E6609="Won",1,0)</f>
        <v>0</v>
      </c>
    </row>
    <row r="6610" customFormat="false" ht="15" hidden="false" customHeight="false" outlineLevel="0" collapsed="false">
      <c r="A6610" s="10" t="s">
        <v>8951</v>
      </c>
      <c r="B6610" s="10" t="s">
        <v>88</v>
      </c>
      <c r="C6610" s="10" t="s">
        <v>48</v>
      </c>
      <c r="D6610" s="10" t="s">
        <v>405</v>
      </c>
      <c r="E6610" s="10" t="s">
        <v>2342</v>
      </c>
      <c r="F6610" s="30" t="n">
        <v>43054</v>
      </c>
      <c r="G6610" s="30" t="n">
        <v>43096</v>
      </c>
      <c r="H6610" s="26" t="n">
        <f aca="false">G6610-F6610</f>
        <v>42</v>
      </c>
      <c r="I6610" s="10" t="n">
        <f aca="false">IF(E6610="Won",1,0)</f>
        <v>1</v>
      </c>
    </row>
    <row r="6611" customFormat="false" ht="15" hidden="false" customHeight="false" outlineLevel="0" collapsed="false">
      <c r="A6611" s="10" t="s">
        <v>8952</v>
      </c>
      <c r="B6611" s="10" t="s">
        <v>80</v>
      </c>
      <c r="C6611" s="10" t="s">
        <v>48</v>
      </c>
      <c r="D6611" s="10" t="s">
        <v>353</v>
      </c>
      <c r="E6611" s="10" t="s">
        <v>2342</v>
      </c>
      <c r="F6611" s="30" t="n">
        <v>43020</v>
      </c>
      <c r="G6611" s="30" t="n">
        <v>43097</v>
      </c>
      <c r="H6611" s="26" t="n">
        <f aca="false">G6611-F6611</f>
        <v>77</v>
      </c>
      <c r="I6611" s="10" t="n">
        <f aca="false">IF(E6611="Won",1,0)</f>
        <v>1</v>
      </c>
    </row>
    <row r="6612" customFormat="false" ht="15" hidden="false" customHeight="false" outlineLevel="0" collapsed="false">
      <c r="A6612" s="10" t="s">
        <v>8953</v>
      </c>
      <c r="B6612" s="10" t="s">
        <v>71</v>
      </c>
      <c r="C6612" s="10" t="s">
        <v>52</v>
      </c>
      <c r="D6612" s="10" t="s">
        <v>369</v>
      </c>
      <c r="E6612" s="10" t="s">
        <v>2342</v>
      </c>
      <c r="F6612" s="30" t="n">
        <v>43034</v>
      </c>
      <c r="G6612" s="30" t="n">
        <v>43097</v>
      </c>
      <c r="H6612" s="26" t="n">
        <f aca="false">G6612-F6612</f>
        <v>63</v>
      </c>
      <c r="I6612" s="10" t="n">
        <f aca="false">IF(E6612="Won",1,0)</f>
        <v>1</v>
      </c>
    </row>
    <row r="6613" customFormat="false" ht="15" hidden="false" customHeight="false" outlineLevel="0" collapsed="false">
      <c r="A6613" s="10" t="s">
        <v>8954</v>
      </c>
      <c r="B6613" s="10" t="s">
        <v>75</v>
      </c>
      <c r="C6613" s="10" t="s">
        <v>49</v>
      </c>
      <c r="D6613" s="10" t="s">
        <v>410</v>
      </c>
      <c r="E6613" s="10" t="s">
        <v>2342</v>
      </c>
      <c r="F6613" s="30" t="n">
        <v>42998</v>
      </c>
      <c r="G6613" s="30" t="n">
        <v>43097</v>
      </c>
      <c r="H6613" s="26" t="n">
        <f aca="false">G6613-F6613</f>
        <v>99</v>
      </c>
      <c r="I6613" s="10" t="n">
        <f aca="false">IF(E6613="Won",1,0)</f>
        <v>1</v>
      </c>
    </row>
    <row r="6614" customFormat="false" ht="15" hidden="false" customHeight="false" outlineLevel="0" collapsed="false">
      <c r="A6614" s="10" t="s">
        <v>8955</v>
      </c>
      <c r="B6614" s="10" t="s">
        <v>71</v>
      </c>
      <c r="C6614" s="10" t="s">
        <v>51</v>
      </c>
      <c r="D6614" s="10" t="s">
        <v>961</v>
      </c>
      <c r="E6614" s="10" t="s">
        <v>2342</v>
      </c>
      <c r="F6614" s="30" t="n">
        <v>43080</v>
      </c>
      <c r="G6614" s="30" t="n">
        <v>43097</v>
      </c>
      <c r="H6614" s="26" t="n">
        <f aca="false">G6614-F6614</f>
        <v>17</v>
      </c>
      <c r="I6614" s="10" t="n">
        <f aca="false">IF(E6614="Won",1,0)</f>
        <v>1</v>
      </c>
    </row>
    <row r="6615" customFormat="false" ht="15" hidden="false" customHeight="false" outlineLevel="0" collapsed="false">
      <c r="A6615" s="10" t="s">
        <v>8956</v>
      </c>
      <c r="B6615" s="10" t="s">
        <v>94</v>
      </c>
      <c r="C6615" s="10" t="s">
        <v>51</v>
      </c>
      <c r="D6615" s="10" t="s">
        <v>303</v>
      </c>
      <c r="E6615" s="10" t="s">
        <v>2342</v>
      </c>
      <c r="F6615" s="30" t="n">
        <v>42975</v>
      </c>
      <c r="G6615" s="30" t="n">
        <v>43097</v>
      </c>
      <c r="H6615" s="26" t="n">
        <f aca="false">G6615-F6615</f>
        <v>122</v>
      </c>
      <c r="I6615" s="10" t="n">
        <f aca="false">IF(E6615="Won",1,0)</f>
        <v>1</v>
      </c>
    </row>
    <row r="6616" customFormat="false" ht="15" hidden="false" customHeight="false" outlineLevel="0" collapsed="false">
      <c r="A6616" s="10" t="s">
        <v>8957</v>
      </c>
      <c r="B6616" s="10" t="s">
        <v>81</v>
      </c>
      <c r="C6616" s="10" t="s">
        <v>47</v>
      </c>
      <c r="D6616" s="10" t="s">
        <v>259</v>
      </c>
      <c r="E6616" s="10" t="s">
        <v>2342</v>
      </c>
      <c r="F6616" s="30" t="n">
        <v>43076</v>
      </c>
      <c r="G6616" s="30" t="n">
        <v>43097</v>
      </c>
      <c r="H6616" s="26" t="n">
        <f aca="false">G6616-F6616</f>
        <v>21</v>
      </c>
      <c r="I6616" s="10" t="n">
        <f aca="false">IF(E6616="Won",1,0)</f>
        <v>1</v>
      </c>
    </row>
    <row r="6617" customFormat="false" ht="15" hidden="false" customHeight="false" outlineLevel="0" collapsed="false">
      <c r="A6617" s="10" t="s">
        <v>8958</v>
      </c>
      <c r="B6617" s="10" t="s">
        <v>71</v>
      </c>
      <c r="C6617" s="10" t="s">
        <v>49</v>
      </c>
      <c r="D6617" s="10" t="s">
        <v>388</v>
      </c>
      <c r="E6617" s="10" t="s">
        <v>2342</v>
      </c>
      <c r="F6617" s="30" t="n">
        <v>43064</v>
      </c>
      <c r="G6617" s="30" t="n">
        <v>43097</v>
      </c>
      <c r="H6617" s="26" t="n">
        <f aca="false">G6617-F6617</f>
        <v>33</v>
      </c>
      <c r="I6617" s="10" t="n">
        <f aca="false">IF(E6617="Won",1,0)</f>
        <v>1</v>
      </c>
    </row>
    <row r="6618" customFormat="false" ht="15" hidden="false" customHeight="false" outlineLevel="0" collapsed="false">
      <c r="A6618" s="10" t="s">
        <v>8959</v>
      </c>
      <c r="B6618" s="10" t="s">
        <v>70</v>
      </c>
      <c r="C6618" s="10" t="s">
        <v>52</v>
      </c>
      <c r="D6618" s="10" t="s">
        <v>210</v>
      </c>
      <c r="E6618" s="10" t="s">
        <v>2342</v>
      </c>
      <c r="F6618" s="30" t="n">
        <v>43031</v>
      </c>
      <c r="G6618" s="30" t="n">
        <v>43097</v>
      </c>
      <c r="H6618" s="26" t="n">
        <f aca="false">G6618-F6618</f>
        <v>66</v>
      </c>
      <c r="I6618" s="10" t="n">
        <f aca="false">IF(E6618="Won",1,0)</f>
        <v>1</v>
      </c>
    </row>
    <row r="6619" customFormat="false" ht="15" hidden="false" customHeight="false" outlineLevel="0" collapsed="false">
      <c r="A6619" s="10" t="s">
        <v>8960</v>
      </c>
      <c r="B6619" s="10" t="s">
        <v>96</v>
      </c>
      <c r="C6619" s="10" t="s">
        <v>50</v>
      </c>
      <c r="D6619" s="10" t="s">
        <v>986</v>
      </c>
      <c r="E6619" s="10" t="s">
        <v>2342</v>
      </c>
      <c r="F6619" s="30" t="n">
        <v>42969</v>
      </c>
      <c r="G6619" s="30" t="n">
        <v>43097</v>
      </c>
      <c r="H6619" s="26" t="n">
        <f aca="false">G6619-F6619</f>
        <v>128</v>
      </c>
      <c r="I6619" s="10" t="n">
        <f aca="false">IF(E6619="Won",1,0)</f>
        <v>1</v>
      </c>
    </row>
    <row r="6620" customFormat="false" ht="15" hidden="false" customHeight="false" outlineLevel="0" collapsed="false">
      <c r="A6620" s="10" t="s">
        <v>8961</v>
      </c>
      <c r="B6620" s="10" t="s">
        <v>80</v>
      </c>
      <c r="C6620" s="10" t="s">
        <v>50</v>
      </c>
      <c r="D6620" s="10" t="s">
        <v>353</v>
      </c>
      <c r="E6620" s="10" t="s">
        <v>2342</v>
      </c>
      <c r="F6620" s="30" t="n">
        <v>43082</v>
      </c>
      <c r="G6620" s="30" t="n">
        <v>43097</v>
      </c>
      <c r="H6620" s="26" t="n">
        <f aca="false">G6620-F6620</f>
        <v>15</v>
      </c>
      <c r="I6620" s="10" t="n">
        <f aca="false">IF(E6620="Won",1,0)</f>
        <v>1</v>
      </c>
    </row>
    <row r="6621" customFormat="false" ht="15" hidden="false" customHeight="false" outlineLevel="0" collapsed="false">
      <c r="A6621" s="10" t="s">
        <v>8962</v>
      </c>
      <c r="B6621" s="10" t="s">
        <v>68</v>
      </c>
      <c r="C6621" s="10" t="s">
        <v>52</v>
      </c>
      <c r="D6621" s="10" t="s">
        <v>337</v>
      </c>
      <c r="E6621" s="10" t="s">
        <v>2342</v>
      </c>
      <c r="F6621" s="30" t="n">
        <v>43086</v>
      </c>
      <c r="G6621" s="30" t="n">
        <v>43097</v>
      </c>
      <c r="H6621" s="26" t="n">
        <f aca="false">G6621-F6621</f>
        <v>11</v>
      </c>
      <c r="I6621" s="10" t="n">
        <f aca="false">IF(E6621="Won",1,0)</f>
        <v>1</v>
      </c>
    </row>
    <row r="6622" customFormat="false" ht="15" hidden="false" customHeight="false" outlineLevel="0" collapsed="false">
      <c r="A6622" s="10" t="s">
        <v>8963</v>
      </c>
      <c r="B6622" s="10" t="s">
        <v>63</v>
      </c>
      <c r="C6622" s="10" t="s">
        <v>48</v>
      </c>
      <c r="D6622" s="10" t="s">
        <v>1118</v>
      </c>
      <c r="E6622" s="10" t="s">
        <v>2342</v>
      </c>
      <c r="F6622" s="30" t="n">
        <v>43088</v>
      </c>
      <c r="G6622" s="30" t="n">
        <v>43097</v>
      </c>
      <c r="H6622" s="26" t="n">
        <f aca="false">G6622-F6622</f>
        <v>9</v>
      </c>
      <c r="I6622" s="10" t="n">
        <f aca="false">IF(E6622="Won",1,0)</f>
        <v>1</v>
      </c>
    </row>
    <row r="6623" customFormat="false" ht="15" hidden="false" customHeight="false" outlineLevel="0" collapsed="false">
      <c r="A6623" s="10" t="s">
        <v>8964</v>
      </c>
      <c r="B6623" s="10" t="s">
        <v>88</v>
      </c>
      <c r="C6623" s="10" t="s">
        <v>49</v>
      </c>
      <c r="D6623" s="10" t="s">
        <v>350</v>
      </c>
      <c r="E6623" s="10" t="s">
        <v>2345</v>
      </c>
      <c r="F6623" s="30" t="n">
        <v>43089</v>
      </c>
      <c r="G6623" s="30" t="n">
        <v>43097</v>
      </c>
      <c r="H6623" s="26" t="n">
        <f aca="false">G6623-F6623</f>
        <v>8</v>
      </c>
      <c r="I6623" s="10" t="n">
        <f aca="false">IF(E6623="Won",1,0)</f>
        <v>0</v>
      </c>
    </row>
    <row r="6624" customFormat="false" ht="15" hidden="false" customHeight="false" outlineLevel="0" collapsed="false">
      <c r="A6624" s="10" t="s">
        <v>8965</v>
      </c>
      <c r="B6624" s="10" t="s">
        <v>90</v>
      </c>
      <c r="C6624" s="10" t="s">
        <v>48</v>
      </c>
      <c r="D6624" s="10" t="s">
        <v>247</v>
      </c>
      <c r="E6624" s="10" t="s">
        <v>2342</v>
      </c>
      <c r="F6624" s="30" t="n">
        <v>43011</v>
      </c>
      <c r="G6624" s="30" t="n">
        <v>43097</v>
      </c>
      <c r="H6624" s="26" t="n">
        <f aca="false">G6624-F6624</f>
        <v>86</v>
      </c>
      <c r="I6624" s="10" t="n">
        <f aca="false">IF(E6624="Won",1,0)</f>
        <v>1</v>
      </c>
    </row>
    <row r="6625" customFormat="false" ht="15" hidden="false" customHeight="false" outlineLevel="0" collapsed="false">
      <c r="A6625" s="10" t="s">
        <v>8966</v>
      </c>
      <c r="B6625" s="10" t="s">
        <v>79</v>
      </c>
      <c r="C6625" s="10" t="s">
        <v>51</v>
      </c>
      <c r="D6625" s="10" t="s">
        <v>388</v>
      </c>
      <c r="E6625" s="10" t="s">
        <v>2342</v>
      </c>
      <c r="F6625" s="30" t="n">
        <v>43051</v>
      </c>
      <c r="G6625" s="30" t="n">
        <v>43097</v>
      </c>
      <c r="H6625" s="26" t="n">
        <f aca="false">G6625-F6625</f>
        <v>46</v>
      </c>
      <c r="I6625" s="10" t="n">
        <f aca="false">IF(E6625="Won",1,0)</f>
        <v>1</v>
      </c>
    </row>
    <row r="6626" customFormat="false" ht="15" hidden="false" customHeight="false" outlineLevel="0" collapsed="false">
      <c r="A6626" s="10" t="s">
        <v>8967</v>
      </c>
      <c r="B6626" s="10" t="s">
        <v>90</v>
      </c>
      <c r="C6626" s="10" t="s">
        <v>50</v>
      </c>
      <c r="D6626" s="10" t="s">
        <v>247</v>
      </c>
      <c r="E6626" s="10" t="s">
        <v>2345</v>
      </c>
      <c r="F6626" s="30" t="n">
        <v>42989</v>
      </c>
      <c r="G6626" s="30" t="n">
        <v>43097</v>
      </c>
      <c r="H6626" s="26" t="n">
        <f aca="false">G6626-F6626</f>
        <v>108</v>
      </c>
      <c r="I6626" s="10" t="n">
        <f aca="false">IF(E6626="Won",1,0)</f>
        <v>0</v>
      </c>
    </row>
    <row r="6627" customFormat="false" ht="15" hidden="false" customHeight="false" outlineLevel="0" collapsed="false">
      <c r="A6627" s="10" t="s">
        <v>8968</v>
      </c>
      <c r="B6627" s="10" t="s">
        <v>75</v>
      </c>
      <c r="C6627" s="10" t="s">
        <v>47</v>
      </c>
      <c r="D6627" s="10" t="s">
        <v>259</v>
      </c>
      <c r="E6627" s="10" t="s">
        <v>2342</v>
      </c>
      <c r="F6627" s="30" t="n">
        <v>43002</v>
      </c>
      <c r="G6627" s="30" t="n">
        <v>43097</v>
      </c>
      <c r="H6627" s="26" t="n">
        <f aca="false">G6627-F6627</f>
        <v>95</v>
      </c>
      <c r="I6627" s="10" t="n">
        <f aca="false">IF(E6627="Won",1,0)</f>
        <v>1</v>
      </c>
    </row>
    <row r="6628" customFormat="false" ht="15" hidden="false" customHeight="false" outlineLevel="0" collapsed="false">
      <c r="A6628" s="10" t="s">
        <v>8969</v>
      </c>
      <c r="B6628" s="10" t="s">
        <v>73</v>
      </c>
      <c r="C6628" s="10" t="s">
        <v>49</v>
      </c>
      <c r="D6628" s="10" t="s">
        <v>369</v>
      </c>
      <c r="E6628" s="10" t="s">
        <v>2342</v>
      </c>
      <c r="F6628" s="30" t="n">
        <v>43015</v>
      </c>
      <c r="G6628" s="30" t="n">
        <v>43097</v>
      </c>
      <c r="H6628" s="26" t="n">
        <f aca="false">G6628-F6628</f>
        <v>82</v>
      </c>
      <c r="I6628" s="10" t="n">
        <f aca="false">IF(E6628="Won",1,0)</f>
        <v>1</v>
      </c>
    </row>
    <row r="6629" customFormat="false" ht="15" hidden="false" customHeight="false" outlineLevel="0" collapsed="false">
      <c r="A6629" s="10" t="s">
        <v>8970</v>
      </c>
      <c r="B6629" s="10" t="s">
        <v>75</v>
      </c>
      <c r="C6629" s="10" t="s">
        <v>52</v>
      </c>
      <c r="D6629" s="10" t="s">
        <v>311</v>
      </c>
      <c r="E6629" s="10" t="s">
        <v>2342</v>
      </c>
      <c r="F6629" s="30" t="n">
        <v>43013</v>
      </c>
      <c r="G6629" s="30" t="n">
        <v>43097</v>
      </c>
      <c r="H6629" s="26" t="n">
        <f aca="false">G6629-F6629</f>
        <v>84</v>
      </c>
      <c r="I6629" s="10" t="n">
        <f aca="false">IF(E6629="Won",1,0)</f>
        <v>1</v>
      </c>
    </row>
    <row r="6630" customFormat="false" ht="15" hidden="false" customHeight="false" outlineLevel="0" collapsed="false">
      <c r="A6630" s="10" t="s">
        <v>8971</v>
      </c>
      <c r="B6630" s="10" t="s">
        <v>94</v>
      </c>
      <c r="C6630" s="10" t="s">
        <v>52</v>
      </c>
      <c r="D6630" s="10" t="s">
        <v>986</v>
      </c>
      <c r="E6630" s="10" t="s">
        <v>2342</v>
      </c>
      <c r="F6630" s="30" t="n">
        <v>43090</v>
      </c>
      <c r="G6630" s="30" t="n">
        <v>43097</v>
      </c>
      <c r="H6630" s="26" t="n">
        <f aca="false">G6630-F6630</f>
        <v>7</v>
      </c>
      <c r="I6630" s="10" t="n">
        <f aca="false">IF(E6630="Won",1,0)</f>
        <v>1</v>
      </c>
    </row>
    <row r="6631" customFormat="false" ht="15" hidden="false" customHeight="false" outlineLevel="0" collapsed="false">
      <c r="A6631" s="10" t="s">
        <v>8972</v>
      </c>
      <c r="B6631" s="10" t="s">
        <v>97</v>
      </c>
      <c r="C6631" s="10" t="s">
        <v>48</v>
      </c>
      <c r="D6631" s="10" t="s">
        <v>522</v>
      </c>
      <c r="E6631" s="10" t="s">
        <v>2342</v>
      </c>
      <c r="F6631" s="30" t="n">
        <v>43012</v>
      </c>
      <c r="G6631" s="30" t="n">
        <v>43097</v>
      </c>
      <c r="H6631" s="26" t="n">
        <f aca="false">G6631-F6631</f>
        <v>85</v>
      </c>
      <c r="I6631" s="10" t="n">
        <f aca="false">IF(E6631="Won",1,0)</f>
        <v>1</v>
      </c>
    </row>
    <row r="6632" customFormat="false" ht="15" hidden="false" customHeight="false" outlineLevel="0" collapsed="false">
      <c r="A6632" s="10" t="s">
        <v>8973</v>
      </c>
      <c r="B6632" s="10" t="s">
        <v>93</v>
      </c>
      <c r="C6632" s="10" t="s">
        <v>47</v>
      </c>
      <c r="D6632" s="10" t="s">
        <v>348</v>
      </c>
      <c r="E6632" s="10" t="s">
        <v>2342</v>
      </c>
      <c r="F6632" s="30" t="n">
        <v>42982</v>
      </c>
      <c r="G6632" s="30" t="n">
        <v>43097</v>
      </c>
      <c r="H6632" s="26" t="n">
        <f aca="false">G6632-F6632</f>
        <v>115</v>
      </c>
      <c r="I6632" s="10" t="n">
        <f aca="false">IF(E6632="Won",1,0)</f>
        <v>1</v>
      </c>
    </row>
    <row r="6633" customFormat="false" ht="15" hidden="false" customHeight="false" outlineLevel="0" collapsed="false">
      <c r="A6633" s="10" t="s">
        <v>8974</v>
      </c>
      <c r="B6633" s="10" t="s">
        <v>70</v>
      </c>
      <c r="C6633" s="10" t="s">
        <v>52</v>
      </c>
      <c r="D6633" s="10" t="s">
        <v>483</v>
      </c>
      <c r="E6633" s="10" t="s">
        <v>2342</v>
      </c>
      <c r="F6633" s="30" t="n">
        <v>43090</v>
      </c>
      <c r="G6633" s="30" t="n">
        <v>43097</v>
      </c>
      <c r="H6633" s="26" t="n">
        <f aca="false">G6633-F6633</f>
        <v>7</v>
      </c>
      <c r="I6633" s="10" t="n">
        <f aca="false">IF(E6633="Won",1,0)</f>
        <v>1</v>
      </c>
    </row>
    <row r="6634" customFormat="false" ht="15" hidden="false" customHeight="false" outlineLevel="0" collapsed="false">
      <c r="A6634" s="10" t="s">
        <v>8975</v>
      </c>
      <c r="B6634" s="10" t="s">
        <v>62</v>
      </c>
      <c r="C6634" s="10" t="s">
        <v>49</v>
      </c>
      <c r="D6634" s="10" t="s">
        <v>161</v>
      </c>
      <c r="E6634" s="10" t="s">
        <v>2342</v>
      </c>
      <c r="F6634" s="30" t="n">
        <v>43091</v>
      </c>
      <c r="G6634" s="30" t="n">
        <v>43097</v>
      </c>
      <c r="H6634" s="26" t="n">
        <f aca="false">G6634-F6634</f>
        <v>6</v>
      </c>
      <c r="I6634" s="10" t="n">
        <f aca="false">IF(E6634="Won",1,0)</f>
        <v>1</v>
      </c>
    </row>
    <row r="6635" customFormat="false" ht="15" hidden="false" customHeight="false" outlineLevel="0" collapsed="false">
      <c r="A6635" s="10" t="s">
        <v>8976</v>
      </c>
      <c r="B6635" s="10" t="s">
        <v>76</v>
      </c>
      <c r="C6635" s="10" t="s">
        <v>52</v>
      </c>
      <c r="D6635" s="10" t="s">
        <v>422</v>
      </c>
      <c r="E6635" s="10" t="s">
        <v>2342</v>
      </c>
      <c r="F6635" s="30" t="n">
        <v>43088</v>
      </c>
      <c r="G6635" s="30" t="n">
        <v>43097</v>
      </c>
      <c r="H6635" s="26" t="n">
        <f aca="false">G6635-F6635</f>
        <v>9</v>
      </c>
      <c r="I6635" s="10" t="n">
        <f aca="false">IF(E6635="Won",1,0)</f>
        <v>1</v>
      </c>
    </row>
    <row r="6636" customFormat="false" ht="15" hidden="false" customHeight="false" outlineLevel="0" collapsed="false">
      <c r="A6636" s="10" t="s">
        <v>8977</v>
      </c>
      <c r="B6636" s="10" t="s">
        <v>90</v>
      </c>
      <c r="C6636" s="10" t="s">
        <v>47</v>
      </c>
      <c r="D6636" s="10" t="s">
        <v>441</v>
      </c>
      <c r="E6636" s="10" t="s">
        <v>2342</v>
      </c>
      <c r="F6636" s="30" t="n">
        <v>43049</v>
      </c>
      <c r="G6636" s="30" t="n">
        <v>43098</v>
      </c>
      <c r="H6636" s="26" t="n">
        <f aca="false">G6636-F6636</f>
        <v>49</v>
      </c>
      <c r="I6636" s="10" t="n">
        <f aca="false">IF(E6636="Won",1,0)</f>
        <v>1</v>
      </c>
    </row>
    <row r="6637" customFormat="false" ht="15" hidden="false" customHeight="false" outlineLevel="0" collapsed="false">
      <c r="A6637" s="10" t="s">
        <v>8978</v>
      </c>
      <c r="B6637" s="10" t="s">
        <v>70</v>
      </c>
      <c r="C6637" s="10" t="s">
        <v>51</v>
      </c>
      <c r="D6637" s="10" t="s">
        <v>483</v>
      </c>
      <c r="E6637" s="10" t="s">
        <v>2342</v>
      </c>
      <c r="F6637" s="30" t="n">
        <v>43080</v>
      </c>
      <c r="G6637" s="30" t="n">
        <v>43098</v>
      </c>
      <c r="H6637" s="26" t="n">
        <f aca="false">G6637-F6637</f>
        <v>18</v>
      </c>
      <c r="I6637" s="10" t="n">
        <f aca="false">IF(E6637="Won",1,0)</f>
        <v>1</v>
      </c>
    </row>
    <row r="6638" customFormat="false" ht="15" hidden="false" customHeight="false" outlineLevel="0" collapsed="false">
      <c r="A6638" s="10" t="s">
        <v>8979</v>
      </c>
      <c r="B6638" s="10" t="s">
        <v>61</v>
      </c>
      <c r="C6638" s="10" t="s">
        <v>48</v>
      </c>
      <c r="D6638" s="10" t="s">
        <v>350</v>
      </c>
      <c r="E6638" s="10" t="s">
        <v>2345</v>
      </c>
      <c r="F6638" s="30" t="n">
        <v>43078</v>
      </c>
      <c r="G6638" s="30" t="n">
        <v>43098</v>
      </c>
      <c r="H6638" s="26" t="n">
        <f aca="false">G6638-F6638</f>
        <v>20</v>
      </c>
      <c r="I6638" s="10" t="n">
        <f aca="false">IF(E6638="Won",1,0)</f>
        <v>0</v>
      </c>
    </row>
    <row r="6639" customFormat="false" ht="15" hidden="false" customHeight="false" outlineLevel="0" collapsed="false">
      <c r="A6639" s="10" t="s">
        <v>8980</v>
      </c>
      <c r="B6639" s="10" t="s">
        <v>61</v>
      </c>
      <c r="C6639" s="10" t="s">
        <v>48</v>
      </c>
      <c r="D6639" s="10" t="s">
        <v>455</v>
      </c>
      <c r="E6639" s="10" t="s">
        <v>2342</v>
      </c>
      <c r="F6639" s="30" t="n">
        <v>43089</v>
      </c>
      <c r="G6639" s="30" t="n">
        <v>43098</v>
      </c>
      <c r="H6639" s="26" t="n">
        <f aca="false">G6639-F6639</f>
        <v>9</v>
      </c>
      <c r="I6639" s="10" t="n">
        <f aca="false">IF(E6639="Won",1,0)</f>
        <v>1</v>
      </c>
    </row>
    <row r="6640" customFormat="false" ht="15" hidden="false" customHeight="false" outlineLevel="0" collapsed="false">
      <c r="A6640" s="10" t="s">
        <v>8981</v>
      </c>
      <c r="B6640" s="10" t="s">
        <v>88</v>
      </c>
      <c r="C6640" s="10" t="s">
        <v>50</v>
      </c>
      <c r="D6640" s="10" t="s">
        <v>441</v>
      </c>
      <c r="E6640" s="10" t="s">
        <v>2342</v>
      </c>
      <c r="F6640" s="30" t="n">
        <v>42977</v>
      </c>
      <c r="G6640" s="30" t="n">
        <v>43098</v>
      </c>
      <c r="H6640" s="26" t="n">
        <f aca="false">G6640-F6640</f>
        <v>121</v>
      </c>
      <c r="I6640" s="10" t="n">
        <f aca="false">IF(E6640="Won",1,0)</f>
        <v>1</v>
      </c>
    </row>
    <row r="6641" customFormat="false" ht="15" hidden="false" customHeight="false" outlineLevel="0" collapsed="false">
      <c r="A6641" s="10" t="s">
        <v>8982</v>
      </c>
      <c r="B6641" s="10" t="s">
        <v>96</v>
      </c>
      <c r="C6641" s="10" t="s">
        <v>48</v>
      </c>
      <c r="D6641" s="10" t="s">
        <v>483</v>
      </c>
      <c r="E6641" s="10" t="s">
        <v>2342</v>
      </c>
      <c r="F6641" s="30" t="n">
        <v>43095</v>
      </c>
      <c r="G6641" s="30" t="n">
        <v>43098</v>
      </c>
      <c r="H6641" s="26" t="n">
        <f aca="false">G6641-F6641</f>
        <v>3</v>
      </c>
      <c r="I6641" s="10" t="n">
        <f aca="false">IF(E6641="Won",1,0)</f>
        <v>1</v>
      </c>
    </row>
    <row r="6642" customFormat="false" ht="15" hidden="false" customHeight="false" outlineLevel="0" collapsed="false">
      <c r="A6642" s="10" t="s">
        <v>8983</v>
      </c>
      <c r="B6642" s="10" t="s">
        <v>95</v>
      </c>
      <c r="C6642" s="10" t="s">
        <v>51</v>
      </c>
      <c r="D6642" s="10" t="s">
        <v>170</v>
      </c>
      <c r="E6642" s="10" t="s">
        <v>2342</v>
      </c>
      <c r="F6642" s="30" t="n">
        <v>43051</v>
      </c>
      <c r="G6642" s="30" t="n">
        <v>43098</v>
      </c>
      <c r="H6642" s="26" t="n">
        <f aca="false">G6642-F6642</f>
        <v>47</v>
      </c>
      <c r="I6642" s="10" t="n">
        <f aca="false">IF(E6642="Won",1,0)</f>
        <v>1</v>
      </c>
    </row>
    <row r="6643" customFormat="false" ht="15" hidden="false" customHeight="false" outlineLevel="0" collapsed="false">
      <c r="A6643" s="10" t="s">
        <v>8984</v>
      </c>
      <c r="B6643" s="10" t="s">
        <v>79</v>
      </c>
      <c r="C6643" s="10" t="s">
        <v>52</v>
      </c>
      <c r="D6643" s="10" t="s">
        <v>947</v>
      </c>
      <c r="E6643" s="10" t="s">
        <v>2342</v>
      </c>
      <c r="F6643" s="30" t="n">
        <v>43096</v>
      </c>
      <c r="G6643" s="30" t="n">
        <v>43098</v>
      </c>
      <c r="H6643" s="26" t="n">
        <f aca="false">G6643-F6643</f>
        <v>2</v>
      </c>
      <c r="I6643" s="10" t="n">
        <f aca="false">IF(E6643="Won",1,0)</f>
        <v>1</v>
      </c>
    </row>
    <row r="6644" customFormat="false" ht="15" hidden="false" customHeight="false" outlineLevel="0" collapsed="false">
      <c r="A6644" s="10" t="s">
        <v>8985</v>
      </c>
      <c r="B6644" s="10" t="s">
        <v>67</v>
      </c>
      <c r="C6644" s="10" t="s">
        <v>49</v>
      </c>
      <c r="D6644" s="10" t="s">
        <v>506</v>
      </c>
      <c r="E6644" s="10" t="s">
        <v>2342</v>
      </c>
      <c r="F6644" s="30" t="n">
        <v>42988</v>
      </c>
      <c r="G6644" s="30" t="n">
        <v>43098</v>
      </c>
      <c r="H6644" s="26" t="n">
        <f aca="false">G6644-F6644</f>
        <v>110</v>
      </c>
      <c r="I6644" s="10" t="n">
        <f aca="false">IF(E6644="Won",1,0)</f>
        <v>1</v>
      </c>
    </row>
    <row r="6645" customFormat="false" ht="15" hidden="false" customHeight="false" outlineLevel="0" collapsed="false">
      <c r="A6645" s="10" t="s">
        <v>8986</v>
      </c>
      <c r="B6645" s="10" t="s">
        <v>74</v>
      </c>
      <c r="C6645" s="10" t="s">
        <v>47</v>
      </c>
      <c r="D6645" s="10" t="s">
        <v>597</v>
      </c>
      <c r="E6645" s="10" t="s">
        <v>2342</v>
      </c>
      <c r="F6645" s="30" t="n">
        <v>43069</v>
      </c>
      <c r="G6645" s="30" t="n">
        <v>43098</v>
      </c>
      <c r="H6645" s="26" t="n">
        <f aca="false">G6645-F6645</f>
        <v>29</v>
      </c>
      <c r="I6645" s="10" t="n">
        <f aca="false">IF(E6645="Won",1,0)</f>
        <v>1</v>
      </c>
    </row>
    <row r="6646" customFormat="false" ht="15" hidden="false" customHeight="false" outlineLevel="0" collapsed="false">
      <c r="A6646" s="10" t="s">
        <v>8987</v>
      </c>
      <c r="B6646" s="10" t="s">
        <v>77</v>
      </c>
      <c r="C6646" s="10" t="s">
        <v>50</v>
      </c>
      <c r="D6646" s="10" t="s">
        <v>527</v>
      </c>
      <c r="E6646" s="10" t="s">
        <v>2342</v>
      </c>
      <c r="F6646" s="30" t="n">
        <v>43030</v>
      </c>
      <c r="G6646" s="30" t="n">
        <v>43098</v>
      </c>
      <c r="H6646" s="26" t="n">
        <f aca="false">G6646-F6646</f>
        <v>68</v>
      </c>
      <c r="I6646" s="10" t="n">
        <f aca="false">IF(E6646="Won",1,0)</f>
        <v>1</v>
      </c>
    </row>
    <row r="6647" customFormat="false" ht="15" hidden="false" customHeight="false" outlineLevel="0" collapsed="false">
      <c r="A6647" s="10" t="s">
        <v>8988</v>
      </c>
      <c r="B6647" s="10" t="s">
        <v>79</v>
      </c>
      <c r="C6647" s="10" t="s">
        <v>48</v>
      </c>
      <c r="D6647" s="10" t="s">
        <v>524</v>
      </c>
      <c r="E6647" s="10" t="s">
        <v>2342</v>
      </c>
      <c r="F6647" s="30" t="n">
        <v>43001</v>
      </c>
      <c r="G6647" s="30" t="n">
        <v>43098</v>
      </c>
      <c r="H6647" s="26" t="n">
        <f aca="false">G6647-F6647</f>
        <v>97</v>
      </c>
      <c r="I6647" s="10" t="n">
        <f aca="false">IF(E6647="Won",1,0)</f>
        <v>1</v>
      </c>
    </row>
    <row r="6648" customFormat="false" ht="15" hidden="false" customHeight="false" outlineLevel="0" collapsed="false">
      <c r="A6648" s="10" t="s">
        <v>8989</v>
      </c>
      <c r="B6648" s="10" t="s">
        <v>60</v>
      </c>
      <c r="C6648" s="10" t="s">
        <v>52</v>
      </c>
      <c r="D6648" s="10" t="s">
        <v>218</v>
      </c>
      <c r="E6648" s="10" t="s">
        <v>2342</v>
      </c>
      <c r="F6648" s="30" t="n">
        <v>42972</v>
      </c>
      <c r="G6648" s="30" t="n">
        <v>43098</v>
      </c>
      <c r="H6648" s="26" t="n">
        <f aca="false">G6648-F6648</f>
        <v>126</v>
      </c>
      <c r="I6648" s="10" t="n">
        <f aca="false">IF(E6648="Won",1,0)</f>
        <v>1</v>
      </c>
    </row>
    <row r="6649" customFormat="false" ht="15" hidden="false" customHeight="false" outlineLevel="0" collapsed="false">
      <c r="A6649" s="10" t="s">
        <v>8990</v>
      </c>
      <c r="B6649" s="10" t="s">
        <v>77</v>
      </c>
      <c r="C6649" s="10" t="s">
        <v>52</v>
      </c>
      <c r="D6649" s="10" t="s">
        <v>369</v>
      </c>
      <c r="E6649" s="10" t="s">
        <v>2342</v>
      </c>
      <c r="F6649" s="30" t="n">
        <v>43035</v>
      </c>
      <c r="G6649" s="30" t="n">
        <v>43098</v>
      </c>
      <c r="H6649" s="26" t="n">
        <f aca="false">G6649-F6649</f>
        <v>63</v>
      </c>
      <c r="I6649" s="10" t="n">
        <f aca="false">IF(E6649="Won",1,0)</f>
        <v>1</v>
      </c>
    </row>
    <row r="6650" customFormat="false" ht="15" hidden="false" customHeight="false" outlineLevel="0" collapsed="false">
      <c r="A6650" s="10" t="s">
        <v>8991</v>
      </c>
      <c r="B6650" s="10" t="s">
        <v>95</v>
      </c>
      <c r="C6650" s="10" t="s">
        <v>51</v>
      </c>
      <c r="D6650" s="10" t="s">
        <v>348</v>
      </c>
      <c r="E6650" s="10" t="s">
        <v>2345</v>
      </c>
      <c r="F6650" s="30" t="n">
        <v>43083</v>
      </c>
      <c r="G6650" s="30" t="n">
        <v>43098</v>
      </c>
      <c r="H6650" s="26" t="n">
        <f aca="false">G6650-F6650</f>
        <v>15</v>
      </c>
      <c r="I6650" s="10" t="n">
        <f aca="false">IF(E6650="Won",1,0)</f>
        <v>0</v>
      </c>
    </row>
    <row r="6651" customFormat="false" ht="15" hidden="false" customHeight="false" outlineLevel="0" collapsed="false">
      <c r="A6651" s="10" t="s">
        <v>8992</v>
      </c>
      <c r="B6651" s="10" t="s">
        <v>95</v>
      </c>
      <c r="C6651" s="10" t="s">
        <v>50</v>
      </c>
      <c r="D6651" s="10" t="s">
        <v>497</v>
      </c>
      <c r="E6651" s="10" t="s">
        <v>2342</v>
      </c>
      <c r="F6651" s="30" t="n">
        <v>43077</v>
      </c>
      <c r="G6651" s="30" t="n">
        <v>43098</v>
      </c>
      <c r="H6651" s="26" t="n">
        <f aca="false">G6651-F6651</f>
        <v>21</v>
      </c>
      <c r="I6651" s="10" t="n">
        <f aca="false">IF(E6651="Won",1,0)</f>
        <v>1</v>
      </c>
    </row>
    <row r="6652" customFormat="false" ht="15" hidden="false" customHeight="false" outlineLevel="0" collapsed="false">
      <c r="A6652" s="10" t="s">
        <v>8993</v>
      </c>
      <c r="B6652" s="10" t="s">
        <v>75</v>
      </c>
      <c r="C6652" s="10" t="s">
        <v>51</v>
      </c>
      <c r="D6652" s="10" t="s">
        <v>1948</v>
      </c>
      <c r="E6652" s="10" t="s">
        <v>2342</v>
      </c>
      <c r="F6652" s="30" t="n">
        <v>43018</v>
      </c>
      <c r="G6652" s="30" t="n">
        <v>43098</v>
      </c>
      <c r="H6652" s="26" t="n">
        <f aca="false">G6652-F6652</f>
        <v>80</v>
      </c>
      <c r="I6652" s="10" t="n">
        <f aca="false">IF(E6652="Won",1,0)</f>
        <v>1</v>
      </c>
    </row>
    <row r="6653" customFormat="false" ht="15" hidden="false" customHeight="false" outlineLevel="0" collapsed="false">
      <c r="A6653" s="10" t="s">
        <v>8994</v>
      </c>
      <c r="B6653" s="10" t="s">
        <v>96</v>
      </c>
      <c r="C6653" s="10" t="s">
        <v>51</v>
      </c>
      <c r="D6653" s="10" t="s">
        <v>348</v>
      </c>
      <c r="E6653" s="10" t="s">
        <v>2342</v>
      </c>
      <c r="F6653" s="30" t="n">
        <v>43060</v>
      </c>
      <c r="G6653" s="30" t="n">
        <v>43098</v>
      </c>
      <c r="H6653" s="26" t="n">
        <f aca="false">G6653-F6653</f>
        <v>38</v>
      </c>
      <c r="I6653" s="10" t="n">
        <f aca="false">IF(E6653="Won",1,0)</f>
        <v>1</v>
      </c>
    </row>
    <row r="6654" customFormat="false" ht="15" hidden="false" customHeight="false" outlineLevel="0" collapsed="false">
      <c r="A6654" s="10" t="s">
        <v>8995</v>
      </c>
      <c r="B6654" s="10" t="s">
        <v>94</v>
      </c>
      <c r="C6654" s="10" t="s">
        <v>51</v>
      </c>
      <c r="D6654" s="10" t="s">
        <v>348</v>
      </c>
      <c r="E6654" s="10" t="s">
        <v>2345</v>
      </c>
      <c r="F6654" s="30" t="n">
        <v>43081</v>
      </c>
      <c r="G6654" s="30" t="n">
        <v>43098</v>
      </c>
      <c r="H6654" s="26" t="n">
        <f aca="false">G6654-F6654</f>
        <v>17</v>
      </c>
      <c r="I6654" s="10" t="n">
        <f aca="false">IF(E6654="Won",1,0)</f>
        <v>0</v>
      </c>
    </row>
    <row r="6655" customFormat="false" ht="15" hidden="false" customHeight="false" outlineLevel="0" collapsed="false">
      <c r="A6655" s="10" t="s">
        <v>8996</v>
      </c>
      <c r="B6655" s="10" t="s">
        <v>81</v>
      </c>
      <c r="C6655" s="10" t="s">
        <v>49</v>
      </c>
      <c r="D6655" s="10" t="s">
        <v>388</v>
      </c>
      <c r="E6655" s="10" t="s">
        <v>2345</v>
      </c>
      <c r="F6655" s="30" t="n">
        <v>43032</v>
      </c>
      <c r="G6655" s="30" t="n">
        <v>43098</v>
      </c>
      <c r="H6655" s="26" t="n">
        <f aca="false">G6655-F6655</f>
        <v>66</v>
      </c>
      <c r="I6655" s="10" t="n">
        <f aca="false">IF(E6655="Won",1,0)</f>
        <v>0</v>
      </c>
    </row>
    <row r="6656" customFormat="false" ht="15" hidden="false" customHeight="false" outlineLevel="0" collapsed="false">
      <c r="A6656" s="10" t="s">
        <v>8997</v>
      </c>
      <c r="B6656" s="10" t="s">
        <v>86</v>
      </c>
      <c r="C6656" s="10" t="s">
        <v>47</v>
      </c>
      <c r="D6656" s="10" t="s">
        <v>674</v>
      </c>
      <c r="E6656" s="10" t="s">
        <v>2342</v>
      </c>
      <c r="F6656" s="30" t="n">
        <v>43005</v>
      </c>
      <c r="G6656" s="30" t="n">
        <v>43098</v>
      </c>
      <c r="H6656" s="26" t="n">
        <f aca="false">G6656-F6656</f>
        <v>93</v>
      </c>
      <c r="I6656" s="10" t="n">
        <f aca="false">IF(E6656="Won",1,0)</f>
        <v>1</v>
      </c>
    </row>
    <row r="6657" customFormat="false" ht="15" hidden="false" customHeight="false" outlineLevel="0" collapsed="false">
      <c r="A6657" s="10" t="s">
        <v>8998</v>
      </c>
      <c r="B6657" s="10" t="s">
        <v>79</v>
      </c>
      <c r="C6657" s="10" t="s">
        <v>49</v>
      </c>
      <c r="D6657" s="10" t="s">
        <v>388</v>
      </c>
      <c r="E6657" s="10" t="s">
        <v>2342</v>
      </c>
      <c r="F6657" s="30" t="n">
        <v>43090</v>
      </c>
      <c r="G6657" s="30" t="n">
        <v>43099</v>
      </c>
      <c r="H6657" s="26" t="n">
        <f aca="false">G6657-F6657</f>
        <v>9</v>
      </c>
      <c r="I6657" s="10" t="n">
        <f aca="false">IF(E6657="Won",1,0)</f>
        <v>1</v>
      </c>
    </row>
    <row r="6658" customFormat="false" ht="15" hidden="false" customHeight="false" outlineLevel="0" collapsed="false">
      <c r="A6658" s="10" t="s">
        <v>8999</v>
      </c>
      <c r="B6658" s="10" t="s">
        <v>84</v>
      </c>
      <c r="C6658" s="10" t="s">
        <v>47</v>
      </c>
      <c r="D6658" s="10" t="s">
        <v>218</v>
      </c>
      <c r="E6658" s="10" t="s">
        <v>2342</v>
      </c>
      <c r="F6658" s="30" t="n">
        <v>43084</v>
      </c>
      <c r="G6658" s="30" t="n">
        <v>43099</v>
      </c>
      <c r="H6658" s="26" t="n">
        <f aca="false">G6658-F6658</f>
        <v>15</v>
      </c>
      <c r="I6658" s="10" t="n">
        <f aca="false">IF(E6658="Won",1,0)</f>
        <v>1</v>
      </c>
    </row>
    <row r="6659" customFormat="false" ht="15" hidden="false" customHeight="false" outlineLevel="0" collapsed="false">
      <c r="A6659" s="10" t="s">
        <v>9000</v>
      </c>
      <c r="B6659" s="10" t="s">
        <v>62</v>
      </c>
      <c r="C6659" s="10" t="s">
        <v>50</v>
      </c>
      <c r="D6659" s="10" t="s">
        <v>274</v>
      </c>
      <c r="E6659" s="10" t="s">
        <v>2342</v>
      </c>
      <c r="F6659" s="30" t="n">
        <v>43093</v>
      </c>
      <c r="G6659" s="30" t="n">
        <v>43099</v>
      </c>
      <c r="H6659" s="26" t="n">
        <f aca="false">G6659-F6659</f>
        <v>6</v>
      </c>
      <c r="I6659" s="10" t="n">
        <f aca="false">IF(E6659="Won",1,0)</f>
        <v>1</v>
      </c>
    </row>
    <row r="6660" customFormat="false" ht="15" hidden="false" customHeight="false" outlineLevel="0" collapsed="false">
      <c r="A6660" s="10" t="s">
        <v>9001</v>
      </c>
      <c r="B6660" s="10" t="s">
        <v>61</v>
      </c>
      <c r="C6660" s="10" t="s">
        <v>48</v>
      </c>
      <c r="D6660" s="10" t="s">
        <v>453</v>
      </c>
      <c r="E6660" s="10" t="s">
        <v>2342</v>
      </c>
      <c r="F6660" s="30" t="n">
        <v>43088</v>
      </c>
      <c r="G6660" s="30" t="n">
        <v>43099</v>
      </c>
      <c r="H6660" s="26" t="n">
        <f aca="false">G6660-F6660</f>
        <v>11</v>
      </c>
      <c r="I6660" s="10" t="n">
        <f aca="false">IF(E6660="Won",1,0)</f>
        <v>1</v>
      </c>
    </row>
    <row r="6661" customFormat="false" ht="15" hidden="false" customHeight="false" outlineLevel="0" collapsed="false">
      <c r="A6661" s="10" t="s">
        <v>9002</v>
      </c>
      <c r="B6661" s="10" t="s">
        <v>95</v>
      </c>
      <c r="C6661" s="10" t="s">
        <v>52</v>
      </c>
      <c r="D6661" s="10" t="s">
        <v>424</v>
      </c>
      <c r="E6661" s="10" t="s">
        <v>2342</v>
      </c>
      <c r="F6661" s="30" t="n">
        <v>43083</v>
      </c>
      <c r="G6661" s="30" t="n">
        <v>43099</v>
      </c>
      <c r="H6661" s="26" t="n">
        <f aca="false">G6661-F6661</f>
        <v>16</v>
      </c>
      <c r="I6661" s="10" t="n">
        <f aca="false">IF(E6661="Won",1,0)</f>
        <v>1</v>
      </c>
    </row>
    <row r="6662" customFormat="false" ht="15" hidden="false" customHeight="false" outlineLevel="0" collapsed="false">
      <c r="A6662" s="10" t="s">
        <v>9003</v>
      </c>
      <c r="B6662" s="10" t="s">
        <v>77</v>
      </c>
      <c r="C6662" s="10" t="s">
        <v>48</v>
      </c>
      <c r="D6662" s="10" t="s">
        <v>422</v>
      </c>
      <c r="E6662" s="10" t="s">
        <v>2345</v>
      </c>
      <c r="F6662" s="30" t="n">
        <v>43088</v>
      </c>
      <c r="G6662" s="30" t="n">
        <v>43099</v>
      </c>
      <c r="H6662" s="26" t="n">
        <f aca="false">G6662-F6662</f>
        <v>11</v>
      </c>
      <c r="I6662" s="10" t="n">
        <f aca="false">IF(E6662="Won",1,0)</f>
        <v>0</v>
      </c>
    </row>
    <row r="6663" customFormat="false" ht="15" hidden="false" customHeight="false" outlineLevel="0" collapsed="false">
      <c r="A6663" s="10" t="s">
        <v>9004</v>
      </c>
      <c r="B6663" s="10" t="s">
        <v>57</v>
      </c>
      <c r="C6663" s="10" t="s">
        <v>48</v>
      </c>
      <c r="D6663" s="10" t="s">
        <v>274</v>
      </c>
      <c r="E6663" s="10" t="s">
        <v>2345</v>
      </c>
      <c r="F6663" s="30" t="n">
        <v>42986</v>
      </c>
      <c r="G6663" s="30" t="n">
        <v>43099</v>
      </c>
      <c r="H6663" s="26" t="n">
        <f aca="false">G6663-F6663</f>
        <v>113</v>
      </c>
      <c r="I6663" s="10" t="n">
        <f aca="false">IF(E6663="Won",1,0)</f>
        <v>0</v>
      </c>
    </row>
    <row r="6664" customFormat="false" ht="15" hidden="false" customHeight="false" outlineLevel="0" collapsed="false">
      <c r="A6664" s="10" t="s">
        <v>9005</v>
      </c>
      <c r="B6664" s="10" t="s">
        <v>70</v>
      </c>
      <c r="C6664" s="10" t="s">
        <v>52</v>
      </c>
      <c r="D6664" s="10" t="s">
        <v>506</v>
      </c>
      <c r="E6664" s="10" t="s">
        <v>2342</v>
      </c>
      <c r="F6664" s="30" t="n">
        <v>43000</v>
      </c>
      <c r="G6664" s="30" t="n">
        <v>43099</v>
      </c>
      <c r="H6664" s="26" t="n">
        <f aca="false">G6664-F6664</f>
        <v>99</v>
      </c>
      <c r="I6664" s="10" t="n">
        <f aca="false">IF(E6664="Won",1,0)</f>
        <v>1</v>
      </c>
    </row>
    <row r="6665" customFormat="false" ht="15" hidden="false" customHeight="false" outlineLevel="0" collapsed="false">
      <c r="A6665" s="10" t="s">
        <v>9006</v>
      </c>
      <c r="B6665" s="10" t="s">
        <v>84</v>
      </c>
      <c r="C6665" s="10" t="s">
        <v>47</v>
      </c>
      <c r="D6665" s="10" t="s">
        <v>359</v>
      </c>
      <c r="E6665" s="10" t="s">
        <v>2342</v>
      </c>
      <c r="F6665" s="30" t="n">
        <v>43017</v>
      </c>
      <c r="G6665" s="30" t="n">
        <v>43099</v>
      </c>
      <c r="H6665" s="26" t="n">
        <f aca="false">G6665-F6665</f>
        <v>82</v>
      </c>
      <c r="I6665" s="10" t="n">
        <f aca="false">IF(E6665="Won",1,0)</f>
        <v>1</v>
      </c>
    </row>
    <row r="6666" customFormat="false" ht="15" hidden="false" customHeight="false" outlineLevel="0" collapsed="false">
      <c r="A6666" s="10" t="s">
        <v>9007</v>
      </c>
      <c r="B6666" s="10" t="s">
        <v>70</v>
      </c>
      <c r="C6666" s="10" t="s">
        <v>52</v>
      </c>
      <c r="D6666" s="10" t="s">
        <v>432</v>
      </c>
      <c r="E6666" s="10" t="s">
        <v>2342</v>
      </c>
      <c r="F6666" s="30" t="n">
        <v>43006</v>
      </c>
      <c r="G6666" s="30" t="n">
        <v>43099</v>
      </c>
      <c r="H6666" s="26" t="n">
        <f aca="false">G6666-F6666</f>
        <v>93</v>
      </c>
      <c r="I6666" s="10" t="n">
        <f aca="false">IF(E6666="Won",1,0)</f>
        <v>1</v>
      </c>
    </row>
    <row r="6667" customFormat="false" ht="15" hidden="false" customHeight="false" outlineLevel="0" collapsed="false">
      <c r="A6667" s="10" t="s">
        <v>9008</v>
      </c>
      <c r="B6667" s="10" t="s">
        <v>74</v>
      </c>
      <c r="C6667" s="10" t="s">
        <v>52</v>
      </c>
      <c r="D6667" s="10" t="s">
        <v>179</v>
      </c>
      <c r="E6667" s="10" t="s">
        <v>2345</v>
      </c>
      <c r="F6667" s="30" t="n">
        <v>43047</v>
      </c>
      <c r="G6667" s="30" t="n">
        <v>43099</v>
      </c>
      <c r="H6667" s="26" t="n">
        <f aca="false">G6667-F6667</f>
        <v>52</v>
      </c>
      <c r="I6667" s="10" t="n">
        <f aca="false">IF(E6667="Won",1,0)</f>
        <v>0</v>
      </c>
    </row>
    <row r="6668" customFormat="false" ht="15" hidden="false" customHeight="false" outlineLevel="0" collapsed="false">
      <c r="A6668" s="10" t="s">
        <v>9009</v>
      </c>
      <c r="B6668" s="10" t="s">
        <v>74</v>
      </c>
      <c r="C6668" s="10" t="s">
        <v>52</v>
      </c>
      <c r="D6668" s="10" t="s">
        <v>512</v>
      </c>
      <c r="E6668" s="10" t="s">
        <v>2342</v>
      </c>
      <c r="F6668" s="30" t="n">
        <v>43007</v>
      </c>
      <c r="G6668" s="30" t="n">
        <v>43099</v>
      </c>
      <c r="H6668" s="26" t="n">
        <f aca="false">G6668-F6668</f>
        <v>92</v>
      </c>
      <c r="I6668" s="10" t="n">
        <f aca="false">IF(E6668="Won",1,0)</f>
        <v>1</v>
      </c>
    </row>
    <row r="6669" customFormat="false" ht="15" hidden="false" customHeight="false" outlineLevel="0" collapsed="false">
      <c r="A6669" s="10" t="s">
        <v>9010</v>
      </c>
      <c r="B6669" s="10" t="s">
        <v>75</v>
      </c>
      <c r="C6669" s="10" t="s">
        <v>51</v>
      </c>
      <c r="D6669" s="10" t="s">
        <v>483</v>
      </c>
      <c r="E6669" s="10" t="s">
        <v>2342</v>
      </c>
      <c r="F6669" s="30" t="n">
        <v>43033</v>
      </c>
      <c r="G6669" s="30" t="n">
        <v>43099</v>
      </c>
      <c r="H6669" s="26" t="n">
        <f aca="false">G6669-F6669</f>
        <v>66</v>
      </c>
      <c r="I6669" s="10" t="n">
        <f aca="false">IF(E6669="Won",1,0)</f>
        <v>1</v>
      </c>
    </row>
    <row r="6670" customFormat="false" ht="15" hidden="false" customHeight="false" outlineLevel="0" collapsed="false">
      <c r="A6670" s="10" t="s">
        <v>9011</v>
      </c>
      <c r="B6670" s="10" t="s">
        <v>84</v>
      </c>
      <c r="C6670" s="10" t="s">
        <v>50</v>
      </c>
      <c r="D6670" s="10" t="s">
        <v>286</v>
      </c>
      <c r="E6670" s="10" t="s">
        <v>2342</v>
      </c>
      <c r="F6670" s="30" t="n">
        <v>42989</v>
      </c>
      <c r="G6670" s="30" t="n">
        <v>43099</v>
      </c>
      <c r="H6670" s="26" t="n">
        <f aca="false">G6670-F6670</f>
        <v>110</v>
      </c>
      <c r="I6670" s="10" t="n">
        <f aca="false">IF(E6670="Won",1,0)</f>
        <v>1</v>
      </c>
    </row>
    <row r="6671" customFormat="false" ht="15" hidden="false" customHeight="false" outlineLevel="0" collapsed="false">
      <c r="A6671" s="10" t="s">
        <v>9012</v>
      </c>
      <c r="B6671" s="10" t="s">
        <v>88</v>
      </c>
      <c r="C6671" s="10" t="s">
        <v>47</v>
      </c>
      <c r="D6671" s="10" t="s">
        <v>274</v>
      </c>
      <c r="E6671" s="10" t="s">
        <v>2342</v>
      </c>
      <c r="F6671" s="30" t="n">
        <v>43009</v>
      </c>
      <c r="G6671" s="30" t="n">
        <v>43099</v>
      </c>
      <c r="H6671" s="26" t="n">
        <f aca="false">G6671-F6671</f>
        <v>90</v>
      </c>
      <c r="I6671" s="10" t="n">
        <f aca="false">IF(E6671="Won",1,0)</f>
        <v>1</v>
      </c>
    </row>
    <row r="6672" customFormat="false" ht="15" hidden="false" customHeight="false" outlineLevel="0" collapsed="false">
      <c r="A6672" s="10" t="s">
        <v>9013</v>
      </c>
      <c r="B6672" s="10" t="s">
        <v>77</v>
      </c>
      <c r="C6672" s="10" t="s">
        <v>48</v>
      </c>
      <c r="D6672" s="10" t="s">
        <v>193</v>
      </c>
      <c r="E6672" s="10" t="s">
        <v>2342</v>
      </c>
      <c r="F6672" s="30" t="n">
        <v>42984</v>
      </c>
      <c r="G6672" s="30" t="n">
        <v>43099</v>
      </c>
      <c r="H6672" s="26" t="n">
        <f aca="false">G6672-F6672</f>
        <v>115</v>
      </c>
      <c r="I6672" s="10" t="n">
        <f aca="false">IF(E6672="Won",1,0)</f>
        <v>1</v>
      </c>
    </row>
    <row r="6673" customFormat="false" ht="15" hidden="false" customHeight="false" outlineLevel="0" collapsed="false">
      <c r="A6673" s="10" t="s">
        <v>9014</v>
      </c>
      <c r="B6673" s="10" t="s">
        <v>77</v>
      </c>
      <c r="C6673" s="10" t="s">
        <v>52</v>
      </c>
      <c r="D6673" s="10" t="s">
        <v>388</v>
      </c>
      <c r="E6673" s="10" t="s">
        <v>2342</v>
      </c>
      <c r="F6673" s="30" t="n">
        <v>43015</v>
      </c>
      <c r="G6673" s="30" t="n">
        <v>43099</v>
      </c>
      <c r="H6673" s="26" t="n">
        <f aca="false">G6673-F6673</f>
        <v>84</v>
      </c>
      <c r="I6673" s="10" t="n">
        <f aca="false">IF(E6673="Won",1,0)</f>
        <v>1</v>
      </c>
    </row>
    <row r="6674" customFormat="false" ht="15" hidden="false" customHeight="false" outlineLevel="0" collapsed="false">
      <c r="A6674" s="10" t="s">
        <v>9015</v>
      </c>
      <c r="B6674" s="10" t="s">
        <v>71</v>
      </c>
      <c r="C6674" s="10" t="s">
        <v>52</v>
      </c>
      <c r="D6674" s="10" t="s">
        <v>597</v>
      </c>
      <c r="E6674" s="10" t="s">
        <v>2342</v>
      </c>
      <c r="F6674" s="30" t="n">
        <v>42994</v>
      </c>
      <c r="G6674" s="30" t="n">
        <v>43099</v>
      </c>
      <c r="H6674" s="26" t="n">
        <f aca="false">G6674-F6674</f>
        <v>105</v>
      </c>
      <c r="I6674" s="10" t="n">
        <f aca="false">IF(E6674="Won",1,0)</f>
        <v>1</v>
      </c>
    </row>
    <row r="6675" customFormat="false" ht="15" hidden="false" customHeight="false" outlineLevel="0" collapsed="false">
      <c r="A6675" s="10" t="s">
        <v>9016</v>
      </c>
      <c r="B6675" s="10" t="s">
        <v>84</v>
      </c>
      <c r="C6675" s="10" t="s">
        <v>51</v>
      </c>
      <c r="D6675" s="10" t="s">
        <v>441</v>
      </c>
      <c r="E6675" s="10" t="s">
        <v>2342</v>
      </c>
      <c r="F6675" s="30" t="n">
        <v>43030</v>
      </c>
      <c r="G6675" s="30" t="n">
        <v>43099</v>
      </c>
      <c r="H6675" s="26" t="n">
        <f aca="false">G6675-F6675</f>
        <v>69</v>
      </c>
      <c r="I6675" s="10" t="n">
        <f aca="false">IF(E6675="Won",1,0)</f>
        <v>1</v>
      </c>
    </row>
    <row r="6676" customFormat="false" ht="15" hidden="false" customHeight="false" outlineLevel="0" collapsed="false">
      <c r="A6676" s="10" t="s">
        <v>9017</v>
      </c>
      <c r="B6676" s="10" t="s">
        <v>70</v>
      </c>
      <c r="C6676" s="10" t="s">
        <v>52</v>
      </c>
      <c r="D6676" s="10" t="s">
        <v>487</v>
      </c>
      <c r="E6676" s="10" t="s">
        <v>2345</v>
      </c>
      <c r="F6676" s="30" t="n">
        <v>42993</v>
      </c>
      <c r="G6676" s="30" t="n">
        <v>43099</v>
      </c>
      <c r="H6676" s="26" t="n">
        <f aca="false">G6676-F6676</f>
        <v>106</v>
      </c>
      <c r="I6676" s="10" t="n">
        <f aca="false">IF(E6676="Won",1,0)</f>
        <v>0</v>
      </c>
    </row>
    <row r="6677" customFormat="false" ht="15" hidden="false" customHeight="false" outlineLevel="0" collapsed="false">
      <c r="A6677" s="10" t="s">
        <v>9018</v>
      </c>
      <c r="B6677" s="10" t="s">
        <v>83</v>
      </c>
      <c r="C6677" s="10" t="s">
        <v>51</v>
      </c>
      <c r="D6677" s="10" t="s">
        <v>193</v>
      </c>
      <c r="E6677" s="10" t="s">
        <v>2342</v>
      </c>
      <c r="F6677" s="30" t="n">
        <v>43007</v>
      </c>
      <c r="G6677" s="30" t="n">
        <v>43099</v>
      </c>
      <c r="H6677" s="26" t="n">
        <f aca="false">G6677-F6677</f>
        <v>92</v>
      </c>
      <c r="I6677" s="10" t="n">
        <f aca="false">IF(E6677="Won",1,0)</f>
        <v>1</v>
      </c>
    </row>
    <row r="6678" customFormat="false" ht="15" hidden="false" customHeight="false" outlineLevel="0" collapsed="false">
      <c r="A6678" s="10" t="s">
        <v>9019</v>
      </c>
      <c r="B6678" s="10" t="s">
        <v>81</v>
      </c>
      <c r="C6678" s="10" t="s">
        <v>51</v>
      </c>
      <c r="D6678" s="10" t="s">
        <v>524</v>
      </c>
      <c r="E6678" s="10" t="s">
        <v>2342</v>
      </c>
      <c r="F6678" s="30" t="n">
        <v>42965</v>
      </c>
      <c r="G6678" s="30" t="n">
        <v>43099</v>
      </c>
      <c r="H6678" s="26" t="n">
        <f aca="false">G6678-F6678</f>
        <v>134</v>
      </c>
      <c r="I6678" s="10" t="n">
        <f aca="false">IF(E6678="Won",1,0)</f>
        <v>1</v>
      </c>
    </row>
    <row r="6679" customFormat="false" ht="15" hidden="false" customHeight="false" outlineLevel="0" collapsed="false">
      <c r="A6679" s="10" t="s">
        <v>9020</v>
      </c>
      <c r="B6679" s="10" t="s">
        <v>77</v>
      </c>
      <c r="C6679" s="10" t="s">
        <v>48</v>
      </c>
      <c r="D6679" s="10" t="s">
        <v>193</v>
      </c>
      <c r="E6679" s="10" t="s">
        <v>2342</v>
      </c>
      <c r="F6679" s="30" t="n">
        <v>42999</v>
      </c>
      <c r="G6679" s="30" t="n">
        <v>43099</v>
      </c>
      <c r="H6679" s="26" t="n">
        <f aca="false">G6679-F6679</f>
        <v>100</v>
      </c>
      <c r="I6679" s="10" t="n">
        <f aca="false">IF(E6679="Won",1,0)</f>
        <v>1</v>
      </c>
    </row>
    <row r="6680" customFormat="false" ht="15" hidden="false" customHeight="false" outlineLevel="0" collapsed="false">
      <c r="A6680" s="10" t="s">
        <v>9021</v>
      </c>
      <c r="B6680" s="10" t="s">
        <v>88</v>
      </c>
      <c r="C6680" s="10" t="s">
        <v>51</v>
      </c>
      <c r="D6680" s="10" t="s">
        <v>532</v>
      </c>
      <c r="E6680" s="10" t="s">
        <v>2342</v>
      </c>
      <c r="F6680" s="30" t="n">
        <v>43075</v>
      </c>
      <c r="G6680" s="30" t="n">
        <v>43099</v>
      </c>
      <c r="H6680" s="26" t="n">
        <f aca="false">G6680-F6680</f>
        <v>24</v>
      </c>
      <c r="I6680" s="10" t="n">
        <f aca="false">IF(E6680="Won",1,0)</f>
        <v>1</v>
      </c>
    </row>
    <row r="6681" customFormat="false" ht="15" hidden="false" customHeight="false" outlineLevel="0" collapsed="false">
      <c r="A6681" s="10" t="s">
        <v>9022</v>
      </c>
      <c r="B6681" s="10" t="s">
        <v>95</v>
      </c>
      <c r="C6681" s="10" t="s">
        <v>51</v>
      </c>
      <c r="D6681" s="10" t="s">
        <v>199</v>
      </c>
      <c r="E6681" s="10" t="s">
        <v>2342</v>
      </c>
      <c r="F6681" s="30" t="n">
        <v>42999</v>
      </c>
      <c r="G6681" s="30" t="n">
        <v>43099</v>
      </c>
      <c r="H6681" s="26" t="n">
        <f aca="false">G6681-F6681</f>
        <v>100</v>
      </c>
      <c r="I6681" s="10" t="n">
        <f aca="false">IF(E6681="Won",1,0)</f>
        <v>1</v>
      </c>
    </row>
    <row r="6682" customFormat="false" ht="15" hidden="false" customHeight="false" outlineLevel="0" collapsed="false">
      <c r="A6682" s="10" t="s">
        <v>9023</v>
      </c>
      <c r="B6682" s="10" t="s">
        <v>71</v>
      </c>
      <c r="C6682" s="10" t="s">
        <v>47</v>
      </c>
      <c r="D6682" s="10" t="s">
        <v>193</v>
      </c>
      <c r="E6682" s="10" t="s">
        <v>2342</v>
      </c>
      <c r="F6682" s="30" t="n">
        <v>43016</v>
      </c>
      <c r="G6682" s="30" t="n">
        <v>43099</v>
      </c>
      <c r="H6682" s="26" t="n">
        <f aca="false">G6682-F6682</f>
        <v>83</v>
      </c>
      <c r="I6682" s="10" t="n">
        <f aca="false">IF(E6682="Won",1,0)</f>
        <v>1</v>
      </c>
    </row>
    <row r="6683" customFormat="false" ht="15" hidden="false" customHeight="false" outlineLevel="0" collapsed="false">
      <c r="A6683" s="10" t="s">
        <v>9024</v>
      </c>
      <c r="B6683" s="10" t="s">
        <v>84</v>
      </c>
      <c r="C6683" s="10" t="s">
        <v>47</v>
      </c>
      <c r="D6683" s="10" t="s">
        <v>674</v>
      </c>
      <c r="E6683" s="10" t="s">
        <v>2342</v>
      </c>
      <c r="F6683" s="30" t="n">
        <v>43054</v>
      </c>
      <c r="G6683" s="30" t="n">
        <v>43099</v>
      </c>
      <c r="H6683" s="26" t="n">
        <f aca="false">G6683-F6683</f>
        <v>45</v>
      </c>
      <c r="I6683" s="10" t="n">
        <f aca="false">IF(E6683="Won",1,0)</f>
        <v>1</v>
      </c>
    </row>
    <row r="6684" customFormat="false" ht="15" hidden="false" customHeight="false" outlineLevel="0" collapsed="false">
      <c r="A6684" s="10" t="s">
        <v>9025</v>
      </c>
      <c r="B6684" s="10" t="s">
        <v>68</v>
      </c>
      <c r="C6684" s="10" t="s">
        <v>51</v>
      </c>
      <c r="D6684" s="10" t="s">
        <v>606</v>
      </c>
      <c r="E6684" s="10" t="s">
        <v>2342</v>
      </c>
      <c r="F6684" s="30" t="n">
        <v>43015</v>
      </c>
      <c r="G6684" s="30" t="n">
        <v>43099</v>
      </c>
      <c r="H6684" s="26" t="n">
        <f aca="false">G6684-F6684</f>
        <v>84</v>
      </c>
      <c r="I6684" s="10" t="n">
        <f aca="false">IF(E6684="Won",1,0)</f>
        <v>1</v>
      </c>
    </row>
    <row r="6685" customFormat="false" ht="15" hidden="false" customHeight="false" outlineLevel="0" collapsed="false">
      <c r="A6685" s="10" t="s">
        <v>9026</v>
      </c>
      <c r="B6685" s="10" t="s">
        <v>79</v>
      </c>
      <c r="C6685" s="10" t="s">
        <v>49</v>
      </c>
      <c r="D6685" s="10" t="s">
        <v>410</v>
      </c>
      <c r="E6685" s="10" t="s">
        <v>2342</v>
      </c>
      <c r="F6685" s="30" t="n">
        <v>43037</v>
      </c>
      <c r="G6685" s="30" t="n">
        <v>43099</v>
      </c>
      <c r="H6685" s="26" t="n">
        <f aca="false">G6685-F6685</f>
        <v>62</v>
      </c>
      <c r="I6685" s="10" t="n">
        <f aca="false">IF(E6685="Won",1,0)</f>
        <v>1</v>
      </c>
    </row>
    <row r="6686" customFormat="false" ht="15" hidden="false" customHeight="false" outlineLevel="0" collapsed="false">
      <c r="A6686" s="10" t="s">
        <v>9027</v>
      </c>
      <c r="B6686" s="10" t="s">
        <v>80</v>
      </c>
      <c r="C6686" s="10" t="s">
        <v>51</v>
      </c>
      <c r="D6686" s="10" t="s">
        <v>267</v>
      </c>
      <c r="E6686" s="10" t="s">
        <v>2342</v>
      </c>
      <c r="F6686" s="30" t="n">
        <v>42968</v>
      </c>
      <c r="G6686" s="30" t="n">
        <v>43099</v>
      </c>
      <c r="H6686" s="26" t="n">
        <f aca="false">G6686-F6686</f>
        <v>131</v>
      </c>
      <c r="I6686" s="10" t="n">
        <f aca="false">IF(E6686="Won",1,0)</f>
        <v>1</v>
      </c>
    </row>
    <row r="6687" customFormat="false" ht="15" hidden="false" customHeight="false" outlineLevel="0" collapsed="false">
      <c r="A6687" s="10" t="s">
        <v>9028</v>
      </c>
      <c r="B6687" s="10" t="s">
        <v>87</v>
      </c>
      <c r="C6687" s="10" t="s">
        <v>50</v>
      </c>
      <c r="D6687" s="10" t="s">
        <v>1397</v>
      </c>
      <c r="E6687" s="10" t="s">
        <v>2345</v>
      </c>
      <c r="F6687" s="30" t="n">
        <v>43022</v>
      </c>
      <c r="G6687" s="30" t="n">
        <v>43099</v>
      </c>
      <c r="H6687" s="26" t="n">
        <f aca="false">G6687-F6687</f>
        <v>77</v>
      </c>
      <c r="I6687" s="10" t="n">
        <f aca="false">IF(E6687="Won",1,0)</f>
        <v>0</v>
      </c>
    </row>
    <row r="6688" customFormat="false" ht="15" hidden="false" customHeight="false" outlineLevel="0" collapsed="false">
      <c r="A6688" s="10" t="s">
        <v>9029</v>
      </c>
      <c r="B6688" s="10" t="s">
        <v>79</v>
      </c>
      <c r="C6688" s="10" t="s">
        <v>50</v>
      </c>
      <c r="D6688" s="10" t="s">
        <v>291</v>
      </c>
      <c r="E6688" s="10" t="s">
        <v>2342</v>
      </c>
      <c r="F6688" s="30" t="n">
        <v>43096</v>
      </c>
      <c r="G6688" s="30" t="n">
        <v>43099</v>
      </c>
      <c r="H6688" s="26" t="n">
        <f aca="false">G6688-F6688</f>
        <v>3</v>
      </c>
      <c r="I6688" s="10" t="n">
        <f aca="false">IF(E6688="Won",1,0)</f>
        <v>1</v>
      </c>
    </row>
    <row r="6689" customFormat="false" ht="15" hidden="false" customHeight="false" outlineLevel="0" collapsed="false">
      <c r="A6689" s="10" t="s">
        <v>9030</v>
      </c>
      <c r="B6689" s="10" t="s">
        <v>86</v>
      </c>
      <c r="C6689" s="10" t="s">
        <v>51</v>
      </c>
      <c r="D6689" s="10" t="s">
        <v>674</v>
      </c>
      <c r="E6689" s="10" t="s">
        <v>2342</v>
      </c>
      <c r="F6689" s="30" t="n">
        <v>43092</v>
      </c>
      <c r="G6689" s="30" t="n">
        <v>43100</v>
      </c>
      <c r="H6689" s="26" t="n">
        <f aca="false">G6689-F6689</f>
        <v>8</v>
      </c>
      <c r="I6689" s="10" t="n">
        <f aca="false">IF(E6689="Won",1,0)</f>
        <v>1</v>
      </c>
    </row>
    <row r="6690" customFormat="false" ht="15" hidden="false" customHeight="false" outlineLevel="0" collapsed="false">
      <c r="A6690" s="10" t="s">
        <v>9031</v>
      </c>
      <c r="B6690" s="10" t="s">
        <v>76</v>
      </c>
      <c r="C6690" s="10" t="s">
        <v>52</v>
      </c>
      <c r="D6690" s="10" t="s">
        <v>512</v>
      </c>
      <c r="E6690" s="10" t="s">
        <v>2342</v>
      </c>
      <c r="F6690" s="30" t="n">
        <v>42987</v>
      </c>
      <c r="G6690" s="30" t="n">
        <v>43100</v>
      </c>
      <c r="H6690" s="26" t="n">
        <f aca="false">G6690-F6690</f>
        <v>113</v>
      </c>
      <c r="I6690" s="10" t="n">
        <f aca="false">IF(E6690="Won",1,0)</f>
        <v>1</v>
      </c>
    </row>
    <row r="6691" customFormat="false" ht="15" hidden="false" customHeight="false" outlineLevel="0" collapsed="false">
      <c r="A6691" s="10" t="s">
        <v>9032</v>
      </c>
      <c r="B6691" s="10" t="s">
        <v>74</v>
      </c>
      <c r="C6691" s="10" t="s">
        <v>51</v>
      </c>
      <c r="D6691" s="10" t="s">
        <v>697</v>
      </c>
      <c r="E6691" s="10" t="s">
        <v>2342</v>
      </c>
      <c r="F6691" s="30" t="n">
        <v>43051</v>
      </c>
      <c r="G6691" s="30" t="n">
        <v>43100</v>
      </c>
      <c r="H6691" s="26" t="n">
        <f aca="false">G6691-F6691</f>
        <v>49</v>
      </c>
      <c r="I6691" s="10" t="n">
        <f aca="false">IF(E6691="Won",1,0)</f>
        <v>1</v>
      </c>
    </row>
    <row r="6692" customFormat="false" ht="15" hidden="false" customHeight="false" outlineLevel="0" collapsed="false">
      <c r="A6692" s="10" t="s">
        <v>9033</v>
      </c>
      <c r="B6692" s="10" t="s">
        <v>71</v>
      </c>
      <c r="C6692" s="10" t="s">
        <v>49</v>
      </c>
      <c r="D6692" s="10" t="s">
        <v>483</v>
      </c>
      <c r="E6692" s="10" t="s">
        <v>2342</v>
      </c>
      <c r="F6692" s="30" t="n">
        <v>43055</v>
      </c>
      <c r="G6692" s="30" t="n">
        <v>43100</v>
      </c>
      <c r="H6692" s="26" t="n">
        <f aca="false">G6692-F6692</f>
        <v>45</v>
      </c>
      <c r="I6692" s="10" t="n">
        <f aca="false">IF(E6692="Won",1,0)</f>
        <v>1</v>
      </c>
    </row>
    <row r="6693" customFormat="false" ht="15" hidden="false" customHeight="false" outlineLevel="0" collapsed="false">
      <c r="A6693" s="10" t="s">
        <v>9034</v>
      </c>
      <c r="B6693" s="10" t="s">
        <v>95</v>
      </c>
      <c r="C6693" s="10" t="s">
        <v>52</v>
      </c>
      <c r="D6693" s="10" t="s">
        <v>432</v>
      </c>
      <c r="E6693" s="10" t="s">
        <v>2345</v>
      </c>
      <c r="F6693" s="30" t="n">
        <v>43091</v>
      </c>
      <c r="G6693" s="30" t="n">
        <v>43100</v>
      </c>
      <c r="H6693" s="26" t="n">
        <f aca="false">G6693-F6693</f>
        <v>9</v>
      </c>
      <c r="I6693" s="10" t="n">
        <f aca="false">IF(E6693="Won",1,0)</f>
        <v>0</v>
      </c>
    </row>
    <row r="6694" customFormat="false" ht="15" hidden="false" customHeight="false" outlineLevel="0" collapsed="false">
      <c r="A6694" s="10" t="s">
        <v>9035</v>
      </c>
      <c r="B6694" s="10" t="s">
        <v>80</v>
      </c>
      <c r="C6694" s="10" t="s">
        <v>51</v>
      </c>
      <c r="D6694" s="10" t="s">
        <v>961</v>
      </c>
      <c r="E6694" s="10" t="s">
        <v>2342</v>
      </c>
      <c r="F6694" s="30" t="n">
        <v>43014</v>
      </c>
      <c r="G6694" s="30" t="n">
        <v>43100</v>
      </c>
      <c r="H6694" s="26" t="n">
        <f aca="false">G6694-F6694</f>
        <v>86</v>
      </c>
      <c r="I6694" s="10" t="n">
        <f aca="false">IF(E6694="Won",1,0)</f>
        <v>1</v>
      </c>
    </row>
    <row r="6695" customFormat="false" ht="15" hidden="false" customHeight="false" outlineLevel="0" collapsed="false">
      <c r="A6695" s="10" t="s">
        <v>9036</v>
      </c>
      <c r="B6695" s="10" t="s">
        <v>67</v>
      </c>
      <c r="C6695" s="10" t="s">
        <v>49</v>
      </c>
      <c r="D6695" s="10" t="s">
        <v>483</v>
      </c>
      <c r="E6695" s="10" t="s">
        <v>2342</v>
      </c>
      <c r="F6695" s="30" t="n">
        <v>42976</v>
      </c>
      <c r="G6695" s="30" t="n">
        <v>43100</v>
      </c>
      <c r="H6695" s="26" t="n">
        <f aca="false">G6695-F6695</f>
        <v>124</v>
      </c>
      <c r="I6695" s="10" t="n">
        <f aca="false">IF(E6695="Won",1,0)</f>
        <v>1</v>
      </c>
    </row>
    <row r="6696" customFormat="false" ht="15" hidden="false" customHeight="false" outlineLevel="0" collapsed="false">
      <c r="A6696" s="10" t="s">
        <v>9037</v>
      </c>
      <c r="B6696" s="10" t="s">
        <v>83</v>
      </c>
      <c r="C6696" s="10" t="s">
        <v>50</v>
      </c>
      <c r="D6696" s="10" t="s">
        <v>524</v>
      </c>
      <c r="E6696" s="10" t="s">
        <v>2345</v>
      </c>
      <c r="F6696" s="30" t="n">
        <v>43022</v>
      </c>
      <c r="G6696" s="30" t="n">
        <v>43100</v>
      </c>
      <c r="H6696" s="26" t="n">
        <f aca="false">G6696-F6696</f>
        <v>78</v>
      </c>
      <c r="I6696" s="10" t="n">
        <f aca="false">IF(E6696="Won",1,0)</f>
        <v>0</v>
      </c>
    </row>
    <row r="6697" customFormat="false" ht="15" hidden="false" customHeight="false" outlineLevel="0" collapsed="false">
      <c r="A6697" s="10" t="s">
        <v>9038</v>
      </c>
      <c r="B6697" s="10" t="s">
        <v>62</v>
      </c>
      <c r="C6697" s="10" t="s">
        <v>49</v>
      </c>
      <c r="D6697" s="10" t="s">
        <v>233</v>
      </c>
      <c r="E6697" s="10" t="s">
        <v>2342</v>
      </c>
      <c r="F6697" s="30" t="n">
        <v>42997</v>
      </c>
      <c r="G6697" s="30" t="n">
        <v>43100</v>
      </c>
      <c r="H6697" s="26" t="n">
        <f aca="false">G6697-F6697</f>
        <v>103</v>
      </c>
      <c r="I6697" s="10" t="n">
        <f aca="false">IF(E6697="Won",1,0)</f>
        <v>1</v>
      </c>
    </row>
    <row r="6698" customFormat="false" ht="15" hidden="false" customHeight="false" outlineLevel="0" collapsed="false">
      <c r="A6698" s="10" t="s">
        <v>9039</v>
      </c>
      <c r="B6698" s="10" t="s">
        <v>76</v>
      </c>
      <c r="C6698" s="10" t="s">
        <v>47</v>
      </c>
      <c r="D6698" s="10" t="s">
        <v>869</v>
      </c>
      <c r="E6698" s="10" t="s">
        <v>2342</v>
      </c>
      <c r="F6698" s="30" t="n">
        <v>42997</v>
      </c>
      <c r="G6698" s="30" t="n">
        <v>43100</v>
      </c>
      <c r="H6698" s="26" t="n">
        <f aca="false">G6698-F6698</f>
        <v>103</v>
      </c>
      <c r="I6698" s="10" t="n">
        <f aca="false">IF(E6698="Won",1,0)</f>
        <v>1</v>
      </c>
    </row>
    <row r="6699" customFormat="false" ht="15" hidden="false" customHeight="false" outlineLevel="0" collapsed="false">
      <c r="A6699" s="10" t="s">
        <v>9040</v>
      </c>
      <c r="B6699" s="10" t="s">
        <v>61</v>
      </c>
      <c r="C6699" s="10" t="s">
        <v>47</v>
      </c>
      <c r="D6699" s="10" t="s">
        <v>233</v>
      </c>
      <c r="E6699" s="10" t="s">
        <v>2345</v>
      </c>
      <c r="F6699" s="30" t="n">
        <v>42970</v>
      </c>
      <c r="G6699" s="30" t="n">
        <v>43100</v>
      </c>
      <c r="H6699" s="26" t="n">
        <f aca="false">G6699-F6699</f>
        <v>130</v>
      </c>
      <c r="I6699" s="10" t="n">
        <f aca="false">IF(E6699="Won",1,0)</f>
        <v>0</v>
      </c>
    </row>
    <row r="6700" customFormat="false" ht="15" hidden="false" customHeight="false" outlineLevel="0" collapsed="false">
      <c r="A6700" s="10" t="s">
        <v>9041</v>
      </c>
      <c r="B6700" s="10" t="s">
        <v>61</v>
      </c>
      <c r="C6700" s="10" t="s">
        <v>48</v>
      </c>
      <c r="D6700" s="10" t="s">
        <v>286</v>
      </c>
      <c r="E6700" s="10" t="s">
        <v>2342</v>
      </c>
      <c r="F6700" s="30" t="n">
        <v>42992</v>
      </c>
      <c r="G6700" s="30" t="n">
        <v>43100</v>
      </c>
      <c r="H6700" s="26" t="n">
        <f aca="false">G6700-F6700</f>
        <v>108</v>
      </c>
      <c r="I6700" s="10" t="n">
        <f aca="false">IF(E6700="Won",1,0)</f>
        <v>1</v>
      </c>
    </row>
    <row r="6701" customFormat="false" ht="15" hidden="false" customHeight="false" outlineLevel="0" collapsed="false">
      <c r="A6701" s="10" t="s">
        <v>9042</v>
      </c>
      <c r="B6701" s="10" t="s">
        <v>75</v>
      </c>
      <c r="C6701" s="10" t="s">
        <v>50</v>
      </c>
      <c r="D6701" s="10" t="s">
        <v>1251</v>
      </c>
      <c r="E6701" s="10" t="s">
        <v>2342</v>
      </c>
      <c r="F6701" s="30" t="n">
        <v>42982</v>
      </c>
      <c r="G6701" s="30" t="n">
        <v>43100</v>
      </c>
      <c r="H6701" s="26" t="n">
        <f aca="false">G6701-F6701</f>
        <v>118</v>
      </c>
      <c r="I6701" s="10" t="n">
        <f aca="false">IF(E6701="Won",1,0)</f>
        <v>1</v>
      </c>
    </row>
    <row r="6702" customFormat="false" ht="15" hidden="false" customHeight="false" outlineLevel="0" collapsed="false">
      <c r="A6702" s="10" t="s">
        <v>9043</v>
      </c>
      <c r="B6702" s="10" t="s">
        <v>96</v>
      </c>
      <c r="C6702" s="10" t="s">
        <v>47</v>
      </c>
      <c r="D6702" s="10" t="s">
        <v>522</v>
      </c>
      <c r="E6702" s="10" t="s">
        <v>2342</v>
      </c>
      <c r="F6702" s="30" t="n">
        <v>43042</v>
      </c>
      <c r="G6702" s="30" t="n">
        <v>43100</v>
      </c>
      <c r="H6702" s="26" t="n">
        <f aca="false">G6702-F6702</f>
        <v>58</v>
      </c>
      <c r="I6702" s="10" t="n">
        <f aca="false">IF(E6702="Won",1,0)</f>
        <v>1</v>
      </c>
    </row>
    <row r="6703" customFormat="false" ht="15" hidden="false" customHeight="false" outlineLevel="0" collapsed="false">
      <c r="A6703" s="10" t="s">
        <v>9044</v>
      </c>
      <c r="B6703" s="10" t="s">
        <v>93</v>
      </c>
      <c r="C6703" s="10" t="s">
        <v>51</v>
      </c>
      <c r="D6703" s="10" t="s">
        <v>711</v>
      </c>
      <c r="E6703" s="10" t="s">
        <v>2342</v>
      </c>
      <c r="F6703" s="30" t="n">
        <v>43014</v>
      </c>
      <c r="G6703" s="30" t="n">
        <v>43100</v>
      </c>
      <c r="H6703" s="26" t="n">
        <f aca="false">G6703-F6703</f>
        <v>86</v>
      </c>
      <c r="I6703" s="10" t="n">
        <f aca="false">IF(E6703="Won",1,0)</f>
        <v>1</v>
      </c>
    </row>
    <row r="6704" customFormat="false" ht="15" hidden="false" customHeight="false" outlineLevel="0" collapsed="false">
      <c r="A6704" s="10" t="s">
        <v>9045</v>
      </c>
      <c r="B6704" s="10" t="s">
        <v>93</v>
      </c>
      <c r="C6704" s="10" t="s">
        <v>49</v>
      </c>
      <c r="D6704" s="10" t="s">
        <v>437</v>
      </c>
      <c r="E6704" s="10" t="s">
        <v>2342</v>
      </c>
      <c r="F6704" s="30" t="n">
        <v>43032</v>
      </c>
      <c r="G6704" s="30" t="n">
        <v>43100</v>
      </c>
      <c r="H6704" s="26" t="n">
        <f aca="false">G6704-F6704</f>
        <v>68</v>
      </c>
      <c r="I6704" s="10" t="n">
        <f aca="false">IF(E6704="Won",1,0)</f>
        <v>1</v>
      </c>
    </row>
    <row r="6705" customFormat="false" ht="15" hidden="false" customHeight="false" outlineLevel="0" collapsed="false">
      <c r="A6705" s="10" t="s">
        <v>9046</v>
      </c>
      <c r="B6705" s="10" t="s">
        <v>66</v>
      </c>
      <c r="C6705" s="10" t="s">
        <v>52</v>
      </c>
      <c r="D6705" s="10" t="s">
        <v>986</v>
      </c>
      <c r="E6705" s="10" t="s">
        <v>2342</v>
      </c>
      <c r="F6705" s="30" t="n">
        <v>42998</v>
      </c>
      <c r="G6705" s="30" t="n">
        <v>43100</v>
      </c>
      <c r="H6705" s="26" t="n">
        <f aca="false">G6705-F6705</f>
        <v>102</v>
      </c>
      <c r="I6705" s="10" t="n">
        <f aca="false">IF(E6705="Won",1,0)</f>
        <v>1</v>
      </c>
    </row>
    <row r="6706" customFormat="false" ht="15" hidden="false" customHeight="false" outlineLevel="0" collapsed="false">
      <c r="A6706" s="10" t="s">
        <v>9047</v>
      </c>
      <c r="B6706" s="10" t="s">
        <v>79</v>
      </c>
      <c r="C6706" s="10" t="s">
        <v>52</v>
      </c>
      <c r="D6706" s="10" t="s">
        <v>279</v>
      </c>
      <c r="E6706" s="10" t="s">
        <v>2342</v>
      </c>
      <c r="F6706" s="30" t="n">
        <v>43044</v>
      </c>
      <c r="G6706" s="30" t="n">
        <v>43100</v>
      </c>
      <c r="H6706" s="26" t="n">
        <f aca="false">G6706-F6706</f>
        <v>56</v>
      </c>
      <c r="I6706" s="10" t="n">
        <f aca="false">IF(E6706="Won",1,0)</f>
        <v>1</v>
      </c>
    </row>
    <row r="6707" customFormat="false" ht="15" hidden="false" customHeight="false" outlineLevel="0" collapsed="false">
      <c r="A6707" s="10" t="s">
        <v>9048</v>
      </c>
      <c r="B6707" s="10" t="s">
        <v>93</v>
      </c>
      <c r="C6707" s="10" t="s">
        <v>50</v>
      </c>
      <c r="D6707" s="10" t="s">
        <v>348</v>
      </c>
      <c r="E6707" s="10" t="s">
        <v>2342</v>
      </c>
      <c r="F6707" s="30" t="n">
        <v>43086</v>
      </c>
      <c r="G6707" s="30" t="n">
        <v>43100</v>
      </c>
      <c r="H6707" s="26" t="n">
        <f aca="false">G6707-F6707</f>
        <v>14</v>
      </c>
      <c r="I6707" s="10" t="n">
        <f aca="false">IF(E6707="Won",1,0)</f>
        <v>1</v>
      </c>
    </row>
    <row r="6708" customFormat="false" ht="15" hidden="false" customHeight="false" outlineLevel="0" collapsed="false">
      <c r="A6708" s="10" t="s">
        <v>9049</v>
      </c>
      <c r="B6708" s="10" t="s">
        <v>70</v>
      </c>
      <c r="C6708" s="10" t="s">
        <v>50</v>
      </c>
      <c r="D6708" s="10" t="s">
        <v>227</v>
      </c>
      <c r="E6708" s="10" t="s">
        <v>2345</v>
      </c>
      <c r="F6708" s="30" t="n">
        <v>43086</v>
      </c>
      <c r="G6708" s="30" t="n">
        <v>43100</v>
      </c>
      <c r="H6708" s="26" t="n">
        <f aca="false">G6708-F6708</f>
        <v>14</v>
      </c>
      <c r="I6708" s="10" t="n">
        <f aca="false">IF(E6708="Won",1,0)</f>
        <v>0</v>
      </c>
    </row>
    <row r="6709" customFormat="false" ht="15" hidden="false" customHeight="false" outlineLevel="0" collapsed="false">
      <c r="A6709" s="10" t="s">
        <v>9050</v>
      </c>
      <c r="B6709" s="10" t="s">
        <v>70</v>
      </c>
      <c r="C6709" s="10" t="s">
        <v>51</v>
      </c>
      <c r="D6709" s="10" t="s">
        <v>986</v>
      </c>
      <c r="E6709" s="10" t="s">
        <v>2345</v>
      </c>
      <c r="F6709" s="30" t="n">
        <v>43026</v>
      </c>
      <c r="G6709" s="30" t="n">
        <v>43100</v>
      </c>
      <c r="H6709" s="26" t="n">
        <f aca="false">G6709-F6709</f>
        <v>74</v>
      </c>
      <c r="I6709" s="10" t="n">
        <f aca="false">IF(E6709="Won",1,0)</f>
        <v>0</v>
      </c>
    </row>
    <row r="6710" customFormat="false" ht="15" hidden="false" customHeight="false" outlineLevel="0" collapsed="false">
      <c r="A6710" s="10" t="s">
        <v>9051</v>
      </c>
      <c r="B6710" s="10" t="s">
        <v>71</v>
      </c>
      <c r="C6710" s="10" t="s">
        <v>52</v>
      </c>
      <c r="D6710" s="10" t="s">
        <v>527</v>
      </c>
      <c r="E6710" s="10" t="s">
        <v>2342</v>
      </c>
      <c r="F6710" s="30" t="n">
        <v>43087</v>
      </c>
      <c r="G6710" s="30" t="n">
        <v>43100</v>
      </c>
      <c r="H6710" s="26" t="n">
        <f aca="false">G6710-F6710</f>
        <v>13</v>
      </c>
      <c r="I6710" s="10" t="n">
        <f aca="false">IF(E6710="Won",1,0)</f>
        <v>1</v>
      </c>
    </row>
    <row r="6711" customFormat="false" ht="15" hidden="false" customHeight="false" outlineLevel="0" collapsed="false">
      <c r="A6711" s="10" t="s">
        <v>9052</v>
      </c>
      <c r="B6711" s="10" t="s">
        <v>90</v>
      </c>
      <c r="C6711" s="10" t="s">
        <v>48</v>
      </c>
      <c r="D6711" s="10" t="s">
        <v>1397</v>
      </c>
      <c r="E6711" s="10" t="s">
        <v>2342</v>
      </c>
      <c r="F6711" s="30" t="n">
        <v>43013</v>
      </c>
      <c r="G6711" s="30" t="n">
        <v>43100</v>
      </c>
      <c r="H6711" s="26" t="n">
        <f aca="false">G6711-F6711</f>
        <v>87</v>
      </c>
      <c r="I6711" s="10" t="n">
        <f aca="false">IF(E6711="Won",1,0)</f>
        <v>1</v>
      </c>
    </row>
    <row r="6712" customFormat="false" ht="15" hidden="false" customHeight="false" outlineLevel="0" collapsed="false">
      <c r="A6712" s="10" t="s">
        <v>9053</v>
      </c>
      <c r="B6712" s="10" t="s">
        <v>62</v>
      </c>
      <c r="C6712" s="10" t="s">
        <v>49</v>
      </c>
      <c r="D6712" s="10" t="s">
        <v>1334</v>
      </c>
      <c r="E6712" s="10" t="s">
        <v>2342</v>
      </c>
      <c r="F6712" s="30" t="n">
        <v>43010</v>
      </c>
      <c r="G6712" s="30" t="n">
        <v>43100</v>
      </c>
      <c r="H6712" s="26" t="n">
        <f aca="false">G6712-F6712</f>
        <v>90</v>
      </c>
      <c r="I6712" s="10" t="n">
        <f aca="false">IF(E6712="Won",1,0)</f>
        <v>1</v>
      </c>
    </row>
  </sheetData>
  <autoFilter ref="A1:I671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2026-09-23T15:24:30Z</dcterms:created>
  <dc:creator>openpyxl</dc:creator>
  <dc:description/>
  <dc:language>en-US</dc:language>
  <cp:lastModifiedBy/>
  <dcterms:modified xsi:type="dcterms:W3CDTF">2026-09-23T15:24:33Z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